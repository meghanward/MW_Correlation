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8_{AB692543-3AFF-457C-B2E3-CC6F0F2B4980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1250" i="4" l="1"/>
  <c r="D1236" i="4"/>
  <c r="D1222" i="4"/>
  <c r="D1208" i="4"/>
  <c r="D1194" i="4"/>
  <c r="D1180" i="4"/>
  <c r="D1166" i="4"/>
  <c r="D1152" i="4"/>
  <c r="D1138" i="4"/>
  <c r="D1124" i="4"/>
  <c r="D1110" i="4"/>
  <c r="D1096" i="4"/>
  <c r="D1082" i="4"/>
  <c r="D1068" i="4"/>
  <c r="D1054" i="4"/>
  <c r="D1040" i="4"/>
  <c r="D1026" i="4"/>
  <c r="D1012" i="4"/>
  <c r="D998" i="4"/>
  <c r="D984" i="4"/>
  <c r="D970" i="4"/>
  <c r="D956" i="4"/>
  <c r="D942" i="4"/>
  <c r="D928" i="4"/>
  <c r="D914" i="4"/>
  <c r="D900" i="4"/>
  <c r="D886" i="4"/>
  <c r="D872" i="4"/>
  <c r="D858" i="4"/>
  <c r="D844" i="4"/>
  <c r="D830" i="4"/>
  <c r="D816" i="4"/>
  <c r="D802" i="4"/>
  <c r="D788" i="4"/>
  <c r="D774" i="4"/>
  <c r="D760" i="4"/>
  <c r="D746" i="4"/>
  <c r="D732" i="4"/>
  <c r="D718" i="4"/>
  <c r="D704" i="4"/>
  <c r="D690" i="4"/>
  <c r="D676" i="4"/>
  <c r="D662" i="4"/>
  <c r="D648" i="4"/>
  <c r="D634" i="4"/>
  <c r="D620" i="4"/>
  <c r="D606" i="4"/>
  <c r="D592" i="4"/>
  <c r="D578" i="4"/>
  <c r="D564" i="4"/>
  <c r="D550" i="4"/>
  <c r="D536" i="4"/>
  <c r="D522" i="4"/>
  <c r="D508" i="4"/>
  <c r="D494" i="4"/>
  <c r="D480" i="4"/>
  <c r="D466" i="4"/>
  <c r="D452" i="4"/>
  <c r="D438" i="4"/>
  <c r="D424" i="4"/>
  <c r="D410" i="4"/>
  <c r="D396" i="4"/>
  <c r="D382" i="4"/>
  <c r="D368" i="4"/>
  <c r="D354" i="4"/>
  <c r="D340" i="4"/>
  <c r="D326" i="4"/>
  <c r="D312" i="4"/>
  <c r="D298" i="4"/>
  <c r="D284" i="4"/>
  <c r="D270" i="4"/>
  <c r="D256" i="4"/>
  <c r="D242" i="4"/>
  <c r="D228" i="4"/>
  <c r="D1263" i="4"/>
  <c r="D1249" i="4"/>
  <c r="D1235" i="4"/>
  <c r="D1221" i="4"/>
  <c r="D1207" i="4"/>
  <c r="D1193" i="4"/>
  <c r="D1179" i="4"/>
  <c r="D1165" i="4"/>
  <c r="D1151" i="4"/>
  <c r="D1137" i="4"/>
  <c r="D1123" i="4"/>
  <c r="D1109" i="4"/>
  <c r="D1095" i="4"/>
  <c r="D1081" i="4"/>
  <c r="D1067" i="4"/>
  <c r="D1053" i="4"/>
  <c r="D1039" i="4"/>
  <c r="D1025" i="4"/>
  <c r="D1011" i="4"/>
  <c r="D997" i="4"/>
  <c r="D983" i="4"/>
  <c r="D969" i="4"/>
  <c r="D955" i="4"/>
  <c r="D941" i="4"/>
  <c r="D927" i="4"/>
  <c r="D913" i="4"/>
  <c r="D899" i="4"/>
  <c r="D885" i="4"/>
  <c r="D871" i="4"/>
  <c r="D857" i="4"/>
  <c r="D843" i="4"/>
  <c r="D829" i="4"/>
  <c r="D815" i="4"/>
  <c r="D801" i="4"/>
  <c r="D787" i="4"/>
  <c r="D773" i="4"/>
  <c r="D759" i="4"/>
  <c r="D745" i="4"/>
  <c r="D731" i="4"/>
  <c r="D717" i="4"/>
  <c r="D703" i="4"/>
  <c r="D689" i="4"/>
  <c r="D675" i="4"/>
  <c r="D661" i="4"/>
  <c r="D647" i="4"/>
  <c r="D633" i="4"/>
  <c r="D619" i="4"/>
  <c r="D605" i="4"/>
  <c r="D591" i="4"/>
  <c r="D577" i="4"/>
  <c r="D563" i="4"/>
  <c r="D549" i="4"/>
  <c r="D535" i="4"/>
  <c r="D521" i="4"/>
  <c r="D507" i="4"/>
  <c r="D493" i="4"/>
  <c r="D479" i="4"/>
  <c r="D465" i="4"/>
  <c r="D451" i="4"/>
  <c r="D437" i="4"/>
  <c r="D423" i="4"/>
  <c r="D409" i="4"/>
  <c r="D395" i="4"/>
  <c r="D381" i="4"/>
  <c r="D367" i="4"/>
  <c r="D353" i="4"/>
  <c r="D339" i="4"/>
  <c r="D325" i="4"/>
  <c r="D311" i="4"/>
  <c r="D297" i="4"/>
  <c r="D283" i="4"/>
  <c r="D269" i="4"/>
  <c r="D255" i="4"/>
  <c r="D241" i="4"/>
  <c r="D227" i="4"/>
  <c r="D213" i="4"/>
  <c r="D199" i="4"/>
  <c r="D185" i="4"/>
  <c r="D171" i="4"/>
  <c r="D157" i="4"/>
  <c r="D1262" i="4"/>
  <c r="D1248" i="4"/>
  <c r="D1234" i="4"/>
  <c r="D1220" i="4"/>
  <c r="D1206" i="4"/>
  <c r="D1192" i="4"/>
  <c r="D1178" i="4"/>
  <c r="D1164" i="4"/>
  <c r="D1150" i="4"/>
  <c r="D1136" i="4"/>
  <c r="D1122" i="4"/>
  <c r="D1108" i="4"/>
  <c r="D1094" i="4"/>
  <c r="D1080" i="4"/>
  <c r="D1066" i="4"/>
  <c r="D1052" i="4"/>
  <c r="D1038" i="4"/>
  <c r="D1024" i="4"/>
  <c r="D1010" i="4"/>
  <c r="D996" i="4"/>
  <c r="D982" i="4"/>
  <c r="D968" i="4"/>
  <c r="D954" i="4"/>
  <c r="D940" i="4"/>
  <c r="D926" i="4"/>
  <c r="D912" i="4"/>
  <c r="D898" i="4"/>
  <c r="D884" i="4"/>
  <c r="D870" i="4"/>
  <c r="D856" i="4"/>
  <c r="D842" i="4"/>
  <c r="D828" i="4"/>
  <c r="D814" i="4"/>
  <c r="D800" i="4"/>
  <c r="D786" i="4"/>
  <c r="D772" i="4"/>
  <c r="D758" i="4"/>
  <c r="D744" i="4"/>
  <c r="D730" i="4"/>
  <c r="D716" i="4"/>
  <c r="D702" i="4"/>
  <c r="D688" i="4"/>
  <c r="D674" i="4"/>
  <c r="D660" i="4"/>
  <c r="D646" i="4"/>
  <c r="D632" i="4"/>
  <c r="D618" i="4"/>
  <c r="D604" i="4"/>
  <c r="D590" i="4"/>
  <c r="D576" i="4"/>
  <c r="D562" i="4"/>
  <c r="D548" i="4"/>
  <c r="D534" i="4"/>
  <c r="D520" i="4"/>
  <c r="D506" i="4"/>
  <c r="D492" i="4"/>
  <c r="D478" i="4"/>
  <c r="D464" i="4"/>
  <c r="D450" i="4"/>
  <c r="D436" i="4"/>
  <c r="D422" i="4"/>
  <c r="D408" i="4"/>
  <c r="D394" i="4"/>
  <c r="D380" i="4"/>
  <c r="D366" i="4"/>
  <c r="D352" i="4"/>
  <c r="D338" i="4"/>
  <c r="D324" i="4"/>
  <c r="D310" i="4"/>
  <c r="D296" i="4"/>
  <c r="D282" i="4"/>
  <c r="D268" i="4"/>
  <c r="D254" i="4"/>
  <c r="D240" i="4"/>
  <c r="D226" i="4"/>
  <c r="D212" i="4"/>
  <c r="D198" i="4"/>
  <c r="D184" i="4"/>
  <c r="D170" i="4"/>
  <c r="D156" i="4"/>
  <c r="D1261" i="4"/>
  <c r="D1247" i="4"/>
  <c r="D1233" i="4"/>
  <c r="D1219" i="4"/>
  <c r="D1205" i="4"/>
  <c r="D1191" i="4"/>
  <c r="D1177" i="4"/>
  <c r="D1163" i="4"/>
  <c r="D1149" i="4"/>
  <c r="D1135" i="4"/>
  <c r="D1121" i="4"/>
  <c r="D1107" i="4"/>
  <c r="D1093" i="4"/>
  <c r="D1079" i="4"/>
  <c r="D1065" i="4"/>
  <c r="D1051" i="4"/>
  <c r="D1037" i="4"/>
  <c r="D1023" i="4"/>
  <c r="D1009" i="4"/>
  <c r="D995" i="4"/>
  <c r="D981" i="4"/>
  <c r="D967" i="4"/>
  <c r="D953" i="4"/>
  <c r="D939" i="4"/>
  <c r="D925" i="4"/>
  <c r="D911" i="4"/>
  <c r="D897" i="4"/>
  <c r="D883" i="4"/>
  <c r="D869" i="4"/>
  <c r="D855" i="4"/>
  <c r="D841" i="4"/>
  <c r="D827" i="4"/>
  <c r="D813" i="4"/>
  <c r="D799" i="4"/>
  <c r="D785" i="4"/>
  <c r="D771" i="4"/>
  <c r="D757" i="4"/>
  <c r="D743" i="4"/>
  <c r="D729" i="4"/>
  <c r="D715" i="4"/>
  <c r="D701" i="4"/>
  <c r="D687" i="4"/>
  <c r="D673" i="4"/>
  <c r="D659" i="4"/>
  <c r="D645" i="4"/>
  <c r="D631" i="4"/>
  <c r="D617" i="4"/>
  <c r="D603" i="4"/>
  <c r="D589" i="4"/>
  <c r="D575" i="4"/>
  <c r="D561" i="4"/>
  <c r="D547" i="4"/>
  <c r="D533" i="4"/>
  <c r="D519" i="4"/>
  <c r="D505" i="4"/>
  <c r="D491" i="4"/>
  <c r="D477" i="4"/>
  <c r="D463" i="4"/>
  <c r="D449" i="4"/>
  <c r="D435" i="4"/>
  <c r="D421" i="4"/>
  <c r="D407" i="4"/>
  <c r="D393" i="4"/>
  <c r="D379" i="4"/>
  <c r="D365" i="4"/>
  <c r="D351" i="4"/>
  <c r="D337" i="4"/>
  <c r="D323" i="4"/>
  <c r="D309" i="4"/>
  <c r="D295" i="4"/>
  <c r="D281" i="4"/>
  <c r="D267" i="4"/>
  <c r="D253" i="4"/>
  <c r="D239" i="4"/>
  <c r="D225" i="4"/>
  <c r="D211" i="4"/>
  <c r="D197" i="4"/>
  <c r="D183" i="4"/>
  <c r="D169" i="4"/>
  <c r="D155" i="4"/>
  <c r="D141" i="4"/>
  <c r="D127" i="4"/>
  <c r="D113" i="4"/>
  <c r="D99" i="4"/>
  <c r="D85" i="4"/>
  <c r="D1243" i="4"/>
  <c r="D1225" i="4"/>
  <c r="D1203" i="4"/>
  <c r="D1185" i="4"/>
  <c r="D1167" i="4"/>
  <c r="D1145" i="4"/>
  <c r="D1127" i="4"/>
  <c r="D1105" i="4"/>
  <c r="D1087" i="4"/>
  <c r="D1069" i="4"/>
  <c r="D1047" i="4"/>
  <c r="D1029" i="4"/>
  <c r="D1007" i="4"/>
  <c r="D989" i="4"/>
  <c r="D971" i="4"/>
  <c r="D949" i="4"/>
  <c r="D931" i="4"/>
  <c r="D909" i="4"/>
  <c r="D891" i="4"/>
  <c r="D873" i="4"/>
  <c r="D851" i="4"/>
  <c r="D833" i="4"/>
  <c r="D811" i="4"/>
  <c r="D793" i="4"/>
  <c r="D775" i="4"/>
  <c r="D753" i="4"/>
  <c r="D735" i="4"/>
  <c r="D713" i="4"/>
  <c r="D695" i="4"/>
  <c r="D677" i="4"/>
  <c r="D655" i="4"/>
  <c r="D637" i="4"/>
  <c r="D615" i="4"/>
  <c r="D597" i="4"/>
  <c r="D579" i="4"/>
  <c r="D557" i="4"/>
  <c r="D539" i="4"/>
  <c r="D517" i="4"/>
  <c r="D499" i="4"/>
  <c r="D481" i="4"/>
  <c r="D459" i="4"/>
  <c r="D441" i="4"/>
  <c r="D419" i="4"/>
  <c r="D401" i="4"/>
  <c r="D383" i="4"/>
  <c r="D361" i="4"/>
  <c r="D343" i="4"/>
  <c r="D321" i="4"/>
  <c r="D303" i="4"/>
  <c r="D285" i="4"/>
  <c r="D263" i="4"/>
  <c r="D245" i="4"/>
  <c r="D223" i="4"/>
  <c r="D206" i="4"/>
  <c r="D189" i="4"/>
  <c r="D172" i="4"/>
  <c r="D152" i="4"/>
  <c r="D137" i="4"/>
  <c r="D122" i="4"/>
  <c r="D107" i="4"/>
  <c r="D92" i="4"/>
  <c r="D77" i="4"/>
  <c r="D63" i="4"/>
  <c r="D49" i="4"/>
  <c r="D35" i="4"/>
  <c r="D21" i="4"/>
  <c r="D7" i="4"/>
  <c r="D1260" i="4"/>
  <c r="D1242" i="4"/>
  <c r="D1224" i="4"/>
  <c r="D1202" i="4"/>
  <c r="D1184" i="4"/>
  <c r="D1162" i="4"/>
  <c r="D1144" i="4"/>
  <c r="D1126" i="4"/>
  <c r="D1104" i="4"/>
  <c r="D1086" i="4"/>
  <c r="D1064" i="4"/>
  <c r="D1046" i="4"/>
  <c r="D1028" i="4"/>
  <c r="D1006" i="4"/>
  <c r="D988" i="4"/>
  <c r="D966" i="4"/>
  <c r="D948" i="4"/>
  <c r="D930" i="4"/>
  <c r="D1259" i="4"/>
  <c r="D1241" i="4"/>
  <c r="D1223" i="4"/>
  <c r="D1201" i="4"/>
  <c r="D1183" i="4"/>
  <c r="D1161" i="4"/>
  <c r="D1143" i="4"/>
  <c r="D1125" i="4"/>
  <c r="D1103" i="4"/>
  <c r="D1085" i="4"/>
  <c r="D1063" i="4"/>
  <c r="D1045" i="4"/>
  <c r="D1027" i="4"/>
  <c r="D1005" i="4"/>
  <c r="D987" i="4"/>
  <c r="D965" i="4"/>
  <c r="D947" i="4"/>
  <c r="D929" i="4"/>
  <c r="D907" i="4"/>
  <c r="D1238" i="4"/>
  <c r="D1213" i="4"/>
  <c r="D1188" i="4"/>
  <c r="D1160" i="4"/>
  <c r="D1139" i="4"/>
  <c r="D1114" i="4"/>
  <c r="D1089" i="4"/>
  <c r="D1061" i="4"/>
  <c r="D1036" i="4"/>
  <c r="D1015" i="4"/>
  <c r="D990" i="4"/>
  <c r="D962" i="4"/>
  <c r="D937" i="4"/>
  <c r="D916" i="4"/>
  <c r="D892" i="4"/>
  <c r="D868" i="4"/>
  <c r="D849" i="4"/>
  <c r="D826" i="4"/>
  <c r="D807" i="4"/>
  <c r="D784" i="4"/>
  <c r="D765" i="4"/>
  <c r="D742" i="4"/>
  <c r="D723" i="4"/>
  <c r="D700" i="4"/>
  <c r="D681" i="4"/>
  <c r="D658" i="4"/>
  <c r="D639" i="4"/>
  <c r="D616" i="4"/>
  <c r="D596" i="4"/>
  <c r="D573" i="4"/>
  <c r="D554" i="4"/>
  <c r="D531" i="4"/>
  <c r="D512" i="4"/>
  <c r="D489" i="4"/>
  <c r="D470" i="4"/>
  <c r="D447" i="4"/>
  <c r="D428" i="4"/>
  <c r="D405" i="4"/>
  <c r="D386" i="4"/>
  <c r="D363" i="4"/>
  <c r="D344" i="4"/>
  <c r="D320" i="4"/>
  <c r="D301" i="4"/>
  <c r="D278" i="4"/>
  <c r="D259" i="4"/>
  <c r="D236" i="4"/>
  <c r="D217" i="4"/>
  <c r="D196" i="4"/>
  <c r="D178" i="4"/>
  <c r="D160" i="4"/>
  <c r="D142" i="4"/>
  <c r="D125" i="4"/>
  <c r="D109" i="4"/>
  <c r="D93" i="4"/>
  <c r="D76" i="4"/>
  <c r="D61" i="4"/>
  <c r="D46" i="4"/>
  <c r="D31" i="4"/>
  <c r="D16" i="4"/>
  <c r="D1258" i="4"/>
  <c r="D1237" i="4"/>
  <c r="D1212" i="4"/>
  <c r="D1187" i="4"/>
  <c r="D1159" i="4"/>
  <c r="D1134" i="4"/>
  <c r="D1113" i="4"/>
  <c r="D1088" i="4"/>
  <c r="D1060" i="4"/>
  <c r="D1035" i="4"/>
  <c r="D1014" i="4"/>
  <c r="D986" i="4"/>
  <c r="D961" i="4"/>
  <c r="D936" i="4"/>
  <c r="D915" i="4"/>
  <c r="D890" i="4"/>
  <c r="D867" i="4"/>
  <c r="D848" i="4"/>
  <c r="D825" i="4"/>
  <c r="D806" i="4"/>
  <c r="D783" i="4"/>
  <c r="D764" i="4"/>
  <c r="D741" i="4"/>
  <c r="D722" i="4"/>
  <c r="D699" i="4"/>
  <c r="D680" i="4"/>
  <c r="D657" i="4"/>
  <c r="D638" i="4"/>
  <c r="D614" i="4"/>
  <c r="D595" i="4"/>
  <c r="D572" i="4"/>
  <c r="D553" i="4"/>
  <c r="D530" i="4"/>
  <c r="D511" i="4"/>
  <c r="D488" i="4"/>
  <c r="D469" i="4"/>
  <c r="D446" i="4"/>
  <c r="D427" i="4"/>
  <c r="D404" i="4"/>
  <c r="D385" i="4"/>
  <c r="D362" i="4"/>
  <c r="D342" i="4"/>
  <c r="D319" i="4"/>
  <c r="D300" i="4"/>
  <c r="D277" i="4"/>
  <c r="D258" i="4"/>
  <c r="D235" i="4"/>
  <c r="D216" i="4"/>
  <c r="D195" i="4"/>
  <c r="D177" i="4"/>
  <c r="D159" i="4"/>
  <c r="D140" i="4"/>
  <c r="D124" i="4"/>
  <c r="D108" i="4"/>
  <c r="D91" i="4"/>
  <c r="D75" i="4"/>
  <c r="D60" i="4"/>
  <c r="D45" i="4"/>
  <c r="D30" i="4"/>
  <c r="D15" i="4"/>
  <c r="D360" i="4"/>
  <c r="D299" i="4"/>
  <c r="D257" i="4"/>
  <c r="D234" i="4"/>
  <c r="D194" i="4"/>
  <c r="D176" i="4"/>
  <c r="D158" i="4"/>
  <c r="D139" i="4"/>
  <c r="D106" i="4"/>
  <c r="D90" i="4"/>
  <c r="D74" i="4"/>
  <c r="D59" i="4"/>
  <c r="D44" i="4"/>
  <c r="D29" i="4"/>
  <c r="D14" i="4"/>
  <c r="D1256" i="4"/>
  <c r="D1210" i="4"/>
  <c r="D1182" i="4"/>
  <c r="D1157" i="4"/>
  <c r="D1132" i="4"/>
  <c r="D1111" i="4"/>
  <c r="D1083" i="4"/>
  <c r="D1058" i="4"/>
  <c r="D1033" i="4"/>
  <c r="D1008" i="4"/>
  <c r="D980" i="4"/>
  <c r="D959" i="4"/>
  <c r="D934" i="4"/>
  <c r="D908" i="4"/>
  <c r="D865" i="4"/>
  <c r="D846" i="4"/>
  <c r="D823" i="4"/>
  <c r="D804" i="4"/>
  <c r="D781" i="4"/>
  <c r="D762" i="4"/>
  <c r="D739" i="4"/>
  <c r="D720" i="4"/>
  <c r="D697" i="4"/>
  <c r="D678" i="4"/>
  <c r="D654" i="4"/>
  <c r="D635" i="4"/>
  <c r="D612" i="4"/>
  <c r="D593" i="4"/>
  <c r="D570" i="4"/>
  <c r="D528" i="4"/>
  <c r="D509" i="4"/>
  <c r="D486" i="4"/>
  <c r="D467" i="4"/>
  <c r="D444" i="4"/>
  <c r="D425" i="4"/>
  <c r="D378" i="4"/>
  <c r="D1257" i="4"/>
  <c r="D1232" i="4"/>
  <c r="D1211" i="4"/>
  <c r="D1186" i="4"/>
  <c r="D1158" i="4"/>
  <c r="D1133" i="4"/>
  <c r="D1112" i="4"/>
  <c r="D1084" i="4"/>
  <c r="D1059" i="4"/>
  <c r="D1034" i="4"/>
  <c r="D1013" i="4"/>
  <c r="D985" i="4"/>
  <c r="D960" i="4"/>
  <c r="D935" i="4"/>
  <c r="D910" i="4"/>
  <c r="D889" i="4"/>
  <c r="D866" i="4"/>
  <c r="D847" i="4"/>
  <c r="D824" i="4"/>
  <c r="D805" i="4"/>
  <c r="D782" i="4"/>
  <c r="D763" i="4"/>
  <c r="D740" i="4"/>
  <c r="D721" i="4"/>
  <c r="D698" i="4"/>
  <c r="D679" i="4"/>
  <c r="D656" i="4"/>
  <c r="D636" i="4"/>
  <c r="D613" i="4"/>
  <c r="D594" i="4"/>
  <c r="D571" i="4"/>
  <c r="D552" i="4"/>
  <c r="D529" i="4"/>
  <c r="D510" i="4"/>
  <c r="D487" i="4"/>
  <c r="D468" i="4"/>
  <c r="D445" i="4"/>
  <c r="D426" i="4"/>
  <c r="D403" i="4"/>
  <c r="D384" i="4"/>
  <c r="D341" i="4"/>
  <c r="D318" i="4"/>
  <c r="D276" i="4"/>
  <c r="D215" i="4"/>
  <c r="D123" i="4"/>
  <c r="D1231" i="4"/>
  <c r="D888" i="4"/>
  <c r="D551" i="4"/>
  <c r="D1227" i="4"/>
  <c r="D1195" i="4"/>
  <c r="D1155" i="4"/>
  <c r="D1119" i="4"/>
  <c r="D1090" i="4"/>
  <c r="D1050" i="4"/>
  <c r="D1018" i="4"/>
  <c r="D978" i="4"/>
  <c r="D946" i="4"/>
  <c r="D917" i="4"/>
  <c r="D880" i="4"/>
  <c r="D853" i="4"/>
  <c r="D821" i="4"/>
  <c r="D794" i="4"/>
  <c r="D766" i="4"/>
  <c r="D734" i="4"/>
  <c r="D707" i="4"/>
  <c r="D671" i="4"/>
  <c r="D644" i="4"/>
  <c r="D621" i="4"/>
  <c r="D585" i="4"/>
  <c r="D558" i="4"/>
  <c r="D526" i="4"/>
  <c r="D498" i="4"/>
  <c r="D471" i="4"/>
  <c r="D439" i="4"/>
  <c r="D412" i="4"/>
  <c r="D377" i="4"/>
  <c r="D355" i="4"/>
  <c r="D329" i="4"/>
  <c r="D302" i="4"/>
  <c r="D273" i="4"/>
  <c r="D247" i="4"/>
  <c r="D220" i="4"/>
  <c r="D193" i="4"/>
  <c r="D168" i="4"/>
  <c r="D147" i="4"/>
  <c r="D128" i="4"/>
  <c r="D104" i="4"/>
  <c r="D84" i="4"/>
  <c r="D66" i="4"/>
  <c r="D47" i="4"/>
  <c r="D26" i="4"/>
  <c r="D8" i="4"/>
  <c r="D1254" i="4"/>
  <c r="D1218" i="4"/>
  <c r="D1189" i="4"/>
  <c r="D1153" i="4"/>
  <c r="D1117" i="4"/>
  <c r="D1077" i="4"/>
  <c r="D1048" i="4"/>
  <c r="D1016" i="4"/>
  <c r="D976" i="4"/>
  <c r="D944" i="4"/>
  <c r="D905" i="4"/>
  <c r="D878" i="4"/>
  <c r="D850" i="4"/>
  <c r="D819" i="4"/>
  <c r="D791" i="4"/>
  <c r="D756" i="4"/>
  <c r="D728" i="4"/>
  <c r="D705" i="4"/>
  <c r="D669" i="4"/>
  <c r="D642" i="4"/>
  <c r="D610" i="4"/>
  <c r="D583" i="4"/>
  <c r="D555" i="4"/>
  <c r="D524" i="4"/>
  <c r="D496" i="4"/>
  <c r="D461" i="4"/>
  <c r="D433" i="4"/>
  <c r="D406" i="4"/>
  <c r="D375" i="4"/>
  <c r="D349" i="4"/>
  <c r="D327" i="4"/>
  <c r="D293" i="4"/>
  <c r="D271" i="4"/>
  <c r="D244" i="4"/>
  <c r="D218" i="4"/>
  <c r="D191" i="4"/>
  <c r="D166" i="4"/>
  <c r="D145" i="4"/>
  <c r="D121" i="4"/>
  <c r="D102" i="4"/>
  <c r="D82" i="4"/>
  <c r="D64" i="4"/>
  <c r="D42" i="4"/>
  <c r="D24" i="4"/>
  <c r="D1253" i="4"/>
  <c r="D1217" i="4"/>
  <c r="D1181" i="4"/>
  <c r="D1148" i="4"/>
  <c r="D1116" i="4"/>
  <c r="D1076" i="4"/>
  <c r="D1044" i="4"/>
  <c r="D1004" i="4"/>
  <c r="D975" i="4"/>
  <c r="D943" i="4"/>
  <c r="D904" i="4"/>
  <c r="D877" i="4"/>
  <c r="D845" i="4"/>
  <c r="D818" i="4"/>
  <c r="D790" i="4"/>
  <c r="D755" i="4"/>
  <c r="D727" i="4"/>
  <c r="D696" i="4"/>
  <c r="D668" i="4"/>
  <c r="D641" i="4"/>
  <c r="D609" i="4"/>
  <c r="D582" i="4"/>
  <c r="D546" i="4"/>
  <c r="D523" i="4"/>
  <c r="D495" i="4"/>
  <c r="D460" i="4"/>
  <c r="D432" i="4"/>
  <c r="D402" i="4"/>
  <c r="D374" i="4"/>
  <c r="D348" i="4"/>
  <c r="D322" i="4"/>
  <c r="D292" i="4"/>
  <c r="D266" i="4"/>
  <c r="D243" i="4"/>
  <c r="D214" i="4"/>
  <c r="D190" i="4"/>
  <c r="D165" i="4"/>
  <c r="D144" i="4"/>
  <c r="D120" i="4"/>
  <c r="D101" i="4"/>
  <c r="D81" i="4"/>
  <c r="D1215" i="4"/>
  <c r="D1172" i="4"/>
  <c r="D1129" i="4"/>
  <c r="D1078" i="4"/>
  <c r="D1041" i="4"/>
  <c r="D994" i="4"/>
  <c r="D951" i="4"/>
  <c r="D903" i="4"/>
  <c r="D864" i="4"/>
  <c r="D834" i="4"/>
  <c r="D795" i="4"/>
  <c r="D752" i="4"/>
  <c r="D714" i="4"/>
  <c r="D683" i="4"/>
  <c r="D643" i="4"/>
  <c r="D602" i="4"/>
  <c r="D567" i="4"/>
  <c r="D532" i="4"/>
  <c r="D490" i="4"/>
  <c r="D455" i="4"/>
  <c r="D416" i="4"/>
  <c r="D387" i="4"/>
  <c r="D346" i="4"/>
  <c r="D313" i="4"/>
  <c r="D279" i="4"/>
  <c r="D246" i="4"/>
  <c r="D208" i="4"/>
  <c r="D180" i="4"/>
  <c r="D149" i="4"/>
  <c r="D119" i="4"/>
  <c r="D96" i="4"/>
  <c r="D70" i="4"/>
  <c r="D50" i="4"/>
  <c r="D25" i="4"/>
  <c r="D1209" i="4"/>
  <c r="D1120" i="4"/>
  <c r="D1031" i="4"/>
  <c r="D945" i="4"/>
  <c r="D862" i="4"/>
  <c r="D789" i="4"/>
  <c r="D711" i="4"/>
  <c r="D630" i="4"/>
  <c r="D565" i="4"/>
  <c r="D484" i="4"/>
  <c r="D414" i="4"/>
  <c r="D336" i="4"/>
  <c r="D274" i="4"/>
  <c r="D205" i="4"/>
  <c r="D146" i="4"/>
  <c r="D94" i="4"/>
  <c r="D43" i="4"/>
  <c r="D1106" i="4"/>
  <c r="D333" i="4"/>
  <c r="D39" i="4"/>
  <c r="D1154" i="4"/>
  <c r="D514" i="4"/>
  <c r="D230" i="4"/>
  <c r="D17" i="4"/>
  <c r="D1062" i="4"/>
  <c r="D398" i="4"/>
  <c r="D57" i="4"/>
  <c r="D1146" i="4"/>
  <c r="D192" i="4"/>
  <c r="D808" i="4"/>
  <c r="D289" i="4"/>
  <c r="D1255" i="4"/>
  <c r="D1214" i="4"/>
  <c r="D1171" i="4"/>
  <c r="D1128" i="4"/>
  <c r="D1075" i="4"/>
  <c r="D1032" i="4"/>
  <c r="D993" i="4"/>
  <c r="D950" i="4"/>
  <c r="D902" i="4"/>
  <c r="D863" i="4"/>
  <c r="D832" i="4"/>
  <c r="D792" i="4"/>
  <c r="D751" i="4"/>
  <c r="D712" i="4"/>
  <c r="D682" i="4"/>
  <c r="D640" i="4"/>
  <c r="D601" i="4"/>
  <c r="D566" i="4"/>
  <c r="D527" i="4"/>
  <c r="D485" i="4"/>
  <c r="D454" i="4"/>
  <c r="D415" i="4"/>
  <c r="D376" i="4"/>
  <c r="D345" i="4"/>
  <c r="D308" i="4"/>
  <c r="D275" i="4"/>
  <c r="D238" i="4"/>
  <c r="D207" i="4"/>
  <c r="D179" i="4"/>
  <c r="D148" i="4"/>
  <c r="D118" i="4"/>
  <c r="D95" i="4"/>
  <c r="D69" i="4"/>
  <c r="D48" i="4"/>
  <c r="D23" i="4"/>
  <c r="D1252" i="4"/>
  <c r="D1170" i="4"/>
  <c r="D1074" i="4"/>
  <c r="D992" i="4"/>
  <c r="D901" i="4"/>
  <c r="D831" i="4"/>
  <c r="D750" i="4"/>
  <c r="D672" i="4"/>
  <c r="D600" i="4"/>
  <c r="D525" i="4"/>
  <c r="D453" i="4"/>
  <c r="D373" i="4"/>
  <c r="D307" i="4"/>
  <c r="D237" i="4"/>
  <c r="D175" i="4"/>
  <c r="D117" i="4"/>
  <c r="D68" i="4"/>
  <c r="D22" i="4"/>
  <c r="D1071" i="4"/>
  <c r="D370" i="4"/>
  <c r="D87" i="4"/>
  <c r="D1198" i="4"/>
  <c r="D587" i="4"/>
  <c r="D332" i="4"/>
  <c r="D86" i="4"/>
  <c r="D1101" i="4"/>
  <c r="D364" i="4"/>
  <c r="D1100" i="4"/>
  <c r="D162" i="4"/>
  <c r="D881" i="4"/>
  <c r="D112" i="4"/>
  <c r="D1147" i="4"/>
  <c r="D973" i="4"/>
  <c r="D887" i="4"/>
  <c r="D810" i="4"/>
  <c r="D737" i="4"/>
  <c r="D664" i="4"/>
  <c r="D586" i="4"/>
  <c r="D513" i="4"/>
  <c r="D434" i="4"/>
  <c r="D331" i="4"/>
  <c r="D261" i="4"/>
  <c r="D200" i="4"/>
  <c r="D134" i="4"/>
  <c r="D83" i="4"/>
  <c r="D13" i="4"/>
  <c r="D1239" i="4"/>
  <c r="D1017" i="4"/>
  <c r="D922" i="4"/>
  <c r="D840" i="4"/>
  <c r="D770" i="4"/>
  <c r="D693" i="4"/>
  <c r="D624" i="4"/>
  <c r="D543" i="4"/>
  <c r="D473" i="4"/>
  <c r="D397" i="4"/>
  <c r="D330" i="4"/>
  <c r="D260" i="4"/>
  <c r="D110" i="4"/>
  <c r="D56" i="4"/>
  <c r="D12" i="4"/>
  <c r="D1230" i="4"/>
  <c r="D1099" i="4"/>
  <c r="D1003" i="4"/>
  <c r="D921" i="4"/>
  <c r="D769" i="4"/>
  <c r="D653" i="4"/>
  <c r="D581" i="4"/>
  <c r="D503" i="4"/>
  <c r="D430" i="4"/>
  <c r="D358" i="4"/>
  <c r="D222" i="4"/>
  <c r="D161" i="4"/>
  <c r="D105" i="4"/>
  <c r="D34" i="4"/>
  <c r="D1251" i="4"/>
  <c r="D1204" i="4"/>
  <c r="D1169" i="4"/>
  <c r="D1118" i="4"/>
  <c r="D1073" i="4"/>
  <c r="D1030" i="4"/>
  <c r="D991" i="4"/>
  <c r="D938" i="4"/>
  <c r="D896" i="4"/>
  <c r="D861" i="4"/>
  <c r="D822" i="4"/>
  <c r="D780" i="4"/>
  <c r="D749" i="4"/>
  <c r="D710" i="4"/>
  <c r="D670" i="4"/>
  <c r="D629" i="4"/>
  <c r="D599" i="4"/>
  <c r="D560" i="4"/>
  <c r="D518" i="4"/>
  <c r="D483" i="4"/>
  <c r="D448" i="4"/>
  <c r="D413" i="4"/>
  <c r="D372" i="4"/>
  <c r="D335" i="4"/>
  <c r="D306" i="4"/>
  <c r="D272" i="4"/>
  <c r="D233" i="4"/>
  <c r="D204" i="4"/>
  <c r="D174" i="4"/>
  <c r="D143" i="4"/>
  <c r="D116" i="4"/>
  <c r="D89" i="4"/>
  <c r="D67" i="4"/>
  <c r="D41" i="4"/>
  <c r="D20" i="4"/>
  <c r="D1246" i="4"/>
  <c r="D1200" i="4"/>
  <c r="D1168" i="4"/>
  <c r="D1115" i="4"/>
  <c r="D1072" i="4"/>
  <c r="D1022" i="4"/>
  <c r="D979" i="4"/>
  <c r="D933" i="4"/>
  <c r="D895" i="4"/>
  <c r="D860" i="4"/>
  <c r="D820" i="4"/>
  <c r="D779" i="4"/>
  <c r="D748" i="4"/>
  <c r="D709" i="4"/>
  <c r="D667" i="4"/>
  <c r="D628" i="4"/>
  <c r="D598" i="4"/>
  <c r="D559" i="4"/>
  <c r="D516" i="4"/>
  <c r="D482" i="4"/>
  <c r="D443" i="4"/>
  <c r="D411" i="4"/>
  <c r="D371" i="4"/>
  <c r="D334" i="4"/>
  <c r="D305" i="4"/>
  <c r="D265" i="4"/>
  <c r="D232" i="4"/>
  <c r="D203" i="4"/>
  <c r="D173" i="4"/>
  <c r="D138" i="4"/>
  <c r="D115" i="4"/>
  <c r="D88" i="4"/>
  <c r="D65" i="4"/>
  <c r="D40" i="4"/>
  <c r="D19" i="4"/>
  <c r="D1245" i="4"/>
  <c r="D1199" i="4"/>
  <c r="D1156" i="4"/>
  <c r="D1021" i="4"/>
  <c r="D977" i="4"/>
  <c r="D932" i="4"/>
  <c r="D894" i="4"/>
  <c r="D859" i="4"/>
  <c r="D817" i="4"/>
  <c r="D778" i="4"/>
  <c r="D747" i="4"/>
  <c r="D708" i="4"/>
  <c r="D666" i="4"/>
  <c r="D627" i="4"/>
  <c r="D588" i="4"/>
  <c r="D556" i="4"/>
  <c r="D515" i="4"/>
  <c r="D476" i="4"/>
  <c r="D442" i="4"/>
  <c r="D400" i="4"/>
  <c r="D304" i="4"/>
  <c r="D264" i="4"/>
  <c r="D231" i="4"/>
  <c r="D202" i="4"/>
  <c r="D167" i="4"/>
  <c r="D136" i="4"/>
  <c r="D114" i="4"/>
  <c r="D62" i="4"/>
  <c r="D18" i="4"/>
  <c r="D1244" i="4"/>
  <c r="D1102" i="4"/>
  <c r="D1070" i="4"/>
  <c r="D1020" i="4"/>
  <c r="D974" i="4"/>
  <c r="D924" i="4"/>
  <c r="D893" i="4"/>
  <c r="D854" i="4"/>
  <c r="D812" i="4"/>
  <c r="D777" i="4"/>
  <c r="D738" i="4"/>
  <c r="D706" i="4"/>
  <c r="D665" i="4"/>
  <c r="D626" i="4"/>
  <c r="D545" i="4"/>
  <c r="D475" i="4"/>
  <c r="D440" i="4"/>
  <c r="D399" i="4"/>
  <c r="D369" i="4"/>
  <c r="D294" i="4"/>
  <c r="D262" i="4"/>
  <c r="D201" i="4"/>
  <c r="D164" i="4"/>
  <c r="D135" i="4"/>
  <c r="D58" i="4"/>
  <c r="D38" i="4"/>
  <c r="D1197" i="4"/>
  <c r="D1019" i="4"/>
  <c r="D923" i="4"/>
  <c r="D852" i="4"/>
  <c r="D776" i="4"/>
  <c r="D694" i="4"/>
  <c r="D625" i="4"/>
  <c r="D544" i="4"/>
  <c r="D474" i="4"/>
  <c r="D291" i="4"/>
  <c r="D229" i="4"/>
  <c r="D163" i="4"/>
  <c r="D111" i="4"/>
  <c r="D37" i="4"/>
  <c r="D1196" i="4"/>
  <c r="D1057" i="4"/>
  <c r="D972" i="4"/>
  <c r="D882" i="4"/>
  <c r="D809" i="4"/>
  <c r="D736" i="4"/>
  <c r="D663" i="4"/>
  <c r="D584" i="4"/>
  <c r="D504" i="4"/>
  <c r="D431" i="4"/>
  <c r="D359" i="4"/>
  <c r="D290" i="4"/>
  <c r="D224" i="4"/>
  <c r="D133" i="4"/>
  <c r="D80" i="4"/>
  <c r="D36" i="4"/>
  <c r="D1190" i="4"/>
  <c r="D1142" i="4"/>
  <c r="D1056" i="4"/>
  <c r="D964" i="4"/>
  <c r="D839" i="4"/>
  <c r="D733" i="4"/>
  <c r="D692" i="4"/>
  <c r="D623" i="4"/>
  <c r="D542" i="4"/>
  <c r="D472" i="4"/>
  <c r="D392" i="4"/>
  <c r="D328" i="4"/>
  <c r="D252" i="4"/>
  <c r="D132" i="4"/>
  <c r="D79" i="4"/>
  <c r="D1240" i="4"/>
  <c r="D1216" i="4"/>
  <c r="D1092" i="4"/>
  <c r="D920" i="4"/>
  <c r="D797" i="4"/>
  <c r="D652" i="4"/>
  <c r="D538" i="4"/>
  <c r="D391" i="4"/>
  <c r="D286" i="4"/>
  <c r="D181" i="4"/>
  <c r="D73" i="4"/>
  <c r="D9" i="4"/>
  <c r="D1229" i="4"/>
  <c r="D1091" i="4"/>
  <c r="D919" i="4"/>
  <c r="D796" i="4"/>
  <c r="D651" i="4"/>
  <c r="D537" i="4"/>
  <c r="D390" i="4"/>
  <c r="D280" i="4"/>
  <c r="D154" i="4"/>
  <c r="D72" i="4"/>
  <c r="D1228" i="4"/>
  <c r="D1055" i="4"/>
  <c r="D918" i="4"/>
  <c r="D768" i="4"/>
  <c r="D650" i="4"/>
  <c r="D502" i="4"/>
  <c r="D389" i="4"/>
  <c r="D251" i="4"/>
  <c r="D153" i="4"/>
  <c r="D71" i="4"/>
  <c r="D1226" i="4"/>
  <c r="D1049" i="4"/>
  <c r="D906" i="4"/>
  <c r="D767" i="4"/>
  <c r="D649" i="4"/>
  <c r="D501" i="4"/>
  <c r="D388" i="4"/>
  <c r="D250" i="4"/>
  <c r="D151" i="4"/>
  <c r="D55" i="4"/>
  <c r="D1176" i="4"/>
  <c r="D1043" i="4"/>
  <c r="D879" i="4"/>
  <c r="D761" i="4"/>
  <c r="D622" i="4"/>
  <c r="D500" i="4"/>
  <c r="D357" i="4"/>
  <c r="D249" i="4"/>
  <c r="D150" i="4"/>
  <c r="D54" i="4"/>
  <c r="D1175" i="4"/>
  <c r="D1042" i="4"/>
  <c r="D876" i="4"/>
  <c r="D754" i="4"/>
  <c r="D611" i="4"/>
  <c r="D497" i="4"/>
  <c r="D356" i="4"/>
  <c r="D248" i="4"/>
  <c r="D131" i="4"/>
  <c r="D53" i="4"/>
  <c r="D1174" i="4"/>
  <c r="D1002" i="4"/>
  <c r="D875" i="4"/>
  <c r="D726" i="4"/>
  <c r="D608" i="4"/>
  <c r="D462" i="4"/>
  <c r="D350" i="4"/>
  <c r="D221" i="4"/>
  <c r="D130" i="4"/>
  <c r="D52" i="4"/>
  <c r="D1173" i="4"/>
  <c r="D1001" i="4"/>
  <c r="D874" i="4"/>
  <c r="D725" i="4"/>
  <c r="D607" i="4"/>
  <c r="D458" i="4"/>
  <c r="D347" i="4"/>
  <c r="D219" i="4"/>
  <c r="D129" i="4"/>
  <c r="D51" i="4"/>
  <c r="D1141" i="4"/>
  <c r="D1000" i="4"/>
  <c r="D838" i="4"/>
  <c r="D724" i="4"/>
  <c r="D580" i="4"/>
  <c r="D457" i="4"/>
  <c r="D317" i="4"/>
  <c r="D210" i="4"/>
  <c r="D126" i="4"/>
  <c r="D33" i="4"/>
  <c r="D1140" i="4"/>
  <c r="D999" i="4"/>
  <c r="D837" i="4"/>
  <c r="D719" i="4"/>
  <c r="D574" i="4"/>
  <c r="D456" i="4"/>
  <c r="D316" i="4"/>
  <c r="D209" i="4"/>
  <c r="D103" i="4"/>
  <c r="D32" i="4"/>
  <c r="D1131" i="4"/>
  <c r="D963" i="4"/>
  <c r="D836" i="4"/>
  <c r="D691" i="4"/>
  <c r="D569" i="4"/>
  <c r="D429" i="4"/>
  <c r="D315" i="4"/>
  <c r="D188" i="4"/>
  <c r="D100" i="4"/>
  <c r="D28" i="4"/>
  <c r="D1130" i="4"/>
  <c r="D958" i="4"/>
  <c r="D835" i="4"/>
  <c r="D686" i="4"/>
  <c r="D568" i="4"/>
  <c r="D420" i="4"/>
  <c r="D314" i="4"/>
  <c r="D187" i="4"/>
  <c r="D98" i="4"/>
  <c r="D27" i="4"/>
  <c r="D957" i="4"/>
  <c r="D803" i="4"/>
  <c r="D685" i="4"/>
  <c r="D541" i="4"/>
  <c r="D418" i="4"/>
  <c r="D288" i="4"/>
  <c r="D186" i="4"/>
  <c r="D97" i="4"/>
  <c r="D11" i="4"/>
  <c r="D1097" i="4"/>
  <c r="D952" i="4"/>
  <c r="D798" i="4"/>
  <c r="D684" i="4"/>
  <c r="D540" i="4"/>
  <c r="D417" i="4"/>
  <c r="D287" i="4"/>
  <c r="D182" i="4"/>
  <c r="D78" i="4"/>
  <c r="D10" i="4"/>
  <c r="D1098" i="4"/>
  <c r="C7" i="4" a="1"/>
  <c r="C1260" i="4" l="1"/>
  <c r="C1246" i="4"/>
  <c r="C1232" i="4"/>
  <c r="C1218" i="4"/>
  <c r="C1204" i="4"/>
  <c r="C1190" i="4"/>
  <c r="C1176" i="4"/>
  <c r="C1162" i="4"/>
  <c r="C1148" i="4"/>
  <c r="C1134" i="4"/>
  <c r="C1120" i="4"/>
  <c r="C1106" i="4"/>
  <c r="C1092" i="4"/>
  <c r="C1078" i="4"/>
  <c r="C1064" i="4"/>
  <c r="C1050" i="4"/>
  <c r="C1036" i="4"/>
  <c r="C1022" i="4"/>
  <c r="C1008" i="4"/>
  <c r="C994" i="4"/>
  <c r="C980" i="4"/>
  <c r="C966" i="4"/>
  <c r="C952" i="4"/>
  <c r="C938" i="4"/>
  <c r="C924" i="4"/>
  <c r="C910" i="4"/>
  <c r="C896" i="4"/>
  <c r="C882" i="4"/>
  <c r="C868" i="4"/>
  <c r="C854" i="4"/>
  <c r="C840" i="4"/>
  <c r="C826" i="4"/>
  <c r="C812" i="4"/>
  <c r="C798" i="4"/>
  <c r="C784" i="4"/>
  <c r="C770" i="4"/>
  <c r="C756" i="4"/>
  <c r="C742" i="4"/>
  <c r="C728" i="4"/>
  <c r="C714" i="4"/>
  <c r="C700" i="4"/>
  <c r="C686" i="4"/>
  <c r="C672" i="4"/>
  <c r="C658" i="4"/>
  <c r="C644" i="4"/>
  <c r="C630" i="4"/>
  <c r="C616" i="4"/>
  <c r="C602" i="4"/>
  <c r="C588" i="4"/>
  <c r="C574" i="4"/>
  <c r="C560" i="4"/>
  <c r="C546" i="4"/>
  <c r="C532" i="4"/>
  <c r="C518" i="4"/>
  <c r="C504" i="4"/>
  <c r="C490" i="4"/>
  <c r="C476" i="4"/>
  <c r="C462" i="4"/>
  <c r="C448" i="4"/>
  <c r="C434" i="4"/>
  <c r="C420" i="4"/>
  <c r="C406" i="4"/>
  <c r="C392" i="4"/>
  <c r="C378" i="4"/>
  <c r="C364" i="4"/>
  <c r="C350" i="4"/>
  <c r="C336" i="4"/>
  <c r="C322" i="4"/>
  <c r="C308" i="4"/>
  <c r="C294" i="4"/>
  <c r="C280" i="4"/>
  <c r="C266" i="4"/>
  <c r="C252" i="4"/>
  <c r="C238" i="4"/>
  <c r="C224" i="4"/>
  <c r="C210" i="4"/>
  <c r="C196" i="4"/>
  <c r="C182" i="4"/>
  <c r="C168" i="4"/>
  <c r="C154" i="4"/>
  <c r="C140" i="4"/>
  <c r="C126" i="4"/>
  <c r="C112" i="4"/>
  <c r="C98" i="4"/>
  <c r="C1259" i="4"/>
  <c r="C1245" i="4"/>
  <c r="C1231" i="4"/>
  <c r="C1217" i="4"/>
  <c r="C1203" i="4"/>
  <c r="C1189" i="4"/>
  <c r="C1175" i="4"/>
  <c r="C1161" i="4"/>
  <c r="C1147" i="4"/>
  <c r="C1133" i="4"/>
  <c r="C1119" i="4"/>
  <c r="C1105" i="4"/>
  <c r="C1091" i="4"/>
  <c r="C1077" i="4"/>
  <c r="C1063" i="4"/>
  <c r="C1049" i="4"/>
  <c r="C1035" i="4"/>
  <c r="C1021" i="4"/>
  <c r="C1007" i="4"/>
  <c r="C993" i="4"/>
  <c r="C979" i="4"/>
  <c r="C965" i="4"/>
  <c r="C951" i="4"/>
  <c r="C937" i="4"/>
  <c r="C923" i="4"/>
  <c r="C909" i="4"/>
  <c r="C895" i="4"/>
  <c r="C881" i="4"/>
  <c r="C867" i="4"/>
  <c r="C853" i="4"/>
  <c r="C839" i="4"/>
  <c r="C825" i="4"/>
  <c r="C811" i="4"/>
  <c r="C797" i="4"/>
  <c r="C783" i="4"/>
  <c r="C769" i="4"/>
  <c r="C755" i="4"/>
  <c r="C741" i="4"/>
  <c r="C727" i="4"/>
  <c r="C713" i="4"/>
  <c r="C699" i="4"/>
  <c r="C685" i="4"/>
  <c r="C671" i="4"/>
  <c r="C657" i="4"/>
  <c r="C643" i="4"/>
  <c r="C629" i="4"/>
  <c r="C615" i="4"/>
  <c r="C601" i="4"/>
  <c r="C587" i="4"/>
  <c r="C573" i="4"/>
  <c r="C559" i="4"/>
  <c r="C545" i="4"/>
  <c r="C531" i="4"/>
  <c r="C517" i="4"/>
  <c r="C503" i="4"/>
  <c r="C489" i="4"/>
  <c r="C475" i="4"/>
  <c r="C461" i="4"/>
  <c r="C447" i="4"/>
  <c r="C433" i="4"/>
  <c r="C419" i="4"/>
  <c r="C405" i="4"/>
  <c r="C391" i="4"/>
  <c r="C377" i="4"/>
  <c r="C363" i="4"/>
  <c r="C349" i="4"/>
  <c r="C335" i="4"/>
  <c r="C321" i="4"/>
  <c r="C307" i="4"/>
  <c r="C293" i="4"/>
  <c r="C279" i="4"/>
  <c r="C265" i="4"/>
  <c r="C251" i="4"/>
  <c r="C237" i="4"/>
  <c r="C223" i="4"/>
  <c r="C209" i="4"/>
  <c r="C195" i="4"/>
  <c r="C181" i="4"/>
  <c r="C167" i="4"/>
  <c r="C153" i="4"/>
  <c r="C139" i="4"/>
  <c r="C125" i="4"/>
  <c r="C111" i="4"/>
  <c r="C97" i="4"/>
  <c r="C83" i="4"/>
  <c r="C1258" i="4"/>
  <c r="C1244" i="4"/>
  <c r="C1230" i="4"/>
  <c r="C1216" i="4"/>
  <c r="C1202" i="4"/>
  <c r="C1188" i="4"/>
  <c r="C1174" i="4"/>
  <c r="C1160" i="4"/>
  <c r="C1146" i="4"/>
  <c r="C1132" i="4"/>
  <c r="C1118" i="4"/>
  <c r="C1104" i="4"/>
  <c r="C1090" i="4"/>
  <c r="C1076" i="4"/>
  <c r="C1062" i="4"/>
  <c r="C1048" i="4"/>
  <c r="C1034" i="4"/>
  <c r="C1020" i="4"/>
  <c r="C1006" i="4"/>
  <c r="C992" i="4"/>
  <c r="C978" i="4"/>
  <c r="C964" i="4"/>
  <c r="C950" i="4"/>
  <c r="C936" i="4"/>
  <c r="C922" i="4"/>
  <c r="C908" i="4"/>
  <c r="C894" i="4"/>
  <c r="C880" i="4"/>
  <c r="C866" i="4"/>
  <c r="C852" i="4"/>
  <c r="C838" i="4"/>
  <c r="C824" i="4"/>
  <c r="C810" i="4"/>
  <c r="C796" i="4"/>
  <c r="C782" i="4"/>
  <c r="C768" i="4"/>
  <c r="C754" i="4"/>
  <c r="C740" i="4"/>
  <c r="C726" i="4"/>
  <c r="C712" i="4"/>
  <c r="C698" i="4"/>
  <c r="C684" i="4"/>
  <c r="C670" i="4"/>
  <c r="C656" i="4"/>
  <c r="C642" i="4"/>
  <c r="C628" i="4"/>
  <c r="C614" i="4"/>
  <c r="C600" i="4"/>
  <c r="C586" i="4"/>
  <c r="C572" i="4"/>
  <c r="C558" i="4"/>
  <c r="C544" i="4"/>
  <c r="C530" i="4"/>
  <c r="C516" i="4"/>
  <c r="C502" i="4"/>
  <c r="C488" i="4"/>
  <c r="C474" i="4"/>
  <c r="C460" i="4"/>
  <c r="C446" i="4"/>
  <c r="C432" i="4"/>
  <c r="C418" i="4"/>
  <c r="C404" i="4"/>
  <c r="C390" i="4"/>
  <c r="C376" i="4"/>
  <c r="C362" i="4"/>
  <c r="C348" i="4"/>
  <c r="C334" i="4"/>
  <c r="C320" i="4"/>
  <c r="C306" i="4"/>
  <c r="C292" i="4"/>
  <c r="C278" i="4"/>
  <c r="C264" i="4"/>
  <c r="C250" i="4"/>
  <c r="C236" i="4"/>
  <c r="C222" i="4"/>
  <c r="C208" i="4"/>
  <c r="C194" i="4"/>
  <c r="C180" i="4"/>
  <c r="C166" i="4"/>
  <c r="C152" i="4"/>
  <c r="C138" i="4"/>
  <c r="C124" i="4"/>
  <c r="C110" i="4"/>
  <c r="C96" i="4"/>
  <c r="C82" i="4"/>
  <c r="C68" i="4"/>
  <c r="C54" i="4"/>
  <c r="C40" i="4"/>
  <c r="C26" i="4"/>
  <c r="C12" i="4"/>
  <c r="C1257" i="4"/>
  <c r="C1243" i="4"/>
  <c r="C1229" i="4"/>
  <c r="C1215" i="4"/>
  <c r="C1201" i="4"/>
  <c r="C1187" i="4"/>
  <c r="C1173" i="4"/>
  <c r="C1159" i="4"/>
  <c r="C1145" i="4"/>
  <c r="C1131" i="4"/>
  <c r="C1117" i="4"/>
  <c r="C1103" i="4"/>
  <c r="C1089" i="4"/>
  <c r="C1075" i="4"/>
  <c r="C1061" i="4"/>
  <c r="C1047" i="4"/>
  <c r="C1033" i="4"/>
  <c r="C1019" i="4"/>
  <c r="C1005" i="4"/>
  <c r="C991" i="4"/>
  <c r="C977" i="4"/>
  <c r="C963" i="4"/>
  <c r="C949" i="4"/>
  <c r="C935" i="4"/>
  <c r="C921" i="4"/>
  <c r="C907" i="4"/>
  <c r="C893" i="4"/>
  <c r="C879" i="4"/>
  <c r="C865" i="4"/>
  <c r="C851" i="4"/>
  <c r="C837" i="4"/>
  <c r="C823" i="4"/>
  <c r="C809" i="4"/>
  <c r="C795" i="4"/>
  <c r="C781" i="4"/>
  <c r="C767" i="4"/>
  <c r="C753" i="4"/>
  <c r="C739" i="4"/>
  <c r="C725" i="4"/>
  <c r="C711" i="4"/>
  <c r="C697" i="4"/>
  <c r="C683" i="4"/>
  <c r="C669" i="4"/>
  <c r="C655" i="4"/>
  <c r="C641" i="4"/>
  <c r="C627" i="4"/>
  <c r="C613" i="4"/>
  <c r="C599" i="4"/>
  <c r="C585" i="4"/>
  <c r="C571" i="4"/>
  <c r="C557" i="4"/>
  <c r="C543" i="4"/>
  <c r="C529" i="4"/>
  <c r="C515" i="4"/>
  <c r="C501" i="4"/>
  <c r="C487" i="4"/>
  <c r="C473" i="4"/>
  <c r="C459" i="4"/>
  <c r="C445" i="4"/>
  <c r="C431" i="4"/>
  <c r="C417" i="4"/>
  <c r="C403" i="4"/>
  <c r="C389" i="4"/>
  <c r="C375" i="4"/>
  <c r="C361" i="4"/>
  <c r="C347" i="4"/>
  <c r="C333" i="4"/>
  <c r="C319" i="4"/>
  <c r="C305" i="4"/>
  <c r="C291" i="4"/>
  <c r="C277" i="4"/>
  <c r="C263" i="4"/>
  <c r="C249" i="4"/>
  <c r="C235" i="4"/>
  <c r="C221" i="4"/>
  <c r="C207" i="4"/>
  <c r="C193" i="4"/>
  <c r="C179" i="4"/>
  <c r="C165" i="4"/>
  <c r="C151" i="4"/>
  <c r="C137" i="4"/>
  <c r="C123" i="4"/>
  <c r="C109" i="4"/>
  <c r="C95" i="4"/>
  <c r="C81" i="4"/>
  <c r="C67" i="4"/>
  <c r="C53" i="4"/>
  <c r="C39" i="4"/>
  <c r="C25" i="4"/>
  <c r="C11" i="4"/>
  <c r="C1256" i="4"/>
  <c r="C1242" i="4"/>
  <c r="C1228" i="4"/>
  <c r="C1214" i="4"/>
  <c r="C1200" i="4"/>
  <c r="C1186" i="4"/>
  <c r="C1172" i="4"/>
  <c r="C1158" i="4"/>
  <c r="C1144" i="4"/>
  <c r="C1130" i="4"/>
  <c r="C1116" i="4"/>
  <c r="C1102" i="4"/>
  <c r="C1088" i="4"/>
  <c r="C1074" i="4"/>
  <c r="C1060" i="4"/>
  <c r="C1046" i="4"/>
  <c r="C1255" i="4"/>
  <c r="C1236" i="4"/>
  <c r="C1212" i="4"/>
  <c r="C1193" i="4"/>
  <c r="C1169" i="4"/>
  <c r="C1150" i="4"/>
  <c r="C1126" i="4"/>
  <c r="C1107" i="4"/>
  <c r="C1083" i="4"/>
  <c r="C1059" i="4"/>
  <c r="C1040" i="4"/>
  <c r="C1018" i="4"/>
  <c r="C1000" i="4"/>
  <c r="C982" i="4"/>
  <c r="C960" i="4"/>
  <c r="C942" i="4"/>
  <c r="C920" i="4"/>
  <c r="C902" i="4"/>
  <c r="C884" i="4"/>
  <c r="C862" i="4"/>
  <c r="C844" i="4"/>
  <c r="C822" i="4"/>
  <c r="C804" i="4"/>
  <c r="C786" i="4"/>
  <c r="C764" i="4"/>
  <c r="C746" i="4"/>
  <c r="C724" i="4"/>
  <c r="C706" i="4"/>
  <c r="C688" i="4"/>
  <c r="C666" i="4"/>
  <c r="C648" i="4"/>
  <c r="C626" i="4"/>
  <c r="C608" i="4"/>
  <c r="C590" i="4"/>
  <c r="C568" i="4"/>
  <c r="C550" i="4"/>
  <c r="C528" i="4"/>
  <c r="C510" i="4"/>
  <c r="C492" i="4"/>
  <c r="C470" i="4"/>
  <c r="C452" i="4"/>
  <c r="C430" i="4"/>
  <c r="C412" i="4"/>
  <c r="C394" i="4"/>
  <c r="C372" i="4"/>
  <c r="C354" i="4"/>
  <c r="C332" i="4"/>
  <c r="C314" i="4"/>
  <c r="C296" i="4"/>
  <c r="C274" i="4"/>
  <c r="C256" i="4"/>
  <c r="C234" i="4"/>
  <c r="C216" i="4"/>
  <c r="C198" i="4"/>
  <c r="C176" i="4"/>
  <c r="C158" i="4"/>
  <c r="C136" i="4"/>
  <c r="C118" i="4"/>
  <c r="C100" i="4"/>
  <c r="C79" i="4"/>
  <c r="C63" i="4"/>
  <c r="C47" i="4"/>
  <c r="C31" i="4"/>
  <c r="C15" i="4"/>
  <c r="C1254" i="4"/>
  <c r="C1235" i="4"/>
  <c r="C1211" i="4"/>
  <c r="C1192" i="4"/>
  <c r="C1168" i="4"/>
  <c r="C1149" i="4"/>
  <c r="C1125" i="4"/>
  <c r="C1101" i="4"/>
  <c r="C1082" i="4"/>
  <c r="C1058" i="4"/>
  <c r="C1039" i="4"/>
  <c r="C1017" i="4"/>
  <c r="C999" i="4"/>
  <c r="C981" i="4"/>
  <c r="C959" i="4"/>
  <c r="C941" i="4"/>
  <c r="C919" i="4"/>
  <c r="C901" i="4"/>
  <c r="C883" i="4"/>
  <c r="C861" i="4"/>
  <c r="C843" i="4"/>
  <c r="C821" i="4"/>
  <c r="C803" i="4"/>
  <c r="C785" i="4"/>
  <c r="C763" i="4"/>
  <c r="C745" i="4"/>
  <c r="C723" i="4"/>
  <c r="C705" i="4"/>
  <c r="C687" i="4"/>
  <c r="C665" i="4"/>
  <c r="C647" i="4"/>
  <c r="C625" i="4"/>
  <c r="C607" i="4"/>
  <c r="C589" i="4"/>
  <c r="C567" i="4"/>
  <c r="C549" i="4"/>
  <c r="C527" i="4"/>
  <c r="C509" i="4"/>
  <c r="C491" i="4"/>
  <c r="C469" i="4"/>
  <c r="C451" i="4"/>
  <c r="C429" i="4"/>
  <c r="C411" i="4"/>
  <c r="C393" i="4"/>
  <c r="C371" i="4"/>
  <c r="C331" i="4"/>
  <c r="C313" i="4"/>
  <c r="C295" i="4"/>
  <c r="C273" i="4"/>
  <c r="C255" i="4"/>
  <c r="C233" i="4"/>
  <c r="C215" i="4"/>
  <c r="C197" i="4"/>
  <c r="C175" i="4"/>
  <c r="C157" i="4"/>
  <c r="C135" i="4"/>
  <c r="C117" i="4"/>
  <c r="C99" i="4"/>
  <c r="C78" i="4"/>
  <c r="C62" i="4"/>
  <c r="C46" i="4"/>
  <c r="C30" i="4"/>
  <c r="C14" i="4"/>
  <c r="C312" i="4"/>
  <c r="C254" i="4"/>
  <c r="C214" i="4"/>
  <c r="C192" i="4"/>
  <c r="C174" i="4"/>
  <c r="C156" i="4"/>
  <c r="C116" i="4"/>
  <c r="C94" i="4"/>
  <c r="C77" i="4"/>
  <c r="C61" i="4"/>
  <c r="C45" i="4"/>
  <c r="C29" i="4"/>
  <c r="C13" i="4"/>
  <c r="C1233" i="4"/>
  <c r="C173" i="4"/>
  <c r="C1122" i="4"/>
  <c r="C974" i="4"/>
  <c r="C898" i="4"/>
  <c r="C836" i="4"/>
  <c r="C800" i="4"/>
  <c r="C760" i="4"/>
  <c r="C720" i="4"/>
  <c r="C680" i="4"/>
  <c r="C640" i="4"/>
  <c r="C604" i="4"/>
  <c r="C564" i="4"/>
  <c r="C524" i="4"/>
  <c r="C484" i="4"/>
  <c r="C444" i="4"/>
  <c r="C408" i="4"/>
  <c r="C368" i="4"/>
  <c r="C328" i="4"/>
  <c r="C270" i="4"/>
  <c r="C230" i="4"/>
  <c r="C190" i="4"/>
  <c r="C150" i="4"/>
  <c r="C114" i="4"/>
  <c r="C75" i="4"/>
  <c r="C59" i="4"/>
  <c r="C27" i="4"/>
  <c r="C835" i="4"/>
  <c r="C523" i="4"/>
  <c r="C385" i="4"/>
  <c r="C327" i="4"/>
  <c r="C287" i="4"/>
  <c r="C247" i="4"/>
  <c r="C211" i="4"/>
  <c r="C171" i="4"/>
  <c r="C131" i="4"/>
  <c r="C91" i="4"/>
  <c r="C58" i="4"/>
  <c r="C24" i="4"/>
  <c r="C1115" i="4"/>
  <c r="C776" i="4"/>
  <c r="C580" i="4"/>
  <c r="C482" i="4"/>
  <c r="C402" i="4"/>
  <c r="C344" i="4"/>
  <c r="C304" i="4"/>
  <c r="C246" i="4"/>
  <c r="C188" i="4"/>
  <c r="C130" i="4"/>
  <c r="C90" i="4"/>
  <c r="C57" i="4"/>
  <c r="C7" i="4"/>
  <c r="C1095" i="4"/>
  <c r="C1011" i="4"/>
  <c r="C971" i="4"/>
  <c r="C931" i="4"/>
  <c r="C873" i="4"/>
  <c r="C833" i="4"/>
  <c r="C793" i="4"/>
  <c r="C735" i="4"/>
  <c r="C695" i="4"/>
  <c r="C659" i="4"/>
  <c r="C597" i="4"/>
  <c r="C539" i="4"/>
  <c r="C481" i="4"/>
  <c r="C423" i="4"/>
  <c r="C343" i="4"/>
  <c r="C303" i="4"/>
  <c r="C245" i="4"/>
  <c r="C147" i="4"/>
  <c r="C89" i="4"/>
  <c r="C1223" i="4"/>
  <c r="C1180" i="4"/>
  <c r="C1137" i="4"/>
  <c r="C1094" i="4"/>
  <c r="C1051" i="4"/>
  <c r="C1010" i="4"/>
  <c r="C970" i="4"/>
  <c r="C930" i="4"/>
  <c r="C890" i="4"/>
  <c r="C850" i="4"/>
  <c r="C792" i="4"/>
  <c r="C752" i="4"/>
  <c r="C716" i="4"/>
  <c r="C676" i="4"/>
  <c r="C636" i="4"/>
  <c r="C596" i="4"/>
  <c r="C556" i="4"/>
  <c r="C520" i="4"/>
  <c r="C480" i="4"/>
  <c r="C440" i="4"/>
  <c r="C400" i="4"/>
  <c r="C360" i="4"/>
  <c r="C324" i="4"/>
  <c r="C284" i="4"/>
  <c r="C244" i="4"/>
  <c r="C204" i="4"/>
  <c r="C164" i="4"/>
  <c r="C128" i="4"/>
  <c r="C88" i="4"/>
  <c r="C55" i="4"/>
  <c r="C21" i="4"/>
  <c r="C1068" i="4"/>
  <c r="C986" i="4"/>
  <c r="C906" i="4"/>
  <c r="C830" i="4"/>
  <c r="C732" i="4"/>
  <c r="C652" i="4"/>
  <c r="C576" i="4"/>
  <c r="C496" i="4"/>
  <c r="C416" i="4"/>
  <c r="C358" i="4"/>
  <c r="C300" i="4"/>
  <c r="C202" i="4"/>
  <c r="C122" i="4"/>
  <c r="C69" i="4"/>
  <c r="C1263" i="4"/>
  <c r="C1220" i="4"/>
  <c r="C1177" i="4"/>
  <c r="C1129" i="4"/>
  <c r="C1086" i="4"/>
  <c r="C1043" i="4"/>
  <c r="C1003" i="4"/>
  <c r="C967" i="4"/>
  <c r="C927" i="4"/>
  <c r="C905" i="4"/>
  <c r="C869" i="4"/>
  <c r="C829" i="4"/>
  <c r="C789" i="4"/>
  <c r="C749" i="4"/>
  <c r="C709" i="4"/>
  <c r="C673" i="4"/>
  <c r="C633" i="4"/>
  <c r="C593" i="4"/>
  <c r="C553" i="4"/>
  <c r="C513" i="4"/>
  <c r="C477" i="4"/>
  <c r="C437" i="4"/>
  <c r="C357" i="4"/>
  <c r="C317" i="4"/>
  <c r="C281" i="4"/>
  <c r="C241" i="4"/>
  <c r="C161" i="4"/>
  <c r="C121" i="4"/>
  <c r="C353" i="4"/>
  <c r="C1096" i="4"/>
  <c r="C187" i="4"/>
  <c r="C1178" i="4"/>
  <c r="C282" i="4"/>
  <c r="C1253" i="4"/>
  <c r="C1234" i="4"/>
  <c r="C1210" i="4"/>
  <c r="C1191" i="4"/>
  <c r="C1167" i="4"/>
  <c r="C1143" i="4"/>
  <c r="C1124" i="4"/>
  <c r="C1100" i="4"/>
  <c r="C1081" i="4"/>
  <c r="C1057" i="4"/>
  <c r="C1038" i="4"/>
  <c r="C1016" i="4"/>
  <c r="C998" i="4"/>
  <c r="C976" i="4"/>
  <c r="C958" i="4"/>
  <c r="C940" i="4"/>
  <c r="C918" i="4"/>
  <c r="C900" i="4"/>
  <c r="C878" i="4"/>
  <c r="C860" i="4"/>
  <c r="C842" i="4"/>
  <c r="C820" i="4"/>
  <c r="C802" i="4"/>
  <c r="C780" i="4"/>
  <c r="C762" i="4"/>
  <c r="C744" i="4"/>
  <c r="C722" i="4"/>
  <c r="C704" i="4"/>
  <c r="C682" i="4"/>
  <c r="C664" i="4"/>
  <c r="C646" i="4"/>
  <c r="C624" i="4"/>
  <c r="C606" i="4"/>
  <c r="C584" i="4"/>
  <c r="C566" i="4"/>
  <c r="C548" i="4"/>
  <c r="C526" i="4"/>
  <c r="C508" i="4"/>
  <c r="C486" i="4"/>
  <c r="C468" i="4"/>
  <c r="C450" i="4"/>
  <c r="C428" i="4"/>
  <c r="C410" i="4"/>
  <c r="C388" i="4"/>
  <c r="C370" i="4"/>
  <c r="C352" i="4"/>
  <c r="C330" i="4"/>
  <c r="C290" i="4"/>
  <c r="C272" i="4"/>
  <c r="C232" i="4"/>
  <c r="C134" i="4"/>
  <c r="C288" i="4"/>
  <c r="C816" i="4"/>
  <c r="C22" i="4"/>
  <c r="C1252" i="4"/>
  <c r="C1209" i="4"/>
  <c r="C1185" i="4"/>
  <c r="C1166" i="4"/>
  <c r="C1142" i="4"/>
  <c r="C1123" i="4"/>
  <c r="C1099" i="4"/>
  <c r="C1080" i="4"/>
  <c r="C1056" i="4"/>
  <c r="C1037" i="4"/>
  <c r="C1015" i="4"/>
  <c r="C997" i="4"/>
  <c r="C975" i="4"/>
  <c r="C957" i="4"/>
  <c r="C939" i="4"/>
  <c r="C917" i="4"/>
  <c r="C899" i="4"/>
  <c r="C877" i="4"/>
  <c r="C859" i="4"/>
  <c r="C841" i="4"/>
  <c r="C819" i="4"/>
  <c r="C801" i="4"/>
  <c r="C779" i="4"/>
  <c r="C761" i="4"/>
  <c r="C743" i="4"/>
  <c r="C721" i="4"/>
  <c r="C703" i="4"/>
  <c r="C681" i="4"/>
  <c r="C663" i="4"/>
  <c r="C645" i="4"/>
  <c r="C623" i="4"/>
  <c r="C605" i="4"/>
  <c r="C583" i="4"/>
  <c r="C565" i="4"/>
  <c r="C547" i="4"/>
  <c r="C525" i="4"/>
  <c r="C507" i="4"/>
  <c r="C485" i="4"/>
  <c r="C467" i="4"/>
  <c r="C449" i="4"/>
  <c r="C427" i="4"/>
  <c r="C409" i="4"/>
  <c r="C387" i="4"/>
  <c r="C369" i="4"/>
  <c r="C351" i="4"/>
  <c r="C329" i="4"/>
  <c r="C311" i="4"/>
  <c r="C289" i="4"/>
  <c r="C271" i="4"/>
  <c r="C253" i="4"/>
  <c r="C231" i="4"/>
  <c r="C213" i="4"/>
  <c r="C191" i="4"/>
  <c r="C155" i="4"/>
  <c r="C133" i="4"/>
  <c r="C115" i="4"/>
  <c r="C93" i="4"/>
  <c r="C76" i="4"/>
  <c r="C60" i="4"/>
  <c r="C44" i="4"/>
  <c r="C28" i="4"/>
  <c r="C10" i="4"/>
  <c r="C1251" i="4"/>
  <c r="C1227" i="4"/>
  <c r="C1208" i="4"/>
  <c r="C1184" i="4"/>
  <c r="C1165" i="4"/>
  <c r="C1141" i="4"/>
  <c r="C1098" i="4"/>
  <c r="C1079" i="4"/>
  <c r="C1055" i="4"/>
  <c r="C1032" i="4"/>
  <c r="C1014" i="4"/>
  <c r="C996" i="4"/>
  <c r="C956" i="4"/>
  <c r="C934" i="4"/>
  <c r="C916" i="4"/>
  <c r="C876" i="4"/>
  <c r="C858" i="4"/>
  <c r="C818" i="4"/>
  <c r="C778" i="4"/>
  <c r="C738" i="4"/>
  <c r="C702" i="4"/>
  <c r="C662" i="4"/>
  <c r="C622" i="4"/>
  <c r="C582" i="4"/>
  <c r="C542" i="4"/>
  <c r="C506" i="4"/>
  <c r="C466" i="4"/>
  <c r="C426" i="4"/>
  <c r="C386" i="4"/>
  <c r="C346" i="4"/>
  <c r="C310" i="4"/>
  <c r="C248" i="4"/>
  <c r="C212" i="4"/>
  <c r="C172" i="4"/>
  <c r="C132" i="4"/>
  <c r="C92" i="4"/>
  <c r="C43" i="4"/>
  <c r="C9" i="4"/>
  <c r="C1250" i="4"/>
  <c r="C1226" i="4"/>
  <c r="C1207" i="4"/>
  <c r="C1183" i="4"/>
  <c r="C1164" i="4"/>
  <c r="C1140" i="4"/>
  <c r="C1121" i="4"/>
  <c r="C1097" i="4"/>
  <c r="C1073" i="4"/>
  <c r="C1054" i="4"/>
  <c r="C1031" i="4"/>
  <c r="C1013" i="4"/>
  <c r="C995" i="4"/>
  <c r="C973" i="4"/>
  <c r="C955" i="4"/>
  <c r="C933" i="4"/>
  <c r="C915" i="4"/>
  <c r="C897" i="4"/>
  <c r="C875" i="4"/>
  <c r="C857" i="4"/>
  <c r="C817" i="4"/>
  <c r="C799" i="4"/>
  <c r="C777" i="4"/>
  <c r="C759" i="4"/>
  <c r="C737" i="4"/>
  <c r="C719" i="4"/>
  <c r="C701" i="4"/>
  <c r="C679" i="4"/>
  <c r="C661" i="4"/>
  <c r="C639" i="4"/>
  <c r="C621" i="4"/>
  <c r="C603" i="4"/>
  <c r="C581" i="4"/>
  <c r="C563" i="4"/>
  <c r="C541" i="4"/>
  <c r="C505" i="4"/>
  <c r="C483" i="4"/>
  <c r="C465" i="4"/>
  <c r="C443" i="4"/>
  <c r="C425" i="4"/>
  <c r="C407" i="4"/>
  <c r="C367" i="4"/>
  <c r="C345" i="4"/>
  <c r="C309" i="4"/>
  <c r="C269" i="4"/>
  <c r="C229" i="4"/>
  <c r="C189" i="4"/>
  <c r="C149" i="4"/>
  <c r="C113" i="4"/>
  <c r="C74" i="4"/>
  <c r="C42" i="4"/>
  <c r="C8" i="4"/>
  <c r="C1249" i="4"/>
  <c r="C1225" i="4"/>
  <c r="C1206" i="4"/>
  <c r="C1182" i="4"/>
  <c r="C1163" i="4"/>
  <c r="C1139" i="4"/>
  <c r="C1072" i="4"/>
  <c r="C1053" i="4"/>
  <c r="C1030" i="4"/>
  <c r="C1012" i="4"/>
  <c r="C990" i="4"/>
  <c r="C972" i="4"/>
  <c r="C954" i="4"/>
  <c r="C932" i="4"/>
  <c r="C914" i="4"/>
  <c r="C892" i="4"/>
  <c r="C874" i="4"/>
  <c r="C856" i="4"/>
  <c r="C834" i="4"/>
  <c r="C794" i="4"/>
  <c r="C758" i="4"/>
  <c r="C736" i="4"/>
  <c r="C718" i="4"/>
  <c r="C696" i="4"/>
  <c r="C678" i="4"/>
  <c r="C660" i="4"/>
  <c r="C638" i="4"/>
  <c r="C620" i="4"/>
  <c r="C598" i="4"/>
  <c r="C562" i="4"/>
  <c r="C540" i="4"/>
  <c r="C522" i="4"/>
  <c r="C500" i="4"/>
  <c r="C464" i="4"/>
  <c r="C442" i="4"/>
  <c r="C424" i="4"/>
  <c r="C384" i="4"/>
  <c r="C366" i="4"/>
  <c r="C326" i="4"/>
  <c r="C286" i="4"/>
  <c r="C268" i="4"/>
  <c r="C228" i="4"/>
  <c r="C206" i="4"/>
  <c r="C170" i="4"/>
  <c r="C148" i="4"/>
  <c r="C108" i="4"/>
  <c r="C73" i="4"/>
  <c r="C41" i="4"/>
  <c r="C23" i="4"/>
  <c r="C1248" i="4"/>
  <c r="C1205" i="4"/>
  <c r="C1181" i="4"/>
  <c r="C1157" i="4"/>
  <c r="C1138" i="4"/>
  <c r="C1114" i="4"/>
  <c r="C1071" i="4"/>
  <c r="C1052" i="4"/>
  <c r="C1029" i="4"/>
  <c r="C989" i="4"/>
  <c r="C953" i="4"/>
  <c r="C891" i="4"/>
  <c r="C855" i="4"/>
  <c r="C815" i="4"/>
  <c r="C757" i="4"/>
  <c r="C677" i="4"/>
  <c r="C619" i="4"/>
  <c r="C561" i="4"/>
  <c r="C499" i="4"/>
  <c r="C441" i="4"/>
  <c r="C401" i="4"/>
  <c r="C365" i="4"/>
  <c r="C325" i="4"/>
  <c r="C267" i="4"/>
  <c r="C227" i="4"/>
  <c r="C169" i="4"/>
  <c r="C107" i="4"/>
  <c r="C72" i="4"/>
  <c r="C38" i="4"/>
  <c r="C832" i="4"/>
  <c r="C1240" i="4"/>
  <c r="C1087" i="4"/>
  <c r="C1026" i="4"/>
  <c r="C968" i="4"/>
  <c r="C928" i="4"/>
  <c r="C870" i="4"/>
  <c r="C848" i="4"/>
  <c r="C790" i="4"/>
  <c r="C750" i="4"/>
  <c r="C692" i="4"/>
  <c r="C674" i="4"/>
  <c r="C612" i="4"/>
  <c r="C594" i="4"/>
  <c r="C554" i="4"/>
  <c r="C514" i="4"/>
  <c r="C438" i="4"/>
  <c r="C380" i="4"/>
  <c r="C340" i="4"/>
  <c r="C242" i="4"/>
  <c r="C184" i="4"/>
  <c r="C144" i="4"/>
  <c r="C86" i="4"/>
  <c r="C51" i="4"/>
  <c r="C807" i="4"/>
  <c r="C397" i="4"/>
  <c r="C201" i="4"/>
  <c r="C1224" i="4"/>
  <c r="C913" i="4"/>
  <c r="C775" i="4"/>
  <c r="C717" i="4"/>
  <c r="C637" i="4"/>
  <c r="C579" i="4"/>
  <c r="C521" i="4"/>
  <c r="C463" i="4"/>
  <c r="C383" i="4"/>
  <c r="C285" i="4"/>
  <c r="C205" i="4"/>
  <c r="C129" i="4"/>
  <c r="C56" i="4"/>
  <c r="C1247" i="4"/>
  <c r="C1199" i="4"/>
  <c r="C1156" i="4"/>
  <c r="C1113" i="4"/>
  <c r="C1070" i="4"/>
  <c r="C1028" i="4"/>
  <c r="C988" i="4"/>
  <c r="C948" i="4"/>
  <c r="C912" i="4"/>
  <c r="C872" i="4"/>
  <c r="C814" i="4"/>
  <c r="C774" i="4"/>
  <c r="C734" i="4"/>
  <c r="C694" i="4"/>
  <c r="C654" i="4"/>
  <c r="C618" i="4"/>
  <c r="C578" i="4"/>
  <c r="C538" i="4"/>
  <c r="C498" i="4"/>
  <c r="C458" i="4"/>
  <c r="C422" i="4"/>
  <c r="C382" i="4"/>
  <c r="C342" i="4"/>
  <c r="C302" i="4"/>
  <c r="C262" i="4"/>
  <c r="C226" i="4"/>
  <c r="C186" i="4"/>
  <c r="C146" i="4"/>
  <c r="C106" i="4"/>
  <c r="C71" i="4"/>
  <c r="C37" i="4"/>
  <c r="C1111" i="4"/>
  <c r="C1004" i="4"/>
  <c r="C888" i="4"/>
  <c r="C808" i="4"/>
  <c r="C710" i="4"/>
  <c r="C634" i="4"/>
  <c r="C536" i="4"/>
  <c r="C478" i="4"/>
  <c r="C398" i="4"/>
  <c r="C318" i="4"/>
  <c r="C260" i="4"/>
  <c r="C220" i="4"/>
  <c r="C162" i="4"/>
  <c r="C104" i="4"/>
  <c r="C35" i="4"/>
  <c r="C1239" i="4"/>
  <c r="C1196" i="4"/>
  <c r="C1153" i="4"/>
  <c r="C1110" i="4"/>
  <c r="C1067" i="4"/>
  <c r="C1025" i="4"/>
  <c r="C985" i="4"/>
  <c r="C945" i="4"/>
  <c r="C887" i="4"/>
  <c r="C847" i="4"/>
  <c r="C771" i="4"/>
  <c r="C731" i="4"/>
  <c r="C691" i="4"/>
  <c r="C651" i="4"/>
  <c r="C611" i="4"/>
  <c r="C575" i="4"/>
  <c r="C535" i="4"/>
  <c r="C495" i="4"/>
  <c r="C455" i="4"/>
  <c r="C415" i="4"/>
  <c r="C379" i="4"/>
  <c r="C339" i="4"/>
  <c r="C299" i="4"/>
  <c r="C259" i="4"/>
  <c r="C219" i="4"/>
  <c r="C183" i="4"/>
  <c r="C1241" i="4"/>
  <c r="C1222" i="4"/>
  <c r="C1198" i="4"/>
  <c r="C1179" i="4"/>
  <c r="C1155" i="4"/>
  <c r="C1136" i="4"/>
  <c r="C1112" i="4"/>
  <c r="C1093" i="4"/>
  <c r="C1069" i="4"/>
  <c r="C1045" i="4"/>
  <c r="C1027" i="4"/>
  <c r="C1009" i="4"/>
  <c r="C987" i="4"/>
  <c r="C969" i="4"/>
  <c r="C947" i="4"/>
  <c r="C929" i="4"/>
  <c r="C911" i="4"/>
  <c r="C889" i="4"/>
  <c r="C871" i="4"/>
  <c r="C849" i="4"/>
  <c r="C831" i="4"/>
  <c r="C813" i="4"/>
  <c r="C791" i="4"/>
  <c r="C773" i="4"/>
  <c r="C751" i="4"/>
  <c r="C733" i="4"/>
  <c r="C715" i="4"/>
  <c r="C693" i="4"/>
  <c r="C675" i="4"/>
  <c r="C653" i="4"/>
  <c r="C635" i="4"/>
  <c r="C617" i="4"/>
  <c r="C595" i="4"/>
  <c r="C577" i="4"/>
  <c r="C555" i="4"/>
  <c r="C537" i="4"/>
  <c r="C519" i="4"/>
  <c r="C497" i="4"/>
  <c r="C479" i="4"/>
  <c r="C457" i="4"/>
  <c r="C439" i="4"/>
  <c r="C421" i="4"/>
  <c r="C399" i="4"/>
  <c r="C381" i="4"/>
  <c r="C359" i="4"/>
  <c r="C341" i="4"/>
  <c r="C323" i="4"/>
  <c r="C301" i="4"/>
  <c r="C283" i="4"/>
  <c r="C261" i="4"/>
  <c r="C243" i="4"/>
  <c r="C225" i="4"/>
  <c r="C203" i="4"/>
  <c r="C185" i="4"/>
  <c r="C163" i="4"/>
  <c r="C145" i="4"/>
  <c r="C127" i="4"/>
  <c r="C105" i="4"/>
  <c r="C87" i="4"/>
  <c r="C70" i="4"/>
  <c r="C52" i="4"/>
  <c r="C36" i="4"/>
  <c r="C20" i="4"/>
  <c r="C1221" i="4"/>
  <c r="C1197" i="4"/>
  <c r="C1154" i="4"/>
  <c r="C1135" i="4"/>
  <c r="C1044" i="4"/>
  <c r="C946" i="4"/>
  <c r="C772" i="4"/>
  <c r="C456" i="4"/>
  <c r="C19" i="4"/>
  <c r="C1237" i="4"/>
  <c r="C1084" i="4"/>
  <c r="C943" i="4"/>
  <c r="C805" i="4"/>
  <c r="C667" i="4"/>
  <c r="C533" i="4"/>
  <c r="C395" i="4"/>
  <c r="C257" i="4"/>
  <c r="C120" i="4"/>
  <c r="C34" i="4"/>
  <c r="C1219" i="4"/>
  <c r="C1066" i="4"/>
  <c r="C788" i="4"/>
  <c r="C650" i="4"/>
  <c r="C512" i="4"/>
  <c r="C374" i="4"/>
  <c r="C240" i="4"/>
  <c r="C119" i="4"/>
  <c r="C33" i="4"/>
  <c r="C1213" i="4"/>
  <c r="C1065" i="4"/>
  <c r="C925" i="4"/>
  <c r="C787" i="4"/>
  <c r="C649" i="4"/>
  <c r="C511" i="4"/>
  <c r="C373" i="4"/>
  <c r="C239" i="4"/>
  <c r="C103" i="4"/>
  <c r="C32" i="4"/>
  <c r="C1195" i="4"/>
  <c r="C1042" i="4"/>
  <c r="C904" i="4"/>
  <c r="C766" i="4"/>
  <c r="C494" i="4"/>
  <c r="C218" i="4"/>
  <c r="C102" i="4"/>
  <c r="C18" i="4"/>
  <c r="C1194" i="4"/>
  <c r="C1041" i="4"/>
  <c r="C903" i="4"/>
  <c r="C765" i="4"/>
  <c r="C631" i="4"/>
  <c r="C493" i="4"/>
  <c r="C355" i="4"/>
  <c r="C217" i="4"/>
  <c r="C101" i="4"/>
  <c r="C17" i="4"/>
  <c r="C1170" i="4"/>
  <c r="C885" i="4"/>
  <c r="C747" i="4"/>
  <c r="C609" i="4"/>
  <c r="C471" i="4"/>
  <c r="C199" i="4"/>
  <c r="C84" i="4"/>
  <c r="C1152" i="4"/>
  <c r="C1002" i="4"/>
  <c r="C730" i="4"/>
  <c r="C592" i="4"/>
  <c r="C454" i="4"/>
  <c r="C178" i="4"/>
  <c r="C80" i="4"/>
  <c r="C1001" i="4"/>
  <c r="C591" i="4"/>
  <c r="C177" i="4"/>
  <c r="C1128" i="4"/>
  <c r="C846" i="4"/>
  <c r="C570" i="4"/>
  <c r="C436" i="4"/>
  <c r="C160" i="4"/>
  <c r="C983" i="4"/>
  <c r="C569" i="4"/>
  <c r="C297" i="4"/>
  <c r="C64" i="4"/>
  <c r="C1109" i="4"/>
  <c r="C414" i="4"/>
  <c r="C413" i="4"/>
  <c r="C926" i="4"/>
  <c r="C632" i="4"/>
  <c r="C984" i="4"/>
  <c r="C962" i="4"/>
  <c r="C552" i="4"/>
  <c r="C50" i="4"/>
  <c r="C356" i="4"/>
  <c r="C1151" i="4"/>
  <c r="C729" i="4"/>
  <c r="C315" i="4"/>
  <c r="C298" i="4"/>
  <c r="C1262" i="4"/>
  <c r="C828" i="4"/>
  <c r="C276" i="4"/>
  <c r="C1238" i="4"/>
  <c r="C1171" i="4"/>
  <c r="C1024" i="4"/>
  <c r="C886" i="4"/>
  <c r="C748" i="4"/>
  <c r="C610" i="4"/>
  <c r="C472" i="4"/>
  <c r="C338" i="4"/>
  <c r="C200" i="4"/>
  <c r="C85" i="4"/>
  <c r="C16" i="4"/>
  <c r="C1023" i="4"/>
  <c r="C337" i="4"/>
  <c r="C864" i="4"/>
  <c r="C316" i="4"/>
  <c r="C863" i="4"/>
  <c r="C453" i="4"/>
  <c r="C66" i="4"/>
  <c r="C708" i="4"/>
  <c r="C65" i="4"/>
  <c r="C1127" i="4"/>
  <c r="C845" i="4"/>
  <c r="C707" i="4"/>
  <c r="C435" i="4"/>
  <c r="C159" i="4"/>
  <c r="C690" i="4"/>
  <c r="C143" i="4"/>
  <c r="C1261" i="4"/>
  <c r="C1108" i="4"/>
  <c r="C961" i="4"/>
  <c r="C827" i="4"/>
  <c r="C689" i="4"/>
  <c r="C551" i="4"/>
  <c r="C275" i="4"/>
  <c r="C142" i="4"/>
  <c r="C49" i="4"/>
  <c r="C1085" i="4"/>
  <c r="C944" i="4"/>
  <c r="C806" i="4"/>
  <c r="C668" i="4"/>
  <c r="C534" i="4"/>
  <c r="C396" i="4"/>
  <c r="C258" i="4"/>
  <c r="C141" i="4"/>
  <c r="C48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39" i="5" l="1"/>
  <c r="A40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A98AC770-D008-4349-9255-1693E23C9BC6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Timestamp="1765270696"&gt;&lt;FQL&gt;&lt;Q&gt;MSFT-US^CORREL(P_PRICE_RETURNS(0,45961,45961-5AY,D,USD),VALUE('DB1-DE',P_PRICE_RETURNS(0,45961,45961-5AY,D,USD)))&lt;/Q&gt;&lt;R&gt;1&lt;/R&gt;&lt;C&gt;1&lt;/C&gt;&lt;D xsi:type="xsd:double"&gt;0.144255032938354&lt;/D&gt;&lt;/FQL&gt;&lt;FQL&gt;&lt;Q&gt;DB1-DE^P_PRICE_RETURNS(0,45961,45961-5AY,D,USD)&lt;/Q&gt;&lt;R&gt;1257&lt;/R&gt;&lt;C&gt;1&lt;/C&gt;&lt;D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xsi:type="xsd:double"&gt;-0.3442347&lt;/D&gt;&lt;D xsi:type="xsd:double"&gt;-0.6039858&lt;/D&gt;&lt;D xsi:type="xsd:double"&gt;-0.8704126&lt;/D&gt;&lt;D xsi:type="xsd:double"&gt;0.98975897&lt;/D&gt;&lt;D xsi:type="xsd:double"&gt;0.4544139&lt;/D&gt;&lt;D xsi:type="xsd:double"&gt;1.5744328&lt;/D&gt;&lt;D xsi:type="xsd:double"&gt;-2.2980154&lt;/D&gt;&lt;D xsi:type="xsd:double"&gt;-0.27666092&lt;/D&gt;&lt;D xsi:type="xsd:double"&gt;-0.57344437&lt;/D&gt;&lt;D xsi:type="xsd:double"&gt;0.18054247&lt;/D&gt;&lt;D xsi:type="xsd:double"&gt;0.5869031&lt;/D&gt;&lt;D xsi:type="xsd:double"&gt;-0.030320883&lt;/D&gt;&lt;D xsi:type="xsd:double"&gt;0.44939518&lt;/D&gt;&lt;D xsi:type="xsd:double"&gt;0.76949596&lt;/D&gt;&lt;D xsi:type="xsd:double"&gt;1.194179&lt;/D&gt;&lt;D xsi:type="xsd:double"&gt;-1.5411377&lt;/D&gt;&lt;D xsi:type="xsd:double"&gt;0.029921532&lt;/D&gt;&lt;D xsi:type="xsd:double"&gt;1.0491848&lt;/D&gt;&lt;D xsi:type="xsd:double"&gt;0.48536062&lt;/D&gt;&lt;D xsi:type="xsd:double"&gt;-2.0331442&lt;/D&gt;&lt;D xsi:type="xsd:double"&gt;-0.21007061&lt;/D&gt;&lt;D xsi:type="xsd:double"&gt;0.676167&lt;/D&gt;&lt;D xsi:type="xsd:double"&gt;-0.89396834&lt;/D&gt;&lt;D xsi:type="xsd:double"&gt;0.07199049&lt;/D&gt;&lt;D xsi:type="xsd:double"&gt;0.7349491&lt;/D&gt;&lt;D xsi:type="xsd:double"&gt;-0.7146239&lt;/D&gt;&lt;D xsi:type="xsd:double"&gt;0.7632971&lt;/D&gt;&lt;D xsi:type="xsd:double"&gt;-0.7313371&lt;/D&gt;&lt;D xsi:type="xsd:double"&gt;1.2448192&lt;/D&gt;&lt;D xsi:type="xsd:double"&gt;1.6391397&lt;/D&gt;&lt;D xsi:type="xsd:double"&gt;0.44175386&lt;/D&gt;&lt;D xsi:type="xsd:double"&gt;-0.69004893&lt;/D&gt;&lt;D xsi:type="xsd:double"&gt;-1.1963308&lt;/D&gt;&lt;D xsi:type="xsd:double"&gt;0.027370453&lt;/D&gt;&lt;D xsi:type="xsd:double"&gt;0.781703&lt;/D&gt;&lt;D xsi:type="xsd:double"&gt;1.3931036&lt;/D&gt;&lt;D xsi:type="xsd:double"&gt;-0.74778795&lt;/D&gt;&lt;D xsi:type="xsd:double"&gt;-1.4158607&lt;/D&gt;&lt;D xsi:type="xsd:double"&gt;1.0866761&lt;/D&gt;&lt;D xsi:type="xsd:double"&gt;1.7076373&lt;/D&gt;&lt;D xsi:type="xsd:double"&gt;-0.30433536&lt;/D&gt;&lt;D xsi:type="xsd:double"&gt;1.284492&lt;/D&gt;&lt;D xsi:type="xsd:double"&gt;-0.6819129&lt;/D&gt;&lt;D xsi:type="xsd:double"&gt;-0.062811375&lt;/D&gt;&lt;D xsi:type="xsd:double"&gt;0.0073194504&lt;/D&gt;&lt;D xsi:type="xsd:double"&gt;1.1256456&lt;/D&gt;&lt;D xsi:type="xsd:double"&gt;0.41960478&lt;/D&gt;&lt;D xsi:type="xsd:double"&gt;0.053441525&lt;/D&gt;&lt;D xsi:type="xsd:double"&gt;0.84711313&lt;/D&gt;&lt;D xsi:type="xsd:double"&gt;0.33340454&lt;/D&gt;&lt;D xsi:type="xsd:double"&gt;0.7762313&lt;/D&gt;&lt;D xsi:type="xsd:double"&gt;0.4202485&lt;/D&gt;&lt;D xsi:type="xsd:double"&gt;1.1656165&lt;/D&gt;&lt;D xsi:type="xsd:double"&gt;1.0521531&lt;/D&gt;&lt;D xsi:type="xsd:double"&gt;1.4631748&lt;/D&gt;&lt;D xsi:type="xsd:double"&gt;1.745534&lt;/D&gt;&lt;D xsi:type="xsd:double"&gt;1.117301&lt;/D&gt;&lt;D xsi:type="xsd:double"&gt;0.6212592&lt;/D&gt;&lt;D xsi:type="xsd:double"&gt;0.7989526&lt;/D&gt;&lt;D xsi:type="xsd:double"&gt;-0.6630659&lt;/D&gt;&lt;D xsi:type="xsd:double"&gt;2.5249958&lt;/D&gt;&lt;D xsi:type="xsd:double"&gt;-1.9195497&lt;/D&gt;&lt;D xsi:type="xsd:double"&gt;-1.0819197&lt;/D&gt;&lt;D xsi:type="xsd:double"&gt;0.2019763&lt;/D&gt;&lt;D xsi:type="xsd:double"&gt;-1.6588509&lt;/D&gt;&lt;D xsi:type="xsd:double"&gt;0.068831444&lt;/D&gt;&lt;D xsi:type="xsd:double"&gt;0.9905219&lt;/D&gt;&lt;D xsi:type="xsd:double"&gt;-1.1330307&lt;/D&gt;&lt;D xsi:type="xsd:double"&gt;0.429821&lt;/D&gt;&lt;D xsi:type="xsd:double"&gt;0.040388107&lt;/D&gt;&lt;D xsi:type="xsd:double"&gt;0.13160706&lt;/D&gt;&lt;D xsi:type="xsd:double"&gt;-1.1776388&lt;/D&gt;&lt;D xsi:type="xsd:double"&gt;1.4798999&lt;/D&gt;&lt;D xsi:type="xsd:double"&gt;-1.5473664&lt;/D&gt;&lt;D xsi:type="xsd:double"&gt;-0.8062959&lt;/D&gt;&lt;D xsi:type="xsd:double"&gt;0.66758394&lt;/D&gt;&lt;D xsi:type="xsd:double"&gt;-0.7656872&lt;/D&gt;&lt;D xsi:type="xsd:double"&gt;-0.5563617&lt;/D&gt;&lt;D xsi:type="xsd:double"&gt;2.4128437&lt;/D&gt;&lt;D xsi:type="xsd:double"&gt;1.3160825&lt;/D&gt;&lt;D xsi:type="xsd:double"&gt;0.20821095&lt;/D&gt;&lt;D xsi:type="xsd:double"&gt;-0.38457513&lt;/D&gt;&lt;D xsi:type="xsd:double"&gt;-0.17026663&lt;/D&gt;&lt;D xsi:type="xsd:double"&gt;-1.6576946&lt;/D&gt;&lt;D xsi:type="xsd:double"&gt;0.57246685&lt;/D&gt;&lt;D xsi:type="xsd:double"&gt;0.25721788&lt;/D&gt;&lt;D xsi:type="xsd:double"&gt;-0.20233989&lt;/D&gt;&lt;D xsi:type="xsd:double"&gt;-1.3934433&lt;/D&gt;&lt;D xsi:type="xsd:double"&gt;1.2252212&lt;/D&gt;&lt;D xsi:type="xsd:double"&gt;-0.51882863&lt;/D&gt;&lt;D xsi:type="xsd:double"&gt;-0.912869&lt;/D&gt;&lt;D xsi:type="xsd:double"&gt;1.2847066&lt;/D&gt;&lt;D xsi:type="xsd:double"&gt;0.7263422&lt;/D&gt;&lt;D xsi:type="xsd:double"&gt;0.21029711&lt;/D&gt;&lt;D xsi:type="xsd:double"&gt;2.0946026&lt;/D&gt;&lt;D xsi:type="xsd:double"&gt;2.3895621&lt;/D&gt;&lt;D xsi:type="xsd:double"&gt;0.3489256&lt;/D&gt;&lt;D xsi:type="xsd:double"&gt;-3.7711859&lt;/D&gt;&lt;D xsi:type="xsd:double"&gt;0.88977814&lt;/D&gt;&lt;D xsi:type="xsd:double"&gt;0.08072853&lt;/D&gt;&lt;D xsi:type="xsd:double"&gt;-1.6940415&lt;/D&gt;&lt;D xsi:type="xsd:double"&gt;-0.90129375&lt;/D&gt;&lt;D xsi:type="xsd:double"&gt;0.16356707&lt;/D&gt;&lt;D xsi:type="xsd:double"&gt;1.164639&lt;/D&gt;&lt;D xsi:type="xsd:double"&gt;1.4832973&lt;/D&gt;&lt;D xsi:type="xsd:double"&gt;0.43007135&lt;/D&gt;&lt;D xsi:type="xsd:double"&gt;1.9215822&lt;/D&gt;&lt;D xsi:type="xsd:double"&gt;1.292479&lt;/D&gt;&lt;D xsi:type="xsd:double"&gt;-0.7516563&lt;/D&gt;&lt;D xsi:type="xsd:double"&gt;-3.1083167&lt;/D&gt;&lt;D xsi:type="xsd:double"&gt;0.017392635&lt;/D&gt;&lt;D xsi:type="xsd:double"&gt;-0.15032887&lt;/D&gt;&lt;D xsi:type="xsd:double"&gt;-0.15839338&lt;/D&gt;&lt;D xsi:type="xsd:double"&gt;0.4434228&lt;/D&gt;&lt;D xsi:type="xsd:double"&gt;-0.50712824&lt;/D&gt;&lt;D xsi:type="xsd:double"&gt;1.7365694&lt;/D&gt;&lt;D xsi:type="xsd:double"&gt;0.84666014&lt;/D&gt;&lt;D xsi:type="xsd:double"&gt;0.26316643&lt;/D&gt;&lt;D xsi:type="xsd:double"&gt;-1.2527525&lt;/D&gt;&lt;D xsi:type="xsd:double"&gt;-2.0692587&lt;/D&gt;&lt;D xsi:type="xsd:double"&gt;-0.4875958&lt;/D&gt;&lt;D xsi:type="xsd:double"&gt;0.9486556&lt;/D&gt;&lt;D xsi:type="xsd:double"&gt;-0.37106276&lt;/D&gt;&lt;D xsi:type="xsd:double"&gt;1.4961243&lt;/D&gt;&lt;D xsi:type="xsd:double"&gt;-0.2312243&lt;/D&gt;&lt;D xsi:type="xsd:double"&gt;1.8964052&lt;/D&gt;&lt;D xsi:type="xsd:double"&gt;0.95807314&lt;/D&gt;&lt;D xsi:type="xsd:double"&gt;-0.08416772&lt;/D&gt;&lt;D xsi:type="xsd:double"&gt;-0.7393062&lt;/D&gt;&lt;D xsi:type="xsd:double"&gt;0.0344038&lt;/D&gt;&lt;D xsi:type="xsd:double"&gt;0.3512621&lt;/D&gt;&lt;D xsi:type="xsd:double"&gt;0.6452322&lt;/D&gt;&lt;D xsi:type="xsd:double"&gt;-4.09587&lt;/D&gt;&lt;D xsi:type="xsd:double"&gt;0.7118821&lt;/D&gt;&lt;D xsi:type="xsd:double"&gt;0.5957484&lt;/D&gt;&lt;D xsi:type="xsd:double"&gt;-0.21207929&lt;/D&gt;&lt;D xsi:type="xsd:double"&gt;0.1518488&lt;/D&gt;&lt;D xsi:type="xsd:double"&gt;0.42294264&lt;/D&gt;&lt;D xsi:type="xsd:double"&gt;-2.1889985&lt;/D&gt;&lt;D xsi:type="xsd:double"&gt;0.41501522&lt;/D&gt;&lt;D xsi:type="xsd:double"&gt;-0.041913986&lt;/D&gt;&lt;D xsi:type="xsd:double"&gt;-0.34060478&lt;/D&gt;&lt;D xsi:type="xsd:double"&gt;-0.028520823&lt;/D&gt;&lt;D xsi:type="xsd:double"&gt;-0.6245792&lt;/D&gt;&lt;D xsi:type="xsd:double"&gt;0.69898367&lt;/D&gt;&lt;D xsi:type="xsd:double"&gt;0.10185242&lt;/D&gt;&lt;D xsi:type="xsd:double"&gt;0.5014539&lt;/D&gt;&lt;D xsi:type="xsd:double"&gt;0.06713867&lt;/D&gt;&lt;D xsi:type="xsd:double"&gt;-1.3585031&lt;/D&gt;&lt;D xsi:type="xsd:double"&gt;-0.5138874&lt;/D&gt;&lt;D xsi:type="xsd:double"&gt;0.55282116&lt;/D&gt;&lt;D xsi:type="xsd:double"&gt;0.08561611&lt;/D&gt;&lt;D xsi:type="xsd:double"&gt;0.8831382&lt;/D&gt;&lt;D xsi:type="xsd:double"&gt;0.49568415&lt;/D&gt;&lt;D xsi:type="xsd:double"&gt;-0.6284833&lt;/D&gt;&lt;D xsi:type="xsd:double"&gt;0.5510092&lt;/D&gt;&lt;D xsi:type="xsd:double"&gt;-0.3153026&lt;/D&gt;&lt;D xsi:type="xsd:double"&gt;0.053060055&lt;/D&gt;&lt;D xsi:type="xsd:double"&gt;-0.13090372&lt;/D&gt;&lt;D xsi:type="xsd:double"&gt;-0.75006485&lt;/D&gt;&lt;D xsi:type="xsd:double"&gt;0.3259778&lt;/D&gt;&lt;D xsi:type="xsd:double"&gt;-2.6588082&lt;/D&gt;&lt;D xsi:type="xsd:double"&gt;0.44003725&lt;/D&gt;&lt;D xsi:type="xsd:double"&gt;-0.2175808&lt;/D&gt;&lt;D xsi:type="xsd:double"&gt;-1.2584984&lt;/D&gt;&lt;D xsi:type="xsd:double"&gt;0.98905563&lt;/D&gt;&lt;D xsi:type="xsd:double"&gt;-0.5544603&lt;/D&gt;&lt;D xsi:type="xsd:double"&gt;0.12563467&lt;/D&gt;&lt;D xsi:type="xsd:double"&gt;0.076437&lt;/D&gt;&lt;D xsi:type="xsd:double"&gt;-0.25851727&lt;/D&gt;&lt;D xsi:type="xsd:double"&gt;0.42467117&lt;/D&gt;&lt;D xsi:type="xsd:double"&gt;-0.22807121&lt;/D&gt;&lt;D xsi:type="xsd:double"&gt;0.07157326&lt;/D&gt;&lt;D xsi:type="xsd:double"&gt;0.932467&lt;/D&gt;&lt;D xsi:type="xsd:double"&gt;1.8588662&lt;/D&gt;&lt;D xsi:type="xsd:double"&gt;0.8779645&lt;/D&gt;&lt;D xsi:type="xsd:double"&gt;-1.4350355&lt;/D&gt;&lt;D xsi:type="xsd:double"&gt;1.1253476&lt;/D&gt;&lt;D xsi:type="xsd:double"&gt;1.0848403&lt;/D&gt;&lt;D xsi:type="xsd:double"&gt;-0.28840303&lt;/D&gt;&lt;D xsi:type="xsd:double"&gt;0.05941391&lt;/D&gt;&lt;D xsi:type="xsd:double"&gt;-0.7827163&lt;/D&gt;&lt;D xsi:type="xsd:double"&gt;0.25137663&lt;/D&gt;&lt;D xsi:type="xsd:double"&gt;-0.43857694&lt;/D&gt;&lt;D xsi:type="xsd:double"&gt;0.9815693&lt;/D&gt;&lt;D xsi:type="xsd:double"&gt;-0.06210208&lt;/D&gt;&lt;D xsi:type="xsd:double"&gt;0.4955411&lt;/D&gt;&lt;D xsi:type="xsd:double"&gt;-0.17162561&lt;/D&gt;&lt;D xsi:type="xsd:double"&gt;-0.6787181&lt;/D&gt;&lt;D xsi:type="xsd:double"&gt;0.28516054&lt;/D&gt;&lt;D xsi:type="xsd:double"&gt;0.15861988&lt;/D&gt;&lt;D xsi:type="xsd:double"&gt;0.8153558&lt;/D&gt;&lt;D xsi:type="xsd:double"&gt;-0.45396686&lt;/D&gt;&lt;D xsi:type="xsd:double"&gt;-0.5432725&lt;/D&gt;&lt;D xsi:type="xsd:double"&gt;-1.39606&lt;/D&gt;&lt;D xsi:type="xsd:double"&gt;0.34145117&lt;/D&gt;&lt;D xsi:type="xsd:double"&gt;-1.4862299&lt;/D&gt;&lt;D xsi:type="xsd:double"&gt;-0.16171932&lt;/D&gt;&lt;D xsi:type="xsd:double"&gt;0.8489251&lt;/D&gt;&lt;D xsi:type="xsd:double"&gt;0.044977665&lt;/D&gt;&lt;D xsi:type="xsd:double"&gt;-0.14226437&lt;/D&gt;&lt;D xsi:type="xsd:double"&gt;-0.33516288&lt;/D&gt;&lt;D xsi:type="xsd:double"&gt;1.6658783&lt;/D&gt;&lt;D xsi:type="xsd:double"&gt;-1.155287&lt;/D&gt;&lt;D xsi:type="xsd:double"&gt;0.7235527&lt;/D&gt;&lt;D xsi:type="xsd:double"&gt;-1.0465324&lt;/D&gt;&lt;D xsi:type="xsd:double"&gt;0.2580166&lt;/D&gt;&lt;D xsi:type="xsd:double"&gt;0.8866668&lt;/D&gt;&lt;D xsi:type="xsd:double"&gt;1.9176006&lt;/D&gt;&lt;D xsi:type="xsd:double"&gt;-1.6676843&lt;/D&gt;&lt;D xsi:type="xsd:double"&gt;-1.7823398&lt;/D&gt;&lt;D xsi:type="xsd:double"&gt;0.43810606&lt;/D&gt;&lt;D xsi:type="xsd:double"&gt;-0.29239058&lt;/D&gt;&lt;D xsi:type="xsd:double"&gt;1.3685465&lt;/D&gt;&lt;D xsi:type="xsd:double"&gt;0.1271367&lt;/D&gt;&lt;D xsi:type="xsd:double"&gt;0.7246256&lt;/D&gt;&lt;D xsi:type="xsd:double"&gt;0.15035868&lt;/D&gt;&lt;D xsi:type="xsd:double"&gt;0.9011507&lt;/D&gt;&lt;D xsi:type="xsd:double"&gt;0.96143484&lt;/D&gt;&lt;D xsi:type="xsd:double"&gt;1.6835809&lt;/D&gt;&lt;D xsi:type="xsd:double"&gt;-0.1284182&lt;/D&gt;&lt;D xsi:type="xsd:double"&gt;0.04056692&lt;/D&gt;&lt;D xsi:type="xsd:double"&gt;-0.7349074&lt;/D&gt;&lt;D xsi:type="xsd:double"&gt;0.4551053&lt;/D&gt;&lt;D xsi:type="xsd:double"&gt;0.16407967&lt;/D&gt;&lt;D xsi:type="xsd:double"&gt;1.083684&lt;/D&gt;&lt;D xsi:type="xsd:double"&gt;-0.6730139&lt;/D&gt;&lt;D xsi:type="xsd:double"&gt;-0.18982291&lt;/D&gt;&lt;D xsi:type="xsd:double"&gt;1.4332771&lt;/D&gt;&lt;D xsi:type="xsd:double"&gt;0.09851456&lt;/D&gt;&lt;D xsi:type="xsd:double"&gt;0.44754744&lt;/D&gt;&lt;D xsi:type="xsd:double"&gt;-0.44035316&lt;/D&gt;&lt;D xsi:type="xsd:double"&gt;0.5810499&lt;/D&gt;&lt;D xsi:type="xsd:double"&gt;0.17838478&lt;/D&gt;&lt;D xsi:type="xsd:double"&gt;0.16708374&lt;/D&gt;&lt;D xsi:type="xsd:double"&gt;0.968194&lt;/D&gt;&lt;D xsi:type="xsd:double"&gt;0.045084953&lt;/D&gt;&lt;D xsi:type="xsd:double"&gt;1.1646152&lt;/D&gt;&lt;D xsi:type="xsd:double"&gt;0.8051038&lt;/D&gt;&lt;D xsi:type="xsd:double"&gt;0.9594202&lt;/D&gt;&lt;D xsi:type="xsd:double"&gt;0.59148073&lt;/D&gt;&lt;D xsi:type="xsd:double"&gt;0.10803938&lt;/D&gt;&lt;D xsi:type="xsd:double"&gt;1.4054537&lt;/D&gt;&lt;D xsi:type="xsd:double"&gt;0.70091486&lt;/D&gt;&lt;D xsi:type="xsd:double"&gt;-1.0760725&lt;/D&gt;&lt;D xsi:type="xsd:double"&gt;1.2361884&lt;/D&gt;&lt;D xsi:type="xsd:double"&gt;0.32277107&lt;/D&gt;&lt;D xsi:type="xsd:double"&gt;2.9432297&lt;/D&gt;&lt;D xsi:type="xsd:double"&gt;0.57617426&lt;/D&gt;&lt;D xsi:type="xsd:double"&gt;0.9238124&lt;/D&gt;&lt;D xsi:type="xsd:double"&gt;1.3432264&lt;/D&gt;&lt;D xsi:type="xsd:double"&gt;1.3947606&lt;/D&gt;&lt;D xsi:type="xsd:double"&gt;-0.94480515&lt;/D&gt;&lt;D xsi:type="xsd:double"&gt;0.93295574&lt;/D&gt;&lt;D xsi:type="xsd:double"&gt;-0.30133724&lt;/D&gt;&lt;D xsi:type="xsd:double"&gt;-0.21913052&lt;/D&gt;&lt;D xsi:type="xsd:double"&gt;0.1713872&lt;/D&gt;&lt;D xsi:type="xsd:double"&gt;-1.3034344&lt;/D&gt;&lt;D xsi:type="xsd:double"&gt;-0.09021163&lt;/D&gt;&lt;D xsi:type="xsd:double"&gt;0.22102594&lt;/D&gt;&lt;D xsi:type="xsd:double"&gt;0.5717397&lt;/D&gt;&lt;D xsi:type="xsd:double"&gt;-0.8951545&lt;/D&gt;&lt;D xsi:type="xsd:double"&gt;-1.1512697&lt;/D&gt;&lt;D xsi:type="xsd:double"&gt;1.3866663&lt;/D&gt;&lt;D xsi:type="xsd:double"&gt;-2.3979604&lt;/D&gt;&lt;D xsi:type="xsd:double"&gt;-0.9460032&lt;/D&gt;&lt;D xsi:type="xsd:double"&gt;-1.51335&lt;/D&gt;&lt;D xsi:type="xsd:double"&gt;1.9111037&lt;/D&gt;&lt;D xsi:type="xsd:double"&gt;0.25092363&lt;/D&gt;&lt;D xsi:type="xsd:double"&gt;1.3530016&lt;/D&gt;&lt;D xsi:type="xsd:double"&gt;1.180923&lt;/D&gt;&lt;D xsi:type="xsd:double"&gt;-0.18222332&lt;/D&gt;&lt;D xsi:type="xsd:double"&gt;-0.7633865&lt;/D&gt;&lt;D xsi:type="xsd:double"&gt;-2.6111603&lt;/D&gt;&lt;D xsi:type="xsd:double"&gt;0.10962486&lt;/D&gt;&lt;D xsi:type="xsd:double"&gt;2.9072165&lt;/D&gt;&lt;D xsi:type="xsd:double"&gt;-1.1482179&lt;/D&gt;&lt;D xsi:type="xsd:double"&gt;-0.40308833&lt;/D&gt;&lt;D xsi:type="xsd:double"&gt;-2.088666&lt;/D&gt;&lt;D xsi:type="xsd:double"&gt;0.13412237&lt;/D&gt;&lt;D xsi:type="xsd:double"&gt;-1.9050002&lt;/D&gt;&lt;D xsi:type="xsd:double"&gt;-0.50439835&lt;/D&gt;&lt;D xsi:type="xsd:double"&gt;1.9049048&lt;/D&gt;&lt;D xsi:type="xsd:double"&gt;-0.5517423&lt;/D&gt;&lt;D xsi:type="xsd:double"&gt;1.1420131&lt;/D&gt;&lt;D xsi:type="xsd:double"&gt;-0.7101774&lt;/D&gt;&lt;D xsi:type="xsd:double"&gt;-0.13337135&lt;/D&gt;&lt;D xsi:type="xsd:double"&gt;-0.11972189&lt;/D&gt;&lt;D xsi:type="xsd:double"&gt;0.65823793&lt;/D&gt;&lt;D xsi:type="xsd:double"&gt;1.1163592&lt;/D&gt;&lt;D xsi:type="xsd:double"&gt;-0.089901686&lt;/D&gt;&lt;D xsi:type="xsd:double"&gt;-0.6198466&lt;/D&gt;&lt;D xsi:type="xsd:double"&gt;-2.0608008&lt;/D&gt;&lt;D xsi:type="xsd:double"&gt;-0.059187412&lt;/D&gt;&lt;D xsi:type="xsd:double"&gt;-0.92814565&lt;/D&gt;&lt;D xsi:type="xsd:double"&gt;0.85742474&lt;/D&gt;&lt;D xsi:type="xsd:double"&gt;0.30903816&lt;/D&gt;&lt;D xsi:type="xsd:double"&gt;1.0635495&lt;/D&gt;&lt;D xsi:type="xsd:double"&gt;-1.091665&lt;/D&gt;&lt;D xsi:type="xsd:double"&gt;0.2722621&lt;/D&gt;&lt;D xsi:type="xsd:double"&gt;0.703609&lt;/D&gt;&lt;D xsi:type="xsd:double"&gt;-0.031286478&lt;/D&gt;&lt;D xsi:type="xsd:double"&gt;-0.7622421&lt;/D&gt;&lt;D xsi:type="xsd:double"&gt;-0.69541335&lt;/D&gt;&lt;D xsi:type="xsd:double"&gt;-2.277708&lt;/D&gt;&lt;D xsi:type="xsd:double"&gt;-0.9479642&lt;/D&gt;&lt;D xsi:type="xsd:double"&gt;-0.5056977&lt;/D&gt;&lt;D xsi:type="xsd:double"&gt;-0.23350716&lt;/D&gt;&lt;D xsi:type="xsd:double"&gt;-1.6710997&lt;/D&gt;&lt;D xsi:type="xsd:double"&gt;1.4132619&lt;/D&gt;&lt;D xsi:type="xsd:double"&gt;0.96325874&lt;/D&gt;&lt;D xsi:type="xsd:double"&gt;-0.6948292&lt;/D&gt;&lt;D xsi:type="xsd:double"&gt;-0.7355571&lt;/D&gt;&lt;D xsi:type="xsd:double"&gt;1.2453079&lt;/D&gt;&lt;D xsi:type="xsd:double"&gt;0.13918877&lt;/D&gt;&lt;D xsi:type="xsd:double"&gt;-1.5276074&lt;/D&gt;&lt;D xsi:type="xsd:double"&gt;-2.474004&lt;/D&gt;&lt;D xsi:type="xsd:double"&gt;-1.2240231&lt;/D&gt;&lt;D xsi:type="xsd:double"&gt;1.6106606&lt;/D&gt;&lt;D xsi:type="xsd:double"&gt;2.0692945&lt;/D&gt;&lt;D xsi:type="xsd:double"&gt;1.251483&lt;/D&gt;&lt;D xsi:type="xsd:double"&gt;0.27737617&lt;/D&gt;&lt;D xsi:type="xsd:double"&gt;-0.5994916&lt;/D&gt;&lt;D xsi:type="xsd:double"&gt;-0.18563867&lt;/D&gt;&lt;D xsi:type="xsd:double"&gt;0.6963134&lt;/D&gt;&lt;D xsi:type="xsd:double"&gt;0.018751621&lt;/D&gt;&lt;D xsi:type="xsd:double"&gt;0.066018105&lt;/D&gt;&lt;D xsi:type="xsd:double"&gt;-0.058555603&lt;/D&gt;&lt;D xsi:type="xsd:double"&gt;1.7278075&lt;/D&gt;&lt;D xsi:type="xsd:double"&gt;0.5680084&lt;/D&gt;&lt;D xsi:type="xsd:double"&gt;2.8648615&lt;/D&gt;&lt;D xsi:type="xsd:double"&gt;-0.7725358&lt;/D&gt;&lt;D xsi:type="xsd:double"&gt;0.3087759&lt;/D&gt;&lt;D xsi:type="xsd:double"&gt;-0.23568273&lt;/D&gt;&lt;D xsi:type="xsd:double"&gt;-3.0088186&lt;/D&gt;&lt;D xsi:type="xsd:double"&gt;-0.80064535&lt;/D&gt;&lt;D xsi:type="xsd:double"&gt;-0.3276646&lt;/D&gt;&lt;D xsi:type="xsd:double"&gt;1.2150049&lt;/D&gt;&lt;D xsi:type="xsd:double"&gt;0.27928352&lt;/D&gt;&lt;D xsi:type="xsd:double"&gt;-0.60108304&lt;/D&gt;&lt;D xsi:type="xsd:double"&gt;-0.2810061&lt;/D&gt;&lt;D xsi:type="xsd:double"&gt;0.4826188&lt;/D&gt;&lt;D xsi:type="xsd:double"&gt;0.2539158&lt;/D&gt;&lt;D xsi:type="xsd:double"&gt;-0.49806237&lt;/D&gt;&lt;D xsi:type="xsd:double"&gt;0.06670952&lt;/D&gt;&lt;D xsi:type="xsd:double"&gt;-3.300035&lt;/D&gt;&lt;D xsi:type="xsd:double"&gt;2.3763895&lt;/D&gt;&lt;D xsi:type="xsd:double"&gt;1.8795133&lt;/D&gt;&lt;D xsi:type="xsd:double"&gt;0.51145554&lt;/D&gt;&lt;D xsi:type="xsd:double"&gt;1.7304301&lt;/D&gt;&lt;D xsi:type="xsd:double"&gt;0.0026226044&lt;/D&gt;&lt;D xsi:type="xsd:double"&gt;0.39246082&lt;/D&gt;&lt;D xsi:type="xsd:double"&gt;1.1746287&lt;/D&gt;&lt;D xsi:type="xsd:double"&gt;-0.26926398&lt;/D&gt;&lt;D xsi:type="xsd:double"&gt;0.1711011&lt;/D&gt;&lt;D xsi:type="xsd:double"&gt;-1.6382158&lt;/D&gt;&lt;D xsi:type="xsd:double"&gt;1.1968255&lt;/D&gt;&lt;D xsi:type="xsd:double"&gt;1.9390345&lt;/D&gt;&lt;D xsi:type="xsd:double"&gt;-1.9554853&lt;/D&gt;&lt;D xsi:type="xsd:double"&gt;-0.46334267&lt;/D&gt;&lt;D xsi:type="xsd:double"&gt;0.7948041&lt;/D&gt;&lt;D xsi:type="xsd:double"&gt;-1.8203557&lt;/D&gt;&lt;D xsi:type="xsd:double"&gt;-0.9556353&lt;/D&gt;&lt;D xsi:type="xsd:double"&gt;-1.1663318&lt;/D&gt;&lt;D xsi:type="xsd:double"&gt;-0.06651878&lt;/D&gt;&lt;D xsi:type="xsd:double"&gt;1.3320684&lt;/D&gt;&lt;D xsi:type="xsd:double"&gt;0.6435871&lt;/D&gt;&lt;D xsi:type="xsd:double"&gt;-4.1102705&lt;/D&gt;&lt;D xsi:type="xsd:double"&gt;-0.16542673&lt;/D&gt;&lt;D xsi:type="xsd:double"&gt;-1.2371182&lt;/D&gt;&lt;D xsi:type="xsd:double"&gt;0.35680532&lt;/D&gt;&lt;D xsi:type="xsd:double"&gt;-0.69364905&lt;/D&gt;&lt;D xsi:type="xsd:double"&gt;-1.1645257&lt;/D&gt;&lt;D xsi:type="xsd:double"&gt;-0.41743517&lt;/D&gt;&lt;D xsi:type="xsd:double"&gt;-0.38736463&lt;/D&gt;&lt;D xsi:type="xsd:double"&gt;-0.17265081&lt;/D&gt;&lt;D xsi:type="xsd:double"&gt;1.2493849&lt;/D&gt;&lt;D xsi:type="xsd:double"&gt;1.4060855&lt;/D&gt;&lt;D xsi:type="xsd:double"&gt;-0.5919516&lt;/D&gt;&lt;D xsi:type="xsd:double"&gt;-0.5389452&lt;/D&gt;&lt;D xsi:type="xsd:double"&gt;2.581799&lt;/D&gt;&lt;D xsi:type="xsd:double"&gt;-8.001643&lt;/D&gt;&lt;D xsi:type="xsd:double"&gt;-1.0997534&lt;/D&gt;&lt;D xsi:type="xsd:double"&gt;1.3509989&lt;/D&gt;&lt;D xsi:type="xsd:double"&gt;-0.44199228&lt;/D&gt;&lt;D xsi:type="xsd:double"&gt;1.2148619&lt;/D&gt;&lt;D xsi:type="xsd:double"&gt;1.3493419&lt;/D&gt;&lt;D xsi:type="xsd:double"&gt;0.88677406&lt;/D&gt;&lt;D xsi:type="xsd:double"&gt;0.42598248&lt;/D&gt;&lt;D xsi:type="xsd:double"&gt;-1.9563019&lt;/D&gt;&lt;D xsi:type="xsd:double"&gt;-1.8556833&lt;/D&gt;&lt;D xsi:type="xsd:double"&gt;0.9127021&lt;/D&gt;&lt;D xsi:type="xsd:double"&gt;1.1485219&lt;/D&gt;&lt;D xsi:type="xsd:double"&gt;0.5077481&lt;/D&gt;&lt;D xsi:type="xsd:double"&gt;-0.7689893&lt;/D&gt;&lt;D xsi:type="xsd:double"&gt;1.4458895&lt;/D&gt;&lt;D xsi:type="xsd:double"&gt;0.16746521&lt;/D&gt;&lt;D xsi:type="xsd:double"&gt;2.2031307&lt;/D&gt;&lt;D xsi:type="xsd:double"&gt;-1.6779661&lt;/D&gt;&lt;D xsi:type="xsd:double"&gt;0.39474964&lt;/D&gt;&lt;D xsi:type="xsd:double"&gt;-1.0500908&lt;/D&gt;&lt;D xsi:type="xsd:double"&gt;0.42028427&lt;/D&gt;&lt;D xsi:type="xsd:double"&gt;0.42663813&lt;/D&gt;&lt;D xsi:type="xsd:double"&gt;0.959599&lt;/D&gt;&lt;D xsi:type="xsd:double"&gt;-0.6995201&lt;/D&gt;&lt;D xsi:type="xsd:double"&gt;0.7996559&lt;/D&gt;&lt;D xsi:type="xsd:double"&gt;0.6745219&lt;/D&gt;&lt;D xsi:type="xsd:double"&gt;2.0078301&lt;/D&gt;&lt;D xsi:type="xsd:double"&gt;3.7083387&lt;/D&gt;&lt;D xsi:type="xsd:double"&gt;-0.9887636&lt;/D&gt;&lt;D xsi:type="xsd:double"&gt;5.094719&lt;/D&gt;&lt;D xsi:type="xsd:double"&gt;-3.660655&lt;/D&gt;&lt;D xsi:type="xsd:double"&gt;1.4236331&lt;/D&gt;&lt;D xsi:type="xsd:double"&gt;-1.1596859&lt;/D&gt;&lt;D xsi:type="xsd:double"&gt;1.9691825&lt;/D&gt;&lt;D xsi:type="xsd:double"&gt;1.926887&lt;/D&gt;&lt;D xsi:type="xsd:double"&gt;-1.2448192&lt;/D&gt;&lt;D xsi:type="xsd:double"&gt;-1.0547757&lt;/D&gt;&lt;D xsi:type="xsd:double"&gt;0.31553507&lt;/D&gt;&lt;D xsi:type="xsd:double"&gt;-0.032544136&lt;/D&gt;&lt;D xsi:type="xsd:double"&gt;-0.24209619&lt;/D&gt;&lt;D xsi:type="xsd:double"&gt;1.2064338&lt;/D&gt;&lt;D xsi:type="xsd:double"&gt;-0.47966242&lt;/D&gt;&lt;D xsi:type="xsd:double"&gt;1.0566354&lt;/D&gt;&lt;D xsi:type="xsd:double"&gt;0.36267042&lt;/D&gt;&lt;D xsi:type="xsd:double"&gt;-0.90212226&lt;/D&gt;&lt;D xsi:type="xsd:double"&gt;-3.2812119&lt;/D&gt;&lt;D xsi:type="xsd:double"&gt;-1.0687947&lt;/D&gt;&lt;D xsi:type="xsd:double"&gt;0.08611679&lt;/D&gt;&lt;D xsi:type="xsd:double"&gt;-1.4957488&lt;/D&gt;&lt;D xsi:type="xsd:double"&gt;1.0579705&lt;/D&gt;&lt;D xsi:type="xsd:double"&gt;0.5486369&lt;/D&gt;&lt;D xsi:type="xsd:double"&gt;0.8767843&lt;/D&gt;&lt;D xsi:type="xsd:double"&gt;-0.7358968&lt;/D&gt;&lt;D xsi:type="xsd:double"&gt;2.190113&lt;/D&gt;&lt;D xsi:type="xsd:double"&gt;0.20889044&lt;/D&gt;&lt;D xsi:type="xsd:double"&gt;-0.928849&lt;/D&gt;&lt;D xsi:type="xsd:double"&gt;-0.92375875&lt;/D&gt;&lt;D xsi:type="xsd:double"&gt;-2.1935284&lt;/D&gt;&lt;D xsi:type="xsd:double"&gt;2.0407438&lt;/D&gt;&lt;D xsi:type="xsd:double"&gt;1.8473864&lt;/D&gt;&lt;D xsi:type="xsd:double"&gt;0.79784393&lt;/D&gt;&lt;D xsi:type="xsd:double"&gt;-0.18309951&lt;/D&gt;&lt;D xsi:type="xsd:double"&gt;0.8935094&lt;/D&gt;&lt;D xsi:type="xsd:double"&gt;-0.81243515&lt;/D&gt;&lt;D xsi:type="xsd:double"&gt;0.40272474&lt;/D&gt;&lt;D xsi:type="xsd:double"&gt;0.22017956&lt;/D&gt;&lt;D xsi:type="xsd:double"&gt;-0.9694159&lt;/D&gt;&lt;D xsi:type="xsd:double"&gt;-0.7041991&lt;/D&gt;&lt;D xsi:type="xsd:double"&gt;-0.056523085&lt;/D&gt;&lt;D xsi:type="xsd:double"&gt;1.2881756&lt;/D&gt;&lt;D xsi:type="xsd:double"&gt;0.23112297&lt;/D&gt;&lt;D xsi:type="xsd:double"&gt;0.6451726&lt;/D&gt;&lt;D xsi:type="xsd:double"&gt;0.122618675&lt;/D&gt;&lt;D xsi:type="xsd:double"&gt;0.26848316&lt;/D&gt;&lt;D xsi:type="xsd:double"&gt;1.6538978&lt;/D&gt;&lt;D xsi:type="xsd:double"&gt;3.116107&lt;/D&gt;&lt;D xsi:type="xsd:double"&gt;0.62892437&lt;/D&gt;&lt;D xsi:type="xsd:double"&gt;-2.0062327&lt;/D&gt;&lt;D xsi:type="xsd:double"&gt;-0.6364763&lt;/D&gt;&lt;D xsi:type="xsd:double"&gt;-1.2800992&lt;/D&gt;&lt;D xsi:type="xsd:double"&gt;-1.4398634&lt;/D&gt;&lt;D xsi:type="xsd:double"&gt;1.4426231&lt;/D&gt;&lt;D xsi:type="xsd:double"&gt;-0.62794685&lt;/D&gt;&lt;D xsi:type="xsd:double"&gt;-0.059831142&lt;/D&gt;&lt;D xsi:type="xsd:double"&gt;0.061416626&lt;/D&gt;&lt;D xsi:type="xsd:double"&gt;-1.0395229&lt;/D&gt;&lt;D xsi:type="xsd:double"&gt;1.5806079&lt;/D&gt;&lt;D xsi:type="xsd:double"&gt;-0.96032023&lt;/D&gt;&lt;D xsi:type="xsd:double"&gt;-1.0902524&lt;/D&gt;&lt;D xsi:type="xsd:double"&gt;-0.7475376&lt;/D&gt;&lt;D xsi:type="xsd:double"&gt;-1.3635635&lt;/D&gt;&lt;D xsi:type="xsd:double"&gt;0.3519416&lt;/D&gt;&lt;D xsi:type="xsd:double"&gt;1.11202&lt;/D&gt;&lt;D xsi:type="xsd:double"&gt;-2.325666&lt;/D&gt;&lt;D xsi:type="xsd:double"&gt;0.09795427&lt;/D&gt;&lt;D xsi:type="xsd:double"&gt;-0.09414554&lt;/D&gt;&lt;D xsi:type="xsd:double"&gt;-0.36536455&lt;/D&gt;&lt;D xsi:type="xsd:double"&gt;-0.92313886&lt;/D&gt;&lt;D xsi:type="xsd:double"&gt;-1.7356098&lt;/D&gt;&lt;D xsi:type="xsd:double"&gt;0.044083595&lt;/D&gt;&lt;D xsi:type="xsd:double"&gt;3.2348871&lt;/D&gt;&lt;D xsi:type="xsd:double"&gt;1.3802409&lt;/D&gt;&lt;D xsi:type="xsd:double"&gt;-1.1962056&lt;/D&gt;&lt;D xsi:type="xsd:double"&gt;0.37527084&lt;/D&gt;&lt;D xsi:type="xsd:double"&gt;-0.2963364&lt;/D&gt;&lt;D xsi:type="xsd:double"&gt;2.0766854&lt;/D&gt;&lt;D xsi:type="xsd:double"&gt;0.8692503&lt;/D&gt;&lt;D xsi:type="xsd:double"&gt;-0.616771&lt;/D&gt;&lt;D xsi:type="xsd:double"&gt;0.93171597&lt;/D&gt;&lt;D xsi:type="xsd:double"&gt;-0.96429586&lt;/D&gt;&lt;D xsi:type="xsd:double"&gt;3.2971263&lt;/D&gt;&lt;D xsi:type="xsd:double"&gt;2.1974683&lt;/D&gt;&lt;D xsi:type="xsd:double"&gt;-0.07497668&lt;/D&gt;&lt;D xsi:type="xsd:double"&gt;0.70990324&lt;/D&gt;&lt;D xsi:type="xsd:double"&gt;1.900065&lt;/D&gt;&lt;D xsi:type="xsd:double"&gt;0.51834583&lt;/D&gt;&lt;D xsi:type="xsd:double"&gt;0.45199394&lt;/D&gt;&lt;D xsi:type="xsd:double"&gt;2.9299855&lt;/D&gt;&lt;D xsi:type="xsd:double"&gt;0.64264536&lt;/D&gt;&lt;D xsi:type="xsd:double"&gt;-2.5518477&lt;/D&gt;&lt;D xsi:type="xsd:double"&gt;0.056648254&lt;/D&gt;&lt;D xsi:type="xsd:double"&gt;-1.6886413&lt;/D&gt;&lt;D xsi:type="xsd:double"&gt;-1.3523579&lt;/D&gt;&lt;D xsi:type="xsd:double"&gt;0.58151484&lt;/D&gt;&lt;D xsi:type="xsd:double"&gt;-1.409018&lt;/D&gt;&lt;D xsi:type="xsd:double"&gt;2.6712894&lt;/D&gt;&lt;D xsi:type="xsd:double"&gt;1.3090491&lt;/D&gt;&lt;D xsi:type="xsd:double"&gt;1.5573263&lt;/D&gt;&lt;D xsi:type="xsd:double"&gt;1.7700195&lt;/D&gt;&lt;D xsi:type="xsd:double"&gt;-3.2143414&lt;/D&gt;&lt;D xsi:type="xsd:double"&gt;-1.4838636&lt;/D&gt;&lt;D xsi:type="xsd:double"&gt;1.3304472&lt;/D&gt;&lt;D xsi:type="xsd:double"&gt;1.0795951&lt;/D&gt;&lt;D xsi:type="xsd:double"&gt;0.22655725&lt;/D&gt;&lt;D xsi:type="xsd:double"&gt;0.072681904&lt;/D&gt;&lt;D xsi:type="xsd:double"&gt;-1.9834757&lt;/D&gt;&lt;D xsi:type="xsd:double"&gt;-0.20353198&lt;/D&gt;&lt;D xsi:type="xsd:double"&gt;-1.4697433&lt;/D&gt;&lt;D xsi:type="xsd:double"&gt;-2.4615526&lt;/D&gt;&lt;D xsi:type="xsd:double"&gt;-1.8379629&lt;/D&gt;&lt;D xsi:type="xsd:double"&gt;0.25537014&lt;/D&gt;&lt;D xsi:type="xsd:double"&gt;2.6427627&lt;/D&gt;&lt;D xsi:type="xsd:double"&gt;0.9291053&lt;/D&gt;&lt;D xsi:type="xsd:double"&gt;0.5162716&lt;/D&gt;&lt;D xsi:type="xsd:double"&gt;2.050376&lt;/D&gt;&lt;D xsi:type="xsd:double"&gt;0.33929348&lt;/D&gt;&lt;D xsi:type="xsd:double"&gt;0.04554987&lt;/D&gt;&lt;D xsi:type="xsd:double"&gt;-0.46729444999999997&lt;/D&gt;&lt;D xsi:type="xsd:double"&gt;-2.4743795&lt;/D&gt;&lt;D xsi:type="xsd:double"&gt;-2.094674&lt;/D&gt;&lt;D xsi:type="xsd:double"&gt;-0.7531822&lt;/D&gt;&lt;D xsi:type="xsd:double"&gt;-1.2556016&lt;/D&gt;&lt;D xsi:type="xsd:double"&gt;0.6118536&lt;/D&gt;&lt;D xsi:type="xsd:double"&gt;-0.75707436&lt;/D&gt;&lt;D xsi:type="xsd:double"&gt;-0.10701418&lt;/D&gt;&lt;D xsi:type="xsd:double"&gt;0.2565503&lt;/D&gt;&lt;D xsi:type="xsd:double"&gt;-1.369971&lt;/D&gt;&lt;D xsi:type="xsd:double"&gt;1.9781232&lt;/D&gt;&lt;D xsi:type="xsd:double"&gt;1.1014342&lt;/D&gt;&lt;D xsi:type="xsd:double"&gt;0.5543113&lt;/D&gt;&lt;D xsi:type="xsd:double"&gt;1.4045596&lt;/D&gt;&lt;D xsi:type="xsd:double"&gt;-2.909124&lt;/D&gt;&lt;D xsi:type="xsd:double"&gt;3.5983205&lt;/D&gt;&lt;D xsi:type="xsd:double"&gt;-2.713561&lt;/D&gt;&lt;D xsi:type="xsd:double"&gt;0.70067644&lt;/D&gt;&lt;D xsi:type="xsd:double"&gt;-0.5698979&lt;/D&gt;&lt;D xsi:type="xsd:double"&gt;-0.38823485&lt;/D&gt;&lt;D xsi:type="xsd:double"&gt;-0.93477964&lt;/D&gt;&lt;D xsi:type="xsd:double"&gt;0.18657446&lt;/D&gt;&lt;D xsi:type="xsd:double"&gt;1.3571739&lt;/D&gt;&lt;D xsi:type="xsd:double"&gt;-0.9129822&lt;/D&gt;&lt;D xsi:type="xsd:double"&gt;-0.65972805&lt;/D&gt;&lt;D xsi:type="xsd:double"&gt;-0.8687496&lt;/D&gt;&lt;D xsi:type="xsd:double"&gt;1.0358334&lt;/D&gt;&lt;D xsi:type="xsd:double"&gt;0.011062622&lt;/D&gt;&lt;D xsi:type="xsd:double"&gt;-0.59040785&lt;/D&gt;&lt;D xsi:type="xsd:double"&gt;2.2039056&lt;/D&gt;&lt;D xsi:type="xsd:double"&gt;-4.2081475&lt;/D&gt;&lt;D xsi:type="xsd:double"&gt;-1.6295314&lt;/D&gt;&lt;D xsi:type="xsd:double"&gt;0.021922588&lt;/D&gt;&lt;D xsi:type="xsd:double"&gt;0.13971329&lt;/D&gt;&lt;D xsi:type="xsd:double"&gt;0.9447813&lt;/D&gt;&lt;D xsi:type="xsd:double"&gt;-0.39323568&lt;/D&gt;&lt;D xsi:type="xsd:double"&gt;0.42420626&lt;/D&gt;&lt;D xsi:type="xsd:double"&gt;0.5621791&lt;/D&gt;&lt;D xsi:type="xsd:double"&gt;-1.0883987&lt;/D&gt;&lt;D xsi:type="xsd:double"&gt;2.257073&lt;/D&gt;&lt;D xsi:type="xsd:double"&gt;1.5051126&lt;/D&gt;&lt;D xsi:type="xsd:double"&gt;2.4104238&lt;/D&gt;&lt;D xsi:type="xsd:double"&gt;2.190721&lt;/D&gt;&lt;D xsi:type="xsd:double"&gt;-0.88350177&lt;/D&gt;&lt;D xsi:type="xsd:double"&gt;0.15181303&lt;/D&gt;&lt;D xsi:type="xsd:double"&gt;-2.0237803&lt;/D&gt;&lt;D xsi:type="xsd:double"&gt;0.71430206&lt;/D&gt;&lt;D xsi:type="xsd:double"&gt;0.30220747&lt;/D&gt;&lt;D xsi:type="xsd:double"&gt;1.4776707&lt;/D&gt;&lt;D xsi:type="xsd:double"&gt;2.0381331&lt;/D&gt;&lt;D xsi:type="xsd:double"&gt;0.4526615&lt;/D&gt;&lt;D xsi:type="xsd:double"&gt;-4.110563&lt;/D&gt;&lt;D xsi:type="xsd:double"&gt;0.99440813&lt;/D&gt;&lt;D xsi:type="xsd:double"&gt;1.8920064&lt;/D&gt;&lt;D xsi:type="</t>
        </r>
      </text>
    </comment>
    <comment ref="A2" authorId="0" shapeId="0" xr:uid="{0D4ADFA7-8B70-4E98-A4EC-186A5CC6861B}">
      <text>
        <r>
          <rPr>
            <b/>
            <sz val="9"/>
            <color indexed="81"/>
            <rFont val="Tahoma"/>
            <charset val="1"/>
          </rPr>
          <t>xsd:double"&gt;-0.2649963&lt;/D&gt;&lt;D xsi:type="xsd:double"&gt;0.790596&lt;/D&gt;&lt;D xsi:type="xsd:double"&gt;-1.3894975&lt;/D&gt;&lt;D xsi:type="xsd:double"&gt;2.9331565&lt;/D&gt;&lt;D xsi:type="xsd:double"&gt;-0.8962512&lt;/D&gt;&lt;D xsi:type="xsd:double"&gt;-3.8099945&lt;/D&gt;&lt;D xsi:type="xsd:double"&gt;-0.2602756&lt;/D&gt;&lt;D xsi:type="xsd:double"&gt;0.69833994&lt;/D&gt;&lt;D xsi:type="xsd:double"&gt;-1.3761938&lt;/D&gt;&lt;D xsi:type="xsd:double"&gt;1.5568376&lt;/D&gt;&lt;D xsi:type="xsd:double"&gt;0.85726976&lt;/D&gt;&lt;D xsi:type="xsd:double"&gt;-0.48243403&lt;/D&gt;&lt;D xsi:type="xsd:double"&gt;1.0806918&lt;/D&gt;&lt;D xsi:type="xsd:double"&gt;1.5151858&lt;/D&gt;&lt;D xsi:type="xsd:double"&gt;-0.56052804&lt;/D&gt;&lt;D xsi:type="xsd:double"&gt;0.78861713&lt;/D&gt;&lt;D xsi:type="xsd:double"&gt;1.6463637&lt;/D&gt;&lt;D xsi:type="xsd:double"&gt;1.0494232&lt;/D&gt;&lt;D xsi:type="xsd:double"&gt;-2.2306085&lt;/D&gt;&lt;D xsi:type="xsd:double"&gt;-0.20727515&lt;/D&gt;&lt;D xsi:type="xsd:double"&gt;-0.98496675&lt;/D&gt;&lt;D xsi:type="xsd:double"&gt;-1.7111838&lt;/D&gt;&lt;D xsi:type="xsd:double"&gt;-1.7361462&lt;/D&gt;&lt;D xsi:type="xsd:double"&gt;0.5323887&lt;/D&gt;&lt;D xsi:type="xsd:double"&gt;0.083470345&lt;/D&gt;&lt;D xsi:type="xsd:double"&gt;1.2078166&lt;/D&gt;&lt;D xsi:type="xsd:double"&gt;-1.6309559&lt;/D&gt;&lt;D xsi:type="xsd:double"&gt;-4.557866&lt;/D&gt;&lt;D xsi:type="xsd:double"&gt;-0.06997585&lt;/D&gt;&lt;D xsi:type="xsd:double"&gt;0.6631851&lt;/D&gt;&lt;D xsi:type="xsd:double"&gt;-1.9989908&lt;/D&gt;&lt;D xsi:type="xsd:double"&gt;2.4902701&lt;/D&gt;&lt;D xsi:type="xsd:double"&gt;1.2332678&lt;/D&gt;&lt;D xsi:type="xsd:double"&gt;1.7385602&lt;/D&gt;&lt;D xsi:type="xsd:double"&gt;-2.3655891&lt;/D&gt;&lt;D xsi:type="xsd:double"&gt;-0.24869442&lt;/D&gt;&lt;D xsi:type="xsd:double"&gt;2.6070237&lt;/D&gt;&lt;D xsi:type="xsd:double"&gt;-0.36957264&lt;/D&gt;&lt;D xsi:type="xsd:double"&gt;0.3509283&lt;/D&gt;&lt;D xsi:type="xsd:double"&gt;-1.3314724&lt;/D&gt;&lt;D xsi:type="xsd:double"&gt;0.5293369&lt;/D&gt;&lt;D xsi:type="xsd:double"&gt;1.795876&lt;/D&gt;&lt;D xsi:type="xsd:double"&gt;-2.1354854&lt;/D&gt;&lt;D xsi:type="xsd:double"&gt;-0.9748459&lt;/D&gt;&lt;D xsi:type="xsd:double"&gt;-1.8199623&lt;/D&gt;&lt;D xsi:type="xsd:double"&gt;0.0047564507&lt;/D&gt;&lt;D xsi:type="xsd:double"&gt;0.2327919&lt;/D&gt;&lt;D xsi:type="xsd:double"&gt;-0.09639859&lt;/D&gt;&lt;D xsi:type="xsd:double"&gt;2.032745&lt;/D&gt;&lt;D xsi:type="xsd:double"&gt;0.05171299&lt;/D&gt;&lt;D xsi:type="xsd:double"&gt;-2.4730802&lt;/D&gt;&lt;D xsi:type="xsd:double"&gt;0.3170371&lt;/D&gt;&lt;D xsi:type="xsd:double"&gt;0.009441376&lt;/D&gt;&lt;D xsi:type="xsd:double"&gt;-1.0311842&lt;/D&gt;&lt;D xsi:type="xsd:double"&gt;-1.3990223&lt;/D&gt;&lt;D xsi:type="xsd:double"&gt;1.8085837&lt;/D&gt;&lt;D xsi:type="xsd:double"&gt;-2.7658105&lt;/D&gt;&lt;D xsi:type="xsd:double"&gt;0.15774965&lt;/D&gt;&lt;D xsi:type="xsd:double"&gt;0.75187683&lt;/D&gt;&lt;D xsi:type="xsd:double"&gt;-0.508821&lt;/D&gt;&lt;D xsi:type="xsd:double"&gt;-0.69295764&lt;/D&gt;&lt;D xsi:type="xsd:double"&gt;-0.4091084&lt;/D&gt;&lt;D xsi:type="xsd:double"&gt;1.3376951&lt;/D&gt;&lt;D xsi:type="xsd:double"&gt;-0.34424067&lt;/D&gt;&lt;D xsi:type="xsd:double"&gt;-1.5090644&lt;/D&gt;&lt;D xsi:type="xsd:double"&gt;2.5515556&lt;/D&gt;&lt;D xsi:type="xsd:double"&gt;-1.2401819&lt;/D&gt;&lt;D xsi:type="xsd:double"&gt;0.16477108&lt;/D&gt;&lt;D xsi:type="xsd:double"&gt;-1.6377807&lt;/D&gt;&lt;D xsi:type="xsd:double"&gt;1.0479093&lt;/D&gt;&lt;D xsi:type="xsd:double"&gt;1.6764522&lt;/D&gt;&lt;D xsi:type="xsd:double"&gt;0.7253885&lt;/D&gt;&lt;D xsi:type="xsd:double"&gt;1.8955588&lt;/D&gt;&lt;D xsi:type="xsd:double"&gt;-0.2906978&lt;/D&gt;&lt;D xsi:type="xsd:double"&gt;-2.7781546&lt;/D&gt;&lt;D xsi:type="xsd:double"&gt;1.5506625&lt;/D&gt;&lt;D xsi:type="xsd:double"&gt;-0.1772523&lt;/D&gt;&lt;D xsi:type="xsd:double"&gt;0.60659647&lt;/D&gt;&lt;D xsi:type="xsd:double"&gt;-0.7833302&lt;/D&gt;&lt;D xsi:type="xsd:double"&gt;5.0747275&lt;/D&gt;&lt;D xsi:type="xsd:double"&gt;1.2174845&lt;/D&gt;&lt;D xsi:type="xsd:double"&gt;4.7552466&lt;/D&gt;&lt;D xsi:type="xsd:double"&gt;0.80627203&lt;/D&gt;&lt;D xsi:type="xsd:double"&gt;-0.65822005&lt;/D&gt;&lt;D xsi:type="xsd:double"&gt;7.292962&lt;/D&gt;&lt;D xsi:type="xsd:double"&gt;-2.5443614&lt;/D&gt;&lt;D xsi:type="xsd:double"&gt;-0.6856978&lt;/D&gt;&lt;D xsi:type="xsd:double"&gt;-4.511738&lt;/D&gt;&lt;D xsi:type="xsd:double"&gt;-0.45524836&lt;/D&gt;&lt;D xsi:type="xsd:double"&gt;-1.4726043&lt;/D&gt;&lt;D xsi:type="xsd:double"&gt;-4.216152&lt;/D&gt;&lt;D xsi:type="xsd:double"&gt;0.20807981&lt;/D&gt;&lt;D xsi:type="xsd:double"&gt;1.183188&lt;/D&gt;&lt;D xsi:type="xsd:double"&gt;-2.051872&lt;/D&gt;&lt;D xsi:type="xsd:double"&gt;-1.4453769&lt;/D&gt;&lt;D xsi:type="xsd:double"&gt;-1.180309&lt;/D&gt;&lt;D xsi:type="xsd:double"&gt;-1.1228681&lt;/D&gt;&lt;D xsi:type="xsd:double"&gt;-0.78244805&lt;/D&gt;&lt;D xsi:type="xsd:double"&gt;-0.055223703&lt;/D&gt;&lt;D xsi:type="xsd:double"&gt;1.4115095&lt;/D&gt;&lt;D xsi:type="xsd:double"&gt;-0.8330703&lt;/D&gt;&lt;D xsi:type="xsd:double"&gt;0.044572353&lt;/D&gt;&lt;D xsi:type="xsd:double"&gt;-0.73528886&lt;/D&gt;&lt;D xsi:type="xsd:double"&gt;0.93438625&lt;/D&gt;&lt;D xsi:type="xsd:double"&gt;-0.5077779&lt;/D&gt;&lt;D xsi:type="xsd:double"&gt;1.0480642&lt;/D&gt;&lt;D xsi:type="xsd:double"&gt;1.2622356&lt;/D&gt;&lt;D xsi:type="xsd:double"&gt;0.2914071&lt;/D&gt;&lt;D xsi:type="xsd:double"&gt;-0.059610605&lt;/D&gt;&lt;D xsi:type="xsd:double"&gt;-0.22660494&lt;/D&gt;&lt;D xsi:type="xsd:double"&gt;2.0210147&lt;/D&gt;&lt;D xsi:type="xsd:double"&gt;-0.7183969&lt;/D&gt;&lt;D xsi:type="xsd:double"&gt;-0.54591894&lt;/D&gt;&lt;D xsi:type="xsd:double"&gt;-0.342381&lt;/D&gt;&lt;D xsi:type="xsd:double"&gt;-3.0795395&lt;/D&gt;&lt;D xsi:type="xsd:double"&gt;-1.9270778&lt;/D&gt;&lt;D xsi:type="xsd:double"&gt;0.8587837&lt;/D&gt;&lt;D xsi:type="xsd:double"&gt;2.0503879&lt;/D&gt;&lt;D xsi:type="xsd:double"&gt;1.2662411&lt;/D&gt;&lt;D xsi:type="xsd:double"&gt;0.62572956&lt;/D&gt;&lt;D xsi:type="xsd:double"&gt;-0.6227851&lt;/D&gt;&lt;D xsi:type="xsd:double"&gt;2.6068091&lt;/D&gt;&lt;D xsi:type="xsd:double"&gt;2.2266746&lt;/D&gt;&lt;D xsi:type="xsd:double"&gt;1.652813&lt;/D&gt;&lt;D xsi:type="xsd:double"&gt;0.60549974&lt;/D&gt;&lt;D xsi:type="xsd:double"&gt;-0.42899847&lt;/D&gt;&lt;D xsi:type="xsd:double"&gt;-0.45892596&lt;/D&gt;&lt;D xsi:type="xsd:double"&gt;0.546515&lt;/D&gt;&lt;D xsi:type="xsd:double"&gt;-0.28727055&lt;/D&gt;&lt;D xsi:type="xsd:double"&gt;-0.63598156&lt;/D&gt;&lt;D xsi:type="xsd:double"&gt;0.36182404&lt;/D&gt;&lt;D xsi:type="xsd:double"&gt;0.2370596&lt;/D&gt;&lt;D xsi:type="xsd:double"&gt;-0.30457377&lt;/D&gt;&lt;D xsi:type="xsd:double"&gt;0.8255124&lt;/D&gt;&lt;D xsi:type="xsd:double"&gt;0.33313036&lt;/D&gt;&lt;D xsi:type="xsd:double"&gt;1.0807872&lt;/D&gt;&lt;D xsi:type="xsd:double"&gt;0.2632141&lt;/D&gt;&lt;D xsi:type="xsd:double"&gt;2.8950572&lt;/D&gt;&lt;D xsi:type="xsd:double"&gt;-1.6230643&lt;/D&gt;&lt;D xsi:type="xsd:double"&gt;0.9518981&lt;/D&gt;&lt;D xsi:type="xsd:double"&gt;2.1252513&lt;/D&gt;&lt;D xsi:type="xsd:double"&gt;0.5669832&lt;/D&gt;&lt;D xsi:type="xsd:double"&gt;-0.6320238&lt;/D&gt;&lt;D xsi:type="xsd:double"&gt;-0.54407716&lt;/D&gt;&lt;D xsi:type="xsd:double"&gt;0.45796633&lt;/D&gt;&lt;D xsi:type="xsd:double"&gt;0.019025803&lt;/D&gt;&lt;D xsi:type="xsd:double"&gt;-0.14589429&lt;/D&gt;&lt;D xsi:type="xsd:double"&gt;0.47820807&lt;/D&gt;&lt;D xsi:type="xsd:double"&gt;0.2061367&lt;/D&gt;&lt;D xsi:type="xsd:double"&gt;-1.0858715&lt;/D&gt;&lt;D xsi:type="xsd:double"&gt;-1.4949739&lt;/D&gt;&lt;D xsi:type="xsd:double"&gt;2.1459699&lt;/D&gt;&lt;D xsi:type="xsd:double"&gt;-2.6397645&lt;/D&gt;&lt;D xsi:type="xsd:double"&gt;-1.007098&lt;/D&gt;&lt;D xsi:type="xsd:double"&gt;-0.055021048&lt;/D&gt;&lt;D xsi:type="xsd:double"&gt;-0.62919855&lt;/D&gt;&lt;D xsi:type="xsd:double"&gt;-0.46792626&lt;/D&gt;&lt;D xsi:type="xsd:double"&gt;-2.0070493&lt;/D&gt;&lt;D xsi:type="xsd:double"&gt;0.37264824&lt;/D&gt;&lt;D xsi:type="xsd:double"&gt;0.46087503&lt;/D&gt;&lt;D xsi:type="xsd:double"&gt;-2.0782888&lt;/D&gt;&lt;D xsi:type="xsd:double"&gt;-0.7793069&lt;/D&gt;&lt;D xsi:type="xsd:double"&gt;1.0761738&lt;/D&gt;&lt;D xsi:type="xsd:double"&gt;-0.6017864&lt;/D&gt;&lt;D xsi:type="xsd:double"&gt;-1.3786018&lt;/D&gt;&lt;D xsi:type="xsd:double"&gt;-0.56972504&lt;/D&gt;&lt;D xsi:type="xsd:double"&gt;0.7023692&lt;/D&gt;&lt;D xsi:type="xsd:double"&gt;0.2310276&lt;/D&gt;&lt;D xsi:type="xsd:double"&gt;-0.6249428&lt;/D&gt;&lt;D xsi:type="xsd:double"&gt;1.3238311&lt;/D&gt;&lt;D xsi:type="xsd:double"&gt;0.07288456&lt;/D&gt;&lt;D xsi:type="xsd:double"&gt;1.2525439&lt;/D&gt;&lt;D xsi:type="xsd:double"&gt;1.1668563&lt;/D&gt;&lt;D xsi:type="xsd:double"&gt;-1.303047&lt;/D&gt;&lt;D xsi:type="xsd:double"&gt;0.27695894&lt;/D&gt;&lt;D xsi:type="xsd:double"&gt;-0.15513301&lt;/D&gt;&lt;D xsi:type="xsd:double"&gt;0.39007664&lt;/D&gt;&lt;D xsi:type="xsd:double"&gt;-1.3476908&lt;/D&gt;&lt;D xsi:type="xsd:double"&gt;-0.4395604&lt;/D&gt;&lt;D xsi:type="xsd:double"&gt;0.29530525&lt;/D&gt;&lt;D xsi:type="xsd:double"&gt;-2.4790585&lt;/D&gt;&lt;D xsi:type="xsd:double"&gt;2.005434&lt;/D&gt;&lt;D xsi:type="xsd:double"&gt;-0.034463406&lt;/D&gt;&lt;D xsi:type="xsd:double"&gt;1.2720823&lt;/D&gt;&lt;D xsi:type="xsd:double"&gt;-0.8907497&lt;/D&gt;&lt;D xsi:type="xsd:double"&gt;0.016963482&lt;/D&gt;&lt;D xsi:type="xsd:double"&gt;0.6498933&lt;/D&gt;&lt;D xsi:type="xsd:double"&gt;-0.3196597&lt;/D&gt;&lt;D xsi:type="xsd:double"&gt;1.1162281&lt;/D&gt;&lt;D xsi:type="xsd:double"&gt;2.1963358&lt;/D&gt;&lt;D xsi:type="xsd:double"&gt;-1.0611475&lt;/D&gt;&lt;D xsi:type="xsd:double"&gt;0.0826478&lt;/D&gt;&lt;D xsi:type="xsd:double"&gt;0.23713112&lt;/D&gt;&lt;D xsi:type="xsd:double"&gt;1.6627908&lt;/D&gt;&lt;D xsi:type="xsd:double"&gt;0.025331974&lt;/D&gt;&lt;D xsi:type="xsd:double"&gt;-0.17634034&lt;/D&gt;&lt;D xsi:type="xsd:double"&gt;-1.9158125&lt;/D&gt;&lt;D xsi:type="xsd:double"&gt;-1.3261795&lt;/D&gt;&lt;D xsi:type="xsd:double"&gt;-1.131165&lt;/D&gt;&lt;D xsi:type="xsd:double"&gt;1.0419369&lt;/D&gt;&lt;D xsi:type="xsd:double"&gt;-0.545907&lt;/D&gt;&lt;D xsi:type="xsd:double"&gt;3.7617207&lt;/D&gt;&lt;D xsi:type="xsd:double"&gt;-0.5303681&lt;/D&gt;&lt;D xsi:type="xsd:double"&gt;-2.1473825&lt;/D&gt;&lt;D xsi:type="xsd:double"&gt;-0.22495389&lt;/D&gt;&lt;D xsi:type="xsd:double"&gt;0.18991232&lt;/D&gt;&lt;D xsi:type="xsd:double"&gt;0.027000904&lt;/D&gt;&lt;D xsi:type="xsd:double"&gt;-0.7653177&lt;/D&gt;&lt;D xsi:type="xsd:double"&gt;-0.86138844&lt;/D&gt;&lt;D xsi:type="xsd:double"&gt;-0.22972226&lt;/D&gt;&lt;D xsi:type="xsd:double"&gt;-1.0682404&lt;/D&gt;&lt;D xsi:type="xsd:double"&gt;0.043821335&lt;/D&gt;&lt;D xsi:type="xsd:double"&gt;-0.09224415&lt;/D&gt;&lt;D xsi:type="xsd:double"&gt;-0.60195327&lt;/D&gt;&lt;D xsi:type="xsd:double"&gt;0.93485117&lt;/D&gt;&lt;D xsi:type="xsd:double"&gt;-2.0320952&lt;/D&gt;&lt;D xsi:type="xsd:double"&gt;0.3794074&lt;/D&gt;&lt;D xsi:type="xsd:double"&gt;0.7079005&lt;/D&gt;&lt;D xsi:type="xsd:double"&gt;-0.21021962&lt;/D&gt;&lt;D xsi:type="xsd:double"&gt;-0.9106159&lt;/D&gt;&lt;D xsi:type="xsd:double"&gt;-0.555861&lt;/D&gt;&lt;D xsi:type="xsd:double"&gt;0.21903515&lt;/D&gt;&lt;D xsi:type="xsd:double"&gt;0.60601234&lt;/D&gt;&lt;D xsi:type="xsd:double"&gt;-0.08147955&lt;/D&gt;&lt;D xsi:type="xsd:double"&gt;0.7967472&lt;/D&gt;&lt;D xsi:type="xsd:double"&gt;0.36695004&lt;/D&gt;&lt;D xsi:type="xsd:double"&gt;0.029695034&lt;/D&gt;&lt;D xsi:type="xsd:double"&gt;0.30305386&lt;/D&gt;&lt;D xsi:type="xsd:double"&gt;1.0828972&lt;/D&gt;&lt;D xsi:type="xsd:double"&gt;1.276648&lt;/D&gt;&lt;D xsi:type="xsd:double"&gt;-0.31644702&lt;/D&gt;&lt;D xsi:type="xsd:double"&gt;0.8452296&lt;/D&gt;&lt;D xsi:type="xsd:double"&gt;-0.13971925&lt;/D&gt;&lt;D xsi:type="xsd:double"&gt;0.3951192&lt;/D&gt;&lt;D xsi:type="xsd:double"&gt;1.0629654&lt;/D&gt;&lt;D xsi:type="xsd:double"&gt;-1.2428939&lt;/D&gt;&lt;D xsi:type="xsd:double"&gt;0.767684&lt;/D&gt;&lt;D xsi:type="xsd:double"&gt;-1.4483154&lt;/D&gt;&lt;D xsi:type="xsd:double"&gt;2.4457693&lt;/D&gt;&lt;D xsi:type="xsd:double"&gt;-2.3458004&lt;/D&gt;&lt;D xsi:type="xsd:double"&gt;-1.095438&lt;/D&gt;&lt;D xsi:type="xsd:double"&gt;-1.5072286&lt;/D&gt;&lt;D xsi:type="xsd:double"&gt;0.9671807&lt;/D&gt;&lt;D xsi:type="xsd:double"&gt;1.4590263&lt;/D&gt;&lt;D xsi:type="xsd:double"&gt;1.1346817&lt;/D&gt;&lt;D xsi:type="xsd:double"&gt;-0.39915442&lt;/D&gt;&lt;D xsi:type="xsd:double"&gt;-0.69100857&lt;/D&gt;&lt;D xsi:type="xsd:double"&gt;-0.25404096&lt;/D&gt;&lt;D xsi:type="xsd:double"&gt;-0.8314848&lt;/D&gt;&lt;D xsi:type="xsd:double"&gt;-1.1707306&lt;/D&gt;&lt;D xsi:type="xsd:double"&gt;-0.23052096&lt;/D&gt;&lt;D xsi:type="xsd:double"&gt;1.4490843&lt;/D&gt;&lt;D xsi:type="xsd:double"&gt;-0.2952695&lt;/D&gt;&lt;D xsi:type="xsd:double"&gt;-2.000749&lt;/D&gt;&lt;D xsi:type="xsd:double"&gt;0.58802366&lt;/D&gt;&lt;D xsi:type="xsd:double"&gt;-0.3801167&lt;/D&gt;&lt;D xsi:type="xsd:double"&gt;0.5718827&lt;/D&gt;&lt;D xsi:type="xsd:double"&gt;-0.2980411&lt;/D&gt;&lt;D xsi:type="xsd:double"&gt;-1.5567422&lt;/D&gt;&lt;D xsi:type="xsd:double"&gt;0.4604578&lt;/D&gt;&lt;D xsi:type="xsd:double"&gt;-0.23870468&lt;/D&gt;&lt;D xsi:type="xsd:double"&gt;0.30704737&lt;/D&gt;&lt;D xsi:type="xsd:double"&gt;1.0152936&lt;/D&gt;&lt;D xsi:type="xsd:double"&gt;-1.0439336&lt;/D&gt;&lt;D xsi:type="xsd:double"&gt;0.169456&lt;/D&gt;&lt;D xsi:type="xsd:double"&gt;2.508521&lt;/D&gt;&lt;D xsi:type="xsd:double"&gt;-0.0998795&lt;/D&gt;&lt;D xsi:type="xsd:double"&gt;1.2454629&lt;/D&gt;&lt;D xsi:type="xsd:double"&gt;0.54774284&lt;/D&gt;&lt;D xsi:type="xsd:double"&gt;1.3621807&lt;/D&gt;&lt;D xsi:type="xsd:double"&gt;2.0830154&lt;/D&gt;&lt;D xsi:type="xsd:double"&gt;0.46323538&lt;/D&gt;&lt;D xsi:type="xsd:double"&gt;0.03902912&lt;/D&gt;&lt;D xsi:type="xsd:double"&gt;-1.3034344&lt;/D&gt;&lt;D xsi:type="xsd:double"&gt;0.40465593&lt;/D&gt;&lt;D xsi:type="xsd:double"&gt;-0.029700994&lt;/D&gt;&lt;D xsi:type="xsd:double"&gt;1.080358&lt;/D&gt;&lt;D xsi:type="xsd:double"&gt;-0.42040348&lt;/D&gt;&lt;D xsi:type="xsd:double"&gt;-0.4635334&lt;/D&gt;&lt;D xsi:type="xsd:double"&gt;0.1840949&lt;/D&gt;&lt;D xsi:type="xsd:double"&gt;0.24707317&lt;/D&gt;&lt;D xsi:type="xsd:double"&gt;-2.3242772&lt;/D&gt;&lt;D xsi:type="xsd:double"&gt;-0.6206393&lt;/D&gt;&lt;D xsi:type="xsd:double"&gt;0.3183961&lt;/D&gt;&lt;D xsi:type="xsd:double"&gt;0.25023222&lt;/D&gt;&lt;D xsi:type="xsd:double"&gt;-1.1946559&lt;/D&gt;&lt;D xsi:type="xsd:double"&gt;0.18103123&lt;/D&gt;&lt;D xsi:type="xsd:double"&gt;-1.0633528&lt;/D&gt;&lt;D xsi:type="xsd:double"&gt;0.6412506&lt;/D&gt;&lt;D xsi:type="xsd:double"&gt;-0.3338933&lt;/D&gt;&lt;D xsi:type="xsd:double"&gt;1.9850731&lt;/D&gt;&lt;D xsi:type="xsd:double"&gt;0.2375722&lt;/D&gt;&lt;D xsi:type="xsd:double"&gt;-1.2765944&lt;/D&gt;&lt;D xsi:type="xsd:double"&gt;-2.0042002&lt;/D&gt;&lt;D xsi:type="xsd:double"&gt;0.32567978&lt;/D&gt;&lt;D xsi:type="xsd:double"&gt;2.578473&lt;/D&gt;&lt;D xsi:type="xsd:double"&gt;-0.2344966&lt;/D&gt;&lt;D xsi:type="xsd:double"&gt;-0.40295124&lt;/D&gt;&lt;D xsi:type="xsd:double"&gt;-2.8553665&lt;/D&gt;&lt;D xsi:type="xsd:double"&gt;0.30320883&lt;/D&gt;&lt;D xsi:type="xsd:double"&gt;-0.12307763&lt;/D&gt;&lt;D xsi:type="xsd:double"&gt;1.0006428&lt;/D&gt;&lt;D xsi:type="xsd:double"&gt;-1.774013&lt;/D&gt;&lt;D xsi:type="xsd:double"&gt;-0.4916489&lt;/D&gt;&lt;D xsi:type="xsd:double"&gt;-0.855875&lt;/D&gt;&lt;D xsi:type="xsd:double"&gt;0.08788109&lt;/D&gt;&lt;D xsi:type="xsd:double"&gt;0.39509535&lt;/D&gt;&lt;D xsi:type="xsd:double"&gt;-1.080662&lt;/D&gt;&lt;D xsi:type="xsd:double"&gt;0.03759861&lt;/D&gt;&lt;D xsi:type="xsd:double"&gt;0.3678918&lt;/D&gt;&lt;D xsi:type="xsd:double"&gt;-0.49367547&lt;/D&gt;&lt;D xsi:type="xsd:double"&gt;0.020897388&lt;/D&gt;&lt;D xsi:type="xsd:double"&gt;0.52148104&lt;/D&gt;&lt;D xsi:type="xsd:double"&gt;0.62645674&lt;/D&gt;&lt;D xsi:type="xsd:double"&gt;-0.0856936&lt;/D&gt;&lt;D xsi:type="xsd:double"&gt;1.5118957&lt;/D&gt;&lt;D xsi:type="xsd:double"&gt;1.6864419&lt;/D&gt;&lt;D xsi:type="xsd:double"&gt;-0.07408261&lt;/D&gt;&lt;D xsi:type="xsd:double"&gt;0.8335948&lt;/D&gt;&lt;D xsi:type="xsd:double"&gt;0.32311678&lt;/D&gt;&lt;D xsi:type="xsd:double"&gt;1.1583805&lt;/D&gt;&lt;D xsi:type="xsd:double"&gt;0.35909414&lt;/D&gt;&lt;D xsi:type="xsd:double"&gt;0.5466461&lt;/D&gt;&lt;D xsi:type="xsd:double"&gt;-0.5321026&lt;/D&gt;&lt;D xsi:type="xsd:double"&gt;2.143383&lt;/D&gt;&lt;D xsi:type="xsd:double"&gt;0.7400274&lt;/D&gt;&lt;D xsi:type="xsd:double"&gt;-1.1473358&lt;/D&gt;&lt;D xsi:type="xsd:double"&gt;0.5953431&lt;/D&gt;&lt;D xsi:type="xsd:double"&gt;-0.36095977&lt;/D&gt;&lt;D xsi:type="xsd:double"&gt;-1.4639914&lt;/D&gt;&lt;D xsi:type="xsd:double"&gt;0.09992123&lt;/D&gt;&lt;D xsi:type="xsd:double"&gt;-2.036345&lt;/D&gt;&lt;D xsi:type="xsd:double"&gt;0.7043719&lt;/D&gt;&lt;D xsi:type="xsd:double"&gt;0.6807327&lt;/D&gt;&lt;D xsi:type="xsd:double"&gt;-0.29560924&lt;/D&gt;&lt;D xsi:type="xsd:double"&gt;2.4876833&lt;/D&gt;&lt;D xsi:type="xsd:double"&gt;-0.0003874302&lt;/D&gt;&lt;D xsi:type="xsd:double"&gt;3.5454512&lt;/D&gt;&lt;D xsi:type="xsd:double"&gt;0.06300211&lt;/D&gt;&lt;D xsi:type="xsd:double"&gt;-1.7302513&lt;/D&gt;&lt;D xsi:type="xsd:double"&gt;-0.8383155&lt;/D&gt;&lt;D xsi:type="xsd:double"&gt;-0.71947575&lt;/D&gt;&lt;D xsi:type="xsd:double"&gt;-1.0494709&lt;/D&gt;&lt;D xsi:type="xsd:double"&gt;-0.38303137&lt;/D&gt;&lt;D xsi:type="xsd:double"&gt;-0.33591986&lt;/D&gt;&lt;D xsi:type="xsd:double"&gt;1.0617733&lt;/D&gt;&lt;D xsi:type="xsd:double"&gt;-1.4018476&lt;/D&gt;&lt;D xsi:type="xsd:double"&gt;-0.038856268&lt;/D&gt;&lt;D xsi:type="xsd:double"&gt;-0.023239851&lt;/D&gt;&lt;D xsi:type="xsd:double"&gt;0.964272&lt;/D&gt;&lt;D xsi:type="xsd:double"&gt;-0.104123354&lt;/D&gt;&lt;D xsi:type="xsd:double"&gt;-2.812606&lt;/D&gt;&lt;D xsi:type="xsd:double"&gt;2.1637917&lt;/D&gt;&lt;D xsi:type="xsd:double"&gt;0.8857608&lt;/D&gt;&lt;D xsi:type="xsd:double"&gt;0.42073727&lt;/D&gt;&lt;D xsi:type="xsd:double"&gt;-0.35600066&lt;/D&gt;&lt;D xsi:type="xsd:double"&gt;0.4520893&lt;/D&gt;&lt;D xsi:type="xsd:double"&gt;-0.29533505&lt;/D&gt;&lt;D xsi:type="xsd:double"&gt;-1.3110459&lt;/D&gt;&lt;D xsi:type="xsd:double"&gt;0.5518794&lt;/D&gt;&lt;D xsi:type="xsd:double"&gt;-2.023363&lt;/D&gt;&lt;D xsi:type="xsd:double"&gt;1.8073916&lt;/D&gt;&lt;D xsi:type="xsd:double"&gt;2.6777148&lt;/D&gt;&lt;D xsi:type="xsd:double"&gt;-1.1971295&lt;/D&gt;&lt;D xsi:type="xsd:double"&gt;1.5439868&lt;/D&gt;&lt;D xsi:type="xsd:double"&gt;-1.8401563&lt;/D&gt;&lt;D xsi:type="xsd:double"&gt;1.394403&lt;/D&gt;&lt;D xsi:type="xsd:double"&gt;-0.27416945&lt;/D&gt;&lt;D xsi:type="xsd:double"&gt;-1.8136978&lt;/D&gt;&lt;D xsi:type="xsd:double"&gt;0.44996738&lt;/D&gt;&lt;D xsi:type="xsd:double"&gt;-0.44269562&lt;/D&gt;&lt;D xsi:type="xsd:double"&gt;2.0166159&lt;/D&gt;&lt;D xsi:type="xsd:double"&gt;-1.4570236&lt;/D&gt;&lt;D xsi:type="xsd:double"&gt;-1.1611283&lt;/D&gt;&lt;D xsi:type="xsd:double"&gt;0.310719&lt;/D&gt;&lt;D xsi:type="xsd:double"&gt;-0.73730946&lt;/D&gt;&lt;D xsi:type="xsd:double"&gt;-1.5075922&lt;/D&gt;&lt;D xsi:type="xsd:double"&gt;0.7382035&lt;/D&gt;&lt;D xsi:type="xsd:double"&gt;-2.4899423&lt;/D&gt;&lt;D xsi:type="xsd:double"&gt;0.9369135&lt;/D&gt;&lt;D xsi:type="xsd:double"&gt;-1.032114&lt;/D&gt;&lt;D xsi:type="xsd:double"&gt;1.1266232&lt;/D&gt;&lt;D xsi:type="xsd:double"&gt;-0.528419&lt;/D&gt;&lt;D xsi:type="xsd:double"&gt;-0.09201765&lt;/D&gt;&lt;D xsi:type="xsd:double"&gt;0.7244706&lt;/D&gt;&lt;D xsi:type="xsd:double"&gt;1.0886908&lt;/D&gt;&lt;D xsi:type="xsd:double"&gt;-0.024610758&lt;/D&gt;&lt;D xsi:type="xsd:double"&gt;0.6577611&lt;/D&gt;&lt;D xsi:type="xsd:double"&gt;1.1103988&lt;/D&gt;&lt;D xsi:type="xsd:double"&gt;-3.5949051&lt;/D&gt;&lt;D xsi:type="xsd:double"&gt;-0.40519834&lt;/D&gt;&lt;D xsi:type="xsd:double"&gt;1.6354084&lt;/D&gt;&lt;D xsi:type="xsd:double"&gt;-0.0076651573&lt;/D&gt;&lt;D xsi:type="xsd:double"&gt;0.9501934&lt;/D&gt;&lt;D xsi:type="xsd:double"&gt;1.8350601&lt;/D&gt;&lt;D xsi:type="xsd:double"&gt;-0.72782636&lt;/D&gt;&lt;D xsi:type="xsd:double"&gt;0.14146566&lt;/D&gt;&lt;D xsi:type="xsd:double"&gt;-0.4091859&lt;/D&gt;&lt;D xsi:type="xsd:double"&gt;1.0473132&lt;/D&gt;&lt;D xsi:type="xsd:double"&gt;-0.5415976&lt;/D&gt;&lt;D xsi:type="xsd:double"&gt;-1.1654496&lt;/D&gt;&lt;D xsi:type="xsd:double"&gt;-0.43973923&lt;/D&gt;&lt;D xsi:type="xsd:double"&gt;1.2857199&lt;/D&gt;&lt;D xsi:type="xsd:double"&gt;-0.4903078&lt;/D&gt;&lt;D xsi:type="xsd:double"&gt;2.0852923&lt;/D&gt;&lt;D xsi:type="xsd:double"&gt;2.6503325&lt;/D&gt;&lt;D xsi:type="xsd:double"&gt;1.6001105&lt;/D&gt;&lt;D xsi:type="xsd:double"&gt;-0.10957718&lt;/D&gt;&lt;D xsi:type="xsd:double"&gt;-1.4113784&lt;/D&gt;&lt;D xsi:type="xsd:double"&gt;-0.10455847&lt;/D&gt;&lt;D xsi:type="xsd:double"&gt;-1.7247796&lt;/D&gt;&lt;D xsi:type="xsd:double"&gt;2.4004102&lt;/D&gt;&lt;D xsi:type="xsd:double"&gt;-1.1872888&lt;/D&gt;&lt;D xsi:type="xsd:double"&gt;-0.81133246&lt;/D&gt;&lt;D xsi:type="xsd:double"&gt;2.7447462&lt;/D&gt;&lt;D xsi:type="xsd:double"&gt;0.900507&lt;/D&gt;&lt;D xsi:type="xsd:double"&gt;2.3628592&lt;/D&gt;&lt;D xsi:type="xsd:double"&gt;-4.4373393&lt;/D&gt;&lt;D xsi:type="xsd:double"&gt;0.31811&lt;/D&gt;&lt;D xsi:type="xsd:double"&gt;0.18148422&lt;/D&gt;&lt;D xsi:type="xsd:double"&gt;2.535355&lt;/D&gt;&lt;D xsi:type="xsd:double"&gt;4.349375&lt;/D&gt;&lt;D xsi:type="xsd:double"&gt;1.7732501&lt;/D&gt;&lt;D xsi:type="xsd:double"&gt;-0.93318224&lt;/D&gt;&lt;D xsi:type="xsd:double"&gt;-2.3947&lt;/D&gt;&lt;/FQL&gt;&lt;FQL&gt;&lt;Q&gt;MSFT-US^P_PRICE_RETURNS(0,45961,45961-5AY,D,USD)&lt;/Q&gt;&lt;R&gt;1257&lt;/R&gt;&lt;C&gt;1&lt;/C&gt;&lt;D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xsi:type="xsd:double"&gt;-6.0527563&lt;/D&gt;&lt;D xsi:type="xsd:double"&gt;0.13427734&lt;/D&gt;&lt;D xsi:type="xsd:double"&gt;1.2564778&lt;/D&gt;&lt;D xsi:type="xsd:double"&gt;-0.36435723&lt;/D&gt;&lt;D xsi:type="xsd:double"&gt;0.80521107&lt;/D&gt;&lt;D xsi:type="xsd:double"&gt;0.030612946&lt;/D&gt;&lt;D xsi:type="xsd:double"&gt;-0.68068504&lt;/D&gt;&lt;D xsi:type="xsd:double"&gt;2.0846248&lt;/D&gt;&lt;D xsi:type="xsd:double"&gt;0.14827251&lt;/D&gt;&lt;D xsi:type="xsd:double"&gt;0.34555197&lt;/D&gt;&lt;D xsi:type="xsd:double"&gt;0.14419556&lt;/D&gt;&lt;D xsi:type="xsd:double"&gt;-0.62568784&lt;/D&gt;&lt;D xsi:type="xsd:double"&gt;-0.09543896&lt;/D&gt;&lt;D xsi:type="xsd:double"&gt;0.677371&lt;/D&gt;&lt;D xsi:type="xsd:double"&gt;0.115430355&lt;/D&gt;&lt;D xsi:type="xsd:double"&gt;-0.388062&lt;/D&gt;&lt;D xsi:type="xsd:double"&gt;0.6631136&lt;/D&gt;&lt;D xsi:type="xsd:double"&gt;1.2623906&lt;/D&gt;&lt;D xsi:type="xsd:double"&gt;-1.5670776&lt;/D&gt;&lt;D xsi:type="xsd:double"&gt;-0.11523962&lt;/D&gt;&lt;D xsi:type="xsd:double"&gt;-0.14144182&lt;/D&gt;&lt;D xsi:type="xsd:double"&gt;-0.846231&lt;/D&gt;&lt;D xsi:type="xsd:double"&gt;-2.2333205&lt;/D&gt;&lt;D xsi:type="xsd:double"&gt;0.5326867&lt;/D&gt;&lt;D xsi:type="xsd:double"&gt;-0.7627964&lt;/D&gt;&lt;D xsi:type="xsd:double"&gt;-0.18513799&lt;/D&gt;&lt;D xsi:type="xsd:double"&gt;0.6850362&lt;/D&gt;&lt;D xsi:type="xsd:double"&gt;-1.0011315&lt;/D&gt;&lt;D xsi:type="xsd:double"&gt;-0.40434003&lt;/D&gt;&lt;D xsi:type="xsd:double"&gt;-0.77959895&lt;/D&gt;&lt;D xsi:type="xsd:double"&gt;1.8291116&lt;/D&gt;&lt;D xsi:type="xsd:double"&gt;-0.99735856&lt;/D&gt;&lt;D xsi:type="xsd:double"&gt;0.88329315&lt;/D&gt;&lt;D xsi:type="xsd:double"&gt;0.1741767&lt;/D&gt;&lt;D xsi:type="xsd:double"&gt;0.84074736&lt;/D&gt;&lt;D xsi:type="xsd:double"&gt;0.936079&lt;/D&gt;&lt;D xsi:type="xsd:double"&gt;2.1342397&lt;/D&gt;&lt;D xsi:type="xsd:double"&gt;2.0901084&lt;/D&gt;&lt;D xsi:type="xsd:double"&gt;1.0007381&lt;/D&gt;&lt;D xsi:type="xsd:double"&gt;-1.6381383&lt;/D&gt;&lt;D xsi:type="xsd:double"&gt;-0.12472272&lt;/D&gt;&lt;D xsi:type="xsd:double"&gt;-0.1318872&lt;/D&gt;&lt;D xsi:type="xsd:double"&gt;-1.8459082&lt;/D&gt;&lt;D xsi:type="xsd:double"&gt;0.97309349999999994&lt;/D&gt;&lt;D xsi:type="xsd:double"&gt;0.6137371&lt;/D&gt;&lt;D xsi:type="xsd:double"&gt;-0.782907&lt;/D&gt;&lt;D xsi:type="xsd:double"&gt;0.08465052&lt;/D&gt;&lt;D xsi:type="xsd:double"&gt;-0.7917702&lt;/D&gt;&lt;D xsi:type="xsd:double"&gt;0.2984047&lt;/D&gt;&lt;D xsi:type="xsd:double"&gt;-2.0252824&lt;/D&gt;&lt;D xsi:type="xsd:double"&gt;-0.1553595&lt;/D&gt;&lt;D xsi:type="xsd:double"&gt;0.77574253&lt;/D&gt;&lt;D xsi:type="xsd:double"&gt;0.7312298&lt;/D&gt;&lt;D xsi:type="xsd:double"&gt;-0.60803294&lt;/D&gt;&lt;D xsi:type="xsd:double"&gt;1.0003448&lt;/D&gt;&lt;D xsi:type="xsd:double"&gt;0.68838596&lt;/D&gt;&lt;D xsi:type="xsd:double"&gt;1.7698765&lt;/D&gt;&lt;D xsi:type="xsd:double"&gt;0.1945734&lt;/D&gt;&lt;D xsi:type="xsd:double"&gt;0.826931&lt;/D&gt;&lt;D xsi:type="xsd:double"&gt;1.0692&lt;/D&gt;&lt;D xsi:type="xsd:double"&gt;-0.29528737&lt;/D&gt;&lt;D xsi:type="xsd:double"&gt;1.1286855&lt;/D&gt;&lt;D xsi:type="xsd:double"&gt;-3.2656848&lt;/D&gt;&lt;D xsi:type="xsd:double"&gt;-2.0666003&lt;/D&gt;&lt;D xsi:type="xsd:double"&gt;-0.29640794&lt;/D&gt;&lt;D xsi:type="xsd:double"&gt;-1.0805845&lt;/D&gt;&lt;D xsi:type="xsd:double"&gt;-0.89283586&lt;/D&gt;&lt;D xsi:type="xsd:double"&gt;0.34331083&lt;/D&gt;&lt;D xsi:type="xsd:double"&gt;1.6419649&lt;/D&gt;&lt;D xsi:type="xsd:double"&gt;-2.4481237&lt;/D&gt;&lt;D xsi:type="xsd:double"&gt;-3.5854816&lt;/D&gt;&lt;D xsi:type="xsd:double"&gt;0.43121576&lt;/D&gt;&lt;D xsi:type="xsd:double"&gt;1.3337612&lt;/D&gt;&lt;D xsi:type="xsd:double"&gt;-0.7402897&lt;/D&gt;&lt;D xsi:type="xsd:double"&gt;-0.7102251&lt;/D&gt;&lt;D xsi:type="xsd:double"&gt;-1.3347566&lt;/D&gt;&lt;D xsi:type="xsd:double"&gt;-0.9780586&lt;/D&gt;&lt;D xsi:type="xsd:double"&gt;0.090396404&lt;/D&gt;&lt;D xsi:type="xsd:double"&gt;-0.2529204&lt;/D&gt;&lt;D xsi:type="xsd:double"&gt;-2.4772108&lt;/D&gt;&lt;D xsi:type="xsd:double"&gt;1.4601588&lt;/D&gt;&lt;D xsi:type="xsd:double"&gt;-1.4370263&lt;/D&gt;&lt;D xsi:type="xsd:double"&gt;-0.2823174&lt;/D&gt;&lt;D xsi:type="xsd:double"&gt;1.4736176&lt;/D&gt;&lt;D xsi:type="xsd:double"&gt;0.32441616&lt;/D&gt;&lt;D xsi:type="xsd:double"&gt;0.5583167&lt;/D&gt;&lt;D xsi:type="xsd:double"&gt;2.188158&lt;/D&gt;&lt;D xsi:type="xsd:double"&gt;-1.3028562&lt;/D&gt;&lt;D xsi:type="xsd:double"&gt;0.15259981&lt;/D&gt;&lt;D xsi:type="xsd:double"&gt;0.26831627&lt;/D&gt;&lt;D xsi:type="xsd:double"&gt;0.73268414&lt;/D&gt;&lt;D xsi:type="xsd:double"&gt;-0.4691124&lt;/D&gt;&lt;D xsi:type="xsd:double"&gt;0.91540813&lt;/D&gt;&lt;D xsi:type="xsd:double"&gt;-0.14338493&lt;/D&gt;&lt;D xsi:type="xsd:double"&gt;-0.45275092&lt;/D&gt;&lt;D xsi:type="xsd:double"&gt;1.3105273&lt;/D&gt;&lt;D xsi:type="xsd:double"&gt;0.22419691&lt;/D&gt;&lt;D xsi:type="xsd:double"&gt;0.11789799&lt;/D&gt;&lt;D xsi:type="xsd:double"&gt;1.9367695&lt;/D&gt;&lt;D xsi:type="xsd:double"&gt;1.1241674&lt;/D&gt;&lt;D xsi:type="xsd:double"&gt;0.948441&lt;/D&gt;&lt;D xsi:type="xsd:double"&gt;-0.15782118&lt;/D&gt;&lt;D xsi:type="xsd:double"&gt;0.12027025&lt;/D&gt;&lt;D xsi:type="xsd:double"&gt;1.9083381&lt;/D&gt;&lt;D xsi:type="xsd:double"&gt;0.61665773&lt;/D&gt;&lt;D xsi:type="xsd:double"&gt;-0.3878355&lt;/D&gt;&lt;D xsi:type="xsd:double"&gt;0.110924244&lt;/D&gt;&lt;D xsi:type="xsd:double"&gt;-3.3786118&lt;/D&gt;&lt;D xsi:type="xsd:double"&gt;-0.2672434&lt;/D&gt;&lt;D xsi:type="xsd:double"&gt;0.0371933&lt;/D&gt;&lt;D xsi:type="xsd:double"&gt;0.74005127&lt;/D&gt;&lt;D xsi:type="xsd:double"&gt;-0.8176148&lt;/D&gt;&lt;D xsi:type="xsd:double"&gt;0.34495592&lt;/D&gt;&lt;D xsi:type="xsd:double"&gt;0.869894&lt;/D&gt;&lt;D xsi:type="xsd:double"&gt;1.2208223&lt;/D&gt;&lt;D xsi:type="xsd:double"&gt;-0.18527508&lt;/D&gt;&lt;D xsi:type="xsd:double"&gt;-0.49399734&lt;/D&gt;&lt;D xsi:type="xsd:double"&gt;1.5651941&lt;/D&gt;&lt;D xsi:type="xsd:double"&gt;0.6864548&lt;/D&gt;&lt;D xsi:type="xsd:double"&gt;-0.24593472&lt;/D&gt;&lt;D xsi:type="xsd:double"&gt;0.586915&lt;/D&gt;&lt;D xsi:type="xsd:double"&gt;0.4335761&lt;/D&gt;&lt;D xsi:type="xsd:double"&gt;0.29315948&lt;/D&gt;&lt;D xsi:type="xsd:double"&gt;-1.0156214&lt;/D&gt;&lt;D xsi:type="xsd:double"&gt;1.6918302&lt;/D&gt;&lt;D xsi:type="xsd:double"&gt;2.216971&lt;/D&gt;&lt;D xsi:type="xsd:double"&gt;0.73428154&lt;/D&gt;&lt;D xsi:type="xsd:double"&gt;1.4409423&lt;/D&gt;&lt;D xsi:type="xsd:double"&gt;-3.2119334&lt;/D&gt;&lt;D xsi:type="xsd:double"&gt;-1.0016739&lt;/D&gt;&lt;D xsi:type="xsd:double"&gt;1.824379&lt;/D&gt;&lt;D xsi:type="xsd:double"&gt;-2.4495184&lt;/D&gt;&lt;D xsi:type="xsd:double"&gt;0.36557913&lt;/D&gt;&lt;D xsi:type="xsd:double"&gt;1.6485453&lt;/D&gt;&lt;D xsi:type="xsd:double"&gt;0.4610181&lt;/D&gt;&lt;D xsi:type="xsd:double"&gt;-1.2739003&lt;/D&gt;&lt;D xsi:type="xsd:double"&gt;-1.838094&lt;/D&gt;&lt;D xsi:type="xsd:double"&gt;-0.6609082&lt;/D&gt;&lt;D xsi:type="xsd:double"&gt;0.22724867&lt;/D&gt;&lt;D xsi:type="xsd:double"&gt;-1.957804&lt;/D&gt;&lt;D xsi:type="xsd:double"&gt;-1.4091074&lt;/D&gt;&lt;D xsi:type="xsd:double"&gt;1.1033416&lt;/D&gt;&lt;D xsi:type="xsd:double"&gt;-0.70845485&lt;/D&gt;&lt;D xsi:type="xsd:double"&gt;0.3980279&lt;/D&gt;&lt;D xsi:type="xsd:double"&gt;-0.21855235&lt;/D&gt;&lt;D xsi:type="xsd:double"&gt;1.8282771&lt;/D&gt;&lt;D xsi:type="xsd:double"&gt;-0.6112516&lt;/D&gt;&lt;D xsi:type="xsd:double"&gt;-0.23490787&lt;/D&gt;&lt;D xsi:type="xsd:double"&gt;-0.73722005&lt;/D&gt;&lt;D xsi:type="xsd:double"&gt;0.9150982&lt;/D&gt;&lt;D xsi:type="xsd:double"&gt;-0.16847253&lt;/D&gt;&lt;D xsi:type="xsd:double"&gt;-0.052177906&lt;/D&gt;&lt;D xsi:type="xsd:double"&gt;-0.28614402&lt;/D&gt;&lt;D xsi:type="xsd:double"&gt;-1.3714612&lt;/D&gt;&lt;D xsi:type="xsd:double"&gt;-0.14672875&lt;/D&gt;&lt;D xsi:type="xsd:double"&gt;0.97358227&lt;/D&gt;&lt;D xsi:type="xsd:double"&gt;0.90647936&lt;/D&gt;&lt;D xsi:type="xsd:double"&gt;0.98006725&lt;/D&gt;&lt;D xsi:type="xsd:double"&gt;0.21612644&lt;/D&gt;&lt;D xsi:type="xsd:double"&gt;-2.069515&lt;/D&gt;&lt;D xsi:type="xsd:double"&gt;2.437961&lt;/D&gt;&lt;D xsi:type="xsd:double"&gt;-0.043344498&lt;/D&gt;&lt;D xsi:type="xsd:double"&gt;2.6599407&lt;/D&gt;&lt;D xsi:type="xsd:double"&gt;-0.41849613&lt;/D&gt;&lt;D xsi:type="xsd:double"&gt;-0.7136941&lt;/D&gt;&lt;D xsi:type="xsd:double"&gt;1.7533422&lt;/D&gt;&lt;D xsi:type="xsd:double"&gt;-0.13907552&lt;/D&gt;&lt;D xsi:type="xsd:double</t>
        </r>
      </text>
    </comment>
    <comment ref="A3" authorId="0" shapeId="0" xr:uid="{AAFD28CF-87FC-44B4-9E3E-0905EE4B8CBB}">
      <text>
        <r>
          <rPr>
            <b/>
            <sz val="9"/>
            <color indexed="81"/>
            <rFont val="Tahoma"/>
            <charset val="1"/>
          </rPr>
          <t>"&gt;-2.957201&lt;/D&gt;&lt;D xsi:type="xsd:double"&gt;-0.13958812&lt;/D&gt;&lt;D xsi:type="xsd:double"&gt;0.44965744&lt;/D&gt;&lt;D xsi:type="xsd:double"&gt;1.4519811&lt;/D&gt;&lt;D xsi:type="xsd:double"&gt;0.05890131&lt;/D&gt;&lt;D xsi:type="xsd:double"&gt;-0.014722347&lt;/D&gt;&lt;D xsi:type="xsd:double"&gt;-0.68235993&lt;/D&gt;&lt;D xsi:type="xsd:double"&gt;-0.3182292&lt;/D&gt;&lt;D xsi:type="xsd:double"&gt;2.3546696&lt;/D&gt;&lt;D xsi:type="xsd:double"&gt;-0.15144944&lt;/D&gt;&lt;D xsi:type="xsd:double"&gt;-0.3143072&lt;/D&gt;&lt;D xsi:type="xsd:double"&gt;-0.6149173&lt;/D&gt;&lt;D xsi:type="xsd:double"&gt;-0.71552396&lt;/D&gt;&lt;D xsi:type="xsd:double"&gt;0.7801652&lt;/D&gt;&lt;D xsi:type="xsd:double"&gt;-2.1528661&lt;/D&gt;&lt;D xsi:type="xsd:double"&gt;-1.2578726&lt;/D&gt;&lt;D xsi:type="xsd:double"&gt;1.5551448&lt;/D&gt;&lt;D xsi:type="xsd:double"&gt;0.01449585&lt;/D&gt;&lt;D xsi:type="xsd:double"&gt;2.1110296&lt;/D&gt;&lt;D xsi:type="xsd:double"&gt;-0.039446354&lt;/D&gt;&lt;D xsi:type="xsd:double"&gt;-1.3545096&lt;/D&gt;&lt;D xsi:type="xsd:double"&gt;1.8425822&lt;/D&gt;&lt;D xsi:type="xsd:double"&gt;1.5594363&lt;/D&gt;&lt;D xsi:type="xsd:double"&gt;-2.6946366&lt;/D&gt;&lt;D xsi:type="xsd:double"&gt;-0.27579665&lt;/D&gt;&lt;D xsi:type="xsd:double"&gt;1.4334202&lt;/D&gt;&lt;D xsi:type="xsd:double"&gt;-0.23217201&lt;/D&gt;&lt;D xsi:type="xsd:double"&gt;0.57382584&lt;/D&gt;&lt;D xsi:type="xsd:double"&gt;0.91753006&lt;/D&gt;&lt;D xsi:type="xsd:double"&gt;0.60275793&lt;/D&gt;&lt;D xsi:type="xsd:double"&gt;-0.54180026&lt;/D&gt;&lt;D xsi:type="xsd:double"&gt;1.2186766&lt;/D&gt;&lt;D xsi:type="xsd:double"&gt;1.1297345&lt;/D&gt;&lt;D xsi:type="xsd:double"&gt;-0.20498037&lt;/D&gt;&lt;D xsi:type="xsd:double"&gt;0.4633546&lt;/D&gt;&lt;D xsi:type="xsd:double"&gt;0.9983659&lt;/D&gt;&lt;D xsi:type="xsd:double"&gt;0.48593283&lt;/D&gt;&lt;D xsi:type="xsd:double"&gt;1.8574119&lt;/D&gt;&lt;D xsi:type="xsd:double"&gt;0.29357672&lt;/D&gt;&lt;D xsi:type="xsd:double"&gt;1.8871546&lt;/D&gt;&lt;D xsi:type="xsd:double"&gt;-0.051641464&lt;/D&gt;&lt;D xsi:type="xsd:double"&gt;-0.7177532&lt;/D&gt;&lt;D xsi:type="xsd:double"&gt;-0.07280111&lt;/D&gt;&lt;D xsi:type="xsd:double"&gt;-1.3748586&lt;/D&gt;&lt;D xsi:type="xsd:double"&gt;0.20251274&lt;/D&gt;&lt;D xsi:type="xsd:double"&gt;0.3234625&lt;/D&gt;&lt;D xsi:type="xsd:double"&gt;-0.15747547&lt;/D&gt;&lt;D xsi:type="xsd:double"&gt;0.021362305&lt;/D&gt;&lt;D xsi:type="xsd:double"&gt;0.2784133&lt;/D&gt;&lt;D xsi:type="xsd:double"&gt;0.78787804&lt;/D&gt;&lt;D xsi:type="xsd:double"&gt;-0.7072866&lt;/D&gt;&lt;D xsi:type="xsd:double"&gt;0.1636982&lt;/D&gt;&lt;D xsi:type="xsd:double"&gt;0.51789284&lt;/D&gt;&lt;D xsi:type="xsd:double"&gt;1.3117313&lt;/D&gt;&lt;D xsi:type="xsd:double"&gt;-2.2544563&lt;/D&gt;&lt;D xsi:type="xsd:double"&gt;-0.0026762486&lt;/D&gt;&lt;D xsi:type="xsd:double"&gt;0.82951784&lt;/D&gt;&lt;D xsi:type="xsd:double"&gt;-0.78294873&lt;/D&gt;&lt;D xsi:type="xsd:double"&gt;0.88421106&lt;/D&gt;&lt;D xsi:type="xsd:double"&gt;0.5829811&lt;/D&gt;&lt;D xsi:type="xsd:double"&gt;-0.9986043&lt;/D&gt;&lt;D xsi:type="xsd:double"&gt;0.91563463&lt;/D&gt;&lt;D xsi:type="xsd:double"&gt;-1.4338732&lt;/D&gt;&lt;D xsi:type="xsd:double"&gt;-1.1612236&lt;/D&gt;&lt;D xsi:type="xsd:double"&gt;0.015830994&lt;/D&gt;&lt;D xsi:type="xsd:double"&gt;-1.0060132&lt;/D&gt;&lt;D xsi:type="xsd:double"&gt;1.0802746&lt;/D&gt;&lt;D xsi:type="xsd:double"&gt;0.31263828&lt;/D&gt;&lt;D xsi:type="xsd:double"&gt;-0.1111567&lt;/D&gt;&lt;D xsi:type="xsd:double"&gt;1.2812614&lt;/D&gt;&lt;D xsi:type="xsd:double"&gt;-1.1577964&lt;/D&gt;&lt;D xsi:type="xsd:double"&gt;2.052188&lt;/D&gt;&lt;D xsi:type="xsd:double"&gt;-1.680094&lt;/D&gt;&lt;D xsi:type="xsd:double"&gt;1.7583251&lt;/D&gt;&lt;D xsi:type="xsd:double"&gt;-0.16203523&lt;/D&gt;&lt;D xsi:type="xsd:double"&gt;0.979054&lt;/D&gt;&lt;D xsi:type="xsd:double"&gt;-0.808835&lt;/D&gt;&lt;D xsi:type="xsd:double"&gt;2.489674&lt;/D&gt;&lt;D xsi:type="xsd:double"&gt;-0.6910801&lt;/D&gt;&lt;D xsi:type="xsd:double"&gt;0.7405758&lt;/D&gt;&lt;D xsi:type="xsd:double"&gt;1.1219263&lt;/D&gt;&lt;D xsi:type="xsd:double"&gt;1.0572553&lt;/D&gt;&lt;D xsi:type="xsd:double"&gt;1.2861729&lt;/D&gt;&lt;D xsi:type="xsd:double"&gt;0.65015554&lt;/D&gt;&lt;D xsi:type="xsd:double"&gt;2.3542643&lt;/D&gt;&lt;D xsi:type="xsd:double"&gt;0.23716688&lt;/D&gt;&lt;D xsi:type="xsd:double"&gt;2.2740364&lt;/D&gt;&lt;D xsi:type="xsd:double"&gt;0.58555603&lt;/D&gt;&lt;D xsi:type="xsd:double"&gt;-3.751433&lt;/D&gt;&lt;D xsi:type="xsd:double"&gt;3.0678034&lt;/D&gt;&lt;D xsi:type="xsd:double"&gt;0.36742687&lt;/D&gt;&lt;D xsi:type="xsd:double"&gt;0.8112192&lt;/D&gt;&lt;D xsi:type="xsd:double"&gt;-1.4034748&lt;/D&gt;&lt;D xsi:type="xsd:double"&gt;0.36655664&lt;/D&gt;&lt;D xsi:type="xsd:double"&gt;-0.5872488&lt;/D&gt;&lt;D xsi:type="xsd:double"&gt;-0.17436743&lt;/D&gt;&lt;D xsi:type="xsd:double"&gt;1.4981866&lt;/D&gt;&lt;D xsi:type="xsd:double"&gt;-1.0357499&lt;/D&gt;&lt;D xsi:type="xsd:double"&gt;-0.37904382&lt;/D&gt;&lt;D xsi:type="xsd:double"&gt;1.2272&lt;/D&gt;&lt;D xsi:type="xsd:double"&gt;-0.43357015&lt;/D&gt;&lt;D xsi:type="xsd:double"&gt;0.78225136&lt;/D&gt;&lt;D xsi:type="xsd:double"&gt;2.4737&lt;/D&gt;&lt;D xsi:type="xsd:double"&gt;0.12698174&lt;/D&gt;&lt;D xsi:type="xsd:double"&gt;1.7757297&lt;/D&gt;&lt;D xsi:type="xsd:double"&gt;-2.6134133&lt;/D&gt;&lt;D xsi:type="xsd:double"&gt;1.9160748&lt;/D&gt;&lt;D xsi:type="xsd:double"&gt;0.6727457&lt;/D&gt;&lt;D xsi:type="xsd:double"&gt;0.2717495&lt;/D&gt;&lt;D xsi:type="xsd:double"&gt;0.20823479&lt;/D&gt;&lt;D xsi:type="xsd:double"&gt;-1.7005742&lt;/D&gt;&lt;D xsi:type="xsd:double"&gt;0.16719103&lt;/D&gt;&lt;D xsi:type="xsd:double"&gt;-0.7886529&lt;/D&gt;&lt;D xsi:type="xsd:double"&gt;-0.38656592&lt;/D&gt;&lt;D xsi:type="xsd:double"&gt;-2.3976862&lt;/D&gt;&lt;D xsi:type="xsd:double"&gt;-0.12459755&lt;/D&gt;&lt;D xsi:type="xsd:double"&gt;-0.35127997&lt;/D&gt;&lt;D xsi:type="xsd:double"&gt;-2.503693&lt;/D&gt;&lt;D xsi:type="xsd:double"&gt;0.7855773&lt;/D&gt;&lt;D xsi:type="xsd:double"&gt;1.2930632&lt;/D&gt;&lt;D xsi:type="xsd:double"&gt;-1.8257737&lt;/D&gt;&lt;D xsi:type="xsd:double"&gt;1.0979176&lt;/D&gt;&lt;D xsi:type="xsd:double"&gt;1.3215661&lt;/D&gt;&lt;D xsi:type="xsd:double"&gt;-0.89221597&lt;/D&gt;&lt;D xsi:type="xsd:double"&gt;-0.20086169&lt;/D&gt;&lt;D xsi:type="xsd:double"&gt;1.4878511&lt;/D&gt;&lt;D xsi:type="xsd:double"&gt;0.27458668&lt;/D&gt;&lt;D xsi:type="xsd:double"&gt;-0.3132701&lt;/D&gt;&lt;D xsi:type="xsd:double"&gt;0.11571646&lt;/D&gt;&lt;D xsi:type="xsd:double"&gt;1.4550447&lt;/D&gt;&lt;D xsi:type="xsd:double"&gt;0.22292137&lt;/D&gt;&lt;D xsi:type="xsd:double"&gt;0.94071627&lt;/D&gt;&lt;D xsi:type="xsd:double"&gt;-2.1498442&lt;/D&gt;&lt;D xsi:type="xsd:double"&gt;1.4079332&lt;/D&gt;&lt;D xsi:type="xsd:double"&gt;0.18018484&lt;/D&gt;&lt;D xsi:type="xsd:double"&gt;1.7062664&lt;/D&gt;&lt;D xsi:type="xsd:double"&gt;-0.12623072&lt;/D&gt;&lt;D xsi:type="xsd:double"&gt;-1.0986209&lt;/D&gt;&lt;D xsi:type="xsd:double"&gt;-0.45360923&lt;/D&gt;&lt;D xsi:type="xsd:double"&gt;-0.6727636&lt;/D&gt;&lt;D xsi:type="xsd:double"&gt;0.94389915&lt;/D&gt;&lt;D xsi:type="xsd:double"&gt;-0.5945504&lt;/D&gt;&lt;D xsi:type="xsd:double"&gt;0.21723509&lt;/D&gt;&lt;D xsi:type="xsd:double"&gt;-1.1715949&lt;/D&gt;&lt;D xsi:type="xsd:double"&gt;-1.2298942&lt;/D&gt;&lt;D xsi:type="xsd:double"&gt;0.7108331&lt;/D&gt;&lt;D xsi:type="xsd:double"&gt;0.34285784&lt;/D&gt;&lt;D xsi:type="xsd:double"&gt;-0.25648475&lt;/D&gt;&lt;D xsi:type="xsd:double"&gt;-2.6282907&lt;/D&gt;&lt;D xsi:type="xsd:double"&gt;0.1250267&lt;/D&gt;&lt;D xsi:type="xsd:double"&gt;-0.7240534&lt;/D&gt;&lt;D xsi:type="xsd:double"&gt;2.313137&lt;/D&gt;&lt;D xsi:type="xsd:double"&gt;-2.0872176&lt;/D&gt;&lt;D xsi:type="xsd:double"&gt;-3.7637532&lt;/D&gt;&lt;D xsi:type="xsd:double"&gt;1.7009139&lt;/D&gt;&lt;D xsi:type="xsd:double"&gt;0.38979053&lt;/D&gt;&lt;D xsi:type="xsd:double"&gt;-0.8937061&lt;/D&gt;&lt;D xsi:type="xsd:double"&gt;-2.3121536&lt;/D&gt;&lt;D xsi:type="xsd:double"&gt;-1.2267411&lt;/D&gt;&lt;D xsi:type="xsd:double"&gt;3.979981&lt;/D&gt;&lt;D xsi:type="xsd:double"&gt;0.14193058&lt;/D&gt;&lt;D xsi:type="xsd:double"&gt;0.7529259&lt;/D&gt;&lt;D xsi:type="xsd:double"&gt;1.6192198&lt;/D&gt;&lt;D xsi:type="xsd:double"&gt;1.4226913&lt;/D&gt;&lt;D xsi:type="xsd:double"&gt;0.19286871&lt;/D&gt;&lt;D xsi:type="xsd:double"&gt;-1.5983701&lt;/D&gt;&lt;D xsi:type="xsd:double"&gt;-1.1867404&lt;/D&gt;&lt;D xsi:type="xsd:double"&gt;0.922668&lt;/D&gt;&lt;D xsi:type="xsd:double"&gt;0.04733801&lt;/D&gt;&lt;D xsi:type="xsd:double"&gt;-0.74881315&lt;/D&gt;&lt;D xsi:type="xsd:double"&gt;1.6385674&lt;/D&gt;&lt;D xsi:type="xsd:double"&gt;-0.23820996&lt;/D&gt;&lt;D xsi:type="xsd:double"&gt;0.38257837&lt;/D&gt;&lt;D xsi:type="xsd:double"&gt;1.8167973&lt;/D&gt;&lt;D xsi:type="xsd:double"&gt;-1.9163013&lt;/D&gt;&lt;D xsi:type="xsd:double"&gt;-1.3805926&lt;/D&gt;&lt;D xsi:type="xsd:double"&gt;1.8437386&lt;/D&gt;&lt;D xsi:type="xsd:double"&gt;-1.3282001&lt;/D&gt;&lt;D xsi:type="xsd:double"&gt;-1.2502551&lt;/D&gt;&lt;D xsi:type="xsd:double"&gt;-1.6575754&lt;/D&gt;&lt;D xsi:type="xsd:double"&gt;3.189659&lt;/D&gt;&lt;D xsi:type="xsd:double"&gt;0.9123802&lt;/D&gt;&lt;D xsi:type="xsd:double"&gt;0.735271&lt;/D&gt;&lt;D xsi:type="xsd:double"&gt;1.5483975&lt;/D&gt;&lt;D xsi:type="xsd:double"&gt;0.47038794&lt;/D&gt;&lt;D xsi:type="xsd:double"&gt;0.58135986&lt;/D&gt;&lt;D xsi:type="xsd:double"&gt;-3.0867875&lt;/D&gt;&lt;D xsi:type="xsd:double"&gt;-0.67273974&lt;/D&gt;&lt;D xsi:type="xsd:double"&gt;0.16100407&lt;/D&gt;&lt;D xsi:type="xsd:double"&gt;0.84792376&lt;/D&gt;&lt;D xsi:type="xsd:double"&gt;1.275909&lt;/D&gt;&lt;D xsi:type="xsd:double"&gt;-0.8514166&lt;/D&gt;&lt;D xsi:type="xsd:double"&gt;-0.5046785&lt;/D&gt;&lt;D xsi:type="xsd:double"&gt;2.138567&lt;/D&gt;&lt;D xsi:type="xsd:double"&gt;3.845787&lt;/D&gt;&lt;D xsi:type="xsd:double"&gt;-0.4472494&lt;/D&gt;&lt;D xsi:type="xsd:double"&gt;-1.8431962&lt;/D&gt;&lt;D xsi:type="xsd:double"&gt;0.89212656&lt;/D&gt;&lt;D xsi:type="xsd:double"&gt;-0.056511164&lt;/D&gt;&lt;D xsi:type="xsd:double"&gt;1.4394879&lt;/D&gt;&lt;D xsi:type="xsd:double"&gt;0.7249713&lt;/D&gt;&lt;D xsi:type="xsd:double"&gt;0.7367611&lt;/D&gt;&lt;D xsi:type="xsd:double"&gt;0.15858412&lt;/D&gt;&lt;D xsi:type="xsd:double"&gt;-0.3676057&lt;/D&gt;&lt;D xsi:type="xsd:double"&gt;-0.70443153&lt;/D&gt;&lt;D xsi:type="xsd:double"&gt;1.7296433&lt;/D&gt;&lt;D xsi:type="xsd:double"&gt;-0.53458214&lt;/D&gt;&lt;D xsi:type="xsd:double"&gt;-0.6438136&lt;/D&gt;&lt;D xsi:type="xsd:double"&gt;1.7157197&lt;/D&gt;&lt;D xsi:type="xsd:double"&gt;0.33180714&lt;/D&gt;&lt;D xsi:type="xsd:double"&gt;-0.33070445&lt;/D&gt;&lt;D xsi:type="xsd:double"&gt;-0.049090385&lt;/D&gt;&lt;D xsi:type="xsd:double"&gt;-0.5532801&lt;/D&gt;&lt;D xsi:type="xsd:double"&gt;0.79717636&lt;/D&gt;&lt;D xsi:type="xsd:double"&gt;3.2027602&lt;/D&gt;&lt;D xsi:type="xsd:double"&gt;7.2434783&lt;/D&gt;&lt;D xsi:type="xsd:double"&gt;-2.253604&lt;/D&gt;&lt;D xsi:type="xsd:double"&gt;-1.3962865&lt;/D&gt;&lt;D xsi:type="xsd:double"&gt;-0.12232065&lt;/D&gt;&lt;D xsi:type="xsd:double"&gt;-0.81124306&lt;/D&gt;&lt;D xsi:type="xsd:double"&gt;0.027751923&lt;/D&gt;&lt;D xsi:type="xsd:double"&gt;-0.1488924&lt;/D&gt;&lt;D xsi:type="xsd:double"&gt;0.92960596&lt;/D&gt;&lt;D xsi:type="xsd:double"&gt;-1.2765586&lt;/D&gt;&lt;D xsi:type="xsd:double"&gt;2.2399426&lt;/D&gt;&lt;D xsi:type="xsd:double"&gt;0.23335218&lt;/D&gt;&lt;D xsi:type="xsd:double"&gt;-2.266848&lt;/D&gt;&lt;D xsi:type="xsd:double"&gt;-0.757885&lt;/D&gt;&lt;D xsi:type="xsd:double"&gt;2.5532842&lt;/D&gt;&lt;D xsi:type="xsd:double"&gt;-0.9889245&lt;/D&gt;&lt;D xsi:type="xsd:double"&gt;-0.017416477&lt;/D&gt;&lt;D xsi:type="xsd:double"&gt;-0.37113428&lt;/D&gt;&lt;D xsi:type="xsd:double"&gt;1.4962196&lt;/D&gt;&lt;D xsi:type="xsd:double"&gt;1.2619734&lt;/D&gt;&lt;D xsi:type="xsd:double"&gt;1.9183993&lt;/D&gt;&lt;D xsi:type="xsd:double"&gt;-0.41609406&lt;/D&gt;&lt;D xsi:type="xsd:double"&gt;-1.4933884&lt;/D&gt;&lt;D xsi:type="xsd:double"&gt;1.0480404&lt;/D&gt;&lt;D xsi:type="xsd:double"&gt;1.9721627&lt;/D&gt;&lt;D xsi:type="xsd:double"&gt;-0.54422617&lt;/D&gt;&lt;D xsi:type="xsd:double"&gt;0.5693674&lt;/D&gt;&lt;D xsi:type="xsd:double"&gt;-2.576667&lt;/D&gt;&lt;D xsi:type="xsd:double"&gt;1.1694312&lt;/D&gt;&lt;D xsi:type="xsd:double"&gt;4.0536523&lt;/D&gt;&lt;D xsi:type="xsd:double"&gt;1.7830372&lt;/D&gt;&lt;D xsi:type="xsd:double"&gt;2.705586&lt;/D&gt;&lt;D xsi:type="xsd:double"&gt;2.1440983&lt;/D&gt;&lt;D xsi:type="xsd:double"&gt;-1.4782846&lt;/D&gt;&lt;D xsi:type="xsd:double"&gt;-0.543946&lt;/D&gt;&lt;D xsi:type="xsd:double"&gt;-0.17706156&lt;/D&gt;&lt;D xsi:type="xsd:double"&gt;-1.0589004&lt;/D&gt;&lt;D xsi:type="xsd:double"&gt;0.61889887&lt;/D&gt;&lt;D xsi:type="xsd:double"&gt;1.6646028&lt;/D&gt;&lt;D xsi:type="xsd:double"&gt;1.9653201&lt;/D&gt;&lt;D xsi:type="xsd:double"&gt;-1.262927&lt;/D&gt;&lt;D xsi:type="xsd:double"&gt;-0.2958119&lt;/D&gt;&lt;D xsi:type="xsd:double"&gt;0.3771782&lt;/D&gt;&lt;D xsi:type="xsd:double"&gt;-2.1784365&lt;/D&gt;&lt;D xsi:type="xsd:double"&gt;1.2961745&lt;/D&gt;&lt;D xsi:type="xsd:double"&gt;-0.45909882&lt;/D&gt;&lt;D xsi:type="xsd:double"&gt;-2.08866&lt;/D&gt;&lt;D xsi:type="xsd:double"&gt;-1.5601754&lt;/D&gt;&lt;D xsi:type="xsd:double"&gt;-2.6622653&lt;/D&gt;&lt;D xsi:type="xsd:double"&gt;-1.0471404&lt;/D&gt;&lt;D xsi:type="xsd:double"&gt;0.313282&lt;/D&gt;&lt;D xsi:type="xsd:double"&gt;3.1242847&lt;/D&gt;&lt;D xsi:type="xsd:double"&gt;-0.19724965&lt;/D&gt;&lt;D xsi:type="xsd:double"&gt;-1.1659801&lt;/D&gt;&lt;D xsi:type="xsd:double"&gt;-0.3102064&lt;/D&gt;&lt;D xsi:type="xsd:double"&gt;4.202211&lt;/D&gt;&lt;D xsi:type="xsd:double"&gt;-0.6115794&lt;/D&gt;&lt;D xsi:type="xsd:double"&gt;-2.3620546&lt;/D&gt;&lt;D xsi:type="xsd:double"&gt;4.68843&lt;/D&gt;&lt;D xsi:type="xsd:double"&gt;1.9934654&lt;/D&gt;&lt;D xsi:type="xsd:double"&gt;2.1012664&lt;/D&gt;&lt;D xsi:type="xsd:double"&gt;-2.196163&lt;/D&gt;&lt;D xsi:type="xsd:double"&gt;0.06451607&lt;/D&gt;&lt;D xsi:type="xsd:double"&gt;3.0713558&lt;/D&gt;&lt;D xsi:type="xsd:double"&gt;-0.5908072&lt;/D&gt;&lt;D xsi:type="xsd:double"&gt;-0.22261143&lt;/D&gt;&lt;D xsi:type="xsd:double"&gt;0.9824276&lt;/D&gt;&lt;D xsi:type="xsd:double"&gt;3.5743594&lt;/D&gt;&lt;D xsi:type="xsd:double"&gt;-1.6453922&lt;/D&gt;&lt;D xsi:type="xsd:double"&gt;-1.8889129&lt;/D&gt;&lt;D xsi:type="xsd:double"&gt;0.46817064&lt;/D&gt;&lt;D xsi:type="xsd:double"&gt;0.30187368&lt;/D&gt;&lt;D xsi:type="xsd:double"&gt;1.1621475&lt;/D&gt;&lt;D xsi:type="xsd:double"&gt;3.0238152&lt;/D&gt;&lt;D xsi:type="xsd:double"&gt;0.7617116&lt;/D&gt;&lt;D xsi:type="xsd:double"&gt;0.9736419&lt;/D&gt;&lt;D xsi:type="xsd:double"&gt;1.1785269&lt;/D&gt;&lt;D xsi:type="xsd:double"&gt;-2.9637754&lt;/D&gt;&lt;D xsi:type="xsd:double"&gt;-4.374319&lt;/D&gt;&lt;D xsi:type="xsd:double"&gt;-0.1000762&lt;/D&gt;&lt;D xsi:type="xsd:double"&gt;-0.49375296&lt;/D&gt;&lt;D xsi:type="xsd:double"&gt;2.7629733&lt;/D&gt;&lt;D xsi:type="xsd:double"&gt;-1.025492&lt;/D&gt;&lt;D xsi:type="xsd:double"&gt;-0.7414162&lt;/D&gt;&lt;D xsi:type="xsd:double"&gt;0.22671223&lt;/D&gt;&lt;D xsi:type="xsd:double"&gt;-2.552873&lt;/D&gt;&lt;D xsi:type="xsd:double"&gt;1.0876656&lt;/D&gt;&lt;D xsi:type="xsd:double"&gt;0.5614519&lt;/D&gt;&lt;D xsi:type="xsd:double"&gt;-1.7328084&lt;/D&gt;&lt;D xsi:type="xsd:double"&gt;-1.7348647&lt;/D&gt;&lt;D xsi:type="xsd:double"&gt;-3.1918228&lt;/D&gt;&lt;D xsi:type="xsd:double"&gt;0.1167655&lt;/D&gt;&lt;D xsi:type="xsd:double"&gt;1.7464757&lt;/D&gt;&lt;D xsi:type="xsd:double"&gt;2.888918&lt;/D&gt;&lt;D xsi:type="xsd:double"&gt;-0.8003235&lt;/D&gt;&lt;D xsi:type="xsd:double"&gt;1.2399197&lt;/D&gt;&lt;D xsi:type="xsd:double"&gt;-0.30597448&lt;/D&gt;&lt;D xsi:type="xsd:double"&gt;-2.0303786&lt;/D&gt;&lt;D xsi:type="xsd:double"&gt;-1.8900514&lt;/D&gt;&lt;D xsi:type="xsd:double"&gt;0.12956858&lt;/D&gt;&lt;D xsi:type="xsd:double"&gt;-0.17637014&lt;/D&gt;&lt;D xsi:type="xsd:double"&gt;6.1623573&lt;/D&gt;&lt;D xsi:type="xsd:double"&gt;-0.59149265&lt;/D&gt;&lt;D xsi:type="xsd:double"&gt;-2.315247&lt;/D&gt;&lt;D xsi:type="xsd:double"&gt;-0.036352873&lt;/D&gt;&lt;D xsi:type="xsd:double"&gt;1.0406852&lt;/D&gt;&lt;D xsi:type="xsd:double"&gt;1.2311459&lt;/D&gt;&lt;D xsi:type="xsd:double"&gt;0.3440857&lt;/D&gt;&lt;D xsi:type="xsd:double"&gt;-0.19032955&lt;/D&gt;&lt;D xsi:type="xsd:double"&gt;-0.020682812&lt;/D&gt;&lt;D xsi:type="xsd:double"&gt;-0.09918809&lt;/D&gt;&lt;D xsi:type="xsd:double"&gt;0.17387867&lt;/D&gt;&lt;D xsi:type="xsd:double"&gt;-2.2500098&lt;/D&gt;&lt;D xsi:type="xsd:double"&gt;1.6997337&lt;/D&gt;&lt;D xsi:type="xsd:double"&gt;8.2268&lt;/D&gt;&lt;D xsi:type="xsd:double"&gt;-1.9050121&lt;/D&gt;&lt;D xsi:type="xsd:double"&gt;0.43884516&lt;/D&gt;&lt;D xsi:type="xsd:double"&gt;2.9269576&lt;/D&gt;&lt;D xsi:type="xsd:double"&gt;3.3325553&lt;/D&gt;&lt;D xsi:type="xsd:double"&gt;-2.6578844&lt;/D&gt;&lt;D xsi:type="xsd:double"&gt;-3.5368323&lt;/D&gt;&lt;D xsi:type="xsd:double"&gt;-1.7059445&lt;/D&gt;&lt;D xsi:type="xsd:double"&gt;-1.5856147&lt;/D&gt;&lt;D xsi:type="xsd:double"&gt;4.02205&lt;/D&gt;&lt;D xsi:type="xsd:double"&gt;-1.9756198&lt;/D&gt;&lt;D xsi:type="xsd:double"&gt;-7.7156305&lt;/D&gt;&lt;D xsi:type="xsd:double"&gt;1.379168&lt;/D&gt;&lt;D xsi:type="xsd:double"&gt;2.1187901&lt;/D&gt;&lt;D xsi:type="xsd:double"&gt;2.5280595&lt;/D&gt;&lt;D xsi:type="xsd:double"&gt;-0.1395464&lt;/D&gt;&lt;D xsi:type="xsd:double"&gt;-0.8469641&lt;/D&gt;&lt;D xsi:type="xsd:double"&gt;0.40837526&lt;/D&gt;&lt;D xsi:type="xsd:double"&gt;3.9245725&lt;/D&gt;&lt;D xsi:type="xsd:double"&gt;-2.424866&lt;/D&gt;&lt;D xsi:type="xsd:double"&gt;3.7608027&lt;/D&gt;&lt;D xsi:type="xsd:double"&gt;0.15083551&lt;/D&gt;&lt;D xsi:type="xsd:double"&gt;-1.6750276&lt;/D&gt;&lt;D xsi:type="xsd:double"&gt;-2.1302938&lt;/D&gt;&lt;D xsi:type="xsd:double"&gt;-5.0852895&lt;/D&gt;&lt;D xsi:type="xsd:double"&gt;-0.9670973&lt;/D&gt;&lt;D xsi:type="xsd:double"&gt;0.12856722&lt;/D&gt;&lt;D xsi:type="xsd:double"&gt;3.3812404&lt;/D&gt;&lt;D xsi:type="xsd:double"&gt;3.3662558&lt;/D&gt;&lt;D xsi:type="xsd:double"&gt;-1.936847&lt;/D&gt;&lt;D xsi:type="xsd:double"&gt;-1.4809012&lt;/D&gt;&lt;D xsi:type="xsd:double"&gt;1.9711494&lt;/D&gt;&lt;D xsi:type="xsd:double"&gt;-0.43798685&lt;/D&gt;&lt;D xsi:type="xsd:double"&gt;-0.19754767&lt;/D&gt;&lt;D xsi:type="xsd:double"&gt;-1.2698114&lt;/D&gt;&lt;D xsi:type="xsd:double"&gt;0.849545&lt;/D&gt;&lt;D xsi:type="xsd:double"&gt;-1.4435947&lt;/D&gt;&lt;D xsi:type="xsd:double"&gt;-0.8465588&lt;/D&gt;&lt;D xsi:type="xsd:double"&gt;-0.089889765&lt;/D&gt;&lt;D xsi:type="xsd:double"&gt;-0.260818&lt;/D&gt;&lt;D xsi:type="xsd:double"&gt;-2.711916&lt;/D&gt;&lt;D xsi:type="xsd:double"&gt;0.09126663&lt;/D&gt;&lt;D xsi:type="xsd:double"&gt;-5.497837&lt;/D&gt;&lt;D xsi:type="xsd:double"&gt;0.82809925&lt;/D&gt;&lt;D xsi:type="xsd:double"&gt;2.2976995&lt;/D&gt;&lt;D xsi:type="xsd:double"&gt;0.1666069&lt;/D&gt;&lt;D xsi:type="xsd:double"&gt;1.9111514&lt;/D&gt;&lt;D xsi:type="xsd:double"&gt;-1.097399&lt;/D&gt;&lt;D xsi:type="xsd:double"&gt;-1.6666651&lt;/D&gt;&lt;D xsi:type="xsd:double"&gt;-0.4092276&lt;/D&gt;&lt;D xsi:type="xsd:double"&gt;-0.5704045&lt;/D&gt;&lt;D xsi:type="xsd:double"&gt;-0.8520961&lt;/D&gt;&lt;D xsi:type="xsd:double"&gt;-1.066798&lt;/D&gt;&lt;D xsi:type="xsd:double"&gt;-3.8587093&lt;/D&gt;&lt;D xsi:type="xsd:double"&gt;1.1095405&lt;/D&gt;&lt;D xsi:type="xsd:double"&gt;-0.2351284&lt;/D&gt;&lt;D xsi:type="xsd:double"&gt;-0.4716456&lt;/D&gt;&lt;D xsi:type="xsd:double"&gt;-2.9355228&lt;/D&gt;&lt;D xsi:type="xsd:double"&gt;-1.3854027&lt;/D&gt;&lt;D xsi:type="xsd:double"&gt;-0.3947556&lt;/D&gt;&lt;D xsi:type="xsd:double"&gt;-0.4748702&lt;/D&gt;&lt;D xsi:type="xsd:double"&gt;-0.25897622&lt;/D&gt;&lt;D xsi:type="xsd:double"&gt;0.53441525&lt;/D&gt;&lt;D xsi:type="xsd:double"&gt;1.7037153&lt;/D&gt;&lt;D xsi:type="xsd:double"&gt;-0.7400811&lt;/D&gt;&lt;D xsi:type="xsd:double"&gt;2.4300456&lt;/D&gt;&lt;D xsi:type="xsd:double"&gt;0.70632696&lt;/D&gt;&lt;D xsi:type="xsd:double"&gt;-0.9154856&lt;/D&gt;&lt;D xsi:type="xsd:double"&gt;-0.26088357&lt;/D&gt;&lt;D xsi:type="xsd:double"&gt;0.4177451&lt;/D&gt;&lt;D xsi:type="xsd:double"&gt;2.7836323&lt;/D&gt;&lt;D xsi:type="xsd:double"&gt;-1.147443&lt;/D&gt;&lt;D xsi:type="xsd:double"&gt;-0.97242594&lt;/D&gt;&lt;D xsi:type="xsd:double"&gt;1.5665054&lt;/D&gt;&lt;D xsi:type="xsd:double"&gt;2.8540611&lt;/D&gt;&lt;D xsi:type="xsd:double"&gt;6.6851854&lt;/D&gt;&lt;D xsi:type="xsd:double"&gt;-2.6774287&lt;/D&gt;&lt;D xsi:type="xsd:double"&gt;-0.58764815&lt;/D&gt;&lt;D xsi:type="xsd:double"&gt;-1.6915917&lt;/D&gt;&lt;D xsi:type="xsd:double"&gt;0.9799123&lt;/D&gt;&lt;D xsi:type="xsd:double"&gt;1.0557532&lt;/D&gt;&lt;D xsi:type="xsd:double"&gt;2.0766973&lt;/D&gt;&lt;D xsi:type="xsd:double"&gt;-0.9621382&lt;/D&gt;&lt;D xsi:type="xsd:double"&gt;1.0390401&lt;/D&gt;&lt;D xsi:type="xsd:double"&gt;0.5381465&lt;/D&gt;&lt;D xsi:type="xsd:double"&gt;-0.37450194&lt;/D&gt;&lt;D xsi:type="xsd:double"&gt;-4.0981474&lt;/D&gt;&lt;D xsi:type="xsd:double"&gt;-1.1768639&lt;/D&gt;&lt;D xsi:type="xsd:double"&gt;-0.27570724&lt;/D&gt;&lt;D xsi:type="xsd:double"&gt;0.8226633&lt;/D&gt;&lt;D xsi:type="xsd:double"&gt;1.2782931&lt;/D&gt;&lt;D xsi:type="xsd:double"&gt;1.2597322&lt;/D&gt;&lt;D xsi:type="xsd:double"&gt;1.0707498&lt;/D&gt;&lt;D xsi:type="xsd:double"&gt;-1.3179243&lt;/D&gt;&lt;D xsi:type="xsd:double"&gt;1.4737964&lt;/D&gt;&lt;D xsi:type="xsd:double"&gt;-3.174907&lt;/D&gt;&lt;D xsi:type="xsd:double"&gt;-1.0496795&lt;/D&gt;&lt;D xsi:type="xsd:double"&gt;3.4149885&lt;/D&gt;&lt;D xsi:type="xsd:double"&gt;2.2636533&lt;/D&gt;&lt;D xsi:type="xsd:double"&gt;-0.24040341&lt;/D&gt;&lt;D xsi:type="xsd:double"&gt;2.4591208&lt;/D&gt;&lt;D xsi:type="xsd:double"&gt;1.0940075&lt;/D&gt;&lt;D xsi:type="xsd:double"&gt;-2.6970088&lt;/D&gt;&lt;D xsi:type="xsd:double"&gt;2.9735327&lt;/D&gt;&lt;D xsi:type="xsd:double"&gt;0.9204984&lt;/D&gt;&lt;D xsi:type="xsd:double"&gt;-4.241276&lt;/D&gt;&lt;D xsi:type="xsd:double"&gt;-4.456365&lt;/D&gt;&lt;D xsi:type="xsd:double"&gt;-2.0783246&lt;/D&gt;&lt;D xsi:type="xsd:double"&gt;-0.7669687&lt;/D&gt;&lt;D xsi:type="xsd:double"&gt;1.3953447&lt;/D&gt;&lt;D xsi:type="xsd:double"&gt;-0.4703343&lt;/D&gt;&lt;D xsi:type="xsd:double"&gt;-1.6607165&lt;/D&gt;&lt;D xsi:type="xsd:double"&gt;0.7928848&lt;/D&gt;&lt;D xsi:type="xsd:double"&gt;0.20231009&lt;/D&gt;&lt;D xsi:type="xsd:double"&gt;-0.5013883&lt;/D&gt;&lt;D xsi:type="xsd:double"&gt;2.7604342&lt;/D&gt;&lt;D xsi:type="xsd:double"&gt;1.2875199&lt;/D&gt;&lt;D xsi:type="xsd:double"&gt;1.1170149&lt;/D&gt;&lt;D xsi:type="xsd:double"&gt;-0.39516687&lt;/D&gt;&lt;D xsi:type="xsd:double"&gt;3.2032013&lt;/D&gt;&lt;D xsi:type="xsd:double"&gt;-0.22912025&lt;/D&gt;&lt;D xsi:type="xsd:double"&gt;-0.36996603&lt;/D&gt;&lt;D xsi:type="xsd:double"&gt;-4.7747555&lt;/D&gt;&lt;D xsi:type="xsd:double"&gt;2.0344138&lt;/D&gt;&lt;D xsi:type="xsd:double"&gt;0.1455307&lt;/D&gt;&lt;D xsi:type="xsd:double"&gt;2.259636&lt;/D&gt;&lt;D xsi:type="xsd:double"&gt;-1.9957721&lt;/D&gt;&lt;D xsi:type="xsd:double"&gt;-3.3209682&lt;/D&gt;&lt;D xsi:type="xsd:double"&gt;1.8595576&lt;/D&gt;&lt;D xsi:type="xsd:double"&gt;-3.6945462&lt;/D&gt;&lt;D xsi:type="xsd:double"&gt;-0.9446502&lt;/D&gt;&lt;D xsi:type="xsd:double"&gt;-4.3554726&lt;/D&gt;&lt;D xsi:type="xsd:double"&gt;2.9100776&lt;/D&gt;&lt;D xsi:type="xsd:double"&gt;-0.9456217&lt;/D&gt;&lt;D xsi:type="xsd:double"&gt;2.504325&lt;/D&gt;&lt;D xsi:type="xsd:double"&gt;-4.1812&lt;/D&gt;&lt;D xsi:type="xsd:double"&gt;2.26326&lt;/D&gt;&lt;D xsi:type="xsd:double"&gt;4.8108935&lt;/D&gt;&lt;D xsi:type="xsd:double"&gt;-3.7403822&lt;/D&gt;&lt;D xsi:type="xsd:double"&gt;2.4413347&lt;/D&gt;&lt;D xsi:type="xsd:double"&gt;-2.414441&lt;/D&gt;&lt;D xsi:type="xsd:double"&gt;-1.9381166&lt;/D&gt;&lt;D xsi:type="xsd:double"&gt;0.3715396&lt;/D&gt;&lt;D xsi:type="xsd:double"&gt;1.7039776&lt;/D&gt;&lt;D xsi:type="xsd:double"&gt;0.24658442&lt;/D&gt;&lt;D xsi:type="xsd:double"&gt;-2.708435&lt;/D&gt;&lt;D xsi:type="xsd:double"&gt;1.971209&lt;/D&gt;&lt;D xsi:type="xsd:double"&gt;-1.1217892&lt;/D&gt;&lt;D xsi:type="xsd:double"&gt;-3.9431572&lt;/D&gt;&lt;D xsi:type="xsd:double"&gt;-1.4599979&lt;/D&gt;&lt;D xsi:type="xsd:double"&gt;0.6243706&lt;/D&gt;&lt;D xsi:type="xsd:double"&gt;-3.6605775&lt;/D&gt;&lt;D xsi:type="xsd:double"&gt;-1.2985349&lt;/D&gt;&lt;D xsi:type="xsd:double"&gt;1.7936707&lt;/D&gt;&lt;D xsi:type="xsd:double"&gt;0.3600359&lt;/D&gt;&lt;D xsi:type="xsd:double"&gt;-1.7683029&lt;/D&gt;&lt;D xsi:type="xsd:double"&gt;-0.49142838&lt;/D&gt;&lt;D xsi:type="xsd:double"&gt;1.5159249&lt;/D&gt;&lt;D xsi:type="xsd:double"&gt;2.311647&lt;/D&gt;&lt;D xsi:type="xsd:double"&gt;-0.13811588&lt;/D&gt;&lt;D xsi:type="xsd:double"&gt;1.53929&lt;/D&gt;&lt;D xsi:type="xsd:double"&gt;-1.5029967&lt;/D&gt;&lt;D xsi:type="xsd:double"&gt;1.6379118&lt;/D&gt;&lt;D xsi:type="xsd:double"&gt;-0.4227221&lt;/D&gt;&lt;D xsi:type="xsd:double"&gt;1.7647862&lt;/D&gt;&lt;D xsi:type="xsd:double"&gt;0.28192997&lt;/D&gt;&lt;D xsi:type="xsd:double"&gt;2.521336&lt;/D&gt;&lt;D xsi:type="xsd:double"&gt;3.8742542&lt;/D&gt;&lt;D xsi:type="xsd:double"&gt;-1.296109&lt;/D&gt;&lt;D xsi:type="xsd:double"&gt;-1.9328356&lt;/D&gt;&lt;D xsi:type="xsd:double"&gt;-1.0086656&lt;/D&gt;&lt;D xsi:type="xsd:double"&gt;4.5858264&lt;/D&gt;&lt;D xsi:type="xsd:double"&gt;-1.0971248&lt;/D&gt;&lt;D xsi:type="xsd:double"&gt;-3.7776768&lt;/D&gt;&lt;D xsi:type="xsd:double"&gt;-2.0478606&lt;/D&gt;&lt;D xsi:type="xsd:double"&gt;-1.4224291&lt;/D&gt;&lt;D xsi:type="xsd:double"&gt;1.7765641&lt;/D&gt;&lt;D xsi:type="xsd:double"&gt;-1.2851834&lt;/D&gt;&lt;D xsi:type="xsd:double"&gt;0.49780607&lt;/D&gt;&lt;D xsi:type="xsd:double"&gt;0.9233117&lt;/D&gt;&lt;D xsi:type="xsd:double"&gt;5.109358&lt;/D&gt;&lt;D xsi:type="xsd:double"&gt;-2.589327&lt;/D&gt;&lt;D xsi:type="xsd:double"&gt;-0.07293224&lt;/D&gt;&lt;D xsi:type="xsd:double"&gt;-0.9630978&lt;/D&gt;&lt;D xsi:type="xsd:double"&gt;-2.9282093&lt;/D&gt;&lt;D xsi:type="xsd:double"&gt;-0.32283068&lt;/D&gt;&lt;D xsi:type="xsd:double"&gt;1.8542409&lt;/D&gt;&lt;D xsi:type="xsd:double"&gt;-0.013560057&lt;/D&gt;&lt;D xsi:type="xsd:double"&gt;-2.427405&lt;/D&gt;&lt;D xsi:type="xsd:double"&gt;-2.8373063&lt;/D&gt;&lt;D xsi:type="xsd:double"&gt;2.183473&lt;/D&gt;&lt;D xsi:type="xsd:double"&gt;1.1995316&lt;/D&gt;&lt;D xsi:type="xsd:double"&gt;-1.6310334&lt;/D&gt;&lt;D xsi:type="xsd:double"&gt;1.5568495&lt;/D&gt;&lt;D xsi:type="xsd:double"&gt;-3.895229&lt;/D&gt;&lt;D xsi:type="xsd:double"&gt;1.5222073&lt;/D&gt;&lt;D xsi:type="xsd:double"&gt;-0.7138729&lt;/D&gt;&lt;D xsi:type="xsd:double"&gt;0.88237524&lt;/D&gt;&lt;D xsi:type="xsd:double"&gt;2.8081656&lt;/D&gt;&lt;D xsi:type="xsd:double"&gt;1.0549068&lt;/D&gt;&lt;D xsi:type="xsd:double"&gt;2.8493166&lt;/D&gt;&lt;D xsi:type="xsd:double"&gt;-2.658838&lt;/D&gt;&lt;D xsi:type="xsd:double"&gt;0.11484623&lt;/D&gt;&lt;D xsi:type="xsd:double"&gt;-1.8468201&lt;/D&gt;&lt;D xsi:type="xsd:double"&gt;-0.57032704&lt;/D&gt;&lt;D xsi:type="xsd:double"&gt;0.22467375&lt;/D&gt;&lt;D xsi:type="xsd:double"&gt;-2.43392&lt;/D&gt;&lt;D xsi:type="xsd:double"&gt;1.7716646&lt;/D&gt;&lt;D xsi:type="xsd:double"&gt;-4.232258&lt;/D&gt;&lt;D xsi:type="xsd:double"&gt;1.0444999&lt;/D&gt;&lt;D xsi:type="xsd:double"&gt;0.22592545&lt;/D&gt;&lt;D xsi:type="xsd:double"&gt;0.07323027&lt;/D&gt;&lt;D xsi:type="xsd:double"&gt;0.050973892&lt;/D&gt;&lt;D xsi:type="xsd:double"&gt;-0.7901907&lt;/D&gt;&lt;D xsi:type="xsd:double"&gt;-3.8387895&lt;/D&gt;&lt;D xsi:type="xsd:double"&gt;-1.7147124&lt;/D&gt;&lt;D xsi:type="xsd:double"&gt;-0.46681762&lt;/D&gt;&lt;D xsi:type="xsd:double"&gt;-0.88412166&lt;/D&gt;&lt;D xsi:type="xsd:double"&gt;-0.76912045&lt;/D&gt;&lt;D xsi:type="xsd:double"&gt;0.20513535&lt;/D&gt;&lt;D xsi:type="xsd:double"&gt;-0.35042167&lt;/D&gt;&lt;D xsi:type="xsd:double"&gt;2.318561&lt;/D&gt;&lt;D xsi:type="xsd:double"&gt;0.4471779&lt;/D&gt;&lt;D xsi:type="xsd:double"&gt;1.8057346&lt;/D&gt;&lt;D xsi:type="xsd:double"&gt;2.3069024&lt;/D&gt;&lt;D xsi:type="xsd:double"&gt;-1.2013555&lt;/D&gt;&lt;D xsi:type="xsd:double"&gt;-0.3385663&lt;/D&gt;&lt;D xsi:type="xsd:double"&gt;-2.913493&lt;/D&gt;&lt;D xsi:type="xsd:double"&gt;1.9217849&lt;/D&gt;&lt;D xsi:type="xsd:double"&gt;-3.2586932&lt;/D&gt;&lt;D xsi:type="xsd:double"&gt;-0.9166837&lt;/D&gt;&lt;D xsi:type="xsd:double"&gt;2.8339863&lt;/D&gt;&lt;D xsi:type="xsd:double"&gt;-0.5582571&lt;/D&gt;&lt;D xsi:type="xsd:double"&gt;0.014925003&lt;/D&gt;&lt;D xsi:type="xsd:double"&gt;2.6763558&lt;/D&gt;&lt;D xsi:type="xsd:double"&gt;0.9844899&lt;/D&gt;&lt;D xsi:type="xsd:double"&gt;-1.9666672&lt;/D&gt;&lt;D xsi:type="xsd:double"&gt;-0.17874241&lt;/D&gt;&lt;D xsi:type="xsd:double"&gt;-0.1542747&lt;/D&gt;&lt;D xsi:type="xsd:double"&gt;-1.7942548&lt;/D&gt;&lt;D xsi:type="xsd:double"&gt;2.108109&lt;/D&gt;&lt;D xsi:type="xsd:double"&gt;-2.435565&lt;/D&gt;&lt;D xsi:type="xsd:double"&gt;0.06811619&lt;/D&gt;&lt;D xsi:type="xsd:double"&gt;-0.63266754&lt;/D&gt;&lt;D xsi:type="xsd:double"&gt;-0.95596313&lt;/D&gt;&lt;D xsi:type="xsd:double"&gt;0.5391598&lt;/D&gt;&lt;D xsi:type="xsd:double"&gt;0.63399076&lt;/D&gt;&lt;D xsi:type="xsd:double"&gt;-0.11487603&lt;/D&gt;&lt;D xsi:type="xsd:double"&gt;1.0236025&lt;/D&gt;&lt;D xsi:type="xsd:double"&gt;-0.1930356&lt;/D&gt;&lt;D xsi:type="xsd:double"&gt;1.2905002&lt;/D&gt;&lt;D xsi:type="xsd:double"&gt;0.4927516&lt;/D&gt;&lt;D xsi:type="xsd:double"&gt;-1.5329719&lt;/D&gt;&lt;D xsi:type="xsd:double"&gt;-0.308609&lt;/D&gt;&lt;D xsi:type="xsd:double"&gt;0.27673244&lt;/D&gt;&lt;D xsi:type="xsd:double"&gt;-0.1129508&lt;/D&gt;&lt;D xsi:type="xsd:double"&gt;0.73053837&lt;/D&gt;&lt;D xsi:type="xsd:double"&gt;0.2611637&lt;/D&gt;&lt;D xsi:type="xsd:double"&gt;1.141572&lt;/D&gt;&lt;D xsi:type="xsd:double"&gt;-0.67848563&lt;/D&gt;&lt;D xsi:type="xsd:double"&gt;2.241397&lt;/D&gt;&lt;D xsi:type="xsd:double"&gt;0.36512613&lt;/D&gt;&lt;D xsi:type="xsd:double"&gt;4.211414&lt;/D&gt;&lt;D xsi:type="xsd:double"&gt;0.64257383&lt;/D&gt;&lt;D xsi:type="xsd:double"&gt;-0.33316016&lt;/D&gt;&lt;D xsi:type="xsd:double"&gt;-0.5148709&lt;/D&gt;&lt;D xsi:type="xsd:double"&gt;1.0897517&lt;/D&gt;&lt;D xsi:type="xsd:double"&gt;-0.26603937&lt;/D&gt;&lt;D xsi:type="xsd:double"&gt;0.30590296&lt;/D&gt;&lt;D xsi:type="xsd:double"&gt;1.0124683&lt;/D&gt;&lt;D xsi:type="xsd:double"&gt;0.48223734&lt;/D&gt;&lt;D xsi:type="xsd:double"&gt;2.1734&lt;/D&gt;&lt;D xsi:type="xsd:double"&gt;1.171124&lt;/D&gt;&lt;D xsi:type="xsd:double"&gt;-0.45882463&lt;/D&gt;&lt;D xsi:type="xsd:double"&gt;-0.21027327&lt;/D&gt;&lt;D xsi:type="xsd:double"&gt;0&lt;/D&gt;&lt;D xsi:type="xsd:double"&gt;0.5936384&lt;/D&gt;&lt;D xsi:type="xsd:double"&gt;1.5064359&lt;/D&gt;&lt;D xsi:type="xsd:double"&gt;1.9956946&lt;/D&gt;&lt;D xsi:type="xsd:double"&gt;-2.0719528&lt;/D&gt;&lt;D xsi:type="xsd:double"&gt;2.546823&lt;/D&gt;&lt;D xsi:type="xsd:double"&gt;-0.7323921&lt;/D&gt;&lt;D xsi:type="xsd:double"&gt;0.16930103&lt;/D&gt;&lt;D xsi:type="xsd:double"&gt;-3.6203623&lt;/D&gt;&lt;D xsi:type="xsd:double"&gt;-1.7304122&lt;/D&gt;&lt;D xsi:type="xsd:double"&gt;-0.07010102&lt;/D&gt;&lt;D xsi:type="xsd:double"&gt;0.32821894&lt;/D&gt;&lt;D xsi:type="xsd:double"&gt;1.282227&lt;/D&gt;&lt;D xsi:type="xsd:double"&gt;0.16989708&lt;/D&gt;&lt;D xsi:type="xsd:double"&gt;-1.8574715&lt;/D&gt;&lt;D xsi:type="xsd:double"&gt;-1.7528355&lt;/D&gt;&lt;D xsi:type="xsd:double"&gt;0.13122559&lt;/D&gt;&lt;D xsi:type="xsd:double"&gt;1.677835&lt;/D&gt;&lt;D xsi:type="xsd:double"&gt;0.9428024&lt;/D&gt;&lt;D xsi:type="xsd:double"&gt;0.43286085&lt;/D&gt;&lt;D xsi:type="xsd:double"&gt;-0.5180836&lt;/D&gt;&lt;D xsi:type="xsd:double"&gt;-0.9859741&lt;/D&gt;&lt;D xsi:type="xsd:double"&gt;0.009989738&lt;/D&gt;&lt;D xsi:type="xsd:double"&gt;-0.31879544&lt;/D&gt;&lt;D xsi:type="xsd:double"&gt;-0.0033140182&lt;/D&gt;&lt;D xsi:type="xsd:double"&gt;-0.22528768&lt;/D&gt;&lt;D xsi:type="xsd:double"&gt;-0.016570091&lt;/D&gt;&lt;D xsi:type="xsd:double"&gt;-0.56325793&lt;/D&gt;&lt;D xsi:type="xsd:double"&gt;1.2912035&lt;/D&gt;&lt;D xsi:type="xsd:double"&gt;0.21064281&lt;/D&gt;&lt;D xsi:type="xsd:double"&gt;-0.96685886&lt;/D&gt;&lt;D xsi:type="xsd:double"&gt;-0.20157099&lt;/D&gt;&lt;D xsi:type="xsd:double"&gt;-0.6663382&lt;/D&gt;&lt;D xsi:type="xsd:double"&gt;0.095283985&lt;/D&gt;&lt;D xsi:type="xsd:double"&gt;2.55754&lt;/D&gt;&lt;D xsi:type="xsd:double"&gt;2.07752&lt;/D&gt;&lt;D xsi:type="xsd:double"&gt;-0.80181956&lt;/D&gt;&lt;D xsi:type="xsd:double"&gt;-0.51596165&lt;/D&gt;&lt;D xsi:type="xsd:double"&gt;0.5975723&lt;/D&gt;&lt;D xsi:type="xsd:double"&gt;1.0489702&lt;/D&gt;&lt;D xsi:type="xsd:double"&gt;0.996685&lt;/D&gt;&lt;D xsi:type="xsd:double"&gt;0.178051&lt;/D&gt;&lt;D xsi:type="xsd:double"&gt;-0.6554961&lt;/D&gt;&lt;D xsi:type="xsd:double"&gt;-0.39038658&lt;/D&gt;&lt;D xsi:type="xsd:double"&gt;-0.020724535&lt;/D&gt;&lt;D xsi:type="xsd:double"&gt;1.0505676&lt;/D&gt;&lt;D xsi:type="xsd:double"&gt;-0.21244884&lt;/D&gt;&lt;D xsi:type="xsd:double"&gt;0.8075237&lt;/D&gt;&lt;D xsi:type="xsd:double"&gt;-0.03159046&lt;/D&gt;&lt;D xsi:type="xsd:double"&gt;-0.5549729&lt;/D&gt;&lt;D xsi:type="xsd:double"&gt;0.09782314&lt;/D&gt;&lt;D xsi:type="xsd:double"&gt;-0.11168122&lt;/D&gt;&lt;D xsi:type="xsd:double"&gt;-0.8683562&lt;/D&gt;&lt;D xsi:type="xsd:double"&gt;-0.21404624&lt;/D&gt;&lt;D xsi:type="xsd:double"&gt;1.2336612&lt;/D&gt;&lt;D xsi:type="xsd:double"&gt;1.6844392&lt;/D&gt;&lt;D xsi:type="xsd:double"&gt;0.74466467&lt;/D&gt;&lt;D xsi:type="xsd:double"&gt;0.83390474&lt;/D&gt;&lt;D xsi:type="xsd:double"&gt;-1.33214&lt;/D&gt;&lt;D xsi:type="xsd:double"&gt;-0.099635124&lt;/D&gt;&lt;D xsi:type="xsd:double"&gt;-0.52387714&lt;/D&gt;&lt;D xsi:type="xsd:double"&gt;0.5445242&lt;/D&gt;&lt;D xsi:type="xsd:double"&gt;1.319778&lt;/D&gt;&lt;D xsi:type="xsd:double"&gt;-0.22307038&lt;/D&gt;&lt;D xsi:type="xsd:double"&gt;0.18743277&lt;/D&gt;&lt;D xsi:type="xsd:double"&gt;-0.8966446&lt;/D&gt;&lt;D xsi:type="xsd:double"&gt;0.8175373&lt;/D&gt;&lt;D xsi:type="xsd:double"&gt;0.0036001205&lt;/D&gt;&lt;D xsi:type="xsd:double"&gt;2.2275329&lt;/D&gt;&lt;D xsi:type="xsd:double"&gt;0.25839806&lt;/D&gt;&lt;D xsi:type="xsd:double"&gt;-0.184232&lt;/D&gt;&lt;D xsi:type="xsd:double"&gt;0.99731684&lt;/D&gt;&lt;D xsi:type="xsd:double"&gt;1.3961315&lt;/D&gt;&lt;D xsi:type="xsd:double"&gt;-0.62620044&lt;/D&gt;&lt;D xsi:type="xsd:double"&gt;0.5334139&lt;/D&gt;&lt;D xsi:type="xsd:double"&gt;-0.0885129&lt;/D&gt;&lt;D xsi:type="xsd:double"&gt;1.0966063&lt;/D&gt;&lt;D xsi:type="xsd:double"&gt;1.2334824&lt;/D&gt;&lt;D xsi:type="xsd:double"&gt;-0.56343675&lt;/D&gt;&lt;D xsi:type="xsd:double"&gt;1.3676286&lt;/D&gt;&lt;D xsi:type="xsd:double"&gt;-0.37930608&lt;/D&gt;&lt;D xsi:type="xsd:double"&gt;-0.58872104&lt;/D&gt;&lt;D xsi:type="xsd:double"&gt;0.77552795&lt;/D&gt;&lt;D xsi:type="xsd:double"&gt;0.25268793&lt;/D&gt;&lt;D xsi:type="xsd:double"&gt;1.439333&lt;/D&gt;&lt;D xsi:type="xsd:double"&gt;0.4038453&lt;/D&gt;&lt;D xsi:type="xsd:double"&gt;-0.48854947&lt;/D&gt;&lt;D xsi:type="xsd:double"&gt;1.2041926&lt;/D&gt;&lt;D xsi:type="xsd:double"&gt;2.0674706&lt;/D&gt;&lt;D xsi:type="xsd:double"&gt;-0.6429434&lt;/D&gt;&lt;D xsi:type="xsd:double"&gt;-0.04041791&lt;/D&gt;&lt;D xsi:type="xsd:double"&gt;-0.913167&lt;/D&gt;&lt;D xsi:type="xsd:double"&gt;0.14840364&lt;/D&gt;&lt;D xsi:type="xsd:double"&gt;-0.8668363&lt;/D&gt;&lt;D xsi:type="xsd:double"&gt;-0.09136796&lt;/D&gt;&lt;D xsi:type="xsd:double"&gt;0.37482977&lt;/D&gt;&lt;D xsi:type="xsd:double"&gt;2.2882104&lt;/D&gt;&lt;D xsi:type="xsd:double"&gt;-0.5314827&lt;/D&gt;&lt;D xsi:type="xsd:double"&gt;1.382029&lt;/D&gt;&lt;D xsi:type="xsd:double"&gt;0.016450882&lt;/D&gt;&lt;D xsi:type="xsd:double"&gt;-0.8565128&lt;/D&gt;&lt;D xsi:type="xsd:double"&gt;-1.1968553&lt;/D&gt;&lt;D xsi:type="xsd:double"&gt;2.106738&lt;/D&gt;&lt;D xsi:type="xsd:double"&gt;1.6861916&lt;/D&gt;&lt;D xsi:type="xsd:double"&gt;-2.9362798&lt;/D&gt;&lt;D xsi:type="xsd:double"&gt;-0.3843367&lt;/D&gt;&lt;D xsi:type="xsd:double"&gt;-2.0914257&lt;/D&gt;&lt;D xsi:type="xsd:double"&gt;1.093185&lt;/D&gt;&lt;D xsi:type="xsd:double"&gt;1.3226748&lt;/D&gt;&lt;D xsi:type="xsd:double"&gt;-0.5327046&lt;/D&gt;&lt;D xsi:type="xsd:double"&gt;-1.6159773&lt;/D&gt;&lt;D xsi:type="xsd:double"&gt;-0.12689233&lt;/D&gt;&lt;D xsi:type="xsd:double"&gt;-0.13068914&lt;/D&gt;&lt;D xsi:type="xsd:double"&gt;-0.8053124&lt;/D&gt;&lt;D xsi:type="xsd:double"&gt;-2.8285682&lt;/D&gt;&lt;D xsi:type="xsd:double"&gt;0.16058683&lt;/D&gt;&lt;D xsi:type="xsd:double"&gt;0.15317202&lt;/D&gt;&lt;D xsi:type="xsd:double"&gt;1.5476108&lt;/D&gt;&lt;D xsi:type="xsd:double"&gt;-1.308608&lt;/D&gt;&lt;D xsi:type="xsd:double"&gt;0.8983135&lt;/D&gt;&lt;D xsi:type="xsd:double"&gt;-0.18550754&lt;/D&gt;&lt;D xsi:type="xsd:double"&gt;-0.7670462&lt;/D&gt;&lt;D xsi:type="xsd:double"&gt;0.47783852&lt;/D&gt;&lt;D xsi:type="xsd:double"&gt;1.5298009&lt;/D&gt;&lt;D xsi:type="xsd:double"&gt;-1.1218965&lt;/D&gt;&lt;D xsi:type="xsd:double"&gt;1.0081649&lt;/D&gt;&lt;D xsi:type="xsd:double"&gt;0.023448467&lt;/D&gt;&lt;D xsi:type="xsd:double"&gt;1.0266542&lt;/D&gt;&lt;D xsi:type="xsd:double"&gt;1.3405442&lt;/D&gt;&lt;D xsi:type="xsd:double"&gt;0.8230448&lt;/D&gt;&lt;D xsi:type="xsd:double"&gt;-0.48580766&lt;/D&gt;&lt;D xsi:type="xsd:double"&gt;2.7728438&lt;/D&gt;&lt;D xsi:type="xsd:double"&gt;2.7908564&lt;/D&gt;&lt;D xsi:type="xsd:double"&gt;1.6907454&lt;/D&gt;&lt;D xsi:type="xsd:double"&gt;-1.4410794&lt;/D&gt;&lt;D xsi:type="xsd:double"&gt;-0.524354&lt;/D&gt;&lt;D xsi:type="xsd:double"&gt;1.7818689&lt;/D&gt;&lt;D xsi:type="xsd:double"&gt;-1.3250709&lt;/D&gt;&lt;D xsi:type="xsd:double"&gt;-0.8923292&lt;/D&gt;&lt;D xsi:type="xsd:double"&gt;0.673759&lt;/D&gt;&lt;D xsi:type="xsd:double"&gt;2.4484515&lt;/D&gt;&lt;D xsi:type="xsd:double"&gt;-0.1603663&lt;/D&gt;&lt;D xsi:type="xsd:double"&gt;-2.6662111&lt;/D&gt;&lt;D xsi:type="xsd:double"&gt;-0.2818644&lt;/D&gt;&lt;D xsi:type="xsd:double"&gt;1.235044&lt;/D&gt;&lt;D xsi:type="xsd:double"&gt;-0.39873123&lt;/D&gt;&lt;D xsi:type="xsd:double"&gt;-0.58196187&lt;/D&gt;&lt;D xsi:type="xsd:double"&gt;2.0265102&lt;/D&gt;&lt;D xsi:type="xsd:double"&gt;-0.58174133&lt;/D&gt;&lt;D xsi:type="xsd:double"&gt;2.8101444&lt;/D&gt;&lt;D xsi:type="xsd:double"&gt;-1.8177927&lt;/D&gt;&lt;D xsi:type="xsd:double"&gt;2.1479368&lt;/D&gt;&lt;D xsi:type="xsd:double"&gt;-0.3647387&lt;/D&gt;&lt;D xsi:type="xsd:double"&gt;-2.6980817&lt;/D&gt;&lt;D xsi:type="xsd:double"&gt;-1.2956917&lt;/D&gt;&lt;D xsi:type="xsd:double"&gt;1.9623041&lt;/D&gt;&lt;D xsi:type="xsd:double"&gt;1.4804125&lt;/D&gt;&lt;D xsi:type="xsd:double"&gt;-2.3704946&lt;/D&gt;&lt;D xsi:type="xsd:double"&gt;0.54872036&lt;/D&gt;&lt;D xsi:type="xsd:double"&gt;-0.52875876&lt;/D&gt;&lt;D xsi:type="xsd:double"&gt;-2.6808321&lt;/D&gt;&lt;D xsi:type="xsd:double"&gt;-1.1567295&lt;/D&gt;&lt;D xsi:type="xsd:double"&gt;-0.16789436&lt;/D&gt;&lt;D xsi:type="xsd:double"&gt;0.20517111&lt;/D&gt;&lt;D xsi:type="xsd:double"&gt;-0.5265534&lt;/D&gt;&lt;D xsi:type="xsd:double"&gt;0.20450354&lt;/D&gt;&lt;D xsi:type="xsd:double"&gt;0.68775415&lt;/D&gt;&lt;D xsi:type="xsd:double"&gt;-0.38971305&lt;/D&gt;&lt;D xsi:type="xsd:double"&gt;0.5361557&lt;/D&gt;&lt;D xsi:type="xsd:double"&gt;0.11148453&lt;/D&gt;&lt;D xsi:type="xsd:double"&gt;0.07851124&lt;/D&gt;&lt;D xsi:type="xsd:double"&gt;-0.40740967&lt;/D&gt;&lt;D xsi:type="xsd:double"&gt;1.4571428&lt;/D&gt;&lt;D xsi:type="xsd:double"&gt;-0.058418512&lt;/D&gt;&lt;D xsi:type="xsd:double"&gt;3.3152223&lt;/D&gt;&lt;D xsi:type="xsd:double"&gt;-2.9171646&lt;/D&gt;&lt;D xsi:type="xsd:double"&gt;2.5890946&lt;/D&gt;&lt;D xsi:type="xsd:double"&gt;0.24533272&lt;/D&gt;&lt;D xsi:type="xsd:double"&gt;1.2198806&lt;/D&gt;&lt;D xsi:type="xsd:double"&gt;1.5844226&lt;/D&gt;&lt;D xsi:type="xsd:double"&gt;0.4356146&lt;/D&gt;&lt;D xsi:type="xsd:double"&gt;0.28082132&lt;/D&gt;&lt;D xsi:type="xsd:double"&gt;3.6499739&lt;/D&gt;&lt;D xsi:type="xsd:double"&gt;1.7822742&lt;/D&gt;&lt;D xsi:type="xsd:double"&gt;-0.17369986&lt;/D&gt;&lt;D xsi:type="xsd:double"&gt;-1.534617&lt;/D&gt;&lt;D xsi:type="xsd:double"&gt;0.65603256&lt;/D&gt;&lt;D xsi:type="xsd:double"&gt;-1.1770725&lt;/D&gt;&lt;D xsi:type="xsd:double"&gt;-0.969851&lt;/D&gt;&lt;D xsi:type="xsd:double"&gt;0.6092787&lt;/D&gt;&lt;D xsi:type="xsd:double"&gt;2.8456926&lt;/D&gt;&lt;D xsi:type="xsd:double"&gt;-2.5929272&lt;/D&gt;&lt;D xsi:type="xsd:double"&gt;0.09646416&lt;/D&gt;&lt;D xsi:type="xsd:double"&gt;-2.1266043&lt;/D&gt;&lt;D xsi:type="xsd:double"&gt;0.33382177&lt;/D&gt;&lt;D xsi:type="xsd:double"&gt;-1.1019409&lt;/D&gt;&lt;D xsi:type="xsd:double"&gt;-0.36007166&lt;/D&gt;&lt;D xsi:type="xsd:double"&gt;0.99214315&lt;/D&gt;&lt;D xsi:type="xsd:double"&gt;0.7827282&lt;/D&gt;&lt;D xsi:type="xsd:double"&gt;-1.3039172&lt;/D&gt;&lt;D xsi:type="xsd:double"&gt;0.6065011&lt;/D&gt;&lt;D xsi:type="xsd:double"&gt;1.8299103&lt;/D&gt;&lt;D xsi:type="xsd:double"&gt;-0.37826896&lt;/D&gt;&lt;D xsi:type="xsd:double"&gt;0.063848495&lt;/D&gt;&lt;D xsi:type="xsd:double"&gt;2.4050832&lt;/D&gt;&lt;D xsi:type="xsd:double"&gt;-0.032675266&lt;/D&gt;&lt;D xsi:type="xsd:double"&gt;0.44077635&lt;/D&gt;&lt;D xsi:type="xsd:double"&gt;1.301539&lt;/D&gt;&lt;D xsi:type="xsd:double"&gt;-0.6043434&lt;/D&gt;&lt;D xsi:type="xsd:double"&gt;-1.9489825&lt;/D&gt;&lt;D xsi:type="xsd:double"&gt;0.80264807&lt;/D&gt;&lt;D xsi:type="xsd:double"&gt;-0.032657385&lt;/D&gt;&lt;D xsi:type="xsd:double"&gt;0.056004524&lt;/D&gt;&lt;D xsi:type="xsd:double"&gt;-0.52467585&lt;/D&gt;&lt;D xsi:type="xsd:double"&gt;-0.388515&lt;/D&gt;&lt;D xsi:type="xsd:double"&gt;0.9996772&lt;/D&gt;&lt;D xsi:type="xsd:double"&gt;-0.53895116&lt;/D&gt;&lt;D xsi:type="xsd:double"&gt;0.6358981&lt;/D&gt;&lt;D xsi:type="xsd:double"&gt;0.004673004&lt;/D&gt;&lt;D xsi:type="xsd:double"&gt;1.7847776&lt;/D&gt;&lt;D xsi:type="xsd:double"&gt;-0.13308525&lt;/D&gt;&lt;D xsi:type="xsd:double"&gt;-0.9556532&lt;/D&gt;&lt;D xsi:type="xsd:double"&gt;0.6348252&lt;/D&gt;&lt;D xsi:type="xsd:double"&gt;-1.5760541&lt;/D&gt;&lt;D xsi:type="xsd:double"&gt;-1.27514&lt;/D&gt;&lt;D xsi:type="xsd:double"&gt;0.33254623&lt;/D&gt;&lt;D xsi:type="xsd:double"&gt;0.49664974&lt;/D&gt;&lt;D xsi:type="xsd:double"&gt;-0.51258206&lt;/D&gt;&lt;D xsi:type="xsd:double"&gt;2.6254773&lt;/D&gt;&lt;D xsi:type="xsd:double"&gt;-3.3792794&lt;/D&gt;&lt;D xsi:type="xsd:double"&gt;-2.3824453&lt;/D&gt;&lt;D xsi:type="xsd:double"&gt;0.1925826&lt;/D&gt;&lt;D xsi:type="xsd:double"&gt;3.1886816&lt;/D&gt;&lt;D xsi:type="xsd:double"&gt;4.8248887&lt;/D&gt;&lt;D xsi:type="xsd:double"&gt;2.026391&lt;/D&gt;&lt;D xsi:type="xsd:double"&gt;-0.06914735&lt;/D&gt;&lt;D xsi:type="xsd:double"&gt;-1.099062&lt;/D&gt;&lt;/FQL&gt;&lt;FQL&gt;&lt;Q&gt;MSFT-US^JULIAN(FG_PRICE(45961,45961-5AY,,USD).DATES)&lt;/Q&gt;&lt;R&gt;1257&lt;/R&gt;&lt;C&gt;1&lt;/C&gt;&lt;D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</t>
        </r>
      </text>
    </comment>
    <comment ref="A4" authorId="0" shapeId="0" xr:uid="{34281459-31FF-4576-964E-77D30CA7C495}">
      <text>
        <r>
          <rPr>
            <b/>
            <sz val="9"/>
            <color indexed="81"/>
            <rFont val="Tahoma"/>
            <charset val="1"/>
          </rPr>
          <t>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</t>
        </r>
      </text>
    </comment>
    <comment ref="A5" authorId="0" shapeId="0" xr:uid="{9A6B392D-CFCE-4AFF-B573-16F819004F89}">
      <text>
        <r>
          <rPr>
            <b/>
            <sz val="9"/>
            <color indexed="81"/>
            <rFont val="Tahoma"/>
            <charset val="1"/>
          </rPr>
          <t>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GAW-GB^PROPER_NAME&lt;/Q&gt;&lt;R&gt;1&lt;/R&gt;&lt;C&gt;1&lt;/C&gt;&lt;D xsi:type="xsd:string"&gt;Games Workshop Group PLC&lt;/D&gt;&lt;/FQL&gt;&lt;FQL&gt;&lt;Q&gt;SIKA-CH^PROPER_NAME&lt;/Q&gt;&lt;R&gt;1&lt;/R&gt;&lt;C&gt;1&lt;/C&gt;&lt;D xsi:type="xsd:string"&gt;Sika AG&lt;/D&gt;&lt;/FQL&gt;&lt;FQL&gt;&lt;Q&gt;7309-JP^PROPER_NAME&lt;/Q&gt;&lt;R&gt;1&lt;/R&gt;&lt;C&gt;1&lt;/C&gt;&lt;D xsi:type="xsd:string"&gt;Shimano Inc.&lt;/D&gt;&lt;/FQL&gt;&lt;FQL&gt;&lt;Q&gt;6861-JP^PROPER_NAME&lt;/Q&gt;&lt;R&gt;1&lt;/R&gt;&lt;C&gt;1&lt;/C&gt;&lt;D xsi:type="xsd:string"&gt;Keyence Corporation&lt;/D&gt;&lt;/FQL&gt;&lt;FQL&gt;&lt;Q&gt;AZN-GB^PROPER_NAME&lt;/Q&gt;&lt;R&gt;1&lt;/R&gt;&lt;C&gt;1&lt;/C&gt;&lt;D xsi:type="xsd:string"&gt;AstraZeneca PLC&lt;/D&gt;&lt;/FQL&gt;&lt;FQL&gt;&lt;Q&gt;SAP-DE^PROPER_NAME&lt;/Q&gt;&lt;R&gt;1&lt;/R&gt;&lt;C&gt;1&lt;/C&gt;&lt;D xsi:type="xsd:string"&gt;SAP SE&lt;/D&gt;&lt;/FQL&gt;&lt;FQL&gt;&lt;Q&gt;UMG-NL^PROPER_NAME&lt;/Q&gt;&lt;R&gt;1&lt;/R&gt;&lt;C&gt;1&lt;/C&gt;&lt;D xsi:type="xsd:string"&gt;Universal Music Group N.V.&lt;/D&gt;&lt;/FQL&gt;&lt;FQL&gt;&lt;Q&gt;ROG-CH^PROPER_NAME&lt;/Q&gt;&lt;R&gt;1&lt;/R&gt;&lt;C&gt;1&lt;/C&gt;&lt;D xsi:type="xsd:string"&gt;Roche Holding Ltd Dividend Right Cert.&lt;/D&gt;&lt;/FQL&gt;&lt;FQL&gt;&lt;Q&gt;EVD-DE^PROPER_NAME&lt;/Q&gt;&lt;R&gt;1&lt;/R&gt;&lt;C&gt;1&lt;/C&gt;&lt;D xsi:type="xsd:string"&gt;CTS Eventim AG &amp;amp; Co. KGaA&lt;/D&gt;&lt;/FQL&gt;&lt;FQL&gt;&lt;Q&gt;DGE-GB^PROPER_NAME&lt;/Q&gt;&lt;R&gt;1&lt;/R&gt;&lt;C&gt;1&lt;/C&gt;&lt;D xsi:type="xsd:string"&gt;Diageo plc&lt;/D&gt;&lt;/FQL&gt;&lt;FQL&gt;&lt;Q&gt;KNEBV-FI^PROPER_NAME&lt;/Q&gt;&lt;R&gt;1&lt;/R&gt;&lt;C&gt;1&lt;/C&gt;&lt;D xsi:type="xsd:string"&gt;KONE Oyj Class B&lt;/D&gt;&lt;/FQL&gt;&lt;FQL&gt;&lt;Q&gt;WKL-NL^PROPER_NAME&lt;/Q&gt;&lt;R&gt;1&lt;/R&gt;&lt;C&gt;1&lt;/C&gt;&lt;D xsi:type="xsd:string"&gt;Wolters Kluwer N.V.&lt;/D&gt;&lt;/FQL&gt;&lt;FQL&gt;&lt;Q&gt;CPG-GB^PROPER_NAME&lt;/Q&gt;&lt;R&gt;1&lt;/R&gt;&lt;C&gt;1&lt;/C&gt;&lt;D xsi:type="xsd:string"&gt;Compass Group PLC&lt;/D&gt;&lt;/FQL&gt;&lt;FQL&gt;&lt;Q&gt;EXPN-GB^PROPER_NAME&lt;/Q&gt;&lt;R&gt;1&lt;/R&gt;&lt;C&gt;1&lt;/C&gt;&lt;D xsi:type="xsd:string"&gt;Experian PLC&lt;/D&gt;&lt;/FQL&gt;&lt;FQL&gt;&lt;Q&gt;ATCO.B-SE^PROPER_NAME&lt;/Q&gt;&lt;R&gt;1&lt;/R&gt;&lt;C&gt;1&lt;/C&gt;&lt;D xsi:type="xsd:string"&gt;Atlas Copco AB Class B&lt;/D&gt;&lt;/FQL&gt;&lt;FQL&gt;&lt;Q&gt;CTEC-GB^PROPER_NAME&lt;/Q&gt;&lt;R&gt;1&lt;/R&gt;&lt;C&gt;1&lt;/C&gt;&lt;D xsi:type="xsd:string"&gt;ConvaTec Group Plc&lt;/D&gt;&lt;/FQL&gt;&lt;FQL&gt;&lt;Q&gt;AMS-ES^PROPER_NAME&lt;/Q&gt;&lt;R&gt;1&lt;/R&gt;&lt;C&gt;1&lt;/C&gt;&lt;D xsi:type="xsd:string"&gt;Amadeus IT Group SA Class A&lt;/D&gt;&lt;/FQL&gt;&lt;FQL&gt;&lt;Q&gt;CFR-CH^PROPER_NAME&lt;/Q&gt;&lt;R&gt;1&lt;/R&gt;&lt;C&gt;1&lt;/C&gt;&lt;D xsi:type="xsd:string"&gt;Compagnie Financiere Richemont SA&lt;/D&gt;&lt;/FQL&gt;&lt;FQL&gt;&lt;Q&gt;DB1-DE^PROPER_NAME&lt;/Q&gt;&lt;R&gt;1&lt;/R&gt;&lt;C&gt;1&lt;/C&gt;&lt;D xsi:type="xsd:string"&gt;Deutsche Boerse AG&lt;/D&gt;&lt;/FQL&gt;&lt;FQL&gt;&lt;Q&gt;ASML-NL^PROPER_NAME&lt;/Q&gt;&lt;R&gt;1&lt;/R&gt;&lt;C&gt;1&lt;/C&gt;&lt;D xsi:type="xsd:string"&gt;ASML Holding NV&lt;/D&gt;&lt;/FQL&gt;&lt;FQL&gt;&lt;Q&gt;LSEG-GB^PROPER_NAME&lt;/Q&gt;&lt;R&gt;1&lt;/R&gt;&lt;C&gt;1&lt;/C&gt;&lt;D xsi:type="xsd:string"&gt;London Stock Exchange Group plc&lt;/D&gt;&lt;/FQL&gt;&lt;FQL&gt;&lt;Q&gt;1299-HK^PROPER_NAME&lt;/Q&gt;&lt;R&gt;1&lt;/R&gt;&lt;C&gt;1&lt;/C&gt;&lt;D xsi:type="xsd:string"&gt;AIA Group Limited&lt;/D&gt;&lt;/FQL&gt;&lt;FQL&gt;&lt;Q&gt;AIR-FR^PROPER_NAME&lt;/Q&gt;&lt;R&gt;1&lt;/R&gt;&lt;C&gt;1&lt;/C&gt;&lt;D xsi:type="xsd:string"&gt;Airbus SE&lt;/D&gt;&lt;/FQL&gt;&lt;FQL&gt;&lt;Q&gt;RTO-GB^PROPER_NAME&lt;/Q&gt;&lt;R&gt;1&lt;/R&gt;&lt;C&gt;1&lt;/C&gt;&lt;D xsi:type="xsd:string"&gt;Rentokil Initial plc&lt;/D&gt;&lt;/FQL&gt;&lt;FQL&gt;&lt;Q&gt;HWDN-GB^PROPER_NAME&lt;/Q&gt;&lt;R&gt;1&lt;/R&gt;&lt;C&gt;1&lt;/C&gt;&lt;D xsi:type="xsd:string"&gt;Howden Joinery Group PLC&lt;/D&gt;&lt;/FQL&gt;&lt;FQL&gt;&lt;Q&gt;SAF-FR^PROPER_NAME&lt;/Q&gt;&lt;R&gt;1&lt;/R&gt;&lt;C&gt;1&lt;/C&gt;&lt;D xsi:type="xsd:string"&gt;Safran SA&lt;/D&gt;&lt;/FQL&gt;&lt;FQL&gt;&lt;Q&gt;MC-FR^PROPER_NAME&lt;/Q&gt;&lt;R&gt;1&lt;/R&gt;&lt;C&gt;1&lt;/C&gt;&lt;D xsi:type="xsd:string"&gt;LVMH Moet Hennessy Louis Vuitton SE&lt;/D&gt;&lt;/FQL&gt;&lt;FQL&gt;&lt;Q&gt;DUMMY^CORREL_MATRIX(CORRELMATRIX)&lt;/Q&gt;&lt;R&gt;27&lt;/R&gt;&lt;C&gt;27&lt;/C&gt;&lt;D xsi:type="xsd:double"&gt;1&lt;/D&gt;&lt;D xsi:type="xsd:double"&gt;0.509785&lt;/D&gt;&lt;D xsi:type="xsd:double"&gt;0.4602459&lt;/D&gt;&lt;D xsi:type="xsd:double"&gt;0.35414377&lt;/D&gt;&lt;D xsi:type="xsd:double"&gt;0.50146395&lt;/D&gt;&lt;D xsi:type="xsd:double"&gt;0.20032638&lt;/D&gt;&lt;D xsi:type="xsd:double"&gt;0.29701015&lt;/D&gt;&lt;D xsi:type="xsd:double"&gt;0.53056926&lt;/D&gt;&lt;D xsi:type="xsd:double"&gt;0.36655867&lt;/D&gt;&lt;D xsi:type="xsd:double"&gt;0.7664606&lt;/D&gt;&lt;D xsi:type="xsd:double"&gt;0.50451356&lt;/D&gt;&lt;D xsi:type="xsd:double"&gt;0.32303026&lt;/D&gt;&lt;D xsi:type="xsd:double"&gt;0.58369356&lt;/D&gt;&lt;D xsi:type="xsd:double"&gt;0.4828266&lt;/D&gt;&lt;D xsi:type="xsd:double"&gt;0.38709512&lt;/D&gt;&lt;D xsi:type="xsd:double"&gt;0.32097962&lt;/D&gt;&lt;D xsi:type="xsd:double"&gt;0.4747051&lt;/D&gt;&lt;D xsi:type="xsd:double"&gt;0.5493245&lt;/D&gt;&lt;D xsi:type="xsd:double"&gt;0.43059352&lt;/D&gt;&lt;D xsi:type="xsd:double"&gt;0.2780032&lt;/D&gt;&lt;D xsi:type="xsd:double"&gt;0.3877866&lt;/D&gt;&lt;D xsi:type="xsd:double"&gt;0.50534385&lt;/D&gt;&lt;D xsi:type="xsd:double"&gt;0.27704242&lt;/D&gt;&lt;D xsi:type="xsd:double"&gt;0.17609833&lt;/D&gt;&lt;D xsi:type="xsd:double"&gt;0.11496507&lt;/D&gt;&lt;D xsi:type="xsd:double"&gt;0.5621452&lt;/D&gt;&lt;D xsi:type="xsd:double"&gt;0.39359632&lt;/D&gt;&lt;D xsi:type="xsd:double"&gt;0.509785&lt;/D&gt;&lt;D xsi:type="xsd:double"&gt;1&lt;/D&gt;&lt;D xsi:type="xsd:double"&gt;0.4366969&lt;/D&gt;&lt;D xsi:type="xsd:double"&gt;0.28363976&lt;/D&gt;&lt;D xsi:type="xsd:double"&gt;0.81209356&lt;/D&gt;&lt;D xsi:type="xsd:double"&gt;0.14178161&lt;/D&gt;&lt;D xsi:type="xsd:double"&gt;0.28440186&lt;/D&gt;&lt;D xsi:type="xsd:double"&gt;0.43833765&lt;/D&gt;&lt;D xsi:type="xsd:double"&gt;0.39820796&lt;/D&gt;&lt;D xsi:type="xsd:double"&gt;0.47810704&lt;/D&gt;&lt;D xsi:type="xsd:double"&gt;0.6402595&lt;/D&gt;&lt;D xsi:type="xsd:double"&gt;0.328349&lt;/D&gt;&lt;D xsi:type="xsd:double"&gt;0.49826986&lt;/D&gt;&lt;D xsi:type="xsd:double"&gt;0.4245813&lt;/D&gt;&lt;D xsi:type="xsd:double"&gt;0.5843373&lt;/D&gt;&lt;D xsi:type="xsd:double"&gt;0.2797521&lt;/D&gt;&lt;D xsi:type="xsd:double"&gt;0.37827277&lt;/D&gt;&lt;D xsi:type="xsd:double"&gt;0.40557703&lt;/D&gt;&lt;D xsi:type="xsd:double"&gt;0.5067775&lt;/D&gt;&lt;D xsi:type="xsd:double"&gt;0.21131513&lt;/D&gt;&lt;D xsi:type="xsd:double"&gt;0.3762205&lt;/D&gt;&lt;D xsi:type="xsd:double"&gt;0.50367844&lt;/D&gt;&lt;D xsi:type="xsd:double"&gt;0.2832835&lt;/D&gt;&lt;D xsi:type="xsd:double"&gt;0.13011311&lt;/D&gt;&lt;D xsi:type="xsd:double"&gt;0.074890375&lt;/D&gt;&lt;D xsi:type="xsd:double"&gt;0.37696826&lt;/D&gt;&lt;D xsi:type="xsd:double"&gt;0.323275&lt;/D&gt;&lt;D xsi:type="xsd:double"&gt;0.4602459&lt;/D&gt;&lt;D xsi:type="xsd:double"&gt;0.4366969&lt;/D&gt;&lt;D xsi:type="xsd:double"&gt;1&lt;/D&gt;&lt;D xsi:type="xsd:double"&gt;0.41833362&lt;/D&gt;&lt;D xsi:type="xsd:double"&gt;0.44105732&lt;/D&gt;&lt;D xsi:type="xsd:double"&gt;0.124057695&lt;/D&gt;&lt;D xsi:type="xsd:double"&gt;0.35634407&lt;/D&gt;&lt;D xsi:type="xsd:double"&gt;0.45195284&lt;/D&gt;&lt;D xsi:type="xsd:double"&gt;0.3639224&lt;/D&gt;&lt;D xsi:type="xsd:double"&gt;0.42637396&lt;/D&gt;&lt;D xsi:type="xsd:double"&gt;0.43459252&lt;/D&gt;&lt;D xsi:type="xsd:double"&gt;0.42780367&lt;/D&gt;&lt;D xsi:type="xsd:double"&gt;0.514451&lt;/D&gt;&lt;D xsi:type="xsd:double"&gt;0.5554453&lt;/D&gt;&lt;D xsi:type="xsd:double"&gt;0.3607132&lt;/D&gt;&lt;D xsi:type="xsd:double"&gt;0.33575264&lt;/D&gt;&lt;D xsi:type="xsd:double"&gt;0.41832206&lt;/D&gt;&lt;D xsi:type="xsd:double"&gt;0.42626515&lt;/D&gt;&lt;D xsi:type="xsd:double"&gt;0.40277734&lt;/D&gt;&lt;D xsi:type="xsd:double"&gt;0.2532534&lt;/D&gt;&lt;D xsi:type="xsd:double"&gt;0.43256503&lt;/D&gt;&lt;D xsi:type="xsd:double"&gt;0.47731137&lt;/D&gt;&lt;D xsi:type="xsd:double"&gt;0.28097388&lt;/D&gt;&lt;D xsi:type="xsd:double"&gt;0.19572157&lt;/D&gt;&lt;D xsi:type="xsd:double"&gt;0.14427096&lt;/D&gt;&lt;D xsi:type="xsd:double"&gt;0.5676973&lt;/D&gt;&lt;D xsi:type="xsd:double"&gt;0.4704049&lt;/D&gt;&lt;D xsi:type="xsd:double"&gt;0.35414377&lt;/D&gt;&lt;D xsi:type="xsd:double"&gt;0.28363976&lt;/D&gt;&lt;D xsi:type="xsd:double"&gt;0.41833362&lt;/D&gt;&lt;D xsi:type="xsd:double"&gt;1&lt;/D&gt;&lt;D xsi:type="xsd:double"&gt;0.26874676&lt;/D&gt;&lt;D xsi:type="xsd:double"&gt;0.09439859&lt;/D&gt;&lt;D xsi:type="xsd:double"&gt;0.312711&lt;/D&gt;&lt;D xsi:type="xsd:double"&gt;0.31843558&lt;/D&gt;&lt;D xsi:type="xsd:double"&gt;0.37145242&lt;/D&gt;&lt;D xsi:type="xsd:double"&gt;0.29752842&lt;/D&gt;&lt;D xsi:type="xsd:double"&gt;0.28641415&lt;/D&gt;&lt;D xsi:type="xsd:double"&gt;0.32169735&lt;/D&gt;&lt;D xsi:type="xsd:double"&gt;0.38952658&lt;/D&gt;&lt;D xsi:type="xsd:double"&gt;0.52231896&lt;/D&gt;&lt;D xsi:type="xsd:double"&gt;0.2602248&lt;/D&gt;&lt;D xsi:type="xsd:double"&gt;0.397644&lt;/D&gt;&lt;D xsi:type="xsd:double"&gt;0.3065277&lt;/D&gt;&lt;D xsi:type="xsd:double"&gt;0.33998936&lt;/D&gt;&lt;D xsi:type="xsd:double"&gt;0.2617828&lt;/D&gt;&lt;D xsi:type="xsd:double"&gt;0.29526287&lt;/D&gt;&lt;D xsi:type="xsd:double"&gt;0.2906794&lt;/D&gt;&lt;D xsi:type="xsd:double"&gt;0.35065466&lt;/D&gt;&lt;D xsi:type="xsd:double"&gt;0.30272692&lt;/D&gt;&lt;D xsi:type="xsd:double"&gt;0.15191178&lt;/D&gt;&lt;D xsi:type="xsd:double"&gt;0.1403527&lt;/D&gt;&lt;D xsi:type="xsd:double"&gt;0.43167374&lt;/D&gt;&lt;D xsi:type="xsd:double"&gt;0.32832068&lt;/D&gt;&lt;D xsi:type="xsd:double"&gt;0.50146395&lt;/D&gt;&lt;D xsi:type="xsd:double"&gt;0.81209356&lt;/D&gt;&lt;D xsi:type="xsd:double"&gt;0.44105732&lt;/D&gt;&lt;D xsi:type="xsd:double"&gt;0.26874676&lt;/D&gt;&lt;D xsi:type="xsd:double"&gt;1&lt;/D&gt;&lt;D xsi:type="xsd:double"&gt;0.15546373&lt;/D&gt;&lt;D xsi:type="xsd:double"&gt;0.2689679&lt;/D&gt;&lt;D xsi:type="xsd:double"&gt;0.43683022&lt;/D&gt;&lt;D xsi:type="xsd:double"&gt;0.3527767&lt;/D&gt;&lt;D xsi:type="xsd:double"&gt;0.46321934&lt;/D&gt;&lt;D xsi:type="xsd:double"&gt;0.632735&lt;/D&gt;&lt;D xsi:type="xsd:double"&gt;0.3170344&lt;/D&gt;&lt;D xsi:type="xsd:double"&gt;0.49453464&lt;/D&gt;&lt;D xsi:type="xsd:double"&gt;0.38881403&lt;/D&gt;&lt;D xsi:type="xsd:double"&gt;0.581852&lt;/D&gt;&lt;D xsi:type="xsd:double"&gt;0.23295896&lt;/D&gt;&lt;D xsi:type="xsd:double"&gt;0.3767862&lt;/D&gt;&lt;D xsi:type="xsd:double"&gt;0.43578514&lt;/D&gt;&lt;D xsi:type="xsd:double"&gt;0.5209465&lt;/D&gt;&lt;D xsi:type="xsd:double"&gt;0.21525423&lt;/D&gt;&lt;D xsi:type="xsd:double"&gt;0.36126378&lt;/D&gt;&lt;D xsi:type="xsd:double"&gt;0.48117846&lt;/D&gt;&lt;D xsi:type="xsd:double"&gt;0.2797347&lt;/D&gt;&lt;D xsi:type="xsd:double"&gt;0.12062809&lt;/D&gt;&lt;D xsi:type="xsd:double"&gt;0.04726788&lt;/D&gt;&lt;D xsi:type="xsd:double"&gt;0.37046057&lt;/D&gt;&lt;D xsi:type="xsd:double"&gt;0.3157338&lt;/D&gt;&lt;D xsi:type="xsd:double"&gt;0.20032638&lt;/D&gt;&lt;D xsi:type="xsd:double"&gt;0.14178161&lt;/D&gt;&lt;D xsi:type="xsd:double"&gt;0.124057695&lt;/D&gt;&lt;D xsi:type="xsd:double"&gt;0.09439859&lt;/D&gt;&lt;D xsi:type="xsd:double"&gt;0.15546373&lt;/D&gt;&lt;D xsi:type="xsd:double"&gt;1&lt;/D&gt;&lt;D xsi:type="xsd:double"&gt;0.12050736&lt;/D&gt;&lt;D xsi:type="xsd:double"&gt;0.16463646&lt;/D&gt;&lt;D xsi:type="xsd:double"&gt;0.08669336&lt;/D&gt;&lt;D xsi:type="xsd:double"&gt;0.22118126&lt;/D&gt;&lt;D xsi:type="xsd:double"&gt;0.15302518&lt;/D&gt;&lt;D xsi:type="xsd:double"&gt;0.07185024&lt;/D&gt;&lt;D xsi:type="xsd:double"&gt;0.16275035&lt;/D&gt;&lt;D xsi:type="xsd:double"&gt;0.12665023&lt;/D&gt;&lt;D xsi:type="xsd:double"&gt;0.12492135&lt;/D&gt;&lt;D xsi:type="xsd:double"&gt;0.022876877&lt;/D&gt;&lt;D xsi:type="xsd:double"&gt;0.24042521&lt;/D&gt;&lt;D xsi:type="xsd:double"&gt;0.18725948&lt;/D&gt;&lt;D xsi:type="xsd:double"&gt;0.12958428&lt;/D&gt;&lt;D xsi:type="xsd:double"&gt;0.07535537&lt;/D&gt;&lt;D xsi:type="xsd:double"&gt;0.10484881&lt;/D&gt;&lt;D xsi:type="xsd:double"&gt;0.12533842&lt;/D&gt;&lt;D xsi:type="xsd:double"&gt;0.115931846&lt;/D&gt;&lt;D xsi:type="xsd:double"&gt;0.1643844&lt;/D&gt;&lt;D xsi:type="xsd:double"&gt;0.114190616&lt;/D&gt;&lt;D xsi:type="xsd:double"&gt;0.16695009&lt;/D&gt;&lt;D xsi:type="xsd:double"&gt;0.12979618&lt;/D&gt;&lt;D xsi:type="xsd:double"&gt;0.29701015&lt;/D&gt;&lt;D xsi:type="xsd:double"&gt;0.28440186&lt;/D&gt;&lt;D xsi:type="xsd:double"&gt;0.35634407&lt;/D&gt;&lt;D xsi:type="xsd:double"&gt;0.312711&lt;/D&gt;&lt;D xsi:type="xsd:double"&gt;0.2689679&lt;/D&gt;&lt;D xsi:type="xsd:double"&gt;0.12050736&lt;/D&gt;&lt;D xsi:type="xsd:double"&gt;1&lt;/D&gt;&lt;D xsi:type="xsd:double"&gt;0.32542145&lt;/D&gt;&lt;D xsi:type="xsd:double"&gt;0.54103786&lt;/D&gt;&lt;D xsi:type="xsd:double"&gt;0.3068959&lt;/D&gt;&lt;D xsi:type="xsd:double"&gt;0.31675497&lt;/D&gt;&lt;D xsi:type="xsd:double"&gt;0.2440018&lt;/D&gt;&lt;D xsi:type="xsd:double"&gt;0.35244116&lt;/D&gt;&lt;D xsi:type="xsd:double"&gt;0.45928076&lt;/D&gt;&lt;D xsi:type="xsd:double"&gt;0.29346314&lt;/D&gt;&lt;D xsi:type="xsd:double"&gt;0.36392683&lt;/D&gt;&lt;D xsi:type="xsd:double"&gt;0.30407104&lt;/D&gt;&lt;D xsi:type="xsd:double"&gt;0.30557325&lt;/D&gt;&lt;D xsi:type="xsd:double"&gt;0.2795783&lt;/D&gt;&lt;D xsi:type="xsd:double"&gt;0.29977077&lt;/D&gt;&lt;D xsi:type="xsd:double"&gt;0.26917693&lt;/D&gt;&lt;D xsi:type="xsd:double"&gt;0.39711124&lt;/D&gt;&lt;D xsi:type="xsd:double"&gt;0.29109696&lt;/D&gt;&lt;D xsi:type="xsd:double"&gt;0.16513656&lt;/D&gt;&lt;D xsi:type="xsd:double"&gt;0.11055987&lt;/D&gt;&lt;D xsi:type="xsd:double"&gt;0.4020356&lt;/D&gt;&lt;D xsi:type="xsd:double"&gt;0.34242162&lt;/D&gt;&lt;D xsi:type="xsd:double"&gt;0.53056926&lt;/D&gt;&lt;D xsi:type="xsd:double"&gt;0.43833765&lt;/D&gt;&lt;D xsi:type="xsd:double"&gt;0.45195284&lt;/D&gt;&lt;D xsi:type="xsd:double"&gt;0.31843558&lt;/D&gt;&lt;D xsi:type="xsd:double"&gt;0.43683022&lt;/D&gt;&lt;D xsi:type="xsd:double"&gt;0.16463646&lt;/D&gt;&lt;D xsi:type="xsd:double"&gt;0.32542145&lt;/D&gt;&lt;D xsi:type="xsd:double"&gt;1&lt;/D&gt;&lt;D xsi:type="xsd:double"&gt;0.34363586&lt;/D&gt;&lt;D xsi:type="xsd:double"&gt;0.5247394&lt;/D&gt;&lt;D xsi:type="xsd:double"&gt;0.43283245&lt;/D&gt;&lt;D xsi:type="xsd:double"&gt;0.30329758&lt;/D&gt;&lt;D xsi:type="xsd:double"&gt;0.63254297&lt;/D&gt;&lt;D xsi:type="xsd:double"&gt;0.5031371&lt;/D&gt;&lt;D xsi:type="xsd:double"&gt;0.29678446&lt;/D&gt;&lt;D xsi:type="xsd:double"&gt;0.37211937&lt;/D&gt;&lt;D xsi:type="xsd:double"&gt;0.41507825&lt;/D&gt;&lt;D xsi:type="xsd:double"&gt;0.32630002&lt;/D&gt;&lt;D xsi:type="xsd:double"&gt;0.42182392&lt;/D&gt;&lt;D xsi:type="xsd:double"&gt;0.19476902&lt;/D&gt;&lt;D xsi:type="xsd:double"&gt;0.3873192&lt;/D&gt;&lt;D xsi:type="xsd:double"&gt;0.5916345&lt;/D&gt;&lt;D xsi:type="xsd:double"&gt;0.23404448&lt;/D&gt;&lt;D xsi:type="xsd:double"&gt;0.21124619&lt;/D&gt;&lt;D xsi:type="xsd:double"&gt;0.13039207&lt;/D&gt;&lt;D xsi:type="xsd:double"&gt;0.54998994&lt;/D&gt;&lt;D xsi:type="xsd:double"&gt;0.39456716&lt;/D&gt;&lt;D xsi:type="xsd:double"&gt;0.36655867&lt;/D&gt;&lt;D xsi:type="xsd:double"&gt;0.39820796&lt;/D&gt;&lt;D xsi:type="xsd:double"&gt;0.3639224&lt;/D&gt;&lt;D xsi:type="xsd:double"&gt;0.37145242&lt;/D&gt;&lt;D xsi:type="xsd:double"&gt;0.3527767&lt;/D&gt;&lt;D xsi:type="xsd:double"&gt;0.08669336&lt;/D&gt;&lt;D xsi:type="xsd:double"&gt;0.54103786&lt;/D&gt;&lt;D xsi:type="xsd:double"&gt;0.34363586&lt;/D&gt;&lt;D xsi:type="xsd:double"&gt;1&lt;/D&gt;&lt;D xsi:type="xsd:double"&gt;0.32550418&lt;/D&gt;&lt;D xsi:type="xsd:double"&gt;0.40904063&lt;/D&gt;&lt;D xsi:type="xsd:double"&gt;0.28969374&lt;/D&gt;&lt;D xsi:type="xsd:double"&gt;0.3877785&lt;/D&gt;&lt;D xsi:type="xsd:double"&gt;0.44998568&lt;/D&gt;&lt;D xsi:type="xsd:double"&gt;0.33842778&lt;/D&gt;&lt;D xsi:type="xsd:double"&gt;0.44704992&lt;/D&gt;&lt;D xsi:type="xsd:double"&gt;0.39773643&lt;/D&gt;&lt;D xsi:type="xsd:double"&gt;0.36486942&lt;/D&gt;&lt;D xsi:type="xsd:double"&gt;0.36710358&lt;/D&gt;&lt;D xsi:type="xsd:double"&gt;0.3448901&lt;/D&gt;&lt;D xsi:type="xsd:double"&gt;0.36241108&lt;/D&gt;&lt;D xsi:type="xsd:double"&gt;0.45079386&lt;/D&gt;&lt;D xsi:type="xsd:double"&gt;0.31739062&lt;/D&gt;&lt;D xsi:type="xsd:double"&gt;0.13548113&lt;/D&gt;&lt;D xsi:type="xsd:double"&gt;0.09449463&lt;/D&gt;&lt;D xsi:type="xsd:double"&gt;0.4124909&lt;/D&gt;&lt;D xsi:type="xsd:double"&gt;0.3433742&lt;/D&gt;&lt;D xsi:type="xsd:double"&gt;0.7664606&lt;/D&gt;&lt;D xsi:type="xsd:double"&gt;0.47810704&lt;/D&gt;&lt;D xsi:type="xsd:double"&gt;0.42637396&lt;/D&gt;&lt;D xsi:type="xsd:double"&gt;0.29752842&lt;/D&gt;&lt;D xsi:type="xsd:double"&gt;0.46321934&lt;/D&gt;&lt;D xsi:type="xsd:double"&gt;0.22118126&lt;/D&gt;&lt;D xsi:type="xsd:double"&gt;0.3068959&lt;/D&gt;&lt;D xsi:type="xsd:double"&gt;0.5247394&lt;/D&gt;&lt;D xsi:type="xsd:double"&gt;0.32550418&lt;/D&gt;&lt;D xsi:type="xsd:double"&gt;1&lt;/D&gt;&lt;D xsi:type="xsd:double"&gt;0.46330985&lt;/D&gt;&lt;D xsi:type="xsd:double"&gt;0.2931112&lt;/D&gt;&lt;D xsi:type="xsd:double"&gt;0.55653554&lt;/D&gt;&lt;D xsi:type="xsd:double"&gt;0.4290999&lt;/D&gt;&lt;D xsi:type="xsd:double"&gt;0.36307546&lt;/D&gt;&lt;D xsi:type="xsd:double"&gt;0.27884924&lt;/D&gt;&lt;D xsi:type="xsd:double"&gt;0.43800527&lt;/D&gt;&lt;D xsi:type="xsd:double"&gt;0.43368435&lt;/D&gt;&lt;D xsi:type="xsd:double"&gt;0.41736826&lt;/D&gt;&lt;D xsi:type="xsd:double"&gt;0.26481748&lt;/D&gt;&lt;D xsi:type="xsd:double"&gt;0.37554145&lt;/D&gt;&lt;D xsi:type="xsd:double"&gt;0.44417307&lt;/D&gt;&lt;D xsi:type="xsd:double"&gt;0.22418194&lt;/D&gt;&lt;D xsi:type="xsd:double"&gt;0.19152753&lt;/D&gt;&lt;D xsi:type="xsd:double"&gt;0.13213988&lt;/D&gt;&lt;D xsi:type="xsd:double"&gt;0.53060037&lt;/D&gt;&lt;D xsi:type="xsd:double"&gt;0.38829276&lt;/D&gt;&lt;D xsi:type="xsd:double"&gt;0.50451356&lt;/D&gt;&lt;D xsi:type="xsd:double"&gt;0.6402595&lt;/D&gt;&lt;D xsi:type="xsd:double"&gt;0.43459252&lt;/D&gt;&lt;D xsi:type="xsd:double"&gt;0.28641415&lt;/D&gt;&lt;D xsi:type="xsd:double"&gt;0.632735&lt;/D&gt;&lt;D xsi:type="xsd:double"&gt;0.15302518&lt;/D&gt;&lt;D xsi:type="xsd:double"&gt;0.31675497&lt;/D&gt;&lt;D xsi:type="xsd:double"&gt;0.43283245&lt;/D&gt;&lt;D xsi:type="xsd:double"&gt;0.40904063&lt;/D&gt;&lt;D xsi:type="xsd:double"&gt;0.46330985&lt;/D&gt;&lt;D xsi:type="xsd:double"&gt;1&lt;/D&gt;&lt;D xsi:type="xsd:double"&gt;0.35108724&lt;/D&gt;&lt;D xsi:type="xsd:double"&gt;0.45254394&lt;/D&gt;&lt;D xsi:type="xsd:double"&gt;0.41697648&lt;/D&gt;&lt;D xsi:type="xsd:double"&gt;0.57988703&lt;/D&gt;&lt;D xsi:type="xsd:double"&gt;0.27429333&lt;/D&gt;&lt;D xsi:type="xsd:double"&gt;0.36200237&lt;/D&gt;&lt;D xsi:type="xsd:double"&gt;0.42832384&lt;/D&gt;&lt;D xsi:type="xsd:double"&gt;0.51570344&lt;/D&gt;&lt;D xsi:type="xsd:double"&gt;0.23350945&lt;/D&gt;&lt;D xsi:type="xsd:double"&gt;0.3849351&lt;/D&gt;&lt;D xsi:type="xsd:double"&gt;0.48073825&lt;/D&gt;&lt;D xsi:type="xsd:double"&gt;0.28274176&lt;/D&gt;&lt;D xsi:type="xsd:double"&gt;0.1533227&lt;/D&gt;&lt;D xsi:type="xsd:double"&gt;0.1169135&lt;/D&gt;&lt;D xsi:type="xsd:double"&gt;0.39897418&lt;/D&gt;&lt;D xsi:type="xsd:double"&gt;0.33986038&lt;/D&gt;&lt;D xsi:type="xsd:double"&gt;0.32303026&lt;/D&gt;&lt;D xsi:type="xsd:double"&gt;0.328349&lt;/D&gt;&lt;D xsi:type="xsd:double"&gt;0.42780367&lt;/D&gt;&lt;D xsi:type="xsd:double"&gt;0.32169735&lt;/D&gt;&lt;D xsi:type="xsd:double"&gt;0.3170344&lt;/D&gt;&lt;D xsi:type="xsd:double"&gt;0.07185024&lt;/D&gt;&lt;D xsi:type="xsd:double"&gt;0.2440018&lt;/D&gt;&lt;D xsi:type="xsd:double"&gt;0.30329758&lt;/D&gt;&lt;D xsi:type="xsd:double"&gt;0.28969374&lt;/D&gt;&lt;D xsi:type="xsd:double"&gt;0.2931112&lt;/D&gt;&lt;D xsi:type="xsd:double"&gt;0.35108724&lt;/D&gt;&lt;D xsi:type="xsd:double"&gt;1&lt;/D&gt;&lt;D xsi:type="xsd:double"&gt;0.36406094&lt;/D&gt;&lt;D xsi:type="xsd:double"&gt;0.406648&lt;/D&gt;&lt;D xsi:type="xsd:double"&gt;0.31228936&lt;/D&gt;&lt;D xsi:type="xsd:double"&gt;0.27964067&lt;/D&gt;&lt;D xsi:type="xsd:double"&gt;0.31934363&lt;/D&gt;&lt;D xsi:type="xsd:double"&gt;0.3968525&lt;/D&gt;&lt;D xsi:type="xsd:double"&gt;0.28881165&lt;/D&gt;&lt;D xsi:type="xsd:double"&gt;0.25767145&lt;/D&gt;&lt;D xsi:type="xsd:double"&gt;0.27788678&lt;/D&gt;&lt;D xsi:type="xsd:double"&gt;0.35716373&lt;/D&gt;&lt;D xsi:type="xsd:double"&gt;0.30844527&lt;/D&gt;&lt;D xsi:type="xsd:double"&gt;0.1589227&lt;/D&gt;&lt;D xsi:type="xsd:double"&gt;0.1765844&lt;/D&gt;&lt;D xsi:type="xsd:double"&gt;0.40074778&lt;/D&gt;&lt;D xsi:type="xsd:double"&gt;0.3045094&lt;/D&gt;&lt;D xsi:type="xsd:double"&gt;0.58369356&lt;/D&gt;&lt;D xsi:type="xsd:double"&gt;0.49826986&lt;/D&gt;&lt;D xsi:type="xsd:double"&gt;0.514451&lt;/D&gt;&lt;D xsi:type="xsd:double"&gt;0.38952658&lt;/D&gt;&lt;D xsi:type="xsd:double"&gt;0.49453464&lt;/D&gt;&lt;D xsi:type="xsd:double"&gt;0.16275035&lt;/D&gt;&lt;D xsi:type="xsd:double"&gt;0.35244116&lt;/D&gt;&lt;D xsi:type="xsd:double"&gt;0.63254297&lt;/D&gt;&lt;D xsi:type="xsd:double"&gt;0.3877785&lt;/D&gt;&lt;D xsi:type="xsd:double"&gt;0.55653554&lt;/D&gt;&lt;D xsi:type="xsd:double"&gt;0.45254394&lt;/D&gt;&lt;D xsi:type="xsd:double"&gt;0.36406094&lt;/D&gt;&lt;D xsi:type="xsd:double"&gt;1&lt;/D&gt;&lt;D xsi:type="xsd:double"&gt;0.57328904&lt;/D&gt;&lt;D xsi:type="xsd:double"&gt;0.35030505&lt;/D&gt;&lt;D xsi:type="xsd:double"&gt;0.39800245&lt;/D&gt;&lt;D xsi:type="xsd:double"&gt;0.56843656&lt;/D&gt;&lt;D xsi:type="xsd:double"&gt;0.41556883&lt;/D&gt;&lt;D xsi:type="xsd:double"&gt;0.4453952&lt;/D&gt;&lt;D xsi:type="xsd:double"&gt;0.27645284&lt;/D&gt;&lt;D xsi:type="xsd:double"&gt;0.38074645&lt;/D&gt;&lt;D xsi:type="xsd:double"&gt;0.5699686&lt;/D&gt;&lt;D xsi:type="xsd:double"&gt;0.3011104&lt;/D&gt;&lt;D xsi:type="xsd:double"&gt;0.24304737&lt;/D&gt;&lt;D xsi:type="xsd:double"&gt;0.17883798&lt;/D&gt;&lt;D xsi:type="xsd:double"&gt;0.6228807&lt;/D&gt;&lt;D xsi:type="xsd:double"&gt;0.4232764&lt;/D&gt;&lt;D xsi:type="xsd:double"&gt;0.4828266&lt;/D&gt;&lt;D xsi:type="xsd:double"&gt;0.4245813&lt;/D&gt;&lt;D xsi:type="xsd:double"&gt;0.5554453&lt;/D&gt;&lt;D xsi:type="xsd:double"&gt;0.52231896&lt;/D&gt;&lt;D xsi:type="xsd:double"&gt;0.38881403&lt;/D&gt;&lt;D xsi:type="xsd:double"&gt;0.12665023&lt;/D&gt;&lt;D xsi:type="xsd:double"&gt;0.45928076&lt;/D&gt;&lt;D xsi:type="xsd:double"&gt;0.5031371&lt;/D&gt;&lt;D xsi:type="xsd:double"&gt;0.44998568&lt;/D&gt;&lt;D xsi:type="xsd:double"&gt;0.4290999&lt;/D&gt;&lt;D xsi:type="xsd:double"&gt;0.41697648&lt;/D&gt;&lt;D xsi:type="xsd:double"&gt;0.406648&lt;/D&gt;&lt;D xsi:type="xsd:double"&gt;0.57328904&lt;/D&gt;&lt;D xsi:type="xsd:double"&gt;1&lt;/D&gt;&lt;D xsi:type="xsd:double"&gt;0.371856&lt;/D&gt;&lt;D xsi:type="xsd:double"&gt;0.5796203&lt;/D&gt;&lt;D xsi:type="xsd:double"&gt;0.4547183&lt;/D&gt;&lt;D xsi:type="xsd:double"&gt;0.44099885&lt;/D&gt;&lt;D xsi:type="xsd:double"&gt;0.34089434&lt;/D&gt;&lt;D xsi:type="xsd:double"&gt;0.35048857&lt;/D&gt;&lt;D xsi:type="xsd:double"&gt;0.3770811&lt;/D&gt;&lt;D xsi:type="xsd:double"&gt;0.55088663&lt;/D&gt;&lt;D xsi:type="xsd:double"&gt;0.36397937&lt;/D&gt;&lt;D xsi:type="xsd:double"&gt;0.22569604&lt;/D&gt;&lt;D xsi:type="xsd:double"&gt;0.13415733&lt;/D&gt;&lt;D xsi:type="xsd:double"&gt;0.5934114&lt;/D&gt;&lt;D xsi:type="xsd:double"&gt;0.4632575&lt;/D&gt;&lt;D xsi:type="xsd:double"&gt;0.38709512&lt;/D&gt;&lt;D xsi:type="xsd:double"&gt;0.5843373&lt;/D&gt;&lt;D xsi:type="xsd:double"&gt;0.3607132&lt;/D&gt;&lt;D xsi:type="xsd:double"&gt;0.2602248&lt;/D&gt;&lt;D xsi:type="xsd:double"&gt;0.581852&lt;/D&gt;&lt;D xsi:type="xsd:double"&gt;0.12492135&lt;/D&gt;&lt;D xsi:type="xsd:double"&gt;0.29346314&lt;/D&gt;&lt;D xsi:type="xsd:double"&gt;0.29678446&lt;/D&gt;&lt;D xsi:type="xsd:double"&gt;0.33842778&lt;/D&gt;&lt;D xsi:type="xsd:double"&gt;0.36307546&lt;/D&gt;&lt;D xsi:type="xsd:double"&gt;0.57988703&lt;/D&gt;&lt;D xsi:type="xsd:double"&gt;0.31228936&lt;/D&gt;&lt;D xsi:type="xsd:double"&gt;0.35030505&lt;/D&gt;&lt;D xsi:type="xsd:double"&gt;0.371856&lt;/D&gt;&lt;D xsi:type="xsd:double"&gt;1&lt;/D&gt;&lt;D xsi:type="xsd:double"&gt;0.2617611&lt;/D&gt;&lt;D xsi:type="xsd:double"&gt;0.2867474&lt;/D&gt;&lt;D xsi:type="xsd:double"&gt;0.45583183&lt;/D&gt;&lt;D xsi:type="xsd:double"&gt;0.45424098&lt;/D&gt;&lt;D xsi:type="xsd:double"&gt;0.19456798&lt;/D&gt;&lt;D xsi:type="xsd:double"&gt;0.31303993&lt;/D&gt;&lt;D xsi:type="xsd:double"&gt;0.3444086&lt;/D&gt;&lt;D xsi:type="xsd:double"&gt;0.28516763&lt;/D&gt;&lt;D xsi:type="xsd:double"&gt;0.10976086&lt;/D&gt;&lt;D xsi:type="xsd:double"&gt;0.037719302&lt;/D&gt;&lt;D xsi:type="xsd:double"&gt;0.24063256&lt;/D&gt;&lt;D xsi:type="xsd:double"&gt;0.2398593&lt;/D&gt;&lt;D xsi:type="xsd:double"&gt;0.32097962&lt;/D&gt;&lt;D xsi:type="xsd:double"&gt;0.2797521&lt;/D&gt;&lt;D xsi:type="xsd:double"&gt;0.33575264&lt;/D&gt;&lt;D xsi:type="xsd:double"&gt;0.397644&lt;/D&gt;&lt;D xsi:type="xsd:double"&gt;0.23295896&lt;/D&gt;&lt;D xsi:type="xsd:double"&gt;0.022876877&lt;/D&gt;&lt;D xsi:type="xsd:double"&gt;0.36392683&lt;/D&gt;&lt;D xsi:type="xsd:double"&gt;0.37211937&lt;/D&gt;&lt;D xsi:type="xsd:double"&gt;0.44704992&lt;/D&gt;&lt;D xsi:type="xsd:double"&gt;0.27884924&lt;/D&gt;&lt;D xsi:type="xsd:double"&gt;0.27429333&lt;/D&gt;&lt;D xsi:type="xsd:double"&gt;0.27964067&lt;/D&gt;&lt;D xsi:type="xsd:double"&gt;0.39800245&lt;/D&gt;&lt;D xsi:type="xsd:double"&gt;0.5796203&lt;/D&gt;&lt;D xsi:type="xsd:double"&gt;0.2617611&lt;/D&gt;&lt;D xsi:type="xsd:double"&gt;1&lt;/D&gt;&lt;D xsi:type="xsd:double"&gt;0.34633076&lt;/D&gt;&lt;D xsi:type="xsd:double"&gt;0.31538716&lt;/D&gt;&lt;D xsi:type="xsd:double"&gt;0.27870765&lt;/D&gt;&lt;D xsi:type="xsd:double"&gt;0.33433408&lt;/D&gt;&lt;D xsi:type="xsd:double"&gt;0.35139903&lt;/D&gt;&lt;D xsi:type="xsd:double"&gt;0.43742466&lt;/D&gt;&lt;D xsi:type="xsd:double"&gt;0.29451087&lt;/D&gt;&lt;D xsi:type="xsd:double"&gt;0.1663039&lt;/D&gt;&lt;D xsi:type="xsd:double"&gt;0.078021884&lt;/D&gt;&lt;D xsi:type="xsd:double"&gt;0.42792076&lt;/D&gt;&lt;D xsi:type="xsd:double"&gt;0.3382772&lt;/D&gt;&lt;D xsi:type="xsd:double"&gt;0.4747051&lt;/D&gt;&lt;D xsi:type="xsd:double"&gt;0.37827277&lt;/D&gt;&lt;D xsi:type="xsd:double"&gt;0.41832206&lt;/D&gt;&lt;D xsi:type="xsd:double"&gt;0.3065277&lt;/D&gt;&lt;D xsi:type="xsd:double"&gt;0.3767862&lt;/D&gt;&lt;D xsi:type="xsd:double"&gt;0.24042521&lt;/D&gt;&lt;D xsi:type="xsd:double"&gt;0.30407104&lt;/D&gt;&lt;D xsi:type="xsd:double"&gt;0.41507825&lt;/D&gt;&lt;D xsi:type="xsd:double"&gt;0.39773643&lt;/D&gt;&lt;D xsi:type="xsd:double"&gt;0.43800527&lt;/D&gt;&lt;D xsi:type="xsd:double"&gt;0.36200237&lt;/D&gt;&lt;D xsi:type="xsd:double"&gt;0.31934363&lt;/D&gt;&lt;D xsi:type="xsd:double"&gt;0.56843656&lt;/D&gt;&lt;D xsi:type="xsd:double"&gt;0.4547183&lt;/D&gt;&lt;D xsi:type="xsd:double"&gt;0.2867474&lt;/D&gt;&lt;D xsi:type="xsd:double"&gt;0.34633076&lt;/D&gt;&lt;D xsi:type="xsd:double"&gt;1&lt;/D&gt;&lt;D xsi:type="xsd:double"&gt;0.36165142&lt;/D&gt;&lt;D xsi:type="xsd:double"&gt;0.3566919&lt;/D&gt;&lt;D xsi:type="xsd:double"&gt;0.26806313&lt;/D&gt;&lt;D xsi:type="xsd:double"&gt;0.35810405&lt;/D&gt;&lt;D xsi:type="xsd:double"&gt;0.4401025&lt;/D&gt;&lt;D xsi:type="xsd:double"&gt;0.231226&lt;/D&gt;&lt;D xsi:type="xsd:double"&gt;0.17528498&lt;/D&gt;&lt;D xsi:type="xsd:double"&gt;0.14146267&lt;/D&gt;&lt;D xsi:type="xsd:double"&gt;0.51505196&lt;/D&gt;&lt;D xsi:type="xsd:double"&gt;0.369999&lt;/D&gt;&lt;D xsi:type="xsd:double"&gt;0.5493245&lt;/D&gt;&lt;D xsi:type="xsd:double"&gt;0.40557703&lt;/D&gt;&lt;D xsi:type="xsd:double"&gt;0.42626515&lt;/D&gt;&lt;D xsi:type="xsd:double"&gt;0.33998936&lt;/D&gt;&lt;D xsi:type="xsd:double"&gt;0.43578514&lt;/D&gt;&lt;D xsi:type="xsd:double"&gt;0.18725948&lt;/D&gt;&lt;D xsi:type="xsd:double"&gt;0.30557325&lt;/D&gt;&lt;D xsi:type="xsd:double"&gt;0.32630002&lt;/D&gt;&lt;D xsi:type="xsd:double"&gt;0.36486942&lt;/D&gt;&lt;D xsi:type="xsd:double"&gt;0.43368435&lt;/D&gt;&lt;D xsi:type="xsd:double"&gt;0.42832384&lt;/D&gt;&lt;D xsi:type="xsd:double"&gt;0.3968525&lt;/D&gt;&lt;D xsi:type="xsd:double"&gt;0.41556883&lt;/D&gt;&lt;D xsi:type="xsd:double"&gt;0.44099885&lt;/D&gt;&lt;D xsi:type="xsd:double"&gt;0.45583183&lt;/D&gt;&lt;D xsi:type="xsd:double"&gt;0.31538716&lt;/D&gt;&lt;D xsi:type="xsd:double"&gt;0.36165142&lt;/D&gt;&lt;D xsi:type="xsd:double"&gt;1&lt;/D&gt;&lt;D xsi:type="xsd:double"&gt;0.36182505&lt;/D&gt;&lt;D xsi:type="xsd:double"&gt;0.284926&lt;/D&gt;&lt;D xsi:type="xsd:double"&gt;0.30076844&lt;/D&gt;&lt;D xsi:type="xsd:double"&gt;0.4100629&lt;/D&gt;&lt;D xsi:type="xsd:double"&gt;0.3980701&lt;/D&gt;&lt;D xsi:type="xsd:double"&gt;0.17645818&lt;/D&gt;&lt;D xsi:type="xsd:double"&gt;0.08444799&lt;/D&gt;&lt;D xsi:type="xsd:double"&gt;0.41316396&lt;/D&gt;&lt;D xsi:type="xsd:double"&gt;0.33297855&lt;/D&gt;&lt;D xsi:type="xsd:double"&gt;0.43059352&lt;/D&gt;&lt;D xsi:type="xsd:double"&gt;0.5067775&lt;/D&gt;&lt;D xsi:type="xsd:double"&gt;0.40277734&lt;/D&gt;&lt;D xsi:type="xsd:double"&gt;0.2617828&lt;/D&gt;&lt;D xsi:type="xsd:double"&gt;0.5209465&lt;/D&gt;&lt;D xsi:type="xsd:double"&gt;0.12958428&lt;/D&gt;&lt;D xsi:type="xsd:double"&gt;0.2795783&lt;/D&gt;&lt;D xsi:type="xsd:double"&gt;0.42182392&lt;/D&gt;&lt;D xsi:type="xsd:double"&gt;0.36710358&lt;/D&gt;&lt;D xsi:type="xsd:double"&gt;0.41736826&lt;/D&gt;&lt;D xsi:type="xsd:double"&gt;0.51570344&lt;/D&gt;&lt;D xsi:type="xsd:double"&gt;0.28881165&lt;/D&gt;&lt;D xsi:type="xsd:double"&gt;0.4453952&lt;/D&gt;&lt;D xsi:type="xsd:double"&gt;0.34089434&lt;/D&gt;&lt;D xsi:type="xsd:double"&gt;0.45424098&lt;/D&gt;&lt;D xsi:type="xsd:double"&gt;0.27870765&lt;/D&gt;&lt;D xsi:type="xsd:double"&gt;0.3566919&lt;/D&gt;&lt;D xsi:type="xsd:double"&gt;0.36182505&lt;/D&gt;&lt;D xsi:type="xsd:double"&gt;1&lt;/D&gt;&lt;D xsi:type="xsd:double"&gt;0.1849121&lt;/D&gt;&lt;D xsi:type="xsd:double"&gt;0.39071593&lt;/D&gt;&lt;D xsi:type="xsd:double"&gt;0.41425866&lt;/D&gt;&lt;D xsi:type="xsd:double"&gt;0.22816253&lt;/D&gt;&lt;D xsi:type="xsd:double"&gt;0.14435138&lt;/D&gt;&lt;D xsi:type="xsd:double"&gt;0.092603855&lt;/D&gt;&lt;D xsi:type="xsd:double"&gt;0.3854988&lt;/D&gt;&lt;D xsi:type="xsd:double"&gt;0.29830897&lt;/D&gt;&lt;D xsi:type="xsd:double"&gt;0.2780032&lt;/D&gt;&lt;D xsi:type="xsd:double"&gt;0.21131513&lt;/D&gt;&lt;D xsi:type="xsd:double"&gt;0.2532534&lt;/D&gt;&lt;D xsi:type="xsd:double"&gt;0.29526287&lt;/D&gt;&lt;D xsi:type="xsd:double"&gt;0.21525423&lt;/D&gt;&lt;D xsi:type="xsd:double"&gt;0.07535537&lt;/D&gt;&lt;D xsi:type="xsd:double"&gt;0.29977077&lt;/D&gt;&lt;D xsi:type="xsd:double"&gt;0.19476902&lt;/D&gt;&lt;D xsi:type="xsd:double"&gt;0.3448901&lt;/D&gt;&lt;D xsi:type="xsd:double"&gt;0.26481748&lt;/D&gt;&lt;D xsi:type="xsd:double"&gt;0.23350945&lt;/D&gt;&lt;D xsi:type="xsd:double"&gt;0.25767145&lt;/D&gt;&lt;D xsi:type="xsd:double"&gt;0.27645284&lt;/D&gt;&lt;D xsi:type="xsd:double"&gt;0.35048857&lt;/D&gt;&lt;D xsi:type="xsd:double"&gt;0.19456798&lt;/D&gt;&lt;D xsi:type="xsd:double"&gt;0.33433408&lt;/D&gt;&lt;D xsi:type="xsd:double"&gt;0.26806313&lt;/D&gt;&lt;D xsi:type="xsd:double"&gt;0.284926&lt;/D&gt;&lt;D xsi:type="xsd:double"&gt;0.1849121&lt;/D&gt;&lt;D xsi:type="xsd:double"&gt;1&lt;/D&gt;&lt;D xsi:type="xsd:double"&gt;0.2356463&lt;/D&gt;&lt;D xsi:type="xsd:double"&gt;0.29707205&lt;/D&gt;&lt;D xsi:type="xsd:double"&gt;0.5047391&lt;/D&gt;&lt;D xsi:type="xsd:double"&gt;0.15638767&lt;/D&gt;&lt;D xsi:type="xsd:double"&gt;0.13363463&lt;/D&gt;&lt;D xsi:type="xsd:double"&gt;0.3816578&lt;/D&gt;&lt;D xsi:type="xsd:double"&gt;0.24734443&lt;/D&gt;&lt;D xsi:type="xsd:double"&gt;0.3877866&lt;/D&gt;&lt;D xsi:type="xsd:double"&gt;0.3762205&lt;/D&gt;&lt;D xsi:type="xsd:double"&gt;0.43256503&lt;/D&gt;&lt;D xsi:type="xsd:double"&gt;0.2906794&lt;/D&gt;&lt;D xsi:type="xsd:double"&gt;0.36126378&lt;/D&gt;&lt;D xsi:type="xsd:double"&gt;0.10484881&lt;/D&gt;&lt;D xsi:type="xsd:double"&gt;0.26917693&lt;/D&gt;&lt;D xsi:type="xsd:double"&gt;0.3873192&lt;/D&gt;&lt;D xsi:type="xsd:double"&gt;0.36241108&lt;/D&gt;&lt;D xsi:type="xsd:double"&gt;0.37554145&lt;/D&gt;&lt;D xsi:type="xsd:double"&gt;0.3849351&lt;/D&gt;&lt;D xsi:type="xsd:double"&gt;0.27788678&lt;/D&gt;&lt;D xsi:type="xsd:double"&gt;0.38074645&lt;/D&gt;&lt;D xsi:type="xsd:double"&gt;0.3770811&lt;/D&gt;&lt;D xsi:type="xsd:double"&gt;0.31303993&lt;/D&gt;&lt;D xsi:type="xsd:double"&gt;0.35139903&lt;/D&gt;&lt;D xsi:type="xsd:double"&gt;0.35810405&lt;/D&gt;&lt;D xsi:type="xsd:double"&gt;0.30076844&lt;/D&gt;&lt;D xsi:type="xsd:double"&gt;0.39071593&lt;/D&gt;&lt;D xsi:type="xsd:double"&gt;0.2356463&lt;/D&gt;&lt;D xsi:type="xsd:double"&gt;1&lt;/D&gt;&lt;D xsi:type="xsd:double"&gt;0.38252014&lt;/D&gt;&lt;D xsi:type="xsd:double"&gt;0.23540214&lt;/D&gt;&lt;D xsi:type="xsd:double"&gt;0.13701637&lt;/D&gt;&lt;D xsi:type="xsd:double"&gt;0.09482908&lt;/D&gt;&lt;D xsi:type="xsd:double"&gt;0.41822553&lt;/D&gt;&lt;D xsi:type="xsd:double"&gt;0.35958442&lt;/D&gt;&lt;D xsi:type="xsd:double"&gt;0.50534385&lt;/D&gt;&lt;D xsi:type="xsd:double"&gt;0.50367844&lt;/D&gt;&lt;D xsi:type="xsd:double"&gt;0.47731137&lt;/D&gt;&lt;D xsi:type="xsd:double"&gt;0.35065466&lt;/D&gt;&lt;D xsi:type="xsd:double"&gt;0.48117846&lt;/D&gt;&lt;D xsi:type="xsd:double"&gt;0.12533842&lt;/D&gt;&lt;D xsi:type="xsd:double"&gt;0.39711124&lt;/D&gt;&lt;D xsi:type="xsd:double"&gt;0.5916345&lt;/D&gt;&lt;D xsi:type="xsd:double"&gt;0.45079386&lt;/D&gt;&lt;D xsi:type="xsd:double"&gt;0.44417307&lt;/D&gt;&lt;D xsi:type="xsd:double"&gt;0.48073825&lt;/D&gt;&lt;D xsi:type="xsd:double"&gt;0.35716373&lt;/D&gt;&lt;D xsi:type="xsd:double"&gt;0.5699686&lt;/D&gt;&lt;D xsi:type="xsd:double"&gt;0.55088663&lt;/D&gt;&lt;D xsi:type="xsd:double"&gt;0.3444086&lt;/D&gt;&lt;D xsi:type="xsd:double"&gt;0.43742466&lt;/D&gt;&lt;D xsi:type="xsd:double"&gt;0.4401025&lt;/D&gt;&lt;D xsi:type="xsd:double"&gt;0.4100629&lt;/D&gt;&lt;D xsi:type="xsd:double"&gt;0.41425866&lt;/D&gt;&lt;D xsi:type="xsd:do</t>
        </r>
      </text>
    </comment>
    <comment ref="A6" authorId="0" shapeId="0" xr:uid="{15C1FF66-CBE6-492E-92EC-30EB7CB8731A}">
      <text>
        <r>
          <rPr>
            <b/>
            <sz val="9"/>
            <color indexed="81"/>
            <rFont val="Tahoma"/>
            <charset val="1"/>
          </rPr>
          <t>uble"&gt;0.29707205&lt;/D&gt;&lt;D xsi:type="xsd:double"&gt;0.38252014&lt;/D&gt;&lt;D xsi:type="xsd:double"&gt;1&lt;/D&gt;&lt;D xsi:type="xsd:double"&gt;0.30672863&lt;/D&gt;&lt;D xsi:type="xsd:double"&gt;0.20761448&lt;/D&gt;&lt;D xsi:type="xsd:double"&gt;0.11021904&lt;/D&gt;&lt;D xsi:type="xsd:double"&gt;0.50782514&lt;/D&gt;&lt;D xsi:type="xsd:double"&gt;0.41876435&lt;/D&gt;&lt;D xsi:type="xsd:double"&gt;0.27704242&lt;/D&gt;&lt;D xsi:type="xsd:double"&gt;0.2832835&lt;/D&gt;&lt;D xsi:type="xsd:double"&gt;0.28097388&lt;/D&gt;&lt;D xsi:type="xsd:double"&gt;0.30272692&lt;/D&gt;&lt;D xsi:type="xsd:double"&gt;0.2797347&lt;/D&gt;&lt;D xsi:type="xsd:double"&gt;0.115931846&lt;/D&gt;&lt;D xsi:type="xsd:double"&gt;0.29109696&lt;/D&gt;&lt;D xsi:type="xsd:double"&gt;0.23404448&lt;/D&gt;&lt;D xsi:type="xsd:double"&gt;0.31739062&lt;/D&gt;&lt;D xsi:type="xsd:double"&gt;0.22418194&lt;/D&gt;&lt;D xsi:type="xsd:double"&gt;0.28274176&lt;/D&gt;&lt;D xsi:type="xsd:double"&gt;0.30844527&lt;/D&gt;&lt;D xsi:type="xsd:double"&gt;0.3011104&lt;/D&gt;&lt;D xsi:type="xsd:double"&gt;0.36397937&lt;/D&gt;&lt;D xsi:type="xsd:double"&gt;0.28516763&lt;/D&gt;&lt;D xsi:type="xsd:double"&gt;0.29451087&lt;/D&gt;&lt;D xsi:type="xsd:double"&gt;0.231226&lt;/D&gt;&lt;D xsi:type="xsd:double"&gt;0.3980701&lt;/D&gt;&lt;D xsi:type="xsd:double"&gt;0.22816253&lt;/D&gt;&lt;D xsi:type="xsd:double"&gt;0.5047391&lt;/D&gt;&lt;D xsi:type="xsd:double"&gt;0.23540214&lt;/D&gt;&lt;D xsi:type="xsd:double"&gt;0.30672863&lt;/D&gt;&lt;D xsi:type="xsd:double"&gt;1&lt;/D&gt;&lt;D xsi:type="xsd:double"&gt;0.12690318&lt;/D&gt;&lt;D xsi:type="xsd:double"&gt;0.07404174&lt;/D&gt;&lt;D xsi:type="xsd:double"&gt;0.32597935&lt;/D&gt;&lt;D xsi:type="xsd:double"&gt;0.265708&lt;/D&gt;&lt;D xsi:type="xsd:double"&gt;0.17609833&lt;/D&gt;&lt;D xsi:type="xsd:double"&gt;0.13011311&lt;/D&gt;&lt;D xsi:type="xsd:double"&gt;0.19572157&lt;/D&gt;&lt;D xsi:type="xsd:double"&gt;0.15191178&lt;/D&gt;&lt;D xsi:type="xsd:double"&gt;0.12062809&lt;/D&gt;&lt;D xsi:type="xsd:double"&gt;0.1643844&lt;/D&gt;&lt;D xsi:type="xsd:double"&gt;0.16513656&lt;/D&gt;&lt;D xsi:type="xsd:double"&gt;0.21124619&lt;/D&gt;&lt;D xsi:type="xsd:double"&gt;0.13548113&lt;/D&gt;&lt;D xsi:type="xsd:double"&gt;0.19152753&lt;/D&gt;&lt;D xsi:type="xsd:double"&gt;0.1533227&lt;/D&gt;&lt;D xsi:type="xsd:double"&gt;0.1589227&lt;/D&gt;&lt;D xsi:type="xsd:double"&gt;0.24304737&lt;/D&gt;&lt;D xsi:type="xsd:double"&gt;0.22569604&lt;/D&gt;&lt;D xsi:type="xsd:double"&gt;0.10976086&lt;/D&gt;&lt;D xsi:type="xsd:double"&gt;0.1663039&lt;/D&gt;&lt;D xsi:type="xsd:double"&gt;0.17528498&lt;/D&gt;&lt;D xsi:type="xsd:double"&gt;0.17645818&lt;/D&gt;&lt;D xsi:type="xsd:double"&gt;0.14435138&lt;/D&gt;&lt;D xsi:type="xsd:double"&gt;0.15638767&lt;/D&gt;&lt;D xsi:type="xsd:double"&gt;0.13701637&lt;/D&gt;&lt;D xsi:type="xsd:double"&gt;0.20761448&lt;/D&gt;&lt;D xsi:type="xsd:double"&gt;0.12690318&lt;/D&gt;&lt;D xsi:type="xsd:double"&gt;1&lt;/D&gt;&lt;D xsi:type="xsd:double"&gt;0.45410532&lt;/D&gt;&lt;D xsi:type="xsd:double"&gt;0.22520171&lt;/D&gt;&lt;D xsi:type="xsd:double"&gt;0.20962398&lt;/D&gt;&lt;D xsi:type="xsd:double"&gt;0.11496507&lt;/D&gt;&lt;D xsi:type="xsd:double"&gt;0.074890375&lt;/D&gt;&lt;D xsi:type="xsd:double"&gt;0.14427096&lt;/D&gt;&lt;D xsi:type="xsd:double"&gt;0.1403527&lt;/D&gt;&lt;D xsi:type="xsd:double"&gt;0.04726788&lt;/D&gt;&lt;D xsi:type="xsd:double"&gt;0.114190616&lt;/D&gt;&lt;D xsi:type="xsd:double"&gt;0.11055987&lt;/D&gt;&lt;D xsi:type="xsd:double"&gt;0.13039207&lt;/D&gt;&lt;D xsi:type="xsd:double"&gt;0.09449463&lt;/D&gt;&lt;D xsi:type="xsd:double"&gt;0.13213988&lt;/D&gt;&lt;D xsi:type="xsd:double"&gt;0.1169135&lt;/D&gt;&lt;D xsi:type="xsd:double"&gt;0.1765844&lt;/D&gt;&lt;D xsi:type="xsd:double"&gt;0.17883798&lt;/D&gt;&lt;D xsi:type="xsd:double"&gt;0.13415733&lt;/D&gt;&lt;D xsi:type="xsd:double"&gt;0.037719302&lt;/D&gt;&lt;D xsi:type="xsd:double"&gt;0.078021884&lt;/D&gt;&lt;D xsi:type="xsd:double"&gt;0.14146267&lt;/D&gt;&lt;D xsi:type="xsd:double"&gt;0.08444799&lt;/D&gt;&lt;D xsi:type="xsd:double"&gt;0.092603855&lt;/D&gt;&lt;D xsi:type="xsd:double"&gt;0.13363463&lt;/D&gt;&lt;D xsi:type="xsd:double"&gt;0.09482908&lt;/D&gt;&lt;D xsi:type="xsd:double"&gt;0.11021904&lt;/D&gt;&lt;D xsi:type="xsd:double"&gt;0.07404174&lt;/D&gt;&lt;D xsi:type="xsd:double"&gt;0.45410532&lt;/D&gt;&lt;D xsi:type="xsd:double"&gt;1&lt;/D&gt;&lt;D xsi:type="xsd:double"&gt;0.19293171&lt;/D&gt;&lt;D xsi:type="xsd:double"&gt;0.13354328&lt;/D&gt;&lt;D xsi:type="xsd:double"&gt;0.5621452&lt;/D&gt;&lt;D xsi:type="xsd:double"&gt;0.37696826&lt;/D&gt;&lt;D xsi:type="xsd:double"&gt;0.5676973&lt;/D&gt;&lt;D xsi:type="xsd:double"&gt;0.43167374&lt;/D&gt;&lt;D xsi:type="xsd:double"&gt;0.37046057&lt;/D&gt;&lt;D xsi:type="xsd:double"&gt;0.16695009&lt;/D&gt;&lt;D xsi:type="xsd:double"&gt;0.4020356&lt;/D&gt;&lt;D xsi:type="xsd:double"&gt;0.54998994&lt;/D&gt;&lt;D xsi:type="xsd:double"&gt;0.4124909&lt;/D&gt;&lt;D xsi:type="xsd:double"&gt;0.53060037&lt;/D&gt;&lt;D xsi:type="xsd:double"&gt;0.39897418&lt;/D&gt;&lt;D xsi:type="xsd:double"&gt;0.40074778&lt;/D&gt;&lt;D xsi:type="xsd:double"&gt;0.6228807&lt;/D&gt;&lt;D xsi:type="xsd:double"&gt;0.5934114&lt;/D&gt;&lt;D xsi:type="xsd:double"&gt;0.24063256&lt;/D&gt;&lt;D xsi:type="xsd:double"&gt;0.42792076&lt;/D&gt;&lt;D xsi:type="xsd:double"&gt;0.51505196&lt;/D&gt;&lt;D xsi:type="xsd:double"&gt;0.41316396&lt;/D&gt;&lt;D xsi:type="xsd:double"&gt;0.3854988&lt;/D&gt;&lt;D xsi:type="xsd:double"&gt;0.3816578&lt;/D&gt;&lt;D xsi:type="xsd:double"&gt;0.41822553&lt;/D&gt;&lt;D xsi:type="xsd:double"&gt;0.50782514&lt;/D&gt;&lt;D xsi:type="xsd:double"&gt;0.32597935&lt;/D&gt;&lt;D xsi:type="xsd:double"&gt;0.22520171&lt;/D&gt;&lt;D xsi:type="xsd:double"&gt;0.19293171&lt;/D&gt;&lt;D xsi:type="xsd:double"&gt;1&lt;/D&gt;&lt;D xsi:type="xsd:double"&gt;0.45336103&lt;/D&gt;&lt;D xsi:type="xsd:double"&gt;0.39359632&lt;/D&gt;&lt;D xsi:type="xsd:double"&gt;0.323275&lt;/D&gt;&lt;D xsi:type="xsd:double"&gt;0.4704049&lt;/D&gt;&lt;D xsi:type="xsd:double"&gt;0.32832068&lt;/D&gt;&lt;D xsi:type="xsd:double"&gt;0.3157338&lt;/D&gt;&lt;D xsi:type="xsd:double"&gt;0.12979618&lt;/D&gt;&lt;D xsi:type="xsd:double"&gt;0.34242162&lt;/D&gt;&lt;D xsi:type="xsd:double"&gt;0.39456716&lt;/D&gt;&lt;D xsi:type="xsd:double"&gt;0.3433742&lt;/D&gt;&lt;D xsi:type="xsd:double"&gt;0.38829276&lt;/D&gt;&lt;D xsi:type="xsd:double"&gt;0.33986038&lt;/D&gt;&lt;D xsi:type="xsd:double"&gt;0.3045094&lt;/D&gt;&lt;D xsi:type="xsd:double"&gt;0.4232764&lt;/D&gt;&lt;D xsi:type="xsd:double"&gt;0.4632575&lt;/D&gt;&lt;D xsi:type="xsd:double"&gt;0.2398593&lt;/D&gt;&lt;D xsi:type="xsd:double"&gt;0.3382772&lt;/D&gt;&lt;D xsi:type="xsd:double"&gt;0.369999&lt;/D&gt;&lt;D xsi:type="xsd:double"&gt;0.33297855&lt;/D&gt;&lt;D xsi:type="xsd:double"&gt;0.29830897&lt;/D&gt;&lt;D xsi:type="xsd:double"&gt;0.24734443&lt;/D&gt;&lt;D xsi:type="xsd:double"&gt;0.35958442&lt;/D&gt;&lt;D xsi:type="xsd:double"&gt;0.41876435&lt;/D&gt;&lt;D xsi:type="xsd:double"&gt;0.265708&lt;/D&gt;&lt;D xsi:type="xsd:double"&gt;0.20962398&lt;/D&gt;&lt;D xsi:type="xsd:double"&gt;0.13354328&lt;/D&gt;&lt;D xsi:type="xsd:double"&gt;0.45336103&lt;/D&gt;&lt;D xsi:type="xsd:double"&gt;1&lt;/D&gt;&lt;/FQL&gt;&lt;FQL&gt;&lt;Q&gt;^IDS&lt;/Q&gt;&lt;R&gt;27&lt;/R&gt;&lt;C&gt;1&lt;/C&gt;&lt;D xsi:type="xsd:string"&gt;MC-FR&lt;/D&gt;&lt;D xsi:type="xsd:string"&gt;SAF-FR&lt;/D&gt;&lt;D xsi:type="xsd:string"&gt;HWDN-GB&lt;/D&gt;&lt;D xsi:type="xsd:string"&gt;RTO-GB&lt;/D&gt;&lt;D xsi:type="xsd:string"&gt;AIR-FR&lt;/D&gt;&lt;D xsi:type="xsd:string"&gt;1299-HK&lt;/D&gt;&lt;D xsi:type="xsd:string"&gt;LSEG-GB&lt;/D&gt;&lt;D xsi:type="xsd:string"&gt;ASML-NL&lt;/D&gt;&lt;D xsi:type="xsd:string"&gt;DB1-DE&lt;/D&gt;&lt;D xsi:type="xsd:string"&gt;CFR-CH&lt;/D&gt;&lt;D xsi:type="xsd:string"&gt;AMS-ES&lt;/D&gt;&lt;D xsi:type="xsd:string"&gt;CTEC-GB&lt;/D&gt;&lt;D xsi:type="xsd:string"&gt;ATCO.B-SE&lt;/D&gt;&lt;D xsi:type="xsd:string"&gt;EXPN-GB&lt;/D&gt;&lt;D xsi:type="xsd:string"&gt;CPG-GB&lt;/D&gt;&lt;D xsi:type="xsd:string"&gt;WKL-NL&lt;/D&gt;&lt;D xsi:type="xsd:string"&gt;KNEBV-FI&lt;/D&gt;&lt;D xsi:type="xsd:string"&gt;DGE-GB&lt;/D&gt;&lt;D xsi:type="xsd:string"&gt;EVD-DE&lt;/D&gt;&lt;D xsi:type="xsd:string"&gt;ROG-CH&lt;/D&gt;&lt;D xsi:type="xsd:string"&gt;UMG-NL&lt;/D&gt;&lt;D xsi:type="xsd:string"&gt;SAP-DE&lt;/D&gt;&lt;D xsi:type="xsd:string"&gt;AZN-GB&lt;/D&gt;&lt;D xsi:type="xsd:string"&gt;6861-JP&lt;/D&gt;&lt;D xsi:type="xsd:string"&gt;7309-JP&lt;/D&gt;&lt;D xsi:type="xsd:string"&gt;SIKA-CH&lt;/D&gt;&lt;D xsi:type="xsd:string"&gt;GAW-GB&lt;/D&gt;&lt;/FQL&gt;&lt;FQL&gt;&lt;Q&gt;DUMMY^FLOAT_ARRAY CORRELMATRIX=GET_FQL_ARRAY(IDS,'P_PRICE_RETURNS(0,45961,45961-5AY,D,USD)');'FDS CODE - DO NOT DELETE'&lt;/Q&gt;&lt;R&gt;1&lt;/R&gt;&lt;C&gt;1&lt;/C&gt;&lt;D xsi:type="xsd:string"&gt;FDS CODE - DO NOT DELETE&lt;/D&gt;&lt;/FQL&gt;&lt;FQL&gt;&lt;Q&gt;DUMMY^STRING_ARRAY IDS=TICKER_LIST('MC-FR SAF-FR HWDN-GB RTO-GB AIR-FR 1299-HK LSEG-GB ASML-NL DB1-DE CFR-CH AMS-ES CTEC-GB ATCO.B-SE EXPN-GB CPG-GB WKL-NL KNEBV-FI DGE-GB EVD-DE ROG-CH UMG-NL SAP-DE AZN-GB 6861-JP 7309-JP SIKA-CH GAW-GB');"FDS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10/31/2025:&lt;/D&gt;&lt;/FQL&gt;&lt;FQL&gt;&lt;Q&gt;MC-FR^FG_COMPANY_NAME&lt;/Q&gt;&lt;R&gt;1&lt;/R&gt;&lt;C&gt;1&lt;/C&gt;&lt;D xsi:type="xsd:string"&gt;LVMH Moet Hennessy Louis Vuitton SE&lt;/D&gt;&lt;/FQL&gt;&lt;FQL&gt;&lt;Q&gt;SAF-FR^FG_COMPANY_NAME&lt;/Q&gt;&lt;R&gt;1&lt;/R&gt;&lt;C&gt;1&lt;/C&gt;&lt;D xsi:type="xsd:string"&gt;Safran SA&lt;/D&gt;&lt;/FQL&gt;&lt;FQL&gt;&lt;Q&gt;HWDN-GB^FG_COMPANY_NAME&lt;/Q&gt;&lt;R&gt;1&lt;/R&gt;&lt;C&gt;1&lt;/C&gt;&lt;D xsi:type="xsd:string"&gt;Howden Joinery Group PLC&lt;/D&gt;&lt;/FQL&gt;&lt;FQL&gt;&lt;Q&gt;RTO-GB^FG_COMPANY_NAME&lt;/Q&gt;&lt;R&gt;1&lt;/R&gt;&lt;C&gt;1&lt;/C&gt;&lt;D xsi:type="xsd:string"&gt;Rentokil Initial plc&lt;/D&gt;&lt;/FQL&gt;&lt;FQL&gt;&lt;Q&gt;AIR-FR^FG_COMPANY_NAME&lt;/Q&gt;&lt;R&gt;1&lt;/R&gt;&lt;C&gt;1&lt;/C&gt;&lt;D xsi:type="xsd:string"&gt;Airbus SE&lt;/D&gt;&lt;/FQL&gt;&lt;FQL&gt;&lt;Q&gt;1299-HK^FG_COMPANY_NAME&lt;/Q&gt;&lt;R&gt;1&lt;/R&gt;&lt;C&gt;1&lt;/C&gt;&lt;D xsi:type="xsd:string"&gt;AIA Group Limited&lt;/D&gt;&lt;/FQL&gt;&lt;FQL&gt;&lt;Q&gt;LSEG-GB^FG_COMPANY_NAME&lt;/Q&gt;&lt;R&gt;1&lt;/R&gt;&lt;C&gt;1&lt;/C&gt;&lt;D xsi:type="xsd:string"&gt;London Stock Exchange Group plc&lt;/D&gt;&lt;/FQL&gt;&lt;FQL&gt;&lt;Q&gt;ASML-NL^FG_COMPANY_NAME&lt;/Q&gt;&lt;R&gt;1&lt;/R&gt;&lt;C&gt;1&lt;/C&gt;&lt;D xsi:type="xsd:string"&gt;ASML Holding NV&lt;/D&gt;&lt;/FQL&gt;&lt;FQL&gt;&lt;Q&gt;DB1-DE^FG_COMPANY_NAME&lt;/Q&gt;&lt;R&gt;1&lt;/R&gt;&lt;C&gt;1&lt;/C&gt;&lt;D xsi:type="xsd:string"&gt;Deutsche Boerse AG&lt;/D&gt;&lt;/FQL&gt;&lt;FQL&gt;&lt;Q&gt;CFR-CH^FG_COMPANY_NAME&lt;/Q&gt;&lt;R&gt;1&lt;/R&gt;&lt;C&gt;1&lt;/C&gt;&lt;D xsi:type="xsd:string"&gt;Compagnie Financiere Richemont SA&lt;/D&gt;&lt;/FQL&gt;&lt;FQL&gt;&lt;Q&gt;AMS-ES^FG_COMPANY_NAME&lt;/Q&gt;&lt;R&gt;1&lt;/R&gt;&lt;C&gt;1&lt;/C&gt;&lt;D xsi:type="xsd:string"&gt;Amadeus IT Group SA Class A&lt;/D&gt;&lt;/FQL&gt;&lt;FQL&gt;&lt;Q&gt;CTEC-GB^FG_COMPANY_NAME&lt;/Q&gt;&lt;R&gt;1&lt;/R&gt;&lt;C&gt;1&lt;/C&gt;&lt;D xsi:type="xsd:string"&gt;ConvaTec Group Plc&lt;/D&gt;&lt;/FQL&gt;&lt;FQL&gt;&lt;Q&gt;ATCO.B-SE^FG_COMPANY_NAME&lt;/Q&gt;&lt;R&gt;1&lt;/R&gt;&lt;C&gt;1&lt;/C&gt;&lt;D xsi:type="xsd:string"&gt;Atlas Copco AB Class B&lt;/D&gt;&lt;/FQL&gt;&lt;FQL&gt;&lt;Q&gt;EXPN-GB^FG_COMPANY_NAME&lt;/Q&gt;&lt;R&gt;1&lt;/R&gt;&lt;C&gt;1&lt;/C&gt;&lt;D xsi:type="xsd:string"&gt;Experian PLC&lt;/D&gt;&lt;/FQL&gt;&lt;FQL&gt;&lt;Q&gt;CPG-GB^FG_COMPANY_NAME&lt;/Q&gt;&lt;R&gt;1&lt;/R&gt;&lt;C&gt;1&lt;/C&gt;&lt;D xsi:type="xsd:string"&gt;Compass Group PLC&lt;/D&gt;&lt;/FQL&gt;&lt;FQL&gt;&lt;Q&gt;WKL-NL^FG_COMPANY_NAME&lt;/Q&gt;&lt;R&gt;1&lt;/R&gt;&lt;C&gt;1&lt;/C&gt;&lt;D xsi:type="xsd:string"&gt;Wolters Kluwer N.V.&lt;/D&gt;&lt;/FQL&gt;&lt;FQL&gt;&lt;Q&gt;KNEBV-FI^FG_COMPANY_NAME&lt;/Q&gt;&lt;R&gt;1&lt;/R&gt;&lt;C&gt;1&lt;/C&gt;&lt;D xsi:type="xsd:string"&gt;KONE Oyj Class B&lt;/D&gt;&lt;/FQL&gt;&lt;FQL&gt;&lt;Q&gt;DGE-GB^FG_COMPANY_NAME&lt;/Q&gt;&lt;R&gt;1&lt;/R&gt;&lt;C&gt;1&lt;/C&gt;&lt;D xsi:type="xsd:string"&gt;Diageo plc&lt;/D&gt;&lt;/FQL&gt;&lt;FQL&gt;&lt;Q&gt;EVD-DE^FG_COMPANY_NAME&lt;/Q&gt;&lt;R&gt;1&lt;/R&gt;&lt;C&gt;1&lt;/C&gt;&lt;D xsi:type="xsd:string"&gt;CTS Eventim AG &amp;amp; Co. KGaA&lt;/D&gt;&lt;/FQL&gt;&lt;FQL&gt;&lt;Q&gt;ROG-CH^FG_COMPANY_NAME&lt;/Q&gt;&lt;R&gt;1&lt;/R&gt;&lt;C&gt;1&lt;/C&gt;&lt;D xsi:type="xsd:string"&gt;Roche Holding Ltd Dividend Right Cert.&lt;/D&gt;&lt;/FQL&gt;&lt;FQL&gt;&lt;Q&gt;UMG-NL^FG_COMPANY_NAME&lt;/Q&gt;&lt;R&gt;1&lt;/R&gt;&lt;C&gt;1&lt;/C&gt;&lt;D xsi:type="xsd:string"&gt;Universal Music Group N.V.&lt;/D&gt;&lt;/FQL&gt;&lt;FQL&gt;&lt;Q&gt;SAP-DE^FG_COMPANY_NAME&lt;/Q&gt;&lt;R&gt;1&lt;/R&gt;&lt;C&gt;1&lt;/C&gt;&lt;D xsi:type="xsd:string"&gt;SAP SE&lt;/D&gt;&lt;/FQL&gt;&lt;FQL&gt;&lt;Q&gt;AZN-GB^FG_COMPANY_NAME&lt;/Q&gt;&lt;R&gt;1&lt;/R&gt;&lt;C&gt;1&lt;/C&gt;&lt;D xsi:type="xsd:string"&gt;AstraZeneca PLC&lt;/D&gt;&lt;/FQL&gt;&lt;FQL&gt;&lt;Q&gt;6861-JP^FG_COMPANY_NAME&lt;/Q&gt;&lt;R&gt;1&lt;/R&gt;&lt;C&gt;1&lt;/C&gt;&lt;D xsi:type="xsd:string"&gt;Keyence Corporation&lt;/D&gt;&lt;/FQL&gt;&lt;FQL&gt;&lt;Q&gt;7309-JP^FG_COMPANY_NAME&lt;/Q&gt;&lt;R&gt;1&lt;/R&gt;&lt;C&gt;1&lt;/C&gt;&lt;D xsi:type="xsd:string"&gt;Shimano Inc.&lt;/D&gt;&lt;/FQL&gt;&lt;FQL&gt;&lt;Q&gt;SIKA-CH^FG_COMPANY_NAME&lt;/Q&gt;&lt;R&gt;1&lt;/R&gt;&lt;C&gt;1&lt;/C&gt;&lt;D xsi:type="xsd:string"&gt;Sika AG&lt;/D&gt;&lt;/FQL&gt;&lt;FQL&gt;&lt;Q&gt;GAW-GB^FG_COMPANY_NAME&lt;/Q&gt;&lt;R&gt;1&lt;/R&gt;&lt;C&gt;1&lt;/C&gt;&lt;D xsi:type="xsd:string"&gt;Games Workshop Group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<sst xmlns="http://schemas.openxmlformats.org/spreadsheetml/2006/main" count="42" uniqueCount="38">
  <si>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</si>
  <si>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</si>
  <si>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</si>
  <si>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</si>
  <si>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</si>
  <si>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</si>
  <si>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</si>
  <si>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</si>
  <si>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</si>
  <si>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</si>
  <si>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</si>
  <si>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</si>
  <si>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</si>
  <si>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MSFT-US</t>
  </si>
  <si>
    <t>ATCO.B-SE</t>
  </si>
  <si>
    <t>RTO-GB</t>
  </si>
  <si>
    <t>EXPN-GB</t>
  </si>
  <si>
    <t>ROG-CH</t>
  </si>
  <si>
    <t>1299-HK</t>
  </si>
  <si>
    <t>5AY</t>
  </si>
  <si>
    <t>HWDN-GB</t>
  </si>
  <si>
    <t>KNEBV-FI</t>
  </si>
  <si>
    <t>SAP-DE</t>
  </si>
  <si>
    <t>MC-FR</t>
  </si>
  <si>
    <t>7309-JP</t>
  </si>
  <si>
    <t>ASML-NL</t>
  </si>
  <si>
    <t>AMS-ES</t>
  </si>
  <si>
    <t>UMG-NL</t>
  </si>
  <si>
    <t>DGE-GB</t>
  </si>
  <si>
    <t>AIR-FR</t>
  </si>
  <si>
    <t>CPG-GB</t>
  </si>
  <si>
    <t>CFR-CH</t>
  </si>
  <si>
    <t>AZN-GB</t>
  </si>
  <si>
    <t>CTEC-GB</t>
  </si>
  <si>
    <t>6861-JP</t>
  </si>
  <si>
    <t>WKL-NL</t>
  </si>
  <si>
    <t>SIKA-CH</t>
  </si>
  <si>
    <t>GAW-GB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</si>
</sst>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LVMH Moet Hennessy Louis Vuitton SE</v>
      </c>
      <c r="C3" s="4" t="str">
        <f>IF(Backend!D29="", "", Backend!D29)</f>
        <v>Safran SA</v>
      </c>
      <c r="D3" s="4" t="str">
        <f>IF(Backend!E29="", "", Backend!E29)</f>
        <v>Howden Joinery Group PLC</v>
      </c>
      <c r="E3" s="4" t="str">
        <f>IF(Backend!F29="", "", Backend!F29)</f>
        <v>Rentokil Initial plc</v>
      </c>
      <c r="F3" s="4" t="str">
        <f>IF(Backend!G29="", "", Backend!G29)</f>
        <v>Airbus SE</v>
      </c>
      <c r="G3" s="4" t="str">
        <f>IF(Backend!H29="", "", Backend!H29)</f>
        <v>AIA Group Limited</v>
      </c>
      <c r="H3" s="4" t="str">
        <f>IF(Backend!I29="", "", Backend!I29)</f>
        <v>London Stock Exchange Group plc</v>
      </c>
      <c r="I3" s="4" t="str">
        <f>IF(Backend!J29="", "", Backend!J29)</f>
        <v>ASML Holding NV</v>
      </c>
      <c r="J3" s="4" t="str">
        <f>IF(Backend!K29="", "", Backend!K29)</f>
        <v>Deutsche Boerse AG</v>
      </c>
      <c r="K3" s="4" t="str">
        <f>IF(Backend!L29="", "", Backend!L29)</f>
        <v>Compagnie Financiere Richemont SA</v>
      </c>
      <c r="L3" s="4" t="str">
        <f>IF(Backend!M29="", "", Backend!M29)</f>
        <v>Amadeus IT Group SA Class A</v>
      </c>
      <c r="M3" s="4" t="str">
        <f>IF(Backend!N29="", "", Backend!N29)</f>
        <v>ConvaTec Group Plc</v>
      </c>
      <c r="N3" s="4" t="str">
        <f>IF(Backend!O29="", "", Backend!O29)</f>
        <v>Atlas Copco AB Class B</v>
      </c>
      <c r="O3" s="4" t="str">
        <f>IF(Backend!P29="", "", Backend!P29)</f>
        <v>Experian PLC</v>
      </c>
      <c r="P3" s="4" t="str">
        <f>IF(Backend!Q29="", "", Backend!Q29)</f>
        <v>Compass Group PLC</v>
      </c>
      <c r="Q3" s="4" t="str">
        <f>IF(Backend!R29="", "", Backend!R29)</f>
        <v>Wolters Kluwer N.V.</v>
      </c>
      <c r="R3" s="4" t="str">
        <f>IF(Backend!S29="", "", Backend!S29)</f>
        <v>KONE Oyj Class B</v>
      </c>
      <c r="S3" s="4" t="str">
        <f>IF(Backend!T29="", "", Backend!T29)</f>
        <v>Diageo plc</v>
      </c>
      <c r="T3" s="4" t="str">
        <f>IF(Backend!U29="", "", Backend!U29)</f>
        <v>CTS Eventim AG &amp; Co. KGaA</v>
      </c>
      <c r="U3" s="4" t="str">
        <f>IF(Backend!V29="", "", Backend!V29)</f>
        <v>Roche Holding Ltd Dividend Right Cert.</v>
      </c>
      <c r="V3" s="4" t="str">
        <f>IF(Backend!W29="", "", Backend!W29)</f>
        <v>Universal Music Group N.V.</v>
      </c>
      <c r="W3" s="4" t="str">
        <f>IF(Backend!X29="", "", Backend!X29)</f>
        <v>SAP SE</v>
      </c>
      <c r="X3" s="4" t="str">
        <f>IF(Backend!Y29="", "", Backend!Y29)</f>
        <v>AstraZeneca PLC</v>
      </c>
      <c r="Y3" s="4" t="str">
        <f>IF(Backend!Z29="", "", Backend!Z29)</f>
        <v>Keyence Corporation</v>
      </c>
      <c r="Z3" s="4" t="str">
        <f>IF(Backend!AA29="", "", Backend!AA29)</f>
        <v>Shimano Inc.</v>
      </c>
      <c r="AA3" s="4" t="str">
        <f>IF(Backend!AB29="", "", Backend!AB29)</f>
        <v>Sika AG</v>
      </c>
      <c r="AB3" s="4" t="str">
        <f>IF(Backend!AC29="", "", Backend!AC29)</f>
        <v>Games Workshop Group PLC</v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LVMH Moet Hennessy Louis Vuitton SE</v>
      </c>
      <c r="B4">
        <f>IF(Backend!C31="", "", Backend!C31)</f>
        <v>1</v>
      </c>
      <c r="C4">
        <f>IF(Backend!D31="", "", Backend!D31)</f>
        <v>0.50978500000000004</v>
      </c>
      <c r="D4">
        <f>IF(Backend!E31="", "", Backend!E31)</f>
        <v>0.46024589999999999</v>
      </c>
      <c r="E4">
        <f>IF(Backend!F31="", "", Backend!F31)</f>
        <v>0.35414377000000002</v>
      </c>
      <c r="F4">
        <f>IF(Backend!G31="", "", Backend!G31)</f>
        <v>0.50146394999999999</v>
      </c>
      <c r="G4">
        <f>IF(Backend!H31="", "", Backend!H31)</f>
        <v>0.20032638</v>
      </c>
      <c r="H4">
        <f>IF(Backend!I31="", "", Backend!I31)</f>
        <v>0.29701014999999997</v>
      </c>
      <c r="I4">
        <f>IF(Backend!J31="", "", Backend!J31)</f>
        <v>0.53056926000000004</v>
      </c>
      <c r="J4">
        <f>IF(Backend!K31="", "", Backend!K31)</f>
        <v>0.36655866999999998</v>
      </c>
      <c r="K4">
        <f>IF(Backend!L31="", "", Backend!L31)</f>
        <v>0.76646060000000005</v>
      </c>
      <c r="L4">
        <f>IF(Backend!M31="", "", Backend!M31)</f>
        <v>0.50451356000000003</v>
      </c>
      <c r="M4">
        <f>IF(Backend!N31="", "", Backend!N31)</f>
        <v>0.32303026000000001</v>
      </c>
      <c r="N4">
        <f>IF(Backend!O31="", "", Backend!O31)</f>
        <v>0.58369355999999994</v>
      </c>
      <c r="O4">
        <f>IF(Backend!P31="", "", Backend!P31)</f>
        <v>0.48282659999999999</v>
      </c>
      <c r="P4">
        <f>IF(Backend!Q31="", "", Backend!Q31)</f>
        <v>0.38709512000000001</v>
      </c>
      <c r="Q4">
        <f>IF(Backend!R31="", "", Backend!R31)</f>
        <v>0.32097962000000002</v>
      </c>
      <c r="R4">
        <f>IF(Backend!S31="", "", Backend!S31)</f>
        <v>0.47470509999999999</v>
      </c>
      <c r="S4">
        <f>IF(Backend!T31="", "", Backend!T31)</f>
        <v>0.54932449999999999</v>
      </c>
      <c r="T4">
        <f>IF(Backend!U31="", "", Backend!U31)</f>
        <v>0.43059352000000001</v>
      </c>
      <c r="U4">
        <f>IF(Backend!V31="", "", Backend!V31)</f>
        <v>0.27800320000000001</v>
      </c>
      <c r="V4">
        <f>IF(Backend!W31="", "", Backend!W31)</f>
        <v>0.38778659999999998</v>
      </c>
      <c r="W4">
        <f>IF(Backend!X31="", "", Backend!X31)</f>
        <v>0.50534385000000004</v>
      </c>
      <c r="X4">
        <f>IF(Backend!Y31="", "", Backend!Y31)</f>
        <v>0.27704242000000001</v>
      </c>
      <c r="Y4">
        <f>IF(Backend!Z31="", "", Backend!Z31)</f>
        <v>0.17609833</v>
      </c>
      <c r="Z4">
        <f>IF(Backend!AA31="", "", Backend!AA31)</f>
        <v>0.11496507</v>
      </c>
      <c r="AA4">
        <f>IF(Backend!AB31="", "", Backend!AB31)</f>
        <v>0.56214520000000001</v>
      </c>
      <c r="AB4">
        <f>IF(Backend!AC31="", "", Backend!AC31)</f>
        <v>0.39359632</v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Safran SA</v>
      </c>
      <c r="B5">
        <f>IF(Backend!C32="", "", Backend!C32)</f>
        <v>0.50978500000000004</v>
      </c>
      <c r="C5">
        <f>IF(Backend!D32="", "", Backend!D32)</f>
        <v>1</v>
      </c>
      <c r="D5">
        <f>IF(Backend!E32="", "", Backend!E32)</f>
        <v>0.4366969</v>
      </c>
      <c r="E5">
        <f>IF(Backend!F32="", "", Backend!F32)</f>
        <v>0.28363976000000002</v>
      </c>
      <c r="F5">
        <f>IF(Backend!G32="", "", Backend!G32)</f>
        <v>0.81209355999999999</v>
      </c>
      <c r="G5">
        <f>IF(Backend!H32="", "", Backend!H32)</f>
        <v>0.14178161</v>
      </c>
      <c r="H5">
        <f>IF(Backend!I32="", "", Backend!I32)</f>
        <v>0.28440186000000001</v>
      </c>
      <c r="I5">
        <f>IF(Backend!J32="", "", Backend!J32)</f>
        <v>0.43833765000000002</v>
      </c>
      <c r="J5">
        <f>IF(Backend!K32="", "", Backend!K32)</f>
        <v>0.39820796000000003</v>
      </c>
      <c r="K5">
        <f>IF(Backend!L32="", "", Backend!L32)</f>
        <v>0.47810703999999998</v>
      </c>
      <c r="L5">
        <f>IF(Backend!M32="", "", Backend!M32)</f>
        <v>0.64025949999999998</v>
      </c>
      <c r="M5">
        <f>IF(Backend!N32="", "", Backend!N32)</f>
        <v>0.328349</v>
      </c>
      <c r="N5">
        <f>IF(Backend!O32="", "", Backend!O32)</f>
        <v>0.49826986000000001</v>
      </c>
      <c r="O5">
        <f>IF(Backend!P32="", "", Backend!P32)</f>
        <v>0.42458129999999999</v>
      </c>
      <c r="P5">
        <f>IF(Backend!Q32="", "", Backend!Q32)</f>
        <v>0.58433729999999995</v>
      </c>
      <c r="Q5">
        <f>IF(Backend!R32="", "", Backend!R32)</f>
        <v>0.2797521</v>
      </c>
      <c r="R5">
        <f>IF(Backend!S32="", "", Backend!S32)</f>
        <v>0.37827276999999998</v>
      </c>
      <c r="S5">
        <f>IF(Backend!T32="", "", Backend!T32)</f>
        <v>0.40557703000000001</v>
      </c>
      <c r="T5">
        <f>IF(Backend!U32="", "", Backend!U32)</f>
        <v>0.50677749999999999</v>
      </c>
      <c r="U5">
        <f>IF(Backend!V32="", "", Backend!V32)</f>
        <v>0.21131512999999999</v>
      </c>
      <c r="V5">
        <f>IF(Backend!W32="", "", Backend!W32)</f>
        <v>0.37622050000000001</v>
      </c>
      <c r="W5">
        <f>IF(Backend!X32="", "", Backend!X32)</f>
        <v>0.50367843999999995</v>
      </c>
      <c r="X5">
        <f>IF(Backend!Y32="", "", Backend!Y32)</f>
        <v>0.28328350000000002</v>
      </c>
      <c r="Y5">
        <f>IF(Backend!Z32="", "", Backend!Z32)</f>
        <v>0.13011311</v>
      </c>
      <c r="Z5">
        <f>IF(Backend!AA32="", "", Backend!AA32)</f>
        <v>7.4890374999999995E-2</v>
      </c>
      <c r="AA5">
        <f>IF(Backend!AB32="", "", Backend!AB32)</f>
        <v>0.37696826</v>
      </c>
      <c r="AB5">
        <f>IF(Backend!AC32="", "", Backend!AC32)</f>
        <v>0.32327499999999998</v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Howden Joinery Group PLC</v>
      </c>
      <c r="B6">
        <f>IF(Backend!C33="", "", Backend!C33)</f>
        <v>0.46024589999999999</v>
      </c>
      <c r="C6">
        <f>IF(Backend!D33="", "", Backend!D33)</f>
        <v>0.4366969</v>
      </c>
      <c r="D6">
        <f>IF(Backend!E33="", "", Backend!E33)</f>
        <v>1</v>
      </c>
      <c r="E6">
        <f>IF(Backend!F33="", "", Backend!F33)</f>
        <v>0.41833362000000002</v>
      </c>
      <c r="F6">
        <f>IF(Backend!G33="", "", Backend!G33)</f>
        <v>0.44105731999999997</v>
      </c>
      <c r="G6">
        <f>IF(Backend!H33="", "", Backend!H33)</f>
        <v>0.124057695</v>
      </c>
      <c r="H6">
        <f>IF(Backend!I33="", "", Backend!I33)</f>
        <v>0.35634407000000001</v>
      </c>
      <c r="I6">
        <f>IF(Backend!J33="", "", Backend!J33)</f>
        <v>0.45195284000000002</v>
      </c>
      <c r="J6">
        <f>IF(Backend!K33="", "", Backend!K33)</f>
        <v>0.36392239999999998</v>
      </c>
      <c r="K6">
        <f>IF(Backend!L33="", "", Backend!L33)</f>
        <v>0.42637396</v>
      </c>
      <c r="L6">
        <f>IF(Backend!M33="", "", Backend!M33)</f>
        <v>0.43459251999999998</v>
      </c>
      <c r="M6">
        <f>IF(Backend!N33="", "", Backend!N33)</f>
        <v>0.42780367000000002</v>
      </c>
      <c r="N6">
        <f>IF(Backend!O33="", "", Backend!O33)</f>
        <v>0.51445099999999999</v>
      </c>
      <c r="O6">
        <f>IF(Backend!P33="", "", Backend!P33)</f>
        <v>0.55544530000000003</v>
      </c>
      <c r="P6">
        <f>IF(Backend!Q33="", "", Backend!Q33)</f>
        <v>0.36071320000000001</v>
      </c>
      <c r="Q6">
        <f>IF(Backend!R33="", "", Backend!R33)</f>
        <v>0.33575263999999999</v>
      </c>
      <c r="R6">
        <f>IF(Backend!S33="", "", Backend!S33)</f>
        <v>0.41832206</v>
      </c>
      <c r="S6">
        <f>IF(Backend!T33="", "", Backend!T33)</f>
        <v>0.42626514999999998</v>
      </c>
      <c r="T6">
        <f>IF(Backend!U33="", "", Backend!U33)</f>
        <v>0.40277733999999998</v>
      </c>
      <c r="U6">
        <f>IF(Backend!V33="", "", Backend!V33)</f>
        <v>0.25325340000000002</v>
      </c>
      <c r="V6">
        <f>IF(Backend!W33="", "", Backend!W33)</f>
        <v>0.43256503000000002</v>
      </c>
      <c r="W6">
        <f>IF(Backend!X33="", "", Backend!X33)</f>
        <v>0.47731137000000001</v>
      </c>
      <c r="X6">
        <f>IF(Backend!Y33="", "", Backend!Y33)</f>
        <v>0.28097388000000001</v>
      </c>
      <c r="Y6">
        <f>IF(Backend!Z33="", "", Backend!Z33)</f>
        <v>0.19572157000000001</v>
      </c>
      <c r="Z6">
        <f>IF(Backend!AA33="", "", Backend!AA33)</f>
        <v>0.14427096</v>
      </c>
      <c r="AA6">
        <f>IF(Backend!AB33="", "", Backend!AB33)</f>
        <v>0.56769729999999996</v>
      </c>
      <c r="AB6">
        <f>IF(Backend!AC33="", "", Backend!AC33)</f>
        <v>0.47040490000000001</v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Rentokil Initial plc</v>
      </c>
      <c r="B7">
        <f>IF(Backend!C34="", "", Backend!C34)</f>
        <v>0.35414377000000002</v>
      </c>
      <c r="C7">
        <f>IF(Backend!D34="", "", Backend!D34)</f>
        <v>0.28363976000000002</v>
      </c>
      <c r="D7">
        <f>IF(Backend!E34="", "", Backend!E34)</f>
        <v>0.41833362000000002</v>
      </c>
      <c r="E7">
        <f>IF(Backend!F34="", "", Backend!F34)</f>
        <v>1</v>
      </c>
      <c r="F7">
        <f>IF(Backend!G34="", "", Backend!G34)</f>
        <v>0.26874675999999997</v>
      </c>
      <c r="G7">
        <f>IF(Backend!H34="", "", Backend!H34)</f>
        <v>9.4398590000000004E-2</v>
      </c>
      <c r="H7">
        <f>IF(Backend!I34="", "", Backend!I34)</f>
        <v>0.31271100000000002</v>
      </c>
      <c r="I7">
        <f>IF(Backend!J34="", "", Backend!J34)</f>
        <v>0.31843558</v>
      </c>
      <c r="J7">
        <f>IF(Backend!K34="", "", Backend!K34)</f>
        <v>0.37145242000000001</v>
      </c>
      <c r="K7">
        <f>IF(Backend!L34="", "", Backend!L34)</f>
        <v>0.29752842000000002</v>
      </c>
      <c r="L7">
        <f>IF(Backend!M34="", "", Backend!M34)</f>
        <v>0.28641414999999998</v>
      </c>
      <c r="M7">
        <f>IF(Backend!N34="", "", Backend!N34)</f>
        <v>0.32169734999999999</v>
      </c>
      <c r="N7">
        <f>IF(Backend!O34="", "", Backend!O34)</f>
        <v>0.38952658000000001</v>
      </c>
      <c r="O7">
        <f>IF(Backend!P34="", "", Backend!P34)</f>
        <v>0.52231896</v>
      </c>
      <c r="P7">
        <f>IF(Backend!Q34="", "", Backend!Q34)</f>
        <v>0.26022479999999998</v>
      </c>
      <c r="Q7">
        <f>IF(Backend!R34="", "", Backend!R34)</f>
        <v>0.397644</v>
      </c>
      <c r="R7">
        <f>IF(Backend!S34="", "", Backend!S34)</f>
        <v>0.30652770000000001</v>
      </c>
      <c r="S7">
        <f>IF(Backend!T34="", "", Backend!T34)</f>
        <v>0.33998936000000002</v>
      </c>
      <c r="T7">
        <f>IF(Backend!U34="", "", Backend!U34)</f>
        <v>0.26178279999999998</v>
      </c>
      <c r="U7">
        <f>IF(Backend!V34="", "", Backend!V34)</f>
        <v>0.29526287000000001</v>
      </c>
      <c r="V7">
        <f>IF(Backend!W34="", "", Backend!W34)</f>
        <v>0.29067939999999998</v>
      </c>
      <c r="W7">
        <f>IF(Backend!X34="", "", Backend!X34)</f>
        <v>0.35065466000000001</v>
      </c>
      <c r="X7">
        <f>IF(Backend!Y34="", "", Backend!Y34)</f>
        <v>0.30272692000000001</v>
      </c>
      <c r="Y7">
        <f>IF(Backend!Z34="", "", Backend!Z34)</f>
        <v>0.15191178</v>
      </c>
      <c r="Z7">
        <f>IF(Backend!AA34="", "", Backend!AA34)</f>
        <v>0.1403527</v>
      </c>
      <c r="AA7">
        <f>IF(Backend!AB34="", "", Backend!AB34)</f>
        <v>0.43167373999999997</v>
      </c>
      <c r="AB7">
        <f>IF(Backend!AC34="", "", Backend!AC34)</f>
        <v>0.32832067999999998</v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Airbus SE</v>
      </c>
      <c r="B8">
        <f>IF(Backend!C35="", "", Backend!C35)</f>
        <v>0.50146394999999999</v>
      </c>
      <c r="C8">
        <f>IF(Backend!D35="", "", Backend!D35)</f>
        <v>0.81209355999999999</v>
      </c>
      <c r="D8">
        <f>IF(Backend!E35="", "", Backend!E35)</f>
        <v>0.44105731999999997</v>
      </c>
      <c r="E8">
        <f>IF(Backend!F35="", "", Backend!F35)</f>
        <v>0.26874675999999997</v>
      </c>
      <c r="F8">
        <f>IF(Backend!G35="", "", Backend!G35)</f>
        <v>1</v>
      </c>
      <c r="G8">
        <f>IF(Backend!H35="", "", Backend!H35)</f>
        <v>0.15546372999999999</v>
      </c>
      <c r="H8">
        <f>IF(Backend!I35="", "", Backend!I35)</f>
        <v>0.26896789999999998</v>
      </c>
      <c r="I8">
        <f>IF(Backend!J35="", "", Backend!J35)</f>
        <v>0.43683021999999999</v>
      </c>
      <c r="J8">
        <f>IF(Backend!K35="", "", Backend!K35)</f>
        <v>0.3527767</v>
      </c>
      <c r="K8">
        <f>IF(Backend!L35="", "", Backend!L35)</f>
        <v>0.46321933999999998</v>
      </c>
      <c r="L8">
        <f>IF(Backend!M35="", "", Backend!M35)</f>
        <v>0.63273500000000005</v>
      </c>
      <c r="M8">
        <f>IF(Backend!N35="", "", Backend!N35)</f>
        <v>0.31703439999999999</v>
      </c>
      <c r="N8">
        <f>IF(Backend!O35="", "", Backend!O35)</f>
        <v>0.49453464000000003</v>
      </c>
      <c r="O8">
        <f>IF(Backend!P35="", "", Backend!P35)</f>
        <v>0.38881402999999998</v>
      </c>
      <c r="P8">
        <f>IF(Backend!Q35="", "", Backend!Q35)</f>
        <v>0.58185200000000004</v>
      </c>
      <c r="Q8">
        <f>IF(Backend!R35="", "", Backend!R35)</f>
        <v>0.23295895999999999</v>
      </c>
      <c r="R8">
        <f>IF(Backend!S35="", "", Backend!S35)</f>
        <v>0.37678620000000002</v>
      </c>
      <c r="S8">
        <f>IF(Backend!T35="", "", Backend!T35)</f>
        <v>0.43578514000000002</v>
      </c>
      <c r="T8">
        <f>IF(Backend!U35="", "", Backend!U35)</f>
        <v>0.52094649999999998</v>
      </c>
      <c r="U8">
        <f>IF(Backend!V35="", "", Backend!V35)</f>
        <v>0.21525422999999999</v>
      </c>
      <c r="V8">
        <f>IF(Backend!W35="", "", Backend!W35)</f>
        <v>0.36126377999999998</v>
      </c>
      <c r="W8">
        <f>IF(Backend!X35="", "", Backend!X35)</f>
        <v>0.48117845999999997</v>
      </c>
      <c r="X8">
        <f>IF(Backend!Y35="", "", Backend!Y35)</f>
        <v>0.2797347</v>
      </c>
      <c r="Y8">
        <f>IF(Backend!Z35="", "", Backend!Z35)</f>
        <v>0.12062808999999999</v>
      </c>
      <c r="Z8">
        <f>IF(Backend!AA35="", "", Backend!AA35)</f>
        <v>4.7267879999999998E-2</v>
      </c>
      <c r="AA8">
        <f>IF(Backend!AB35="", "", Backend!AB35)</f>
        <v>0.37046056999999999</v>
      </c>
      <c r="AB8">
        <f>IF(Backend!AC35="", "", Backend!AC35)</f>
        <v>0.31573380000000001</v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0.20032638</v>
      </c>
      <c r="C9">
        <f>IF(Backend!D36="", "", Backend!D36)</f>
        <v>0.14178161</v>
      </c>
      <c r="D9">
        <f>IF(Backend!E36="", "", Backend!E36)</f>
        <v>0.124057695</v>
      </c>
      <c r="E9">
        <f>IF(Backend!F36="", "", Backend!F36)</f>
        <v>9.4398590000000004E-2</v>
      </c>
      <c r="F9">
        <f>IF(Backend!G36="", "", Backend!G36)</f>
        <v>0.15546372999999999</v>
      </c>
      <c r="G9">
        <f>IF(Backend!H36="", "", Backend!H36)</f>
        <v>1</v>
      </c>
      <c r="H9">
        <f>IF(Backend!I36="", "", Backend!I36)</f>
        <v>0.12050735999999999</v>
      </c>
      <c r="I9">
        <f>IF(Backend!J36="", "", Backend!J36)</f>
        <v>0.16463646000000001</v>
      </c>
      <c r="J9">
        <f>IF(Backend!K36="", "", Backend!K36)</f>
        <v>8.6693359999999997E-2</v>
      </c>
      <c r="K9">
        <f>IF(Backend!L36="", "", Backend!L36)</f>
        <v>0.22118125999999999</v>
      </c>
      <c r="L9">
        <f>IF(Backend!M36="", "", Backend!M36)</f>
        <v>0.15302518000000001</v>
      </c>
      <c r="M9">
        <f>IF(Backend!N36="", "", Backend!N36)</f>
        <v>7.1850239999999996E-2</v>
      </c>
      <c r="N9">
        <f>IF(Backend!O36="", "", Backend!O36)</f>
        <v>0.16275034999999999</v>
      </c>
      <c r="O9">
        <f>IF(Backend!P36="", "", Backend!P36)</f>
        <v>0.12665023</v>
      </c>
      <c r="P9">
        <f>IF(Backend!Q36="", "", Backend!Q36)</f>
        <v>0.12492135</v>
      </c>
      <c r="Q9">
        <f>IF(Backend!R36="", "", Backend!R36)</f>
        <v>2.2876877E-2</v>
      </c>
      <c r="R9">
        <f>IF(Backend!S36="", "", Backend!S36)</f>
        <v>0.24042521</v>
      </c>
      <c r="S9">
        <f>IF(Backend!T36="", "", Backend!T36)</f>
        <v>0.18725948000000001</v>
      </c>
      <c r="T9">
        <f>IF(Backend!U36="", "", Backend!U36)</f>
        <v>0.12958428</v>
      </c>
      <c r="U9">
        <f>IF(Backend!V36="", "", Backend!V36)</f>
        <v>7.5355370000000005E-2</v>
      </c>
      <c r="V9">
        <f>IF(Backend!W36="", "", Backend!W36)</f>
        <v>0.10484881</v>
      </c>
      <c r="W9">
        <f>IF(Backend!X36="", "", Backend!X36)</f>
        <v>0.12533842000000001</v>
      </c>
      <c r="X9">
        <f>IF(Backend!Y36="", "", Backend!Y36)</f>
        <v>0.11593184600000001</v>
      </c>
      <c r="Y9">
        <f>IF(Backend!Z36="", "", Backend!Z36)</f>
        <v>0.16438440000000001</v>
      </c>
      <c r="Z9">
        <f>IF(Backend!AA36="", "", Backend!AA36)</f>
        <v>0.11419061599999999</v>
      </c>
      <c r="AA9">
        <f>IF(Backend!AB36="", "", Backend!AB36)</f>
        <v>0.16695009</v>
      </c>
      <c r="AB9">
        <f>IF(Backend!AC36="", "", Backend!AC36)</f>
        <v>0.12979618000000001</v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London Stock Exchange Group plc</v>
      </c>
      <c r="B10">
        <f>IF(Backend!C37="", "", Backend!C37)</f>
        <v>0.29701014999999997</v>
      </c>
      <c r="C10">
        <f>IF(Backend!D37="", "", Backend!D37)</f>
        <v>0.28440186000000001</v>
      </c>
      <c r="D10">
        <f>IF(Backend!E37="", "", Backend!E37)</f>
        <v>0.35634407000000001</v>
      </c>
      <c r="E10">
        <f>IF(Backend!F37="", "", Backend!F37)</f>
        <v>0.31271100000000002</v>
      </c>
      <c r="F10">
        <f>IF(Backend!G37="", "", Backend!G37)</f>
        <v>0.26896789999999998</v>
      </c>
      <c r="G10">
        <f>IF(Backend!H37="", "", Backend!H37)</f>
        <v>0.12050735999999999</v>
      </c>
      <c r="H10">
        <f>IF(Backend!I37="", "", Backend!I37)</f>
        <v>1</v>
      </c>
      <c r="I10">
        <f>IF(Backend!J37="", "", Backend!J37)</f>
        <v>0.32542145</v>
      </c>
      <c r="J10">
        <f>IF(Backend!K37="", "", Backend!K37)</f>
        <v>0.54103785999999998</v>
      </c>
      <c r="K10">
        <f>IF(Backend!L37="", "", Backend!L37)</f>
        <v>0.3068959</v>
      </c>
      <c r="L10">
        <f>IF(Backend!M37="", "", Backend!M37)</f>
        <v>0.31675497000000002</v>
      </c>
      <c r="M10">
        <f>IF(Backend!N37="", "", Backend!N37)</f>
        <v>0.24400179999999999</v>
      </c>
      <c r="N10">
        <f>IF(Backend!O37="", "", Backend!O37)</f>
        <v>0.35244115999999998</v>
      </c>
      <c r="O10">
        <f>IF(Backend!P37="", "", Backend!P37)</f>
        <v>0.45928076000000001</v>
      </c>
      <c r="P10">
        <f>IF(Backend!Q37="", "", Backend!Q37)</f>
        <v>0.29346314000000001</v>
      </c>
      <c r="Q10">
        <f>IF(Backend!R37="", "", Backend!R37)</f>
        <v>0.36392682999999998</v>
      </c>
      <c r="R10">
        <f>IF(Backend!S37="", "", Backend!S37)</f>
        <v>0.30407104000000001</v>
      </c>
      <c r="S10">
        <f>IF(Backend!T37="", "", Backend!T37)</f>
        <v>0.30557325000000002</v>
      </c>
      <c r="T10">
        <f>IF(Backend!U37="", "", Backend!U37)</f>
        <v>0.2795783</v>
      </c>
      <c r="U10">
        <f>IF(Backend!V37="", "", Backend!V37)</f>
        <v>0.29977077000000002</v>
      </c>
      <c r="V10">
        <f>IF(Backend!W37="", "", Backend!W37)</f>
        <v>0.26917692999999998</v>
      </c>
      <c r="W10">
        <f>IF(Backend!X37="", "", Backend!X37)</f>
        <v>0.39711123999999998</v>
      </c>
      <c r="X10">
        <f>IF(Backend!Y37="", "", Backend!Y37)</f>
        <v>0.29109696000000002</v>
      </c>
      <c r="Y10">
        <f>IF(Backend!Z37="", "", Backend!Z37)</f>
        <v>0.16513655999999999</v>
      </c>
      <c r="Z10">
        <f>IF(Backend!AA37="", "", Backend!AA37)</f>
        <v>0.11055987</v>
      </c>
      <c r="AA10">
        <f>IF(Backend!AB37="", "", Backend!AB37)</f>
        <v>0.40203559999999999</v>
      </c>
      <c r="AB10">
        <f>IF(Backend!AC37="", "", Backend!AC37)</f>
        <v>0.34242161999999998</v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ASML Holding NV</v>
      </c>
      <c r="B11">
        <f>IF(Backend!C38="", "", Backend!C38)</f>
        <v>0.53056926000000004</v>
      </c>
      <c r="C11">
        <f>IF(Backend!D38="", "", Backend!D38)</f>
        <v>0.43833765000000002</v>
      </c>
      <c r="D11">
        <f>IF(Backend!E38="", "", Backend!E38)</f>
        <v>0.45195284000000002</v>
      </c>
      <c r="E11">
        <f>IF(Backend!F38="", "", Backend!F38)</f>
        <v>0.31843558</v>
      </c>
      <c r="F11">
        <f>IF(Backend!G38="", "", Backend!G38)</f>
        <v>0.43683021999999999</v>
      </c>
      <c r="G11">
        <f>IF(Backend!H38="", "", Backend!H38)</f>
        <v>0.16463646000000001</v>
      </c>
      <c r="H11">
        <f>IF(Backend!I38="", "", Backend!I38)</f>
        <v>0.32542145</v>
      </c>
      <c r="I11">
        <f>IF(Backend!J38="", "", Backend!J38)</f>
        <v>1</v>
      </c>
      <c r="J11">
        <f>IF(Backend!K38="", "", Backend!K38)</f>
        <v>0.34363586000000002</v>
      </c>
      <c r="K11">
        <f>IF(Backend!L38="", "", Backend!L38)</f>
        <v>0.52473939999999997</v>
      </c>
      <c r="L11">
        <f>IF(Backend!M38="", "", Backend!M38)</f>
        <v>0.43283244999999998</v>
      </c>
      <c r="M11">
        <f>IF(Backend!N38="", "", Backend!N38)</f>
        <v>0.30329758000000001</v>
      </c>
      <c r="N11">
        <f>IF(Backend!O38="", "", Backend!O38)</f>
        <v>0.63254297000000004</v>
      </c>
      <c r="O11">
        <f>IF(Backend!P38="", "", Backend!P38)</f>
        <v>0.5031371</v>
      </c>
      <c r="P11">
        <f>IF(Backend!Q38="", "", Backend!Q38)</f>
        <v>0.29678446000000003</v>
      </c>
      <c r="Q11">
        <f>IF(Backend!R38="", "", Backend!R38)</f>
        <v>0.37211937</v>
      </c>
      <c r="R11">
        <f>IF(Backend!S38="", "", Backend!S38)</f>
        <v>0.41507824999999998</v>
      </c>
      <c r="S11">
        <f>IF(Backend!T38="", "", Backend!T38)</f>
        <v>0.32630002000000002</v>
      </c>
      <c r="T11">
        <f>IF(Backend!U38="", "", Backend!U38)</f>
        <v>0.42182392000000002</v>
      </c>
      <c r="U11">
        <f>IF(Backend!V38="", "", Backend!V38)</f>
        <v>0.19476901999999999</v>
      </c>
      <c r="V11">
        <f>IF(Backend!W38="", "", Backend!W38)</f>
        <v>0.38731919999999997</v>
      </c>
      <c r="W11">
        <f>IF(Backend!X38="", "", Backend!X38)</f>
        <v>0.59163449999999995</v>
      </c>
      <c r="X11">
        <f>IF(Backend!Y38="", "", Backend!Y38)</f>
        <v>0.23404448</v>
      </c>
      <c r="Y11">
        <f>IF(Backend!Z38="", "", Backend!Z38)</f>
        <v>0.21124619</v>
      </c>
      <c r="Z11">
        <f>IF(Backend!AA38="", "", Backend!AA38)</f>
        <v>0.13039207</v>
      </c>
      <c r="AA11">
        <f>IF(Backend!AB38="", "", Backend!AB38)</f>
        <v>0.54998994000000001</v>
      </c>
      <c r="AB11">
        <f>IF(Backend!AC38="", "", Backend!AC38)</f>
        <v>0.39456715999999997</v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0.36655866999999998</v>
      </c>
      <c r="C12">
        <f>IF(Backend!D39="", "", Backend!D39)</f>
        <v>0.39820796000000003</v>
      </c>
      <c r="D12">
        <f>IF(Backend!E39="", "", Backend!E39)</f>
        <v>0.36392239999999998</v>
      </c>
      <c r="E12">
        <f>IF(Backend!F39="", "", Backend!F39)</f>
        <v>0.37145242000000001</v>
      </c>
      <c r="F12">
        <f>IF(Backend!G39="", "", Backend!G39)</f>
        <v>0.3527767</v>
      </c>
      <c r="G12">
        <f>IF(Backend!H39="", "", Backend!H39)</f>
        <v>8.6693359999999997E-2</v>
      </c>
      <c r="H12">
        <f>IF(Backend!I39="", "", Backend!I39)</f>
        <v>0.54103785999999998</v>
      </c>
      <c r="I12">
        <f>IF(Backend!J39="", "", Backend!J39)</f>
        <v>0.34363586000000002</v>
      </c>
      <c r="J12">
        <f>IF(Backend!K39="", "", Backend!K39)</f>
        <v>1</v>
      </c>
      <c r="K12">
        <f>IF(Backend!L39="", "", Backend!L39)</f>
        <v>0.32550417999999998</v>
      </c>
      <c r="L12">
        <f>IF(Backend!M39="", "", Backend!M39)</f>
        <v>0.40904063000000002</v>
      </c>
      <c r="M12">
        <f>IF(Backend!N39="", "", Backend!N39)</f>
        <v>0.28969373999999998</v>
      </c>
      <c r="N12">
        <f>IF(Backend!O39="", "", Backend!O39)</f>
        <v>0.38777850000000003</v>
      </c>
      <c r="O12">
        <f>IF(Backend!P39="", "", Backend!P39)</f>
        <v>0.44998568</v>
      </c>
      <c r="P12">
        <f>IF(Backend!Q39="", "", Backend!Q39)</f>
        <v>0.33842778000000001</v>
      </c>
      <c r="Q12">
        <f>IF(Backend!R39="", "", Backend!R39)</f>
        <v>0.44704991999999999</v>
      </c>
      <c r="R12">
        <f>IF(Backend!S39="", "", Backend!S39)</f>
        <v>0.39773642999999997</v>
      </c>
      <c r="S12">
        <f>IF(Backend!T39="", "", Backend!T39)</f>
        <v>0.36486942</v>
      </c>
      <c r="T12">
        <f>IF(Backend!U39="", "", Backend!U39)</f>
        <v>0.36710357999999998</v>
      </c>
      <c r="U12">
        <f>IF(Backend!V39="", "", Backend!V39)</f>
        <v>0.34489009999999998</v>
      </c>
      <c r="V12">
        <f>IF(Backend!W39="", "", Backend!W39)</f>
        <v>0.36241108</v>
      </c>
      <c r="W12">
        <f>IF(Backend!X39="", "", Backend!X39)</f>
        <v>0.45079385999999999</v>
      </c>
      <c r="X12">
        <f>IF(Backend!Y39="", "", Backend!Y39)</f>
        <v>0.31739062000000001</v>
      </c>
      <c r="Y12">
        <f>IF(Backend!Z39="", "", Backend!Z39)</f>
        <v>0.13548113000000001</v>
      </c>
      <c r="Z12">
        <f>IF(Backend!AA39="", "", Backend!AA39)</f>
        <v>9.4494629999999996E-2</v>
      </c>
      <c r="AA12">
        <f>IF(Backend!AB39="", "", Backend!AB39)</f>
        <v>0.41249089999999999</v>
      </c>
      <c r="AB12">
        <f>IF(Backend!AC39="", "", Backend!AC39)</f>
        <v>0.34337420000000002</v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Compagnie Financiere Richemont SA</v>
      </c>
      <c r="B13">
        <f>IF(Backend!C40="", "", Backend!C40)</f>
        <v>0.76646060000000005</v>
      </c>
      <c r="C13">
        <f>IF(Backend!D40="", "", Backend!D40)</f>
        <v>0.47810703999999998</v>
      </c>
      <c r="D13">
        <f>IF(Backend!E40="", "", Backend!E40)</f>
        <v>0.42637396</v>
      </c>
      <c r="E13">
        <f>IF(Backend!F40="", "", Backend!F40)</f>
        <v>0.29752842000000002</v>
      </c>
      <c r="F13">
        <f>IF(Backend!G40="", "", Backend!G40)</f>
        <v>0.46321933999999998</v>
      </c>
      <c r="G13">
        <f>IF(Backend!H40="", "", Backend!H40)</f>
        <v>0.22118125999999999</v>
      </c>
      <c r="H13">
        <f>IF(Backend!I40="", "", Backend!I40)</f>
        <v>0.3068959</v>
      </c>
      <c r="I13">
        <f>IF(Backend!J40="", "", Backend!J40)</f>
        <v>0.52473939999999997</v>
      </c>
      <c r="J13">
        <f>IF(Backend!K40="", "", Backend!K40)</f>
        <v>0.32550417999999998</v>
      </c>
      <c r="K13">
        <f>IF(Backend!L40="", "", Backend!L40)</f>
        <v>1</v>
      </c>
      <c r="L13">
        <f>IF(Backend!M40="", "", Backend!M40)</f>
        <v>0.46330985000000002</v>
      </c>
      <c r="M13">
        <f>IF(Backend!N40="", "", Backend!N40)</f>
        <v>0.29311120000000002</v>
      </c>
      <c r="N13">
        <f>IF(Backend!O40="", "", Backend!O40)</f>
        <v>0.55653554000000005</v>
      </c>
      <c r="O13">
        <f>IF(Backend!P40="", "", Backend!P40)</f>
        <v>0.42909989999999998</v>
      </c>
      <c r="P13">
        <f>IF(Backend!Q40="", "", Backend!Q40)</f>
        <v>0.36307546000000002</v>
      </c>
      <c r="Q13">
        <f>IF(Backend!R40="", "", Backend!R40)</f>
        <v>0.27884924</v>
      </c>
      <c r="R13">
        <f>IF(Backend!S40="", "", Backend!S40)</f>
        <v>0.43800527</v>
      </c>
      <c r="S13">
        <f>IF(Backend!T40="", "", Backend!T40)</f>
        <v>0.43368435</v>
      </c>
      <c r="T13">
        <f>IF(Backend!U40="", "", Backend!U40)</f>
        <v>0.41736825999999999</v>
      </c>
      <c r="U13">
        <f>IF(Backend!V40="", "", Backend!V40)</f>
        <v>0.26481747999999999</v>
      </c>
      <c r="V13">
        <f>IF(Backend!W40="", "", Backend!W40)</f>
        <v>0.37554145</v>
      </c>
      <c r="W13">
        <f>IF(Backend!X40="", "", Backend!X40)</f>
        <v>0.44417307</v>
      </c>
      <c r="X13">
        <f>IF(Backend!Y40="", "", Backend!Y40)</f>
        <v>0.22418194</v>
      </c>
      <c r="Y13">
        <f>IF(Backend!Z40="", "", Backend!Z40)</f>
        <v>0.19152753</v>
      </c>
      <c r="Z13">
        <f>IF(Backend!AA40="", "", Backend!AA40)</f>
        <v>0.13213987999999999</v>
      </c>
      <c r="AA13">
        <f>IF(Backend!AB40="", "", Backend!AB40)</f>
        <v>0.53060037000000004</v>
      </c>
      <c r="AB13">
        <f>IF(Backend!AC40="", "", Backend!AC40)</f>
        <v>0.38829276000000001</v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Amadeus IT Group SA Class A</v>
      </c>
      <c r="B14">
        <f>IF(Backend!C41="", "", Backend!C41)</f>
        <v>0.50451356000000003</v>
      </c>
      <c r="C14">
        <f>IF(Backend!D41="", "", Backend!D41)</f>
        <v>0.64025949999999998</v>
      </c>
      <c r="D14">
        <f>IF(Backend!E41="", "", Backend!E41)</f>
        <v>0.43459251999999998</v>
      </c>
      <c r="E14">
        <f>IF(Backend!F41="", "", Backend!F41)</f>
        <v>0.28641414999999998</v>
      </c>
      <c r="F14">
        <f>IF(Backend!G41="", "", Backend!G41)</f>
        <v>0.63273500000000005</v>
      </c>
      <c r="G14">
        <f>IF(Backend!H41="", "", Backend!H41)</f>
        <v>0.15302518000000001</v>
      </c>
      <c r="H14">
        <f>IF(Backend!I41="", "", Backend!I41)</f>
        <v>0.31675497000000002</v>
      </c>
      <c r="I14">
        <f>IF(Backend!J41="", "", Backend!J41)</f>
        <v>0.43283244999999998</v>
      </c>
      <c r="J14">
        <f>IF(Backend!K41="", "", Backend!K41)</f>
        <v>0.40904063000000002</v>
      </c>
      <c r="K14">
        <f>IF(Backend!L41="", "", Backend!L41)</f>
        <v>0.46330985000000002</v>
      </c>
      <c r="L14">
        <f>IF(Backend!M41="", "", Backend!M41)</f>
        <v>1</v>
      </c>
      <c r="M14">
        <f>IF(Backend!N41="", "", Backend!N41)</f>
        <v>0.35108724000000002</v>
      </c>
      <c r="N14">
        <f>IF(Backend!O41="", "", Backend!O41)</f>
        <v>0.45254393999999998</v>
      </c>
      <c r="O14">
        <f>IF(Backend!P41="", "", Backend!P41)</f>
        <v>0.41697647999999998</v>
      </c>
      <c r="P14">
        <f>IF(Backend!Q41="", "", Backend!Q41)</f>
        <v>0.57988702999999997</v>
      </c>
      <c r="Q14">
        <f>IF(Backend!R41="", "", Backend!R41)</f>
        <v>0.27429333</v>
      </c>
      <c r="R14">
        <f>IF(Backend!S41="", "", Backend!S41)</f>
        <v>0.36200237000000002</v>
      </c>
      <c r="S14">
        <f>IF(Backend!T41="", "", Backend!T41)</f>
        <v>0.42832384000000001</v>
      </c>
      <c r="T14">
        <f>IF(Backend!U41="", "", Backend!U41)</f>
        <v>0.51570344000000001</v>
      </c>
      <c r="U14">
        <f>IF(Backend!V41="", "", Backend!V41)</f>
        <v>0.23350945000000001</v>
      </c>
      <c r="V14">
        <f>IF(Backend!W41="", "", Backend!W41)</f>
        <v>0.38493509999999997</v>
      </c>
      <c r="W14">
        <f>IF(Backend!X41="", "", Backend!X41)</f>
        <v>0.48073824999999998</v>
      </c>
      <c r="X14">
        <f>IF(Backend!Y41="", "", Backend!Y41)</f>
        <v>0.28274176000000001</v>
      </c>
      <c r="Y14">
        <f>IF(Backend!Z41="", "", Backend!Z41)</f>
        <v>0.15332270000000001</v>
      </c>
      <c r="Z14">
        <f>IF(Backend!AA41="", "", Backend!AA41)</f>
        <v>0.1169135</v>
      </c>
      <c r="AA14">
        <f>IF(Backend!AB41="", "", Backend!AB41)</f>
        <v>0.39897418000000001</v>
      </c>
      <c r="AB14">
        <f>IF(Backend!AC41="", "", Backend!AC41)</f>
        <v>0.33986038000000002</v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ConvaTec Group Plc</v>
      </c>
      <c r="B15">
        <f>IF(Backend!C42="", "", Backend!C42)</f>
        <v>0.32303026000000001</v>
      </c>
      <c r="C15">
        <f>IF(Backend!D42="", "", Backend!D42)</f>
        <v>0.328349</v>
      </c>
      <c r="D15">
        <f>IF(Backend!E42="", "", Backend!E42)</f>
        <v>0.42780367000000002</v>
      </c>
      <c r="E15">
        <f>IF(Backend!F42="", "", Backend!F42)</f>
        <v>0.32169734999999999</v>
      </c>
      <c r="F15">
        <f>IF(Backend!G42="", "", Backend!G42)</f>
        <v>0.31703439999999999</v>
      </c>
      <c r="G15">
        <f>IF(Backend!H42="", "", Backend!H42)</f>
        <v>7.1850239999999996E-2</v>
      </c>
      <c r="H15">
        <f>IF(Backend!I42="", "", Backend!I42)</f>
        <v>0.24400179999999999</v>
      </c>
      <c r="I15">
        <f>IF(Backend!J42="", "", Backend!J42)</f>
        <v>0.30329758000000001</v>
      </c>
      <c r="J15">
        <f>IF(Backend!K42="", "", Backend!K42)</f>
        <v>0.28969373999999998</v>
      </c>
      <c r="K15">
        <f>IF(Backend!L42="", "", Backend!L42)</f>
        <v>0.29311120000000002</v>
      </c>
      <c r="L15">
        <f>IF(Backend!M42="", "", Backend!M42)</f>
        <v>0.35108724000000002</v>
      </c>
      <c r="M15">
        <f>IF(Backend!N42="", "", Backend!N42)</f>
        <v>1</v>
      </c>
      <c r="N15">
        <f>IF(Backend!O42="", "", Backend!O42)</f>
        <v>0.36406094</v>
      </c>
      <c r="O15">
        <f>IF(Backend!P42="", "", Backend!P42)</f>
        <v>0.40664800000000001</v>
      </c>
      <c r="P15">
        <f>IF(Backend!Q42="", "", Backend!Q42)</f>
        <v>0.31228936000000002</v>
      </c>
      <c r="Q15">
        <f>IF(Backend!R42="", "", Backend!R42)</f>
        <v>0.27964066999999998</v>
      </c>
      <c r="R15">
        <f>IF(Backend!S42="", "", Backend!S42)</f>
        <v>0.31934362999999999</v>
      </c>
      <c r="S15">
        <f>IF(Backend!T42="", "", Backend!T42)</f>
        <v>0.3968525</v>
      </c>
      <c r="T15">
        <f>IF(Backend!U42="", "", Backend!U42)</f>
        <v>0.28881164999999998</v>
      </c>
      <c r="U15">
        <f>IF(Backend!V42="", "", Backend!V42)</f>
        <v>0.25767145000000002</v>
      </c>
      <c r="V15">
        <f>IF(Backend!W42="", "", Backend!W42)</f>
        <v>0.27788678</v>
      </c>
      <c r="W15">
        <f>IF(Backend!X42="", "", Backend!X42)</f>
        <v>0.35716373000000001</v>
      </c>
      <c r="X15">
        <f>IF(Backend!Y42="", "", Backend!Y42)</f>
        <v>0.30844526999999999</v>
      </c>
      <c r="Y15">
        <f>IF(Backend!Z42="", "", Backend!Z42)</f>
        <v>0.1589227</v>
      </c>
      <c r="Z15">
        <f>IF(Backend!AA42="", "", Backend!AA42)</f>
        <v>0.1765844</v>
      </c>
      <c r="AA15">
        <f>IF(Backend!AB42="", "", Backend!AB42)</f>
        <v>0.40074778</v>
      </c>
      <c r="AB15">
        <f>IF(Backend!AC42="", "", Backend!AC42)</f>
        <v>0.30450939999999999</v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Atlas Copco AB Class B</v>
      </c>
      <c r="B16">
        <f>IF(Backend!C43="", "", Backend!C43)</f>
        <v>0.58369355999999994</v>
      </c>
      <c r="C16">
        <f>IF(Backend!D43="", "", Backend!D43)</f>
        <v>0.49826986000000001</v>
      </c>
      <c r="D16">
        <f>IF(Backend!E43="", "", Backend!E43)</f>
        <v>0.51445099999999999</v>
      </c>
      <c r="E16">
        <f>IF(Backend!F43="", "", Backend!F43)</f>
        <v>0.38952658000000001</v>
      </c>
      <c r="F16">
        <f>IF(Backend!G43="", "", Backend!G43)</f>
        <v>0.49453464000000003</v>
      </c>
      <c r="G16">
        <f>IF(Backend!H43="", "", Backend!H43)</f>
        <v>0.16275034999999999</v>
      </c>
      <c r="H16">
        <f>IF(Backend!I43="", "", Backend!I43)</f>
        <v>0.35244115999999998</v>
      </c>
      <c r="I16">
        <f>IF(Backend!J43="", "", Backend!J43)</f>
        <v>0.63254297000000004</v>
      </c>
      <c r="J16">
        <f>IF(Backend!K43="", "", Backend!K43)</f>
        <v>0.38777850000000003</v>
      </c>
      <c r="K16">
        <f>IF(Backend!L43="", "", Backend!L43)</f>
        <v>0.55653554000000005</v>
      </c>
      <c r="L16">
        <f>IF(Backend!M43="", "", Backend!M43)</f>
        <v>0.45254393999999998</v>
      </c>
      <c r="M16">
        <f>IF(Backend!N43="", "", Backend!N43)</f>
        <v>0.36406094</v>
      </c>
      <c r="N16">
        <f>IF(Backend!O43="", "", Backend!O43)</f>
        <v>1</v>
      </c>
      <c r="O16">
        <f>IF(Backend!P43="", "", Backend!P43)</f>
        <v>0.57328904000000003</v>
      </c>
      <c r="P16">
        <f>IF(Backend!Q43="", "", Backend!Q43)</f>
        <v>0.35030505000000001</v>
      </c>
      <c r="Q16">
        <f>IF(Backend!R43="", "", Backend!R43)</f>
        <v>0.39800245000000001</v>
      </c>
      <c r="R16">
        <f>IF(Backend!S43="", "", Backend!S43)</f>
        <v>0.56843655999999998</v>
      </c>
      <c r="S16">
        <f>IF(Backend!T43="", "", Backend!T43)</f>
        <v>0.41556883</v>
      </c>
      <c r="T16">
        <f>IF(Backend!U43="", "", Backend!U43)</f>
        <v>0.44539519999999999</v>
      </c>
      <c r="U16">
        <f>IF(Backend!V43="", "", Backend!V43)</f>
        <v>0.27645283999999998</v>
      </c>
      <c r="V16">
        <f>IF(Backend!W43="", "", Backend!W43)</f>
        <v>0.38074645000000001</v>
      </c>
      <c r="W16">
        <f>IF(Backend!X43="", "", Backend!X43)</f>
        <v>0.56996860000000005</v>
      </c>
      <c r="X16">
        <f>IF(Backend!Y43="", "", Backend!Y43)</f>
        <v>0.3011104</v>
      </c>
      <c r="Y16">
        <f>IF(Backend!Z43="", "", Backend!Z43)</f>
        <v>0.24304737000000001</v>
      </c>
      <c r="Z16">
        <f>IF(Backend!AA43="", "", Backend!AA43)</f>
        <v>0.17883798000000001</v>
      </c>
      <c r="AA16">
        <f>IF(Backend!AB43="", "", Backend!AB43)</f>
        <v>0.62288069999999995</v>
      </c>
      <c r="AB16">
        <f>IF(Backend!AC43="", "", Backend!AC43)</f>
        <v>0.4232764</v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Experian PLC</v>
      </c>
      <c r="B17">
        <f>IF(Backend!C44="", "", Backend!C44)</f>
        <v>0.48282659999999999</v>
      </c>
      <c r="C17">
        <f>IF(Backend!D44="", "", Backend!D44)</f>
        <v>0.42458129999999999</v>
      </c>
      <c r="D17">
        <f>IF(Backend!E44="", "", Backend!E44)</f>
        <v>0.55544530000000003</v>
      </c>
      <c r="E17">
        <f>IF(Backend!F44="", "", Backend!F44)</f>
        <v>0.52231896</v>
      </c>
      <c r="F17">
        <f>IF(Backend!G44="", "", Backend!G44)</f>
        <v>0.38881402999999998</v>
      </c>
      <c r="G17">
        <f>IF(Backend!H44="", "", Backend!H44)</f>
        <v>0.12665023</v>
      </c>
      <c r="H17">
        <f>IF(Backend!I44="", "", Backend!I44)</f>
        <v>0.45928076000000001</v>
      </c>
      <c r="I17">
        <f>IF(Backend!J44="", "", Backend!J44)</f>
        <v>0.5031371</v>
      </c>
      <c r="J17">
        <f>IF(Backend!K44="", "", Backend!K44)</f>
        <v>0.44998568</v>
      </c>
      <c r="K17">
        <f>IF(Backend!L44="", "", Backend!L44)</f>
        <v>0.42909989999999998</v>
      </c>
      <c r="L17">
        <f>IF(Backend!M44="", "", Backend!M44)</f>
        <v>0.41697647999999998</v>
      </c>
      <c r="M17">
        <f>IF(Backend!N44="", "", Backend!N44)</f>
        <v>0.40664800000000001</v>
      </c>
      <c r="N17">
        <f>IF(Backend!O44="", "", Backend!O44)</f>
        <v>0.57328904000000003</v>
      </c>
      <c r="O17">
        <f>IF(Backend!P44="", "", Backend!P44)</f>
        <v>1</v>
      </c>
      <c r="P17">
        <f>IF(Backend!Q44="", "", Backend!Q44)</f>
        <v>0.37185600000000002</v>
      </c>
      <c r="Q17">
        <f>IF(Backend!R44="", "", Backend!R44)</f>
        <v>0.57962029999999998</v>
      </c>
      <c r="R17">
        <f>IF(Backend!S44="", "", Backend!S44)</f>
        <v>0.45471830000000002</v>
      </c>
      <c r="S17">
        <f>IF(Backend!T44="", "", Backend!T44)</f>
        <v>0.44099885</v>
      </c>
      <c r="T17">
        <f>IF(Backend!U44="", "", Backend!U44)</f>
        <v>0.34089434000000002</v>
      </c>
      <c r="U17">
        <f>IF(Backend!V44="", "", Backend!V44)</f>
        <v>0.35048857</v>
      </c>
      <c r="V17">
        <f>IF(Backend!W44="", "", Backend!W44)</f>
        <v>0.3770811</v>
      </c>
      <c r="W17">
        <f>IF(Backend!X44="", "", Backend!X44)</f>
        <v>0.55088663000000004</v>
      </c>
      <c r="X17">
        <f>IF(Backend!Y44="", "", Backend!Y44)</f>
        <v>0.36397937000000002</v>
      </c>
      <c r="Y17">
        <f>IF(Backend!Z44="", "", Backend!Z44)</f>
        <v>0.22569603999999999</v>
      </c>
      <c r="Z17">
        <f>IF(Backend!AA44="", "", Backend!AA44)</f>
        <v>0.13415732999999999</v>
      </c>
      <c r="AA17">
        <f>IF(Backend!AB44="", "", Backend!AB44)</f>
        <v>0.59341140000000003</v>
      </c>
      <c r="AB17">
        <f>IF(Backend!AC44="", "", Backend!AC44)</f>
        <v>0.46325749999999999</v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Compass Group PLC</v>
      </c>
      <c r="B18">
        <f>IF(Backend!C45="", "", Backend!C45)</f>
        <v>0.38709512000000001</v>
      </c>
      <c r="C18">
        <f>IF(Backend!D45="", "", Backend!D45)</f>
        <v>0.58433729999999995</v>
      </c>
      <c r="D18">
        <f>IF(Backend!E45="", "", Backend!E45)</f>
        <v>0.36071320000000001</v>
      </c>
      <c r="E18">
        <f>IF(Backend!F45="", "", Backend!F45)</f>
        <v>0.26022479999999998</v>
      </c>
      <c r="F18">
        <f>IF(Backend!G45="", "", Backend!G45)</f>
        <v>0.58185200000000004</v>
      </c>
      <c r="G18">
        <f>IF(Backend!H45="", "", Backend!H45)</f>
        <v>0.12492135</v>
      </c>
      <c r="H18">
        <f>IF(Backend!I45="", "", Backend!I45)</f>
        <v>0.29346314000000001</v>
      </c>
      <c r="I18">
        <f>IF(Backend!J45="", "", Backend!J45)</f>
        <v>0.29678446000000003</v>
      </c>
      <c r="J18">
        <f>IF(Backend!K45="", "", Backend!K45)</f>
        <v>0.33842778000000001</v>
      </c>
      <c r="K18">
        <f>IF(Backend!L45="", "", Backend!L45)</f>
        <v>0.36307546000000002</v>
      </c>
      <c r="L18">
        <f>IF(Backend!M45="", "", Backend!M45)</f>
        <v>0.57988702999999997</v>
      </c>
      <c r="M18">
        <f>IF(Backend!N45="", "", Backend!N45)</f>
        <v>0.31228936000000002</v>
      </c>
      <c r="N18">
        <f>IF(Backend!O45="", "", Backend!O45)</f>
        <v>0.35030505000000001</v>
      </c>
      <c r="O18">
        <f>IF(Backend!P45="", "", Backend!P45)</f>
        <v>0.37185600000000002</v>
      </c>
      <c r="P18">
        <f>IF(Backend!Q45="", "", Backend!Q45)</f>
        <v>1</v>
      </c>
      <c r="Q18">
        <f>IF(Backend!R45="", "", Backend!R45)</f>
        <v>0.26176110000000002</v>
      </c>
      <c r="R18">
        <f>IF(Backend!S45="", "", Backend!S45)</f>
        <v>0.28674739999999999</v>
      </c>
      <c r="S18">
        <f>IF(Backend!T45="", "", Backend!T45)</f>
        <v>0.45583182999999999</v>
      </c>
      <c r="T18">
        <f>IF(Backend!U45="", "", Backend!U45)</f>
        <v>0.45424098000000002</v>
      </c>
      <c r="U18">
        <f>IF(Backend!V45="", "", Backend!V45)</f>
        <v>0.19456798</v>
      </c>
      <c r="V18">
        <f>IF(Backend!W45="", "", Backend!W45)</f>
        <v>0.31303993000000002</v>
      </c>
      <c r="W18">
        <f>IF(Backend!X45="", "", Backend!X45)</f>
        <v>0.34440860000000001</v>
      </c>
      <c r="X18">
        <f>IF(Backend!Y45="", "", Backend!Y45)</f>
        <v>0.28516763000000001</v>
      </c>
      <c r="Y18">
        <f>IF(Backend!Z45="", "", Backend!Z45)</f>
        <v>0.10976086</v>
      </c>
      <c r="Z18">
        <f>IF(Backend!AA45="", "", Backend!AA45)</f>
        <v>3.7719302000000003E-2</v>
      </c>
      <c r="AA18">
        <f>IF(Backend!AB45="", "", Backend!AB45)</f>
        <v>0.24063256</v>
      </c>
      <c r="AB18">
        <f>IF(Backend!AC45="", "", Backend!AC45)</f>
        <v>0.2398593</v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Wolters Kluwer N.V.</v>
      </c>
      <c r="B19">
        <f>IF(Backend!C46="", "", Backend!C46)</f>
        <v>0.32097962000000002</v>
      </c>
      <c r="C19">
        <f>IF(Backend!D46="", "", Backend!D46)</f>
        <v>0.2797521</v>
      </c>
      <c r="D19">
        <f>IF(Backend!E46="", "", Backend!E46)</f>
        <v>0.33575263999999999</v>
      </c>
      <c r="E19">
        <f>IF(Backend!F46="", "", Backend!F46)</f>
        <v>0.397644</v>
      </c>
      <c r="F19">
        <f>IF(Backend!G46="", "", Backend!G46)</f>
        <v>0.23295895999999999</v>
      </c>
      <c r="G19">
        <f>IF(Backend!H46="", "", Backend!H46)</f>
        <v>2.2876877E-2</v>
      </c>
      <c r="H19">
        <f>IF(Backend!I46="", "", Backend!I46)</f>
        <v>0.36392682999999998</v>
      </c>
      <c r="I19">
        <f>IF(Backend!J46="", "", Backend!J46)</f>
        <v>0.37211937</v>
      </c>
      <c r="J19">
        <f>IF(Backend!K46="", "", Backend!K46)</f>
        <v>0.44704991999999999</v>
      </c>
      <c r="K19">
        <f>IF(Backend!L46="", "", Backend!L46)</f>
        <v>0.27884924</v>
      </c>
      <c r="L19">
        <f>IF(Backend!M46="", "", Backend!M46)</f>
        <v>0.27429333</v>
      </c>
      <c r="M19">
        <f>IF(Backend!N46="", "", Backend!N46)</f>
        <v>0.27964066999999998</v>
      </c>
      <c r="N19">
        <f>IF(Backend!O46="", "", Backend!O46)</f>
        <v>0.39800245000000001</v>
      </c>
      <c r="O19">
        <f>IF(Backend!P46="", "", Backend!P46)</f>
        <v>0.57962029999999998</v>
      </c>
      <c r="P19">
        <f>IF(Backend!Q46="", "", Backend!Q46)</f>
        <v>0.26176110000000002</v>
      </c>
      <c r="Q19">
        <f>IF(Backend!R46="", "", Backend!R46)</f>
        <v>1</v>
      </c>
      <c r="R19">
        <f>IF(Backend!S46="", "", Backend!S46)</f>
        <v>0.34633076000000002</v>
      </c>
      <c r="S19">
        <f>IF(Backend!T46="", "", Backend!T46)</f>
        <v>0.31538716</v>
      </c>
      <c r="T19">
        <f>IF(Backend!U46="", "", Backend!U46)</f>
        <v>0.27870764999999997</v>
      </c>
      <c r="U19">
        <f>IF(Backend!V46="", "", Backend!V46)</f>
        <v>0.33433407999999998</v>
      </c>
      <c r="V19">
        <f>IF(Backend!W46="", "", Backend!W46)</f>
        <v>0.35139903</v>
      </c>
      <c r="W19">
        <f>IF(Backend!X46="", "", Backend!X46)</f>
        <v>0.43742466000000002</v>
      </c>
      <c r="X19">
        <f>IF(Backend!Y46="", "", Backend!Y46)</f>
        <v>0.29451086999999998</v>
      </c>
      <c r="Y19">
        <f>IF(Backend!Z46="", "", Backend!Z46)</f>
        <v>0.1663039</v>
      </c>
      <c r="Z19">
        <f>IF(Backend!AA46="", "", Backend!AA46)</f>
        <v>7.8021884E-2</v>
      </c>
      <c r="AA19">
        <f>IF(Backend!AB46="", "", Backend!AB46)</f>
        <v>0.42792076000000001</v>
      </c>
      <c r="AB19">
        <f>IF(Backend!AC46="", "", Backend!AC46)</f>
        <v>0.3382772</v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0.47470509999999999</v>
      </c>
      <c r="C20">
        <f>IF(Backend!D47="", "", Backend!D47)</f>
        <v>0.37827276999999998</v>
      </c>
      <c r="D20">
        <f>IF(Backend!E47="", "", Backend!E47)</f>
        <v>0.41832206</v>
      </c>
      <c r="E20">
        <f>IF(Backend!F47="", "", Backend!F47)</f>
        <v>0.30652770000000001</v>
      </c>
      <c r="F20">
        <f>IF(Backend!G47="", "", Backend!G47)</f>
        <v>0.37678620000000002</v>
      </c>
      <c r="G20">
        <f>IF(Backend!H47="", "", Backend!H47)</f>
        <v>0.24042521</v>
      </c>
      <c r="H20">
        <f>IF(Backend!I47="", "", Backend!I47)</f>
        <v>0.30407104000000001</v>
      </c>
      <c r="I20">
        <f>IF(Backend!J47="", "", Backend!J47)</f>
        <v>0.41507824999999998</v>
      </c>
      <c r="J20">
        <f>IF(Backend!K47="", "", Backend!K47)</f>
        <v>0.39773642999999997</v>
      </c>
      <c r="K20">
        <f>IF(Backend!L47="", "", Backend!L47)</f>
        <v>0.43800527</v>
      </c>
      <c r="L20">
        <f>IF(Backend!M47="", "", Backend!M47)</f>
        <v>0.36200237000000002</v>
      </c>
      <c r="M20">
        <f>IF(Backend!N47="", "", Backend!N47)</f>
        <v>0.31934362999999999</v>
      </c>
      <c r="N20">
        <f>IF(Backend!O47="", "", Backend!O47)</f>
        <v>0.56843655999999998</v>
      </c>
      <c r="O20">
        <f>IF(Backend!P47="", "", Backend!P47)</f>
        <v>0.45471830000000002</v>
      </c>
      <c r="P20">
        <f>IF(Backend!Q47="", "", Backend!Q47)</f>
        <v>0.28674739999999999</v>
      </c>
      <c r="Q20">
        <f>IF(Backend!R47="", "", Backend!R47)</f>
        <v>0.34633076000000002</v>
      </c>
      <c r="R20">
        <f>IF(Backend!S47="", "", Backend!S47)</f>
        <v>1</v>
      </c>
      <c r="S20">
        <f>IF(Backend!T47="", "", Backend!T47)</f>
        <v>0.36165142</v>
      </c>
      <c r="T20">
        <f>IF(Backend!U47="", "", Backend!U47)</f>
        <v>0.35669190000000001</v>
      </c>
      <c r="U20">
        <f>IF(Backend!V47="", "", Backend!V47)</f>
        <v>0.26806312999999998</v>
      </c>
      <c r="V20">
        <f>IF(Backend!W47="", "", Backend!W47)</f>
        <v>0.35810405000000001</v>
      </c>
      <c r="W20">
        <f>IF(Backend!X47="", "", Backend!X47)</f>
        <v>0.44010250000000001</v>
      </c>
      <c r="X20">
        <f>IF(Backend!Y47="", "", Backend!Y47)</f>
        <v>0.23122599999999999</v>
      </c>
      <c r="Y20">
        <f>IF(Backend!Z47="", "", Backend!Z47)</f>
        <v>0.17528498000000001</v>
      </c>
      <c r="Z20">
        <f>IF(Backend!AA47="", "", Backend!AA47)</f>
        <v>0.14146267000000001</v>
      </c>
      <c r="AA20">
        <f>IF(Backend!AB47="", "", Backend!AB47)</f>
        <v>0.51505195999999998</v>
      </c>
      <c r="AB20">
        <f>IF(Backend!AC47="", "", Backend!AC47)</f>
        <v>0.36999900000000002</v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Diageo plc</v>
      </c>
      <c r="B21">
        <f>IF(Backend!C48="", "", Backend!C48)</f>
        <v>0.54932449999999999</v>
      </c>
      <c r="C21">
        <f>IF(Backend!D48="", "", Backend!D48)</f>
        <v>0.40557703000000001</v>
      </c>
      <c r="D21">
        <f>IF(Backend!E48="", "", Backend!E48)</f>
        <v>0.42626514999999998</v>
      </c>
      <c r="E21">
        <f>IF(Backend!F48="", "", Backend!F48)</f>
        <v>0.33998936000000002</v>
      </c>
      <c r="F21">
        <f>IF(Backend!G48="", "", Backend!G48)</f>
        <v>0.43578514000000002</v>
      </c>
      <c r="G21">
        <f>IF(Backend!H48="", "", Backend!H48)</f>
        <v>0.18725948000000001</v>
      </c>
      <c r="H21">
        <f>IF(Backend!I48="", "", Backend!I48)</f>
        <v>0.30557325000000002</v>
      </c>
      <c r="I21">
        <f>IF(Backend!J48="", "", Backend!J48)</f>
        <v>0.32630002000000002</v>
      </c>
      <c r="J21">
        <f>IF(Backend!K48="", "", Backend!K48)</f>
        <v>0.36486942</v>
      </c>
      <c r="K21">
        <f>IF(Backend!L48="", "", Backend!L48)</f>
        <v>0.43368435</v>
      </c>
      <c r="L21">
        <f>IF(Backend!M48="", "", Backend!M48)</f>
        <v>0.42832384000000001</v>
      </c>
      <c r="M21">
        <f>IF(Backend!N48="", "", Backend!N48)</f>
        <v>0.3968525</v>
      </c>
      <c r="N21">
        <f>IF(Backend!O48="", "", Backend!O48)</f>
        <v>0.41556883</v>
      </c>
      <c r="O21">
        <f>IF(Backend!P48="", "", Backend!P48)</f>
        <v>0.44099885</v>
      </c>
      <c r="P21">
        <f>IF(Backend!Q48="", "", Backend!Q48)</f>
        <v>0.45583182999999999</v>
      </c>
      <c r="Q21">
        <f>IF(Backend!R48="", "", Backend!R48)</f>
        <v>0.31538716</v>
      </c>
      <c r="R21">
        <f>IF(Backend!S48="", "", Backend!S48)</f>
        <v>0.36165142</v>
      </c>
      <c r="S21">
        <f>IF(Backend!T48="", "", Backend!T48)</f>
        <v>1</v>
      </c>
      <c r="T21">
        <f>IF(Backend!U48="", "", Backend!U48)</f>
        <v>0.36182504999999998</v>
      </c>
      <c r="U21">
        <f>IF(Backend!V48="", "", Backend!V48)</f>
        <v>0.28492600000000001</v>
      </c>
      <c r="V21">
        <f>IF(Backend!W48="", "", Backend!W48)</f>
        <v>0.30076844000000003</v>
      </c>
      <c r="W21">
        <f>IF(Backend!X48="", "", Backend!X48)</f>
        <v>0.41006290000000001</v>
      </c>
      <c r="X21">
        <f>IF(Backend!Y48="", "", Backend!Y48)</f>
        <v>0.39807009999999998</v>
      </c>
      <c r="Y21">
        <f>IF(Backend!Z48="", "", Backend!Z48)</f>
        <v>0.17645817999999999</v>
      </c>
      <c r="Z21">
        <f>IF(Backend!AA48="", "", Backend!AA48)</f>
        <v>8.4447990000000001E-2</v>
      </c>
      <c r="AA21">
        <f>IF(Backend!AB48="", "", Backend!AB48)</f>
        <v>0.41316396</v>
      </c>
      <c r="AB21">
        <f>IF(Backend!AC48="", "", Backend!AC48)</f>
        <v>0.33297854999999998</v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CTS Eventim AG &amp; Co. KGaA</v>
      </c>
      <c r="B22">
        <f>IF(Backend!C49="", "", Backend!C49)</f>
        <v>0.43059352000000001</v>
      </c>
      <c r="C22">
        <f>IF(Backend!D49="", "", Backend!D49)</f>
        <v>0.50677749999999999</v>
      </c>
      <c r="D22">
        <f>IF(Backend!E49="", "", Backend!E49)</f>
        <v>0.40277733999999998</v>
      </c>
      <c r="E22">
        <f>IF(Backend!F49="", "", Backend!F49)</f>
        <v>0.26178279999999998</v>
      </c>
      <c r="F22">
        <f>IF(Backend!G49="", "", Backend!G49)</f>
        <v>0.52094649999999998</v>
      </c>
      <c r="G22">
        <f>IF(Backend!H49="", "", Backend!H49)</f>
        <v>0.12958428</v>
      </c>
      <c r="H22">
        <f>IF(Backend!I49="", "", Backend!I49)</f>
        <v>0.2795783</v>
      </c>
      <c r="I22">
        <f>IF(Backend!J49="", "", Backend!J49)</f>
        <v>0.42182392000000002</v>
      </c>
      <c r="J22">
        <f>IF(Backend!K49="", "", Backend!K49)</f>
        <v>0.36710357999999998</v>
      </c>
      <c r="K22">
        <f>IF(Backend!L49="", "", Backend!L49)</f>
        <v>0.41736825999999999</v>
      </c>
      <c r="L22">
        <f>IF(Backend!M49="", "", Backend!M49)</f>
        <v>0.51570344000000001</v>
      </c>
      <c r="M22">
        <f>IF(Backend!N49="", "", Backend!N49)</f>
        <v>0.28881164999999998</v>
      </c>
      <c r="N22">
        <f>IF(Backend!O49="", "", Backend!O49)</f>
        <v>0.44539519999999999</v>
      </c>
      <c r="O22">
        <f>IF(Backend!P49="", "", Backend!P49)</f>
        <v>0.34089434000000002</v>
      </c>
      <c r="P22">
        <f>IF(Backend!Q49="", "", Backend!Q49)</f>
        <v>0.45424098000000002</v>
      </c>
      <c r="Q22">
        <f>IF(Backend!R49="", "", Backend!R49)</f>
        <v>0.27870764999999997</v>
      </c>
      <c r="R22">
        <f>IF(Backend!S49="", "", Backend!S49)</f>
        <v>0.35669190000000001</v>
      </c>
      <c r="S22">
        <f>IF(Backend!T49="", "", Backend!T49)</f>
        <v>0.36182504999999998</v>
      </c>
      <c r="T22">
        <f>IF(Backend!U49="", "", Backend!U49)</f>
        <v>1</v>
      </c>
      <c r="U22">
        <f>IF(Backend!V49="", "", Backend!V49)</f>
        <v>0.1849121</v>
      </c>
      <c r="V22">
        <f>IF(Backend!W49="", "", Backend!W49)</f>
        <v>0.39071592999999999</v>
      </c>
      <c r="W22">
        <f>IF(Backend!X49="", "", Backend!X49)</f>
        <v>0.41425866</v>
      </c>
      <c r="X22">
        <f>IF(Backend!Y49="", "", Backend!Y49)</f>
        <v>0.22816253</v>
      </c>
      <c r="Y22">
        <f>IF(Backend!Z49="", "", Backend!Z49)</f>
        <v>0.14435138</v>
      </c>
      <c r="Z22">
        <f>IF(Backend!AA49="", "", Backend!AA49)</f>
        <v>9.2603854999999999E-2</v>
      </c>
      <c r="AA22">
        <f>IF(Backend!AB49="", "", Backend!AB49)</f>
        <v>0.38549879999999997</v>
      </c>
      <c r="AB22">
        <f>IF(Backend!AC49="", "", Backend!AC49)</f>
        <v>0.29830897000000001</v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Roche Holding Ltd Dividend Right Cert.</v>
      </c>
      <c r="B23">
        <f>IF(Backend!C50="", "", Backend!C50)</f>
        <v>0.27800320000000001</v>
      </c>
      <c r="C23">
        <f>IF(Backend!D50="", "", Backend!D50)</f>
        <v>0.21131512999999999</v>
      </c>
      <c r="D23">
        <f>IF(Backend!E50="", "", Backend!E50)</f>
        <v>0.25325340000000002</v>
      </c>
      <c r="E23">
        <f>IF(Backend!F50="", "", Backend!F50)</f>
        <v>0.29526287000000001</v>
      </c>
      <c r="F23">
        <f>IF(Backend!G50="", "", Backend!G50)</f>
        <v>0.21525422999999999</v>
      </c>
      <c r="G23">
        <f>IF(Backend!H50="", "", Backend!H50)</f>
        <v>7.5355370000000005E-2</v>
      </c>
      <c r="H23">
        <f>IF(Backend!I50="", "", Backend!I50)</f>
        <v>0.29977077000000002</v>
      </c>
      <c r="I23">
        <f>IF(Backend!J50="", "", Backend!J50)</f>
        <v>0.19476901999999999</v>
      </c>
      <c r="J23">
        <f>IF(Backend!K50="", "", Backend!K50)</f>
        <v>0.34489009999999998</v>
      </c>
      <c r="K23">
        <f>IF(Backend!L50="", "", Backend!L50)</f>
        <v>0.26481747999999999</v>
      </c>
      <c r="L23">
        <f>IF(Backend!M50="", "", Backend!M50)</f>
        <v>0.23350945000000001</v>
      </c>
      <c r="M23">
        <f>IF(Backend!N50="", "", Backend!N50)</f>
        <v>0.25767145000000002</v>
      </c>
      <c r="N23">
        <f>IF(Backend!O50="", "", Backend!O50)</f>
        <v>0.27645283999999998</v>
      </c>
      <c r="O23">
        <f>IF(Backend!P50="", "", Backend!P50)</f>
        <v>0.35048857</v>
      </c>
      <c r="P23">
        <f>IF(Backend!Q50="", "", Backend!Q50)</f>
        <v>0.19456798</v>
      </c>
      <c r="Q23">
        <f>IF(Backend!R50="", "", Backend!R50)</f>
        <v>0.33433407999999998</v>
      </c>
      <c r="R23">
        <f>IF(Backend!S50="", "", Backend!S50)</f>
        <v>0.26806312999999998</v>
      </c>
      <c r="S23">
        <f>IF(Backend!T50="", "", Backend!T50)</f>
        <v>0.28492600000000001</v>
      </c>
      <c r="T23">
        <f>IF(Backend!U50="", "", Backend!U50)</f>
        <v>0.1849121</v>
      </c>
      <c r="U23">
        <f>IF(Backend!V50="", "", Backend!V50)</f>
        <v>1</v>
      </c>
      <c r="V23">
        <f>IF(Backend!W50="", "", Backend!W50)</f>
        <v>0.2356463</v>
      </c>
      <c r="W23">
        <f>IF(Backend!X50="", "", Backend!X50)</f>
        <v>0.29707204999999998</v>
      </c>
      <c r="X23">
        <f>IF(Backend!Y50="", "", Backend!Y50)</f>
        <v>0.5047391</v>
      </c>
      <c r="Y23">
        <f>IF(Backend!Z50="", "", Backend!Z50)</f>
        <v>0.15638767000000001</v>
      </c>
      <c r="Z23">
        <f>IF(Backend!AA50="", "", Backend!AA50)</f>
        <v>0.13363463</v>
      </c>
      <c r="AA23">
        <f>IF(Backend!AB50="", "", Backend!AB50)</f>
        <v>0.38165779999999999</v>
      </c>
      <c r="AB23">
        <f>IF(Backend!AC50="", "", Backend!AC50)</f>
        <v>0.24734443</v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Universal Music Group N.V.</v>
      </c>
      <c r="B24">
        <f>IF(Backend!C51="", "", Backend!C51)</f>
        <v>0.38778659999999998</v>
      </c>
      <c r="C24">
        <f>IF(Backend!D51="", "", Backend!D51)</f>
        <v>0.37622050000000001</v>
      </c>
      <c r="D24">
        <f>IF(Backend!E51="", "", Backend!E51)</f>
        <v>0.43256503000000002</v>
      </c>
      <c r="E24">
        <f>IF(Backend!F51="", "", Backend!F51)</f>
        <v>0.29067939999999998</v>
      </c>
      <c r="F24">
        <f>IF(Backend!G51="", "", Backend!G51)</f>
        <v>0.36126377999999998</v>
      </c>
      <c r="G24">
        <f>IF(Backend!H51="", "", Backend!H51)</f>
        <v>0.10484881</v>
      </c>
      <c r="H24">
        <f>IF(Backend!I51="", "", Backend!I51)</f>
        <v>0.26917692999999998</v>
      </c>
      <c r="I24">
        <f>IF(Backend!J51="", "", Backend!J51)</f>
        <v>0.38731919999999997</v>
      </c>
      <c r="J24">
        <f>IF(Backend!K51="", "", Backend!K51)</f>
        <v>0.36241108</v>
      </c>
      <c r="K24">
        <f>IF(Backend!L51="", "", Backend!L51)</f>
        <v>0.37554145</v>
      </c>
      <c r="L24">
        <f>IF(Backend!M51="", "", Backend!M51)</f>
        <v>0.38493509999999997</v>
      </c>
      <c r="M24">
        <f>IF(Backend!N51="", "", Backend!N51)</f>
        <v>0.27788678</v>
      </c>
      <c r="N24">
        <f>IF(Backend!O51="", "", Backend!O51)</f>
        <v>0.38074645000000001</v>
      </c>
      <c r="O24">
        <f>IF(Backend!P51="", "", Backend!P51)</f>
        <v>0.3770811</v>
      </c>
      <c r="P24">
        <f>IF(Backend!Q51="", "", Backend!Q51)</f>
        <v>0.31303993000000002</v>
      </c>
      <c r="Q24">
        <f>IF(Backend!R51="", "", Backend!R51)</f>
        <v>0.35139903</v>
      </c>
      <c r="R24">
        <f>IF(Backend!S51="", "", Backend!S51)</f>
        <v>0.35810405000000001</v>
      </c>
      <c r="S24">
        <f>IF(Backend!T51="", "", Backend!T51)</f>
        <v>0.30076844000000003</v>
      </c>
      <c r="T24">
        <f>IF(Backend!U51="", "", Backend!U51)</f>
        <v>0.39071592999999999</v>
      </c>
      <c r="U24">
        <f>IF(Backend!V51="", "", Backend!V51)</f>
        <v>0.2356463</v>
      </c>
      <c r="V24">
        <f>IF(Backend!W51="", "", Backend!W51)</f>
        <v>1</v>
      </c>
      <c r="W24">
        <f>IF(Backend!X51="", "", Backend!X51)</f>
        <v>0.38252014000000001</v>
      </c>
      <c r="X24">
        <f>IF(Backend!Y51="", "", Backend!Y51)</f>
        <v>0.23540214000000001</v>
      </c>
      <c r="Y24">
        <f>IF(Backend!Z51="", "", Backend!Z51)</f>
        <v>0.13701637</v>
      </c>
      <c r="Z24">
        <f>IF(Backend!AA51="", "", Backend!AA51)</f>
        <v>9.4829079999999996E-2</v>
      </c>
      <c r="AA24">
        <f>IF(Backend!AB51="", "", Backend!AB51)</f>
        <v>0.41822553000000001</v>
      </c>
      <c r="AB24">
        <f>IF(Backend!AC51="", "", Backend!AC51)</f>
        <v>0.35958442000000002</v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SAP SE</v>
      </c>
      <c r="B25">
        <f>IF(Backend!C52="", "", Backend!C52)</f>
        <v>0.50534385000000004</v>
      </c>
      <c r="C25">
        <f>IF(Backend!D52="", "", Backend!D52)</f>
        <v>0.50367843999999995</v>
      </c>
      <c r="D25">
        <f>IF(Backend!E52="", "", Backend!E52)</f>
        <v>0.47731137000000001</v>
      </c>
      <c r="E25">
        <f>IF(Backend!F52="", "", Backend!F52)</f>
        <v>0.35065466000000001</v>
      </c>
      <c r="F25">
        <f>IF(Backend!G52="", "", Backend!G52)</f>
        <v>0.48117845999999997</v>
      </c>
      <c r="G25">
        <f>IF(Backend!H52="", "", Backend!H52)</f>
        <v>0.12533842000000001</v>
      </c>
      <c r="H25">
        <f>IF(Backend!I52="", "", Backend!I52)</f>
        <v>0.39711123999999998</v>
      </c>
      <c r="I25">
        <f>IF(Backend!J52="", "", Backend!J52)</f>
        <v>0.59163449999999995</v>
      </c>
      <c r="J25">
        <f>IF(Backend!K52="", "", Backend!K52)</f>
        <v>0.45079385999999999</v>
      </c>
      <c r="K25">
        <f>IF(Backend!L52="", "", Backend!L52)</f>
        <v>0.44417307</v>
      </c>
      <c r="L25">
        <f>IF(Backend!M52="", "", Backend!M52)</f>
        <v>0.48073824999999998</v>
      </c>
      <c r="M25">
        <f>IF(Backend!N52="", "", Backend!N52)</f>
        <v>0.35716373000000001</v>
      </c>
      <c r="N25">
        <f>IF(Backend!O52="", "", Backend!O52)</f>
        <v>0.56996860000000005</v>
      </c>
      <c r="O25">
        <f>IF(Backend!P52="", "", Backend!P52)</f>
        <v>0.55088663000000004</v>
      </c>
      <c r="P25">
        <f>IF(Backend!Q52="", "", Backend!Q52)</f>
        <v>0.34440860000000001</v>
      </c>
      <c r="Q25">
        <f>IF(Backend!R52="", "", Backend!R52)</f>
        <v>0.43742466000000002</v>
      </c>
      <c r="R25">
        <f>IF(Backend!S52="", "", Backend!S52)</f>
        <v>0.44010250000000001</v>
      </c>
      <c r="S25">
        <f>IF(Backend!T52="", "", Backend!T52)</f>
        <v>0.41006290000000001</v>
      </c>
      <c r="T25">
        <f>IF(Backend!U52="", "", Backend!U52)</f>
        <v>0.41425866</v>
      </c>
      <c r="U25">
        <f>IF(Backend!V52="", "", Backend!V52)</f>
        <v>0.29707204999999998</v>
      </c>
      <c r="V25">
        <f>IF(Backend!W52="", "", Backend!W52)</f>
        <v>0.38252014000000001</v>
      </c>
      <c r="W25">
        <f>IF(Backend!X52="", "", Backend!X52)</f>
        <v>1</v>
      </c>
      <c r="X25">
        <f>IF(Backend!Y52="", "", Backend!Y52)</f>
        <v>0.30672863</v>
      </c>
      <c r="Y25">
        <f>IF(Backend!Z52="", "", Backend!Z52)</f>
        <v>0.20761447999999999</v>
      </c>
      <c r="Z25">
        <f>IF(Backend!AA52="", "", Backend!AA52)</f>
        <v>0.11021904</v>
      </c>
      <c r="AA25">
        <f>IF(Backend!AB52="", "", Backend!AB52)</f>
        <v>0.50782514000000001</v>
      </c>
      <c r="AB25">
        <f>IF(Backend!AC52="", "", Backend!AC52)</f>
        <v>0.41876435000000001</v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AstraZeneca PLC</v>
      </c>
      <c r="B26">
        <f>IF(Backend!C53="", "", Backend!C53)</f>
        <v>0.27704242000000001</v>
      </c>
      <c r="C26">
        <f>IF(Backend!D53="", "", Backend!D53)</f>
        <v>0.28328350000000002</v>
      </c>
      <c r="D26">
        <f>IF(Backend!E53="", "", Backend!E53)</f>
        <v>0.28097388000000001</v>
      </c>
      <c r="E26">
        <f>IF(Backend!F53="", "", Backend!F53)</f>
        <v>0.30272692000000001</v>
      </c>
      <c r="F26">
        <f>IF(Backend!G53="", "", Backend!G53)</f>
        <v>0.2797347</v>
      </c>
      <c r="G26">
        <f>IF(Backend!H53="", "", Backend!H53)</f>
        <v>0.11593184600000001</v>
      </c>
      <c r="H26">
        <f>IF(Backend!I53="", "", Backend!I53)</f>
        <v>0.29109696000000002</v>
      </c>
      <c r="I26">
        <f>IF(Backend!J53="", "", Backend!J53)</f>
        <v>0.23404448</v>
      </c>
      <c r="J26">
        <f>IF(Backend!K53="", "", Backend!K53)</f>
        <v>0.31739062000000001</v>
      </c>
      <c r="K26">
        <f>IF(Backend!L53="", "", Backend!L53)</f>
        <v>0.22418194</v>
      </c>
      <c r="L26">
        <f>IF(Backend!M53="", "", Backend!M53)</f>
        <v>0.28274176000000001</v>
      </c>
      <c r="M26">
        <f>IF(Backend!N53="", "", Backend!N53)</f>
        <v>0.30844526999999999</v>
      </c>
      <c r="N26">
        <f>IF(Backend!O53="", "", Backend!O53)</f>
        <v>0.3011104</v>
      </c>
      <c r="O26">
        <f>IF(Backend!P53="", "", Backend!P53)</f>
        <v>0.36397937000000002</v>
      </c>
      <c r="P26">
        <f>IF(Backend!Q53="", "", Backend!Q53)</f>
        <v>0.28516763000000001</v>
      </c>
      <c r="Q26">
        <f>IF(Backend!R53="", "", Backend!R53)</f>
        <v>0.29451086999999998</v>
      </c>
      <c r="R26">
        <f>IF(Backend!S53="", "", Backend!S53)</f>
        <v>0.23122599999999999</v>
      </c>
      <c r="S26">
        <f>IF(Backend!T53="", "", Backend!T53)</f>
        <v>0.39807009999999998</v>
      </c>
      <c r="T26">
        <f>IF(Backend!U53="", "", Backend!U53)</f>
        <v>0.22816253</v>
      </c>
      <c r="U26">
        <f>IF(Backend!V53="", "", Backend!V53)</f>
        <v>0.5047391</v>
      </c>
      <c r="V26">
        <f>IF(Backend!W53="", "", Backend!W53)</f>
        <v>0.23540214000000001</v>
      </c>
      <c r="W26">
        <f>IF(Backend!X53="", "", Backend!X53)</f>
        <v>0.30672863</v>
      </c>
      <c r="X26">
        <f>IF(Backend!Y53="", "", Backend!Y53)</f>
        <v>1</v>
      </c>
      <c r="Y26">
        <f>IF(Backend!Z53="", "", Backend!Z53)</f>
        <v>0.12690318</v>
      </c>
      <c r="Z26">
        <f>IF(Backend!AA53="", "", Backend!AA53)</f>
        <v>7.4041739999999995E-2</v>
      </c>
      <c r="AA26">
        <f>IF(Backend!AB53="", "", Backend!AB53)</f>
        <v>0.32597935</v>
      </c>
      <c r="AB26">
        <f>IF(Backend!AC53="", "", Backend!AC53)</f>
        <v>0.265708</v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Keyence Corporation</v>
      </c>
      <c r="B27">
        <f>IF(Backend!C54="", "", Backend!C54)</f>
        <v>0.17609833</v>
      </c>
      <c r="C27">
        <f>IF(Backend!D54="", "", Backend!D54)</f>
        <v>0.13011311</v>
      </c>
      <c r="D27">
        <f>IF(Backend!E54="", "", Backend!E54)</f>
        <v>0.19572157000000001</v>
      </c>
      <c r="E27">
        <f>IF(Backend!F54="", "", Backend!F54)</f>
        <v>0.15191178</v>
      </c>
      <c r="F27">
        <f>IF(Backend!G54="", "", Backend!G54)</f>
        <v>0.12062808999999999</v>
      </c>
      <c r="G27">
        <f>IF(Backend!H54="", "", Backend!H54)</f>
        <v>0.16438440000000001</v>
      </c>
      <c r="H27">
        <f>IF(Backend!I54="", "", Backend!I54)</f>
        <v>0.16513655999999999</v>
      </c>
      <c r="I27">
        <f>IF(Backend!J54="", "", Backend!J54)</f>
        <v>0.21124619</v>
      </c>
      <c r="J27">
        <f>IF(Backend!K54="", "", Backend!K54)</f>
        <v>0.13548113000000001</v>
      </c>
      <c r="K27">
        <f>IF(Backend!L54="", "", Backend!L54)</f>
        <v>0.19152753</v>
      </c>
      <c r="L27">
        <f>IF(Backend!M54="", "", Backend!M54)</f>
        <v>0.15332270000000001</v>
      </c>
      <c r="M27">
        <f>IF(Backend!N54="", "", Backend!N54)</f>
        <v>0.1589227</v>
      </c>
      <c r="N27">
        <f>IF(Backend!O54="", "", Backend!O54)</f>
        <v>0.24304737000000001</v>
      </c>
      <c r="O27">
        <f>IF(Backend!P54="", "", Backend!P54)</f>
        <v>0.22569603999999999</v>
      </c>
      <c r="P27">
        <f>IF(Backend!Q54="", "", Backend!Q54)</f>
        <v>0.10976086</v>
      </c>
      <c r="Q27">
        <f>IF(Backend!R54="", "", Backend!R54)</f>
        <v>0.1663039</v>
      </c>
      <c r="R27">
        <f>IF(Backend!S54="", "", Backend!S54)</f>
        <v>0.17528498000000001</v>
      </c>
      <c r="S27">
        <f>IF(Backend!T54="", "", Backend!T54)</f>
        <v>0.17645817999999999</v>
      </c>
      <c r="T27">
        <f>IF(Backend!U54="", "", Backend!U54)</f>
        <v>0.14435138</v>
      </c>
      <c r="U27">
        <f>IF(Backend!V54="", "", Backend!V54)</f>
        <v>0.15638767000000001</v>
      </c>
      <c r="V27">
        <f>IF(Backend!W54="", "", Backend!W54)</f>
        <v>0.13701637</v>
      </c>
      <c r="W27">
        <f>IF(Backend!X54="", "", Backend!X54)</f>
        <v>0.20761447999999999</v>
      </c>
      <c r="X27">
        <f>IF(Backend!Y54="", "", Backend!Y54)</f>
        <v>0.12690318</v>
      </c>
      <c r="Y27">
        <f>IF(Backend!Z54="", "", Backend!Z54)</f>
        <v>1</v>
      </c>
      <c r="Z27">
        <f>IF(Backend!AA54="", "", Backend!AA54)</f>
        <v>0.45410531999999998</v>
      </c>
      <c r="AA27">
        <f>IF(Backend!AB54="", "", Backend!AB54)</f>
        <v>0.22520171</v>
      </c>
      <c r="AB27">
        <f>IF(Backend!AC54="", "", Backend!AC54)</f>
        <v>0.20962397999999999</v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Shimano Inc.</v>
      </c>
      <c r="B28">
        <f>IF(Backend!C55="", "", Backend!C55)</f>
        <v>0.11496507</v>
      </c>
      <c r="C28">
        <f>IF(Backend!D55="", "", Backend!D55)</f>
        <v>7.4890374999999995E-2</v>
      </c>
      <c r="D28">
        <f>IF(Backend!E55="", "", Backend!E55)</f>
        <v>0.14427096</v>
      </c>
      <c r="E28">
        <f>IF(Backend!F55="", "", Backend!F55)</f>
        <v>0.1403527</v>
      </c>
      <c r="F28">
        <f>IF(Backend!G55="", "", Backend!G55)</f>
        <v>4.7267879999999998E-2</v>
      </c>
      <c r="G28">
        <f>IF(Backend!H55="", "", Backend!H55)</f>
        <v>0.11419061599999999</v>
      </c>
      <c r="H28">
        <f>IF(Backend!I55="", "", Backend!I55)</f>
        <v>0.11055987</v>
      </c>
      <c r="I28">
        <f>IF(Backend!J55="", "", Backend!J55)</f>
        <v>0.13039207</v>
      </c>
      <c r="J28">
        <f>IF(Backend!K55="", "", Backend!K55)</f>
        <v>9.4494629999999996E-2</v>
      </c>
      <c r="K28">
        <f>IF(Backend!L55="", "", Backend!L55)</f>
        <v>0.13213987999999999</v>
      </c>
      <c r="L28">
        <f>IF(Backend!M55="", "", Backend!M55)</f>
        <v>0.1169135</v>
      </c>
      <c r="M28">
        <f>IF(Backend!N55="", "", Backend!N55)</f>
        <v>0.1765844</v>
      </c>
      <c r="N28">
        <f>IF(Backend!O55="", "", Backend!O55)</f>
        <v>0.17883798000000001</v>
      </c>
      <c r="O28">
        <f>IF(Backend!P55="", "", Backend!P55)</f>
        <v>0.13415732999999999</v>
      </c>
      <c r="P28">
        <f>IF(Backend!Q55="", "", Backend!Q55)</f>
        <v>3.7719302000000003E-2</v>
      </c>
      <c r="Q28">
        <f>IF(Backend!R55="", "", Backend!R55)</f>
        <v>7.8021884E-2</v>
      </c>
      <c r="R28">
        <f>IF(Backend!S55="", "", Backend!S55)</f>
        <v>0.14146267000000001</v>
      </c>
      <c r="S28">
        <f>IF(Backend!T55="", "", Backend!T55)</f>
        <v>8.4447990000000001E-2</v>
      </c>
      <c r="T28">
        <f>IF(Backend!U55="", "", Backend!U55)</f>
        <v>9.2603854999999999E-2</v>
      </c>
      <c r="U28">
        <f>IF(Backend!V55="", "", Backend!V55)</f>
        <v>0.13363463</v>
      </c>
      <c r="V28">
        <f>IF(Backend!W55="", "", Backend!W55)</f>
        <v>9.4829079999999996E-2</v>
      </c>
      <c r="W28">
        <f>IF(Backend!X55="", "", Backend!X55)</f>
        <v>0.11021904</v>
      </c>
      <c r="X28">
        <f>IF(Backend!Y55="", "", Backend!Y55)</f>
        <v>7.4041739999999995E-2</v>
      </c>
      <c r="Y28">
        <f>IF(Backend!Z55="", "", Backend!Z55)</f>
        <v>0.45410531999999998</v>
      </c>
      <c r="Z28">
        <f>IF(Backend!AA55="", "", Backend!AA55)</f>
        <v>1</v>
      </c>
      <c r="AA28">
        <f>IF(Backend!AB55="", "", Backend!AB55)</f>
        <v>0.19293171000000001</v>
      </c>
      <c r="AB28">
        <f>IF(Backend!AC55="", "", Backend!AC55)</f>
        <v>0.13354327999999999</v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Sika AG</v>
      </c>
      <c r="B29">
        <f>IF(Backend!C56="", "", Backend!C56)</f>
        <v>0.56214520000000001</v>
      </c>
      <c r="C29">
        <f>IF(Backend!D56="", "", Backend!D56)</f>
        <v>0.37696826</v>
      </c>
      <c r="D29">
        <f>IF(Backend!E56="", "", Backend!E56)</f>
        <v>0.56769729999999996</v>
      </c>
      <c r="E29">
        <f>IF(Backend!F56="", "", Backend!F56)</f>
        <v>0.43167373999999997</v>
      </c>
      <c r="F29">
        <f>IF(Backend!G56="", "", Backend!G56)</f>
        <v>0.37046056999999999</v>
      </c>
      <c r="G29">
        <f>IF(Backend!H56="", "", Backend!H56)</f>
        <v>0.16695009</v>
      </c>
      <c r="H29">
        <f>IF(Backend!I56="", "", Backend!I56)</f>
        <v>0.40203559999999999</v>
      </c>
      <c r="I29">
        <f>IF(Backend!J56="", "", Backend!J56)</f>
        <v>0.54998994000000001</v>
      </c>
      <c r="J29">
        <f>IF(Backend!K56="", "", Backend!K56)</f>
        <v>0.41249089999999999</v>
      </c>
      <c r="K29">
        <f>IF(Backend!L56="", "", Backend!L56)</f>
        <v>0.53060037000000004</v>
      </c>
      <c r="L29">
        <f>IF(Backend!M56="", "", Backend!M56)</f>
        <v>0.39897418000000001</v>
      </c>
      <c r="M29">
        <f>IF(Backend!N56="", "", Backend!N56)</f>
        <v>0.40074778</v>
      </c>
      <c r="N29">
        <f>IF(Backend!O56="", "", Backend!O56)</f>
        <v>0.62288069999999995</v>
      </c>
      <c r="O29">
        <f>IF(Backend!P56="", "", Backend!P56)</f>
        <v>0.59341140000000003</v>
      </c>
      <c r="P29">
        <f>IF(Backend!Q56="", "", Backend!Q56)</f>
        <v>0.24063256</v>
      </c>
      <c r="Q29">
        <f>IF(Backend!R56="", "", Backend!R56)</f>
        <v>0.42792076000000001</v>
      </c>
      <c r="R29">
        <f>IF(Backend!S56="", "", Backend!S56)</f>
        <v>0.51505195999999998</v>
      </c>
      <c r="S29">
        <f>IF(Backend!T56="", "", Backend!T56)</f>
        <v>0.41316396</v>
      </c>
      <c r="T29">
        <f>IF(Backend!U56="", "", Backend!U56)</f>
        <v>0.38549879999999997</v>
      </c>
      <c r="U29">
        <f>IF(Backend!V56="", "", Backend!V56)</f>
        <v>0.38165779999999999</v>
      </c>
      <c r="V29">
        <f>IF(Backend!W56="", "", Backend!W56)</f>
        <v>0.41822553000000001</v>
      </c>
      <c r="W29">
        <f>IF(Backend!X56="", "", Backend!X56)</f>
        <v>0.50782514000000001</v>
      </c>
      <c r="X29">
        <f>IF(Backend!Y56="", "", Backend!Y56)</f>
        <v>0.32597935</v>
      </c>
      <c r="Y29">
        <f>IF(Backend!Z56="", "", Backend!Z56)</f>
        <v>0.22520171</v>
      </c>
      <c r="Z29">
        <f>IF(Backend!AA56="", "", Backend!AA56)</f>
        <v>0.19293171000000001</v>
      </c>
      <c r="AA29">
        <f>IF(Backend!AB56="", "", Backend!AB56)</f>
        <v>1</v>
      </c>
      <c r="AB29">
        <f>IF(Backend!AC56="", "", Backend!AC56)</f>
        <v>0.45336103</v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Games Workshop Group PLC</v>
      </c>
      <c r="B30">
        <f>IF(Backend!C57="", "", Backend!C57)</f>
        <v>0.39359632</v>
      </c>
      <c r="C30">
        <f>IF(Backend!D57="", "", Backend!D57)</f>
        <v>0.32327499999999998</v>
      </c>
      <c r="D30">
        <f>IF(Backend!E57="", "", Backend!E57)</f>
        <v>0.47040490000000001</v>
      </c>
      <c r="E30">
        <f>IF(Backend!F57="", "", Backend!F57)</f>
        <v>0.32832067999999998</v>
      </c>
      <c r="F30">
        <f>IF(Backend!G57="", "", Backend!G57)</f>
        <v>0.31573380000000001</v>
      </c>
      <c r="G30">
        <f>IF(Backend!H57="", "", Backend!H57)</f>
        <v>0.12979618000000001</v>
      </c>
      <c r="H30">
        <f>IF(Backend!I57="", "", Backend!I57)</f>
        <v>0.34242161999999998</v>
      </c>
      <c r="I30">
        <f>IF(Backend!J57="", "", Backend!J57)</f>
        <v>0.39456715999999997</v>
      </c>
      <c r="J30">
        <f>IF(Backend!K57="", "", Backend!K57)</f>
        <v>0.34337420000000002</v>
      </c>
      <c r="K30">
        <f>IF(Backend!L57="", "", Backend!L57)</f>
        <v>0.38829276000000001</v>
      </c>
      <c r="L30">
        <f>IF(Backend!M57="", "", Backend!M57)</f>
        <v>0.33986038000000002</v>
      </c>
      <c r="M30">
        <f>IF(Backend!N57="", "", Backend!N57)</f>
        <v>0.30450939999999999</v>
      </c>
      <c r="N30">
        <f>IF(Backend!O57="", "", Backend!O57)</f>
        <v>0.4232764</v>
      </c>
      <c r="O30">
        <f>IF(Backend!P57="", "", Backend!P57)</f>
        <v>0.46325749999999999</v>
      </c>
      <c r="P30">
        <f>IF(Backend!Q57="", "", Backend!Q57)</f>
        <v>0.2398593</v>
      </c>
      <c r="Q30">
        <f>IF(Backend!R57="", "", Backend!R57)</f>
        <v>0.3382772</v>
      </c>
      <c r="R30">
        <f>IF(Backend!S57="", "", Backend!S57)</f>
        <v>0.36999900000000002</v>
      </c>
      <c r="S30">
        <f>IF(Backend!T57="", "", Backend!T57)</f>
        <v>0.33297854999999998</v>
      </c>
      <c r="T30">
        <f>IF(Backend!U57="", "", Backend!U57)</f>
        <v>0.29830897000000001</v>
      </c>
      <c r="U30">
        <f>IF(Backend!V57="", "", Backend!V57)</f>
        <v>0.24734443</v>
      </c>
      <c r="V30">
        <f>IF(Backend!W57="", "", Backend!W57)</f>
        <v>0.35958442000000002</v>
      </c>
      <c r="W30">
        <f>IF(Backend!X57="", "", Backend!X57)</f>
        <v>0.41876435000000001</v>
      </c>
      <c r="X30">
        <f>IF(Backend!Y57="", "", Backend!Y57)</f>
        <v>0.265708</v>
      </c>
      <c r="Y30">
        <f>IF(Backend!Z57="", "", Backend!Z57)</f>
        <v>0.20962397999999999</v>
      </c>
      <c r="Z30">
        <f>IF(Backend!AA57="", "", Backend!AA57)</f>
        <v>0.13354327999999999</v>
      </c>
      <c r="AA30">
        <f>IF(Backend!AB57="", "", Backend!AB57)</f>
        <v>0.45336103</v>
      </c>
      <c r="AB30">
        <f>IF(Backend!AC57="", "", Backend!AC57)</f>
        <v>1</v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/>
      </c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/>
      </c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/>
      </c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19</v>
      </c>
    </row>
    <row r="4" spans="2:13" x14ac:dyDescent="0.25">
      <c r="B4" t="s">
        <v>0</v>
      </c>
    </row>
    <row r="5" spans="2:13" x14ac:dyDescent="0.25">
      <c r="F5" t="str" cm="1">
        <f t="array" ref="F5">_xll.FDSC("-",E5,"PROPER_NAME")</f>
        <v>-</v>
      </c>
      <c r="G5" s="8"/>
      <c r="H5" t="str" cm="1">
        <f t="array" ref="H5">_xll.FDSC("-",G5,"PROPER_NAME")</f>
        <v>-</v>
      </c>
      <c r="I5" s="8"/>
      <c r="J5" t="str" cm="1">
        <f t="array" ref="J5">_xll.FDSC("-",I5,"PROPER_NAME")</f>
        <v>-</v>
      </c>
      <c r="K5" s="8"/>
    </row>
    <row r="6" spans="2:13" x14ac:dyDescent="0.25">
      <c r="C6" s="8" t="s">
        <v>23</v>
      </c>
      <c r="D6" t="str" cm="1">
        <f t="array" ref="D6">_xll.FDSC("-",C6,"PROPER_NAME")</f>
        <v>LVMH Moet Hennessy Louis Vuitton SE</v>
      </c>
      <c r="E6" s="8" t="s">
        <v>35</v>
      </c>
      <c r="F6" t="str" cm="1">
        <f t="array" ref="F6">_xll.FDSC("-",E6,"PROPER_NAME")</f>
        <v>Wolters Kluwer N.V.</v>
      </c>
      <c r="G6" s="8"/>
      <c r="H6" t="str" cm="1">
        <f t="array" ref="H6">_xll.FDSC("-",G6,"PROPER_NAME")</f>
        <v>-</v>
      </c>
      <c r="I6" s="8"/>
      <c r="J6" t="str" cm="1">
        <f t="array" ref="J6">_xll.FDSC("-",I6,"PROPER_NAME")</f>
        <v>-</v>
      </c>
      <c r="K6" s="8"/>
      <c r="M6" s="5"/>
    </row>
    <row r="7" spans="2:13" x14ac:dyDescent="0.25">
      <c r="C7" s="8" t="s">
        <v>11</v>
      </c>
      <c r="D7" t="str" cm="1">
        <f t="array" ref="D7">_xll.FDSC("-",C7,"PROPER_NAME")</f>
        <v>Safran SA</v>
      </c>
      <c r="E7" s="8" t="s">
        <v>21</v>
      </c>
      <c r="F7" t="str" cm="1">
        <f t="array" ref="F7">_xll.FDSC("-",E7,"PROPER_NAME")</f>
        <v>KONE Oyj Class B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</row>
    <row r="8" spans="2:13" x14ac:dyDescent="0.25">
      <c r="C8" s="8" t="s">
        <v>20</v>
      </c>
      <c r="D8" t="str" cm="1">
        <f t="array" ref="D8">_xll.FDSC("-",C8,"PROPER_NAME")</f>
        <v>Howden Joinery Group PLC</v>
      </c>
      <c r="E8" s="8" t="s">
        <v>28</v>
      </c>
      <c r="F8" t="str" cm="1">
        <f t="array" ref="F8">_xll.FDSC("-",E8,"PROPER_NAME")</f>
        <v>Diageo plc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</row>
    <row r="9" spans="2:13" x14ac:dyDescent="0.25">
      <c r="C9" s="8" t="s">
        <v>15</v>
      </c>
      <c r="D9" t="str" cm="1">
        <f t="array" ref="D9">_xll.FDSC("-",C9,"PROPER_NAME")</f>
        <v>Rentokil Initial plc</v>
      </c>
      <c r="E9" s="8" t="s">
        <v>12</v>
      </c>
      <c r="F9" t="str" cm="1">
        <f t="array" ref="F9">_xll.FDSC("-",E9,"PROPER_NAME")</f>
        <v>CTS Eventim AG &amp; Co. KGaA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</row>
    <row r="10" spans="2:13" x14ac:dyDescent="0.25">
      <c r="C10" s="8" t="s">
        <v>29</v>
      </c>
      <c r="D10" t="str" cm="1">
        <f t="array" ref="D10">_xll.FDSC("-",C10,"PROPER_NAME")</f>
        <v>Airbus SE</v>
      </c>
      <c r="E10" s="8" t="s">
        <v>17</v>
      </c>
      <c r="F10" t="str" cm="1">
        <f t="array" ref="F10">_xll.FDSC("-",E10,"PROPER_NAME")</f>
        <v>Roche Holding Ltd Dividend Right Cert.</v>
      </c>
      <c r="G10" s="8"/>
      <c r="I10" s="8"/>
      <c r="J10" t="str" cm="1">
        <f t="array" ref="J10">_xll.FDSC("-",I10,"PROPER_NAME")</f>
        <v>-</v>
      </c>
      <c r="K10" s="8"/>
    </row>
    <row r="11" spans="2:13" x14ac:dyDescent="0.25">
      <c r="C11" s="8" t="s">
        <v>18</v>
      </c>
      <c r="D11" t="str" cm="1">
        <f t="array" ref="D11">_xll.FDSC("-",C11,"PROPER_NAME")</f>
        <v>AIA Group Limited</v>
      </c>
      <c r="E11" s="8" t="s">
        <v>27</v>
      </c>
      <c r="F11" t="str" cm="1">
        <f t="array" ref="F11">_xll.FDSC("-",E11,"PROPER_NAME")</f>
        <v>Universal Music Group N.V.</v>
      </c>
      <c r="G11" s="8"/>
      <c r="I11" s="8"/>
      <c r="J11" t="str" cm="1">
        <f t="array" ref="J11">_xll.FDSC("-",I11,"PROPER_NAME")</f>
        <v>-</v>
      </c>
      <c r="K11" s="8"/>
    </row>
    <row r="12" spans="2:13" x14ac:dyDescent="0.25">
      <c r="C12" s="8" t="s">
        <v>9</v>
      </c>
      <c r="D12" t="str" cm="1">
        <f t="array" ref="D12">_xll.FDSC("-",C12,"PROPER_NAME")</f>
        <v>London Stock Exchange Group plc</v>
      </c>
      <c r="E12" s="8" t="s">
        <v>22</v>
      </c>
      <c r="F12" t="str" cm="1">
        <f t="array" ref="F12">_xll.FDSC("-",E12,"PROPER_NAME")</f>
        <v>SAP SE</v>
      </c>
      <c r="G12" s="8"/>
      <c r="I12" s="8"/>
      <c r="J12" t="str" cm="1">
        <f t="array" ref="J12">_xll.FDSC("-",I12,"PROPER_NAME")</f>
        <v>-</v>
      </c>
      <c r="K12" s="8"/>
    </row>
    <row r="13" spans="2:13" x14ac:dyDescent="0.25">
      <c r="C13" s="8" t="s">
        <v>25</v>
      </c>
      <c r="D13" t="str" cm="1">
        <f t="array" ref="D13">_xll.FDSC("-",C13,"PROPER_NAME")</f>
        <v>ASML Holding NV</v>
      </c>
      <c r="E13" s="8" t="s">
        <v>32</v>
      </c>
      <c r="F13" t="str" cm="1">
        <f t="array" ref="F13">_xll.FDSC("-",E13,"PROPER_NAME")</f>
        <v>AstraZeneca PLC</v>
      </c>
      <c r="G13" s="8"/>
      <c r="I13" s="8"/>
      <c r="J13" t="str" cm="1">
        <f t="array" ref="J13">_xll.FDSC("-",I13,"PROPER_NAME")</f>
        <v>-</v>
      </c>
      <c r="K13" s="8"/>
    </row>
    <row r="14" spans="2:13" x14ac:dyDescent="0.25">
      <c r="C14" s="8" t="s">
        <v>10</v>
      </c>
      <c r="D14" t="str" cm="1">
        <f t="array" ref="D14">_xll.FDSC("-",C14,"PROPER_NAME")</f>
        <v>Deutsche Boerse AG</v>
      </c>
      <c r="E14" s="8" t="s">
        <v>34</v>
      </c>
      <c r="F14" t="str" cm="1">
        <f t="array" ref="F14">_xll.FDSC("-",E14,"PROPER_NAME")</f>
        <v>Keyence Corporation</v>
      </c>
      <c r="G14" s="8"/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31</v>
      </c>
      <c r="D15" t="str" cm="1">
        <f t="array" ref="D15">_xll.FDSC("-",C15,"PROPER_NAME")</f>
        <v>Compagnie Financiere Richemont SA</v>
      </c>
      <c r="E15" s="8" t="s">
        <v>24</v>
      </c>
      <c r="F15" t="str" cm="1">
        <f t="array" ref="F15">_xll.FDSC("-",E15,"PROPER_NAME")</f>
        <v>Shimano Inc.</v>
      </c>
      <c r="G15" s="8"/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26</v>
      </c>
      <c r="D16" t="str" cm="1">
        <f t="array" ref="D16">_xll.FDSC("-",C16,"PROPER_NAME")</f>
        <v>Amadeus IT Group SA Class A</v>
      </c>
      <c r="E16" s="8" t="s">
        <v>36</v>
      </c>
      <c r="F16" t="str" cm="1">
        <f t="array" ref="F16">_xll.FDSC("-",E16,"PROPER_NAME")</f>
        <v>Sika AG</v>
      </c>
      <c r="G16" s="8"/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33</v>
      </c>
      <c r="D17" t="str" cm="1">
        <f t="array" ref="D17">_xll.FDSC("-",C17,"PROPER_NAME")</f>
        <v>ConvaTec Group Plc</v>
      </c>
      <c r="E17" s="8" t="s">
        <v>37</v>
      </c>
      <c r="F17" t="str" cm="1">
        <f t="array" ref="F17">_xll.FDSC("-",E17,"PROPER_NAME")</f>
        <v>Games Workshop Group PLC</v>
      </c>
      <c r="G17" s="8"/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14</v>
      </c>
      <c r="D18" t="str" cm="1">
        <f t="array" ref="D18">_xll.FDSC("-",C18,"PROPER_NAME")</f>
        <v>Atlas Copco AB Class B</v>
      </c>
      <c r="E18" s="8"/>
      <c r="G18" s="8"/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16</v>
      </c>
      <c r="D19" t="str" cm="1">
        <f t="array" ref="D19">_xll.FDSC("-",C19,"PROPER_NAME")</f>
        <v>Experian PLC</v>
      </c>
      <c r="E19" s="8"/>
      <c r="G19" s="8"/>
      <c r="I19" s="8"/>
      <c r="J19" t="str" cm="1">
        <f t="array" ref="J19">_xll.FDSC("-",I19,"PROPER_NAME")</f>
        <v>-</v>
      </c>
    </row>
    <row r="20" spans="1:77" x14ac:dyDescent="0.25">
      <c r="C20" s="8" t="s">
        <v>30</v>
      </c>
      <c r="D20" t="str" cm="1">
        <f t="array" ref="D20">_xll.FDSC("-",C20,"PROPER_NAME")</f>
        <v>Compass Group PLC</v>
      </c>
      <c r="E20" s="8"/>
    </row>
    <row r="21" spans="1:77" x14ac:dyDescent="0.25">
      <c r="C21" s="8"/>
      <c r="D21" t="str" cm="1">
        <f t="array" ref="D21">_xll.FDSC("-",C21,"PROPER_NAME")</f>
        <v>-</v>
      </c>
      <c r="E21" s="14"/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LVMH Moet Hennessy Louis Vuitton SE</v>
      </c>
      <c r="D29" t="str" cm="1">
        <f t="array" ref="D29">_xll.FDS(D30,"FG_COMPANY_NAME")</f>
        <v>Safran SA</v>
      </c>
      <c r="E29" t="str" cm="1">
        <f t="array" ref="E29">_xll.FDS(E30,"FG_COMPANY_NAME")</f>
        <v>Howden Joinery Group PLC</v>
      </c>
      <c r="F29" t="str" cm="1">
        <f t="array" ref="F29">_xll.FDS(F30,"FG_COMPANY_NAME")</f>
        <v>Rentokil Initial plc</v>
      </c>
      <c r="G29" t="str" cm="1">
        <f t="array" ref="G29">_xll.FDS(G30,"FG_COMPANY_NAME")</f>
        <v>Airbus SE</v>
      </c>
      <c r="H29" t="str" cm="1">
        <f t="array" ref="H29">_xll.FDS(H30,"FG_COMPANY_NAME")</f>
        <v>AIA Group Limited</v>
      </c>
      <c r="I29" t="str" cm="1">
        <f t="array" ref="I29">_xll.FDS(I30,"FG_COMPANY_NAME")</f>
        <v>London Stock Exchange Group plc</v>
      </c>
      <c r="J29" t="str" cm="1">
        <f t="array" ref="J29">_xll.FDS(J30,"FG_COMPANY_NAME")</f>
        <v>ASML Holding NV</v>
      </c>
      <c r="K29" t="str" cm="1">
        <f t="array" ref="K29">_xll.FDS(K30,"FG_COMPANY_NAME")</f>
        <v>Deutsche Boerse AG</v>
      </c>
      <c r="L29" t="str" cm="1">
        <f t="array" ref="L29">_xll.FDS(L30,"FG_COMPANY_NAME")</f>
        <v>Compagnie Financiere Richemont SA</v>
      </c>
      <c r="M29" t="str" cm="1">
        <f t="array" ref="M29">_xll.FDS(M30,"FG_COMPANY_NAME")</f>
        <v>Amadeus IT Group SA Class A</v>
      </c>
      <c r="N29" t="str" cm="1">
        <f t="array" ref="N29">_xll.FDS(N30,"FG_COMPANY_NAME")</f>
        <v>ConvaTec Group Plc</v>
      </c>
      <c r="O29" t="str" cm="1">
        <f t="array" ref="O29">_xll.FDS(O30,"FG_COMPANY_NAME")</f>
        <v>Atlas Copco AB Class B</v>
      </c>
      <c r="P29" t="str" cm="1">
        <f t="array" ref="P29">_xll.FDS(P30,"FG_COMPANY_NAME")</f>
        <v>Experian PLC</v>
      </c>
      <c r="Q29" t="str" cm="1">
        <f t="array" ref="Q29">_xll.FDS(Q30,"FG_COMPANY_NAME")</f>
        <v>Compass Group PLC</v>
      </c>
      <c r="R29" t="str" cm="1">
        <f t="array" ref="R29">_xll.FDS(R30,"FG_COMPANY_NAME")</f>
        <v>Wolters Kluwer N.V.</v>
      </c>
      <c r="S29" t="str" cm="1">
        <f t="array" ref="S29">_xll.FDS(S30,"FG_COMPANY_NAME")</f>
        <v>KONE Oyj Class B</v>
      </c>
      <c r="T29" t="str" cm="1">
        <f t="array" ref="T29">_xll.FDS(T30,"FG_COMPANY_NAME")</f>
        <v>Diageo plc</v>
      </c>
      <c r="U29" t="str" cm="1">
        <f t="array" ref="U29">_xll.FDS(U30,"FG_COMPANY_NAME")</f>
        <v>CTS Eventim AG &amp; Co. KGaA</v>
      </c>
      <c r="V29" t="str" cm="1">
        <f t="array" ref="V29">_xll.FDS(V30,"FG_COMPANY_NAME")</f>
        <v>Roche Holding Ltd Dividend Right Cert.</v>
      </c>
      <c r="W29" t="str" cm="1">
        <f t="array" ref="W29">_xll.FDS(W30,"FG_COMPANY_NAME")</f>
        <v>Universal Music Group N.V.</v>
      </c>
      <c r="X29" t="str" cm="1">
        <f t="array" ref="X29">_xll.FDS(X30,"FG_COMPANY_NAME")</f>
        <v>SAP SE</v>
      </c>
      <c r="Y29" t="str" cm="1">
        <f t="array" ref="Y29">_xll.FDS(Y30,"FG_COMPANY_NAME")</f>
        <v>AstraZeneca PLC</v>
      </c>
      <c r="Z29" t="str" cm="1">
        <f t="array" ref="Z29">_xll.FDS(Z30,"FG_COMPANY_NAME")</f>
        <v>Keyence Corporation</v>
      </c>
      <c r="AA29" t="str" cm="1">
        <f t="array" ref="AA29">_xll.FDS(AA30,"FG_COMPANY_NAME")</f>
        <v>Shimano Inc.</v>
      </c>
      <c r="AB29" t="str" cm="1">
        <f t="array" ref="AB29">_xll.FDS(AB30,"FG_COMPANY_NAME")</f>
        <v>Sika AG</v>
      </c>
      <c r="AC29" t="str" cm="1">
        <f t="array" ref="AC29">_xll.FDS(AC30,"FG_COMPANY_NAME")</f>
        <v>Games Workshop Group PLC</v>
      </c>
    </row>
    <row r="30" spans="1:77" ht="15" customHeight="1" x14ac:dyDescent="0.25">
      <c r="C30" s="3" t="str" cm="1">
        <f t="array" ref="C30:AC30">_xll.FDSR(V27,"IDS")</f>
        <v>MC-FR</v>
      </c>
      <c r="D30" s="6" t="str">
        <v>SAF-FR</v>
      </c>
      <c r="E30" s="6" t="str">
        <v>HWDN-GB</v>
      </c>
      <c r="F30" s="6" t="str">
        <v>RTO-GB</v>
      </c>
      <c r="G30" s="6" t="str">
        <v>AIR-FR</v>
      </c>
      <c r="H30" s="6" t="str">
        <v>1299-HK</v>
      </c>
      <c r="I30" s="6" t="str">
        <v>LSEG-GB</v>
      </c>
      <c r="J30" s="6" t="str">
        <v>ASML-NL</v>
      </c>
      <c r="K30" s="6" t="str">
        <v>DB1-DE</v>
      </c>
      <c r="L30" s="6" t="str">
        <v>CFR-CH</v>
      </c>
      <c r="M30" s="6" t="str">
        <v>AMS-ES</v>
      </c>
      <c r="N30" s="6" t="str">
        <v>CTEC-GB</v>
      </c>
      <c r="O30" s="6" t="str">
        <v>ATCO.B-SE</v>
      </c>
      <c r="P30" s="6" t="str">
        <v>EXPN-GB</v>
      </c>
      <c r="Q30" s="4" t="str">
        <v>CPG-GB</v>
      </c>
      <c r="R30" s="4" t="str">
        <v>WKL-NL</v>
      </c>
      <c r="S30" s="4" t="str">
        <v>KNEBV-FI</v>
      </c>
      <c r="T30" s="4" t="str">
        <v>DGE-GB</v>
      </c>
      <c r="U30" s="4" t="str">
        <v>EVD-DE</v>
      </c>
      <c r="V30" s="4" t="str">
        <v>ROG-CH</v>
      </c>
      <c r="W30" s="4" t="str">
        <v>UMG-NL</v>
      </c>
      <c r="X30" s="4" t="str">
        <v>SAP-DE</v>
      </c>
      <c r="Y30" s="4" t="str">
        <v>AZN-GB</v>
      </c>
      <c r="Z30" s="4" t="str">
        <v>6861-JP</v>
      </c>
      <c r="AA30" s="4" t="str">
        <v>7309-JP</v>
      </c>
      <c r="AB30" s="4" t="str">
        <v>SIKA-CH</v>
      </c>
      <c r="AC30" s="4" t="str">
        <v>GAW-GB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LVMH Moet Hennessy Louis Vuitton SE</v>
      </c>
      <c r="B31" s="4" t="str" cm="1">
        <f t="array" ref="B31:B57">_xll.FDSB(V23,"IDS")</f>
        <v>MC-FR</v>
      </c>
      <c r="C31" s="2" cm="1">
        <f t="array" ref="C31:AC57">_xll.FDSB("DUMMY","CORREL_MATRIX(CORRELMATRIX)")</f>
        <v>1</v>
      </c>
      <c r="D31" s="2">
        <v>0.50978500000000004</v>
      </c>
      <c r="E31" s="2">
        <v>0.46024589999999999</v>
      </c>
      <c r="F31" s="2">
        <v>0.35414377000000002</v>
      </c>
      <c r="G31" s="2">
        <v>0.50146394999999999</v>
      </c>
      <c r="H31" s="2">
        <v>0.20032638</v>
      </c>
      <c r="I31" s="2">
        <v>0.29701014999999997</v>
      </c>
      <c r="J31" s="2">
        <v>0.53056926000000004</v>
      </c>
      <c r="K31" s="2">
        <v>0.36655866999999998</v>
      </c>
      <c r="L31" s="2">
        <v>0.76646060000000005</v>
      </c>
      <c r="M31" s="2">
        <v>0.50451356000000003</v>
      </c>
      <c r="N31" s="2">
        <v>0.32303026000000001</v>
      </c>
      <c r="O31" s="2">
        <v>0.58369355999999994</v>
      </c>
      <c r="P31" s="2">
        <v>0.48282659999999999</v>
      </c>
      <c r="Q31" s="2">
        <v>0.38709512000000001</v>
      </c>
      <c r="R31" s="2">
        <v>0.32097962000000002</v>
      </c>
      <c r="S31" s="2">
        <v>0.47470509999999999</v>
      </c>
      <c r="T31" s="2">
        <v>0.54932449999999999</v>
      </c>
      <c r="U31" s="2">
        <v>0.43059352000000001</v>
      </c>
      <c r="V31" s="2">
        <v>0.27800320000000001</v>
      </c>
      <c r="W31" s="2">
        <v>0.38778659999999998</v>
      </c>
      <c r="X31" s="2">
        <v>0.50534385000000004</v>
      </c>
      <c r="Y31" s="2">
        <v>0.27704242000000001</v>
      </c>
      <c r="Z31" s="2">
        <v>0.17609833</v>
      </c>
      <c r="AA31" s="2">
        <v>0.11496507</v>
      </c>
      <c r="AB31" s="2">
        <v>0.56214520000000001</v>
      </c>
      <c r="AC31" s="2">
        <v>0.39359632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Safran SA</v>
      </c>
      <c r="B32" s="4" t="str">
        <v>SAF-FR</v>
      </c>
      <c r="C32" s="2">
        <v>0.50978500000000004</v>
      </c>
      <c r="D32" s="2">
        <v>1</v>
      </c>
      <c r="E32" s="2">
        <v>0.4366969</v>
      </c>
      <c r="F32" s="2">
        <v>0.28363976000000002</v>
      </c>
      <c r="G32" s="2">
        <v>0.81209355999999999</v>
      </c>
      <c r="H32" s="2">
        <v>0.14178161</v>
      </c>
      <c r="I32" s="2">
        <v>0.28440186000000001</v>
      </c>
      <c r="J32" s="2">
        <v>0.43833765000000002</v>
      </c>
      <c r="K32" s="2">
        <v>0.39820796000000003</v>
      </c>
      <c r="L32" s="2">
        <v>0.47810703999999998</v>
      </c>
      <c r="M32" s="2">
        <v>0.64025949999999998</v>
      </c>
      <c r="N32" s="2">
        <v>0.328349</v>
      </c>
      <c r="O32" s="2">
        <v>0.49826986000000001</v>
      </c>
      <c r="P32" s="2">
        <v>0.42458129999999999</v>
      </c>
      <c r="Q32" s="2">
        <v>0.58433729999999995</v>
      </c>
      <c r="R32" s="2">
        <v>0.2797521</v>
      </c>
      <c r="S32" s="2">
        <v>0.37827276999999998</v>
      </c>
      <c r="T32" s="2">
        <v>0.40557703000000001</v>
      </c>
      <c r="U32" s="2">
        <v>0.50677749999999999</v>
      </c>
      <c r="V32" s="2">
        <v>0.21131512999999999</v>
      </c>
      <c r="W32" s="2">
        <v>0.37622050000000001</v>
      </c>
      <c r="X32" s="2">
        <v>0.50367843999999995</v>
      </c>
      <c r="Y32" s="2">
        <v>0.28328350000000002</v>
      </c>
      <c r="Z32" s="2">
        <v>0.13011311</v>
      </c>
      <c r="AA32" s="2">
        <v>7.4890374999999995E-2</v>
      </c>
      <c r="AB32" s="2">
        <v>0.37696826</v>
      </c>
      <c r="AC32" s="2">
        <v>0.32327499999999998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Howden Joinery Group PLC</v>
      </c>
      <c r="B33" s="4" t="str">
        <v>HWDN-GB</v>
      </c>
      <c r="C33" s="2">
        <v>0.46024589999999999</v>
      </c>
      <c r="D33" s="2">
        <v>0.4366969</v>
      </c>
      <c r="E33" s="2">
        <v>1</v>
      </c>
      <c r="F33" s="2">
        <v>0.41833362000000002</v>
      </c>
      <c r="G33" s="2">
        <v>0.44105731999999997</v>
      </c>
      <c r="H33" s="2">
        <v>0.124057695</v>
      </c>
      <c r="I33" s="2">
        <v>0.35634407000000001</v>
      </c>
      <c r="J33" s="2">
        <v>0.45195284000000002</v>
      </c>
      <c r="K33" s="2">
        <v>0.36392239999999998</v>
      </c>
      <c r="L33" s="2">
        <v>0.42637396</v>
      </c>
      <c r="M33" s="2">
        <v>0.43459251999999998</v>
      </c>
      <c r="N33" s="2">
        <v>0.42780367000000002</v>
      </c>
      <c r="O33" s="2">
        <v>0.51445099999999999</v>
      </c>
      <c r="P33" s="2">
        <v>0.55544530000000003</v>
      </c>
      <c r="Q33" s="2">
        <v>0.36071320000000001</v>
      </c>
      <c r="R33" s="2">
        <v>0.33575263999999999</v>
      </c>
      <c r="S33" s="2">
        <v>0.41832206</v>
      </c>
      <c r="T33" s="2">
        <v>0.42626514999999998</v>
      </c>
      <c r="U33" s="2">
        <v>0.40277733999999998</v>
      </c>
      <c r="V33" s="2">
        <v>0.25325340000000002</v>
      </c>
      <c r="W33" s="2">
        <v>0.43256503000000002</v>
      </c>
      <c r="X33" s="2">
        <v>0.47731137000000001</v>
      </c>
      <c r="Y33" s="2">
        <v>0.28097388000000001</v>
      </c>
      <c r="Z33" s="2">
        <v>0.19572157000000001</v>
      </c>
      <c r="AA33" s="2">
        <v>0.14427096</v>
      </c>
      <c r="AB33" s="2">
        <v>0.56769729999999996</v>
      </c>
      <c r="AC33" s="2">
        <v>0.47040490000000001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Rentokil Initial plc</v>
      </c>
      <c r="B34" s="4" t="str">
        <v>RTO-GB</v>
      </c>
      <c r="C34" s="2">
        <v>0.35414377000000002</v>
      </c>
      <c r="D34" s="2">
        <v>0.28363976000000002</v>
      </c>
      <c r="E34" s="2">
        <v>0.41833362000000002</v>
      </c>
      <c r="F34" s="2">
        <v>1</v>
      </c>
      <c r="G34" s="2">
        <v>0.26874675999999997</v>
      </c>
      <c r="H34" s="2">
        <v>9.4398590000000004E-2</v>
      </c>
      <c r="I34" s="2">
        <v>0.31271100000000002</v>
      </c>
      <c r="J34" s="2">
        <v>0.31843558</v>
      </c>
      <c r="K34" s="2">
        <v>0.37145242000000001</v>
      </c>
      <c r="L34" s="2">
        <v>0.29752842000000002</v>
      </c>
      <c r="M34" s="2">
        <v>0.28641414999999998</v>
      </c>
      <c r="N34" s="2">
        <v>0.32169734999999999</v>
      </c>
      <c r="O34" s="2">
        <v>0.38952658000000001</v>
      </c>
      <c r="P34" s="2">
        <v>0.52231896</v>
      </c>
      <c r="Q34" s="2">
        <v>0.26022479999999998</v>
      </c>
      <c r="R34" s="2">
        <v>0.397644</v>
      </c>
      <c r="S34" s="2">
        <v>0.30652770000000001</v>
      </c>
      <c r="T34" s="2">
        <v>0.33998936000000002</v>
      </c>
      <c r="U34" s="2">
        <v>0.26178279999999998</v>
      </c>
      <c r="V34" s="2">
        <v>0.29526287000000001</v>
      </c>
      <c r="W34" s="2">
        <v>0.29067939999999998</v>
      </c>
      <c r="X34" s="2">
        <v>0.35065466000000001</v>
      </c>
      <c r="Y34" s="2">
        <v>0.30272692000000001</v>
      </c>
      <c r="Z34" s="2">
        <v>0.15191178</v>
      </c>
      <c r="AA34" s="2">
        <v>0.1403527</v>
      </c>
      <c r="AB34" s="2">
        <v>0.43167373999999997</v>
      </c>
      <c r="AC34" s="2">
        <v>0.32832067999999998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Airbus SE</v>
      </c>
      <c r="B35" s="4" t="str">
        <v>AIR-FR</v>
      </c>
      <c r="C35" s="2">
        <v>0.50146394999999999</v>
      </c>
      <c r="D35" s="2">
        <v>0.81209355999999999</v>
      </c>
      <c r="E35" s="2">
        <v>0.44105731999999997</v>
      </c>
      <c r="F35" s="2">
        <v>0.26874675999999997</v>
      </c>
      <c r="G35" s="2">
        <v>1</v>
      </c>
      <c r="H35" s="2">
        <v>0.15546372999999999</v>
      </c>
      <c r="I35" s="2">
        <v>0.26896789999999998</v>
      </c>
      <c r="J35" s="2">
        <v>0.43683021999999999</v>
      </c>
      <c r="K35" s="2">
        <v>0.3527767</v>
      </c>
      <c r="L35" s="2">
        <v>0.46321933999999998</v>
      </c>
      <c r="M35" s="2">
        <v>0.63273500000000005</v>
      </c>
      <c r="N35" s="2">
        <v>0.31703439999999999</v>
      </c>
      <c r="O35" s="2">
        <v>0.49453464000000003</v>
      </c>
      <c r="P35" s="2">
        <v>0.38881402999999998</v>
      </c>
      <c r="Q35" s="2">
        <v>0.58185200000000004</v>
      </c>
      <c r="R35" s="2">
        <v>0.23295895999999999</v>
      </c>
      <c r="S35" s="2">
        <v>0.37678620000000002</v>
      </c>
      <c r="T35" s="2">
        <v>0.43578514000000002</v>
      </c>
      <c r="U35" s="2">
        <v>0.52094649999999998</v>
      </c>
      <c r="V35" s="2">
        <v>0.21525422999999999</v>
      </c>
      <c r="W35" s="2">
        <v>0.36126377999999998</v>
      </c>
      <c r="X35" s="2">
        <v>0.48117845999999997</v>
      </c>
      <c r="Y35" s="2">
        <v>0.2797347</v>
      </c>
      <c r="Z35" s="2">
        <v>0.12062808999999999</v>
      </c>
      <c r="AA35" s="2">
        <v>4.7267879999999998E-2</v>
      </c>
      <c r="AB35" s="2">
        <v>0.37046056999999999</v>
      </c>
      <c r="AC35" s="2">
        <v>0.31573380000000001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0.20032638</v>
      </c>
      <c r="D36" s="2">
        <v>0.14178161</v>
      </c>
      <c r="E36" s="2">
        <v>0.124057695</v>
      </c>
      <c r="F36" s="2">
        <v>9.4398590000000004E-2</v>
      </c>
      <c r="G36" s="2">
        <v>0.15546372999999999</v>
      </c>
      <c r="H36" s="2">
        <v>1</v>
      </c>
      <c r="I36" s="2">
        <v>0.12050735999999999</v>
      </c>
      <c r="J36" s="2">
        <v>0.16463646000000001</v>
      </c>
      <c r="K36" s="2">
        <v>8.6693359999999997E-2</v>
      </c>
      <c r="L36" s="2">
        <v>0.22118125999999999</v>
      </c>
      <c r="M36" s="2">
        <v>0.15302518000000001</v>
      </c>
      <c r="N36" s="2">
        <v>7.1850239999999996E-2</v>
      </c>
      <c r="O36" s="2">
        <v>0.16275034999999999</v>
      </c>
      <c r="P36" s="2">
        <v>0.12665023</v>
      </c>
      <c r="Q36" s="2">
        <v>0.12492135</v>
      </c>
      <c r="R36" s="2">
        <v>2.2876877E-2</v>
      </c>
      <c r="S36" s="2">
        <v>0.24042521</v>
      </c>
      <c r="T36" s="2">
        <v>0.18725948000000001</v>
      </c>
      <c r="U36" s="2">
        <v>0.12958428</v>
      </c>
      <c r="V36" s="2">
        <v>7.5355370000000005E-2</v>
      </c>
      <c r="W36" s="2">
        <v>0.10484881</v>
      </c>
      <c r="X36" s="2">
        <v>0.12533842000000001</v>
      </c>
      <c r="Y36" s="2">
        <v>0.11593184600000001</v>
      </c>
      <c r="Z36" s="2">
        <v>0.16438440000000001</v>
      </c>
      <c r="AA36" s="2">
        <v>0.11419061599999999</v>
      </c>
      <c r="AB36" s="2">
        <v>0.16695009</v>
      </c>
      <c r="AC36" s="2">
        <v>0.12979618000000001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London Stock Exchange Group plc</v>
      </c>
      <c r="B37" s="4" t="str">
        <v>LSEG-GB</v>
      </c>
      <c r="C37" s="2">
        <v>0.29701014999999997</v>
      </c>
      <c r="D37" s="2">
        <v>0.28440186000000001</v>
      </c>
      <c r="E37" s="2">
        <v>0.35634407000000001</v>
      </c>
      <c r="F37" s="2">
        <v>0.31271100000000002</v>
      </c>
      <c r="G37" s="2">
        <v>0.26896789999999998</v>
      </c>
      <c r="H37" s="2">
        <v>0.12050735999999999</v>
      </c>
      <c r="I37" s="2">
        <v>1</v>
      </c>
      <c r="J37" s="2">
        <v>0.32542145</v>
      </c>
      <c r="K37" s="2">
        <v>0.54103785999999998</v>
      </c>
      <c r="L37" s="2">
        <v>0.3068959</v>
      </c>
      <c r="M37" s="2">
        <v>0.31675497000000002</v>
      </c>
      <c r="N37" s="2">
        <v>0.24400179999999999</v>
      </c>
      <c r="O37" s="2">
        <v>0.35244115999999998</v>
      </c>
      <c r="P37" s="2">
        <v>0.45928076000000001</v>
      </c>
      <c r="Q37" s="2">
        <v>0.29346314000000001</v>
      </c>
      <c r="R37" s="2">
        <v>0.36392682999999998</v>
      </c>
      <c r="S37" s="2">
        <v>0.30407104000000001</v>
      </c>
      <c r="T37" s="2">
        <v>0.30557325000000002</v>
      </c>
      <c r="U37" s="2">
        <v>0.2795783</v>
      </c>
      <c r="V37" s="2">
        <v>0.29977077000000002</v>
      </c>
      <c r="W37" s="2">
        <v>0.26917692999999998</v>
      </c>
      <c r="X37" s="2">
        <v>0.39711123999999998</v>
      </c>
      <c r="Y37" s="2">
        <v>0.29109696000000002</v>
      </c>
      <c r="Z37" s="2">
        <v>0.16513655999999999</v>
      </c>
      <c r="AA37" s="2">
        <v>0.11055987</v>
      </c>
      <c r="AB37" s="2">
        <v>0.40203559999999999</v>
      </c>
      <c r="AC37" s="2">
        <v>0.34242161999999998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ASML Holding NV</v>
      </c>
      <c r="B38" s="4" t="str">
        <v>ASML-NL</v>
      </c>
      <c r="C38" s="2">
        <v>0.53056926000000004</v>
      </c>
      <c r="D38" s="2">
        <v>0.43833765000000002</v>
      </c>
      <c r="E38" s="2">
        <v>0.45195284000000002</v>
      </c>
      <c r="F38" s="2">
        <v>0.31843558</v>
      </c>
      <c r="G38" s="2">
        <v>0.43683021999999999</v>
      </c>
      <c r="H38" s="2">
        <v>0.16463646000000001</v>
      </c>
      <c r="I38" s="2">
        <v>0.32542145</v>
      </c>
      <c r="J38" s="2">
        <v>1</v>
      </c>
      <c r="K38" s="2">
        <v>0.34363586000000002</v>
      </c>
      <c r="L38" s="2">
        <v>0.52473939999999997</v>
      </c>
      <c r="M38" s="2">
        <v>0.43283244999999998</v>
      </c>
      <c r="N38" s="2">
        <v>0.30329758000000001</v>
      </c>
      <c r="O38" s="2">
        <v>0.63254297000000004</v>
      </c>
      <c r="P38" s="2">
        <v>0.5031371</v>
      </c>
      <c r="Q38" s="2">
        <v>0.29678446000000003</v>
      </c>
      <c r="R38" s="2">
        <v>0.37211937</v>
      </c>
      <c r="S38" s="2">
        <v>0.41507824999999998</v>
      </c>
      <c r="T38" s="2">
        <v>0.32630002000000002</v>
      </c>
      <c r="U38" s="2">
        <v>0.42182392000000002</v>
      </c>
      <c r="V38" s="2">
        <v>0.19476901999999999</v>
      </c>
      <c r="W38" s="2">
        <v>0.38731919999999997</v>
      </c>
      <c r="X38" s="2">
        <v>0.59163449999999995</v>
      </c>
      <c r="Y38" s="2">
        <v>0.23404448</v>
      </c>
      <c r="Z38" s="2">
        <v>0.21124619</v>
      </c>
      <c r="AA38" s="2">
        <v>0.13039207</v>
      </c>
      <c r="AB38" s="2">
        <v>0.54998994000000001</v>
      </c>
      <c r="AC38" s="2">
        <v>0.39456715999999997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0.36655866999999998</v>
      </c>
      <c r="D39" s="2">
        <v>0.39820796000000003</v>
      </c>
      <c r="E39" s="2">
        <v>0.36392239999999998</v>
      </c>
      <c r="F39" s="2">
        <v>0.37145242000000001</v>
      </c>
      <c r="G39" s="2">
        <v>0.3527767</v>
      </c>
      <c r="H39" s="2">
        <v>8.6693359999999997E-2</v>
      </c>
      <c r="I39" s="2">
        <v>0.54103785999999998</v>
      </c>
      <c r="J39" s="2">
        <v>0.34363586000000002</v>
      </c>
      <c r="K39" s="2">
        <v>1</v>
      </c>
      <c r="L39" s="2">
        <v>0.32550417999999998</v>
      </c>
      <c r="M39" s="2">
        <v>0.40904063000000002</v>
      </c>
      <c r="N39" s="2">
        <v>0.28969373999999998</v>
      </c>
      <c r="O39" s="2">
        <v>0.38777850000000003</v>
      </c>
      <c r="P39" s="2">
        <v>0.44998568</v>
      </c>
      <c r="Q39" s="2">
        <v>0.33842778000000001</v>
      </c>
      <c r="R39" s="2">
        <v>0.44704991999999999</v>
      </c>
      <c r="S39" s="2">
        <v>0.39773642999999997</v>
      </c>
      <c r="T39" s="2">
        <v>0.36486942</v>
      </c>
      <c r="U39" s="2">
        <v>0.36710357999999998</v>
      </c>
      <c r="V39" s="2">
        <v>0.34489009999999998</v>
      </c>
      <c r="W39" s="2">
        <v>0.36241108</v>
      </c>
      <c r="X39" s="2">
        <v>0.45079385999999999</v>
      </c>
      <c r="Y39" s="2">
        <v>0.31739062000000001</v>
      </c>
      <c r="Z39" s="2">
        <v>0.13548113000000001</v>
      </c>
      <c r="AA39" s="2">
        <v>9.4494629999999996E-2</v>
      </c>
      <c r="AB39" s="2">
        <v>0.41249089999999999</v>
      </c>
      <c r="AC39" s="2">
        <v>0.34337420000000002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Compagnie Financiere Richemont SA</v>
      </c>
      <c r="B40" s="4" t="str">
        <v>CFR-CH</v>
      </c>
      <c r="C40" s="2">
        <v>0.76646060000000005</v>
      </c>
      <c r="D40" s="2">
        <v>0.47810703999999998</v>
      </c>
      <c r="E40" s="2">
        <v>0.42637396</v>
      </c>
      <c r="F40" s="2">
        <v>0.29752842000000002</v>
      </c>
      <c r="G40" s="2">
        <v>0.46321933999999998</v>
      </c>
      <c r="H40" s="2">
        <v>0.22118125999999999</v>
      </c>
      <c r="I40" s="2">
        <v>0.3068959</v>
      </c>
      <c r="J40" s="2">
        <v>0.52473939999999997</v>
      </c>
      <c r="K40" s="2">
        <v>0.32550417999999998</v>
      </c>
      <c r="L40" s="2">
        <v>1</v>
      </c>
      <c r="M40" s="2">
        <v>0.46330985000000002</v>
      </c>
      <c r="N40" s="2">
        <v>0.29311120000000002</v>
      </c>
      <c r="O40" s="2">
        <v>0.55653554000000005</v>
      </c>
      <c r="P40" s="2">
        <v>0.42909989999999998</v>
      </c>
      <c r="Q40" s="2">
        <v>0.36307546000000002</v>
      </c>
      <c r="R40" s="2">
        <v>0.27884924</v>
      </c>
      <c r="S40" s="2">
        <v>0.43800527</v>
      </c>
      <c r="T40" s="2">
        <v>0.43368435</v>
      </c>
      <c r="U40" s="2">
        <v>0.41736825999999999</v>
      </c>
      <c r="V40" s="2">
        <v>0.26481747999999999</v>
      </c>
      <c r="W40" s="2">
        <v>0.37554145</v>
      </c>
      <c r="X40" s="2">
        <v>0.44417307</v>
      </c>
      <c r="Y40" s="2">
        <v>0.22418194</v>
      </c>
      <c r="Z40" s="2">
        <v>0.19152753</v>
      </c>
      <c r="AA40" s="2">
        <v>0.13213987999999999</v>
      </c>
      <c r="AB40" s="2">
        <v>0.53060037000000004</v>
      </c>
      <c r="AC40" s="2">
        <v>0.38829276000000001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Amadeus IT Group SA Class A</v>
      </c>
      <c r="B41" s="4" t="str">
        <v>AMS-ES</v>
      </c>
      <c r="C41" s="2">
        <v>0.50451356000000003</v>
      </c>
      <c r="D41" s="2">
        <v>0.64025949999999998</v>
      </c>
      <c r="E41" s="2">
        <v>0.43459251999999998</v>
      </c>
      <c r="F41" s="2">
        <v>0.28641414999999998</v>
      </c>
      <c r="G41" s="2">
        <v>0.63273500000000005</v>
      </c>
      <c r="H41" s="2">
        <v>0.15302518000000001</v>
      </c>
      <c r="I41" s="2">
        <v>0.31675497000000002</v>
      </c>
      <c r="J41" s="2">
        <v>0.43283244999999998</v>
      </c>
      <c r="K41" s="2">
        <v>0.40904063000000002</v>
      </c>
      <c r="L41" s="2">
        <v>0.46330985000000002</v>
      </c>
      <c r="M41" s="2">
        <v>1</v>
      </c>
      <c r="N41" s="2">
        <v>0.35108724000000002</v>
      </c>
      <c r="O41" s="2">
        <v>0.45254393999999998</v>
      </c>
      <c r="P41" s="2">
        <v>0.41697647999999998</v>
      </c>
      <c r="Q41" s="2">
        <v>0.57988702999999997</v>
      </c>
      <c r="R41" s="2">
        <v>0.27429333</v>
      </c>
      <c r="S41" s="2">
        <v>0.36200237000000002</v>
      </c>
      <c r="T41" s="2">
        <v>0.42832384000000001</v>
      </c>
      <c r="U41" s="2">
        <v>0.51570344000000001</v>
      </c>
      <c r="V41" s="2">
        <v>0.23350945000000001</v>
      </c>
      <c r="W41" s="2">
        <v>0.38493509999999997</v>
      </c>
      <c r="X41" s="2">
        <v>0.48073824999999998</v>
      </c>
      <c r="Y41" s="2">
        <v>0.28274176000000001</v>
      </c>
      <c r="Z41" s="2">
        <v>0.15332270000000001</v>
      </c>
      <c r="AA41" s="2">
        <v>0.1169135</v>
      </c>
      <c r="AB41" s="2">
        <v>0.39897418000000001</v>
      </c>
      <c r="AC41" s="2">
        <v>0.33986038000000002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ConvaTec Group Plc</v>
      </c>
      <c r="B42" s="4" t="str">
        <v>CTEC-GB</v>
      </c>
      <c r="C42" s="2">
        <v>0.32303026000000001</v>
      </c>
      <c r="D42" s="2">
        <v>0.328349</v>
      </c>
      <c r="E42" s="2">
        <v>0.42780367000000002</v>
      </c>
      <c r="F42" s="2">
        <v>0.32169734999999999</v>
      </c>
      <c r="G42" s="2">
        <v>0.31703439999999999</v>
      </c>
      <c r="H42" s="2">
        <v>7.1850239999999996E-2</v>
      </c>
      <c r="I42" s="2">
        <v>0.24400179999999999</v>
      </c>
      <c r="J42" s="2">
        <v>0.30329758000000001</v>
      </c>
      <c r="K42" s="2">
        <v>0.28969373999999998</v>
      </c>
      <c r="L42" s="2">
        <v>0.29311120000000002</v>
      </c>
      <c r="M42" s="2">
        <v>0.35108724000000002</v>
      </c>
      <c r="N42" s="2">
        <v>1</v>
      </c>
      <c r="O42" s="2">
        <v>0.36406094</v>
      </c>
      <c r="P42" s="2">
        <v>0.40664800000000001</v>
      </c>
      <c r="Q42" s="2">
        <v>0.31228936000000002</v>
      </c>
      <c r="R42" s="2">
        <v>0.27964066999999998</v>
      </c>
      <c r="S42" s="2">
        <v>0.31934362999999999</v>
      </c>
      <c r="T42" s="2">
        <v>0.3968525</v>
      </c>
      <c r="U42" s="2">
        <v>0.28881164999999998</v>
      </c>
      <c r="V42" s="2">
        <v>0.25767145000000002</v>
      </c>
      <c r="W42" s="2">
        <v>0.27788678</v>
      </c>
      <c r="X42" s="2">
        <v>0.35716373000000001</v>
      </c>
      <c r="Y42" s="2">
        <v>0.30844526999999999</v>
      </c>
      <c r="Z42" s="2">
        <v>0.1589227</v>
      </c>
      <c r="AA42" s="2">
        <v>0.1765844</v>
      </c>
      <c r="AB42" s="2">
        <v>0.40074778</v>
      </c>
      <c r="AC42" s="2">
        <v>0.30450939999999999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Atlas Copco AB Class B</v>
      </c>
      <c r="B43" s="4" t="str">
        <v>ATCO.B-SE</v>
      </c>
      <c r="C43" s="2">
        <v>0.58369355999999994</v>
      </c>
      <c r="D43" s="2">
        <v>0.49826986000000001</v>
      </c>
      <c r="E43" s="2">
        <v>0.51445099999999999</v>
      </c>
      <c r="F43" s="2">
        <v>0.38952658000000001</v>
      </c>
      <c r="G43" s="2">
        <v>0.49453464000000003</v>
      </c>
      <c r="H43" s="2">
        <v>0.16275034999999999</v>
      </c>
      <c r="I43" s="2">
        <v>0.35244115999999998</v>
      </c>
      <c r="J43" s="2">
        <v>0.63254297000000004</v>
      </c>
      <c r="K43" s="2">
        <v>0.38777850000000003</v>
      </c>
      <c r="L43" s="2">
        <v>0.55653554000000005</v>
      </c>
      <c r="M43" s="2">
        <v>0.45254393999999998</v>
      </c>
      <c r="N43" s="2">
        <v>0.36406094</v>
      </c>
      <c r="O43" s="2">
        <v>1</v>
      </c>
      <c r="P43" s="2">
        <v>0.57328904000000003</v>
      </c>
      <c r="Q43" s="2">
        <v>0.35030505000000001</v>
      </c>
      <c r="R43" s="2">
        <v>0.39800245000000001</v>
      </c>
      <c r="S43" s="2">
        <v>0.56843655999999998</v>
      </c>
      <c r="T43" s="2">
        <v>0.41556883</v>
      </c>
      <c r="U43" s="2">
        <v>0.44539519999999999</v>
      </c>
      <c r="V43" s="2">
        <v>0.27645283999999998</v>
      </c>
      <c r="W43" s="2">
        <v>0.38074645000000001</v>
      </c>
      <c r="X43" s="2">
        <v>0.56996860000000005</v>
      </c>
      <c r="Y43" s="2">
        <v>0.3011104</v>
      </c>
      <c r="Z43" s="2">
        <v>0.24304737000000001</v>
      </c>
      <c r="AA43" s="2">
        <v>0.17883798000000001</v>
      </c>
      <c r="AB43" s="2">
        <v>0.62288069999999995</v>
      </c>
      <c r="AC43" s="2">
        <v>0.4232764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Experian PLC</v>
      </c>
      <c r="B44" s="4" t="str">
        <v>EXPN-GB</v>
      </c>
      <c r="C44" s="2">
        <v>0.48282659999999999</v>
      </c>
      <c r="D44" s="2">
        <v>0.42458129999999999</v>
      </c>
      <c r="E44" s="2">
        <v>0.55544530000000003</v>
      </c>
      <c r="F44" s="2">
        <v>0.52231896</v>
      </c>
      <c r="G44" s="2">
        <v>0.38881402999999998</v>
      </c>
      <c r="H44" s="2">
        <v>0.12665023</v>
      </c>
      <c r="I44" s="2">
        <v>0.45928076000000001</v>
      </c>
      <c r="J44" s="2">
        <v>0.5031371</v>
      </c>
      <c r="K44" s="2">
        <v>0.44998568</v>
      </c>
      <c r="L44" s="2">
        <v>0.42909989999999998</v>
      </c>
      <c r="M44" s="2">
        <v>0.41697647999999998</v>
      </c>
      <c r="N44" s="2">
        <v>0.40664800000000001</v>
      </c>
      <c r="O44" s="2">
        <v>0.57328904000000003</v>
      </c>
      <c r="P44" s="2">
        <v>1</v>
      </c>
      <c r="Q44" s="2">
        <v>0.37185600000000002</v>
      </c>
      <c r="R44" s="2">
        <v>0.57962029999999998</v>
      </c>
      <c r="S44" s="2">
        <v>0.45471830000000002</v>
      </c>
      <c r="T44" s="2">
        <v>0.44099885</v>
      </c>
      <c r="U44" s="2">
        <v>0.34089434000000002</v>
      </c>
      <c r="V44" s="2">
        <v>0.35048857</v>
      </c>
      <c r="W44" s="2">
        <v>0.3770811</v>
      </c>
      <c r="X44" s="2">
        <v>0.55088663000000004</v>
      </c>
      <c r="Y44" s="2">
        <v>0.36397937000000002</v>
      </c>
      <c r="Z44" s="2">
        <v>0.22569603999999999</v>
      </c>
      <c r="AA44" s="2">
        <v>0.13415732999999999</v>
      </c>
      <c r="AB44" s="2">
        <v>0.59341140000000003</v>
      </c>
      <c r="AC44" s="2">
        <v>0.46325749999999999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Compass Group PLC</v>
      </c>
      <c r="B45" s="4" t="str">
        <v>CPG-GB</v>
      </c>
      <c r="C45" s="2">
        <v>0.38709512000000001</v>
      </c>
      <c r="D45" s="2">
        <v>0.58433729999999995</v>
      </c>
      <c r="E45" s="2">
        <v>0.36071320000000001</v>
      </c>
      <c r="F45" s="2">
        <v>0.26022479999999998</v>
      </c>
      <c r="G45" s="2">
        <v>0.58185200000000004</v>
      </c>
      <c r="H45" s="2">
        <v>0.12492135</v>
      </c>
      <c r="I45" s="2">
        <v>0.29346314000000001</v>
      </c>
      <c r="J45" s="2">
        <v>0.29678446000000003</v>
      </c>
      <c r="K45" s="2">
        <v>0.33842778000000001</v>
      </c>
      <c r="L45" s="2">
        <v>0.36307546000000002</v>
      </c>
      <c r="M45" s="2">
        <v>0.57988702999999997</v>
      </c>
      <c r="N45" s="2">
        <v>0.31228936000000002</v>
      </c>
      <c r="O45" s="2">
        <v>0.35030505000000001</v>
      </c>
      <c r="P45" s="2">
        <v>0.37185600000000002</v>
      </c>
      <c r="Q45" s="2">
        <v>1</v>
      </c>
      <c r="R45" s="2">
        <v>0.26176110000000002</v>
      </c>
      <c r="S45" s="2">
        <v>0.28674739999999999</v>
      </c>
      <c r="T45" s="2">
        <v>0.45583182999999999</v>
      </c>
      <c r="U45" s="2">
        <v>0.45424098000000002</v>
      </c>
      <c r="V45" s="2">
        <v>0.19456798</v>
      </c>
      <c r="W45" s="2">
        <v>0.31303993000000002</v>
      </c>
      <c r="X45" s="2">
        <v>0.34440860000000001</v>
      </c>
      <c r="Y45" s="2">
        <v>0.28516763000000001</v>
      </c>
      <c r="Z45" s="2">
        <v>0.10976086</v>
      </c>
      <c r="AA45" s="2">
        <v>3.7719302000000003E-2</v>
      </c>
      <c r="AB45" s="2">
        <v>0.24063256</v>
      </c>
      <c r="AC45" s="2">
        <v>0.2398593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Wolters Kluwer N.V.</v>
      </c>
      <c r="B46" s="4" t="str">
        <v>WKL-NL</v>
      </c>
      <c r="C46" s="2">
        <v>0.32097962000000002</v>
      </c>
      <c r="D46" s="2">
        <v>0.2797521</v>
      </c>
      <c r="E46" s="2">
        <v>0.33575263999999999</v>
      </c>
      <c r="F46" s="2">
        <v>0.397644</v>
      </c>
      <c r="G46" s="2">
        <v>0.23295895999999999</v>
      </c>
      <c r="H46" s="2">
        <v>2.2876877E-2</v>
      </c>
      <c r="I46" s="2">
        <v>0.36392682999999998</v>
      </c>
      <c r="J46" s="2">
        <v>0.37211937</v>
      </c>
      <c r="K46" s="2">
        <v>0.44704991999999999</v>
      </c>
      <c r="L46" s="2">
        <v>0.27884924</v>
      </c>
      <c r="M46" s="2">
        <v>0.27429333</v>
      </c>
      <c r="N46" s="2">
        <v>0.27964066999999998</v>
      </c>
      <c r="O46" s="2">
        <v>0.39800245000000001</v>
      </c>
      <c r="P46" s="2">
        <v>0.57962029999999998</v>
      </c>
      <c r="Q46" s="2">
        <v>0.26176110000000002</v>
      </c>
      <c r="R46" s="2">
        <v>1</v>
      </c>
      <c r="S46" s="2">
        <v>0.34633076000000002</v>
      </c>
      <c r="T46" s="2">
        <v>0.31538716</v>
      </c>
      <c r="U46" s="2">
        <v>0.27870764999999997</v>
      </c>
      <c r="V46" s="2">
        <v>0.33433407999999998</v>
      </c>
      <c r="W46" s="2">
        <v>0.35139903</v>
      </c>
      <c r="X46" s="2">
        <v>0.43742466000000002</v>
      </c>
      <c r="Y46" s="2">
        <v>0.29451086999999998</v>
      </c>
      <c r="Z46" s="2">
        <v>0.1663039</v>
      </c>
      <c r="AA46" s="2">
        <v>7.8021884E-2</v>
      </c>
      <c r="AB46" s="2">
        <v>0.42792076000000001</v>
      </c>
      <c r="AC46" s="2">
        <v>0.3382772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0.47470509999999999</v>
      </c>
      <c r="D47" s="2">
        <v>0.37827276999999998</v>
      </c>
      <c r="E47" s="2">
        <v>0.41832206</v>
      </c>
      <c r="F47" s="2">
        <v>0.30652770000000001</v>
      </c>
      <c r="G47" s="2">
        <v>0.37678620000000002</v>
      </c>
      <c r="H47" s="2">
        <v>0.24042521</v>
      </c>
      <c r="I47" s="2">
        <v>0.30407104000000001</v>
      </c>
      <c r="J47" s="2">
        <v>0.41507824999999998</v>
      </c>
      <c r="K47" s="2">
        <v>0.39773642999999997</v>
      </c>
      <c r="L47" s="2">
        <v>0.43800527</v>
      </c>
      <c r="M47" s="2">
        <v>0.36200237000000002</v>
      </c>
      <c r="N47" s="2">
        <v>0.31934362999999999</v>
      </c>
      <c r="O47" s="2">
        <v>0.56843655999999998</v>
      </c>
      <c r="P47" s="2">
        <v>0.45471830000000002</v>
      </c>
      <c r="Q47" s="2">
        <v>0.28674739999999999</v>
      </c>
      <c r="R47" s="2">
        <v>0.34633076000000002</v>
      </c>
      <c r="S47" s="2">
        <v>1</v>
      </c>
      <c r="T47" s="2">
        <v>0.36165142</v>
      </c>
      <c r="U47" s="2">
        <v>0.35669190000000001</v>
      </c>
      <c r="V47" s="2">
        <v>0.26806312999999998</v>
      </c>
      <c r="W47" s="2">
        <v>0.35810405000000001</v>
      </c>
      <c r="X47" s="2">
        <v>0.44010250000000001</v>
      </c>
      <c r="Y47" s="2">
        <v>0.23122599999999999</v>
      </c>
      <c r="Z47" s="2">
        <v>0.17528498000000001</v>
      </c>
      <c r="AA47" s="2">
        <v>0.14146267000000001</v>
      </c>
      <c r="AB47" s="2">
        <v>0.51505195999999998</v>
      </c>
      <c r="AC47" s="2">
        <v>0.36999900000000002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Diageo plc</v>
      </c>
      <c r="B48" s="4" t="str">
        <v>DGE-GB</v>
      </c>
      <c r="C48" s="2">
        <v>0.54932449999999999</v>
      </c>
      <c r="D48" s="2">
        <v>0.40557703000000001</v>
      </c>
      <c r="E48" s="2">
        <v>0.42626514999999998</v>
      </c>
      <c r="F48" s="2">
        <v>0.33998936000000002</v>
      </c>
      <c r="G48" s="2">
        <v>0.43578514000000002</v>
      </c>
      <c r="H48" s="2">
        <v>0.18725948000000001</v>
      </c>
      <c r="I48" s="2">
        <v>0.30557325000000002</v>
      </c>
      <c r="J48" s="2">
        <v>0.32630002000000002</v>
      </c>
      <c r="K48" s="2">
        <v>0.36486942</v>
      </c>
      <c r="L48" s="2">
        <v>0.43368435</v>
      </c>
      <c r="M48" s="2">
        <v>0.42832384000000001</v>
      </c>
      <c r="N48" s="2">
        <v>0.3968525</v>
      </c>
      <c r="O48" s="2">
        <v>0.41556883</v>
      </c>
      <c r="P48" s="2">
        <v>0.44099885</v>
      </c>
      <c r="Q48" s="2">
        <v>0.45583182999999999</v>
      </c>
      <c r="R48" s="2">
        <v>0.31538716</v>
      </c>
      <c r="S48" s="2">
        <v>0.36165142</v>
      </c>
      <c r="T48" s="2">
        <v>1</v>
      </c>
      <c r="U48" s="2">
        <v>0.36182504999999998</v>
      </c>
      <c r="V48" s="2">
        <v>0.28492600000000001</v>
      </c>
      <c r="W48" s="2">
        <v>0.30076844000000003</v>
      </c>
      <c r="X48" s="2">
        <v>0.41006290000000001</v>
      </c>
      <c r="Y48" s="2">
        <v>0.39807009999999998</v>
      </c>
      <c r="Z48" s="2">
        <v>0.17645817999999999</v>
      </c>
      <c r="AA48" s="2">
        <v>8.4447990000000001E-2</v>
      </c>
      <c r="AB48" s="2">
        <v>0.41316396</v>
      </c>
      <c r="AC48" s="2">
        <v>0.33297854999999998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CTS Eventim AG &amp; Co. KGaA</v>
      </c>
      <c r="B49" s="4" t="str">
        <v>EVD-DE</v>
      </c>
      <c r="C49" s="2">
        <v>0.43059352000000001</v>
      </c>
      <c r="D49" s="2">
        <v>0.50677749999999999</v>
      </c>
      <c r="E49" s="2">
        <v>0.40277733999999998</v>
      </c>
      <c r="F49" s="2">
        <v>0.26178279999999998</v>
      </c>
      <c r="G49" s="2">
        <v>0.52094649999999998</v>
      </c>
      <c r="H49" s="2">
        <v>0.12958428</v>
      </c>
      <c r="I49" s="2">
        <v>0.2795783</v>
      </c>
      <c r="J49" s="2">
        <v>0.42182392000000002</v>
      </c>
      <c r="K49" s="2">
        <v>0.36710357999999998</v>
      </c>
      <c r="L49" s="2">
        <v>0.41736825999999999</v>
      </c>
      <c r="M49" s="2">
        <v>0.51570344000000001</v>
      </c>
      <c r="N49" s="2">
        <v>0.28881164999999998</v>
      </c>
      <c r="O49" s="2">
        <v>0.44539519999999999</v>
      </c>
      <c r="P49" s="2">
        <v>0.34089434000000002</v>
      </c>
      <c r="Q49" s="2">
        <v>0.45424098000000002</v>
      </c>
      <c r="R49" s="2">
        <v>0.27870764999999997</v>
      </c>
      <c r="S49" s="2">
        <v>0.35669190000000001</v>
      </c>
      <c r="T49" s="2">
        <v>0.36182504999999998</v>
      </c>
      <c r="U49" s="2">
        <v>1</v>
      </c>
      <c r="V49" s="2">
        <v>0.1849121</v>
      </c>
      <c r="W49" s="2">
        <v>0.39071592999999999</v>
      </c>
      <c r="X49" s="2">
        <v>0.41425866</v>
      </c>
      <c r="Y49" s="2">
        <v>0.22816253</v>
      </c>
      <c r="Z49" s="2">
        <v>0.14435138</v>
      </c>
      <c r="AA49" s="2">
        <v>9.2603854999999999E-2</v>
      </c>
      <c r="AB49" s="2">
        <v>0.38549879999999997</v>
      </c>
      <c r="AC49" s="2">
        <v>0.29830897000000001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Roche Holding Ltd Dividend Right Cert.</v>
      </c>
      <c r="B50" s="4" t="str">
        <v>ROG-CH</v>
      </c>
      <c r="C50" s="2">
        <v>0.27800320000000001</v>
      </c>
      <c r="D50" s="2">
        <v>0.21131512999999999</v>
      </c>
      <c r="E50" s="2">
        <v>0.25325340000000002</v>
      </c>
      <c r="F50" s="2">
        <v>0.29526287000000001</v>
      </c>
      <c r="G50" s="2">
        <v>0.21525422999999999</v>
      </c>
      <c r="H50" s="2">
        <v>7.5355370000000005E-2</v>
      </c>
      <c r="I50" s="2">
        <v>0.29977077000000002</v>
      </c>
      <c r="J50" s="2">
        <v>0.19476901999999999</v>
      </c>
      <c r="K50" s="2">
        <v>0.34489009999999998</v>
      </c>
      <c r="L50" s="2">
        <v>0.26481747999999999</v>
      </c>
      <c r="M50" s="2">
        <v>0.23350945000000001</v>
      </c>
      <c r="N50" s="2">
        <v>0.25767145000000002</v>
      </c>
      <c r="O50" s="2">
        <v>0.27645283999999998</v>
      </c>
      <c r="P50" s="2">
        <v>0.35048857</v>
      </c>
      <c r="Q50" s="2">
        <v>0.19456798</v>
      </c>
      <c r="R50" s="2">
        <v>0.33433407999999998</v>
      </c>
      <c r="S50" s="2">
        <v>0.26806312999999998</v>
      </c>
      <c r="T50" s="2">
        <v>0.28492600000000001</v>
      </c>
      <c r="U50" s="2">
        <v>0.1849121</v>
      </c>
      <c r="V50" s="2">
        <v>1</v>
      </c>
      <c r="W50" s="2">
        <v>0.2356463</v>
      </c>
      <c r="X50" s="2">
        <v>0.29707204999999998</v>
      </c>
      <c r="Y50" s="2">
        <v>0.5047391</v>
      </c>
      <c r="Z50" s="2">
        <v>0.15638767000000001</v>
      </c>
      <c r="AA50" s="2">
        <v>0.13363463</v>
      </c>
      <c r="AB50" s="2">
        <v>0.38165779999999999</v>
      </c>
      <c r="AC50" s="2">
        <v>0.24734443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Universal Music Group N.V.</v>
      </c>
      <c r="B51" s="4" t="str">
        <v>UMG-NL</v>
      </c>
      <c r="C51" s="2">
        <v>0.38778659999999998</v>
      </c>
      <c r="D51" s="2">
        <v>0.37622050000000001</v>
      </c>
      <c r="E51" s="2">
        <v>0.43256503000000002</v>
      </c>
      <c r="F51" s="2">
        <v>0.29067939999999998</v>
      </c>
      <c r="G51" s="2">
        <v>0.36126377999999998</v>
      </c>
      <c r="H51" s="2">
        <v>0.10484881</v>
      </c>
      <c r="I51" s="2">
        <v>0.26917692999999998</v>
      </c>
      <c r="J51" s="2">
        <v>0.38731919999999997</v>
      </c>
      <c r="K51" s="2">
        <v>0.36241108</v>
      </c>
      <c r="L51" s="2">
        <v>0.37554145</v>
      </c>
      <c r="M51" s="2">
        <v>0.38493509999999997</v>
      </c>
      <c r="N51" s="2">
        <v>0.27788678</v>
      </c>
      <c r="O51" s="2">
        <v>0.38074645000000001</v>
      </c>
      <c r="P51" s="2">
        <v>0.3770811</v>
      </c>
      <c r="Q51" s="2">
        <v>0.31303993000000002</v>
      </c>
      <c r="R51" s="2">
        <v>0.35139903</v>
      </c>
      <c r="S51" s="2">
        <v>0.35810405000000001</v>
      </c>
      <c r="T51" s="2">
        <v>0.30076844000000003</v>
      </c>
      <c r="U51" s="2">
        <v>0.39071592999999999</v>
      </c>
      <c r="V51" s="2">
        <v>0.2356463</v>
      </c>
      <c r="W51" s="2">
        <v>1</v>
      </c>
      <c r="X51" s="2">
        <v>0.38252014000000001</v>
      </c>
      <c r="Y51" s="2">
        <v>0.23540214000000001</v>
      </c>
      <c r="Z51" s="2">
        <v>0.13701637</v>
      </c>
      <c r="AA51" s="2">
        <v>9.4829079999999996E-2</v>
      </c>
      <c r="AB51" s="2">
        <v>0.41822553000000001</v>
      </c>
      <c r="AC51" s="2">
        <v>0.35958442000000002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SAP SE</v>
      </c>
      <c r="B52" s="4" t="str">
        <v>SAP-DE</v>
      </c>
      <c r="C52" s="2">
        <v>0.50534385000000004</v>
      </c>
      <c r="D52" s="2">
        <v>0.50367843999999995</v>
      </c>
      <c r="E52" s="2">
        <v>0.47731137000000001</v>
      </c>
      <c r="F52" s="2">
        <v>0.35065466000000001</v>
      </c>
      <c r="G52" s="2">
        <v>0.48117845999999997</v>
      </c>
      <c r="H52" s="2">
        <v>0.12533842000000001</v>
      </c>
      <c r="I52" s="2">
        <v>0.39711123999999998</v>
      </c>
      <c r="J52" s="2">
        <v>0.59163449999999995</v>
      </c>
      <c r="K52" s="2">
        <v>0.45079385999999999</v>
      </c>
      <c r="L52" s="2">
        <v>0.44417307</v>
      </c>
      <c r="M52" s="2">
        <v>0.48073824999999998</v>
      </c>
      <c r="N52" s="2">
        <v>0.35716373000000001</v>
      </c>
      <c r="O52" s="2">
        <v>0.56996860000000005</v>
      </c>
      <c r="P52" s="2">
        <v>0.55088663000000004</v>
      </c>
      <c r="Q52" s="2">
        <v>0.34440860000000001</v>
      </c>
      <c r="R52" s="2">
        <v>0.43742466000000002</v>
      </c>
      <c r="S52" s="2">
        <v>0.44010250000000001</v>
      </c>
      <c r="T52" s="2">
        <v>0.41006290000000001</v>
      </c>
      <c r="U52" s="2">
        <v>0.41425866</v>
      </c>
      <c r="V52" s="2">
        <v>0.29707204999999998</v>
      </c>
      <c r="W52" s="2">
        <v>0.38252014000000001</v>
      </c>
      <c r="X52" s="2">
        <v>1</v>
      </c>
      <c r="Y52" s="2">
        <v>0.30672863</v>
      </c>
      <c r="Z52" s="2">
        <v>0.20761447999999999</v>
      </c>
      <c r="AA52" s="2">
        <v>0.11021904</v>
      </c>
      <c r="AB52" s="2">
        <v>0.50782514000000001</v>
      </c>
      <c r="AC52" s="2">
        <v>0.41876435000000001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AstraZeneca PLC</v>
      </c>
      <c r="B53" s="4" t="str">
        <v>AZN-GB</v>
      </c>
      <c r="C53" s="2">
        <v>0.27704242000000001</v>
      </c>
      <c r="D53" s="2">
        <v>0.28328350000000002</v>
      </c>
      <c r="E53" s="2">
        <v>0.28097388000000001</v>
      </c>
      <c r="F53" s="2">
        <v>0.30272692000000001</v>
      </c>
      <c r="G53" s="2">
        <v>0.2797347</v>
      </c>
      <c r="H53" s="2">
        <v>0.11593184600000001</v>
      </c>
      <c r="I53" s="2">
        <v>0.29109696000000002</v>
      </c>
      <c r="J53" s="2">
        <v>0.23404448</v>
      </c>
      <c r="K53" s="2">
        <v>0.31739062000000001</v>
      </c>
      <c r="L53" s="2">
        <v>0.22418194</v>
      </c>
      <c r="M53" s="2">
        <v>0.28274176000000001</v>
      </c>
      <c r="N53" s="2">
        <v>0.30844526999999999</v>
      </c>
      <c r="O53" s="2">
        <v>0.3011104</v>
      </c>
      <c r="P53" s="2">
        <v>0.36397937000000002</v>
      </c>
      <c r="Q53" s="2">
        <v>0.28516763000000001</v>
      </c>
      <c r="R53" s="2">
        <v>0.29451086999999998</v>
      </c>
      <c r="S53" s="2">
        <v>0.23122599999999999</v>
      </c>
      <c r="T53" s="2">
        <v>0.39807009999999998</v>
      </c>
      <c r="U53" s="2">
        <v>0.22816253</v>
      </c>
      <c r="V53" s="2">
        <v>0.5047391</v>
      </c>
      <c r="W53" s="2">
        <v>0.23540214000000001</v>
      </c>
      <c r="X53" s="2">
        <v>0.30672863</v>
      </c>
      <c r="Y53" s="2">
        <v>1</v>
      </c>
      <c r="Z53" s="2">
        <v>0.12690318</v>
      </c>
      <c r="AA53" s="2">
        <v>7.4041739999999995E-2</v>
      </c>
      <c r="AB53" s="2">
        <v>0.32597935</v>
      </c>
      <c r="AC53" s="2">
        <v>0.265708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Keyence Corporation</v>
      </c>
      <c r="B54" s="4" t="str">
        <v>6861-JP</v>
      </c>
      <c r="C54" s="2">
        <v>0.17609833</v>
      </c>
      <c r="D54" s="2">
        <v>0.13011311</v>
      </c>
      <c r="E54" s="2">
        <v>0.19572157000000001</v>
      </c>
      <c r="F54" s="2">
        <v>0.15191178</v>
      </c>
      <c r="G54" s="2">
        <v>0.12062808999999999</v>
      </c>
      <c r="H54" s="2">
        <v>0.16438440000000001</v>
      </c>
      <c r="I54" s="2">
        <v>0.16513655999999999</v>
      </c>
      <c r="J54" s="2">
        <v>0.21124619</v>
      </c>
      <c r="K54" s="2">
        <v>0.13548113000000001</v>
      </c>
      <c r="L54" s="2">
        <v>0.19152753</v>
      </c>
      <c r="M54" s="2">
        <v>0.15332270000000001</v>
      </c>
      <c r="N54" s="2">
        <v>0.1589227</v>
      </c>
      <c r="O54" s="2">
        <v>0.24304737000000001</v>
      </c>
      <c r="P54" s="2">
        <v>0.22569603999999999</v>
      </c>
      <c r="Q54" s="2">
        <v>0.10976086</v>
      </c>
      <c r="R54" s="2">
        <v>0.1663039</v>
      </c>
      <c r="S54" s="2">
        <v>0.17528498000000001</v>
      </c>
      <c r="T54" s="2">
        <v>0.17645817999999999</v>
      </c>
      <c r="U54" s="2">
        <v>0.14435138</v>
      </c>
      <c r="V54" s="2">
        <v>0.15638767000000001</v>
      </c>
      <c r="W54" s="2">
        <v>0.13701637</v>
      </c>
      <c r="X54" s="2">
        <v>0.20761447999999999</v>
      </c>
      <c r="Y54" s="2">
        <v>0.12690318</v>
      </c>
      <c r="Z54" s="2">
        <v>1</v>
      </c>
      <c r="AA54" s="2">
        <v>0.45410531999999998</v>
      </c>
      <c r="AB54" s="2">
        <v>0.22520171</v>
      </c>
      <c r="AC54" s="2">
        <v>0.20962397999999999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Shimano Inc.</v>
      </c>
      <c r="B55" s="4" t="str">
        <v>7309-JP</v>
      </c>
      <c r="C55" s="2">
        <v>0.11496507</v>
      </c>
      <c r="D55" s="2">
        <v>7.4890374999999995E-2</v>
      </c>
      <c r="E55" s="2">
        <v>0.14427096</v>
      </c>
      <c r="F55" s="2">
        <v>0.1403527</v>
      </c>
      <c r="G55" s="2">
        <v>4.7267879999999998E-2</v>
      </c>
      <c r="H55" s="2">
        <v>0.11419061599999999</v>
      </c>
      <c r="I55" s="2">
        <v>0.11055987</v>
      </c>
      <c r="J55" s="2">
        <v>0.13039207</v>
      </c>
      <c r="K55" s="2">
        <v>9.4494629999999996E-2</v>
      </c>
      <c r="L55" s="2">
        <v>0.13213987999999999</v>
      </c>
      <c r="M55" s="2">
        <v>0.1169135</v>
      </c>
      <c r="N55" s="2">
        <v>0.1765844</v>
      </c>
      <c r="O55" s="2">
        <v>0.17883798000000001</v>
      </c>
      <c r="P55" s="2">
        <v>0.13415732999999999</v>
      </c>
      <c r="Q55" s="2">
        <v>3.7719302000000003E-2</v>
      </c>
      <c r="R55" s="2">
        <v>7.8021884E-2</v>
      </c>
      <c r="S55" s="2">
        <v>0.14146267000000001</v>
      </c>
      <c r="T55" s="2">
        <v>8.4447990000000001E-2</v>
      </c>
      <c r="U55" s="2">
        <v>9.2603854999999999E-2</v>
      </c>
      <c r="V55" s="2">
        <v>0.13363463</v>
      </c>
      <c r="W55" s="2">
        <v>9.4829079999999996E-2</v>
      </c>
      <c r="X55" s="2">
        <v>0.11021904</v>
      </c>
      <c r="Y55" s="2">
        <v>7.4041739999999995E-2</v>
      </c>
      <c r="Z55" s="2">
        <v>0.45410531999999998</v>
      </c>
      <c r="AA55" s="2">
        <v>1</v>
      </c>
      <c r="AB55" s="2">
        <v>0.19293171000000001</v>
      </c>
      <c r="AC55" s="2">
        <v>0.13354327999999999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Sika AG</v>
      </c>
      <c r="B56" s="4" t="str">
        <v>SIKA-CH</v>
      </c>
      <c r="C56" s="2">
        <v>0.56214520000000001</v>
      </c>
      <c r="D56" s="2">
        <v>0.37696826</v>
      </c>
      <c r="E56" s="2">
        <v>0.56769729999999996</v>
      </c>
      <c r="F56" s="2">
        <v>0.43167373999999997</v>
      </c>
      <c r="G56" s="2">
        <v>0.37046056999999999</v>
      </c>
      <c r="H56" s="2">
        <v>0.16695009</v>
      </c>
      <c r="I56" s="2">
        <v>0.40203559999999999</v>
      </c>
      <c r="J56" s="2">
        <v>0.54998994000000001</v>
      </c>
      <c r="K56" s="2">
        <v>0.41249089999999999</v>
      </c>
      <c r="L56" s="2">
        <v>0.53060037000000004</v>
      </c>
      <c r="M56" s="2">
        <v>0.39897418000000001</v>
      </c>
      <c r="N56" s="2">
        <v>0.40074778</v>
      </c>
      <c r="O56" s="2">
        <v>0.62288069999999995</v>
      </c>
      <c r="P56" s="2">
        <v>0.59341140000000003</v>
      </c>
      <c r="Q56" s="2">
        <v>0.24063256</v>
      </c>
      <c r="R56" s="2">
        <v>0.42792076000000001</v>
      </c>
      <c r="S56" s="2">
        <v>0.51505195999999998</v>
      </c>
      <c r="T56" s="2">
        <v>0.41316396</v>
      </c>
      <c r="U56" s="2">
        <v>0.38549879999999997</v>
      </c>
      <c r="V56" s="2">
        <v>0.38165779999999999</v>
      </c>
      <c r="W56" s="2">
        <v>0.41822553000000001</v>
      </c>
      <c r="X56" s="2">
        <v>0.50782514000000001</v>
      </c>
      <c r="Y56" s="2">
        <v>0.32597935</v>
      </c>
      <c r="Z56" s="2">
        <v>0.22520171</v>
      </c>
      <c r="AA56" s="2">
        <v>0.19293171000000001</v>
      </c>
      <c r="AB56" s="2">
        <v>1</v>
      </c>
      <c r="AC56" s="2">
        <v>0.45336103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Games Workshop Group PLC</v>
      </c>
      <c r="B57" s="4" t="str">
        <v>GAW-GB</v>
      </c>
      <c r="C57" s="2">
        <v>0.39359632</v>
      </c>
      <c r="D57" s="2">
        <v>0.32327499999999998</v>
      </c>
      <c r="E57" s="2">
        <v>0.47040490000000001</v>
      </c>
      <c r="F57" s="2">
        <v>0.32832067999999998</v>
      </c>
      <c r="G57" s="2">
        <v>0.31573380000000001</v>
      </c>
      <c r="H57" s="2">
        <v>0.12979618000000001</v>
      </c>
      <c r="I57" s="2">
        <v>0.34242161999999998</v>
      </c>
      <c r="J57" s="2">
        <v>0.39456715999999997</v>
      </c>
      <c r="K57" s="2">
        <v>0.34337420000000002</v>
      </c>
      <c r="L57" s="2">
        <v>0.38829276000000001</v>
      </c>
      <c r="M57" s="2">
        <v>0.33986038000000002</v>
      </c>
      <c r="N57" s="2">
        <v>0.30450939999999999</v>
      </c>
      <c r="O57" s="2">
        <v>0.4232764</v>
      </c>
      <c r="P57" s="2">
        <v>0.46325749999999999</v>
      </c>
      <c r="Q57" s="2">
        <v>0.2398593</v>
      </c>
      <c r="R57" s="2">
        <v>0.3382772</v>
      </c>
      <c r="S57" s="2">
        <v>0.36999900000000002</v>
      </c>
      <c r="T57" s="2">
        <v>0.33297854999999998</v>
      </c>
      <c r="U57" s="2">
        <v>0.29830897000000001</v>
      </c>
      <c r="V57" s="2">
        <v>0.24734443</v>
      </c>
      <c r="W57" s="2">
        <v>0.35958442000000002</v>
      </c>
      <c r="X57" s="2">
        <v>0.41876435000000001</v>
      </c>
      <c r="Y57" s="2">
        <v>0.265708</v>
      </c>
      <c r="Z57" s="2">
        <v>0.20962397999999999</v>
      </c>
      <c r="AA57" s="2">
        <v>0.13354327999999999</v>
      </c>
      <c r="AB57" s="2">
        <v>0.45336103</v>
      </c>
      <c r="AC57" s="2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19</v>
      </c>
    </row>
    <row r="6" spans="1:8" x14ac:dyDescent="0.25">
      <c r="B6" s="4" t="s">
        <v>4</v>
      </c>
      <c r="C6" s="4" t="s">
        <v>13</v>
      </c>
      <c r="D6" s="4" t="s">
        <v>10</v>
      </c>
    </row>
    <row r="7" spans="1:8" x14ac:dyDescent="0.25">
      <c r="B7" s="5" cm="1">
        <f t="array" ref="B7:B1263">_xll.FDS(C6,"JULIAN(FG_PRICE("&amp;$B$2&amp;","&amp;$B$2&amp;"-"&amp;$B$3&amp;",,USD).dates)")</f>
        <v>45961</v>
      </c>
      <c r="C7">
        <f t="array" ref="C7:C1263">_xll.FDS($C$6,"P_PRICE_RETURNS(0,"&amp;$B2&amp;","&amp;$B2&amp;"-"&amp;$B$3&amp;",D,USD)")</f>
        <v>-1.5120982999999999</v>
      </c>
      <c r="D7">
        <f t="array" ref="D7:D1263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0.14425503293835401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0.1442550329383544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0.1442550329383544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>
        <v>45595</v>
      </c>
      <c r="C258">
        <v>0.13427734</v>
      </c>
      <c r="D258">
        <v>-0.60398580000000002</v>
      </c>
    </row>
    <row r="259" spans="2:4" x14ac:dyDescent="0.25">
      <c r="B259" s="5">
        <v>45594</v>
      </c>
      <c r="C259">
        <v>1.2564778000000001</v>
      </c>
      <c r="D259">
        <v>-0.87041259999999998</v>
      </c>
    </row>
    <row r="260" spans="2:4" x14ac:dyDescent="0.25">
      <c r="B260" s="5">
        <v>45593</v>
      </c>
      <c r="C260">
        <v>-0.36435722999999998</v>
      </c>
      <c r="D260">
        <v>0.98975897000000002</v>
      </c>
    </row>
    <row r="261" spans="2:4" x14ac:dyDescent="0.25">
      <c r="B261" s="5">
        <v>45590</v>
      </c>
      <c r="C261">
        <v>0.80521107000000003</v>
      </c>
      <c r="D261">
        <v>0.45441389999999998</v>
      </c>
    </row>
    <row r="262" spans="2:4" x14ac:dyDescent="0.25">
      <c r="B262" s="5">
        <v>45589</v>
      </c>
      <c r="C262">
        <v>3.0612945999999999E-2</v>
      </c>
      <c r="D262">
        <v>1.5744328000000001</v>
      </c>
    </row>
    <row r="263" spans="2:4" x14ac:dyDescent="0.25">
      <c r="B263" s="5">
        <v>45588</v>
      </c>
      <c r="C263">
        <v>-0.68068503999999996</v>
      </c>
      <c r="D263">
        <v>-2.2980154000000002</v>
      </c>
    </row>
    <row r="264" spans="2:4" x14ac:dyDescent="0.25">
      <c r="B264" s="5">
        <v>45587</v>
      </c>
      <c r="C264">
        <v>2.0846247999999998</v>
      </c>
      <c r="D264">
        <v>-0.27666091999999998</v>
      </c>
    </row>
    <row r="265" spans="2:4" x14ac:dyDescent="0.25">
      <c r="B265" s="5">
        <v>45586</v>
      </c>
      <c r="C265">
        <v>0.14827251</v>
      </c>
      <c r="D265">
        <v>-0.57344437000000004</v>
      </c>
    </row>
    <row r="266" spans="2:4" x14ac:dyDescent="0.25">
      <c r="B266" s="5">
        <v>45583</v>
      </c>
      <c r="C266">
        <v>0.34555196999999999</v>
      </c>
      <c r="D266">
        <v>0.18054247000000001</v>
      </c>
    </row>
    <row r="267" spans="2:4" x14ac:dyDescent="0.25">
      <c r="B267" s="5">
        <v>45582</v>
      </c>
      <c r="C267">
        <v>0.14419556</v>
      </c>
      <c r="D267">
        <v>0.58690310000000001</v>
      </c>
    </row>
    <row r="268" spans="2:4" x14ac:dyDescent="0.25">
      <c r="B268" s="5">
        <v>45581</v>
      </c>
      <c r="C268">
        <v>-0.62568784</v>
      </c>
      <c r="D268">
        <v>-3.0320883E-2</v>
      </c>
    </row>
    <row r="269" spans="2:4" x14ac:dyDescent="0.25">
      <c r="B269" s="5">
        <v>45580</v>
      </c>
      <c r="C269">
        <v>-9.5438960000000003E-2</v>
      </c>
      <c r="D269">
        <v>0.44939518000000001</v>
      </c>
    </row>
    <row r="270" spans="2:4" x14ac:dyDescent="0.25">
      <c r="B270" s="5">
        <v>45579</v>
      </c>
      <c r="C270">
        <v>0.67737099999999995</v>
      </c>
      <c r="D270">
        <v>0.76949595999999998</v>
      </c>
    </row>
    <row r="271" spans="2:4" x14ac:dyDescent="0.25">
      <c r="B271" s="5">
        <v>45576</v>
      </c>
      <c r="C271">
        <v>0.115430355</v>
      </c>
      <c r="D271">
        <v>1.1941790000000001</v>
      </c>
    </row>
    <row r="272" spans="2:4" x14ac:dyDescent="0.25">
      <c r="B272" s="5">
        <v>45575</v>
      </c>
      <c r="C272">
        <v>-0.38806200000000002</v>
      </c>
      <c r="D272">
        <v>-1.5411376999999999</v>
      </c>
    </row>
    <row r="273" spans="2:4" x14ac:dyDescent="0.25">
      <c r="B273" s="5">
        <v>45574</v>
      </c>
      <c r="C273">
        <v>0.66311359999999997</v>
      </c>
      <c r="D273">
        <v>2.9921532000000001E-2</v>
      </c>
    </row>
    <row r="274" spans="2:4" x14ac:dyDescent="0.25">
      <c r="B274" s="5">
        <v>45573</v>
      </c>
      <c r="C274">
        <v>1.2623906</v>
      </c>
      <c r="D274">
        <v>1.0491847999999999</v>
      </c>
    </row>
    <row r="275" spans="2:4" x14ac:dyDescent="0.25">
      <c r="B275" s="5">
        <v>45572</v>
      </c>
      <c r="C275">
        <v>-1.5670776</v>
      </c>
      <c r="D275">
        <v>0.48536062000000002</v>
      </c>
    </row>
    <row r="276" spans="2:4" x14ac:dyDescent="0.25">
      <c r="B276" s="5">
        <v>45569</v>
      </c>
      <c r="C276">
        <v>-0.11523962</v>
      </c>
      <c r="D276">
        <v>-2.0331442000000002</v>
      </c>
    </row>
    <row r="277" spans="2:4" x14ac:dyDescent="0.25">
      <c r="B277" s="5">
        <v>45568</v>
      </c>
      <c r="C277">
        <v>-0.14144182</v>
      </c>
      <c r="D277">
        <v>-0.21007060999999999</v>
      </c>
    </row>
    <row r="278" spans="2:4" x14ac:dyDescent="0.25">
      <c r="B278" s="5">
        <v>45567</v>
      </c>
      <c r="C278">
        <v>-0.84623099999999996</v>
      </c>
      <c r="D278">
        <v>0.67616699999999996</v>
      </c>
    </row>
    <row r="279" spans="2:4" x14ac:dyDescent="0.25">
      <c r="B279" s="5">
        <v>45566</v>
      </c>
      <c r="C279">
        <v>-2.2333205</v>
      </c>
      <c r="D279">
        <v>-0.89396834000000003</v>
      </c>
    </row>
    <row r="280" spans="2:4" x14ac:dyDescent="0.25">
      <c r="B280" s="5">
        <v>45565</v>
      </c>
      <c r="C280">
        <v>0.53268669999999996</v>
      </c>
      <c r="D280">
        <v>7.1990490000000004E-2</v>
      </c>
    </row>
    <row r="281" spans="2:4" x14ac:dyDescent="0.25">
      <c r="B281" s="5">
        <v>45562</v>
      </c>
      <c r="C281">
        <v>-0.76279640000000004</v>
      </c>
      <c r="D281">
        <v>0.73494910000000002</v>
      </c>
    </row>
    <row r="282" spans="2:4" x14ac:dyDescent="0.25">
      <c r="B282" s="5">
        <v>45561</v>
      </c>
      <c r="C282">
        <v>-0.18513799</v>
      </c>
      <c r="D282">
        <v>-0.71462389999999998</v>
      </c>
    </row>
    <row r="283" spans="2:4" x14ac:dyDescent="0.25">
      <c r="B283" s="5">
        <v>45560</v>
      </c>
      <c r="C283">
        <v>0.68503619999999998</v>
      </c>
      <c r="D283">
        <v>0.76329709999999995</v>
      </c>
    </row>
    <row r="284" spans="2:4" x14ac:dyDescent="0.25">
      <c r="B284" s="5">
        <v>45559</v>
      </c>
      <c r="C284">
        <v>-1.0011315000000001</v>
      </c>
      <c r="D284">
        <v>-0.73133709999999996</v>
      </c>
    </row>
    <row r="285" spans="2:4" x14ac:dyDescent="0.25">
      <c r="B285" s="5">
        <v>45558</v>
      </c>
      <c r="C285">
        <v>-0.40434003000000002</v>
      </c>
      <c r="D285">
        <v>1.2448192</v>
      </c>
    </row>
    <row r="286" spans="2:4" x14ac:dyDescent="0.25">
      <c r="B286" s="5">
        <v>45555</v>
      </c>
      <c r="C286">
        <v>-0.77959895000000001</v>
      </c>
      <c r="D286">
        <v>1.6391397000000001</v>
      </c>
    </row>
    <row r="287" spans="2:4" x14ac:dyDescent="0.25">
      <c r="B287" s="5">
        <v>45554</v>
      </c>
      <c r="C287">
        <v>1.8291116000000001</v>
      </c>
      <c r="D287">
        <v>0.44175386</v>
      </c>
    </row>
    <row r="288" spans="2:4" x14ac:dyDescent="0.25">
      <c r="B288" s="5">
        <v>45553</v>
      </c>
      <c r="C288">
        <v>-0.99735856000000001</v>
      </c>
      <c r="D288">
        <v>-0.69004893</v>
      </c>
    </row>
    <row r="289" spans="2:4" x14ac:dyDescent="0.25">
      <c r="B289" s="5">
        <v>45552</v>
      </c>
      <c r="C289">
        <v>0.88329314999999997</v>
      </c>
      <c r="D289">
        <v>-1.1963307999999999</v>
      </c>
    </row>
    <row r="290" spans="2:4" x14ac:dyDescent="0.25">
      <c r="B290" s="5">
        <v>45551</v>
      </c>
      <c r="C290">
        <v>0.17417669999999999</v>
      </c>
      <c r="D290">
        <v>2.7370452999999999E-2</v>
      </c>
    </row>
    <row r="291" spans="2:4" x14ac:dyDescent="0.25">
      <c r="B291" s="5">
        <v>45548</v>
      </c>
      <c r="C291">
        <v>0.84074736000000005</v>
      </c>
      <c r="D291">
        <v>0.78170300000000004</v>
      </c>
    </row>
    <row r="292" spans="2:4" x14ac:dyDescent="0.25">
      <c r="B292" s="5">
        <v>45547</v>
      </c>
      <c r="C292">
        <v>0.93607899999999999</v>
      </c>
      <c r="D292">
        <v>1.3931036000000001</v>
      </c>
    </row>
    <row r="293" spans="2:4" x14ac:dyDescent="0.25">
      <c r="B293" s="5">
        <v>45546</v>
      </c>
      <c r="C293">
        <v>2.1342397000000002</v>
      </c>
      <c r="D293">
        <v>-0.74778794999999998</v>
      </c>
    </row>
    <row r="294" spans="2:4" x14ac:dyDescent="0.25">
      <c r="B294" s="5">
        <v>45545</v>
      </c>
      <c r="C294">
        <v>2.0901084000000001</v>
      </c>
      <c r="D294">
        <v>-1.4158607000000001</v>
      </c>
    </row>
    <row r="295" spans="2:4" x14ac:dyDescent="0.25">
      <c r="B295" s="5">
        <v>45544</v>
      </c>
      <c r="C295">
        <v>1.0007381</v>
      </c>
      <c r="D295">
        <v>1.0866761</v>
      </c>
    </row>
    <row r="296" spans="2:4" x14ac:dyDescent="0.25">
      <c r="B296" s="5">
        <v>45541</v>
      </c>
      <c r="C296">
        <v>-1.6381383</v>
      </c>
      <c r="D296">
        <v>1.7076373</v>
      </c>
    </row>
    <row r="297" spans="2:4" x14ac:dyDescent="0.25">
      <c r="B297" s="5">
        <v>45540</v>
      </c>
      <c r="C297">
        <v>-0.12472272</v>
      </c>
      <c r="D297">
        <v>-0.30433536</v>
      </c>
    </row>
    <row r="298" spans="2:4" x14ac:dyDescent="0.25">
      <c r="B298" s="5">
        <v>45539</v>
      </c>
      <c r="C298">
        <v>-0.13188720000000001</v>
      </c>
      <c r="D298">
        <v>1.284492</v>
      </c>
    </row>
    <row r="299" spans="2:4" x14ac:dyDescent="0.25">
      <c r="B299" s="5">
        <v>45538</v>
      </c>
      <c r="C299">
        <v>-1.8459082</v>
      </c>
      <c r="D299">
        <v>-0.68191290000000004</v>
      </c>
    </row>
    <row r="300" spans="2:4" x14ac:dyDescent="0.25">
      <c r="B300" s="5">
        <v>45534</v>
      </c>
      <c r="C300">
        <v>0.97309349999999994</v>
      </c>
      <c r="D300">
        <v>-6.2811375000000003E-2</v>
      </c>
    </row>
    <row r="301" spans="2:4" x14ac:dyDescent="0.25">
      <c r="B301" s="5">
        <v>45533</v>
      </c>
      <c r="C301">
        <v>0.61373710000000004</v>
      </c>
      <c r="D301">
        <v>7.3194504000000001E-3</v>
      </c>
    </row>
    <row r="302" spans="2:4" x14ac:dyDescent="0.25">
      <c r="B302" s="5">
        <v>45532</v>
      </c>
      <c r="C302">
        <v>-0.78290700000000002</v>
      </c>
      <c r="D302">
        <v>1.1256455999999999</v>
      </c>
    </row>
    <row r="303" spans="2:4" x14ac:dyDescent="0.25">
      <c r="B303" s="5">
        <v>45531</v>
      </c>
      <c r="C303">
        <v>8.4650520000000007E-2</v>
      </c>
      <c r="D303">
        <v>0.41960478000000001</v>
      </c>
    </row>
    <row r="304" spans="2:4" x14ac:dyDescent="0.25">
      <c r="B304" s="5">
        <v>45530</v>
      </c>
      <c r="C304">
        <v>-0.79177019999999998</v>
      </c>
      <c r="D304">
        <v>5.3441524999999997E-2</v>
      </c>
    </row>
    <row r="305" spans="2:4" x14ac:dyDescent="0.25">
      <c r="B305" s="5">
        <v>45527</v>
      </c>
      <c r="C305">
        <v>0.29840470000000002</v>
      </c>
      <c r="D305">
        <v>0.84711312999999999</v>
      </c>
    </row>
    <row r="306" spans="2:4" x14ac:dyDescent="0.25">
      <c r="B306" s="5">
        <v>45526</v>
      </c>
      <c r="C306">
        <v>-2.0252824</v>
      </c>
      <c r="D306">
        <v>0.33340454000000003</v>
      </c>
    </row>
    <row r="307" spans="2:4" x14ac:dyDescent="0.25">
      <c r="B307" s="5">
        <v>45525</v>
      </c>
      <c r="C307">
        <v>-0.15535950000000001</v>
      </c>
      <c r="D307">
        <v>0.77623129999999996</v>
      </c>
    </row>
    <row r="308" spans="2:4" x14ac:dyDescent="0.25">
      <c r="B308" s="5">
        <v>45524</v>
      </c>
      <c r="C308">
        <v>0.77574253000000004</v>
      </c>
      <c r="D308">
        <v>0.42024850000000002</v>
      </c>
    </row>
    <row r="309" spans="2:4" x14ac:dyDescent="0.25">
      <c r="B309" s="5">
        <v>45523</v>
      </c>
      <c r="C309">
        <v>0.73122980000000004</v>
      </c>
      <c r="D309">
        <v>1.1656165000000001</v>
      </c>
    </row>
    <row r="310" spans="2:4" x14ac:dyDescent="0.25">
      <c r="B310" s="5">
        <v>45520</v>
      </c>
      <c r="C310">
        <v>-0.60803293999999997</v>
      </c>
      <c r="D310">
        <v>1.0521531</v>
      </c>
    </row>
    <row r="311" spans="2:4" x14ac:dyDescent="0.25">
      <c r="B311" s="5">
        <v>45519</v>
      </c>
      <c r="C311">
        <v>1.0003447999999999</v>
      </c>
      <c r="D311">
        <v>1.4631748</v>
      </c>
    </row>
    <row r="312" spans="2:4" x14ac:dyDescent="0.25">
      <c r="B312" s="5">
        <v>45518</v>
      </c>
      <c r="C312">
        <v>0.68838595999999996</v>
      </c>
      <c r="D312">
        <v>1.7455339999999999</v>
      </c>
    </row>
    <row r="313" spans="2:4" x14ac:dyDescent="0.25">
      <c r="B313" s="5">
        <v>45517</v>
      </c>
      <c r="C313">
        <v>1.7698765000000001</v>
      </c>
      <c r="D313">
        <v>1.1173010000000001</v>
      </c>
    </row>
    <row r="314" spans="2:4" x14ac:dyDescent="0.25">
      <c r="B314" s="5">
        <v>45516</v>
      </c>
      <c r="C314">
        <v>0.19457340000000001</v>
      </c>
      <c r="D314">
        <v>0.62125920000000001</v>
      </c>
    </row>
    <row r="315" spans="2:4" x14ac:dyDescent="0.25">
      <c r="B315" s="5">
        <v>45513</v>
      </c>
      <c r="C315">
        <v>0.82693099999999997</v>
      </c>
      <c r="D315">
        <v>0.79895260000000001</v>
      </c>
    </row>
    <row r="316" spans="2:4" x14ac:dyDescent="0.25">
      <c r="B316" s="5">
        <v>45512</v>
      </c>
      <c r="C316">
        <v>1.0691999999999999</v>
      </c>
      <c r="D316">
        <v>-0.66306589999999999</v>
      </c>
    </row>
    <row r="317" spans="2:4" x14ac:dyDescent="0.25">
      <c r="B317" s="5">
        <v>45511</v>
      </c>
      <c r="C317">
        <v>-0.29528736999999999</v>
      </c>
      <c r="D317">
        <v>2.5249958000000001</v>
      </c>
    </row>
    <row r="318" spans="2:4" x14ac:dyDescent="0.25">
      <c r="B318" s="5">
        <v>45510</v>
      </c>
      <c r="C318">
        <v>1.1286855</v>
      </c>
      <c r="D318">
        <v>-1.9195496999999999</v>
      </c>
    </row>
    <row r="319" spans="2:4" x14ac:dyDescent="0.25">
      <c r="B319" s="5">
        <v>45509</v>
      </c>
      <c r="C319">
        <v>-3.2656847999999998</v>
      </c>
      <c r="D319">
        <v>-1.0819197</v>
      </c>
    </row>
    <row r="320" spans="2:4" x14ac:dyDescent="0.25">
      <c r="B320" s="5">
        <v>45506</v>
      </c>
      <c r="C320">
        <v>-2.0666003000000002</v>
      </c>
      <c r="D320">
        <v>0.2019763</v>
      </c>
    </row>
    <row r="321" spans="2:4" x14ac:dyDescent="0.25">
      <c r="B321" s="5">
        <v>45505</v>
      </c>
      <c r="C321">
        <v>-0.29640793999999998</v>
      </c>
      <c r="D321">
        <v>-1.6588509</v>
      </c>
    </row>
    <row r="322" spans="2:4" x14ac:dyDescent="0.25">
      <c r="B322" s="5">
        <v>45504</v>
      </c>
      <c r="C322">
        <v>-1.0805845000000001</v>
      </c>
      <c r="D322">
        <v>6.8831444000000006E-2</v>
      </c>
    </row>
    <row r="323" spans="2:4" x14ac:dyDescent="0.25">
      <c r="B323" s="5">
        <v>45503</v>
      </c>
      <c r="C323">
        <v>-0.89283586000000004</v>
      </c>
      <c r="D323">
        <v>0.99052189999999996</v>
      </c>
    </row>
    <row r="324" spans="2:4" x14ac:dyDescent="0.25">
      <c r="B324" s="5">
        <v>45502</v>
      </c>
      <c r="C324">
        <v>0.34331083000000001</v>
      </c>
      <c r="D324">
        <v>-1.1330306999999999</v>
      </c>
    </row>
    <row r="325" spans="2:4" x14ac:dyDescent="0.25">
      <c r="B325" s="5">
        <v>45499</v>
      </c>
      <c r="C325">
        <v>1.6419649000000001</v>
      </c>
      <c r="D325">
        <v>0.42982100000000001</v>
      </c>
    </row>
    <row r="326" spans="2:4" x14ac:dyDescent="0.25">
      <c r="B326" s="5">
        <v>45498</v>
      </c>
      <c r="C326">
        <v>-2.4481237</v>
      </c>
      <c r="D326">
        <v>4.0388106999999999E-2</v>
      </c>
    </row>
    <row r="327" spans="2:4" x14ac:dyDescent="0.25">
      <c r="B327" s="5">
        <v>45497</v>
      </c>
      <c r="C327">
        <v>-3.5854816</v>
      </c>
      <c r="D327">
        <v>0.13160706</v>
      </c>
    </row>
    <row r="328" spans="2:4" x14ac:dyDescent="0.25">
      <c r="B328" s="5">
        <v>45496</v>
      </c>
      <c r="C328">
        <v>0.43121576</v>
      </c>
      <c r="D328">
        <v>-1.1776388</v>
      </c>
    </row>
    <row r="329" spans="2:4" x14ac:dyDescent="0.25">
      <c r="B329" s="5">
        <v>45495</v>
      </c>
      <c r="C329">
        <v>1.3337612000000001</v>
      </c>
      <c r="D329">
        <v>1.4798998999999999</v>
      </c>
    </row>
    <row r="330" spans="2:4" x14ac:dyDescent="0.25">
      <c r="B330" s="5">
        <v>45492</v>
      </c>
      <c r="C330">
        <v>-0.74028970000000005</v>
      </c>
      <c r="D330">
        <v>-1.5473664</v>
      </c>
    </row>
    <row r="331" spans="2:4" x14ac:dyDescent="0.25">
      <c r="B331" s="5">
        <v>45491</v>
      </c>
      <c r="C331">
        <v>-0.71022510000000005</v>
      </c>
      <c r="D331">
        <v>-0.80629589999999995</v>
      </c>
    </row>
    <row r="332" spans="2:4" x14ac:dyDescent="0.25">
      <c r="B332" s="5">
        <v>45490</v>
      </c>
      <c r="C332">
        <v>-1.3347566</v>
      </c>
      <c r="D332">
        <v>0.66758393999999999</v>
      </c>
    </row>
    <row r="333" spans="2:4" x14ac:dyDescent="0.25">
      <c r="B333" s="5">
        <v>45489</v>
      </c>
      <c r="C333">
        <v>-0.9780586</v>
      </c>
      <c r="D333">
        <v>-0.76568720000000001</v>
      </c>
    </row>
    <row r="334" spans="2:4" x14ac:dyDescent="0.25">
      <c r="B334" s="5">
        <v>45488</v>
      </c>
      <c r="C334">
        <v>9.0396404E-2</v>
      </c>
      <c r="D334">
        <v>-0.55636169999999996</v>
      </c>
    </row>
    <row r="335" spans="2:4" x14ac:dyDescent="0.25">
      <c r="B335" s="5">
        <v>45485</v>
      </c>
      <c r="C335">
        <v>-0.25292039999999999</v>
      </c>
      <c r="D335">
        <v>2.4128436999999998</v>
      </c>
    </row>
    <row r="336" spans="2:4" x14ac:dyDescent="0.25">
      <c r="B336" s="5">
        <v>45484</v>
      </c>
      <c r="C336">
        <v>-2.4772107999999999</v>
      </c>
      <c r="D336">
        <v>1.3160825</v>
      </c>
    </row>
    <row r="337" spans="2:4" x14ac:dyDescent="0.25">
      <c r="B337" s="5">
        <v>45483</v>
      </c>
      <c r="C337">
        <v>1.4601588000000001</v>
      </c>
      <c r="D337">
        <v>0.20821095000000001</v>
      </c>
    </row>
    <row r="338" spans="2:4" x14ac:dyDescent="0.25">
      <c r="B338" s="5">
        <v>45482</v>
      </c>
      <c r="C338">
        <v>-1.4370263000000001</v>
      </c>
      <c r="D338">
        <v>-0.38457512999999999</v>
      </c>
    </row>
    <row r="339" spans="2:4" x14ac:dyDescent="0.25">
      <c r="B339" s="5">
        <v>45481</v>
      </c>
      <c r="C339">
        <v>-0.2823174</v>
      </c>
      <c r="D339">
        <v>-0.17026663</v>
      </c>
    </row>
    <row r="340" spans="2:4" x14ac:dyDescent="0.25">
      <c r="B340" s="5">
        <v>45478</v>
      </c>
      <c r="C340">
        <v>1.4736176000000001</v>
      </c>
      <c r="D340">
        <v>-1.6576945999999999</v>
      </c>
    </row>
    <row r="341" spans="2:4" x14ac:dyDescent="0.25">
      <c r="B341" s="5">
        <v>45476</v>
      </c>
      <c r="C341">
        <v>0.32441616000000001</v>
      </c>
      <c r="D341">
        <v>0.57246684999999997</v>
      </c>
    </row>
    <row r="342" spans="2:4" x14ac:dyDescent="0.25">
      <c r="B342" s="5">
        <v>45475</v>
      </c>
      <c r="C342">
        <v>0.5583167</v>
      </c>
      <c r="D342">
        <v>0.25721788000000001</v>
      </c>
    </row>
    <row r="343" spans="2:4" x14ac:dyDescent="0.25">
      <c r="B343" s="5">
        <v>45474</v>
      </c>
      <c r="C343">
        <v>2.188158</v>
      </c>
      <c r="D343">
        <v>-0.20233988999999999</v>
      </c>
    </row>
    <row r="344" spans="2:4" x14ac:dyDescent="0.25">
      <c r="B344" s="5">
        <v>45471</v>
      </c>
      <c r="C344">
        <v>-1.3028561999999999</v>
      </c>
      <c r="D344">
        <v>-1.3934432999999999</v>
      </c>
    </row>
    <row r="345" spans="2:4" x14ac:dyDescent="0.25">
      <c r="B345" s="5">
        <v>45470</v>
      </c>
      <c r="C345">
        <v>0.15259981</v>
      </c>
      <c r="D345">
        <v>1.2252212</v>
      </c>
    </row>
    <row r="346" spans="2:4" x14ac:dyDescent="0.25">
      <c r="B346" s="5">
        <v>45469</v>
      </c>
      <c r="C346">
        <v>0.26831627000000002</v>
      </c>
      <c r="D346">
        <v>-0.51882863000000001</v>
      </c>
    </row>
    <row r="347" spans="2:4" x14ac:dyDescent="0.25">
      <c r="B347" s="5">
        <v>45468</v>
      </c>
      <c r="C347">
        <v>0.73268414000000004</v>
      </c>
      <c r="D347">
        <v>-0.91286900000000004</v>
      </c>
    </row>
    <row r="348" spans="2:4" x14ac:dyDescent="0.25">
      <c r="B348" s="5">
        <v>45467</v>
      </c>
      <c r="C348">
        <v>-0.46911239999999998</v>
      </c>
      <c r="D348">
        <v>1.2847066</v>
      </c>
    </row>
    <row r="349" spans="2:4" x14ac:dyDescent="0.25">
      <c r="B349" s="5">
        <v>45464</v>
      </c>
      <c r="C349">
        <v>0.91540812999999999</v>
      </c>
      <c r="D349">
        <v>0.72634220000000005</v>
      </c>
    </row>
    <row r="350" spans="2:4" x14ac:dyDescent="0.25">
      <c r="B350" s="5">
        <v>45463</v>
      </c>
      <c r="C350">
        <v>-0.14338492999999999</v>
      </c>
      <c r="D350">
        <v>0.21029711000000001</v>
      </c>
    </row>
    <row r="351" spans="2:4" x14ac:dyDescent="0.25">
      <c r="B351" s="5">
        <v>45461</v>
      </c>
      <c r="C351">
        <v>-0.45275092</v>
      </c>
      <c r="D351">
        <v>2.0946026</v>
      </c>
    </row>
    <row r="352" spans="2:4" x14ac:dyDescent="0.25">
      <c r="B352" s="5">
        <v>45460</v>
      </c>
      <c r="C352">
        <v>1.3105273</v>
      </c>
      <c r="D352">
        <v>2.3895621</v>
      </c>
    </row>
    <row r="353" spans="2:4" x14ac:dyDescent="0.25">
      <c r="B353" s="5">
        <v>45457</v>
      </c>
      <c r="C353">
        <v>0.22419691</v>
      </c>
      <c r="D353">
        <v>0.3489256</v>
      </c>
    </row>
    <row r="354" spans="2:4" x14ac:dyDescent="0.25">
      <c r="B354" s="5">
        <v>45456</v>
      </c>
      <c r="C354">
        <v>0.11789798999999999</v>
      </c>
      <c r="D354">
        <v>-3.7711858999999999</v>
      </c>
    </row>
    <row r="355" spans="2:4" x14ac:dyDescent="0.25">
      <c r="B355" s="5">
        <v>45455</v>
      </c>
      <c r="C355">
        <v>1.9367695</v>
      </c>
      <c r="D355">
        <v>0.88977814</v>
      </c>
    </row>
    <row r="356" spans="2:4" x14ac:dyDescent="0.25">
      <c r="B356" s="5">
        <v>45454</v>
      </c>
      <c r="C356">
        <v>1.1241673999999999</v>
      </c>
      <c r="D356">
        <v>8.0728530000000007E-2</v>
      </c>
    </row>
    <row r="357" spans="2:4" x14ac:dyDescent="0.25">
      <c r="B357" s="5">
        <v>45453</v>
      </c>
      <c r="C357">
        <v>0.94844099999999998</v>
      </c>
      <c r="D357">
        <v>-1.6940415</v>
      </c>
    </row>
    <row r="358" spans="2:4" x14ac:dyDescent="0.25">
      <c r="B358" s="5">
        <v>45450</v>
      </c>
      <c r="C358">
        <v>-0.15782118000000001</v>
      </c>
      <c r="D358">
        <v>-0.90129375</v>
      </c>
    </row>
    <row r="359" spans="2:4" x14ac:dyDescent="0.25">
      <c r="B359" s="5">
        <v>45449</v>
      </c>
      <c r="C359">
        <v>0.12027025</v>
      </c>
      <c r="D359">
        <v>0.16356707000000001</v>
      </c>
    </row>
    <row r="360" spans="2:4" x14ac:dyDescent="0.25">
      <c r="B360" s="5">
        <v>45448</v>
      </c>
      <c r="C360">
        <v>1.9083380999999999</v>
      </c>
      <c r="D360">
        <v>1.164639</v>
      </c>
    </row>
    <row r="361" spans="2:4" x14ac:dyDescent="0.25">
      <c r="B361" s="5">
        <v>45447</v>
      </c>
      <c r="C361">
        <v>0.61665773000000002</v>
      </c>
      <c r="D361">
        <v>1.4832973</v>
      </c>
    </row>
    <row r="362" spans="2:4" x14ac:dyDescent="0.25">
      <c r="B362" s="5">
        <v>45446</v>
      </c>
      <c r="C362">
        <v>-0.3878355</v>
      </c>
      <c r="D362">
        <v>0.43007135000000002</v>
      </c>
    </row>
    <row r="363" spans="2:4" x14ac:dyDescent="0.25">
      <c r="B363" s="5">
        <v>45443</v>
      </c>
      <c r="C363">
        <v>0.11092424400000001</v>
      </c>
      <c r="D363">
        <v>1.9215822</v>
      </c>
    </row>
    <row r="364" spans="2:4" x14ac:dyDescent="0.25">
      <c r="B364" s="5">
        <v>45442</v>
      </c>
      <c r="C364">
        <v>-3.3786117999999998</v>
      </c>
      <c r="D364">
        <v>1.2924789999999999</v>
      </c>
    </row>
    <row r="365" spans="2:4" x14ac:dyDescent="0.25">
      <c r="B365" s="5">
        <v>45441</v>
      </c>
      <c r="C365">
        <v>-0.26724340000000002</v>
      </c>
      <c r="D365">
        <v>-0.75165630000000005</v>
      </c>
    </row>
    <row r="366" spans="2:4" x14ac:dyDescent="0.25">
      <c r="B366" s="5">
        <v>45440</v>
      </c>
      <c r="C366">
        <v>3.7193299999999999E-2</v>
      </c>
      <c r="D366">
        <v>-3.1083167</v>
      </c>
    </row>
    <row r="367" spans="2:4" x14ac:dyDescent="0.25">
      <c r="B367" s="5">
        <v>45436</v>
      </c>
      <c r="C367">
        <v>0.74005127000000004</v>
      </c>
      <c r="D367">
        <v>1.7392635E-2</v>
      </c>
    </row>
    <row r="368" spans="2:4" x14ac:dyDescent="0.25">
      <c r="B368" s="5">
        <v>45435</v>
      </c>
      <c r="C368">
        <v>-0.81761479999999997</v>
      </c>
      <c r="D368">
        <v>-0.15032887</v>
      </c>
    </row>
    <row r="369" spans="2:4" x14ac:dyDescent="0.25">
      <c r="B369" s="5">
        <v>45434</v>
      </c>
      <c r="C369">
        <v>0.34495592000000003</v>
      </c>
      <c r="D369">
        <v>-0.15839338</v>
      </c>
    </row>
    <row r="370" spans="2:4" x14ac:dyDescent="0.25">
      <c r="B370" s="5">
        <v>45433</v>
      </c>
      <c r="C370">
        <v>0.86989399999999995</v>
      </c>
      <c r="D370">
        <v>0.44342280000000001</v>
      </c>
    </row>
    <row r="371" spans="2:4" x14ac:dyDescent="0.25">
      <c r="B371" s="5">
        <v>45432</v>
      </c>
      <c r="C371">
        <v>1.2208223</v>
      </c>
      <c r="D371">
        <v>-0.50712824000000001</v>
      </c>
    </row>
    <row r="372" spans="2:4" x14ac:dyDescent="0.25">
      <c r="B372" s="5">
        <v>45429</v>
      </c>
      <c r="C372">
        <v>-0.18527508000000001</v>
      </c>
      <c r="D372">
        <v>1.7365694</v>
      </c>
    </row>
    <row r="373" spans="2:4" x14ac:dyDescent="0.25">
      <c r="B373" s="5">
        <v>45428</v>
      </c>
      <c r="C373">
        <v>-0.49399734000000001</v>
      </c>
      <c r="D373">
        <v>0.84666014000000001</v>
      </c>
    </row>
    <row r="374" spans="2:4" x14ac:dyDescent="0.25">
      <c r="B374" s="5">
        <v>45427</v>
      </c>
      <c r="C374">
        <v>1.5651941</v>
      </c>
      <c r="D374">
        <v>0.26316643000000001</v>
      </c>
    </row>
    <row r="375" spans="2:4" x14ac:dyDescent="0.25">
      <c r="B375" s="5">
        <v>45426</v>
      </c>
      <c r="C375">
        <v>0.68645480000000003</v>
      </c>
      <c r="D375">
        <v>-1.2527524999999999</v>
      </c>
    </row>
    <row r="376" spans="2:4" x14ac:dyDescent="0.25">
      <c r="B376" s="5">
        <v>45425</v>
      </c>
      <c r="C376">
        <v>-0.24593472</v>
      </c>
      <c r="D376">
        <v>-2.0692586999999998</v>
      </c>
    </row>
    <row r="377" spans="2:4" x14ac:dyDescent="0.25">
      <c r="B377" s="5">
        <v>45422</v>
      </c>
      <c r="C377">
        <v>0.58691499999999996</v>
      </c>
      <c r="D377">
        <v>-0.48759580000000002</v>
      </c>
    </row>
    <row r="378" spans="2:4" x14ac:dyDescent="0.25">
      <c r="B378" s="5">
        <v>45421</v>
      </c>
      <c r="C378">
        <v>0.43357610000000002</v>
      </c>
      <c r="D378">
        <v>0.94865560000000004</v>
      </c>
    </row>
    <row r="379" spans="2:4" x14ac:dyDescent="0.25">
      <c r="B379" s="5">
        <v>45420</v>
      </c>
      <c r="C379">
        <v>0.29315947999999997</v>
      </c>
      <c r="D379">
        <v>-0.37106275999999999</v>
      </c>
    </row>
    <row r="380" spans="2:4" x14ac:dyDescent="0.25">
      <c r="B380" s="5">
        <v>45419</v>
      </c>
      <c r="C380">
        <v>-1.0156213999999999</v>
      </c>
      <c r="D380">
        <v>1.4961243</v>
      </c>
    </row>
    <row r="381" spans="2:4" x14ac:dyDescent="0.25">
      <c r="B381" s="5">
        <v>45418</v>
      </c>
      <c r="C381">
        <v>1.6918302000000001</v>
      </c>
      <c r="D381">
        <v>-0.23122429999999999</v>
      </c>
    </row>
    <row r="382" spans="2:4" x14ac:dyDescent="0.25">
      <c r="B382" s="5">
        <v>45415</v>
      </c>
      <c r="C382">
        <v>2.216971</v>
      </c>
      <c r="D382">
        <v>1.8964052</v>
      </c>
    </row>
    <row r="383" spans="2:4" x14ac:dyDescent="0.25">
      <c r="B383" s="5">
        <v>45414</v>
      </c>
      <c r="C383">
        <v>0.73428154000000001</v>
      </c>
      <c r="D383">
        <v>0.95807313999999999</v>
      </c>
    </row>
    <row r="384" spans="2:4" x14ac:dyDescent="0.25">
      <c r="B384" s="5">
        <v>45413</v>
      </c>
      <c r="C384">
        <v>1.4409422999999999</v>
      </c>
      <c r="D384">
        <v>-8.4167720000000001E-2</v>
      </c>
    </row>
    <row r="385" spans="2:4" x14ac:dyDescent="0.25">
      <c r="B385" s="5">
        <v>45412</v>
      </c>
      <c r="C385">
        <v>-3.2119333999999999</v>
      </c>
      <c r="D385">
        <v>-0.73930620000000002</v>
      </c>
    </row>
    <row r="386" spans="2:4" x14ac:dyDescent="0.25">
      <c r="B386" s="5">
        <v>45411</v>
      </c>
      <c r="C386">
        <v>-1.0016738999999999</v>
      </c>
      <c r="D386">
        <v>3.4403799999999998E-2</v>
      </c>
    </row>
    <row r="387" spans="2:4" x14ac:dyDescent="0.25">
      <c r="B387" s="5">
        <v>45408</v>
      </c>
      <c r="C387">
        <v>1.824379</v>
      </c>
      <c r="D387">
        <v>0.35126210000000002</v>
      </c>
    </row>
    <row r="388" spans="2:4" x14ac:dyDescent="0.25">
      <c r="B388" s="5">
        <v>45407</v>
      </c>
      <c r="C388">
        <v>-2.4495184000000001</v>
      </c>
      <c r="D388">
        <v>0.64523220000000003</v>
      </c>
    </row>
    <row r="389" spans="2:4" x14ac:dyDescent="0.25">
      <c r="B389" s="5">
        <v>45406</v>
      </c>
      <c r="C389">
        <v>0.36557912999999997</v>
      </c>
      <c r="D389">
        <v>-4.0958699999999997</v>
      </c>
    </row>
    <row r="390" spans="2:4" x14ac:dyDescent="0.25">
      <c r="B390" s="5">
        <v>45405</v>
      </c>
      <c r="C390">
        <v>1.6485453000000001</v>
      </c>
      <c r="D390">
        <v>0.71188209999999996</v>
      </c>
    </row>
    <row r="391" spans="2:4" x14ac:dyDescent="0.25">
      <c r="B391" s="5">
        <v>45404</v>
      </c>
      <c r="C391">
        <v>0.46101809999999999</v>
      </c>
      <c r="D391">
        <v>0.59574839999999996</v>
      </c>
    </row>
    <row r="392" spans="2:4" x14ac:dyDescent="0.25">
      <c r="B392" s="5">
        <v>45401</v>
      </c>
      <c r="C392">
        <v>-1.2739003</v>
      </c>
      <c r="D392">
        <v>-0.21207929</v>
      </c>
    </row>
    <row r="393" spans="2:4" x14ac:dyDescent="0.25">
      <c r="B393" s="5">
        <v>45400</v>
      </c>
      <c r="C393">
        <v>-1.8380939999999999</v>
      </c>
      <c r="D393">
        <v>0.15184880000000001</v>
      </c>
    </row>
    <row r="394" spans="2:4" x14ac:dyDescent="0.25">
      <c r="B394" s="5">
        <v>45399</v>
      </c>
      <c r="C394">
        <v>-0.66090819999999995</v>
      </c>
      <c r="D394">
        <v>0.42294263999999998</v>
      </c>
    </row>
    <row r="395" spans="2:4" x14ac:dyDescent="0.25">
      <c r="B395" s="5">
        <v>45398</v>
      </c>
      <c r="C395">
        <v>0.22724867000000001</v>
      </c>
      <c r="D395">
        <v>-2.1889984999999998</v>
      </c>
    </row>
    <row r="396" spans="2:4" x14ac:dyDescent="0.25">
      <c r="B396" s="5">
        <v>45397</v>
      </c>
      <c r="C396">
        <v>-1.9578040000000001</v>
      </c>
      <c r="D396">
        <v>0.41501522000000002</v>
      </c>
    </row>
    <row r="397" spans="2:4" x14ac:dyDescent="0.25">
      <c r="B397" s="5">
        <v>45394</v>
      </c>
      <c r="C397">
        <v>-1.4091073999999999</v>
      </c>
      <c r="D397">
        <v>-4.1913986E-2</v>
      </c>
    </row>
    <row r="398" spans="2:4" x14ac:dyDescent="0.25">
      <c r="B398" s="5">
        <v>45393</v>
      </c>
      <c r="C398">
        <v>1.1033416</v>
      </c>
      <c r="D398">
        <v>-0.34060478</v>
      </c>
    </row>
    <row r="399" spans="2:4" x14ac:dyDescent="0.25">
      <c r="B399" s="5">
        <v>45392</v>
      </c>
      <c r="C399">
        <v>-0.70845484999999997</v>
      </c>
      <c r="D399">
        <v>-2.8520823000000001E-2</v>
      </c>
    </row>
    <row r="400" spans="2:4" x14ac:dyDescent="0.25">
      <c r="B400" s="5">
        <v>45391</v>
      </c>
      <c r="C400">
        <v>0.39802789999999999</v>
      </c>
      <c r="D400">
        <v>-0.6245792</v>
      </c>
    </row>
    <row r="401" spans="2:4" x14ac:dyDescent="0.25">
      <c r="B401" s="5">
        <v>45390</v>
      </c>
      <c r="C401">
        <v>-0.21855235000000001</v>
      </c>
      <c r="D401">
        <v>0.69898366999999995</v>
      </c>
    </row>
    <row r="402" spans="2:4" x14ac:dyDescent="0.25">
      <c r="B402" s="5">
        <v>45387</v>
      </c>
      <c r="C402">
        <v>1.8282771</v>
      </c>
      <c r="D402">
        <v>0.10185242</v>
      </c>
    </row>
    <row r="403" spans="2:4" x14ac:dyDescent="0.25">
      <c r="B403" s="5">
        <v>45386</v>
      </c>
      <c r="C403">
        <v>-0.61125160000000001</v>
      </c>
      <c r="D403">
        <v>0.50145390000000001</v>
      </c>
    </row>
    <row r="404" spans="2:4" x14ac:dyDescent="0.25">
      <c r="B404" s="5">
        <v>45385</v>
      </c>
      <c r="C404">
        <v>-0.23490786999999999</v>
      </c>
      <c r="D404">
        <v>6.7138669999999998E-2</v>
      </c>
    </row>
    <row r="405" spans="2:4" x14ac:dyDescent="0.25">
      <c r="B405" s="5">
        <v>45384</v>
      </c>
      <c r="C405">
        <v>-0.73722005000000002</v>
      </c>
      <c r="D405">
        <v>-1.3585031000000001</v>
      </c>
    </row>
    <row r="406" spans="2:4" x14ac:dyDescent="0.25">
      <c r="B406" s="5">
        <v>45383</v>
      </c>
      <c r="C406">
        <v>0.91509819999999997</v>
      </c>
      <c r="D406">
        <v>-0.51388739999999999</v>
      </c>
    </row>
    <row r="407" spans="2:4" x14ac:dyDescent="0.25">
      <c r="B407" s="5">
        <v>45379</v>
      </c>
      <c r="C407">
        <v>-0.16847253000000001</v>
      </c>
      <c r="D407">
        <v>0.55282116000000003</v>
      </c>
    </row>
    <row r="408" spans="2:4" x14ac:dyDescent="0.25">
      <c r="B408" s="5">
        <v>45378</v>
      </c>
      <c r="C408">
        <v>-5.2177906000000003E-2</v>
      </c>
      <c r="D408">
        <v>8.5616109999999995E-2</v>
      </c>
    </row>
    <row r="409" spans="2:4" x14ac:dyDescent="0.25">
      <c r="B409" s="5">
        <v>45377</v>
      </c>
      <c r="C409">
        <v>-0.28614402</v>
      </c>
      <c r="D409">
        <v>0.88313819999999998</v>
      </c>
    </row>
    <row r="410" spans="2:4" x14ac:dyDescent="0.25">
      <c r="B410" s="5">
        <v>45376</v>
      </c>
      <c r="C410">
        <v>-1.3714611999999999</v>
      </c>
      <c r="D410">
        <v>0.49568414999999999</v>
      </c>
    </row>
    <row r="411" spans="2:4" x14ac:dyDescent="0.25">
      <c r="B411" s="5">
        <v>45373</v>
      </c>
      <c r="C411">
        <v>-0.14672874999999999</v>
      </c>
      <c r="D411">
        <v>-0.62848329999999997</v>
      </c>
    </row>
    <row r="412" spans="2:4" x14ac:dyDescent="0.25">
      <c r="B412" s="5">
        <v>45372</v>
      </c>
      <c r="C412">
        <v>0.97358226999999997</v>
      </c>
      <c r="D412">
        <v>0.55100919999999998</v>
      </c>
    </row>
    <row r="413" spans="2:4" x14ac:dyDescent="0.25">
      <c r="B413" s="5">
        <v>45371</v>
      </c>
      <c r="C413">
        <v>0.90647935999999996</v>
      </c>
      <c r="D413">
        <v>-0.31530259999999999</v>
      </c>
    </row>
    <row r="414" spans="2:4" x14ac:dyDescent="0.25">
      <c r="B414" s="5">
        <v>45370</v>
      </c>
      <c r="C414">
        <v>0.98006724999999995</v>
      </c>
      <c r="D414">
        <v>5.3060055000000002E-2</v>
      </c>
    </row>
    <row r="415" spans="2:4" x14ac:dyDescent="0.25">
      <c r="B415" s="5">
        <v>45369</v>
      </c>
      <c r="C415">
        <v>0.21612644</v>
      </c>
      <c r="D415">
        <v>-0.13090372</v>
      </c>
    </row>
    <row r="416" spans="2:4" x14ac:dyDescent="0.25">
      <c r="B416" s="5">
        <v>45366</v>
      </c>
      <c r="C416">
        <v>-2.069515</v>
      </c>
      <c r="D416">
        <v>-0.75006485000000001</v>
      </c>
    </row>
    <row r="417" spans="2:4" x14ac:dyDescent="0.25">
      <c r="B417" s="5">
        <v>45365</v>
      </c>
      <c r="C417">
        <v>2.437961</v>
      </c>
      <c r="D417">
        <v>0.32597779999999998</v>
      </c>
    </row>
    <row r="418" spans="2:4" x14ac:dyDescent="0.25">
      <c r="B418" s="5">
        <v>45364</v>
      </c>
      <c r="C418">
        <v>-4.3344498000000002E-2</v>
      </c>
      <c r="D418">
        <v>-2.6588082000000002</v>
      </c>
    </row>
    <row r="419" spans="2:4" x14ac:dyDescent="0.25">
      <c r="B419" s="5">
        <v>45363</v>
      </c>
      <c r="C419">
        <v>2.6599406999999999</v>
      </c>
      <c r="D419">
        <v>0.44003724999999999</v>
      </c>
    </row>
    <row r="420" spans="2:4" x14ac:dyDescent="0.25">
      <c r="B420" s="5">
        <v>45362</v>
      </c>
      <c r="C420">
        <v>-0.41849613000000002</v>
      </c>
      <c r="D420">
        <v>-0.21758079999999999</v>
      </c>
    </row>
    <row r="421" spans="2:4" x14ac:dyDescent="0.25">
      <c r="B421" s="5">
        <v>45359</v>
      </c>
      <c r="C421">
        <v>-0.7136941</v>
      </c>
      <c r="D421">
        <v>-1.2584983999999999</v>
      </c>
    </row>
    <row r="422" spans="2:4" x14ac:dyDescent="0.25">
      <c r="B422" s="5">
        <v>45358</v>
      </c>
      <c r="C422">
        <v>1.7533422000000001</v>
      </c>
      <c r="D422">
        <v>0.98905562999999996</v>
      </c>
    </row>
    <row r="423" spans="2:4" x14ac:dyDescent="0.25">
      <c r="B423" s="5">
        <v>45357</v>
      </c>
      <c r="C423">
        <v>-0.13907552000000001</v>
      </c>
      <c r="D423">
        <v>-0.55446030000000002</v>
      </c>
    </row>
    <row r="424" spans="2:4" x14ac:dyDescent="0.25">
      <c r="B424" s="5">
        <v>45356</v>
      </c>
      <c r="C424">
        <v>-2.957201</v>
      </c>
      <c r="D424">
        <v>0.12563467</v>
      </c>
    </row>
    <row r="425" spans="2:4" x14ac:dyDescent="0.25">
      <c r="B425" s="5">
        <v>45355</v>
      </c>
      <c r="C425">
        <v>-0.13958812000000001</v>
      </c>
      <c r="D425">
        <v>7.6437000000000005E-2</v>
      </c>
    </row>
    <row r="426" spans="2:4" x14ac:dyDescent="0.25">
      <c r="B426" s="5">
        <v>45352</v>
      </c>
      <c r="C426">
        <v>0.44965744000000002</v>
      </c>
      <c r="D426">
        <v>-0.25851727000000002</v>
      </c>
    </row>
    <row r="427" spans="2:4" x14ac:dyDescent="0.25">
      <c r="B427" s="5">
        <v>45351</v>
      </c>
      <c r="C427">
        <v>1.4519811</v>
      </c>
      <c r="D427">
        <v>0.42467116999999999</v>
      </c>
    </row>
    <row r="428" spans="2:4" x14ac:dyDescent="0.25">
      <c r="B428" s="5">
        <v>45350</v>
      </c>
      <c r="C428">
        <v>5.8901309999999998E-2</v>
      </c>
      <c r="D428">
        <v>-0.22807121</v>
      </c>
    </row>
    <row r="429" spans="2:4" x14ac:dyDescent="0.25">
      <c r="B429" s="5">
        <v>45349</v>
      </c>
      <c r="C429">
        <v>-1.4722347E-2</v>
      </c>
      <c r="D429">
        <v>7.157326E-2</v>
      </c>
    </row>
    <row r="430" spans="2:4" x14ac:dyDescent="0.25">
      <c r="B430" s="5">
        <v>45348</v>
      </c>
      <c r="C430">
        <v>-0.68235992999999995</v>
      </c>
      <c r="D430">
        <v>0.93246700000000005</v>
      </c>
    </row>
    <row r="431" spans="2:4" x14ac:dyDescent="0.25">
      <c r="B431" s="5">
        <v>45345</v>
      </c>
      <c r="C431">
        <v>-0.31822919999999999</v>
      </c>
      <c r="D431">
        <v>1.8588662</v>
      </c>
    </row>
    <row r="432" spans="2:4" x14ac:dyDescent="0.25">
      <c r="B432" s="5">
        <v>45344</v>
      </c>
      <c r="C432">
        <v>2.3546695999999998</v>
      </c>
      <c r="D432">
        <v>0.87796450000000004</v>
      </c>
    </row>
    <row r="433" spans="2:4" x14ac:dyDescent="0.25">
      <c r="B433" s="5">
        <v>45343</v>
      </c>
      <c r="C433">
        <v>-0.15144943999999999</v>
      </c>
      <c r="D433">
        <v>-1.4350354999999999</v>
      </c>
    </row>
    <row r="434" spans="2:4" x14ac:dyDescent="0.25">
      <c r="B434" s="5">
        <v>45342</v>
      </c>
      <c r="C434">
        <v>-0.31430720000000001</v>
      </c>
      <c r="D434">
        <v>1.1253476</v>
      </c>
    </row>
    <row r="435" spans="2:4" x14ac:dyDescent="0.25">
      <c r="B435" s="5">
        <v>45338</v>
      </c>
      <c r="C435">
        <v>-0.6149173</v>
      </c>
      <c r="D435">
        <v>1.0848403</v>
      </c>
    </row>
    <row r="436" spans="2:4" x14ac:dyDescent="0.25">
      <c r="B436" s="5">
        <v>45337</v>
      </c>
      <c r="C436">
        <v>-0.71552395999999996</v>
      </c>
      <c r="D436">
        <v>-0.28840303</v>
      </c>
    </row>
    <row r="437" spans="2:4" x14ac:dyDescent="0.25">
      <c r="B437" s="5">
        <v>45336</v>
      </c>
      <c r="C437">
        <v>0.7801652</v>
      </c>
      <c r="D437">
        <v>5.941391E-2</v>
      </c>
    </row>
    <row r="438" spans="2:4" x14ac:dyDescent="0.25">
      <c r="B438" s="5">
        <v>45335</v>
      </c>
      <c r="C438">
        <v>-2.1528660999999998</v>
      </c>
      <c r="D438">
        <v>-0.78271630000000003</v>
      </c>
    </row>
    <row r="439" spans="2:4" x14ac:dyDescent="0.25">
      <c r="B439" s="5">
        <v>45334</v>
      </c>
      <c r="C439">
        <v>-1.2578726</v>
      </c>
      <c r="D439">
        <v>0.25137662999999999</v>
      </c>
    </row>
    <row r="440" spans="2:4" x14ac:dyDescent="0.25">
      <c r="B440" s="5">
        <v>45331</v>
      </c>
      <c r="C440">
        <v>1.5551448000000001</v>
      </c>
      <c r="D440">
        <v>-0.43857694000000003</v>
      </c>
    </row>
    <row r="441" spans="2:4" x14ac:dyDescent="0.25">
      <c r="B441" s="5">
        <v>45330</v>
      </c>
      <c r="C441">
        <v>1.4495849999999999E-2</v>
      </c>
      <c r="D441">
        <v>0.98156929999999998</v>
      </c>
    </row>
    <row r="442" spans="2:4" x14ac:dyDescent="0.25">
      <c r="B442" s="5">
        <v>45329</v>
      </c>
      <c r="C442">
        <v>2.1110296000000002</v>
      </c>
      <c r="D442">
        <v>-6.2102079999999997E-2</v>
      </c>
    </row>
    <row r="443" spans="2:4" x14ac:dyDescent="0.25">
      <c r="B443" s="5">
        <v>45328</v>
      </c>
      <c r="C443">
        <v>-3.9446354000000003E-2</v>
      </c>
      <c r="D443">
        <v>0.49554110000000001</v>
      </c>
    </row>
    <row r="444" spans="2:4" x14ac:dyDescent="0.25">
      <c r="B444" s="5">
        <v>45327</v>
      </c>
      <c r="C444">
        <v>-1.3545096000000001</v>
      </c>
      <c r="D444">
        <v>-0.17162561000000001</v>
      </c>
    </row>
    <row r="445" spans="2:4" x14ac:dyDescent="0.25">
      <c r="B445" s="5">
        <v>45324</v>
      </c>
      <c r="C445">
        <v>1.8425822000000001</v>
      </c>
      <c r="D445">
        <v>-0.67871809999999999</v>
      </c>
    </row>
    <row r="446" spans="2:4" x14ac:dyDescent="0.25">
      <c r="B446" s="5">
        <v>45323</v>
      </c>
      <c r="C446">
        <v>1.5594363</v>
      </c>
      <c r="D446">
        <v>0.28516054000000002</v>
      </c>
    </row>
    <row r="447" spans="2:4" x14ac:dyDescent="0.25">
      <c r="B447" s="5">
        <v>45322</v>
      </c>
      <c r="C447">
        <v>-2.6946365999999999</v>
      </c>
      <c r="D447">
        <v>0.15861987999999999</v>
      </c>
    </row>
    <row r="448" spans="2:4" x14ac:dyDescent="0.25">
      <c r="B448" s="5">
        <v>45321</v>
      </c>
      <c r="C448">
        <v>-0.27579664999999998</v>
      </c>
      <c r="D448">
        <v>0.81535579999999996</v>
      </c>
    </row>
    <row r="449" spans="2:4" x14ac:dyDescent="0.25">
      <c r="B449" s="5">
        <v>45320</v>
      </c>
      <c r="C449">
        <v>1.4334202</v>
      </c>
      <c r="D449">
        <v>-0.45396686000000003</v>
      </c>
    </row>
    <row r="450" spans="2:4" x14ac:dyDescent="0.25">
      <c r="B450" s="5">
        <v>45317</v>
      </c>
      <c r="C450">
        <v>-0.23217201000000001</v>
      </c>
      <c r="D450">
        <v>-0.54327250000000005</v>
      </c>
    </row>
    <row r="451" spans="2:4" x14ac:dyDescent="0.25">
      <c r="B451" s="5">
        <v>45316</v>
      </c>
      <c r="C451">
        <v>0.57382584000000003</v>
      </c>
      <c r="D451">
        <v>-1.3960600000000001</v>
      </c>
    </row>
    <row r="452" spans="2:4" x14ac:dyDescent="0.25">
      <c r="B452" s="5">
        <v>45315</v>
      </c>
      <c r="C452">
        <v>0.91753006000000004</v>
      </c>
      <c r="D452">
        <v>0.34145117000000003</v>
      </c>
    </row>
    <row r="453" spans="2:4" x14ac:dyDescent="0.25">
      <c r="B453" s="5">
        <v>45314</v>
      </c>
      <c r="C453">
        <v>0.60275793</v>
      </c>
      <c r="D453">
        <v>-1.4862299000000001</v>
      </c>
    </row>
    <row r="454" spans="2:4" x14ac:dyDescent="0.25">
      <c r="B454" s="5">
        <v>45313</v>
      </c>
      <c r="C454">
        <v>-0.54180026000000003</v>
      </c>
      <c r="D454">
        <v>-0.16171932</v>
      </c>
    </row>
    <row r="455" spans="2:4" x14ac:dyDescent="0.25">
      <c r="B455" s="5">
        <v>45310</v>
      </c>
      <c r="C455">
        <v>1.2186766</v>
      </c>
      <c r="D455">
        <v>0.84892509999999999</v>
      </c>
    </row>
    <row r="456" spans="2:4" x14ac:dyDescent="0.25">
      <c r="B456" s="5">
        <v>45309</v>
      </c>
      <c r="C456">
        <v>1.1297345000000001</v>
      </c>
      <c r="D456">
        <v>4.4977665E-2</v>
      </c>
    </row>
    <row r="457" spans="2:4" x14ac:dyDescent="0.25">
      <c r="B457" s="5">
        <v>45308</v>
      </c>
      <c r="C457">
        <v>-0.20498037</v>
      </c>
      <c r="D457">
        <v>-0.14226437</v>
      </c>
    </row>
    <row r="458" spans="2:4" x14ac:dyDescent="0.25">
      <c r="B458" s="5">
        <v>45307</v>
      </c>
      <c r="C458">
        <v>0.46335460000000001</v>
      </c>
      <c r="D458">
        <v>-0.33516288</v>
      </c>
    </row>
    <row r="459" spans="2:4" x14ac:dyDescent="0.25">
      <c r="B459" s="5">
        <v>45303</v>
      </c>
      <c r="C459">
        <v>0.99836590000000003</v>
      </c>
      <c r="D459">
        <v>1.6658782999999999</v>
      </c>
    </row>
    <row r="460" spans="2:4" x14ac:dyDescent="0.25">
      <c r="B460" s="5">
        <v>45302</v>
      </c>
      <c r="C460">
        <v>0.48593282999999998</v>
      </c>
      <c r="D460">
        <v>-1.155287</v>
      </c>
    </row>
    <row r="461" spans="2:4" x14ac:dyDescent="0.25">
      <c r="B461" s="5">
        <v>45301</v>
      </c>
      <c r="C461">
        <v>1.8574119</v>
      </c>
      <c r="D461">
        <v>0.72355270000000005</v>
      </c>
    </row>
    <row r="462" spans="2:4" x14ac:dyDescent="0.25">
      <c r="B462" s="5">
        <v>45300</v>
      </c>
      <c r="C462">
        <v>0.29357672000000001</v>
      </c>
      <c r="D462">
        <v>-1.0465324</v>
      </c>
    </row>
    <row r="463" spans="2:4" x14ac:dyDescent="0.25">
      <c r="B463" s="5">
        <v>45299</v>
      </c>
      <c r="C463">
        <v>1.8871545999999999</v>
      </c>
      <c r="D463">
        <v>0.25801659999999998</v>
      </c>
    </row>
    <row r="464" spans="2:4" x14ac:dyDescent="0.25">
      <c r="B464" s="5">
        <v>45296</v>
      </c>
      <c r="C464">
        <v>-5.1641463999999998E-2</v>
      </c>
      <c r="D464">
        <v>0.88666679999999998</v>
      </c>
    </row>
    <row r="465" spans="2:4" x14ac:dyDescent="0.25">
      <c r="B465" s="5">
        <v>45295</v>
      </c>
      <c r="C465">
        <v>-0.71775319999999998</v>
      </c>
      <c r="D465">
        <v>1.9176006000000001</v>
      </c>
    </row>
    <row r="466" spans="2:4" x14ac:dyDescent="0.25">
      <c r="B466" s="5">
        <v>45294</v>
      </c>
      <c r="C466">
        <v>-7.2801110000000002E-2</v>
      </c>
      <c r="D466">
        <v>-1.6676842999999999</v>
      </c>
    </row>
    <row r="467" spans="2:4" x14ac:dyDescent="0.25">
      <c r="B467" s="5">
        <v>45293</v>
      </c>
      <c r="C467">
        <v>-1.3748586</v>
      </c>
      <c r="D467">
        <v>-1.7823397999999999</v>
      </c>
    </row>
    <row r="468" spans="2:4" x14ac:dyDescent="0.25">
      <c r="B468" s="5">
        <v>45289</v>
      </c>
      <c r="C468">
        <v>0.20251274</v>
      </c>
      <c r="D468">
        <v>0.43810606000000002</v>
      </c>
    </row>
    <row r="469" spans="2:4" x14ac:dyDescent="0.25">
      <c r="B469" s="5">
        <v>45288</v>
      </c>
      <c r="C469">
        <v>0.32346249999999999</v>
      </c>
      <c r="D469">
        <v>-0.29239058000000001</v>
      </c>
    </row>
    <row r="470" spans="2:4" x14ac:dyDescent="0.25">
      <c r="B470" s="5">
        <v>45287</v>
      </c>
      <c r="C470">
        <v>-0.15747547000000001</v>
      </c>
      <c r="D470">
        <v>1.3685465000000001</v>
      </c>
    </row>
    <row r="471" spans="2:4" x14ac:dyDescent="0.25">
      <c r="B471" s="5">
        <v>45286</v>
      </c>
      <c r="C471">
        <v>2.1362305000000002E-2</v>
      </c>
      <c r="D471">
        <v>0.12713669999999999</v>
      </c>
    </row>
    <row r="472" spans="2:4" x14ac:dyDescent="0.25">
      <c r="B472" s="5">
        <v>45282</v>
      </c>
      <c r="C472">
        <v>0.27841329999999997</v>
      </c>
      <c r="D472">
        <v>0.72462559999999998</v>
      </c>
    </row>
    <row r="473" spans="2:4" x14ac:dyDescent="0.25">
      <c r="B473" s="5">
        <v>45281</v>
      </c>
      <c r="C473">
        <v>0.78787803999999995</v>
      </c>
      <c r="D473">
        <v>0.15035867999999999</v>
      </c>
    </row>
    <row r="474" spans="2:4" x14ac:dyDescent="0.25">
      <c r="B474" s="5">
        <v>45280</v>
      </c>
      <c r="C474">
        <v>-0.70728659999999999</v>
      </c>
      <c r="D474">
        <v>0.90115069999999997</v>
      </c>
    </row>
    <row r="475" spans="2:4" x14ac:dyDescent="0.25">
      <c r="B475" s="5">
        <v>45279</v>
      </c>
      <c r="C475">
        <v>0.16369819999999999</v>
      </c>
      <c r="D475">
        <v>0.96143484000000001</v>
      </c>
    </row>
    <row r="476" spans="2:4" x14ac:dyDescent="0.25">
      <c r="B476" s="5">
        <v>45278</v>
      </c>
      <c r="C476">
        <v>0.51789284000000002</v>
      </c>
      <c r="D476">
        <v>1.6835808999999999</v>
      </c>
    </row>
    <row r="477" spans="2:4" x14ac:dyDescent="0.25">
      <c r="B477" s="5">
        <v>45275</v>
      </c>
      <c r="C477">
        <v>1.3117312999999999</v>
      </c>
      <c r="D477">
        <v>-0.12841820000000001</v>
      </c>
    </row>
    <row r="478" spans="2:4" x14ac:dyDescent="0.25">
      <c r="B478" s="5">
        <v>45274</v>
      </c>
      <c r="C478">
        <v>-2.2544563000000002</v>
      </c>
      <c r="D478">
        <v>4.0566919999999999E-2</v>
      </c>
    </row>
    <row r="479" spans="2:4" x14ac:dyDescent="0.25">
      <c r="B479" s="5">
        <v>45273</v>
      </c>
      <c r="C479">
        <v>-2.6762486000000002E-3</v>
      </c>
      <c r="D479">
        <v>-0.73490739999999999</v>
      </c>
    </row>
    <row r="480" spans="2:4" x14ac:dyDescent="0.25">
      <c r="B480" s="5">
        <v>45272</v>
      </c>
      <c r="C480">
        <v>0.82951783999999995</v>
      </c>
      <c r="D480">
        <v>0.45510529999999999</v>
      </c>
    </row>
    <row r="481" spans="2:4" x14ac:dyDescent="0.25">
      <c r="B481" s="5">
        <v>45271</v>
      </c>
      <c r="C481">
        <v>-0.78294872999999998</v>
      </c>
      <c r="D481">
        <v>0.16407967000000001</v>
      </c>
    </row>
    <row r="482" spans="2:4" x14ac:dyDescent="0.25">
      <c r="B482" s="5">
        <v>45268</v>
      </c>
      <c r="C482">
        <v>0.88421106000000005</v>
      </c>
      <c r="D482">
        <v>1.0836840000000001</v>
      </c>
    </row>
    <row r="483" spans="2:4" x14ac:dyDescent="0.25">
      <c r="B483" s="5">
        <v>45267</v>
      </c>
      <c r="C483">
        <v>0.58298110000000003</v>
      </c>
      <c r="D483">
        <v>-0.67301390000000005</v>
      </c>
    </row>
    <row r="484" spans="2:4" x14ac:dyDescent="0.25">
      <c r="B484" s="5">
        <v>45266</v>
      </c>
      <c r="C484">
        <v>-0.9986043</v>
      </c>
      <c r="D484">
        <v>-0.18982291000000001</v>
      </c>
    </row>
    <row r="485" spans="2:4" x14ac:dyDescent="0.25">
      <c r="B485" s="5">
        <v>45265</v>
      </c>
      <c r="C485">
        <v>0.91563463</v>
      </c>
      <c r="D485">
        <v>1.4332771</v>
      </c>
    </row>
    <row r="486" spans="2:4" x14ac:dyDescent="0.25">
      <c r="B486" s="5">
        <v>45264</v>
      </c>
      <c r="C486">
        <v>-1.4338732000000001</v>
      </c>
      <c r="D486">
        <v>9.8514560000000001E-2</v>
      </c>
    </row>
    <row r="487" spans="2:4" x14ac:dyDescent="0.25">
      <c r="B487" s="5">
        <v>45261</v>
      </c>
      <c r="C487">
        <v>-1.1612236</v>
      </c>
      <c r="D487">
        <v>0.44754744000000002</v>
      </c>
    </row>
    <row r="488" spans="2:4" x14ac:dyDescent="0.25">
      <c r="B488" s="5">
        <v>45260</v>
      </c>
      <c r="C488">
        <v>1.5830994000000001E-2</v>
      </c>
      <c r="D488">
        <v>-0.44035316000000002</v>
      </c>
    </row>
    <row r="489" spans="2:4" x14ac:dyDescent="0.25">
      <c r="B489" s="5">
        <v>45259</v>
      </c>
      <c r="C489">
        <v>-1.0060131999999999</v>
      </c>
      <c r="D489">
        <v>0.58104990000000001</v>
      </c>
    </row>
    <row r="490" spans="2:4" x14ac:dyDescent="0.25">
      <c r="B490" s="5">
        <v>45258</v>
      </c>
      <c r="C490">
        <v>1.0802746000000001</v>
      </c>
      <c r="D490">
        <v>0.17838477999999999</v>
      </c>
    </row>
    <row r="491" spans="2:4" x14ac:dyDescent="0.25">
      <c r="B491" s="5">
        <v>45257</v>
      </c>
      <c r="C491">
        <v>0.31263827999999999</v>
      </c>
      <c r="D491">
        <v>0.16708374000000001</v>
      </c>
    </row>
    <row r="492" spans="2:4" x14ac:dyDescent="0.25">
      <c r="B492" s="5">
        <v>45254</v>
      </c>
      <c r="C492">
        <v>-0.1111567</v>
      </c>
      <c r="D492">
        <v>0.968194</v>
      </c>
    </row>
    <row r="493" spans="2:4" x14ac:dyDescent="0.25">
      <c r="B493" s="5">
        <v>45252</v>
      </c>
      <c r="C493">
        <v>1.2812614</v>
      </c>
      <c r="D493">
        <v>4.5084952999999997E-2</v>
      </c>
    </row>
    <row r="494" spans="2:4" x14ac:dyDescent="0.25">
      <c r="B494" s="5">
        <v>45251</v>
      </c>
      <c r="C494">
        <v>-1.1577964000000001</v>
      </c>
      <c r="D494">
        <v>1.1646152000000001</v>
      </c>
    </row>
    <row r="495" spans="2:4" x14ac:dyDescent="0.25">
      <c r="B495" s="5">
        <v>45250</v>
      </c>
      <c r="C495">
        <v>2.0521880000000001</v>
      </c>
      <c r="D495">
        <v>0.80510380000000004</v>
      </c>
    </row>
    <row r="496" spans="2:4" x14ac:dyDescent="0.25">
      <c r="B496" s="5">
        <v>45247</v>
      </c>
      <c r="C496">
        <v>-1.680094</v>
      </c>
      <c r="D496">
        <v>0.95942019999999995</v>
      </c>
    </row>
    <row r="497" spans="2:4" x14ac:dyDescent="0.25">
      <c r="B497" s="5">
        <v>45246</v>
      </c>
      <c r="C497">
        <v>1.7583251</v>
      </c>
      <c r="D497">
        <v>0.59148073000000001</v>
      </c>
    </row>
    <row r="498" spans="2:4" x14ac:dyDescent="0.25">
      <c r="B498" s="5">
        <v>45245</v>
      </c>
      <c r="C498">
        <v>-0.16203523</v>
      </c>
      <c r="D498">
        <v>0.10803938</v>
      </c>
    </row>
    <row r="499" spans="2:4" x14ac:dyDescent="0.25">
      <c r="B499" s="5">
        <v>45244</v>
      </c>
      <c r="C499">
        <v>0.97905399999999998</v>
      </c>
      <c r="D499">
        <v>1.4054537</v>
      </c>
    </row>
    <row r="500" spans="2:4" x14ac:dyDescent="0.25">
      <c r="B500" s="5">
        <v>45243</v>
      </c>
      <c r="C500">
        <v>-0.80883499999999997</v>
      </c>
      <c r="D500">
        <v>0.70091486000000003</v>
      </c>
    </row>
    <row r="501" spans="2:4" x14ac:dyDescent="0.25">
      <c r="B501" s="5">
        <v>45240</v>
      </c>
      <c r="C501">
        <v>2.4896739999999999</v>
      </c>
      <c r="D501">
        <v>-1.0760725</v>
      </c>
    </row>
    <row r="502" spans="2:4" x14ac:dyDescent="0.25">
      <c r="B502" s="5">
        <v>45239</v>
      </c>
      <c r="C502">
        <v>-0.69108009999999997</v>
      </c>
      <c r="D502">
        <v>1.2361884000000001</v>
      </c>
    </row>
    <row r="503" spans="2:4" x14ac:dyDescent="0.25">
      <c r="B503" s="5">
        <v>45238</v>
      </c>
      <c r="C503">
        <v>0.74057580000000001</v>
      </c>
      <c r="D503">
        <v>0.32277106999999999</v>
      </c>
    </row>
    <row r="504" spans="2:4" x14ac:dyDescent="0.25">
      <c r="B504" s="5">
        <v>45237</v>
      </c>
      <c r="C504">
        <v>1.1219262999999999</v>
      </c>
      <c r="D504">
        <v>2.9432296999999998</v>
      </c>
    </row>
    <row r="505" spans="2:4" x14ac:dyDescent="0.25">
      <c r="B505" s="5">
        <v>45236</v>
      </c>
      <c r="C505">
        <v>1.0572553</v>
      </c>
      <c r="D505">
        <v>0.57617426000000005</v>
      </c>
    </row>
    <row r="506" spans="2:4" x14ac:dyDescent="0.25">
      <c r="B506" s="5">
        <v>45233</v>
      </c>
      <c r="C506">
        <v>1.2861729</v>
      </c>
      <c r="D506">
        <v>0.92381239999999998</v>
      </c>
    </row>
    <row r="507" spans="2:4" x14ac:dyDescent="0.25">
      <c r="B507" s="5">
        <v>45232</v>
      </c>
      <c r="C507">
        <v>0.65015553999999998</v>
      </c>
      <c r="D507">
        <v>1.3432264</v>
      </c>
    </row>
    <row r="508" spans="2:4" x14ac:dyDescent="0.25">
      <c r="B508" s="5">
        <v>45231</v>
      </c>
      <c r="C508">
        <v>2.3542643000000001</v>
      </c>
      <c r="D508">
        <v>1.3947605999999999</v>
      </c>
    </row>
    <row r="509" spans="2:4" x14ac:dyDescent="0.25">
      <c r="B509" s="5">
        <v>45230</v>
      </c>
      <c r="C509">
        <v>0.23716688</v>
      </c>
      <c r="D509">
        <v>-0.94480514999999998</v>
      </c>
    </row>
    <row r="510" spans="2:4" x14ac:dyDescent="0.25">
      <c r="B510" s="5">
        <v>45229</v>
      </c>
      <c r="C510">
        <v>2.2740364</v>
      </c>
      <c r="D510">
        <v>0.93295574000000003</v>
      </c>
    </row>
    <row r="511" spans="2:4" x14ac:dyDescent="0.25">
      <c r="B511" s="5">
        <v>45226</v>
      </c>
      <c r="C511">
        <v>0.58555603000000001</v>
      </c>
      <c r="D511">
        <v>-0.30133724000000001</v>
      </c>
    </row>
    <row r="512" spans="2:4" x14ac:dyDescent="0.25">
      <c r="B512" s="5">
        <v>45225</v>
      </c>
      <c r="C512">
        <v>-3.751433</v>
      </c>
      <c r="D512">
        <v>-0.21913052</v>
      </c>
    </row>
    <row r="513" spans="2:4" x14ac:dyDescent="0.25">
      <c r="B513" s="5">
        <v>45224</v>
      </c>
      <c r="C513">
        <v>3.0678033999999998</v>
      </c>
      <c r="D513">
        <v>0.17138719999999999</v>
      </c>
    </row>
    <row r="514" spans="2:4" x14ac:dyDescent="0.25">
      <c r="B514" s="5">
        <v>45223</v>
      </c>
      <c r="C514">
        <v>0.36742687000000002</v>
      </c>
      <c r="D514">
        <v>-1.3034344</v>
      </c>
    </row>
    <row r="515" spans="2:4" x14ac:dyDescent="0.25">
      <c r="B515" s="5">
        <v>45222</v>
      </c>
      <c r="C515">
        <v>0.81121920000000003</v>
      </c>
      <c r="D515">
        <v>-9.0211630000000001E-2</v>
      </c>
    </row>
    <row r="516" spans="2:4" x14ac:dyDescent="0.25">
      <c r="B516" s="5">
        <v>45219</v>
      </c>
      <c r="C516">
        <v>-1.4034747999999999</v>
      </c>
      <c r="D516">
        <v>0.22102594</v>
      </c>
    </row>
    <row r="517" spans="2:4" x14ac:dyDescent="0.25">
      <c r="B517" s="5">
        <v>45218</v>
      </c>
      <c r="C517">
        <v>0.36655663999999999</v>
      </c>
      <c r="D517">
        <v>0.57173969999999996</v>
      </c>
    </row>
    <row r="518" spans="2:4" x14ac:dyDescent="0.25">
      <c r="B518" s="5">
        <v>45217</v>
      </c>
      <c r="C518">
        <v>-0.58724880000000002</v>
      </c>
      <c r="D518">
        <v>-0.89515449999999996</v>
      </c>
    </row>
    <row r="519" spans="2:4" x14ac:dyDescent="0.25">
      <c r="B519" s="5">
        <v>45216</v>
      </c>
      <c r="C519">
        <v>-0.17436742999999999</v>
      </c>
      <c r="D519">
        <v>-1.1512697000000001</v>
      </c>
    </row>
    <row r="520" spans="2:4" x14ac:dyDescent="0.25">
      <c r="B520" s="5">
        <v>45215</v>
      </c>
      <c r="C520">
        <v>1.4981865999999999</v>
      </c>
      <c r="D520">
        <v>1.3866662999999999</v>
      </c>
    </row>
    <row r="521" spans="2:4" x14ac:dyDescent="0.25">
      <c r="B521" s="5">
        <v>45212</v>
      </c>
      <c r="C521">
        <v>-1.0357498999999999</v>
      </c>
      <c r="D521">
        <v>-2.3979604000000001</v>
      </c>
    </row>
    <row r="522" spans="2:4" x14ac:dyDescent="0.25">
      <c r="B522" s="5">
        <v>45211</v>
      </c>
      <c r="C522">
        <v>-0.37904381999999998</v>
      </c>
      <c r="D522">
        <v>-0.94600320000000004</v>
      </c>
    </row>
    <row r="523" spans="2:4" x14ac:dyDescent="0.25">
      <c r="B523" s="5">
        <v>45210</v>
      </c>
      <c r="C523">
        <v>1.2272000000000001</v>
      </c>
      <c r="D523">
        <v>-1.51335</v>
      </c>
    </row>
    <row r="524" spans="2:4" x14ac:dyDescent="0.25">
      <c r="B524" s="5">
        <v>45209</v>
      </c>
      <c r="C524">
        <v>-0.43357014999999999</v>
      </c>
      <c r="D524">
        <v>1.9111037</v>
      </c>
    </row>
    <row r="525" spans="2:4" x14ac:dyDescent="0.25">
      <c r="B525" s="5">
        <v>45208</v>
      </c>
      <c r="C525">
        <v>0.78225135999999995</v>
      </c>
      <c r="D525">
        <v>0.25092363000000001</v>
      </c>
    </row>
    <row r="526" spans="2:4" x14ac:dyDescent="0.25">
      <c r="B526" s="5">
        <v>45205</v>
      </c>
      <c r="C526">
        <v>2.4737</v>
      </c>
      <c r="D526">
        <v>1.3530016</v>
      </c>
    </row>
    <row r="527" spans="2:4" x14ac:dyDescent="0.25">
      <c r="B527" s="5">
        <v>45204</v>
      </c>
      <c r="C527">
        <v>0.12698174000000001</v>
      </c>
      <c r="D527">
        <v>1.1809229999999999</v>
      </c>
    </row>
    <row r="528" spans="2:4" x14ac:dyDescent="0.25">
      <c r="B528" s="5">
        <v>45203</v>
      </c>
      <c r="C528">
        <v>1.7757297000000001</v>
      </c>
      <c r="D528">
        <v>-0.18222331999999999</v>
      </c>
    </row>
    <row r="529" spans="2:4" x14ac:dyDescent="0.25">
      <c r="B529" s="5">
        <v>45202</v>
      </c>
      <c r="C529">
        <v>-2.6134132999999999</v>
      </c>
      <c r="D529">
        <v>-0.76338649999999997</v>
      </c>
    </row>
    <row r="530" spans="2:4" x14ac:dyDescent="0.25">
      <c r="B530" s="5">
        <v>45201</v>
      </c>
      <c r="C530">
        <v>1.9160748000000001</v>
      </c>
      <c r="D530">
        <v>-2.6111602999999999</v>
      </c>
    </row>
    <row r="531" spans="2:4" x14ac:dyDescent="0.25">
      <c r="B531" s="5">
        <v>45198</v>
      </c>
      <c r="C531">
        <v>0.6727457</v>
      </c>
      <c r="D531">
        <v>0.10962486</v>
      </c>
    </row>
    <row r="532" spans="2:4" x14ac:dyDescent="0.25">
      <c r="B532" s="5">
        <v>45197</v>
      </c>
      <c r="C532">
        <v>0.27174949999999998</v>
      </c>
      <c r="D532">
        <v>2.9072165000000001</v>
      </c>
    </row>
    <row r="533" spans="2:4" x14ac:dyDescent="0.25">
      <c r="B533" s="5">
        <v>45196</v>
      </c>
      <c r="C533">
        <v>0.20823479</v>
      </c>
      <c r="D533">
        <v>-1.1482178999999999</v>
      </c>
    </row>
    <row r="534" spans="2:4" x14ac:dyDescent="0.25">
      <c r="B534" s="5">
        <v>45195</v>
      </c>
      <c r="C534">
        <v>-1.7005741999999999</v>
      </c>
      <c r="D534">
        <v>-0.40308832999999999</v>
      </c>
    </row>
    <row r="535" spans="2:4" x14ac:dyDescent="0.25">
      <c r="B535" s="5">
        <v>45194</v>
      </c>
      <c r="C535">
        <v>0.16719102999999999</v>
      </c>
      <c r="D535">
        <v>-2.0886659999999999</v>
      </c>
    </row>
    <row r="536" spans="2:4" x14ac:dyDescent="0.25">
      <c r="B536" s="5">
        <v>45191</v>
      </c>
      <c r="C536">
        <v>-0.78865289999999999</v>
      </c>
      <c r="D536">
        <v>0.13412236999999999</v>
      </c>
    </row>
    <row r="537" spans="2:4" x14ac:dyDescent="0.25">
      <c r="B537" s="5">
        <v>45190</v>
      </c>
      <c r="C537">
        <v>-0.38656592000000001</v>
      </c>
      <c r="D537">
        <v>-1.9050001999999999</v>
      </c>
    </row>
    <row r="538" spans="2:4" x14ac:dyDescent="0.25">
      <c r="B538" s="5">
        <v>45189</v>
      </c>
      <c r="C538">
        <v>-2.3976861999999999</v>
      </c>
      <c r="D538">
        <v>-0.50439835</v>
      </c>
    </row>
    <row r="539" spans="2:4" x14ac:dyDescent="0.25">
      <c r="B539" s="5">
        <v>45188</v>
      </c>
      <c r="C539">
        <v>-0.12459755</v>
      </c>
      <c r="D539">
        <v>1.9049048</v>
      </c>
    </row>
    <row r="540" spans="2:4" x14ac:dyDescent="0.25">
      <c r="B540" s="5">
        <v>45187</v>
      </c>
      <c r="C540">
        <v>-0.35127997</v>
      </c>
      <c r="D540">
        <v>-0.55174230000000002</v>
      </c>
    </row>
    <row r="541" spans="2:4" x14ac:dyDescent="0.25">
      <c r="B541" s="5">
        <v>45184</v>
      </c>
      <c r="C541">
        <v>-2.5036930000000002</v>
      </c>
      <c r="D541">
        <v>1.1420131</v>
      </c>
    </row>
    <row r="542" spans="2:4" x14ac:dyDescent="0.25">
      <c r="B542" s="5">
        <v>45183</v>
      </c>
      <c r="C542">
        <v>0.78557730000000003</v>
      </c>
      <c r="D542">
        <v>-0.71017739999999996</v>
      </c>
    </row>
    <row r="543" spans="2:4" x14ac:dyDescent="0.25">
      <c r="B543" s="5">
        <v>45182</v>
      </c>
      <c r="C543">
        <v>1.2930632</v>
      </c>
      <c r="D543">
        <v>-0.13337135</v>
      </c>
    </row>
    <row r="544" spans="2:4" x14ac:dyDescent="0.25">
      <c r="B544" s="5">
        <v>45181</v>
      </c>
      <c r="C544">
        <v>-1.8257737000000001</v>
      </c>
      <c r="D544">
        <v>-0.11972189</v>
      </c>
    </row>
    <row r="545" spans="2:4" x14ac:dyDescent="0.25">
      <c r="B545" s="5">
        <v>45180</v>
      </c>
      <c r="C545">
        <v>1.0979175999999999</v>
      </c>
      <c r="D545">
        <v>0.65823792999999997</v>
      </c>
    </row>
    <row r="546" spans="2:4" x14ac:dyDescent="0.25">
      <c r="B546" s="5">
        <v>45177</v>
      </c>
      <c r="C546">
        <v>1.3215661000000001</v>
      </c>
      <c r="D546">
        <v>1.1163592</v>
      </c>
    </row>
    <row r="547" spans="2:4" x14ac:dyDescent="0.25">
      <c r="B547" s="5">
        <v>45176</v>
      </c>
      <c r="C547">
        <v>-0.89221596999999997</v>
      </c>
      <c r="D547">
        <v>-8.9901685999999995E-2</v>
      </c>
    </row>
    <row r="548" spans="2:4" x14ac:dyDescent="0.25">
      <c r="B548" s="5">
        <v>45175</v>
      </c>
      <c r="C548">
        <v>-0.20086169000000001</v>
      </c>
      <c r="D548">
        <v>-0.61984660000000003</v>
      </c>
    </row>
    <row r="549" spans="2:4" x14ac:dyDescent="0.25">
      <c r="B549" s="5">
        <v>45174</v>
      </c>
      <c r="C549">
        <v>1.4878511000000001</v>
      </c>
      <c r="D549">
        <v>-2.0608008</v>
      </c>
    </row>
    <row r="550" spans="2:4" x14ac:dyDescent="0.25">
      <c r="B550" s="5">
        <v>45170</v>
      </c>
      <c r="C550">
        <v>0.27458668000000003</v>
      </c>
      <c r="D550">
        <v>-5.9187412000000002E-2</v>
      </c>
    </row>
    <row r="551" spans="2:4" x14ac:dyDescent="0.25">
      <c r="B551" s="5">
        <v>45169</v>
      </c>
      <c r="C551">
        <v>-0.3132701</v>
      </c>
      <c r="D551">
        <v>-0.92814565000000004</v>
      </c>
    </row>
    <row r="552" spans="2:4" x14ac:dyDescent="0.25">
      <c r="B552" s="5">
        <v>45168</v>
      </c>
      <c r="C552">
        <v>0.11571645999999999</v>
      </c>
      <c r="D552">
        <v>0.85742474000000002</v>
      </c>
    </row>
    <row r="553" spans="2:4" x14ac:dyDescent="0.25">
      <c r="B553" s="5">
        <v>45167</v>
      </c>
      <c r="C553">
        <v>1.4550447</v>
      </c>
      <c r="D553">
        <v>0.30903816000000001</v>
      </c>
    </row>
    <row r="554" spans="2:4" x14ac:dyDescent="0.25">
      <c r="B554" s="5">
        <v>45166</v>
      </c>
      <c r="C554">
        <v>0.22292137000000001</v>
      </c>
      <c r="D554">
        <v>1.0635494999999999</v>
      </c>
    </row>
    <row r="555" spans="2:4" x14ac:dyDescent="0.25">
      <c r="B555" s="5">
        <v>45163</v>
      </c>
      <c r="C555">
        <v>0.94071627000000002</v>
      </c>
      <c r="D555">
        <v>-1.0916650000000001</v>
      </c>
    </row>
    <row r="556" spans="2:4" x14ac:dyDescent="0.25">
      <c r="B556" s="5">
        <v>45162</v>
      </c>
      <c r="C556">
        <v>-2.1498442</v>
      </c>
      <c r="D556">
        <v>0.27226210000000001</v>
      </c>
    </row>
    <row r="557" spans="2:4" x14ac:dyDescent="0.25">
      <c r="B557" s="5">
        <v>45161</v>
      </c>
      <c r="C557">
        <v>1.4079332</v>
      </c>
      <c r="D557">
        <v>0.70360900000000004</v>
      </c>
    </row>
    <row r="558" spans="2:4" x14ac:dyDescent="0.25">
      <c r="B558" s="5">
        <v>45160</v>
      </c>
      <c r="C558">
        <v>0.18018484000000001</v>
      </c>
      <c r="D558">
        <v>-3.1286478E-2</v>
      </c>
    </row>
    <row r="559" spans="2:4" x14ac:dyDescent="0.25">
      <c r="B559" s="5">
        <v>45159</v>
      </c>
      <c r="C559">
        <v>1.7062664000000001</v>
      </c>
      <c r="D559">
        <v>-0.76224210000000003</v>
      </c>
    </row>
    <row r="560" spans="2:4" x14ac:dyDescent="0.25">
      <c r="B560" s="5">
        <v>45156</v>
      </c>
      <c r="C560">
        <v>-0.12623071999999999</v>
      </c>
      <c r="D560">
        <v>-0.69541335000000004</v>
      </c>
    </row>
    <row r="561" spans="2:4" x14ac:dyDescent="0.25">
      <c r="B561" s="5">
        <v>45155</v>
      </c>
      <c r="C561">
        <v>-1.0986209</v>
      </c>
      <c r="D561">
        <v>-2.2777080000000001</v>
      </c>
    </row>
    <row r="562" spans="2:4" x14ac:dyDescent="0.25">
      <c r="B562" s="5">
        <v>45154</v>
      </c>
      <c r="C562">
        <v>-0.45360922999999997</v>
      </c>
      <c r="D562">
        <v>-0.94796420000000003</v>
      </c>
    </row>
    <row r="563" spans="2:4" x14ac:dyDescent="0.25">
      <c r="B563" s="5">
        <v>45153</v>
      </c>
      <c r="C563">
        <v>-0.67276360000000002</v>
      </c>
      <c r="D563">
        <v>-0.50569770000000003</v>
      </c>
    </row>
    <row r="564" spans="2:4" x14ac:dyDescent="0.25">
      <c r="B564" s="5">
        <v>45152</v>
      </c>
      <c r="C564">
        <v>0.94389915000000002</v>
      </c>
      <c r="D564">
        <v>-0.23350715999999999</v>
      </c>
    </row>
    <row r="565" spans="2:4" x14ac:dyDescent="0.25">
      <c r="B565" s="5">
        <v>45149</v>
      </c>
      <c r="C565">
        <v>-0.59455040000000003</v>
      </c>
      <c r="D565">
        <v>-1.6710997000000001</v>
      </c>
    </row>
    <row r="566" spans="2:4" x14ac:dyDescent="0.25">
      <c r="B566" s="5">
        <v>45148</v>
      </c>
      <c r="C566">
        <v>0.21723508999999999</v>
      </c>
      <c r="D566">
        <v>1.4132619</v>
      </c>
    </row>
    <row r="567" spans="2:4" x14ac:dyDescent="0.25">
      <c r="B567" s="5">
        <v>45147</v>
      </c>
      <c r="C567">
        <v>-1.1715949000000001</v>
      </c>
      <c r="D567">
        <v>0.96325874</v>
      </c>
    </row>
    <row r="568" spans="2:4" x14ac:dyDescent="0.25">
      <c r="B568" s="5">
        <v>45146</v>
      </c>
      <c r="C568">
        <v>-1.2298941999999999</v>
      </c>
      <c r="D568">
        <v>-0.69482920000000004</v>
      </c>
    </row>
    <row r="569" spans="2:4" x14ac:dyDescent="0.25">
      <c r="B569" s="5">
        <v>45145</v>
      </c>
      <c r="C569">
        <v>0.7108331</v>
      </c>
      <c r="D569">
        <v>-0.73555709999999996</v>
      </c>
    </row>
    <row r="570" spans="2:4" x14ac:dyDescent="0.25">
      <c r="B570" s="5">
        <v>45142</v>
      </c>
      <c r="C570">
        <v>0.34285784000000002</v>
      </c>
      <c r="D570">
        <v>1.2453079</v>
      </c>
    </row>
    <row r="571" spans="2:4" x14ac:dyDescent="0.25">
      <c r="B571" s="5">
        <v>45141</v>
      </c>
      <c r="C571">
        <v>-0.25648474999999998</v>
      </c>
      <c r="D571">
        <v>0.13918876999999999</v>
      </c>
    </row>
    <row r="572" spans="2:4" x14ac:dyDescent="0.25">
      <c r="B572" s="5">
        <v>45140</v>
      </c>
      <c r="C572">
        <v>-2.6282907</v>
      </c>
      <c r="D572">
        <v>-1.5276073999999999</v>
      </c>
    </row>
    <row r="573" spans="2:4" x14ac:dyDescent="0.25">
      <c r="B573" s="5">
        <v>45139</v>
      </c>
      <c r="C573">
        <v>0.12502669999999999</v>
      </c>
      <c r="D573">
        <v>-2.4740039999999999</v>
      </c>
    </row>
    <row r="574" spans="2:4" x14ac:dyDescent="0.25">
      <c r="B574" s="5">
        <v>45138</v>
      </c>
      <c r="C574">
        <v>-0.72405339999999996</v>
      </c>
      <c r="D574">
        <v>-1.2240230999999999</v>
      </c>
    </row>
    <row r="575" spans="2:4" x14ac:dyDescent="0.25">
      <c r="B575" s="5">
        <v>45135</v>
      </c>
      <c r="C575">
        <v>2.3131370000000002</v>
      </c>
      <c r="D575">
        <v>1.6106606000000001</v>
      </c>
    </row>
    <row r="576" spans="2:4" x14ac:dyDescent="0.25">
      <c r="B576" s="5">
        <v>45134</v>
      </c>
      <c r="C576">
        <v>-2.0872175999999998</v>
      </c>
      <c r="D576">
        <v>2.0692944999999998</v>
      </c>
    </row>
    <row r="577" spans="2:4" x14ac:dyDescent="0.25">
      <c r="B577" s="5">
        <v>45133</v>
      </c>
      <c r="C577">
        <v>-3.7637532</v>
      </c>
      <c r="D577">
        <v>1.2514829999999999</v>
      </c>
    </row>
    <row r="578" spans="2:4" x14ac:dyDescent="0.25">
      <c r="B578" s="5">
        <v>45132</v>
      </c>
      <c r="C578">
        <v>1.7009139</v>
      </c>
      <c r="D578">
        <v>0.27737616999999998</v>
      </c>
    </row>
    <row r="579" spans="2:4" x14ac:dyDescent="0.25">
      <c r="B579" s="5">
        <v>45131</v>
      </c>
      <c r="C579">
        <v>0.38979053000000002</v>
      </c>
      <c r="D579">
        <v>-0.59949160000000001</v>
      </c>
    </row>
    <row r="580" spans="2:4" x14ac:dyDescent="0.25">
      <c r="B580" s="5">
        <v>45128</v>
      </c>
      <c r="C580">
        <v>-0.89370609999999995</v>
      </c>
      <c r="D580">
        <v>-0.18563867000000001</v>
      </c>
    </row>
    <row r="581" spans="2:4" x14ac:dyDescent="0.25">
      <c r="B581" s="5">
        <v>45127</v>
      </c>
      <c r="C581">
        <v>-2.3121535999999998</v>
      </c>
      <c r="D581">
        <v>0.69631339999999997</v>
      </c>
    </row>
    <row r="582" spans="2:4" x14ac:dyDescent="0.25">
      <c r="B582" s="5">
        <v>45126</v>
      </c>
      <c r="C582">
        <v>-1.2267410999999999</v>
      </c>
      <c r="D582">
        <v>1.8751621E-2</v>
      </c>
    </row>
    <row r="583" spans="2:4" x14ac:dyDescent="0.25">
      <c r="B583" s="5">
        <v>45125</v>
      </c>
      <c r="C583">
        <v>3.979981</v>
      </c>
      <c r="D583">
        <v>6.6018104999999994E-2</v>
      </c>
    </row>
    <row r="584" spans="2:4" x14ac:dyDescent="0.25">
      <c r="B584" s="5">
        <v>45124</v>
      </c>
      <c r="C584">
        <v>0.14193058</v>
      </c>
      <c r="D584">
        <v>-5.8555602999999998E-2</v>
      </c>
    </row>
    <row r="585" spans="2:4" x14ac:dyDescent="0.25">
      <c r="B585" s="5">
        <v>45121</v>
      </c>
      <c r="C585">
        <v>0.75292590000000004</v>
      </c>
      <c r="D585">
        <v>1.7278074999999999</v>
      </c>
    </row>
    <row r="586" spans="2:4" x14ac:dyDescent="0.25">
      <c r="B586" s="5">
        <v>45120</v>
      </c>
      <c r="C586">
        <v>1.6192198</v>
      </c>
      <c r="D586">
        <v>0.56800839999999997</v>
      </c>
    </row>
    <row r="587" spans="2:4" x14ac:dyDescent="0.25">
      <c r="B587" s="5">
        <v>45119</v>
      </c>
      <c r="C587">
        <v>1.4226913000000001</v>
      </c>
      <c r="D587">
        <v>2.8648614999999999</v>
      </c>
    </row>
    <row r="588" spans="2:4" x14ac:dyDescent="0.25">
      <c r="B588" s="5">
        <v>45118</v>
      </c>
      <c r="C588">
        <v>0.19286871</v>
      </c>
      <c r="D588">
        <v>-0.77253579999999999</v>
      </c>
    </row>
    <row r="589" spans="2:4" x14ac:dyDescent="0.25">
      <c r="B589" s="5">
        <v>45117</v>
      </c>
      <c r="C589">
        <v>-1.5983700999999999</v>
      </c>
      <c r="D589">
        <v>0.30877589999999999</v>
      </c>
    </row>
    <row r="590" spans="2:4" x14ac:dyDescent="0.25">
      <c r="B590" s="5">
        <v>45114</v>
      </c>
      <c r="C590">
        <v>-1.1867403999999999</v>
      </c>
      <c r="D590">
        <v>-0.23568273000000001</v>
      </c>
    </row>
    <row r="591" spans="2:4" x14ac:dyDescent="0.25">
      <c r="B591" s="5">
        <v>45113</v>
      </c>
      <c r="C591">
        <v>0.92266800000000004</v>
      </c>
      <c r="D591">
        <v>-3.0088186000000001</v>
      </c>
    </row>
    <row r="592" spans="2:4" x14ac:dyDescent="0.25">
      <c r="B592" s="5">
        <v>45112</v>
      </c>
      <c r="C592">
        <v>4.733801E-2</v>
      </c>
      <c r="D592">
        <v>-0.80064535000000003</v>
      </c>
    </row>
    <row r="593" spans="2:4" x14ac:dyDescent="0.25">
      <c r="B593" s="5">
        <v>45110</v>
      </c>
      <c r="C593">
        <v>-0.74881315000000004</v>
      </c>
      <c r="D593">
        <v>-0.32766459999999997</v>
      </c>
    </row>
    <row r="594" spans="2:4" x14ac:dyDescent="0.25">
      <c r="B594" s="5">
        <v>45107</v>
      </c>
      <c r="C594">
        <v>1.6385673999999999</v>
      </c>
      <c r="D594">
        <v>1.2150049000000001</v>
      </c>
    </row>
    <row r="595" spans="2:4" x14ac:dyDescent="0.25">
      <c r="B595" s="5">
        <v>45106</v>
      </c>
      <c r="C595">
        <v>-0.23820996</v>
      </c>
      <c r="D595">
        <v>0.27928352000000001</v>
      </c>
    </row>
    <row r="596" spans="2:4" x14ac:dyDescent="0.25">
      <c r="B596" s="5">
        <v>45105</v>
      </c>
      <c r="C596">
        <v>0.38257837</v>
      </c>
      <c r="D596">
        <v>-0.60108304000000001</v>
      </c>
    </row>
    <row r="597" spans="2:4" x14ac:dyDescent="0.25">
      <c r="B597" s="5">
        <v>45104</v>
      </c>
      <c r="C597">
        <v>1.8167972999999999</v>
      </c>
      <c r="D597">
        <v>-0.28100609999999998</v>
      </c>
    </row>
    <row r="598" spans="2:4" x14ac:dyDescent="0.25">
      <c r="B598" s="5">
        <v>45103</v>
      </c>
      <c r="C598">
        <v>-1.9163013</v>
      </c>
      <c r="D598">
        <v>0.48261880000000001</v>
      </c>
    </row>
    <row r="599" spans="2:4" x14ac:dyDescent="0.25">
      <c r="B599" s="5">
        <v>45100</v>
      </c>
      <c r="C599">
        <v>-1.3805925999999999</v>
      </c>
      <c r="D599">
        <v>0.25391580000000002</v>
      </c>
    </row>
    <row r="600" spans="2:4" x14ac:dyDescent="0.25">
      <c r="B600" s="5">
        <v>45099</v>
      </c>
      <c r="C600">
        <v>1.8437386</v>
      </c>
      <c r="D600">
        <v>-0.49806236999999998</v>
      </c>
    </row>
    <row r="601" spans="2:4" x14ac:dyDescent="0.25">
      <c r="B601" s="5">
        <v>45098</v>
      </c>
      <c r="C601">
        <v>-1.3282001000000001</v>
      </c>
      <c r="D601">
        <v>6.6709519999999994E-2</v>
      </c>
    </row>
    <row r="602" spans="2:4" x14ac:dyDescent="0.25">
      <c r="B602" s="5">
        <v>45097</v>
      </c>
      <c r="C602">
        <v>-1.2502551</v>
      </c>
      <c r="D602">
        <v>-3.3000349999999998</v>
      </c>
    </row>
    <row r="603" spans="2:4" x14ac:dyDescent="0.25">
      <c r="B603" s="5">
        <v>45093</v>
      </c>
      <c r="C603">
        <v>-1.6575754</v>
      </c>
      <c r="D603">
        <v>2.3763895000000002</v>
      </c>
    </row>
    <row r="604" spans="2:4" x14ac:dyDescent="0.25">
      <c r="B604" s="5">
        <v>45092</v>
      </c>
      <c r="C604">
        <v>3.1896589999999998</v>
      </c>
      <c r="D604">
        <v>1.8795132999999999</v>
      </c>
    </row>
    <row r="605" spans="2:4" x14ac:dyDescent="0.25">
      <c r="B605" s="5">
        <v>45091</v>
      </c>
      <c r="C605">
        <v>0.91238019999999997</v>
      </c>
      <c r="D605">
        <v>0.51145554000000004</v>
      </c>
    </row>
    <row r="606" spans="2:4" x14ac:dyDescent="0.25">
      <c r="B606" s="5">
        <v>45090</v>
      </c>
      <c r="C606">
        <v>0.73527100000000001</v>
      </c>
      <c r="D606">
        <v>1.7304301</v>
      </c>
    </row>
    <row r="607" spans="2:4" x14ac:dyDescent="0.25">
      <c r="B607" s="5">
        <v>45089</v>
      </c>
      <c r="C607">
        <v>1.5483975000000001</v>
      </c>
      <c r="D607">
        <v>2.6226043999999999E-3</v>
      </c>
    </row>
    <row r="608" spans="2:4" x14ac:dyDescent="0.25">
      <c r="B608" s="5">
        <v>45086</v>
      </c>
      <c r="C608">
        <v>0.47038794</v>
      </c>
      <c r="D608">
        <v>0.39246081999999999</v>
      </c>
    </row>
    <row r="609" spans="2:4" x14ac:dyDescent="0.25">
      <c r="B609" s="5">
        <v>45085</v>
      </c>
      <c r="C609">
        <v>0.58135985999999995</v>
      </c>
      <c r="D609">
        <v>1.1746287</v>
      </c>
    </row>
    <row r="610" spans="2:4" x14ac:dyDescent="0.25">
      <c r="B610" s="5">
        <v>45084</v>
      </c>
      <c r="C610">
        <v>-3.0867874999999998</v>
      </c>
      <c r="D610">
        <v>-0.26926398000000001</v>
      </c>
    </row>
    <row r="611" spans="2:4" x14ac:dyDescent="0.25">
      <c r="B611" s="5">
        <v>45083</v>
      </c>
      <c r="C611">
        <v>-0.67273974000000003</v>
      </c>
      <c r="D611">
        <v>0.17110110000000001</v>
      </c>
    </row>
    <row r="612" spans="2:4" x14ac:dyDescent="0.25">
      <c r="B612" s="5">
        <v>45082</v>
      </c>
      <c r="C612">
        <v>0.16100407</v>
      </c>
      <c r="D612">
        <v>-1.6382158</v>
      </c>
    </row>
    <row r="613" spans="2:4" x14ac:dyDescent="0.25">
      <c r="B613" s="5">
        <v>45079</v>
      </c>
      <c r="C613">
        <v>0.84792376000000003</v>
      </c>
      <c r="D613">
        <v>1.1968255000000001</v>
      </c>
    </row>
    <row r="614" spans="2:4" x14ac:dyDescent="0.25">
      <c r="B614" s="5">
        <v>45078</v>
      </c>
      <c r="C614">
        <v>1.275909</v>
      </c>
      <c r="D614">
        <v>1.9390345</v>
      </c>
    </row>
    <row r="615" spans="2:4" x14ac:dyDescent="0.25">
      <c r="B615" s="5">
        <v>45077</v>
      </c>
      <c r="C615">
        <v>-0.85141659999999997</v>
      </c>
      <c r="D615">
        <v>-1.9554853000000001</v>
      </c>
    </row>
    <row r="616" spans="2:4" x14ac:dyDescent="0.25">
      <c r="B616" s="5">
        <v>45076</v>
      </c>
      <c r="C616">
        <v>-0.50467850000000003</v>
      </c>
      <c r="D616">
        <v>-0.46334267000000001</v>
      </c>
    </row>
    <row r="617" spans="2:4" x14ac:dyDescent="0.25">
      <c r="B617" s="5">
        <v>45072</v>
      </c>
      <c r="C617">
        <v>2.1385670000000001</v>
      </c>
      <c r="D617">
        <v>0.79480410000000001</v>
      </c>
    </row>
    <row r="618" spans="2:4" x14ac:dyDescent="0.25">
      <c r="B618" s="5">
        <v>45071</v>
      </c>
      <c r="C618">
        <v>3.8457870000000001</v>
      </c>
      <c r="D618">
        <v>-1.8203556999999999</v>
      </c>
    </row>
    <row r="619" spans="2:4" x14ac:dyDescent="0.25">
      <c r="B619" s="5">
        <v>45070</v>
      </c>
      <c r="C619">
        <v>-0.44724940000000002</v>
      </c>
      <c r="D619">
        <v>-0.95563529999999997</v>
      </c>
    </row>
    <row r="620" spans="2:4" x14ac:dyDescent="0.25">
      <c r="B620" s="5">
        <v>45069</v>
      </c>
      <c r="C620">
        <v>-1.8431962</v>
      </c>
      <c r="D620">
        <v>-1.1663318</v>
      </c>
    </row>
    <row r="621" spans="2:4" x14ac:dyDescent="0.25">
      <c r="B621" s="5">
        <v>45068</v>
      </c>
      <c r="C621">
        <v>0.89212656000000001</v>
      </c>
      <c r="D621">
        <v>-6.651878E-2</v>
      </c>
    </row>
    <row r="622" spans="2:4" x14ac:dyDescent="0.25">
      <c r="B622" s="5">
        <v>45065</v>
      </c>
      <c r="C622">
        <v>-5.6511164000000003E-2</v>
      </c>
      <c r="D622">
        <v>1.3320684</v>
      </c>
    </row>
    <row r="623" spans="2:4" x14ac:dyDescent="0.25">
      <c r="B623" s="5">
        <v>45064</v>
      </c>
      <c r="C623">
        <v>1.4394879</v>
      </c>
      <c r="D623">
        <v>0.64358709999999997</v>
      </c>
    </row>
    <row r="624" spans="2:4" x14ac:dyDescent="0.25">
      <c r="B624" s="5">
        <v>45063</v>
      </c>
      <c r="C624">
        <v>0.72497129999999999</v>
      </c>
      <c r="D624">
        <v>-4.1102705000000004</v>
      </c>
    </row>
    <row r="625" spans="2:4" x14ac:dyDescent="0.25">
      <c r="B625" s="5">
        <v>45062</v>
      </c>
      <c r="C625">
        <v>0.73676109999999995</v>
      </c>
      <c r="D625">
        <v>-0.16542672999999999</v>
      </c>
    </row>
    <row r="626" spans="2:4" x14ac:dyDescent="0.25">
      <c r="B626" s="5">
        <v>45061</v>
      </c>
      <c r="C626">
        <v>0.15858412</v>
      </c>
      <c r="D626">
        <v>-1.2371182000000001</v>
      </c>
    </row>
    <row r="627" spans="2:4" x14ac:dyDescent="0.25">
      <c r="B627" s="5">
        <v>45058</v>
      </c>
      <c r="C627">
        <v>-0.36760569999999998</v>
      </c>
      <c r="D627">
        <v>0.35680531999999998</v>
      </c>
    </row>
    <row r="628" spans="2:4" x14ac:dyDescent="0.25">
      <c r="B628" s="5">
        <v>45057</v>
      </c>
      <c r="C628">
        <v>-0.70443153000000003</v>
      </c>
      <c r="D628">
        <v>-0.69364904999999999</v>
      </c>
    </row>
    <row r="629" spans="2:4" x14ac:dyDescent="0.25">
      <c r="B629" s="5">
        <v>45056</v>
      </c>
      <c r="C629">
        <v>1.7296433</v>
      </c>
      <c r="D629">
        <v>-1.1645257</v>
      </c>
    </row>
    <row r="630" spans="2:4" x14ac:dyDescent="0.25">
      <c r="B630" s="5">
        <v>45055</v>
      </c>
      <c r="C630">
        <v>-0.53458214000000004</v>
      </c>
      <c r="D630">
        <v>-0.41743517000000002</v>
      </c>
    </row>
    <row r="631" spans="2:4" x14ac:dyDescent="0.25">
      <c r="B631" s="5">
        <v>45054</v>
      </c>
      <c r="C631">
        <v>-0.64381359999999999</v>
      </c>
      <c r="D631">
        <v>-0.38736462999999999</v>
      </c>
    </row>
    <row r="632" spans="2:4" x14ac:dyDescent="0.25">
      <c r="B632" s="5">
        <v>45051</v>
      </c>
      <c r="C632">
        <v>1.7157197</v>
      </c>
      <c r="D632">
        <v>-0.17265080999999999</v>
      </c>
    </row>
    <row r="633" spans="2:4" x14ac:dyDescent="0.25">
      <c r="B633" s="5">
        <v>45050</v>
      </c>
      <c r="C633">
        <v>0.33180714</v>
      </c>
      <c r="D633">
        <v>1.2493848999999999</v>
      </c>
    </row>
    <row r="634" spans="2:4" x14ac:dyDescent="0.25">
      <c r="B634" s="5">
        <v>45049</v>
      </c>
      <c r="C634">
        <v>-0.33070444999999998</v>
      </c>
      <c r="D634">
        <v>1.4060855000000001</v>
      </c>
    </row>
    <row r="635" spans="2:4" x14ac:dyDescent="0.25">
      <c r="B635" s="5">
        <v>45048</v>
      </c>
      <c r="C635">
        <v>-4.9090385E-2</v>
      </c>
      <c r="D635">
        <v>-0.59195160000000002</v>
      </c>
    </row>
    <row r="636" spans="2:4" x14ac:dyDescent="0.25">
      <c r="B636" s="5">
        <v>45047</v>
      </c>
      <c r="C636">
        <v>-0.55328010000000005</v>
      </c>
      <c r="D636">
        <v>-0.53894520000000001</v>
      </c>
    </row>
    <row r="637" spans="2:4" x14ac:dyDescent="0.25">
      <c r="B637" s="5">
        <v>45044</v>
      </c>
      <c r="C637">
        <v>0.79717636000000003</v>
      </c>
      <c r="D637">
        <v>2.5817990000000002</v>
      </c>
    </row>
    <row r="638" spans="2:4" x14ac:dyDescent="0.25">
      <c r="B638" s="5">
        <v>45043</v>
      </c>
      <c r="C638">
        <v>3.2027602000000002</v>
      </c>
      <c r="D638">
        <v>-8.0016429999999996</v>
      </c>
    </row>
    <row r="639" spans="2:4" x14ac:dyDescent="0.25">
      <c r="B639" s="5">
        <v>45042</v>
      </c>
      <c r="C639">
        <v>7.2434782999999996</v>
      </c>
      <c r="D639">
        <v>-1.0997534</v>
      </c>
    </row>
    <row r="640" spans="2:4" x14ac:dyDescent="0.25">
      <c r="B640" s="5">
        <v>45041</v>
      </c>
      <c r="C640">
        <v>-2.2536040000000002</v>
      </c>
      <c r="D640">
        <v>1.3509989</v>
      </c>
    </row>
    <row r="641" spans="2:4" x14ac:dyDescent="0.25">
      <c r="B641" s="5">
        <v>45040</v>
      </c>
      <c r="C641">
        <v>-1.3962865</v>
      </c>
      <c r="D641">
        <v>-0.44199228000000002</v>
      </c>
    </row>
    <row r="642" spans="2:4" x14ac:dyDescent="0.25">
      <c r="B642" s="5">
        <v>45037</v>
      </c>
      <c r="C642">
        <v>-0.12232065</v>
      </c>
      <c r="D642">
        <v>1.2148619000000001</v>
      </c>
    </row>
    <row r="643" spans="2:4" x14ac:dyDescent="0.25">
      <c r="B643" s="5">
        <v>45036</v>
      </c>
      <c r="C643">
        <v>-0.81124306000000002</v>
      </c>
      <c r="D643">
        <v>1.3493419</v>
      </c>
    </row>
    <row r="644" spans="2:4" x14ac:dyDescent="0.25">
      <c r="B644" s="5">
        <v>45035</v>
      </c>
      <c r="C644">
        <v>2.7751923000000001E-2</v>
      </c>
      <c r="D644">
        <v>0.88677406000000003</v>
      </c>
    </row>
    <row r="645" spans="2:4" x14ac:dyDescent="0.25">
      <c r="B645" s="5">
        <v>45034</v>
      </c>
      <c r="C645">
        <v>-0.14889240000000001</v>
      </c>
      <c r="D645">
        <v>0.42598248</v>
      </c>
    </row>
    <row r="646" spans="2:4" x14ac:dyDescent="0.25">
      <c r="B646" s="5">
        <v>45033</v>
      </c>
      <c r="C646">
        <v>0.92960595999999995</v>
      </c>
      <c r="D646">
        <v>-1.9563018999999999</v>
      </c>
    </row>
    <row r="647" spans="2:4" x14ac:dyDescent="0.25">
      <c r="B647" s="5">
        <v>45030</v>
      </c>
      <c r="C647">
        <v>-1.2765586</v>
      </c>
      <c r="D647">
        <v>-1.8556832999999999</v>
      </c>
    </row>
    <row r="648" spans="2:4" x14ac:dyDescent="0.25">
      <c r="B648" s="5">
        <v>45029</v>
      </c>
      <c r="C648">
        <v>2.2399426</v>
      </c>
      <c r="D648">
        <v>0.91270209999999996</v>
      </c>
    </row>
    <row r="649" spans="2:4" x14ac:dyDescent="0.25">
      <c r="B649" s="5">
        <v>45028</v>
      </c>
      <c r="C649">
        <v>0.23335217999999999</v>
      </c>
      <c r="D649">
        <v>1.1485219</v>
      </c>
    </row>
    <row r="650" spans="2:4" x14ac:dyDescent="0.25">
      <c r="B650" s="5">
        <v>45027</v>
      </c>
      <c r="C650">
        <v>-2.266848</v>
      </c>
      <c r="D650">
        <v>0.50774810000000004</v>
      </c>
    </row>
    <row r="651" spans="2:4" x14ac:dyDescent="0.25">
      <c r="B651" s="5">
        <v>45026</v>
      </c>
      <c r="C651">
        <v>-0.75788500000000003</v>
      </c>
      <c r="D651">
        <v>-0.76898929999999999</v>
      </c>
    </row>
    <row r="652" spans="2:4" x14ac:dyDescent="0.25">
      <c r="B652" s="5">
        <v>45022</v>
      </c>
      <c r="C652">
        <v>2.5532841999999998</v>
      </c>
      <c r="D652">
        <v>1.4458895</v>
      </c>
    </row>
    <row r="653" spans="2:4" x14ac:dyDescent="0.25">
      <c r="B653" s="5">
        <v>45021</v>
      </c>
      <c r="C653">
        <v>-0.98892449999999998</v>
      </c>
      <c r="D653">
        <v>0.16746521</v>
      </c>
    </row>
    <row r="654" spans="2:4" x14ac:dyDescent="0.25">
      <c r="B654" s="5">
        <v>45020</v>
      </c>
      <c r="C654">
        <v>-1.7416477E-2</v>
      </c>
      <c r="D654">
        <v>2.2031307</v>
      </c>
    </row>
    <row r="655" spans="2:4" x14ac:dyDescent="0.25">
      <c r="B655" s="5">
        <v>45019</v>
      </c>
      <c r="C655">
        <v>-0.37113427999999998</v>
      </c>
      <c r="D655">
        <v>-1.6779660999999999</v>
      </c>
    </row>
    <row r="656" spans="2:4" x14ac:dyDescent="0.25">
      <c r="B656" s="5">
        <v>45016</v>
      </c>
      <c r="C656">
        <v>1.4962196000000001</v>
      </c>
      <c r="D656">
        <v>0.39474964000000001</v>
      </c>
    </row>
    <row r="657" spans="2:4" x14ac:dyDescent="0.25">
      <c r="B657" s="5">
        <v>45015</v>
      </c>
      <c r="C657">
        <v>1.2619734</v>
      </c>
      <c r="D657">
        <v>-1.0500908</v>
      </c>
    </row>
    <row r="658" spans="2:4" x14ac:dyDescent="0.25">
      <c r="B658" s="5">
        <v>45014</v>
      </c>
      <c r="C658">
        <v>1.9183992999999999</v>
      </c>
      <c r="D658">
        <v>0.42028427000000002</v>
      </c>
    </row>
    <row r="659" spans="2:4" x14ac:dyDescent="0.25">
      <c r="B659" s="5">
        <v>45013</v>
      </c>
      <c r="C659">
        <v>-0.41609405999999999</v>
      </c>
      <c r="D659">
        <v>0.42663813</v>
      </c>
    </row>
    <row r="660" spans="2:4" x14ac:dyDescent="0.25">
      <c r="B660" s="5">
        <v>45012</v>
      </c>
      <c r="C660">
        <v>-1.4933883999999999</v>
      </c>
      <c r="D660">
        <v>0.95959899999999998</v>
      </c>
    </row>
    <row r="661" spans="2:4" x14ac:dyDescent="0.25">
      <c r="B661" s="5">
        <v>45009</v>
      </c>
      <c r="C661">
        <v>1.0480404000000001</v>
      </c>
      <c r="D661">
        <v>-0.69952009999999998</v>
      </c>
    </row>
    <row r="662" spans="2:4" x14ac:dyDescent="0.25">
      <c r="B662" s="5">
        <v>45008</v>
      </c>
      <c r="C662">
        <v>1.9721626999999999</v>
      </c>
      <c r="D662">
        <v>0.79965589999999998</v>
      </c>
    </row>
    <row r="663" spans="2:4" x14ac:dyDescent="0.25">
      <c r="B663" s="5">
        <v>45007</v>
      </c>
      <c r="C663">
        <v>-0.54422616999999995</v>
      </c>
      <c r="D663">
        <v>0.67452190000000001</v>
      </c>
    </row>
    <row r="664" spans="2:4" x14ac:dyDescent="0.25">
      <c r="B664" s="5">
        <v>45006</v>
      </c>
      <c r="C664">
        <v>0.56936739999999997</v>
      </c>
      <c r="D664">
        <v>2.0078301000000001</v>
      </c>
    </row>
    <row r="665" spans="2:4" x14ac:dyDescent="0.25">
      <c r="B665" s="5">
        <v>45005</v>
      </c>
      <c r="C665">
        <v>-2.576667</v>
      </c>
      <c r="D665">
        <v>3.7083387000000001</v>
      </c>
    </row>
    <row r="666" spans="2:4" x14ac:dyDescent="0.25">
      <c r="B666" s="5">
        <v>45002</v>
      </c>
      <c r="C666">
        <v>1.1694312</v>
      </c>
      <c r="D666">
        <v>-0.98876359999999996</v>
      </c>
    </row>
    <row r="667" spans="2:4" x14ac:dyDescent="0.25">
      <c r="B667" s="5">
        <v>45001</v>
      </c>
      <c r="C667">
        <v>4.0536523000000004</v>
      </c>
      <c r="D667">
        <v>5.0947190000000004</v>
      </c>
    </row>
    <row r="668" spans="2:4" x14ac:dyDescent="0.25">
      <c r="B668" s="5">
        <v>45000</v>
      </c>
      <c r="C668">
        <v>1.7830372000000001</v>
      </c>
      <c r="D668">
        <v>-3.6606550000000002</v>
      </c>
    </row>
    <row r="669" spans="2:4" x14ac:dyDescent="0.25">
      <c r="B669" s="5">
        <v>44999</v>
      </c>
      <c r="C669">
        <v>2.7055859999999998</v>
      </c>
      <c r="D669">
        <v>1.4236331</v>
      </c>
    </row>
    <row r="670" spans="2:4" x14ac:dyDescent="0.25">
      <c r="B670" s="5">
        <v>44998</v>
      </c>
      <c r="C670">
        <v>2.1440983</v>
      </c>
      <c r="D670">
        <v>-1.1596858999999999</v>
      </c>
    </row>
    <row r="671" spans="2:4" x14ac:dyDescent="0.25">
      <c r="B671" s="5">
        <v>44995</v>
      </c>
      <c r="C671">
        <v>-1.4782846000000001</v>
      </c>
      <c r="D671">
        <v>1.9691825000000001</v>
      </c>
    </row>
    <row r="672" spans="2:4" x14ac:dyDescent="0.25">
      <c r="B672" s="5">
        <v>44994</v>
      </c>
      <c r="C672">
        <v>-0.54394600000000004</v>
      </c>
      <c r="D672">
        <v>1.926887</v>
      </c>
    </row>
    <row r="673" spans="2:4" x14ac:dyDescent="0.25">
      <c r="B673" s="5">
        <v>44993</v>
      </c>
      <c r="C673">
        <v>-0.17706156000000001</v>
      </c>
      <c r="D673">
        <v>-1.2448192</v>
      </c>
    </row>
    <row r="674" spans="2:4" x14ac:dyDescent="0.25">
      <c r="B674" s="5">
        <v>44992</v>
      </c>
      <c r="C674">
        <v>-1.0589004</v>
      </c>
      <c r="D674">
        <v>-1.0547757</v>
      </c>
    </row>
    <row r="675" spans="2:4" x14ac:dyDescent="0.25">
      <c r="B675" s="5">
        <v>44991</v>
      </c>
      <c r="C675">
        <v>0.61889886999999999</v>
      </c>
      <c r="D675">
        <v>0.31553506999999997</v>
      </c>
    </row>
    <row r="676" spans="2:4" x14ac:dyDescent="0.25">
      <c r="B676" s="5">
        <v>44988</v>
      </c>
      <c r="C676">
        <v>1.6646027999999999</v>
      </c>
      <c r="D676">
        <v>-3.2544136000000001E-2</v>
      </c>
    </row>
    <row r="677" spans="2:4" x14ac:dyDescent="0.25">
      <c r="B677" s="5">
        <v>44987</v>
      </c>
      <c r="C677">
        <v>1.9653201</v>
      </c>
      <c r="D677">
        <v>-0.24209618999999999</v>
      </c>
    </row>
    <row r="678" spans="2:4" x14ac:dyDescent="0.25">
      <c r="B678" s="5">
        <v>44986</v>
      </c>
      <c r="C678">
        <v>-1.2629269999999999</v>
      </c>
      <c r="D678">
        <v>1.2064337999999999</v>
      </c>
    </row>
    <row r="679" spans="2:4" x14ac:dyDescent="0.25">
      <c r="B679" s="5">
        <v>44985</v>
      </c>
      <c r="C679">
        <v>-0.29581190000000002</v>
      </c>
      <c r="D679">
        <v>-0.47966241999999998</v>
      </c>
    </row>
    <row r="680" spans="2:4" x14ac:dyDescent="0.25">
      <c r="B680" s="5">
        <v>44984</v>
      </c>
      <c r="C680">
        <v>0.37717820000000002</v>
      </c>
      <c r="D680">
        <v>1.0566354</v>
      </c>
    </row>
    <row r="681" spans="2:4" x14ac:dyDescent="0.25">
      <c r="B681" s="5">
        <v>44981</v>
      </c>
      <c r="C681">
        <v>-2.1784365000000001</v>
      </c>
      <c r="D681">
        <v>0.36267041999999999</v>
      </c>
    </row>
    <row r="682" spans="2:4" x14ac:dyDescent="0.25">
      <c r="B682" s="5">
        <v>44980</v>
      </c>
      <c r="C682">
        <v>1.2961745</v>
      </c>
      <c r="D682">
        <v>-0.90212225999999995</v>
      </c>
    </row>
    <row r="683" spans="2:4" x14ac:dyDescent="0.25">
      <c r="B683" s="5">
        <v>44979</v>
      </c>
      <c r="C683">
        <v>-0.45909882000000002</v>
      </c>
      <c r="D683">
        <v>-3.2812119000000002</v>
      </c>
    </row>
    <row r="684" spans="2:4" x14ac:dyDescent="0.25">
      <c r="B684" s="5">
        <v>44978</v>
      </c>
      <c r="C684">
        <v>-2.08866</v>
      </c>
      <c r="D684">
        <v>-1.0687947</v>
      </c>
    </row>
    <row r="685" spans="2:4" x14ac:dyDescent="0.25">
      <c r="B685" s="5">
        <v>44974</v>
      </c>
      <c r="C685">
        <v>-1.5601754000000001</v>
      </c>
      <c r="D685">
        <v>8.6116789999999999E-2</v>
      </c>
    </row>
    <row r="686" spans="2:4" x14ac:dyDescent="0.25">
      <c r="B686" s="5">
        <v>44973</v>
      </c>
      <c r="C686">
        <v>-2.6622653000000001</v>
      </c>
      <c r="D686">
        <v>-1.4957488000000001</v>
      </c>
    </row>
    <row r="687" spans="2:4" x14ac:dyDescent="0.25">
      <c r="B687" s="5">
        <v>44972</v>
      </c>
      <c r="C687">
        <v>-1.0471404</v>
      </c>
      <c r="D687">
        <v>1.0579704999999999</v>
      </c>
    </row>
    <row r="688" spans="2:4" x14ac:dyDescent="0.25">
      <c r="B688" s="5">
        <v>44971</v>
      </c>
      <c r="C688">
        <v>0.313282</v>
      </c>
      <c r="D688">
        <v>0.54863689999999998</v>
      </c>
    </row>
    <row r="689" spans="2:4" x14ac:dyDescent="0.25">
      <c r="B689" s="5">
        <v>44970</v>
      </c>
      <c r="C689">
        <v>3.1242847</v>
      </c>
      <c r="D689">
        <v>0.87678429999999996</v>
      </c>
    </row>
    <row r="690" spans="2:4" x14ac:dyDescent="0.25">
      <c r="B690" s="5">
        <v>44967</v>
      </c>
      <c r="C690">
        <v>-0.19724965</v>
      </c>
      <c r="D690">
        <v>-0.73589680000000002</v>
      </c>
    </row>
    <row r="691" spans="2:4" x14ac:dyDescent="0.25">
      <c r="B691" s="5">
        <v>44966</v>
      </c>
      <c r="C691">
        <v>-1.1659801000000001</v>
      </c>
      <c r="D691">
        <v>2.1901130000000002</v>
      </c>
    </row>
    <row r="692" spans="2:4" x14ac:dyDescent="0.25">
      <c r="B692" s="5">
        <v>44965</v>
      </c>
      <c r="C692">
        <v>-0.31020639999999999</v>
      </c>
      <c r="D692">
        <v>0.20889044000000001</v>
      </c>
    </row>
    <row r="693" spans="2:4" x14ac:dyDescent="0.25">
      <c r="B693" s="5">
        <v>44964</v>
      </c>
      <c r="C693">
        <v>4.2022110000000001</v>
      </c>
      <c r="D693">
        <v>-0.92884900000000004</v>
      </c>
    </row>
    <row r="694" spans="2:4" x14ac:dyDescent="0.25">
      <c r="B694" s="5">
        <v>44963</v>
      </c>
      <c r="C694">
        <v>-0.6115794</v>
      </c>
      <c r="D694">
        <v>-0.92375874999999996</v>
      </c>
    </row>
    <row r="695" spans="2:4" x14ac:dyDescent="0.25">
      <c r="B695" s="5">
        <v>44960</v>
      </c>
      <c r="C695">
        <v>-2.3620546</v>
      </c>
      <c r="D695">
        <v>-2.1935283999999999</v>
      </c>
    </row>
    <row r="696" spans="2:4" x14ac:dyDescent="0.25">
      <c r="B696" s="5">
        <v>44959</v>
      </c>
      <c r="C696">
        <v>4.6884300000000003</v>
      </c>
      <c r="D696">
        <v>2.0407438</v>
      </c>
    </row>
    <row r="697" spans="2:4" x14ac:dyDescent="0.25">
      <c r="B697" s="5">
        <v>44958</v>
      </c>
      <c r="C697">
        <v>1.9934654000000001</v>
      </c>
      <c r="D697">
        <v>1.8473864</v>
      </c>
    </row>
    <row r="698" spans="2:4" x14ac:dyDescent="0.25">
      <c r="B698" s="5">
        <v>44957</v>
      </c>
      <c r="C698">
        <v>2.1012664000000001</v>
      </c>
      <c r="D698">
        <v>0.79784392999999998</v>
      </c>
    </row>
    <row r="699" spans="2:4" x14ac:dyDescent="0.25">
      <c r="B699" s="5">
        <v>44956</v>
      </c>
      <c r="C699">
        <v>-2.1961629999999999</v>
      </c>
      <c r="D699">
        <v>-0.18309950999999999</v>
      </c>
    </row>
    <row r="700" spans="2:4" x14ac:dyDescent="0.25">
      <c r="B700" s="5">
        <v>44953</v>
      </c>
      <c r="C700">
        <v>6.4516069999999995E-2</v>
      </c>
      <c r="D700">
        <v>0.89350940000000001</v>
      </c>
    </row>
    <row r="701" spans="2:4" x14ac:dyDescent="0.25">
      <c r="B701" s="5">
        <v>44952</v>
      </c>
      <c r="C701">
        <v>3.0713558000000001</v>
      </c>
      <c r="D701">
        <v>-0.81243514999999999</v>
      </c>
    </row>
    <row r="702" spans="2:4" x14ac:dyDescent="0.25">
      <c r="B702" s="5">
        <v>44951</v>
      </c>
      <c r="C702">
        <v>-0.59080719999999998</v>
      </c>
      <c r="D702">
        <v>0.40272474000000003</v>
      </c>
    </row>
    <row r="703" spans="2:4" x14ac:dyDescent="0.25">
      <c r="B703" s="5">
        <v>44950</v>
      </c>
      <c r="C703">
        <v>-0.22261143</v>
      </c>
      <c r="D703">
        <v>0.22017956</v>
      </c>
    </row>
    <row r="704" spans="2:4" x14ac:dyDescent="0.25">
      <c r="B704" s="5">
        <v>44949</v>
      </c>
      <c r="C704">
        <v>0.98242759999999996</v>
      </c>
      <c r="D704">
        <v>-0.9694159</v>
      </c>
    </row>
    <row r="705" spans="2:4" x14ac:dyDescent="0.25">
      <c r="B705" s="5">
        <v>44946</v>
      </c>
      <c r="C705">
        <v>3.5743594000000001</v>
      </c>
      <c r="D705">
        <v>-0.70419909999999997</v>
      </c>
    </row>
    <row r="706" spans="2:4" x14ac:dyDescent="0.25">
      <c r="B706" s="5">
        <v>44945</v>
      </c>
      <c r="C706">
        <v>-1.6453922000000001</v>
      </c>
      <c r="D706">
        <v>-5.6523085000000001E-2</v>
      </c>
    </row>
    <row r="707" spans="2:4" x14ac:dyDescent="0.25">
      <c r="B707" s="5">
        <v>44944</v>
      </c>
      <c r="C707">
        <v>-1.8889129</v>
      </c>
      <c r="D707">
        <v>1.2881756</v>
      </c>
    </row>
    <row r="708" spans="2:4" x14ac:dyDescent="0.25">
      <c r="B708" s="5">
        <v>44943</v>
      </c>
      <c r="C708">
        <v>0.46817064000000003</v>
      </c>
      <c r="D708">
        <v>0.23112297000000001</v>
      </c>
    </row>
    <row r="709" spans="2:4" x14ac:dyDescent="0.25">
      <c r="B709" s="5">
        <v>44939</v>
      </c>
      <c r="C709">
        <v>0.30187367999999998</v>
      </c>
      <c r="D709">
        <v>0.64517259999999998</v>
      </c>
    </row>
    <row r="710" spans="2:4" x14ac:dyDescent="0.25">
      <c r="B710" s="5">
        <v>44938</v>
      </c>
      <c r="C710">
        <v>1.1621475000000001</v>
      </c>
      <c r="D710">
        <v>0.122618675</v>
      </c>
    </row>
    <row r="711" spans="2:4" x14ac:dyDescent="0.25">
      <c r="B711" s="5">
        <v>44937</v>
      </c>
      <c r="C711">
        <v>3.0238152</v>
      </c>
      <c r="D711">
        <v>0.26848316</v>
      </c>
    </row>
    <row r="712" spans="2:4" x14ac:dyDescent="0.25">
      <c r="B712" s="5">
        <v>44936</v>
      </c>
      <c r="C712">
        <v>0.76171160000000004</v>
      </c>
      <c r="D712">
        <v>1.6538978</v>
      </c>
    </row>
    <row r="713" spans="2:4" x14ac:dyDescent="0.25">
      <c r="B713" s="5">
        <v>44935</v>
      </c>
      <c r="C713">
        <v>0.97364189999999995</v>
      </c>
      <c r="D713">
        <v>3.116107</v>
      </c>
    </row>
    <row r="714" spans="2:4" x14ac:dyDescent="0.25">
      <c r="B714" s="5">
        <v>44932</v>
      </c>
      <c r="C714">
        <v>1.1785269</v>
      </c>
      <c r="D714">
        <v>0.62892437000000001</v>
      </c>
    </row>
    <row r="715" spans="2:4" x14ac:dyDescent="0.25">
      <c r="B715" s="5">
        <v>44931</v>
      </c>
      <c r="C715">
        <v>-2.9637753999999998</v>
      </c>
      <c r="D715">
        <v>-2.0062327</v>
      </c>
    </row>
    <row r="716" spans="2:4" x14ac:dyDescent="0.25">
      <c r="B716" s="5">
        <v>44930</v>
      </c>
      <c r="C716">
        <v>-4.3743189999999998</v>
      </c>
      <c r="D716">
        <v>-0.63647629999999999</v>
      </c>
    </row>
    <row r="717" spans="2:4" x14ac:dyDescent="0.25">
      <c r="B717" s="5">
        <v>44929</v>
      </c>
      <c r="C717">
        <v>-0.1000762</v>
      </c>
      <c r="D717">
        <v>-1.2800992</v>
      </c>
    </row>
    <row r="718" spans="2:4" x14ac:dyDescent="0.25">
      <c r="B718" s="5">
        <v>44925</v>
      </c>
      <c r="C718">
        <v>-0.49375296000000002</v>
      </c>
      <c r="D718">
        <v>-1.4398633999999999</v>
      </c>
    </row>
    <row r="719" spans="2:4" x14ac:dyDescent="0.25">
      <c r="B719" s="5">
        <v>44924</v>
      </c>
      <c r="C719">
        <v>2.7629733000000001</v>
      </c>
      <c r="D719">
        <v>1.4426231</v>
      </c>
    </row>
    <row r="720" spans="2:4" x14ac:dyDescent="0.25">
      <c r="B720" s="5">
        <v>44923</v>
      </c>
      <c r="C720">
        <v>-1.0254920000000001</v>
      </c>
      <c r="D720">
        <v>-0.62794684999999995</v>
      </c>
    </row>
    <row r="721" spans="2:4" x14ac:dyDescent="0.25">
      <c r="B721" s="5">
        <v>44922</v>
      </c>
      <c r="C721">
        <v>-0.74141619999999997</v>
      </c>
      <c r="D721">
        <v>-5.9831141999999997E-2</v>
      </c>
    </row>
    <row r="722" spans="2:4" x14ac:dyDescent="0.25">
      <c r="B722" s="5">
        <v>44918</v>
      </c>
      <c r="C722">
        <v>0.22671222999999999</v>
      </c>
      <c r="D722">
        <v>6.1416626000000002E-2</v>
      </c>
    </row>
    <row r="723" spans="2:4" x14ac:dyDescent="0.25">
      <c r="B723" s="5">
        <v>44917</v>
      </c>
      <c r="C723">
        <v>-2.5528729999999999</v>
      </c>
      <c r="D723">
        <v>-1.0395228999999999</v>
      </c>
    </row>
    <row r="724" spans="2:4" x14ac:dyDescent="0.25">
      <c r="B724" s="5">
        <v>44916</v>
      </c>
      <c r="C724">
        <v>1.0876656</v>
      </c>
      <c r="D724">
        <v>1.5806079</v>
      </c>
    </row>
    <row r="725" spans="2:4" x14ac:dyDescent="0.25">
      <c r="B725" s="5">
        <v>44915</v>
      </c>
      <c r="C725">
        <v>0.5614519</v>
      </c>
      <c r="D725">
        <v>-0.96032023</v>
      </c>
    </row>
    <row r="726" spans="2:4" x14ac:dyDescent="0.25">
      <c r="B726" s="5">
        <v>44914</v>
      </c>
      <c r="C726">
        <v>-1.7328083999999999</v>
      </c>
      <c r="D726">
        <v>-1.0902524</v>
      </c>
    </row>
    <row r="727" spans="2:4" x14ac:dyDescent="0.25">
      <c r="B727" s="5">
        <v>44911</v>
      </c>
      <c r="C727">
        <v>-1.7348646999999999</v>
      </c>
      <c r="D727">
        <v>-0.74753760000000002</v>
      </c>
    </row>
    <row r="728" spans="2:4" x14ac:dyDescent="0.25">
      <c r="B728" s="5">
        <v>44910</v>
      </c>
      <c r="C728">
        <v>-3.1918228000000002</v>
      </c>
      <c r="D728">
        <v>-1.3635634999999999</v>
      </c>
    </row>
    <row r="729" spans="2:4" x14ac:dyDescent="0.25">
      <c r="B729" s="5">
        <v>44909</v>
      </c>
      <c r="C729">
        <v>0.11676549999999999</v>
      </c>
      <c r="D729">
        <v>0.35194160000000002</v>
      </c>
    </row>
    <row r="730" spans="2:4" x14ac:dyDescent="0.25">
      <c r="B730" s="5">
        <v>44908</v>
      </c>
      <c r="C730">
        <v>1.7464757</v>
      </c>
      <c r="D730">
        <v>1.11202</v>
      </c>
    </row>
    <row r="731" spans="2:4" x14ac:dyDescent="0.25">
      <c r="B731" s="5">
        <v>44907</v>
      </c>
      <c r="C731">
        <v>2.8889179999999999</v>
      </c>
      <c r="D731">
        <v>-2.325666</v>
      </c>
    </row>
    <row r="732" spans="2:4" x14ac:dyDescent="0.25">
      <c r="B732" s="5">
        <v>44904</v>
      </c>
      <c r="C732">
        <v>-0.80032349999999997</v>
      </c>
      <c r="D732">
        <v>9.7954269999999996E-2</v>
      </c>
    </row>
    <row r="733" spans="2:4" x14ac:dyDescent="0.25">
      <c r="B733" s="5">
        <v>44903</v>
      </c>
      <c r="C733">
        <v>1.2399197</v>
      </c>
      <c r="D733">
        <v>-9.414554E-2</v>
      </c>
    </row>
    <row r="734" spans="2:4" x14ac:dyDescent="0.25">
      <c r="B734" s="5">
        <v>44902</v>
      </c>
      <c r="C734">
        <v>-0.30597447999999999</v>
      </c>
      <c r="D734">
        <v>-0.36536455000000001</v>
      </c>
    </row>
    <row r="735" spans="2:4" x14ac:dyDescent="0.25">
      <c r="B735" s="5">
        <v>44901</v>
      </c>
      <c r="C735">
        <v>-2.0303786000000001</v>
      </c>
      <c r="D735">
        <v>-0.92313886000000001</v>
      </c>
    </row>
    <row r="736" spans="2:4" x14ac:dyDescent="0.25">
      <c r="B736" s="5">
        <v>44900</v>
      </c>
      <c r="C736">
        <v>-1.8900513999999999</v>
      </c>
      <c r="D736">
        <v>-1.7356098</v>
      </c>
    </row>
    <row r="737" spans="2:4" x14ac:dyDescent="0.25">
      <c r="B737" s="5">
        <v>44897</v>
      </c>
      <c r="C737">
        <v>0.12956857999999999</v>
      </c>
      <c r="D737">
        <v>4.4083595000000003E-2</v>
      </c>
    </row>
    <row r="738" spans="2:4" x14ac:dyDescent="0.25">
      <c r="B738" s="5">
        <v>44896</v>
      </c>
      <c r="C738">
        <v>-0.17637014000000001</v>
      </c>
      <c r="D738">
        <v>3.2348870999999999</v>
      </c>
    </row>
    <row r="739" spans="2:4" x14ac:dyDescent="0.25">
      <c r="B739" s="5">
        <v>44895</v>
      </c>
      <c r="C739">
        <v>6.1623573</v>
      </c>
      <c r="D739">
        <v>1.3802409</v>
      </c>
    </row>
    <row r="740" spans="2:4" x14ac:dyDescent="0.25">
      <c r="B740" s="5">
        <v>44894</v>
      </c>
      <c r="C740">
        <v>-0.59149264999999995</v>
      </c>
      <c r="D740">
        <v>-1.1962056000000001</v>
      </c>
    </row>
    <row r="741" spans="2:4" x14ac:dyDescent="0.25">
      <c r="B741" s="5">
        <v>44893</v>
      </c>
      <c r="C741">
        <v>-2.3152469999999998</v>
      </c>
      <c r="D741">
        <v>0.37527083999999999</v>
      </c>
    </row>
    <row r="742" spans="2:4" x14ac:dyDescent="0.25">
      <c r="B742" s="5">
        <v>44890</v>
      </c>
      <c r="C742">
        <v>-3.6352873000000001E-2</v>
      </c>
      <c r="D742">
        <v>-0.2963364</v>
      </c>
    </row>
    <row r="743" spans="2:4" x14ac:dyDescent="0.25">
      <c r="B743" s="5">
        <v>44888</v>
      </c>
      <c r="C743">
        <v>1.0406852</v>
      </c>
      <c r="D743">
        <v>2.0766854000000001</v>
      </c>
    </row>
    <row r="744" spans="2:4" x14ac:dyDescent="0.25">
      <c r="B744" s="5">
        <v>44887</v>
      </c>
      <c r="C744">
        <v>1.2311459</v>
      </c>
      <c r="D744">
        <v>0.86925030000000003</v>
      </c>
    </row>
    <row r="745" spans="2:4" x14ac:dyDescent="0.25">
      <c r="B745" s="5">
        <v>44886</v>
      </c>
      <c r="C745">
        <v>0.34408569999999999</v>
      </c>
      <c r="D745">
        <v>-0.61677099999999996</v>
      </c>
    </row>
    <row r="746" spans="2:4" x14ac:dyDescent="0.25">
      <c r="B746" s="5">
        <v>44883</v>
      </c>
      <c r="C746">
        <v>-0.19032954999999999</v>
      </c>
      <c r="D746">
        <v>0.93171596999999995</v>
      </c>
    </row>
    <row r="747" spans="2:4" x14ac:dyDescent="0.25">
      <c r="B747" s="5">
        <v>44882</v>
      </c>
      <c r="C747">
        <v>-2.0682811999999998E-2</v>
      </c>
      <c r="D747">
        <v>-0.96429586</v>
      </c>
    </row>
    <row r="748" spans="2:4" x14ac:dyDescent="0.25">
      <c r="B748" s="5">
        <v>44881</v>
      </c>
      <c r="C748">
        <v>-9.9188090000000007E-2</v>
      </c>
      <c r="D748">
        <v>3.2971263</v>
      </c>
    </row>
    <row r="749" spans="2:4" x14ac:dyDescent="0.25">
      <c r="B749" s="5">
        <v>44880</v>
      </c>
      <c r="C749">
        <v>0.17387867000000001</v>
      </c>
      <c r="D749">
        <v>2.1974683000000002</v>
      </c>
    </row>
    <row r="750" spans="2:4" x14ac:dyDescent="0.25">
      <c r="B750" s="5">
        <v>44879</v>
      </c>
      <c r="C750">
        <v>-2.2500097999999999</v>
      </c>
      <c r="D750">
        <v>-7.4976680000000004E-2</v>
      </c>
    </row>
    <row r="751" spans="2:4" x14ac:dyDescent="0.25">
      <c r="B751" s="5">
        <v>44876</v>
      </c>
      <c r="C751">
        <v>1.6997336999999999</v>
      </c>
      <c r="D751">
        <v>0.70990324000000005</v>
      </c>
    </row>
    <row r="752" spans="2:4" x14ac:dyDescent="0.25">
      <c r="B752" s="5">
        <v>44875</v>
      </c>
      <c r="C752">
        <v>8.2268000000000008</v>
      </c>
      <c r="D752">
        <v>1.9000649999999999</v>
      </c>
    </row>
    <row r="753" spans="2:4" x14ac:dyDescent="0.25">
      <c r="B753" s="5">
        <v>44874</v>
      </c>
      <c r="C753">
        <v>-1.9050121</v>
      </c>
      <c r="D753">
        <v>0.51834583000000001</v>
      </c>
    </row>
    <row r="754" spans="2:4" x14ac:dyDescent="0.25">
      <c r="B754" s="5">
        <v>44873</v>
      </c>
      <c r="C754">
        <v>0.43884516000000001</v>
      </c>
      <c r="D754">
        <v>0.45199393999999998</v>
      </c>
    </row>
    <row r="755" spans="2:4" x14ac:dyDescent="0.25">
      <c r="B755" s="5">
        <v>44872</v>
      </c>
      <c r="C755">
        <v>2.9269576000000002</v>
      </c>
      <c r="D755">
        <v>2.9299854999999999</v>
      </c>
    </row>
    <row r="756" spans="2:4" x14ac:dyDescent="0.25">
      <c r="B756" s="5">
        <v>44869</v>
      </c>
      <c r="C756">
        <v>3.3325553000000001</v>
      </c>
      <c r="D756">
        <v>0.64264536000000005</v>
      </c>
    </row>
    <row r="757" spans="2:4" x14ac:dyDescent="0.25">
      <c r="B757" s="5">
        <v>44868</v>
      </c>
      <c r="C757">
        <v>-2.6578843999999999</v>
      </c>
      <c r="D757">
        <v>-2.5518477000000002</v>
      </c>
    </row>
    <row r="758" spans="2:4" x14ac:dyDescent="0.25">
      <c r="B758" s="5">
        <v>44867</v>
      </c>
      <c r="C758">
        <v>-3.5368322999999999</v>
      </c>
      <c r="D758">
        <v>5.6648254000000002E-2</v>
      </c>
    </row>
    <row r="759" spans="2:4" x14ac:dyDescent="0.25">
      <c r="B759" s="5">
        <v>44866</v>
      </c>
      <c r="C759">
        <v>-1.7059445</v>
      </c>
      <c r="D759">
        <v>-1.6886413</v>
      </c>
    </row>
    <row r="760" spans="2:4" x14ac:dyDescent="0.25">
      <c r="B760" s="5">
        <v>44865</v>
      </c>
      <c r="C760">
        <v>-1.5856147</v>
      </c>
      <c r="D760">
        <v>-1.3523578999999999</v>
      </c>
    </row>
    <row r="761" spans="2:4" x14ac:dyDescent="0.25">
      <c r="B761" s="5">
        <v>44862</v>
      </c>
      <c r="C761">
        <v>4.0220500000000001</v>
      </c>
      <c r="D761">
        <v>0.58151483999999998</v>
      </c>
    </row>
    <row r="762" spans="2:4" x14ac:dyDescent="0.25">
      <c r="B762" s="5">
        <v>44861</v>
      </c>
      <c r="C762">
        <v>-1.9756198</v>
      </c>
      <c r="D762">
        <v>-1.4090180000000001</v>
      </c>
    </row>
    <row r="763" spans="2:4" x14ac:dyDescent="0.25">
      <c r="B763" s="5">
        <v>44860</v>
      </c>
      <c r="C763">
        <v>-7.7156304999999996</v>
      </c>
      <c r="D763">
        <v>2.6712894</v>
      </c>
    </row>
    <row r="764" spans="2:4" x14ac:dyDescent="0.25">
      <c r="B764" s="5">
        <v>44859</v>
      </c>
      <c r="C764">
        <v>1.3791679999999999</v>
      </c>
      <c r="D764">
        <v>1.3090491</v>
      </c>
    </row>
    <row r="765" spans="2:4" x14ac:dyDescent="0.25">
      <c r="B765" s="5">
        <v>44858</v>
      </c>
      <c r="C765">
        <v>2.1187901</v>
      </c>
      <c r="D765">
        <v>1.5573262999999999</v>
      </c>
    </row>
    <row r="766" spans="2:4" x14ac:dyDescent="0.25">
      <c r="B766" s="5">
        <v>44855</v>
      </c>
      <c r="C766">
        <v>2.5280594999999999</v>
      </c>
      <c r="D766">
        <v>1.7700195000000001</v>
      </c>
    </row>
    <row r="767" spans="2:4" x14ac:dyDescent="0.25">
      <c r="B767" s="5">
        <v>44854</v>
      </c>
      <c r="C767">
        <v>-0.13954639999999999</v>
      </c>
      <c r="D767">
        <v>-3.2143413999999999</v>
      </c>
    </row>
    <row r="768" spans="2:4" x14ac:dyDescent="0.25">
      <c r="B768" s="5">
        <v>44853</v>
      </c>
      <c r="C768">
        <v>-0.8469641</v>
      </c>
      <c r="D768">
        <v>-1.4838636000000001</v>
      </c>
    </row>
    <row r="769" spans="2:4" x14ac:dyDescent="0.25">
      <c r="B769" s="5">
        <v>44852</v>
      </c>
      <c r="C769">
        <v>0.40837526000000002</v>
      </c>
      <c r="D769">
        <v>1.3304472000000001</v>
      </c>
    </row>
    <row r="770" spans="2:4" x14ac:dyDescent="0.25">
      <c r="B770" s="5">
        <v>44851</v>
      </c>
      <c r="C770">
        <v>3.9245725</v>
      </c>
      <c r="D770">
        <v>1.0795950999999999</v>
      </c>
    </row>
    <row r="771" spans="2:4" x14ac:dyDescent="0.25">
      <c r="B771" s="5">
        <v>44848</v>
      </c>
      <c r="C771">
        <v>-2.4248660000000002</v>
      </c>
      <c r="D771">
        <v>0.22655724999999999</v>
      </c>
    </row>
    <row r="772" spans="2:4" x14ac:dyDescent="0.25">
      <c r="B772" s="5">
        <v>44847</v>
      </c>
      <c r="C772">
        <v>3.7608027000000002</v>
      </c>
      <c r="D772">
        <v>7.2681904000000006E-2</v>
      </c>
    </row>
    <row r="773" spans="2:4" x14ac:dyDescent="0.25">
      <c r="B773" s="5">
        <v>44846</v>
      </c>
      <c r="C773">
        <v>0.15083551000000001</v>
      </c>
      <c r="D773">
        <v>-1.9834757000000001</v>
      </c>
    </row>
    <row r="774" spans="2:4" x14ac:dyDescent="0.25">
      <c r="B774" s="5">
        <v>44845</v>
      </c>
      <c r="C774">
        <v>-1.6750275999999999</v>
      </c>
      <c r="D774">
        <v>-0.20353198</v>
      </c>
    </row>
    <row r="775" spans="2:4" x14ac:dyDescent="0.25">
      <c r="B775" s="5">
        <v>44844</v>
      </c>
      <c r="C775">
        <v>-2.1302938</v>
      </c>
      <c r="D775">
        <v>-1.4697433</v>
      </c>
    </row>
    <row r="776" spans="2:4" x14ac:dyDescent="0.25">
      <c r="B776" s="5">
        <v>44841</v>
      </c>
      <c r="C776">
        <v>-5.0852895</v>
      </c>
      <c r="D776">
        <v>-2.4615526000000001</v>
      </c>
    </row>
    <row r="777" spans="2:4" x14ac:dyDescent="0.25">
      <c r="B777" s="5">
        <v>44840</v>
      </c>
      <c r="C777">
        <v>-0.96709730000000005</v>
      </c>
      <c r="D777">
        <v>-1.8379629</v>
      </c>
    </row>
    <row r="778" spans="2:4" x14ac:dyDescent="0.25">
      <c r="B778" s="5">
        <v>44839</v>
      </c>
      <c r="C778">
        <v>0.12856722000000001</v>
      </c>
      <c r="D778">
        <v>0.25537014000000002</v>
      </c>
    </row>
    <row r="779" spans="2:4" x14ac:dyDescent="0.25">
      <c r="B779" s="5">
        <v>44838</v>
      </c>
      <c r="C779">
        <v>3.3812403999999998</v>
      </c>
      <c r="D779">
        <v>2.6427627</v>
      </c>
    </row>
    <row r="780" spans="2:4" x14ac:dyDescent="0.25">
      <c r="B780" s="5">
        <v>44837</v>
      </c>
      <c r="C780">
        <v>3.3662557999999998</v>
      </c>
      <c r="D780">
        <v>0.92910530000000002</v>
      </c>
    </row>
    <row r="781" spans="2:4" x14ac:dyDescent="0.25">
      <c r="B781" s="5">
        <v>44834</v>
      </c>
      <c r="C781">
        <v>-1.936847</v>
      </c>
      <c r="D781">
        <v>0.51627160000000005</v>
      </c>
    </row>
    <row r="782" spans="2:4" x14ac:dyDescent="0.25">
      <c r="B782" s="5">
        <v>44833</v>
      </c>
      <c r="C782">
        <v>-1.4809011999999999</v>
      </c>
      <c r="D782">
        <v>2.050376</v>
      </c>
    </row>
    <row r="783" spans="2:4" x14ac:dyDescent="0.25">
      <c r="B783" s="5">
        <v>44832</v>
      </c>
      <c r="C783">
        <v>1.9711494000000001</v>
      </c>
      <c r="D783">
        <v>0.33929347999999998</v>
      </c>
    </row>
    <row r="784" spans="2:4" x14ac:dyDescent="0.25">
      <c r="B784" s="5">
        <v>44831</v>
      </c>
      <c r="C784">
        <v>-0.43798684999999998</v>
      </c>
      <c r="D784">
        <v>4.5549869999999999E-2</v>
      </c>
    </row>
    <row r="785" spans="2:4" x14ac:dyDescent="0.25">
      <c r="B785" s="5">
        <v>44830</v>
      </c>
      <c r="C785">
        <v>-0.19754767000000001</v>
      </c>
      <c r="D785">
        <v>-0.46729444999999997</v>
      </c>
    </row>
    <row r="786" spans="2:4" x14ac:dyDescent="0.25">
      <c r="B786" s="5">
        <v>44827</v>
      </c>
      <c r="C786">
        <v>-1.2698114</v>
      </c>
      <c r="D786">
        <v>-2.4743795</v>
      </c>
    </row>
    <row r="787" spans="2:4" x14ac:dyDescent="0.25">
      <c r="B787" s="5">
        <v>44826</v>
      </c>
      <c r="C787">
        <v>0.84954499999999999</v>
      </c>
      <c r="D787">
        <v>-2.0946739999999999</v>
      </c>
    </row>
    <row r="788" spans="2:4" x14ac:dyDescent="0.25">
      <c r="B788" s="5">
        <v>44825</v>
      </c>
      <c r="C788">
        <v>-1.4435947</v>
      </c>
      <c r="D788">
        <v>-0.75318220000000002</v>
      </c>
    </row>
    <row r="789" spans="2:4" x14ac:dyDescent="0.25">
      <c r="B789" s="5">
        <v>44824</v>
      </c>
      <c r="C789">
        <v>-0.84655879999999994</v>
      </c>
      <c r="D789">
        <v>-1.2556016000000001</v>
      </c>
    </row>
    <row r="790" spans="2:4" x14ac:dyDescent="0.25">
      <c r="B790" s="5">
        <v>44823</v>
      </c>
      <c r="C790">
        <v>-8.9889764999999996E-2</v>
      </c>
      <c r="D790">
        <v>0.6118536</v>
      </c>
    </row>
    <row r="791" spans="2:4" x14ac:dyDescent="0.25">
      <c r="B791" s="5">
        <v>44820</v>
      </c>
      <c r="C791">
        <v>-0.26081799999999999</v>
      </c>
      <c r="D791">
        <v>-0.75707435999999995</v>
      </c>
    </row>
    <row r="792" spans="2:4" x14ac:dyDescent="0.25">
      <c r="B792" s="5">
        <v>44819</v>
      </c>
      <c r="C792">
        <v>-2.711916</v>
      </c>
      <c r="D792">
        <v>-0.10701418</v>
      </c>
    </row>
    <row r="793" spans="2:4" x14ac:dyDescent="0.25">
      <c r="B793" s="5">
        <v>44818</v>
      </c>
      <c r="C793">
        <v>9.1266630000000001E-2</v>
      </c>
      <c r="D793">
        <v>0.25655030000000001</v>
      </c>
    </row>
    <row r="794" spans="2:4" x14ac:dyDescent="0.25">
      <c r="B794" s="5">
        <v>44817</v>
      </c>
      <c r="C794">
        <v>-5.4978369999999996</v>
      </c>
      <c r="D794">
        <v>-1.369971</v>
      </c>
    </row>
    <row r="795" spans="2:4" x14ac:dyDescent="0.25">
      <c r="B795" s="5">
        <v>44816</v>
      </c>
      <c r="C795">
        <v>0.82809924999999995</v>
      </c>
      <c r="D795">
        <v>1.9781232</v>
      </c>
    </row>
    <row r="796" spans="2:4" x14ac:dyDescent="0.25">
      <c r="B796" s="5">
        <v>44813</v>
      </c>
      <c r="C796">
        <v>2.2976994999999998</v>
      </c>
      <c r="D796">
        <v>1.1014341999999999</v>
      </c>
    </row>
    <row r="797" spans="2:4" x14ac:dyDescent="0.25">
      <c r="B797" s="5">
        <v>44812</v>
      </c>
      <c r="C797">
        <v>0.1666069</v>
      </c>
      <c r="D797">
        <v>0.55431129999999995</v>
      </c>
    </row>
    <row r="798" spans="2:4" x14ac:dyDescent="0.25">
      <c r="B798" s="5">
        <v>44811</v>
      </c>
      <c r="C798">
        <v>1.9111514000000001</v>
      </c>
      <c r="D798">
        <v>1.4045596</v>
      </c>
    </row>
    <row r="799" spans="2:4" x14ac:dyDescent="0.25">
      <c r="B799" s="5">
        <v>44810</v>
      </c>
      <c r="C799">
        <v>-1.097399</v>
      </c>
      <c r="D799">
        <v>-2.9091239999999998</v>
      </c>
    </row>
    <row r="800" spans="2:4" x14ac:dyDescent="0.25">
      <c r="B800" s="5">
        <v>44806</v>
      </c>
      <c r="C800">
        <v>-1.6666650999999999</v>
      </c>
      <c r="D800">
        <v>3.5983204999999998</v>
      </c>
    </row>
    <row r="801" spans="2:4" x14ac:dyDescent="0.25">
      <c r="B801" s="5">
        <v>44805</v>
      </c>
      <c r="C801">
        <v>-0.40922760000000002</v>
      </c>
      <c r="D801">
        <v>-2.7135609999999999</v>
      </c>
    </row>
    <row r="802" spans="2:4" x14ac:dyDescent="0.25">
      <c r="B802" s="5">
        <v>44804</v>
      </c>
      <c r="C802">
        <v>-0.57040449999999998</v>
      </c>
      <c r="D802">
        <v>0.70067643999999996</v>
      </c>
    </row>
    <row r="803" spans="2:4" x14ac:dyDescent="0.25">
      <c r="B803" s="5">
        <v>44803</v>
      </c>
      <c r="C803">
        <v>-0.85209610000000002</v>
      </c>
      <c r="D803">
        <v>-0.56989789999999996</v>
      </c>
    </row>
    <row r="804" spans="2:4" x14ac:dyDescent="0.25">
      <c r="B804" s="5">
        <v>44802</v>
      </c>
      <c r="C804">
        <v>-1.0667979999999999</v>
      </c>
      <c r="D804">
        <v>-0.38823485000000002</v>
      </c>
    </row>
    <row r="805" spans="2:4" x14ac:dyDescent="0.25">
      <c r="B805" s="5">
        <v>44799</v>
      </c>
      <c r="C805">
        <v>-3.8587093000000001</v>
      </c>
      <c r="D805">
        <v>-0.93477964000000002</v>
      </c>
    </row>
    <row r="806" spans="2:4" x14ac:dyDescent="0.25">
      <c r="B806" s="5">
        <v>44798</v>
      </c>
      <c r="C806">
        <v>1.1095405</v>
      </c>
      <c r="D806">
        <v>0.18657446</v>
      </c>
    </row>
    <row r="807" spans="2:4" x14ac:dyDescent="0.25">
      <c r="B807" s="5">
        <v>44797</v>
      </c>
      <c r="C807">
        <v>-0.23512839999999999</v>
      </c>
      <c r="D807">
        <v>1.3571739</v>
      </c>
    </row>
    <row r="808" spans="2:4" x14ac:dyDescent="0.25">
      <c r="B808" s="5">
        <v>44796</v>
      </c>
      <c r="C808">
        <v>-0.4716456</v>
      </c>
      <c r="D808">
        <v>-0.91298219999999997</v>
      </c>
    </row>
    <row r="809" spans="2:4" x14ac:dyDescent="0.25">
      <c r="B809" s="5">
        <v>44795</v>
      </c>
      <c r="C809">
        <v>-2.9355228000000002</v>
      </c>
      <c r="D809">
        <v>-0.65972805000000001</v>
      </c>
    </row>
    <row r="810" spans="2:4" x14ac:dyDescent="0.25">
      <c r="B810" s="5">
        <v>44792</v>
      </c>
      <c r="C810">
        <v>-1.3854027</v>
      </c>
      <c r="D810">
        <v>-0.86874960000000001</v>
      </c>
    </row>
    <row r="811" spans="2:4" x14ac:dyDescent="0.25">
      <c r="B811" s="5">
        <v>44791</v>
      </c>
      <c r="C811">
        <v>-0.39475559999999998</v>
      </c>
      <c r="D811">
        <v>1.0358334</v>
      </c>
    </row>
    <row r="812" spans="2:4" x14ac:dyDescent="0.25">
      <c r="B812" s="5">
        <v>44790</v>
      </c>
      <c r="C812">
        <v>-0.47487020000000002</v>
      </c>
      <c r="D812">
        <v>1.1062621999999999E-2</v>
      </c>
    </row>
    <row r="813" spans="2:4" x14ac:dyDescent="0.25">
      <c r="B813" s="5">
        <v>44789</v>
      </c>
      <c r="C813">
        <v>-0.25897621999999998</v>
      </c>
      <c r="D813">
        <v>-0.59040784999999996</v>
      </c>
    </row>
    <row r="814" spans="2:4" x14ac:dyDescent="0.25">
      <c r="B814" s="5">
        <v>44788</v>
      </c>
      <c r="C814">
        <v>0.53441525000000001</v>
      </c>
      <c r="D814">
        <v>2.2039056000000001</v>
      </c>
    </row>
    <row r="815" spans="2:4" x14ac:dyDescent="0.25">
      <c r="B815" s="5">
        <v>44785</v>
      </c>
      <c r="C815">
        <v>1.7037153</v>
      </c>
      <c r="D815">
        <v>-4.2081474999999999</v>
      </c>
    </row>
    <row r="816" spans="2:4" x14ac:dyDescent="0.25">
      <c r="B816" s="5">
        <v>44784</v>
      </c>
      <c r="C816">
        <v>-0.74008110000000005</v>
      </c>
      <c r="D816">
        <v>-1.6295314000000001</v>
      </c>
    </row>
    <row r="817" spans="2:4" x14ac:dyDescent="0.25">
      <c r="B817" s="5">
        <v>44783</v>
      </c>
      <c r="C817">
        <v>2.4300456000000001</v>
      </c>
      <c r="D817">
        <v>2.1922588E-2</v>
      </c>
    </row>
    <row r="818" spans="2:4" x14ac:dyDescent="0.25">
      <c r="B818" s="5">
        <v>44782</v>
      </c>
      <c r="C818">
        <v>0.70632695999999995</v>
      </c>
      <c r="D818">
        <v>0.13971328999999999</v>
      </c>
    </row>
    <row r="819" spans="2:4" x14ac:dyDescent="0.25">
      <c r="B819" s="5">
        <v>44781</v>
      </c>
      <c r="C819">
        <v>-0.91548560000000001</v>
      </c>
      <c r="D819">
        <v>0.94478130000000005</v>
      </c>
    </row>
    <row r="820" spans="2:4" x14ac:dyDescent="0.25">
      <c r="B820" s="5">
        <v>44778</v>
      </c>
      <c r="C820">
        <v>-0.26088357000000001</v>
      </c>
      <c r="D820">
        <v>-0.39323567999999998</v>
      </c>
    </row>
    <row r="821" spans="2:4" x14ac:dyDescent="0.25">
      <c r="B821" s="5">
        <v>44777</v>
      </c>
      <c r="C821">
        <v>0.41774509999999998</v>
      </c>
      <c r="D821">
        <v>0.42420626</v>
      </c>
    </row>
    <row r="822" spans="2:4" x14ac:dyDescent="0.25">
      <c r="B822" s="5">
        <v>44776</v>
      </c>
      <c r="C822">
        <v>2.7836322999999998</v>
      </c>
      <c r="D822">
        <v>0.56217910000000004</v>
      </c>
    </row>
    <row r="823" spans="2:4" x14ac:dyDescent="0.25">
      <c r="B823" s="5">
        <v>44775</v>
      </c>
      <c r="C823">
        <v>-1.147443</v>
      </c>
      <c r="D823">
        <v>-1.0883986999999999</v>
      </c>
    </row>
    <row r="824" spans="2:4" x14ac:dyDescent="0.25">
      <c r="B824" s="5">
        <v>44774</v>
      </c>
      <c r="C824">
        <v>-0.97242594000000004</v>
      </c>
      <c r="D824">
        <v>2.2570730000000001</v>
      </c>
    </row>
    <row r="825" spans="2:4" x14ac:dyDescent="0.25">
      <c r="B825" s="5">
        <v>44771</v>
      </c>
      <c r="C825">
        <v>1.5665054</v>
      </c>
      <c r="D825">
        <v>1.5051125999999999</v>
      </c>
    </row>
    <row r="826" spans="2:4" x14ac:dyDescent="0.25">
      <c r="B826" s="5">
        <v>44770</v>
      </c>
      <c r="C826">
        <v>2.8540611</v>
      </c>
      <c r="D826">
        <v>2.4104237999999998</v>
      </c>
    </row>
    <row r="827" spans="2:4" x14ac:dyDescent="0.25">
      <c r="B827" s="5">
        <v>44769</v>
      </c>
      <c r="C827">
        <v>6.6851853999999999</v>
      </c>
      <c r="D827">
        <v>2.1907209999999999</v>
      </c>
    </row>
    <row r="828" spans="2:4" x14ac:dyDescent="0.25">
      <c r="B828" s="5">
        <v>44768</v>
      </c>
      <c r="C828">
        <v>-2.6774287000000001</v>
      </c>
      <c r="D828">
        <v>-0.88350176999999996</v>
      </c>
    </row>
    <row r="829" spans="2:4" x14ac:dyDescent="0.25">
      <c r="B829" s="5">
        <v>44767</v>
      </c>
      <c r="C829">
        <v>-0.58764815000000004</v>
      </c>
      <c r="D829">
        <v>0.15181302999999999</v>
      </c>
    </row>
    <row r="830" spans="2:4" x14ac:dyDescent="0.25">
      <c r="B830" s="5">
        <v>44764</v>
      </c>
      <c r="C830">
        <v>-1.6915917</v>
      </c>
      <c r="D830">
        <v>-2.0237802999999999</v>
      </c>
    </row>
    <row r="831" spans="2:4" x14ac:dyDescent="0.25">
      <c r="B831" s="5">
        <v>44763</v>
      </c>
      <c r="C831">
        <v>0.97991229999999996</v>
      </c>
      <c r="D831">
        <v>0.71430205999999996</v>
      </c>
    </row>
    <row r="832" spans="2:4" x14ac:dyDescent="0.25">
      <c r="B832" s="5">
        <v>44762</v>
      </c>
      <c r="C832">
        <v>1.0557532000000001</v>
      </c>
      <c r="D832">
        <v>0.30220746999999998</v>
      </c>
    </row>
    <row r="833" spans="2:4" x14ac:dyDescent="0.25">
      <c r="B833" s="5">
        <v>44761</v>
      </c>
      <c r="C833">
        <v>2.0766973000000002</v>
      </c>
      <c r="D833">
        <v>1.4776707</v>
      </c>
    </row>
    <row r="834" spans="2:4" x14ac:dyDescent="0.25">
      <c r="B834" s="5">
        <v>44760</v>
      </c>
      <c r="C834">
        <v>-0.96213820000000005</v>
      </c>
      <c r="D834">
        <v>2.0381331</v>
      </c>
    </row>
    <row r="835" spans="2:4" x14ac:dyDescent="0.25">
      <c r="B835" s="5">
        <v>44757</v>
      </c>
      <c r="C835">
        <v>1.0390401</v>
      </c>
      <c r="D835">
        <v>0.45266149999999999</v>
      </c>
    </row>
    <row r="836" spans="2:4" x14ac:dyDescent="0.25">
      <c r="B836" s="5">
        <v>44756</v>
      </c>
      <c r="C836">
        <v>0.53814649999999997</v>
      </c>
      <c r="D836">
        <v>-4.110563</v>
      </c>
    </row>
    <row r="837" spans="2:4" x14ac:dyDescent="0.25">
      <c r="B837" s="5">
        <v>44755</v>
      </c>
      <c r="C837">
        <v>-0.37450193999999998</v>
      </c>
      <c r="D837">
        <v>0.99440812999999995</v>
      </c>
    </row>
    <row r="838" spans="2:4" x14ac:dyDescent="0.25">
      <c r="B838" s="5">
        <v>44754</v>
      </c>
      <c r="C838">
        <v>-4.0981474000000002</v>
      </c>
      <c r="D838">
        <v>1.8920064000000001</v>
      </c>
    </row>
    <row r="839" spans="2:4" x14ac:dyDescent="0.25">
      <c r="B839" s="5">
        <v>44753</v>
      </c>
      <c r="C839">
        <v>-1.1768639000000001</v>
      </c>
      <c r="D839">
        <v>-0.26499630000000002</v>
      </c>
    </row>
    <row r="840" spans="2:4" x14ac:dyDescent="0.25">
      <c r="B840" s="5">
        <v>44750</v>
      </c>
      <c r="C840">
        <v>-0.27570724000000002</v>
      </c>
      <c r="D840">
        <v>0.79059599999999997</v>
      </c>
    </row>
    <row r="841" spans="2:4" x14ac:dyDescent="0.25">
      <c r="B841" s="5">
        <v>44749</v>
      </c>
      <c r="C841">
        <v>0.82266329999999999</v>
      </c>
      <c r="D841">
        <v>-1.3894975000000001</v>
      </c>
    </row>
    <row r="842" spans="2:4" x14ac:dyDescent="0.25">
      <c r="B842" s="5">
        <v>44748</v>
      </c>
      <c r="C842">
        <v>1.2782931</v>
      </c>
      <c r="D842">
        <v>2.9331564999999999</v>
      </c>
    </row>
    <row r="843" spans="2:4" x14ac:dyDescent="0.25">
      <c r="B843" s="5">
        <v>44747</v>
      </c>
      <c r="C843">
        <v>1.2597322</v>
      </c>
      <c r="D843">
        <v>-0.89625120000000003</v>
      </c>
    </row>
    <row r="844" spans="2:4" x14ac:dyDescent="0.25">
      <c r="B844" s="5">
        <v>44743</v>
      </c>
      <c r="C844">
        <v>1.0707498</v>
      </c>
      <c r="D844">
        <v>-3.8099945000000002</v>
      </c>
    </row>
    <row r="845" spans="2:4" x14ac:dyDescent="0.25">
      <c r="B845" s="5">
        <v>44742</v>
      </c>
      <c r="C845">
        <v>-1.3179243</v>
      </c>
      <c r="D845">
        <v>-0.2602756</v>
      </c>
    </row>
    <row r="846" spans="2:4" x14ac:dyDescent="0.25">
      <c r="B846" s="5">
        <v>44741</v>
      </c>
      <c r="C846">
        <v>1.4737963999999999</v>
      </c>
      <c r="D846">
        <v>0.69833993999999999</v>
      </c>
    </row>
    <row r="847" spans="2:4" x14ac:dyDescent="0.25">
      <c r="B847" s="5">
        <v>44740</v>
      </c>
      <c r="C847">
        <v>-3.1749070000000001</v>
      </c>
      <c r="D847">
        <v>-1.3761938</v>
      </c>
    </row>
    <row r="848" spans="2:4" x14ac:dyDescent="0.25">
      <c r="B848" s="5">
        <v>44739</v>
      </c>
      <c r="C848">
        <v>-1.0496795000000001</v>
      </c>
      <c r="D848">
        <v>1.5568375999999999</v>
      </c>
    </row>
    <row r="849" spans="2:4" x14ac:dyDescent="0.25">
      <c r="B849" s="5">
        <v>44736</v>
      </c>
      <c r="C849">
        <v>3.4149885000000002</v>
      </c>
      <c r="D849">
        <v>0.85726975999999999</v>
      </c>
    </row>
    <row r="850" spans="2:4" x14ac:dyDescent="0.25">
      <c r="B850" s="5">
        <v>44735</v>
      </c>
      <c r="C850">
        <v>2.2636533000000001</v>
      </c>
      <c r="D850">
        <v>-0.48243403000000001</v>
      </c>
    </row>
    <row r="851" spans="2:4" x14ac:dyDescent="0.25">
      <c r="B851" s="5">
        <v>44734</v>
      </c>
      <c r="C851">
        <v>-0.24040341000000001</v>
      </c>
      <c r="D851">
        <v>1.0806918000000001</v>
      </c>
    </row>
    <row r="852" spans="2:4" x14ac:dyDescent="0.25">
      <c r="B852" s="5">
        <v>44733</v>
      </c>
      <c r="C852">
        <v>2.4591208</v>
      </c>
      <c r="D852">
        <v>1.5151858</v>
      </c>
    </row>
    <row r="853" spans="2:4" x14ac:dyDescent="0.25">
      <c r="B853" s="5">
        <v>44729</v>
      </c>
      <c r="C853">
        <v>1.0940075</v>
      </c>
      <c r="D853">
        <v>-0.56052804000000001</v>
      </c>
    </row>
    <row r="854" spans="2:4" x14ac:dyDescent="0.25">
      <c r="B854" s="5">
        <v>44728</v>
      </c>
      <c r="C854">
        <v>-2.6970087999999999</v>
      </c>
      <c r="D854">
        <v>0.78861713</v>
      </c>
    </row>
    <row r="855" spans="2:4" x14ac:dyDescent="0.25">
      <c r="B855" s="5">
        <v>44727</v>
      </c>
      <c r="C855">
        <v>2.9735326999999998</v>
      </c>
      <c r="D855">
        <v>1.6463637</v>
      </c>
    </row>
    <row r="856" spans="2:4" x14ac:dyDescent="0.25">
      <c r="B856" s="5">
        <v>44726</v>
      </c>
      <c r="C856">
        <v>0.92049840000000005</v>
      </c>
      <c r="D856">
        <v>1.0494231999999999</v>
      </c>
    </row>
    <row r="857" spans="2:4" x14ac:dyDescent="0.25">
      <c r="B857" s="5">
        <v>44725</v>
      </c>
      <c r="C857">
        <v>-4.241276</v>
      </c>
      <c r="D857">
        <v>-2.2306085000000002</v>
      </c>
    </row>
    <row r="858" spans="2:4" x14ac:dyDescent="0.25">
      <c r="B858" s="5">
        <v>44722</v>
      </c>
      <c r="C858">
        <v>-4.4563649999999999</v>
      </c>
      <c r="D858">
        <v>-0.20727514999999999</v>
      </c>
    </row>
    <row r="859" spans="2:4" x14ac:dyDescent="0.25">
      <c r="B859" s="5">
        <v>44721</v>
      </c>
      <c r="C859">
        <v>-2.0783246000000002</v>
      </c>
      <c r="D859">
        <v>-0.98496675</v>
      </c>
    </row>
    <row r="860" spans="2:4" x14ac:dyDescent="0.25">
      <c r="B860" s="5">
        <v>44720</v>
      </c>
      <c r="C860">
        <v>-0.76696869999999995</v>
      </c>
      <c r="D860">
        <v>-1.7111837999999999</v>
      </c>
    </row>
    <row r="861" spans="2:4" x14ac:dyDescent="0.25">
      <c r="B861" s="5">
        <v>44719</v>
      </c>
      <c r="C861">
        <v>1.3953447000000001</v>
      </c>
      <c r="D861">
        <v>-1.7361462000000001</v>
      </c>
    </row>
    <row r="862" spans="2:4" x14ac:dyDescent="0.25">
      <c r="B862" s="5">
        <v>44718</v>
      </c>
      <c r="C862">
        <v>-0.47033429999999998</v>
      </c>
      <c r="D862">
        <v>0.53238870000000005</v>
      </c>
    </row>
    <row r="863" spans="2:4" x14ac:dyDescent="0.25">
      <c r="B863" s="5">
        <v>44715</v>
      </c>
      <c r="C863">
        <v>-1.6607164999999999</v>
      </c>
      <c r="D863">
        <v>8.3470345000000001E-2</v>
      </c>
    </row>
    <row r="864" spans="2:4" x14ac:dyDescent="0.25">
      <c r="B864" s="5">
        <v>44714</v>
      </c>
      <c r="C864">
        <v>0.79288479999999995</v>
      </c>
      <c r="D864">
        <v>1.2078165999999999</v>
      </c>
    </row>
    <row r="865" spans="2:4" x14ac:dyDescent="0.25">
      <c r="B865" s="5">
        <v>44713</v>
      </c>
      <c r="C865">
        <v>0.20231009</v>
      </c>
      <c r="D865">
        <v>-1.6309559</v>
      </c>
    </row>
    <row r="866" spans="2:4" x14ac:dyDescent="0.25">
      <c r="B866" s="5">
        <v>44712</v>
      </c>
      <c r="C866">
        <v>-0.50138830000000001</v>
      </c>
      <c r="D866">
        <v>-4.5578659999999998</v>
      </c>
    </row>
    <row r="867" spans="2:4" x14ac:dyDescent="0.25">
      <c r="B867" s="5">
        <v>44708</v>
      </c>
      <c r="C867">
        <v>2.7604342000000002</v>
      </c>
      <c r="D867">
        <v>-6.9975850000000006E-2</v>
      </c>
    </row>
    <row r="868" spans="2:4" x14ac:dyDescent="0.25">
      <c r="B868" s="5">
        <v>44707</v>
      </c>
      <c r="C868">
        <v>1.2875198999999999</v>
      </c>
      <c r="D868">
        <v>0.66318509999999997</v>
      </c>
    </row>
    <row r="869" spans="2:4" x14ac:dyDescent="0.25">
      <c r="B869" s="5">
        <v>44706</v>
      </c>
      <c r="C869">
        <v>1.1170149</v>
      </c>
      <c r="D869">
        <v>-1.9989908000000001</v>
      </c>
    </row>
    <row r="870" spans="2:4" x14ac:dyDescent="0.25">
      <c r="B870" s="5">
        <v>44705</v>
      </c>
      <c r="C870">
        <v>-0.39516687</v>
      </c>
      <c r="D870">
        <v>2.4902701</v>
      </c>
    </row>
    <row r="871" spans="2:4" x14ac:dyDescent="0.25">
      <c r="B871" s="5">
        <v>44704</v>
      </c>
      <c r="C871">
        <v>3.2032012999999999</v>
      </c>
      <c r="D871">
        <v>1.2332677999999999</v>
      </c>
    </row>
    <row r="872" spans="2:4" x14ac:dyDescent="0.25">
      <c r="B872" s="5">
        <v>44701</v>
      </c>
      <c r="C872">
        <v>-0.22912025</v>
      </c>
      <c r="D872">
        <v>1.7385602</v>
      </c>
    </row>
    <row r="873" spans="2:4" x14ac:dyDescent="0.25">
      <c r="B873" s="5">
        <v>44700</v>
      </c>
      <c r="C873">
        <v>-0.36996603</v>
      </c>
      <c r="D873">
        <v>-2.3655891000000002</v>
      </c>
    </row>
    <row r="874" spans="2:4" x14ac:dyDescent="0.25">
      <c r="B874" s="5">
        <v>44699</v>
      </c>
      <c r="C874">
        <v>-4.7747555000000004</v>
      </c>
      <c r="D874">
        <v>-0.24869442</v>
      </c>
    </row>
    <row r="875" spans="2:4" x14ac:dyDescent="0.25">
      <c r="B875" s="5">
        <v>44698</v>
      </c>
      <c r="C875">
        <v>2.0344137999999998</v>
      </c>
      <c r="D875">
        <v>2.6070237000000001</v>
      </c>
    </row>
    <row r="876" spans="2:4" x14ac:dyDescent="0.25">
      <c r="B876" s="5">
        <v>44697</v>
      </c>
      <c r="C876">
        <v>0.14553070000000001</v>
      </c>
      <c r="D876">
        <v>-0.36957264000000001</v>
      </c>
    </row>
    <row r="877" spans="2:4" x14ac:dyDescent="0.25">
      <c r="B877" s="5">
        <v>44694</v>
      </c>
      <c r="C877">
        <v>2.259636</v>
      </c>
      <c r="D877">
        <v>0.35092830000000003</v>
      </c>
    </row>
    <row r="878" spans="2:4" x14ac:dyDescent="0.25">
      <c r="B878" s="5">
        <v>44693</v>
      </c>
      <c r="C878">
        <v>-1.9957720999999999</v>
      </c>
      <c r="D878">
        <v>-1.3314724</v>
      </c>
    </row>
    <row r="879" spans="2:4" x14ac:dyDescent="0.25">
      <c r="B879" s="5">
        <v>44692</v>
      </c>
      <c r="C879">
        <v>-3.3209681999999998</v>
      </c>
      <c r="D879">
        <v>0.5293369</v>
      </c>
    </row>
    <row r="880" spans="2:4" x14ac:dyDescent="0.25">
      <c r="B880" s="5">
        <v>44691</v>
      </c>
      <c r="C880">
        <v>1.8595576</v>
      </c>
      <c r="D880">
        <v>1.795876</v>
      </c>
    </row>
    <row r="881" spans="2:4" x14ac:dyDescent="0.25">
      <c r="B881" s="5">
        <v>44690</v>
      </c>
      <c r="C881">
        <v>-3.6945462</v>
      </c>
      <c r="D881">
        <v>-2.1354853999999999</v>
      </c>
    </row>
    <row r="882" spans="2:4" x14ac:dyDescent="0.25">
      <c r="B882" s="5">
        <v>44687</v>
      </c>
      <c r="C882">
        <v>-0.9446502</v>
      </c>
      <c r="D882">
        <v>-0.97484590000000004</v>
      </c>
    </row>
    <row r="883" spans="2:4" x14ac:dyDescent="0.25">
      <c r="B883" s="5">
        <v>44686</v>
      </c>
      <c r="C883">
        <v>-4.3554725999999997</v>
      </c>
      <c r="D883">
        <v>-1.8199623</v>
      </c>
    </row>
    <row r="884" spans="2:4" x14ac:dyDescent="0.25">
      <c r="B884" s="5">
        <v>44685</v>
      </c>
      <c r="C884">
        <v>2.9100776000000002</v>
      </c>
      <c r="D884">
        <v>4.7564507000000004E-3</v>
      </c>
    </row>
    <row r="885" spans="2:4" x14ac:dyDescent="0.25">
      <c r="B885" s="5">
        <v>44684</v>
      </c>
      <c r="C885">
        <v>-0.94562170000000001</v>
      </c>
      <c r="D885">
        <v>0.2327919</v>
      </c>
    </row>
    <row r="886" spans="2:4" x14ac:dyDescent="0.25">
      <c r="B886" s="5">
        <v>44683</v>
      </c>
      <c r="C886">
        <v>2.5043250000000001</v>
      </c>
      <c r="D886">
        <v>-9.6398590000000006E-2</v>
      </c>
    </row>
    <row r="887" spans="2:4" x14ac:dyDescent="0.25">
      <c r="B887" s="5">
        <v>44680</v>
      </c>
      <c r="C887">
        <v>-4.1811999999999996</v>
      </c>
      <c r="D887">
        <v>2.0327449999999998</v>
      </c>
    </row>
    <row r="888" spans="2:4" x14ac:dyDescent="0.25">
      <c r="B888" s="5">
        <v>44679</v>
      </c>
      <c r="C888">
        <v>2.2632599999999998</v>
      </c>
      <c r="D888">
        <v>5.171299E-2</v>
      </c>
    </row>
    <row r="889" spans="2:4" x14ac:dyDescent="0.25">
      <c r="B889" s="5">
        <v>44678</v>
      </c>
      <c r="C889">
        <v>4.8108934999999997</v>
      </c>
      <c r="D889">
        <v>-2.4730802000000001</v>
      </c>
    </row>
    <row r="890" spans="2:4" x14ac:dyDescent="0.25">
      <c r="B890" s="5">
        <v>44677</v>
      </c>
      <c r="C890">
        <v>-3.7403822</v>
      </c>
      <c r="D890">
        <v>0.31703710000000002</v>
      </c>
    </row>
    <row r="891" spans="2:4" x14ac:dyDescent="0.25">
      <c r="B891" s="5">
        <v>44676</v>
      </c>
      <c r="C891">
        <v>2.4413347000000001</v>
      </c>
      <c r="D891">
        <v>9.4413759999999996E-3</v>
      </c>
    </row>
    <row r="892" spans="2:4" x14ac:dyDescent="0.25">
      <c r="B892" s="5">
        <v>44673</v>
      </c>
      <c r="C892">
        <v>-2.4144410000000001</v>
      </c>
      <c r="D892">
        <v>-1.0311842</v>
      </c>
    </row>
    <row r="893" spans="2:4" x14ac:dyDescent="0.25">
      <c r="B893" s="5">
        <v>44672</v>
      </c>
      <c r="C893">
        <v>-1.9381166000000001</v>
      </c>
      <c r="D893">
        <v>-1.3990222999999999</v>
      </c>
    </row>
    <row r="894" spans="2:4" x14ac:dyDescent="0.25">
      <c r="B894" s="5">
        <v>44671</v>
      </c>
      <c r="C894">
        <v>0.37153960000000003</v>
      </c>
      <c r="D894">
        <v>1.8085837</v>
      </c>
    </row>
    <row r="895" spans="2:4" x14ac:dyDescent="0.25">
      <c r="B895" s="5">
        <v>44670</v>
      </c>
      <c r="C895">
        <v>1.7039776</v>
      </c>
      <c r="D895">
        <v>-2.7658105000000002</v>
      </c>
    </row>
    <row r="896" spans="2:4" x14ac:dyDescent="0.25">
      <c r="B896" s="5">
        <v>44669</v>
      </c>
      <c r="C896">
        <v>0.24658442</v>
      </c>
      <c r="D896">
        <v>0.15774964999999999</v>
      </c>
    </row>
    <row r="897" spans="2:4" x14ac:dyDescent="0.25">
      <c r="B897" s="5">
        <v>44665</v>
      </c>
      <c r="C897">
        <v>-2.7084350000000001</v>
      </c>
      <c r="D897">
        <v>0.75187683000000005</v>
      </c>
    </row>
    <row r="898" spans="2:4" x14ac:dyDescent="0.25">
      <c r="B898" s="5">
        <v>44664</v>
      </c>
      <c r="C898">
        <v>1.971209</v>
      </c>
      <c r="D898">
        <v>-0.50882099999999997</v>
      </c>
    </row>
    <row r="899" spans="2:4" x14ac:dyDescent="0.25">
      <c r="B899" s="5">
        <v>44663</v>
      </c>
      <c r="C899">
        <v>-1.1217892</v>
      </c>
      <c r="D899">
        <v>-0.69295764000000004</v>
      </c>
    </row>
    <row r="900" spans="2:4" x14ac:dyDescent="0.25">
      <c r="B900" s="5">
        <v>44662</v>
      </c>
      <c r="C900">
        <v>-3.9431571999999999</v>
      </c>
      <c r="D900">
        <v>-0.40910839999999998</v>
      </c>
    </row>
    <row r="901" spans="2:4" x14ac:dyDescent="0.25">
      <c r="B901" s="5">
        <v>44659</v>
      </c>
      <c r="C901">
        <v>-1.4599979000000001</v>
      </c>
      <c r="D901">
        <v>1.3376950999999999</v>
      </c>
    </row>
    <row r="902" spans="2:4" x14ac:dyDescent="0.25">
      <c r="B902" s="5">
        <v>44658</v>
      </c>
      <c r="C902">
        <v>0.6243706</v>
      </c>
      <c r="D902">
        <v>-0.34424067000000003</v>
      </c>
    </row>
    <row r="903" spans="2:4" x14ac:dyDescent="0.25">
      <c r="B903" s="5">
        <v>44657</v>
      </c>
      <c r="C903">
        <v>-3.6605775</v>
      </c>
      <c r="D903">
        <v>-1.5090644</v>
      </c>
    </row>
    <row r="904" spans="2:4" x14ac:dyDescent="0.25">
      <c r="B904" s="5">
        <v>44656</v>
      </c>
      <c r="C904">
        <v>-1.2985348999999999</v>
      </c>
      <c r="D904">
        <v>2.5515555999999999</v>
      </c>
    </row>
    <row r="905" spans="2:4" x14ac:dyDescent="0.25">
      <c r="B905" s="5">
        <v>44655</v>
      </c>
      <c r="C905">
        <v>1.7936707000000001</v>
      </c>
      <c r="D905">
        <v>-1.2401819000000001</v>
      </c>
    </row>
    <row r="906" spans="2:4" x14ac:dyDescent="0.25">
      <c r="B906" s="5">
        <v>44652</v>
      </c>
      <c r="C906">
        <v>0.36003590000000002</v>
      </c>
      <c r="D906">
        <v>0.16477107999999999</v>
      </c>
    </row>
    <row r="907" spans="2:4" x14ac:dyDescent="0.25">
      <c r="B907" s="5">
        <v>44651</v>
      </c>
      <c r="C907">
        <v>-1.7683028999999999</v>
      </c>
      <c r="D907">
        <v>-1.6377807</v>
      </c>
    </row>
    <row r="908" spans="2:4" x14ac:dyDescent="0.25">
      <c r="B908" s="5">
        <v>44650</v>
      </c>
      <c r="C908">
        <v>-0.49142838</v>
      </c>
      <c r="D908">
        <v>1.0479092999999999</v>
      </c>
    </row>
    <row r="909" spans="2:4" x14ac:dyDescent="0.25">
      <c r="B909" s="5">
        <v>44649</v>
      </c>
      <c r="C909">
        <v>1.5159248999999999</v>
      </c>
      <c r="D909">
        <v>1.6764521999999999</v>
      </c>
    </row>
    <row r="910" spans="2:4" x14ac:dyDescent="0.25">
      <c r="B910" s="5">
        <v>44648</v>
      </c>
      <c r="C910">
        <v>2.3116469999999998</v>
      </c>
      <c r="D910">
        <v>0.72538849999999999</v>
      </c>
    </row>
    <row r="911" spans="2:4" x14ac:dyDescent="0.25">
      <c r="B911" s="5">
        <v>44645</v>
      </c>
      <c r="C911">
        <v>-0.13811588</v>
      </c>
      <c r="D911">
        <v>1.8955588000000001</v>
      </c>
    </row>
    <row r="912" spans="2:4" x14ac:dyDescent="0.25">
      <c r="B912" s="5">
        <v>44644</v>
      </c>
      <c r="C912">
        <v>1.53929</v>
      </c>
      <c r="D912">
        <v>-0.29069780000000001</v>
      </c>
    </row>
    <row r="913" spans="2:4" x14ac:dyDescent="0.25">
      <c r="B913" s="5">
        <v>44643</v>
      </c>
      <c r="C913">
        <v>-1.5029967</v>
      </c>
      <c r="D913">
        <v>-2.7781546000000001</v>
      </c>
    </row>
    <row r="914" spans="2:4" x14ac:dyDescent="0.25">
      <c r="B914" s="5">
        <v>44642</v>
      </c>
      <c r="C914">
        <v>1.6379117999999999</v>
      </c>
      <c r="D914">
        <v>1.5506625000000001</v>
      </c>
    </row>
    <row r="915" spans="2:4" x14ac:dyDescent="0.25">
      <c r="B915" s="5">
        <v>44641</v>
      </c>
      <c r="C915">
        <v>-0.42272209999999999</v>
      </c>
      <c r="D915">
        <v>-0.1772523</v>
      </c>
    </row>
    <row r="916" spans="2:4" x14ac:dyDescent="0.25">
      <c r="B916" s="5">
        <v>44638</v>
      </c>
      <c r="C916">
        <v>1.7647862000000001</v>
      </c>
      <c r="D916">
        <v>0.60659647000000005</v>
      </c>
    </row>
    <row r="917" spans="2:4" x14ac:dyDescent="0.25">
      <c r="B917" s="5">
        <v>44637</v>
      </c>
      <c r="C917">
        <v>0.28192996999999997</v>
      </c>
      <c r="D917">
        <v>-0.78333019999999998</v>
      </c>
    </row>
    <row r="918" spans="2:4" x14ac:dyDescent="0.25">
      <c r="B918" s="5">
        <v>44636</v>
      </c>
      <c r="C918">
        <v>2.5213359999999998</v>
      </c>
      <c r="D918">
        <v>5.0747274999999998</v>
      </c>
    </row>
    <row r="919" spans="2:4" x14ac:dyDescent="0.25">
      <c r="B919" s="5">
        <v>44635</v>
      </c>
      <c r="C919">
        <v>3.8742542000000002</v>
      </c>
      <c r="D919">
        <v>1.2174845000000001</v>
      </c>
    </row>
    <row r="920" spans="2:4" x14ac:dyDescent="0.25">
      <c r="B920" s="5">
        <v>44634</v>
      </c>
      <c r="C920">
        <v>-1.296109</v>
      </c>
      <c r="D920">
        <v>4.7552466000000004</v>
      </c>
    </row>
    <row r="921" spans="2:4" x14ac:dyDescent="0.25">
      <c r="B921" s="5">
        <v>44631</v>
      </c>
      <c r="C921">
        <v>-1.9328356</v>
      </c>
      <c r="D921">
        <v>0.80627203000000003</v>
      </c>
    </row>
    <row r="922" spans="2:4" x14ac:dyDescent="0.25">
      <c r="B922" s="5">
        <v>44630</v>
      </c>
      <c r="C922">
        <v>-1.0086656000000001</v>
      </c>
      <c r="D922">
        <v>-0.65822004999999995</v>
      </c>
    </row>
    <row r="923" spans="2:4" x14ac:dyDescent="0.25">
      <c r="B923" s="5">
        <v>44629</v>
      </c>
      <c r="C923">
        <v>4.5858264000000002</v>
      </c>
      <c r="D923">
        <v>7.2929620000000002</v>
      </c>
    </row>
    <row r="924" spans="2:4" x14ac:dyDescent="0.25">
      <c r="B924" s="5">
        <v>44628</v>
      </c>
      <c r="C924">
        <v>-1.0971248</v>
      </c>
      <c r="D924">
        <v>-2.5443614000000001</v>
      </c>
    </row>
    <row r="925" spans="2:4" x14ac:dyDescent="0.25">
      <c r="B925" s="5">
        <v>44627</v>
      </c>
      <c r="C925">
        <v>-3.7776768000000001</v>
      </c>
      <c r="D925">
        <v>-0.68569780000000002</v>
      </c>
    </row>
    <row r="926" spans="2:4" x14ac:dyDescent="0.25">
      <c r="B926" s="5">
        <v>44624</v>
      </c>
      <c r="C926">
        <v>-2.0478605999999999</v>
      </c>
      <c r="D926">
        <v>-4.5117380000000002</v>
      </c>
    </row>
    <row r="927" spans="2:4" x14ac:dyDescent="0.25">
      <c r="B927" s="5">
        <v>44623</v>
      </c>
      <c r="C927">
        <v>-1.4224291</v>
      </c>
      <c r="D927">
        <v>-0.45524836000000002</v>
      </c>
    </row>
    <row r="928" spans="2:4" x14ac:dyDescent="0.25">
      <c r="B928" s="5">
        <v>44622</v>
      </c>
      <c r="C928">
        <v>1.7765641000000001</v>
      </c>
      <c r="D928">
        <v>-1.4726043</v>
      </c>
    </row>
    <row r="929" spans="2:4" x14ac:dyDescent="0.25">
      <c r="B929" s="5">
        <v>44621</v>
      </c>
      <c r="C929">
        <v>-1.2851834</v>
      </c>
      <c r="D929">
        <v>-4.2161520000000001</v>
      </c>
    </row>
    <row r="930" spans="2:4" x14ac:dyDescent="0.25">
      <c r="B930" s="5">
        <v>44620</v>
      </c>
      <c r="C930">
        <v>0.49780606999999999</v>
      </c>
      <c r="D930">
        <v>0.20807981</v>
      </c>
    </row>
    <row r="931" spans="2:4" x14ac:dyDescent="0.25">
      <c r="B931" s="5">
        <v>44617</v>
      </c>
      <c r="C931">
        <v>0.92331169999999996</v>
      </c>
      <c r="D931">
        <v>1.1831879999999999</v>
      </c>
    </row>
    <row r="932" spans="2:4" x14ac:dyDescent="0.25">
      <c r="B932" s="5">
        <v>44616</v>
      </c>
      <c r="C932">
        <v>5.1093580000000003</v>
      </c>
      <c r="D932">
        <v>-2.0518719999999999</v>
      </c>
    </row>
    <row r="933" spans="2:4" x14ac:dyDescent="0.25">
      <c r="B933" s="5">
        <v>44615</v>
      </c>
      <c r="C933">
        <v>-2.5893269999999999</v>
      </c>
      <c r="D933">
        <v>-1.4453769000000001</v>
      </c>
    </row>
    <row r="934" spans="2:4" x14ac:dyDescent="0.25">
      <c r="B934" s="5">
        <v>44614</v>
      </c>
      <c r="C934">
        <v>-7.2932239999999995E-2</v>
      </c>
      <c r="D934">
        <v>-1.1803090000000001</v>
      </c>
    </row>
    <row r="935" spans="2:4" x14ac:dyDescent="0.25">
      <c r="B935" s="5">
        <v>44610</v>
      </c>
      <c r="C935">
        <v>-0.9630978</v>
      </c>
      <c r="D935">
        <v>-1.1228681</v>
      </c>
    </row>
    <row r="936" spans="2:4" x14ac:dyDescent="0.25">
      <c r="B936" s="5">
        <v>44609</v>
      </c>
      <c r="C936">
        <v>-2.9282092999999998</v>
      </c>
      <c r="D936">
        <v>-0.78244804999999995</v>
      </c>
    </row>
    <row r="937" spans="2:4" x14ac:dyDescent="0.25">
      <c r="B937" s="5">
        <v>44608</v>
      </c>
      <c r="C937">
        <v>-0.32283067999999998</v>
      </c>
      <c r="D937">
        <v>-5.5223702999999999E-2</v>
      </c>
    </row>
    <row r="938" spans="2:4" x14ac:dyDescent="0.25">
      <c r="B938" s="5">
        <v>44607</v>
      </c>
      <c r="C938">
        <v>1.8542409</v>
      </c>
      <c r="D938">
        <v>1.4115095</v>
      </c>
    </row>
    <row r="939" spans="2:4" x14ac:dyDescent="0.25">
      <c r="B939" s="5">
        <v>44606</v>
      </c>
      <c r="C939">
        <v>-1.3560057E-2</v>
      </c>
      <c r="D939">
        <v>-0.83307030000000004</v>
      </c>
    </row>
    <row r="940" spans="2:4" x14ac:dyDescent="0.25">
      <c r="B940" s="5">
        <v>44603</v>
      </c>
      <c r="C940">
        <v>-2.4274049999999998</v>
      </c>
      <c r="D940">
        <v>4.4572353000000002E-2</v>
      </c>
    </row>
    <row r="941" spans="2:4" x14ac:dyDescent="0.25">
      <c r="B941" s="5">
        <v>44602</v>
      </c>
      <c r="C941">
        <v>-2.8373062999999998</v>
      </c>
      <c r="D941">
        <v>-0.73528886000000004</v>
      </c>
    </row>
    <row r="942" spans="2:4" x14ac:dyDescent="0.25">
      <c r="B942" s="5">
        <v>44601</v>
      </c>
      <c r="C942">
        <v>2.1834730000000002</v>
      </c>
      <c r="D942">
        <v>0.93438624999999997</v>
      </c>
    </row>
    <row r="943" spans="2:4" x14ac:dyDescent="0.25">
      <c r="B943" s="5">
        <v>44600</v>
      </c>
      <c r="C943">
        <v>1.1995316</v>
      </c>
      <c r="D943">
        <v>-0.5077779</v>
      </c>
    </row>
    <row r="944" spans="2:4" x14ac:dyDescent="0.25">
      <c r="B944" s="5">
        <v>44599</v>
      </c>
      <c r="C944">
        <v>-1.6310334</v>
      </c>
      <c r="D944">
        <v>1.0480642</v>
      </c>
    </row>
    <row r="945" spans="2:4" x14ac:dyDescent="0.25">
      <c r="B945" s="5">
        <v>44596</v>
      </c>
      <c r="C945">
        <v>1.5568495</v>
      </c>
      <c r="D945">
        <v>1.2622355999999999</v>
      </c>
    </row>
    <row r="946" spans="2:4" x14ac:dyDescent="0.25">
      <c r="B946" s="5">
        <v>44595</v>
      </c>
      <c r="C946">
        <v>-3.8952290000000001</v>
      </c>
      <c r="D946">
        <v>0.29140709999999997</v>
      </c>
    </row>
    <row r="947" spans="2:4" x14ac:dyDescent="0.25">
      <c r="B947" s="5">
        <v>44594</v>
      </c>
      <c r="C947">
        <v>1.5222073</v>
      </c>
      <c r="D947">
        <v>-5.9610604999999997E-2</v>
      </c>
    </row>
    <row r="948" spans="2:4" x14ac:dyDescent="0.25">
      <c r="B948" s="5">
        <v>44593</v>
      </c>
      <c r="C948">
        <v>-0.71387290000000003</v>
      </c>
      <c r="D948">
        <v>-0.22660494</v>
      </c>
    </row>
    <row r="949" spans="2:4" x14ac:dyDescent="0.25">
      <c r="B949" s="5">
        <v>44592</v>
      </c>
      <c r="C949">
        <v>0.88237524000000001</v>
      </c>
      <c r="D949">
        <v>2.0210146999999998</v>
      </c>
    </row>
    <row r="950" spans="2:4" x14ac:dyDescent="0.25">
      <c r="B950" s="5">
        <v>44589</v>
      </c>
      <c r="C950">
        <v>2.8081656000000002</v>
      </c>
      <c r="D950">
        <v>-0.7183969</v>
      </c>
    </row>
    <row r="951" spans="2:4" x14ac:dyDescent="0.25">
      <c r="B951" s="5">
        <v>44588</v>
      </c>
      <c r="C951">
        <v>1.0549067999999999</v>
      </c>
      <c r="D951">
        <v>-0.54591893999999996</v>
      </c>
    </row>
    <row r="952" spans="2:4" x14ac:dyDescent="0.25">
      <c r="B952" s="5">
        <v>44587</v>
      </c>
      <c r="C952">
        <v>2.8493165999999999</v>
      </c>
      <c r="D952">
        <v>-0.34238099999999999</v>
      </c>
    </row>
    <row r="953" spans="2:4" x14ac:dyDescent="0.25">
      <c r="B953" s="5">
        <v>44586</v>
      </c>
      <c r="C953">
        <v>-2.6588379999999998</v>
      </c>
      <c r="D953">
        <v>-3.0795395000000001</v>
      </c>
    </row>
    <row r="954" spans="2:4" x14ac:dyDescent="0.25">
      <c r="B954" s="5">
        <v>44585</v>
      </c>
      <c r="C954">
        <v>0.11484622999999999</v>
      </c>
      <c r="D954">
        <v>-1.9270778</v>
      </c>
    </row>
    <row r="955" spans="2:4" x14ac:dyDescent="0.25">
      <c r="B955" s="5">
        <v>44582</v>
      </c>
      <c r="C955">
        <v>-1.8468201</v>
      </c>
      <c r="D955">
        <v>0.85878370000000004</v>
      </c>
    </row>
    <row r="956" spans="2:4" x14ac:dyDescent="0.25">
      <c r="B956" s="5">
        <v>44581</v>
      </c>
      <c r="C956">
        <v>-0.57032704000000001</v>
      </c>
      <c r="D956">
        <v>2.0503879</v>
      </c>
    </row>
    <row r="957" spans="2:4" x14ac:dyDescent="0.25">
      <c r="B957" s="5">
        <v>44580</v>
      </c>
      <c r="C957">
        <v>0.22467375000000001</v>
      </c>
      <c r="D957">
        <v>1.2662411</v>
      </c>
    </row>
    <row r="958" spans="2:4" x14ac:dyDescent="0.25">
      <c r="B958" s="5">
        <v>44579</v>
      </c>
      <c r="C958">
        <v>-2.4339200000000001</v>
      </c>
      <c r="D958">
        <v>0.62572956000000002</v>
      </c>
    </row>
    <row r="959" spans="2:4" x14ac:dyDescent="0.25">
      <c r="B959" s="5">
        <v>44575</v>
      </c>
      <c r="C959">
        <v>1.7716646</v>
      </c>
      <c r="D959">
        <v>-0.62278509999999998</v>
      </c>
    </row>
    <row r="960" spans="2:4" x14ac:dyDescent="0.25">
      <c r="B960" s="5">
        <v>44574</v>
      </c>
      <c r="C960">
        <v>-4.2322579999999999</v>
      </c>
      <c r="D960">
        <v>2.6068091</v>
      </c>
    </row>
    <row r="961" spans="2:4" x14ac:dyDescent="0.25">
      <c r="B961" s="5">
        <v>44573</v>
      </c>
      <c r="C961">
        <v>1.0444998999999999</v>
      </c>
      <c r="D961">
        <v>2.2266745999999999</v>
      </c>
    </row>
    <row r="962" spans="2:4" x14ac:dyDescent="0.25">
      <c r="B962" s="5">
        <v>44572</v>
      </c>
      <c r="C962">
        <v>0.22592545</v>
      </c>
      <c r="D962">
        <v>1.6528130000000001</v>
      </c>
    </row>
    <row r="963" spans="2:4" x14ac:dyDescent="0.25">
      <c r="B963" s="5">
        <v>44571</v>
      </c>
      <c r="C963">
        <v>7.323027E-2</v>
      </c>
      <c r="D963">
        <v>0.60549973999999995</v>
      </c>
    </row>
    <row r="964" spans="2:4" x14ac:dyDescent="0.25">
      <c r="B964" s="5">
        <v>44568</v>
      </c>
      <c r="C964">
        <v>5.0973892E-2</v>
      </c>
      <c r="D964">
        <v>-0.42899847000000002</v>
      </c>
    </row>
    <row r="965" spans="2:4" x14ac:dyDescent="0.25">
      <c r="B965" s="5">
        <v>44567</v>
      </c>
      <c r="C965">
        <v>-0.79019070000000002</v>
      </c>
      <c r="D965">
        <v>-0.45892596000000002</v>
      </c>
    </row>
    <row r="966" spans="2:4" x14ac:dyDescent="0.25">
      <c r="B966" s="5">
        <v>44566</v>
      </c>
      <c r="C966">
        <v>-3.8387894999999999</v>
      </c>
      <c r="D966">
        <v>0.54651499999999997</v>
      </c>
    </row>
    <row r="967" spans="2:4" x14ac:dyDescent="0.25">
      <c r="B967" s="5">
        <v>44565</v>
      </c>
      <c r="C967">
        <v>-1.7147124</v>
      </c>
      <c r="D967">
        <v>-0.28727055000000001</v>
      </c>
    </row>
    <row r="968" spans="2:4" x14ac:dyDescent="0.25">
      <c r="B968" s="5">
        <v>44564</v>
      </c>
      <c r="C968">
        <v>-0.46681761999999999</v>
      </c>
      <c r="D968">
        <v>-0.63598155999999995</v>
      </c>
    </row>
    <row r="969" spans="2:4" x14ac:dyDescent="0.25">
      <c r="B969" s="5">
        <v>44561</v>
      </c>
      <c r="C969">
        <v>-0.88412166000000003</v>
      </c>
      <c r="D969">
        <v>0.36182404000000001</v>
      </c>
    </row>
    <row r="970" spans="2:4" x14ac:dyDescent="0.25">
      <c r="B970" s="5">
        <v>44560</v>
      </c>
      <c r="C970">
        <v>-0.76912044999999996</v>
      </c>
      <c r="D970">
        <v>0.23705960000000001</v>
      </c>
    </row>
    <row r="971" spans="2:4" x14ac:dyDescent="0.25">
      <c r="B971" s="5">
        <v>44559</v>
      </c>
      <c r="C971">
        <v>0.20513534999999999</v>
      </c>
      <c r="D971">
        <v>-0.30457377000000002</v>
      </c>
    </row>
    <row r="972" spans="2:4" x14ac:dyDescent="0.25">
      <c r="B972" s="5">
        <v>44558</v>
      </c>
      <c r="C972">
        <v>-0.35042167000000002</v>
      </c>
      <c r="D972">
        <v>0.82551240000000004</v>
      </c>
    </row>
    <row r="973" spans="2:4" x14ac:dyDescent="0.25">
      <c r="B973" s="5">
        <v>44557</v>
      </c>
      <c r="C973">
        <v>2.3185609999999999</v>
      </c>
      <c r="D973">
        <v>0.33313036000000001</v>
      </c>
    </row>
    <row r="974" spans="2:4" x14ac:dyDescent="0.25">
      <c r="B974" s="5">
        <v>44553</v>
      </c>
      <c r="C974">
        <v>0.44717790000000002</v>
      </c>
      <c r="D974">
        <v>1.0807872000000001</v>
      </c>
    </row>
    <row r="975" spans="2:4" x14ac:dyDescent="0.25">
      <c r="B975" s="5">
        <v>44552</v>
      </c>
      <c r="C975">
        <v>1.8057346000000001</v>
      </c>
      <c r="D975">
        <v>0.26321410000000001</v>
      </c>
    </row>
    <row r="976" spans="2:4" x14ac:dyDescent="0.25">
      <c r="B976" s="5">
        <v>44551</v>
      </c>
      <c r="C976">
        <v>2.3069023999999998</v>
      </c>
      <c r="D976">
        <v>2.8950572000000001</v>
      </c>
    </row>
    <row r="977" spans="2:4" x14ac:dyDescent="0.25">
      <c r="B977" s="5">
        <v>44550</v>
      </c>
      <c r="C977">
        <v>-1.2013555</v>
      </c>
      <c r="D977">
        <v>-1.6230643</v>
      </c>
    </row>
    <row r="978" spans="2:4" x14ac:dyDescent="0.25">
      <c r="B978" s="5">
        <v>44547</v>
      </c>
      <c r="C978">
        <v>-0.33856629999999999</v>
      </c>
      <c r="D978">
        <v>0.95189809999999997</v>
      </c>
    </row>
    <row r="979" spans="2:4" x14ac:dyDescent="0.25">
      <c r="B979" s="5">
        <v>44546</v>
      </c>
      <c r="C979">
        <v>-2.9134929999999999</v>
      </c>
      <c r="D979">
        <v>2.1252513</v>
      </c>
    </row>
    <row r="980" spans="2:4" x14ac:dyDescent="0.25">
      <c r="B980" s="5">
        <v>44545</v>
      </c>
      <c r="C980">
        <v>1.9217849</v>
      </c>
      <c r="D980">
        <v>0.56698320000000002</v>
      </c>
    </row>
    <row r="981" spans="2:4" x14ac:dyDescent="0.25">
      <c r="B981" s="5">
        <v>44544</v>
      </c>
      <c r="C981">
        <v>-3.2586932000000002</v>
      </c>
      <c r="D981">
        <v>-0.63202380000000002</v>
      </c>
    </row>
    <row r="982" spans="2:4" x14ac:dyDescent="0.25">
      <c r="B982" s="5">
        <v>44543</v>
      </c>
      <c r="C982">
        <v>-0.91668369999999999</v>
      </c>
      <c r="D982">
        <v>-0.54407715999999995</v>
      </c>
    </row>
    <row r="983" spans="2:4" x14ac:dyDescent="0.25">
      <c r="B983" s="5">
        <v>44540</v>
      </c>
      <c r="C983">
        <v>2.8339862999999998</v>
      </c>
      <c r="D983">
        <v>0.45796632999999998</v>
      </c>
    </row>
    <row r="984" spans="2:4" x14ac:dyDescent="0.25">
      <c r="B984" s="5">
        <v>44539</v>
      </c>
      <c r="C984">
        <v>-0.55825709999999995</v>
      </c>
      <c r="D984">
        <v>1.9025803000000001E-2</v>
      </c>
    </row>
    <row r="985" spans="2:4" x14ac:dyDescent="0.25">
      <c r="B985" s="5">
        <v>44538</v>
      </c>
      <c r="C985">
        <v>1.4925002999999999E-2</v>
      </c>
      <c r="D985">
        <v>-0.14589429000000001</v>
      </c>
    </row>
    <row r="986" spans="2:4" x14ac:dyDescent="0.25">
      <c r="B986" s="5">
        <v>44537</v>
      </c>
      <c r="C986">
        <v>2.6763558000000001</v>
      </c>
      <c r="D986">
        <v>0.47820806999999999</v>
      </c>
    </row>
    <row r="987" spans="2:4" x14ac:dyDescent="0.25">
      <c r="B987" s="5">
        <v>44536</v>
      </c>
      <c r="C987">
        <v>0.98448990000000003</v>
      </c>
      <c r="D987">
        <v>0.20613670000000001</v>
      </c>
    </row>
    <row r="988" spans="2:4" x14ac:dyDescent="0.25">
      <c r="B988" s="5">
        <v>44533</v>
      </c>
      <c r="C988">
        <v>-1.9666672000000001</v>
      </c>
      <c r="D988">
        <v>-1.0858715000000001</v>
      </c>
    </row>
    <row r="989" spans="2:4" x14ac:dyDescent="0.25">
      <c r="B989" s="5">
        <v>44532</v>
      </c>
      <c r="C989">
        <v>-0.17874240999999999</v>
      </c>
      <c r="D989">
        <v>-1.4949739</v>
      </c>
    </row>
    <row r="990" spans="2:4" x14ac:dyDescent="0.25">
      <c r="B990" s="5">
        <v>44531</v>
      </c>
      <c r="C990">
        <v>-0.15427469999999999</v>
      </c>
      <c r="D990">
        <v>2.1459698999999999</v>
      </c>
    </row>
    <row r="991" spans="2:4" x14ac:dyDescent="0.25">
      <c r="B991" s="5">
        <v>44530</v>
      </c>
      <c r="C991">
        <v>-1.7942548</v>
      </c>
      <c r="D991">
        <v>-2.6397645000000001</v>
      </c>
    </row>
    <row r="992" spans="2:4" x14ac:dyDescent="0.25">
      <c r="B992" s="5">
        <v>44529</v>
      </c>
      <c r="C992">
        <v>2.1081089999999998</v>
      </c>
      <c r="D992">
        <v>-1.007098</v>
      </c>
    </row>
    <row r="993" spans="2:4" x14ac:dyDescent="0.25">
      <c r="B993" s="5">
        <v>44526</v>
      </c>
      <c r="C993">
        <v>-2.435565</v>
      </c>
      <c r="D993">
        <v>-5.5021048000000003E-2</v>
      </c>
    </row>
    <row r="994" spans="2:4" x14ac:dyDescent="0.25">
      <c r="B994" s="5">
        <v>44524</v>
      </c>
      <c r="C994">
        <v>6.8116189999999993E-2</v>
      </c>
      <c r="D994">
        <v>-0.62919855000000002</v>
      </c>
    </row>
    <row r="995" spans="2:4" x14ac:dyDescent="0.25">
      <c r="B995" s="5">
        <v>44523</v>
      </c>
      <c r="C995">
        <v>-0.63266754000000003</v>
      </c>
      <c r="D995">
        <v>-0.46792625999999998</v>
      </c>
    </row>
    <row r="996" spans="2:4" x14ac:dyDescent="0.25">
      <c r="B996" s="5">
        <v>44522</v>
      </c>
      <c r="C996">
        <v>-0.95596312999999999</v>
      </c>
      <c r="D996">
        <v>-2.0070492999999998</v>
      </c>
    </row>
    <row r="997" spans="2:4" x14ac:dyDescent="0.25">
      <c r="B997" s="5">
        <v>44519</v>
      </c>
      <c r="C997">
        <v>0.53915979999999997</v>
      </c>
      <c r="D997">
        <v>0.37264824000000002</v>
      </c>
    </row>
    <row r="998" spans="2:4" x14ac:dyDescent="0.25">
      <c r="B998" s="5">
        <v>44518</v>
      </c>
      <c r="C998">
        <v>0.63399075999999999</v>
      </c>
      <c r="D998">
        <v>0.46087503000000002</v>
      </c>
    </row>
    <row r="999" spans="2:4" x14ac:dyDescent="0.25">
      <c r="B999" s="5">
        <v>44517</v>
      </c>
      <c r="C999">
        <v>-0.11487603</v>
      </c>
      <c r="D999">
        <v>-2.0782888000000002</v>
      </c>
    </row>
    <row r="1000" spans="2:4" x14ac:dyDescent="0.25">
      <c r="B1000" s="5">
        <v>44516</v>
      </c>
      <c r="C1000">
        <v>1.0236025</v>
      </c>
      <c r="D1000">
        <v>-0.77930690000000002</v>
      </c>
    </row>
    <row r="1001" spans="2:4" x14ac:dyDescent="0.25">
      <c r="B1001" s="5">
        <v>44515</v>
      </c>
      <c r="C1001">
        <v>-0.1930356</v>
      </c>
      <c r="D1001">
        <v>1.0761738000000001</v>
      </c>
    </row>
    <row r="1002" spans="2:4" x14ac:dyDescent="0.25">
      <c r="B1002" s="5">
        <v>44512</v>
      </c>
      <c r="C1002">
        <v>1.2905002000000001</v>
      </c>
      <c r="D1002">
        <v>-0.60178640000000005</v>
      </c>
    </row>
    <row r="1003" spans="2:4" x14ac:dyDescent="0.25">
      <c r="B1003" s="5">
        <v>44511</v>
      </c>
      <c r="C1003">
        <v>0.49275160000000001</v>
      </c>
      <c r="D1003">
        <v>-1.3786018</v>
      </c>
    </row>
    <row r="1004" spans="2:4" x14ac:dyDescent="0.25">
      <c r="B1004" s="5">
        <v>44510</v>
      </c>
      <c r="C1004">
        <v>-1.5329718999999999</v>
      </c>
      <c r="D1004">
        <v>-0.56972504000000002</v>
      </c>
    </row>
    <row r="1005" spans="2:4" x14ac:dyDescent="0.25">
      <c r="B1005" s="5">
        <v>44509</v>
      </c>
      <c r="C1005">
        <v>-0.30860900000000002</v>
      </c>
      <c r="D1005">
        <v>0.70236920000000003</v>
      </c>
    </row>
    <row r="1006" spans="2:4" x14ac:dyDescent="0.25">
      <c r="B1006" s="5">
        <v>44508</v>
      </c>
      <c r="C1006">
        <v>0.27673244000000002</v>
      </c>
      <c r="D1006">
        <v>0.2310276</v>
      </c>
    </row>
    <row r="1007" spans="2:4" x14ac:dyDescent="0.25">
      <c r="B1007" s="5">
        <v>44505</v>
      </c>
      <c r="C1007">
        <v>-0.1129508</v>
      </c>
      <c r="D1007">
        <v>-0.62494280000000002</v>
      </c>
    </row>
    <row r="1008" spans="2:4" x14ac:dyDescent="0.25">
      <c r="B1008" s="5">
        <v>44504</v>
      </c>
      <c r="C1008">
        <v>0.73053836999999999</v>
      </c>
      <c r="D1008">
        <v>1.3238311</v>
      </c>
    </row>
    <row r="1009" spans="2:4" x14ac:dyDescent="0.25">
      <c r="B1009" s="5">
        <v>44503</v>
      </c>
      <c r="C1009">
        <v>0.2611637</v>
      </c>
      <c r="D1009">
        <v>7.2884560000000001E-2</v>
      </c>
    </row>
    <row r="1010" spans="2:4" x14ac:dyDescent="0.25">
      <c r="B1010" s="5">
        <v>44502</v>
      </c>
      <c r="C1010">
        <v>1.141572</v>
      </c>
      <c r="D1010">
        <v>1.2525439</v>
      </c>
    </row>
    <row r="1011" spans="2:4" x14ac:dyDescent="0.25">
      <c r="B1011" s="5">
        <v>44501</v>
      </c>
      <c r="C1011">
        <v>-0.67848562999999995</v>
      </c>
      <c r="D1011">
        <v>1.1668563000000001</v>
      </c>
    </row>
    <row r="1012" spans="2:4" x14ac:dyDescent="0.25">
      <c r="B1012" s="5">
        <v>44498</v>
      </c>
      <c r="C1012">
        <v>2.2413970000000001</v>
      </c>
      <c r="D1012">
        <v>-1.3030470000000001</v>
      </c>
    </row>
    <row r="1013" spans="2:4" x14ac:dyDescent="0.25">
      <c r="B1013" s="5">
        <v>44497</v>
      </c>
      <c r="C1013">
        <v>0.36512612999999999</v>
      </c>
      <c r="D1013">
        <v>0.27695893999999999</v>
      </c>
    </row>
    <row r="1014" spans="2:4" x14ac:dyDescent="0.25">
      <c r="B1014" s="5">
        <v>44496</v>
      </c>
      <c r="C1014">
        <v>4.2114140000000004</v>
      </c>
      <c r="D1014">
        <v>-0.15513300999999999</v>
      </c>
    </row>
    <row r="1015" spans="2:4" x14ac:dyDescent="0.25">
      <c r="B1015" s="5">
        <v>44495</v>
      </c>
      <c r="C1015">
        <v>0.64257383000000001</v>
      </c>
      <c r="D1015">
        <v>0.39007663999999997</v>
      </c>
    </row>
    <row r="1016" spans="2:4" x14ac:dyDescent="0.25">
      <c r="B1016" s="5">
        <v>44494</v>
      </c>
      <c r="C1016">
        <v>-0.33316015999999998</v>
      </c>
      <c r="D1016">
        <v>-1.3476908000000001</v>
      </c>
    </row>
    <row r="1017" spans="2:4" x14ac:dyDescent="0.25">
      <c r="B1017" s="5">
        <v>44491</v>
      </c>
      <c r="C1017">
        <v>-0.51487090000000002</v>
      </c>
      <c r="D1017">
        <v>-0.43956040000000002</v>
      </c>
    </row>
    <row r="1018" spans="2:4" x14ac:dyDescent="0.25">
      <c r="B1018" s="5">
        <v>44490</v>
      </c>
      <c r="C1018">
        <v>1.0897517000000001</v>
      </c>
      <c r="D1018">
        <v>0.29530525000000002</v>
      </c>
    </row>
    <row r="1019" spans="2:4" x14ac:dyDescent="0.25">
      <c r="B1019" s="5">
        <v>44489</v>
      </c>
      <c r="C1019">
        <v>-0.26603937</v>
      </c>
      <c r="D1019">
        <v>-2.4790584999999998</v>
      </c>
    </row>
    <row r="1020" spans="2:4" x14ac:dyDescent="0.25">
      <c r="B1020" s="5">
        <v>44488</v>
      </c>
      <c r="C1020">
        <v>0.30590296</v>
      </c>
      <c r="D1020">
        <v>2.0054340000000002</v>
      </c>
    </row>
    <row r="1021" spans="2:4" x14ac:dyDescent="0.25">
      <c r="B1021" s="5">
        <v>44487</v>
      </c>
      <c r="C1021">
        <v>1.0124683000000001</v>
      </c>
      <c r="D1021">
        <v>-3.4463406000000002E-2</v>
      </c>
    </row>
    <row r="1022" spans="2:4" x14ac:dyDescent="0.25">
      <c r="B1022" s="5">
        <v>44484</v>
      </c>
      <c r="C1022">
        <v>0.48223734000000001</v>
      </c>
      <c r="D1022">
        <v>1.2720823000000001</v>
      </c>
    </row>
    <row r="1023" spans="2:4" x14ac:dyDescent="0.25">
      <c r="B1023" s="5">
        <v>44483</v>
      </c>
      <c r="C1023">
        <v>2.1734</v>
      </c>
      <c r="D1023">
        <v>-0.89074969999999998</v>
      </c>
    </row>
    <row r="1024" spans="2:4" x14ac:dyDescent="0.25">
      <c r="B1024" s="5">
        <v>44482</v>
      </c>
      <c r="C1024">
        <v>1.1711240000000001</v>
      </c>
      <c r="D1024">
        <v>1.6963481999999998E-2</v>
      </c>
    </row>
    <row r="1025" spans="2:4" x14ac:dyDescent="0.25">
      <c r="B1025" s="5">
        <v>44481</v>
      </c>
      <c r="C1025">
        <v>-0.45882463000000001</v>
      </c>
      <c r="D1025">
        <v>0.64989330000000001</v>
      </c>
    </row>
    <row r="1026" spans="2:4" x14ac:dyDescent="0.25">
      <c r="B1026" s="5">
        <v>44480</v>
      </c>
      <c r="C1026">
        <v>-0.21027327000000001</v>
      </c>
      <c r="D1026">
        <v>-0.31965969999999999</v>
      </c>
    </row>
    <row r="1027" spans="2:4" x14ac:dyDescent="0.25">
      <c r="B1027" s="5">
        <v>44477</v>
      </c>
      <c r="C1027">
        <v>0</v>
      </c>
      <c r="D1027">
        <v>1.1162281000000001</v>
      </c>
    </row>
    <row r="1028" spans="2:4" x14ac:dyDescent="0.25">
      <c r="B1028" s="5">
        <v>44476</v>
      </c>
      <c r="C1028">
        <v>0.59363840000000001</v>
      </c>
      <c r="D1028">
        <v>2.1963357999999999</v>
      </c>
    </row>
    <row r="1029" spans="2:4" x14ac:dyDescent="0.25">
      <c r="B1029" s="5">
        <v>44475</v>
      </c>
      <c r="C1029">
        <v>1.5064359</v>
      </c>
      <c r="D1029">
        <v>-1.0611474999999999</v>
      </c>
    </row>
    <row r="1030" spans="2:4" x14ac:dyDescent="0.25">
      <c r="B1030" s="5">
        <v>44474</v>
      </c>
      <c r="C1030">
        <v>1.9956946</v>
      </c>
      <c r="D1030">
        <v>8.2647799999999993E-2</v>
      </c>
    </row>
    <row r="1031" spans="2:4" x14ac:dyDescent="0.25">
      <c r="B1031" s="5">
        <v>44473</v>
      </c>
      <c r="C1031">
        <v>-2.0719528</v>
      </c>
      <c r="D1031">
        <v>0.23713112</v>
      </c>
    </row>
    <row r="1032" spans="2:4" x14ac:dyDescent="0.25">
      <c r="B1032" s="5">
        <v>44470</v>
      </c>
      <c r="C1032">
        <v>2.5468229999999998</v>
      </c>
      <c r="D1032">
        <v>1.6627908</v>
      </c>
    </row>
    <row r="1033" spans="2:4" x14ac:dyDescent="0.25">
      <c r="B1033" s="5">
        <v>44469</v>
      </c>
      <c r="C1033">
        <v>-0.73239209999999999</v>
      </c>
      <c r="D1033">
        <v>2.5331974E-2</v>
      </c>
    </row>
    <row r="1034" spans="2:4" x14ac:dyDescent="0.25">
      <c r="B1034" s="5">
        <v>44468</v>
      </c>
      <c r="C1034">
        <v>0.16930102999999999</v>
      </c>
      <c r="D1034">
        <v>-0.17634034000000001</v>
      </c>
    </row>
    <row r="1035" spans="2:4" x14ac:dyDescent="0.25">
      <c r="B1035" s="5">
        <v>44467</v>
      </c>
      <c r="C1035">
        <v>-3.6203623</v>
      </c>
      <c r="D1035">
        <v>-1.9158124999999999</v>
      </c>
    </row>
    <row r="1036" spans="2:4" x14ac:dyDescent="0.25">
      <c r="B1036" s="5">
        <v>44466</v>
      </c>
      <c r="C1036">
        <v>-1.7304122</v>
      </c>
      <c r="D1036">
        <v>-1.3261795000000001</v>
      </c>
    </row>
    <row r="1037" spans="2:4" x14ac:dyDescent="0.25">
      <c r="B1037" s="5">
        <v>44463</v>
      </c>
      <c r="C1037">
        <v>-7.010102E-2</v>
      </c>
      <c r="D1037">
        <v>-1.131165</v>
      </c>
    </row>
    <row r="1038" spans="2:4" x14ac:dyDescent="0.25">
      <c r="B1038" s="5">
        <v>44462</v>
      </c>
      <c r="C1038">
        <v>0.32821894000000001</v>
      </c>
      <c r="D1038">
        <v>1.0419369000000001</v>
      </c>
    </row>
    <row r="1039" spans="2:4" x14ac:dyDescent="0.25">
      <c r="B1039" s="5">
        <v>44461</v>
      </c>
      <c r="C1039">
        <v>1.282227</v>
      </c>
      <c r="D1039">
        <v>-0.54590700000000003</v>
      </c>
    </row>
    <row r="1040" spans="2:4" x14ac:dyDescent="0.25">
      <c r="B1040" s="5">
        <v>44460</v>
      </c>
      <c r="C1040">
        <v>0.16989708000000001</v>
      </c>
      <c r="D1040">
        <v>3.7617207000000001</v>
      </c>
    </row>
    <row r="1041" spans="2:4" x14ac:dyDescent="0.25">
      <c r="B1041" s="5">
        <v>44459</v>
      </c>
      <c r="C1041">
        <v>-1.8574714999999999</v>
      </c>
      <c r="D1041">
        <v>-0.53036810000000001</v>
      </c>
    </row>
    <row r="1042" spans="2:4" x14ac:dyDescent="0.25">
      <c r="B1042" s="5">
        <v>44456</v>
      </c>
      <c r="C1042">
        <v>-1.7528355</v>
      </c>
      <c r="D1042">
        <v>-2.1473825</v>
      </c>
    </row>
    <row r="1043" spans="2:4" x14ac:dyDescent="0.25">
      <c r="B1043" s="5">
        <v>44455</v>
      </c>
      <c r="C1043">
        <v>0.13122559</v>
      </c>
      <c r="D1043">
        <v>-0.22495388999999999</v>
      </c>
    </row>
    <row r="1044" spans="2:4" x14ac:dyDescent="0.25">
      <c r="B1044" s="5">
        <v>44454</v>
      </c>
      <c r="C1044">
        <v>1.677835</v>
      </c>
      <c r="D1044">
        <v>0.18991232</v>
      </c>
    </row>
    <row r="1045" spans="2:4" x14ac:dyDescent="0.25">
      <c r="B1045" s="5">
        <v>44453</v>
      </c>
      <c r="C1045">
        <v>0.94280240000000004</v>
      </c>
      <c r="D1045">
        <v>2.7000903999999999E-2</v>
      </c>
    </row>
    <row r="1046" spans="2:4" x14ac:dyDescent="0.25">
      <c r="B1046" s="5">
        <v>44452</v>
      </c>
      <c r="C1046">
        <v>0.43286085000000002</v>
      </c>
      <c r="D1046">
        <v>-0.76531769999999999</v>
      </c>
    </row>
    <row r="1047" spans="2:4" x14ac:dyDescent="0.25">
      <c r="B1047" s="5">
        <v>44449</v>
      </c>
      <c r="C1047">
        <v>-0.51808359999999998</v>
      </c>
      <c r="D1047">
        <v>-0.86138844000000003</v>
      </c>
    </row>
    <row r="1048" spans="2:4" x14ac:dyDescent="0.25">
      <c r="B1048" s="5">
        <v>44448</v>
      </c>
      <c r="C1048">
        <v>-0.98597409999999996</v>
      </c>
      <c r="D1048">
        <v>-0.22972226000000001</v>
      </c>
    </row>
    <row r="1049" spans="2:4" x14ac:dyDescent="0.25">
      <c r="B1049" s="5">
        <v>44447</v>
      </c>
      <c r="C1049">
        <v>9.9897379999999997E-3</v>
      </c>
      <c r="D1049">
        <v>-1.0682404000000001</v>
      </c>
    </row>
    <row r="1050" spans="2:4" x14ac:dyDescent="0.25">
      <c r="B1050" s="5">
        <v>44446</v>
      </c>
      <c r="C1050">
        <v>-0.31879543999999999</v>
      </c>
      <c r="D1050">
        <v>4.3821335000000003E-2</v>
      </c>
    </row>
    <row r="1051" spans="2:4" x14ac:dyDescent="0.25">
      <c r="B1051" s="5">
        <v>44442</v>
      </c>
      <c r="C1051">
        <v>-3.3140181999999998E-3</v>
      </c>
      <c r="D1051">
        <v>-9.2244149999999997E-2</v>
      </c>
    </row>
    <row r="1052" spans="2:4" x14ac:dyDescent="0.25">
      <c r="B1052" s="5">
        <v>44441</v>
      </c>
      <c r="C1052">
        <v>-0.22528767999999999</v>
      </c>
      <c r="D1052">
        <v>-0.60195326999999998</v>
      </c>
    </row>
    <row r="1053" spans="2:4" x14ac:dyDescent="0.25">
      <c r="B1053" s="5">
        <v>44440</v>
      </c>
      <c r="C1053">
        <v>-1.6570090999999999E-2</v>
      </c>
      <c r="D1053">
        <v>0.93485116999999995</v>
      </c>
    </row>
    <row r="1054" spans="2:4" x14ac:dyDescent="0.25">
      <c r="B1054" s="5">
        <v>44439</v>
      </c>
      <c r="C1054">
        <v>-0.56325793000000002</v>
      </c>
      <c r="D1054">
        <v>-2.0320952000000001</v>
      </c>
    </row>
    <row r="1055" spans="2:4" x14ac:dyDescent="0.25">
      <c r="B1055" s="5">
        <v>44438</v>
      </c>
      <c r="C1055">
        <v>1.2912034999999999</v>
      </c>
      <c r="D1055">
        <v>0.37940740000000001</v>
      </c>
    </row>
    <row r="1056" spans="2:4" x14ac:dyDescent="0.25">
      <c r="B1056" s="5">
        <v>44435</v>
      </c>
      <c r="C1056">
        <v>0.21064281000000001</v>
      </c>
      <c r="D1056">
        <v>0.70790050000000004</v>
      </c>
    </row>
    <row r="1057" spans="2:4" x14ac:dyDescent="0.25">
      <c r="B1057" s="5">
        <v>44434</v>
      </c>
      <c r="C1057">
        <v>-0.96685885999999999</v>
      </c>
      <c r="D1057">
        <v>-0.21021962</v>
      </c>
    </row>
    <row r="1058" spans="2:4" x14ac:dyDescent="0.25">
      <c r="B1058" s="5">
        <v>44433</v>
      </c>
      <c r="C1058">
        <v>-0.20157099000000001</v>
      </c>
      <c r="D1058">
        <v>-0.91061590000000003</v>
      </c>
    </row>
    <row r="1059" spans="2:4" x14ac:dyDescent="0.25">
      <c r="B1059" s="5">
        <v>44432</v>
      </c>
      <c r="C1059">
        <v>-0.66633819999999999</v>
      </c>
      <c r="D1059">
        <v>-0.55586100000000005</v>
      </c>
    </row>
    <row r="1060" spans="2:4" x14ac:dyDescent="0.25">
      <c r="B1060" s="5">
        <v>44431</v>
      </c>
      <c r="C1060">
        <v>9.5283985000000002E-2</v>
      </c>
      <c r="D1060">
        <v>0.21903515000000001</v>
      </c>
    </row>
    <row r="1061" spans="2:4" x14ac:dyDescent="0.25">
      <c r="B1061" s="5">
        <v>44428</v>
      </c>
      <c r="C1061">
        <v>2.5575399999999999</v>
      </c>
      <c r="D1061">
        <v>0.60601234000000004</v>
      </c>
    </row>
    <row r="1062" spans="2:4" x14ac:dyDescent="0.25">
      <c r="B1062" s="5">
        <v>44427</v>
      </c>
      <c r="C1062">
        <v>2.0775199999999998</v>
      </c>
      <c r="D1062">
        <v>-8.1479549999999998E-2</v>
      </c>
    </row>
    <row r="1063" spans="2:4" x14ac:dyDescent="0.25">
      <c r="B1063" s="5">
        <v>44426</v>
      </c>
      <c r="C1063">
        <v>-0.80181955999999999</v>
      </c>
      <c r="D1063">
        <v>0.79674719999999999</v>
      </c>
    </row>
    <row r="1064" spans="2:4" x14ac:dyDescent="0.25">
      <c r="B1064" s="5">
        <v>44425</v>
      </c>
      <c r="C1064">
        <v>-0.51596165000000005</v>
      </c>
      <c r="D1064">
        <v>0.36695003999999998</v>
      </c>
    </row>
    <row r="1065" spans="2:4" x14ac:dyDescent="0.25">
      <c r="B1065" s="5">
        <v>44424</v>
      </c>
      <c r="C1065">
        <v>0.59757229999999995</v>
      </c>
      <c r="D1065">
        <v>2.9695033999999999E-2</v>
      </c>
    </row>
    <row r="1066" spans="2:4" x14ac:dyDescent="0.25">
      <c r="B1066" s="5">
        <v>44421</v>
      </c>
      <c r="C1066">
        <v>1.0489702000000001</v>
      </c>
      <c r="D1066">
        <v>0.30305386000000001</v>
      </c>
    </row>
    <row r="1067" spans="2:4" x14ac:dyDescent="0.25">
      <c r="B1067" s="5">
        <v>44420</v>
      </c>
      <c r="C1067">
        <v>0.99668500000000004</v>
      </c>
      <c r="D1067">
        <v>1.0828971999999999</v>
      </c>
    </row>
    <row r="1068" spans="2:4" x14ac:dyDescent="0.25">
      <c r="B1068" s="5">
        <v>44419</v>
      </c>
      <c r="C1068">
        <v>0.17805099999999999</v>
      </c>
      <c r="D1068">
        <v>1.276648</v>
      </c>
    </row>
    <row r="1069" spans="2:4" x14ac:dyDescent="0.25">
      <c r="B1069" s="5">
        <v>44418</v>
      </c>
      <c r="C1069">
        <v>-0.65549610000000003</v>
      </c>
      <c r="D1069">
        <v>-0.31644702000000002</v>
      </c>
    </row>
    <row r="1070" spans="2:4" x14ac:dyDescent="0.25">
      <c r="B1070" s="5">
        <v>44417</v>
      </c>
      <c r="C1070">
        <v>-0.39038657999999998</v>
      </c>
      <c r="D1070">
        <v>0.84522960000000003</v>
      </c>
    </row>
    <row r="1071" spans="2:4" x14ac:dyDescent="0.25">
      <c r="B1071" s="5">
        <v>44414</v>
      </c>
      <c r="C1071">
        <v>-2.0724534999999999E-2</v>
      </c>
      <c r="D1071">
        <v>-0.13971924999999999</v>
      </c>
    </row>
    <row r="1072" spans="2:4" x14ac:dyDescent="0.25">
      <c r="B1072" s="5">
        <v>44413</v>
      </c>
      <c r="C1072">
        <v>1.0505675999999999</v>
      </c>
      <c r="D1072">
        <v>0.3951192</v>
      </c>
    </row>
    <row r="1073" spans="2:4" x14ac:dyDescent="0.25">
      <c r="B1073" s="5">
        <v>44412</v>
      </c>
      <c r="C1073">
        <v>-0.21244884</v>
      </c>
      <c r="D1073">
        <v>1.0629653999999999</v>
      </c>
    </row>
    <row r="1074" spans="2:4" x14ac:dyDescent="0.25">
      <c r="B1074" s="5">
        <v>44411</v>
      </c>
      <c r="C1074">
        <v>0.80752369999999996</v>
      </c>
      <c r="D1074">
        <v>-1.2428939000000001</v>
      </c>
    </row>
    <row r="1075" spans="2:4" x14ac:dyDescent="0.25">
      <c r="B1075" s="5">
        <v>44410</v>
      </c>
      <c r="C1075">
        <v>-3.1590460000000001E-2</v>
      </c>
      <c r="D1075">
        <v>0.76768400000000003</v>
      </c>
    </row>
    <row r="1076" spans="2:4" x14ac:dyDescent="0.25">
      <c r="B1076" s="5">
        <v>44407</v>
      </c>
      <c r="C1076">
        <v>-0.55497289999999999</v>
      </c>
      <c r="D1076">
        <v>-1.4483154</v>
      </c>
    </row>
    <row r="1077" spans="2:4" x14ac:dyDescent="0.25">
      <c r="B1077" s="5">
        <v>44406</v>
      </c>
      <c r="C1077">
        <v>9.7823140000000003E-2</v>
      </c>
      <c r="D1077">
        <v>2.4457692999999998</v>
      </c>
    </row>
    <row r="1078" spans="2:4" x14ac:dyDescent="0.25">
      <c r="B1078" s="5">
        <v>44405</v>
      </c>
      <c r="C1078">
        <v>-0.11168122</v>
      </c>
      <c r="D1078">
        <v>-2.3458003999999999</v>
      </c>
    </row>
    <row r="1079" spans="2:4" x14ac:dyDescent="0.25">
      <c r="B1079" s="5">
        <v>44404</v>
      </c>
      <c r="C1079">
        <v>-0.86835620000000002</v>
      </c>
      <c r="D1079">
        <v>-1.0954379999999999</v>
      </c>
    </row>
    <row r="1080" spans="2:4" x14ac:dyDescent="0.25">
      <c r="B1080" s="5">
        <v>44403</v>
      </c>
      <c r="C1080">
        <v>-0.21404624</v>
      </c>
      <c r="D1080">
        <v>-1.5072285999999999</v>
      </c>
    </row>
    <row r="1081" spans="2:4" x14ac:dyDescent="0.25">
      <c r="B1081" s="5">
        <v>44400</v>
      </c>
      <c r="C1081">
        <v>1.2336612</v>
      </c>
      <c r="D1081">
        <v>0.9671807</v>
      </c>
    </row>
    <row r="1082" spans="2:4" x14ac:dyDescent="0.25">
      <c r="B1082" s="5">
        <v>44399</v>
      </c>
      <c r="C1082">
        <v>1.6844391999999999</v>
      </c>
      <c r="D1082">
        <v>1.4590263000000001</v>
      </c>
    </row>
    <row r="1083" spans="2:4" x14ac:dyDescent="0.25">
      <c r="B1083" s="5">
        <v>44398</v>
      </c>
      <c r="C1083">
        <v>0.74466467000000003</v>
      </c>
      <c r="D1083">
        <v>1.1346817</v>
      </c>
    </row>
    <row r="1084" spans="2:4" x14ac:dyDescent="0.25">
      <c r="B1084" s="5">
        <v>44397</v>
      </c>
      <c r="C1084">
        <v>0.83390474000000003</v>
      </c>
      <c r="D1084">
        <v>-0.39915442000000001</v>
      </c>
    </row>
    <row r="1085" spans="2:4" x14ac:dyDescent="0.25">
      <c r="B1085" s="5">
        <v>44396</v>
      </c>
      <c r="C1085">
        <v>-1.3321400000000001</v>
      </c>
      <c r="D1085">
        <v>-0.69100857000000004</v>
      </c>
    </row>
    <row r="1086" spans="2:4" x14ac:dyDescent="0.25">
      <c r="B1086" s="5">
        <v>44393</v>
      </c>
      <c r="C1086">
        <v>-9.9635124000000005E-2</v>
      </c>
      <c r="D1086">
        <v>-0.25404095999999998</v>
      </c>
    </row>
    <row r="1087" spans="2:4" x14ac:dyDescent="0.25">
      <c r="B1087" s="5">
        <v>44392</v>
      </c>
      <c r="C1087">
        <v>-0.52387713999999996</v>
      </c>
      <c r="D1087">
        <v>-0.83148480000000002</v>
      </c>
    </row>
    <row r="1088" spans="2:4" x14ac:dyDescent="0.25">
      <c r="B1088" s="5">
        <v>44391</v>
      </c>
      <c r="C1088">
        <v>0.54452420000000001</v>
      </c>
      <c r="D1088">
        <v>-1.1707306</v>
      </c>
    </row>
    <row r="1089" spans="2:4" x14ac:dyDescent="0.25">
      <c r="B1089" s="5">
        <v>44390</v>
      </c>
      <c r="C1089">
        <v>1.3197779999999999</v>
      </c>
      <c r="D1089">
        <v>-0.23052096</v>
      </c>
    </row>
    <row r="1090" spans="2:4" x14ac:dyDescent="0.25">
      <c r="B1090" s="5">
        <v>44389</v>
      </c>
      <c r="C1090">
        <v>-0.22307038000000001</v>
      </c>
      <c r="D1090">
        <v>1.4490843</v>
      </c>
    </row>
    <row r="1091" spans="2:4" x14ac:dyDescent="0.25">
      <c r="B1091" s="5">
        <v>44386</v>
      </c>
      <c r="C1091">
        <v>0.18743277</v>
      </c>
      <c r="D1091">
        <v>-0.29526950000000002</v>
      </c>
    </row>
    <row r="1092" spans="2:4" x14ac:dyDescent="0.25">
      <c r="B1092" s="5">
        <v>44385</v>
      </c>
      <c r="C1092">
        <v>-0.89664460000000001</v>
      </c>
      <c r="D1092">
        <v>-2.0007489999999999</v>
      </c>
    </row>
    <row r="1093" spans="2:4" x14ac:dyDescent="0.25">
      <c r="B1093" s="5">
        <v>44384</v>
      </c>
      <c r="C1093">
        <v>0.81753730000000002</v>
      </c>
      <c r="D1093">
        <v>0.58802365999999995</v>
      </c>
    </row>
    <row r="1094" spans="2:4" x14ac:dyDescent="0.25">
      <c r="B1094" s="5">
        <v>44383</v>
      </c>
      <c r="C1094">
        <v>3.6001204999999998E-3</v>
      </c>
      <c r="D1094">
        <v>-0.38011669999999997</v>
      </c>
    </row>
    <row r="1095" spans="2:4" x14ac:dyDescent="0.25">
      <c r="B1095" s="5">
        <v>44379</v>
      </c>
      <c r="C1095">
        <v>2.2275328999999999</v>
      </c>
      <c r="D1095">
        <v>0.57188269999999997</v>
      </c>
    </row>
    <row r="1096" spans="2:4" x14ac:dyDescent="0.25">
      <c r="B1096" s="5">
        <v>44378</v>
      </c>
      <c r="C1096">
        <v>0.25839805999999998</v>
      </c>
      <c r="D1096">
        <v>-0.2980411</v>
      </c>
    </row>
    <row r="1097" spans="2:4" x14ac:dyDescent="0.25">
      <c r="B1097" s="5">
        <v>44377</v>
      </c>
      <c r="C1097">
        <v>-0.18423200000000001</v>
      </c>
      <c r="D1097">
        <v>-1.5567422</v>
      </c>
    </row>
    <row r="1098" spans="2:4" x14ac:dyDescent="0.25">
      <c r="B1098" s="5">
        <v>44376</v>
      </c>
      <c r="C1098">
        <v>0.99731683999999998</v>
      </c>
      <c r="D1098">
        <v>0.46045779999999997</v>
      </c>
    </row>
    <row r="1099" spans="2:4" x14ac:dyDescent="0.25">
      <c r="B1099" s="5">
        <v>44375</v>
      </c>
      <c r="C1099">
        <v>1.3961315000000001</v>
      </c>
      <c r="D1099">
        <v>-0.23870468</v>
      </c>
    </row>
    <row r="1100" spans="2:4" x14ac:dyDescent="0.25">
      <c r="B1100" s="5">
        <v>44372</v>
      </c>
      <c r="C1100">
        <v>-0.62620043999999997</v>
      </c>
      <c r="D1100">
        <v>0.30704736999999999</v>
      </c>
    </row>
    <row r="1101" spans="2:4" x14ac:dyDescent="0.25">
      <c r="B1101" s="5">
        <v>44371</v>
      </c>
      <c r="C1101">
        <v>0.5334139</v>
      </c>
      <c r="D1101">
        <v>1.0152935999999999</v>
      </c>
    </row>
    <row r="1102" spans="2:4" x14ac:dyDescent="0.25">
      <c r="B1102" s="5">
        <v>44370</v>
      </c>
      <c r="C1102">
        <v>-8.8512900000000005E-2</v>
      </c>
      <c r="D1102">
        <v>-1.0439335999999999</v>
      </c>
    </row>
    <row r="1103" spans="2:4" x14ac:dyDescent="0.25">
      <c r="B1103" s="5">
        <v>44369</v>
      </c>
      <c r="C1103">
        <v>1.0966062999999999</v>
      </c>
      <c r="D1103">
        <v>0.169456</v>
      </c>
    </row>
    <row r="1104" spans="2:4" x14ac:dyDescent="0.25">
      <c r="B1104" s="5">
        <v>44368</v>
      </c>
      <c r="C1104">
        <v>1.2334824</v>
      </c>
      <c r="D1104">
        <v>2.508521</v>
      </c>
    </row>
    <row r="1105" spans="2:4" x14ac:dyDescent="0.25">
      <c r="B1105" s="5">
        <v>44365</v>
      </c>
      <c r="C1105">
        <v>-0.56343675000000004</v>
      </c>
      <c r="D1105">
        <v>-9.9879499999999996E-2</v>
      </c>
    </row>
    <row r="1106" spans="2:4" x14ac:dyDescent="0.25">
      <c r="B1106" s="5">
        <v>44364</v>
      </c>
      <c r="C1106">
        <v>1.3676286</v>
      </c>
      <c r="D1106">
        <v>1.2454628999999999</v>
      </c>
    </row>
    <row r="1107" spans="2:4" x14ac:dyDescent="0.25">
      <c r="B1107" s="5">
        <v>44363</v>
      </c>
      <c r="C1107">
        <v>-0.37930607999999999</v>
      </c>
      <c r="D1107">
        <v>0.54774283999999995</v>
      </c>
    </row>
    <row r="1108" spans="2:4" x14ac:dyDescent="0.25">
      <c r="B1108" s="5">
        <v>44362</v>
      </c>
      <c r="C1108">
        <v>-0.58872104000000003</v>
      </c>
      <c r="D1108">
        <v>1.3621806999999999</v>
      </c>
    </row>
    <row r="1109" spans="2:4" x14ac:dyDescent="0.25">
      <c r="B1109" s="5">
        <v>44361</v>
      </c>
      <c r="C1109">
        <v>0.77552794999999997</v>
      </c>
      <c r="D1109">
        <v>2.0830153999999999</v>
      </c>
    </row>
    <row r="1110" spans="2:4" x14ac:dyDescent="0.25">
      <c r="B1110" s="5">
        <v>44358</v>
      </c>
      <c r="C1110">
        <v>0.25268793000000001</v>
      </c>
      <c r="D1110">
        <v>0.46323537999999997</v>
      </c>
    </row>
    <row r="1111" spans="2:4" x14ac:dyDescent="0.25">
      <c r="B1111" s="5">
        <v>44357</v>
      </c>
      <c r="C1111">
        <v>1.439333</v>
      </c>
      <c r="D1111">
        <v>3.902912E-2</v>
      </c>
    </row>
    <row r="1112" spans="2:4" x14ac:dyDescent="0.25">
      <c r="B1112" s="5">
        <v>44356</v>
      </c>
      <c r="C1112">
        <v>0.40384530000000002</v>
      </c>
      <c r="D1112">
        <v>-1.3034344</v>
      </c>
    </row>
    <row r="1113" spans="2:4" x14ac:dyDescent="0.25">
      <c r="B1113" s="5">
        <v>44355</v>
      </c>
      <c r="C1113">
        <v>-0.48854946999999999</v>
      </c>
      <c r="D1113">
        <v>0.40465593</v>
      </c>
    </row>
    <row r="1114" spans="2:4" x14ac:dyDescent="0.25">
      <c r="B1114" s="5">
        <v>44354</v>
      </c>
      <c r="C1114">
        <v>1.2041926000000001</v>
      </c>
      <c r="D1114">
        <v>-2.9700994000000001E-2</v>
      </c>
    </row>
    <row r="1115" spans="2:4" x14ac:dyDescent="0.25">
      <c r="B1115" s="5">
        <v>44351</v>
      </c>
      <c r="C1115">
        <v>2.0674706</v>
      </c>
      <c r="D1115">
        <v>1.0803579999999999</v>
      </c>
    </row>
    <row r="1116" spans="2:4" x14ac:dyDescent="0.25">
      <c r="B1116" s="5">
        <v>44350</v>
      </c>
      <c r="C1116">
        <v>-0.64294340000000005</v>
      </c>
      <c r="D1116">
        <v>-0.42040348</v>
      </c>
    </row>
    <row r="1117" spans="2:4" x14ac:dyDescent="0.25">
      <c r="B1117" s="5">
        <v>44349</v>
      </c>
      <c r="C1117">
        <v>-4.0417910000000001E-2</v>
      </c>
      <c r="D1117">
        <v>-0.46353339999999998</v>
      </c>
    </row>
    <row r="1118" spans="2:4" x14ac:dyDescent="0.25">
      <c r="B1118" s="5">
        <v>44348</v>
      </c>
      <c r="C1118">
        <v>-0.91316699999999995</v>
      </c>
      <c r="D1118">
        <v>0.18409490000000001</v>
      </c>
    </row>
    <row r="1119" spans="2:4" x14ac:dyDescent="0.25">
      <c r="B1119" s="5">
        <v>44344</v>
      </c>
      <c r="C1119">
        <v>0.14840364</v>
      </c>
      <c r="D1119">
        <v>0.24707317000000001</v>
      </c>
    </row>
    <row r="1120" spans="2:4" x14ac:dyDescent="0.25">
      <c r="B1120" s="5">
        <v>44343</v>
      </c>
      <c r="C1120">
        <v>-0.8668363</v>
      </c>
      <c r="D1120">
        <v>-2.3242772</v>
      </c>
    </row>
    <row r="1121" spans="2:4" x14ac:dyDescent="0.25">
      <c r="B1121" s="5">
        <v>44342</v>
      </c>
      <c r="C1121">
        <v>-9.1367959999999998E-2</v>
      </c>
      <c r="D1121">
        <v>-0.6206393</v>
      </c>
    </row>
    <row r="1122" spans="2:4" x14ac:dyDescent="0.25">
      <c r="B1122" s="5">
        <v>44341</v>
      </c>
      <c r="C1122">
        <v>0.37482977000000001</v>
      </c>
      <c r="D1122">
        <v>0.31839610000000002</v>
      </c>
    </row>
    <row r="1123" spans="2:4" x14ac:dyDescent="0.25">
      <c r="B1123" s="5">
        <v>44340</v>
      </c>
      <c r="C1123">
        <v>2.2882104000000001</v>
      </c>
      <c r="D1123">
        <v>0.25023222000000001</v>
      </c>
    </row>
    <row r="1124" spans="2:4" x14ac:dyDescent="0.25">
      <c r="B1124" s="5">
        <v>44337</v>
      </c>
      <c r="C1124">
        <v>-0.53148269999999997</v>
      </c>
      <c r="D1124">
        <v>-1.1946559000000001</v>
      </c>
    </row>
    <row r="1125" spans="2:4" x14ac:dyDescent="0.25">
      <c r="B1125" s="5">
        <v>44336</v>
      </c>
      <c r="C1125">
        <v>1.382029</v>
      </c>
      <c r="D1125">
        <v>0.18103122999999999</v>
      </c>
    </row>
    <row r="1126" spans="2:4" x14ac:dyDescent="0.25">
      <c r="B1126" s="5">
        <v>44335</v>
      </c>
      <c r="C1126">
        <v>1.6450882E-2</v>
      </c>
      <c r="D1126">
        <v>-1.0633528000000001</v>
      </c>
    </row>
    <row r="1127" spans="2:4" x14ac:dyDescent="0.25">
      <c r="B1127" s="5">
        <v>44334</v>
      </c>
      <c r="C1127">
        <v>-0.85651279999999996</v>
      </c>
      <c r="D1127">
        <v>0.6412506</v>
      </c>
    </row>
    <row r="1128" spans="2:4" x14ac:dyDescent="0.25">
      <c r="B1128" s="5">
        <v>44333</v>
      </c>
      <c r="C1128">
        <v>-1.1968553</v>
      </c>
      <c r="D1128">
        <v>-0.3338933</v>
      </c>
    </row>
    <row r="1129" spans="2:4" x14ac:dyDescent="0.25">
      <c r="B1129" s="5">
        <v>44330</v>
      </c>
      <c r="C1129">
        <v>2.106738</v>
      </c>
      <c r="D1129">
        <v>1.9850730999999999</v>
      </c>
    </row>
    <row r="1130" spans="2:4" x14ac:dyDescent="0.25">
      <c r="B1130" s="5">
        <v>44329</v>
      </c>
      <c r="C1130">
        <v>1.6861915999999999</v>
      </c>
      <c r="D1130">
        <v>0.23757220000000001</v>
      </c>
    </row>
    <row r="1131" spans="2:4" x14ac:dyDescent="0.25">
      <c r="B1131" s="5">
        <v>44328</v>
      </c>
      <c r="C1131">
        <v>-2.9362797999999999</v>
      </c>
      <c r="D1131">
        <v>-1.2765944</v>
      </c>
    </row>
    <row r="1132" spans="2:4" x14ac:dyDescent="0.25">
      <c r="B1132" s="5">
        <v>44327</v>
      </c>
      <c r="C1132">
        <v>-0.38433669999999998</v>
      </c>
      <c r="D1132">
        <v>-2.0042002000000001</v>
      </c>
    </row>
    <row r="1133" spans="2:4" x14ac:dyDescent="0.25">
      <c r="B1133" s="5">
        <v>44326</v>
      </c>
      <c r="C1133">
        <v>-2.0914256999999998</v>
      </c>
      <c r="D1133">
        <v>0.32567977999999997</v>
      </c>
    </row>
    <row r="1134" spans="2:4" x14ac:dyDescent="0.25">
      <c r="B1134" s="5">
        <v>44323</v>
      </c>
      <c r="C1134">
        <v>1.0931850000000001</v>
      </c>
      <c r="D1134">
        <v>2.5784729999999998</v>
      </c>
    </row>
    <row r="1135" spans="2:4" x14ac:dyDescent="0.25">
      <c r="B1135" s="5">
        <v>44322</v>
      </c>
      <c r="C1135">
        <v>1.3226747999999999</v>
      </c>
      <c r="D1135">
        <v>-0.2344966</v>
      </c>
    </row>
    <row r="1136" spans="2:4" x14ac:dyDescent="0.25">
      <c r="B1136" s="5">
        <v>44321</v>
      </c>
      <c r="C1136">
        <v>-0.53270459999999997</v>
      </c>
      <c r="D1136">
        <v>-0.40295123999999999</v>
      </c>
    </row>
    <row r="1137" spans="2:4" x14ac:dyDescent="0.25">
      <c r="B1137" s="5">
        <v>44320</v>
      </c>
      <c r="C1137">
        <v>-1.6159772999999999</v>
      </c>
      <c r="D1137">
        <v>-2.8553665000000001</v>
      </c>
    </row>
    <row r="1138" spans="2:4" x14ac:dyDescent="0.25">
      <c r="B1138" s="5">
        <v>44319</v>
      </c>
      <c r="C1138">
        <v>-0.12689233</v>
      </c>
      <c r="D1138">
        <v>0.30320882999999998</v>
      </c>
    </row>
    <row r="1139" spans="2:4" x14ac:dyDescent="0.25">
      <c r="B1139" s="5">
        <v>44316</v>
      </c>
      <c r="C1139">
        <v>-0.13068914000000001</v>
      </c>
      <c r="D1139">
        <v>-0.12307762999999999</v>
      </c>
    </row>
    <row r="1140" spans="2:4" x14ac:dyDescent="0.25">
      <c r="B1140" s="5">
        <v>44315</v>
      </c>
      <c r="C1140">
        <v>-0.80531240000000004</v>
      </c>
      <c r="D1140">
        <v>1.0006428000000001</v>
      </c>
    </row>
    <row r="1141" spans="2:4" x14ac:dyDescent="0.25">
      <c r="B1141" s="5">
        <v>44314</v>
      </c>
      <c r="C1141">
        <v>-2.8285681999999999</v>
      </c>
      <c r="D1141">
        <v>-1.7740130000000001</v>
      </c>
    </row>
    <row r="1142" spans="2:4" x14ac:dyDescent="0.25">
      <c r="B1142" s="5">
        <v>44313</v>
      </c>
      <c r="C1142">
        <v>0.16058683000000001</v>
      </c>
      <c r="D1142">
        <v>-0.4916489</v>
      </c>
    </row>
    <row r="1143" spans="2:4" x14ac:dyDescent="0.25">
      <c r="B1143" s="5">
        <v>44312</v>
      </c>
      <c r="C1143">
        <v>0.15317201999999999</v>
      </c>
      <c r="D1143">
        <v>-0.85587500000000005</v>
      </c>
    </row>
    <row r="1144" spans="2:4" x14ac:dyDescent="0.25">
      <c r="B1144" s="5">
        <v>44309</v>
      </c>
      <c r="C1144">
        <v>1.5476108</v>
      </c>
      <c r="D1144">
        <v>8.7881089999999995E-2</v>
      </c>
    </row>
    <row r="1145" spans="2:4" x14ac:dyDescent="0.25">
      <c r="B1145" s="5">
        <v>44308</v>
      </c>
      <c r="C1145">
        <v>-1.308608</v>
      </c>
      <c r="D1145">
        <v>0.39509535000000001</v>
      </c>
    </row>
    <row r="1146" spans="2:4" x14ac:dyDescent="0.25">
      <c r="B1146" s="5">
        <v>44307</v>
      </c>
      <c r="C1146">
        <v>0.89831349999999999</v>
      </c>
      <c r="D1146">
        <v>-1.080662</v>
      </c>
    </row>
    <row r="1147" spans="2:4" x14ac:dyDescent="0.25">
      <c r="B1147" s="5">
        <v>44306</v>
      </c>
      <c r="C1147">
        <v>-0.18550754</v>
      </c>
      <c r="D1147">
        <v>3.7598609999999998E-2</v>
      </c>
    </row>
    <row r="1148" spans="2:4" x14ac:dyDescent="0.25">
      <c r="B1148" s="5">
        <v>44305</v>
      </c>
      <c r="C1148">
        <v>-0.76704620000000001</v>
      </c>
      <c r="D1148">
        <v>0.36789179999999999</v>
      </c>
    </row>
    <row r="1149" spans="2:4" x14ac:dyDescent="0.25">
      <c r="B1149" s="5">
        <v>44302</v>
      </c>
      <c r="C1149">
        <v>0.47783851999999999</v>
      </c>
      <c r="D1149">
        <v>-0.49367547000000001</v>
      </c>
    </row>
    <row r="1150" spans="2:4" x14ac:dyDescent="0.25">
      <c r="B1150" s="5">
        <v>44301</v>
      </c>
      <c r="C1150">
        <v>1.5298008999999999</v>
      </c>
      <c r="D1150">
        <v>2.0897387999999999E-2</v>
      </c>
    </row>
    <row r="1151" spans="2:4" x14ac:dyDescent="0.25">
      <c r="B1151" s="5">
        <v>44300</v>
      </c>
      <c r="C1151">
        <v>-1.1218965000000001</v>
      </c>
      <c r="D1151">
        <v>0.52148103999999995</v>
      </c>
    </row>
    <row r="1152" spans="2:4" x14ac:dyDescent="0.25">
      <c r="B1152" s="5">
        <v>44299</v>
      </c>
      <c r="C1152">
        <v>1.0081648999999999</v>
      </c>
      <c r="D1152">
        <v>0.62645673999999996</v>
      </c>
    </row>
    <row r="1153" spans="2:4" x14ac:dyDescent="0.25">
      <c r="B1153" s="5">
        <v>44298</v>
      </c>
      <c r="C1153">
        <v>2.3448467000000001E-2</v>
      </c>
      <c r="D1153">
        <v>-8.5693599999999995E-2</v>
      </c>
    </row>
    <row r="1154" spans="2:4" x14ac:dyDescent="0.25">
      <c r="B1154" s="5">
        <v>44295</v>
      </c>
      <c r="C1154">
        <v>1.0266542000000001</v>
      </c>
      <c r="D1154">
        <v>1.5118957</v>
      </c>
    </row>
    <row r="1155" spans="2:4" x14ac:dyDescent="0.25">
      <c r="B1155" s="5">
        <v>44294</v>
      </c>
      <c r="C1155">
        <v>1.3405442000000001</v>
      </c>
      <c r="D1155">
        <v>1.6864418999999999</v>
      </c>
    </row>
    <row r="1156" spans="2:4" x14ac:dyDescent="0.25">
      <c r="B1156" s="5">
        <v>44293</v>
      </c>
      <c r="C1156">
        <v>0.82304480000000002</v>
      </c>
      <c r="D1156">
        <v>-7.4082609999999993E-2</v>
      </c>
    </row>
    <row r="1157" spans="2:4" x14ac:dyDescent="0.25">
      <c r="B1157" s="5">
        <v>44292</v>
      </c>
      <c r="C1157">
        <v>-0.48580765999999997</v>
      </c>
      <c r="D1157">
        <v>0.83359479999999997</v>
      </c>
    </row>
    <row r="1158" spans="2:4" x14ac:dyDescent="0.25">
      <c r="B1158" s="5">
        <v>44291</v>
      </c>
      <c r="C1158">
        <v>2.7728438</v>
      </c>
      <c r="D1158">
        <v>0.32311677999999999</v>
      </c>
    </row>
    <row r="1159" spans="2:4" x14ac:dyDescent="0.25">
      <c r="B1159" s="5">
        <v>44287</v>
      </c>
      <c r="C1159">
        <v>2.7908564</v>
      </c>
      <c r="D1159">
        <v>1.1583805</v>
      </c>
    </row>
    <row r="1160" spans="2:4" x14ac:dyDescent="0.25">
      <c r="B1160" s="5">
        <v>44286</v>
      </c>
      <c r="C1160">
        <v>1.6907454</v>
      </c>
      <c r="D1160">
        <v>0.35909414000000001</v>
      </c>
    </row>
    <row r="1161" spans="2:4" x14ac:dyDescent="0.25">
      <c r="B1161" s="5">
        <v>44285</v>
      </c>
      <c r="C1161">
        <v>-1.4410794</v>
      </c>
      <c r="D1161">
        <v>0.54664610000000002</v>
      </c>
    </row>
    <row r="1162" spans="2:4" x14ac:dyDescent="0.25">
      <c r="B1162" s="5">
        <v>44284</v>
      </c>
      <c r="C1162">
        <v>-0.52435399999999999</v>
      </c>
      <c r="D1162">
        <v>-0.53210259999999998</v>
      </c>
    </row>
    <row r="1163" spans="2:4" x14ac:dyDescent="0.25">
      <c r="B1163" s="5">
        <v>44281</v>
      </c>
      <c r="C1163">
        <v>1.7818689000000001</v>
      </c>
      <c r="D1163">
        <v>2.143383</v>
      </c>
    </row>
    <row r="1164" spans="2:4" x14ac:dyDescent="0.25">
      <c r="B1164" s="5">
        <v>44280</v>
      </c>
      <c r="C1164">
        <v>-1.3250709000000001</v>
      </c>
      <c r="D1164">
        <v>0.7400274</v>
      </c>
    </row>
    <row r="1165" spans="2:4" x14ac:dyDescent="0.25">
      <c r="B1165" s="5">
        <v>44279</v>
      </c>
      <c r="C1165">
        <v>-0.89232920000000004</v>
      </c>
      <c r="D1165">
        <v>-1.1473358</v>
      </c>
    </row>
    <row r="1166" spans="2:4" x14ac:dyDescent="0.25">
      <c r="B1166" s="5">
        <v>44278</v>
      </c>
      <c r="C1166">
        <v>0.673759</v>
      </c>
      <c r="D1166">
        <v>0.59534310000000001</v>
      </c>
    </row>
    <row r="1167" spans="2:4" x14ac:dyDescent="0.25">
      <c r="B1167" s="5">
        <v>44277</v>
      </c>
      <c r="C1167">
        <v>2.4484515</v>
      </c>
      <c r="D1167">
        <v>-0.36095977000000001</v>
      </c>
    </row>
    <row r="1168" spans="2:4" x14ac:dyDescent="0.25">
      <c r="B1168" s="5">
        <v>44274</v>
      </c>
      <c r="C1168">
        <v>-0.16036629999999999</v>
      </c>
      <c r="D1168">
        <v>-1.4639914000000001</v>
      </c>
    </row>
    <row r="1169" spans="2:4" x14ac:dyDescent="0.25">
      <c r="B1169" s="5">
        <v>44273</v>
      </c>
      <c r="C1169">
        <v>-2.6662110999999999</v>
      </c>
      <c r="D1169">
        <v>9.992123E-2</v>
      </c>
    </row>
    <row r="1170" spans="2:4" x14ac:dyDescent="0.25">
      <c r="B1170" s="5">
        <v>44272</v>
      </c>
      <c r="C1170">
        <v>-0.28186440000000001</v>
      </c>
      <c r="D1170">
        <v>-2.0363449999999998</v>
      </c>
    </row>
    <row r="1171" spans="2:4" x14ac:dyDescent="0.25">
      <c r="B1171" s="5">
        <v>44271</v>
      </c>
      <c r="C1171">
        <v>1.235044</v>
      </c>
      <c r="D1171">
        <v>0.70437190000000005</v>
      </c>
    </row>
    <row r="1172" spans="2:4" x14ac:dyDescent="0.25">
      <c r="B1172" s="5">
        <v>44270</v>
      </c>
      <c r="C1172">
        <v>-0.39873122999999999</v>
      </c>
      <c r="D1172">
        <v>0.68073269999999997</v>
      </c>
    </row>
    <row r="1173" spans="2:4" x14ac:dyDescent="0.25">
      <c r="B1173" s="5">
        <v>44267</v>
      </c>
      <c r="C1173">
        <v>-0.58196186999999999</v>
      </c>
      <c r="D1173">
        <v>-0.29560924</v>
      </c>
    </row>
    <row r="1174" spans="2:4" x14ac:dyDescent="0.25">
      <c r="B1174" s="5">
        <v>44266</v>
      </c>
      <c r="C1174">
        <v>2.0265102000000002</v>
      </c>
      <c r="D1174">
        <v>2.4876833</v>
      </c>
    </row>
    <row r="1175" spans="2:4" x14ac:dyDescent="0.25">
      <c r="B1175" s="5">
        <v>44265</v>
      </c>
      <c r="C1175">
        <v>-0.58174132999999995</v>
      </c>
      <c r="D1175">
        <v>-3.8743019999999998E-4</v>
      </c>
    </row>
    <row r="1176" spans="2:4" x14ac:dyDescent="0.25">
      <c r="B1176" s="5">
        <v>44264</v>
      </c>
      <c r="C1176">
        <v>2.8101444</v>
      </c>
      <c r="D1176">
        <v>3.5454512</v>
      </c>
    </row>
    <row r="1177" spans="2:4" x14ac:dyDescent="0.25">
      <c r="B1177" s="5">
        <v>44263</v>
      </c>
      <c r="C1177">
        <v>-1.8177927</v>
      </c>
      <c r="D1177">
        <v>6.300211E-2</v>
      </c>
    </row>
    <row r="1178" spans="2:4" x14ac:dyDescent="0.25">
      <c r="B1178" s="5">
        <v>44260</v>
      </c>
      <c r="C1178">
        <v>2.1479368000000001</v>
      </c>
      <c r="D1178">
        <v>-1.7302512999999999</v>
      </c>
    </row>
    <row r="1179" spans="2:4" x14ac:dyDescent="0.25">
      <c r="B1179" s="5">
        <v>44259</v>
      </c>
      <c r="C1179">
        <v>-0.36473870000000003</v>
      </c>
      <c r="D1179">
        <v>-0.83831549999999999</v>
      </c>
    </row>
    <row r="1180" spans="2:4" x14ac:dyDescent="0.25">
      <c r="B1180" s="5">
        <v>44258</v>
      </c>
      <c r="C1180">
        <v>-2.6980816999999999</v>
      </c>
      <c r="D1180">
        <v>-0.71947574999999997</v>
      </c>
    </row>
    <row r="1181" spans="2:4" x14ac:dyDescent="0.25">
      <c r="B1181" s="5">
        <v>44257</v>
      </c>
      <c r="C1181">
        <v>-1.2956916999999999</v>
      </c>
      <c r="D1181">
        <v>-1.0494709</v>
      </c>
    </row>
    <row r="1182" spans="2:4" x14ac:dyDescent="0.25">
      <c r="B1182" s="5">
        <v>44256</v>
      </c>
      <c r="C1182">
        <v>1.9623041000000001</v>
      </c>
      <c r="D1182">
        <v>-0.38303136999999998</v>
      </c>
    </row>
    <row r="1183" spans="2:4" x14ac:dyDescent="0.25">
      <c r="B1183" s="5">
        <v>44253</v>
      </c>
      <c r="C1183">
        <v>1.4804124999999999</v>
      </c>
      <c r="D1183">
        <v>-0.33591986000000001</v>
      </c>
    </row>
    <row r="1184" spans="2:4" x14ac:dyDescent="0.25">
      <c r="B1184" s="5">
        <v>44252</v>
      </c>
      <c r="C1184">
        <v>-2.3704945999999998</v>
      </c>
      <c r="D1184">
        <v>1.0617733</v>
      </c>
    </row>
    <row r="1185" spans="2:4" x14ac:dyDescent="0.25">
      <c r="B1185" s="5">
        <v>44251</v>
      </c>
      <c r="C1185">
        <v>0.54872036000000002</v>
      </c>
      <c r="D1185">
        <v>-1.4018476</v>
      </c>
    </row>
    <row r="1186" spans="2:4" x14ac:dyDescent="0.25">
      <c r="B1186" s="5">
        <v>44250</v>
      </c>
      <c r="C1186">
        <v>-0.52875875999999999</v>
      </c>
      <c r="D1186">
        <v>-3.8856267999999999E-2</v>
      </c>
    </row>
    <row r="1187" spans="2:4" x14ac:dyDescent="0.25">
      <c r="B1187" s="5">
        <v>44249</v>
      </c>
      <c r="C1187">
        <v>-2.6808320999999999</v>
      </c>
      <c r="D1187">
        <v>-2.3239850999999999E-2</v>
      </c>
    </row>
    <row r="1188" spans="2:4" x14ac:dyDescent="0.25">
      <c r="B1188" s="5">
        <v>44246</v>
      </c>
      <c r="C1188">
        <v>-1.1567295</v>
      </c>
      <c r="D1188">
        <v>0.96427200000000002</v>
      </c>
    </row>
    <row r="1189" spans="2:4" x14ac:dyDescent="0.25">
      <c r="B1189" s="5">
        <v>44245</v>
      </c>
      <c r="C1189">
        <v>-0.16789435999999999</v>
      </c>
      <c r="D1189">
        <v>-0.104123354</v>
      </c>
    </row>
    <row r="1190" spans="2:4" x14ac:dyDescent="0.25">
      <c r="B1190" s="5">
        <v>44244</v>
      </c>
      <c r="C1190">
        <v>0.20517110999999999</v>
      </c>
      <c r="D1190">
        <v>-2.8126060000000002</v>
      </c>
    </row>
    <row r="1191" spans="2:4" x14ac:dyDescent="0.25">
      <c r="B1191" s="5">
        <v>44243</v>
      </c>
      <c r="C1191">
        <v>-0.52655339999999995</v>
      </c>
      <c r="D1191">
        <v>2.1637917</v>
      </c>
    </row>
    <row r="1192" spans="2:4" x14ac:dyDescent="0.25">
      <c r="B1192" s="5">
        <v>44239</v>
      </c>
      <c r="C1192">
        <v>0.20450354000000001</v>
      </c>
      <c r="D1192">
        <v>0.88576080000000001</v>
      </c>
    </row>
    <row r="1193" spans="2:4" x14ac:dyDescent="0.25">
      <c r="B1193" s="5">
        <v>44238</v>
      </c>
      <c r="C1193">
        <v>0.68775414999999995</v>
      </c>
      <c r="D1193">
        <v>0.42073727</v>
      </c>
    </row>
    <row r="1194" spans="2:4" x14ac:dyDescent="0.25">
      <c r="B1194" s="5">
        <v>44237</v>
      </c>
      <c r="C1194">
        <v>-0.38971305000000001</v>
      </c>
      <c r="D1194">
        <v>-0.35600066000000002</v>
      </c>
    </row>
    <row r="1195" spans="2:4" x14ac:dyDescent="0.25">
      <c r="B1195" s="5">
        <v>44236</v>
      </c>
      <c r="C1195">
        <v>0.53615570000000001</v>
      </c>
      <c r="D1195">
        <v>0.45208930000000003</v>
      </c>
    </row>
    <row r="1196" spans="2:4" x14ac:dyDescent="0.25">
      <c r="B1196" s="5">
        <v>44235</v>
      </c>
      <c r="C1196">
        <v>0.11148453</v>
      </c>
      <c r="D1196">
        <v>-0.29533504999999999</v>
      </c>
    </row>
    <row r="1197" spans="2:4" x14ac:dyDescent="0.25">
      <c r="B1197" s="5">
        <v>44232</v>
      </c>
      <c r="C1197">
        <v>7.8511239999999996E-2</v>
      </c>
      <c r="D1197">
        <v>-1.3110459000000001</v>
      </c>
    </row>
    <row r="1198" spans="2:4" x14ac:dyDescent="0.25">
      <c r="B1198" s="5">
        <v>44231</v>
      </c>
      <c r="C1198">
        <v>-0.40740967</v>
      </c>
      <c r="D1198">
        <v>0.55187940000000002</v>
      </c>
    </row>
    <row r="1199" spans="2:4" x14ac:dyDescent="0.25">
      <c r="B1199" s="5">
        <v>44230</v>
      </c>
      <c r="C1199">
        <v>1.4571428</v>
      </c>
      <c r="D1199">
        <v>-2.0233629999999998</v>
      </c>
    </row>
    <row r="1200" spans="2:4" x14ac:dyDescent="0.25">
      <c r="B1200" s="5">
        <v>44229</v>
      </c>
      <c r="C1200">
        <v>-5.8418511999999999E-2</v>
      </c>
      <c r="D1200">
        <v>1.8073916000000001</v>
      </c>
    </row>
    <row r="1201" spans="2:4" x14ac:dyDescent="0.25">
      <c r="B1201" s="5">
        <v>44228</v>
      </c>
      <c r="C1201">
        <v>3.3152222999999998</v>
      </c>
      <c r="D1201">
        <v>2.6777148</v>
      </c>
    </row>
    <row r="1202" spans="2:4" x14ac:dyDescent="0.25">
      <c r="B1202" s="5">
        <v>44225</v>
      </c>
      <c r="C1202">
        <v>-2.9171646</v>
      </c>
      <c r="D1202">
        <v>-1.1971295</v>
      </c>
    </row>
    <row r="1203" spans="2:4" x14ac:dyDescent="0.25">
      <c r="B1203" s="5">
        <v>44224</v>
      </c>
      <c r="C1203">
        <v>2.5890946000000001</v>
      </c>
      <c r="D1203">
        <v>1.5439868000000001</v>
      </c>
    </row>
    <row r="1204" spans="2:4" x14ac:dyDescent="0.25">
      <c r="B1204" s="5">
        <v>44223</v>
      </c>
      <c r="C1204">
        <v>0.24533272</v>
      </c>
      <c r="D1204">
        <v>-1.8401563000000001</v>
      </c>
    </row>
    <row r="1205" spans="2:4" x14ac:dyDescent="0.25">
      <c r="B1205" s="5">
        <v>44222</v>
      </c>
      <c r="C1205">
        <v>1.2198806</v>
      </c>
      <c r="D1205">
        <v>1.3944030000000001</v>
      </c>
    </row>
    <row r="1206" spans="2:4" x14ac:dyDescent="0.25">
      <c r="B1206" s="5">
        <v>44221</v>
      </c>
      <c r="C1206">
        <v>1.5844225999999999</v>
      </c>
      <c r="D1206">
        <v>-0.27416944999999998</v>
      </c>
    </row>
    <row r="1207" spans="2:4" x14ac:dyDescent="0.25">
      <c r="B1207" s="5">
        <v>44218</v>
      </c>
      <c r="C1207">
        <v>0.43561460000000002</v>
      </c>
      <c r="D1207">
        <v>-1.8136977999999999</v>
      </c>
    </row>
    <row r="1208" spans="2:4" x14ac:dyDescent="0.25">
      <c r="B1208" s="5">
        <v>44217</v>
      </c>
      <c r="C1208">
        <v>0.28082131999999999</v>
      </c>
      <c r="D1208">
        <v>0.44996737999999997</v>
      </c>
    </row>
    <row r="1209" spans="2:4" x14ac:dyDescent="0.25">
      <c r="B1209" s="5">
        <v>44216</v>
      </c>
      <c r="C1209">
        <v>3.6499739</v>
      </c>
      <c r="D1209">
        <v>-0.44269562000000001</v>
      </c>
    </row>
    <row r="1210" spans="2:4" x14ac:dyDescent="0.25">
      <c r="B1210" s="5">
        <v>44215</v>
      </c>
      <c r="C1210">
        <v>1.7822742</v>
      </c>
      <c r="D1210">
        <v>2.0166159000000001</v>
      </c>
    </row>
    <row r="1211" spans="2:4" x14ac:dyDescent="0.25">
      <c r="B1211" s="5">
        <v>44211</v>
      </c>
      <c r="C1211">
        <v>-0.17369986000000001</v>
      </c>
      <c r="D1211">
        <v>-1.4570236000000001</v>
      </c>
    </row>
    <row r="1212" spans="2:4" x14ac:dyDescent="0.25">
      <c r="B1212" s="5">
        <v>44210</v>
      </c>
      <c r="C1212">
        <v>-1.5346169999999999</v>
      </c>
      <c r="D1212">
        <v>-1.1611282999999999</v>
      </c>
    </row>
    <row r="1213" spans="2:4" x14ac:dyDescent="0.25">
      <c r="B1213" s="5">
        <v>44209</v>
      </c>
      <c r="C1213">
        <v>0.65603255999999999</v>
      </c>
      <c r="D1213">
        <v>0.31071900000000002</v>
      </c>
    </row>
    <row r="1214" spans="2:4" x14ac:dyDescent="0.25">
      <c r="B1214" s="5">
        <v>44208</v>
      </c>
      <c r="C1214">
        <v>-1.1770725</v>
      </c>
      <c r="D1214">
        <v>-0.73730945999999997</v>
      </c>
    </row>
    <row r="1215" spans="2:4" x14ac:dyDescent="0.25">
      <c r="B1215" s="5">
        <v>44207</v>
      </c>
      <c r="C1215">
        <v>-0.96985100000000002</v>
      </c>
      <c r="D1215">
        <v>-1.5075921999999999</v>
      </c>
    </row>
    <row r="1216" spans="2:4" x14ac:dyDescent="0.25">
      <c r="B1216" s="5">
        <v>44204</v>
      </c>
      <c r="C1216">
        <v>0.60927869999999995</v>
      </c>
      <c r="D1216">
        <v>0.73820350000000001</v>
      </c>
    </row>
    <row r="1217" spans="2:4" x14ac:dyDescent="0.25">
      <c r="B1217" s="5">
        <v>44203</v>
      </c>
      <c r="C1217">
        <v>2.8456926</v>
      </c>
      <c r="D1217">
        <v>-2.4899423000000001</v>
      </c>
    </row>
    <row r="1218" spans="2:4" x14ac:dyDescent="0.25">
      <c r="B1218" s="5">
        <v>44202</v>
      </c>
      <c r="C1218">
        <v>-2.5929272000000001</v>
      </c>
      <c r="D1218">
        <v>0.93691349999999995</v>
      </c>
    </row>
    <row r="1219" spans="2:4" x14ac:dyDescent="0.25">
      <c r="B1219" s="5">
        <v>44201</v>
      </c>
      <c r="C1219">
        <v>9.6464159999999993E-2</v>
      </c>
      <c r="D1219">
        <v>-1.032114</v>
      </c>
    </row>
    <row r="1220" spans="2:4" x14ac:dyDescent="0.25">
      <c r="B1220" s="5">
        <v>44200</v>
      </c>
      <c r="C1220">
        <v>-2.1266042999999999</v>
      </c>
      <c r="D1220">
        <v>1.1266232</v>
      </c>
    </row>
    <row r="1221" spans="2:4" x14ac:dyDescent="0.25">
      <c r="B1221" s="5">
        <v>44196</v>
      </c>
      <c r="C1221">
        <v>0.33382177000000002</v>
      </c>
      <c r="D1221">
        <v>-0.52841899999999997</v>
      </c>
    </row>
    <row r="1222" spans="2:4" x14ac:dyDescent="0.25">
      <c r="B1222" s="5">
        <v>44195</v>
      </c>
      <c r="C1222">
        <v>-1.1019409</v>
      </c>
      <c r="D1222">
        <v>-9.2017650000000006E-2</v>
      </c>
    </row>
    <row r="1223" spans="2:4" x14ac:dyDescent="0.25">
      <c r="B1223" s="5">
        <v>44194</v>
      </c>
      <c r="C1223">
        <v>-0.36007166000000002</v>
      </c>
      <c r="D1223">
        <v>0.72447059999999996</v>
      </c>
    </row>
    <row r="1224" spans="2:4" x14ac:dyDescent="0.25">
      <c r="B1224" s="5">
        <v>44193</v>
      </c>
      <c r="C1224">
        <v>0.99214314999999997</v>
      </c>
      <c r="D1224">
        <v>1.0886908</v>
      </c>
    </row>
    <row r="1225" spans="2:4" x14ac:dyDescent="0.25">
      <c r="B1225" s="5">
        <v>44189</v>
      </c>
      <c r="C1225">
        <v>0.78272819999999999</v>
      </c>
      <c r="D1225">
        <v>-2.4610758E-2</v>
      </c>
    </row>
    <row r="1226" spans="2:4" x14ac:dyDescent="0.25">
      <c r="B1226" s="5">
        <v>44188</v>
      </c>
      <c r="C1226">
        <v>-1.3039172000000001</v>
      </c>
      <c r="D1226">
        <v>0.65776109999999999</v>
      </c>
    </row>
    <row r="1227" spans="2:4" x14ac:dyDescent="0.25">
      <c r="B1227" s="5">
        <v>44187</v>
      </c>
      <c r="C1227">
        <v>0.60650110000000002</v>
      </c>
      <c r="D1227">
        <v>1.1103988</v>
      </c>
    </row>
    <row r="1228" spans="2:4" x14ac:dyDescent="0.25">
      <c r="B1228" s="5">
        <v>44186</v>
      </c>
      <c r="C1228">
        <v>1.8299103000000001</v>
      </c>
      <c r="D1228">
        <v>-3.5949051000000001</v>
      </c>
    </row>
    <row r="1229" spans="2:4" x14ac:dyDescent="0.25">
      <c r="B1229" s="5">
        <v>44183</v>
      </c>
      <c r="C1229">
        <v>-0.37826895999999999</v>
      </c>
      <c r="D1229">
        <v>-0.40519833999999999</v>
      </c>
    </row>
    <row r="1230" spans="2:4" x14ac:dyDescent="0.25">
      <c r="B1230" s="5">
        <v>44182</v>
      </c>
      <c r="C1230">
        <v>6.3848495000000005E-2</v>
      </c>
      <c r="D1230">
        <v>1.6354084</v>
      </c>
    </row>
    <row r="1231" spans="2:4" x14ac:dyDescent="0.25">
      <c r="B1231" s="5">
        <v>44181</v>
      </c>
      <c r="C1231">
        <v>2.4050832</v>
      </c>
      <c r="D1231">
        <v>-7.6651573000000002E-3</v>
      </c>
    </row>
    <row r="1232" spans="2:4" x14ac:dyDescent="0.25">
      <c r="B1232" s="5">
        <v>44180</v>
      </c>
      <c r="C1232">
        <v>-3.2675266000000001E-2</v>
      </c>
      <c r="D1232">
        <v>0.95019339999999997</v>
      </c>
    </row>
    <row r="1233" spans="2:4" x14ac:dyDescent="0.25">
      <c r="B1233" s="5">
        <v>44179</v>
      </c>
      <c r="C1233">
        <v>0.44077634999999998</v>
      </c>
      <c r="D1233">
        <v>1.8350601</v>
      </c>
    </row>
    <row r="1234" spans="2:4" x14ac:dyDescent="0.25">
      <c r="B1234" s="5">
        <v>44176</v>
      </c>
      <c r="C1234">
        <v>1.301539</v>
      </c>
      <c r="D1234">
        <v>-0.72782636000000001</v>
      </c>
    </row>
    <row r="1235" spans="2:4" x14ac:dyDescent="0.25">
      <c r="B1235" s="5">
        <v>44175</v>
      </c>
      <c r="C1235">
        <v>-0.60434339999999998</v>
      </c>
      <c r="D1235">
        <v>0.14146565999999999</v>
      </c>
    </row>
    <row r="1236" spans="2:4" x14ac:dyDescent="0.25">
      <c r="B1236" s="5">
        <v>44174</v>
      </c>
      <c r="C1236">
        <v>-1.9489825000000001</v>
      </c>
      <c r="D1236">
        <v>-0.40918589999999999</v>
      </c>
    </row>
    <row r="1237" spans="2:4" x14ac:dyDescent="0.25">
      <c r="B1237" s="5">
        <v>44173</v>
      </c>
      <c r="C1237">
        <v>0.80264807000000005</v>
      </c>
      <c r="D1237">
        <v>1.0473132000000001</v>
      </c>
    </row>
    <row r="1238" spans="2:4" x14ac:dyDescent="0.25">
      <c r="B1238" s="5">
        <v>44172</v>
      </c>
      <c r="C1238">
        <v>-3.2657384999999997E-2</v>
      </c>
      <c r="D1238">
        <v>-0.54159760000000001</v>
      </c>
    </row>
    <row r="1239" spans="2:4" x14ac:dyDescent="0.25">
      <c r="B1239" s="5">
        <v>44169</v>
      </c>
      <c r="C1239">
        <v>5.6004524E-2</v>
      </c>
      <c r="D1239">
        <v>-1.1654496000000001</v>
      </c>
    </row>
    <row r="1240" spans="2:4" x14ac:dyDescent="0.25">
      <c r="B1240" s="5">
        <v>44168</v>
      </c>
      <c r="C1240">
        <v>-0.52467585000000005</v>
      </c>
      <c r="D1240">
        <v>-0.43973922999999998</v>
      </c>
    </row>
    <row r="1241" spans="2:4" x14ac:dyDescent="0.25">
      <c r="B1241" s="5">
        <v>44167</v>
      </c>
      <c r="C1241">
        <v>-0.388515</v>
      </c>
      <c r="D1241">
        <v>1.2857198999999999</v>
      </c>
    </row>
    <row r="1242" spans="2:4" x14ac:dyDescent="0.25">
      <c r="B1242" s="5">
        <v>44166</v>
      </c>
      <c r="C1242">
        <v>0.99967720000000004</v>
      </c>
      <c r="D1242">
        <v>-0.49030780000000002</v>
      </c>
    </row>
    <row r="1243" spans="2:4" x14ac:dyDescent="0.25">
      <c r="B1243" s="5">
        <v>44165</v>
      </c>
      <c r="C1243">
        <v>-0.53895115999999998</v>
      </c>
      <c r="D1243">
        <v>2.0852922999999999</v>
      </c>
    </row>
    <row r="1244" spans="2:4" x14ac:dyDescent="0.25">
      <c r="B1244" s="5">
        <v>44162</v>
      </c>
      <c r="C1244">
        <v>0.63589810000000002</v>
      </c>
      <c r="D1244">
        <v>2.6503325000000002</v>
      </c>
    </row>
    <row r="1245" spans="2:4" x14ac:dyDescent="0.25">
      <c r="B1245" s="5">
        <v>44160</v>
      </c>
      <c r="C1245">
        <v>4.6730039999999997E-3</v>
      </c>
      <c r="D1245">
        <v>1.6001105</v>
      </c>
    </row>
    <row r="1246" spans="2:4" x14ac:dyDescent="0.25">
      <c r="B1246" s="5">
        <v>44159</v>
      </c>
      <c r="C1246">
        <v>1.7847776</v>
      </c>
      <c r="D1246">
        <v>-0.10957718</v>
      </c>
    </row>
    <row r="1247" spans="2:4" x14ac:dyDescent="0.25">
      <c r="B1247" s="5">
        <v>44158</v>
      </c>
      <c r="C1247">
        <v>-0.13308524999999999</v>
      </c>
      <c r="D1247">
        <v>-1.4113784</v>
      </c>
    </row>
    <row r="1248" spans="2:4" x14ac:dyDescent="0.25">
      <c r="B1248" s="5">
        <v>44155</v>
      </c>
      <c r="C1248">
        <v>-0.95565319999999998</v>
      </c>
      <c r="D1248">
        <v>-0.10455847</v>
      </c>
    </row>
    <row r="1249" spans="2:4" x14ac:dyDescent="0.25">
      <c r="B1249" s="5">
        <v>44154</v>
      </c>
      <c r="C1249">
        <v>0.63482519999999998</v>
      </c>
      <c r="D1249">
        <v>-1.7247796</v>
      </c>
    </row>
    <row r="1250" spans="2:4" x14ac:dyDescent="0.25">
      <c r="B1250" s="5">
        <v>44153</v>
      </c>
      <c r="C1250">
        <v>-1.5760540999999999</v>
      </c>
      <c r="D1250">
        <v>2.4004102</v>
      </c>
    </row>
    <row r="1251" spans="2:4" x14ac:dyDescent="0.25">
      <c r="B1251" s="5">
        <v>44152</v>
      </c>
      <c r="C1251">
        <v>-1.2751399999999999</v>
      </c>
      <c r="D1251">
        <v>-1.1872887999999999</v>
      </c>
    </row>
    <row r="1252" spans="2:4" x14ac:dyDescent="0.25">
      <c r="B1252" s="5">
        <v>44151</v>
      </c>
      <c r="C1252">
        <v>0.33254623</v>
      </c>
      <c r="D1252">
        <v>-0.81133246000000003</v>
      </c>
    </row>
    <row r="1253" spans="2:4" x14ac:dyDescent="0.25">
      <c r="B1253" s="5">
        <v>44148</v>
      </c>
      <c r="C1253">
        <v>0.49664974000000001</v>
      </c>
      <c r="D1253">
        <v>2.7447461999999998</v>
      </c>
    </row>
    <row r="1254" spans="2:4" x14ac:dyDescent="0.25">
      <c r="B1254" s="5">
        <v>44147</v>
      </c>
      <c r="C1254">
        <v>-0.51258205999999995</v>
      </c>
      <c r="D1254">
        <v>0.90050699999999995</v>
      </c>
    </row>
    <row r="1255" spans="2:4" x14ac:dyDescent="0.25">
      <c r="B1255" s="5">
        <v>44146</v>
      </c>
      <c r="C1255">
        <v>2.6254773</v>
      </c>
      <c r="D1255">
        <v>2.3628591999999999</v>
      </c>
    </row>
    <row r="1256" spans="2:4" x14ac:dyDescent="0.25">
      <c r="B1256" s="5">
        <v>44145</v>
      </c>
      <c r="C1256">
        <v>-3.3792794000000002</v>
      </c>
      <c r="D1256">
        <v>-4.4373392999999997</v>
      </c>
    </row>
    <row r="1257" spans="2:4" x14ac:dyDescent="0.25">
      <c r="B1257" s="5">
        <v>44144</v>
      </c>
      <c r="C1257">
        <v>-2.3824453000000001</v>
      </c>
      <c r="D1257">
        <v>0.31811</v>
      </c>
    </row>
    <row r="1258" spans="2:4" x14ac:dyDescent="0.25">
      <c r="B1258" s="5">
        <v>44141</v>
      </c>
      <c r="C1258">
        <v>0.19258259999999999</v>
      </c>
      <c r="D1258">
        <v>0.18148422</v>
      </c>
    </row>
    <row r="1259" spans="2:4" x14ac:dyDescent="0.25">
      <c r="B1259" s="5">
        <v>44140</v>
      </c>
      <c r="C1259">
        <v>3.1886815999999998</v>
      </c>
      <c r="D1259">
        <v>2.535355</v>
      </c>
    </row>
    <row r="1260" spans="2:4" x14ac:dyDescent="0.25">
      <c r="B1260" s="5">
        <v>44139</v>
      </c>
      <c r="C1260">
        <v>4.8248886999999998</v>
      </c>
      <c r="D1260">
        <v>4.3493750000000002</v>
      </c>
    </row>
    <row r="1261" spans="2:4" x14ac:dyDescent="0.25">
      <c r="B1261" s="5">
        <v>44138</v>
      </c>
      <c r="C1261">
        <v>2.0263909999999998</v>
      </c>
      <c r="D1261">
        <v>1.7732501000000001</v>
      </c>
    </row>
    <row r="1262" spans="2:4" x14ac:dyDescent="0.25">
      <c r="B1262" s="5">
        <v>44137</v>
      </c>
      <c r="C1262">
        <v>-6.9147349999999996E-2</v>
      </c>
      <c r="D1262">
        <v>-0.93318224000000005</v>
      </c>
    </row>
    <row r="1263" spans="2:4" x14ac:dyDescent="0.25">
      <c r="B1263" s="5">
        <v>44134</v>
      </c>
      <c r="C1263">
        <v>-1.099062</v>
      </c>
      <c r="D1263">
        <v>-2.3946999999999998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70696"><![CDATA[{"MSFT-US^CORREL(P_PRICE_RETURNS(0,45961,45961-5AY,D,USD),VALUE('DB1-DE',P_PRICE_RETURNS(0,45961,45961-5AY,D,USD)))":0.144255032938354,"DB1-DE^P_PRICE_RETURNS(0,45961,45961-5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,-0.6039858,-0.8704126,0.98975897,0.4544139,1.5744328,-2.2980154,-0.27666092,-0.57344437,0.18054247,0.5869031,-0.030320883,0.44939518,0.76949596,1.194179,-1.5411377,0.029921532,1.0491848,0.48536062,-2.0331442,-0.21007061,0.676167,-0.89396834,0.07199049,0.7349491,-0.7146239,0.7632971,-0.7313371,1.2448192,1.6391397,0.44175386,-0.69004893,-1.1963308,0.027370453,0.781703,1.3931036,-0.74778795,-1.4158607,1.0866761,1.7076373,-0.30433536,1.284492,-0.6819129,-0.062811375,0.0073194504,1.1256456,0.41960478,0.053441525,0.84711313,0.33340454,0.7762313,0.4202485,1.1656165,1.0521531,1.4631748,1.745534,1.117301,0.6212592,0.7989526,-0.6630659,2.5249958,-1.9195497,-1.0819197,0.2019763,-1.6588509,0.068831444,0.9905219,-1.1330307,0.429821,0.040388107,0.13160706,-1.1776388,1.4798999,-1.5473664,-0.8062959,0.66758394,-0.7656872,-0.5563617,2.4128437,1.3160825,0.20821095,-0.38457513,-0.17026663,-1.6576946,0.57246685,0.25721788,-0.20233989,-1.3934433,1.2252212,-0.51882863,-0.912869,1.2847066,0.7263422,0.21029711,2.0946026,2.3895621,0.3489256,-3.7711859,0.88977814,0.08072853,-1.6940415,-0.90129375,0.16356707,1.164639,1.4832973,0.43007135,1.9215822,1.292479,-0.7516563,-3.1083167,0.017392635,-0.15032887,-0.15839338,0.4434228,-0.50712824,1.7365694,0.84666014,0.26316643,-1.2527525,-2.0692587,-0.4875958,0.9486556,-0.37106276,1.4961243,-0.2312243,1.8964052,0.95807314,-0.08416772,-0.7393062,0.0344038,0.3512621,0.6452322,-4.09587,0.7118821,0.5957484,-0.21207929,0.1518488,0.42294264,-2.1889985,0.41501522,-0.041913986,-0.34060478,-0.028520823,-0.6245792,0.69898367,0.10185242,0.5014539,0.06713867,-1.3585031,-0.5138874,0.55282116,0.08561611,0.8831382,0.49568415,-0.6284833,0.5510092,-0.3153026,0.053060055,-0.13090372,-0.75006485,0.3259778,-2.6588082,0.44003725,-0.2175808,-1.2584984,0.98905563,-0.5544603,0.12563467,0.076437,-0.25851727,0.42467117,-0.22807121,0.07157326,0.932467,1.8588662,0.8779645,-1.4350355,1.1253476,1.0848403,-0.28840303,0.05941391,-0.7827163,0.25137663,-0.43857694,0.9815693,-0.06210208,0.4955411,-0.17162561,-0.6787181,0.28516054,0.15861988,0.8153558,-0.45396686,-0.5432725,-1.39606,0.34145117,-1.4862299,-0.16171932,0.8489251,0.044977665,-0.14226437,-0.33516288,1.6658783,-1.155287,0.7235527,-1.0465324,0.2580166,0.8866668,1.9176006,-1.6676843,-1.7823398,0.43810606,-0.29239058,1.3685465,0.1271367,0.7246256,0.15035868,0.9011507,0.96143484,1.6835809,-0.1284182,0.04056692,-0.7349074,0.4551053,0.16407967,1.083684,-0.6730139,-0.18982291,1.4332771,0.09851456,0.44754744,-0.44035316,0.5810499,0.17838478,0.16708374,0.968194,0.045084953,1.1646152,0.8051038,0.9594202,0.59148073,0.10803938,1.4054537,0.70091486,-1.0760725,1.2361884,0.32277107,2.9432297,0.57617426,0.9238124,1.3432264,1.3947606,-0.94480515,0.93295574,-0.30133724,-0.21913052,0.1713872,-1.3034344,-0.09021163,0.22102594,0.5717397,-0.8951545,-1.1512697,1.3866663,-2.3979604,-0.9460032,-1.51335,1.9111037,0.25092363,1.3530016,1.180923,-0.18222332,-0.7633865,-2.6111603,0.10962486,2.9072165,-1.1482179,-0.40308833,-2.088666,0.13412237,-1.9050002,-0.50439835,1.9049048,-0.5517423,1.1420131,-0.7101774,-0.13337135,-0.11972189,0.65823793,1.1163592,-0.089901686,-0.6198466,-2.0608008,-0.059187412,-0.92814565,0.85742474,0.30903816,1.0635495,-1.091665,0.2722621,0.703609,-0.031286478,-0.7622421,-0.69541335,-2.277708,-0.9479642,-0.5056977,-0.23350716,-1.6710997,1.4132619,0.96325874,-0.6948292,-0.7355571,1.2453079,0.13918877,-1.5276074,-2.474004,-1.2240231,1.6106606,2.0692945,1.251483,0.27737617,-0.5994916,-0.18563867,0.6963134,0.018751621,0.066018105,-0.058555603,1.7278075,0.5680084,2.8648615,-0.7725358,0.3087759,-0.23568273,-3.0088186,-0.80064535,-0.3276646,1.2150049,0.27928352,-0.60108304,-0.2810061,0.4826188,0.2539158,-0.49806237,0.06670952,-3.300035,2.3763895,1.8795133,0.51145554,1.7304301,0.0026226044,0.39246082,1.1746287,-0.26926398,0.1711011,-1.6382158,1.1968255,1.9390345,-1.9554853,-0.46334267,0.7948041,-1.8203557,-0.9556353,-1.1663318,-0.06651878,1.3320684,0.6435871,-4.1102705,-0.16542673,-1.2371182,0.35680532,-0.69364905,-1.1645257,-0.41743517,-0.38736463,-0.17265081,1.2493849,1.4060855,-0.5919516,-0.5389452,2.581799,-8.001643,-1.0997534,1.3509989,-0.44199228,1.2148619,1.3493419,0.88677406,0.42598248,-1.9563019,-1.8556833,0.9127021,1.1485219,0.5077481,-0.7689893,1.4458895,0.16746521,2.2031307,-1.6779661,0.39474964,-1.0500908,0.42028427,0.42663813,0.959599,-0.6995201,0.7996559,0.6745219,2.0078301,3.7083387,-0.9887636,5.094719,-3.660655,1.4236331,-1.1596859,1.9691825,1.926887,-1.2448192,-1.0547757,0.31553507,-0.032544136,-0.24209619,1.2064338,-0.47966242,1.0566354,0.36267042,-0.90212226,-3.2812119,-1.0687947,0.08611679,-1.4957488,1.0579705,0.5486369,0.8767843,-0.7358968,2.190113,0.20889044,-0.928849,-0.92375875,-2.1935284,2.0407438,1.8473864,0.79784393,-0.18309951,0.8935094,-0.81243515,0.40272474,0.22017956,-0.9694159,-0.7041991,-0.056523085,1.2881756,0.23112297,0.6451726,0.122618675,0.26848316,1.6538978,3.116107,0.62892437,-2.0062327,-0.6364763,-1.2800992,-1.4398634,1.4426231,-0.62794685,-0.059831142,0.061416626,-1.0395229,1.5806079,-0.96032023,-1.0902524,-0.7475376,-1.3635635,0.3519416,1.11202,-2.325666,0.09795427,-0.09414554,-0.36536455,-0.92313886,-1.7356098,0.044083595,3.2348871,1.3802409,-1.1962056,0.37527084,-0.2963364,2.0766854,0.8692503,-0.616771,0.93171597,-0.96429586,3.2971263,2.1974683,-0.07497668,0.70990324,1.900065,0.51834583,0.45199394,2.9299855,0.64264536,-2.5518477,0.056648254,-1.6886413,-1.3523579,0.58151484,-1.409018,2.6712894,1.3090491,1.5573263,1.7700195,-3.2143414,-1.4838636,1.3304472,1.0795951,0.22655725,0.072681904,-1.9834757,-0.20353198,-1.4697433,-2.4615526,-1.8379629,0.25537014,2.6427627,0.9291053,0.5162716,2.050376,0.33929348,0.04554987,-0.46729444999999997,-2.4743795,-2.094674,-0.7531822,-1.2556016,0.6118536,-0.75707436,-0.10701418,0.2565503,-1.369971,1.9781232,1.1014342,0.5543113,1.4045596,-2.909124,3.5983205,-2.713561,0.70067644,-0.5698979,-0.38823485,-0.93477964,0.18657446,1.3571739,-0.9129822,-0.65972805,-0.8687496,1.0358334,0.011062622,-0.59040785,2.2039056,-4.2081475,-1.6295314,0.021922588,0.13971329,0.9447813,-0.39323568,0.42420626,0.5621791,-1.0883987,2.257073,1.5051126,2.4104238,2.190721,-0.88350177,0.15181303,-2.0237803,0.71430206,0.30220747,1.4776707,2.0381331,0.4526615,-4.110563,0.99440813,1.8920064,-0.2649963,0.790596,-1.3894975,2.9331565,-0.8962512,-3.8099945,-0.2602756,0.69833994,-1.3761938,1.5568376,0.85726976,-0.48243403,1.0806918,1.5151858,-0.56052804,0.78861713,1.6463637,1.0494232,-2.2306085,-0.20727515,-0.98496675,-1.7111838,-1.7361462,0.5323887,0.083470345,1.2078166,-1.6309559,-4.557866,-0.06997585,0.6631851,-1.9989908,2.4902701,1.2332678,1.7385602,-2.3655891,-0.24869442,2.6070237,-0.36957264,0.3509283,-1.3314724,0.5293369,1.795876,-2.1354854,-0.9748459,-1.8199623,0.0047564507,0.2327919,-0.09639859,2.032745,0.05171299,-2.4730802,0.3170371,0.009441376,-1.0311842,-1.3990223,1.8085837,-2.7658105,0.15774965,0.75187683,-0.508821,-0.69295764,-0.4091084,1.3376951,-0.34424067,-1.5090644,2.5515556,-1.2401819,0.16477108,-1.6377807,1.0479093,1.6764522,0.7253885,1.8955588,-0.2906978,-2.7781546,1.5506625,-0.1772523,0.60659647,-0.7833302,5.0747275,1.2174845,4.7552466,0.80627203,-0.65822005,7.292962,-2.5443614,-0.6856978,-4.511738,-0.45524836,-1.4726043,-4.216152,0.20807981,1.183188,-2.051872,-1.4453769,-1.180309,-1.1228681,-0.78244805,-0.055223703,1.4115095,-0.8330703,0.044572353,-0.73528886,0.93438625,-0.5077779,1.0480642,1.2622356,0.2914071,-0.059610605,-0.22660494,2.0210147,-0.7183969,-0.54591894,-0.342381,-3.0795395,-1.9270778,0.8587837,2.0503879,1.2662411,0.62572956,-0.6227851,2.6068091,2.2266746,1.652813,0.60549974,-0.42899847,-0.45892596,0.546515,-0.28727055,-0.63598156,0.36182404,0.2370596,-0.30457377,0.8255124,0.33313036,1.0807872,0.2632141,2.8950572,-1.6230643,0.9518981,2.1252513,0.5669832,-0.6320238,-0.54407716,0.45796633,0.019025803,-0.14589429,0.47820807,0.2061367,-1.0858715,-1.4949739,2.1459699,-2.6397645,-1.007098,-0.055021048,-0.62919855,-0.46792626,-2.0070493,0.37264824,0.46087503,-2.0782888,-0.7793069,1.0761738,-0.6017864,-1.3786018,-0.56972504,0.7023692,0.2310276,-0.6249428,1.3238311,0.07288456,1.2525439,1.1668563,-1.303047,0.27695894,-0.15513301,0.39007664,-1.3476908,-0.4395604,0.29530525,-2.4790585,2.005434,-0.034463406,1.2720823,-0.8907497,0.016963482,0.6498933,-0.3196597,1.1162281,2.1963358,-1.0611475,0.0826478,0.23713112,1.6627908,0.025331974,-0.17634034,-1.9158125,-1.3261795,-1.131165,1.0419369,-0.545907,3.7617207,-0.5303681,-2.1473825,-0.22495389,0.18991232,0.027000904,-0.7653177,-0.86138844,-0.22972226,-1.0682404,0.043821335,-0.09224415,-0.60195327,0.93485117,-2.0320952,0.3794074,0.7079005,-0.21021962,-0.9106159,-0.555861,0.21903515,0.60601234,-0.08147955,0.7967472,0.36695004,0.029695034,0.30305386,1.0828972,1.276648,-0.31644702,0.8452296,-0.13971925,0.3951192,1.0629654,-1.2428939,0.767684,-1.4483154,2.4457693,-2.3458004,-1.095438,-1.5072286,0.9671807,1.4590263,1.1346817,-0.39915442,-0.69100857,-0.25404096,-0.8314848,-1.1707306,-0.23052096,1.4490843,-0.2952695,-2.000749,0.58802366,-0.3801167,0.5718827,-0.2980411,-1.5567422,0.4604578,-0.23870468,0.30704737,1.0152936,-1.0439336,0.169456,2.508521,-0.0998795,1.2454629,0.54774284,1.3621807,2.0830154,0.46323538,0.03902912,-1.3034344,0.40465593,-0.029700994,1.080358,-0.42040348,-0.4635334,0.1840949,0.24707317,-2.3242772,-0.6206393,0.3183961,0.25023222,-1.1946559,0.18103123,-1.0633528,0.6412506,-0.3338933,1.9850731,0.2375722,-1.2765944,-2.0042002,0.32567978,2.578473,-0.2344966,-0.40295124,-2.8553665,0.30320883,-0.12307763,1.0006428,-1.774013,-0.4916489,-0.855875,0.08788109,0.39509535,-1.080662,0.03759861,0.3678918,-0.49367547,0.020897388,0.52148104,0.62645674,-0.0856936,1.5118957,1.6864419,-0.07408261,0.8335948,0.32311678,1.1583805,0.35909414,0.5466461,-0.5321026,2.143383,0.7400274,-1.1473358,0.5953431,-0.36095977,-1.4639914,0.09992123,-2.036345,0.7043719,0.6807327,-0.29560924,2.4876833,-0.0003874302,3.5454512,0.06300211,-1.7302513,-0.8383155,-0.71947575,-1.0494709,-0.38303137,-0.33591986,1.0617733,-1.4018476,-0.038856268,-0.023239851,0.964272,-0.104123354,-2.812606,2.1637917,0.8857608,0.42073727,-0.35600066,0.4520893,-0.29533505,-1.3110459,0.5518794,-2.023363,1.8073916,2.6777148,-1.1971295,1.5439868,-1.8401563,1.394403,-0.27416945,-1.8136978,0.44996738,-0.44269562,2.0166159,-1.4570236,-1.1611283,0.310719,-0.73730946,-1.5075922,0.7382035,-2.4899423,0.9369135,-1.032114,1.1266232,-0.528419,-0.09201765,0.7244706,1.0886908,-0.024610758,0.6577611,1.1103988,-3.5949051,-0.40519834,1.6354084,-0.0076651573,0.9501934,1.8350601,-0.72782636,0.14146566,-0.4091859,1.0473132,-0.5415976,-1.1654496,-0.43973923,1.2857199,-0.4903078,2.0852923,2.6503325,1.6001105,-0.10957718,-1.4113784,-0.10455847,-1.7247796,2.4004102,-1.1872888,-0.81133246,2.7447462,0.900507,2.3628592,-4.4373393,0.31811,0.18148422,2.535355,4.349375,1.7732501,-0.93318224,-2.3947],"MSFT-US^P_PRICE_RETURNS(0,45961,45961-5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,0.13427734,1.2564778,-0.36435723,0.80521107,0.030612946,-0.68068504,2.0846248,0.14827251,0.34555197,0.14419556,-0.62568784,-0.09543896,0.677371,0.115430355,-0.388062,0.6631136,1.2623906,-1.5670776,-0.11523962,-0.14144182,-0.846231,-2.2333205,0.5326867,-0.7627964,-0.18513799,0.6850362,-1.0011315,-0.40434003,-0.77959895,1.8291116,-0.99735856,0.88329315,0.1741767,0.84074736,0.936079,2.1342397,2.0901084,1.0007381,-1.6381383,-0.12472272,-0.1318872,-1.8459082,0.97309349999999994,0.6137371,-0.782907,0.08465052,-0.7917702,0.2984047,-2.0252824,-0.1553595,0.77574253,0.7312298,-0.60803294,1.0003448,0.68838596,1.7698765,0.1945734,0.826931,1.0692,-0.29528737,1.1286855,-3.2656848,-2.0666003,-0.29640794,-1.0805845,-0.89283586,0.34331083,1.6419649,-2.4481237,-3.5854816,0.43121576,1.3337612,-0.7402897,-0.7102251,-1.3347566,-0.9780586,0.090396404,-0.2529204,-2.4772108,1.4601588,-1.4370263,-0.2823174,1.4736176,0.32441616,0.5583167,2.188158,-1.3028562,0.15259981,0.26831627,0.73268414,-0.4691124,0.91540813,-0.14338493,-0.45275092,1.3105273,0.22419691,0.11789799,1.9367695,1.1241674,0.948441,-0.15782118,0.12027025,1.9083381,0.61665773,-0.3878355,0.110924244,-3.3786118,-0.2672434,0.0371933,0.74005127,-0.8176148,0.34495592,0.869894,1.2208223,-0.18527508,-0.49399734,1.5651941,0.6864548,-0.24593472,0.586915,0.4335761,0.29315948,-1.0156214,1.6918302,2.216971,0.73428154,1.4409423,-3.2119334,-1.0016739,1.824379,-2.4495184,0.36557913,1.6485453,0.4610181,-1.2739003,-1.838094,-0.6609082,0.22724867,-1.957804,-1.4091074,1.1033416,-0.70845485,0.3980279,-0.21855235,1.8282771,-0.6112516,-0.23490787,-0.73722005,0.9150982,-0.16847253,-0.052177906,-0.28614402,-1.3714612,-0.14672875,0.97358227,0.90647936,0.98006725,0.21612644,-2.069515,2.437961,-0.043344498,2.6599407,-0.41849613,-0.7136941,1.7533422,-0.13907552,-2.957201,-0.13958812,0.44965744,1.4519811,0.05890131,-0.014722347,-0.68235993,-0.3182292,2.3546696,-0.15144944,-0.3143072,-0.6149173,-0.71552396,0.7801652,-2.1528661,-1.2578726,1.5551448,0.01449585,2.1110296,-0.039446354,-1.3545096,1.8425822,1.5594363,-2.6946366,-0.27579665,1.4334202,-0.23217201,0.57382584,0.91753006,0.60275793,-0.54180026,1.2186766,1.1297345,-0.20498037,0.4633546,0.9983659,0.48593283,1.8574119,0.29357672,1.8871546,-0.051641464,-0.7177532,-0.07280111,-1.3748586,0.20251274,0.3234625,-0.15747547,0.021362305,0.2784133,0.78787804,-0.7072866,0.1636982,0.51789284,1.3117313,-2.2544563,-0.0026762486,0.82951784,-0.78294873,0.88421106,0.5829811,-0.9986043,0.91563463,-1.4338732,-1.1612236,0.015830994,-1.0060132,1.0802746,0.31263828,-0.1111567,1.2812614,-1.1577964,2.052188,-1.680094,1.7583251,-0.16203523,0.979054,-0.808835,2.489674,-0.6910801,0.7405758,1.1219263,1.0572553,1.2861729,0.65015554,2.3542643,0.23716688,2.2740364,0.58555603,-3.751433,3.0678034,0.36742687,0.8112192,-1.4034748,0.36655664,-0.5872488,-0.17436743,1.4981866,-1.0357499,-0.37904382,1.2272,-0.43357015,0.78225136,2.4737,0.12698174,1.7757297,-2.6134133,1.9160748,0.6727457,0.2717495,0.20823479,-1.7005742,0.16719103,-0.7886529,-0.38656592,-2.3976862,-0.12459755,-0.35127997,-2.503693,0.7855773,1.2930632,-1.8257737,1.0979176,1.3215661,-0.89221597,-0.20086169,1.4878511,0.27458668,-0.3132701,0.11571646,1.4550447,0.22292137,0.94071627,-2.1498442,1.4079332,0.18018484,1.7062664,-0.12623072,-1.0986209,-0.45360923,-0.6727636,0.94389915,-0.5945504,0.21723509,-1.1715949,-1.2298942,0.7108331,0.34285784,-0.25648475,-2.6282907,0.1250267,-0.7240534,2.313137,-2.0872176,-3.7637532,1.7009139,0.38979053,-0.8937061,-2.3121536,-1.2267411,3.979981,0.14193058,0.7529259,1.6192198,1.4226913,0.19286871,-1.5983701,-1.1867404,0.922668,0.04733801,-0.74881315,1.6385674,-0.23820996,0.38257837,1.8167973,-1.9163013,-1.3805926,1.8437386,-1.3282001,-1.2502551,-1.6575754,3.189659,0.9123802,0.735271,1.5483975,0.47038794,0.58135986,-3.0867875,-0.67273974,0.16100407,0.84792376,1.275909,-0.8514166,-0.5046785,2.138567,3.845787,-0.4472494,-1.8431962,0.89212656,-0.056511164,1.4394879,0.7249713,0.7367611,0.15858412,-0.3676057,-0.70443153,1.7296433,-0.53458214,-0.6438136,1.7157197,0.33180714,-0.33070445,-0.049090385,-0.5532801,0.79717636,3.2027602,7.2434783,-2.253604,-1.3962865,-0.12232065,-0.81124306,0.027751923,-0.1488924,0.92960596,-1.2765586,2.2399426,0.23335218,-2.266848,-0.757885,2.5532842,-0.9889245,-0.017416477,-0.37113428,1.4962196,1.2619734,1.9183993,-0.41609406,-1.4933884,1.0480404,1.9721627,-0.54422617,0.5693674,-2.576667,1.1694312,4.0536523,1.7830372,2.705586,2.1440983,-1.4782846,-0.543946,-0.17706156,-1.0589004,0.61889887,1.6646028,1.9653201,-1.262927,-0.2958119,0.3771782,-2.1784365,1.2961745,-0.45909882,-2.08866,-1.5601754,-2.6622653,-1.0471404,0.313282,3.1242847,-0.19724965,-1.1659801,-0.3102064,4.202211,-0.6115794,-2.3620546,4.68843,1.9934654,2.1012664,-2.196163,0.06451607,3.0713558,-0.5908072,-0.22261143,0.9824276,3.5743594,-1.6453922,-1.8889129,0.46817064,0.30187368,1.1621475,3.0238152,0.7617116,0.9736419,1.1785269,-2.9637754,-4.374319,-0.1000762,-0.49375296,2.7629733,-1.025492,-0.7414162,0.22671223,-2.552873,1.0876656,0.5614519,-1.7328084,-1.7348647,-3.1918228,0.1167655,1.7464757,2.888918,-0.8003235,1.2399197,-0.30597448,-2.0303786,-1.8900514,0.12956858,-0.17637014,6.1623573,-0.59149265,-2.315247,-0.036352873,1.0406852,1.2311459,0.3440857,-0.19032955,-0.020682812,-0.09918809,0.17387867,-2.2500098,1.6997337,8.2268,-1.9050121,0.43884516,2.9269576,3.3325553,-2.6578844,-3.5368323,-1.7059445,-1.5856147,4.02205,-1.9756198,-7.7156305,1.379168,2.1187901,2.5280595,-0.1395464,-0.8469641,0.40837526,3.9245725,-2.424866,3.7608027,0.15083551,-1.6750276,-2.1302938,-5.0852895,-0.9670973,0.12856722,3.3812404,3.3662558,-1.936847,-1.4809012,1.9711494,-0.43798685,-0.19754767,-1.2698114,0.849545,-1.4435947,-0.8465588,-0.089889765,-0.260818,-2.711916,0.09126663,-5.497837,0.82809925,2.2976995,0.1666069,1.9111514,-1.097399,-1.6666651,-0.4092276,-0.5704045,-0.8520961,-1.066798,-3.8587093,1.1095405,-0.2351284,-0.4716456,-2.9355228,-1.3854027,-0.3947556,-0.4748702,-0.25897622,0.53441525,1.7037153,-0.7400811,2.4300456,0.70632696,-0.9154856,-0.26088357,0.4177451,2.7836323,-1.147443,-0.97242594,1.5665054,2.8540611,6.6851854,-2.6774287,-0.58764815,-1.6915917,0.9799123,1.0557532,2.0766973,-0.9621382,1.0390401,0.5381465,-0.37450194,-4.0981474,-1.1768639,-0.27570724,0.8226633,1.2782931,1.2597322,1.0707498,-1.3179243,1.4737964,-3.174907,-1.0496795,3.4149885,2.2636533,-0.24040341,2.4591208,1.0940075,-2.6970088,2.9735327,0.9204984,-4.241276,-4.456365,-2.0783246,-0.7669687,1.3953447,-0.4703343,-1.6607165,0.7928848,0.20231009,-0.5013883,2.7604342,1.2875199,1.1170149,-0.39516687,3.2032013,-0.22912025,-0.36996603,-4.7747555,2.0344138,0.1455307,2.259636,-1.9957721,-3.3209682,1.8595576,-3.6945462,-0.9446502,-4.3554726,2.9100776,-0.9456217,2.504325,-4.1812,2.26326,4.8108935,-3.7403822,2.4413347,-2.414441,-1.9381166,0.3715396,1.7039776,0.24658442,-2.708435,1.971209,-1.1217892,-3.9431572,-1.4599979,0.6243706,-3.6605775,-1.2985349,1.7936707,0.3600359,-1.7683029,-0.49142838,1.5159249,2.311647,-0.13811588,1.53929,-1.5029967,1.6379118,-0.4227221,1.7647862,0.28192997,2.521336,3.8742542,-1.296109,-1.9328356,-1.0086656,4.5858264,-1.0971248,-3.7776768,-2.0478606,-1.4224291,1.7765641,-1.2851834,0.49780607,0.9233117,5.109358,-2.589327,-0.07293224,-0.9630978,-2.9282093,-0.32283068,1.8542409,-0.013560057,-2.427405,-2.8373063,2.183473,1.1995316,-1.6310334,1.5568495,-3.895229,1.5222073,-0.7138729,0.88237524,2.8081656,1.0549068,2.8493166,-2.658838,0.11484623,-1.8468201,-0.57032704,0.22467375,-2.43392,1.7716646,-4.232258,1.0444999,0.22592545,0.07323027,0.050973892,-0.7901907,-3.8387895,-1.7147124,-0.46681762,-0.88412166,-0.76912045,0.20513535,-0.35042167,2.318561,0.4471779,1.8057346,2.3069024,-1.2013555,-0.3385663,-2.913493,1.9217849,-3.2586932,-0.9166837,2.8339863,-0.5582571,0.014925003,2.6763558,0.9844899,-1.9666672,-0.17874241,-0.1542747,-1.7942548,2.108109,-2.435565,0.06811619,-0.63266754,-0.95596313,0.5391598,0.63399076,-0.11487603,1.0236025,-0.1930356,1.2905002,0.4927516,-1.5329719,-0.308609,0.27673244,-0.1129508,0.73053837,0.2611637,1.141572,-0.67848563,2.241397,0.36512613,4.211414,0.64257383,-0.33316016,-0.5148709,1.0897517,-0.26603937,0.30590296,1.0124683,0.48223734,2.1734,1.171124,-0.45882463,-0.21027327,0.0,0.5936384,1.5064359,1.9956946,-2.0719528,2.546823,-0.7323921,0.16930103,-3.6203623,-1.7304122,-0.07010102,0.32821894,1.282227,0.16989708,-1.8574715,-1.7528355,0.13122559,1.677835,0.9428024,0.43286085,-0.5180836,-0.9859741,0.009989738,-0.31879544,-0.0033140182,-0.22528768,-0.016570091,-0.56325793,1.2912035,0.21064281,-0.96685886,-0.20157099,-0.6663382,0.095283985,2.55754,2.07752,-0.80181956,-0.51596165,0.5975723,1.0489702,0.996685,0.178051,-0.6554961,-0.39038658,-0.020724535,1.0505676,-0.21244884,0.8075237,-0.03159046,-0.5549729,0.09782314,-0.11168122,-0.8683562,-0.21404624,1.2336612,1.6844392,0.74466467,0.83390474,-1.33214,-0.099635124,-0.52387714,0.5445242,1.319778,-0.22307038,0.18743277,-0.8966446,0.8175373,0.0036001205,2.2275329,0.25839806,-0.184232,0.99731684,1.3961315,-0.62620044,0.5334139,-0.0885129,1.0966063,1.2334824,-0.56343675,1.3676286,-0.37930608,-0.58872104,0.77552795,0.25268793,1.439333,0.4038453,-0.48854947,1.2041926,2.0674706,-0.6429434,-0.04041791,-0.913167,0.14840364,-0.8668363,-0.09136796,0.37482977,2.2882104,-0.5314827,1.382029,0.016450882,-0.8565128,-1.1968553,2.106738,1.6861916,-2.9362798,-0.3843367,-2.0914257,1.093185,1.3226748,-0.5327046,-1.6159773,-0.12689233,-0.13068914,-0.8053124,-2.8285682,0.16058683,0.15317202,1.5476108,-1.308608,0.8983135,-0.18550754,-0.7670462,0.47783852,1.5298009,-1.1218965,1.0081649,0.023448467,1.0266542,1.3405442,0.8230448,-0.48580766,2.7728438,2.7908564,1.6907454,-1.4410794,-0.524354,1.7818689,-1.3250709,-0.8923292,0.673759,2.4484515,-0.1603663,-2.6662111,-0.2818644,1.235044,-0.39873123,-0.58196187,2.0265102,-0.58174133,2.8101444,-1.8177927,2.1479368,-0.3647387,-2.6980817,-1.2956917,1.9623041,1.4804125,-2.3704946,0.54872036,-0.52875876,-2.6808321,-1.1567295,-0.16789436,0.20517111,-0.5265534,0.20450354,0.68775415,-0.38971305,0.5361557,0.11148453,0.07851124,-0.40740967,1.4571428,-0.058418512,3.3152223,-2.9171646,2.5890946,0.24533272,1.2198806,1.5844226,0.4356146,0.28082132,3.6499739,1.7822742,-0.17369986,-1.534617,0.65603256,-1.1770725,-0.969851,0.6092787,2.8456926,-2.5929272,0.09646416,-2.1266043,0.33382177,-1.1019409,-0.36007166,0.99214315,0.7827282,-1.3039172,0.6065011,1.8299103,-0.37826896,0.063848495,2.4050832,-0.032675266,0.44077635,1.301539,-0.6043434,-1.9489825,0.80264807,-0.032657385,0.056004524,-0.52467585,-0.388515,0.9996772,-0.53895116,0.6358981,0.004673004,1.7847776,-0.13308525,-0.9556532,0.6348252,-1.5760541,-1.27514,0.33254623,0.49664974,-0.51258206,2.6254773,-3.3792794,-2.3824453,0.1925826,3.1886816,4.8248887,2.026391,-0.06914735,-1.099062],"MSFT-US^JULIAN(FG_PRICE(45961,45961-5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],"^PSETCAL(\"NAY\",,\"NAME\")":"calendar: United States","^FG_COMPANY_NAME":null,"^PROPER_NAME":null,"GAW-GB^PROPER_NAME":"Games Workshop Group PLC","SIKA-CH^PROPER_NAME":"Sika AG","7309-JP^PROPER_NAME":"Shimano Inc.","6861-JP^PROPER_NAME":"Keyence Corporation","AZN-GB^PROPER_NAME":"AstraZeneca PLC","SAP-DE^PROPER_NAME":"SAP SE","UMG-NL^PROPER_NAME":"Universal Music Group N.V.","ROG-CH^PROPER_NAME":"Roche Holding Ltd Dividend Right Cert.","EVD-DE^PROPER_NAME":"CTS Eventim AG & Co. KGaA","DGE-GB^PROPER_NAME":"Diageo plc","KNEBV-FI^PROPER_NAME":"KONE Oyj Class B","WKL-NL^PROPER_NAME":"Wolters Kluwer N.V.","CPG-GB^PROPER_NAME":"Compass Group PLC","EXPN-GB^PROPER_NAME":"Experian PLC","ATCO.B-SE^PROPER_NAME":"Atlas Copco AB Class B","CTEC-GB^PROPER_NAME":"ConvaTec Group Plc","AMS-ES^PROPER_NAME":"Amadeus IT Group SA Class A","CFR-CH^PROPER_NAME":"Compagnie Financiere Richemont SA","DB1-DE^PROPER_NAME":"Deutsche Boerse AG","ASML-NL^PROPER_NAME":"ASML Holding NV","LSEG-GB^PROPER_NAME":"London Stock Exchange Group plc","1299-HK^PROPER_NAME":"AIA Group Limited","AIR-FR^PROPER_NAME":"Airbus SE","RTO-GB^PROPER_NAME":"Rentokil Initial plc","HWDN-GB^PROPER_NAME":"Howden Joinery Group PLC","SAF-FR^PROPER_NAME":"Safran SA","MC-FR^PROPER_NAME":"LVMH Moet Hennessy Louis Vuitton SE","DUMMY^CORREL_MATRIX(CORRELMATRIX)":[[1.0,0.509785,0.4602459,0.35414377,0.50146395,0.20032638,0.29701015,0.53056926,0.36655867,0.7664606,0.50451356,0.32303026,0.58369356,0.4828266,0.38709512,0.32097962,0.4747051,0.5493245,0.43059352,0.2780032,0.3877866,0.50534385,0.27704242,0.17609833,0.11496507,0.5621452,0.39359632],[0.509785,1.0,0.4366969,0.28363976,0.81209356,0.14178161,0.28440186,0.43833765,0.39820796,0.47810704,0.6402595,0.328349,0.49826986,0.4245813,0.5843373,0.2797521,0.37827277,0.40557703,0.5067775,0.21131513,0.3762205,0.50367844,0.2832835,0.13011311,0.074890375,0.37696826,0.323275],[0.4602459,0.4366969,1.0,0.41833362,0.44105732,0.124057695,0.35634407,0.45195284,0.3639224,0.42637396,0.43459252,0.42780367,0.514451,0.5554453,0.3607132,0.33575264,0.41832206,0.42626515,0.40277734,0.2532534,0.43256503,0.47731137,0.28097388,0.19572157,0.14427096,0.5676973,0.4704049],[0.35414377,0.28363976,0.41833362,1.0,0.26874676,0.09439859,0.312711,0.31843558,0.37145242,0.29752842,0.28641415,0.32169735,0.38952658,0.52231896,0.2602248,0.397644,0.3065277,0.33998936,0.2617828,0.29526287,0.2906794,0.35065466,0.30272692,0.15191178,0.1403527,0.43167374,0.32832068],[0.50146395,0.81209356,0.44105732,0.26874676,1.0,0.15546373,0.2689679,0.43683022,0.3527767,0.46321934,0.632735,0.3170344,0.49453464,0.38881403,0.581852,0.23295896,0.3767862,0.43578514,0.5209465,0.21525423,0.36126378,0.48117846,0.2797347,0.12062809,0.04726788,0.37046057,0.3157338],[0.20032638,0.14178161,0.124057695,0.09439859,0.15546373,1.0,0.12050736,0.16463646,0.08669336,0.22118126,0.15302518,0.07185024,0.16275035,0.12665023,0.12492135,0.022876877,0.24042521,0.18725948,0.12958428,0.07535537,0.10484881,0.12533842,0.115931846,0.1643844,0.114190616,0.16695009,0.12979618],[0.29701015,0.28440186,0.35634407,0.312711,0.2689679,0.12050736,1.0,0.32542145,0.54103786,0.3068959,0.31675497,0.2440018,0.35244116,0.45928076,0.29346314,0.36392683,0.30407104,0.30557325,0.2795783,0.29977077,0.26917693,0.39711124,0.29109696,0.16513656,0.11055987,0.4020356,0.34242162],[0.53056926,0.43833765,0.45195284,0.31843558,0.43683022,0.16463646,0.32542145,1.0,0.34363586,0.5247394,0.43283245,0.30329758,0.63254297,0.5031371,0.29678446,0.37211937,0.41507825,0.32630002,0.42182392,0.19476902,0.3873192,0.5916345,0.23404448,0.21124619,0.13039207,0.54998994,0.39456716],[0.36655867,0.39820796,0.3639224,0.37145242,0.3527767,0.08669336,0.54103786,0.34363586,1.0,0.32550418,0.40904063,0.28969374,0.3877785,0.44998568,0.33842778,0.44704992,0.39773643,0.36486942,0.36710358,0.3448901,0.36241108,0.45079386,0.31739062,0.13548113,0.09449463,0.4124909,0.3433742],[0.7664606,0.47810704,0.42637396,0.29752842,0.46321934,0.22118126,0.3068959,0.5247394,0.32550418,1.0,0.46330985,0.2931112,0.55653554,0.4290999,0.36307546,0.27884924,0.43800527,0.43368435,0.41736826,0.26481748,0.37554145,0.44417307,0.22418194,0.19152753,0.13213988,0.53060037,0.38829276],[0.50451356,0.6402595,0.43459252,0.28641415,0.632735,0.15302518,0.31675497,0.43283245,0.40904063,0.46330985,1.0,0.35108724,0.45254394,0.41697648,0.57988703,0.27429333,0.36200237,0.42832384,0.51570344,0.23350945,0.3849351,0.48073825,0.28274176,0.1533227,0.1169135,0.39897418,0.33986038],[0.32303026,0.328349,0.42780367,0.32169735,0.3170344,0.07185024,0.2440018,0.30329758,0.28969374,0.2931112,0.35108724,1.0,0.36406094,0.406648,0.31228936,0.27964067,0.31934363,0.3968525,0.28881165,0.25767145,0.27788678,0.35716373,0.30844527,0.1589227,0.1765844,0.40074778,0.3045094],[0.58369356,0.49826986,0.514451,0.38952658,0.49453464,0.16275035,0.35244116,0.63254297,0.3877785,0.55653554,0.45254394,0.36406094,1.0,0.57328904,0.35030505,0.39800245,0.56843656,0.41556883,0.4453952,0.27645284,0.38074645,0.5699686,0.3011104,0.24304737,0.17883798,0.6228807,0.4232764],[0.4828266,0.4245813,0.5554453,0.52231896,0.38881403,0.12665023,0.45928076,0.5031371,0.44998568,0.4290999,0.41697648,0.406648,0.57328904,1.0,0.371856,0.5796203,0.4547183,0.44099885,0.34089434,0.35048857,0.3770811,0.55088663,0.36397937,0.22569604,0.13415733,0.5934114,0.4632575],[0.38709512,0.5843373,0.3607132,0.2602248,0.581852,0.12492135,0.29346314,0.29678446,0.33842778,0.36307546,0.57988703,0.31228936,0.35030505,0.371856,1.0,0.2617611,0.2867474,0.45583183,0.45424098,0.19456798,0.31303993,0.3444086,0.28516763,0.10976086,0.037719302,0.24063256,0.2398593],[0.32097962,0.2797521,0.33575264,0.397644,0.23295896,0.022876877,0.36392683,0.37211937,0.44704992,0.27884924,0.27429333,0.27964067,0.39800245,0.5796203,0.2617611,1.0,0.34633076,0.31538716,0.27870765,0.33433408,0.35139903,0.43742466,0.29451087,0.1663039,0.078021884,0.42792076,0.3382772],[0.4747051,0.37827277,0.41832206,0.3065277,0.3767862,0.24042521,0.30407104,0.41507825,0.39773643,0.43800527,0.36200237,0.31934363,0.56843656,0.4547183,0.2867474,0.34633076,1.0,0.36165142,0.3566919,0.26806313,0.35810405,0.4401025,0.231226,0.17528498,0.14146267,0.51505196,0.369999],[0.5493245,0.40557703,0.42626515,0.33998936,0.43578514,0.18725948,0.30557325,0.32630002,0.36486942,0.43368435,0.42832384,0.3968525,0.41556883,0.44099885,0.45583183,0.31538716,0.36165142,1.0,0.36182505,0.284926,0.30076844,0.4100629,0.3980701,0.17645818,0.08444799,0.41316396,0.33297855],[0.43059352,0.5067775,0.40277734,0.2617828,0.5209465,0.12958428,0.2795783,0.42182392,0.36710358,0.41736826,0.51570344,0.28881165,0.4453952,0.34089434,0.45424098,0.27870765,0.3566919,0.36182505,1.0,0.1849121,0.39071593,0.41425866,0.22816253,0.14435138,0.092603855,0.3854988,0.29830897],[0.2780032,0.21131513,0.2532534,0.29526287,0.21525423,0.07535537,0.29977077,0.19476902,0.3448901,0.26481748,0.23350945,0.25767145,0.27645284,0.35048857,0.19456798,0.33433408,0.26806313,0.284926,0.1849121,1.0,0.2356463,0.29707205,0.5047391,0.15638767,0.13363463,0.3816578,0.24734443],[0.3877866,0.3762205,0.43256503,0.2906794,0.36126378,0.10484881,0.26917693,0.3873192,0.36241108,0.37554145,0.3849351,0.27788678,0.38074645,0.3770811,0.31303993,0.35139903,0.35810405,0.30076844,0.39071593,0.2356463,1.0,0.38252014,0.23540214,0.13701637,0.09482908,0.41822553,0.35958442],[0.50534385,0.50367844,0.47731137,0.35065466,0.48117846,0.12533842,0.39711124,0.5916345,0.45079386,0.44417307,0.48073825,0.35716373,0.5699686,0.55088663,0.3444086,0.43742466,0.4401025,0.4100629,0.41425866,0.29707205,0.38252014,1.0,0.30672863,0.20761448,0.11021904,0.50782514,0.41876435],[0.27704242,0.2832835,0.28097388,0.30272692,0.2797347,0.115931846,0.29109696,0.23404448,0.31739062,0.22418194,0.28274176,0.30844527,0.3011104,0.36397937,0.28516763,0.29451087,0.231226,0.3980701,0.22816253,0.5047391,0.23540214,0.30672863,1.0,0.12690318,0.07404174,0.32597935,0.265708],[0.17609833,0.13011311,0.19572157,0.15191178,0.12062809,0.1643844,0.16513656,0.21124619,0.13548113,0.19152753,0.1533227,0.1589227,0.24304737,0.22569604,0.10976086,0.1663039,0.17528498,0.17645818,0.14435138,0.15638767,0.13701637,0.20761448,0.12690318,1.0,0.45410532,0.22520171,0.20962398],[0.11496507,0.074890375,0.14427096,0.1403527,0.04726788,0.114190616,0.11055987,0.13039207,0.09449463,0.13213988,0.1169135,0.1765844,0.17883798,0.13415733,0.037719302,0.078021884,0.14146267,0.08444799,0.092603855,0.13363463,0.09482908,0.11021904,0.07404174,0.45410532,1.0,0.19293171,0.13354328],[0.5621452,0.37696826,0.5676973,0.43167374,0.37046057,0.16695009,0.4020356,0.54998994,0.4124909,0.53060037,0.39897418,0.40074778,0.6228807,0.5934114,0.24063256,0.42792076,0.51505196,0.41316396,0.3854988,0.3816578,0.41822553,0.50782514,0.32597935,0.22520171,0.19293171,1.0,0.45336103],[0.39359632,0.323275,0.4704049,0.32832068,0.3157338,0.12979618,0.34242162,0.39456716,0.3433742,0.38829276,0.33986038,0.3045094,0.4232764,0.4632575,0.2398593,0.3382772,0.369999,0.33297855,0.29830897,0.24734443,0.35958442,0.41876435,0.265708,0.20962398,0.13354328,0.45336103,1.0]],"^IDS":["MC-FR","SAF-FR","HWDN-GB","RTO-GB","AIR-FR","1299-HK","LSEG-GB","ASML-NL","DB1-DE","CFR-CH","AMS-ES","CTEC-GB","ATCO.B-SE","EXPN-GB","CPG-GB","WKL-NL","KNEBV-FI","DGE-GB","EVD-DE","ROG-CH","UMG-NL","SAP-DE","AZN-GB","6861-JP","7309-JP","SIKA-CH","GAW-GB"],"DUMMY^FLOAT_ARRAY CORRELMATRIX=GET_FQL_ARRAY(IDS,'P_PRICE_RETURNS(0,45961,45961-5AY,D,USD)');'FDS CODE - DO NOT DELETE'":"FDS CODE - DO NOT DELETE","DUMMY^STRING_ARRAY IDS=TICKER_LIST('MC-FR SAF-FR HWDN-GB RTO-GB AIR-FR 1299-HK LSEG-GB ASML-NL DB1-DE CFR-CH AMS-ES CTEC-GB ATCO.B-SE EXPN-GB CPG-GB WKL-NL KNEBV-FI DGE-GB EVD-DE ROG-CH UMG-NL SAP-DE AZN-GB 6861-JP 7309-JP SIKA-CH GAW-GB');\"FDS CODE - DO NOT DELETE\"":"FDS CODE - DO NOT DELETE","DUMMY^PROPER(\"CORRELATION OF DAILY DATA BETWEEN \") + FG_DATE(45961-5AY) + LOWERCASE(\" AND \") + FG_DATE(45961) + LOWERCASE(\":\")":"Correlation Of Daily Data Between 10/30/2020 and 10/31/2025:","MC-FR^FG_COMPANY_NAME":"LVMH Moet Hennessy Louis Vuitton SE","SAF-FR^FG_COMPANY_NAME":"Safran SA","HWDN-GB^FG_COMPANY_NAME":"Howden Joinery Group PLC","RTO-GB^FG_COMPANY_NAME":"Rentokil Initial plc","AIR-FR^FG_COMPANY_NAME":"Airbus SE","1299-HK^FG_COMPANY_NAME":"AIA Group Limited","LSEG-GB^FG_COMPANY_NAME":"London Stock Exchange Group plc","ASML-NL^FG_COMPANY_NAME":"ASML Holding NV","DB1-DE^FG_COMPANY_NAME":"Deutsche Boerse AG","CFR-CH^FG_COMPANY_NAME":"Compagnie Financiere Richemont SA","AMS-ES^FG_COMPANY_NAME":"Amadeus IT Group SA Class A","CTEC-GB^FG_COMPANY_NAME":"ConvaTec Group Plc","ATCO.B-SE^FG_COMPANY_NAME":"Atlas Copco AB Class B","EXPN-GB^FG_COMPANY_NAME":"Experian PLC","CPG-GB^FG_COMPANY_NAME":"Compass Group PLC","WKL-NL^FG_COMPANY_NAME":"Wolters Kluwer N.V.","KNEBV-FI^FG_COMPANY_NAME":"KONE Oyj Class B","DGE-GB^FG_COMPANY_NAME":"Diageo plc","EVD-DE^FG_COMPANY_NAME":"CTS Eventim AG & Co. KGaA","ROG-CH^FG_COMPANY_NAME":"Roche Holding Ltd Dividend Right Cert.","UMG-NL^FG_COMPANY_NAME":"Universal Music Group N.V.","SAP-DE^FG_COMPANY_NAME":"SAP SE","AZN-GB^FG_COMPANY_NAME":"AstraZeneca PLC","6861-JP^FG_COMPANY_NAME":"Keyence Corporation","7309-JP^FG_COMPANY_NAME":"Shimano Inc.","SIKA-CH^FG_COMPANY_NAME":"Sika AG","GAW-GB^FG_COMPANY_NAME":"Games Workshop Group PLC"}]]></FdsFormulaCache>
</file>

<file path=customXml/itemProps1.xml><?xml version="1.0" encoding="utf-8"?>
<ds:datastoreItem xmlns:ds="http://schemas.openxmlformats.org/officeDocument/2006/customXml" ds:itemID="{C6830B6B-88DB-4F00-91DD-25F907813C7E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