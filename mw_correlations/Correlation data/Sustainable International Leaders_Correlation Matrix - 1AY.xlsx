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bafs\BA Shared\CPR\CPR Institutional Reports\Ad Hoc Requests\London Requests\A Meghan\"/>
    </mc:Choice>
  </mc:AlternateContent>
  <xr:revisionPtr revIDLastSave="0" documentId="8_{A289B740-B497-48D4-B055-46060F1BE0A5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 a="1"/>
  <c r="D7" i="4" a="1"/>
  <c r="AK29" i="1" a="1"/>
  <c r="D7" i="4" l="1"/>
  <c r="D21" i="4"/>
  <c r="D35" i="4"/>
  <c r="D49" i="4"/>
  <c r="D63" i="4"/>
  <c r="D77" i="4"/>
  <c r="D91" i="4"/>
  <c r="D105" i="4"/>
  <c r="D119" i="4"/>
  <c r="D133" i="4"/>
  <c r="D147" i="4"/>
  <c r="D161" i="4"/>
  <c r="D175" i="4"/>
  <c r="D189" i="4"/>
  <c r="D203" i="4"/>
  <c r="D217" i="4"/>
  <c r="D231" i="4"/>
  <c r="D245" i="4"/>
  <c r="D27" i="4"/>
  <c r="D8" i="4"/>
  <c r="D22" i="4"/>
  <c r="D36" i="4"/>
  <c r="D50" i="4"/>
  <c r="D64" i="4"/>
  <c r="D78" i="4"/>
  <c r="D92" i="4"/>
  <c r="D106" i="4"/>
  <c r="D120" i="4"/>
  <c r="D134" i="4"/>
  <c r="D148" i="4"/>
  <c r="D162" i="4"/>
  <c r="D176" i="4"/>
  <c r="D190" i="4"/>
  <c r="D204" i="4"/>
  <c r="D218" i="4"/>
  <c r="D232" i="4"/>
  <c r="D246" i="4"/>
  <c r="D93" i="4"/>
  <c r="D121" i="4"/>
  <c r="D135" i="4"/>
  <c r="D149" i="4"/>
  <c r="D177" i="4"/>
  <c r="D191" i="4"/>
  <c r="D205" i="4"/>
  <c r="D219" i="4"/>
  <c r="D233" i="4"/>
  <c r="D247" i="4"/>
  <c r="D25" i="4"/>
  <c r="D81" i="4"/>
  <c r="D123" i="4"/>
  <c r="D165" i="4"/>
  <c r="D193" i="4"/>
  <c r="D235" i="4"/>
  <c r="D12" i="4"/>
  <c r="D54" i="4"/>
  <c r="D96" i="4"/>
  <c r="D152" i="4"/>
  <c r="D208" i="4"/>
  <c r="D55" i="4"/>
  <c r="D111" i="4"/>
  <c r="D139" i="4"/>
  <c r="D181" i="4"/>
  <c r="D251" i="4"/>
  <c r="D14" i="4"/>
  <c r="D70" i="4"/>
  <c r="D112" i="4"/>
  <c r="D154" i="4"/>
  <c r="D196" i="4"/>
  <c r="D238" i="4"/>
  <c r="D9" i="4"/>
  <c r="D23" i="4"/>
  <c r="D37" i="4"/>
  <c r="D51" i="4"/>
  <c r="D65" i="4"/>
  <c r="D79" i="4"/>
  <c r="D107" i="4"/>
  <c r="D163" i="4"/>
  <c r="D194" i="4"/>
  <c r="D69" i="4"/>
  <c r="D237" i="4"/>
  <c r="D252" i="4"/>
  <c r="D10" i="4"/>
  <c r="D24" i="4"/>
  <c r="D38" i="4"/>
  <c r="D52" i="4"/>
  <c r="D66" i="4"/>
  <c r="D80" i="4"/>
  <c r="D94" i="4"/>
  <c r="D108" i="4"/>
  <c r="D122" i="4"/>
  <c r="D136" i="4"/>
  <c r="D150" i="4"/>
  <c r="D164" i="4"/>
  <c r="D178" i="4"/>
  <c r="D192" i="4"/>
  <c r="D206" i="4"/>
  <c r="D220" i="4"/>
  <c r="D234" i="4"/>
  <c r="D248" i="4"/>
  <c r="D39" i="4"/>
  <c r="D67" i="4"/>
  <c r="D109" i="4"/>
  <c r="D137" i="4"/>
  <c r="D179" i="4"/>
  <c r="D221" i="4"/>
  <c r="D40" i="4"/>
  <c r="D82" i="4"/>
  <c r="D124" i="4"/>
  <c r="D166" i="4"/>
  <c r="D236" i="4"/>
  <c r="D13" i="4"/>
  <c r="D83" i="4"/>
  <c r="D167" i="4"/>
  <c r="D209" i="4"/>
  <c r="D42" i="4"/>
  <c r="D84" i="4"/>
  <c r="D126" i="4"/>
  <c r="D168" i="4"/>
  <c r="D224" i="4"/>
  <c r="D15" i="4"/>
  <c r="D43" i="4"/>
  <c r="D57" i="4"/>
  <c r="D11" i="4"/>
  <c r="D53" i="4"/>
  <c r="D95" i="4"/>
  <c r="D151" i="4"/>
  <c r="D207" i="4"/>
  <c r="D249" i="4"/>
  <c r="D26" i="4"/>
  <c r="D68" i="4"/>
  <c r="D110" i="4"/>
  <c r="D138" i="4"/>
  <c r="D180" i="4"/>
  <c r="D222" i="4"/>
  <c r="D250" i="4"/>
  <c r="D41" i="4"/>
  <c r="D97" i="4"/>
  <c r="D125" i="4"/>
  <c r="D153" i="4"/>
  <c r="D195" i="4"/>
  <c r="D223" i="4"/>
  <c r="D28" i="4"/>
  <c r="D56" i="4"/>
  <c r="D98" i="4"/>
  <c r="D140" i="4"/>
  <c r="D182" i="4"/>
  <c r="D210" i="4"/>
  <c r="D29" i="4"/>
  <c r="D71" i="4"/>
  <c r="D113" i="4"/>
  <c r="D141" i="4"/>
  <c r="D32" i="4"/>
  <c r="D73" i="4"/>
  <c r="D103" i="4"/>
  <c r="D143" i="4"/>
  <c r="D173" i="4"/>
  <c r="D211" i="4"/>
  <c r="D241" i="4"/>
  <c r="D33" i="4"/>
  <c r="D74" i="4"/>
  <c r="D104" i="4"/>
  <c r="D144" i="4"/>
  <c r="D174" i="4"/>
  <c r="D212" i="4"/>
  <c r="D242" i="4"/>
  <c r="D34" i="4"/>
  <c r="D75" i="4"/>
  <c r="D114" i="4"/>
  <c r="D145" i="4"/>
  <c r="D183" i="4"/>
  <c r="D213" i="4"/>
  <c r="D243" i="4"/>
  <c r="D44" i="4"/>
  <c r="D76" i="4"/>
  <c r="D115" i="4"/>
  <c r="D146" i="4"/>
  <c r="D184" i="4"/>
  <c r="D214" i="4"/>
  <c r="D244" i="4"/>
  <c r="D45" i="4"/>
  <c r="D85" i="4"/>
  <c r="D116" i="4"/>
  <c r="D155" i="4"/>
  <c r="D185" i="4"/>
  <c r="D215" i="4"/>
  <c r="D253" i="4"/>
  <c r="D46" i="4"/>
  <c r="D86" i="4"/>
  <c r="D117" i="4"/>
  <c r="D156" i="4"/>
  <c r="D186" i="4"/>
  <c r="D216" i="4"/>
  <c r="D254" i="4"/>
  <c r="D48" i="4"/>
  <c r="D102" i="4"/>
  <c r="D170" i="4"/>
  <c r="D228" i="4"/>
  <c r="D58" i="4"/>
  <c r="D118" i="4"/>
  <c r="D171" i="4"/>
  <c r="D229" i="4"/>
  <c r="D59" i="4"/>
  <c r="D127" i="4"/>
  <c r="D172" i="4"/>
  <c r="D230" i="4"/>
  <c r="D60" i="4"/>
  <c r="D128" i="4"/>
  <c r="D187" i="4"/>
  <c r="D239" i="4"/>
  <c r="D61" i="4"/>
  <c r="D129" i="4"/>
  <c r="D188" i="4"/>
  <c r="D240" i="4"/>
  <c r="D62" i="4"/>
  <c r="D130" i="4"/>
  <c r="D197" i="4"/>
  <c r="D255" i="4"/>
  <c r="D16" i="4"/>
  <c r="D72" i="4"/>
  <c r="D131" i="4"/>
  <c r="D198" i="4"/>
  <c r="D256" i="4"/>
  <c r="D17" i="4"/>
  <c r="D87" i="4"/>
  <c r="D132" i="4"/>
  <c r="D199" i="4"/>
  <c r="D257" i="4"/>
  <c r="D18" i="4"/>
  <c r="D88" i="4"/>
  <c r="D142" i="4"/>
  <c r="D200" i="4"/>
  <c r="D19" i="4"/>
  <c r="D89" i="4"/>
  <c r="D157" i="4"/>
  <c r="D201" i="4"/>
  <c r="D20" i="4"/>
  <c r="D90" i="4"/>
  <c r="D158" i="4"/>
  <c r="D202" i="4"/>
  <c r="D30" i="4"/>
  <c r="D99" i="4"/>
  <c r="D159" i="4"/>
  <c r="D225" i="4"/>
  <c r="D31" i="4"/>
  <c r="D100" i="4"/>
  <c r="D160" i="4"/>
  <c r="D226" i="4"/>
  <c r="D47" i="4"/>
  <c r="D101" i="4"/>
  <c r="D169" i="4"/>
  <c r="D227" i="4"/>
  <c r="C7" i="4"/>
  <c r="C21" i="4"/>
  <c r="C35" i="4"/>
  <c r="C49" i="4"/>
  <c r="C63" i="4"/>
  <c r="C77" i="4"/>
  <c r="C91" i="4"/>
  <c r="C105" i="4"/>
  <c r="C119" i="4"/>
  <c r="C133" i="4"/>
  <c r="C147" i="4"/>
  <c r="C161" i="4"/>
  <c r="C175" i="4"/>
  <c r="C189" i="4"/>
  <c r="C203" i="4"/>
  <c r="C217" i="4"/>
  <c r="C231" i="4"/>
  <c r="C245" i="4"/>
  <c r="C166" i="4"/>
  <c r="C98" i="4"/>
  <c r="C183" i="4"/>
  <c r="C8" i="4"/>
  <c r="C22" i="4"/>
  <c r="C36" i="4"/>
  <c r="C50" i="4"/>
  <c r="C64" i="4"/>
  <c r="C78" i="4"/>
  <c r="C92" i="4"/>
  <c r="C106" i="4"/>
  <c r="C120" i="4"/>
  <c r="C134" i="4"/>
  <c r="C148" i="4"/>
  <c r="C162" i="4"/>
  <c r="C176" i="4"/>
  <c r="C190" i="4"/>
  <c r="C204" i="4"/>
  <c r="C218" i="4"/>
  <c r="C232" i="4"/>
  <c r="C246" i="4"/>
  <c r="C40" i="4"/>
  <c r="C124" i="4"/>
  <c r="C194" i="4"/>
  <c r="C236" i="4"/>
  <c r="C27" i="4"/>
  <c r="C97" i="4"/>
  <c r="C153" i="4"/>
  <c r="C195" i="4"/>
  <c r="C251" i="4"/>
  <c r="C42" i="4"/>
  <c r="C112" i="4"/>
  <c r="C168" i="4"/>
  <c r="C210" i="4"/>
  <c r="C29" i="4"/>
  <c r="C85" i="4"/>
  <c r="C127" i="4"/>
  <c r="C169" i="4"/>
  <c r="C9" i="4"/>
  <c r="C23" i="4"/>
  <c r="C37" i="4"/>
  <c r="C51" i="4"/>
  <c r="C65" i="4"/>
  <c r="C79" i="4"/>
  <c r="C93" i="4"/>
  <c r="C107" i="4"/>
  <c r="C121" i="4"/>
  <c r="C135" i="4"/>
  <c r="C149" i="4"/>
  <c r="C163" i="4"/>
  <c r="C177" i="4"/>
  <c r="C191" i="4"/>
  <c r="C205" i="4"/>
  <c r="C219" i="4"/>
  <c r="C233" i="4"/>
  <c r="C247" i="4"/>
  <c r="C54" i="4"/>
  <c r="C70" i="4"/>
  <c r="C225" i="4"/>
  <c r="C10" i="4"/>
  <c r="C24" i="4"/>
  <c r="C38" i="4"/>
  <c r="C52" i="4"/>
  <c r="C66" i="4"/>
  <c r="C80" i="4"/>
  <c r="C94" i="4"/>
  <c r="C108" i="4"/>
  <c r="C122" i="4"/>
  <c r="C136" i="4"/>
  <c r="C150" i="4"/>
  <c r="C164" i="4"/>
  <c r="C178" i="4"/>
  <c r="C192" i="4"/>
  <c r="C206" i="4"/>
  <c r="C220" i="4"/>
  <c r="C234" i="4"/>
  <c r="C248" i="4"/>
  <c r="C39" i="4"/>
  <c r="C207" i="4"/>
  <c r="C249" i="4"/>
  <c r="C12" i="4"/>
  <c r="C82" i="4"/>
  <c r="C152" i="4"/>
  <c r="C208" i="4"/>
  <c r="C250" i="4"/>
  <c r="C41" i="4"/>
  <c r="C83" i="4"/>
  <c r="C125" i="4"/>
  <c r="C167" i="4"/>
  <c r="C223" i="4"/>
  <c r="C28" i="4"/>
  <c r="C140" i="4"/>
  <c r="C196" i="4"/>
  <c r="C238" i="4"/>
  <c r="C43" i="4"/>
  <c r="C113" i="4"/>
  <c r="C155" i="4"/>
  <c r="C211" i="4"/>
  <c r="C11" i="4"/>
  <c r="C25" i="4"/>
  <c r="C53" i="4"/>
  <c r="C67" i="4"/>
  <c r="C81" i="4"/>
  <c r="C95" i="4"/>
  <c r="C109" i="4"/>
  <c r="C123" i="4"/>
  <c r="C137" i="4"/>
  <c r="C151" i="4"/>
  <c r="C165" i="4"/>
  <c r="C179" i="4"/>
  <c r="C193" i="4"/>
  <c r="C221" i="4"/>
  <c r="C235" i="4"/>
  <c r="C26" i="4"/>
  <c r="C68" i="4"/>
  <c r="C96" i="4"/>
  <c r="C110" i="4"/>
  <c r="C138" i="4"/>
  <c r="C180" i="4"/>
  <c r="C222" i="4"/>
  <c r="C13" i="4"/>
  <c r="C55" i="4"/>
  <c r="C69" i="4"/>
  <c r="C111" i="4"/>
  <c r="C139" i="4"/>
  <c r="C181" i="4"/>
  <c r="C209" i="4"/>
  <c r="C237" i="4"/>
  <c r="C14" i="4"/>
  <c r="C56" i="4"/>
  <c r="C84" i="4"/>
  <c r="C126" i="4"/>
  <c r="C154" i="4"/>
  <c r="C182" i="4"/>
  <c r="C224" i="4"/>
  <c r="C252" i="4"/>
  <c r="C15" i="4"/>
  <c r="C57" i="4"/>
  <c r="C71" i="4"/>
  <c r="C99" i="4"/>
  <c r="C141" i="4"/>
  <c r="C197" i="4"/>
  <c r="C253" i="4"/>
  <c r="C16" i="4"/>
  <c r="C48" i="4"/>
  <c r="C89" i="4"/>
  <c r="C130" i="4"/>
  <c r="C171" i="4"/>
  <c r="C212" i="4"/>
  <c r="C243" i="4"/>
  <c r="C17" i="4"/>
  <c r="C58" i="4"/>
  <c r="C90" i="4"/>
  <c r="C131" i="4"/>
  <c r="C172" i="4"/>
  <c r="C213" i="4"/>
  <c r="C244" i="4"/>
  <c r="C18" i="4"/>
  <c r="C59" i="4"/>
  <c r="C100" i="4"/>
  <c r="C132" i="4"/>
  <c r="C173" i="4"/>
  <c r="C214" i="4"/>
  <c r="C254" i="4"/>
  <c r="C19" i="4"/>
  <c r="C60" i="4"/>
  <c r="C101" i="4"/>
  <c r="C142" i="4"/>
  <c r="C174" i="4"/>
  <c r="C215" i="4"/>
  <c r="C255" i="4"/>
  <c r="C20" i="4"/>
  <c r="C61" i="4"/>
  <c r="C102" i="4"/>
  <c r="C143" i="4"/>
  <c r="C184" i="4"/>
  <c r="C216" i="4"/>
  <c r="C256" i="4"/>
  <c r="C30" i="4"/>
  <c r="C62" i="4"/>
  <c r="C103" i="4"/>
  <c r="C144" i="4"/>
  <c r="C185" i="4"/>
  <c r="C226" i="4"/>
  <c r="C257" i="4"/>
  <c r="C31" i="4"/>
  <c r="C32" i="4"/>
  <c r="C88" i="4"/>
  <c r="C159" i="4"/>
  <c r="C230" i="4"/>
  <c r="C33" i="4"/>
  <c r="C104" i="4"/>
  <c r="C160" i="4"/>
  <c r="C239" i="4"/>
  <c r="C34" i="4"/>
  <c r="C114" i="4"/>
  <c r="C170" i="4"/>
  <c r="C240" i="4"/>
  <c r="C44" i="4"/>
  <c r="C115" i="4"/>
  <c r="C186" i="4"/>
  <c r="C241" i="4"/>
  <c r="C45" i="4"/>
  <c r="C116" i="4"/>
  <c r="C187" i="4"/>
  <c r="C242" i="4"/>
  <c r="C46" i="4"/>
  <c r="C117" i="4"/>
  <c r="C188" i="4"/>
  <c r="C47" i="4"/>
  <c r="C118" i="4"/>
  <c r="C198" i="4"/>
  <c r="C72" i="4"/>
  <c r="C128" i="4"/>
  <c r="C199" i="4"/>
  <c r="C73" i="4"/>
  <c r="C129" i="4"/>
  <c r="C200" i="4"/>
  <c r="C74" i="4"/>
  <c r="C145" i="4"/>
  <c r="C201" i="4"/>
  <c r="C75" i="4"/>
  <c r="C146" i="4"/>
  <c r="C202" i="4"/>
  <c r="C76" i="4"/>
  <c r="C156" i="4"/>
  <c r="C227" i="4"/>
  <c r="C86" i="4"/>
  <c r="C157" i="4"/>
  <c r="C228" i="4"/>
  <c r="C87" i="4"/>
  <c r="C158" i="4"/>
  <c r="C229" i="4"/>
  <c r="AK29" i="1"/>
  <c r="AJ29" i="1" a="1"/>
  <c r="AJ29" i="1" l="1"/>
  <c r="AI29" i="1" a="1"/>
  <c r="AI29" i="1" l="1"/>
  <c r="AH29" i="1" a="1"/>
  <c r="AH29" i="1" l="1"/>
  <c r="AG29" i="1" a="1"/>
  <c r="AG29" i="1" l="1"/>
  <c r="AF29" i="1" a="1"/>
  <c r="AF29" i="1" l="1"/>
  <c r="AE29" i="1" a="1"/>
  <c r="AE29" i="1" l="1"/>
  <c r="AD29" i="1" a="1"/>
  <c r="AD29" i="1" l="1"/>
  <c r="AC29" i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65" i="1" a="1"/>
  <c r="A65" i="1" l="1"/>
  <c r="A64" i="1" a="1"/>
  <c r="A64" i="1" l="1"/>
  <c r="A63" i="1" a="1"/>
  <c r="A63" i="1" l="1"/>
  <c r="A62" i="1" a="1"/>
  <c r="A62" i="1" l="1"/>
  <c r="A61" i="1" a="1"/>
  <c r="A61" i="1" l="1"/>
  <c r="A60" i="1" a="1"/>
  <c r="A60" i="1" l="1"/>
  <c r="A59" i="1" a="1"/>
  <c r="A59" i="1" l="1"/>
  <c r="A58" i="1" a="1"/>
  <c r="A58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H7" i="4" a="1"/>
  <c r="A31" i="1" l="1"/>
  <c r="H7" i="4"/>
  <c r="B7" i="4" a="1"/>
  <c r="B7" i="4" l="1"/>
  <c r="A1" i="4" a="1"/>
  <c r="A1" i="4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39" i="5" l="1"/>
  <c r="A40" i="5"/>
  <c r="A41" i="5"/>
  <c r="A15" i="5" l="1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 l="1"/>
  <c r="A38" i="5"/>
  <c r="A37" i="5"/>
  <c r="A36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E70F458C-9DB7-4063-B1A8-3027F2A8FD03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Timestamp="1765270144"&gt;&lt;FQL&gt;&lt;Q&gt;MSFT-US^CORREL(P_PRICE_RETURNS(0,45961,45961-1AY,D,USD),VALUE('DB1-DE',P_PRICE_RETURNS(0,45961,45961-1AY,D,USD)))&lt;/Q&gt;&lt;R&gt;1&lt;/R&gt;&lt;C&gt;1&lt;/C&gt;&lt;D xsi:type="xsd:double"&gt;-0.0331097002333049&lt;/D&gt;&lt;/FQL&gt;&lt;FQL&gt;&lt;Q&gt;DB1-DE^P_PRICE_RETURNS(0,45961,45961-1AY,D,USD)&lt;/Q&gt;&lt;R&gt;251&lt;/R&gt;&lt;C&gt;1&lt;/C&gt;&lt;D xsi:type="xsd:double"&gt;-0.59781075&lt;/D&gt;&lt;D xsi:type="xsd:double"&gt;-0.72221756&lt;/D&gt;&lt;D xsi:type="xsd:double"&gt;-1.386553&lt;/D&gt;&lt;D xsi:type="xsd:double"&gt;-1.4789104&lt;/D&gt;&lt;D xsi:type="xsd:double"&gt;-0.6184697&lt;/D&gt;&lt;D xsi:type="xsd:double"&gt;1.1202931&lt;/D&gt;&lt;D xsi:type="xsd:double"&gt;1.1383414&lt;/D&gt;&lt;D xsi:type="xsd:double"&gt;-0.34028292&lt;/D&gt;&lt;D xsi:type="xsd:double"&gt;0.020182133&lt;/D&gt;&lt;D xsi:type="xsd:double"&gt;0.55828094&lt;/D&gt;&lt;D xsi:type="xsd:double"&gt;0.18906593&lt;/D&gt;&lt;D xsi:type="xsd:double"&gt;-1.1930585&lt;/D&gt;&lt;D xsi:type="xsd:double"&gt;-1.4507294&lt;/D&gt;&lt;D xsi:type="xsd:double"&gt;0.68496466&lt;/D&gt;&lt;D xsi:type="xsd:double"&gt;0.40740967&lt;/D&gt;&lt;D xsi:type="xsd:double"&gt;-0.4949212&lt;/D&gt;&lt;D xsi:type="xsd:double"&gt;-0.16490221&lt;/D&gt;&lt;D xsi:type="xsd:double"&gt;0.33608675&lt;/D&gt;&lt;D xsi:type="xsd:double"&gt;-0.094759464&lt;/D&gt;&lt;D xsi:type="xsd:double"&gt;-0.7329166&lt;/D&gt;&lt;D xsi:type="xsd:double"&gt;-1.636064&lt;/D&gt;&lt;D xsi:type="xsd:double"&gt;1.4899611&lt;/D&gt;&lt;D xsi:type="xsd:double"&gt;-0.5684078&lt;/D&gt;&lt;D xsi:type="xsd:double"&gt;0.96725225&lt;/D&gt;&lt;D xsi:type="xsd:double"&gt;1.3098955&lt;/D&gt;&lt;D xsi:type="xsd:double"&gt;-0.0011146069&lt;/D&gt;&lt;D xsi:type="xsd:double"&gt;0.82228184&lt;/D&gt;&lt;D xsi:type="xsd:double"&gt;-0.30992627&lt;/D&gt;&lt;D xsi:type="xsd:double"&gt;-1.4461219&lt;/D&gt;&lt;D xsi:type="xsd:double"&gt;-0.6765723&lt;/D&gt;&lt;D xsi:type="xsd:double"&gt;-1.970613&lt;/D&gt;&lt;D xsi:type="xsd:double"&gt;-0.6675422&lt;/D&gt;&lt;D xsi:type="xsd:double"&gt;-0.61970353&lt;/D&gt;&lt;D xsi:type="xsd:double"&gt;-1.8220067&lt;/D&gt;&lt;D xsi:type="xsd:double"&gt;-0.2794385&lt;/D&gt;&lt;D xsi:type="xsd:double"&gt;-0.38256645&lt;/D&gt;&lt;D xsi:type="xsd:double"&gt;-0.53316355&lt;/D&gt;&lt;D xsi:type="xsd:double"&gt;-1.0971367&lt;/D&gt;&lt;D xsi:type="xsd:double"&gt;-1.2857854&lt;/D&gt;&lt;D xsi:type="xsd:double"&gt;0.7238388&lt;/D&gt;&lt;D xsi:type="xsd:double"&gt;0.4636407&lt;/D&gt;&lt;D xsi:type="xsd:double"&gt;-0.32513142&lt;/D&gt;&lt;D xsi:type="xsd:double"&gt;1.1509418&lt;/D&gt;&lt;D xsi:type="xsd:double"&gt;-3.2894433&lt;/D&gt;&lt;D xsi:type="xsd:double"&gt;-0.5345702&lt;/D&gt;&lt;D xsi:type="xsd:double"&gt;-0.118893385&lt;/D&gt;&lt;D xsi:type="xsd:double"&gt;-0.8336842&lt;/D&gt;&lt;D xsi:type="xsd:double"&gt;-0.7721782&lt;/D&gt;&lt;D xsi:type="xsd:double"&gt;0.07172823&lt;/D&gt;&lt;D xsi:type="xsd:double"&gt;0.36586523&lt;/D&gt;&lt;D xsi:type="xsd:double"&gt;-1.0120869&lt;/D&gt;&lt;D xsi:type="xsd:double"&gt;1.8393755&lt;/D&gt;&lt;D xsi:type="xsd:double"&gt;-0.20548105&lt;/D&gt;&lt;D xsi:type="xsd:double"&gt;-0.6388068&lt;/D&gt;&lt;D xsi:type="xsd:double"&gt;0.12471676&lt;/D&gt;&lt;D xsi:type="xsd:double"&gt;0.47824383&lt;/D&gt;&lt;D xsi:type="xsd:double"&gt;1.2793303&lt;/D&gt;&lt;D xsi:type="xsd:double"&gt;-2.6678443&lt;/D&gt;&lt;D xsi:type="xsd:double"&gt;0.4564166&lt;/D&gt;&lt;D xsi:type="xsd:double"&gt;0.055885315&lt;/D&gt;&lt;D xsi:type="xsd:double"&gt;1.2557268&lt;/D&gt;&lt;D xsi:type="xsd:double"&gt;0.7595062&lt;/D&gt;&lt;D xsi:type="xsd:double"&gt;-0.7264197&lt;/D&gt;&lt;D xsi:type="xsd:double"&gt;1.030004&lt;/D&gt;&lt;D xsi:type="xsd:double"&gt;1.1509776&lt;/D&gt;&lt;D xsi:type="xsd:double"&gt;0.25185347&lt;/D&gt;&lt;D xsi:type="xsd:double"&gt;-0.9177804&lt;/D&gt;&lt;D xsi:type="xsd:double"&gt;0.6356001&lt;/D&gt;&lt;D xsi:type="xsd:double"&gt;-2.661705&lt;/D&gt;&lt;D xsi:type="xsd:double"&gt;-1.9604623&lt;/D&gt;&lt;D xsi:type="xsd:double"&gt;-0.1085639&lt;/D&gt;&lt;D xsi:type="xsd:double"&gt;-0.025743246&lt;/D&gt;&lt;D xsi:type="xsd:double"&gt;-0.46576858&lt;/D&gt;&lt;D xsi:type="xsd:double"&gt;-0.3309667&lt;/D&gt;&lt;D xsi:type="xsd:double"&gt;0.74658394&lt;/D&gt;&lt;D xsi:type="xsd:double"&gt;-0.64299107&lt;/D&gt;&lt;D xsi:type="xsd:double"&gt;0.4210353&lt;/D&gt;&lt;D xsi:type="xsd:double"&gt;-1.5692115&lt;/D&gt;&lt;D xsi:type="xsd:double"&gt;-0.45944452&lt;/D&gt;&lt;D xsi:type="xsd:double"&gt;-0.8166909&lt;/D&gt;&lt;D xsi:type="xsd:double"&gt;-1.069063&lt;/D&gt;&lt;D xsi:type="xsd:double"&gt;0.82303286&lt;/D&gt;&lt;D xsi:type="xsd:double"&gt;-2.162516&lt;/D&gt;&lt;D xsi:type="xsd:double"&gt;1.0196567&lt;/D&gt;&lt;D xsi:type="xsd:double"&gt;0.9867668&lt;/D&gt;&lt;D xsi:type="xsd:double"&gt;-2.2384048&lt;/D&gt;&lt;D xsi:type="xsd:double"&gt;-0.42022467&lt;/D&gt;&lt;D xsi:type="xsd:double"&gt;-0.005620718&lt;/D&gt;&lt;D xsi:type="xsd:double"&gt;0.4475355&lt;/D&gt;&lt;D xsi:type="xsd:double"&gt;2.1905422&lt;/D&gt;&lt;D xsi:type="xsd:double"&gt;0.58811903&lt;/D&gt;&lt;D xsi:type="xsd:double"&gt;0.34290552&lt;/D&gt;&lt;D xsi:type="xsd:double"&gt;0.17141104&lt;/D&gt;&lt;D xsi:type="xsd:double"&gt;1.0971785&lt;/D&gt;&lt;D xsi:type="xsd:double"&gt;-0.5299926&lt;/D&gt;&lt;D xsi:type="xsd:double"&gt;-1.7605424&lt;/D&gt;&lt;D xsi:type="xsd:double"&gt;2.5192618&lt;/D&gt;&lt;D xsi:type="xsd:double"&gt;-1.8389881&lt;/D&gt;&lt;D xsi:type="xsd:double"&gt;-0.120568275&lt;/D&gt;&lt;D xsi:type="xsd:double"&gt;-0.66268444&lt;/D&gt;&lt;D xsi:type="xsd:double"&gt;-1.1976421&lt;/D&gt;&lt;D xsi:type="xsd:double"&gt;-1.1274159&lt;/D&gt;&lt;D xsi:type="xsd:double"&gt;0.4581213&lt;/D&gt;&lt;D xsi:type="xsd:double"&gt;0.2809286&lt;/D&gt;&lt;D xsi:type="xsd:double"&gt;0.7167697&lt;/D&gt;&lt;D xsi:type="xsd:double"&gt;-1.8764913&lt;/D&gt;&lt;D xsi:type="xsd:double"&gt;1.4417529&lt;/D&gt;&lt;D xsi:type="xsd:double"&gt;-0.05289316&lt;/D&gt;&lt;D xsi:type="xsd:double"&gt;-0.37852526&lt;/D&gt;&lt;D xsi:type="xsd:double"&gt;-1.3144195&lt;/D&gt;&lt;D xsi:type="xsd:double"&gt;0.49550533&lt;/D&gt;&lt;D xsi:type="xsd:double"&gt;0.51522255&lt;/D&gt;&lt;D xsi:type="xsd:double"&gt;-0.9987533&lt;/D&gt;&lt;D xsi:type="xsd:double"&gt;1.628685&lt;/D&gt;&lt;D xsi:type="xsd:double"&gt;0.5199194&lt;/D&gt;&lt;D xsi:type="xsd:double"&gt;1.0913968&lt;/D&gt;&lt;D xsi:type="xsd:double"&gt;1.2136459&lt;/D&gt;&lt;D xsi:type="xsd:double"&gt;-0.7677257&lt;/D&gt;&lt;D xsi:type="xsd:double"&gt;1.1031508&lt;/D&gt;&lt;D xsi:type="xsd:double"&gt;0.20376444&lt;/D&gt;&lt;D xsi:type="xsd:double"&gt;-4.3222666&lt;/D&gt;&lt;D xsi:type="xsd:double"&gt;0.6513357&lt;/D&gt;&lt;D xsi:type="xsd:double"&gt;-2.1890342&lt;/D&gt;&lt;D xsi:type="xsd:double"&gt;0.014257431&lt;/D&gt;&lt;D xsi:type="xsd:double"&gt;-0.41734576&lt;/D&gt;&lt;D xsi:type="xsd:double"&gt;0.98125935&lt;/D&gt;&lt;D xsi:type="xsd:double"&gt;2.8728843&lt;/D&gt;&lt;D xsi:type="xsd:double"&gt;-0.7565379&lt;/D&gt;&lt;D xsi:type="xsd:double"&gt;3.5863638&lt;/D&gt;&lt;D xsi:type="xsd:double"&gt;-1.5455365&lt;/D&gt;&lt;D xsi:type="xsd:double"&gt;-1.7126858&lt;/D&gt;&lt;D xsi:type="xsd:double"&gt;0.6321311&lt;/D&gt;&lt;D xsi:type="xsd:double"&gt;0.45737028&lt;/D&gt;&lt;D xsi:type="xsd:double"&gt;-0.1170516&lt;/D&gt;&lt;D xsi:type="xsd:double"&gt;2.0285368&lt;/D&gt;&lt;D xsi:type="xsd:double"&gt;1.3039112&lt;/D&gt;&lt;D xsi:type="xsd:double"&gt;0.49648285&lt;/D&gt;&lt;D xsi:type="xsd:double"&gt;-0.18606782&lt;/D&gt;&lt;D xsi:type="xsd:double"&gt;0.8052349&lt;/D&gt;&lt;D xsi:type="xsd:double"&gt;1.237917&lt;/D&gt;&lt;D xsi:type="xsd:double"&gt;3.0044198&lt;/D&gt;&lt;D xsi:type="xsd:double"&gt;5.358839&lt;/D&gt;&lt;D xsi:type="xsd:double"&gt;-2.1427095&lt;/D&gt;&lt;D xsi:type="xsd:double"&gt;4.818809&lt;/D&gt;&lt;D xsi:type="xsd:double"&gt;-5.452174&lt;/D&gt;&lt;D xsi:type="xsd:double"&gt;-8.28898&lt;/D&gt;&lt;D xsi:type="xsd:double"&gt;3.7827492&lt;/D&gt;&lt;D xsi:type="xsd:double"&gt;0.7532358&lt;/D&gt;&lt;D xsi:type="xsd:double"&gt;1.4395475&lt;/D&gt;&lt;D xsi:type="xsd:double"&gt;-0.010293722&lt;/D&gt;&lt;D xsi:type="xsd:double"&gt;1.4265537&lt;/D&gt;&lt;D xsi:type="xsd:double"&gt;1.5482664&lt;/D&gt;&lt;D xsi:type="xsd:double"&gt;-0.84555745&lt;/D&gt;&lt;D xsi:type="xsd:double"&gt;1.3532758&lt;/D&gt;&lt;D xsi:type="xsd:double"&gt;-1.6710758&lt;/D&gt;&lt;D xsi:type="xsd:double"&gt;-0.013536215&lt;/D&gt;&lt;D xsi:type="xsd:double"&gt;-2.3656309&lt;/D&gt;&lt;D xsi:type="xsd:double"&gt;-0.016468763&lt;/D&gt;&lt;D xsi:type="xsd:double"&gt;0.27252436&lt;/D&gt;&lt;D xsi:type="xsd:double"&gt;0.52508116&lt;/D&gt;&lt;D xsi:type="xsd:double"&gt;2.4481058&lt;/D&gt;&lt;D xsi:type="xsd:double"&gt;-0.39724112&lt;/D&gt;&lt;D xsi:type="xsd:double"&gt;1.0669589&lt;/D&gt;&lt;D xsi:type="xsd:double"&gt;-0.20846128&lt;/D&gt;&lt;D xsi:type="xsd:double"&gt;1.9872069&lt;/D&gt;&lt;D xsi:type="xsd:double"&gt;1.0303974&lt;/D&gt;&lt;D xsi:type="xsd:double"&gt;0.50166845&lt;/D&gt;&lt;D xsi:type="xsd:double"&gt;2.6073694&lt;/D&gt;&lt;D xsi:type="xsd:double"&gt;-0.49691796&lt;/D&gt;&lt;D xsi:type="xsd:double"&gt;3.2704234&lt;/D&gt;&lt;D xsi:type="xsd:double"&gt;-0.7176876&lt;/D&gt;&lt;D xsi:type="xsd:double"&gt;-0.61460733&lt;/D&gt;&lt;D xsi:type="xsd:double"&gt;2.3970842&lt;/D&gt;&lt;D xsi:type="xsd:double"&gt;0.89144707&lt;/D&gt;&lt;D xsi:type="xsd:double"&gt;-0.51630735&lt;/D&gt;&lt;D xsi:type="xsd:double"&gt;-0.54941773&lt;/D&gt;&lt;D xsi:type="xsd:double"&gt;0.12009144&lt;/D&gt;&lt;D xsi:type="xsd:double"&gt;-0.49099326&lt;/D&gt;&lt;D xsi:type="xsd:double"&gt;1.1111617&lt;/D&gt;&lt;D xsi:type="xsd:double"&gt;-0.9409249&lt;/D&gt;&lt;D xsi:type="xsd:double"&gt;2.0550728&lt;/D&gt;&lt;D xsi:type="xsd:double"&gt;1.7669082&lt;/D&gt;&lt;D xsi:type="xsd:double"&gt;0.5801201&lt;/D&gt;&lt;D xsi:type="xsd:double"&gt;-0.1560092&lt;/D&gt;&lt;D xsi:type="xsd:double"&gt;-0.36531687&lt;/D&gt;&lt;D xsi:type="xsd:double"&gt;-0.6227255&lt;/D&gt;&lt;D xsi:type="xsd:double"&gt;0.7709861&lt;/D&gt;&lt;D xsi:type="xsd:double"&gt;0.8076787&lt;/D&gt;&lt;D xsi:type="xsd:double"&gt;-0.15488863&lt;/D&gt;&lt;D xsi:type="xsd:double"&gt;-1.2973607&lt;/D&gt;&lt;D xsi:type="xsd:double"&gt;1.3312101&lt;/D&gt;&lt;D xsi:type="xsd:double"&gt;-0.33653975&lt;/D&gt;&lt;D xsi:type="xsd:double"&gt;-0.41731&lt;/D&gt;&lt;D xsi:type="xsd:double"&gt;1.0516882&lt;/D&gt;&lt;D xsi:type="xsd:double"&gt;1.2020111&lt;/D&gt;&lt;D xsi:type="xsd:double"&gt;-0.2536118&lt;/D&gt;&lt;D xsi:type="xsd:double"&gt;1.5224695&lt;/D&gt;&lt;D xsi:type="xsd:double"&gt;1.6235471&lt;/D&gt;&lt;D xsi:type="xsd:double"&gt;0.52866936&lt;/D&gt;&lt;D xsi:type="xsd:double"&gt;-0.0921309&lt;/D&gt;&lt;D xsi:type="xsd:double"&gt;0.32572746&lt;/D&gt;&lt;D xsi:type="xsd:double"&gt;2.2075057&lt;/D&gt;&lt;D xsi:type="xsd:double"&gt;-0.335747&lt;/D&gt;&lt;D xsi:type="xsd:double"&gt;-0.6713033&lt;/D&gt;&lt;D xsi:type="xsd:double"&gt;0.6875634&lt;/D&gt;&lt;D xsi:type="xsd:double"&gt;0.92561245&lt;/D&gt;&lt;D xsi:type="xsd:double"&gt;0.24693012&lt;/D&gt;&lt;D xsi:type="xsd:double"&gt;-0.6691456&lt;/D&gt;&lt;D xsi:type="xsd:double"&gt;-0.14793873&lt;/D&gt;&lt;D xsi:type="xsd:double"&gt;-0.24565458&lt;/D&gt;&lt;D xsi:type="xsd:double"&gt;-0.93749166&lt;/D&gt;&lt;D xsi:type="xsd:double"&gt;1.2063622&lt;/D&gt;&lt;D xsi:type="xsd:double"&gt;0.16839504&lt;/D&gt;&lt;D xsi:type="xsd:double"&gt;0.014436245&lt;/D&gt;&lt;D xsi:type="xsd:double"&gt;-1.2330353&lt;/D&gt;&lt;D xsi:type="xsd:double"&gt;-0.16899705&lt;/D&gt;&lt;D xsi:type="xsd:double"&gt;-0.7997334&lt;/D&gt;&lt;D xsi:type="xsd:double"&gt;-0.6556153&lt;/D&gt;&lt;D xsi:type="xsd:double"&gt;0.32461882&lt;/D&gt;&lt;D xsi:type="xsd:double"&gt;0.8457184&lt;/D&gt;&lt;D xsi:type="xsd:double"&gt;0.32322407&lt;/D&gt;&lt;D xsi:type="xsd:double"&gt;-0.37163496&lt;/D&gt;&lt;D xsi:type="xsd:double"&gt;0.5334377&lt;/D&gt;&lt;D xsi:type="xsd:double"&gt;-0.37632585&lt;/D&gt;&lt;D xsi:type="xsd:double"&gt;-0.7207453&lt;/D&gt;&lt;D xsi:type="xsd:double"&gt;-0.71870685&lt;/D&gt;&lt;D xsi:type="xsd:double"&gt;1.6424894&lt;/D&gt;&lt;D xsi:type="xsd:double"&gt;0.4771471&lt;/D&gt;&lt;D xsi:type="xsd:double"&gt;-0.13005137&lt;/D&gt;&lt;D xsi:type="xsd:double"&gt;-0.69678426&lt;/D&gt;&lt;D xsi:type="xsd:double"&gt;1.1892796&lt;/D&gt;&lt;D xsi:type="xsd:double"&gt;2.303958&lt;/D&gt;&lt;D xsi:type="xsd:double"&gt;-0.10830164&lt;/D&gt;&lt;D xsi:type="xsd:double"&gt;0.9881735&lt;/D&gt;&lt;D xsi:type="xsd:double"&gt;-0.03182292&lt;/D&gt;&lt;D xsi:type="xsd:double"&gt;0.71275234&lt;/D&gt;&lt;D xsi:type="xsd:double"&gt;-0.6234348&lt;/D&gt;&lt;D xsi:type="xsd:double"&gt;-0.53545237&lt;/D&gt;&lt;D xsi:type="xsd:double"&gt;1.7999172&lt;/D&gt;&lt;D xsi:type="xsd:double"&gt;-1.0476708&lt;/D&gt;&lt;D xsi:type="xsd:double"&gt;1.359582&lt;/D&gt;&lt;D xsi:type="xsd:double"&gt;-0.8552015&lt;/D&gt;&lt;D xsi:type="xsd:double"&gt;-2.455783&lt;/D&gt;&lt;D xsi:type="xsd:double"&gt;-0.052666664&lt;/D&gt;&lt;D xsi:type="xsd:double"&gt;-0.48888326&lt;/D&gt;&lt;D xsi:type="xsd:double"&gt;-0.2098918&lt;/D&gt;&lt;D xsi:type="xsd:double"&gt;-3.0855238&lt;/D&gt;&lt;D xsi:type="xsd:double"&gt;0.90944767&lt;/D&gt;&lt;D xsi:type="xsd:double"&gt;-0.0031590462&lt;/D&gt;&lt;D xsi:type="xsd:double"&gt;1.2402654&lt;/D&gt;&lt;D xsi:type="xsd:double"&gt;-0.3442347&lt;/D&gt;&lt;/FQL&gt;&lt;FQL&gt;&lt;Q&gt;MSFT-US^P_PRICE_RETURNS(0,45961,45961-1AY,D,USD)&lt;/Q&gt;&lt;R&gt;251&lt;/R&gt;&lt;C&gt;1&lt;/C&gt;&lt;D xsi:type="xsd:double"&gt;-1.5120983&lt;/D&gt;&lt;D xsi:type="xsd:double"&gt;-2.9156983&lt;/D&gt;&lt;D xsi:type="xsd:double"&gt;-0.095933676&lt;/D&gt;&lt;D xsi:type="xsd:double"&gt;1.9848704&lt;/D&gt;&lt;D xsi:type="xsd:double"&gt;1.5106678&lt;/D&gt;&lt;D xsi:type="xsd:double"&gt;0.58590174&lt;/D&gt;&lt;D xsi:type="xsd:double"&gt;0.00385046&lt;/D&gt;&lt;D xsi:type="xsd:double"&gt;0.55634975&lt;/D&gt;&lt;D xsi:type="xsd:double"&gt;0.16834736&lt;/D&gt;&lt;D xsi:type="xsd:double"&gt;0.6250143&lt;/D&gt;&lt;D xsi:type="xsd:double"&gt;0.38506985&lt;/D&gt;&lt;D xsi:type="xsd:double"&gt;-0.35448074&lt;/D&gt;&lt;D xsi:type="xsd:double"&gt;-0.027263165&lt;/D&gt;&lt;D xsi:type="xsd:double"&gt;-0.093370676&lt;/D&gt;&lt;D xsi:type="xsd:double"&gt;0.6047487&lt;/D&gt;&lt;D xsi:type="xsd:double"&gt;-2.1898985&lt;/D&gt;&lt;D xsi:type="xsd:double"&gt;-0.46678782&lt;/D&gt;&lt;D xsi:type="xsd:double"&gt;0.1660347&lt;/D&gt;&lt;D xsi:type="xsd:double"&gt;-0.86838603&lt;/D&gt;&lt;D xsi:type="xsd:double"&gt;2.1687508&lt;/D&gt;&lt;D xsi:type="xsd:double"&gt;0.31217337&lt;/D&gt;&lt;D xsi:type="xsd:double"&gt;-0.7638931&lt;/D&gt;&lt;D xsi:type="xsd:double"&gt;0.33980608&lt;/D&gt;&lt;D xsi:type="xsd:double"&gt;0.65100193&lt;/D&gt;&lt;D xsi:type="xsd:double"&gt;0.61392784&lt;/D&gt;&lt;D xsi:type="xsd:double"&gt;0.8737087&lt;/D&gt;&lt;D xsi:type="xsd:double"&gt;-0.6115854&lt;/D&gt;&lt;D xsi:type="xsd:double"&gt;0.18066168&lt;/D&gt;&lt;D xsi:type="xsd:double"&gt;-1.0146737&lt;/D&gt;&lt;D xsi:type="xsd:double"&gt;-0.6718993&lt;/D&gt;&lt;D xsi:type="xsd:double"&gt;1.864481&lt;/D&gt;&lt;D xsi:type="xsd:double"&gt;-0.3078282&lt;/D&gt;&lt;D xsi:type="xsd:double"&gt;0.19251108&lt;/D&gt;&lt;D xsi:type="xsd:double"&gt;-1.2263238&lt;/D&gt;&lt;D xsi:type="xsd:double"&gt;1.0707974&lt;/D&gt;&lt;D xsi:type="xsd:double"&gt;1.7744184&lt;/D&gt;&lt;D xsi:type="xsd:double"&gt;0.12791157&lt;/D&gt;&lt;D xsi:type="xsd:double"&gt;0.3932476&lt;/D&gt;&lt;D xsi:type="xsd:double"&gt;0.042152405&lt;/D&gt;&lt;D xsi:type="xsd:double"&gt;0.646472&lt;/D&gt;&lt;D xsi:type="xsd:double"&gt;-2.553302&lt;/D&gt;&lt;D xsi:type="xsd:double"&gt;0.5184531&lt;/D&gt;&lt;D xsi:type="xsd:double"&gt;0.04553795&lt;/D&gt;&lt;D xsi:type="xsd:double"&gt;-0.30985475&lt;/D&gt;&lt;D xsi:type="xsd:double"&gt;-0.57884455&lt;/D&gt;&lt;D xsi:type="xsd:double"&gt;0.57228804&lt;/D&gt;&lt;D xsi:type="xsd:double"&gt;0.9361744&lt;/D&gt;&lt;D xsi:type="xsd:double"&gt;-0.44025183&lt;/D&gt;&lt;D xsi:type="xsd:double"&gt;-0.5855322&lt;/D&gt;&lt;D xsi:type="xsd:double"&gt;0.59297085&lt;/D&gt;&lt;D xsi:type="xsd:double"&gt;-0.29265285&lt;/D&gt;&lt;D xsi:type="xsd:double"&gt;-0.7944763&lt;/D&gt;&lt;D xsi:type="xsd:double"&gt;-1.4175177&lt;/D&gt;&lt;D xsi:type="xsd:double"&gt;-0.5901933&lt;/D&gt;&lt;D xsi:type="xsd:double"&gt;-0.4421234&lt;/D&gt;&lt;D xsi:type="xsd:double"&gt;0.36497116&lt;/D&gt;&lt;D xsi:type="xsd:double"&gt;-1.6363025&lt;/D&gt;&lt;D xsi:type="xsd:double"&gt;1.4316559&lt;/D&gt;&lt;D xsi:type="xsd:double"&gt;-0.05171299&lt;/D&gt;&lt;D xsi:type="xsd:double"&gt;0.23038387&lt;/D&gt;&lt;D xsi:type="xsd:double"&gt;-0.7810354&lt;/D&gt;&lt;D xsi:type="xsd:double"&gt;-0.5324483&lt;/D&gt;&lt;D xsi:type="xsd:double"&gt;-1.4730096&lt;/D&gt;&lt;D xsi:type="xsd:double"&gt;2.199924&lt;/D&gt;&lt;D xsi:type="xsd:double"&gt;-1.7600775&lt;/D&gt;&lt;D xsi:type="xsd:double"&gt;3.9474726&lt;/D&gt;&lt;D xsi:type="xsd:double"&gt;0.13071299&lt;/D&gt;&lt;D xsi:type="xsd:double"&gt;0.013661385&lt;/D&gt;&lt;D xsi:type="xsd:double"&gt;-0.23554564&lt;/D&gt;&lt;D xsi:type="xsd:double"&gt;0.55395365&lt;/D&gt;&lt;D xsi:type="xsd:double"&gt;0.99037886&lt;/D&gt;&lt;D xsi:type="xsd:double"&gt;0.11874437&lt;/D&gt;&lt;D xsi:type="xsd:double"&gt;-0.93910694&lt;/D&gt;&lt;D xsi:type="xsd:double"&gt;0.0019669533&lt;/D&gt;&lt;D xsi:type="xsd:double"&gt;-0.32246113&lt;/D&gt;&lt;D xsi:type="xsd:double"&gt;1.202488&lt;/D&gt;&lt;D xsi:type="xsd:double"&gt;-0.03954172&lt;/D&gt;&lt;D xsi:type="xsd:double"&gt;0.55663586&lt;/D&gt;&lt;D xsi:type="xsd:double"&gt;-0.059610605&lt;/D&gt;&lt;D xsi:type="xsd:double"&gt;0.36691427&lt;/D&gt;&lt;D xsi:type="xsd:double"&gt;-0.40317178&lt;/D&gt;&lt;D xsi:type="xsd:double"&gt;1.3873816&lt;/D&gt;&lt;D xsi:type="xsd:double"&gt;-0.22100806&lt;/D&gt;&lt;D xsi:type="xsd:double"&gt;-0.22451878&lt;/D&gt;&lt;D xsi:type="xsd:double"&gt;1.5781164&lt;/D&gt;&lt;D xsi:type="xsd:double"&gt;-0.19509792&lt;/D&gt;&lt;D xsi:type="xsd:double"&gt;-1.0775864&lt;/D&gt;&lt;D xsi:type="xsd:double"&gt;0.29640198&lt;/D&gt;&lt;D xsi:type="xsd:double"&gt;-0.30354857&lt;/D&gt;&lt;D xsi:type="xsd:double"&gt;1.0522723&lt;/D&gt;&lt;D xsi:type="xsd:double"&gt;0.44071674&lt;/D&gt;&lt;D xsi:type="xsd:double"&gt;0.8456707&lt;/D&gt;&lt;D xsi:type="xsd:double"&gt;1.8014312&lt;/D&gt;&lt;D xsi:type="xsd:double"&gt;-0.5913675&lt;/D&gt;&lt;D xsi:type="xsd:double"&gt;0.46020746&lt;/D&gt;&lt;D xsi:type="xsd:double"&gt;-0.22957921&lt;/D&gt;&lt;D xsi:type="xsd:double"&gt;0.8800745&lt;/D&gt;&lt;D xsi:type="xsd:double"&gt;-0.81650615&lt;/D&gt;&lt;D xsi:type="xsd:double"&gt;1.3224125&lt;/D&gt;&lt;D xsi:type="xsd:double"&gt;0.36098957&lt;/D&gt;&lt;D xsi:type="xsd:double"&gt;-0.3870964&lt;/D&gt;&lt;D xsi:type="xsd:double"&gt;0.50385&lt;/D&gt;&lt;D xsi:type="xsd:double"&gt;0.57731867&lt;/D&gt;&lt;D xsi:type="xsd:double"&gt;0.821352&lt;/D&gt;&lt;D xsi:type="xsd:double"&gt;0.19439459&lt;/D&gt;&lt;D xsi:type="xsd:double"&gt;0.21646023&lt;/D&gt;&lt;D xsi:type="xsd:double"&gt;0.3497243&lt;/D&gt;&lt;D xsi:type="xsd:double"&gt;0.36627054&lt;/D&gt;&lt;D xsi:type="xsd:double"&gt;0.2886176&lt;/D&gt;&lt;D xsi:type="xsd:double"&gt;-0.7228315&lt;/D&gt;&lt;D xsi:type="xsd:double"&gt;2.3346186&lt;/D&gt;&lt;D xsi:type="xsd:double"&gt;-1.0288835&lt;/D&gt;&lt;D xsi:type="xsd:double"&gt;0.50599575&lt;/D&gt;&lt;D xsi:type="xsd:double"&gt;-1.2222528&lt;/D&gt;&lt;D xsi:type="xsd:double"&gt;-0.15254617&lt;/D&gt;&lt;D xsi:type="xsd:double"&gt;1.0126114&lt;/D&gt;&lt;D xsi:type="xsd:double"&gt;0.25157928&lt;/D&gt;&lt;D xsi:type="xsd:double"&gt;0.04194975&lt;/D&gt;&lt;D xsi:type="xsd:double"&gt;0.8460641&lt;/D&gt;&lt;D xsi:type="xsd:double"&gt;-0.026708841&lt;/D&gt;&lt;D xsi:type="xsd:double"&gt;2.4001122&lt;/D&gt;&lt;D xsi:type="xsd:double"&gt;0.12780428&lt;/D&gt;&lt;D xsi:type="xsd:double"&gt;1.1122704&lt;/D&gt;&lt;D xsi:type="xsd:double"&gt;0.00923872&lt;/D&gt;&lt;D xsi:type="xsd:double"&gt;-0.6557107&lt;/D&gt;&lt;D xsi:type="xsd:double"&gt;0.20446777&lt;/D&gt;&lt;D xsi:type="xsd:double"&gt;2.3225188&lt;/D&gt;&lt;D xsi:type="xsd:double"&gt;7.6253533&lt;/D&gt;&lt;D xsi:type="xsd:double"&gt;0.30961037&lt;/D&gt;&lt;D xsi:type="xsd:double"&gt;0.73627234&lt;/D&gt;&lt;D xsi:type="xsd:double"&gt;-0.17609&lt;/D&gt;&lt;D xsi:type="xsd:double"&gt;1.1748075&lt;/D&gt;&lt;D xsi:type="xsd:double"&gt;3.4482718&lt;/D&gt;&lt;D xsi:type="xsd:double"&gt;2.0636797&lt;/D&gt;&lt;D xsi:type="xsd:double"&gt;2.144134&lt;/D&gt;&lt;D xsi:type="xsd:double"&gt;-2.3546696&lt;/D&gt;&lt;D xsi:type="xsd:double"&gt;-1.0306478&lt;/D&gt;&lt;D xsi:type="xsd:double"&gt;-3.6605954&lt;/D&gt;&lt;D xsi:type="xsd:double"&gt;-0.5363405&lt;/D&gt;&lt;D xsi:type="xsd:double"&gt;-0.16475916&lt;/D&gt;&lt;D xsi:type="xsd:double"&gt;1.8618107&lt;/D&gt;&lt;D xsi:type="xsd:double"&gt;-2.3406446&lt;/D&gt;&lt;D xsi:type="xsd:double"&gt;10.133684&lt;/D&gt;&lt;D xsi:type="xsd:double"&gt;-0.92214346&lt;/D&gt;&lt;D xsi:type="xsd:double"&gt;-0.55024624&lt;/D&gt;&lt;D xsi:type="xsd:double"&gt;-3.5565913&lt;/D&gt;&lt;D xsi:type="xsd:double"&gt;-2.3630142&lt;/D&gt;&lt;D xsi:type="xsd:double"&gt;-0.013077259&lt;/D&gt;&lt;D xsi:type="xsd:double"&gt;1.8114448&lt;/D&gt;&lt;D xsi:type="xsd:double"&gt;-0.900203&lt;/D&gt;&lt;D xsi:type="xsd:double"&gt;-3.0160248&lt;/D&gt;&lt;D xsi:type="xsd:double"&gt;0.15641451&lt;/D&gt;&lt;D xsi:type="xsd:double"&gt;-1.3133943&lt;/D&gt;&lt;D xsi:type="xsd:double"&gt;0.5291581&lt;/D&gt;&lt;D xsi:type="xsd:double"&gt;0.46515465&lt;/D&gt;&lt;D xsi:type="xsd:double"&gt;1.1425972&lt;/D&gt;&lt;D xsi:type="xsd:double"&gt;-0.25269985&lt;/D&gt;&lt;D xsi:type="xsd:double"&gt;1.1211991&lt;/D&gt;&lt;D xsi:type="xsd:double"&gt;-1.3326526&lt;/D&gt;&lt;D xsi:type="xsd:double"&gt;0.03603697&lt;/D&gt;&lt;D xsi:type="xsd:double"&gt;2.584684&lt;/D&gt;&lt;D xsi:type="xsd:double"&gt;-1.1741042&lt;/D&gt;&lt;D xsi:type="xsd:double"&gt;0.7412195&lt;/D&gt;&lt;D xsi:type="xsd:double"&gt;0.076282024&lt;/D&gt;&lt;D xsi:type="xsd:double"&gt;-3.3434153&lt;/D&gt;&lt;D xsi:type="xsd:double"&gt;-0.902015&lt;/D&gt;&lt;D xsi:type="xsd:double"&gt;-1.0298669&lt;/D&gt;&lt;D xsi:type="xsd:double"&gt;3.193438&lt;/D&gt;&lt;D xsi:type="xsd:double"&gt;0.030887127&lt;/D&gt;&lt;D xsi:type="xsd:double"&gt;-2.141112&lt;/D&gt;&lt;D xsi:type="xsd:double"&gt;1.1362195&lt;/D&gt;&lt;D xsi:type="xsd:double"&gt;-1.8012166&lt;/D&gt;&lt;D xsi:type="xsd:double"&gt;0.45992136&lt;/D&gt;&lt;D xsi:type="xsd:double"&gt;-1.5099049&lt;/D&gt;&lt;D xsi:type="xsd:double"&gt;-1.0313272&lt;/D&gt;&lt;D xsi:type="xsd:double"&gt;-1.9032538&lt;/D&gt;&lt;D xsi:type="xsd:double"&gt;0.32789707&lt;/D&gt;&lt;D xsi:type="xsd:double"&gt;1.2523174&lt;/D&gt;&lt;D xsi:type="xsd:double"&gt;0.29625893&lt;/D&gt;&lt;D xsi:type="xsd:double"&gt;-0.51395893&lt;/D&gt;&lt;D xsi:type="xsd:double"&gt;0.36671162&lt;/D&gt;&lt;D xsi:type="xsd:double"&gt;-0.5833149&lt;/D&gt;&lt;D xsi:type="xsd:double"&gt;-0.1892209&lt;/D&gt;&lt;D xsi:type="xsd:double"&gt;0.6028056&lt;/D&gt;&lt;D xsi:type="xsd:double"&gt;-1.4597654&lt;/D&gt;&lt;D xsi:type="xsd:double"&gt;0.61216354&lt;/D&gt;&lt;D xsi:type="xsd:double"&gt;0.22310019&lt;/D&gt;&lt;D xsi:type="xsd:double"&gt;0.3528595&lt;/D&gt;&lt;D xsi:type="xsd:double"&gt;-0.997442&lt;/D&gt;&lt;D xsi:type="xsd:double"&gt;0.016868114&lt;/D&gt;&lt;D xsi:type="xsd:double"&gt;-6.1809063&lt;/D&gt;&lt;D xsi:type="xsd:double"&gt;-1.0890067&lt;/D&gt;&lt;D xsi:type="xsd:double"&gt;2.9086947&lt;/D&gt;&lt;D xsi:type="xsd:double"&gt;-2.1393478&lt;/D&gt;&lt;D xsi:type="xsd:double"&gt;-0.59322715&lt;/D&gt;&lt;D xsi:type="xsd:double"&gt;0.11429787&lt;/D&gt;&lt;D xsi:type="xsd:double"&gt;4.1306973&lt;/D&gt;&lt;D xsi:type="xsd:double"&gt;-0.12353659&lt;/D&gt;&lt;D xsi:type="xsd:double"&gt;1.0481&lt;/D&gt;&lt;D xsi:type="xsd:double"&gt;-0.40581226&lt;/D&gt;&lt;D xsi:type="xsd:double"&gt;2.5597215&lt;/D&gt;&lt;D xsi:type="xsd:double"&gt;-0.36433935&lt;/D&gt;&lt;D xsi:type="xsd:double"&gt;-0.4200995&lt;/D&gt;&lt;D xsi:type="xsd:double"&gt;-1.3213634&lt;/D&gt;&lt;D xsi:type="xsd:double"&gt;0.5185008&lt;/D&gt;&lt;D xsi:type="xsd:double"&gt;-1.2808263&lt;/D&gt;&lt;D xsi:type="xsd:double"&gt;1.0629535&lt;/D&gt;&lt;D xsi:type="xsd:double"&gt;1.1395693&lt;/D&gt;&lt;D xsi:type="xsd:double"&gt;-0.6927669&lt;/D&gt;&lt;D xsi:type="xsd:double"&gt;-0.78383684&lt;/D&gt;&lt;D xsi:type="xsd:double"&gt;-1.3239503&lt;/D&gt;&lt;D xsi:type="xsd:double"&gt;-1.730156&lt;/D&gt;&lt;D xsi:type="xsd:double"&gt;-0.27769804&lt;/D&gt;&lt;D xsi:type="xsd:double"&gt;0.9373903&lt;/D&gt;&lt;D xsi:type="xsd:double"&gt;-0.30921102&lt;/D&gt;&lt;D xsi:type="xsd:double"&gt;-0.09838939&lt;/D&gt;&lt;D xsi:type="xsd:double"&gt;-0.082308054&lt;/D&gt;&lt;D xsi:type="xsd:double"&gt;-3.7561&lt;/D&gt;&lt;D xsi:type="xsd:double"&gt;0.63552856&lt;/D&gt;&lt;D xsi:type="xsd:double"&gt;0.9658575&lt;/D&gt;&lt;D xsi:type="xsd:double"&gt;-0.50938725&lt;/D&gt;&lt;D xsi:type="xsd:double"&gt;0.1269579&lt;/D&gt;&lt;D xsi:type="xsd:double"&gt;1.2767076&lt;/D&gt;&lt;D xsi:type="xsd:double"&gt;-0.6031096&lt;/D&gt;&lt;D xsi:type="xsd:double"&gt;0.5523324&lt;/D&gt;&lt;D xsi:type="xsd:double"&gt;0.21463633&lt;/D&gt;&lt;D xsi:type="xsd:double"&gt;1.1887789&lt;/D&gt;&lt;D xsi:type="xsd:double"&gt;1.442492&lt;/D&gt;&lt;D xsi:type="xsd:double"&gt;0.051045418&lt;/D&gt;&lt;D xsi:type="xsd:double"&gt;1.7758489&lt;/D&gt;&lt;D xsi:type="xsd:double"&gt;0.11111498&lt;/D&gt;&lt;D xsi:type="xsd:double"&gt;-1.168251&lt;/D&gt;&lt;D xsi:type="xsd:double"&gt;2.1968007&lt;/D&gt;&lt;D xsi:type="xsd:double"&gt;0.42926073&lt;/D&gt;&lt;D xsi:type="xsd:double"&gt;1.0003209&lt;/D&gt;&lt;D xsi:type="xsd:double"&gt;-0.6305814&lt;/D&gt;&lt;D xsi:type="xsd:double"&gt;-0.5505204&lt;/D&gt;&lt;D xsi:type="xsd:double"&gt;0.4882574&lt;/D&gt;&lt;D xsi:type="xsd:double"&gt;0.18312931&lt;/D&gt;&lt;D xsi:type="xsd:double"&gt;-2.7852654&lt;/D&gt;&lt;D xsi:type="xsd:double"&gt;0.3974557&lt;/D&gt;&lt;D xsi:type="xsd:double"&gt;0.5129695&lt;/D&gt;&lt;D xsi:type="xsd:double"&gt;1.2009263&lt;/D&gt;&lt;D xsi:type="xsd:double"&gt;-1.0720849&lt;/D&gt;&lt;D xsi:type="xsd:double"&gt;-0.6793082&lt;/D&gt;&lt;D xsi:type="xsd:double"&gt;1.2494683&lt;/D&gt;&lt;D xsi:type="xsd:double"&gt;2.119279&lt;/D&gt;&lt;D xsi:type="xsd:double"&gt;0.73446035&lt;/D&gt;&lt;D xsi:type="xsd:double"&gt;-0.4654348&lt;/D&gt;&lt;D xsi:type="xsd:double"&gt;0.98929405&lt;/D&gt;&lt;D xsi:type="xsd:double"&gt;-6.0527563&lt;/D&gt;&lt;/FQL&gt;&lt;FQL&gt;&lt;Q&gt;MSFT-US^JULIAN(FG_PRICE(45961,45961-1AY,,USD).DATES)&lt;/Q&gt;&lt;R&gt;251&lt;/R&gt;&lt;C&gt;1&lt;/C&gt;&lt;D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xsi:type="xsd:long"&gt;45596&lt;/D&gt;&lt;/FQL&gt;&lt;FQL&gt;&lt;Q&gt;^PSETCAL("NAY",,"NAME")&lt;/Q&gt;&lt;R&gt;1&lt;/R&gt;&lt;C&gt;1&lt;/C&gt;&lt;D xsi:type="xsd:string"&gt;calendar: United States&lt;/D&gt;&lt;/FQL&gt;&lt;FQL&gt;&lt;Q&gt;^FG_COMPANY_NAME&lt;/Q&gt;&lt;R&gt;0&lt;/R&gt;&lt;C&gt;0&lt;/C&gt;&lt;/FQL&gt;&lt;FQL&gt;&lt;Q&gt;^PROPER_NAME&lt;/Q&gt;&lt;R&gt;0&lt;/R&gt;&lt;C&gt;0&lt;/C&gt;&lt;/FQL&gt;&lt;FQL&gt;&lt;Q&gt;700-HK^PROPER_NAME&lt;/Q&gt;&lt;R&gt;1&lt;/R&gt;&lt;C&gt;1&lt;/C&gt;&lt;D xsi:type="xsd:string"&gt;Tencent Holdings Ltd&lt;/D&gt;&lt;/FQL&gt;&lt;FQL&gt;&lt;Q&gt;7309-JP^PROPER_NAME&lt;/Q&gt;&lt;R&gt;1&lt;/R&gt;&lt;C&gt;1&lt;/C&gt;&lt;D xsi:type="xsd:string"&gt;Shimano Inc.&lt;/D&gt;&lt;/FQL&gt;&lt;FQL&gt;&lt;Q&gt;CNR-CA^PROPER_NAME&lt;/Q&gt;&lt;R&gt;1&lt;/R&gt;&lt;C&gt;1&lt;/C&gt;&lt;D xsi:type="xsd:string"&gt;Canadian National Railway Company&lt;/D&gt;&lt;/FQL&gt;&lt;FQL&gt;&lt;Q&gt;SAP-DE^PROPER_NAME&lt;/Q&gt;&lt;R&gt;1&lt;/R&gt;&lt;C&gt;1&lt;/C&gt;&lt;D xsi:type="xsd:string"&gt;SAP SE&lt;/D&gt;&lt;/FQL&gt;&lt;FQL&gt;&lt;Q&gt;WCN-CA^PROPER_NAME&lt;/Q&gt;&lt;R&gt;1&lt;/R&gt;&lt;C&gt;1&lt;/C&gt;&lt;D xsi:type="xsd:string"&gt;Waste Connections, Inc.&lt;/D&gt;&lt;/FQL&gt;&lt;FQL&gt;&lt;Q&gt;2020-HK^PROPER_NAME&lt;/Q&gt;&lt;R&gt;1&lt;/R&gt;&lt;C&gt;1&lt;/C&gt;&lt;D xsi:type="xsd:string"&gt;ANTA Sports Products Ltd.&lt;/D&gt;&lt;/FQL&gt;&lt;FQL&gt;&lt;Q&gt;6861-JP^PROPER_NAME&lt;/Q&gt;&lt;R&gt;1&lt;/R&gt;&lt;C&gt;1&lt;/C&gt;&lt;D xsi:type="xsd:string"&gt;Keyence Corporation&lt;/D&gt;&lt;/FQL&gt;&lt;FQL&gt;&lt;Q&gt;ROG-CH^PROPER_NAME&lt;/Q&gt;&lt;R&gt;1&lt;/R&gt;&lt;C&gt;1&lt;/C&gt;&lt;D xsi:type="xsd:string"&gt;Roche Holding Ltd Dividend Right Cert.&lt;/D&gt;&lt;/FQL&gt;&lt;FQL&gt;&lt;Q&gt;AZN-GB^PROPER_NAME&lt;/Q&gt;&lt;R&gt;1&lt;/R&gt;&lt;C&gt;1&lt;/C&gt;&lt;D xsi:type="xsd:string"&gt;AstraZeneca PLC&lt;/D&gt;&lt;/FQL&gt;&lt;FQL&gt;&lt;Q&gt;B3SA3-BR^PROPER_NAME&lt;/Q&gt;&lt;R&gt;1&lt;/R&gt;&lt;C&gt;1&lt;/C&gt;&lt;D xsi:type="xsd:string"&gt;B3 SA - Brasil, Bolsa, Balcao&lt;/D&gt;&lt;/FQL&gt;&lt;FQL&gt;&lt;Q&gt;EVD-DE^PROPER_NAME&lt;/Q&gt;&lt;R&gt;1&lt;/R&gt;&lt;C&gt;1&lt;/C&gt;&lt;D xsi:type="xsd:string"&gt;CTS Eventim AG &amp;amp; Co. KGaA&lt;/D&gt;&lt;/FQL&gt;&lt;FQL&gt;&lt;Q&gt;CPG-GB^PROPER_NAME&lt;/Q&gt;&lt;R&gt;1&lt;/R&gt;&lt;C&gt;1&lt;/C&gt;&lt;D xsi:type="xsd:string"&gt;Compass Group PLC&lt;/D&gt;&lt;/FQL&gt;&lt;FQL&gt;&lt;Q&gt;DGE-GB^PROPER_NAME&lt;/Q&gt;&lt;R&gt;1&lt;/R&gt;&lt;C&gt;1&lt;/C&gt;&lt;D xsi:type="xsd:string"&gt;Diageo plc&lt;/D&gt;&lt;/FQL&gt;&lt;FQL&gt;&lt;Q&gt;ATCO.B-SE^PROPER_NAME&lt;/Q&gt;&lt;R&gt;1&lt;/R&gt;&lt;C&gt;1&lt;/C&gt;&lt;D xsi:type="xsd:string"&gt;Atlas Copco AB Class B&lt;/D&gt;&lt;/FQL&gt;&lt;FQL&gt;&lt;Q&gt;AMS-ES^PROPER_NAME&lt;/Q&gt;&lt;R&gt;1&lt;/R&gt;&lt;C&gt;1&lt;/C&gt;&lt;D xsi:type="xsd:string"&gt;Amadeus IT Group SA Class A&lt;/D&gt;&lt;/FQL&gt;&lt;FQL&gt;&lt;Q&gt;BBRI-ID^PROPER_NAME&lt;/Q&gt;&lt;R&gt;1&lt;/R&gt;&lt;C&gt;1&lt;/C&gt;&lt;D xsi:type="xsd:string"&gt;PT Bank Rakyat Indonesia (Persero) Tbk Class B&lt;/D&gt;&lt;/FQL&gt;&lt;FQL&gt;&lt;Q&gt;NXPI-US^PROPER_NAME&lt;/Q&gt;&lt;R&gt;1&lt;/R&gt;&lt;C&gt;1&lt;/C&gt;&lt;D xsi:type="xsd:string"&gt;NXP Semiconductors NV&lt;/D&gt;&lt;/FQL&gt;&lt;FQL&gt;&lt;Q&gt;KNEBV-FI^PROPER_NAME&lt;/Q&gt;&lt;R&gt;1&lt;/R&gt;&lt;C&gt;1&lt;/C&gt;&lt;D xsi:type="xsd:string"&gt;KONE Oyj Class B&lt;/D&gt;&lt;/FQL&gt;&lt;FQL&gt;&lt;Q&gt;BKNG-US^PROPER_NAME&lt;/Q&gt;&lt;R&gt;1&lt;/R&gt;&lt;C&gt;1&lt;/C&gt;&lt;D xsi:type="xsd:string"&gt;Booking Holdings Inc.&lt;/D&gt;&lt;/FQL&gt;&lt;FQL&gt;&lt;Q&gt;WKL-NL^PROPER_NAME&lt;/Q&gt;&lt;R&gt;1&lt;/R&gt;&lt;C&gt;1&lt;/C&gt;&lt;D xsi:type="xsd:string"&gt;Wolters Kluwer N.V.&lt;/D&gt;&lt;/FQL&gt;&lt;FQL&gt;&lt;Q&gt;RTO-GB^PROPER_NAME&lt;/Q&gt;&lt;R&gt;1&lt;/R&gt;&lt;C&gt;1&lt;/C&gt;&lt;D xsi:type="xsd:string"&gt;Rentokil Initial plc&lt;/D&gt;&lt;/FQL&gt;&lt;FQL&gt;&lt;Q&gt;CTEC-GB^PROPER_NAME&lt;/Q&gt;&lt;R&gt;1&lt;/R&gt;&lt;C&gt;1&lt;/C&gt;&lt;D xsi:type="xsd:string"&gt;ConvaTec Group Plc&lt;/D&gt;&lt;/FQL&gt;&lt;FQL&gt;&lt;Q&gt;SAF-FR^PROPER_NAME&lt;/Q&gt;&lt;R&gt;1&lt;/R&gt;&lt;C&gt;1&lt;/C&gt;&lt;D xsi:type="xsd:string"&gt;Safran SA&lt;/D&gt;&lt;/FQL&gt;&lt;FQL&gt;&lt;Q&gt;CFR-CH^PROPER_NAME&lt;/Q&gt;&lt;R&gt;1&lt;/R&gt;&lt;C&gt;1&lt;/C&gt;&lt;D xsi:type="xsd:string"&gt;Compagnie Financiere Richemont SA&lt;/D&gt;&lt;/FQL&gt;&lt;FQL&gt;&lt;Q&gt;HDB-US^PROPER_NAME&lt;/Q&gt;&lt;R&gt;1&lt;/R&gt;&lt;C&gt;1&lt;/C&gt;&lt;D xsi:type="xsd:string"&gt;HDFC Bank Limited Sponsored ADR&lt;/D&gt;&lt;/FQL&gt;&lt;FQL&gt;&lt;Q&gt;DB1-DE^PROPER_NAME&lt;/Q&gt;&lt;R&gt;1&lt;/R&gt;&lt;C&gt;1&lt;/C&gt;&lt;D xsi:type="xsd:string"&gt;Deutsche Boerse AG&lt;/D&gt;&lt;/FQL&gt;&lt;FQL&gt;&lt;Q&gt;AIR-FR^PROPER_NAME&lt;/Q&gt;&lt;R&gt;1&lt;/R&gt;&lt;C&gt;1&lt;/C&gt;&lt;D xsi:type="xsd:string"&gt;Airbus SE&lt;/D&gt;&lt;/FQL&gt;&lt;FQL&gt;&lt;Q&gt;EXPN-GB^PROPER_NAME&lt;/Q&gt;&lt;R&gt;1&lt;/R&gt;&lt;C&gt;1&lt;/C&gt;&lt;D xsi:type="xsd:string"&gt;Experian PLC&lt;/D&gt;&lt;/FQL&gt;&lt;FQL&gt;&lt;Q&gt;1299-HK^PROPER_NAME&lt;/Q&gt;&lt;R&gt;1&lt;/R&gt;&lt;C&gt;1&lt;/C&gt;&lt;D xsi:type="xsd:string"&gt;AIA Group Limited&lt;/D&gt;&lt;/FQL&gt;&lt;FQL&gt;&lt;Q&gt;ASML-NL^PROPER_NAME&lt;/Q&gt;&lt;R&gt;1&lt;/R&gt;&lt;C&gt;1&lt;/C&gt;&lt;D xsi:type="xsd:string"&gt;ASML Holding NV&lt;/D&gt;&lt;/FQL&gt;&lt;FQL&gt;&lt;Q&gt;MC-FR^PROPER_NAME&lt;/Q&gt;&lt;R&gt;1&lt;/R&gt;&lt;C&gt;1&lt;/C&gt;&lt;D xsi:type="xsd:string"&gt;LVMH Moet Hennessy Louis Vuitton SE&lt;/D&gt;&lt;/FQL&gt;&lt;FQL&gt;&lt;Q&gt;LSEG-GB^PROPER_NAME&lt;/Q&gt;&lt;R&gt;1&lt;/R&gt;&lt;C&gt;1&lt;/C&gt;&lt;D xsi:type="xsd:string"&gt;London Stock Exchange Group plc&lt;/D&gt;&lt;/FQL&gt;&lt;FQL&gt;&lt;Q&gt;HWDN-GB^PROPER_NAME&lt;/Q&gt;&lt;R&gt;1&lt;/R&gt;&lt;C&gt;1&lt;/C&gt;&lt;D xsi:type="xsd:string"&gt;Howden Joinery Group PLC&lt;/D&gt;&lt;/FQL&gt;&lt;FQL&gt;&lt;Q&gt;TSM-US^PROPER_NAME&lt;/Q&gt;&lt;R&gt;1&lt;/R&gt;&lt;C&gt;1&lt;/C&gt;&lt;D xsi:type="xsd:string"&gt;Taiwan Semiconductor Manufacturing Co., Ltd. Sponsored ADR&lt;/D&gt;&lt;/FQL&gt;&lt;FQL&gt;&lt;Q&gt;DUMMY^CORREL_MATRIX(CORRELMATRIX)&lt;/Q&gt;&lt;R&gt;35&lt;/R&gt;&lt;C&gt;35&lt;/C&gt;&lt;D xsi:type="xsd:double"&gt;1&lt;/D&gt;&lt;D xsi:type="xsd:double"&gt;0.2016102&lt;/D&gt;&lt;D xsi:type="xsd:double"&gt;0.03502613&lt;/D&gt;&lt;D xsi:type="xsd:double"&gt;0.15074104&lt;/D&gt;&lt;D xsi:type="xsd:double"&gt;0.43766844&lt;/D&gt;&lt;D xsi:type="xsd:double"&gt;0.02677071&lt;/D&gt;&lt;D xsi:type="xsd:double"&gt;0.22119902&lt;/D&gt;&lt;D xsi:type="xsd:double"&gt;0.1352449&lt;/D&gt;&lt;D xsi:type="xsd:double"&gt;-0.06363522&lt;/D&gt;&lt;D xsi:type="xsd:double"&gt;0.17074868&lt;/D&gt;&lt;D xsi:type="xsd:double"&gt;0.2152212&lt;/D&gt;&lt;D xsi:type="xsd:double"&gt;0.15628964&lt;/D&gt;&lt;D xsi:type="xsd:double"&gt;-0.03547859&lt;/D&gt;&lt;D xsi:type="xsd:double"&gt;0.070999414&lt;/D&gt;&lt;D xsi:type="xsd:double"&gt;0.09910482&lt;/D&gt;&lt;D xsi:type="xsd:double"&gt;0.36439994&lt;/D&gt;&lt;D xsi:type="xsd:double"&gt;0.11078909&lt;/D&gt;&lt;D xsi:type="xsd:double"&gt;0.5337269&lt;/D&gt;&lt;D xsi:type="xsd:double"&gt;0.03315946&lt;/D&gt;&lt;D xsi:type="xsd:double"&gt;0.15411235&lt;/D&gt;&lt;D xsi:type="</t>
        </r>
      </text>
    </comment>
    <comment ref="A2" authorId="0" shapeId="0" xr:uid="{0557B807-29BE-447A-849F-D01DE63C83D2}">
      <text>
        <r>
          <rPr>
            <b/>
            <sz val="9"/>
            <color indexed="81"/>
            <rFont val="Tahoma"/>
            <charset val="1"/>
          </rPr>
          <t>xsd:double"&gt;0.28482166&lt;/D&gt;&lt;D xsi:type="xsd:double"&gt;-0.017763719&lt;/D&gt;&lt;D xsi:type="xsd:double"&gt;-0.050786275&lt;/D&gt;&lt;D xsi:type="xsd:double"&gt;0.05225004&lt;/D&gt;&lt;D xsi:type="xsd:double"&gt;0.20174116&lt;/D&gt;&lt;D xsi:type="xsd:double"&gt;-0.028641848&lt;/D&gt;&lt;D xsi:type="xsd:double"&gt;0.04171445&lt;/D&gt;&lt;D xsi:type="xsd:double"&gt;0.010977529&lt;/D&gt;&lt;D xsi:type="xsd:double"&gt;0.062595956&lt;/D&gt;&lt;D xsi:type="xsd:double"&gt;0.059947733&lt;/D&gt;&lt;D xsi:type="xsd:double"&gt;-0.057924442&lt;/D&gt;&lt;D xsi:type="xsd:double"&gt;0.21595953&lt;/D&gt;&lt;D xsi:type="xsd:double"&gt;0.27851138&lt;/D&gt;&lt;D xsi:type="xsd:double"&gt;-0.081626385&lt;/D&gt;&lt;D xsi:type="xsd:double"&gt;0.119410895&lt;/D&gt;&lt;D xsi:type="xsd:double"&gt;0.2016102&lt;/D&gt;&lt;D xsi:type="xsd:double"&gt;1&lt;/D&gt;&lt;D xsi:type="xsd:double"&gt;0.17540178&lt;/D&gt;&lt;D xsi:type="xsd:double"&gt;0.22356512&lt;/D&gt;&lt;D xsi:type="xsd:double"&gt;0.3068318&lt;/D&gt;&lt;D xsi:type="xsd:double"&gt;0.14614476&lt;/D&gt;&lt;D xsi:type="xsd:double"&gt;0.4966576&lt;/D&gt;&lt;D xsi:type="xsd:double"&gt;0.3262835&lt;/D&gt;&lt;D xsi:type="xsd:double"&gt;0.28594866&lt;/D&gt;&lt;D xsi:type="xsd:double"&gt;0.14904237&lt;/D&gt;&lt;D xsi:type="xsd:double"&gt;0.23510537&lt;/D&gt;&lt;D xsi:type="xsd:double"&gt;0.29358742&lt;/D&gt;&lt;D xsi:type="xsd:double"&gt;0.32923725&lt;/D&gt;&lt;D xsi:type="xsd:double"&gt;0.37215298&lt;/D&gt;&lt;D xsi:type="xsd:double"&gt;0.28943178&lt;/D&gt;&lt;D xsi:type="xsd:double"&gt;-0.0002352991&lt;/D&gt;&lt;D xsi:type="xsd:double"&gt;0.40172526&lt;/D&gt;&lt;D xsi:type="xsd:double"&gt;0.13039854&lt;/D&gt;&lt;D xsi:type="xsd:double"&gt;0.17884493&lt;/D&gt;&lt;D xsi:type="xsd:double"&gt;0.4095792&lt;/D&gt;&lt;D xsi:type="xsd:double"&gt;0.42082858&lt;/D&gt;&lt;D xsi:type="xsd:double"&gt;0.36450264&lt;/D&gt;&lt;D xsi:type="xsd:double"&gt;0.31964535&lt;/D&gt;&lt;D xsi:type="xsd:double"&gt;0.18230127&lt;/D&gt;&lt;D xsi:type="xsd:double"&gt;0.23213917&lt;/D&gt;&lt;D xsi:type="xsd:double"&gt;0.28594145&lt;/D&gt;&lt;D xsi:type="xsd:double"&gt;0.3273719&lt;/D&gt;&lt;D xsi:type="xsd:double"&gt;0.24332625&lt;/D&gt;&lt;D xsi:type="xsd:double"&gt;0.12904733&lt;/D&gt;&lt;D xsi:type="xsd:double"&gt;0.33050662&lt;/D&gt;&lt;D xsi:type="xsd:double"&gt;0.22935522&lt;/D&gt;&lt;D xsi:type="xsd:double"&gt;0.3507537&lt;/D&gt;&lt;D xsi:type="xsd:double"&gt;0.18346831&lt;/D&gt;&lt;D xsi:type="xsd:double"&gt;0.14472236&lt;/D&gt;&lt;D xsi:type="xsd:double"&gt;0.19459611&lt;/D&gt;&lt;D xsi:type="xsd:double"&gt;0.03502613&lt;/D&gt;&lt;D xsi:type="xsd:double"&gt;0.17540178&lt;/D&gt;&lt;D xsi:type="xsd:double"&gt;1&lt;/D&gt;&lt;D xsi:type="xsd:double"&gt;0.16511649&lt;/D&gt;&lt;D xsi:type="xsd:double"&gt;0.21917817&lt;/D&gt;&lt;D xsi:type="xsd:double"&gt;0.1847714&lt;/D&gt;&lt;D xsi:type="xsd:double"&gt;0.48770332&lt;/D&gt;&lt;D xsi:type="xsd:double"&gt;0.32175112&lt;/D&gt;&lt;D xsi:type="xsd:double"&gt;0.5397166&lt;/D&gt;&lt;D xsi:type="xsd:double"&gt;0.18840212&lt;/D&gt;&lt;D xsi:type="xsd:double"&gt;0.30338976&lt;/D&gt;&lt;D xsi:type="xsd:double"&gt;0.35225013&lt;/D&gt;&lt;D xsi:type="xsd:double"&gt;0.1402999&lt;/D&gt;&lt;D xsi:type="xsd:double"&gt;0.29590514&lt;/D&gt;&lt;D xsi:type="xsd:double"&gt;0.3531681&lt;/D&gt;&lt;D xsi:type="xsd:double"&gt;0.046612892&lt;/D&gt;&lt;D xsi:type="xsd:double"&gt;0.32373336&lt;/D&gt;&lt;D xsi:type="xsd:double"&gt;-0.07841211&lt;/D&gt;&lt;D xsi:type="xsd:double"&gt;0.0013674931&lt;/D&gt;&lt;D xsi:type="xsd:double"&gt;0.4160566&lt;/D&gt;&lt;D xsi:type="xsd:double"&gt;0.32340598&lt;/D&gt;&lt;D xsi:type="xsd:double"&gt;0.2350764&lt;/D&gt;&lt;D xsi:type="xsd:double"&gt;0.45000884&lt;/D&gt;&lt;D xsi:type="xsd:double"&gt;0.23146549&lt;/D&gt;&lt;D xsi:type="xsd:double"&gt;0.07475526&lt;/D&gt;&lt;D xsi:type="xsd:double"&gt;0.31012017&lt;/D&gt;&lt;D xsi:type="xsd:double"&gt;0.30358872&lt;/D&gt;&lt;D xsi:type="xsd:double"&gt;0.24537939&lt;/D&gt;&lt;D xsi:type="xsd:double"&gt;0.18998167&lt;/D&gt;&lt;D xsi:type="xsd:double"&gt;0.271194&lt;/D&gt;&lt;D xsi:type="xsd:double"&gt;0.20074509&lt;/D&gt;&lt;D xsi:type="xsd:double"&gt;0.32113594&lt;/D&gt;&lt;D xsi:type="xsd:double"&gt;0.08721494&lt;/D&gt;&lt;D xsi:type="xsd:double"&gt;0.08399707&lt;/D&gt;&lt;D xsi:type="xsd:double"&gt;0.13332832&lt;/D&gt;&lt;D xsi:type="xsd:double"&gt;0.15074104&lt;/D&gt;&lt;D xsi:type="xsd:double"&gt;0.22356512&lt;/D&gt;&lt;D xsi:type="xsd:double"&gt;0.16511649&lt;/D&gt;&lt;D xsi:type="xsd:double"&gt;1&lt;/D&gt;&lt;D xsi:type="xsd:double"&gt;0.35010865&lt;/D&gt;&lt;D xsi:type="xsd:double"&gt;0.2017084&lt;/D&gt;&lt;D xsi:type="xsd:double"&gt;0.33661872&lt;/D&gt;&lt;D xsi:type="xsd:double"&gt;0.3264516&lt;/D&gt;&lt;D xsi:type="xsd:double"&gt;0.15628089&lt;/D&gt;&lt;D xsi:type="xsd:double"&gt;0.06863676&lt;/D&gt;&lt;D xsi:type="xsd:double"&gt;0.7084689&lt;/D&gt;&lt;D xsi:type="xsd:double"&gt;0.27011287&lt;/D&gt;&lt;D xsi:type="xsd:double"&gt;0.07849169&lt;/D&gt;&lt;D xsi:type="xsd:double"&gt;0.29810172&lt;/D&gt;&lt;D xsi:type="xsd:double"&gt;0.10003306&lt;/D&gt;&lt;D xsi:type="xsd:double"&gt;-0.09764503&lt;/D&gt;&lt;D xsi:type="xsd:double"&gt;0.30676824&lt;/D&gt;&lt;D xsi:type="xsd:double"&gt;0.13514708&lt;/D&gt;&lt;D xsi:type="xsd:double"&gt;-0.009747014&lt;/D&gt;&lt;D xsi:type="xsd:double"&gt;0.3432031&lt;/D&gt;&lt;D xsi:type="xsd:double"&gt;0.4921413&lt;/D&gt;&lt;D xsi:type="xsd:double"&gt;0.40561318&lt;/D&gt;&lt;D xsi:type="xsd:double"&gt;0.16791087&lt;/D&gt;&lt;D xsi:type="xsd:double"&gt;0.14470027&lt;/D&gt;&lt;D xsi:type="xsd:double"&gt;0.10905091&lt;/D&gt;&lt;D xsi:type="xsd:double"&gt;0.25670838&lt;/D&gt;&lt;D xsi:type="xsd:double"&gt;0.28028268&lt;/D&gt;&lt;D xsi:type="xsd:double"&gt;0.19160673&lt;/D&gt;&lt;D xsi:type="xsd:double"&gt;0.20442711&lt;/D&gt;&lt;D xsi:type="xsd:double"&gt;0.20559439&lt;/D&gt;&lt;D xsi:type="xsd:double"&gt;-0.15405548&lt;/D&gt;&lt;D xsi:type="xsd:double"&gt;0.30684644&lt;/D&gt;&lt;D xsi:type="xsd:double"&gt;0.2211346&lt;/D&gt;&lt;D xsi:type="xsd:double"&gt;0.13994803&lt;/D&gt;&lt;D xsi:type="xsd:double"&gt;0.20510608&lt;/D&gt;&lt;D xsi:type="xsd:double"&gt;0.43766844&lt;/D&gt;&lt;D xsi:type="xsd:double"&gt;0.3068318&lt;/D&gt;&lt;D xsi:type="xsd:double"&gt;0.21917817&lt;/D&gt;&lt;D xsi:type="xsd:double"&gt;0.35010865&lt;/D&gt;&lt;D xsi:type="xsd:double"&gt;1&lt;/D&gt;&lt;D xsi:type="xsd:double"&gt;0.22254519&lt;/D&gt;&lt;D xsi:type="xsd:double"&gt;0.37418604&lt;/D&gt;&lt;D xsi:type="xsd:double"&gt;0.4191544&lt;/D&gt;&lt;D xsi:type="xsd:double"&gt;0.1726909&lt;/D&gt;&lt;D xsi:type="xsd:double"&gt;0.019289445&lt;/D&gt;&lt;D xsi:type="xsd:double"&gt;0.41489258&lt;/D&gt;&lt;D xsi:type="xsd:double"&gt;0.4057334&lt;/D&gt;&lt;D xsi:type="xsd:double"&gt;0.1644987&lt;/D&gt;&lt;D xsi:type="xsd:double"&gt;0.21461849&lt;/D&gt;&lt;D xsi:type="xsd:double"&gt;0.30673862&lt;/D&gt;&lt;D xsi:type="xsd:double"&gt;0.074357785&lt;/D&gt;&lt;D xsi:type="xsd:double"&gt;0.2421671&lt;/D&gt;&lt;D xsi:type="xsd:double"&gt;0.2448608&lt;/D&gt;&lt;D xsi:type="xsd:double"&gt;0.057967663&lt;/D&gt;&lt;D xsi:type="xsd:double"&gt;0.3590363&lt;/D&gt;&lt;D xsi:type="xsd:double"&gt;0.55938077&lt;/D&gt;&lt;D xsi:type="xsd:double"&gt;0.15731986&lt;/D&gt;&lt;D xsi:type="xsd:double"&gt;0.09743263&lt;/D&gt;&lt;D xsi:type="xsd:double"&gt;0.23764521&lt;/D&gt;&lt;D xsi:type="xsd:double"&gt;0.1638235&lt;/D&gt;&lt;D xsi:type="xsd:double"&gt;0.2123797&lt;/D&gt;&lt;D xsi:type="xsd:double"&gt;0.24290255&lt;/D&gt;&lt;D xsi:type="xsd:double"&gt;0.18717746&lt;/D&gt;&lt;D xsi:type="xsd:double"&gt;0.1559833&lt;/D&gt;&lt;D xsi:type="xsd:double"&gt;0.18944849&lt;/D&gt;&lt;D xsi:type="xsd:double"&gt;-0.06535529&lt;/D&gt;&lt;D xsi:type="xsd:double"&gt;0.4734297&lt;/D&gt;&lt;D xsi:type="xsd:double"&gt;0.17918077&lt;/D&gt;&lt;D xsi:type="xsd:double"&gt;0.04571599&lt;/D&gt;&lt;D xsi:type="xsd:double"&gt;0.1861758&lt;/D&gt;&lt;D xsi:type="xsd:double"&gt;0.02677071&lt;/D&gt;&lt;D xsi:type="xsd:double"&gt;0.14614476&lt;/D&gt;&lt;D xsi:type="xsd:double"&gt;0.1847714&lt;/D&gt;&lt;D xsi:type="xsd:double"&gt;0.2017084&lt;/D&gt;&lt;D xsi:type="xsd:double"&gt;0.22254519&lt;/D&gt;&lt;D xsi:type="xsd:double"&gt;1&lt;/D&gt;&lt;D xsi:type="xsd:double"&gt;0.2372412&lt;/D&gt;&lt;D xsi:type="xsd:double"&gt;0.21738803&lt;/D&gt;&lt;D xsi:type="xsd:double"&gt;0.17614497&lt;/D&gt;&lt;D xsi:type="xsd:double"&gt;0.014028702&lt;/D&gt;&lt;D xsi:type="xsd:double"&gt;0.18631756&lt;/D&gt;&lt;D xsi:type="xsd:double"&gt;0.25867388&lt;/D&gt;&lt;D xsi:type="xsd:double"&gt;0.17275564&lt;/D&gt;&lt;D xsi:type="xsd:double"&gt;0.15560365&lt;/D&gt;&lt;D xsi:type="xsd:double"&gt;0.05343457&lt;/D&gt;&lt;D xsi:type="xsd:double"&gt;-0.08871264&lt;/D&gt;&lt;D xsi:type="xsd:double"&gt;0.23671082&lt;/D&gt;&lt;D xsi:type="xsd:double"&gt;-0.037576653&lt;/D&gt;&lt;D xsi:type="xsd:double"&gt;0.16169031&lt;/D&gt;&lt;D xsi:type="xsd:double"&gt;0.21681729&lt;/D&gt;&lt;D xsi:type="xsd:double"&gt;0.22150849&lt;/D&gt;&lt;D xsi:type="xsd:double"&gt;0.22813876&lt;/D&gt;&lt;D xsi:type="xsd:double"&gt;0.16036934&lt;/D&gt;&lt;D xsi:type="xsd:double"&gt;0.09824306&lt;/D&gt;&lt;D xsi:type="xsd:double"&gt;-0.018170385&lt;/D&gt;&lt;D xsi:type="xsd:double"&gt;0.24254613&lt;/D&gt;&lt;D xsi:type="xsd:double"&gt;0.17184229&lt;/D&gt;&lt;D xsi:type="xsd:double"&gt;0.19413637&lt;/D&gt;&lt;D xsi:type="xsd:double"&gt;0.40221405&lt;/D&gt;&lt;D xsi:type="xsd:double"&gt;0.14313129&lt;/D&gt;&lt;D xsi:type="xsd:double"&gt;-0.07953433&lt;/D&gt;&lt;D xsi:type="xsd:double"&gt;0.17199817&lt;/D&gt;&lt;D xsi:type="xsd:double"&gt;0.060206905&lt;/D&gt;&lt;D xsi:type="xsd:double"&gt;0.18960677&lt;/D&gt;&lt;D xsi:type="xsd:double"&gt;0.5607699&lt;/D&gt;&lt;D xsi:type="xsd:double"&gt;0.22119902&lt;/D&gt;&lt;D xsi:type="xsd:double"&gt;0.4966576&lt;/D&gt;&lt;D xsi:type="xsd:double"&gt;0.48770332&lt;/D&gt;&lt;D xsi:type="xsd:double"&gt;0.33661872&lt;/D&gt;&lt;D xsi:type="xsd:double"&gt;0.37418604&lt;/D&gt;&lt;D xsi:type="xsd:double"&gt;0.2372412&lt;/D&gt;&lt;D xsi:type="xsd:double"&gt;1&lt;/D&gt;&lt;D xsi:type="xsd:double"&gt;0.43797892&lt;/D&gt;&lt;D xsi:type="xsd:double"&gt;0.46837106&lt;/D&gt;&lt;D xsi:type="xsd:double"&gt;0.17198086&lt;/D&gt;&lt;D xsi:type="xsd:double"&gt;0.44526672&lt;/D&gt;&lt;D xsi:type="xsd:double"&gt;0.52336264&lt;/D&gt;&lt;D xsi:type="xsd:double"&gt;0.26455608&lt;/D&gt;&lt;D xsi:type="xsd:double"&gt;0.47416544&lt;/D&gt;&lt;D xsi:type="xsd:double"&gt;0.4877044&lt;/D&gt;&lt;D xsi:type="xsd:double"&gt;0.038410388&lt;/D&gt;&lt;D xsi:type="xsd:double"&gt;0.48443192&lt;/D&gt;&lt;D xsi:type="xsd:double"&gt;0.0622112&lt;/D&gt;&lt;D xsi:type="xsd:double"&gt;0.08743413&lt;/D&gt;&lt;D xsi:type="xsd:double"&gt;0.5557195&lt;/D&gt;&lt;D xsi:type="xsd:double"&gt;0.5400493&lt;/D&gt;&lt;D xsi:type="xsd:double"&gt;0.30304652&lt;/D&gt;&lt;D xsi:type="xsd:double"&gt;0.4977292&lt;/D&gt;&lt;D xsi:type="xsd:double"&gt;0.26397583&lt;/D&gt;&lt;D xsi:type="xsd:double"&gt;0.18386829&lt;/D&gt;&lt;D xsi:type="xsd:double"&gt;0.37367913&lt;/D&gt;&lt;D xsi:type="xsd:double"&gt;0.42642438&lt;/D&gt;&lt;D xsi:type="xsd:double"&gt;0.3432299&lt;/D&gt;&lt;D xsi:type="xsd:double"&gt;0.20998578&lt;/D&gt;&lt;D xsi:type="xsd:double"&gt;0.32206205&lt;/D&gt;&lt;D xsi:type="xsd:double"&gt;0.22432533&lt;/D&gt;&lt;D xsi:type="xsd:double"&gt;0.4890849&lt;/D&gt;&lt;D xsi:type="xsd:double"&gt;0.103094235&lt;/D&gt;&lt;D xsi:type="xsd:double"&gt;0.15262116&lt;/D&gt;&lt;D xsi:type="xsd:double"&gt;0.22183733&lt;/D&gt;&lt;D xsi:type="xsd:double"&gt;0.1352449&lt;/D&gt;&lt;D xsi:type="xsd:double"&gt;0.3262835&lt;/D&gt;&lt;D xsi:type="xsd:double"&gt;0.32175112&lt;/D&gt;&lt;D xsi:type="xsd:double"&gt;0.3264516&lt;/D&gt;&lt;D xsi:type="xsd:double"&gt;0.4191544&lt;/D&gt;&lt;D xsi:type="xsd:double"&gt;0.21738803&lt;/D&gt;&lt;D xsi:type="xsd:double"&gt;0.43797892&lt;/D&gt;&lt;D xsi:type="xsd:double"&gt;1&lt;/D&gt;&lt;D xsi:type="xsd:double"&gt;0.4713695&lt;/D&gt;&lt;D xsi:type="xsd:double"&gt;0.021283152&lt;/D&gt;&lt;D xsi:type="xsd:double"&gt;0.40255374&lt;/D&gt;&lt;D xsi:type="xsd:double"&gt;0.73515487&lt;/D&gt;&lt;D xsi:type="xsd:double"&gt;0.17357951&lt;/D&gt;&lt;D xsi:type="xsd:double"&gt;0.32561794&lt;/D&gt;&lt;D xsi:type="xsd:double"&gt;0.25978714&lt;/D&gt;&lt;D xsi:type="xsd:double"&gt;0.13363004&lt;/D&gt;&lt;D xsi:type="xsd:double"&gt;0.42794052&lt;/D&gt;&lt;D xsi:type="xsd:double"&gt;0.10217859&lt;/D&gt;&lt;D xsi:type="xsd:double"&gt;0.17914937&lt;/D&gt;&lt;D xsi:type="xsd:double"&gt;0.4835819&lt;/D&gt;&lt;D xsi:type="xsd:double"&gt;0.56594205&lt;/D&gt;&lt;D xsi:type="xsd:double"&gt;0.284153&lt;/D&gt;&lt;D xsi:type="xsd:double"&gt;0.31604058&lt;/D&gt;&lt;D xsi:type="xsd:double"&gt;0.30752465&lt;/D&gt;&lt;D xsi:type="xsd:double"&gt;0.13144164&lt;/D&gt;&lt;D xsi:type="xsd:double"&gt;0.3271531&lt;/D&gt;&lt;D xsi:type="xsd:double"&gt;0.38833502&lt;/D&gt;&lt;D xsi:type="xsd:double"&gt;0.2899869&lt;/D&gt;&lt;D xsi:type="xsd:double"&gt;0.23161004&lt;/D&gt;&lt;D xsi:type="xsd:double"&gt;0.22954237&lt;/D&gt;&lt;D xsi:type="xsd:double"&gt;0.059079114&lt;/D&gt;&lt;D xsi:type="xsd:double"&gt;0.5575415&lt;/D&gt;&lt;D xsi:type="xsd:double"&gt;0.14176403&lt;/D&gt;&lt;D xsi:type="xsd:double"&gt;0.17432123&lt;/D&gt;&lt;D xsi:type="xsd:double"&gt;0.27632&lt;/D&gt;&lt;D xsi:type="xsd:double"&gt;-0.06363522&lt;/D&gt;&lt;D xsi:type="xsd:double"&gt;0.28594866&lt;/D&gt;&lt;D xsi:type="xsd:double"&gt;0.5397166&lt;/D&gt;&lt;D xsi:type="xsd:double"&gt;0.15628089&lt;/D&gt;&lt;D xsi:type="xsd:double"&gt;0.1726909&lt;/D&gt;&lt;D xsi:type="xsd:double"&gt;0.17614497&lt;/D&gt;&lt;D xsi:type="xsd:double"&gt;0.46837106&lt;/D&gt;&lt;D xsi:type="xsd:double"&gt;0.4713695&lt;/D&gt;&lt;D xsi:type="xsd:double"&gt;1&lt;/D&gt;&lt;D xsi:type="xsd:double"&gt;0.23106073&lt;/D&gt;&lt;D xsi:type="xsd:double"&gt;0.27487147&lt;/D&gt;&lt;D xsi:type="xsd:double"&gt;0.4830332&lt;/D&gt;&lt;D xsi:type="xsd:double"&gt;0.27653736&lt;/D&gt;&lt;D xsi:type="xsd:double"&gt;0.38787025&lt;/D&gt;&lt;D xsi:type="xsd:double"&gt;0.4090742&lt;/D&gt;&lt;D xsi:type="xsd:double"&gt;0.045077868&lt;/D&gt;&lt;D xsi:type="xsd:double"&gt;0.5505592&lt;/D&gt;&lt;D xsi:type="xsd:double"&gt;-0.10421717&lt;/D&gt;&lt;D xsi:type="xsd:double"&gt;0.028936319&lt;/D&gt;&lt;D xsi:type="xsd:double"&gt;0.548809&lt;/D&gt;&lt;D xsi:type="xsd:double"&gt;0.38510957&lt;/D&gt;&lt;D xsi:type="xsd:double"&gt;0.28112525&lt;/D&gt;&lt;D xsi:type="xsd:double"&gt;0.51898545&lt;/D&gt;&lt;D xsi:type="xsd:double"&gt;0.3867691&lt;/D&gt;&lt;D xsi:type="xsd:double"&gt;0.17852163&lt;/D&gt;&lt;D xsi:type="xsd:double"&gt;0.35865834&lt;/D&gt;&lt;D xsi:type="xsd:double"&gt;0.4215214&lt;/D&gt;&lt;D xsi:type="xsd:double"&gt;0.28108692&lt;/D&gt;&lt;D xsi:type="xsd:double"&gt;0.22214368&lt;/D&gt;&lt;D xsi:type="xsd:double"&gt;0.3470274&lt;/D&gt;&lt;D xsi:type="xsd:double"&gt;0.3329314&lt;/D&gt;&lt;D xsi:type="xsd:double"&gt;0.40942347&lt;/D&gt;&lt;D xsi:type="xsd:double"&gt;-0.006852788&lt;/D&gt;&lt;D xsi:type="xsd:double"&gt;0.13194348&lt;/D&gt;&lt;D xsi:type="xsd:double"&gt;0.18057477&lt;/D&gt;&lt;D xsi:type="xsd:double"&gt;0.17074868&lt;/D&gt;&lt;D xsi:type="xsd:double"&gt;0.14904237&lt;/D&gt;&lt;D xsi:type="xsd:double"&gt;0.18840212&lt;/D&gt;&lt;D xsi:type="xsd:double"&gt;0.06863676&lt;/D&gt;&lt;D xsi:type="xsd:double"&gt;0.019289445&lt;/D&gt;&lt;D xsi:type="xsd:double"&gt;0.014028702&lt;/D&gt;&lt;D xsi:type="xsd:double"&gt;0.17198086&lt;/D&gt;&lt;D xsi:type="xsd:double"&gt;0.021283152&lt;/D&gt;&lt;D xsi:type="xsd:double"&gt;0.23106073&lt;/D&gt;&lt;D xsi:type="xsd:double"&gt;1&lt;/D&gt;&lt;D xsi:type="xsd:double"&gt;0.08332677&lt;/D&gt;&lt;D xsi:type="xsd:double"&gt;0.0567712&lt;/D&gt;&lt;D xsi:type="xsd:double"&gt;0.05807975&lt;/D&gt;&lt;D xsi:type="xsd:double"&gt;0.18360609&lt;/D&gt;&lt;D xsi:type="xsd:double"&gt;0.17455158&lt;/D&gt;&lt;D xsi:type="xsd:double"&gt;0.18917152&lt;/D&gt;&lt;D xsi:type="xsd:double"&gt;0.18431702&lt;/D&gt;&lt;D xsi:type="xsd:double"&gt;0.13505624&lt;/D&gt;&lt;D xsi:type="xsd:double"&gt;-0.013575266&lt;/D&gt;&lt;D xsi:type="xsd:double"&gt;0.22873542&lt;/D&gt;&lt;D xsi:type="xsd:double"&gt;0.11041714&lt;/D&gt;&lt;D xsi:type="xsd:double"&gt;0.013671225&lt;/D&gt;&lt;D xsi:type="xsd:double"&gt;0.23347448&lt;/D&gt;&lt;D xsi:type="xsd:double"&gt;0.06354069&lt;/D&gt;&lt;D xsi:type="xsd:double"&gt;0.08317361&lt;/D&gt;&lt;D xsi:type="xsd:double"&gt;0.019612033&lt;/D&gt;&lt;D xsi:type="xsd:double"&gt;0.12091817&lt;/D&gt;&lt;D xsi:type="xsd:double"&gt;0.08272138&lt;/D&gt;&lt;D xsi:type="xsd:double"&gt;0.11057861&lt;/D&gt;&lt;D xsi:type="xsd:double"&gt;0.08992614&lt;/D&gt;&lt;D xsi:type="xsd:double"&gt;0.17917453&lt;/D&gt;&lt;D xsi:type="xsd:double"&gt;0.028851254&lt;/D&gt;&lt;D xsi:type="xsd:double"&gt;0.24307357&lt;/D&gt;&lt;D xsi:type="xsd:double"&gt;0.06709935&lt;/D&gt;&lt;D xsi:type="xsd:double"&gt;0.03767832&lt;/D&gt;&lt;D xsi:type="xsd:double"&gt;0.2152212&lt;/D&gt;&lt;D xsi:type="xsd:double"&gt;0.23510537&lt;/D&gt;&lt;D xsi:type="xsd:double"&gt;0.30338976&lt;/D&gt;&lt;D xsi:type="xsd:double"&gt;0.7084689&lt;/D&gt;&lt;D xsi:type="xsd:double"&gt;0.41489258&lt;/D&gt;&lt;D xsi:type="xsd:double"&gt;0.18631756&lt;/D&gt;&lt;D xsi:type="xsd:double"&gt;0.44526672&lt;/D&gt;&lt;D xsi:type="xsd:double"&gt;0.40255374&lt;/D&gt;&lt;D xsi:type="xsd:double"&gt;0.27487147&lt;/D&gt;&lt;D xsi:type="xsd:double"&gt;0.08332677&lt;/D&gt;&lt;D xsi:type="xsd:double"&gt;1&lt;/D&gt;&lt;D xsi:type="xsd:double"&gt;0.41831774&lt;/D&gt;&lt;D xsi:type="xsd:double"&gt;0.13529061&lt;/D&gt;&lt;D xsi:type="xsd:double"&gt;0.32694912&lt;/D&gt;&lt;D xsi:type="xsd:double"&gt;0.21448971&lt;/D&gt;&lt;D xsi:type="xsd:double"&gt;0.046811033&lt;/D&gt;&lt;D xsi:type="xsd:double"&gt;0.34406522&lt;/D&gt;&lt;D xsi:type="xsd:double"&gt;0.1414663&lt;/D&gt;&lt;D xsi:type="xsd:double"&gt;-0.009620626&lt;/D&gt;&lt;D xsi:type="xsd:double"&gt;0.37477145&lt;/D&gt;&lt;D xsi:type="xsd:double"&gt;0.48767844&lt;/D&gt;&lt;D xsi:type="xsd:double"&gt;0.29353252&lt;/D&gt;&lt;D xsi:type="xsd:double"&gt;0.2740154&lt;/D&gt;&lt;D xsi:type="xsd:double"&gt;0.24078935&lt;/D&gt;&lt;D xsi:type="xsd:double"&gt;0.17702334&lt;/D&gt;&lt;D xsi:type="xsd:double"&gt;0.27349555&lt;/D&gt;&lt;D xsi:type="xsd:double"&gt;0.3368012&lt;/D&gt;&lt;D xsi:type="xsd:double"&gt;0.2478021&lt;/D&gt;&lt;D xsi:type="xsd:double"&gt;0.18669213&lt;/D&gt;&lt;D xsi:type="xsd:double"&gt;0.22483484&lt;/D&gt;&lt;D xsi:type="xsd:double"&gt;0.015824562&lt;/D&gt;&lt;D xsi:type="xsd:double"&gt;0.3602085&lt;/D&gt;&lt;D xsi:type="xsd:double"&gt;0.22089727&lt;/D&gt;&lt;D xsi:type="xsd:double"&gt;0.10239949&lt;/D&gt;&lt;D xsi:type="xsd:double"&gt;0.16291605&lt;/D&gt;&lt;D xsi:type="xsd:double"&gt;0.15628964&lt;/D&gt;&lt;D xsi:type="xsd:double"&gt;0.29358742&lt;/D&gt;&lt;D xsi:type="xsd:double"&gt;0.35225013&lt;/D&gt;&lt;D xsi:type="xsd:double"&gt;0.27011287&lt;/D&gt;&lt;D xsi:type="xsd:double"&gt;0.4057334&lt;/D&gt;&lt;D xsi:type="xsd:double"&gt;0.25867388&lt;/D&gt;&lt;D xsi:type="xsd:double"&gt;0.52336264&lt;/D&gt;&lt;D xsi:type="xsd:double"&gt;0.73515487&lt;/D&gt;&lt;D xsi:type="xsd:double"&gt;0.4830332&lt;/D&gt;&lt;D xsi:type="xsd:double"&gt;0.0567712&lt;/D&gt;&lt;D xsi:type="xsd:double"&gt;0.41831774&lt;/D&gt;&lt;D xsi:type="xsd:double"&gt;1&lt;/D&gt;&lt;D xsi:type="xsd:double"&gt;0.18902901&lt;/D&gt;&lt;D xsi:type="xsd:double"&gt;0.39085189&lt;/D&gt;&lt;D xsi:type="xsd:double"&gt;0.3171405&lt;/D&gt;&lt;D xsi:type="xsd:double"&gt;0.1252096&lt;/D&gt;&lt;D xsi:type="xsd:double"&gt;0.38150775&lt;/D&gt;&lt;D xsi:type="xsd:double"&gt;0.06997624&lt;/D&gt;&lt;D xsi:type="xsd:double"&gt;0.1429428&lt;/D&gt;&lt;D xsi:type="xsd:double"&gt;0.50010216&lt;/D&gt;&lt;D xsi:type="xsd:double"&gt;0.5428138&lt;/D&gt;&lt;D xsi:type="xsd:double"&gt;0.12727375&lt;/D&gt;&lt;D xsi:type="xsd:double"&gt;0.3492444&lt;/D&gt;&lt;D xsi:type="xsd:double"&gt;0.28710538&lt;/D&gt;&lt;D xsi:type="xsd:double"&gt;0.15232435&lt;/D&gt;&lt;D xsi:type="xsd:double"&gt;0.2524586&lt;/D&gt;&lt;D xsi:type="xsd:double"&gt;0.3237911&lt;/D&gt;&lt;D xsi:type="xsd:double"&gt;0.30078158&lt;/D&gt;&lt;D xsi:type="xsd:double"&gt;0.21304756&lt;/D&gt;&lt;D xsi:type="xsd:double"&gt;0.20800872&lt;/D&gt;&lt;D xsi:type="xsd:double"&gt;0.1104657&lt;/D&gt;&lt;D xsi:type="xsd:double"&gt;0.54583&lt;/D&gt;&lt;D xsi:type="xsd:double"&gt;0.10563742&lt;/D&gt;&lt;D xsi:type="xsd:double"&gt;0.1936285&lt;/D&gt;&lt;D xsi:type="xsd:double"&gt;0.2866781&lt;/D&gt;&lt;D xsi:type="xsd:double"&gt;-0.03547859&lt;/D&gt;&lt;D xsi:type="xsd:double"&gt;0.32923725&lt;/D&gt;&lt;D xsi:type="xsd:double"&gt;0.1402999&lt;/D&gt;&lt;D xsi:type="xsd:double"&gt;0.07849169&lt;/D&gt;&lt;D xsi:type="xsd:double"&gt;0.1644987&lt;/D&gt;&lt;D xsi:type="xsd:double"&gt;0.17275564&lt;/D&gt;&lt;D xsi:type="xsd:double"&gt;0.26455608&lt;/D&gt;&lt;D xsi:type="xsd:double"&gt;0.17357951&lt;/D&gt;&lt;D xsi:type="xsd:double"&gt;0.27653736&lt;/D&gt;&lt;D xsi:type="xsd:double"&gt;0.05807975&lt;/D&gt;&lt;D xsi:type="xsd:double"&gt;0.13529061&lt;/D&gt;&lt;D xsi:type="xsd:double"&gt;0.18902901&lt;/D&gt;&lt;D xsi:type="xsd:double"&gt;1&lt;/D&gt;&lt;D xsi:type="xsd:double"&gt;0.24446578&lt;/D&gt;&lt;D xsi:type="xsd:double"&gt;0.19450429&lt;/D&gt;&lt;D xsi:type="xsd:double"&gt;-0.02487879&lt;/D&gt;&lt;D xsi:type="xsd:double"&gt;0.31752628&lt;/D&gt;&lt;D xsi:type="xsd:double"&gt;0.005725695&lt;/D&gt;&lt;D xsi:type="xsd:double"&gt;0.15141891&lt;/D&gt;&lt;D xsi:type="xsd:double"&gt;0.26866916&lt;/D&gt;&lt;D xsi:type="xsd:double"&gt;0.24411368&lt;/D&gt;&lt;D xsi:type="xsd:double"&gt;0.20336391&lt;/D&gt;&lt;D xsi:type="xsd:double"&gt;0.2288296&lt;/D&gt;&lt;D xsi:type="xsd:double"&gt;0.1962973&lt;/D&gt;&lt;D xsi:type="xsd:double"&gt;0.13509624&lt;/D&gt;&lt;D xsi:type="xsd:double"&gt;0.25951245&lt;/D&gt;&lt;D xsi:type="xsd:double"&gt;0.30769202&lt;/D&gt;&lt;D xsi:type="xsd:double"&gt;0.1891398&lt;/D&gt;&lt;D xsi:type="xsd:double"&gt;0.081055865&lt;/D&gt;&lt;D xsi:type="xsd:double"&gt;0.22136728&lt;/D&gt;&lt;D xsi:type="xsd:double"&gt;0.255292&lt;/D&gt;&lt;D xsi:type="xsd:double"&gt;0.25077412&lt;/D&gt;&lt;D xsi:type="xsd:double"&gt;0.085949704&lt;/D&gt;&lt;D xsi:type="xsd:double"&gt;0.25352132&lt;/D&gt;&lt;D xsi:type="xsd:double"&gt;0.11454571&lt;/D&gt;&lt;D xsi:type="xsd:double"&gt;0.070999414&lt;/D&gt;&lt;D xsi:type="xsd:double"&gt;0.37215298&lt;/D&gt;&lt;D xsi:type="xsd:double"&gt;0.29590514&lt;/D&gt;&lt;D xsi:type="xsd:double"&gt;0.29810172&lt;/D&gt;&lt;D xsi:type="xsd:double"&gt;0.21461849&lt;/D&gt;&lt;D xsi:type="xsd:double"&gt;0.15560365&lt;/D&gt;&lt;D xsi:type="xsd:double"&gt;0.47416544&lt;/D&gt;&lt;D xsi:type="xsd:double"&gt;0.32561794&lt;/D&gt;&lt;D xsi:type="xsd:double"&gt;0.38787025&lt;/D&gt;&lt;D xsi:type="xsd:double"&gt;0.18360609&lt;/D&gt;&lt;D xsi:type="xsd:double"&gt;0.32694912&lt;/D&gt;&lt;D xsi:type="xsd:double"&gt;0.39085189&lt;/D&gt;&lt;D xsi:type="xsd:double"&gt;0.24446578&lt;/D&gt;&lt;D xsi:type="xsd:double"&gt;1&lt;/D&gt;&lt;D xsi:type="xsd:double"&gt;0.28314096&lt;/D&gt;&lt;D xsi:type="xsd:double"&gt;0.08136538&lt;/D&gt;&lt;D xsi:type="xsd:double"&gt;0.38431457&lt;/D&gt;&lt;D xsi:type="xsd:double"&gt;-0.0152962115&lt;/D&gt;&lt;D xsi:type="xsd:double"&gt;0.031218844&lt;/D&gt;&lt;D xsi:type="xsd:double"&gt;0.42438856&lt;/D&gt;&lt;D xsi:type="xsd:double"&gt;0.3475067&lt;/D&gt;&lt;D xsi:type="xsd:double"&gt;0.23204273&lt;/D&gt;&lt;D xsi:type="xsd:double"&gt;0.43162385&lt;/D&gt;&lt;D xsi:type="xsd:double"&gt;0.24175681&lt;/D&gt;&lt;D xsi:type="xsd:double"&gt;0.09396382&lt;/D&gt;&lt;D xsi:type="xsd:double"&gt;0.22936404&lt;/D&gt;&lt;D xsi:type="xsd:double"&gt;0.27842107&lt;/D&gt;&lt;D xsi:type="xsd:double"&gt;0.29685256&lt;/D&gt;&lt;D xsi:type="xsd:double"&gt;0.10855271&lt;/D&gt;&lt;D xsi:type="xsd:double"&gt;0.26924542&lt;/D&gt;&lt;D xsi:type="xsd:double"&gt;0.13867246&lt;/D&gt;&lt;D xsi:type="xsd:double"&gt;0.3286871&lt;/D&gt;&lt;D xsi:type="xsd:double"&gt;0.08267522&lt;/D&gt;&lt;D xsi:type="xsd:double"&gt;0.21141453&lt;/D&gt;&lt;D xsi:type="xsd:double"&gt;0.17663784&lt;/D&gt;&lt;D xsi:type="xsd:double"&gt;0.09910482&lt;/D&gt;&lt;D xsi:type="xsd:double"&gt;0.28943178&lt;/D&gt;&lt;D xsi:type="xsd:double"&gt;0.3531681&lt;/D&gt;&lt;D xsi:type="xsd:double"&gt;0.10003306&lt;/D&gt;&lt;D xsi:type="xsd:double"&gt;0.30673862&lt;/D&gt;&lt;D xsi:type="xsd:double"&gt;0.05343457&lt;/D&gt;&lt;D xsi:type="xsd:double"&gt;0.4877044&lt;/D&gt;&lt;D xsi:type="xsd:double"&gt;0.25978714&lt;/D&gt;&lt;D xsi:type="xsd:double"&gt;0.4090742&lt;/D&gt;&lt;D xsi:type="xsd:double"&gt;0.17455158&lt;/D&gt;&lt;D xsi:type="xsd:double"&gt;0.21448971&lt;/D&gt;&lt;D xsi:type="xsd:double"&gt;0.3171405&lt;/D&gt;&lt;D xsi:type="xsd:double"&gt;0.19450429&lt;/D&gt;&lt;D xsi:type="xsd:double"&gt;0.28314096&lt;/D&gt;&lt;D xsi:type="xsd:double"&gt;1&lt;/D&gt;&lt;D xsi:type="xsd:double"&gt;0.07421146&lt;/D&gt;&lt;D xsi:type="xsd:double"&gt;0.3541814&lt;/D&gt;&lt;D xsi:type="xsd:double"&gt;0.07213444&lt;/D&gt;&lt;D xsi:type="xsd:double"&gt;0.08205024&lt;/D&gt;&lt;D xsi:type="xsd:double"&gt;0.37443784&lt;/D&gt;&lt;D xsi:type="xsd:double"&gt;0.3267475&lt;/D&gt;&lt;D xsi:type="xsd:double"&gt;0.11479483&lt;/D&gt;&lt;D xsi:type="xsd:double"&gt;0.41029572&lt;/D&gt;&lt;D xsi:type="xsd:double"&gt;0.3016434&lt;/D&gt;&lt;D xsi:type="xsd:double"&gt;0.12585953&lt;/D&gt;&lt;D xsi:type="xsd:double"&gt;0.19305316&lt;/D&gt;&lt;D xsi:type="xsd:double"&gt;0.32065803&lt;/D&gt;&lt;D xsi:type="xsd:double"&gt;0.244078&lt;/D&gt;&lt;D xsi:type="xsd:double"&gt;0.23117582&lt;/D&gt;&lt;D xsi:type="xsd:double"&gt;0.3529354&lt;/D&gt;&lt;D xsi:type="xsd:double"&gt;0.23308715&lt;/D&gt;&lt;D xsi:type="xsd:double"&gt;0.36547488&lt;/D&gt;&lt;D xsi:type="xsd:double"&gt;0.062133037&lt;/D&gt;&lt;D xsi:type="xsd:double"&gt;0.09497922&lt;/D&gt;&lt;D xsi:type="xsd:double"&gt;0.053427767&lt;/D&gt;&lt;D xsi:type="xsd:double"&gt;0.36439994&lt;/D&gt;&lt;D xsi:type="xsd:double"&gt;-0.0002352991&lt;/D&gt;&lt;D xsi:type="xsd:double"&gt;0.046612892&lt;/D&gt;&lt;D xsi:type="xsd:double"&gt;-0.09764503&lt;/D&gt;&lt;D xsi:type="xsd:double"&gt;0.074357785&lt;/D&gt;&lt;D xsi:type="xsd:double"&gt;-0.08871264&lt;/D&gt;&lt;D xsi:type="xsd:double"&gt;0.038410388&lt;/D&gt;&lt;D xsi:type="xsd:double"&gt;0.13363004&lt;/D&gt;&lt;D xsi:type="xsd:double"&gt;0.045077868&lt;/D&gt;&lt;D xsi:type="xsd:double"&gt;0.18917152&lt;/D&gt;&lt;D xsi:type="xsd:double"&gt;0.046811033&lt;/D&gt;&lt;D xsi:type="xsd:double"&gt;0.1252096&lt;/D&gt;&lt;D xsi:type="xsd:double"&gt;-0.02487879&lt;/D&gt;&lt;D xsi:type="xsd:double"&gt;0.08136538&lt;/D&gt;&lt;D xsi:type="xsd:double"&gt;0.07421146&lt;/D&gt;&lt;D xsi:type="xsd:double"&gt;1&lt;/D&gt;&lt;D xsi:type="xsd:double"&gt;0.01911752&lt;/D&gt;&lt;D xsi:type="xsd:double"&gt;0.47180098&lt;/D&gt;&lt;D xsi:type="xsd:double"&gt;0.015641212&lt;/D&gt;&lt;D xsi:type="xsd:double"&gt;0.11486694&lt;/D&gt;&lt;D xsi:type="xsd:double"&gt;0.08071236&lt;/D&gt;&lt;D xsi:type="xsd:double"&gt;-0.07652669&lt;/D&gt;&lt;D xsi:type="xsd:double"&gt;0.039223824&lt;/D&gt;&lt;D xsi:type="xsd:double"&gt;0.083811246&lt;/D&gt;&lt;D xsi:type="xsd:double"&gt;0.09308819&lt;/D&gt;&lt;D xsi:type="xsd:double"&gt;-0.12277892&lt;/D&gt;&lt;D xsi:type="xsd:double"&gt;-0.054725327&lt;/D&gt;&lt;D xsi:type="xsd:double"&gt;-0.012127049&lt;/D&gt;&lt;D xsi:type="xsd:double"&gt;0.055007394&lt;/D&gt;&lt;D xsi:type="xsd:double"&gt;0.011593699&lt;/D&gt;&lt;D xsi:type="xsd:double"&gt;0.2537712&lt;/D&gt;&lt;D xsi:type="xsd:double"&gt;0.08627242&lt;/D&gt;&lt;D xsi:type="xsd:double"&gt;0.28895235&lt;/D&gt;&lt;D xsi:type="xsd:double"&gt;-0.1712775&lt;/D&gt;&lt;D xsi:type="xsd:double"&gt;0.054096166&lt;/D&gt;&lt;D xsi:type="xsd:double"&gt;0.11078909&lt;/D&gt;&lt;D xsi:type="xsd:double"&gt;0.40172526&lt;/D&gt;&lt;D xsi:type="xsd:double"&gt;0.32373336&lt;/D&gt;&lt;D xsi:type="xsd:double"&gt;0.30676824&lt;/D&gt;&lt;D xsi:type="xsd:double"&gt;0.2421671&lt;/D&gt;&lt;D xsi:type="xsd:double"&gt;0.23671082&lt;/D&gt;&lt;D xsi:type="xsd:double"&gt;0.48443192&lt;/D&gt;&lt;D xsi:type="xsd:double"&gt;0.42794052&lt;/D&gt;&lt;D xsi:type="xsd:double"&gt;0.5505592&lt;/D&gt;&lt;D xsi:type="xsd:double"&gt;0.18431702&lt;/D&gt;&lt;D xsi:type="xsd:double"&gt;0.34406522&lt;/D&gt;&lt;D xsi:type="xsd:double"&gt;0.38150775&lt;/D&gt;&lt;D xsi:type="xsd:double"&gt;0.31752628&lt;/D&gt;&lt;D xsi:type="xsd:double"&gt;0.38431457&lt;/D&gt;&lt;D xsi:type="xsd:double"&gt;0.3541814&lt;/D&gt;&lt;D xsi:type="xsd:double"&gt;0.01911752&lt;/D&gt;&lt;D xsi:type="xsd:double"&gt;1&lt;/D&gt;&lt;D xsi:type="xsd:double"&gt;0.052721508&lt;/D&gt;&lt;D xsi:type="xsd:double"&gt;0.13879712&lt;/D&gt;&lt;D xsi:type="xsd:double"&gt;0.48324394&lt;/D&gt;&lt;D xsi:type="xsd:double"&gt;0.48309493&lt;/D&gt;&lt;D xsi:type="xsd:double"&gt;0.35271543&lt;/D&gt;&lt;D xsi:type="xsd:double"&gt;0.44321752&lt;/D&gt;&lt;D xsi:type="xsd:double"&gt;0.28760263&lt;/D&gt;&lt;D xsi:type="xsd:double"&gt;0.17558433&lt;/D&gt;&lt;D xsi:type="xsd:double"&gt;0.3031061&lt;/D&gt;&lt;D xsi:type="xsd:double"&gt;0.4268981&lt;/D&gt;&lt;D xsi:type="xsd:double"&gt;0.2504429&lt;/D&gt;&lt;D xsi:type="xsd:double"&gt;0.22346146&lt;/D&gt;&lt;D xsi:type="xsd:double"&gt;0.3592497&lt;/D&gt;&lt;D xsi:type="xsd:double"&gt;0.25364012&lt;/D&gt;&lt;D xsi:type="xsd:double"&gt;0.30109495&lt;/D&gt;&lt;D xsi:type="xsd:double"&gt;0.14071634&lt;/D&gt;&lt;D xsi:type="xsd:double"&gt;0.24937627&lt;/D&gt;&lt;D xsi:type="xsd:double"&gt;0.23989664&lt;/D&gt;&lt;D xsi:type="xsd:double"&gt;0.5337269&lt;/D&gt;&lt;D xsi:type="xsd:double"&gt;0.13039854&lt;/D&gt;&lt;D xsi:type="xsd:double"&gt;-0.07841211&lt;/D&gt;&lt;D xsi:type="xsd:double"&gt;0.13514708&lt;/D&gt;&lt;D xsi:type="xsd:double"&gt;0.2448608&lt;/D&gt;&lt;D xsi:type="xsd:double"&gt;-0.037576653&lt;/D&gt;&lt;D xsi:type="xsd:double"&gt;0.0622112&lt;/D&gt;&lt;D xsi:type="xsd:double"&gt;0.10217859&lt;/D&gt;&lt;D xsi:type="xsd:double"&gt;-0.10421717&lt;/D&gt;&lt;D xsi:type="xsd:double"&gt;0.13505624&lt;/D&gt;&lt;D xsi:type="xsd:double"&gt;0.1414663&lt;/D&gt;&lt;D xsi:type="xsd:double"&gt;0.06997624&lt;/D&gt;&lt;D xsi:type="xsd:double"&gt;0.005725695&lt;/D&gt;&lt;D xsi:type="xsd:double"&gt;-0.0152962115&lt;/D&gt;&lt;D xsi:type="xsd:double"&gt;0.07213444&lt;/D&gt;&lt;D xsi:type="xsd:double"&gt;0.47180098&lt;/D&gt;&lt;D xsi:type="xsd:double"&gt;0.052721508&lt;/D&gt;&lt;D xsi:type="xsd:double"&gt;1&lt;/D&gt;&lt;D xsi:type="xsd:double"&gt;0.04997468&lt;/D&gt;&lt;D xsi:type="xsd:double"&gt;0.064917356&lt;/D&gt;&lt;D xsi:type="xsd:double"&gt;0.20589297&lt;/D&gt;&lt;D xsi:type="xsd:double"&gt;-0.016663283&lt;/D&gt;&lt;D xsi:type="xsd:double"&gt;-0.08142888&lt;/D&gt;&lt;D xsi:type="xsd:double"&gt;0.027303716&lt;/D&gt;&lt;D xsi:type="xsd:double"&gt;0.18159315&lt;/D&gt;&lt;D xsi:type="xsd:double"&gt;-0.075408295&lt;/D&gt;&lt;D xsi:type="xsd:double"&gt;-0.0044936882&lt;/D&gt;&lt;D xsi:type="xsd:double"&gt;-0.07414621&lt;/D&gt;&lt;D xsi:type="xsd:double"&gt;0.106420085&lt;/D&gt;&lt;D xsi:type="xsd:double"&gt;0.084511384&lt;/D&gt;&lt;D xsi:type="xsd:double"&gt;0.07863597&lt;/D&gt;&lt;D xsi:type="xsd:double"&gt;0.0984504&lt;/D&gt;&lt;D xsi:type="xsd:double"&gt;0.45799685&lt;/D&gt;&lt;D xsi:type="xsd:double"&gt;-0.091191195&lt;/D&gt;&lt;D xsi:type="xsd:double"&gt;0.095930986&lt;/D&gt;&lt;D xsi:type="xsd:double"&gt;0.03315946&lt;/D&gt;&lt;D xsi:type="xsd:double"&gt;0.17884493&lt;/D&gt;&lt;D xsi:type="xsd:double"&gt;0.0013674931&lt;/D&gt;&lt;D xsi:type="xsd:double"&gt;-0.009747014&lt;/D&gt;&lt;D xsi:type="xsd:double"&gt;0.057967663&lt;/D&gt;&lt;D xsi:type="xsd:double"&gt;0.16169031&lt;/D&gt;&lt;D xsi:type="xsd:double"&gt;0.08743413&lt;/D&gt;&lt;D xsi:type="xsd:double"&gt;0.17914937&lt;/D&gt;&lt;D xsi:type="xsd:double"&gt;0.028936319&lt;/D&gt;&lt;D xsi:type="xsd:double"&gt;-0.013575266&lt;/D&gt;&lt;D xsi:type="xsd:double"&gt;-0.009620626&lt;/D&gt;&lt;D xsi:type="xsd:double"&gt;0.1429428&lt;/D&gt;&lt;D xsi:type="xsd:double"&gt;0.15141891&lt;/D&gt;&lt;D xsi:type="xsd:double"&gt;0.031218844&lt;/D&gt;&lt;D xsi:type="xsd:double"&gt;0.08205024&lt;/D&gt;&lt;D xsi:type="xsd:double"&gt;0.015641212&lt;/D&gt;&lt;D xsi:type="xsd:double"&gt;0.13879712&lt;/D&gt;&lt;D xsi:type="xsd:double"&gt;0.04997468&lt;/D&gt;&lt;D xsi:type="xsd:double"&gt;1&lt;/D&gt;&lt;D xsi:type="xsd:double"&gt;0.07497314&lt;/D&gt;&lt;D xsi:type="xsd:double"&gt;0.13517284&lt;/D&gt;&lt;D xsi:type="xsd:double"&gt;0.08334151&lt;/D&gt;&lt;D xsi:type="xsd:double"&gt;0.049943402&lt;/D&gt;&lt;D xsi:type="xsd:double"&gt;0.040087383&lt;/D&gt;&lt;D xsi:type="xsd:double"&gt;0.09466651&lt;/D&gt;&lt;D xsi:type="xsd:double"&gt;0.05768385&lt;/D&gt;&lt;D xsi:type="xsd:double"&gt;0.06650752&lt;/D&gt;&lt;D xsi:type="xsd:double"&gt;0.21283594&lt;/D&gt;&lt;D xsi:type="xsd:double"&gt;0.052847072&lt;/D&gt;&lt;D xsi:type="xsd:double"&gt;0.024662735&lt;/D&gt;&lt;D xsi:type="xsd:double"&gt;-0.010600371&lt;/D&gt;&lt;D xsi:type="xsd:double"&gt;0.16404079&lt;/D&gt;&lt;D xsi:type="xsd:double"&gt;0.038051024&lt;/D&gt;&lt;D xsi:type="xsd:double"&gt;0.13013668&lt;/D&gt;&lt;D xsi:type="xsd:double"&gt;0.16925551&lt;/D&gt;&lt;D xsi:type="xsd:double"&gt;0.15411235&lt;/D&gt;&lt;D xsi:type="xsd:double"&gt;0.4095792&lt;/D&gt;&lt;D xsi:type="xsd:double"&gt;0.4160566&lt;/D&gt;&lt;D xsi:type="xsd:double"&gt;0.3432031&lt;/D&gt;&lt;D xsi:type="xsd:double"&gt;0.3590363&lt;/D&gt;&lt;D xsi:type="xsd:double"&gt;0.21681729&lt;/D&gt;&lt;D xsi:type="xsd:double"&gt;0.5557195&lt;/D&gt;&lt;D xsi:type="xsd:double"&gt;0.4835819&lt;/D&gt;&lt;D xsi:type="xsd:double"&gt;0.548809&lt;/D&gt;&lt;D xsi:type="xsd:double"&gt;0.22873542&lt;/D&gt;&lt;D xsi:type="xsd:double"&gt;0.37477145&lt;/D&gt;&lt;D xsi:type="xsd:double"&gt;0.50010216&lt;/D&gt;&lt;D xsi:type="xsd:double"&gt;0.26866916&lt;/D&gt;&lt;D xsi:type="xsd:double"&gt;0.42438856&lt;/D&gt;&lt;D xsi:type="xsd:double"&gt;0.37443784&lt;/D&gt;&lt;D xsi:type="xsd:double"&gt;0.11486694&lt;/D&gt;&lt;D xsi:type="xsd:double"&gt;0.48324394&lt;/D&gt;&lt;D xsi:type="xsd:double"&gt;0.064917356&lt;/D&gt;&lt;D xsi:type="xsd:double"&gt;0.07497314&lt;/D&gt;&lt;D xsi:type="xsd:double"&gt;1&lt;/D&gt;&lt;D xsi:type="xsd:double"&gt;0.5010719&lt;/D&gt;&lt;D xsi:type="xsd:double"&gt;0.33401436&lt;/D&gt;&lt;D xsi:type="xsd:double"&gt;0.46922487&lt;/D&gt;&lt;D xsi:type="xsd:double"&gt;0.3540961&lt;/D&gt;&lt;D xsi:type="xsd:double"&gt;0.19737974&lt;/D&gt;&lt;D xsi:type="xsd:double"&gt;0.3914327&lt;/D&gt;&lt;D xsi:type="xsd:double"&gt;0.4603323&lt;/D&gt;&lt;D xsi:type="xsd:double"&gt;0.34748405&lt;/D&gt;&lt;D xsi:type="xsd:double"&gt;0.24459463&lt;/D&gt;&lt;D xsi:type="xsd:double"&gt;0.3376322&lt;/D&gt;&lt;D xsi:type="xsd:double"&gt;0.2662884&lt;/D&gt;&lt;D xsi:type="xsd:double"&gt;0.46701738&lt;/D&gt;&lt;D xsi:type="xsd:double"&gt;0.13644704&lt;/D&gt;&lt;D xsi:type="xsd:double"&gt;0.2015456&lt;/D&gt;&lt;D xsi:type="xsd:double"&gt;0.21400745&lt;/D&gt;&lt;D xsi:type="xsd:double"&gt;0.28482166&lt;/D&gt;&lt;D xsi:type="xsd:double"&gt;0.42082858&lt;/D&gt;&lt;D xsi:type="xsd:double"&gt;0.32340598&lt;/D&gt;&lt;D xsi:type="xsd:double"&gt;0.4921413&lt;/D&gt;&lt;D xsi:type="xsd:double"&gt;0.55938077&lt;/D&gt;&lt;D xsi:type="xsd:double"&gt;0.22150849&lt;/D&gt;&lt;D xsi:type="xsd:double"&gt;0.5400493&lt;/D&gt;&lt;D xsi:type="xsd:double"&gt;0.56594205&lt;/D&gt;&lt;D xsi:type="xsd:double"&gt;0.38510957&lt;/D&gt;&lt;D xsi:type="xsd:double"&gt;0.11041714&lt;/D&gt;&lt;D xsi:type="xsd:double"&gt;0.48767844&lt;/D&gt;&lt;D xsi:type="xsd:double"&gt;0.5428138&lt;/D&gt;&lt;D xsi:type="xsd:double"&gt;0.24411368&lt;/D&gt;&lt;D xsi:type="xsd:double"&gt;0.3475067&lt;/D&gt;&lt;D xsi:type="xsd:double"&gt;0.3267475&lt;/D&gt;&lt;D xsi:type="xsd:double"&gt;0.08071236&lt;/D&gt;&lt;D xsi:type="xsd:double"&gt;0.48309493&lt;/D&gt;&lt;D xsi:type="xsd:double"&gt;0.20589297&lt;/D&gt;&lt;D xsi:type="xsd:double"&gt;0.13517284&lt;/D&gt;&lt;D xsi:type="xsd:double"&gt;0.5010719&lt;/D&gt;&lt;D xsi:type="xsd:double"&gt;1&lt;/D&gt;&lt;D xsi:type="xsd:double"&gt;0.358387&lt;/D&gt;&lt;D xsi:type="xsd:double"&gt;0.3207644&lt;/D&gt;&lt;D xsi:type="xsd:double"&gt;0.30692366&lt;/D&gt;&lt;D xsi:type="xsd:double"&gt;0.18999961&lt;/D&gt;&lt;D xsi:type="xsd:double"&gt;0.3419187&lt;/D&gt;&lt;D xsi:type="xsd:double"&gt;0.39844224&lt;/D&gt;&lt;D xsi:type="xsd:double"&gt;0.35925728&lt;/D&gt;&lt;D xsi:type="xsd:double"&gt;0.25416097&lt;/D&gt;&lt;D xsi:type="xsd:double"&gt;0.23686369&lt;/D&gt;&lt;D xsi:type="xsd:double"&gt;-0.010164931&lt;/D&gt;&lt;D xsi:type="xsd:double"&gt;0.51709276&lt;/D&gt;&lt;D xsi:type="xsd:double"&gt;0.23379037&lt;/D&gt;&lt;D xsi:type="xsd:double"&gt;0.18960334&lt;/D&gt;&lt;D xsi:type="xsd:double"&gt;0.26728672&lt;/D&gt;&lt;D xsi:type="xsd:double"&gt;-0.017763719&lt;/D&gt;&lt;D xsi:type="xsd:double"&gt;0.36450264&lt;/D&gt;&lt;D xsi:type="xsd:double"&gt;0.2350764&lt;/D&gt;&lt;D xsi:type="xsd:double"&gt;0.40561318&lt;/D&gt;&lt;D xsi:type="xsd:double"&gt;0.15731986&lt;/D&gt;&lt;D xsi:type="xsd:double"&gt;0.22813876&lt;/D&gt;&lt;D xsi:type="xsd:double"&gt;0.30304652&lt;/D&gt;&lt;D xsi:type="xsd:double"&gt;0.284153&lt;/D&gt;&lt;D xsi:type="xsd:double"&gt;0.28112525&lt;/D&gt;&lt;D xsi:type="xsd:double"&gt;0.013671225&lt;/D&gt;&lt;D xsi:type="xsd:double"&gt;0.29353252&lt;/D&gt;&lt;D xsi:type="xsd:double"&gt;0.12727375&lt;/D&gt;&lt;D xsi:type="xsd:double"&gt;0.20336391&lt;/D&gt;&lt;D xsi:type="xsd:double"&gt;0.23204273&lt;/D&gt;&lt;D xsi:type="xsd:double"&gt;0.11479483&lt;/D&gt;&lt;D xsi:type="xsd:double"&gt;-0.07652669&lt;/D&gt;&lt;D xsi:type="xsd:double"&gt;0.35271543&lt;/D&gt;&lt;D xsi:type="xsd:double"&gt;-0.016663283&lt;/D&gt;&lt;D xsi:type="xsd:double"&gt;0.08334151&lt;/D&gt;&lt;D xsi:type="xsd:double"&gt;0.33401436&lt;/D&gt;&lt;D xsi:type="xsd:double"&gt;0.358387&lt;/D&gt;&lt;D xsi:type="xsd:double"&gt;1&lt;/D&gt;&lt;D xsi:type="xsd:double"&gt;0.27722868&lt;/D&gt;&lt;D xsi:type="xsd:double"&gt;0.20266853&lt;/D&gt;&lt;D xsi:type="xsd:double"&gt;0.11101738&lt;/D&gt;&lt;D xsi:type="xsd:double"&gt;0.36250973&lt;/D&gt;&lt;D xsi:type="xsd:double"&gt;0.33255085&lt;/D&gt;&lt;D xsi:type="xsd:double"&gt;0.20025006&lt;/D&gt;&lt;D xsi:type="xsd:double"&gt;0.18445571&lt;/D&gt;&lt;D xsi:type="xsd:double"&gt;0.2529854&lt;/D&gt;&lt;D xsi:type="xsd:double"&gt;0.10309486&lt;/D&gt;&lt;D xsi:type="xsd:double"&gt;0.2575241&lt;/D&gt;&lt;D xsi:type="xsd:double"&gt;0.13056427&lt;/D&gt;&lt;D xsi:type="xsd:double"&gt;0.13286468&lt;/D&gt;&lt;D xsi:type="xsd:double"&gt;0.15268478&lt;/D&gt;&lt;D xsi:type="xsd:double"&gt;-0.050786275&lt;/D&gt;&lt;D xsi:type="xsd:double"&gt;0.31964535&lt;/D&gt;&lt;D xsi:type="xsd:double"&gt;0.45000884&lt;/D&gt;&lt;D xsi:type="xsd:double"&gt;0.16791087&lt;/D&gt;&lt;D xsi:type="xsd:double"&gt;0.09743263&lt;/D&gt;&lt;D xsi:type="xsd:double"&gt;0.16036934&lt;/D&gt;&lt;D xsi:type="xsd:double"&gt;0.4977292&lt;/D&gt;&lt;D xsi:type="xsd:double"&gt;0.31604058&lt;/D&gt;&lt;D xsi:type="xsd:double"&gt;0.51898545&lt;/D&gt;&lt;D xsi:type="xsd:double"&gt;0.23347448&lt;/D&gt;&lt;D xsi:type="xsd:double"&gt;0.2740154&lt;/D&gt;&lt;D xsi:type="xsd:double"&gt;0.3492444&lt;/D&gt;&lt;D xsi:type="xsd:double"&gt;0.2288296&lt;/D&gt;&lt;D xsi:type="xsd:double"&gt;0.43162385&lt;/D&gt;&lt;D xsi:type="xsd:double"&gt;0.41029572&lt;/D&gt;&lt;D xsi:type="xsd:double"&gt;0.039223824&lt;/D&gt;&lt;D xsi:type="xsd:double"&gt;0.44321752&lt;/D&gt;&lt;D xsi:type="xsd:double"&gt;-0.08142888&lt;/D&gt;&lt;D xsi:type="xsd:double"&gt;0.049943402&lt;/D&gt;&lt;D xsi:type="xsd:double"&gt;0.46922487&lt;/D&gt;&lt;D xsi:type="xsd:double"&gt;0.3207644&lt;/D&gt;&lt;D xsi:type="xsd:double"&gt;0.27722868&lt;/D&gt;&lt;D xsi:type="xsd:double"&gt;1&lt;/D&gt;&lt;D xsi:type="xsd:double"&gt;0.26094434&lt;/D&gt;&lt;D xsi:type="xsd:double"&gt;0.06266581&lt;/D&gt;&lt;D xsi:type="xsd:double"&gt;0.36906764&lt;/D&gt;&lt;D xsi:type="xsd:double"&gt;0.42985836&lt;/D&gt;&lt;D xsi:type="xsd:double"&gt;0.27392474&lt;/D&gt;&lt;D xsi:type="xsd:double"&gt;0.19902799&lt;/D&gt;&lt;D xsi:type="xsd:double"&gt;0.31384042&lt;/D&gt;&lt;D xsi:type="xsd:double"&gt;0.3115614&lt;/D&gt;&lt;D xsi:type="xsd:double"&gt;0.2128021&lt;/D&gt;&lt;D xsi:type="xsd:double"&gt;0.028714867&lt;/D&gt;&lt;D xsi:type="xsd:double"&gt;0.085260846&lt;/D&gt;&lt;D xsi:type="xsd:double"&gt;0.16420178&lt;/D&gt;&lt;D xsi:type="xsd:double"&gt;0.05225004&lt;/D&gt;&lt;D xsi:type="xsd:double"&gt;0.18230127&lt;/D&gt;&lt;D xsi:type="xsd:double"&gt;0.23146549&lt;/D&gt;&lt;D xsi:type="xsd:double"&gt;0.14470027&lt;/D&gt;&lt;D xsi:type="xsd:double"&gt;0.23764521&lt;/D&gt;&lt;D xsi:type="xsd:double"&gt;0.09824306&lt;/D&gt;&lt;D xsi:type="xsd:double"&gt;0.26397583&lt;/D&gt;&lt;D xsi:type="xsd:double"&gt;0.30752465&lt;/D&gt;&lt;D xsi:type="xsd:double"&gt;0.3867691&lt;/D&gt;&lt;D xsi:type="xsd:double"&gt;0.06354069&lt;/D&gt;&lt;D xsi:type="xsd:double"&gt;0.24078935&lt;/D&gt;&lt;D xsi:type="xsd:double"&gt;0.28710538&lt;/D&gt;&lt;D xsi:type="xsd:double"&gt;0.1962973&lt;/D&gt;&lt;D xsi:type="xsd:double"&gt;0.24175681&lt;/D&gt;&lt;D xsi:type="xsd:double"&gt;0.3016434&lt;/D&gt;&lt;D xsi:type="xsd:double"&gt;0.083811246&lt;/D&gt;&lt;D xsi:type="xsd:double"&gt;0.28760263&lt;/D&gt;&lt;D xsi:type="xsd:double"&gt;0.027303716&lt;/D&gt;&lt;D xsi:type="xsd:double"&gt;0.040087383&lt;/D&gt;&lt;D xsi:type="xsd:double"&gt;0.3540961&lt;/D&gt;&lt;D xsi:type="xsd:double"&gt;0.30692366&lt;/D&gt;&lt;D xsi:type="xsd:double"&gt;0.20266853&lt;/D&gt;&lt;D xsi:type="xsd:double"&gt;0.26094434&lt;/D&gt;&lt;D xsi:type="xsd:double"&gt;1&lt;/D&gt;&lt;D xsi:type="xsd:double"&gt;0.1032919&lt;/D&gt;&lt;D xsi:type="xsd:double"&gt;0.21138793&lt;/D&gt;&lt;D xsi:type="xsd:double"&gt;0.2186692&lt;/D&gt;&lt;D xsi:type="xsd:double"&gt;0.21463935&lt;/D&gt;&lt;D xsi:type="xsd:double"&gt;0.09641192&lt;/D&gt;&lt;D xsi:type="xsd:double"&gt;0.25076324&lt;/D&gt;&lt;D xsi:type="xsd:double"&gt;0.06819944&lt;/D&gt;&lt;D xsi:type="xsd:double"&gt;0.2556804&lt;/D&gt;&lt;D xsi:type="xsd:double"&gt;-0.028452078&lt;/D&gt;&lt;D xsi:type="xsd:double"&gt;0.08018635&lt;/D&gt;&lt;D xsi:type="xsd:double"&gt;0.13080645&lt;/D&gt;&lt;D xsi:type="xsd:double"&gt;0.20174116&lt;/D&gt;&lt;D xsi:type="xsd:double"&gt;0.23213917&lt;/D&gt;&lt;D xsi:type="xsd:double"&gt;0.07475526&lt;/D&gt;&lt;D xsi:type="xsd:double"&gt;0.10905091&lt;/D&gt;&lt;D xsi:type="xsd:double"&gt;0.1638235&lt;/D&gt;&lt;D xsi:type="xsd:double"&gt;-0.018170385&lt;/D&gt;&lt;D xsi:type="xsd:double"&gt;0.18386829&lt;/D&gt;&lt;D xsi:type="xsd:double"&gt;0.13144164&lt;/D&gt;&lt;D xsi:type="xsd:double"&gt;0.17852163&lt;/D&gt;&lt;D xsi:type="xsd:double"&gt;0.08317361&lt;/D&gt;&lt;D xsi:type="xsd:double"&gt;0.17702334&lt;/D&gt;&lt;D xsi:type="xsd:double"&gt;0.15232435&lt;/D&gt;&lt;D xsi:type="xsd:double"&gt;0.13509624&lt;/D&gt;&lt;D xsi:type="xsd:double"&gt;0.09396382&lt;/D&gt;&lt;D xsi:type="xsd:double"&gt;0.12585953&lt;/D&gt;&lt;D xsi:type="xsd:double"&gt;0.09308819&lt;/D&gt;&lt;D xsi:type="xsd:double"&gt;0.17558433&lt;/D&gt;&lt;D xsi:type="xsd:double"&gt;0.18159315&lt;/D&gt;&lt;D xsi:type="xsd:double"&gt;0.09466651&lt;/D&gt;&lt;D xsi:type="xsd:double"&gt;0.19737974&lt;/D&gt;&lt;D xsi:type="xsd:double"&gt;0.18999961&lt;/D&gt;&lt;D xsi:type="xsd:double"&gt;0.11101738&lt;/D&gt;&lt;D xsi:type="xsd:double"&gt;0.06266581&lt;/D&gt;&lt;D xsi:type="xsd:double"&gt;0.1032919&lt;/D&gt;&lt;D xsi:type="xsd:double"&gt;1&lt;/D&gt;&lt;D xsi:type="xsd:double"&gt;0.049492814&lt;/D&gt;&lt;D xsi:type="xsd:</t>
        </r>
      </text>
    </comment>
    <comment ref="A3" authorId="0" shapeId="0" xr:uid="{E4990BF2-AFC2-4622-9356-90B33A984B79}">
      <text>
        <r>
          <rPr>
            <b/>
            <sz val="9"/>
            <color indexed="81"/>
            <rFont val="Tahoma"/>
            <charset val="1"/>
          </rPr>
          <t>double"&gt;0.004794801&lt;/D&gt;&lt;D xsi:type="xsd:double"&gt;0.10873049&lt;/D&gt;&lt;D xsi:type="xsd:double"&gt;0.040733922&lt;/D&gt;&lt;D xsi:type="xsd:double"&gt;0.07919715&lt;/D&gt;&lt;D xsi:type="xsd:double"&gt;0.09606229&lt;/D&gt;&lt;D xsi:type="xsd:double"&gt;0.14665088&lt;/D&gt;&lt;D xsi:type="xsd:double"&gt;0.1305134&lt;/D&gt;&lt;D xsi:type="xsd:double"&gt;-0.009925574&lt;/D&gt;&lt;D xsi:type="xsd:double"&gt;0.14552775&lt;/D&gt;&lt;D xsi:type="xsd:double"&gt;-0.028641848&lt;/D&gt;&lt;D xsi:type="xsd:double"&gt;0.28594145&lt;/D&gt;&lt;D xsi:type="xsd:double"&gt;0.31012017&lt;/D&gt;&lt;D xsi:type="xsd:double"&gt;0.25670838&lt;/D&gt;&lt;D xsi:type="xsd:double"&gt;0.2123797&lt;/D&gt;&lt;D xsi:type="xsd:double"&gt;0.24254613&lt;/D&gt;&lt;D xsi:type="xsd:double"&gt;0.37367913&lt;/D&gt;&lt;D xsi:type="xsd:double"&gt;0.3271531&lt;/D&gt;&lt;D xsi:type="xsd:double"&gt;0.35865834&lt;/D&gt;&lt;D xsi:type="xsd:double"&gt;0.019612033&lt;/D&gt;&lt;D xsi:type="xsd:double"&gt;0.27349555&lt;/D&gt;&lt;D xsi:type="xsd:double"&gt;0.2524586&lt;/D&gt;&lt;D xsi:type="xsd:double"&gt;0.25951245&lt;/D&gt;&lt;D xsi:type="xsd:double"&gt;0.22936404&lt;/D&gt;&lt;D xsi:type="xsd:double"&gt;0.19305316&lt;/D&gt;&lt;D xsi:type="xsd:double"&gt;-0.12277892&lt;/D&gt;&lt;D xsi:type="xsd:double"&gt;0.3031061&lt;/D&gt;&lt;D xsi:type="xsd:double"&gt;-0.075408295&lt;/D&gt;&lt;D xsi:type="xsd:double"&gt;0.05768385&lt;/D&gt;&lt;D xsi:type="xsd:double"&gt;0.3914327&lt;/D&gt;&lt;D xsi:type="xsd:double"&gt;0.3419187&lt;/D&gt;&lt;D xsi:type="xsd:double"&gt;0.36250973&lt;/D&gt;&lt;D xsi:type="xsd:double"&gt;0.36906764&lt;/D&gt;&lt;D xsi:type="xsd:double"&gt;0.21138793&lt;/D&gt;&lt;D xsi:type="xsd:double"&gt;0.049492814&lt;/D&gt;&lt;D xsi:type="xsd:double"&gt;1&lt;/D&gt;&lt;D xsi:type="xsd:double"&gt;0.7138852&lt;/D&gt;&lt;D xsi:type="xsd:double"&gt;0.2877426&lt;/D&gt;&lt;D xsi:type="xsd:double"&gt;0.13285092&lt;/D&gt;&lt;D xsi:type="xsd:double"&gt;0.2528032&lt;/D&gt;&lt;D xsi:type="xsd:double"&gt;0.13558584&lt;/D&gt;&lt;D xsi:type="xsd:double"&gt;0.26800707&lt;/D&gt;&lt;D xsi:type="xsd:double"&gt;-0.02124181&lt;/D&gt;&lt;D xsi:type="xsd:double"&gt;0.0795489&lt;/D&gt;&lt;D xsi:type="xsd:double"&gt;0.17336765&lt;/D&gt;&lt;D xsi:type="xsd:double"&gt;0.04171445&lt;/D&gt;&lt;D xsi:type="xsd:double"&gt;0.3273719&lt;/D&gt;&lt;D xsi:type="xsd:double"&gt;0.30358872&lt;/D&gt;&lt;D xsi:type="xsd:double"&gt;0.28028268&lt;/D&gt;&lt;D xsi:type="xsd:double"&gt;0.24290255&lt;/D&gt;&lt;D xsi:type="xsd:double"&gt;0.17184229&lt;/D&gt;&lt;D xsi:type="xsd:double"&gt;0.42642438&lt;/D&gt;&lt;D xsi:type="xsd:double"&gt;0.38833502&lt;/D&gt;&lt;D xsi:type="xsd:double"&gt;0.4215214&lt;/D&gt;&lt;D xsi:type="xsd:double"&gt;0.12091817&lt;/D&gt;&lt;D xsi:type="xsd:double"&gt;0.3368012&lt;/D&gt;&lt;D xsi:type="xsd:double"&gt;0.3237911&lt;/D&gt;&lt;D xsi:type="xsd:double"&gt;0.30769202&lt;/D&gt;&lt;D xsi:type="xsd:double"&gt;0.27842107&lt;/D&gt;&lt;D xsi:type="xsd:double"&gt;0.32065803&lt;/D&gt;&lt;D xsi:type="xsd:double"&gt;-0.054725327&lt;/D&gt;&lt;D xsi:type="xsd:double"&gt;0.4268981&lt;/D&gt;&lt;D xsi:type="xsd:double"&gt;-0.0044936882&lt;/D&gt;&lt;D xsi:type="xsd:double"&gt;0.06650752&lt;/D&gt;&lt;D xsi:type="xsd:double"&gt;0.4603323&lt;/D&gt;&lt;D xsi:type="xsd:double"&gt;0.39844224&lt;/D&gt;&lt;D xsi:type="xsd:double"&gt;0.33255085&lt;/D&gt;&lt;D xsi:type="xsd:double"&gt;0.42985836&lt;/D&gt;&lt;D xsi:type="xsd:double"&gt;0.2186692&lt;/D&gt;&lt;D xsi:type="xsd:double"&gt;0.004794801&lt;/D&gt;&lt;D xsi:type="xsd:double"&gt;0.7138852&lt;/D&gt;&lt;D xsi:type="xsd:double"&gt;1&lt;/D&gt;&lt;D xsi:type="xsd:double"&gt;0.3309725&lt;/D&gt;&lt;D xsi:type="xsd:double"&gt;0.19470198&lt;/D&gt;&lt;D xsi:type="xsd:double"&gt;0.33717504&lt;/D&gt;&lt;D xsi:type="xsd:double"&gt;0.2053843&lt;/D&gt;&lt;D xsi:type="xsd:double"&gt;0.31169486&lt;/D&gt;&lt;D xsi:type="xsd:double"&gt;0.08713375&lt;/D&gt;&lt;D xsi:type="xsd:double"&gt;0.15707095&lt;/D&gt;&lt;D xsi:type="xsd:double"&gt;0.138961&lt;/D&gt;&lt;D xsi:type="xsd:double"&gt;0.010977529&lt;/D&gt;&lt;D xsi:type="xsd:double"&gt;0.24332625&lt;/D&gt;&lt;D xsi:type="xsd:double"&gt;0.24537939&lt;/D&gt;&lt;D xsi:type="xsd:double"&gt;0.19160673&lt;/D&gt;&lt;D xsi:type="xsd:double"&gt;0.18717746&lt;/D&gt;&lt;D xsi:type="xsd:double"&gt;0.19413637&lt;/D&gt;&lt;D xsi:type="xsd:double"&gt;0.3432299&lt;/D&gt;&lt;D xsi:type="xsd:double"&gt;0.2899869&lt;/D&gt;&lt;D xsi:type="xsd:double"&gt;0.28108692&lt;/D&gt;&lt;D xsi:type="xsd:double"&gt;0.08272138&lt;/D&gt;&lt;D xsi:type="xsd:double"&gt;0.2478021&lt;/D&gt;&lt;D xsi:type="xsd:double"&gt;0.30078158&lt;/D&gt;&lt;D xsi:type="xsd:double"&gt;0.1891398&lt;/D&gt;&lt;D xsi:type="xsd:double"&gt;0.29685256&lt;/D&gt;&lt;D xsi:type="xsd:double"&gt;0.244078&lt;/D&gt;&lt;D xsi:type="xsd:double"&gt;-0.012127049&lt;/D&gt;&lt;D xsi:type="xsd:double"&gt;0.2504429&lt;/D&gt;&lt;D xsi:type="xsd:double"&gt;-0.07414621&lt;/D&gt;&lt;D xsi:type="xsd:double"&gt;0.21283594&lt;/D&gt;&lt;D xsi:type="xsd:double"&gt;0.34748405&lt;/D&gt;&lt;D xsi:type="xsd:double"&gt;0.35925728&lt;/D&gt;&lt;D xsi:type="xsd:double"&gt;0.20025006&lt;/D&gt;&lt;D xsi:type="xsd:double"&gt;0.27392474&lt;/D&gt;&lt;D xsi:type="xsd:double"&gt;0.21463935&lt;/D&gt;&lt;D xsi:type="xsd:double"&gt;0.10873049&lt;/D&gt;&lt;D xsi:type="xsd:double"&gt;0.2877426&lt;/D&gt;&lt;D xsi:type="xsd:double"&gt;0.3309725&lt;/D&gt;&lt;D xsi:type="xsd:double"&gt;1&lt;/D&gt;&lt;D xsi:type="xsd:double"&gt;0.17898272&lt;/D&gt;&lt;D xsi:type="xsd:double"&gt;0.09653021&lt;/D&gt;&lt;D xsi:type="xsd:double"&gt;0.016723461&lt;/D&gt;&lt;D xsi:type="xsd:double"&gt;0.20272684&lt;/D&gt;&lt;D xsi:type="xsd:double"&gt;-0.06231447&lt;/D&gt;&lt;D xsi:type="xsd:double"&gt;0.44326633&lt;/D&gt;&lt;D xsi:type="xsd:double"&gt;0.17801748&lt;/D&gt;&lt;D xsi:type="xsd:double"&gt;0.062595956&lt;/D&gt;&lt;D xsi:type="xsd:double"&gt;0.12904733&lt;/D&gt;&lt;D xsi:type="xsd:double"&gt;0.18998167&lt;/D&gt;&lt;D xsi:type="xsd:double"&gt;0.20442711&lt;/D&gt;&lt;D xsi:type="xsd:double"&gt;0.1559833&lt;/D&gt;&lt;D xsi:type="xsd:double"&gt;0.40221405&lt;/D&gt;&lt;D xsi:type="xsd:double"&gt;0.20998578&lt;/D&gt;&lt;D xsi:type="xsd:double"&gt;0.23161004&lt;/D&gt;&lt;D xsi:type="xsd:double"&gt;0.22214368&lt;/D&gt;&lt;D xsi:type="xsd:double"&gt;0.11057861&lt;/D&gt;&lt;D xsi:type="xsd:double"&gt;0.18669213&lt;/D&gt;&lt;D xsi:type="xsd:double"&gt;0.21304756&lt;/D&gt;&lt;D xsi:type="xsd:double"&gt;0.081055865&lt;/D&gt;&lt;D xsi:type="xsd:double"&gt;0.10855271&lt;/D&gt;&lt;D xsi:type="xsd:double"&gt;0.23117582&lt;/D&gt;&lt;D xsi:type="xsd:double"&gt;0.055007394&lt;/D&gt;&lt;D xsi:type="xsd:double"&gt;0.22346146&lt;/D&gt;&lt;D xsi:type="xsd:double"&gt;0.106420085&lt;/D&gt;&lt;D xsi:type="xsd:double"&gt;0.052847072&lt;/D&gt;&lt;D xsi:type="xsd:double"&gt;0.24459463&lt;/D&gt;&lt;D xsi:type="xsd:double"&gt;0.25416097&lt;/D&gt;&lt;D xsi:type="xsd:double"&gt;0.18445571&lt;/D&gt;&lt;D xsi:type="xsd:double"&gt;0.19902799&lt;/D&gt;&lt;D xsi:type="xsd:double"&gt;0.09641192&lt;/D&gt;&lt;D xsi:type="xsd:double"&gt;0.040733922&lt;/D&gt;&lt;D xsi:type="xsd:double"&gt;0.13285092&lt;/D&gt;&lt;D xsi:type="xsd:double"&gt;0.19470198&lt;/D&gt;&lt;D xsi:type="xsd:double"&gt;0.17898272&lt;/D&gt;&lt;D xsi:type="xsd:double"&gt;1&lt;/D&gt;&lt;D xsi:type="xsd:double"&gt;0.1116133&lt;/D&gt;&lt;D xsi:type="xsd:double"&gt;0.0008258266&lt;/D&gt;&lt;D xsi:type="xsd:double"&gt;0.16492105&lt;/D&gt;&lt;D xsi:type="xsd:double"&gt;0.09241501&lt;/D&gt;&lt;D xsi:type="xsd:double"&gt;0.091334425&lt;/D&gt;&lt;D xsi:type="xsd:double"&gt;0.5021676&lt;/D&gt;&lt;D xsi:type="xsd:double"&gt;0.059947733&lt;/D&gt;&lt;D xsi:type="xsd:double"&gt;0.33050662&lt;/D&gt;&lt;D xsi:type="xsd:double"&gt;0.271194&lt;/D&gt;&lt;D xsi:type="xsd:double"&gt;0.20559439&lt;/D&gt;&lt;D xsi:type="xsd:double"&gt;0.18944849&lt;/D&gt;&lt;D xsi:type="xsd:double"&gt;0.14313129&lt;/D&gt;&lt;D xsi:type="xsd:double"&gt;0.32206205&lt;/D&gt;&lt;D xsi:type="xsd:double"&gt;0.22954237&lt;/D&gt;&lt;D xsi:type="xsd:double"&gt;0.3470274&lt;/D&gt;&lt;D xsi:type="xsd:double"&gt;0.08992614&lt;/D&gt;&lt;D xsi:type="xsd:double"&gt;0.22483484&lt;/D&gt;&lt;D xsi:type="xsd:double"&gt;0.20800872&lt;/D&gt;&lt;D xsi:type="xsd:double"&gt;0.22136728&lt;/D&gt;&lt;D xsi:type="xsd:double"&gt;0.26924542&lt;/D&gt;&lt;D xsi:type="xsd:double"&gt;0.3529354&lt;/D&gt;&lt;D xsi:type="xsd:double"&gt;0.011593699&lt;/D&gt;&lt;D xsi:type="xsd:double"&gt;0.3592497&lt;/D&gt;&lt;D xsi:type="xsd:double"&gt;0.084511384&lt;/D&gt;&lt;D xsi:type="xsd:double"&gt;0.024662735&lt;/D&gt;&lt;D xsi:type="xsd:double"&gt;0.3376322&lt;/D&gt;&lt;D xsi:type="xsd:double"&gt;0.23686369&lt;/D&gt;&lt;D xsi:type="xsd:double"&gt;0.2529854&lt;/D&gt;&lt;D xsi:type="xsd:double"&gt;0.31384042&lt;/D&gt;&lt;D xsi:type="xsd:double"&gt;0.25076324&lt;/D&gt;&lt;D xsi:type="xsd:double"&gt;0.07919715&lt;/D&gt;&lt;D xsi:type="xsd:double"&gt;0.2528032&lt;/D&gt;&lt;D xsi:type="xsd:double"&gt;0.33717504&lt;/D&gt;&lt;D xsi:type="xsd:double"&gt;0.09653021&lt;/D&gt;&lt;D xsi:type="xsd:double"&gt;0.1116133&lt;/D&gt;&lt;D xsi:type="xsd:double"&gt;1&lt;/D&gt;&lt;D xsi:type="xsd:double"&gt;0.17546323&lt;/D&gt;&lt;D xsi:type="xsd:double"&gt;0.21205032&lt;/D&gt;&lt;D xsi:type="xsd:double"&gt;0.04399474&lt;/D&gt;&lt;D xsi:type="xsd:double"&gt;0.09690955&lt;/D&gt;&lt;D xsi:type="xsd:double"&gt;0.09188373&lt;/D&gt;&lt;D xsi:type="xsd:double"&gt;-0.057924442&lt;/D&gt;&lt;D xsi:type="xsd:double"&gt;0.22935522&lt;/D&gt;&lt;D xsi:type="xsd:double"&gt;0.20074509&lt;/D&gt;&lt;D xsi:type="xsd:double"&gt;-0.15405548&lt;/D&gt;&lt;D xsi:type="xsd:double"&gt;-0.06535529&lt;/D&gt;&lt;D xsi:type="xsd:double"&gt;-0.07953433&lt;/D&gt;&lt;D xsi:type="xsd:double"&gt;0.22432533&lt;/D&gt;&lt;D xsi:type="xsd:double"&gt;0.059079114&lt;/D&gt;&lt;D xsi:type="xsd:double"&gt;0.3329314&lt;/D&gt;&lt;D xsi:type="xsd:double"&gt;0.17917453&lt;/D&gt;&lt;D xsi:type="xsd:double"&gt;0.015824562&lt;/D&gt;&lt;D xsi:type="xsd:double"&gt;0.1104657&lt;/D&gt;&lt;D xsi:type="xsd:double"&gt;0.255292&lt;/D&gt;&lt;D xsi:type="xsd:double"&gt;0.13867246&lt;/D&gt;&lt;D xsi:type="xsd:double"&gt;0.23308715&lt;/D&gt;&lt;D xsi:type="xsd:double"&gt;0.2537712&lt;/D&gt;&lt;D xsi:type="xsd:double"&gt;0.25364012&lt;/D&gt;&lt;D xsi:type="xsd:double"&gt;0.07863597&lt;/D&gt;&lt;D xsi:type="xsd:double"&gt;-0.010600371&lt;/D&gt;&lt;D xsi:type="xsd:double"&gt;0.2662884&lt;/D&gt;&lt;D xsi:type="xsd:double"&gt;-0.010164931&lt;/D&gt;&lt;D xsi:type="xsd:double"&gt;0.10309486&lt;/D&gt;&lt;D xsi:type="xsd:double"&gt;0.3115614&lt;/D&gt;&lt;D xsi:type="xsd:double"&gt;0.06819944&lt;/D&gt;&lt;D xsi:type="xsd:double"&gt;0.09606229&lt;/D&gt;&lt;D xsi:type="xsd:double"&gt;0.13558584&lt;/D&gt;&lt;D xsi:type="xsd:double"&gt;0.2053843&lt;/D&gt;&lt;D xsi:type="xsd:double"&gt;0.016723461&lt;/D&gt;&lt;D xsi:type="xsd:double"&gt;0.0008258266&lt;/D&gt;&lt;D xsi:type="xsd:double"&gt;0.17546323&lt;/D&gt;&lt;D xsi:type="xsd:double"&gt;1&lt;/D&gt;&lt;D xsi:type="xsd:double"&gt;0.122618124&lt;/D&gt;&lt;D xsi:type="xsd:double"&gt;0.09116485&lt;/D&gt;&lt;D xsi:type="xsd:double"&gt;-0.018513257&lt;/D&gt;&lt;D xsi:type="xsd:double"&gt;-0.101136655&lt;/D&gt;&lt;D xsi:type="xsd:double"&gt;0.21595953&lt;/D&gt;&lt;D xsi:type="xsd:double"&gt;0.3507537&lt;/D&gt;&lt;D xsi:type="xsd:double"&gt;0.32113594&lt;/D&gt;&lt;D xsi:type="xsd:double"&gt;0.30684644&lt;/D&gt;&lt;D xsi:type="xsd:double"&gt;0.4734297&lt;/D&gt;&lt;D xsi:type="xsd:double"&gt;0.17199817&lt;/D&gt;&lt;D xsi:type="xsd:double"&gt;0.4890849&lt;/D&gt;&lt;D xsi:type="xsd:double"&gt;0.5575415&lt;/D&gt;&lt;D xsi:type="xsd:double"&gt;0.40942347&lt;/D&gt;&lt;D xsi:type="xsd:double"&gt;0.028851254&lt;/D&gt;&lt;D xsi:type="xsd:double"&gt;0.3602085&lt;/D&gt;&lt;D xsi:type="xsd:double"&gt;0.54583&lt;/D&gt;&lt;D xsi:type="xsd:double"&gt;0.25077412&lt;/D&gt;&lt;D xsi:type="xsd:double"&gt;0.3286871&lt;/D&gt;&lt;D xsi:type="xsd:double"&gt;0.36547488&lt;/D&gt;&lt;D xsi:type="xsd:double"&gt;0.08627242&lt;/D&gt;&lt;D xsi:type="xsd:double"&gt;0.30109495&lt;/D&gt;&lt;D xsi:type="xsd:double"&gt;0.0984504&lt;/D&gt;&lt;D xsi:type="xsd:double"&gt;0.16404079&lt;/D&gt;&lt;D xsi:type="xsd:double"&gt;0.46701738&lt;/D&gt;&lt;D xsi:type="xsd:double"&gt;0.51709276&lt;/D&gt;&lt;D xsi:type="xsd:double"&gt;0.2575241&lt;/D&gt;&lt;D xsi:type="xsd:double"&gt;0.2128021&lt;/D&gt;&lt;D xsi:type="xsd:double"&gt;0.2556804&lt;/D&gt;&lt;D xsi:type="xsd:double"&gt;0.14665088&lt;/D&gt;&lt;D xsi:type="xsd:double"&gt;0.26800707&lt;/D&gt;&lt;D xsi:type="xsd:double"&gt;0.31169486&lt;/D&gt;&lt;D xsi:type="xsd:double"&gt;0.20272684&lt;/D&gt;&lt;D xsi:type="xsd:double"&gt;0.16492105&lt;/D&gt;&lt;D xsi:type="xsd:double"&gt;0.21205032&lt;/D&gt;&lt;D xsi:type="xsd:double"&gt;0.122618124&lt;/D&gt;&lt;D xsi:type="xsd:double"&gt;1&lt;/D&gt;&lt;D xsi:type="xsd:double"&gt;0.15522352&lt;/D&gt;&lt;D xsi:type="xsd:double"&gt;0.08922366&lt;/D&gt;&lt;D xsi:type="xsd:double"&gt;0.18899372&lt;/D&gt;&lt;D xsi:type="xsd:double"&gt;0.27851138&lt;/D&gt;&lt;D xsi:type="xsd:double"&gt;0.18346831&lt;/D&gt;&lt;D xsi:type="xsd:double"&gt;0.08721494&lt;/D&gt;&lt;D xsi:type="xsd:double"&gt;0.2211346&lt;/D&gt;&lt;D xsi:type="xsd:double"&gt;0.17918077&lt;/D&gt;&lt;D xsi:type="xsd:double"&gt;0.060206905&lt;/D&gt;&lt;D xsi:type="xsd:double"&gt;0.103094235&lt;/D&gt;&lt;D xsi:type="xsd:double"&gt;0.14176403&lt;/D&gt;&lt;D xsi:type="xsd:double"&gt;-0.006852788&lt;/D&gt;&lt;D xsi:type="xsd:double"&gt;0.24307357&lt;/D&gt;&lt;D xsi:type="xsd:double"&gt;0.22089727&lt;/D&gt;&lt;D xsi:type="xsd:double"&gt;0.10563742&lt;/D&gt;&lt;D xsi:type="xsd:double"&gt;0.085949704&lt;/D&gt;&lt;D xsi:type="xsd:double"&gt;0.08267522&lt;/D&gt;&lt;D xsi:type="xsd:double"&gt;0.062133037&lt;/D&gt;&lt;D xsi:type="xsd:double"&gt;0.28895235&lt;/D&gt;&lt;D xsi:type="xsd:double"&gt;0.14071634&lt;/D&gt;&lt;D xsi:type="xsd:double"&gt;0.45799685&lt;/D&gt;&lt;D xsi:type="xsd:double"&gt;0.038051024&lt;/D&gt;&lt;D xsi:type="xsd:double"&gt;0.13644704&lt;/D&gt;&lt;D xsi:type="xsd:double"&gt;0.23379037&lt;/D&gt;&lt;D xsi:type="xsd:double"&gt;0.13056427&lt;/D&gt;&lt;D xsi:type="xsd:double"&gt;0.028714867&lt;/D&gt;&lt;D xsi:type="xsd:double"&gt;-0.028452078&lt;/D&gt;&lt;D xsi:type="xsd:double"&gt;0.1305134&lt;/D&gt;&lt;D xsi:type="xsd:double"&gt;-0.02124181&lt;/D&gt;&lt;D xsi:type="xsd:double"&gt;0.08713375&lt;/D&gt;&lt;D xsi:type="xsd:double"&gt;-0.06231447&lt;/D&gt;&lt;D xsi:type="xsd:double"&gt;0.09241501&lt;/D&gt;&lt;D xsi:type="xsd:double"&gt;0.04399474&lt;/D&gt;&lt;D xsi:type="xsd:double"&gt;0.09116485&lt;/D&gt;&lt;D xsi:type="xsd:double"&gt;0.15522352&lt;/D&gt;&lt;D xsi:type="xsd:double"&gt;1&lt;/D&gt;&lt;D xsi:type="xsd:double"&gt;-0.08034415&lt;/D&gt;&lt;D xsi:type="xsd:double"&gt;0.090565026&lt;/D&gt;&lt;D xsi:type="xsd:double"&gt;-0.081626385&lt;/D&gt;&lt;D xsi:type="xsd:double"&gt;0.14472236&lt;/D&gt;&lt;D xsi:type="xsd:double"&gt;0.08399707&lt;/D&gt;&lt;D xsi:type="xsd:double"&gt;0.13994803&lt;/D&gt;&lt;D xsi:type="xsd:double"&gt;0.04571599&lt;/D&gt;&lt;D xsi:type="xsd:double"&gt;0.18960677&lt;/D&gt;&lt;D xsi:type="xsd:double"&gt;0.15262116&lt;/D&gt;&lt;D xsi:type="xsd:double"&gt;0.17432123&lt;/D&gt;&lt;D xsi:type="xsd:double"&gt;0.13194348&lt;/D&gt;&lt;D xsi:type="xsd:double"&gt;0.06709935&lt;/D&gt;&lt;D xsi:type="xsd:double"&gt;0.10239949&lt;/D&gt;&lt;D xsi:type="xsd:double"&gt;0.1936285&lt;/D&gt;&lt;D xsi:type="xsd:double"&gt;0.25352132&lt;/D&gt;&lt;D xsi:type="xsd:double"&gt;0.21141453&lt;/D&gt;&lt;D xsi:type="xsd:double"&gt;0.09497922&lt;/D&gt;&lt;D xsi:type="xsd:double"&gt;-0.1712775&lt;/D&gt;&lt;D xsi:type="xsd:double"&gt;0.24937627&lt;/D&gt;&lt;D xsi:type="xsd:double"&gt;-0.091191195&lt;/D&gt;&lt;D xsi:type="xsd:double"&gt;0.13013668&lt;/D&gt;&lt;D xsi:type="xsd:double"&gt;0.2015456&lt;/D&gt;&lt;D xsi:type="xsd:double"&gt;0.18960334&lt;/D&gt;&lt;D xsi:type="xsd:double"&gt;0.13286468&lt;/D&gt;&lt;D xsi:type="xsd:double"&gt;0.085260846&lt;/D&gt;&lt;D xsi:type="xsd:double"&gt;0.08018635&lt;/D&gt;&lt;D xsi:type="xsd:double"&gt;-0.009925574&lt;/D&gt;&lt;D xsi:type="xsd:double"&gt;0.0795489&lt;/D&gt;&lt;D xsi:type="xsd:double"&gt;0.15707095&lt;/D&gt;&lt;D xsi:type="xsd:double"&gt;0.44326633&lt;/D&gt;&lt;D xsi:type="xsd:double"&gt;0.091334425&lt;/D&gt;&lt;D xsi:type="xsd:double"&gt;0.09690955&lt;/D&gt;&lt;D xsi:type="xsd:double"&gt;-0.018513257&lt;/D&gt;&lt;D xsi:type="xsd:double"&gt;0.08922366&lt;/D&gt;&lt;D xsi:type="xsd:double"&gt;-0.08034415&lt;/D&gt;&lt;D xsi:type="xsd:double"&gt;1&lt;/D&gt;&lt;D xsi:type="xsd:double"&gt;0.18539235&lt;/D&gt;&lt;D xsi:type="xsd:double"&gt;0.119410895&lt;/D&gt;&lt;D xsi:type="xsd:double"&gt;0.19459611&lt;/D&gt;&lt;D xsi:type="xsd:double"&gt;0.13332832&lt;/D&gt;&lt;D xsi:type="xsd:double"&gt;0.20510608&lt;/D&gt;&lt;D xsi:type="xsd:double"&gt;0.1861758&lt;/D&gt;&lt;D xsi:type="xsd:double"&gt;0.5607699&lt;/D&gt;&lt;D xsi:type="xsd:double"&gt;0.22183733&lt;/D&gt;&lt;D xsi:type="xsd:double"&gt;0.27632&lt;/D&gt;&lt;D xsi:type="xsd:double"&gt;0.18057477&lt;/D&gt;&lt;D xsi:type="xsd:double"&gt;0.03767832&lt;/D&gt;&lt;D xsi:type="xsd:double"&gt;0.16291605&lt;/D&gt;&lt;D xsi:type="xsd:double"&gt;0.2866781&lt;/D&gt;&lt;D xsi:type="xsd:double"&gt;0.11454571&lt;/D&gt;&lt;D xsi:type="xsd:double"&gt;0.17663784&lt;/D&gt;&lt;D xsi:type="xsd:double"&gt;0.053427767&lt;/D&gt;&lt;D xsi:type="xsd:double"&gt;0.054096166&lt;/D&gt;&lt;D xsi:type="xsd:double"&gt;0.23989664&lt;/D&gt;&lt;D xsi:type="xsd:double"&gt;0.095930986&lt;/D&gt;&lt;D xsi:type="xsd:double"&gt;0.16925551&lt;/D&gt;&lt;D xsi:type="xsd:double"&gt;0.21400745&lt;/D&gt;&lt;D xsi:type="xsd:double"&gt;0.26728672&lt;/D&gt;&lt;D xsi:type="xsd:double"&gt;0.15268478&lt;/D&gt;&lt;D xsi:type="xsd:double"&gt;0.16420178&lt;/D&gt;&lt;D xsi:type="xsd:double"&gt;0.13080645&lt;/D&gt;&lt;D xsi:type="xsd:double"&gt;0.14552775&lt;/D&gt;&lt;D xsi:type="xsd:double"&gt;0.17336765&lt;/D&gt;&lt;D xsi:type="xsd:double"&gt;0.138961&lt;/D&gt;&lt;D xsi:type="xsd:double"&gt;0.17801748&lt;/D&gt;&lt;D xsi:type="xsd:double"&gt;0.5021676&lt;/D&gt;&lt;D xsi:type="xsd:double"&gt;0.09188373&lt;/D&gt;&lt;D xsi:type="xsd:double"&gt;-0.101136655&lt;/D&gt;&lt;D xsi:type="xsd:double"&gt;0.18899372&lt;/D&gt;&lt;D xsi:type="xsd:double"&gt;0.090565026&lt;/D&gt;&lt;D xsi:type="xsd:double"&gt;0.18539235&lt;/D&gt;&lt;D xsi:type="xsd:double"&gt;1&lt;/D&gt;&lt;/FQL&gt;&lt;FQL&gt;&lt;Q&gt;^IDS&lt;/Q&gt;&lt;R&gt;35&lt;/R&gt;&lt;C&gt;1&lt;/C&gt;&lt;D xsi:type="xsd:string"&gt;TSM-US&lt;/D&gt;&lt;D xsi:type="xsd:string"&gt;HWDN-GB&lt;/D&gt;&lt;D xsi:type="xsd:string"&gt;LSEG-GB&lt;/D&gt;&lt;D xsi:type="xsd:string"&gt;MC-FR&lt;/D&gt;&lt;D xsi:type="xsd:string"&gt;ASML-NL&lt;/D&gt;&lt;D xsi:type="xsd:string"&gt;1299-HK&lt;/D&gt;&lt;D xsi:type="xsd:string"&gt;EXPN-GB&lt;/D&gt;&lt;D xsi:type="xsd:string"&gt;AIR-FR&lt;/D&gt;&lt;D xsi:type="xsd:string"&gt;DB1-DE&lt;/D&gt;&lt;D xsi:type="xsd:string"&gt;HDB-US&lt;/D&gt;&lt;D xsi:type="xsd:string"&gt;CFR-CH&lt;/D&gt;&lt;D xsi:type="xsd:string"&gt;SAF-FR&lt;/D&gt;&lt;D xsi:type="xsd:string"&gt;CTEC-GB&lt;/D&gt;&lt;D xsi:type="xsd:string"&gt;RTO-GB&lt;/D&gt;&lt;D xsi:type="xsd:string"&gt;WKL-NL&lt;/D&gt;&lt;D xsi:type="xsd:string"&gt;BKNG-US&lt;/D&gt;&lt;D xsi:type="xsd:string"&gt;KNEBV-FI&lt;/D&gt;&lt;D xsi:type="xsd:string"&gt;NXPI-US&lt;/D&gt;&lt;D xsi:type="xsd:string"&gt;BBRI-ID&lt;/D&gt;&lt;D xsi:type="xsd:string"&gt;AMS-ES&lt;/D&gt;&lt;D xsi:type="xsd:string"&gt;ATCO.B-SE&lt;/D&gt;&lt;D xsi:type="xsd:string"&gt;DGE-GB&lt;/D&gt;&lt;D xsi:type="xsd:string"&gt;CPG-GB&lt;/D&gt;&lt;D xsi:type="xsd:string"&gt;EVD-DE&lt;/D&gt;&lt;D xsi:type="xsd:string"&gt;B3SA3-BR&lt;/D&gt;&lt;D xsi:type="xsd:string"&gt;AZN-GB&lt;/D&gt;&lt;D xsi:type="xsd:string"&gt;ROG-CH&lt;/D&gt;&lt;D xsi:type="xsd:string"&gt;6861-JP&lt;/D&gt;&lt;D xsi:type="xsd:string"&gt;2020-HK&lt;/D&gt;&lt;D xsi:type="xsd:string"&gt;UMG-NL&lt;/D&gt;&lt;D xsi:type="xsd:string"&gt;WCN-CA&lt;/D&gt;&lt;D xsi:type="xsd:string"&gt;SAP-DE&lt;/D&gt;&lt;D xsi:type="xsd:string"&gt;CNR-CA&lt;/D&gt;&lt;D xsi:type="xsd:string"&gt;7309-JP&lt;/D&gt;&lt;D xsi:type="xsd:string"&gt;700-HK&lt;/D&gt;&lt;/FQL&gt;&lt;FQL&gt;&lt;Q&gt;DUMMY^FLOAT_ARRAY CORRELMATRIX=GET_FQL_ARRAY(IDS,'P_PRICE_RETURNS(0,45961,45961-1AY,D,USD)');'FDS CODE - DO NOT DELETE'&lt;/Q&gt;&lt;R&gt;1&lt;/R&gt;&lt;C&gt;1&lt;/C&gt;&lt;D xsi:type="xsd:string"&gt;FDS CODE - DO NOT DELETE&lt;/D&gt;&lt;/FQL&gt;&lt;FQL&gt;&lt;Q&gt;DUMMY^STRING_ARRAY IDS=TICKER_LIST('TSM-US HWDN-GB LSEG-GB MC-FR ASML-NL 1299-HK EXPN-GB AIR-FR DB1-DE HDB-US CFR-CH SAF-FR CTEC-GB RTO-GB WKL-NL BKNG-US KNEBV-FI NXPI-US BBRI-ID AMS-ES ATCO.B-SE DGE-GB CPG-GB EVD-DE B3SA3-BR AZN-GB ROG-CH 6861-JP 2020-HK UMG-NL WCN-CA SAP-DE CNR-CA 7309-JP 700-HK');"FDS CODE - DO NOT DELETE"&lt;/Q&gt;&lt;R&gt;1&lt;/R&gt;&lt;C&gt;1&lt;/C&gt;&lt;D xsi:type="xsd:string"&gt;FDS CODE - DO NOT DELETE&lt;/D&gt;&lt;/FQL&gt;&lt;FQL&gt;&lt;Q&gt;DUMMY^PROPER("CORRELATION OF DAILY DATA BETWEEN ") + FG_DATE(45961-1AY) + LOWERCASE(" AND ") + FG_DATE(45961) + LOWERCASE(":")&lt;/Q&gt;&lt;R&gt;1&lt;/R&gt;&lt;C&gt;1&lt;/C&gt;&lt;D xsi:type="xsd:string"&gt;Correlation Of Daily Data Between 10/31/2024 and 10/31/2025:&lt;/D&gt;&lt;/FQL&gt;&lt;FQL&gt;&lt;Q&gt;TSM-US^FG_COMPANY_NAME&lt;/Q&gt;&lt;R&gt;1&lt;/R&gt;&lt;C&gt;1&lt;/C&gt;&lt;D xsi:type="xsd:string"&gt;Taiwan Semiconductor Manufacturing Co., Ltd. Sponsored ADR&lt;/D&gt;&lt;/FQL&gt;&lt;FQL&gt;&lt;Q&gt;HWDN-GB^FG_COMPANY_NAME&lt;/Q&gt;&lt;R&gt;1&lt;/R&gt;&lt;C&gt;1&lt;/C&gt;&lt;D xsi:type="xsd:string"&gt;Howden Joinery Group PLC&lt;/D&gt;&lt;/FQL&gt;&lt;FQL&gt;&lt;Q&gt;LSEG-GB^FG_COMPANY_NAME&lt;/Q&gt;&lt;R&gt;1&lt;/R&gt;&lt;C&gt;1&lt;/C&gt;&lt;D xsi:type="xsd:string"&gt;London Stock Exchange Group plc&lt;/D&gt;&lt;/FQL&gt;&lt;FQL&gt;&lt;Q&gt;MC-FR^FG_COMPANY_NAME&lt;/Q&gt;&lt;R&gt;1&lt;/R&gt;&lt;C&gt;1&lt;/C&gt;&lt;D xsi:type="xsd:string"&gt;LVMH Moet Hennessy Louis Vuitton SE&lt;/D&gt;&lt;/FQL&gt;&lt;FQL&gt;&lt;Q&gt;ASML-NL^FG_COMPANY_NAME&lt;/Q&gt;&lt;R&gt;1&lt;/R&gt;&lt;C&gt;1&lt;/C&gt;&lt;D xsi:type="xsd:string"&gt;ASML Holding NV&lt;/D&gt;&lt;/FQL&gt;&lt;FQL&gt;&lt;Q&gt;1299-HK^FG_COMPANY_NAME&lt;/Q&gt;&lt;R&gt;1&lt;/R&gt;&lt;C&gt;1&lt;/C&gt;&lt;D xsi:type="xsd:string"&gt;AIA Group Limited&lt;/D&gt;&lt;/FQL&gt;&lt;FQL&gt;&lt;Q&gt;EXPN-GB^FG_COMPANY_NAME&lt;/Q&gt;&lt;R&gt;1&lt;/R&gt;&lt;C&gt;1&lt;/C&gt;&lt;D xsi:type="xsd:string"&gt;Experian PLC&lt;/D&gt;&lt;/FQL&gt;&lt;FQL&gt;&lt;Q&gt;AIR-FR^FG_COMPANY_NAME&lt;/Q&gt;&lt;R&gt;1&lt;/R&gt;&lt;C&gt;1&lt;/C&gt;&lt;D xsi:type="xsd:string"&gt;Airbus SE&lt;/D&gt;&lt;/FQL&gt;&lt;FQL&gt;&lt;Q&gt;DB1-DE^FG_COMPANY_NAME&lt;/Q&gt;&lt;R&gt;1&lt;/R&gt;&lt;C&gt;1&lt;/C&gt;&lt;D xsi:type="xsd:string"&gt;Deutsche Boerse AG&lt;/D&gt;&lt;/FQL&gt;&lt;FQL&gt;&lt;Q&gt;HDB-US^FG_COMPANY_NAME&lt;/Q&gt;&lt;R&gt;1&lt;/R&gt;&lt;C&gt;1&lt;/C&gt;&lt;D xsi:type="xsd:string"&gt;HDFC Bank Limited Sponsored ADR&lt;/D&gt;&lt;/FQL&gt;&lt;FQL&gt;&lt;Q&gt;CFR-CH^FG_COMPANY_NAME&lt;/Q&gt;&lt;R&gt;1&lt;/R&gt;&lt;C&gt;1&lt;/C&gt;&lt;D xsi:type="xsd:string"&gt;Compagnie Financiere Richemont SA&lt;/D&gt;&lt;/FQL&gt;&lt;FQL&gt;&lt;Q&gt;SAF-FR^FG_COMPANY_NAME&lt;/Q&gt;&lt;R&gt;1&lt;/R&gt;&lt;C&gt;1&lt;/C&gt;&lt;D xsi:type="xsd:string"&gt;Safran SA&lt;/D&gt;&lt;/FQL&gt;&lt;FQL&gt;&lt;Q&gt;CTEC-GB^FG_COMPANY_NAME&lt;/Q&gt;&lt;R&gt;1&lt;/R&gt;&lt;C&gt;1&lt;/C&gt;&lt;D xsi:type="xsd:string"&gt;ConvaTec Group Plc&lt;/D&gt;&lt;/FQL&gt;&lt;FQL&gt;&lt;Q&gt;RTO-GB^FG_COMPANY_NAME&lt;/Q&gt;&lt;R&gt;1&lt;/R&gt;&lt;C&gt;1&lt;/C&gt;&lt;D xsi:type="xsd:string"&gt;Rentokil Initial plc&lt;/D&gt;&lt;/FQL&gt;&lt;FQL&gt;&lt;Q&gt;WKL-NL^FG_COMPANY_NAME&lt;/Q&gt;&lt;R&gt;1&lt;/R&gt;&lt;C&gt;1&lt;/C&gt;&lt;D xsi:type="xsd:string"&gt;Wolters Kluwer N.V.&lt;/D&gt;&lt;/FQL&gt;&lt;FQL&gt;&lt;Q&gt;BKNG-US^FG_COMPANY_NAME&lt;/Q&gt;&lt;R&gt;1&lt;/R&gt;&lt;C&gt;1&lt;/C&gt;&lt;D xsi:type="xsd:string"&gt;Booking Holdings Inc.&lt;/D&gt;&lt;/FQL&gt;&lt;FQL&gt;&lt;Q&gt;KNEBV-FI^FG_COMPANY_NAME&lt;/Q&gt;&lt;R&gt;1&lt;/R&gt;&lt;C&gt;1&lt;/C&gt;&lt;D xsi:type="xsd:string"&gt;KONE Oyj Class B&lt;/D&gt;&lt;/FQL&gt;&lt;FQL&gt;&lt;Q&gt;NXPI-US^FG_COMPANY_NAME&lt;/Q&gt;&lt;R&gt;1&lt;/R&gt;&lt;C&gt;1&lt;/C&gt;&lt;D xsi:type="xsd:string"&gt;NXP Semiconductors NV&lt;/D&gt;&lt;/FQL&gt;&lt;FQL&gt;&lt;Q&gt;BBRI-ID^FG_COMPANY_NAME&lt;/Q&gt;&lt;R&gt;1&lt;/R&gt;&lt;C&gt;1&lt;/C&gt;&lt;D xsi:type="xsd:string"&gt;PT Bank Rakyat Indonesia (Persero) Tbk Class B&lt;/D&gt;&lt;/FQL&gt;&lt;FQL&gt;&lt;Q&gt;AMS-ES^FG_COMPANY_NAME&lt;/Q&gt;&lt;R&gt;1&lt;/R&gt;&lt;C&gt;1&lt;/C&gt;&lt;D xsi:type="xsd:string"&gt;Amadeus IT Group SA Class A&lt;/D&gt;&lt;/FQL&gt;&lt;FQL&gt;&lt;Q&gt;ATCO.B-SE^FG_COMPANY_NAME&lt;/Q&gt;&lt;R&gt;1&lt;/R&gt;&lt;C&gt;1&lt;/C&gt;&lt;D xsi:type="xsd:string"&gt;Atlas Copco AB Class B&lt;/D&gt;&lt;/FQL&gt;&lt;FQL&gt;&lt;Q&gt;DGE-GB^FG_COMPANY_NAME&lt;/Q&gt;&lt;R&gt;1&lt;/R&gt;&lt;C&gt;1&lt;/C&gt;&lt;D xsi:type="xsd:string"&gt;Diageo plc&lt;/D&gt;&lt;/FQL&gt;&lt;FQL&gt;&lt;Q&gt;CPG-GB^FG_COMPANY_NAME&lt;/Q&gt;&lt;R&gt;1&lt;/R&gt;&lt;C&gt;1&lt;/C&gt;&lt;D xsi:type="xsd:string"&gt;Compass Group PLC&lt;/D&gt;&lt;/FQL&gt;&lt;FQL&gt;&lt;Q&gt;EVD-DE^FG_COMPANY_NAME&lt;/Q&gt;&lt;R&gt;1&lt;/R&gt;&lt;C&gt;1&lt;/C&gt;&lt;D xsi:type="xsd:string"&gt;CTS Eventim AG &amp;amp; Co. KGaA&lt;/D&gt;&lt;/FQL&gt;&lt;FQL&gt;&lt;Q&gt;B3SA3-BR^FG_COMPANY_NAME&lt;/Q&gt;&lt;R&gt;1&lt;/R&gt;&lt;C&gt;1&lt;/C&gt;&lt;D xsi:type="xsd:string"&gt;B3 SA - Brasil, Bolsa, Balcao&lt;/D&gt;&lt;/FQL&gt;&lt;FQL&gt;&lt;Q&gt;AZN-GB^FG_COMPANY_NAME&lt;/Q&gt;&lt;R&gt;1&lt;/R&gt;&lt;C&gt;1&lt;/C&gt;&lt;D xsi:type="xsd:string"&gt;AstraZeneca PLC&lt;/D&gt;&lt;/FQL&gt;&lt;FQL&gt;&lt;Q&gt;ROG-CH^FG_COMPANY_NAME&lt;/Q&gt;&lt;R&gt;1&lt;/R&gt;&lt;C&gt;1&lt;/C&gt;&lt;D xsi:type="xsd:string"&gt;Roche Holding Ltd Dividend Right Cert.&lt;/D&gt;&lt;/FQL&gt;&lt;FQL&gt;&lt;Q&gt;6861-JP^FG_COMPANY_NAME&lt;/Q&gt;&lt;R&gt;1&lt;/R&gt;&lt;C&gt;1&lt;/C&gt;&lt;D xsi:type="xsd:string"&gt;Keyence Corporation&lt;/D&gt;&lt;/FQL&gt;&lt;FQL&gt;&lt;Q&gt;2020-HK^FG_COMPANY_NAME&lt;/Q&gt;&lt;R&gt;1&lt;/R&gt;&lt;C&gt;1&lt;/C&gt;&lt;D xsi:type="xsd:string"&gt;ANTA Sports Products Ltd.&lt;/D&gt;&lt;/FQL&gt;&lt;FQL&gt;&lt;Q&gt;UMG-NL^FG_COMPANY_NAME&lt;/Q&gt;&lt;R&gt;1&lt;/R&gt;&lt;C&gt;1&lt;/C&gt;&lt;D xsi:type="xsd:string"&gt;Universal Music Group N.V.&lt;/D&gt;&lt;/FQL&gt;&lt;FQL&gt;&lt;Q&gt;WCN-CA^FG_COMPANY_NAME&lt;/Q&gt;&lt;R&gt;1&lt;/R&gt;&lt;C&gt;1&lt;/C&gt;&lt;D xsi:type="xsd:string"&gt;Waste Connections, Inc.&lt;/D&gt;&lt;/FQL&gt;&lt;FQL&gt;&lt;Q&gt;SAP-DE^FG_COMPANY_NAME&lt;/Q&gt;&lt;R&gt;1&lt;/R&gt;&lt;C&gt;1&lt;/C&gt;&lt;D xsi:type="xsd:string"&gt;SAP SE&lt;/D&gt;&lt;/FQL&gt;&lt;FQL&gt;&lt;Q&gt;CNR-CA^FG_COMPANY_NAME&lt;/Q&gt;&lt;R&gt;1&lt;/R&gt;&lt;C&gt;1&lt;/C&gt;&lt;D xsi:type="xsd:string"&gt;Canadian National Railway Company&lt;/D&gt;&lt;/FQL&gt;&lt;FQL&gt;&lt;Q&gt;7309-JP^FG_COMPANY_NAME&lt;/Q&gt;&lt;R&gt;1&lt;/R&gt;&lt;C&gt;1&lt;/C&gt;&lt;D xsi:type="xsd:string"&gt;Shimano Inc.&lt;/D&gt;&lt;/FQL&gt;&lt;FQL&gt;&lt;Q&gt;700-HK^FG_COMPANY_NAME&lt;/Q&gt;&lt;R&gt;1&lt;/R&gt;&lt;C&gt;1&lt;/C&gt;&lt;D xsi:type="xsd:string"&gt;Tencent Holdings Ltd&lt;/D&gt;&lt;/FQL&gt;&lt;/Schema&gt;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<sst xmlns="http://schemas.openxmlformats.org/spreadsheetml/2006/main" count="50" uniqueCount="46">
  <si>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</si>
  <si>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</si>
  <si>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</si>
  <si>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</si>
  <si>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Date</t>
  </si>
  <si>
    <t>FactSet</t>
  </si>
  <si>
    <t>Excel</t>
  </si>
  <si>
    <t>Pearson</t>
  </si>
  <si>
    <t xml:space="preserve">Correlation Matrix </t>
  </si>
  <si>
    <t>LSEG-GB</t>
  </si>
  <si>
    <t>DB1-DE</t>
  </si>
  <si>
    <t>SAF-FR</t>
  </si>
  <si>
    <t>EVD-DE</t>
  </si>
  <si>
    <t>MSFT-US</t>
  </si>
  <si>
    <t>1AY</t>
  </si>
  <si>
    <t>HDB-US</t>
  </si>
  <si>
    <t>B3SA3-BR</t>
  </si>
  <si>
    <t>ATCO.B-SE</t>
  </si>
  <si>
    <t>TSM-US</t>
  </si>
  <si>
    <t>RTO-GB</t>
  </si>
  <si>
    <t>EXPN-GB</t>
  </si>
  <si>
    <t>ROG-CH</t>
  </si>
  <si>
    <t>BKNG-US</t>
  </si>
  <si>
    <t>1299-HK</t>
  </si>
  <si>
    <t>WCN-CA</t>
  </si>
  <si>
    <t>HWDN-GB</t>
  </si>
  <si>
    <t>KNEBV-FI</t>
  </si>
  <si>
    <t>SAP-DE</t>
  </si>
  <si>
    <t>NXPI-US</t>
  </si>
  <si>
    <t>CNR-CA</t>
  </si>
  <si>
    <t>MC-FR</t>
  </si>
  <si>
    <t>BBRI-ID</t>
  </si>
  <si>
    <t>7309-JP</t>
  </si>
  <si>
    <t>ASML-NL</t>
  </si>
  <si>
    <t>AMS-ES</t>
  </si>
  <si>
    <t>700-HK</t>
  </si>
  <si>
    <t>UMG-NL</t>
  </si>
  <si>
    <t>DGE-GB</t>
  </si>
  <si>
    <t>AIR-FR</t>
  </si>
  <si>
    <t>CPG-GB</t>
  </si>
  <si>
    <t>CFR-CH</t>
  </si>
  <si>
    <t>AZN-GB</t>
  </si>
  <si>
    <t>CTEC-GB</t>
  </si>
  <si>
    <t>6861-JP</t>
  </si>
  <si>
    <t>2020-HK</t>
  </si>
  <si>
    <t>WKL-NL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</si>
</sst>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abSelected="1" zoomScale="70" zoomScaleNormal="70" workbookViewId="0"/>
  </sheetViews>
  <sheetFormatPr defaultColWidth="11" defaultRowHeight="15" x14ac:dyDescent="0.25"/>
  <sheetData>
    <row r="1" spans="1:81" ht="21" x14ac:dyDescent="0.35">
      <c r="A1" s="12" t="s">
        <v>8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Taiwan Semiconductor Manufacturing Co., Ltd. Sponsored ADR</v>
      </c>
      <c r="C3" s="4" t="str">
        <f>IF(Backend!D29="", "", Backend!D29)</f>
        <v>Howden Joinery Group PLC</v>
      </c>
      <c r="D3" s="4" t="str">
        <f>IF(Backend!E29="", "", Backend!E29)</f>
        <v>London Stock Exchange Group plc</v>
      </c>
      <c r="E3" s="4" t="str">
        <f>IF(Backend!F29="", "", Backend!F29)</f>
        <v>LVMH Moet Hennessy Louis Vuitton SE</v>
      </c>
      <c r="F3" s="4" t="str">
        <f>IF(Backend!G29="", "", Backend!G29)</f>
        <v>ASML Holding NV</v>
      </c>
      <c r="G3" s="4" t="str">
        <f>IF(Backend!H29="", "", Backend!H29)</f>
        <v>AIA Group Limited</v>
      </c>
      <c r="H3" s="4" t="str">
        <f>IF(Backend!I29="", "", Backend!I29)</f>
        <v>Experian PLC</v>
      </c>
      <c r="I3" s="4" t="str">
        <f>IF(Backend!J29="", "", Backend!J29)</f>
        <v>Airbus SE</v>
      </c>
      <c r="J3" s="4" t="str">
        <f>IF(Backend!K29="", "", Backend!K29)</f>
        <v>Deutsche Boerse AG</v>
      </c>
      <c r="K3" s="4" t="str">
        <f>IF(Backend!L29="", "", Backend!L29)</f>
        <v>HDFC Bank Limited Sponsored ADR</v>
      </c>
      <c r="L3" s="4" t="str">
        <f>IF(Backend!M29="", "", Backend!M29)</f>
        <v>Compagnie Financiere Richemont SA</v>
      </c>
      <c r="M3" s="4" t="str">
        <f>IF(Backend!N29="", "", Backend!N29)</f>
        <v>Safran SA</v>
      </c>
      <c r="N3" s="4" t="str">
        <f>IF(Backend!O29="", "", Backend!O29)</f>
        <v>ConvaTec Group Plc</v>
      </c>
      <c r="O3" s="4" t="str">
        <f>IF(Backend!P29="", "", Backend!P29)</f>
        <v>Rentokil Initial plc</v>
      </c>
      <c r="P3" s="4" t="str">
        <f>IF(Backend!Q29="", "", Backend!Q29)</f>
        <v>Wolters Kluwer N.V.</v>
      </c>
      <c r="Q3" s="4" t="str">
        <f>IF(Backend!R29="", "", Backend!R29)</f>
        <v>Booking Holdings Inc.</v>
      </c>
      <c r="R3" s="4" t="str">
        <f>IF(Backend!S29="", "", Backend!S29)</f>
        <v>KONE Oyj Class B</v>
      </c>
      <c r="S3" s="4" t="str">
        <f>IF(Backend!T29="", "", Backend!T29)</f>
        <v>NXP Semiconductors NV</v>
      </c>
      <c r="T3" s="4" t="str">
        <f>IF(Backend!U29="", "", Backend!U29)</f>
        <v>PT Bank Rakyat Indonesia (Persero) Tbk Class B</v>
      </c>
      <c r="U3" s="4" t="str">
        <f>IF(Backend!V29="", "", Backend!V29)</f>
        <v>Amadeus IT Group SA Class A</v>
      </c>
      <c r="V3" s="4" t="str">
        <f>IF(Backend!W29="", "", Backend!W29)</f>
        <v>Atlas Copco AB Class B</v>
      </c>
      <c r="W3" s="4" t="str">
        <f>IF(Backend!X29="", "", Backend!X29)</f>
        <v>Diageo plc</v>
      </c>
      <c r="X3" s="4" t="str">
        <f>IF(Backend!Y29="", "", Backend!Y29)</f>
        <v>Compass Group PLC</v>
      </c>
      <c r="Y3" s="4" t="str">
        <f>IF(Backend!Z29="", "", Backend!Z29)</f>
        <v>CTS Eventim AG &amp; Co. KGaA</v>
      </c>
      <c r="Z3" s="4" t="str">
        <f>IF(Backend!AA29="", "", Backend!AA29)</f>
        <v>B3 SA - Brasil, Bolsa, Balcao</v>
      </c>
      <c r="AA3" s="4" t="str">
        <f>IF(Backend!AB29="", "", Backend!AB29)</f>
        <v>AstraZeneca PLC</v>
      </c>
      <c r="AB3" s="4" t="str">
        <f>IF(Backend!AC29="", "", Backend!AC29)</f>
        <v>Roche Holding Ltd Dividend Right Cert.</v>
      </c>
      <c r="AC3" s="4" t="str">
        <f>IF(Backend!AD29="", "", Backend!AD29)</f>
        <v>Keyence Corporation</v>
      </c>
      <c r="AD3" s="4" t="str">
        <f>IF(Backend!AE29="", "", Backend!AE29)</f>
        <v>ANTA Sports Products Ltd.</v>
      </c>
      <c r="AE3" s="4" t="str">
        <f>IF(Backend!AF29="", "", Backend!AF29)</f>
        <v>Universal Music Group N.V.</v>
      </c>
      <c r="AF3" s="4" t="str">
        <f>IF(Backend!AG29="", "", Backend!AG29)</f>
        <v>Waste Connections, Inc.</v>
      </c>
      <c r="AG3" s="4" t="str">
        <f>IF(Backend!AH29="", "", Backend!AH29)</f>
        <v>SAP SE</v>
      </c>
      <c r="AH3" s="4" t="str">
        <f>IF(Backend!AI29="", "", Backend!AI29)</f>
        <v>Canadian National Railway Company</v>
      </c>
      <c r="AI3" s="4" t="str">
        <f>IF(Backend!AJ29="", "", Backend!AJ29)</f>
        <v>Shimano Inc.</v>
      </c>
      <c r="AJ3" s="4" t="str">
        <f>IF(Backend!AK29="", "", Backend!AK29)</f>
        <v>Tencent Holdings Ltd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Taiwan Semiconductor Manufacturing Co., Ltd. Sponsored ADR</v>
      </c>
      <c r="B4">
        <f>IF(Backend!C31="", "", Backend!C31)</f>
        <v>1</v>
      </c>
      <c r="C4">
        <f>IF(Backend!D31="", "", Backend!D31)</f>
        <v>0.20161019999999999</v>
      </c>
      <c r="D4">
        <f>IF(Backend!E31="", "", Backend!E31)</f>
        <v>3.5026130000000003E-2</v>
      </c>
      <c r="E4">
        <f>IF(Backend!F31="", "", Backend!F31)</f>
        <v>0.15074103999999999</v>
      </c>
      <c r="F4">
        <f>IF(Backend!G31="", "", Backend!G31)</f>
        <v>0.43766843999999999</v>
      </c>
      <c r="G4">
        <f>IF(Backend!H31="", "", Backend!H31)</f>
        <v>2.677071E-2</v>
      </c>
      <c r="H4">
        <f>IF(Backend!I31="", "", Backend!I31)</f>
        <v>0.22119902</v>
      </c>
      <c r="I4">
        <f>IF(Backend!J31="", "", Backend!J31)</f>
        <v>0.1352449</v>
      </c>
      <c r="J4">
        <f>IF(Backend!K31="", "", Backend!K31)</f>
        <v>-6.3635220000000006E-2</v>
      </c>
      <c r="K4">
        <f>IF(Backend!L31="", "", Backend!L31)</f>
        <v>0.17074868000000001</v>
      </c>
      <c r="L4">
        <f>IF(Backend!M31="", "", Backend!M31)</f>
        <v>0.2152212</v>
      </c>
      <c r="M4">
        <f>IF(Backend!N31="", "", Backend!N31)</f>
        <v>0.15628964000000001</v>
      </c>
      <c r="N4">
        <f>IF(Backend!O31="", "", Backend!O31)</f>
        <v>-3.5478589999999997E-2</v>
      </c>
      <c r="O4">
        <f>IF(Backend!P31="", "", Backend!P31)</f>
        <v>7.0999413999999997E-2</v>
      </c>
      <c r="P4">
        <f>IF(Backend!Q31="", "", Backend!Q31)</f>
        <v>9.9104819999999996E-2</v>
      </c>
      <c r="Q4">
        <f>IF(Backend!R31="", "", Backend!R31)</f>
        <v>0.36439993999999998</v>
      </c>
      <c r="R4">
        <f>IF(Backend!S31="", "", Backend!S31)</f>
        <v>0.11078909000000001</v>
      </c>
      <c r="S4">
        <f>IF(Backend!T31="", "", Backend!T31)</f>
        <v>0.5337269</v>
      </c>
      <c r="T4">
        <f>IF(Backend!U31="", "", Backend!U31)</f>
        <v>3.3159460000000002E-2</v>
      </c>
      <c r="U4">
        <f>IF(Backend!V31="", "", Backend!V31)</f>
        <v>0.15411235000000001</v>
      </c>
      <c r="V4">
        <f>IF(Backend!W31="", "", Backend!W31)</f>
        <v>0.28482165999999998</v>
      </c>
      <c r="W4">
        <f>IF(Backend!X31="", "", Backend!X31)</f>
        <v>-1.7763719000000001E-2</v>
      </c>
      <c r="X4">
        <f>IF(Backend!Y31="", "", Backend!Y31)</f>
        <v>-5.0786274999999999E-2</v>
      </c>
      <c r="Y4">
        <f>IF(Backend!Z31="", "", Backend!Z31)</f>
        <v>5.2250039999999998E-2</v>
      </c>
      <c r="Z4">
        <f>IF(Backend!AA31="", "", Backend!AA31)</f>
        <v>0.20174116</v>
      </c>
      <c r="AA4">
        <f>IF(Backend!AB31="", "", Backend!AB31)</f>
        <v>-2.8641848000000001E-2</v>
      </c>
      <c r="AB4">
        <f>IF(Backend!AC31="", "", Backend!AC31)</f>
        <v>4.171445E-2</v>
      </c>
      <c r="AC4">
        <f>IF(Backend!AD31="", "", Backend!AD31)</f>
        <v>1.0977529E-2</v>
      </c>
      <c r="AD4">
        <f>IF(Backend!AE31="", "", Backend!AE31)</f>
        <v>6.2595955999999994E-2</v>
      </c>
      <c r="AE4">
        <f>IF(Backend!AF31="", "", Backend!AF31)</f>
        <v>5.9947733000000003E-2</v>
      </c>
      <c r="AF4">
        <f>IF(Backend!AG31="", "", Backend!AG31)</f>
        <v>-5.7924442E-2</v>
      </c>
      <c r="AG4">
        <f>IF(Backend!AH31="", "", Backend!AH31)</f>
        <v>0.21595953000000001</v>
      </c>
      <c r="AH4">
        <f>IF(Backend!AI31="", "", Backend!AI31)</f>
        <v>0.27851137999999998</v>
      </c>
      <c r="AI4">
        <f>IF(Backend!AJ31="", "", Backend!AJ31)</f>
        <v>-8.1626384999999996E-2</v>
      </c>
      <c r="AJ4">
        <f>IF(Backend!AK31="", "", Backend!AK31)</f>
        <v>0.119410895</v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Howden Joinery Group PLC</v>
      </c>
      <c r="B5">
        <f>IF(Backend!C32="", "", Backend!C32)</f>
        <v>0.20161019999999999</v>
      </c>
      <c r="C5">
        <f>IF(Backend!D32="", "", Backend!D32)</f>
        <v>1</v>
      </c>
      <c r="D5">
        <f>IF(Backend!E32="", "", Backend!E32)</f>
        <v>0.17540178000000001</v>
      </c>
      <c r="E5">
        <f>IF(Backend!F32="", "", Backend!F32)</f>
        <v>0.22356512000000001</v>
      </c>
      <c r="F5">
        <f>IF(Backend!G32="", "", Backend!G32)</f>
        <v>0.30683179999999999</v>
      </c>
      <c r="G5">
        <f>IF(Backend!H32="", "", Backend!H32)</f>
        <v>0.14614476000000001</v>
      </c>
      <c r="H5">
        <f>IF(Backend!I32="", "", Backend!I32)</f>
        <v>0.49665759999999998</v>
      </c>
      <c r="I5">
        <f>IF(Backend!J32="", "", Backend!J32)</f>
        <v>0.3262835</v>
      </c>
      <c r="J5">
        <f>IF(Backend!K32="", "", Backend!K32)</f>
        <v>0.28594866000000002</v>
      </c>
      <c r="K5">
        <f>IF(Backend!L32="", "", Backend!L32)</f>
        <v>0.14904237000000001</v>
      </c>
      <c r="L5">
        <f>IF(Backend!M32="", "", Backend!M32)</f>
        <v>0.23510537000000001</v>
      </c>
      <c r="M5">
        <f>IF(Backend!N32="", "", Backend!N32)</f>
        <v>0.29358741999999999</v>
      </c>
      <c r="N5">
        <f>IF(Backend!O32="", "", Backend!O32)</f>
        <v>0.32923724999999998</v>
      </c>
      <c r="O5">
        <f>IF(Backend!P32="", "", Backend!P32)</f>
        <v>0.37215298000000002</v>
      </c>
      <c r="P5">
        <f>IF(Backend!Q32="", "", Backend!Q32)</f>
        <v>0.28943178000000003</v>
      </c>
      <c r="Q5">
        <f>IF(Backend!R32="", "", Backend!R32)</f>
        <v>-2.3529909999999999E-4</v>
      </c>
      <c r="R5">
        <f>IF(Backend!S32="", "", Backend!S32)</f>
        <v>0.40172525999999997</v>
      </c>
      <c r="S5">
        <f>IF(Backend!T32="", "", Backend!T32)</f>
        <v>0.13039854000000001</v>
      </c>
      <c r="T5">
        <f>IF(Backend!U32="", "", Backend!U32)</f>
        <v>0.17884493000000001</v>
      </c>
      <c r="U5">
        <f>IF(Backend!V32="", "", Backend!V32)</f>
        <v>0.40957919999999998</v>
      </c>
      <c r="V5">
        <f>IF(Backend!W32="", "", Backend!W32)</f>
        <v>0.42082858000000001</v>
      </c>
      <c r="W5">
        <f>IF(Backend!X32="", "", Backend!X32)</f>
        <v>0.36450263999999999</v>
      </c>
      <c r="X5">
        <f>IF(Backend!Y32="", "", Backend!Y32)</f>
        <v>0.31964534999999999</v>
      </c>
      <c r="Y5">
        <f>IF(Backend!Z32="", "", Backend!Z32)</f>
        <v>0.18230126999999999</v>
      </c>
      <c r="Z5">
        <f>IF(Backend!AA32="", "", Backend!AA32)</f>
        <v>0.23213917000000001</v>
      </c>
      <c r="AA5">
        <f>IF(Backend!AB32="", "", Backend!AB32)</f>
        <v>0.28594144999999999</v>
      </c>
      <c r="AB5">
        <f>IF(Backend!AC32="", "", Backend!AC32)</f>
        <v>0.32737189999999999</v>
      </c>
      <c r="AC5">
        <f>IF(Backend!AD32="", "", Backend!AD32)</f>
        <v>0.24332624999999999</v>
      </c>
      <c r="AD5">
        <f>IF(Backend!AE32="", "", Backend!AE32)</f>
        <v>0.12904732999999999</v>
      </c>
      <c r="AE5">
        <f>IF(Backend!AF32="", "", Backend!AF32)</f>
        <v>0.33050661999999997</v>
      </c>
      <c r="AF5">
        <f>IF(Backend!AG32="", "", Backend!AG32)</f>
        <v>0.22935522</v>
      </c>
      <c r="AG5">
        <f>IF(Backend!AH32="", "", Backend!AH32)</f>
        <v>0.3507537</v>
      </c>
      <c r="AH5">
        <f>IF(Backend!AI32="", "", Backend!AI32)</f>
        <v>0.18346831</v>
      </c>
      <c r="AI5">
        <f>IF(Backend!AJ32="", "", Backend!AJ32)</f>
        <v>0.14472235999999999</v>
      </c>
      <c r="AJ5">
        <f>IF(Backend!AK32="", "", Backend!AK32)</f>
        <v>0.19459610999999999</v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London Stock Exchange Group plc</v>
      </c>
      <c r="B6">
        <f>IF(Backend!C33="", "", Backend!C33)</f>
        <v>3.5026130000000003E-2</v>
      </c>
      <c r="C6">
        <f>IF(Backend!D33="", "", Backend!D33)</f>
        <v>0.17540178000000001</v>
      </c>
      <c r="D6">
        <f>IF(Backend!E33="", "", Backend!E33)</f>
        <v>1</v>
      </c>
      <c r="E6">
        <f>IF(Backend!F33="", "", Backend!F33)</f>
        <v>0.16511649</v>
      </c>
      <c r="F6">
        <f>IF(Backend!G33="", "", Backend!G33)</f>
        <v>0.21917817000000001</v>
      </c>
      <c r="G6">
        <f>IF(Backend!H33="", "", Backend!H33)</f>
        <v>0.1847714</v>
      </c>
      <c r="H6">
        <f>IF(Backend!I33="", "", Backend!I33)</f>
        <v>0.48770332</v>
      </c>
      <c r="I6">
        <f>IF(Backend!J33="", "", Backend!J33)</f>
        <v>0.32175112</v>
      </c>
      <c r="J6">
        <f>IF(Backend!K33="", "", Backend!K33)</f>
        <v>0.53971659999999999</v>
      </c>
      <c r="K6">
        <f>IF(Backend!L33="", "", Backend!L33)</f>
        <v>0.18840212000000001</v>
      </c>
      <c r="L6">
        <f>IF(Backend!M33="", "", Backend!M33)</f>
        <v>0.30338976000000001</v>
      </c>
      <c r="M6">
        <f>IF(Backend!N33="", "", Backend!N33)</f>
        <v>0.35225012999999999</v>
      </c>
      <c r="N6">
        <f>IF(Backend!O33="", "", Backend!O33)</f>
        <v>0.14029990000000001</v>
      </c>
      <c r="O6">
        <f>IF(Backend!P33="", "", Backend!P33)</f>
        <v>0.29590514000000001</v>
      </c>
      <c r="P6">
        <f>IF(Backend!Q33="", "", Backend!Q33)</f>
        <v>0.35316809999999998</v>
      </c>
      <c r="Q6">
        <f>IF(Backend!R33="", "", Backend!R33)</f>
        <v>4.6612892000000003E-2</v>
      </c>
      <c r="R6">
        <f>IF(Backend!S33="", "", Backend!S33)</f>
        <v>0.32373336000000003</v>
      </c>
      <c r="S6">
        <f>IF(Backend!T33="", "", Backend!T33)</f>
        <v>-7.8412109999999993E-2</v>
      </c>
      <c r="T6">
        <f>IF(Backend!U33="", "", Backend!U33)</f>
        <v>1.3674931E-3</v>
      </c>
      <c r="U6">
        <f>IF(Backend!V33="", "", Backend!V33)</f>
        <v>0.4160566</v>
      </c>
      <c r="V6">
        <f>IF(Backend!W33="", "", Backend!W33)</f>
        <v>0.32340597999999998</v>
      </c>
      <c r="W6">
        <f>IF(Backend!X33="", "", Backend!X33)</f>
        <v>0.23507639999999999</v>
      </c>
      <c r="X6">
        <f>IF(Backend!Y33="", "", Backend!Y33)</f>
        <v>0.45000884000000002</v>
      </c>
      <c r="Y6">
        <f>IF(Backend!Z33="", "", Backend!Z33)</f>
        <v>0.23146549</v>
      </c>
      <c r="Z6">
        <f>IF(Backend!AA33="", "", Backend!AA33)</f>
        <v>7.4755260000000004E-2</v>
      </c>
      <c r="AA6">
        <f>IF(Backend!AB33="", "", Backend!AB33)</f>
        <v>0.31012016999999997</v>
      </c>
      <c r="AB6">
        <f>IF(Backend!AC33="", "", Backend!AC33)</f>
        <v>0.30358871999999998</v>
      </c>
      <c r="AC6">
        <f>IF(Backend!AD33="", "", Backend!AD33)</f>
        <v>0.24537939</v>
      </c>
      <c r="AD6">
        <f>IF(Backend!AE33="", "", Backend!AE33)</f>
        <v>0.18998166999999999</v>
      </c>
      <c r="AE6">
        <f>IF(Backend!AF33="", "", Backend!AF33)</f>
        <v>0.27119399999999999</v>
      </c>
      <c r="AF6">
        <f>IF(Backend!AG33="", "", Backend!AG33)</f>
        <v>0.20074508999999999</v>
      </c>
      <c r="AG6">
        <f>IF(Backend!AH33="", "", Backend!AH33)</f>
        <v>0.32113594000000001</v>
      </c>
      <c r="AH6">
        <f>IF(Backend!AI33="", "", Backend!AI33)</f>
        <v>8.7214940000000005E-2</v>
      </c>
      <c r="AI6">
        <f>IF(Backend!AJ33="", "", Backend!AJ33)</f>
        <v>8.3997069999999993E-2</v>
      </c>
      <c r="AJ6">
        <f>IF(Backend!AK33="", "", Backend!AK33)</f>
        <v>0.13332832</v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LVMH Moet Hennessy Louis Vuitton SE</v>
      </c>
      <c r="B7">
        <f>IF(Backend!C34="", "", Backend!C34)</f>
        <v>0.15074103999999999</v>
      </c>
      <c r="C7">
        <f>IF(Backend!D34="", "", Backend!D34)</f>
        <v>0.22356512000000001</v>
      </c>
      <c r="D7">
        <f>IF(Backend!E34="", "", Backend!E34)</f>
        <v>0.16511649</v>
      </c>
      <c r="E7">
        <f>IF(Backend!F34="", "", Backend!F34)</f>
        <v>1</v>
      </c>
      <c r="F7">
        <f>IF(Backend!G34="", "", Backend!G34)</f>
        <v>0.35010865000000002</v>
      </c>
      <c r="G7">
        <f>IF(Backend!H34="", "", Backend!H34)</f>
        <v>0.20170840000000001</v>
      </c>
      <c r="H7">
        <f>IF(Backend!I34="", "", Backend!I34)</f>
        <v>0.33661871999999998</v>
      </c>
      <c r="I7">
        <f>IF(Backend!J34="", "", Backend!J34)</f>
        <v>0.32645160000000001</v>
      </c>
      <c r="J7">
        <f>IF(Backend!K34="", "", Backend!K34)</f>
        <v>0.15628089000000001</v>
      </c>
      <c r="K7">
        <f>IF(Backend!L34="", "", Backend!L34)</f>
        <v>6.8636760000000005E-2</v>
      </c>
      <c r="L7">
        <f>IF(Backend!M34="", "", Backend!M34)</f>
        <v>0.70846889999999996</v>
      </c>
      <c r="M7">
        <f>IF(Backend!N34="", "", Backend!N34)</f>
        <v>0.27011287</v>
      </c>
      <c r="N7">
        <f>IF(Backend!O34="", "", Backend!O34)</f>
        <v>7.8491690000000003E-2</v>
      </c>
      <c r="O7">
        <f>IF(Backend!P34="", "", Backend!P34)</f>
        <v>0.29810172000000001</v>
      </c>
      <c r="P7">
        <f>IF(Backend!Q34="", "", Backend!Q34)</f>
        <v>0.10003305999999999</v>
      </c>
      <c r="Q7">
        <f>IF(Backend!R34="", "", Backend!R34)</f>
        <v>-9.7645029999999994E-2</v>
      </c>
      <c r="R7">
        <f>IF(Backend!S34="", "", Backend!S34)</f>
        <v>0.30676824000000003</v>
      </c>
      <c r="S7">
        <f>IF(Backend!T34="", "", Backend!T34)</f>
        <v>0.13514708</v>
      </c>
      <c r="T7">
        <f>IF(Backend!U34="", "", Backend!U34)</f>
        <v>-9.747014E-3</v>
      </c>
      <c r="U7">
        <f>IF(Backend!V34="", "", Backend!V34)</f>
        <v>0.34320309999999998</v>
      </c>
      <c r="V7">
        <f>IF(Backend!W34="", "", Backend!W34)</f>
        <v>0.4921413</v>
      </c>
      <c r="W7">
        <f>IF(Backend!X34="", "", Backend!X34)</f>
        <v>0.40561318000000002</v>
      </c>
      <c r="X7">
        <f>IF(Backend!Y34="", "", Backend!Y34)</f>
        <v>0.16791086999999999</v>
      </c>
      <c r="Y7">
        <f>IF(Backend!Z34="", "", Backend!Z34)</f>
        <v>0.14470026999999999</v>
      </c>
      <c r="Z7">
        <f>IF(Backend!AA34="", "", Backend!AA34)</f>
        <v>0.10905091</v>
      </c>
      <c r="AA7">
        <f>IF(Backend!AB34="", "", Backend!AB34)</f>
        <v>0.25670838000000001</v>
      </c>
      <c r="AB7">
        <f>IF(Backend!AC34="", "", Backend!AC34)</f>
        <v>0.28028268000000001</v>
      </c>
      <c r="AC7">
        <f>IF(Backend!AD34="", "", Backend!AD34)</f>
        <v>0.19160673</v>
      </c>
      <c r="AD7">
        <f>IF(Backend!AE34="", "", Backend!AE34)</f>
        <v>0.20442711</v>
      </c>
      <c r="AE7">
        <f>IF(Backend!AF34="", "", Backend!AF34)</f>
        <v>0.20559438999999999</v>
      </c>
      <c r="AF7">
        <f>IF(Backend!AG34="", "", Backend!AG34)</f>
        <v>-0.15405547999999999</v>
      </c>
      <c r="AG7">
        <f>IF(Backend!AH34="", "", Backend!AH34)</f>
        <v>0.30684644</v>
      </c>
      <c r="AH7">
        <f>IF(Backend!AI34="", "", Backend!AI34)</f>
        <v>0.22113459999999999</v>
      </c>
      <c r="AI7">
        <f>IF(Backend!AJ34="", "", Backend!AJ34)</f>
        <v>0.13994803</v>
      </c>
      <c r="AJ7">
        <f>IF(Backend!AK34="", "", Backend!AK34)</f>
        <v>0.20510608</v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ASML Holding NV</v>
      </c>
      <c r="B8">
        <f>IF(Backend!C35="", "", Backend!C35)</f>
        <v>0.43766843999999999</v>
      </c>
      <c r="C8">
        <f>IF(Backend!D35="", "", Backend!D35)</f>
        <v>0.30683179999999999</v>
      </c>
      <c r="D8">
        <f>IF(Backend!E35="", "", Backend!E35)</f>
        <v>0.21917817000000001</v>
      </c>
      <c r="E8">
        <f>IF(Backend!F35="", "", Backend!F35)</f>
        <v>0.35010865000000002</v>
      </c>
      <c r="F8">
        <f>IF(Backend!G35="", "", Backend!G35)</f>
        <v>1</v>
      </c>
      <c r="G8">
        <f>IF(Backend!H35="", "", Backend!H35)</f>
        <v>0.22254519</v>
      </c>
      <c r="H8">
        <f>IF(Backend!I35="", "", Backend!I35)</f>
        <v>0.37418604</v>
      </c>
      <c r="I8">
        <f>IF(Backend!J35="", "", Backend!J35)</f>
        <v>0.41915439999999998</v>
      </c>
      <c r="J8">
        <f>IF(Backend!K35="", "", Backend!K35)</f>
        <v>0.17269090000000001</v>
      </c>
      <c r="K8">
        <f>IF(Backend!L35="", "", Backend!L35)</f>
        <v>1.9289444999999999E-2</v>
      </c>
      <c r="L8">
        <f>IF(Backend!M35="", "", Backend!M35)</f>
        <v>0.41489258000000001</v>
      </c>
      <c r="M8">
        <f>IF(Backend!N35="", "", Backend!N35)</f>
        <v>0.40573340000000002</v>
      </c>
      <c r="N8">
        <f>IF(Backend!O35="", "", Backend!O35)</f>
        <v>0.1644987</v>
      </c>
      <c r="O8">
        <f>IF(Backend!P35="", "", Backend!P35)</f>
        <v>0.21461849</v>
      </c>
      <c r="P8">
        <f>IF(Backend!Q35="", "", Backend!Q35)</f>
        <v>0.30673862000000002</v>
      </c>
      <c r="Q8">
        <f>IF(Backend!R35="", "", Backend!R35)</f>
        <v>7.4357784999999996E-2</v>
      </c>
      <c r="R8">
        <f>IF(Backend!S35="", "", Backend!S35)</f>
        <v>0.2421671</v>
      </c>
      <c r="S8">
        <f>IF(Backend!T35="", "", Backend!T35)</f>
        <v>0.24486079999999999</v>
      </c>
      <c r="T8">
        <f>IF(Backend!U35="", "", Backend!U35)</f>
        <v>5.7967663000000003E-2</v>
      </c>
      <c r="U8">
        <f>IF(Backend!V35="", "", Backend!V35)</f>
        <v>0.35903629999999997</v>
      </c>
      <c r="V8">
        <f>IF(Backend!W35="", "", Backend!W35)</f>
        <v>0.55938076999999997</v>
      </c>
      <c r="W8">
        <f>IF(Backend!X35="", "", Backend!X35)</f>
        <v>0.15731986000000001</v>
      </c>
      <c r="X8">
        <f>IF(Backend!Y35="", "", Backend!Y35)</f>
        <v>9.7432630000000006E-2</v>
      </c>
      <c r="Y8">
        <f>IF(Backend!Z35="", "", Backend!Z35)</f>
        <v>0.23764521</v>
      </c>
      <c r="Z8">
        <f>IF(Backend!AA35="", "", Backend!AA35)</f>
        <v>0.16382350000000001</v>
      </c>
      <c r="AA8">
        <f>IF(Backend!AB35="", "", Backend!AB35)</f>
        <v>0.2123797</v>
      </c>
      <c r="AB8">
        <f>IF(Backend!AC35="", "", Backend!AC35)</f>
        <v>0.24290254999999999</v>
      </c>
      <c r="AC8">
        <f>IF(Backend!AD35="", "", Backend!AD35)</f>
        <v>0.18717745999999999</v>
      </c>
      <c r="AD8">
        <f>IF(Backend!AE35="", "", Backend!AE35)</f>
        <v>0.15598329999999999</v>
      </c>
      <c r="AE8">
        <f>IF(Backend!AF35="", "", Backend!AF35)</f>
        <v>0.18944849</v>
      </c>
      <c r="AF8">
        <f>IF(Backend!AG35="", "", Backend!AG35)</f>
        <v>-6.5355289999999996E-2</v>
      </c>
      <c r="AG8">
        <f>IF(Backend!AH35="", "", Backend!AH35)</f>
        <v>0.47342970000000001</v>
      </c>
      <c r="AH8">
        <f>IF(Backend!AI35="", "", Backend!AI35)</f>
        <v>0.17918076999999999</v>
      </c>
      <c r="AI8">
        <f>IF(Backend!AJ35="", "", Backend!AJ35)</f>
        <v>4.5715989999999998E-2</v>
      </c>
      <c r="AJ8">
        <f>IF(Backend!AK35="", "", Backend!AK35)</f>
        <v>0.1861758</v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AIA Group Limited</v>
      </c>
      <c r="B9">
        <f>IF(Backend!C36="", "", Backend!C36)</f>
        <v>2.677071E-2</v>
      </c>
      <c r="C9">
        <f>IF(Backend!D36="", "", Backend!D36)</f>
        <v>0.14614476000000001</v>
      </c>
      <c r="D9">
        <f>IF(Backend!E36="", "", Backend!E36)</f>
        <v>0.1847714</v>
      </c>
      <c r="E9">
        <f>IF(Backend!F36="", "", Backend!F36)</f>
        <v>0.20170840000000001</v>
      </c>
      <c r="F9">
        <f>IF(Backend!G36="", "", Backend!G36)</f>
        <v>0.22254519</v>
      </c>
      <c r="G9">
        <f>IF(Backend!H36="", "", Backend!H36)</f>
        <v>1</v>
      </c>
      <c r="H9">
        <f>IF(Backend!I36="", "", Backend!I36)</f>
        <v>0.23724120000000001</v>
      </c>
      <c r="I9">
        <f>IF(Backend!J36="", "", Backend!J36)</f>
        <v>0.21738803000000001</v>
      </c>
      <c r="J9">
        <f>IF(Backend!K36="", "", Backend!K36)</f>
        <v>0.17614497000000001</v>
      </c>
      <c r="K9">
        <f>IF(Backend!L36="", "", Backend!L36)</f>
        <v>1.4028702000000001E-2</v>
      </c>
      <c r="L9">
        <f>IF(Backend!M36="", "", Backend!M36)</f>
        <v>0.18631755999999999</v>
      </c>
      <c r="M9">
        <f>IF(Backend!N36="", "", Backend!N36)</f>
        <v>0.25867388000000002</v>
      </c>
      <c r="N9">
        <f>IF(Backend!O36="", "", Backend!O36)</f>
        <v>0.17275563999999999</v>
      </c>
      <c r="O9">
        <f>IF(Backend!P36="", "", Backend!P36)</f>
        <v>0.15560365000000001</v>
      </c>
      <c r="P9">
        <f>IF(Backend!Q36="", "", Backend!Q36)</f>
        <v>5.3434570000000001E-2</v>
      </c>
      <c r="Q9">
        <f>IF(Backend!R36="", "", Backend!R36)</f>
        <v>-8.8712639999999995E-2</v>
      </c>
      <c r="R9">
        <f>IF(Backend!S36="", "", Backend!S36)</f>
        <v>0.23671081999999999</v>
      </c>
      <c r="S9">
        <f>IF(Backend!T36="", "", Backend!T36)</f>
        <v>-3.7576653000000002E-2</v>
      </c>
      <c r="T9">
        <f>IF(Backend!U36="", "", Backend!U36)</f>
        <v>0.16169031</v>
      </c>
      <c r="U9">
        <f>IF(Backend!V36="", "", Backend!V36)</f>
        <v>0.21681729</v>
      </c>
      <c r="V9">
        <f>IF(Backend!W36="", "", Backend!W36)</f>
        <v>0.22150849</v>
      </c>
      <c r="W9">
        <f>IF(Backend!X36="", "", Backend!X36)</f>
        <v>0.22813876</v>
      </c>
      <c r="X9">
        <f>IF(Backend!Y36="", "", Backend!Y36)</f>
        <v>0.16036934</v>
      </c>
      <c r="Y9">
        <f>IF(Backend!Z36="", "", Backend!Z36)</f>
        <v>9.8243059999999993E-2</v>
      </c>
      <c r="Z9">
        <f>IF(Backend!AA36="", "", Backend!AA36)</f>
        <v>-1.8170385000000001E-2</v>
      </c>
      <c r="AA9">
        <f>IF(Backend!AB36="", "", Backend!AB36)</f>
        <v>0.24254613</v>
      </c>
      <c r="AB9">
        <f>IF(Backend!AC36="", "", Backend!AC36)</f>
        <v>0.17184229000000001</v>
      </c>
      <c r="AC9">
        <f>IF(Backend!AD36="", "", Backend!AD36)</f>
        <v>0.19413637</v>
      </c>
      <c r="AD9">
        <f>IF(Backend!AE36="", "", Backend!AE36)</f>
        <v>0.40221404999999999</v>
      </c>
      <c r="AE9">
        <f>IF(Backend!AF36="", "", Backend!AF36)</f>
        <v>0.14313128999999999</v>
      </c>
      <c r="AF9">
        <f>IF(Backend!AG36="", "", Backend!AG36)</f>
        <v>-7.953433E-2</v>
      </c>
      <c r="AG9">
        <f>IF(Backend!AH36="", "", Backend!AH36)</f>
        <v>0.17199817000000001</v>
      </c>
      <c r="AH9">
        <f>IF(Backend!AI36="", "", Backend!AI36)</f>
        <v>6.0206904999999998E-2</v>
      </c>
      <c r="AI9">
        <f>IF(Backend!AJ36="", "", Backend!AJ36)</f>
        <v>0.18960677000000001</v>
      </c>
      <c r="AJ9">
        <f>IF(Backend!AK36="", "", Backend!AK36)</f>
        <v>0.56076990000000004</v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Experian PLC</v>
      </c>
      <c r="B10">
        <f>IF(Backend!C37="", "", Backend!C37)</f>
        <v>0.22119902</v>
      </c>
      <c r="C10">
        <f>IF(Backend!D37="", "", Backend!D37)</f>
        <v>0.49665759999999998</v>
      </c>
      <c r="D10">
        <f>IF(Backend!E37="", "", Backend!E37)</f>
        <v>0.48770332</v>
      </c>
      <c r="E10">
        <f>IF(Backend!F37="", "", Backend!F37)</f>
        <v>0.33661871999999998</v>
      </c>
      <c r="F10">
        <f>IF(Backend!G37="", "", Backend!G37)</f>
        <v>0.37418604</v>
      </c>
      <c r="G10">
        <f>IF(Backend!H37="", "", Backend!H37)</f>
        <v>0.23724120000000001</v>
      </c>
      <c r="H10">
        <f>IF(Backend!I37="", "", Backend!I37)</f>
        <v>1</v>
      </c>
      <c r="I10">
        <f>IF(Backend!J37="", "", Backend!J37)</f>
        <v>0.43797891999999999</v>
      </c>
      <c r="J10">
        <f>IF(Backend!K37="", "", Backend!K37)</f>
        <v>0.46837106000000001</v>
      </c>
      <c r="K10">
        <f>IF(Backend!L37="", "", Backend!L37)</f>
        <v>0.17198086000000001</v>
      </c>
      <c r="L10">
        <f>IF(Backend!M37="", "", Backend!M37)</f>
        <v>0.44526672</v>
      </c>
      <c r="M10">
        <f>IF(Backend!N37="", "", Backend!N37)</f>
        <v>0.52336263999999999</v>
      </c>
      <c r="N10">
        <f>IF(Backend!O37="", "", Backend!O37)</f>
        <v>0.26455608000000003</v>
      </c>
      <c r="O10">
        <f>IF(Backend!P37="", "", Backend!P37)</f>
        <v>0.47416543999999999</v>
      </c>
      <c r="P10">
        <f>IF(Backend!Q37="", "", Backend!Q37)</f>
        <v>0.48770439999999998</v>
      </c>
      <c r="Q10">
        <f>IF(Backend!R37="", "", Backend!R37)</f>
        <v>3.8410387999999997E-2</v>
      </c>
      <c r="R10">
        <f>IF(Backend!S37="", "", Backend!S37)</f>
        <v>0.48443192000000002</v>
      </c>
      <c r="S10">
        <f>IF(Backend!T37="", "", Backend!T37)</f>
        <v>6.2211200000000001E-2</v>
      </c>
      <c r="T10">
        <f>IF(Backend!U37="", "", Backend!U37)</f>
        <v>8.7434129999999999E-2</v>
      </c>
      <c r="U10">
        <f>IF(Backend!V37="", "", Backend!V37)</f>
        <v>0.55571950000000003</v>
      </c>
      <c r="V10">
        <f>IF(Backend!W37="", "", Backend!W37)</f>
        <v>0.54004929999999995</v>
      </c>
      <c r="W10">
        <f>IF(Backend!X37="", "", Backend!X37)</f>
        <v>0.30304651999999999</v>
      </c>
      <c r="X10">
        <f>IF(Backend!Y37="", "", Backend!Y37)</f>
        <v>0.49772919999999998</v>
      </c>
      <c r="Y10">
        <f>IF(Backend!Z37="", "", Backend!Z37)</f>
        <v>0.26397583000000002</v>
      </c>
      <c r="Z10">
        <f>IF(Backend!AA37="", "", Backend!AA37)</f>
        <v>0.18386828999999999</v>
      </c>
      <c r="AA10">
        <f>IF(Backend!AB37="", "", Backend!AB37)</f>
        <v>0.37367913000000003</v>
      </c>
      <c r="AB10">
        <f>IF(Backend!AC37="", "", Backend!AC37)</f>
        <v>0.42642437999999999</v>
      </c>
      <c r="AC10">
        <f>IF(Backend!AD37="", "", Backend!AD37)</f>
        <v>0.34322989999999998</v>
      </c>
      <c r="AD10">
        <f>IF(Backend!AE37="", "", Backend!AE37)</f>
        <v>0.20998578000000001</v>
      </c>
      <c r="AE10">
        <f>IF(Backend!AF37="", "", Backend!AF37)</f>
        <v>0.32206204999999999</v>
      </c>
      <c r="AF10">
        <f>IF(Backend!AG37="", "", Backend!AG37)</f>
        <v>0.22432532999999999</v>
      </c>
      <c r="AG10">
        <f>IF(Backend!AH37="", "", Backend!AH37)</f>
        <v>0.48908489999999999</v>
      </c>
      <c r="AH10">
        <f>IF(Backend!AI37="", "", Backend!AI37)</f>
        <v>0.10309423500000001</v>
      </c>
      <c r="AI10">
        <f>IF(Backend!AJ37="", "", Backend!AJ37)</f>
        <v>0.15262116000000001</v>
      </c>
      <c r="AJ10">
        <f>IF(Backend!AK37="", "", Backend!AK37)</f>
        <v>0.22183733</v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Airbus SE</v>
      </c>
      <c r="B11">
        <f>IF(Backend!C38="", "", Backend!C38)</f>
        <v>0.1352449</v>
      </c>
      <c r="C11">
        <f>IF(Backend!D38="", "", Backend!D38)</f>
        <v>0.3262835</v>
      </c>
      <c r="D11">
        <f>IF(Backend!E38="", "", Backend!E38)</f>
        <v>0.32175112</v>
      </c>
      <c r="E11">
        <f>IF(Backend!F38="", "", Backend!F38)</f>
        <v>0.32645160000000001</v>
      </c>
      <c r="F11">
        <f>IF(Backend!G38="", "", Backend!G38)</f>
        <v>0.41915439999999998</v>
      </c>
      <c r="G11">
        <f>IF(Backend!H38="", "", Backend!H38)</f>
        <v>0.21738803000000001</v>
      </c>
      <c r="H11">
        <f>IF(Backend!I38="", "", Backend!I38)</f>
        <v>0.43797891999999999</v>
      </c>
      <c r="I11">
        <f>IF(Backend!J38="", "", Backend!J38)</f>
        <v>1</v>
      </c>
      <c r="J11">
        <f>IF(Backend!K38="", "", Backend!K38)</f>
        <v>0.4713695</v>
      </c>
      <c r="K11">
        <f>IF(Backend!L38="", "", Backend!L38)</f>
        <v>2.1283152E-2</v>
      </c>
      <c r="L11">
        <f>IF(Backend!M38="", "", Backend!M38)</f>
        <v>0.40255373999999999</v>
      </c>
      <c r="M11">
        <f>IF(Backend!N38="", "", Backend!N38)</f>
        <v>0.73515487000000002</v>
      </c>
      <c r="N11">
        <f>IF(Backend!O38="", "", Backend!O38)</f>
        <v>0.17357950999999999</v>
      </c>
      <c r="O11">
        <f>IF(Backend!P38="", "", Backend!P38)</f>
        <v>0.32561793999999999</v>
      </c>
      <c r="P11">
        <f>IF(Backend!Q38="", "", Backend!Q38)</f>
        <v>0.25978714000000003</v>
      </c>
      <c r="Q11">
        <f>IF(Backend!R38="", "", Backend!R38)</f>
        <v>0.13363004000000001</v>
      </c>
      <c r="R11">
        <f>IF(Backend!S38="", "", Backend!S38)</f>
        <v>0.42794051999999999</v>
      </c>
      <c r="S11">
        <f>IF(Backend!T38="", "", Backend!T38)</f>
        <v>0.10217859</v>
      </c>
      <c r="T11">
        <f>IF(Backend!U38="", "", Backend!U38)</f>
        <v>0.17914937</v>
      </c>
      <c r="U11">
        <f>IF(Backend!V38="", "", Backend!V38)</f>
        <v>0.48358190000000001</v>
      </c>
      <c r="V11">
        <f>IF(Backend!W38="", "", Backend!W38)</f>
        <v>0.56594204999999997</v>
      </c>
      <c r="W11">
        <f>IF(Backend!X38="", "", Backend!X38)</f>
        <v>0.28415299999999999</v>
      </c>
      <c r="X11">
        <f>IF(Backend!Y38="", "", Backend!Y38)</f>
        <v>0.31604058000000002</v>
      </c>
      <c r="Y11">
        <f>IF(Backend!Z38="", "", Backend!Z38)</f>
        <v>0.30752465000000001</v>
      </c>
      <c r="Z11">
        <f>IF(Backend!AA38="", "", Backend!AA38)</f>
        <v>0.13144164</v>
      </c>
      <c r="AA11">
        <f>IF(Backend!AB38="", "", Backend!AB38)</f>
        <v>0.32715309999999997</v>
      </c>
      <c r="AB11">
        <f>IF(Backend!AC38="", "", Backend!AC38)</f>
        <v>0.38833501999999998</v>
      </c>
      <c r="AC11">
        <f>IF(Backend!AD38="", "", Backend!AD38)</f>
        <v>0.28998689999999999</v>
      </c>
      <c r="AD11">
        <f>IF(Backend!AE38="", "", Backend!AE38)</f>
        <v>0.23161003999999999</v>
      </c>
      <c r="AE11">
        <f>IF(Backend!AF38="", "", Backend!AF38)</f>
        <v>0.22954237</v>
      </c>
      <c r="AF11">
        <f>IF(Backend!AG38="", "", Backend!AG38)</f>
        <v>5.9079114000000002E-2</v>
      </c>
      <c r="AG11">
        <f>IF(Backend!AH38="", "", Backend!AH38)</f>
        <v>0.55754150000000002</v>
      </c>
      <c r="AH11">
        <f>IF(Backend!AI38="", "", Backend!AI38)</f>
        <v>0.14176403000000001</v>
      </c>
      <c r="AI11">
        <f>IF(Backend!AJ38="", "", Backend!AJ38)</f>
        <v>0.17432122999999999</v>
      </c>
      <c r="AJ11">
        <f>IF(Backend!AK38="", "", Backend!AK38)</f>
        <v>0.27632000000000001</v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Deutsche Boerse AG</v>
      </c>
      <c r="B12">
        <f>IF(Backend!C39="", "", Backend!C39)</f>
        <v>-6.3635220000000006E-2</v>
      </c>
      <c r="C12">
        <f>IF(Backend!D39="", "", Backend!D39)</f>
        <v>0.28594866000000002</v>
      </c>
      <c r="D12">
        <f>IF(Backend!E39="", "", Backend!E39)</f>
        <v>0.53971659999999999</v>
      </c>
      <c r="E12">
        <f>IF(Backend!F39="", "", Backend!F39)</f>
        <v>0.15628089000000001</v>
      </c>
      <c r="F12">
        <f>IF(Backend!G39="", "", Backend!G39)</f>
        <v>0.17269090000000001</v>
      </c>
      <c r="G12">
        <f>IF(Backend!H39="", "", Backend!H39)</f>
        <v>0.17614497000000001</v>
      </c>
      <c r="H12">
        <f>IF(Backend!I39="", "", Backend!I39)</f>
        <v>0.46837106000000001</v>
      </c>
      <c r="I12">
        <f>IF(Backend!J39="", "", Backend!J39)</f>
        <v>0.4713695</v>
      </c>
      <c r="J12">
        <f>IF(Backend!K39="", "", Backend!K39)</f>
        <v>1</v>
      </c>
      <c r="K12">
        <f>IF(Backend!L39="", "", Backend!L39)</f>
        <v>0.23106072999999999</v>
      </c>
      <c r="L12">
        <f>IF(Backend!M39="", "", Backend!M39)</f>
        <v>0.27487147000000001</v>
      </c>
      <c r="M12">
        <f>IF(Backend!N39="", "", Backend!N39)</f>
        <v>0.4830332</v>
      </c>
      <c r="N12">
        <f>IF(Backend!O39="", "", Backend!O39)</f>
        <v>0.27653736000000001</v>
      </c>
      <c r="O12">
        <f>IF(Backend!P39="", "", Backend!P39)</f>
        <v>0.38787025000000003</v>
      </c>
      <c r="P12">
        <f>IF(Backend!Q39="", "", Backend!Q39)</f>
        <v>0.4090742</v>
      </c>
      <c r="Q12">
        <f>IF(Backend!R39="", "", Backend!R39)</f>
        <v>4.5077868E-2</v>
      </c>
      <c r="R12">
        <f>IF(Backend!S39="", "", Backend!S39)</f>
        <v>0.55055920000000003</v>
      </c>
      <c r="S12">
        <f>IF(Backend!T39="", "", Backend!T39)</f>
        <v>-0.10421717</v>
      </c>
      <c r="T12">
        <f>IF(Backend!U39="", "", Backend!U39)</f>
        <v>2.8936318999999999E-2</v>
      </c>
      <c r="U12">
        <f>IF(Backend!V39="", "", Backend!V39)</f>
        <v>0.54880899999999999</v>
      </c>
      <c r="V12">
        <f>IF(Backend!W39="", "", Backend!W39)</f>
        <v>0.38510957000000001</v>
      </c>
      <c r="W12">
        <f>IF(Backend!X39="", "", Backend!X39)</f>
        <v>0.28112524999999999</v>
      </c>
      <c r="X12">
        <f>IF(Backend!Y39="", "", Backend!Y39)</f>
        <v>0.51898544999999996</v>
      </c>
      <c r="Y12">
        <f>IF(Backend!Z39="", "", Backend!Z39)</f>
        <v>0.38676909999999998</v>
      </c>
      <c r="Z12">
        <f>IF(Backend!AA39="", "", Backend!AA39)</f>
        <v>0.17852162999999999</v>
      </c>
      <c r="AA12">
        <f>IF(Backend!AB39="", "", Backend!AB39)</f>
        <v>0.35865834000000002</v>
      </c>
      <c r="AB12">
        <f>IF(Backend!AC39="", "", Backend!AC39)</f>
        <v>0.42152139999999999</v>
      </c>
      <c r="AC12">
        <f>IF(Backend!AD39="", "", Backend!AD39)</f>
        <v>0.28108692000000002</v>
      </c>
      <c r="AD12">
        <f>IF(Backend!AE39="", "", Backend!AE39)</f>
        <v>0.22214368000000001</v>
      </c>
      <c r="AE12">
        <f>IF(Backend!AF39="", "", Backend!AF39)</f>
        <v>0.34702739999999999</v>
      </c>
      <c r="AF12">
        <f>IF(Backend!AG39="", "", Backend!AG39)</f>
        <v>0.33293139999999999</v>
      </c>
      <c r="AG12">
        <f>IF(Backend!AH39="", "", Backend!AH39)</f>
        <v>0.40942347000000001</v>
      </c>
      <c r="AH12">
        <f>IF(Backend!AI39="", "", Backend!AI39)</f>
        <v>-6.8527880000000003E-3</v>
      </c>
      <c r="AI12">
        <f>IF(Backend!AJ39="", "", Backend!AJ39)</f>
        <v>0.13194348</v>
      </c>
      <c r="AJ12">
        <f>IF(Backend!AK39="", "", Backend!AK39)</f>
        <v>0.18057477</v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HDFC Bank Limited Sponsored ADR</v>
      </c>
      <c r="B13">
        <f>IF(Backend!C40="", "", Backend!C40)</f>
        <v>0.17074868000000001</v>
      </c>
      <c r="C13">
        <f>IF(Backend!D40="", "", Backend!D40)</f>
        <v>0.14904237000000001</v>
      </c>
      <c r="D13">
        <f>IF(Backend!E40="", "", Backend!E40)</f>
        <v>0.18840212000000001</v>
      </c>
      <c r="E13">
        <f>IF(Backend!F40="", "", Backend!F40)</f>
        <v>6.8636760000000005E-2</v>
      </c>
      <c r="F13">
        <f>IF(Backend!G40="", "", Backend!G40)</f>
        <v>1.9289444999999999E-2</v>
      </c>
      <c r="G13">
        <f>IF(Backend!H40="", "", Backend!H40)</f>
        <v>1.4028702000000001E-2</v>
      </c>
      <c r="H13">
        <f>IF(Backend!I40="", "", Backend!I40)</f>
        <v>0.17198086000000001</v>
      </c>
      <c r="I13">
        <f>IF(Backend!J40="", "", Backend!J40)</f>
        <v>2.1283152E-2</v>
      </c>
      <c r="J13">
        <f>IF(Backend!K40="", "", Backend!K40)</f>
        <v>0.23106072999999999</v>
      </c>
      <c r="K13">
        <f>IF(Backend!L40="", "", Backend!L40)</f>
        <v>1</v>
      </c>
      <c r="L13">
        <f>IF(Backend!M40="", "", Backend!M40)</f>
        <v>8.3326769999999994E-2</v>
      </c>
      <c r="M13">
        <f>IF(Backend!N40="", "", Backend!N40)</f>
        <v>5.6771200000000001E-2</v>
      </c>
      <c r="N13">
        <f>IF(Backend!O40="", "", Backend!O40)</f>
        <v>5.8079749999999999E-2</v>
      </c>
      <c r="O13">
        <f>IF(Backend!P40="", "", Backend!P40)</f>
        <v>0.18360609</v>
      </c>
      <c r="P13">
        <f>IF(Backend!Q40="", "", Backend!Q40)</f>
        <v>0.17455158000000001</v>
      </c>
      <c r="Q13">
        <f>IF(Backend!R40="", "", Backend!R40)</f>
        <v>0.18917152000000001</v>
      </c>
      <c r="R13">
        <f>IF(Backend!S40="", "", Backend!S40)</f>
        <v>0.18431702</v>
      </c>
      <c r="S13">
        <f>IF(Backend!T40="", "", Backend!T40)</f>
        <v>0.13505623999999999</v>
      </c>
      <c r="T13">
        <f>IF(Backend!U40="", "", Backend!U40)</f>
        <v>-1.3575266000000001E-2</v>
      </c>
      <c r="U13">
        <f>IF(Backend!V40="", "", Backend!V40)</f>
        <v>0.22873541999999999</v>
      </c>
      <c r="V13">
        <f>IF(Backend!W40="", "", Backend!W40)</f>
        <v>0.11041714</v>
      </c>
      <c r="W13">
        <f>IF(Backend!X40="", "", Backend!X40)</f>
        <v>1.3671225E-2</v>
      </c>
      <c r="X13">
        <f>IF(Backend!Y40="", "", Backend!Y40)</f>
        <v>0.23347448000000001</v>
      </c>
      <c r="Y13">
        <f>IF(Backend!Z40="", "", Backend!Z40)</f>
        <v>6.3540689999999997E-2</v>
      </c>
      <c r="Z13">
        <f>IF(Backend!AA40="", "", Backend!AA40)</f>
        <v>8.3173609999999995E-2</v>
      </c>
      <c r="AA13">
        <f>IF(Backend!AB40="", "", Backend!AB40)</f>
        <v>1.9612033000000001E-2</v>
      </c>
      <c r="AB13">
        <f>IF(Backend!AC40="", "", Backend!AC40)</f>
        <v>0.12091817000000001</v>
      </c>
      <c r="AC13">
        <f>IF(Backend!AD40="", "", Backend!AD40)</f>
        <v>8.2721379999999997E-2</v>
      </c>
      <c r="AD13">
        <f>IF(Backend!AE40="", "", Backend!AE40)</f>
        <v>0.11057860999999999</v>
      </c>
      <c r="AE13">
        <f>IF(Backend!AF40="", "", Backend!AF40)</f>
        <v>8.9926140000000002E-2</v>
      </c>
      <c r="AF13">
        <f>IF(Backend!AG40="", "", Backend!AG40)</f>
        <v>0.17917453</v>
      </c>
      <c r="AG13">
        <f>IF(Backend!AH40="", "", Backend!AH40)</f>
        <v>2.8851254E-2</v>
      </c>
      <c r="AH13">
        <f>IF(Backend!AI40="", "", Backend!AI40)</f>
        <v>0.24307356999999999</v>
      </c>
      <c r="AI13">
        <f>IF(Backend!AJ40="", "", Backend!AJ40)</f>
        <v>6.7099350000000002E-2</v>
      </c>
      <c r="AJ13">
        <f>IF(Backend!AK40="", "", Backend!AK40)</f>
        <v>3.7678320000000001E-2</v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Compagnie Financiere Richemont SA</v>
      </c>
      <c r="B14">
        <f>IF(Backend!C41="", "", Backend!C41)</f>
        <v>0.2152212</v>
      </c>
      <c r="C14">
        <f>IF(Backend!D41="", "", Backend!D41)</f>
        <v>0.23510537000000001</v>
      </c>
      <c r="D14">
        <f>IF(Backend!E41="", "", Backend!E41)</f>
        <v>0.30338976000000001</v>
      </c>
      <c r="E14">
        <f>IF(Backend!F41="", "", Backend!F41)</f>
        <v>0.70846889999999996</v>
      </c>
      <c r="F14">
        <f>IF(Backend!G41="", "", Backend!G41)</f>
        <v>0.41489258000000001</v>
      </c>
      <c r="G14">
        <f>IF(Backend!H41="", "", Backend!H41)</f>
        <v>0.18631755999999999</v>
      </c>
      <c r="H14">
        <f>IF(Backend!I41="", "", Backend!I41)</f>
        <v>0.44526672</v>
      </c>
      <c r="I14">
        <f>IF(Backend!J41="", "", Backend!J41)</f>
        <v>0.40255373999999999</v>
      </c>
      <c r="J14">
        <f>IF(Backend!K41="", "", Backend!K41)</f>
        <v>0.27487147000000001</v>
      </c>
      <c r="K14">
        <f>IF(Backend!L41="", "", Backend!L41)</f>
        <v>8.3326769999999994E-2</v>
      </c>
      <c r="L14">
        <f>IF(Backend!M41="", "", Backend!M41)</f>
        <v>1</v>
      </c>
      <c r="M14">
        <f>IF(Backend!N41="", "", Backend!N41)</f>
        <v>0.41831773999999999</v>
      </c>
      <c r="N14">
        <f>IF(Backend!O41="", "", Backend!O41)</f>
        <v>0.13529061000000001</v>
      </c>
      <c r="O14">
        <f>IF(Backend!P41="", "", Backend!P41)</f>
        <v>0.32694911999999998</v>
      </c>
      <c r="P14">
        <f>IF(Backend!Q41="", "", Backend!Q41)</f>
        <v>0.21448971</v>
      </c>
      <c r="Q14">
        <f>IF(Backend!R41="", "", Backend!R41)</f>
        <v>4.6811033000000002E-2</v>
      </c>
      <c r="R14">
        <f>IF(Backend!S41="", "", Backend!S41)</f>
        <v>0.34406522</v>
      </c>
      <c r="S14">
        <f>IF(Backend!T41="", "", Backend!T41)</f>
        <v>0.14146629999999999</v>
      </c>
      <c r="T14">
        <f>IF(Backend!U41="", "", Backend!U41)</f>
        <v>-9.6206260000000002E-3</v>
      </c>
      <c r="U14">
        <f>IF(Backend!V41="", "", Backend!V41)</f>
        <v>0.37477145000000001</v>
      </c>
      <c r="V14">
        <f>IF(Backend!W41="", "", Backend!W41)</f>
        <v>0.48767843999999999</v>
      </c>
      <c r="W14">
        <f>IF(Backend!X41="", "", Backend!X41)</f>
        <v>0.29353252000000002</v>
      </c>
      <c r="X14">
        <f>IF(Backend!Y41="", "", Backend!Y41)</f>
        <v>0.27401540000000002</v>
      </c>
      <c r="Y14">
        <f>IF(Backend!Z41="", "", Backend!Z41)</f>
        <v>0.24078935000000001</v>
      </c>
      <c r="Z14">
        <f>IF(Backend!AA41="", "", Backend!AA41)</f>
        <v>0.17702334</v>
      </c>
      <c r="AA14">
        <f>IF(Backend!AB41="", "", Backend!AB41)</f>
        <v>0.27349554999999998</v>
      </c>
      <c r="AB14">
        <f>IF(Backend!AC41="", "", Backend!AC41)</f>
        <v>0.33680120000000002</v>
      </c>
      <c r="AC14">
        <f>IF(Backend!AD41="", "", Backend!AD41)</f>
        <v>0.2478021</v>
      </c>
      <c r="AD14">
        <f>IF(Backend!AE41="", "", Backend!AE41)</f>
        <v>0.18669213000000001</v>
      </c>
      <c r="AE14">
        <f>IF(Backend!AF41="", "", Backend!AF41)</f>
        <v>0.22483484000000001</v>
      </c>
      <c r="AF14">
        <f>IF(Backend!AG41="", "", Backend!AG41)</f>
        <v>1.5824562E-2</v>
      </c>
      <c r="AG14">
        <f>IF(Backend!AH41="", "", Backend!AH41)</f>
        <v>0.36020849999999999</v>
      </c>
      <c r="AH14">
        <f>IF(Backend!AI41="", "", Backend!AI41)</f>
        <v>0.22089727000000001</v>
      </c>
      <c r="AI14">
        <f>IF(Backend!AJ41="", "", Backend!AJ41)</f>
        <v>0.10239949</v>
      </c>
      <c r="AJ14">
        <f>IF(Backend!AK41="", "", Backend!AK41)</f>
        <v>0.16291605000000001</v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Safran SA</v>
      </c>
      <c r="B15">
        <f>IF(Backend!C42="", "", Backend!C42)</f>
        <v>0.15628964000000001</v>
      </c>
      <c r="C15">
        <f>IF(Backend!D42="", "", Backend!D42)</f>
        <v>0.29358741999999999</v>
      </c>
      <c r="D15">
        <f>IF(Backend!E42="", "", Backend!E42)</f>
        <v>0.35225012999999999</v>
      </c>
      <c r="E15">
        <f>IF(Backend!F42="", "", Backend!F42)</f>
        <v>0.27011287</v>
      </c>
      <c r="F15">
        <f>IF(Backend!G42="", "", Backend!G42)</f>
        <v>0.40573340000000002</v>
      </c>
      <c r="G15">
        <f>IF(Backend!H42="", "", Backend!H42)</f>
        <v>0.25867388000000002</v>
      </c>
      <c r="H15">
        <f>IF(Backend!I42="", "", Backend!I42)</f>
        <v>0.52336263999999999</v>
      </c>
      <c r="I15">
        <f>IF(Backend!J42="", "", Backend!J42)</f>
        <v>0.73515487000000002</v>
      </c>
      <c r="J15">
        <f>IF(Backend!K42="", "", Backend!K42)</f>
        <v>0.4830332</v>
      </c>
      <c r="K15">
        <f>IF(Backend!L42="", "", Backend!L42)</f>
        <v>5.6771200000000001E-2</v>
      </c>
      <c r="L15">
        <f>IF(Backend!M42="", "", Backend!M42)</f>
        <v>0.41831773999999999</v>
      </c>
      <c r="M15">
        <f>IF(Backend!N42="", "", Backend!N42)</f>
        <v>1</v>
      </c>
      <c r="N15">
        <f>IF(Backend!O42="", "", Backend!O42)</f>
        <v>0.18902901</v>
      </c>
      <c r="O15">
        <f>IF(Backend!P42="", "", Backend!P42)</f>
        <v>0.39085188999999998</v>
      </c>
      <c r="P15">
        <f>IF(Backend!Q42="", "", Backend!Q42)</f>
        <v>0.31714049999999999</v>
      </c>
      <c r="Q15">
        <f>IF(Backend!R42="", "", Backend!R42)</f>
        <v>0.1252096</v>
      </c>
      <c r="R15">
        <f>IF(Backend!S42="", "", Backend!S42)</f>
        <v>0.38150774999999998</v>
      </c>
      <c r="S15">
        <f>IF(Backend!T42="", "", Backend!T42)</f>
        <v>6.9976239999999995E-2</v>
      </c>
      <c r="T15">
        <f>IF(Backend!U42="", "", Backend!U42)</f>
        <v>0.14294280000000001</v>
      </c>
      <c r="U15">
        <f>IF(Backend!V42="", "", Backend!V42)</f>
        <v>0.50010215999999996</v>
      </c>
      <c r="V15">
        <f>IF(Backend!W42="", "", Backend!W42)</f>
        <v>0.54281380000000001</v>
      </c>
      <c r="W15">
        <f>IF(Backend!X42="", "", Backend!X42)</f>
        <v>0.12727374999999999</v>
      </c>
      <c r="X15">
        <f>IF(Backend!Y42="", "", Backend!Y42)</f>
        <v>0.34924440000000001</v>
      </c>
      <c r="Y15">
        <f>IF(Backend!Z42="", "", Backend!Z42)</f>
        <v>0.28710538000000002</v>
      </c>
      <c r="Z15">
        <f>IF(Backend!AA42="", "", Backend!AA42)</f>
        <v>0.15232435</v>
      </c>
      <c r="AA15">
        <f>IF(Backend!AB42="", "", Backend!AB42)</f>
        <v>0.25245859999999998</v>
      </c>
      <c r="AB15">
        <f>IF(Backend!AC42="", "", Backend!AC42)</f>
        <v>0.3237911</v>
      </c>
      <c r="AC15">
        <f>IF(Backend!AD42="", "", Backend!AD42)</f>
        <v>0.30078157999999999</v>
      </c>
      <c r="AD15">
        <f>IF(Backend!AE42="", "", Backend!AE42)</f>
        <v>0.21304756</v>
      </c>
      <c r="AE15">
        <f>IF(Backend!AF42="", "", Backend!AF42)</f>
        <v>0.20800872000000001</v>
      </c>
      <c r="AF15">
        <f>IF(Backend!AG42="", "", Backend!AG42)</f>
        <v>0.1104657</v>
      </c>
      <c r="AG15">
        <f>IF(Backend!AH42="", "", Backend!AH42)</f>
        <v>0.54583000000000004</v>
      </c>
      <c r="AH15">
        <f>IF(Backend!AI42="", "", Backend!AI42)</f>
        <v>0.10563742</v>
      </c>
      <c r="AI15">
        <f>IF(Backend!AJ42="", "", Backend!AJ42)</f>
        <v>0.19362850000000001</v>
      </c>
      <c r="AJ15">
        <f>IF(Backend!AK42="", "", Backend!AK42)</f>
        <v>0.28667809999999999</v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ConvaTec Group Plc</v>
      </c>
      <c r="B16">
        <f>IF(Backend!C43="", "", Backend!C43)</f>
        <v>-3.5478589999999997E-2</v>
      </c>
      <c r="C16">
        <f>IF(Backend!D43="", "", Backend!D43)</f>
        <v>0.32923724999999998</v>
      </c>
      <c r="D16">
        <f>IF(Backend!E43="", "", Backend!E43)</f>
        <v>0.14029990000000001</v>
      </c>
      <c r="E16">
        <f>IF(Backend!F43="", "", Backend!F43)</f>
        <v>7.8491690000000003E-2</v>
      </c>
      <c r="F16">
        <f>IF(Backend!G43="", "", Backend!G43)</f>
        <v>0.1644987</v>
      </c>
      <c r="G16">
        <f>IF(Backend!H43="", "", Backend!H43)</f>
        <v>0.17275563999999999</v>
      </c>
      <c r="H16">
        <f>IF(Backend!I43="", "", Backend!I43)</f>
        <v>0.26455608000000003</v>
      </c>
      <c r="I16">
        <f>IF(Backend!J43="", "", Backend!J43)</f>
        <v>0.17357950999999999</v>
      </c>
      <c r="J16">
        <f>IF(Backend!K43="", "", Backend!K43)</f>
        <v>0.27653736000000001</v>
      </c>
      <c r="K16">
        <f>IF(Backend!L43="", "", Backend!L43)</f>
        <v>5.8079749999999999E-2</v>
      </c>
      <c r="L16">
        <f>IF(Backend!M43="", "", Backend!M43)</f>
        <v>0.13529061000000001</v>
      </c>
      <c r="M16">
        <f>IF(Backend!N43="", "", Backend!N43)</f>
        <v>0.18902901</v>
      </c>
      <c r="N16">
        <f>IF(Backend!O43="", "", Backend!O43)</f>
        <v>1</v>
      </c>
      <c r="O16">
        <f>IF(Backend!P43="", "", Backend!P43)</f>
        <v>0.24446577999999999</v>
      </c>
      <c r="P16">
        <f>IF(Backend!Q43="", "", Backend!Q43)</f>
        <v>0.19450429</v>
      </c>
      <c r="Q16">
        <f>IF(Backend!R43="", "", Backend!R43)</f>
        <v>-2.4878790000000001E-2</v>
      </c>
      <c r="R16">
        <f>IF(Backend!S43="", "", Backend!S43)</f>
        <v>0.31752627999999999</v>
      </c>
      <c r="S16">
        <f>IF(Backend!T43="", "", Backend!T43)</f>
        <v>5.7256950000000003E-3</v>
      </c>
      <c r="T16">
        <f>IF(Backend!U43="", "", Backend!U43)</f>
        <v>0.15141890999999999</v>
      </c>
      <c r="U16">
        <f>IF(Backend!V43="", "", Backend!V43)</f>
        <v>0.26866916000000002</v>
      </c>
      <c r="V16">
        <f>IF(Backend!W43="", "", Backend!W43)</f>
        <v>0.24411368</v>
      </c>
      <c r="W16">
        <f>IF(Backend!X43="", "", Backend!X43)</f>
        <v>0.20336391000000001</v>
      </c>
      <c r="X16">
        <f>IF(Backend!Y43="", "", Backend!Y43)</f>
        <v>0.22882959999999999</v>
      </c>
      <c r="Y16">
        <f>IF(Backend!Z43="", "", Backend!Z43)</f>
        <v>0.19629730000000001</v>
      </c>
      <c r="Z16">
        <f>IF(Backend!AA43="", "", Backend!AA43)</f>
        <v>0.13509624000000001</v>
      </c>
      <c r="AA16">
        <f>IF(Backend!AB43="", "", Backend!AB43)</f>
        <v>0.25951245000000001</v>
      </c>
      <c r="AB16">
        <f>IF(Backend!AC43="", "", Backend!AC43)</f>
        <v>0.30769202000000001</v>
      </c>
      <c r="AC16">
        <f>IF(Backend!AD43="", "", Backend!AD43)</f>
        <v>0.1891398</v>
      </c>
      <c r="AD16">
        <f>IF(Backend!AE43="", "", Backend!AE43)</f>
        <v>8.1055865000000005E-2</v>
      </c>
      <c r="AE16">
        <f>IF(Backend!AF43="", "", Backend!AF43)</f>
        <v>0.22136728</v>
      </c>
      <c r="AF16">
        <f>IF(Backend!AG43="", "", Backend!AG43)</f>
        <v>0.25529200000000002</v>
      </c>
      <c r="AG16">
        <f>IF(Backend!AH43="", "", Backend!AH43)</f>
        <v>0.25077411999999999</v>
      </c>
      <c r="AH16">
        <f>IF(Backend!AI43="", "", Backend!AI43)</f>
        <v>8.5949704000000002E-2</v>
      </c>
      <c r="AI16">
        <f>IF(Backend!AJ43="", "", Backend!AJ43)</f>
        <v>0.25352131999999999</v>
      </c>
      <c r="AJ16">
        <f>IF(Backend!AK43="", "", Backend!AK43)</f>
        <v>0.11454571</v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Rentokil Initial plc</v>
      </c>
      <c r="B17">
        <f>IF(Backend!C44="", "", Backend!C44)</f>
        <v>7.0999413999999997E-2</v>
      </c>
      <c r="C17">
        <f>IF(Backend!D44="", "", Backend!D44)</f>
        <v>0.37215298000000002</v>
      </c>
      <c r="D17">
        <f>IF(Backend!E44="", "", Backend!E44)</f>
        <v>0.29590514000000001</v>
      </c>
      <c r="E17">
        <f>IF(Backend!F44="", "", Backend!F44)</f>
        <v>0.29810172000000001</v>
      </c>
      <c r="F17">
        <f>IF(Backend!G44="", "", Backend!G44)</f>
        <v>0.21461849</v>
      </c>
      <c r="G17">
        <f>IF(Backend!H44="", "", Backend!H44)</f>
        <v>0.15560365000000001</v>
      </c>
      <c r="H17">
        <f>IF(Backend!I44="", "", Backend!I44)</f>
        <v>0.47416543999999999</v>
      </c>
      <c r="I17">
        <f>IF(Backend!J44="", "", Backend!J44)</f>
        <v>0.32561793999999999</v>
      </c>
      <c r="J17">
        <f>IF(Backend!K44="", "", Backend!K44)</f>
        <v>0.38787025000000003</v>
      </c>
      <c r="K17">
        <f>IF(Backend!L44="", "", Backend!L44)</f>
        <v>0.18360609</v>
      </c>
      <c r="L17">
        <f>IF(Backend!M44="", "", Backend!M44)</f>
        <v>0.32694911999999998</v>
      </c>
      <c r="M17">
        <f>IF(Backend!N44="", "", Backend!N44)</f>
        <v>0.39085188999999998</v>
      </c>
      <c r="N17">
        <f>IF(Backend!O44="", "", Backend!O44)</f>
        <v>0.24446577999999999</v>
      </c>
      <c r="O17">
        <f>IF(Backend!P44="", "", Backend!P44)</f>
        <v>1</v>
      </c>
      <c r="P17">
        <f>IF(Backend!Q44="", "", Backend!Q44)</f>
        <v>0.28314096</v>
      </c>
      <c r="Q17">
        <f>IF(Backend!R44="", "", Backend!R44)</f>
        <v>8.1365380000000001E-2</v>
      </c>
      <c r="R17">
        <f>IF(Backend!S44="", "", Backend!S44)</f>
        <v>0.38431457000000002</v>
      </c>
      <c r="S17">
        <f>IF(Backend!T44="", "", Backend!T44)</f>
        <v>-1.52962115E-2</v>
      </c>
      <c r="T17">
        <f>IF(Backend!U44="", "", Backend!U44)</f>
        <v>3.1218843999999999E-2</v>
      </c>
      <c r="U17">
        <f>IF(Backend!V44="", "", Backend!V44)</f>
        <v>0.42438856000000003</v>
      </c>
      <c r="V17">
        <f>IF(Backend!W44="", "", Backend!W44)</f>
        <v>0.3475067</v>
      </c>
      <c r="W17">
        <f>IF(Backend!X44="", "", Backend!X44)</f>
        <v>0.23204273</v>
      </c>
      <c r="X17">
        <f>IF(Backend!Y44="", "", Backend!Y44)</f>
        <v>0.43162384999999998</v>
      </c>
      <c r="Y17">
        <f>IF(Backend!Z44="", "", Backend!Z44)</f>
        <v>0.24175680999999999</v>
      </c>
      <c r="Z17">
        <f>IF(Backend!AA44="", "", Backend!AA44)</f>
        <v>9.3963820000000003E-2</v>
      </c>
      <c r="AA17">
        <f>IF(Backend!AB44="", "", Backend!AB44)</f>
        <v>0.22936403999999999</v>
      </c>
      <c r="AB17">
        <f>IF(Backend!AC44="", "", Backend!AC44)</f>
        <v>0.27842106999999999</v>
      </c>
      <c r="AC17">
        <f>IF(Backend!AD44="", "", Backend!AD44)</f>
        <v>0.29685255999999999</v>
      </c>
      <c r="AD17">
        <f>IF(Backend!AE44="", "", Backend!AE44)</f>
        <v>0.10855271</v>
      </c>
      <c r="AE17">
        <f>IF(Backend!AF44="", "", Backend!AF44)</f>
        <v>0.26924542000000001</v>
      </c>
      <c r="AF17">
        <f>IF(Backend!AG44="", "", Backend!AG44)</f>
        <v>0.13867246</v>
      </c>
      <c r="AG17">
        <f>IF(Backend!AH44="", "", Backend!AH44)</f>
        <v>0.32868710000000001</v>
      </c>
      <c r="AH17">
        <f>IF(Backend!AI44="", "", Backend!AI44)</f>
        <v>8.2675219999999994E-2</v>
      </c>
      <c r="AI17">
        <f>IF(Backend!AJ44="", "", Backend!AJ44)</f>
        <v>0.21141452999999999</v>
      </c>
      <c r="AJ17">
        <f>IF(Backend!AK44="", "", Backend!AK44)</f>
        <v>0.17663783999999999</v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Wolters Kluwer N.V.</v>
      </c>
      <c r="B18">
        <f>IF(Backend!C45="", "", Backend!C45)</f>
        <v>9.9104819999999996E-2</v>
      </c>
      <c r="C18">
        <f>IF(Backend!D45="", "", Backend!D45)</f>
        <v>0.28943178000000003</v>
      </c>
      <c r="D18">
        <f>IF(Backend!E45="", "", Backend!E45)</f>
        <v>0.35316809999999998</v>
      </c>
      <c r="E18">
        <f>IF(Backend!F45="", "", Backend!F45)</f>
        <v>0.10003305999999999</v>
      </c>
      <c r="F18">
        <f>IF(Backend!G45="", "", Backend!G45)</f>
        <v>0.30673862000000002</v>
      </c>
      <c r="G18">
        <f>IF(Backend!H45="", "", Backend!H45)</f>
        <v>5.3434570000000001E-2</v>
      </c>
      <c r="H18">
        <f>IF(Backend!I45="", "", Backend!I45)</f>
        <v>0.48770439999999998</v>
      </c>
      <c r="I18">
        <f>IF(Backend!J45="", "", Backend!J45)</f>
        <v>0.25978714000000003</v>
      </c>
      <c r="J18">
        <f>IF(Backend!K45="", "", Backend!K45)</f>
        <v>0.4090742</v>
      </c>
      <c r="K18">
        <f>IF(Backend!L45="", "", Backend!L45)</f>
        <v>0.17455158000000001</v>
      </c>
      <c r="L18">
        <f>IF(Backend!M45="", "", Backend!M45)</f>
        <v>0.21448971</v>
      </c>
      <c r="M18">
        <f>IF(Backend!N45="", "", Backend!N45)</f>
        <v>0.31714049999999999</v>
      </c>
      <c r="N18">
        <f>IF(Backend!O45="", "", Backend!O45)</f>
        <v>0.19450429</v>
      </c>
      <c r="O18">
        <f>IF(Backend!P45="", "", Backend!P45)</f>
        <v>0.28314096</v>
      </c>
      <c r="P18">
        <f>IF(Backend!Q45="", "", Backend!Q45)</f>
        <v>1</v>
      </c>
      <c r="Q18">
        <f>IF(Backend!R45="", "", Backend!R45)</f>
        <v>7.4211460000000007E-2</v>
      </c>
      <c r="R18">
        <f>IF(Backend!S45="", "", Backend!S45)</f>
        <v>0.35418139999999998</v>
      </c>
      <c r="S18">
        <f>IF(Backend!T45="", "", Backend!T45)</f>
        <v>7.2134439999999994E-2</v>
      </c>
      <c r="T18">
        <f>IF(Backend!U45="", "", Backend!U45)</f>
        <v>8.2050239999999997E-2</v>
      </c>
      <c r="U18">
        <f>IF(Backend!V45="", "", Backend!V45)</f>
        <v>0.37443784000000002</v>
      </c>
      <c r="V18">
        <f>IF(Backend!W45="", "", Backend!W45)</f>
        <v>0.32674750000000002</v>
      </c>
      <c r="W18">
        <f>IF(Backend!X45="", "", Backend!X45)</f>
        <v>0.11479483</v>
      </c>
      <c r="X18">
        <f>IF(Backend!Y45="", "", Backend!Y45)</f>
        <v>0.41029571999999997</v>
      </c>
      <c r="Y18">
        <f>IF(Backend!Z45="", "", Backend!Z45)</f>
        <v>0.30164340000000001</v>
      </c>
      <c r="Z18">
        <f>IF(Backend!AA45="", "", Backend!AA45)</f>
        <v>0.12585953</v>
      </c>
      <c r="AA18">
        <f>IF(Backend!AB45="", "", Backend!AB45)</f>
        <v>0.19305316</v>
      </c>
      <c r="AB18">
        <f>IF(Backend!AC45="", "", Backend!AC45)</f>
        <v>0.32065802999999998</v>
      </c>
      <c r="AC18">
        <f>IF(Backend!AD45="", "", Backend!AD45)</f>
        <v>0.24407799999999999</v>
      </c>
      <c r="AD18">
        <f>IF(Backend!AE45="", "", Backend!AE45)</f>
        <v>0.23117582</v>
      </c>
      <c r="AE18">
        <f>IF(Backend!AF45="", "", Backend!AF45)</f>
        <v>0.35293540000000001</v>
      </c>
      <c r="AF18">
        <f>IF(Backend!AG45="", "", Backend!AG45)</f>
        <v>0.23308714999999999</v>
      </c>
      <c r="AG18">
        <f>IF(Backend!AH45="", "", Backend!AH45)</f>
        <v>0.36547488</v>
      </c>
      <c r="AH18">
        <f>IF(Backend!AI45="", "", Backend!AI45)</f>
        <v>6.2133037000000002E-2</v>
      </c>
      <c r="AI18">
        <f>IF(Backend!AJ45="", "", Backend!AJ45)</f>
        <v>9.4979220000000003E-2</v>
      </c>
      <c r="AJ18">
        <f>IF(Backend!AK45="", "", Backend!AK45)</f>
        <v>5.3427767000000001E-2</v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Booking Holdings Inc.</v>
      </c>
      <c r="B19">
        <f>IF(Backend!C46="", "", Backend!C46)</f>
        <v>0.36439993999999998</v>
      </c>
      <c r="C19">
        <f>IF(Backend!D46="", "", Backend!D46)</f>
        <v>-2.3529909999999999E-4</v>
      </c>
      <c r="D19">
        <f>IF(Backend!E46="", "", Backend!E46)</f>
        <v>4.6612892000000003E-2</v>
      </c>
      <c r="E19">
        <f>IF(Backend!F46="", "", Backend!F46)</f>
        <v>-9.7645029999999994E-2</v>
      </c>
      <c r="F19">
        <f>IF(Backend!G46="", "", Backend!G46)</f>
        <v>7.4357784999999996E-2</v>
      </c>
      <c r="G19">
        <f>IF(Backend!H46="", "", Backend!H46)</f>
        <v>-8.8712639999999995E-2</v>
      </c>
      <c r="H19">
        <f>IF(Backend!I46="", "", Backend!I46)</f>
        <v>3.8410387999999997E-2</v>
      </c>
      <c r="I19">
        <f>IF(Backend!J46="", "", Backend!J46)</f>
        <v>0.13363004000000001</v>
      </c>
      <c r="J19">
        <f>IF(Backend!K46="", "", Backend!K46)</f>
        <v>4.5077868E-2</v>
      </c>
      <c r="K19">
        <f>IF(Backend!L46="", "", Backend!L46)</f>
        <v>0.18917152000000001</v>
      </c>
      <c r="L19">
        <f>IF(Backend!M46="", "", Backend!M46)</f>
        <v>4.6811033000000002E-2</v>
      </c>
      <c r="M19">
        <f>IF(Backend!N46="", "", Backend!N46)</f>
        <v>0.1252096</v>
      </c>
      <c r="N19">
        <f>IF(Backend!O46="", "", Backend!O46)</f>
        <v>-2.4878790000000001E-2</v>
      </c>
      <c r="O19">
        <f>IF(Backend!P46="", "", Backend!P46)</f>
        <v>8.1365380000000001E-2</v>
      </c>
      <c r="P19">
        <f>IF(Backend!Q46="", "", Backend!Q46)</f>
        <v>7.4211460000000007E-2</v>
      </c>
      <c r="Q19">
        <f>IF(Backend!R46="", "", Backend!R46)</f>
        <v>1</v>
      </c>
      <c r="R19">
        <f>IF(Backend!S46="", "", Backend!S46)</f>
        <v>1.9117519999999999E-2</v>
      </c>
      <c r="S19">
        <f>IF(Backend!T46="", "", Backend!T46)</f>
        <v>0.47180097999999998</v>
      </c>
      <c r="T19">
        <f>IF(Backend!U46="", "", Backend!U46)</f>
        <v>1.5641212000000002E-2</v>
      </c>
      <c r="U19">
        <f>IF(Backend!V46="", "", Backend!V46)</f>
        <v>0.11486694</v>
      </c>
      <c r="V19">
        <f>IF(Backend!W46="", "", Backend!W46)</f>
        <v>8.0712359999999997E-2</v>
      </c>
      <c r="W19">
        <f>IF(Backend!X46="", "", Backend!X46)</f>
        <v>-7.6526689999999994E-2</v>
      </c>
      <c r="X19">
        <f>IF(Backend!Y46="", "", Backend!Y46)</f>
        <v>3.9223823999999997E-2</v>
      </c>
      <c r="Y19">
        <f>IF(Backend!Z46="", "", Backend!Z46)</f>
        <v>8.3811246000000006E-2</v>
      </c>
      <c r="Z19">
        <f>IF(Backend!AA46="", "", Backend!AA46)</f>
        <v>9.3088190000000001E-2</v>
      </c>
      <c r="AA19">
        <f>IF(Backend!AB46="", "", Backend!AB46)</f>
        <v>-0.12277892</v>
      </c>
      <c r="AB19">
        <f>IF(Backend!AC46="", "", Backend!AC46)</f>
        <v>-5.4725326999999997E-2</v>
      </c>
      <c r="AC19">
        <f>IF(Backend!AD46="", "", Backend!AD46)</f>
        <v>-1.2127049000000001E-2</v>
      </c>
      <c r="AD19">
        <f>IF(Backend!AE46="", "", Backend!AE46)</f>
        <v>5.5007394000000001E-2</v>
      </c>
      <c r="AE19">
        <f>IF(Backend!AF46="", "", Backend!AF46)</f>
        <v>1.1593699000000001E-2</v>
      </c>
      <c r="AF19">
        <f>IF(Backend!AG46="", "", Backend!AG46)</f>
        <v>0.25377119999999997</v>
      </c>
      <c r="AG19">
        <f>IF(Backend!AH46="", "", Backend!AH46)</f>
        <v>8.6272420000000002E-2</v>
      </c>
      <c r="AH19">
        <f>IF(Backend!AI46="", "", Backend!AI46)</f>
        <v>0.28895235000000002</v>
      </c>
      <c r="AI19">
        <f>IF(Backend!AJ46="", "", Backend!AJ46)</f>
        <v>-0.1712775</v>
      </c>
      <c r="AJ19">
        <f>IF(Backend!AK46="", "", Backend!AK46)</f>
        <v>5.4096166000000001E-2</v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KONE Oyj Class B</v>
      </c>
      <c r="B20">
        <f>IF(Backend!C47="", "", Backend!C47)</f>
        <v>0.11078909000000001</v>
      </c>
      <c r="C20">
        <f>IF(Backend!D47="", "", Backend!D47)</f>
        <v>0.40172525999999997</v>
      </c>
      <c r="D20">
        <f>IF(Backend!E47="", "", Backend!E47)</f>
        <v>0.32373336000000003</v>
      </c>
      <c r="E20">
        <f>IF(Backend!F47="", "", Backend!F47)</f>
        <v>0.30676824000000003</v>
      </c>
      <c r="F20">
        <f>IF(Backend!G47="", "", Backend!G47)</f>
        <v>0.2421671</v>
      </c>
      <c r="G20">
        <f>IF(Backend!H47="", "", Backend!H47)</f>
        <v>0.23671081999999999</v>
      </c>
      <c r="H20">
        <f>IF(Backend!I47="", "", Backend!I47)</f>
        <v>0.48443192000000002</v>
      </c>
      <c r="I20">
        <f>IF(Backend!J47="", "", Backend!J47)</f>
        <v>0.42794051999999999</v>
      </c>
      <c r="J20">
        <f>IF(Backend!K47="", "", Backend!K47)</f>
        <v>0.55055920000000003</v>
      </c>
      <c r="K20">
        <f>IF(Backend!L47="", "", Backend!L47)</f>
        <v>0.18431702</v>
      </c>
      <c r="L20">
        <f>IF(Backend!M47="", "", Backend!M47)</f>
        <v>0.34406522</v>
      </c>
      <c r="M20">
        <f>IF(Backend!N47="", "", Backend!N47)</f>
        <v>0.38150774999999998</v>
      </c>
      <c r="N20">
        <f>IF(Backend!O47="", "", Backend!O47)</f>
        <v>0.31752627999999999</v>
      </c>
      <c r="O20">
        <f>IF(Backend!P47="", "", Backend!P47)</f>
        <v>0.38431457000000002</v>
      </c>
      <c r="P20">
        <f>IF(Backend!Q47="", "", Backend!Q47)</f>
        <v>0.35418139999999998</v>
      </c>
      <c r="Q20">
        <f>IF(Backend!R47="", "", Backend!R47)</f>
        <v>1.9117519999999999E-2</v>
      </c>
      <c r="R20">
        <f>IF(Backend!S47="", "", Backend!S47)</f>
        <v>1</v>
      </c>
      <c r="S20">
        <f>IF(Backend!T47="", "", Backend!T47)</f>
        <v>5.2721508E-2</v>
      </c>
      <c r="T20">
        <f>IF(Backend!U47="", "", Backend!U47)</f>
        <v>0.13879712</v>
      </c>
      <c r="U20">
        <f>IF(Backend!V47="", "", Backend!V47)</f>
        <v>0.48324393999999998</v>
      </c>
      <c r="V20">
        <f>IF(Backend!W47="", "", Backend!W47)</f>
        <v>0.48309492999999998</v>
      </c>
      <c r="W20">
        <f>IF(Backend!X47="", "", Backend!X47)</f>
        <v>0.35271543</v>
      </c>
      <c r="X20">
        <f>IF(Backend!Y47="", "", Backend!Y47)</f>
        <v>0.44321751999999998</v>
      </c>
      <c r="Y20">
        <f>IF(Backend!Z47="", "", Backend!Z47)</f>
        <v>0.28760263000000003</v>
      </c>
      <c r="Z20">
        <f>IF(Backend!AA47="", "", Backend!AA47)</f>
        <v>0.17558433000000001</v>
      </c>
      <c r="AA20">
        <f>IF(Backend!AB47="", "", Backend!AB47)</f>
        <v>0.30310609999999999</v>
      </c>
      <c r="AB20">
        <f>IF(Backend!AC47="", "", Backend!AC47)</f>
        <v>0.4268981</v>
      </c>
      <c r="AC20">
        <f>IF(Backend!AD47="", "", Backend!AD47)</f>
        <v>0.25044290000000002</v>
      </c>
      <c r="AD20">
        <f>IF(Backend!AE47="", "", Backend!AE47)</f>
        <v>0.22346146</v>
      </c>
      <c r="AE20">
        <f>IF(Backend!AF47="", "", Backend!AF47)</f>
        <v>0.35924970000000001</v>
      </c>
      <c r="AF20">
        <f>IF(Backend!AG47="", "", Backend!AG47)</f>
        <v>0.25364012000000002</v>
      </c>
      <c r="AG20">
        <f>IF(Backend!AH47="", "", Backend!AH47)</f>
        <v>0.30109494999999997</v>
      </c>
      <c r="AH20">
        <f>IF(Backend!AI47="", "", Backend!AI47)</f>
        <v>0.14071634</v>
      </c>
      <c r="AI20">
        <f>IF(Backend!AJ47="", "", Backend!AJ47)</f>
        <v>0.24937627000000001</v>
      </c>
      <c r="AJ20">
        <f>IF(Backend!AK47="", "", Backend!AK47)</f>
        <v>0.23989663999999999</v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NXP Semiconductors NV</v>
      </c>
      <c r="B21">
        <f>IF(Backend!C48="", "", Backend!C48)</f>
        <v>0.5337269</v>
      </c>
      <c r="C21">
        <f>IF(Backend!D48="", "", Backend!D48)</f>
        <v>0.13039854000000001</v>
      </c>
      <c r="D21">
        <f>IF(Backend!E48="", "", Backend!E48)</f>
        <v>-7.8412109999999993E-2</v>
      </c>
      <c r="E21">
        <f>IF(Backend!F48="", "", Backend!F48)</f>
        <v>0.13514708</v>
      </c>
      <c r="F21">
        <f>IF(Backend!G48="", "", Backend!G48)</f>
        <v>0.24486079999999999</v>
      </c>
      <c r="G21">
        <f>IF(Backend!H48="", "", Backend!H48)</f>
        <v>-3.7576653000000002E-2</v>
      </c>
      <c r="H21">
        <f>IF(Backend!I48="", "", Backend!I48)</f>
        <v>6.2211200000000001E-2</v>
      </c>
      <c r="I21">
        <f>IF(Backend!J48="", "", Backend!J48)</f>
        <v>0.10217859</v>
      </c>
      <c r="J21">
        <f>IF(Backend!K48="", "", Backend!K48)</f>
        <v>-0.10421717</v>
      </c>
      <c r="K21">
        <f>IF(Backend!L48="", "", Backend!L48)</f>
        <v>0.13505623999999999</v>
      </c>
      <c r="L21">
        <f>IF(Backend!M48="", "", Backend!M48)</f>
        <v>0.14146629999999999</v>
      </c>
      <c r="M21">
        <f>IF(Backend!N48="", "", Backend!N48)</f>
        <v>6.9976239999999995E-2</v>
      </c>
      <c r="N21">
        <f>IF(Backend!O48="", "", Backend!O48)</f>
        <v>5.7256950000000003E-3</v>
      </c>
      <c r="O21">
        <f>IF(Backend!P48="", "", Backend!P48)</f>
        <v>-1.52962115E-2</v>
      </c>
      <c r="P21">
        <f>IF(Backend!Q48="", "", Backend!Q48)</f>
        <v>7.2134439999999994E-2</v>
      </c>
      <c r="Q21">
        <f>IF(Backend!R48="", "", Backend!R48)</f>
        <v>0.47180097999999998</v>
      </c>
      <c r="R21">
        <f>IF(Backend!S48="", "", Backend!S48)</f>
        <v>5.2721508E-2</v>
      </c>
      <c r="S21">
        <f>IF(Backend!T48="", "", Backend!T48)</f>
        <v>1</v>
      </c>
      <c r="T21">
        <f>IF(Backend!U48="", "", Backend!U48)</f>
        <v>4.997468E-2</v>
      </c>
      <c r="U21">
        <f>IF(Backend!V48="", "", Backend!V48)</f>
        <v>6.4917355999999996E-2</v>
      </c>
      <c r="V21">
        <f>IF(Backend!W48="", "", Backend!W48)</f>
        <v>0.20589297000000001</v>
      </c>
      <c r="W21">
        <f>IF(Backend!X48="", "", Backend!X48)</f>
        <v>-1.6663283000000001E-2</v>
      </c>
      <c r="X21">
        <f>IF(Backend!Y48="", "", Backend!Y48)</f>
        <v>-8.1428879999999995E-2</v>
      </c>
      <c r="Y21">
        <f>IF(Backend!Z48="", "", Backend!Z48)</f>
        <v>2.7303715999999999E-2</v>
      </c>
      <c r="Z21">
        <f>IF(Backend!AA48="", "", Backend!AA48)</f>
        <v>0.18159315000000001</v>
      </c>
      <c r="AA21">
        <f>IF(Backend!AB48="", "", Backend!AB48)</f>
        <v>-7.5408295E-2</v>
      </c>
      <c r="AB21">
        <f>IF(Backend!AC48="", "", Backend!AC48)</f>
        <v>-4.4936882000000001E-3</v>
      </c>
      <c r="AC21">
        <f>IF(Backend!AD48="", "", Backend!AD48)</f>
        <v>-7.4146210000000004E-2</v>
      </c>
      <c r="AD21">
        <f>IF(Backend!AE48="", "", Backend!AE48)</f>
        <v>0.106420085</v>
      </c>
      <c r="AE21">
        <f>IF(Backend!AF48="", "", Backend!AF48)</f>
        <v>8.4511383999999995E-2</v>
      </c>
      <c r="AF21">
        <f>IF(Backend!AG48="", "", Backend!AG48)</f>
        <v>7.8635969999999999E-2</v>
      </c>
      <c r="AG21">
        <f>IF(Backend!AH48="", "", Backend!AH48)</f>
        <v>9.8450399999999993E-2</v>
      </c>
      <c r="AH21">
        <f>IF(Backend!AI48="", "", Backend!AI48)</f>
        <v>0.45799685000000001</v>
      </c>
      <c r="AI21">
        <f>IF(Backend!AJ48="", "", Backend!AJ48)</f>
        <v>-9.1191195000000003E-2</v>
      </c>
      <c r="AJ21">
        <f>IF(Backend!AK48="", "", Backend!AK48)</f>
        <v>9.5930985999999996E-2</v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PT Bank Rakyat Indonesia (Persero) Tbk Class B</v>
      </c>
      <c r="B22">
        <f>IF(Backend!C49="", "", Backend!C49)</f>
        <v>3.3159460000000002E-2</v>
      </c>
      <c r="C22">
        <f>IF(Backend!D49="", "", Backend!D49)</f>
        <v>0.17884493000000001</v>
      </c>
      <c r="D22">
        <f>IF(Backend!E49="", "", Backend!E49)</f>
        <v>1.3674931E-3</v>
      </c>
      <c r="E22">
        <f>IF(Backend!F49="", "", Backend!F49)</f>
        <v>-9.747014E-3</v>
      </c>
      <c r="F22">
        <f>IF(Backend!G49="", "", Backend!G49)</f>
        <v>5.7967663000000003E-2</v>
      </c>
      <c r="G22">
        <f>IF(Backend!H49="", "", Backend!H49)</f>
        <v>0.16169031</v>
      </c>
      <c r="H22">
        <f>IF(Backend!I49="", "", Backend!I49)</f>
        <v>8.7434129999999999E-2</v>
      </c>
      <c r="I22">
        <f>IF(Backend!J49="", "", Backend!J49)</f>
        <v>0.17914937</v>
      </c>
      <c r="J22">
        <f>IF(Backend!K49="", "", Backend!K49)</f>
        <v>2.8936318999999999E-2</v>
      </c>
      <c r="K22">
        <f>IF(Backend!L49="", "", Backend!L49)</f>
        <v>-1.3575266000000001E-2</v>
      </c>
      <c r="L22">
        <f>IF(Backend!M49="", "", Backend!M49)</f>
        <v>-9.6206260000000002E-3</v>
      </c>
      <c r="M22">
        <f>IF(Backend!N49="", "", Backend!N49)</f>
        <v>0.14294280000000001</v>
      </c>
      <c r="N22">
        <f>IF(Backend!O49="", "", Backend!O49)</f>
        <v>0.15141890999999999</v>
      </c>
      <c r="O22">
        <f>IF(Backend!P49="", "", Backend!P49)</f>
        <v>3.1218843999999999E-2</v>
      </c>
      <c r="P22">
        <f>IF(Backend!Q49="", "", Backend!Q49)</f>
        <v>8.2050239999999997E-2</v>
      </c>
      <c r="Q22">
        <f>IF(Backend!R49="", "", Backend!R49)</f>
        <v>1.5641212000000002E-2</v>
      </c>
      <c r="R22">
        <f>IF(Backend!S49="", "", Backend!S49)</f>
        <v>0.13879712</v>
      </c>
      <c r="S22">
        <f>IF(Backend!T49="", "", Backend!T49)</f>
        <v>4.997468E-2</v>
      </c>
      <c r="T22">
        <f>IF(Backend!U49="", "", Backend!U49)</f>
        <v>1</v>
      </c>
      <c r="U22">
        <f>IF(Backend!V49="", "", Backend!V49)</f>
        <v>7.4973139999999994E-2</v>
      </c>
      <c r="V22">
        <f>IF(Backend!W49="", "", Backend!W49)</f>
        <v>0.13517283999999999</v>
      </c>
      <c r="W22">
        <f>IF(Backend!X49="", "", Backend!X49)</f>
        <v>8.3341509999999994E-2</v>
      </c>
      <c r="X22">
        <f>IF(Backend!Y49="", "", Backend!Y49)</f>
        <v>4.9943401999999998E-2</v>
      </c>
      <c r="Y22">
        <f>IF(Backend!Z49="", "", Backend!Z49)</f>
        <v>4.0087382999999997E-2</v>
      </c>
      <c r="Z22">
        <f>IF(Backend!AA49="", "", Backend!AA49)</f>
        <v>9.4666509999999995E-2</v>
      </c>
      <c r="AA22">
        <f>IF(Backend!AB49="", "", Backend!AB49)</f>
        <v>5.7683850000000002E-2</v>
      </c>
      <c r="AB22">
        <f>IF(Backend!AC49="", "", Backend!AC49)</f>
        <v>6.6507520000000001E-2</v>
      </c>
      <c r="AC22">
        <f>IF(Backend!AD49="", "", Backend!AD49)</f>
        <v>0.21283594</v>
      </c>
      <c r="AD22">
        <f>IF(Backend!AE49="", "", Backend!AE49)</f>
        <v>5.2847072000000002E-2</v>
      </c>
      <c r="AE22">
        <f>IF(Backend!AF49="", "", Backend!AF49)</f>
        <v>2.4662735000000002E-2</v>
      </c>
      <c r="AF22">
        <f>IF(Backend!AG49="", "", Backend!AG49)</f>
        <v>-1.0600371000000001E-2</v>
      </c>
      <c r="AG22">
        <f>IF(Backend!AH49="", "", Backend!AH49)</f>
        <v>0.16404078999999999</v>
      </c>
      <c r="AH22">
        <f>IF(Backend!AI49="", "", Backend!AI49)</f>
        <v>3.8051024000000003E-2</v>
      </c>
      <c r="AI22">
        <f>IF(Backend!AJ49="", "", Backend!AJ49)</f>
        <v>0.13013668</v>
      </c>
      <c r="AJ22">
        <f>IF(Backend!AK49="", "", Backend!AK49)</f>
        <v>0.16925551</v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Amadeus IT Group SA Class A</v>
      </c>
      <c r="B23">
        <f>IF(Backend!C50="", "", Backend!C50)</f>
        <v>0.15411235000000001</v>
      </c>
      <c r="C23">
        <f>IF(Backend!D50="", "", Backend!D50)</f>
        <v>0.40957919999999998</v>
      </c>
      <c r="D23">
        <f>IF(Backend!E50="", "", Backend!E50)</f>
        <v>0.4160566</v>
      </c>
      <c r="E23">
        <f>IF(Backend!F50="", "", Backend!F50)</f>
        <v>0.34320309999999998</v>
      </c>
      <c r="F23">
        <f>IF(Backend!G50="", "", Backend!G50)</f>
        <v>0.35903629999999997</v>
      </c>
      <c r="G23">
        <f>IF(Backend!H50="", "", Backend!H50)</f>
        <v>0.21681729</v>
      </c>
      <c r="H23">
        <f>IF(Backend!I50="", "", Backend!I50)</f>
        <v>0.55571950000000003</v>
      </c>
      <c r="I23">
        <f>IF(Backend!J50="", "", Backend!J50)</f>
        <v>0.48358190000000001</v>
      </c>
      <c r="J23">
        <f>IF(Backend!K50="", "", Backend!K50)</f>
        <v>0.54880899999999999</v>
      </c>
      <c r="K23">
        <f>IF(Backend!L50="", "", Backend!L50)</f>
        <v>0.22873541999999999</v>
      </c>
      <c r="L23">
        <f>IF(Backend!M50="", "", Backend!M50)</f>
        <v>0.37477145000000001</v>
      </c>
      <c r="M23">
        <f>IF(Backend!N50="", "", Backend!N50)</f>
        <v>0.50010215999999996</v>
      </c>
      <c r="N23">
        <f>IF(Backend!O50="", "", Backend!O50)</f>
        <v>0.26866916000000002</v>
      </c>
      <c r="O23">
        <f>IF(Backend!P50="", "", Backend!P50)</f>
        <v>0.42438856000000003</v>
      </c>
      <c r="P23">
        <f>IF(Backend!Q50="", "", Backend!Q50)</f>
        <v>0.37443784000000002</v>
      </c>
      <c r="Q23">
        <f>IF(Backend!R50="", "", Backend!R50)</f>
        <v>0.11486694</v>
      </c>
      <c r="R23">
        <f>IF(Backend!S50="", "", Backend!S50)</f>
        <v>0.48324393999999998</v>
      </c>
      <c r="S23">
        <f>IF(Backend!T50="", "", Backend!T50)</f>
        <v>6.4917355999999996E-2</v>
      </c>
      <c r="T23">
        <f>IF(Backend!U50="", "", Backend!U50)</f>
        <v>7.4973139999999994E-2</v>
      </c>
      <c r="U23">
        <f>IF(Backend!V50="", "", Backend!V50)</f>
        <v>1</v>
      </c>
      <c r="V23">
        <f>IF(Backend!W50="", "", Backend!W50)</f>
        <v>0.50107190000000001</v>
      </c>
      <c r="W23">
        <f>IF(Backend!X50="", "", Backend!X50)</f>
        <v>0.33401436000000001</v>
      </c>
      <c r="X23">
        <f>IF(Backend!Y50="", "", Backend!Y50)</f>
        <v>0.46922487000000002</v>
      </c>
      <c r="Y23">
        <f>IF(Backend!Z50="", "", Backend!Z50)</f>
        <v>0.35409610000000002</v>
      </c>
      <c r="Z23">
        <f>IF(Backend!AA50="", "", Backend!AA50)</f>
        <v>0.19737974</v>
      </c>
      <c r="AA23">
        <f>IF(Backend!AB50="", "", Backend!AB50)</f>
        <v>0.39143270000000002</v>
      </c>
      <c r="AB23">
        <f>IF(Backend!AC50="", "", Backend!AC50)</f>
        <v>0.46033230000000003</v>
      </c>
      <c r="AC23">
        <f>IF(Backend!AD50="", "", Backend!AD50)</f>
        <v>0.34748404999999999</v>
      </c>
      <c r="AD23">
        <f>IF(Backend!AE50="", "", Backend!AE50)</f>
        <v>0.24459463000000001</v>
      </c>
      <c r="AE23">
        <f>IF(Backend!AF50="", "", Backend!AF50)</f>
        <v>0.33763219999999999</v>
      </c>
      <c r="AF23">
        <f>IF(Backend!AG50="", "", Backend!AG50)</f>
        <v>0.26628839999999998</v>
      </c>
      <c r="AG23">
        <f>IF(Backend!AH50="", "", Backend!AH50)</f>
        <v>0.46701737999999998</v>
      </c>
      <c r="AH23">
        <f>IF(Backend!AI50="", "", Backend!AI50)</f>
        <v>0.13644703999999999</v>
      </c>
      <c r="AI23">
        <f>IF(Backend!AJ50="", "", Backend!AJ50)</f>
        <v>0.20154559999999999</v>
      </c>
      <c r="AJ23">
        <f>IF(Backend!AK50="", "", Backend!AK50)</f>
        <v>0.21400744999999999</v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Atlas Copco AB Class B</v>
      </c>
      <c r="B24">
        <f>IF(Backend!C51="", "", Backend!C51)</f>
        <v>0.28482165999999998</v>
      </c>
      <c r="C24">
        <f>IF(Backend!D51="", "", Backend!D51)</f>
        <v>0.42082858000000001</v>
      </c>
      <c r="D24">
        <f>IF(Backend!E51="", "", Backend!E51)</f>
        <v>0.32340597999999998</v>
      </c>
      <c r="E24">
        <f>IF(Backend!F51="", "", Backend!F51)</f>
        <v>0.4921413</v>
      </c>
      <c r="F24">
        <f>IF(Backend!G51="", "", Backend!G51)</f>
        <v>0.55938076999999997</v>
      </c>
      <c r="G24">
        <f>IF(Backend!H51="", "", Backend!H51)</f>
        <v>0.22150849</v>
      </c>
      <c r="H24">
        <f>IF(Backend!I51="", "", Backend!I51)</f>
        <v>0.54004929999999995</v>
      </c>
      <c r="I24">
        <f>IF(Backend!J51="", "", Backend!J51)</f>
        <v>0.56594204999999997</v>
      </c>
      <c r="J24">
        <f>IF(Backend!K51="", "", Backend!K51)</f>
        <v>0.38510957000000001</v>
      </c>
      <c r="K24">
        <f>IF(Backend!L51="", "", Backend!L51)</f>
        <v>0.11041714</v>
      </c>
      <c r="L24">
        <f>IF(Backend!M51="", "", Backend!M51)</f>
        <v>0.48767843999999999</v>
      </c>
      <c r="M24">
        <f>IF(Backend!N51="", "", Backend!N51)</f>
        <v>0.54281380000000001</v>
      </c>
      <c r="N24">
        <f>IF(Backend!O51="", "", Backend!O51)</f>
        <v>0.24411368</v>
      </c>
      <c r="O24">
        <f>IF(Backend!P51="", "", Backend!P51)</f>
        <v>0.3475067</v>
      </c>
      <c r="P24">
        <f>IF(Backend!Q51="", "", Backend!Q51)</f>
        <v>0.32674750000000002</v>
      </c>
      <c r="Q24">
        <f>IF(Backend!R51="", "", Backend!R51)</f>
        <v>8.0712359999999997E-2</v>
      </c>
      <c r="R24">
        <f>IF(Backend!S51="", "", Backend!S51)</f>
        <v>0.48309492999999998</v>
      </c>
      <c r="S24">
        <f>IF(Backend!T51="", "", Backend!T51)</f>
        <v>0.20589297000000001</v>
      </c>
      <c r="T24">
        <f>IF(Backend!U51="", "", Backend!U51)</f>
        <v>0.13517283999999999</v>
      </c>
      <c r="U24">
        <f>IF(Backend!V51="", "", Backend!V51)</f>
        <v>0.50107190000000001</v>
      </c>
      <c r="V24">
        <f>IF(Backend!W51="", "", Backend!W51)</f>
        <v>1</v>
      </c>
      <c r="W24">
        <f>IF(Backend!X51="", "", Backend!X51)</f>
        <v>0.35838700000000001</v>
      </c>
      <c r="X24">
        <f>IF(Backend!Y51="", "", Backend!Y51)</f>
        <v>0.32076440000000001</v>
      </c>
      <c r="Y24">
        <f>IF(Backend!Z51="", "", Backend!Z51)</f>
        <v>0.30692365999999999</v>
      </c>
      <c r="Z24">
        <f>IF(Backend!AA51="", "", Backend!AA51)</f>
        <v>0.18999961000000001</v>
      </c>
      <c r="AA24">
        <f>IF(Backend!AB51="", "", Backend!AB51)</f>
        <v>0.34191870000000002</v>
      </c>
      <c r="AB24">
        <f>IF(Backend!AC51="", "", Backend!AC51)</f>
        <v>0.39844224</v>
      </c>
      <c r="AC24">
        <f>IF(Backend!AD51="", "", Backend!AD51)</f>
        <v>0.35925728000000001</v>
      </c>
      <c r="AD24">
        <f>IF(Backend!AE51="", "", Backend!AE51)</f>
        <v>0.25416096999999999</v>
      </c>
      <c r="AE24">
        <f>IF(Backend!AF51="", "", Backend!AF51)</f>
        <v>0.23686368999999999</v>
      </c>
      <c r="AF24">
        <f>IF(Backend!AG51="", "", Backend!AG51)</f>
        <v>-1.0164931E-2</v>
      </c>
      <c r="AG24">
        <f>IF(Backend!AH51="", "", Backend!AH51)</f>
        <v>0.51709276000000004</v>
      </c>
      <c r="AH24">
        <f>IF(Backend!AI51="", "", Backend!AI51)</f>
        <v>0.23379037</v>
      </c>
      <c r="AI24">
        <f>IF(Backend!AJ51="", "", Backend!AJ51)</f>
        <v>0.18960334000000001</v>
      </c>
      <c r="AJ24">
        <f>IF(Backend!AK51="", "", Backend!AK51)</f>
        <v>0.26728671999999998</v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Diageo plc</v>
      </c>
      <c r="B25">
        <f>IF(Backend!C52="", "", Backend!C52)</f>
        <v>-1.7763719000000001E-2</v>
      </c>
      <c r="C25">
        <f>IF(Backend!D52="", "", Backend!D52)</f>
        <v>0.36450263999999999</v>
      </c>
      <c r="D25">
        <f>IF(Backend!E52="", "", Backend!E52)</f>
        <v>0.23507639999999999</v>
      </c>
      <c r="E25">
        <f>IF(Backend!F52="", "", Backend!F52)</f>
        <v>0.40561318000000002</v>
      </c>
      <c r="F25">
        <f>IF(Backend!G52="", "", Backend!G52)</f>
        <v>0.15731986000000001</v>
      </c>
      <c r="G25">
        <f>IF(Backend!H52="", "", Backend!H52)</f>
        <v>0.22813876</v>
      </c>
      <c r="H25">
        <f>IF(Backend!I52="", "", Backend!I52)</f>
        <v>0.30304651999999999</v>
      </c>
      <c r="I25">
        <f>IF(Backend!J52="", "", Backend!J52)</f>
        <v>0.28415299999999999</v>
      </c>
      <c r="J25">
        <f>IF(Backend!K52="", "", Backend!K52)</f>
        <v>0.28112524999999999</v>
      </c>
      <c r="K25">
        <f>IF(Backend!L52="", "", Backend!L52)</f>
        <v>1.3671225E-2</v>
      </c>
      <c r="L25">
        <f>IF(Backend!M52="", "", Backend!M52)</f>
        <v>0.29353252000000002</v>
      </c>
      <c r="M25">
        <f>IF(Backend!N52="", "", Backend!N52)</f>
        <v>0.12727374999999999</v>
      </c>
      <c r="N25">
        <f>IF(Backend!O52="", "", Backend!O52)</f>
        <v>0.20336391000000001</v>
      </c>
      <c r="O25">
        <f>IF(Backend!P52="", "", Backend!P52)</f>
        <v>0.23204273</v>
      </c>
      <c r="P25">
        <f>IF(Backend!Q52="", "", Backend!Q52)</f>
        <v>0.11479483</v>
      </c>
      <c r="Q25">
        <f>IF(Backend!R52="", "", Backend!R52)</f>
        <v>-7.6526689999999994E-2</v>
      </c>
      <c r="R25">
        <f>IF(Backend!S52="", "", Backend!S52)</f>
        <v>0.35271543</v>
      </c>
      <c r="S25">
        <f>IF(Backend!T52="", "", Backend!T52)</f>
        <v>-1.6663283000000001E-2</v>
      </c>
      <c r="T25">
        <f>IF(Backend!U52="", "", Backend!U52)</f>
        <v>8.3341509999999994E-2</v>
      </c>
      <c r="U25">
        <f>IF(Backend!V52="", "", Backend!V52)</f>
        <v>0.33401436000000001</v>
      </c>
      <c r="V25">
        <f>IF(Backend!W52="", "", Backend!W52)</f>
        <v>0.35838700000000001</v>
      </c>
      <c r="W25">
        <f>IF(Backend!X52="", "", Backend!X52)</f>
        <v>1</v>
      </c>
      <c r="X25">
        <f>IF(Backend!Y52="", "", Backend!Y52)</f>
        <v>0.27722868000000001</v>
      </c>
      <c r="Y25">
        <f>IF(Backend!Z52="", "", Backend!Z52)</f>
        <v>0.20266853000000001</v>
      </c>
      <c r="Z25">
        <f>IF(Backend!AA52="", "", Backend!AA52)</f>
        <v>0.11101738</v>
      </c>
      <c r="AA25">
        <f>IF(Backend!AB52="", "", Backend!AB52)</f>
        <v>0.36250972999999997</v>
      </c>
      <c r="AB25">
        <f>IF(Backend!AC52="", "", Backend!AC52)</f>
        <v>0.33255085000000001</v>
      </c>
      <c r="AC25">
        <f>IF(Backend!AD52="", "", Backend!AD52)</f>
        <v>0.20025006000000001</v>
      </c>
      <c r="AD25">
        <f>IF(Backend!AE52="", "", Backend!AE52)</f>
        <v>0.18445570999999999</v>
      </c>
      <c r="AE25">
        <f>IF(Backend!AF52="", "", Backend!AF52)</f>
        <v>0.25298540000000003</v>
      </c>
      <c r="AF25">
        <f>IF(Backend!AG52="", "", Backend!AG52)</f>
        <v>0.10309486</v>
      </c>
      <c r="AG25">
        <f>IF(Backend!AH52="", "", Backend!AH52)</f>
        <v>0.25752409999999998</v>
      </c>
      <c r="AH25">
        <f>IF(Backend!AI52="", "", Backend!AI52)</f>
        <v>0.13056427000000001</v>
      </c>
      <c r="AI25">
        <f>IF(Backend!AJ52="", "", Backend!AJ52)</f>
        <v>0.13286468000000001</v>
      </c>
      <c r="AJ25">
        <f>IF(Backend!AK52="", "", Backend!AK52)</f>
        <v>0.15268477999999999</v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Compass Group PLC</v>
      </c>
      <c r="B26">
        <f>IF(Backend!C53="", "", Backend!C53)</f>
        <v>-5.0786274999999999E-2</v>
      </c>
      <c r="C26">
        <f>IF(Backend!D53="", "", Backend!D53)</f>
        <v>0.31964534999999999</v>
      </c>
      <c r="D26">
        <f>IF(Backend!E53="", "", Backend!E53)</f>
        <v>0.45000884000000002</v>
      </c>
      <c r="E26">
        <f>IF(Backend!F53="", "", Backend!F53)</f>
        <v>0.16791086999999999</v>
      </c>
      <c r="F26">
        <f>IF(Backend!G53="", "", Backend!G53)</f>
        <v>9.7432630000000006E-2</v>
      </c>
      <c r="G26">
        <f>IF(Backend!H53="", "", Backend!H53)</f>
        <v>0.16036934</v>
      </c>
      <c r="H26">
        <f>IF(Backend!I53="", "", Backend!I53)</f>
        <v>0.49772919999999998</v>
      </c>
      <c r="I26">
        <f>IF(Backend!J53="", "", Backend!J53)</f>
        <v>0.31604058000000002</v>
      </c>
      <c r="J26">
        <f>IF(Backend!K53="", "", Backend!K53)</f>
        <v>0.51898544999999996</v>
      </c>
      <c r="K26">
        <f>IF(Backend!L53="", "", Backend!L53)</f>
        <v>0.23347448000000001</v>
      </c>
      <c r="L26">
        <f>IF(Backend!M53="", "", Backend!M53)</f>
        <v>0.27401540000000002</v>
      </c>
      <c r="M26">
        <f>IF(Backend!N53="", "", Backend!N53)</f>
        <v>0.34924440000000001</v>
      </c>
      <c r="N26">
        <f>IF(Backend!O53="", "", Backend!O53)</f>
        <v>0.22882959999999999</v>
      </c>
      <c r="O26">
        <f>IF(Backend!P53="", "", Backend!P53)</f>
        <v>0.43162384999999998</v>
      </c>
      <c r="P26">
        <f>IF(Backend!Q53="", "", Backend!Q53)</f>
        <v>0.41029571999999997</v>
      </c>
      <c r="Q26">
        <f>IF(Backend!R53="", "", Backend!R53)</f>
        <v>3.9223823999999997E-2</v>
      </c>
      <c r="R26">
        <f>IF(Backend!S53="", "", Backend!S53)</f>
        <v>0.44321751999999998</v>
      </c>
      <c r="S26">
        <f>IF(Backend!T53="", "", Backend!T53)</f>
        <v>-8.1428879999999995E-2</v>
      </c>
      <c r="T26">
        <f>IF(Backend!U53="", "", Backend!U53)</f>
        <v>4.9943401999999998E-2</v>
      </c>
      <c r="U26">
        <f>IF(Backend!V53="", "", Backend!V53)</f>
        <v>0.46922487000000002</v>
      </c>
      <c r="V26">
        <f>IF(Backend!W53="", "", Backend!W53)</f>
        <v>0.32076440000000001</v>
      </c>
      <c r="W26">
        <f>IF(Backend!X53="", "", Backend!X53)</f>
        <v>0.27722868000000001</v>
      </c>
      <c r="X26">
        <f>IF(Backend!Y53="", "", Backend!Y53)</f>
        <v>1</v>
      </c>
      <c r="Y26">
        <f>IF(Backend!Z53="", "", Backend!Z53)</f>
        <v>0.26094434</v>
      </c>
      <c r="Z26">
        <f>IF(Backend!AA53="", "", Backend!AA53)</f>
        <v>6.2665810000000002E-2</v>
      </c>
      <c r="AA26">
        <f>IF(Backend!AB53="", "", Backend!AB53)</f>
        <v>0.36906763999999997</v>
      </c>
      <c r="AB26">
        <f>IF(Backend!AC53="", "", Backend!AC53)</f>
        <v>0.42985835999999999</v>
      </c>
      <c r="AC26">
        <f>IF(Backend!AD53="", "", Backend!AD53)</f>
        <v>0.27392474</v>
      </c>
      <c r="AD26">
        <f>IF(Backend!AE53="", "", Backend!AE53)</f>
        <v>0.19902798999999999</v>
      </c>
      <c r="AE26">
        <f>IF(Backend!AF53="", "", Backend!AF53)</f>
        <v>0.31384042000000001</v>
      </c>
      <c r="AF26">
        <f>IF(Backend!AG53="", "", Backend!AG53)</f>
        <v>0.31156139999999999</v>
      </c>
      <c r="AG26">
        <f>IF(Backend!AH53="", "", Backend!AH53)</f>
        <v>0.21280209999999999</v>
      </c>
      <c r="AH26">
        <f>IF(Backend!AI53="", "", Backend!AI53)</f>
        <v>2.8714867000000002E-2</v>
      </c>
      <c r="AI26">
        <f>IF(Backend!AJ53="", "", Backend!AJ53)</f>
        <v>8.5260846000000001E-2</v>
      </c>
      <c r="AJ26">
        <f>IF(Backend!AK53="", "", Backend!AK53)</f>
        <v>0.16420177999999999</v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CTS Eventim AG &amp; Co. KGaA</v>
      </c>
      <c r="B27">
        <f>IF(Backend!C54="", "", Backend!C54)</f>
        <v>5.2250039999999998E-2</v>
      </c>
      <c r="C27">
        <f>IF(Backend!D54="", "", Backend!D54)</f>
        <v>0.18230126999999999</v>
      </c>
      <c r="D27">
        <f>IF(Backend!E54="", "", Backend!E54)</f>
        <v>0.23146549</v>
      </c>
      <c r="E27">
        <f>IF(Backend!F54="", "", Backend!F54)</f>
        <v>0.14470026999999999</v>
      </c>
      <c r="F27">
        <f>IF(Backend!G54="", "", Backend!G54)</f>
        <v>0.23764521</v>
      </c>
      <c r="G27">
        <f>IF(Backend!H54="", "", Backend!H54)</f>
        <v>9.8243059999999993E-2</v>
      </c>
      <c r="H27">
        <f>IF(Backend!I54="", "", Backend!I54)</f>
        <v>0.26397583000000002</v>
      </c>
      <c r="I27">
        <f>IF(Backend!J54="", "", Backend!J54)</f>
        <v>0.30752465000000001</v>
      </c>
      <c r="J27">
        <f>IF(Backend!K54="", "", Backend!K54)</f>
        <v>0.38676909999999998</v>
      </c>
      <c r="K27">
        <f>IF(Backend!L54="", "", Backend!L54)</f>
        <v>6.3540689999999997E-2</v>
      </c>
      <c r="L27">
        <f>IF(Backend!M54="", "", Backend!M54)</f>
        <v>0.24078935000000001</v>
      </c>
      <c r="M27">
        <f>IF(Backend!N54="", "", Backend!N54)</f>
        <v>0.28710538000000002</v>
      </c>
      <c r="N27">
        <f>IF(Backend!O54="", "", Backend!O54)</f>
        <v>0.19629730000000001</v>
      </c>
      <c r="O27">
        <f>IF(Backend!P54="", "", Backend!P54)</f>
        <v>0.24175680999999999</v>
      </c>
      <c r="P27">
        <f>IF(Backend!Q54="", "", Backend!Q54)</f>
        <v>0.30164340000000001</v>
      </c>
      <c r="Q27">
        <f>IF(Backend!R54="", "", Backend!R54)</f>
        <v>8.3811246000000006E-2</v>
      </c>
      <c r="R27">
        <f>IF(Backend!S54="", "", Backend!S54)</f>
        <v>0.28760263000000003</v>
      </c>
      <c r="S27">
        <f>IF(Backend!T54="", "", Backend!T54)</f>
        <v>2.7303715999999999E-2</v>
      </c>
      <c r="T27">
        <f>IF(Backend!U54="", "", Backend!U54)</f>
        <v>4.0087382999999997E-2</v>
      </c>
      <c r="U27">
        <f>IF(Backend!V54="", "", Backend!V54)</f>
        <v>0.35409610000000002</v>
      </c>
      <c r="V27">
        <f>IF(Backend!W54="", "", Backend!W54)</f>
        <v>0.30692365999999999</v>
      </c>
      <c r="W27">
        <f>IF(Backend!X54="", "", Backend!X54)</f>
        <v>0.20266853000000001</v>
      </c>
      <c r="X27">
        <f>IF(Backend!Y54="", "", Backend!Y54)</f>
        <v>0.26094434</v>
      </c>
      <c r="Y27">
        <f>IF(Backend!Z54="", "", Backend!Z54)</f>
        <v>1</v>
      </c>
      <c r="Z27">
        <f>IF(Backend!AA54="", "", Backend!AA54)</f>
        <v>0.10329190000000001</v>
      </c>
      <c r="AA27">
        <f>IF(Backend!AB54="", "", Backend!AB54)</f>
        <v>0.21138793</v>
      </c>
      <c r="AB27">
        <f>IF(Backend!AC54="", "", Backend!AC54)</f>
        <v>0.21866920000000001</v>
      </c>
      <c r="AC27">
        <f>IF(Backend!AD54="", "", Backend!AD54)</f>
        <v>0.21463935000000001</v>
      </c>
      <c r="AD27">
        <f>IF(Backend!AE54="", "", Backend!AE54)</f>
        <v>9.6411919999999998E-2</v>
      </c>
      <c r="AE27">
        <f>IF(Backend!AF54="", "", Backend!AF54)</f>
        <v>0.25076324</v>
      </c>
      <c r="AF27">
        <f>IF(Backend!AG54="", "", Backend!AG54)</f>
        <v>6.819944E-2</v>
      </c>
      <c r="AG27">
        <f>IF(Backend!AH54="", "", Backend!AH54)</f>
        <v>0.25568039999999997</v>
      </c>
      <c r="AH27">
        <f>IF(Backend!AI54="", "", Backend!AI54)</f>
        <v>-2.8452077999999999E-2</v>
      </c>
      <c r="AI27">
        <f>IF(Backend!AJ54="", "", Backend!AJ54)</f>
        <v>8.0186350000000003E-2</v>
      </c>
      <c r="AJ27">
        <f>IF(Backend!AK54="", "", Backend!AK54)</f>
        <v>0.13080644999999999</v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B3 SA - Brasil, Bolsa, Balcao</v>
      </c>
      <c r="B28">
        <f>IF(Backend!C55="", "", Backend!C55)</f>
        <v>0.20174116</v>
      </c>
      <c r="C28">
        <f>IF(Backend!D55="", "", Backend!D55)</f>
        <v>0.23213917000000001</v>
      </c>
      <c r="D28">
        <f>IF(Backend!E55="", "", Backend!E55)</f>
        <v>7.4755260000000004E-2</v>
      </c>
      <c r="E28">
        <f>IF(Backend!F55="", "", Backend!F55)</f>
        <v>0.10905091</v>
      </c>
      <c r="F28">
        <f>IF(Backend!G55="", "", Backend!G55)</f>
        <v>0.16382350000000001</v>
      </c>
      <c r="G28">
        <f>IF(Backend!H55="", "", Backend!H55)</f>
        <v>-1.8170385000000001E-2</v>
      </c>
      <c r="H28">
        <f>IF(Backend!I55="", "", Backend!I55)</f>
        <v>0.18386828999999999</v>
      </c>
      <c r="I28">
        <f>IF(Backend!J55="", "", Backend!J55)</f>
        <v>0.13144164</v>
      </c>
      <c r="J28">
        <f>IF(Backend!K55="", "", Backend!K55)</f>
        <v>0.17852162999999999</v>
      </c>
      <c r="K28">
        <f>IF(Backend!L55="", "", Backend!L55)</f>
        <v>8.3173609999999995E-2</v>
      </c>
      <c r="L28">
        <f>IF(Backend!M55="", "", Backend!M55)</f>
        <v>0.17702334</v>
      </c>
      <c r="M28">
        <f>IF(Backend!N55="", "", Backend!N55)</f>
        <v>0.15232435</v>
      </c>
      <c r="N28">
        <f>IF(Backend!O55="", "", Backend!O55)</f>
        <v>0.13509624000000001</v>
      </c>
      <c r="O28">
        <f>IF(Backend!P55="", "", Backend!P55)</f>
        <v>9.3963820000000003E-2</v>
      </c>
      <c r="P28">
        <f>IF(Backend!Q55="", "", Backend!Q55)</f>
        <v>0.12585953</v>
      </c>
      <c r="Q28">
        <f>IF(Backend!R55="", "", Backend!R55)</f>
        <v>9.3088190000000001E-2</v>
      </c>
      <c r="R28">
        <f>IF(Backend!S55="", "", Backend!S55)</f>
        <v>0.17558433000000001</v>
      </c>
      <c r="S28">
        <f>IF(Backend!T55="", "", Backend!T55)</f>
        <v>0.18159315000000001</v>
      </c>
      <c r="T28">
        <f>IF(Backend!U55="", "", Backend!U55)</f>
        <v>9.4666509999999995E-2</v>
      </c>
      <c r="U28">
        <f>IF(Backend!V55="", "", Backend!V55)</f>
        <v>0.19737974</v>
      </c>
      <c r="V28">
        <f>IF(Backend!W55="", "", Backend!W55)</f>
        <v>0.18999961000000001</v>
      </c>
      <c r="W28">
        <f>IF(Backend!X55="", "", Backend!X55)</f>
        <v>0.11101738</v>
      </c>
      <c r="X28">
        <f>IF(Backend!Y55="", "", Backend!Y55)</f>
        <v>6.2665810000000002E-2</v>
      </c>
      <c r="Y28">
        <f>IF(Backend!Z55="", "", Backend!Z55)</f>
        <v>0.10329190000000001</v>
      </c>
      <c r="Z28">
        <f>IF(Backend!AA55="", "", Backend!AA55)</f>
        <v>1</v>
      </c>
      <c r="AA28">
        <f>IF(Backend!AB55="", "", Backend!AB55)</f>
        <v>4.9492814000000003E-2</v>
      </c>
      <c r="AB28">
        <f>IF(Backend!AC55="", "", Backend!AC55)</f>
        <v>4.7948009999999996E-3</v>
      </c>
      <c r="AC28">
        <f>IF(Backend!AD55="", "", Backend!AD55)</f>
        <v>0.10873049</v>
      </c>
      <c r="AD28">
        <f>IF(Backend!AE55="", "", Backend!AE55)</f>
        <v>4.0733921999999999E-2</v>
      </c>
      <c r="AE28">
        <f>IF(Backend!AF55="", "", Backend!AF55)</f>
        <v>7.9197149999999994E-2</v>
      </c>
      <c r="AF28">
        <f>IF(Backend!AG55="", "", Backend!AG55)</f>
        <v>9.6062289999999995E-2</v>
      </c>
      <c r="AG28">
        <f>IF(Backend!AH55="", "", Backend!AH55)</f>
        <v>0.14665088000000001</v>
      </c>
      <c r="AH28">
        <f>IF(Backend!AI55="", "", Backend!AI55)</f>
        <v>0.1305134</v>
      </c>
      <c r="AI28">
        <f>IF(Backend!AJ55="", "", Backend!AJ55)</f>
        <v>-9.9255739999999995E-3</v>
      </c>
      <c r="AJ28">
        <f>IF(Backend!AK55="", "", Backend!AK55)</f>
        <v>0.14552775000000001</v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AstraZeneca PLC</v>
      </c>
      <c r="B29">
        <f>IF(Backend!C56="", "", Backend!C56)</f>
        <v>-2.8641848000000001E-2</v>
      </c>
      <c r="C29">
        <f>IF(Backend!D56="", "", Backend!D56)</f>
        <v>0.28594144999999999</v>
      </c>
      <c r="D29">
        <f>IF(Backend!E56="", "", Backend!E56)</f>
        <v>0.31012016999999997</v>
      </c>
      <c r="E29">
        <f>IF(Backend!F56="", "", Backend!F56)</f>
        <v>0.25670838000000001</v>
      </c>
      <c r="F29">
        <f>IF(Backend!G56="", "", Backend!G56)</f>
        <v>0.2123797</v>
      </c>
      <c r="G29">
        <f>IF(Backend!H56="", "", Backend!H56)</f>
        <v>0.24254613</v>
      </c>
      <c r="H29">
        <f>IF(Backend!I56="", "", Backend!I56)</f>
        <v>0.37367913000000003</v>
      </c>
      <c r="I29">
        <f>IF(Backend!J56="", "", Backend!J56)</f>
        <v>0.32715309999999997</v>
      </c>
      <c r="J29">
        <f>IF(Backend!K56="", "", Backend!K56)</f>
        <v>0.35865834000000002</v>
      </c>
      <c r="K29">
        <f>IF(Backend!L56="", "", Backend!L56)</f>
        <v>1.9612033000000001E-2</v>
      </c>
      <c r="L29">
        <f>IF(Backend!M56="", "", Backend!M56)</f>
        <v>0.27349554999999998</v>
      </c>
      <c r="M29">
        <f>IF(Backend!N56="", "", Backend!N56)</f>
        <v>0.25245859999999998</v>
      </c>
      <c r="N29">
        <f>IF(Backend!O56="", "", Backend!O56)</f>
        <v>0.25951245000000001</v>
      </c>
      <c r="O29">
        <f>IF(Backend!P56="", "", Backend!P56)</f>
        <v>0.22936403999999999</v>
      </c>
      <c r="P29">
        <f>IF(Backend!Q56="", "", Backend!Q56)</f>
        <v>0.19305316</v>
      </c>
      <c r="Q29">
        <f>IF(Backend!R56="", "", Backend!R56)</f>
        <v>-0.12277892</v>
      </c>
      <c r="R29">
        <f>IF(Backend!S56="", "", Backend!S56)</f>
        <v>0.30310609999999999</v>
      </c>
      <c r="S29">
        <f>IF(Backend!T56="", "", Backend!T56)</f>
        <v>-7.5408295E-2</v>
      </c>
      <c r="T29">
        <f>IF(Backend!U56="", "", Backend!U56)</f>
        <v>5.7683850000000002E-2</v>
      </c>
      <c r="U29">
        <f>IF(Backend!V56="", "", Backend!V56)</f>
        <v>0.39143270000000002</v>
      </c>
      <c r="V29">
        <f>IF(Backend!W56="", "", Backend!W56)</f>
        <v>0.34191870000000002</v>
      </c>
      <c r="W29">
        <f>IF(Backend!X56="", "", Backend!X56)</f>
        <v>0.36250972999999997</v>
      </c>
      <c r="X29">
        <f>IF(Backend!Y56="", "", Backend!Y56)</f>
        <v>0.36906763999999997</v>
      </c>
      <c r="Y29">
        <f>IF(Backend!Z56="", "", Backend!Z56)</f>
        <v>0.21138793</v>
      </c>
      <c r="Z29">
        <f>IF(Backend!AA56="", "", Backend!AA56)</f>
        <v>4.9492814000000003E-2</v>
      </c>
      <c r="AA29">
        <f>IF(Backend!AB56="", "", Backend!AB56)</f>
        <v>1</v>
      </c>
      <c r="AB29">
        <f>IF(Backend!AC56="", "", Backend!AC56)</f>
        <v>0.7138852</v>
      </c>
      <c r="AC29">
        <f>IF(Backend!AD56="", "", Backend!AD56)</f>
        <v>0.28774260000000002</v>
      </c>
      <c r="AD29">
        <f>IF(Backend!AE56="", "", Backend!AE56)</f>
        <v>0.13285092000000001</v>
      </c>
      <c r="AE29">
        <f>IF(Backend!AF56="", "", Backend!AF56)</f>
        <v>0.25280320000000001</v>
      </c>
      <c r="AF29">
        <f>IF(Backend!AG56="", "", Backend!AG56)</f>
        <v>0.13558584000000001</v>
      </c>
      <c r="AG29">
        <f>IF(Backend!AH56="", "", Backend!AH56)</f>
        <v>0.26800707000000001</v>
      </c>
      <c r="AH29">
        <f>IF(Backend!AI56="", "", Backend!AI56)</f>
        <v>-2.124181E-2</v>
      </c>
      <c r="AI29">
        <f>IF(Backend!AJ56="", "", Backend!AJ56)</f>
        <v>7.9548900000000006E-2</v>
      </c>
      <c r="AJ29">
        <f>IF(Backend!AK56="", "", Backend!AK56)</f>
        <v>0.17336765000000001</v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Roche Holding Ltd Dividend Right Cert.</v>
      </c>
      <c r="B30">
        <f>IF(Backend!C57="", "", Backend!C57)</f>
        <v>4.171445E-2</v>
      </c>
      <c r="C30">
        <f>IF(Backend!D57="", "", Backend!D57)</f>
        <v>0.32737189999999999</v>
      </c>
      <c r="D30">
        <f>IF(Backend!E57="", "", Backend!E57)</f>
        <v>0.30358871999999998</v>
      </c>
      <c r="E30">
        <f>IF(Backend!F57="", "", Backend!F57)</f>
        <v>0.28028268000000001</v>
      </c>
      <c r="F30">
        <f>IF(Backend!G57="", "", Backend!G57)</f>
        <v>0.24290254999999999</v>
      </c>
      <c r="G30">
        <f>IF(Backend!H57="", "", Backend!H57)</f>
        <v>0.17184229000000001</v>
      </c>
      <c r="H30">
        <f>IF(Backend!I57="", "", Backend!I57)</f>
        <v>0.42642437999999999</v>
      </c>
      <c r="I30">
        <f>IF(Backend!J57="", "", Backend!J57)</f>
        <v>0.38833501999999998</v>
      </c>
      <c r="J30">
        <f>IF(Backend!K57="", "", Backend!K57)</f>
        <v>0.42152139999999999</v>
      </c>
      <c r="K30">
        <f>IF(Backend!L57="", "", Backend!L57)</f>
        <v>0.12091817000000001</v>
      </c>
      <c r="L30">
        <f>IF(Backend!M57="", "", Backend!M57)</f>
        <v>0.33680120000000002</v>
      </c>
      <c r="M30">
        <f>IF(Backend!N57="", "", Backend!N57)</f>
        <v>0.3237911</v>
      </c>
      <c r="N30">
        <f>IF(Backend!O57="", "", Backend!O57)</f>
        <v>0.30769202000000001</v>
      </c>
      <c r="O30">
        <f>IF(Backend!P57="", "", Backend!P57)</f>
        <v>0.27842106999999999</v>
      </c>
      <c r="P30">
        <f>IF(Backend!Q57="", "", Backend!Q57)</f>
        <v>0.32065802999999998</v>
      </c>
      <c r="Q30">
        <f>IF(Backend!R57="", "", Backend!R57)</f>
        <v>-5.4725326999999997E-2</v>
      </c>
      <c r="R30">
        <f>IF(Backend!S57="", "", Backend!S57)</f>
        <v>0.4268981</v>
      </c>
      <c r="S30">
        <f>IF(Backend!T57="", "", Backend!T57)</f>
        <v>-4.4936882000000001E-3</v>
      </c>
      <c r="T30">
        <f>IF(Backend!U57="", "", Backend!U57)</f>
        <v>6.6507520000000001E-2</v>
      </c>
      <c r="U30">
        <f>IF(Backend!V57="", "", Backend!V57)</f>
        <v>0.46033230000000003</v>
      </c>
      <c r="V30">
        <f>IF(Backend!W57="", "", Backend!W57)</f>
        <v>0.39844224</v>
      </c>
      <c r="W30">
        <f>IF(Backend!X57="", "", Backend!X57)</f>
        <v>0.33255085000000001</v>
      </c>
      <c r="X30">
        <f>IF(Backend!Y57="", "", Backend!Y57)</f>
        <v>0.42985835999999999</v>
      </c>
      <c r="Y30">
        <f>IF(Backend!Z57="", "", Backend!Z57)</f>
        <v>0.21866920000000001</v>
      </c>
      <c r="Z30">
        <f>IF(Backend!AA57="", "", Backend!AA57)</f>
        <v>4.7948009999999996E-3</v>
      </c>
      <c r="AA30">
        <f>IF(Backend!AB57="", "", Backend!AB57)</f>
        <v>0.7138852</v>
      </c>
      <c r="AB30">
        <f>IF(Backend!AC57="", "", Backend!AC57)</f>
        <v>1</v>
      </c>
      <c r="AC30">
        <f>IF(Backend!AD57="", "", Backend!AD57)</f>
        <v>0.3309725</v>
      </c>
      <c r="AD30">
        <f>IF(Backend!AE57="", "", Backend!AE57)</f>
        <v>0.19470198</v>
      </c>
      <c r="AE30">
        <f>IF(Backend!AF57="", "", Backend!AF57)</f>
        <v>0.33717503999999998</v>
      </c>
      <c r="AF30">
        <f>IF(Backend!AG57="", "", Backend!AG57)</f>
        <v>0.20538429999999999</v>
      </c>
      <c r="AG30">
        <f>IF(Backend!AH57="", "", Backend!AH57)</f>
        <v>0.31169486000000002</v>
      </c>
      <c r="AH30">
        <f>IF(Backend!AI57="", "", Backend!AI57)</f>
        <v>8.7133749999999996E-2</v>
      </c>
      <c r="AI30">
        <f>IF(Backend!AJ57="", "", Backend!AJ57)</f>
        <v>0.15707094999999999</v>
      </c>
      <c r="AJ30">
        <f>IF(Backend!AK57="", "", Backend!AK57)</f>
        <v>0.138961</v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Keyence Corporation</v>
      </c>
      <c r="B31">
        <f>IF(Backend!C58="", "", Backend!C58)</f>
        <v>1.0977529E-2</v>
      </c>
      <c r="C31">
        <f>IF(Backend!D58="", "", Backend!D58)</f>
        <v>0.24332624999999999</v>
      </c>
      <c r="D31">
        <f>IF(Backend!E58="", "", Backend!E58)</f>
        <v>0.24537939</v>
      </c>
      <c r="E31">
        <f>IF(Backend!F58="", "", Backend!F58)</f>
        <v>0.19160673</v>
      </c>
      <c r="F31">
        <f>IF(Backend!G58="", "", Backend!G58)</f>
        <v>0.18717745999999999</v>
      </c>
      <c r="G31">
        <f>IF(Backend!H58="", "", Backend!H58)</f>
        <v>0.19413637</v>
      </c>
      <c r="H31">
        <f>IF(Backend!I58="", "", Backend!I58)</f>
        <v>0.34322989999999998</v>
      </c>
      <c r="I31">
        <f>IF(Backend!J58="", "", Backend!J58)</f>
        <v>0.28998689999999999</v>
      </c>
      <c r="J31">
        <f>IF(Backend!K58="", "", Backend!K58)</f>
        <v>0.28108692000000002</v>
      </c>
      <c r="K31">
        <f>IF(Backend!L58="", "", Backend!L58)</f>
        <v>8.2721379999999997E-2</v>
      </c>
      <c r="L31">
        <f>IF(Backend!M58="", "", Backend!M58)</f>
        <v>0.2478021</v>
      </c>
      <c r="M31">
        <f>IF(Backend!N58="", "", Backend!N58)</f>
        <v>0.30078157999999999</v>
      </c>
      <c r="N31">
        <f>IF(Backend!O58="", "", Backend!O58)</f>
        <v>0.1891398</v>
      </c>
      <c r="O31">
        <f>IF(Backend!P58="", "", Backend!P58)</f>
        <v>0.29685255999999999</v>
      </c>
      <c r="P31">
        <f>IF(Backend!Q58="", "", Backend!Q58)</f>
        <v>0.24407799999999999</v>
      </c>
      <c r="Q31">
        <f>IF(Backend!R58="", "", Backend!R58)</f>
        <v>-1.2127049000000001E-2</v>
      </c>
      <c r="R31">
        <f>IF(Backend!S58="", "", Backend!S58)</f>
        <v>0.25044290000000002</v>
      </c>
      <c r="S31">
        <f>IF(Backend!T58="", "", Backend!T58)</f>
        <v>-7.4146210000000004E-2</v>
      </c>
      <c r="T31">
        <f>IF(Backend!U58="", "", Backend!U58)</f>
        <v>0.21283594</v>
      </c>
      <c r="U31">
        <f>IF(Backend!V58="", "", Backend!V58)</f>
        <v>0.34748404999999999</v>
      </c>
      <c r="V31">
        <f>IF(Backend!W58="", "", Backend!W58)</f>
        <v>0.35925728000000001</v>
      </c>
      <c r="W31">
        <f>IF(Backend!X58="", "", Backend!X58)</f>
        <v>0.20025006000000001</v>
      </c>
      <c r="X31">
        <f>IF(Backend!Y58="", "", Backend!Y58)</f>
        <v>0.27392474</v>
      </c>
      <c r="Y31">
        <f>IF(Backend!Z58="", "", Backend!Z58)</f>
        <v>0.21463935000000001</v>
      </c>
      <c r="Z31">
        <f>IF(Backend!AA58="", "", Backend!AA58)</f>
        <v>0.10873049</v>
      </c>
      <c r="AA31">
        <f>IF(Backend!AB58="", "", Backend!AB58)</f>
        <v>0.28774260000000002</v>
      </c>
      <c r="AB31">
        <f>IF(Backend!AC58="", "", Backend!AC58)</f>
        <v>0.3309725</v>
      </c>
      <c r="AC31">
        <f>IF(Backend!AD58="", "", Backend!AD58)</f>
        <v>1</v>
      </c>
      <c r="AD31">
        <f>IF(Backend!AE58="", "", Backend!AE58)</f>
        <v>0.17898272000000001</v>
      </c>
      <c r="AE31">
        <f>IF(Backend!AF58="", "", Backend!AF58)</f>
        <v>9.6530210000000005E-2</v>
      </c>
      <c r="AF31">
        <f>IF(Backend!AG58="", "", Backend!AG58)</f>
        <v>1.6723460999999998E-2</v>
      </c>
      <c r="AG31">
        <f>IF(Backend!AH58="", "", Backend!AH58)</f>
        <v>0.20272683999999999</v>
      </c>
      <c r="AH31">
        <f>IF(Backend!AI58="", "", Backend!AI58)</f>
        <v>-6.2314469999999997E-2</v>
      </c>
      <c r="AI31">
        <f>IF(Backend!AJ58="", "", Backend!AJ58)</f>
        <v>0.44326632999999999</v>
      </c>
      <c r="AJ31">
        <f>IF(Backend!AK58="", "", Backend!AK58)</f>
        <v>0.17801748000000001</v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ANTA Sports Products Ltd.</v>
      </c>
      <c r="B32">
        <f>IF(Backend!C59="", "", Backend!C59)</f>
        <v>6.2595955999999994E-2</v>
      </c>
      <c r="C32">
        <f>IF(Backend!D59="", "", Backend!D59)</f>
        <v>0.12904732999999999</v>
      </c>
      <c r="D32">
        <f>IF(Backend!E59="", "", Backend!E59)</f>
        <v>0.18998166999999999</v>
      </c>
      <c r="E32">
        <f>IF(Backend!F59="", "", Backend!F59)</f>
        <v>0.20442711</v>
      </c>
      <c r="F32">
        <f>IF(Backend!G59="", "", Backend!G59)</f>
        <v>0.15598329999999999</v>
      </c>
      <c r="G32">
        <f>IF(Backend!H59="", "", Backend!H59)</f>
        <v>0.40221404999999999</v>
      </c>
      <c r="H32">
        <f>IF(Backend!I59="", "", Backend!I59)</f>
        <v>0.20998578000000001</v>
      </c>
      <c r="I32">
        <f>IF(Backend!J59="", "", Backend!J59)</f>
        <v>0.23161003999999999</v>
      </c>
      <c r="J32">
        <f>IF(Backend!K59="", "", Backend!K59)</f>
        <v>0.22214368000000001</v>
      </c>
      <c r="K32">
        <f>IF(Backend!L59="", "", Backend!L59)</f>
        <v>0.11057860999999999</v>
      </c>
      <c r="L32">
        <f>IF(Backend!M59="", "", Backend!M59)</f>
        <v>0.18669213000000001</v>
      </c>
      <c r="M32">
        <f>IF(Backend!N59="", "", Backend!N59)</f>
        <v>0.21304756</v>
      </c>
      <c r="N32">
        <f>IF(Backend!O59="", "", Backend!O59)</f>
        <v>8.1055865000000005E-2</v>
      </c>
      <c r="O32">
        <f>IF(Backend!P59="", "", Backend!P59)</f>
        <v>0.10855271</v>
      </c>
      <c r="P32">
        <f>IF(Backend!Q59="", "", Backend!Q59)</f>
        <v>0.23117582</v>
      </c>
      <c r="Q32">
        <f>IF(Backend!R59="", "", Backend!R59)</f>
        <v>5.5007394000000001E-2</v>
      </c>
      <c r="R32">
        <f>IF(Backend!S59="", "", Backend!S59)</f>
        <v>0.22346146</v>
      </c>
      <c r="S32">
        <f>IF(Backend!T59="", "", Backend!T59)</f>
        <v>0.106420085</v>
      </c>
      <c r="T32">
        <f>IF(Backend!U59="", "", Backend!U59)</f>
        <v>5.2847072000000002E-2</v>
      </c>
      <c r="U32">
        <f>IF(Backend!V59="", "", Backend!V59)</f>
        <v>0.24459463000000001</v>
      </c>
      <c r="V32">
        <f>IF(Backend!W59="", "", Backend!W59)</f>
        <v>0.25416096999999999</v>
      </c>
      <c r="W32">
        <f>IF(Backend!X59="", "", Backend!X59)</f>
        <v>0.18445570999999999</v>
      </c>
      <c r="X32">
        <f>IF(Backend!Y59="", "", Backend!Y59)</f>
        <v>0.19902798999999999</v>
      </c>
      <c r="Y32">
        <f>IF(Backend!Z59="", "", Backend!Z59)</f>
        <v>9.6411919999999998E-2</v>
      </c>
      <c r="Z32">
        <f>IF(Backend!AA59="", "", Backend!AA59)</f>
        <v>4.0733921999999999E-2</v>
      </c>
      <c r="AA32">
        <f>IF(Backend!AB59="", "", Backend!AB59)</f>
        <v>0.13285092000000001</v>
      </c>
      <c r="AB32">
        <f>IF(Backend!AC59="", "", Backend!AC59)</f>
        <v>0.19470198</v>
      </c>
      <c r="AC32">
        <f>IF(Backend!AD59="", "", Backend!AD59)</f>
        <v>0.17898272000000001</v>
      </c>
      <c r="AD32">
        <f>IF(Backend!AE59="", "", Backend!AE59)</f>
        <v>1</v>
      </c>
      <c r="AE32">
        <f>IF(Backend!AF59="", "", Backend!AF59)</f>
        <v>0.1116133</v>
      </c>
      <c r="AF32">
        <f>IF(Backend!AG59="", "", Backend!AG59)</f>
        <v>8.2582659999999998E-4</v>
      </c>
      <c r="AG32">
        <f>IF(Backend!AH59="", "", Backend!AH59)</f>
        <v>0.16492105000000001</v>
      </c>
      <c r="AH32">
        <f>IF(Backend!AI59="", "", Backend!AI59)</f>
        <v>9.2415010000000006E-2</v>
      </c>
      <c r="AI32">
        <f>IF(Backend!AJ59="", "", Backend!AJ59)</f>
        <v>9.1334424999999997E-2</v>
      </c>
      <c r="AJ32">
        <f>IF(Backend!AK59="", "", Backend!AK59)</f>
        <v>0.50216760000000005</v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Universal Music Group N.V.</v>
      </c>
      <c r="B33">
        <f>IF(Backend!C60="", "", Backend!C60)</f>
        <v>5.9947733000000003E-2</v>
      </c>
      <c r="C33">
        <f>IF(Backend!D60="", "", Backend!D60)</f>
        <v>0.33050661999999997</v>
      </c>
      <c r="D33">
        <f>IF(Backend!E60="", "", Backend!E60)</f>
        <v>0.27119399999999999</v>
      </c>
      <c r="E33">
        <f>IF(Backend!F60="", "", Backend!F60)</f>
        <v>0.20559438999999999</v>
      </c>
      <c r="F33">
        <f>IF(Backend!G60="", "", Backend!G60)</f>
        <v>0.18944849</v>
      </c>
      <c r="G33">
        <f>IF(Backend!H60="", "", Backend!H60)</f>
        <v>0.14313128999999999</v>
      </c>
      <c r="H33">
        <f>IF(Backend!I60="", "", Backend!I60)</f>
        <v>0.32206204999999999</v>
      </c>
      <c r="I33">
        <f>IF(Backend!J60="", "", Backend!J60)</f>
        <v>0.22954237</v>
      </c>
      <c r="J33">
        <f>IF(Backend!K60="", "", Backend!K60)</f>
        <v>0.34702739999999999</v>
      </c>
      <c r="K33">
        <f>IF(Backend!L60="", "", Backend!L60)</f>
        <v>8.9926140000000002E-2</v>
      </c>
      <c r="L33">
        <f>IF(Backend!M60="", "", Backend!M60)</f>
        <v>0.22483484000000001</v>
      </c>
      <c r="M33">
        <f>IF(Backend!N60="", "", Backend!N60)</f>
        <v>0.20800872000000001</v>
      </c>
      <c r="N33">
        <f>IF(Backend!O60="", "", Backend!O60)</f>
        <v>0.22136728</v>
      </c>
      <c r="O33">
        <f>IF(Backend!P60="", "", Backend!P60)</f>
        <v>0.26924542000000001</v>
      </c>
      <c r="P33">
        <f>IF(Backend!Q60="", "", Backend!Q60)</f>
        <v>0.35293540000000001</v>
      </c>
      <c r="Q33">
        <f>IF(Backend!R60="", "", Backend!R60)</f>
        <v>1.1593699000000001E-2</v>
      </c>
      <c r="R33">
        <f>IF(Backend!S60="", "", Backend!S60)</f>
        <v>0.35924970000000001</v>
      </c>
      <c r="S33">
        <f>IF(Backend!T60="", "", Backend!T60)</f>
        <v>8.4511383999999995E-2</v>
      </c>
      <c r="T33">
        <f>IF(Backend!U60="", "", Backend!U60)</f>
        <v>2.4662735000000002E-2</v>
      </c>
      <c r="U33">
        <f>IF(Backend!V60="", "", Backend!V60)</f>
        <v>0.33763219999999999</v>
      </c>
      <c r="V33">
        <f>IF(Backend!W60="", "", Backend!W60)</f>
        <v>0.23686368999999999</v>
      </c>
      <c r="W33">
        <f>IF(Backend!X60="", "", Backend!X60)</f>
        <v>0.25298540000000003</v>
      </c>
      <c r="X33">
        <f>IF(Backend!Y60="", "", Backend!Y60)</f>
        <v>0.31384042000000001</v>
      </c>
      <c r="Y33">
        <f>IF(Backend!Z60="", "", Backend!Z60)</f>
        <v>0.25076324</v>
      </c>
      <c r="Z33">
        <f>IF(Backend!AA60="", "", Backend!AA60)</f>
        <v>7.9197149999999994E-2</v>
      </c>
      <c r="AA33">
        <f>IF(Backend!AB60="", "", Backend!AB60)</f>
        <v>0.25280320000000001</v>
      </c>
      <c r="AB33">
        <f>IF(Backend!AC60="", "", Backend!AC60)</f>
        <v>0.33717503999999998</v>
      </c>
      <c r="AC33">
        <f>IF(Backend!AD60="", "", Backend!AD60)</f>
        <v>9.6530210000000005E-2</v>
      </c>
      <c r="AD33">
        <f>IF(Backend!AE60="", "", Backend!AE60)</f>
        <v>0.1116133</v>
      </c>
      <c r="AE33">
        <f>IF(Backend!AF60="", "", Backend!AF60)</f>
        <v>1</v>
      </c>
      <c r="AF33">
        <f>IF(Backend!AG60="", "", Backend!AG60)</f>
        <v>0.17546323</v>
      </c>
      <c r="AG33">
        <f>IF(Backend!AH60="", "", Backend!AH60)</f>
        <v>0.21205031999999999</v>
      </c>
      <c r="AH33">
        <f>IF(Backend!AI60="", "", Backend!AI60)</f>
        <v>4.3994739999999997E-2</v>
      </c>
      <c r="AI33">
        <f>IF(Backend!AJ60="", "", Backend!AJ60)</f>
        <v>9.6909549999999997E-2</v>
      </c>
      <c r="AJ33">
        <f>IF(Backend!AK60="", "", Backend!AK60)</f>
        <v>9.1883729999999997E-2</v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Waste Connections, Inc.</v>
      </c>
      <c r="B34">
        <f>IF(Backend!C61="", "", Backend!C61)</f>
        <v>-5.7924442E-2</v>
      </c>
      <c r="C34">
        <f>IF(Backend!D61="", "", Backend!D61)</f>
        <v>0.22935522</v>
      </c>
      <c r="D34">
        <f>IF(Backend!E61="", "", Backend!E61)</f>
        <v>0.20074508999999999</v>
      </c>
      <c r="E34">
        <f>IF(Backend!F61="", "", Backend!F61)</f>
        <v>-0.15405547999999999</v>
      </c>
      <c r="F34">
        <f>IF(Backend!G61="", "", Backend!G61)</f>
        <v>-6.5355289999999996E-2</v>
      </c>
      <c r="G34">
        <f>IF(Backend!H61="", "", Backend!H61)</f>
        <v>-7.953433E-2</v>
      </c>
      <c r="H34">
        <f>IF(Backend!I61="", "", Backend!I61)</f>
        <v>0.22432532999999999</v>
      </c>
      <c r="I34">
        <f>IF(Backend!J61="", "", Backend!J61)</f>
        <v>5.9079114000000002E-2</v>
      </c>
      <c r="J34">
        <f>IF(Backend!K61="", "", Backend!K61)</f>
        <v>0.33293139999999999</v>
      </c>
      <c r="K34">
        <f>IF(Backend!L61="", "", Backend!L61)</f>
        <v>0.17917453</v>
      </c>
      <c r="L34">
        <f>IF(Backend!M61="", "", Backend!M61)</f>
        <v>1.5824562E-2</v>
      </c>
      <c r="M34">
        <f>IF(Backend!N61="", "", Backend!N61)</f>
        <v>0.1104657</v>
      </c>
      <c r="N34">
        <f>IF(Backend!O61="", "", Backend!O61)</f>
        <v>0.25529200000000002</v>
      </c>
      <c r="O34">
        <f>IF(Backend!P61="", "", Backend!P61)</f>
        <v>0.13867246</v>
      </c>
      <c r="P34">
        <f>IF(Backend!Q61="", "", Backend!Q61)</f>
        <v>0.23308714999999999</v>
      </c>
      <c r="Q34">
        <f>IF(Backend!R61="", "", Backend!R61)</f>
        <v>0.25377119999999997</v>
      </c>
      <c r="R34">
        <f>IF(Backend!S61="", "", Backend!S61)</f>
        <v>0.25364012000000002</v>
      </c>
      <c r="S34">
        <f>IF(Backend!T61="", "", Backend!T61)</f>
        <v>7.8635969999999999E-2</v>
      </c>
      <c r="T34">
        <f>IF(Backend!U61="", "", Backend!U61)</f>
        <v>-1.0600371000000001E-2</v>
      </c>
      <c r="U34">
        <f>IF(Backend!V61="", "", Backend!V61)</f>
        <v>0.26628839999999998</v>
      </c>
      <c r="V34">
        <f>IF(Backend!W61="", "", Backend!W61)</f>
        <v>-1.0164931E-2</v>
      </c>
      <c r="W34">
        <f>IF(Backend!X61="", "", Backend!X61)</f>
        <v>0.10309486</v>
      </c>
      <c r="X34">
        <f>IF(Backend!Y61="", "", Backend!Y61)</f>
        <v>0.31156139999999999</v>
      </c>
      <c r="Y34">
        <f>IF(Backend!Z61="", "", Backend!Z61)</f>
        <v>6.819944E-2</v>
      </c>
      <c r="Z34">
        <f>IF(Backend!AA61="", "", Backend!AA61)</f>
        <v>9.6062289999999995E-2</v>
      </c>
      <c r="AA34">
        <f>IF(Backend!AB61="", "", Backend!AB61)</f>
        <v>0.13558584000000001</v>
      </c>
      <c r="AB34">
        <f>IF(Backend!AC61="", "", Backend!AC61)</f>
        <v>0.20538429999999999</v>
      </c>
      <c r="AC34">
        <f>IF(Backend!AD61="", "", Backend!AD61)</f>
        <v>1.6723460999999998E-2</v>
      </c>
      <c r="AD34">
        <f>IF(Backend!AE61="", "", Backend!AE61)</f>
        <v>8.2582659999999998E-4</v>
      </c>
      <c r="AE34">
        <f>IF(Backend!AF61="", "", Backend!AF61)</f>
        <v>0.17546323</v>
      </c>
      <c r="AF34">
        <f>IF(Backend!AG61="", "", Backend!AG61)</f>
        <v>1</v>
      </c>
      <c r="AG34">
        <f>IF(Backend!AH61="", "", Backend!AH61)</f>
        <v>0.122618124</v>
      </c>
      <c r="AH34">
        <f>IF(Backend!AI61="", "", Backend!AI61)</f>
        <v>9.1164850000000006E-2</v>
      </c>
      <c r="AI34">
        <f>IF(Backend!AJ61="", "", Backend!AJ61)</f>
        <v>-1.8513257000000002E-2</v>
      </c>
      <c r="AJ34">
        <f>IF(Backend!AK61="", "", Backend!AK61)</f>
        <v>-0.10113665500000001</v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SAP SE</v>
      </c>
      <c r="B35">
        <f>IF(Backend!C62="", "", Backend!C62)</f>
        <v>0.21595953000000001</v>
      </c>
      <c r="C35">
        <f>IF(Backend!D62="", "", Backend!D62)</f>
        <v>0.3507537</v>
      </c>
      <c r="D35">
        <f>IF(Backend!E62="", "", Backend!E62)</f>
        <v>0.32113594000000001</v>
      </c>
      <c r="E35">
        <f>IF(Backend!F62="", "", Backend!F62)</f>
        <v>0.30684644</v>
      </c>
      <c r="F35">
        <f>IF(Backend!G62="", "", Backend!G62)</f>
        <v>0.47342970000000001</v>
      </c>
      <c r="G35">
        <f>IF(Backend!H62="", "", Backend!H62)</f>
        <v>0.17199817000000001</v>
      </c>
      <c r="H35">
        <f>IF(Backend!I62="", "", Backend!I62)</f>
        <v>0.48908489999999999</v>
      </c>
      <c r="I35">
        <f>IF(Backend!J62="", "", Backend!J62)</f>
        <v>0.55754150000000002</v>
      </c>
      <c r="J35">
        <f>IF(Backend!K62="", "", Backend!K62)</f>
        <v>0.40942347000000001</v>
      </c>
      <c r="K35">
        <f>IF(Backend!L62="", "", Backend!L62)</f>
        <v>2.8851254E-2</v>
      </c>
      <c r="L35">
        <f>IF(Backend!M62="", "", Backend!M62)</f>
        <v>0.36020849999999999</v>
      </c>
      <c r="M35">
        <f>IF(Backend!N62="", "", Backend!N62)</f>
        <v>0.54583000000000004</v>
      </c>
      <c r="N35">
        <f>IF(Backend!O62="", "", Backend!O62)</f>
        <v>0.25077411999999999</v>
      </c>
      <c r="O35">
        <f>IF(Backend!P62="", "", Backend!P62)</f>
        <v>0.32868710000000001</v>
      </c>
      <c r="P35">
        <f>IF(Backend!Q62="", "", Backend!Q62)</f>
        <v>0.36547488</v>
      </c>
      <c r="Q35">
        <f>IF(Backend!R62="", "", Backend!R62)</f>
        <v>8.6272420000000002E-2</v>
      </c>
      <c r="R35">
        <f>IF(Backend!S62="", "", Backend!S62)</f>
        <v>0.30109494999999997</v>
      </c>
      <c r="S35">
        <f>IF(Backend!T62="", "", Backend!T62)</f>
        <v>9.8450399999999993E-2</v>
      </c>
      <c r="T35">
        <f>IF(Backend!U62="", "", Backend!U62)</f>
        <v>0.16404078999999999</v>
      </c>
      <c r="U35">
        <f>IF(Backend!V62="", "", Backend!V62)</f>
        <v>0.46701737999999998</v>
      </c>
      <c r="V35">
        <f>IF(Backend!W62="", "", Backend!W62)</f>
        <v>0.51709276000000004</v>
      </c>
      <c r="W35">
        <f>IF(Backend!X62="", "", Backend!X62)</f>
        <v>0.25752409999999998</v>
      </c>
      <c r="X35">
        <f>IF(Backend!Y62="", "", Backend!Y62)</f>
        <v>0.21280209999999999</v>
      </c>
      <c r="Y35">
        <f>IF(Backend!Z62="", "", Backend!Z62)</f>
        <v>0.25568039999999997</v>
      </c>
      <c r="Z35">
        <f>IF(Backend!AA62="", "", Backend!AA62)</f>
        <v>0.14665088000000001</v>
      </c>
      <c r="AA35">
        <f>IF(Backend!AB62="", "", Backend!AB62)</f>
        <v>0.26800707000000001</v>
      </c>
      <c r="AB35">
        <f>IF(Backend!AC62="", "", Backend!AC62)</f>
        <v>0.31169486000000002</v>
      </c>
      <c r="AC35">
        <f>IF(Backend!AD62="", "", Backend!AD62)</f>
        <v>0.20272683999999999</v>
      </c>
      <c r="AD35">
        <f>IF(Backend!AE62="", "", Backend!AE62)</f>
        <v>0.16492105000000001</v>
      </c>
      <c r="AE35">
        <f>IF(Backend!AF62="", "", Backend!AF62)</f>
        <v>0.21205031999999999</v>
      </c>
      <c r="AF35">
        <f>IF(Backend!AG62="", "", Backend!AG62)</f>
        <v>0.122618124</v>
      </c>
      <c r="AG35">
        <f>IF(Backend!AH62="", "", Backend!AH62)</f>
        <v>1</v>
      </c>
      <c r="AH35">
        <f>IF(Backend!AI62="", "", Backend!AI62)</f>
        <v>0.15522352</v>
      </c>
      <c r="AI35">
        <f>IF(Backend!AJ62="", "", Backend!AJ62)</f>
        <v>8.9223659999999996E-2</v>
      </c>
      <c r="AJ35">
        <f>IF(Backend!AK62="", "", Backend!AK62)</f>
        <v>0.18899372</v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>Canadian National Railway Company</v>
      </c>
      <c r="B36">
        <f>IF(Backend!C63="", "", Backend!C63)</f>
        <v>0.27851137999999998</v>
      </c>
      <c r="C36">
        <f>IF(Backend!D63="", "", Backend!D63)</f>
        <v>0.18346831</v>
      </c>
      <c r="D36">
        <f>IF(Backend!E63="", "", Backend!E63)</f>
        <v>8.7214940000000005E-2</v>
      </c>
      <c r="E36">
        <f>IF(Backend!F63="", "", Backend!F63)</f>
        <v>0.22113459999999999</v>
      </c>
      <c r="F36">
        <f>IF(Backend!G63="", "", Backend!G63)</f>
        <v>0.17918076999999999</v>
      </c>
      <c r="G36">
        <f>IF(Backend!H63="", "", Backend!H63)</f>
        <v>6.0206904999999998E-2</v>
      </c>
      <c r="H36">
        <f>IF(Backend!I63="", "", Backend!I63)</f>
        <v>0.10309423500000001</v>
      </c>
      <c r="I36">
        <f>IF(Backend!J63="", "", Backend!J63)</f>
        <v>0.14176403000000001</v>
      </c>
      <c r="J36">
        <f>IF(Backend!K63="", "", Backend!K63)</f>
        <v>-6.8527880000000003E-3</v>
      </c>
      <c r="K36">
        <f>IF(Backend!L63="", "", Backend!L63)</f>
        <v>0.24307356999999999</v>
      </c>
      <c r="L36">
        <f>IF(Backend!M63="", "", Backend!M63)</f>
        <v>0.22089727000000001</v>
      </c>
      <c r="M36">
        <f>IF(Backend!N63="", "", Backend!N63)</f>
        <v>0.10563742</v>
      </c>
      <c r="N36">
        <f>IF(Backend!O63="", "", Backend!O63)</f>
        <v>8.5949704000000002E-2</v>
      </c>
      <c r="O36">
        <f>IF(Backend!P63="", "", Backend!P63)</f>
        <v>8.2675219999999994E-2</v>
      </c>
      <c r="P36">
        <f>IF(Backend!Q63="", "", Backend!Q63)</f>
        <v>6.2133037000000002E-2</v>
      </c>
      <c r="Q36">
        <f>IF(Backend!R63="", "", Backend!R63)</f>
        <v>0.28895235000000002</v>
      </c>
      <c r="R36">
        <f>IF(Backend!S63="", "", Backend!S63)</f>
        <v>0.14071634</v>
      </c>
      <c r="S36">
        <f>IF(Backend!T63="", "", Backend!T63)</f>
        <v>0.45799685000000001</v>
      </c>
      <c r="T36">
        <f>IF(Backend!U63="", "", Backend!U63)</f>
        <v>3.8051024000000003E-2</v>
      </c>
      <c r="U36">
        <f>IF(Backend!V63="", "", Backend!V63)</f>
        <v>0.13644703999999999</v>
      </c>
      <c r="V36">
        <f>IF(Backend!W63="", "", Backend!W63)</f>
        <v>0.23379037</v>
      </c>
      <c r="W36">
        <f>IF(Backend!X63="", "", Backend!X63)</f>
        <v>0.13056427000000001</v>
      </c>
      <c r="X36">
        <f>IF(Backend!Y63="", "", Backend!Y63)</f>
        <v>2.8714867000000002E-2</v>
      </c>
      <c r="Y36">
        <f>IF(Backend!Z63="", "", Backend!Z63)</f>
        <v>-2.8452077999999999E-2</v>
      </c>
      <c r="Z36">
        <f>IF(Backend!AA63="", "", Backend!AA63)</f>
        <v>0.1305134</v>
      </c>
      <c r="AA36">
        <f>IF(Backend!AB63="", "", Backend!AB63)</f>
        <v>-2.124181E-2</v>
      </c>
      <c r="AB36">
        <f>IF(Backend!AC63="", "", Backend!AC63)</f>
        <v>8.7133749999999996E-2</v>
      </c>
      <c r="AC36">
        <f>IF(Backend!AD63="", "", Backend!AD63)</f>
        <v>-6.2314469999999997E-2</v>
      </c>
      <c r="AD36">
        <f>IF(Backend!AE63="", "", Backend!AE63)</f>
        <v>9.2415010000000006E-2</v>
      </c>
      <c r="AE36">
        <f>IF(Backend!AF63="", "", Backend!AF63)</f>
        <v>4.3994739999999997E-2</v>
      </c>
      <c r="AF36">
        <f>IF(Backend!AG63="", "", Backend!AG63)</f>
        <v>9.1164850000000006E-2</v>
      </c>
      <c r="AG36">
        <f>IF(Backend!AH63="", "", Backend!AH63)</f>
        <v>0.15522352</v>
      </c>
      <c r="AH36">
        <f>IF(Backend!AI63="", "", Backend!AI63)</f>
        <v>1</v>
      </c>
      <c r="AI36">
        <f>IF(Backend!AJ63="", "", Backend!AJ63)</f>
        <v>-8.0344150000000003E-2</v>
      </c>
      <c r="AJ36">
        <f>IF(Backend!AK63="", "", Backend!AK63)</f>
        <v>9.0565026000000007E-2</v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>Shimano Inc.</v>
      </c>
      <c r="B37">
        <f>IF(Backend!C64="", "", Backend!C64)</f>
        <v>-8.1626384999999996E-2</v>
      </c>
      <c r="C37">
        <f>IF(Backend!D64="", "", Backend!D64)</f>
        <v>0.14472235999999999</v>
      </c>
      <c r="D37">
        <f>IF(Backend!E64="", "", Backend!E64)</f>
        <v>8.3997069999999993E-2</v>
      </c>
      <c r="E37">
        <f>IF(Backend!F64="", "", Backend!F64)</f>
        <v>0.13994803</v>
      </c>
      <c r="F37">
        <f>IF(Backend!G64="", "", Backend!G64)</f>
        <v>4.5715989999999998E-2</v>
      </c>
      <c r="G37">
        <f>IF(Backend!H64="", "", Backend!H64)</f>
        <v>0.18960677000000001</v>
      </c>
      <c r="H37">
        <f>IF(Backend!I64="", "", Backend!I64)</f>
        <v>0.15262116000000001</v>
      </c>
      <c r="I37">
        <f>IF(Backend!J64="", "", Backend!J64)</f>
        <v>0.17432122999999999</v>
      </c>
      <c r="J37">
        <f>IF(Backend!K64="", "", Backend!K64)</f>
        <v>0.13194348</v>
      </c>
      <c r="K37">
        <f>IF(Backend!L64="", "", Backend!L64)</f>
        <v>6.7099350000000002E-2</v>
      </c>
      <c r="L37">
        <f>IF(Backend!M64="", "", Backend!M64)</f>
        <v>0.10239949</v>
      </c>
      <c r="M37">
        <f>IF(Backend!N64="", "", Backend!N64)</f>
        <v>0.19362850000000001</v>
      </c>
      <c r="N37">
        <f>IF(Backend!O64="", "", Backend!O64)</f>
        <v>0.25352131999999999</v>
      </c>
      <c r="O37">
        <f>IF(Backend!P64="", "", Backend!P64)</f>
        <v>0.21141452999999999</v>
      </c>
      <c r="P37">
        <f>IF(Backend!Q64="", "", Backend!Q64)</f>
        <v>9.4979220000000003E-2</v>
      </c>
      <c r="Q37">
        <f>IF(Backend!R64="", "", Backend!R64)</f>
        <v>-0.1712775</v>
      </c>
      <c r="R37">
        <f>IF(Backend!S64="", "", Backend!S64)</f>
        <v>0.24937627000000001</v>
      </c>
      <c r="S37">
        <f>IF(Backend!T64="", "", Backend!T64)</f>
        <v>-9.1191195000000003E-2</v>
      </c>
      <c r="T37">
        <f>IF(Backend!U64="", "", Backend!U64)</f>
        <v>0.13013668</v>
      </c>
      <c r="U37">
        <f>IF(Backend!V64="", "", Backend!V64)</f>
        <v>0.20154559999999999</v>
      </c>
      <c r="V37">
        <f>IF(Backend!W64="", "", Backend!W64)</f>
        <v>0.18960334000000001</v>
      </c>
      <c r="W37">
        <f>IF(Backend!X64="", "", Backend!X64)</f>
        <v>0.13286468000000001</v>
      </c>
      <c r="X37">
        <f>IF(Backend!Y64="", "", Backend!Y64)</f>
        <v>8.5260846000000001E-2</v>
      </c>
      <c r="Y37">
        <f>IF(Backend!Z64="", "", Backend!Z64)</f>
        <v>8.0186350000000003E-2</v>
      </c>
      <c r="Z37">
        <f>IF(Backend!AA64="", "", Backend!AA64)</f>
        <v>-9.9255739999999995E-3</v>
      </c>
      <c r="AA37">
        <f>IF(Backend!AB64="", "", Backend!AB64)</f>
        <v>7.9548900000000006E-2</v>
      </c>
      <c r="AB37">
        <f>IF(Backend!AC64="", "", Backend!AC64)</f>
        <v>0.15707094999999999</v>
      </c>
      <c r="AC37">
        <f>IF(Backend!AD64="", "", Backend!AD64)</f>
        <v>0.44326632999999999</v>
      </c>
      <c r="AD37">
        <f>IF(Backend!AE64="", "", Backend!AE64)</f>
        <v>9.1334424999999997E-2</v>
      </c>
      <c r="AE37">
        <f>IF(Backend!AF64="", "", Backend!AF64)</f>
        <v>9.6909549999999997E-2</v>
      </c>
      <c r="AF37">
        <f>IF(Backend!AG64="", "", Backend!AG64)</f>
        <v>-1.8513257000000002E-2</v>
      </c>
      <c r="AG37">
        <f>IF(Backend!AH64="", "", Backend!AH64)</f>
        <v>8.9223659999999996E-2</v>
      </c>
      <c r="AH37">
        <f>IF(Backend!AI64="", "", Backend!AI64)</f>
        <v>-8.0344150000000003E-2</v>
      </c>
      <c r="AI37">
        <f>IF(Backend!AJ64="", "", Backend!AJ64)</f>
        <v>1</v>
      </c>
      <c r="AJ37">
        <f>IF(Backend!AK64="", "", Backend!AK64)</f>
        <v>0.18539235000000001</v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>Tencent Holdings Ltd</v>
      </c>
      <c r="B38">
        <f>IF(Backend!C65="", "", Backend!C65)</f>
        <v>0.119410895</v>
      </c>
      <c r="C38">
        <f>IF(Backend!D65="", "", Backend!D65)</f>
        <v>0.19459610999999999</v>
      </c>
      <c r="D38">
        <f>IF(Backend!E65="", "", Backend!E65)</f>
        <v>0.13332832</v>
      </c>
      <c r="E38">
        <f>IF(Backend!F65="", "", Backend!F65)</f>
        <v>0.20510608</v>
      </c>
      <c r="F38">
        <f>IF(Backend!G65="", "", Backend!G65)</f>
        <v>0.1861758</v>
      </c>
      <c r="G38">
        <f>IF(Backend!H65="", "", Backend!H65)</f>
        <v>0.56076990000000004</v>
      </c>
      <c r="H38">
        <f>IF(Backend!I65="", "", Backend!I65)</f>
        <v>0.22183733</v>
      </c>
      <c r="I38">
        <f>IF(Backend!J65="", "", Backend!J65)</f>
        <v>0.27632000000000001</v>
      </c>
      <c r="J38">
        <f>IF(Backend!K65="", "", Backend!K65)</f>
        <v>0.18057477</v>
      </c>
      <c r="K38">
        <f>IF(Backend!L65="", "", Backend!L65)</f>
        <v>3.7678320000000001E-2</v>
      </c>
      <c r="L38">
        <f>IF(Backend!M65="", "", Backend!M65)</f>
        <v>0.16291605000000001</v>
      </c>
      <c r="M38">
        <f>IF(Backend!N65="", "", Backend!N65)</f>
        <v>0.28667809999999999</v>
      </c>
      <c r="N38">
        <f>IF(Backend!O65="", "", Backend!O65)</f>
        <v>0.11454571</v>
      </c>
      <c r="O38">
        <f>IF(Backend!P65="", "", Backend!P65)</f>
        <v>0.17663783999999999</v>
      </c>
      <c r="P38">
        <f>IF(Backend!Q65="", "", Backend!Q65)</f>
        <v>5.3427767000000001E-2</v>
      </c>
      <c r="Q38">
        <f>IF(Backend!R65="", "", Backend!R65)</f>
        <v>5.4096166000000001E-2</v>
      </c>
      <c r="R38">
        <f>IF(Backend!S65="", "", Backend!S65)</f>
        <v>0.23989663999999999</v>
      </c>
      <c r="S38">
        <f>IF(Backend!T65="", "", Backend!T65)</f>
        <v>9.5930985999999996E-2</v>
      </c>
      <c r="T38">
        <f>IF(Backend!U65="", "", Backend!U65)</f>
        <v>0.16925551</v>
      </c>
      <c r="U38">
        <f>IF(Backend!V65="", "", Backend!V65)</f>
        <v>0.21400744999999999</v>
      </c>
      <c r="V38">
        <f>IF(Backend!W65="", "", Backend!W65)</f>
        <v>0.26728671999999998</v>
      </c>
      <c r="W38">
        <f>IF(Backend!X65="", "", Backend!X65)</f>
        <v>0.15268477999999999</v>
      </c>
      <c r="X38">
        <f>IF(Backend!Y65="", "", Backend!Y65)</f>
        <v>0.16420177999999999</v>
      </c>
      <c r="Y38">
        <f>IF(Backend!Z65="", "", Backend!Z65)</f>
        <v>0.13080644999999999</v>
      </c>
      <c r="Z38">
        <f>IF(Backend!AA65="", "", Backend!AA65)</f>
        <v>0.14552775000000001</v>
      </c>
      <c r="AA38">
        <f>IF(Backend!AB65="", "", Backend!AB65)</f>
        <v>0.17336765000000001</v>
      </c>
      <c r="AB38">
        <f>IF(Backend!AC65="", "", Backend!AC65)</f>
        <v>0.138961</v>
      </c>
      <c r="AC38">
        <f>IF(Backend!AD65="", "", Backend!AD65)</f>
        <v>0.17801748000000001</v>
      </c>
      <c r="AD38">
        <f>IF(Backend!AE65="", "", Backend!AE65)</f>
        <v>0.50216760000000005</v>
      </c>
      <c r="AE38">
        <f>IF(Backend!AF65="", "", Backend!AF65)</f>
        <v>9.1883729999999997E-2</v>
      </c>
      <c r="AF38">
        <f>IF(Backend!AG65="", "", Backend!AG65)</f>
        <v>-0.10113665500000001</v>
      </c>
      <c r="AG38">
        <f>IF(Backend!AH65="", "", Backend!AH65)</f>
        <v>0.18899372</v>
      </c>
      <c r="AH38">
        <f>IF(Backend!AI65="", "", Backend!AI65)</f>
        <v>9.0565026000000007E-2</v>
      </c>
      <c r="AI38">
        <f>IF(Backend!AJ65="", "", Backend!AJ65)</f>
        <v>0.18539235000000001</v>
      </c>
      <c r="AJ38">
        <f>IF(Backend!AK65="", "", Backend!AK65)</f>
        <v>1</v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 t="str">
        <f>IF(Backend!A66="", "", Backend!A66)</f>
        <v/>
      </c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 t="str">
        <f>IF(Backend!A67="", "", Backend!A67)</f>
        <v/>
      </c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 t="str">
        <f>IF(Backend!A68="", "", Backend!A68)</f>
        <v/>
      </c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workbookViewId="0"/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14</v>
      </c>
    </row>
    <row r="4" spans="2:13" x14ac:dyDescent="0.25">
      <c r="B4" t="s">
        <v>0</v>
      </c>
    </row>
    <row r="5" spans="2:13" x14ac:dyDescent="0.25">
      <c r="C5" s="8" t="s">
        <v>18</v>
      </c>
      <c r="D5" t="str" cm="1">
        <f t="array" ref="D5">_xll.FDSC("-",C5,"PROPER_NAME")</f>
        <v>Taiwan Semiconductor Manufacturing Co., Ltd. Sponsored ADR</v>
      </c>
      <c r="E5" s="8" t="s">
        <v>22</v>
      </c>
      <c r="F5" t="str" cm="1">
        <f t="array" ref="F5">_xll.FDSC("-",E5,"PROPER_NAME")</f>
        <v>Booking Holdings Inc.</v>
      </c>
      <c r="G5" s="8" t="s">
        <v>24</v>
      </c>
      <c r="H5" t="str" cm="1">
        <f t="array" ref="H5">_xll.FDSC("-",G5,"PROPER_NAME")</f>
        <v>Waste Connections, Inc.</v>
      </c>
      <c r="I5" s="8"/>
      <c r="J5" t="str" cm="1">
        <f t="array" ref="J5">_xll.FDSC("-",I5,"PROPER_NAME")</f>
        <v>-</v>
      </c>
      <c r="K5" s="8"/>
    </row>
    <row r="6" spans="2:13" x14ac:dyDescent="0.25">
      <c r="C6" s="8" t="s">
        <v>25</v>
      </c>
      <c r="D6" t="str" cm="1">
        <f t="array" ref="D6">_xll.FDSC("-",C6,"PROPER_NAME")</f>
        <v>Howden Joinery Group PLC</v>
      </c>
      <c r="E6" s="8" t="s">
        <v>26</v>
      </c>
      <c r="F6" t="str" cm="1">
        <f t="array" ref="F6">_xll.FDSC("-",E6,"PROPER_NAME")</f>
        <v>KONE Oyj Class B</v>
      </c>
      <c r="G6" s="8" t="s">
        <v>27</v>
      </c>
      <c r="H6" t="str" cm="1">
        <f t="array" ref="H6">_xll.FDSC("-",G6,"PROPER_NAME")</f>
        <v>SAP SE</v>
      </c>
      <c r="I6" s="8"/>
      <c r="J6" t="str" cm="1">
        <f t="array" ref="J6">_xll.FDSC("-",I6,"PROPER_NAME")</f>
        <v>-</v>
      </c>
      <c r="K6" s="8"/>
      <c r="M6" s="5"/>
    </row>
    <row r="7" spans="2:13" x14ac:dyDescent="0.25">
      <c r="C7" s="8" t="s">
        <v>9</v>
      </c>
      <c r="D7" t="str" cm="1">
        <f t="array" ref="D7">_xll.FDSC("-",C7,"PROPER_NAME")</f>
        <v>London Stock Exchange Group plc</v>
      </c>
      <c r="E7" s="8" t="s">
        <v>28</v>
      </c>
      <c r="F7" t="str" cm="1">
        <f t="array" ref="F7">_xll.FDSC("-",E7,"PROPER_NAME")</f>
        <v>NXP Semiconductors NV</v>
      </c>
      <c r="G7" s="8" t="s">
        <v>29</v>
      </c>
      <c r="H7" t="str" cm="1">
        <f t="array" ref="H7">_xll.FDSC("-",G7,"PROPER_NAME")</f>
        <v>Canadian National Railway Company</v>
      </c>
      <c r="I7" s="8"/>
      <c r="J7" t="str" cm="1">
        <f t="array" ref="J7">_xll.FDSC("-",I7,"PROPER_NAME")</f>
        <v>-</v>
      </c>
      <c r="K7" s="8"/>
    </row>
    <row r="8" spans="2:13" x14ac:dyDescent="0.25">
      <c r="C8" s="8" t="s">
        <v>30</v>
      </c>
      <c r="D8" t="str" cm="1">
        <f t="array" ref="D8">_xll.FDSC("-",C8,"PROPER_NAME")</f>
        <v>LVMH Moet Hennessy Louis Vuitton SE</v>
      </c>
      <c r="E8" s="8" t="s">
        <v>31</v>
      </c>
      <c r="F8" t="str" cm="1">
        <f t="array" ref="F8">_xll.FDSC("-",E8,"PROPER_NAME")</f>
        <v>PT Bank Rakyat Indonesia (Persero) Tbk Class B</v>
      </c>
      <c r="G8" s="8" t="s">
        <v>32</v>
      </c>
      <c r="H8" t="str" cm="1">
        <f t="array" ref="H8">_xll.FDSC("-",G8,"PROPER_NAME")</f>
        <v>Shimano Inc.</v>
      </c>
      <c r="I8" s="8"/>
      <c r="J8" t="str" cm="1">
        <f t="array" ref="J8">_xll.FDSC("-",I8,"PROPER_NAME")</f>
        <v>-</v>
      </c>
      <c r="K8" s="8"/>
    </row>
    <row r="9" spans="2:13" x14ac:dyDescent="0.25">
      <c r="C9" s="8" t="s">
        <v>33</v>
      </c>
      <c r="D9" t="str" cm="1">
        <f t="array" ref="D9">_xll.FDSC("-",C9,"PROPER_NAME")</f>
        <v>ASML Holding NV</v>
      </c>
      <c r="E9" s="8" t="s">
        <v>34</v>
      </c>
      <c r="F9" t="str" cm="1">
        <f t="array" ref="F9">_xll.FDSC("-",E9,"PROPER_NAME")</f>
        <v>Amadeus IT Group SA Class A</v>
      </c>
      <c r="G9" s="8" t="s">
        <v>35</v>
      </c>
      <c r="H9" t="str" cm="1">
        <f t="array" ref="H9">_xll.FDSC("-",G9,"PROPER_NAME")</f>
        <v>Tencent Holdings Ltd</v>
      </c>
      <c r="I9" s="8"/>
      <c r="J9" t="str" cm="1">
        <f t="array" ref="J9">_xll.FDSC("-",I9,"PROPER_NAME")</f>
        <v>-</v>
      </c>
      <c r="K9" s="8"/>
    </row>
    <row r="10" spans="2:13" x14ac:dyDescent="0.25">
      <c r="C10" s="8" t="s">
        <v>23</v>
      </c>
      <c r="D10" t="str" cm="1">
        <f t="array" ref="D10">_xll.FDSC("-",C10,"PROPER_NAME")</f>
        <v>AIA Group Limited</v>
      </c>
      <c r="E10" s="8" t="s">
        <v>17</v>
      </c>
      <c r="F10" t="str" cm="1">
        <f t="array" ref="F10">_xll.FDSC("-",E10,"PROPER_NAME")</f>
        <v>Atlas Copco AB Class B</v>
      </c>
      <c r="G10" s="8"/>
      <c r="I10" s="8"/>
      <c r="J10" t="str" cm="1">
        <f t="array" ref="J10">_xll.FDSC("-",I10,"PROPER_NAME")</f>
        <v>-</v>
      </c>
      <c r="K10" s="8"/>
    </row>
    <row r="11" spans="2:13" x14ac:dyDescent="0.25">
      <c r="C11" s="8" t="s">
        <v>20</v>
      </c>
      <c r="D11" t="str" cm="1">
        <f t="array" ref="D11">_xll.FDSC("-",C11,"PROPER_NAME")</f>
        <v>Experian PLC</v>
      </c>
      <c r="E11" s="8" t="s">
        <v>37</v>
      </c>
      <c r="F11" t="str" cm="1">
        <f t="array" ref="F11">_xll.FDSC("-",E11,"PROPER_NAME")</f>
        <v>Diageo plc</v>
      </c>
      <c r="G11" s="8"/>
      <c r="I11" s="8"/>
      <c r="J11" t="str" cm="1">
        <f t="array" ref="J11">_xll.FDSC("-",I11,"PROPER_NAME")</f>
        <v>-</v>
      </c>
      <c r="K11" s="8"/>
    </row>
    <row r="12" spans="2:13" x14ac:dyDescent="0.25">
      <c r="C12" s="8" t="s">
        <v>38</v>
      </c>
      <c r="D12" t="str" cm="1">
        <f t="array" ref="D12">_xll.FDSC("-",C12,"PROPER_NAME")</f>
        <v>Airbus SE</v>
      </c>
      <c r="E12" s="8" t="s">
        <v>39</v>
      </c>
      <c r="F12" t="str" cm="1">
        <f t="array" ref="F12">_xll.FDSC("-",E12,"PROPER_NAME")</f>
        <v>Compass Group PLC</v>
      </c>
      <c r="G12" s="8"/>
      <c r="I12" s="8"/>
      <c r="J12" t="str" cm="1">
        <f t="array" ref="J12">_xll.FDSC("-",I12,"PROPER_NAME")</f>
        <v>-</v>
      </c>
      <c r="K12" s="8"/>
    </row>
    <row r="13" spans="2:13" x14ac:dyDescent="0.25">
      <c r="C13" s="8" t="s">
        <v>10</v>
      </c>
      <c r="D13" t="str" cm="1">
        <f t="array" ref="D13">_xll.FDSC("-",C13,"PROPER_NAME")</f>
        <v>Deutsche Boerse AG</v>
      </c>
      <c r="E13" s="8" t="s">
        <v>12</v>
      </c>
      <c r="F13" t="str" cm="1">
        <f t="array" ref="F13">_xll.FDSC("-",E13,"PROPER_NAME")</f>
        <v>CTS Eventim AG &amp; Co. KGaA</v>
      </c>
      <c r="G13" s="8"/>
      <c r="I13" s="8"/>
      <c r="J13" t="str" cm="1">
        <f t="array" ref="J13">_xll.FDSC("-",I13,"PROPER_NAME")</f>
        <v>-</v>
      </c>
      <c r="K13" s="8"/>
    </row>
    <row r="14" spans="2:13" x14ac:dyDescent="0.25">
      <c r="C14" s="8" t="s">
        <v>15</v>
      </c>
      <c r="D14" t="str" cm="1">
        <f t="array" ref="D14">_xll.FDSC("-",C14,"PROPER_NAME")</f>
        <v>HDFC Bank Limited Sponsored ADR</v>
      </c>
      <c r="E14" s="8" t="s">
        <v>16</v>
      </c>
      <c r="F14" t="str" cm="1">
        <f t="array" ref="F14">_xll.FDSC("-",E14,"PROPER_NAME")</f>
        <v>B3 SA - Brasil, Bolsa, Balcao</v>
      </c>
      <c r="G14" s="8"/>
      <c r="I14" s="8"/>
      <c r="J14" t="str" cm="1">
        <f t="array" ref="J14">_xll.FDSC("-",I14,"PROPER_NAME")</f>
        <v>-</v>
      </c>
      <c r="K14" s="8"/>
    </row>
    <row r="15" spans="2:13" x14ac:dyDescent="0.25">
      <c r="C15" s="8" t="s">
        <v>40</v>
      </c>
      <c r="D15" t="str" cm="1">
        <f t="array" ref="D15">_xll.FDSC("-",C15,"PROPER_NAME")</f>
        <v>Compagnie Financiere Richemont SA</v>
      </c>
      <c r="E15" s="8" t="s">
        <v>41</v>
      </c>
      <c r="F15" t="str" cm="1">
        <f t="array" ref="F15">_xll.FDSC("-",E15,"PROPER_NAME")</f>
        <v>AstraZeneca PLC</v>
      </c>
      <c r="G15" s="8"/>
      <c r="I15" s="8"/>
      <c r="J15" t="str" cm="1">
        <f t="array" ref="J15">_xll.FDSC("-",I15,"PROPER_NAME")</f>
        <v>-</v>
      </c>
      <c r="K15" s="8"/>
    </row>
    <row r="16" spans="2:13" x14ac:dyDescent="0.25">
      <c r="C16" s="8" t="s">
        <v>11</v>
      </c>
      <c r="D16" t="str" cm="1">
        <f t="array" ref="D16">_xll.FDSC("-",C16,"PROPER_NAME")</f>
        <v>Safran SA</v>
      </c>
      <c r="E16" s="8" t="s">
        <v>21</v>
      </c>
      <c r="F16" t="str" cm="1">
        <f t="array" ref="F16">_xll.FDSC("-",E16,"PROPER_NAME")</f>
        <v>Roche Holding Ltd Dividend Right Cert.</v>
      </c>
      <c r="G16" s="8"/>
      <c r="I16" s="8"/>
      <c r="J16" t="str" cm="1">
        <f t="array" ref="J16">_xll.FDSC("-",I16,"PROPER_NAME")</f>
        <v>-</v>
      </c>
      <c r="K16" s="8"/>
    </row>
    <row r="17" spans="1:77" x14ac:dyDescent="0.25">
      <c r="C17" s="8" t="s">
        <v>42</v>
      </c>
      <c r="D17" t="str" cm="1">
        <f t="array" ref="D17">_xll.FDSC("-",C17,"PROPER_NAME")</f>
        <v>ConvaTec Group Plc</v>
      </c>
      <c r="E17" s="8" t="s">
        <v>43</v>
      </c>
      <c r="F17" t="str" cm="1">
        <f t="array" ref="F17">_xll.FDSC("-",E17,"PROPER_NAME")</f>
        <v>Keyence Corporation</v>
      </c>
      <c r="G17" s="8"/>
      <c r="I17" s="8"/>
      <c r="J17" t="str" cm="1">
        <f t="array" ref="J17">_xll.FDSC("-",I17,"PROPER_NAME")</f>
        <v>-</v>
      </c>
      <c r="K17" s="8"/>
    </row>
    <row r="18" spans="1:77" x14ac:dyDescent="0.25">
      <c r="C18" s="8" t="s">
        <v>19</v>
      </c>
      <c r="D18" t="str" cm="1">
        <f t="array" ref="D18">_xll.FDSC("-",C18,"PROPER_NAME")</f>
        <v>Rentokil Initial plc</v>
      </c>
      <c r="E18" s="8" t="s">
        <v>44</v>
      </c>
      <c r="F18" t="str" cm="1">
        <f t="array" ref="F18">_xll.FDSC("-",E18,"PROPER_NAME")</f>
        <v>ANTA Sports Products Ltd.</v>
      </c>
      <c r="G18" s="8"/>
      <c r="I18" s="8"/>
      <c r="J18" t="str" cm="1">
        <f t="array" ref="J18">_xll.FDSC("-",I18,"PROPER_NAME")</f>
        <v>-</v>
      </c>
      <c r="K18" s="8"/>
    </row>
    <row r="19" spans="1:77" x14ac:dyDescent="0.25">
      <c r="C19" s="8" t="s">
        <v>45</v>
      </c>
      <c r="D19" t="str" cm="1">
        <f t="array" ref="D19">_xll.FDSC("-",C19,"PROPER_NAME")</f>
        <v>Wolters Kluwer N.V.</v>
      </c>
      <c r="E19" s="8" t="s">
        <v>36</v>
      </c>
      <c r="F19" t="e" cm="1">
        <f t="array" ref="F19">_xll.FDSC("-",#REF!,"PROPER_NAME")</f>
        <v>#VALUE!</v>
      </c>
      <c r="G19" s="8"/>
      <c r="I19" s="8"/>
      <c r="J19" t="str" cm="1">
        <f t="array" ref="J19">_xll.FDSC("-",I19,"PROPER_NAME")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10/31/2024 and 10/31/2025:</v>
      </c>
    </row>
    <row r="27" spans="1:77" x14ac:dyDescent="0.25">
      <c r="B27" t="str" cm="1">
        <f t="array" ref="B27">_xll.FDSB("DUMMY","STRING_ARRAY IDS=TICKER_LIST('"&amp;_xlfn.TEXTJOIN(" ",TRUE,C5:C23,E5:E23,G5:G23)&amp;"');""FDS Code - Do Not Delete""")</f>
        <v>FDS CODE - DO NOT DELETE</v>
      </c>
      <c r="C27" t="str" cm="1">
        <f t="array" ref="C27">_xll.FDSB("DUMMY","FLOAT_ARRAY CORRELMATRIX=GET_FQL_ARRAY(IDS,'P_PRICE_RETURNS(0,"&amp;$C1&amp;","&amp;$C1&amp;"-"&amp;$C$2&amp;",D,USD)');'FDS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Taiwan Semiconductor Manufacturing Co., Ltd. Sponsored ADR</v>
      </c>
      <c r="D29" t="str" cm="1">
        <f t="array" ref="D29">_xll.FDS(D30,"FG_COMPANY_NAME")</f>
        <v>Howden Joinery Group PLC</v>
      </c>
      <c r="E29" t="str" cm="1">
        <f t="array" ref="E29">_xll.FDS(E30,"FG_COMPANY_NAME")</f>
        <v>London Stock Exchange Group plc</v>
      </c>
      <c r="F29" t="str" cm="1">
        <f t="array" ref="F29">_xll.FDS(F30,"FG_COMPANY_NAME")</f>
        <v>LVMH Moet Hennessy Louis Vuitton SE</v>
      </c>
      <c r="G29" t="str" cm="1">
        <f t="array" ref="G29">_xll.FDS(G30,"FG_COMPANY_NAME")</f>
        <v>ASML Holding NV</v>
      </c>
      <c r="H29" t="str" cm="1">
        <f t="array" ref="H29">_xll.FDS(H30,"FG_COMPANY_NAME")</f>
        <v>AIA Group Limited</v>
      </c>
      <c r="I29" t="str" cm="1">
        <f t="array" ref="I29">_xll.FDS(I30,"FG_COMPANY_NAME")</f>
        <v>Experian PLC</v>
      </c>
      <c r="J29" t="str" cm="1">
        <f t="array" ref="J29">_xll.FDS(J30,"FG_COMPANY_NAME")</f>
        <v>Airbus SE</v>
      </c>
      <c r="K29" t="str" cm="1">
        <f t="array" ref="K29">_xll.FDS(K30,"FG_COMPANY_NAME")</f>
        <v>Deutsche Boerse AG</v>
      </c>
      <c r="L29" t="str" cm="1">
        <f t="array" ref="L29">_xll.FDS(L30,"FG_COMPANY_NAME")</f>
        <v>HDFC Bank Limited Sponsored ADR</v>
      </c>
      <c r="M29" t="str" cm="1">
        <f t="array" ref="M29">_xll.FDS(M30,"FG_COMPANY_NAME")</f>
        <v>Compagnie Financiere Richemont SA</v>
      </c>
      <c r="N29" t="str" cm="1">
        <f t="array" ref="N29">_xll.FDS(N30,"FG_COMPANY_NAME")</f>
        <v>Safran SA</v>
      </c>
      <c r="O29" t="str" cm="1">
        <f t="array" ref="O29">_xll.FDS(O30,"FG_COMPANY_NAME")</f>
        <v>ConvaTec Group Plc</v>
      </c>
      <c r="P29" t="str" cm="1">
        <f t="array" ref="P29">_xll.FDS(P30,"FG_COMPANY_NAME")</f>
        <v>Rentokil Initial plc</v>
      </c>
      <c r="Q29" t="str" cm="1">
        <f t="array" ref="Q29">_xll.FDS(Q30,"FG_COMPANY_NAME")</f>
        <v>Wolters Kluwer N.V.</v>
      </c>
      <c r="R29" t="str" cm="1">
        <f t="array" ref="R29">_xll.FDS(R30,"FG_COMPANY_NAME")</f>
        <v>Booking Holdings Inc.</v>
      </c>
      <c r="S29" t="str" cm="1">
        <f t="array" ref="S29">_xll.FDS(S30,"FG_COMPANY_NAME")</f>
        <v>KONE Oyj Class B</v>
      </c>
      <c r="T29" t="str" cm="1">
        <f t="array" ref="T29">_xll.FDS(T30,"FG_COMPANY_NAME")</f>
        <v>NXP Semiconductors NV</v>
      </c>
      <c r="U29" t="str" cm="1">
        <f t="array" ref="U29">_xll.FDS(U30,"FG_COMPANY_NAME")</f>
        <v>PT Bank Rakyat Indonesia (Persero) Tbk Class B</v>
      </c>
      <c r="V29" t="str" cm="1">
        <f t="array" ref="V29">_xll.FDS(V30,"FG_COMPANY_NAME")</f>
        <v>Amadeus IT Group SA Class A</v>
      </c>
      <c r="W29" t="str" cm="1">
        <f t="array" ref="W29">_xll.FDS(W30,"FG_COMPANY_NAME")</f>
        <v>Atlas Copco AB Class B</v>
      </c>
      <c r="X29" t="str" cm="1">
        <f t="array" ref="X29">_xll.FDS(X30,"FG_COMPANY_NAME")</f>
        <v>Diageo plc</v>
      </c>
      <c r="Y29" t="str" cm="1">
        <f t="array" ref="Y29">_xll.FDS(Y30,"FG_COMPANY_NAME")</f>
        <v>Compass Group PLC</v>
      </c>
      <c r="Z29" t="str" cm="1">
        <f t="array" ref="Z29">_xll.FDS(Z30,"FG_COMPANY_NAME")</f>
        <v>CTS Eventim AG &amp; Co. KGaA</v>
      </c>
      <c r="AA29" t="str" cm="1">
        <f t="array" ref="AA29">_xll.FDS(AA30,"FG_COMPANY_NAME")</f>
        <v>B3 SA - Brasil, Bolsa, Balcao</v>
      </c>
      <c r="AB29" t="str" cm="1">
        <f t="array" ref="AB29">_xll.FDS(AB30,"FG_COMPANY_NAME")</f>
        <v>AstraZeneca PLC</v>
      </c>
      <c r="AC29" t="str" cm="1">
        <f t="array" ref="AC29">_xll.FDS(AC30,"FG_COMPANY_NAME")</f>
        <v>Roche Holding Ltd Dividend Right Cert.</v>
      </c>
      <c r="AD29" t="str" cm="1">
        <f t="array" ref="AD29">_xll.FDS(AD30,"FG_COMPANY_NAME")</f>
        <v>Keyence Corporation</v>
      </c>
      <c r="AE29" t="str" cm="1">
        <f t="array" ref="AE29">_xll.FDS(AE30,"FG_COMPANY_NAME")</f>
        <v>ANTA Sports Products Ltd.</v>
      </c>
      <c r="AF29" t="str" cm="1">
        <f t="array" ref="AF29">_xll.FDS(AF30,"FG_COMPANY_NAME")</f>
        <v>Universal Music Group N.V.</v>
      </c>
      <c r="AG29" t="str" cm="1">
        <f t="array" ref="AG29">_xll.FDS(AG30,"FG_COMPANY_NAME")</f>
        <v>Waste Connections, Inc.</v>
      </c>
      <c r="AH29" t="str" cm="1">
        <f t="array" ref="AH29">_xll.FDS(AH30,"FG_COMPANY_NAME")</f>
        <v>SAP SE</v>
      </c>
      <c r="AI29" t="str" cm="1">
        <f t="array" ref="AI29">_xll.FDS(AI30,"FG_COMPANY_NAME")</f>
        <v>Canadian National Railway Company</v>
      </c>
      <c r="AJ29" t="str" cm="1">
        <f t="array" ref="AJ29">_xll.FDS(AJ30,"FG_COMPANY_NAME")</f>
        <v>Shimano Inc.</v>
      </c>
      <c r="AK29" t="str" cm="1">
        <f t="array" ref="AK29">_xll.FDS(AK30,"FG_COMPANY_NAME")</f>
        <v>Tencent Holdings Ltd</v>
      </c>
    </row>
    <row r="30" spans="1:77" ht="15" customHeight="1" x14ac:dyDescent="0.25">
      <c r="C30" s="3" t="str" cm="1">
        <f t="array" ref="C30:AK30">_xll.FDSR(V27,"IDS")</f>
        <v>TSM-US</v>
      </c>
      <c r="D30" s="6" t="str">
        <v>HWDN-GB</v>
      </c>
      <c r="E30" s="6" t="str">
        <v>LSEG-GB</v>
      </c>
      <c r="F30" s="6" t="str">
        <v>MC-FR</v>
      </c>
      <c r="G30" s="6" t="str">
        <v>ASML-NL</v>
      </c>
      <c r="H30" s="6" t="str">
        <v>1299-HK</v>
      </c>
      <c r="I30" s="6" t="str">
        <v>EXPN-GB</v>
      </c>
      <c r="J30" s="6" t="str">
        <v>AIR-FR</v>
      </c>
      <c r="K30" s="6" t="str">
        <v>DB1-DE</v>
      </c>
      <c r="L30" s="6" t="str">
        <v>HDB-US</v>
      </c>
      <c r="M30" s="6" t="str">
        <v>CFR-CH</v>
      </c>
      <c r="N30" s="6" t="str">
        <v>SAF-FR</v>
      </c>
      <c r="O30" s="6" t="str">
        <v>CTEC-GB</v>
      </c>
      <c r="P30" s="6" t="str">
        <v>RTO-GB</v>
      </c>
      <c r="Q30" s="4" t="str">
        <v>WKL-NL</v>
      </c>
      <c r="R30" s="4" t="str">
        <v>BKNG-US</v>
      </c>
      <c r="S30" s="4" t="str">
        <v>KNEBV-FI</v>
      </c>
      <c r="T30" s="4" t="str">
        <v>NXPI-US</v>
      </c>
      <c r="U30" s="4" t="str">
        <v>BBRI-ID</v>
      </c>
      <c r="V30" s="4" t="str">
        <v>AMS-ES</v>
      </c>
      <c r="W30" s="4" t="str">
        <v>ATCO.B-SE</v>
      </c>
      <c r="X30" s="4" t="str">
        <v>DGE-GB</v>
      </c>
      <c r="Y30" s="4" t="str">
        <v>CPG-GB</v>
      </c>
      <c r="Z30" s="4" t="str">
        <v>EVD-DE</v>
      </c>
      <c r="AA30" s="4" t="str">
        <v>B3SA3-BR</v>
      </c>
      <c r="AB30" s="4" t="str">
        <v>AZN-GB</v>
      </c>
      <c r="AC30" s="4" t="str">
        <v>ROG-CH</v>
      </c>
      <c r="AD30" s="4" t="str">
        <v>6861-JP</v>
      </c>
      <c r="AE30" s="4" t="str">
        <v>2020-HK</v>
      </c>
      <c r="AF30" s="4" t="str">
        <v>UMG-NL</v>
      </c>
      <c r="AG30" s="4" t="str">
        <v>WCN-CA</v>
      </c>
      <c r="AH30" s="4" t="str">
        <v>SAP-DE</v>
      </c>
      <c r="AI30" s="4" t="str">
        <v>CNR-CA</v>
      </c>
      <c r="AJ30" s="4" t="str">
        <v>7309-JP</v>
      </c>
      <c r="AK30" s="4" t="str">
        <v>700-HK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Taiwan Semiconductor Manufacturing Co., Ltd. Sponsored ADR</v>
      </c>
      <c r="B31" s="4" t="str" cm="1">
        <f t="array" ref="B31:B65">_xll.FDSB(V23,"IDS")</f>
        <v>TSM-US</v>
      </c>
      <c r="C31" s="2" cm="1">
        <f t="array" ref="C31:AK65">_xll.FDSB("DUMMY","CORREL_MATRIX(CORRELMATRIX)")</f>
        <v>1</v>
      </c>
      <c r="D31" s="2">
        <v>0.20161019999999999</v>
      </c>
      <c r="E31" s="2">
        <v>3.5026130000000003E-2</v>
      </c>
      <c r="F31" s="2">
        <v>0.15074103999999999</v>
      </c>
      <c r="G31" s="2">
        <v>0.43766843999999999</v>
      </c>
      <c r="H31" s="2">
        <v>2.677071E-2</v>
      </c>
      <c r="I31" s="2">
        <v>0.22119902</v>
      </c>
      <c r="J31" s="2">
        <v>0.1352449</v>
      </c>
      <c r="K31" s="2">
        <v>-6.3635220000000006E-2</v>
      </c>
      <c r="L31" s="2">
        <v>0.17074868000000001</v>
      </c>
      <c r="M31" s="2">
        <v>0.2152212</v>
      </c>
      <c r="N31" s="2">
        <v>0.15628964000000001</v>
      </c>
      <c r="O31" s="2">
        <v>-3.5478589999999997E-2</v>
      </c>
      <c r="P31" s="2">
        <v>7.0999413999999997E-2</v>
      </c>
      <c r="Q31" s="2">
        <v>9.9104819999999996E-2</v>
      </c>
      <c r="R31" s="2">
        <v>0.36439993999999998</v>
      </c>
      <c r="S31" s="2">
        <v>0.11078909000000001</v>
      </c>
      <c r="T31" s="2">
        <v>0.5337269</v>
      </c>
      <c r="U31" s="2">
        <v>3.3159460000000002E-2</v>
      </c>
      <c r="V31" s="2">
        <v>0.15411235000000001</v>
      </c>
      <c r="W31" s="2">
        <v>0.28482165999999998</v>
      </c>
      <c r="X31" s="2">
        <v>-1.7763719000000001E-2</v>
      </c>
      <c r="Y31" s="2">
        <v>-5.0786274999999999E-2</v>
      </c>
      <c r="Z31" s="2">
        <v>5.2250039999999998E-2</v>
      </c>
      <c r="AA31" s="2">
        <v>0.20174116</v>
      </c>
      <c r="AB31" s="2">
        <v>-2.8641848000000001E-2</v>
      </c>
      <c r="AC31" s="2">
        <v>4.171445E-2</v>
      </c>
      <c r="AD31" s="2">
        <v>1.0977529E-2</v>
      </c>
      <c r="AE31" s="2">
        <v>6.2595955999999994E-2</v>
      </c>
      <c r="AF31" s="2">
        <v>5.9947733000000003E-2</v>
      </c>
      <c r="AG31" s="2">
        <v>-5.7924442E-2</v>
      </c>
      <c r="AH31" s="2">
        <v>0.21595953000000001</v>
      </c>
      <c r="AI31" s="2">
        <v>0.27851137999999998</v>
      </c>
      <c r="AJ31" s="2">
        <v>-8.1626384999999996E-2</v>
      </c>
      <c r="AK31" s="2">
        <v>0.119410895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Howden Joinery Group PLC</v>
      </c>
      <c r="B32" s="4" t="str">
        <v>HWDN-GB</v>
      </c>
      <c r="C32" s="2">
        <v>0.20161019999999999</v>
      </c>
      <c r="D32" s="2">
        <v>1</v>
      </c>
      <c r="E32" s="2">
        <v>0.17540178000000001</v>
      </c>
      <c r="F32" s="2">
        <v>0.22356512000000001</v>
      </c>
      <c r="G32" s="2">
        <v>0.30683179999999999</v>
      </c>
      <c r="H32" s="2">
        <v>0.14614476000000001</v>
      </c>
      <c r="I32" s="2">
        <v>0.49665759999999998</v>
      </c>
      <c r="J32" s="2">
        <v>0.3262835</v>
      </c>
      <c r="K32" s="2">
        <v>0.28594866000000002</v>
      </c>
      <c r="L32" s="2">
        <v>0.14904237000000001</v>
      </c>
      <c r="M32" s="2">
        <v>0.23510537000000001</v>
      </c>
      <c r="N32" s="2">
        <v>0.29358741999999999</v>
      </c>
      <c r="O32" s="2">
        <v>0.32923724999999998</v>
      </c>
      <c r="P32" s="2">
        <v>0.37215298000000002</v>
      </c>
      <c r="Q32" s="2">
        <v>0.28943178000000003</v>
      </c>
      <c r="R32" s="2">
        <v>-2.3529909999999999E-4</v>
      </c>
      <c r="S32" s="2">
        <v>0.40172525999999997</v>
      </c>
      <c r="T32" s="2">
        <v>0.13039854000000001</v>
      </c>
      <c r="U32" s="2">
        <v>0.17884493000000001</v>
      </c>
      <c r="V32" s="2">
        <v>0.40957919999999998</v>
      </c>
      <c r="W32" s="2">
        <v>0.42082858000000001</v>
      </c>
      <c r="X32" s="2">
        <v>0.36450263999999999</v>
      </c>
      <c r="Y32" s="2">
        <v>0.31964534999999999</v>
      </c>
      <c r="Z32" s="2">
        <v>0.18230126999999999</v>
      </c>
      <c r="AA32" s="2">
        <v>0.23213917000000001</v>
      </c>
      <c r="AB32" s="2">
        <v>0.28594144999999999</v>
      </c>
      <c r="AC32" s="2">
        <v>0.32737189999999999</v>
      </c>
      <c r="AD32" s="2">
        <v>0.24332624999999999</v>
      </c>
      <c r="AE32" s="2">
        <v>0.12904732999999999</v>
      </c>
      <c r="AF32" s="2">
        <v>0.33050661999999997</v>
      </c>
      <c r="AG32" s="2">
        <v>0.22935522</v>
      </c>
      <c r="AH32" s="2">
        <v>0.3507537</v>
      </c>
      <c r="AI32" s="2">
        <v>0.18346831</v>
      </c>
      <c r="AJ32" s="2">
        <v>0.14472235999999999</v>
      </c>
      <c r="AK32" s="2">
        <v>0.19459610999999999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London Stock Exchange Group plc</v>
      </c>
      <c r="B33" s="4" t="str">
        <v>LSEG-GB</v>
      </c>
      <c r="C33" s="2">
        <v>3.5026130000000003E-2</v>
      </c>
      <c r="D33" s="2">
        <v>0.17540178000000001</v>
      </c>
      <c r="E33" s="2">
        <v>1</v>
      </c>
      <c r="F33" s="2">
        <v>0.16511649</v>
      </c>
      <c r="G33" s="2">
        <v>0.21917817000000001</v>
      </c>
      <c r="H33" s="2">
        <v>0.1847714</v>
      </c>
      <c r="I33" s="2">
        <v>0.48770332</v>
      </c>
      <c r="J33" s="2">
        <v>0.32175112</v>
      </c>
      <c r="K33" s="2">
        <v>0.53971659999999999</v>
      </c>
      <c r="L33" s="2">
        <v>0.18840212000000001</v>
      </c>
      <c r="M33" s="2">
        <v>0.30338976000000001</v>
      </c>
      <c r="N33" s="2">
        <v>0.35225012999999999</v>
      </c>
      <c r="O33" s="2">
        <v>0.14029990000000001</v>
      </c>
      <c r="P33" s="2">
        <v>0.29590514000000001</v>
      </c>
      <c r="Q33" s="2">
        <v>0.35316809999999998</v>
      </c>
      <c r="R33" s="2">
        <v>4.6612892000000003E-2</v>
      </c>
      <c r="S33" s="2">
        <v>0.32373336000000003</v>
      </c>
      <c r="T33" s="2">
        <v>-7.8412109999999993E-2</v>
      </c>
      <c r="U33" s="2">
        <v>1.3674931E-3</v>
      </c>
      <c r="V33" s="2">
        <v>0.4160566</v>
      </c>
      <c r="W33" s="2">
        <v>0.32340597999999998</v>
      </c>
      <c r="X33" s="2">
        <v>0.23507639999999999</v>
      </c>
      <c r="Y33" s="2">
        <v>0.45000884000000002</v>
      </c>
      <c r="Z33" s="2">
        <v>0.23146549</v>
      </c>
      <c r="AA33" s="2">
        <v>7.4755260000000004E-2</v>
      </c>
      <c r="AB33" s="2">
        <v>0.31012016999999997</v>
      </c>
      <c r="AC33" s="2">
        <v>0.30358871999999998</v>
      </c>
      <c r="AD33" s="2">
        <v>0.24537939</v>
      </c>
      <c r="AE33" s="2">
        <v>0.18998166999999999</v>
      </c>
      <c r="AF33" s="2">
        <v>0.27119399999999999</v>
      </c>
      <c r="AG33" s="2">
        <v>0.20074508999999999</v>
      </c>
      <c r="AH33" s="2">
        <v>0.32113594000000001</v>
      </c>
      <c r="AI33" s="2">
        <v>8.7214940000000005E-2</v>
      </c>
      <c r="AJ33" s="2">
        <v>8.3997069999999993E-2</v>
      </c>
      <c r="AK33" s="2">
        <v>0.13332832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LVMH Moet Hennessy Louis Vuitton SE</v>
      </c>
      <c r="B34" s="4" t="str">
        <v>MC-FR</v>
      </c>
      <c r="C34" s="2">
        <v>0.15074103999999999</v>
      </c>
      <c r="D34" s="2">
        <v>0.22356512000000001</v>
      </c>
      <c r="E34" s="2">
        <v>0.16511649</v>
      </c>
      <c r="F34" s="2">
        <v>1</v>
      </c>
      <c r="G34" s="2">
        <v>0.35010865000000002</v>
      </c>
      <c r="H34" s="2">
        <v>0.20170840000000001</v>
      </c>
      <c r="I34" s="2">
        <v>0.33661871999999998</v>
      </c>
      <c r="J34" s="2">
        <v>0.32645160000000001</v>
      </c>
      <c r="K34" s="2">
        <v>0.15628089000000001</v>
      </c>
      <c r="L34" s="2">
        <v>6.8636760000000005E-2</v>
      </c>
      <c r="M34" s="2">
        <v>0.70846889999999996</v>
      </c>
      <c r="N34" s="2">
        <v>0.27011287</v>
      </c>
      <c r="O34" s="2">
        <v>7.8491690000000003E-2</v>
      </c>
      <c r="P34" s="2">
        <v>0.29810172000000001</v>
      </c>
      <c r="Q34" s="2">
        <v>0.10003305999999999</v>
      </c>
      <c r="R34" s="2">
        <v>-9.7645029999999994E-2</v>
      </c>
      <c r="S34" s="2">
        <v>0.30676824000000003</v>
      </c>
      <c r="T34" s="2">
        <v>0.13514708</v>
      </c>
      <c r="U34" s="2">
        <v>-9.747014E-3</v>
      </c>
      <c r="V34" s="2">
        <v>0.34320309999999998</v>
      </c>
      <c r="W34" s="2">
        <v>0.4921413</v>
      </c>
      <c r="X34" s="2">
        <v>0.40561318000000002</v>
      </c>
      <c r="Y34" s="2">
        <v>0.16791086999999999</v>
      </c>
      <c r="Z34" s="2">
        <v>0.14470026999999999</v>
      </c>
      <c r="AA34" s="2">
        <v>0.10905091</v>
      </c>
      <c r="AB34" s="2">
        <v>0.25670838000000001</v>
      </c>
      <c r="AC34" s="2">
        <v>0.28028268000000001</v>
      </c>
      <c r="AD34" s="2">
        <v>0.19160673</v>
      </c>
      <c r="AE34" s="2">
        <v>0.20442711</v>
      </c>
      <c r="AF34" s="2">
        <v>0.20559438999999999</v>
      </c>
      <c r="AG34" s="2">
        <v>-0.15405547999999999</v>
      </c>
      <c r="AH34" s="2">
        <v>0.30684644</v>
      </c>
      <c r="AI34" s="2">
        <v>0.22113459999999999</v>
      </c>
      <c r="AJ34" s="2">
        <v>0.13994803</v>
      </c>
      <c r="AK34" s="2">
        <v>0.20510608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ASML Holding NV</v>
      </c>
      <c r="B35" s="4" t="str">
        <v>ASML-NL</v>
      </c>
      <c r="C35" s="2">
        <v>0.43766843999999999</v>
      </c>
      <c r="D35" s="2">
        <v>0.30683179999999999</v>
      </c>
      <c r="E35" s="2">
        <v>0.21917817000000001</v>
      </c>
      <c r="F35" s="2">
        <v>0.35010865000000002</v>
      </c>
      <c r="G35" s="2">
        <v>1</v>
      </c>
      <c r="H35" s="2">
        <v>0.22254519</v>
      </c>
      <c r="I35" s="2">
        <v>0.37418604</v>
      </c>
      <c r="J35" s="2">
        <v>0.41915439999999998</v>
      </c>
      <c r="K35" s="2">
        <v>0.17269090000000001</v>
      </c>
      <c r="L35" s="2">
        <v>1.9289444999999999E-2</v>
      </c>
      <c r="M35" s="2">
        <v>0.41489258000000001</v>
      </c>
      <c r="N35" s="2">
        <v>0.40573340000000002</v>
      </c>
      <c r="O35" s="2">
        <v>0.1644987</v>
      </c>
      <c r="P35" s="2">
        <v>0.21461849</v>
      </c>
      <c r="Q35" s="2">
        <v>0.30673862000000002</v>
      </c>
      <c r="R35" s="2">
        <v>7.4357784999999996E-2</v>
      </c>
      <c r="S35" s="2">
        <v>0.2421671</v>
      </c>
      <c r="T35" s="2">
        <v>0.24486079999999999</v>
      </c>
      <c r="U35" s="2">
        <v>5.7967663000000003E-2</v>
      </c>
      <c r="V35" s="2">
        <v>0.35903629999999997</v>
      </c>
      <c r="W35" s="2">
        <v>0.55938076999999997</v>
      </c>
      <c r="X35" s="2">
        <v>0.15731986000000001</v>
      </c>
      <c r="Y35" s="2">
        <v>9.7432630000000006E-2</v>
      </c>
      <c r="Z35" s="2">
        <v>0.23764521</v>
      </c>
      <c r="AA35" s="2">
        <v>0.16382350000000001</v>
      </c>
      <c r="AB35" s="2">
        <v>0.2123797</v>
      </c>
      <c r="AC35" s="2">
        <v>0.24290254999999999</v>
      </c>
      <c r="AD35" s="2">
        <v>0.18717745999999999</v>
      </c>
      <c r="AE35" s="2">
        <v>0.15598329999999999</v>
      </c>
      <c r="AF35" s="2">
        <v>0.18944849</v>
      </c>
      <c r="AG35" s="2">
        <v>-6.5355289999999996E-2</v>
      </c>
      <c r="AH35" s="2">
        <v>0.47342970000000001</v>
      </c>
      <c r="AI35" s="2">
        <v>0.17918076999999999</v>
      </c>
      <c r="AJ35" s="2">
        <v>4.5715989999999998E-2</v>
      </c>
      <c r="AK35" s="2">
        <v>0.1861758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AIA Group Limited</v>
      </c>
      <c r="B36" s="4" t="str">
        <v>1299-HK</v>
      </c>
      <c r="C36" s="2">
        <v>2.677071E-2</v>
      </c>
      <c r="D36" s="2">
        <v>0.14614476000000001</v>
      </c>
      <c r="E36" s="2">
        <v>0.1847714</v>
      </c>
      <c r="F36" s="2">
        <v>0.20170840000000001</v>
      </c>
      <c r="G36" s="2">
        <v>0.22254519</v>
      </c>
      <c r="H36" s="2">
        <v>1</v>
      </c>
      <c r="I36" s="2">
        <v>0.23724120000000001</v>
      </c>
      <c r="J36" s="2">
        <v>0.21738803000000001</v>
      </c>
      <c r="K36" s="2">
        <v>0.17614497000000001</v>
      </c>
      <c r="L36" s="2">
        <v>1.4028702000000001E-2</v>
      </c>
      <c r="M36" s="2">
        <v>0.18631755999999999</v>
      </c>
      <c r="N36" s="2">
        <v>0.25867388000000002</v>
      </c>
      <c r="O36" s="2">
        <v>0.17275563999999999</v>
      </c>
      <c r="P36" s="2">
        <v>0.15560365000000001</v>
      </c>
      <c r="Q36" s="2">
        <v>5.3434570000000001E-2</v>
      </c>
      <c r="R36" s="2">
        <v>-8.8712639999999995E-2</v>
      </c>
      <c r="S36" s="2">
        <v>0.23671081999999999</v>
      </c>
      <c r="T36" s="2">
        <v>-3.7576653000000002E-2</v>
      </c>
      <c r="U36" s="2">
        <v>0.16169031</v>
      </c>
      <c r="V36" s="2">
        <v>0.21681729</v>
      </c>
      <c r="W36" s="2">
        <v>0.22150849</v>
      </c>
      <c r="X36" s="2">
        <v>0.22813876</v>
      </c>
      <c r="Y36" s="2">
        <v>0.16036934</v>
      </c>
      <c r="Z36" s="2">
        <v>9.8243059999999993E-2</v>
      </c>
      <c r="AA36" s="2">
        <v>-1.8170385000000001E-2</v>
      </c>
      <c r="AB36" s="2">
        <v>0.24254613</v>
      </c>
      <c r="AC36" s="2">
        <v>0.17184229000000001</v>
      </c>
      <c r="AD36" s="2">
        <v>0.19413637</v>
      </c>
      <c r="AE36" s="2">
        <v>0.40221404999999999</v>
      </c>
      <c r="AF36" s="2">
        <v>0.14313128999999999</v>
      </c>
      <c r="AG36" s="2">
        <v>-7.953433E-2</v>
      </c>
      <c r="AH36" s="2">
        <v>0.17199817000000001</v>
      </c>
      <c r="AI36" s="2">
        <v>6.0206904999999998E-2</v>
      </c>
      <c r="AJ36" s="2">
        <v>0.18960677000000001</v>
      </c>
      <c r="AK36" s="2">
        <v>0.56076990000000004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Experian PLC</v>
      </c>
      <c r="B37" s="4" t="str">
        <v>EXPN-GB</v>
      </c>
      <c r="C37" s="2">
        <v>0.22119902</v>
      </c>
      <c r="D37" s="2">
        <v>0.49665759999999998</v>
      </c>
      <c r="E37" s="2">
        <v>0.48770332</v>
      </c>
      <c r="F37" s="2">
        <v>0.33661871999999998</v>
      </c>
      <c r="G37" s="2">
        <v>0.37418604</v>
      </c>
      <c r="H37" s="2">
        <v>0.23724120000000001</v>
      </c>
      <c r="I37" s="2">
        <v>1</v>
      </c>
      <c r="J37" s="2">
        <v>0.43797891999999999</v>
      </c>
      <c r="K37" s="2">
        <v>0.46837106000000001</v>
      </c>
      <c r="L37" s="2">
        <v>0.17198086000000001</v>
      </c>
      <c r="M37" s="2">
        <v>0.44526672</v>
      </c>
      <c r="N37" s="2">
        <v>0.52336263999999999</v>
      </c>
      <c r="O37" s="2">
        <v>0.26455608000000003</v>
      </c>
      <c r="P37" s="2">
        <v>0.47416543999999999</v>
      </c>
      <c r="Q37" s="2">
        <v>0.48770439999999998</v>
      </c>
      <c r="R37" s="2">
        <v>3.8410387999999997E-2</v>
      </c>
      <c r="S37" s="2">
        <v>0.48443192000000002</v>
      </c>
      <c r="T37" s="2">
        <v>6.2211200000000001E-2</v>
      </c>
      <c r="U37" s="2">
        <v>8.7434129999999999E-2</v>
      </c>
      <c r="V37" s="2">
        <v>0.55571950000000003</v>
      </c>
      <c r="W37" s="2">
        <v>0.54004929999999995</v>
      </c>
      <c r="X37" s="2">
        <v>0.30304651999999999</v>
      </c>
      <c r="Y37" s="2">
        <v>0.49772919999999998</v>
      </c>
      <c r="Z37" s="2">
        <v>0.26397583000000002</v>
      </c>
      <c r="AA37" s="2">
        <v>0.18386828999999999</v>
      </c>
      <c r="AB37" s="2">
        <v>0.37367913000000003</v>
      </c>
      <c r="AC37" s="2">
        <v>0.42642437999999999</v>
      </c>
      <c r="AD37" s="2">
        <v>0.34322989999999998</v>
      </c>
      <c r="AE37" s="2">
        <v>0.20998578000000001</v>
      </c>
      <c r="AF37" s="2">
        <v>0.32206204999999999</v>
      </c>
      <c r="AG37" s="2">
        <v>0.22432532999999999</v>
      </c>
      <c r="AH37" s="2">
        <v>0.48908489999999999</v>
      </c>
      <c r="AI37" s="2">
        <v>0.10309423500000001</v>
      </c>
      <c r="AJ37" s="2">
        <v>0.15262116000000001</v>
      </c>
      <c r="AK37" s="2">
        <v>0.22183733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Airbus SE</v>
      </c>
      <c r="B38" s="4" t="str">
        <v>AIR-FR</v>
      </c>
      <c r="C38" s="2">
        <v>0.1352449</v>
      </c>
      <c r="D38" s="2">
        <v>0.3262835</v>
      </c>
      <c r="E38" s="2">
        <v>0.32175112</v>
      </c>
      <c r="F38" s="2">
        <v>0.32645160000000001</v>
      </c>
      <c r="G38" s="2">
        <v>0.41915439999999998</v>
      </c>
      <c r="H38" s="2">
        <v>0.21738803000000001</v>
      </c>
      <c r="I38" s="2">
        <v>0.43797891999999999</v>
      </c>
      <c r="J38" s="2">
        <v>1</v>
      </c>
      <c r="K38" s="2">
        <v>0.4713695</v>
      </c>
      <c r="L38" s="2">
        <v>2.1283152E-2</v>
      </c>
      <c r="M38" s="2">
        <v>0.40255373999999999</v>
      </c>
      <c r="N38" s="2">
        <v>0.73515487000000002</v>
      </c>
      <c r="O38" s="2">
        <v>0.17357950999999999</v>
      </c>
      <c r="P38" s="2">
        <v>0.32561793999999999</v>
      </c>
      <c r="Q38" s="2">
        <v>0.25978714000000003</v>
      </c>
      <c r="R38" s="2">
        <v>0.13363004000000001</v>
      </c>
      <c r="S38" s="2">
        <v>0.42794051999999999</v>
      </c>
      <c r="T38" s="2">
        <v>0.10217859</v>
      </c>
      <c r="U38" s="2">
        <v>0.17914937</v>
      </c>
      <c r="V38" s="2">
        <v>0.48358190000000001</v>
      </c>
      <c r="W38" s="2">
        <v>0.56594204999999997</v>
      </c>
      <c r="X38" s="2">
        <v>0.28415299999999999</v>
      </c>
      <c r="Y38" s="2">
        <v>0.31604058000000002</v>
      </c>
      <c r="Z38" s="2">
        <v>0.30752465000000001</v>
      </c>
      <c r="AA38" s="2">
        <v>0.13144164</v>
      </c>
      <c r="AB38" s="2">
        <v>0.32715309999999997</v>
      </c>
      <c r="AC38" s="2">
        <v>0.38833501999999998</v>
      </c>
      <c r="AD38" s="2">
        <v>0.28998689999999999</v>
      </c>
      <c r="AE38" s="2">
        <v>0.23161003999999999</v>
      </c>
      <c r="AF38" s="2">
        <v>0.22954237</v>
      </c>
      <c r="AG38" s="2">
        <v>5.9079114000000002E-2</v>
      </c>
      <c r="AH38" s="2">
        <v>0.55754150000000002</v>
      </c>
      <c r="AI38" s="2">
        <v>0.14176403000000001</v>
      </c>
      <c r="AJ38" s="2">
        <v>0.17432122999999999</v>
      </c>
      <c r="AK38" s="2">
        <v>0.27632000000000001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Deutsche Boerse AG</v>
      </c>
      <c r="B39" s="4" t="str">
        <v>DB1-DE</v>
      </c>
      <c r="C39" s="2">
        <v>-6.3635220000000006E-2</v>
      </c>
      <c r="D39" s="2">
        <v>0.28594866000000002</v>
      </c>
      <c r="E39" s="2">
        <v>0.53971659999999999</v>
      </c>
      <c r="F39" s="2">
        <v>0.15628089000000001</v>
      </c>
      <c r="G39" s="2">
        <v>0.17269090000000001</v>
      </c>
      <c r="H39" s="2">
        <v>0.17614497000000001</v>
      </c>
      <c r="I39" s="2">
        <v>0.46837106000000001</v>
      </c>
      <c r="J39" s="2">
        <v>0.4713695</v>
      </c>
      <c r="K39" s="2">
        <v>1</v>
      </c>
      <c r="L39" s="2">
        <v>0.23106072999999999</v>
      </c>
      <c r="M39" s="2">
        <v>0.27487147000000001</v>
      </c>
      <c r="N39" s="2">
        <v>0.4830332</v>
      </c>
      <c r="O39" s="2">
        <v>0.27653736000000001</v>
      </c>
      <c r="P39" s="2">
        <v>0.38787025000000003</v>
      </c>
      <c r="Q39" s="2">
        <v>0.4090742</v>
      </c>
      <c r="R39" s="2">
        <v>4.5077868E-2</v>
      </c>
      <c r="S39" s="2">
        <v>0.55055920000000003</v>
      </c>
      <c r="T39" s="2">
        <v>-0.10421717</v>
      </c>
      <c r="U39" s="2">
        <v>2.8936318999999999E-2</v>
      </c>
      <c r="V39" s="2">
        <v>0.54880899999999999</v>
      </c>
      <c r="W39" s="2">
        <v>0.38510957000000001</v>
      </c>
      <c r="X39" s="2">
        <v>0.28112524999999999</v>
      </c>
      <c r="Y39" s="2">
        <v>0.51898544999999996</v>
      </c>
      <c r="Z39" s="2">
        <v>0.38676909999999998</v>
      </c>
      <c r="AA39" s="2">
        <v>0.17852162999999999</v>
      </c>
      <c r="AB39" s="2">
        <v>0.35865834000000002</v>
      </c>
      <c r="AC39" s="2">
        <v>0.42152139999999999</v>
      </c>
      <c r="AD39" s="2">
        <v>0.28108692000000002</v>
      </c>
      <c r="AE39" s="2">
        <v>0.22214368000000001</v>
      </c>
      <c r="AF39" s="2">
        <v>0.34702739999999999</v>
      </c>
      <c r="AG39" s="2">
        <v>0.33293139999999999</v>
      </c>
      <c r="AH39" s="2">
        <v>0.40942347000000001</v>
      </c>
      <c r="AI39" s="2">
        <v>-6.8527880000000003E-3</v>
      </c>
      <c r="AJ39" s="2">
        <v>0.13194348</v>
      </c>
      <c r="AK39" s="2">
        <v>0.18057477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HDFC Bank Limited Sponsored ADR</v>
      </c>
      <c r="B40" s="4" t="str">
        <v>HDB-US</v>
      </c>
      <c r="C40" s="2">
        <v>0.17074868000000001</v>
      </c>
      <c r="D40" s="2">
        <v>0.14904237000000001</v>
      </c>
      <c r="E40" s="2">
        <v>0.18840212000000001</v>
      </c>
      <c r="F40" s="2">
        <v>6.8636760000000005E-2</v>
      </c>
      <c r="G40" s="2">
        <v>1.9289444999999999E-2</v>
      </c>
      <c r="H40" s="2">
        <v>1.4028702000000001E-2</v>
      </c>
      <c r="I40" s="2">
        <v>0.17198086000000001</v>
      </c>
      <c r="J40" s="2">
        <v>2.1283152E-2</v>
      </c>
      <c r="K40" s="2">
        <v>0.23106072999999999</v>
      </c>
      <c r="L40" s="2">
        <v>1</v>
      </c>
      <c r="M40" s="2">
        <v>8.3326769999999994E-2</v>
      </c>
      <c r="N40" s="2">
        <v>5.6771200000000001E-2</v>
      </c>
      <c r="O40" s="2">
        <v>5.8079749999999999E-2</v>
      </c>
      <c r="P40" s="2">
        <v>0.18360609</v>
      </c>
      <c r="Q40" s="2">
        <v>0.17455158000000001</v>
      </c>
      <c r="R40" s="2">
        <v>0.18917152000000001</v>
      </c>
      <c r="S40" s="2">
        <v>0.18431702</v>
      </c>
      <c r="T40" s="2">
        <v>0.13505623999999999</v>
      </c>
      <c r="U40" s="2">
        <v>-1.3575266000000001E-2</v>
      </c>
      <c r="V40" s="2">
        <v>0.22873541999999999</v>
      </c>
      <c r="W40" s="2">
        <v>0.11041714</v>
      </c>
      <c r="X40" s="2">
        <v>1.3671225E-2</v>
      </c>
      <c r="Y40" s="2">
        <v>0.23347448000000001</v>
      </c>
      <c r="Z40" s="2">
        <v>6.3540689999999997E-2</v>
      </c>
      <c r="AA40" s="2">
        <v>8.3173609999999995E-2</v>
      </c>
      <c r="AB40" s="2">
        <v>1.9612033000000001E-2</v>
      </c>
      <c r="AC40" s="2">
        <v>0.12091817000000001</v>
      </c>
      <c r="AD40" s="2">
        <v>8.2721379999999997E-2</v>
      </c>
      <c r="AE40" s="2">
        <v>0.11057860999999999</v>
      </c>
      <c r="AF40" s="2">
        <v>8.9926140000000002E-2</v>
      </c>
      <c r="AG40" s="2">
        <v>0.17917453</v>
      </c>
      <c r="AH40" s="2">
        <v>2.8851254E-2</v>
      </c>
      <c r="AI40" s="2">
        <v>0.24307356999999999</v>
      </c>
      <c r="AJ40" s="2">
        <v>6.7099350000000002E-2</v>
      </c>
      <c r="AK40" s="2">
        <v>3.7678320000000001E-2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Compagnie Financiere Richemont SA</v>
      </c>
      <c r="B41" s="4" t="str">
        <v>CFR-CH</v>
      </c>
      <c r="C41" s="2">
        <v>0.2152212</v>
      </c>
      <c r="D41" s="2">
        <v>0.23510537000000001</v>
      </c>
      <c r="E41" s="2">
        <v>0.30338976000000001</v>
      </c>
      <c r="F41" s="2">
        <v>0.70846889999999996</v>
      </c>
      <c r="G41" s="2">
        <v>0.41489258000000001</v>
      </c>
      <c r="H41" s="2">
        <v>0.18631755999999999</v>
      </c>
      <c r="I41" s="2">
        <v>0.44526672</v>
      </c>
      <c r="J41" s="2">
        <v>0.40255373999999999</v>
      </c>
      <c r="K41" s="2">
        <v>0.27487147000000001</v>
      </c>
      <c r="L41" s="2">
        <v>8.3326769999999994E-2</v>
      </c>
      <c r="M41" s="2">
        <v>1</v>
      </c>
      <c r="N41" s="2">
        <v>0.41831773999999999</v>
      </c>
      <c r="O41" s="2">
        <v>0.13529061000000001</v>
      </c>
      <c r="P41" s="2">
        <v>0.32694911999999998</v>
      </c>
      <c r="Q41" s="2">
        <v>0.21448971</v>
      </c>
      <c r="R41" s="2">
        <v>4.6811033000000002E-2</v>
      </c>
      <c r="S41" s="2">
        <v>0.34406522</v>
      </c>
      <c r="T41" s="2">
        <v>0.14146629999999999</v>
      </c>
      <c r="U41" s="2">
        <v>-9.6206260000000002E-3</v>
      </c>
      <c r="V41" s="2">
        <v>0.37477145000000001</v>
      </c>
      <c r="W41" s="2">
        <v>0.48767843999999999</v>
      </c>
      <c r="X41" s="2">
        <v>0.29353252000000002</v>
      </c>
      <c r="Y41" s="2">
        <v>0.27401540000000002</v>
      </c>
      <c r="Z41" s="2">
        <v>0.24078935000000001</v>
      </c>
      <c r="AA41" s="2">
        <v>0.17702334</v>
      </c>
      <c r="AB41" s="2">
        <v>0.27349554999999998</v>
      </c>
      <c r="AC41" s="2">
        <v>0.33680120000000002</v>
      </c>
      <c r="AD41" s="2">
        <v>0.2478021</v>
      </c>
      <c r="AE41" s="2">
        <v>0.18669213000000001</v>
      </c>
      <c r="AF41" s="2">
        <v>0.22483484000000001</v>
      </c>
      <c r="AG41" s="2">
        <v>1.5824562E-2</v>
      </c>
      <c r="AH41" s="2">
        <v>0.36020849999999999</v>
      </c>
      <c r="AI41" s="2">
        <v>0.22089727000000001</v>
      </c>
      <c r="AJ41" s="2">
        <v>0.10239949</v>
      </c>
      <c r="AK41" s="2">
        <v>0.16291605000000001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Safran SA</v>
      </c>
      <c r="B42" s="4" t="str">
        <v>SAF-FR</v>
      </c>
      <c r="C42" s="2">
        <v>0.15628964000000001</v>
      </c>
      <c r="D42" s="2">
        <v>0.29358741999999999</v>
      </c>
      <c r="E42" s="2">
        <v>0.35225012999999999</v>
      </c>
      <c r="F42" s="2">
        <v>0.27011287</v>
      </c>
      <c r="G42" s="2">
        <v>0.40573340000000002</v>
      </c>
      <c r="H42" s="2">
        <v>0.25867388000000002</v>
      </c>
      <c r="I42" s="2">
        <v>0.52336263999999999</v>
      </c>
      <c r="J42" s="2">
        <v>0.73515487000000002</v>
      </c>
      <c r="K42" s="2">
        <v>0.4830332</v>
      </c>
      <c r="L42" s="2">
        <v>5.6771200000000001E-2</v>
      </c>
      <c r="M42" s="2">
        <v>0.41831773999999999</v>
      </c>
      <c r="N42" s="2">
        <v>1</v>
      </c>
      <c r="O42" s="2">
        <v>0.18902901</v>
      </c>
      <c r="P42" s="2">
        <v>0.39085188999999998</v>
      </c>
      <c r="Q42" s="2">
        <v>0.31714049999999999</v>
      </c>
      <c r="R42" s="2">
        <v>0.1252096</v>
      </c>
      <c r="S42" s="2">
        <v>0.38150774999999998</v>
      </c>
      <c r="T42" s="2">
        <v>6.9976239999999995E-2</v>
      </c>
      <c r="U42" s="2">
        <v>0.14294280000000001</v>
      </c>
      <c r="V42" s="2">
        <v>0.50010215999999996</v>
      </c>
      <c r="W42" s="2">
        <v>0.54281380000000001</v>
      </c>
      <c r="X42" s="2">
        <v>0.12727374999999999</v>
      </c>
      <c r="Y42" s="2">
        <v>0.34924440000000001</v>
      </c>
      <c r="Z42" s="2">
        <v>0.28710538000000002</v>
      </c>
      <c r="AA42" s="2">
        <v>0.15232435</v>
      </c>
      <c r="AB42" s="2">
        <v>0.25245859999999998</v>
      </c>
      <c r="AC42" s="2">
        <v>0.3237911</v>
      </c>
      <c r="AD42" s="2">
        <v>0.30078157999999999</v>
      </c>
      <c r="AE42" s="2">
        <v>0.21304756</v>
      </c>
      <c r="AF42" s="2">
        <v>0.20800872000000001</v>
      </c>
      <c r="AG42" s="2">
        <v>0.1104657</v>
      </c>
      <c r="AH42" s="2">
        <v>0.54583000000000004</v>
      </c>
      <c r="AI42" s="2">
        <v>0.10563742</v>
      </c>
      <c r="AJ42" s="2">
        <v>0.19362850000000001</v>
      </c>
      <c r="AK42" s="2">
        <v>0.28667809999999999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ConvaTec Group Plc</v>
      </c>
      <c r="B43" s="4" t="str">
        <v>CTEC-GB</v>
      </c>
      <c r="C43" s="2">
        <v>-3.5478589999999997E-2</v>
      </c>
      <c r="D43" s="2">
        <v>0.32923724999999998</v>
      </c>
      <c r="E43" s="2">
        <v>0.14029990000000001</v>
      </c>
      <c r="F43" s="2">
        <v>7.8491690000000003E-2</v>
      </c>
      <c r="G43" s="2">
        <v>0.1644987</v>
      </c>
      <c r="H43" s="2">
        <v>0.17275563999999999</v>
      </c>
      <c r="I43" s="2">
        <v>0.26455608000000003</v>
      </c>
      <c r="J43" s="2">
        <v>0.17357950999999999</v>
      </c>
      <c r="K43" s="2">
        <v>0.27653736000000001</v>
      </c>
      <c r="L43" s="2">
        <v>5.8079749999999999E-2</v>
      </c>
      <c r="M43" s="2">
        <v>0.13529061000000001</v>
      </c>
      <c r="N43" s="2">
        <v>0.18902901</v>
      </c>
      <c r="O43" s="2">
        <v>1</v>
      </c>
      <c r="P43" s="2">
        <v>0.24446577999999999</v>
      </c>
      <c r="Q43" s="2">
        <v>0.19450429</v>
      </c>
      <c r="R43" s="2">
        <v>-2.4878790000000001E-2</v>
      </c>
      <c r="S43" s="2">
        <v>0.31752627999999999</v>
      </c>
      <c r="T43" s="2">
        <v>5.7256950000000003E-3</v>
      </c>
      <c r="U43" s="2">
        <v>0.15141890999999999</v>
      </c>
      <c r="V43" s="2">
        <v>0.26866916000000002</v>
      </c>
      <c r="W43" s="2">
        <v>0.24411368</v>
      </c>
      <c r="X43" s="2">
        <v>0.20336391000000001</v>
      </c>
      <c r="Y43" s="2">
        <v>0.22882959999999999</v>
      </c>
      <c r="Z43" s="2">
        <v>0.19629730000000001</v>
      </c>
      <c r="AA43" s="2">
        <v>0.13509624000000001</v>
      </c>
      <c r="AB43" s="2">
        <v>0.25951245000000001</v>
      </c>
      <c r="AC43" s="2">
        <v>0.30769202000000001</v>
      </c>
      <c r="AD43" s="2">
        <v>0.1891398</v>
      </c>
      <c r="AE43" s="2">
        <v>8.1055865000000005E-2</v>
      </c>
      <c r="AF43" s="2">
        <v>0.22136728</v>
      </c>
      <c r="AG43" s="2">
        <v>0.25529200000000002</v>
      </c>
      <c r="AH43" s="2">
        <v>0.25077411999999999</v>
      </c>
      <c r="AI43" s="2">
        <v>8.5949704000000002E-2</v>
      </c>
      <c r="AJ43" s="2">
        <v>0.25352131999999999</v>
      </c>
      <c r="AK43" s="2">
        <v>0.11454571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Rentokil Initial plc</v>
      </c>
      <c r="B44" s="4" t="str">
        <v>RTO-GB</v>
      </c>
      <c r="C44" s="2">
        <v>7.0999413999999997E-2</v>
      </c>
      <c r="D44" s="2">
        <v>0.37215298000000002</v>
      </c>
      <c r="E44" s="2">
        <v>0.29590514000000001</v>
      </c>
      <c r="F44" s="2">
        <v>0.29810172000000001</v>
      </c>
      <c r="G44" s="2">
        <v>0.21461849</v>
      </c>
      <c r="H44" s="2">
        <v>0.15560365000000001</v>
      </c>
      <c r="I44" s="2">
        <v>0.47416543999999999</v>
      </c>
      <c r="J44" s="2">
        <v>0.32561793999999999</v>
      </c>
      <c r="K44" s="2">
        <v>0.38787025000000003</v>
      </c>
      <c r="L44" s="2">
        <v>0.18360609</v>
      </c>
      <c r="M44" s="2">
        <v>0.32694911999999998</v>
      </c>
      <c r="N44" s="2">
        <v>0.39085188999999998</v>
      </c>
      <c r="O44" s="2">
        <v>0.24446577999999999</v>
      </c>
      <c r="P44" s="2">
        <v>1</v>
      </c>
      <c r="Q44" s="2">
        <v>0.28314096</v>
      </c>
      <c r="R44" s="2">
        <v>8.1365380000000001E-2</v>
      </c>
      <c r="S44" s="2">
        <v>0.38431457000000002</v>
      </c>
      <c r="T44" s="2">
        <v>-1.52962115E-2</v>
      </c>
      <c r="U44" s="2">
        <v>3.1218843999999999E-2</v>
      </c>
      <c r="V44" s="2">
        <v>0.42438856000000003</v>
      </c>
      <c r="W44" s="2">
        <v>0.3475067</v>
      </c>
      <c r="X44" s="2">
        <v>0.23204273</v>
      </c>
      <c r="Y44" s="2">
        <v>0.43162384999999998</v>
      </c>
      <c r="Z44" s="2">
        <v>0.24175680999999999</v>
      </c>
      <c r="AA44" s="2">
        <v>9.3963820000000003E-2</v>
      </c>
      <c r="AB44" s="2">
        <v>0.22936403999999999</v>
      </c>
      <c r="AC44" s="2">
        <v>0.27842106999999999</v>
      </c>
      <c r="AD44" s="2">
        <v>0.29685255999999999</v>
      </c>
      <c r="AE44" s="2">
        <v>0.10855271</v>
      </c>
      <c r="AF44" s="2">
        <v>0.26924542000000001</v>
      </c>
      <c r="AG44" s="2">
        <v>0.13867246</v>
      </c>
      <c r="AH44" s="2">
        <v>0.32868710000000001</v>
      </c>
      <c r="AI44" s="2">
        <v>8.2675219999999994E-2</v>
      </c>
      <c r="AJ44" s="2">
        <v>0.21141452999999999</v>
      </c>
      <c r="AK44" s="2">
        <v>0.17663783999999999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Wolters Kluwer N.V.</v>
      </c>
      <c r="B45" s="4" t="str">
        <v>WKL-NL</v>
      </c>
      <c r="C45" s="2">
        <v>9.9104819999999996E-2</v>
      </c>
      <c r="D45" s="2">
        <v>0.28943178000000003</v>
      </c>
      <c r="E45" s="2">
        <v>0.35316809999999998</v>
      </c>
      <c r="F45" s="2">
        <v>0.10003305999999999</v>
      </c>
      <c r="G45" s="2">
        <v>0.30673862000000002</v>
      </c>
      <c r="H45" s="2">
        <v>5.3434570000000001E-2</v>
      </c>
      <c r="I45" s="2">
        <v>0.48770439999999998</v>
      </c>
      <c r="J45" s="2">
        <v>0.25978714000000003</v>
      </c>
      <c r="K45" s="2">
        <v>0.4090742</v>
      </c>
      <c r="L45" s="2">
        <v>0.17455158000000001</v>
      </c>
      <c r="M45" s="2">
        <v>0.21448971</v>
      </c>
      <c r="N45" s="2">
        <v>0.31714049999999999</v>
      </c>
      <c r="O45" s="2">
        <v>0.19450429</v>
      </c>
      <c r="P45" s="2">
        <v>0.28314096</v>
      </c>
      <c r="Q45" s="2">
        <v>1</v>
      </c>
      <c r="R45" s="2">
        <v>7.4211460000000007E-2</v>
      </c>
      <c r="S45" s="2">
        <v>0.35418139999999998</v>
      </c>
      <c r="T45" s="2">
        <v>7.2134439999999994E-2</v>
      </c>
      <c r="U45" s="2">
        <v>8.2050239999999997E-2</v>
      </c>
      <c r="V45" s="2">
        <v>0.37443784000000002</v>
      </c>
      <c r="W45" s="2">
        <v>0.32674750000000002</v>
      </c>
      <c r="X45" s="2">
        <v>0.11479483</v>
      </c>
      <c r="Y45" s="2">
        <v>0.41029571999999997</v>
      </c>
      <c r="Z45" s="2">
        <v>0.30164340000000001</v>
      </c>
      <c r="AA45" s="2">
        <v>0.12585953</v>
      </c>
      <c r="AB45" s="2">
        <v>0.19305316</v>
      </c>
      <c r="AC45" s="2">
        <v>0.32065802999999998</v>
      </c>
      <c r="AD45" s="2">
        <v>0.24407799999999999</v>
      </c>
      <c r="AE45" s="2">
        <v>0.23117582</v>
      </c>
      <c r="AF45" s="2">
        <v>0.35293540000000001</v>
      </c>
      <c r="AG45" s="2">
        <v>0.23308714999999999</v>
      </c>
      <c r="AH45" s="2">
        <v>0.36547488</v>
      </c>
      <c r="AI45" s="2">
        <v>6.2133037000000002E-2</v>
      </c>
      <c r="AJ45" s="2">
        <v>9.4979220000000003E-2</v>
      </c>
      <c r="AK45" s="2">
        <v>5.3427767000000001E-2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Booking Holdings Inc.</v>
      </c>
      <c r="B46" s="4" t="str">
        <v>BKNG-US</v>
      </c>
      <c r="C46" s="2">
        <v>0.36439993999999998</v>
      </c>
      <c r="D46" s="2">
        <v>-2.3529909999999999E-4</v>
      </c>
      <c r="E46" s="2">
        <v>4.6612892000000003E-2</v>
      </c>
      <c r="F46" s="2">
        <v>-9.7645029999999994E-2</v>
      </c>
      <c r="G46" s="2">
        <v>7.4357784999999996E-2</v>
      </c>
      <c r="H46" s="2">
        <v>-8.8712639999999995E-2</v>
      </c>
      <c r="I46" s="2">
        <v>3.8410387999999997E-2</v>
      </c>
      <c r="J46" s="2">
        <v>0.13363004000000001</v>
      </c>
      <c r="K46" s="2">
        <v>4.5077868E-2</v>
      </c>
      <c r="L46" s="2">
        <v>0.18917152000000001</v>
      </c>
      <c r="M46" s="2">
        <v>4.6811033000000002E-2</v>
      </c>
      <c r="N46" s="2">
        <v>0.1252096</v>
      </c>
      <c r="O46" s="2">
        <v>-2.4878790000000001E-2</v>
      </c>
      <c r="P46" s="2">
        <v>8.1365380000000001E-2</v>
      </c>
      <c r="Q46" s="2">
        <v>7.4211460000000007E-2</v>
      </c>
      <c r="R46" s="2">
        <v>1</v>
      </c>
      <c r="S46" s="2">
        <v>1.9117519999999999E-2</v>
      </c>
      <c r="T46" s="2">
        <v>0.47180097999999998</v>
      </c>
      <c r="U46" s="2">
        <v>1.5641212000000002E-2</v>
      </c>
      <c r="V46" s="2">
        <v>0.11486694</v>
      </c>
      <c r="W46" s="2">
        <v>8.0712359999999997E-2</v>
      </c>
      <c r="X46" s="2">
        <v>-7.6526689999999994E-2</v>
      </c>
      <c r="Y46" s="2">
        <v>3.9223823999999997E-2</v>
      </c>
      <c r="Z46" s="2">
        <v>8.3811246000000006E-2</v>
      </c>
      <c r="AA46" s="2">
        <v>9.3088190000000001E-2</v>
      </c>
      <c r="AB46" s="2">
        <v>-0.12277892</v>
      </c>
      <c r="AC46" s="2">
        <v>-5.4725326999999997E-2</v>
      </c>
      <c r="AD46" s="2">
        <v>-1.2127049000000001E-2</v>
      </c>
      <c r="AE46" s="2">
        <v>5.5007394000000001E-2</v>
      </c>
      <c r="AF46" s="2">
        <v>1.1593699000000001E-2</v>
      </c>
      <c r="AG46" s="2">
        <v>0.25377119999999997</v>
      </c>
      <c r="AH46" s="2">
        <v>8.6272420000000002E-2</v>
      </c>
      <c r="AI46" s="2">
        <v>0.28895235000000002</v>
      </c>
      <c r="AJ46" s="2">
        <v>-0.1712775</v>
      </c>
      <c r="AK46" s="2">
        <v>5.4096166000000001E-2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KONE Oyj Class B</v>
      </c>
      <c r="B47" s="4" t="str">
        <v>KNEBV-FI</v>
      </c>
      <c r="C47" s="2">
        <v>0.11078909000000001</v>
      </c>
      <c r="D47" s="2">
        <v>0.40172525999999997</v>
      </c>
      <c r="E47" s="2">
        <v>0.32373336000000003</v>
      </c>
      <c r="F47" s="2">
        <v>0.30676824000000003</v>
      </c>
      <c r="G47" s="2">
        <v>0.2421671</v>
      </c>
      <c r="H47" s="2">
        <v>0.23671081999999999</v>
      </c>
      <c r="I47" s="2">
        <v>0.48443192000000002</v>
      </c>
      <c r="J47" s="2">
        <v>0.42794051999999999</v>
      </c>
      <c r="K47" s="2">
        <v>0.55055920000000003</v>
      </c>
      <c r="L47" s="2">
        <v>0.18431702</v>
      </c>
      <c r="M47" s="2">
        <v>0.34406522</v>
      </c>
      <c r="N47" s="2">
        <v>0.38150774999999998</v>
      </c>
      <c r="O47" s="2">
        <v>0.31752627999999999</v>
      </c>
      <c r="P47" s="2">
        <v>0.38431457000000002</v>
      </c>
      <c r="Q47" s="2">
        <v>0.35418139999999998</v>
      </c>
      <c r="R47" s="2">
        <v>1.9117519999999999E-2</v>
      </c>
      <c r="S47" s="2">
        <v>1</v>
      </c>
      <c r="T47" s="2">
        <v>5.2721508E-2</v>
      </c>
      <c r="U47" s="2">
        <v>0.13879712</v>
      </c>
      <c r="V47" s="2">
        <v>0.48324393999999998</v>
      </c>
      <c r="W47" s="2">
        <v>0.48309492999999998</v>
      </c>
      <c r="X47" s="2">
        <v>0.35271543</v>
      </c>
      <c r="Y47" s="2">
        <v>0.44321751999999998</v>
      </c>
      <c r="Z47" s="2">
        <v>0.28760263000000003</v>
      </c>
      <c r="AA47" s="2">
        <v>0.17558433000000001</v>
      </c>
      <c r="AB47" s="2">
        <v>0.30310609999999999</v>
      </c>
      <c r="AC47" s="2">
        <v>0.4268981</v>
      </c>
      <c r="AD47" s="2">
        <v>0.25044290000000002</v>
      </c>
      <c r="AE47" s="2">
        <v>0.22346146</v>
      </c>
      <c r="AF47" s="2">
        <v>0.35924970000000001</v>
      </c>
      <c r="AG47" s="2">
        <v>0.25364012000000002</v>
      </c>
      <c r="AH47" s="2">
        <v>0.30109494999999997</v>
      </c>
      <c r="AI47" s="2">
        <v>0.14071634</v>
      </c>
      <c r="AJ47" s="2">
        <v>0.24937627000000001</v>
      </c>
      <c r="AK47" s="2">
        <v>0.23989663999999999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NXP Semiconductors NV</v>
      </c>
      <c r="B48" s="4" t="str">
        <v>NXPI-US</v>
      </c>
      <c r="C48" s="2">
        <v>0.5337269</v>
      </c>
      <c r="D48" s="2">
        <v>0.13039854000000001</v>
      </c>
      <c r="E48" s="2">
        <v>-7.8412109999999993E-2</v>
      </c>
      <c r="F48" s="2">
        <v>0.13514708</v>
      </c>
      <c r="G48" s="2">
        <v>0.24486079999999999</v>
      </c>
      <c r="H48" s="2">
        <v>-3.7576653000000002E-2</v>
      </c>
      <c r="I48" s="2">
        <v>6.2211200000000001E-2</v>
      </c>
      <c r="J48" s="2">
        <v>0.10217859</v>
      </c>
      <c r="K48" s="2">
        <v>-0.10421717</v>
      </c>
      <c r="L48" s="2">
        <v>0.13505623999999999</v>
      </c>
      <c r="M48" s="2">
        <v>0.14146629999999999</v>
      </c>
      <c r="N48" s="2">
        <v>6.9976239999999995E-2</v>
      </c>
      <c r="O48" s="2">
        <v>5.7256950000000003E-3</v>
      </c>
      <c r="P48" s="2">
        <v>-1.52962115E-2</v>
      </c>
      <c r="Q48" s="2">
        <v>7.2134439999999994E-2</v>
      </c>
      <c r="R48" s="2">
        <v>0.47180097999999998</v>
      </c>
      <c r="S48" s="2">
        <v>5.2721508E-2</v>
      </c>
      <c r="T48" s="2">
        <v>1</v>
      </c>
      <c r="U48" s="2">
        <v>4.997468E-2</v>
      </c>
      <c r="V48" s="2">
        <v>6.4917355999999996E-2</v>
      </c>
      <c r="W48" s="2">
        <v>0.20589297000000001</v>
      </c>
      <c r="X48" s="2">
        <v>-1.6663283000000001E-2</v>
      </c>
      <c r="Y48" s="2">
        <v>-8.1428879999999995E-2</v>
      </c>
      <c r="Z48" s="2">
        <v>2.7303715999999999E-2</v>
      </c>
      <c r="AA48" s="2">
        <v>0.18159315000000001</v>
      </c>
      <c r="AB48" s="2">
        <v>-7.5408295E-2</v>
      </c>
      <c r="AC48" s="2">
        <v>-4.4936882000000001E-3</v>
      </c>
      <c r="AD48" s="2">
        <v>-7.4146210000000004E-2</v>
      </c>
      <c r="AE48" s="2">
        <v>0.106420085</v>
      </c>
      <c r="AF48" s="2">
        <v>8.4511383999999995E-2</v>
      </c>
      <c r="AG48" s="2">
        <v>7.8635969999999999E-2</v>
      </c>
      <c r="AH48" s="2">
        <v>9.8450399999999993E-2</v>
      </c>
      <c r="AI48" s="2">
        <v>0.45799685000000001</v>
      </c>
      <c r="AJ48" s="2">
        <v>-9.1191195000000003E-2</v>
      </c>
      <c r="AK48" s="2">
        <v>9.5930985999999996E-2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PT Bank Rakyat Indonesia (Persero) Tbk Class B</v>
      </c>
      <c r="B49" s="4" t="str">
        <v>BBRI-ID</v>
      </c>
      <c r="C49" s="2">
        <v>3.3159460000000002E-2</v>
      </c>
      <c r="D49" s="2">
        <v>0.17884493000000001</v>
      </c>
      <c r="E49" s="2">
        <v>1.3674931E-3</v>
      </c>
      <c r="F49" s="2">
        <v>-9.747014E-3</v>
      </c>
      <c r="G49" s="2">
        <v>5.7967663000000003E-2</v>
      </c>
      <c r="H49" s="2">
        <v>0.16169031</v>
      </c>
      <c r="I49" s="2">
        <v>8.7434129999999999E-2</v>
      </c>
      <c r="J49" s="2">
        <v>0.17914937</v>
      </c>
      <c r="K49" s="2">
        <v>2.8936318999999999E-2</v>
      </c>
      <c r="L49" s="2">
        <v>-1.3575266000000001E-2</v>
      </c>
      <c r="M49" s="2">
        <v>-9.6206260000000002E-3</v>
      </c>
      <c r="N49" s="2">
        <v>0.14294280000000001</v>
      </c>
      <c r="O49" s="2">
        <v>0.15141890999999999</v>
      </c>
      <c r="P49" s="2">
        <v>3.1218843999999999E-2</v>
      </c>
      <c r="Q49" s="2">
        <v>8.2050239999999997E-2</v>
      </c>
      <c r="R49" s="2">
        <v>1.5641212000000002E-2</v>
      </c>
      <c r="S49" s="2">
        <v>0.13879712</v>
      </c>
      <c r="T49" s="2">
        <v>4.997468E-2</v>
      </c>
      <c r="U49" s="2">
        <v>1</v>
      </c>
      <c r="V49" s="2">
        <v>7.4973139999999994E-2</v>
      </c>
      <c r="W49" s="2">
        <v>0.13517283999999999</v>
      </c>
      <c r="X49" s="2">
        <v>8.3341509999999994E-2</v>
      </c>
      <c r="Y49" s="2">
        <v>4.9943401999999998E-2</v>
      </c>
      <c r="Z49" s="2">
        <v>4.0087382999999997E-2</v>
      </c>
      <c r="AA49" s="2">
        <v>9.4666509999999995E-2</v>
      </c>
      <c r="AB49" s="2">
        <v>5.7683850000000002E-2</v>
      </c>
      <c r="AC49" s="2">
        <v>6.6507520000000001E-2</v>
      </c>
      <c r="AD49" s="2">
        <v>0.21283594</v>
      </c>
      <c r="AE49" s="2">
        <v>5.2847072000000002E-2</v>
      </c>
      <c r="AF49" s="2">
        <v>2.4662735000000002E-2</v>
      </c>
      <c r="AG49" s="2">
        <v>-1.0600371000000001E-2</v>
      </c>
      <c r="AH49" s="2">
        <v>0.16404078999999999</v>
      </c>
      <c r="AI49" s="2">
        <v>3.8051024000000003E-2</v>
      </c>
      <c r="AJ49" s="2">
        <v>0.13013668</v>
      </c>
      <c r="AK49" s="2">
        <v>0.16925551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Amadeus IT Group SA Class A</v>
      </c>
      <c r="B50" s="4" t="str">
        <v>AMS-ES</v>
      </c>
      <c r="C50" s="2">
        <v>0.15411235000000001</v>
      </c>
      <c r="D50" s="2">
        <v>0.40957919999999998</v>
      </c>
      <c r="E50" s="2">
        <v>0.4160566</v>
      </c>
      <c r="F50" s="2">
        <v>0.34320309999999998</v>
      </c>
      <c r="G50" s="2">
        <v>0.35903629999999997</v>
      </c>
      <c r="H50" s="2">
        <v>0.21681729</v>
      </c>
      <c r="I50" s="2">
        <v>0.55571950000000003</v>
      </c>
      <c r="J50" s="2">
        <v>0.48358190000000001</v>
      </c>
      <c r="K50" s="2">
        <v>0.54880899999999999</v>
      </c>
      <c r="L50" s="2">
        <v>0.22873541999999999</v>
      </c>
      <c r="M50" s="2">
        <v>0.37477145000000001</v>
      </c>
      <c r="N50" s="2">
        <v>0.50010215999999996</v>
      </c>
      <c r="O50" s="2">
        <v>0.26866916000000002</v>
      </c>
      <c r="P50" s="2">
        <v>0.42438856000000003</v>
      </c>
      <c r="Q50" s="2">
        <v>0.37443784000000002</v>
      </c>
      <c r="R50" s="2">
        <v>0.11486694</v>
      </c>
      <c r="S50" s="2">
        <v>0.48324393999999998</v>
      </c>
      <c r="T50" s="2">
        <v>6.4917355999999996E-2</v>
      </c>
      <c r="U50" s="2">
        <v>7.4973139999999994E-2</v>
      </c>
      <c r="V50" s="2">
        <v>1</v>
      </c>
      <c r="W50" s="2">
        <v>0.50107190000000001</v>
      </c>
      <c r="X50" s="2">
        <v>0.33401436000000001</v>
      </c>
      <c r="Y50" s="2">
        <v>0.46922487000000002</v>
      </c>
      <c r="Z50" s="2">
        <v>0.35409610000000002</v>
      </c>
      <c r="AA50" s="2">
        <v>0.19737974</v>
      </c>
      <c r="AB50" s="2">
        <v>0.39143270000000002</v>
      </c>
      <c r="AC50" s="2">
        <v>0.46033230000000003</v>
      </c>
      <c r="AD50" s="2">
        <v>0.34748404999999999</v>
      </c>
      <c r="AE50" s="2">
        <v>0.24459463000000001</v>
      </c>
      <c r="AF50" s="2">
        <v>0.33763219999999999</v>
      </c>
      <c r="AG50" s="2">
        <v>0.26628839999999998</v>
      </c>
      <c r="AH50" s="2">
        <v>0.46701737999999998</v>
      </c>
      <c r="AI50" s="2">
        <v>0.13644703999999999</v>
      </c>
      <c r="AJ50" s="2">
        <v>0.20154559999999999</v>
      </c>
      <c r="AK50" s="2">
        <v>0.21400744999999999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Atlas Copco AB Class B</v>
      </c>
      <c r="B51" s="4" t="str">
        <v>ATCO.B-SE</v>
      </c>
      <c r="C51" s="2">
        <v>0.28482165999999998</v>
      </c>
      <c r="D51" s="2">
        <v>0.42082858000000001</v>
      </c>
      <c r="E51" s="2">
        <v>0.32340597999999998</v>
      </c>
      <c r="F51" s="2">
        <v>0.4921413</v>
      </c>
      <c r="G51" s="2">
        <v>0.55938076999999997</v>
      </c>
      <c r="H51" s="2">
        <v>0.22150849</v>
      </c>
      <c r="I51" s="2">
        <v>0.54004929999999995</v>
      </c>
      <c r="J51" s="2">
        <v>0.56594204999999997</v>
      </c>
      <c r="K51" s="2">
        <v>0.38510957000000001</v>
      </c>
      <c r="L51" s="2">
        <v>0.11041714</v>
      </c>
      <c r="M51" s="2">
        <v>0.48767843999999999</v>
      </c>
      <c r="N51" s="2">
        <v>0.54281380000000001</v>
      </c>
      <c r="O51" s="2">
        <v>0.24411368</v>
      </c>
      <c r="P51" s="2">
        <v>0.3475067</v>
      </c>
      <c r="Q51" s="2">
        <v>0.32674750000000002</v>
      </c>
      <c r="R51" s="2">
        <v>8.0712359999999997E-2</v>
      </c>
      <c r="S51" s="2">
        <v>0.48309492999999998</v>
      </c>
      <c r="T51" s="2">
        <v>0.20589297000000001</v>
      </c>
      <c r="U51" s="2">
        <v>0.13517283999999999</v>
      </c>
      <c r="V51" s="2">
        <v>0.50107190000000001</v>
      </c>
      <c r="W51" s="2">
        <v>1</v>
      </c>
      <c r="X51" s="2">
        <v>0.35838700000000001</v>
      </c>
      <c r="Y51" s="2">
        <v>0.32076440000000001</v>
      </c>
      <c r="Z51" s="2">
        <v>0.30692365999999999</v>
      </c>
      <c r="AA51" s="2">
        <v>0.18999961000000001</v>
      </c>
      <c r="AB51" s="2">
        <v>0.34191870000000002</v>
      </c>
      <c r="AC51" s="2">
        <v>0.39844224</v>
      </c>
      <c r="AD51" s="2">
        <v>0.35925728000000001</v>
      </c>
      <c r="AE51" s="2">
        <v>0.25416096999999999</v>
      </c>
      <c r="AF51" s="2">
        <v>0.23686368999999999</v>
      </c>
      <c r="AG51" s="2">
        <v>-1.0164931E-2</v>
      </c>
      <c r="AH51" s="2">
        <v>0.51709276000000004</v>
      </c>
      <c r="AI51" s="2">
        <v>0.23379037</v>
      </c>
      <c r="AJ51" s="2">
        <v>0.18960334000000001</v>
      </c>
      <c r="AK51" s="2">
        <v>0.26728671999999998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Diageo plc</v>
      </c>
      <c r="B52" s="4" t="str">
        <v>DGE-GB</v>
      </c>
      <c r="C52" s="2">
        <v>-1.7763719000000001E-2</v>
      </c>
      <c r="D52" s="2">
        <v>0.36450263999999999</v>
      </c>
      <c r="E52" s="2">
        <v>0.23507639999999999</v>
      </c>
      <c r="F52" s="2">
        <v>0.40561318000000002</v>
      </c>
      <c r="G52" s="2">
        <v>0.15731986000000001</v>
      </c>
      <c r="H52" s="2">
        <v>0.22813876</v>
      </c>
      <c r="I52" s="2">
        <v>0.30304651999999999</v>
      </c>
      <c r="J52" s="2">
        <v>0.28415299999999999</v>
      </c>
      <c r="K52" s="2">
        <v>0.28112524999999999</v>
      </c>
      <c r="L52" s="2">
        <v>1.3671225E-2</v>
      </c>
      <c r="M52" s="2">
        <v>0.29353252000000002</v>
      </c>
      <c r="N52" s="2">
        <v>0.12727374999999999</v>
      </c>
      <c r="O52" s="2">
        <v>0.20336391000000001</v>
      </c>
      <c r="P52" s="2">
        <v>0.23204273</v>
      </c>
      <c r="Q52" s="2">
        <v>0.11479483</v>
      </c>
      <c r="R52" s="2">
        <v>-7.6526689999999994E-2</v>
      </c>
      <c r="S52" s="2">
        <v>0.35271543</v>
      </c>
      <c r="T52" s="2">
        <v>-1.6663283000000001E-2</v>
      </c>
      <c r="U52" s="2">
        <v>8.3341509999999994E-2</v>
      </c>
      <c r="V52" s="2">
        <v>0.33401436000000001</v>
      </c>
      <c r="W52" s="2">
        <v>0.35838700000000001</v>
      </c>
      <c r="X52" s="2">
        <v>1</v>
      </c>
      <c r="Y52" s="2">
        <v>0.27722868000000001</v>
      </c>
      <c r="Z52" s="2">
        <v>0.20266853000000001</v>
      </c>
      <c r="AA52" s="2">
        <v>0.11101738</v>
      </c>
      <c r="AB52" s="2">
        <v>0.36250972999999997</v>
      </c>
      <c r="AC52" s="2">
        <v>0.33255085000000001</v>
      </c>
      <c r="AD52" s="2">
        <v>0.20025006000000001</v>
      </c>
      <c r="AE52" s="2">
        <v>0.18445570999999999</v>
      </c>
      <c r="AF52" s="2">
        <v>0.25298540000000003</v>
      </c>
      <c r="AG52" s="2">
        <v>0.10309486</v>
      </c>
      <c r="AH52" s="2">
        <v>0.25752409999999998</v>
      </c>
      <c r="AI52" s="2">
        <v>0.13056427000000001</v>
      </c>
      <c r="AJ52" s="2">
        <v>0.13286468000000001</v>
      </c>
      <c r="AK52" s="2">
        <v>0.15268477999999999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Compass Group PLC</v>
      </c>
      <c r="B53" s="4" t="str">
        <v>CPG-GB</v>
      </c>
      <c r="C53" s="2">
        <v>-5.0786274999999999E-2</v>
      </c>
      <c r="D53" s="2">
        <v>0.31964534999999999</v>
      </c>
      <c r="E53" s="2">
        <v>0.45000884000000002</v>
      </c>
      <c r="F53" s="2">
        <v>0.16791086999999999</v>
      </c>
      <c r="G53" s="2">
        <v>9.7432630000000006E-2</v>
      </c>
      <c r="H53" s="2">
        <v>0.16036934</v>
      </c>
      <c r="I53" s="2">
        <v>0.49772919999999998</v>
      </c>
      <c r="J53" s="2">
        <v>0.31604058000000002</v>
      </c>
      <c r="K53" s="2">
        <v>0.51898544999999996</v>
      </c>
      <c r="L53" s="2">
        <v>0.23347448000000001</v>
      </c>
      <c r="M53" s="2">
        <v>0.27401540000000002</v>
      </c>
      <c r="N53" s="2">
        <v>0.34924440000000001</v>
      </c>
      <c r="O53" s="2">
        <v>0.22882959999999999</v>
      </c>
      <c r="P53" s="2">
        <v>0.43162384999999998</v>
      </c>
      <c r="Q53" s="2">
        <v>0.41029571999999997</v>
      </c>
      <c r="R53" s="2">
        <v>3.9223823999999997E-2</v>
      </c>
      <c r="S53" s="2">
        <v>0.44321751999999998</v>
      </c>
      <c r="T53" s="2">
        <v>-8.1428879999999995E-2</v>
      </c>
      <c r="U53" s="2">
        <v>4.9943401999999998E-2</v>
      </c>
      <c r="V53" s="2">
        <v>0.46922487000000002</v>
      </c>
      <c r="W53" s="2">
        <v>0.32076440000000001</v>
      </c>
      <c r="X53" s="2">
        <v>0.27722868000000001</v>
      </c>
      <c r="Y53" s="2">
        <v>1</v>
      </c>
      <c r="Z53" s="2">
        <v>0.26094434</v>
      </c>
      <c r="AA53" s="2">
        <v>6.2665810000000002E-2</v>
      </c>
      <c r="AB53" s="2">
        <v>0.36906763999999997</v>
      </c>
      <c r="AC53" s="2">
        <v>0.42985835999999999</v>
      </c>
      <c r="AD53" s="2">
        <v>0.27392474</v>
      </c>
      <c r="AE53" s="2">
        <v>0.19902798999999999</v>
      </c>
      <c r="AF53" s="2">
        <v>0.31384042000000001</v>
      </c>
      <c r="AG53" s="2">
        <v>0.31156139999999999</v>
      </c>
      <c r="AH53" s="2">
        <v>0.21280209999999999</v>
      </c>
      <c r="AI53" s="2">
        <v>2.8714867000000002E-2</v>
      </c>
      <c r="AJ53" s="2">
        <v>8.5260846000000001E-2</v>
      </c>
      <c r="AK53" s="2">
        <v>0.16420177999999999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CTS Eventim AG &amp; Co. KGaA</v>
      </c>
      <c r="B54" s="4" t="str">
        <v>EVD-DE</v>
      </c>
      <c r="C54" s="2">
        <v>5.2250039999999998E-2</v>
      </c>
      <c r="D54" s="2">
        <v>0.18230126999999999</v>
      </c>
      <c r="E54" s="2">
        <v>0.23146549</v>
      </c>
      <c r="F54" s="2">
        <v>0.14470026999999999</v>
      </c>
      <c r="G54" s="2">
        <v>0.23764521</v>
      </c>
      <c r="H54" s="2">
        <v>9.8243059999999993E-2</v>
      </c>
      <c r="I54" s="2">
        <v>0.26397583000000002</v>
      </c>
      <c r="J54" s="2">
        <v>0.30752465000000001</v>
      </c>
      <c r="K54" s="2">
        <v>0.38676909999999998</v>
      </c>
      <c r="L54" s="2">
        <v>6.3540689999999997E-2</v>
      </c>
      <c r="M54" s="2">
        <v>0.24078935000000001</v>
      </c>
      <c r="N54" s="2">
        <v>0.28710538000000002</v>
      </c>
      <c r="O54" s="2">
        <v>0.19629730000000001</v>
      </c>
      <c r="P54" s="2">
        <v>0.24175680999999999</v>
      </c>
      <c r="Q54" s="2">
        <v>0.30164340000000001</v>
      </c>
      <c r="R54" s="2">
        <v>8.3811246000000006E-2</v>
      </c>
      <c r="S54" s="2">
        <v>0.28760263000000003</v>
      </c>
      <c r="T54" s="2">
        <v>2.7303715999999999E-2</v>
      </c>
      <c r="U54" s="2">
        <v>4.0087382999999997E-2</v>
      </c>
      <c r="V54" s="2">
        <v>0.35409610000000002</v>
      </c>
      <c r="W54" s="2">
        <v>0.30692365999999999</v>
      </c>
      <c r="X54" s="2">
        <v>0.20266853000000001</v>
      </c>
      <c r="Y54" s="2">
        <v>0.26094434</v>
      </c>
      <c r="Z54" s="2">
        <v>1</v>
      </c>
      <c r="AA54" s="2">
        <v>0.10329190000000001</v>
      </c>
      <c r="AB54" s="2">
        <v>0.21138793</v>
      </c>
      <c r="AC54" s="2">
        <v>0.21866920000000001</v>
      </c>
      <c r="AD54" s="2">
        <v>0.21463935000000001</v>
      </c>
      <c r="AE54" s="2">
        <v>9.6411919999999998E-2</v>
      </c>
      <c r="AF54" s="2">
        <v>0.25076324</v>
      </c>
      <c r="AG54" s="2">
        <v>6.819944E-2</v>
      </c>
      <c r="AH54" s="2">
        <v>0.25568039999999997</v>
      </c>
      <c r="AI54" s="2">
        <v>-2.8452077999999999E-2</v>
      </c>
      <c r="AJ54" s="2">
        <v>8.0186350000000003E-2</v>
      </c>
      <c r="AK54" s="2">
        <v>0.13080644999999999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B3 SA - Brasil, Bolsa, Balcao</v>
      </c>
      <c r="B55" s="4" t="str">
        <v>B3SA3-BR</v>
      </c>
      <c r="C55" s="2">
        <v>0.20174116</v>
      </c>
      <c r="D55" s="2">
        <v>0.23213917000000001</v>
      </c>
      <c r="E55" s="2">
        <v>7.4755260000000004E-2</v>
      </c>
      <c r="F55" s="2">
        <v>0.10905091</v>
      </c>
      <c r="G55" s="2">
        <v>0.16382350000000001</v>
      </c>
      <c r="H55" s="2">
        <v>-1.8170385000000001E-2</v>
      </c>
      <c r="I55" s="2">
        <v>0.18386828999999999</v>
      </c>
      <c r="J55" s="2">
        <v>0.13144164</v>
      </c>
      <c r="K55" s="2">
        <v>0.17852162999999999</v>
      </c>
      <c r="L55" s="2">
        <v>8.3173609999999995E-2</v>
      </c>
      <c r="M55" s="2">
        <v>0.17702334</v>
      </c>
      <c r="N55" s="2">
        <v>0.15232435</v>
      </c>
      <c r="O55" s="2">
        <v>0.13509624000000001</v>
      </c>
      <c r="P55" s="2">
        <v>9.3963820000000003E-2</v>
      </c>
      <c r="Q55" s="2">
        <v>0.12585953</v>
      </c>
      <c r="R55" s="2">
        <v>9.3088190000000001E-2</v>
      </c>
      <c r="S55" s="2">
        <v>0.17558433000000001</v>
      </c>
      <c r="T55" s="2">
        <v>0.18159315000000001</v>
      </c>
      <c r="U55" s="2">
        <v>9.4666509999999995E-2</v>
      </c>
      <c r="V55" s="2">
        <v>0.19737974</v>
      </c>
      <c r="W55" s="2">
        <v>0.18999961000000001</v>
      </c>
      <c r="X55" s="2">
        <v>0.11101738</v>
      </c>
      <c r="Y55" s="2">
        <v>6.2665810000000002E-2</v>
      </c>
      <c r="Z55" s="2">
        <v>0.10329190000000001</v>
      </c>
      <c r="AA55" s="2">
        <v>1</v>
      </c>
      <c r="AB55" s="2">
        <v>4.9492814000000003E-2</v>
      </c>
      <c r="AC55" s="2">
        <v>4.7948009999999996E-3</v>
      </c>
      <c r="AD55" s="2">
        <v>0.10873049</v>
      </c>
      <c r="AE55" s="2">
        <v>4.0733921999999999E-2</v>
      </c>
      <c r="AF55" s="2">
        <v>7.9197149999999994E-2</v>
      </c>
      <c r="AG55" s="2">
        <v>9.6062289999999995E-2</v>
      </c>
      <c r="AH55" s="2">
        <v>0.14665088000000001</v>
      </c>
      <c r="AI55" s="2">
        <v>0.1305134</v>
      </c>
      <c r="AJ55" s="2">
        <v>-9.9255739999999995E-3</v>
      </c>
      <c r="AK55" s="2">
        <v>0.14552775000000001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AstraZeneca PLC</v>
      </c>
      <c r="B56" s="4" t="str">
        <v>AZN-GB</v>
      </c>
      <c r="C56" s="2">
        <v>-2.8641848000000001E-2</v>
      </c>
      <c r="D56" s="2">
        <v>0.28594144999999999</v>
      </c>
      <c r="E56" s="2">
        <v>0.31012016999999997</v>
      </c>
      <c r="F56" s="2">
        <v>0.25670838000000001</v>
      </c>
      <c r="G56" s="2">
        <v>0.2123797</v>
      </c>
      <c r="H56" s="2">
        <v>0.24254613</v>
      </c>
      <c r="I56" s="2">
        <v>0.37367913000000003</v>
      </c>
      <c r="J56" s="2">
        <v>0.32715309999999997</v>
      </c>
      <c r="K56" s="2">
        <v>0.35865834000000002</v>
      </c>
      <c r="L56" s="2">
        <v>1.9612033000000001E-2</v>
      </c>
      <c r="M56" s="2">
        <v>0.27349554999999998</v>
      </c>
      <c r="N56" s="2">
        <v>0.25245859999999998</v>
      </c>
      <c r="O56" s="2">
        <v>0.25951245000000001</v>
      </c>
      <c r="P56" s="2">
        <v>0.22936403999999999</v>
      </c>
      <c r="Q56" s="2">
        <v>0.19305316</v>
      </c>
      <c r="R56" s="2">
        <v>-0.12277892</v>
      </c>
      <c r="S56" s="2">
        <v>0.30310609999999999</v>
      </c>
      <c r="T56" s="2">
        <v>-7.5408295E-2</v>
      </c>
      <c r="U56" s="2">
        <v>5.7683850000000002E-2</v>
      </c>
      <c r="V56" s="2">
        <v>0.39143270000000002</v>
      </c>
      <c r="W56" s="2">
        <v>0.34191870000000002</v>
      </c>
      <c r="X56" s="2">
        <v>0.36250972999999997</v>
      </c>
      <c r="Y56" s="2">
        <v>0.36906763999999997</v>
      </c>
      <c r="Z56" s="2">
        <v>0.21138793</v>
      </c>
      <c r="AA56" s="2">
        <v>4.9492814000000003E-2</v>
      </c>
      <c r="AB56" s="2">
        <v>1</v>
      </c>
      <c r="AC56" s="2">
        <v>0.7138852</v>
      </c>
      <c r="AD56" s="2">
        <v>0.28774260000000002</v>
      </c>
      <c r="AE56" s="2">
        <v>0.13285092000000001</v>
      </c>
      <c r="AF56" s="2">
        <v>0.25280320000000001</v>
      </c>
      <c r="AG56" s="2">
        <v>0.13558584000000001</v>
      </c>
      <c r="AH56" s="2">
        <v>0.26800707000000001</v>
      </c>
      <c r="AI56" s="2">
        <v>-2.124181E-2</v>
      </c>
      <c r="AJ56" s="2">
        <v>7.9548900000000006E-2</v>
      </c>
      <c r="AK56" s="2">
        <v>0.17336765000000001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Roche Holding Ltd Dividend Right Cert.</v>
      </c>
      <c r="B57" s="4" t="str">
        <v>ROG-CH</v>
      </c>
      <c r="C57" s="2">
        <v>4.171445E-2</v>
      </c>
      <c r="D57" s="2">
        <v>0.32737189999999999</v>
      </c>
      <c r="E57" s="2">
        <v>0.30358871999999998</v>
      </c>
      <c r="F57" s="2">
        <v>0.28028268000000001</v>
      </c>
      <c r="G57" s="2">
        <v>0.24290254999999999</v>
      </c>
      <c r="H57" s="2">
        <v>0.17184229000000001</v>
      </c>
      <c r="I57" s="2">
        <v>0.42642437999999999</v>
      </c>
      <c r="J57" s="2">
        <v>0.38833501999999998</v>
      </c>
      <c r="K57" s="2">
        <v>0.42152139999999999</v>
      </c>
      <c r="L57" s="2">
        <v>0.12091817000000001</v>
      </c>
      <c r="M57" s="2">
        <v>0.33680120000000002</v>
      </c>
      <c r="N57" s="2">
        <v>0.3237911</v>
      </c>
      <c r="O57" s="2">
        <v>0.30769202000000001</v>
      </c>
      <c r="P57" s="2">
        <v>0.27842106999999999</v>
      </c>
      <c r="Q57" s="2">
        <v>0.32065802999999998</v>
      </c>
      <c r="R57" s="2">
        <v>-5.4725326999999997E-2</v>
      </c>
      <c r="S57" s="2">
        <v>0.4268981</v>
      </c>
      <c r="T57" s="2">
        <v>-4.4936882000000001E-3</v>
      </c>
      <c r="U57" s="2">
        <v>6.6507520000000001E-2</v>
      </c>
      <c r="V57" s="2">
        <v>0.46033230000000003</v>
      </c>
      <c r="W57" s="2">
        <v>0.39844224</v>
      </c>
      <c r="X57" s="2">
        <v>0.33255085000000001</v>
      </c>
      <c r="Y57" s="2">
        <v>0.42985835999999999</v>
      </c>
      <c r="Z57" s="2">
        <v>0.21866920000000001</v>
      </c>
      <c r="AA57" s="2">
        <v>4.7948009999999996E-3</v>
      </c>
      <c r="AB57" s="2">
        <v>0.7138852</v>
      </c>
      <c r="AC57" s="2">
        <v>1</v>
      </c>
      <c r="AD57" s="2">
        <v>0.3309725</v>
      </c>
      <c r="AE57" s="2">
        <v>0.19470198</v>
      </c>
      <c r="AF57" s="2">
        <v>0.33717503999999998</v>
      </c>
      <c r="AG57" s="2">
        <v>0.20538429999999999</v>
      </c>
      <c r="AH57" s="2">
        <v>0.31169486000000002</v>
      </c>
      <c r="AI57" s="2">
        <v>8.7133749999999996E-2</v>
      </c>
      <c r="AJ57" s="2">
        <v>0.15707094999999999</v>
      </c>
      <c r="AK57" s="2">
        <v>0.138961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t="str" cm="1">
        <f t="array" ref="A58">_xll.FDS(B58,"FG_COMPANY_NAME")</f>
        <v>Keyence Corporation</v>
      </c>
      <c r="B58" s="4" t="str">
        <v>6861-JP</v>
      </c>
      <c r="C58" s="2">
        <v>1.0977529E-2</v>
      </c>
      <c r="D58" s="2">
        <v>0.24332624999999999</v>
      </c>
      <c r="E58" s="2">
        <v>0.24537939</v>
      </c>
      <c r="F58" s="2">
        <v>0.19160673</v>
      </c>
      <c r="G58" s="2">
        <v>0.18717745999999999</v>
      </c>
      <c r="H58" s="2">
        <v>0.19413637</v>
      </c>
      <c r="I58" s="2">
        <v>0.34322989999999998</v>
      </c>
      <c r="J58" s="2">
        <v>0.28998689999999999</v>
      </c>
      <c r="K58" s="2">
        <v>0.28108692000000002</v>
      </c>
      <c r="L58" s="2">
        <v>8.2721379999999997E-2</v>
      </c>
      <c r="M58" s="2">
        <v>0.2478021</v>
      </c>
      <c r="N58" s="2">
        <v>0.30078157999999999</v>
      </c>
      <c r="O58" s="2">
        <v>0.1891398</v>
      </c>
      <c r="P58" s="2">
        <v>0.29685255999999999</v>
      </c>
      <c r="Q58" s="2">
        <v>0.24407799999999999</v>
      </c>
      <c r="R58" s="2">
        <v>-1.2127049000000001E-2</v>
      </c>
      <c r="S58" s="2">
        <v>0.25044290000000002</v>
      </c>
      <c r="T58" s="2">
        <v>-7.4146210000000004E-2</v>
      </c>
      <c r="U58" s="2">
        <v>0.21283594</v>
      </c>
      <c r="V58" s="2">
        <v>0.34748404999999999</v>
      </c>
      <c r="W58" s="2">
        <v>0.35925728000000001</v>
      </c>
      <c r="X58" s="2">
        <v>0.20025006000000001</v>
      </c>
      <c r="Y58" s="2">
        <v>0.27392474</v>
      </c>
      <c r="Z58" s="2">
        <v>0.21463935000000001</v>
      </c>
      <c r="AA58" s="2">
        <v>0.10873049</v>
      </c>
      <c r="AB58" s="2">
        <v>0.28774260000000002</v>
      </c>
      <c r="AC58" s="2">
        <v>0.3309725</v>
      </c>
      <c r="AD58" s="2">
        <v>1</v>
      </c>
      <c r="AE58" s="2">
        <v>0.17898272000000001</v>
      </c>
      <c r="AF58" s="2">
        <v>9.6530210000000005E-2</v>
      </c>
      <c r="AG58" s="2">
        <v>1.6723460999999998E-2</v>
      </c>
      <c r="AH58" s="2">
        <v>0.20272683999999999</v>
      </c>
      <c r="AI58" s="2">
        <v>-6.2314469999999997E-2</v>
      </c>
      <c r="AJ58" s="2">
        <v>0.44326632999999999</v>
      </c>
      <c r="AK58" s="2">
        <v>0.17801748000000001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t="str" cm="1">
        <f t="array" ref="A59">_xll.FDS(B59,"FG_COMPANY_NAME")</f>
        <v>ANTA Sports Products Ltd.</v>
      </c>
      <c r="B59" s="4" t="str">
        <v>2020-HK</v>
      </c>
      <c r="C59" s="2">
        <v>6.2595955999999994E-2</v>
      </c>
      <c r="D59" s="2">
        <v>0.12904732999999999</v>
      </c>
      <c r="E59" s="2">
        <v>0.18998166999999999</v>
      </c>
      <c r="F59" s="2">
        <v>0.20442711</v>
      </c>
      <c r="G59" s="2">
        <v>0.15598329999999999</v>
      </c>
      <c r="H59" s="2">
        <v>0.40221404999999999</v>
      </c>
      <c r="I59" s="2">
        <v>0.20998578000000001</v>
      </c>
      <c r="J59" s="2">
        <v>0.23161003999999999</v>
      </c>
      <c r="K59" s="2">
        <v>0.22214368000000001</v>
      </c>
      <c r="L59" s="2">
        <v>0.11057860999999999</v>
      </c>
      <c r="M59" s="2">
        <v>0.18669213000000001</v>
      </c>
      <c r="N59" s="2">
        <v>0.21304756</v>
      </c>
      <c r="O59" s="2">
        <v>8.1055865000000005E-2</v>
      </c>
      <c r="P59" s="2">
        <v>0.10855271</v>
      </c>
      <c r="Q59" s="2">
        <v>0.23117582</v>
      </c>
      <c r="R59" s="2">
        <v>5.5007394000000001E-2</v>
      </c>
      <c r="S59" s="2">
        <v>0.22346146</v>
      </c>
      <c r="T59" s="2">
        <v>0.106420085</v>
      </c>
      <c r="U59" s="2">
        <v>5.2847072000000002E-2</v>
      </c>
      <c r="V59" s="2">
        <v>0.24459463000000001</v>
      </c>
      <c r="W59" s="2">
        <v>0.25416096999999999</v>
      </c>
      <c r="X59" s="2">
        <v>0.18445570999999999</v>
      </c>
      <c r="Y59" s="2">
        <v>0.19902798999999999</v>
      </c>
      <c r="Z59" s="2">
        <v>9.6411919999999998E-2</v>
      </c>
      <c r="AA59" s="2">
        <v>4.0733921999999999E-2</v>
      </c>
      <c r="AB59" s="2">
        <v>0.13285092000000001</v>
      </c>
      <c r="AC59" s="2">
        <v>0.19470198</v>
      </c>
      <c r="AD59" s="2">
        <v>0.17898272000000001</v>
      </c>
      <c r="AE59" s="2">
        <v>1</v>
      </c>
      <c r="AF59" s="2">
        <v>0.1116133</v>
      </c>
      <c r="AG59" s="2">
        <v>8.2582659999999998E-4</v>
      </c>
      <c r="AH59" s="2">
        <v>0.16492105000000001</v>
      </c>
      <c r="AI59" s="2">
        <v>9.2415010000000006E-2</v>
      </c>
      <c r="AJ59" s="2">
        <v>9.1334424999999997E-2</v>
      </c>
      <c r="AK59" s="2">
        <v>0.50216760000000005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t="str" cm="1">
        <f t="array" ref="A60">_xll.FDS(B60,"FG_COMPANY_NAME")</f>
        <v>Universal Music Group N.V.</v>
      </c>
      <c r="B60" s="4" t="str">
        <v>UMG-NL</v>
      </c>
      <c r="C60" s="2">
        <v>5.9947733000000003E-2</v>
      </c>
      <c r="D60" s="2">
        <v>0.33050661999999997</v>
      </c>
      <c r="E60" s="2">
        <v>0.27119399999999999</v>
      </c>
      <c r="F60" s="2">
        <v>0.20559438999999999</v>
      </c>
      <c r="G60" s="2">
        <v>0.18944849</v>
      </c>
      <c r="H60" s="2">
        <v>0.14313128999999999</v>
      </c>
      <c r="I60" s="2">
        <v>0.32206204999999999</v>
      </c>
      <c r="J60" s="2">
        <v>0.22954237</v>
      </c>
      <c r="K60" s="2">
        <v>0.34702739999999999</v>
      </c>
      <c r="L60" s="2">
        <v>8.9926140000000002E-2</v>
      </c>
      <c r="M60" s="2">
        <v>0.22483484000000001</v>
      </c>
      <c r="N60" s="2">
        <v>0.20800872000000001</v>
      </c>
      <c r="O60" s="2">
        <v>0.22136728</v>
      </c>
      <c r="P60" s="2">
        <v>0.26924542000000001</v>
      </c>
      <c r="Q60" s="2">
        <v>0.35293540000000001</v>
      </c>
      <c r="R60" s="2">
        <v>1.1593699000000001E-2</v>
      </c>
      <c r="S60" s="2">
        <v>0.35924970000000001</v>
      </c>
      <c r="T60" s="2">
        <v>8.4511383999999995E-2</v>
      </c>
      <c r="U60" s="2">
        <v>2.4662735000000002E-2</v>
      </c>
      <c r="V60" s="2">
        <v>0.33763219999999999</v>
      </c>
      <c r="W60" s="2">
        <v>0.23686368999999999</v>
      </c>
      <c r="X60" s="2">
        <v>0.25298540000000003</v>
      </c>
      <c r="Y60" s="2">
        <v>0.31384042000000001</v>
      </c>
      <c r="Z60" s="2">
        <v>0.25076324</v>
      </c>
      <c r="AA60" s="2">
        <v>7.9197149999999994E-2</v>
      </c>
      <c r="AB60" s="2">
        <v>0.25280320000000001</v>
      </c>
      <c r="AC60" s="2">
        <v>0.33717503999999998</v>
      </c>
      <c r="AD60" s="2">
        <v>9.6530210000000005E-2</v>
      </c>
      <c r="AE60" s="2">
        <v>0.1116133</v>
      </c>
      <c r="AF60" s="2">
        <v>1</v>
      </c>
      <c r="AG60" s="2">
        <v>0.17546323</v>
      </c>
      <c r="AH60" s="2">
        <v>0.21205031999999999</v>
      </c>
      <c r="AI60" s="2">
        <v>4.3994739999999997E-2</v>
      </c>
      <c r="AJ60" s="2">
        <v>9.6909549999999997E-2</v>
      </c>
      <c r="AK60" s="2">
        <v>9.1883729999999997E-2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t="str" cm="1">
        <f t="array" ref="A61">_xll.FDS(B61,"FG_COMPANY_NAME")</f>
        <v>Waste Connections, Inc.</v>
      </c>
      <c r="B61" s="4" t="str">
        <v>WCN-CA</v>
      </c>
      <c r="C61" s="2">
        <v>-5.7924442E-2</v>
      </c>
      <c r="D61" s="2">
        <v>0.22935522</v>
      </c>
      <c r="E61" s="2">
        <v>0.20074508999999999</v>
      </c>
      <c r="F61" s="2">
        <v>-0.15405547999999999</v>
      </c>
      <c r="G61" s="2">
        <v>-6.5355289999999996E-2</v>
      </c>
      <c r="H61" s="2">
        <v>-7.953433E-2</v>
      </c>
      <c r="I61" s="2">
        <v>0.22432532999999999</v>
      </c>
      <c r="J61" s="2">
        <v>5.9079114000000002E-2</v>
      </c>
      <c r="K61" s="2">
        <v>0.33293139999999999</v>
      </c>
      <c r="L61" s="2">
        <v>0.17917453</v>
      </c>
      <c r="M61" s="2">
        <v>1.5824562E-2</v>
      </c>
      <c r="N61" s="2">
        <v>0.1104657</v>
      </c>
      <c r="O61" s="2">
        <v>0.25529200000000002</v>
      </c>
      <c r="P61" s="2">
        <v>0.13867246</v>
      </c>
      <c r="Q61" s="2">
        <v>0.23308714999999999</v>
      </c>
      <c r="R61" s="2">
        <v>0.25377119999999997</v>
      </c>
      <c r="S61" s="2">
        <v>0.25364012000000002</v>
      </c>
      <c r="T61" s="2">
        <v>7.8635969999999999E-2</v>
      </c>
      <c r="U61" s="2">
        <v>-1.0600371000000001E-2</v>
      </c>
      <c r="V61" s="2">
        <v>0.26628839999999998</v>
      </c>
      <c r="W61" s="2">
        <v>-1.0164931E-2</v>
      </c>
      <c r="X61" s="2">
        <v>0.10309486</v>
      </c>
      <c r="Y61" s="2">
        <v>0.31156139999999999</v>
      </c>
      <c r="Z61" s="2">
        <v>6.819944E-2</v>
      </c>
      <c r="AA61" s="2">
        <v>9.6062289999999995E-2</v>
      </c>
      <c r="AB61" s="2">
        <v>0.13558584000000001</v>
      </c>
      <c r="AC61" s="2">
        <v>0.20538429999999999</v>
      </c>
      <c r="AD61" s="2">
        <v>1.6723460999999998E-2</v>
      </c>
      <c r="AE61" s="2">
        <v>8.2582659999999998E-4</v>
      </c>
      <c r="AF61" s="2">
        <v>0.17546323</v>
      </c>
      <c r="AG61" s="2">
        <v>1</v>
      </c>
      <c r="AH61" s="2">
        <v>0.122618124</v>
      </c>
      <c r="AI61" s="2">
        <v>9.1164850000000006E-2</v>
      </c>
      <c r="AJ61" s="2">
        <v>-1.8513257000000002E-2</v>
      </c>
      <c r="AK61" s="2">
        <v>-0.10113665500000001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t="str" cm="1">
        <f t="array" ref="A62">_xll.FDS(B62,"FG_COMPANY_NAME")</f>
        <v>SAP SE</v>
      </c>
      <c r="B62" s="4" t="str">
        <v>SAP-DE</v>
      </c>
      <c r="C62" s="2">
        <v>0.21595953000000001</v>
      </c>
      <c r="D62" s="2">
        <v>0.3507537</v>
      </c>
      <c r="E62" s="2">
        <v>0.32113594000000001</v>
      </c>
      <c r="F62" s="2">
        <v>0.30684644</v>
      </c>
      <c r="G62" s="2">
        <v>0.47342970000000001</v>
      </c>
      <c r="H62" s="2">
        <v>0.17199817000000001</v>
      </c>
      <c r="I62" s="2">
        <v>0.48908489999999999</v>
      </c>
      <c r="J62" s="2">
        <v>0.55754150000000002</v>
      </c>
      <c r="K62" s="2">
        <v>0.40942347000000001</v>
      </c>
      <c r="L62" s="2">
        <v>2.8851254E-2</v>
      </c>
      <c r="M62" s="2">
        <v>0.36020849999999999</v>
      </c>
      <c r="N62" s="2">
        <v>0.54583000000000004</v>
      </c>
      <c r="O62" s="2">
        <v>0.25077411999999999</v>
      </c>
      <c r="P62" s="2">
        <v>0.32868710000000001</v>
      </c>
      <c r="Q62" s="2">
        <v>0.36547488</v>
      </c>
      <c r="R62" s="2">
        <v>8.6272420000000002E-2</v>
      </c>
      <c r="S62" s="2">
        <v>0.30109494999999997</v>
      </c>
      <c r="T62" s="2">
        <v>9.8450399999999993E-2</v>
      </c>
      <c r="U62" s="2">
        <v>0.16404078999999999</v>
      </c>
      <c r="V62" s="2">
        <v>0.46701737999999998</v>
      </c>
      <c r="W62" s="2">
        <v>0.51709276000000004</v>
      </c>
      <c r="X62" s="2">
        <v>0.25752409999999998</v>
      </c>
      <c r="Y62" s="2">
        <v>0.21280209999999999</v>
      </c>
      <c r="Z62" s="2">
        <v>0.25568039999999997</v>
      </c>
      <c r="AA62" s="2">
        <v>0.14665088000000001</v>
      </c>
      <c r="AB62" s="2">
        <v>0.26800707000000001</v>
      </c>
      <c r="AC62" s="2">
        <v>0.31169486000000002</v>
      </c>
      <c r="AD62" s="2">
        <v>0.20272683999999999</v>
      </c>
      <c r="AE62" s="2">
        <v>0.16492105000000001</v>
      </c>
      <c r="AF62" s="2">
        <v>0.21205031999999999</v>
      </c>
      <c r="AG62" s="2">
        <v>0.122618124</v>
      </c>
      <c r="AH62" s="2">
        <v>1</v>
      </c>
      <c r="AI62" s="2">
        <v>0.15522352</v>
      </c>
      <c r="AJ62" s="2">
        <v>8.9223659999999996E-2</v>
      </c>
      <c r="AK62" s="2">
        <v>0.18899372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A63" t="str" cm="1">
        <f t="array" ref="A63">_xll.FDS(B63,"FG_COMPANY_NAME")</f>
        <v>Canadian National Railway Company</v>
      </c>
      <c r="B63" s="4" t="str">
        <v>CNR-CA</v>
      </c>
      <c r="C63" s="2">
        <v>0.27851137999999998</v>
      </c>
      <c r="D63" s="2">
        <v>0.18346831</v>
      </c>
      <c r="E63" s="2">
        <v>8.7214940000000005E-2</v>
      </c>
      <c r="F63" s="2">
        <v>0.22113459999999999</v>
      </c>
      <c r="G63" s="2">
        <v>0.17918076999999999</v>
      </c>
      <c r="H63" s="2">
        <v>6.0206904999999998E-2</v>
      </c>
      <c r="I63" s="2">
        <v>0.10309423500000001</v>
      </c>
      <c r="J63" s="2">
        <v>0.14176403000000001</v>
      </c>
      <c r="K63" s="2">
        <v>-6.8527880000000003E-3</v>
      </c>
      <c r="L63" s="2">
        <v>0.24307356999999999</v>
      </c>
      <c r="M63" s="2">
        <v>0.22089727000000001</v>
      </c>
      <c r="N63" s="2">
        <v>0.10563742</v>
      </c>
      <c r="O63" s="2">
        <v>8.5949704000000002E-2</v>
      </c>
      <c r="P63" s="2">
        <v>8.2675219999999994E-2</v>
      </c>
      <c r="Q63" s="2">
        <v>6.2133037000000002E-2</v>
      </c>
      <c r="R63" s="2">
        <v>0.28895235000000002</v>
      </c>
      <c r="S63" s="2">
        <v>0.14071634</v>
      </c>
      <c r="T63" s="2">
        <v>0.45799685000000001</v>
      </c>
      <c r="U63" s="2">
        <v>3.8051024000000003E-2</v>
      </c>
      <c r="V63" s="2">
        <v>0.13644703999999999</v>
      </c>
      <c r="W63" s="2">
        <v>0.23379037</v>
      </c>
      <c r="X63" s="2">
        <v>0.13056427000000001</v>
      </c>
      <c r="Y63" s="2">
        <v>2.8714867000000002E-2</v>
      </c>
      <c r="Z63" s="2">
        <v>-2.8452077999999999E-2</v>
      </c>
      <c r="AA63" s="2">
        <v>0.1305134</v>
      </c>
      <c r="AB63" s="2">
        <v>-2.124181E-2</v>
      </c>
      <c r="AC63" s="2">
        <v>8.7133749999999996E-2</v>
      </c>
      <c r="AD63" s="2">
        <v>-6.2314469999999997E-2</v>
      </c>
      <c r="AE63" s="2">
        <v>9.2415010000000006E-2</v>
      </c>
      <c r="AF63" s="2">
        <v>4.3994739999999997E-2</v>
      </c>
      <c r="AG63" s="2">
        <v>9.1164850000000006E-2</v>
      </c>
      <c r="AH63" s="2">
        <v>0.15522352</v>
      </c>
      <c r="AI63" s="2">
        <v>1</v>
      </c>
      <c r="AJ63" s="2">
        <v>-8.0344150000000003E-2</v>
      </c>
      <c r="AK63" s="2">
        <v>9.0565026000000007E-2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A64" t="str" cm="1">
        <f t="array" ref="A64">_xll.FDS(B64,"FG_COMPANY_NAME")</f>
        <v>Shimano Inc.</v>
      </c>
      <c r="B64" s="4" t="str">
        <v>7309-JP</v>
      </c>
      <c r="C64" s="2">
        <v>-8.1626384999999996E-2</v>
      </c>
      <c r="D64" s="2">
        <v>0.14472235999999999</v>
      </c>
      <c r="E64" s="2">
        <v>8.3997069999999993E-2</v>
      </c>
      <c r="F64" s="2">
        <v>0.13994803</v>
      </c>
      <c r="G64" s="2">
        <v>4.5715989999999998E-2</v>
      </c>
      <c r="H64" s="2">
        <v>0.18960677000000001</v>
      </c>
      <c r="I64" s="2">
        <v>0.15262116000000001</v>
      </c>
      <c r="J64" s="2">
        <v>0.17432122999999999</v>
      </c>
      <c r="K64" s="2">
        <v>0.13194348</v>
      </c>
      <c r="L64" s="2">
        <v>6.7099350000000002E-2</v>
      </c>
      <c r="M64" s="2">
        <v>0.10239949</v>
      </c>
      <c r="N64" s="2">
        <v>0.19362850000000001</v>
      </c>
      <c r="O64" s="2">
        <v>0.25352131999999999</v>
      </c>
      <c r="P64" s="2">
        <v>0.21141452999999999</v>
      </c>
      <c r="Q64" s="2">
        <v>9.4979220000000003E-2</v>
      </c>
      <c r="R64" s="2">
        <v>-0.1712775</v>
      </c>
      <c r="S64" s="2">
        <v>0.24937627000000001</v>
      </c>
      <c r="T64" s="2">
        <v>-9.1191195000000003E-2</v>
      </c>
      <c r="U64" s="2">
        <v>0.13013668</v>
      </c>
      <c r="V64" s="2">
        <v>0.20154559999999999</v>
      </c>
      <c r="W64" s="2">
        <v>0.18960334000000001</v>
      </c>
      <c r="X64" s="2">
        <v>0.13286468000000001</v>
      </c>
      <c r="Y64" s="2">
        <v>8.5260846000000001E-2</v>
      </c>
      <c r="Z64" s="2">
        <v>8.0186350000000003E-2</v>
      </c>
      <c r="AA64" s="2">
        <v>-9.9255739999999995E-3</v>
      </c>
      <c r="AB64" s="2">
        <v>7.9548900000000006E-2</v>
      </c>
      <c r="AC64" s="2">
        <v>0.15707094999999999</v>
      </c>
      <c r="AD64" s="2">
        <v>0.44326632999999999</v>
      </c>
      <c r="AE64" s="2">
        <v>9.1334424999999997E-2</v>
      </c>
      <c r="AF64" s="2">
        <v>9.6909549999999997E-2</v>
      </c>
      <c r="AG64" s="2">
        <v>-1.8513257000000002E-2</v>
      </c>
      <c r="AH64" s="2">
        <v>8.9223659999999996E-2</v>
      </c>
      <c r="AI64" s="2">
        <v>-8.0344150000000003E-2</v>
      </c>
      <c r="AJ64" s="2">
        <v>1</v>
      </c>
      <c r="AK64" s="2">
        <v>0.18539235000000001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25">
      <c r="A65" t="str" cm="1">
        <f t="array" ref="A65">_xll.FDS(B65,"FG_COMPANY_NAME")</f>
        <v>Tencent Holdings Ltd</v>
      </c>
      <c r="B65" s="4" t="str">
        <v>700-HK</v>
      </c>
      <c r="C65" s="2">
        <v>0.119410895</v>
      </c>
      <c r="D65" s="2">
        <v>0.19459610999999999</v>
      </c>
      <c r="E65" s="2">
        <v>0.13332832</v>
      </c>
      <c r="F65" s="2">
        <v>0.20510608</v>
      </c>
      <c r="G65" s="2">
        <v>0.1861758</v>
      </c>
      <c r="H65" s="2">
        <v>0.56076990000000004</v>
      </c>
      <c r="I65" s="2">
        <v>0.22183733</v>
      </c>
      <c r="J65" s="2">
        <v>0.27632000000000001</v>
      </c>
      <c r="K65" s="2">
        <v>0.18057477</v>
      </c>
      <c r="L65" s="2">
        <v>3.7678320000000001E-2</v>
      </c>
      <c r="M65" s="2">
        <v>0.16291605000000001</v>
      </c>
      <c r="N65" s="2">
        <v>0.28667809999999999</v>
      </c>
      <c r="O65" s="2">
        <v>0.11454571</v>
      </c>
      <c r="P65" s="2">
        <v>0.17663783999999999</v>
      </c>
      <c r="Q65" s="2">
        <v>5.3427767000000001E-2</v>
      </c>
      <c r="R65" s="2">
        <v>5.4096166000000001E-2</v>
      </c>
      <c r="S65" s="2">
        <v>0.23989663999999999</v>
      </c>
      <c r="T65" s="2">
        <v>9.5930985999999996E-2</v>
      </c>
      <c r="U65" s="2">
        <v>0.16925551</v>
      </c>
      <c r="V65" s="2">
        <v>0.21400744999999999</v>
      </c>
      <c r="W65" s="2">
        <v>0.26728671999999998</v>
      </c>
      <c r="X65" s="2">
        <v>0.15268477999999999</v>
      </c>
      <c r="Y65" s="2">
        <v>0.16420177999999999</v>
      </c>
      <c r="Z65" s="2">
        <v>0.13080644999999999</v>
      </c>
      <c r="AA65" s="2">
        <v>0.14552775000000001</v>
      </c>
      <c r="AB65" s="2">
        <v>0.17336765000000001</v>
      </c>
      <c r="AC65" s="2">
        <v>0.138961</v>
      </c>
      <c r="AD65" s="2">
        <v>0.17801748000000001</v>
      </c>
      <c r="AE65" s="2">
        <v>0.50216760000000005</v>
      </c>
      <c r="AF65" s="2">
        <v>9.1883729999999997E-2</v>
      </c>
      <c r="AG65" s="2">
        <v>-0.10113665500000001</v>
      </c>
      <c r="AH65" s="2">
        <v>0.18899372</v>
      </c>
      <c r="AI65" s="2">
        <v>9.0565026000000007E-2</v>
      </c>
      <c r="AJ65" s="2">
        <v>0.18539235000000001</v>
      </c>
      <c r="AK65" s="2">
        <v>1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1:H1263"/>
  <sheetViews>
    <sheetView workbookViewId="0"/>
  </sheetViews>
  <sheetFormatPr defaultRowHeight="15" x14ac:dyDescent="0.25"/>
  <cols>
    <col min="1" max="1" width="10.5703125" customWidth="1"/>
    <col min="2" max="2" width="13.42578125" customWidth="1"/>
    <col min="8" max="8" width="7.7109375" bestFit="1" customWidth="1"/>
  </cols>
  <sheetData>
    <row r="1" spans="1:8" x14ac:dyDescent="0.25">
      <c r="A1" s="13" t="str" cm="1">
        <f t="array" ref="A1">_xll.FDS("","PSETCAL(""NAY"",,""NAME"")")</f>
        <v>calendar: United States</v>
      </c>
    </row>
    <row r="2" spans="1:8" x14ac:dyDescent="0.25">
      <c r="A2" t="s">
        <v>2</v>
      </c>
      <c r="B2" s="7">
        <v>45961</v>
      </c>
    </row>
    <row r="3" spans="1:8" x14ac:dyDescent="0.25">
      <c r="A3" t="s">
        <v>3</v>
      </c>
      <c r="B3" s="7" t="s">
        <v>14</v>
      </c>
    </row>
    <row r="6" spans="1:8" x14ac:dyDescent="0.25">
      <c r="B6" s="4" t="s">
        <v>4</v>
      </c>
      <c r="C6" s="4" t="s">
        <v>13</v>
      </c>
      <c r="D6" s="4" t="s">
        <v>10</v>
      </c>
    </row>
    <row r="7" spans="1:8" x14ac:dyDescent="0.25">
      <c r="B7" s="5" cm="1">
        <f t="array" ref="B7:B257">_xll.FDS(C6,"JULIAN(FG_PRICE("&amp;$B$2&amp;","&amp;$B$2&amp;"-"&amp;$B$3&amp;",,USD).dates)")</f>
        <v>45961</v>
      </c>
      <c r="C7">
        <f t="array" ref="C7:C257">_xll.FDS($C$6,"P_PRICE_RETURNS(0,"&amp;$B2&amp;","&amp;$B2&amp;"-"&amp;$B$3&amp;",D,USD)")</f>
        <v>-1.5120982999999999</v>
      </c>
      <c r="D7">
        <f t="array" ref="D7:D257">_xll.FDS($D$6,"P_PRICE_RETURNS(0,"&amp;$B2&amp;","&amp;$B2&amp;"-"&amp;$B$3&amp;",D,USD)")</f>
        <v>-0.59781074999999995</v>
      </c>
      <c r="G7" s="9" t="s">
        <v>5</v>
      </c>
      <c r="H7" s="10">
        <f t="array" ref="H7">_xll.FDS($C$6,"CORREL(P_PRICE_RETURNS(0,"&amp;$B2&amp;","&amp;$B2&amp;"-"&amp;$B$3&amp;",D,USD),VALUE('"&amp;D6&amp;"',P_PRICE_RETURNS(0,"&amp;$B2&amp;","&amp;$B2&amp;"-"&amp;$B$3&amp;",D,USD)))")</f>
        <v>-3.3109700233304902E-2</v>
      </c>
    </row>
    <row r="8" spans="1:8" x14ac:dyDescent="0.25">
      <c r="B8" s="5">
        <v>45960</v>
      </c>
      <c r="C8">
        <v>-2.9156982999999999</v>
      </c>
      <c r="D8">
        <v>-0.72221756000000004</v>
      </c>
      <c r="G8" t="s">
        <v>6</v>
      </c>
      <c r="H8" s="11">
        <f>CORREL(_xlfn.ANCHORARRAY(C7),_xlfn.ANCHORARRAY(D7))</f>
        <v>-3.310970023330493E-2</v>
      </c>
    </row>
    <row r="9" spans="1:8" x14ac:dyDescent="0.25">
      <c r="B9" s="5">
        <v>45959</v>
      </c>
      <c r="C9">
        <v>-9.5933675999999996E-2</v>
      </c>
      <c r="D9">
        <v>-1.3865529999999999</v>
      </c>
      <c r="G9" t="s">
        <v>7</v>
      </c>
      <c r="H9" s="11">
        <f>PEARSON(_xlfn.ANCHORARRAY(C7),_xlfn.ANCHORARRAY(D7))</f>
        <v>-3.310970023330493E-2</v>
      </c>
    </row>
    <row r="10" spans="1:8" x14ac:dyDescent="0.25">
      <c r="B10" s="5">
        <v>45958</v>
      </c>
      <c r="C10">
        <v>1.9848703999999999</v>
      </c>
      <c r="D10">
        <v>-1.4789104</v>
      </c>
    </row>
    <row r="11" spans="1:8" x14ac:dyDescent="0.25">
      <c r="B11" s="5">
        <v>45957</v>
      </c>
      <c r="C11">
        <v>1.5106678</v>
      </c>
      <c r="D11">
        <v>-0.61846970000000001</v>
      </c>
    </row>
    <row r="12" spans="1:8" x14ac:dyDescent="0.25">
      <c r="B12" s="5">
        <v>45954</v>
      </c>
      <c r="C12">
        <v>0.58590173999999995</v>
      </c>
      <c r="D12">
        <v>1.1202931</v>
      </c>
    </row>
    <row r="13" spans="1:8" x14ac:dyDescent="0.25">
      <c r="B13" s="5">
        <v>45953</v>
      </c>
      <c r="C13">
        <v>3.85046E-3</v>
      </c>
      <c r="D13">
        <v>1.1383414000000001</v>
      </c>
    </row>
    <row r="14" spans="1:8" x14ac:dyDescent="0.25">
      <c r="B14" s="5">
        <v>45952</v>
      </c>
      <c r="C14">
        <v>0.55634974999999998</v>
      </c>
      <c r="D14">
        <v>-0.34028291999999999</v>
      </c>
    </row>
    <row r="15" spans="1:8" x14ac:dyDescent="0.25">
      <c r="B15" s="5">
        <v>45951</v>
      </c>
      <c r="C15">
        <v>0.16834736</v>
      </c>
      <c r="D15">
        <v>2.0182133000000001E-2</v>
      </c>
    </row>
    <row r="16" spans="1:8" x14ac:dyDescent="0.25">
      <c r="B16" s="5">
        <v>45950</v>
      </c>
      <c r="C16">
        <v>0.62501430000000002</v>
      </c>
      <c r="D16">
        <v>0.55828093999999995</v>
      </c>
    </row>
    <row r="17" spans="2:4" x14ac:dyDescent="0.25">
      <c r="B17" s="5">
        <v>45947</v>
      </c>
      <c r="C17">
        <v>0.38506984999999999</v>
      </c>
      <c r="D17">
        <v>0.18906592999999999</v>
      </c>
    </row>
    <row r="18" spans="2:4" x14ac:dyDescent="0.25">
      <c r="B18" s="5">
        <v>45946</v>
      </c>
      <c r="C18">
        <v>-0.35448074000000002</v>
      </c>
      <c r="D18">
        <v>-1.1930585</v>
      </c>
    </row>
    <row r="19" spans="2:4" x14ac:dyDescent="0.25">
      <c r="B19" s="5">
        <v>45945</v>
      </c>
      <c r="C19">
        <v>-2.7263164999999999E-2</v>
      </c>
      <c r="D19">
        <v>-1.4507293999999999</v>
      </c>
    </row>
    <row r="20" spans="2:4" x14ac:dyDescent="0.25">
      <c r="B20" s="5">
        <v>45944</v>
      </c>
      <c r="C20">
        <v>-9.3370676E-2</v>
      </c>
      <c r="D20">
        <v>0.68496466</v>
      </c>
    </row>
    <row r="21" spans="2:4" x14ac:dyDescent="0.25">
      <c r="B21" s="5">
        <v>45943</v>
      </c>
      <c r="C21">
        <v>0.60474870000000003</v>
      </c>
      <c r="D21">
        <v>0.40740967</v>
      </c>
    </row>
    <row r="22" spans="2:4" x14ac:dyDescent="0.25">
      <c r="B22" s="5">
        <v>45940</v>
      </c>
      <c r="C22">
        <v>-2.1898985</v>
      </c>
      <c r="D22">
        <v>-0.49492120000000001</v>
      </c>
    </row>
    <row r="23" spans="2:4" x14ac:dyDescent="0.25">
      <c r="B23" s="5">
        <v>45939</v>
      </c>
      <c r="C23">
        <v>-0.46678782000000002</v>
      </c>
      <c r="D23">
        <v>-0.16490220999999999</v>
      </c>
    </row>
    <row r="24" spans="2:4" x14ac:dyDescent="0.25">
      <c r="B24" s="5">
        <v>45938</v>
      </c>
      <c r="C24">
        <v>0.16603470000000001</v>
      </c>
      <c r="D24">
        <v>0.33608674999999999</v>
      </c>
    </row>
    <row r="25" spans="2:4" x14ac:dyDescent="0.25">
      <c r="B25" s="5">
        <v>45937</v>
      </c>
      <c r="C25">
        <v>-0.86838603000000003</v>
      </c>
      <c r="D25">
        <v>-9.4759464000000002E-2</v>
      </c>
    </row>
    <row r="26" spans="2:4" x14ac:dyDescent="0.25">
      <c r="B26" s="5">
        <v>45936</v>
      </c>
      <c r="C26">
        <v>2.1687508000000002</v>
      </c>
      <c r="D26">
        <v>-0.73291660000000003</v>
      </c>
    </row>
    <row r="27" spans="2:4" x14ac:dyDescent="0.25">
      <c r="B27" s="5">
        <v>45933</v>
      </c>
      <c r="C27">
        <v>0.31217337000000001</v>
      </c>
      <c r="D27">
        <v>-1.636064</v>
      </c>
    </row>
    <row r="28" spans="2:4" x14ac:dyDescent="0.25">
      <c r="B28" s="5">
        <v>45932</v>
      </c>
      <c r="C28">
        <v>-0.76389309999999999</v>
      </c>
      <c r="D28">
        <v>1.4899610999999999</v>
      </c>
    </row>
    <row r="29" spans="2:4" x14ac:dyDescent="0.25">
      <c r="B29" s="5">
        <v>45931</v>
      </c>
      <c r="C29">
        <v>0.33980608000000001</v>
      </c>
      <c r="D29">
        <v>-0.56840780000000002</v>
      </c>
    </row>
    <row r="30" spans="2:4" x14ac:dyDescent="0.25">
      <c r="B30" s="5">
        <v>45930</v>
      </c>
      <c r="C30">
        <v>0.65100192999999995</v>
      </c>
      <c r="D30">
        <v>0.96725225000000004</v>
      </c>
    </row>
    <row r="31" spans="2:4" x14ac:dyDescent="0.25">
      <c r="B31" s="5">
        <v>45929</v>
      </c>
      <c r="C31">
        <v>0.61392784</v>
      </c>
      <c r="D31">
        <v>1.3098955000000001</v>
      </c>
    </row>
    <row r="32" spans="2:4" x14ac:dyDescent="0.25">
      <c r="B32" s="5">
        <v>45926</v>
      </c>
      <c r="C32">
        <v>0.8737087</v>
      </c>
      <c r="D32">
        <v>-1.1146069000000001E-3</v>
      </c>
    </row>
    <row r="33" spans="2:4" x14ac:dyDescent="0.25">
      <c r="B33" s="5">
        <v>45925</v>
      </c>
      <c r="C33">
        <v>-0.61158539999999995</v>
      </c>
      <c r="D33">
        <v>0.82228184000000004</v>
      </c>
    </row>
    <row r="34" spans="2:4" x14ac:dyDescent="0.25">
      <c r="B34" s="5">
        <v>45924</v>
      </c>
      <c r="C34">
        <v>0.18066167999999999</v>
      </c>
      <c r="D34">
        <v>-0.30992627</v>
      </c>
    </row>
    <row r="35" spans="2:4" x14ac:dyDescent="0.25">
      <c r="B35" s="5">
        <v>45923</v>
      </c>
      <c r="C35">
        <v>-1.0146736999999999</v>
      </c>
      <c r="D35">
        <v>-1.4461219000000001</v>
      </c>
    </row>
    <row r="36" spans="2:4" x14ac:dyDescent="0.25">
      <c r="B36" s="5">
        <v>45922</v>
      </c>
      <c r="C36">
        <v>-0.67189929999999998</v>
      </c>
      <c r="D36">
        <v>-0.67657230000000002</v>
      </c>
    </row>
    <row r="37" spans="2:4" x14ac:dyDescent="0.25">
      <c r="B37" s="5">
        <v>45919</v>
      </c>
      <c r="C37">
        <v>1.8644810000000001</v>
      </c>
      <c r="D37">
        <v>-1.9706129999999999</v>
      </c>
    </row>
    <row r="38" spans="2:4" x14ac:dyDescent="0.25">
      <c r="B38" s="5">
        <v>45918</v>
      </c>
      <c r="C38">
        <v>-0.3078282</v>
      </c>
      <c r="D38">
        <v>-0.66754219999999997</v>
      </c>
    </row>
    <row r="39" spans="2:4" x14ac:dyDescent="0.25">
      <c r="B39" s="5">
        <v>45917</v>
      </c>
      <c r="C39">
        <v>0.19251108</v>
      </c>
      <c r="D39">
        <v>-0.61970353</v>
      </c>
    </row>
    <row r="40" spans="2:4" x14ac:dyDescent="0.25">
      <c r="B40" s="5">
        <v>45916</v>
      </c>
      <c r="C40">
        <v>-1.2263238000000001</v>
      </c>
      <c r="D40">
        <v>-1.8220067</v>
      </c>
    </row>
    <row r="41" spans="2:4" x14ac:dyDescent="0.25">
      <c r="B41" s="5">
        <v>45915</v>
      </c>
      <c r="C41">
        <v>1.0707974</v>
      </c>
      <c r="D41">
        <v>-0.27943849999999998</v>
      </c>
    </row>
    <row r="42" spans="2:4" x14ac:dyDescent="0.25">
      <c r="B42" s="5">
        <v>45912</v>
      </c>
      <c r="C42">
        <v>1.7744184000000001</v>
      </c>
      <c r="D42">
        <v>-0.38256645</v>
      </c>
    </row>
    <row r="43" spans="2:4" x14ac:dyDescent="0.25">
      <c r="B43" s="5">
        <v>45911</v>
      </c>
      <c r="C43">
        <v>0.12791157</v>
      </c>
      <c r="D43">
        <v>-0.53316355000000004</v>
      </c>
    </row>
    <row r="44" spans="2:4" x14ac:dyDescent="0.25">
      <c r="B44" s="5">
        <v>45910</v>
      </c>
      <c r="C44">
        <v>0.39324759999999997</v>
      </c>
      <c r="D44">
        <v>-1.0971367000000001</v>
      </c>
    </row>
    <row r="45" spans="2:4" x14ac:dyDescent="0.25">
      <c r="B45" s="5">
        <v>45909</v>
      </c>
      <c r="C45">
        <v>4.2152404999999997E-2</v>
      </c>
      <c r="D45">
        <v>-1.2857854</v>
      </c>
    </row>
    <row r="46" spans="2:4" x14ac:dyDescent="0.25">
      <c r="B46" s="5">
        <v>45908</v>
      </c>
      <c r="C46">
        <v>0.64647200000000005</v>
      </c>
      <c r="D46">
        <v>0.7238388</v>
      </c>
    </row>
    <row r="47" spans="2:4" x14ac:dyDescent="0.25">
      <c r="B47" s="5">
        <v>45905</v>
      </c>
      <c r="C47">
        <v>-2.553302</v>
      </c>
      <c r="D47">
        <v>0.46364070000000002</v>
      </c>
    </row>
    <row r="48" spans="2:4" x14ac:dyDescent="0.25">
      <c r="B48" s="5">
        <v>45904</v>
      </c>
      <c r="C48">
        <v>0.5184531</v>
      </c>
      <c r="D48">
        <v>-0.32513142</v>
      </c>
    </row>
    <row r="49" spans="2:4" x14ac:dyDescent="0.25">
      <c r="B49" s="5">
        <v>45903</v>
      </c>
      <c r="C49">
        <v>4.5537950000000001E-2</v>
      </c>
      <c r="D49">
        <v>1.1509418</v>
      </c>
    </row>
    <row r="50" spans="2:4" x14ac:dyDescent="0.25">
      <c r="B50" s="5">
        <v>45902</v>
      </c>
      <c r="C50">
        <v>-0.30985475000000001</v>
      </c>
      <c r="D50">
        <v>-3.2894432999999998</v>
      </c>
    </row>
    <row r="51" spans="2:4" x14ac:dyDescent="0.25">
      <c r="B51" s="5">
        <v>45898</v>
      </c>
      <c r="C51">
        <v>-0.57884455000000001</v>
      </c>
      <c r="D51">
        <v>-0.5345702</v>
      </c>
    </row>
    <row r="52" spans="2:4" x14ac:dyDescent="0.25">
      <c r="B52" s="5">
        <v>45897</v>
      </c>
      <c r="C52">
        <v>0.57228804</v>
      </c>
      <c r="D52">
        <v>-0.118893385</v>
      </c>
    </row>
    <row r="53" spans="2:4" x14ac:dyDescent="0.25">
      <c r="B53" s="5">
        <v>45896</v>
      </c>
      <c r="C53">
        <v>0.93617439999999996</v>
      </c>
      <c r="D53">
        <v>-0.83368419999999999</v>
      </c>
    </row>
    <row r="54" spans="2:4" x14ac:dyDescent="0.25">
      <c r="B54" s="5">
        <v>45895</v>
      </c>
      <c r="C54">
        <v>-0.44025183000000001</v>
      </c>
      <c r="D54">
        <v>-0.77217820000000004</v>
      </c>
    </row>
    <row r="55" spans="2:4" x14ac:dyDescent="0.25">
      <c r="B55" s="5">
        <v>45894</v>
      </c>
      <c r="C55">
        <v>-0.58553219999999995</v>
      </c>
      <c r="D55">
        <v>7.1728230000000004E-2</v>
      </c>
    </row>
    <row r="56" spans="2:4" x14ac:dyDescent="0.25">
      <c r="B56" s="5">
        <v>45891</v>
      </c>
      <c r="C56">
        <v>0.59297085000000005</v>
      </c>
      <c r="D56">
        <v>0.36586522999999999</v>
      </c>
    </row>
    <row r="57" spans="2:4" x14ac:dyDescent="0.25">
      <c r="B57" s="5">
        <v>45890</v>
      </c>
      <c r="C57">
        <v>-0.29265285000000002</v>
      </c>
      <c r="D57">
        <v>-1.0120868999999999</v>
      </c>
    </row>
    <row r="58" spans="2:4" x14ac:dyDescent="0.25">
      <c r="B58" s="5">
        <v>45889</v>
      </c>
      <c r="C58">
        <v>-0.79447630000000002</v>
      </c>
      <c r="D58">
        <v>1.8393755000000001</v>
      </c>
    </row>
    <row r="59" spans="2:4" x14ac:dyDescent="0.25">
      <c r="B59" s="5">
        <v>45888</v>
      </c>
      <c r="C59">
        <v>-1.4175177000000001</v>
      </c>
      <c r="D59">
        <v>-0.20548105</v>
      </c>
    </row>
    <row r="60" spans="2:4" x14ac:dyDescent="0.25">
      <c r="B60" s="5">
        <v>45887</v>
      </c>
      <c r="C60">
        <v>-0.59019330000000003</v>
      </c>
      <c r="D60">
        <v>-0.63880680000000001</v>
      </c>
    </row>
    <row r="61" spans="2:4" x14ac:dyDescent="0.25">
      <c r="B61" s="5">
        <v>45884</v>
      </c>
      <c r="C61">
        <v>-0.4421234</v>
      </c>
      <c r="D61">
        <v>0.12471676</v>
      </c>
    </row>
    <row r="62" spans="2:4" x14ac:dyDescent="0.25">
      <c r="B62" s="5">
        <v>45883</v>
      </c>
      <c r="C62">
        <v>0.36497116000000002</v>
      </c>
      <c r="D62">
        <v>0.47824382999999998</v>
      </c>
    </row>
    <row r="63" spans="2:4" x14ac:dyDescent="0.25">
      <c r="B63" s="5">
        <v>45882</v>
      </c>
      <c r="C63">
        <v>-1.6363025</v>
      </c>
      <c r="D63">
        <v>1.2793303</v>
      </c>
    </row>
    <row r="64" spans="2:4" x14ac:dyDescent="0.25">
      <c r="B64" s="5">
        <v>45881</v>
      </c>
      <c r="C64">
        <v>1.4316559</v>
      </c>
      <c r="D64">
        <v>-2.6678443000000001</v>
      </c>
    </row>
    <row r="65" spans="2:4" x14ac:dyDescent="0.25">
      <c r="B65" s="5">
        <v>45880</v>
      </c>
      <c r="C65">
        <v>-5.171299E-2</v>
      </c>
      <c r="D65">
        <v>0.45641660000000001</v>
      </c>
    </row>
    <row r="66" spans="2:4" x14ac:dyDescent="0.25">
      <c r="B66" s="5">
        <v>45877</v>
      </c>
      <c r="C66">
        <v>0.23038386999999999</v>
      </c>
      <c r="D66">
        <v>5.5885314999999998E-2</v>
      </c>
    </row>
    <row r="67" spans="2:4" x14ac:dyDescent="0.25">
      <c r="B67" s="5">
        <v>45876</v>
      </c>
      <c r="C67">
        <v>-0.78103540000000005</v>
      </c>
      <c r="D67">
        <v>1.2557267999999999</v>
      </c>
    </row>
    <row r="68" spans="2:4" x14ac:dyDescent="0.25">
      <c r="B68" s="5">
        <v>45875</v>
      </c>
      <c r="C68">
        <v>-0.53244829999999999</v>
      </c>
      <c r="D68">
        <v>0.75950620000000002</v>
      </c>
    </row>
    <row r="69" spans="2:4" x14ac:dyDescent="0.25">
      <c r="B69" s="5">
        <v>45874</v>
      </c>
      <c r="C69">
        <v>-1.4730095999999999</v>
      </c>
      <c r="D69">
        <v>-0.7264197</v>
      </c>
    </row>
    <row r="70" spans="2:4" x14ac:dyDescent="0.25">
      <c r="B70" s="5">
        <v>45873</v>
      </c>
      <c r="C70">
        <v>2.1999240000000002</v>
      </c>
      <c r="D70">
        <v>1.0300039999999999</v>
      </c>
    </row>
    <row r="71" spans="2:4" x14ac:dyDescent="0.25">
      <c r="B71" s="5">
        <v>45870</v>
      </c>
      <c r="C71">
        <v>-1.7600775</v>
      </c>
      <c r="D71">
        <v>1.1509776</v>
      </c>
    </row>
    <row r="72" spans="2:4" x14ac:dyDescent="0.25">
      <c r="B72" s="5">
        <v>45869</v>
      </c>
      <c r="C72">
        <v>3.9474726000000002</v>
      </c>
      <c r="D72">
        <v>0.25185347000000002</v>
      </c>
    </row>
    <row r="73" spans="2:4" x14ac:dyDescent="0.25">
      <c r="B73" s="5">
        <v>45868</v>
      </c>
      <c r="C73">
        <v>0.13071299</v>
      </c>
      <c r="D73">
        <v>-0.91778040000000005</v>
      </c>
    </row>
    <row r="74" spans="2:4" x14ac:dyDescent="0.25">
      <c r="B74" s="5">
        <v>45867</v>
      </c>
      <c r="C74">
        <v>1.3661385E-2</v>
      </c>
      <c r="D74">
        <v>0.6356001</v>
      </c>
    </row>
    <row r="75" spans="2:4" x14ac:dyDescent="0.25">
      <c r="B75" s="5">
        <v>45866</v>
      </c>
      <c r="C75">
        <v>-0.23554564</v>
      </c>
      <c r="D75">
        <v>-2.661705</v>
      </c>
    </row>
    <row r="76" spans="2:4" x14ac:dyDescent="0.25">
      <c r="B76" s="5">
        <v>45863</v>
      </c>
      <c r="C76">
        <v>0.55395364999999996</v>
      </c>
      <c r="D76">
        <v>-1.9604623000000001</v>
      </c>
    </row>
    <row r="77" spans="2:4" x14ac:dyDescent="0.25">
      <c r="B77" s="5">
        <v>45862</v>
      </c>
      <c r="C77">
        <v>0.99037885999999997</v>
      </c>
      <c r="D77">
        <v>-0.1085639</v>
      </c>
    </row>
    <row r="78" spans="2:4" x14ac:dyDescent="0.25">
      <c r="B78" s="5">
        <v>45861</v>
      </c>
      <c r="C78">
        <v>0.11874437</v>
      </c>
      <c r="D78">
        <v>-2.5743246000000001E-2</v>
      </c>
    </row>
    <row r="79" spans="2:4" x14ac:dyDescent="0.25">
      <c r="B79" s="5">
        <v>45860</v>
      </c>
      <c r="C79">
        <v>-0.93910693999999995</v>
      </c>
      <c r="D79">
        <v>-0.46576857999999999</v>
      </c>
    </row>
    <row r="80" spans="2:4" x14ac:dyDescent="0.25">
      <c r="B80" s="5">
        <v>45859</v>
      </c>
      <c r="C80">
        <v>1.9669533000000001E-3</v>
      </c>
      <c r="D80">
        <v>-0.3309667</v>
      </c>
    </row>
    <row r="81" spans="2:4" x14ac:dyDescent="0.25">
      <c r="B81" s="5">
        <v>45856</v>
      </c>
      <c r="C81">
        <v>-0.32246112999999998</v>
      </c>
      <c r="D81">
        <v>0.74658393999999995</v>
      </c>
    </row>
    <row r="82" spans="2:4" x14ac:dyDescent="0.25">
      <c r="B82" s="5">
        <v>45855</v>
      </c>
      <c r="C82">
        <v>1.202488</v>
      </c>
      <c r="D82">
        <v>-0.64299107</v>
      </c>
    </row>
    <row r="83" spans="2:4" x14ac:dyDescent="0.25">
      <c r="B83" s="5">
        <v>45854</v>
      </c>
      <c r="C83">
        <v>-3.9541720000000002E-2</v>
      </c>
      <c r="D83">
        <v>0.4210353</v>
      </c>
    </row>
    <row r="84" spans="2:4" x14ac:dyDescent="0.25">
      <c r="B84" s="5">
        <v>45853</v>
      </c>
      <c r="C84">
        <v>0.55663585999999998</v>
      </c>
      <c r="D84">
        <v>-1.5692115</v>
      </c>
    </row>
    <row r="85" spans="2:4" x14ac:dyDescent="0.25">
      <c r="B85" s="5">
        <v>45852</v>
      </c>
      <c r="C85">
        <v>-5.9610604999999997E-2</v>
      </c>
      <c r="D85">
        <v>-0.45944452000000002</v>
      </c>
    </row>
    <row r="86" spans="2:4" x14ac:dyDescent="0.25">
      <c r="B86" s="5">
        <v>45849</v>
      </c>
      <c r="C86">
        <v>0.36691426999999999</v>
      </c>
      <c r="D86">
        <v>-0.8166909</v>
      </c>
    </row>
    <row r="87" spans="2:4" x14ac:dyDescent="0.25">
      <c r="B87" s="5">
        <v>45848</v>
      </c>
      <c r="C87">
        <v>-0.40317177999999998</v>
      </c>
      <c r="D87">
        <v>-1.0690630000000001</v>
      </c>
    </row>
    <row r="88" spans="2:4" x14ac:dyDescent="0.25">
      <c r="B88" s="5">
        <v>45847</v>
      </c>
      <c r="C88">
        <v>1.3873816000000001</v>
      </c>
      <c r="D88">
        <v>0.82303285999999998</v>
      </c>
    </row>
    <row r="89" spans="2:4" x14ac:dyDescent="0.25">
      <c r="B89" s="5">
        <v>45846</v>
      </c>
      <c r="C89">
        <v>-0.22100806000000001</v>
      </c>
      <c r="D89">
        <v>-2.1625160000000001</v>
      </c>
    </row>
    <row r="90" spans="2:4" x14ac:dyDescent="0.25">
      <c r="B90" s="5">
        <v>45845</v>
      </c>
      <c r="C90">
        <v>-0.22451878</v>
      </c>
      <c r="D90">
        <v>1.0196567000000001</v>
      </c>
    </row>
    <row r="91" spans="2:4" x14ac:dyDescent="0.25">
      <c r="B91" s="5">
        <v>45841</v>
      </c>
      <c r="C91">
        <v>1.5781164000000001</v>
      </c>
      <c r="D91">
        <v>0.98676680000000005</v>
      </c>
    </row>
    <row r="92" spans="2:4" x14ac:dyDescent="0.25">
      <c r="B92" s="5">
        <v>45840</v>
      </c>
      <c r="C92">
        <v>-0.19509792000000001</v>
      </c>
      <c r="D92">
        <v>-2.2384048000000001</v>
      </c>
    </row>
    <row r="93" spans="2:4" x14ac:dyDescent="0.25">
      <c r="B93" s="5">
        <v>45839</v>
      </c>
      <c r="C93">
        <v>-1.0775863999999999</v>
      </c>
      <c r="D93">
        <v>-0.42022467000000002</v>
      </c>
    </row>
    <row r="94" spans="2:4" x14ac:dyDescent="0.25">
      <c r="B94" s="5">
        <v>45838</v>
      </c>
      <c r="C94">
        <v>0.29640198000000001</v>
      </c>
      <c r="D94">
        <v>-5.6207180000000002E-3</v>
      </c>
    </row>
    <row r="95" spans="2:4" x14ac:dyDescent="0.25">
      <c r="B95" s="5">
        <v>45835</v>
      </c>
      <c r="C95">
        <v>-0.30354857000000002</v>
      </c>
      <c r="D95">
        <v>0.44753549999999997</v>
      </c>
    </row>
    <row r="96" spans="2:4" x14ac:dyDescent="0.25">
      <c r="B96" s="5">
        <v>45834</v>
      </c>
      <c r="C96">
        <v>1.0522723</v>
      </c>
      <c r="D96">
        <v>2.1905421999999999</v>
      </c>
    </row>
    <row r="97" spans="2:4" x14ac:dyDescent="0.25">
      <c r="B97" s="5">
        <v>45833</v>
      </c>
      <c r="C97">
        <v>0.44071674</v>
      </c>
      <c r="D97">
        <v>0.58811902999999999</v>
      </c>
    </row>
    <row r="98" spans="2:4" x14ac:dyDescent="0.25">
      <c r="B98" s="5">
        <v>45832</v>
      </c>
      <c r="C98">
        <v>0.8456707</v>
      </c>
      <c r="D98">
        <v>0.34290552000000002</v>
      </c>
    </row>
    <row r="99" spans="2:4" x14ac:dyDescent="0.25">
      <c r="B99" s="5">
        <v>45831</v>
      </c>
      <c r="C99">
        <v>1.8014311999999999</v>
      </c>
      <c r="D99">
        <v>0.17141103999999999</v>
      </c>
    </row>
    <row r="100" spans="2:4" x14ac:dyDescent="0.25">
      <c r="B100" s="5">
        <v>45828</v>
      </c>
      <c r="C100">
        <v>-0.59136750000000005</v>
      </c>
      <c r="D100">
        <v>1.0971785000000001</v>
      </c>
    </row>
    <row r="101" spans="2:4" x14ac:dyDescent="0.25">
      <c r="B101" s="5">
        <v>45826</v>
      </c>
      <c r="C101">
        <v>0.46020746000000001</v>
      </c>
      <c r="D101">
        <v>-0.52999260000000004</v>
      </c>
    </row>
    <row r="102" spans="2:4" x14ac:dyDescent="0.25">
      <c r="B102" s="5">
        <v>45825</v>
      </c>
      <c r="C102">
        <v>-0.22957921000000001</v>
      </c>
      <c r="D102">
        <v>-1.7605424000000001</v>
      </c>
    </row>
    <row r="103" spans="2:4" x14ac:dyDescent="0.25">
      <c r="B103" s="5">
        <v>45824</v>
      </c>
      <c r="C103">
        <v>0.88007449999999998</v>
      </c>
      <c r="D103">
        <v>2.5192618000000002</v>
      </c>
    </row>
    <row r="104" spans="2:4" x14ac:dyDescent="0.25">
      <c r="B104" s="5">
        <v>45821</v>
      </c>
      <c r="C104">
        <v>-0.81650615000000004</v>
      </c>
      <c r="D104">
        <v>-1.8389880999999999</v>
      </c>
    </row>
    <row r="105" spans="2:4" x14ac:dyDescent="0.25">
      <c r="B105" s="5">
        <v>45820</v>
      </c>
      <c r="C105">
        <v>1.3224125</v>
      </c>
      <c r="D105">
        <v>-0.120568275</v>
      </c>
    </row>
    <row r="106" spans="2:4" x14ac:dyDescent="0.25">
      <c r="B106" s="5">
        <v>45819</v>
      </c>
      <c r="C106">
        <v>0.36098956999999998</v>
      </c>
      <c r="D106">
        <v>-0.66268444000000004</v>
      </c>
    </row>
    <row r="107" spans="2:4" x14ac:dyDescent="0.25">
      <c r="B107" s="5">
        <v>45818</v>
      </c>
      <c r="C107">
        <v>-0.38709640000000001</v>
      </c>
      <c r="D107">
        <v>-1.1976420999999999</v>
      </c>
    </row>
    <row r="108" spans="2:4" x14ac:dyDescent="0.25">
      <c r="B108" s="5">
        <v>45817</v>
      </c>
      <c r="C108">
        <v>0.50385000000000002</v>
      </c>
      <c r="D108">
        <v>-1.1274158999999999</v>
      </c>
    </row>
    <row r="109" spans="2:4" x14ac:dyDescent="0.25">
      <c r="B109" s="5">
        <v>45814</v>
      </c>
      <c r="C109">
        <v>0.57731867000000003</v>
      </c>
      <c r="D109">
        <v>0.45812130000000001</v>
      </c>
    </row>
    <row r="110" spans="2:4" x14ac:dyDescent="0.25">
      <c r="B110" s="5">
        <v>45813</v>
      </c>
      <c r="C110">
        <v>0.82135199999999997</v>
      </c>
      <c r="D110">
        <v>0.28092859999999997</v>
      </c>
    </row>
    <row r="111" spans="2:4" x14ac:dyDescent="0.25">
      <c r="B111" s="5">
        <v>45812</v>
      </c>
      <c r="C111">
        <v>0.19439459000000001</v>
      </c>
      <c r="D111">
        <v>0.71676969999999995</v>
      </c>
    </row>
    <row r="112" spans="2:4" x14ac:dyDescent="0.25">
      <c r="B112" s="5">
        <v>45811</v>
      </c>
      <c r="C112">
        <v>0.21646023</v>
      </c>
      <c r="D112">
        <v>-1.8764913000000001</v>
      </c>
    </row>
    <row r="113" spans="2:4" x14ac:dyDescent="0.25">
      <c r="B113" s="5">
        <v>45810</v>
      </c>
      <c r="C113">
        <v>0.34972429999999999</v>
      </c>
      <c r="D113">
        <v>1.4417529</v>
      </c>
    </row>
    <row r="114" spans="2:4" x14ac:dyDescent="0.25">
      <c r="B114" s="5">
        <v>45807</v>
      </c>
      <c r="C114">
        <v>0.36627053999999998</v>
      </c>
      <c r="D114">
        <v>-5.2893160000000002E-2</v>
      </c>
    </row>
    <row r="115" spans="2:4" x14ac:dyDescent="0.25">
      <c r="B115" s="5">
        <v>45806</v>
      </c>
      <c r="C115">
        <v>0.28861759999999997</v>
      </c>
      <c r="D115">
        <v>-0.37852525999999997</v>
      </c>
    </row>
    <row r="116" spans="2:4" x14ac:dyDescent="0.25">
      <c r="B116" s="5">
        <v>45805</v>
      </c>
      <c r="C116">
        <v>-0.72283149999999996</v>
      </c>
      <c r="D116">
        <v>-1.3144195000000001</v>
      </c>
    </row>
    <row r="117" spans="2:4" x14ac:dyDescent="0.25">
      <c r="B117" s="5">
        <v>45804</v>
      </c>
      <c r="C117">
        <v>2.3346186000000002</v>
      </c>
      <c r="D117">
        <v>0.49550533000000002</v>
      </c>
    </row>
    <row r="118" spans="2:4" x14ac:dyDescent="0.25">
      <c r="B118" s="5">
        <v>45800</v>
      </c>
      <c r="C118">
        <v>-1.0288835000000001</v>
      </c>
      <c r="D118">
        <v>0.51522254999999995</v>
      </c>
    </row>
    <row r="119" spans="2:4" x14ac:dyDescent="0.25">
      <c r="B119" s="5">
        <v>45799</v>
      </c>
      <c r="C119">
        <v>0.50599574999999997</v>
      </c>
      <c r="D119">
        <v>-0.99875329999999996</v>
      </c>
    </row>
    <row r="120" spans="2:4" x14ac:dyDescent="0.25">
      <c r="B120" s="5">
        <v>45798</v>
      </c>
      <c r="C120">
        <v>-1.2222527999999999</v>
      </c>
      <c r="D120">
        <v>1.6286849999999999</v>
      </c>
    </row>
    <row r="121" spans="2:4" x14ac:dyDescent="0.25">
      <c r="B121" s="5">
        <v>45797</v>
      </c>
      <c r="C121">
        <v>-0.15254617000000001</v>
      </c>
      <c r="D121">
        <v>0.51991940000000003</v>
      </c>
    </row>
    <row r="122" spans="2:4" x14ac:dyDescent="0.25">
      <c r="B122" s="5">
        <v>45796</v>
      </c>
      <c r="C122">
        <v>1.0126113999999999</v>
      </c>
      <c r="D122">
        <v>1.0913968000000001</v>
      </c>
    </row>
    <row r="123" spans="2:4" x14ac:dyDescent="0.25">
      <c r="B123" s="5">
        <v>45793</v>
      </c>
      <c r="C123">
        <v>0.25157928000000002</v>
      </c>
      <c r="D123">
        <v>1.2136458999999999</v>
      </c>
    </row>
    <row r="124" spans="2:4" x14ac:dyDescent="0.25">
      <c r="B124" s="5">
        <v>45792</v>
      </c>
      <c r="C124">
        <v>4.1949750000000001E-2</v>
      </c>
      <c r="D124">
        <v>-0.76772569999999996</v>
      </c>
    </row>
    <row r="125" spans="2:4" x14ac:dyDescent="0.25">
      <c r="B125" s="5">
        <v>45791</v>
      </c>
      <c r="C125">
        <v>0.84606409999999999</v>
      </c>
      <c r="D125">
        <v>1.1031508000000001</v>
      </c>
    </row>
    <row r="126" spans="2:4" x14ac:dyDescent="0.25">
      <c r="B126" s="5">
        <v>45790</v>
      </c>
      <c r="C126">
        <v>-2.6708841000000001E-2</v>
      </c>
      <c r="D126">
        <v>0.20376443999999999</v>
      </c>
    </row>
    <row r="127" spans="2:4" x14ac:dyDescent="0.25">
      <c r="B127" s="5">
        <v>45789</v>
      </c>
      <c r="C127">
        <v>2.4001122000000001</v>
      </c>
      <c r="D127">
        <v>-4.3222665999999998</v>
      </c>
    </row>
    <row r="128" spans="2:4" x14ac:dyDescent="0.25">
      <c r="B128" s="5">
        <v>45786</v>
      </c>
      <c r="C128">
        <v>0.12780427999999999</v>
      </c>
      <c r="D128">
        <v>0.65133569999999996</v>
      </c>
    </row>
    <row r="129" spans="2:4" x14ac:dyDescent="0.25">
      <c r="B129" s="5">
        <v>45785</v>
      </c>
      <c r="C129">
        <v>1.1122704000000001</v>
      </c>
      <c r="D129">
        <v>-2.1890342</v>
      </c>
    </row>
    <row r="130" spans="2:4" x14ac:dyDescent="0.25">
      <c r="B130" s="5">
        <v>45784</v>
      </c>
      <c r="C130">
        <v>9.2387200000000006E-3</v>
      </c>
      <c r="D130">
        <v>1.4257430999999999E-2</v>
      </c>
    </row>
    <row r="131" spans="2:4" x14ac:dyDescent="0.25">
      <c r="B131" s="5">
        <v>45783</v>
      </c>
      <c r="C131">
        <v>-0.65571069999999998</v>
      </c>
      <c r="D131">
        <v>-0.41734576000000001</v>
      </c>
    </row>
    <row r="132" spans="2:4" x14ac:dyDescent="0.25">
      <c r="B132" s="5">
        <v>45782</v>
      </c>
      <c r="C132">
        <v>0.20446776999999999</v>
      </c>
      <c r="D132">
        <v>0.98125934999999997</v>
      </c>
    </row>
    <row r="133" spans="2:4" x14ac:dyDescent="0.25">
      <c r="B133" s="5">
        <v>45779</v>
      </c>
      <c r="C133">
        <v>2.3225188000000001</v>
      </c>
      <c r="D133">
        <v>2.8728842999999999</v>
      </c>
    </row>
    <row r="134" spans="2:4" x14ac:dyDescent="0.25">
      <c r="B134" s="5">
        <v>45778</v>
      </c>
      <c r="C134">
        <v>7.6253533000000004</v>
      </c>
      <c r="D134">
        <v>-0.75653789999999999</v>
      </c>
    </row>
    <row r="135" spans="2:4" x14ac:dyDescent="0.25">
      <c r="B135" s="5">
        <v>45777</v>
      </c>
      <c r="C135">
        <v>0.30961037000000002</v>
      </c>
      <c r="D135">
        <v>3.5863638</v>
      </c>
    </row>
    <row r="136" spans="2:4" x14ac:dyDescent="0.25">
      <c r="B136" s="5">
        <v>45776</v>
      </c>
      <c r="C136">
        <v>0.73627233999999997</v>
      </c>
      <c r="D136">
        <v>-1.5455365000000001</v>
      </c>
    </row>
    <row r="137" spans="2:4" x14ac:dyDescent="0.25">
      <c r="B137" s="5">
        <v>45775</v>
      </c>
      <c r="C137">
        <v>-0.17609</v>
      </c>
      <c r="D137">
        <v>-1.7126858</v>
      </c>
    </row>
    <row r="138" spans="2:4" x14ac:dyDescent="0.25">
      <c r="B138" s="5">
        <v>45772</v>
      </c>
      <c r="C138">
        <v>1.1748075</v>
      </c>
      <c r="D138">
        <v>0.63213109999999995</v>
      </c>
    </row>
    <row r="139" spans="2:4" x14ac:dyDescent="0.25">
      <c r="B139" s="5">
        <v>45771</v>
      </c>
      <c r="C139">
        <v>3.4482718000000001</v>
      </c>
      <c r="D139">
        <v>0.45737028000000002</v>
      </c>
    </row>
    <row r="140" spans="2:4" x14ac:dyDescent="0.25">
      <c r="B140" s="5">
        <v>45770</v>
      </c>
      <c r="C140">
        <v>2.0636796999999998</v>
      </c>
      <c r="D140">
        <v>-0.11705160000000001</v>
      </c>
    </row>
    <row r="141" spans="2:4" x14ac:dyDescent="0.25">
      <c r="B141" s="5">
        <v>45769</v>
      </c>
      <c r="C141">
        <v>2.1441340000000002</v>
      </c>
      <c r="D141">
        <v>2.0285367999999999</v>
      </c>
    </row>
    <row r="142" spans="2:4" x14ac:dyDescent="0.25">
      <c r="B142" s="5">
        <v>45768</v>
      </c>
      <c r="C142">
        <v>-2.3546695999999998</v>
      </c>
      <c r="D142">
        <v>1.3039111999999999</v>
      </c>
    </row>
    <row r="143" spans="2:4" x14ac:dyDescent="0.25">
      <c r="B143" s="5">
        <v>45764</v>
      </c>
      <c r="C143">
        <v>-1.0306477999999999</v>
      </c>
      <c r="D143">
        <v>0.49648284999999998</v>
      </c>
    </row>
    <row r="144" spans="2:4" x14ac:dyDescent="0.25">
      <c r="B144" s="5">
        <v>45763</v>
      </c>
      <c r="C144">
        <v>-3.6605954000000001</v>
      </c>
      <c r="D144">
        <v>-0.18606781999999999</v>
      </c>
    </row>
    <row r="145" spans="2:4" x14ac:dyDescent="0.25">
      <c r="B145" s="5">
        <v>45762</v>
      </c>
      <c r="C145">
        <v>-0.5363405</v>
      </c>
      <c r="D145">
        <v>0.80523489999999998</v>
      </c>
    </row>
    <row r="146" spans="2:4" x14ac:dyDescent="0.25">
      <c r="B146" s="5">
        <v>45761</v>
      </c>
      <c r="C146">
        <v>-0.16475915999999999</v>
      </c>
      <c r="D146">
        <v>1.2379169999999999</v>
      </c>
    </row>
    <row r="147" spans="2:4" x14ac:dyDescent="0.25">
      <c r="B147" s="5">
        <v>45758</v>
      </c>
      <c r="C147">
        <v>1.8618106999999999</v>
      </c>
      <c r="D147">
        <v>3.0044198</v>
      </c>
    </row>
    <row r="148" spans="2:4" x14ac:dyDescent="0.25">
      <c r="B148" s="5">
        <v>45757</v>
      </c>
      <c r="C148">
        <v>-2.3406446000000001</v>
      </c>
      <c r="D148">
        <v>5.3588389999999997</v>
      </c>
    </row>
    <row r="149" spans="2:4" x14ac:dyDescent="0.25">
      <c r="B149" s="5">
        <v>45756</v>
      </c>
      <c r="C149">
        <v>10.133684000000001</v>
      </c>
      <c r="D149">
        <v>-2.1427095</v>
      </c>
    </row>
    <row r="150" spans="2:4" x14ac:dyDescent="0.25">
      <c r="B150" s="5">
        <v>45755</v>
      </c>
      <c r="C150">
        <v>-0.92214346000000003</v>
      </c>
      <c r="D150">
        <v>4.8188089999999999</v>
      </c>
    </row>
    <row r="151" spans="2:4" x14ac:dyDescent="0.25">
      <c r="B151" s="5">
        <v>45754</v>
      </c>
      <c r="C151">
        <v>-0.55024624</v>
      </c>
      <c r="D151">
        <v>-5.4521740000000003</v>
      </c>
    </row>
    <row r="152" spans="2:4" x14ac:dyDescent="0.25">
      <c r="B152" s="5">
        <v>45751</v>
      </c>
      <c r="C152">
        <v>-3.5565913</v>
      </c>
      <c r="D152">
        <v>-8.2889800000000005</v>
      </c>
    </row>
    <row r="153" spans="2:4" x14ac:dyDescent="0.25">
      <c r="B153" s="5">
        <v>45750</v>
      </c>
      <c r="C153">
        <v>-2.3630141999999998</v>
      </c>
      <c r="D153">
        <v>3.7827492</v>
      </c>
    </row>
    <row r="154" spans="2:4" x14ac:dyDescent="0.25">
      <c r="B154" s="5">
        <v>45749</v>
      </c>
      <c r="C154">
        <v>-1.3077259000000001E-2</v>
      </c>
      <c r="D154">
        <v>0.75323580000000001</v>
      </c>
    </row>
    <row r="155" spans="2:4" x14ac:dyDescent="0.25">
      <c r="B155" s="5">
        <v>45748</v>
      </c>
      <c r="C155">
        <v>1.8114448000000001</v>
      </c>
      <c r="D155">
        <v>1.4395475</v>
      </c>
    </row>
    <row r="156" spans="2:4" x14ac:dyDescent="0.25">
      <c r="B156" s="5">
        <v>45747</v>
      </c>
      <c r="C156">
        <v>-0.90020299999999998</v>
      </c>
      <c r="D156">
        <v>-1.0293722E-2</v>
      </c>
    </row>
    <row r="157" spans="2:4" x14ac:dyDescent="0.25">
      <c r="B157" s="5">
        <v>45744</v>
      </c>
      <c r="C157">
        <v>-3.0160247999999998</v>
      </c>
      <c r="D157">
        <v>1.4265536999999999</v>
      </c>
    </row>
    <row r="158" spans="2:4" x14ac:dyDescent="0.25">
      <c r="B158" s="5">
        <v>45743</v>
      </c>
      <c r="C158">
        <v>0.15641451000000001</v>
      </c>
      <c r="D158">
        <v>1.5482663999999999</v>
      </c>
    </row>
    <row r="159" spans="2:4" x14ac:dyDescent="0.25">
      <c r="B159" s="5">
        <v>45742</v>
      </c>
      <c r="C159">
        <v>-1.3133942999999999</v>
      </c>
      <c r="D159">
        <v>-0.84555745000000004</v>
      </c>
    </row>
    <row r="160" spans="2:4" x14ac:dyDescent="0.25">
      <c r="B160" s="5">
        <v>45741</v>
      </c>
      <c r="C160">
        <v>0.52915809999999996</v>
      </c>
      <c r="D160">
        <v>1.3532758</v>
      </c>
    </row>
    <row r="161" spans="2:4" x14ac:dyDescent="0.25">
      <c r="B161" s="5">
        <v>45740</v>
      </c>
      <c r="C161">
        <v>0.46515465</v>
      </c>
      <c r="D161">
        <v>-1.6710758000000001</v>
      </c>
    </row>
    <row r="162" spans="2:4" x14ac:dyDescent="0.25">
      <c r="B162" s="5">
        <v>45737</v>
      </c>
      <c r="C162">
        <v>1.1425972</v>
      </c>
      <c r="D162">
        <v>-1.3536215000000001E-2</v>
      </c>
    </row>
    <row r="163" spans="2:4" x14ac:dyDescent="0.25">
      <c r="B163" s="5">
        <v>45736</v>
      </c>
      <c r="C163">
        <v>-0.25269985</v>
      </c>
      <c r="D163">
        <v>-2.3656309000000002</v>
      </c>
    </row>
    <row r="164" spans="2:4" x14ac:dyDescent="0.25">
      <c r="B164" s="5">
        <v>45735</v>
      </c>
      <c r="C164">
        <v>1.1211990999999999</v>
      </c>
      <c r="D164">
        <v>-1.6468763000000001E-2</v>
      </c>
    </row>
    <row r="165" spans="2:4" x14ac:dyDescent="0.25">
      <c r="B165" s="5">
        <v>45734</v>
      </c>
      <c r="C165">
        <v>-1.3326526000000001</v>
      </c>
      <c r="D165">
        <v>0.27252436000000002</v>
      </c>
    </row>
    <row r="166" spans="2:4" x14ac:dyDescent="0.25">
      <c r="B166" s="5">
        <v>45733</v>
      </c>
      <c r="C166">
        <v>3.6036970000000002E-2</v>
      </c>
      <c r="D166">
        <v>0.52508116000000005</v>
      </c>
    </row>
    <row r="167" spans="2:4" x14ac:dyDescent="0.25">
      <c r="B167" s="5">
        <v>45730</v>
      </c>
      <c r="C167">
        <v>2.5846840000000002</v>
      </c>
      <c r="D167">
        <v>2.4481058</v>
      </c>
    </row>
    <row r="168" spans="2:4" x14ac:dyDescent="0.25">
      <c r="B168" s="5">
        <v>45729</v>
      </c>
      <c r="C168">
        <v>-1.1741041999999999</v>
      </c>
      <c r="D168">
        <v>-0.39724112</v>
      </c>
    </row>
    <row r="169" spans="2:4" x14ac:dyDescent="0.25">
      <c r="B169" s="5">
        <v>45728</v>
      </c>
      <c r="C169">
        <v>0.74121950000000003</v>
      </c>
      <c r="D169">
        <v>1.0669588999999999</v>
      </c>
    </row>
    <row r="170" spans="2:4" x14ac:dyDescent="0.25">
      <c r="B170" s="5">
        <v>45727</v>
      </c>
      <c r="C170">
        <v>7.6282024000000004E-2</v>
      </c>
      <c r="D170">
        <v>-0.20846128</v>
      </c>
    </row>
    <row r="171" spans="2:4" x14ac:dyDescent="0.25">
      <c r="B171" s="5">
        <v>45726</v>
      </c>
      <c r="C171">
        <v>-3.3434153000000002</v>
      </c>
      <c r="D171">
        <v>1.9872069000000001</v>
      </c>
    </row>
    <row r="172" spans="2:4" x14ac:dyDescent="0.25">
      <c r="B172" s="5">
        <v>45723</v>
      </c>
      <c r="C172">
        <v>-0.90201500000000001</v>
      </c>
      <c r="D172">
        <v>1.0303974</v>
      </c>
    </row>
    <row r="173" spans="2:4" x14ac:dyDescent="0.25">
      <c r="B173" s="5">
        <v>45722</v>
      </c>
      <c r="C173">
        <v>-1.0298669</v>
      </c>
      <c r="D173">
        <v>0.50166845000000004</v>
      </c>
    </row>
    <row r="174" spans="2:4" x14ac:dyDescent="0.25">
      <c r="B174" s="5">
        <v>45721</v>
      </c>
      <c r="C174">
        <v>3.193438</v>
      </c>
      <c r="D174">
        <v>2.6073694000000001</v>
      </c>
    </row>
    <row r="175" spans="2:4" x14ac:dyDescent="0.25">
      <c r="B175" s="5">
        <v>45720</v>
      </c>
      <c r="C175">
        <v>3.0887127E-2</v>
      </c>
      <c r="D175">
        <v>-0.49691795999999999</v>
      </c>
    </row>
    <row r="176" spans="2:4" x14ac:dyDescent="0.25">
      <c r="B176" s="5">
        <v>45719</v>
      </c>
      <c r="C176">
        <v>-2.1411120000000001</v>
      </c>
      <c r="D176">
        <v>3.2704233999999999</v>
      </c>
    </row>
    <row r="177" spans="2:4" x14ac:dyDescent="0.25">
      <c r="B177" s="5">
        <v>45716</v>
      </c>
      <c r="C177">
        <v>1.1362194999999999</v>
      </c>
      <c r="D177">
        <v>-0.71768759999999998</v>
      </c>
    </row>
    <row r="178" spans="2:4" x14ac:dyDescent="0.25">
      <c r="B178" s="5">
        <v>45715</v>
      </c>
      <c r="C178">
        <v>-1.8012166000000001</v>
      </c>
      <c r="D178">
        <v>-0.61460733000000001</v>
      </c>
    </row>
    <row r="179" spans="2:4" x14ac:dyDescent="0.25">
      <c r="B179" s="5">
        <v>45714</v>
      </c>
      <c r="C179">
        <v>0.45992136</v>
      </c>
      <c r="D179">
        <v>2.3970842000000001</v>
      </c>
    </row>
    <row r="180" spans="2:4" x14ac:dyDescent="0.25">
      <c r="B180" s="5">
        <v>45713</v>
      </c>
      <c r="C180">
        <v>-1.5099049</v>
      </c>
      <c r="D180">
        <v>0.89144707000000001</v>
      </c>
    </row>
    <row r="181" spans="2:4" x14ac:dyDescent="0.25">
      <c r="B181" s="5">
        <v>45712</v>
      </c>
      <c r="C181">
        <v>-1.0313272</v>
      </c>
      <c r="D181">
        <v>-0.51630735000000005</v>
      </c>
    </row>
    <row r="182" spans="2:4" x14ac:dyDescent="0.25">
      <c r="B182" s="5">
        <v>45709</v>
      </c>
      <c r="C182">
        <v>-1.9032538000000001</v>
      </c>
      <c r="D182">
        <v>-0.54941773000000005</v>
      </c>
    </row>
    <row r="183" spans="2:4" x14ac:dyDescent="0.25">
      <c r="B183" s="5">
        <v>45708</v>
      </c>
      <c r="C183">
        <v>0.32789707000000001</v>
      </c>
      <c r="D183">
        <v>0.12009143999999999</v>
      </c>
    </row>
    <row r="184" spans="2:4" x14ac:dyDescent="0.25">
      <c r="B184" s="5">
        <v>45707</v>
      </c>
      <c r="C184">
        <v>1.2523173999999999</v>
      </c>
      <c r="D184">
        <v>-0.49099325999999999</v>
      </c>
    </row>
    <row r="185" spans="2:4" x14ac:dyDescent="0.25">
      <c r="B185" s="5">
        <v>45706</v>
      </c>
      <c r="C185">
        <v>0.29625892999999998</v>
      </c>
      <c r="D185">
        <v>1.1111617</v>
      </c>
    </row>
    <row r="186" spans="2:4" x14ac:dyDescent="0.25">
      <c r="B186" s="5">
        <v>45702</v>
      </c>
      <c r="C186">
        <v>-0.51395893000000004</v>
      </c>
      <c r="D186">
        <v>-0.94092489999999995</v>
      </c>
    </row>
    <row r="187" spans="2:4" x14ac:dyDescent="0.25">
      <c r="B187" s="5">
        <v>45701</v>
      </c>
      <c r="C187">
        <v>0.36671162000000002</v>
      </c>
      <c r="D187">
        <v>2.0550728</v>
      </c>
    </row>
    <row r="188" spans="2:4" x14ac:dyDescent="0.25">
      <c r="B188" s="5">
        <v>45700</v>
      </c>
      <c r="C188">
        <v>-0.58331489999999997</v>
      </c>
      <c r="D188">
        <v>1.7669082</v>
      </c>
    </row>
    <row r="189" spans="2:4" x14ac:dyDescent="0.25">
      <c r="B189" s="5">
        <v>45699</v>
      </c>
      <c r="C189">
        <v>-0.1892209</v>
      </c>
      <c r="D189">
        <v>0.58012010000000003</v>
      </c>
    </row>
    <row r="190" spans="2:4" x14ac:dyDescent="0.25">
      <c r="B190" s="5">
        <v>45698</v>
      </c>
      <c r="C190">
        <v>0.60280560000000005</v>
      </c>
      <c r="D190">
        <v>-0.15600919999999999</v>
      </c>
    </row>
    <row r="191" spans="2:4" x14ac:dyDescent="0.25">
      <c r="B191" s="5">
        <v>45695</v>
      </c>
      <c r="C191">
        <v>-1.4597654</v>
      </c>
      <c r="D191">
        <v>-0.36531687000000002</v>
      </c>
    </row>
    <row r="192" spans="2:4" x14ac:dyDescent="0.25">
      <c r="B192" s="5">
        <v>45694</v>
      </c>
      <c r="C192">
        <v>0.61216353999999995</v>
      </c>
      <c r="D192">
        <v>-0.62272550000000004</v>
      </c>
    </row>
    <row r="193" spans="2:4" x14ac:dyDescent="0.25">
      <c r="B193" s="5">
        <v>45693</v>
      </c>
      <c r="C193">
        <v>0.22310019</v>
      </c>
      <c r="D193">
        <v>0.77098610000000001</v>
      </c>
    </row>
    <row r="194" spans="2:4" x14ac:dyDescent="0.25">
      <c r="B194" s="5">
        <v>45692</v>
      </c>
      <c r="C194">
        <v>0.35285949999999999</v>
      </c>
      <c r="D194">
        <v>0.80767869999999997</v>
      </c>
    </row>
    <row r="195" spans="2:4" x14ac:dyDescent="0.25">
      <c r="B195" s="5">
        <v>45691</v>
      </c>
      <c r="C195">
        <v>-0.99744200000000005</v>
      </c>
      <c r="D195">
        <v>-0.15488863</v>
      </c>
    </row>
    <row r="196" spans="2:4" x14ac:dyDescent="0.25">
      <c r="B196" s="5">
        <v>45688</v>
      </c>
      <c r="C196">
        <v>1.6868114E-2</v>
      </c>
      <c r="D196">
        <v>-1.2973607</v>
      </c>
    </row>
    <row r="197" spans="2:4" x14ac:dyDescent="0.25">
      <c r="B197" s="5">
        <v>45687</v>
      </c>
      <c r="C197">
        <v>-6.1809063000000002</v>
      </c>
      <c r="D197">
        <v>1.3312101000000001</v>
      </c>
    </row>
    <row r="198" spans="2:4" x14ac:dyDescent="0.25">
      <c r="B198" s="5">
        <v>45686</v>
      </c>
      <c r="C198">
        <v>-1.0890067000000001</v>
      </c>
      <c r="D198">
        <v>-0.33653975000000003</v>
      </c>
    </row>
    <row r="199" spans="2:4" x14ac:dyDescent="0.25">
      <c r="B199" s="5">
        <v>45685</v>
      </c>
      <c r="C199">
        <v>2.9086946999999999</v>
      </c>
      <c r="D199">
        <v>-0.41731000000000001</v>
      </c>
    </row>
    <row r="200" spans="2:4" x14ac:dyDescent="0.25">
      <c r="B200" s="5">
        <v>45684</v>
      </c>
      <c r="C200">
        <v>-2.1393477999999999</v>
      </c>
      <c r="D200">
        <v>1.0516882000000001</v>
      </c>
    </row>
    <row r="201" spans="2:4" x14ac:dyDescent="0.25">
      <c r="B201" s="5">
        <v>45681</v>
      </c>
      <c r="C201">
        <v>-0.59322715000000004</v>
      </c>
      <c r="D201">
        <v>1.2020111</v>
      </c>
    </row>
    <row r="202" spans="2:4" x14ac:dyDescent="0.25">
      <c r="B202" s="5">
        <v>45680</v>
      </c>
      <c r="C202">
        <v>0.11429787</v>
      </c>
      <c r="D202">
        <v>-0.2536118</v>
      </c>
    </row>
    <row r="203" spans="2:4" x14ac:dyDescent="0.25">
      <c r="B203" s="5">
        <v>45679</v>
      </c>
      <c r="C203">
        <v>4.1306972999999996</v>
      </c>
      <c r="D203">
        <v>1.5224694999999999</v>
      </c>
    </row>
    <row r="204" spans="2:4" x14ac:dyDescent="0.25">
      <c r="B204" s="5">
        <v>45678</v>
      </c>
      <c r="C204">
        <v>-0.12353659</v>
      </c>
      <c r="D204">
        <v>1.6235470999999999</v>
      </c>
    </row>
    <row r="205" spans="2:4" x14ac:dyDescent="0.25">
      <c r="B205" s="5">
        <v>45674</v>
      </c>
      <c r="C205">
        <v>1.0481</v>
      </c>
      <c r="D205">
        <v>0.52866935999999998</v>
      </c>
    </row>
    <row r="206" spans="2:4" x14ac:dyDescent="0.25">
      <c r="B206" s="5">
        <v>45673</v>
      </c>
      <c r="C206">
        <v>-0.40581225999999998</v>
      </c>
      <c r="D206">
        <v>-9.2130900000000002E-2</v>
      </c>
    </row>
    <row r="207" spans="2:4" x14ac:dyDescent="0.25">
      <c r="B207" s="5">
        <v>45672</v>
      </c>
      <c r="C207">
        <v>2.5597215000000002</v>
      </c>
      <c r="D207">
        <v>0.32572746000000002</v>
      </c>
    </row>
    <row r="208" spans="2:4" x14ac:dyDescent="0.25">
      <c r="B208" s="5">
        <v>45671</v>
      </c>
      <c r="C208">
        <v>-0.36433935000000001</v>
      </c>
      <c r="D208">
        <v>2.2075057</v>
      </c>
    </row>
    <row r="209" spans="2:4" x14ac:dyDescent="0.25">
      <c r="B209" s="5">
        <v>45670</v>
      </c>
      <c r="C209">
        <v>-0.42009950000000001</v>
      </c>
      <c r="D209">
        <v>-0.33574700000000002</v>
      </c>
    </row>
    <row r="210" spans="2:4" x14ac:dyDescent="0.25">
      <c r="B210" s="5">
        <v>45667</v>
      </c>
      <c r="C210">
        <v>-1.3213634000000001</v>
      </c>
      <c r="D210">
        <v>-0.67130330000000005</v>
      </c>
    </row>
    <row r="211" spans="2:4" x14ac:dyDescent="0.25">
      <c r="B211" s="5">
        <v>45665</v>
      </c>
      <c r="C211">
        <v>0.51850079999999998</v>
      </c>
      <c r="D211">
        <v>0.68756340000000005</v>
      </c>
    </row>
    <row r="212" spans="2:4" x14ac:dyDescent="0.25">
      <c r="B212" s="5">
        <v>45664</v>
      </c>
      <c r="C212">
        <v>-1.2808263</v>
      </c>
      <c r="D212">
        <v>0.92561245000000003</v>
      </c>
    </row>
    <row r="213" spans="2:4" x14ac:dyDescent="0.25">
      <c r="B213" s="5">
        <v>45663</v>
      </c>
      <c r="C213">
        <v>1.0629535000000001</v>
      </c>
      <c r="D213">
        <v>0.24693012</v>
      </c>
    </row>
    <row r="214" spans="2:4" x14ac:dyDescent="0.25">
      <c r="B214" s="5">
        <v>45660</v>
      </c>
      <c r="C214">
        <v>1.1395693</v>
      </c>
      <c r="D214">
        <v>-0.66914560000000001</v>
      </c>
    </row>
    <row r="215" spans="2:4" x14ac:dyDescent="0.25">
      <c r="B215" s="5">
        <v>45659</v>
      </c>
      <c r="C215">
        <v>-0.69276689999999996</v>
      </c>
      <c r="D215">
        <v>-0.14793872999999999</v>
      </c>
    </row>
    <row r="216" spans="2:4" x14ac:dyDescent="0.25">
      <c r="B216" s="5">
        <v>45657</v>
      </c>
      <c r="C216">
        <v>-0.78383683999999998</v>
      </c>
      <c r="D216">
        <v>-0.24565458000000001</v>
      </c>
    </row>
    <row r="217" spans="2:4" x14ac:dyDescent="0.25">
      <c r="B217" s="5">
        <v>45656</v>
      </c>
      <c r="C217">
        <v>-1.3239502999999999</v>
      </c>
      <c r="D217">
        <v>-0.93749165999999995</v>
      </c>
    </row>
    <row r="218" spans="2:4" x14ac:dyDescent="0.25">
      <c r="B218" s="5">
        <v>45653</v>
      </c>
      <c r="C218">
        <v>-1.730156</v>
      </c>
      <c r="D218">
        <v>1.2063622000000001</v>
      </c>
    </row>
    <row r="219" spans="2:4" x14ac:dyDescent="0.25">
      <c r="B219" s="5">
        <v>45652</v>
      </c>
      <c r="C219">
        <v>-0.27769803999999998</v>
      </c>
      <c r="D219">
        <v>0.16839504</v>
      </c>
    </row>
    <row r="220" spans="2:4" x14ac:dyDescent="0.25">
      <c r="B220" s="5">
        <v>45650</v>
      </c>
      <c r="C220">
        <v>0.93739030000000001</v>
      </c>
      <c r="D220">
        <v>1.4436245E-2</v>
      </c>
    </row>
    <row r="221" spans="2:4" x14ac:dyDescent="0.25">
      <c r="B221" s="5">
        <v>45649</v>
      </c>
      <c r="C221">
        <v>-0.30921102</v>
      </c>
      <c r="D221">
        <v>-1.2330353000000001</v>
      </c>
    </row>
    <row r="222" spans="2:4" x14ac:dyDescent="0.25">
      <c r="B222" s="5">
        <v>45646</v>
      </c>
      <c r="C222">
        <v>-9.8389389999999993E-2</v>
      </c>
      <c r="D222">
        <v>-0.16899705000000001</v>
      </c>
    </row>
    <row r="223" spans="2:4" x14ac:dyDescent="0.25">
      <c r="B223" s="5">
        <v>45645</v>
      </c>
      <c r="C223">
        <v>-8.2308054000000005E-2</v>
      </c>
      <c r="D223">
        <v>-0.79973340000000004</v>
      </c>
    </row>
    <row r="224" spans="2:4" x14ac:dyDescent="0.25">
      <c r="B224" s="5">
        <v>45644</v>
      </c>
      <c r="C224">
        <v>-3.7561</v>
      </c>
      <c r="D224">
        <v>-0.65561530000000001</v>
      </c>
    </row>
    <row r="225" spans="2:4" x14ac:dyDescent="0.25">
      <c r="B225" s="5">
        <v>45643</v>
      </c>
      <c r="C225">
        <v>0.63552856000000002</v>
      </c>
      <c r="D225">
        <v>0.32461881999999997</v>
      </c>
    </row>
    <row r="226" spans="2:4" x14ac:dyDescent="0.25">
      <c r="B226" s="5">
        <v>45642</v>
      </c>
      <c r="C226">
        <v>0.96585750000000004</v>
      </c>
      <c r="D226">
        <v>0.84571839999999998</v>
      </c>
    </row>
    <row r="227" spans="2:4" x14ac:dyDescent="0.25">
      <c r="B227" s="5">
        <v>45639</v>
      </c>
      <c r="C227">
        <v>-0.50938724999999996</v>
      </c>
      <c r="D227">
        <v>0.32322406999999997</v>
      </c>
    </row>
    <row r="228" spans="2:4" x14ac:dyDescent="0.25">
      <c r="B228" s="5">
        <v>45638</v>
      </c>
      <c r="C228">
        <v>0.12695790000000001</v>
      </c>
      <c r="D228">
        <v>-0.37163496000000001</v>
      </c>
    </row>
    <row r="229" spans="2:4" x14ac:dyDescent="0.25">
      <c r="B229" s="5">
        <v>45637</v>
      </c>
      <c r="C229">
        <v>1.2767075999999999</v>
      </c>
      <c r="D229">
        <v>0.53343770000000001</v>
      </c>
    </row>
    <row r="230" spans="2:4" x14ac:dyDescent="0.25">
      <c r="B230" s="5">
        <v>45636</v>
      </c>
      <c r="C230">
        <v>-0.60310960000000002</v>
      </c>
      <c r="D230">
        <v>-0.37632585000000002</v>
      </c>
    </row>
    <row r="231" spans="2:4" x14ac:dyDescent="0.25">
      <c r="B231" s="5">
        <v>45635</v>
      </c>
      <c r="C231">
        <v>0.55233239999999995</v>
      </c>
      <c r="D231">
        <v>-0.72074530000000003</v>
      </c>
    </row>
    <row r="232" spans="2:4" x14ac:dyDescent="0.25">
      <c r="B232" s="5">
        <v>45632</v>
      </c>
      <c r="C232">
        <v>0.21463632999999999</v>
      </c>
      <c r="D232">
        <v>-0.71870685000000001</v>
      </c>
    </row>
    <row r="233" spans="2:4" x14ac:dyDescent="0.25">
      <c r="B233" s="5">
        <v>45631</v>
      </c>
      <c r="C233">
        <v>1.1887789</v>
      </c>
      <c r="D233">
        <v>1.6424894000000001</v>
      </c>
    </row>
    <row r="234" spans="2:4" x14ac:dyDescent="0.25">
      <c r="B234" s="5">
        <v>45630</v>
      </c>
      <c r="C234">
        <v>1.4424920000000001</v>
      </c>
      <c r="D234">
        <v>0.47714709999999999</v>
      </c>
    </row>
    <row r="235" spans="2:4" x14ac:dyDescent="0.25">
      <c r="B235" s="5">
        <v>45629</v>
      </c>
      <c r="C235">
        <v>5.1045418000000002E-2</v>
      </c>
      <c r="D235">
        <v>-0.13005137</v>
      </c>
    </row>
    <row r="236" spans="2:4" x14ac:dyDescent="0.25">
      <c r="B236" s="5">
        <v>45628</v>
      </c>
      <c r="C236">
        <v>1.7758489</v>
      </c>
      <c r="D236">
        <v>-0.69678426000000004</v>
      </c>
    </row>
    <row r="237" spans="2:4" x14ac:dyDescent="0.25">
      <c r="B237" s="5">
        <v>45625</v>
      </c>
      <c r="C237">
        <v>0.11111498</v>
      </c>
      <c r="D237">
        <v>1.1892796000000001</v>
      </c>
    </row>
    <row r="238" spans="2:4" x14ac:dyDescent="0.25">
      <c r="B238" s="5">
        <v>45623</v>
      </c>
      <c r="C238">
        <v>-1.1682509999999999</v>
      </c>
      <c r="D238">
        <v>2.3039580000000002</v>
      </c>
    </row>
    <row r="239" spans="2:4" x14ac:dyDescent="0.25">
      <c r="B239" s="5">
        <v>45622</v>
      </c>
      <c r="C239">
        <v>2.1968006999999998</v>
      </c>
      <c r="D239">
        <v>-0.10830164</v>
      </c>
    </row>
    <row r="240" spans="2:4" x14ac:dyDescent="0.25">
      <c r="B240" s="5">
        <v>45621</v>
      </c>
      <c r="C240">
        <v>0.42926072999999998</v>
      </c>
      <c r="D240">
        <v>0.98817350000000004</v>
      </c>
    </row>
    <row r="241" spans="2:4" x14ac:dyDescent="0.25">
      <c r="B241" s="5">
        <v>45618</v>
      </c>
      <c r="C241">
        <v>1.0003209</v>
      </c>
      <c r="D241">
        <v>-3.1822919999999998E-2</v>
      </c>
    </row>
    <row r="242" spans="2:4" x14ac:dyDescent="0.25">
      <c r="B242" s="5">
        <v>45617</v>
      </c>
      <c r="C242">
        <v>-0.63058139999999996</v>
      </c>
      <c r="D242">
        <v>0.71275233999999998</v>
      </c>
    </row>
    <row r="243" spans="2:4" x14ac:dyDescent="0.25">
      <c r="B243" s="5">
        <v>45616</v>
      </c>
      <c r="C243">
        <v>-0.55052040000000002</v>
      </c>
      <c r="D243">
        <v>-0.62343479999999996</v>
      </c>
    </row>
    <row r="244" spans="2:4" x14ac:dyDescent="0.25">
      <c r="B244" s="5">
        <v>45615</v>
      </c>
      <c r="C244">
        <v>0.48825740000000001</v>
      </c>
      <c r="D244">
        <v>-0.53545237000000001</v>
      </c>
    </row>
    <row r="245" spans="2:4" x14ac:dyDescent="0.25">
      <c r="B245" s="5">
        <v>45614</v>
      </c>
      <c r="C245">
        <v>0.18312930999999999</v>
      </c>
      <c r="D245">
        <v>1.7999172000000001</v>
      </c>
    </row>
    <row r="246" spans="2:4" x14ac:dyDescent="0.25">
      <c r="B246" s="5">
        <v>45611</v>
      </c>
      <c r="C246">
        <v>-2.7852654000000001</v>
      </c>
      <c r="D246">
        <v>-1.0476707999999999</v>
      </c>
    </row>
    <row r="247" spans="2:4" x14ac:dyDescent="0.25">
      <c r="B247" s="5">
        <v>45610</v>
      </c>
      <c r="C247">
        <v>0.39745570000000002</v>
      </c>
      <c r="D247">
        <v>1.3595820000000001</v>
      </c>
    </row>
    <row r="248" spans="2:4" x14ac:dyDescent="0.25">
      <c r="B248" s="5">
        <v>45609</v>
      </c>
      <c r="C248">
        <v>0.51296949999999997</v>
      </c>
      <c r="D248">
        <v>-0.85520149999999995</v>
      </c>
    </row>
    <row r="249" spans="2:4" x14ac:dyDescent="0.25">
      <c r="B249" s="5">
        <v>45608</v>
      </c>
      <c r="C249">
        <v>1.2009262999999999</v>
      </c>
      <c r="D249">
        <v>-2.4557829999999998</v>
      </c>
    </row>
    <row r="250" spans="2:4" x14ac:dyDescent="0.25">
      <c r="B250" s="5">
        <v>45607</v>
      </c>
      <c r="C250">
        <v>-1.0720848999999999</v>
      </c>
      <c r="D250">
        <v>-5.2666664000000002E-2</v>
      </c>
    </row>
    <row r="251" spans="2:4" x14ac:dyDescent="0.25">
      <c r="B251" s="5">
        <v>45604</v>
      </c>
      <c r="C251">
        <v>-0.67930820000000003</v>
      </c>
      <c r="D251">
        <v>-0.48888325999999999</v>
      </c>
    </row>
    <row r="252" spans="2:4" x14ac:dyDescent="0.25">
      <c r="B252" s="5">
        <v>45603</v>
      </c>
      <c r="C252">
        <v>1.2494683</v>
      </c>
      <c r="D252">
        <v>-0.20989179999999999</v>
      </c>
    </row>
    <row r="253" spans="2:4" x14ac:dyDescent="0.25">
      <c r="B253" s="5">
        <v>45602</v>
      </c>
      <c r="C253">
        <v>2.1192790000000001</v>
      </c>
      <c r="D253">
        <v>-3.0855237999999998</v>
      </c>
    </row>
    <row r="254" spans="2:4" x14ac:dyDescent="0.25">
      <c r="B254" s="5">
        <v>45601</v>
      </c>
      <c r="C254">
        <v>0.73446034999999998</v>
      </c>
      <c r="D254">
        <v>0.90944767000000004</v>
      </c>
    </row>
    <row r="255" spans="2:4" x14ac:dyDescent="0.25">
      <c r="B255" s="5">
        <v>45600</v>
      </c>
      <c r="C255">
        <v>-0.46543479999999998</v>
      </c>
      <c r="D255">
        <v>-3.1590462000000001E-3</v>
      </c>
    </row>
    <row r="256" spans="2:4" x14ac:dyDescent="0.25">
      <c r="B256" s="5">
        <v>45597</v>
      </c>
      <c r="C256">
        <v>0.98929405000000004</v>
      </c>
      <c r="D256">
        <v>1.2402654</v>
      </c>
    </row>
    <row r="257" spans="2:4" x14ac:dyDescent="0.25">
      <c r="B257" s="5">
        <v>45596</v>
      </c>
      <c r="C257">
        <v>-6.0527563000000004</v>
      </c>
      <c r="D257">
        <v>-0.3442347</v>
      </c>
    </row>
    <row r="258" spans="2:4" x14ac:dyDescent="0.25">
      <c r="B258" s="5"/>
    </row>
    <row r="259" spans="2:4" x14ac:dyDescent="0.25">
      <c r="B259" s="5"/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5270144"><![CDATA[{"MSFT-US^CORREL(P_PRICE_RETURNS(0,45961,45961-1AY,D,USD),VALUE('DB1-DE',P_PRICE_RETURNS(0,45961,45961-1AY,D,USD)))":-0.0331097002333049,"DB1-DE^P_PRICE_RETURNS(0,45961,45961-1AY,D,USD)":[-0.59781075,-0.72221756,-1.386553,-1.4789104,-0.6184697,1.1202931,1.1383414,-0.34028292,0.020182133,0.55828094,0.18906593,-1.1930585,-1.4507294,0.68496466,0.40740967,-0.4949212,-0.16490221,0.33608675,-0.094759464,-0.7329166,-1.636064,1.4899611,-0.5684078,0.96725225,1.3098955,-0.0011146069,0.82228184,-0.30992627,-1.4461219,-0.6765723,-1.970613,-0.6675422,-0.61970353,-1.8220067,-0.2794385,-0.38256645,-0.53316355,-1.0971367,-1.2857854,0.7238388,0.4636407,-0.32513142,1.1509418,-3.2894433,-0.5345702,-0.118893385,-0.8336842,-0.7721782,0.07172823,0.36586523,-1.0120869,1.8393755,-0.20548105,-0.6388068,0.12471676,0.47824383,1.2793303,-2.6678443,0.4564166,0.055885315,1.2557268,0.7595062,-0.7264197,1.030004,1.1509776,0.25185347,-0.9177804,0.6356001,-2.661705,-1.9604623,-0.1085639,-0.025743246,-0.46576858,-0.3309667,0.74658394,-0.64299107,0.4210353,-1.5692115,-0.45944452,-0.8166909,-1.069063,0.82303286,-2.162516,1.0196567,0.9867668,-2.2384048,-0.42022467,-0.005620718,0.4475355,2.1905422,0.58811903,0.34290552,0.17141104,1.0971785,-0.5299926,-1.7605424,2.5192618,-1.8389881,-0.120568275,-0.66268444,-1.1976421,-1.1274159,0.4581213,0.2809286,0.7167697,-1.8764913,1.4417529,-0.05289316,-0.37852526,-1.3144195,0.49550533,0.51522255,-0.9987533,1.628685,0.5199194,1.0913968,1.2136459,-0.7677257,1.1031508,0.20376444,-4.3222666,0.6513357,-2.1890342,0.014257431,-0.41734576,0.98125935,2.8728843,-0.7565379,3.5863638,-1.5455365,-1.7126858,0.6321311,0.45737028,-0.1170516,2.0285368,1.3039112,0.49648285,-0.18606782,0.8052349,1.237917,3.0044198,5.358839,-2.1427095,4.818809,-5.452174,-8.28898,3.7827492,0.7532358,1.4395475,-0.010293722,1.4265537,1.5482664,-0.84555745,1.3532758,-1.6710758,-0.013536215,-2.3656309,-0.016468763,0.27252436,0.52508116,2.4481058,-0.39724112,1.0669589,-0.20846128,1.9872069,1.0303974,0.50166845,2.6073694,-0.49691796,3.2704234,-0.7176876,-0.61460733,2.3970842,0.89144707,-0.51630735,-0.54941773,0.12009144,-0.49099326,1.1111617,-0.9409249,2.0550728,1.7669082,0.5801201,-0.1560092,-0.36531687,-0.6227255,0.7709861,0.8076787,-0.15488863,-1.2973607,1.3312101,-0.33653975,-0.41731,1.0516882,1.2020111,-0.2536118,1.5224695,1.6235471,0.52866936,-0.0921309,0.32572746,2.2075057,-0.335747,-0.6713033,0.6875634,0.92561245,0.24693012,-0.6691456,-0.14793873,-0.24565458,-0.93749166,1.2063622,0.16839504,0.014436245,-1.2330353,-0.16899705,-0.7997334,-0.6556153,0.32461882,0.8457184,0.32322407,-0.37163496,0.5334377,-0.37632585,-0.7207453,-0.71870685,1.6424894,0.4771471,-0.13005137,-0.69678426,1.1892796,2.303958,-0.10830164,0.9881735,-0.03182292,0.71275234,-0.6234348,-0.53545237,1.7999172,-1.0476708,1.359582,-0.8552015,-2.455783,-0.052666664,-0.48888326,-0.2098918,-3.0855238,0.90944767,-0.0031590462,1.2402654,-0.3442347],"MSFT-US^P_PRICE_RETURNS(0,45961,45961-1AY,D,USD)":[-1.5120983,-2.9156983,-0.095933676,1.9848704,1.5106678,0.58590174,0.00385046,0.55634975,0.16834736,0.6250143,0.38506985,-0.35448074,-0.027263165,-0.093370676,0.6047487,-2.1898985,-0.46678782,0.1660347,-0.86838603,2.1687508,0.31217337,-0.7638931,0.33980608,0.65100193,0.61392784,0.8737087,-0.6115854,0.18066168,-1.0146737,-0.6718993,1.864481,-0.3078282,0.19251108,-1.2263238,1.0707974,1.7744184,0.12791157,0.3932476,0.042152405,0.646472,-2.553302,0.5184531,0.04553795,-0.30985475,-0.57884455,0.57228804,0.9361744,-0.44025183,-0.5855322,0.59297085,-0.29265285,-0.7944763,-1.4175177,-0.5901933,-0.4421234,0.36497116,-1.6363025,1.4316559,-0.05171299,0.23038387,-0.7810354,-0.5324483,-1.4730096,2.199924,-1.7600775,3.9474726,0.13071299,0.013661385,-0.23554564,0.55395365,0.99037886,0.11874437,-0.93910694,0.0019669533,-0.32246113,1.202488,-0.03954172,0.55663586,-0.059610605,0.36691427,-0.40317178,1.3873816,-0.22100806,-0.22451878,1.5781164,-0.19509792,-1.0775864,0.29640198,-0.30354857,1.0522723,0.44071674,0.8456707,1.8014312,-0.5913675,0.46020746,-0.22957921,0.8800745,-0.81650615,1.3224125,0.36098957,-0.3870964,0.50385,0.57731867,0.821352,0.19439459,0.21646023,0.3497243,0.36627054,0.2886176,-0.7228315,2.3346186,-1.0288835,0.50599575,-1.2222528,-0.15254617,1.0126114,0.25157928,0.04194975,0.8460641,-0.026708841,2.4001122,0.12780428,1.1122704,0.00923872,-0.6557107,0.20446777,2.3225188,7.6253533,0.30961037,0.73627234,-0.17609,1.1748075,3.4482718,2.0636797,2.144134,-2.3546696,-1.0306478,-3.6605954,-0.5363405,-0.16475916,1.8618107,-2.3406446,10.133684,-0.92214346,-0.55024624,-3.5565913,-2.3630142,-0.013077259,1.8114448,-0.900203,-3.0160248,0.15641451,-1.3133943,0.5291581,0.46515465,1.1425972,-0.25269985,1.1211991,-1.3326526,0.03603697,2.584684,-1.1741042,0.7412195,0.076282024,-3.3434153,-0.902015,-1.0298669,3.193438,0.030887127,-2.141112,1.1362195,-1.8012166,0.45992136,-1.5099049,-1.0313272,-1.9032538,0.32789707,1.2523174,0.29625893,-0.51395893,0.36671162,-0.5833149,-0.1892209,0.6028056,-1.4597654,0.61216354,0.22310019,0.3528595,-0.997442,0.016868114,-6.1809063,-1.0890067,2.9086947,-2.1393478,-0.59322715,0.11429787,4.1306973,-0.12353659,1.0481,-0.40581226,2.5597215,-0.36433935,-0.4200995,-1.3213634,0.5185008,-1.2808263,1.0629535,1.1395693,-0.6927669,-0.78383684,-1.3239503,-1.730156,-0.27769804,0.9373903,-0.30921102,-0.09838939,-0.082308054,-3.7561,0.63552856,0.9658575,-0.50938725,0.1269579,1.2767076,-0.6031096,0.5523324,0.21463633,1.1887789,1.442492,0.051045418,1.7758489,0.11111498,-1.168251,2.1968007,0.42926073,1.0003209,-0.6305814,-0.5505204,0.4882574,0.18312931,-2.7852654,0.3974557,0.5129695,1.2009263,-1.0720849,-0.6793082,1.2494683,2.119279,0.73446035,-0.4654348,0.98929405,-6.0527563],"MSFT-US^JULIAN(FG_PRICE(45961,45961-1AY,,USD).DATES)":[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],"^PSETCAL(\"NAY\",,\"NAME\")":"calendar: United States","^FG_COMPANY_NAME":null,"^PROPER_NAME":null,"700-HK^PROPER_NAME":"Tencent Holdings Ltd","7309-JP^PROPER_NAME":"Shimano Inc.","CNR-CA^PROPER_NAME":"Canadian National Railway Company","SAP-DE^PROPER_NAME":"SAP SE","WCN-CA^PROPER_NAME":"Waste Connections, Inc.","2020-HK^PROPER_NAME":"ANTA Sports Products Ltd.","6861-JP^PROPER_NAME":"Keyence Corporation","ROG-CH^PROPER_NAME":"Roche Holding Ltd Dividend Right Cert.","AZN-GB^PROPER_NAME":"AstraZeneca PLC","B3SA3-BR^PROPER_NAME":"B3 SA - Brasil, Bolsa, Balcao","EVD-DE^PROPER_NAME":"CTS Eventim AG & Co. KGaA","CPG-GB^PROPER_NAME":"Compass Group PLC","DGE-GB^PROPER_NAME":"Diageo plc","ATCO.B-SE^PROPER_NAME":"Atlas Copco AB Class B","AMS-ES^PROPER_NAME":"Amadeus IT Group SA Class A","BBRI-ID^PROPER_NAME":"PT Bank Rakyat Indonesia (Persero) Tbk Class B","NXPI-US^PROPER_NAME":"NXP Semiconductors NV","KNEBV-FI^PROPER_NAME":"KONE Oyj Class B","BKNG-US^PROPER_NAME":"Booking Holdings Inc.","WKL-NL^PROPER_NAME":"Wolters Kluwer N.V.","RTO-GB^PROPER_NAME":"Rentokil Initial plc","CTEC-GB^PROPER_NAME":"ConvaTec Group Plc","SAF-FR^PROPER_NAME":"Safran SA","CFR-CH^PROPER_NAME":"Compagnie Financiere Richemont SA","HDB-US^PROPER_NAME":"HDFC Bank Limited Sponsored ADR","DB1-DE^PROPER_NAME":"Deutsche Boerse AG","AIR-FR^PROPER_NAME":"Airbus SE","EXPN-GB^PROPER_NAME":"Experian PLC","1299-HK^PROPER_NAME":"AIA Group Limited","ASML-NL^PROPER_NAME":"ASML Holding NV","MC-FR^PROPER_NAME":"LVMH Moet Hennessy Louis Vuitton SE","LSEG-GB^PROPER_NAME":"London Stock Exchange Group plc","HWDN-GB^PROPER_NAME":"Howden Joinery Group PLC","TSM-US^PROPER_NAME":"Taiwan Semiconductor Manufacturing Co., Ltd. Sponsored ADR","DUMMY^CORREL_MATRIX(CORRELMATRIX)":[[1.0,0.2016102,0.03502613,0.15074104,0.43766844,0.02677071,0.22119902,0.1352449,-0.06363522,0.17074868,0.2152212,0.15628964,-0.03547859,0.070999414,0.09910482,0.36439994,0.11078909,0.5337269,0.03315946,0.15411235,0.28482166,-0.017763719,-0.050786275,0.05225004,0.20174116,-0.028641848,0.04171445,0.010977529,0.062595956,0.059947733,-0.057924442,0.21595953,0.27851138,-0.081626385,0.119410895],[0.2016102,1.0,0.17540178,0.22356512,0.3068318,0.14614476,0.4966576,0.3262835,0.28594866,0.14904237,0.23510537,0.29358742,0.32923725,0.37215298,0.28943178,-0.0002352991,0.40172526,0.13039854,0.17884493,0.4095792,0.42082858,0.36450264,0.31964535,0.18230127,0.23213917,0.28594145,0.3273719,0.24332625,0.12904733,0.33050662,0.22935522,0.3507537,0.18346831,0.14472236,0.19459611],[0.03502613,0.17540178,1.0,0.16511649,0.21917817,0.1847714,0.48770332,0.32175112,0.5397166,0.18840212,0.30338976,0.35225013,0.1402999,0.29590514,0.3531681,0.046612892,0.32373336,-0.07841211,0.0013674931,0.4160566,0.32340598,0.2350764,0.45000884,0.23146549,0.07475526,0.31012017,0.30358872,0.24537939,0.18998167,0.271194,0.20074509,0.32113594,0.08721494,0.08399707,0.13332832],[0.15074104,0.22356512,0.16511649,1.0,0.35010865,0.2017084,0.33661872,0.3264516,0.15628089,0.06863676,0.7084689,0.27011287,0.07849169,0.29810172,0.10003306,-0.09764503,0.30676824,0.13514708,-0.009747014,0.3432031,0.4921413,0.40561318,0.16791087,0.14470027,0.10905091,0.25670838,0.28028268,0.19160673,0.20442711,0.20559439,-0.15405548,0.30684644,0.2211346,0.13994803,0.20510608],[0.43766844,0.3068318,0.21917817,0.35010865,1.0,0.22254519,0.37418604,0.4191544,0.1726909,0.019289445,0.41489258,0.4057334,0.1644987,0.21461849,0.30673862,0.074357785,0.2421671,0.2448608,0.057967663,0.3590363,0.55938077,0.15731986,0.09743263,0.23764521,0.1638235,0.2123797,0.24290255,0.18717746,0.1559833,0.18944849,-0.06535529,0.4734297,0.17918077,0.04571599,0.1861758],[0.02677071,0.14614476,0.1847714,0.2017084,0.22254519,1.0,0.2372412,0.21738803,0.17614497,0.014028702,0.18631756,0.25867388,0.17275564,0.15560365,0.05343457,-0.08871264,0.23671082,-0.037576653,0.16169031,0.21681729,0.22150849,0.22813876,0.16036934,0.09824306,-0.018170385,0.24254613,0.17184229,0.19413637,0.40221405,0.14313129,-0.07953433,0.17199817,0.060206905,0.18960677,0.5607699],[0.22119902,0.4966576,0.48770332,0.33661872,0.37418604,0.2372412,1.0,0.43797892,0.46837106,0.17198086,0.44526672,0.52336264,0.26455608,0.47416544,0.4877044,0.038410388,0.48443192,0.0622112,0.08743413,0.5557195,0.5400493,0.30304652,0.4977292,0.26397583,0.18386829,0.37367913,0.42642438,0.3432299,0.20998578,0.32206205,0.22432533,0.4890849,0.103094235,0.15262116,0.22183733],[0.1352449,0.3262835,0.32175112,0.3264516,0.4191544,0.21738803,0.43797892,1.0,0.4713695,0.021283152,0.40255374,0.73515487,0.17357951,0.32561794,0.25978714,0.13363004,0.42794052,0.10217859,0.17914937,0.4835819,0.56594205,0.284153,0.31604058,0.30752465,0.13144164,0.3271531,0.38833502,0.2899869,0.23161004,0.22954237,0.059079114,0.5575415,0.14176403,0.17432123,0.27632],[-0.06363522,0.28594866,0.5397166,0.15628089,0.1726909,0.17614497,0.46837106,0.4713695,1.0,0.23106073,0.27487147,0.4830332,0.27653736,0.38787025,0.4090742,0.045077868,0.5505592,-0.10421717,0.028936319,0.548809,0.38510957,0.28112525,0.51898545,0.3867691,0.17852163,0.35865834,0.4215214,0.28108692,0.22214368,0.3470274,0.3329314,0.40942347,-0.006852788,0.13194348,0.18057477],[0.17074868,0.14904237,0.18840212,0.06863676,0.019289445,0.014028702,0.17198086,0.021283152,0.23106073,1.0,0.08332677,0.0567712,0.05807975,0.18360609,0.17455158,0.18917152,0.18431702,0.13505624,-0.013575266,0.22873542,0.11041714,0.013671225,0.23347448,0.06354069,0.08317361,0.019612033,0.12091817,0.08272138,0.11057861,0.08992614,0.17917453,0.028851254,0.24307357,0.06709935,0.03767832],[0.2152212,0.23510537,0.30338976,0.7084689,0.41489258,0.18631756,0.44526672,0.40255374,0.27487147,0.08332677,1.0,0.41831774,0.13529061,0.32694912,0.21448971,0.046811033,0.34406522,0.1414663,-0.009620626,0.37477145,0.48767844,0.29353252,0.2740154,0.24078935,0.17702334,0.27349555,0.3368012,0.2478021,0.18669213,0.22483484,0.015824562,0.3602085,0.22089727,0.10239949,0.16291605],[0.15628964,0.29358742,0.35225013,0.27011287,0.4057334,0.25867388,0.52336264,0.73515487,0.4830332,0.0567712,0.41831774,1.0,0.18902901,0.39085189,0.3171405,0.1252096,0.38150775,0.06997624,0.1429428,0.50010216,0.5428138,0.12727375,0.3492444,0.28710538,0.15232435,0.2524586,0.3237911,0.30078158,0.21304756,0.20800872,0.1104657,0.54583,0.10563742,0.1936285,0.2866781],[-0.03547859,0.32923725,0.1402999,0.07849169,0.1644987,0.17275564,0.26455608,0.17357951,0.27653736,0.05807975,0.13529061,0.18902901,1.0,0.24446578,0.19450429,-0.02487879,0.31752628,0.005725695,0.15141891,0.26866916,0.24411368,0.20336391,0.2288296,0.1962973,0.13509624,0.25951245,0.30769202,0.1891398,0.081055865,0.22136728,0.255292,0.25077412,0.085949704,0.25352132,0.11454571],[0.070999414,0.37215298,0.29590514,0.29810172,0.21461849,0.15560365,0.47416544,0.32561794,0.38787025,0.18360609,0.32694912,0.39085189,0.24446578,1.0,0.28314096,0.08136538,0.38431457,-0.0152962115,0.031218844,0.42438856,0.3475067,0.23204273,0.43162385,0.24175681,0.09396382,0.22936404,0.27842107,0.29685256,0.10855271,0.26924542,0.13867246,0.3286871,0.08267522,0.21141453,0.17663784],[0.09910482,0.28943178,0.3531681,0.10003306,0.30673862,0.05343457,0.4877044,0.25978714,0.4090742,0.17455158,0.21448971,0.3171405,0.19450429,0.28314096,1.0,0.07421146,0.3541814,0.07213444,0.08205024,0.37443784,0.3267475,0.11479483,0.41029572,0.3016434,0.12585953,0.19305316,0.32065803,0.244078,0.23117582,0.3529354,0.23308715,0.36547488,0.062133037,0.09497922,0.053427767],[0.36439994,-0.0002352991,0.046612892,-0.09764503,0.074357785,-0.08871264,0.038410388,0.13363004,0.045077868,0.18917152,0.046811033,0.1252096,-0.02487879,0.08136538,0.07421146,1.0,0.01911752,0.47180098,0.015641212,0.11486694,0.08071236,-0.07652669,0.039223824,0.083811246,0.09308819,-0.12277892,-0.054725327,-0.012127049,0.055007394,0.011593699,0.2537712,0.08627242,0.28895235,-0.1712775,0.054096166],[0.11078909,0.40172526,0.32373336,0.30676824,0.2421671,0.23671082,0.48443192,0.42794052,0.5505592,0.18431702,0.34406522,0.38150775,0.31752628,0.38431457,0.3541814,0.01911752,1.0,0.052721508,0.13879712,0.48324394,0.48309493,0.35271543,0.44321752,0.28760263,0.17558433,0.3031061,0.4268981,0.2504429,0.22346146,0.3592497,0.25364012,0.30109495,0.14071634,0.24937627,0.23989664],[0.5337269,0.13039854,-0.07841211,0.13514708,0.2448608,-0.037576653,0.0622112,0.10217859,-0.10421717,0.13505624,0.1414663,0.06997624,0.005725695,-0.0152962115,0.07213444,0.47180098,0.052721508,1.0,0.04997468,0.064917356,0.20589297,-0.016663283,-0.08142888,0.027303716,0.18159315,-0.075408295,-0.0044936882,-0.07414621,0.106420085,0.084511384,0.07863597,0.0984504,0.45799685,-0.091191195,0.095930986],[0.03315946,0.17884493,0.0013674931,-0.009747014,0.057967663,0.16169031,0.08743413,0.17914937,0.028936319,-0.013575266,-0.009620626,0.1429428,0.15141891,0.031218844,0.08205024,0.015641212,0.13879712,0.04997468,1.0,0.07497314,0.13517284,0.08334151,0.049943402,0.040087383,0.09466651,0.05768385,0.06650752,0.21283594,0.052847072,0.024662735,-0.010600371,0.16404079,0.038051024,0.13013668,0.16925551],[0.15411235,0.4095792,0.4160566,0.3432031,0.3590363,0.21681729,0.5557195,0.4835819,0.548809,0.22873542,0.37477145,0.50010216,0.26866916,0.42438856,0.37443784,0.11486694,0.48324394,0.064917356,0.07497314,1.0,0.5010719,0.33401436,0.46922487,0.3540961,0.19737974,0.3914327,0.4603323,0.34748405,0.24459463,0.3376322,0.2662884,0.46701738,0.13644704,0.2015456,0.21400745],[0.28482166,0.42082858,0.32340598,0.4921413,0.55938077,0.22150849,0.5400493,0.56594205,0.38510957,0.11041714,0.48767844,0.5428138,0.24411368,0.3475067,0.3267475,0.08071236,0.48309493,0.20589297,0.13517284,0.5010719,1.0,0.358387,0.3207644,0.30692366,0.18999961,0.3419187,0.39844224,0.35925728,0.25416097,0.23686369,-0.010164931,0.51709276,0.23379037,0.18960334,0.26728672],[-0.017763719,0.36450264,0.2350764,0.40561318,0.15731986,0.22813876,0.30304652,0.284153,0.28112525,0.013671225,0.29353252,0.12727375,0.20336391,0.23204273,0.11479483,-0.07652669,0.35271543,-0.016663283,0.08334151,0.33401436,0.358387,1.0,0.27722868,0.20266853,0.11101738,0.36250973,0.33255085,0.20025006,0.18445571,0.2529854,0.10309486,0.2575241,0.13056427,0.13286468,0.15268478],[-0.050786275,0.31964535,0.45000884,0.16791087,0.09743263,0.16036934,0.4977292,0.31604058,0.51898545,0.23347448,0.2740154,0.3492444,0.2288296,0.43162385,0.41029572,0.039223824,0.44321752,-0.08142888,0.049943402,0.46922487,0.3207644,0.27722868,1.0,0.26094434,0.06266581,0.36906764,0.42985836,0.27392474,0.19902799,0.31384042,0.3115614,0.2128021,0.028714867,0.085260846,0.16420178],[0.05225004,0.18230127,0.23146549,0.14470027,0.23764521,0.09824306,0.26397583,0.30752465,0.3867691,0.06354069,0.24078935,0.28710538,0.1962973,0.24175681,0.3016434,0.083811246,0.28760263,0.027303716,0.040087383,0.3540961,0.30692366,0.20266853,0.26094434,1.0,0.1032919,0.21138793,0.2186692,0.21463935,0.09641192,0.25076324,0.06819944,0.2556804,-0.028452078,0.08018635,0.13080645],[0.20174116,0.23213917,0.07475526,0.10905091,0.1638235,-0.018170385,0.18386829,0.13144164,0.17852163,0.08317361,0.17702334,0.15232435,0.13509624,0.09396382,0.12585953,0.09308819,0.17558433,0.18159315,0.09466651,0.19737974,0.18999961,0.11101738,0.06266581,0.1032919,1.0,0.049492814,0.004794801,0.10873049,0.040733922,0.07919715,0.09606229,0.14665088,0.1305134,-0.009925574,0.14552775],[-0.028641848,0.28594145,0.31012017,0.25670838,0.2123797,0.24254613,0.37367913,0.3271531,0.35865834,0.019612033,0.27349555,0.2524586,0.25951245,0.22936404,0.19305316,-0.12277892,0.3031061,-0.075408295,0.05768385,0.3914327,0.3419187,0.36250973,0.36906764,0.21138793,0.049492814,1.0,0.7138852,0.2877426,0.13285092,0.2528032,0.13558584,0.26800707,-0.02124181,0.0795489,0.17336765],[0.04171445,0.3273719,0.30358872,0.28028268,0.24290255,0.17184229,0.42642438,0.38833502,0.4215214,0.12091817,0.3368012,0.3237911,0.30769202,0.27842107,0.32065803,-0.054725327,0.4268981,-0.0044936882,0.06650752,0.4603323,0.39844224,0.33255085,0.42985836,0.2186692,0.004794801,0.7138852,1.0,0.3309725,0.19470198,0.33717504,0.2053843,0.31169486,0.08713375,0.15707095,0.138961],[0.010977529,0.24332625,0.24537939,0.19160673,0.18717746,0.19413637,0.3432299,0.2899869,0.28108692,0.08272138,0.2478021,0.30078158,0.1891398,0.29685256,0.244078,-0.012127049,0.2504429,-0.07414621,0.21283594,0.34748405,0.35925728,0.20025006,0.27392474,0.21463935,0.10873049,0.2877426,0.3309725,1.0,0.17898272,0.09653021,0.016723461,0.20272684,-0.06231447,0.44326633,0.17801748],[0.062595956,0.12904733,0.18998167,0.20442711,0.1559833,0.40221405,0.20998578,0.23161004,0.22214368,0.11057861,0.18669213,0.21304756,0.081055865,0.10855271,0.23117582,0.055007394,0.22346146,0.106420085,0.052847072,0.24459463,0.25416097,0.18445571,0.19902799,0.09641192,0.040733922,0.13285092,0.19470198,0.17898272,1.0,0.1116133,0.0008258266,0.16492105,0.09241501,0.091334425,0.5021676],[0.059947733,0.33050662,0.271194,0.20559439,0.18944849,0.14313129,0.32206205,0.22954237,0.3470274,0.08992614,0.22483484,0.20800872,0.22136728,0.26924542,0.3529354,0.011593699,0.3592497,0.084511384,0.024662735,0.3376322,0.23686369,0.2529854,0.31384042,0.25076324,0.07919715,0.2528032,0.33717504,0.09653021,0.1116133,1.0,0.17546323,0.21205032,0.04399474,0.09690955,0.09188373],[-0.057924442,0.22935522,0.20074509,-0.15405548,-0.06535529,-0.07953433,0.22432533,0.059079114,0.3329314,0.17917453,0.015824562,0.1104657,0.255292,0.13867246,0.23308715,0.2537712,0.25364012,0.07863597,-0.010600371,0.2662884,-0.010164931,0.10309486,0.3115614,0.06819944,0.09606229,0.13558584,0.2053843,0.016723461,0.0008258266,0.17546323,1.0,0.122618124,0.09116485,-0.018513257,-0.101136655],[0.21595953,0.3507537,0.32113594,0.30684644,0.4734297,0.17199817,0.4890849,0.5575415,0.40942347,0.028851254,0.3602085,0.54583,0.25077412,0.3286871,0.36547488,0.08627242,0.30109495,0.0984504,0.16404079,0.46701738,0.51709276,0.2575241,0.2128021,0.2556804,0.14665088,0.26800707,0.31169486,0.20272684,0.16492105,0.21205032,0.122618124,1.0,0.15522352,0.08922366,0.18899372],[0.27851138,0.18346831,0.08721494,0.2211346,0.17918077,0.060206905,0.103094235,0.14176403,-0.006852788,0.24307357,0.22089727,0.10563742,0.085949704,0.08267522,0.062133037,0.28895235,0.14071634,0.45799685,0.038051024,0.13644704,0.23379037,0.13056427,0.028714867,-0.028452078,0.1305134,-0.02124181,0.08713375,-0.06231447,0.09241501,0.04399474,0.09116485,0.15522352,1.0,-0.08034415,0.090565026],[-0.081626385,0.14472236,0.08399707,0.13994803,0.04571599,0.18960677,0.15262116,0.17432123,0.13194348,0.06709935,0.10239949,0.1936285,0.25352132,0.21141453,0.09497922,-0.1712775,0.24937627,-0.091191195,0.13013668,0.2015456,0.18960334,0.13286468,0.085260846,0.08018635,-0.009925574,0.0795489,0.15707095,0.44326633,0.091334425,0.09690955,-0.018513257,0.08922366,-0.08034415,1.0,0.18539235],[0.119410895,0.19459611,0.13332832,0.20510608,0.1861758,0.5607699,0.22183733,0.27632,0.18057477,0.03767832,0.16291605,0.2866781,0.11454571,0.17663784,0.053427767,0.054096166,0.23989664,0.095930986,0.16925551,0.21400745,0.26728672,0.15268478,0.16420178,0.13080645,0.14552775,0.17336765,0.138961,0.17801748,0.5021676,0.09188373,-0.101136655,0.18899372,0.090565026,0.18539235,1.0]],"^IDS":["TSM-US","HWDN-GB","LSEG-GB","MC-FR","ASML-NL","1299-HK","EXPN-GB","AIR-FR","DB1-DE","HDB-US","CFR-CH","SAF-FR","CTEC-GB","RTO-GB","WKL-NL","BKNG-US","KNEBV-FI","NXPI-US","BBRI-ID","AMS-ES","ATCO.B-SE","DGE-GB","CPG-GB","EVD-DE","B3SA3-BR","AZN-GB","ROG-CH","6861-JP","2020-HK","UMG-NL","WCN-CA","SAP-DE","CNR-CA","7309-JP","700-HK"],"DUMMY^FLOAT_ARRAY CORRELMATRIX=GET_FQL_ARRAY(IDS,'P_PRICE_RETURNS(0,45961,45961-1AY,D,USD)');'FDS CODE - DO NOT DELETE'":"FDS CODE - DO NOT DELETE","DUMMY^STRING_ARRAY IDS=TICKER_LIST('TSM-US HWDN-GB LSEG-GB MC-FR ASML-NL 1299-HK EXPN-GB AIR-FR DB1-DE HDB-US CFR-CH SAF-FR CTEC-GB RTO-GB WKL-NL BKNG-US KNEBV-FI NXPI-US BBRI-ID AMS-ES ATCO.B-SE DGE-GB CPG-GB EVD-DE B3SA3-BR AZN-GB ROG-CH 6861-JP 2020-HK UMG-NL WCN-CA SAP-DE CNR-CA 7309-JP 700-HK');\"FDS CODE - DO NOT DELETE\"":"FDS CODE - DO NOT DELETE","DUMMY^PROPER(\"CORRELATION OF DAILY DATA BETWEEN \") + FG_DATE(45961-1AY) + LOWERCASE(\" AND \") + FG_DATE(45961) + LOWERCASE(\":\")":"Correlation Of Daily Data Between 10/31/2024 and 10/31/2025:","TSM-US^FG_COMPANY_NAME":"Taiwan Semiconductor Manufacturing Co., Ltd. Sponsored ADR","HWDN-GB^FG_COMPANY_NAME":"Howden Joinery Group PLC","LSEG-GB^FG_COMPANY_NAME":"London Stock Exchange Group plc","MC-FR^FG_COMPANY_NAME":"LVMH Moet Hennessy Louis Vuitton SE","ASML-NL^FG_COMPANY_NAME":"ASML Holding NV","1299-HK^FG_COMPANY_NAME":"AIA Group Limited","EXPN-GB^FG_COMPANY_NAME":"Experian PLC","AIR-FR^FG_COMPANY_NAME":"Airbus SE","DB1-DE^FG_COMPANY_NAME":"Deutsche Boerse AG","HDB-US^FG_COMPANY_NAME":"HDFC Bank Limited Sponsored ADR","CFR-CH^FG_COMPANY_NAME":"Compagnie Financiere Richemont SA","SAF-FR^FG_COMPANY_NAME":"Safran SA","CTEC-GB^FG_COMPANY_NAME":"ConvaTec Group Plc","RTO-GB^FG_COMPANY_NAME":"Rentokil Initial plc","WKL-NL^FG_COMPANY_NAME":"Wolters Kluwer N.V.","BKNG-US^FG_COMPANY_NAME":"Booking Holdings Inc.","KNEBV-FI^FG_COMPANY_NAME":"KONE Oyj Class B","NXPI-US^FG_COMPANY_NAME":"NXP Semiconductors NV","BBRI-ID^FG_COMPANY_NAME":"PT Bank Rakyat Indonesia (Persero) Tbk Class B","AMS-ES^FG_COMPANY_NAME":"Amadeus IT Group SA Class A","ATCO.B-SE^FG_COMPANY_NAME":"Atlas Copco AB Class B","DGE-GB^FG_COMPANY_NAME":"Diageo plc","CPG-GB^FG_COMPANY_NAME":"Compass Group PLC","EVD-DE^FG_COMPANY_NAME":"CTS Eventim AG & Co. KGaA","B3SA3-BR^FG_COMPANY_NAME":"B3 SA - Brasil, Bolsa, Balcao","AZN-GB^FG_COMPANY_NAME":"AstraZeneca PLC","ROG-CH^FG_COMPANY_NAME":"Roche Holding Ltd Dividend Right Cert.","6861-JP^FG_COMPANY_NAME":"Keyence Corporation","2020-HK^FG_COMPANY_NAME":"ANTA Sports Products Ltd.","UMG-NL^FG_COMPANY_NAME":"Universal Music Group N.V.","WCN-CA^FG_COMPANY_NAME":"Waste Connections, Inc.","SAP-DE^FG_COMPANY_NAME":"SAP SE","CNR-CA^FG_COMPANY_NAME":"Canadian National Railway Company","7309-JP^FG_COMPANY_NAME":"Shimano Inc.","700-HK^FG_COMPANY_NAME":"Tencent Holdings Ltd"}]]></FdsFormulaCache>
</file>

<file path=customXml/itemProps1.xml><?xml version="1.0" encoding="utf-8"?>
<ds:datastoreItem xmlns:ds="http://schemas.openxmlformats.org/officeDocument/2006/customXml" ds:itemID="{74FF4D24-8D79-4C37-BA48-BDAC80C4FE6D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2025-12-09T08:49:09Z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-528403289</vt:i4>
  </property>
  <property fmtid="{D5CDD505-2E9C-101B-9397-08002B2CF9AE}" pid="4" name="_NewReviewCycle">
    <vt:lpwstr/>
  </property>
  <property fmtid="{D5CDD505-2E9C-101B-9397-08002B2CF9AE}" pid="5" name="_EmailSubject">
    <vt:lpwstr>Correlation matrix due today - please hand over if you cannot finish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-616084431</vt:i4>
  </property>
  <property fmtid="{D5CDD505-2E9C-101B-9397-08002B2CF9AE}" pid="9" name="_ReviewingToolsShownOnce">
    <vt:lpwstr/>
  </property>
</Properties>
</file>