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8_{929E3687-1617-4416-B0A8-D2ECD0CD5905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1244" i="4" l="1"/>
  <c r="D1224" i="4"/>
  <c r="D1204" i="4"/>
  <c r="D1184" i="4"/>
  <c r="D1164" i="4"/>
  <c r="D1144" i="4"/>
  <c r="D1124" i="4"/>
  <c r="D1104" i="4"/>
  <c r="D1084" i="4"/>
  <c r="D1064" i="4"/>
  <c r="D1044" i="4"/>
  <c r="D1024" i="4"/>
  <c r="D1004" i="4"/>
  <c r="D984" i="4"/>
  <c r="D964" i="4"/>
  <c r="D944" i="4"/>
  <c r="D924" i="4"/>
  <c r="D904" i="4"/>
  <c r="D884" i="4"/>
  <c r="D864" i="4"/>
  <c r="D844" i="4"/>
  <c r="D824" i="4"/>
  <c r="D804" i="4"/>
  <c r="D784" i="4"/>
  <c r="D764" i="4"/>
  <c r="D744" i="4"/>
  <c r="D724" i="4"/>
  <c r="D704" i="4"/>
  <c r="D684" i="4"/>
  <c r="D664" i="4"/>
  <c r="D644" i="4"/>
  <c r="D624" i="4"/>
  <c r="D604" i="4"/>
  <c r="D584" i="4"/>
  <c r="D564" i="4"/>
  <c r="D544" i="4"/>
  <c r="D524" i="4"/>
  <c r="D504" i="4"/>
  <c r="D484" i="4"/>
  <c r="D464" i="4"/>
  <c r="D444" i="4"/>
  <c r="D424" i="4"/>
  <c r="D404" i="4"/>
  <c r="D384" i="4"/>
  <c r="D364" i="4"/>
  <c r="D344" i="4"/>
  <c r="D324" i="4"/>
  <c r="D304" i="4"/>
  <c r="D284" i="4"/>
  <c r="D264" i="4"/>
  <c r="D244" i="4"/>
  <c r="D224" i="4"/>
  <c r="D204" i="4"/>
  <c r="D184" i="4"/>
  <c r="D164" i="4"/>
  <c r="D144" i="4"/>
  <c r="D124" i="4"/>
  <c r="D104" i="4"/>
  <c r="D84" i="4"/>
  <c r="D64" i="4"/>
  <c r="D44" i="4"/>
  <c r="D24" i="4"/>
  <c r="D1263" i="4"/>
  <c r="D1243" i="4"/>
  <c r="D1223" i="4"/>
  <c r="D1203" i="4"/>
  <c r="D1183" i="4"/>
  <c r="D1163" i="4"/>
  <c r="D1143" i="4"/>
  <c r="D1123" i="4"/>
  <c r="D1103" i="4"/>
  <c r="D1083" i="4"/>
  <c r="D1063" i="4"/>
  <c r="D1043" i="4"/>
  <c r="D1023" i="4"/>
  <c r="D1003" i="4"/>
  <c r="D983" i="4"/>
  <c r="D963" i="4"/>
  <c r="D943" i="4"/>
  <c r="D923" i="4"/>
  <c r="D903" i="4"/>
  <c r="D883" i="4"/>
  <c r="D863" i="4"/>
  <c r="D843" i="4"/>
  <c r="D823" i="4"/>
  <c r="D1241" i="4"/>
  <c r="D1219" i="4"/>
  <c r="D1197" i="4"/>
  <c r="D1175" i="4"/>
  <c r="D1153" i="4"/>
  <c r="D1131" i="4"/>
  <c r="D1109" i="4"/>
  <c r="D1087" i="4"/>
  <c r="D1065" i="4"/>
  <c r="D1041" i="4"/>
  <c r="D1019" i="4"/>
  <c r="D997" i="4"/>
  <c r="D975" i="4"/>
  <c r="D953" i="4"/>
  <c r="D931" i="4"/>
  <c r="D909" i="4"/>
  <c r="D887" i="4"/>
  <c r="D865" i="4"/>
  <c r="D841" i="4"/>
  <c r="D819" i="4"/>
  <c r="D798" i="4"/>
  <c r="D777" i="4"/>
  <c r="D756" i="4"/>
  <c r="D735" i="4"/>
  <c r="D714" i="4"/>
  <c r="D693" i="4"/>
  <c r="D672" i="4"/>
  <c r="D651" i="4"/>
  <c r="D630" i="4"/>
  <c r="D609" i="4"/>
  <c r="D588" i="4"/>
  <c r="D567" i="4"/>
  <c r="D546" i="4"/>
  <c r="D525" i="4"/>
  <c r="D503" i="4"/>
  <c r="D482" i="4"/>
  <c r="D461" i="4"/>
  <c r="D440" i="4"/>
  <c r="D419" i="4"/>
  <c r="D398" i="4"/>
  <c r="D377" i="4"/>
  <c r="D356" i="4"/>
  <c r="D335" i="4"/>
  <c r="D314" i="4"/>
  <c r="D293" i="4"/>
  <c r="D272" i="4"/>
  <c r="D251" i="4"/>
  <c r="D230" i="4"/>
  <c r="D209" i="4"/>
  <c r="D188" i="4"/>
  <c r="D167" i="4"/>
  <c r="D146" i="4"/>
  <c r="D125" i="4"/>
  <c r="D103" i="4"/>
  <c r="D82" i="4"/>
  <c r="D61" i="4"/>
  <c r="D40" i="4"/>
  <c r="D19" i="4"/>
  <c r="D1240" i="4"/>
  <c r="D974" i="4"/>
  <c r="D908" i="4"/>
  <c r="D862" i="4"/>
  <c r="D840" i="4"/>
  <c r="D818" i="4"/>
  <c r="D776" i="4"/>
  <c r="D755" i="4"/>
  <c r="D734" i="4"/>
  <c r="D713" i="4"/>
  <c r="D692" i="4"/>
  <c r="D671" i="4"/>
  <c r="D629" i="4"/>
  <c r="D608" i="4"/>
  <c r="D587" i="4"/>
  <c r="D566" i="4"/>
  <c r="D545" i="4"/>
  <c r="D523" i="4"/>
  <c r="D502" i="4"/>
  <c r="D481" i="4"/>
  <c r="D460" i="4"/>
  <c r="D439" i="4"/>
  <c r="D418" i="4"/>
  <c r="D376" i="4"/>
  <c r="D355" i="4"/>
  <c r="D334" i="4"/>
  <c r="D313" i="4"/>
  <c r="D292" i="4"/>
  <c r="D271" i="4"/>
  <c r="D250" i="4"/>
  <c r="D229" i="4"/>
  <c r="D208" i="4"/>
  <c r="D187" i="4"/>
  <c r="D166" i="4"/>
  <c r="D145" i="4"/>
  <c r="D123" i="4"/>
  <c r="D102" i="4"/>
  <c r="D81" i="4"/>
  <c r="D60" i="4"/>
  <c r="D18" i="4"/>
  <c r="D951" i="4"/>
  <c r="D522" i="4"/>
  <c r="D333" i="4"/>
  <c r="D249" i="4"/>
  <c r="D186" i="4"/>
  <c r="D143" i="4"/>
  <c r="D80" i="4"/>
  <c r="D17" i="4"/>
  <c r="D1238" i="4"/>
  <c r="D1194" i="4"/>
  <c r="D1172" i="4"/>
  <c r="D1128" i="4"/>
  <c r="D1082" i="4"/>
  <c r="D1038" i="4"/>
  <c r="D994" i="4"/>
  <c r="D950" i="4"/>
  <c r="D906" i="4"/>
  <c r="D860" i="4"/>
  <c r="D816" i="4"/>
  <c r="D774" i="4"/>
  <c r="D711" i="4"/>
  <c r="D669" i="4"/>
  <c r="D627" i="4"/>
  <c r="D585" i="4"/>
  <c r="D542" i="4"/>
  <c r="D500" i="4"/>
  <c r="D416" i="4"/>
  <c r="D374" i="4"/>
  <c r="D332" i="4"/>
  <c r="D290" i="4"/>
  <c r="D248" i="4"/>
  <c r="D185" i="4"/>
  <c r="D142" i="4"/>
  <c r="D100" i="4"/>
  <c r="D58" i="4"/>
  <c r="D16" i="4"/>
  <c r="D1237" i="4"/>
  <c r="D1171" i="4"/>
  <c r="D1127" i="4"/>
  <c r="D1081" i="4"/>
  <c r="D1037" i="4"/>
  <c r="D993" i="4"/>
  <c r="D949" i="4"/>
  <c r="D905" i="4"/>
  <c r="D859" i="4"/>
  <c r="D815" i="4"/>
  <c r="D773" i="4"/>
  <c r="D731" i="4"/>
  <c r="D1262" i="4"/>
  <c r="D1218" i="4"/>
  <c r="D1196" i="4"/>
  <c r="D1174" i="4"/>
  <c r="D1152" i="4"/>
  <c r="D1130" i="4"/>
  <c r="D1108" i="4"/>
  <c r="D1086" i="4"/>
  <c r="D1062" i="4"/>
  <c r="D1040" i="4"/>
  <c r="D1018" i="4"/>
  <c r="D996" i="4"/>
  <c r="D952" i="4"/>
  <c r="D930" i="4"/>
  <c r="D886" i="4"/>
  <c r="D797" i="4"/>
  <c r="D650" i="4"/>
  <c r="D397" i="4"/>
  <c r="D39" i="4"/>
  <c r="D354" i="4"/>
  <c r="D207" i="4"/>
  <c r="D101" i="4"/>
  <c r="D38" i="4"/>
  <c r="D1260" i="4"/>
  <c r="D732" i="4"/>
  <c r="D458" i="4"/>
  <c r="D227" i="4"/>
  <c r="D1261" i="4"/>
  <c r="D1239" i="4"/>
  <c r="D1217" i="4"/>
  <c r="D1195" i="4"/>
  <c r="D1173" i="4"/>
  <c r="D1151" i="4"/>
  <c r="D1129" i="4"/>
  <c r="D1107" i="4"/>
  <c r="D1085" i="4"/>
  <c r="D1061" i="4"/>
  <c r="D1039" i="4"/>
  <c r="D1017" i="4"/>
  <c r="D995" i="4"/>
  <c r="D973" i="4"/>
  <c r="D929" i="4"/>
  <c r="D907" i="4"/>
  <c r="D885" i="4"/>
  <c r="D861" i="4"/>
  <c r="D839" i="4"/>
  <c r="D817" i="4"/>
  <c r="D796" i="4"/>
  <c r="D775" i="4"/>
  <c r="D754" i="4"/>
  <c r="D733" i="4"/>
  <c r="D712" i="4"/>
  <c r="D691" i="4"/>
  <c r="D670" i="4"/>
  <c r="D649" i="4"/>
  <c r="D628" i="4"/>
  <c r="D607" i="4"/>
  <c r="D586" i="4"/>
  <c r="D565" i="4"/>
  <c r="D543" i="4"/>
  <c r="D501" i="4"/>
  <c r="D480" i="4"/>
  <c r="D459" i="4"/>
  <c r="D438" i="4"/>
  <c r="D417" i="4"/>
  <c r="D396" i="4"/>
  <c r="D375" i="4"/>
  <c r="D312" i="4"/>
  <c r="D291" i="4"/>
  <c r="D270" i="4"/>
  <c r="D228" i="4"/>
  <c r="D165" i="4"/>
  <c r="D122" i="4"/>
  <c r="D59" i="4"/>
  <c r="D1216" i="4"/>
  <c r="D1150" i="4"/>
  <c r="D1106" i="4"/>
  <c r="D1060" i="4"/>
  <c r="D1016" i="4"/>
  <c r="D972" i="4"/>
  <c r="D928" i="4"/>
  <c r="D882" i="4"/>
  <c r="D838" i="4"/>
  <c r="D795" i="4"/>
  <c r="D753" i="4"/>
  <c r="D690" i="4"/>
  <c r="D648" i="4"/>
  <c r="D606" i="4"/>
  <c r="D563" i="4"/>
  <c r="D521" i="4"/>
  <c r="D479" i="4"/>
  <c r="D437" i="4"/>
  <c r="D395" i="4"/>
  <c r="D353" i="4"/>
  <c r="D311" i="4"/>
  <c r="D269" i="4"/>
  <c r="D206" i="4"/>
  <c r="D163" i="4"/>
  <c r="D121" i="4"/>
  <c r="D79" i="4"/>
  <c r="D37" i="4"/>
  <c r="D1259" i="4"/>
  <c r="D1193" i="4"/>
  <c r="D1149" i="4"/>
  <c r="D1105" i="4"/>
  <c r="D1059" i="4"/>
  <c r="D1015" i="4"/>
  <c r="D971" i="4"/>
  <c r="D927" i="4"/>
  <c r="D881" i="4"/>
  <c r="D837" i="4"/>
  <c r="D794" i="4"/>
  <c r="D1232" i="4"/>
  <c r="D1206" i="4"/>
  <c r="D1177" i="4"/>
  <c r="D1145" i="4"/>
  <c r="D1116" i="4"/>
  <c r="D1089" i="4"/>
  <c r="D1055" i="4"/>
  <c r="D1028" i="4"/>
  <c r="D999" i="4"/>
  <c r="D967" i="4"/>
  <c r="D938" i="4"/>
  <c r="D911" i="4"/>
  <c r="D877" i="4"/>
  <c r="D850" i="4"/>
  <c r="D821" i="4"/>
  <c r="D790" i="4"/>
  <c r="D763" i="4"/>
  <c r="D738" i="4"/>
  <c r="D708" i="4"/>
  <c r="D682" i="4"/>
  <c r="D657" i="4"/>
  <c r="D632" i="4"/>
  <c r="D602" i="4"/>
  <c r="D577" i="4"/>
  <c r="D552" i="4"/>
  <c r="D527" i="4"/>
  <c r="D497" i="4"/>
  <c r="D472" i="4"/>
  <c r="D447" i="4"/>
  <c r="D421" i="4"/>
  <c r="D392" i="4"/>
  <c r="D367" i="4"/>
  <c r="D341" i="4"/>
  <c r="D316" i="4"/>
  <c r="D287" i="4"/>
  <c r="D261" i="4"/>
  <c r="D236" i="4"/>
  <c r="D211" i="4"/>
  <c r="D181" i="4"/>
  <c r="D156" i="4"/>
  <c r="D131" i="4"/>
  <c r="D106" i="4"/>
  <c r="D76" i="4"/>
  <c r="D51" i="4"/>
  <c r="D26" i="4"/>
  <c r="D876" i="4"/>
  <c r="D656" i="4"/>
  <c r="D601" i="4"/>
  <c r="D551" i="4"/>
  <c r="D526" i="4"/>
  <c r="D496" i="4"/>
  <c r="D446" i="4"/>
  <c r="D420" i="4"/>
  <c r="D391" i="4"/>
  <c r="D366" i="4"/>
  <c r="D340" i="4"/>
  <c r="D315" i="4"/>
  <c r="D286" i="4"/>
  <c r="D260" i="4"/>
  <c r="D210" i="4"/>
  <c r="D180" i="4"/>
  <c r="D155" i="4"/>
  <c r="D130" i="4"/>
  <c r="D105" i="4"/>
  <c r="D75" i="4"/>
  <c r="D50" i="4"/>
  <c r="D25" i="4"/>
  <c r="D1257" i="4"/>
  <c r="D761" i="4"/>
  <c r="D626" i="4"/>
  <c r="D575" i="4"/>
  <c r="D520" i="4"/>
  <c r="D470" i="4"/>
  <c r="D390" i="4"/>
  <c r="D339" i="4"/>
  <c r="D285" i="4"/>
  <c r="D234" i="4"/>
  <c r="D179" i="4"/>
  <c r="D129" i="4"/>
  <c r="D49" i="4"/>
  <c r="D1256" i="4"/>
  <c r="D1169" i="4"/>
  <c r="D1113" i="4"/>
  <c r="D1052" i="4"/>
  <c r="D991" i="4"/>
  <c r="D901" i="4"/>
  <c r="D847" i="4"/>
  <c r="D730" i="4"/>
  <c r="D625" i="4"/>
  <c r="D574" i="4"/>
  <c r="D494" i="4"/>
  <c r="D389" i="4"/>
  <c r="D309" i="4"/>
  <c r="D258" i="4"/>
  <c r="D203" i="4"/>
  <c r="D128" i="4"/>
  <c r="D73" i="4"/>
  <c r="D22" i="4"/>
  <c r="D1255" i="4"/>
  <c r="D1139" i="4"/>
  <c r="D1078" i="4"/>
  <c r="D1022" i="4"/>
  <c r="D961" i="4"/>
  <c r="D900" i="4"/>
  <c r="D846" i="4"/>
  <c r="D786" i="4"/>
  <c r="D729" i="4"/>
  <c r="D653" i="4"/>
  <c r="D598" i="4"/>
  <c r="D518" i="4"/>
  <c r="D442" i="4"/>
  <c r="D362" i="4"/>
  <c r="D282" i="4"/>
  <c r="D177" i="4"/>
  <c r="D97" i="4"/>
  <c r="D47" i="4"/>
  <c r="D1227" i="4"/>
  <c r="D1111" i="4"/>
  <c r="D1021" i="4"/>
  <c r="D960" i="4"/>
  <c r="D899" i="4"/>
  <c r="D845" i="4"/>
  <c r="D758" i="4"/>
  <c r="D702" i="4"/>
  <c r="D622" i="4"/>
  <c r="D572" i="4"/>
  <c r="D492" i="4"/>
  <c r="D412" i="4"/>
  <c r="D336" i="4"/>
  <c r="D256" i="4"/>
  <c r="D176" i="4"/>
  <c r="D96" i="4"/>
  <c r="D46" i="4"/>
  <c r="D1253" i="4"/>
  <c r="D1110" i="4"/>
  <c r="D1020" i="4"/>
  <c r="D959" i="4"/>
  <c r="D871" i="4"/>
  <c r="D810" i="4"/>
  <c r="D757" i="4"/>
  <c r="D676" i="4"/>
  <c r="D647" i="4"/>
  <c r="D596" i="4"/>
  <c r="D516" i="4"/>
  <c r="D466" i="4"/>
  <c r="D386" i="4"/>
  <c r="D331" i="4"/>
  <c r="D255" i="4"/>
  <c r="D226" i="4"/>
  <c r="D175" i="4"/>
  <c r="D95" i="4"/>
  <c r="D45" i="4"/>
  <c r="D1252" i="4"/>
  <c r="D1102" i="4"/>
  <c r="D1048" i="4"/>
  <c r="D987" i="4"/>
  <c r="D926" i="4"/>
  <c r="D870" i="4"/>
  <c r="D809" i="4"/>
  <c r="D752" i="4"/>
  <c r="D675" i="4"/>
  <c r="D620" i="4"/>
  <c r="D540" i="4"/>
  <c r="D490" i="4"/>
  <c r="D435" i="4"/>
  <c r="D385" i="4"/>
  <c r="D305" i="4"/>
  <c r="D254" i="4"/>
  <c r="D174" i="4"/>
  <c r="D94" i="4"/>
  <c r="D1258" i="4"/>
  <c r="D1231" i="4"/>
  <c r="D1205" i="4"/>
  <c r="D1176" i="4"/>
  <c r="D1142" i="4"/>
  <c r="D1115" i="4"/>
  <c r="D1088" i="4"/>
  <c r="D1054" i="4"/>
  <c r="D1027" i="4"/>
  <c r="D998" i="4"/>
  <c r="D966" i="4"/>
  <c r="D937" i="4"/>
  <c r="D910" i="4"/>
  <c r="D849" i="4"/>
  <c r="D820" i="4"/>
  <c r="D789" i="4"/>
  <c r="D762" i="4"/>
  <c r="D737" i="4"/>
  <c r="D707" i="4"/>
  <c r="D681" i="4"/>
  <c r="D631" i="4"/>
  <c r="D576" i="4"/>
  <c r="D471" i="4"/>
  <c r="D235" i="4"/>
  <c r="D788" i="4"/>
  <c r="D445" i="4"/>
  <c r="D259" i="4"/>
  <c r="D154" i="4"/>
  <c r="D74" i="4"/>
  <c r="D23" i="4"/>
  <c r="D1229" i="4"/>
  <c r="D962" i="4"/>
  <c r="D787" i="4"/>
  <c r="D679" i="4"/>
  <c r="D549" i="4"/>
  <c r="D443" i="4"/>
  <c r="D338" i="4"/>
  <c r="D178" i="4"/>
  <c r="D1200" i="4"/>
  <c r="D873" i="4"/>
  <c r="D703" i="4"/>
  <c r="D573" i="4"/>
  <c r="D468" i="4"/>
  <c r="D388" i="4"/>
  <c r="D308" i="4"/>
  <c r="D232" i="4"/>
  <c r="D127" i="4"/>
  <c r="D1199" i="4"/>
  <c r="D989" i="4"/>
  <c r="D811" i="4"/>
  <c r="D652" i="4"/>
  <c r="D547" i="4"/>
  <c r="D467" i="4"/>
  <c r="D387" i="4"/>
  <c r="D307" i="4"/>
  <c r="D231" i="4"/>
  <c r="D126" i="4"/>
  <c r="D1198" i="4"/>
  <c r="D932" i="4"/>
  <c r="D727" i="4"/>
  <c r="D571" i="4"/>
  <c r="D436" i="4"/>
  <c r="D306" i="4"/>
  <c r="D150" i="4"/>
  <c r="D1192" i="4"/>
  <c r="D897" i="4"/>
  <c r="D726" i="4"/>
  <c r="D595" i="4"/>
  <c r="D515" i="4"/>
  <c r="D410" i="4"/>
  <c r="D330" i="4"/>
  <c r="D225" i="4"/>
  <c r="D119" i="4"/>
  <c r="D1230" i="4"/>
  <c r="D1202" i="4"/>
  <c r="D1170" i="4"/>
  <c r="D1141" i="4"/>
  <c r="D1114" i="4"/>
  <c r="D1080" i="4"/>
  <c r="D1053" i="4"/>
  <c r="D1026" i="4"/>
  <c r="D992" i="4"/>
  <c r="D965" i="4"/>
  <c r="D936" i="4"/>
  <c r="D902" i="4"/>
  <c r="D875" i="4"/>
  <c r="D848" i="4"/>
  <c r="D814" i="4"/>
  <c r="D736" i="4"/>
  <c r="D706" i="4"/>
  <c r="D680" i="4"/>
  <c r="D655" i="4"/>
  <c r="D600" i="4"/>
  <c r="D550" i="4"/>
  <c r="D495" i="4"/>
  <c r="D415" i="4"/>
  <c r="D365" i="4"/>
  <c r="D310" i="4"/>
  <c r="D205" i="4"/>
  <c r="D99" i="4"/>
  <c r="D1201" i="4"/>
  <c r="D1140" i="4"/>
  <c r="D1079" i="4"/>
  <c r="D1025" i="4"/>
  <c r="D935" i="4"/>
  <c r="D874" i="4"/>
  <c r="D813" i="4"/>
  <c r="D760" i="4"/>
  <c r="D705" i="4"/>
  <c r="D654" i="4"/>
  <c r="D599" i="4"/>
  <c r="D519" i="4"/>
  <c r="D469" i="4"/>
  <c r="D414" i="4"/>
  <c r="D363" i="4"/>
  <c r="D283" i="4"/>
  <c r="D233" i="4"/>
  <c r="D153" i="4"/>
  <c r="D98" i="4"/>
  <c r="D48" i="4"/>
  <c r="D1228" i="4"/>
  <c r="D1168" i="4"/>
  <c r="D1112" i="4"/>
  <c r="D1051" i="4"/>
  <c r="D990" i="4"/>
  <c r="D934" i="4"/>
  <c r="D812" i="4"/>
  <c r="D759" i="4"/>
  <c r="D678" i="4"/>
  <c r="D623" i="4"/>
  <c r="D548" i="4"/>
  <c r="D493" i="4"/>
  <c r="D413" i="4"/>
  <c r="D337" i="4"/>
  <c r="D257" i="4"/>
  <c r="D202" i="4"/>
  <c r="D152" i="4"/>
  <c r="D72" i="4"/>
  <c r="D21" i="4"/>
  <c r="D1254" i="4"/>
  <c r="D1167" i="4"/>
  <c r="D1138" i="4"/>
  <c r="D1077" i="4"/>
  <c r="D1050" i="4"/>
  <c r="D933" i="4"/>
  <c r="D872" i="4"/>
  <c r="D785" i="4"/>
  <c r="D728" i="4"/>
  <c r="D677" i="4"/>
  <c r="D597" i="4"/>
  <c r="D517" i="4"/>
  <c r="D441" i="4"/>
  <c r="D361" i="4"/>
  <c r="D281" i="4"/>
  <c r="D201" i="4"/>
  <c r="D151" i="4"/>
  <c r="D71" i="4"/>
  <c r="D20" i="4"/>
  <c r="D1226" i="4"/>
  <c r="D1166" i="4"/>
  <c r="D1137" i="4"/>
  <c r="D1076" i="4"/>
  <c r="D1049" i="4"/>
  <c r="D988" i="4"/>
  <c r="D898" i="4"/>
  <c r="D842" i="4"/>
  <c r="D783" i="4"/>
  <c r="D701" i="4"/>
  <c r="D621" i="4"/>
  <c r="D541" i="4"/>
  <c r="D491" i="4"/>
  <c r="D411" i="4"/>
  <c r="D360" i="4"/>
  <c r="D280" i="4"/>
  <c r="D200" i="4"/>
  <c r="D120" i="4"/>
  <c r="D70" i="4"/>
  <c r="D15" i="4"/>
  <c r="D1225" i="4"/>
  <c r="D1165" i="4"/>
  <c r="D1136" i="4"/>
  <c r="D1075" i="4"/>
  <c r="D1014" i="4"/>
  <c r="D958" i="4"/>
  <c r="D836" i="4"/>
  <c r="D782" i="4"/>
  <c r="D700" i="4"/>
  <c r="D646" i="4"/>
  <c r="D570" i="4"/>
  <c r="D465" i="4"/>
  <c r="D359" i="4"/>
  <c r="D279" i="4"/>
  <c r="D199" i="4"/>
  <c r="D149" i="4"/>
  <c r="D69" i="4"/>
  <c r="D14" i="4"/>
  <c r="D1211" i="4"/>
  <c r="D1159" i="4"/>
  <c r="D1117" i="4"/>
  <c r="D1067" i="4"/>
  <c r="D1010" i="4"/>
  <c r="D968" i="4"/>
  <c r="D916" i="4"/>
  <c r="D866" i="4"/>
  <c r="D822" i="4"/>
  <c r="D769" i="4"/>
  <c r="D721" i="4"/>
  <c r="D683" i="4"/>
  <c r="D637" i="4"/>
  <c r="D591" i="4"/>
  <c r="D553" i="4"/>
  <c r="D507" i="4"/>
  <c r="D456" i="4"/>
  <c r="D422" i="4"/>
  <c r="D372" i="4"/>
  <c r="D326" i="4"/>
  <c r="D288" i="4"/>
  <c r="D241" i="4"/>
  <c r="D195" i="4"/>
  <c r="D157" i="4"/>
  <c r="D111" i="4"/>
  <c r="D65" i="4"/>
  <c r="D28" i="4"/>
  <c r="D720" i="4"/>
  <c r="D539" i="4"/>
  <c r="D455" i="4"/>
  <c r="D409" i="4"/>
  <c r="D371" i="4"/>
  <c r="D325" i="4"/>
  <c r="D240" i="4"/>
  <c r="D194" i="4"/>
  <c r="D148" i="4"/>
  <c r="D110" i="4"/>
  <c r="D63" i="4"/>
  <c r="D27" i="4"/>
  <c r="D1250" i="4"/>
  <c r="D1157" i="4"/>
  <c r="D1100" i="4"/>
  <c r="D1058" i="4"/>
  <c r="D1008" i="4"/>
  <c r="D956" i="4"/>
  <c r="D914" i="4"/>
  <c r="D857" i="4"/>
  <c r="D807" i="4"/>
  <c r="D767" i="4"/>
  <c r="D719" i="4"/>
  <c r="D673" i="4"/>
  <c r="D635" i="4"/>
  <c r="D589" i="4"/>
  <c r="D505" i="4"/>
  <c r="D454" i="4"/>
  <c r="D408" i="4"/>
  <c r="D370" i="4"/>
  <c r="D239" i="4"/>
  <c r="D147" i="4"/>
  <c r="D62" i="4"/>
  <c r="D1208" i="4"/>
  <c r="D856" i="4"/>
  <c r="D634" i="4"/>
  <c r="D499" i="4"/>
  <c r="D407" i="4"/>
  <c r="D238" i="4"/>
  <c r="D108" i="4"/>
  <c r="D1207" i="4"/>
  <c r="D765" i="4"/>
  <c r="D582" i="4"/>
  <c r="D406" i="4"/>
  <c r="D237" i="4"/>
  <c r="D56" i="4"/>
  <c r="D1154" i="4"/>
  <c r="D854" i="4"/>
  <c r="D666" i="4"/>
  <c r="D489" i="4"/>
  <c r="D320" i="4"/>
  <c r="D139" i="4"/>
  <c r="D10" i="4"/>
  <c r="D1190" i="4"/>
  <c r="D750" i="4"/>
  <c r="D580" i="4"/>
  <c r="D357" i="4"/>
  <c r="D189" i="4"/>
  <c r="D54" i="4"/>
  <c r="D1251" i="4"/>
  <c r="D1210" i="4"/>
  <c r="D1158" i="4"/>
  <c r="D1101" i="4"/>
  <c r="D1066" i="4"/>
  <c r="D1009" i="4"/>
  <c r="D957" i="4"/>
  <c r="D915" i="4"/>
  <c r="D858" i="4"/>
  <c r="D808" i="4"/>
  <c r="D768" i="4"/>
  <c r="D674" i="4"/>
  <c r="D636" i="4"/>
  <c r="D590" i="4"/>
  <c r="D506" i="4"/>
  <c r="D278" i="4"/>
  <c r="D1209" i="4"/>
  <c r="D538" i="4"/>
  <c r="D277" i="4"/>
  <c r="D193" i="4"/>
  <c r="D109" i="4"/>
  <c r="D13" i="4"/>
  <c r="D1249" i="4"/>
  <c r="D1156" i="4"/>
  <c r="D1099" i="4"/>
  <c r="D1057" i="4"/>
  <c r="D1007" i="4"/>
  <c r="D955" i="4"/>
  <c r="D913" i="4"/>
  <c r="D806" i="4"/>
  <c r="D766" i="4"/>
  <c r="D668" i="4"/>
  <c r="D583" i="4"/>
  <c r="D537" i="4"/>
  <c r="D453" i="4"/>
  <c r="D369" i="4"/>
  <c r="D322" i="4"/>
  <c r="D192" i="4"/>
  <c r="D141" i="4"/>
  <c r="D57" i="4"/>
  <c r="D1248" i="4"/>
  <c r="D1098" i="4"/>
  <c r="D1056" i="4"/>
  <c r="D1006" i="4"/>
  <c r="D954" i="4"/>
  <c r="D912" i="4"/>
  <c r="D855" i="4"/>
  <c r="D805" i="4"/>
  <c r="D667" i="4"/>
  <c r="D633" i="4"/>
  <c r="D536" i="4"/>
  <c r="D452" i="4"/>
  <c r="D368" i="4"/>
  <c r="D275" i="4"/>
  <c r="D191" i="4"/>
  <c r="D107" i="4"/>
  <c r="D11" i="4"/>
  <c r="D1247" i="4"/>
  <c r="D1097" i="4"/>
  <c r="D1047" i="4"/>
  <c r="D1005" i="4"/>
  <c r="D948" i="4"/>
  <c r="D896" i="4"/>
  <c r="D803" i="4"/>
  <c r="D716" i="4"/>
  <c r="D619" i="4"/>
  <c r="D581" i="4"/>
  <c r="D451" i="4"/>
  <c r="D358" i="4"/>
  <c r="D274" i="4"/>
  <c r="D190" i="4"/>
  <c r="D55" i="4"/>
  <c r="D1246" i="4"/>
  <c r="D1096" i="4"/>
  <c r="D1046" i="4"/>
  <c r="D1002" i="4"/>
  <c r="D947" i="4"/>
  <c r="D895" i="4"/>
  <c r="D802" i="4"/>
  <c r="D665" i="4"/>
  <c r="D534" i="4"/>
  <c r="D450" i="4"/>
  <c r="D319" i="4"/>
  <c r="D222" i="4"/>
  <c r="D92" i="4"/>
  <c r="D323" i="4"/>
  <c r="D718" i="4"/>
  <c r="D276" i="4"/>
  <c r="D12" i="4"/>
  <c r="D1155" i="4"/>
  <c r="D717" i="4"/>
  <c r="D498" i="4"/>
  <c r="D321" i="4"/>
  <c r="D140" i="4"/>
  <c r="D1191" i="4"/>
  <c r="D751" i="4"/>
  <c r="D535" i="4"/>
  <c r="D405" i="4"/>
  <c r="D223" i="4"/>
  <c r="D93" i="4"/>
  <c r="D1148" i="4"/>
  <c r="D853" i="4"/>
  <c r="D715" i="4"/>
  <c r="D618" i="4"/>
  <c r="D488" i="4"/>
  <c r="D403" i="4"/>
  <c r="D273" i="4"/>
  <c r="D138" i="4"/>
  <c r="D9" i="4"/>
  <c r="D1181" i="4"/>
  <c r="D1095" i="4"/>
  <c r="D1031" i="4"/>
  <c r="D945" i="4"/>
  <c r="D879" i="4"/>
  <c r="D799" i="4"/>
  <c r="D739" i="4"/>
  <c r="D660" i="4"/>
  <c r="D594" i="4"/>
  <c r="D529" i="4"/>
  <c r="D462" i="4"/>
  <c r="D393" i="4"/>
  <c r="D327" i="4"/>
  <c r="D253" i="4"/>
  <c r="D183" i="4"/>
  <c r="D117" i="4"/>
  <c r="D52" i="4"/>
  <c r="D725" i="4"/>
  <c r="D593" i="4"/>
  <c r="D528" i="4"/>
  <c r="D457" i="4"/>
  <c r="D383" i="4"/>
  <c r="D318" i="4"/>
  <c r="D182" i="4"/>
  <c r="D116" i="4"/>
  <c r="D43" i="4"/>
  <c r="D1242" i="4"/>
  <c r="D1179" i="4"/>
  <c r="D1093" i="4"/>
  <c r="D1029" i="4"/>
  <c r="D941" i="4"/>
  <c r="D869" i="4"/>
  <c r="D792" i="4"/>
  <c r="D723" i="4"/>
  <c r="D658" i="4"/>
  <c r="D592" i="4"/>
  <c r="D514" i="4"/>
  <c r="D449" i="4"/>
  <c r="D382" i="4"/>
  <c r="D247" i="4"/>
  <c r="D115" i="4"/>
  <c r="D1178" i="4"/>
  <c r="D722" i="4"/>
  <c r="D448" i="4"/>
  <c r="D246" i="4"/>
  <c r="D41" i="4"/>
  <c r="D1162" i="4"/>
  <c r="D710" i="4"/>
  <c r="D512" i="4"/>
  <c r="D302" i="4"/>
  <c r="D171" i="4"/>
  <c r="D1161" i="4"/>
  <c r="D569" i="4"/>
  <c r="D301" i="4"/>
  <c r="D35" i="4"/>
  <c r="D1074" i="4"/>
  <c r="D699" i="4"/>
  <c r="D432" i="4"/>
  <c r="D242" i="4"/>
  <c r="D34" i="4"/>
  <c r="D1073" i="4"/>
  <c r="D698" i="4"/>
  <c r="D509" i="4"/>
  <c r="D221" i="4"/>
  <c r="D33" i="4"/>
  <c r="D1072" i="4"/>
  <c r="D697" i="4"/>
  <c r="D430" i="4"/>
  <c r="D220" i="4"/>
  <c r="D1135" i="4"/>
  <c r="D696" i="4"/>
  <c r="D487" i="4"/>
  <c r="D297" i="4"/>
  <c r="D31" i="4"/>
  <c r="D1070" i="4"/>
  <c r="D695" i="4"/>
  <c r="D428" i="4"/>
  <c r="D218" i="4"/>
  <c r="D30" i="4"/>
  <c r="D1069" i="4"/>
  <c r="D694" i="4"/>
  <c r="D427" i="4"/>
  <c r="D217" i="4"/>
  <c r="D29" i="4"/>
  <c r="D1132" i="4"/>
  <c r="D689" i="4"/>
  <c r="D426" i="4"/>
  <c r="D158" i="4"/>
  <c r="D1045" i="4"/>
  <c r="D556" i="4"/>
  <c r="D289" i="4"/>
  <c r="D83" i="4"/>
  <c r="D1042" i="4"/>
  <c r="D746" i="4"/>
  <c r="D555" i="4"/>
  <c r="D346" i="4"/>
  <c r="D214" i="4"/>
  <c r="D1122" i="4"/>
  <c r="D686" i="4"/>
  <c r="D402" i="4"/>
  <c r="D77" i="4"/>
  <c r="D1035" i="4"/>
  <c r="D611" i="4"/>
  <c r="D343" i="4"/>
  <c r="D134" i="4"/>
  <c r="D1120" i="4"/>
  <c r="D663" i="4"/>
  <c r="D400" i="4"/>
  <c r="D133" i="4"/>
  <c r="D1033" i="4"/>
  <c r="D662" i="4"/>
  <c r="D473" i="4"/>
  <c r="D263" i="4"/>
  <c r="D66" i="4"/>
  <c r="D1032" i="4"/>
  <c r="D740" i="4"/>
  <c r="D530" i="4"/>
  <c r="D328" i="4"/>
  <c r="D118" i="4"/>
  <c r="D1245" i="4"/>
  <c r="D1180" i="4"/>
  <c r="D1094" i="4"/>
  <c r="D1030" i="4"/>
  <c r="D942" i="4"/>
  <c r="D878" i="4"/>
  <c r="D793" i="4"/>
  <c r="D659" i="4"/>
  <c r="D252" i="4"/>
  <c r="D317" i="4"/>
  <c r="D173" i="4"/>
  <c r="D42" i="4"/>
  <c r="D1236" i="4"/>
  <c r="D1092" i="4"/>
  <c r="D1013" i="4"/>
  <c r="D940" i="4"/>
  <c r="D868" i="4"/>
  <c r="D791" i="4"/>
  <c r="D645" i="4"/>
  <c r="D579" i="4"/>
  <c r="D513" i="4"/>
  <c r="D381" i="4"/>
  <c r="D303" i="4"/>
  <c r="D172" i="4"/>
  <c r="D114" i="4"/>
  <c r="D1235" i="4"/>
  <c r="D1012" i="4"/>
  <c r="D939" i="4"/>
  <c r="D867" i="4"/>
  <c r="D781" i="4"/>
  <c r="D643" i="4"/>
  <c r="D578" i="4"/>
  <c r="D434" i="4"/>
  <c r="D245" i="4"/>
  <c r="D113" i="4"/>
  <c r="D36" i="4"/>
  <c r="D1234" i="4"/>
  <c r="D1011" i="4"/>
  <c r="D925" i="4"/>
  <c r="D852" i="4"/>
  <c r="D780" i="4"/>
  <c r="D642" i="4"/>
  <c r="D433" i="4"/>
  <c r="D170" i="4"/>
  <c r="D1233" i="4"/>
  <c r="D1001" i="4"/>
  <c r="D922" i="4"/>
  <c r="D779" i="4"/>
  <c r="D641" i="4"/>
  <c r="D510" i="4"/>
  <c r="D300" i="4"/>
  <c r="D91" i="4"/>
  <c r="D1222" i="4"/>
  <c r="D1000" i="4"/>
  <c r="D921" i="4"/>
  <c r="D835" i="4"/>
  <c r="D640" i="4"/>
  <c r="D431" i="4"/>
  <c r="D299" i="4"/>
  <c r="D90" i="4"/>
  <c r="D1221" i="4"/>
  <c r="D986" i="4"/>
  <c r="D920" i="4"/>
  <c r="D834" i="4"/>
  <c r="D639" i="4"/>
  <c r="D508" i="4"/>
  <c r="D298" i="4"/>
  <c r="D162" i="4"/>
  <c r="D32" i="4"/>
  <c r="D1220" i="4"/>
  <c r="D985" i="4"/>
  <c r="D919" i="4"/>
  <c r="D771" i="4"/>
  <c r="D560" i="4"/>
  <c r="D351" i="4"/>
  <c r="D161" i="4"/>
  <c r="D1215" i="4"/>
  <c r="D982" i="4"/>
  <c r="D918" i="4"/>
  <c r="D770" i="4"/>
  <c r="D559" i="4"/>
  <c r="D350" i="4"/>
  <c r="D160" i="4"/>
  <c r="D1214" i="4"/>
  <c r="D981" i="4"/>
  <c r="D917" i="4"/>
  <c r="D831" i="4"/>
  <c r="D616" i="4"/>
  <c r="D485" i="4"/>
  <c r="D295" i="4"/>
  <c r="D86" i="4"/>
  <c r="D1213" i="4"/>
  <c r="D980" i="4"/>
  <c r="D894" i="4"/>
  <c r="D748" i="4"/>
  <c r="D557" i="4"/>
  <c r="D294" i="4"/>
  <c r="D85" i="4"/>
  <c r="D1212" i="4"/>
  <c r="D979" i="4"/>
  <c r="D893" i="4"/>
  <c r="D829" i="4"/>
  <c r="D747" i="4"/>
  <c r="D614" i="4"/>
  <c r="D478" i="4"/>
  <c r="D347" i="4"/>
  <c r="D215" i="4"/>
  <c r="D7" i="4"/>
  <c r="D1189" i="4"/>
  <c r="D978" i="4"/>
  <c r="D892" i="4"/>
  <c r="D687" i="4"/>
  <c r="D477" i="4"/>
  <c r="D268" i="4"/>
  <c r="D78" i="4"/>
  <c r="D1188" i="4"/>
  <c r="D977" i="4"/>
  <c r="D891" i="4"/>
  <c r="D827" i="4"/>
  <c r="D612" i="4"/>
  <c r="D476" i="4"/>
  <c r="D267" i="4"/>
  <c r="D213" i="4"/>
  <c r="D1187" i="4"/>
  <c r="D976" i="4"/>
  <c r="D890" i="4"/>
  <c r="D826" i="4"/>
  <c r="D685" i="4"/>
  <c r="D533" i="4"/>
  <c r="D401" i="4"/>
  <c r="D212" i="4"/>
  <c r="D1186" i="4"/>
  <c r="D970" i="4"/>
  <c r="D889" i="4"/>
  <c r="D742" i="4"/>
  <c r="D532" i="4"/>
  <c r="D265" i="4"/>
  <c r="D67" i="4"/>
  <c r="D1185" i="4"/>
  <c r="D969" i="4"/>
  <c r="D888" i="4"/>
  <c r="D741" i="4"/>
  <c r="D531" i="4"/>
  <c r="D329" i="4"/>
  <c r="D132" i="4"/>
  <c r="D1182" i="4"/>
  <c r="D946" i="4"/>
  <c r="D880" i="4"/>
  <c r="D661" i="4"/>
  <c r="D463" i="4"/>
  <c r="D262" i="4"/>
  <c r="D53" i="4"/>
  <c r="D1091" i="4"/>
  <c r="D380" i="4"/>
  <c r="D1090" i="4"/>
  <c r="D709" i="4"/>
  <c r="D511" i="4"/>
  <c r="D379" i="4"/>
  <c r="D243" i="4"/>
  <c r="D112" i="4"/>
  <c r="D1160" i="4"/>
  <c r="D851" i="4"/>
  <c r="D568" i="4"/>
  <c r="D378" i="4"/>
  <c r="D169" i="4"/>
  <c r="D1147" i="4"/>
  <c r="D778" i="4"/>
  <c r="D562" i="4"/>
  <c r="D373" i="4"/>
  <c r="D168" i="4"/>
  <c r="D1146" i="4"/>
  <c r="D772" i="4"/>
  <c r="D561" i="4"/>
  <c r="D352" i="4"/>
  <c r="D89" i="4"/>
  <c r="D1071" i="4"/>
  <c r="D833" i="4"/>
  <c r="D638" i="4"/>
  <c r="D429" i="4"/>
  <c r="D219" i="4"/>
  <c r="D88" i="4"/>
  <c r="D1134" i="4"/>
  <c r="D832" i="4"/>
  <c r="D617" i="4"/>
  <c r="D486" i="4"/>
  <c r="D296" i="4"/>
  <c r="D87" i="4"/>
  <c r="D1133" i="4"/>
  <c r="D749" i="4"/>
  <c r="D558" i="4"/>
  <c r="D349" i="4"/>
  <c r="D159" i="4"/>
  <c r="D1068" i="4"/>
  <c r="D830" i="4"/>
  <c r="D615" i="4"/>
  <c r="D483" i="4"/>
  <c r="D348" i="4"/>
  <c r="D216" i="4"/>
  <c r="D8" i="4"/>
  <c r="D1126" i="4"/>
  <c r="D688" i="4"/>
  <c r="D425" i="4"/>
  <c r="D137" i="4"/>
  <c r="D1125" i="4"/>
  <c r="D828" i="4"/>
  <c r="D613" i="4"/>
  <c r="D423" i="4"/>
  <c r="D136" i="4"/>
  <c r="D1036" i="4"/>
  <c r="D745" i="4"/>
  <c r="D554" i="4"/>
  <c r="D345" i="4"/>
  <c r="D135" i="4"/>
  <c r="D1121" i="4"/>
  <c r="D743" i="4"/>
  <c r="D475" i="4"/>
  <c r="D266" i="4"/>
  <c r="D68" i="4"/>
  <c r="D1034" i="4"/>
  <c r="D825" i="4"/>
  <c r="D610" i="4"/>
  <c r="D474" i="4"/>
  <c r="D342" i="4"/>
  <c r="D198" i="4"/>
  <c r="D1119" i="4"/>
  <c r="D801" i="4"/>
  <c r="D605" i="4"/>
  <c r="D399" i="4"/>
  <c r="D197" i="4"/>
  <c r="D1118" i="4"/>
  <c r="D800" i="4"/>
  <c r="D603" i="4"/>
  <c r="D394" i="4"/>
  <c r="D196" i="4"/>
  <c r="C7" i="4" a="1"/>
  <c r="C1260" i="4" l="1"/>
  <c r="C1240" i="4"/>
  <c r="C1220" i="4"/>
  <c r="C1200" i="4"/>
  <c r="C1180" i="4"/>
  <c r="C1160" i="4"/>
  <c r="C1140" i="4"/>
  <c r="C1120" i="4"/>
  <c r="C1100" i="4"/>
  <c r="C1080" i="4"/>
  <c r="C1060" i="4"/>
  <c r="C1040" i="4"/>
  <c r="C1020" i="4"/>
  <c r="C1000" i="4"/>
  <c r="C980" i="4"/>
  <c r="C960" i="4"/>
  <c r="C940" i="4"/>
  <c r="C920" i="4"/>
  <c r="C900" i="4"/>
  <c r="C880" i="4"/>
  <c r="C860" i="4"/>
  <c r="C840" i="4"/>
  <c r="C820" i="4"/>
  <c r="C800" i="4"/>
  <c r="C780" i="4"/>
  <c r="C760" i="4"/>
  <c r="C740" i="4"/>
  <c r="C720" i="4"/>
  <c r="C700" i="4"/>
  <c r="C680" i="4"/>
  <c r="C660" i="4"/>
  <c r="C640" i="4"/>
  <c r="C620" i="4"/>
  <c r="C600" i="4"/>
  <c r="C580" i="4"/>
  <c r="C560" i="4"/>
  <c r="C540" i="4"/>
  <c r="C520" i="4"/>
  <c r="C500" i="4"/>
  <c r="C480" i="4"/>
  <c r="C460" i="4"/>
  <c r="C440" i="4"/>
  <c r="C420" i="4"/>
  <c r="C400" i="4"/>
  <c r="C380" i="4"/>
  <c r="C360" i="4"/>
  <c r="C340" i="4"/>
  <c r="C320" i="4"/>
  <c r="C300" i="4"/>
  <c r="C280" i="4"/>
  <c r="C260" i="4"/>
  <c r="C240" i="4"/>
  <c r="C220" i="4"/>
  <c r="C200" i="4"/>
  <c r="C180" i="4"/>
  <c r="C160" i="4"/>
  <c r="C140" i="4"/>
  <c r="C120" i="4"/>
  <c r="C100" i="4"/>
  <c r="C80" i="4"/>
  <c r="C60" i="4"/>
  <c r="C40" i="4"/>
  <c r="C20" i="4"/>
  <c r="C1259" i="4"/>
  <c r="C1239" i="4"/>
  <c r="C1219" i="4"/>
  <c r="C1199" i="4"/>
  <c r="C1179" i="4"/>
  <c r="C1159" i="4"/>
  <c r="C1139" i="4"/>
  <c r="C1119" i="4"/>
  <c r="C1099" i="4"/>
  <c r="C1079" i="4"/>
  <c r="C1059" i="4"/>
  <c r="C1039" i="4"/>
  <c r="C1019" i="4"/>
  <c r="C999" i="4"/>
  <c r="C979" i="4"/>
  <c r="C959" i="4"/>
  <c r="C939" i="4"/>
  <c r="C919" i="4"/>
  <c r="C899" i="4"/>
  <c r="C879" i="4"/>
  <c r="C859" i="4"/>
  <c r="C839" i="4"/>
  <c r="C819" i="4"/>
  <c r="C799" i="4"/>
  <c r="C779" i="4"/>
  <c r="C759" i="4"/>
  <c r="C739" i="4"/>
  <c r="C719" i="4"/>
  <c r="C699" i="4"/>
  <c r="C679" i="4"/>
  <c r="C659" i="4"/>
  <c r="C639" i="4"/>
  <c r="C619" i="4"/>
  <c r="C599" i="4"/>
  <c r="C579" i="4"/>
  <c r="C559" i="4"/>
  <c r="C539" i="4"/>
  <c r="C519" i="4"/>
  <c r="C499" i="4"/>
  <c r="C479" i="4"/>
  <c r="C459" i="4"/>
  <c r="C439" i="4"/>
  <c r="C419" i="4"/>
  <c r="C399" i="4"/>
  <c r="C379" i="4"/>
  <c r="C359" i="4"/>
  <c r="C339" i="4"/>
  <c r="C319" i="4"/>
  <c r="C299" i="4"/>
  <c r="C279" i="4"/>
  <c r="C259" i="4"/>
  <c r="C239" i="4"/>
  <c r="C219" i="4"/>
  <c r="C199" i="4"/>
  <c r="C179" i="4"/>
  <c r="C159" i="4"/>
  <c r="C139" i="4"/>
  <c r="C119" i="4"/>
  <c r="C99" i="4"/>
  <c r="C79" i="4"/>
  <c r="C59" i="4"/>
  <c r="C39" i="4"/>
  <c r="C19" i="4"/>
  <c r="C1258" i="4"/>
  <c r="C1238" i="4"/>
  <c r="C1218" i="4"/>
  <c r="C1198" i="4"/>
  <c r="C1178" i="4"/>
  <c r="C1158" i="4"/>
  <c r="C1138" i="4"/>
  <c r="C1118" i="4"/>
  <c r="C1098" i="4"/>
  <c r="C1078" i="4"/>
  <c r="C1058" i="4"/>
  <c r="C1038" i="4"/>
  <c r="C1018" i="4"/>
  <c r="C998" i="4"/>
  <c r="C978" i="4"/>
  <c r="C958" i="4"/>
  <c r="C938" i="4"/>
  <c r="C918" i="4"/>
  <c r="C898" i="4"/>
  <c r="C878" i="4"/>
  <c r="C858" i="4"/>
  <c r="C838" i="4"/>
  <c r="C818" i="4"/>
  <c r="C798" i="4"/>
  <c r="C778" i="4"/>
  <c r="C758" i="4"/>
  <c r="C738" i="4"/>
  <c r="C718" i="4"/>
  <c r="C698" i="4"/>
  <c r="C678" i="4"/>
  <c r="C658" i="4"/>
  <c r="C638" i="4"/>
  <c r="C618" i="4"/>
  <c r="C598" i="4"/>
  <c r="C578" i="4"/>
  <c r="C558" i="4"/>
  <c r="C538" i="4"/>
  <c r="C518" i="4"/>
  <c r="C498" i="4"/>
  <c r="C478" i="4"/>
  <c r="C458" i="4"/>
  <c r="C438" i="4"/>
  <c r="C418" i="4"/>
  <c r="C398" i="4"/>
  <c r="C378" i="4"/>
  <c r="C358" i="4"/>
  <c r="C338" i="4"/>
  <c r="C318" i="4"/>
  <c r="C298" i="4"/>
  <c r="C278" i="4"/>
  <c r="C258" i="4"/>
  <c r="C238" i="4"/>
  <c r="C218" i="4"/>
  <c r="C198" i="4"/>
  <c r="C178" i="4"/>
  <c r="C158" i="4"/>
  <c r="C138" i="4"/>
  <c r="C118" i="4"/>
  <c r="C98" i="4"/>
  <c r="C78" i="4"/>
  <c r="C58" i="4"/>
  <c r="C38" i="4"/>
  <c r="C18" i="4"/>
  <c r="C1257" i="4"/>
  <c r="C1237" i="4"/>
  <c r="C1217" i="4"/>
  <c r="C1197" i="4"/>
  <c r="C1177" i="4"/>
  <c r="C1157" i="4"/>
  <c r="C1137" i="4"/>
  <c r="C1117" i="4"/>
  <c r="C1097" i="4"/>
  <c r="C1077" i="4"/>
  <c r="C1057" i="4"/>
  <c r="C1037" i="4"/>
  <c r="C1017" i="4"/>
  <c r="C997" i="4"/>
  <c r="C977" i="4"/>
  <c r="C957" i="4"/>
  <c r="C937" i="4"/>
  <c r="C917" i="4"/>
  <c r="C897" i="4"/>
  <c r="C877" i="4"/>
  <c r="C857" i="4"/>
  <c r="C837" i="4"/>
  <c r="C817" i="4"/>
  <c r="C797" i="4"/>
  <c r="C777" i="4"/>
  <c r="C757" i="4"/>
  <c r="C737" i="4"/>
  <c r="C717" i="4"/>
  <c r="C697" i="4"/>
  <c r="C677" i="4"/>
  <c r="C657" i="4"/>
  <c r="C637" i="4"/>
  <c r="C617" i="4"/>
  <c r="C597" i="4"/>
  <c r="C577" i="4"/>
  <c r="C557" i="4"/>
  <c r="C537" i="4"/>
  <c r="C517" i="4"/>
  <c r="C497" i="4"/>
  <c r="C477" i="4"/>
  <c r="C457" i="4"/>
  <c r="C437" i="4"/>
  <c r="C417" i="4"/>
  <c r="C397" i="4"/>
  <c r="C377" i="4"/>
  <c r="C357" i="4"/>
  <c r="C337" i="4"/>
  <c r="C317" i="4"/>
  <c r="C297" i="4"/>
  <c r="C277" i="4"/>
  <c r="C257" i="4"/>
  <c r="C237" i="4"/>
  <c r="C217" i="4"/>
  <c r="C197" i="4"/>
  <c r="C177" i="4"/>
  <c r="C157" i="4"/>
  <c r="C137" i="4"/>
  <c r="C117" i="4"/>
  <c r="C97" i="4"/>
  <c r="C77" i="4"/>
  <c r="C57" i="4"/>
  <c r="C37" i="4"/>
  <c r="C17" i="4"/>
  <c r="C1256" i="4"/>
  <c r="C1236" i="4"/>
  <c r="C1216" i="4"/>
  <c r="C1196" i="4"/>
  <c r="C1176" i="4"/>
  <c r="C1156" i="4"/>
  <c r="C1136" i="4"/>
  <c r="C1116" i="4"/>
  <c r="C1096" i="4"/>
  <c r="C1076" i="4"/>
  <c r="C1056" i="4"/>
  <c r="C1036" i="4"/>
  <c r="C1016" i="4"/>
  <c r="C996" i="4"/>
  <c r="C976" i="4"/>
  <c r="C956" i="4"/>
  <c r="C936" i="4"/>
  <c r="C916" i="4"/>
  <c r="C896" i="4"/>
  <c r="C876" i="4"/>
  <c r="C856" i="4"/>
  <c r="C836" i="4"/>
  <c r="C816" i="4"/>
  <c r="C796" i="4"/>
  <c r="C756" i="4"/>
  <c r="C736" i="4"/>
  <c r="C716" i="4"/>
  <c r="C696" i="4"/>
  <c r="C676" i="4"/>
  <c r="C656" i="4"/>
  <c r="C636" i="4"/>
  <c r="C616" i="4"/>
  <c r="C596" i="4"/>
  <c r="C576" i="4"/>
  <c r="C556" i="4"/>
  <c r="C536" i="4"/>
  <c r="C516" i="4"/>
  <c r="C496" i="4"/>
  <c r="C476" i="4"/>
  <c r="C456" i="4"/>
  <c r="C436" i="4"/>
  <c r="C416" i="4"/>
  <c r="C396" i="4"/>
  <c r="C376" i="4"/>
  <c r="C1255" i="4"/>
  <c r="C1230" i="4"/>
  <c r="C1205" i="4"/>
  <c r="C1175" i="4"/>
  <c r="C1150" i="4"/>
  <c r="C1125" i="4"/>
  <c r="C1095" i="4"/>
  <c r="C1070" i="4"/>
  <c r="C1045" i="4"/>
  <c r="C1015" i="4"/>
  <c r="C990" i="4"/>
  <c r="C965" i="4"/>
  <c r="C935" i="4"/>
  <c r="C910" i="4"/>
  <c r="C885" i="4"/>
  <c r="C855" i="4"/>
  <c r="C830" i="4"/>
  <c r="C805" i="4"/>
  <c r="C776" i="4"/>
  <c r="C751" i="4"/>
  <c r="C726" i="4"/>
  <c r="C701" i="4"/>
  <c r="C671" i="4"/>
  <c r="C646" i="4"/>
  <c r="C621" i="4"/>
  <c r="C591" i="4"/>
  <c r="C566" i="4"/>
  <c r="C541" i="4"/>
  <c r="C511" i="4"/>
  <c r="C486" i="4"/>
  <c r="C461" i="4"/>
  <c r="C431" i="4"/>
  <c r="C406" i="4"/>
  <c r="C381" i="4"/>
  <c r="C352" i="4"/>
  <c r="C328" i="4"/>
  <c r="C304" i="4"/>
  <c r="C276" i="4"/>
  <c r="C252" i="4"/>
  <c r="C228" i="4"/>
  <c r="C204" i="4"/>
  <c r="C176" i="4"/>
  <c r="C152" i="4"/>
  <c r="C128" i="4"/>
  <c r="C104" i="4"/>
  <c r="C76" i="4"/>
  <c r="C52" i="4"/>
  <c r="C28" i="4"/>
  <c r="C1254" i="4"/>
  <c r="C1229" i="4"/>
  <c r="C1204" i="4"/>
  <c r="C1174" i="4"/>
  <c r="C1149" i="4"/>
  <c r="C1124" i="4"/>
  <c r="C1094" i="4"/>
  <c r="C1069" i="4"/>
  <c r="C1044" i="4"/>
  <c r="C1014" i="4"/>
  <c r="C989" i="4"/>
  <c r="C964" i="4"/>
  <c r="C934" i="4"/>
  <c r="C909" i="4"/>
  <c r="C884" i="4"/>
  <c r="C854" i="4"/>
  <c r="C829" i="4"/>
  <c r="C804" i="4"/>
  <c r="C775" i="4"/>
  <c r="C750" i="4"/>
  <c r="C725" i="4"/>
  <c r="C695" i="4"/>
  <c r="C670" i="4"/>
  <c r="C645" i="4"/>
  <c r="C615" i="4"/>
  <c r="C590" i="4"/>
  <c r="C565" i="4"/>
  <c r="C535" i="4"/>
  <c r="C510" i="4"/>
  <c r="C485" i="4"/>
  <c r="C455" i="4"/>
  <c r="C430" i="4"/>
  <c r="C405" i="4"/>
  <c r="C375" i="4"/>
  <c r="C351" i="4"/>
  <c r="C327" i="4"/>
  <c r="C303" i="4"/>
  <c r="C275" i="4"/>
  <c r="C251" i="4"/>
  <c r="C227" i="4"/>
  <c r="C203" i="4"/>
  <c r="C175" i="4"/>
  <c r="C151" i="4"/>
  <c r="C127" i="4"/>
  <c r="C103" i="4"/>
  <c r="C75" i="4"/>
  <c r="C51" i="4"/>
  <c r="C27" i="4"/>
  <c r="C483" i="4"/>
  <c r="C1251" i="4"/>
  <c r="C1226" i="4"/>
  <c r="C1201" i="4"/>
  <c r="C1171" i="4"/>
  <c r="C1146" i="4"/>
  <c r="C1121" i="4"/>
  <c r="C1091" i="4"/>
  <c r="C1066" i="4"/>
  <c r="C1011" i="4"/>
  <c r="C986" i="4"/>
  <c r="C961" i="4"/>
  <c r="C931" i="4"/>
  <c r="C906" i="4"/>
  <c r="C881" i="4"/>
  <c r="C851" i="4"/>
  <c r="C826" i="4"/>
  <c r="C801" i="4"/>
  <c r="C772" i="4"/>
  <c r="C747" i="4"/>
  <c r="C722" i="4"/>
  <c r="C692" i="4"/>
  <c r="C667" i="4"/>
  <c r="C642" i="4"/>
  <c r="C587" i="4"/>
  <c r="C562" i="4"/>
  <c r="C532" i="4"/>
  <c r="C507" i="4"/>
  <c r="C482" i="4"/>
  <c r="C452" i="4"/>
  <c r="C427" i="4"/>
  <c r="C402" i="4"/>
  <c r="C372" i="4"/>
  <c r="C348" i="4"/>
  <c r="C296" i="4"/>
  <c r="C272" i="4"/>
  <c r="C248" i="4"/>
  <c r="C224" i="4"/>
  <c r="C196" i="4"/>
  <c r="C148" i="4"/>
  <c r="C124" i="4"/>
  <c r="C96" i="4"/>
  <c r="C72" i="4"/>
  <c r="C24" i="4"/>
  <c r="C1250" i="4"/>
  <c r="C1225" i="4"/>
  <c r="C1195" i="4"/>
  <c r="C1170" i="4"/>
  <c r="C1145" i="4"/>
  <c r="C1115" i="4"/>
  <c r="C1090" i="4"/>
  <c r="C1065" i="4"/>
  <c r="C1010" i="4"/>
  <c r="C985" i="4"/>
  <c r="C955" i="4"/>
  <c r="C930" i="4"/>
  <c r="C905" i="4"/>
  <c r="C875" i="4"/>
  <c r="C850" i="4"/>
  <c r="C825" i="4"/>
  <c r="C795" i="4"/>
  <c r="C771" i="4"/>
  <c r="C746" i="4"/>
  <c r="C721" i="4"/>
  <c r="C691" i="4"/>
  <c r="C666" i="4"/>
  <c r="C641" i="4"/>
  <c r="C611" i="4"/>
  <c r="C586" i="4"/>
  <c r="C561" i="4"/>
  <c r="C531" i="4"/>
  <c r="C506" i="4"/>
  <c r="C481" i="4"/>
  <c r="C451" i="4"/>
  <c r="C426" i="4"/>
  <c r="C401" i="4"/>
  <c r="C371" i="4"/>
  <c r="C347" i="4"/>
  <c r="C323" i="4"/>
  <c r="C295" i="4"/>
  <c r="C271" i="4"/>
  <c r="C247" i="4"/>
  <c r="C223" i="4"/>
  <c r="C195" i="4"/>
  <c r="C171" i="4"/>
  <c r="C147" i="4"/>
  <c r="C123" i="4"/>
  <c r="C95" i="4"/>
  <c r="C71" i="4"/>
  <c r="C47" i="4"/>
  <c r="C23" i="4"/>
  <c r="C1144" i="4"/>
  <c r="C585" i="4"/>
  <c r="C322" i="4"/>
  <c r="C194" i="4"/>
  <c r="C122" i="4"/>
  <c r="C70" i="4"/>
  <c r="C1248" i="4"/>
  <c r="C1223" i="4"/>
  <c r="C1193" i="4"/>
  <c r="C1168" i="4"/>
  <c r="C1143" i="4"/>
  <c r="C1113" i="4"/>
  <c r="C1088" i="4"/>
  <c r="C1063" i="4"/>
  <c r="C1008" i="4"/>
  <c r="C983" i="4"/>
  <c r="C953" i="4"/>
  <c r="C928" i="4"/>
  <c r="C903" i="4"/>
  <c r="C873" i="4"/>
  <c r="C848" i="4"/>
  <c r="C823" i="4"/>
  <c r="C793" i="4"/>
  <c r="C769" i="4"/>
  <c r="C744" i="4"/>
  <c r="C714" i="4"/>
  <c r="C689" i="4"/>
  <c r="C664" i="4"/>
  <c r="C634" i="4"/>
  <c r="C609" i="4"/>
  <c r="C584" i="4"/>
  <c r="C554" i="4"/>
  <c r="C529" i="4"/>
  <c r="C504" i="4"/>
  <c r="C474" i="4"/>
  <c r="C449" i="4"/>
  <c r="C424" i="4"/>
  <c r="C394" i="4"/>
  <c r="C369" i="4"/>
  <c r="C345" i="4"/>
  <c r="C293" i="4"/>
  <c r="C269" i="4"/>
  <c r="C245" i="4"/>
  <c r="C221" i="4"/>
  <c r="C169" i="4"/>
  <c r="C145" i="4"/>
  <c r="C121" i="4"/>
  <c r="C93" i="4"/>
  <c r="C69" i="4"/>
  <c r="C45" i="4"/>
  <c r="C21" i="4"/>
  <c r="C1247" i="4"/>
  <c r="C1222" i="4"/>
  <c r="C1192" i="4"/>
  <c r="C1167" i="4"/>
  <c r="C1142" i="4"/>
  <c r="C1087" i="4"/>
  <c r="C1062" i="4"/>
  <c r="C1032" i="4"/>
  <c r="C1007" i="4"/>
  <c r="C982" i="4"/>
  <c r="C927" i="4"/>
  <c r="C902" i="4"/>
  <c r="C872" i="4"/>
  <c r="C847" i="4"/>
  <c r="C822" i="4"/>
  <c r="C792" i="4"/>
  <c r="C768" i="4"/>
  <c r="C743" i="4"/>
  <c r="C713" i="4"/>
  <c r="C688" i="4"/>
  <c r="C663" i="4"/>
  <c r="C633" i="4"/>
  <c r="C608" i="4"/>
  <c r="C583" i="4"/>
  <c r="C553" i="4"/>
  <c r="C528" i="4"/>
  <c r="C503" i="4"/>
  <c r="C473" i="4"/>
  <c r="C448" i="4"/>
  <c r="C423" i="4"/>
  <c r="C393" i="4"/>
  <c r="C368" i="4"/>
  <c r="C344" i="4"/>
  <c r="C316" i="4"/>
  <c r="C292" i="4"/>
  <c r="C268" i="4"/>
  <c r="C244" i="4"/>
  <c r="C216" i="4"/>
  <c r="C192" i="4"/>
  <c r="C168" i="4"/>
  <c r="C144" i="4"/>
  <c r="C116" i="4"/>
  <c r="C92" i="4"/>
  <c r="C68" i="4"/>
  <c r="C16" i="4"/>
  <c r="C1246" i="4"/>
  <c r="C1221" i="4"/>
  <c r="C1191" i="4"/>
  <c r="C1166" i="4"/>
  <c r="C1141" i="4"/>
  <c r="C1111" i="4"/>
  <c r="C1086" i="4"/>
  <c r="C1061" i="4"/>
  <c r="C1031" i="4"/>
  <c r="C1006" i="4"/>
  <c r="C981" i="4"/>
  <c r="C951" i="4"/>
  <c r="C926" i="4"/>
  <c r="C901" i="4"/>
  <c r="C871" i="4"/>
  <c r="C846" i="4"/>
  <c r="C821" i="4"/>
  <c r="C791" i="4"/>
  <c r="C767" i="4"/>
  <c r="C742" i="4"/>
  <c r="C712" i="4"/>
  <c r="C687" i="4"/>
  <c r="C662" i="4"/>
  <c r="C632" i="4"/>
  <c r="C607" i="4"/>
  <c r="C582" i="4"/>
  <c r="C552" i="4"/>
  <c r="C527" i="4"/>
  <c r="C502" i="4"/>
  <c r="C472" i="4"/>
  <c r="C447" i="4"/>
  <c r="C422" i="4"/>
  <c r="C392" i="4"/>
  <c r="C367" i="4"/>
  <c r="C343" i="4"/>
  <c r="C315" i="4"/>
  <c r="C267" i="4"/>
  <c r="C243" i="4"/>
  <c r="C215" i="4"/>
  <c r="C167" i="4"/>
  <c r="C143" i="4"/>
  <c r="C115" i="4"/>
  <c r="C91" i="4"/>
  <c r="C67" i="4"/>
  <c r="C43" i="4"/>
  <c r="C15" i="4"/>
  <c r="C1245" i="4"/>
  <c r="C1215" i="4"/>
  <c r="C1190" i="4"/>
  <c r="C1165" i="4"/>
  <c r="C1135" i="4"/>
  <c r="C1110" i="4"/>
  <c r="C1085" i="4"/>
  <c r="C1055" i="4"/>
  <c r="C1030" i="4"/>
  <c r="C1005" i="4"/>
  <c r="C975" i="4"/>
  <c r="C950" i="4"/>
  <c r="C1249" i="4"/>
  <c r="C1194" i="4"/>
  <c r="C1169" i="4"/>
  <c r="C1114" i="4"/>
  <c r="C1089" i="4"/>
  <c r="C1064" i="4"/>
  <c r="C1034" i="4"/>
  <c r="C1009" i="4"/>
  <c r="C984" i="4"/>
  <c r="C954" i="4"/>
  <c r="C904" i="4"/>
  <c r="C874" i="4"/>
  <c r="C849" i="4"/>
  <c r="C794" i="4"/>
  <c r="C745" i="4"/>
  <c r="C690" i="4"/>
  <c r="C610" i="4"/>
  <c r="C505" i="4"/>
  <c r="C370" i="4"/>
  <c r="C222" i="4"/>
  <c r="C46" i="4"/>
  <c r="C1033" i="4"/>
  <c r="C193" i="4"/>
  <c r="C1112" i="4"/>
  <c r="C44" i="4"/>
  <c r="C291" i="4"/>
  <c r="C1253" i="4"/>
  <c r="C1228" i="4"/>
  <c r="C1203" i="4"/>
  <c r="C1173" i="4"/>
  <c r="C1148" i="4"/>
  <c r="C1123" i="4"/>
  <c r="C1093" i="4"/>
  <c r="C1068" i="4"/>
  <c r="C1043" i="4"/>
  <c r="C1013" i="4"/>
  <c r="C988" i="4"/>
  <c r="C963" i="4"/>
  <c r="C933" i="4"/>
  <c r="C908" i="4"/>
  <c r="C883" i="4"/>
  <c r="C853" i="4"/>
  <c r="C828" i="4"/>
  <c r="C803" i="4"/>
  <c r="C774" i="4"/>
  <c r="C749" i="4"/>
  <c r="C724" i="4"/>
  <c r="C694" i="4"/>
  <c r="C669" i="4"/>
  <c r="C644" i="4"/>
  <c r="C614" i="4"/>
  <c r="C589" i="4"/>
  <c r="C564" i="4"/>
  <c r="C534" i="4"/>
  <c r="C509" i="4"/>
  <c r="C484" i="4"/>
  <c r="C454" i="4"/>
  <c r="C429" i="4"/>
  <c r="C404" i="4"/>
  <c r="C374" i="4"/>
  <c r="C350" i="4"/>
  <c r="C326" i="4"/>
  <c r="C302" i="4"/>
  <c r="C274" i="4"/>
  <c r="C250" i="4"/>
  <c r="C226" i="4"/>
  <c r="C202" i="4"/>
  <c r="C174" i="4"/>
  <c r="C150" i="4"/>
  <c r="C126" i="4"/>
  <c r="C102" i="4"/>
  <c r="C74" i="4"/>
  <c r="C50" i="4"/>
  <c r="C26" i="4"/>
  <c r="C1252" i="4"/>
  <c r="C1227" i="4"/>
  <c r="C1202" i="4"/>
  <c r="C1172" i="4"/>
  <c r="C1147" i="4"/>
  <c r="C1122" i="4"/>
  <c r="C1092" i="4"/>
  <c r="C1067" i="4"/>
  <c r="C1042" i="4"/>
  <c r="C1012" i="4"/>
  <c r="C987" i="4"/>
  <c r="C962" i="4"/>
  <c r="C932" i="4"/>
  <c r="C907" i="4"/>
  <c r="C882" i="4"/>
  <c r="C852" i="4"/>
  <c r="C827" i="4"/>
  <c r="C802" i="4"/>
  <c r="C773" i="4"/>
  <c r="C748" i="4"/>
  <c r="C723" i="4"/>
  <c r="C693" i="4"/>
  <c r="C668" i="4"/>
  <c r="C643" i="4"/>
  <c r="C613" i="4"/>
  <c r="C588" i="4"/>
  <c r="C563" i="4"/>
  <c r="C533" i="4"/>
  <c r="C508" i="4"/>
  <c r="C453" i="4"/>
  <c r="C428" i="4"/>
  <c r="C403" i="4"/>
  <c r="C373" i="4"/>
  <c r="C349" i="4"/>
  <c r="C325" i="4"/>
  <c r="C301" i="4"/>
  <c r="C273" i="4"/>
  <c r="C249" i="4"/>
  <c r="C225" i="4"/>
  <c r="C201" i="4"/>
  <c r="C173" i="4"/>
  <c r="C149" i="4"/>
  <c r="C125" i="4"/>
  <c r="C101" i="4"/>
  <c r="C73" i="4"/>
  <c r="C49" i="4"/>
  <c r="C25" i="4"/>
  <c r="C1041" i="4"/>
  <c r="C612" i="4"/>
  <c r="C324" i="4"/>
  <c r="C172" i="4"/>
  <c r="C48" i="4"/>
  <c r="C1035" i="4"/>
  <c r="C1224" i="4"/>
  <c r="C929" i="4"/>
  <c r="C824" i="4"/>
  <c r="C770" i="4"/>
  <c r="C715" i="4"/>
  <c r="C665" i="4"/>
  <c r="C635" i="4"/>
  <c r="C555" i="4"/>
  <c r="C530" i="4"/>
  <c r="C475" i="4"/>
  <c r="C450" i="4"/>
  <c r="C425" i="4"/>
  <c r="C395" i="4"/>
  <c r="C346" i="4"/>
  <c r="C294" i="4"/>
  <c r="C270" i="4"/>
  <c r="C246" i="4"/>
  <c r="C170" i="4"/>
  <c r="C146" i="4"/>
  <c r="C94" i="4"/>
  <c r="C22" i="4"/>
  <c r="C321" i="4"/>
  <c r="C952" i="4"/>
  <c r="C191" i="4"/>
  <c r="C1244" i="4"/>
  <c r="C1187" i="4"/>
  <c r="C1130" i="4"/>
  <c r="C1073" i="4"/>
  <c r="C1021" i="4"/>
  <c r="C948" i="4"/>
  <c r="C893" i="4"/>
  <c r="C843" i="4"/>
  <c r="C788" i="4"/>
  <c r="C734" i="4"/>
  <c r="C684" i="4"/>
  <c r="C629" i="4"/>
  <c r="C574" i="4"/>
  <c r="C524" i="4"/>
  <c r="C469" i="4"/>
  <c r="C414" i="4"/>
  <c r="C364" i="4"/>
  <c r="C312" i="4"/>
  <c r="C264" i="4"/>
  <c r="C212" i="4"/>
  <c r="C164" i="4"/>
  <c r="C112" i="4"/>
  <c r="C64" i="4"/>
  <c r="C12" i="4"/>
  <c r="C1243" i="4"/>
  <c r="C1186" i="4"/>
  <c r="C1129" i="4"/>
  <c r="C1072" i="4"/>
  <c r="C1004" i="4"/>
  <c r="C947" i="4"/>
  <c r="C892" i="4"/>
  <c r="C842" i="4"/>
  <c r="C787" i="4"/>
  <c r="C733" i="4"/>
  <c r="C683" i="4"/>
  <c r="C628" i="4"/>
  <c r="C573" i="4"/>
  <c r="C523" i="4"/>
  <c r="C468" i="4"/>
  <c r="C413" i="4"/>
  <c r="C363" i="4"/>
  <c r="C311" i="4"/>
  <c r="C263" i="4"/>
  <c r="C211" i="4"/>
  <c r="C163" i="4"/>
  <c r="C111" i="4"/>
  <c r="C63" i="4"/>
  <c r="C11" i="4"/>
  <c r="C1184" i="4"/>
  <c r="C361" i="4"/>
  <c r="C9" i="4"/>
  <c r="C1053" i="4"/>
  <c r="C1052" i="4"/>
  <c r="C831" i="4"/>
  <c r="C42" i="4"/>
  <c r="C655" i="4"/>
  <c r="C89" i="4"/>
  <c r="C603" i="4"/>
  <c r="C547" i="4"/>
  <c r="C1051" i="4"/>
  <c r="C306" i="4"/>
  <c r="C1232" i="4"/>
  <c r="C1164" i="4"/>
  <c r="C1107" i="4"/>
  <c r="C1050" i="4"/>
  <c r="C993" i="4"/>
  <c r="C941" i="4"/>
  <c r="C886" i="4"/>
  <c r="C781" i="4"/>
  <c r="C727" i="4"/>
  <c r="C672" i="4"/>
  <c r="C567" i="4"/>
  <c r="C512" i="4"/>
  <c r="C462" i="4"/>
  <c r="C407" i="4"/>
  <c r="C353" i="4"/>
  <c r="C305" i="4"/>
  <c r="C253" i="4"/>
  <c r="C153" i="4"/>
  <c r="C105" i="4"/>
  <c r="C53" i="4"/>
  <c r="C1231" i="4"/>
  <c r="C1163" i="4"/>
  <c r="C1106" i="4"/>
  <c r="C1049" i="4"/>
  <c r="C992" i="4"/>
  <c r="C925" i="4"/>
  <c r="C870" i="4"/>
  <c r="C766" i="4"/>
  <c r="C711" i="4"/>
  <c r="C661" i="4"/>
  <c r="C606" i="4"/>
  <c r="C551" i="4"/>
  <c r="C501" i="4"/>
  <c r="C446" i="4"/>
  <c r="C391" i="4"/>
  <c r="C342" i="4"/>
  <c r="C290" i="4"/>
  <c r="C242" i="4"/>
  <c r="C142" i="4"/>
  <c r="C90" i="4"/>
  <c r="C1214" i="4"/>
  <c r="C1162" i="4"/>
  <c r="C1105" i="4"/>
  <c r="C1048" i="4"/>
  <c r="C991" i="4"/>
  <c r="C924" i="4"/>
  <c r="C869" i="4"/>
  <c r="C814" i="4"/>
  <c r="C765" i="4"/>
  <c r="C710" i="4"/>
  <c r="C605" i="4"/>
  <c r="C550" i="4"/>
  <c r="C495" i="4"/>
  <c r="C445" i="4"/>
  <c r="C390" i="4"/>
  <c r="C341" i="4"/>
  <c r="C241" i="4"/>
  <c r="C189" i="4"/>
  <c r="C141" i="4"/>
  <c r="C41" i="4"/>
  <c r="C1213" i="4"/>
  <c r="C1161" i="4"/>
  <c r="C1047" i="4"/>
  <c r="C974" i="4"/>
  <c r="C923" i="4"/>
  <c r="C868" i="4"/>
  <c r="C813" i="4"/>
  <c r="C764" i="4"/>
  <c r="C709" i="4"/>
  <c r="C654" i="4"/>
  <c r="C604" i="4"/>
  <c r="C549" i="4"/>
  <c r="C494" i="4"/>
  <c r="C444" i="4"/>
  <c r="C389" i="4"/>
  <c r="C336" i="4"/>
  <c r="C288" i="4"/>
  <c r="C236" i="4"/>
  <c r="C188" i="4"/>
  <c r="C88" i="4"/>
  <c r="C36" i="4"/>
  <c r="C1212" i="4"/>
  <c r="C1155" i="4"/>
  <c r="C1103" i="4"/>
  <c r="C1046" i="4"/>
  <c r="C973" i="4"/>
  <c r="C922" i="4"/>
  <c r="C867" i="4"/>
  <c r="C812" i="4"/>
  <c r="C763" i="4"/>
  <c r="C708" i="4"/>
  <c r="C653" i="4"/>
  <c r="C548" i="4"/>
  <c r="C493" i="4"/>
  <c r="C443" i="4"/>
  <c r="C388" i="4"/>
  <c r="C335" i="4"/>
  <c r="C287" i="4"/>
  <c r="C235" i="4"/>
  <c r="C187" i="4"/>
  <c r="C135" i="4"/>
  <c r="C87" i="4"/>
  <c r="C35" i="4"/>
  <c r="C1211" i="4"/>
  <c r="C1154" i="4"/>
  <c r="C1102" i="4"/>
  <c r="C1029" i="4"/>
  <c r="C972" i="4"/>
  <c r="C921" i="4"/>
  <c r="C866" i="4"/>
  <c r="C811" i="4"/>
  <c r="C762" i="4"/>
  <c r="C707" i="4"/>
  <c r="C652" i="4"/>
  <c r="C602" i="4"/>
  <c r="C492" i="4"/>
  <c r="C442" i="4"/>
  <c r="C387" i="4"/>
  <c r="C334" i="4"/>
  <c r="C286" i="4"/>
  <c r="C234" i="4"/>
  <c r="C186" i="4"/>
  <c r="C134" i="4"/>
  <c r="C86" i="4"/>
  <c r="C34" i="4"/>
  <c r="C1210" i="4"/>
  <c r="C1153" i="4"/>
  <c r="C1101" i="4"/>
  <c r="C1028" i="4"/>
  <c r="C971" i="4"/>
  <c r="C915" i="4"/>
  <c r="C865" i="4"/>
  <c r="C810" i="4"/>
  <c r="C761" i="4"/>
  <c r="C706" i="4"/>
  <c r="C651" i="4"/>
  <c r="C601" i="4"/>
  <c r="C546" i="4"/>
  <c r="C491" i="4"/>
  <c r="C441" i="4"/>
  <c r="C386" i="4"/>
  <c r="C333" i="4"/>
  <c r="C285" i="4"/>
  <c r="C233" i="4"/>
  <c r="C185" i="4"/>
  <c r="C133" i="4"/>
  <c r="C85" i="4"/>
  <c r="C33" i="4"/>
  <c r="C1152" i="4"/>
  <c r="C1084" i="4"/>
  <c r="C1027" i="4"/>
  <c r="C970" i="4"/>
  <c r="C914" i="4"/>
  <c r="C864" i="4"/>
  <c r="C809" i="4"/>
  <c r="C755" i="4"/>
  <c r="C705" i="4"/>
  <c r="C650" i="4"/>
  <c r="C595" i="4"/>
  <c r="C545" i="4"/>
  <c r="C490" i="4"/>
  <c r="C435" i="4"/>
  <c r="C385" i="4"/>
  <c r="C284" i="4"/>
  <c r="C232" i="4"/>
  <c r="C184" i="4"/>
  <c r="C132" i="4"/>
  <c r="C84" i="4"/>
  <c r="C1242" i="4"/>
  <c r="C1185" i="4"/>
  <c r="C1128" i="4"/>
  <c r="C1071" i="4"/>
  <c r="C1003" i="4"/>
  <c r="C946" i="4"/>
  <c r="C891" i="4"/>
  <c r="C841" i="4"/>
  <c r="C786" i="4"/>
  <c r="C732" i="4"/>
  <c r="C682" i="4"/>
  <c r="C627" i="4"/>
  <c r="C572" i="4"/>
  <c r="C522" i="4"/>
  <c r="C467" i="4"/>
  <c r="C412" i="4"/>
  <c r="C362" i="4"/>
  <c r="C310" i="4"/>
  <c r="C262" i="4"/>
  <c r="C210" i="4"/>
  <c r="C162" i="4"/>
  <c r="C110" i="4"/>
  <c r="C62" i="4"/>
  <c r="C10" i="4"/>
  <c r="C1241" i="4"/>
  <c r="C1127" i="4"/>
  <c r="C1054" i="4"/>
  <c r="C1002" i="4"/>
  <c r="C945" i="4"/>
  <c r="C890" i="4"/>
  <c r="C835" i="4"/>
  <c r="C785" i="4"/>
  <c r="C731" i="4"/>
  <c r="C681" i="4"/>
  <c r="C626" i="4"/>
  <c r="C571" i="4"/>
  <c r="C521" i="4"/>
  <c r="C466" i="4"/>
  <c r="C411" i="4"/>
  <c r="C309" i="4"/>
  <c r="C261" i="4"/>
  <c r="C209" i="4"/>
  <c r="C161" i="4"/>
  <c r="C109" i="4"/>
  <c r="C61" i="4"/>
  <c r="C1235" i="4"/>
  <c r="C1183" i="4"/>
  <c r="C1126" i="4"/>
  <c r="C1001" i="4"/>
  <c r="C944" i="4"/>
  <c r="C889" i="4"/>
  <c r="C834" i="4"/>
  <c r="C784" i="4"/>
  <c r="C730" i="4"/>
  <c r="C675" i="4"/>
  <c r="C625" i="4"/>
  <c r="C570" i="4"/>
  <c r="C515" i="4"/>
  <c r="C465" i="4"/>
  <c r="C410" i="4"/>
  <c r="C356" i="4"/>
  <c r="C308" i="4"/>
  <c r="C256" i="4"/>
  <c r="C208" i="4"/>
  <c r="C156" i="4"/>
  <c r="C108" i="4"/>
  <c r="C56" i="4"/>
  <c r="C8" i="4"/>
  <c r="C1234" i="4"/>
  <c r="C1182" i="4"/>
  <c r="C1109" i="4"/>
  <c r="C995" i="4"/>
  <c r="C943" i="4"/>
  <c r="C888" i="4"/>
  <c r="C833" i="4"/>
  <c r="C783" i="4"/>
  <c r="C729" i="4"/>
  <c r="C674" i="4"/>
  <c r="C624" i="4"/>
  <c r="C569" i="4"/>
  <c r="C514" i="4"/>
  <c r="C464" i="4"/>
  <c r="C409" i="4"/>
  <c r="C355" i="4"/>
  <c r="C307" i="4"/>
  <c r="C255" i="4"/>
  <c r="C207" i="4"/>
  <c r="C155" i="4"/>
  <c r="C107" i="4"/>
  <c r="C55" i="4"/>
  <c r="C7" i="4"/>
  <c r="C1233" i="4"/>
  <c r="C1181" i="4"/>
  <c r="C1108" i="4"/>
  <c r="C994" i="4"/>
  <c r="C942" i="4"/>
  <c r="C887" i="4"/>
  <c r="C832" i="4"/>
  <c r="C782" i="4"/>
  <c r="C728" i="4"/>
  <c r="C673" i="4"/>
  <c r="C623" i="4"/>
  <c r="C568" i="4"/>
  <c r="C513" i="4"/>
  <c r="C463" i="4"/>
  <c r="C408" i="4"/>
  <c r="C354" i="4"/>
  <c r="C254" i="4"/>
  <c r="C206" i="4"/>
  <c r="C154" i="4"/>
  <c r="C106" i="4"/>
  <c r="C54" i="4"/>
  <c r="C622" i="4"/>
  <c r="C205" i="4"/>
  <c r="C815" i="4"/>
  <c r="C190" i="4"/>
  <c r="C289" i="4"/>
  <c r="C1104" i="4"/>
  <c r="C136" i="4"/>
  <c r="C1209" i="4"/>
  <c r="C1022" i="4"/>
  <c r="C789" i="4"/>
  <c r="C575" i="4"/>
  <c r="C365" i="4"/>
  <c r="C166" i="4"/>
  <c r="C1208" i="4"/>
  <c r="C969" i="4"/>
  <c r="C754" i="4"/>
  <c r="C544" i="4"/>
  <c r="C332" i="4"/>
  <c r="C165" i="4"/>
  <c r="C702" i="4"/>
  <c r="C65" i="4"/>
  <c r="C862" i="4"/>
  <c r="C648" i="4"/>
  <c r="C231" i="4"/>
  <c r="C32" i="4"/>
  <c r="C230" i="4"/>
  <c r="C30" i="4"/>
  <c r="C29" i="4"/>
  <c r="C1026" i="4"/>
  <c r="C808" i="4"/>
  <c r="C594" i="4"/>
  <c r="C213" i="4"/>
  <c r="C14" i="4"/>
  <c r="C181" i="4"/>
  <c r="C1133" i="4"/>
  <c r="C487" i="4"/>
  <c r="C282" i="4"/>
  <c r="C82" i="4"/>
  <c r="C1132" i="4"/>
  <c r="C895" i="4"/>
  <c r="C686" i="4"/>
  <c r="C471" i="4"/>
  <c r="C281" i="4"/>
  <c r="C81" i="4"/>
  <c r="C1131" i="4"/>
  <c r="C894" i="4"/>
  <c r="C685" i="4"/>
  <c r="C470" i="4"/>
  <c r="C266" i="4"/>
  <c r="C1083" i="4"/>
  <c r="C863" i="4"/>
  <c r="C649" i="4"/>
  <c r="C434" i="4"/>
  <c r="C265" i="4"/>
  <c r="C1082" i="4"/>
  <c r="C433" i="4"/>
  <c r="C861" i="4"/>
  <c r="C1075" i="4"/>
  <c r="C845" i="4"/>
  <c r="C631" i="4"/>
  <c r="C421" i="4"/>
  <c r="C229" i="4"/>
  <c r="C1074" i="4"/>
  <c r="C844" i="4"/>
  <c r="C630" i="4"/>
  <c r="C415" i="4"/>
  <c r="C214" i="4"/>
  <c r="C1263" i="4"/>
  <c r="C1025" i="4"/>
  <c r="C807" i="4"/>
  <c r="C593" i="4"/>
  <c r="C383" i="4"/>
  <c r="C183" i="4"/>
  <c r="C13" i="4"/>
  <c r="C1262" i="4"/>
  <c r="C1024" i="4"/>
  <c r="C806" i="4"/>
  <c r="C592" i="4"/>
  <c r="C382" i="4"/>
  <c r="C182" i="4"/>
  <c r="C1261" i="4"/>
  <c r="C790" i="4"/>
  <c r="C581" i="4"/>
  <c r="C366" i="4"/>
  <c r="C1207" i="4"/>
  <c r="C968" i="4"/>
  <c r="C753" i="4"/>
  <c r="C543" i="4"/>
  <c r="C331" i="4"/>
  <c r="C131" i="4"/>
  <c r="C1206" i="4"/>
  <c r="C967" i="4"/>
  <c r="C752" i="4"/>
  <c r="C542" i="4"/>
  <c r="C330" i="4"/>
  <c r="C130" i="4"/>
  <c r="C1189" i="4"/>
  <c r="C966" i="4"/>
  <c r="C741" i="4"/>
  <c r="C526" i="4"/>
  <c r="C329" i="4"/>
  <c r="C129" i="4"/>
  <c r="C1188" i="4"/>
  <c r="C949" i="4"/>
  <c r="C735" i="4"/>
  <c r="C525" i="4"/>
  <c r="C314" i="4"/>
  <c r="C114" i="4"/>
  <c r="C1151" i="4"/>
  <c r="C913" i="4"/>
  <c r="C704" i="4"/>
  <c r="C489" i="4"/>
  <c r="C313" i="4"/>
  <c r="C113" i="4"/>
  <c r="C1134" i="4"/>
  <c r="C912" i="4"/>
  <c r="C703" i="4"/>
  <c r="C488" i="4"/>
  <c r="C283" i="4"/>
  <c r="C83" i="4"/>
  <c r="C911" i="4"/>
  <c r="C66" i="4"/>
  <c r="C1081" i="4"/>
  <c r="C647" i="4"/>
  <c r="C432" i="4"/>
  <c r="C31" i="4"/>
  <c r="C384" i="4"/>
  <c r="C1023" i="4"/>
  <c r="B7" i="4" a="1"/>
  <c r="B7" i="4" l="1"/>
  <c r="A1" i="4" a="1"/>
  <c r="A1" i="4" l="1"/>
  <c r="D23" i="1" a="1"/>
  <c r="D23" i="1" l="1"/>
  <c r="D22" i="1" a="1"/>
  <c r="D22" i="1" l="1"/>
  <c r="D21" i="1" a="1"/>
  <c r="D21" i="1" l="1"/>
  <c r="D20" i="1" a="1"/>
  <c r="D20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CCBDAB9E-5565-4B9E-A653-73886E4827C9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Timestamp="1765268161"&gt;&lt;FQL&gt;&lt;Q&gt;MSFT-US^CORREL(P_PRICE_RETURNS(0,45961,45961-5AY,D,USD),VALUE('LSEG-GB',P_PRICE_RETURNS(0,45961,45961-5AY,D,USD)))&lt;/Q&gt;&lt;R&gt;1&lt;/R&gt;&lt;C&gt;1&lt;/C&gt;&lt;D xsi:type="xsd:double"&gt;0.11480431963182&lt;/D&gt;&lt;/FQL&gt;&lt;FQL&gt;&lt;Q&gt;LSEG-GB^P_PRICE_RETURNS(0,45961,45961-5AY,D,USD)&lt;/Q&gt;&lt;R&gt;1257&lt;/R&gt;&lt;C&gt;1&lt;/C&gt;&lt;D xsi:type="xsd:double"&gt;0.1139164&lt;/D&gt;&lt;D xsi:type="xsd:double"&gt;-0.7023394&lt;/D&gt;&lt;D xsi:type="xsd:double"&gt;-2.2735596&lt;/D&gt;&lt;D xsi:type="xsd:double"&gt;-2.2008657&lt;/D&gt;&lt;D xsi:type="xsd:double"&gt;0.6848693&lt;/D&gt;&lt;D xsi:type="xsd:double"&gt;4.633951&lt;/D&gt;&lt;D xsi:type="xsd:double"&gt;6.914079&lt;/D&gt;&lt;D xsi:type="xsd:double"&gt;0.6000161&lt;/D&gt;&lt;D xsi:type="xsd:double"&gt;0.010454655&lt;/D&gt;&lt;D xsi:type="xsd:double"&gt;1.2826681&lt;/D&gt;&lt;D xsi:type="xsd:double"&gt;-1.789403&lt;/D&gt;&lt;D xsi:type="xsd:double"&gt;-0.9400487&lt;/D&gt;&lt;D xsi:type="xsd:double"&gt;0.14306307&lt;/D&gt;&lt;D xsi:type="xsd:double"&gt;-0.9251416&lt;/D&gt;&lt;D xsi:type="xsd:double"&gt;1.3594389&lt;/D&gt;&lt;D xsi:type="xsd:double"&gt;0.20081997&lt;/D&gt;&lt;D xsi:type="xsd:double"&gt;0.7967472&lt;/D&gt;&lt;D xsi:type="xsd:double"&gt;0.4702568&lt;/D&gt;&lt;D xsi:type="xsd:double"&gt;-0.41840076&lt;/D&gt;&lt;D xsi:type="xsd:double"&gt;-0.29681325&lt;/D&gt;&lt;D xsi:type="xsd:double"&gt;0.33710003&lt;/D&gt;&lt;D xsi:type="xsd:double"&gt;-0.92486143&lt;/D&gt;&lt;D xsi:type="xsd:double"&gt;1.7330289&lt;/D&gt;&lt;D xsi:type="xsd:double"&gt;1.7133951&lt;/D&gt;&lt;D xsi:type="xsd:double"&gt;1.3332009&lt;/D&gt;&lt;D xsi:type="xsd:double"&gt;1.2017846&lt;/D&gt;&lt;D xsi:type="xsd:double"&gt;-1.0338187&lt;/D&gt;&lt;D xsi:type="xsd:double"&gt;0.35979748&lt;/D&gt;&lt;D xsi:type="xsd:double"&gt;0.4149437&lt;/D&gt;&lt;D xsi:type="xsd:double"&gt;0.4371047&lt;/D&gt;&lt;D xsi:type="xsd:double"&gt;-6.2532783&lt;/D&gt;&lt;D xsi:type="xsd:double"&gt;0.33568144&lt;/D&gt;&lt;D xsi:type="xsd:double"&gt;-0.21172762&lt;/D&gt;&lt;D xsi:type="xsd:double"&gt;-1.591903&lt;/D&gt;&lt;D xsi:type="xsd:double"&gt;1.4984131&lt;/D&gt;&lt;D xsi:type="xsd:double"&gt;-1.2130916&lt;/D&gt;&lt;D xsi:type="xsd:double"&gt;0.013244152&lt;/D&gt;&lt;D xsi:type="xsd:double"&gt;-0.871259&lt;/D&gt;&lt;D xsi:type="xsd:double"&gt;-4.651606&lt;/D&gt;&lt;D xsi:type="xsd:double"&gt;-0.011819601&lt;/D&gt;&lt;D xsi:type="xsd:double"&gt;0.14578104&lt;/D&gt;&lt;D xsi:type="xsd:double"&gt;0.38235188&lt;/D&gt;&lt;D xsi:type="xsd:double"&gt;2.3301005&lt;/D&gt;&lt;D xsi:type="xsd:double"&gt;-1.629442&lt;/D&gt;&lt;D xsi:type="xsd:double"&gt;-0.750947&lt;/D&gt;&lt;D xsi:type="xsd:double"&gt;-1.2179792&lt;/D&gt;&lt;D xsi:type="xsd:double"&gt;-1.4600813&lt;/D&gt;&lt;D xsi:type="xsd:double"&gt;0.33226013&lt;/D&gt;&lt;D xsi:type="xsd:double"&gt;-0.16266108&lt;/D&gt;&lt;D xsi:type="xsd:double"&gt;0.6585717&lt;/D&gt;&lt;D xsi:type="xsd:double"&gt;-1.1725783&lt;/D&gt;&lt;D xsi:type="xsd:double"&gt;2.1781683&lt;/D&gt;&lt;D xsi:type="xsd:double"&gt;0.84803104&lt;/D&gt;&lt;D xsi:type="xsd:double"&gt;-0.57175756&lt;/D&gt;&lt;D xsi:type="xsd:double"&gt;-0.39023757&lt;/D&gt;&lt;D xsi:type="xsd:double"&gt;1.5639186&lt;/D&gt;&lt;D xsi:type="xsd:double"&gt;-1.8801868&lt;/D&gt;&lt;D xsi:type="xsd:double"&gt;-4.7064304&lt;/D&gt;&lt;D xsi:type="xsd:double"&gt;-0.8315861&lt;/D&gt;&lt;D xsi:type="xsd:double"&gt;0.83168745&lt;/D&gt;&lt;D xsi:type="xsd:double"&gt;-1.3836801&lt;/D&gt;&lt;D xsi:type="xsd:double"&gt;3.3331394&lt;/D&gt;&lt;D xsi:type="xsd:double"&gt;1.7204881&lt;/D&gt;&lt;D xsi:type="xsd:double"&gt;3.6950946&lt;/D&gt;&lt;D xsi:type="xsd:double"&gt;0.7997751&lt;/D&gt;&lt;D xsi:type="xsd:double"&gt;-8.301478&lt;/D&gt;&lt;D xsi:type="xsd:double"&gt;0.25957823&lt;/D&gt;&lt;D xsi:type="xsd:double"&gt;-1.1243522&lt;/D&gt;&lt;D xsi:type="xsd:double"&gt;-0.5299151&lt;/D&gt;&lt;D xsi:type="xsd:double"&gt;-2.3201764&lt;/D&gt;&lt;D xsi:type="xsd:double"&gt;-1.3840854&lt;/D&gt;&lt;D xsi:type="xsd:double"&gt;-1.2363434&lt;/D&gt;&lt;D xsi:type="xsd:double"&gt;-0.91941357&lt;/D&gt;&lt;D xsi:type="xsd:double"&gt;-1.2426198&lt;/D&gt;&lt;D xsi:type="xsd:double"&gt;0.015223026&lt;/D&gt;&lt;D xsi:type="xsd:double"&gt;0.11198521&lt;/D&gt;&lt;D xsi:type="xsd:double"&gt;0.08100271&lt;/D&gt;&lt;D xsi:type="xsd:double"&gt;-0.6046951&lt;/D&gt;&lt;D xsi:type="xsd:double"&gt;0.76828&lt;/D&gt;&lt;D xsi:type="xsd:double"&gt;-1.6472459&lt;/D&gt;&lt;D xsi:type="xsd:double"&gt;0.11419058&lt;/D&gt;&lt;D xsi:type="xsd:double"&gt;0.055336952&lt;/D&gt;&lt;D xsi:type="xsd:double"&gt;-0.030893087&lt;/D&gt;&lt;D xsi:type="xsd:double"&gt;0.06569624&lt;/D&gt;&lt;D xsi:type="xsd:double"&gt;0.20407438&lt;/D&gt;&lt;D xsi:type="xsd:double"&gt;0.53828955&lt;/D&gt;&lt;D xsi:type="xsd:double"&gt;0.24335384&lt;/D&gt;&lt;D xsi:type="xsd:double"&gt;-0.69443583&lt;/D&gt;&lt;D xsi:type="xsd:double"&gt;0.2907157&lt;/D&gt;&lt;D xsi:type="xsd:double"&gt;0.38347244&lt;/D&gt;&lt;D xsi:type="xsd:double"&gt;0.48424006&lt;/D&gt;&lt;D xsi:type="xsd:double"&gt;-0.046366453&lt;/D&gt;&lt;D xsi:type="xsd:double"&gt;-0.5188763&lt;/D&gt;&lt;D xsi:type="xsd:double"&gt;-0.35945773&lt;/D&gt;&lt;D xsi:type="xsd:double"&gt;-0.6340146&lt;/D&gt;&lt;D xsi:type="xsd:double"&gt;-2.4515808&lt;/D&gt;&lt;D xsi:type="xsd:double"&gt;0.73667765&lt;/D&gt;&lt;D xsi:type="xsd:double"&gt;-0.49276948&lt;/D&gt;&lt;D xsi:type="xsd:double"&gt;-0.66174865&lt;/D&gt;&lt;D xsi:type="xsd:double"&gt;0.218606&lt;/D&gt;&lt;D xsi:type="xsd:double"&gt;-0.40301085&lt;/D&gt;&lt;D xsi:type="xsd:double"&gt;-1.3541758&lt;/D&gt;&lt;D xsi:type="xsd:double"&gt;0.39588213&lt;/D&gt;&lt;D xsi:type="xsd:double"&gt;-0.06655455&lt;/D&gt;&lt;D xsi:type="xsd:double"&gt;0.934875&lt;/D&gt;&lt;D xsi:type="xsd:double"&gt;-0.75077415&lt;/D&gt;&lt;D xsi:type="xsd:double"&gt;0.8162379&lt;/D&gt;&lt;D xsi:type="xsd:double"&gt;-0.7771969&lt;/D&gt;&lt;D xsi:type="xsd:double"&gt;-0.2982676&lt;/D&gt;&lt;D xsi:type="xsd:double"&gt;-2.001673&lt;/D&gt;&lt;D xsi:type="xsd:double"&gt;0.78600645&lt;/D&gt;&lt;D xsi:type="xsd:double"&gt;1.0219693&lt;/D&gt;&lt;D xsi:type="xsd:double"&gt;-0.17258525&lt;/D&gt;&lt;D xsi:type="xsd:double"&gt;0.27538538&lt;/D&gt;&lt;D xsi:type="xsd:double"&gt;-0.1151979&lt;/D&gt;&lt;D xsi:type="xsd:double"&gt;0.8126378&lt;/D&gt;&lt;D xsi:type="xsd:double"&gt;0.7617116&lt;/D&gt;&lt;D xsi:type="xsd:double"&gt;0.42014122&lt;/D&gt;&lt;D xsi:type="xsd:double"&gt;1.1116743&lt;/D&gt;&lt;D xsi:type="xsd:double"&gt;0.16499758&lt;/D&gt;&lt;D xsi:type="xsd:double"&gt;-0.8180201&lt;/D&gt;&lt;D xsi:type="xsd:double"&gt;-1.3397098&lt;/D&gt;&lt;D xsi:type="xsd:double"&gt;-1.756376&lt;/D&gt;&lt;D xsi:type="xsd:double"&gt;-0.20936728&lt;/D&gt;&lt;D xsi:type="xsd:double"&gt;1.006031&lt;/D&gt;&lt;D xsi:type="xsd:double"&gt;-0.11258721&lt;/D&gt;&lt;D xsi:type="xsd:double"&gt;1.9998193&lt;/D&gt;&lt;D xsi:type="xsd:double"&gt;-2.7222037&lt;/D&gt;&lt;D xsi:type="xsd:double"&gt;1.6815662&lt;/D&gt;&lt;D xsi:type="xsd:double"&gt;0.42532682&lt;/D&gt;&lt;D xsi:type="xsd:double"&gt;-0.1239717&lt;/D&gt;&lt;D xsi:type="xsd:double"&gt;-0.43669343&lt;/D&gt;&lt;D xsi:type="xsd:double"&gt;0.17427206&lt;/D&gt;&lt;D xsi:type="xsd:double"&gt;-1.5237987&lt;/D&gt;&lt;D xsi:type="xsd:double"&gt;1.9006729&lt;/D&gt;&lt;D xsi:type="xsd:double"&gt;1.1901617&lt;/D&gt;&lt;D xsi:type="xsd:double"&gt;-0.42892098&lt;/D&gt;&lt;D xsi:type="xsd:double"&gt;0.07549524&lt;/D&gt;&lt;D xsi:type="xsd:double"&gt;3.300476&lt;/D&gt;&lt;D xsi:type="xsd:double"&gt;0.17766953&lt;/D&gt;&lt;D xsi:type="xsd:double"&gt;0.42971373&lt;/D&gt;&lt;D xsi:type="xsd:double"&gt;6.7499757&lt;/D&gt;&lt;D xsi:type="xsd:double"&gt;-1.9770145&lt;/D&gt;&lt;D xsi:type="xsd:double"&gt;5.339277&lt;/D&gt;&lt;D xsi:type="xsd:double"&gt;-8.678514&lt;/D&gt;&lt;D xsi:type="xsd:double"&gt;-7.3041143&lt;/D&gt;&lt;D xsi:type="xsd:double"&gt;2.3375273&lt;/D&gt;&lt;D xsi:type="xsd:double"&gt;1.4896512&lt;/D&gt;&lt;D xsi:type="xsd:double"&gt;1.2636662&lt;/D&gt;&lt;D xsi:type="xsd:double"&gt;-0.868237&lt;/D&gt;&lt;D xsi:type="xsd:double"&gt;1.6979694&lt;/D&gt;&lt;D xsi:type="xsd:double"&gt;1.4332533&lt;/D&gt;&lt;D xsi:type="xsd:double"&gt;-0.1151979&lt;/D&gt;&lt;D xsi:type="xsd:double"&gt;-0.03399253&lt;/D&gt;&lt;D xsi:type="xsd:double"&gt;-0.013488531&lt;/D&gt;&lt;D xsi:type="xsd:double"&gt;-0.7222593&lt;/D&gt;&lt;D xsi:type="xsd:double"&gt;2.7832985&lt;/D&gt;&lt;D xsi:type="xsd:double"&gt;0.5539417&lt;/D&gt;&lt;D xsi:type="xsd:double"&gt;-0.956285&lt;/D&gt;&lt;D xsi:type="xsd:double"&gt;0.48849583&lt;/D&gt;&lt;D xsi:type="xsd:double"&gt;-1.1203289&lt;/D&gt;&lt;D xsi:type="xsd:double"&gt;-1.3344765&lt;/D&gt;&lt;D xsi:type="xsd:double"&gt;1.6079426&lt;/D&gt;&lt;D xsi:type="xsd:double"&gt;3.7105203&lt;/D&gt;&lt;D xsi:type="xsd:double"&gt;-1.399368&lt;/D&gt;&lt;D xsi:type="xsd:double"&gt;-0.47914386&lt;/D&gt;&lt;D xsi:type="xsd:double"&gt;-3.9362967&lt;/D&gt;&lt;D xsi:type="xsd:double"&gt;-0.96431375&lt;/D&gt;&lt;D xsi:type="xsd:double"&gt;-0.9430945&lt;/D&gt;&lt;D xsi:type="xsd:double"&gt;0.056695938&lt;/D&gt;&lt;D xsi:type="xsd:double"&gt;0.30372143&lt;/D&gt;&lt;D xsi:type="xsd:double"&gt;5.5087566&lt;/D&gt;&lt;D xsi:type="xsd:double"&gt;-0.020462275&lt;/D&gt;&lt;D xsi:type="xsd:double"&gt;-1.150316&lt;/D&gt;&lt;D xsi:type="xsd:double"&gt;-2.6144147&lt;/D&gt;&lt;D xsi:type="xsd:double"&gt;-0.9868145&lt;/D&gt;&lt;D xsi:type="xsd:double"&gt;0.35026073&lt;/D&gt;&lt;D xsi:type="xsd:double"&gt;-0.07802248&lt;/D&gt;&lt;D xsi:type="xsd:double"&gt;-0.015854836&lt;/D&gt;&lt;D xsi:type="xsd:double"&gt;1.0611534&lt;/D&gt;&lt;D xsi:type="xsd:double"&gt;0.041222572&lt;/D&gt;&lt;D xsi:type="xsd:double"&gt;0.64646006&lt;/D&gt;&lt;D xsi:type="xsd:double"&gt;0.14126301&lt;/D&gt;&lt;D xsi:type="xsd:double"&gt;-0.57789683&lt;/D&gt;&lt;D xsi:type="xsd:double"&gt;-0.26950836&lt;/D&gt;&lt;D xsi:type="xsd:double"&gt;-3.5697997&lt;/D&gt;&lt;D xsi:type="xsd:double"&gt;1.072669&lt;/D&gt;&lt;D xsi:type="xsd:double"&gt;1.4269829&lt;/D&gt;&lt;D xsi:type="xsd:double"&gt;-1.2410998&lt;/D&gt;&lt;D xsi:type="xsd:double"&gt;-0.42760372&lt;/D&gt;&lt;D xsi:type="xsd:double"&gt;2.1348715&lt;/D&gt;&lt;D xsi:type="xsd:double"&gt;1.1278629&lt;/D&gt;&lt;D xsi:type="xsd:double"&gt;-0.29005408&lt;/D&gt;&lt;D xsi:type="xsd:double"&gt;-0.8093357&lt;/D&gt;&lt;D xsi:type="xsd:double"&gt;0.07400513&lt;/D&gt;&lt;D xsi:type="xsd:double"&gt;-0.2778113&lt;/D&gt;&lt;D xsi:type="xsd:double"&gt;1.496017&lt;/D&gt;&lt;D xsi:type="xsd:double"&gt;1.0807514&lt;/D&gt;&lt;D xsi:type="xsd:double"&gt;-0.45521855&lt;/D&gt;&lt;D xsi:type="xsd:double"&gt;1.3557196&lt;/D&gt;&lt;D xsi:type="xsd:double"&gt;0.5186796&lt;/D&gt;&lt;D xsi:type="xsd:double"&gt;0.69868565&lt;/D&gt;&lt;D xsi:type="xsd:double"&gt;-1.5233219&lt;/D&gt;&lt;D xsi:type="xsd:double"&gt;-0.40370226&lt;/D&gt;&lt;D xsi:type="xsd:double"&gt;0.40215254&lt;/D&gt;&lt;D xsi:type="xsd:double"&gt;0.8307576&lt;/D&gt;&lt;D xsi:type="xsd:double"&gt;-0.036603212&lt;/D&gt;&lt;D xsi:type="xsd:double"&gt;-0.20260811&lt;/D&gt;&lt;D xsi:type="xsd:double"&gt;0.43417215&lt;/D&gt;&lt;D xsi:type="xsd:double"&gt;-0.024980307&lt;/D&gt;&lt;D xsi:type="xsd:double"&gt;-0.8118391&lt;/D&gt;&lt;D xsi:type="xsd:double"&gt;0.59592724&lt;/D&gt;&lt;D xsi:type="xsd:double"&gt;-0.23525357&lt;/D&gt;&lt;D xsi:type="xsd:double"&gt;0.93330145&lt;/D&gt;&lt;D xsi:type="xsd:double"&gt;-0.8848548&lt;/D&gt;&lt;D xsi:type="xsd:double"&gt;-1.1905313&lt;/D&gt;&lt;D xsi:type="xsd:double"&gt;-1.5138865&lt;/D&gt;&lt;D xsi:type="xsd:double"&gt;-0.54668784&lt;/D&gt;&lt;D xsi:type="xsd:double"&gt;0.37504435&lt;/D&gt;&lt;D xsi:type="xsd:double"&gt;1.7226696&lt;/D&gt;&lt;D xsi:type="xsd:double"&gt;-0.47965646&lt;/D&gt;&lt;D xsi:type="xsd:double"&gt;-0.016462803&lt;/D&gt;&lt;D xsi:type="xsd:double"&gt;1.184535&lt;/D&gt;&lt;D xsi:type="xsd:double"&gt;-0.49763918&lt;/D&gt;&lt;D xsi:type="xsd:double"&gt;-0.9900451&lt;/D&gt;&lt;D xsi:type="xsd:double"&gt;-0.7173419&lt;/D&gt;&lt;D xsi:type="xsd:double"&gt;0.38164854&lt;/D&gt;&lt;D xsi:type="xsd:double"&gt;1.3093948&lt;/D&gt;&lt;D xsi:type="xsd:double"&gt;0.60858727&lt;/D&gt;&lt;D xsi:type="xsd:double"&gt;-0.4688084&lt;/D&gt;&lt;D xsi:type="xsd:double"&gt;0.5199671&lt;/D&gt;&lt;D xsi:type="xsd:double"&gt;1.2676954&lt;/D&gt;&lt;D xsi:type="xsd:double"&gt;-0.29304028&lt;/D&gt;&lt;D xsi:type="xsd:double"&gt;1.5125513&lt;/D&gt;&lt;D xsi:type="xsd:double"&gt;0.07441044&lt;/D&gt;&lt;D xsi:type="xsd:double"&gt;0.73775053&lt;/D&gt;&lt;D xsi:type="xsd:double"&gt;1.4800787&lt;/D&gt;&lt;D xsi:type="xsd:double"&gt;0.3848791&lt;/D&gt;&lt;D xsi:type="xsd:double"&gt;0.74955225&lt;/D&gt;&lt;D xsi:type="xsd:double"&gt;-0.6294787&lt;/D&gt;&lt;D xsi:type="xsd:double"&gt;-0.3052771&lt;/D&gt;&lt;D xsi:type="xsd:double"&gt;0.30212402&lt;/D&gt;&lt;D xsi:type="xsd:double"&gt;-2.811271&lt;/D&gt;&lt;D xsi:type="xsd:double"&gt;0.07237196&lt;/D&gt;&lt;D xsi:type="xsd:double"&gt;-0.63501&lt;/D&gt;&lt;D xsi:type="xsd:double"&gt;-0.12847781&lt;/D&gt;&lt;D xsi:type="xsd:double"&gt;-0.9601772&lt;/D&gt;&lt;D xsi:type="xsd:double"&gt;0.8220315&lt;/D&gt;&lt;D xsi:type="xsd:double"&gt;0.7249832&lt;/D&gt;&lt;D xsi:type="xsd:double"&gt;3.046&lt;/D&gt;&lt;D xsi:type="xsd:double"&gt;-1.4572084&lt;/D&gt;&lt;D xsi:type="xsd:double"&gt;-0.48062205&lt;/D&gt;&lt;D xsi:type="xsd:double"&gt;-0.84409714&lt;/D&gt;&lt;D xsi:type="xsd:double"&gt;0.90458393&lt;/D&gt;&lt;D xsi:type="xsd:double"&gt;-0.21579862&lt;/D&gt;&lt;D xsi:type="xsd:double"&gt;2.6870728&lt;/D&gt;&lt;D xsi:type="xsd:double"&gt;-1.5114725&lt;/D&gt;&lt;D xsi:type="xsd:double"&gt;-1.0740995&lt;/D&gt;&lt;D xsi:type="xsd:double"&gt;0.48499107&lt;/D&gt;&lt;D xsi:type="xsd:double"&gt;0.7303238&lt;/D&gt;&lt;D xsi:type="xsd:double"&gt;1.5613317&lt;/D&gt;&lt;D xsi:type="xsd:double"&gt;-0.038534403&lt;/D&gt;&lt;D xsi:type="xsd:double"&gt;1.1408567&lt;/D&gt;&lt;D xsi:type="xsd:double"&gt;0.35572052&lt;/D&gt;&lt;D xsi:type="xsd:double"&gt;0.38229227&lt;/D&gt;&lt;D xsi:type="xsd:double"&gt;-1.0052323&lt;/D&gt;&lt;D xsi:type="xsd:double"&gt;-0.005489588&lt;/D&gt;&lt;D xsi:type="xsd:double"&gt;0.5558014&lt;/D&gt;&lt;D xsi:type="xsd:double"&gt;-1.338774&lt;/D&gt;&lt;D xsi:type="xsd:double"&gt;-1.3117671&lt;/D&gt;&lt;D xsi:type="xsd:double"&gt;-0.7772863&lt;/D&gt;&lt;D xsi:type="xsd:double"&gt;0.004017353&lt;/D&gt;&lt;D xsi:type="xsd:double"&gt;-0.018531084&lt;/D&gt;&lt;D xsi:type="xsd:double"&gt;-0.3938198&lt;/D&gt;&lt;D xsi:type="xsd:double"&gt;0.119674206&lt;/D&gt;&lt;D xsi:type="xsd:double"&gt;-0.97498894&lt;/D&gt;&lt;D xsi:type="xsd:double"&gt;1.3144374&lt;/D&gt;&lt;D xsi:type="xsd:double"&gt;-0.8886397&lt;/D&gt;&lt;D xsi:type="xsd:double"&gt;0.9169102&lt;/D&gt;&lt;D xsi:type="xsd:double"&gt;0.17030239&lt;/D&gt;&lt;D xsi:type="xsd:double"&gt;-0.2770245&lt;/D&gt;&lt;D xsi:type="xsd:double"&gt;-0.2907157&lt;/D&gt;&lt;D xsi:type="xsd:double"&gt;-0.7494569&lt;/D&gt;&lt;D xsi:type="xsd:double"&gt;0.52598715&lt;/D&gt;&lt;D xsi:type="xsd:double"&gt;0.65413713&lt;/D&gt;&lt;D xsi:type="xsd:double"&gt;1.4274359&lt;/D&gt;&lt;D xsi:type="xsd:double"&gt;-0.314039&lt;/D&gt;&lt;D xsi:type="xsd:double"&gt;-0.1758635&lt;/D&gt;&lt;D xsi:type="xsd:double"&gt;1.1306643&lt;/D&gt;&lt;D xsi:type="xsd:double"&gt;1.0144591&lt;/D&gt;&lt;D xsi:type="xsd:double"&gt;-0.4664898&lt;/D&gt;&lt;D xsi:type="xsd:double"&gt;0.31385422&lt;/D&gt;&lt;D xsi:type="xsd:double"&gt;-1.2476087&lt;/D&gt;&lt;D xsi:type="xsd:double"&gt;0.08888245&lt;/D&gt;&lt;D xsi:type="xsd:double"&gt;-0.34148097&lt;/D&gt;&lt;D xsi:type="xsd:double"&gt;0.68627596&lt;/D&gt;&lt;D xsi:type="xsd:double"&gt;1.4864802&lt;/D&gt;&lt;D xsi:type="xsd:double"&gt;0.09856224&lt;/D&gt;&lt;D xsi:type="xsd:double"&gt;0.67162514&lt;/D&gt;&lt;D xsi:type="xsd:double"&gt;0.75677633&lt;/D&gt;&lt;D xsi:type="xsd:double"&gt;0.42312145&lt;/D&gt;&lt;D xsi:type="xsd:double"&gt;0.061058998&lt;/D&gt;&lt;D xsi:type="xsd:double"&gt;0.7897973&lt;/D&gt;&lt;D xsi:type="xsd:double"&gt;0.36383867&lt;/D&gt;&lt;D xsi:type="xsd:double"&gt;-0.2996266&lt;/D&gt;&lt;D xsi:type="xsd:double"&gt;0.44668913&lt;/D&gt;&lt;D xsi:type="xsd:double"&gt;0.63250065&lt;/D&gt;&lt;D xsi:type="xsd:double"&gt;1.3093948&lt;/D&gt;&lt;D xsi:type="xsd:double"&gt;1.1390448&lt;/D&gt;&lt;D xsi:type="xsd:double"&gt;0.62584877&lt;/D&gt;&lt;D xsi:type="xsd:double"&gt;1.9116282&lt;/D&gt;&lt;D xsi:type="xsd:double"&gt;-1.1398911&lt;/D&gt;&lt;D xsi:type="xsd:double"&gt;-1.9295394&lt;/D&gt;&lt;D xsi:type="xsd:double"&gt;-1.0286212&lt;/D&gt;&lt;D xsi:type="xsd:double"&gt;3.6126137&lt;/D&gt;&lt;D xsi:type="xsd:double"&gt;0.14586449&lt;/D&gt;&lt;D xsi:type="xsd:double"&gt;-0.1401186&lt;/D&gt;&lt;D xsi:type="xsd:double"&gt;-0.15989542&lt;/D&gt;&lt;D xsi:type="xsd:double"&gt;0.92885494&lt;/D&gt;&lt;D xsi:type="xsd:double"&gt;-0.9800434&lt;/D&gt;&lt;D xsi:type="xsd:double"&gt;-0.11308193&lt;/D&gt;&lt;D xsi:type="xsd:double"&gt;0.151968&lt;/D&gt;&lt;D xsi:type="xsd:double"&gt;0.12532473&lt;/D&gt;&lt;D xsi:type="xsd:double"&gt;-0.9783268&lt;/D&gt;&lt;D xsi:type="xsd:double"&gt;0.44254065&lt;/D&gt;&lt;D xsi:type="xsd:double"&gt;0.02629757&lt;/D&gt;&lt;D xsi:type="xsd:double"&gt;-0.6348491&lt;/D&gt;&lt;D xsi:type="xsd:double"&gt;0.526309&lt;/D&gt;&lt;D xsi:type="xsd:double"&gt;1.1250257&lt;/D&gt;&lt;D xsi:type="xsd:double"&gt;2.4238467&lt;/D&gt;&lt;D xsi:type="xsd:double"&gt;0.04682541&lt;/D&gt;&lt;D xsi:type="xsd:double"&gt;-0.68739057&lt;/D&gt;&lt;D xsi:type="xsd:double"&gt;-0.14348626&lt;/D&gt;&lt;D xsi:type="xsd:double"&gt;1.0854125&lt;/D&gt;&lt;D xsi:type="xsd:double"&gt;0.77961683&lt;/D&gt;&lt;D xsi:type="xsd:double"&gt;-0.5658567&lt;/D&gt;&lt;D xsi:type="xsd:double"&gt;-0.9938657&lt;/D&gt;&lt;D xsi:type="xsd:double"&gt;-1.014924&lt;/D&gt;&lt;D xsi:type="xsd:double"&gt;-0.1098156&lt;/D&gt;&lt;D xsi:type="xsd:double"&gt;-1.1884093&lt;/D&gt;&lt;D xsi:type="xsd:double"&gt;-0.4166186&lt;/D&gt;&lt;D xsi:type="xsd:double"&gt;0.18373728&lt;/D&gt;&lt;D xsi:type="xsd:double"&gt;0.06496906&lt;/D&gt;&lt;D xsi:type="xsd:double"&gt;1.1787295&lt;/D&gt;&lt;D xsi:type="xsd:double"&gt;0.65170527&lt;/D&gt;&lt;D xsi:type="xsd:double"&gt;0.11053085&lt;/D&gt;&lt;D xsi:type="xsd:double"&gt;-0.02027154&lt;/D&gt;&lt;D xsi:type="xsd:double"&gt;-1.0203481&lt;/D&gt;&lt;D xsi:type="xsd:double"&gt;1.6852379&lt;/D&gt;&lt;D xsi:type="xsd:double"&gt;-0.66390634&lt;/D&gt;&lt;D xsi:type="xsd:double"&gt;-0.37060976&lt;/D&gt;&lt;D xsi:type="xsd:double"&gt;-0.33589602&lt;/D&gt;&lt;D xsi:type="xsd:double"&gt;1.0098815&lt;/D&gt;&lt;D xsi:type="xsd:double"&gt;0.4731655&lt;/D&gt;&lt;D xsi:type="xsd:double"&gt;1.4982104&lt;/D&gt;&lt;D xsi:type="xsd:double"&gt;0.19454956&lt;/D&gt;&lt;D xsi:type="xsd:double"&gt;0.67025423&lt;/D&gt;&lt;D xsi:type="xsd:double"&gt;0.7464886&lt;/D&gt;&lt;D xsi:type="xsd:double"&gt;-1.8172145&lt;/D&gt;&lt;D xsi:type="xsd:double"&gt;-1.3720512&lt;/D&gt;&lt;D xsi:type="xsd:double"&gt;0.16943216&lt;/D&gt;&lt;D xsi:type="xsd:double"&gt;0.30252934&lt;/D&gt;&lt;D xsi:type="xsd:double"&gt;-0.5796671&lt;/D&gt;&lt;D xsi:type="xsd:double"&gt;0.30335188&lt;/D&gt;&lt;D xsi:type="xsd:double"&gt;-0.007009506&lt;/D&gt;&lt;D xsi:type="xsd:double"&gt;1.3879538&lt;/D&gt;&lt;D xsi:type="xsd:double"&gt;1.3884068&lt;/D&gt;&lt;D xsi:type="xsd:double"&gt;1.2499332&lt;/D&gt;&lt;D xsi:type="xsd:double"&gt;-0.29594302&lt;/D&gt;&lt;D xsi:type="xsd:double"&gt;0.065624714&lt;/D&gt;&lt;D xsi:type="xsd:double"&gt;-0.41092038&lt;/D&gt;&lt;D xsi:type="xsd:double"&gt;-0.04429221&lt;/D&gt;&lt;D xsi:type="xsd:double"&gt;-1.8387318&lt;/D&gt;&lt;D xsi:type="xsd:double"&gt;1.383543&lt;/D&gt;&lt;D xsi:type="xsd:double"&gt;0.25106668&lt;/D&gt;&lt;D xsi:type="xsd:double"&gt;1.6688347&lt;/D&gt;&lt;D xsi:type="xsd:double"&gt;2.3819327&lt;/D&gt;&lt;D xsi:type="xsd:double"&gt;-0.29527545&lt;/D&gt;&lt;D xsi:type="xsd:double"&gt;0.42055845&lt;/D&gt;&lt;D xsi:type="xsd:double"&gt;-0.92493296&lt;/D&gt;&lt;D xsi:type="xsd:double"&gt;0.2616048&lt;/D&gt;&lt;D xsi:type="xsd:double"&gt;1.3936877&lt;/D&gt;&lt;D xsi:type="xsd:double"&gt;-2.111584&lt;/D&gt;&lt;D xsi:type="xsd:double"&gt;-0.3030002&lt;/D&gt;&lt;D xsi:type="xsd:double"&gt;0.46024323&lt;/D&gt;&lt;D xsi:type="xsd:double"&gt;-0.6713569&lt;/D&gt;&lt;D xsi:type="xsd:double"&gt;-1.0732949&lt;/D&gt;&lt;D xsi:type="xsd:double"&gt;-0.17223954&lt;/D&gt;&lt;D xsi:type="xsd:double"&gt;-1.33636&lt;/D&gt;&lt;D xsi:type="xsd:double"&gt;-0.35235286&lt;/D&gt;&lt;D xsi:type="xsd:double"&gt;-0.58555603&lt;/D&gt;&lt;D xsi:type="xsd:double"&gt;0.020837784&lt;/D&gt;&lt;D xsi:type="xsd:double"&gt;-0.0048577785&lt;/D&gt;&lt;D xsi:type="xsd:double"&gt;-0.2738297&lt;/D&gt;&lt;D xsi:type="xsd:double"&gt;-1.2526035&lt;/D&gt;&lt;D xsi:type="xsd:double"&gt;-0.8149028&lt;/D&gt;&lt;D xsi:type="xsd:double"&gt;0.9714484&lt;/D&gt;&lt;D xsi:type="xsd:double"&gt;-0.27210712&lt;/D&gt;&lt;D xsi:type="xsd:double"&gt;-0.65594316&lt;/D&gt;&lt;D xsi:type="xsd:double"&gt;-0.5541265&lt;/D&gt;&lt;D xsi:type="xsd:double"&gt;-1.0398746&lt;/D&gt;&lt;D xsi:type="xsd:double"&gt;-0.83978176&lt;/D&gt;&lt;D xsi:type="xsd:double"&gt;0.8744955&lt;/D&gt;&lt;D xsi:type="xsd:double"&gt;-0.4359722&lt;/D&gt;&lt;D xsi:type="xsd:double"&gt;0.44429302&lt;/D&gt;&lt;D xsi:type="xsd:double"&gt;0.92858076&lt;/D&gt;&lt;D xsi:type="xsd:double"&gt;0.52456856&lt;/D&gt;&lt;D xsi:type="xsd:double"&gt;-0.27114153&lt;/D&gt;&lt;D xsi:type="xsd:double"&gt;-0.58375597&lt;/D&gt;&lt;D xsi:type="xsd:double"&gt;0.46093464&lt;/D&gt;&lt;D xsi:type="xsd:double"&gt;-0.3404796&lt;/D&gt;&lt;D xsi:type="xsd:double"&gt;0.400877&lt;/D&gt;&lt;D xsi:type="xsd:double"&gt;0.36388636&lt;/D&gt;&lt;D xsi:type="xsd:double"&gt;-0.0027179718&lt;/D&gt;&lt;D xsi:type="xsd:double"&gt;0.3294468&lt;/D&gt;&lt;D xsi:type="xsd:double"&gt;0.86581707&lt;/D&gt;&lt;D xsi:type="xsd:double"&gt;2.42697&lt;/D&gt;&lt;D xsi:type="xsd:double"&gt;-0.041794777&lt;/D&gt;&lt;D xsi:type="xsd:double"&gt;0.95670223&lt;/D&gt;&lt;D xsi:type="xsd:double"&gt;1.6094208&lt;/D&gt;&lt;D xsi:type="xsd:double"&gt;-0.43544173&lt;/D&gt;&lt;D xsi:type="xsd:double"&gt;-0.48218966&lt;/D&gt;&lt;D xsi:type="xsd:double"&gt;0.3741026&lt;/D&gt;&lt;D xsi:type="xsd:double"&gt;-0.19937754&lt;/D&gt;&lt;D xsi:type="xsd:double"&gt;1.3295293&lt;/D&gt;&lt;D xsi:type="xsd:double"&gt;0.80081224&lt;/D&gt;&lt;D xsi:type="xsd:double"&gt;-1.1000216&lt;/D&gt;&lt;D xsi:type="xsd:double"&gt;0.10185242&lt;/D&gt;&lt;D xsi:type="xsd:double"&gt;-0.18366575&lt;/D&gt;&lt;D xsi:type="xsd:double"&gt;0.7701516&lt;/D&gt;&lt;D xsi:type="xsd:double"&gt;0.016224384&lt;/D&gt;&lt;D xsi:type="xsd:double"&gt;-0.7855892&lt;/D&gt;&lt;D xsi:type="xsd:double"&gt;0.39598942&lt;/D&gt;&lt;D xsi:type="xsd:double"&gt;0.72767735&lt;/D&gt;&lt;D xsi:type="xsd:double"&gt;-0.9940982&lt;/D&gt;&lt;D xsi:type="xsd:double"&gt;0.8846998&lt;/D&gt;&lt;D xsi:type="xsd:double"&gt;0.40972233&lt;/D&gt;&lt;D xsi:type="xsd:double"&gt;-1.6395748&lt;/D&gt;&lt;D xsi:type="xsd:double"&gt;-0.6304145&lt;/D&gt;&lt;D xsi:type="xsd:double"&gt;-0.7123649&lt;/D&gt;&lt;D xsi:type="xsd:double"&gt;-0.13323426&lt;/D&gt;&lt;D xsi:type="xsd:double"&gt;0.8916259&lt;/D&gt;&lt;D xsi:type="xsd:double"&gt;-2.0521522&lt;/D&gt;&lt;D xsi:type="xsd:double"&gt;-0.011050701&lt;/D&gt;&lt;D xsi:type="xsd:double"&gt;-0.2477169&lt;/D&gt;&lt;D xsi:type="xsd:double"&gt;-0.032687187&lt;/D&gt;&lt;D xsi:type="xsd:double"&gt;-1.162231&lt;/D&gt;&lt;D xsi:type="xsd:double"&gt;1.0239601&lt;/D&gt;&lt;D xsi:type="xsd:double"&gt;-0.19892454&lt;/D&gt;&lt;D xsi:type="xsd:double"&gt;0.2379179&lt;/D&gt;&lt;D xsi:type="xsd:double"&gt;-0.7453084&lt;/D&gt;&lt;D xsi:type="xsd:double"&gt;-0.41050315&lt;/D&gt;&lt;D xsi:type="xsd:double"&gt;0.8726597&lt;/D&gt;&lt;D xsi:type="xsd:double"&gt;0.33456087&lt;/D&gt;&lt;D xsi:type="xsd:double"&gt;1.0560989&lt;/D&gt;&lt;D xsi:type="xsd:double"&gt;-0.23197532&lt;/D&gt;&lt;D xsi:type="xsd:double"&gt;0.29999018&lt;/D&gt;&lt;D xsi:type="xsd:double"&gt;0.08301735&lt;/D&gt;&lt;D xsi:type="xsd:double"&gt;0.39430857&lt;/D&gt;&lt;D xsi:type="xsd:double"&gt;-1.2300491&lt;/D&gt;&lt;D xsi:type="xsd:double"&gt;-2.399683&lt;/D&gt;&lt;D xsi:type="xsd:double"&gt;-0.38710833&lt;/D&gt;&lt;D xsi:type="xsd:double"&gt;-0.2870381&lt;/D&gt;&lt;D xsi:type="xsd:double"&gt;0.90954304&lt;/D&gt;&lt;D xsi:type="xsd:double"&gt;-0.08649826&lt;/D&gt;&lt;D xsi:type="xsd:double"&gt;0.7899642&lt;/D&gt;&lt;D xsi:type="xsd:double"&gt;-0.38244724&lt;/D&gt;&lt;D xsi:type="xsd:double"&gt;-0.1740992&lt;/D&gt;&lt;D xsi:type="xsd:double"&gt;0.4551053&lt;/D&gt;&lt;D xsi:type="xsd:double"&gt;0.35586357&lt;/D&gt;&lt;D xsi:type="xsd:double"&gt;-1.5481651&lt;/D&gt;&lt;D xsi:type="xsd:double"&gt;1.6357422&lt;/D&gt;&lt;D xsi:type="xsd:double"&gt;0.5032778&lt;/D&gt;&lt;D xsi:type="xsd:double"&gt;1.1717081&lt;/D&gt;&lt;D xsi:type="xsd:double"&gt;0.59753656&lt;/D&gt;&lt;D xsi:type="xsd:double"&gt;1.0639668&lt;/D&gt;&lt;D xsi:type="xsd:double"&gt;0.52062273&lt;/D&gt;&lt;D xsi:type="xsd:double"&gt;-0.34772754&lt;/D&gt;&lt;D xsi:type="xsd:double"&gt;-0.5403936&lt;/D&gt;&lt;D xsi:type="xsd:double"&gt;-0.20029545&lt;/D&gt;&lt;D xsi:type="xsd:double"&gt;0.75428486&lt;/D&gt;&lt;D xsi:type="xsd:double"&gt;-0.34403205&lt;/D&gt;&lt;D xsi:type="xsd:double"&gt;0.073349476&lt;/D&gt;&lt;D xsi:type="xsd:double"&gt;0.7797599&lt;/D&gt;&lt;D xsi:type="xsd:double"&gt;0.39981604&lt;/D&gt;&lt;D xsi:type="xsd:double"&gt;1.1137128&lt;/D&gt;&lt;D xsi:type="xsd:double"&gt;1.5150547&lt;/D&gt;&lt;D xsi:type="xsd:double"&gt;0.75389147&lt;/D&gt;&lt;D xsi:type="xsd:double"&gt;1.6229749&lt;/D&gt;&lt;D xsi:type="xsd:double"&gt;1.5391111&lt;/D&gt;&lt;D xsi:type="xsd:double"&gt;0.3335595&lt;/D&gt;&lt;D xsi:type="xsd:double"&gt;0.66387653&lt;/D&gt;&lt;D xsi:type="xsd:double"&gt;0.13229847&lt;/D&gt;&lt;D xsi:type="xsd:double"&gt;-0.76952577&lt;/D&gt;&lt;D xsi:type="xsd:double"&gt;-0.5272269&lt;/D&gt;&lt;D xsi:type="xsd:double"&gt;0.25023222&lt;/D&gt;&lt;D xsi:type="xsd:double"&gt;0.6196618&lt;/D&gt;&lt;D xsi:type="xsd:double"&gt;0.9248495&lt;/D&gt;&lt;D xsi:type="xsd:double"&gt;0.3910184&lt;/D&gt;&lt;D xsi:type="xsd:double"&gt;0.8363843&lt;/D&gt;&lt;D xsi:type="xsd:double"&gt;0.38425922&lt;/D&gt;&lt;D xsi:type="xsd:double"&gt;0.9029627&lt;/D&gt;&lt;D xsi:type="xsd:double"&gt;0.26317835&lt;/D&gt;&lt;D xsi:type="xsd:double"&gt;0.52957535&lt;/D&gt;&lt;D xsi:type="xsd:double"&gt;-1.0454237&lt;/D&gt;&lt;D xsi:type="xsd:double"&gt;0.13347864&lt;/D&gt;&lt;D xsi:type="xsd:double"&gt;0.15193224&lt;/D&gt;&lt;D xsi:type="xsd:double"&gt;0.53025484&lt;/D&gt;&lt;D xsi:type="xsd:double"&gt;-0.047641993&lt;/D&gt;&lt;D xsi:type="xsd:double"&gt;0.077843666&lt;/D&gt;&lt;D xsi:type="xsd:double"&gt;1.8574357&lt;/D&gt;&lt;D xsi:type="xsd:double"&gt;-1.7476141&lt;/D&gt;&lt;D xsi:type="xsd:double"&gt;-0.41005015&lt;/D&gt;&lt;D xsi:type="xsd:double"&gt;0.5465746&lt;/D&gt;&lt;D xsi:type="xsd:double"&gt;-1.5850484&lt;/D&gt;&lt;D xsi:type="xsd:double"&gt;-0.47582388&lt;/D&gt;&lt;D xsi:type="xsd:double"&gt;0.5296588&lt;/D&gt;&lt;D xsi:type="xsd:double"&gt;1.6610742&lt;/D&gt;&lt;D xsi:type="xsd:double"&gt;-0.20295382&lt;/D&gt;&lt;D xsi:type="xsd:double"&gt;1.5576601&lt;/D&gt;&lt;D xsi:type="xsd:double"&gt;0.73720217&lt;/D&gt;&lt;D xsi:type="xsd:double"&gt;-0.7783234&lt;/D&gt;&lt;D xsi:type="xsd:double"&gt;-0.8622885&lt;/D&gt;&lt;D xsi:type="xsd:double"&gt;-1.3435721&lt;/D&gt;&lt;D xsi:type="xsd:double"&gt;-0.007289648&lt;/D&gt;&lt;D xsi:type="xsd:double"&gt;0.22313595&lt;/D&gt;&lt;D xsi:type="xsd:double"&gt;-0.6640434&lt;/D&gt;&lt;D xsi:type="xsd:double"&gt;-0.36194324&lt;/D&gt;&lt;D xsi:type="xsd:double"&gt;-1.4009416&lt;/D&gt;&lt;D xsi:type="xsd:double"&gt;0.27985573&lt;/D&gt;&lt;D xsi:type="xsd:double"&gt;-1.3292193&lt;/D&gt;&lt;D xsi:type="xsd:double"&gt;-0.54662824&lt;/D&gt;&lt;D xsi:type="xsd:double"&gt;0.53590536&lt;/D&gt;&lt;D xsi:type="xsd:double"&gt;0.44560432&lt;/D&gt;&lt;D xsi:type="xsd:double"&gt;-0.45953393&lt;/D&gt;&lt;D xsi:type="xsd:double"&gt;0.8257389&lt;/D&gt;&lt;D xsi:type="xsd:double"&gt;-0.8254945&lt;/D&gt;&lt;D xsi:type="xsd:double"&gt;-0.09127259&lt;/D&gt;&lt;D xsi:type="xsd:double"&gt;0.7815242&lt;/D&gt;&lt;D xsi:type="xsd:double"&gt;1.145184&lt;/D&gt;&lt;D xsi:type="xsd:double"&gt;-1.1678159&lt;/D&gt;&lt;D xsi:type="xsd:double"&gt;0.7789016&lt;/D&gt;&lt;D xsi:type="xsd:double"&gt;-0.73409677&lt;/D&gt;&lt;D xsi:type="xsd:double"&gt;-0.43472052&lt;/D&gt;&lt;D xsi:type="xsd:double"&gt;-0.65864325&lt;/D&gt;&lt;D xsi:type="xsd:double"&gt;1.0468364&lt;/D&gt;&lt;D xsi:type="xsd:double"&gt;0.32758713&lt;/D&gt;&lt;D xsi:type="xsd:double"&gt;0.19519329&lt;/D&gt;&lt;D xsi:type="xsd:double"&gt;-0.6454587&lt;/D&gt;&lt;D xsi:type="xsd:double"&gt;0.26785135&lt;/D&gt;&lt;D xsi:type="xsd:double"&gt;0.67646503&lt;/D&gt;&lt;D xsi:type="xsd:double"&gt;-0.29485226&lt;/D&gt;&lt;D xsi:type="xsd:double"&gt;0.37716627&lt;/D&gt;&lt;D xsi:type="xsd:double"&gt;-0.69289804&lt;/D&gt;&lt;D xsi:type="xsd:double"&gt;-0.97020864&lt;/D&gt;&lt;D xsi:type="xsd:double"&gt;-0.45755506&lt;/D&gt;&lt;D xsi:type="xsd:double"&gt;-0.42942166&lt;/D&gt;&lt;D xsi:type="xsd:double"&gt;-0.16816854&lt;/D&gt;&lt;D xsi:type="xsd:double"&gt;-1.1687636&lt;/D&gt;&lt;D xsi:type="xsd:double"&gt;1.2314081&lt;/D&gt;&lt;D xsi:type="xsd:double"&gt;-0.15546083&lt;/D&gt;&lt;D xsi:type="xsd:double"&gt;0.429976&lt;/D&gt;&lt;D xsi:type="xsd:double"&gt;0.95415115&lt;/D&gt;&lt;D xsi:type="xsd:double"&gt;-0.12916327&lt;/D&gt;&lt;D xsi:type="xsd:double"&gt;-1.112622&lt;/D&gt;&lt;D xsi:type="xsd:double"&gt;-1.3024092&lt;/D&gt;&lt;D xsi:type="xsd:double"&gt;-2.1795511&lt;/D&gt;&lt;D xsi:type="xsd:double"&gt;-0.7546365&lt;/D&gt;&lt;D xsi:type="xsd:double"&gt;0.7387996&lt;/D&gt;&lt;D xsi:type="xsd:double"&gt;-0.482589&lt;/D&gt;&lt;D xsi:type="xsd:double"&gt;1.3511658&lt;/D&gt;&lt;D xsi:type="xsd:double"&gt;0.9252906&lt;/D&gt;&lt;D xsi:type="xsd:double"&gt;0.19409657&lt;/D&gt;&lt;D xsi:type="xsd:double"&gt;-1.3905466&lt;/D&gt;&lt;D xsi:type="xsd:double"&gt;0.028502941&lt;/D&gt;&lt;D xsi:type="xsd:double"&gt;-0.40741563&lt;/D&gt;&lt;D xsi:type="xsd:double"&gt;0.10404587&lt;/D&gt;&lt;D xsi:type="xsd:double"&gt;-0.16175508&lt;/D&gt;&lt;D xsi:type="xsd:double"&gt;2.497661&lt;/D&gt;&lt;D xsi:type="xsd:double"&gt;2.223885&lt;/D&gt;&lt;D xsi:type="xsd:double"&gt;0.5487442&lt;/D&gt;&lt;D xsi:type="xsd:double"&gt;-0.31840205&lt;/D&gt;&lt;D xsi:type="xsd:double"&gt;-0.1781404&lt;/D&gt;&lt;D xsi:type="xsd:double"&gt;1.058209&lt;/D&gt;&lt;D xsi:type="xsd:double"&gt;-1.6088307&lt;/D&gt;&lt;D xsi:type="xsd:double"&gt;-0.3622949&lt;/D&gt;&lt;D xsi:type="xsd:double"&gt;-1.5488744&lt;/D&gt;&lt;D xsi:type="xsd:double"&gt;1.3139248&lt;/D&gt;&lt;D xsi:type="xsd:double"&gt;-0.78321695&lt;/D&gt;&lt;D xsi:type="xsd:double"&gt;-0.6686151&lt;/D&gt;&lt;D xsi:type="xsd:double"&gt;-0.39200783&lt;/D&gt;&lt;D xsi:type="xsd:double"&gt;-0.09106398&lt;/D&gt;&lt;D xsi:type="xsd:double"&gt;-0.55019855&lt;/D&gt;&lt;D xsi:type="xsd:double"&gt;-1.0113895&lt;/D&gt;&lt;D xsi:type="xsd:double"&gt;-1.1426806&lt;/D&gt;&lt;D xsi:type="xsd:double"&gt;-1.5469432&lt;/D&gt;&lt;D xsi:type="xsd:double"&gt;-0.009649992&lt;/D&gt;&lt;D xsi:type="xsd:double"&gt;1.6461611&lt;/D&gt;&lt;D xsi:type="xsd:double"&gt;0.20871162&lt;/D&gt;&lt;D xsi:type="xsd:double"&gt;1.0380387&lt;/D&gt;&lt;D xsi:type="xsd:double"&gt;-0.23849607&lt;/D&gt;&lt;D xsi:type="xsd:double"&gt;-0.66654086&lt;/D&gt;&lt;D xsi:type="xsd:double"&gt;0.56682825&lt;/D&gt;&lt;D xsi:type="xsd:double"&gt;0.06489754&lt;/D&gt;&lt;D xsi:type="xsd:double"&gt;1.2766838&lt;/D&gt;&lt;D xsi:type="xsd:double"&gt;1.3814807&lt;/D&gt;&lt;D xsi:type="xsd:double"&gt;0.12484789&lt;/D&gt;&lt;D xsi:type="xsd:double"&gt;-0.07033944&lt;/D&gt;&lt;D xsi:type="xsd:double"&gt;0.695467&lt;/D&gt;&lt;D xsi:type="xsd:double"&gt;0.5809903&lt;/D&gt;&lt;D xsi:type="xsd:double"&gt;1.734519&lt;/D&gt;&lt;D xsi:type="xsd:double"&gt;0.18185377&lt;/D&gt;&lt;D xsi:type="xsd:double"&gt;-2.525282&lt;/D&gt;&lt;D xsi:type="xsd:double"&gt;0.09498596&lt;/D&gt;&lt;D xsi:type="xsd:double"&gt;0.28140545&lt;/D&gt;&lt;D xsi:type="xsd:double"&gt;1.1047006&lt;/D&gt;&lt;D xsi:type="xsd:double"&gt;0.97545385&lt;/D&gt;&lt;D xsi:type="xsd:double"&gt;-2.9209435&lt;/D&gt;&lt;D xsi:type="xsd:double"&gt;0.07710457&lt;/D&gt;&lt;D xsi:type="xsd:double"&gt;-0.83254576&lt;/D&gt;&lt;D xsi:type="xsd:double"&gt;0.17027855&lt;/D&gt;&lt;D xsi:type="xsd:double"&gt;-0.20920038&lt;/D&gt;&lt;D xsi:type="xsd:double"&gt;0.9427905&lt;/D&gt;&lt;D xsi:type="xsd:double"&gt;0.14811754&lt;/D&gt;&lt;D xsi:type="xsd:double"&gt;0.10700226&lt;/D&gt;&lt;D xsi:type="xsd:double"&gt;0.21407604&lt;/D&gt;&lt;D xsi:type="xsd:double"&gt;0.9382725&lt;/D&gt;&lt;D xsi:type="xsd:double"&gt;-0.047022104&lt;/D&gt;&lt;D xsi:type="xsd:double"&gt;-0.1930356&lt;/D&gt;&lt;D xsi:type="xsd:double"&gt;-0.3858745&lt;/D&gt;&lt;D xsi:type="xsd:double"&gt;4.073131&lt;/D&gt;&lt;D xsi:type="xsd:double"&gt;1.2230873&lt;/D&gt;&lt;D xsi:type="xsd:double"&gt;-0.77278614&lt;/D&gt;&lt;D xsi:type="xsd:double"&gt;0.24987459&lt;/D&gt;&lt;D xsi:type="xsd:double"&gt;-0.12635589&lt;/D&gt;&lt;D xsi:type="xsd:double"&gt;1.1947155&lt;/D&gt;&lt;D xsi:type="xsd:double"&gt;0.32172203&lt;/D&gt;&lt;D xsi:type="xsd:double"&gt;0.5360365&lt;/D&gt;&lt;D xsi:type="xsd:double"&gt;0.9520292&lt;/D&gt;&lt;D xsi:type="xsd:double"&gt;-1.7705321&lt;/D&gt;&lt;D xsi:type="xsd:double"&gt;-1.3005018&lt;/D&gt;&lt;D xsi:type="xsd:double"&gt;0.88124275&lt;/D&gt;&lt;D xsi:type="xsd:double"&gt;0.89776516&lt;/D&gt;&lt;D xsi:type="xsd:double"&gt;-0.5840957&lt;/D&gt;&lt;D xsi:type="xsd:double"&gt;-0.6071329&lt;/D&gt;&lt;D xsi:type="xsd:double"&gt;1.5681148&lt;/D&gt;&lt;D xsi:type="xsd:double"&gt;-0.059229136&lt;/D&gt;&lt;D xsi:type="xsd:double"&gt;2.4208307&lt;/D&gt;&lt;D xsi:type="xsd:double"&gt;-1.3682723&lt;/D&gt;&lt;D xsi:type="xsd:double"&gt;0.37704706&lt;/D&gt;&lt;D xsi:type="xsd:double"&gt;0.11228323&lt;/D&gt;&lt;D xsi:type="xsd:double"&gt;0.7589817&lt;/D&gt;&lt;D xsi:type="xsd:double"&gt;0.34108162&lt;/D&gt;&lt;D xsi:type="xsd:double"&gt;1.0455608&lt;/D&gt;&lt;D xsi:type="xsd:double"&gt;-1.1455595&lt;/D&gt;&lt;D xsi:type="xsd:double"&gt;2.0250916&lt;/D&gt;&lt;D xsi:type="xsd:double"&gt;-0.46045184&lt;/D&gt;&lt;D xsi:type="xsd:double"&gt;2.4719596&lt;/D&gt;&lt;D xsi:type="xsd:double"&gt;1.5814066&lt;/D&gt;&lt;D xsi:type="xsd:double"&gt;2.2013068&lt;/D&gt;&lt;D xsi:type="xsd:double"&gt;2.3455381&lt;/D&gt;&lt;D xsi:type="xsd:double"&gt;-2.3066163&lt;/D&gt;&lt;D xsi:type="xsd:double"&gt;0.07388592&lt;/D&gt;&lt;D xsi:type="xsd:double"&gt;-0.46108365&lt;/D&gt;&lt;D xsi:type="xsd:double"&gt;1.2693048&lt;/D&gt;&lt;D xsi:type="xsd:double"&gt;-0.4080832&lt;/D&gt;&lt;D xsi:type="xsd:double"&gt;-0.08897185&lt;/D&gt;&lt;D xsi:type="xsd:double"&gt;-1.8020511&lt;/D&gt;&lt;D xsi:type="xsd:double"&gt;-0.67234635&lt;/D&gt;&lt;D xsi:type="xsd:double"&gt;2.1315098&lt;/D&gt;&lt;D xsi:type="xsd:double"&gt;-0.75393915&lt;/D&gt;&lt;D xsi:type="xsd:double"&gt;-0.6124973&lt;/D&gt;&lt;D xsi:type="xsd:double"&gt;-0.4821837&lt;/D&gt;&lt;D xsi:type="xsd:double"&gt;0.45303106&lt;/D&gt;&lt;D xsi:type="xsd:double"&gt;-0.1954794&lt;/D&gt;&lt;D xsi:type="xsd:double"&gt;-0.34809113&lt;/D&gt;&lt;D xsi:type="xsd:double"&gt;-1.5505672&lt;/D&gt;&lt;D xsi:type="xsd:double"&gt;0.6170511&lt;/D&gt;&lt;D xsi:type="xsd:double"&gt;-1.1725664&lt;/D&gt;&lt;D xsi:type="xsd:double"&gt;-0.464046&lt;/D&gt;&lt;D xsi:type="xsd:double"&gt;-0.24775863&lt;/D&gt;&lt;D xsi:type="xsd:double"&gt;0.5184531&lt;/D&gt;&lt;D xsi:type="xsd:double"&gt;0.5939722&lt;/D&gt;&lt;D xsi:type="xsd:double"&gt;-1.1830151&lt;/D&gt;&lt;D xsi:type="xsd:double"&gt;1.5885592&lt;/D&gt;&lt;D xsi:type="xsd:double"&gt;0.9650469&lt;/D&gt;&lt;D xsi:type="xsd:double"&gt;-0.859648&lt;/D&gt;&lt;D xsi:type="xsd:double"&gt;-0.9882331&lt;/D&gt;&lt;D xsi:type="xsd:double"&gt;0.22792816&lt;/D&gt;&lt;D xsi:type="xsd:double"&gt;1.1260271&lt;/D&gt;&lt;D xsi:type="xsd:double"&gt;0.14483929&lt;/D&gt;&lt;D xsi:type="xsd:double"&gt;-0.3231287&lt;/D&gt;&lt;D xsi:type="xsd:double"&gt;0.21728277&lt;/D&gt;&lt;D xsi:type="xsd:double"&gt;0.8628607&lt;/D&gt;&lt;D xsi:type="xsd:double"&gt;0.35128593&lt;/D&gt;&lt;D xsi:type="xsd:double"&gt;0.80754757&lt;/D&gt;&lt;D xsi:type="xsd:double"&gt;-1.3300657&lt;/D&gt;&lt;D xsi:type="xsd:double"&gt;-2.139163&lt;/D&gt;&lt;D xsi:type="xsd:double"&gt;-0.033950806&lt;/D&gt;&lt;D xsi:type="xsd:double"&gt;-1.2108862&lt;/D&gt;&lt;D xsi:type="xsd:double"&gt;2.404189&lt;/D&gt;&lt;D xsi:type="xsd:double"&gt;0.7441044&lt;/D&gt;&lt;D xsi:type="xsd:double"&gt;1.4709353&lt;/D&gt;&lt;D xsi:type="xsd:double"&gt;0.3332138&lt;/D&gt;&lt;D xsi:type="xsd:double"&gt;0.99806786&lt;/D&gt;&lt;D xsi:type="xsd:double"&gt;-0.44705868&lt;/D&gt;&lt;D xsi:type="xsd:double"&gt;2.984631&lt;/D&gt;&lt;D xsi:type="xsd:double"&gt;1.8596053&lt;/D&gt;&lt;D xsi:type="xsd:double"&gt;-1.9887507&lt;/D&gt;&lt;D xsi:type="xsd:double"&gt;0.69282055&lt;/D&gt;&lt;D xsi:type="xsd:double"&gt;-0.043016672&lt;/D&gt;&lt;D xsi:type="xsd:double"&gt;-1.2549222&lt;/D&gt;&lt;D xsi:type="xsd:double"&gt;1.3381958&lt;/D&gt;&lt;D xsi:type="xsd:double"&gt;0.10919571&lt;/D&gt;&lt;D xsi:type="xsd:double"&gt;-0.35239458&lt;/D&gt;&lt;D xsi:type="xsd:double"&gt;-0.5471349&lt;/D&gt;&lt;D xsi:type="xsd:double"&gt;-0.19678473&lt;/D&gt;&lt;D xsi:type="xsd:double"&gt;0.46323538&lt;/D&gt;&lt;D xsi:type="xsd:double"&gt;-0.35073757&lt;/D&gt;&lt;D xsi:type="xsd:double"&gt;-2.9705167&lt;/D&gt;&lt;D xsi:type="xsd:double"&gt;-2.2529542&lt;/D&gt;&lt;D xsi:type="xsd:double"&gt;-3.4038544&lt;/D&gt;&lt;D xsi:type="xsd:double"&gt;0.15554428&lt;/D&gt;&lt;D xsi:type="xsd:double"&gt;0.93233585&lt;/D&gt;&lt;D xsi:type="xsd:double"&gt;2.6355267&lt;/D&gt;&lt;D xsi:type="xsd:double"&gt;0.96417665&lt;/D&gt;&lt;D xsi:type="xsd:double"&gt;-6.25602&lt;/D&gt;&lt;D xsi:type="xsd:double"&gt;0.24977922&lt;/D&gt;&lt;D xsi:type="xsd:double"&gt;-1.5928566&lt;/D&gt;&lt;D xsi:type="xsd:double"&gt;-3.5102308&lt;/D&gt;&lt;D xsi:type="xsd:double"&gt;-0.39166212&lt;/D&gt;&lt;D xsi:type="xsd:double"&gt;3.2808661&lt;/D&gt;&lt;D xsi:type="xsd:double"&gt;1.758492&lt;/D&gt;&lt;D xsi:type="xsd:double"&gt;-1.4711797&lt;/D&gt;&lt;D xsi:type="xsd:double"&gt;-0.18908381&lt;/D&gt;&lt;D xsi:type="xsd:double"&gt;-1.176256&lt;/D&gt;&lt;D xsi:type="xsd:double"&gt;2.407384&lt;/D&gt;&lt;D xsi:type="xsd:double"&gt;0.7771373&lt;/D&gt;&lt;D xsi:type="xsd:double"&gt;-0.6510675&lt;/D&gt;&lt;D xsi:type="xsd:double"&gt;2.340114&lt;/D&gt;&lt;D xsi:type="xsd:double"&gt;-0.46308637&lt;/D&gt;&lt;D xsi:type="xsd:double"&gt;0.09154081&lt;/D&gt;&lt;D xsi:type="xsd:double"&gt;0.942719&lt;/D&gt;&lt;D xsi:type="xsd:double"&gt;-2.7733564&lt;/D&gt;&lt;D xsi:type="xsd:double"&gt;2.6880026&lt;/D&gt;&lt;D xsi:type="xsd:double"&gt;5.0352097&lt;/D&gt;&lt;D xsi:type="xsd:double"&gt;-0.31077862&lt;/D&gt;&lt;D xsi:type="xsd:double"&gt;1.3453364&lt;/D&gt;&lt;D xsi:type="xsd:double"&gt;2.2822142&lt;/D&gt;&lt;D xsi:type="xsd:double"&gt;2.0608544&lt;/D&gt;&lt;D xsi:type="xsd:double"&gt;-3.0799627&lt;/D&gt;&lt;D xsi:type="xsd:double"&gt;0.5424738&lt;/D&gt;&lt;D xsi:type="xsd:double"&gt;0.25447607&lt;/D&gt;&lt;D xsi:type="xsd:double"&gt;-0.9347677&lt;/D&gt;&lt;D xsi:type="xsd:double"&gt;0.1963377&lt;/D&gt;&lt;D xsi:type="xsd:double"&gt;0.22500753&lt;/D&gt;&lt;D xsi:type="xsd:double"&gt;2.690208&lt;/D&gt;&lt;D xsi:type="xsd:double"&gt;2.3169518&lt;/D&gt;&lt;D xsi:type="xsd:double"&gt;1.5460372&lt;/D&gt;&lt;D xsi:type="xsd:double"&gt;-2.255571&lt;/D&gt;&lt;D xsi:type="xsd:double"&gt;-0.033563375&lt;/D&gt;&lt;D xsi:type="xsd:double"&gt;-0.71201324&lt;/D&gt;&lt;D xsi:type="xsd:double"&gt;1.0437369&lt;/D&gt;&lt;D xsi:type="xsd:double"&gt;2.0230532&lt;/D&gt;&lt;D xsi:type="xsd:double"&gt;0.054895878&lt;/D&gt;&lt;D xsi:type="xsd:double"&gt;0.699687&lt;/D&gt;&lt;D xsi:type="xsd:double"&gt;-1.1741936&lt;/D&gt;&lt;D xsi:type="xsd:double"&gt;-1.0667205&lt;/D&gt;&lt;D xsi:type="xsd:double"&gt;-0.84685683&lt;/D&gt;&lt;D xsi:type="xsd:double"&gt;-2.309996&lt;/D&gt;&lt;D xsi:type="xsd:double"&gt;-1.8161416&lt;/D&gt;&lt;D xsi:type="xsd:double"&gt;-0.4744947&lt;/D&gt;&lt;D xsi:type="xsd:double"&gt;2.1225095&lt;/D&gt;&lt;D xsi:type="xsd:double"&gt;1.2070775&lt;/D&gt;&lt;D xsi:type="xsd:double"&gt;1.5639544&lt;/D&gt;&lt;D xsi:type="xsd:double"&gt;1.3724327&lt;/D&gt;&lt;D xsi:type="xsd:double"&gt;0.70381165&lt;/D&gt;&lt;D xsi:type="xsd:double"&gt;-0.30522346&lt;/D&gt;&lt;D xsi:type="xsd:double"&gt;1.1727452&lt;/D&gt;&lt;D xsi:type="xsd:double"&gt;-3.18771&lt;/D&gt;&lt;D xsi:type="xsd:double"&gt;-3.9570928&lt;/D&gt;&lt;D xsi:type="xsd:double"&gt;1.6491532&lt;/D&gt;&lt;D xsi:type="xsd:double"&gt;-3.001523&lt;/D&gt;&lt;D xsi:type="xsd:double"&gt;-0.2274096&lt;/D&gt;&lt;D xsi:type="xsd:double"&gt;-0.7087767&lt;/D&gt;&lt;D xsi:type="xsd:double"&gt;-1.9953191&lt;/D&gt;&lt;D xsi:type="xsd:double"&gt;-0.99582076&lt;/D&gt;&lt;D xsi:type="xsd:double"&gt;-2.5244594&lt;/D&gt;&lt;D xsi:type="xsd:double"&gt;2.2532344&lt;/D&gt;&lt;D xsi:type="xsd:double"&gt;0.80946684&lt;/D&gt;&lt;D xsi:type="xsd:double"&gt;0.95739365&lt;/D&gt;&lt;D xsi:type="xsd:double"&gt;-0.8459985&lt;/D&gt;&lt;D xsi:type="xsd:double"&gt;-0.9428978&lt;/D&gt;&lt;D xsi:type="xsd:double"&gt;1.4788389&lt;/D&gt;&lt;D xsi:type="xsd:double"&gt;-3.064251&lt;/D&gt;&lt;D xsi:type="xsd:double"&gt;-0.8624971&lt;/D&gt;&lt;D xsi:type="xsd:double"&gt;-1.6328514&lt;/D&gt;&lt;D xsi:type="xsd:double"&gt;-0.83958507&lt;/D&gt;&lt;D xsi:type="xsd:double"&gt;-1.9669771&lt;/D&gt;&lt;D xsi:type="xsd:double"&gt;0.15290976&lt;/D&gt;&lt;D xsi:type="xsd:double"&gt;0.5325556&lt;/D&gt;&lt;D xsi:type="xsd:double"&gt;-2.3873508&lt;/D&gt;&lt;D xsi:type="xsd:double"&gt;0.15083551&lt;/D&gt;&lt;D xsi:type="xsd:double"&gt;-1.3517678&lt;/D&gt;&lt;D xsi:type="xsd:double"&gt;0.82600117&lt;/D&gt;&lt;D xsi:type="xsd:double"&gt;0.32407045&lt;/D&gt;&lt;D xsi:type="xsd:double"&gt;-0.6907284&lt;/D&gt;&lt;D xsi:type="xsd:double"&gt;2.8089046&lt;/D&gt;&lt;D xsi:type="xsd:double"&gt;-2.2881866&lt;/D&gt;&lt;D xsi:type="xsd:double"&gt;-0.04092455&lt;/D&gt;&lt;D xsi:type="xsd:double"&gt;0.8146405&lt;/D&gt;&lt;D xsi:type="xsd:double"&gt;0.052297115&lt;/D&gt;&lt;D xsi:type="xsd:double"&gt;0.8332968&lt;/D&gt;&lt;D xsi:type="xsd:double"&gt;1.2173176&lt;/D&gt;&lt;D xsi:type="xsd:double"&gt;0.2583146&lt;/D&gt;&lt;D xsi:type="xsd:double"&gt;0.58580637&lt;/D&gt;&lt;D xsi:type="xsd:double"&gt;-0.31366944&lt;/D&gt;&lt;D xsi:type="xsd:double"&gt;0.8023977&lt;/D&gt;&lt;D xsi:type="xsd:double"&gt;1.4632702&lt;/D&gt;&lt;D xsi:type="xsd:double"&gt;1.335454&lt;/D&gt;&lt;D xsi:type="xsd:double"&gt;0.35184622&lt;/D&gt;&lt;D xsi:type="xsd:double"&gt;0.24704933&lt;/D&gt;&lt;D xsi:type="xsd:double"&gt;-0.48049092&lt;/D&gt;&lt;D xsi:type="xsd:double"&gt;0.23794174&lt;/D&gt;&lt;D xsi:type="xsd:double"&gt;0.8561373&lt;/D&gt;&lt;D xsi:type="xsd:double"&gt;1.1013865&lt;/D&gt;&lt;D xsi:type="xsd:double"&gt;0.55941343&lt;/D&gt;&lt;D xsi:type="xsd:double"&gt;2.8165102&lt;/D&gt;&lt;D xsi:type="xsd:double"&gt;-0.43789744&lt;/D&gt;&lt;D xsi:type="xsd:double"&gt;-1.9936085&lt;/D&gt;&lt;D xsi:type="xsd:double"&gt;-0.22761822&lt;/D&gt;&lt;D xsi:type="xsd:</t>
        </r>
      </text>
    </comment>
    <comment ref="A2" authorId="0" shapeId="0" xr:uid="{9832BCDC-E297-4953-988D-A2A575C8C858}">
      <text>
        <r>
          <rPr>
            <b/>
            <sz val="9"/>
            <color indexed="81"/>
            <rFont val="Tahoma"/>
            <charset val="1"/>
          </rPr>
          <t>double"&gt;0.92145205&lt;/D&gt;&lt;D xsi:type="xsd:double"&gt;-0.523299&lt;/D&gt;&lt;D xsi:type="xsd:double"&gt;0.6216049&lt;/D&gt;&lt;D xsi:type="xsd:double"&gt;-0.38266182&lt;/D&gt;&lt;D xsi:type="xsd:double"&gt;3.1642437&lt;/D&gt;&lt;D xsi:type="xsd:double"&gt;-2.438724&lt;/D&gt;&lt;D xsi:type="xsd:double"&gt;-2.1030486&lt;/D&gt;&lt;D xsi:type="xsd:double"&gt;-0.6991327&lt;/D&gt;&lt;D xsi:type="xsd:double"&gt;-1.2468159&lt;/D&gt;&lt;D xsi:type="xsd:double"&gt;0.2414465&lt;/D&gt;&lt;D xsi:type="xsd:double"&gt;0.9487629&lt;/D&gt;&lt;D xsi:type="xsd:double"&gt;1.9589663&lt;/D&gt;&lt;D xsi:type="xsd:double"&gt;1.4237404&lt;/D&gt;&lt;D xsi:type="xsd:double"&gt;2.6127934&lt;/D&gt;&lt;D xsi:type="xsd:double"&gt;1.3548017&lt;/D&gt;&lt;D xsi:type="xsd:double"&gt;-2.4660945&lt;/D&gt;&lt;D xsi:type="xsd:double"&gt;4.1060686&lt;/D&gt;&lt;D xsi:type="xsd:double"&gt;5.742109&lt;/D&gt;&lt;D xsi:type="xsd:double"&gt;-2.899605&lt;/D&gt;&lt;D xsi:type="xsd:double"&gt;-4.290235&lt;/D&gt;&lt;D xsi:type="xsd:double"&gt;-2.3896098&lt;/D&gt;&lt;D xsi:type="xsd:double"&gt;0.085270405&lt;/D&gt;&lt;D xsi:type="xsd:double"&gt;-0.6304383&lt;/D&gt;&lt;D xsi:type="xsd:double"&gt;-2.5668144&lt;/D&gt;&lt;D xsi:type="xsd:double"&gt;2.8622985&lt;/D&gt;&lt;D xsi:type="xsd:double"&gt;-0.1753807&lt;/D&gt;&lt;D xsi:type="xsd:double"&gt;0.38011074&lt;/D&gt;&lt;D xsi:type="xsd:double"&gt;-4.301119&lt;/D&gt;&lt;D xsi:type="xsd:double"&gt;-2.153325&lt;/D&gt;&lt;D xsi:type="xsd:double"&gt;2.602768&lt;/D&gt;&lt;D xsi:type="xsd:double"&gt;1.1027455&lt;/D&gt;&lt;D xsi:type="xsd:double"&gt;0.43787956&lt;/D&gt;&lt;D xsi:type="xsd:double"&gt;-0.3545046&lt;/D&gt;&lt;D xsi:type="xsd:double"&gt;1.3218999&lt;/D&gt;&lt;D xsi:type="xsd:double"&gt;1.2563586&lt;/D&gt;&lt;D xsi:type="xsd:double"&gt;-0.20314455&lt;/D&gt;&lt;D xsi:type="xsd:double"&gt;-1.796943&lt;/D&gt;&lt;D xsi:type="xsd:double"&gt;4.3144584&lt;/D&gt;&lt;D xsi:type="xsd:double"&gt;-0.7657528&lt;/D&gt;&lt;D xsi:type="xsd:double"&gt;-0.05725622&lt;/D&gt;&lt;D xsi:type="xsd:double"&gt;-0.911659&lt;/D&gt;&lt;D xsi:type="xsd:double"&gt;-0.22295117&lt;/D&gt;&lt;D xsi:type="xsd:double"&gt;2.9195786&lt;/D&gt;&lt;D xsi:type="xsd:double"&gt;-3.7315488&lt;/D&gt;&lt;D xsi:type="xsd:double"&gt;-2.3381948&lt;/D&gt;&lt;D xsi:type="xsd:double"&gt;-1.4730453&lt;/D&gt;&lt;D xsi:type="xsd:double"&gt;-3.9231062&lt;/D&gt;&lt;D xsi:type="xsd:double"&gt;-1.6411483&lt;/D&gt;&lt;D xsi:type="xsd:double"&gt;-0.27478337&lt;/D&gt;&lt;D xsi:type="xsd:double"&gt;1.4926195&lt;/D&gt;&lt;D xsi:type="xsd:double"&gt;-1.6195893&lt;/D&gt;&lt;D xsi:type="xsd:double"&gt;-2.4389327&lt;/D&gt;&lt;D xsi:type="xsd:double"&gt;-0.5346477&lt;/D&gt;&lt;D xsi:type="xsd:double"&gt;-0.36228895&lt;/D&gt;&lt;D xsi:type="xsd:double"&gt;-1.3727248&lt;/D&gt;&lt;D xsi:type="xsd:double"&gt;-1.2117743&lt;/D&gt;&lt;D xsi:type="xsd:double"&gt;2.1761417&lt;/D&gt;&lt;D xsi:type="xsd:double"&gt;-2.53762&lt;/D&gt;&lt;D xsi:type="xsd:double"&gt;-0.20695925&lt;/D&gt;&lt;D xsi:type="xsd:double"&gt;0.47283173&lt;/D&gt;&lt;D xsi:type="xsd:double"&gt;-0.65332055&lt;/D&gt;&lt;D xsi:type="xsd:double"&gt;-2.8835356&lt;/D&gt;&lt;D xsi:type="xsd:double"&gt;-0.8544862&lt;/D&gt;&lt;D xsi:type="xsd:double"&gt;0.38241148&lt;/D&gt;&lt;D xsi:type="xsd:double"&gt;0.37173033&lt;/D&gt;&lt;D xsi:type="xsd:double"&gt;0.021624565&lt;/D&gt;&lt;D xsi:type="xsd:double"&gt;2.820158&lt;/D&gt;&lt;D xsi:type="xsd:double"&gt;0.7541895&lt;/D&gt;&lt;D xsi:type="xsd:double"&gt;1.026547&lt;/D&gt;&lt;D xsi:type="xsd:double"&gt;0.6251693&lt;/D&gt;&lt;D xsi:type="xsd:double"&gt;0.85015297&lt;/D&gt;&lt;D xsi:type="xsd:double"&gt;0.44465065&lt;/D&gt;&lt;D xsi:type="xsd:double"&gt;-0.36629438&lt;/D&gt;&lt;D xsi:type="xsd:double"&gt;0.119423866&lt;/D&gt;&lt;D xsi:type="xsd:double"&gt;-0.44097304&lt;/D&gt;&lt;D xsi:type="xsd:double"&gt;-1.2647569&lt;/D&gt;&lt;D xsi:type="xsd:double"&gt;0.44190884&lt;/D&gt;&lt;D xsi:type="xsd:double"&gt;-0.33884645&lt;/D&gt;&lt;D xsi:type="xsd:double"&gt;2.013564&lt;/D&gt;&lt;D xsi:type="xsd:double"&gt;-0.7252455&lt;/D&gt;&lt;D xsi:type="xsd:double"&gt;3.3604026&lt;/D&gt;&lt;D xsi:type="xsd:double"&gt;-0.55506825&lt;/D&gt;&lt;D xsi:type="xsd:double"&gt;3.4313679&lt;/D&gt;&lt;D xsi:type="xsd:double"&gt;1.3695836&lt;/D&gt;&lt;D xsi:type="xsd:double"&gt;0.39094687&lt;/D&gt;&lt;D xsi:type="xsd:double"&gt;4.518962&lt;/D&gt;&lt;D xsi:type="xsd:double"&gt;-5.470538&lt;/D&gt;&lt;D xsi:type="xsd:double"&gt;0.9923935&lt;/D&gt;&lt;D xsi:type="xsd:double"&gt;2.9122233&lt;/D&gt;&lt;D xsi:type="xsd:double"&gt;9.86129&lt;/D&gt;&lt;D xsi:type="xsd:double"&gt;-0.31964183&lt;/D&gt;&lt;D xsi:type="xsd:double"&gt;-3.5458684&lt;/D&gt;&lt;D xsi:type="xsd:double"&gt;1.5132785&lt;/D&gt;&lt;D xsi:type="xsd:double"&gt;2.5505543&lt;/D&gt;&lt;D xsi:type="xsd:double"&gt;-4.4490457&lt;/D&gt;&lt;D xsi:type="xsd:double"&gt;0.03745556&lt;/D&gt;&lt;D xsi:type="xsd:double"&gt;-1.4235735&lt;/D&gt;&lt;D xsi:type="xsd:double"&gt;-2.2466838&lt;/D&gt;&lt;D xsi:type="xsd:double"&gt;-1.592201&lt;/D&gt;&lt;D xsi:type="xsd:double"&gt;-0.24136305&lt;/D&gt;&lt;D xsi:type="xsd:double"&gt;0.8855462&lt;/D&gt;&lt;D xsi:type="xsd:double"&gt;-2.983582&lt;/D&gt;&lt;D xsi:type="xsd:double"&gt;-2.0476222&lt;/D&gt;&lt;D xsi:type="xsd:double"&gt;0.40483475&lt;/D&gt;&lt;D xsi:type="xsd:double"&gt;2.9533267&lt;/D&gt;&lt;D xsi:type="xsd:double"&gt;-2.7879834&lt;/D&gt;&lt;D xsi:type="xsd:double"&gt;0.6158948&lt;/D&gt;&lt;D xsi:type="xsd:double"&gt;-1.2750566&lt;/D&gt;&lt;D xsi:type="xsd:double"&gt;-0.4670322&lt;/D&gt;&lt;D xsi:type="xsd:double"&gt;1.9438624&lt;/D&gt;&lt;D xsi:type="xsd:double"&gt;-0.37780404&lt;/D&gt;&lt;D xsi:type="xsd:double"&gt;3.4873128&lt;/D&gt;&lt;D xsi:type="xsd:double"&gt;0.4521966&lt;/D&gt;&lt;D xsi:type="xsd:double"&gt;-4.526967&lt;/D&gt;&lt;D xsi:type="xsd:double"&gt;-2.3221552&lt;/D&gt;&lt;D xsi:type="xsd:double"&gt;0.80524683&lt;/D&gt;&lt;D xsi:type="xsd:double"&gt;-2.9096305&lt;/D&gt;&lt;D xsi:type="xsd:double"&gt;-0.89753866&lt;/D&gt;&lt;D xsi:type="xsd:double"&gt;1.5950084&lt;/D&gt;&lt;D xsi:type="xsd:double"&gt;0.55861473&lt;/D&gt;&lt;D xsi:type="xsd:double"&gt;-0.7381141&lt;/D&gt;&lt;D xsi:type="xsd:double"&gt;-0.34086704&lt;/D&gt;&lt;D xsi:type="xsd:double"&gt;1.1612058&lt;/D&gt;&lt;D xsi:type="xsd:double"&gt;2.3224711&lt;/D&gt;&lt;D xsi:type="xsd:double"&gt;1.2476683&lt;/D&gt;&lt;D xsi:type="xsd:double"&gt;1.3817072&lt;/D&gt;&lt;D xsi:type="xsd:double"&gt;0.8786917&lt;/D&gt;&lt;D xsi:type="xsd:double"&gt;-2.4756432&lt;/D&gt;&lt;D xsi:type="xsd:double"&gt;1.7990828&lt;/D&gt;&lt;D xsi:type="xsd:double"&gt;2.791512&lt;/D&gt;&lt;D xsi:type="xsd:double"&gt;-0.7161617&lt;/D&gt;&lt;D xsi:type="xsd:double"&gt;-0.07690787&lt;/D&gt;&lt;D xsi:type="xsd:double"&gt;-1.4513433&lt;/D&gt;&lt;D xsi:type="xsd:double"&gt;1.6625762&lt;/D&gt;&lt;D xsi:type="xsd:double"&gt;0.052165985&lt;/D&gt;&lt;D xsi:type="xsd:double"&gt;-0.43120384&lt;/D&gt;&lt;D xsi:type="xsd:double"&gt;1.8460631&lt;/D&gt;&lt;D xsi:type="xsd:double"&gt;2.6403666&lt;/D&gt;&lt;D xsi:type="xsd:double"&gt;0.9513259&lt;/D&gt;&lt;D xsi:type="xsd:double"&gt;-1.2356758&lt;/D&gt;&lt;D xsi:type="xsd:double"&gt;0.64680576&lt;/D&gt;&lt;D xsi:type="xsd:double"&gt;0.7280946&lt;/D&gt;&lt;D xsi:type="xsd:double"&gt;-0.58980584&lt;/D&gt;&lt;D xsi:type="xsd:double"&gt;1.2984514&lt;/D&gt;&lt;D xsi:type="xsd:double"&gt;-0.8268595&lt;/D&gt;&lt;D xsi:type="xsd:double"&gt;1.6708016&lt;/D&gt;&lt;D xsi:type="xsd:double"&gt;-1.7834187&lt;/D&gt;&lt;D xsi:type="xsd:double"&gt;0.54079294&lt;/D&gt;&lt;D xsi:type="xsd:double"&gt;1.8474579&lt;/D&gt;&lt;D xsi:type="xsd:double"&gt;1.1339188&lt;/D&gt;&lt;D xsi:type="xsd:double"&gt;-1.5329301&lt;/D&gt;&lt;D xsi:type="xsd:double"&gt;-2.5909662&lt;/D&gt;&lt;D xsi:type="xsd:double"&gt;4.531777&lt;/D&gt;&lt;D xsi:type="xsd:double"&gt;-5.8264136&lt;/D&gt;&lt;D xsi:type="xsd:double"&gt;-0.012600422&lt;/D&gt;&lt;D xsi:type="xsd:double"&gt;0.63642263&lt;/D&gt;&lt;D xsi:type="xsd:double"&gt;0.8335829&lt;/D&gt;&lt;D xsi:type="xsd:double"&gt;0.5149722&lt;/D&gt;&lt;D xsi:type="xsd:double"&gt;-0.7354021&lt;/D&gt;&lt;D xsi:type="xsd:double"&gt;0.22152662&lt;/D&gt;&lt;D xsi:type="xsd:double"&gt;0.30676126&lt;/D&gt;&lt;D xsi:type="xsd:double"&gt;-5.7251873&lt;/D&gt;&lt;D xsi:type="xsd:double"&gt;-1.0895014&lt;/D&gt;&lt;D xsi:type="xsd:double"&gt;3.571558&lt;/D&gt;&lt;D xsi:type="xsd:double"&gt;-0.73156357&lt;/D&gt;&lt;D xsi:type="xsd:double"&gt;-2.2452354&lt;/D&gt;&lt;D xsi:type="xsd:double"&gt;0.29928684&lt;/D&gt;&lt;D xsi:type="xsd:double"&gt;-0.81311464&lt;/D&gt;&lt;D xsi:type="xsd:double"&gt;0.254941&lt;/D&gt;&lt;D xsi:type="xsd:double"&gt;0.5180836&lt;/D&gt;&lt;D xsi:type="xsd:double"&gt;-0.8058727&lt;/D&gt;&lt;D xsi:type="xsd:double"&gt;-1.264602&lt;/D&gt;&lt;D xsi:type="xsd:double"&gt;-0.25621653&lt;/D&gt;&lt;D xsi:type="xsd:double"&gt;0.47649145&lt;/D&gt;&lt;D xsi:type="xsd:double"&gt;-1.357758&lt;/D&gt;&lt;D xsi:type="xsd:double"&gt;-1.3324142&lt;/D&gt;&lt;D xsi:type="xsd:double"&gt;-1.8842041&lt;/D&gt;&lt;D xsi:type="xsd:double"&gt;-0.6238103&lt;/D&gt;&lt;D xsi:type="xsd:double"&gt;-2.0213425&lt;/D&gt;&lt;D xsi:type="xsd:double"&gt;-6.313646&lt;/D&gt;&lt;D xsi:type="xsd:double"&gt;1.6748548&lt;/D&gt;&lt;D xsi:type="xsd:double"&gt;-1.2216449&lt;/D&gt;&lt;D xsi:type="xsd:double"&gt;2.349496&lt;/D&gt;&lt;D xsi:type="xsd:double"&gt;-0.17584562&lt;/D&gt;&lt;D xsi:type="xsd:double"&gt;1.5827894&lt;/D&gt;&lt;D xsi:type="xsd:double"&gt;-0.8591652&lt;/D&gt;&lt;D xsi:type="xsd:double"&gt;2.5028825&lt;/D&gt;&lt;D xsi:type="xsd:double"&gt;1.526022&lt;/D&gt;&lt;D xsi:type="xsd:double"&gt;-0.42026043&lt;/D&gt;&lt;D xsi:type="xsd:double"&gt;0.7422209&lt;/D&gt;&lt;D xsi:type="xsd:double"&gt;2.5051713&lt;/D&gt;&lt;D xsi:type="xsd:double"&gt;-0.70077777&lt;/D&gt;&lt;D xsi:type="xsd:double"&gt;0.9036541&lt;/D&gt;&lt;D xsi:type="xsd:double"&gt;-0.00924468&lt;/D&gt;&lt;D xsi:type="xsd:double"&gt;0.3846526&lt;/D&gt;&lt;D xsi:type="xsd:double"&gt;1.0324597&lt;/D&gt;&lt;D xsi:type="xsd:double"&gt;-0.08417964&lt;/D&gt;&lt;D xsi:type="xsd:double"&gt;-3.8813412&lt;/D&gt;&lt;D xsi:type="xsd:double"&gt;-3.2673717&lt;/D&gt;&lt;D xsi:type="xsd:double"&gt;-1.9552648&lt;/D&gt;&lt;D xsi:type="xsd:double"&gt;0.44726133&lt;/D&gt;&lt;D xsi:type="xsd:double"&gt;-0.10710955&lt;/D&gt;&lt;D xsi:type="xsd:double"&gt;1.5082836&lt;/D&gt;&lt;D xsi:type="xsd:double"&gt;-2.670586&lt;/D&gt;&lt;D xsi:type="xsd:double"&gt;-1.7614067&lt;/D&gt;&lt;D xsi:type="xsd:double"&gt;0.83692074&lt;/D&gt;&lt;D xsi:type="xsd:double"&gt;-1.0035336&lt;/D&gt;&lt;D xsi:type="xsd:double"&gt;0.067448616&lt;/D&gt;&lt;D xsi:type="xsd:double"&gt;-0.3385365&lt;/D&gt;&lt;D xsi:type="xsd:double"&gt;0.492692&lt;/D&gt;&lt;D xsi:type="xsd:double"&gt;-0.5133569&lt;/D&gt;&lt;D xsi:type="xsd:double"&gt;-0.37612915&lt;/D&gt;&lt;D xsi:type="xsd:double"&gt;1.0023355&lt;/D&gt;&lt;D xsi:type="xsd:double"&gt;0.07622242&lt;/D&gt;&lt;D xsi:type="xsd:double"&gt;0.62202215&lt;/D&gt;&lt;D xsi:type="xsd:double"&gt;1.505363&lt;/D&gt;&lt;D xsi:type="xsd:double"&gt;-0.8114219&lt;/D&gt;&lt;D xsi:type="xsd:double"&gt;0.10185242&lt;/D&gt;&lt;D xsi:type="xsd:double"&gt;0.7819176&lt;/D&gt;&lt;D xsi:type="xsd:double"&gt;-1.0590672&lt;/D&gt;&lt;D xsi:type="xsd:double"&gt;-1.0213733&lt;/D&gt;&lt;D xsi:type="xsd:double"&gt;0.6490946&lt;/D&gt;&lt;D xsi:type="xsd:double"&gt;1.4660478&lt;/D&gt;&lt;D xsi:type="xsd:double"&gt;0.16185045&lt;/D&gt;&lt;D xsi:type="xsd:double"&gt;-1.8273711&lt;/D&gt;&lt;D xsi:type="xsd:double"&gt;0.28709173&lt;/D&gt;&lt;D xsi:type="xsd:double"&gt;0.15795231&lt;/D&gt;&lt;D xsi:type="xsd:double"&gt;0.82912445&lt;/D&gt;&lt;D xsi:type="xsd:double"&gt;-0.41161776&lt;/D&gt;&lt;D xsi:type="xsd:double"&gt;-1.765573&lt;/D&gt;&lt;D xsi:type="xsd:double"&gt;3.3082366&lt;/D&gt;&lt;D xsi:type="xsd:double"&gt;0.56004524&lt;/D&gt;&lt;D xsi:type="xsd:double"&gt;-0.61005354&lt;/D&gt;&lt;D xsi:type="xsd:double"&gt;4.5259595&lt;/D&gt;&lt;D xsi:type="xsd:double"&gt;0.27637482&lt;/D&gt;&lt;D xsi:type="xsd:double"&gt;0.7018924&lt;/D&gt;&lt;D xsi:type="xsd:double"&gt;-1.144892&lt;/D&gt;&lt;D xsi:type="xsd:double"&gt;0.09390116&lt;/D&gt;&lt;D xsi:type="xsd:double"&gt;1.8230677&lt;/D&gt;&lt;D xsi:type="xsd:double"&gt;0.823009&lt;/D&gt;&lt;D xsi:type="xsd:double"&gt;-0.42398572&lt;/D&gt;&lt;D xsi:type="xsd:double"&gt;-0.72576404&lt;/D&gt;&lt;D xsi:type="xsd:double"&gt;-2.1240711&lt;/D&gt;&lt;D xsi:type="xsd:double"&gt;0.9397507&lt;/D&gt;&lt;D xsi:type="xsd:double"&gt;0.47024488&lt;/D&gt;&lt;D xsi:type="xsd:double"&gt;1.266551&lt;/D&gt;&lt;D xsi:type="xsd:double"&gt;-1.7381012&lt;/D&gt;&lt;D xsi:type="xsd:double"&gt;-0.8809805&lt;/D&gt;&lt;D xsi:type="xsd:double"&gt;-0.109517574&lt;/D&gt;&lt;D xsi:type="xsd:double"&gt;-1.2081563&lt;/D&gt;&lt;D xsi:type="xsd:double"&gt;-1.6459286&lt;/D&gt;&lt;D xsi:type="xsd:double"&gt;-2.1378458&lt;/D&gt;&lt;D xsi:type="xsd:double"&gt;1.3341069&lt;/D&gt;&lt;D xsi:type="xsd:double"&gt;0.6291151&lt;/D&gt;&lt;D xsi:type="xsd:double"&gt;-2.5486052&lt;/D&gt;&lt;D xsi:type="xsd:double"&gt;0.8948803&lt;/D&gt;&lt;D xsi:type="xsd:double"&gt;1.1275768&lt;/D&gt;&lt;D xsi:type="xsd:double"&gt;0.25395155&lt;/D&gt;&lt;D xsi:type="xsd:double"&gt;-1.40118&lt;/D&gt;&lt;D xsi:type="xsd:double"&gt;-2.5581121&lt;/D&gt;&lt;D xsi:type="xsd:double"&gt;-0.14433861&lt;/D&gt;&lt;D xsi:type="xsd:double"&gt;-1.8053353&lt;/D&gt;&lt;D xsi:type="xsd:double"&gt;1.3605952&lt;/D&gt;&lt;D xsi:type="xsd:double"&gt;0.5020499&lt;/D&gt;&lt;D xsi:type="xsd:double"&gt;-1.1160731&lt;/D&gt;&lt;D xsi:type="xsd:double"&gt;1.2762904&lt;/D&gt;&lt;D xsi:type="xsd:double"&gt;2.7073383&lt;/D&gt;&lt;D xsi:type="xsd:double"&gt;-1.2624443&lt;/D&gt;&lt;D xsi:type="xsd:double"&gt;-0.20634532&lt;/D&gt;&lt;D xsi:type="xsd:double"&gt;1.0585308&lt;/D&gt;&lt;D xsi:type="xsd:double"&gt;0.6722331&lt;/D&gt;&lt;D xsi:type="xsd:double"&gt;0.55993795&lt;/D&gt;&lt;D xsi:type="xsd:double"&gt;1.927805&lt;/D&gt;&lt;D xsi:type="xsd:double"&gt;1.0856032&lt;/D&gt;&lt;D xsi:type="xsd:double"&gt;-0.8346021&lt;/D&gt;&lt;D xsi:type="xsd:double"&gt;-0.017517805&lt;/D&gt;&lt;D xsi:type="xsd:double"&gt;-0.5594313&lt;/D&gt;&lt;D xsi:type="xsd:double"&gt;2.315402&lt;/D&gt;&lt;D xsi:type="xsd:double"&gt;-1.1679053&lt;/D&gt;&lt;D xsi:type="xsd:double"&gt;0.16435385&lt;/D&gt;&lt;D xsi:type="xsd:double"&gt;-1.2634516&lt;/D&gt;&lt;D xsi:type="xsd:double"&gt;2.8972268&lt;/D&gt;&lt;D xsi:type="xsd:double"&gt;-1.9972503&lt;/D&gt;&lt;D xsi:type="xsd:double"&gt;-0.4895389&lt;/D&gt;&lt;D xsi:type="xsd:double"&gt;0.24353266&lt;/D&gt;&lt;D xsi:type="xsd:double"&gt;0.40848255&lt;/D&gt;&lt;D xsi:type="xsd:double"&gt;0.07804632&lt;/D&gt;&lt;D xsi:type="xsd:double"&gt;2.7128816&lt;/D&gt;&lt;D xsi:type="xsd:double"&gt;0.39385557&lt;/D&gt;&lt;D xsi:type="xsd:double"&gt;1.654017&lt;/D&gt;&lt;D xsi:type="xsd:double"&gt;0.05631447&lt;/D&gt;&lt;D xsi:type="xsd:double"&gt;1.8034577&lt;/D&gt;&lt;D xsi:type="xsd:double"&gt;1.2352228&lt;/D&gt;&lt;D xsi:type="xsd:double"&gt;-1.8561244&lt;/D&gt;&lt;D xsi:type="xsd:double"&gt;0.08482933&lt;/D&gt;&lt;D xsi:type="xsd:double"&gt;-0.17083883&lt;/D&gt;&lt;D xsi:type="xsd:double"&gt;1.6329646&lt;/D&gt;&lt;D xsi:type="xsd:double"&gt;-1.9663751&lt;/D&gt;&lt;D xsi:type="xsd:double"&gt;1.162827&lt;/D&gt;&lt;D xsi:type="xsd:double"&gt;-3.515023&lt;/D&gt;&lt;D xsi:type="xsd:double"&gt;0.5922437&lt;/D&gt;&lt;D xsi:type="xsd:double"&gt;-1.624614&lt;/D&gt;&lt;D xsi:type="xsd:double"&gt;-0.85410476&lt;/D&gt;&lt;D xsi:type="xsd:double"&gt;0.95096827&lt;/D&gt;&lt;D xsi:type="xsd:double"&gt;-1.5236318&lt;/D&gt;&lt;D xsi:type="xsd:double"&gt;-1.17262&lt;/D&gt;&lt;D xsi:type="xsd:double"&gt;0.18645525&lt;/D&gt;&lt;D xsi:type="xsd:double"&gt;-0.058454275&lt;/D&gt;&lt;D xsi:type="xsd:double"&gt;-0.53619146&lt;/D&gt;&lt;D xsi:type="xsd:double"&gt;-0.70322156&lt;/D&gt;&lt;D xsi:type="xsd:double"&gt;1.6027212&lt;/D&gt;&lt;D xsi:type="xsd:double"&gt;-2.3408473&lt;/D&gt;&lt;D xsi:type="xsd:double"&gt;1.9827247&lt;/D&gt;&lt;D xsi:type="xsd:double"&gt;2.098596&lt;/D&gt;&lt;D xsi:type="xsd:double"&gt;1.51577&lt;/D&gt;&lt;D xsi:type="xsd:double"&gt;0.40377378&lt;/D&gt;&lt;D xsi:type="xsd:double"&gt;1.1907935&lt;/D&gt;&lt;D xsi:type="xsd:double"&gt;1.1190891&lt;/D&gt;&lt;D xsi:type="xsd:double"&gt;-1.7790496&lt;/D&gt;&lt;D xsi:type="xsd:double"&gt;1.6453505&lt;/D&gt;&lt;D xsi:type="xsd:double"&gt;0.52456856&lt;/D&gt;&lt;D xsi:type="xsd:double"&gt;4.417622&lt;/D&gt;&lt;D xsi:type="xsd:double"&gt;1.0019779&lt;/D&gt;&lt;D xsi:type="xsd:double"&gt;-1.3134122&lt;/D&gt;&lt;D xsi:type="xsd:double"&gt;-2.006501&lt;/D&gt;&lt;D xsi:type="xsd:double"&gt;1.1611581&lt;/D&gt;&lt;D xsi:type="xsd:double"&gt;-0.24697185&lt;/D&gt;&lt;D xsi:type="xsd:double"&gt;-2.9813588&lt;/D&gt;&lt;D xsi:type="xsd:double"&gt;-0.31021833&lt;/D&gt;&lt;D xsi:type="xsd:double"&gt;0.31661987&lt;/D&gt;&lt;D xsi:type="xsd:double"&gt;-2.3602188&lt;/D&gt;&lt;D xsi:type="xsd:double"&gt;1.6065001&lt;/D&gt;&lt;D xsi:type="xsd:double"&gt;-3.296882&lt;/D&gt;&lt;D xsi:type="xsd:double"&gt;-0.41989088&lt;/D&gt;&lt;D xsi:type="xsd:double"&gt;-0.80761313&lt;/D&gt;&lt;D xsi:type="xsd:double"&gt;-2.0751119&lt;/D&gt;&lt;D xsi:type="xsd:double"&gt;1.5189409&lt;/D&gt;&lt;D xsi:type="xsd:double"&gt;-2.5435865&lt;/D&gt;&lt;D xsi:type="xsd:double"&gt;3.8020015&lt;/D&gt;&lt;D xsi:type="xsd:double"&gt;-6.4235926&lt;/D&gt;&lt;D xsi:type="xsd:double"&gt;-15.422571&lt;/D&gt;&lt;D xsi:type="xsd:double"&gt;-0.66028833&lt;/D&gt;&lt;D xsi:type="xsd:double"&gt;-1.3848126&lt;/D&gt;&lt;D xsi:type="xsd:double"&gt;0.08251667&lt;/D&gt;&lt;D xsi:type="xsd:double"&gt;0.6874919&lt;/D&gt;&lt;D xsi:type="xsd:double"&gt;-2.0093143&lt;/D&gt;&lt;D xsi:type="xsd:double"&gt;1.605022&lt;/D&gt;&lt;D xsi:type="xsd:double"&gt;0.66490173&lt;/D&gt;&lt;D xsi:type="xsd:double"&gt;-0.92803836&lt;/D&gt;&lt;D xsi:type="xsd:double"&gt;-0.5987346&lt;/D&gt;&lt;D xsi:type="xsd:double"&gt;-0.8561194&lt;/D&gt;&lt;D xsi:type="xsd:double"&gt;1.1058807&lt;/D&gt;&lt;D xsi:type="xsd:double"&gt;-1.5314698&lt;/D&gt;&lt;D xsi:type="xsd:double"&gt;1.7029643&lt;/D&gt;&lt;D xsi:type="xsd:double"&gt;1.7638445&lt;/D&gt;&lt;D xsi:type="xsd:double"&gt;0.56979656&lt;/D&gt;&lt;D xsi:type="xsd:double"&gt;-0.4554689&lt;/D&gt;&lt;D xsi:type="xsd:double"&gt;0.57679415&lt;/D&gt;&lt;D xsi:type="xsd:double"&gt;2.1157265&lt;/D&gt;&lt;D xsi:type="xsd:double"&gt;1.0576606&lt;/D&gt;&lt;D xsi:type="xsd:double"&gt;1.6893625&lt;/D&gt;&lt;D xsi:type="xsd:double"&gt;-1.4766097&lt;/D&gt;&lt;D xsi:type="xsd:double"&gt;3.0396461&lt;/D&gt;&lt;D xsi:type="xsd:double"&gt;4.2360425&lt;/D&gt;&lt;D xsi:type="xsd:double"&gt;0.8538008&lt;/D&gt;&lt;D xsi:type="xsd:double"&gt;-0.45336485&lt;/D&gt;&lt;D xsi:type="xsd:double"&gt;-4.4496655&lt;/D&gt;&lt;D xsi:type="xsd:double"&gt;0.697422&lt;/D&gt;&lt;D xsi:type="xsd:double"&gt;-0.9685278&lt;/D&gt;&lt;D xsi:type="xsd:double"&gt;-0.96176267&lt;/D&gt;&lt;D xsi:type="xsd:double"&gt;1.1564612&lt;/D&gt;&lt;D xsi:type="xsd:double"&gt;0.048089027&lt;/D&gt;&lt;D xsi:type="xsd:double"&gt;0.2796769&lt;/D&gt;&lt;D xsi:type="xsd:double"&gt;-2.7395844&lt;/D&gt;&lt;D xsi:type="xsd:double"&gt;2.2974253&lt;/D&gt;&lt;D xsi:type="xsd:double"&gt;1.9652724&lt;/D&gt;&lt;D xsi:type="xsd:double"&gt;-1.5083611&lt;/D&gt;&lt;D xsi:type="xsd:double"&gt;-0.79033375&lt;/D&gt;&lt;D xsi:type="xsd:double"&gt;2.4616122&lt;/D&gt;&lt;D xsi:type="xsd:double"&gt;-1.3282537&lt;/D&gt;&lt;D xsi:type="xsd:double"&gt;0.7573724&lt;/D&gt;&lt;D xsi:type="xsd:double"&gt;-2.3287177&lt;/D&gt;&lt;D xsi:type="xsd:double"&gt;2.1427512&lt;/D&gt;&lt;D xsi:type="xsd:double"&gt;-0.55271983&lt;/D&gt;&lt;D xsi:type="xsd:double"&gt;0.8340359&lt;/D&gt;&lt;D xsi:type="xsd:double"&gt;2.8738499&lt;/D&gt;&lt;D xsi:type="xsd:double"&gt;-0.6759465&lt;/D&gt;&lt;D xsi:type="xsd:double"&gt;-0.1365304&lt;/D&gt;&lt;D xsi:type="xsd:double"&gt;1.1718631&lt;/D&gt;&lt;D xsi:type="xsd:double"&gt;1.1361599&lt;/D&gt;&lt;D xsi:type="xsd:double"&gt;-2.23853&lt;/D&gt;&lt;D xsi:type="xsd:double"&gt;-0.3327012&lt;/D&gt;&lt;D xsi:type="xsd:double"&gt;1.3733983&lt;/D&gt;&lt;D xsi:type="xsd:double"&gt;0.4998088&lt;/D&gt;&lt;D xsi:type="xsd:double"&gt;2.148223&lt;/D&gt;&lt;D xsi:type="xsd:double"&gt;2.973926&lt;/D&gt;&lt;D xsi:type="xsd:double"&gt;-2.1994293&lt;/D&gt;&lt;D xsi:type="xsd:double"&gt;-0.6931186&lt;/D&gt;&lt;D xsi:type="xsd:double"&gt;-0.4848957&lt;/D&gt;&lt;D xsi:type="xsd:double"&gt;0.4032135&lt;/D&gt;&lt;D xsi:type="xsd:double"&gt;-0.21913648&lt;/D&gt;&lt;D xsi:type="xsd:double"&gt;-0.6262779&lt;/D&gt;&lt;D xsi:type="xsd:double"&gt;0.35315752&lt;/D&gt;&lt;D xsi:type="xsd:double"&gt;9.250402&lt;/D&gt;&lt;D xsi:type="xsd:double"&gt;-1.3387501&lt;/D&gt;&lt;D xsi:type="xsd:double"&gt;2.3906589&lt;/D&gt;&lt;D xsi:type="xsd:double"&gt;2.235198&lt;/D&gt;&lt;D xsi:type="xsd:double"&gt;1.6266108&lt;/D&gt;&lt;D xsi:type="xsd:double"&gt;-2.9487908&lt;/D&gt;&lt;D xsi:type="xsd:double"&gt;-3.0151665&lt;/D&gt;&lt;D xsi:type="xsd:double"&gt;1.0055423&lt;/D&gt;&lt;D xsi:type="xsd:double"&gt;-0.6259322&lt;/D&gt;&lt;D xsi:type="xsd:double"&gt;2.3293853&lt;/D&gt;&lt;D xsi:type="xsd:double"&gt;-3.3714235&lt;/D&gt;&lt;D xsi:type="xsd:double"&gt;-1.4290452&lt;/D&gt;&lt;D xsi:type="xsd:double"&gt;-1.8985808&lt;/D&gt;&lt;D xsi:type="xsd:double"&gt;0.70136786&lt;/D&gt;&lt;D xsi:type="xsd:double"&gt;2.1672487&lt;/D&gt;&lt;D xsi:type="xsd:double"&gt;-2.7926385&lt;/D&gt;&lt;D xsi:type="xsd:double"&gt;-3.1182885&lt;/D&gt;&lt;D xsi:type="xsd:double"&gt;0.5968094&lt;/D&gt;&lt;D xsi:type="xsd:double"&gt;2.1213412&lt;/D&gt;&lt;D xsi:type="xsd:double"&gt;3.8639545&lt;/D&gt;&lt;D xsi:type="xsd:double"&gt;2.893746&lt;/D&gt;&lt;D xsi:type="xsd:double"&gt;-1.0954738&lt;/D&gt;&lt;D xsi:type="xsd:double"&gt;-1.0759175&lt;/D&gt;&lt;/FQL&gt;&lt;FQL&gt;&lt;Q&gt;MSFT-US^P_PRICE_RETURNS(0,45961,45961-5AY,D,USD)&lt;/Q&gt;&lt;R&gt;1257&lt;/R&gt;&lt;C&gt;1&lt;/C&gt;&lt;D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xsi:type="xsd:double"&gt;-6.0527563&lt;/D&gt;&lt;D xsi:type="xsd:double"&gt;0.13427734&lt;/D&gt;&lt;D xsi:type="xsd:double"&gt;1.2564778&lt;/D&gt;&lt;D xsi:type="xsd:double"&gt;-0.36435723&lt;/D&gt;&lt;D xsi:type="xsd:double"&gt;0.80521107&lt;/D&gt;&lt;D xsi:type="xsd:double"&gt;0.030612946&lt;/D&gt;&lt;D xsi:type="xsd:double"&gt;-0.68068504&lt;/D&gt;&lt;D xsi:type="xsd:double"&gt;2.0846248&lt;/D&gt;&lt;D xsi:type="xsd:double"&gt;0.14827251&lt;/D&gt;&lt;D xsi:type="xsd:double"&gt;0.34555197&lt;/D&gt;&lt;D xsi:type="xsd:double"&gt;0.14419556&lt;/D&gt;&lt;D xsi:type="xsd:double"&gt;-0.62568784&lt;/D&gt;&lt;D xsi:type="xsd:double"&gt;-0.09543896&lt;/D&gt;&lt;D xsi:type="xsd:double"&gt;0.677371&lt;/D&gt;&lt;D xsi:type="xsd:double"&gt;0.115430355&lt;/D&gt;&lt;D xsi:type="xsd:double"&gt;-0.388062&lt;/D&gt;&lt;D xsi:type="xsd:double"&gt;0.6631136&lt;/D&gt;&lt;D xsi:type="xsd:double"&gt;1.2623906&lt;/D&gt;&lt;D xsi:type="xsd:double"&gt;-1.5670776&lt;/D&gt;&lt;D xsi:type="xsd:double"&gt;-0.11523962&lt;/D&gt;&lt;D xsi:type="xsd:double"&gt;-0.14144182&lt;/D&gt;&lt;D xsi:type="xsd:double"&gt;-0.846231&lt;/D&gt;&lt;D xsi:type="xsd:double"&gt;-2.2333205&lt;/D&gt;&lt;D xsi:type="xsd:double"&gt;0.5326867&lt;/D&gt;&lt;D xsi:type="xsd:double"&gt;-0.7627964&lt;/D&gt;&lt;D xsi:type="xsd:double"&gt;-0.18513799&lt;/D&gt;&lt;D xsi:type="xsd:double"&gt;0.6850362&lt;/D&gt;&lt;D xsi:type="xsd:double"&gt;-1.0011315&lt;/D&gt;&lt;D xsi:type="xsd:double"&gt;-0.40434003&lt;/D&gt;&lt;D xsi:type="xsd:double"&gt;-0.77959895&lt;/D&gt;&lt;D xsi:type="xsd:double"&gt;1.8291116&lt;/D&gt;&lt;D xsi:type="xsd:double"&gt;-0.99735856&lt;/D&gt;&lt;D xsi:type="xsd:double"&gt;0.88329315&lt;/D&gt;&lt;D xsi:type="xsd:double"&gt;0.1741767&lt;/D&gt;&lt;D xsi:type="xsd:double"&gt;0.84074736&lt;/D&gt;&lt;D xsi:type="xsd:double"&gt;0.936079&lt;/D&gt;&lt;D xsi:type="xsd:double"&gt;2.1342397&lt;/D&gt;&lt;D xsi:type="xsd:double"&gt;2.0901084&lt;/D&gt;&lt;D xsi:type="xsd:double"&gt;1.0007381&lt;/D&gt;&lt;D xsi:type="xsd:double"&gt;-1.6381383&lt;/D&gt;&lt;D xsi:type="xsd:double"&gt;-0.12472272&lt;/D&gt;&lt;D xsi:type="xsd:double"&gt;-0.1318872&lt;/D&gt;&lt;D xsi:type="xsd:double"&gt;-1.8459082&lt;/D&gt;&lt;D xsi:type="xsd:double"&gt;0.97309349999999994&lt;/D&gt;&lt;D xsi:type="xsd:double"&gt;0.6137371&lt;/D&gt;&lt;D xsi:type="xsd:double"&gt;-0.782907&lt;/D&gt;&lt;D xsi:type="xsd:double"&gt;0.08465052&lt;/D&gt;&lt;D xsi:type="xsd:double"&gt;-0.7917702&lt;/D&gt;&lt;D xsi:type="xsd:double"&gt;0.2984047&lt;/D&gt;&lt;D xsi:type="xsd:double"&gt;-2.0252824&lt;/D&gt;&lt;D xsi:type="xsd:double"&gt;-0.1553595&lt;/D&gt;&lt;D xsi:type="xsd:double"&gt;0.77574253&lt;/D&gt;&lt;D xsi:type="xsd:double"&gt;0.7312298&lt;/D&gt;&lt;D xsi:type="xsd:double"&gt;-0.60803294&lt;/D&gt;&lt;D xsi:type="xsd:double"&gt;1.0003448&lt;/D&gt;&lt;D xsi:type="xsd:double"&gt;0.68838596&lt;/D&gt;&lt;D xsi:type="xsd:double"&gt;1.7698765&lt;/D&gt;&lt;D xsi:type="xsd:double"&gt;0.1945734&lt;/D&gt;&lt;D xsi:type="xsd:double"&gt;0.826931&lt;/D&gt;&lt;D xsi:type="xsd:double"&gt;1.0692&lt;/D&gt;&lt;D xsi:type="xsd:double"&gt;-0.29528737&lt;/D&gt;&lt;D xsi:type="xsd:double"&gt;1.1286855&lt;/D&gt;&lt;D xsi:type="xsd:double"&gt;-3.2656848&lt;/D&gt;&lt;D xsi:type="xsd:double"&gt;-2.0666003&lt;/D&gt;&lt;D xsi:type="xsd:double"&gt;-0.29640794&lt;/D&gt;&lt;D xsi:type="xsd:double"&gt;-1.0805845&lt;/D&gt;&lt;D xsi:type="xsd:double"&gt;-0.89283586&lt;/D&gt;&lt;D xsi:type="xsd:double"&gt;0.34331083&lt;/D&gt;&lt;D xsi:type="xsd:double"&gt;1.6419649&lt;/D&gt;&lt;D xsi:type="xsd:double"&gt;-2.4481237&lt;/D&gt;&lt;D xsi:type="xsd:double"&gt;-3.5854816&lt;/D&gt;&lt;D xsi:type="xsd:double"&gt;0.43121576&lt;/D&gt;&lt;D xsi:type="xsd:double"&gt;1.3337612&lt;/D&gt;&lt;D xsi:type="xsd:double"&gt;-0.7402897&lt;/D&gt;&lt;D xsi:type="xsd:double"&gt;-0.7102251&lt;/D&gt;&lt;D xsi:type="xsd:double"&gt;-1.3347566&lt;/D&gt;&lt;D xsi:type="xsd:double"&gt;-0.9780586&lt;/D&gt;&lt;D xsi:type="xsd:double"&gt;0.090396404&lt;/D&gt;&lt;D xsi:type="xsd:double"&gt;-0.2529204&lt;/D&gt;&lt;D xsi:type="xsd:double"&gt;-2.4772108&lt;/D&gt;&lt;D xsi:type="xsd:double"&gt;1.4601588&lt;/D&gt;&lt;D xsi:type="xsd:double"&gt;-1.4370263&lt;/D&gt;&lt;D xsi:type="xsd:double"&gt;-0.2823174&lt;/D&gt;&lt;D xsi:type="xsd:double"&gt;1.4736176&lt;/D&gt;&lt;D xsi:type="xsd:double"&gt;0.32441616&lt;/D&gt;&lt;D xsi:type="xsd:double"&gt;0.5583167&lt;/D&gt;&lt;D xsi:type="xsd:double"&gt;2.188158&lt;/D&gt;&lt;D xsi:type="xsd:double"&gt;-1.3028562&lt;/D&gt;&lt;D xsi:type="xsd:double"&gt;0.15259981&lt;/D&gt;&lt;D xsi:type="xsd:double"&gt;0.26831627&lt;/D&gt;&lt;D xsi:type="xsd:double"&gt;0.73268414&lt;/D&gt;&lt;D xsi:type="xsd:double"&gt;-0.4691124&lt;/D&gt;&lt;D xsi:type="xsd:double"&gt;0.91540813&lt;/D&gt;&lt;D xsi:type="xsd:double"&gt;-0.14338493&lt;/D&gt;&lt;D xsi:type="xsd:double"&gt;-0.45275092&lt;/D&gt;&lt;D xsi:type="xsd:double"&gt;1.3105273&lt;/D&gt;&lt;D xsi:type="xsd:double"&gt;0.22419691&lt;/D&gt;&lt;D xsi:type="xsd:double"&gt;0.11789799&lt;/D&gt;&lt;D xsi:type="xsd:double"&gt;1.9367695&lt;/D&gt;&lt;D xsi:type="xsd:double"&gt;1.1241674&lt;/D&gt;&lt;D xsi:type="xsd:double"&gt;0.948441&lt;/D&gt;&lt;D xsi:type="xsd:double"&gt;-0.15782118&lt;/D&gt;&lt;D xsi:type="xsd:double"&gt;0.12027025&lt;/D&gt;&lt;D xsi:type="xsd:double"&gt;1.9083381&lt;/D&gt;&lt;D xsi:type="xsd:double"&gt;0.61665773&lt;/D&gt;&lt;D xsi:type="xsd:double"&gt;-0.3878355&lt;/D&gt;&lt;D xsi:type="xsd:double"&gt;0.110924244&lt;/D&gt;&lt;D xsi:type="xsd:double"&gt;-3.3786118&lt;/D&gt;&lt;D xsi:type="xsd:double"&gt;-0.2672434&lt;/D&gt;&lt;D xsi:type="xsd:double"&gt;0.0371933&lt;/D&gt;&lt;D xsi:type="xsd:double"&gt;0.74005127&lt;/D&gt;&lt;D xsi:type="xsd:double"&gt;-0.8176148&lt;/D&gt;&lt;D xsi:type="xsd:double"&gt;0.34495592&lt;/D&gt;&lt;D xsi:type="xsd:double"&gt;0.869894&lt;/D&gt;&lt;D xsi:type="xsd:double"&gt;1.2208223&lt;/D&gt;&lt;D xsi:type="xsd:double"&gt;-0.18527508&lt;/D&gt;&lt;D xsi:type="xsd:double"&gt;-0.49399734&lt;/D&gt;&lt;D xsi:type="xsd:double"&gt;1.5651941&lt;/D&gt;&lt;D xsi:type="xsd:double"&gt;0.6864548&lt;/D&gt;&lt;D xsi:type="xsd:double"&gt;-0.24593472&lt;/D&gt;&lt;D xsi:type="xsd:double"&gt;0.586915&lt;/D&gt;&lt;D xsi:type="xsd:double"&gt;0.4335761&lt;/D&gt;&lt;D xsi:type="xsd:double"&gt;0.29315948&lt;/D&gt;&lt;D xsi:type="xsd:double"&gt;-1.0156214&lt;/D&gt;&lt;D xsi:type="xsd:double"&gt;1.6918302&lt;/D&gt;&lt;D xsi:type="xsd:double"&gt;2.216971&lt;/D&gt;&lt;D xsi:type="xsd:double"&gt;0.73428154&lt;/D&gt;&lt;D xsi:type="xsd:double"&gt;1.4409423&lt;/D&gt;&lt;D xsi:type="xsd:double"&gt;-3.2119334&lt;/D&gt;&lt;D xsi:type="xsd:double"&gt;-1.0016739&lt;/D&gt;&lt;D xsi:type="xsd:double"&gt;1.824379&lt;/D&gt;&lt;D xsi:type="xsd:double"&gt;-2.4495184&lt;/D&gt;&lt;D xsi:type="xsd:double"&gt;0.36557913&lt;/D&gt;&lt;D xsi:type="xsd:double"&gt;1.6485453&lt;/D&gt;&lt;D xsi:type="xsd:double"&gt;0.4610181&lt;/D&gt;&lt;D xsi:type="xsd:double"&gt;-1.2739003&lt;/D&gt;&lt;D xsi:type="xsd:double"&gt;-1.838094&lt;/D&gt;&lt;D xsi:type="xsd:double"&gt;-0.6609082&lt;/D&gt;&lt;D xsi:type="xsd:double"&gt;0.22724867&lt;/D&gt;&lt;D xsi:type="xsd:double"&gt;-1.957804&lt;/D&gt;&lt;D xsi:type="xsd:double"&gt;-1.4091074&lt;/D&gt;&lt;D xsi:type="xsd:double"&gt;1.1033416&lt;/D&gt;&lt;D xsi:type="xsd:double"&gt;-0.70845485&lt;/D&gt;&lt;D xsi:type="xsd:double"&gt;0.3980279&lt;/D&gt;&lt;D xsi:type="xsd:double"&gt;-0.21855235&lt;/D&gt;&lt;D xsi:type="xsd:double"&gt;1.8282771&lt;/D&gt;&lt;D xsi:type="xsd:double"&gt;-0.6112516&lt;/D&gt;&lt;D xsi:type="xsd:double"&gt;-0.23490787&lt;/D&gt;&lt;D xsi:type="xsd:double"&gt;-0.73722005&lt;/D&gt;&lt;D xsi:type="xsd:double"&gt;0.9150982&lt;/D&gt;&lt;D xsi:type="xsd:double"&gt;-0.16847253&lt;/D&gt;&lt;D xsi:type="xsd:double"&gt;-0.052177906&lt;/D&gt;&lt;D xsi:type="xsd:double"&gt;-0.28614402&lt;/D&gt;&lt;D xsi:type="xsd:double"&gt;-1.3714612&lt;/D&gt;&lt;D xsi:type="xsd:double"&gt;-0.14672875&lt;/D&gt;&lt;D xsi:type="xsd:double"&gt;0.97358227&lt;/D&gt;&lt;D xsi:type="xsd:double"&gt;0.90647936&lt;/D&gt;&lt;D xsi:type="xsd:double"&gt;0.98006725&lt;/D&gt;&lt;D xsi:type="xsd:double"&gt;0.21612644&lt;/D&gt;&lt;D xsi:type="xsd:double"&gt;-2.069515&lt;/D&gt;&lt;D xsi:type="xsd:double"&gt;2.437961&lt;/D&gt;&lt;D xsi:type="xsd:double"&gt;-0.043344498&lt;/D&gt;&lt;D xsi:type="xsd:double"&gt;2.6599407&lt;/D&gt;&lt;D xsi:type="xsd:double"&gt;-0.41849613&lt;/D&gt;&lt;D xsi:type="xsd:double"&gt;-0.7136941&lt;/D&gt;&lt;D xsi:type="xsd:double"&gt;1.7533422&lt;/D&gt;&lt;D xsi:type="xsd:double"&gt;-0.13907552&lt;/D&gt;&lt;D xsi:type="xsd:double"&gt;-2.957201&lt;/D&gt;&lt;D xsi:type=</t>
        </r>
      </text>
    </comment>
    <comment ref="A3" authorId="0" shapeId="0" xr:uid="{8FF3E8C9-6DF1-4D22-BE04-B1A8094F3B1B}">
      <text>
        <r>
          <rPr>
            <b/>
            <sz val="9"/>
            <color indexed="81"/>
            <rFont val="Tahoma"/>
            <charset val="1"/>
          </rPr>
          <t>"xsd:double"&gt;-0.13958812&lt;/D&gt;&lt;D xsi:type="xsd:double"&gt;0.44965744&lt;/D&gt;&lt;D xsi:type="xsd:double"&gt;1.4519811&lt;/D&gt;&lt;D xsi:type="xsd:double"&gt;0.05890131&lt;/D&gt;&lt;D xsi:type="xsd:double"&gt;-0.014722347&lt;/D&gt;&lt;D xsi:type="xsd:double"&gt;-0.68235993&lt;/D&gt;&lt;D xsi:type="xsd:double"&gt;-0.3182292&lt;/D&gt;&lt;D xsi:type="xsd:double"&gt;2.3546696&lt;/D&gt;&lt;D xsi:type="xsd:double"&gt;-0.15144944&lt;/D&gt;&lt;D xsi:type="xsd:double"&gt;-0.3143072&lt;/D&gt;&lt;D xsi:type="xsd:double"&gt;-0.6149173&lt;/D&gt;&lt;D xsi:type="xsd:double"&gt;-0.71552396&lt;/D&gt;&lt;D xsi:type="xsd:double"&gt;0.7801652&lt;/D&gt;&lt;D xsi:type="xsd:double"&gt;-2.1528661&lt;/D&gt;&lt;D xsi:type="xsd:double"&gt;-1.2578726&lt;/D&gt;&lt;D xsi:type="xsd:double"&gt;1.5551448&lt;/D&gt;&lt;D xsi:type="xsd:double"&gt;0.01449585&lt;/D&gt;&lt;D xsi:type="xsd:double"&gt;2.1110296&lt;/D&gt;&lt;D xsi:type="xsd:double"&gt;-0.039446354&lt;/D&gt;&lt;D xsi:type="xsd:double"&gt;-1.3545096&lt;/D&gt;&lt;D xsi:type="xsd:double"&gt;1.8425822&lt;/D&gt;&lt;D xsi:type="xsd:double"&gt;1.5594363&lt;/D&gt;&lt;D xsi:type="xsd:double"&gt;-2.6946366&lt;/D&gt;&lt;D xsi:type="xsd:double"&gt;-0.27579665&lt;/D&gt;&lt;D xsi:type="xsd:double"&gt;1.4334202&lt;/D&gt;&lt;D xsi:type="xsd:double"&gt;-0.23217201&lt;/D&gt;&lt;D xsi:type="xsd:double"&gt;0.57382584&lt;/D&gt;&lt;D xsi:type="xsd:double"&gt;0.91753006&lt;/D&gt;&lt;D xsi:type="xsd:double"&gt;0.60275793&lt;/D&gt;&lt;D xsi:type="xsd:double"&gt;-0.54180026&lt;/D&gt;&lt;D xsi:type="xsd:double"&gt;1.2186766&lt;/D&gt;&lt;D xsi:type="xsd:double"&gt;1.1297345&lt;/D&gt;&lt;D xsi:type="xsd:double"&gt;-0.20498037&lt;/D&gt;&lt;D xsi:type="xsd:double"&gt;0.4633546&lt;/D&gt;&lt;D xsi:type="xsd:double"&gt;0.9983659&lt;/D&gt;&lt;D xsi:type="xsd:double"&gt;0.48593283&lt;/D&gt;&lt;D xsi:type="xsd:double"&gt;1.8574119&lt;/D&gt;&lt;D xsi:type="xsd:double"&gt;0.29357672&lt;/D&gt;&lt;D xsi:type="xsd:double"&gt;1.8871546&lt;/D&gt;&lt;D xsi:type="xsd:double"&gt;-0.051641464&lt;/D&gt;&lt;D xsi:type="xsd:double"&gt;-0.7177532&lt;/D&gt;&lt;D xsi:type="xsd:double"&gt;-0.07280111&lt;/D&gt;&lt;D xsi:type="xsd:double"&gt;-1.3748586&lt;/D&gt;&lt;D xsi:type="xsd:double"&gt;0.20251274&lt;/D&gt;&lt;D xsi:type="xsd:double"&gt;0.3234625&lt;/D&gt;&lt;D xsi:type="xsd:double"&gt;-0.15747547&lt;/D&gt;&lt;D xsi:type="xsd:double"&gt;0.021362305&lt;/D&gt;&lt;D xsi:type="xsd:double"&gt;0.2784133&lt;/D&gt;&lt;D xsi:type="xsd:double"&gt;0.78787804&lt;/D&gt;&lt;D xsi:type="xsd:double"&gt;-0.7072866&lt;/D&gt;&lt;D xsi:type="xsd:double"&gt;0.1636982&lt;/D&gt;&lt;D xsi:type="xsd:double"&gt;0.51789284&lt;/D&gt;&lt;D xsi:type="xsd:double"&gt;1.3117313&lt;/D&gt;&lt;D xsi:type="xsd:double"&gt;-2.2544563&lt;/D&gt;&lt;D xsi:type="xsd:double"&gt;-0.0026762486&lt;/D&gt;&lt;D xsi:type="xsd:double"&gt;0.82951784&lt;/D&gt;&lt;D xsi:type="xsd:double"&gt;-0.78294873&lt;/D&gt;&lt;D xsi:type="xsd:double"&gt;0.88421106&lt;/D&gt;&lt;D xsi:type="xsd:double"&gt;0.5829811&lt;/D&gt;&lt;D xsi:type="xsd:double"&gt;-0.9986043&lt;/D&gt;&lt;D xsi:type="xsd:double"&gt;0.91563463&lt;/D&gt;&lt;D xsi:type="xsd:double"&gt;-1.4338732&lt;/D&gt;&lt;D xsi:type="xsd:double"&gt;-1.1612236&lt;/D&gt;&lt;D xsi:type="xsd:double"&gt;0.015830994&lt;/D&gt;&lt;D xsi:type="xsd:double"&gt;-1.0060132&lt;/D&gt;&lt;D xsi:type="xsd:double"&gt;1.0802746&lt;/D&gt;&lt;D xsi:type="xsd:double"&gt;0.31263828&lt;/D&gt;&lt;D xsi:type="xsd:double"&gt;-0.1111567&lt;/D&gt;&lt;D xsi:type="xsd:double"&gt;1.2812614&lt;/D&gt;&lt;D xsi:type="xsd:double"&gt;-1.1577964&lt;/D&gt;&lt;D xsi:type="xsd:double"&gt;2.052188&lt;/D&gt;&lt;D xsi:type="xsd:double"&gt;-1.680094&lt;/D&gt;&lt;D xsi:type="xsd:double"&gt;1.7583251&lt;/D&gt;&lt;D xsi:type="xsd:double"&gt;-0.16203523&lt;/D&gt;&lt;D xsi:type="xsd:double"&gt;0.979054&lt;/D&gt;&lt;D xsi:type="xsd:double"&gt;-0.808835&lt;/D&gt;&lt;D xsi:type="xsd:double"&gt;2.489674&lt;/D&gt;&lt;D xsi:type="xsd:double"&gt;-0.6910801&lt;/D&gt;&lt;D xsi:type="xsd:double"&gt;0.7405758&lt;/D&gt;&lt;D xsi:type="xsd:double"&gt;1.1219263&lt;/D&gt;&lt;D xsi:type="xsd:double"&gt;1.0572553&lt;/D&gt;&lt;D xsi:type="xsd:double"&gt;1.2861729&lt;/D&gt;&lt;D xsi:type="xsd:double"&gt;0.65015554&lt;/D&gt;&lt;D xsi:type="xsd:double"&gt;2.3542643&lt;/D&gt;&lt;D xsi:type="xsd:double"&gt;0.23716688&lt;/D&gt;&lt;D xsi:type="xsd:double"&gt;2.2740364&lt;/D&gt;&lt;D xsi:type="xsd:double"&gt;0.58555603&lt;/D&gt;&lt;D xsi:type="xsd:double"&gt;-3.751433&lt;/D&gt;&lt;D xsi:type="xsd:double"&gt;3.0678034&lt;/D&gt;&lt;D xsi:type="xsd:double"&gt;0.36742687&lt;/D&gt;&lt;D xsi:type="xsd:double"&gt;0.8112192&lt;/D&gt;&lt;D xsi:type="xsd:double"&gt;-1.4034748&lt;/D&gt;&lt;D xsi:type="xsd:double"&gt;0.36655664&lt;/D&gt;&lt;D xsi:type="xsd:double"&gt;-0.5872488&lt;/D&gt;&lt;D xsi:type="xsd:double"&gt;-0.17436743&lt;/D&gt;&lt;D xsi:type="xsd:double"&gt;1.4981866&lt;/D&gt;&lt;D xsi:type="xsd:double"&gt;-1.0357499&lt;/D&gt;&lt;D xsi:type="xsd:double"&gt;-0.37904382&lt;/D&gt;&lt;D xsi:type="xsd:double"&gt;1.2272&lt;/D&gt;&lt;D xsi:type="xsd:double"&gt;-0.43357015&lt;/D&gt;&lt;D xsi:type="xsd:double"&gt;0.78225136&lt;/D&gt;&lt;D xsi:type="xsd:double"&gt;2.4737&lt;/D&gt;&lt;D xsi:type="xsd:double"&gt;0.12698174&lt;/D&gt;&lt;D xsi:type="xsd:double"&gt;1.7757297&lt;/D&gt;&lt;D xsi:type="xsd:double"&gt;-2.6134133&lt;/D&gt;&lt;D xsi:type="xsd:double"&gt;1.9160748&lt;/D&gt;&lt;D xsi:type="xsd:double"&gt;0.6727457&lt;/D&gt;&lt;D xsi:type="xsd:double"&gt;0.2717495&lt;/D&gt;&lt;D xsi:type="xsd:double"&gt;0.20823479&lt;/D&gt;&lt;D xsi:type="xsd:double"&gt;-1.7005742&lt;/D&gt;&lt;D xsi:type="xsd:double"&gt;0.16719103&lt;/D&gt;&lt;D xsi:type="xsd:double"&gt;-0.7886529&lt;/D&gt;&lt;D xsi:type="xsd:double"&gt;-0.38656592&lt;/D&gt;&lt;D xsi:type="xsd:double"&gt;-2.3976862&lt;/D&gt;&lt;D xsi:type="xsd:double"&gt;-0.12459755&lt;/D&gt;&lt;D xsi:type="xsd:double"&gt;-0.35127997&lt;/D&gt;&lt;D xsi:type="xsd:double"&gt;-2.503693&lt;/D&gt;&lt;D xsi:type="xsd:double"&gt;0.7855773&lt;/D&gt;&lt;D xsi:type="xsd:double"&gt;1.2930632&lt;/D&gt;&lt;D xsi:type="xsd:double"&gt;-1.8257737&lt;/D&gt;&lt;D xsi:type="xsd:double"&gt;1.0979176&lt;/D&gt;&lt;D xsi:type="xsd:double"&gt;1.3215661&lt;/D&gt;&lt;D xsi:type="xsd:double"&gt;-0.89221597&lt;/D&gt;&lt;D xsi:type="xsd:double"&gt;-0.20086169&lt;/D&gt;&lt;D xsi:type="xsd:double"&gt;1.4878511&lt;/D&gt;&lt;D xsi:type="xsd:double"&gt;0.27458668&lt;/D&gt;&lt;D xsi:type="xsd:double"&gt;-0.3132701&lt;/D&gt;&lt;D xsi:type="xsd:double"&gt;0.11571646&lt;/D&gt;&lt;D xsi:type="xsd:double"&gt;1.4550447&lt;/D&gt;&lt;D xsi:type="xsd:double"&gt;0.22292137&lt;/D&gt;&lt;D xsi:type="xsd:double"&gt;0.94071627&lt;/D&gt;&lt;D xsi:type="xsd:double"&gt;-2.1498442&lt;/D&gt;&lt;D xsi:type="xsd:double"&gt;1.4079332&lt;/D&gt;&lt;D xsi:type="xsd:double"&gt;0.18018484&lt;/D&gt;&lt;D xsi:type="xsd:double"&gt;1.7062664&lt;/D&gt;&lt;D xsi:type="xsd:double"&gt;-0.12623072&lt;/D&gt;&lt;D xsi:type="xsd:double"&gt;-1.0986209&lt;/D&gt;&lt;D xsi:type="xsd:double"&gt;-0.45360923&lt;/D&gt;&lt;D xsi:type="xsd:double"&gt;-0.6727636&lt;/D&gt;&lt;D xsi:type="xsd:double"&gt;0.94389915&lt;/D&gt;&lt;D xsi:type="xsd:double"&gt;-0.5945504&lt;/D&gt;&lt;D xsi:type="xsd:double"&gt;0.21723509&lt;/D&gt;&lt;D xsi:type="xsd:double"&gt;-1.1715949&lt;/D&gt;&lt;D xsi:type="xsd:double"&gt;-1.2298942&lt;/D&gt;&lt;D xsi:type="xsd:double"&gt;0.7108331&lt;/D&gt;&lt;D xsi:type="xsd:double"&gt;0.34285784&lt;/D&gt;&lt;D xsi:type="xsd:double"&gt;-0.25648475&lt;/D&gt;&lt;D xsi:type="xsd:double"&gt;-2.6282907&lt;/D&gt;&lt;D xsi:type="xsd:double"&gt;0.1250267&lt;/D&gt;&lt;D xsi:type="xsd:double"&gt;-0.7240534&lt;/D&gt;&lt;D xsi:type="xsd:double"&gt;2.313137&lt;/D&gt;&lt;D xsi:type="xsd:double"&gt;-2.0872176&lt;/D&gt;&lt;D xsi:type="xsd:double"&gt;-3.7637532&lt;/D&gt;&lt;D xsi:type="xsd:double"&gt;1.7009139&lt;/D&gt;&lt;D xsi:type="xsd:double"&gt;0.38979053&lt;/D&gt;&lt;D xsi:type="xsd:double"&gt;-0.8937061&lt;/D&gt;&lt;D xsi:type="xsd:double"&gt;-2.3121536&lt;/D&gt;&lt;D xsi:type="xsd:double"&gt;-1.2267411&lt;/D&gt;&lt;D xsi:type="xsd:double"&gt;3.979981&lt;/D&gt;&lt;D xsi:type="xsd:double"&gt;0.14193058&lt;/D&gt;&lt;D xsi:type="xsd:double"&gt;0.7529259&lt;/D&gt;&lt;D xsi:type="xsd:double"&gt;1.6192198&lt;/D&gt;&lt;D xsi:type="xsd:double"&gt;1.4226913&lt;/D&gt;&lt;D xsi:type="xsd:double"&gt;0.19286871&lt;/D&gt;&lt;D xsi:type="xsd:double"&gt;-1.5983701&lt;/D&gt;&lt;D xsi:type="xsd:double"&gt;-1.1867404&lt;/D&gt;&lt;D xsi:type="xsd:double"&gt;0.922668&lt;/D&gt;&lt;D xsi:type="xsd:double"&gt;0.04733801&lt;/D&gt;&lt;D xsi:type="xsd:double"&gt;-0.74881315&lt;/D&gt;&lt;D xsi:type="xsd:double"&gt;1.6385674&lt;/D&gt;&lt;D xsi:type="xsd:double"&gt;-0.23820996&lt;/D&gt;&lt;D xsi:type="xsd:double"&gt;0.38257837&lt;/D&gt;&lt;D xsi:type="xsd:double"&gt;1.8167973&lt;/D&gt;&lt;D xsi:type="xsd:double"&gt;-1.9163013&lt;/D&gt;&lt;D xsi:type="xsd:double"&gt;-1.3805926&lt;/D&gt;&lt;D xsi:type="xsd:double"&gt;1.8437386&lt;/D&gt;&lt;D xsi:type="xsd:double"&gt;-1.3282001&lt;/D&gt;&lt;D xsi:type="xsd:double"&gt;-1.2502551&lt;/D&gt;&lt;D xsi:type="xsd:double"&gt;-1.6575754&lt;/D&gt;&lt;D xsi:type="xsd:double"&gt;3.189659&lt;/D&gt;&lt;D xsi:type="xsd:double"&gt;0.9123802&lt;/D&gt;&lt;D xsi:type="xsd:double"&gt;0.735271&lt;/D&gt;&lt;D xsi:type="xsd:double"&gt;1.5483975&lt;/D&gt;&lt;D xsi:type="xsd:double"&gt;0.47038794&lt;/D&gt;&lt;D xsi:type="xsd:double"&gt;0.58135986&lt;/D&gt;&lt;D xsi:type="xsd:double"&gt;-3.0867875&lt;/D&gt;&lt;D xsi:type="xsd:double"&gt;-0.67273974&lt;/D&gt;&lt;D xsi:type="xsd:double"&gt;0.16100407&lt;/D&gt;&lt;D xsi:type="xsd:double"&gt;0.84792376&lt;/D&gt;&lt;D xsi:type="xsd:double"&gt;1.275909&lt;/D&gt;&lt;D xsi:type="xsd:double"&gt;-0.8514166&lt;/D&gt;&lt;D xsi:type="xsd:double"&gt;-0.5046785&lt;/D&gt;&lt;D xsi:type="xsd:double"&gt;2.138567&lt;/D&gt;&lt;D xsi:type="xsd:double"&gt;3.845787&lt;/D&gt;&lt;D xsi:type="xsd:double"&gt;-0.4472494&lt;/D&gt;&lt;D xsi:type="xsd:double"&gt;-1.8431962&lt;/D&gt;&lt;D xsi:type="xsd:double"&gt;0.89212656&lt;/D&gt;&lt;D xsi:type="xsd:double"&gt;-0.056511164&lt;/D&gt;&lt;D xsi:type="xsd:double"&gt;1.4394879&lt;/D&gt;&lt;D xsi:type="xsd:double"&gt;0.7249713&lt;/D&gt;&lt;D xsi:type="xsd:double"&gt;0.7367611&lt;/D&gt;&lt;D xsi:type="xsd:double"&gt;0.15858412&lt;/D&gt;&lt;D xsi:type="xsd:double"&gt;-0.3676057&lt;/D&gt;&lt;D xsi:type="xsd:double"&gt;-0.70443153&lt;/D&gt;&lt;D xsi:type="xsd:double"&gt;1.7296433&lt;/D&gt;&lt;D xsi:type="xsd:double"&gt;-0.53458214&lt;/D&gt;&lt;D xsi:type="xsd:double"&gt;-0.6438136&lt;/D&gt;&lt;D xsi:type="xsd:double"&gt;1.7157197&lt;/D&gt;&lt;D xsi:type="xsd:double"&gt;0.33180714&lt;/D&gt;&lt;D xsi:type="xsd:double"&gt;-0.33070445&lt;/D&gt;&lt;D xsi:type="xsd:double"&gt;-0.049090385&lt;/D&gt;&lt;D xsi:type="xsd:double"&gt;-0.5532801&lt;/D&gt;&lt;D xsi:type="xsd:double"&gt;0.79717636&lt;/D&gt;&lt;D xsi:type="xsd:double"&gt;3.2027602&lt;/D&gt;&lt;D xsi:type="xsd:double"&gt;7.2434783&lt;/D&gt;&lt;D xsi:type="xsd:double"&gt;-2.253604&lt;/D&gt;&lt;D xsi:type="xsd:double"&gt;-1.3962865&lt;/D&gt;&lt;D xsi:type="xsd:double"&gt;-0.12232065&lt;/D&gt;&lt;D xsi:type="xsd:double"&gt;-0.81124306&lt;/D&gt;&lt;D xsi:type="xsd:double"&gt;0.027751923&lt;/D&gt;&lt;D xsi:type="xsd:double"&gt;-0.1488924&lt;/D&gt;&lt;D xsi:type="xsd:double"&gt;0.92960596&lt;/D&gt;&lt;D xsi:type="xsd:double"&gt;-1.2765586&lt;/D&gt;&lt;D xsi:type="xsd:double"&gt;2.2399426&lt;/D&gt;&lt;D xsi:type="xsd:double"&gt;0.23335218&lt;/D&gt;&lt;D xsi:type="xsd:double"&gt;-2.266848&lt;/D&gt;&lt;D xsi:type="xsd:double"&gt;-0.757885&lt;/D&gt;&lt;D xsi:type="xsd:double"&gt;2.5532842&lt;/D&gt;&lt;D xsi:type="xsd:double"&gt;-0.9889245&lt;/D&gt;&lt;D xsi:type="xsd:double"&gt;-0.017416477&lt;/D&gt;&lt;D xsi:type="xsd:double"&gt;-0.37113428&lt;/D&gt;&lt;D xsi:type="xsd:double"&gt;1.4962196&lt;/D&gt;&lt;D xsi:type="xsd:double"&gt;1.2619734&lt;/D&gt;&lt;D xsi:type="xsd:double"&gt;1.9183993&lt;/D&gt;&lt;D xsi:type="xsd:double"&gt;-0.41609406&lt;/D&gt;&lt;D xsi:type="xsd:double"&gt;-1.4933884&lt;/D&gt;&lt;D xsi:type="xsd:double"&gt;1.0480404&lt;/D&gt;&lt;D xsi:type="xsd:double"&gt;1.9721627&lt;/D&gt;&lt;D xsi:type="xsd:double"&gt;-0.54422617&lt;/D&gt;&lt;D xsi:type="xsd:double"&gt;0.5693674&lt;/D&gt;&lt;D xsi:type="xsd:double"&gt;-2.576667&lt;/D&gt;&lt;D xsi:type="xsd:double"&gt;1.1694312&lt;/D&gt;&lt;D xsi:type="xsd:double"&gt;4.0536523&lt;/D&gt;&lt;D xsi:type="xsd:double"&gt;1.7830372&lt;/D&gt;&lt;D xsi:type="xsd:double"&gt;2.705586&lt;/D&gt;&lt;D xsi:type="xsd:double"&gt;2.1440983&lt;/D&gt;&lt;D xsi:type="xsd:double"&gt;-1.4782846&lt;/D&gt;&lt;D xsi:type="xsd:double"&gt;-0.543946&lt;/D&gt;&lt;D xsi:type="xsd:double"&gt;-0.17706156&lt;/D&gt;&lt;D xsi:type="xsd:double"&gt;-1.0589004&lt;/D&gt;&lt;D xsi:type="xsd:double"&gt;0.61889887&lt;/D&gt;&lt;D xsi:type="xsd:double"&gt;1.6646028&lt;/D&gt;&lt;D xsi:type="xsd:double"&gt;1.9653201&lt;/D&gt;&lt;D xsi:type="xsd:double"&gt;-1.262927&lt;/D&gt;&lt;D xsi:type="xsd:double"&gt;-0.2958119&lt;/D&gt;&lt;D xsi:type="xsd:double"&gt;0.3771782&lt;/D&gt;&lt;D xsi:type="xsd:double"&gt;-2.1784365&lt;/D&gt;&lt;D xsi:type="xsd:double"&gt;1.2961745&lt;/D&gt;&lt;D xsi:type="xsd:double"&gt;-0.45909882&lt;/D&gt;&lt;D xsi:type="xsd:double"&gt;-2.08866&lt;/D&gt;&lt;D xsi:type="xsd:double"&gt;-1.5601754&lt;/D&gt;&lt;D xsi:type="xsd:double"&gt;-2.6622653&lt;/D&gt;&lt;D xsi:type="xsd:double"&gt;-1.0471404&lt;/D&gt;&lt;D xsi:type="xsd:double"&gt;0.313282&lt;/D&gt;&lt;D xsi:type="xsd:double"&gt;3.1242847&lt;/D&gt;&lt;D xsi:type="xsd:double"&gt;-0.19724965&lt;/D&gt;&lt;D xsi:type="xsd:double"&gt;-1.1659801&lt;/D&gt;&lt;D xsi:type="xsd:double"&gt;-0.3102064&lt;/D&gt;&lt;D xsi:type="xsd:double"&gt;4.202211&lt;/D&gt;&lt;D xsi:type="xsd:double"&gt;-0.6115794&lt;/D&gt;&lt;D xsi:type="xsd:double"&gt;-2.3620546&lt;/D&gt;&lt;D xsi:type="xsd:double"&gt;4.68843&lt;/D&gt;&lt;D xsi:type="xsd:double"&gt;1.9934654&lt;/D&gt;&lt;D xsi:type="xsd:double"&gt;2.1012664&lt;/D&gt;&lt;D xsi:type="xsd:double"&gt;-2.196163&lt;/D&gt;&lt;D xsi:type="xsd:double"&gt;0.06451607&lt;/D&gt;&lt;D xsi:type="xsd:double"&gt;3.0713558&lt;/D&gt;&lt;D xsi:type="xsd:double"&gt;-0.5908072&lt;/D&gt;&lt;D xsi:type="xsd:double"&gt;-0.22261143&lt;/D&gt;&lt;D xsi:type="xsd:double"&gt;0.9824276&lt;/D&gt;&lt;D xsi:type="xsd:double"&gt;3.5743594&lt;/D&gt;&lt;D xsi:type="xsd:double"&gt;-1.6453922&lt;/D&gt;&lt;D xsi:type="xsd:double"&gt;-1.8889129&lt;/D&gt;&lt;D xsi:type="xsd:double"&gt;0.46817064&lt;/D&gt;&lt;D xsi:type="xsd:double"&gt;0.30187368&lt;/D&gt;&lt;D xsi:type="xsd:double"&gt;1.1621475&lt;/D&gt;&lt;D xsi:type="xsd:double"&gt;3.0238152&lt;/D&gt;&lt;D xsi:type="xsd:double"&gt;0.7617116&lt;/D&gt;&lt;D xsi:type="xsd:double"&gt;0.9736419&lt;/D&gt;&lt;D xsi:type="xsd:double"&gt;1.1785269&lt;/D&gt;&lt;D xsi:type="xsd:double"&gt;-2.9637754&lt;/D&gt;&lt;D xsi:type="xsd:double"&gt;-4.374319&lt;/D&gt;&lt;D xsi:type="xsd:double"&gt;-0.1000762&lt;/D&gt;&lt;D xsi:type="xsd:double"&gt;-0.49375296&lt;/D&gt;&lt;D xsi:type="xsd:double"&gt;2.7629733&lt;/D&gt;&lt;D xsi:type="xsd:double"&gt;-1.025492&lt;/D&gt;&lt;D xsi:type="xsd:double"&gt;-0.7414162&lt;/D&gt;&lt;D xsi:type="xsd:double"&gt;0.22671223&lt;/D&gt;&lt;D xsi:type="xsd:double"&gt;-2.552873&lt;/D&gt;&lt;D xsi:type="xsd:double"&gt;1.0876656&lt;/D&gt;&lt;D xsi:type="xsd:double"&gt;0.5614519&lt;/D&gt;&lt;D xsi:type="xsd:double"&gt;-1.7328084&lt;/D&gt;&lt;D xsi:type="xsd:double"&gt;-1.7348647&lt;/D&gt;&lt;D xsi:type="xsd:double"&gt;-3.1918228&lt;/D&gt;&lt;D xsi:type="xsd:double"&gt;0.1167655&lt;/D&gt;&lt;D xsi:type="xsd:double"&gt;1.7464757&lt;/D&gt;&lt;D xsi:type="xsd:double"&gt;2.888918&lt;/D&gt;&lt;D xsi:type="xsd:double"&gt;-0.8003235&lt;/D&gt;&lt;D xsi:type="xsd:double"&gt;1.2399197&lt;/D&gt;&lt;D xsi:type="xsd:double"&gt;-0.30597448&lt;/D&gt;&lt;D xsi:type="xsd:double"&gt;-2.0303786&lt;/D&gt;&lt;D xsi:type="xsd:double"&gt;-1.8900514&lt;/D&gt;&lt;D xsi:type="xsd:double"&gt;0.12956858&lt;/D&gt;&lt;D xsi:type="xsd:double"&gt;-0.17637014&lt;/D&gt;&lt;D xsi:type="xsd:double"&gt;6.1623573&lt;/D&gt;&lt;D xsi:type="xsd:double"&gt;-0.59149265&lt;/D&gt;&lt;D xsi:type="xsd:double"&gt;-2.315247&lt;/D&gt;&lt;D xsi:type="xsd:double"&gt;-0.036352873&lt;/D&gt;&lt;D xsi:type="xsd:double"&gt;1.0406852&lt;/D&gt;&lt;D xsi:type="xsd:double"&gt;1.2311459&lt;/D&gt;&lt;D xsi:type="xsd:double"&gt;0.3440857&lt;/D&gt;&lt;D xsi:type="xsd:double"&gt;-0.19032955&lt;/D&gt;&lt;D xsi:type="xsd:double"&gt;-0.020682812&lt;/D&gt;&lt;D xsi:type="xsd:double"&gt;-0.09918809&lt;/D&gt;&lt;D xsi:type="xsd:double"&gt;0.17387867&lt;/D&gt;&lt;D xsi:type="xsd:double"&gt;-2.2500098&lt;/D&gt;&lt;D xsi:type="xsd:double"&gt;1.6997337&lt;/D&gt;&lt;D xsi:type="xsd:double"&gt;8.2268&lt;/D&gt;&lt;D xsi:type="xsd:double"&gt;-1.9050121&lt;/D&gt;&lt;D xsi:type="xsd:double"&gt;0.43884516&lt;/D&gt;&lt;D xsi:type="xsd:double"&gt;2.9269576&lt;/D&gt;&lt;D xsi:type="xsd:double"&gt;3.3325553&lt;/D&gt;&lt;D xsi:type="xsd:double"&gt;-2.6578844&lt;/D&gt;&lt;D xsi:type="xsd:double"&gt;-3.5368323&lt;/D&gt;&lt;D xsi:type="xsd:double"&gt;-1.7059445&lt;/D&gt;&lt;D xsi:type="xsd:double"&gt;-1.5856147&lt;/D&gt;&lt;D xsi:type="xsd:double"&gt;4.02205&lt;/D&gt;&lt;D xsi:type="xsd:double"&gt;-1.9756198&lt;/D&gt;&lt;D xsi:type="xsd:double"&gt;-7.7156305&lt;/D&gt;&lt;D xsi:type="xsd:double"&gt;1.379168&lt;/D&gt;&lt;D xsi:type="xsd:double"&gt;2.1187901&lt;/D&gt;&lt;D xsi:type="xsd:double"&gt;2.5280595&lt;/D&gt;&lt;D xsi:type="xsd:double"&gt;-0.1395464&lt;/D&gt;&lt;D xsi:type="xsd:double"&gt;-0.8469641&lt;/D&gt;&lt;D xsi:type="xsd:double"&gt;0.40837526&lt;/D&gt;&lt;D xsi:type="xsd:double"&gt;3.9245725&lt;/D&gt;&lt;D xsi:type="xsd:double"&gt;-2.424866&lt;/D&gt;&lt;D xsi:type="xsd:double"&gt;3.7608027&lt;/D&gt;&lt;D xsi:type="xsd:double"&gt;0.15083551&lt;/D&gt;&lt;D xsi:type="xsd:double"&gt;-1.6750276&lt;/D&gt;&lt;D xsi:type="xsd:double"&gt;-2.1302938&lt;/D&gt;&lt;D xsi:type="xsd:double"&gt;-5.0852895&lt;/D&gt;&lt;D xsi:type="xsd:double"&gt;-0.9670973&lt;/D&gt;&lt;D xsi:type="xsd:double"&gt;0.12856722&lt;/D&gt;&lt;D xsi:type="xsd:double"&gt;3.3812404&lt;/D&gt;&lt;D xsi:type="xsd:double"&gt;3.3662558&lt;/D&gt;&lt;D xsi:type="xsd:double"&gt;-1.936847&lt;/D&gt;&lt;D xsi:type="xsd:double"&gt;-1.4809012&lt;/D&gt;&lt;D xsi:type="xsd:double"&gt;1.9711494&lt;/D&gt;&lt;D xsi:type="xsd:double"&gt;-0.43798685&lt;/D&gt;&lt;D xsi:type="xsd:double"&gt;-0.19754767&lt;/D&gt;&lt;D xsi:type="xsd:double"&gt;-1.2698114&lt;/D&gt;&lt;D xsi:type="xsd:double"&gt;0.849545&lt;/D&gt;&lt;D xsi:type="xsd:double"&gt;-1.4435947&lt;/D&gt;&lt;D xsi:type="xsd:double"&gt;-0.8465588&lt;/D&gt;&lt;D xsi:type="xsd:double"&gt;-0.089889765&lt;/D&gt;&lt;D xsi:type="xsd:double"&gt;-0.260818&lt;/D&gt;&lt;D xsi:type="xsd:double"&gt;-2.711916&lt;/D&gt;&lt;D xsi:type="xsd:double"&gt;0.09126663&lt;/D&gt;&lt;D xsi:type="xsd:double"&gt;-5.497837&lt;/D&gt;&lt;D xsi:type="xsd:double"&gt;0.82809925&lt;/D&gt;&lt;D xsi:type="xsd:double"&gt;2.2976995&lt;/D&gt;&lt;D xsi:type="xsd:double"&gt;0.1666069&lt;/D&gt;&lt;D xsi:type="xsd:double"&gt;1.9111514&lt;/D&gt;&lt;D xsi:type="xsd:double"&gt;-1.097399&lt;/D&gt;&lt;D xsi:type="xsd:double"&gt;-1.6666651&lt;/D&gt;&lt;D xsi:type="xsd:double"&gt;-0.4092276&lt;/D&gt;&lt;D xsi:type="xsd:double"&gt;-0.5704045&lt;/D&gt;&lt;D xsi:type="xsd:double"&gt;-0.8520961&lt;/D&gt;&lt;D xsi:type="xsd:double"&gt;-1.066798&lt;/D&gt;&lt;D xsi:type="xsd:double"&gt;-3.8587093&lt;/D&gt;&lt;D xsi:type="xsd:double"&gt;1.1095405&lt;/D&gt;&lt;D xsi:type="xsd:double"&gt;-0.2351284&lt;/D&gt;&lt;D xsi:type="xsd:double"&gt;-0.4716456&lt;/D&gt;&lt;D xsi:type="xsd:double"&gt;-2.9355228&lt;/D&gt;&lt;D xsi:type="xsd:double"&gt;-1.3854027&lt;/D&gt;&lt;D xsi:type="xsd:double"&gt;-0.3947556&lt;/D&gt;&lt;D xsi:type="xsd:double"&gt;-0.4748702&lt;/D&gt;&lt;D xsi:type="xsd:double"&gt;-0.25897622&lt;/D&gt;&lt;D xsi:type="xsd:double"&gt;0.53441525&lt;/D&gt;&lt;D xsi:type="xsd:double"&gt;1.7037153&lt;/D&gt;&lt;D xsi:type="xsd:double"&gt;-0.7400811&lt;/D&gt;&lt;D xsi:type="xsd:double"&gt;2.4300456&lt;/D&gt;&lt;D xsi:type="xsd:double"&gt;0.70632696&lt;/D&gt;&lt;D xsi:type="xsd:double"&gt;-0.9154856&lt;/D&gt;&lt;D xsi:type="xsd:double"&gt;-0.26088357&lt;/D&gt;&lt;D xsi:type="xsd:double"&gt;0.4177451&lt;/D&gt;&lt;D xsi:type="xsd:double"&gt;2.7836323&lt;/D&gt;&lt;D xsi:type="xsd:double"&gt;-1.147443&lt;/D&gt;&lt;D xsi:type="xsd:double"&gt;-0.97242594&lt;/D&gt;&lt;D xsi:type="xsd:double"&gt;1.5665054&lt;/D&gt;&lt;D xsi:type="xsd:double"&gt;2.8540611&lt;/D&gt;&lt;D xsi:type="xsd:double"&gt;6.6851854&lt;/D&gt;&lt;D xsi:type="xsd:double"&gt;-2.6774287&lt;/D&gt;&lt;D xsi:type="xsd:double"&gt;-0.58764815&lt;/D&gt;&lt;D xsi:type="xsd:double"&gt;-1.6915917&lt;/D&gt;&lt;D xsi:type="xsd:double"&gt;0.9799123&lt;/D&gt;&lt;D xsi:type="xsd:double"&gt;1.0557532&lt;/D&gt;&lt;D xsi:type="xsd:double"&gt;2.0766973&lt;/D&gt;&lt;D xsi:type="xsd:double"&gt;-0.9621382&lt;/D&gt;&lt;D xsi:type="xsd:double"&gt;1.0390401&lt;/D&gt;&lt;D xsi:type="xsd:double"&gt;0.5381465&lt;/D&gt;&lt;D xsi:type="xsd:double"&gt;-0.37450194&lt;/D&gt;&lt;D xsi:type="xsd:double"&gt;-4.0981474&lt;/D&gt;&lt;D xsi:type="xsd:double"&gt;-1.1768639&lt;/D&gt;&lt;D xsi:type="xsd:double"&gt;-0.27570724&lt;/D&gt;&lt;D xsi:type="xsd:double"&gt;0.8226633&lt;/D&gt;&lt;D xsi:type="xsd:double"&gt;1.2782931&lt;/D&gt;&lt;D xsi:type="xsd:double"&gt;1.2597322&lt;/D&gt;&lt;D xsi:type="xsd:double"&gt;1.0707498&lt;/D&gt;&lt;D xsi:type="xsd:double"&gt;-1.3179243&lt;/D&gt;&lt;D xsi:type="xsd:double"&gt;1.4737964&lt;/D&gt;&lt;D xsi:type="xsd:double"&gt;-3.174907&lt;/D&gt;&lt;D xsi:type="xsd:double"&gt;-1.0496795&lt;/D&gt;&lt;D xsi:type="xsd:double"&gt;3.4149885&lt;/D&gt;&lt;D xsi:type="xsd:double"&gt;2.2636533&lt;/D&gt;&lt;D xsi:type="xsd:double"&gt;-0.24040341&lt;/D&gt;&lt;D xsi:type="xsd:double"&gt;2.4591208&lt;/D&gt;&lt;D xsi:type="xsd:double"&gt;1.0940075&lt;/D&gt;&lt;D xsi:type="xsd:double"&gt;-2.6970088&lt;/D&gt;&lt;D xsi:type="xsd:double"&gt;2.9735327&lt;/D&gt;&lt;D xsi:type="xsd:double"&gt;0.9204984&lt;/D&gt;&lt;D xsi:type="xsd:double"&gt;-4.241276&lt;/D&gt;&lt;D xsi:type="xsd:double"&gt;-4.456365&lt;/D&gt;&lt;D xsi:type="xsd:double"&gt;-2.0783246&lt;/D&gt;&lt;D xsi:type="xsd:double"&gt;-0.7669687&lt;/D&gt;&lt;D xsi:type="xsd:double"&gt;1.3953447&lt;/D&gt;&lt;D xsi:type="xsd:double"&gt;-0.4703343&lt;/D&gt;&lt;D xsi:type="xsd:double"&gt;-1.6607165&lt;/D&gt;&lt;D xsi:type="xsd:double"&gt;0.7928848&lt;/D&gt;&lt;D xsi:type="xsd:double"&gt;0.20231009&lt;/D&gt;&lt;D xsi:type="xsd:double"&gt;-0.5013883&lt;/D&gt;&lt;D xsi:type="xsd:double"&gt;2.7604342&lt;/D&gt;&lt;D xsi:type="xsd:double"&gt;1.2875199&lt;/D&gt;&lt;D xsi:type="xsd:double"&gt;1.1170149&lt;/D&gt;&lt;D xsi:type="xsd:double"&gt;-0.39516687&lt;/D&gt;&lt;D xsi:type="xsd:double"&gt;3.2032013&lt;/D&gt;&lt;D xsi:type="xsd:double"&gt;-0.22912025&lt;/D&gt;&lt;D xsi:type="xsd:double"&gt;-0.36996603&lt;/D&gt;&lt;D xsi:type="xsd:double"&gt;-4.7747555&lt;/D&gt;&lt;D xsi:type="xsd:double"&gt;2.0344138&lt;/D&gt;&lt;D xsi:type="xsd:double"&gt;0.1455307&lt;/D&gt;&lt;D xsi:type="xsd:double"&gt;2.259636&lt;/D&gt;&lt;D xsi:type="xsd:double"&gt;-1.9957721&lt;/D&gt;&lt;D xsi:type="xsd:double"&gt;-3.3209682&lt;/D&gt;&lt;D xsi:type="xsd:double"&gt;1.8595576&lt;/D&gt;&lt;D xsi:type="xsd:double"&gt;-3.6945462&lt;/D&gt;&lt;D xsi:type="xsd:double"&gt;-0.9446502&lt;/D&gt;&lt;D xsi:type="xsd:double"&gt;-4.3554726&lt;/D&gt;&lt;D xsi:type="xsd:double"&gt;2.9100776&lt;/D&gt;&lt;D xsi:type="xsd:double"&gt;-0.9456217&lt;/D&gt;&lt;D xsi:type="xsd:double"&gt;2.504325&lt;/D&gt;&lt;D xsi:type="xsd:double"&gt;-4.1812&lt;/D&gt;&lt;D xsi:type="xsd:double"&gt;2.26326&lt;/D&gt;&lt;D xsi:type="xsd:double"&gt;4.8108935&lt;/D&gt;&lt;D xsi:type="xsd:double"&gt;-3.7403822&lt;/D&gt;&lt;D xsi:type="xsd:double"&gt;2.4413347&lt;/D&gt;&lt;D xsi:type="xsd:double"&gt;-2.414441&lt;/D&gt;&lt;D xsi:type="xsd:double"&gt;-1.9381166&lt;/D&gt;&lt;D xsi:type="xsd:double"&gt;0.3715396&lt;/D&gt;&lt;D xsi:type="xsd:double"&gt;1.7039776&lt;/D&gt;&lt;D xsi:type="xsd:double"&gt;0.24658442&lt;/D&gt;&lt;D xsi:type="xsd:double"&gt;-2.708435&lt;/D&gt;&lt;D xsi:type="xsd:double"&gt;1.971209&lt;/D&gt;&lt;D xsi:type="xsd:double"&gt;-1.1217892&lt;/D&gt;&lt;D xsi:type="xsd:double"&gt;-3.9431572&lt;/D&gt;&lt;D xsi:type="xsd:double"&gt;-1.4599979&lt;/D&gt;&lt;D xsi:type="xsd:double"&gt;0.6243706&lt;/D&gt;&lt;D xsi:type="xsd:double"&gt;-3.6605775&lt;/D&gt;&lt;D xsi:type="xsd:double"&gt;-1.2985349&lt;/D&gt;&lt;D xsi:type="xsd:double"&gt;1.7936707&lt;/D&gt;&lt;D xsi:type="xsd:double"&gt;0.3600359&lt;/D&gt;&lt;D xsi:type="xsd:double"&gt;-1.7683029&lt;/D&gt;&lt;D xsi:type="xsd:double"&gt;-0.49142838&lt;/D&gt;&lt;D xsi:type="xsd:double"&gt;1.5159249&lt;/D&gt;&lt;D xsi:type="xsd:double"&gt;2.311647&lt;/D&gt;&lt;D xsi:type="xsd:double"&gt;-0.13811588&lt;/D&gt;&lt;D xsi:type="xsd:double"&gt;1.53929&lt;/D&gt;&lt;D xsi:type="xsd:double"&gt;-1.5029967&lt;/D&gt;&lt;D xsi:type="xsd:double"&gt;1.6379118&lt;/D&gt;&lt;D xsi:type="xsd:double"&gt;-0.4227221&lt;/D&gt;&lt;D xsi:type="xsd:double"&gt;1.7647862&lt;/D&gt;&lt;D xsi:type="xsd:double"&gt;0.28192997&lt;/D&gt;&lt;D xsi:type="xsd:double"&gt;2.521336&lt;/D&gt;&lt;D xsi:type="xsd:double"&gt;3.8742542&lt;/D&gt;&lt;D xsi:type="xsd:double"&gt;-1.296109&lt;/D&gt;&lt;D xsi:type="xsd:double"&gt;-1.9328356&lt;/D&gt;&lt;D xsi:type="xsd:double"&gt;-1.0086656&lt;/D&gt;&lt;D xsi:type="xsd:double"&gt;4.5858264&lt;/D&gt;&lt;D xsi:type="xsd:double"&gt;-1.0971248&lt;/D&gt;&lt;D xsi:type="xsd:double"&gt;-3.7776768&lt;/D&gt;&lt;D xsi:type="xsd:double"&gt;-2.0478606&lt;/D&gt;&lt;D xsi:type="xsd:double"&gt;-1.4224291&lt;/D&gt;&lt;D xsi:type="xsd:double"&gt;1.7765641&lt;/D&gt;&lt;D xsi:type="xsd:double"&gt;-1.2851834&lt;/D&gt;&lt;D xsi:type="xsd:double"&gt;0.49780607&lt;/D&gt;&lt;D xsi:type="xsd:double"&gt;0.9233117&lt;/D&gt;&lt;D xsi:type="xsd:double"&gt;5.109358&lt;/D&gt;&lt;D xsi:type="xsd:double"&gt;-2.589327&lt;/D&gt;&lt;D xsi:type="xsd:double"&gt;-0.07293224&lt;/D&gt;&lt;D xsi:type="xsd:double"&gt;-0.9630978&lt;/D&gt;&lt;D xsi:type="xsd:double"&gt;-2.9282093&lt;/D&gt;&lt;D xsi:type="xsd:double"&gt;-0.32283068&lt;/D&gt;&lt;D xsi:type="xsd:double"&gt;1.8542409&lt;/D&gt;&lt;D xsi:type="xsd:double"&gt;-0.013560057&lt;/D&gt;&lt;D xsi:type="xsd:double"&gt;-2.427405&lt;/D&gt;&lt;D xsi:type="xsd:double"&gt;-2.8373063&lt;/D&gt;&lt;D xsi:type="xsd:double"&gt;2.183473&lt;/D&gt;&lt;D xsi:type="xsd:double"&gt;1.1995316&lt;/D&gt;&lt;D xsi:type="xsd:double"&gt;-1.6310334&lt;/D&gt;&lt;D xsi:type="xsd:double"&gt;1.5568495&lt;/D&gt;&lt;D xsi:type="xsd:double"&gt;-3.895229&lt;/D&gt;&lt;D xsi:type="xsd:double"&gt;1.5222073&lt;/D&gt;&lt;D xsi:type="xsd:double"&gt;-0.7138729&lt;/D&gt;&lt;D xsi:type="xsd:double"&gt;0.88237524&lt;/D&gt;&lt;D xsi:type="xsd:double"&gt;2.8081656&lt;/D&gt;&lt;D xsi:type="xsd:double"&gt;1.0549068&lt;/D&gt;&lt;D xsi:type="xsd:double"&gt;2.8493166&lt;/D&gt;&lt;D xsi:type="xsd:double"&gt;-2.658838&lt;/D&gt;&lt;D xsi:type="xsd:double"&gt;0.11484623&lt;/D&gt;&lt;D xsi:type="xsd:double"&gt;-1.8468201&lt;/D&gt;&lt;D xsi:type="xsd:double"&gt;-0.57032704&lt;/D&gt;&lt;D xsi:type="xsd:double"&gt;0.22467375&lt;/D&gt;&lt;D xsi:type="xsd:double"&gt;-2.43392&lt;/D&gt;&lt;D xsi:type="xsd:double"&gt;1.7716646&lt;/D&gt;&lt;D xsi:type="xsd:double"&gt;-4.232258&lt;/D&gt;&lt;D xsi:type="xsd:double"&gt;1.0444999&lt;/D&gt;&lt;D xsi:type="xsd:double"&gt;0.22592545&lt;/D&gt;&lt;D xsi:type="xsd:double"&gt;0.07323027&lt;/D&gt;&lt;D xsi:type="xsd:double"&gt;0.050973892&lt;/D&gt;&lt;D xsi:type="xsd:double"&gt;-0.7901907&lt;/D&gt;&lt;D xsi:type="xsd:double"&gt;-3.8387895&lt;/D&gt;&lt;D xsi:type="xsd:double"&gt;-1.7147124&lt;/D&gt;&lt;D xsi:type="xsd:double"&gt;-0.46681762&lt;/D&gt;&lt;D xsi:type="xsd:double"&gt;-0.88412166&lt;/D&gt;&lt;D xsi:type="xsd:double"&gt;-0.76912045&lt;/D&gt;&lt;D xsi:type="xsd:double"&gt;0.20513535&lt;/D&gt;&lt;D xsi:type="xsd:double"&gt;-0.35042167&lt;/D&gt;&lt;D xsi:type="xsd:double"&gt;2.318561&lt;/D&gt;&lt;D xsi:type="xsd:double"&gt;0.4471779&lt;/D&gt;&lt;D xsi:type="xsd:double"&gt;1.8057346&lt;/D&gt;&lt;D xsi:type="xsd:double"&gt;2.3069024&lt;/D&gt;&lt;D xsi:type="xsd:double"&gt;-1.2013555&lt;/D&gt;&lt;D xsi:type="xsd:double"&gt;-0.3385663&lt;/D&gt;&lt;D xsi:type="xsd:double"&gt;-2.913493&lt;/D&gt;&lt;D xsi:type="xsd:double"&gt;1.9217849&lt;/D&gt;&lt;D xsi:type="xsd:double"&gt;-3.2586932&lt;/D&gt;&lt;D xsi:type="xsd:double"&gt;-0.9166837&lt;/D&gt;&lt;D xsi:type="xsd:double"&gt;2.8339863&lt;/D&gt;&lt;D xsi:type="xsd:double"&gt;-0.5582571&lt;/D&gt;&lt;D xsi:type="xsd:double"&gt;0.014925003&lt;/D&gt;&lt;D xsi:type="xsd:double"&gt;2.6763558&lt;/D&gt;&lt;D xsi:type="xsd:double"&gt;0.9844899&lt;/D&gt;&lt;D xsi:type="xsd:double"&gt;-1.9666672&lt;/D&gt;&lt;D xsi:type="xsd:double"&gt;-0.17874241&lt;/D&gt;&lt;D xsi:type="xsd:double"&gt;-0.1542747&lt;/D&gt;&lt;D xsi:type="xsd:double"&gt;-1.7942548&lt;/D&gt;&lt;D xsi:type="xsd:double"&gt;2.108109&lt;/D&gt;&lt;D xsi:type="xsd:double"&gt;-2.435565&lt;/D&gt;&lt;D xsi:type="xsd:double"&gt;0.06811619&lt;/D&gt;&lt;D xsi:type="xsd:double"&gt;-0.63266754&lt;/D&gt;&lt;D xsi:type="xsd:double"&gt;-0.95596313&lt;/D&gt;&lt;D xsi:type="xsd:double"&gt;0.5391598&lt;/D&gt;&lt;D xsi:type="xsd:double"&gt;0.63399076&lt;/D&gt;&lt;D xsi:type="xsd:double"&gt;-0.11487603&lt;/D&gt;&lt;D xsi:type="xsd:double"&gt;1.0236025&lt;/D&gt;&lt;D xsi:type="xsd:double"&gt;-0.1930356&lt;/D&gt;&lt;D xsi:type="xsd:double"&gt;1.2905002&lt;/D&gt;&lt;D xsi:type="xsd:double"&gt;0.4927516&lt;/D&gt;&lt;D xsi:type="xsd:double"&gt;-1.5329719&lt;/D&gt;&lt;D xsi:type="xsd:double"&gt;-0.308609&lt;/D&gt;&lt;D xsi:type="xsd:double"&gt;0.27673244&lt;/D&gt;&lt;D xsi:type="xsd:double"&gt;-0.1129508&lt;/D&gt;&lt;D xsi:type="xsd:double"&gt;0.73053837&lt;/D&gt;&lt;D xsi:type="xsd:double"&gt;0.2611637&lt;/D&gt;&lt;D xsi:type="xsd:double"&gt;1.141572&lt;/D&gt;&lt;D xsi:type="xsd:double"&gt;-0.67848563&lt;/D&gt;&lt;D xsi:type="xsd:double"&gt;2.241397&lt;/D&gt;&lt;D xsi:type="xsd:double"&gt;0.36512613&lt;/D&gt;&lt;D xsi:type="xsd:double"&gt;4.211414&lt;/D&gt;&lt;D xsi:type="xsd:double"&gt;0.64257383&lt;/D&gt;&lt;D xsi:type="xsd:double"&gt;-0.33316016&lt;/D&gt;&lt;D xsi:type="xsd:double"&gt;-0.5148709&lt;/D&gt;&lt;D xsi:type="xsd:double"&gt;1.0897517&lt;/D&gt;&lt;D xsi:type="xsd:double"&gt;-0.26603937&lt;/D&gt;&lt;D xsi:type="xsd:double"&gt;0.30590296&lt;/D&gt;&lt;D xsi:type="xsd:double"&gt;1.0124683&lt;/D&gt;&lt;D xsi:type="xsd:double"&gt;0.48223734&lt;/D&gt;&lt;D xsi:type="xsd:double"&gt;2.1734&lt;/D&gt;&lt;D xsi:type="xsd:double"&gt;1.171124&lt;/D&gt;&lt;D xsi:type="xsd:double"&gt;-0.45882463&lt;/D&gt;&lt;D xsi:type="xsd:double"&gt;-0.21027327&lt;/D&gt;&lt;D xsi:type="xsd:double"&gt;0&lt;/D&gt;&lt;D xsi:type="xsd:double"&gt;0.5936384&lt;/D&gt;&lt;D xsi:type="xsd:double"&gt;1.5064359&lt;/D&gt;&lt;D xsi:type="xsd:double"&gt;1.9956946&lt;/D&gt;&lt;D xsi:type="xsd:double"&gt;-2.0719528&lt;/D&gt;&lt;D xsi:type="xsd:double"&gt;2.546823&lt;/D&gt;&lt;D xsi:type="xsd:double"&gt;-0.7323921&lt;/D&gt;&lt;D xsi:type="xsd:double"&gt;0.16930103&lt;/D&gt;&lt;D xsi:type="xsd:double"&gt;-3.6203623&lt;/D&gt;&lt;D xsi:type="xsd:double"&gt;-1.7304122&lt;/D&gt;&lt;D xsi:type="xsd:double"&gt;-0.07010102&lt;/D&gt;&lt;D xsi:type="xsd:double"&gt;0.32821894&lt;/D&gt;&lt;D xsi:type="xsd:double"&gt;1.282227&lt;/D&gt;&lt;D xsi:type="xsd:double"&gt;0.16989708&lt;/D&gt;&lt;D xsi:type="xsd:double"&gt;-1.8574715&lt;/D&gt;&lt;D xsi:type="xsd:double"&gt;-1.7528355&lt;/D&gt;&lt;D xsi:type="xsd:double"&gt;0.13122559&lt;/D&gt;&lt;D xsi:type="xsd:double"&gt;1.677835&lt;/D&gt;&lt;D xsi:type="xsd:double"&gt;0.9428024&lt;/D&gt;&lt;D xsi:type="xsd:double"&gt;0.43286085&lt;/D&gt;&lt;D xsi:type="xsd:double"&gt;-0.5180836&lt;/D&gt;&lt;D xsi:type="xsd:double"&gt;-0.9859741&lt;/D&gt;&lt;D xsi:type="xsd:double"&gt;0.009989738&lt;/D&gt;&lt;D xsi:type="xsd:double"&gt;-0.31879544&lt;/D&gt;&lt;D xsi:type="xsd:double"&gt;-0.0033140182&lt;/D&gt;&lt;D xsi:type="xsd:double"&gt;-0.22528768&lt;/D&gt;&lt;D xsi:type="xsd:double"&gt;-0.016570091&lt;/D&gt;&lt;D xsi:type="xsd:double"&gt;-0.56325793&lt;/D&gt;&lt;D xsi:type="xsd:double"&gt;1.2912035&lt;/D&gt;&lt;D xsi:type="xsd:double"&gt;0.21064281&lt;/D&gt;&lt;D xsi:type="xsd:double"&gt;-0.96685886&lt;/D&gt;&lt;D xsi:type="xsd:double"&gt;-0.20157099&lt;/D&gt;&lt;D xsi:type="xsd:double"&gt;-0.6663382&lt;/D&gt;&lt;D xsi:type="xsd:double"&gt;0.095283985&lt;/D&gt;&lt;D xsi:type="xsd:double"&gt;2.55754&lt;/D&gt;&lt;D xsi:type="xsd:double"&gt;2.07752&lt;/D&gt;&lt;D xsi:type="xsd:double"&gt;-0.80181956&lt;/D&gt;&lt;D xsi:type="xsd:double"&gt;-0.51596165&lt;/D&gt;&lt;D xsi:type="xsd:double"&gt;0.5975723&lt;/D&gt;&lt;D xsi:type="xsd:double"&gt;1.0489702&lt;/D&gt;&lt;D xsi:type="xsd:double"&gt;0.996685&lt;/D&gt;&lt;D xsi:type="xsd:double"&gt;0.178051&lt;/D&gt;&lt;D xsi:type="xsd:double"&gt;-0.6554961&lt;/D&gt;&lt;D xsi:type="xsd:double"&gt;-0.39038658&lt;/D&gt;&lt;D xsi:type="xsd:double"&gt;-0.020724535&lt;/D&gt;&lt;D xsi:type="xsd:double"&gt;1.0505676&lt;/D&gt;&lt;D xsi:type="xsd:double"&gt;-0.21244884&lt;/D&gt;&lt;D xsi:type="xsd:double"&gt;0.8075237&lt;/D&gt;&lt;D xsi:type="xsd:double"&gt;-0.03159046&lt;/D&gt;&lt;D xsi:type="xsd:double"&gt;-0.5549729&lt;/D&gt;&lt;D xsi:type="xsd:double"&gt;0.09782314&lt;/D&gt;&lt;D xsi:type="xsd:double"&gt;-0.11168122&lt;/D&gt;&lt;D xsi:type="xsd:double"&gt;-0.8683562&lt;/D&gt;&lt;D xsi:type="xsd:double"&gt;-0.21404624&lt;/D&gt;&lt;D xsi:type="xsd:double"&gt;1.2336612&lt;/D&gt;&lt;D xsi:type="xsd:double"&gt;1.6844392&lt;/D&gt;&lt;D xsi:type="xsd:double"&gt;0.74466467&lt;/D&gt;&lt;D xsi:type="xsd:double"&gt;0.83390474&lt;/D&gt;&lt;D xsi:type="xsd:double"&gt;-1.33214&lt;/D&gt;&lt;D xsi:type="xsd:double"&gt;-0.099635124&lt;/D&gt;&lt;D xsi:type="xsd:double"&gt;-0.52387714&lt;/D&gt;&lt;D xsi:type="xsd:double"&gt;0.5445242&lt;/D&gt;&lt;D xsi:type="xsd:double"&gt;1.319778&lt;/D&gt;&lt;D xsi:type="xsd:double"&gt;-0.22307038&lt;/D&gt;&lt;D xsi:type="xsd:double"&gt;0.18743277&lt;/D&gt;&lt;D xsi:type="xsd:double"&gt;-0.8966446&lt;/D&gt;&lt;D xsi:type="xsd:double"&gt;0.8175373&lt;/D&gt;&lt;D xsi:type="xsd:double"&gt;0.0036001205&lt;/D&gt;&lt;D xsi:type="xsd:double"&gt;2.2275329&lt;/D&gt;&lt;D xsi:type="xsd:double"&gt;0.25839806&lt;/D&gt;&lt;D xsi:type="xsd:double"&gt;-0.184232&lt;/D&gt;&lt;D xsi:type="xsd:double"&gt;0.99731684&lt;/D&gt;&lt;D xsi:type="xsd:double"&gt;1.3961315&lt;/D&gt;&lt;D xsi:type="xsd:double"&gt;-0.62620044&lt;/D&gt;&lt;D xsi:type="xsd:double"&gt;0.5334139&lt;/D&gt;&lt;D xsi:type="xsd:double"&gt;-0.0885129&lt;/D&gt;&lt;D xsi:type="xsd:double"&gt;1.0966063&lt;/D&gt;&lt;D xsi:type="xsd:double"&gt;1.2334824&lt;/D&gt;&lt;D xsi:type="xsd:double"&gt;-0.56343675&lt;/D&gt;&lt;D xsi:type="xsd:double"&gt;1.3676286&lt;/D&gt;&lt;D xsi:type="xsd:double"&gt;-0.37930608&lt;/D&gt;&lt;D xsi:type="xsd:double"&gt;-0.58872104&lt;/D&gt;&lt;D xsi:type="xsd:double"&gt;0.77552795&lt;/D&gt;&lt;D xsi:type="xsd:double"&gt;0.25268793&lt;/D&gt;&lt;D xsi:type="xsd:double"&gt;1.439333&lt;/D&gt;&lt;D xsi:type="xsd:double"&gt;0.4038453&lt;/D&gt;&lt;D xsi:type="xsd:double"&gt;-0.48854947&lt;/D&gt;&lt;D xsi:type="xsd:double"&gt;1.2041926&lt;/D&gt;&lt;D xsi:type="xsd:double"&gt;2.0674706&lt;/D&gt;&lt;D xsi:type="xsd:double"&gt;-0.6429434&lt;/D&gt;&lt;D xsi:type="xsd:double"&gt;-0.04041791&lt;/D&gt;&lt;D xsi:type="xsd:double"&gt;-0.913167&lt;/D&gt;&lt;D xsi:type="xsd:double"&gt;0.14840364&lt;/D&gt;&lt;D xsi:type="xsd:double"&gt;-0.8668363&lt;/D&gt;&lt;D xsi:type="xsd:double"&gt;-0.09136796&lt;/D&gt;&lt;D xsi:type="xsd:double"&gt;0.37482977&lt;/D&gt;&lt;D xsi:type="xsd:double"&gt;2.2882104&lt;/D&gt;&lt;D xsi:type="xsd:double"&gt;-0.5314827&lt;/D&gt;&lt;D xsi:type="xsd:double"&gt;1.382029&lt;/D&gt;&lt;D xsi:type="xsd:double"&gt;0.016450882&lt;/D&gt;&lt;D xsi:type="xsd:double"&gt;-0.8565128&lt;/D&gt;&lt;D xsi:type="xsd:double"&gt;-1.1968553&lt;/D&gt;&lt;D xsi:type="xsd:double"&gt;2.106738&lt;/D&gt;&lt;D xsi:type="xsd:double"&gt;1.6861916&lt;/D&gt;&lt;D xsi:type="xsd:double"&gt;-2.9362798&lt;/D&gt;&lt;D xsi:type="xsd:double"&gt;-0.3843367&lt;/D&gt;&lt;D xsi:type="xsd:double"&gt;-2.0914257&lt;/D&gt;&lt;D xsi:type="xsd:double"&gt;1.093185&lt;/D&gt;&lt;D xsi:type="xsd:double"&gt;1.3226748&lt;/D&gt;&lt;D xsi:type="xsd:double"&gt;-0.5327046&lt;/D&gt;&lt;D xsi:type="xsd:double"&gt;-1.6159773&lt;/D&gt;&lt;D xsi:type="xsd:double"&gt;-0.12689233&lt;/D&gt;&lt;D xsi:type="xsd:double"&gt;-0.13068914&lt;/D&gt;&lt;D xsi:type="xsd:double"&gt;-0.8053124&lt;/D&gt;&lt;D xsi:type="xsd:double"&gt;-2.8285682&lt;/D&gt;&lt;D xsi:type="xsd:double"&gt;0.16058683&lt;/D&gt;&lt;D xsi:type="xsd:double"&gt;0.15317202&lt;/D&gt;&lt;D xsi:type="xsd:double"&gt;1.5476108&lt;/D&gt;&lt;D xsi:type="xsd:double"&gt;-1.308608&lt;/D&gt;&lt;D xsi:type="xsd:double"&gt;0.8983135&lt;/D&gt;&lt;D xsi:type="xsd:double"&gt;-0.18550754&lt;/D&gt;&lt;D xsi:type="xsd:double"&gt;-0.7670462&lt;/D&gt;&lt;D xsi:type="xsd:double"&gt;0.47783852&lt;/D&gt;&lt;D xsi:type="xsd:double"&gt;1.5298009&lt;/D&gt;&lt;D xsi:type="xsd:double"&gt;-1.1218965&lt;/D&gt;&lt;D xsi:type="xsd:double"&gt;1.0081649&lt;/D&gt;&lt;D xsi:type="xsd:double"&gt;0.023448467&lt;/D&gt;&lt;D xsi:type="xsd:double"&gt;1.0266542&lt;/D&gt;&lt;D xsi:type="xsd:double"&gt;1.3405442&lt;/D&gt;&lt;D xsi:type="xsd:double"&gt;0.8230448&lt;/D&gt;&lt;D xsi:type="xsd:double"&gt;-0.48580766&lt;/D&gt;&lt;D xsi:type="xsd:double"&gt;2.7728438&lt;/D&gt;&lt;D xsi:type="xsd:double"&gt;2.7908564&lt;/D&gt;&lt;D xsi:type="xsd:double"&gt;1.6907454&lt;/D&gt;&lt;D xsi:type="xsd:double"&gt;-1.4410794&lt;/D&gt;&lt;D xsi:type="xsd:double"&gt;-0.524354&lt;/D&gt;&lt;D xsi:type="xsd:double"&gt;1.7818689&lt;/D&gt;&lt;D xsi:type="xsd:double"&gt;-1.3250709&lt;/D&gt;&lt;D xsi:type="xsd:double"&gt;-0.8923292&lt;/D&gt;&lt;D xsi:type="xsd:double"&gt;0.673759&lt;/D&gt;&lt;D xsi:type="xsd:double"&gt;2.4484515&lt;/D&gt;&lt;D xsi:type="xsd:double"&gt;-0.1603663&lt;/D&gt;&lt;D xsi:type="xsd:double"&gt;-2.6662111&lt;/D&gt;&lt;D xsi:type="xsd:double"&gt;-0.2818644&lt;/D&gt;&lt;D xsi:type="xsd:double"&gt;1.235044&lt;/D&gt;&lt;D xsi:type="xsd:double"&gt;-0.39873123&lt;/D&gt;&lt;D xsi:type="xsd:double"&gt;-0.58196187&lt;/D&gt;&lt;D xsi:type="xsd:double"&gt;2.0265102&lt;/D&gt;&lt;D xsi:type="xsd:double"&gt;-0.58174133&lt;/D&gt;&lt;D xsi:type="xsd:double"&gt;2.8101444&lt;/D&gt;&lt;D xsi:type="xsd:double"&gt;-1.8177927&lt;/D&gt;&lt;D xsi:type="xsd:double"&gt;2.1479368&lt;/D&gt;&lt;D xsi:type="xsd:double"&gt;-0.3647387&lt;/D&gt;&lt;D xsi:type="xsd:double"&gt;-2.6980817&lt;/D&gt;&lt;D xsi:type="xsd:double"&gt;-1.2956917&lt;/D&gt;&lt;D xsi:type="xsd:double"&gt;1.9623041&lt;/D&gt;&lt;D xsi:type="xsd:double"&gt;1.4804125&lt;/D&gt;&lt;D xsi:type="xsd:double"&gt;-2.3704946&lt;/D&gt;&lt;D xsi:type="xsd:double"&gt;0.54872036&lt;/D&gt;&lt;D xsi:type="xsd:double"&gt;-0.52875876&lt;/D&gt;&lt;D xsi:type="xsd:double"&gt;-2.6808321&lt;/D&gt;&lt;D xsi:type="xsd:double"&gt;-1.1567295&lt;/D&gt;&lt;D xsi:type="xsd:double"&gt;-0.16789436&lt;/D&gt;&lt;D xsi:type="xsd:double"&gt;0.20517111&lt;/D&gt;&lt;D xsi:type="xsd:double"&gt;-0.5265534&lt;/D&gt;&lt;D xsi:type="xsd:double"&gt;0.20450354&lt;/D&gt;&lt;D xsi:type="xsd:double"&gt;0.68775415&lt;/D&gt;&lt;D xsi:type="xsd:double"&gt;-0.38971305&lt;/D&gt;&lt;D xsi:type="xsd:double"&gt;0.5361557&lt;/D&gt;&lt;D xsi:type="xsd:double"&gt;0.11148453&lt;/D&gt;&lt;D xsi:type="xsd:double"&gt;0.07851124&lt;/D&gt;&lt;D xsi:type="xsd:double"&gt;-0.40740967&lt;/D&gt;&lt;D xsi:type="xsd:double"&gt;1.4571428&lt;/D&gt;&lt;D xsi:type="xsd:double"&gt;-0.058418512&lt;/D&gt;&lt;D xsi:type="xsd:double"&gt;3.3152223&lt;/D&gt;&lt;D xsi:type="xsd:double"&gt;-2.9171646&lt;/D&gt;&lt;D xsi:type="xsd:double"&gt;2.5890946&lt;/D&gt;&lt;D xsi:type="xsd:double"&gt;0.24533272&lt;/D&gt;&lt;D xsi:type="xsd:double"&gt;1.2198806&lt;/D&gt;&lt;D xsi:type="xsd:double"&gt;1.5844226&lt;/D&gt;&lt;D xsi:type="xsd:double"&gt;0.4356146&lt;/D&gt;&lt;D xsi:type="xsd:double"&gt;0.28082132&lt;/D&gt;&lt;D xsi:type="xsd:double"&gt;3.6499739&lt;/D&gt;&lt;D xsi:type="xsd:double"&gt;1.7822742&lt;/D&gt;&lt;D xsi:type="xsd:double"&gt;-0.17369986&lt;/D&gt;&lt;D xsi:type="xsd:double"&gt;-1.534617&lt;/D&gt;&lt;D xsi:type="xsd:double"&gt;0.65603256&lt;/D&gt;&lt;D xsi:type="xsd:double"&gt;-1.1770725&lt;/D&gt;&lt;D xsi:type="xsd:double"&gt;-0.969851&lt;/D&gt;&lt;D xsi:type="xsd:double"&gt;0.6092787&lt;/D&gt;&lt;D xsi:type="xsd:double"&gt;2.8456926&lt;/D&gt;&lt;D xsi:type="xsd:double"&gt;-2.5929272&lt;/D&gt;&lt;D xsi:type="xsd:double"&gt;0.09646416&lt;/D&gt;&lt;D xsi:type="xsd:double"&gt;-2.1266043&lt;/D&gt;&lt;D xsi:type="xsd:double"&gt;0.33382177&lt;/D&gt;&lt;D xsi:type="xsd:double"&gt;-1.1019409&lt;/D&gt;&lt;D xsi:type="xsd:double"&gt;-0.36007166&lt;/D&gt;&lt;D xsi:type="xsd:double"&gt;0.99214315&lt;/D&gt;&lt;D xsi:type="xsd:double"&gt;0.7827282&lt;/D&gt;&lt;D xsi:type="xsd:double"&gt;-1.3039172&lt;/D&gt;&lt;D xsi:type="xsd:double"&gt;0.6065011&lt;/D&gt;&lt;D xsi:type="xsd:double"&gt;1.8299103&lt;/D&gt;&lt;D xsi:type="xsd:double"&gt;-0.37826896&lt;/D&gt;&lt;D xsi:type="xsd:double"&gt;0.063848495&lt;/D&gt;&lt;D xsi:type="xsd:double"&gt;2.4050832&lt;/D&gt;&lt;D xsi:type="xsd:double"&gt;-0.032675266&lt;/D&gt;&lt;D xsi:type="xsd:double"&gt;0.44077635&lt;/D&gt;&lt;D xsi:type="xsd:double"&gt;1.301539&lt;/D&gt;&lt;D xsi:type="xsd:double"&gt;-0.6043434&lt;/D&gt;&lt;D xsi:type="xsd:double"&gt;-1.9489825&lt;/D&gt;&lt;D xsi:type="xsd:double"&gt;0.80264807&lt;/D&gt;&lt;D xsi:type="xsd:double"&gt;-0.032657385&lt;/D&gt;&lt;D xsi:type="xsd:double"&gt;0.056004524&lt;/D&gt;&lt;D xsi:type="xsd:double"&gt;-0.52467585&lt;/D&gt;&lt;D xsi:type="xsd:double"&gt;-0.388515&lt;/D&gt;&lt;D xsi:type="xsd:double"&gt;0.9996772&lt;/D&gt;&lt;D xsi:type="xsd:double"&gt;-0.53895116&lt;/D&gt;&lt;D xsi:type="xsd:double"&gt;0.6358981&lt;/D&gt;&lt;D xsi:type="xsd:double"&gt;0.004673004&lt;/D&gt;&lt;D xsi:type="xsd:double"&gt;1.7847776&lt;/D&gt;&lt;D xsi:type="xsd:double"&gt;-0.13308525&lt;/D&gt;&lt;D xsi:type="xsd:double"&gt;-0.9556532&lt;/D&gt;&lt;D xsi:type="xsd:double"&gt;0.6348252&lt;/D&gt;&lt;D xsi:type="xsd:double"&gt;-1.5760541&lt;/D&gt;&lt;D xsi:type="xsd:double"&gt;-1.27514&lt;/D&gt;&lt;D xsi:type="xsd:double"&gt;0.33254623&lt;/D&gt;&lt;D xsi:type="xsd:double"&gt;0.49664974&lt;/D&gt;&lt;D xsi:type="xsd:double"&gt;-0.51258206&lt;/D&gt;&lt;D xsi:type="xsd:double"&gt;2.6254773&lt;/D&gt;&lt;D xsi:type="xsd:double"&gt;-3.3792794&lt;/D&gt;&lt;D xsi:type="xsd:double"&gt;-2.3824453&lt;/D&gt;&lt;D xsi:type="xsd:double"&gt;0.1925826&lt;/D&gt;&lt;D xsi:type="xsd:double"&gt;3.1886816&lt;/D&gt;&lt;D xsi:type="xsd:double"&gt;4.8248887&lt;/D&gt;&lt;D xsi:type="xsd:double"&gt;2.026391&lt;/D&gt;&lt;D xsi:type="xsd:double"&gt;-0.06914735&lt;/D&gt;&lt;D xsi:type="xsd:double"&gt;-1.099062&lt;/D&gt;&lt;/FQL&gt;&lt;FQL&gt;&lt;Q&gt;MSFT-US^JULIAN(FG_PRICE(45961,45961-5AY,,USD).DATES)&lt;/Q&gt;&lt;R&gt;1257&lt;/R&gt;&lt;C&gt;1&lt;/C&gt;&lt;D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</t>
        </r>
      </text>
    </comment>
    <comment ref="A4" authorId="0" shapeId="0" xr:uid="{D977309C-DFEE-4EDB-BA48-A5FB525CA157}">
      <text>
        <r>
          <rPr>
            <b/>
            <sz val="9"/>
            <color indexed="81"/>
            <rFont val="Tahoma"/>
            <charset val="1"/>
          </rPr>
          <t>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</t>
        </r>
      </text>
    </comment>
    <comment ref="A5" authorId="0" shapeId="0" xr:uid="{9A6EF73B-BFFA-4F35-B882-33A09D5D7E67}">
      <text>
        <r>
          <rPr>
            <b/>
            <sz val="9"/>
            <color indexed="81"/>
            <rFont val="Tahoma"/>
            <charset val="1"/>
          </rPr>
          <t>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GE-US^PROPER_NAME&lt;/Q&gt;&lt;R&gt;1&lt;/R&gt;&lt;C&gt;1&lt;/C&gt;&lt;D xsi:type="xsd:string"&gt;GE Aerospace&lt;/D&gt;&lt;/FQL&gt;&lt;FQL&gt;&lt;Q&gt;ADSK-US^PROPER_NAME&lt;/Q&gt;&lt;R&gt;1&lt;/R&gt;&lt;C&gt;1&lt;/C&gt;&lt;D xsi:type="xsd:string"&gt;Autodesk, Inc.&lt;/D&gt;&lt;/FQL&gt;&lt;FQL&gt;&lt;Q&gt;SAF-FR^PROPER_NAME&lt;/Q&gt;&lt;R&gt;1&lt;/R&gt;&lt;C&gt;1&lt;/C&gt;&lt;D xsi:type="xsd:string"&gt;Safran SA&lt;/D&gt;&lt;/FQL&gt;&lt;FQL&gt;&lt;Q&gt;MRO-GB^PROPER_NAME&lt;/Q&gt;&lt;R&gt;1&lt;/R&gt;&lt;C&gt;1&lt;/C&gt;&lt;D xsi:type="xsd:string"&gt;Melrose Industries PLC&lt;/D&gt;&lt;/FQL&gt;&lt;FQL&gt;&lt;Q&gt;EVD-DE^PROPER_NAME&lt;/Q&gt;&lt;R&gt;1&lt;/R&gt;&lt;C&gt;1&lt;/C&gt;&lt;D xsi:type="xsd:string"&gt;CTS Eventim AG &amp;amp; Co. KGaA&lt;/D&gt;&lt;/FQL&gt;&lt;FQL&gt;&lt;Q&gt;INTU-US^PROPER_NAME&lt;/Q&gt;&lt;R&gt;1&lt;/R&gt;&lt;C&gt;1&lt;/C&gt;&lt;D xsi:type="xsd:string"&gt;Intuit Inc.&lt;/D&gt;&lt;/FQL&gt;&lt;FQL&gt;&lt;Q&gt;GOOG-US^PROPER_NAME&lt;/Q&gt;&lt;R&gt;1&lt;/R&gt;&lt;C&gt;1&lt;/C&gt;&lt;D xsi:type="xsd:string"&gt;Alphabet Inc. Class C&lt;/D&gt;&lt;/FQL&gt;&lt;FQL&gt;&lt;Q&gt;DB1-DE^PROPER_NAME&lt;/Q&gt;&lt;R&gt;1&lt;/R&gt;&lt;C&gt;1&lt;/C&gt;&lt;D xsi:type="xsd:string"&gt;Deutsche Boerse AG&lt;/D&gt;&lt;/FQL&gt;&lt;FQL&gt;&lt;Q&gt;V-US^PROPER_NAME&lt;/Q&gt;&lt;R&gt;1&lt;/R&gt;&lt;C&gt;1&lt;/C&gt;&lt;D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plc&lt;/D&gt;&lt;/FQL&gt;&lt;FQL&gt;&lt;Q&gt;MSFT-US^PROPER_NAME&lt;/Q&gt;&lt;R&gt;1&lt;/R&gt;&lt;C&gt;1&lt;/C&gt;&lt;D xsi:type="xsd:string"&gt;Microsoft Corporation&lt;/D&gt;&lt;/FQL&gt;&lt;FQL&gt;&lt;Q&gt;DUMMY^CORREL_MATRIX(CORRELMATRIX)&lt;/Q&gt;&lt;R&gt;11&lt;/R&gt;&lt;C&gt;11&lt;/C&gt;&lt;D xsi:type="xsd:double"&gt;1&lt;/D&gt;&lt;D xsi:type="xsd:double"&gt;0.11480432&lt;/D&gt;&lt;D xsi:type="xsd:double"&gt;0.44737276&lt;/D&gt;&lt;D xsi:type="xsd:double"&gt;0.14425503&lt;/D&gt;&lt;D xsi:type="xsd:double"&gt;0.6602172&lt;/D&gt;&lt;D xsi:type="xsd:double"&gt;0.62596166&lt;/D&gt;&lt;D xsi:type="xsd:double"&gt;0.14743002&lt;/D&gt;&lt;D xsi:type="xsd:double"&gt;0.15938042&lt;/D&gt;&lt;D xsi:type="xsd:double"&gt;0.17271675&lt;/D&gt;&lt;D xsi:type="xsd:double"&gt;0.5700099&lt;/D&gt;&lt;D xsi:type="xsd:double"&gt;0.3014616&lt;/D&gt;&lt;D xsi:type="xsd:double"&gt;0.11480432&lt;/D&gt;&lt;D xsi:type="xsd:double"&gt;1&lt;/D&gt;&lt;D xsi:type="xsd:double"&gt;0.17274241&lt;/D&gt;&lt;D xsi:type="xsd:double"&gt;0.54103786&lt;/D&gt;&lt;D xsi:type="xsd:double"&gt;0.1288944&lt;/D&gt;&lt;D xsi:type="xsd:double"&gt;0.18303666&lt;/D&gt;&lt;D xsi:type="xsd:double"&gt;0.2795783&lt;/D&gt;&lt;D xsi:type="xsd:double"&gt;0.27645504&lt;/D&gt;&lt;D xsi:type="xsd:double"&gt;0.28440186&lt;/D&gt;&lt;D xsi:type="xsd:double"&gt;0.18247983&lt;/D&gt;&lt;D xsi:type="xsd:double"&gt;0.094351865&lt;/D&gt;&lt;D xsi:type="xsd:double"&gt;0.44737276&lt;/D&gt;&lt;D xsi:type="xsd:double"&gt;0.17274241&lt;/D&gt;&lt;D xsi:type="xsd:double"&gt;1&lt;/D&gt;&lt;D xsi:type="xsd:double"&gt;0.21412763&lt;/D&gt;&lt;D xsi:type="xsd:double"&gt;0.39927265&lt;/D&gt;&lt;D xsi:type="xsd:double"&gt;0.4823142&lt;/D&gt;&lt;D xsi:type="xsd:double"&gt;0.26409146&lt;/D&gt;&lt;D xsi:type="xsd:double"&gt;0.27518135&lt;/D&gt;&lt;D xsi:type="xsd:double"&gt;0.3022692&lt;/D&gt;&lt;D xsi:type="xsd:double"&gt;0.45402867&lt;/D&gt;&lt;D xsi:type="xsd:double"&gt;0.418707&lt;/D&gt;&lt;D xsi:type="xsd:double"&gt;0.14425503&lt;/D&gt;&lt;D xsi:type="xsd:double"&gt;0.54103786&lt;/D&gt;&lt;D xsi:type="xsd:double"&gt;0.21412763&lt;/D&gt;&lt;D xsi:type="xsd:double"&gt;1&lt;/D&gt;&lt;D xsi:type="xsd:double"&gt;0.098878205&lt;/D&gt;&lt;D xsi:type="xsd:double"&gt;0.19934581&lt;/D&gt;&lt;D xsi:type="xsd:double"&gt;0.36710358&lt;/D&gt;&lt;D xsi:type="xsd:double"&gt;0.30134946&lt;/D&gt;&lt;D xsi:type="xsd:double"&gt;0.39820796&lt;/D&gt;&lt;D xsi:type="xsd:double"&gt;0.1776095&lt;/D&gt;&lt;D xsi:type="xsd:double"&gt;0.122936726&lt;/D&gt;&lt;D xsi:type="xsd:double"&gt;0.6602172&lt;/D&gt;&lt;D xsi:type="xsd:double"&gt;0.1288944&lt;/D&gt;&lt;D xsi:type="xsd:double"&gt;0.39927265&lt;/D&gt;&lt;D xsi:type="xsd:double"&gt;0.098878205&lt;/D&gt;&lt;D xsi:type="xsd:double"&gt;1&lt;/D&gt;&lt;D xsi:type="xsd:double"&gt;0.54476255&lt;/D&gt;&lt;D xsi:type="xsd:double"&gt;0.14764051&lt;/D&gt;&lt;D xsi:type="xsd:double"&gt;0.17295644&lt;/D&gt;&lt;D xsi:type="xsd:double"&gt;0.18892059&lt;/D&gt;&lt;D xsi:type="xsd:double"&gt;0.49197906&lt;/D&gt;&lt;D xsi:type="xsd:double"&gt;0.29815143&lt;/D&gt;&lt;D xsi:type="xsd:double"&gt;0.62596166&lt;/D&gt;&lt;D xsi:type="xsd:double"&gt;0.18303666&lt;/D&gt;&lt;D xsi:type="xsd:double"&gt;0.4823142&lt;/D&gt;&lt;D xsi:type="xsd:double"&gt;0.19934581&lt;/D&gt;&lt;D xsi:type="xsd:double"&gt;0.54476255&lt;/D&gt;&lt;D xsi:type="xsd:double"&gt;1&lt;/D&gt;&lt;D xsi:type="xsd:double"&gt;0.21181017&lt;/D&gt;&lt;D xsi:type="xsd:double"&gt;0.20696649&lt;/D&gt;&lt;D xsi:type="xsd:double"&gt;0.21018147&lt;/D&gt;&lt;D xsi:type="xsd:double"&gt;0.64434785&lt;/D&gt;&lt;D xsi:type="xsd:double"&gt;0.33655694&lt;/D&gt;&lt;D xsi:type="xsd:double"&gt;0.14743002&lt;/D&gt;&lt;D xsi:type="xsd:double"&gt;0.2795783&lt;/D&gt;&lt;D xsi:type="xsd:double"&gt;0.26409146&lt;/D&gt;&lt;D xsi:type="xsd:double"&gt;0.36710358&lt;/D&gt;&lt;D xsi:type="xsd:double"&gt;0.14764051&lt;/D&gt;&lt;D xsi:type="xsd:double"&gt;0.21181017&lt;/D&gt;&lt;D xsi:type="xsd:double"&gt;1&lt;/D&gt;&lt;D xsi:type="xsd:double"&gt;0.47281986&lt;/D&gt;&lt;D xsi:type="xsd:double"&gt;0.5067775&lt;/D&gt;&lt;D xsi:type="xsd:double"&gt;0.20760763&lt;/D&gt;&lt;D xsi:type="xsd:double"&gt;0.2692853&lt;/D&gt;&lt;D xsi:type="xsd:double"&gt;0.15938042&lt;/D&gt;&lt;D xsi:type="xsd:double"&gt;0.27645504&lt;/D&gt;&lt;D xsi:type="xsd:double"&gt;0.27518135&lt;/D&gt;&lt;D xsi:type="xsd:double"&gt;0.30134946&lt;/D&gt;&lt;D xsi:type="xsd:double"&gt;0.17295644&lt;/D&gt;&lt;D xsi:type="xsd:double"&gt;0.20696649&lt;/D&gt;&lt;D xsi:type="xsd:double"&gt;0.47281986&lt;/D&gt;&lt;D xsi:type="xsd:double"&gt;1&lt;/D&gt;&lt;D xsi:type="xsd:double"&gt;0.6374822&lt;/D&gt;&lt;D xsi:type="xsd:double"&gt;0.20495145&lt;/D&gt;&lt;D xsi:type="xsd:double"&gt;0.35578543&lt;/D&gt;&lt;D xsi:type="xsd:double"&gt;0.17271675&lt;/D&gt;&lt;D xsi:type="xsd:double"&gt;0.28440186&lt;/D&gt;&lt;D xsi:type="xsd:double"&gt;0.3022692&lt;/D&gt;&lt;D xsi:type="xsd:double"&gt;0.39820796&lt;/D&gt;&lt;D xsi:type="xsd:double"&gt;0.18892059&lt;/D&gt;&lt;D xsi:type="xsd:double"&gt;0.21018147&lt;/D&gt;&lt;D xsi:type="xsd:double"&gt;0.5067775&lt;/D&gt;&lt;D xsi:type="xsd:double"&gt;0.6374822&lt;/D&gt;&lt;D xsi:type="xsd:double"&gt;1&lt;/D&gt;&lt;D xsi:type="xsd:double"&gt;0.20658293&lt;/D&gt;&lt;D xsi:type="xsd:double"&gt;0.4172788&lt;/D&gt;&lt;D xsi:type="xsd:double"&gt;0.5700099&lt;/D&gt;&lt;D xsi:type="xsd:double"&gt;0.18247983&lt;/D&gt;&lt;D xsi:type="xsd:double"&gt;0.45402867&lt;/D&gt;&lt;D xsi:type="xsd:double"&gt;0.1776095&lt;/D&gt;&lt;D xsi:type="xsd:double"&gt;0.49197906&lt;/D&gt;&lt;D xsi:type="xsd:double"&gt;0.64434785&lt;/D&gt;&lt;D xsi:type="xsd:double"&gt;0.20760763&lt;/D&gt;&lt;D xsi:type="xsd:double"&gt;0.20495145&lt;/D&gt;&lt;D xsi:type="xsd:double"&gt;0.20658293&lt;/D&gt;&lt;D xsi:type="xsd:double"&gt;1&lt;/D&gt;&lt;D xsi:type="xsd:double"&gt;0.34777665&lt;/D&gt;&lt;D xsi:type="xsd:double"&gt;0.3014616&lt;/D&gt;&lt;D xsi:type="xsd:double"&gt;0.094351865&lt;/D&gt;&lt;D xsi:type="xsd:double"&gt;0.418707&lt;/D&gt;&lt;D xsi:type="xsd:double"&gt;0.122936726&lt;/D&gt;&lt;D xsi:type="xsd:double"&gt;0.29815143&lt;/D&gt;&lt;D xsi:type="xsd:double"&gt;0.33655694&lt;/D&gt;&lt;D xsi:type="xsd:double"&gt;0.2692853&lt;/D&gt;&lt;D xsi:type="xsd:double"&gt;0.35578543&lt;/D&gt;&lt;D xsi:type="xsd:double"&gt;0.4172788&lt;/D&gt;&lt;D xsi:type="xsd:double"&gt;0.34777665&lt;/D&gt;&lt;D xsi:type="xsd:double"&gt;1&lt;/D&gt;&lt;/FQL&gt;&lt;FQL&gt;&lt;Q&gt;^IDS&lt;/Q&gt;&lt;R&gt;11&lt;/R&gt;&lt;C&gt;1&lt;/C&gt;&lt;D xsi:type="xsd:string"&gt;MSFT-US&lt;/D&gt;&lt;D xsi:type="xsd:string"&gt;LSEG-GB&lt;/D&gt;&lt;D xsi:type="xsd:string"&gt;V-US&lt;/D&gt;&lt;D xsi:type="xsd:string"&gt;DB1-DE&lt;/D&gt;&lt;D xsi:type="xsd:string"&gt;GOOG-US&lt;/D&gt;&lt;D xsi:type="xsd:string"&gt;INTU-US&lt;/D&gt;&lt;D xsi:type="xsd:string"&gt;EVD-DE&lt;/D&gt;&lt;D xsi:type="xsd:string"&gt;MRO-GB&lt;/D&gt;&lt;D xsi:type="xsd:string"&gt;SAF-FR&lt;/D&gt;&lt;D xsi:type="xsd:string"&gt;ADSK-US&lt;/D&gt;&lt;D xsi:type="xsd:string"&gt;GE-US&lt;/D&gt;&lt;/FQL&gt;&lt;FQL&gt;&lt;Q&gt;DUMMY^FLOAT_ARRAY CORRELMATRIX=GET_FQL_ARRAY(IDS,'P_PRICE_RETURNS(0,45961,45961-5AY,D,USD)');'FDS CODE - DO NOT DELETE'&lt;/Q&gt;&lt;R&gt;1&lt;/R&gt;&lt;C&gt;1&lt;/C&gt;&lt;D xsi:type="xsd:string"&gt;FDS CODE - DO NOT DELETE&lt;/D&gt;&lt;/FQL&gt;&lt;FQL&gt;&lt;Q&gt;DUMMY^STRING_ARRAY IDS=TICKER_LIST('MSFT-US LSEG-GB V-US DB1-DE GOOG-US INTU-US EVD-DE MRO-GB SAF-FR ADSK-US GE-US');"FDS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10/31/2025:&lt;/D&gt;&lt;/FQL&gt;&lt;FQL&gt;&lt;Q&gt;MSFT-US^FG_COMPANY_NAME&lt;/Q&gt;&lt;R&gt;1&lt;/R&gt;&lt;C&gt;1&lt;/C&gt;&lt;D xsi:type="xsd:string"&gt;Microsoft Corporation&lt;/D&gt;&lt;/FQL&gt;&lt;FQL&gt;&lt;Q&gt;LSEG-GB^FG_COMPANY_NAME&lt;/Q&gt;&lt;R&gt;1&lt;/R&gt;&lt;C&gt;1&lt;/C&gt;&lt;D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A&lt;/D&gt;&lt;/FQL&gt;&lt;FQL&gt;&lt;Q&gt;DB1-DE^FG_COMPANY_NAME&lt;/Q&gt;&lt;R&gt;1&lt;/R&gt;&lt;C&gt;1&lt;/C&gt;&lt;D xsi:type="xsd:string"&gt;Deutsche Boerse AG&lt;/D&gt;&lt;/FQL&gt;&lt;FQL&gt;&lt;Q&gt;GOOG-US^FG_COMPANY_NAME&lt;/Q&gt;&lt;R&gt;1&lt;/R&gt;&lt;C&gt;1&lt;/C&gt;&lt;D xsi:type="xsd:string"&gt;Alphabet Inc. Class C&lt;/D&gt;&lt;/FQL&gt;&lt;FQL&gt;&lt;Q&gt;INTU-US^FG_COMPANY_NAME&lt;/Q&gt;&lt;R&gt;1&lt;/R&gt;&lt;C&gt;1&lt;/C&gt;&lt;D xsi:type="xsd:string"&gt;Intuit Inc.&lt;/D&gt;&lt;/FQL&gt;&lt;FQL&gt;&lt;Q&gt;EVD-DE^FG_COMPANY_NAME&lt;/Q&gt;&lt;R&gt;1&lt;/R&gt;&lt;C&gt;1&lt;/C&gt;&lt;D xsi:type="xsd:string"&gt;CTS Eventim AG &amp;amp; Co. KGaA&lt;/D&gt;&lt;/FQL&gt;&lt;FQL&gt;&lt;Q&gt;MRO-GB^FG_COMPANY_NAME&lt;/Q&gt;&lt;R&gt;1&lt;/R&gt;&lt;C&gt;1&lt;/C&gt;&lt;D xsi:type="xsd:string"&gt;Melrose Industries PLC&lt;/D&gt;&lt;/FQL&gt;&lt;FQL&gt;&lt;Q&gt;SAF-FR^FG_COMPANY_NAME&lt;/Q&gt;&lt;R&gt;1&lt;/R&gt;&lt;C&gt;1&lt;/C&gt;&lt;D xsi:type="xsd:string"&gt;Safran SA&lt;/D&gt;&lt;/FQL&gt;&lt;FQL&gt;&lt;Q&gt;ADSK-US^FG_COMPANY_NAME&lt;/Q&gt;&lt;R&gt;1&lt;/R&gt;&lt;C&gt;1&lt;/C&gt;&lt;D xsi:type="xsd:string"&gt;Autodesk, Inc.&lt;/D&gt;&lt;/FQL&gt;&lt;FQL&gt;&lt;Q&gt;GE-US^FG_COMPANY_NAME&lt;/Q&gt;&lt;R&gt;1&lt;/R&gt;&lt;C&gt;1&lt;/C&gt;&lt;D xsi:type="xsd:string"&gt;GE Aerospace&lt;/D&gt;&lt;/FQL&gt;&lt;/Schema&gt;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<sst xmlns="http://schemas.openxmlformats.org/spreadsheetml/2006/main" count="26" uniqueCount="21">
  <si>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</si>
  <si>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</si>
  <si>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</si>
  <si>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</si>
  <si>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</si>
  <si>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</si>
  <si>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</si>
  <si>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</si>
  <si>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</si>
  <si>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</si>
  <si>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</si>
  <si>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</si>
  <si>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</si>
  <si>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GOOG-US</t>
  </si>
  <si>
    <t>ADSK-US</t>
  </si>
  <si>
    <t>GE-US</t>
  </si>
  <si>
    <t>INTU-US</t>
  </si>
  <si>
    <t>MRO-GB</t>
  </si>
  <si>
    <t>MSFT-US</t>
  </si>
  <si>
    <t>V-US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</si>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</sst>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London Stock Exchange Group plc</v>
      </c>
      <c r="D3" s="4" t="str">
        <f>IF(Backend!E29="", "", Backend!E29)</f>
        <v>Visa Inc. Class A</v>
      </c>
      <c r="E3" s="4" t="str">
        <f>IF(Backend!F29="", "", Backend!F29)</f>
        <v>Deutsche Boerse AG</v>
      </c>
      <c r="F3" s="4" t="str">
        <f>IF(Backend!G29="", "", Backend!G29)</f>
        <v>Alphabet Inc. Class C</v>
      </c>
      <c r="G3" s="4" t="str">
        <f>IF(Backend!H29="", "", Backend!H29)</f>
        <v>Intuit Inc.</v>
      </c>
      <c r="H3" s="4" t="str">
        <f>IF(Backend!I29="", "", Backend!I29)</f>
        <v>CTS Eventim AG &amp; Co. KGaA</v>
      </c>
      <c r="I3" s="4" t="str">
        <f>IF(Backend!J29="", "", Backend!J29)</f>
        <v>Melrose Industries PLC</v>
      </c>
      <c r="J3" s="4" t="str">
        <f>IF(Backend!K29="", "", Backend!K29)</f>
        <v>Safran SA</v>
      </c>
      <c r="K3" s="4" t="str">
        <f>IF(Backend!L29="", "", Backend!L29)</f>
        <v>Autodesk, Inc.</v>
      </c>
      <c r="L3" s="4" t="str">
        <f>IF(Backend!M29="", "", Backend!M29)</f>
        <v>GE Aerospace</v>
      </c>
      <c r="M3" s="4" t="str">
        <f>IF(Backend!N29="", "", Backend!N29)</f>
        <v/>
      </c>
      <c r="N3" s="4" t="str">
        <f>IF(Backend!O29="", "", Backend!O29)</f>
        <v/>
      </c>
      <c r="O3" s="4" t="str">
        <f>IF(Backend!P29="", "", Backend!P29)</f>
        <v/>
      </c>
      <c r="P3" s="4" t="str">
        <f>IF(Backend!Q29="", "", Backend!Q29)</f>
        <v/>
      </c>
      <c r="Q3" s="4" t="str">
        <f>IF(Backend!R29="", "", Backend!R29)</f>
        <v/>
      </c>
      <c r="R3" s="4" t="str">
        <f>IF(Backend!S29="", "", Backend!S29)</f>
        <v/>
      </c>
      <c r="S3" s="4" t="str">
        <f>IF(Backend!T29="", "", Backend!T29)</f>
        <v/>
      </c>
      <c r="T3" s="4" t="str">
        <f>IF(Backend!U29="", "", Backend!U29)</f>
        <v/>
      </c>
      <c r="U3" s="4" t="str">
        <f>IF(Backend!V29="", "", Backend!V29)</f>
        <v/>
      </c>
      <c r="V3" s="4" t="str">
        <f>IF(Backend!W29="", "", Backend!W29)</f>
        <v/>
      </c>
      <c r="W3" s="4" t="str">
        <f>IF(Backend!X29="", "", Backend!X29)</f>
        <v/>
      </c>
      <c r="X3" s="4" t="str">
        <f>IF(Backend!Y29="", "", Backend!Y29)</f>
        <v/>
      </c>
      <c r="Y3" s="4" t="str">
        <f>IF(Backend!Z29="", "", Backend!Z29)</f>
        <v/>
      </c>
      <c r="Z3" s="4" t="str">
        <f>IF(Backend!AA29="", "", Backend!AA29)</f>
        <v/>
      </c>
      <c r="AA3" s="4" t="str">
        <f>IF(Backend!AB29="", "", Backend!AB29)</f>
        <v/>
      </c>
      <c r="AB3" s="4" t="str">
        <f>IF(Backend!AC29="", "", Backend!AC29)</f>
        <v/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0.11480432</v>
      </c>
      <c r="D4">
        <f>IF(Backend!E31="", "", Backend!E31)</f>
        <v>0.44737275999999998</v>
      </c>
      <c r="E4">
        <f>IF(Backend!F31="", "", Backend!F31)</f>
        <v>0.14425503000000001</v>
      </c>
      <c r="F4">
        <f>IF(Backend!G31="", "", Backend!G31)</f>
        <v>0.66021719999999995</v>
      </c>
      <c r="G4">
        <f>IF(Backend!H31="", "", Backend!H31)</f>
        <v>0.62596165999999998</v>
      </c>
      <c r="H4">
        <f>IF(Backend!I31="", "", Backend!I31)</f>
        <v>0.14743001999999999</v>
      </c>
      <c r="I4">
        <f>IF(Backend!J31="", "", Backend!J31)</f>
        <v>0.15938041999999999</v>
      </c>
      <c r="J4">
        <f>IF(Backend!K31="", "", Backend!K31)</f>
        <v>0.17271675</v>
      </c>
      <c r="K4">
        <f>IF(Backend!L31="", "", Backend!L31)</f>
        <v>0.57000989999999996</v>
      </c>
      <c r="L4">
        <f>IF(Backend!M31="", "", Backend!M31)</f>
        <v>0.3014616</v>
      </c>
      <c r="M4" t="str">
        <f>IF(Backend!N31="", "", Backend!N31)</f>
        <v/>
      </c>
      <c r="N4" t="str">
        <f>IF(Backend!O31="", "", Backend!O31)</f>
        <v/>
      </c>
      <c r="O4" t="str">
        <f>IF(Backend!P31="", "", Backend!P31)</f>
        <v/>
      </c>
      <c r="P4" t="str">
        <f>IF(Backend!Q31="", "", Backend!Q31)</f>
        <v/>
      </c>
      <c r="Q4" t="str">
        <f>IF(Backend!R31="", "", Backend!R31)</f>
        <v/>
      </c>
      <c r="R4" t="str">
        <f>IF(Backend!S31="", "", Backend!S31)</f>
        <v/>
      </c>
      <c r="S4" t="str">
        <f>IF(Backend!T31="", "", Backend!T31)</f>
        <v/>
      </c>
      <c r="T4" t="str">
        <f>IF(Backend!U31="", "", Backend!U31)</f>
        <v/>
      </c>
      <c r="U4" t="str">
        <f>IF(Backend!V31="", "", Backend!V31)</f>
        <v/>
      </c>
      <c r="V4" t="str">
        <f>IF(Backend!W31="", "", Backend!W31)</f>
        <v/>
      </c>
      <c r="W4" t="str">
        <f>IF(Backend!X31="", "", Backend!X31)</f>
        <v/>
      </c>
      <c r="X4" t="str">
        <f>IF(Backend!Y31="", "", Backend!Y31)</f>
        <v/>
      </c>
      <c r="Y4" t="str">
        <f>IF(Backend!Z31="", "", Backend!Z31)</f>
        <v/>
      </c>
      <c r="Z4" t="str">
        <f>IF(Backend!AA31="", "", Backend!AA31)</f>
        <v/>
      </c>
      <c r="AA4" t="str">
        <f>IF(Backend!AB31="", "", Backend!AB31)</f>
        <v/>
      </c>
      <c r="AB4" t="str">
        <f>IF(Backend!AC31="", "", Backend!AC31)</f>
        <v/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London Stock Exchange Group plc</v>
      </c>
      <c r="B5">
        <f>IF(Backend!C32="", "", Backend!C32)</f>
        <v>0.11480432</v>
      </c>
      <c r="C5">
        <f>IF(Backend!D32="", "", Backend!D32)</f>
        <v>1</v>
      </c>
      <c r="D5">
        <f>IF(Backend!E32="", "", Backend!E32)</f>
        <v>0.17274241000000001</v>
      </c>
      <c r="E5">
        <f>IF(Backend!F32="", "", Backend!F32)</f>
        <v>0.54103785999999998</v>
      </c>
      <c r="F5">
        <f>IF(Backend!G32="", "", Backend!G32)</f>
        <v>0.12889439999999999</v>
      </c>
      <c r="G5">
        <f>IF(Backend!H32="", "", Backend!H32)</f>
        <v>0.18303665999999999</v>
      </c>
      <c r="H5">
        <f>IF(Backend!I32="", "", Backend!I32)</f>
        <v>0.2795783</v>
      </c>
      <c r="I5">
        <f>IF(Backend!J32="", "", Backend!J32)</f>
        <v>0.27645503999999999</v>
      </c>
      <c r="J5">
        <f>IF(Backend!K32="", "", Backend!K32)</f>
        <v>0.28440186000000001</v>
      </c>
      <c r="K5">
        <f>IF(Backend!L32="", "", Backend!L32)</f>
        <v>0.18247983000000001</v>
      </c>
      <c r="L5">
        <f>IF(Backend!M32="", "", Backend!M32)</f>
        <v>9.4351864999999993E-2</v>
      </c>
      <c r="M5" t="str">
        <f>IF(Backend!N32="", "", Backend!N32)</f>
        <v/>
      </c>
      <c r="N5" t="str">
        <f>IF(Backend!O32="", "", Backend!O32)</f>
        <v/>
      </c>
      <c r="O5" t="str">
        <f>IF(Backend!P32="", "", Backend!P32)</f>
        <v/>
      </c>
      <c r="P5" t="str">
        <f>IF(Backend!Q32="", "", Backend!Q32)</f>
        <v/>
      </c>
      <c r="Q5" t="str">
        <f>IF(Backend!R32="", "", Backend!R32)</f>
        <v/>
      </c>
      <c r="R5" t="str">
        <f>IF(Backend!S32="", "", Backend!S32)</f>
        <v/>
      </c>
      <c r="S5" t="str">
        <f>IF(Backend!T32="", "", Backend!T32)</f>
        <v/>
      </c>
      <c r="T5" t="str">
        <f>IF(Backend!U32="", "", Backend!U32)</f>
        <v/>
      </c>
      <c r="U5" t="str">
        <f>IF(Backend!V32="", "", Backend!V32)</f>
        <v/>
      </c>
      <c r="V5" t="str">
        <f>IF(Backend!W32="", "", Backend!W32)</f>
        <v/>
      </c>
      <c r="W5" t="str">
        <f>IF(Backend!X32="", "", Backend!X32)</f>
        <v/>
      </c>
      <c r="X5" t="str">
        <f>IF(Backend!Y32="", "", Backend!Y32)</f>
        <v/>
      </c>
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
        <v/>
      </c>
      <c r="AB5" t="str">
        <f>IF(Backend!AC32="", "", Backend!AC32)</f>
        <v/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Visa Inc. Class A</v>
      </c>
      <c r="B6">
        <f>IF(Backend!C33="", "", Backend!C33)</f>
        <v>0.44737275999999998</v>
      </c>
      <c r="C6">
        <f>IF(Backend!D33="", "", Backend!D33)</f>
        <v>0.17274241000000001</v>
      </c>
      <c r="D6">
        <f>IF(Backend!E33="", "", Backend!E33)</f>
        <v>1</v>
      </c>
      <c r="E6">
        <f>IF(Backend!F33="", "", Backend!F33)</f>
        <v>0.21412763000000001</v>
      </c>
      <c r="F6">
        <f>IF(Backend!G33="", "", Backend!G33)</f>
        <v>0.39927265000000001</v>
      </c>
      <c r="G6">
        <f>IF(Backend!H33="", "", Backend!H33)</f>
        <v>0.48231420000000003</v>
      </c>
      <c r="H6">
        <f>IF(Backend!I33="", "", Backend!I33)</f>
        <v>0.26409146</v>
      </c>
      <c r="I6">
        <f>IF(Backend!J33="", "", Backend!J33)</f>
        <v>0.27518134999999999</v>
      </c>
      <c r="J6">
        <f>IF(Backend!K33="", "", Backend!K33)</f>
        <v>0.30226920000000002</v>
      </c>
      <c r="K6">
        <f>IF(Backend!L33="", "", Backend!L33)</f>
        <v>0.45402867000000002</v>
      </c>
      <c r="L6">
        <f>IF(Backend!M33="", "", Backend!M33)</f>
        <v>0.418707</v>
      </c>
      <c r="M6" t="str">
        <f>IF(Backend!N33="", "", Backend!N33)</f>
        <v/>
      </c>
      <c r="N6" t="str">
        <f>IF(Backend!O33="", "", Backend!O33)</f>
        <v/>
      </c>
      <c r="O6" t="str">
        <f>IF(Backend!P33="", "", Backend!P33)</f>
        <v/>
      </c>
      <c r="P6" t="str">
        <f>IF(Backend!Q33="", "", Backend!Q33)</f>
        <v/>
      </c>
      <c r="Q6" t="str">
        <f>IF(Backend!R33="", "", Backend!R33)</f>
        <v/>
      </c>
      <c r="R6" t="str">
        <f>IF(Backend!S33="", "", Backend!S33)</f>
        <v/>
      </c>
      <c r="S6" t="str">
        <f>IF(Backend!T33="", "", Backend!T33)</f>
        <v/>
      </c>
      <c r="T6" t="str">
        <f>IF(Backend!U33="", "", Backend!U33)</f>
        <v/>
      </c>
      <c r="U6" t="str">
        <f>IF(Backend!V33="", "", Backend!V33)</f>
        <v/>
      </c>
      <c r="V6" t="str">
        <f>IF(Backend!W33="", "", Backend!W33)</f>
        <v/>
      </c>
      <c r="W6" t="str">
        <f>IF(Backend!X33="", "", Backend!X33)</f>
        <v/>
      </c>
      <c r="X6" t="str">
        <f>IF(Backend!Y33="", "", Backend!Y33)</f>
        <v/>
      </c>
      <c r="Y6" t="str">
        <f>IF(Backend!Z33="", "", Backend!Z33)</f>
        <v/>
      </c>
      <c r="Z6" t="str">
        <f>IF(Backend!AA33="", "", Backend!AA33)</f>
        <v/>
      </c>
      <c r="AA6" t="str">
        <f>IF(Backend!AB33="", "", Backend!AB33)</f>
        <v/>
      </c>
      <c r="AB6" t="str">
        <f>IF(Backend!AC33="", "", Backend!AC33)</f>
        <v/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Deutsche Boerse AG</v>
      </c>
      <c r="B7">
        <f>IF(Backend!C34="", "", Backend!C34)</f>
        <v>0.14425503000000001</v>
      </c>
      <c r="C7">
        <f>IF(Backend!D34="", "", Backend!D34)</f>
        <v>0.54103785999999998</v>
      </c>
      <c r="D7">
        <f>IF(Backend!E34="", "", Backend!E34)</f>
        <v>0.21412763000000001</v>
      </c>
      <c r="E7">
        <f>IF(Backend!F34="", "", Backend!F34)</f>
        <v>1</v>
      </c>
      <c r="F7">
        <f>IF(Backend!G34="", "", Backend!G34)</f>
        <v>9.8878204999999997E-2</v>
      </c>
      <c r="G7">
        <f>IF(Backend!H34="", "", Backend!H34)</f>
        <v>0.19934581000000001</v>
      </c>
      <c r="H7">
        <f>IF(Backend!I34="", "", Backend!I34)</f>
        <v>0.36710357999999998</v>
      </c>
      <c r="I7">
        <f>IF(Backend!J34="", "", Backend!J34)</f>
        <v>0.30134946000000001</v>
      </c>
      <c r="J7">
        <f>IF(Backend!K34="", "", Backend!K34)</f>
        <v>0.39820796000000003</v>
      </c>
      <c r="K7">
        <f>IF(Backend!L34="", "", Backend!L34)</f>
        <v>0.1776095</v>
      </c>
      <c r="L7">
        <f>IF(Backend!M34="", "", Backend!M34)</f>
        <v>0.122936726</v>
      </c>
      <c r="M7" t="str">
        <f>IF(Backend!N34="", "", Backend!N34)</f>
        <v/>
      </c>
      <c r="N7" t="str">
        <f>IF(Backend!O34="", "", Backend!O34)</f>
        <v/>
      </c>
      <c r="O7" t="str">
        <f>IF(Backend!P34="", "", Backend!P34)</f>
        <v/>
      </c>
      <c r="P7" t="str">
        <f>IF(Backend!Q34="", "", Backend!Q34)</f>
        <v/>
      </c>
      <c r="Q7" t="str">
        <f>IF(Backend!R34="", "", Backend!R34)</f>
        <v/>
      </c>
      <c r="R7" t="str">
        <f>IF(Backend!S34="", "", Backend!S34)</f>
        <v/>
      </c>
      <c r="S7" t="str">
        <f>IF(Backend!T34="", "", Backend!T34)</f>
        <v/>
      </c>
      <c r="T7" t="str">
        <f>IF(Backend!U34="", "", Backend!U34)</f>
        <v/>
      </c>
      <c r="U7" t="str">
        <f>IF(Backend!V34="", "", Backend!V34)</f>
        <v/>
      </c>
      <c r="V7" t="str">
        <f>IF(Backend!W34="", "", Backend!W34)</f>
        <v/>
      </c>
      <c r="W7" t="str">
        <f>IF(Backend!X34="", "", Backend!X34)</f>
        <v/>
      </c>
      <c r="X7" t="str">
        <f>IF(Backend!Y34="", "", Backend!Y34)</f>
        <v/>
      </c>
      <c r="Y7" t="str">
        <f>IF(Backend!Z34="", "", Backend!Z34)</f>
        <v/>
      </c>
      <c r="Z7" t="str">
        <f>IF(Backend!AA34="", "", Backend!AA34)</f>
        <v/>
      </c>
      <c r="AA7" t="str">
        <f>IF(Backend!AB34="", "", Backend!AB34)</f>
        <v/>
      </c>
      <c r="AB7" t="str">
        <f>IF(Backend!AC34="", "", Backend!AC34)</f>
        <v/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Alphabet Inc. Class C</v>
      </c>
      <c r="B8">
        <f>IF(Backend!C35="", "", Backend!C35)</f>
        <v>0.66021719999999995</v>
      </c>
      <c r="C8">
        <f>IF(Backend!D35="", "", Backend!D35)</f>
        <v>0.12889439999999999</v>
      </c>
      <c r="D8">
        <f>IF(Backend!E35="", "", Backend!E35)</f>
        <v>0.39927265000000001</v>
      </c>
      <c r="E8">
        <f>IF(Backend!F35="", "", Backend!F35)</f>
        <v>9.8878204999999997E-2</v>
      </c>
      <c r="F8">
        <f>IF(Backend!G35="", "", Backend!G35)</f>
        <v>1</v>
      </c>
      <c r="G8">
        <f>IF(Backend!H35="", "", Backend!H35)</f>
        <v>0.54476254999999996</v>
      </c>
      <c r="H8">
        <f>IF(Backend!I35="", "", Backend!I35)</f>
        <v>0.14764051</v>
      </c>
      <c r="I8">
        <f>IF(Backend!J35="", "", Backend!J35)</f>
        <v>0.17295643999999999</v>
      </c>
      <c r="J8">
        <f>IF(Backend!K35="", "", Backend!K35)</f>
        <v>0.18892059</v>
      </c>
      <c r="K8">
        <f>IF(Backend!L35="", "", Backend!L35)</f>
        <v>0.49197906000000002</v>
      </c>
      <c r="L8">
        <f>IF(Backend!M35="", "", Backend!M35)</f>
        <v>0.29815143</v>
      </c>
      <c r="M8" t="str">
        <f>IF(Backend!N35="", "", Backend!N35)</f>
        <v/>
      </c>
      <c r="N8" t="str">
        <f>IF(Backend!O35="", "", Backend!O35)</f>
        <v/>
      </c>
      <c r="O8" t="str">
        <f>IF(Backend!P35="", "", Backend!P35)</f>
        <v/>
      </c>
      <c r="P8" t="str">
        <f>IF(Backend!Q35="", "", Backend!Q35)</f>
        <v/>
      </c>
      <c r="Q8" t="str">
        <f>IF(Backend!R35="", "", Backend!R35)</f>
        <v/>
      </c>
      <c r="R8" t="str">
        <f>IF(Backend!S35="", "", Backend!S35)</f>
        <v/>
      </c>
      <c r="S8" t="str">
        <f>IF(Backend!T35="", "", Backend!T35)</f>
        <v/>
      </c>
      <c r="T8" t="str">
        <f>IF(Backend!U35="", "", Backend!U35)</f>
        <v/>
      </c>
      <c r="U8" t="str">
        <f>IF(Backend!V35="", "", Backend!V35)</f>
        <v/>
      </c>
      <c r="V8" t="str">
        <f>IF(Backend!W35="", "", Backend!W35)</f>
        <v/>
      </c>
      <c r="W8" t="str">
        <f>IF(Backend!X35="", "", Backend!X35)</f>
        <v/>
      </c>
      <c r="X8" t="str">
        <f>IF(Backend!Y35="", "", Backend!Y35)</f>
        <v/>
      </c>
      <c r="Y8" t="str">
        <f>IF(Backend!Z35="", "", Backend!Z35)</f>
        <v/>
      </c>
      <c r="Z8" t="str">
        <f>IF(Backend!AA35="", "", Backend!AA35)</f>
        <v/>
      </c>
      <c r="AA8" t="str">
        <f>IF(Backend!AB35="", "", Backend!AB35)</f>
        <v/>
      </c>
      <c r="AB8" t="str">
        <f>IF(Backend!AC35="", "", Backend!AC35)</f>
        <v/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Intuit Inc.</v>
      </c>
      <c r="B9">
        <f>IF(Backend!C36="", "", Backend!C36)</f>
        <v>0.62596165999999998</v>
      </c>
      <c r="C9">
        <f>IF(Backend!D36="", "", Backend!D36)</f>
        <v>0.18303665999999999</v>
      </c>
      <c r="D9">
        <f>IF(Backend!E36="", "", Backend!E36)</f>
        <v>0.48231420000000003</v>
      </c>
      <c r="E9">
        <f>IF(Backend!F36="", "", Backend!F36)</f>
        <v>0.19934581000000001</v>
      </c>
      <c r="F9">
        <f>IF(Backend!G36="", "", Backend!G36)</f>
        <v>0.54476254999999996</v>
      </c>
      <c r="G9">
        <f>IF(Backend!H36="", "", Backend!H36)</f>
        <v>1</v>
      </c>
      <c r="H9">
        <f>IF(Backend!I36="", "", Backend!I36)</f>
        <v>0.21181016999999999</v>
      </c>
      <c r="I9">
        <f>IF(Backend!J36="", "", Backend!J36)</f>
        <v>0.20696649</v>
      </c>
      <c r="J9">
        <f>IF(Backend!K36="", "", Backend!K36)</f>
        <v>0.21018147000000001</v>
      </c>
      <c r="K9">
        <f>IF(Backend!L36="", "", Backend!L36)</f>
        <v>0.64434785000000006</v>
      </c>
      <c r="L9">
        <f>IF(Backend!M36="", "", Backend!M36)</f>
        <v>0.33655694000000003</v>
      </c>
      <c r="M9" t="str">
        <f>IF(Backend!N36="", "", Backend!N36)</f>
        <v/>
      </c>
      <c r="N9" t="str">
        <f>IF(Backend!O36="", "", Backend!O36)</f>
        <v/>
      </c>
      <c r="O9" t="str">
        <f>IF(Backend!P36="", "", Backend!P36)</f>
        <v/>
      </c>
      <c r="P9" t="str">
        <f>IF(Backend!Q36="", "", Backend!Q36)</f>
        <v/>
      </c>
      <c r="Q9" t="str">
        <f>IF(Backend!R36="", "", Backend!R36)</f>
        <v/>
      </c>
      <c r="R9" t="str">
        <f>IF(Backend!S36="", "", Backend!S36)</f>
        <v/>
      </c>
      <c r="S9" t="str">
        <f>IF(Backend!T36="", "", Backend!T36)</f>
        <v/>
      </c>
      <c r="T9" t="str">
        <f>IF(Backend!U36="", "", Backend!U36)</f>
        <v/>
      </c>
      <c r="U9" t="str">
        <f>IF(Backend!V36="", "", Backend!V36)</f>
        <v/>
      </c>
      <c r="V9" t="str">
        <f>IF(Backend!W36="", "", Backend!W36)</f>
        <v/>
      </c>
      <c r="W9" t="str">
        <f>IF(Backend!X36="", "", Backend!X36)</f>
        <v/>
      </c>
      <c r="X9" t="str">
        <f>IF(Backend!Y36="", "", Backend!Y36)</f>
        <v/>
      </c>
      <c r="Y9" t="str">
        <f>IF(Backend!Z36="", "", Backend!Z36)</f>
        <v/>
      </c>
      <c r="Z9" t="str">
        <f>IF(Backend!AA36="", "", Backend!AA36)</f>
        <v/>
      </c>
      <c r="AA9" t="str">
        <f>IF(Backend!AB36="", "", Backend!AB36)</f>
        <v/>
      </c>
      <c r="AB9" t="str">
        <f>IF(Backend!AC36="", "", Backend!AC36)</f>
        <v/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CTS Eventim AG &amp; Co. KGaA</v>
      </c>
      <c r="B10">
        <f>IF(Backend!C37="", "", Backend!C37)</f>
        <v>0.14743001999999999</v>
      </c>
      <c r="C10">
        <f>IF(Backend!D37="", "", Backend!D37)</f>
        <v>0.2795783</v>
      </c>
      <c r="D10">
        <f>IF(Backend!E37="", "", Backend!E37)</f>
        <v>0.26409146</v>
      </c>
      <c r="E10">
        <f>IF(Backend!F37="", "", Backend!F37)</f>
        <v>0.36710357999999998</v>
      </c>
      <c r="F10">
        <f>IF(Backend!G37="", "", Backend!G37)</f>
        <v>0.14764051</v>
      </c>
      <c r="G10">
        <f>IF(Backend!H37="", "", Backend!H37)</f>
        <v>0.21181016999999999</v>
      </c>
      <c r="H10">
        <f>IF(Backend!I37="", "", Backend!I37)</f>
        <v>1</v>
      </c>
      <c r="I10">
        <f>IF(Backend!J37="", "", Backend!J37)</f>
        <v>0.47281985999999998</v>
      </c>
      <c r="J10">
        <f>IF(Backend!K37="", "", Backend!K37)</f>
        <v>0.50677749999999999</v>
      </c>
      <c r="K10">
        <f>IF(Backend!L37="", "", Backend!L37)</f>
        <v>0.20760762999999999</v>
      </c>
      <c r="L10">
        <f>IF(Backend!M37="", "", Backend!M37)</f>
        <v>0.26928530000000001</v>
      </c>
      <c r="M10" t="str">
        <f>IF(Backend!N37="", "", Backend!N37)</f>
        <v/>
      </c>
      <c r="N10" t="str">
        <f>IF(Backend!O37="", "", Backend!O37)</f>
        <v/>
      </c>
      <c r="O10" t="str">
        <f>IF(Backend!P37="", "", Backend!P37)</f>
        <v/>
      </c>
      <c r="P10" t="str">
        <f>IF(Backend!Q37="", "", Backend!Q37)</f>
        <v/>
      </c>
      <c r="Q10" t="str">
        <f>IF(Backend!R37="", "", Backend!R37)</f>
        <v/>
      </c>
      <c r="R10" t="str">
        <f>IF(Backend!S37="", "", Backend!S37)</f>
        <v/>
      </c>
      <c r="S10" t="str">
        <f>IF(Backend!T37="", "", Backend!T37)</f>
        <v/>
      </c>
      <c r="T10" t="str">
        <f>IF(Backend!U37="", "", Backend!U37)</f>
        <v/>
      </c>
      <c r="U10" t="str">
        <f>IF(Backend!V37="", "", Backend!V37)</f>
        <v/>
      </c>
      <c r="V10" t="str">
        <f>IF(Backend!W37="", "", Backend!W37)</f>
        <v/>
      </c>
      <c r="W10" t="str">
        <f>IF(Backend!X37="", "", Backend!X37)</f>
        <v/>
      </c>
      <c r="X10" t="str">
        <f>IF(Backend!Y37="", "", Backend!Y37)</f>
        <v/>
      </c>
      <c r="Y10" t="str">
        <f>IF(Backend!Z37="", "", Backend!Z37)</f>
        <v/>
      </c>
      <c r="Z10" t="str">
        <f>IF(Backend!AA37="", "", Backend!AA37)</f>
        <v/>
      </c>
      <c r="AA10" t="str">
        <f>IF(Backend!AB37="", "", Backend!AB37)</f>
        <v/>
      </c>
      <c r="AB10" t="str">
        <f>IF(Backend!AC37="", "", Backend!AC37)</f>
        <v/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Melrose Industries PLC</v>
      </c>
      <c r="B11">
        <f>IF(Backend!C38="", "", Backend!C38)</f>
        <v>0.15938041999999999</v>
      </c>
      <c r="C11">
        <f>IF(Backend!D38="", "", Backend!D38)</f>
        <v>0.27645503999999999</v>
      </c>
      <c r="D11">
        <f>IF(Backend!E38="", "", Backend!E38)</f>
        <v>0.27518134999999999</v>
      </c>
      <c r="E11">
        <f>IF(Backend!F38="", "", Backend!F38)</f>
        <v>0.30134946000000001</v>
      </c>
      <c r="F11">
        <f>IF(Backend!G38="", "", Backend!G38)</f>
        <v>0.17295643999999999</v>
      </c>
      <c r="G11">
        <f>IF(Backend!H38="", "", Backend!H38)</f>
        <v>0.20696649</v>
      </c>
      <c r="H11">
        <f>IF(Backend!I38="", "", Backend!I38)</f>
        <v>0.47281985999999998</v>
      </c>
      <c r="I11">
        <f>IF(Backend!J38="", "", Backend!J38)</f>
        <v>1</v>
      </c>
      <c r="J11">
        <f>IF(Backend!K38="", "", Backend!K38)</f>
        <v>0.6374822</v>
      </c>
      <c r="K11">
        <f>IF(Backend!L38="", "", Backend!L38)</f>
        <v>0.20495145000000001</v>
      </c>
      <c r="L11">
        <f>IF(Backend!M38="", "", Backend!M38)</f>
        <v>0.35578543000000001</v>
      </c>
      <c r="M11" t="str">
        <f>IF(Backend!N38="", "", Backend!N38)</f>
        <v/>
      </c>
      <c r="N11" t="str">
        <f>IF(Backend!O38="", "", Backend!O38)</f>
        <v/>
      </c>
      <c r="O11" t="str">
        <f>IF(Backend!P38="", "", Backend!P38)</f>
        <v/>
      </c>
      <c r="P11" t="str">
        <f>IF(Backend!Q38="", "", Backend!Q38)</f>
        <v/>
      </c>
      <c r="Q11" t="str">
        <f>IF(Backend!R38="", "", Backend!R38)</f>
        <v/>
      </c>
      <c r="R11" t="str">
        <f>IF(Backend!S38="", "", Backend!S38)</f>
        <v/>
      </c>
      <c r="S11" t="str">
        <f>IF(Backend!T38="", "", Backend!T38)</f>
        <v/>
      </c>
      <c r="T11" t="str">
        <f>IF(Backend!U38="", "", Backend!U38)</f>
        <v/>
      </c>
      <c r="U11" t="str">
        <f>IF(Backend!V38="", "", Backend!V38)</f>
        <v/>
      </c>
      <c r="V11" t="str">
        <f>IF(Backend!W38="", "", Backend!W38)</f>
        <v/>
      </c>
      <c r="W11" t="str">
        <f>IF(Backend!X38="", "", Backend!X38)</f>
        <v/>
      </c>
      <c r="X11" t="str">
        <f>IF(Backend!Y38="", "", Backend!Y38)</f>
        <v/>
      </c>
      <c r="Y11" t="str">
        <f>IF(Backend!Z38="", "", Backend!Z38)</f>
        <v/>
      </c>
      <c r="Z11" t="str">
        <f>IF(Backend!AA38="", "", Backend!AA38)</f>
        <v/>
      </c>
      <c r="AA11" t="str">
        <f>IF(Backend!AB38="", "", Backend!AB38)</f>
        <v/>
      </c>
      <c r="AB11" t="str">
        <f>IF(Backend!AC38="", "", Backend!AC38)</f>
        <v/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Safran SA</v>
      </c>
      <c r="B12">
        <f>IF(Backend!C39="", "", Backend!C39)</f>
        <v>0.17271675</v>
      </c>
      <c r="C12">
        <f>IF(Backend!D39="", "", Backend!D39)</f>
        <v>0.28440186000000001</v>
      </c>
      <c r="D12">
        <f>IF(Backend!E39="", "", Backend!E39)</f>
        <v>0.30226920000000002</v>
      </c>
      <c r="E12">
        <f>IF(Backend!F39="", "", Backend!F39)</f>
        <v>0.39820796000000003</v>
      </c>
      <c r="F12">
        <f>IF(Backend!G39="", "", Backend!G39)</f>
        <v>0.18892059</v>
      </c>
      <c r="G12">
        <f>IF(Backend!H39="", "", Backend!H39)</f>
        <v>0.21018147000000001</v>
      </c>
      <c r="H12">
        <f>IF(Backend!I39="", "", Backend!I39)</f>
        <v>0.50677749999999999</v>
      </c>
      <c r="I12">
        <f>IF(Backend!J39="", "", Backend!J39)</f>
        <v>0.6374822</v>
      </c>
      <c r="J12">
        <f>IF(Backend!K39="", "", Backend!K39)</f>
        <v>1</v>
      </c>
      <c r="K12">
        <f>IF(Backend!L39="", "", Backend!L39)</f>
        <v>0.20658293</v>
      </c>
      <c r="L12">
        <f>IF(Backend!M39="", "", Backend!M39)</f>
        <v>0.41727880000000001</v>
      </c>
      <c r="M12" t="str">
        <f>IF(Backend!N39="", "", Backend!N39)</f>
        <v/>
      </c>
      <c r="N12" t="str">
        <f>IF(Backend!O39="", "", Backend!O39)</f>
        <v/>
      </c>
      <c r="O12" t="str">
        <f>IF(Backend!P39="", "", Backend!P39)</f>
        <v/>
      </c>
      <c r="P12" t="str">
        <f>IF(Backend!Q39="", "", Backend!Q39)</f>
        <v/>
      </c>
      <c r="Q12" t="str">
        <f>IF(Backend!R39="", "", Backend!R39)</f>
        <v/>
      </c>
      <c r="R12" t="str">
        <f>IF(Backend!S39="", "", Backend!S39)</f>
        <v/>
      </c>
      <c r="S12" t="str">
        <f>IF(Backend!T39="", "", Backend!T39)</f>
        <v/>
      </c>
      <c r="T12" t="str">
        <f>IF(Backend!U39="", "", Backend!U39)</f>
        <v/>
      </c>
      <c r="U12" t="str">
        <f>IF(Backend!V39="", "", Backend!V39)</f>
        <v/>
      </c>
      <c r="V12" t="str">
        <f>IF(Backend!W39="", "", Backend!W39)</f>
        <v/>
      </c>
      <c r="W12" t="str">
        <f>IF(Backend!X39="", "", Backend!X39)</f>
        <v/>
      </c>
      <c r="X12" t="str">
        <f>IF(Backend!Y39="", "", Backend!Y39)</f>
        <v/>
      </c>
      <c r="Y12" t="str">
        <f>IF(Backend!Z39="", "", Backend!Z39)</f>
        <v/>
      </c>
      <c r="Z12" t="str">
        <f>IF(Backend!AA39="", "", Backend!AA39)</f>
        <v/>
      </c>
      <c r="AA12" t="str">
        <f>IF(Backend!AB39="", "", Backend!AB39)</f>
        <v/>
      </c>
      <c r="AB12" t="str">
        <f>IF(Backend!AC39="", "", Backend!AC39)</f>
        <v/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Autodesk, Inc.</v>
      </c>
      <c r="B13">
        <f>IF(Backend!C40="", "", Backend!C40)</f>
        <v>0.57000989999999996</v>
      </c>
      <c r="C13">
        <f>IF(Backend!D40="", "", Backend!D40)</f>
        <v>0.18247983000000001</v>
      </c>
      <c r="D13">
        <f>IF(Backend!E40="", "", Backend!E40)</f>
        <v>0.45402867000000002</v>
      </c>
      <c r="E13">
        <f>IF(Backend!F40="", "", Backend!F40)</f>
        <v>0.1776095</v>
      </c>
      <c r="F13">
        <f>IF(Backend!G40="", "", Backend!G40)</f>
        <v>0.49197906000000002</v>
      </c>
      <c r="G13">
        <f>IF(Backend!H40="", "", Backend!H40)</f>
        <v>0.64434785000000006</v>
      </c>
      <c r="H13">
        <f>IF(Backend!I40="", "", Backend!I40)</f>
        <v>0.20760762999999999</v>
      </c>
      <c r="I13">
        <f>IF(Backend!J40="", "", Backend!J40)</f>
        <v>0.20495145000000001</v>
      </c>
      <c r="J13">
        <f>IF(Backend!K40="", "", Backend!K40)</f>
        <v>0.20658293</v>
      </c>
      <c r="K13">
        <f>IF(Backend!L40="", "", Backend!L40)</f>
        <v>1</v>
      </c>
      <c r="L13">
        <f>IF(Backend!M40="", "", Backend!M40)</f>
        <v>0.34777665000000002</v>
      </c>
      <c r="M13" t="str">
        <f>IF(Backend!N40="", "", Backend!N40)</f>
        <v/>
      </c>
      <c r="N13" t="str">
        <f>IF(Backend!O40="", "", Backend!O40)</f>
        <v/>
      </c>
      <c r="O13" t="str">
        <f>IF(Backend!P40="", "", Backend!P40)</f>
        <v/>
      </c>
      <c r="P13" t="str">
        <f>IF(Backend!Q40="", "", Backend!Q40)</f>
        <v/>
      </c>
      <c r="Q13" t="str">
        <f>IF(Backend!R40="", "", Backend!R40)</f>
        <v/>
      </c>
      <c r="R13" t="str">
        <f>IF(Backend!S40="", "", Backend!S40)</f>
        <v/>
      </c>
      <c r="S13" t="str">
        <f>IF(Backend!T40="", "", Backend!T40)</f>
        <v/>
      </c>
      <c r="T13" t="str">
        <f>IF(Backend!U40="", "", Backend!U40)</f>
        <v/>
      </c>
      <c r="U13" t="str">
        <f>IF(Backend!V40="", "", Backend!V40)</f>
        <v/>
      </c>
      <c r="V13" t="str">
        <f>IF(Backend!W40="", "", Backend!W40)</f>
        <v/>
      </c>
      <c r="W13" t="str">
        <f>IF(Backend!X40="", "", Backend!X40)</f>
        <v/>
      </c>
      <c r="X13" t="str">
        <f>IF(Backend!Y40="", "", Backend!Y40)</f>
        <v/>
      </c>
      <c r="Y13" t="str">
        <f>IF(Backend!Z40="", "", Backend!Z40)</f>
        <v/>
      </c>
      <c r="Z13" t="str">
        <f>IF(Backend!AA40="", "", Backend!AA40)</f>
        <v/>
      </c>
      <c r="AA13" t="str">
        <f>IF(Backend!AB40="", "", Backend!AB40)</f>
        <v/>
      </c>
      <c r="AB13" t="str">
        <f>IF(Backend!AC40="", "", Backend!AC40)</f>
        <v/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GE Aerospace</v>
      </c>
      <c r="B14">
        <f>IF(Backend!C41="", "", Backend!C41)</f>
        <v>0.3014616</v>
      </c>
      <c r="C14">
        <f>IF(Backend!D41="", "", Backend!D41)</f>
        <v>9.4351864999999993E-2</v>
      </c>
      <c r="D14">
        <f>IF(Backend!E41="", "", Backend!E41)</f>
        <v>0.418707</v>
      </c>
      <c r="E14">
        <f>IF(Backend!F41="", "", Backend!F41)</f>
        <v>0.122936726</v>
      </c>
      <c r="F14">
        <f>IF(Backend!G41="", "", Backend!G41)</f>
        <v>0.29815143</v>
      </c>
      <c r="G14">
        <f>IF(Backend!H41="", "", Backend!H41)</f>
        <v>0.33655694000000003</v>
      </c>
      <c r="H14">
        <f>IF(Backend!I41="", "", Backend!I41)</f>
        <v>0.26928530000000001</v>
      </c>
      <c r="I14">
        <f>IF(Backend!J41="", "", Backend!J41)</f>
        <v>0.35578543000000001</v>
      </c>
      <c r="J14">
        <f>IF(Backend!K41="", "", Backend!K41)</f>
        <v>0.41727880000000001</v>
      </c>
      <c r="K14">
        <f>IF(Backend!L41="", "", Backend!L41)</f>
        <v>0.34777665000000002</v>
      </c>
      <c r="L14">
        <f>IF(Backend!M41="", "", Backend!M41)</f>
        <v>1</v>
      </c>
      <c r="M14" t="str">
        <f>IF(Backend!N41="", "", Backend!N41)</f>
        <v/>
      </c>
      <c r="N14" t="str">
        <f>IF(Backend!O41="", "", Backend!O41)</f>
        <v/>
      </c>
      <c r="O14" t="str">
        <f>IF(Backend!P41="", "", Backend!P41)</f>
        <v/>
      </c>
      <c r="P14" t="str">
        <f>IF(Backend!Q41="", "", Backend!Q41)</f>
        <v/>
      </c>
      <c r="Q14" t="str">
        <f>IF(Backend!R41="", "", Backend!R41)</f>
        <v/>
      </c>
      <c r="R14" t="str">
        <f>IF(Backend!S41="", "", Backend!S41)</f>
        <v/>
      </c>
      <c r="S14" t="str">
        <f>IF(Backend!T41="", "", Backend!T41)</f>
        <v/>
      </c>
      <c r="T14" t="str">
        <f>IF(Backend!U41="", "", Backend!U41)</f>
        <v/>
      </c>
      <c r="U14" t="str">
        <f>IF(Backend!V41="", "", Backend!V41)</f>
        <v/>
      </c>
      <c r="V14" t="str">
        <f>IF(Backend!W41="", "", Backend!W41)</f>
        <v/>
      </c>
      <c r="W14" t="str">
        <f>IF(Backend!X41="", "", Backend!X41)</f>
        <v/>
      </c>
      <c r="X14" t="str">
        <f>IF(Backend!Y41="", "", Backend!Y41)</f>
        <v/>
      </c>
      <c r="Y14" t="str">
        <f>IF(Backend!Z41="", "", Backend!Z41)</f>
        <v/>
      </c>
      <c r="Z14" t="str">
        <f>IF(Backend!AA41="", "", Backend!AA41)</f>
        <v/>
      </c>
      <c r="AA14" t="str">
        <f>IF(Backend!AB41="", "", Backend!AB41)</f>
        <v/>
      </c>
      <c r="AB14" t="str">
        <f>IF(Backend!AC41="", "", Backend!AC41)</f>
        <v/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/>
      </c>
      <c r="B15" t="str">
        <f>IF(Backend!C42="", "", Backend!C42)</f>
        <v/>
      </c>
      <c r="C15" t="str">
        <f>IF(Backend!D42="", "", Backend!D42)</f>
        <v/>
      </c>
      <c r="D15" t="str">
        <f>IF(Backend!E42="", "", Backend!E42)</f>
        <v/>
      </c>
      <c r="E15" t="str">
        <f>IF(Backend!F42="", "", Backend!F42)</f>
        <v/>
      </c>
      <c r="F15" t="str">
        <f>IF(Backend!G42="", "", Backend!G42)</f>
        <v/>
      </c>
      <c r="G15" t="str">
        <f>IF(Backend!H42="", "", Backend!H42)</f>
        <v/>
      </c>
      <c r="H15" t="str">
        <f>IF(Backend!I42="", "", Backend!I42)</f>
        <v/>
      </c>
      <c r="I15" t="str">
        <f>IF(Backend!J42="", "", Backend!J42)</f>
        <v/>
      </c>
      <c r="J15" t="str">
        <f>IF(Backend!K42="", "", Backend!K42)</f>
        <v/>
      </c>
      <c r="K15" t="str">
        <f>IF(Backend!L42="", "", Backend!L42)</f>
        <v/>
      </c>
      <c r="L15" t="str">
        <f>IF(Backend!M42="", "", Backend!M42)</f>
        <v/>
      </c>
      <c r="M15" t="str">
        <f>IF(Backend!N42="", "", Backend!N42)</f>
        <v/>
      </c>
      <c r="N15" t="str">
        <f>IF(Backend!O42="", "", Backend!O42)</f>
        <v/>
      </c>
      <c r="O15" t="str">
        <f>IF(Backend!P42="", "", Backend!P42)</f>
        <v/>
      </c>
      <c r="P15" t="str">
        <f>IF(Backend!Q42="", "", Backend!Q42)</f>
        <v/>
      </c>
      <c r="Q15" t="str">
        <f>IF(Backend!R42="", "", Backend!R42)</f>
        <v/>
      </c>
      <c r="R15" t="str">
        <f>IF(Backend!S42="", "", Backend!S42)</f>
        <v/>
      </c>
      <c r="S15" t="str">
        <f>IF(Backend!T42="", "", Backend!T42)</f>
        <v/>
      </c>
      <c r="T15" t="str">
        <f>IF(Backend!U42="", "", Backend!U42)</f>
        <v/>
      </c>
      <c r="U15" t="str">
        <f>IF(Backend!V42="", "", Backend!V42)</f>
        <v/>
      </c>
      <c r="V15" t="str">
        <f>IF(Backend!W42="", "", Backend!W42)</f>
        <v/>
      </c>
      <c r="W15" t="str">
        <f>IF(Backend!X42="", "", Backend!X42)</f>
        <v/>
      </c>
      <c r="X15" t="str">
        <f>IF(Backend!Y42="", "", Backend!Y42)</f>
        <v/>
      </c>
      <c r="Y15" t="str">
        <f>IF(Backend!Z42="", "", Backend!Z42)</f>
        <v/>
      </c>
      <c r="Z15" t="str">
        <f>IF(Backend!AA42="", "", Backend!AA42)</f>
        <v/>
      </c>
      <c r="AA15" t="str">
        <f>IF(Backend!AB42="", "", Backend!AB42)</f>
        <v/>
      </c>
      <c r="AB15" t="str">
        <f>IF(Backend!AC42="", "", Backend!AC42)</f>
        <v/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/>
      </c>
      <c r="B16" t="str">
        <f>IF(Backend!C43="", "", Backend!C43)</f>
        <v/>
      </c>
      <c r="C16" t="str">
        <f>IF(Backend!D43="", "", Backend!D43)</f>
        <v/>
      </c>
      <c r="D16" t="str">
        <f>IF(Backend!E43="", "", Backend!E43)</f>
        <v/>
      </c>
      <c r="E16" t="str">
        <f>IF(Backend!F43="", "", Backend!F43)</f>
        <v/>
      </c>
      <c r="F16" t="str">
        <f>IF(Backend!G43="", "", Backend!G43)</f>
        <v/>
      </c>
      <c r="G16" t="str">
        <f>IF(Backend!H43="", "", Backend!H43)</f>
        <v/>
      </c>
      <c r="H16" t="str">
        <f>IF(Backend!I43="", "", Backend!I43)</f>
        <v/>
      </c>
      <c r="I16" t="str">
        <f>IF(Backend!J43="", "", Backend!J43)</f>
        <v/>
      </c>
      <c r="J16" t="str">
        <f>IF(Backend!K43="", "", Backend!K43)</f>
        <v/>
      </c>
      <c r="K16" t="str">
        <f>IF(Backend!L43="", "", Backend!L43)</f>
        <v/>
      </c>
      <c r="L16" t="str">
        <f>IF(Backend!M43="", "", Backend!M43)</f>
        <v/>
      </c>
      <c r="M16" t="str">
        <f>IF(Backend!N43="", "", Backend!N43)</f>
        <v/>
      </c>
      <c r="N16" t="str">
        <f>IF(Backend!O43="", "", Backend!O43)</f>
        <v/>
      </c>
      <c r="O16" t="str">
        <f>IF(Backend!P43="", "", Backend!P43)</f>
        <v/>
      </c>
      <c r="P16" t="str">
        <f>IF(Backend!Q43="", "", Backend!Q43)</f>
        <v/>
      </c>
      <c r="Q16" t="str">
        <f>IF(Backend!R43="", "", Backend!R43)</f>
        <v/>
      </c>
      <c r="R16" t="str">
        <f>IF(Backend!S43="", "", Backend!S43)</f>
        <v/>
      </c>
      <c r="S16" t="str">
        <f>IF(Backend!T43="", "", Backend!T43)</f>
        <v/>
      </c>
      <c r="T16" t="str">
        <f>IF(Backend!U43="", "", Backend!U43)</f>
        <v/>
      </c>
      <c r="U16" t="str">
        <f>IF(Backend!V43="", "", Backend!V43)</f>
        <v/>
      </c>
      <c r="V16" t="str">
        <f>IF(Backend!W43="", "", Backend!W43)</f>
        <v/>
      </c>
      <c r="W16" t="str">
        <f>IF(Backend!X43="", "", Backend!X43)</f>
        <v/>
      </c>
      <c r="X16" t="str">
        <f>IF(Backend!Y43="", "", Backend!Y43)</f>
        <v/>
      </c>
      <c r="Y16" t="str">
        <f>IF(Backend!Z43="", "", Backend!Z43)</f>
        <v/>
      </c>
      <c r="Z16" t="str">
        <f>IF(Backend!AA43="", "", Backend!AA43)</f>
        <v/>
      </c>
      <c r="AA16" t="str">
        <f>IF(Backend!AB43="", "", Backend!AB43)</f>
        <v/>
      </c>
      <c r="AB16" t="str">
        <f>IF(Backend!AC43="", "", Backend!AC43)</f>
        <v/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/>
      </c>
      <c r="B17" t="str">
        <f>IF(Backend!C44="", "", Backend!C44)</f>
        <v/>
      </c>
      <c r="C17" t="str">
        <f>IF(Backend!D44="", "", Backend!D44)</f>
        <v/>
      </c>
      <c r="D17" t="str">
        <f>IF(Backend!E44="", "", Backend!E44)</f>
        <v/>
      </c>
      <c r="E17" t="str">
        <f>IF(Backend!F44="", "", Backend!F44)</f>
        <v/>
      </c>
      <c r="F17" t="str">
        <f>IF(Backend!G44="", "", Backend!G44)</f>
        <v/>
      </c>
      <c r="G17" t="str">
        <f>IF(Backend!H44="", "", Backend!H44)</f>
        <v/>
      </c>
      <c r="H17" t="str">
        <f>IF(Backend!I44="", "", Backend!I44)</f>
        <v/>
      </c>
      <c r="I17" t="str">
        <f>IF(Backend!J44="", "", Backend!J44)</f>
        <v/>
      </c>
      <c r="J17" t="str">
        <f>IF(Backend!K44="", "", Backend!K44)</f>
        <v/>
      </c>
      <c r="K17" t="str">
        <f>IF(Backend!L44="", "", Backend!L44)</f>
        <v/>
      </c>
      <c r="L17" t="str">
        <f>IF(Backend!M44="", "", Backend!M44)</f>
        <v/>
      </c>
      <c r="M17" t="str">
        <f>IF(Backend!N44="", "", Backend!N44)</f>
        <v/>
      </c>
      <c r="N17" t="str">
        <f>IF(Backend!O44="", "", Backend!O44)</f>
        <v/>
      </c>
      <c r="O17" t="str">
        <f>IF(Backend!P44="", "", Backend!P44)</f>
        <v/>
      </c>
      <c r="P17" t="str">
        <f>IF(Backend!Q44="", "", Backend!Q44)</f>
        <v/>
      </c>
      <c r="Q17" t="str">
        <f>IF(Backend!R44="", "", Backend!R44)</f>
        <v/>
      </c>
      <c r="R17" t="str">
        <f>IF(Backend!S44="", "", Backend!S44)</f>
        <v/>
      </c>
      <c r="S17" t="str">
        <f>IF(Backend!T44="", "", Backend!T44)</f>
        <v/>
      </c>
      <c r="T17" t="str">
        <f>IF(Backend!U44="", "", Backend!U44)</f>
        <v/>
      </c>
      <c r="U17" t="str">
        <f>IF(Backend!V44="", "", Backend!V44)</f>
        <v/>
      </c>
      <c r="V17" t="str">
        <f>IF(Backend!W44="", "", Backend!W44)</f>
        <v/>
      </c>
      <c r="W17" t="str">
        <f>IF(Backend!X44="", "", Backend!X44)</f>
        <v/>
      </c>
      <c r="X17" t="str">
        <f>IF(Backend!Y44="", "", Backend!Y44)</f>
        <v/>
      </c>
      <c r="Y17" t="str">
        <f>IF(Backend!Z44="", "", Backend!Z44)</f>
        <v/>
      </c>
      <c r="Z17" t="str">
        <f>IF(Backend!AA44="", "", Backend!AA44)</f>
        <v/>
      </c>
      <c r="AA17" t="str">
        <f>IF(Backend!AB44="", "", Backend!AB44)</f>
        <v/>
      </c>
      <c r="AB17" t="str">
        <f>IF(Backend!AC44="", "", Backend!AC44)</f>
        <v/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/>
      </c>
      <c r="B18" t="str">
        <f>IF(Backend!C45="", "", Backend!C45)</f>
        <v/>
      </c>
      <c r="C18" t="str">
        <f>IF(Backend!D45="", "", Backend!D45)</f>
        <v/>
      </c>
      <c r="D18" t="str">
        <f>IF(Backend!E45="", "", Backend!E45)</f>
        <v/>
      </c>
      <c r="E18" t="str">
        <f>IF(Backend!F45="", "", Backend!F45)</f>
        <v/>
      </c>
      <c r="F18" t="str">
        <f>IF(Backend!G45="", "", Backend!G45)</f>
        <v/>
      </c>
      <c r="G18" t="str">
        <f>IF(Backend!H45="", "", Backend!H45)</f>
        <v/>
      </c>
      <c r="H18" t="str">
        <f>IF(Backend!I45="", "", Backend!I45)</f>
        <v/>
      </c>
      <c r="I18" t="str">
        <f>IF(Backend!J45="", "", Backend!J45)</f>
        <v/>
      </c>
      <c r="J18" t="str">
        <f>IF(Backend!K45="", "", Backend!K45)</f>
        <v/>
      </c>
      <c r="K18" t="str">
        <f>IF(Backend!L45="", "", Backend!L45)</f>
        <v/>
      </c>
      <c r="L18" t="str">
        <f>IF(Backend!M45="", "", Backend!M45)</f>
        <v/>
      </c>
      <c r="M18" t="str">
        <f>IF(Backend!N45="", "", Backend!N45)</f>
        <v/>
      </c>
      <c r="N18" t="str">
        <f>IF(Backend!O45="", "", Backend!O45)</f>
        <v/>
      </c>
      <c r="O18" t="str">
        <f>IF(Backend!P45="", "", Backend!P45)</f>
        <v/>
      </c>
      <c r="P18" t="str">
        <f>IF(Backend!Q45="", "", Backend!Q45)</f>
        <v/>
      </c>
      <c r="Q18" t="str">
        <f>IF(Backend!R45="", "", Backend!R45)</f>
        <v/>
      </c>
      <c r="R18" t="str">
        <f>IF(Backend!S45="", "", Backend!S45)</f>
        <v/>
      </c>
      <c r="S18" t="str">
        <f>IF(Backend!T45="", "", Backend!T45)</f>
        <v/>
      </c>
      <c r="T18" t="str">
        <f>IF(Backend!U45="", "", Backend!U45)</f>
        <v/>
      </c>
      <c r="U18" t="str">
        <f>IF(Backend!V45="", "", Backend!V45)</f>
        <v/>
      </c>
      <c r="V18" t="str">
        <f>IF(Backend!W45="", "", Backend!W45)</f>
        <v/>
      </c>
      <c r="W18" t="str">
        <f>IF(Backend!X45="", "", Backend!X45)</f>
        <v/>
      </c>
      <c r="X18" t="str">
        <f>IF(Backend!Y45="", "", Backend!Y45)</f>
        <v/>
      </c>
      <c r="Y18" t="str">
        <f>IF(Backend!Z45="", "", Backend!Z45)</f>
        <v/>
      </c>
      <c r="Z18" t="str">
        <f>IF(Backend!AA45="", "", Backend!AA45)</f>
        <v/>
      </c>
      <c r="AA18" t="str">
        <f>IF(Backend!AB45="", "", Backend!AB45)</f>
        <v/>
      </c>
      <c r="AB18" t="str">
        <f>IF(Backend!AC45="", "", Backend!AC45)</f>
        <v/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/>
      </c>
      <c r="B19" t="str">
        <f>IF(Backend!C46="", "", Backend!C46)</f>
        <v/>
      </c>
      <c r="C19" t="str">
        <f>IF(Backend!D46="", "", Backend!D46)</f>
        <v/>
      </c>
      <c r="D19" t="str">
        <f>IF(Backend!E46="", "", Backend!E46)</f>
        <v/>
      </c>
      <c r="E19" t="str">
        <f>IF(Backend!F46="", "", Backend!F46)</f>
        <v/>
      </c>
      <c r="F19" t="str">
        <f>IF(Backend!G46="", "", Backend!G46)</f>
        <v/>
      </c>
      <c r="G19" t="str">
        <f>IF(Backend!H46="", "", Backend!H46)</f>
        <v/>
      </c>
      <c r="H19" t="str">
        <f>IF(Backend!I46="", "", Backend!I46)</f>
        <v/>
      </c>
      <c r="I19" t="str">
        <f>IF(Backend!J46="", "", Backend!J46)</f>
        <v/>
      </c>
      <c r="J19" t="str">
        <f>IF(Backend!K46="", "", Backend!K46)</f>
        <v/>
      </c>
      <c r="K19" t="str">
        <f>IF(Backend!L46="", "", Backend!L46)</f>
        <v/>
      </c>
      <c r="L19" t="str">
        <f>IF(Backend!M46="", "", Backend!M46)</f>
        <v/>
      </c>
      <c r="M19" t="str">
        <f>IF(Backend!N46="", "", Backend!N46)</f>
        <v/>
      </c>
      <c r="N19" t="str">
        <f>IF(Backend!O46="", "", Backend!O46)</f>
        <v/>
      </c>
      <c r="O19" t="str">
        <f>IF(Backend!P46="", "", Backend!P46)</f>
        <v/>
      </c>
      <c r="P19" t="str">
        <f>IF(Backend!Q46="", "", Backend!Q46)</f>
        <v/>
      </c>
      <c r="Q19" t="str">
        <f>IF(Backend!R46="", "", Backend!R46)</f>
        <v/>
      </c>
      <c r="R19" t="str">
        <f>IF(Backend!S46="", "", Backend!S46)</f>
        <v/>
      </c>
      <c r="S19" t="str">
        <f>IF(Backend!T46="", "", Backend!T46)</f>
        <v/>
      </c>
      <c r="T19" t="str">
        <f>IF(Backend!U46="", "", Backend!U46)</f>
        <v/>
      </c>
      <c r="U19" t="str">
        <f>IF(Backend!V46="", "", Backend!V46)</f>
        <v/>
      </c>
      <c r="V19" t="str">
        <f>IF(Backend!W46="", "", Backend!W46)</f>
        <v/>
      </c>
      <c r="W19" t="str">
        <f>IF(Backend!X46="", "", Backend!X46)</f>
        <v/>
      </c>
      <c r="X19" t="str">
        <f>IF(Backend!Y46="", "", Backend!Y46)</f>
        <v/>
      </c>
      <c r="Y19" t="str">
        <f>IF(Backend!Z46="", "", Backend!Z46)</f>
        <v/>
      </c>
      <c r="Z19" t="str">
        <f>IF(Backend!AA46="", "", Backend!AA46)</f>
        <v/>
      </c>
      <c r="AA19" t="str">
        <f>IF(Backend!AB46="", "", Backend!AB46)</f>
        <v/>
      </c>
      <c r="AB19" t="str">
        <f>IF(Backend!AC46="", "", Backend!AC46)</f>
        <v/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/>
      </c>
      <c r="B20" t="str">
        <f>IF(Backend!C47="", "", Backend!C47)</f>
        <v/>
      </c>
      <c r="C20" t="str">
        <f>IF(Backend!D47="", "", Backend!D47)</f>
        <v/>
      </c>
      <c r="D20" t="str">
        <f>IF(Backend!E47="", "", Backend!E47)</f>
        <v/>
      </c>
      <c r="E20" t="str">
        <f>IF(Backend!F47="", "", Backend!F47)</f>
        <v/>
      </c>
      <c r="F20" t="str">
        <f>IF(Backend!G47="", "", Backend!G47)</f>
        <v/>
      </c>
      <c r="G20" t="str">
        <f>IF(Backend!H47="", "", Backend!H47)</f>
        <v/>
      </c>
      <c r="H20" t="str">
        <f>IF(Backend!I47="", "", Backend!I47)</f>
        <v/>
      </c>
      <c r="I20" t="str">
        <f>IF(Backend!J47="", "", Backend!J47)</f>
        <v/>
      </c>
      <c r="J20" t="str">
        <f>IF(Backend!K47="", "", Backend!K47)</f>
        <v/>
      </c>
      <c r="K20" t="str">
        <f>IF(Backend!L47="", "", Backend!L47)</f>
        <v/>
      </c>
      <c r="L20" t="str">
        <f>IF(Backend!M47="", "", Backend!M47)</f>
        <v/>
      </c>
      <c r="M20" t="str">
        <f>IF(Backend!N47="", "", Backend!N47)</f>
        <v/>
      </c>
      <c r="N20" t="str">
        <f>IF(Backend!O47="", "", Backend!O47)</f>
        <v/>
      </c>
      <c r="O20" t="str">
        <f>IF(Backend!P47="", "", Backend!P47)</f>
        <v/>
      </c>
      <c r="P20" t="str">
        <f>IF(Backend!Q47="", "", Backend!Q47)</f>
        <v/>
      </c>
      <c r="Q20" t="str">
        <f>IF(Backend!R47="", "", Backend!R47)</f>
        <v/>
      </c>
      <c r="R20" t="str">
        <f>IF(Backend!S47="", "", Backend!S47)</f>
        <v/>
      </c>
      <c r="S20" t="str">
        <f>IF(Backend!T47="", "", Backend!T47)</f>
        <v/>
      </c>
      <c r="T20" t="str">
        <f>IF(Backend!U47="", "", Backend!U47)</f>
        <v/>
      </c>
      <c r="U20" t="str">
        <f>IF(Backend!V47="", "", Backend!V47)</f>
        <v/>
      </c>
      <c r="V20" t="str">
        <f>IF(Backend!W47="", "", Backend!W47)</f>
        <v/>
      </c>
      <c r="W20" t="str">
        <f>IF(Backend!X47="", "", Backend!X47)</f>
        <v/>
      </c>
      <c r="X20" t="str">
        <f>IF(Backend!Y47="", "", Backend!Y47)</f>
        <v/>
      </c>
      <c r="Y20" t="str">
        <f>IF(Backend!Z47="", "", Backend!Z47)</f>
        <v/>
      </c>
      <c r="Z20" t="str">
        <f>IF(Backend!AA47="", "", Backend!AA47)</f>
        <v/>
      </c>
      <c r="AA20" t="str">
        <f>IF(Backend!AB47="", "", Backend!AB47)</f>
        <v/>
      </c>
      <c r="AB20" t="str">
        <f>IF(Backend!AC47="", "", Backend!AC47)</f>
        <v/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/>
      </c>
      <c r="B21" t="str">
        <f>IF(Backend!C48="", "", Backend!C48)</f>
        <v/>
      </c>
      <c r="C21" t="str">
        <f>IF(Backend!D48="", "", Backend!D48)</f>
        <v/>
      </c>
      <c r="D21" t="str">
        <f>IF(Backend!E48="", "", Backend!E48)</f>
        <v/>
      </c>
      <c r="E21" t="str">
        <f>IF(Backend!F48="", "", Backend!F48)</f>
        <v/>
      </c>
      <c r="F21" t="str">
        <f>IF(Backend!G48="", "", Backend!G48)</f>
        <v/>
      </c>
      <c r="G21" t="str">
        <f>IF(Backend!H48="", "", Backend!H48)</f>
        <v/>
      </c>
      <c r="H21" t="str">
        <f>IF(Backend!I48="", "", Backend!I48)</f>
        <v/>
      </c>
      <c r="I21" t="str">
        <f>IF(Backend!J48="", "", Backend!J48)</f>
        <v/>
      </c>
      <c r="J21" t="str">
        <f>IF(Backend!K48="", "", Backend!K48)</f>
        <v/>
      </c>
      <c r="K21" t="str">
        <f>IF(Backend!L48="", "", Backend!L48)</f>
        <v/>
      </c>
      <c r="L21" t="str">
        <f>IF(Backend!M48="", "", Backend!M48)</f>
        <v/>
      </c>
      <c r="M21" t="str">
        <f>IF(Backend!N48="", "", Backend!N48)</f>
        <v/>
      </c>
      <c r="N21" t="str">
        <f>IF(Backend!O48="", "", Backend!O48)</f>
        <v/>
      </c>
      <c r="O21" t="str">
        <f>IF(Backend!P48="", "", Backend!P48)</f>
        <v/>
      </c>
      <c r="P21" t="str">
        <f>IF(Backend!Q48="", "", Backend!Q48)</f>
        <v/>
      </c>
      <c r="Q21" t="str">
        <f>IF(Backend!R48="", "", Backend!R48)</f>
        <v/>
      </c>
      <c r="R21" t="str">
        <f>IF(Backend!S48="", "", Backend!S48)</f>
        <v/>
      </c>
      <c r="S21" t="str">
        <f>IF(Backend!T48="", "", Backend!T48)</f>
        <v/>
      </c>
      <c r="T21" t="str">
        <f>IF(Backend!U48="", "", Backend!U48)</f>
        <v/>
      </c>
      <c r="U21" t="str">
        <f>IF(Backend!V48="", "", Backend!V48)</f>
        <v/>
      </c>
      <c r="V21" t="str">
        <f>IF(Backend!W48="", "", Backend!W48)</f>
        <v/>
      </c>
      <c r="W21" t="str">
        <f>IF(Backend!X48="", "", Backend!X48)</f>
        <v/>
      </c>
      <c r="X21" t="str">
        <f>IF(Backend!Y48="", "", Backend!Y48)</f>
        <v/>
      </c>
      <c r="Y21" t="str">
        <f>IF(Backend!Z48="", "", Backend!Z48)</f>
        <v/>
      </c>
      <c r="Z21" t="str">
        <f>IF(Backend!AA48="", "", Backend!AA48)</f>
        <v/>
      </c>
      <c r="AA21" t="str">
        <f>IF(Backend!AB48="", "", Backend!AB48)</f>
        <v/>
      </c>
      <c r="AB21" t="str">
        <f>IF(Backend!AC48="", "", Backend!AC48)</f>
        <v/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/>
      </c>
      <c r="B22" t="str">
        <f>IF(Backend!C49="", "", Backend!C49)</f>
        <v/>
      </c>
      <c r="C22" t="str">
        <f>IF(Backend!D49="", "", Backend!D49)</f>
        <v/>
      </c>
      <c r="D22" t="str">
        <f>IF(Backend!E49="", "", Backend!E49)</f>
        <v/>
      </c>
      <c r="E22" t="str">
        <f>IF(Backend!F49="", "", Backend!F49)</f>
        <v/>
      </c>
      <c r="F22" t="str">
        <f>IF(Backend!G49="", "", Backend!G49)</f>
        <v/>
      </c>
      <c r="G22" t="str">
        <f>IF(Backend!H49="", "", Backend!H49)</f>
        <v/>
      </c>
      <c r="H22" t="str">
        <f>IF(Backend!I49="", "", Backend!I49)</f>
        <v/>
      </c>
      <c r="I22" t="str">
        <f>IF(Backend!J49="", "", Backend!J49)</f>
        <v/>
      </c>
      <c r="J22" t="str">
        <f>IF(Backend!K49="", "", Backend!K49)</f>
        <v/>
      </c>
      <c r="K22" t="str">
        <f>IF(Backend!L49="", "", Backend!L49)</f>
        <v/>
      </c>
      <c r="L22" t="str">
        <f>IF(Backend!M49="", "", Backend!M49)</f>
        <v/>
      </c>
      <c r="M22" t="str">
        <f>IF(Backend!N49="", "", Backend!N49)</f>
        <v/>
      </c>
      <c r="N22" t="str">
        <f>IF(Backend!O49="", "", Backend!O49)</f>
        <v/>
      </c>
      <c r="O22" t="str">
        <f>IF(Backend!P49="", "", Backend!P49)</f>
        <v/>
      </c>
      <c r="P22" t="str">
        <f>IF(Backend!Q49="", "", Backend!Q49)</f>
        <v/>
      </c>
      <c r="Q22" t="str">
        <f>IF(Backend!R49="", "", Backend!R49)</f>
        <v/>
      </c>
      <c r="R22" t="str">
        <f>IF(Backend!S49="", "", Backend!S49)</f>
        <v/>
      </c>
      <c r="S22" t="str">
        <f>IF(Backend!T49="", "", Backend!T49)</f>
        <v/>
      </c>
      <c r="T22" t="str">
        <f>IF(Backend!U49="", "", Backend!U49)</f>
        <v/>
      </c>
      <c r="U22" t="str">
        <f>IF(Backend!V49="", "", Backend!V49)</f>
        <v/>
      </c>
      <c r="V22" t="str">
        <f>IF(Backend!W49="", "", Backend!W49)</f>
        <v/>
      </c>
      <c r="W22" t="str">
        <f>IF(Backend!X49="", "", Backend!X49)</f>
        <v/>
      </c>
      <c r="X22" t="str">
        <f>IF(Backend!Y49="", "", Backend!Y49)</f>
        <v/>
      </c>
      <c r="Y22" t="str">
        <f>IF(Backend!Z49="", "", Backend!Z49)</f>
        <v/>
      </c>
      <c r="Z22" t="str">
        <f>IF(Backend!AA49="", "", Backend!AA49)</f>
        <v/>
      </c>
      <c r="AA22" t="str">
        <f>IF(Backend!AB49="", "", Backend!AB49)</f>
        <v/>
      </c>
      <c r="AB22" t="str">
        <f>IF(Backend!AC49="", "", Backend!AC49)</f>
        <v/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/>
      </c>
      <c r="B23" t="str">
        <f>IF(Backend!C50="", "", Backend!C50)</f>
        <v/>
      </c>
      <c r="C23" t="str">
        <f>IF(Backend!D50="", "", Backend!D50)</f>
        <v/>
      </c>
      <c r="D23" t="str">
        <f>IF(Backend!E50="", "", Backend!E50)</f>
        <v/>
      </c>
      <c r="E23" t="str">
        <f>IF(Backend!F50="", "", Backend!F50)</f>
        <v/>
      </c>
      <c r="F23" t="str">
        <f>IF(Backend!G50="", "", Backend!G50)</f>
        <v/>
      </c>
      <c r="G23" t="str">
        <f>IF(Backend!H50="", "", Backend!H50)</f>
        <v/>
      </c>
      <c r="H23" t="str">
        <f>IF(Backend!I50="", "", Backend!I50)</f>
        <v/>
      </c>
      <c r="I23" t="str">
        <f>IF(Backend!J50="", "", Backend!J50)</f>
        <v/>
      </c>
      <c r="J23" t="str">
        <f>IF(Backend!K50="", "", Backend!K50)</f>
        <v/>
      </c>
      <c r="K23" t="str">
        <f>IF(Backend!L50="", "", Backend!L50)</f>
        <v/>
      </c>
      <c r="L23" t="str">
        <f>IF(Backend!M50="", "", Backend!M50)</f>
        <v/>
      </c>
      <c r="M23" t="str">
        <f>IF(Backend!N50="", "", Backend!N50)</f>
        <v/>
      </c>
      <c r="N23" t="str">
        <f>IF(Backend!O50="", "", Backend!O50)</f>
        <v/>
      </c>
      <c r="O23" t="str">
        <f>IF(Backend!P50="", "", Backend!P50)</f>
        <v/>
      </c>
      <c r="P23" t="str">
        <f>IF(Backend!Q50="", "", Backend!Q50)</f>
        <v/>
      </c>
      <c r="Q23" t="str">
        <f>IF(Backend!R50="", "", Backend!R50)</f>
        <v/>
      </c>
      <c r="R23" t="str">
        <f>IF(Backend!S50="", "", Backend!S50)</f>
        <v/>
      </c>
      <c r="S23" t="str">
        <f>IF(Backend!T50="", "", Backend!T50)</f>
        <v/>
      </c>
      <c r="T23" t="str">
        <f>IF(Backend!U50="", "", Backend!U50)</f>
        <v/>
      </c>
      <c r="U23" t="str">
        <f>IF(Backend!V50="", "", Backend!V50)</f>
        <v/>
      </c>
      <c r="V23" t="str">
        <f>IF(Backend!W50="", "", Backend!W50)</f>
        <v/>
      </c>
      <c r="W23" t="str">
        <f>IF(Backend!X50="", "", Backend!X50)</f>
        <v/>
      </c>
      <c r="X23" t="str">
        <f>IF(Backend!Y50="", "", Backend!Y50)</f>
        <v/>
      </c>
      <c r="Y23" t="str">
        <f>IF(Backend!Z50="", "", Backend!Z50)</f>
        <v/>
      </c>
      <c r="Z23" t="str">
        <f>IF(Backend!AA50="", "", Backend!AA50)</f>
        <v/>
      </c>
      <c r="AA23" t="str">
        <f>IF(Backend!AB50="", "", Backend!AB50)</f>
        <v/>
      </c>
      <c r="AB23" t="str">
        <f>IF(Backend!AC50="", "", Backend!AC50)</f>
        <v/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/>
      </c>
      <c r="B24" t="str">
        <f>IF(Backend!C51="", "", Backend!C51)</f>
        <v/>
      </c>
      <c r="C24" t="str">
        <f>IF(Backend!D51="", "", Backend!D51)</f>
        <v/>
      </c>
      <c r="D24" t="str">
        <f>IF(Backend!E51="", "", Backend!E51)</f>
        <v/>
      </c>
      <c r="E24" t="str">
        <f>IF(Backend!F51="", "", Backend!F51)</f>
        <v/>
      </c>
      <c r="F24" t="str">
        <f>IF(Backend!G51="", "", Backend!G51)</f>
        <v/>
      </c>
      <c r="G24" t="str">
        <f>IF(Backend!H51="", "", Backend!H51)</f>
        <v/>
      </c>
      <c r="H24" t="str">
        <f>IF(Backend!I51="", "", Backend!I51)</f>
        <v/>
      </c>
      <c r="I24" t="str">
        <f>IF(Backend!J51="", "", Backend!J51)</f>
        <v/>
      </c>
      <c r="J24" t="str">
        <f>IF(Backend!K51="", "", Backend!K51)</f>
        <v/>
      </c>
      <c r="K24" t="str">
        <f>IF(Backend!L51="", "", Backend!L51)</f>
        <v/>
      </c>
      <c r="L24" t="str">
        <f>IF(Backend!M51="", "", Backend!M51)</f>
        <v/>
      </c>
      <c r="M24" t="str">
        <f>IF(Backend!N51="", "", Backend!N51)</f>
        <v/>
      </c>
      <c r="N24" t="str">
        <f>IF(Backend!O51="", "", Backend!O51)</f>
        <v/>
      </c>
      <c r="O24" t="str">
        <f>IF(Backend!P51="", "", Backend!P51)</f>
        <v/>
      </c>
      <c r="P24" t="str">
        <f>IF(Backend!Q51="", "", Backend!Q51)</f>
        <v/>
      </c>
      <c r="Q24" t="str">
        <f>IF(Backend!R51="", "", Backend!R51)</f>
        <v/>
      </c>
      <c r="R24" t="str">
        <f>IF(Backend!S51="", "", Backend!S51)</f>
        <v/>
      </c>
      <c r="S24" t="str">
        <f>IF(Backend!T51="", "", Backend!T51)</f>
        <v/>
      </c>
      <c r="T24" t="str">
        <f>IF(Backend!U51="", "", Backend!U51)</f>
        <v/>
      </c>
      <c r="U24" t="str">
        <f>IF(Backend!V51="", "", Backend!V51)</f>
        <v/>
      </c>
      <c r="V24" t="str">
        <f>IF(Backend!W51="", "", Backend!W51)</f>
        <v/>
      </c>
      <c r="W24" t="str">
        <f>IF(Backend!X51="", "", Backend!X51)</f>
        <v/>
      </c>
      <c r="X24" t="str">
        <f>IF(Backend!Y51="", "", Backend!Y51)</f>
        <v/>
      </c>
      <c r="Y24" t="str">
        <f>IF(Backend!Z51="", "", Backend!Z51)</f>
        <v/>
      </c>
      <c r="Z24" t="str">
        <f>IF(Backend!AA51="", "", Backend!AA51)</f>
        <v/>
      </c>
      <c r="AA24" t="str">
        <f>IF(Backend!AB51="", "", Backend!AB51)</f>
        <v/>
      </c>
      <c r="AB24" t="str">
        <f>IF(Backend!AC51="", "", Backend!AC51)</f>
        <v/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/>
      </c>
      <c r="B25" t="str">
        <f>IF(Backend!C52="", "", Backend!C52)</f>
        <v/>
      </c>
      <c r="C25" t="str">
        <f>IF(Backend!D52="", "", Backend!D52)</f>
        <v/>
      </c>
      <c r="D25" t="str">
        <f>IF(Backend!E52="", "", Backend!E52)</f>
        <v/>
      </c>
      <c r="E25" t="str">
        <f>IF(Backend!F52="", "", Backend!F52)</f>
        <v/>
      </c>
      <c r="F25" t="str">
        <f>IF(Backend!G52="", "", Backend!G52)</f>
        <v/>
      </c>
      <c r="G25" t="str">
        <f>IF(Backend!H52="", "", Backend!H52)</f>
        <v/>
      </c>
      <c r="H25" t="str">
        <f>IF(Backend!I52="", "", Backend!I52)</f>
        <v/>
      </c>
      <c r="I25" t="str">
        <f>IF(Backend!J52="", "", Backend!J52)</f>
        <v/>
      </c>
      <c r="J25" t="str">
        <f>IF(Backend!K52="", "", Backend!K52)</f>
        <v/>
      </c>
      <c r="K25" t="str">
        <f>IF(Backend!L52="", "", Backend!L52)</f>
        <v/>
      </c>
      <c r="L25" t="str">
        <f>IF(Backend!M52="", "", Backend!M52)</f>
        <v/>
      </c>
      <c r="M25" t="str">
        <f>IF(Backend!N52="", "", Backend!N52)</f>
        <v/>
      </c>
      <c r="N25" t="str">
        <f>IF(Backend!O52="", "", Backend!O52)</f>
        <v/>
      </c>
      <c r="O25" t="str">
        <f>IF(Backend!P52="", "", Backend!P52)</f>
        <v/>
      </c>
      <c r="P25" t="str">
        <f>IF(Backend!Q52="", "", Backend!Q52)</f>
        <v/>
      </c>
      <c r="Q25" t="str">
        <f>IF(Backend!R52="", "", Backend!R52)</f>
        <v/>
      </c>
      <c r="R25" t="str">
        <f>IF(Backend!S52="", "", Backend!S52)</f>
        <v/>
      </c>
      <c r="S25" t="str">
        <f>IF(Backend!T52="", "", Backend!T52)</f>
        <v/>
      </c>
      <c r="T25" t="str">
        <f>IF(Backend!U52="", "", Backend!U52)</f>
        <v/>
      </c>
      <c r="U25" t="str">
        <f>IF(Backend!V52="", "", Backend!V52)</f>
        <v/>
      </c>
      <c r="V25" t="str">
        <f>IF(Backend!W52="", "", Backend!W52)</f>
        <v/>
      </c>
      <c r="W25" t="str">
        <f>IF(Backend!X52="", "", Backend!X52)</f>
        <v/>
      </c>
      <c r="X25" t="str">
        <f>IF(Backend!Y52="", "", Backend!Y52)</f>
        <v/>
      </c>
      <c r="Y25" t="str">
        <f>IF(Backend!Z52="", "", Backend!Z52)</f>
        <v/>
      </c>
      <c r="Z25" t="str">
        <f>IF(Backend!AA52="", "", Backend!AA52)</f>
        <v/>
      </c>
      <c r="AA25" t="str">
        <f>IF(Backend!AB52="", "", Backend!AB52)</f>
        <v/>
      </c>
      <c r="AB25" t="str">
        <f>IF(Backend!AC52="", "", Backend!AC52)</f>
        <v/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/>
      </c>
      <c r="B26" t="str">
        <f>IF(Backend!C53="", "", Backend!C53)</f>
        <v/>
      </c>
      <c r="C26" t="str">
        <f>IF(Backend!D53="", "", Backend!D53)</f>
        <v/>
      </c>
      <c r="D26" t="str">
        <f>IF(Backend!E53="", "", Backend!E53)</f>
        <v/>
      </c>
      <c r="E26" t="str">
        <f>IF(Backend!F53="", "", Backend!F53)</f>
        <v/>
      </c>
      <c r="F26" t="str">
        <f>IF(Backend!G53="", "", Backend!G53)</f>
        <v/>
      </c>
      <c r="G26" t="str">
        <f>IF(Backend!H53="", "", Backend!H53)</f>
        <v/>
      </c>
      <c r="H26" t="str">
        <f>IF(Backend!I53="", "", Backend!I53)</f>
        <v/>
      </c>
      <c r="I26" t="str">
        <f>IF(Backend!J53="", "", Backend!J53)</f>
        <v/>
      </c>
      <c r="J26" t="str">
        <f>IF(Backend!K53="", "", Backend!K53)</f>
        <v/>
      </c>
      <c r="K26" t="str">
        <f>IF(Backend!L53="", "", Backend!L53)</f>
        <v/>
      </c>
      <c r="L26" t="str">
        <f>IF(Backend!M53="", "", Backend!M53)</f>
        <v/>
      </c>
      <c r="M26" t="str">
        <f>IF(Backend!N53="", "", Backend!N53)</f>
        <v/>
      </c>
      <c r="N26" t="str">
        <f>IF(Backend!O53="", "", Backend!O53)</f>
        <v/>
      </c>
      <c r="O26" t="str">
        <f>IF(Backend!P53="", "", Backend!P53)</f>
        <v/>
      </c>
      <c r="P26" t="str">
        <f>IF(Backend!Q53="", "", Backend!Q53)</f>
        <v/>
      </c>
      <c r="Q26" t="str">
        <f>IF(Backend!R53="", "", Backend!R53)</f>
        <v/>
      </c>
      <c r="R26" t="str">
        <f>IF(Backend!S53="", "", Backend!S53)</f>
        <v/>
      </c>
      <c r="S26" t="str">
        <f>IF(Backend!T53="", "", Backend!T53)</f>
        <v/>
      </c>
      <c r="T26" t="str">
        <f>IF(Backend!U53="", "", Backend!U53)</f>
        <v/>
      </c>
      <c r="U26" t="str">
        <f>IF(Backend!V53="", "", Backend!V53)</f>
        <v/>
      </c>
      <c r="V26" t="str">
        <f>IF(Backend!W53="", "", Backend!W53)</f>
        <v/>
      </c>
      <c r="W26" t="str">
        <f>IF(Backend!X53="", "", Backend!X53)</f>
        <v/>
      </c>
      <c r="X26" t="str">
        <f>IF(Backend!Y53="", "", Backend!Y53)</f>
        <v/>
      </c>
      <c r="Y26" t="str">
        <f>IF(Backend!Z53="", "", Backend!Z53)</f>
        <v/>
      </c>
      <c r="Z26" t="str">
        <f>IF(Backend!AA53="", "", Backend!AA53)</f>
        <v/>
      </c>
      <c r="AA26" t="str">
        <f>IF(Backend!AB53="", "", Backend!AB53)</f>
        <v/>
      </c>
      <c r="AB26" t="str">
        <f>IF(Backend!AC53="", "", Backend!AC53)</f>
        <v/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/>
      </c>
      <c r="B27" t="str">
        <f>IF(Backend!C54="", "", Backend!C54)</f>
        <v/>
      </c>
      <c r="C27" t="str">
        <f>IF(Backend!D54="", "", Backend!D54)</f>
        <v/>
      </c>
      <c r="D27" t="str">
        <f>IF(Backend!E54="", "", Backend!E54)</f>
        <v/>
      </c>
      <c r="E27" t="str">
        <f>IF(Backend!F54="", "", Backend!F54)</f>
        <v/>
      </c>
      <c r="F27" t="str">
        <f>IF(Backend!G54="", "", Backend!G54)</f>
        <v/>
      </c>
      <c r="G27" t="str">
        <f>IF(Backend!H54="", "", Backend!H54)</f>
        <v/>
      </c>
      <c r="H27" t="str">
        <f>IF(Backend!I54="", "", Backend!I54)</f>
        <v/>
      </c>
      <c r="I27" t="str">
        <f>IF(Backend!J54="", "", Backend!J54)</f>
        <v/>
      </c>
      <c r="J27" t="str">
        <f>IF(Backend!K54="", "", Backend!K54)</f>
        <v/>
      </c>
      <c r="K27" t="str">
        <f>IF(Backend!L54="", "", Backend!L54)</f>
        <v/>
      </c>
      <c r="L27" t="str">
        <f>IF(Backend!M54="", "", Backend!M54)</f>
        <v/>
      </c>
      <c r="M27" t="str">
        <f>IF(Backend!N54="", "", Backend!N54)</f>
        <v/>
      </c>
      <c r="N27" t="str">
        <f>IF(Backend!O54="", "", Backend!O54)</f>
        <v/>
      </c>
      <c r="O27" t="str">
        <f>IF(Backend!P54="", "", Backend!P54)</f>
        <v/>
      </c>
      <c r="P27" t="str">
        <f>IF(Backend!Q54="", "", Backend!Q54)</f>
        <v/>
      </c>
      <c r="Q27" t="str">
        <f>IF(Backend!R54="", "", Backend!R54)</f>
        <v/>
      </c>
      <c r="R27" t="str">
        <f>IF(Backend!S54="", "", Backend!S54)</f>
        <v/>
      </c>
      <c r="S27" t="str">
        <f>IF(Backend!T54="", "", Backend!T54)</f>
        <v/>
      </c>
      <c r="T27" t="str">
        <f>IF(Backend!U54="", "", Backend!U54)</f>
        <v/>
      </c>
      <c r="U27" t="str">
        <f>IF(Backend!V54="", "", Backend!V54)</f>
        <v/>
      </c>
      <c r="V27" t="str">
        <f>IF(Backend!W54="", "", Backend!W54)</f>
        <v/>
      </c>
      <c r="W27" t="str">
        <f>IF(Backend!X54="", "", Backend!X54)</f>
        <v/>
      </c>
      <c r="X27" t="str">
        <f>IF(Backend!Y54="", "", Backend!Y54)</f>
        <v/>
      </c>
      <c r="Y27" t="str">
        <f>IF(Backend!Z54="", "", Backend!Z54)</f>
        <v/>
      </c>
      <c r="Z27" t="str">
        <f>IF(Backend!AA54="", "", Backend!AA54)</f>
        <v/>
      </c>
      <c r="AA27" t="str">
        <f>IF(Backend!AB54="", "", Backend!AB54)</f>
        <v/>
      </c>
      <c r="AB27" t="str">
        <f>IF(Backend!AC54="", "", Backend!AC54)</f>
        <v/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/>
      </c>
      <c r="B28" t="str">
        <f>IF(Backend!C55="", "", Backend!C55)</f>
        <v/>
      </c>
      <c r="C28" t="str">
        <f>IF(Backend!D55="", "", Backend!D55)</f>
        <v/>
      </c>
      <c r="D28" t="str">
        <f>IF(Backend!E55="", "", Backend!E55)</f>
        <v/>
      </c>
      <c r="E28" t="str">
        <f>IF(Backend!F55="", "", Backend!F55)</f>
        <v/>
      </c>
      <c r="F28" t="str">
        <f>IF(Backend!G55="", "", Backend!G55)</f>
        <v/>
      </c>
      <c r="G28" t="str">
        <f>IF(Backend!H55="", "", Backend!H55)</f>
        <v/>
      </c>
      <c r="H28" t="str">
        <f>IF(Backend!I55="", "", Backend!I55)</f>
        <v/>
      </c>
      <c r="I28" t="str">
        <f>IF(Backend!J55="", "", Backend!J55)</f>
        <v/>
      </c>
      <c r="J28" t="str">
        <f>IF(Backend!K55="", "", Backend!K55)</f>
        <v/>
      </c>
      <c r="K28" t="str">
        <f>IF(Backend!L55="", "", Backend!L55)</f>
        <v/>
      </c>
      <c r="L28" t="str">
        <f>IF(Backend!M55="", "", Backend!M55)</f>
        <v/>
      </c>
      <c r="M28" t="str">
        <f>IF(Backend!N55="", "", Backend!N55)</f>
        <v/>
      </c>
      <c r="N28" t="str">
        <f>IF(Backend!O55="", "", Backend!O55)</f>
        <v/>
      </c>
      <c r="O28" t="str">
        <f>IF(Backend!P55="", "", Backend!P55)</f>
        <v/>
      </c>
      <c r="P28" t="str">
        <f>IF(Backend!Q55="", "", Backend!Q55)</f>
        <v/>
      </c>
      <c r="Q28" t="str">
        <f>IF(Backend!R55="", "", Backend!R55)</f>
        <v/>
      </c>
      <c r="R28" t="str">
        <f>IF(Backend!S55="", "", Backend!S55)</f>
        <v/>
      </c>
      <c r="S28" t="str">
        <f>IF(Backend!T55="", "", Backend!T55)</f>
        <v/>
      </c>
      <c r="T28" t="str">
        <f>IF(Backend!U55="", "", Backend!U55)</f>
        <v/>
      </c>
      <c r="U28" t="str">
        <f>IF(Backend!V55="", "", Backend!V55)</f>
        <v/>
      </c>
      <c r="V28" t="str">
        <f>IF(Backend!W55="", "", Backend!W55)</f>
        <v/>
      </c>
      <c r="W28" t="str">
        <f>IF(Backend!X55="", "", Backend!X55)</f>
        <v/>
      </c>
      <c r="X28" t="str">
        <f>IF(Backend!Y55="", "", Backend!Y55)</f>
        <v/>
      </c>
      <c r="Y28" t="str">
        <f>IF(Backend!Z55="", "", Backend!Z55)</f>
        <v/>
      </c>
      <c r="Z28" t="str">
        <f>IF(Backend!AA55="", "", Backend!AA55)</f>
        <v/>
      </c>
      <c r="AA28" t="str">
        <f>IF(Backend!AB55="", "", Backend!AB55)</f>
        <v/>
      </c>
      <c r="AB28" t="str">
        <f>IF(Backend!AC55="", "", Backend!AC55)</f>
        <v/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/>
      </c>
      <c r="B29" t="str">
        <f>IF(Backend!C56="", "", Backend!C56)</f>
        <v/>
      </c>
      <c r="C29" t="str">
        <f>IF(Backend!D56="", "", Backend!D56)</f>
        <v/>
      </c>
      <c r="D29" t="str">
        <f>IF(Backend!E56="", "", Backend!E56)</f>
        <v/>
      </c>
      <c r="E29" t="str">
        <f>IF(Backend!F56="", "", Backend!F56)</f>
        <v/>
      </c>
      <c r="F29" t="str">
        <f>IF(Backend!G56="", "", Backend!G56)</f>
        <v/>
      </c>
      <c r="G29" t="str">
        <f>IF(Backend!H56="", "", Backend!H56)</f>
        <v/>
      </c>
      <c r="H29" t="str">
        <f>IF(Backend!I56="", "", Backend!I56)</f>
        <v/>
      </c>
      <c r="I29" t="str">
        <f>IF(Backend!J56="", "", Backend!J56)</f>
        <v/>
      </c>
      <c r="J29" t="str">
        <f>IF(Backend!K56="", "", Backend!K56)</f>
        <v/>
      </c>
      <c r="K29" t="str">
        <f>IF(Backend!L56="", "", Backend!L56)</f>
        <v/>
      </c>
      <c r="L29" t="str">
        <f>IF(Backend!M56="", "", Backend!M56)</f>
        <v/>
      </c>
      <c r="M29" t="str">
        <f>IF(Backend!N56="", "", Backend!N56)</f>
        <v/>
      </c>
      <c r="N29" t="str">
        <f>IF(Backend!O56="", "", Backend!O56)</f>
        <v/>
      </c>
      <c r="O29" t="str">
        <f>IF(Backend!P56="", "", Backend!P56)</f>
        <v/>
      </c>
      <c r="P29" t="str">
        <f>IF(Backend!Q56="", "", Backend!Q56)</f>
        <v/>
      </c>
      <c r="Q29" t="str">
        <f>IF(Backend!R56="", "", Backend!R56)</f>
        <v/>
      </c>
      <c r="R29" t="str">
        <f>IF(Backend!S56="", "", Backend!S56)</f>
        <v/>
      </c>
      <c r="S29" t="str">
        <f>IF(Backend!T56="", "", Backend!T56)</f>
        <v/>
      </c>
      <c r="T29" t="str">
        <f>IF(Backend!U56="", "", Backend!U56)</f>
        <v/>
      </c>
      <c r="U29" t="str">
        <f>IF(Backend!V56="", "", Backend!V56)</f>
        <v/>
      </c>
      <c r="V29" t="str">
        <f>IF(Backend!W56="", "", Backend!W56)</f>
        <v/>
      </c>
      <c r="W29" t="str">
        <f>IF(Backend!X56="", "", Backend!X56)</f>
        <v/>
      </c>
      <c r="X29" t="str">
        <f>IF(Backend!Y56="", "", Backend!Y56)</f>
        <v/>
      </c>
      <c r="Y29" t="str">
        <f>IF(Backend!Z56="", "", Backend!Z56)</f>
        <v/>
      </c>
      <c r="Z29" t="str">
        <f>IF(Backend!AA56="", "", Backend!AA56)</f>
        <v/>
      </c>
      <c r="AA29" t="str">
        <f>IF(Backend!AB56="", "", Backend!AB56)</f>
        <v/>
      </c>
      <c r="AB29" t="str">
        <f>IF(Backend!AC56="", "", Backend!AC56)</f>
        <v/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/>
      </c>
      <c r="B30" t="str">
        <f>IF(Backend!C57="", "", Backend!C57)</f>
        <v/>
      </c>
      <c r="C30" t="str">
        <f>IF(Backend!D57="", "", Backend!D57)</f>
        <v/>
      </c>
      <c r="D30" t="str">
        <f>IF(Backend!E57="", "", Backend!E57)</f>
        <v/>
      </c>
      <c r="E30" t="str">
        <f>IF(Backend!F57="", "", Backend!F57)</f>
        <v/>
      </c>
      <c r="F30" t="str">
        <f>IF(Backend!G57="", "", Backend!G57)</f>
        <v/>
      </c>
      <c r="G30" t="str">
        <f>IF(Backend!H57="", "", Backend!H57)</f>
        <v/>
      </c>
      <c r="H30" t="str">
        <f>IF(Backend!I57="", "", Backend!I57)</f>
        <v/>
      </c>
      <c r="I30" t="str">
        <f>IF(Backend!J57="", "", Backend!J57)</f>
        <v/>
      </c>
      <c r="J30" t="str">
        <f>IF(Backend!K57="", "", Backend!K57)</f>
        <v/>
      </c>
      <c r="K30" t="str">
        <f>IF(Backend!L57="", "", Backend!L57)</f>
        <v/>
      </c>
      <c r="L30" t="str">
        <f>IF(Backend!M57="", "", Backend!M57)</f>
        <v/>
      </c>
      <c r="M30" t="str">
        <f>IF(Backend!N57="", "", Backend!N57)</f>
        <v/>
      </c>
      <c r="N30" t="str">
        <f>IF(Backend!O57="", "", Backend!O57)</f>
        <v/>
      </c>
      <c r="O30" t="str">
        <f>IF(Backend!P57="", "", Backend!P57)</f>
        <v/>
      </c>
      <c r="P30" t="str">
        <f>IF(Backend!Q57="", "", Backend!Q57)</f>
        <v/>
      </c>
      <c r="Q30" t="str">
        <f>IF(Backend!R57="", "", Backend!R57)</f>
        <v/>
      </c>
      <c r="R30" t="str">
        <f>IF(Backend!S57="", "", Backend!S57)</f>
        <v/>
      </c>
      <c r="S30" t="str">
        <f>IF(Backend!T57="", "", Backend!T57)</f>
        <v/>
      </c>
      <c r="T30" t="str">
        <f>IF(Backend!U57="", "", Backend!U57)</f>
        <v/>
      </c>
      <c r="U30" t="str">
        <f>IF(Backend!V57="", "", Backend!V57)</f>
        <v/>
      </c>
      <c r="V30" t="str">
        <f>IF(Backend!W57="", "", Backend!W57)</f>
        <v/>
      </c>
      <c r="W30" t="str">
        <f>IF(Backend!X57="", "", Backend!X57)</f>
        <v/>
      </c>
      <c r="X30" t="str">
        <f>IF(Backend!Y57="", "", Backend!Y57)</f>
        <v/>
      </c>
      <c r="Y30" t="str">
        <f>IF(Backend!Z57="", "", Backend!Z57)</f>
        <v/>
      </c>
      <c r="Z30" t="str">
        <f>IF(Backend!AA57="", "", Backend!AA57)</f>
        <v/>
      </c>
      <c r="AA30" t="str">
        <f>IF(Backend!AB57="", "", Backend!AB57)</f>
        <v/>
      </c>
      <c r="AB30" t="str">
        <f>IF(Backend!AC57="", "", Backend!AC57)</f>
        <v/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opLeftCell="A4"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20</v>
      </c>
    </row>
    <row r="4" spans="2:13" x14ac:dyDescent="0.25">
      <c r="B4" t="s">
        <v>0</v>
      </c>
    </row>
    <row r="5" spans="2:13" x14ac:dyDescent="0.25">
      <c r="C5" s="8" t="s">
        <v>18</v>
      </c>
      <c r="D5" t="str" cm="1">
        <f t="array" ref="D5">_xll.FDSC("-",C5,"PROPER_NAME")</f>
        <v>Microsoft Corporation</v>
      </c>
      <c r="E5" s="8"/>
      <c r="G5" s="8"/>
    </row>
    <row r="6" spans="2:13" x14ac:dyDescent="0.25">
      <c r="C6" s="8" t="s">
        <v>9</v>
      </c>
      <c r="D6" t="str" cm="1">
        <f t="array" ref="D6">_xll.FDSC("-",C6,"PROPER_NAME")</f>
        <v>London Stock Exchange Group plc</v>
      </c>
      <c r="E6" s="8"/>
      <c r="G6" s="8"/>
      <c r="M6" s="5"/>
    </row>
    <row r="7" spans="2:13" x14ac:dyDescent="0.25">
      <c r="C7" s="8" t="s">
        <v>19</v>
      </c>
      <c r="D7" t="str" cm="1">
        <f t="array" ref="D7">_xll.FDSC("-",C7,"PROPER_NAME")</f>
        <v>Visa Inc. Class A</v>
      </c>
      <c r="E7" s="8"/>
      <c r="G7" s="8"/>
    </row>
    <row r="8" spans="2:13" x14ac:dyDescent="0.25">
      <c r="C8" s="8" t="s">
        <v>10</v>
      </c>
      <c r="D8" t="str" cm="1">
        <f t="array" ref="D8">_xll.FDSC("-",C8,"PROPER_NAME")</f>
        <v>Deutsche Boerse AG</v>
      </c>
      <c r="E8" s="8"/>
      <c r="G8" s="8"/>
    </row>
    <row r="9" spans="2:13" x14ac:dyDescent="0.25">
      <c r="C9" s="8" t="s">
        <v>13</v>
      </c>
      <c r="D9" t="str" cm="1">
        <f t="array" ref="D9">_xll.FDSC("-",C9,"PROPER_NAME")</f>
        <v>Alphabet Inc. Class C</v>
      </c>
      <c r="E9" s="8"/>
      <c r="G9" s="8"/>
    </row>
    <row r="10" spans="2:13" x14ac:dyDescent="0.25">
      <c r="C10" s="8" t="s">
        <v>16</v>
      </c>
      <c r="D10" t="str" cm="1">
        <f t="array" ref="D10">_xll.FDSC("-",C10,"PROPER_NAME")</f>
        <v>Intuit Inc.</v>
      </c>
      <c r="E10" s="8"/>
      <c r="G10" s="8"/>
    </row>
    <row r="11" spans="2:13" x14ac:dyDescent="0.25">
      <c r="C11" s="8" t="s">
        <v>12</v>
      </c>
      <c r="D11" t="str" cm="1">
        <f t="array" ref="D11">_xll.FDSC("-",C11,"PROPER_NAME")</f>
        <v>CTS Eventim AG &amp; Co. KGaA</v>
      </c>
      <c r="E11" s="8"/>
      <c r="G11" s="8"/>
    </row>
    <row r="12" spans="2:13" x14ac:dyDescent="0.25">
      <c r="C12" s="8" t="s">
        <v>17</v>
      </c>
      <c r="D12" t="str" cm="1">
        <f t="array" ref="D12">_xll.FDSC("-",C12,"PROPER_NAME")</f>
        <v>Melrose Industries PLC</v>
      </c>
      <c r="E12" s="8"/>
      <c r="G12" s="8"/>
    </row>
    <row r="13" spans="2:13" x14ac:dyDescent="0.25">
      <c r="C13" s="8" t="s">
        <v>11</v>
      </c>
      <c r="D13" t="str" cm="1">
        <f t="array" ref="D13">_xll.FDSC("-",C13,"PROPER_NAME")</f>
        <v>Safran SA</v>
      </c>
      <c r="E13" s="8"/>
      <c r="G13" s="8"/>
    </row>
    <row r="14" spans="2:13" x14ac:dyDescent="0.25">
      <c r="C14" s="8" t="s">
        <v>14</v>
      </c>
      <c r="D14" t="str" cm="1">
        <f t="array" ref="D14">_xll.FDSC("-",C14,"PROPER_NAME")</f>
        <v>Autodesk, Inc.</v>
      </c>
      <c r="E14" s="8"/>
      <c r="G14" s="8"/>
    </row>
    <row r="15" spans="2:13" x14ac:dyDescent="0.25">
      <c r="C15" s="8" t="s">
        <v>15</v>
      </c>
      <c r="D15" t="str" cm="1">
        <f t="array" ref="D15">_xll.FDSC("-",C15,"PROPER_NAME")</f>
        <v>GE Aerospace</v>
      </c>
      <c r="E15" s="8"/>
      <c r="G15" s="8"/>
    </row>
    <row r="16" spans="2:13" x14ac:dyDescent="0.25">
      <c r="C16" s="8"/>
      <c r="E16" s="8"/>
      <c r="G16" s="8"/>
    </row>
    <row r="17" spans="1:77" x14ac:dyDescent="0.25">
      <c r="C17" s="8"/>
      <c r="E17" s="8"/>
      <c r="G17" s="8"/>
    </row>
    <row r="18" spans="1:77" x14ac:dyDescent="0.25">
      <c r="C18" s="8"/>
      <c r="E18" s="8"/>
      <c r="G18" s="8"/>
    </row>
    <row r="19" spans="1:77" x14ac:dyDescent="0.25">
      <c r="C19" s="8"/>
      <c r="E19" s="8"/>
      <c r="G19" s="8"/>
    </row>
    <row r="20" spans="1:77" x14ac:dyDescent="0.25">
      <c r="C20" s="8"/>
      <c r="D20" t="str" cm="1">
        <f t="array" ref="D20">_xll.FDSC("-",C20,"PROPER_NAME")</f>
        <v>-</v>
      </c>
      <c r="E20" s="8"/>
      <c r="G20" s="8"/>
    </row>
    <row r="21" spans="1:77" x14ac:dyDescent="0.25">
      <c r="C21" s="8"/>
      <c r="D21" t="str" cm="1">
        <f t="array" ref="D21">_xll.FDSC("-",C21,"PROPER_NAME")</f>
        <v>-</v>
      </c>
      <c r="E21" s="8"/>
      <c r="G21" s="8"/>
    </row>
    <row r="22" spans="1:77" x14ac:dyDescent="0.25">
      <c r="C22" s="8"/>
      <c r="D22" t="str" cm="1">
        <f t="array" ref="D22">_xll.FDSC("-",C22,"PROPER_NAME")</f>
        <v>-</v>
      </c>
      <c r="E22" s="8"/>
      <c r="G22" s="8"/>
    </row>
    <row r="23" spans="1:77" x14ac:dyDescent="0.25">
      <c r="C23" s="8"/>
      <c r="D23" t="str" cm="1">
        <f t="array" ref="D23">_xll.FDSC("-",C23,"PROPER_NAME")</f>
        <v>-</v>
      </c>
      <c r="E23" s="8"/>
      <c r="G23" s="8"/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London Stock Exchange Group plc</v>
      </c>
      <c r="E29" t="str" cm="1">
        <f t="array" ref="E29">_xll.FDS(E30,"FG_COMPANY_NAME")</f>
        <v>Visa Inc. Class A</v>
      </c>
      <c r="F29" t="str" cm="1">
        <f t="array" ref="F29">_xll.FDS(F30,"FG_COMPANY_NAME")</f>
        <v>Deutsche Boerse AG</v>
      </c>
      <c r="G29" t="str" cm="1">
        <f t="array" ref="G29">_xll.FDS(G30,"FG_COMPANY_NAME")</f>
        <v>Alphabet Inc. Class C</v>
      </c>
      <c r="H29" t="str" cm="1">
        <f t="array" ref="H29">_xll.FDS(H30,"FG_COMPANY_NAME")</f>
        <v>Intuit Inc.</v>
      </c>
      <c r="I29" t="str" cm="1">
        <f t="array" ref="I29">_xll.FDS(I30,"FG_COMPANY_NAME")</f>
        <v>CTS Eventim AG &amp; Co. KGaA</v>
      </c>
      <c r="J29" t="str" cm="1">
        <f t="array" ref="J29">_xll.FDS(J30,"FG_COMPANY_NAME")</f>
        <v>Melrose Industries PLC</v>
      </c>
      <c r="K29" t="str" cm="1">
        <f t="array" ref="K29">_xll.FDS(K30,"FG_COMPANY_NAME")</f>
        <v>Safran SA</v>
      </c>
      <c r="L29" t="str" cm="1">
        <f t="array" ref="L29">_xll.FDS(L30,"FG_COMPANY_NAME")</f>
        <v>Autodesk, Inc.</v>
      </c>
      <c r="M29" t="str" cm="1">
        <f t="array" ref="M29">_xll.FDS(M30,"FG_COMPANY_NAME")</f>
        <v>GE Aerospace</v>
      </c>
    </row>
    <row r="30" spans="1:77" ht="15" customHeight="1" x14ac:dyDescent="0.25">
      <c r="C30" s="3" t="str" cm="1">
        <f t="array" ref="C30:M30">_xll.FDSR(V27,"IDS")</f>
        <v>MSFT-US</v>
      </c>
      <c r="D30" s="6" t="str">
        <v>LSEG-GB</v>
      </c>
      <c r="E30" s="6" t="str">
        <v>V-US</v>
      </c>
      <c r="F30" s="6" t="str">
        <v>DB1-DE</v>
      </c>
      <c r="G30" s="6" t="str">
        <v>GOOG-US</v>
      </c>
      <c r="H30" s="6" t="str">
        <v>INTU-US</v>
      </c>
      <c r="I30" s="6" t="str">
        <v>EVD-DE</v>
      </c>
      <c r="J30" s="6" t="str">
        <v>MRO-GB</v>
      </c>
      <c r="K30" s="6" t="str">
        <v>SAF-FR</v>
      </c>
      <c r="L30" s="6" t="str">
        <v>ADSK-US</v>
      </c>
      <c r="M30" s="6" t="str">
        <v>GE-US</v>
      </c>
      <c r="N30" s="6"/>
      <c r="O30" s="6"/>
      <c r="P30" s="6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41">_xll.FDSB(V23,"IDS")</f>
        <v>MSFT-US</v>
      </c>
      <c r="C31" s="2" cm="1">
        <f t="array" ref="C31:M41">_xll.FDSB("DUMMY","CORREL_MATRIX(CORRELMATRIX)")</f>
        <v>1</v>
      </c>
      <c r="D31" s="2">
        <v>0.11480432</v>
      </c>
      <c r="E31" s="2">
        <v>0.44737275999999998</v>
      </c>
      <c r="F31" s="2">
        <v>0.14425503000000001</v>
      </c>
      <c r="G31" s="2">
        <v>0.66021719999999995</v>
      </c>
      <c r="H31" s="2">
        <v>0.62596165999999998</v>
      </c>
      <c r="I31" s="2">
        <v>0.14743001999999999</v>
      </c>
      <c r="J31" s="2">
        <v>0.15938041999999999</v>
      </c>
      <c r="K31" s="2">
        <v>0.17271675</v>
      </c>
      <c r="L31" s="2">
        <v>0.57000989999999996</v>
      </c>
      <c r="M31" s="2">
        <v>0.3014616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London Stock Exchange Group plc</v>
      </c>
      <c r="B32" s="4" t="str">
        <v>LSEG-GB</v>
      </c>
      <c r="C32" s="2">
        <v>0.11480432</v>
      </c>
      <c r="D32" s="2">
        <v>1</v>
      </c>
      <c r="E32" s="2">
        <v>0.17274241000000001</v>
      </c>
      <c r="F32" s="2">
        <v>0.54103785999999998</v>
      </c>
      <c r="G32" s="2">
        <v>0.12889439999999999</v>
      </c>
      <c r="H32" s="2">
        <v>0.18303665999999999</v>
      </c>
      <c r="I32" s="2">
        <v>0.2795783</v>
      </c>
      <c r="J32" s="2">
        <v>0.27645503999999999</v>
      </c>
      <c r="K32" s="2">
        <v>0.28440186000000001</v>
      </c>
      <c r="L32" s="2">
        <v>0.18247983000000001</v>
      </c>
      <c r="M32" s="2">
        <v>9.4351864999999993E-2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Visa Inc. Class A</v>
      </c>
      <c r="B33" s="4" t="str">
        <v>V-US</v>
      </c>
      <c r="C33" s="2">
        <v>0.44737275999999998</v>
      </c>
      <c r="D33" s="2">
        <v>0.17274241000000001</v>
      </c>
      <c r="E33" s="2">
        <v>1</v>
      </c>
      <c r="F33" s="2">
        <v>0.21412763000000001</v>
      </c>
      <c r="G33" s="2">
        <v>0.39927265000000001</v>
      </c>
      <c r="H33" s="2">
        <v>0.48231420000000003</v>
      </c>
      <c r="I33" s="2">
        <v>0.26409146</v>
      </c>
      <c r="J33" s="2">
        <v>0.27518134999999999</v>
      </c>
      <c r="K33" s="2">
        <v>0.30226920000000002</v>
      </c>
      <c r="L33" s="2">
        <v>0.45402867000000002</v>
      </c>
      <c r="M33" s="2">
        <v>0.418707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Deutsche Boerse AG</v>
      </c>
      <c r="B34" s="4" t="str">
        <v>DB1-DE</v>
      </c>
      <c r="C34" s="2">
        <v>0.14425503000000001</v>
      </c>
      <c r="D34" s="2">
        <v>0.54103785999999998</v>
      </c>
      <c r="E34" s="2">
        <v>0.21412763000000001</v>
      </c>
      <c r="F34" s="2">
        <v>1</v>
      </c>
      <c r="G34" s="2">
        <v>9.8878204999999997E-2</v>
      </c>
      <c r="H34" s="2">
        <v>0.19934581000000001</v>
      </c>
      <c r="I34" s="2">
        <v>0.36710357999999998</v>
      </c>
      <c r="J34" s="2">
        <v>0.30134946000000001</v>
      </c>
      <c r="K34" s="2">
        <v>0.39820796000000003</v>
      </c>
      <c r="L34" s="2">
        <v>0.1776095</v>
      </c>
      <c r="M34" s="2">
        <v>0.122936726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Alphabet Inc. Class C</v>
      </c>
      <c r="B35" s="4" t="str">
        <v>GOOG-US</v>
      </c>
      <c r="C35" s="2">
        <v>0.66021719999999995</v>
      </c>
      <c r="D35" s="2">
        <v>0.12889439999999999</v>
      </c>
      <c r="E35" s="2">
        <v>0.39927265000000001</v>
      </c>
      <c r="F35" s="2">
        <v>9.8878204999999997E-2</v>
      </c>
      <c r="G35" s="2">
        <v>1</v>
      </c>
      <c r="H35" s="2">
        <v>0.54476254999999996</v>
      </c>
      <c r="I35" s="2">
        <v>0.14764051</v>
      </c>
      <c r="J35" s="2">
        <v>0.17295643999999999</v>
      </c>
      <c r="K35" s="2">
        <v>0.18892059</v>
      </c>
      <c r="L35" s="2">
        <v>0.49197906000000002</v>
      </c>
      <c r="M35" s="2">
        <v>0.29815143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Intuit Inc.</v>
      </c>
      <c r="B36" s="4" t="str">
        <v>INTU-US</v>
      </c>
      <c r="C36" s="2">
        <v>0.62596165999999998</v>
      </c>
      <c r="D36" s="2">
        <v>0.18303665999999999</v>
      </c>
      <c r="E36" s="2">
        <v>0.48231420000000003</v>
      </c>
      <c r="F36" s="2">
        <v>0.19934581000000001</v>
      </c>
      <c r="G36" s="2">
        <v>0.54476254999999996</v>
      </c>
      <c r="H36" s="2">
        <v>1</v>
      </c>
      <c r="I36" s="2">
        <v>0.21181016999999999</v>
      </c>
      <c r="J36" s="2">
        <v>0.20696649</v>
      </c>
      <c r="K36" s="2">
        <v>0.21018147000000001</v>
      </c>
      <c r="L36" s="2">
        <v>0.64434785000000006</v>
      </c>
      <c r="M36" s="2">
        <v>0.33655694000000003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CTS Eventim AG &amp; Co. KGaA</v>
      </c>
      <c r="B37" s="4" t="str">
        <v>EVD-DE</v>
      </c>
      <c r="C37" s="2">
        <v>0.14743001999999999</v>
      </c>
      <c r="D37" s="2">
        <v>0.2795783</v>
      </c>
      <c r="E37" s="2">
        <v>0.26409146</v>
      </c>
      <c r="F37" s="2">
        <v>0.36710357999999998</v>
      </c>
      <c r="G37" s="2">
        <v>0.14764051</v>
      </c>
      <c r="H37" s="2">
        <v>0.21181016999999999</v>
      </c>
      <c r="I37" s="2">
        <v>1</v>
      </c>
      <c r="J37" s="2">
        <v>0.47281985999999998</v>
      </c>
      <c r="K37" s="2">
        <v>0.50677749999999999</v>
      </c>
      <c r="L37" s="2">
        <v>0.20760762999999999</v>
      </c>
      <c r="M37" s="2">
        <v>0.26928530000000001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Melrose Industries PLC</v>
      </c>
      <c r="B38" s="4" t="str">
        <v>MRO-GB</v>
      </c>
      <c r="C38" s="2">
        <v>0.15938041999999999</v>
      </c>
      <c r="D38" s="2">
        <v>0.27645503999999999</v>
      </c>
      <c r="E38" s="2">
        <v>0.27518134999999999</v>
      </c>
      <c r="F38" s="2">
        <v>0.30134946000000001</v>
      </c>
      <c r="G38" s="2">
        <v>0.17295643999999999</v>
      </c>
      <c r="H38" s="2">
        <v>0.20696649</v>
      </c>
      <c r="I38" s="2">
        <v>0.47281985999999998</v>
      </c>
      <c r="J38" s="2">
        <v>1</v>
      </c>
      <c r="K38" s="2">
        <v>0.6374822</v>
      </c>
      <c r="L38" s="2">
        <v>0.20495145000000001</v>
      </c>
      <c r="M38" s="2">
        <v>0.35578543000000001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Safran SA</v>
      </c>
      <c r="B39" s="4" t="str">
        <v>SAF-FR</v>
      </c>
      <c r="C39" s="2">
        <v>0.17271675</v>
      </c>
      <c r="D39" s="2">
        <v>0.28440186000000001</v>
      </c>
      <c r="E39" s="2">
        <v>0.30226920000000002</v>
      </c>
      <c r="F39" s="2">
        <v>0.39820796000000003</v>
      </c>
      <c r="G39" s="2">
        <v>0.18892059</v>
      </c>
      <c r="H39" s="2">
        <v>0.21018147000000001</v>
      </c>
      <c r="I39" s="2">
        <v>0.50677749999999999</v>
      </c>
      <c r="J39" s="2">
        <v>0.6374822</v>
      </c>
      <c r="K39" s="2">
        <v>1</v>
      </c>
      <c r="L39" s="2">
        <v>0.20658293</v>
      </c>
      <c r="M39" s="2">
        <v>0.41727880000000001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Autodesk, Inc.</v>
      </c>
      <c r="B40" s="4" t="str">
        <v>ADSK-US</v>
      </c>
      <c r="C40" s="2">
        <v>0.57000989999999996</v>
      </c>
      <c r="D40" s="2">
        <v>0.18247983000000001</v>
      </c>
      <c r="E40" s="2">
        <v>0.45402867000000002</v>
      </c>
      <c r="F40" s="2">
        <v>0.1776095</v>
      </c>
      <c r="G40" s="2">
        <v>0.49197906000000002</v>
      </c>
      <c r="H40" s="2">
        <v>0.64434785000000006</v>
      </c>
      <c r="I40" s="2">
        <v>0.20760762999999999</v>
      </c>
      <c r="J40" s="2">
        <v>0.20495145000000001</v>
      </c>
      <c r="K40" s="2">
        <v>0.20658293</v>
      </c>
      <c r="L40" s="2">
        <v>1</v>
      </c>
      <c r="M40" s="2">
        <v>0.34777665000000002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GE Aerospace</v>
      </c>
      <c r="B41" s="4" t="str">
        <v>GE-US</v>
      </c>
      <c r="C41" s="2">
        <v>0.3014616</v>
      </c>
      <c r="D41" s="2">
        <v>9.4351864999999993E-2</v>
      </c>
      <c r="E41" s="2">
        <v>0.418707</v>
      </c>
      <c r="F41" s="2">
        <v>0.122936726</v>
      </c>
      <c r="G41" s="2">
        <v>0.29815143</v>
      </c>
      <c r="H41" s="2">
        <v>0.33655694000000003</v>
      </c>
      <c r="I41" s="2">
        <v>0.26928530000000001</v>
      </c>
      <c r="J41" s="2">
        <v>0.35578543000000001</v>
      </c>
      <c r="K41" s="2">
        <v>0.41727880000000001</v>
      </c>
      <c r="L41" s="2">
        <v>0.34777665000000002</v>
      </c>
      <c r="M41" s="2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2:77" x14ac:dyDescent="0.25"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2:77" x14ac:dyDescent="0.25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2:77" x14ac:dyDescent="0.25"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2:77" x14ac:dyDescent="0.25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2:77" x14ac:dyDescent="0.25"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2:77" x14ac:dyDescent="0.25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2:77" x14ac:dyDescent="0.25"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2:77" x14ac:dyDescent="0.25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2:77" x14ac:dyDescent="0.25"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2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2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2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2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2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2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2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tabSelected="1"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20</v>
      </c>
    </row>
    <row r="6" spans="1:8" x14ac:dyDescent="0.25">
      <c r="B6" s="4" t="s">
        <v>4</v>
      </c>
      <c r="C6" s="4" t="s">
        <v>18</v>
      </c>
      <c r="D6" s="4" t="s">
        <v>9</v>
      </c>
    </row>
    <row r="7" spans="1:8" x14ac:dyDescent="0.25">
      <c r="B7" s="5" cm="1">
        <f t="array" ref="B7:B1263">_xll.FDS(C6,"JULIAN(FG_PRICE("&amp;$B$2&amp;","&amp;$B$2&amp;"-"&amp;$B$3&amp;",,USD).dates)")</f>
        <v>45961</v>
      </c>
      <c r="C7">
        <f t="array" ref="C7:C1263">_xll.FDS($C$6,"P_PRICE_RETURNS(0,"&amp;$B2&amp;","&amp;$B2&amp;"-"&amp;$B$3&amp;",D,USD)")</f>
        <v>-1.5120982999999999</v>
      </c>
      <c r="D7">
        <f t="array" ref="D7:D1263">_xll.FDS($D$6,"P_PRICE_RETURNS(0,"&amp;$B2&amp;","&amp;$B2&amp;"-"&amp;$B$3&amp;",D,USD)")</f>
        <v>0.1139164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0.11480431963182</v>
      </c>
    </row>
    <row r="8" spans="1:8" x14ac:dyDescent="0.25">
      <c r="B8" s="5">
        <v>45960</v>
      </c>
      <c r="C8">
        <v>-2.9156982999999999</v>
      </c>
      <c r="D8">
        <v>-0.70233939999999995</v>
      </c>
      <c r="G8" t="s">
        <v>6</v>
      </c>
      <c r="H8" s="11">
        <f>CORREL(_xlfn.ANCHORARRAY(C7),_xlfn.ANCHORARRAY(D7))</f>
        <v>0.11480431963182026</v>
      </c>
    </row>
    <row r="9" spans="1:8" x14ac:dyDescent="0.25">
      <c r="B9" s="5">
        <v>45959</v>
      </c>
      <c r="C9">
        <v>-9.5933675999999996E-2</v>
      </c>
      <c r="D9">
        <v>-2.2735596</v>
      </c>
      <c r="G9" t="s">
        <v>7</v>
      </c>
      <c r="H9" s="11">
        <f>PEARSON(_xlfn.ANCHORARRAY(C7),_xlfn.ANCHORARRAY(D7))</f>
        <v>0.11480431963182026</v>
      </c>
    </row>
    <row r="10" spans="1:8" x14ac:dyDescent="0.25">
      <c r="B10" s="5">
        <v>45958</v>
      </c>
      <c r="C10">
        <v>1.9848703999999999</v>
      </c>
      <c r="D10">
        <v>-2.2008657</v>
      </c>
    </row>
    <row r="11" spans="1:8" x14ac:dyDescent="0.25">
      <c r="B11" s="5">
        <v>45957</v>
      </c>
      <c r="C11">
        <v>1.5106678</v>
      </c>
      <c r="D11">
        <v>0.68486930000000001</v>
      </c>
    </row>
    <row r="12" spans="1:8" x14ac:dyDescent="0.25">
      <c r="B12" s="5">
        <v>45954</v>
      </c>
      <c r="C12">
        <v>0.58590173999999995</v>
      </c>
      <c r="D12">
        <v>4.6339509999999997</v>
      </c>
    </row>
    <row r="13" spans="1:8" x14ac:dyDescent="0.25">
      <c r="B13" s="5">
        <v>45953</v>
      </c>
      <c r="C13">
        <v>3.85046E-3</v>
      </c>
      <c r="D13">
        <v>6.9140790000000001</v>
      </c>
    </row>
    <row r="14" spans="1:8" x14ac:dyDescent="0.25">
      <c r="B14" s="5">
        <v>45952</v>
      </c>
      <c r="C14">
        <v>0.55634974999999998</v>
      </c>
      <c r="D14">
        <v>0.60001610000000005</v>
      </c>
    </row>
    <row r="15" spans="1:8" x14ac:dyDescent="0.25">
      <c r="B15" s="5">
        <v>45951</v>
      </c>
      <c r="C15">
        <v>0.16834736</v>
      </c>
      <c r="D15">
        <v>1.0454655E-2</v>
      </c>
    </row>
    <row r="16" spans="1:8" x14ac:dyDescent="0.25">
      <c r="B16" s="5">
        <v>45950</v>
      </c>
      <c r="C16">
        <v>0.62501430000000002</v>
      </c>
      <c r="D16">
        <v>1.2826681</v>
      </c>
    </row>
    <row r="17" spans="2:4" x14ac:dyDescent="0.25">
      <c r="B17" s="5">
        <v>45947</v>
      </c>
      <c r="C17">
        <v>0.38506984999999999</v>
      </c>
      <c r="D17">
        <v>-1.7894030000000001</v>
      </c>
    </row>
    <row r="18" spans="2:4" x14ac:dyDescent="0.25">
      <c r="B18" s="5">
        <v>45946</v>
      </c>
      <c r="C18">
        <v>-0.35448074000000002</v>
      </c>
      <c r="D18">
        <v>-0.94004869999999996</v>
      </c>
    </row>
    <row r="19" spans="2:4" x14ac:dyDescent="0.25">
      <c r="B19" s="5">
        <v>45945</v>
      </c>
      <c r="C19">
        <v>-2.7263164999999999E-2</v>
      </c>
      <c r="D19">
        <v>0.14306306999999999</v>
      </c>
    </row>
    <row r="20" spans="2:4" x14ac:dyDescent="0.25">
      <c r="B20" s="5">
        <v>45944</v>
      </c>
      <c r="C20">
        <v>-9.3370676E-2</v>
      </c>
      <c r="D20">
        <v>-0.92514160000000001</v>
      </c>
    </row>
    <row r="21" spans="2:4" x14ac:dyDescent="0.25">
      <c r="B21" s="5">
        <v>45943</v>
      </c>
      <c r="C21">
        <v>0.60474870000000003</v>
      </c>
      <c r="D21">
        <v>1.3594389</v>
      </c>
    </row>
    <row r="22" spans="2:4" x14ac:dyDescent="0.25">
      <c r="B22" s="5">
        <v>45940</v>
      </c>
      <c r="C22">
        <v>-2.1898985</v>
      </c>
      <c r="D22">
        <v>0.20081996999999999</v>
      </c>
    </row>
    <row r="23" spans="2:4" x14ac:dyDescent="0.25">
      <c r="B23" s="5">
        <v>45939</v>
      </c>
      <c r="C23">
        <v>-0.46678782000000002</v>
      </c>
      <c r="D23">
        <v>0.79674719999999999</v>
      </c>
    </row>
    <row r="24" spans="2:4" x14ac:dyDescent="0.25">
      <c r="B24" s="5">
        <v>45938</v>
      </c>
      <c r="C24">
        <v>0.16603470000000001</v>
      </c>
      <c r="D24">
        <v>0.47025679999999997</v>
      </c>
    </row>
    <row r="25" spans="2:4" x14ac:dyDescent="0.25">
      <c r="B25" s="5">
        <v>45937</v>
      </c>
      <c r="C25">
        <v>-0.86838603000000003</v>
      </c>
      <c r="D25">
        <v>-0.41840075999999998</v>
      </c>
    </row>
    <row r="26" spans="2:4" x14ac:dyDescent="0.25">
      <c r="B26" s="5">
        <v>45936</v>
      </c>
      <c r="C26">
        <v>2.1687508000000002</v>
      </c>
      <c r="D26">
        <v>-0.29681324999999997</v>
      </c>
    </row>
    <row r="27" spans="2:4" x14ac:dyDescent="0.25">
      <c r="B27" s="5">
        <v>45933</v>
      </c>
      <c r="C27">
        <v>0.31217337000000001</v>
      </c>
      <c r="D27">
        <v>0.33710002999999999</v>
      </c>
    </row>
    <row r="28" spans="2:4" x14ac:dyDescent="0.25">
      <c r="B28" s="5">
        <v>45932</v>
      </c>
      <c r="C28">
        <v>-0.76389309999999999</v>
      </c>
      <c r="D28">
        <v>-0.92486142999999998</v>
      </c>
    </row>
    <row r="29" spans="2:4" x14ac:dyDescent="0.25">
      <c r="B29" s="5">
        <v>45931</v>
      </c>
      <c r="C29">
        <v>0.33980608000000001</v>
      </c>
      <c r="D29">
        <v>1.7330289000000001</v>
      </c>
    </row>
    <row r="30" spans="2:4" x14ac:dyDescent="0.25">
      <c r="B30" s="5">
        <v>45930</v>
      </c>
      <c r="C30">
        <v>0.65100192999999995</v>
      </c>
      <c r="D30">
        <v>1.7133951000000001</v>
      </c>
    </row>
    <row r="31" spans="2:4" x14ac:dyDescent="0.25">
      <c r="B31" s="5">
        <v>45929</v>
      </c>
      <c r="C31">
        <v>0.61392784</v>
      </c>
      <c r="D31">
        <v>1.3332009</v>
      </c>
    </row>
    <row r="32" spans="2:4" x14ac:dyDescent="0.25">
      <c r="B32" s="5">
        <v>45926</v>
      </c>
      <c r="C32">
        <v>0.8737087</v>
      </c>
      <c r="D32">
        <v>1.2017846000000001</v>
      </c>
    </row>
    <row r="33" spans="2:4" x14ac:dyDescent="0.25">
      <c r="B33" s="5">
        <v>45925</v>
      </c>
      <c r="C33">
        <v>-0.61158539999999995</v>
      </c>
      <c r="D33">
        <v>-1.0338187000000001</v>
      </c>
    </row>
    <row r="34" spans="2:4" x14ac:dyDescent="0.25">
      <c r="B34" s="5">
        <v>45924</v>
      </c>
      <c r="C34">
        <v>0.18066167999999999</v>
      </c>
      <c r="D34">
        <v>0.35979748</v>
      </c>
    </row>
    <row r="35" spans="2:4" x14ac:dyDescent="0.25">
      <c r="B35" s="5">
        <v>45923</v>
      </c>
      <c r="C35">
        <v>-1.0146736999999999</v>
      </c>
      <c r="D35">
        <v>0.41494370000000003</v>
      </c>
    </row>
    <row r="36" spans="2:4" x14ac:dyDescent="0.25">
      <c r="B36" s="5">
        <v>45922</v>
      </c>
      <c r="C36">
        <v>-0.67189929999999998</v>
      </c>
      <c r="D36">
        <v>0.43710470000000001</v>
      </c>
    </row>
    <row r="37" spans="2:4" x14ac:dyDescent="0.25">
      <c r="B37" s="5">
        <v>45919</v>
      </c>
      <c r="C37">
        <v>1.8644810000000001</v>
      </c>
      <c r="D37">
        <v>-6.2532782999999998</v>
      </c>
    </row>
    <row r="38" spans="2:4" x14ac:dyDescent="0.25">
      <c r="B38" s="5">
        <v>45918</v>
      </c>
      <c r="C38">
        <v>-0.3078282</v>
      </c>
      <c r="D38">
        <v>0.33568144</v>
      </c>
    </row>
    <row r="39" spans="2:4" x14ac:dyDescent="0.25">
      <c r="B39" s="5">
        <v>45917</v>
      </c>
      <c r="C39">
        <v>0.19251108</v>
      </c>
      <c r="D39">
        <v>-0.21172762000000001</v>
      </c>
    </row>
    <row r="40" spans="2:4" x14ac:dyDescent="0.25">
      <c r="B40" s="5">
        <v>45916</v>
      </c>
      <c r="C40">
        <v>-1.2263238000000001</v>
      </c>
      <c r="D40">
        <v>-1.5919030000000001</v>
      </c>
    </row>
    <row r="41" spans="2:4" x14ac:dyDescent="0.25">
      <c r="B41" s="5">
        <v>45915</v>
      </c>
      <c r="C41">
        <v>1.0707974</v>
      </c>
      <c r="D41">
        <v>1.4984131000000001</v>
      </c>
    </row>
    <row r="42" spans="2:4" x14ac:dyDescent="0.25">
      <c r="B42" s="5">
        <v>45912</v>
      </c>
      <c r="C42">
        <v>1.7744184000000001</v>
      </c>
      <c r="D42">
        <v>-1.2130916</v>
      </c>
    </row>
    <row r="43" spans="2:4" x14ac:dyDescent="0.25">
      <c r="B43" s="5">
        <v>45911</v>
      </c>
      <c r="C43">
        <v>0.12791157</v>
      </c>
      <c r="D43">
        <v>1.3244152E-2</v>
      </c>
    </row>
    <row r="44" spans="2:4" x14ac:dyDescent="0.25">
      <c r="B44" s="5">
        <v>45910</v>
      </c>
      <c r="C44">
        <v>0.39324759999999997</v>
      </c>
      <c r="D44">
        <v>-0.87125900000000001</v>
      </c>
    </row>
    <row r="45" spans="2:4" x14ac:dyDescent="0.25">
      <c r="B45" s="5">
        <v>45909</v>
      </c>
      <c r="C45">
        <v>4.2152404999999997E-2</v>
      </c>
      <c r="D45">
        <v>-4.6516060000000001</v>
      </c>
    </row>
    <row r="46" spans="2:4" x14ac:dyDescent="0.25">
      <c r="B46" s="5">
        <v>45908</v>
      </c>
      <c r="C46">
        <v>0.64647200000000005</v>
      </c>
      <c r="D46">
        <v>-1.1819601000000001E-2</v>
      </c>
    </row>
    <row r="47" spans="2:4" x14ac:dyDescent="0.25">
      <c r="B47" s="5">
        <v>45905</v>
      </c>
      <c r="C47">
        <v>-2.553302</v>
      </c>
      <c r="D47">
        <v>0.14578104</v>
      </c>
    </row>
    <row r="48" spans="2:4" x14ac:dyDescent="0.25">
      <c r="B48" s="5">
        <v>45904</v>
      </c>
      <c r="C48">
        <v>0.5184531</v>
      </c>
      <c r="D48">
        <v>0.38235187999999998</v>
      </c>
    </row>
    <row r="49" spans="2:4" x14ac:dyDescent="0.25">
      <c r="B49" s="5">
        <v>45903</v>
      </c>
      <c r="C49">
        <v>4.5537950000000001E-2</v>
      </c>
      <c r="D49">
        <v>2.3301004999999999</v>
      </c>
    </row>
    <row r="50" spans="2:4" x14ac:dyDescent="0.25">
      <c r="B50" s="5">
        <v>45902</v>
      </c>
      <c r="C50">
        <v>-0.30985475000000001</v>
      </c>
      <c r="D50">
        <v>-1.6294420000000001</v>
      </c>
    </row>
    <row r="51" spans="2:4" x14ac:dyDescent="0.25">
      <c r="B51" s="5">
        <v>45898</v>
      </c>
      <c r="C51">
        <v>-0.57884455000000001</v>
      </c>
      <c r="D51">
        <v>-0.75094700000000003</v>
      </c>
    </row>
    <row r="52" spans="2:4" x14ac:dyDescent="0.25">
      <c r="B52" s="5">
        <v>45897</v>
      </c>
      <c r="C52">
        <v>0.57228804</v>
      </c>
      <c r="D52">
        <v>-1.2179792</v>
      </c>
    </row>
    <row r="53" spans="2:4" x14ac:dyDescent="0.25">
      <c r="B53" s="5">
        <v>45896</v>
      </c>
      <c r="C53">
        <v>0.93617439999999996</v>
      </c>
      <c r="D53">
        <v>-1.4600812999999999</v>
      </c>
    </row>
    <row r="54" spans="2:4" x14ac:dyDescent="0.25">
      <c r="B54" s="5">
        <v>45895</v>
      </c>
      <c r="C54">
        <v>-0.44025183000000001</v>
      </c>
      <c r="D54">
        <v>0.33226012999999999</v>
      </c>
    </row>
    <row r="55" spans="2:4" x14ac:dyDescent="0.25">
      <c r="B55" s="5">
        <v>45894</v>
      </c>
      <c r="C55">
        <v>-0.58553219999999995</v>
      </c>
      <c r="D55">
        <v>-0.16266108000000001</v>
      </c>
    </row>
    <row r="56" spans="2:4" x14ac:dyDescent="0.25">
      <c r="B56" s="5">
        <v>45891</v>
      </c>
      <c r="C56">
        <v>0.59297085000000005</v>
      </c>
      <c r="D56">
        <v>0.65857169999999998</v>
      </c>
    </row>
    <row r="57" spans="2:4" x14ac:dyDescent="0.25">
      <c r="B57" s="5">
        <v>45890</v>
      </c>
      <c r="C57">
        <v>-0.29265285000000002</v>
      </c>
      <c r="D57">
        <v>-1.1725783000000001</v>
      </c>
    </row>
    <row r="58" spans="2:4" x14ac:dyDescent="0.25">
      <c r="B58" s="5">
        <v>45889</v>
      </c>
      <c r="C58">
        <v>-0.79447630000000002</v>
      </c>
      <c r="D58">
        <v>2.1781682999999998</v>
      </c>
    </row>
    <row r="59" spans="2:4" x14ac:dyDescent="0.25">
      <c r="B59" s="5">
        <v>45888</v>
      </c>
      <c r="C59">
        <v>-1.4175177000000001</v>
      </c>
      <c r="D59">
        <v>0.84803103999999996</v>
      </c>
    </row>
    <row r="60" spans="2:4" x14ac:dyDescent="0.25">
      <c r="B60" s="5">
        <v>45887</v>
      </c>
      <c r="C60">
        <v>-0.59019330000000003</v>
      </c>
      <c r="D60">
        <v>-0.57175756</v>
      </c>
    </row>
    <row r="61" spans="2:4" x14ac:dyDescent="0.25">
      <c r="B61" s="5">
        <v>45884</v>
      </c>
      <c r="C61">
        <v>-0.4421234</v>
      </c>
      <c r="D61">
        <v>-0.39023756999999998</v>
      </c>
    </row>
    <row r="62" spans="2:4" x14ac:dyDescent="0.25">
      <c r="B62" s="5">
        <v>45883</v>
      </c>
      <c r="C62">
        <v>0.36497116000000002</v>
      </c>
      <c r="D62">
        <v>1.5639186</v>
      </c>
    </row>
    <row r="63" spans="2:4" x14ac:dyDescent="0.25">
      <c r="B63" s="5">
        <v>45882</v>
      </c>
      <c r="C63">
        <v>-1.6363025</v>
      </c>
      <c r="D63">
        <v>-1.8801867999999999</v>
      </c>
    </row>
    <row r="64" spans="2:4" x14ac:dyDescent="0.25">
      <c r="B64" s="5">
        <v>45881</v>
      </c>
      <c r="C64">
        <v>1.4316559</v>
      </c>
      <c r="D64">
        <v>-4.7064304000000003</v>
      </c>
    </row>
    <row r="65" spans="2:4" x14ac:dyDescent="0.25">
      <c r="B65" s="5">
        <v>45880</v>
      </c>
      <c r="C65">
        <v>-5.171299E-2</v>
      </c>
      <c r="D65">
        <v>-0.83158609999999999</v>
      </c>
    </row>
    <row r="66" spans="2:4" x14ac:dyDescent="0.25">
      <c r="B66" s="5">
        <v>45877</v>
      </c>
      <c r="C66">
        <v>0.23038386999999999</v>
      </c>
      <c r="D66">
        <v>0.83168744999999999</v>
      </c>
    </row>
    <row r="67" spans="2:4" x14ac:dyDescent="0.25">
      <c r="B67" s="5">
        <v>45876</v>
      </c>
      <c r="C67">
        <v>-0.78103540000000005</v>
      </c>
      <c r="D67">
        <v>-1.3836801000000001</v>
      </c>
    </row>
    <row r="68" spans="2:4" x14ac:dyDescent="0.25">
      <c r="B68" s="5">
        <v>45875</v>
      </c>
      <c r="C68">
        <v>-0.53244829999999999</v>
      </c>
      <c r="D68">
        <v>3.3331393999999999</v>
      </c>
    </row>
    <row r="69" spans="2:4" x14ac:dyDescent="0.25">
      <c r="B69" s="5">
        <v>45874</v>
      </c>
      <c r="C69">
        <v>-1.4730095999999999</v>
      </c>
      <c r="D69">
        <v>1.7204881000000001</v>
      </c>
    </row>
    <row r="70" spans="2:4" x14ac:dyDescent="0.25">
      <c r="B70" s="5">
        <v>45873</v>
      </c>
      <c r="C70">
        <v>2.1999240000000002</v>
      </c>
      <c r="D70">
        <v>3.6950946</v>
      </c>
    </row>
    <row r="71" spans="2:4" x14ac:dyDescent="0.25">
      <c r="B71" s="5">
        <v>45870</v>
      </c>
      <c r="C71">
        <v>-1.7600775</v>
      </c>
      <c r="D71">
        <v>0.79977509999999996</v>
      </c>
    </row>
    <row r="72" spans="2:4" x14ac:dyDescent="0.25">
      <c r="B72" s="5">
        <v>45869</v>
      </c>
      <c r="C72">
        <v>3.9474726000000002</v>
      </c>
      <c r="D72">
        <v>-8.3014779999999995</v>
      </c>
    </row>
    <row r="73" spans="2:4" x14ac:dyDescent="0.25">
      <c r="B73" s="5">
        <v>45868</v>
      </c>
      <c r="C73">
        <v>0.13071299</v>
      </c>
      <c r="D73">
        <v>0.25957823000000002</v>
      </c>
    </row>
    <row r="74" spans="2:4" x14ac:dyDescent="0.25">
      <c r="B74" s="5">
        <v>45867</v>
      </c>
      <c r="C74">
        <v>1.3661385E-2</v>
      </c>
      <c r="D74">
        <v>-1.1243521999999999</v>
      </c>
    </row>
    <row r="75" spans="2:4" x14ac:dyDescent="0.25">
      <c r="B75" s="5">
        <v>45866</v>
      </c>
      <c r="C75">
        <v>-0.23554564</v>
      </c>
      <c r="D75">
        <v>-0.52991509999999997</v>
      </c>
    </row>
    <row r="76" spans="2:4" x14ac:dyDescent="0.25">
      <c r="B76" s="5">
        <v>45863</v>
      </c>
      <c r="C76">
        <v>0.55395364999999996</v>
      </c>
      <c r="D76">
        <v>-2.3201763999999998</v>
      </c>
    </row>
    <row r="77" spans="2:4" x14ac:dyDescent="0.25">
      <c r="B77" s="5">
        <v>45862</v>
      </c>
      <c r="C77">
        <v>0.99037885999999997</v>
      </c>
      <c r="D77">
        <v>-1.3840854</v>
      </c>
    </row>
    <row r="78" spans="2:4" x14ac:dyDescent="0.25">
      <c r="B78" s="5">
        <v>45861</v>
      </c>
      <c r="C78">
        <v>0.11874437</v>
      </c>
      <c r="D78">
        <v>-1.2363434</v>
      </c>
    </row>
    <row r="79" spans="2:4" x14ac:dyDescent="0.25">
      <c r="B79" s="5">
        <v>45860</v>
      </c>
      <c r="C79">
        <v>-0.93910693999999995</v>
      </c>
      <c r="D79">
        <v>-0.91941357000000001</v>
      </c>
    </row>
    <row r="80" spans="2:4" x14ac:dyDescent="0.25">
      <c r="B80" s="5">
        <v>45859</v>
      </c>
      <c r="C80">
        <v>1.9669533000000001E-3</v>
      </c>
      <c r="D80">
        <v>-1.2426197999999999</v>
      </c>
    </row>
    <row r="81" spans="2:4" x14ac:dyDescent="0.25">
      <c r="B81" s="5">
        <v>45856</v>
      </c>
      <c r="C81">
        <v>-0.32246112999999998</v>
      </c>
      <c r="D81">
        <v>1.5223026000000001E-2</v>
      </c>
    </row>
    <row r="82" spans="2:4" x14ac:dyDescent="0.25">
      <c r="B82" s="5">
        <v>45855</v>
      </c>
      <c r="C82">
        <v>1.202488</v>
      </c>
      <c r="D82">
        <v>0.11198521</v>
      </c>
    </row>
    <row r="83" spans="2:4" x14ac:dyDescent="0.25">
      <c r="B83" s="5">
        <v>45854</v>
      </c>
      <c r="C83">
        <v>-3.9541720000000002E-2</v>
      </c>
      <c r="D83">
        <v>8.1002710000000006E-2</v>
      </c>
    </row>
    <row r="84" spans="2:4" x14ac:dyDescent="0.25">
      <c r="B84" s="5">
        <v>45853</v>
      </c>
      <c r="C84">
        <v>0.55663585999999998</v>
      </c>
      <c r="D84">
        <v>-0.60469510000000004</v>
      </c>
    </row>
    <row r="85" spans="2:4" x14ac:dyDescent="0.25">
      <c r="B85" s="5">
        <v>45852</v>
      </c>
      <c r="C85">
        <v>-5.9610604999999997E-2</v>
      </c>
      <c r="D85">
        <v>0.76827999999999996</v>
      </c>
    </row>
    <row r="86" spans="2:4" x14ac:dyDescent="0.25">
      <c r="B86" s="5">
        <v>45849</v>
      </c>
      <c r="C86">
        <v>0.36691426999999999</v>
      </c>
      <c r="D86">
        <v>-1.6472458999999999</v>
      </c>
    </row>
    <row r="87" spans="2:4" x14ac:dyDescent="0.25">
      <c r="B87" s="5">
        <v>45848</v>
      </c>
      <c r="C87">
        <v>-0.40317177999999998</v>
      </c>
      <c r="D87">
        <v>0.11419058</v>
      </c>
    </row>
    <row r="88" spans="2:4" x14ac:dyDescent="0.25">
      <c r="B88" s="5">
        <v>45847</v>
      </c>
      <c r="C88">
        <v>1.3873816000000001</v>
      </c>
      <c r="D88">
        <v>5.5336952000000002E-2</v>
      </c>
    </row>
    <row r="89" spans="2:4" x14ac:dyDescent="0.25">
      <c r="B89" s="5">
        <v>45846</v>
      </c>
      <c r="C89">
        <v>-0.22100806000000001</v>
      </c>
      <c r="D89">
        <v>-3.0893087E-2</v>
      </c>
    </row>
    <row r="90" spans="2:4" x14ac:dyDescent="0.25">
      <c r="B90" s="5">
        <v>45845</v>
      </c>
      <c r="C90">
        <v>-0.22451878</v>
      </c>
      <c r="D90">
        <v>6.5696240000000003E-2</v>
      </c>
    </row>
    <row r="91" spans="2:4" x14ac:dyDescent="0.25">
      <c r="B91" s="5">
        <v>45841</v>
      </c>
      <c r="C91">
        <v>1.5781164000000001</v>
      </c>
      <c r="D91">
        <v>0.20407438</v>
      </c>
    </row>
    <row r="92" spans="2:4" x14ac:dyDescent="0.25">
      <c r="B92" s="5">
        <v>45840</v>
      </c>
      <c r="C92">
        <v>-0.19509792000000001</v>
      </c>
      <c r="D92">
        <v>0.53828955000000001</v>
      </c>
    </row>
    <row r="93" spans="2:4" x14ac:dyDescent="0.25">
      <c r="B93" s="5">
        <v>45839</v>
      </c>
      <c r="C93">
        <v>-1.0775863999999999</v>
      </c>
      <c r="D93">
        <v>0.24335383999999999</v>
      </c>
    </row>
    <row r="94" spans="2:4" x14ac:dyDescent="0.25">
      <c r="B94" s="5">
        <v>45838</v>
      </c>
      <c r="C94">
        <v>0.29640198000000001</v>
      </c>
      <c r="D94">
        <v>-0.69443582999999998</v>
      </c>
    </row>
    <row r="95" spans="2:4" x14ac:dyDescent="0.25">
      <c r="B95" s="5">
        <v>45835</v>
      </c>
      <c r="C95">
        <v>-0.30354857000000002</v>
      </c>
      <c r="D95">
        <v>0.29071570000000002</v>
      </c>
    </row>
    <row r="96" spans="2:4" x14ac:dyDescent="0.25">
      <c r="B96" s="5">
        <v>45834</v>
      </c>
      <c r="C96">
        <v>1.0522723</v>
      </c>
      <c r="D96">
        <v>0.38347244000000003</v>
      </c>
    </row>
    <row r="97" spans="2:4" x14ac:dyDescent="0.25">
      <c r="B97" s="5">
        <v>45833</v>
      </c>
      <c r="C97">
        <v>0.44071674</v>
      </c>
      <c r="D97">
        <v>0.48424006000000003</v>
      </c>
    </row>
    <row r="98" spans="2:4" x14ac:dyDescent="0.25">
      <c r="B98" s="5">
        <v>45832</v>
      </c>
      <c r="C98">
        <v>0.8456707</v>
      </c>
      <c r="D98">
        <v>-4.6366453000000002E-2</v>
      </c>
    </row>
    <row r="99" spans="2:4" x14ac:dyDescent="0.25">
      <c r="B99" s="5">
        <v>45831</v>
      </c>
      <c r="C99">
        <v>1.8014311999999999</v>
      </c>
      <c r="D99">
        <v>-0.51887629999999996</v>
      </c>
    </row>
    <row r="100" spans="2:4" x14ac:dyDescent="0.25">
      <c r="B100" s="5">
        <v>45828</v>
      </c>
      <c r="C100">
        <v>-0.59136750000000005</v>
      </c>
      <c r="D100">
        <v>-0.35945772999999998</v>
      </c>
    </row>
    <row r="101" spans="2:4" x14ac:dyDescent="0.25">
      <c r="B101" s="5">
        <v>45826</v>
      </c>
      <c r="C101">
        <v>0.46020746000000001</v>
      </c>
      <c r="D101">
        <v>-0.63401459999999998</v>
      </c>
    </row>
    <row r="102" spans="2:4" x14ac:dyDescent="0.25">
      <c r="B102" s="5">
        <v>45825</v>
      </c>
      <c r="C102">
        <v>-0.22957921000000001</v>
      </c>
      <c r="D102">
        <v>-2.4515807999999999</v>
      </c>
    </row>
    <row r="103" spans="2:4" x14ac:dyDescent="0.25">
      <c r="B103" s="5">
        <v>45824</v>
      </c>
      <c r="C103">
        <v>0.88007449999999998</v>
      </c>
      <c r="D103">
        <v>0.73667764999999996</v>
      </c>
    </row>
    <row r="104" spans="2:4" x14ac:dyDescent="0.25">
      <c r="B104" s="5">
        <v>45821</v>
      </c>
      <c r="C104">
        <v>-0.81650615000000004</v>
      </c>
      <c r="D104">
        <v>-0.49276947999999998</v>
      </c>
    </row>
    <row r="105" spans="2:4" x14ac:dyDescent="0.25">
      <c r="B105" s="5">
        <v>45820</v>
      </c>
      <c r="C105">
        <v>1.3224125</v>
      </c>
      <c r="D105">
        <v>-0.66174865000000005</v>
      </c>
    </row>
    <row r="106" spans="2:4" x14ac:dyDescent="0.25">
      <c r="B106" s="5">
        <v>45819</v>
      </c>
      <c r="C106">
        <v>0.36098956999999998</v>
      </c>
      <c r="D106">
        <v>0.21860599999999999</v>
      </c>
    </row>
    <row r="107" spans="2:4" x14ac:dyDescent="0.25">
      <c r="B107" s="5">
        <v>45818</v>
      </c>
      <c r="C107">
        <v>-0.38709640000000001</v>
      </c>
      <c r="D107">
        <v>-0.40301084999999998</v>
      </c>
    </row>
    <row r="108" spans="2:4" x14ac:dyDescent="0.25">
      <c r="B108" s="5">
        <v>45817</v>
      </c>
      <c r="C108">
        <v>0.50385000000000002</v>
      </c>
      <c r="D108">
        <v>-1.3541757999999999</v>
      </c>
    </row>
    <row r="109" spans="2:4" x14ac:dyDescent="0.25">
      <c r="B109" s="5">
        <v>45814</v>
      </c>
      <c r="C109">
        <v>0.57731867000000003</v>
      </c>
      <c r="D109">
        <v>0.39588213</v>
      </c>
    </row>
    <row r="110" spans="2:4" x14ac:dyDescent="0.25">
      <c r="B110" s="5">
        <v>45813</v>
      </c>
      <c r="C110">
        <v>0.82135199999999997</v>
      </c>
      <c r="D110">
        <v>-6.6554550000000004E-2</v>
      </c>
    </row>
    <row r="111" spans="2:4" x14ac:dyDescent="0.25">
      <c r="B111" s="5">
        <v>45812</v>
      </c>
      <c r="C111">
        <v>0.19439459000000001</v>
      </c>
      <c r="D111">
        <v>0.93487500000000001</v>
      </c>
    </row>
    <row r="112" spans="2:4" x14ac:dyDescent="0.25">
      <c r="B112" s="5">
        <v>45811</v>
      </c>
      <c r="C112">
        <v>0.21646023</v>
      </c>
      <c r="D112">
        <v>-0.75077415000000003</v>
      </c>
    </row>
    <row r="113" spans="2:4" x14ac:dyDescent="0.25">
      <c r="B113" s="5">
        <v>45810</v>
      </c>
      <c r="C113">
        <v>0.34972429999999999</v>
      </c>
      <c r="D113">
        <v>0.81623789999999996</v>
      </c>
    </row>
    <row r="114" spans="2:4" x14ac:dyDescent="0.25">
      <c r="B114" s="5">
        <v>45807</v>
      </c>
      <c r="C114">
        <v>0.36627053999999998</v>
      </c>
      <c r="D114">
        <v>-0.77719689999999997</v>
      </c>
    </row>
    <row r="115" spans="2:4" x14ac:dyDescent="0.25">
      <c r="B115" s="5">
        <v>45806</v>
      </c>
      <c r="C115">
        <v>0.28861759999999997</v>
      </c>
      <c r="D115">
        <v>-0.29826760000000002</v>
      </c>
    </row>
    <row r="116" spans="2:4" x14ac:dyDescent="0.25">
      <c r="B116" s="5">
        <v>45805</v>
      </c>
      <c r="C116">
        <v>-0.72283149999999996</v>
      </c>
      <c r="D116">
        <v>-2.0016729999999998</v>
      </c>
    </row>
    <row r="117" spans="2:4" x14ac:dyDescent="0.25">
      <c r="B117" s="5">
        <v>45804</v>
      </c>
      <c r="C117">
        <v>2.3346186000000002</v>
      </c>
      <c r="D117">
        <v>0.78600645000000002</v>
      </c>
    </row>
    <row r="118" spans="2:4" x14ac:dyDescent="0.25">
      <c r="B118" s="5">
        <v>45800</v>
      </c>
      <c r="C118">
        <v>-1.0288835000000001</v>
      </c>
      <c r="D118">
        <v>1.0219693000000001</v>
      </c>
    </row>
    <row r="119" spans="2:4" x14ac:dyDescent="0.25">
      <c r="B119" s="5">
        <v>45799</v>
      </c>
      <c r="C119">
        <v>0.50599574999999997</v>
      </c>
      <c r="D119">
        <v>-0.17258525</v>
      </c>
    </row>
    <row r="120" spans="2:4" x14ac:dyDescent="0.25">
      <c r="B120" s="5">
        <v>45798</v>
      </c>
      <c r="C120">
        <v>-1.2222527999999999</v>
      </c>
      <c r="D120">
        <v>0.27538538000000001</v>
      </c>
    </row>
    <row r="121" spans="2:4" x14ac:dyDescent="0.25">
      <c r="B121" s="5">
        <v>45797</v>
      </c>
      <c r="C121">
        <v>-0.15254617000000001</v>
      </c>
      <c r="D121">
        <v>-0.11519790000000001</v>
      </c>
    </row>
    <row r="122" spans="2:4" x14ac:dyDescent="0.25">
      <c r="B122" s="5">
        <v>45796</v>
      </c>
      <c r="C122">
        <v>1.0126113999999999</v>
      </c>
      <c r="D122">
        <v>0.81263779999999997</v>
      </c>
    </row>
    <row r="123" spans="2:4" x14ac:dyDescent="0.25">
      <c r="B123" s="5">
        <v>45793</v>
      </c>
      <c r="C123">
        <v>0.25157928000000002</v>
      </c>
      <c r="D123">
        <v>0.76171160000000004</v>
      </c>
    </row>
    <row r="124" spans="2:4" x14ac:dyDescent="0.25">
      <c r="B124" s="5">
        <v>45792</v>
      </c>
      <c r="C124">
        <v>4.1949750000000001E-2</v>
      </c>
      <c r="D124">
        <v>0.42014121999999998</v>
      </c>
    </row>
    <row r="125" spans="2:4" x14ac:dyDescent="0.25">
      <c r="B125" s="5">
        <v>45791</v>
      </c>
      <c r="C125">
        <v>0.84606409999999999</v>
      </c>
      <c r="D125">
        <v>1.1116743</v>
      </c>
    </row>
    <row r="126" spans="2:4" x14ac:dyDescent="0.25">
      <c r="B126" s="5">
        <v>45790</v>
      </c>
      <c r="C126">
        <v>-2.6708841000000001E-2</v>
      </c>
      <c r="D126">
        <v>0.16499758</v>
      </c>
    </row>
    <row r="127" spans="2:4" x14ac:dyDescent="0.25">
      <c r="B127" s="5">
        <v>45789</v>
      </c>
      <c r="C127">
        <v>2.4001122000000001</v>
      </c>
      <c r="D127">
        <v>-0.81802010000000003</v>
      </c>
    </row>
    <row r="128" spans="2:4" x14ac:dyDescent="0.25">
      <c r="B128" s="5">
        <v>45786</v>
      </c>
      <c r="C128">
        <v>0.12780427999999999</v>
      </c>
      <c r="D128">
        <v>-1.3397098000000001</v>
      </c>
    </row>
    <row r="129" spans="2:4" x14ac:dyDescent="0.25">
      <c r="B129" s="5">
        <v>45785</v>
      </c>
      <c r="C129">
        <v>1.1122704000000001</v>
      </c>
      <c r="D129">
        <v>-1.7563759999999999</v>
      </c>
    </row>
    <row r="130" spans="2:4" x14ac:dyDescent="0.25">
      <c r="B130" s="5">
        <v>45784</v>
      </c>
      <c r="C130">
        <v>9.2387200000000006E-3</v>
      </c>
      <c r="D130">
        <v>-0.20936727999999999</v>
      </c>
    </row>
    <row r="131" spans="2:4" x14ac:dyDescent="0.25">
      <c r="B131" s="5">
        <v>45783</v>
      </c>
      <c r="C131">
        <v>-0.65571069999999998</v>
      </c>
      <c r="D131">
        <v>1.0060309999999999</v>
      </c>
    </row>
    <row r="132" spans="2:4" x14ac:dyDescent="0.25">
      <c r="B132" s="5">
        <v>45782</v>
      </c>
      <c r="C132">
        <v>0.20446776999999999</v>
      </c>
      <c r="D132">
        <v>-0.11258720999999999</v>
      </c>
    </row>
    <row r="133" spans="2:4" x14ac:dyDescent="0.25">
      <c r="B133" s="5">
        <v>45779</v>
      </c>
      <c r="C133">
        <v>2.3225188000000001</v>
      </c>
      <c r="D133">
        <v>1.9998193</v>
      </c>
    </row>
    <row r="134" spans="2:4" x14ac:dyDescent="0.25">
      <c r="B134" s="5">
        <v>45778</v>
      </c>
      <c r="C134">
        <v>7.6253533000000004</v>
      </c>
      <c r="D134">
        <v>-2.7222037000000001</v>
      </c>
    </row>
    <row r="135" spans="2:4" x14ac:dyDescent="0.25">
      <c r="B135" s="5">
        <v>45777</v>
      </c>
      <c r="C135">
        <v>0.30961037000000002</v>
      </c>
      <c r="D135">
        <v>1.6815662</v>
      </c>
    </row>
    <row r="136" spans="2:4" x14ac:dyDescent="0.25">
      <c r="B136" s="5">
        <v>45776</v>
      </c>
      <c r="C136">
        <v>0.73627233999999997</v>
      </c>
      <c r="D136">
        <v>0.42532681999999999</v>
      </c>
    </row>
    <row r="137" spans="2:4" x14ac:dyDescent="0.25">
      <c r="B137" s="5">
        <v>45775</v>
      </c>
      <c r="C137">
        <v>-0.17609</v>
      </c>
      <c r="D137">
        <v>-0.1239717</v>
      </c>
    </row>
    <row r="138" spans="2:4" x14ac:dyDescent="0.25">
      <c r="B138" s="5">
        <v>45772</v>
      </c>
      <c r="C138">
        <v>1.1748075</v>
      </c>
      <c r="D138">
        <v>-0.43669342999999999</v>
      </c>
    </row>
    <row r="139" spans="2:4" x14ac:dyDescent="0.25">
      <c r="B139" s="5">
        <v>45771</v>
      </c>
      <c r="C139">
        <v>3.4482718000000001</v>
      </c>
      <c r="D139">
        <v>0.17427206000000001</v>
      </c>
    </row>
    <row r="140" spans="2:4" x14ac:dyDescent="0.25">
      <c r="B140" s="5">
        <v>45770</v>
      </c>
      <c r="C140">
        <v>2.0636796999999998</v>
      </c>
      <c r="D140">
        <v>-1.5237987</v>
      </c>
    </row>
    <row r="141" spans="2:4" x14ac:dyDescent="0.25">
      <c r="B141" s="5">
        <v>45769</v>
      </c>
      <c r="C141">
        <v>2.1441340000000002</v>
      </c>
      <c r="D141">
        <v>1.9006729</v>
      </c>
    </row>
    <row r="142" spans="2:4" x14ac:dyDescent="0.25">
      <c r="B142" s="5">
        <v>45768</v>
      </c>
      <c r="C142">
        <v>-2.3546695999999998</v>
      </c>
      <c r="D142">
        <v>1.1901617</v>
      </c>
    </row>
    <row r="143" spans="2:4" x14ac:dyDescent="0.25">
      <c r="B143" s="5">
        <v>45764</v>
      </c>
      <c r="C143">
        <v>-1.0306477999999999</v>
      </c>
      <c r="D143">
        <v>-0.42892098000000001</v>
      </c>
    </row>
    <row r="144" spans="2:4" x14ac:dyDescent="0.25">
      <c r="B144" s="5">
        <v>45763</v>
      </c>
      <c r="C144">
        <v>-3.6605954000000001</v>
      </c>
      <c r="D144">
        <v>7.5495240000000005E-2</v>
      </c>
    </row>
    <row r="145" spans="2:4" x14ac:dyDescent="0.25">
      <c r="B145" s="5">
        <v>45762</v>
      </c>
      <c r="C145">
        <v>-0.5363405</v>
      </c>
      <c r="D145">
        <v>3.3004760000000002</v>
      </c>
    </row>
    <row r="146" spans="2:4" x14ac:dyDescent="0.25">
      <c r="B146" s="5">
        <v>45761</v>
      </c>
      <c r="C146">
        <v>-0.16475915999999999</v>
      </c>
      <c r="D146">
        <v>0.17766952999999999</v>
      </c>
    </row>
    <row r="147" spans="2:4" x14ac:dyDescent="0.25">
      <c r="B147" s="5">
        <v>45758</v>
      </c>
      <c r="C147">
        <v>1.8618106999999999</v>
      </c>
      <c r="D147">
        <v>0.42971373000000002</v>
      </c>
    </row>
    <row r="148" spans="2:4" x14ac:dyDescent="0.25">
      <c r="B148" s="5">
        <v>45757</v>
      </c>
      <c r="C148">
        <v>-2.3406446000000001</v>
      </c>
      <c r="D148">
        <v>6.7499757000000002</v>
      </c>
    </row>
    <row r="149" spans="2:4" x14ac:dyDescent="0.25">
      <c r="B149" s="5">
        <v>45756</v>
      </c>
      <c r="C149">
        <v>10.133684000000001</v>
      </c>
      <c r="D149">
        <v>-1.9770144999999999</v>
      </c>
    </row>
    <row r="150" spans="2:4" x14ac:dyDescent="0.25">
      <c r="B150" s="5">
        <v>45755</v>
      </c>
      <c r="C150">
        <v>-0.92214346000000003</v>
      </c>
      <c r="D150">
        <v>5.3392770000000001</v>
      </c>
    </row>
    <row r="151" spans="2:4" x14ac:dyDescent="0.25">
      <c r="B151" s="5">
        <v>45754</v>
      </c>
      <c r="C151">
        <v>-0.55024624</v>
      </c>
      <c r="D151">
        <v>-8.6785139999999998</v>
      </c>
    </row>
    <row r="152" spans="2:4" x14ac:dyDescent="0.25">
      <c r="B152" s="5">
        <v>45751</v>
      </c>
      <c r="C152">
        <v>-3.5565913</v>
      </c>
      <c r="D152">
        <v>-7.3041143000000002</v>
      </c>
    </row>
    <row r="153" spans="2:4" x14ac:dyDescent="0.25">
      <c r="B153" s="5">
        <v>45750</v>
      </c>
      <c r="C153">
        <v>-2.3630141999999998</v>
      </c>
      <c r="D153">
        <v>2.3375273000000001</v>
      </c>
    </row>
    <row r="154" spans="2:4" x14ac:dyDescent="0.25">
      <c r="B154" s="5">
        <v>45749</v>
      </c>
      <c r="C154">
        <v>-1.3077259000000001E-2</v>
      </c>
      <c r="D154">
        <v>1.4896512</v>
      </c>
    </row>
    <row r="155" spans="2:4" x14ac:dyDescent="0.25">
      <c r="B155" s="5">
        <v>45748</v>
      </c>
      <c r="C155">
        <v>1.8114448000000001</v>
      </c>
      <c r="D155">
        <v>1.2636662000000001</v>
      </c>
    </row>
    <row r="156" spans="2:4" x14ac:dyDescent="0.25">
      <c r="B156" s="5">
        <v>45747</v>
      </c>
      <c r="C156">
        <v>-0.90020299999999998</v>
      </c>
      <c r="D156">
        <v>-0.86823700000000004</v>
      </c>
    </row>
    <row r="157" spans="2:4" x14ac:dyDescent="0.25">
      <c r="B157" s="5">
        <v>45744</v>
      </c>
      <c r="C157">
        <v>-3.0160247999999998</v>
      </c>
      <c r="D157">
        <v>1.6979694000000001</v>
      </c>
    </row>
    <row r="158" spans="2:4" x14ac:dyDescent="0.25">
      <c r="B158" s="5">
        <v>45743</v>
      </c>
      <c r="C158">
        <v>0.15641451000000001</v>
      </c>
      <c r="D158">
        <v>1.4332533000000001</v>
      </c>
    </row>
    <row r="159" spans="2:4" x14ac:dyDescent="0.25">
      <c r="B159" s="5">
        <v>45742</v>
      </c>
      <c r="C159">
        <v>-1.3133942999999999</v>
      </c>
      <c r="D159">
        <v>-0.11519790000000001</v>
      </c>
    </row>
    <row r="160" spans="2:4" x14ac:dyDescent="0.25">
      <c r="B160" s="5">
        <v>45741</v>
      </c>
      <c r="C160">
        <v>0.52915809999999996</v>
      </c>
      <c r="D160">
        <v>-3.399253E-2</v>
      </c>
    </row>
    <row r="161" spans="2:4" x14ac:dyDescent="0.25">
      <c r="B161" s="5">
        <v>45740</v>
      </c>
      <c r="C161">
        <v>0.46515465</v>
      </c>
      <c r="D161">
        <v>-1.3488531E-2</v>
      </c>
    </row>
    <row r="162" spans="2:4" x14ac:dyDescent="0.25">
      <c r="B162" s="5">
        <v>45737</v>
      </c>
      <c r="C162">
        <v>1.1425972</v>
      </c>
      <c r="D162">
        <v>-0.72225930000000005</v>
      </c>
    </row>
    <row r="163" spans="2:4" x14ac:dyDescent="0.25">
      <c r="B163" s="5">
        <v>45736</v>
      </c>
      <c r="C163">
        <v>-0.25269985</v>
      </c>
      <c r="D163">
        <v>2.7832984999999999</v>
      </c>
    </row>
    <row r="164" spans="2:4" x14ac:dyDescent="0.25">
      <c r="B164" s="5">
        <v>45735</v>
      </c>
      <c r="C164">
        <v>1.1211990999999999</v>
      </c>
      <c r="D164">
        <v>0.55394169999999998</v>
      </c>
    </row>
    <row r="165" spans="2:4" x14ac:dyDescent="0.25">
      <c r="B165" s="5">
        <v>45734</v>
      </c>
      <c r="C165">
        <v>-1.3326526000000001</v>
      </c>
      <c r="D165">
        <v>-0.95628500000000005</v>
      </c>
    </row>
    <row r="166" spans="2:4" x14ac:dyDescent="0.25">
      <c r="B166" s="5">
        <v>45733</v>
      </c>
      <c r="C166">
        <v>3.6036970000000002E-2</v>
      </c>
      <c r="D166">
        <v>0.48849583000000002</v>
      </c>
    </row>
    <row r="167" spans="2:4" x14ac:dyDescent="0.25">
      <c r="B167" s="5">
        <v>45730</v>
      </c>
      <c r="C167">
        <v>2.5846840000000002</v>
      </c>
      <c r="D167">
        <v>-1.1203289000000001</v>
      </c>
    </row>
    <row r="168" spans="2:4" x14ac:dyDescent="0.25">
      <c r="B168" s="5">
        <v>45729</v>
      </c>
      <c r="C168">
        <v>-1.1741041999999999</v>
      </c>
      <c r="D168">
        <v>-1.3344765000000001</v>
      </c>
    </row>
    <row r="169" spans="2:4" x14ac:dyDescent="0.25">
      <c r="B169" s="5">
        <v>45728</v>
      </c>
      <c r="C169">
        <v>0.74121950000000003</v>
      </c>
      <c r="D169">
        <v>1.6079426000000001</v>
      </c>
    </row>
    <row r="170" spans="2:4" x14ac:dyDescent="0.25">
      <c r="B170" s="5">
        <v>45727</v>
      </c>
      <c r="C170">
        <v>7.6282024000000004E-2</v>
      </c>
      <c r="D170">
        <v>3.7105203000000002</v>
      </c>
    </row>
    <row r="171" spans="2:4" x14ac:dyDescent="0.25">
      <c r="B171" s="5">
        <v>45726</v>
      </c>
      <c r="C171">
        <v>-3.3434153000000002</v>
      </c>
      <c r="D171">
        <v>-1.3993679999999999</v>
      </c>
    </row>
    <row r="172" spans="2:4" x14ac:dyDescent="0.25">
      <c r="B172" s="5">
        <v>45723</v>
      </c>
      <c r="C172">
        <v>-0.90201500000000001</v>
      </c>
      <c r="D172">
        <v>-0.47914385999999998</v>
      </c>
    </row>
    <row r="173" spans="2:4" x14ac:dyDescent="0.25">
      <c r="B173" s="5">
        <v>45722</v>
      </c>
      <c r="C173">
        <v>-1.0298669</v>
      </c>
      <c r="D173">
        <v>-3.9362967000000002</v>
      </c>
    </row>
    <row r="174" spans="2:4" x14ac:dyDescent="0.25">
      <c r="B174" s="5">
        <v>45721</v>
      </c>
      <c r="C174">
        <v>3.193438</v>
      </c>
      <c r="D174">
        <v>-0.96431374999999997</v>
      </c>
    </row>
    <row r="175" spans="2:4" x14ac:dyDescent="0.25">
      <c r="B175" s="5">
        <v>45720</v>
      </c>
      <c r="C175">
        <v>3.0887127E-2</v>
      </c>
      <c r="D175">
        <v>-0.94309449999999995</v>
      </c>
    </row>
    <row r="176" spans="2:4" x14ac:dyDescent="0.25">
      <c r="B176" s="5">
        <v>45719</v>
      </c>
      <c r="C176">
        <v>-2.1411120000000001</v>
      </c>
      <c r="D176">
        <v>5.6695938000000001E-2</v>
      </c>
    </row>
    <row r="177" spans="2:4" x14ac:dyDescent="0.25">
      <c r="B177" s="5">
        <v>45716</v>
      </c>
      <c r="C177">
        <v>1.1362194999999999</v>
      </c>
      <c r="D177">
        <v>0.30372143000000001</v>
      </c>
    </row>
    <row r="178" spans="2:4" x14ac:dyDescent="0.25">
      <c r="B178" s="5">
        <v>45715</v>
      </c>
      <c r="C178">
        <v>-1.8012166000000001</v>
      </c>
      <c r="D178">
        <v>5.5087565999999999</v>
      </c>
    </row>
    <row r="179" spans="2:4" x14ac:dyDescent="0.25">
      <c r="B179" s="5">
        <v>45714</v>
      </c>
      <c r="C179">
        <v>0.45992136</v>
      </c>
      <c r="D179">
        <v>-2.0462274999999999E-2</v>
      </c>
    </row>
    <row r="180" spans="2:4" x14ac:dyDescent="0.25">
      <c r="B180" s="5">
        <v>45713</v>
      </c>
      <c r="C180">
        <v>-1.5099049</v>
      </c>
      <c r="D180">
        <v>-1.1503159999999999</v>
      </c>
    </row>
    <row r="181" spans="2:4" x14ac:dyDescent="0.25">
      <c r="B181" s="5">
        <v>45712</v>
      </c>
      <c r="C181">
        <v>-1.0313272</v>
      </c>
      <c r="D181">
        <v>-2.6144147000000002</v>
      </c>
    </row>
    <row r="182" spans="2:4" x14ac:dyDescent="0.25">
      <c r="B182" s="5">
        <v>45709</v>
      </c>
      <c r="C182">
        <v>-1.9032538000000001</v>
      </c>
      <c r="D182">
        <v>-0.98681450000000004</v>
      </c>
    </row>
    <row r="183" spans="2:4" x14ac:dyDescent="0.25">
      <c r="B183" s="5">
        <v>45708</v>
      </c>
      <c r="C183">
        <v>0.32789707000000001</v>
      </c>
      <c r="D183">
        <v>0.35026073000000002</v>
      </c>
    </row>
    <row r="184" spans="2:4" x14ac:dyDescent="0.25">
      <c r="B184" s="5">
        <v>45707</v>
      </c>
      <c r="C184">
        <v>1.2523173999999999</v>
      </c>
      <c r="D184">
        <v>-7.8022480000000005E-2</v>
      </c>
    </row>
    <row r="185" spans="2:4" x14ac:dyDescent="0.25">
      <c r="B185" s="5">
        <v>45706</v>
      </c>
      <c r="C185">
        <v>0.29625892999999998</v>
      </c>
      <c r="D185">
        <v>-1.5854836000000001E-2</v>
      </c>
    </row>
    <row r="186" spans="2:4" x14ac:dyDescent="0.25">
      <c r="B186" s="5">
        <v>45702</v>
      </c>
      <c r="C186">
        <v>-0.51395893000000004</v>
      </c>
      <c r="D186">
        <v>1.0611534</v>
      </c>
    </row>
    <row r="187" spans="2:4" x14ac:dyDescent="0.25">
      <c r="B187" s="5">
        <v>45701</v>
      </c>
      <c r="C187">
        <v>0.36671162000000002</v>
      </c>
      <c r="D187">
        <v>4.1222571999999999E-2</v>
      </c>
    </row>
    <row r="188" spans="2:4" x14ac:dyDescent="0.25">
      <c r="B188" s="5">
        <v>45700</v>
      </c>
      <c r="C188">
        <v>-0.58331489999999997</v>
      </c>
      <c r="D188">
        <v>0.64646006</v>
      </c>
    </row>
    <row r="189" spans="2:4" x14ac:dyDescent="0.25">
      <c r="B189" s="5">
        <v>45699</v>
      </c>
      <c r="C189">
        <v>-0.1892209</v>
      </c>
      <c r="D189">
        <v>0.14126300999999999</v>
      </c>
    </row>
    <row r="190" spans="2:4" x14ac:dyDescent="0.25">
      <c r="B190" s="5">
        <v>45698</v>
      </c>
      <c r="C190">
        <v>0.60280560000000005</v>
      </c>
      <c r="D190">
        <v>-0.57789683000000003</v>
      </c>
    </row>
    <row r="191" spans="2:4" x14ac:dyDescent="0.25">
      <c r="B191" s="5">
        <v>45695</v>
      </c>
      <c r="C191">
        <v>-1.4597654</v>
      </c>
      <c r="D191">
        <v>-0.26950836</v>
      </c>
    </row>
    <row r="192" spans="2:4" x14ac:dyDescent="0.25">
      <c r="B192" s="5">
        <v>45694</v>
      </c>
      <c r="C192">
        <v>0.61216353999999995</v>
      </c>
      <c r="D192">
        <v>-3.5697996999999999</v>
      </c>
    </row>
    <row r="193" spans="2:4" x14ac:dyDescent="0.25">
      <c r="B193" s="5">
        <v>45693</v>
      </c>
      <c r="C193">
        <v>0.22310019</v>
      </c>
      <c r="D193">
        <v>1.0726690000000001</v>
      </c>
    </row>
    <row r="194" spans="2:4" x14ac:dyDescent="0.25">
      <c r="B194" s="5">
        <v>45692</v>
      </c>
      <c r="C194">
        <v>0.35285949999999999</v>
      </c>
      <c r="D194">
        <v>1.4269829000000001</v>
      </c>
    </row>
    <row r="195" spans="2:4" x14ac:dyDescent="0.25">
      <c r="B195" s="5">
        <v>45691</v>
      </c>
      <c r="C195">
        <v>-0.99744200000000005</v>
      </c>
      <c r="D195">
        <v>-1.2410998</v>
      </c>
    </row>
    <row r="196" spans="2:4" x14ac:dyDescent="0.25">
      <c r="B196" s="5">
        <v>45688</v>
      </c>
      <c r="C196">
        <v>1.6868114E-2</v>
      </c>
      <c r="D196">
        <v>-0.42760372000000002</v>
      </c>
    </row>
    <row r="197" spans="2:4" x14ac:dyDescent="0.25">
      <c r="B197" s="5">
        <v>45687</v>
      </c>
      <c r="C197">
        <v>-6.1809063000000002</v>
      </c>
      <c r="D197">
        <v>2.1348715</v>
      </c>
    </row>
    <row r="198" spans="2:4" x14ac:dyDescent="0.25">
      <c r="B198" s="5">
        <v>45686</v>
      </c>
      <c r="C198">
        <v>-1.0890067000000001</v>
      </c>
      <c r="D198">
        <v>1.1278629</v>
      </c>
    </row>
    <row r="199" spans="2:4" x14ac:dyDescent="0.25">
      <c r="B199" s="5">
        <v>45685</v>
      </c>
      <c r="C199">
        <v>2.9086946999999999</v>
      </c>
      <c r="D199">
        <v>-0.29005407999999999</v>
      </c>
    </row>
    <row r="200" spans="2:4" x14ac:dyDescent="0.25">
      <c r="B200" s="5">
        <v>45684</v>
      </c>
      <c r="C200">
        <v>-2.1393477999999999</v>
      </c>
      <c r="D200">
        <v>-0.80933569999999999</v>
      </c>
    </row>
    <row r="201" spans="2:4" x14ac:dyDescent="0.25">
      <c r="B201" s="5">
        <v>45681</v>
      </c>
      <c r="C201">
        <v>-0.59322715000000004</v>
      </c>
      <c r="D201">
        <v>7.4005130000000002E-2</v>
      </c>
    </row>
    <row r="202" spans="2:4" x14ac:dyDescent="0.25">
      <c r="B202" s="5">
        <v>45680</v>
      </c>
      <c r="C202">
        <v>0.11429787</v>
      </c>
      <c r="D202">
        <v>-0.27781129999999998</v>
      </c>
    </row>
    <row r="203" spans="2:4" x14ac:dyDescent="0.25">
      <c r="B203" s="5">
        <v>45679</v>
      </c>
      <c r="C203">
        <v>4.1306972999999996</v>
      </c>
      <c r="D203">
        <v>1.4960169999999999</v>
      </c>
    </row>
    <row r="204" spans="2:4" x14ac:dyDescent="0.25">
      <c r="B204" s="5">
        <v>45678</v>
      </c>
      <c r="C204">
        <v>-0.12353659</v>
      </c>
      <c r="D204">
        <v>1.0807514</v>
      </c>
    </row>
    <row r="205" spans="2:4" x14ac:dyDescent="0.25">
      <c r="B205" s="5">
        <v>45674</v>
      </c>
      <c r="C205">
        <v>1.0481</v>
      </c>
      <c r="D205">
        <v>-0.45521855</v>
      </c>
    </row>
    <row r="206" spans="2:4" x14ac:dyDescent="0.25">
      <c r="B206" s="5">
        <v>45673</v>
      </c>
      <c r="C206">
        <v>-0.40581225999999998</v>
      </c>
      <c r="D206">
        <v>1.3557196</v>
      </c>
    </row>
    <row r="207" spans="2:4" x14ac:dyDescent="0.25">
      <c r="B207" s="5">
        <v>45672</v>
      </c>
      <c r="C207">
        <v>2.5597215000000002</v>
      </c>
      <c r="D207">
        <v>0.51867960000000002</v>
      </c>
    </row>
    <row r="208" spans="2:4" x14ac:dyDescent="0.25">
      <c r="B208" s="5">
        <v>45671</v>
      </c>
      <c r="C208">
        <v>-0.36433935000000001</v>
      </c>
      <c r="D208">
        <v>0.69868565000000005</v>
      </c>
    </row>
    <row r="209" spans="2:4" x14ac:dyDescent="0.25">
      <c r="B209" s="5">
        <v>45670</v>
      </c>
      <c r="C209">
        <v>-0.42009950000000001</v>
      </c>
      <c r="D209">
        <v>-1.5233219</v>
      </c>
    </row>
    <row r="210" spans="2:4" x14ac:dyDescent="0.25">
      <c r="B210" s="5">
        <v>45667</v>
      </c>
      <c r="C210">
        <v>-1.3213634000000001</v>
      </c>
      <c r="D210">
        <v>-0.40370225999999998</v>
      </c>
    </row>
    <row r="211" spans="2:4" x14ac:dyDescent="0.25">
      <c r="B211" s="5">
        <v>45665</v>
      </c>
      <c r="C211">
        <v>0.51850079999999998</v>
      </c>
      <c r="D211">
        <v>0.40215254</v>
      </c>
    </row>
    <row r="212" spans="2:4" x14ac:dyDescent="0.25">
      <c r="B212" s="5">
        <v>45664</v>
      </c>
      <c r="C212">
        <v>-1.2808263</v>
      </c>
      <c r="D212">
        <v>0.83075759999999998</v>
      </c>
    </row>
    <row r="213" spans="2:4" x14ac:dyDescent="0.25">
      <c r="B213" s="5">
        <v>45663</v>
      </c>
      <c r="C213">
        <v>1.0629535000000001</v>
      </c>
      <c r="D213">
        <v>-3.6603212000000003E-2</v>
      </c>
    </row>
    <row r="214" spans="2:4" x14ac:dyDescent="0.25">
      <c r="B214" s="5">
        <v>45660</v>
      </c>
      <c r="C214">
        <v>1.1395693</v>
      </c>
      <c r="D214">
        <v>-0.20260811000000001</v>
      </c>
    </row>
    <row r="215" spans="2:4" x14ac:dyDescent="0.25">
      <c r="B215" s="5">
        <v>45659</v>
      </c>
      <c r="C215">
        <v>-0.69276689999999996</v>
      </c>
      <c r="D215">
        <v>0.43417214999999998</v>
      </c>
    </row>
    <row r="216" spans="2:4" x14ac:dyDescent="0.25">
      <c r="B216" s="5">
        <v>45657</v>
      </c>
      <c r="C216">
        <v>-0.78383683999999998</v>
      </c>
      <c r="D216">
        <v>-2.4980307E-2</v>
      </c>
    </row>
    <row r="217" spans="2:4" x14ac:dyDescent="0.25">
      <c r="B217" s="5">
        <v>45656</v>
      </c>
      <c r="C217">
        <v>-1.3239502999999999</v>
      </c>
      <c r="D217">
        <v>-0.81183910000000004</v>
      </c>
    </row>
    <row r="218" spans="2:4" x14ac:dyDescent="0.25">
      <c r="B218" s="5">
        <v>45653</v>
      </c>
      <c r="C218">
        <v>-1.730156</v>
      </c>
      <c r="D218">
        <v>0.59592723999999997</v>
      </c>
    </row>
    <row r="219" spans="2:4" x14ac:dyDescent="0.25">
      <c r="B219" s="5">
        <v>45652</v>
      </c>
      <c r="C219">
        <v>-0.27769803999999998</v>
      </c>
      <c r="D219">
        <v>-0.23525357</v>
      </c>
    </row>
    <row r="220" spans="2:4" x14ac:dyDescent="0.25">
      <c r="B220" s="5">
        <v>45650</v>
      </c>
      <c r="C220">
        <v>0.93739030000000001</v>
      </c>
      <c r="D220">
        <v>0.93330144999999998</v>
      </c>
    </row>
    <row r="221" spans="2:4" x14ac:dyDescent="0.25">
      <c r="B221" s="5">
        <v>45649</v>
      </c>
      <c r="C221">
        <v>-0.30921102</v>
      </c>
      <c r="D221">
        <v>-0.88485480000000005</v>
      </c>
    </row>
    <row r="222" spans="2:4" x14ac:dyDescent="0.25">
      <c r="B222" s="5">
        <v>45646</v>
      </c>
      <c r="C222">
        <v>-9.8389389999999993E-2</v>
      </c>
      <c r="D222">
        <v>-1.1905313</v>
      </c>
    </row>
    <row r="223" spans="2:4" x14ac:dyDescent="0.25">
      <c r="B223" s="5">
        <v>45645</v>
      </c>
      <c r="C223">
        <v>-8.2308054000000005E-2</v>
      </c>
      <c r="D223">
        <v>-1.5138864999999999</v>
      </c>
    </row>
    <row r="224" spans="2:4" x14ac:dyDescent="0.25">
      <c r="B224" s="5">
        <v>45644</v>
      </c>
      <c r="C224">
        <v>-3.7561</v>
      </c>
      <c r="D224">
        <v>-0.54668784000000004</v>
      </c>
    </row>
    <row r="225" spans="2:4" x14ac:dyDescent="0.25">
      <c r="B225" s="5">
        <v>45643</v>
      </c>
      <c r="C225">
        <v>0.63552856000000002</v>
      </c>
      <c r="D225">
        <v>0.37504435000000003</v>
      </c>
    </row>
    <row r="226" spans="2:4" x14ac:dyDescent="0.25">
      <c r="B226" s="5">
        <v>45642</v>
      </c>
      <c r="C226">
        <v>0.96585750000000004</v>
      </c>
      <c r="D226">
        <v>1.7226695999999999</v>
      </c>
    </row>
    <row r="227" spans="2:4" x14ac:dyDescent="0.25">
      <c r="B227" s="5">
        <v>45639</v>
      </c>
      <c r="C227">
        <v>-0.50938724999999996</v>
      </c>
      <c r="D227">
        <v>-0.47965646000000001</v>
      </c>
    </row>
    <row r="228" spans="2:4" x14ac:dyDescent="0.25">
      <c r="B228" s="5">
        <v>45638</v>
      </c>
      <c r="C228">
        <v>0.12695790000000001</v>
      </c>
      <c r="D228">
        <v>-1.6462803000000002E-2</v>
      </c>
    </row>
    <row r="229" spans="2:4" x14ac:dyDescent="0.25">
      <c r="B229" s="5">
        <v>45637</v>
      </c>
      <c r="C229">
        <v>1.2767075999999999</v>
      </c>
      <c r="D229">
        <v>1.1845349999999999</v>
      </c>
    </row>
    <row r="230" spans="2:4" x14ac:dyDescent="0.25">
      <c r="B230" s="5">
        <v>45636</v>
      </c>
      <c r="C230">
        <v>-0.60310960000000002</v>
      </c>
      <c r="D230">
        <v>-0.49763918000000001</v>
      </c>
    </row>
    <row r="231" spans="2:4" x14ac:dyDescent="0.25">
      <c r="B231" s="5">
        <v>45635</v>
      </c>
      <c r="C231">
        <v>0.55233239999999995</v>
      </c>
      <c r="D231">
        <v>-0.99004510000000001</v>
      </c>
    </row>
    <row r="232" spans="2:4" x14ac:dyDescent="0.25">
      <c r="B232" s="5">
        <v>45632</v>
      </c>
      <c r="C232">
        <v>0.21463632999999999</v>
      </c>
      <c r="D232">
        <v>-0.71734189999999998</v>
      </c>
    </row>
    <row r="233" spans="2:4" x14ac:dyDescent="0.25">
      <c r="B233" s="5">
        <v>45631</v>
      </c>
      <c r="C233">
        <v>1.1887789</v>
      </c>
      <c r="D233">
        <v>0.38164853999999998</v>
      </c>
    </row>
    <row r="234" spans="2:4" x14ac:dyDescent="0.25">
      <c r="B234" s="5">
        <v>45630</v>
      </c>
      <c r="C234">
        <v>1.4424920000000001</v>
      </c>
      <c r="D234">
        <v>1.3093948</v>
      </c>
    </row>
    <row r="235" spans="2:4" x14ac:dyDescent="0.25">
      <c r="B235" s="5">
        <v>45629</v>
      </c>
      <c r="C235">
        <v>5.1045418000000002E-2</v>
      </c>
      <c r="D235">
        <v>0.60858727000000001</v>
      </c>
    </row>
    <row r="236" spans="2:4" x14ac:dyDescent="0.25">
      <c r="B236" s="5">
        <v>45628</v>
      </c>
      <c r="C236">
        <v>1.7758489</v>
      </c>
      <c r="D236">
        <v>-0.46880840000000001</v>
      </c>
    </row>
    <row r="237" spans="2:4" x14ac:dyDescent="0.25">
      <c r="B237" s="5">
        <v>45625</v>
      </c>
      <c r="C237">
        <v>0.11111498</v>
      </c>
      <c r="D237">
        <v>0.51996710000000002</v>
      </c>
    </row>
    <row r="238" spans="2:4" x14ac:dyDescent="0.25">
      <c r="B238" s="5">
        <v>45623</v>
      </c>
      <c r="C238">
        <v>-1.1682509999999999</v>
      </c>
      <c r="D238">
        <v>1.2676954</v>
      </c>
    </row>
    <row r="239" spans="2:4" x14ac:dyDescent="0.25">
      <c r="B239" s="5">
        <v>45622</v>
      </c>
      <c r="C239">
        <v>2.1968006999999998</v>
      </c>
      <c r="D239">
        <v>-0.29304027999999999</v>
      </c>
    </row>
    <row r="240" spans="2:4" x14ac:dyDescent="0.25">
      <c r="B240" s="5">
        <v>45621</v>
      </c>
      <c r="C240">
        <v>0.42926072999999998</v>
      </c>
      <c r="D240">
        <v>1.5125512999999999</v>
      </c>
    </row>
    <row r="241" spans="2:4" x14ac:dyDescent="0.25">
      <c r="B241" s="5">
        <v>45618</v>
      </c>
      <c r="C241">
        <v>1.0003209</v>
      </c>
      <c r="D241">
        <v>7.4410439999999994E-2</v>
      </c>
    </row>
    <row r="242" spans="2:4" x14ac:dyDescent="0.25">
      <c r="B242" s="5">
        <v>45617</v>
      </c>
      <c r="C242">
        <v>-0.63058139999999996</v>
      </c>
      <c r="D242">
        <v>0.73775053000000002</v>
      </c>
    </row>
    <row r="243" spans="2:4" x14ac:dyDescent="0.25">
      <c r="B243" s="5">
        <v>45616</v>
      </c>
      <c r="C243">
        <v>-0.55052040000000002</v>
      </c>
      <c r="D243">
        <v>1.4800787</v>
      </c>
    </row>
    <row r="244" spans="2:4" x14ac:dyDescent="0.25">
      <c r="B244" s="5">
        <v>45615</v>
      </c>
      <c r="C244">
        <v>0.48825740000000001</v>
      </c>
      <c r="D244">
        <v>0.38487909999999997</v>
      </c>
    </row>
    <row r="245" spans="2:4" x14ac:dyDescent="0.25">
      <c r="B245" s="5">
        <v>45614</v>
      </c>
      <c r="C245">
        <v>0.18312930999999999</v>
      </c>
      <c r="D245">
        <v>0.74955225000000003</v>
      </c>
    </row>
    <row r="246" spans="2:4" x14ac:dyDescent="0.25">
      <c r="B246" s="5">
        <v>45611</v>
      </c>
      <c r="C246">
        <v>-2.7852654000000001</v>
      </c>
      <c r="D246">
        <v>-0.62947869999999995</v>
      </c>
    </row>
    <row r="247" spans="2:4" x14ac:dyDescent="0.25">
      <c r="B247" s="5">
        <v>45610</v>
      </c>
      <c r="C247">
        <v>0.39745570000000002</v>
      </c>
      <c r="D247">
        <v>-0.30527710000000002</v>
      </c>
    </row>
    <row r="248" spans="2:4" x14ac:dyDescent="0.25">
      <c r="B248" s="5">
        <v>45609</v>
      </c>
      <c r="C248">
        <v>0.51296949999999997</v>
      </c>
      <c r="D248">
        <v>0.30212401999999999</v>
      </c>
    </row>
    <row r="249" spans="2:4" x14ac:dyDescent="0.25">
      <c r="B249" s="5">
        <v>45608</v>
      </c>
      <c r="C249">
        <v>1.2009262999999999</v>
      </c>
      <c r="D249">
        <v>-2.8112710000000001</v>
      </c>
    </row>
    <row r="250" spans="2:4" x14ac:dyDescent="0.25">
      <c r="B250" s="5">
        <v>45607</v>
      </c>
      <c r="C250">
        <v>-1.0720848999999999</v>
      </c>
      <c r="D250">
        <v>7.2371959999999999E-2</v>
      </c>
    </row>
    <row r="251" spans="2:4" x14ac:dyDescent="0.25">
      <c r="B251" s="5">
        <v>45604</v>
      </c>
      <c r="C251">
        <v>-0.67930820000000003</v>
      </c>
      <c r="D251">
        <v>-0.63500999999999996</v>
      </c>
    </row>
    <row r="252" spans="2:4" x14ac:dyDescent="0.25">
      <c r="B252" s="5">
        <v>45603</v>
      </c>
      <c r="C252">
        <v>1.2494683</v>
      </c>
      <c r="D252">
        <v>-0.12847781</v>
      </c>
    </row>
    <row r="253" spans="2:4" x14ac:dyDescent="0.25">
      <c r="B253" s="5">
        <v>45602</v>
      </c>
      <c r="C253">
        <v>2.1192790000000001</v>
      </c>
      <c r="D253">
        <v>-0.96017719999999995</v>
      </c>
    </row>
    <row r="254" spans="2:4" x14ac:dyDescent="0.25">
      <c r="B254" s="5">
        <v>45601</v>
      </c>
      <c r="C254">
        <v>0.73446034999999998</v>
      </c>
      <c r="D254">
        <v>0.82203150000000003</v>
      </c>
    </row>
    <row r="255" spans="2:4" x14ac:dyDescent="0.25">
      <c r="B255" s="5">
        <v>45600</v>
      </c>
      <c r="C255">
        <v>-0.46543479999999998</v>
      </c>
      <c r="D255">
        <v>0.72498320000000005</v>
      </c>
    </row>
    <row r="256" spans="2:4" x14ac:dyDescent="0.25">
      <c r="B256" s="5">
        <v>45597</v>
      </c>
      <c r="C256">
        <v>0.98929405000000004</v>
      </c>
      <c r="D256">
        <v>3.0459999999999998</v>
      </c>
    </row>
    <row r="257" spans="2:4" x14ac:dyDescent="0.25">
      <c r="B257" s="5">
        <v>45596</v>
      </c>
      <c r="C257">
        <v>-6.0527563000000004</v>
      </c>
      <c r="D257">
        <v>-1.4572084000000001</v>
      </c>
    </row>
    <row r="258" spans="2:4" x14ac:dyDescent="0.25">
      <c r="B258" s="5">
        <v>45595</v>
      </c>
      <c r="C258">
        <v>0.13427734</v>
      </c>
      <c r="D258">
        <v>-0.48062205000000002</v>
      </c>
    </row>
    <row r="259" spans="2:4" x14ac:dyDescent="0.25">
      <c r="B259" s="5">
        <v>45594</v>
      </c>
      <c r="C259">
        <v>1.2564778000000001</v>
      </c>
      <c r="D259">
        <v>-0.84409714000000002</v>
      </c>
    </row>
    <row r="260" spans="2:4" x14ac:dyDescent="0.25">
      <c r="B260" s="5">
        <v>45593</v>
      </c>
      <c r="C260">
        <v>-0.36435722999999998</v>
      </c>
      <c r="D260">
        <v>0.90458393000000004</v>
      </c>
    </row>
    <row r="261" spans="2:4" x14ac:dyDescent="0.25">
      <c r="B261" s="5">
        <v>45590</v>
      </c>
      <c r="C261">
        <v>0.80521107000000003</v>
      </c>
      <c r="D261">
        <v>-0.21579862</v>
      </c>
    </row>
    <row r="262" spans="2:4" x14ac:dyDescent="0.25">
      <c r="B262" s="5">
        <v>45589</v>
      </c>
      <c r="C262">
        <v>3.0612945999999999E-2</v>
      </c>
      <c r="D262">
        <v>2.6870728000000002</v>
      </c>
    </row>
    <row r="263" spans="2:4" x14ac:dyDescent="0.25">
      <c r="B263" s="5">
        <v>45588</v>
      </c>
      <c r="C263">
        <v>-0.68068503999999996</v>
      </c>
      <c r="D263">
        <v>-1.5114725</v>
      </c>
    </row>
    <row r="264" spans="2:4" x14ac:dyDescent="0.25">
      <c r="B264" s="5">
        <v>45587</v>
      </c>
      <c r="C264">
        <v>2.0846247999999998</v>
      </c>
      <c r="D264">
        <v>-1.0740995</v>
      </c>
    </row>
    <row r="265" spans="2:4" x14ac:dyDescent="0.25">
      <c r="B265" s="5">
        <v>45586</v>
      </c>
      <c r="C265">
        <v>0.14827251</v>
      </c>
      <c r="D265">
        <v>0.48499107000000002</v>
      </c>
    </row>
    <row r="266" spans="2:4" x14ac:dyDescent="0.25">
      <c r="B266" s="5">
        <v>45583</v>
      </c>
      <c r="C266">
        <v>0.34555196999999999</v>
      </c>
      <c r="D266">
        <v>0.73032379999999997</v>
      </c>
    </row>
    <row r="267" spans="2:4" x14ac:dyDescent="0.25">
      <c r="B267" s="5">
        <v>45582</v>
      </c>
      <c r="C267">
        <v>0.14419556</v>
      </c>
      <c r="D267">
        <v>1.5613317</v>
      </c>
    </row>
    <row r="268" spans="2:4" x14ac:dyDescent="0.25">
      <c r="B268" s="5">
        <v>45581</v>
      </c>
      <c r="C268">
        <v>-0.62568784</v>
      </c>
      <c r="D268">
        <v>-3.8534403000000002E-2</v>
      </c>
    </row>
    <row r="269" spans="2:4" x14ac:dyDescent="0.25">
      <c r="B269" s="5">
        <v>45580</v>
      </c>
      <c r="C269">
        <v>-9.5438960000000003E-2</v>
      </c>
      <c r="D269">
        <v>1.1408567000000001</v>
      </c>
    </row>
    <row r="270" spans="2:4" x14ac:dyDescent="0.25">
      <c r="B270" s="5">
        <v>45579</v>
      </c>
      <c r="C270">
        <v>0.67737099999999995</v>
      </c>
      <c r="D270">
        <v>0.35572051999999998</v>
      </c>
    </row>
    <row r="271" spans="2:4" x14ac:dyDescent="0.25">
      <c r="B271" s="5">
        <v>45576</v>
      </c>
      <c r="C271">
        <v>0.115430355</v>
      </c>
      <c r="D271">
        <v>0.38229226999999999</v>
      </c>
    </row>
    <row r="272" spans="2:4" x14ac:dyDescent="0.25">
      <c r="B272" s="5">
        <v>45575</v>
      </c>
      <c r="C272">
        <v>-0.38806200000000002</v>
      </c>
      <c r="D272">
        <v>-1.0052323000000001</v>
      </c>
    </row>
    <row r="273" spans="2:4" x14ac:dyDescent="0.25">
      <c r="B273" s="5">
        <v>45574</v>
      </c>
      <c r="C273">
        <v>0.66311359999999997</v>
      </c>
      <c r="D273">
        <v>-5.4895880000000001E-3</v>
      </c>
    </row>
    <row r="274" spans="2:4" x14ac:dyDescent="0.25">
      <c r="B274" s="5">
        <v>45573</v>
      </c>
      <c r="C274">
        <v>1.2623906</v>
      </c>
      <c r="D274">
        <v>0.5558014</v>
      </c>
    </row>
    <row r="275" spans="2:4" x14ac:dyDescent="0.25">
      <c r="B275" s="5">
        <v>45572</v>
      </c>
      <c r="C275">
        <v>-1.5670776</v>
      </c>
      <c r="D275">
        <v>-1.3387739999999999</v>
      </c>
    </row>
    <row r="276" spans="2:4" x14ac:dyDescent="0.25">
      <c r="B276" s="5">
        <v>45569</v>
      </c>
      <c r="C276">
        <v>-0.11523962</v>
      </c>
      <c r="D276">
        <v>-1.3117671</v>
      </c>
    </row>
    <row r="277" spans="2:4" x14ac:dyDescent="0.25">
      <c r="B277" s="5">
        <v>45568</v>
      </c>
      <c r="C277">
        <v>-0.14144182</v>
      </c>
      <c r="D277">
        <v>-0.77728629999999999</v>
      </c>
    </row>
    <row r="278" spans="2:4" x14ac:dyDescent="0.25">
      <c r="B278" s="5">
        <v>45567</v>
      </c>
      <c r="C278">
        <v>-0.84623099999999996</v>
      </c>
      <c r="D278">
        <v>4.0173530000000004E-3</v>
      </c>
    </row>
    <row r="279" spans="2:4" x14ac:dyDescent="0.25">
      <c r="B279" s="5">
        <v>45566</v>
      </c>
      <c r="C279">
        <v>-2.2333205</v>
      </c>
      <c r="D279">
        <v>-1.8531084E-2</v>
      </c>
    </row>
    <row r="280" spans="2:4" x14ac:dyDescent="0.25">
      <c r="B280" s="5">
        <v>45565</v>
      </c>
      <c r="C280">
        <v>0.53268669999999996</v>
      </c>
      <c r="D280">
        <v>-0.3938198</v>
      </c>
    </row>
    <row r="281" spans="2:4" x14ac:dyDescent="0.25">
      <c r="B281" s="5">
        <v>45562</v>
      </c>
      <c r="C281">
        <v>-0.76279640000000004</v>
      </c>
      <c r="D281">
        <v>0.11967420600000001</v>
      </c>
    </row>
    <row r="282" spans="2:4" x14ac:dyDescent="0.25">
      <c r="B282" s="5">
        <v>45561</v>
      </c>
      <c r="C282">
        <v>-0.18513799</v>
      </c>
      <c r="D282">
        <v>-0.97498894000000003</v>
      </c>
    </row>
    <row r="283" spans="2:4" x14ac:dyDescent="0.25">
      <c r="B283" s="5">
        <v>45560</v>
      </c>
      <c r="C283">
        <v>0.68503619999999998</v>
      </c>
      <c r="D283">
        <v>1.3144374000000001</v>
      </c>
    </row>
    <row r="284" spans="2:4" x14ac:dyDescent="0.25">
      <c r="B284" s="5">
        <v>45559</v>
      </c>
      <c r="C284">
        <v>-1.0011315000000001</v>
      </c>
      <c r="D284">
        <v>-0.88863970000000003</v>
      </c>
    </row>
    <row r="285" spans="2:4" x14ac:dyDescent="0.25">
      <c r="B285" s="5">
        <v>45558</v>
      </c>
      <c r="C285">
        <v>-0.40434003000000002</v>
      </c>
      <c r="D285">
        <v>0.91691020000000001</v>
      </c>
    </row>
    <row r="286" spans="2:4" x14ac:dyDescent="0.25">
      <c r="B286" s="5">
        <v>45555</v>
      </c>
      <c r="C286">
        <v>-0.77959895000000001</v>
      </c>
      <c r="D286">
        <v>0.17030239</v>
      </c>
    </row>
    <row r="287" spans="2:4" x14ac:dyDescent="0.25">
      <c r="B287" s="5">
        <v>45554</v>
      </c>
      <c r="C287">
        <v>1.8291116000000001</v>
      </c>
      <c r="D287">
        <v>-0.27702450000000001</v>
      </c>
    </row>
    <row r="288" spans="2:4" x14ac:dyDescent="0.25">
      <c r="B288" s="5">
        <v>45553</v>
      </c>
      <c r="C288">
        <v>-0.99735856000000001</v>
      </c>
      <c r="D288">
        <v>-0.29071570000000002</v>
      </c>
    </row>
    <row r="289" spans="2:4" x14ac:dyDescent="0.25">
      <c r="B289" s="5">
        <v>45552</v>
      </c>
      <c r="C289">
        <v>0.88329314999999997</v>
      </c>
      <c r="D289">
        <v>-0.74945689999999998</v>
      </c>
    </row>
    <row r="290" spans="2:4" x14ac:dyDescent="0.25">
      <c r="B290" s="5">
        <v>45551</v>
      </c>
      <c r="C290">
        <v>0.17417669999999999</v>
      </c>
      <c r="D290">
        <v>0.52598714999999996</v>
      </c>
    </row>
    <row r="291" spans="2:4" x14ac:dyDescent="0.25">
      <c r="B291" s="5">
        <v>45548</v>
      </c>
      <c r="C291">
        <v>0.84074736000000005</v>
      </c>
      <c r="D291">
        <v>0.65413712999999996</v>
      </c>
    </row>
    <row r="292" spans="2:4" x14ac:dyDescent="0.25">
      <c r="B292" s="5">
        <v>45547</v>
      </c>
      <c r="C292">
        <v>0.93607899999999999</v>
      </c>
      <c r="D292">
        <v>1.4274359000000001</v>
      </c>
    </row>
    <row r="293" spans="2:4" x14ac:dyDescent="0.25">
      <c r="B293" s="5">
        <v>45546</v>
      </c>
      <c r="C293">
        <v>2.1342397000000002</v>
      </c>
      <c r="D293">
        <v>-0.31403900000000001</v>
      </c>
    </row>
    <row r="294" spans="2:4" x14ac:dyDescent="0.25">
      <c r="B294" s="5">
        <v>45545</v>
      </c>
      <c r="C294">
        <v>2.0901084000000001</v>
      </c>
      <c r="D294">
        <v>-0.17586350000000001</v>
      </c>
    </row>
    <row r="295" spans="2:4" x14ac:dyDescent="0.25">
      <c r="B295" s="5">
        <v>45544</v>
      </c>
      <c r="C295">
        <v>1.0007381</v>
      </c>
      <c r="D295">
        <v>1.1306643000000001</v>
      </c>
    </row>
    <row r="296" spans="2:4" x14ac:dyDescent="0.25">
      <c r="B296" s="5">
        <v>45541</v>
      </c>
      <c r="C296">
        <v>-1.6381383</v>
      </c>
      <c r="D296">
        <v>1.0144591000000001</v>
      </c>
    </row>
    <row r="297" spans="2:4" x14ac:dyDescent="0.25">
      <c r="B297" s="5">
        <v>45540</v>
      </c>
      <c r="C297">
        <v>-0.12472272</v>
      </c>
      <c r="D297">
        <v>-0.46648980000000001</v>
      </c>
    </row>
    <row r="298" spans="2:4" x14ac:dyDescent="0.25">
      <c r="B298" s="5">
        <v>45539</v>
      </c>
      <c r="C298">
        <v>-0.13188720000000001</v>
      </c>
      <c r="D298">
        <v>0.31385422000000002</v>
      </c>
    </row>
    <row r="299" spans="2:4" x14ac:dyDescent="0.25">
      <c r="B299" s="5">
        <v>45538</v>
      </c>
      <c r="C299">
        <v>-1.8459082</v>
      </c>
      <c r="D299">
        <v>-1.2476087</v>
      </c>
    </row>
    <row r="300" spans="2:4" x14ac:dyDescent="0.25">
      <c r="B300" s="5">
        <v>45534</v>
      </c>
      <c r="C300">
        <v>0.97309349999999994</v>
      </c>
      <c r="D300">
        <v>8.8882450000000002E-2</v>
      </c>
    </row>
    <row r="301" spans="2:4" x14ac:dyDescent="0.25">
      <c r="B301" s="5">
        <v>45533</v>
      </c>
      <c r="C301">
        <v>0.61373710000000004</v>
      </c>
      <c r="D301">
        <v>-0.34148096999999999</v>
      </c>
    </row>
    <row r="302" spans="2:4" x14ac:dyDescent="0.25">
      <c r="B302" s="5">
        <v>45532</v>
      </c>
      <c r="C302">
        <v>-0.78290700000000002</v>
      </c>
      <c r="D302">
        <v>0.68627596000000002</v>
      </c>
    </row>
    <row r="303" spans="2:4" x14ac:dyDescent="0.25">
      <c r="B303" s="5">
        <v>45531</v>
      </c>
      <c r="C303">
        <v>8.4650520000000007E-2</v>
      </c>
      <c r="D303">
        <v>1.4864801999999999</v>
      </c>
    </row>
    <row r="304" spans="2:4" x14ac:dyDescent="0.25">
      <c r="B304" s="5">
        <v>45530</v>
      </c>
      <c r="C304">
        <v>-0.79177019999999998</v>
      </c>
      <c r="D304">
        <v>9.8562239999999995E-2</v>
      </c>
    </row>
    <row r="305" spans="2:4" x14ac:dyDescent="0.25">
      <c r="B305" s="5">
        <v>45527</v>
      </c>
      <c r="C305">
        <v>0.29840470000000002</v>
      </c>
      <c r="D305">
        <v>0.67162513999999995</v>
      </c>
    </row>
    <row r="306" spans="2:4" x14ac:dyDescent="0.25">
      <c r="B306" s="5">
        <v>45526</v>
      </c>
      <c r="C306">
        <v>-2.0252824</v>
      </c>
      <c r="D306">
        <v>0.75677633</v>
      </c>
    </row>
    <row r="307" spans="2:4" x14ac:dyDescent="0.25">
      <c r="B307" s="5">
        <v>45525</v>
      </c>
      <c r="C307">
        <v>-0.15535950000000001</v>
      </c>
      <c r="D307">
        <v>0.42312145000000001</v>
      </c>
    </row>
    <row r="308" spans="2:4" x14ac:dyDescent="0.25">
      <c r="B308" s="5">
        <v>45524</v>
      </c>
      <c r="C308">
        <v>0.77574253000000004</v>
      </c>
      <c r="D308">
        <v>6.1058998000000003E-2</v>
      </c>
    </row>
    <row r="309" spans="2:4" x14ac:dyDescent="0.25">
      <c r="B309" s="5">
        <v>45523</v>
      </c>
      <c r="C309">
        <v>0.73122980000000004</v>
      </c>
      <c r="D309">
        <v>0.78979730000000004</v>
      </c>
    </row>
    <row r="310" spans="2:4" x14ac:dyDescent="0.25">
      <c r="B310" s="5">
        <v>45520</v>
      </c>
      <c r="C310">
        <v>-0.60803293999999997</v>
      </c>
      <c r="D310">
        <v>0.36383866999999998</v>
      </c>
    </row>
    <row r="311" spans="2:4" x14ac:dyDescent="0.25">
      <c r="B311" s="5">
        <v>45519</v>
      </c>
      <c r="C311">
        <v>1.0003447999999999</v>
      </c>
      <c r="D311">
        <v>-0.29962660000000002</v>
      </c>
    </row>
    <row r="312" spans="2:4" x14ac:dyDescent="0.25">
      <c r="B312" s="5">
        <v>45518</v>
      </c>
      <c r="C312">
        <v>0.68838595999999996</v>
      </c>
      <c r="D312">
        <v>0.44668912999999999</v>
      </c>
    </row>
    <row r="313" spans="2:4" x14ac:dyDescent="0.25">
      <c r="B313" s="5">
        <v>45517</v>
      </c>
      <c r="C313">
        <v>1.7698765000000001</v>
      </c>
      <c r="D313">
        <v>0.63250065</v>
      </c>
    </row>
    <row r="314" spans="2:4" x14ac:dyDescent="0.25">
      <c r="B314" s="5">
        <v>45516</v>
      </c>
      <c r="C314">
        <v>0.19457340000000001</v>
      </c>
      <c r="D314">
        <v>1.3093948</v>
      </c>
    </row>
    <row r="315" spans="2:4" x14ac:dyDescent="0.25">
      <c r="B315" s="5">
        <v>45513</v>
      </c>
      <c r="C315">
        <v>0.82693099999999997</v>
      </c>
      <c r="D315">
        <v>1.1390448</v>
      </c>
    </row>
    <row r="316" spans="2:4" x14ac:dyDescent="0.25">
      <c r="B316" s="5">
        <v>45512</v>
      </c>
      <c r="C316">
        <v>1.0691999999999999</v>
      </c>
      <c r="D316">
        <v>0.62584877000000005</v>
      </c>
    </row>
    <row r="317" spans="2:4" x14ac:dyDescent="0.25">
      <c r="B317" s="5">
        <v>45511</v>
      </c>
      <c r="C317">
        <v>-0.29528736999999999</v>
      </c>
      <c r="D317">
        <v>1.9116282</v>
      </c>
    </row>
    <row r="318" spans="2:4" x14ac:dyDescent="0.25">
      <c r="B318" s="5">
        <v>45510</v>
      </c>
      <c r="C318">
        <v>1.1286855</v>
      </c>
      <c r="D318">
        <v>-1.1398911</v>
      </c>
    </row>
    <row r="319" spans="2:4" x14ac:dyDescent="0.25">
      <c r="B319" s="5">
        <v>45509</v>
      </c>
      <c r="C319">
        <v>-3.2656847999999998</v>
      </c>
      <c r="D319">
        <v>-1.9295393999999999</v>
      </c>
    </row>
    <row r="320" spans="2:4" x14ac:dyDescent="0.25">
      <c r="B320" s="5">
        <v>45506</v>
      </c>
      <c r="C320">
        <v>-2.0666003000000002</v>
      </c>
      <c r="D320">
        <v>-1.0286211999999999</v>
      </c>
    </row>
    <row r="321" spans="2:4" x14ac:dyDescent="0.25">
      <c r="B321" s="5">
        <v>45505</v>
      </c>
      <c r="C321">
        <v>-0.29640793999999998</v>
      </c>
      <c r="D321">
        <v>3.6126136999999998</v>
      </c>
    </row>
    <row r="322" spans="2:4" x14ac:dyDescent="0.25">
      <c r="B322" s="5">
        <v>45504</v>
      </c>
      <c r="C322">
        <v>-1.0805845000000001</v>
      </c>
      <c r="D322">
        <v>0.14586449000000001</v>
      </c>
    </row>
    <row r="323" spans="2:4" x14ac:dyDescent="0.25">
      <c r="B323" s="5">
        <v>45503</v>
      </c>
      <c r="C323">
        <v>-0.89283586000000004</v>
      </c>
      <c r="D323">
        <v>-0.14011860000000001</v>
      </c>
    </row>
    <row r="324" spans="2:4" x14ac:dyDescent="0.25">
      <c r="B324" s="5">
        <v>45502</v>
      </c>
      <c r="C324">
        <v>0.34331083000000001</v>
      </c>
      <c r="D324">
        <v>-0.15989542000000001</v>
      </c>
    </row>
    <row r="325" spans="2:4" x14ac:dyDescent="0.25">
      <c r="B325" s="5">
        <v>45499</v>
      </c>
      <c r="C325">
        <v>1.6419649000000001</v>
      </c>
      <c r="D325">
        <v>0.92885494000000002</v>
      </c>
    </row>
    <row r="326" spans="2:4" x14ac:dyDescent="0.25">
      <c r="B326" s="5">
        <v>45498</v>
      </c>
      <c r="C326">
        <v>-2.4481237</v>
      </c>
      <c r="D326">
        <v>-0.98004340000000001</v>
      </c>
    </row>
    <row r="327" spans="2:4" x14ac:dyDescent="0.25">
      <c r="B327" s="5">
        <v>45497</v>
      </c>
      <c r="C327">
        <v>-3.5854816</v>
      </c>
      <c r="D327">
        <v>-0.11308193</v>
      </c>
    </row>
    <row r="328" spans="2:4" x14ac:dyDescent="0.25">
      <c r="B328" s="5">
        <v>45496</v>
      </c>
      <c r="C328">
        <v>0.43121576</v>
      </c>
      <c r="D328">
        <v>0.15196799999999999</v>
      </c>
    </row>
    <row r="329" spans="2:4" x14ac:dyDescent="0.25">
      <c r="B329" s="5">
        <v>45495</v>
      </c>
      <c r="C329">
        <v>1.3337612000000001</v>
      </c>
      <c r="D329">
        <v>0.12532473</v>
      </c>
    </row>
    <row r="330" spans="2:4" x14ac:dyDescent="0.25">
      <c r="B330" s="5">
        <v>45492</v>
      </c>
      <c r="C330">
        <v>-0.74028970000000005</v>
      </c>
      <c r="D330">
        <v>-0.97832680000000005</v>
      </c>
    </row>
    <row r="331" spans="2:4" x14ac:dyDescent="0.25">
      <c r="B331" s="5">
        <v>45491</v>
      </c>
      <c r="C331">
        <v>-0.71022510000000005</v>
      </c>
      <c r="D331">
        <v>0.44254064999999998</v>
      </c>
    </row>
    <row r="332" spans="2:4" x14ac:dyDescent="0.25">
      <c r="B332" s="5">
        <v>45490</v>
      </c>
      <c r="C332">
        <v>-1.3347566</v>
      </c>
      <c r="D332">
        <v>2.6297569999999999E-2</v>
      </c>
    </row>
    <row r="333" spans="2:4" x14ac:dyDescent="0.25">
      <c r="B333" s="5">
        <v>45489</v>
      </c>
      <c r="C333">
        <v>-0.9780586</v>
      </c>
      <c r="D333">
        <v>-0.63484910000000006</v>
      </c>
    </row>
    <row r="334" spans="2:4" x14ac:dyDescent="0.25">
      <c r="B334" s="5">
        <v>45488</v>
      </c>
      <c r="C334">
        <v>9.0396404E-2</v>
      </c>
      <c r="D334">
        <v>0.52630900000000003</v>
      </c>
    </row>
    <row r="335" spans="2:4" x14ac:dyDescent="0.25">
      <c r="B335" s="5">
        <v>45485</v>
      </c>
      <c r="C335">
        <v>-0.25292039999999999</v>
      </c>
      <c r="D335">
        <v>1.1250256999999999</v>
      </c>
    </row>
    <row r="336" spans="2:4" x14ac:dyDescent="0.25">
      <c r="B336" s="5">
        <v>45484</v>
      </c>
      <c r="C336">
        <v>-2.4772107999999999</v>
      </c>
      <c r="D336">
        <v>2.4238466999999999</v>
      </c>
    </row>
    <row r="337" spans="2:4" x14ac:dyDescent="0.25">
      <c r="B337" s="5">
        <v>45483</v>
      </c>
      <c r="C337">
        <v>1.4601588000000001</v>
      </c>
      <c r="D337">
        <v>4.6825409999999998E-2</v>
      </c>
    </row>
    <row r="338" spans="2:4" x14ac:dyDescent="0.25">
      <c r="B338" s="5">
        <v>45482</v>
      </c>
      <c r="C338">
        <v>-1.4370263000000001</v>
      </c>
      <c r="D338">
        <v>-0.68739057000000003</v>
      </c>
    </row>
    <row r="339" spans="2:4" x14ac:dyDescent="0.25">
      <c r="B339" s="5">
        <v>45481</v>
      </c>
      <c r="C339">
        <v>-0.2823174</v>
      </c>
      <c r="D339">
        <v>-0.14348626</v>
      </c>
    </row>
    <row r="340" spans="2:4" x14ac:dyDescent="0.25">
      <c r="B340" s="5">
        <v>45478</v>
      </c>
      <c r="C340">
        <v>1.4736176000000001</v>
      </c>
      <c r="D340">
        <v>1.0854124999999999</v>
      </c>
    </row>
    <row r="341" spans="2:4" x14ac:dyDescent="0.25">
      <c r="B341" s="5">
        <v>45476</v>
      </c>
      <c r="C341">
        <v>0.32441616000000001</v>
      </c>
      <c r="D341">
        <v>0.77961683000000004</v>
      </c>
    </row>
    <row r="342" spans="2:4" x14ac:dyDescent="0.25">
      <c r="B342" s="5">
        <v>45475</v>
      </c>
      <c r="C342">
        <v>0.5583167</v>
      </c>
      <c r="D342">
        <v>-0.56585669999999999</v>
      </c>
    </row>
    <row r="343" spans="2:4" x14ac:dyDescent="0.25">
      <c r="B343" s="5">
        <v>45474</v>
      </c>
      <c r="C343">
        <v>2.188158</v>
      </c>
      <c r="D343">
        <v>-0.99386569999999996</v>
      </c>
    </row>
    <row r="344" spans="2:4" x14ac:dyDescent="0.25">
      <c r="B344" s="5">
        <v>45471</v>
      </c>
      <c r="C344">
        <v>-1.3028561999999999</v>
      </c>
      <c r="D344">
        <v>-1.0149239999999999</v>
      </c>
    </row>
    <row r="345" spans="2:4" x14ac:dyDescent="0.25">
      <c r="B345" s="5">
        <v>45470</v>
      </c>
      <c r="C345">
        <v>0.15259981</v>
      </c>
      <c r="D345">
        <v>-0.1098156</v>
      </c>
    </row>
    <row r="346" spans="2:4" x14ac:dyDescent="0.25">
      <c r="B346" s="5">
        <v>45469</v>
      </c>
      <c r="C346">
        <v>0.26831627000000002</v>
      </c>
      <c r="D346">
        <v>-1.1884093</v>
      </c>
    </row>
    <row r="347" spans="2:4" x14ac:dyDescent="0.25">
      <c r="B347" s="5">
        <v>45468</v>
      </c>
      <c r="C347">
        <v>0.73268414000000004</v>
      </c>
      <c r="D347">
        <v>-0.41661860000000001</v>
      </c>
    </row>
    <row r="348" spans="2:4" x14ac:dyDescent="0.25">
      <c r="B348" s="5">
        <v>45467</v>
      </c>
      <c r="C348">
        <v>-0.46911239999999998</v>
      </c>
      <c r="D348">
        <v>0.18373728</v>
      </c>
    </row>
    <row r="349" spans="2:4" x14ac:dyDescent="0.25">
      <c r="B349" s="5">
        <v>45464</v>
      </c>
      <c r="C349">
        <v>0.91540812999999999</v>
      </c>
      <c r="D349">
        <v>6.4969059999999995E-2</v>
      </c>
    </row>
    <row r="350" spans="2:4" x14ac:dyDescent="0.25">
      <c r="B350" s="5">
        <v>45463</v>
      </c>
      <c r="C350">
        <v>-0.14338492999999999</v>
      </c>
      <c r="D350">
        <v>1.1787295</v>
      </c>
    </row>
    <row r="351" spans="2:4" x14ac:dyDescent="0.25">
      <c r="B351" s="5">
        <v>45461</v>
      </c>
      <c r="C351">
        <v>-0.45275092</v>
      </c>
      <c r="D351">
        <v>0.65170527</v>
      </c>
    </row>
    <row r="352" spans="2:4" x14ac:dyDescent="0.25">
      <c r="B352" s="5">
        <v>45460</v>
      </c>
      <c r="C352">
        <v>1.3105273</v>
      </c>
      <c r="D352">
        <v>0.11053085</v>
      </c>
    </row>
    <row r="353" spans="2:4" x14ac:dyDescent="0.25">
      <c r="B353" s="5">
        <v>45457</v>
      </c>
      <c r="C353">
        <v>0.22419691</v>
      </c>
      <c r="D353">
        <v>-2.0271540000000001E-2</v>
      </c>
    </row>
    <row r="354" spans="2:4" x14ac:dyDescent="0.25">
      <c r="B354" s="5">
        <v>45456</v>
      </c>
      <c r="C354">
        <v>0.11789798999999999</v>
      </c>
      <c r="D354">
        <v>-1.0203481000000001</v>
      </c>
    </row>
    <row r="355" spans="2:4" x14ac:dyDescent="0.25">
      <c r="B355" s="5">
        <v>45455</v>
      </c>
      <c r="C355">
        <v>1.9367695</v>
      </c>
      <c r="D355">
        <v>1.6852379</v>
      </c>
    </row>
    <row r="356" spans="2:4" x14ac:dyDescent="0.25">
      <c r="B356" s="5">
        <v>45454</v>
      </c>
      <c r="C356">
        <v>1.1241673999999999</v>
      </c>
      <c r="D356">
        <v>-0.66390634000000004</v>
      </c>
    </row>
    <row r="357" spans="2:4" x14ac:dyDescent="0.25">
      <c r="B357" s="5">
        <v>45453</v>
      </c>
      <c r="C357">
        <v>0.94844099999999998</v>
      </c>
      <c r="D357">
        <v>-0.37060976000000001</v>
      </c>
    </row>
    <row r="358" spans="2:4" x14ac:dyDescent="0.25">
      <c r="B358" s="5">
        <v>45450</v>
      </c>
      <c r="C358">
        <v>-0.15782118000000001</v>
      </c>
      <c r="D358">
        <v>-0.33589602000000002</v>
      </c>
    </row>
    <row r="359" spans="2:4" x14ac:dyDescent="0.25">
      <c r="B359" s="5">
        <v>45449</v>
      </c>
      <c r="C359">
        <v>0.12027025</v>
      </c>
      <c r="D359">
        <v>1.0098815000000001</v>
      </c>
    </row>
    <row r="360" spans="2:4" x14ac:dyDescent="0.25">
      <c r="B360" s="5">
        <v>45448</v>
      </c>
      <c r="C360">
        <v>1.9083380999999999</v>
      </c>
      <c r="D360">
        <v>0.47316550000000002</v>
      </c>
    </row>
    <row r="361" spans="2:4" x14ac:dyDescent="0.25">
      <c r="B361" s="5">
        <v>45447</v>
      </c>
      <c r="C361">
        <v>0.61665773000000002</v>
      </c>
      <c r="D361">
        <v>1.4982104000000001</v>
      </c>
    </row>
    <row r="362" spans="2:4" x14ac:dyDescent="0.25">
      <c r="B362" s="5">
        <v>45446</v>
      </c>
      <c r="C362">
        <v>-0.3878355</v>
      </c>
      <c r="D362">
        <v>0.19454956000000001</v>
      </c>
    </row>
    <row r="363" spans="2:4" x14ac:dyDescent="0.25">
      <c r="B363" s="5">
        <v>45443</v>
      </c>
      <c r="C363">
        <v>0.11092424400000001</v>
      </c>
      <c r="D363">
        <v>0.67025422999999995</v>
      </c>
    </row>
    <row r="364" spans="2:4" x14ac:dyDescent="0.25">
      <c r="B364" s="5">
        <v>45442</v>
      </c>
      <c r="C364">
        <v>-3.3786117999999998</v>
      </c>
      <c r="D364">
        <v>0.74648859999999995</v>
      </c>
    </row>
    <row r="365" spans="2:4" x14ac:dyDescent="0.25">
      <c r="B365" s="5">
        <v>45441</v>
      </c>
      <c r="C365">
        <v>-0.26724340000000002</v>
      </c>
      <c r="D365">
        <v>-1.8172145</v>
      </c>
    </row>
    <row r="366" spans="2:4" x14ac:dyDescent="0.25">
      <c r="B366" s="5">
        <v>45440</v>
      </c>
      <c r="C366">
        <v>3.7193299999999999E-2</v>
      </c>
      <c r="D366">
        <v>-1.3720512</v>
      </c>
    </row>
    <row r="367" spans="2:4" x14ac:dyDescent="0.25">
      <c r="B367" s="5">
        <v>45436</v>
      </c>
      <c r="C367">
        <v>0.74005127000000004</v>
      </c>
      <c r="D367">
        <v>0.16943216</v>
      </c>
    </row>
    <row r="368" spans="2:4" x14ac:dyDescent="0.25">
      <c r="B368" s="5">
        <v>45435</v>
      </c>
      <c r="C368">
        <v>-0.81761479999999997</v>
      </c>
      <c r="D368">
        <v>0.30252933999999998</v>
      </c>
    </row>
    <row r="369" spans="2:4" x14ac:dyDescent="0.25">
      <c r="B369" s="5">
        <v>45434</v>
      </c>
      <c r="C369">
        <v>0.34495592000000003</v>
      </c>
      <c r="D369">
        <v>-0.57966709999999999</v>
      </c>
    </row>
    <row r="370" spans="2:4" x14ac:dyDescent="0.25">
      <c r="B370" s="5">
        <v>45433</v>
      </c>
      <c r="C370">
        <v>0.86989399999999995</v>
      </c>
      <c r="D370">
        <v>0.30335188000000002</v>
      </c>
    </row>
    <row r="371" spans="2:4" x14ac:dyDescent="0.25">
      <c r="B371" s="5">
        <v>45432</v>
      </c>
      <c r="C371">
        <v>1.2208223</v>
      </c>
      <c r="D371">
        <v>-7.0095060000000004E-3</v>
      </c>
    </row>
    <row r="372" spans="2:4" x14ac:dyDescent="0.25">
      <c r="B372" s="5">
        <v>45429</v>
      </c>
      <c r="C372">
        <v>-0.18527508000000001</v>
      </c>
      <c r="D372">
        <v>1.3879538</v>
      </c>
    </row>
    <row r="373" spans="2:4" x14ac:dyDescent="0.25">
      <c r="B373" s="5">
        <v>45428</v>
      </c>
      <c r="C373">
        <v>-0.49399734000000001</v>
      </c>
      <c r="D373">
        <v>1.3884068000000001</v>
      </c>
    </row>
    <row r="374" spans="2:4" x14ac:dyDescent="0.25">
      <c r="B374" s="5">
        <v>45427</v>
      </c>
      <c r="C374">
        <v>1.5651941</v>
      </c>
      <c r="D374">
        <v>1.2499332000000001</v>
      </c>
    </row>
    <row r="375" spans="2:4" x14ac:dyDescent="0.25">
      <c r="B375" s="5">
        <v>45426</v>
      </c>
      <c r="C375">
        <v>0.68645480000000003</v>
      </c>
      <c r="D375">
        <v>-0.29594302</v>
      </c>
    </row>
    <row r="376" spans="2:4" x14ac:dyDescent="0.25">
      <c r="B376" s="5">
        <v>45425</v>
      </c>
      <c r="C376">
        <v>-0.24593472</v>
      </c>
      <c r="D376">
        <v>6.5624714000000001E-2</v>
      </c>
    </row>
    <row r="377" spans="2:4" x14ac:dyDescent="0.25">
      <c r="B377" s="5">
        <v>45422</v>
      </c>
      <c r="C377">
        <v>0.58691499999999996</v>
      </c>
      <c r="D377">
        <v>-0.41092037999999997</v>
      </c>
    </row>
    <row r="378" spans="2:4" x14ac:dyDescent="0.25">
      <c r="B378" s="5">
        <v>45421</v>
      </c>
      <c r="C378">
        <v>0.43357610000000002</v>
      </c>
      <c r="D378">
        <v>-4.4292209999999999E-2</v>
      </c>
    </row>
    <row r="379" spans="2:4" x14ac:dyDescent="0.25">
      <c r="B379" s="5">
        <v>45420</v>
      </c>
      <c r="C379">
        <v>0.29315947999999997</v>
      </c>
      <c r="D379">
        <v>-1.8387317999999999</v>
      </c>
    </row>
    <row r="380" spans="2:4" x14ac:dyDescent="0.25">
      <c r="B380" s="5">
        <v>45419</v>
      </c>
      <c r="C380">
        <v>-1.0156213999999999</v>
      </c>
      <c r="D380">
        <v>1.383543</v>
      </c>
    </row>
    <row r="381" spans="2:4" x14ac:dyDescent="0.25">
      <c r="B381" s="5">
        <v>45418</v>
      </c>
      <c r="C381">
        <v>1.6918302000000001</v>
      </c>
      <c r="D381">
        <v>0.25106667999999999</v>
      </c>
    </row>
    <row r="382" spans="2:4" x14ac:dyDescent="0.25">
      <c r="B382" s="5">
        <v>45415</v>
      </c>
      <c r="C382">
        <v>2.216971</v>
      </c>
      <c r="D382">
        <v>1.6688346999999999</v>
      </c>
    </row>
    <row r="383" spans="2:4" x14ac:dyDescent="0.25">
      <c r="B383" s="5">
        <v>45414</v>
      </c>
      <c r="C383">
        <v>0.73428154000000001</v>
      </c>
      <c r="D383">
        <v>2.3819327000000001</v>
      </c>
    </row>
    <row r="384" spans="2:4" x14ac:dyDescent="0.25">
      <c r="B384" s="5">
        <v>45413</v>
      </c>
      <c r="C384">
        <v>1.4409422999999999</v>
      </c>
      <c r="D384">
        <v>-0.29527544999999999</v>
      </c>
    </row>
    <row r="385" spans="2:4" x14ac:dyDescent="0.25">
      <c r="B385" s="5">
        <v>45412</v>
      </c>
      <c r="C385">
        <v>-3.2119333999999999</v>
      </c>
      <c r="D385">
        <v>0.42055844999999997</v>
      </c>
    </row>
    <row r="386" spans="2:4" x14ac:dyDescent="0.25">
      <c r="B386" s="5">
        <v>45411</v>
      </c>
      <c r="C386">
        <v>-1.0016738999999999</v>
      </c>
      <c r="D386">
        <v>-0.92493296000000003</v>
      </c>
    </row>
    <row r="387" spans="2:4" x14ac:dyDescent="0.25">
      <c r="B387" s="5">
        <v>45408</v>
      </c>
      <c r="C387">
        <v>1.824379</v>
      </c>
      <c r="D387">
        <v>0.26160480000000003</v>
      </c>
    </row>
    <row r="388" spans="2:4" x14ac:dyDescent="0.25">
      <c r="B388" s="5">
        <v>45407</v>
      </c>
      <c r="C388">
        <v>-2.4495184000000001</v>
      </c>
      <c r="D388">
        <v>1.3936877000000001</v>
      </c>
    </row>
    <row r="389" spans="2:4" x14ac:dyDescent="0.25">
      <c r="B389" s="5">
        <v>45406</v>
      </c>
      <c r="C389">
        <v>0.36557912999999997</v>
      </c>
      <c r="D389">
        <v>-2.1115840000000001</v>
      </c>
    </row>
    <row r="390" spans="2:4" x14ac:dyDescent="0.25">
      <c r="B390" s="5">
        <v>45405</v>
      </c>
      <c r="C390">
        <v>1.6485453000000001</v>
      </c>
      <c r="D390">
        <v>-0.3030002</v>
      </c>
    </row>
    <row r="391" spans="2:4" x14ac:dyDescent="0.25">
      <c r="B391" s="5">
        <v>45404</v>
      </c>
      <c r="C391">
        <v>0.46101809999999999</v>
      </c>
      <c r="D391">
        <v>0.46024323</v>
      </c>
    </row>
    <row r="392" spans="2:4" x14ac:dyDescent="0.25">
      <c r="B392" s="5">
        <v>45401</v>
      </c>
      <c r="C392">
        <v>-1.2739003</v>
      </c>
      <c r="D392">
        <v>-0.67135690000000003</v>
      </c>
    </row>
    <row r="393" spans="2:4" x14ac:dyDescent="0.25">
      <c r="B393" s="5">
        <v>45400</v>
      </c>
      <c r="C393">
        <v>-1.8380939999999999</v>
      </c>
      <c r="D393">
        <v>-1.0732949000000001</v>
      </c>
    </row>
    <row r="394" spans="2:4" x14ac:dyDescent="0.25">
      <c r="B394" s="5">
        <v>45399</v>
      </c>
      <c r="C394">
        <v>-0.66090819999999995</v>
      </c>
      <c r="D394">
        <v>-0.17223954</v>
      </c>
    </row>
    <row r="395" spans="2:4" x14ac:dyDescent="0.25">
      <c r="B395" s="5">
        <v>45398</v>
      </c>
      <c r="C395">
        <v>0.22724867000000001</v>
      </c>
      <c r="D395">
        <v>-1.33636</v>
      </c>
    </row>
    <row r="396" spans="2:4" x14ac:dyDescent="0.25">
      <c r="B396" s="5">
        <v>45397</v>
      </c>
      <c r="C396">
        <v>-1.9578040000000001</v>
      </c>
      <c r="D396">
        <v>-0.35235285999999999</v>
      </c>
    </row>
    <row r="397" spans="2:4" x14ac:dyDescent="0.25">
      <c r="B397" s="5">
        <v>45394</v>
      </c>
      <c r="C397">
        <v>-1.4091073999999999</v>
      </c>
      <c r="D397">
        <v>-0.58555603000000001</v>
      </c>
    </row>
    <row r="398" spans="2:4" x14ac:dyDescent="0.25">
      <c r="B398" s="5">
        <v>45393</v>
      </c>
      <c r="C398">
        <v>1.1033416</v>
      </c>
      <c r="D398">
        <v>2.0837784000000002E-2</v>
      </c>
    </row>
    <row r="399" spans="2:4" x14ac:dyDescent="0.25">
      <c r="B399" s="5">
        <v>45392</v>
      </c>
      <c r="C399">
        <v>-0.70845484999999997</v>
      </c>
      <c r="D399">
        <v>-4.8577784999999998E-3</v>
      </c>
    </row>
    <row r="400" spans="2:4" x14ac:dyDescent="0.25">
      <c r="B400" s="5">
        <v>45391</v>
      </c>
      <c r="C400">
        <v>0.39802789999999999</v>
      </c>
      <c r="D400">
        <v>-0.27382970000000001</v>
      </c>
    </row>
    <row r="401" spans="2:4" x14ac:dyDescent="0.25">
      <c r="B401" s="5">
        <v>45390</v>
      </c>
      <c r="C401">
        <v>-0.21855235000000001</v>
      </c>
      <c r="D401">
        <v>-1.2526035</v>
      </c>
    </row>
    <row r="402" spans="2:4" x14ac:dyDescent="0.25">
      <c r="B402" s="5">
        <v>45387</v>
      </c>
      <c r="C402">
        <v>1.8282771</v>
      </c>
      <c r="D402">
        <v>-0.81490280000000004</v>
      </c>
    </row>
    <row r="403" spans="2:4" x14ac:dyDescent="0.25">
      <c r="B403" s="5">
        <v>45386</v>
      </c>
      <c r="C403">
        <v>-0.61125160000000001</v>
      </c>
      <c r="D403">
        <v>0.97144839999999999</v>
      </c>
    </row>
    <row r="404" spans="2:4" x14ac:dyDescent="0.25">
      <c r="B404" s="5">
        <v>45385</v>
      </c>
      <c r="C404">
        <v>-0.23490786999999999</v>
      </c>
      <c r="D404">
        <v>-0.27210711999999998</v>
      </c>
    </row>
    <row r="405" spans="2:4" x14ac:dyDescent="0.25">
      <c r="B405" s="5">
        <v>45384</v>
      </c>
      <c r="C405">
        <v>-0.73722005000000002</v>
      </c>
      <c r="D405">
        <v>-0.65594315999999997</v>
      </c>
    </row>
    <row r="406" spans="2:4" x14ac:dyDescent="0.25">
      <c r="B406" s="5">
        <v>45383</v>
      </c>
      <c r="C406">
        <v>0.91509819999999997</v>
      </c>
      <c r="D406">
        <v>-0.55412649999999997</v>
      </c>
    </row>
    <row r="407" spans="2:4" x14ac:dyDescent="0.25">
      <c r="B407" s="5">
        <v>45379</v>
      </c>
      <c r="C407">
        <v>-0.16847253000000001</v>
      </c>
      <c r="D407">
        <v>-1.0398746000000001</v>
      </c>
    </row>
    <row r="408" spans="2:4" x14ac:dyDescent="0.25">
      <c r="B408" s="5">
        <v>45378</v>
      </c>
      <c r="C408">
        <v>-5.2177906000000003E-2</v>
      </c>
      <c r="D408">
        <v>-0.83978176000000004</v>
      </c>
    </row>
    <row r="409" spans="2:4" x14ac:dyDescent="0.25">
      <c r="B409" s="5">
        <v>45377</v>
      </c>
      <c r="C409">
        <v>-0.28614402</v>
      </c>
      <c r="D409">
        <v>0.87449549999999998</v>
      </c>
    </row>
    <row r="410" spans="2:4" x14ac:dyDescent="0.25">
      <c r="B410" s="5">
        <v>45376</v>
      </c>
      <c r="C410">
        <v>-1.3714611999999999</v>
      </c>
      <c r="D410">
        <v>-0.43597219999999998</v>
      </c>
    </row>
    <row r="411" spans="2:4" x14ac:dyDescent="0.25">
      <c r="B411" s="5">
        <v>45373</v>
      </c>
      <c r="C411">
        <v>-0.14672874999999999</v>
      </c>
      <c r="D411">
        <v>0.44429301999999998</v>
      </c>
    </row>
    <row r="412" spans="2:4" x14ac:dyDescent="0.25">
      <c r="B412" s="5">
        <v>45372</v>
      </c>
      <c r="C412">
        <v>0.97358226999999997</v>
      </c>
      <c r="D412">
        <v>0.92858076000000001</v>
      </c>
    </row>
    <row r="413" spans="2:4" x14ac:dyDescent="0.25">
      <c r="B413" s="5">
        <v>45371</v>
      </c>
      <c r="C413">
        <v>0.90647935999999996</v>
      </c>
      <c r="D413">
        <v>0.52456855999999996</v>
      </c>
    </row>
    <row r="414" spans="2:4" x14ac:dyDescent="0.25">
      <c r="B414" s="5">
        <v>45370</v>
      </c>
      <c r="C414">
        <v>0.98006724999999995</v>
      </c>
      <c r="D414">
        <v>-0.27114153000000002</v>
      </c>
    </row>
    <row r="415" spans="2:4" x14ac:dyDescent="0.25">
      <c r="B415" s="5">
        <v>45369</v>
      </c>
      <c r="C415">
        <v>0.21612644</v>
      </c>
      <c r="D415">
        <v>-0.58375597000000001</v>
      </c>
    </row>
    <row r="416" spans="2:4" x14ac:dyDescent="0.25">
      <c r="B416" s="5">
        <v>45366</v>
      </c>
      <c r="C416">
        <v>-2.069515</v>
      </c>
      <c r="D416">
        <v>0.46093464000000001</v>
      </c>
    </row>
    <row r="417" spans="2:4" x14ac:dyDescent="0.25">
      <c r="B417" s="5">
        <v>45365</v>
      </c>
      <c r="C417">
        <v>2.437961</v>
      </c>
      <c r="D417">
        <v>-0.34047959999999999</v>
      </c>
    </row>
    <row r="418" spans="2:4" x14ac:dyDescent="0.25">
      <c r="B418" s="5">
        <v>45364</v>
      </c>
      <c r="C418">
        <v>-4.3344498000000002E-2</v>
      </c>
      <c r="D418">
        <v>0.40087699999999998</v>
      </c>
    </row>
    <row r="419" spans="2:4" x14ac:dyDescent="0.25">
      <c r="B419" s="5">
        <v>45363</v>
      </c>
      <c r="C419">
        <v>2.6599406999999999</v>
      </c>
      <c r="D419">
        <v>0.36388636000000002</v>
      </c>
    </row>
    <row r="420" spans="2:4" x14ac:dyDescent="0.25">
      <c r="B420" s="5">
        <v>45362</v>
      </c>
      <c r="C420">
        <v>-0.41849613000000002</v>
      </c>
      <c r="D420">
        <v>-2.7179717999999999E-3</v>
      </c>
    </row>
    <row r="421" spans="2:4" x14ac:dyDescent="0.25">
      <c r="B421" s="5">
        <v>45359</v>
      </c>
      <c r="C421">
        <v>-0.7136941</v>
      </c>
      <c r="D421">
        <v>0.32944679999999998</v>
      </c>
    </row>
    <row r="422" spans="2:4" x14ac:dyDescent="0.25">
      <c r="B422" s="5">
        <v>45358</v>
      </c>
      <c r="C422">
        <v>1.7533422000000001</v>
      </c>
      <c r="D422">
        <v>0.86581706999999997</v>
      </c>
    </row>
    <row r="423" spans="2:4" x14ac:dyDescent="0.25">
      <c r="B423" s="5">
        <v>45357</v>
      </c>
      <c r="C423">
        <v>-0.13907552000000001</v>
      </c>
      <c r="D423">
        <v>2.4269699999999998</v>
      </c>
    </row>
    <row r="424" spans="2:4" x14ac:dyDescent="0.25">
      <c r="B424" s="5">
        <v>45356</v>
      </c>
      <c r="C424">
        <v>-2.957201</v>
      </c>
      <c r="D424">
        <v>-4.1794776999999998E-2</v>
      </c>
    </row>
    <row r="425" spans="2:4" x14ac:dyDescent="0.25">
      <c r="B425" s="5">
        <v>45355</v>
      </c>
      <c r="C425">
        <v>-0.13958812000000001</v>
      </c>
      <c r="D425">
        <v>0.95670222999999999</v>
      </c>
    </row>
    <row r="426" spans="2:4" x14ac:dyDescent="0.25">
      <c r="B426" s="5">
        <v>45352</v>
      </c>
      <c r="C426">
        <v>0.44965744000000002</v>
      </c>
      <c r="D426">
        <v>1.6094208000000001</v>
      </c>
    </row>
    <row r="427" spans="2:4" x14ac:dyDescent="0.25">
      <c r="B427" s="5">
        <v>45351</v>
      </c>
      <c r="C427">
        <v>1.4519811</v>
      </c>
      <c r="D427">
        <v>-0.43544173000000003</v>
      </c>
    </row>
    <row r="428" spans="2:4" x14ac:dyDescent="0.25">
      <c r="B428" s="5">
        <v>45350</v>
      </c>
      <c r="C428">
        <v>5.8901309999999998E-2</v>
      </c>
      <c r="D428">
        <v>-0.48218966000000002</v>
      </c>
    </row>
    <row r="429" spans="2:4" x14ac:dyDescent="0.25">
      <c r="B429" s="5">
        <v>45349</v>
      </c>
      <c r="C429">
        <v>-1.4722347E-2</v>
      </c>
      <c r="D429">
        <v>0.37410260000000001</v>
      </c>
    </row>
    <row r="430" spans="2:4" x14ac:dyDescent="0.25">
      <c r="B430" s="5">
        <v>45348</v>
      </c>
      <c r="C430">
        <v>-0.68235992999999995</v>
      </c>
      <c r="D430">
        <v>-0.19937753999999999</v>
      </c>
    </row>
    <row r="431" spans="2:4" x14ac:dyDescent="0.25">
      <c r="B431" s="5">
        <v>45345</v>
      </c>
      <c r="C431">
        <v>-0.31822919999999999</v>
      </c>
      <c r="D431">
        <v>1.3295292999999999</v>
      </c>
    </row>
    <row r="432" spans="2:4" x14ac:dyDescent="0.25">
      <c r="B432" s="5">
        <v>45344</v>
      </c>
      <c r="C432">
        <v>2.3546695999999998</v>
      </c>
      <c r="D432">
        <v>0.80081223999999995</v>
      </c>
    </row>
    <row r="433" spans="2:4" x14ac:dyDescent="0.25">
      <c r="B433" s="5">
        <v>45343</v>
      </c>
      <c r="C433">
        <v>-0.15144943999999999</v>
      </c>
      <c r="D433">
        <v>-1.1000216</v>
      </c>
    </row>
    <row r="434" spans="2:4" x14ac:dyDescent="0.25">
      <c r="B434" s="5">
        <v>45342</v>
      </c>
      <c r="C434">
        <v>-0.31430720000000001</v>
      </c>
      <c r="D434">
        <v>0.10185242</v>
      </c>
    </row>
    <row r="435" spans="2:4" x14ac:dyDescent="0.25">
      <c r="B435" s="5">
        <v>45338</v>
      </c>
      <c r="C435">
        <v>-0.6149173</v>
      </c>
      <c r="D435">
        <v>-0.18366574999999999</v>
      </c>
    </row>
    <row r="436" spans="2:4" x14ac:dyDescent="0.25">
      <c r="B436" s="5">
        <v>45337</v>
      </c>
      <c r="C436">
        <v>-0.71552395999999996</v>
      </c>
      <c r="D436">
        <v>0.77015160000000005</v>
      </c>
    </row>
    <row r="437" spans="2:4" x14ac:dyDescent="0.25">
      <c r="B437" s="5">
        <v>45336</v>
      </c>
      <c r="C437">
        <v>0.7801652</v>
      </c>
      <c r="D437">
        <v>1.6224384000000001E-2</v>
      </c>
    </row>
    <row r="438" spans="2:4" x14ac:dyDescent="0.25">
      <c r="B438" s="5">
        <v>45335</v>
      </c>
      <c r="C438">
        <v>-2.1528660999999998</v>
      </c>
      <c r="D438">
        <v>-0.78558919999999999</v>
      </c>
    </row>
    <row r="439" spans="2:4" x14ac:dyDescent="0.25">
      <c r="B439" s="5">
        <v>45334</v>
      </c>
      <c r="C439">
        <v>-1.2578726</v>
      </c>
      <c r="D439">
        <v>0.39598941999999998</v>
      </c>
    </row>
    <row r="440" spans="2:4" x14ac:dyDescent="0.25">
      <c r="B440" s="5">
        <v>45331</v>
      </c>
      <c r="C440">
        <v>1.5551448000000001</v>
      </c>
      <c r="D440">
        <v>0.72767735</v>
      </c>
    </row>
    <row r="441" spans="2:4" x14ac:dyDescent="0.25">
      <c r="B441" s="5">
        <v>45330</v>
      </c>
      <c r="C441">
        <v>1.4495849999999999E-2</v>
      </c>
      <c r="D441">
        <v>-0.99409820000000004</v>
      </c>
    </row>
    <row r="442" spans="2:4" x14ac:dyDescent="0.25">
      <c r="B442" s="5">
        <v>45329</v>
      </c>
      <c r="C442">
        <v>2.1110296000000002</v>
      </c>
      <c r="D442">
        <v>0.88469980000000004</v>
      </c>
    </row>
    <row r="443" spans="2:4" x14ac:dyDescent="0.25">
      <c r="B443" s="5">
        <v>45328</v>
      </c>
      <c r="C443">
        <v>-3.9446354000000003E-2</v>
      </c>
      <c r="D443">
        <v>0.40972233000000002</v>
      </c>
    </row>
    <row r="444" spans="2:4" x14ac:dyDescent="0.25">
      <c r="B444" s="5">
        <v>45327</v>
      </c>
      <c r="C444">
        <v>-1.3545096000000001</v>
      </c>
      <c r="D444">
        <v>-1.6395748000000001</v>
      </c>
    </row>
    <row r="445" spans="2:4" x14ac:dyDescent="0.25">
      <c r="B445" s="5">
        <v>45324</v>
      </c>
      <c r="C445">
        <v>1.8425822000000001</v>
      </c>
      <c r="D445">
        <v>-0.63041449999999999</v>
      </c>
    </row>
    <row r="446" spans="2:4" x14ac:dyDescent="0.25">
      <c r="B446" s="5">
        <v>45323</v>
      </c>
      <c r="C446">
        <v>1.5594363</v>
      </c>
      <c r="D446">
        <v>-0.71236489999999997</v>
      </c>
    </row>
    <row r="447" spans="2:4" x14ac:dyDescent="0.25">
      <c r="B447" s="5">
        <v>45322</v>
      </c>
      <c r="C447">
        <v>-2.6946365999999999</v>
      </c>
      <c r="D447">
        <v>-0.13323425999999999</v>
      </c>
    </row>
    <row r="448" spans="2:4" x14ac:dyDescent="0.25">
      <c r="B448" s="5">
        <v>45321</v>
      </c>
      <c r="C448">
        <v>-0.27579664999999998</v>
      </c>
      <c r="D448">
        <v>0.89162589999999997</v>
      </c>
    </row>
    <row r="449" spans="2:4" x14ac:dyDescent="0.25">
      <c r="B449" s="5">
        <v>45320</v>
      </c>
      <c r="C449">
        <v>1.4334202</v>
      </c>
      <c r="D449">
        <v>-2.0521522000000001</v>
      </c>
    </row>
    <row r="450" spans="2:4" x14ac:dyDescent="0.25">
      <c r="B450" s="5">
        <v>45317</v>
      </c>
      <c r="C450">
        <v>-0.23217201000000001</v>
      </c>
      <c r="D450">
        <v>-1.1050701E-2</v>
      </c>
    </row>
    <row r="451" spans="2:4" x14ac:dyDescent="0.25">
      <c r="B451" s="5">
        <v>45316</v>
      </c>
      <c r="C451">
        <v>0.57382584000000003</v>
      </c>
      <c r="D451">
        <v>-0.24771689999999999</v>
      </c>
    </row>
    <row r="452" spans="2:4" x14ac:dyDescent="0.25">
      <c r="B452" s="5">
        <v>45315</v>
      </c>
      <c r="C452">
        <v>0.91753006000000004</v>
      </c>
      <c r="D452">
        <v>-3.2687186999999999E-2</v>
      </c>
    </row>
    <row r="453" spans="2:4" x14ac:dyDescent="0.25">
      <c r="B453" s="5">
        <v>45314</v>
      </c>
      <c r="C453">
        <v>0.60275793</v>
      </c>
      <c r="D453">
        <v>-1.162231</v>
      </c>
    </row>
    <row r="454" spans="2:4" x14ac:dyDescent="0.25">
      <c r="B454" s="5">
        <v>45313</v>
      </c>
      <c r="C454">
        <v>-0.54180026000000003</v>
      </c>
      <c r="D454">
        <v>1.0239601</v>
      </c>
    </row>
    <row r="455" spans="2:4" x14ac:dyDescent="0.25">
      <c r="B455" s="5">
        <v>45310</v>
      </c>
      <c r="C455">
        <v>1.2186766</v>
      </c>
      <c r="D455">
        <v>-0.19892454000000001</v>
      </c>
    </row>
    <row r="456" spans="2:4" x14ac:dyDescent="0.25">
      <c r="B456" s="5">
        <v>45309</v>
      </c>
      <c r="C456">
        <v>1.1297345000000001</v>
      </c>
      <c r="D456">
        <v>0.23791789999999999</v>
      </c>
    </row>
    <row r="457" spans="2:4" x14ac:dyDescent="0.25">
      <c r="B457" s="5">
        <v>45308</v>
      </c>
      <c r="C457">
        <v>-0.20498037</v>
      </c>
      <c r="D457">
        <v>-0.74530839999999998</v>
      </c>
    </row>
    <row r="458" spans="2:4" x14ac:dyDescent="0.25">
      <c r="B458" s="5">
        <v>45307</v>
      </c>
      <c r="C458">
        <v>0.46335460000000001</v>
      </c>
      <c r="D458">
        <v>-0.41050314999999998</v>
      </c>
    </row>
    <row r="459" spans="2:4" x14ac:dyDescent="0.25">
      <c r="B459" s="5">
        <v>45303</v>
      </c>
      <c r="C459">
        <v>0.99836590000000003</v>
      </c>
      <c r="D459">
        <v>0.87265970000000004</v>
      </c>
    </row>
    <row r="460" spans="2:4" x14ac:dyDescent="0.25">
      <c r="B460" s="5">
        <v>45302</v>
      </c>
      <c r="C460">
        <v>0.48593282999999998</v>
      </c>
      <c r="D460">
        <v>0.33456087000000001</v>
      </c>
    </row>
    <row r="461" spans="2:4" x14ac:dyDescent="0.25">
      <c r="B461" s="5">
        <v>45301</v>
      </c>
      <c r="C461">
        <v>1.8574119</v>
      </c>
      <c r="D461">
        <v>1.0560989000000001</v>
      </c>
    </row>
    <row r="462" spans="2:4" x14ac:dyDescent="0.25">
      <c r="B462" s="5">
        <v>45300</v>
      </c>
      <c r="C462">
        <v>0.29357672000000001</v>
      </c>
      <c r="D462">
        <v>-0.23197532000000001</v>
      </c>
    </row>
    <row r="463" spans="2:4" x14ac:dyDescent="0.25">
      <c r="B463" s="5">
        <v>45299</v>
      </c>
      <c r="C463">
        <v>1.8871545999999999</v>
      </c>
      <c r="D463">
        <v>0.29999018</v>
      </c>
    </row>
    <row r="464" spans="2:4" x14ac:dyDescent="0.25">
      <c r="B464" s="5">
        <v>45296</v>
      </c>
      <c r="C464">
        <v>-5.1641463999999998E-2</v>
      </c>
      <c r="D464">
        <v>8.3017350000000004E-2</v>
      </c>
    </row>
    <row r="465" spans="2:4" x14ac:dyDescent="0.25">
      <c r="B465" s="5">
        <v>45295</v>
      </c>
      <c r="C465">
        <v>-0.71775319999999998</v>
      </c>
      <c r="D465">
        <v>0.39430857000000002</v>
      </c>
    </row>
    <row r="466" spans="2:4" x14ac:dyDescent="0.25">
      <c r="B466" s="5">
        <v>45294</v>
      </c>
      <c r="C466">
        <v>-7.2801110000000002E-2</v>
      </c>
      <c r="D466">
        <v>-1.2300491</v>
      </c>
    </row>
    <row r="467" spans="2:4" x14ac:dyDescent="0.25">
      <c r="B467" s="5">
        <v>45293</v>
      </c>
      <c r="C467">
        <v>-1.3748586</v>
      </c>
      <c r="D467">
        <v>-2.399683</v>
      </c>
    </row>
    <row r="468" spans="2:4" x14ac:dyDescent="0.25">
      <c r="B468" s="5">
        <v>45289</v>
      </c>
      <c r="C468">
        <v>0.20251274</v>
      </c>
      <c r="D468">
        <v>-0.38710833</v>
      </c>
    </row>
    <row r="469" spans="2:4" x14ac:dyDescent="0.25">
      <c r="B469" s="5">
        <v>45288</v>
      </c>
      <c r="C469">
        <v>0.32346249999999999</v>
      </c>
      <c r="D469">
        <v>-0.28703810000000002</v>
      </c>
    </row>
    <row r="470" spans="2:4" x14ac:dyDescent="0.25">
      <c r="B470" s="5">
        <v>45287</v>
      </c>
      <c r="C470">
        <v>-0.15747547000000001</v>
      </c>
      <c r="D470">
        <v>0.90954303999999997</v>
      </c>
    </row>
    <row r="471" spans="2:4" x14ac:dyDescent="0.25">
      <c r="B471" s="5">
        <v>45286</v>
      </c>
      <c r="C471">
        <v>2.1362305000000002E-2</v>
      </c>
      <c r="D471">
        <v>-8.6498259999999993E-2</v>
      </c>
    </row>
    <row r="472" spans="2:4" x14ac:dyDescent="0.25">
      <c r="B472" s="5">
        <v>45282</v>
      </c>
      <c r="C472">
        <v>0.27841329999999997</v>
      </c>
      <c r="D472">
        <v>0.78996420000000001</v>
      </c>
    </row>
    <row r="473" spans="2:4" x14ac:dyDescent="0.25">
      <c r="B473" s="5">
        <v>45281</v>
      </c>
      <c r="C473">
        <v>0.78787803999999995</v>
      </c>
      <c r="D473">
        <v>-0.38244724000000002</v>
      </c>
    </row>
    <row r="474" spans="2:4" x14ac:dyDescent="0.25">
      <c r="B474" s="5">
        <v>45280</v>
      </c>
      <c r="C474">
        <v>-0.70728659999999999</v>
      </c>
      <c r="D474">
        <v>-0.17409920000000001</v>
      </c>
    </row>
    <row r="475" spans="2:4" x14ac:dyDescent="0.25">
      <c r="B475" s="5">
        <v>45279</v>
      </c>
      <c r="C475">
        <v>0.16369819999999999</v>
      </c>
      <c r="D475">
        <v>0.45510529999999999</v>
      </c>
    </row>
    <row r="476" spans="2:4" x14ac:dyDescent="0.25">
      <c r="B476" s="5">
        <v>45278</v>
      </c>
      <c r="C476">
        <v>0.51789284000000002</v>
      </c>
      <c r="D476">
        <v>0.35586357000000002</v>
      </c>
    </row>
    <row r="477" spans="2:4" x14ac:dyDescent="0.25">
      <c r="B477" s="5">
        <v>45275</v>
      </c>
      <c r="C477">
        <v>1.3117312999999999</v>
      </c>
      <c r="D477">
        <v>-1.5481651000000001</v>
      </c>
    </row>
    <row r="478" spans="2:4" x14ac:dyDescent="0.25">
      <c r="B478" s="5">
        <v>45274</v>
      </c>
      <c r="C478">
        <v>-2.2544563000000002</v>
      </c>
      <c r="D478">
        <v>1.6357421999999999</v>
      </c>
    </row>
    <row r="479" spans="2:4" x14ac:dyDescent="0.25">
      <c r="B479" s="5">
        <v>45273</v>
      </c>
      <c r="C479">
        <v>-2.6762486000000002E-3</v>
      </c>
      <c r="D479">
        <v>0.5032778</v>
      </c>
    </row>
    <row r="480" spans="2:4" x14ac:dyDescent="0.25">
      <c r="B480" s="5">
        <v>45272</v>
      </c>
      <c r="C480">
        <v>0.82951783999999995</v>
      </c>
      <c r="D480">
        <v>1.1717081</v>
      </c>
    </row>
    <row r="481" spans="2:4" x14ac:dyDescent="0.25">
      <c r="B481" s="5">
        <v>45271</v>
      </c>
      <c r="C481">
        <v>-0.78294872999999998</v>
      </c>
      <c r="D481">
        <v>0.59753655999999999</v>
      </c>
    </row>
    <row r="482" spans="2:4" x14ac:dyDescent="0.25">
      <c r="B482" s="5">
        <v>45268</v>
      </c>
      <c r="C482">
        <v>0.88421106000000005</v>
      </c>
      <c r="D482">
        <v>1.0639668</v>
      </c>
    </row>
    <row r="483" spans="2:4" x14ac:dyDescent="0.25">
      <c r="B483" s="5">
        <v>45267</v>
      </c>
      <c r="C483">
        <v>0.58298110000000003</v>
      </c>
      <c r="D483">
        <v>0.52062273000000003</v>
      </c>
    </row>
    <row r="484" spans="2:4" x14ac:dyDescent="0.25">
      <c r="B484" s="5">
        <v>45266</v>
      </c>
      <c r="C484">
        <v>-0.9986043</v>
      </c>
      <c r="D484">
        <v>-0.34772754</v>
      </c>
    </row>
    <row r="485" spans="2:4" x14ac:dyDescent="0.25">
      <c r="B485" s="5">
        <v>45265</v>
      </c>
      <c r="C485">
        <v>0.91563463</v>
      </c>
      <c r="D485">
        <v>-0.54039360000000003</v>
      </c>
    </row>
    <row r="486" spans="2:4" x14ac:dyDescent="0.25">
      <c r="B486" s="5">
        <v>45264</v>
      </c>
      <c r="C486">
        <v>-1.4338732000000001</v>
      </c>
      <c r="D486">
        <v>-0.20029545000000001</v>
      </c>
    </row>
    <row r="487" spans="2:4" x14ac:dyDescent="0.25">
      <c r="B487" s="5">
        <v>45261</v>
      </c>
      <c r="C487">
        <v>-1.1612236</v>
      </c>
      <c r="D487">
        <v>0.75428485999999995</v>
      </c>
    </row>
    <row r="488" spans="2:4" x14ac:dyDescent="0.25">
      <c r="B488" s="5">
        <v>45260</v>
      </c>
      <c r="C488">
        <v>1.5830994000000001E-2</v>
      </c>
      <c r="D488">
        <v>-0.34403204999999998</v>
      </c>
    </row>
    <row r="489" spans="2:4" x14ac:dyDescent="0.25">
      <c r="B489" s="5">
        <v>45259</v>
      </c>
      <c r="C489">
        <v>-1.0060131999999999</v>
      </c>
      <c r="D489">
        <v>7.3349475999999997E-2</v>
      </c>
    </row>
    <row r="490" spans="2:4" x14ac:dyDescent="0.25">
      <c r="B490" s="5">
        <v>45258</v>
      </c>
      <c r="C490">
        <v>1.0802746000000001</v>
      </c>
      <c r="D490">
        <v>0.77975989999999995</v>
      </c>
    </row>
    <row r="491" spans="2:4" x14ac:dyDescent="0.25">
      <c r="B491" s="5">
        <v>45257</v>
      </c>
      <c r="C491">
        <v>0.31263827999999999</v>
      </c>
      <c r="D491">
        <v>0.39981603999999998</v>
      </c>
    </row>
    <row r="492" spans="2:4" x14ac:dyDescent="0.25">
      <c r="B492" s="5">
        <v>45254</v>
      </c>
      <c r="C492">
        <v>-0.1111567</v>
      </c>
      <c r="D492">
        <v>1.1137128000000001</v>
      </c>
    </row>
    <row r="493" spans="2:4" x14ac:dyDescent="0.25">
      <c r="B493" s="5">
        <v>45252</v>
      </c>
      <c r="C493">
        <v>1.2812614</v>
      </c>
      <c r="D493">
        <v>1.5150547000000001</v>
      </c>
    </row>
    <row r="494" spans="2:4" x14ac:dyDescent="0.25">
      <c r="B494" s="5">
        <v>45251</v>
      </c>
      <c r="C494">
        <v>-1.1577964000000001</v>
      </c>
      <c r="D494">
        <v>0.75389147000000001</v>
      </c>
    </row>
    <row r="495" spans="2:4" x14ac:dyDescent="0.25">
      <c r="B495" s="5">
        <v>45250</v>
      </c>
      <c r="C495">
        <v>2.0521880000000001</v>
      </c>
      <c r="D495">
        <v>1.6229749</v>
      </c>
    </row>
    <row r="496" spans="2:4" x14ac:dyDescent="0.25">
      <c r="B496" s="5">
        <v>45247</v>
      </c>
      <c r="C496">
        <v>-1.680094</v>
      </c>
      <c r="D496">
        <v>1.5391111</v>
      </c>
    </row>
    <row r="497" spans="2:4" x14ac:dyDescent="0.25">
      <c r="B497" s="5">
        <v>45246</v>
      </c>
      <c r="C497">
        <v>1.7583251</v>
      </c>
      <c r="D497">
        <v>0.33355950000000001</v>
      </c>
    </row>
    <row r="498" spans="2:4" x14ac:dyDescent="0.25">
      <c r="B498" s="5">
        <v>45245</v>
      </c>
      <c r="C498">
        <v>-0.16203523</v>
      </c>
      <c r="D498">
        <v>0.66387653000000002</v>
      </c>
    </row>
    <row r="499" spans="2:4" x14ac:dyDescent="0.25">
      <c r="B499" s="5">
        <v>45244</v>
      </c>
      <c r="C499">
        <v>0.97905399999999998</v>
      </c>
      <c r="D499">
        <v>0.13229847</v>
      </c>
    </row>
    <row r="500" spans="2:4" x14ac:dyDescent="0.25">
      <c r="B500" s="5">
        <v>45243</v>
      </c>
      <c r="C500">
        <v>-0.80883499999999997</v>
      </c>
      <c r="D500">
        <v>-0.76952577</v>
      </c>
    </row>
    <row r="501" spans="2:4" x14ac:dyDescent="0.25">
      <c r="B501" s="5">
        <v>45240</v>
      </c>
      <c r="C501">
        <v>2.4896739999999999</v>
      </c>
      <c r="D501">
        <v>-0.52722690000000005</v>
      </c>
    </row>
    <row r="502" spans="2:4" x14ac:dyDescent="0.25">
      <c r="B502" s="5">
        <v>45239</v>
      </c>
      <c r="C502">
        <v>-0.69108009999999997</v>
      </c>
      <c r="D502">
        <v>0.25023222000000001</v>
      </c>
    </row>
    <row r="503" spans="2:4" x14ac:dyDescent="0.25">
      <c r="B503" s="5">
        <v>45238</v>
      </c>
      <c r="C503">
        <v>0.74057580000000001</v>
      </c>
      <c r="D503">
        <v>0.61966180000000004</v>
      </c>
    </row>
    <row r="504" spans="2:4" x14ac:dyDescent="0.25">
      <c r="B504" s="5">
        <v>45237</v>
      </c>
      <c r="C504">
        <v>1.1219262999999999</v>
      </c>
      <c r="D504">
        <v>0.92484949999999999</v>
      </c>
    </row>
    <row r="505" spans="2:4" x14ac:dyDescent="0.25">
      <c r="B505" s="5">
        <v>45236</v>
      </c>
      <c r="C505">
        <v>1.0572553</v>
      </c>
      <c r="D505">
        <v>0.39101839999999999</v>
      </c>
    </row>
    <row r="506" spans="2:4" x14ac:dyDescent="0.25">
      <c r="B506" s="5">
        <v>45233</v>
      </c>
      <c r="C506">
        <v>1.2861729</v>
      </c>
      <c r="D506">
        <v>0.83638429999999997</v>
      </c>
    </row>
    <row r="507" spans="2:4" x14ac:dyDescent="0.25">
      <c r="B507" s="5">
        <v>45232</v>
      </c>
      <c r="C507">
        <v>0.65015553999999998</v>
      </c>
      <c r="D507">
        <v>0.38425922000000001</v>
      </c>
    </row>
    <row r="508" spans="2:4" x14ac:dyDescent="0.25">
      <c r="B508" s="5">
        <v>45231</v>
      </c>
      <c r="C508">
        <v>2.3542643000000001</v>
      </c>
      <c r="D508">
        <v>0.90296270000000001</v>
      </c>
    </row>
    <row r="509" spans="2:4" x14ac:dyDescent="0.25">
      <c r="B509" s="5">
        <v>45230</v>
      </c>
      <c r="C509">
        <v>0.23716688</v>
      </c>
      <c r="D509">
        <v>0.26317835000000001</v>
      </c>
    </row>
    <row r="510" spans="2:4" x14ac:dyDescent="0.25">
      <c r="B510" s="5">
        <v>45229</v>
      </c>
      <c r="C510">
        <v>2.2740364</v>
      </c>
      <c r="D510">
        <v>0.52957535</v>
      </c>
    </row>
    <row r="511" spans="2:4" x14ac:dyDescent="0.25">
      <c r="B511" s="5">
        <v>45226</v>
      </c>
      <c r="C511">
        <v>0.58555603000000001</v>
      </c>
      <c r="D511">
        <v>-1.0454237</v>
      </c>
    </row>
    <row r="512" spans="2:4" x14ac:dyDescent="0.25">
      <c r="B512" s="5">
        <v>45225</v>
      </c>
      <c r="C512">
        <v>-3.751433</v>
      </c>
      <c r="D512">
        <v>0.13347864000000001</v>
      </c>
    </row>
    <row r="513" spans="2:4" x14ac:dyDescent="0.25">
      <c r="B513" s="5">
        <v>45224</v>
      </c>
      <c r="C513">
        <v>3.0678033999999998</v>
      </c>
      <c r="D513">
        <v>0.15193224</v>
      </c>
    </row>
    <row r="514" spans="2:4" x14ac:dyDescent="0.25">
      <c r="B514" s="5">
        <v>45223</v>
      </c>
      <c r="C514">
        <v>0.36742687000000002</v>
      </c>
      <c r="D514">
        <v>0.53025484000000001</v>
      </c>
    </row>
    <row r="515" spans="2:4" x14ac:dyDescent="0.25">
      <c r="B515" s="5">
        <v>45222</v>
      </c>
      <c r="C515">
        <v>0.81121920000000003</v>
      </c>
      <c r="D515">
        <v>-4.7641993000000001E-2</v>
      </c>
    </row>
    <row r="516" spans="2:4" x14ac:dyDescent="0.25">
      <c r="B516" s="5">
        <v>45219</v>
      </c>
      <c r="C516">
        <v>-1.4034747999999999</v>
      </c>
      <c r="D516">
        <v>7.7843666000000006E-2</v>
      </c>
    </row>
    <row r="517" spans="2:4" x14ac:dyDescent="0.25">
      <c r="B517" s="5">
        <v>45218</v>
      </c>
      <c r="C517">
        <v>0.36655663999999999</v>
      </c>
      <c r="D517">
        <v>1.8574356999999999</v>
      </c>
    </row>
    <row r="518" spans="2:4" x14ac:dyDescent="0.25">
      <c r="B518" s="5">
        <v>45217</v>
      </c>
      <c r="C518">
        <v>-0.58724880000000002</v>
      </c>
      <c r="D518">
        <v>-1.7476141000000001</v>
      </c>
    </row>
    <row r="519" spans="2:4" x14ac:dyDescent="0.25">
      <c r="B519" s="5">
        <v>45216</v>
      </c>
      <c r="C519">
        <v>-0.17436742999999999</v>
      </c>
      <c r="D519">
        <v>-0.41005015</v>
      </c>
    </row>
    <row r="520" spans="2:4" x14ac:dyDescent="0.25">
      <c r="B520" s="5">
        <v>45215</v>
      </c>
      <c r="C520">
        <v>1.4981865999999999</v>
      </c>
      <c r="D520">
        <v>0.54657460000000002</v>
      </c>
    </row>
    <row r="521" spans="2:4" x14ac:dyDescent="0.25">
      <c r="B521" s="5">
        <v>45212</v>
      </c>
      <c r="C521">
        <v>-1.0357498999999999</v>
      </c>
      <c r="D521">
        <v>-1.5850484</v>
      </c>
    </row>
    <row r="522" spans="2:4" x14ac:dyDescent="0.25">
      <c r="B522" s="5">
        <v>45211</v>
      </c>
      <c r="C522">
        <v>-0.37904381999999998</v>
      </c>
      <c r="D522">
        <v>-0.47582387999999998</v>
      </c>
    </row>
    <row r="523" spans="2:4" x14ac:dyDescent="0.25">
      <c r="B523" s="5">
        <v>45210</v>
      </c>
      <c r="C523">
        <v>1.2272000000000001</v>
      </c>
      <c r="D523">
        <v>0.52965879999999999</v>
      </c>
    </row>
    <row r="524" spans="2:4" x14ac:dyDescent="0.25">
      <c r="B524" s="5">
        <v>45209</v>
      </c>
      <c r="C524">
        <v>-0.43357014999999999</v>
      </c>
      <c r="D524">
        <v>1.6610742000000001</v>
      </c>
    </row>
    <row r="525" spans="2:4" x14ac:dyDescent="0.25">
      <c r="B525" s="5">
        <v>45208</v>
      </c>
      <c r="C525">
        <v>0.78225135999999995</v>
      </c>
      <c r="D525">
        <v>-0.20295382000000001</v>
      </c>
    </row>
    <row r="526" spans="2:4" x14ac:dyDescent="0.25">
      <c r="B526" s="5">
        <v>45205</v>
      </c>
      <c r="C526">
        <v>2.4737</v>
      </c>
      <c r="D526">
        <v>1.5576601000000001</v>
      </c>
    </row>
    <row r="527" spans="2:4" x14ac:dyDescent="0.25">
      <c r="B527" s="5">
        <v>45204</v>
      </c>
      <c r="C527">
        <v>0.12698174000000001</v>
      </c>
      <c r="D527">
        <v>0.73720216999999999</v>
      </c>
    </row>
    <row r="528" spans="2:4" x14ac:dyDescent="0.25">
      <c r="B528" s="5">
        <v>45203</v>
      </c>
      <c r="C528">
        <v>1.7757297000000001</v>
      </c>
      <c r="D528">
        <v>-0.7783234</v>
      </c>
    </row>
    <row r="529" spans="2:4" x14ac:dyDescent="0.25">
      <c r="B529" s="5">
        <v>45202</v>
      </c>
      <c r="C529">
        <v>-2.6134132999999999</v>
      </c>
      <c r="D529">
        <v>-0.86228850000000001</v>
      </c>
    </row>
    <row r="530" spans="2:4" x14ac:dyDescent="0.25">
      <c r="B530" s="5">
        <v>45201</v>
      </c>
      <c r="C530">
        <v>1.9160748000000001</v>
      </c>
      <c r="D530">
        <v>-1.3435721</v>
      </c>
    </row>
    <row r="531" spans="2:4" x14ac:dyDescent="0.25">
      <c r="B531" s="5">
        <v>45198</v>
      </c>
      <c r="C531">
        <v>0.6727457</v>
      </c>
      <c r="D531">
        <v>-7.2896480000000001E-3</v>
      </c>
    </row>
    <row r="532" spans="2:4" x14ac:dyDescent="0.25">
      <c r="B532" s="5">
        <v>45197</v>
      </c>
      <c r="C532">
        <v>0.27174949999999998</v>
      </c>
      <c r="D532">
        <v>0.22313595</v>
      </c>
    </row>
    <row r="533" spans="2:4" x14ac:dyDescent="0.25">
      <c r="B533" s="5">
        <v>45196</v>
      </c>
      <c r="C533">
        <v>0.20823479</v>
      </c>
      <c r="D533">
        <v>-0.66404339999999995</v>
      </c>
    </row>
    <row r="534" spans="2:4" x14ac:dyDescent="0.25">
      <c r="B534" s="5">
        <v>45195</v>
      </c>
      <c r="C534">
        <v>-1.7005741999999999</v>
      </c>
      <c r="D534">
        <v>-0.36194324</v>
      </c>
    </row>
    <row r="535" spans="2:4" x14ac:dyDescent="0.25">
      <c r="B535" s="5">
        <v>45194</v>
      </c>
      <c r="C535">
        <v>0.16719102999999999</v>
      </c>
      <c r="D535">
        <v>-1.4009415999999999</v>
      </c>
    </row>
    <row r="536" spans="2:4" x14ac:dyDescent="0.25">
      <c r="B536" s="5">
        <v>45191</v>
      </c>
      <c r="C536">
        <v>-0.78865289999999999</v>
      </c>
      <c r="D536">
        <v>0.27985573000000002</v>
      </c>
    </row>
    <row r="537" spans="2:4" x14ac:dyDescent="0.25">
      <c r="B537" s="5">
        <v>45190</v>
      </c>
      <c r="C537">
        <v>-0.38656592000000001</v>
      </c>
      <c r="D537">
        <v>-1.3292193000000001</v>
      </c>
    </row>
    <row r="538" spans="2:4" x14ac:dyDescent="0.25">
      <c r="B538" s="5">
        <v>45189</v>
      </c>
      <c r="C538">
        <v>-2.3976861999999999</v>
      </c>
      <c r="D538">
        <v>-0.54662823999999999</v>
      </c>
    </row>
    <row r="539" spans="2:4" x14ac:dyDescent="0.25">
      <c r="B539" s="5">
        <v>45188</v>
      </c>
      <c r="C539">
        <v>-0.12459755</v>
      </c>
      <c r="D539">
        <v>0.53590536</v>
      </c>
    </row>
    <row r="540" spans="2:4" x14ac:dyDescent="0.25">
      <c r="B540" s="5">
        <v>45187</v>
      </c>
      <c r="C540">
        <v>-0.35127997</v>
      </c>
      <c r="D540">
        <v>0.44560432</v>
      </c>
    </row>
    <row r="541" spans="2:4" x14ac:dyDescent="0.25">
      <c r="B541" s="5">
        <v>45184</v>
      </c>
      <c r="C541">
        <v>-2.5036930000000002</v>
      </c>
      <c r="D541">
        <v>-0.45953392999999998</v>
      </c>
    </row>
    <row r="542" spans="2:4" x14ac:dyDescent="0.25">
      <c r="B542" s="5">
        <v>45183</v>
      </c>
      <c r="C542">
        <v>0.78557730000000003</v>
      </c>
      <c r="D542">
        <v>0.82573890000000005</v>
      </c>
    </row>
    <row r="543" spans="2:4" x14ac:dyDescent="0.25">
      <c r="B543" s="5">
        <v>45182</v>
      </c>
      <c r="C543">
        <v>1.2930632</v>
      </c>
      <c r="D543">
        <v>-0.82549450000000002</v>
      </c>
    </row>
    <row r="544" spans="2:4" x14ac:dyDescent="0.25">
      <c r="B544" s="5">
        <v>45181</v>
      </c>
      <c r="C544">
        <v>-1.8257737000000001</v>
      </c>
      <c r="D544">
        <v>-9.1272590000000001E-2</v>
      </c>
    </row>
    <row r="545" spans="2:4" x14ac:dyDescent="0.25">
      <c r="B545" s="5">
        <v>45180</v>
      </c>
      <c r="C545">
        <v>1.0979175999999999</v>
      </c>
      <c r="D545">
        <v>0.7815242</v>
      </c>
    </row>
    <row r="546" spans="2:4" x14ac:dyDescent="0.25">
      <c r="B546" s="5">
        <v>45177</v>
      </c>
      <c r="C546">
        <v>1.3215661000000001</v>
      </c>
      <c r="D546">
        <v>1.145184</v>
      </c>
    </row>
    <row r="547" spans="2:4" x14ac:dyDescent="0.25">
      <c r="B547" s="5">
        <v>45176</v>
      </c>
      <c r="C547">
        <v>-0.89221596999999997</v>
      </c>
      <c r="D547">
        <v>-1.1678158999999999</v>
      </c>
    </row>
    <row r="548" spans="2:4" x14ac:dyDescent="0.25">
      <c r="B548" s="5">
        <v>45175</v>
      </c>
      <c r="C548">
        <v>-0.20086169000000001</v>
      </c>
      <c r="D548">
        <v>0.77890159999999997</v>
      </c>
    </row>
    <row r="549" spans="2:4" x14ac:dyDescent="0.25">
      <c r="B549" s="5">
        <v>45174</v>
      </c>
      <c r="C549">
        <v>1.4878511000000001</v>
      </c>
      <c r="D549">
        <v>-0.73409676999999995</v>
      </c>
    </row>
    <row r="550" spans="2:4" x14ac:dyDescent="0.25">
      <c r="B550" s="5">
        <v>45170</v>
      </c>
      <c r="C550">
        <v>0.27458668000000003</v>
      </c>
      <c r="D550">
        <v>-0.43472052</v>
      </c>
    </row>
    <row r="551" spans="2:4" x14ac:dyDescent="0.25">
      <c r="B551" s="5">
        <v>45169</v>
      </c>
      <c r="C551">
        <v>-0.3132701</v>
      </c>
      <c r="D551">
        <v>-0.65864325000000001</v>
      </c>
    </row>
    <row r="552" spans="2:4" x14ac:dyDescent="0.25">
      <c r="B552" s="5">
        <v>45168</v>
      </c>
      <c r="C552">
        <v>0.11571645999999999</v>
      </c>
      <c r="D552">
        <v>1.0468363999999999</v>
      </c>
    </row>
    <row r="553" spans="2:4" x14ac:dyDescent="0.25">
      <c r="B553" s="5">
        <v>45167</v>
      </c>
      <c r="C553">
        <v>1.4550447</v>
      </c>
      <c r="D553">
        <v>0.32758713</v>
      </c>
    </row>
    <row r="554" spans="2:4" x14ac:dyDescent="0.25">
      <c r="B554" s="5">
        <v>45166</v>
      </c>
      <c r="C554">
        <v>0.22292137000000001</v>
      </c>
      <c r="D554">
        <v>0.19519328999999999</v>
      </c>
    </row>
    <row r="555" spans="2:4" x14ac:dyDescent="0.25">
      <c r="B555" s="5">
        <v>45163</v>
      </c>
      <c r="C555">
        <v>0.94071627000000002</v>
      </c>
      <c r="D555">
        <v>-0.64545870000000005</v>
      </c>
    </row>
    <row r="556" spans="2:4" x14ac:dyDescent="0.25">
      <c r="B556" s="5">
        <v>45162</v>
      </c>
      <c r="C556">
        <v>-2.1498442</v>
      </c>
      <c r="D556">
        <v>0.26785134999999999</v>
      </c>
    </row>
    <row r="557" spans="2:4" x14ac:dyDescent="0.25">
      <c r="B557" s="5">
        <v>45161</v>
      </c>
      <c r="C557">
        <v>1.4079332</v>
      </c>
      <c r="D557">
        <v>0.67646503000000002</v>
      </c>
    </row>
    <row r="558" spans="2:4" x14ac:dyDescent="0.25">
      <c r="B558" s="5">
        <v>45160</v>
      </c>
      <c r="C558">
        <v>0.18018484000000001</v>
      </c>
      <c r="D558">
        <v>-0.29485225999999998</v>
      </c>
    </row>
    <row r="559" spans="2:4" x14ac:dyDescent="0.25">
      <c r="B559" s="5">
        <v>45159</v>
      </c>
      <c r="C559">
        <v>1.7062664000000001</v>
      </c>
      <c r="D559">
        <v>0.37716627000000003</v>
      </c>
    </row>
    <row r="560" spans="2:4" x14ac:dyDescent="0.25">
      <c r="B560" s="5">
        <v>45156</v>
      </c>
      <c r="C560">
        <v>-0.12623071999999999</v>
      </c>
      <c r="D560">
        <v>-0.69289803999999999</v>
      </c>
    </row>
    <row r="561" spans="2:4" x14ac:dyDescent="0.25">
      <c r="B561" s="5">
        <v>45155</v>
      </c>
      <c r="C561">
        <v>-1.0986209</v>
      </c>
      <c r="D561">
        <v>-0.97020863999999996</v>
      </c>
    </row>
    <row r="562" spans="2:4" x14ac:dyDescent="0.25">
      <c r="B562" s="5">
        <v>45154</v>
      </c>
      <c r="C562">
        <v>-0.45360922999999997</v>
      </c>
      <c r="D562">
        <v>-0.45755506000000001</v>
      </c>
    </row>
    <row r="563" spans="2:4" x14ac:dyDescent="0.25">
      <c r="B563" s="5">
        <v>45153</v>
      </c>
      <c r="C563">
        <v>-0.67276360000000002</v>
      </c>
      <c r="D563">
        <v>-0.42942165999999998</v>
      </c>
    </row>
    <row r="564" spans="2:4" x14ac:dyDescent="0.25">
      <c r="B564" s="5">
        <v>45152</v>
      </c>
      <c r="C564">
        <v>0.94389915000000002</v>
      </c>
      <c r="D564">
        <v>-0.16816854000000001</v>
      </c>
    </row>
    <row r="565" spans="2:4" x14ac:dyDescent="0.25">
      <c r="B565" s="5">
        <v>45149</v>
      </c>
      <c r="C565">
        <v>-0.59455040000000003</v>
      </c>
      <c r="D565">
        <v>-1.1687635999999999</v>
      </c>
    </row>
    <row r="566" spans="2:4" x14ac:dyDescent="0.25">
      <c r="B566" s="5">
        <v>45148</v>
      </c>
      <c r="C566">
        <v>0.21723508999999999</v>
      </c>
      <c r="D566">
        <v>1.2314080999999999</v>
      </c>
    </row>
    <row r="567" spans="2:4" x14ac:dyDescent="0.25">
      <c r="B567" s="5">
        <v>45147</v>
      </c>
      <c r="C567">
        <v>-1.1715949000000001</v>
      </c>
      <c r="D567">
        <v>-0.15546082999999999</v>
      </c>
    </row>
    <row r="568" spans="2:4" x14ac:dyDescent="0.25">
      <c r="B568" s="5">
        <v>45146</v>
      </c>
      <c r="C568">
        <v>-1.2298941999999999</v>
      </c>
      <c r="D568">
        <v>0.42997600000000002</v>
      </c>
    </row>
    <row r="569" spans="2:4" x14ac:dyDescent="0.25">
      <c r="B569" s="5">
        <v>45145</v>
      </c>
      <c r="C569">
        <v>0.7108331</v>
      </c>
      <c r="D569">
        <v>0.95415114999999995</v>
      </c>
    </row>
    <row r="570" spans="2:4" x14ac:dyDescent="0.25">
      <c r="B570" s="5">
        <v>45142</v>
      </c>
      <c r="C570">
        <v>0.34285784000000002</v>
      </c>
      <c r="D570">
        <v>-0.12916327</v>
      </c>
    </row>
    <row r="571" spans="2:4" x14ac:dyDescent="0.25">
      <c r="B571" s="5">
        <v>45141</v>
      </c>
      <c r="C571">
        <v>-0.25648474999999998</v>
      </c>
      <c r="D571">
        <v>-1.112622</v>
      </c>
    </row>
    <row r="572" spans="2:4" x14ac:dyDescent="0.25">
      <c r="B572" s="5">
        <v>45140</v>
      </c>
      <c r="C572">
        <v>-2.6282907</v>
      </c>
      <c r="D572">
        <v>-1.3024092</v>
      </c>
    </row>
    <row r="573" spans="2:4" x14ac:dyDescent="0.25">
      <c r="B573" s="5">
        <v>45139</v>
      </c>
      <c r="C573">
        <v>0.12502669999999999</v>
      </c>
      <c r="D573">
        <v>-2.1795510999999999</v>
      </c>
    </row>
    <row r="574" spans="2:4" x14ac:dyDescent="0.25">
      <c r="B574" s="5">
        <v>45138</v>
      </c>
      <c r="C574">
        <v>-0.72405339999999996</v>
      </c>
      <c r="D574">
        <v>-0.75463650000000004</v>
      </c>
    </row>
    <row r="575" spans="2:4" x14ac:dyDescent="0.25">
      <c r="B575" s="5">
        <v>45135</v>
      </c>
      <c r="C575">
        <v>2.3131370000000002</v>
      </c>
      <c r="D575">
        <v>0.7387996</v>
      </c>
    </row>
    <row r="576" spans="2:4" x14ac:dyDescent="0.25">
      <c r="B576" s="5">
        <v>45134</v>
      </c>
      <c r="C576">
        <v>-2.0872175999999998</v>
      </c>
      <c r="D576">
        <v>-0.48258899999999999</v>
      </c>
    </row>
    <row r="577" spans="2:4" x14ac:dyDescent="0.25">
      <c r="B577" s="5">
        <v>45133</v>
      </c>
      <c r="C577">
        <v>-3.7637532</v>
      </c>
      <c r="D577">
        <v>1.3511658</v>
      </c>
    </row>
    <row r="578" spans="2:4" x14ac:dyDescent="0.25">
      <c r="B578" s="5">
        <v>45132</v>
      </c>
      <c r="C578">
        <v>1.7009139</v>
      </c>
      <c r="D578">
        <v>0.92529059999999996</v>
      </c>
    </row>
    <row r="579" spans="2:4" x14ac:dyDescent="0.25">
      <c r="B579" s="5">
        <v>45131</v>
      </c>
      <c r="C579">
        <v>0.38979053000000002</v>
      </c>
      <c r="D579">
        <v>0.19409657</v>
      </c>
    </row>
    <row r="580" spans="2:4" x14ac:dyDescent="0.25">
      <c r="B580" s="5">
        <v>45128</v>
      </c>
      <c r="C580">
        <v>-0.89370609999999995</v>
      </c>
      <c r="D580">
        <v>-1.3905466</v>
      </c>
    </row>
    <row r="581" spans="2:4" x14ac:dyDescent="0.25">
      <c r="B581" s="5">
        <v>45127</v>
      </c>
      <c r="C581">
        <v>-2.3121535999999998</v>
      </c>
      <c r="D581">
        <v>2.8502941E-2</v>
      </c>
    </row>
    <row r="582" spans="2:4" x14ac:dyDescent="0.25">
      <c r="B582" s="5">
        <v>45126</v>
      </c>
      <c r="C582">
        <v>-1.2267410999999999</v>
      </c>
      <c r="D582">
        <v>-0.40741562999999997</v>
      </c>
    </row>
    <row r="583" spans="2:4" x14ac:dyDescent="0.25">
      <c r="B583" s="5">
        <v>45125</v>
      </c>
      <c r="C583">
        <v>3.979981</v>
      </c>
      <c r="D583">
        <v>0.10404587</v>
      </c>
    </row>
    <row r="584" spans="2:4" x14ac:dyDescent="0.25">
      <c r="B584" s="5">
        <v>45124</v>
      </c>
      <c r="C584">
        <v>0.14193058</v>
      </c>
      <c r="D584">
        <v>-0.16175508</v>
      </c>
    </row>
    <row r="585" spans="2:4" x14ac:dyDescent="0.25">
      <c r="B585" s="5">
        <v>45121</v>
      </c>
      <c r="C585">
        <v>0.75292590000000004</v>
      </c>
      <c r="D585">
        <v>2.4976609999999999</v>
      </c>
    </row>
    <row r="586" spans="2:4" x14ac:dyDescent="0.25">
      <c r="B586" s="5">
        <v>45120</v>
      </c>
      <c r="C586">
        <v>1.6192198</v>
      </c>
      <c r="D586">
        <v>2.2238850000000001</v>
      </c>
    </row>
    <row r="587" spans="2:4" x14ac:dyDescent="0.25">
      <c r="B587" s="5">
        <v>45119</v>
      </c>
      <c r="C587">
        <v>1.4226913000000001</v>
      </c>
      <c r="D587">
        <v>0.54874420000000002</v>
      </c>
    </row>
    <row r="588" spans="2:4" x14ac:dyDescent="0.25">
      <c r="B588" s="5">
        <v>45118</v>
      </c>
      <c r="C588">
        <v>0.19286871</v>
      </c>
      <c r="D588">
        <v>-0.31840204999999999</v>
      </c>
    </row>
    <row r="589" spans="2:4" x14ac:dyDescent="0.25">
      <c r="B589" s="5">
        <v>45117</v>
      </c>
      <c r="C589">
        <v>-1.5983700999999999</v>
      </c>
      <c r="D589">
        <v>-0.1781404</v>
      </c>
    </row>
    <row r="590" spans="2:4" x14ac:dyDescent="0.25">
      <c r="B590" s="5">
        <v>45114</v>
      </c>
      <c r="C590">
        <v>-1.1867403999999999</v>
      </c>
      <c r="D590">
        <v>1.058209</v>
      </c>
    </row>
    <row r="591" spans="2:4" x14ac:dyDescent="0.25">
      <c r="B591" s="5">
        <v>45113</v>
      </c>
      <c r="C591">
        <v>0.92266800000000004</v>
      </c>
      <c r="D591">
        <v>-1.6088306999999999</v>
      </c>
    </row>
    <row r="592" spans="2:4" x14ac:dyDescent="0.25">
      <c r="B592" s="5">
        <v>45112</v>
      </c>
      <c r="C592">
        <v>4.733801E-2</v>
      </c>
      <c r="D592">
        <v>-0.36229489999999998</v>
      </c>
    </row>
    <row r="593" spans="2:4" x14ac:dyDescent="0.25">
      <c r="B593" s="5">
        <v>45110</v>
      </c>
      <c r="C593">
        <v>-0.74881315000000004</v>
      </c>
      <c r="D593">
        <v>-1.5488744000000001</v>
      </c>
    </row>
    <row r="594" spans="2:4" x14ac:dyDescent="0.25">
      <c r="B594" s="5">
        <v>45107</v>
      </c>
      <c r="C594">
        <v>1.6385673999999999</v>
      </c>
      <c r="D594">
        <v>1.3139247999999999</v>
      </c>
    </row>
    <row r="595" spans="2:4" x14ac:dyDescent="0.25">
      <c r="B595" s="5">
        <v>45106</v>
      </c>
      <c r="C595">
        <v>-0.23820996</v>
      </c>
      <c r="D595">
        <v>-0.78321695000000002</v>
      </c>
    </row>
    <row r="596" spans="2:4" x14ac:dyDescent="0.25">
      <c r="B596" s="5">
        <v>45105</v>
      </c>
      <c r="C596">
        <v>0.38257837</v>
      </c>
      <c r="D596">
        <v>-0.66861510000000002</v>
      </c>
    </row>
    <row r="597" spans="2:4" x14ac:dyDescent="0.25">
      <c r="B597" s="5">
        <v>45104</v>
      </c>
      <c r="C597">
        <v>1.8167972999999999</v>
      </c>
      <c r="D597">
        <v>-0.39200783</v>
      </c>
    </row>
    <row r="598" spans="2:4" x14ac:dyDescent="0.25">
      <c r="B598" s="5">
        <v>45103</v>
      </c>
      <c r="C598">
        <v>-1.9163013</v>
      </c>
      <c r="D598">
        <v>-9.1063980000000003E-2</v>
      </c>
    </row>
    <row r="599" spans="2:4" x14ac:dyDescent="0.25">
      <c r="B599" s="5">
        <v>45100</v>
      </c>
      <c r="C599">
        <v>-1.3805925999999999</v>
      </c>
      <c r="D599">
        <v>-0.55019854999999995</v>
      </c>
    </row>
    <row r="600" spans="2:4" x14ac:dyDescent="0.25">
      <c r="B600" s="5">
        <v>45099</v>
      </c>
      <c r="C600">
        <v>1.8437386</v>
      </c>
      <c r="D600">
        <v>-1.0113894999999999</v>
      </c>
    </row>
    <row r="601" spans="2:4" x14ac:dyDescent="0.25">
      <c r="B601" s="5">
        <v>45098</v>
      </c>
      <c r="C601">
        <v>-1.3282001000000001</v>
      </c>
      <c r="D601">
        <v>-1.1426806</v>
      </c>
    </row>
    <row r="602" spans="2:4" x14ac:dyDescent="0.25">
      <c r="B602" s="5">
        <v>45097</v>
      </c>
      <c r="C602">
        <v>-1.2502551</v>
      </c>
      <c r="D602">
        <v>-1.5469432000000001</v>
      </c>
    </row>
    <row r="603" spans="2:4" x14ac:dyDescent="0.25">
      <c r="B603" s="5">
        <v>45093</v>
      </c>
      <c r="C603">
        <v>-1.6575754</v>
      </c>
      <c r="D603">
        <v>-9.6499919999999996E-3</v>
      </c>
    </row>
    <row r="604" spans="2:4" x14ac:dyDescent="0.25">
      <c r="B604" s="5">
        <v>45092</v>
      </c>
      <c r="C604">
        <v>3.1896589999999998</v>
      </c>
      <c r="D604">
        <v>1.6461611</v>
      </c>
    </row>
    <row r="605" spans="2:4" x14ac:dyDescent="0.25">
      <c r="B605" s="5">
        <v>45091</v>
      </c>
      <c r="C605">
        <v>0.91238019999999997</v>
      </c>
      <c r="D605">
        <v>0.20871161999999999</v>
      </c>
    </row>
    <row r="606" spans="2:4" x14ac:dyDescent="0.25">
      <c r="B606" s="5">
        <v>45090</v>
      </c>
      <c r="C606">
        <v>0.73527100000000001</v>
      </c>
      <c r="D606">
        <v>1.0380387</v>
      </c>
    </row>
    <row r="607" spans="2:4" x14ac:dyDescent="0.25">
      <c r="B607" s="5">
        <v>45089</v>
      </c>
      <c r="C607">
        <v>1.5483975000000001</v>
      </c>
      <c r="D607">
        <v>-0.23849607</v>
      </c>
    </row>
    <row r="608" spans="2:4" x14ac:dyDescent="0.25">
      <c r="B608" s="5">
        <v>45086</v>
      </c>
      <c r="C608">
        <v>0.47038794</v>
      </c>
      <c r="D608">
        <v>-0.66654086000000001</v>
      </c>
    </row>
    <row r="609" spans="2:4" x14ac:dyDescent="0.25">
      <c r="B609" s="5">
        <v>45085</v>
      </c>
      <c r="C609">
        <v>0.58135985999999995</v>
      </c>
      <c r="D609">
        <v>0.56682825000000003</v>
      </c>
    </row>
    <row r="610" spans="2:4" x14ac:dyDescent="0.25">
      <c r="B610" s="5">
        <v>45084</v>
      </c>
      <c r="C610">
        <v>-3.0867874999999998</v>
      </c>
      <c r="D610">
        <v>6.4897540000000004E-2</v>
      </c>
    </row>
    <row r="611" spans="2:4" x14ac:dyDescent="0.25">
      <c r="B611" s="5">
        <v>45083</v>
      </c>
      <c r="C611">
        <v>-0.67273974000000003</v>
      </c>
      <c r="D611">
        <v>1.2766838</v>
      </c>
    </row>
    <row r="612" spans="2:4" x14ac:dyDescent="0.25">
      <c r="B612" s="5">
        <v>45082</v>
      </c>
      <c r="C612">
        <v>0.16100407</v>
      </c>
      <c r="D612">
        <v>1.3814807</v>
      </c>
    </row>
    <row r="613" spans="2:4" x14ac:dyDescent="0.25">
      <c r="B613" s="5">
        <v>45079</v>
      </c>
      <c r="C613">
        <v>0.84792376000000003</v>
      </c>
      <c r="D613">
        <v>0.12484789</v>
      </c>
    </row>
    <row r="614" spans="2:4" x14ac:dyDescent="0.25">
      <c r="B614" s="5">
        <v>45078</v>
      </c>
      <c r="C614">
        <v>1.275909</v>
      </c>
      <c r="D614">
        <v>-7.0339440000000003E-2</v>
      </c>
    </row>
    <row r="615" spans="2:4" x14ac:dyDescent="0.25">
      <c r="B615" s="5">
        <v>45077</v>
      </c>
      <c r="C615">
        <v>-0.85141659999999997</v>
      </c>
      <c r="D615">
        <v>0.69546699999999995</v>
      </c>
    </row>
    <row r="616" spans="2:4" x14ac:dyDescent="0.25">
      <c r="B616" s="5">
        <v>45076</v>
      </c>
      <c r="C616">
        <v>-0.50467850000000003</v>
      </c>
      <c r="D616">
        <v>0.58099029999999996</v>
      </c>
    </row>
    <row r="617" spans="2:4" x14ac:dyDescent="0.25">
      <c r="B617" s="5">
        <v>45072</v>
      </c>
      <c r="C617">
        <v>2.1385670000000001</v>
      </c>
      <c r="D617">
        <v>1.7345189999999999</v>
      </c>
    </row>
    <row r="618" spans="2:4" x14ac:dyDescent="0.25">
      <c r="B618" s="5">
        <v>45071</v>
      </c>
      <c r="C618">
        <v>3.8457870000000001</v>
      </c>
      <c r="D618">
        <v>0.18185377</v>
      </c>
    </row>
    <row r="619" spans="2:4" x14ac:dyDescent="0.25">
      <c r="B619" s="5">
        <v>45070</v>
      </c>
      <c r="C619">
        <v>-0.44724940000000002</v>
      </c>
      <c r="D619">
        <v>-2.5252819999999998</v>
      </c>
    </row>
    <row r="620" spans="2:4" x14ac:dyDescent="0.25">
      <c r="B620" s="5">
        <v>45069</v>
      </c>
      <c r="C620">
        <v>-1.8431962</v>
      </c>
      <c r="D620">
        <v>9.4985959999999994E-2</v>
      </c>
    </row>
    <row r="621" spans="2:4" x14ac:dyDescent="0.25">
      <c r="B621" s="5">
        <v>45068</v>
      </c>
      <c r="C621">
        <v>0.89212656000000001</v>
      </c>
      <c r="D621">
        <v>0.28140545</v>
      </c>
    </row>
    <row r="622" spans="2:4" x14ac:dyDescent="0.25">
      <c r="B622" s="5">
        <v>45065</v>
      </c>
      <c r="C622">
        <v>-5.6511164000000003E-2</v>
      </c>
      <c r="D622">
        <v>1.1047005999999999</v>
      </c>
    </row>
    <row r="623" spans="2:4" x14ac:dyDescent="0.25">
      <c r="B623" s="5">
        <v>45064</v>
      </c>
      <c r="C623">
        <v>1.4394879</v>
      </c>
      <c r="D623">
        <v>0.97545384999999996</v>
      </c>
    </row>
    <row r="624" spans="2:4" x14ac:dyDescent="0.25">
      <c r="B624" s="5">
        <v>45063</v>
      </c>
      <c r="C624">
        <v>0.72497129999999999</v>
      </c>
      <c r="D624">
        <v>-2.9209434999999999</v>
      </c>
    </row>
    <row r="625" spans="2:4" x14ac:dyDescent="0.25">
      <c r="B625" s="5">
        <v>45062</v>
      </c>
      <c r="C625">
        <v>0.73676109999999995</v>
      </c>
      <c r="D625">
        <v>7.7104569999999997E-2</v>
      </c>
    </row>
    <row r="626" spans="2:4" x14ac:dyDescent="0.25">
      <c r="B626" s="5">
        <v>45061</v>
      </c>
      <c r="C626">
        <v>0.15858412</v>
      </c>
      <c r="D626">
        <v>-0.83254576000000002</v>
      </c>
    </row>
    <row r="627" spans="2:4" x14ac:dyDescent="0.25">
      <c r="B627" s="5">
        <v>45058</v>
      </c>
      <c r="C627">
        <v>-0.36760569999999998</v>
      </c>
      <c r="D627">
        <v>0.17027855</v>
      </c>
    </row>
    <row r="628" spans="2:4" x14ac:dyDescent="0.25">
      <c r="B628" s="5">
        <v>45057</v>
      </c>
      <c r="C628">
        <v>-0.70443153000000003</v>
      </c>
      <c r="D628">
        <v>-0.20920037999999999</v>
      </c>
    </row>
    <row r="629" spans="2:4" x14ac:dyDescent="0.25">
      <c r="B629" s="5">
        <v>45056</v>
      </c>
      <c r="C629">
        <v>1.7296433</v>
      </c>
      <c r="D629">
        <v>0.94279049999999998</v>
      </c>
    </row>
    <row r="630" spans="2:4" x14ac:dyDescent="0.25">
      <c r="B630" s="5">
        <v>45055</v>
      </c>
      <c r="C630">
        <v>-0.53458214000000004</v>
      </c>
      <c r="D630">
        <v>0.14811753999999999</v>
      </c>
    </row>
    <row r="631" spans="2:4" x14ac:dyDescent="0.25">
      <c r="B631" s="5">
        <v>45054</v>
      </c>
      <c r="C631">
        <v>-0.64381359999999999</v>
      </c>
      <c r="D631">
        <v>0.10700226</v>
      </c>
    </row>
    <row r="632" spans="2:4" x14ac:dyDescent="0.25">
      <c r="B632" s="5">
        <v>45051</v>
      </c>
      <c r="C632">
        <v>1.7157197</v>
      </c>
      <c r="D632">
        <v>0.21407604</v>
      </c>
    </row>
    <row r="633" spans="2:4" x14ac:dyDescent="0.25">
      <c r="B633" s="5">
        <v>45050</v>
      </c>
      <c r="C633">
        <v>0.33180714</v>
      </c>
      <c r="D633">
        <v>0.93827249999999995</v>
      </c>
    </row>
    <row r="634" spans="2:4" x14ac:dyDescent="0.25">
      <c r="B634" s="5">
        <v>45049</v>
      </c>
      <c r="C634">
        <v>-0.33070444999999998</v>
      </c>
      <c r="D634">
        <v>-4.7022104000000002E-2</v>
      </c>
    </row>
    <row r="635" spans="2:4" x14ac:dyDescent="0.25">
      <c r="B635" s="5">
        <v>45048</v>
      </c>
      <c r="C635">
        <v>-4.9090385E-2</v>
      </c>
      <c r="D635">
        <v>-0.1930356</v>
      </c>
    </row>
    <row r="636" spans="2:4" x14ac:dyDescent="0.25">
      <c r="B636" s="5">
        <v>45047</v>
      </c>
      <c r="C636">
        <v>-0.55328010000000005</v>
      </c>
      <c r="D636">
        <v>-0.38587450000000001</v>
      </c>
    </row>
    <row r="637" spans="2:4" x14ac:dyDescent="0.25">
      <c r="B637" s="5">
        <v>45044</v>
      </c>
      <c r="C637">
        <v>0.79717636000000003</v>
      </c>
      <c r="D637">
        <v>4.0731310000000001</v>
      </c>
    </row>
    <row r="638" spans="2:4" x14ac:dyDescent="0.25">
      <c r="B638" s="5">
        <v>45043</v>
      </c>
      <c r="C638">
        <v>3.2027602000000002</v>
      </c>
      <c r="D638">
        <v>1.2230873</v>
      </c>
    </row>
    <row r="639" spans="2:4" x14ac:dyDescent="0.25">
      <c r="B639" s="5">
        <v>45042</v>
      </c>
      <c r="C639">
        <v>7.2434782999999996</v>
      </c>
      <c r="D639">
        <v>-0.77278614000000001</v>
      </c>
    </row>
    <row r="640" spans="2:4" x14ac:dyDescent="0.25">
      <c r="B640" s="5">
        <v>45041</v>
      </c>
      <c r="C640">
        <v>-2.2536040000000002</v>
      </c>
      <c r="D640">
        <v>0.24987459000000001</v>
      </c>
    </row>
    <row r="641" spans="2:4" x14ac:dyDescent="0.25">
      <c r="B641" s="5">
        <v>45040</v>
      </c>
      <c r="C641">
        <v>-1.3962865</v>
      </c>
      <c r="D641">
        <v>-0.12635589</v>
      </c>
    </row>
    <row r="642" spans="2:4" x14ac:dyDescent="0.25">
      <c r="B642" s="5">
        <v>45037</v>
      </c>
      <c r="C642">
        <v>-0.12232065</v>
      </c>
      <c r="D642">
        <v>1.1947155</v>
      </c>
    </row>
    <row r="643" spans="2:4" x14ac:dyDescent="0.25">
      <c r="B643" s="5">
        <v>45036</v>
      </c>
      <c r="C643">
        <v>-0.81124306000000002</v>
      </c>
      <c r="D643">
        <v>0.32172202999999999</v>
      </c>
    </row>
    <row r="644" spans="2:4" x14ac:dyDescent="0.25">
      <c r="B644" s="5">
        <v>45035</v>
      </c>
      <c r="C644">
        <v>2.7751923000000001E-2</v>
      </c>
      <c r="D644">
        <v>0.53603650000000003</v>
      </c>
    </row>
    <row r="645" spans="2:4" x14ac:dyDescent="0.25">
      <c r="B645" s="5">
        <v>45034</v>
      </c>
      <c r="C645">
        <v>-0.14889240000000001</v>
      </c>
      <c r="D645">
        <v>0.95202920000000002</v>
      </c>
    </row>
    <row r="646" spans="2:4" x14ac:dyDescent="0.25">
      <c r="B646" s="5">
        <v>45033</v>
      </c>
      <c r="C646">
        <v>0.92960595999999995</v>
      </c>
      <c r="D646">
        <v>-1.7705321000000001</v>
      </c>
    </row>
    <row r="647" spans="2:4" x14ac:dyDescent="0.25">
      <c r="B647" s="5">
        <v>45030</v>
      </c>
      <c r="C647">
        <v>-1.2765586</v>
      </c>
      <c r="D647">
        <v>-1.3005017999999999</v>
      </c>
    </row>
    <row r="648" spans="2:4" x14ac:dyDescent="0.25">
      <c r="B648" s="5">
        <v>45029</v>
      </c>
      <c r="C648">
        <v>2.2399426</v>
      </c>
      <c r="D648">
        <v>0.88124274999999996</v>
      </c>
    </row>
    <row r="649" spans="2:4" x14ac:dyDescent="0.25">
      <c r="B649" s="5">
        <v>45028</v>
      </c>
      <c r="C649">
        <v>0.23335217999999999</v>
      </c>
      <c r="D649">
        <v>0.89776515999999995</v>
      </c>
    </row>
    <row r="650" spans="2:4" x14ac:dyDescent="0.25">
      <c r="B650" s="5">
        <v>45027</v>
      </c>
      <c r="C650">
        <v>-2.266848</v>
      </c>
      <c r="D650">
        <v>-0.5840957</v>
      </c>
    </row>
    <row r="651" spans="2:4" x14ac:dyDescent="0.25">
      <c r="B651" s="5">
        <v>45026</v>
      </c>
      <c r="C651">
        <v>-0.75788500000000003</v>
      </c>
      <c r="D651">
        <v>-0.60713289999999998</v>
      </c>
    </row>
    <row r="652" spans="2:4" x14ac:dyDescent="0.25">
      <c r="B652" s="5">
        <v>45022</v>
      </c>
      <c r="C652">
        <v>2.5532841999999998</v>
      </c>
      <c r="D652">
        <v>1.5681148</v>
      </c>
    </row>
    <row r="653" spans="2:4" x14ac:dyDescent="0.25">
      <c r="B653" s="5">
        <v>45021</v>
      </c>
      <c r="C653">
        <v>-0.98892449999999998</v>
      </c>
      <c r="D653">
        <v>-5.9229136000000002E-2</v>
      </c>
    </row>
    <row r="654" spans="2:4" x14ac:dyDescent="0.25">
      <c r="B654" s="5">
        <v>45020</v>
      </c>
      <c r="C654">
        <v>-1.7416477E-2</v>
      </c>
      <c r="D654">
        <v>2.4208306999999998</v>
      </c>
    </row>
    <row r="655" spans="2:4" x14ac:dyDescent="0.25">
      <c r="B655" s="5">
        <v>45019</v>
      </c>
      <c r="C655">
        <v>-0.37113427999999998</v>
      </c>
      <c r="D655">
        <v>-1.3682723000000001</v>
      </c>
    </row>
    <row r="656" spans="2:4" x14ac:dyDescent="0.25">
      <c r="B656" s="5">
        <v>45016</v>
      </c>
      <c r="C656">
        <v>1.4962196000000001</v>
      </c>
      <c r="D656">
        <v>0.37704705999999999</v>
      </c>
    </row>
    <row r="657" spans="2:4" x14ac:dyDescent="0.25">
      <c r="B657" s="5">
        <v>45015</v>
      </c>
      <c r="C657">
        <v>1.2619734</v>
      </c>
      <c r="D657">
        <v>0.11228323</v>
      </c>
    </row>
    <row r="658" spans="2:4" x14ac:dyDescent="0.25">
      <c r="B658" s="5">
        <v>45014</v>
      </c>
      <c r="C658">
        <v>1.9183992999999999</v>
      </c>
      <c r="D658">
        <v>0.75898169999999998</v>
      </c>
    </row>
    <row r="659" spans="2:4" x14ac:dyDescent="0.25">
      <c r="B659" s="5">
        <v>45013</v>
      </c>
      <c r="C659">
        <v>-0.41609405999999999</v>
      </c>
      <c r="D659">
        <v>0.34108161999999997</v>
      </c>
    </row>
    <row r="660" spans="2:4" x14ac:dyDescent="0.25">
      <c r="B660" s="5">
        <v>45012</v>
      </c>
      <c r="C660">
        <v>-1.4933883999999999</v>
      </c>
      <c r="D660">
        <v>1.0455608000000001</v>
      </c>
    </row>
    <row r="661" spans="2:4" x14ac:dyDescent="0.25">
      <c r="B661" s="5">
        <v>45009</v>
      </c>
      <c r="C661">
        <v>1.0480404000000001</v>
      </c>
      <c r="D661">
        <v>-1.1455595000000001</v>
      </c>
    </row>
    <row r="662" spans="2:4" x14ac:dyDescent="0.25">
      <c r="B662" s="5">
        <v>45008</v>
      </c>
      <c r="C662">
        <v>1.9721626999999999</v>
      </c>
      <c r="D662">
        <v>2.0250916000000001</v>
      </c>
    </row>
    <row r="663" spans="2:4" x14ac:dyDescent="0.25">
      <c r="B663" s="5">
        <v>45007</v>
      </c>
      <c r="C663">
        <v>-0.54422616999999995</v>
      </c>
      <c r="D663">
        <v>-0.46045184</v>
      </c>
    </row>
    <row r="664" spans="2:4" x14ac:dyDescent="0.25">
      <c r="B664" s="5">
        <v>45006</v>
      </c>
      <c r="C664">
        <v>0.56936739999999997</v>
      </c>
      <c r="D664">
        <v>2.4719595999999999</v>
      </c>
    </row>
    <row r="665" spans="2:4" x14ac:dyDescent="0.25">
      <c r="B665" s="5">
        <v>45005</v>
      </c>
      <c r="C665">
        <v>-2.576667</v>
      </c>
      <c r="D665">
        <v>1.5814066</v>
      </c>
    </row>
    <row r="666" spans="2:4" x14ac:dyDescent="0.25">
      <c r="B666" s="5">
        <v>45002</v>
      </c>
      <c r="C666">
        <v>1.1694312</v>
      </c>
      <c r="D666">
        <v>2.2013067999999998</v>
      </c>
    </row>
    <row r="667" spans="2:4" x14ac:dyDescent="0.25">
      <c r="B667" s="5">
        <v>45001</v>
      </c>
      <c r="C667">
        <v>4.0536523000000004</v>
      </c>
      <c r="D667">
        <v>2.3455381000000002</v>
      </c>
    </row>
    <row r="668" spans="2:4" x14ac:dyDescent="0.25">
      <c r="B668" s="5">
        <v>45000</v>
      </c>
      <c r="C668">
        <v>1.7830372000000001</v>
      </c>
      <c r="D668">
        <v>-2.3066163</v>
      </c>
    </row>
    <row r="669" spans="2:4" x14ac:dyDescent="0.25">
      <c r="B669" s="5">
        <v>44999</v>
      </c>
      <c r="C669">
        <v>2.7055859999999998</v>
      </c>
      <c r="D669">
        <v>7.3885919999999994E-2</v>
      </c>
    </row>
    <row r="670" spans="2:4" x14ac:dyDescent="0.25">
      <c r="B670" s="5">
        <v>44998</v>
      </c>
      <c r="C670">
        <v>2.1440983</v>
      </c>
      <c r="D670">
        <v>-0.46108365000000001</v>
      </c>
    </row>
    <row r="671" spans="2:4" x14ac:dyDescent="0.25">
      <c r="B671" s="5">
        <v>44995</v>
      </c>
      <c r="C671">
        <v>-1.4782846000000001</v>
      </c>
      <c r="D671">
        <v>1.2693048</v>
      </c>
    </row>
    <row r="672" spans="2:4" x14ac:dyDescent="0.25">
      <c r="B672" s="5">
        <v>44994</v>
      </c>
      <c r="C672">
        <v>-0.54394600000000004</v>
      </c>
      <c r="D672">
        <v>-0.40808319999999998</v>
      </c>
    </row>
    <row r="673" spans="2:4" x14ac:dyDescent="0.25">
      <c r="B673" s="5">
        <v>44993</v>
      </c>
      <c r="C673">
        <v>-0.17706156000000001</v>
      </c>
      <c r="D673">
        <v>-8.8971850000000005E-2</v>
      </c>
    </row>
    <row r="674" spans="2:4" x14ac:dyDescent="0.25">
      <c r="B674" s="5">
        <v>44992</v>
      </c>
      <c r="C674">
        <v>-1.0589004</v>
      </c>
      <c r="D674">
        <v>-1.8020510999999999</v>
      </c>
    </row>
    <row r="675" spans="2:4" x14ac:dyDescent="0.25">
      <c r="B675" s="5">
        <v>44991</v>
      </c>
      <c r="C675">
        <v>0.61889886999999999</v>
      </c>
      <c r="D675">
        <v>-0.67234634999999998</v>
      </c>
    </row>
    <row r="676" spans="2:4" x14ac:dyDescent="0.25">
      <c r="B676" s="5">
        <v>44988</v>
      </c>
      <c r="C676">
        <v>1.6646027999999999</v>
      </c>
      <c r="D676">
        <v>2.1315097999999999</v>
      </c>
    </row>
    <row r="677" spans="2:4" x14ac:dyDescent="0.25">
      <c r="B677" s="5">
        <v>44987</v>
      </c>
      <c r="C677">
        <v>1.9653201</v>
      </c>
      <c r="D677">
        <v>-0.75393915</v>
      </c>
    </row>
    <row r="678" spans="2:4" x14ac:dyDescent="0.25">
      <c r="B678" s="5">
        <v>44986</v>
      </c>
      <c r="C678">
        <v>-1.2629269999999999</v>
      </c>
      <c r="D678">
        <v>-0.61249730000000002</v>
      </c>
    </row>
    <row r="679" spans="2:4" x14ac:dyDescent="0.25">
      <c r="B679" s="5">
        <v>44985</v>
      </c>
      <c r="C679">
        <v>-0.29581190000000002</v>
      </c>
      <c r="D679">
        <v>-0.48218369999999999</v>
      </c>
    </row>
    <row r="680" spans="2:4" x14ac:dyDescent="0.25">
      <c r="B680" s="5">
        <v>44984</v>
      </c>
      <c r="C680">
        <v>0.37717820000000002</v>
      </c>
      <c r="D680">
        <v>0.45303105999999999</v>
      </c>
    </row>
    <row r="681" spans="2:4" x14ac:dyDescent="0.25">
      <c r="B681" s="5">
        <v>44981</v>
      </c>
      <c r="C681">
        <v>-2.1784365000000001</v>
      </c>
      <c r="D681">
        <v>-0.1954794</v>
      </c>
    </row>
    <row r="682" spans="2:4" x14ac:dyDescent="0.25">
      <c r="B682" s="5">
        <v>44980</v>
      </c>
      <c r="C682">
        <v>1.2961745</v>
      </c>
      <c r="D682">
        <v>-0.34809113000000003</v>
      </c>
    </row>
    <row r="683" spans="2:4" x14ac:dyDescent="0.25">
      <c r="B683" s="5">
        <v>44979</v>
      </c>
      <c r="C683">
        <v>-0.45909882000000002</v>
      </c>
      <c r="D683">
        <v>-1.5505671999999999</v>
      </c>
    </row>
    <row r="684" spans="2:4" x14ac:dyDescent="0.25">
      <c r="B684" s="5">
        <v>44978</v>
      </c>
      <c r="C684">
        <v>-2.08866</v>
      </c>
      <c r="D684">
        <v>0.61705109999999996</v>
      </c>
    </row>
    <row r="685" spans="2:4" x14ac:dyDescent="0.25">
      <c r="B685" s="5">
        <v>44974</v>
      </c>
      <c r="C685">
        <v>-1.5601754000000001</v>
      </c>
      <c r="D685">
        <v>-1.1725664</v>
      </c>
    </row>
    <row r="686" spans="2:4" x14ac:dyDescent="0.25">
      <c r="B686" s="5">
        <v>44973</v>
      </c>
      <c r="C686">
        <v>-2.6622653000000001</v>
      </c>
      <c r="D686">
        <v>-0.46404600000000001</v>
      </c>
    </row>
    <row r="687" spans="2:4" x14ac:dyDescent="0.25">
      <c r="B687" s="5">
        <v>44972</v>
      </c>
      <c r="C687">
        <v>-1.0471404</v>
      </c>
      <c r="D687">
        <v>-0.24775863000000001</v>
      </c>
    </row>
    <row r="688" spans="2:4" x14ac:dyDescent="0.25">
      <c r="B688" s="5">
        <v>44971</v>
      </c>
      <c r="C688">
        <v>0.313282</v>
      </c>
      <c r="D688">
        <v>0.5184531</v>
      </c>
    </row>
    <row r="689" spans="2:4" x14ac:dyDescent="0.25">
      <c r="B689" s="5">
        <v>44970</v>
      </c>
      <c r="C689">
        <v>3.1242847</v>
      </c>
      <c r="D689">
        <v>0.59397219999999995</v>
      </c>
    </row>
    <row r="690" spans="2:4" x14ac:dyDescent="0.25">
      <c r="B690" s="5">
        <v>44967</v>
      </c>
      <c r="C690">
        <v>-0.19724965</v>
      </c>
      <c r="D690">
        <v>-1.1830151</v>
      </c>
    </row>
    <row r="691" spans="2:4" x14ac:dyDescent="0.25">
      <c r="B691" s="5">
        <v>44966</v>
      </c>
      <c r="C691">
        <v>-1.1659801000000001</v>
      </c>
      <c r="D691">
        <v>1.5885591999999999</v>
      </c>
    </row>
    <row r="692" spans="2:4" x14ac:dyDescent="0.25">
      <c r="B692" s="5">
        <v>44965</v>
      </c>
      <c r="C692">
        <v>-0.31020639999999999</v>
      </c>
      <c r="D692">
        <v>0.96504690000000004</v>
      </c>
    </row>
    <row r="693" spans="2:4" x14ac:dyDescent="0.25">
      <c r="B693" s="5">
        <v>44964</v>
      </c>
      <c r="C693">
        <v>4.2022110000000001</v>
      </c>
      <c r="D693">
        <v>-0.85964799999999997</v>
      </c>
    </row>
    <row r="694" spans="2:4" x14ac:dyDescent="0.25">
      <c r="B694" s="5">
        <v>44963</v>
      </c>
      <c r="C694">
        <v>-0.6115794</v>
      </c>
      <c r="D694">
        <v>-0.98823309999999998</v>
      </c>
    </row>
    <row r="695" spans="2:4" x14ac:dyDescent="0.25">
      <c r="B695" s="5">
        <v>44960</v>
      </c>
      <c r="C695">
        <v>-2.3620546</v>
      </c>
      <c r="D695">
        <v>0.22792815999999999</v>
      </c>
    </row>
    <row r="696" spans="2:4" x14ac:dyDescent="0.25">
      <c r="B696" s="5">
        <v>44959</v>
      </c>
      <c r="C696">
        <v>4.6884300000000003</v>
      </c>
      <c r="D696">
        <v>1.1260270999999999</v>
      </c>
    </row>
    <row r="697" spans="2:4" x14ac:dyDescent="0.25">
      <c r="B697" s="5">
        <v>44958</v>
      </c>
      <c r="C697">
        <v>1.9934654000000001</v>
      </c>
      <c r="D697">
        <v>0.14483929000000001</v>
      </c>
    </row>
    <row r="698" spans="2:4" x14ac:dyDescent="0.25">
      <c r="B698" s="5">
        <v>44957</v>
      </c>
      <c r="C698">
        <v>2.1012664000000001</v>
      </c>
      <c r="D698">
        <v>-0.32312869999999999</v>
      </c>
    </row>
    <row r="699" spans="2:4" x14ac:dyDescent="0.25">
      <c r="B699" s="5">
        <v>44956</v>
      </c>
      <c r="C699">
        <v>-2.1961629999999999</v>
      </c>
      <c r="D699">
        <v>0.21728276999999999</v>
      </c>
    </row>
    <row r="700" spans="2:4" x14ac:dyDescent="0.25">
      <c r="B700" s="5">
        <v>44953</v>
      </c>
      <c r="C700">
        <v>6.4516069999999995E-2</v>
      </c>
      <c r="D700">
        <v>0.86286070000000004</v>
      </c>
    </row>
    <row r="701" spans="2:4" x14ac:dyDescent="0.25">
      <c r="B701" s="5">
        <v>44952</v>
      </c>
      <c r="C701">
        <v>3.0713558000000001</v>
      </c>
      <c r="D701">
        <v>0.35128593000000002</v>
      </c>
    </row>
    <row r="702" spans="2:4" x14ac:dyDescent="0.25">
      <c r="B702" s="5">
        <v>44951</v>
      </c>
      <c r="C702">
        <v>-0.59080719999999998</v>
      </c>
      <c r="D702">
        <v>0.80754756999999999</v>
      </c>
    </row>
    <row r="703" spans="2:4" x14ac:dyDescent="0.25">
      <c r="B703" s="5">
        <v>44950</v>
      </c>
      <c r="C703">
        <v>-0.22261143</v>
      </c>
      <c r="D703">
        <v>-1.3300657</v>
      </c>
    </row>
    <row r="704" spans="2:4" x14ac:dyDescent="0.25">
      <c r="B704" s="5">
        <v>44949</v>
      </c>
      <c r="C704">
        <v>0.98242759999999996</v>
      </c>
      <c r="D704">
        <v>-2.1391629999999999</v>
      </c>
    </row>
    <row r="705" spans="2:4" x14ac:dyDescent="0.25">
      <c r="B705" s="5">
        <v>44946</v>
      </c>
      <c r="C705">
        <v>3.5743594000000001</v>
      </c>
      <c r="D705">
        <v>-3.3950806E-2</v>
      </c>
    </row>
    <row r="706" spans="2:4" x14ac:dyDescent="0.25">
      <c r="B706" s="5">
        <v>44945</v>
      </c>
      <c r="C706">
        <v>-1.6453922000000001</v>
      </c>
      <c r="D706">
        <v>-1.2108862</v>
      </c>
    </row>
    <row r="707" spans="2:4" x14ac:dyDescent="0.25">
      <c r="B707" s="5">
        <v>44944</v>
      </c>
      <c r="C707">
        <v>-1.8889129</v>
      </c>
      <c r="D707">
        <v>2.4041890000000001</v>
      </c>
    </row>
    <row r="708" spans="2:4" x14ac:dyDescent="0.25">
      <c r="B708" s="5">
        <v>44943</v>
      </c>
      <c r="C708">
        <v>0.46817064000000003</v>
      </c>
      <c r="D708">
        <v>0.7441044</v>
      </c>
    </row>
    <row r="709" spans="2:4" x14ac:dyDescent="0.25">
      <c r="B709" s="5">
        <v>44939</v>
      </c>
      <c r="C709">
        <v>0.30187367999999998</v>
      </c>
      <c r="D709">
        <v>1.4709353000000001</v>
      </c>
    </row>
    <row r="710" spans="2:4" x14ac:dyDescent="0.25">
      <c r="B710" s="5">
        <v>44938</v>
      </c>
      <c r="C710">
        <v>1.1621475000000001</v>
      </c>
      <c r="D710">
        <v>0.3332138</v>
      </c>
    </row>
    <row r="711" spans="2:4" x14ac:dyDescent="0.25">
      <c r="B711" s="5">
        <v>44937</v>
      </c>
      <c r="C711">
        <v>3.0238152</v>
      </c>
      <c r="D711">
        <v>0.99806786000000003</v>
      </c>
    </row>
    <row r="712" spans="2:4" x14ac:dyDescent="0.25">
      <c r="B712" s="5">
        <v>44936</v>
      </c>
      <c r="C712">
        <v>0.76171160000000004</v>
      </c>
      <c r="D712">
        <v>-0.44705867999999999</v>
      </c>
    </row>
    <row r="713" spans="2:4" x14ac:dyDescent="0.25">
      <c r="B713" s="5">
        <v>44935</v>
      </c>
      <c r="C713">
        <v>0.97364189999999995</v>
      </c>
      <c r="D713">
        <v>2.9846309999999998</v>
      </c>
    </row>
    <row r="714" spans="2:4" x14ac:dyDescent="0.25">
      <c r="B714" s="5">
        <v>44932</v>
      </c>
      <c r="C714">
        <v>1.1785269</v>
      </c>
      <c r="D714">
        <v>1.8596052999999999</v>
      </c>
    </row>
    <row r="715" spans="2:4" x14ac:dyDescent="0.25">
      <c r="B715" s="5">
        <v>44931</v>
      </c>
      <c r="C715">
        <v>-2.9637753999999998</v>
      </c>
      <c r="D715">
        <v>-1.9887507</v>
      </c>
    </row>
    <row r="716" spans="2:4" x14ac:dyDescent="0.25">
      <c r="B716" s="5">
        <v>44930</v>
      </c>
      <c r="C716">
        <v>-4.3743189999999998</v>
      </c>
      <c r="D716">
        <v>0.69282054999999998</v>
      </c>
    </row>
    <row r="717" spans="2:4" x14ac:dyDescent="0.25">
      <c r="B717" s="5">
        <v>44929</v>
      </c>
      <c r="C717">
        <v>-0.1000762</v>
      </c>
      <c r="D717">
        <v>-4.3016671999999999E-2</v>
      </c>
    </row>
    <row r="718" spans="2:4" x14ac:dyDescent="0.25">
      <c r="B718" s="5">
        <v>44925</v>
      </c>
      <c r="C718">
        <v>-0.49375296000000002</v>
      </c>
      <c r="D718">
        <v>-1.2549222</v>
      </c>
    </row>
    <row r="719" spans="2:4" x14ac:dyDescent="0.25">
      <c r="B719" s="5">
        <v>44924</v>
      </c>
      <c r="C719">
        <v>2.7629733000000001</v>
      </c>
      <c r="D719">
        <v>1.3381958</v>
      </c>
    </row>
    <row r="720" spans="2:4" x14ac:dyDescent="0.25">
      <c r="B720" s="5">
        <v>44923</v>
      </c>
      <c r="C720">
        <v>-1.0254920000000001</v>
      </c>
      <c r="D720">
        <v>0.10919571</v>
      </c>
    </row>
    <row r="721" spans="2:4" x14ac:dyDescent="0.25">
      <c r="B721" s="5">
        <v>44922</v>
      </c>
      <c r="C721">
        <v>-0.74141619999999997</v>
      </c>
      <c r="D721">
        <v>-0.35239458000000001</v>
      </c>
    </row>
    <row r="722" spans="2:4" x14ac:dyDescent="0.25">
      <c r="B722" s="5">
        <v>44918</v>
      </c>
      <c r="C722">
        <v>0.22671222999999999</v>
      </c>
      <c r="D722">
        <v>-0.54713489999999998</v>
      </c>
    </row>
    <row r="723" spans="2:4" x14ac:dyDescent="0.25">
      <c r="B723" s="5">
        <v>44917</v>
      </c>
      <c r="C723">
        <v>-2.5528729999999999</v>
      </c>
      <c r="D723">
        <v>-0.19678472999999999</v>
      </c>
    </row>
    <row r="724" spans="2:4" x14ac:dyDescent="0.25">
      <c r="B724" s="5">
        <v>44916</v>
      </c>
      <c r="C724">
        <v>1.0876656</v>
      </c>
      <c r="D724">
        <v>0.46323537999999997</v>
      </c>
    </row>
    <row r="725" spans="2:4" x14ac:dyDescent="0.25">
      <c r="B725" s="5">
        <v>44915</v>
      </c>
      <c r="C725">
        <v>0.5614519</v>
      </c>
      <c r="D725">
        <v>-0.35073757</v>
      </c>
    </row>
    <row r="726" spans="2:4" x14ac:dyDescent="0.25">
      <c r="B726" s="5">
        <v>44914</v>
      </c>
      <c r="C726">
        <v>-1.7328083999999999</v>
      </c>
      <c r="D726">
        <v>-2.9705167000000001</v>
      </c>
    </row>
    <row r="727" spans="2:4" x14ac:dyDescent="0.25">
      <c r="B727" s="5">
        <v>44911</v>
      </c>
      <c r="C727">
        <v>-1.7348646999999999</v>
      </c>
      <c r="D727">
        <v>-2.2529542</v>
      </c>
    </row>
    <row r="728" spans="2:4" x14ac:dyDescent="0.25">
      <c r="B728" s="5">
        <v>44910</v>
      </c>
      <c r="C728">
        <v>-3.1918228000000002</v>
      </c>
      <c r="D728">
        <v>-3.4038544000000002</v>
      </c>
    </row>
    <row r="729" spans="2:4" x14ac:dyDescent="0.25">
      <c r="B729" s="5">
        <v>44909</v>
      </c>
      <c r="C729">
        <v>0.11676549999999999</v>
      </c>
      <c r="D729">
        <v>0.15554428000000001</v>
      </c>
    </row>
    <row r="730" spans="2:4" x14ac:dyDescent="0.25">
      <c r="B730" s="5">
        <v>44908</v>
      </c>
      <c r="C730">
        <v>1.7464757</v>
      </c>
      <c r="D730">
        <v>0.93233584999999997</v>
      </c>
    </row>
    <row r="731" spans="2:4" x14ac:dyDescent="0.25">
      <c r="B731" s="5">
        <v>44907</v>
      </c>
      <c r="C731">
        <v>2.8889179999999999</v>
      </c>
      <c r="D731">
        <v>2.6355267000000002</v>
      </c>
    </row>
    <row r="732" spans="2:4" x14ac:dyDescent="0.25">
      <c r="B732" s="5">
        <v>44904</v>
      </c>
      <c r="C732">
        <v>-0.80032349999999997</v>
      </c>
      <c r="D732">
        <v>0.96417664999999997</v>
      </c>
    </row>
    <row r="733" spans="2:4" x14ac:dyDescent="0.25">
      <c r="B733" s="5">
        <v>44903</v>
      </c>
      <c r="C733">
        <v>1.2399197</v>
      </c>
      <c r="D733">
        <v>-6.2560200000000004</v>
      </c>
    </row>
    <row r="734" spans="2:4" x14ac:dyDescent="0.25">
      <c r="B734" s="5">
        <v>44902</v>
      </c>
      <c r="C734">
        <v>-0.30597447999999999</v>
      </c>
      <c r="D734">
        <v>0.24977922</v>
      </c>
    </row>
    <row r="735" spans="2:4" x14ac:dyDescent="0.25">
      <c r="B735" s="5">
        <v>44901</v>
      </c>
      <c r="C735">
        <v>-2.0303786000000001</v>
      </c>
      <c r="D735">
        <v>-1.5928566</v>
      </c>
    </row>
    <row r="736" spans="2:4" x14ac:dyDescent="0.25">
      <c r="B736" s="5">
        <v>44900</v>
      </c>
      <c r="C736">
        <v>-1.8900513999999999</v>
      </c>
      <c r="D736">
        <v>-3.5102308</v>
      </c>
    </row>
    <row r="737" spans="2:4" x14ac:dyDescent="0.25">
      <c r="B737" s="5">
        <v>44897</v>
      </c>
      <c r="C737">
        <v>0.12956857999999999</v>
      </c>
      <c r="D737">
        <v>-0.39166212</v>
      </c>
    </row>
    <row r="738" spans="2:4" x14ac:dyDescent="0.25">
      <c r="B738" s="5">
        <v>44896</v>
      </c>
      <c r="C738">
        <v>-0.17637014000000001</v>
      </c>
      <c r="D738">
        <v>3.2808660999999999</v>
      </c>
    </row>
    <row r="739" spans="2:4" x14ac:dyDescent="0.25">
      <c r="B739" s="5">
        <v>44895</v>
      </c>
      <c r="C739">
        <v>6.1623573</v>
      </c>
      <c r="D739">
        <v>1.7584919999999999</v>
      </c>
    </row>
    <row r="740" spans="2:4" x14ac:dyDescent="0.25">
      <c r="B740" s="5">
        <v>44894</v>
      </c>
      <c r="C740">
        <v>-0.59149264999999995</v>
      </c>
      <c r="D740">
        <v>-1.4711797</v>
      </c>
    </row>
    <row r="741" spans="2:4" x14ac:dyDescent="0.25">
      <c r="B741" s="5">
        <v>44893</v>
      </c>
      <c r="C741">
        <v>-2.3152469999999998</v>
      </c>
      <c r="D741">
        <v>-0.18908380999999999</v>
      </c>
    </row>
    <row r="742" spans="2:4" x14ac:dyDescent="0.25">
      <c r="B742" s="5">
        <v>44890</v>
      </c>
      <c r="C742">
        <v>-3.6352873000000001E-2</v>
      </c>
      <c r="D742">
        <v>-1.176256</v>
      </c>
    </row>
    <row r="743" spans="2:4" x14ac:dyDescent="0.25">
      <c r="B743" s="5">
        <v>44888</v>
      </c>
      <c r="C743">
        <v>1.0406852</v>
      </c>
      <c r="D743">
        <v>2.407384</v>
      </c>
    </row>
    <row r="744" spans="2:4" x14ac:dyDescent="0.25">
      <c r="B744" s="5">
        <v>44887</v>
      </c>
      <c r="C744">
        <v>1.2311459</v>
      </c>
      <c r="D744">
        <v>0.77713730000000003</v>
      </c>
    </row>
    <row r="745" spans="2:4" x14ac:dyDescent="0.25">
      <c r="B745" s="5">
        <v>44886</v>
      </c>
      <c r="C745">
        <v>0.34408569999999999</v>
      </c>
      <c r="D745">
        <v>-0.65106750000000002</v>
      </c>
    </row>
    <row r="746" spans="2:4" x14ac:dyDescent="0.25">
      <c r="B746" s="5">
        <v>44883</v>
      </c>
      <c r="C746">
        <v>-0.19032954999999999</v>
      </c>
      <c r="D746">
        <v>2.3401139999999998</v>
      </c>
    </row>
    <row r="747" spans="2:4" x14ac:dyDescent="0.25">
      <c r="B747" s="5">
        <v>44882</v>
      </c>
      <c r="C747">
        <v>-2.0682811999999998E-2</v>
      </c>
      <c r="D747">
        <v>-0.46308637000000002</v>
      </c>
    </row>
    <row r="748" spans="2:4" x14ac:dyDescent="0.25">
      <c r="B748" s="5">
        <v>44881</v>
      </c>
      <c r="C748">
        <v>-9.9188090000000007E-2</v>
      </c>
      <c r="D748">
        <v>9.154081E-2</v>
      </c>
    </row>
    <row r="749" spans="2:4" x14ac:dyDescent="0.25">
      <c r="B749" s="5">
        <v>44880</v>
      </c>
      <c r="C749">
        <v>0.17387867000000001</v>
      </c>
      <c r="D749">
        <v>0.94271899999999997</v>
      </c>
    </row>
    <row r="750" spans="2:4" x14ac:dyDescent="0.25">
      <c r="B750" s="5">
        <v>44879</v>
      </c>
      <c r="C750">
        <v>-2.2500097999999999</v>
      </c>
      <c r="D750">
        <v>-2.7733563999999999</v>
      </c>
    </row>
    <row r="751" spans="2:4" x14ac:dyDescent="0.25">
      <c r="B751" s="5">
        <v>44876</v>
      </c>
      <c r="C751">
        <v>1.6997336999999999</v>
      </c>
      <c r="D751">
        <v>2.6880025999999999</v>
      </c>
    </row>
    <row r="752" spans="2:4" x14ac:dyDescent="0.25">
      <c r="B752" s="5">
        <v>44875</v>
      </c>
      <c r="C752">
        <v>8.2268000000000008</v>
      </c>
      <c r="D752">
        <v>5.0352097000000002</v>
      </c>
    </row>
    <row r="753" spans="2:4" x14ac:dyDescent="0.25">
      <c r="B753" s="5">
        <v>44874</v>
      </c>
      <c r="C753">
        <v>-1.9050121</v>
      </c>
      <c r="D753">
        <v>-0.31077862000000001</v>
      </c>
    </row>
    <row r="754" spans="2:4" x14ac:dyDescent="0.25">
      <c r="B754" s="5">
        <v>44873</v>
      </c>
      <c r="C754">
        <v>0.43884516000000001</v>
      </c>
      <c r="D754">
        <v>1.3453364000000001</v>
      </c>
    </row>
    <row r="755" spans="2:4" x14ac:dyDescent="0.25">
      <c r="B755" s="5">
        <v>44872</v>
      </c>
      <c r="C755">
        <v>2.9269576000000002</v>
      </c>
      <c r="D755">
        <v>2.2822141999999999</v>
      </c>
    </row>
    <row r="756" spans="2:4" x14ac:dyDescent="0.25">
      <c r="B756" s="5">
        <v>44869</v>
      </c>
      <c r="C756">
        <v>3.3325553000000001</v>
      </c>
      <c r="D756">
        <v>2.0608544000000002</v>
      </c>
    </row>
    <row r="757" spans="2:4" x14ac:dyDescent="0.25">
      <c r="B757" s="5">
        <v>44868</v>
      </c>
      <c r="C757">
        <v>-2.6578843999999999</v>
      </c>
      <c r="D757">
        <v>-3.0799626999999998</v>
      </c>
    </row>
    <row r="758" spans="2:4" x14ac:dyDescent="0.25">
      <c r="B758" s="5">
        <v>44867</v>
      </c>
      <c r="C758">
        <v>-3.5368322999999999</v>
      </c>
      <c r="D758">
        <v>0.54247380000000001</v>
      </c>
    </row>
    <row r="759" spans="2:4" x14ac:dyDescent="0.25">
      <c r="B759" s="5">
        <v>44866</v>
      </c>
      <c r="C759">
        <v>-1.7059445</v>
      </c>
      <c r="D759">
        <v>0.25447607</v>
      </c>
    </row>
    <row r="760" spans="2:4" x14ac:dyDescent="0.25">
      <c r="B760" s="5">
        <v>44865</v>
      </c>
      <c r="C760">
        <v>-1.5856147</v>
      </c>
      <c r="D760">
        <v>-0.93476769999999998</v>
      </c>
    </row>
    <row r="761" spans="2:4" x14ac:dyDescent="0.25">
      <c r="B761" s="5">
        <v>44862</v>
      </c>
      <c r="C761">
        <v>4.0220500000000001</v>
      </c>
      <c r="D761">
        <v>0.1963377</v>
      </c>
    </row>
    <row r="762" spans="2:4" x14ac:dyDescent="0.25">
      <c r="B762" s="5">
        <v>44861</v>
      </c>
      <c r="C762">
        <v>-1.9756198</v>
      </c>
      <c r="D762">
        <v>0.22500753000000001</v>
      </c>
    </row>
    <row r="763" spans="2:4" x14ac:dyDescent="0.25">
      <c r="B763" s="5">
        <v>44860</v>
      </c>
      <c r="C763">
        <v>-7.7156304999999996</v>
      </c>
      <c r="D763">
        <v>2.6902080000000002</v>
      </c>
    </row>
    <row r="764" spans="2:4" x14ac:dyDescent="0.25">
      <c r="B764" s="5">
        <v>44859</v>
      </c>
      <c r="C764">
        <v>1.3791679999999999</v>
      </c>
      <c r="D764">
        <v>2.3169518</v>
      </c>
    </row>
    <row r="765" spans="2:4" x14ac:dyDescent="0.25">
      <c r="B765" s="5">
        <v>44858</v>
      </c>
      <c r="C765">
        <v>2.1187901</v>
      </c>
      <c r="D765">
        <v>1.5460372</v>
      </c>
    </row>
    <row r="766" spans="2:4" x14ac:dyDescent="0.25">
      <c r="B766" s="5">
        <v>44855</v>
      </c>
      <c r="C766">
        <v>2.5280594999999999</v>
      </c>
      <c r="D766">
        <v>-2.2555710000000002</v>
      </c>
    </row>
    <row r="767" spans="2:4" x14ac:dyDescent="0.25">
      <c r="B767" s="5">
        <v>44854</v>
      </c>
      <c r="C767">
        <v>-0.13954639999999999</v>
      </c>
      <c r="D767">
        <v>-3.3563374999999999E-2</v>
      </c>
    </row>
    <row r="768" spans="2:4" x14ac:dyDescent="0.25">
      <c r="B768" s="5">
        <v>44853</v>
      </c>
      <c r="C768">
        <v>-0.8469641</v>
      </c>
      <c r="D768">
        <v>-0.71201323999999999</v>
      </c>
    </row>
    <row r="769" spans="2:4" x14ac:dyDescent="0.25">
      <c r="B769" s="5">
        <v>44852</v>
      </c>
      <c r="C769">
        <v>0.40837526000000002</v>
      </c>
      <c r="D769">
        <v>1.0437369000000001</v>
      </c>
    </row>
    <row r="770" spans="2:4" x14ac:dyDescent="0.25">
      <c r="B770" s="5">
        <v>44851</v>
      </c>
      <c r="C770">
        <v>3.9245725</v>
      </c>
      <c r="D770">
        <v>2.0230532000000001</v>
      </c>
    </row>
    <row r="771" spans="2:4" x14ac:dyDescent="0.25">
      <c r="B771" s="5">
        <v>44848</v>
      </c>
      <c r="C771">
        <v>-2.4248660000000002</v>
      </c>
      <c r="D771">
        <v>5.4895878000000002E-2</v>
      </c>
    </row>
    <row r="772" spans="2:4" x14ac:dyDescent="0.25">
      <c r="B772" s="5">
        <v>44847</v>
      </c>
      <c r="C772">
        <v>3.7608027000000002</v>
      </c>
      <c r="D772">
        <v>0.69968699999999995</v>
      </c>
    </row>
    <row r="773" spans="2:4" x14ac:dyDescent="0.25">
      <c r="B773" s="5">
        <v>44846</v>
      </c>
      <c r="C773">
        <v>0.15083551000000001</v>
      </c>
      <c r="D773">
        <v>-1.1741935999999999</v>
      </c>
    </row>
    <row r="774" spans="2:4" x14ac:dyDescent="0.25">
      <c r="B774" s="5">
        <v>44845</v>
      </c>
      <c r="C774">
        <v>-1.6750275999999999</v>
      </c>
      <c r="D774">
        <v>-1.0667205</v>
      </c>
    </row>
    <row r="775" spans="2:4" x14ac:dyDescent="0.25">
      <c r="B775" s="5">
        <v>44844</v>
      </c>
      <c r="C775">
        <v>-2.1302938</v>
      </c>
      <c r="D775">
        <v>-0.84685683</v>
      </c>
    </row>
    <row r="776" spans="2:4" x14ac:dyDescent="0.25">
      <c r="B776" s="5">
        <v>44841</v>
      </c>
      <c r="C776">
        <v>-5.0852895</v>
      </c>
      <c r="D776">
        <v>-2.3099959999999999</v>
      </c>
    </row>
    <row r="777" spans="2:4" x14ac:dyDescent="0.25">
      <c r="B777" s="5">
        <v>44840</v>
      </c>
      <c r="C777">
        <v>-0.96709730000000005</v>
      </c>
      <c r="D777">
        <v>-1.8161415999999999</v>
      </c>
    </row>
    <row r="778" spans="2:4" x14ac:dyDescent="0.25">
      <c r="B778" s="5">
        <v>44839</v>
      </c>
      <c r="C778">
        <v>0.12856722000000001</v>
      </c>
      <c r="D778">
        <v>-0.47449469999999999</v>
      </c>
    </row>
    <row r="779" spans="2:4" x14ac:dyDescent="0.25">
      <c r="B779" s="5">
        <v>44838</v>
      </c>
      <c r="C779">
        <v>3.3812403999999998</v>
      </c>
      <c r="D779">
        <v>2.1225095</v>
      </c>
    </row>
    <row r="780" spans="2:4" x14ac:dyDescent="0.25">
      <c r="B780" s="5">
        <v>44837</v>
      </c>
      <c r="C780">
        <v>3.3662557999999998</v>
      </c>
      <c r="D780">
        <v>1.2070775</v>
      </c>
    </row>
    <row r="781" spans="2:4" x14ac:dyDescent="0.25">
      <c r="B781" s="5">
        <v>44834</v>
      </c>
      <c r="C781">
        <v>-1.936847</v>
      </c>
      <c r="D781">
        <v>1.5639544000000001</v>
      </c>
    </row>
    <row r="782" spans="2:4" x14ac:dyDescent="0.25">
      <c r="B782" s="5">
        <v>44833</v>
      </c>
      <c r="C782">
        <v>-1.4809011999999999</v>
      </c>
      <c r="D782">
        <v>1.3724327000000001</v>
      </c>
    </row>
    <row r="783" spans="2:4" x14ac:dyDescent="0.25">
      <c r="B783" s="5">
        <v>44832</v>
      </c>
      <c r="C783">
        <v>1.9711494000000001</v>
      </c>
      <c r="D783">
        <v>0.70381165000000001</v>
      </c>
    </row>
    <row r="784" spans="2:4" x14ac:dyDescent="0.25">
      <c r="B784" s="5">
        <v>44831</v>
      </c>
      <c r="C784">
        <v>-0.43798684999999998</v>
      </c>
      <c r="D784">
        <v>-0.30522346</v>
      </c>
    </row>
    <row r="785" spans="2:4" x14ac:dyDescent="0.25">
      <c r="B785" s="5">
        <v>44830</v>
      </c>
      <c r="C785">
        <v>-0.19754767000000001</v>
      </c>
      <c r="D785">
        <v>1.1727452</v>
      </c>
    </row>
    <row r="786" spans="2:4" x14ac:dyDescent="0.25">
      <c r="B786" s="5">
        <v>44827</v>
      </c>
      <c r="C786">
        <v>-1.2698114</v>
      </c>
      <c r="D786">
        <v>-3.18771</v>
      </c>
    </row>
    <row r="787" spans="2:4" x14ac:dyDescent="0.25">
      <c r="B787" s="5">
        <v>44826</v>
      </c>
      <c r="C787">
        <v>0.84954499999999999</v>
      </c>
      <c r="D787">
        <v>-3.9570927999999999</v>
      </c>
    </row>
    <row r="788" spans="2:4" x14ac:dyDescent="0.25">
      <c r="B788" s="5">
        <v>44825</v>
      </c>
      <c r="C788">
        <v>-1.4435947</v>
      </c>
      <c r="D788">
        <v>1.6491532</v>
      </c>
    </row>
    <row r="789" spans="2:4" x14ac:dyDescent="0.25">
      <c r="B789" s="5">
        <v>44824</v>
      </c>
      <c r="C789">
        <v>-0.84655879999999994</v>
      </c>
      <c r="D789">
        <v>-3.0015230000000002</v>
      </c>
    </row>
    <row r="790" spans="2:4" x14ac:dyDescent="0.25">
      <c r="B790" s="5">
        <v>44823</v>
      </c>
      <c r="C790">
        <v>-8.9889764999999996E-2</v>
      </c>
      <c r="D790">
        <v>-0.22740959999999999</v>
      </c>
    </row>
    <row r="791" spans="2:4" x14ac:dyDescent="0.25">
      <c r="B791" s="5">
        <v>44820</v>
      </c>
      <c r="C791">
        <v>-0.26081799999999999</v>
      </c>
      <c r="D791">
        <v>-0.70877670000000004</v>
      </c>
    </row>
    <row r="792" spans="2:4" x14ac:dyDescent="0.25">
      <c r="B792" s="5">
        <v>44819</v>
      </c>
      <c r="C792">
        <v>-2.711916</v>
      </c>
      <c r="D792">
        <v>-1.9953190999999999</v>
      </c>
    </row>
    <row r="793" spans="2:4" x14ac:dyDescent="0.25">
      <c r="B793" s="5">
        <v>44818</v>
      </c>
      <c r="C793">
        <v>9.1266630000000001E-2</v>
      </c>
      <c r="D793">
        <v>-0.99582075999999997</v>
      </c>
    </row>
    <row r="794" spans="2:4" x14ac:dyDescent="0.25">
      <c r="B794" s="5">
        <v>44817</v>
      </c>
      <c r="C794">
        <v>-5.4978369999999996</v>
      </c>
      <c r="D794">
        <v>-2.5244594</v>
      </c>
    </row>
    <row r="795" spans="2:4" x14ac:dyDescent="0.25">
      <c r="B795" s="5">
        <v>44816</v>
      </c>
      <c r="C795">
        <v>0.82809924999999995</v>
      </c>
      <c r="D795">
        <v>2.2532344000000002</v>
      </c>
    </row>
    <row r="796" spans="2:4" x14ac:dyDescent="0.25">
      <c r="B796" s="5">
        <v>44813</v>
      </c>
      <c r="C796">
        <v>2.2976994999999998</v>
      </c>
      <c r="D796">
        <v>0.80946684000000002</v>
      </c>
    </row>
    <row r="797" spans="2:4" x14ac:dyDescent="0.25">
      <c r="B797" s="5">
        <v>44812</v>
      </c>
      <c r="C797">
        <v>0.1666069</v>
      </c>
      <c r="D797">
        <v>0.95739364999999998</v>
      </c>
    </row>
    <row r="798" spans="2:4" x14ac:dyDescent="0.25">
      <c r="B798" s="5">
        <v>44811</v>
      </c>
      <c r="C798">
        <v>1.9111514000000001</v>
      </c>
      <c r="D798">
        <v>-0.84599849999999999</v>
      </c>
    </row>
    <row r="799" spans="2:4" x14ac:dyDescent="0.25">
      <c r="B799" s="5">
        <v>44810</v>
      </c>
      <c r="C799">
        <v>-1.097399</v>
      </c>
      <c r="D799">
        <v>-0.94289780000000001</v>
      </c>
    </row>
    <row r="800" spans="2:4" x14ac:dyDescent="0.25">
      <c r="B800" s="5">
        <v>44806</v>
      </c>
      <c r="C800">
        <v>-1.6666650999999999</v>
      </c>
      <c r="D800">
        <v>1.4788389</v>
      </c>
    </row>
    <row r="801" spans="2:4" x14ac:dyDescent="0.25">
      <c r="B801" s="5">
        <v>44805</v>
      </c>
      <c r="C801">
        <v>-0.40922760000000002</v>
      </c>
      <c r="D801">
        <v>-3.0642510000000001</v>
      </c>
    </row>
    <row r="802" spans="2:4" x14ac:dyDescent="0.25">
      <c r="B802" s="5">
        <v>44804</v>
      </c>
      <c r="C802">
        <v>-0.57040449999999998</v>
      </c>
      <c r="D802">
        <v>-0.86249710000000002</v>
      </c>
    </row>
    <row r="803" spans="2:4" x14ac:dyDescent="0.25">
      <c r="B803" s="5">
        <v>44803</v>
      </c>
      <c r="C803">
        <v>-0.85209610000000002</v>
      </c>
      <c r="D803">
        <v>-1.6328514000000001</v>
      </c>
    </row>
    <row r="804" spans="2:4" x14ac:dyDescent="0.25">
      <c r="B804" s="5">
        <v>44802</v>
      </c>
      <c r="C804">
        <v>-1.0667979999999999</v>
      </c>
      <c r="D804">
        <v>-0.83958507000000004</v>
      </c>
    </row>
    <row r="805" spans="2:4" x14ac:dyDescent="0.25">
      <c r="B805" s="5">
        <v>44799</v>
      </c>
      <c r="C805">
        <v>-3.8587093000000001</v>
      </c>
      <c r="D805">
        <v>-1.9669771</v>
      </c>
    </row>
    <row r="806" spans="2:4" x14ac:dyDescent="0.25">
      <c r="B806" s="5">
        <v>44798</v>
      </c>
      <c r="C806">
        <v>1.1095405</v>
      </c>
      <c r="D806">
        <v>0.15290976000000001</v>
      </c>
    </row>
    <row r="807" spans="2:4" x14ac:dyDescent="0.25">
      <c r="B807" s="5">
        <v>44797</v>
      </c>
      <c r="C807">
        <v>-0.23512839999999999</v>
      </c>
      <c r="D807">
        <v>0.53255560000000002</v>
      </c>
    </row>
    <row r="808" spans="2:4" x14ac:dyDescent="0.25">
      <c r="B808" s="5">
        <v>44796</v>
      </c>
      <c r="C808">
        <v>-0.4716456</v>
      </c>
      <c r="D808">
        <v>-2.3873508000000001</v>
      </c>
    </row>
    <row r="809" spans="2:4" x14ac:dyDescent="0.25">
      <c r="B809" s="5">
        <v>44795</v>
      </c>
      <c r="C809">
        <v>-2.9355228000000002</v>
      </c>
      <c r="D809">
        <v>0.15083551000000001</v>
      </c>
    </row>
    <row r="810" spans="2:4" x14ac:dyDescent="0.25">
      <c r="B810" s="5">
        <v>44792</v>
      </c>
      <c r="C810">
        <v>-1.3854027</v>
      </c>
      <c r="D810">
        <v>-1.3517678</v>
      </c>
    </row>
    <row r="811" spans="2:4" x14ac:dyDescent="0.25">
      <c r="B811" s="5">
        <v>44791</v>
      </c>
      <c r="C811">
        <v>-0.39475559999999998</v>
      </c>
      <c r="D811">
        <v>0.82600116999999995</v>
      </c>
    </row>
    <row r="812" spans="2:4" x14ac:dyDescent="0.25">
      <c r="B812" s="5">
        <v>44790</v>
      </c>
      <c r="C812">
        <v>-0.47487020000000002</v>
      </c>
      <c r="D812">
        <v>0.32407045000000001</v>
      </c>
    </row>
    <row r="813" spans="2:4" x14ac:dyDescent="0.25">
      <c r="B813" s="5">
        <v>44789</v>
      </c>
      <c r="C813">
        <v>-0.25897621999999998</v>
      </c>
      <c r="D813">
        <v>-0.69072840000000002</v>
      </c>
    </row>
    <row r="814" spans="2:4" x14ac:dyDescent="0.25">
      <c r="B814" s="5">
        <v>44788</v>
      </c>
      <c r="C814">
        <v>0.53441525000000001</v>
      </c>
      <c r="D814">
        <v>2.8089046</v>
      </c>
    </row>
    <row r="815" spans="2:4" x14ac:dyDescent="0.25">
      <c r="B815" s="5">
        <v>44785</v>
      </c>
      <c r="C815">
        <v>1.7037153</v>
      </c>
      <c r="D815">
        <v>-2.2881866</v>
      </c>
    </row>
    <row r="816" spans="2:4" x14ac:dyDescent="0.25">
      <c r="B816" s="5">
        <v>44784</v>
      </c>
      <c r="C816">
        <v>-0.74008110000000005</v>
      </c>
      <c r="D816">
        <v>-4.0924549999999997E-2</v>
      </c>
    </row>
    <row r="817" spans="2:4" x14ac:dyDescent="0.25">
      <c r="B817" s="5">
        <v>44783</v>
      </c>
      <c r="C817">
        <v>2.4300456000000001</v>
      </c>
      <c r="D817">
        <v>0.81464049999999999</v>
      </c>
    </row>
    <row r="818" spans="2:4" x14ac:dyDescent="0.25">
      <c r="B818" s="5">
        <v>44782</v>
      </c>
      <c r="C818">
        <v>0.70632695999999995</v>
      </c>
      <c r="D818">
        <v>5.2297114999999998E-2</v>
      </c>
    </row>
    <row r="819" spans="2:4" x14ac:dyDescent="0.25">
      <c r="B819" s="5">
        <v>44781</v>
      </c>
      <c r="C819">
        <v>-0.91548560000000001</v>
      </c>
      <c r="D819">
        <v>0.83329679999999995</v>
      </c>
    </row>
    <row r="820" spans="2:4" x14ac:dyDescent="0.25">
      <c r="B820" s="5">
        <v>44778</v>
      </c>
      <c r="C820">
        <v>-0.26088357000000001</v>
      </c>
      <c r="D820">
        <v>1.2173176000000001</v>
      </c>
    </row>
    <row r="821" spans="2:4" x14ac:dyDescent="0.25">
      <c r="B821" s="5">
        <v>44777</v>
      </c>
      <c r="C821">
        <v>0.41774509999999998</v>
      </c>
      <c r="D821">
        <v>0.25831460000000001</v>
      </c>
    </row>
    <row r="822" spans="2:4" x14ac:dyDescent="0.25">
      <c r="B822" s="5">
        <v>44776</v>
      </c>
      <c r="C822">
        <v>2.7836322999999998</v>
      </c>
      <c r="D822">
        <v>0.58580637000000002</v>
      </c>
    </row>
    <row r="823" spans="2:4" x14ac:dyDescent="0.25">
      <c r="B823" s="5">
        <v>44775</v>
      </c>
      <c r="C823">
        <v>-1.147443</v>
      </c>
      <c r="D823">
        <v>-0.31366944000000002</v>
      </c>
    </row>
    <row r="824" spans="2:4" x14ac:dyDescent="0.25">
      <c r="B824" s="5">
        <v>44774</v>
      </c>
      <c r="C824">
        <v>-0.97242594000000004</v>
      </c>
      <c r="D824">
        <v>0.80239769999999999</v>
      </c>
    </row>
    <row r="825" spans="2:4" x14ac:dyDescent="0.25">
      <c r="B825" s="5">
        <v>44771</v>
      </c>
      <c r="C825">
        <v>1.5665054</v>
      </c>
      <c r="D825">
        <v>1.4632702</v>
      </c>
    </row>
    <row r="826" spans="2:4" x14ac:dyDescent="0.25">
      <c r="B826" s="5">
        <v>44770</v>
      </c>
      <c r="C826">
        <v>2.8540611</v>
      </c>
      <c r="D826">
        <v>1.3354539999999999</v>
      </c>
    </row>
    <row r="827" spans="2:4" x14ac:dyDescent="0.25">
      <c r="B827" s="5">
        <v>44769</v>
      </c>
      <c r="C827">
        <v>6.6851853999999999</v>
      </c>
      <c r="D827">
        <v>0.35184621999999999</v>
      </c>
    </row>
    <row r="828" spans="2:4" x14ac:dyDescent="0.25">
      <c r="B828" s="5">
        <v>44768</v>
      </c>
      <c r="C828">
        <v>-2.6774287000000001</v>
      </c>
      <c r="D828">
        <v>0.24704933000000001</v>
      </c>
    </row>
    <row r="829" spans="2:4" x14ac:dyDescent="0.25">
      <c r="B829" s="5">
        <v>44767</v>
      </c>
      <c r="C829">
        <v>-0.58764815000000004</v>
      </c>
      <c r="D829">
        <v>-0.48049091999999999</v>
      </c>
    </row>
    <row r="830" spans="2:4" x14ac:dyDescent="0.25">
      <c r="B830" s="5">
        <v>44764</v>
      </c>
      <c r="C830">
        <v>-1.6915917</v>
      </c>
      <c r="D830">
        <v>0.23794174000000001</v>
      </c>
    </row>
    <row r="831" spans="2:4" x14ac:dyDescent="0.25">
      <c r="B831" s="5">
        <v>44763</v>
      </c>
      <c r="C831">
        <v>0.97991229999999996</v>
      </c>
      <c r="D831">
        <v>0.85613729999999999</v>
      </c>
    </row>
    <row r="832" spans="2:4" x14ac:dyDescent="0.25">
      <c r="B832" s="5">
        <v>44762</v>
      </c>
      <c r="C832">
        <v>1.0557532000000001</v>
      </c>
      <c r="D832">
        <v>1.1013865</v>
      </c>
    </row>
    <row r="833" spans="2:4" x14ac:dyDescent="0.25">
      <c r="B833" s="5">
        <v>44761</v>
      </c>
      <c r="C833">
        <v>2.0766973000000002</v>
      </c>
      <c r="D833">
        <v>0.55941342999999999</v>
      </c>
    </row>
    <row r="834" spans="2:4" x14ac:dyDescent="0.25">
      <c r="B834" s="5">
        <v>44760</v>
      </c>
      <c r="C834">
        <v>-0.96213820000000005</v>
      </c>
      <c r="D834">
        <v>2.8165102000000002</v>
      </c>
    </row>
    <row r="835" spans="2:4" x14ac:dyDescent="0.25">
      <c r="B835" s="5">
        <v>44757</v>
      </c>
      <c r="C835">
        <v>1.0390401</v>
      </c>
      <c r="D835">
        <v>-0.43789744000000003</v>
      </c>
    </row>
    <row r="836" spans="2:4" x14ac:dyDescent="0.25">
      <c r="B836" s="5">
        <v>44756</v>
      </c>
      <c r="C836">
        <v>0.53814649999999997</v>
      </c>
      <c r="D836">
        <v>-1.9936084999999999</v>
      </c>
    </row>
    <row r="837" spans="2:4" x14ac:dyDescent="0.25">
      <c r="B837" s="5">
        <v>44755</v>
      </c>
      <c r="C837">
        <v>-0.37450193999999998</v>
      </c>
      <c r="D837">
        <v>-0.22761822000000001</v>
      </c>
    </row>
    <row r="838" spans="2:4" x14ac:dyDescent="0.25">
      <c r="B838" s="5">
        <v>44754</v>
      </c>
      <c r="C838">
        <v>-4.0981474000000002</v>
      </c>
      <c r="D838">
        <v>0.92145204999999997</v>
      </c>
    </row>
    <row r="839" spans="2:4" x14ac:dyDescent="0.25">
      <c r="B839" s="5">
        <v>44753</v>
      </c>
      <c r="C839">
        <v>-1.1768639000000001</v>
      </c>
      <c r="D839">
        <v>-0.52329899999999996</v>
      </c>
    </row>
    <row r="840" spans="2:4" x14ac:dyDescent="0.25">
      <c r="B840" s="5">
        <v>44750</v>
      </c>
      <c r="C840">
        <v>-0.27570724000000002</v>
      </c>
      <c r="D840">
        <v>0.62160490000000002</v>
      </c>
    </row>
    <row r="841" spans="2:4" x14ac:dyDescent="0.25">
      <c r="B841" s="5">
        <v>44749</v>
      </c>
      <c r="C841">
        <v>0.82266329999999999</v>
      </c>
      <c r="D841">
        <v>-0.38266181999999999</v>
      </c>
    </row>
    <row r="842" spans="2:4" x14ac:dyDescent="0.25">
      <c r="B842" s="5">
        <v>44748</v>
      </c>
      <c r="C842">
        <v>1.2782931</v>
      </c>
      <c r="D842">
        <v>3.1642437000000001</v>
      </c>
    </row>
    <row r="843" spans="2:4" x14ac:dyDescent="0.25">
      <c r="B843" s="5">
        <v>44747</v>
      </c>
      <c r="C843">
        <v>1.2597322</v>
      </c>
      <c r="D843">
        <v>-2.4387240000000001</v>
      </c>
    </row>
    <row r="844" spans="2:4" x14ac:dyDescent="0.25">
      <c r="B844" s="5">
        <v>44743</v>
      </c>
      <c r="C844">
        <v>1.0707498</v>
      </c>
      <c r="D844">
        <v>-2.1030486000000002</v>
      </c>
    </row>
    <row r="845" spans="2:4" x14ac:dyDescent="0.25">
      <c r="B845" s="5">
        <v>44742</v>
      </c>
      <c r="C845">
        <v>-1.3179243</v>
      </c>
      <c r="D845">
        <v>-0.69913270000000005</v>
      </c>
    </row>
    <row r="846" spans="2:4" x14ac:dyDescent="0.25">
      <c r="B846" s="5">
        <v>44741</v>
      </c>
      <c r="C846">
        <v>1.4737963999999999</v>
      </c>
      <c r="D846">
        <v>-1.2468159000000001</v>
      </c>
    </row>
    <row r="847" spans="2:4" x14ac:dyDescent="0.25">
      <c r="B847" s="5">
        <v>44740</v>
      </c>
      <c r="C847">
        <v>-3.1749070000000001</v>
      </c>
      <c r="D847">
        <v>0.24144650000000001</v>
      </c>
    </row>
    <row r="848" spans="2:4" x14ac:dyDescent="0.25">
      <c r="B848" s="5">
        <v>44739</v>
      </c>
      <c r="C848">
        <v>-1.0496795000000001</v>
      </c>
      <c r="D848">
        <v>0.94876289999999996</v>
      </c>
    </row>
    <row r="849" spans="2:4" x14ac:dyDescent="0.25">
      <c r="B849" s="5">
        <v>44736</v>
      </c>
      <c r="C849">
        <v>3.4149885000000002</v>
      </c>
      <c r="D849">
        <v>1.9589662999999999</v>
      </c>
    </row>
    <row r="850" spans="2:4" x14ac:dyDescent="0.25">
      <c r="B850" s="5">
        <v>44735</v>
      </c>
      <c r="C850">
        <v>2.2636533000000001</v>
      </c>
      <c r="D850">
        <v>1.4237404</v>
      </c>
    </row>
    <row r="851" spans="2:4" x14ac:dyDescent="0.25">
      <c r="B851" s="5">
        <v>44734</v>
      </c>
      <c r="C851">
        <v>-0.24040341000000001</v>
      </c>
      <c r="D851">
        <v>2.6127934000000002</v>
      </c>
    </row>
    <row r="852" spans="2:4" x14ac:dyDescent="0.25">
      <c r="B852" s="5">
        <v>44733</v>
      </c>
      <c r="C852">
        <v>2.4591208</v>
      </c>
      <c r="D852">
        <v>1.3548017000000001</v>
      </c>
    </row>
    <row r="853" spans="2:4" x14ac:dyDescent="0.25">
      <c r="B853" s="5">
        <v>44729</v>
      </c>
      <c r="C853">
        <v>1.0940075</v>
      </c>
      <c r="D853">
        <v>-2.4660945000000001</v>
      </c>
    </row>
    <row r="854" spans="2:4" x14ac:dyDescent="0.25">
      <c r="B854" s="5">
        <v>44728</v>
      </c>
      <c r="C854">
        <v>-2.6970087999999999</v>
      </c>
      <c r="D854">
        <v>4.1060686000000004</v>
      </c>
    </row>
    <row r="855" spans="2:4" x14ac:dyDescent="0.25">
      <c r="B855" s="5">
        <v>44727</v>
      </c>
      <c r="C855">
        <v>2.9735326999999998</v>
      </c>
      <c r="D855">
        <v>5.7421090000000001</v>
      </c>
    </row>
    <row r="856" spans="2:4" x14ac:dyDescent="0.25">
      <c r="B856" s="5">
        <v>44726</v>
      </c>
      <c r="C856">
        <v>0.92049840000000005</v>
      </c>
      <c r="D856">
        <v>-2.8996050000000002</v>
      </c>
    </row>
    <row r="857" spans="2:4" x14ac:dyDescent="0.25">
      <c r="B857" s="5">
        <v>44725</v>
      </c>
      <c r="C857">
        <v>-4.241276</v>
      </c>
      <c r="D857">
        <v>-4.290235</v>
      </c>
    </row>
    <row r="858" spans="2:4" x14ac:dyDescent="0.25">
      <c r="B858" s="5">
        <v>44722</v>
      </c>
      <c r="C858">
        <v>-4.4563649999999999</v>
      </c>
      <c r="D858">
        <v>-2.3896098000000001</v>
      </c>
    </row>
    <row r="859" spans="2:4" x14ac:dyDescent="0.25">
      <c r="B859" s="5">
        <v>44721</v>
      </c>
      <c r="C859">
        <v>-2.0783246000000002</v>
      </c>
      <c r="D859">
        <v>8.5270404999999994E-2</v>
      </c>
    </row>
    <row r="860" spans="2:4" x14ac:dyDescent="0.25">
      <c r="B860" s="5">
        <v>44720</v>
      </c>
      <c r="C860">
        <v>-0.76696869999999995</v>
      </c>
      <c r="D860">
        <v>-0.63043830000000001</v>
      </c>
    </row>
    <row r="861" spans="2:4" x14ac:dyDescent="0.25">
      <c r="B861" s="5">
        <v>44719</v>
      </c>
      <c r="C861">
        <v>1.3953447000000001</v>
      </c>
      <c r="D861">
        <v>-2.5668144000000002</v>
      </c>
    </row>
    <row r="862" spans="2:4" x14ac:dyDescent="0.25">
      <c r="B862" s="5">
        <v>44718</v>
      </c>
      <c r="C862">
        <v>-0.47033429999999998</v>
      </c>
      <c r="D862">
        <v>2.8622985000000001</v>
      </c>
    </row>
    <row r="863" spans="2:4" x14ac:dyDescent="0.25">
      <c r="B863" s="5">
        <v>44715</v>
      </c>
      <c r="C863">
        <v>-1.6607164999999999</v>
      </c>
      <c r="D863">
        <v>-0.1753807</v>
      </c>
    </row>
    <row r="864" spans="2:4" x14ac:dyDescent="0.25">
      <c r="B864" s="5">
        <v>44714</v>
      </c>
      <c r="C864">
        <v>0.79288479999999995</v>
      </c>
      <c r="D864">
        <v>0.38011074</v>
      </c>
    </row>
    <row r="865" spans="2:4" x14ac:dyDescent="0.25">
      <c r="B865" s="5">
        <v>44713</v>
      </c>
      <c r="C865">
        <v>0.20231009</v>
      </c>
      <c r="D865">
        <v>-4.3011189999999999</v>
      </c>
    </row>
    <row r="866" spans="2:4" x14ac:dyDescent="0.25">
      <c r="B866" s="5">
        <v>44712</v>
      </c>
      <c r="C866">
        <v>-0.50138830000000001</v>
      </c>
      <c r="D866">
        <v>-2.1533250000000002</v>
      </c>
    </row>
    <row r="867" spans="2:4" x14ac:dyDescent="0.25">
      <c r="B867" s="5">
        <v>44708</v>
      </c>
      <c r="C867">
        <v>2.7604342000000002</v>
      </c>
      <c r="D867">
        <v>2.6027680000000002</v>
      </c>
    </row>
    <row r="868" spans="2:4" x14ac:dyDescent="0.25">
      <c r="B868" s="5">
        <v>44707</v>
      </c>
      <c r="C868">
        <v>1.2875198999999999</v>
      </c>
      <c r="D868">
        <v>1.1027454999999999</v>
      </c>
    </row>
    <row r="869" spans="2:4" x14ac:dyDescent="0.25">
      <c r="B869" s="5">
        <v>44706</v>
      </c>
      <c r="C869">
        <v>1.1170149</v>
      </c>
      <c r="D869">
        <v>0.43787956</v>
      </c>
    </row>
    <row r="870" spans="2:4" x14ac:dyDescent="0.25">
      <c r="B870" s="5">
        <v>44705</v>
      </c>
      <c r="C870">
        <v>-0.39516687</v>
      </c>
      <c r="D870">
        <v>-0.3545046</v>
      </c>
    </row>
    <row r="871" spans="2:4" x14ac:dyDescent="0.25">
      <c r="B871" s="5">
        <v>44704</v>
      </c>
      <c r="C871">
        <v>3.2032012999999999</v>
      </c>
      <c r="D871">
        <v>1.3218999</v>
      </c>
    </row>
    <row r="872" spans="2:4" x14ac:dyDescent="0.25">
      <c r="B872" s="5">
        <v>44701</v>
      </c>
      <c r="C872">
        <v>-0.22912025</v>
      </c>
      <c r="D872">
        <v>1.2563586</v>
      </c>
    </row>
    <row r="873" spans="2:4" x14ac:dyDescent="0.25">
      <c r="B873" s="5">
        <v>44700</v>
      </c>
      <c r="C873">
        <v>-0.36996603</v>
      </c>
      <c r="D873">
        <v>-0.20314455000000001</v>
      </c>
    </row>
    <row r="874" spans="2:4" x14ac:dyDescent="0.25">
      <c r="B874" s="5">
        <v>44699</v>
      </c>
      <c r="C874">
        <v>-4.7747555000000004</v>
      </c>
      <c r="D874">
        <v>-1.796943</v>
      </c>
    </row>
    <row r="875" spans="2:4" x14ac:dyDescent="0.25">
      <c r="B875" s="5">
        <v>44698</v>
      </c>
      <c r="C875">
        <v>2.0344137999999998</v>
      </c>
      <c r="D875">
        <v>4.3144584000000004</v>
      </c>
    </row>
    <row r="876" spans="2:4" x14ac:dyDescent="0.25">
      <c r="B876" s="5">
        <v>44697</v>
      </c>
      <c r="C876">
        <v>0.14553070000000001</v>
      </c>
      <c r="D876">
        <v>-0.76575280000000001</v>
      </c>
    </row>
    <row r="877" spans="2:4" x14ac:dyDescent="0.25">
      <c r="B877" s="5">
        <v>44694</v>
      </c>
      <c r="C877">
        <v>2.259636</v>
      </c>
      <c r="D877">
        <v>-5.7256219999999997E-2</v>
      </c>
    </row>
    <row r="878" spans="2:4" x14ac:dyDescent="0.25">
      <c r="B878" s="5">
        <v>44693</v>
      </c>
      <c r="C878">
        <v>-1.9957720999999999</v>
      </c>
      <c r="D878">
        <v>-0.911659</v>
      </c>
    </row>
    <row r="879" spans="2:4" x14ac:dyDescent="0.25">
      <c r="B879" s="5">
        <v>44692</v>
      </c>
      <c r="C879">
        <v>-3.3209681999999998</v>
      </c>
      <c r="D879">
        <v>-0.22295117</v>
      </c>
    </row>
    <row r="880" spans="2:4" x14ac:dyDescent="0.25">
      <c r="B880" s="5">
        <v>44691</v>
      </c>
      <c r="C880">
        <v>1.8595576</v>
      </c>
      <c r="D880">
        <v>2.9195785999999999</v>
      </c>
    </row>
    <row r="881" spans="2:4" x14ac:dyDescent="0.25">
      <c r="B881" s="5">
        <v>44690</v>
      </c>
      <c r="C881">
        <v>-3.6945462</v>
      </c>
      <c r="D881">
        <v>-3.7315488000000001</v>
      </c>
    </row>
    <row r="882" spans="2:4" x14ac:dyDescent="0.25">
      <c r="B882" s="5">
        <v>44687</v>
      </c>
      <c r="C882">
        <v>-0.9446502</v>
      </c>
      <c r="D882">
        <v>-2.3381948000000001</v>
      </c>
    </row>
    <row r="883" spans="2:4" x14ac:dyDescent="0.25">
      <c r="B883" s="5">
        <v>44686</v>
      </c>
      <c r="C883">
        <v>-4.3554725999999997</v>
      </c>
      <c r="D883">
        <v>-1.4730452999999999</v>
      </c>
    </row>
    <row r="884" spans="2:4" x14ac:dyDescent="0.25">
      <c r="B884" s="5">
        <v>44685</v>
      </c>
      <c r="C884">
        <v>2.9100776000000002</v>
      </c>
      <c r="D884">
        <v>-3.9231061999999999</v>
      </c>
    </row>
    <row r="885" spans="2:4" x14ac:dyDescent="0.25">
      <c r="B885" s="5">
        <v>44684</v>
      </c>
      <c r="C885">
        <v>-0.94562170000000001</v>
      </c>
      <c r="D885">
        <v>-1.6411483</v>
      </c>
    </row>
    <row r="886" spans="2:4" x14ac:dyDescent="0.25">
      <c r="B886" s="5">
        <v>44683</v>
      </c>
      <c r="C886">
        <v>2.5043250000000001</v>
      </c>
      <c r="D886">
        <v>-0.27478337000000003</v>
      </c>
    </row>
    <row r="887" spans="2:4" x14ac:dyDescent="0.25">
      <c r="B887" s="5">
        <v>44680</v>
      </c>
      <c r="C887">
        <v>-4.1811999999999996</v>
      </c>
      <c r="D887">
        <v>1.4926195</v>
      </c>
    </row>
    <row r="888" spans="2:4" x14ac:dyDescent="0.25">
      <c r="B888" s="5">
        <v>44679</v>
      </c>
      <c r="C888">
        <v>2.2632599999999998</v>
      </c>
      <c r="D888">
        <v>-1.6195892999999999</v>
      </c>
    </row>
    <row r="889" spans="2:4" x14ac:dyDescent="0.25">
      <c r="B889" s="5">
        <v>44678</v>
      </c>
      <c r="C889">
        <v>4.8108934999999997</v>
      </c>
      <c r="D889">
        <v>-2.4389327000000001</v>
      </c>
    </row>
    <row r="890" spans="2:4" x14ac:dyDescent="0.25">
      <c r="B890" s="5">
        <v>44677</v>
      </c>
      <c r="C890">
        <v>-3.7403822</v>
      </c>
      <c r="D890">
        <v>-0.53464769999999995</v>
      </c>
    </row>
    <row r="891" spans="2:4" x14ac:dyDescent="0.25">
      <c r="B891" s="5">
        <v>44676</v>
      </c>
      <c r="C891">
        <v>2.4413347000000001</v>
      </c>
      <c r="D891">
        <v>-0.36228895</v>
      </c>
    </row>
    <row r="892" spans="2:4" x14ac:dyDescent="0.25">
      <c r="B892" s="5">
        <v>44673</v>
      </c>
      <c r="C892">
        <v>-2.4144410000000001</v>
      </c>
      <c r="D892">
        <v>-1.3727248000000001</v>
      </c>
    </row>
    <row r="893" spans="2:4" x14ac:dyDescent="0.25">
      <c r="B893" s="5">
        <v>44672</v>
      </c>
      <c r="C893">
        <v>-1.9381166000000001</v>
      </c>
      <c r="D893">
        <v>-1.2117743000000001</v>
      </c>
    </row>
    <row r="894" spans="2:4" x14ac:dyDescent="0.25">
      <c r="B894" s="5">
        <v>44671</v>
      </c>
      <c r="C894">
        <v>0.37153960000000003</v>
      </c>
      <c r="D894">
        <v>2.1761417000000001</v>
      </c>
    </row>
    <row r="895" spans="2:4" x14ac:dyDescent="0.25">
      <c r="B895" s="5">
        <v>44670</v>
      </c>
      <c r="C895">
        <v>1.7039776</v>
      </c>
      <c r="D895">
        <v>-2.53762</v>
      </c>
    </row>
    <row r="896" spans="2:4" x14ac:dyDescent="0.25">
      <c r="B896" s="5">
        <v>44669</v>
      </c>
      <c r="C896">
        <v>0.24658442</v>
      </c>
      <c r="D896">
        <v>-0.20695925000000001</v>
      </c>
    </row>
    <row r="897" spans="2:4" x14ac:dyDescent="0.25">
      <c r="B897" s="5">
        <v>44665</v>
      </c>
      <c r="C897">
        <v>-2.7084350000000001</v>
      </c>
      <c r="D897">
        <v>0.47283173000000001</v>
      </c>
    </row>
    <row r="898" spans="2:4" x14ac:dyDescent="0.25">
      <c r="B898" s="5">
        <v>44664</v>
      </c>
      <c r="C898">
        <v>1.971209</v>
      </c>
      <c r="D898">
        <v>-0.65332055</v>
      </c>
    </row>
    <row r="899" spans="2:4" x14ac:dyDescent="0.25">
      <c r="B899" s="5">
        <v>44663</v>
      </c>
      <c r="C899">
        <v>-1.1217892</v>
      </c>
      <c r="D899">
        <v>-2.8835356000000001</v>
      </c>
    </row>
    <row r="900" spans="2:4" x14ac:dyDescent="0.25">
      <c r="B900" s="5">
        <v>44662</v>
      </c>
      <c r="C900">
        <v>-3.9431571999999999</v>
      </c>
      <c r="D900">
        <v>-0.85448619999999997</v>
      </c>
    </row>
    <row r="901" spans="2:4" x14ac:dyDescent="0.25">
      <c r="B901" s="5">
        <v>44659</v>
      </c>
      <c r="C901">
        <v>-1.4599979000000001</v>
      </c>
      <c r="D901">
        <v>0.38241148000000003</v>
      </c>
    </row>
    <row r="902" spans="2:4" x14ac:dyDescent="0.25">
      <c r="B902" s="5">
        <v>44658</v>
      </c>
      <c r="C902">
        <v>0.6243706</v>
      </c>
      <c r="D902">
        <v>0.37173033</v>
      </c>
    </row>
    <row r="903" spans="2:4" x14ac:dyDescent="0.25">
      <c r="B903" s="5">
        <v>44657</v>
      </c>
      <c r="C903">
        <v>-3.6605775</v>
      </c>
      <c r="D903">
        <v>2.1624564999999998E-2</v>
      </c>
    </row>
    <row r="904" spans="2:4" x14ac:dyDescent="0.25">
      <c r="B904" s="5">
        <v>44656</v>
      </c>
      <c r="C904">
        <v>-1.2985348999999999</v>
      </c>
      <c r="D904">
        <v>2.8201580000000002</v>
      </c>
    </row>
    <row r="905" spans="2:4" x14ac:dyDescent="0.25">
      <c r="B905" s="5">
        <v>44655</v>
      </c>
      <c r="C905">
        <v>1.7936707000000001</v>
      </c>
      <c r="D905">
        <v>0.75418949999999996</v>
      </c>
    </row>
    <row r="906" spans="2:4" x14ac:dyDescent="0.25">
      <c r="B906" s="5">
        <v>44652</v>
      </c>
      <c r="C906">
        <v>0.36003590000000002</v>
      </c>
      <c r="D906">
        <v>1.0265470000000001</v>
      </c>
    </row>
    <row r="907" spans="2:4" x14ac:dyDescent="0.25">
      <c r="B907" s="5">
        <v>44651</v>
      </c>
      <c r="C907">
        <v>-1.7683028999999999</v>
      </c>
      <c r="D907">
        <v>0.62516930000000004</v>
      </c>
    </row>
    <row r="908" spans="2:4" x14ac:dyDescent="0.25">
      <c r="B908" s="5">
        <v>44650</v>
      </c>
      <c r="C908">
        <v>-0.49142838</v>
      </c>
      <c r="D908">
        <v>0.85015297000000001</v>
      </c>
    </row>
    <row r="909" spans="2:4" x14ac:dyDescent="0.25">
      <c r="B909" s="5">
        <v>44649</v>
      </c>
      <c r="C909">
        <v>1.5159248999999999</v>
      </c>
      <c r="D909">
        <v>0.44465064999999998</v>
      </c>
    </row>
    <row r="910" spans="2:4" x14ac:dyDescent="0.25">
      <c r="B910" s="5">
        <v>44648</v>
      </c>
      <c r="C910">
        <v>2.3116469999999998</v>
      </c>
      <c r="D910">
        <v>-0.36629437999999997</v>
      </c>
    </row>
    <row r="911" spans="2:4" x14ac:dyDescent="0.25">
      <c r="B911" s="5">
        <v>44645</v>
      </c>
      <c r="C911">
        <v>-0.13811588</v>
      </c>
      <c r="D911">
        <v>0.119423866</v>
      </c>
    </row>
    <row r="912" spans="2:4" x14ac:dyDescent="0.25">
      <c r="B912" s="5">
        <v>44644</v>
      </c>
      <c r="C912">
        <v>1.53929</v>
      </c>
      <c r="D912">
        <v>-0.44097303999999998</v>
      </c>
    </row>
    <row r="913" spans="2:4" x14ac:dyDescent="0.25">
      <c r="B913" s="5">
        <v>44643</v>
      </c>
      <c r="C913">
        <v>-1.5029967</v>
      </c>
      <c r="D913">
        <v>-1.2647569000000001</v>
      </c>
    </row>
    <row r="914" spans="2:4" x14ac:dyDescent="0.25">
      <c r="B914" s="5">
        <v>44642</v>
      </c>
      <c r="C914">
        <v>1.6379117999999999</v>
      </c>
      <c r="D914">
        <v>0.44190884000000002</v>
      </c>
    </row>
    <row r="915" spans="2:4" x14ac:dyDescent="0.25">
      <c r="B915" s="5">
        <v>44641</v>
      </c>
      <c r="C915">
        <v>-0.42272209999999999</v>
      </c>
      <c r="D915">
        <v>-0.33884645000000002</v>
      </c>
    </row>
    <row r="916" spans="2:4" x14ac:dyDescent="0.25">
      <c r="B916" s="5">
        <v>44638</v>
      </c>
      <c r="C916">
        <v>1.7647862000000001</v>
      </c>
      <c r="D916">
        <v>2.0135640000000001</v>
      </c>
    </row>
    <row r="917" spans="2:4" x14ac:dyDescent="0.25">
      <c r="B917" s="5">
        <v>44637</v>
      </c>
      <c r="C917">
        <v>0.28192996999999997</v>
      </c>
      <c r="D917">
        <v>-0.72524549999999999</v>
      </c>
    </row>
    <row r="918" spans="2:4" x14ac:dyDescent="0.25">
      <c r="B918" s="5">
        <v>44636</v>
      </c>
      <c r="C918">
        <v>2.5213359999999998</v>
      </c>
      <c r="D918">
        <v>3.3604026</v>
      </c>
    </row>
    <row r="919" spans="2:4" x14ac:dyDescent="0.25">
      <c r="B919" s="5">
        <v>44635</v>
      </c>
      <c r="C919">
        <v>3.8742542000000002</v>
      </c>
      <c r="D919">
        <v>-0.55506825000000004</v>
      </c>
    </row>
    <row r="920" spans="2:4" x14ac:dyDescent="0.25">
      <c r="B920" s="5">
        <v>44634</v>
      </c>
      <c r="C920">
        <v>-1.296109</v>
      </c>
      <c r="D920">
        <v>3.4313679000000001</v>
      </c>
    </row>
    <row r="921" spans="2:4" x14ac:dyDescent="0.25">
      <c r="B921" s="5">
        <v>44631</v>
      </c>
      <c r="C921">
        <v>-1.9328356</v>
      </c>
      <c r="D921">
        <v>1.3695835999999999</v>
      </c>
    </row>
    <row r="922" spans="2:4" x14ac:dyDescent="0.25">
      <c r="B922" s="5">
        <v>44630</v>
      </c>
      <c r="C922">
        <v>-1.0086656000000001</v>
      </c>
      <c r="D922">
        <v>0.39094687</v>
      </c>
    </row>
    <row r="923" spans="2:4" x14ac:dyDescent="0.25">
      <c r="B923" s="5">
        <v>44629</v>
      </c>
      <c r="C923">
        <v>4.5858264000000002</v>
      </c>
      <c r="D923">
        <v>4.5189620000000001</v>
      </c>
    </row>
    <row r="924" spans="2:4" x14ac:dyDescent="0.25">
      <c r="B924" s="5">
        <v>44628</v>
      </c>
      <c r="C924">
        <v>-1.0971248</v>
      </c>
      <c r="D924">
        <v>-5.4705380000000003</v>
      </c>
    </row>
    <row r="925" spans="2:4" x14ac:dyDescent="0.25">
      <c r="B925" s="5">
        <v>44627</v>
      </c>
      <c r="C925">
        <v>-3.7776768000000001</v>
      </c>
      <c r="D925">
        <v>0.99239350000000004</v>
      </c>
    </row>
    <row r="926" spans="2:4" x14ac:dyDescent="0.25">
      <c r="B926" s="5">
        <v>44624</v>
      </c>
      <c r="C926">
        <v>-2.0478605999999999</v>
      </c>
      <c r="D926">
        <v>2.9122233</v>
      </c>
    </row>
    <row r="927" spans="2:4" x14ac:dyDescent="0.25">
      <c r="B927" s="5">
        <v>44623</v>
      </c>
      <c r="C927">
        <v>-1.4224291</v>
      </c>
      <c r="D927">
        <v>9.8612900000000003</v>
      </c>
    </row>
    <row r="928" spans="2:4" x14ac:dyDescent="0.25">
      <c r="B928" s="5">
        <v>44622</v>
      </c>
      <c r="C928">
        <v>1.7765641000000001</v>
      </c>
      <c r="D928">
        <v>-0.31964183000000002</v>
      </c>
    </row>
    <row r="929" spans="2:4" x14ac:dyDescent="0.25">
      <c r="B929" s="5">
        <v>44621</v>
      </c>
      <c r="C929">
        <v>-1.2851834</v>
      </c>
      <c r="D929">
        <v>-3.5458683999999998</v>
      </c>
    </row>
    <row r="930" spans="2:4" x14ac:dyDescent="0.25">
      <c r="B930" s="5">
        <v>44620</v>
      </c>
      <c r="C930">
        <v>0.49780606999999999</v>
      </c>
      <c r="D930">
        <v>1.5132785</v>
      </c>
    </row>
    <row r="931" spans="2:4" x14ac:dyDescent="0.25">
      <c r="B931" s="5">
        <v>44617</v>
      </c>
      <c r="C931">
        <v>0.92331169999999996</v>
      </c>
      <c r="D931">
        <v>2.5505542999999999</v>
      </c>
    </row>
    <row r="932" spans="2:4" x14ac:dyDescent="0.25">
      <c r="B932" s="5">
        <v>44616</v>
      </c>
      <c r="C932">
        <v>5.1093580000000003</v>
      </c>
      <c r="D932">
        <v>-4.4490457000000001</v>
      </c>
    </row>
    <row r="933" spans="2:4" x14ac:dyDescent="0.25">
      <c r="B933" s="5">
        <v>44615</v>
      </c>
      <c r="C933">
        <v>-2.5893269999999999</v>
      </c>
      <c r="D933">
        <v>3.7455559999999999E-2</v>
      </c>
    </row>
    <row r="934" spans="2:4" x14ac:dyDescent="0.25">
      <c r="B934" s="5">
        <v>44614</v>
      </c>
      <c r="C934">
        <v>-7.2932239999999995E-2</v>
      </c>
      <c r="D934">
        <v>-1.4235735</v>
      </c>
    </row>
    <row r="935" spans="2:4" x14ac:dyDescent="0.25">
      <c r="B935" s="5">
        <v>44610</v>
      </c>
      <c r="C935">
        <v>-0.9630978</v>
      </c>
      <c r="D935">
        <v>-2.2466838</v>
      </c>
    </row>
    <row r="936" spans="2:4" x14ac:dyDescent="0.25">
      <c r="B936" s="5">
        <v>44609</v>
      </c>
      <c r="C936">
        <v>-2.9282092999999998</v>
      </c>
      <c r="D936">
        <v>-1.592201</v>
      </c>
    </row>
    <row r="937" spans="2:4" x14ac:dyDescent="0.25">
      <c r="B937" s="5">
        <v>44608</v>
      </c>
      <c r="C937">
        <v>-0.32283067999999998</v>
      </c>
      <c r="D937">
        <v>-0.24136305</v>
      </c>
    </row>
    <row r="938" spans="2:4" x14ac:dyDescent="0.25">
      <c r="B938" s="5">
        <v>44607</v>
      </c>
      <c r="C938">
        <v>1.8542409</v>
      </c>
      <c r="D938">
        <v>0.88554619999999995</v>
      </c>
    </row>
    <row r="939" spans="2:4" x14ac:dyDescent="0.25">
      <c r="B939" s="5">
        <v>44606</v>
      </c>
      <c r="C939">
        <v>-1.3560057E-2</v>
      </c>
      <c r="D939">
        <v>-2.9835820000000002</v>
      </c>
    </row>
    <row r="940" spans="2:4" x14ac:dyDescent="0.25">
      <c r="B940" s="5">
        <v>44603</v>
      </c>
      <c r="C940">
        <v>-2.4274049999999998</v>
      </c>
      <c r="D940">
        <v>-2.0476222000000002</v>
      </c>
    </row>
    <row r="941" spans="2:4" x14ac:dyDescent="0.25">
      <c r="B941" s="5">
        <v>44602</v>
      </c>
      <c r="C941">
        <v>-2.8373062999999998</v>
      </c>
      <c r="D941">
        <v>0.40483475000000002</v>
      </c>
    </row>
    <row r="942" spans="2:4" x14ac:dyDescent="0.25">
      <c r="B942" s="5">
        <v>44601</v>
      </c>
      <c r="C942">
        <v>2.1834730000000002</v>
      </c>
      <c r="D942">
        <v>2.9533266999999999</v>
      </c>
    </row>
    <row r="943" spans="2:4" x14ac:dyDescent="0.25">
      <c r="B943" s="5">
        <v>44600</v>
      </c>
      <c r="C943">
        <v>1.1995316</v>
      </c>
      <c r="D943">
        <v>-2.7879833999999999</v>
      </c>
    </row>
    <row r="944" spans="2:4" x14ac:dyDescent="0.25">
      <c r="B944" s="5">
        <v>44599</v>
      </c>
      <c r="C944">
        <v>-1.6310334</v>
      </c>
      <c r="D944">
        <v>0.61589479999999996</v>
      </c>
    </row>
    <row r="945" spans="2:4" x14ac:dyDescent="0.25">
      <c r="B945" s="5">
        <v>44596</v>
      </c>
      <c r="C945">
        <v>1.5568495</v>
      </c>
      <c r="D945">
        <v>-1.2750566000000001</v>
      </c>
    </row>
    <row r="946" spans="2:4" x14ac:dyDescent="0.25">
      <c r="B946" s="5">
        <v>44595</v>
      </c>
      <c r="C946">
        <v>-3.8952290000000001</v>
      </c>
      <c r="D946">
        <v>-0.46703220000000001</v>
      </c>
    </row>
    <row r="947" spans="2:4" x14ac:dyDescent="0.25">
      <c r="B947" s="5">
        <v>44594</v>
      </c>
      <c r="C947">
        <v>1.5222073</v>
      </c>
      <c r="D947">
        <v>1.9438624</v>
      </c>
    </row>
    <row r="948" spans="2:4" x14ac:dyDescent="0.25">
      <c r="B948" s="5">
        <v>44593</v>
      </c>
      <c r="C948">
        <v>-0.71387290000000003</v>
      </c>
      <c r="D948">
        <v>-0.37780404000000001</v>
      </c>
    </row>
    <row r="949" spans="2:4" x14ac:dyDescent="0.25">
      <c r="B949" s="5">
        <v>44592</v>
      </c>
      <c r="C949">
        <v>0.88237524000000001</v>
      </c>
      <c r="D949">
        <v>3.4873128000000002</v>
      </c>
    </row>
    <row r="950" spans="2:4" x14ac:dyDescent="0.25">
      <c r="B950" s="5">
        <v>44589</v>
      </c>
      <c r="C950">
        <v>2.8081656000000002</v>
      </c>
      <c r="D950">
        <v>0.4521966</v>
      </c>
    </row>
    <row r="951" spans="2:4" x14ac:dyDescent="0.25">
      <c r="B951" s="5">
        <v>44588</v>
      </c>
      <c r="C951">
        <v>1.0549067999999999</v>
      </c>
      <c r="D951">
        <v>-4.526967</v>
      </c>
    </row>
    <row r="952" spans="2:4" x14ac:dyDescent="0.25">
      <c r="B952" s="5">
        <v>44587</v>
      </c>
      <c r="C952">
        <v>2.8493165999999999</v>
      </c>
      <c r="D952">
        <v>-2.3221552000000001</v>
      </c>
    </row>
    <row r="953" spans="2:4" x14ac:dyDescent="0.25">
      <c r="B953" s="5">
        <v>44586</v>
      </c>
      <c r="C953">
        <v>-2.6588379999999998</v>
      </c>
      <c r="D953">
        <v>0.80524682999999997</v>
      </c>
    </row>
    <row r="954" spans="2:4" x14ac:dyDescent="0.25">
      <c r="B954" s="5">
        <v>44585</v>
      </c>
      <c r="C954">
        <v>0.11484622999999999</v>
      </c>
      <c r="D954">
        <v>-2.9096305</v>
      </c>
    </row>
    <row r="955" spans="2:4" x14ac:dyDescent="0.25">
      <c r="B955" s="5">
        <v>44582</v>
      </c>
      <c r="C955">
        <v>-1.8468201</v>
      </c>
      <c r="D955">
        <v>-0.89753866000000004</v>
      </c>
    </row>
    <row r="956" spans="2:4" x14ac:dyDescent="0.25">
      <c r="B956" s="5">
        <v>44581</v>
      </c>
      <c r="C956">
        <v>-0.57032704000000001</v>
      </c>
      <c r="D956">
        <v>1.5950084</v>
      </c>
    </row>
    <row r="957" spans="2:4" x14ac:dyDescent="0.25">
      <c r="B957" s="5">
        <v>44580</v>
      </c>
      <c r="C957">
        <v>0.22467375000000001</v>
      </c>
      <c r="D957">
        <v>0.55861472999999995</v>
      </c>
    </row>
    <row r="958" spans="2:4" x14ac:dyDescent="0.25">
      <c r="B958" s="5">
        <v>44579</v>
      </c>
      <c r="C958">
        <v>-2.4339200000000001</v>
      </c>
      <c r="D958">
        <v>-0.7381141</v>
      </c>
    </row>
    <row r="959" spans="2:4" x14ac:dyDescent="0.25">
      <c r="B959" s="5">
        <v>44575</v>
      </c>
      <c r="C959">
        <v>1.7716646</v>
      </c>
      <c r="D959">
        <v>-0.34086704000000001</v>
      </c>
    </row>
    <row r="960" spans="2:4" x14ac:dyDescent="0.25">
      <c r="B960" s="5">
        <v>44574</v>
      </c>
      <c r="C960">
        <v>-4.2322579999999999</v>
      </c>
      <c r="D960">
        <v>1.1612058000000001</v>
      </c>
    </row>
    <row r="961" spans="2:4" x14ac:dyDescent="0.25">
      <c r="B961" s="5">
        <v>44573</v>
      </c>
      <c r="C961">
        <v>1.0444998999999999</v>
      </c>
      <c r="D961">
        <v>2.3224711</v>
      </c>
    </row>
    <row r="962" spans="2:4" x14ac:dyDescent="0.25">
      <c r="B962" s="5">
        <v>44572</v>
      </c>
      <c r="C962">
        <v>0.22592545</v>
      </c>
      <c r="D962">
        <v>1.2476683</v>
      </c>
    </row>
    <row r="963" spans="2:4" x14ac:dyDescent="0.25">
      <c r="B963" s="5">
        <v>44571</v>
      </c>
      <c r="C963">
        <v>7.323027E-2</v>
      </c>
      <c r="D963">
        <v>1.3817071999999999</v>
      </c>
    </row>
    <row r="964" spans="2:4" x14ac:dyDescent="0.25">
      <c r="B964" s="5">
        <v>44568</v>
      </c>
      <c r="C964">
        <v>5.0973892E-2</v>
      </c>
      <c r="D964">
        <v>0.87869169999999996</v>
      </c>
    </row>
    <row r="965" spans="2:4" x14ac:dyDescent="0.25">
      <c r="B965" s="5">
        <v>44567</v>
      </c>
      <c r="C965">
        <v>-0.79019070000000002</v>
      </c>
      <c r="D965">
        <v>-2.4756431999999999</v>
      </c>
    </row>
    <row r="966" spans="2:4" x14ac:dyDescent="0.25">
      <c r="B966" s="5">
        <v>44566</v>
      </c>
      <c r="C966">
        <v>-3.8387894999999999</v>
      </c>
      <c r="D966">
        <v>1.7990828000000001</v>
      </c>
    </row>
    <row r="967" spans="2:4" x14ac:dyDescent="0.25">
      <c r="B967" s="5">
        <v>44565</v>
      </c>
      <c r="C967">
        <v>-1.7147124</v>
      </c>
      <c r="D967">
        <v>2.791512</v>
      </c>
    </row>
    <row r="968" spans="2:4" x14ac:dyDescent="0.25">
      <c r="B968" s="5">
        <v>44564</v>
      </c>
      <c r="C968">
        <v>-0.46681761999999999</v>
      </c>
      <c r="D968">
        <v>-0.71616170000000001</v>
      </c>
    </row>
    <row r="969" spans="2:4" x14ac:dyDescent="0.25">
      <c r="B969" s="5">
        <v>44561</v>
      </c>
      <c r="C969">
        <v>-0.88412166000000003</v>
      </c>
      <c r="D969">
        <v>-7.6907870000000003E-2</v>
      </c>
    </row>
    <row r="970" spans="2:4" x14ac:dyDescent="0.25">
      <c r="B970" s="5">
        <v>44560</v>
      </c>
      <c r="C970">
        <v>-0.76912044999999996</v>
      </c>
      <c r="D970">
        <v>-1.4513433</v>
      </c>
    </row>
    <row r="971" spans="2:4" x14ac:dyDescent="0.25">
      <c r="B971" s="5">
        <v>44559</v>
      </c>
      <c r="C971">
        <v>0.20513534999999999</v>
      </c>
      <c r="D971">
        <v>1.6625761999999999</v>
      </c>
    </row>
    <row r="972" spans="2:4" x14ac:dyDescent="0.25">
      <c r="B972" s="5">
        <v>44558</v>
      </c>
      <c r="C972">
        <v>-0.35042167000000002</v>
      </c>
      <c r="D972">
        <v>5.2165984999999998E-2</v>
      </c>
    </row>
    <row r="973" spans="2:4" x14ac:dyDescent="0.25">
      <c r="B973" s="5">
        <v>44557</v>
      </c>
      <c r="C973">
        <v>2.3185609999999999</v>
      </c>
      <c r="D973">
        <v>-0.43120384</v>
      </c>
    </row>
    <row r="974" spans="2:4" x14ac:dyDescent="0.25">
      <c r="B974" s="5">
        <v>44553</v>
      </c>
      <c r="C974">
        <v>0.44717790000000002</v>
      </c>
      <c r="D974">
        <v>1.8460631000000001</v>
      </c>
    </row>
    <row r="975" spans="2:4" x14ac:dyDescent="0.25">
      <c r="B975" s="5">
        <v>44552</v>
      </c>
      <c r="C975">
        <v>1.8057346000000001</v>
      </c>
      <c r="D975">
        <v>2.6403666000000001</v>
      </c>
    </row>
    <row r="976" spans="2:4" x14ac:dyDescent="0.25">
      <c r="B976" s="5">
        <v>44551</v>
      </c>
      <c r="C976">
        <v>2.3069023999999998</v>
      </c>
      <c r="D976">
        <v>0.95132589999999995</v>
      </c>
    </row>
    <row r="977" spans="2:4" x14ac:dyDescent="0.25">
      <c r="B977" s="5">
        <v>44550</v>
      </c>
      <c r="C977">
        <v>-1.2013555</v>
      </c>
      <c r="D977">
        <v>-1.2356758000000001</v>
      </c>
    </row>
    <row r="978" spans="2:4" x14ac:dyDescent="0.25">
      <c r="B978" s="5">
        <v>44547</v>
      </c>
      <c r="C978">
        <v>-0.33856629999999999</v>
      </c>
      <c r="D978">
        <v>0.64680576000000001</v>
      </c>
    </row>
    <row r="979" spans="2:4" x14ac:dyDescent="0.25">
      <c r="B979" s="5">
        <v>44546</v>
      </c>
      <c r="C979">
        <v>-2.9134929999999999</v>
      </c>
      <c r="D979">
        <v>0.72809460000000004</v>
      </c>
    </row>
    <row r="980" spans="2:4" x14ac:dyDescent="0.25">
      <c r="B980" s="5">
        <v>44545</v>
      </c>
      <c r="C980">
        <v>1.9217849</v>
      </c>
      <c r="D980">
        <v>-0.58980584000000003</v>
      </c>
    </row>
    <row r="981" spans="2:4" x14ac:dyDescent="0.25">
      <c r="B981" s="5">
        <v>44544</v>
      </c>
      <c r="C981">
        <v>-3.2586932000000002</v>
      </c>
      <c r="D981">
        <v>1.2984514</v>
      </c>
    </row>
    <row r="982" spans="2:4" x14ac:dyDescent="0.25">
      <c r="B982" s="5">
        <v>44543</v>
      </c>
      <c r="C982">
        <v>-0.91668369999999999</v>
      </c>
      <c r="D982">
        <v>-0.82685949999999997</v>
      </c>
    </row>
    <row r="983" spans="2:4" x14ac:dyDescent="0.25">
      <c r="B983" s="5">
        <v>44540</v>
      </c>
      <c r="C983">
        <v>2.8339862999999998</v>
      </c>
      <c r="D983">
        <v>1.6708016000000001</v>
      </c>
    </row>
    <row r="984" spans="2:4" x14ac:dyDescent="0.25">
      <c r="B984" s="5">
        <v>44539</v>
      </c>
      <c r="C984">
        <v>-0.55825709999999995</v>
      </c>
      <c r="D984">
        <v>-1.7834186999999999</v>
      </c>
    </row>
    <row r="985" spans="2:4" x14ac:dyDescent="0.25">
      <c r="B985" s="5">
        <v>44538</v>
      </c>
      <c r="C985">
        <v>1.4925002999999999E-2</v>
      </c>
      <c r="D985">
        <v>0.54079294</v>
      </c>
    </row>
    <row r="986" spans="2:4" x14ac:dyDescent="0.25">
      <c r="B986" s="5">
        <v>44537</v>
      </c>
      <c r="C986">
        <v>2.6763558000000001</v>
      </c>
      <c r="D986">
        <v>1.8474579</v>
      </c>
    </row>
    <row r="987" spans="2:4" x14ac:dyDescent="0.25">
      <c r="B987" s="5">
        <v>44536</v>
      </c>
      <c r="C987">
        <v>0.98448990000000003</v>
      </c>
      <c r="D987">
        <v>1.1339188</v>
      </c>
    </row>
    <row r="988" spans="2:4" x14ac:dyDescent="0.25">
      <c r="B988" s="5">
        <v>44533</v>
      </c>
      <c r="C988">
        <v>-1.9666672000000001</v>
      </c>
      <c r="D988">
        <v>-1.5329301</v>
      </c>
    </row>
    <row r="989" spans="2:4" x14ac:dyDescent="0.25">
      <c r="B989" s="5">
        <v>44532</v>
      </c>
      <c r="C989">
        <v>-0.17874240999999999</v>
      </c>
      <c r="D989">
        <v>-2.5909662</v>
      </c>
    </row>
    <row r="990" spans="2:4" x14ac:dyDescent="0.25">
      <c r="B990" s="5">
        <v>44531</v>
      </c>
      <c r="C990">
        <v>-0.15427469999999999</v>
      </c>
      <c r="D990">
        <v>4.5317769999999999</v>
      </c>
    </row>
    <row r="991" spans="2:4" x14ac:dyDescent="0.25">
      <c r="B991" s="5">
        <v>44530</v>
      </c>
      <c r="C991">
        <v>-1.7942548</v>
      </c>
      <c r="D991">
        <v>-5.8264136000000004</v>
      </c>
    </row>
    <row r="992" spans="2:4" x14ac:dyDescent="0.25">
      <c r="B992" s="5">
        <v>44529</v>
      </c>
      <c r="C992">
        <v>2.1081089999999998</v>
      </c>
      <c r="D992">
        <v>-1.2600422E-2</v>
      </c>
    </row>
    <row r="993" spans="2:4" x14ac:dyDescent="0.25">
      <c r="B993" s="5">
        <v>44526</v>
      </c>
      <c r="C993">
        <v>-2.435565</v>
      </c>
      <c r="D993">
        <v>0.63642262999999999</v>
      </c>
    </row>
    <row r="994" spans="2:4" x14ac:dyDescent="0.25">
      <c r="B994" s="5">
        <v>44524</v>
      </c>
      <c r="C994">
        <v>6.8116189999999993E-2</v>
      </c>
      <c r="D994">
        <v>0.83358290000000002</v>
      </c>
    </row>
    <row r="995" spans="2:4" x14ac:dyDescent="0.25">
      <c r="B995" s="5">
        <v>44523</v>
      </c>
      <c r="C995">
        <v>-0.63266754000000003</v>
      </c>
      <c r="D995">
        <v>0.51497219999999999</v>
      </c>
    </row>
    <row r="996" spans="2:4" x14ac:dyDescent="0.25">
      <c r="B996" s="5">
        <v>44522</v>
      </c>
      <c r="C996">
        <v>-0.95596312999999999</v>
      </c>
      <c r="D996">
        <v>-0.73540209999999995</v>
      </c>
    </row>
    <row r="997" spans="2:4" x14ac:dyDescent="0.25">
      <c r="B997" s="5">
        <v>44519</v>
      </c>
      <c r="C997">
        <v>0.53915979999999997</v>
      </c>
      <c r="D997">
        <v>0.22152662000000001</v>
      </c>
    </row>
    <row r="998" spans="2:4" x14ac:dyDescent="0.25">
      <c r="B998" s="5">
        <v>44518</v>
      </c>
      <c r="C998">
        <v>0.63399075999999999</v>
      </c>
      <c r="D998">
        <v>0.30676125999999998</v>
      </c>
    </row>
    <row r="999" spans="2:4" x14ac:dyDescent="0.25">
      <c r="B999" s="5">
        <v>44517</v>
      </c>
      <c r="C999">
        <v>-0.11487603</v>
      </c>
      <c r="D999">
        <v>-5.7251873</v>
      </c>
    </row>
    <row r="1000" spans="2:4" x14ac:dyDescent="0.25">
      <c r="B1000" s="5">
        <v>44516</v>
      </c>
      <c r="C1000">
        <v>1.0236025</v>
      </c>
      <c r="D1000">
        <v>-1.0895014000000001</v>
      </c>
    </row>
    <row r="1001" spans="2:4" x14ac:dyDescent="0.25">
      <c r="B1001" s="5">
        <v>44515</v>
      </c>
      <c r="C1001">
        <v>-0.1930356</v>
      </c>
      <c r="D1001">
        <v>3.571558</v>
      </c>
    </row>
    <row r="1002" spans="2:4" x14ac:dyDescent="0.25">
      <c r="B1002" s="5">
        <v>44512</v>
      </c>
      <c r="C1002">
        <v>1.2905002000000001</v>
      </c>
      <c r="D1002">
        <v>-0.73156357000000005</v>
      </c>
    </row>
    <row r="1003" spans="2:4" x14ac:dyDescent="0.25">
      <c r="B1003" s="5">
        <v>44511</v>
      </c>
      <c r="C1003">
        <v>0.49275160000000001</v>
      </c>
      <c r="D1003">
        <v>-2.2452353999999999</v>
      </c>
    </row>
    <row r="1004" spans="2:4" x14ac:dyDescent="0.25">
      <c r="B1004" s="5">
        <v>44510</v>
      </c>
      <c r="C1004">
        <v>-1.5329718999999999</v>
      </c>
      <c r="D1004">
        <v>0.29928684</v>
      </c>
    </row>
    <row r="1005" spans="2:4" x14ac:dyDescent="0.25">
      <c r="B1005" s="5">
        <v>44509</v>
      </c>
      <c r="C1005">
        <v>-0.30860900000000002</v>
      </c>
      <c r="D1005">
        <v>-0.81311464</v>
      </c>
    </row>
    <row r="1006" spans="2:4" x14ac:dyDescent="0.25">
      <c r="B1006" s="5">
        <v>44508</v>
      </c>
      <c r="C1006">
        <v>0.27673244000000002</v>
      </c>
      <c r="D1006">
        <v>0.25494099999999997</v>
      </c>
    </row>
    <row r="1007" spans="2:4" x14ac:dyDescent="0.25">
      <c r="B1007" s="5">
        <v>44505</v>
      </c>
      <c r="C1007">
        <v>-0.1129508</v>
      </c>
      <c r="D1007">
        <v>0.51808359999999998</v>
      </c>
    </row>
    <row r="1008" spans="2:4" x14ac:dyDescent="0.25">
      <c r="B1008" s="5">
        <v>44504</v>
      </c>
      <c r="C1008">
        <v>0.73053836999999999</v>
      </c>
      <c r="D1008">
        <v>-0.8058727</v>
      </c>
    </row>
    <row r="1009" spans="2:4" x14ac:dyDescent="0.25">
      <c r="B1009" s="5">
        <v>44503</v>
      </c>
      <c r="C1009">
        <v>0.2611637</v>
      </c>
      <c r="D1009">
        <v>-1.264602</v>
      </c>
    </row>
    <row r="1010" spans="2:4" x14ac:dyDescent="0.25">
      <c r="B1010" s="5">
        <v>44502</v>
      </c>
      <c r="C1010">
        <v>1.141572</v>
      </c>
      <c r="D1010">
        <v>-0.25621653</v>
      </c>
    </row>
    <row r="1011" spans="2:4" x14ac:dyDescent="0.25">
      <c r="B1011" s="5">
        <v>44501</v>
      </c>
      <c r="C1011">
        <v>-0.67848562999999995</v>
      </c>
      <c r="D1011">
        <v>0.47649144999999998</v>
      </c>
    </row>
    <row r="1012" spans="2:4" x14ac:dyDescent="0.25">
      <c r="B1012" s="5">
        <v>44498</v>
      </c>
      <c r="C1012">
        <v>2.2413970000000001</v>
      </c>
      <c r="D1012">
        <v>-1.357758</v>
      </c>
    </row>
    <row r="1013" spans="2:4" x14ac:dyDescent="0.25">
      <c r="B1013" s="5">
        <v>44497</v>
      </c>
      <c r="C1013">
        <v>0.36512612999999999</v>
      </c>
      <c r="D1013">
        <v>-1.3324142000000001</v>
      </c>
    </row>
    <row r="1014" spans="2:4" x14ac:dyDescent="0.25">
      <c r="B1014" s="5">
        <v>44496</v>
      </c>
      <c r="C1014">
        <v>4.2114140000000004</v>
      </c>
      <c r="D1014">
        <v>-1.8842041</v>
      </c>
    </row>
    <row r="1015" spans="2:4" x14ac:dyDescent="0.25">
      <c r="B1015" s="5">
        <v>44495</v>
      </c>
      <c r="C1015">
        <v>0.64257383000000001</v>
      </c>
      <c r="D1015">
        <v>-0.62381030000000004</v>
      </c>
    </row>
    <row r="1016" spans="2:4" x14ac:dyDescent="0.25">
      <c r="B1016" s="5">
        <v>44494</v>
      </c>
      <c r="C1016">
        <v>-0.33316015999999998</v>
      </c>
      <c r="D1016">
        <v>-2.0213424999999998</v>
      </c>
    </row>
    <row r="1017" spans="2:4" x14ac:dyDescent="0.25">
      <c r="B1017" s="5">
        <v>44491</v>
      </c>
      <c r="C1017">
        <v>-0.51487090000000002</v>
      </c>
      <c r="D1017">
        <v>-6.3136460000000003</v>
      </c>
    </row>
    <row r="1018" spans="2:4" x14ac:dyDescent="0.25">
      <c r="B1018" s="5">
        <v>44490</v>
      </c>
      <c r="C1018">
        <v>1.0897517000000001</v>
      </c>
      <c r="D1018">
        <v>1.6748548000000001</v>
      </c>
    </row>
    <row r="1019" spans="2:4" x14ac:dyDescent="0.25">
      <c r="B1019" s="5">
        <v>44489</v>
      </c>
      <c r="C1019">
        <v>-0.26603937</v>
      </c>
      <c r="D1019">
        <v>-1.2216449</v>
      </c>
    </row>
    <row r="1020" spans="2:4" x14ac:dyDescent="0.25">
      <c r="B1020" s="5">
        <v>44488</v>
      </c>
      <c r="C1020">
        <v>0.30590296</v>
      </c>
      <c r="D1020">
        <v>2.3494959999999998</v>
      </c>
    </row>
    <row r="1021" spans="2:4" x14ac:dyDescent="0.25">
      <c r="B1021" s="5">
        <v>44487</v>
      </c>
      <c r="C1021">
        <v>1.0124683000000001</v>
      </c>
      <c r="D1021">
        <v>-0.17584562000000001</v>
      </c>
    </row>
    <row r="1022" spans="2:4" x14ac:dyDescent="0.25">
      <c r="B1022" s="5">
        <v>44484</v>
      </c>
      <c r="C1022">
        <v>0.48223734000000001</v>
      </c>
      <c r="D1022">
        <v>1.5827894</v>
      </c>
    </row>
    <row r="1023" spans="2:4" x14ac:dyDescent="0.25">
      <c r="B1023" s="5">
        <v>44483</v>
      </c>
      <c r="C1023">
        <v>2.1734</v>
      </c>
      <c r="D1023">
        <v>-0.85916519999999996</v>
      </c>
    </row>
    <row r="1024" spans="2:4" x14ac:dyDescent="0.25">
      <c r="B1024" s="5">
        <v>44482</v>
      </c>
      <c r="C1024">
        <v>1.1711240000000001</v>
      </c>
      <c r="D1024">
        <v>2.5028825000000001</v>
      </c>
    </row>
    <row r="1025" spans="2:4" x14ac:dyDescent="0.25">
      <c r="B1025" s="5">
        <v>44481</v>
      </c>
      <c r="C1025">
        <v>-0.45882463000000001</v>
      </c>
      <c r="D1025">
        <v>1.526022</v>
      </c>
    </row>
    <row r="1026" spans="2:4" x14ac:dyDescent="0.25">
      <c r="B1026" s="5">
        <v>44480</v>
      </c>
      <c r="C1026">
        <v>-0.21027327000000001</v>
      </c>
      <c r="D1026">
        <v>-0.42026043000000002</v>
      </c>
    </row>
    <row r="1027" spans="2:4" x14ac:dyDescent="0.25">
      <c r="B1027" s="5">
        <v>44477</v>
      </c>
      <c r="C1027">
        <v>0</v>
      </c>
      <c r="D1027">
        <v>0.74222089999999996</v>
      </c>
    </row>
    <row r="1028" spans="2:4" x14ac:dyDescent="0.25">
      <c r="B1028" s="5">
        <v>44476</v>
      </c>
      <c r="C1028">
        <v>0.59363840000000001</v>
      </c>
      <c r="D1028">
        <v>2.5051713000000002</v>
      </c>
    </row>
    <row r="1029" spans="2:4" x14ac:dyDescent="0.25">
      <c r="B1029" s="5">
        <v>44475</v>
      </c>
      <c r="C1029">
        <v>1.5064359</v>
      </c>
      <c r="D1029">
        <v>-0.70077776999999997</v>
      </c>
    </row>
    <row r="1030" spans="2:4" x14ac:dyDescent="0.25">
      <c r="B1030" s="5">
        <v>44474</v>
      </c>
      <c r="C1030">
        <v>1.9956946</v>
      </c>
      <c r="D1030">
        <v>0.90365410000000002</v>
      </c>
    </row>
    <row r="1031" spans="2:4" x14ac:dyDescent="0.25">
      <c r="B1031" s="5">
        <v>44473</v>
      </c>
      <c r="C1031">
        <v>-2.0719528</v>
      </c>
      <c r="D1031">
        <v>-9.2446799999999999E-3</v>
      </c>
    </row>
    <row r="1032" spans="2:4" x14ac:dyDescent="0.25">
      <c r="B1032" s="5">
        <v>44470</v>
      </c>
      <c r="C1032">
        <v>2.5468229999999998</v>
      </c>
      <c r="D1032">
        <v>0.38465260000000001</v>
      </c>
    </row>
    <row r="1033" spans="2:4" x14ac:dyDescent="0.25">
      <c r="B1033" s="5">
        <v>44469</v>
      </c>
      <c r="C1033">
        <v>-0.73239209999999999</v>
      </c>
      <c r="D1033">
        <v>1.0324597</v>
      </c>
    </row>
    <row r="1034" spans="2:4" x14ac:dyDescent="0.25">
      <c r="B1034" s="5">
        <v>44468</v>
      </c>
      <c r="C1034">
        <v>0.16930102999999999</v>
      </c>
      <c r="D1034">
        <v>-8.417964E-2</v>
      </c>
    </row>
    <row r="1035" spans="2:4" x14ac:dyDescent="0.25">
      <c r="B1035" s="5">
        <v>44467</v>
      </c>
      <c r="C1035">
        <v>-3.6203623</v>
      </c>
      <c r="D1035">
        <v>-3.8813412</v>
      </c>
    </row>
    <row r="1036" spans="2:4" x14ac:dyDescent="0.25">
      <c r="B1036" s="5">
        <v>44466</v>
      </c>
      <c r="C1036">
        <v>-1.7304122</v>
      </c>
      <c r="D1036">
        <v>-3.2673717</v>
      </c>
    </row>
    <row r="1037" spans="2:4" x14ac:dyDescent="0.25">
      <c r="B1037" s="5">
        <v>44463</v>
      </c>
      <c r="C1037">
        <v>-7.010102E-2</v>
      </c>
      <c r="D1037">
        <v>-1.9552647999999999</v>
      </c>
    </row>
    <row r="1038" spans="2:4" x14ac:dyDescent="0.25">
      <c r="B1038" s="5">
        <v>44462</v>
      </c>
      <c r="C1038">
        <v>0.32821894000000001</v>
      </c>
      <c r="D1038">
        <v>0.44726133000000001</v>
      </c>
    </row>
    <row r="1039" spans="2:4" x14ac:dyDescent="0.25">
      <c r="B1039" s="5">
        <v>44461</v>
      </c>
      <c r="C1039">
        <v>1.282227</v>
      </c>
      <c r="D1039">
        <v>-0.10710955</v>
      </c>
    </row>
    <row r="1040" spans="2:4" x14ac:dyDescent="0.25">
      <c r="B1040" s="5">
        <v>44460</v>
      </c>
      <c r="C1040">
        <v>0.16989708000000001</v>
      </c>
      <c r="D1040">
        <v>1.5082835999999999</v>
      </c>
    </row>
    <row r="1041" spans="2:4" x14ac:dyDescent="0.25">
      <c r="B1041" s="5">
        <v>44459</v>
      </c>
      <c r="C1041">
        <v>-1.8574714999999999</v>
      </c>
      <c r="D1041">
        <v>-2.6705860000000001</v>
      </c>
    </row>
    <row r="1042" spans="2:4" x14ac:dyDescent="0.25">
      <c r="B1042" s="5">
        <v>44456</v>
      </c>
      <c r="C1042">
        <v>-1.7528355</v>
      </c>
      <c r="D1042">
        <v>-1.7614067</v>
      </c>
    </row>
    <row r="1043" spans="2:4" x14ac:dyDescent="0.25">
      <c r="B1043" s="5">
        <v>44455</v>
      </c>
      <c r="C1043">
        <v>0.13122559</v>
      </c>
      <c r="D1043">
        <v>0.83692074000000005</v>
      </c>
    </row>
    <row r="1044" spans="2:4" x14ac:dyDescent="0.25">
      <c r="B1044" s="5">
        <v>44454</v>
      </c>
      <c r="C1044">
        <v>1.677835</v>
      </c>
      <c r="D1044">
        <v>-1.0035335999999999</v>
      </c>
    </row>
    <row r="1045" spans="2:4" x14ac:dyDescent="0.25">
      <c r="B1045" s="5">
        <v>44453</v>
      </c>
      <c r="C1045">
        <v>0.94280240000000004</v>
      </c>
      <c r="D1045">
        <v>6.7448616000000003E-2</v>
      </c>
    </row>
    <row r="1046" spans="2:4" x14ac:dyDescent="0.25">
      <c r="B1046" s="5">
        <v>44452</v>
      </c>
      <c r="C1046">
        <v>0.43286085000000002</v>
      </c>
      <c r="D1046">
        <v>-0.33853650000000002</v>
      </c>
    </row>
    <row r="1047" spans="2:4" x14ac:dyDescent="0.25">
      <c r="B1047" s="5">
        <v>44449</v>
      </c>
      <c r="C1047">
        <v>-0.51808359999999998</v>
      </c>
      <c r="D1047">
        <v>0.49269200000000002</v>
      </c>
    </row>
    <row r="1048" spans="2:4" x14ac:dyDescent="0.25">
      <c r="B1048" s="5">
        <v>44448</v>
      </c>
      <c r="C1048">
        <v>-0.98597409999999996</v>
      </c>
      <c r="D1048">
        <v>-0.5133569</v>
      </c>
    </row>
    <row r="1049" spans="2:4" x14ac:dyDescent="0.25">
      <c r="B1049" s="5">
        <v>44447</v>
      </c>
      <c r="C1049">
        <v>9.9897379999999997E-3</v>
      </c>
      <c r="D1049">
        <v>-0.37612915000000002</v>
      </c>
    </row>
    <row r="1050" spans="2:4" x14ac:dyDescent="0.25">
      <c r="B1050" s="5">
        <v>44446</v>
      </c>
      <c r="C1050">
        <v>-0.31879543999999999</v>
      </c>
      <c r="D1050">
        <v>1.0023355</v>
      </c>
    </row>
    <row r="1051" spans="2:4" x14ac:dyDescent="0.25">
      <c r="B1051" s="5">
        <v>44442</v>
      </c>
      <c r="C1051">
        <v>-3.3140181999999998E-3</v>
      </c>
      <c r="D1051">
        <v>7.6222419999999999E-2</v>
      </c>
    </row>
    <row r="1052" spans="2:4" x14ac:dyDescent="0.25">
      <c r="B1052" s="5">
        <v>44441</v>
      </c>
      <c r="C1052">
        <v>-0.22528767999999999</v>
      </c>
      <c r="D1052">
        <v>0.62202215000000005</v>
      </c>
    </row>
    <row r="1053" spans="2:4" x14ac:dyDescent="0.25">
      <c r="B1053" s="5">
        <v>44440</v>
      </c>
      <c r="C1053">
        <v>-1.6570090999999999E-2</v>
      </c>
      <c r="D1053">
        <v>1.505363</v>
      </c>
    </row>
    <row r="1054" spans="2:4" x14ac:dyDescent="0.25">
      <c r="B1054" s="5">
        <v>44439</v>
      </c>
      <c r="C1054">
        <v>-0.56325793000000002</v>
      </c>
      <c r="D1054">
        <v>-0.81142190000000003</v>
      </c>
    </row>
    <row r="1055" spans="2:4" x14ac:dyDescent="0.25">
      <c r="B1055" s="5">
        <v>44438</v>
      </c>
      <c r="C1055">
        <v>1.2912034999999999</v>
      </c>
      <c r="D1055">
        <v>0.10185242</v>
      </c>
    </row>
    <row r="1056" spans="2:4" x14ac:dyDescent="0.25">
      <c r="B1056" s="5">
        <v>44435</v>
      </c>
      <c r="C1056">
        <v>0.21064281000000001</v>
      </c>
      <c r="D1056">
        <v>0.78191759999999999</v>
      </c>
    </row>
    <row r="1057" spans="2:4" x14ac:dyDescent="0.25">
      <c r="B1057" s="5">
        <v>44434</v>
      </c>
      <c r="C1057">
        <v>-0.96685885999999999</v>
      </c>
      <c r="D1057">
        <v>-1.0590672000000001</v>
      </c>
    </row>
    <row r="1058" spans="2:4" x14ac:dyDescent="0.25">
      <c r="B1058" s="5">
        <v>44433</v>
      </c>
      <c r="C1058">
        <v>-0.20157099000000001</v>
      </c>
      <c r="D1058">
        <v>-1.0213733</v>
      </c>
    </row>
    <row r="1059" spans="2:4" x14ac:dyDescent="0.25">
      <c r="B1059" s="5">
        <v>44432</v>
      </c>
      <c r="C1059">
        <v>-0.66633819999999999</v>
      </c>
      <c r="D1059">
        <v>0.64909459999999997</v>
      </c>
    </row>
    <row r="1060" spans="2:4" x14ac:dyDescent="0.25">
      <c r="B1060" s="5">
        <v>44431</v>
      </c>
      <c r="C1060">
        <v>9.5283985000000002E-2</v>
      </c>
      <c r="D1060">
        <v>1.4660477999999999</v>
      </c>
    </row>
    <row r="1061" spans="2:4" x14ac:dyDescent="0.25">
      <c r="B1061" s="5">
        <v>44428</v>
      </c>
      <c r="C1061">
        <v>2.5575399999999999</v>
      </c>
      <c r="D1061">
        <v>0.16185045000000001</v>
      </c>
    </row>
    <row r="1062" spans="2:4" x14ac:dyDescent="0.25">
      <c r="B1062" s="5">
        <v>44427</v>
      </c>
      <c r="C1062">
        <v>2.0775199999999998</v>
      </c>
      <c r="D1062">
        <v>-1.8273710999999999</v>
      </c>
    </row>
    <row r="1063" spans="2:4" x14ac:dyDescent="0.25">
      <c r="B1063" s="5">
        <v>44426</v>
      </c>
      <c r="C1063">
        <v>-0.80181955999999999</v>
      </c>
      <c r="D1063">
        <v>0.28709172999999999</v>
      </c>
    </row>
    <row r="1064" spans="2:4" x14ac:dyDescent="0.25">
      <c r="B1064" s="5">
        <v>44425</v>
      </c>
      <c r="C1064">
        <v>-0.51596165000000005</v>
      </c>
      <c r="D1064">
        <v>0.15795231000000001</v>
      </c>
    </row>
    <row r="1065" spans="2:4" x14ac:dyDescent="0.25">
      <c r="B1065" s="5">
        <v>44424</v>
      </c>
      <c r="C1065">
        <v>0.59757229999999995</v>
      </c>
      <c r="D1065">
        <v>0.82912445000000001</v>
      </c>
    </row>
    <row r="1066" spans="2:4" x14ac:dyDescent="0.25">
      <c r="B1066" s="5">
        <v>44421</v>
      </c>
      <c r="C1066">
        <v>1.0489702000000001</v>
      </c>
      <c r="D1066">
        <v>-0.41161776</v>
      </c>
    </row>
    <row r="1067" spans="2:4" x14ac:dyDescent="0.25">
      <c r="B1067" s="5">
        <v>44420</v>
      </c>
      <c r="C1067">
        <v>0.99668500000000004</v>
      </c>
      <c r="D1067">
        <v>-1.7655730000000001</v>
      </c>
    </row>
    <row r="1068" spans="2:4" x14ac:dyDescent="0.25">
      <c r="B1068" s="5">
        <v>44419</v>
      </c>
      <c r="C1068">
        <v>0.17805099999999999</v>
      </c>
      <c r="D1068">
        <v>3.3082365999999999</v>
      </c>
    </row>
    <row r="1069" spans="2:4" x14ac:dyDescent="0.25">
      <c r="B1069" s="5">
        <v>44418</v>
      </c>
      <c r="C1069">
        <v>-0.65549610000000003</v>
      </c>
      <c r="D1069">
        <v>0.56004524</v>
      </c>
    </row>
    <row r="1070" spans="2:4" x14ac:dyDescent="0.25">
      <c r="B1070" s="5">
        <v>44417</v>
      </c>
      <c r="C1070">
        <v>-0.39038657999999998</v>
      </c>
      <c r="D1070">
        <v>-0.61005354000000001</v>
      </c>
    </row>
    <row r="1071" spans="2:4" x14ac:dyDescent="0.25">
      <c r="B1071" s="5">
        <v>44414</v>
      </c>
      <c r="C1071">
        <v>-2.0724534999999999E-2</v>
      </c>
      <c r="D1071">
        <v>4.5259594999999999</v>
      </c>
    </row>
    <row r="1072" spans="2:4" x14ac:dyDescent="0.25">
      <c r="B1072" s="5">
        <v>44413</v>
      </c>
      <c r="C1072">
        <v>1.0505675999999999</v>
      </c>
      <c r="D1072">
        <v>0.27637482000000002</v>
      </c>
    </row>
    <row r="1073" spans="2:4" x14ac:dyDescent="0.25">
      <c r="B1073" s="5">
        <v>44412</v>
      </c>
      <c r="C1073">
        <v>-0.21244884</v>
      </c>
      <c r="D1073">
        <v>0.70189239999999997</v>
      </c>
    </row>
    <row r="1074" spans="2:4" x14ac:dyDescent="0.25">
      <c r="B1074" s="5">
        <v>44411</v>
      </c>
      <c r="C1074">
        <v>0.80752369999999996</v>
      </c>
      <c r="D1074">
        <v>-1.144892</v>
      </c>
    </row>
    <row r="1075" spans="2:4" x14ac:dyDescent="0.25">
      <c r="B1075" s="5">
        <v>44410</v>
      </c>
      <c r="C1075">
        <v>-3.1590460000000001E-2</v>
      </c>
      <c r="D1075">
        <v>9.3901159999999997E-2</v>
      </c>
    </row>
    <row r="1076" spans="2:4" x14ac:dyDescent="0.25">
      <c r="B1076" s="5">
        <v>44407</v>
      </c>
      <c r="C1076">
        <v>-0.55497289999999999</v>
      </c>
      <c r="D1076">
        <v>1.8230677</v>
      </c>
    </row>
    <row r="1077" spans="2:4" x14ac:dyDescent="0.25">
      <c r="B1077" s="5">
        <v>44406</v>
      </c>
      <c r="C1077">
        <v>9.7823140000000003E-2</v>
      </c>
      <c r="D1077">
        <v>0.82300899999999999</v>
      </c>
    </row>
    <row r="1078" spans="2:4" x14ac:dyDescent="0.25">
      <c r="B1078" s="5">
        <v>44405</v>
      </c>
      <c r="C1078">
        <v>-0.11168122</v>
      </c>
      <c r="D1078">
        <v>-0.42398572000000001</v>
      </c>
    </row>
    <row r="1079" spans="2:4" x14ac:dyDescent="0.25">
      <c r="B1079" s="5">
        <v>44404</v>
      </c>
      <c r="C1079">
        <v>-0.86835620000000002</v>
      </c>
      <c r="D1079">
        <v>-0.72576404000000005</v>
      </c>
    </row>
    <row r="1080" spans="2:4" x14ac:dyDescent="0.25">
      <c r="B1080" s="5">
        <v>44403</v>
      </c>
      <c r="C1080">
        <v>-0.21404624</v>
      </c>
      <c r="D1080">
        <v>-2.1240711000000001</v>
      </c>
    </row>
    <row r="1081" spans="2:4" x14ac:dyDescent="0.25">
      <c r="B1081" s="5">
        <v>44400</v>
      </c>
      <c r="C1081">
        <v>1.2336612</v>
      </c>
      <c r="D1081">
        <v>0.93975070000000005</v>
      </c>
    </row>
    <row r="1082" spans="2:4" x14ac:dyDescent="0.25">
      <c r="B1082" s="5">
        <v>44399</v>
      </c>
      <c r="C1082">
        <v>1.6844391999999999</v>
      </c>
      <c r="D1082">
        <v>0.47024487999999998</v>
      </c>
    </row>
    <row r="1083" spans="2:4" x14ac:dyDescent="0.25">
      <c r="B1083" s="5">
        <v>44398</v>
      </c>
      <c r="C1083">
        <v>0.74466467000000003</v>
      </c>
      <c r="D1083">
        <v>1.266551</v>
      </c>
    </row>
    <row r="1084" spans="2:4" x14ac:dyDescent="0.25">
      <c r="B1084" s="5">
        <v>44397</v>
      </c>
      <c r="C1084">
        <v>0.83390474000000003</v>
      </c>
      <c r="D1084">
        <v>-1.7381012</v>
      </c>
    </row>
    <row r="1085" spans="2:4" x14ac:dyDescent="0.25">
      <c r="B1085" s="5">
        <v>44396</v>
      </c>
      <c r="C1085">
        <v>-1.3321400000000001</v>
      </c>
      <c r="D1085">
        <v>-0.88098050000000006</v>
      </c>
    </row>
    <row r="1086" spans="2:4" x14ac:dyDescent="0.25">
      <c r="B1086" s="5">
        <v>44393</v>
      </c>
      <c r="C1086">
        <v>-9.9635124000000005E-2</v>
      </c>
      <c r="D1086">
        <v>-0.10951757400000001</v>
      </c>
    </row>
    <row r="1087" spans="2:4" x14ac:dyDescent="0.25">
      <c r="B1087" s="5">
        <v>44392</v>
      </c>
      <c r="C1087">
        <v>-0.52387713999999996</v>
      </c>
      <c r="D1087">
        <v>-1.2081563</v>
      </c>
    </row>
    <row r="1088" spans="2:4" x14ac:dyDescent="0.25">
      <c r="B1088" s="5">
        <v>44391</v>
      </c>
      <c r="C1088">
        <v>0.54452420000000001</v>
      </c>
      <c r="D1088">
        <v>-1.6459286</v>
      </c>
    </row>
    <row r="1089" spans="2:4" x14ac:dyDescent="0.25">
      <c r="B1089" s="5">
        <v>44390</v>
      </c>
      <c r="C1089">
        <v>1.3197779999999999</v>
      </c>
      <c r="D1089">
        <v>-2.1378458</v>
      </c>
    </row>
    <row r="1090" spans="2:4" x14ac:dyDescent="0.25">
      <c r="B1090" s="5">
        <v>44389</v>
      </c>
      <c r="C1090">
        <v>-0.22307038000000001</v>
      </c>
      <c r="D1090">
        <v>1.3341069000000001</v>
      </c>
    </row>
    <row r="1091" spans="2:4" x14ac:dyDescent="0.25">
      <c r="B1091" s="5">
        <v>44386</v>
      </c>
      <c r="C1091">
        <v>0.18743277</v>
      </c>
      <c r="D1091">
        <v>0.62911510000000004</v>
      </c>
    </row>
    <row r="1092" spans="2:4" x14ac:dyDescent="0.25">
      <c r="B1092" s="5">
        <v>44385</v>
      </c>
      <c r="C1092">
        <v>-0.89664460000000001</v>
      </c>
      <c r="D1092">
        <v>-2.5486051999999999</v>
      </c>
    </row>
    <row r="1093" spans="2:4" x14ac:dyDescent="0.25">
      <c r="B1093" s="5">
        <v>44384</v>
      </c>
      <c r="C1093">
        <v>0.81753730000000002</v>
      </c>
      <c r="D1093">
        <v>0.89488029999999996</v>
      </c>
    </row>
    <row r="1094" spans="2:4" x14ac:dyDescent="0.25">
      <c r="B1094" s="5">
        <v>44383</v>
      </c>
      <c r="C1094">
        <v>3.6001204999999998E-3</v>
      </c>
      <c r="D1094">
        <v>1.1275767999999999</v>
      </c>
    </row>
    <row r="1095" spans="2:4" x14ac:dyDescent="0.25">
      <c r="B1095" s="5">
        <v>44379</v>
      </c>
      <c r="C1095">
        <v>2.2275328999999999</v>
      </c>
      <c r="D1095">
        <v>0.25395155000000003</v>
      </c>
    </row>
    <row r="1096" spans="2:4" x14ac:dyDescent="0.25">
      <c r="B1096" s="5">
        <v>44378</v>
      </c>
      <c r="C1096">
        <v>0.25839805999999998</v>
      </c>
      <c r="D1096">
        <v>-1.4011800000000001</v>
      </c>
    </row>
    <row r="1097" spans="2:4" x14ac:dyDescent="0.25">
      <c r="B1097" s="5">
        <v>44377</v>
      </c>
      <c r="C1097">
        <v>-0.18423200000000001</v>
      </c>
      <c r="D1097">
        <v>-2.5581121000000002</v>
      </c>
    </row>
    <row r="1098" spans="2:4" x14ac:dyDescent="0.25">
      <c r="B1098" s="5">
        <v>44376</v>
      </c>
      <c r="C1098">
        <v>0.99731683999999998</v>
      </c>
      <c r="D1098">
        <v>-0.14433861000000001</v>
      </c>
    </row>
    <row r="1099" spans="2:4" x14ac:dyDescent="0.25">
      <c r="B1099" s="5">
        <v>44375</v>
      </c>
      <c r="C1099">
        <v>1.3961315000000001</v>
      </c>
      <c r="D1099">
        <v>-1.8053353000000001</v>
      </c>
    </row>
    <row r="1100" spans="2:4" x14ac:dyDescent="0.25">
      <c r="B1100" s="5">
        <v>44372</v>
      </c>
      <c r="C1100">
        <v>-0.62620043999999997</v>
      </c>
      <c r="D1100">
        <v>1.3605951999999999</v>
      </c>
    </row>
    <row r="1101" spans="2:4" x14ac:dyDescent="0.25">
      <c r="B1101" s="5">
        <v>44371</v>
      </c>
      <c r="C1101">
        <v>0.5334139</v>
      </c>
      <c r="D1101">
        <v>0.50204990000000005</v>
      </c>
    </row>
    <row r="1102" spans="2:4" x14ac:dyDescent="0.25">
      <c r="B1102" s="5">
        <v>44370</v>
      </c>
      <c r="C1102">
        <v>-8.8512900000000005E-2</v>
      </c>
      <c r="D1102">
        <v>-1.1160730999999999</v>
      </c>
    </row>
    <row r="1103" spans="2:4" x14ac:dyDescent="0.25">
      <c r="B1103" s="5">
        <v>44369</v>
      </c>
      <c r="C1103">
        <v>1.0966062999999999</v>
      </c>
      <c r="D1103">
        <v>1.2762903999999999</v>
      </c>
    </row>
    <row r="1104" spans="2:4" x14ac:dyDescent="0.25">
      <c r="B1104" s="5">
        <v>44368</v>
      </c>
      <c r="C1104">
        <v>1.2334824</v>
      </c>
      <c r="D1104">
        <v>2.7073383</v>
      </c>
    </row>
    <row r="1105" spans="2:4" x14ac:dyDescent="0.25">
      <c r="B1105" s="5">
        <v>44365</v>
      </c>
      <c r="C1105">
        <v>-0.56343675000000004</v>
      </c>
      <c r="D1105">
        <v>-1.2624443000000001</v>
      </c>
    </row>
    <row r="1106" spans="2:4" x14ac:dyDescent="0.25">
      <c r="B1106" s="5">
        <v>44364</v>
      </c>
      <c r="C1106">
        <v>1.3676286</v>
      </c>
      <c r="D1106">
        <v>-0.20634532</v>
      </c>
    </row>
    <row r="1107" spans="2:4" x14ac:dyDescent="0.25">
      <c r="B1107" s="5">
        <v>44363</v>
      </c>
      <c r="C1107">
        <v>-0.37930607999999999</v>
      </c>
      <c r="D1107">
        <v>1.0585308</v>
      </c>
    </row>
    <row r="1108" spans="2:4" x14ac:dyDescent="0.25">
      <c r="B1108" s="5">
        <v>44362</v>
      </c>
      <c r="C1108">
        <v>-0.58872104000000003</v>
      </c>
      <c r="D1108">
        <v>0.67223310000000003</v>
      </c>
    </row>
    <row r="1109" spans="2:4" x14ac:dyDescent="0.25">
      <c r="B1109" s="5">
        <v>44361</v>
      </c>
      <c r="C1109">
        <v>0.77552794999999997</v>
      </c>
      <c r="D1109">
        <v>0.55993795000000002</v>
      </c>
    </row>
    <row r="1110" spans="2:4" x14ac:dyDescent="0.25">
      <c r="B1110" s="5">
        <v>44358</v>
      </c>
      <c r="C1110">
        <v>0.25268793000000001</v>
      </c>
      <c r="D1110">
        <v>1.927805</v>
      </c>
    </row>
    <row r="1111" spans="2:4" x14ac:dyDescent="0.25">
      <c r="B1111" s="5">
        <v>44357</v>
      </c>
      <c r="C1111">
        <v>1.439333</v>
      </c>
      <c r="D1111">
        <v>1.0856032</v>
      </c>
    </row>
    <row r="1112" spans="2:4" x14ac:dyDescent="0.25">
      <c r="B1112" s="5">
        <v>44356</v>
      </c>
      <c r="C1112">
        <v>0.40384530000000002</v>
      </c>
      <c r="D1112">
        <v>-0.83460210000000001</v>
      </c>
    </row>
    <row r="1113" spans="2:4" x14ac:dyDescent="0.25">
      <c r="B1113" s="5">
        <v>44355</v>
      </c>
      <c r="C1113">
        <v>-0.48854946999999999</v>
      </c>
      <c r="D1113">
        <v>-1.7517805000000001E-2</v>
      </c>
    </row>
    <row r="1114" spans="2:4" x14ac:dyDescent="0.25">
      <c r="B1114" s="5">
        <v>44354</v>
      </c>
      <c r="C1114">
        <v>1.2041926000000001</v>
      </c>
      <c r="D1114">
        <v>-0.55943129999999996</v>
      </c>
    </row>
    <row r="1115" spans="2:4" x14ac:dyDescent="0.25">
      <c r="B1115" s="5">
        <v>44351</v>
      </c>
      <c r="C1115">
        <v>2.0674706</v>
      </c>
      <c r="D1115">
        <v>2.3154020000000002</v>
      </c>
    </row>
    <row r="1116" spans="2:4" x14ac:dyDescent="0.25">
      <c r="B1116" s="5">
        <v>44350</v>
      </c>
      <c r="C1116">
        <v>-0.64294340000000005</v>
      </c>
      <c r="D1116">
        <v>-1.1679052999999999</v>
      </c>
    </row>
    <row r="1117" spans="2:4" x14ac:dyDescent="0.25">
      <c r="B1117" s="5">
        <v>44349</v>
      </c>
      <c r="C1117">
        <v>-4.0417910000000001E-2</v>
      </c>
      <c r="D1117">
        <v>0.16435385</v>
      </c>
    </row>
    <row r="1118" spans="2:4" x14ac:dyDescent="0.25">
      <c r="B1118" s="5">
        <v>44348</v>
      </c>
      <c r="C1118">
        <v>-0.91316699999999995</v>
      </c>
      <c r="D1118">
        <v>-1.2634516</v>
      </c>
    </row>
    <row r="1119" spans="2:4" x14ac:dyDescent="0.25">
      <c r="B1119" s="5">
        <v>44344</v>
      </c>
      <c r="C1119">
        <v>0.14840364</v>
      </c>
      <c r="D1119">
        <v>2.8972267999999999</v>
      </c>
    </row>
    <row r="1120" spans="2:4" x14ac:dyDescent="0.25">
      <c r="B1120" s="5">
        <v>44343</v>
      </c>
      <c r="C1120">
        <v>-0.8668363</v>
      </c>
      <c r="D1120">
        <v>-1.9972502999999999</v>
      </c>
    </row>
    <row r="1121" spans="2:4" x14ac:dyDescent="0.25">
      <c r="B1121" s="5">
        <v>44342</v>
      </c>
      <c r="C1121">
        <v>-9.1367959999999998E-2</v>
      </c>
      <c r="D1121">
        <v>-0.4895389</v>
      </c>
    </row>
    <row r="1122" spans="2:4" x14ac:dyDescent="0.25">
      <c r="B1122" s="5">
        <v>44341</v>
      </c>
      <c r="C1122">
        <v>0.37482977000000001</v>
      </c>
      <c r="D1122">
        <v>0.24353266000000001</v>
      </c>
    </row>
    <row r="1123" spans="2:4" x14ac:dyDescent="0.25">
      <c r="B1123" s="5">
        <v>44340</v>
      </c>
      <c r="C1123">
        <v>2.2882104000000001</v>
      </c>
      <c r="D1123">
        <v>0.40848255</v>
      </c>
    </row>
    <row r="1124" spans="2:4" x14ac:dyDescent="0.25">
      <c r="B1124" s="5">
        <v>44337</v>
      </c>
      <c r="C1124">
        <v>-0.53148269999999997</v>
      </c>
      <c r="D1124">
        <v>7.8046320000000002E-2</v>
      </c>
    </row>
    <row r="1125" spans="2:4" x14ac:dyDescent="0.25">
      <c r="B1125" s="5">
        <v>44336</v>
      </c>
      <c r="C1125">
        <v>1.382029</v>
      </c>
      <c r="D1125">
        <v>2.7128815999999998</v>
      </c>
    </row>
    <row r="1126" spans="2:4" x14ac:dyDescent="0.25">
      <c r="B1126" s="5">
        <v>44335</v>
      </c>
      <c r="C1126">
        <v>1.6450882E-2</v>
      </c>
      <c r="D1126">
        <v>0.39385556999999999</v>
      </c>
    </row>
    <row r="1127" spans="2:4" x14ac:dyDescent="0.25">
      <c r="B1127" s="5">
        <v>44334</v>
      </c>
      <c r="C1127">
        <v>-0.85651279999999996</v>
      </c>
      <c r="D1127">
        <v>1.6540170000000001</v>
      </c>
    </row>
    <row r="1128" spans="2:4" x14ac:dyDescent="0.25">
      <c r="B1128" s="5">
        <v>44333</v>
      </c>
      <c r="C1128">
        <v>-1.1968553</v>
      </c>
      <c r="D1128">
        <v>5.6314469999999998E-2</v>
      </c>
    </row>
    <row r="1129" spans="2:4" x14ac:dyDescent="0.25">
      <c r="B1129" s="5">
        <v>44330</v>
      </c>
      <c r="C1129">
        <v>2.106738</v>
      </c>
      <c r="D1129">
        <v>1.8034577000000001</v>
      </c>
    </row>
    <row r="1130" spans="2:4" x14ac:dyDescent="0.25">
      <c r="B1130" s="5">
        <v>44329</v>
      </c>
      <c r="C1130">
        <v>1.6861915999999999</v>
      </c>
      <c r="D1130">
        <v>1.2352228000000001</v>
      </c>
    </row>
    <row r="1131" spans="2:4" x14ac:dyDescent="0.25">
      <c r="B1131" s="5">
        <v>44328</v>
      </c>
      <c r="C1131">
        <v>-2.9362797999999999</v>
      </c>
      <c r="D1131">
        <v>-1.8561243999999999</v>
      </c>
    </row>
    <row r="1132" spans="2:4" x14ac:dyDescent="0.25">
      <c r="B1132" s="5">
        <v>44327</v>
      </c>
      <c r="C1132">
        <v>-0.38433669999999998</v>
      </c>
      <c r="D1132">
        <v>8.4829329999999994E-2</v>
      </c>
    </row>
    <row r="1133" spans="2:4" x14ac:dyDescent="0.25">
      <c r="B1133" s="5">
        <v>44326</v>
      </c>
      <c r="C1133">
        <v>-2.0914256999999998</v>
      </c>
      <c r="D1133">
        <v>-0.17083883</v>
      </c>
    </row>
    <row r="1134" spans="2:4" x14ac:dyDescent="0.25">
      <c r="B1134" s="5">
        <v>44323</v>
      </c>
      <c r="C1134">
        <v>1.0931850000000001</v>
      </c>
      <c r="D1134">
        <v>1.6329646</v>
      </c>
    </row>
    <row r="1135" spans="2:4" x14ac:dyDescent="0.25">
      <c r="B1135" s="5">
        <v>44322</v>
      </c>
      <c r="C1135">
        <v>1.3226747999999999</v>
      </c>
      <c r="D1135">
        <v>-1.9663751</v>
      </c>
    </row>
    <row r="1136" spans="2:4" x14ac:dyDescent="0.25">
      <c r="B1136" s="5">
        <v>44321</v>
      </c>
      <c r="C1136">
        <v>-0.53270459999999997</v>
      </c>
      <c r="D1136">
        <v>1.1628270000000001</v>
      </c>
    </row>
    <row r="1137" spans="2:4" x14ac:dyDescent="0.25">
      <c r="B1137" s="5">
        <v>44320</v>
      </c>
      <c r="C1137">
        <v>-1.6159772999999999</v>
      </c>
      <c r="D1137">
        <v>-3.5150229999999998</v>
      </c>
    </row>
    <row r="1138" spans="2:4" x14ac:dyDescent="0.25">
      <c r="B1138" s="5">
        <v>44319</v>
      </c>
      <c r="C1138">
        <v>-0.12689233</v>
      </c>
      <c r="D1138">
        <v>0.59224370000000004</v>
      </c>
    </row>
    <row r="1139" spans="2:4" x14ac:dyDescent="0.25">
      <c r="B1139" s="5">
        <v>44316</v>
      </c>
      <c r="C1139">
        <v>-0.13068914000000001</v>
      </c>
      <c r="D1139">
        <v>-1.624614</v>
      </c>
    </row>
    <row r="1140" spans="2:4" x14ac:dyDescent="0.25">
      <c r="B1140" s="5">
        <v>44315</v>
      </c>
      <c r="C1140">
        <v>-0.80531240000000004</v>
      </c>
      <c r="D1140">
        <v>-0.85410476000000002</v>
      </c>
    </row>
    <row r="1141" spans="2:4" x14ac:dyDescent="0.25">
      <c r="B1141" s="5">
        <v>44314</v>
      </c>
      <c r="C1141">
        <v>-2.8285681999999999</v>
      </c>
      <c r="D1141">
        <v>0.95096826999999995</v>
      </c>
    </row>
    <row r="1142" spans="2:4" x14ac:dyDescent="0.25">
      <c r="B1142" s="5">
        <v>44313</v>
      </c>
      <c r="C1142">
        <v>0.16058683000000001</v>
      </c>
      <c r="D1142">
        <v>-1.5236318</v>
      </c>
    </row>
    <row r="1143" spans="2:4" x14ac:dyDescent="0.25">
      <c r="B1143" s="5">
        <v>44312</v>
      </c>
      <c r="C1143">
        <v>0.15317201999999999</v>
      </c>
      <c r="D1143">
        <v>-1.17262</v>
      </c>
    </row>
    <row r="1144" spans="2:4" x14ac:dyDescent="0.25">
      <c r="B1144" s="5">
        <v>44309</v>
      </c>
      <c r="C1144">
        <v>1.5476108</v>
      </c>
      <c r="D1144">
        <v>0.18645524999999999</v>
      </c>
    </row>
    <row r="1145" spans="2:4" x14ac:dyDescent="0.25">
      <c r="B1145" s="5">
        <v>44308</v>
      </c>
      <c r="C1145">
        <v>-1.308608</v>
      </c>
      <c r="D1145">
        <v>-5.8454275E-2</v>
      </c>
    </row>
    <row r="1146" spans="2:4" x14ac:dyDescent="0.25">
      <c r="B1146" s="5">
        <v>44307</v>
      </c>
      <c r="C1146">
        <v>0.89831349999999999</v>
      </c>
      <c r="D1146">
        <v>-0.53619145999999995</v>
      </c>
    </row>
    <row r="1147" spans="2:4" x14ac:dyDescent="0.25">
      <c r="B1147" s="5">
        <v>44306</v>
      </c>
      <c r="C1147">
        <v>-0.18550754</v>
      </c>
      <c r="D1147">
        <v>-0.70322156000000002</v>
      </c>
    </row>
    <row r="1148" spans="2:4" x14ac:dyDescent="0.25">
      <c r="B1148" s="5">
        <v>44305</v>
      </c>
      <c r="C1148">
        <v>-0.76704620000000001</v>
      </c>
      <c r="D1148">
        <v>1.6027212</v>
      </c>
    </row>
    <row r="1149" spans="2:4" x14ac:dyDescent="0.25">
      <c r="B1149" s="5">
        <v>44302</v>
      </c>
      <c r="C1149">
        <v>0.47783851999999999</v>
      </c>
      <c r="D1149">
        <v>-2.3408473000000001</v>
      </c>
    </row>
    <row r="1150" spans="2:4" x14ac:dyDescent="0.25">
      <c r="B1150" s="5">
        <v>44301</v>
      </c>
      <c r="C1150">
        <v>1.5298008999999999</v>
      </c>
      <c r="D1150">
        <v>1.9827246999999999</v>
      </c>
    </row>
    <row r="1151" spans="2:4" x14ac:dyDescent="0.25">
      <c r="B1151" s="5">
        <v>44300</v>
      </c>
      <c r="C1151">
        <v>-1.1218965000000001</v>
      </c>
      <c r="D1151">
        <v>2.0985960000000001</v>
      </c>
    </row>
    <row r="1152" spans="2:4" x14ac:dyDescent="0.25">
      <c r="B1152" s="5">
        <v>44299</v>
      </c>
      <c r="C1152">
        <v>1.0081648999999999</v>
      </c>
      <c r="D1152">
        <v>1.5157700000000001</v>
      </c>
    </row>
    <row r="1153" spans="2:4" x14ac:dyDescent="0.25">
      <c r="B1153" s="5">
        <v>44298</v>
      </c>
      <c r="C1153">
        <v>2.3448467000000001E-2</v>
      </c>
      <c r="D1153">
        <v>0.40377378000000003</v>
      </c>
    </row>
    <row r="1154" spans="2:4" x14ac:dyDescent="0.25">
      <c r="B1154" s="5">
        <v>44295</v>
      </c>
      <c r="C1154">
        <v>1.0266542000000001</v>
      </c>
      <c r="D1154">
        <v>1.1907935000000001</v>
      </c>
    </row>
    <row r="1155" spans="2:4" x14ac:dyDescent="0.25">
      <c r="B1155" s="5">
        <v>44294</v>
      </c>
      <c r="C1155">
        <v>1.3405442000000001</v>
      </c>
      <c r="D1155">
        <v>1.1190891000000001</v>
      </c>
    </row>
    <row r="1156" spans="2:4" x14ac:dyDescent="0.25">
      <c r="B1156" s="5">
        <v>44293</v>
      </c>
      <c r="C1156">
        <v>0.82304480000000002</v>
      </c>
      <c r="D1156">
        <v>-1.7790496</v>
      </c>
    </row>
    <row r="1157" spans="2:4" x14ac:dyDescent="0.25">
      <c r="B1157" s="5">
        <v>44292</v>
      </c>
      <c r="C1157">
        <v>-0.48580765999999997</v>
      </c>
      <c r="D1157">
        <v>1.6453504999999999</v>
      </c>
    </row>
    <row r="1158" spans="2:4" x14ac:dyDescent="0.25">
      <c r="B1158" s="5">
        <v>44291</v>
      </c>
      <c r="C1158">
        <v>2.7728438</v>
      </c>
      <c r="D1158">
        <v>0.52456855999999996</v>
      </c>
    </row>
    <row r="1159" spans="2:4" x14ac:dyDescent="0.25">
      <c r="B1159" s="5">
        <v>44287</v>
      </c>
      <c r="C1159">
        <v>2.7908564</v>
      </c>
      <c r="D1159">
        <v>4.4176219999999997</v>
      </c>
    </row>
    <row r="1160" spans="2:4" x14ac:dyDescent="0.25">
      <c r="B1160" s="5">
        <v>44286</v>
      </c>
      <c r="C1160">
        <v>1.6907454</v>
      </c>
      <c r="D1160">
        <v>1.0019779</v>
      </c>
    </row>
    <row r="1161" spans="2:4" x14ac:dyDescent="0.25">
      <c r="B1161" s="5">
        <v>44285</v>
      </c>
      <c r="C1161">
        <v>-1.4410794</v>
      </c>
      <c r="D1161">
        <v>-1.3134121999999999</v>
      </c>
    </row>
    <row r="1162" spans="2:4" x14ac:dyDescent="0.25">
      <c r="B1162" s="5">
        <v>44284</v>
      </c>
      <c r="C1162">
        <v>-0.52435399999999999</v>
      </c>
      <c r="D1162">
        <v>-2.0065010000000001</v>
      </c>
    </row>
    <row r="1163" spans="2:4" x14ac:dyDescent="0.25">
      <c r="B1163" s="5">
        <v>44281</v>
      </c>
      <c r="C1163">
        <v>1.7818689000000001</v>
      </c>
      <c r="D1163">
        <v>1.1611581</v>
      </c>
    </row>
    <row r="1164" spans="2:4" x14ac:dyDescent="0.25">
      <c r="B1164" s="5">
        <v>44280</v>
      </c>
      <c r="C1164">
        <v>-1.3250709000000001</v>
      </c>
      <c r="D1164">
        <v>-0.24697184999999999</v>
      </c>
    </row>
    <row r="1165" spans="2:4" x14ac:dyDescent="0.25">
      <c r="B1165" s="5">
        <v>44279</v>
      </c>
      <c r="C1165">
        <v>-0.89232920000000004</v>
      </c>
      <c r="D1165">
        <v>-2.9813588000000002</v>
      </c>
    </row>
    <row r="1166" spans="2:4" x14ac:dyDescent="0.25">
      <c r="B1166" s="5">
        <v>44278</v>
      </c>
      <c r="C1166">
        <v>0.673759</v>
      </c>
      <c r="D1166">
        <v>-0.31021832999999999</v>
      </c>
    </row>
    <row r="1167" spans="2:4" x14ac:dyDescent="0.25">
      <c r="B1167" s="5">
        <v>44277</v>
      </c>
      <c r="C1167">
        <v>2.4484515</v>
      </c>
      <c r="D1167">
        <v>0.31661987000000003</v>
      </c>
    </row>
    <row r="1168" spans="2:4" x14ac:dyDescent="0.25">
      <c r="B1168" s="5">
        <v>44274</v>
      </c>
      <c r="C1168">
        <v>-0.16036629999999999</v>
      </c>
      <c r="D1168">
        <v>-2.3602188000000002</v>
      </c>
    </row>
    <row r="1169" spans="2:4" x14ac:dyDescent="0.25">
      <c r="B1169" s="5">
        <v>44273</v>
      </c>
      <c r="C1169">
        <v>-2.6662110999999999</v>
      </c>
      <c r="D1169">
        <v>1.6065001000000001</v>
      </c>
    </row>
    <row r="1170" spans="2:4" x14ac:dyDescent="0.25">
      <c r="B1170" s="5">
        <v>44272</v>
      </c>
      <c r="C1170">
        <v>-0.28186440000000001</v>
      </c>
      <c r="D1170">
        <v>-3.2968820000000001</v>
      </c>
    </row>
    <row r="1171" spans="2:4" x14ac:dyDescent="0.25">
      <c r="B1171" s="5">
        <v>44271</v>
      </c>
      <c r="C1171">
        <v>1.235044</v>
      </c>
      <c r="D1171">
        <v>-0.41989088000000002</v>
      </c>
    </row>
    <row r="1172" spans="2:4" x14ac:dyDescent="0.25">
      <c r="B1172" s="5">
        <v>44270</v>
      </c>
      <c r="C1172">
        <v>-0.39873122999999999</v>
      </c>
      <c r="D1172">
        <v>-0.80761313000000001</v>
      </c>
    </row>
    <row r="1173" spans="2:4" x14ac:dyDescent="0.25">
      <c r="B1173" s="5">
        <v>44267</v>
      </c>
      <c r="C1173">
        <v>-0.58196186999999999</v>
      </c>
      <c r="D1173">
        <v>-2.0751119</v>
      </c>
    </row>
    <row r="1174" spans="2:4" x14ac:dyDescent="0.25">
      <c r="B1174" s="5">
        <v>44266</v>
      </c>
      <c r="C1174">
        <v>2.0265102000000002</v>
      </c>
      <c r="D1174">
        <v>1.5189409</v>
      </c>
    </row>
    <row r="1175" spans="2:4" x14ac:dyDescent="0.25">
      <c r="B1175" s="5">
        <v>44265</v>
      </c>
      <c r="C1175">
        <v>-0.58174132999999995</v>
      </c>
      <c r="D1175">
        <v>-2.5435865</v>
      </c>
    </row>
    <row r="1176" spans="2:4" x14ac:dyDescent="0.25">
      <c r="B1176" s="5">
        <v>44264</v>
      </c>
      <c r="C1176">
        <v>2.8101444</v>
      </c>
      <c r="D1176">
        <v>3.8020014999999998</v>
      </c>
    </row>
    <row r="1177" spans="2:4" x14ac:dyDescent="0.25">
      <c r="B1177" s="5">
        <v>44263</v>
      </c>
      <c r="C1177">
        <v>-1.8177927</v>
      </c>
      <c r="D1177">
        <v>-6.4235926000000001</v>
      </c>
    </row>
    <row r="1178" spans="2:4" x14ac:dyDescent="0.25">
      <c r="B1178" s="5">
        <v>44260</v>
      </c>
      <c r="C1178">
        <v>2.1479368000000001</v>
      </c>
      <c r="D1178">
        <v>-15.422571</v>
      </c>
    </row>
    <row r="1179" spans="2:4" x14ac:dyDescent="0.25">
      <c r="B1179" s="5">
        <v>44259</v>
      </c>
      <c r="C1179">
        <v>-0.36473870000000003</v>
      </c>
      <c r="D1179">
        <v>-0.66028832999999998</v>
      </c>
    </row>
    <row r="1180" spans="2:4" x14ac:dyDescent="0.25">
      <c r="B1180" s="5">
        <v>44258</v>
      </c>
      <c r="C1180">
        <v>-2.6980816999999999</v>
      </c>
      <c r="D1180">
        <v>-1.3848126000000001</v>
      </c>
    </row>
    <row r="1181" spans="2:4" x14ac:dyDescent="0.25">
      <c r="B1181" s="5">
        <v>44257</v>
      </c>
      <c r="C1181">
        <v>-1.2956916999999999</v>
      </c>
      <c r="D1181">
        <v>8.251667E-2</v>
      </c>
    </row>
    <row r="1182" spans="2:4" x14ac:dyDescent="0.25">
      <c r="B1182" s="5">
        <v>44256</v>
      </c>
      <c r="C1182">
        <v>1.9623041000000001</v>
      </c>
      <c r="D1182">
        <v>0.68749190000000004</v>
      </c>
    </row>
    <row r="1183" spans="2:4" x14ac:dyDescent="0.25">
      <c r="B1183" s="5">
        <v>44253</v>
      </c>
      <c r="C1183">
        <v>1.4804124999999999</v>
      </c>
      <c r="D1183">
        <v>-2.0093143000000002</v>
      </c>
    </row>
    <row r="1184" spans="2:4" x14ac:dyDescent="0.25">
      <c r="B1184" s="5">
        <v>44252</v>
      </c>
      <c r="C1184">
        <v>-2.3704945999999998</v>
      </c>
      <c r="D1184">
        <v>1.6050219999999999</v>
      </c>
    </row>
    <row r="1185" spans="2:4" x14ac:dyDescent="0.25">
      <c r="B1185" s="5">
        <v>44251</v>
      </c>
      <c r="C1185">
        <v>0.54872036000000002</v>
      </c>
      <c r="D1185">
        <v>0.66490172999999997</v>
      </c>
    </row>
    <row r="1186" spans="2:4" x14ac:dyDescent="0.25">
      <c r="B1186" s="5">
        <v>44250</v>
      </c>
      <c r="C1186">
        <v>-0.52875875999999999</v>
      </c>
      <c r="D1186">
        <v>-0.92803835999999995</v>
      </c>
    </row>
    <row r="1187" spans="2:4" x14ac:dyDescent="0.25">
      <c r="B1187" s="5">
        <v>44249</v>
      </c>
      <c r="C1187">
        <v>-2.6808320999999999</v>
      </c>
      <c r="D1187">
        <v>-0.59873460000000001</v>
      </c>
    </row>
    <row r="1188" spans="2:4" x14ac:dyDescent="0.25">
      <c r="B1188" s="5">
        <v>44246</v>
      </c>
      <c r="C1188">
        <v>-1.1567295</v>
      </c>
      <c r="D1188">
        <v>-0.85611939999999997</v>
      </c>
    </row>
    <row r="1189" spans="2:4" x14ac:dyDescent="0.25">
      <c r="B1189" s="5">
        <v>44245</v>
      </c>
      <c r="C1189">
        <v>-0.16789435999999999</v>
      </c>
      <c r="D1189">
        <v>1.1058806999999999</v>
      </c>
    </row>
    <row r="1190" spans="2:4" x14ac:dyDescent="0.25">
      <c r="B1190" s="5">
        <v>44244</v>
      </c>
      <c r="C1190">
        <v>0.20517110999999999</v>
      </c>
      <c r="D1190">
        <v>-1.5314698</v>
      </c>
    </row>
    <row r="1191" spans="2:4" x14ac:dyDescent="0.25">
      <c r="B1191" s="5">
        <v>44243</v>
      </c>
      <c r="C1191">
        <v>-0.52655339999999995</v>
      </c>
      <c r="D1191">
        <v>1.7029643000000001</v>
      </c>
    </row>
    <row r="1192" spans="2:4" x14ac:dyDescent="0.25">
      <c r="B1192" s="5">
        <v>44239</v>
      </c>
      <c r="C1192">
        <v>0.20450354000000001</v>
      </c>
      <c r="D1192">
        <v>1.7638445</v>
      </c>
    </row>
    <row r="1193" spans="2:4" x14ac:dyDescent="0.25">
      <c r="B1193" s="5">
        <v>44238</v>
      </c>
      <c r="C1193">
        <v>0.68775414999999995</v>
      </c>
      <c r="D1193">
        <v>0.56979656000000001</v>
      </c>
    </row>
    <row r="1194" spans="2:4" x14ac:dyDescent="0.25">
      <c r="B1194" s="5">
        <v>44237</v>
      </c>
      <c r="C1194">
        <v>-0.38971305000000001</v>
      </c>
      <c r="D1194">
        <v>-0.45546890000000001</v>
      </c>
    </row>
    <row r="1195" spans="2:4" x14ac:dyDescent="0.25">
      <c r="B1195" s="5">
        <v>44236</v>
      </c>
      <c r="C1195">
        <v>0.53615570000000001</v>
      </c>
      <c r="D1195">
        <v>0.57679415000000001</v>
      </c>
    </row>
    <row r="1196" spans="2:4" x14ac:dyDescent="0.25">
      <c r="B1196" s="5">
        <v>44235</v>
      </c>
      <c r="C1196">
        <v>0.11148453</v>
      </c>
      <c r="D1196">
        <v>2.1157265000000001</v>
      </c>
    </row>
    <row r="1197" spans="2:4" x14ac:dyDescent="0.25">
      <c r="B1197" s="5">
        <v>44232</v>
      </c>
      <c r="C1197">
        <v>7.8511239999999996E-2</v>
      </c>
      <c r="D1197">
        <v>1.0576606</v>
      </c>
    </row>
    <row r="1198" spans="2:4" x14ac:dyDescent="0.25">
      <c r="B1198" s="5">
        <v>44231</v>
      </c>
      <c r="C1198">
        <v>-0.40740967</v>
      </c>
      <c r="D1198">
        <v>1.6893625000000001</v>
      </c>
    </row>
    <row r="1199" spans="2:4" x14ac:dyDescent="0.25">
      <c r="B1199" s="5">
        <v>44230</v>
      </c>
      <c r="C1199">
        <v>1.4571428</v>
      </c>
      <c r="D1199">
        <v>-1.4766097</v>
      </c>
    </row>
    <row r="1200" spans="2:4" x14ac:dyDescent="0.25">
      <c r="B1200" s="5">
        <v>44229</v>
      </c>
      <c r="C1200">
        <v>-5.8418511999999999E-2</v>
      </c>
      <c r="D1200">
        <v>3.0396461000000001</v>
      </c>
    </row>
    <row r="1201" spans="2:4" x14ac:dyDescent="0.25">
      <c r="B1201" s="5">
        <v>44228</v>
      </c>
      <c r="C1201">
        <v>3.3152222999999998</v>
      </c>
      <c r="D1201">
        <v>4.2360424999999999</v>
      </c>
    </row>
    <row r="1202" spans="2:4" x14ac:dyDescent="0.25">
      <c r="B1202" s="5">
        <v>44225</v>
      </c>
      <c r="C1202">
        <v>-2.9171646</v>
      </c>
      <c r="D1202">
        <v>0.85380080000000003</v>
      </c>
    </row>
    <row r="1203" spans="2:4" x14ac:dyDescent="0.25">
      <c r="B1203" s="5">
        <v>44224</v>
      </c>
      <c r="C1203">
        <v>2.5890946000000001</v>
      </c>
      <c r="D1203">
        <v>-0.45336484999999999</v>
      </c>
    </row>
    <row r="1204" spans="2:4" x14ac:dyDescent="0.25">
      <c r="B1204" s="5">
        <v>44223</v>
      </c>
      <c r="C1204">
        <v>0.24533272</v>
      </c>
      <c r="D1204">
        <v>-4.4496655000000001</v>
      </c>
    </row>
    <row r="1205" spans="2:4" x14ac:dyDescent="0.25">
      <c r="B1205" s="5">
        <v>44222</v>
      </c>
      <c r="C1205">
        <v>1.2198806</v>
      </c>
      <c r="D1205">
        <v>0.69742199999999999</v>
      </c>
    </row>
    <row r="1206" spans="2:4" x14ac:dyDescent="0.25">
      <c r="B1206" s="5">
        <v>44221</v>
      </c>
      <c r="C1206">
        <v>1.5844225999999999</v>
      </c>
      <c r="D1206">
        <v>-0.96852780000000005</v>
      </c>
    </row>
    <row r="1207" spans="2:4" x14ac:dyDescent="0.25">
      <c r="B1207" s="5">
        <v>44218</v>
      </c>
      <c r="C1207">
        <v>0.43561460000000002</v>
      </c>
      <c r="D1207">
        <v>-0.96176267000000004</v>
      </c>
    </row>
    <row r="1208" spans="2:4" x14ac:dyDescent="0.25">
      <c r="B1208" s="5">
        <v>44217</v>
      </c>
      <c r="C1208">
        <v>0.28082131999999999</v>
      </c>
      <c r="D1208">
        <v>1.1564612000000001</v>
      </c>
    </row>
    <row r="1209" spans="2:4" x14ac:dyDescent="0.25">
      <c r="B1209" s="5">
        <v>44216</v>
      </c>
      <c r="C1209">
        <v>3.6499739</v>
      </c>
      <c r="D1209">
        <v>4.8089026999999999E-2</v>
      </c>
    </row>
    <row r="1210" spans="2:4" x14ac:dyDescent="0.25">
      <c r="B1210" s="5">
        <v>44215</v>
      </c>
      <c r="C1210">
        <v>1.7822742</v>
      </c>
      <c r="D1210">
        <v>0.27967690000000001</v>
      </c>
    </row>
    <row r="1211" spans="2:4" x14ac:dyDescent="0.25">
      <c r="B1211" s="5">
        <v>44211</v>
      </c>
      <c r="C1211">
        <v>-0.17369986000000001</v>
      </c>
      <c r="D1211">
        <v>-2.7395844</v>
      </c>
    </row>
    <row r="1212" spans="2:4" x14ac:dyDescent="0.25">
      <c r="B1212" s="5">
        <v>44210</v>
      </c>
      <c r="C1212">
        <v>-1.5346169999999999</v>
      </c>
      <c r="D1212">
        <v>2.2974253</v>
      </c>
    </row>
    <row r="1213" spans="2:4" x14ac:dyDescent="0.25">
      <c r="B1213" s="5">
        <v>44209</v>
      </c>
      <c r="C1213">
        <v>0.65603255999999999</v>
      </c>
      <c r="D1213">
        <v>1.9652723999999999</v>
      </c>
    </row>
    <row r="1214" spans="2:4" x14ac:dyDescent="0.25">
      <c r="B1214" s="5">
        <v>44208</v>
      </c>
      <c r="C1214">
        <v>-1.1770725</v>
      </c>
      <c r="D1214">
        <v>-1.5083610999999999</v>
      </c>
    </row>
    <row r="1215" spans="2:4" x14ac:dyDescent="0.25">
      <c r="B1215" s="5">
        <v>44207</v>
      </c>
      <c r="C1215">
        <v>-0.96985100000000002</v>
      </c>
      <c r="D1215">
        <v>-0.79033374999999995</v>
      </c>
    </row>
    <row r="1216" spans="2:4" x14ac:dyDescent="0.25">
      <c r="B1216" s="5">
        <v>44204</v>
      </c>
      <c r="C1216">
        <v>0.60927869999999995</v>
      </c>
      <c r="D1216">
        <v>2.4616121999999998</v>
      </c>
    </row>
    <row r="1217" spans="2:4" x14ac:dyDescent="0.25">
      <c r="B1217" s="5">
        <v>44203</v>
      </c>
      <c r="C1217">
        <v>2.8456926</v>
      </c>
      <c r="D1217">
        <v>-1.3282537000000001</v>
      </c>
    </row>
    <row r="1218" spans="2:4" x14ac:dyDescent="0.25">
      <c r="B1218" s="5">
        <v>44202</v>
      </c>
      <c r="C1218">
        <v>-2.5929272000000001</v>
      </c>
      <c r="D1218">
        <v>0.75737239999999995</v>
      </c>
    </row>
    <row r="1219" spans="2:4" x14ac:dyDescent="0.25">
      <c r="B1219" s="5">
        <v>44201</v>
      </c>
      <c r="C1219">
        <v>9.6464159999999993E-2</v>
      </c>
      <c r="D1219">
        <v>-2.3287176999999999</v>
      </c>
    </row>
    <row r="1220" spans="2:4" x14ac:dyDescent="0.25">
      <c r="B1220" s="5">
        <v>44200</v>
      </c>
      <c r="C1220">
        <v>-2.1266042999999999</v>
      </c>
      <c r="D1220">
        <v>2.1427512000000002</v>
      </c>
    </row>
    <row r="1221" spans="2:4" x14ac:dyDescent="0.25">
      <c r="B1221" s="5">
        <v>44196</v>
      </c>
      <c r="C1221">
        <v>0.33382177000000002</v>
      </c>
      <c r="D1221">
        <v>-0.55271983000000002</v>
      </c>
    </row>
    <row r="1222" spans="2:4" x14ac:dyDescent="0.25">
      <c r="B1222" s="5">
        <v>44195</v>
      </c>
      <c r="C1222">
        <v>-1.1019409</v>
      </c>
      <c r="D1222">
        <v>0.83403590000000005</v>
      </c>
    </row>
    <row r="1223" spans="2:4" x14ac:dyDescent="0.25">
      <c r="B1223" s="5">
        <v>44194</v>
      </c>
      <c r="C1223">
        <v>-0.36007166000000002</v>
      </c>
      <c r="D1223">
        <v>2.8738499000000002</v>
      </c>
    </row>
    <row r="1224" spans="2:4" x14ac:dyDescent="0.25">
      <c r="B1224" s="5">
        <v>44193</v>
      </c>
      <c r="C1224">
        <v>0.99214314999999997</v>
      </c>
      <c r="D1224">
        <v>-0.67594650000000001</v>
      </c>
    </row>
    <row r="1225" spans="2:4" x14ac:dyDescent="0.25">
      <c r="B1225" s="5">
        <v>44189</v>
      </c>
      <c r="C1225">
        <v>0.78272819999999999</v>
      </c>
      <c r="D1225">
        <v>-0.1365304</v>
      </c>
    </row>
    <row r="1226" spans="2:4" x14ac:dyDescent="0.25">
      <c r="B1226" s="5">
        <v>44188</v>
      </c>
      <c r="C1226">
        <v>-1.3039172000000001</v>
      </c>
      <c r="D1226">
        <v>1.1718630999999999</v>
      </c>
    </row>
    <row r="1227" spans="2:4" x14ac:dyDescent="0.25">
      <c r="B1227" s="5">
        <v>44187</v>
      </c>
      <c r="C1227">
        <v>0.60650110000000002</v>
      </c>
      <c r="D1227">
        <v>1.1361599</v>
      </c>
    </row>
    <row r="1228" spans="2:4" x14ac:dyDescent="0.25">
      <c r="B1228" s="5">
        <v>44186</v>
      </c>
      <c r="C1228">
        <v>1.8299103000000001</v>
      </c>
      <c r="D1228">
        <v>-2.2385299999999999</v>
      </c>
    </row>
    <row r="1229" spans="2:4" x14ac:dyDescent="0.25">
      <c r="B1229" s="5">
        <v>44183</v>
      </c>
      <c r="C1229">
        <v>-0.37826895999999999</v>
      </c>
      <c r="D1229">
        <v>-0.33270119999999997</v>
      </c>
    </row>
    <row r="1230" spans="2:4" x14ac:dyDescent="0.25">
      <c r="B1230" s="5">
        <v>44182</v>
      </c>
      <c r="C1230">
        <v>6.3848495000000005E-2</v>
      </c>
      <c r="D1230">
        <v>1.3733983000000001</v>
      </c>
    </row>
    <row r="1231" spans="2:4" x14ac:dyDescent="0.25">
      <c r="B1231" s="5">
        <v>44181</v>
      </c>
      <c r="C1231">
        <v>2.4050832</v>
      </c>
      <c r="D1231">
        <v>0.4998088</v>
      </c>
    </row>
    <row r="1232" spans="2:4" x14ac:dyDescent="0.25">
      <c r="B1232" s="5">
        <v>44180</v>
      </c>
      <c r="C1232">
        <v>-3.2675266000000001E-2</v>
      </c>
      <c r="D1232">
        <v>2.1482230000000002</v>
      </c>
    </row>
    <row r="1233" spans="2:4" x14ac:dyDescent="0.25">
      <c r="B1233" s="5">
        <v>44179</v>
      </c>
      <c r="C1233">
        <v>0.44077634999999998</v>
      </c>
      <c r="D1233">
        <v>2.9739260000000001</v>
      </c>
    </row>
    <row r="1234" spans="2:4" x14ac:dyDescent="0.25">
      <c r="B1234" s="5">
        <v>44176</v>
      </c>
      <c r="C1234">
        <v>1.301539</v>
      </c>
      <c r="D1234">
        <v>-2.1994292999999998</v>
      </c>
    </row>
    <row r="1235" spans="2:4" x14ac:dyDescent="0.25">
      <c r="B1235" s="5">
        <v>44175</v>
      </c>
      <c r="C1235">
        <v>-0.60434339999999998</v>
      </c>
      <c r="D1235">
        <v>-0.69311860000000003</v>
      </c>
    </row>
    <row r="1236" spans="2:4" x14ac:dyDescent="0.25">
      <c r="B1236" s="5">
        <v>44174</v>
      </c>
      <c r="C1236">
        <v>-1.9489825000000001</v>
      </c>
      <c r="D1236">
        <v>-0.48489569999999999</v>
      </c>
    </row>
    <row r="1237" spans="2:4" x14ac:dyDescent="0.25">
      <c r="B1237" s="5">
        <v>44173</v>
      </c>
      <c r="C1237">
        <v>0.80264807000000005</v>
      </c>
      <c r="D1237">
        <v>0.4032135</v>
      </c>
    </row>
    <row r="1238" spans="2:4" x14ac:dyDescent="0.25">
      <c r="B1238" s="5">
        <v>44172</v>
      </c>
      <c r="C1238">
        <v>-3.2657384999999997E-2</v>
      </c>
      <c r="D1238">
        <v>-0.21913647999999999</v>
      </c>
    </row>
    <row r="1239" spans="2:4" x14ac:dyDescent="0.25">
      <c r="B1239" s="5">
        <v>44169</v>
      </c>
      <c r="C1239">
        <v>5.6004524E-2</v>
      </c>
      <c r="D1239">
        <v>-0.62627790000000005</v>
      </c>
    </row>
    <row r="1240" spans="2:4" x14ac:dyDescent="0.25">
      <c r="B1240" s="5">
        <v>44168</v>
      </c>
      <c r="C1240">
        <v>-0.52467585000000005</v>
      </c>
      <c r="D1240">
        <v>0.35315752</v>
      </c>
    </row>
    <row r="1241" spans="2:4" x14ac:dyDescent="0.25">
      <c r="B1241" s="5">
        <v>44167</v>
      </c>
      <c r="C1241">
        <v>-0.388515</v>
      </c>
      <c r="D1241">
        <v>9.2504019999999993</v>
      </c>
    </row>
    <row r="1242" spans="2:4" x14ac:dyDescent="0.25">
      <c r="B1242" s="5">
        <v>44166</v>
      </c>
      <c r="C1242">
        <v>0.99967720000000004</v>
      </c>
      <c r="D1242">
        <v>-1.3387500999999999</v>
      </c>
    </row>
    <row r="1243" spans="2:4" x14ac:dyDescent="0.25">
      <c r="B1243" s="5">
        <v>44165</v>
      </c>
      <c r="C1243">
        <v>-0.53895115999999998</v>
      </c>
      <c r="D1243">
        <v>2.3906589</v>
      </c>
    </row>
    <row r="1244" spans="2:4" x14ac:dyDescent="0.25">
      <c r="B1244" s="5">
        <v>44162</v>
      </c>
      <c r="C1244">
        <v>0.63589810000000002</v>
      </c>
      <c r="D1244">
        <v>2.235198</v>
      </c>
    </row>
    <row r="1245" spans="2:4" x14ac:dyDescent="0.25">
      <c r="B1245" s="5">
        <v>44160</v>
      </c>
      <c r="C1245">
        <v>4.6730039999999997E-3</v>
      </c>
      <c r="D1245">
        <v>1.6266107999999999</v>
      </c>
    </row>
    <row r="1246" spans="2:4" x14ac:dyDescent="0.25">
      <c r="B1246" s="5">
        <v>44159</v>
      </c>
      <c r="C1246">
        <v>1.7847776</v>
      </c>
      <c r="D1246">
        <v>-2.9487907999999998</v>
      </c>
    </row>
    <row r="1247" spans="2:4" x14ac:dyDescent="0.25">
      <c r="B1247" s="5">
        <v>44158</v>
      </c>
      <c r="C1247">
        <v>-0.13308524999999999</v>
      </c>
      <c r="D1247">
        <v>-3.0151664999999999</v>
      </c>
    </row>
    <row r="1248" spans="2:4" x14ac:dyDescent="0.25">
      <c r="B1248" s="5">
        <v>44155</v>
      </c>
      <c r="C1248">
        <v>-0.95565319999999998</v>
      </c>
      <c r="D1248">
        <v>1.0055423000000001</v>
      </c>
    </row>
    <row r="1249" spans="2:4" x14ac:dyDescent="0.25">
      <c r="B1249" s="5">
        <v>44154</v>
      </c>
      <c r="C1249">
        <v>0.63482519999999998</v>
      </c>
      <c r="D1249">
        <v>-0.62593220000000005</v>
      </c>
    </row>
    <row r="1250" spans="2:4" x14ac:dyDescent="0.25">
      <c r="B1250" s="5">
        <v>44153</v>
      </c>
      <c r="C1250">
        <v>-1.5760540999999999</v>
      </c>
      <c r="D1250">
        <v>2.3293853000000002</v>
      </c>
    </row>
    <row r="1251" spans="2:4" x14ac:dyDescent="0.25">
      <c r="B1251" s="5">
        <v>44152</v>
      </c>
      <c r="C1251">
        <v>-1.2751399999999999</v>
      </c>
      <c r="D1251">
        <v>-3.3714235000000001</v>
      </c>
    </row>
    <row r="1252" spans="2:4" x14ac:dyDescent="0.25">
      <c r="B1252" s="5">
        <v>44151</v>
      </c>
      <c r="C1252">
        <v>0.33254623</v>
      </c>
      <c r="D1252">
        <v>-1.4290452</v>
      </c>
    </row>
    <row r="1253" spans="2:4" x14ac:dyDescent="0.25">
      <c r="B1253" s="5">
        <v>44148</v>
      </c>
      <c r="C1253">
        <v>0.49664974000000001</v>
      </c>
      <c r="D1253">
        <v>-1.8985808</v>
      </c>
    </row>
    <row r="1254" spans="2:4" x14ac:dyDescent="0.25">
      <c r="B1254" s="5">
        <v>44147</v>
      </c>
      <c r="C1254">
        <v>-0.51258205999999995</v>
      </c>
      <c r="D1254">
        <v>0.70136785999999995</v>
      </c>
    </row>
    <row r="1255" spans="2:4" x14ac:dyDescent="0.25">
      <c r="B1255" s="5">
        <v>44146</v>
      </c>
      <c r="C1255">
        <v>2.6254773</v>
      </c>
      <c r="D1255">
        <v>2.1672487</v>
      </c>
    </row>
    <row r="1256" spans="2:4" x14ac:dyDescent="0.25">
      <c r="B1256" s="5">
        <v>44145</v>
      </c>
      <c r="C1256">
        <v>-3.3792794000000002</v>
      </c>
      <c r="D1256">
        <v>-2.7926384999999998</v>
      </c>
    </row>
    <row r="1257" spans="2:4" x14ac:dyDescent="0.25">
      <c r="B1257" s="5">
        <v>44144</v>
      </c>
      <c r="C1257">
        <v>-2.3824453000000001</v>
      </c>
      <c r="D1257">
        <v>-3.1182884999999998</v>
      </c>
    </row>
    <row r="1258" spans="2:4" x14ac:dyDescent="0.25">
      <c r="B1258" s="5">
        <v>44141</v>
      </c>
      <c r="C1258">
        <v>0.19258259999999999</v>
      </c>
      <c r="D1258">
        <v>0.59680940000000005</v>
      </c>
    </row>
    <row r="1259" spans="2:4" x14ac:dyDescent="0.25">
      <c r="B1259" s="5">
        <v>44140</v>
      </c>
      <c r="C1259">
        <v>3.1886815999999998</v>
      </c>
      <c r="D1259">
        <v>2.1213411999999998</v>
      </c>
    </row>
    <row r="1260" spans="2:4" x14ac:dyDescent="0.25">
      <c r="B1260" s="5">
        <v>44139</v>
      </c>
      <c r="C1260">
        <v>4.8248886999999998</v>
      </c>
      <c r="D1260">
        <v>3.8639545000000002</v>
      </c>
    </row>
    <row r="1261" spans="2:4" x14ac:dyDescent="0.25">
      <c r="B1261" s="5">
        <v>44138</v>
      </c>
      <c r="C1261">
        <v>2.0263909999999998</v>
      </c>
      <c r="D1261">
        <v>2.8937460000000002</v>
      </c>
    </row>
    <row r="1262" spans="2:4" x14ac:dyDescent="0.25">
      <c r="B1262" s="5">
        <v>44137</v>
      </c>
      <c r="C1262">
        <v>-6.9147349999999996E-2</v>
      </c>
      <c r="D1262">
        <v>-1.0954737999999999</v>
      </c>
    </row>
    <row r="1263" spans="2:4" x14ac:dyDescent="0.25">
      <c r="B1263" s="5">
        <v>44134</v>
      </c>
      <c r="C1263">
        <v>-1.099062</v>
      </c>
      <c r="D1263">
        <v>-1.0759175000000001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68161"><![CDATA[{"MSFT-US^CORREL(P_PRICE_RETURNS(0,45961,45961-5AY,D,USD),VALUE('LSEG-GB',P_PRICE_RETURNS(0,45961,45961-5AY,D,USD)))":0.11480431963182,"LSEG-GB^P_PRICE_RETURNS(0,45961,45961-5AY,D,USD)":[0.1139164,-0.7023394,-2.2735596,-2.2008657,0.6848693,4.633951,6.914079,0.6000161,0.010454655,1.2826681,-1.789403,-0.9400487,0.14306307,-0.9251416,1.3594389,0.20081997,0.7967472,0.4702568,-0.41840076,-0.29681325,0.33710003,-0.92486143,1.7330289,1.7133951,1.3332009,1.2017846,-1.0338187,0.35979748,0.4149437,0.4371047,-6.2532783,0.33568144,-0.21172762,-1.591903,1.4984131,-1.2130916,0.013244152,-0.871259,-4.651606,-0.011819601,0.14578104,0.38235188,2.3301005,-1.629442,-0.750947,-1.2179792,-1.4600813,0.33226013,-0.16266108,0.6585717,-1.1725783,2.1781683,0.84803104,-0.57175756,-0.39023757,1.5639186,-1.8801868,-4.7064304,-0.8315861,0.83168745,-1.3836801,3.3331394,1.7204881,3.6950946,0.7997751,-8.301478,0.25957823,-1.1243522,-0.5299151,-2.3201764,-1.3840854,-1.2363434,-0.91941357,-1.2426198,0.015223026,0.11198521,0.08100271,-0.6046951,0.76828,-1.6472459,0.11419058,0.055336952,-0.030893087,0.06569624,0.20407438,0.53828955,0.24335384,-0.69443583,0.2907157,0.38347244,0.48424006,-0.046366453,-0.5188763,-0.35945773,-0.6340146,-2.4515808,0.73667765,-0.49276948,-0.66174865,0.218606,-0.40301085,-1.3541758,0.39588213,-0.06655455,0.934875,-0.75077415,0.8162379,-0.7771969,-0.2982676,-2.001673,0.78600645,1.0219693,-0.17258525,0.27538538,-0.1151979,0.8126378,0.7617116,0.42014122,1.1116743,0.16499758,-0.8180201,-1.3397098,-1.756376,-0.20936728,1.006031,-0.11258721,1.9998193,-2.7222037,1.6815662,0.42532682,-0.1239717,-0.43669343,0.17427206,-1.5237987,1.9006729,1.1901617,-0.42892098,0.07549524,3.300476,0.17766953,0.42971373,6.7499757,-1.9770145,5.339277,-8.678514,-7.3041143,2.3375273,1.4896512,1.2636662,-0.868237,1.6979694,1.4332533,-0.1151979,-0.03399253,-0.013488531,-0.7222593,2.7832985,0.5539417,-0.956285,0.48849583,-1.1203289,-1.3344765,1.6079426,3.7105203,-1.399368,-0.47914386,-3.9362967,-0.96431375,-0.9430945,0.056695938,0.30372143,5.5087566,-0.020462275,-1.150316,-2.6144147,-0.9868145,0.35026073,-0.07802248,-0.015854836,1.0611534,0.041222572,0.64646006,0.14126301,-0.57789683,-0.26950836,-3.5697997,1.072669,1.4269829,-1.2410998,-0.42760372,2.1348715,1.1278629,-0.29005408,-0.8093357,0.07400513,-0.2778113,1.496017,1.0807514,-0.45521855,1.3557196,0.5186796,0.69868565,-1.5233219,-0.40370226,0.40215254,0.8307576,-0.036603212,-0.20260811,0.43417215,-0.024980307,-0.8118391,0.59592724,-0.23525357,0.93330145,-0.8848548,-1.1905313,-1.5138865,-0.54668784,0.37504435,1.7226696,-0.47965646,-0.016462803,1.184535,-0.49763918,-0.9900451,-0.7173419,0.38164854,1.3093948,0.60858727,-0.4688084,0.5199671,1.2676954,-0.29304028,1.5125513,0.07441044,0.73775053,1.4800787,0.3848791,0.74955225,-0.6294787,-0.3052771,0.30212402,-2.811271,0.07237196,-0.63501,-0.12847781,-0.9601772,0.8220315,0.7249832,3.046,-1.4572084,-0.48062205,-0.84409714,0.90458393,-0.21579862,2.6870728,-1.5114725,-1.0740995,0.48499107,0.7303238,1.5613317,-0.038534403,1.1408567,0.35572052,0.38229227,-1.0052323,-0.005489588,0.5558014,-1.338774,-1.3117671,-0.7772863,0.004017353,-0.018531084,-0.3938198,0.119674206,-0.97498894,1.3144374,-0.8886397,0.9169102,0.17030239,-0.2770245,-0.2907157,-0.7494569,0.52598715,0.65413713,1.4274359,-0.314039,-0.1758635,1.1306643,1.0144591,-0.4664898,0.31385422,-1.2476087,0.08888245,-0.34148097,0.68627596,1.4864802,0.09856224,0.67162514,0.75677633,0.42312145,0.061058998,0.7897973,0.36383867,-0.2996266,0.44668913,0.63250065,1.3093948,1.1390448,0.62584877,1.9116282,-1.1398911,-1.9295394,-1.0286212,3.6126137,0.14586449,-0.1401186,-0.15989542,0.92885494,-0.9800434,-0.11308193,0.151968,0.12532473,-0.9783268,0.44254065,0.02629757,-0.6348491,0.526309,1.1250257,2.4238467,0.04682541,-0.68739057,-0.14348626,1.0854125,0.77961683,-0.5658567,-0.9938657,-1.014924,-0.1098156,-1.1884093,-0.4166186,0.18373728,0.06496906,1.1787295,0.65170527,0.11053085,-0.02027154,-1.0203481,1.6852379,-0.66390634,-0.37060976,-0.33589602,1.0098815,0.4731655,1.4982104,0.19454956,0.67025423,0.7464886,-1.8172145,-1.3720512,0.16943216,0.30252934,-0.5796671,0.30335188,-0.007009506,1.3879538,1.3884068,1.2499332,-0.29594302,0.065624714,-0.41092038,-0.04429221,-1.8387318,1.383543,0.25106668,1.6688347,2.3819327,-0.29527545,0.42055845,-0.92493296,0.2616048,1.3936877,-2.111584,-0.3030002,0.46024323,-0.6713569,-1.0732949,-0.17223954,-1.33636,-0.35235286,-0.58555603,0.020837784,-0.0048577785,-0.2738297,-1.2526035,-0.8149028,0.9714484,-0.27210712,-0.65594316,-0.5541265,-1.0398746,-0.83978176,0.8744955,-0.4359722,0.44429302,0.92858076,0.52456856,-0.27114153,-0.58375597,0.46093464,-0.3404796,0.400877,0.36388636,-0.0027179718,0.3294468,0.86581707,2.42697,-0.041794777,0.95670223,1.6094208,-0.43544173,-0.48218966,0.3741026,-0.19937754,1.3295293,0.80081224,-1.1000216,0.10185242,-0.18366575,0.7701516,0.016224384,-0.7855892,0.39598942,0.72767735,-0.9940982,0.8846998,0.40972233,-1.6395748,-0.6304145,-0.7123649,-0.13323426,0.8916259,-2.0521522,-0.011050701,-0.2477169,-0.032687187,-1.162231,1.0239601,-0.19892454,0.2379179,-0.7453084,-0.41050315,0.8726597,0.33456087,1.0560989,-0.23197532,0.29999018,0.08301735,0.39430857,-1.2300491,-2.399683,-0.38710833,-0.2870381,0.90954304,-0.08649826,0.7899642,-0.38244724,-0.1740992,0.4551053,0.35586357,-1.5481651,1.6357422,0.5032778,1.1717081,0.59753656,1.0639668,0.52062273,-0.34772754,-0.5403936,-0.20029545,0.75428486,-0.34403205,0.073349476,0.7797599,0.39981604,1.1137128,1.5150547,0.75389147,1.6229749,1.5391111,0.3335595,0.66387653,0.13229847,-0.76952577,-0.5272269,0.25023222,0.6196618,0.9248495,0.3910184,0.8363843,0.38425922,0.9029627,0.26317835,0.52957535,-1.0454237,0.13347864,0.15193224,0.53025484,-0.047641993,0.077843666,1.8574357,-1.7476141,-0.41005015,0.5465746,-1.5850484,-0.47582388,0.5296588,1.6610742,-0.20295382,1.5576601,0.73720217,-0.7783234,-0.8622885,-1.3435721,-0.007289648,0.22313595,-0.6640434,-0.36194324,-1.4009416,0.27985573,-1.3292193,-0.54662824,0.53590536,0.44560432,-0.45953393,0.8257389,-0.8254945,-0.09127259,0.7815242,1.145184,-1.1678159,0.7789016,-0.73409677,-0.43472052,-0.65864325,1.0468364,0.32758713,0.19519329,-0.6454587,0.26785135,0.67646503,-0.29485226,0.37716627,-0.69289804,-0.97020864,-0.45755506,-0.42942166,-0.16816854,-1.1687636,1.2314081,-0.15546083,0.429976,0.95415115,-0.12916327,-1.112622,-1.3024092,-2.1795511,-0.7546365,0.7387996,-0.482589,1.3511658,0.9252906,0.19409657,-1.3905466,0.028502941,-0.40741563,0.10404587,-0.16175508,2.497661,2.223885,0.5487442,-0.31840205,-0.1781404,1.058209,-1.6088307,-0.3622949,-1.5488744,1.3139248,-0.78321695,-0.6686151,-0.39200783,-0.09106398,-0.55019855,-1.0113895,-1.1426806,-1.5469432,-0.009649992,1.6461611,0.20871162,1.0380387,-0.23849607,-0.66654086,0.56682825,0.06489754,1.2766838,1.3814807,0.12484789,-0.07033944,0.695467,0.5809903,1.734519,0.18185377,-2.525282,0.09498596,0.28140545,1.1047006,0.97545385,-2.9209435,0.07710457,-0.83254576,0.17027855,-0.20920038,0.9427905,0.14811754,0.10700226,0.21407604,0.9382725,-0.047022104,-0.1930356,-0.3858745,4.073131,1.2230873,-0.77278614,0.24987459,-0.12635589,1.1947155,0.32172203,0.5360365,0.9520292,-1.7705321,-1.3005018,0.88124275,0.89776516,-0.5840957,-0.6071329,1.5681148,-0.059229136,2.4208307,-1.3682723,0.37704706,0.11228323,0.7589817,0.34108162,1.0455608,-1.1455595,2.0250916,-0.46045184,2.4719596,1.5814066,2.2013068,2.3455381,-2.3066163,0.07388592,-0.46108365,1.2693048,-0.4080832,-0.08897185,-1.8020511,-0.67234635,2.1315098,-0.75393915,-0.6124973,-0.4821837,0.45303106,-0.1954794,-0.34809113,-1.5505672,0.6170511,-1.1725664,-0.464046,-0.24775863,0.5184531,0.5939722,-1.1830151,1.5885592,0.9650469,-0.859648,-0.9882331,0.22792816,1.1260271,0.14483929,-0.3231287,0.21728277,0.8628607,0.35128593,0.80754757,-1.3300657,-2.139163,-0.033950806,-1.2108862,2.404189,0.7441044,1.4709353,0.3332138,0.99806786,-0.44705868,2.984631,1.8596053,-1.9887507,0.69282055,-0.043016672,-1.2549222,1.3381958,0.10919571,-0.35239458,-0.5471349,-0.19678473,0.46323538,-0.35073757,-2.9705167,-2.2529542,-3.4038544,0.15554428,0.93233585,2.6355267,0.96417665,-6.25602,0.24977922,-1.5928566,-3.5102308,-0.39166212,3.2808661,1.758492,-1.4711797,-0.18908381,-1.176256,2.407384,0.7771373,-0.6510675,2.340114,-0.46308637,0.09154081,0.942719,-2.7733564,2.6880026,5.0352097,-0.31077862,1.3453364,2.2822142,2.0608544,-3.0799627,0.5424738,0.25447607,-0.9347677,0.1963377,0.22500753,2.690208,2.3169518,1.5460372,-2.255571,-0.033563375,-0.71201324,1.0437369,2.0230532,0.054895878,0.699687,-1.1741936,-1.0667205,-0.84685683,-2.309996,-1.8161416,-0.4744947,2.1225095,1.2070775,1.5639544,1.3724327,0.70381165,-0.30522346,1.1727452,-3.18771,-3.9570928,1.6491532,-3.001523,-0.2274096,-0.7087767,-1.9953191,-0.99582076,-2.5244594,2.2532344,0.80946684,0.95739365,-0.8459985,-0.9428978,1.4788389,-3.064251,-0.8624971,-1.6328514,-0.83958507,-1.9669771,0.15290976,0.5325556,-2.3873508,0.15083551,-1.3517678,0.82600117,0.32407045,-0.6907284,2.8089046,-2.2881866,-0.04092455,0.8146405,0.052297115,0.8332968,1.2173176,0.2583146,0.58580637,-0.31366944,0.8023977,1.4632702,1.335454,0.35184622,0.24704933,-0.48049092,0.23794174,0.8561373,1.1013865,0.55941343,2.8165102,-0.43789744,-1.9936085,-0.22761822,0.92145205,-0.523299,0.6216049,-0.38266182,3.1642437,-2.438724,-2.1030486,-0.6991327,-1.2468159,0.2414465,0.9487629,1.9589663,1.4237404,2.6127934,1.3548017,-2.4660945,4.1060686,5.742109,-2.899605,-4.290235,-2.3896098,0.085270405,-0.6304383,-2.5668144,2.8622985,-0.1753807,0.38011074,-4.301119,-2.153325,2.602768,1.1027455,0.43787956,-0.3545046,1.3218999,1.2563586,-0.20314455,-1.796943,4.3144584,-0.7657528,-0.05725622,-0.911659,-0.22295117,2.9195786,-3.7315488,-2.3381948,-1.4730453,-3.9231062,-1.6411483,-0.27478337,1.4926195,-1.6195893,-2.4389327,-0.5346477,-0.36228895,-1.3727248,-1.2117743,2.1761417,-2.53762,-0.20695925,0.47283173,-0.65332055,-2.8835356,-0.8544862,0.38241148,0.37173033,0.021624565,2.820158,0.7541895,1.026547,0.6251693,0.85015297,0.44465065,-0.36629438,0.119423866,-0.44097304,-1.2647569,0.44190884,-0.33884645,2.013564,-0.7252455,3.3604026,-0.55506825,3.4313679,1.3695836,0.39094687,4.518962,-5.470538,0.9923935,2.9122233,9.86129,-0.31964183,-3.5458684,1.5132785,2.5505543,-4.4490457,0.03745556,-1.4235735,-2.2466838,-1.592201,-0.24136305,0.8855462,-2.983582,-2.0476222,0.40483475,2.9533267,-2.7879834,0.6158948,-1.2750566,-0.4670322,1.9438624,-0.37780404,3.4873128,0.4521966,-4.526967,-2.3221552,0.80524683,-2.9096305,-0.89753866,1.5950084,0.55861473,-0.7381141,-0.34086704,1.1612058,2.3224711,1.2476683,1.3817072,0.8786917,-2.4756432,1.7990828,2.791512,-0.7161617,-0.07690787,-1.4513433,1.6625762,0.052165985,-0.43120384,1.8460631,2.6403666,0.9513259,-1.2356758,0.64680576,0.7280946,-0.58980584,1.2984514,-0.8268595,1.6708016,-1.7834187,0.54079294,1.8474579,1.1339188,-1.5329301,-2.5909662,4.531777,-5.8264136,-0.012600422,0.63642263,0.8335829,0.5149722,-0.7354021,0.22152662,0.30676126,-5.7251873,-1.0895014,3.571558,-0.73156357,-2.2452354,0.29928684,-0.81311464,0.254941,0.5180836,-0.8058727,-1.264602,-0.25621653,0.47649145,-1.357758,-1.3324142,-1.8842041,-0.6238103,-2.0213425,-6.313646,1.6748548,-1.2216449,2.349496,-0.17584562,1.5827894,-0.8591652,2.5028825,1.526022,-0.42026043,0.7422209,2.5051713,-0.70077777,0.9036541,-0.00924468,0.3846526,1.0324597,-0.08417964,-3.8813412,-3.2673717,-1.9552648,0.44726133,-0.10710955,1.5082836,-2.670586,-1.7614067,0.83692074,-1.0035336,0.067448616,-0.3385365,0.492692,-0.5133569,-0.37612915,1.0023355,0.07622242,0.62202215,1.505363,-0.8114219,0.10185242,0.7819176,-1.0590672,-1.0213733,0.6490946,1.4660478,0.16185045,-1.8273711,0.28709173,0.15795231,0.82912445,-0.41161776,-1.765573,3.3082366,0.56004524,-0.61005354,4.5259595,0.27637482,0.7018924,-1.144892,0.09390116,1.8230677,0.823009,-0.42398572,-0.72576404,-2.1240711,0.9397507,0.47024488,1.266551,-1.7381012,-0.8809805,-0.109517574,-1.2081563,-1.6459286,-2.1378458,1.3341069,0.6291151,-2.5486052,0.8948803,1.1275768,0.25395155,-1.40118,-2.5581121,-0.14433861,-1.8053353,1.3605952,0.5020499,-1.1160731,1.2762904,2.7073383,-1.2624443,-0.20634532,1.0585308,0.6722331,0.55993795,1.927805,1.0856032,-0.8346021,-0.017517805,-0.5594313,2.315402,-1.1679053,0.16435385,-1.2634516,2.8972268,-1.9972503,-0.4895389,0.24353266,0.40848255,0.07804632,2.7128816,0.39385557,1.654017,0.05631447,1.8034577,1.2352228,-1.8561244,0.08482933,-0.17083883,1.6329646,-1.9663751,1.162827,-3.515023,0.5922437,-1.624614,-0.85410476,0.95096827,-1.5236318,-1.17262,0.18645525,-0.058454275,-0.53619146,-0.70322156,1.6027212,-2.3408473,1.9827247,2.098596,1.51577,0.40377378,1.1907935,1.1190891,-1.7790496,1.6453505,0.52456856,4.417622,1.0019779,-1.3134122,-2.006501,1.1611581,-0.24697185,-2.9813588,-0.31021833,0.31661987,-2.3602188,1.6065001,-3.296882,-0.41989088,-0.80761313,-2.0751119,1.5189409,-2.5435865,3.8020015,-6.4235926,-15.422571,-0.66028833,-1.3848126,0.08251667,0.6874919,-2.0093143,1.605022,0.66490173,-0.92803836,-0.5987346,-0.8561194,1.1058807,-1.5314698,1.7029643,1.7638445,0.56979656,-0.4554689,0.57679415,2.1157265,1.0576606,1.6893625,-1.4766097,3.0396461,4.2360425,0.8538008,-0.45336485,-4.4496655,0.697422,-0.9685278,-0.96176267,1.1564612,0.048089027,0.2796769,-2.7395844,2.2974253,1.9652724,-1.5083611,-0.79033375,2.4616122,-1.3282537,0.7573724,-2.3287177,2.1427512,-0.55271983,0.8340359,2.8738499,-0.6759465,-0.1365304,1.1718631,1.1361599,-2.23853,-0.3327012,1.3733983,0.4998088,2.148223,2.973926,-2.1994293,-0.6931186,-0.4848957,0.4032135,-0.21913648,-0.6262779,0.35315752,9.250402,-1.3387501,2.3906589,2.235198,1.6266108,-2.9487908,-3.0151665,1.0055423,-0.6259322,2.3293853,-3.3714235,-1.4290452,-1.8985808,0.70136786,2.1672487,-2.7926385,-3.1182885,0.5968094,2.1213412,3.8639545,2.893746,-1.0954738,-1.0759175],"MSFT-US^P_PRICE_RETURNS(0,45961,45961-5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,0.13427734,1.2564778,-0.36435723,0.80521107,0.030612946,-0.68068504,2.0846248,0.14827251,0.34555197,0.14419556,-0.62568784,-0.09543896,0.677371,0.115430355,-0.388062,0.6631136,1.2623906,-1.5670776,-0.11523962,-0.14144182,-0.846231,-2.2333205,0.5326867,-0.7627964,-0.18513799,0.6850362,-1.0011315,-0.40434003,-0.77959895,1.8291116,-0.99735856,0.88329315,0.1741767,0.84074736,0.936079,2.1342397,2.0901084,1.0007381,-1.6381383,-0.12472272,-0.1318872,-1.8459082,0.97309349999999994,0.6137371,-0.782907,0.08465052,-0.7917702,0.2984047,-2.0252824,-0.1553595,0.77574253,0.7312298,-0.60803294,1.0003448,0.68838596,1.7698765,0.1945734,0.826931,1.0692,-0.29528737,1.1286855,-3.2656848,-2.0666003,-0.29640794,-1.0805845,-0.89283586,0.34331083,1.6419649,-2.4481237,-3.5854816,0.43121576,1.3337612,-0.7402897,-0.7102251,-1.3347566,-0.9780586,0.090396404,-0.2529204,-2.4772108,1.4601588,-1.4370263,-0.2823174,1.4736176,0.32441616,0.5583167,2.188158,-1.3028562,0.15259981,0.26831627,0.73268414,-0.4691124,0.91540813,-0.14338493,-0.45275092,1.3105273,0.22419691,0.11789799,1.9367695,1.1241674,0.948441,-0.15782118,0.12027025,1.9083381,0.61665773,-0.3878355,0.110924244,-3.3786118,-0.2672434,0.0371933,0.74005127,-0.8176148,0.34495592,0.869894,1.2208223,-0.18527508,-0.49399734,1.5651941,0.6864548,-0.24593472,0.586915,0.4335761,0.29315948,-1.0156214,1.6918302,2.216971,0.73428154,1.4409423,-3.2119334,-1.0016739,1.824379,-2.4495184,0.36557913,1.6485453,0.4610181,-1.2739003,-1.838094,-0.6609082,0.22724867,-1.957804,-1.4091074,1.1033416,-0.70845485,0.3980279,-0.21855235,1.8282771,-0.6112516,-0.23490787,-0.73722005,0.9150982,-0.16847253,-0.052177906,-0.28614402,-1.3714612,-0.14672875,0.97358227,0.90647936,0.98006725,0.21612644,-2.069515,2.437961,-0.043344498,2.6599407,-0.41849613,-0.7136941,1.7533422,-0.13907552,-2.957201,-0.13958812,0.44965744,1.4519811,0.05890131,-0.014722347,-0.68235993,-0.3182292,2.3546696,-0.15144944,-0.3143072,-0.6149173,-0.71552396,0.7801652,-2.1528661,-1.2578726,1.5551448,0.01449585,2.1110296,-0.039446354,-1.3545096,1.8425822,1.5594363,-2.6946366,-0.27579665,1.4334202,-0.23217201,0.57382584,0.91753006,0.60275793,-0.54180026,1.2186766,1.1297345,-0.20498037,0.4633546,0.9983659,0.48593283,1.8574119,0.29357672,1.8871546,-0.051641464,-0.7177532,-0.07280111,-1.3748586,0.20251274,0.3234625,-0.15747547,0.021362305,0.2784133,0.78787804,-0.7072866,0.1636982,0.51789284,1.3117313,-2.2544563,-0.0026762486,0.82951784,-0.78294873,0.88421106,0.5829811,-0.9986043,0.91563463,-1.4338732,-1.1612236,0.015830994,-1.0060132,1.0802746,0.31263828,-0.1111567,1.2812614,-1.1577964,2.052188,-1.680094,1.7583251,-0.16203523,0.979054,-0.808835,2.489674,-0.6910801,0.7405758,1.1219263,1.0572553,1.2861729,0.65015554,2.3542643,0.23716688,2.2740364,0.58555603,-3.751433,3.0678034,0.36742687,0.8112192,-1.4034748,0.36655664,-0.5872488,-0.17436743,1.4981866,-1.0357499,-0.37904382,1.2272,-0.43357015,0.78225136,2.4737,0.12698174,1.7757297,-2.6134133,1.9160748,0.6727457,0.2717495,0.20823479,-1.7005742,0.16719103,-0.7886529,-0.38656592,-2.3976862,-0.12459755,-0.35127997,-2.503693,0.7855773,1.2930632,-1.8257737,1.0979176,1.3215661,-0.89221597,-0.20086169,1.4878511,0.27458668,-0.3132701,0.11571646,1.4550447,0.22292137,0.94071627,-2.1498442,1.4079332,0.18018484,1.7062664,-0.12623072,-1.0986209,-0.45360923,-0.6727636,0.94389915,-0.5945504,0.21723509,-1.1715949,-1.2298942,0.7108331,0.34285784,-0.25648475,-2.6282907,0.1250267,-0.7240534,2.313137,-2.0872176,-3.7637532,1.7009139,0.38979053,-0.8937061,-2.3121536,-1.2267411,3.979981,0.14193058,0.7529259,1.6192198,1.4226913,0.19286871,-1.5983701,-1.1867404,0.922668,0.04733801,-0.74881315,1.6385674,-0.23820996,0.38257837,1.8167973,-1.9163013,-1.3805926,1.8437386,-1.3282001,-1.2502551,-1.6575754,3.189659,0.9123802,0.735271,1.5483975,0.47038794,0.58135986,-3.0867875,-0.67273974,0.16100407,0.84792376,1.275909,-0.8514166,-0.5046785,2.138567,3.845787,-0.4472494,-1.8431962,0.89212656,-0.056511164,1.4394879,0.7249713,0.7367611,0.15858412,-0.3676057,-0.70443153,1.7296433,-0.53458214,-0.6438136,1.7157197,0.33180714,-0.33070445,-0.049090385,-0.5532801,0.79717636,3.2027602,7.2434783,-2.253604,-1.3962865,-0.12232065,-0.81124306,0.027751923,-0.1488924,0.92960596,-1.2765586,2.2399426,0.23335218,-2.266848,-0.757885,2.5532842,-0.9889245,-0.017416477,-0.37113428,1.4962196,1.2619734,1.9183993,-0.41609406,-1.4933884,1.0480404,1.9721627,-0.54422617,0.5693674,-2.576667,1.1694312,4.0536523,1.7830372,2.705586,2.1440983,-1.4782846,-0.543946,-0.17706156,-1.0589004,0.61889887,1.6646028,1.9653201,-1.262927,-0.2958119,0.3771782,-2.1784365,1.2961745,-0.45909882,-2.08866,-1.5601754,-2.6622653,-1.0471404,0.313282,3.1242847,-0.19724965,-1.1659801,-0.3102064,4.202211,-0.6115794,-2.3620546,4.68843,1.9934654,2.1012664,-2.196163,0.06451607,3.0713558,-0.5908072,-0.22261143,0.9824276,3.5743594,-1.6453922,-1.8889129,0.46817064,0.30187368,1.1621475,3.0238152,0.7617116,0.9736419,1.1785269,-2.9637754,-4.374319,-0.1000762,-0.49375296,2.7629733,-1.025492,-0.7414162,0.22671223,-2.552873,1.0876656,0.5614519,-1.7328084,-1.7348647,-3.1918228,0.1167655,1.7464757,2.888918,-0.8003235,1.2399197,-0.30597448,-2.0303786,-1.8900514,0.12956858,-0.17637014,6.1623573,-0.59149265,-2.315247,-0.036352873,1.0406852,1.2311459,0.3440857,-0.19032955,-0.020682812,-0.09918809,0.17387867,-2.2500098,1.6997337,8.2268,-1.9050121,0.43884516,2.9269576,3.3325553,-2.6578844,-3.5368323,-1.7059445,-1.5856147,4.02205,-1.9756198,-7.7156305,1.379168,2.1187901,2.5280595,-0.1395464,-0.8469641,0.40837526,3.9245725,-2.424866,3.7608027,0.15083551,-1.6750276,-2.1302938,-5.0852895,-0.9670973,0.12856722,3.3812404,3.3662558,-1.936847,-1.4809012,1.9711494,-0.43798685,-0.19754767,-1.2698114,0.849545,-1.4435947,-0.8465588,-0.089889765,-0.260818,-2.711916,0.09126663,-5.497837,0.82809925,2.2976995,0.1666069,1.9111514,-1.097399,-1.6666651,-0.4092276,-0.5704045,-0.8520961,-1.066798,-3.8587093,1.1095405,-0.2351284,-0.4716456,-2.9355228,-1.3854027,-0.3947556,-0.4748702,-0.25897622,0.53441525,1.7037153,-0.7400811,2.4300456,0.70632696,-0.9154856,-0.26088357,0.4177451,2.7836323,-1.147443,-0.97242594,1.5665054,2.8540611,6.6851854,-2.6774287,-0.58764815,-1.6915917,0.9799123,1.0557532,2.0766973,-0.9621382,1.0390401,0.5381465,-0.37450194,-4.0981474,-1.1768639,-0.27570724,0.8226633,1.2782931,1.2597322,1.0707498,-1.3179243,1.4737964,-3.174907,-1.0496795,3.4149885,2.2636533,-0.24040341,2.4591208,1.0940075,-2.6970088,2.9735327,0.9204984,-4.241276,-4.456365,-2.0783246,-0.7669687,1.3953447,-0.4703343,-1.6607165,0.7928848,0.20231009,-0.5013883,2.7604342,1.2875199,1.1170149,-0.39516687,3.2032013,-0.22912025,-0.36996603,-4.7747555,2.0344138,0.1455307,2.259636,-1.9957721,-3.3209682,1.8595576,-3.6945462,-0.9446502,-4.3554726,2.9100776,-0.9456217,2.504325,-4.1812,2.26326,4.8108935,-3.7403822,2.4413347,-2.414441,-1.9381166,0.3715396,1.7039776,0.24658442,-2.708435,1.971209,-1.1217892,-3.9431572,-1.4599979,0.6243706,-3.6605775,-1.2985349,1.7936707,0.3600359,-1.7683029,-0.49142838,1.5159249,2.311647,-0.13811588,1.53929,-1.5029967,1.6379118,-0.4227221,1.7647862,0.28192997,2.521336,3.8742542,-1.296109,-1.9328356,-1.0086656,4.5858264,-1.0971248,-3.7776768,-2.0478606,-1.4224291,1.7765641,-1.2851834,0.49780607,0.9233117,5.109358,-2.589327,-0.07293224,-0.9630978,-2.9282093,-0.32283068,1.8542409,-0.013560057,-2.427405,-2.8373063,2.183473,1.1995316,-1.6310334,1.5568495,-3.895229,1.5222073,-0.7138729,0.88237524,2.8081656,1.0549068,2.8493166,-2.658838,0.11484623,-1.8468201,-0.57032704,0.22467375,-2.43392,1.7716646,-4.232258,1.0444999,0.22592545,0.07323027,0.050973892,-0.7901907,-3.8387895,-1.7147124,-0.46681762,-0.88412166,-0.76912045,0.20513535,-0.35042167,2.318561,0.4471779,1.8057346,2.3069024,-1.2013555,-0.3385663,-2.913493,1.9217849,-3.2586932,-0.9166837,2.8339863,-0.5582571,0.014925003,2.6763558,0.9844899,-1.9666672,-0.17874241,-0.1542747,-1.7942548,2.108109,-2.435565,0.06811619,-0.63266754,-0.95596313,0.5391598,0.63399076,-0.11487603,1.0236025,-0.1930356,1.2905002,0.4927516,-1.5329719,-0.308609,0.27673244,-0.1129508,0.73053837,0.2611637,1.141572,-0.67848563,2.241397,0.36512613,4.211414,0.64257383,-0.33316016,-0.5148709,1.0897517,-0.26603937,0.30590296,1.0124683,0.48223734,2.1734,1.171124,-0.45882463,-0.21027327,0.0,0.5936384,1.5064359,1.9956946,-2.0719528,2.546823,-0.7323921,0.16930103,-3.6203623,-1.7304122,-0.07010102,0.32821894,1.282227,0.16989708,-1.8574715,-1.7528355,0.13122559,1.677835,0.9428024,0.43286085,-0.5180836,-0.9859741,0.009989738,-0.31879544,-0.0033140182,-0.22528768,-0.016570091,-0.56325793,1.2912035,0.21064281,-0.96685886,-0.20157099,-0.6663382,0.095283985,2.55754,2.07752,-0.80181956,-0.51596165,0.5975723,1.0489702,0.996685,0.178051,-0.6554961,-0.39038658,-0.020724535,1.0505676,-0.21244884,0.8075237,-0.03159046,-0.5549729,0.09782314,-0.11168122,-0.8683562,-0.21404624,1.2336612,1.6844392,0.74466467,0.83390474,-1.33214,-0.099635124,-0.52387714,0.5445242,1.319778,-0.22307038,0.18743277,-0.8966446,0.8175373,0.0036001205,2.2275329,0.25839806,-0.184232,0.99731684,1.3961315,-0.62620044,0.5334139,-0.0885129,1.0966063,1.2334824,-0.56343675,1.3676286,-0.37930608,-0.58872104,0.77552795,0.25268793,1.439333,0.4038453,-0.48854947,1.2041926,2.0674706,-0.6429434,-0.04041791,-0.913167,0.14840364,-0.8668363,-0.09136796,0.37482977,2.2882104,-0.5314827,1.382029,0.016450882,-0.8565128,-1.1968553,2.106738,1.6861916,-2.9362798,-0.3843367,-2.0914257,1.093185,1.3226748,-0.5327046,-1.6159773,-0.12689233,-0.13068914,-0.8053124,-2.8285682,0.16058683,0.15317202,1.5476108,-1.308608,0.8983135,-0.18550754,-0.7670462,0.47783852,1.5298009,-1.1218965,1.0081649,0.023448467,1.0266542,1.3405442,0.8230448,-0.48580766,2.7728438,2.7908564,1.6907454,-1.4410794,-0.524354,1.7818689,-1.3250709,-0.8923292,0.673759,2.4484515,-0.1603663,-2.6662111,-0.2818644,1.235044,-0.39873123,-0.58196187,2.0265102,-0.58174133,2.8101444,-1.8177927,2.1479368,-0.3647387,-2.6980817,-1.2956917,1.9623041,1.4804125,-2.3704946,0.54872036,-0.52875876,-2.6808321,-1.1567295,-0.16789436,0.20517111,-0.5265534,0.20450354,0.68775415,-0.38971305,0.5361557,0.11148453,0.07851124,-0.40740967,1.4571428,-0.058418512,3.3152223,-2.9171646,2.5890946,0.24533272,1.2198806,1.5844226,0.4356146,0.28082132,3.6499739,1.7822742,-0.17369986,-1.534617,0.65603256,-1.1770725,-0.969851,0.6092787,2.8456926,-2.5929272,0.09646416,-2.1266043,0.33382177,-1.1019409,-0.36007166,0.99214315,0.7827282,-1.3039172,0.6065011,1.8299103,-0.37826896,0.063848495,2.4050832,-0.032675266,0.44077635,1.301539,-0.6043434,-1.9489825,0.80264807,-0.032657385,0.056004524,-0.52467585,-0.388515,0.9996772,-0.53895116,0.6358981,0.004673004,1.7847776,-0.13308525,-0.9556532,0.6348252,-1.5760541,-1.27514,0.33254623,0.49664974,-0.51258206,2.6254773,-3.3792794,-2.3824453,0.1925826,3.1886816,4.8248887,2.026391,-0.06914735,-1.099062],"MSFT-US^JULIAN(FG_PRICE(45961,45961-5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],"^PSETCAL(\"NAY\",,\"NAME\")":"calendar: United States","^FG_COMPANY_NAME":null,"^PROPER_NAME":null,"GE-US^PROPER_NAME":"GE Aerospace","ADSK-US^PROPER_NAME":"Autodesk, Inc.","SAF-FR^PROPER_NAME":"Safran SA","MRO-GB^PROPER_NAME":"Melrose Industries PLC","EVD-DE^PROPER_NAME":"CTS Eventim AG & Co. KGaA","INTU-US^PROPER_NAME":"Intuit Inc.","GOOG-US^PROPER_NAME":"Alphabet Inc. Class C","DB1-DE^PROPER_NAME":"Deutsche Boerse AG","V-US^PROPER_NAME":"Visa Inc. Class A","LSEG-GB^PROPER_NAME":"London Stock Exchange Group plc","MSFT-US^PROPER_NAME":"Microsoft Corporation","DUMMY^CORREL_MATRIX(CORRELMATRIX)":[[1.0,0.11480432,0.44737276,0.14425503,0.6602172,0.62596166,0.14743002,0.15938042,0.17271675,0.5700099,0.3014616],[0.11480432,1.0,0.17274241,0.54103786,0.1288944,0.18303666,0.2795783,0.27645504,0.28440186,0.18247983,0.094351865],[0.44737276,0.17274241,1.0,0.21412763,0.39927265,0.4823142,0.26409146,0.27518135,0.3022692,0.45402867,0.418707],[0.14425503,0.54103786,0.21412763,1.0,0.098878205,0.19934581,0.36710358,0.30134946,0.39820796,0.1776095,0.122936726],[0.6602172,0.1288944,0.39927265,0.098878205,1.0,0.54476255,0.14764051,0.17295644,0.18892059,0.49197906,0.29815143],[0.62596166,0.18303666,0.4823142,0.19934581,0.54476255,1.0,0.21181017,0.20696649,0.21018147,0.64434785,0.33655694],[0.14743002,0.2795783,0.26409146,0.36710358,0.14764051,0.21181017,1.0,0.47281986,0.5067775,0.20760763,0.2692853],[0.15938042,0.27645504,0.27518135,0.30134946,0.17295644,0.20696649,0.47281986,1.0,0.6374822,0.20495145,0.35578543],[0.17271675,0.28440186,0.3022692,0.39820796,0.18892059,0.21018147,0.5067775,0.6374822,1.0,0.20658293,0.4172788],[0.5700099,0.18247983,0.45402867,0.1776095,0.49197906,0.64434785,0.20760763,0.20495145,0.20658293,1.0,0.34777665],[0.3014616,0.094351865,0.418707,0.122936726,0.29815143,0.33655694,0.2692853,0.35578543,0.4172788,0.34777665,1.0]],"^IDS":["MSFT-US","LSEG-GB","V-US","DB1-DE","GOOG-US","INTU-US","EVD-DE","MRO-GB","SAF-FR","ADSK-US","GE-US"],"DUMMY^FLOAT_ARRAY CORRELMATRIX=GET_FQL_ARRAY(IDS,'P_PRICE_RETURNS(0,45961,45961-5AY,D,USD)');'FDS CODE - DO NOT DELETE'":"FDS CODE - DO NOT DELETE","DUMMY^STRING_ARRAY IDS=TICKER_LIST('MSFT-US LSEG-GB V-US DB1-DE GOOG-US INTU-US EVD-DE MRO-GB SAF-FR ADSK-US GE-US');\"FDS CODE - DO NOT DELETE\"":"FDS CODE - DO NOT DELETE","DUMMY^PROPER(\"CORRELATION OF DAILY DATA BETWEEN \") + FG_DATE(45961-5AY) + LOWERCASE(\" AND \") + FG_DATE(45961) + LOWERCASE(\":\")":"Correlation Of Daily Data Between 10/30/2020 and 10/31/2025:","MSFT-US^FG_COMPANY_NAME":"Microsoft Corporation","LSEG-GB^FG_COMPANY_NAME":"London Stock Exchange Group plc","V-US^FG_COMPANY_NAME":"Visa Inc. Class A","DB1-DE^FG_COMPANY_NAME":"Deutsche Boerse AG","GOOG-US^FG_COMPANY_NAME":"Alphabet Inc. Class C","INTU-US^FG_COMPANY_NAME":"Intuit Inc.","EVD-DE^FG_COMPANY_NAME":"CTS Eventim AG & Co. KGaA","MRO-GB^FG_COMPANY_NAME":"Melrose Industries PLC","SAF-FR^FG_COMPANY_NAME":"Safran SA","ADSK-US^FG_COMPANY_NAME":"Autodesk, Inc.","GE-US^FG_COMPANY_NAME":"GE Aerospace"}]]></FdsFormulaCache>
</file>

<file path=customXml/itemProps1.xml><?xml version="1.0" encoding="utf-8"?>
<ds:datastoreItem xmlns:ds="http://schemas.openxmlformats.org/officeDocument/2006/customXml" ds:itemID="{EAFEC324-6F2B-45E0-8056-FD02952FADA5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