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bafs\BA Shared\CPR\CPR Institutional Reports\Ad Hoc Requests\London Requests\A Meghan\"/>
    </mc:Choice>
  </mc:AlternateContent>
  <xr:revisionPtr revIDLastSave="0" documentId="13_ncr:1_{B213ED0A-0210-4963-85E9-1A925C919F7C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__FDSCACHE__" sheetId="2" state="veryHidden" r:id="rId1"/>
    <sheet name="Correlation Matrix" sheetId="5" r:id="rId2"/>
    <sheet name="Backend" sheetId="1" r:id="rId3"/>
    <sheet name="Proof" sheetId="4" r:id="rId4"/>
    <sheet name="__APW_ACTIVE_FIELD_RESTORE__" sheetId="3" state="veryHidden" r:id="rId5"/>
  </sheets>
  <definedNames>
    <definedName name="__APW_RESTORE_DATA0__" hidden="1">Backend!#REF!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3" i="5" l="1"/>
  <c r="A64" i="5"/>
  <c r="A65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29" i="1" a="1"/>
  <c r="BI29" i="1" l="1"/>
  <c r="BH29" i="1" a="1"/>
  <c r="BH29" i="1" l="1"/>
  <c r="BG29" i="1" a="1"/>
  <c r="BG29" i="1" l="1"/>
  <c r="BF29" i="1" a="1"/>
  <c r="BF29" i="1" l="1"/>
  <c r="BE29" i="1" a="1"/>
  <c r="BE29" i="1" l="1"/>
  <c r="BD29" i="1" a="1"/>
  <c r="BD29" i="1" l="1"/>
  <c r="BC29" i="1" a="1"/>
  <c r="BC29" i="1" l="1"/>
  <c r="BB29" i="1" a="1"/>
  <c r="BB29" i="1" l="1"/>
  <c r="BA29" i="1" a="1"/>
  <c r="BA29" i="1" l="1"/>
  <c r="AZ29" i="1" a="1"/>
  <c r="AZ29" i="1" l="1"/>
  <c r="AY29" i="1" a="1"/>
  <c r="AY29" i="1" l="1"/>
  <c r="AX29" i="1" a="1"/>
  <c r="AX29" i="1" l="1"/>
  <c r="AW29" i="1" a="1"/>
  <c r="AW29" i="1" l="1"/>
  <c r="AV29" i="1" a="1"/>
  <c r="AV29" i="1" l="1"/>
  <c r="AU29" i="1" a="1"/>
  <c r="AU29" i="1" l="1"/>
  <c r="AT29" i="1" a="1"/>
  <c r="AT29" i="1" l="1"/>
  <c r="AS29" i="1" a="1"/>
  <c r="AS29" i="1" l="1"/>
  <c r="AR29" i="1" a="1"/>
  <c r="AR29" i="1" l="1"/>
  <c r="AQ29" i="1" a="1"/>
  <c r="AQ29" i="1" l="1"/>
  <c r="AP29" i="1" a="1"/>
  <c r="AP29" i="1" l="1"/>
  <c r="AO29" i="1" a="1"/>
  <c r="AO29" i="1" l="1"/>
  <c r="AN29" i="1" a="1"/>
  <c r="AN29" i="1" l="1"/>
  <c r="AM29" i="1" a="1"/>
  <c r="AM29" i="1" l="1"/>
  <c r="AL29" i="1" a="1"/>
  <c r="AL29" i="1" l="1"/>
  <c r="AK29" i="1" a="1"/>
  <c r="AK29" i="1" l="1"/>
  <c r="AJ29" i="1" a="1"/>
  <c r="AJ29" i="1" l="1"/>
  <c r="AI29" i="1" a="1"/>
  <c r="AI29" i="1" l="1"/>
  <c r="AH29" i="1" a="1"/>
  <c r="AH29" i="1" l="1"/>
  <c r="AG29" i="1" a="1"/>
  <c r="AG29" i="1" l="1"/>
  <c r="AF29" i="1" a="1"/>
  <c r="AF29" i="1" l="1"/>
  <c r="AE29" i="1" a="1"/>
  <c r="AE29" i="1" l="1"/>
  <c r="AD29" i="1" a="1"/>
  <c r="AD29" i="1" l="1"/>
  <c r="AC29" i="1" a="1"/>
  <c r="AC29" i="1" l="1"/>
  <c r="AB29" i="1" a="1"/>
  <c r="AB29" i="1" l="1"/>
  <c r="AA29" i="1" a="1"/>
  <c r="AA29" i="1" l="1"/>
  <c r="Z29" i="1" a="1"/>
  <c r="Z29" i="1" l="1"/>
  <c r="Y29" i="1" a="1"/>
  <c r="Y29" i="1" l="1"/>
  <c r="X29" i="1" a="1"/>
  <c r="X29" i="1" l="1"/>
  <c r="W29" i="1" a="1"/>
  <c r="W29" i="1" l="1"/>
  <c r="V29" i="1" a="1"/>
  <c r="V29" i="1" l="1"/>
  <c r="U29" i="1" a="1"/>
  <c r="U29" i="1" l="1"/>
  <c r="T29" i="1" a="1"/>
  <c r="T29" i="1" l="1"/>
  <c r="S29" i="1" a="1"/>
  <c r="S29" i="1" l="1"/>
  <c r="R29" i="1" a="1"/>
  <c r="R29" i="1" l="1"/>
  <c r="Q29" i="1" a="1"/>
  <c r="Q29" i="1" l="1"/>
  <c r="P29" i="1" a="1"/>
  <c r="P29" i="1" l="1"/>
  <c r="O29" i="1" a="1"/>
  <c r="O29" i="1" l="1"/>
  <c r="N29" i="1" a="1"/>
  <c r="N29" i="1" l="1"/>
  <c r="M29" i="1" a="1"/>
  <c r="M29" i="1" l="1"/>
  <c r="L29" i="1" a="1"/>
  <c r="L29" i="1" l="1"/>
  <c r="K29" i="1" a="1"/>
  <c r="K29" i="1" l="1"/>
  <c r="J29" i="1" a="1"/>
  <c r="J29" i="1" l="1"/>
  <c r="I29" i="1" a="1"/>
  <c r="I29" i="1" l="1"/>
  <c r="H29" i="1" a="1"/>
  <c r="H29" i="1" l="1"/>
  <c r="G29" i="1" a="1"/>
  <c r="G29" i="1" l="1"/>
  <c r="F29" i="1" a="1"/>
  <c r="F29" i="1" l="1"/>
  <c r="E29" i="1" a="1"/>
  <c r="E29" i="1" l="1"/>
  <c r="D29" i="1" a="1"/>
  <c r="D29" i="1" l="1"/>
  <c r="C29" i="1" a="1"/>
  <c r="C29" i="1" l="1"/>
  <c r="A89" i="1" a="1"/>
  <c r="A89" i="1" l="1"/>
  <c r="A88" i="1" a="1"/>
  <c r="A88" i="1" l="1"/>
  <c r="A87" i="1" a="1"/>
  <c r="A87" i="1" l="1"/>
  <c r="A86" i="1" a="1"/>
  <c r="A86" i="1" l="1"/>
  <c r="A85" i="1" a="1"/>
  <c r="A85" i="1" l="1"/>
  <c r="A84" i="1" a="1"/>
  <c r="A84" i="1" l="1"/>
  <c r="A83" i="1" a="1"/>
  <c r="A83" i="1" l="1"/>
  <c r="A82" i="1" a="1"/>
  <c r="A82" i="1" l="1"/>
  <c r="A81" i="1" a="1"/>
  <c r="A81" i="1" l="1"/>
  <c r="A80" i="1" a="1"/>
  <c r="A80" i="1" l="1"/>
  <c r="A79" i="1" a="1"/>
  <c r="A79" i="1" l="1"/>
  <c r="A78" i="1" a="1"/>
  <c r="A78" i="1" l="1"/>
  <c r="A77" i="1" a="1"/>
  <c r="A77" i="1" l="1"/>
  <c r="A76" i="1" a="1"/>
  <c r="A76" i="1" l="1"/>
  <c r="A75" i="1" a="1"/>
  <c r="A75" i="1" l="1"/>
  <c r="A74" i="1" a="1"/>
  <c r="A74" i="1" l="1"/>
  <c r="A73" i="1" a="1"/>
  <c r="A73" i="1" l="1"/>
  <c r="A72" i="1" a="1"/>
  <c r="A72" i="1" l="1"/>
  <c r="A71" i="1" a="1"/>
  <c r="A71" i="1" l="1"/>
  <c r="A70" i="1" a="1"/>
  <c r="A70" i="1" l="1"/>
  <c r="A69" i="1" a="1"/>
  <c r="A69" i="1" l="1"/>
  <c r="A68" i="1" a="1"/>
  <c r="A68" i="1" l="1"/>
  <c r="A67" i="1" a="1"/>
  <c r="A67" i="1" l="1"/>
  <c r="A66" i="1" a="1"/>
  <c r="A66" i="1" l="1"/>
  <c r="A65" i="1" a="1"/>
  <c r="A65" i="1" l="1"/>
  <c r="A64" i="1" a="1"/>
  <c r="A64" i="1" l="1"/>
  <c r="A63" i="1" a="1"/>
  <c r="A63" i="1" l="1"/>
  <c r="A62" i="1" a="1"/>
  <c r="A62" i="1" l="1"/>
  <c r="A61" i="1" a="1"/>
  <c r="A61" i="1" l="1"/>
  <c r="A60" i="1" a="1"/>
  <c r="A60" i="1" l="1"/>
  <c r="A59" i="1" a="1"/>
  <c r="A59" i="1" l="1"/>
  <c r="A58" i="1" a="1"/>
  <c r="A58" i="1" l="1"/>
  <c r="A57" i="1" a="1"/>
  <c r="A57" i="1" l="1"/>
  <c r="A56" i="1" a="1"/>
  <c r="A56" i="1" l="1"/>
  <c r="A55" i="1" a="1"/>
  <c r="A55" i="1" l="1"/>
  <c r="A54" i="1" a="1"/>
  <c r="A54" i="1" l="1"/>
  <c r="A53" i="1" a="1"/>
  <c r="A53" i="1" l="1"/>
  <c r="A52" i="1" a="1"/>
  <c r="A52" i="1" l="1"/>
  <c r="A51" i="1" a="1"/>
  <c r="A51" i="1" l="1"/>
  <c r="A50" i="1" a="1"/>
  <c r="A50" i="1" l="1"/>
  <c r="A49" i="1" a="1"/>
  <c r="A49" i="1" l="1"/>
  <c r="A48" i="1" a="1"/>
  <c r="A48" i="1" l="1"/>
  <c r="A47" i="1" a="1"/>
  <c r="A47" i="1" l="1"/>
  <c r="A46" i="1" a="1"/>
  <c r="A46" i="1" l="1"/>
  <c r="A45" i="1" a="1"/>
  <c r="A45" i="1" l="1"/>
  <c r="A44" i="1" a="1"/>
  <c r="A44" i="1" l="1"/>
  <c r="A43" i="1" a="1"/>
  <c r="A43" i="1" l="1"/>
  <c r="A42" i="1" a="1"/>
  <c r="A42" i="1" l="1"/>
  <c r="A41" i="1" a="1"/>
  <c r="A41" i="1" l="1"/>
  <c r="A40" i="1" a="1"/>
  <c r="A40" i="1" l="1"/>
  <c r="A39" i="1" a="1"/>
  <c r="A39" i="1" l="1"/>
  <c r="A38" i="1" a="1"/>
  <c r="A38" i="1" l="1"/>
  <c r="A37" i="1" a="1"/>
  <c r="A37" i="1" l="1"/>
  <c r="A36" i="1" a="1"/>
  <c r="A36" i="1" l="1"/>
  <c r="A35" i="1" a="1"/>
  <c r="A35" i="1" l="1"/>
  <c r="A34" i="1" a="1"/>
  <c r="A34" i="1" l="1"/>
  <c r="A33" i="1" a="1"/>
  <c r="A33" i="1" l="1"/>
  <c r="A32" i="1" a="1"/>
  <c r="A32" i="1" l="1"/>
  <c r="A31" i="1" a="1"/>
  <c r="H7" i="4" a="1"/>
  <c r="A31" i="1" l="1"/>
  <c r="H7" i="4"/>
  <c r="D7" i="4" a="1"/>
  <c r="D1250" i="4" l="1"/>
  <c r="D1236" i="4"/>
  <c r="D1222" i="4"/>
  <c r="D1208" i="4"/>
  <c r="D1194" i="4"/>
  <c r="D1180" i="4"/>
  <c r="D1166" i="4"/>
  <c r="D1152" i="4"/>
  <c r="D1138" i="4"/>
  <c r="D1124" i="4"/>
  <c r="D1110" i="4"/>
  <c r="D1096" i="4"/>
  <c r="D1082" i="4"/>
  <c r="D1068" i="4"/>
  <c r="D1054" i="4"/>
  <c r="D1040" i="4"/>
  <c r="D1026" i="4"/>
  <c r="D1012" i="4"/>
  <c r="D998" i="4"/>
  <c r="D984" i="4"/>
  <c r="D970" i="4"/>
  <c r="D956" i="4"/>
  <c r="D942" i="4"/>
  <c r="D928" i="4"/>
  <c r="D914" i="4"/>
  <c r="D900" i="4"/>
  <c r="D886" i="4"/>
  <c r="D872" i="4"/>
  <c r="D858" i="4"/>
  <c r="D844" i="4"/>
  <c r="D830" i="4"/>
  <c r="D816" i="4"/>
  <c r="D802" i="4"/>
  <c r="D788" i="4"/>
  <c r="D774" i="4"/>
  <c r="D760" i="4"/>
  <c r="D746" i="4"/>
  <c r="D732" i="4"/>
  <c r="D718" i="4"/>
  <c r="D704" i="4"/>
  <c r="D690" i="4"/>
  <c r="D676" i="4"/>
  <c r="D662" i="4"/>
  <c r="D648" i="4"/>
  <c r="D634" i="4"/>
  <c r="D620" i="4"/>
  <c r="D606" i="4"/>
  <c r="D592" i="4"/>
  <c r="D578" i="4"/>
  <c r="D564" i="4"/>
  <c r="D550" i="4"/>
  <c r="D536" i="4"/>
  <c r="D1263" i="4"/>
  <c r="D1249" i="4"/>
  <c r="D1235" i="4"/>
  <c r="D1221" i="4"/>
  <c r="D1207" i="4"/>
  <c r="D1193" i="4"/>
  <c r="D1179" i="4"/>
  <c r="D1165" i="4"/>
  <c r="D1151" i="4"/>
  <c r="D1137" i="4"/>
  <c r="D1123" i="4"/>
  <c r="D1109" i="4"/>
  <c r="D1095" i="4"/>
  <c r="D1081" i="4"/>
  <c r="D1067" i="4"/>
  <c r="D1053" i="4"/>
  <c r="D1039" i="4"/>
  <c r="D1025" i="4"/>
  <c r="D1011" i="4"/>
  <c r="D997" i="4"/>
  <c r="D983" i="4"/>
  <c r="D969" i="4"/>
  <c r="D955" i="4"/>
  <c r="D941" i="4"/>
  <c r="D927" i="4"/>
  <c r="D913" i="4"/>
  <c r="D899" i="4"/>
  <c r="D885" i="4"/>
  <c r="D871" i="4"/>
  <c r="D857" i="4"/>
  <c r="D843" i="4"/>
  <c r="D829" i="4"/>
  <c r="D815" i="4"/>
  <c r="D801" i="4"/>
  <c r="D787" i="4"/>
  <c r="D773" i="4"/>
  <c r="D759" i="4"/>
  <c r="D745" i="4"/>
  <c r="D731" i="4"/>
  <c r="D717" i="4"/>
  <c r="D1262" i="4"/>
  <c r="D1248" i="4"/>
  <c r="D1234" i="4"/>
  <c r="D1220" i="4"/>
  <c r="D1206" i="4"/>
  <c r="D1192" i="4"/>
  <c r="D1178" i="4"/>
  <c r="D1164" i="4"/>
  <c r="D1150" i="4"/>
  <c r="D1136" i="4"/>
  <c r="D1122" i="4"/>
  <c r="D1108" i="4"/>
  <c r="D1094" i="4"/>
  <c r="D1080" i="4"/>
  <c r="D1066" i="4"/>
  <c r="D1052" i="4"/>
  <c r="D1038" i="4"/>
  <c r="D1024" i="4"/>
  <c r="D1010" i="4"/>
  <c r="D996" i="4"/>
  <c r="D982" i="4"/>
  <c r="D968" i="4"/>
  <c r="D954" i="4"/>
  <c r="D940" i="4"/>
  <c r="D926" i="4"/>
  <c r="D912" i="4"/>
  <c r="D898" i="4"/>
  <c r="D884" i="4"/>
  <c r="D870" i="4"/>
  <c r="D856" i="4"/>
  <c r="D842" i="4"/>
  <c r="D828" i="4"/>
  <c r="D814" i="4"/>
  <c r="D800" i="4"/>
  <c r="D786" i="4"/>
  <c r="D772" i="4"/>
  <c r="D758" i="4"/>
  <c r="D744" i="4"/>
  <c r="D730" i="4"/>
  <c r="D716" i="4"/>
  <c r="D702" i="4"/>
  <c r="D688" i="4"/>
  <c r="D674" i="4"/>
  <c r="D660" i="4"/>
  <c r="D646" i="4"/>
  <c r="D632" i="4"/>
  <c r="D618" i="4"/>
  <c r="D604" i="4"/>
  <c r="D590" i="4"/>
  <c r="D576" i="4"/>
  <c r="D562" i="4"/>
  <c r="D548" i="4"/>
  <c r="D534" i="4"/>
  <c r="D520" i="4"/>
  <c r="D506" i="4"/>
  <c r="D492" i="4"/>
  <c r="D478" i="4"/>
  <c r="D464" i="4"/>
  <c r="D450" i="4"/>
  <c r="D436" i="4"/>
  <c r="D422" i="4"/>
  <c r="D408" i="4"/>
  <c r="D394" i="4"/>
  <c r="D380" i="4"/>
  <c r="D366" i="4"/>
  <c r="D352" i="4"/>
  <c r="D338" i="4"/>
  <c r="D324" i="4"/>
  <c r="D310" i="4"/>
  <c r="D296" i="4"/>
  <c r="D282" i="4"/>
  <c r="D268" i="4"/>
  <c r="D254" i="4"/>
  <c r="D240" i="4"/>
  <c r="D226" i="4"/>
  <c r="D212" i="4"/>
  <c r="D198" i="4"/>
  <c r="D184" i="4"/>
  <c r="D170" i="4"/>
  <c r="D156" i="4"/>
  <c r="D142" i="4"/>
  <c r="D128" i="4"/>
  <c r="D114" i="4"/>
  <c r="D100" i="4"/>
  <c r="D86" i="4"/>
  <c r="D1261" i="4"/>
  <c r="D1247" i="4"/>
  <c r="D1233" i="4"/>
  <c r="D1219" i="4"/>
  <c r="D1205" i="4"/>
  <c r="D1191" i="4"/>
  <c r="D1177" i="4"/>
  <c r="D1163" i="4"/>
  <c r="D1149" i="4"/>
  <c r="D1135" i="4"/>
  <c r="D1121" i="4"/>
  <c r="D1107" i="4"/>
  <c r="D1093" i="4"/>
  <c r="D1079" i="4"/>
  <c r="D1065" i="4"/>
  <c r="D1051" i="4"/>
  <c r="D1037" i="4"/>
  <c r="D1023" i="4"/>
  <c r="D1009" i="4"/>
  <c r="D995" i="4"/>
  <c r="D981" i="4"/>
  <c r="D967" i="4"/>
  <c r="D953" i="4"/>
  <c r="D939" i="4"/>
  <c r="D925" i="4"/>
  <c r="D911" i="4"/>
  <c r="D897" i="4"/>
  <c r="D883" i="4"/>
  <c r="D869" i="4"/>
  <c r="D855" i="4"/>
  <c r="D841" i="4"/>
  <c r="D827" i="4"/>
  <c r="D813" i="4"/>
  <c r="D799" i="4"/>
  <c r="D785" i="4"/>
  <c r="D771" i="4"/>
  <c r="D757" i="4"/>
  <c r="D743" i="4"/>
  <c r="D729" i="4"/>
  <c r="D1259" i="4"/>
  <c r="D1245" i="4"/>
  <c r="D1231" i="4"/>
  <c r="D1217" i="4"/>
  <c r="D1203" i="4"/>
  <c r="D1189" i="4"/>
  <c r="D1175" i="4"/>
  <c r="D1161" i="4"/>
  <c r="D1147" i="4"/>
  <c r="D1133" i="4"/>
  <c r="D1119" i="4"/>
  <c r="D1105" i="4"/>
  <c r="D1091" i="4"/>
  <c r="D1077" i="4"/>
  <c r="D1063" i="4"/>
  <c r="D1049" i="4"/>
  <c r="D1035" i="4"/>
  <c r="D1021" i="4"/>
  <c r="D1007" i="4"/>
  <c r="D993" i="4"/>
  <c r="D979" i="4"/>
  <c r="D965" i="4"/>
  <c r="D951" i="4"/>
  <c r="D937" i="4"/>
  <c r="D923" i="4"/>
  <c r="D909" i="4"/>
  <c r="D895" i="4"/>
  <c r="D881" i="4"/>
  <c r="D867" i="4"/>
  <c r="D853" i="4"/>
  <c r="D839" i="4"/>
  <c r="D825" i="4"/>
  <c r="D811" i="4"/>
  <c r="D797" i="4"/>
  <c r="D783" i="4"/>
  <c r="D769" i="4"/>
  <c r="D755" i="4"/>
  <c r="D741" i="4"/>
  <c r="D727" i="4"/>
  <c r="D713" i="4"/>
  <c r="D699" i="4"/>
  <c r="D685" i="4"/>
  <c r="D671" i="4"/>
  <c r="D657" i="4"/>
  <c r="D643" i="4"/>
  <c r="D629" i="4"/>
  <c r="D615" i="4"/>
  <c r="D601" i="4"/>
  <c r="D587" i="4"/>
  <c r="D573" i="4"/>
  <c r="D559" i="4"/>
  <c r="D545" i="4"/>
  <c r="D531" i="4"/>
  <c r="D517" i="4"/>
  <c r="D503" i="4"/>
  <c r="D489" i="4"/>
  <c r="D475" i="4"/>
  <c r="D461" i="4"/>
  <c r="D447" i="4"/>
  <c r="D433" i="4"/>
  <c r="D419" i="4"/>
  <c r="D405" i="4"/>
  <c r="D391" i="4"/>
  <c r="D377" i="4"/>
  <c r="D363" i="4"/>
  <c r="D349" i="4"/>
  <c r="D335" i="4"/>
  <c r="D321" i="4"/>
  <c r="D307" i="4"/>
  <c r="D293" i="4"/>
  <c r="D279" i="4"/>
  <c r="D265" i="4"/>
  <c r="D251" i="4"/>
  <c r="D237" i="4"/>
  <c r="D1241" i="4"/>
  <c r="D1218" i="4"/>
  <c r="D1198" i="4"/>
  <c r="D1174" i="4"/>
  <c r="D1155" i="4"/>
  <c r="D1131" i="4"/>
  <c r="D1112" i="4"/>
  <c r="D1088" i="4"/>
  <c r="D1069" i="4"/>
  <c r="D1045" i="4"/>
  <c r="D1022" i="4"/>
  <c r="D1002" i="4"/>
  <c r="D978" i="4"/>
  <c r="D959" i="4"/>
  <c r="D935" i="4"/>
  <c r="D916" i="4"/>
  <c r="D892" i="4"/>
  <c r="D873" i="4"/>
  <c r="D849" i="4"/>
  <c r="D826" i="4"/>
  <c r="D806" i="4"/>
  <c r="D782" i="4"/>
  <c r="D763" i="4"/>
  <c r="D739" i="4"/>
  <c r="D720" i="4"/>
  <c r="D700" i="4"/>
  <c r="D682" i="4"/>
  <c r="D665" i="4"/>
  <c r="D647" i="4"/>
  <c r="D628" i="4"/>
  <c r="D611" i="4"/>
  <c r="D594" i="4"/>
  <c r="D575" i="4"/>
  <c r="D557" i="4"/>
  <c r="D540" i="4"/>
  <c r="D523" i="4"/>
  <c r="D507" i="4"/>
  <c r="D490" i="4"/>
  <c r="D473" i="4"/>
  <c r="D457" i="4"/>
  <c r="D441" i="4"/>
  <c r="D425" i="4"/>
  <c r="D409" i="4"/>
  <c r="D392" i="4"/>
  <c r="D375" i="4"/>
  <c r="D359" i="4"/>
  <c r="D343" i="4"/>
  <c r="D327" i="4"/>
  <c r="D311" i="4"/>
  <c r="D294" i="4"/>
  <c r="D277" i="4"/>
  <c r="D261" i="4"/>
  <c r="D245" i="4"/>
  <c r="D229" i="4"/>
  <c r="D214" i="4"/>
  <c r="D199" i="4"/>
  <c r="D183" i="4"/>
  <c r="D168" i="4"/>
  <c r="D153" i="4"/>
  <c r="D138" i="4"/>
  <c r="D123" i="4"/>
  <c r="D108" i="4"/>
  <c r="D93" i="4"/>
  <c r="D78" i="4"/>
  <c r="D64" i="4"/>
  <c r="D50" i="4"/>
  <c r="D36" i="4"/>
  <c r="D22" i="4"/>
  <c r="D8" i="4"/>
  <c r="D593" i="4"/>
  <c r="D505" i="4"/>
  <c r="D472" i="4"/>
  <c r="D456" i="4"/>
  <c r="D440" i="4"/>
  <c r="D424" i="4"/>
  <c r="D407" i="4"/>
  <c r="D374" i="4"/>
  <c r="D358" i="4"/>
  <c r="D342" i="4"/>
  <c r="D326" i="4"/>
  <c r="D309" i="4"/>
  <c r="D292" i="4"/>
  <c r="D276" i="4"/>
  <c r="D260" i="4"/>
  <c r="D228" i="4"/>
  <c r="D1260" i="4"/>
  <c r="D1240" i="4"/>
  <c r="D1216" i="4"/>
  <c r="D1197" i="4"/>
  <c r="D1173" i="4"/>
  <c r="D1154" i="4"/>
  <c r="D1130" i="4"/>
  <c r="D1111" i="4"/>
  <c r="D1087" i="4"/>
  <c r="D1064" i="4"/>
  <c r="D1044" i="4"/>
  <c r="D1020" i="4"/>
  <c r="D1001" i="4"/>
  <c r="D977" i="4"/>
  <c r="D958" i="4"/>
  <c r="D934" i="4"/>
  <c r="D915" i="4"/>
  <c r="D891" i="4"/>
  <c r="D868" i="4"/>
  <c r="D848" i="4"/>
  <c r="D824" i="4"/>
  <c r="D805" i="4"/>
  <c r="D781" i="4"/>
  <c r="D762" i="4"/>
  <c r="D738" i="4"/>
  <c r="D719" i="4"/>
  <c r="D698" i="4"/>
  <c r="D681" i="4"/>
  <c r="D664" i="4"/>
  <c r="D645" i="4"/>
  <c r="D627" i="4"/>
  <c r="D610" i="4"/>
  <c r="D574" i="4"/>
  <c r="D556" i="4"/>
  <c r="D539" i="4"/>
  <c r="D522" i="4"/>
  <c r="D488" i="4"/>
  <c r="D390" i="4"/>
  <c r="D1258" i="4"/>
  <c r="D1257" i="4"/>
  <c r="D1238" i="4"/>
  <c r="D1214" i="4"/>
  <c r="D1195" i="4"/>
  <c r="D1171" i="4"/>
  <c r="D1148" i="4"/>
  <c r="D1128" i="4"/>
  <c r="D1104" i="4"/>
  <c r="D1085" i="4"/>
  <c r="D1061" i="4"/>
  <c r="D1042" i="4"/>
  <c r="D1018" i="4"/>
  <c r="D999" i="4"/>
  <c r="D975" i="4"/>
  <c r="D952" i="4"/>
  <c r="D932" i="4"/>
  <c r="D908" i="4"/>
  <c r="D889" i="4"/>
  <c r="D865" i="4"/>
  <c r="D846" i="4"/>
  <c r="D822" i="4"/>
  <c r="D803" i="4"/>
  <c r="D779" i="4"/>
  <c r="D756" i="4"/>
  <c r="D736" i="4"/>
  <c r="D714" i="4"/>
  <c r="D696" i="4"/>
  <c r="D679" i="4"/>
  <c r="D661" i="4"/>
  <c r="D642" i="4"/>
  <c r="D625" i="4"/>
  <c r="D608" i="4"/>
  <c r="D589" i="4"/>
  <c r="D571" i="4"/>
  <c r="D554" i="4"/>
  <c r="D537" i="4"/>
  <c r="D519" i="4"/>
  <c r="D1230" i="4"/>
  <c r="D1204" i="4"/>
  <c r="D1181" i="4"/>
  <c r="D1146" i="4"/>
  <c r="D1120" i="4"/>
  <c r="D1097" i="4"/>
  <c r="D1070" i="4"/>
  <c r="D1036" i="4"/>
  <c r="D1013" i="4"/>
  <c r="D986" i="4"/>
  <c r="D957" i="4"/>
  <c r="D929" i="4"/>
  <c r="D902" i="4"/>
  <c r="D875" i="4"/>
  <c r="D845" i="4"/>
  <c r="D818" i="4"/>
  <c r="D791" i="4"/>
  <c r="D764" i="4"/>
  <c r="D734" i="4"/>
  <c r="D708" i="4"/>
  <c r="D686" i="4"/>
  <c r="D663" i="4"/>
  <c r="D639" i="4"/>
  <c r="D617" i="4"/>
  <c r="D596" i="4"/>
  <c r="D570" i="4"/>
  <c r="D549" i="4"/>
  <c r="D527" i="4"/>
  <c r="D508" i="4"/>
  <c r="D486" i="4"/>
  <c r="D468" i="4"/>
  <c r="D449" i="4"/>
  <c r="D430" i="4"/>
  <c r="D412" i="4"/>
  <c r="D393" i="4"/>
  <c r="D372" i="4"/>
  <c r="D354" i="4"/>
  <c r="D334" i="4"/>
  <c r="D316" i="4"/>
  <c r="D298" i="4"/>
  <c r="D278" i="4"/>
  <c r="D258" i="4"/>
  <c r="D241" i="4"/>
  <c r="D222" i="4"/>
  <c r="D206" i="4"/>
  <c r="D190" i="4"/>
  <c r="D174" i="4"/>
  <c r="D158" i="4"/>
  <c r="D141" i="4"/>
  <c r="D125" i="4"/>
  <c r="D109" i="4"/>
  <c r="D92" i="4"/>
  <c r="D76" i="4"/>
  <c r="D61" i="4"/>
  <c r="D46" i="4"/>
  <c r="D31" i="4"/>
  <c r="D16" i="4"/>
  <c r="D950" i="4"/>
  <c r="D817" i="4"/>
  <c r="D790" i="4"/>
  <c r="D761" i="4"/>
  <c r="D707" i="4"/>
  <c r="D684" i="4"/>
  <c r="D659" i="4"/>
  <c r="D638" i="4"/>
  <c r="D616" i="4"/>
  <c r="D569" i="4"/>
  <c r="D547" i="4"/>
  <c r="D526" i="4"/>
  <c r="D504" i="4"/>
  <c r="D485" i="4"/>
  <c r="D467" i="4"/>
  <c r="D448" i="4"/>
  <c r="D429" i="4"/>
  <c r="D389" i="4"/>
  <c r="D371" i="4"/>
  <c r="D353" i="4"/>
  <c r="D333" i="4"/>
  <c r="D315" i="4"/>
  <c r="D297" i="4"/>
  <c r="D275" i="4"/>
  <c r="D257" i="4"/>
  <c r="D239" i="4"/>
  <c r="D221" i="4"/>
  <c r="D205" i="4"/>
  <c r="D189" i="4"/>
  <c r="D173" i="4"/>
  <c r="D140" i="4"/>
  <c r="D124" i="4"/>
  <c r="D107" i="4"/>
  <c r="D91" i="4"/>
  <c r="D75" i="4"/>
  <c r="D60" i="4"/>
  <c r="D45" i="4"/>
  <c r="D30" i="4"/>
  <c r="D15" i="4"/>
  <c r="D1228" i="4"/>
  <c r="D1144" i="4"/>
  <c r="D1117" i="4"/>
  <c r="D1090" i="4"/>
  <c r="D1060" i="4"/>
  <c r="D1033" i="4"/>
  <c r="D1006" i="4"/>
  <c r="D980" i="4"/>
  <c r="D949" i="4"/>
  <c r="D922" i="4"/>
  <c r="D896" i="4"/>
  <c r="D838" i="4"/>
  <c r="D812" i="4"/>
  <c r="D789" i="4"/>
  <c r="D754" i="4"/>
  <c r="D728" i="4"/>
  <c r="D706" i="4"/>
  <c r="D683" i="4"/>
  <c r="D658" i="4"/>
  <c r="D637" i="4"/>
  <c r="D614" i="4"/>
  <c r="D591" i="4"/>
  <c r="D568" i="4"/>
  <c r="D546" i="4"/>
  <c r="D525" i="4"/>
  <c r="D502" i="4"/>
  <c r="D484" i="4"/>
  <c r="D466" i="4"/>
  <c r="D446" i="4"/>
  <c r="D428" i="4"/>
  <c r="D388" i="4"/>
  <c r="D370" i="4"/>
  <c r="D351" i="4"/>
  <c r="D332" i="4"/>
  <c r="D314" i="4"/>
  <c r="D295" i="4"/>
  <c r="D274" i="4"/>
  <c r="D256" i="4"/>
  <c r="D238" i="4"/>
  <c r="D220" i="4"/>
  <c r="D204" i="4"/>
  <c r="D188" i="4"/>
  <c r="D172" i="4"/>
  <c r="D139" i="4"/>
  <c r="D122" i="4"/>
  <c r="D106" i="4"/>
  <c r="D90" i="4"/>
  <c r="D74" i="4"/>
  <c r="D59" i="4"/>
  <c r="D44" i="4"/>
  <c r="D29" i="4"/>
  <c r="D14" i="4"/>
  <c r="D1226" i="4"/>
  <c r="D1199" i="4"/>
  <c r="D1142" i="4"/>
  <c r="D1115" i="4"/>
  <c r="D1086" i="4"/>
  <c r="D1058" i="4"/>
  <c r="D1031" i="4"/>
  <c r="D1004" i="4"/>
  <c r="D974" i="4"/>
  <c r="D947" i="4"/>
  <c r="D920" i="4"/>
  <c r="D893" i="4"/>
  <c r="D863" i="4"/>
  <c r="D809" i="4"/>
  <c r="D780" i="4"/>
  <c r="D752" i="4"/>
  <c r="D725" i="4"/>
  <c r="D703" i="4"/>
  <c r="D678" i="4"/>
  <c r="D655" i="4"/>
  <c r="D612" i="4"/>
  <c r="D586" i="4"/>
  <c r="D1256" i="4"/>
  <c r="D1229" i="4"/>
  <c r="D1202" i="4"/>
  <c r="D1176" i="4"/>
  <c r="D1145" i="4"/>
  <c r="D1118" i="4"/>
  <c r="D1092" i="4"/>
  <c r="D1062" i="4"/>
  <c r="D1034" i="4"/>
  <c r="D1008" i="4"/>
  <c r="D985" i="4"/>
  <c r="D924" i="4"/>
  <c r="D901" i="4"/>
  <c r="D874" i="4"/>
  <c r="D840" i="4"/>
  <c r="D733" i="4"/>
  <c r="D595" i="4"/>
  <c r="D411" i="4"/>
  <c r="D157" i="4"/>
  <c r="D1201" i="4"/>
  <c r="D410" i="4"/>
  <c r="D1255" i="4"/>
  <c r="D1172" i="4"/>
  <c r="D866" i="4"/>
  <c r="D1254" i="4"/>
  <c r="D1227" i="4"/>
  <c r="D1200" i="4"/>
  <c r="D1170" i="4"/>
  <c r="D1143" i="4"/>
  <c r="D1116" i="4"/>
  <c r="D1089" i="4"/>
  <c r="D1059" i="4"/>
  <c r="D1032" i="4"/>
  <c r="D1005" i="4"/>
  <c r="D976" i="4"/>
  <c r="D948" i="4"/>
  <c r="D921" i="4"/>
  <c r="D894" i="4"/>
  <c r="D864" i="4"/>
  <c r="D837" i="4"/>
  <c r="D810" i="4"/>
  <c r="D784" i="4"/>
  <c r="D753" i="4"/>
  <c r="D726" i="4"/>
  <c r="D705" i="4"/>
  <c r="D680" i="4"/>
  <c r="D656" i="4"/>
  <c r="D636" i="4"/>
  <c r="D613" i="4"/>
  <c r="D588" i="4"/>
  <c r="D567" i="4"/>
  <c r="D544" i="4"/>
  <c r="D524" i="4"/>
  <c r="D501" i="4"/>
  <c r="D483" i="4"/>
  <c r="D465" i="4"/>
  <c r="D445" i="4"/>
  <c r="D427" i="4"/>
  <c r="D406" i="4"/>
  <c r="D387" i="4"/>
  <c r="D369" i="4"/>
  <c r="D350" i="4"/>
  <c r="D331" i="4"/>
  <c r="D313" i="4"/>
  <c r="D291" i="4"/>
  <c r="D273" i="4"/>
  <c r="D255" i="4"/>
  <c r="D236" i="4"/>
  <c r="D219" i="4"/>
  <c r="D203" i="4"/>
  <c r="D187" i="4"/>
  <c r="D171" i="4"/>
  <c r="D154" i="4"/>
  <c r="D137" i="4"/>
  <c r="D121" i="4"/>
  <c r="D105" i="4"/>
  <c r="D89" i="4"/>
  <c r="D73" i="4"/>
  <c r="D58" i="4"/>
  <c r="D43" i="4"/>
  <c r="D28" i="4"/>
  <c r="D13" i="4"/>
  <c r="D1253" i="4"/>
  <c r="D836" i="4"/>
  <c r="D1252" i="4"/>
  <c r="D1225" i="4"/>
  <c r="D1196" i="4"/>
  <c r="D1168" i="4"/>
  <c r="D1141" i="4"/>
  <c r="D1114" i="4"/>
  <c r="D1084" i="4"/>
  <c r="D1057" i="4"/>
  <c r="D1030" i="4"/>
  <c r="D1003" i="4"/>
  <c r="D973" i="4"/>
  <c r="D946" i="4"/>
  <c r="D919" i="4"/>
  <c r="D890" i="4"/>
  <c r="D862" i="4"/>
  <c r="D835" i="4"/>
  <c r="D808" i="4"/>
  <c r="D778" i="4"/>
  <c r="D751" i="4"/>
  <c r="D724" i="4"/>
  <c r="D701" i="4"/>
  <c r="D677" i="4"/>
  <c r="D654" i="4"/>
  <c r="D633" i="4"/>
  <c r="D609" i="4"/>
  <c r="D585" i="4"/>
  <c r="D1211" i="4"/>
  <c r="D1160" i="4"/>
  <c r="D1113" i="4"/>
  <c r="D1072" i="4"/>
  <c r="D1017" i="4"/>
  <c r="D966" i="4"/>
  <c r="D918" i="4"/>
  <c r="D877" i="4"/>
  <c r="D823" i="4"/>
  <c r="D775" i="4"/>
  <c r="D723" i="4"/>
  <c r="D689" i="4"/>
  <c r="D649" i="4"/>
  <c r="D605" i="4"/>
  <c r="D572" i="4"/>
  <c r="D538" i="4"/>
  <c r="D511" i="4"/>
  <c r="D481" i="4"/>
  <c r="D455" i="4"/>
  <c r="D431" i="4"/>
  <c r="D401" i="4"/>
  <c r="D378" i="4"/>
  <c r="D347" i="4"/>
  <c r="D322" i="4"/>
  <c r="D299" i="4"/>
  <c r="D269" i="4"/>
  <c r="D244" i="4"/>
  <c r="D217" i="4"/>
  <c r="D195" i="4"/>
  <c r="D175" i="4"/>
  <c r="D150" i="4"/>
  <c r="D130" i="4"/>
  <c r="D104" i="4"/>
  <c r="D83" i="4"/>
  <c r="D63" i="4"/>
  <c r="D40" i="4"/>
  <c r="D20" i="4"/>
  <c r="D1016" i="4"/>
  <c r="D876" i="4"/>
  <c r="D821" i="4"/>
  <c r="D722" i="4"/>
  <c r="D687" i="4"/>
  <c r="D644" i="4"/>
  <c r="D603" i="4"/>
  <c r="D566" i="4"/>
  <c r="D535" i="4"/>
  <c r="D510" i="4"/>
  <c r="D480" i="4"/>
  <c r="D454" i="4"/>
  <c r="D426" i="4"/>
  <c r="D376" i="4"/>
  <c r="D346" i="4"/>
  <c r="D320" i="4"/>
  <c r="D290" i="4"/>
  <c r="D267" i="4"/>
  <c r="D243" i="4"/>
  <c r="D216" i="4"/>
  <c r="D194" i="4"/>
  <c r="D169" i="4"/>
  <c r="D149" i="4"/>
  <c r="D129" i="4"/>
  <c r="D103" i="4"/>
  <c r="D82" i="4"/>
  <c r="D62" i="4"/>
  <c r="D39" i="4"/>
  <c r="D19" i="4"/>
  <c r="D721" i="4"/>
  <c r="D641" i="4"/>
  <c r="D602" i="4"/>
  <c r="D565" i="4"/>
  <c r="D533" i="4"/>
  <c r="D509" i="4"/>
  <c r="D479" i="4"/>
  <c r="D453" i="4"/>
  <c r="D399" i="4"/>
  <c r="D373" i="4"/>
  <c r="D345" i="4"/>
  <c r="D319" i="4"/>
  <c r="D289" i="4"/>
  <c r="D266" i="4"/>
  <c r="D242" i="4"/>
  <c r="D215" i="4"/>
  <c r="D193" i="4"/>
  <c r="D167" i="4"/>
  <c r="D148" i="4"/>
  <c r="D127" i="4"/>
  <c r="D81" i="4"/>
  <c r="D38" i="4"/>
  <c r="D213" i="4"/>
  <c r="D147" i="4"/>
  <c r="D126" i="4"/>
  <c r="D80" i="4"/>
  <c r="D17" i="4"/>
  <c r="D1243" i="4"/>
  <c r="D1101" i="4"/>
  <c r="D1050" i="4"/>
  <c r="D1000" i="4"/>
  <c r="D961" i="4"/>
  <c r="D906" i="4"/>
  <c r="D859" i="4"/>
  <c r="D807" i="4"/>
  <c r="D766" i="4"/>
  <c r="D712" i="4"/>
  <c r="D672" i="4"/>
  <c r="D635" i="4"/>
  <c r="D599" i="4"/>
  <c r="D561" i="4"/>
  <c r="D530" i="4"/>
  <c r="D499" i="4"/>
  <c r="D451" i="4"/>
  <c r="D420" i="4"/>
  <c r="D367" i="4"/>
  <c r="D341" i="4"/>
  <c r="D317" i="4"/>
  <c r="D287" i="4"/>
  <c r="D234" i="4"/>
  <c r="D211" i="4"/>
  <c r="D191" i="4"/>
  <c r="D146" i="4"/>
  <c r="D99" i="4"/>
  <c r="D79" i="4"/>
  <c r="D35" i="4"/>
  <c r="D444" i="4"/>
  <c r="D286" i="4"/>
  <c r="D210" i="4"/>
  <c r="D186" i="4"/>
  <c r="D119" i="4"/>
  <c r="D77" i="4"/>
  <c r="D11" i="4"/>
  <c r="D1239" i="4"/>
  <c r="D992" i="4"/>
  <c r="D945" i="4"/>
  <c r="D904" i="4"/>
  <c r="D852" i="4"/>
  <c r="D798" i="4"/>
  <c r="D710" i="4"/>
  <c r="D630" i="4"/>
  <c r="D497" i="4"/>
  <c r="D417" i="4"/>
  <c r="D364" i="4"/>
  <c r="D308" i="4"/>
  <c r="D232" i="4"/>
  <c r="D185" i="4"/>
  <c r="D118" i="4"/>
  <c r="D97" i="4"/>
  <c r="D53" i="4"/>
  <c r="D10" i="4"/>
  <c r="D1237" i="4"/>
  <c r="D1046" i="4"/>
  <c r="D944" i="4"/>
  <c r="D851" i="4"/>
  <c r="D749" i="4"/>
  <c r="D668" i="4"/>
  <c r="D584" i="4"/>
  <c r="D521" i="4"/>
  <c r="D470" i="4"/>
  <c r="D416" i="4"/>
  <c r="D362" i="4"/>
  <c r="D306" i="4"/>
  <c r="D253" i="4"/>
  <c r="D208" i="4"/>
  <c r="D162" i="4"/>
  <c r="D96" i="4"/>
  <c r="D71" i="4"/>
  <c r="D32" i="4"/>
  <c r="D1232" i="4"/>
  <c r="D1134" i="4"/>
  <c r="D1083" i="4"/>
  <c r="D943" i="4"/>
  <c r="D795" i="4"/>
  <c r="D667" i="4"/>
  <c r="D583" i="4"/>
  <c r="D518" i="4"/>
  <c r="D469" i="4"/>
  <c r="D415" i="4"/>
  <c r="D361" i="4"/>
  <c r="D305" i="4"/>
  <c r="D252" i="4"/>
  <c r="D181" i="4"/>
  <c r="D95" i="4"/>
  <c r="D1183" i="4"/>
  <c r="D989" i="4"/>
  <c r="D938" i="4"/>
  <c r="D847" i="4"/>
  <c r="D794" i="4"/>
  <c r="D695" i="4"/>
  <c r="D623" i="4"/>
  <c r="D552" i="4"/>
  <c r="D494" i="4"/>
  <c r="D438" i="4"/>
  <c r="D384" i="4"/>
  <c r="D330" i="4"/>
  <c r="D304" i="4"/>
  <c r="D227" i="4"/>
  <c r="D180" i="4"/>
  <c r="D135" i="4"/>
  <c r="D69" i="4"/>
  <c r="D26" i="4"/>
  <c r="D1182" i="4"/>
  <c r="D1029" i="4"/>
  <c r="D936" i="4"/>
  <c r="D834" i="4"/>
  <c r="D742" i="4"/>
  <c r="D653" i="4"/>
  <c r="D622" i="4"/>
  <c r="D1251" i="4"/>
  <c r="D1210" i="4"/>
  <c r="D1159" i="4"/>
  <c r="D1106" i="4"/>
  <c r="D1071" i="4"/>
  <c r="D964" i="4"/>
  <c r="D917" i="4"/>
  <c r="D770" i="4"/>
  <c r="D400" i="4"/>
  <c r="D102" i="4"/>
  <c r="D57" i="4"/>
  <c r="D18" i="4"/>
  <c r="D192" i="4"/>
  <c r="D101" i="4"/>
  <c r="D37" i="4"/>
  <c r="D1188" i="4"/>
  <c r="D476" i="4"/>
  <c r="D263" i="4"/>
  <c r="D120" i="4"/>
  <c r="D12" i="4"/>
  <c r="D340" i="4"/>
  <c r="D164" i="4"/>
  <c r="D34" i="4"/>
  <c r="D1140" i="4"/>
  <c r="D558" i="4"/>
  <c r="D285" i="4"/>
  <c r="D33" i="4"/>
  <c r="D1139" i="4"/>
  <c r="D182" i="4"/>
  <c r="D850" i="4"/>
  <c r="D136" i="4"/>
  <c r="D1041" i="4"/>
  <c r="D250" i="4"/>
  <c r="D1246" i="4"/>
  <c r="D1209" i="4"/>
  <c r="D1158" i="4"/>
  <c r="D1103" i="4"/>
  <c r="D1056" i="4"/>
  <c r="D1015" i="4"/>
  <c r="D963" i="4"/>
  <c r="D910" i="4"/>
  <c r="D861" i="4"/>
  <c r="D820" i="4"/>
  <c r="D768" i="4"/>
  <c r="D675" i="4"/>
  <c r="D423" i="4"/>
  <c r="D55" i="4"/>
  <c r="D312" i="4"/>
  <c r="D54" i="4"/>
  <c r="D1047" i="4"/>
  <c r="D161" i="4"/>
  <c r="D27" i="4"/>
  <c r="D1078" i="4"/>
  <c r="D1244" i="4"/>
  <c r="D1190" i="4"/>
  <c r="D1157" i="4"/>
  <c r="D1102" i="4"/>
  <c r="D1055" i="4"/>
  <c r="D1014" i="4"/>
  <c r="D962" i="4"/>
  <c r="D907" i="4"/>
  <c r="D860" i="4"/>
  <c r="D819" i="4"/>
  <c r="D767" i="4"/>
  <c r="D715" i="4"/>
  <c r="D673" i="4"/>
  <c r="D640" i="4"/>
  <c r="D600" i="4"/>
  <c r="D563" i="4"/>
  <c r="D532" i="4"/>
  <c r="D500" i="4"/>
  <c r="D477" i="4"/>
  <c r="D452" i="4"/>
  <c r="D421" i="4"/>
  <c r="D398" i="4"/>
  <c r="D368" i="4"/>
  <c r="D344" i="4"/>
  <c r="D318" i="4"/>
  <c r="D288" i="4"/>
  <c r="D264" i="4"/>
  <c r="D235" i="4"/>
  <c r="D166" i="4"/>
  <c r="D56" i="4"/>
  <c r="D1156" i="4"/>
  <c r="D397" i="4"/>
  <c r="D165" i="4"/>
  <c r="D233" i="4"/>
  <c r="D98" i="4"/>
  <c r="D1186" i="4"/>
  <c r="D471" i="4"/>
  <c r="D163" i="4"/>
  <c r="D1098" i="4"/>
  <c r="D143" i="4"/>
  <c r="D697" i="4"/>
  <c r="D230" i="4"/>
  <c r="D51" i="4"/>
  <c r="D1132" i="4"/>
  <c r="D414" i="4"/>
  <c r="D115" i="4"/>
  <c r="D1242" i="4"/>
  <c r="D1187" i="4"/>
  <c r="D1153" i="4"/>
  <c r="D1100" i="4"/>
  <c r="D1048" i="4"/>
  <c r="D994" i="4"/>
  <c r="D960" i="4"/>
  <c r="D905" i="4"/>
  <c r="D854" i="4"/>
  <c r="D804" i="4"/>
  <c r="D765" i="4"/>
  <c r="D711" i="4"/>
  <c r="D670" i="4"/>
  <c r="D631" i="4"/>
  <c r="D598" i="4"/>
  <c r="D560" i="4"/>
  <c r="D529" i="4"/>
  <c r="D498" i="4"/>
  <c r="D474" i="4"/>
  <c r="D418" i="4"/>
  <c r="D396" i="4"/>
  <c r="D365" i="4"/>
  <c r="D262" i="4"/>
  <c r="D145" i="4"/>
  <c r="D1099" i="4"/>
  <c r="D750" i="4"/>
  <c r="D669" i="4"/>
  <c r="D597" i="4"/>
  <c r="D528" i="4"/>
  <c r="D443" i="4"/>
  <c r="D395" i="4"/>
  <c r="D339" i="4"/>
  <c r="D259" i="4"/>
  <c r="D209" i="4"/>
  <c r="D144" i="4"/>
  <c r="D72" i="4"/>
  <c r="D1185" i="4"/>
  <c r="D991" i="4"/>
  <c r="D903" i="4"/>
  <c r="D796" i="4"/>
  <c r="D709" i="4"/>
  <c r="D626" i="4"/>
  <c r="D555" i="4"/>
  <c r="D496" i="4"/>
  <c r="D442" i="4"/>
  <c r="D386" i="4"/>
  <c r="D337" i="4"/>
  <c r="D284" i="4"/>
  <c r="D231" i="4"/>
  <c r="D117" i="4"/>
  <c r="D52" i="4"/>
  <c r="D9" i="4"/>
  <c r="D1184" i="4"/>
  <c r="D1043" i="4"/>
  <c r="D990" i="4"/>
  <c r="D888" i="4"/>
  <c r="D748" i="4"/>
  <c r="D624" i="4"/>
  <c r="D553" i="4"/>
  <c r="D495" i="4"/>
  <c r="D439" i="4"/>
  <c r="D385" i="4"/>
  <c r="D336" i="4"/>
  <c r="D283" i="4"/>
  <c r="D207" i="4"/>
  <c r="D116" i="4"/>
  <c r="D70" i="4"/>
  <c r="D7" i="4"/>
  <c r="D1224" i="4"/>
  <c r="D887" i="4"/>
  <c r="D747" i="4"/>
  <c r="D666" i="4"/>
  <c r="D582" i="4"/>
  <c r="D516" i="4"/>
  <c r="D463" i="4"/>
  <c r="D360" i="4"/>
  <c r="D281" i="4"/>
  <c r="D202" i="4"/>
  <c r="D160" i="4"/>
  <c r="D94" i="4"/>
  <c r="D49" i="4"/>
  <c r="D1223" i="4"/>
  <c r="D988" i="4"/>
  <c r="D882" i="4"/>
  <c r="D793" i="4"/>
  <c r="D1073" i="4"/>
  <c r="D832" i="4"/>
  <c r="D650" i="4"/>
  <c r="D513" i="4"/>
  <c r="D413" i="4"/>
  <c r="D325" i="4"/>
  <c r="D225" i="4"/>
  <c r="D152" i="4"/>
  <c r="D68" i="4"/>
  <c r="D1215" i="4"/>
  <c r="D1028" i="4"/>
  <c r="D831" i="4"/>
  <c r="D512" i="4"/>
  <c r="D404" i="4"/>
  <c r="D323" i="4"/>
  <c r="D224" i="4"/>
  <c r="D151" i="4"/>
  <c r="D67" i="4"/>
  <c r="D1027" i="4"/>
  <c r="D792" i="4"/>
  <c r="D493" i="4"/>
  <c r="D403" i="4"/>
  <c r="D303" i="4"/>
  <c r="D223" i="4"/>
  <c r="D134" i="4"/>
  <c r="D66" i="4"/>
  <c r="D1212" i="4"/>
  <c r="D1019" i="4"/>
  <c r="D777" i="4"/>
  <c r="D607" i="4"/>
  <c r="D491" i="4"/>
  <c r="D402" i="4"/>
  <c r="D302" i="4"/>
  <c r="D218" i="4"/>
  <c r="D133" i="4"/>
  <c r="D65" i="4"/>
  <c r="D1169" i="4"/>
  <c r="D987" i="4"/>
  <c r="D776" i="4"/>
  <c r="D581" i="4"/>
  <c r="D487" i="4"/>
  <c r="D383" i="4"/>
  <c r="D301" i="4"/>
  <c r="D201" i="4"/>
  <c r="D132" i="4"/>
  <c r="D48" i="4"/>
  <c r="D1167" i="4"/>
  <c r="D972" i="4"/>
  <c r="D740" i="4"/>
  <c r="D580" i="4"/>
  <c r="D482" i="4"/>
  <c r="D382" i="4"/>
  <c r="D300" i="4"/>
  <c r="D200" i="4"/>
  <c r="D131" i="4"/>
  <c r="D47" i="4"/>
  <c r="D1162" i="4"/>
  <c r="D971" i="4"/>
  <c r="D737" i="4"/>
  <c r="D579" i="4"/>
  <c r="D462" i="4"/>
  <c r="D381" i="4"/>
  <c r="D280" i="4"/>
  <c r="D113" i="4"/>
  <c r="D42" i="4"/>
  <c r="D577" i="4"/>
  <c r="D272" i="4"/>
  <c r="D112" i="4"/>
  <c r="D694" i="4"/>
  <c r="D459" i="4"/>
  <c r="D111" i="4"/>
  <c r="D543" i="4"/>
  <c r="D110" i="4"/>
  <c r="D1125" i="4"/>
  <c r="D437" i="4"/>
  <c r="D88" i="4"/>
  <c r="D1076" i="4"/>
  <c r="D435" i="4"/>
  <c r="D176" i="4"/>
  <c r="D878" i="4"/>
  <c r="D515" i="4"/>
  <c r="D329" i="4"/>
  <c r="D85" i="4"/>
  <c r="D514" i="4"/>
  <c r="D246" i="4"/>
  <c r="D621" i="4"/>
  <c r="D933" i="4"/>
  <c r="D379" i="4"/>
  <c r="D41" i="4"/>
  <c r="D931" i="4"/>
  <c r="D357" i="4"/>
  <c r="D25" i="4"/>
  <c r="D693" i="4"/>
  <c r="D270" i="4"/>
  <c r="D880" i="4"/>
  <c r="D355" i="4"/>
  <c r="D23" i="4"/>
  <c r="D691" i="4"/>
  <c r="D87" i="4"/>
  <c r="D247" i="4"/>
  <c r="D833" i="4"/>
  <c r="D328" i="4"/>
  <c r="D1213" i="4"/>
  <c r="D619" i="4"/>
  <c r="D197" i="4"/>
  <c r="D1129" i="4"/>
  <c r="D460" i="4"/>
  <c r="D196" i="4"/>
  <c r="D1127" i="4"/>
  <c r="D271" i="4"/>
  <c r="D930" i="4"/>
  <c r="D458" i="4"/>
  <c r="D178" i="4"/>
  <c r="D692" i="4"/>
  <c r="D177" i="4"/>
  <c r="D879" i="4"/>
  <c r="D348" i="4"/>
  <c r="D21" i="4"/>
  <c r="D652" i="4"/>
  <c r="D159" i="4"/>
  <c r="D651" i="4"/>
  <c r="D84" i="4"/>
  <c r="D735" i="4"/>
  <c r="D551" i="4"/>
  <c r="D179" i="4"/>
  <c r="D1126" i="4"/>
  <c r="D356" i="4"/>
  <c r="D24" i="4"/>
  <c r="D542" i="4"/>
  <c r="D249" i="4"/>
  <c r="D541" i="4"/>
  <c r="D248" i="4"/>
  <c r="D1075" i="4"/>
  <c r="D434" i="4"/>
  <c r="D1074" i="4"/>
  <c r="D432" i="4"/>
  <c r="D155" i="4"/>
  <c r="C7" i="4" a="1"/>
  <c r="C1260" i="4" l="1"/>
  <c r="C1246" i="4"/>
  <c r="C1232" i="4"/>
  <c r="C1218" i="4"/>
  <c r="C1204" i="4"/>
  <c r="C1190" i="4"/>
  <c r="C1176" i="4"/>
  <c r="C1162" i="4"/>
  <c r="C1148" i="4"/>
  <c r="C1134" i="4"/>
  <c r="C1120" i="4"/>
  <c r="C1106" i="4"/>
  <c r="C1092" i="4"/>
  <c r="C1078" i="4"/>
  <c r="C1064" i="4"/>
  <c r="C1050" i="4"/>
  <c r="C1036" i="4"/>
  <c r="C1022" i="4"/>
  <c r="C1008" i="4"/>
  <c r="C994" i="4"/>
  <c r="C980" i="4"/>
  <c r="C966" i="4"/>
  <c r="C952" i="4"/>
  <c r="C938" i="4"/>
  <c r="C924" i="4"/>
  <c r="C910" i="4"/>
  <c r="C896" i="4"/>
  <c r="C882" i="4"/>
  <c r="C868" i="4"/>
  <c r="C854" i="4"/>
  <c r="C840" i="4"/>
  <c r="C826" i="4"/>
  <c r="C812" i="4"/>
  <c r="C798" i="4"/>
  <c r="C784" i="4"/>
  <c r="C770" i="4"/>
  <c r="C756" i="4"/>
  <c r="C742" i="4"/>
  <c r="C728" i="4"/>
  <c r="C714" i="4"/>
  <c r="C700" i="4"/>
  <c r="C686" i="4"/>
  <c r="C672" i="4"/>
  <c r="C658" i="4"/>
  <c r="C644" i="4"/>
  <c r="C630" i="4"/>
  <c r="C616" i="4"/>
  <c r="C602" i="4"/>
  <c r="C588" i="4"/>
  <c r="C574" i="4"/>
  <c r="C560" i="4"/>
  <c r="C546" i="4"/>
  <c r="C532" i="4"/>
  <c r="C518" i="4"/>
  <c r="C504" i="4"/>
  <c r="C490" i="4"/>
  <c r="C476" i="4"/>
  <c r="C462" i="4"/>
  <c r="C448" i="4"/>
  <c r="C434" i="4"/>
  <c r="C420" i="4"/>
  <c r="C406" i="4"/>
  <c r="C392" i="4"/>
  <c r="C378" i="4"/>
  <c r="C364" i="4"/>
  <c r="C350" i="4"/>
  <c r="C336" i="4"/>
  <c r="C322" i="4"/>
  <c r="C308" i="4"/>
  <c r="C294" i="4"/>
  <c r="C280" i="4"/>
  <c r="C266" i="4"/>
  <c r="C252" i="4"/>
  <c r="C238" i="4"/>
  <c r="C224" i="4"/>
  <c r="C210" i="4"/>
  <c r="C196" i="4"/>
  <c r="C182" i="4"/>
  <c r="C168" i="4"/>
  <c r="C154" i="4"/>
  <c r="C140" i="4"/>
  <c r="C126" i="4"/>
  <c r="C112" i="4"/>
  <c r="C98" i="4"/>
  <c r="C84" i="4"/>
  <c r="C70" i="4"/>
  <c r="C56" i="4"/>
  <c r="C42" i="4"/>
  <c r="C28" i="4"/>
  <c r="C14" i="4"/>
  <c r="C1257" i="4"/>
  <c r="C1243" i="4"/>
  <c r="C1229" i="4"/>
  <c r="C1215" i="4"/>
  <c r="C1201" i="4"/>
  <c r="C1187" i="4"/>
  <c r="C1173" i="4"/>
  <c r="C1159" i="4"/>
  <c r="C1145" i="4"/>
  <c r="C1131" i="4"/>
  <c r="C1117" i="4"/>
  <c r="C1103" i="4"/>
  <c r="C1089" i="4"/>
  <c r="C1075" i="4"/>
  <c r="C1061" i="4"/>
  <c r="C1047" i="4"/>
  <c r="C1033" i="4"/>
  <c r="C1019" i="4"/>
  <c r="C1005" i="4"/>
  <c r="C991" i="4"/>
  <c r="C977" i="4"/>
  <c r="C963" i="4"/>
  <c r="C949" i="4"/>
  <c r="C935" i="4"/>
  <c r="C921" i="4"/>
  <c r="C907" i="4"/>
  <c r="C893" i="4"/>
  <c r="C879" i="4"/>
  <c r="C865" i="4"/>
  <c r="C851" i="4"/>
  <c r="C837" i="4"/>
  <c r="C823" i="4"/>
  <c r="C809" i="4"/>
  <c r="C795" i="4"/>
  <c r="C781" i="4"/>
  <c r="C767" i="4"/>
  <c r="C753" i="4"/>
  <c r="C739" i="4"/>
  <c r="C725" i="4"/>
  <c r="C711" i="4"/>
  <c r="C697" i="4"/>
  <c r="C683" i="4"/>
  <c r="C669" i="4"/>
  <c r="C655" i="4"/>
  <c r="C641" i="4"/>
  <c r="C627" i="4"/>
  <c r="C613" i="4"/>
  <c r="C599" i="4"/>
  <c r="C585" i="4"/>
  <c r="C571" i="4"/>
  <c r="C557" i="4"/>
  <c r="C543" i="4"/>
  <c r="C529" i="4"/>
  <c r="C515" i="4"/>
  <c r="C501" i="4"/>
  <c r="C487" i="4"/>
  <c r="C473" i="4"/>
  <c r="C459" i="4"/>
  <c r="C445" i="4"/>
  <c r="C431" i="4"/>
  <c r="C417" i="4"/>
  <c r="C403" i="4"/>
  <c r="C389" i="4"/>
  <c r="C375" i="4"/>
  <c r="C361" i="4"/>
  <c r="C347" i="4"/>
  <c r="C333" i="4"/>
  <c r="C319" i="4"/>
  <c r="C305" i="4"/>
  <c r="C291" i="4"/>
  <c r="C277" i="4"/>
  <c r="C263" i="4"/>
  <c r="C249" i="4"/>
  <c r="C235" i="4"/>
  <c r="C221" i="4"/>
  <c r="C207" i="4"/>
  <c r="C193" i="4"/>
  <c r="C179" i="4"/>
  <c r="C165" i="4"/>
  <c r="C151" i="4"/>
  <c r="C137" i="4"/>
  <c r="C123" i="4"/>
  <c r="C109" i="4"/>
  <c r="C95" i="4"/>
  <c r="C81" i="4"/>
  <c r="C1259" i="4"/>
  <c r="C1242" i="4"/>
  <c r="C1226" i="4"/>
  <c r="C1210" i="4"/>
  <c r="C1194" i="4"/>
  <c r="C1178" i="4"/>
  <c r="C1161" i="4"/>
  <c r="C1144" i="4"/>
  <c r="C1128" i="4"/>
  <c r="C1112" i="4"/>
  <c r="C1096" i="4"/>
  <c r="C1080" i="4"/>
  <c r="C1063" i="4"/>
  <c r="C1046" i="4"/>
  <c r="C1030" i="4"/>
  <c r="C1014" i="4"/>
  <c r="C998" i="4"/>
  <c r="C982" i="4"/>
  <c r="C965" i="4"/>
  <c r="C948" i="4"/>
  <c r="C932" i="4"/>
  <c r="C916" i="4"/>
  <c r="C900" i="4"/>
  <c r="C884" i="4"/>
  <c r="C867" i="4"/>
  <c r="C850" i="4"/>
  <c r="C834" i="4"/>
  <c r="C818" i="4"/>
  <c r="C802" i="4"/>
  <c r="C786" i="4"/>
  <c r="C769" i="4"/>
  <c r="C752" i="4"/>
  <c r="C736" i="4"/>
  <c r="C720" i="4"/>
  <c r="C704" i="4"/>
  <c r="C688" i="4"/>
  <c r="C671" i="4"/>
  <c r="C654" i="4"/>
  <c r="C638" i="4"/>
  <c r="C622" i="4"/>
  <c r="C606" i="4"/>
  <c r="C590" i="4"/>
  <c r="C573" i="4"/>
  <c r="C556" i="4"/>
  <c r="C540" i="4"/>
  <c r="C524" i="4"/>
  <c r="C508" i="4"/>
  <c r="C492" i="4"/>
  <c r="C475" i="4"/>
  <c r="C458" i="4"/>
  <c r="C442" i="4"/>
  <c r="C426" i="4"/>
  <c r="C410" i="4"/>
  <c r="C394" i="4"/>
  <c r="C377" i="4"/>
  <c r="C360" i="4"/>
  <c r="C344" i="4"/>
  <c r="C328" i="4"/>
  <c r="C312" i="4"/>
  <c r="C296" i="4"/>
  <c r="C279" i="4"/>
  <c r="C262" i="4"/>
  <c r="C246" i="4"/>
  <c r="C230" i="4"/>
  <c r="C214" i="4"/>
  <c r="C198" i="4"/>
  <c r="C181" i="4"/>
  <c r="C164" i="4"/>
  <c r="C148" i="4"/>
  <c r="C132" i="4"/>
  <c r="C116" i="4"/>
  <c r="C100" i="4"/>
  <c r="C83" i="4"/>
  <c r="C67" i="4"/>
  <c r="C52" i="4"/>
  <c r="C37" i="4"/>
  <c r="C22" i="4"/>
  <c r="C7" i="4"/>
  <c r="C1241" i="4"/>
  <c r="C1225" i="4"/>
  <c r="C1209" i="4"/>
  <c r="C1193" i="4"/>
  <c r="C1177" i="4"/>
  <c r="C1160" i="4"/>
  <c r="C1143" i="4"/>
  <c r="C1127" i="4"/>
  <c r="C1111" i="4"/>
  <c r="C1095" i="4"/>
  <c r="C1079" i="4"/>
  <c r="C1062" i="4"/>
  <c r="C1045" i="4"/>
  <c r="C1029" i="4"/>
  <c r="C1013" i="4"/>
  <c r="C997" i="4"/>
  <c r="C981" i="4"/>
  <c r="C964" i="4"/>
  <c r="C947" i="4"/>
  <c r="C931" i="4"/>
  <c r="C915" i="4"/>
  <c r="C899" i="4"/>
  <c r="C883" i="4"/>
  <c r="C866" i="4"/>
  <c r="C849" i="4"/>
  <c r="C833" i="4"/>
  <c r="C817" i="4"/>
  <c r="C785" i="4"/>
  <c r="C768" i="4"/>
  <c r="C751" i="4"/>
  <c r="C735" i="4"/>
  <c r="C719" i="4"/>
  <c r="C703" i="4"/>
  <c r="C687" i="4"/>
  <c r="C670" i="4"/>
  <c r="C653" i="4"/>
  <c r="C637" i="4"/>
  <c r="C621" i="4"/>
  <c r="C605" i="4"/>
  <c r="C589" i="4"/>
  <c r="C572" i="4"/>
  <c r="C555" i="4"/>
  <c r="C539" i="4"/>
  <c r="C523" i="4"/>
  <c r="C507" i="4"/>
  <c r="C491" i="4"/>
  <c r="C474" i="4"/>
  <c r="C457" i="4"/>
  <c r="C441" i="4"/>
  <c r="C425" i="4"/>
  <c r="C409" i="4"/>
  <c r="C393" i="4"/>
  <c r="C376" i="4"/>
  <c r="C359" i="4"/>
  <c r="C343" i="4"/>
  <c r="C327" i="4"/>
  <c r="C311" i="4"/>
  <c r="C295" i="4"/>
  <c r="C278" i="4"/>
  <c r="C261" i="4"/>
  <c r="C245" i="4"/>
  <c r="C229" i="4"/>
  <c r="C213" i="4"/>
  <c r="C197" i="4"/>
  <c r="C163" i="4"/>
  <c r="C147" i="4"/>
  <c r="C131" i="4"/>
  <c r="C115" i="4"/>
  <c r="C99" i="4"/>
  <c r="C82" i="4"/>
  <c r="C66" i="4"/>
  <c r="C51" i="4"/>
  <c r="C36" i="4"/>
  <c r="C21" i="4"/>
  <c r="C1256" i="4"/>
  <c r="C1240" i="4"/>
  <c r="C1224" i="4"/>
  <c r="C1208" i="4"/>
  <c r="C1192" i="4"/>
  <c r="C1175" i="4"/>
  <c r="C1158" i="4"/>
  <c r="C1142" i="4"/>
  <c r="C1110" i="4"/>
  <c r="C1094" i="4"/>
  <c r="C1077" i="4"/>
  <c r="C1060" i="4"/>
  <c r="C1028" i="4"/>
  <c r="C1012" i="4"/>
  <c r="C979" i="4"/>
  <c r="C946" i="4"/>
  <c r="C914" i="4"/>
  <c r="C881" i="4"/>
  <c r="C848" i="4"/>
  <c r="C816" i="4"/>
  <c r="C1258" i="4"/>
  <c r="C801" i="4"/>
  <c r="C180" i="4"/>
  <c r="C1126" i="4"/>
  <c r="C1044" i="4"/>
  <c r="C996" i="4"/>
  <c r="C962" i="4"/>
  <c r="C930" i="4"/>
  <c r="C898" i="4"/>
  <c r="C864" i="4"/>
  <c r="C832" i="4"/>
  <c r="C1255" i="4"/>
  <c r="C1239" i="4"/>
  <c r="C1223" i="4"/>
  <c r="C1207" i="4"/>
  <c r="C1191" i="4"/>
  <c r="C1174" i="4"/>
  <c r="C1157" i="4"/>
  <c r="C1141" i="4"/>
  <c r="C1125" i="4"/>
  <c r="C1109" i="4"/>
  <c r="C1093" i="4"/>
  <c r="C1076" i="4"/>
  <c r="C1059" i="4"/>
  <c r="C1043" i="4"/>
  <c r="C1027" i="4"/>
  <c r="C1011" i="4"/>
  <c r="C995" i="4"/>
  <c r="C978" i="4"/>
  <c r="C961" i="4"/>
  <c r="C945" i="4"/>
  <c r="C929" i="4"/>
  <c r="C913" i="4"/>
  <c r="C897" i="4"/>
  <c r="C880" i="4"/>
  <c r="C863" i="4"/>
  <c r="C847" i="4"/>
  <c r="C831" i="4"/>
  <c r="C815" i="4"/>
  <c r="C799" i="4"/>
  <c r="C782" i="4"/>
  <c r="C765" i="4"/>
  <c r="C749" i="4"/>
  <c r="C733" i="4"/>
  <c r="C717" i="4"/>
  <c r="C701" i="4"/>
  <c r="C684" i="4"/>
  <c r="C667" i="4"/>
  <c r="C651" i="4"/>
  <c r="C635" i="4"/>
  <c r="C619" i="4"/>
  <c r="C603" i="4"/>
  <c r="C586" i="4"/>
  <c r="C569" i="4"/>
  <c r="C553" i="4"/>
  <c r="C537" i="4"/>
  <c r="C521" i="4"/>
  <c r="C505" i="4"/>
  <c r="C488" i="4"/>
  <c r="C471" i="4"/>
  <c r="C455" i="4"/>
  <c r="C439" i="4"/>
  <c r="C423" i="4"/>
  <c r="C407" i="4"/>
  <c r="C390" i="4"/>
  <c r="C373" i="4"/>
  <c r="C357" i="4"/>
  <c r="C341" i="4"/>
  <c r="C325" i="4"/>
  <c r="C309" i="4"/>
  <c r="C292" i="4"/>
  <c r="C275" i="4"/>
  <c r="C259" i="4"/>
  <c r="C243" i="4"/>
  <c r="C227" i="4"/>
  <c r="C211" i="4"/>
  <c r="C194" i="4"/>
  <c r="C177" i="4"/>
  <c r="C161" i="4"/>
  <c r="C145" i="4"/>
  <c r="C129" i="4"/>
  <c r="C113" i="4"/>
  <c r="C96" i="4"/>
  <c r="C79" i="4"/>
  <c r="C64" i="4"/>
  <c r="C49" i="4"/>
  <c r="C34" i="4"/>
  <c r="C19" i="4"/>
  <c r="C1254" i="4"/>
  <c r="C1238" i="4"/>
  <c r="C1222" i="4"/>
  <c r="C1206" i="4"/>
  <c r="C1189" i="4"/>
  <c r="C1172" i="4"/>
  <c r="C1156" i="4"/>
  <c r="C1140" i="4"/>
  <c r="C1124" i="4"/>
  <c r="C1108" i="4"/>
  <c r="C1091" i="4"/>
  <c r="C1074" i="4"/>
  <c r="C1058" i="4"/>
  <c r="C1042" i="4"/>
  <c r="C1026" i="4"/>
  <c r="C1010" i="4"/>
  <c r="C993" i="4"/>
  <c r="C976" i="4"/>
  <c r="C960" i="4"/>
  <c r="C944" i="4"/>
  <c r="C928" i="4"/>
  <c r="C912" i="4"/>
  <c r="C895" i="4"/>
  <c r="C878" i="4"/>
  <c r="C862" i="4"/>
  <c r="C846" i="4"/>
  <c r="C830" i="4"/>
  <c r="C814" i="4"/>
  <c r="C797" i="4"/>
  <c r="C780" i="4"/>
  <c r="C764" i="4"/>
  <c r="C748" i="4"/>
  <c r="C732" i="4"/>
  <c r="C716" i="4"/>
  <c r="C699" i="4"/>
  <c r="C682" i="4"/>
  <c r="C666" i="4"/>
  <c r="C650" i="4"/>
  <c r="C634" i="4"/>
  <c r="C618" i="4"/>
  <c r="C601" i="4"/>
  <c r="C584" i="4"/>
  <c r="C568" i="4"/>
  <c r="C552" i="4"/>
  <c r="C536" i="4"/>
  <c r="C520" i="4"/>
  <c r="C503" i="4"/>
  <c r="C486" i="4"/>
  <c r="C470" i="4"/>
  <c r="C454" i="4"/>
  <c r="C438" i="4"/>
  <c r="C422" i="4"/>
  <c r="C405" i="4"/>
  <c r="C388" i="4"/>
  <c r="C372" i="4"/>
  <c r="C356" i="4"/>
  <c r="C340" i="4"/>
  <c r="C324" i="4"/>
  <c r="C307" i="4"/>
  <c r="C290" i="4"/>
  <c r="C274" i="4"/>
  <c r="C258" i="4"/>
  <c r="C242" i="4"/>
  <c r="C226" i="4"/>
  <c r="C209" i="4"/>
  <c r="C192" i="4"/>
  <c r="C176" i="4"/>
  <c r="C160" i="4"/>
  <c r="C144" i="4"/>
  <c r="C128" i="4"/>
  <c r="C111" i="4"/>
  <c r="C94" i="4"/>
  <c r="C78" i="4"/>
  <c r="C63" i="4"/>
  <c r="C48" i="4"/>
  <c r="C33" i="4"/>
  <c r="C18" i="4"/>
  <c r="C1253" i="4"/>
  <c r="C1237" i="4"/>
  <c r="C1221" i="4"/>
  <c r="C1205" i="4"/>
  <c r="C1188" i="4"/>
  <c r="C1171" i="4"/>
  <c r="C1155" i="4"/>
  <c r="C1139" i="4"/>
  <c r="C1123" i="4"/>
  <c r="C1107" i="4"/>
  <c r="C1090" i="4"/>
  <c r="C1073" i="4"/>
  <c r="C1057" i="4"/>
  <c r="C1041" i="4"/>
  <c r="C1025" i="4"/>
  <c r="C1009" i="4"/>
  <c r="C1251" i="4"/>
  <c r="C1235" i="4"/>
  <c r="C1219" i="4"/>
  <c r="C1202" i="4"/>
  <c r="C1185" i="4"/>
  <c r="C1169" i="4"/>
  <c r="C1153" i="4"/>
  <c r="C1137" i="4"/>
  <c r="C1121" i="4"/>
  <c r="C1104" i="4"/>
  <c r="C1087" i="4"/>
  <c r="C1071" i="4"/>
  <c r="C1055" i="4"/>
  <c r="C1039" i="4"/>
  <c r="C1023" i="4"/>
  <c r="C1006" i="4"/>
  <c r="C989" i="4"/>
  <c r="C973" i="4"/>
  <c r="C957" i="4"/>
  <c r="C941" i="4"/>
  <c r="C925" i="4"/>
  <c r="C908" i="4"/>
  <c r="C891" i="4"/>
  <c r="C875" i="4"/>
  <c r="C859" i="4"/>
  <c r="C843" i="4"/>
  <c r="C827" i="4"/>
  <c r="C810" i="4"/>
  <c r="C793" i="4"/>
  <c r="C777" i="4"/>
  <c r="C761" i="4"/>
  <c r="C745" i="4"/>
  <c r="C729" i="4"/>
  <c r="C712" i="4"/>
  <c r="C695" i="4"/>
  <c r="C679" i="4"/>
  <c r="C663" i="4"/>
  <c r="C647" i="4"/>
  <c r="C631" i="4"/>
  <c r="C614" i="4"/>
  <c r="C597" i="4"/>
  <c r="C581" i="4"/>
  <c r="C565" i="4"/>
  <c r="C549" i="4"/>
  <c r="C533" i="4"/>
  <c r="C516" i="4"/>
  <c r="C499" i="4"/>
  <c r="C483" i="4"/>
  <c r="C467" i="4"/>
  <c r="C451" i="4"/>
  <c r="C435" i="4"/>
  <c r="C418" i="4"/>
  <c r="C401" i="4"/>
  <c r="C385" i="4"/>
  <c r="C369" i="4"/>
  <c r="C353" i="4"/>
  <c r="C337" i="4"/>
  <c r="C320" i="4"/>
  <c r="C303" i="4"/>
  <c r="C287" i="4"/>
  <c r="C271" i="4"/>
  <c r="C255" i="4"/>
  <c r="C239" i="4"/>
  <c r="C222" i="4"/>
  <c r="C205" i="4"/>
  <c r="C189" i="4"/>
  <c r="C173" i="4"/>
  <c r="C157" i="4"/>
  <c r="C141" i="4"/>
  <c r="C124" i="4"/>
  <c r="C107" i="4"/>
  <c r="C91" i="4"/>
  <c r="C75" i="4"/>
  <c r="C60" i="4"/>
  <c r="C1249" i="4"/>
  <c r="C1233" i="4"/>
  <c r="C1216" i="4"/>
  <c r="C1199" i="4"/>
  <c r="C1183" i="4"/>
  <c r="C1167" i="4"/>
  <c r="C1151" i="4"/>
  <c r="C1135" i="4"/>
  <c r="C1118" i="4"/>
  <c r="C1101" i="4"/>
  <c r="C1085" i="4"/>
  <c r="C1069" i="4"/>
  <c r="C1053" i="4"/>
  <c r="C1037" i="4"/>
  <c r="C1020" i="4"/>
  <c r="C1003" i="4"/>
  <c r="C987" i="4"/>
  <c r="C971" i="4"/>
  <c r="C955" i="4"/>
  <c r="C939" i="4"/>
  <c r="C922" i="4"/>
  <c r="C905" i="4"/>
  <c r="C889" i="4"/>
  <c r="C873" i="4"/>
  <c r="C857" i="4"/>
  <c r="C841" i="4"/>
  <c r="C824" i="4"/>
  <c r="C807" i="4"/>
  <c r="C791" i="4"/>
  <c r="C775" i="4"/>
  <c r="C759" i="4"/>
  <c r="C743" i="4"/>
  <c r="C726" i="4"/>
  <c r="C709" i="4"/>
  <c r="C693" i="4"/>
  <c r="C677" i="4"/>
  <c r="C661" i="4"/>
  <c r="C645" i="4"/>
  <c r="C628" i="4"/>
  <c r="C611" i="4"/>
  <c r="C595" i="4"/>
  <c r="C579" i="4"/>
  <c r="C563" i="4"/>
  <c r="C547" i="4"/>
  <c r="C530" i="4"/>
  <c r="C513" i="4"/>
  <c r="C497" i="4"/>
  <c r="C481" i="4"/>
  <c r="C465" i="4"/>
  <c r="C449" i="4"/>
  <c r="C432" i="4"/>
  <c r="C415" i="4"/>
  <c r="C399" i="4"/>
  <c r="C383" i="4"/>
  <c r="C367" i="4"/>
  <c r="C351" i="4"/>
  <c r="C334" i="4"/>
  <c r="C317" i="4"/>
  <c r="C301" i="4"/>
  <c r="C285" i="4"/>
  <c r="C269" i="4"/>
  <c r="C253" i="4"/>
  <c r="C236" i="4"/>
  <c r="C219" i="4"/>
  <c r="C203" i="4"/>
  <c r="C187" i="4"/>
  <c r="C171" i="4"/>
  <c r="C155" i="4"/>
  <c r="C138" i="4"/>
  <c r="C121" i="4"/>
  <c r="C105" i="4"/>
  <c r="C89" i="4"/>
  <c r="C73" i="4"/>
  <c r="C58" i="4"/>
  <c r="C43" i="4"/>
  <c r="C27" i="4"/>
  <c r="C12" i="4"/>
  <c r="C1252" i="4"/>
  <c r="C1214" i="4"/>
  <c r="C1180" i="4"/>
  <c r="C1138" i="4"/>
  <c r="C1100" i="4"/>
  <c r="C1066" i="4"/>
  <c r="C1024" i="4"/>
  <c r="C988" i="4"/>
  <c r="C956" i="4"/>
  <c r="C923" i="4"/>
  <c r="C890" i="4"/>
  <c r="C858" i="4"/>
  <c r="C825" i="4"/>
  <c r="C794" i="4"/>
  <c r="C766" i="4"/>
  <c r="C738" i="4"/>
  <c r="C708" i="4"/>
  <c r="C680" i="4"/>
  <c r="C652" i="4"/>
  <c r="C624" i="4"/>
  <c r="C594" i="4"/>
  <c r="C566" i="4"/>
  <c r="C538" i="4"/>
  <c r="C510" i="4"/>
  <c r="C480" i="4"/>
  <c r="C452" i="4"/>
  <c r="C424" i="4"/>
  <c r="C396" i="4"/>
  <c r="C366" i="4"/>
  <c r="C338" i="4"/>
  <c r="C310" i="4"/>
  <c r="C282" i="4"/>
  <c r="C251" i="4"/>
  <c r="C223" i="4"/>
  <c r="C195" i="4"/>
  <c r="C167" i="4"/>
  <c r="C136" i="4"/>
  <c r="C108" i="4"/>
  <c r="C80" i="4"/>
  <c r="C54" i="4"/>
  <c r="C30" i="4"/>
  <c r="C8" i="4"/>
  <c r="C1250" i="4"/>
  <c r="C1213" i="4"/>
  <c r="C1179" i="4"/>
  <c r="C1136" i="4"/>
  <c r="C1099" i="4"/>
  <c r="C1065" i="4"/>
  <c r="C1021" i="4"/>
  <c r="C954" i="4"/>
  <c r="C920" i="4"/>
  <c r="C888" i="4"/>
  <c r="C856" i="4"/>
  <c r="C822" i="4"/>
  <c r="C792" i="4"/>
  <c r="C763" i="4"/>
  <c r="C737" i="4"/>
  <c r="C707" i="4"/>
  <c r="C678" i="4"/>
  <c r="C649" i="4"/>
  <c r="C623" i="4"/>
  <c r="C593" i="4"/>
  <c r="C564" i="4"/>
  <c r="C535" i="4"/>
  <c r="C509" i="4"/>
  <c r="C479" i="4"/>
  <c r="C450" i="4"/>
  <c r="C421" i="4"/>
  <c r="C395" i="4"/>
  <c r="C365" i="4"/>
  <c r="C335" i="4"/>
  <c r="C306" i="4"/>
  <c r="C281" i="4"/>
  <c r="C250" i="4"/>
  <c r="C220" i="4"/>
  <c r="C191" i="4"/>
  <c r="C135" i="4"/>
  <c r="C106" i="4"/>
  <c r="C77" i="4"/>
  <c r="C53" i="4"/>
  <c r="C29" i="4"/>
  <c r="C1248" i="4"/>
  <c r="C1212" i="4"/>
  <c r="C1170" i="4"/>
  <c r="C1133" i="4"/>
  <c r="C1098" i="4"/>
  <c r="C1056" i="4"/>
  <c r="C1018" i="4"/>
  <c r="C985" i="4"/>
  <c r="C953" i="4"/>
  <c r="C919" i="4"/>
  <c r="C887" i="4"/>
  <c r="C855" i="4"/>
  <c r="C821" i="4"/>
  <c r="C790" i="4"/>
  <c r="C762" i="4"/>
  <c r="C734" i="4"/>
  <c r="C706" i="4"/>
  <c r="C676" i="4"/>
  <c r="C648" i="4"/>
  <c r="C620" i="4"/>
  <c r="C592" i="4"/>
  <c r="C562" i="4"/>
  <c r="C534" i="4"/>
  <c r="C506" i="4"/>
  <c r="C478" i="4"/>
  <c r="C447" i="4"/>
  <c r="C419" i="4"/>
  <c r="C391" i="4"/>
  <c r="C363" i="4"/>
  <c r="C332" i="4"/>
  <c r="C304" i="4"/>
  <c r="C276" i="4"/>
  <c r="C248" i="4"/>
  <c r="C218" i="4"/>
  <c r="C190" i="4"/>
  <c r="C162" i="4"/>
  <c r="C134" i="4"/>
  <c r="C104" i="4"/>
  <c r="C76" i="4"/>
  <c r="C50" i="4"/>
  <c r="C26" i="4"/>
  <c r="C839" i="4"/>
  <c r="C494" i="4"/>
  <c r="C265" i="4"/>
  <c r="C120" i="4"/>
  <c r="C16" i="4"/>
  <c r="C119" i="4"/>
  <c r="C257" i="4"/>
  <c r="C986" i="4"/>
  <c r="C166" i="4"/>
  <c r="C1231" i="4"/>
  <c r="C264" i="4"/>
  <c r="C13" i="4"/>
  <c r="C575" i="4"/>
  <c r="C1247" i="4"/>
  <c r="C1211" i="4"/>
  <c r="C1168" i="4"/>
  <c r="C1132" i="4"/>
  <c r="C1097" i="4"/>
  <c r="C1054" i="4"/>
  <c r="C1017" i="4"/>
  <c r="C984" i="4"/>
  <c r="C951" i="4"/>
  <c r="C918" i="4"/>
  <c r="C886" i="4"/>
  <c r="C853" i="4"/>
  <c r="C820" i="4"/>
  <c r="C789" i="4"/>
  <c r="C760" i="4"/>
  <c r="C731" i="4"/>
  <c r="C705" i="4"/>
  <c r="C675" i="4"/>
  <c r="C646" i="4"/>
  <c r="C617" i="4"/>
  <c r="C591" i="4"/>
  <c r="C561" i="4"/>
  <c r="C531" i="4"/>
  <c r="C502" i="4"/>
  <c r="C477" i="4"/>
  <c r="C446" i="4"/>
  <c r="C416" i="4"/>
  <c r="C387" i="4"/>
  <c r="C362" i="4"/>
  <c r="C331" i="4"/>
  <c r="C302" i="4"/>
  <c r="C273" i="4"/>
  <c r="C247" i="4"/>
  <c r="C217" i="4"/>
  <c r="C188" i="4"/>
  <c r="C159" i="4"/>
  <c r="C133" i="4"/>
  <c r="C103" i="4"/>
  <c r="C74" i="4"/>
  <c r="C47" i="4"/>
  <c r="C25" i="4"/>
  <c r="C1245" i="4"/>
  <c r="C1203" i="4"/>
  <c r="C1166" i="4"/>
  <c r="C1130" i="4"/>
  <c r="C1088" i="4"/>
  <c r="C1052" i="4"/>
  <c r="C1016" i="4"/>
  <c r="C983" i="4"/>
  <c r="C950" i="4"/>
  <c r="C917" i="4"/>
  <c r="C885" i="4"/>
  <c r="C852" i="4"/>
  <c r="C819" i="4"/>
  <c r="C788" i="4"/>
  <c r="C758" i="4"/>
  <c r="C730" i="4"/>
  <c r="C702" i="4"/>
  <c r="C674" i="4"/>
  <c r="C643" i="4"/>
  <c r="C615" i="4"/>
  <c r="C587" i="4"/>
  <c r="C559" i="4"/>
  <c r="C528" i="4"/>
  <c r="C500" i="4"/>
  <c r="C472" i="4"/>
  <c r="C444" i="4"/>
  <c r="C414" i="4"/>
  <c r="C386" i="4"/>
  <c r="C358" i="4"/>
  <c r="C330" i="4"/>
  <c r="C300" i="4"/>
  <c r="C272" i="4"/>
  <c r="C244" i="4"/>
  <c r="C216" i="4"/>
  <c r="C186" i="4"/>
  <c r="C158" i="4"/>
  <c r="C130" i="4"/>
  <c r="C102" i="4"/>
  <c r="C72" i="4"/>
  <c r="C46" i="4"/>
  <c r="C24" i="4"/>
  <c r="C1244" i="4"/>
  <c r="C1200" i="4"/>
  <c r="C1165" i="4"/>
  <c r="C1129" i="4"/>
  <c r="C1086" i="4"/>
  <c r="C1051" i="4"/>
  <c r="C1015" i="4"/>
  <c r="C975" i="4"/>
  <c r="C943" i="4"/>
  <c r="C911" i="4"/>
  <c r="C877" i="4"/>
  <c r="C845" i="4"/>
  <c r="C813" i="4"/>
  <c r="C787" i="4"/>
  <c r="C757" i="4"/>
  <c r="C727" i="4"/>
  <c r="C698" i="4"/>
  <c r="C673" i="4"/>
  <c r="C642" i="4"/>
  <c r="C612" i="4"/>
  <c r="C583" i="4"/>
  <c r="C558" i="4"/>
  <c r="C527" i="4"/>
  <c r="C498" i="4"/>
  <c r="C469" i="4"/>
  <c r="C443" i="4"/>
  <c r="C413" i="4"/>
  <c r="C384" i="4"/>
  <c r="C355" i="4"/>
  <c r="C329" i="4"/>
  <c r="C299" i="4"/>
  <c r="C270" i="4"/>
  <c r="C241" i="4"/>
  <c r="C215" i="4"/>
  <c r="C185" i="4"/>
  <c r="C156" i="4"/>
  <c r="C127" i="4"/>
  <c r="C101" i="4"/>
  <c r="C71" i="4"/>
  <c r="C45" i="4"/>
  <c r="C23" i="4"/>
  <c r="C1236" i="4"/>
  <c r="C1198" i="4"/>
  <c r="C1164" i="4"/>
  <c r="C1122" i="4"/>
  <c r="C1084" i="4"/>
  <c r="C1049" i="4"/>
  <c r="C1007" i="4"/>
  <c r="C974" i="4"/>
  <c r="C942" i="4"/>
  <c r="C909" i="4"/>
  <c r="C876" i="4"/>
  <c r="C844" i="4"/>
  <c r="C811" i="4"/>
  <c r="C783" i="4"/>
  <c r="C755" i="4"/>
  <c r="C724" i="4"/>
  <c r="C696" i="4"/>
  <c r="C668" i="4"/>
  <c r="C640" i="4"/>
  <c r="C610" i="4"/>
  <c r="C582" i="4"/>
  <c r="C554" i="4"/>
  <c r="C526" i="4"/>
  <c r="C496" i="4"/>
  <c r="C468" i="4"/>
  <c r="C440" i="4"/>
  <c r="C412" i="4"/>
  <c r="C382" i="4"/>
  <c r="C354" i="4"/>
  <c r="C326" i="4"/>
  <c r="C298" i="4"/>
  <c r="C268" i="4"/>
  <c r="C240" i="4"/>
  <c r="C212" i="4"/>
  <c r="C184" i="4"/>
  <c r="C153" i="4"/>
  <c r="C125" i="4"/>
  <c r="C97" i="4"/>
  <c r="C69" i="4"/>
  <c r="C44" i="4"/>
  <c r="C20" i="4"/>
  <c r="C65" i="4"/>
  <c r="C1230" i="4"/>
  <c r="C1195" i="4"/>
  <c r="C1152" i="4"/>
  <c r="C1115" i="4"/>
  <c r="C1081" i="4"/>
  <c r="C1038" i="4"/>
  <c r="C1001" i="4"/>
  <c r="C969" i="4"/>
  <c r="C936" i="4"/>
  <c r="C903" i="4"/>
  <c r="C871" i="4"/>
  <c r="C838" i="4"/>
  <c r="C805" i="4"/>
  <c r="C776" i="4"/>
  <c r="C747" i="4"/>
  <c r="C721" i="4"/>
  <c r="C691" i="4"/>
  <c r="C662" i="4"/>
  <c r="C633" i="4"/>
  <c r="C607" i="4"/>
  <c r="C577" i="4"/>
  <c r="C548" i="4"/>
  <c r="C519" i="4"/>
  <c r="C493" i="4"/>
  <c r="C463" i="4"/>
  <c r="C433" i="4"/>
  <c r="C404" i="4"/>
  <c r="C379" i="4"/>
  <c r="C348" i="4"/>
  <c r="C318" i="4"/>
  <c r="C289" i="4"/>
  <c r="C233" i="4"/>
  <c r="C204" i="4"/>
  <c r="C175" i="4"/>
  <c r="C90" i="4"/>
  <c r="C62" i="4"/>
  <c r="C39" i="4"/>
  <c r="C15" i="4"/>
  <c r="C1228" i="4"/>
  <c r="C1186" i="4"/>
  <c r="C1150" i="4"/>
  <c r="C1114" i="4"/>
  <c r="C1072" i="4"/>
  <c r="C1035" i="4"/>
  <c r="C1000" i="4"/>
  <c r="C968" i="4"/>
  <c r="C934" i="4"/>
  <c r="C902" i="4"/>
  <c r="C870" i="4"/>
  <c r="C836" i="4"/>
  <c r="C804" i="4"/>
  <c r="C774" i="4"/>
  <c r="C746" i="4"/>
  <c r="C718" i="4"/>
  <c r="C690" i="4"/>
  <c r="C660" i="4"/>
  <c r="C632" i="4"/>
  <c r="C604" i="4"/>
  <c r="C576" i="4"/>
  <c r="C545" i="4"/>
  <c r="C517" i="4"/>
  <c r="C489" i="4"/>
  <c r="C461" i="4"/>
  <c r="C430" i="4"/>
  <c r="C402" i="4"/>
  <c r="C374" i="4"/>
  <c r="C346" i="4"/>
  <c r="C316" i="4"/>
  <c r="C288" i="4"/>
  <c r="C260" i="4"/>
  <c r="C232" i="4"/>
  <c r="C202" i="4"/>
  <c r="C174" i="4"/>
  <c r="C146" i="4"/>
  <c r="C118" i="4"/>
  <c r="C88" i="4"/>
  <c r="C61" i="4"/>
  <c r="C38" i="4"/>
  <c r="C1263" i="4"/>
  <c r="C1227" i="4"/>
  <c r="C1184" i="4"/>
  <c r="C1149" i="4"/>
  <c r="C1113" i="4"/>
  <c r="C1070" i="4"/>
  <c r="C1034" i="4"/>
  <c r="C999" i="4"/>
  <c r="C967" i="4"/>
  <c r="C933" i="4"/>
  <c r="C901" i="4"/>
  <c r="C869" i="4"/>
  <c r="C835" i="4"/>
  <c r="C803" i="4"/>
  <c r="C773" i="4"/>
  <c r="C744" i="4"/>
  <c r="C715" i="4"/>
  <c r="C689" i="4"/>
  <c r="C659" i="4"/>
  <c r="C629" i="4"/>
  <c r="C600" i="4"/>
  <c r="C544" i="4"/>
  <c r="C514" i="4"/>
  <c r="C485" i="4"/>
  <c r="C460" i="4"/>
  <c r="C429" i="4"/>
  <c r="C400" i="4"/>
  <c r="C371" i="4"/>
  <c r="C345" i="4"/>
  <c r="C315" i="4"/>
  <c r="C286" i="4"/>
  <c r="C231" i="4"/>
  <c r="C172" i="4"/>
  <c r="C143" i="4"/>
  <c r="C117" i="4"/>
  <c r="C87" i="4"/>
  <c r="C59" i="4"/>
  <c r="C35" i="4"/>
  <c r="C11" i="4"/>
  <c r="C1262" i="4"/>
  <c r="C1220" i="4"/>
  <c r="C1182" i="4"/>
  <c r="C1147" i="4"/>
  <c r="C1105" i="4"/>
  <c r="C1068" i="4"/>
  <c r="C1032" i="4"/>
  <c r="C992" i="4"/>
  <c r="C959" i="4"/>
  <c r="C927" i="4"/>
  <c r="C894" i="4"/>
  <c r="C861" i="4"/>
  <c r="C829" i="4"/>
  <c r="C800" i="4"/>
  <c r="C772" i="4"/>
  <c r="C741" i="4"/>
  <c r="C713" i="4"/>
  <c r="C657" i="4"/>
  <c r="C626" i="4"/>
  <c r="C598" i="4"/>
  <c r="C570" i="4"/>
  <c r="C542" i="4"/>
  <c r="C484" i="4"/>
  <c r="C456" i="4"/>
  <c r="C428" i="4"/>
  <c r="C398" i="4"/>
  <c r="C370" i="4"/>
  <c r="C342" i="4"/>
  <c r="C314" i="4"/>
  <c r="C284" i="4"/>
  <c r="C256" i="4"/>
  <c r="C228" i="4"/>
  <c r="C200" i="4"/>
  <c r="C170" i="4"/>
  <c r="C142" i="4"/>
  <c r="C114" i="4"/>
  <c r="C86" i="4"/>
  <c r="C57" i="4"/>
  <c r="C32" i="4"/>
  <c r="C10" i="4"/>
  <c r="C1261" i="4"/>
  <c r="C1217" i="4"/>
  <c r="C1181" i="4"/>
  <c r="C1146" i="4"/>
  <c r="C1102" i="4"/>
  <c r="C1067" i="4"/>
  <c r="C1031" i="4"/>
  <c r="C990" i="4"/>
  <c r="C958" i="4"/>
  <c r="C926" i="4"/>
  <c r="C892" i="4"/>
  <c r="C860" i="4"/>
  <c r="C828" i="4"/>
  <c r="C796" i="4"/>
  <c r="C771" i="4"/>
  <c r="C740" i="4"/>
  <c r="C710" i="4"/>
  <c r="C681" i="4"/>
  <c r="C656" i="4"/>
  <c r="C512" i="4"/>
  <c r="C1234" i="4"/>
  <c r="C1197" i="4"/>
  <c r="C1163" i="4"/>
  <c r="C1119" i="4"/>
  <c r="C1083" i="4"/>
  <c r="C1048" i="4"/>
  <c r="C1004" i="4"/>
  <c r="C972" i="4"/>
  <c r="C940" i="4"/>
  <c r="C906" i="4"/>
  <c r="C874" i="4"/>
  <c r="C842" i="4"/>
  <c r="C808" i="4"/>
  <c r="C779" i="4"/>
  <c r="C754" i="4"/>
  <c r="C723" i="4"/>
  <c r="C694" i="4"/>
  <c r="C665" i="4"/>
  <c r="C639" i="4"/>
  <c r="C609" i="4"/>
  <c r="C580" i="4"/>
  <c r="C551" i="4"/>
  <c r="C525" i="4"/>
  <c r="C495" i="4"/>
  <c r="C466" i="4"/>
  <c r="C437" i="4"/>
  <c r="C411" i="4"/>
  <c r="C381" i="4"/>
  <c r="C352" i="4"/>
  <c r="C323" i="4"/>
  <c r="C297" i="4"/>
  <c r="C267" i="4"/>
  <c r="C237" i="4"/>
  <c r="C208" i="4"/>
  <c r="C183" i="4"/>
  <c r="C152" i="4"/>
  <c r="C122" i="4"/>
  <c r="C93" i="4"/>
  <c r="C68" i="4"/>
  <c r="C41" i="4"/>
  <c r="C17" i="4"/>
  <c r="C1196" i="4"/>
  <c r="C1154" i="4"/>
  <c r="C1116" i="4"/>
  <c r="C1082" i="4"/>
  <c r="C1040" i="4"/>
  <c r="C1002" i="4"/>
  <c r="C970" i="4"/>
  <c r="C937" i="4"/>
  <c r="C904" i="4"/>
  <c r="C872" i="4"/>
  <c r="C806" i="4"/>
  <c r="C778" i="4"/>
  <c r="C750" i="4"/>
  <c r="C722" i="4"/>
  <c r="C692" i="4"/>
  <c r="C664" i="4"/>
  <c r="C636" i="4"/>
  <c r="C608" i="4"/>
  <c r="C578" i="4"/>
  <c r="C550" i="4"/>
  <c r="C522" i="4"/>
  <c r="C464" i="4"/>
  <c r="C436" i="4"/>
  <c r="C408" i="4"/>
  <c r="C380" i="4"/>
  <c r="C349" i="4"/>
  <c r="C321" i="4"/>
  <c r="C293" i="4"/>
  <c r="C234" i="4"/>
  <c r="C206" i="4"/>
  <c r="C178" i="4"/>
  <c r="C150" i="4"/>
  <c r="C92" i="4"/>
  <c r="C40" i="4"/>
  <c r="C149" i="4"/>
  <c r="C201" i="4"/>
  <c r="C685" i="4"/>
  <c r="C541" i="4"/>
  <c r="C139" i="4"/>
  <c r="C85" i="4"/>
  <c r="C511" i="4"/>
  <c r="C110" i="4"/>
  <c r="C482" i="4"/>
  <c r="C254" i="4"/>
  <c r="C453" i="4"/>
  <c r="C55" i="4"/>
  <c r="C427" i="4"/>
  <c r="C31" i="4"/>
  <c r="C397" i="4"/>
  <c r="C9" i="4"/>
  <c r="C368" i="4"/>
  <c r="C625" i="4"/>
  <c r="C225" i="4"/>
  <c r="C596" i="4"/>
  <c r="C199" i="4"/>
  <c r="C567" i="4"/>
  <c r="C169" i="4"/>
  <c r="C339" i="4"/>
  <c r="C313" i="4"/>
  <c r="C283" i="4"/>
  <c r="B7" i="4" a="1"/>
  <c r="B7" i="4" l="1"/>
  <c r="A1" i="4" a="1"/>
  <c r="A1" i="4" l="1"/>
  <c r="J19" i="1" a="1"/>
  <c r="J19" i="1" l="1"/>
  <c r="J18" i="1" a="1"/>
  <c r="J18" i="1" l="1"/>
  <c r="J17" i="1" a="1"/>
  <c r="J17" i="1" l="1"/>
  <c r="J16" i="1" a="1"/>
  <c r="J16" i="1" l="1"/>
  <c r="J15" i="1" a="1"/>
  <c r="J15" i="1" l="1"/>
  <c r="J14" i="1" a="1"/>
  <c r="J14" i="1" l="1"/>
  <c r="J13" i="1" a="1"/>
  <c r="J13" i="1" l="1"/>
  <c r="J12" i="1" a="1"/>
  <c r="J12" i="1" l="1"/>
  <c r="J11" i="1" a="1"/>
  <c r="J11" i="1" l="1"/>
  <c r="J10" i="1" a="1"/>
  <c r="J10" i="1" l="1"/>
  <c r="J9" i="1" a="1"/>
  <c r="J9" i="1" l="1"/>
  <c r="J8" i="1" a="1"/>
  <c r="J8" i="1" l="1"/>
  <c r="J7" i="1" a="1"/>
  <c r="J7" i="1" l="1"/>
  <c r="J6" i="1" a="1"/>
  <c r="J6" i="1" l="1"/>
  <c r="J5" i="1" a="1"/>
  <c r="J5" i="1" l="1"/>
  <c r="H19" i="1" a="1"/>
  <c r="H19" i="1" l="1"/>
  <c r="H18" i="1" a="1"/>
  <c r="H18" i="1" l="1"/>
  <c r="H17" i="1" a="1"/>
  <c r="H17" i="1" l="1"/>
  <c r="H16" i="1" a="1"/>
  <c r="H16" i="1" l="1"/>
  <c r="H15" i="1" a="1"/>
  <c r="H15" i="1" l="1"/>
  <c r="H14" i="1" a="1"/>
  <c r="H14" i="1" l="1"/>
  <c r="H13" i="1" a="1"/>
  <c r="H13" i="1" l="1"/>
  <c r="H12" i="1" a="1"/>
  <c r="H12" i="1" l="1"/>
  <c r="H11" i="1" a="1"/>
  <c r="H11" i="1" l="1"/>
  <c r="H10" i="1" a="1"/>
  <c r="H10" i="1" l="1"/>
  <c r="H9" i="1" a="1"/>
  <c r="H9" i="1" l="1"/>
  <c r="H8" i="1" a="1"/>
  <c r="H8" i="1" l="1"/>
  <c r="H7" i="1" a="1"/>
  <c r="H7" i="1" l="1"/>
  <c r="H6" i="1" a="1"/>
  <c r="H6" i="1" l="1"/>
  <c r="H5" i="1" a="1"/>
  <c r="H5" i="1" l="1"/>
  <c r="F19" i="1" a="1"/>
  <c r="F19" i="1" l="1"/>
  <c r="F18" i="1" a="1"/>
  <c r="F18" i="1" l="1"/>
  <c r="F17" i="1" a="1"/>
  <c r="F17" i="1" l="1"/>
  <c r="F16" i="1" a="1"/>
  <c r="F16" i="1" l="1"/>
  <c r="F15" i="1" a="1"/>
  <c r="F15" i="1" l="1"/>
  <c r="F14" i="1" a="1"/>
  <c r="F14" i="1" l="1"/>
  <c r="F13" i="1" a="1"/>
  <c r="F13" i="1" l="1"/>
  <c r="F12" i="1" a="1"/>
  <c r="F12" i="1" l="1"/>
  <c r="F11" i="1" a="1"/>
  <c r="F11" i="1" l="1"/>
  <c r="F10" i="1" a="1"/>
  <c r="F10" i="1" l="1"/>
  <c r="F9" i="1" a="1"/>
  <c r="F9" i="1" l="1"/>
  <c r="F8" i="1" a="1"/>
  <c r="F8" i="1" l="1"/>
  <c r="F7" i="1" a="1"/>
  <c r="F7" i="1" l="1"/>
  <c r="F6" i="1" a="1"/>
  <c r="F6" i="1" l="1"/>
  <c r="F5" i="1" a="1"/>
  <c r="F5" i="1" l="1"/>
  <c r="D19" i="1" a="1"/>
  <c r="D19" i="1" l="1"/>
  <c r="D18" i="1" a="1"/>
  <c r="D18" i="1" l="1"/>
  <c r="D17" i="1" a="1"/>
  <c r="D17" i="1" l="1"/>
  <c r="D16" i="1" a="1"/>
  <c r="D16" i="1" l="1"/>
  <c r="D15" i="1" a="1"/>
  <c r="D15" i="1" l="1"/>
  <c r="D14" i="1" a="1"/>
  <c r="D14" i="1" l="1"/>
  <c r="D13" i="1" a="1"/>
  <c r="D13" i="1" l="1"/>
  <c r="D12" i="1" a="1"/>
  <c r="D12" i="1" l="1"/>
  <c r="D11" i="1" a="1"/>
  <c r="D11" i="1" l="1"/>
  <c r="D10" i="1" a="1"/>
  <c r="D10" i="1" l="1"/>
  <c r="D9" i="1" a="1"/>
  <c r="D9" i="1" l="1"/>
  <c r="D8" i="1" a="1"/>
  <c r="D8" i="1" l="1"/>
  <c r="D7" i="1" a="1"/>
  <c r="D7" i="1" l="1"/>
  <c r="D6" i="1" a="1"/>
  <c r="D6" i="1" l="1"/>
  <c r="D5" i="1" a="1"/>
  <c r="D5" i="1" l="1"/>
  <c r="C31" i="1" a="1"/>
  <c r="C31" i="1" l="1"/>
  <c r="C30" i="1" a="1"/>
  <c r="C30" i="1" l="1"/>
  <c r="C27" i="1" a="1"/>
  <c r="C27" i="1" l="1"/>
  <c r="B27" i="1" a="1"/>
  <c r="B27" i="1" l="1"/>
  <c r="B31" i="1" a="1"/>
  <c r="B31" i="1" l="1"/>
  <c r="B26" i="1" a="1"/>
  <c r="B26" i="1" l="1"/>
  <c r="A40" i="5" l="1"/>
  <c r="A39" i="5"/>
  <c r="A41" i="5"/>
  <c r="A15" i="5" l="1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42" i="5" l="1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4" i="5" l="1"/>
  <c r="A38" i="5"/>
  <c r="A37" i="5"/>
  <c r="A36" i="5"/>
  <c r="A14" i="5"/>
  <c r="A13" i="5"/>
  <c r="A12" i="5"/>
  <c r="A11" i="5"/>
  <c r="A10" i="5"/>
  <c r="A9" i="5"/>
  <c r="A8" i="5"/>
  <c r="A7" i="5"/>
  <c r="A6" i="5"/>
  <c r="A5" i="5"/>
  <c r="B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A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BX4" i="5"/>
  <c r="BY4" i="5"/>
  <c r="BZ4" i="5"/>
  <c r="CA4" i="5"/>
  <c r="CB4" i="5"/>
  <c r="CC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BX3" i="5"/>
  <c r="BY3" i="5"/>
  <c r="BZ3" i="5"/>
  <c r="CA3" i="5"/>
  <c r="CB3" i="5"/>
  <c r="CC3" i="5"/>
  <c r="H9" i="4"/>
  <c r="H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Ward, Meghan</author>
  </authors>
  <commentList>
    <comment ref="A1" authorId="0" shapeId="0" xr:uid="{92140D29-B0A4-4954-86EC-52B8BE57BAF8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Timestamp="1765272068"&gt;&lt;FQL&gt;&lt;Q&gt;ADEN-CH^CORREL(P_PRICE_RETURNS(0,45961,45961-5AY,D,USD),VALUE('9404-JP',P_PRICE_RETURNS(0,45961,45961-5AY,D,USD)))&lt;/Q&gt;&lt;R&gt;1&lt;/R&gt;&lt;C&gt;1&lt;/C&gt;&lt;D xsi:type="xsd:double"&gt;0.105143534622621&lt;/D&gt;&lt;/FQL&gt;&lt;FQL&gt;&lt;Q&gt;9404-JP^P_PRICE_RETURNS(0,45961,45961-5AY,D,USD)&lt;/Q&gt;&lt;R&gt;1257&lt;/R&gt;&lt;C&gt;1&lt;/C&gt;&lt;D xsi:type="xsd:double"&gt;1.481235&lt;/D&gt;&lt;D xsi:type="xsd:double"&gt;-1.7723382&lt;/D&gt;&lt;D xsi:type="xsd:double"&gt;-1.3668656&lt;/D&gt;&lt;D xsi:type="xsd:double"&gt;-0.25761127&lt;/D&gt;&lt;D xsi:type="xsd:double"&gt;0.13417006&lt;/D&gt;&lt;D xsi:type="xsd:double"&gt;0.8019686&lt;/D&gt;&lt;D xsi:type="xsd:double"&gt;0.2981305&lt;/D&gt;&lt;D xsi:type="xsd:double"&gt;0.18209219&lt;/D&gt;&lt;D xsi:type="xsd:double"&gt;-0.67558885&lt;/D&gt;&lt;D xsi:type="xsd:double"&gt;1.9166231&lt;/D&gt;&lt;D xsi:type="xsd:double"&gt;-0.12831688&lt;/D&gt;&lt;D xsi:type="xsd:double"&gt;-0.06597638&lt;/D&gt;&lt;D xsi:type="xsd:double"&gt;-0.98713636&lt;/D&gt;&lt;D xsi:type="xsd:double"&gt;0.51168203&lt;/D&gt;&lt;D xsi:type="xsd:double"&gt;0.036096573&lt;/D&gt;&lt;D xsi:type="xsd:double"&gt;-2.2437215&lt;/D&gt;&lt;D xsi:type="xsd:double"&gt;-1.120019&lt;/D&gt;&lt;D xsi:type="xsd:double"&gt;-1.6994834&lt;/D&gt;&lt;D xsi:type="xsd:double"&gt;-0.7166922&lt;/D&gt;&lt;D xsi:type="xsd:double"&gt;0.47632456&lt;/D&gt;&lt;D xsi:type="xsd:double"&gt;0.8867264&lt;/D&gt;&lt;D xsi:type="xsd:double"&gt;-4.1393757&lt;/D&gt;&lt;D xsi:type="xsd:double"&gt;-0.8432746&lt;/D&gt;&lt;D xsi:type="xsd:double"&gt;1.1559725&lt;/D&gt;&lt;D xsi:type="xsd:double"&gt;-0.7544577&lt;/D&gt;&lt;D xsi:type="xsd:double"&gt;0.69429874&lt;/D&gt;&lt;D xsi:type="xsd:double"&gt;-0.73363185&lt;/D&gt;&lt;D xsi:type="xsd:double"&gt;-0.79580545&lt;/D&gt;&lt;D xsi:type="xsd:double"&gt;0.06767511&lt;/D&gt;&lt;D xsi:type="xsd:double"&gt;-0.81180334&lt;/D&gt;&lt;D xsi:type="xsd:double"&gt;-1.6031027&lt;/D&gt;&lt;D xsi:type="xsd:double"&gt;-1.3047695&lt;/D&gt;&lt;D xsi:type="xsd:double"&gt;-0.48071742&lt;/D&gt;&lt;D xsi:type="xsd:double"&gt;1.8997431&lt;/D&gt;&lt;D xsi:type="xsd:double"&gt;0.16957521&lt;/D&gt;&lt;D xsi:type="xsd:double"&gt;-2.3040473&lt;/D&gt;&lt;D xsi:type="xsd:double"&gt;0.052547455&lt;/D&gt;&lt;D xsi:type="xsd:double"&gt;-0.4991114&lt;/D&gt;&lt;D xsi:type="xsd:double"&gt;3.1282663&lt;/D&gt;&lt;D xsi:type="xsd:double"&gt;1.5260458&lt;/D&gt;&lt;D xsi:type="xsd:double"&gt;1.7557383&lt;/D&gt;&lt;D xsi:type="xsd:double"&gt;-0.020760298&lt;/D&gt;&lt;D xsi:type="xsd:double"&gt;-1.5769362&lt;/D&gt;&lt;D xsi:type="xsd:double"&gt;1.8613338&lt;/D&gt;&lt;D xsi:type="xsd:double"&gt;0.7067323&lt;/D&gt;&lt;D xsi:type="xsd:double"&gt;0.049853325&lt;/D&gt;&lt;D xsi:type="xsd:double"&gt;-0.03359914&lt;/D&gt;&lt;D xsi:type="xsd:double"&gt;-0.34198165&lt;/D&gt;&lt;D xsi:type="xsd:double"&gt;-1.4755607&lt;/D&gt;&lt;D xsi:type="xsd:double"&gt;1.8274188&lt;/D&gt;&lt;D xsi:type="xsd:double"&gt;-0.117468834&lt;/D&gt;&lt;D xsi:type="xsd:double"&gt;-0.70991516&lt;/D&gt;&lt;D xsi:type="xsd:double"&gt;3.76364&lt;/D&gt;&lt;D xsi:type="xsd:double"&gt;0.22422075&lt;/D&gt;&lt;D xsi:type="xsd:double"&gt;-0.27261972&lt;/D&gt;&lt;D xsi:type="xsd:double"&gt;-0.51832795&lt;/D&gt;&lt;D xsi:type="xsd:double"&gt;-0.18756986&lt;/D&gt;&lt;D xsi:type="xsd:double"&gt;2.6527286&lt;/D&gt;&lt;D xsi:type="xsd:double"&gt;-0.15534163&lt;/D&gt;&lt;D xsi:type="xsd:double"&gt;0.93574524&lt;/D&gt;&lt;D xsi:type="xsd:double"&gt;1.6974568&lt;/D&gt;&lt;D xsi:type="xsd:double"&gt;-0.24356246&lt;/D&gt;&lt;D xsi:type="xsd:double"&gt;3.1515002&lt;/D&gt;&lt;D xsi:type="xsd:double"&gt;0.7539034&lt;/D&gt;&lt;D xsi:type="xsd:double"&gt;7.5800896&lt;/D&gt;&lt;D xsi:type="xsd:double"&gt;-0.9763956&lt;/D&gt;&lt;D xsi:type="xsd:double"&gt;0.31455755&lt;/D&gt;&lt;D xsi:type="xsd:double"&gt;0.6591916&lt;/D&gt;&lt;D xsi:type="xsd:double"&gt;-2.4104536&lt;/D&gt;&lt;D xsi:type="xsd:double"&gt;-1.4399529&lt;/D&gt;&lt;D xsi:type="xsd:double"&gt;0.73361397&lt;/D&gt;&lt;D xsi:type="xsd:double"&gt;1.0497928&lt;/D&gt;&lt;D xsi:type="xsd:double"&gt;1.7580509&lt;/D&gt;&lt;D xsi:type="xsd:double"&gt;0.73262453&lt;/D&gt;&lt;D xsi:type="xsd:double"&gt;2.7627826&lt;/D&gt;&lt;D xsi:type="xsd:double"&gt;1.5826344&lt;/D&gt;&lt;D xsi:type="xsd:double"&gt;1.6598105&lt;/D&gt;&lt;D xsi:type="xsd:double"&gt;-0.0136733055&lt;/D&gt;&lt;D xsi:type="xsd:double"&gt;-0.37736893&lt;/D&gt;&lt;D xsi:type="xsd:double"&gt;-1.3950229&lt;/D&gt;&lt;D xsi:type="xsd:double"&gt;0.5967021&lt;/D&gt;&lt;D xsi:type="xsd:double"&gt;1.5718102&lt;/D&gt;&lt;D xsi:type="xsd:double"&gt;-1.8043041&lt;/D&gt;&lt;D xsi:type="xsd:double"&gt;-1.1497021&lt;/D&gt;&lt;D xsi:type="xsd:double"&gt;-6.7846894&lt;/D&gt;&lt;D xsi:type="xsd:double"&gt;-2.9087782&lt;/D&gt;&lt;D xsi:type="xsd:double"&gt;0.54872036&lt;/D&gt;&lt;D xsi:type="xsd:double"&gt;2.011919&lt;/D&gt;&lt;D xsi:type="xsd:double"&gt;-0.96343756&lt;/D&gt;&lt;D xsi:type="xsd:double"&gt;2.2975087&lt;/D&gt;&lt;D xsi:type="xsd:double"&gt;-1.1334777&lt;/D&gt;&lt;D xsi:type="xsd:double"&gt;1.6259193&lt;/D&gt;&lt;D xsi:type="xsd:double"&gt;-0.059765577&lt;/D&gt;&lt;D xsi:type="xsd:double"&gt;-1.7330348&lt;/D&gt;&lt;D xsi:type="xsd:double"&gt;3.0294418&lt;/D&gt;&lt;D xsi:type="xsd:double"&gt;-2.9973567&lt;/D&gt;&lt;D xsi:type="xsd:double"&gt;2.2840858&lt;/D&gt;&lt;D xsi:type="xsd:double"&gt;-0.27056336&lt;/D&gt;&lt;D xsi:type="xsd:double"&gt;0.82832575&lt;/D&gt;&lt;D xsi:type="xsd:double"&gt;0.0034570694&lt;/D&gt;&lt;D xsi:type="xsd:double"&gt;-0.7001221&lt;/D&gt;&lt;D xsi:type="xsd:double"&gt;0.2524376&lt;/D&gt;&lt;D xsi:type="xsd:double"&gt;-0.97314715&lt;/D&gt;&lt;D xsi:type="xsd:double"&gt;-1.0030568&lt;/D&gt;&lt;D xsi:type="xsd:double"&gt;0.1654625&lt;/D&gt;&lt;D xsi:type="xsd:double"&gt;-1.5132248&lt;/D&gt;&lt;D xsi:type="xsd:double"&gt;1.0641098&lt;/D&gt;&lt;D xsi:type="xsd:double"&gt;-0.61782&lt;/D&gt;&lt;D xsi:type="xsd:double"&gt;0.49780607&lt;/D&gt;&lt;D xsi:type="xsd:double"&gt;-0.42893887&lt;/D&gt;&lt;D xsi:type="xsd:double"&gt;0.36110878&lt;/D&gt;&lt;D xsi:type="xsd:double"&gt;4.206109&lt;/D&gt;&lt;D xsi:type="xsd:double"&gt;-1.5025437&lt;/D&gt;&lt;D xsi:type="xsd:double"&gt;1.6119599&lt;/D&gt;&lt;D xsi:type="xsd:double"&gt;-1.0647476&lt;/D&gt;&lt;D xsi:type="xsd:double"&gt;1.0231018&lt;/D&gt;&lt;D xsi:type="xsd:double"&gt;3.2929778&lt;/D&gt;&lt;D xsi:type="xsd:double"&gt;-1.5240788&lt;/D&gt;&lt;D xsi:type="xsd:double"&gt;-2.1904945&lt;/D&gt;&lt;D xsi:type="xsd:double"&gt;-1.9888937&lt;/D&gt;&lt;D xsi:type="xsd:double"&gt;0.19302368&lt;/D&gt;&lt;D xsi:type="xsd:double"&gt;-1.8080354&lt;/D&gt;&lt;D xsi:type="xsd:double"&gt;-0.6916046&lt;/D&gt;&lt;D xsi:type="xsd:double"&gt;0.85681677&lt;/D&gt;&lt;D xsi:type="xsd:double"&gt;0.6510854&lt;/D&gt;&lt;D xsi:type="xsd:double"&gt;0.15997887&lt;/D&gt;&lt;D xsi:type="xsd:double"&gt;-0.3385365&lt;/D&gt;&lt;D xsi:type="xsd:double"&gt;-2.234888&lt;/D&gt;&lt;D xsi:type="xsd:double"&gt;-0.21952987&lt;/D&gt;&lt;D xsi:type="xsd:double"&gt;0.3406644&lt;/D&gt;&lt;D xsi:type="xsd:double"&gt;0.7229686&lt;/D&gt;&lt;D xsi:type="xsd:double"&gt;0.052440166&lt;/D&gt;&lt;D xsi:type="xsd:double"&gt;-4.1006384&lt;/D&gt;&lt;D xsi:type="xsd:double"&gt;-2.4164617&lt;/D&gt;&lt;D xsi:type="xsd:double"&gt;1.4749885&lt;/D&gt;&lt;D xsi:type="xsd:double"&gt;8.949018&lt;/D&gt;&lt;D xsi:type="xsd:double"&gt;1.8160105&lt;/D&gt;&lt;D xsi:type="xsd:double"&gt;0.8407712&lt;/D&gt;&lt;D xsi:type="xsd:double"&gt;-1.2182593&lt;/D&gt;&lt;D xsi:type="xsd:double"&gt;0.11342764&lt;/D&gt;&lt;D xsi:type="xsd:double"&gt;0.82086325&lt;/D&gt;&lt;D xsi:type="xsd:double"&gt;4.5773745&lt;/D&gt;&lt;D xsi:type="xsd:double"&gt;1.7007947&lt;/D&gt;&lt;D xsi:type="xsd:double"&gt;4.4513702&lt;/D&gt;&lt;D xsi:type="xsd:double"&gt;-7.946229&lt;/D&gt;&lt;D xsi:type="xsd:double"&gt;-1.8498302&lt;/D&gt;&lt;D xsi:type="xsd:double"&gt;4.583919&lt;/D&gt;&lt;D xsi:type="xsd:double"&gt;-1.0445118&lt;/D&gt;&lt;D xsi:type="xsd:double"&gt;2.021277&lt;/D&gt;&lt;D xsi:type="xsd:double"&gt;-1.8544674&lt;/D&gt;&lt;D xsi:type="xsd:double"&gt;-0.5105078&lt;/D&gt;&lt;D xsi:type="xsd:double"&gt;0.6385565&lt;/D&gt;&lt;D xsi:type="xsd:double"&gt;0.92761517&lt;/D&gt;&lt;D xsi:type="xsd:double"&gt;0.94558&lt;/D&gt;&lt;D xsi:type="xsd:double"&gt;-1.8028915&lt;/D&gt;&lt;D xsi:type="xsd:double"&gt;0.23998022&lt;/D&gt;&lt;D xsi:type="xsd:double"&gt;0.78594685&lt;/D&gt;&lt;D xsi:type="xsd:double"&gt;0.61182976&lt;/D&gt;&lt;D xsi:type="xsd:double"&gt;0.9709954&lt;/D&gt;&lt;D xsi:type="xsd:double"&gt;0.92287064&lt;/D&gt;&lt;D xsi:type="xsd:double"&gt;0.8942604&lt;/D&gt;&lt;D xsi:type="xsd:double"&gt;1.4496088&lt;/D&gt;&lt;D xsi:type="xsd:double"&gt;0.9902358&lt;/D&gt;&lt;D xsi:type="xsd:double"&gt;-0.7819116&lt;/D&gt;&lt;D xsi:type="xsd:double"&gt;-0.73822737&lt;/D&gt;&lt;D xsi:type="xsd:double"&gt;0.27401447&lt;/D&gt;&lt;D xsi:type="xsd:double"&gt;1.226902&lt;/D&gt;&lt;D xsi:type="xsd:double"&gt;0.33621788&lt;/D&gt;&lt;D xsi:type="xsd:double"&gt;1.56672&lt;/D&gt;&lt;D xsi:type="xsd:double"&gt;2.6606798&lt;/D&gt;&lt;D xsi:type="xsd:double"&gt;-1.9574285&lt;/D&gt;&lt;D xsi:type="xsd:double"&gt;-0.56954026&lt;/D&gt;&lt;D xsi:type="xsd:double"&gt;-0.31596422&lt;/D&gt;&lt;D xsi:type="xsd:double"&gt;0.9422302&lt;/D&gt;&lt;D xsi:type="xsd:double"&gt;0.17414093&lt;/D&gt;&lt;D xsi:type="xsd:double"&gt;-0.014728308&lt;/D&gt;&lt;D xsi:type="xsd:double"&gt;-0.029450655&lt;/D&gt;&lt;D xsi:type="xsd:double"&gt;-3.3567727&lt;/D&gt;&lt;D xsi:type="xsd:double"&gt;0.8058071&lt;/D&gt;&lt;D xsi:type="xsd:double"&gt;4.260063&lt;/D&gt;&lt;D xsi:type="xsd:double"&gt;0.94407797&lt;/D&gt;&lt;D xsi:type="xsd:double"&gt;-1.2669921&lt;/D&gt;&lt;D xsi:type="xsd:double"&gt;-0.5900979&lt;/D&gt;&lt;D xsi:type="xsd:double"&gt;0.46616793&lt;/D&gt;&lt;D xsi:type="xsd:double"&gt;-2.8025687&lt;/D&gt;&lt;D xsi:type="xsd:double"&gt;2.601719&lt;/D&gt;&lt;D xsi:type="xsd:double"&gt;1.821804&lt;/D&gt;&lt;D xsi:type="xsd:double"&gt;-0.2600491&lt;/D&gt;&lt;D xsi:type="xsd:double"&gt;-0.6712198&lt;/D&gt;&lt;D xsi:type="xsd:double"&gt;-1.8610477&lt;/D&gt;&lt;D xsi:type="xsd:double"&gt;1.0701776&lt;/D&gt;&lt;D xsi:type="xsd:double"&gt;5.194998&lt;/D&gt;&lt;D xsi:type="xsd:double"&gt;-1.4164984&lt;/D&gt;&lt;D xsi:type="xsd:double"&gt;4.5000553&lt;/D&gt;&lt;D xsi:type="xsd:double"&gt;1.7260075&lt;/D&gt;&lt;D xsi:type="xsd:double"&gt;-3.3037722&lt;/D&gt;&lt;D xsi:type="xsd:double"&gt;2.2237659&lt;/D&gt;&lt;D xsi:type="xsd:double"&gt;5.8926105&lt;/D&gt;&lt;D xsi:type="xsd:double"&gt;0.25064945&lt;/D&gt;&lt;D xsi:type="xsd:double"&gt;-1.0079563&lt;/D&gt;&lt;D xsi:type="xsd:double"&gt;1.94031&lt;/D&gt;&lt;D xsi:type="xsd:double"&gt;-2.6675344&lt;/D&gt;&lt;D xsi:type="xsd:double"&gt;0.0349164&lt;/D&gt;&lt;D xsi:type="xsd:double"&gt;-1.6273022&lt;/D&gt;&lt;D xsi:type="xsd:double"&gt;-1.0029137&lt;/D&gt;&lt;D xsi:type="xsd:double"&gt;-0.58232546&lt;/D&gt;&lt;D xsi:type="xsd:double"&gt;-2.5399923&lt;/D&gt;&lt;D xsi:type="xsd:double"&gt;-0.15565157&lt;/D&gt;&lt;D xsi:type="xsd:double"&gt;0.003182888&lt;/D&gt;&lt;D xsi:type="xsd:double"&gt;0.025439262&lt;/D&gt;&lt;D xsi:type="xsd:double"&gt;-1.4598429&lt;/D&gt;&lt;D xsi:type="xsd:double"&gt;-1.283598&lt;/D&gt;&lt;D xsi:type="xsd:double"&gt;0.42535067&lt;/D&gt;&lt;D xsi:type="xsd:double"&gt;-0.638926&lt;/D&gt;&lt;D xsi:type="xsd:double"&gt;0.23673773&lt;/D&gt;&lt;D xsi:type="xsd:double"&gt;3.4430265&lt;/D&gt;&lt;D xsi:type="xsd:double"&gt;2.2826076&lt;/D&gt;&lt;D xsi:type="xsd:double"&gt;-1.1404693&lt;/D&gt;&lt;D xsi:type="xsd:double"&gt;-1.548028&lt;/D&gt;&lt;D xsi:type="xsd:double"&gt;-0.096678734&lt;/D&gt;&lt;D xsi:type="xsd:double"&gt;-0.8207679&lt;/D&gt;&lt;D xsi:type="xsd:double"&gt;3.2298803&lt;/D&gt;&lt;D xsi:type="xsd:double"&gt;0.57940483&lt;/D&gt;&lt;D xsi:type="xsd:double"&gt;-1.1064708&lt;/D&gt;&lt;D xsi:type="xsd:double"&gt;-0.07624626&lt;/D&gt;&lt;D xsi:type="xsd:double"&gt;1.3765454&lt;/D&gt;&lt;D xsi:type="xsd:double"&gt;1.7265677&lt;/D&gt;&lt;D xsi:type="xsd:double"&gt;-2.5282443&lt;/D&gt;&lt;D xsi:type="xsd:double"&gt;2.3652792&lt;/D&gt;&lt;D xsi:type="xsd:double"&gt;2.1203876&lt;/D&gt;&lt;D xsi:type="xsd:double"&gt;2.0911932&lt;/D&gt;&lt;D xsi:type="xsd:double"&gt;1.955092&lt;/D&gt;&lt;D xsi:type="xsd:double"&gt;2.7080178&lt;/D&gt;&lt;D xsi:type="xsd:double"&gt;1.7489672&lt;/D&gt;&lt;D xsi:type="xsd:double"&gt;2.9685616&lt;/D&gt;&lt;D xsi:type="xsd:double"&gt;-0.08736849&lt;/D&gt;&lt;D xsi:type="xsd:double"&gt;-0.78862906&lt;/D&gt;&lt;D xsi:type="xsd:double"&gt;1.0450244&lt;/D&gt;&lt;D xsi:type="xsd:double"&gt;0.32998323&lt;/D&gt;&lt;D xsi:type="xsd:double"&gt;0.5688071&lt;/D&gt;&lt;D xsi:type="xsd:double"&gt;-0.62478185&lt;/D&gt;&lt;D xsi:type="xsd:double"&gt;-1.287508&lt;/D&gt;&lt;D xsi:type="xsd:double"&gt;-0.67641735&lt;/D&gt;&lt;D xsi:type="xsd:double"&gt;-1.9386232&lt;/D&gt;&lt;D xsi:type="xsd:double"&gt;-1.7586768&lt;/D&gt;&lt;D xsi:type="xsd:double"&gt;4.155123&lt;/D&gt;&lt;D xsi:type="xsd:double"&gt;-2.0589888&lt;/D&gt;&lt;D xsi:type="xsd:double"&gt;-0.12216568&lt;/D&gt;&lt;D xsi:type="xsd:double"&gt;0.631547&lt;/D&gt;&lt;D xsi:type="xsd:double"&gt;-3.2659888&lt;/D&gt;&lt;D xsi:type="xsd:double"&gt;1.3457298&lt;/D&gt;&lt;D xsi:type="xsd:double"&gt;0.7433653&lt;/D&gt;&lt;D xsi:type="xsd:double"&gt;1.0330796&lt;/D&gt;&lt;D xsi:type="xsd:double"&gt;-0.23485422&lt;/D&gt;&lt;D xsi:type="xsd:double"&gt;-1.6777396&lt;/D&gt;&lt;D xsi:type="xsd:double"&gt;0.57423115&lt;/D&gt;&lt;D xsi:type="xsd:double"&gt;-2.1438062&lt;/D&gt;&lt;D xsi:type="xsd:double"&gt;-2.155906&lt;/D&gt;&lt;D xsi:type="xsd:double"&gt;-0.028508902&lt;/D&gt;&lt;D xsi:type="xsd:double"&gt;1.6941309&lt;/D&gt;&lt;D xsi:type="xsd:double"&gt;-0.84694624&lt;/D&gt;&lt;D xsi:type="xsd:double"&gt;-0.4581511&lt;/D&gt;&lt;D xsi:type="xsd:double"&gt;1.0065198&lt;/D&gt;&lt;D xsi:type="xsd:double"&gt;-0.39370656&lt;/D&gt;&lt;D xsi:type="xsd:double"&gt;-0.80469847&lt;/D&gt;&lt;D xsi:type="xsd:double"&gt;1.2387872&lt;/D&gt;&lt;D xsi:type="xsd:double"&gt;0.18612146&lt;/D&gt;&lt;D xsi:type="xsd:double"&gt;-0.81143975&lt;/D&gt;&lt;D xsi:type="xsd:double"&gt;2.1499515&lt;/D&gt;&lt;D xsi:type="xsd:double"&gt;-0.49968362&lt;/D&gt;&lt;D xsi:type="xsd:double"&gt;0.94008446&lt;/D&gt;&lt;D xsi:type="xsd:double"&gt;-2.7691662&lt;/D&gt;&lt;D xsi:type="xsd:double"&gt;0.85264444&lt;/D&gt;&lt;D xsi:type="xsd:double"&gt;-4.6839952&lt;/D&gt;&lt;D xsi:type="xsd:double"&gt;-0.34051538&lt;/D&gt;&lt;D xsi:type="xsd:double"&gt;3.0638218&lt;/D&gt;&lt;D xsi:type="xsd:double"&gt;-1.9258678&lt;/D&gt;&lt;D xsi:type="xsd:double"&gt;1.7606258&lt;/D&gt;&lt;D xsi:type="xsd:double"&gt;0.48002005&lt;/D&gt;&lt;D xsi:type="xsd:double"&gt;-2.8756022&lt;/D&gt;&lt;D xsi:type="xsd:double"&gt;1.5912652&lt;/D&gt;&lt;D xsi:type="xsd:double"&gt;-1.6960382&lt;/D&gt;&lt;D xsi:type="xsd:double"&gt;1.0512233&lt;/D&gt;&lt;D xsi:type="xsd:double"&gt;0.15310049&lt;/D&gt;&lt;D xsi:type="xsd:double"&gt;-0.28162003&lt;/D&gt;&lt;D xsi:type="xsd:double"&gt;0.9231329&lt;/D&gt;&lt;D xsi:type="xsd:double"&gt;-2.8730273&lt;/D&gt;&lt;D xsi:type="xsd:double"&gt;1.3533473&lt;/D&gt;&lt;D xsi:type="xsd:double"&gt;0.22579432&lt;/D&gt;&lt;D xsi:type="xsd:double"&gt;1.0733843&lt;/D&gt;&lt;D xsi:type="xsd:double"&gt;0.16508102&lt;/D&gt;&lt;D xsi:type="xsd:double"&gt;-2.9514253&lt;/D&gt;&lt;D xsi:type="xsd:double"&gt;2.122295&lt;/D&gt;&lt;D xsi:type="xsd:double"&gt;-1.1686862&lt;/D&gt;&lt;D xsi:type="xsd:double"&gt;-3.7028313&lt;/D&gt;&lt;D xsi:type="xsd:double"&gt;1.2032509&lt;/D&gt;&lt;D xsi:type="xsd:double"&gt;2.815175&lt;/D&gt;&lt;D xsi:type="xsd:double"&gt;0.524652&lt;/D&gt;&lt;D xsi:type="xsd:double"&gt;1.9746542&lt;/D&gt;&lt;D xsi:type="xsd:double"&gt;0.025570393&lt;/D&gt;&lt;D xsi:type="xsd:double"&gt;0.61912537&lt;/D&gt;&lt;D xsi:type="xsd:double"&gt;1.7114043&lt;/D&gt;&lt;D xsi:type="xsd:double"&gt;-1.1090755&lt;/D&gt;&lt;D xsi:type="xsd:double"&gt;3.864932&lt;/D&gt;&lt;D xsi:type="xsd:double"&gt;-1.4299333&lt;/D&gt;&lt;D xsi:type="xsd:double"&gt;0.14988184&lt;/D&gt;&lt;D xsi:type="xsd:double"&gt;5.652976&lt;/D&gt;&lt;D xsi:type="xsd:double"&gt;-0.8790374&lt;/D&gt;&lt;D xsi:type="xsd:double"&gt;4.343283&lt;/D&gt;&lt;D xsi:type="xsd:double"&gt;-0.85374117&lt;/D&gt;&lt;D xsi:type="xsd:double"&gt;-2.8853714&lt;/D&gt;&lt;D xsi:type="xsd:double"&gt;10.1122265&lt;/D&gt;&lt;D xsi:type="xsd:double"&gt;-11.419439&lt;/D&gt;&lt;D xsi:type="xsd:double"&gt;-4.564023&lt;/D&gt;&lt;D xsi:type="xsd:double"&gt;-1.7453194&lt;/D&gt;&lt;D xsi:type="xsd:double"&gt;5.4990053&lt;/D&gt;&lt;D xsi:type="xsd:double"&gt;0.57781935&lt;/D&gt;&lt;D xsi:type="xsd:double"&gt;1.5723705&lt;/D&gt;&lt;D xsi:type="xsd:double"&gt;-0.62621236&lt;/D&gt;&lt;D xsi:type="xsd:double"&gt;-2.3982167&lt;/D&gt;&lt;D xsi:type="xsd:double"&gt;0.57156086&lt;/D&gt;&lt;D xsi:type="xsd:double"&gt;1.4400721&lt;/D&gt;&lt;D xsi:type="xsd:double"&gt;-0.71811676&lt;/D&gt;&lt;D xsi:type="xsd:double"&gt;-1.9990504&lt;/D&gt;&lt;D xsi:type="xsd:double"&gt;-2.5924265&lt;/D&gt;&lt;D xsi:type="xsd:double"&gt;2.2225976&lt;/D&gt;&lt;D xsi:type="xsd:double"&gt;-0.15128851&lt;/D&gt;&lt;D xsi:type="xsd:double"&gt;-0.09818077&lt;/D&gt;&lt;D xsi:type="xsd:double"&gt;0.87388754&lt;/D&gt;&lt;D xsi:type="xsd:double"&gt;1.999867&lt;/D&gt;&lt;D xsi:type="xsd:double"&gt;1.8793106&lt;/D&gt;&lt;D xsi:type="xsd:double"&gt;1.5386105&lt;/D&gt;&lt;D xsi:type="xsd:double"&gt;-0.64513683&lt;/D&gt;&lt;D xsi:type="xsd:double"&gt;1.601851&lt;/D&gt;&lt;D xsi:type="xsd:double"&gt;0.5266309&lt;/D&gt;&lt;D xsi:type="xsd:double"&gt;0.31101704&lt;/D&gt;&lt;D xsi:type="xsd:double"&gt;-0.07279515&lt;/D&gt;&lt;D xsi:type="xsd:double"&gt;-1.0167599&lt;/D&gt;&lt;D xsi:type="xsd:double"&gt;1.0690808&lt;/D&gt;&lt;D xsi:type="xsd:double"&gt;-0.9722531&lt;/D&gt;&lt;D xsi:type="xsd:double"&gt;1.2486458&lt;/D&gt;&lt;D xsi:type="xsd:double"&gt;-0.1062274&lt;/D&gt;&lt;D xsi:type="xsd:double"&gt;-0.16375184&lt;/D&gt;&lt;D xsi:type="xsd:double"&gt;-0.78808665&lt;/D&gt;&lt;D xsi:type="xsd:double"&gt;3.7233233&lt;/D&gt;&lt;D xsi:type="xsd:double"&gt;0.6501794&lt;/D&gt;&lt;D xsi:type="xsd:double"&gt;2.2508502&lt;/D&gt;&lt;D xsi:type="xsd:double"&gt;-1.70784&lt;/D&gt;&lt;D xsi:type="xsd:double"&gt;-0.6663084&lt;/D&gt;&lt;D xsi:type="xsd:double"&gt;0.34327507&lt;/D&gt;&lt;D xsi:type="xsd:double"&gt;2.946055&lt;/D&gt;&lt;D xsi:type="xsd:double"&gt;-1.2185931&lt;/D&gt;&lt;D xsi:type="xsd:double"&gt;-1.0360777&lt;/D&gt;&lt;D xsi:type="xsd:double"&gt;-0.36808848&lt;/D&gt;&lt;D xsi:type="xsd:double"&gt;1.2526989&lt;/D&gt;&lt;D xsi:type="xsd:double"&gt;1.5808463&lt;/D&gt;&lt;D xsi:type="xsd:double"&gt;4.220879&lt;/D&gt;&lt;D xsi:type="xsd:double"&gt;-1.1528075&lt;/D&gt;&lt;D xsi:type="xsd:double"&gt;0.92953444&lt;/D&gt;&lt;D xsi:type="xsd:double"&gt;0.23061037&lt;/D&gt;&lt;D xsi:type="xsd:double"&gt;-0.19549131&lt;/D&gt;&lt;D xsi:type="xsd:double"&gt;0.8263588&lt;/D&gt;&lt;D xsi:type="xsd:double"&gt;-2.1647274&lt;/D&gt;&lt;D xsi:type="xsd:double"&gt;-1.2439728&lt;/D&gt;&lt;D xsi:type="xsd:double"&gt;0.20707846&lt;/D&gt;&lt;D xsi:type="xsd:double"&gt;0.45275688&lt;/D&gt;&lt;D xsi:type="xsd:double"&gt;-1.1813521&lt;/D&gt;&lt;D xsi:type="xsd:double"&gt;-1.443851&lt;/D&gt;&lt;D xsi:type="xsd:double"&gt;-0.106048584&lt;/D&gt;&lt;D xsi:type="xsd:double"&gt;0.17732382&lt;/D&gt;&lt;D xsi:type="xsd:double"&gt;-7.109761&lt;/D&gt;&lt;D xsi:type="xsd:double"&gt;2.53855&lt;/D&gt;&lt;D xsi:type="xsd:double"&gt;-3.272283&lt;/D&gt;&lt;D xsi:type="xsd:double"&gt;-1.0996163&lt;/D&gt;&lt;D xsi:type="xsd:double"&gt;-0.6917834&lt;/D&gt;&lt;D xsi:type="xsd:double"&gt;0.7685542&lt;/D&gt;&lt;D xsi:type="xsd:double"&gt;2.669239&lt;/D&gt;&lt;D xsi:type="xsd:double"&gt;-0.98524094&lt;/D&gt;&lt;D xsi:type="xsd:double"&gt;2.46104&lt;/D&gt;&lt;D xsi:type="xsd:double"&gt;0.37653446&lt;/D&gt;&lt;D xsi:type="xsd:double"&gt;-0.6690502&lt;/D&gt;&lt;D xsi:type="xsd:double"&gt;-2.496016&lt;/D&gt;&lt;D xsi:type="xsd:double"&gt;0.6085515&lt;/D&gt;&lt;D xsi:type="xsd:double"&gt;0.15403032&lt;/D&gt;&lt;D xsi:type="xsd:double"&gt;-0.69661736&lt;/D&gt;&lt;D xsi:type="xsd:double"&gt;-2.8078258&lt;/D&gt;&lt;D xsi:type="xsd:double"&gt;0.51391125&lt;/D&gt;&lt;D xsi:type="xsd:double"&gt;-2.4392724&lt;/D&gt;&lt;D xsi:type="xsd:double"&gt;-4.9513044&lt;/D&gt;&lt;D xsi:type="xsd:double"&gt;-1.304996&lt;/D&gt;&lt;D xsi:type="xsd:double"&gt;1.3276339&lt;/D&gt;&lt;D xsi:type="xsd:double"&gt;1.3526797&lt;/D&gt;&lt;D xsi:type="xsd:double"&gt;-0.5704522&lt;/D&gt;&lt;D xsi:type="xsd:double"&gt;3.0833244&lt;/D&gt;&lt;D xsi:type="xsd:double"&gt;-0.017023087&lt;/D&gt;&lt;D xsi:type="xsd:double"&gt;1.6402483&lt;/D&gt;&lt;D xsi:type="xsd:double"&gt;0.17830133&lt;/D&gt;&lt;D xsi:type="xsd:double"&gt;0.9104848&lt;/D&gt;&lt;D xsi:type="xsd:double"&gt;0.09292364&lt;/D&gt;&lt;D xsi:type="xsd:double"&gt;3.9995193&lt;/D&gt;&lt;D xsi:type="xsd:double"&gt;-2.5600553&lt;/D&gt;&lt;D xsi:type="xsd:double"&gt;1.7310858&lt;/D&gt;&lt;D xsi:type="xsd:double"&gt;0.2762437&lt;/D&gt;&lt;D xsi:type="xsd:double"&gt;2.4410963&lt;/D&gt;&lt;D xsi:type="xsd:double"&gt;1.5559673&lt;/D&gt;&lt;D xsi:type="xsd:double"&gt;1.98282&lt;/D&gt;&lt;D xsi:type="xsd:double"&gt;-0.61977506&lt;/D&gt;&lt;D xsi:type="xsd:double"&gt;0.23748875&lt;/D&gt;&lt;D xsi:type="xsd:double"&gt;0.5092144&lt;/D&gt;&lt;D xsi:type="xsd:double"&gt;-0.17707944&lt;/D&gt;&lt;D xsi:type="xsd:double"&gt;-1.877898&lt;/D&gt;&lt;D xsi:type="xsd:double"&gt;-1.5445352&lt;/D&gt;&lt;D xsi:type="xsd:double"&gt;-3.0380607&lt;/D&gt;&lt;D xsi:type="xsd:double"&gt;-0.05813241&lt;/D&gt;&lt;D xsi:type="xsd:double"&gt;2.7038693&lt;/D&gt;&lt;D xsi:type="xsd:double"&gt;1.9632459&lt;/D&gt;&lt;D xsi:type="xsd:double"&gt;-0.5108774&lt;/D&gt;&lt;D xsi:type="xsd:double"&gt;-0.018697977&lt;/D&gt;&lt;D xsi:type="xsd:double"&gt;-0.5482793&lt;/D&gt;&lt;D xsi:type="xsd:double"&gt;0.8255601&lt;/D&gt;&lt;D xsi:type="xsd:double"&gt;0.7412672&lt;/D&gt;&lt;D xsi:type="xsd:double"&gt;-1.3058066&lt;/D&gt;&lt;D xsi:type="xsd:double"&gt;-1.1935353&lt;/D&gt;&lt;D xsi:type="xsd:double"&gt;-2.4068177&lt;/D&gt;&lt;D xsi:type="xsd:double"&gt;-0.019931793&lt;/D&gt;&lt;D xsi:type="xsd:double"&gt;-0.07956624&lt;/D&gt;&lt;D xsi:type="xsd:double"&gt;1.3718724&lt;/D&gt;&lt;D xsi:type="xsd:double"&gt;-1.4296889&lt;/D&gt;&lt;D xsi:type="xsd:double"&gt;0.64970255&lt;/D&gt;&lt;D xsi:type="xsd:double"&gt;0.97477436&lt;/D&gt;&lt;D xsi:type="xsd:double"&gt;-0.69897175&lt;/D&gt;&lt;D xsi:type="xsd:double"&gt;1.3540745&lt;/D&gt;&lt;D xsi:type="xsd:double"&gt;-0.08698702&lt;/D&gt;&lt;D xsi:type="xsd:double"&gt;-0.4656911&lt;/D&gt;&lt;D xsi:type="xsd:double"&gt;-3.9623082&lt;/D&gt;&lt;D xsi:type="xsd:double"&gt;5.5678964&lt;/D&gt;&lt;D xsi:type="xsd:double"&gt;-0.2809465&lt;/D&gt;&lt;D xsi:type="xsd:double"&gt;-0.799942&lt;/D&gt;&lt;D xsi:type="xsd:double"&gt;21.178759&lt;/D&gt;&lt;D xsi:type="xsd:double"&gt;1.2135625&lt;/D&gt;&lt;D xsi:type="xsd:double"&gt;0.7926941&lt;/D&gt;&lt;D xsi:type="xsd:double"&gt;0.20266771&lt;/D&gt;&lt;D xsi:type="xsd:double"&gt;1.9278169&lt;/D&gt;&lt;D xsi:type="xsd:double"&gt;-2.4834812&lt;/D&gt;&lt;D xsi:type="xsd:double"&gt;0.104773045&lt;/D&gt;&lt;D xsi:type="xsd:double"&gt;0.8490801&lt;/D&gt;&lt;D xsi:type="xsd:double"&gt;0.6242275&lt;/D&gt;&lt;D xsi:type="xsd:double"&gt;1.2878299&lt;/D&gt;&lt;D xsi:type="xsd:double"&gt;-0.11590719&lt;/D&gt;&lt;D xsi:type="xsd:double"&gt;-0.53048134&lt;/D&gt;&lt;D xsi:type="xsd:double"&gt;-3.0846298&lt;/D&gt;&lt;D xsi:type="xsd:double"&gt;5.012691&lt;/D&gt;&lt;D xsi:type="xsd:double"&gt;0.18099546&lt;/D&gt;&lt;D xsi:type="xsd:double"&gt;0.43318272&lt;/D&gt;&lt;D xsi:type="xsd:double"&gt;0.7117152&lt;/D&gt;&lt;D xsi:type="xsd:double"&gt;3.3911943&lt;/D&gt;&lt;D xsi:type="xsd:double"&gt;0.16678572&lt;/D&gt;&lt;D xsi:type="xsd:double"&gt;0.11467934&lt;/D&gt;&lt;D xsi:type="xsd:double"&gt;0.5489588&lt;/D&gt;&lt;D xsi:type="xsd:double"&gt;-1.1629105&lt;/D&gt;&lt;D xsi:type="xsd:double"&gt;-0.67284703&lt;/D&gt;&lt;D xsi:type="xsd:double"&gt;0.20005703&lt;/D&gt;&lt;D xsi:type="xsd:double"&gt;1.8799543&lt;/D&gt;&lt;D xsi:type="xsd:double"&gt;1.5920401&lt;/D&gt;&lt;D xsi:type="xsd:double"&gt;-0.2906084&lt;/D&gt;&lt;D xsi:type="xsd:double"&gt;0.2596259&lt;/D&gt;&lt;D xsi:type="xsd:double"&gt;-0.098359585&lt;/D&gt;&lt;D xsi:type="xsd:double"&gt;1.7627597&lt;/D&gt;&lt;D xsi:type="xsd:double"&gt;-0.4902184&lt;/D&gt;&lt;D xsi:type="xsd:double"&gt;-1.9991815&lt;/D&gt;&lt;D xsi:type="xsd:double"&gt;-1.2911856&lt;/D&gt;&lt;D xsi:type="xsd:double"&gt;0.14702082&lt;/D&gt;&lt;D xsi:type="xsd:double"&gt;5.15728&lt;/D&gt;&lt;D xsi:type="xsd:double"&gt;0.13192892&lt;/D&gt;&lt;D xsi:type="xsd:double"&gt;-0.17229915&lt;/D&gt;&lt;D xsi:type="xsd:double"&gt;-1.2448668&lt;/D&gt;&lt;D xsi:type="xsd:double"&gt;2.085054&lt;/D&gt;&lt;D xsi:type="xsd:double"&gt;2.4645925&lt;/D&gt;&lt;D xsi:type="xsd:double"&gt;-0.64824224&lt;/D&gt;&lt;D xsi:type="xsd:double"&gt;-0.2692163&lt;/D&gt;&lt;D xsi:type="xsd:double"&gt;2.480793&lt;/D&gt;&lt;D xsi:type="xsd:double"&gt;0.15413761&lt;/D&gt;&lt;D xsi:type="xsd:double"&gt;0.08484125&lt;/D&gt;&lt;D xsi:type="xsd:double"&gt;0.60848&lt;/D&gt;&lt;D xsi:type="xsd:double"&gt;0.1739502&lt;/D&gt;&lt;D xsi:type="xsd:double"&gt;1.2788653&lt;/D&gt;&lt;D xsi:type="xsd:double"&gt;-0.91522336&lt;/D&gt;&lt;D xsi:type="xsd:double"&gt;1.0544896&lt;/D&gt;&lt;D xsi:type="xsd:double"&gt;-1.3443649&lt;/D&gt;&lt;D xsi:type="xsd:double"&gt;1.6861439&lt;/D&gt;&lt;D xsi:type="xsd:double"&gt;-0.68045855&lt;/D&gt;&lt;D xsi:type="xsd:double"&gt;-0.3329873&lt;/D&gt;&lt;D xsi:type="xsd:double"&gt;-0.11769533&lt;/D&gt;&lt;D xsi:type="xsd:double"&gt;-2.3202837&lt;/D&gt;&lt;D xsi:type="xsd:double"&gt;1.7045856&lt;/D&gt;&lt;D xsi:type="xsd:double"&gt;-0.43863654&lt;/D&gt;&lt;D xsi:type="xsd:double"&gt;-2.6637375&lt;/D&gt;&lt;D xsi:type="xsd:double"&gt;-0.97060204&lt;/D&gt;&lt;D xsi:type="xsd:double"&gt;-1.2695968&lt;/D&gt;&lt;D xsi:type="xsd:double"&gt;0.74989796&lt;/D&gt;&lt;D xsi:type="xsd:double"&gt;2.5248528&lt;/D&gt;&lt;D xsi:type="xsd:double"&gt;2.2297263&lt;/D&gt;&lt;D xsi:type="xsd:double"&gt;-0.17011166&lt;/D&gt;&lt;D xsi:type="xsd:double"&gt;-1.1818707&lt;/D&gt;&lt;D xsi:type="xsd:double"&gt;0.8012414&lt;/D&gt;&lt;D xsi:type="xsd:double"&gt;-1.3243318&lt;/D&gt;&lt;D xsi:type="xsd:double"&gt;-0.50569177&lt;/D&gt;&lt;D xsi:type="xsd:double"&gt;0.77558756&lt;/D&gt;&lt;D xsi:type="xsd:double"&gt;-0.081938505&lt;/D&gt;&lt;D xsi:type="xsd:double"&gt;0.19023418&lt;/D&gt;&lt;D xsi:type="xsd:double"&gt;-0.26978254&lt;/D&gt;&lt;D xsi:type="xsd:double"&gt;0.3658414&lt;/D&gt;&lt;D xsi:type="xsd:double"&gt;0.33313036&lt;/D&gt;&lt;D xsi:type="xsd:double"&gt;-1.0641754&lt;/D&gt;&lt;D xsi:type="xsd:double"&gt;-1.789707&lt;/D&gt;&lt;D xsi:type="xsd:double"&gt;1.2559652&lt;/D&gt;&lt;D xsi:type="xsd:double"&gt;-1.7359614&lt;/D&gt;&lt;D xsi:type="xsd:double"&gt;2.388835&lt;/D&gt;&lt;D xsi:type="xsd:double"&gt;0.56215525&lt;/D&gt;&lt;D xsi:type="xsd:double"&gt;1.1459708&lt;/D&gt;&lt;D xsi:type="xsd:double"&gt;1.2906313&lt;/D&gt;&lt;D xsi:type="xsd:double"&gt;-2.9566288&lt;/D&gt;&lt;D xsi:type="xsd:double"&gt;-2.560079&lt;/D&gt;&lt;D xsi:type="xsd:double"&gt;-0.15029907&lt;/D&gt;&lt;D xsi:type="xsd:double"&gt;0.3461957&lt;/D&gt;&lt;D xsi:type="xsd:double"&gt;-1.5133619&lt;/D&gt;&lt;D xsi:type="xsd:double"&gt;-1.0349631&lt;/D&gt;&lt;D xsi:type="xsd:double"&gt;1.4351487&lt;/D&gt;&lt;D xsi:type="xsd:double"&gt;-3.112042&lt;/D&gt;&lt;D xsi:type="xsd:double"&gt;13.05579&lt;/D&gt;&lt;D xsi:type="xsd:double"&gt;-0.7139206&lt;/D&gt;&lt;D xsi:type="xsd:double"&gt;-1.8681347&lt;/D&gt;&lt;D xsi:type="xsd:double"&gt;-1.1047661&lt;/D&gt;&lt;D xsi:type="xsd:double"&gt;0.1218915&lt;/D&gt;&lt;D xsi:type="xsd:double"&gt;1.3210654&lt;/D&gt;&lt;D xsi:type="xsd:double"&gt;1.7409325&lt;/D&gt;&lt;D xsi:type="xsd:double"&gt;0.053226948&lt;/D&gt;&lt;D xsi:type="xsd:double"&gt;0.03670454&lt;/D&gt;&lt;D xsi:type="xsd:double"&gt;1.6691685&lt;/D&gt;&lt;D xsi:type="xsd:double"&gt;-0.8596659&lt;/D&gt;&lt;D xsi:type="xsd:double"&gt;0.29034615&lt;/D&gt;&lt;D xsi:type="xsd:double"&gt;0.9225249&lt;/D&gt;&lt;D xsi:type="xsd:double"&gt;-2.166772&lt;/D&gt;&lt;D xsi:type="xsd:double"&gt;0.6129384&lt;/D&gt;&lt;D xsi:type="xsd:double"&gt;1.3352156&lt;/D&gt;&lt;D xsi:type="xsd:double"&gt;0.3630638&lt;/D&gt;&lt;D xsi:type="xsd:double"&gt;0.4569292&lt;/D&gt;&lt;D xsi:type="xsd:double"&gt;1.3840556&lt;/D&gt;&lt;D xsi:type="xsd:double"&gt;-0.95846057&lt;/D&gt;&lt;D xsi:type="xsd:double"&gt;-1.3426185&lt;/D&gt;&lt;D xsi:type="xsd:double"&gt;0.993979&lt;/D&gt;&lt;D xsi:type="xsd:double"&gt;0.8007884&lt;/D&gt;&lt;D xsi:type="xsd:double"&gt;-1.9493878&lt;/D&gt;&lt;D xsi:type="xsd:double"&gt;-1.0097146&lt;/D&gt;&lt;D xsi:type="xsd:double"&gt;-0.79931617&lt;/D&gt;&lt;D xsi:type="xsd:double"&gt;-0.66998005&lt;/D&gt;&lt;D xsi:type="xsd:double"&gt;0.44876337&lt;/D&gt;&lt;D xsi:type="xsd:double"&gt;-1.4486372&lt;/D&gt;&lt;D xsi:type="xsd:double"&gt;-0.23836493&lt;/D&gt;&lt;D xsi:type="xsd:double"&gt;1.4649272&lt;/D&gt;&lt;D xsi:type="xsd:double"&gt;-0.788182&lt;/D&gt;&lt;D xsi:type="xsd:double"&gt;0.024747849&lt;/D&gt;&lt;D xsi:type="xsd:double"&gt;1.1995912&lt;/D&gt;&lt;D xsi:type="xsd:double"&gt;-0.545609&lt;/D&gt;&lt;D xsi:type="xsd:double"&gt;-0.7630646&lt;/D&gt;&lt;D xsi:type="xsd:double"&gt;-0.51007867&lt;/D&gt;&lt;D xsi:type="xsd:double"&gt;0.8934498&lt;/D&gt;&lt;D xsi:type="xsd:double"&gt;-0.6195903&lt;/D&gt;&lt;D xsi:type="xsd:double"&gt;-0.40379763&lt;/D&gt;&lt;D xsi:type="xsd:double"&gt;-0.24782419&lt;/D&gt;&lt;D xsi:type="xsd:double"&gt;0.50575733&lt;/D&gt;&lt;D xsi:type="xsd:double"&gt;0.25824308&lt;/D&gt;&lt;D xsi:type="xsd:double"&gt;1.0322332&lt;/D&gt;&lt;D xsi:type="xsd:double"&gt;-3.0043721&lt;/D&gt;&lt;D xsi:type="xsd:double"&gt;-0.07079244&lt;/D&gt;&lt;D xsi:type="xsd:double"&gt;1.0811448&lt;/D&gt;&lt;D xsi:type="xsd:double"&gt;1.1481404&lt;/D&gt;&lt;D xsi:type="xsd:double"&gt;-0.44567585&lt;/D&gt;&lt;D xsi:type="xsd:double"&gt;0.17555952&lt;/D&gt;&lt;D xsi:type="xsd:double"&gt;0.18624067&lt;/D&gt;&lt;D xsi:type="xsd:double"&gt;1.855731&lt;/D&gt;&lt;D xsi:type="xsd:double"&gt;-0.89458823&lt;/D&gt;&lt;D xsi:type="xsd:double"&gt;0.43498278&lt;/D&gt;&lt;D xsi:type="xsd:double"&gt;0.45970678&lt;/D&gt;&lt;D xsi:type="xsd:double"&gt;-0.9708822&lt;/D&gt;&lt;D xsi:type="xsd:double"&gt;-1.1998951&lt;/D&gt;&lt;D xsi:type="xsd:double"&gt;1.0716081&lt;/D&gt;&lt;D xsi:type="xsd:double"&gt;0.8727789&lt;/D&gt;&lt;D xsi:type="xsd:double"&gt;-1.0390937&lt;/D&gt;&lt;D xsi:type="xsd:double"&gt;1.6104698&lt;/D&gt;&lt;D xsi:type="xsd:double"&gt;-0.26603937&lt;/D&gt;&lt;D xsi:type="xsd:double"&gt;0.32595396&lt;/D&gt;&lt;D xsi:type="xsd:double"&gt;-0.9999275&lt;/D&gt;&lt;D xsi:type="xsd:double"&gt;0.18180609&lt;/D&gt;&lt;D xsi:type="xsd:double"&gt;0.01116991&lt;/D&gt;&lt;D xsi:type="xsd:double"&gt;0.35959482&lt;/D&gt;&lt;D xsi:type="xsd:double"&gt;-0.16345978&lt;/D&gt;&lt;D xsi:type="xsd:double"&gt;-0.49984455&lt;/D&gt;&lt;D xsi:type="xsd:double"&gt;-0.22746325&lt;/D&gt;&lt;D xsi:type="xsd:double"&gt;0.47187805&lt;/D&gt;&lt;D xsi:type="xsd:double"&gt;0.31700134&lt;/D&gt;&lt;D xsi:type="xsd:double"&gt;1.7425776&lt;/D&gt;&lt;D xsi:type="xsd:double"&gt;-0.35423636&lt;/D&gt;&lt;D xsi:type="xsd:double"&gt;0.1131773&lt;/D&gt;&lt;D xsi:type="xsd:double"&gt;-0.5929291&lt;/D&gt;&lt;D xsi:type="xsd:double"&gt;1.4087915&lt;/D&gt;&lt;D xsi:type="xsd:double"&gt;-0.122112036&lt;/D&gt;&lt;D xsi:type="xsd:double"&gt;1.4285445&lt;/D&gt;&lt;D xsi:type="xsd:double"&gt;-1.1854172&lt;/D&gt;&lt;D xsi:type="xsd:double"&gt;1.3639688&lt;/D&gt;&lt;D xsi:type="xsd:double"&gt;-1.8887877&lt;/D&gt;&lt;D xsi:type="xsd:double"&gt;-0.5686879&lt;/D&gt;&lt;D xsi:type="xsd:double"&gt;-1.4676571&lt;/D&gt;&lt;D xsi:type="xsd:double"&gt;0.25247335&lt;/D&gt;&lt;D xsi:type="xsd:double"&gt;0.0962615&lt;/D&gt;&lt;D xsi:type="xsd:double"&gt;2.0448446&lt;/D&gt;&lt;D xsi:type="xsd:double"&gt;-0.23151636&lt;/D&gt;&lt;D xsi:type="xsd:double"&gt;0.20185709&lt;/D&gt;&lt;D xsi:type="xsd:double"&gt;0.29613972&lt;/D&gt;&lt;D xsi:type="xsd:double"&gt;-0.5372405&lt;/D&gt;&lt;D xsi:type="xsd:double"&gt;-0.008380413&lt;/D&gt;&lt;D xsi:type="xsd:double"&gt;-1.1971295&lt;/D&gt;&lt;D xsi:type="xsd:double"&gt;1.4401555&lt;/D&gt;&lt;D xsi:type="xsd:double"&gt;1.1748552&lt;/D&gt;&lt;D xsi:type="xsd:double"&gt;-0.15189648&lt;/D&gt;&lt;D xsi:type="xsd:double"&gt;-0.7413149&lt;/D&gt;&lt;D xsi:type="xsd:double"&gt;0.9260893&lt;/D&gt;&lt;D xsi:type="xsd:double"&gt;0.99161863&lt;/D&gt;&lt;D xsi:type="xsd:double"&gt;0.8547425&lt;/D&gt;&lt;D xsi:type="xsd:double"&gt;-0.58661103&lt;/D&gt;&lt;D xsi:type="xsd:double"&gt;0.4768014&lt;/D&gt;&lt;D xsi:type="xsd:double"&gt;-0.16452074&lt;/D&gt;&lt;D xsi:type="xsd:double"&gt;-0.44522285&lt;/D&gt;&lt;D xsi:type="xsd:double"&gt;0.92960596&lt;/D&gt;&lt;D xsi:type="xsd:double"&gt;0.41981936&lt;/D&gt;&lt;D xsi:type="xsd:double"&gt;0.5616784&lt;/D&gt;&lt;D xsi:type="xsd:double"&gt;1.5354037&lt;/D&gt;&lt;D xsi:type="xsd:double"&gt;0.027275085&lt;/D&gt;&lt;D xsi:type="xsd:double"&gt;0.8707404&lt;/D&gt;&lt;D xsi:type="xsd:double"&gt;-1.0629475&lt;/D&gt;&lt;D xsi:type="xsd:double"&gt;0.079739094&lt;/D&gt;&lt;D xsi:type="xsd:double"&gt;-0.46064854&lt;/D&gt;&lt;D xsi:type="xsd:double"&gt;1.8438816&lt;/D&gt;&lt;D xsi:type="xsd:double"&gt;0.40768385&lt;/D&gt;&lt;D xsi:type="xsd:double"&gt;-1.1930168&lt;/D&gt;&lt;D xsi:type="xsd:double"&gt;-1.2976527&lt;/D&gt;&lt;D xsi:type="xsd:double"&gt;-1.4338553&lt;/D&gt;&lt;D xsi:type="xsd:double"&gt;1.9631624&lt;/D&gt;&lt;D xsi:type="xsd:double"&gt;1.5400767&lt;/D&gt;&lt;D xsi:type="xsd:double"&gt;2.8932571&lt;/D&gt;&lt;D xsi:type="xsd:double"&gt;-2.555877&lt;/D&gt;&lt;D xsi:type="xsd:double"&gt;-0.10418296&lt;/D&gt;&lt;D xsi:type="xsd:double"&gt;-0.2916038&lt;/D&gt;&lt;D xsi:type="xsd:double"&gt;-0.66912174&lt;/D&gt;&lt;D xsi:type="xsd:double"&gt;1.8085599&lt;/D&gt;&lt;D xsi:type="xsd:double"&gt;1.648128&lt;/D&gt;&lt;D xsi:type="xsd:double"&gt;-0.83847046&lt;/D&gt;&lt;D xsi:type="xsd:double"&gt;-0.49518347&lt;/D&gt;&lt;D xsi:type="xsd:double"&gt;-1.0212421&lt;/D&gt;&lt;D xsi:type="xsd:double"&gt;1.0852575&lt;/D&gt;&lt;D xsi:type="xsd:double"&gt;-1.7043173&lt;/D&gt;&lt;D xsi:type="xsd:double"&gt;3.290689&lt;/D&gt;&lt;D xsi:type="xsd:double"&gt;-3.280145&lt;/D&gt;&lt;D xsi:type="xsd:double"&gt;-2.7556121&lt;/D&gt;&lt;D xsi:type="xsd:double"&gt;2.0893455&lt;/D&gt;&lt;D xsi:type="xsd:double"&gt;3.5698295&lt;/D&gt;&lt;D xsi:type="xsd:double"&gt;0.18167496&lt;/D&gt;&lt;D xsi:type="xsd:double"&gt;1.319778&lt;/D&gt;&lt;D xsi:type="xsd:double"&gt;0.8371711&lt;/D&gt;&lt;D xsi:type="xsd:double"&gt;-1.1567175&lt;/D&gt;&lt;D xsi:type="xsd:double"&gt;0.38108826&lt;/D&gt;&lt;D xsi:type="xsd:double"&gt;0.2446413&lt;/D&gt;&lt;D xsi:type="xsd:double"&gt;-2.7659833&lt;/D&gt;&lt;D xsi:type="xsd:double"&gt;0.9910226&lt;/D&gt;&lt;D xsi:type="xsd:double"&gt;-0.34077168&lt;/D&gt;&lt;D xsi:type="xsd:double"&gt;-0.17797947&lt;/D&gt;&lt;D xsi:type="xsd:double"&gt;0.25482178&lt;/D&gt;&lt;D xsi:type="xsd:double"&gt;2.7121902&lt;/D&gt;&lt;D xsi:type="xsd:double"&gt;3.8728833&lt;/D&gt;&lt;D xsi:type="xsd:double"&gt;0.4471779&lt;/D&gt;&lt;D xsi:type="xsd:double"&gt;-0.44020414&lt;/D&gt;&lt;D xsi:type="xsd:double"&gt;0.46895742&lt;/D&gt;&lt;D xsi:type="xsd:double"&gt;-0.83621144&lt;/D&gt;&lt;D xsi:type="xsd:double"&gt;-0.57674646&lt;/D&gt;&lt;D xsi:type="xsd:double"&gt;1.4732242&lt;/D&gt;&lt;D xsi:type="xsd:double"&gt;0.22947788&lt;/D&gt;&lt;D xsi:type="xsd:double"&gt;0.6419778&lt;/D&gt;&lt;D xsi:type="xsd:double"&gt;-1.3698697&lt;/D&gt;&lt;D xsi:type="xsd:double"&gt;-2.8655589&lt;/D&gt;&lt;D xsi:type="xsd:double"&gt;0.3805399&lt;/D&gt;&lt;D xsi:type="xsd:double"&gt;0.22717714&lt;/D&gt;&lt;D xsi:type="xsd:double"&gt;-0.15041232&lt;/D&gt;&lt;D xsi:type="xsd:double"&gt;-0.6615758&lt;/D&gt;&lt;D xsi:type="xsd:double"&gt;0.84679127&lt;/D&gt;&lt;D xsi:type="xsd:double"&gt;-0.17280579&lt;/D&gt;&lt;D xsi:type="xsd:double"&gt;1.7397761&lt;/D&gt;&lt;D xsi:type="xsd:double"&gt;1.6844511&lt;/D&gt;&lt;D xsi:type="xsd:double"&gt;-0.14389753&lt;/D&gt;&lt;D xsi:type="xsd:double"&gt;-1.0262191&lt;/D&gt;&lt;D xsi:type="xsd:double"&gt;0.04028082&lt;/D&gt;&lt;D xsi:type="xsd:double"&gt;0.4117012&lt;/D&gt;&lt;D xsi:type="xsd:double"&gt;-1.0887325&lt;/D&gt;&lt;D xsi:type="xsd:double"&gt;1.1089563&lt;/D&gt;&lt;D xsi:type="xsd:double"&gt;2.029848&lt;/D&gt;&lt;D xsi:type="xsd:double"&gt;-0.007897615&lt;/D&gt;&lt;D xsi:type="xsd:double"&gt;-0.68825483&lt;/D&gt;&lt;D xsi:type="xsd:double"&gt;0.37901402&lt;/D&gt;&lt;D xsi:type="xsd:double"&gt;1.2968183&lt;/D&gt;&lt;D xsi:type="xsd:double"&gt;-1.954323&lt;/D&gt;&lt;D xsi:type="xsd:double"&gt;-2.3913264&lt;/D&gt;&lt;D xsi:type="xsd:double"&gt;0.9101033&lt;/D&gt;&lt;D xsi:type="xsd:double"&gt;1.06709&lt;/D&gt;&lt;D xsi:type="xsd:double"&gt;1.3346791&lt;/D&gt;&lt;D xsi:type="xsd:double"&gt;-0.4595518&lt;/D&gt;&lt;D xsi:type="xsd:double"&gt;-0.75923204&lt;/D&gt;&lt;D xsi:type="xsd:double"&gt;-0.2554953&lt;/D&gt;&lt;D xsi:type="xsd:double"&gt;1.0729194&lt;/D&gt;&lt;D xsi:type="xsd:double"&gt;-0.92413425&lt;/D&gt;&lt;D xsi:type="xsd:double"&gt;3.3404827&lt;/D&gt;&lt;D xsi:type="xsd:double"&gt;-0.9104073&lt;/D&gt;&lt;D xsi:type="xsd:double"&gt;-0.5986929&lt;/D&gt;&lt;D xsi:type="xsd:double"&gt;-1.5902936&lt;/D&gt;&lt;D xsi:type="xsd:double"&gt;-0.04402995&lt;/D&gt;&lt;D xsi:type="xsd:double"&gt;3.230214&lt;/D&gt;&lt;D xsi:type="xsd:double"&gt;-0.6923139&lt;/D&gt;&lt;D xsi:type="xsd:double"&gt;0.5066395&lt;/D&gt;&lt;D xsi:type="xsd:double"&gt;-0.9003997&lt;/D&gt;&lt;D xsi:type="xsd:double"&gt;0.6375551&lt;/D&gt;&lt;D xsi:type="xsd:double"&gt;0.11870861&lt;/D&gt;&lt;D xsi:type="xsd:double"&gt;-1.3611495&lt;/D&gt;&lt;D xsi:type="xsd:double"&gt;-0.04784465&lt;/D&gt;&lt;D xsi:type="xsd:double"&gt;1.395607&lt;/D&gt;&lt;D xsi:type="xsd:double"&gt;-2.4368882&lt;/D&gt;&lt;D xsi:type="xsd:double"&gt;0.90243816&lt;/D&gt;&lt;D xsi:type="xsd:double"&gt;-1.0591924&lt;/D&gt;&lt;D xsi:type="xsd:double"&gt;2.2364378&lt;/D&gt;&lt;D xsi:type="xsd:double"&gt;1.1592984&lt;/D&gt;&lt;D xsi:type="xsd:double"&gt;0.9756446&lt;/D&gt;&lt;D xsi:type="xsd:double"&gt;-0.8827627&lt;/D&gt;&lt;D xsi:type="xsd:double"&gt;0.40148497&lt;/D&gt;&lt;D xsi:type="xsd:double"&gt;0.8436799&lt;/D&gt;&lt;D xsi:type="xsd:double"&gt;-0.74598193&lt;/D&gt;&lt;D xsi:type="xsd:double"&gt;1.1347532&lt;/D&gt;&lt;D xsi:type="xsd:double"&gt;-1.9046545&lt;/D&gt;&lt;D xsi:type="xsd:double"&gt;1.8121004&lt;/D&gt;&lt;D xsi:type="xsd:double"&gt;3.6156058&lt;/D&gt;&lt;D xsi:type="xsd:double"&gt;-1.1067748&lt;/D&gt;&lt;D xsi:type="xsd:double"&gt;1.2470245&lt;/D&gt;&lt;D xsi:type="xsd:double"&gt;-3.3480346&lt;/D&gt;&lt;D xsi:type="xsd:double"&gt;-2.7516365&lt;/D&gt;&lt;D xsi:type="xsd:double"&gt;-0.7085502&lt;/D&gt;&lt;D xsi:type="xsd:double"&gt;0.9313226&lt;/D&gt;&lt;D xsi:type="xsd:double"&gt;1.6167521&lt;/D&gt;&lt;D xsi:type="xsd:double"&gt;-1.4670372&lt;/D&gt;&lt;D xsi:type="xsd:double"&gt;-2.323985&lt;/D&gt;&lt;D xsi:type="xsd:double"&gt;-0.37361383&lt;/D&gt;&lt;D xsi:type="xsd:double"&gt;0.63534975&lt;/D&gt;&lt;D xsi:type="xsd:double"&gt;0.9958267&lt;/D&gt;&lt;D xsi:type="xsd:double"&gt;0.29557943&lt;/D&gt;&lt;D xsi:type="xsd:double"&gt;-0.7032454&lt;/D&gt;&lt;D xsi:type="xsd:double"&gt;-0.85393786&lt;/D&gt;&lt;D xsi:type="xsd:double"&gt;-0.5918741&lt;/D&gt;&lt;D xsi:type="xsd:double"&gt;0.53926706&lt;/D&gt;&lt;D xsi:type="xsd:double"&gt;-0.85300803&lt;/D&gt;&lt;D xsi:type="xsd:double"&gt;0.54409504&lt;/D&gt;&lt;D xsi:type="xsd:double"&gt;-1.2985885&lt;/D&gt;&lt;D xsi:type="xsd:double"&gt;-0.07290244&lt;/D&gt;&lt;D xsi:type="xsd:double"&gt;-0.939852&lt;/D&gt;&lt;D xsi:type="xsd:double"&gt;-0.41509867&lt;/D&gt;&lt;D xsi:type="xsd:double"&gt;-0.9429157&lt;/D&gt;&lt;D xsi:type="xsd:double"&gt;-0.25318265&lt;/D&gt;&lt;D xsi:type="xsd:double"&gt;-0.6376803&lt;/D&gt;&lt;D xsi:type="xsd:double"&gt;2.0867944&lt;/D&gt;&lt;D xsi:type="xsd:double"&gt;-0.06598234&lt;/D&gt;&lt;D xsi:type="xsd:double"&gt;-0.9596348&lt;/D&gt;&lt;D xsi:type="xsd:double"&gt;0.9445667&lt;/D&gt;&lt;D xsi:type="xsd:double"&gt;0.190413&lt;/D&gt;&lt;D xsi:type="xsd:double"&gt;-0.34883022&lt;/D&gt;&lt;D xsi:type="xsd:double"&gt;-2.1797597&lt;/D&gt;&lt;D xsi:type="xsd:double"&gt;-0.8305073&lt;/D&gt;&lt;D xsi:type="xsd:double"&gt;0.5712271&lt;/D&gt;&lt;D xsi:type="xsd:double"&gt;-1.1893809&lt;/D&gt;&lt;D xsi:type="xsd:double"&gt;1.3851643&lt;/D&gt;&lt;D xsi:type="xsd:double"&gt;-0.24077892&lt;/D&gt;&lt;D xsi:type="xsd:double"&gt;1.3201237&lt;/D&gt;&lt;D xsi:type="xsd:double"&gt;0.09958744&lt;/D&gt;&lt;D xsi:type="xsd:double"&gt;-0.5078256&lt;/D&gt;&lt;D xsi:type="xsd:double"&gt;-1.2895644&lt;/D&gt;&lt;D xsi:type="xsd:double"&gt;0.052678585&lt;/D&gt;&lt;D xsi:type="xsd:double"&gt;1.7640114&lt;/D&gt;&lt;D xsi:type="xsd:double"&gt;0.7933855&lt;/D&gt;&lt;D xsi:type="xsd:double"&gt;-1.9916356&lt;/D&gt;&lt;D xsi:type="xsd:double"&gt;-2.62689&lt;/D&gt;&lt;D xsi:type="xsd:double"&gt;-0.09543896&lt;/D&gt;&lt;D xsi:type="xsd:double"&gt;-1.4971495&lt;/D&gt;&lt;D xsi:type="xsd:double"&gt;0.13918877&lt;/D&gt;&lt;D xsi:type="xsd:double"&gt;-0.059753656&lt;/D&gt;&lt;D xsi:type="xsd:double"&gt;-2.3730278&lt;/D&gt;&lt;D xsi:type="xsd:double"&gt;-1.6462564&lt;/D&gt;&lt;D xsi:type="xsd:double"&gt;-0.19482374&lt;/D&gt;&lt;D xsi:type="xsd:double"&gt;0.36382675&lt;/D&gt;&lt;D xsi:type="xsd:double"&gt;0.35475492&lt;/D&gt;&lt;D xsi:type="xsd:double"&gt;0.52814484&lt;/D&gt;&lt;D xsi:type="xsd:double"&gt;-1.143831&lt;/D&gt;&lt;D xsi:type="xsd:double"&gt;-0.55416226&lt;/D&gt;&lt;D xsi:type="xsd:double"&gt;0.10983944&lt;/D&gt;&lt;D xsi:type="xsd:double"&gt;-1.4513791&lt;/D&gt;&lt;D xsi:type="xsd:double"&gt;0.6247163&lt;/D&gt;&lt;D xsi:type="xsd:double"&gt;0.41018724&lt;/D&gt;&lt;D xsi:type="xsd:double"&gt;-0.34695268&lt;/D&gt;&lt;D xsi:type="xsd:double"&gt;2.3958445&lt;/D&gt;&lt;D xsi:type="xsd:double"&gt;-1.2464464&lt;/D&gt;&lt;D xsi:type="xsd:double"&gt;0.46018362&lt;/D&gt;&lt;D xsi:type="xsd:double"&gt;-1.3867438&lt;/D&gt;&lt;D xsi:type="xsd:double"&gt;1.1921048&lt;/D&gt;&lt;D xsi:type="xsd:double"&gt;-2.527547&lt;/D&gt;&lt;D xsi:type="xsd:double"&gt;-0.9312928&lt;/D&gt;&lt;D xsi:type="xsd:double"&gt;-0.34192204&lt;/D&gt;&lt;D xsi:type="xsd:double"&gt;-2.1025062&lt;/D&gt;&lt;D xsi:type="xsd:double"&gt;0.526309&lt;/D&gt;&lt;D xsi:type="xsd:double"&gt;-2.9110372&lt;/D&gt;&lt;D xsi:type="xsd:double"&gt;-0.12780428&lt;/D&gt;&lt;D xsi:type="xsd:double"&gt;-0.49371123&lt;/D&gt;&lt;D xsi:type="xsd:double"&gt;1.6995192&lt;/D&gt;&lt;D xsi:type="xsd:double"&gt;2.590704&lt;/D&gt;&lt;D xsi:type="xsd:double"&gt;2.382362&lt;/D&gt;&lt;D xsi:type="xsd:double"&gt;0.59622526&lt;/D&gt;&lt;D xsi:type="xsd:double"&gt;0.40574074&lt;/D&gt;&lt;D xsi:type="xsd:double"&gt;0.45098066&lt;/D&gt;&lt;D xsi:type="xsd:double"&gt;-1.5333533&lt;/D&gt;&lt;D xsi:type="xsd:double"&gt;0.82895756&lt;/D&gt;&lt;D xsi:type="xsd:double"&gt;-1.421541&lt;/D&gt;&lt;D xsi:type="xsd:double"&gt;2.572167&lt;/D&gt;&lt;D xsi:type="xsd:double"&gt;-0.17015</t>
        </r>
      </text>
    </comment>
    <comment ref="A2" authorId="0" shapeId="0" xr:uid="{F60920B9-91EC-49EA-A582-DB7B974259A5}">
      <text>
        <r>
          <rPr>
            <b/>
            <sz val="9"/>
            <color indexed="81"/>
            <rFont val="Tahoma"/>
            <charset val="1"/>
          </rPr>
          <t>338&lt;/D&gt;&lt;D xsi:type="xsd:double"&gt;-0.45096874&lt;/D&gt;&lt;D xsi:type="xsd:double"&gt;-1.7592132&lt;/D&gt;&lt;D xsi:type="xsd:double"&gt;1.8782735&lt;/D&gt;&lt;D xsi:type="xsd:double"&gt;1.2974143&lt;/D&gt;&lt;D xsi:type="xsd:double"&gt;-0.92037916&lt;/D&gt;&lt;D xsi:type="xsd:double"&gt;-0.65945387&lt;/D&gt;&lt;D xsi:type="xsd:double"&gt;0.028014183&lt;/D&gt;&lt;D xsi:type="xsd:double"&gt;1.3476491&lt;/D&gt;&lt;D xsi:type="xsd:double"&gt;-1.1331677&lt;/D&gt;&lt;D xsi:type="xsd:double"&gt;0.44938326&lt;/D&gt;&lt;D xsi:type="xsd:double"&gt;0.6228566&lt;/D&gt;&lt;D xsi:type="xsd:double"&gt;-2.6239634&lt;/D&gt;&lt;D xsi:type="xsd:double"&gt;-3.5755575&lt;/D&gt;&lt;D xsi:type="xsd:double"&gt;2.7412891&lt;/D&gt;&lt;D xsi:type="xsd:double"&gt;-1.6248524&lt;/D&gt;&lt;D xsi:type="xsd:double"&gt;-1.6427875&lt;/D&gt;&lt;D xsi:type="xsd:double"&gt;-1.7339945&lt;/D&gt;&lt;D xsi:type="xsd:double"&gt;-0.115948915&lt;/D&gt;&lt;D xsi:type="xsd:double"&gt;2.570808&lt;/D&gt;&lt;D xsi:type="xsd:double"&gt;-0.07123351&lt;/D&gt;&lt;D xsi:type="xsd:double"&gt;0.2560854&lt;/D&gt;&lt;D xsi:type="xsd:double"&gt;-0.38431883&lt;/D&gt;&lt;D xsi:type="xsd:double"&gt;-0.35224557&lt;/D&gt;&lt;D xsi:type="xsd:double"&gt;-0.8081794&lt;/D&gt;&lt;D xsi:type="xsd:double"&gt;1.5231729&lt;/D&gt;&lt;D xsi:type="xsd:double"&gt;-1.2626171&lt;/D&gt;&lt;D xsi:type="xsd:double"&gt;1.7431498&lt;/D&gt;&lt;D xsi:type="xsd:double"&gt;0.2742529&lt;/D&gt;&lt;D xsi:type="xsd:double"&gt;-1.6222537&lt;/D&gt;&lt;D xsi:type="xsd:double"&gt;0.06529093&lt;/D&gt;&lt;D xsi:type="xsd:double"&gt;0.76225996&lt;/D&gt;&lt;D xsi:type="xsd:double"&gt;-0.81140995&lt;/D&gt;&lt;D xsi:type="xsd:double"&gt;0.6823063&lt;/D&gt;&lt;D xsi:type="xsd:double"&gt;-0.5275309&lt;/D&gt;&lt;D xsi:type="xsd:double"&gt;-0.23562908&lt;/D&gt;&lt;D xsi:type="xsd:double"&gt;-0.96365213&lt;/D&gt;&lt;D xsi:type="xsd:double"&gt;0.31110048&lt;/D&gt;&lt;D xsi:type="xsd:double"&gt;0.55207014&lt;/D&gt;&lt;D xsi:type="xsd:double"&gt;-1.7789006&lt;/D&gt;&lt;D xsi:type="xsd:double"&gt;0.21884441&lt;/D&gt;&lt;D xsi:type="xsd:double"&gt;-0.47260523&lt;/D&gt;&lt;D xsi:type="xsd:double"&gt;0.9870529&lt;/D&gt;&lt;D xsi:type="xsd:double"&gt;-0.20346045&lt;/D&gt;&lt;D xsi:type="xsd:double"&gt;-0.050014257&lt;/D&gt;&lt;D xsi:type="xsd:double"&gt;0.24632215&lt;/D&gt;&lt;D xsi:type="xsd:double"&gt;0.43826103&lt;/D&gt;&lt;D xsi:type="xsd:double"&gt;1.123035&lt;/D&gt;&lt;D xsi:type="xsd:double"&gt;-0.051015615&lt;/D&gt;&lt;D xsi:type="xsd:double"&gt;-1.6240001&lt;/D&gt;&lt;D xsi:type="xsd:double"&gt;1.3851881&lt;/D&gt;&lt;D xsi:type="xsd:double"&gt;0.04416704&lt;/D&gt;&lt;D xsi:type="xsd:double"&gt;-0.9376764&lt;/D&gt;&lt;D xsi:type="xsd:double"&gt;-0.5500555&lt;/D&gt;&lt;D xsi:type="xsd:double"&gt;2.213776&lt;/D&gt;&lt;D xsi:type="xsd:double"&gt;-2.1724224&lt;/D&gt;&lt;D xsi:type="xsd:double"&gt;-0.6730497&lt;/D&gt;&lt;D xsi:type="xsd:double"&gt;-0.7887602&lt;/D&gt;&lt;D xsi:type="xsd:double"&gt;-0.5981803&lt;/D&gt;&lt;D xsi:type="xsd:double"&gt;2.0923853&lt;/D&gt;&lt;D xsi:type="xsd:double"&gt;-1.1359513&lt;/D&gt;&lt;D xsi:type="xsd:double"&gt;-1.9925177&lt;/D&gt;&lt;D xsi:type="xsd:double"&gt;-1.8081725&lt;/D&gt;&lt;D xsi:type="xsd:double"&gt;-0.6001353&lt;/D&gt;&lt;D xsi:type="xsd:double"&gt;-1.0105073&lt;/D&gt;&lt;D xsi:type="xsd:double"&gt;0.027239323&lt;/D&gt;&lt;D xsi:type="xsd:double"&gt;-1.3597786&lt;/D&gt;&lt;D xsi:type="xsd:double"&gt;1.0029674&lt;/D&gt;&lt;D xsi:type="xsd:double"&gt;-1.7548084&lt;/D&gt;&lt;D xsi:type="xsd:double"&gt;0.06374121&lt;/D&gt;&lt;D xsi:type="xsd:double"&gt;-1.6392708&lt;/D&gt;&lt;D xsi:type="xsd:double"&gt;-1.1449754&lt;/D&gt;&lt;D xsi:type="xsd:double"&gt;-0.8356571&lt;/D&gt;&lt;D xsi:type="xsd:double"&gt;1.0610223&lt;/D&gt;&lt;D xsi:type="xsd:double"&gt;0.043725967&lt;/D&gt;&lt;D xsi:type="xsd:double"&gt;0.020980835&lt;/D&gt;&lt;D xsi:type="xsd:double"&gt;-0.999856&lt;/D&gt;&lt;D xsi:type="xsd:double"&gt;3.230095&lt;/D&gt;&lt;D xsi:type="xsd:double"&gt;1.1873722&lt;/D&gt;&lt;D xsi:type="xsd:double"&gt;0.99737644&lt;/D&gt;&lt;D xsi:type="xsd:double"&gt;-0.94516873&lt;/D&gt;&lt;D xsi:type="xsd:double"&gt;-1.2027204&lt;/D&gt;&lt;D xsi:type="xsd:double"&gt;2.2821784&lt;/D&gt;&lt;D xsi:type="xsd:double"&gt;-0.5994618&lt;/D&gt;&lt;D xsi:type="xsd:double"&gt;-3.3902824&lt;/D&gt;&lt;D xsi:type="xsd:double"&gt;-3.663969&lt;/D&gt;&lt;D xsi:type="xsd:double"&gt;-0.7510185&lt;/D&gt;&lt;D xsi:type="xsd:double"&gt;0.49105883&lt;/D&gt;&lt;D xsi:type="xsd:double"&gt;-0.594002&lt;/D&gt;&lt;D xsi:type="xsd:double"&gt;-1.1250257&lt;/D&gt;&lt;D xsi:type="xsd:double"&gt;2.3726583&lt;/D&gt;&lt;D xsi:type="xsd:double"&gt;-1.882726&lt;/D&gt;&lt;D xsi:type="xsd:double"&gt;-0.03297329&lt;/D&gt;&lt;D xsi:type="xsd:double"&gt;0.026071072&lt;/D&gt;&lt;D xsi:type="xsd:double"&gt;-2.4619997&lt;/D&gt;&lt;D xsi:type="xsd:double"&gt;-1.2583494&lt;/D&gt;&lt;D xsi:type="xsd:double"&gt;-1.051724&lt;/D&gt;&lt;D xsi:type="xsd:double"&gt;1.1443973&lt;/D&gt;&lt;D xsi:type="xsd:double"&gt;-0.21988153&lt;/D&gt;&lt;D xsi:type="xsd:double"&gt;0.34593344&lt;/D&gt;&lt;D xsi:type="xsd:double"&gt;0.064730644&lt;/D&gt;&lt;D xsi:type="xsd:double"&gt;0.016403198&lt;/D&gt;&lt;D xsi:type="xsd:double"&gt;-0.39536953&lt;/D&gt;&lt;D xsi:type="xsd:double"&gt;2.5263906&lt;/D&gt;&lt;D xsi:type="xsd:double"&gt;2.735424&lt;/D&gt;&lt;D xsi:type="xsd:double"&gt;6.857872&lt;/D&gt;&lt;D xsi:type="xsd:double"&gt;-0.1873076&lt;/D&gt;&lt;D xsi:type="xsd:double"&gt;1.4308214&lt;/D&gt;&lt;D xsi:type="xsd:double"&gt;0.21954775&lt;/D&gt;&lt;D xsi:type="xsd:double"&gt;0.12866259&lt;/D&gt;&lt;D xsi:type="xsd:double"&gt;2.0275354&lt;/D&gt;&lt;D xsi:type="xsd:double"&gt;-3.2827914&lt;/D&gt;&lt;D xsi:type="xsd:double"&gt;-1.6448796&lt;/D&gt;&lt;D xsi:type="xsd:double"&gt;-1.628077&lt;/D&gt;&lt;D xsi:type="xsd:double"&gt;0.8243561&lt;/D&gt;&lt;D xsi:type="xsd:double"&gt;0.53714514&lt;/D&gt;&lt;D xsi:type="xsd:double"&gt;1.1322737&lt;/D&gt;&lt;D xsi:type="xsd:double"&gt;-1.4509678&lt;/D&gt;&lt;D xsi:type="xsd:double"&gt;-0.50157905&lt;/D&gt;&lt;D xsi:type="xsd:double"&gt;0.5446315&lt;/D&gt;&lt;D xsi:type="xsd:double"&gt;1.2973428&lt;/D&gt;&lt;D xsi:type="xsd:double"&gt;1.2938976&lt;/D&gt;&lt;D xsi:type="xsd:double"&gt;0.24799109&lt;/D&gt;&lt;D xsi:type="xsd:double"&gt;0.46919584&lt;/D&gt;&lt;D xsi:type="xsd:double"&gt;1.886797&lt;/D&gt;&lt;D xsi:type="xsd:double"&gt;-1.3873458&lt;/D&gt;&lt;D xsi:type="xsd:double"&gt;0.6215334&lt;/D&gt;&lt;D xsi:type="xsd:double"&gt;1.3341308&lt;/D&gt;&lt;D xsi:type="xsd:double"&gt;-0.1257658&lt;/D&gt;&lt;D xsi:type="xsd:double"&gt;0&lt;/D&gt;&lt;D xsi:type="xsd:double"&gt;-0.8700192&lt;/D&gt;&lt;D xsi:type="xsd:double"&gt;-0.40197968&lt;/D&gt;&lt;D xsi:type="xsd:double"&gt;1.2206674&lt;/D&gt;&lt;D xsi:type="xsd:double"&gt;-0.9276211&lt;/D&gt;&lt;D xsi:type="xsd:double"&gt;0.26352406&lt;/D&gt;&lt;D xsi:type="xsd:double"&gt;0.22786856&lt;/D&gt;&lt;D xsi:type="xsd:double"&gt;0.17035007&lt;/D&gt;&lt;D xsi:type="xsd:double"&gt;-1.7466009&lt;/D&gt;&lt;D xsi:type="xsd:double"&gt;-0.49499273&lt;/D&gt;&lt;D xsi:type="xsd:double"&gt;-0.50908923&lt;/D&gt;&lt;D xsi:type="xsd:double"&gt;0.82581043&lt;/D&gt;&lt;D xsi:type="xsd:double"&gt;-0.123113394&lt;/D&gt;&lt;D xsi:type="xsd:double"&gt;-0.63731074&lt;/D&gt;&lt;D xsi:type="xsd:double"&gt;-2.4499118&lt;/D&gt;&lt;D xsi:type="xsd:double"&gt;0.24061203&lt;/D&gt;&lt;D xsi:type="xsd:double"&gt;0.69874525&lt;/D&gt;&lt;D xsi:type="xsd:double"&gt;2.9718041&lt;/D&gt;&lt;D xsi:type="xsd:double"&gt;-0.6273985&lt;/D&gt;&lt;D xsi:type="xsd:double"&gt;2.2951007&lt;/D&gt;&lt;D xsi:type="xsd:double"&gt;-0.6027043&lt;/D&gt;&lt;D xsi:type="xsd:double"&gt;0.7711649&lt;/D&gt;&lt;D xsi:type="xsd:double"&gt;-1.3786197&lt;/D&gt;&lt;D xsi:type="xsd:double"&gt;-3.566873&lt;/D&gt;&lt;D xsi:type="xsd:double"&gt;-1.0112107&lt;/D&gt;&lt;D xsi:type="xsd:double"&gt;-1.6566932&lt;/D&gt;&lt;D xsi:type="xsd:double"&gt;-0.21740794&lt;/D&gt;&lt;D xsi:type="xsd:double"&gt;-1.3939798&lt;/D&gt;&lt;D xsi:type="xsd:double"&gt;-0.5735636&lt;/D&gt;&lt;D xsi:type="xsd:double"&gt;-0.93524456&lt;/D&gt;&lt;D xsi:type="xsd:double"&gt;-0.58888197&lt;/D&gt;&lt;D xsi:type="xsd:double"&gt;-0.9803355&lt;/D&gt;&lt;D xsi:type="xsd:double"&gt;1.0650277&lt;/D&gt;&lt;D xsi:type="xsd:double"&gt;-0.2183497&lt;/D&gt;&lt;D xsi:type="xsd:double"&gt;0.7201195&lt;/D&gt;&lt;D xsi:type="xsd:double"&gt;-1.7682076&lt;/D&gt;&lt;D xsi:type="xsd:double"&gt;-0.45996904&lt;/D&gt;&lt;D xsi:type="xsd:double"&gt;2.9921174&lt;/D&gt;&lt;D xsi:type="xsd:double"&gt;1.9985557&lt;/D&gt;&lt;D xsi:type="xsd:double"&gt;0.8717656&lt;/D&gt;&lt;D xsi:type="xsd:double"&gt;-0.24545193&lt;/D&gt;&lt;D xsi:type="xsd:double"&gt;-1.0024369&lt;/D&gt;&lt;D xsi:type="xsd:double"&gt;2.2865176&lt;/D&gt;&lt;D xsi:type="xsd:double"&gt;-0.5612731&lt;/D&gt;&lt;D xsi:type="xsd:double"&gt;-1.0718524&lt;/D&gt;&lt;D xsi:type="xsd:double"&gt;0.22932291&lt;/D&gt;&lt;D xsi:type="xsd:double"&gt;-0.3832519&lt;/D&gt;&lt;D xsi:type="xsd:double"&gt;-0.9872556&lt;/D&gt;&lt;D xsi:type="xsd:double"&gt;-2.0088613&lt;/D&gt;&lt;D xsi:type="xsd:double"&gt;1.8080711&lt;/D&gt;&lt;D xsi:type="xsd:double"&gt;-0.12232065&lt;/D&gt;&lt;D xsi:type="xsd:double"&gt;-0.26149154&lt;/D&gt;&lt;D xsi:type="xsd:double"&gt;0.24430752&lt;/D&gt;&lt;D xsi:type="xsd:double"&gt;-0.39404035&lt;/D&gt;&lt;D xsi:type="xsd:double"&gt;-0.22052526&lt;/D&gt;&lt;D xsi:type="xsd:double"&gt;-0.5668223&lt;/D&gt;&lt;D xsi:type="xsd:double"&gt;-0.2816558&lt;/D&gt;&lt;D xsi:type="xsd:double"&gt;-1.5647829&lt;/D&gt;&lt;D xsi:type="xsd:double"&gt;1.0330558&lt;/D&gt;&lt;D xsi:type="xsd:double"&gt;-0.17676353&lt;/D&gt;&lt;D xsi:type="xsd:double"&gt;2.620387&lt;/D&gt;&lt;D xsi:type="xsd:double"&gt;-0.93446374&lt;/D&gt;&lt;D xsi:type="xsd:double"&gt;0.8304596&lt;/D&gt;&lt;D xsi:type="xsd:double"&gt;-1.9182444&lt;/D&gt;&lt;D xsi:type="xsd:double"&gt;0.5390763&lt;/D&gt;&lt;D xsi:type="xsd:double"&gt;-2.815503&lt;/D&gt;&lt;D xsi:type="xsd:double"&gt;-0.4809022&lt;/D&gt;&lt;D xsi:type="xsd:double"&gt;0.5257726&lt;/D&gt;&lt;D xsi:type="xsd:double"&gt;2.606535&lt;/D&gt;&lt;D xsi:type="xsd:double"&gt;-0.45853257&lt;/D&gt;&lt;D xsi:type="xsd:double"&gt;-1.0292053&lt;/D&gt;&lt;D xsi:type="xsd:double"&gt;-0.89977384&lt;/D&gt;&lt;D xsi:type="xsd:double"&gt;0.41546822&lt;/D&gt;&lt;D xsi:type="xsd:double"&gt;0.74350834&lt;/D&gt;&lt;D xsi:type="xsd:double"&gt;0.64007044&lt;/D&gt;&lt;D xsi:type="xsd:double"&gt;-1.4917374&lt;/D&gt;&lt;D xsi:type="xsd:double"&gt;1.121676&lt;/D&gt;&lt;D xsi:type="xsd:double"&gt;-0.31600595&lt;/D&gt;&lt;D xsi:type="xsd:double"&gt;1.3582349&lt;/D&gt;&lt;D xsi:type="xsd:double"&gt;-0.41971207&lt;/D&gt;&lt;D xsi:type="xsd:double"&gt;0.8640647&lt;/D&gt;&lt;D xsi:type="xsd:double"&gt;0.799191&lt;/D&gt;&lt;D xsi:type="xsd:double"&gt;1.8665314&lt;/D&gt;&lt;D xsi:type="xsd:double"&gt;-0.05580783&lt;/D&gt;&lt;D xsi:type="xsd:double"&gt;2.8582573&lt;/D&gt;&lt;D xsi:type="xsd:double"&gt;-1.3930202&lt;/D&gt;&lt;D xsi:type="xsd:double"&gt;1.1726618&lt;/D&gt;&lt;D xsi:type="xsd:double"&gt;-1.0286689&lt;/D&gt;&lt;D xsi:type="xsd:double"&gt;0.55412054&lt;/D&gt;&lt;D xsi:type="xsd:double"&gt;-1.1219978&lt;/D&gt;&lt;D xsi:type="xsd:double"&gt;-0.12241602&lt;/D&gt;&lt;D xsi:type="xsd:double"&gt;0.8165121&lt;/D&gt;&lt;D xsi:type="xsd:double"&gt;0.09651184&lt;/D&gt;&lt;D xsi:type="xsd:double"&gt;-1.922965&lt;/D&gt;&lt;D xsi:type="xsd:double"&gt;1.0736108&lt;/D&gt;&lt;D xsi:type="xsd:double"&gt;-1.8189132&lt;/D&gt;&lt;D xsi:type="xsd:double"&gt;-0.8206129&lt;/D&gt;&lt;D xsi:type="xsd:double"&gt;0.52814484&lt;/D&gt;&lt;D xsi:type="xsd:double"&gt;-1.3477445&lt;/D&gt;&lt;D xsi:type="xsd:double"&gt;1.7116189&lt;/D&gt;&lt;D xsi:type="xsd:double"&gt;0.09269714&lt;/D&gt;&lt;D xsi:type="xsd:double"&gt;0.031733513&lt;/D&gt;&lt;D xsi:type="xsd:double"&gt;-2.0157456&lt;/D&gt;&lt;D xsi:type="xsd:double"&gt;0.11100769&lt;/D&gt;&lt;D xsi:type="xsd:double"&gt;-1.5951633&lt;/D&gt;&lt;D xsi:type="xsd:double"&gt;-0.7426858&lt;/D&gt;&lt;D xsi:type="xsd:double"&gt;3.8277507&lt;/D&gt;&lt;D xsi:type="xsd:double"&gt;-2.75532&lt;/D&gt;&lt;D xsi:type="xsd:double"&gt;-0.35020113&lt;/D&gt;&lt;D xsi:type="xsd:double"&gt;-1.140058&lt;/D&gt;&lt;D xsi:type="xsd:double"&gt;1.8171787&lt;/D&gt;&lt;D xsi:type="xsd:double"&gt;0.8838296&lt;/D&gt;&lt;D xsi:type="xsd:double"&gt;-0.3934145&lt;/D&gt;&lt;D xsi:type="xsd:double"&gt;0.18159151&lt;/D&gt;&lt;D xsi:type="xsd:double"&gt;-0.041645765&lt;/D&gt;&lt;D xsi:type="xsd:double"&gt;-1.3040364&lt;/D&gt;&lt;D xsi:type="xsd:double"&gt;-1.0709405&lt;/D&gt;&lt;D xsi:type="xsd:double"&gt;-0.063580275&lt;/D&gt;&lt;D xsi:type="xsd:double"&gt;-1.2674928&lt;/D&gt;&lt;D xsi:type="xsd:double"&gt;0.2820611&lt;/D&gt;&lt;D xsi:type="xsd:double"&gt;0.98137856&lt;/D&gt;&lt;D xsi:type="xsd:double"&gt;2.774918&lt;/D&gt;&lt;D xsi:type="xsd:double"&gt;-0.53114295&lt;/D&gt;&lt;D xsi:type="xsd:double"&gt;-0.907737&lt;/D&gt;&lt;D xsi:type="xsd:double"&gt;-2.022171&lt;/D&gt;&lt;D xsi:type="xsd:double"&gt;0.057828426&lt;/D&gt;&lt;D xsi:type="xsd:double"&gt;1.1371374&lt;/D&gt;&lt;D xsi:type="xsd:double"&gt;-0.5704224&lt;/D&gt;&lt;D xsi:type="xsd:double"&gt;-1.5083611&lt;/D&gt;&lt;D xsi:type="xsd:double"&gt;-0.35098195&lt;/D&gt;&lt;D xsi:type="xsd:double"&gt;0.8298993&lt;/D&gt;&lt;D xsi:type="xsd:double"&gt;-0.6213665&lt;/D&gt;&lt;D xsi:type="xsd:double"&gt;3.0292273&lt;/D&gt;&lt;D xsi:type="xsd:double"&gt;-0.9226918&lt;/D&gt;&lt;D xsi:type="xsd:double"&gt;1.9071698&lt;/D&gt;&lt;D xsi:type="xsd:double"&gt;-3.4381807&lt;/D&gt;&lt;D xsi:type="xsd:double"&gt;-1.6103446&lt;/D&gt;&lt;D xsi:type="xsd:double"&gt;-1.6009271&lt;/D&gt;&lt;D xsi:type="xsd:double"&gt;-0.09749532&lt;/D&gt;&lt;D xsi:type="xsd:double"&gt;-0.24018884&lt;/D&gt;&lt;D xsi:type="xsd:double"&gt;0.3248334&lt;/D&gt;&lt;D xsi:type="xsd:double"&gt;-0.22072792&lt;/D&gt;&lt;D xsi:type="xsd:double"&gt;-0.52732825&lt;/D&gt;&lt;D xsi:type="xsd:double"&gt;-0.2994597&lt;/D&gt;&lt;D xsi:type="xsd:double"&gt;0.32093525&lt;/D&gt;&lt;D xsi:type="xsd:double"&gt;0.051403046&lt;/D&gt;&lt;D xsi:type="xsd:double"&gt;0.0042796135&lt;/D&gt;&lt;D xsi:type="xsd:double"&gt;-0.4342556&lt;/D&gt;&lt;D xsi:type="xsd:double"&gt;1.92734&lt;/D&gt;&lt;D xsi:type="xsd:double"&gt;0.83208084&lt;/D&gt;&lt;D xsi:type="xsd:double"&gt;1.6364217&lt;/D&gt;&lt;D xsi:type="xsd:double"&gt;-0.012332201&lt;/D&gt;&lt;D xsi:type="xsd:double"&gt;0.2908826&lt;/D&gt;&lt;D xsi:type="xsd:double"&gt;-0.55523515&lt;/D&gt;&lt;D xsi:type="xsd:double"&gt;0.51641464&lt;/D&gt;&lt;D xsi:type="xsd:double"&gt;0.28744936&lt;/D&gt;&lt;D xsi:type="xsd:double"&gt;-0.7807255&lt;/D&gt;&lt;D xsi:type="xsd:double"&gt;-1.57215&lt;/D&gt;&lt;D xsi:type="xsd:double"&gt;1.5927911&lt;/D&gt;&lt;D xsi:type="xsd:double"&gt;-0.9275079&lt;/D&gt;&lt;D xsi:type="xsd:double"&gt;-5.256051&lt;/D&gt;&lt;D xsi:type="xsd:double"&gt;-2.1151245&lt;/D&gt;&lt;D xsi:type="xsd:double"&gt;-2.4842203&lt;/D&gt;&lt;D xsi:type="xsd:double"&gt;-0.8824527&lt;/D&gt;&lt;D xsi:type="xsd:double"&gt;0.6116867&lt;/D&gt;&lt;D xsi:type="xsd:double"&gt;0.82229376&lt;/D&gt;&lt;D xsi:type="xsd:double"&gt;-0.22174716&lt;/D&gt;&lt;D xsi:type="xsd:double"&gt;-0.013738871&lt;/D&gt;&lt;D xsi:type="xsd:double"&gt;-0.25182366&lt;/D&gt;&lt;D xsi:type="xsd:double"&gt;0.348866&lt;/D&gt;&lt;D xsi:type="xsd:double"&gt;-0.18975735&lt;/D&gt;&lt;D xsi:type="xsd:double"&gt;-0.03671646&lt;/D&gt;&lt;D xsi:type="xsd:double"&gt;-0.3388226&lt;/D&gt;&lt;D xsi:type="xsd:double"&gt;-0.3457427&lt;/D&gt;&lt;D xsi:type="xsd:double"&gt;-0.9027779&lt;/D&gt;&lt;D xsi:type="xsd:double"&gt;-0.5620241&lt;/D&gt;&lt;D xsi:type="xsd:double"&gt;0.9199619&lt;/D&gt;&lt;D xsi:type="xsd:double"&gt;-1.2744844&lt;/D&gt;&lt;D xsi:type="xsd:double"&gt;-1.6437054&lt;/D&gt;&lt;D xsi:type="xsd:double"&gt;1.8297553&lt;/D&gt;&lt;D xsi:type="xsd:double"&gt;0.2650261&lt;/D&gt;&lt;D xsi:type="xsd:double"&gt;2.9489636&lt;/D&gt;&lt;D xsi:type="xsd:double"&gt;-1.4245987&lt;/D&gt;&lt;D xsi:type="xsd:double"&gt;-0.029575825&lt;/D&gt;&lt;D xsi:type="xsd:double"&gt;2.3714066&lt;/D&gt;&lt;D xsi:type="xsd:double"&gt;-0.3625095&lt;/D&gt;&lt;D xsi:type="xsd:double"&gt;-1.7594159&lt;/D&gt;&lt;D xsi:type="xsd:double"&gt;1.66291&lt;/D&gt;&lt;D xsi:type="xsd:double"&gt;-0.07083416&lt;/D&gt;&lt;D xsi:type="xsd:double"&gt;-0.13725162&lt;/D&gt;&lt;D xsi:type="xsd:double"&gt;-1.3272643&lt;/D&gt;&lt;D xsi:type="xsd:double"&gt;-1.3301075&lt;/D&gt;&lt;D xsi:type="xsd:double"&gt;-3.3752203&lt;/D&gt;&lt;D xsi:type="xsd:double"&gt;-3.5693467&lt;/D&gt;&lt;D xsi:type="xsd:double"&gt;0.57879686&lt;/D&gt;&lt;D xsi:type="xsd:double"&gt;1.7376184&lt;/D&gt;&lt;D xsi:type="xsd:double"&gt;-3.9606571&lt;/D&gt;&lt;D xsi:type="xsd:double"&gt;-0.07568598&lt;/D&gt;&lt;D xsi:type="xsd:double"&gt;-0.27967095&lt;/D&gt;&lt;D xsi:type="xsd:double"&gt;1.8384933&lt;/D&gt;&lt;D xsi:type="xsd:double"&gt;2.3851156&lt;/D&gt;&lt;D xsi:type="xsd:double"&gt;-0.052553415&lt;/D&gt;&lt;D xsi:type="xsd:double"&gt;-0.034439564&lt;/D&gt;&lt;D xsi:type="xsd:double"&gt;0.33043623&lt;/D&gt;&lt;D xsi:type="xsd:double"&gt;0.2695322&lt;/D&gt;&lt;D xsi:type="xsd:double"&gt;2.2187948&lt;/D&gt;&lt;D xsi:type="xsd:double"&gt;-1.0499299&lt;/D&gt;&lt;D xsi:type="xsd:double"&gt;1.8247008&lt;/D&gt;&lt;D xsi:type="xsd:double"&gt;0.74745417&lt;/D&gt;&lt;D xsi:type="xsd:double"&gt;0.8505225&lt;/D&gt;&lt;D xsi:type="xsd:double"&gt;-1.2831986&lt;/D&gt;&lt;D xsi:type="xsd:double"&gt;1.4667034&lt;/D&gt;&lt;D xsi:type="xsd:double"&gt;-2.545631&lt;/D&gt;&lt;D xsi:type="xsd:double"&gt;3.2339692&lt;/D&gt;&lt;D xsi:type="xsd:double"&gt;-4.0052595&lt;/D&gt;&lt;D xsi:type="xsd:double"&gt;2.4178028&lt;/D&gt;&lt;D xsi:type="xsd:double"&gt;-0.2138555&lt;/D&gt;&lt;D xsi:type="xsd:double"&gt;-0.033295155&lt;/D&gt;&lt;D xsi:type="xsd:double"&gt;2.771771&lt;/D&gt;&lt;D xsi:type="xsd:double"&gt;-1.0667205&lt;/D&gt;&lt;D xsi:type="xsd:double"&gt;1.9489527&lt;/D&gt;&lt;D xsi:type="xsd:double"&gt;-0.48711896&lt;/D&gt;&lt;D xsi:type="xsd:double"&gt;-1.8364727&lt;/D&gt;&lt;D xsi:type="xsd:double"&gt;0.8438587&lt;/D&gt;&lt;D xsi:type="xsd:double"&gt;-0.057286024&lt;/D&gt;&lt;D xsi:type="xsd:double"&gt;-0.793767&lt;/D&gt;&lt;D xsi:type="xsd:double"&gt;-1.7444015&lt;/D&gt;&lt;D xsi:type="xsd:double"&gt;3.824246&lt;/D&gt;&lt;D xsi:type="xsd:double"&gt;10.289478&lt;/D&gt;&lt;D xsi:type="xsd:double"&gt;-0.5662918&lt;/D&gt;&lt;D xsi:type="xsd:double"&gt;1.5663743&lt;/D&gt;&lt;D xsi:type="xsd:double"&gt;1.0195017&lt;/D&gt;&lt;D xsi:type="xsd:double"&gt;1.0704637&lt;/D&gt;&lt;D xsi:type="xsd:double"&gt;1.9216895&lt;/D&gt;&lt;D xsi:type="xsd:double"&gt;-0.9551585&lt;/D&gt;&lt;D xsi:type="xsd:double"&gt;0.40614605&lt;/D&gt;&lt;D xsi:type="xsd:double"&gt;1.9539714&lt;/D&gt;&lt;D xsi:type="xsd:double"&gt;0.36747456&lt;/D&gt;&lt;D xsi:type="xsd:double"&gt;-0.30834675&lt;/D&gt;&lt;D xsi:type="xsd:double"&gt;0.788784&lt;/D&gt;&lt;D xsi:type="xsd:double"&gt;0.5879283&lt;/D&gt;&lt;D xsi:type="xsd:double"&gt;-2.0936847&lt;/D&gt;&lt;D xsi:type="xsd:double"&gt;-0.98544955&lt;/D&gt;&lt;D xsi:type="xsd:double"&gt;1.8423796&lt;/D&gt;&lt;D xsi:type="xsd:double"&gt;-0.005197525&lt;/D&gt;&lt;D xsi:type="xsd:double"&gt;0.5259752&lt;/D&gt;&lt;D xsi:type="xsd:double"&gt;-0.47940612&lt;/D&gt;&lt;D xsi:type="xsd:double"&gt;1.3678432&lt;/D&gt;&lt;D xsi:type="xsd:double"&gt;0.35829544&lt;/D&gt;&lt;D xsi:type="xsd:double"&gt;2.1385431&lt;/D&gt;&lt;D xsi:type="xsd:double"&gt;0.4174471&lt;/D&gt;&lt;D xsi:type="xsd:double"&gt;-2.3776412&lt;/D&gt;&lt;D xsi:type="xsd:double"&gt;0&lt;/D&gt;&lt;D xsi:type="xsd:double"&gt;-1.0549426&lt;/D&gt;&lt;D xsi:type="xsd:double"&gt;0.6731868&lt;/D&gt;&lt;D xsi:type="xsd:double"&gt;0.58574677&lt;/D&gt;&lt;D xsi:type="xsd:double"&gt;-0.11765361&lt;/D&gt;&lt;D xsi:type="xsd:double"&gt;-1.4722943&lt;/D&gt;&lt;D xsi:type="xsd:double"&gt;0.5045414&lt;/D&gt;&lt;D xsi:type="xsd:double"&gt;-0.62585473&lt;/D&gt;&lt;D xsi:type="xsd:double"&gt;0.8875489&lt;/D&gt;&lt;D xsi:type="xsd:double"&gt;-1.9654632&lt;/D&gt;&lt;D xsi:type="xsd:double"&gt;-0.046628714&lt;/D&gt;&lt;D xsi:type="xsd:double"&gt;0.1598835&lt;/D&gt;&lt;D xsi:type="xsd:double"&gt;0.3018856&lt;/D&gt;&lt;D xsi:type="xsd:double"&gt;1.8510342&lt;/D&gt;&lt;D xsi:type="xsd:double"&gt;-1.8263459&lt;/D&gt;&lt;D xsi:type="xsd:double"&gt;0.879848&lt;/D&gt;&lt;D xsi:type="xsd:double"&gt;-0.3418386&lt;/D&gt;&lt;D xsi:type="xsd:double"&gt;-1.0535002&lt;/D&gt;&lt;D xsi:type="xsd:double"&gt;-0.92251897&lt;/D&gt;&lt;D xsi:type="xsd:double"&gt;2.3623705&lt;/D&gt;&lt;D xsi:type="xsd:double"&gt;0.86585283&lt;/D&gt;&lt;D xsi:type="xsd:double"&gt;0.32565594&lt;/D&gt;&lt;D xsi:type="xsd:double"&gt;-4.621041&lt;/D&gt;&lt;D xsi:type="xsd:double"&gt;3.0768514&lt;/D&gt;&lt;D xsi:type="xsd:double"&gt;-0.8686483&lt;/D&gt;&lt;D xsi:type="xsd:double"&gt;1.0262966&lt;/D&gt;&lt;D xsi:type="xsd:double"&gt;-0.63173175&lt;/D&gt;&lt;D xsi:type="xsd:double"&gt;0.33721924&lt;/D&gt;&lt;D xsi:type="xsd:double"&gt;-1.5811205&lt;/D&gt;&lt;D xsi:type="xsd:double"&gt;-3.2770753&lt;/D&gt;&lt;D xsi:type="xsd:double"&gt;1.6181469&lt;/D&gt;&lt;D xsi:type="xsd:double"&gt;2.3438454&lt;/D&gt;&lt;D xsi:type="xsd:double"&gt;-2.3594797&lt;/D&gt;&lt;D xsi:type="xsd:double"&gt;-0.34931302&lt;/D&gt;&lt;D xsi:type="xsd:double"&gt;4.1287184&lt;/D&gt;&lt;D xsi:type="xsd:double"&gt;5.069804&lt;/D&gt;&lt;D xsi:type="xsd:double"&gt;-0.56967735&lt;/D&gt;&lt;D xsi:type="xsd:double"&gt;-1.5492916&lt;/D&gt;&lt;D xsi:type="xsd:double"&gt;-1.6664088&lt;/D&gt;&lt;D xsi:type="xsd:double"&gt;0.87013245&lt;/D&gt;&lt;D xsi:type="xsd:double"&gt;0.22474527&lt;/D&gt;&lt;D xsi:type="xsd:double"&gt;2.925825&lt;/D&gt;&lt;D xsi:type="xsd:double"&gt;-2.3376882&lt;/D&gt;&lt;/FQL&gt;&lt;FQL&gt;&lt;Q&gt;ADEN-CH^P_PRICE_RETURNS(0,45961,45961-5AY,D,USD)&lt;/Q&gt;&lt;R&gt;1257&lt;/R&gt;&lt;C&gt;1&lt;/C&gt;&lt;D xsi:type="xsd:double"&gt;1.8202305&lt;/D&gt;&lt;D xsi:type="xsd:double"&gt;-1.9320071&lt;/D&gt;&lt;D xsi:type="xsd:double"&gt;-1.0120809&lt;/D&gt;&lt;D xsi:type="xsd:double"&gt;0.026500225&lt;/D&gt;&lt;D xsi:type="xsd:double"&gt;-0.8556962&lt;/D&gt;&lt;D xsi:type="xsd:double"&gt;1.7183542&lt;/D&gt;&lt;D xsi:type="xsd:double"&gt;0.39188862&lt;/D&gt;&lt;D xsi:type="xsd:double"&gt;-5.203253&lt;/D&gt;&lt;D xsi:type="xsd:double"&gt;0.5062461&lt;/D&gt;&lt;D xsi:type="xsd:double"&gt;-1.3189375&lt;/D&gt;&lt;D xsi:type="xsd:double"&gt;-1.6785085&lt;/D&gt;&lt;D xsi:type="xsd:double"&gt;-0.79361796&lt;/D&gt;&lt;D xsi:type="xsd:double"&gt;1.8190145&lt;/D&gt;&lt;D xsi:type="xsd:double"&gt;-2.0232558&lt;/D&gt;&lt;D xsi:type="xsd:double"&gt;0.72711706&lt;/D&gt;&lt;D xsi:type="xsd:double"&gt;-2.1021903&lt;/D&gt;&lt;D xsi:type="xsd:double"&gt;4.0310264&lt;/D&gt;&lt;D xsi:type="xsd:double"&gt;2.0020366&lt;/D&gt;&lt;D xsi:type="xsd:double"&gt;-1.1036396&lt;/D&gt;&lt;D xsi:type="xsd:double"&gt;1.2773633&lt;/D&gt;&lt;D xsi:type="xsd:double"&gt;1.2650728&lt;/D&gt;&lt;D xsi:type="xsd:double"&gt;-0.92149377&lt;/D&gt;&lt;D xsi:type="xsd:double"&gt;3.4820557&lt;/D&gt;&lt;D xsi:type="xsd:double"&gt;-1.1042058&lt;/D&gt;&lt;D xsi:type="xsd:double"&gt;1.3941526&lt;/D&gt;&lt;D xsi:type="xsd:double"&gt;1.7757535&lt;/D&gt;&lt;D xsi:type="xsd:double"&gt;-2.6607454&lt;/D&gt;&lt;D xsi:type="xsd:double"&gt;5.1317334&lt;/D&gt;&lt;D xsi:type="xsd:double"&gt;0.846529&lt;/D&gt;&lt;D xsi:type="xsd:double"&gt;2.2218227&lt;/D&gt;&lt;D xsi:type="xsd:double"&gt;-1.2111604&lt;/D&gt;&lt;D xsi:type="xsd:double"&gt;-3.0165493&lt;/D&gt;&lt;D xsi:type="xsd:double"&gt;0.008118153&lt;/D&gt;&lt;D xsi:type="xsd:double"&gt;-4.1167736&lt;/D&gt;&lt;D xsi:type="xsd:double"&gt;-0.28595924&lt;/D&gt;&lt;D xsi:type="xsd:double"&gt;0.43821335&lt;/D&gt;&lt;D xsi:type="xsd:double"&gt;0.43091774&lt;/D&gt;&lt;D xsi:type="xsd:double"&gt;-1.2122452&lt;/D&gt;&lt;D xsi:type="xsd:double"&gt;-1.141268&lt;/D&gt;&lt;D xsi:type="xsd:double"&gt;-1.739949&lt;/D&gt;&lt;D xsi:type="xsd:double"&gt;-3.656298&lt;/D&gt;&lt;D xsi:type="xsd:double"&gt;0.10441542&lt;/D&gt;&lt;D xsi:type="xsd:double"&gt;1.808846&lt;/D&gt;&lt;D xsi:type="xsd:double"&gt;-6.6762924&lt;/D&gt;&lt;D xsi:type="xsd:double"&gt;0.8481741&lt;/D&gt;&lt;D xsi:type="xsd:double"&gt;0.5526066&lt;/D&gt;&lt;D xsi:type="xsd:double"&gt;-1.6266465&lt;/D&gt;&lt;D xsi:type="xsd:double"&gt;-3.1865835&lt;/D&gt;&lt;D xsi:type="xsd:double"&gt;-1.1515319&lt;/D&gt;&lt;D xsi:type="xsd:double"&gt;3.5834312&lt;/D&gt;&lt;D xsi:type="xsd:double"&gt;-1.8691659&lt;/D&gt;&lt;D xsi:type="xsd:double"&gt;-0.37709475&lt;/D&gt;&lt;D xsi:type="xsd:double"&gt;3.6943555&lt;/D&gt;&lt;D xsi:type="xsd:double"&gt;-0.9388864&lt;/D&gt;&lt;D xsi:type="xsd:double"&gt;-0.14839172&lt;/D&gt;&lt;D xsi:type="xsd:double"&gt;-0.6250739&lt;/D&gt;&lt;D xsi:type="xsd:double"&gt;0.123012066&lt;/D&gt;&lt;D xsi:type="xsd:double"&gt;-0.7132709&lt;/D&gt;&lt;D xsi:type="xsd:double"&gt;-1.8096983&lt;/D&gt;&lt;D xsi:type="xsd:double"&gt;1.7258286&lt;/D&gt;&lt;D xsi:type="xsd:double"&gt;5.689943&lt;/D&gt;&lt;D xsi:type="xsd:double"&gt;3.094411&lt;/D&gt;&lt;D xsi:type="xsd:double"&gt;-2.5939882&lt;/D&gt;&lt;D xsi:type="xsd:double"&gt;-3.3237576&lt;/D&gt;&lt;D xsi:type="xsd:double"&gt;0.6819129&lt;/D&gt;&lt;D xsi:type="xsd:double"&gt;-0.84120035&lt;/D&gt;&lt;D xsi:type="xsd:double"&gt;-0.80201626&lt;/D&gt;&lt;D xsi:type="xsd:double"&gt;-2.7853727&lt;/D&gt;&lt;D xsi:type="xsd:double"&gt;-1.0212958&lt;/D&gt;&lt;D xsi:type="xsd:double"&gt;2.6332617&lt;/D&gt;&lt;D xsi:type="xsd:double"&gt;1.6644716&lt;/D&gt;&lt;D xsi:type="xsd:double"&gt;1.6375422&lt;/D&gt;&lt;D xsi:type="xsd:double"&gt;-1.5266836&lt;/D&gt;&lt;D xsi:type="xsd:double"&gt;-1.1549652&lt;/D&gt;&lt;D xsi:type="xsd:double"&gt;2.1070123&lt;/D&gt;&lt;D xsi:type="xsd:double"&gt;0.7672787&lt;/D&gt;&lt;D xsi:type="xsd:double"&gt;-0.68259835&lt;/D&gt;&lt;D xsi:type="xsd:double"&gt;0.63385963&lt;/D&gt;&lt;D xsi:type="xsd:double"&gt;-0.37976503&lt;/D&gt;&lt;D xsi:type="xsd:double"&gt;-2.866006&lt;/D&gt;&lt;D xsi:type="xsd:double"&gt;1.7081141&lt;/D&gt;&lt;D xsi:type="xsd:double"&gt;1.2643695&lt;/D&gt;&lt;D xsi:type="xsd:double"&gt;1.7271757&lt;/D&gt;&lt;D xsi:type="xsd:double"&gt;-1.2218893&lt;/D&gt;&lt;D xsi:type="xsd:double"&gt;0.4683137&lt;/D&gt;&lt;D xsi:type="xsd:double"&gt;4.2440414&lt;/D&gt;&lt;D xsi:type="xsd:double"&gt;1.5427351&lt;/D&gt;&lt;D xsi:type="xsd:double"&gt;0.10634661&lt;/D&gt;&lt;D xsi:type="xsd:double"&gt;1.5831709&lt;/D&gt;&lt;D xsi:type="xsd:double"&gt;3.7000775&lt;/D&gt;&lt;D xsi:type="xsd:double"&gt;-1.8214643&lt;/D&gt;&lt;D xsi:type="xsd:double"&gt;4.596615&lt;/D&gt;&lt;D xsi:type="xsd:double"&gt;-1.4683545&lt;/D&gt;&lt;D xsi:type="xsd:double"&gt;-4.678625&lt;/D&gt;&lt;D xsi:type="xsd:double"&gt;-0.26899576&lt;/D&gt;&lt;D xsi:type="xsd:double"&gt;-0.68413615&lt;/D&gt;&lt;D xsi:type="xsd:double"&gt;2.299738&lt;/D&gt;&lt;D xsi:type="xsd:double"&gt;-2.040851&lt;/D&gt;&lt;D xsi:type="xsd:double"&gt;0.55880547&lt;/D&gt;&lt;D xsi:type="xsd:double"&gt;1.8869638&lt;/D&gt;&lt;D xsi:type="xsd:double"&gt;6.201601&lt;/D&gt;&lt;D xsi:type="xsd:double"&gt;0.19471645&lt;/D&gt;&lt;D xsi:type="xsd:double"&gt;-1.4799595&lt;/D&gt;&lt;D xsi:type="xsd:double"&gt;-0.91507435&lt;/D&gt;&lt;D xsi:type="xsd:double"&gt;0.1670599&lt;/D&gt;&lt;D xsi:type="xsd:double"&gt;-0.62628984&lt;/D&gt;&lt;D xsi:type="xsd:double"&gt;-1.0620654&lt;/D&gt;&lt;D xsi:type="xsd:double"&gt;1.7935991&lt;/D&gt;&lt;D xsi:type="xsd:double"&gt;0.18795729&lt;/D&gt;&lt;D xsi:type="xsd:double"&gt;-2.338767&lt;/D&gt;&lt;D xsi:type="xsd:double"&gt;2.5044322&lt;/D&gt;&lt;D xsi:type="xsd:double"&gt;-2.1053076&lt;/D&gt;&lt;D xsi:type="xsd:double"&gt;-2.2271454&lt;/D&gt;&lt;D xsi:type="xsd:double"&gt;-1.0249972&lt;/D&gt;&lt;D xsi:type="xsd:double"&gt;2.5246263&lt;/D&gt;&lt;D xsi:type="xsd:double"&gt;0.73723793&lt;/D&gt;&lt;D xsi:type="xsd:double"&gt;-1.3644278&lt;/D&gt;&lt;D xsi:type="xsd:double"&gt;-0.62660575&lt;/D&gt;&lt;D xsi:type="xsd:double"&gt;-1.7038167&lt;/D&gt;&lt;D xsi:type="xsd:double"&gt;0.23765564&lt;/D&gt;&lt;D xsi:type="xsd:double"&gt;3.5124898&lt;/D&gt;&lt;D xsi:type="xsd:double"&gt;0.21408796&lt;/D&gt;&lt;D xsi:type="xsd:double"&gt;10.768175&lt;/D&gt;&lt;D xsi:type="xsd:double"&gt;-1.6437471&lt;/D&gt;&lt;D xsi:type="xsd:double"&gt;0.11152029&lt;/D&gt;&lt;D xsi:type="xsd:double"&gt;-2.4099946&lt;/D&gt;&lt;D xsi:type="xsd:double"&gt;2.1313906&lt;/D&gt;&lt;D xsi:type="xsd:double"&gt;-1.2735009&lt;/D&gt;&lt;D xsi:type="xsd:double"&gt;-0.34104586&lt;/D&gt;&lt;D xsi:type="xsd:double"&gt;-1.2347639&lt;/D&gt;&lt;D xsi:type="xsd:double"&gt;1.355505&lt;/D&gt;&lt;D xsi:type="xsd:double"&gt;-0.62452555&lt;/D&gt;&lt;D xsi:type="xsd:double"&gt;-1.2060821&lt;/D&gt;&lt;D xsi:type="xsd:double"&gt;-1.0742009&lt;/D&gt;&lt;D xsi:type="xsd:double"&gt;0.6042242&lt;/D&gt;&lt;D xsi:type="xsd:double"&gt;1.5103698&lt;/D&gt;&lt;D xsi:type="xsd:double"&gt;-2.2681534&lt;/D&gt;&lt;D xsi:type="xsd:double"&gt;-0.9206176&lt;/D&gt;&lt;D xsi:type="xsd:double"&gt;1.0723472&lt;/D&gt;&lt;D xsi:type="xsd:double"&gt;2.8991342&lt;/D&gt;&lt;D xsi:type="xsd:double"&gt;0.55953264&lt;/D&gt;&lt;D xsi:type="xsd:double"&gt;5.933559&lt;/D&gt;&lt;D xsi:type="xsd:double"&gt;-3.6640167&lt;/D&gt;&lt;D xsi:type="xsd:double"&gt;2.600336&lt;/D&gt;&lt;D xsi:type="xsd:double"&gt;-8.54128&lt;/D&gt;&lt;D xsi:type="xsd:double"&gt;-5.7921705&lt;/D&gt;&lt;D xsi:type="xsd:double"&gt;-3.850311&lt;/D&gt;&lt;D xsi:type="xsd:double"&gt;-2.0392478&lt;/D&gt;&lt;D xsi:type="xsd:double"&gt;2.5143266&lt;/D&gt;&lt;D xsi:type="xsd:double"&gt;-3.639108&lt;/D&gt;&lt;D xsi:type="xsd:double"&gt;-0.3359139&lt;/D&gt;&lt;D xsi:type="xsd:double"&gt;0.7525563&lt;/D&gt;&lt;D xsi:type="xsd:double"&gt;1.4208674&lt;/D&gt;&lt;D xsi:type="xsd:double"&gt;-0.0371933&lt;/D&gt;&lt;D xsi:type="xsd:double"&gt;0.49551725&lt;/D&gt;&lt;D xsi:type="xsd:double"&gt;-5.5273056&lt;/D&gt;&lt;D xsi:type="xsd:double"&gt;-4.2259574&lt;/D&gt;&lt;D xsi:type="xsd:double"&gt;-0.9178877&lt;/D&gt;&lt;D xsi:type="xsd:double"&gt;3.746152&lt;/D&gt;&lt;D xsi:type="xsd:double"&gt;1.6869307&lt;/D&gt;&lt;D xsi:type="xsd:double"&gt;5.5975556&lt;/D&gt;&lt;D xsi:type="xsd:double"&gt;-1.2056231&lt;/D&gt;&lt;D xsi:type="xsd:double"&gt;0.4467845&lt;/D&gt;&lt;D xsi:type="xsd:double"&gt;-1.7571092&lt;/D&gt;&lt;D xsi:type="xsd:double"&gt;-0.15500784&lt;/D&gt;&lt;D xsi:type="xsd:double"&gt;-0.97758174&lt;/D&gt;&lt;D xsi:type="xsd:double"&gt;8.716213&lt;/D&gt;&lt;D xsi:type="xsd:double"&gt;8.651352&lt;/D&gt;&lt;D xsi:type="xsd:double"&gt;-2.2449255&lt;/D&gt;&lt;D xsi:type="xsd:double"&gt;1.0118127&lt;/D&gt;&lt;D xsi:type="xsd:double"&gt;-0.81043243&lt;/D&gt;&lt;D xsi:type="xsd:double"&gt;-4.904789&lt;/D&gt;&lt;D xsi:type="xsd:double"&gt;12.283432&lt;/D&gt;&lt;D xsi:type="xsd:double"&gt;-2.0190775&lt;/D&gt;&lt;D xsi:type="xsd:double"&gt;1.1461377&lt;/D&gt;&lt;D xsi:type="xsd:double"&gt;2.778399&lt;/D&gt;&lt;D xsi:type="xsd:double"&gt;2.8265595&lt;/D&gt;&lt;D xsi:type="xsd:double"&gt;-1.4927626&lt;/D&gt;&lt;D xsi:type="xsd:double"&gt;0.7553935&lt;/D&gt;&lt;D xsi:type="xsd:double"&gt;0.81305504&lt;/D&gt;&lt;D xsi:type="xsd:double"&gt;3.2638907&lt;/D&gt;&lt;D xsi:type="xsd:double"&gt;-2.648133&lt;/D&gt;&lt;D xsi:type="xsd:double"&gt;0.5936384&lt;/D&gt;&lt;D xsi:type="xsd:double"&gt;-0.6547153&lt;/D&gt;&lt;D xsi:type="xsd:double"&gt;-1.7019331&lt;/D&gt;&lt;D xsi:type="xsd:double"&gt;2.151084&lt;/D&gt;&lt;D xsi:type="xsd:double"&gt;-0.15878677&lt;/D&gt;&lt;D xsi:type="xsd:double"&gt;0.92834234&lt;/D&gt;&lt;D xsi:type="xsd:double"&gt;-0.49710274&lt;/D&gt;&lt;D xsi:type="xsd:double"&gt;-1.3539612&lt;/D&gt;&lt;D xsi:type="xsd:double"&gt;-0.97332597&lt;/D&gt;&lt;D xsi:type="xsd:double"&gt;0.9072542&lt;/D&gt;&lt;D xsi:type="xsd:double"&gt;-0.17931461&lt;/D&gt;&lt;D xsi:type="xsd:double"&gt;1.7988801&lt;/D&gt;&lt;D xsi:type="xsd:double"&gt;2.8790236&lt;/D&gt;&lt;D xsi:type="xsd:double"&gt;-0.8964479&lt;/D&gt;&lt;D xsi:type="xsd:double"&gt;-1.5830934&lt;/D&gt;&lt;D xsi:type="xsd:double"&gt;0.76494217&lt;/D&gt;&lt;D xsi:type="xsd:double"&gt;1.3931274&lt;/D&gt;&lt;D xsi:type="xsd:double"&gt;0.912869&lt;/D&gt;&lt;D xsi:type="xsd:double"&gt;2.3459792&lt;/D&gt;&lt;D xsi:type="xsd:double"&gt;0.46070814&lt;/D&gt;&lt;D xsi:type="xsd:double"&gt;0.7259011&lt;/D&gt;&lt;D xsi:type="xsd:double"&gt;-7.9059243&lt;/D&gt;&lt;D xsi:type="xsd:double"&gt;-1.4296114&lt;/D&gt;&lt;D xsi:type="xsd:double"&gt;-0.6185651&lt;/D&gt;&lt;D xsi:type="xsd:double"&gt;1.4539719&lt;/D&gt;&lt;D xsi:type="xsd:double"&gt;-0.34683347&lt;/D&gt;&lt;D xsi:type="xsd:double"&gt;-0.5050242&lt;/D&gt;&lt;D xsi:type="xsd:double"&gt;0.0441432&lt;/D&gt;&lt;D xsi:type="xsd:double"&gt;0.052917004&lt;/D&gt;&lt;D xsi:type="xsd:double"&gt;0.79630613&lt;/D&gt;&lt;D xsi:type="xsd:double"&gt;0.044429302&lt;/D&gt;&lt;D xsi:type="xsd:double"&gt;-0.08325577&lt;/D&gt;&lt;D xsi:type="xsd:double"&gt;-0.16320944&lt;/D&gt;&lt;D xsi:type="xsd:double"&gt;2.0448208&lt;/D&gt;&lt;D xsi:type="xsd:double"&gt;-3.1511366&lt;/D&gt;&lt;D xsi:type="xsd:double"&gt;-2.1087885&lt;/D&gt;&lt;D xsi:type="xsd:double"&gt;-1.0320604&lt;/D&gt;&lt;D xsi:type="xsd:double"&gt;-0.31320453&lt;/D&gt;&lt;D xsi:type="xsd:double"&gt;-0.9688854&lt;/D&gt;&lt;D xsi:type="xsd:double"&gt;-3.9256454&lt;/D&gt;&lt;D xsi:type="xsd:double"&gt;-1.6112328&lt;/D&gt;&lt;D xsi:type="xsd:double"&gt;-1.3604522&lt;/D&gt;&lt;D xsi:type="xsd:double"&gt;1.8821478&lt;/D&gt;&lt;D xsi:type="xsd:double"&gt;2.1742463&lt;/D&gt;&lt;D xsi:type="xsd:double"&gt;-0.24725795&lt;/D&gt;&lt;D xsi:type="xsd:double"&gt;1.1327386&lt;/D&gt;&lt;D xsi:type="xsd:double"&gt;-0.3130257&lt;/D&gt;&lt;D xsi:type="xsd:double"&gt;-0.43372512&lt;/D&gt;&lt;D xsi:type="xsd:double"&gt;-0.27164817&lt;/D&gt;&lt;D xsi:type="xsd:double"&gt;2.589476&lt;/D&gt;&lt;D xsi:type="xsd:double"&gt;-0.6755054&lt;/D&gt;&lt;D xsi:type="xsd:double"&gt;2.0892978&lt;/D&gt;&lt;D xsi:type="xsd:double"&gt;-0.81197023&lt;/D&gt;&lt;D xsi:type="xsd:double"&gt;-1.6582549&lt;/D&gt;&lt;D xsi:type="xsd:double"&gt;-1.4814556&lt;/D&gt;&lt;D xsi:type="xsd:double"&gt;-1.0893106&lt;/D&gt;&lt;D xsi:type="xsd:double"&gt;0.081288815&lt;/D&gt;&lt;D xsi:type="xsd:double"&gt;0.5414367&lt;/D&gt;&lt;D xsi:type="xsd:double"&gt;0.29467344&lt;/D&gt;&lt;D xsi:type="xsd:double"&gt;-2.119875&lt;/D&gt;&lt;D xsi:type="xsd:double"&gt;-3.53477&lt;/D&gt;&lt;D xsi:type="xsd:double"&gt;-0.006788969&lt;/D&gt;&lt;D xsi:type="xsd:double"&gt;-3.021562&lt;/D&gt;&lt;D xsi:type="xsd:double"&gt;1.1089087&lt;/D&gt;&lt;D xsi:type="xsd:double"&gt;-1.4730036&lt;/D&gt;&lt;D xsi:type="xsd:double"&gt;-6.0891924&lt;/D&gt;&lt;D xsi:type="xsd:double"&gt;0.5085468&lt;/D&gt;&lt;D xsi:type="xsd:double"&gt;-0.5137384&lt;/D&gt;&lt;D xsi:type="xsd:double"&gt;-0.7397771&lt;/D&gt;&lt;D xsi:type="xsd:double"&gt;-0.5090773&lt;/D&gt;&lt;D xsi:type="xsd:double"&gt;-1.938498&lt;/D&gt;&lt;D xsi:type="xsd:double"&gt;-0.025260448&lt;/D&gt;&lt;D xsi:type="xsd:double"&gt;-0.28489828&lt;/D&gt;&lt;D xsi:type="xsd:double"&gt;1.2461543&lt;/D&gt;&lt;D xsi:type="xsd:double"&gt;-1.6137362&lt;/D&gt;&lt;D xsi:type="xsd:double"&gt;1.0476112&lt;/D&gt;&lt;D xsi:type="xsd:double"&gt;-1.1127055&lt;/D&gt;&lt;D xsi:type="xsd:double"&gt;1.4953613&lt;/D&gt;&lt;D xsi:type="xsd:double"&gt;-4.441333&lt;/D&gt;&lt;D xsi:type="xsd:double"&gt;1.7081141&lt;/D&gt;&lt;D xsi:type="xsd:double"&gt;0.6937027&lt;/D&gt;&lt;D xsi:type="xsd:double"&gt;-0.812155&lt;/D&gt;&lt;D xsi:type="xsd:double"&gt;0.37081242&lt;/D&gt;&lt;D xsi:type="xsd:double"&gt;-0.072318316&lt;/D&gt;&lt;D xsi:type="xsd:double"&gt;1.8451333&lt;/D&gt;&lt;D xsi:type="xsd:double"&gt;-1.0536194&lt;/D&gt;&lt;D xsi:type="xsd:double"&gt;0.66906214&lt;/D&gt;&lt;D xsi:type="xsd:double"&gt;-0.11007786&lt;/D&gt;&lt;D xsi:type="xsd:double"&gt;-0.7687092&lt;/D&gt;&lt;D xsi:type="xsd:double"&gt;-1.2722194&lt;/D&gt;&lt;D xsi:type="xsd:double"&gt;-2.6978433&lt;/D&gt;&lt;D xsi:type="xsd:double"&gt;-2.0947099&lt;/D&gt;&lt;D xsi:type="xsd:double"&gt;4.070282&lt;/D&gt;&lt;D xsi:type="xsd:double"&gt;2.8408408&lt;/D&gt;&lt;D xsi:type="xsd:double"&gt;-1.0751069&lt;/D&gt;&lt;D xsi:type="xsd:double"&gt;0.38068295&lt;/D&gt;&lt;D xsi:type="xsd:double"&gt;-0.9815037&lt;/D&gt;&lt;D xsi:type="xsd:double"&gt;-2.40165&lt;/D&gt;&lt;D xsi:type="xsd:double"&gt;2.1301389&lt;/D&gt;&lt;D xsi:type="xsd:double"&gt;1.5280008&lt;/D&gt;&lt;D xsi:type="xsd:double"&gt;2.1324396&lt;/D&gt;&lt;D xsi:type="xsd:double"&gt;0.012135506&lt;/D&gt;&lt;D xsi:type="xsd:double"&gt;2.1486402&lt;/D&gt;&lt;D xsi:type="xsd:double"&gt;-0.046885014&lt;/D&gt;&lt;D xsi:type="xsd:double"&gt;-0.08250475&lt;/D&gt;&lt;D xsi:type="xsd:double"&gt;-2.940482&lt;/D&gt;&lt;D xsi:type="xsd:double"&gt;-0.2852738&lt;/D&gt;&lt;D xsi:type="xsd:double"&gt;-3.6260366&lt;/D&gt;&lt;D xsi:type="xsd:double"&gt;0.18632412&lt;/D&gt;&lt;D xsi:type="xsd:double"&gt;-0.5607009&lt;/D&gt;&lt;D xsi:type="xsd:double"&gt;-0.58599114&lt;/D&gt;&lt;D xsi:type="xsd:double"&gt;-1.2212336&lt;/D&gt;&lt;D xsi:type="xsd:double"&gt;-0.49930215&lt;/D&gt;&lt;D xsi:type="xsd:double"&gt;-0.11672974&lt;/D&gt;&lt;D xsi:type="xsd:double"&gt;0.60067177&lt;/D&gt;&lt;D xsi:type="xsd:double"&gt;0.3739953&lt;/D&gt;&lt;D xsi:type="xsd:double"&gt;1.5348315&lt;/D&gt;&lt;D xsi:type="xsd:double"&gt;1.6059995&lt;/D&gt;&lt;D xsi:type="xsd:double"&gt;1.0388255&lt;/D&gt;&lt;D xsi:type="xsd:double"&gt;-0.115168095&lt;/D&gt;&lt;D xsi:type="xsd:double"&gt;1.0533094&lt;/D&gt;&lt;D xsi:type="xsd:double"&gt;-0.042277575&lt;/D&gt;&lt;D xsi:type="xsd:double"&gt;0.25714636&lt;/D&gt;&lt;D xsi:type="xsd:double"&gt;0.08904934&lt;/D&gt;&lt;D xsi:type="xsd:double"&gt;0.39494038&lt;/D&gt;&lt;D xsi:type="xsd:double"&gt;-1.16539&lt;/D&gt;&lt;D xsi:type="xsd:double"&gt;-0.62583685&lt;/D&gt;&lt;D xsi:type="xsd:double"&gt;-0.6566882&lt;/D&gt;&lt;D xsi:type="xsd:double"&gt;1.3575196&lt;/D&gt;&lt;D xsi:type="xsd:double"&gt;-0.13590455&lt;/D&gt;&lt;D xsi:type="xsd:double"&gt;-0.92930794&lt;/D&gt;&lt;D xsi:type="xsd:double"&gt;-3.4951508&lt;/D&gt;&lt;D xsi:type="xsd:double"&gt;0.7035732&lt;/D&gt;&lt;D xsi:type="xsd:double"&gt;0.51335096&lt;/D&gt;&lt;D xsi:type="xsd:double"&gt;0.85765123&lt;/D&gt;&lt;D xsi:type="xsd:double"&gt;0.025391579&lt;/D&gt;&lt;D xsi:type="xsd:double"&gt;-0.49667358&lt;/D&gt;&lt;D xsi:type="xsd:double"&gt;-0.016987324&lt;/D&gt;&lt;D xsi:type="xsd:double"&gt;0.22230148&lt;/D&gt;&lt;D xsi:type="xsd:double"&gt;-1.251024&lt;/D&gt;&lt;D xsi:type="xsd:double"&gt;-1.0097206&lt;/D&gt;&lt;D xsi:type="xsd:double"&gt;-1.8424451&lt;/D&gt;&lt;D xsi:type="xsd:double"&gt;1.3597965&lt;/D&gt;&lt;D xsi:type="xsd:double"&gt;3.242433&lt;/D&gt;&lt;D xsi:type="xsd:double"&gt;-0.49792528&lt;/D&gt;&lt;D xsi:type="xsd:double"&gt;-0.7530987&lt;/D&gt;&lt;D xsi:type="xsd:double"&gt;0.8073926&lt;/D&gt;&lt;D xsi:type="xsd:double"&gt;2.2686124&lt;/D&gt;&lt;D xsi:type="xsd:double"&gt;2.2862434&lt;/D&gt;&lt;D xsi:type="xsd:double"&gt;-4.5582175&lt;/D&gt;&lt;D xsi:type="xsd:double"&gt;-1.141125&lt;/D&gt;&lt;D xsi:type="xsd:double"&gt;-0.4235983&lt;/D&gt;&lt;D xsi:type="xsd:double"&gt;2.2867203&lt;/D&gt;&lt;D xsi:type="xsd:double"&gt;0.48707724&lt;/D&gt;&lt;D xsi:type="xsd:double"&gt;0.46379566&lt;/D&gt;&lt;D xsi:type="xsd:double"&gt;-0.24495721&lt;/D&gt;&lt;D xsi:type="xsd:double"&gt;-0.58298707&lt;/D&gt;&lt;D xsi:type="xsd:double"&gt;-2.8888583&lt;/D&gt;&lt;D xsi:type="xsd:double"&gt;-1.5366793&lt;/D&gt;&lt;D xsi:type="xsd:double"&gt;0.9344816&lt;/D&gt;&lt;D xsi:type="xsd:double"&gt;-2.8664231&lt;/D&gt;&lt;D xsi:type="xsd:double"&gt;-0.33219457&lt;/D&gt;&lt;D xsi:type="xsd:double"&gt;1.9476295&lt;/D&gt;&lt;D xsi:type="xsd:double"&gt;0.579679&lt;/D&gt;&lt;D xsi:type="xsd:double"&gt;-2.5749743&lt;/D&gt;&lt;D xsi:type="xsd:double"&gt;-2.4492502&lt;/D&gt;&lt;D xsi:type="xsd:double"&gt;1.8079281&lt;/D&gt;&lt;D xsi:type="xsd:double"&gt;-1.262188&lt;/D&gt;&lt;D xsi:type="xsd:double"&gt;-1.5082061&lt;/D&gt;&lt;D xsi:type="xsd:double"&gt;-0.9835243&lt;/D&gt;&lt;D xsi:type="xsd:double"&gt;-0.19726157&lt;/D&gt;&lt;D xsi:type="xsd:double"&gt;-2.0438075&lt;/D&gt;&lt;D xsi:type="xsd:double"&gt;-0.44760108&lt;/D&gt;&lt;D xsi:type="xsd:double"&gt;1.7808795&lt;/D&gt;&lt;D xsi:type="xsd:double"&gt;-0.6375611&lt;/D&gt;&lt;D xsi:type="xsd:double"&gt;1.0988474&lt;/D&gt;&lt;D xsi:type="xsd:double"&gt;-2.5937915&lt;/D&gt;&lt;D xsi:type="xsd:double"&gt;-0.9239018&lt;/D&gt;&lt;D xsi:type="xsd:double"&gt;-1.0957599&lt;/D&gt;&lt;D xsi:type="xsd:double"&gt;0.8144498&lt;/D&gt;&lt;D xsi:type="xsd:double"&gt;-0.24520159&lt;/D&gt;&lt;D xsi:type="xsd:double"&gt;-1.3491452&lt;/D&gt;&lt;D xsi:type="xsd:double"&gt;-0.20902157&lt;/D&gt;&lt;D xsi:type="xsd:double"&gt;-1.0528207&lt;/D&gt;&lt;D xsi:type="xsd:double"&gt;0.37475824&lt;/D&gt;&lt;D xsi:type="xsd:double"&gt;2.6359797&lt;/D&gt;&lt;D xsi:type="xsd:double"&gt;-0.2197206&lt;/D&gt;&lt;D xsi:type="xsd:double"&gt;3.2182097&lt;/D&gt;&lt;D xsi:type="xsd:double"&gt;4.464555&lt;/D&gt;&lt;D xsi:type="xsd:double"&gt;0.14337301&lt;/D&gt;&lt;D xsi:type="xsd:double"&gt;2.7354598&lt;/D&gt;&lt;D xsi:type="xsd:double"&gt;-0.8175969&lt;/D&gt;&lt;D xsi:type="xsd:double"&gt;0.8426666&lt;/D&gt;&lt;D xsi:type="xsd:double"&gt;1.53898&lt;/D&gt;&lt;D xsi:type="xsd:double"&gt;-0.7955611&lt;/D&gt;&lt;D xsi:type="xsd:double"&gt;-0.23929477&lt;/D&gt;&lt;D xsi:type="xsd:double"&gt;-0.8262992&lt;/D&gt;&lt;D xsi:type="xsd:double"&gt;1.8689156&lt;/D&gt;&lt;D xsi:type="xsd:double"&gt;2.1543145&lt;/D&gt;&lt;D xsi:type="xsd:double"&gt;-0.426054&lt;/D&gt;&lt;D xsi:type="xsd:double"&gt;0.011861324&lt;/D&gt;&lt;D xsi:type="xsd:double"&gt;-1.8041551&lt;/D&gt;&lt;D xsi:type="xsd:double"&gt;1.3238072&lt;/D&gt;&lt;D xsi:type="xsd:double"&gt;0.046384335&lt;/D&gt;&lt;D xsi:type="xsd:double"&gt;2.3131251&lt;/D&gt;&lt;D xsi:type="xsd:double"&gt;0.5135894&lt;/D&gt;&lt;D xsi:type="xsd:double"&gt;-10.961824&lt;/D&gt;&lt;D xsi:type="xsd:double"&gt;-0.9277761&lt;/D&gt;&lt;D xsi:type="xsd:double"&gt;0.69150925&lt;/D&gt;&lt;D xsi:type="xsd:double"&gt;0.06582737&lt;/D&gt;&lt;D xsi:type="xsd:double"&gt;-0.9679735&lt;/D&gt;&lt;D xsi:type="xsd:double"&gt;-0.94795823&lt;/D&gt;&lt;D xsi:type="xsd:double"&gt;1.661861&lt;/D&gt;&lt;D xsi:type="xsd:double"&gt;-1.148802&lt;/D&gt;&lt;D xsi:type="xsd:double"&gt;0.24334192&lt;/D&gt;&lt;D xsi:type="xsd:double"&gt;0.10225773&lt;/D&gt;&lt;D xsi:type="xsd:double"&gt;-3.5704076&lt;/D&gt;&lt;D xsi:type="xsd:double"&gt;-0.45863986&lt;/D&gt;&lt;D xsi:type="xsd:double"&gt;1.575017&lt;/D&gt;&lt;D xsi:type="xsd:double"&gt;-0.28093457&lt;/D&gt;&lt;D xsi:type="xsd:double"&gt;0.17175674&lt;/D&gt;&lt;D xsi:type="xsd:double"&gt;0.22876263&lt;/D&gt;&lt;D xsi:type="xsd:double"&gt;-0.17412305&lt;/D&gt;&lt;D xsi:type="xsd:double"&gt;0.6894827&lt;/D&gt;&lt;D xsi:type="xsd:double"&gt;-0.45757294&lt;/D&gt;&lt;D xsi:type="xsd:double"&gt;-2.5486767&lt;/D&gt;&lt;D xsi:type="xsd:double"&gt;-1.0872006&lt;/D&gt;&lt;D xsi:type="xsd:double"&gt;0.9394765&lt;/D&gt;&lt;D xsi:type="xsd:double"&gt;0.29722452&lt;/D&gt;&lt;D xsi:type="xsd:double"&gt;-0.74270964&lt;/D&gt;&lt;D xsi:type="xsd:double"&gt;1.2919784&lt;/D&gt;&lt;D xsi:type="xsd:double"&gt;-1.1418998&lt;/D&gt;&lt;D xsi:type="xsd:double"&gt;0.41121244&lt;/D&gt;&lt;D xsi:type="xsd:double"&gt;1.5212417&lt;/D&gt;&lt;D xsi:type="xsd:double"&gt;-0.0018715858&lt;/D&gt;&lt;D xsi:type="xsd:double"&gt;1.630795&lt;/D&gt;&lt;D xsi:type="xsd:double"&gt;-2.5544047&lt;/D&gt;&lt;D xsi:type="xsd:double"&gt;-1.23855</t>
        </r>
      </text>
    </comment>
    <comment ref="A3" authorId="0" shapeId="0" xr:uid="{7488CF9D-416E-403F-A93F-47951BDF22B0}">
      <text>
        <r>
          <rPr>
            <b/>
            <sz val="9"/>
            <color indexed="81"/>
            <rFont val="Tahoma"/>
            <charset val="1"/>
          </rPr>
          <t>47&lt;/D&gt;&lt;D xsi:type="xsd:double"&gt;-5.2451553&lt;/D&gt;&lt;D xsi:type="xsd:double"&gt;0.41966438&lt;/D&gt;&lt;D xsi:type="xsd:double"&gt;0.607872&lt;/D&gt;&lt;D xsi:type="xsd:double"&gt;-0.7477641&lt;/D&gt;&lt;D xsi:type="xsd:double"&gt;0.00063180923&lt;/D&gt;&lt;D xsi:type="xsd:double"&gt;1.8048644&lt;/D&gt;&lt;D xsi:type="xsd:double"&gt;-0.19977093&lt;/D&gt;&lt;D xsi:type="xsd:double"&gt;0.16144514&lt;/D&gt;&lt;D xsi:type="xsd:double"&gt;-0.5069077&lt;/D&gt;&lt;D xsi:type="xsd:double"&gt;1.6199112&lt;/D&gt;&lt;D xsi:type="xsd:double"&gt;0.56260824&lt;/D&gt;&lt;D xsi:type="xsd:double"&gt;-2.3085177&lt;/D&gt;&lt;D xsi:type="xsd:double"&gt;2.110374&lt;/D&gt;&lt;D xsi:type="xsd:double"&gt;-2.854234&lt;/D&gt;&lt;D xsi:type="xsd:double"&gt;-0.75570345&lt;/D&gt;&lt;D xsi:type="xsd:double"&gt;-1.4039099&lt;/D&gt;&lt;D xsi:type="xsd:double"&gt;0.7161379&lt;/D&gt;&lt;D xsi:type="xsd:double"&gt;-1.500237&lt;/D&gt;&lt;D xsi:type="xsd:double"&gt;0.5736351&lt;/D&gt;&lt;D xsi:type="xsd:double"&gt;-1.1456013&lt;/D&gt;&lt;D xsi:type="xsd:double"&gt;1.6429424&lt;/D&gt;&lt;D xsi:type="xsd:double"&gt;0.83886385&lt;/D&gt;&lt;D xsi:type="xsd:double"&gt;-1.6429603&lt;/D&gt;&lt;D xsi:type="xsd:double"&gt;2.576077&lt;/D&gt;&lt;D xsi:type="xsd:double"&gt;-1.1489868&lt;/D&gt;&lt;D xsi:type="xsd:double"&gt;3.1143188&lt;/D&gt;&lt;D xsi:type="xsd:double"&gt;-0.54335&lt;/D&gt;&lt;D xsi:type="xsd:double"&gt;0.6136298&lt;/D&gt;&lt;D xsi:type="xsd:double"&gt;-0.5345464&lt;/D&gt;&lt;D xsi:type="xsd:double"&gt;-0.43316483&lt;/D&gt;&lt;D xsi:type="xsd:double"&gt;-5.6596813&lt;/D&gt;&lt;D xsi:type="xsd:double"&gt;-3.330487&lt;/D&gt;&lt;D xsi:type="xsd:double"&gt;1.1285901&lt;/D&gt;&lt;D xsi:type="xsd:double"&gt;0.120294094&lt;/D&gt;&lt;D xsi:type="xsd:double"&gt;-2.0858526&lt;/D&gt;&lt;D xsi:type="xsd:double"&gt;-3.7392795&lt;/D&gt;&lt;D xsi:type="xsd:double"&gt;0.5872607&lt;/D&gt;&lt;D xsi:type="xsd:double"&gt;-0.28235912&lt;/D&gt;&lt;D xsi:type="xsd:double"&gt;1.2481332&lt;/D&gt;&lt;D xsi:type="xsd:double"&gt;-2.531767&lt;/D&gt;&lt;D xsi:type="xsd:double"&gt;-0.8248329&lt;/D&gt;&lt;D xsi:type="xsd:double"&gt;-0.6778538&lt;/D&gt;&lt;D xsi:type="xsd:double"&gt;0.8428097&lt;/D&gt;&lt;D xsi:type="xsd:double"&gt;2.5596023&lt;/D&gt;&lt;D xsi:type="xsd:double"&gt;0.023388863&lt;/D&gt;&lt;D xsi:type="xsd:double"&gt;-0.59690475&lt;/D&gt;&lt;D xsi:type="xsd:double"&gt;-0.7345855&lt;/D&gt;&lt;D xsi:type="xsd:double"&gt;-1.5337706&lt;/D&gt;&lt;D xsi:type="xsd:double"&gt;2.2555113&lt;/D&gt;&lt;D xsi:type="xsd:double"&gt;-0.71635246&lt;/D&gt;&lt;D xsi:type="xsd:double"&gt;0.5550623&lt;/D&gt;&lt;D xsi:type="xsd:double"&gt;2.4080276&lt;/D&gt;&lt;D xsi:type="xsd:double"&gt;-0.9523809&lt;/D&gt;&lt;D xsi:type="xsd:double"&gt;0.10154247&lt;/D&gt;&lt;D xsi:type="xsd:double"&gt;0.41970015&lt;/D&gt;&lt;D xsi:type="xsd:double"&gt;0.88710785&lt;/D&gt;&lt;D xsi:type="xsd:double"&gt;-0.30653477&lt;/D&gt;&lt;D xsi:type="xsd:double"&gt;-1.0952353&lt;/D&gt;&lt;D xsi:type="xsd:double"&gt;-0.41282773&lt;/D&gt;&lt;D xsi:type="xsd:double"&gt;-1.0096073&lt;/D&gt;&lt;D xsi:type="xsd:double"&gt;-0.5399108&lt;/D&gt;&lt;D xsi:type="xsd:double"&gt;0.7407427&lt;/D&gt;&lt;D xsi:type="xsd:double"&gt;1.1104703&lt;/D&gt;&lt;D xsi:type="xsd:double"&gt;0.6152153&lt;/D&gt;&lt;D xsi:type="xsd:double"&gt;-0.35871267&lt;/D&gt;&lt;D xsi:type="xsd:double"&gt;1.5112996&lt;/D&gt;&lt;D xsi:type="xsd:double"&gt;0.51403046&lt;/D&gt;&lt;D xsi:type="xsd:double"&gt;-0.34239888&lt;/D&gt;&lt;D xsi:type="xsd:double"&gt;0.011706352&lt;/D&gt;&lt;D xsi:type="xsd:double"&gt;1.9587159&lt;/D&gt;&lt;D xsi:type="xsd:double"&gt;-1.501137&lt;/D&gt;&lt;D xsi:type="xsd:double"&gt;1.436305&lt;/D&gt;&lt;D xsi:type="xsd:double"&gt;3.6700249&lt;/D&gt;&lt;D xsi:type="xsd:double"&gt;0.41964054&lt;/D&gt;&lt;D xsi:type="xsd:double"&gt;-0.8346915&lt;/D&gt;&lt;D xsi:type="xsd:double"&gt;1.1752605&lt;/D&gt;&lt;D xsi:type="xsd:double"&gt;-0.048184395&lt;/D&gt;&lt;D xsi:type="xsd:double"&gt;-1.8730938&lt;/D&gt;&lt;D xsi:type="xsd:double"&gt;0.6615639&lt;/D&gt;&lt;D xsi:type="xsd:double"&gt;2.2395134&lt;/D&gt;&lt;D xsi:type="xsd:double"&gt;14.39122&lt;/D&gt;&lt;D xsi:type="xsd:double"&gt;0.78452826&lt;/D&gt;&lt;D xsi:type="xsd:double"&gt;0.7466674&lt;/D&gt;&lt;D xsi:type="xsd:double"&gt;0.09980202&lt;/D&gt;&lt;D xsi:type="xsd:double"&gt;-1.02911&lt;/D&gt;&lt;D xsi:type="xsd:double"&gt;0.11854172&lt;/D&gt;&lt;D xsi:type="xsd:double"&gt;-0.901258&lt;/D&gt;&lt;D xsi:type="xsd:double"&gt;0.008559227&lt;/D&gt;&lt;D xsi:type="xsd:double"&gt;0.20891428&lt;/D&gt;&lt;D xsi:type="xsd:double"&gt;-1.06709&lt;/D&gt;&lt;D xsi:type="xsd:double"&gt;-3.8294613&lt;/D&gt;&lt;D xsi:type="xsd:double"&gt;-1.1308491&lt;/D&gt;&lt;D xsi:type="xsd:double"&gt;-0.51943064&lt;/D&gt;&lt;D xsi:type="xsd:double"&gt;0.9521246&lt;/D&gt;&lt;D xsi:type="xsd:double"&gt;-2.4612427&lt;/D&gt;&lt;D xsi:type="xsd:double"&gt;0.33899546&lt;/D&gt;&lt;D xsi:type="xsd:double"&gt;0.5287528&lt;/D&gt;&lt;D xsi:type="xsd:double"&gt;1.7131686&lt;/D&gt;&lt;D xsi:type="xsd:double"&gt;0.6444454&lt;/D&gt;&lt;D xsi:type="xsd:double"&gt;1.4483571&lt;/D&gt;&lt;D xsi:type="xsd:double"&gt;-0.37462115&lt;/D&gt;&lt;D xsi:type="xsd:double"&gt;-2.6618302&lt;/D&gt;&lt;D xsi:type="xsd:double"&gt;0.36929846&lt;/D&gt;&lt;D xsi:type="xsd:double"&gt;-2.2392273&lt;/D&gt;&lt;D xsi:type="xsd:double"&gt;1.508534&lt;/D&gt;&lt;D xsi:type="xsd:double"&gt;-0.2022624&lt;/D&gt;&lt;D xsi:type="xsd:double"&gt;-0.0015735626&lt;/D&gt;&lt;D xsi:type="xsd:double"&gt;-0.5724311&lt;/D&gt;&lt;D xsi:type="xsd:double"&gt;-0.46449304&lt;/D&gt;&lt;D xsi:type="xsd:double"&gt;-1.9920349&lt;/D&gt;&lt;D xsi:type="xsd:double"&gt;-1.7536521&lt;/D&gt;&lt;D xsi:type="xsd:double"&gt;2.364874&lt;/D&gt;&lt;D xsi:type="xsd:double"&gt;-0.16964674&lt;/D&gt;&lt;D xsi:type="xsd:double"&gt;0.2142787&lt;/D&gt;&lt;D xsi:type="xsd:double"&gt;1.0159969&lt;/D&gt;&lt;D xsi:type="xsd:double"&gt;-0.64690113&lt;/D&gt;&lt;D xsi:type="xsd:double"&gt;0.3783822&lt;/D&gt;&lt;D xsi:type="xsd:double"&gt;0.23363829&lt;/D&gt;&lt;D xsi:type="xsd:double"&gt;0.41503906&lt;/D&gt;&lt;D xsi:type="xsd:double"&gt;-1.7703533&lt;/D&gt;&lt;D xsi:type="xsd:double"&gt;0.41923523&lt;/D&gt;&lt;D xsi:type="xsd:double"&gt;-0.7240355&lt;/D&gt;&lt;D xsi:type="xsd:double"&gt;-1.2807906&lt;/D&gt;&lt;D xsi:type="xsd:double"&gt;-1.3331711&lt;/D&gt;&lt;D xsi:type="xsd:double"&gt;-0.63168406&lt;/D&gt;&lt;D xsi:type="xsd:double"&gt;1.3725162&lt;/D&gt;&lt;D xsi:type="xsd:double"&gt;0.018835068&lt;/D&gt;&lt;D xsi:type="xsd:double"&gt;1.5456796&lt;/D&gt;&lt;D xsi:type="xsd:double"&gt;-1.0546446&lt;/D&gt;&lt;D xsi:type="xsd:double"&gt;-1.2938797&lt;/D&gt;&lt;D xsi:type="xsd:double"&gt;-0.6413281&lt;/D&gt;&lt;D xsi:type="xsd:double"&gt;3.637123&lt;/D&gt;&lt;D xsi:type="xsd:double"&gt;0.9974718&lt;/D&gt;&lt;D xsi:type="xsd:double"&gt;-0.38350224&lt;/D&gt;&lt;D xsi:type="xsd:double"&gt;-0.636971&lt;/D&gt;&lt;D xsi:type="xsd:double"&gt;0.06556511&lt;/D&gt;&lt;D xsi:type="xsd:double"&gt;-1.5413463&lt;/D&gt;&lt;D xsi:type="xsd:double"&gt;0.26375055&lt;/D&gt;&lt;D xsi:type="xsd:double"&gt;-1.2146771&lt;/D&gt;&lt;D xsi:type="xsd:double"&gt;1.0850668&lt;/D&gt;&lt;D xsi:type="xsd:double"&gt;0.827837&lt;/D&gt;&lt;D xsi:type="xsd:double"&gt;-1.2816548&lt;/D&gt;&lt;D xsi:type="xsd:double"&gt;0.7769704&lt;/D&gt;&lt;D xsi:type="xsd:double"&gt;0.061166286&lt;/D&gt;&lt;D xsi:type="xsd:double"&gt;6.775379&lt;/D&gt;&lt;D xsi:type="xsd:double"&gt;-1.8900216&lt;/D&gt;&lt;D xsi:type="xsd:double"&gt;-0.93708634&lt;/D&gt;&lt;D xsi:type="xsd:double"&gt;0.68941116&lt;/D&gt;&lt;D xsi:type="xsd:double"&gt;0.8373618&lt;/D&gt;&lt;D xsi:type="xsd:double"&gt;2.1973252&lt;/D&gt;&lt;D xsi:type="xsd:double"&gt;-0.145787&lt;/D&gt;&lt;D xsi:type="xsd:double"&gt;3.4605265&lt;/D&gt;&lt;D xsi:type="xsd:double"&gt;0.57326555&lt;/D&gt;&lt;D xsi:type="xsd:double"&gt;-0.8434832&lt;/D&gt;&lt;D xsi:type="xsd:double"&gt;-2.99896&lt;/D&gt;&lt;D xsi:type="xsd:double"&gt;0.28244257&lt;/D&gt;&lt;D xsi:type="xsd:double"&gt;2.573669&lt;/D&gt;&lt;D xsi:type="xsd:double"&gt;1.5308261&lt;/D&gt;&lt;D xsi:type="xsd:double"&gt;0.35939217&lt;/D&gt;&lt;D xsi:type="xsd:double"&gt;1.9649148&lt;/D&gt;&lt;D xsi:type="xsd:double"&gt;5.1261544&lt;/D&gt;&lt;D xsi:type="xsd:double"&gt;3.2111883&lt;/D&gt;&lt;D xsi:type="xsd:double"&gt;1.1915922&lt;/D&gt;&lt;D xsi:type="xsd:double"&gt;2.8231025&lt;/D&gt;&lt;D xsi:type="xsd:double"&gt;-1.4810503&lt;/D&gt;&lt;D xsi:type="xsd:double"&gt;-0.66238046&lt;/D&gt;&lt;D xsi:type="xsd:double"&gt;2.1095514&lt;/D&gt;&lt;D xsi:type="xsd:double"&gt;1.1332273&lt;/D&gt;&lt;D xsi:type="xsd:double"&gt;-0.13886094&lt;/D&gt;&lt;D xsi:type="xsd:double"&gt;1.2036085&lt;/D&gt;&lt;D xsi:type="xsd:double"&gt;0.2383709&lt;/D&gt;&lt;D xsi:type="xsd:double"&gt;-0.54291487&lt;/D&gt;&lt;D xsi:type="xsd:double"&gt;-0.20846725&lt;/D&gt;&lt;D xsi:type="xsd:double"&gt;0.17609596&lt;/D&gt;&lt;D xsi:type="xsd:double"&gt;2.6833415&lt;/D&gt;&lt;D xsi:type="xsd:double"&gt;-1.7458856&lt;/D&gt;&lt;D xsi:type="xsd:double"&gt;-0.09585619&lt;/D&gt;&lt;D xsi:type="xsd:double"&gt;0.36725998&lt;/D&gt;&lt;D xsi:type="xsd:double"&gt;-1.2459815&lt;/D&gt;&lt;D xsi:type="xsd:double"&gt;1.0215044&lt;/D&gt;&lt;D xsi:type="xsd:double"&gt;0.10331869&lt;/D&gt;&lt;D xsi:type="xsd:double"&gt;0.3279209&lt;/D&gt;&lt;D xsi:type="xsd:double"&gt;1.5024185&lt;/D&gt;&lt;D xsi:type="xsd:double"&gt;-0.07739663&lt;/D&gt;&lt;D xsi:type="xsd:double"&gt;-0.708431&lt;/D&gt;&lt;D xsi:type="xsd:double"&gt;0.13446808&lt;/D&gt;&lt;D xsi:type="xsd:double"&gt;4.012418&lt;/D&gt;&lt;D xsi:type="xsd:double"&gt;1.5460253&lt;/D&gt;&lt;D xsi:type="xsd:double"&gt;-3.807485&lt;/D&gt;&lt;D xsi:type="xsd:double"&gt;-0.60717463&lt;/D&gt;&lt;D xsi:type="xsd:double"&gt;0.1950264&lt;/D&gt;&lt;D xsi:type="xsd:double"&gt;-0.99650025&lt;/D&gt;&lt;D xsi:type="xsd:double"&gt;-2.2672594&lt;/D&gt;&lt;D xsi:type="xsd:double"&gt;-0.0071167946&lt;/D&gt;&lt;D xsi:type="xsd:double"&gt;0.34480095&lt;/D&gt;&lt;D xsi:type="xsd:double"&gt;0.70244074&lt;/D&gt;&lt;D xsi:type="xsd:double"&gt;-0.71772337&lt;/D&gt;&lt;D xsi:type="xsd:double"&gt;0.04941225&lt;/D&gt;&lt;D xsi:type="xsd:double"&gt;-2.0854473&lt;/D&gt;&lt;D xsi:type="xsd:double"&gt;0.5694747&lt;/D&gt;&lt;D xsi:type="xsd:double"&gt;-0.6314516&lt;/D&gt;&lt;D xsi:type="xsd:double"&gt;-0.027859211&lt;/D&gt;&lt;D xsi:type="xsd:double"&gt;-0.952369&lt;/D&gt;&lt;D xsi:type="xsd:double"&gt;-1.0662615&lt;/D&gt;&lt;D xsi:type="xsd:double"&gt;0.20200014&lt;/D&gt;&lt;D xsi:type="xsd:double"&gt;2.6711464&lt;/D&gt;&lt;D xsi:type="xsd:double"&gt;-2.2413313&lt;/D&gt;&lt;D xsi:type="xsd:double"&gt;-1.5933931&lt;/D&gt;&lt;D xsi:type="xsd:double"&gt;-1.2654305&lt;/D&gt;&lt;D xsi:type="xsd:double"&gt;-0.60305595&lt;/D&gt;&lt;D xsi:type="xsd:double"&gt;3.0594587&lt;/D&gt;&lt;D xsi:type="xsd:double"&gt;-0.31285286&lt;/D&gt;&lt;D xsi:type="xsd:double"&gt;0.30335188&lt;/D&gt;&lt;D xsi:type="xsd:double"&gt;-3.4481168&lt;/D&gt;&lt;D xsi:type="xsd:double"&gt;1.5790701&lt;/D&gt;&lt;D xsi:type="xsd:double"&gt;-0.415653&lt;/D&gt;&lt;D xsi:type="xsd:double"&gt;-2.0154178&lt;/D&gt;&lt;D xsi:type="xsd:double"&gt;-1.059401&lt;/D&gt;&lt;D xsi:type="xsd:double"&gt;-5.9877396&lt;/D&gt;&lt;D xsi:type="xsd:double"&gt;0.5240679&lt;/D&gt;&lt;D xsi:type="xsd:double"&gt;0.9782672&lt;/D&gt;&lt;D xsi:type="xsd:double"&gt;2.147615&lt;/D&gt;&lt;D xsi:type="xsd:double"&gt;1.2619495&lt;/D&gt;&lt;D xsi:type="xsd:double"&gt;2.236867&lt;/D&gt;&lt;D xsi:type="xsd:double"&gt;-0.757283&lt;/D&gt;&lt;D xsi:type="xsd:double"&gt;0.75365305&lt;/D&gt;&lt;D xsi:type="xsd:double"&gt;-2.8860867&lt;/D&gt;&lt;D xsi:type="xsd:double"&gt;-0.8367121&lt;/D&gt;&lt;D xsi:type="xsd:double"&gt;-0.30486584&lt;/D&gt;&lt;D xsi:type="xsd:double"&gt;0.77703&lt;/D&gt;&lt;D xsi:type="xsd:double"&gt;2.3134947&lt;/D&gt;&lt;D xsi:type="xsd:double"&gt;2.5990129&lt;/D&gt;&lt;D xsi:type="xsd:double"&gt;-0.09827614&lt;/D&gt;&lt;D xsi:type="xsd:double"&gt;1.4094949&lt;/D&gt;&lt;D xsi:type="xsd:double"&gt;-3.1083286&lt;/D&gt;&lt;D xsi:type="xsd:double"&gt;0.4551649&lt;/D&gt;&lt;D xsi:type="xsd:double"&gt;0.098872185&lt;/D&gt;&lt;D xsi:type="xsd:double"&gt;1.676774&lt;/D&gt;&lt;D xsi:type="xsd:double"&gt;1.4484882&lt;/D&gt;&lt;D xsi:type="xsd:double"&gt;-2.0775974&lt;/D&gt;&lt;D xsi:type="xsd:double"&gt;1.4378786&lt;/D&gt;&lt;D xsi:type="xsd:double"&gt;-6.8719807&lt;/D&gt;&lt;D xsi:type="xsd:double"&gt;0.9892583&lt;/D&gt;&lt;D xsi:type="xsd:double"&gt;-2.8565347&lt;/D&gt;&lt;D xsi:type="xsd:double"&gt;2.263081&lt;/D&gt;&lt;D xsi:type="xsd:double"&gt;0.52137375&lt;/D&gt;&lt;D xsi:type="xsd:double"&gt;-2.3472905&lt;/D&gt;&lt;D xsi:type="xsd:double"&gt;-2.0042777&lt;/D&gt;&lt;D xsi:type="xsd:double"&gt;0.89781284&lt;/D&gt;&lt;D xsi:type="xsd:double"&gt;2.8305888&lt;/D&gt;&lt;D xsi:type="xsd:double"&gt;0.3202319&lt;/D&gt;&lt;D xsi:type="xsd:double"&gt;1.5602231&lt;/D&gt;&lt;D xsi:type="xsd:double"&gt;-2.912277&lt;/D&gt;&lt;D xsi:type="xsd:double"&gt;1.8846631&lt;/D&gt;&lt;D xsi:type="xsd:double"&gt;-1.2289047&lt;/D&gt;&lt;D xsi:type="xsd:double"&gt;-0.5367935&lt;/D&gt;&lt;D xsi:type="xsd:double"&gt;-0.7261634&lt;/D&gt;&lt;D xsi:type="xsd:double"&gt;-1.7168403&lt;/D&gt;&lt;D xsi:type="xsd:double"&gt;0.2184391&lt;/D&gt;&lt;D xsi:type="xsd:double"&gt;-0.818336&lt;/D&gt;&lt;D xsi:type="xsd:double"&gt;1.050353&lt;/D&gt;&lt;D xsi:type="xsd:double"&gt;-0.27610064&lt;/D&gt;&lt;D xsi:type="xsd:double"&gt;0.8572936&lt;/D&gt;&lt;D xsi:type="xsd:double"&gt;-2.8986037&lt;/D&gt;&lt;D xsi:type="xsd:double"&gt;0.7151365&lt;/D&gt;&lt;D xsi:type="xsd:double"&gt;-0.66788197&lt;/D&gt;&lt;D xsi:type="xsd:double"&gt;-0.72392225&lt;/D&gt;&lt;D xsi:type="xsd:double"&gt;-3.0520916&lt;/D&gt;&lt;D xsi:type="xsd:double"&gt;1.6931295&lt;/D&gt;&lt;D xsi:type="xsd:double"&gt;3.909421&lt;/D&gt;&lt;D xsi:type="xsd:double"&gt;2.3619652&lt;/D&gt;&lt;D xsi:type="xsd:double"&gt;-0.7393241&lt;/D&gt;&lt;D xsi:type="xsd:double"&gt;0.5039811&lt;/D&gt;&lt;D xsi:type="xsd:double"&gt;0.7673502&lt;/D&gt;&lt;D xsi:type="xsd:double"&gt;0.29035807&lt;/D&gt;&lt;D xsi:type="xsd:double"&gt;-0.48360825&lt;/D&gt;&lt;D xsi:type="xsd:double"&gt;-0.8038938&lt;/D&gt;&lt;D xsi:type="xsd:double"&gt;1.6988873&lt;/D&gt;&lt;D xsi:type="xsd:double"&gt;1.206398&lt;/D&gt;&lt;D xsi:type="xsd:double"&gt;-2.2039652&lt;/D&gt;&lt;D xsi:type="xsd:double"&gt;0.641644&lt;/D&gt;&lt;D xsi:type="xsd:double"&gt;2.2293568&lt;/D&gt;&lt;D xsi:type="xsd:double"&gt;1.012671&lt;/D&gt;&lt;D xsi:type="xsd:double"&gt;2.2791266&lt;/D&gt;&lt;D xsi:type="xsd:double"&gt;-0.2035141&lt;/D&gt;&lt;D xsi:type="xsd:double"&gt;-6.5917788&lt;/D&gt;&lt;D xsi:type="xsd:double"&gt;3.5329938&lt;/D&gt;&lt;D xsi:type="xsd:double"&gt;-0.46448708&lt;/D&gt;&lt;D xsi:type="xsd:double"&gt;0.86255074&lt;/D&gt;&lt;D xsi:type="xsd:double"&gt;5.0276995&lt;/D&gt;&lt;D xsi:type="xsd:double"&gt;3.3032537&lt;/D&gt;&lt;D xsi:type="xsd:double"&gt;-1.7005146&lt;/D&gt;&lt;D xsi:type="xsd:double"&gt;1.9813299&lt;/D&gt;&lt;D xsi:type="xsd:double"&gt;-1.2577116&lt;/D&gt;&lt;D xsi:type="xsd:double"&gt;0.83247423&lt;/D&gt;&lt;D xsi:type="xsd:double"&gt;1.2571573&lt;/D&gt;&lt;D xsi:type="xsd:double"&gt;-1.3682187&lt;/D&gt;&lt;D xsi:type="xsd:double"&gt;2.7960896&lt;/D&gt;&lt;D xsi:type="xsd:double"&gt;-0.096708536&lt;/D&gt;&lt;D xsi:type="xsd:double"&gt;0.126338&lt;/D&gt;&lt;D xsi:type="xsd:double"&gt;-2.0855725&lt;/D&gt;&lt;D xsi:type="xsd:double"&gt;-3.3824623&lt;/D&gt;&lt;D xsi:type="xsd:double"&gt;0.016105175&lt;/D&gt;&lt;D xsi:type="xsd:double"&gt;3.3693552&lt;/D&gt;&lt;D xsi:type="xsd:double"&gt;-1.5213788&lt;/D&gt;&lt;D xsi:type="xsd:double"&gt;1.5724778&lt;/D&gt;&lt;D xsi:type="xsd:double"&gt;-1.9652486&lt;/D&gt;&lt;D xsi:type="xsd:double"&gt;-1.8751144&lt;/D&gt;&lt;D xsi:type="xsd:double"&gt;-1.3494074&lt;/D&gt;&lt;D xsi:type="xsd:double"&gt;-0.8568883&lt;/D&gt;&lt;D xsi:type="xsd:double"&gt;1.4611483&lt;/D&gt;&lt;D xsi:type="xsd:double"&gt;2.8814554&lt;/D&gt;&lt;D xsi:type="xsd:double"&gt;-1.9327939&lt;/D&gt;&lt;D xsi:type="xsd:double"&gt;-0.9980142&lt;/D&gt;&lt;D xsi:type="xsd:double"&gt;-1.3517857&lt;/D&gt;&lt;D xsi:type="xsd:double"&gt;0.52996874&lt;/D&gt;&lt;D xsi:type="xsd:double"&gt;0.27493238&lt;/D&gt;&lt;D xsi:type="xsd:double"&gt;0.46918392&lt;/D&gt;&lt;D xsi:type="xsd:double"&gt;-1.2085378&lt;/D&gt;&lt;D xsi:type="xsd:double"&gt;2.3334503&lt;/D&gt;&lt;D xsi:type="xsd:double"&gt;-3.467065&lt;/D&gt;&lt;D xsi:type="xsd:double"&gt;-1.8678308&lt;/D&gt;&lt;D xsi:type="xsd:double"&gt;-1.5004516&lt;/D&gt;&lt;D xsi:type="xsd:double"&gt;-1.1288106&lt;/D&gt;&lt;D xsi:type="xsd:double"&gt;4.357934&lt;/D&gt;&lt;D xsi:type="xsd:double"&gt;6.3586354&lt;/D&gt;&lt;D xsi:type="xsd:double"&gt;-0.6665826&lt;/D&gt;&lt;D xsi:type="xsd:double"&gt;2.871716&lt;/D&gt;&lt;D xsi:type="xsd:double"&gt;3.1404376&lt;/D&gt;&lt;D xsi:type="xsd:double"&gt;4.597914&lt;/D&gt;&lt;D xsi:type="xsd:double"&gt;-3.0634403&lt;/D&gt;&lt;D xsi:type="xsd:double"&gt;0.53966045&lt;/D&gt;&lt;D xsi:type="xsd:double"&gt;-1.0570168&lt;/D&gt;&lt;D xsi:type="xsd:double"&gt;1.0812283&lt;/D&gt;&lt;D xsi:type="xsd:double"&gt;-0.7166624&lt;/D&gt;&lt;D xsi:type="xsd:double"&gt;-0.5322635&lt;/D&gt;&lt;D xsi:type="xsd:double"&gt;3.3921003&lt;/D&gt;&lt;D xsi:type="xsd:double"&gt;0.88254213&lt;/D&gt;&lt;D xsi:type="xsd:double"&gt;2.492702&lt;/D&gt;&lt;D xsi:type="xsd:double"&gt;-1.9385278&lt;/D&gt;&lt;D xsi:type="xsd:double"&gt;1.5250921&lt;/D&gt;&lt;D xsi:type="xsd:double"&gt;-2.6403964&lt;/D&gt;&lt;D xsi:type="xsd:double"&gt;1.7930746&lt;/D&gt;&lt;D xsi:type="xsd:double"&gt;4.1614294&lt;/D&gt;&lt;D xsi:type="xsd:double"&gt;1.8160939&lt;/D&gt;&lt;D xsi:type="xsd:double"&gt;2.3228168&lt;/D&gt;&lt;D xsi:type="xsd:double"&gt;0.16257763&lt;/D&gt;&lt;D xsi:type="xsd:double"&gt;0.70854425&lt;/D&gt;&lt;D xsi:type="xsd:double"&gt;1.3916969&lt;/D&gt;&lt;D xsi:type="xsd:double"&gt;-3.3175588&lt;/D&gt;&lt;D xsi:type="xsd:double"&gt;-1.9275546&lt;/D&gt;&lt;D xsi:type="xsd:double"&gt;-4.331726&lt;/D&gt;&lt;D xsi:type="xsd:double"&gt;5.73591&lt;/D&gt;&lt;D xsi:type="xsd:double"&gt;0.3275633&lt;/D&gt;&lt;D xsi:type="xsd:double"&gt;2.5506616&lt;/D&gt;&lt;D xsi:type="xsd:double"&gt;-3.678292&lt;/D&gt;&lt;D xsi:type="xsd:double"&gt;1.5799284&lt;/D&gt;&lt;D xsi:type="xsd:double"&gt;-0.055629015&lt;/D&gt;&lt;D xsi:type="xsd:double"&gt;-0.32271147&lt;/D&gt;&lt;D xsi:type="xsd:double"&gt;-3.976959&lt;/D&gt;&lt;D xsi:type="xsd:double"&gt;-3.416115&lt;/D&gt;&lt;D xsi:type="xsd:double"&gt;-0.14813542&lt;/D&gt;&lt;D xsi:type="xsd:double"&gt;-3.1141758&lt;/D&gt;&lt;D xsi:type="xsd:double"&gt;0.025820732&lt;/D&gt;&lt;D xsi:type="xsd:double"&gt;-0.05030632&lt;/D&gt;&lt;D xsi:type="xsd:double"&gt;-1.0017931&lt;/D&gt;&lt;D xsi:type="xsd:double"&gt;-1.6370833&lt;/D&gt;&lt;D xsi:type="xsd:double"&gt;-3.9348185&lt;/D&gt;&lt;D xsi:type="xsd:double"&gt;2.8853893&lt;/D&gt;&lt;D xsi:type="xsd:double"&gt;3.8083673&lt;/D&gt;&lt;D xsi:type="xsd:double"&gt;0.95535517&lt;/D&gt;&lt;D xsi:type="xsd:double"&gt;-0.98527074&lt;/D&gt;&lt;D xsi:type="xsd:double"&gt;-1.3060927&lt;/D&gt;&lt;D xsi:type="xsd:double"&gt;3.8892984&lt;/D&gt;&lt;D xsi:type="xsd:double"&gt;-4.6648264&lt;/D&gt;&lt;D xsi:type="xsd:double"&gt;0.83408356&lt;/D&gt;&lt;D xsi:type="xsd:double"&gt;1.1332273&lt;/D&gt;&lt;D xsi:type="xsd:double"&gt;-1.2528121&lt;/D&gt;&lt;D xsi:type="xsd:double"&gt;-1.8888712&lt;/D&gt;&lt;D xsi:type="xsd:double"&gt;1.0344625&lt;/D&gt;&lt;D xsi:type="xsd:double"&gt;-0.6014824&lt;/D&gt;&lt;D xsi:type="xsd:double"&gt;-0.1704812&lt;/D&gt;&lt;D xsi:type="xsd:double"&gt;-4.0737333&lt;/D&gt;&lt;D xsi:type="xsd:double"&gt;-2.275449&lt;/D&gt;&lt;D xsi:type="xsd:double"&gt;-0.023531914&lt;/D&gt;&lt;D xsi:type="xsd:double"&gt;-3.2870173&lt;/D&gt;&lt;D xsi:type="xsd:double"&gt;0.2969265&lt;/D&gt;&lt;D xsi:type="xsd:double"&gt;-1.4987767&lt;/D&gt;&lt;D xsi:type="xsd:double"&gt;0.33484697&lt;/D&gt;&lt;D xsi:type="xsd:double"&gt;1.3276935&lt;/D&gt;&lt;D xsi:type="xsd:double"&gt;3.7425041&lt;/D&gt;&lt;D xsi:type="xsd:double"&gt;0.26501417&lt;/D&gt;&lt;D xsi:type="xsd:double"&gt;1.3097763&lt;/D&gt;&lt;D xsi:type="xsd:double"&gt;0.15349388&lt;/D&gt;&lt;D xsi:type="xsd:double"&gt;-2.6162922&lt;/D&gt;&lt;D xsi:type="xsd:double"&gt;1.3768077&lt;/D&gt;&lt;D xsi:type="xsd:double"&gt;-3.8056195&lt;/D&gt;&lt;D xsi:type="xsd:double"&gt;0.28430223&lt;/D&gt;&lt;D xsi:type="xsd:double"&gt;3.4154415&lt;/D&gt;&lt;D xsi:type="xsd:double"&gt;1.2733102&lt;/D&gt;&lt;D xsi:type="xsd:double"&gt;1.2546897&lt;/D&gt;&lt;D xsi:type="xsd:double"&gt;-4.497427&lt;/D&gt;&lt;D xsi:type="xsd:double"&gt;-0.68187714&lt;/D&gt;&lt;D xsi:type="xsd:double"&gt;-0.053614378&lt;/D&gt;&lt;D xsi:type="xsd:double"&gt;0.5383253&lt;/D&gt;&lt;D xsi:type="xsd:double"&gt;-0.8774519&lt;/D&gt;&lt;D xsi:type="xsd:double"&gt;2.70679&lt;/D&gt;&lt;D xsi:type="xsd:double"&gt;2.6138902&lt;/D&gt;&lt;D xsi:type="xsd:double"&gt;2.7907252&lt;/D&gt;&lt;D xsi:type="xsd:double"&gt;-1.7464638&lt;/D&gt;&lt;D xsi:type="xsd:double"&gt;-2.4321496&lt;/D&gt;&lt;D xsi:type="xsd:double"&gt;1.6122341&lt;/D&gt;&lt;D xsi:type="xsd:double"&gt;-3.2424033&lt;/D&gt;&lt;D xsi:type="xsd:double"&gt;0.70387125&lt;/D&gt;&lt;D xsi:type="xsd:double"&gt;2.3837328&lt;/D&gt;&lt;D xsi:type="xsd:double"&gt;2.4701238&lt;/D&gt;&lt;D xsi:type="xsd:double"&gt;-4.3001533&lt;/D&gt;&lt;D xsi:type="xsd:double"&gt;0.15342236&lt;/D&gt;&lt;D xsi:type="xsd:double"&gt;-1.1154115&lt;/D&gt;&lt;D xsi:type="xsd:double"&gt;-2.7176976&lt;/D&gt;&lt;D xsi:type="xsd:double"&gt;1.0360122&lt;/D&gt;&lt;D xsi:type="xsd:double"&gt;-1.6850233&lt;/D&gt;&lt;D xsi:type="xsd:double"&gt;2.170527&lt;/D&gt;&lt;D xsi:type="xsd:double"&gt;-2.2086442&lt;/D&gt;&lt;D xsi:type="xsd:double"&gt;0.32182932&lt;/D&gt;&lt;D xsi:type="xsd:double"&gt;0.9761691&lt;/D&gt;&lt;D xsi:type="xsd:double"&gt;0.3654003&lt;/D&gt;&lt;D xsi:type="xsd:double"&gt;1.6032457&lt;/D&gt;&lt;D xsi:type="xsd:double"&gt;2.5900483&lt;/D&gt;&lt;D xsi:type="xsd:double"&gt;-0.8281648&lt;/D&gt;&lt;D xsi:type="xsd:double"&gt;-6.2992516&lt;/D&gt;&lt;D xsi:type="xsd:double"&gt;-4.227853&lt;/D&gt;&lt;D xsi:type="xsd:double"&gt;-1.3772309&lt;/D&gt;&lt;D xsi:type="xsd:double"&gt;-0.5490899&lt;/D&gt;&lt;D xsi:type="xsd:double"&gt;-0.04194379&lt;/D&gt;&lt;D xsi:type="xsd:double"&gt;-0.39334893&lt;/D&gt;&lt;D xsi:type="xsd:double"&gt;0.4916072&lt;/D&gt;&lt;D xsi:type="xsd:double"&gt;0.13651848&lt;/D&gt;&lt;D xsi:type="xsd:double"&gt;-1.5644491&lt;/D&gt;&lt;D xsi:type="xsd:double"&gt;0.20406246&lt;/D&gt;&lt;D xsi:type="xsd:double"&gt;4.8217773&lt;/D&gt;&lt;D xsi:type="xsd:double"&gt;0.20297766&lt;/D&gt;&lt;D xsi:type="xsd:double"&gt;-0.092202425&lt;/D&gt;&lt;D xsi:type="xsd:double"&gt;-1.6194403&lt;/D&gt;&lt;D xsi:type="xsd:double"&gt;3.0243158&lt;/D&gt;&lt;D xsi:type="xsd:double"&gt;0.90608597&lt;/D&gt;&lt;D xsi:type="xsd:double"&gt;-1.6648471&lt;/D&gt;&lt;D xsi:type="xsd:double"&gt;-0.1278758&lt;/D&gt;&lt;D xsi:type="xsd:double"&gt;2.2046924&lt;/D&gt;&lt;D xsi:type="xsd:double"&gt;1.0145307&lt;/D&gt;&lt;D xsi:type="xsd:double"&gt;3.071642&lt;/D&gt;&lt;D xsi:type="xsd:double"&gt;-0.5409479&lt;/D&gt;&lt;D xsi:type="xsd:double"&gt;2.0585656&lt;/D&gt;&lt;D xsi:type="xsd:double"&gt;0.29188395&lt;/D&gt;&lt;D xsi:type="xsd:double"&gt;-6.324494&lt;/D&gt;&lt;D xsi:type="xsd:double"&gt;-1.4408529&lt;/D&gt;&lt;D xsi:type="xsd:double"&gt;-6.0297728&lt;/D&gt;&lt;D xsi:type="xsd:double"&gt;0.40242672&lt;/D&gt;&lt;D xsi:type="xsd:double"&gt;2.4403095&lt;/D&gt;&lt;D xsi:type="xsd:double"&gt;-3.0544937&lt;/D&gt;&lt;D xsi:type="xsd:double"&gt;0.7529497&lt;/D&gt;&lt;D xsi:type="xsd:double"&gt;0.40787458&lt;/D&gt;&lt;D xsi:type="xsd:double"&gt;-3.2796502&lt;/D&gt;&lt;D xsi:type="xsd:double"&gt;-1.5901327&lt;/D&gt;&lt;D xsi:type="xsd:double"&gt;-0.31273365&lt;/D&gt;&lt;D xsi:type="xsd:double"&gt;-1.81759&lt;/D&gt;&lt;D xsi:type="xsd:double"&gt;1.1960506&lt;/D&gt;&lt;D xsi:type="xsd:double"&gt;2.246511&lt;/D&gt;&lt;D xsi:type="xsd:double"&gt;-3.731078&lt;/D&gt;&lt;D xsi:type="xsd:double"&gt;-0.06889701&lt;/D&gt;&lt;D xsi:type="xsd:double"&gt;1.4098883&lt;/D&gt;&lt;D xsi:type="xsd:double"&gt;-1.4685392&lt;/D&gt;&lt;D xsi:type="xsd:double"&gt;-0.17821789&lt;/D&gt;&lt;D xsi:type="xsd:double"&gt;-0.14955401&lt;/D&gt;&lt;D xsi:type="xsd:double"&gt;2.371633&lt;/D&gt;&lt;D xsi:type="xsd:double"&gt;-3.1943798&lt;/D&gt;&lt;D xsi:type="xsd:double"&gt;-1.393336&lt;/D&gt;&lt;D xsi:type="xsd:double"&gt;-4.0148973&lt;/D&gt;&lt;D xsi:type="xsd:double"&gt;0.5015135&lt;/D&gt;&lt;D xsi:type="xsd:double"&gt;-2.2453964&lt;/D&gt;&lt;D xsi:type="xsd:double"&gt;-2.3118675&lt;/D&gt;&lt;D xsi:type="xsd:double"&gt;-1.459688&lt;/D&gt;&lt;D xsi:type="xsd:double"&gt;4.531169&lt;/D&gt;&lt;D xsi:type="xsd:double"&gt;-2.5152683&lt;/D&gt;&lt;D xsi:type="xsd:double"&gt;-0.10455847&lt;/D&gt;&lt;D xsi:type="xsd:double"&gt;-0.050091743&lt;/D&gt;&lt;D xsi:type="xsd:double"&gt;-0.3979981&lt;/D&gt;&lt;D xsi:type="xsd:double"&gt;0.22034645&lt;/D&gt;&lt;D xsi:type="xsd:double"&gt;0.48416853&lt;/D&gt;&lt;D xsi:type="xsd:double"&gt;1.5013456&lt;/D&gt;&lt;D xsi:type="xsd:double"&gt;-1.202637&lt;/D&gt;&lt;D xsi:type="xsd:double"&gt;3.869927&lt;/D&gt;&lt;D xsi:type="xsd:double"&gt;-1.0893762&lt;/D&gt;&lt;D xsi:type="xsd:double"&gt;1.8757582&lt;/D&gt;&lt;D xsi:type="xsd:double"&gt;0.7135749&lt;/D&gt;&lt;D xsi:type="xsd:double"&gt;-0.9019017&lt;/D&gt;&lt;D xsi:type="xsd:double"&gt;7.233429&lt;/D&gt;&lt;D xsi:type="xsd:double"&gt;1.0436773&lt;/D&gt;&lt;D xsi:type="xsd:double"&gt;-3.5163462&lt;/D&gt;&lt;D xsi:type="xsd:double"&gt;-6.347692&lt;/D&gt;&lt;D xsi:type="xsd:double"&gt;-0.6017029&lt;/D&gt;&lt;D xsi:type="xsd:double"&gt;1.7491102&lt;/D&gt;&lt;D xsi:type="xsd:double"&gt;-5.603111&lt;/D&gt;&lt;D xsi:type="xsd:double"&gt;-1.381433&lt;/D&gt;&lt;D xsi:type="xsd:double"&gt;3.1027675&lt;/D&gt;&lt;D xsi:type="xsd:double"&gt;-6.554806&lt;/D&gt;&lt;D xsi:type="xsd:double"&gt;-0.13065934&lt;/D&gt;&lt;D xsi:type="xsd:double"&gt;-2.2814274&lt;/D&gt;&lt;D xsi:type="xsd:double"&gt;0.08351803&lt;/D&gt;&lt;D xsi:type="xsd:double"&gt;-0.47830343&lt;/D&gt;&lt;D xsi:type="xsd:double"&gt;-1.6416967&lt;/D&gt;&lt;D xsi:type="xsd:double"&gt;3.6833644&lt;/D&gt;&lt;D xsi:type="xsd:double"&gt;-0.7823646&lt;/D&gt;&lt;D xsi:type="xsd:double"&gt;-1.269412&lt;/D&gt;&lt;D xsi:type="xsd:double"&gt;1.4721751&lt;/D&gt;&lt;D xsi:type="xsd:double"&gt;1.3581753&lt;/D&gt;&lt;D xsi:type="xsd:double"&gt;1.4670014&lt;/D&gt;&lt;D xsi:type="xsd:double"&gt;2.2326112&lt;/D&gt;&lt;D xsi:type="xsd:double"&gt;-1.3823688&lt;/D&gt;&lt;D xsi:type="xsd:double"&gt;-0.267303&lt;/D&gt;&lt;D xsi:type="xsd:double"&gt;-0.56842566&lt;/D&gt;&lt;D xsi:type="xsd:double"&gt;4.745126&lt;/D&gt;&lt;D xsi:type="xsd:double"&gt;1.643002&lt;/D&gt;&lt;D xsi:type="xsd:double"&gt;-2.0436168&lt;/D&gt;&lt;D xsi:type="xsd:double"&gt;-7.2168946&lt;/D&gt;&lt;D xsi:type="xsd:double"&gt;1.4420509&lt;/D&gt;&lt;D xsi:type="xsd:double"&gt;1.3704181&lt;/D&gt;&lt;D xsi:type="xsd:double"&gt;-5.9685826&lt;/D&gt;&lt;D xsi:type="xsd:double"&gt;-2.555102&lt;/D&gt;&lt;D xsi:type="xsd:double"&gt;-1.663512&lt;/D&gt;&lt;D xsi:type="xsd:double"&gt;3.0926466&lt;/D&gt;&lt;D xsi:type="xsd:double"&gt;-0.43126345&lt;/D&gt;&lt;D xsi:type="xsd:double"&gt;-0.08414984&lt;/D&gt;&lt;D xsi:type="xsd:double"&gt;0.71024895&lt;/D&gt;&lt;D xsi:type="xsd:double"&gt;0.9931207&lt;/D&gt;&lt;D xsi:type="xsd:double"&gt;2.265966&lt;/D&gt;&lt;D xsi:type="xsd:double"&gt;-0.082075596&lt;/D&gt;&lt;D xsi:type="xsd:double"&gt;-0.45220256&lt;/D&gt;&lt;D xsi:type="xsd:double"&gt;-1.8285334&lt;/D&gt;&lt;D xsi:type="xsd:double"&gt;1.4133811&lt;/D&gt;&lt;D xsi:type="xsd:double"&gt;1.6891003&lt;/D&gt;&lt;D xsi:type="xsd:double"&gt;0.0775218&lt;/D&gt;&lt;D xsi:type="xsd:double"&gt;0.2853632&lt;/D&gt;&lt;D xsi:type="xsd:double"&gt;-0.06522536&lt;/D&gt;&lt;D xsi:type="xsd:double"&gt;0.5529165&lt;/D&gt;&lt;D xsi:type="xsd:double"&gt;0.9307623&lt;/D&gt;&lt;D xsi:type="xsd:double"&gt;0.47376156&lt;/D&gt;&lt;D xsi:type="xsd:double"&gt;2.7822018&lt;/D&gt;&lt;D xsi:type="xsd:double"&gt;1.3201594&lt;/D&gt;&lt;D xsi:type="xsd:double"&gt;1.0976791&lt;/D&gt;&lt;D xsi:type="xsd:double"&gt;-1.5676022&lt;/D&gt;&lt;D xsi:type="xsd:double"&gt;-0.76177716&lt;/D&gt;&lt;D xsi:type="xsd:double"&gt;2.3304343&lt;/D&gt;&lt;D xsi:type="xsd:double"&gt;-0.36678314&lt;/D&gt;&lt;D xsi:type="xsd:double"&gt;-0.5044341&lt;/D&gt;&lt;D xsi:type="xsd:double"&gt;-2.453035&lt;/D&gt;&lt;D xsi:type="xsd:double"&gt;-0.5527854&lt;/D&gt;&lt;D xsi:type="xsd:double"&gt;-0.73643327&lt;/D&gt;&lt;D xsi:type="xsd:double"&gt;-0.64739585&lt;/D&gt;&lt;D xsi:type="xsd:double"&gt;1.2316942&lt;/D&gt;&lt;D xsi:type="xsd:double"&gt;2.306962&lt;/D&gt;&lt;D xsi:type="xsd:double"&gt;-0.7439196&lt;/D&gt;&lt;D xsi:type="xsd:double"&gt;0.62630177&lt;/D&gt;&lt;D xsi:type="xsd:double"&gt;4.810846&lt;/D&gt;&lt;D xsi:type="xsd:double"&gt;-2.17551&lt;/D&gt;&lt;D xsi:type="xsd:double"&gt;-2.0721257&lt;/D&gt;&lt;D xsi:type="xsd:double"&gt;-1.3447464&lt;/D&gt;&lt;D xsi:type="xsd:double"&gt;-0.5524397&lt;/D&gt;&lt;D xsi:type="xsd:double"&gt;-0.9597957&lt;/D&gt;&lt;D xsi:type="xsd:double"&gt;-0.3968537&lt;/D&gt;&lt;D xsi:type="xsd:double"&gt;-2.1497965&lt;/D&gt;&lt;D xsi:type="xsd:double"&gt;0.82645416&lt;/D&gt;&lt;D xsi:type="xsd:double"&gt;-0.7674873&lt;/D&gt;&lt;D xsi:type="xsd:double"&gt;-2.4165094&lt;/D&gt;&lt;D xsi:type="xsd:double"&gt;-1.2438059&lt;/D&gt;&lt;D xsi:type="xsd:double"&gt;6.2879324&lt;/D&gt;&lt;D xsi:type="xsd:double"&gt;-0.8515656&lt;/D&gt;&lt;D xsi:type="xsd:double"&gt;-0.88825226&lt;/D&gt;&lt;D xsi:type="xsd:double"&gt;-1.1012018&lt;/D&gt;&lt;D xsi:type="xsd:double"&gt;-0.81713796&lt;/D&gt;&lt;D xsi:type="xsd:double"&gt;-0.6969631&lt;/D&gt;&lt;D xsi:type="xsd:double"&gt;1.3491988&lt;/D&gt;&lt;D xsi:type="xsd:double"&gt;4.1544676&lt;/D&gt;&lt;D xsi:type="xsd:double"&gt;-4.4379654&lt;/D&gt;&lt;D xsi:type="xsd:double"&gt;2.1811604&lt;/D&gt;&lt;D xsi:type="xsd:double"&gt;-1.2964189&lt;/D&gt;&lt;D xsi:type="xsd:double"&gt;0.14789104&lt;/D&gt;&lt;D xsi:type="xsd:double"&gt;-1.7216921&lt;/D&gt;&lt;D xsi:type="xsd:double"&gt;1.066637&lt;/D&gt;&lt;D xsi:type="xsd:double"&gt;-1.1866927&lt;/D&gt;&lt;D xsi:type="xsd:double"&gt;0.7035732&lt;/D&gt;&lt;D xsi:type="xsd:double"&gt;0.87890625&lt;/D&gt;&lt;D xsi:type="xsd:double"&gt;-0.46612024&lt;/D&gt;&lt;D xsi:type="xsd:double"&gt;-0.4590094&lt;/D&gt;&lt;D xsi:type="xsd:double"&gt;-2.1688879&lt;/D&gt;&lt;D xsi:type="xsd:double"&gt;0.7683754&lt;/D&gt;&lt;D xsi:type="xsd:double"&gt;1.3187289&lt;/D&gt;&lt;D xsi:type="xsd:double"&gt;-0.23406148&lt;/D&gt;&lt;D xsi:type="xsd:double"&gt;-0.47581792&lt;/D&gt;&lt;D xsi:type="xsd:double"&gt;-0.22212267&lt;/D&gt;&lt;D xsi:type="xsd:double"&gt;-0.30639172&lt;/D&gt;&lt;D xsi:type="xsd:double"&gt;2.8407454&lt;/D&gt;&lt;D xsi:type="xsd:double"&gt;-0.19930601&lt;/D&gt;&lt;D xsi:type="xsd:double"&gt;0.011110306&lt;/D&gt;&lt;D xsi:type="xsd:double"&gt;1.0680437&lt;/D&gt;&lt;D xsi:type="xsd:double"&gt;0.08794069&lt;/D&gt;&lt;D xsi:type="xsd:double"&gt;-1.8050492&lt;/D&gt;&lt;D xsi:type="xsd:double"&gt;-0.33178926&lt;/D&gt;&lt;D xsi:type="xsd:double"&gt;-1.4091909&lt;/D&gt;&lt;D xsi:type="xsd:double"&gt;-0.18071532&lt;/D&gt;&lt;D xsi:type="xsd:double"&gt;0.08120537&lt;/D&gt;&lt;D xsi:type="xsd:double"&gt;-1.0130286&lt;/D&gt;&lt;D xsi:type="xsd:double"&gt;2.3084998&lt;/D&gt;&lt;D xsi:type="xsd:double"&gt;-0.39269328&lt;/D&gt;&lt;D xsi:type="xsd:double"&gt;0.0068068504&lt;/D&gt;&lt;D xsi:type="xsd:double"&gt;-0.28236508&lt;/D&gt;&lt;D xsi:type="xsd:double"&gt;1.7413259&lt;/D&gt;&lt;D xsi:type="xsd:double"&gt;-1.0420918&lt;/D&gt;&lt;D xsi:type="xsd:double"&gt;-3.260547&lt;/D&gt;&lt;D xsi:type="xsd:double"&gt;0.09653568&lt;/D&gt;&lt;D xsi:type="xsd:double"&gt;-2.9051423&lt;/D&gt;&lt;D xsi:type="xsd:double"&gt;-0.14064908&lt;/D&gt;&lt;D xsi:type="xsd:double"&gt;-1.1525631&lt;/D&gt;&lt;D xsi:type="xsd:double"&gt;-0.6330013&lt;/D&gt;&lt;D xsi:type="xsd:double"&gt;-0.95281005&lt;/D&gt;&lt;D xsi:type="xsd:double"&gt;-0.87682605&lt;/D&gt;&lt;D xsi:type="xsd:double"&gt;2.46557&lt;/D&gt;&lt;D xsi:type="xsd:double"&gt;-1.6968787&lt;/D&gt;&lt;D xsi:type="xsd:double"&gt;-0.052559376&lt;/D&gt;&lt;D xsi:type="xsd:double"&gt;0.52000284&lt;/D&gt;&lt;D xsi:type="xsd:double"&gt;0.14443398&lt;/D&gt;&lt;D xsi:type="xsd:double"&gt;1.5197396&lt;/D&gt;&lt;D xsi:type="xsd:double"&gt;-0.7606745&lt;/D&gt;&lt;D xsi:type="xsd:double"&gt;1.6069651&lt;/D&gt;&lt;D xsi:type="xsd:double"&gt;-0.23183227&lt;/D&gt;&lt;D xsi:type="xsd:double"&gt;-3.0236304&lt;/D&gt;&lt;D xsi:type="xsd:double"&gt;-0.0034749508&lt;/D&gt;&lt;D xsi:type="xsd:double"&gt;-1.6587555&lt;/D&gt;&lt;D xsi:type="xsd:double"&gt;-0.5096555&lt;/D&gt;&lt;D xsi:type="xsd:double"&gt;-0.20523071&lt;/D&gt;&lt;D xsi:type="xsd:double"&gt;0.82325935&lt;/D&gt;&lt;D xsi:type="xsd:double"&gt;-0.3304243&lt;/D&gt;&lt;D xsi:type="xsd:double"&gt;-0.8818269&lt;/D&gt;&lt;D xsi:type="xsd:double"&gt;-1.1476398&lt;/D&gt;&lt;D xsi:type="xsd:double"&gt;1.1898994&lt;/D&gt;&lt;D xsi:type="xsd:double"&gt;-0.81416965&lt;/D&gt;&lt;D xsi:type="xsd:double"&gt;-1.300174&lt;/D&gt;&lt;D xsi:type="xsd:double"&gt;-0.3694117&lt;/D&gt;&lt;D xsi:type="xsd:double"&gt;-0.020736456&lt;/D&gt;&lt;D xsi:type="xsd:double"&gt;-3.2417476&lt;/D&gt;&lt;D xsi:type="xsd:double"&gt;-0.021964312&lt;/D&gt;&lt;D xsi:type="xsd:double"&gt;-7.932508&lt;/D&gt;&lt;D xsi:type="xsd:double"&gt;-3.8475454&lt;/D&gt;&lt;D xsi:type="xsd:double"&gt;1.5104175&lt;/D&gt;&lt;D xsi:type="xsd:double"&gt;2.5133014&lt;/D&gt;&lt;D xsi:type="xsd:double"&gt;0.32542944&lt;/D&gt;&lt;D xsi:type="xsd:double"&gt;2.6138067&lt;/D&gt;&lt;D xsi:type="xsd:double"&gt;0.8351803&lt;/D&gt;&lt;D xsi:type="xsd:double"&gt;-2.9075205&lt;/D&gt;&lt;D xsi:type="xsd:double"&gt;-0.9280503&lt;/D&gt;&lt;D xsi:type="xsd:double"&gt;-2.3820758&lt;/D&gt;&lt;D xsi:type="xsd:double"&gt;0.06337166&lt;/D&gt;&lt;D xsi:type="xsd:double"&gt;0.048291683&lt;/D&gt;&lt;D xsi:type="xsd:double"&gt;0.6821394&lt;/D&gt;&lt;D xsi:type="xsd:double"&gt;1.7441392&lt;/D&gt;&lt;D xsi:type="xsd:double"&gt;-2.1189988&lt;/D&gt;&lt;D xsi:type="xsd:double"&gt;0.90118647&lt;/D&gt;&lt;D xsi:type="xsd:double"&gt;-1.5559137&lt;/D&gt;&lt;D xsi:type="xsd:double"&gt;0.7655859&lt;/D&gt;&lt;D xsi:type="xsd:double"&gt;0.91177225&lt;/D&gt;&lt;D xsi:type="xsd:double"&gt;-1.7338693&lt;/D&gt;&lt;D xsi:type="xsd:double"&gt;1.1708021&lt;/D&gt;&lt;D xsi:type="xsd:double"&gt;-0.07209182&lt;/D&gt;&lt;D xsi:type="xsd:double"&gt;0.2362132&lt;/D&gt;&lt;D xsi:type="xsd:double"&gt;0.83186626&lt;/D&gt;&lt;D xsi:type="xsd:double"&gt;-0.5626738&lt;/D&gt;&lt;D xsi:type="xsd:double"&gt;0.18732548&lt;/D&gt;&lt;D xsi:type="xsd:double"&gt;0.73720217&lt;/D&gt;&lt;D xsi:type="xsd:double"&gt;-3.2219946&lt;/D&gt;&lt;D xsi:type="xsd:double"&gt;-2.1741152&lt;/D&gt;&lt;D xsi:type="xsd:double"&gt;0.38303137&lt;/D&gt;&lt;D xsi:type="xsd:double"&gt;-0.82921386&lt;/D&gt;&lt;D xsi:type="xsd:double"&gt;1.2188435&lt;/D&gt;&lt;D xsi:type="xsd:double"&gt;2.9595852&lt;/D&gt;&lt;D xsi:type="xsd:double"&gt;-0.23803711&lt;/D&gt;&lt;D xsi:type="xsd:double"&gt;-0.33305287&lt;/D&gt;&lt;D xsi:type="xsd:double"&gt;-0.19587278&lt;/D&gt;&lt;D xsi:type="xsd:double"&gt;-0.86447597&lt;/D&gt;&lt;D xsi:type="xsd:double"&gt;0.7162094&lt;/D&gt;&lt;D xsi:type="xsd:double"&gt;-0.93663335&lt;/D&gt;&lt;D xsi:type="xsd:double"&gt;-0.95448494&lt;/D&gt;&lt;D xsi:type="xsd:double"&gt;1.9425988&lt;/D&gt;&lt;D xsi:type="xsd:double"&gt;0.8490205&lt;/D&gt;&lt;D xsi:type="xsd:double"&gt;0.41304827&lt;/D&gt;&lt;D xsi:type="xsd:double"&gt;0.05493164&lt;/D&gt;&lt;D xsi:type="xsd:double"&gt;0.943315&lt;/D&gt;&lt;D xsi:type="xsd:double"&gt;0.21196604&lt;/D&gt;&lt;D xsi:type="xsd:double"&gt;0.753057&lt;/D&gt;&lt;D xsi:type="xsd:double"&gt;0.9802699&lt;/D&gt;&lt;D xsi:type="xsd:double"&gt;-3.6285162&lt;/D&gt;&lt;D xsi:type="xsd:double"&gt;2.3754716&lt;/D&gt;&lt;D xsi:type="xsd:double"&gt;-0.29322505&lt;/D&gt;&lt;D xsi:type="xsd:double"&gt;2.1736383&lt;/D&gt;&lt;D xsi:type="xsd:double"&gt;0.26476383&lt;/D&gt;&lt;D xsi:type="xsd:double"&gt;-0.26594996&lt;/D&gt;&lt;D xsi:type="xsd:double"&gt;-3.2443821&lt;/D&gt;&lt;D xsi:type="xsd:double"&gt;0.94664097&lt;/D&gt;&lt;D xsi:type="xsd:double"&gt;2.4635077&lt;/D&gt;&lt;D xsi:type="xsd:double"&gt;1.3840318&lt;/D&gt;&lt;D xsi:type="xsd:double"&gt;0.43205023&lt;/D&gt;&lt;D xsi:type="xsd:double"&gt;-5.255568&lt;/D&gt;&lt;D xsi:type="xsd:double"&gt;1.0513783&lt;/D&gt;&lt;D xsi:type="xsd:double"&gt;-1.4797449&lt;/D&gt;&lt;D xsi:type="xsd:double"&gt;-0.56245923&lt;/D&gt;&lt;D xsi:type="xsd:double"&gt;-0.67245364&lt;/D&gt;&lt;D xsi:type="xsd:double"&gt;0.30013323&lt;/D&gt;&lt;D xsi:type="xsd:double"&gt;-0.37849545&lt;/D&gt;&lt;D xsi:type="xsd:double"&gt;-0.50181746&lt;/D&gt;&lt;D xsi:type="xsd:double"&gt;1.9144654&lt;/D&gt;&lt;D xsi:type="xsd:double"&gt;-2.5490403&lt;/D&gt;&lt;D xsi:type="xsd:double"&gt;-0.88627934&lt;/D&gt;&lt;D xsi:type="xsd:double"&gt;0.4131317&lt;/D&gt;&lt;D xsi:type="xsd:double"&gt;1.8059969&lt;/D&gt;&lt;D xsi:type="xsd:double"&gt;0.432086&lt;/D&gt;&lt;D xsi:type="xsd:double"&gt;-1.9037366&lt;/D&gt;&lt;D xsi:type="xsd:double"&gt;-0.37400126&lt;/D&gt;&lt;D xsi:type="xsd:double"&gt;-1.1496007&lt;/D&gt;&lt;D xsi:type="xsd:double"&gt;0.53625107&lt;/D&gt;&lt;D xsi:type="xsd:double"&gt;1.3893366&lt;/D&gt;&lt;D xsi:type="xsd:double"&gt;0.60743093&lt;/D&gt;&lt;D xsi:type="xsd:double"&gt;1.3067603&lt;/D&gt;&lt;D xsi:type="xsd:double"&gt;0.6723881&lt;/D&gt;&lt;D xsi:type="xsd:double"&gt;1.5019894&lt;/D&gt;&lt;D xsi:type="xsd:double"&gt;-1.3378203&lt;/D&gt;&lt;D xsi:type="xsd:double"&gt;1.5550733&lt;/D&gt;&lt;D xsi:type="xsd:double"&gt;-0.07741451&lt;/D&gt;&lt;D xsi:type="xsd:double"&gt;-0.21570325&lt;/D&gt;&lt;D xsi:type="xsd:double"&gt;-0.17460585&lt;/D&gt;&lt;D xsi:type="xsd:double"&gt;0.63198805&lt;/D&gt;&lt;D xsi:type="xsd:double"&gt;-1.8410027&lt;/D&gt;&lt;D xsi:type="xsd:double"&gt;1.7531037&lt;/D&gt;&lt;D xsi:type="xsd:double"&gt;-1.5740693&lt;/D&gt;&lt;D xsi:type="xsd:double"&gt;0.7589221&lt;/D&gt;&lt;D xsi:type="xsd:double"&gt;-0.014024973&lt;/D&gt;&lt;D xsi:type="xsd:double"&gt;-0.32123327&lt;/D&gt;&lt;D xsi:type="xsd:double"&gt;-0.07690191&lt;/D&gt;&lt;D xsi:type="xsd:double"&gt;0.5367756&lt;/D&gt;&lt;D xsi:type="xsd:double"&gt;-0.6062746&lt;/D&gt;&lt;D xsi:type="xsd:double"&gt;-1.336509&lt;/D&gt;&lt;D xsi:type="xsd:double"&gt;1.6364217&lt;/D&gt;&lt;D xsi:type="xsd:double"&gt;2.624452&lt;/D&gt;&lt;D xsi:type="xsd:double"&gt;-0.53706765&lt;/D&gt;&lt;D xsi:type="xsd:double"&gt;1.0876775&lt;/D&gt;&lt;D xsi:type="xsd:double"&gt;2.3849368&lt;/D&gt;&lt;D xsi:type="xsd:double"&gt;1.5673041&lt;/D&gt;&lt;D xsi:type="xsd:double"&gt;0.75256824&lt;/D&gt;&lt;D xsi:type="xsd:double"&gt;-2.9084682&lt;/D&gt;&lt;D xsi:type="xsd:double"&gt;-1.1111498&lt;/D&gt;&lt;D xsi:type="xsd:double"&gt;2.151668&lt;/D&gt;&lt;D xsi:type="xsd:double"&gt;0.0024914742&lt;/D&gt;&lt;D xsi:type="xsd:double"&gt;-0.0911355&lt;/D&gt;&lt;D xsi:type="xsd:double"&gt;2.186048&lt;/D&gt;&lt;D xsi:type="xsd:double"&gt;-1.051575&lt;/D&gt;&lt;D xsi:type="xsd:double"&gt;-2.2092342&lt;/D&gt;&lt;D xsi:type="xsd:double"&gt;1.7229676&lt;/D&gt;&lt;D xsi:type="xsd:double"&gt;-1.4301896&lt;/D&gt;&lt;D xsi:type="xsd:double"&gt;1.1314154&lt;/D&gt;&lt;D xsi:type="xsd:double"&gt;0.17981529&lt;/D&gt;&lt;D xsi:type="xsd:double"&gt;-0.124287605&lt;/D&gt;&lt;D xsi:type="xsd:double"&gt;1.1846542&lt;/D&gt;&lt;D xsi:type="xsd:double"&gt;0.41092634&lt;/D&gt;&lt;D xsi:type="xsd:double"&gt;0.6851554&lt;/D&gt;&lt;D xsi:type="xsd:double"&gt;-0.8917093&lt;/D&gt;&lt;D xsi:type="xsd:double"&gt;-0.12856722&lt;/D&gt;&lt;D xsi:type="xsd:double"&gt;0.91409683&lt;/D&gt;&lt;D xsi:type="xsd:double"&gt;-0.23085475&lt;/D&gt;&lt;D xsi:type="xsd:double"&gt;-1.7504871&lt;/D&gt;&lt;D xsi:type="xsd:double"&gt;-0.9952605&lt;/D&gt;&lt;D xsi:type="xsd:double"&gt;0.84359646&lt;/D&gt;&lt;D xsi:type="xsd:double"&gt;-2.6317954&lt;/D&gt;&lt;D xsi:type="xsd:double"&gt;-2.5387645&lt;/D&gt;&lt;D xsi:type="xsd:double"&gt;2.2084236&lt;/D&gt;&lt;D xsi:type="xsd:double"&gt;-0.15089512&lt;/D&gt;&lt;D xsi:type="xsd:double"&gt;-0.074738264&lt;/D&gt;&lt;D xsi:type="xsd:double"&gt;-2.033335&lt;/D&gt;&lt;D xsi:type="xsd:double"&gt;0.46640635&lt;/D&gt;&lt;D xsi:type="xsd:double"&gt;-0.27559996&lt;/D&gt;&lt;D xsi:type="xsd:double"&gt;0.0029802322&lt;/D&gt;&lt;D xsi:type="xsd:double"&gt;-1.1664093&lt;/D&gt;&lt;D xsi:type="xsd:double"&gt;-0.09902716&lt;/D&gt;&lt;D xsi:type="xsd:double"&gt;0.4334092&lt;/D&gt;&lt;D xsi:type="xsd:double"&gt;1.4176965&lt;/D&gt;&lt;D xsi:type="xsd:double"&gt;-0.17446876&lt;/D&gt;&lt;D xsi:type="xsd:double"&gt;0.49455166&lt;/D&gt;&lt;D xsi:type="xsd:double"&gt;-0.1187861&lt;/D&gt;&lt;D xsi:type="xsd:double"&gt;-0.868088&lt;/D&gt;&lt;D xsi:type="xsd:double"&gt;0.8286238&lt;/D&gt;&lt;D xsi:type="xsd:double"&gt;0.6299734&lt;/D&gt;&lt;D xsi:type="xsd:double"&gt;-0.17955303&lt;/D&gt;&lt;D xsi:type="xsd:double"&gt;1.1072993&lt;/D&gt;&lt;D xsi:type="xsd:double"&gt;0.7935047&lt;/D&gt;&lt;D xsi:type="xsd:double"&gt;-2.089709&lt;/D&gt;&lt;D xsi:type="xsd:double"&gt;-0.37644506&lt;/D&gt;&lt;D xsi:type="xsd:double"&gt;1.3709307&lt;/D&gt;&lt;D xsi:type="xsd:double"&gt;1.3864994&lt;/D&gt;&lt;D xsi:type="xsd:double"&gt;1.8425345&lt;/D&gt;&lt;D xsi:type="xsd:double"&gt;0.45341253&lt;/D&gt;&lt;D xsi:type="xsd:double"&gt;3.0694008&lt;/D&gt;&lt;D xsi:type="xsd:double"&gt;-0.26507974&lt;/D&gt;&lt;D xsi:type="xsd:double"&gt;0.11872053&lt;/D&gt;&lt;D xsi:type="xsd:double"&gt;-0.5960524&lt;/D&gt;&lt;D xsi:type="xsd:double"&gt;-0.08790493&lt;/D&gt;&lt;D xsi:type="xsd:double"&gt;0.88641644&lt;/D&gt;&lt;D xsi:type="xsd:double"&gt;0.6737828&lt;/D&gt;&lt;D xsi:type="xsd:double"&gt;0.7633686&lt;/D&gt;&lt;D xsi:type="xsd:double"&gt;0.3986597&lt;/D&gt;&lt;D xsi:type="xsd:double"&gt;2.0586252&lt;/D&gt;&lt;D xsi:type="xsd:double"&gt;-0.30923486&lt;/D&gt;&lt;D xsi:type="xsd:double"&gt;0.7663727&lt;/D&gt;&lt;D xsi:type="xsd:double"&gt;2.183795&lt;/D&gt;&lt;D xsi:type="xsd:double"&gt;1.3373971&lt;/D&gt;&lt;D xsi:type="xsd:double"&gt;0.18098354&lt;/D&gt;&lt;D xsi:type="xsd:double"&gt;-3.372401&lt;/D&gt;&lt;D xsi:type="xsd:double"&gt;0.43063164&lt;/D&gt;&lt;D xsi:type="xsd:double"&gt;-0.83214045&lt;/D&gt;&lt;D xsi:type="xsd:double"&gt;3.1886458&lt;/D&gt;&lt;D xsi:type="xsd:double"&gt;0.5571723&lt;/D&gt;&lt;D xsi:type="xsd:double"&gt;-0.668633&lt;/D&gt;&lt;D xsi:type="xsd:double"&gt;-2.3997009&lt;/D&gt;&lt;D xsi:type="xsd:double"&gt;3.0124664&lt;/D&gt;&lt;D xsi:type="xsd:double"&gt;6.249261&lt;/D&gt;&lt;D xsi:type="xsd:double"&gt;0.4511237&lt;/D&gt;&lt;D xsi:type="xsd:double"&gt;1.7213345&lt;/D&gt;&lt;D xsi:type="xsd:double"&gt;-0.8416712&lt;/D&gt;&lt;D xsi:type="xsd:double"&gt;6.4305544&lt;/D&gt;&lt;D xsi:type="xsd:double"&gt;1.8998146&lt;/D&gt;&lt;D xsi:type="xsd:double"&gt;0.76014996&lt;/D&gt;&lt;/FQL&gt;&lt;FQL&gt;&lt;Q&gt;ADEN-CH^JULIAN(FG_PRICE(45961,45961-5AY,,USD).DATES)&lt;/Q&gt;&lt;R&gt;1257&lt;/R&gt;&lt;C&gt;1&lt;/C&gt;&lt;D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</t>
        </r>
      </text>
    </comment>
    <comment ref="A4" authorId="0" shapeId="0" xr:uid="{168084FD-91BC-4597-8AE3-C8084E993696}">
      <text>
        <r>
          <rPr>
            <b/>
            <sz val="9"/>
            <color indexed="81"/>
            <rFont val="Tahoma"/>
            <charset val="1"/>
          </rPr>
          <t>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xsi:type="xsd:long"&gt;45764&lt;/D&gt;&lt;D xsi:type="xsd:long"&gt;45763&lt;/D&gt;&lt;D xsi:type="xsd:long"&gt;45762&lt;/D&gt;&lt;D xsi:type="xsd:long"&gt;45761&lt;/D&gt;&lt;D xsi:type="xsd:long"&gt;45758&lt;/D&gt;&lt;D xsi:type="xsd:long"&gt;45757&lt;/D&gt;&lt;D xsi:type="xsd:long"&gt;45756&lt;/D&gt;&lt;D xsi:type="xsd:long"&gt;45755&lt;/D&gt;&lt;D xsi:type="xsd:long"&gt;45754&lt;/D&gt;&lt;D xsi:type="xsd:long"&gt;45751&lt;/D&gt;&lt;D xsi:type="xsd:long"&gt;45750&lt;/D&gt;&lt;D xsi:type="xsd:long"&gt;45749&lt;/D&gt;&lt;D xsi:type="xsd:long"&gt;45748&lt;/D&gt;&lt;D xsi:type="xsd:long"&gt;45747&lt;/D&gt;&lt;D xsi:type="xsd:long"&gt;45744&lt;/D&gt;&lt;D xsi:type="xsd:long"&gt;45743&lt;/D&gt;&lt;D xsi:type="xsd:long"&gt;45742&lt;/D&gt;&lt;D xsi:type="xsd:long"&gt;45741&lt;/D&gt;&lt;D xsi:type="xsd:long"&gt;45740&lt;/D&gt;&lt;D xsi:type="xsd:long"&gt;45737&lt;/D&gt;&lt;D xsi:type="xsd:long"&gt;45736&lt;/D&gt;&lt;D xsi:type="xsd:long"&gt;45735&lt;/D&gt;&lt;D xsi:type="xsd:long"&gt;45734&lt;/D&gt;&lt;D xsi:type="xsd:long"&gt;45733&lt;/D&gt;&lt;D xsi:type="xsd:long"&gt;45730&lt;/D&gt;&lt;D xsi:type="xsd:long"&gt;45729&lt;/D&gt;&lt;D xsi:type="xsd:long"&gt;45728&lt;/D&gt;&lt;D xsi:type="xsd:long"&gt;45727&lt;/D&gt;&lt;D xsi:type="xsd:long"&gt;45726&lt;/D&gt;&lt;D xsi:type="xsd:long"&gt;45723&lt;/D&gt;&lt;D xsi:type="xsd:long"&gt;45722&lt;/D&gt;&lt;D xsi:type="xsd:long"&gt;45721&lt;/D&gt;&lt;D xsi:type="xsd:long"&gt;45720&lt;/D&gt;&lt;D xsi:type="xsd:long"&gt;45719&lt;/D&gt;&lt;D xsi:type="xsd:long"&gt;45716&lt;/D&gt;&lt;D xsi:type="xsd:long"&gt;45715&lt;/D&gt;&lt;D xsi:type="xsd:long"&gt;45714&lt;/D&gt;&lt;D xsi:type="xsd:long"&gt;45713&lt;/D&gt;&lt;D xsi:type="xsd:long"&gt;45712&lt;/D&gt;&lt;D xsi:type="xsd:long"&gt;45709&lt;/D&gt;&lt;D xsi:type="xsd:long"&gt;45708&lt;/D&gt;&lt;D xsi:type="xsd:long"&gt;45707&lt;/D&gt;&lt;D xsi:type="xsd:long"&gt;45706&lt;/D&gt;&lt;D xsi:type="xsd:long"&gt;45702&lt;/D&gt;&lt;D xsi:type="xsd:long"&gt;45701&lt;/D&gt;&lt;D xsi:type="xsd:long"&gt;45700&lt;/D&gt;&lt;D xsi:type="xsd:long"&gt;45699&lt;/D&gt;&lt;D xsi:type="xsd:long"&gt;45698&lt;/D&gt;&lt;D xsi:type="xsd:long"&gt;45695&lt;/D&gt;&lt;D xsi:type="xsd:long"&gt;45694&lt;/D&gt;&lt;D xsi:type="xsd:long"&gt;45693&lt;/D&gt;&lt;D xsi:type="xsd:long"&gt;45692&lt;/D&gt;&lt;D xsi:type="xsd:long"&gt;45691&lt;/D&gt;&lt;D xsi:type="xsd:long"&gt;45688&lt;/D&gt;&lt;D xsi:type="xsd:long"&gt;45687&lt;/D&gt;&lt;D xsi:type="xsd:long"&gt;45686&lt;/D&gt;&lt;D xsi:type="xsd:long"&gt;45685&lt;/D&gt;&lt;D xsi:type="xsd:long"&gt;45684&lt;/D&gt;&lt;D xsi:type="xsd:long"&gt;45681&lt;/D&gt;&lt;D xsi:type="xsd:long"&gt;45680&lt;/D&gt;&lt;D xsi:type="xsd:long"&gt;45679&lt;/D&gt;&lt;D xsi:type="xsd:long"&gt;45678&lt;/D&gt;&lt;D xsi:type="xsd:long"&gt;45674&lt;/D&gt;&lt;D xsi:type="xsd:long"&gt;45673&lt;/D&gt;&lt;D xsi:type="xsd:long"&gt;45672&lt;/D&gt;&lt;D xsi:type="xsd:long"&gt;45671&lt;/D&gt;&lt;D xsi:type="xsd:long"&gt;45670&lt;/D&gt;&lt;D xsi:type="xsd:long"&gt;45667&lt;/D&gt;&lt;D xsi:type="xsd:long"&gt;45665&lt;/D&gt;&lt;D xsi:type="xsd:long"&gt;45664&lt;/D&gt;&lt;D xsi:type="xsd:long"&gt;45663&lt;/D&gt;&lt;D xsi:type="xsd:long"&gt;45660&lt;/D&gt;&lt;D xsi:type="xsd:long"&gt;45659&lt;/D&gt;&lt;D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xsi:type="xsd:long"&gt;45596&lt;/D&gt;&lt;D xsi:type="xsd:long"&gt;45595&lt;/D&gt;&lt;D xsi:type="xsd:long"&gt;45594&lt;/D&gt;&lt;D xsi:type="xsd:long"&gt;45593&lt;/D&gt;&lt;D xsi:type="xsd:long"&gt;45590&lt;/D&gt;&lt;D xsi:type="xsd:long"&gt;45589&lt;/D&gt;&lt;D xsi:type="xsd:long"&gt;45588&lt;/D&gt;&lt;D xsi:type="xsd:long"&gt;45587&lt;/D&gt;&lt;D xsi:type="xsd:long"&gt;45586&lt;/D&gt;&lt;D xsi:type="xsd:long"&gt;45583&lt;/D&gt;&lt;D xsi:type="xsd:long"&gt;45582&lt;/D&gt;&lt;D xsi:type="xsd:long"&gt;45581&lt;/D&gt;&lt;D xsi:type="xsd:long"&gt;45580&lt;/D&gt;&lt;D xsi:type="xsd:long"&gt;45579&lt;/D&gt;&lt;D xsi:type="xsd:long"&gt;45576&lt;/D&gt;&lt;D xsi:type="xsd:long"&gt;45575&lt;/D&gt;&lt;D xsi:type="xsd:long"&gt;45574&lt;/D&gt;&lt;D xsi:type="xsd:long"&gt;45573&lt;/D&gt;&lt;D xsi:type="xsd:long"&gt;45572&lt;/D&gt;&lt;D xsi:type="xsd:long"&gt;45569&lt;/D&gt;&lt;D xsi:type="xsd:long"&gt;45568&lt;/D&gt;&lt;D xsi:type="xsd:long"&gt;45567&lt;/D&gt;&lt;D xsi:type="xsd:long"&gt;45566&lt;/D&gt;&lt;D xsi:type="xsd:long"&gt;45565&lt;/D&gt;&lt;D xsi:type="xsd:long"&gt;45562&lt;/D&gt;&lt;D xsi:type="xsd:long"&gt;45561&lt;/D&gt;&lt;D xsi:type="xsd:long"&gt;45560&lt;/D&gt;&lt;D xsi:type="xsd:long"&gt;45559&lt;/D&gt;&lt;D xsi:type="xsd:long"&gt;45558&lt;/D&gt;&lt;D xsi:type="xsd:long"&gt;45555&lt;/D&gt;&lt;D xsi:type="xsd:long"&gt;45554&lt;/D&gt;&lt;D xsi:type="xsd:long"&gt;45553&lt;/D&gt;&lt;D xsi:type="xsd:long"&gt;45552&lt;/D&gt;&lt;D xsi:type="xsd:long"&gt;45551&lt;/D&gt;&lt;D xsi:type="xsd:long"&gt;45548&lt;/D&gt;&lt;D xsi:type="xsd:long"&gt;45547&lt;/D&gt;&lt;D xsi:type="xsd:long"&gt;45546&lt;/D&gt;&lt;D xsi:type="xsd:long"&gt;45545&lt;/D&gt;&lt;D xsi:type="xsd:long"&gt;45544&lt;/D&gt;&lt;D xsi:type="xsd:long"&gt;45541&lt;/D&gt;&lt;D xsi:type="xsd:long"&gt;45540&lt;/D&gt;&lt;D xsi:type="xsd:long"&gt;45539&lt;/D&gt;&lt;D xsi:type="xsd:long"&gt;45538&lt;/D&gt;&lt;D xsi:type="xsd:long"&gt;45534&lt;/D&gt;&lt;D xsi:type="xsd:long"&gt;45533&lt;/D&gt;&lt;D xsi:type="xsd:long"&gt;45532&lt;/D&gt;&lt;D xsi:type="xsd:long"&gt;45531&lt;/D&gt;&lt;D xsi:type="xsd:long"&gt;45530&lt;/D&gt;&lt;D xsi:type="xsd:long"&gt;45527&lt;/D&gt;&lt;D xsi:type="xsd:long"&gt;45526&lt;/D&gt;&lt;D xsi:type="xsd:long"&gt;45525&lt;/D&gt;&lt;D xsi:type="xsd:long"&gt;45524&lt;/D&gt;&lt;D xsi:type="xsd:long"&gt;45523&lt;/D&gt;&lt;D xsi:type="xsd:long"&gt;45520&lt;/D&gt;&lt;D xsi:type="xsd:long"&gt;45519&lt;/D&gt;&lt;D xsi:type="xsd:long"&gt;45518&lt;/D&gt;&lt;D xsi:type="xsd:long"&gt;45517&lt;/D&gt;&lt;D xsi:type="xsd:long"&gt;45516&lt;/D&gt;&lt;D xsi:type="xsd:long"&gt;45513&lt;/D&gt;&lt;D xsi:type="xsd:long"&gt;45512&lt;/D&gt;&lt;D xsi:type="xsd:long"&gt;45511&lt;/D&gt;&lt;D xsi:type="xsd:long"&gt;45510&lt;/D&gt;&lt;D xsi:type="xsd:long"&gt;45509&lt;/D&gt;&lt;D xsi:type="xsd:long"&gt;45506&lt;/D&gt;&lt;D xsi:type="xsd:long"&gt;45505&lt;/D&gt;&lt;D xsi:type="xsd:long"&gt;45504&lt;/D&gt;&lt;D xsi:type="xsd:long"&gt;45503&lt;/D&gt;&lt;D xsi:type="xsd:long"&gt;45502&lt;/D&gt;&lt;D xsi:type="xsd:long"&gt;45499&lt;/D&gt;&lt;D xsi:type="xsd:long"&gt;45498&lt;/D&gt;&lt;D xsi:type="xsd:long"&gt;45497&lt;/D&gt;&lt;D xsi:type="xsd:long"&gt;45496&lt;/D&gt;&lt;D xsi:type="xsd:long"&gt;45495&lt;/D&gt;&lt;D xsi:type="xsd:long"&gt;45492&lt;/D&gt;&lt;D xsi:type="xsd:long"&gt;45491&lt;/D&gt;&lt;D xsi:type="xsd:long"&gt;45490&lt;/D&gt;&lt;D xsi:type="xsd:long"&gt;45489&lt;/D&gt;&lt;D xsi:type="xsd:long"&gt;45488&lt;/D&gt;&lt;D xsi:type="xsd:long"&gt;45485&lt;/D&gt;&lt;D xsi:type="xsd:long"&gt;45484&lt;/D&gt;&lt;D xsi:type="xsd:long"&gt;45483&lt;/D&gt;&lt;D xsi:type="xsd:long"&gt;45482&lt;/D&gt;&lt;D xsi:type="xsd:long"&gt;45481&lt;/D&gt;&lt;D xsi:type="xsd:long"&gt;45478&lt;/D&gt;&lt;D xsi:type="xsd:long"&gt;45476&lt;/D&gt;&lt;D xsi:type="xsd:long"&gt;45475&lt;/D&gt;&lt;D xsi:type="xsd:long"&gt;45474&lt;/D&gt;&lt;D xsi:type="xsd:long"&gt;45471&lt;/D&gt;&lt;D xsi:type="xsd:long"&gt;45470&lt;/D&gt;&lt;D xsi:type="xsd:long"&gt;45469&lt;/D&gt;&lt;D xsi:type="xsd:long"&gt;45468&lt;/D&gt;&lt;D xsi:type="xsd:long"&gt;45467&lt;/D&gt;&lt;D xsi:type="xsd:long"&gt;45464&lt;/D&gt;&lt;D xsi:type="xsd:long"&gt;45463&lt;/D&gt;&lt;D xsi:type="xsd:long"&gt;45461&lt;/D&gt;&lt;D xsi:type="xsd:long"&gt;45460&lt;/D&gt;&lt;D xsi:type="xsd:long"&gt;45457&lt;/D&gt;&lt;D xsi:type="xsd:long"&gt;45456&lt;/D&gt;&lt;D xsi:type="xsd:long"&gt;45455&lt;/D&gt;&lt;D xsi:type="xsd:long"&gt;45454&lt;/D&gt;&lt;D xsi:type="xsd:long"&gt;45453&lt;/D&gt;&lt;D xsi:type="xsd:long"&gt;45450&lt;/D&gt;&lt;D xsi:type="xsd:long"&gt;45449&lt;/D&gt;&lt;D xsi:type="xsd:long"&gt;45448&lt;/D&gt;&lt;D xsi:type="xsd:long"&gt;45447&lt;/D&gt;&lt;D xsi:type="xsd:long"&gt;45446&lt;/D&gt;&lt;D xsi:type="xsd:long"&gt;45443&lt;/D&gt;&lt;D xsi:type="xsd:long"&gt;45442&lt;/D&gt;&lt;D xsi:type="xsd:long"&gt;45441&lt;/D&gt;&lt;D xsi:type="xsd:long"&gt;45440&lt;/D&gt;&lt;D xsi:type="xsd:long"&gt;45436&lt;/D&gt;&lt;D xsi:type="xsd:long"&gt;45435&lt;/D&gt;&lt;D xsi:type="xsd:long"&gt;45434&lt;/D&gt;&lt;D xsi:type="xsd:long"&gt;45433&lt;/D&gt;&lt;D xsi:type="xsd:long"&gt;45432&lt;/D&gt;&lt;D xsi:type="xsd:long"&gt;45429&lt;/D&gt;&lt;D xsi:type="xsd:long"&gt;45428&lt;/D&gt;&lt;D xsi:type="xsd:long"&gt;45427&lt;/D&gt;&lt;D xsi:type="xsd:long"&gt;45426&lt;/D&gt;&lt;D xsi:type="xsd:long"&gt;45425&lt;/D&gt;&lt;D xsi:type="xsd:long"&gt;45422&lt;/D&gt;&lt;D xsi:type="xsd:long"&gt;45421&lt;/D&gt;&lt;D xsi:type="xsd:long"&gt;45420&lt;/D&gt;&lt;D xsi:type="xsd:long"&gt;45419&lt;/D&gt;&lt;D xsi:type="xsd:long"&gt;45418&lt;/D&gt;&lt;D xsi:type="xsd:long"&gt;45415&lt;/D&gt;&lt;D xsi:type="xsd:long"&gt;45414&lt;/D&gt;&lt;D xsi:type="xsd:long"&gt;45413&lt;/D&gt;&lt;D xsi:type="xsd:long"&gt;45412&lt;/D&gt;&lt;D xsi:type="xsd:long"&gt;45411&lt;/D&gt;&lt;D xsi:type="xsd:long"&gt;45408&lt;/D&gt;&lt;D xsi:type="xsd:long"&gt;45407&lt;/D&gt;&lt;D xsi:type="xsd:long"&gt;45406&lt;/D&gt;&lt;D xsi:type="xsd:long"&gt;45405&lt;/D&gt;&lt;D xsi:type="xsd:long"&gt;45404&lt;/D&gt;&lt;D xsi:type="xsd:long"&gt;45401&lt;/D&gt;&lt;D xsi:type="xsd:long"&gt;45400&lt;/D&gt;&lt;D xsi:type="xsd:long"&gt;45399&lt;/D&gt;&lt;D xsi:type="xsd:long"&gt;45398&lt;/D&gt;&lt;D xsi:type="xsd:long"&gt;45397&lt;/D&gt;&lt;D xsi:type="xsd:long"&gt;45394&lt;/D&gt;&lt;D xsi:type="xsd:long"&gt;45393&lt;/D&gt;&lt;D xsi:type="xsd:long"&gt;45392&lt;/D&gt;&lt;D xsi:type="xsd:long"&gt;45391&lt;/D&gt;&lt;D xsi:type="xsd:long"&gt;45390&lt;/D&gt;&lt;D xsi:type="xsd:long"&gt;45387&lt;/D&gt;&lt;D xsi:type="xsd:long"&gt;45386&lt;/D&gt;&lt;D xsi:type="xsd:long"&gt;45385&lt;/D&gt;&lt;D xsi:type="xsd:long"&gt;45384&lt;/D&gt;&lt;D xsi:type="xsd:long"&gt;45383&lt;/D&gt;&lt;D xsi:type="xsd:long"&gt;45379&lt;/D&gt;&lt;D xsi:type="xsd:long"&gt;45378&lt;/D&gt;&lt;D xsi:type="xsd:long"&gt;45377&lt;/D&gt;&lt;D xsi:type="xsd:long"&gt;45376&lt;/D&gt;&lt;D xsi:type="xsd:long"&gt;45373&lt;/D&gt;&lt;D xsi:type="xsd:long"&gt;45372&lt;/D&gt;&lt;D xsi:type="xsd:long"&gt;45371&lt;/D&gt;&lt;D xsi:type="xsd:long"&gt;45370&lt;/D&gt;&lt;D xsi:type="xsd:long"&gt;45369&lt;/D&gt;&lt;D xsi:type="xsd:long"&gt;45366&lt;/D&gt;&lt;D xsi:type="xsd:long"&gt;45365&lt;/D&gt;&lt;D xsi:type="xsd:long"&gt;45364&lt;/D&gt;&lt;D xsi:type="xsd:long"&gt;45363&lt;/D&gt;&lt;D xsi:type="xsd:long"&gt;45362&lt;/D&gt;&lt;D xsi:type="xsd:long"&gt;45359&lt;/D&gt;&lt;D xsi:type="xsd:long"&gt;45358&lt;/D&gt;&lt;D xsi:type="xsd:long"&gt;45357&lt;/D&gt;&lt;D xsi:type="xsd:long"&gt;45356&lt;/D&gt;&lt;D xsi:type="xsd:long"&gt;45355&lt;/D&gt;&lt;D xsi:type="xsd:long"&gt;45352&lt;/D&gt;&lt;D xsi:type="xsd:long"&gt;45351&lt;/D&gt;&lt;D xsi:type="xsd:long"&gt;45350&lt;/D&gt;&lt;D xsi:type="xsd:long"&gt;45349&lt;/D&gt;&lt;D xsi:type="xsd:long"&gt;45348&lt;/D&gt;&lt;D xsi:type="xsd:long"&gt;45345&lt;/D&gt;&lt;D xsi:type="xsd:long"&gt;45344&lt;/D&gt;&lt;D xsi:type="xsd:long"&gt;45343&lt;/D&gt;&lt;D xsi:type="xsd:long"&gt;45342&lt;/D&gt;&lt;D xsi:type="xsd:long"&gt;45338&lt;/D&gt;&lt;D xsi:type="xsd:long"&gt;45337&lt;/D&gt;&lt;D xsi:type="xsd:long"&gt;45336&lt;/D&gt;&lt;D xsi:type="xsd:long"&gt;45335&lt;/D&gt;&lt;D xsi:type="xsd:long"&gt;45334&lt;/D&gt;&lt;D xsi:type="xsd:long"&gt;45331&lt;/D&gt;&lt;D xsi:type="xsd:long"&gt;45330&lt;/D&gt;&lt;D xsi:type="xsd:long"&gt;45329&lt;/D&gt;&lt;D xsi:type="xsd:long"&gt;45328&lt;/D&gt;&lt;D xsi:type="xsd:long"&gt;45327&lt;/D&gt;&lt;D xsi:type="xsd:long"&gt;45324&lt;/D&gt;&lt;D xsi:type="xsd:long"&gt;45323&lt;/D&gt;&lt;D xsi:type="xsd:long"&gt;45322&lt;/D&gt;&lt;D xsi:type="xsd:long"&gt;45321&lt;/D&gt;&lt;D xsi:type="xsd:long"&gt;45320&lt;/D&gt;&lt;D xsi:type="xsd:long"&gt;45317&lt;/D&gt;&lt;D xsi:type="xsd:long"&gt;45316&lt;/D&gt;&lt;D xsi:type="xsd:long"&gt;45315&lt;/D&gt;&lt;D xsi:type="xsd:long"&gt;45314&lt;/D&gt;&lt;D xsi:type="xsd:long"&gt;45313&lt;/D&gt;&lt;D xsi:type="xsd:long"&gt;45310&lt;/D&gt;&lt;D xsi:type="xsd:long"&gt;45309&lt;/D&gt;&lt;D xsi:type="xsd:long"&gt;45308&lt;/D&gt;&lt;D xsi:type="xsd:long"&gt;45307&lt;/D&gt;&lt;D xsi:type="xsd:long"&gt;45303&lt;/D&gt;&lt;D xsi:type="xsd:long"&gt;45302&lt;/D&gt;&lt;D xsi:type="xsd:long"&gt;45301&lt;/D&gt;&lt;D xsi:type="xsd:long"&gt;45300&lt;/D&gt;&lt;D xsi:type="xsd:long"&gt;45299&lt;/D&gt;&lt;D xsi:type="xsd:long"&gt;45296&lt;/D&gt;&lt;D xsi:type="xsd:long"&gt;45295&lt;/D&gt;&lt;D xsi:type="xsd:long"&gt;45294&lt;/D&gt;&lt;D xsi:type="xsd:long"&gt;45293&lt;/D&gt;&lt;D xsi:type="xsd:long"&gt;45289&lt;/D&gt;&lt;D xsi:type="xsd:long"&gt;45288&lt;/D&gt;&lt;D xsi:type="xsd:long"&gt;45287&lt;/D&gt;&lt;D xsi:type="xsd:long"&gt;45286&lt;/D&gt;&lt;D xsi:type="xsd:long"&gt;45282&lt;/D&gt;&lt;D xsi:type="xsd:long"&gt;45281&lt;/D&gt;&lt;D xsi:type="xsd:long"&gt;45280&lt;/D&gt;&lt;D xsi:type="xsd:long"&gt;45279&lt;/D&gt;&lt;D xsi:type="xsd:long"&gt;45278&lt;/D&gt;&lt;D xsi:type="xsd:long"&gt;45275&lt;/D&gt;&lt;D xsi:type="xsd:long"&gt;45274&lt;/D&gt;&lt;D xsi:type="xsd:long"&gt;45273&lt;/D&gt;&lt;D xsi:type="xsd:long"&gt;45272&lt;/D&gt;&lt;D xsi:type="xsd:long"&gt;45271&lt;/D&gt;&lt;D xsi:type="xsd:long"&gt;45268&lt;/D&gt;&lt;D xsi:type="xsd:long"&gt;45267&lt;/D&gt;&lt;D xsi:type="xsd:long"&gt;45266&lt;/D&gt;&lt;D xsi:type="xsd:long"&gt;45265&lt;/D&gt;&lt;D xsi:type="xsd:long"&gt;45264&lt;/D&gt;&lt;D xsi:type="xsd:long"&gt;45261&lt;/D&gt;&lt;D xsi:type="xsd:long"&gt;45260&lt;/D&gt;&lt;D xsi:type="xsd:long"&gt;45259&lt;/D&gt;&lt;D xsi:type="xsd:long"&gt;45258&lt;/D&gt;&lt;D xsi:type="xsd:long"&gt;45257&lt;/D&gt;&lt;D xsi:type="xsd:long"&gt;45254&lt;/D&gt;&lt;D xsi:type="xsd:long"&gt;45252&lt;/D&gt;&lt;D xsi:type="xsd:long"&gt;45251&lt;/D&gt;&lt;D xsi:type="xsd:long"&gt;45250&lt;/D&gt;&lt;D xsi:type="xsd:long"&gt;45247&lt;/D&gt;&lt;D xsi:type="xsd:long"&gt;45246&lt;/D&gt;&lt;D xsi:type="xsd:long"&gt;45245&lt;/D&gt;&lt;D xsi:type="xsd:long"&gt;45244&lt;/D&gt;&lt;D xsi:type="xsd:long"&gt;45243&lt;/D&gt;&lt;D xsi:type="xsd:long"&gt;45240&lt;/D&gt;&lt;D xsi:type="xsd:long"&gt;45239&lt;/D&gt;&lt;D xsi:type="xsd:long"&gt;45238&lt;/D&gt;&lt;D xsi:type="xsd:long"&gt;45237&lt;/D&gt;&lt;D xsi:type="xsd:long"&gt;45236&lt;/D&gt;&lt;D xsi:type="xsd:long"&gt;45233&lt;/D&gt;&lt;D xsi:type="xsd:long"&gt;45232&lt;/D&gt;&lt;D xsi:type="xsd:long"&gt;45231&lt;/D&gt;&lt;D xsi:type="xsd:long"&gt;45230&lt;/D&gt;&lt;D xsi:type="xsd:long"&gt;45229&lt;/D&gt;&lt;D xsi:type="xsd:long"&gt;45226&lt;/D&gt;&lt;D xsi:type="xsd:long"&gt;45225&lt;/D&gt;&lt;D xsi:type="xsd:long"&gt;45224&lt;/D&gt;&lt;D xsi:type="xsd:long"&gt;45223&lt;/D&gt;&lt;D xsi:type="xsd:long"&gt;45222&lt;/D&gt;&lt;D xsi:type="xsd:long"&gt;45219&lt;/D&gt;&lt;D xsi:type="xsd:long"&gt;45218&lt;/D&gt;&lt;D xsi:type="xsd:long"&gt;45217&lt;/D&gt;&lt;D xsi:type="xsd:long"&gt;45216&lt;/D&gt;&lt;D xsi:type="xsd:long"&gt;45215&lt;/D&gt;&lt;D xsi:type="xsd:long"&gt;45212&lt;/D&gt;&lt;D xsi:type="xsd:long"&gt;45211&lt;/D&gt;&lt;D xsi:type="xsd:long"&gt;45210&lt;/D&gt;&lt;D xsi:type="xsd:long"&gt;45209&lt;/D&gt;&lt;D xsi:type="xsd:long"&gt;45208&lt;/D&gt;&lt;D xsi:type="xsd:long"&gt;45205&lt;/D&gt;&lt;D xsi:type="xsd:long"&gt;45204&lt;/D&gt;&lt;D xsi:type="xsd:long"&gt;45203&lt;/D&gt;&lt;D xsi:type="xsd:long"&gt;45202&lt;/D&gt;&lt;D xsi:type="xsd:long"&gt;45201&lt;/D&gt;&lt;D xsi:type="xsd:long"&gt;45198&lt;/D&gt;&lt;D xsi:type="xsd:long"&gt;45197&lt;/D&gt;&lt;D xsi:type="xsd:long"&gt;45196&lt;/D&gt;&lt;D xsi:type="xsd:long"&gt;45195&lt;/D&gt;&lt;D xsi:type="xsd:long"&gt;45194&lt;/D&gt;&lt;D xsi:type="xsd:long"&gt;45191&lt;/D&gt;&lt;D xsi:type="xsd:long"&gt;45190&lt;/D&gt;&lt;D xsi:type="xsd:long"&gt;45189&lt;/D&gt;&lt;D xsi:type="xsd:long"&gt;45188&lt;/D&gt;&lt;D xsi:type="xsd:long"&gt;45187&lt;/D&gt;&lt;D xsi:type="xsd:long"&gt;45184&lt;/D&gt;&lt;D xsi:type="xsd:long"&gt;45183&lt;/D&gt;&lt;D xsi:type="xsd:long"&gt;45182&lt;/D&gt;&lt;D xsi:type="xsd:long"&gt;45181&lt;/D&gt;&lt;D xsi:type="xsd:long"&gt;45180&lt;/D&gt;&lt;D xsi:type="xsd:long"&gt;45177&lt;/D&gt;&lt;D xsi:type="xsd:long"&gt;45176&lt;/D&gt;&lt;D xsi:type="xsd:long"&gt;45175&lt;/D&gt;&lt;D xsi:type="xsd:long"&gt;45174&lt;/D&gt;&lt;D xsi:type="xsd:long"&gt;45170&lt;/D&gt;&lt;D xsi:type="xsd:long"&gt;45169&lt;/D&gt;&lt;D xsi:type="xsd:long"&gt;45168&lt;/D&gt;&lt;D xsi:type="xsd:long"&gt;45167&lt;/D&gt;&lt;D xsi:type="xsd:long"&gt;45166&lt;/D&gt;&lt;D xsi:type="xsd:long"&gt;45163&lt;/D&gt;&lt;D xsi:type="xsd:long"&gt;45162&lt;/D&gt;&lt;D xsi:type="xsd:long"&gt;45161&lt;/D&gt;&lt;D xsi:type="xsd:long"&gt;45160&lt;/D&gt;&lt;D xsi:type="xsd:long"&gt;45159&lt;/D&gt;&lt;D xsi:type="xsd:long"&gt;45156&lt;/D&gt;&lt;D xsi:type="xsd:long"&gt;45155&lt;/D&gt;&lt;D xsi:type="xsd:long"&gt;45154&lt;/D&gt;&lt;D xsi:type="xsd:long"&gt;45153&lt;/D&gt;&lt;D xsi:type="xsd:long"&gt;45152&lt;/D&gt;&lt;D xsi:type="xsd:long"&gt;45149&lt;/D&gt;&lt;D xsi:type="xsd:long"&gt;45148&lt;/D&gt;&lt;D xsi:type="xsd:long"&gt;45147&lt;/D&gt;&lt;D xsi:type="xsd:long"&gt;45146&lt;/D&gt;&lt;D xsi:type="xsd:long"&gt;45145&lt;/D&gt;&lt;D xsi:type="xsd:long"&gt;45142&lt;/D&gt;&lt;D xsi:type="xsd:long"&gt;45141&lt;/D&gt;&lt;D xsi:type="xsd:long"&gt;45140&lt;/D&gt;&lt;D xsi:type="xsd:long"&gt;45139&lt;/D&gt;&lt;D xsi:type="xsd:long"&gt;45138&lt;/D&gt;&lt;D xsi:type="xsd:long"&gt;45135&lt;/D&gt;&lt;D xsi:type="xsd:long"&gt;45134&lt;/D&gt;&lt;D xsi:type="xsd:long"&gt;45133&lt;/D&gt;&lt;D xsi:type="xsd:long"&gt;45132&lt;/D&gt;&lt;D xsi:type="xsd:long"&gt;45131&lt;/D&gt;&lt;D xsi:type="xsd:long"&gt;45128&lt;/D&gt;&lt;D xsi:type="xsd:long"&gt;45127&lt;/D&gt;&lt;D xsi:type="xsd:long"&gt;45126&lt;/D&gt;&lt;D xsi:type="xsd:long"&gt;45125&lt;/D&gt;&lt;D xsi:type="xsd:long"&gt;45124&lt;/D&gt;&lt;D xsi:type="xsd:long"&gt;45121&lt;/D&gt;&lt;D xsi:type="xsd:long"&gt;45120&lt;/D&gt;&lt;D xsi:type="xsd:long"&gt;45119&lt;/D&gt;&lt;D xsi:type="xsd:long"&gt;45118&lt;/D&gt;&lt;D xsi:type="xsd:long"&gt;45117&lt;/D&gt;&lt;D xsi:type="xsd:long"&gt;45114&lt;/D&gt;&lt;D xsi:type="xsd:long"&gt;45113&lt;/D&gt;&lt;D xsi:type="xsd:long"&gt;45112&lt;/D&gt;&lt;D xsi:type="xsd:long"&gt;45110&lt;/D&gt;&lt;D xsi:type="xsd:long"&gt;45107&lt;/D&gt;&lt;D xsi:type="xsd:long"&gt;45106&lt;/D&gt;&lt;D xsi:type="xsd:long"&gt;45105&lt;/D&gt;&lt;D xsi:type="xsd:long"&gt;45104&lt;/D&gt;&lt;D xsi:type="xsd:long"&gt;45103&lt;/D&gt;&lt;D xsi:type="xsd:long"&gt;45100&lt;/D&gt;&lt;D xsi:type="xsd:long"&gt;45099&lt;/D&gt;&lt;D xsi:type="xsd:long"&gt;45098&lt;/D&gt;&lt;D xsi:type="xsd:long"&gt;45097&lt;/D&gt;&lt;D xsi:type="xsd:long"&gt;45093&lt;/D&gt;&lt;D xsi:type="xsd:long"&gt;45092&lt;/D&gt;&lt;D xsi:type="xsd:long"&gt;45091&lt;/D&gt;&lt;D xsi:type="xsd:long"&gt;45090&lt;/D&gt;&lt;D xsi:type="xsd:long"&gt;45089&lt;/D&gt;&lt;D xsi:type="xsd:long"&gt;45086&lt;/D&gt;&lt;D xsi:type="xsd:long"&gt;45085&lt;/D&gt;&lt;D xsi:type="xsd:long"&gt;45084&lt;/D&gt;&lt;D xsi:type="xsd:long"&gt;45083&lt;/D&gt;&lt;D xsi:type="xsd:long"&gt;45082&lt;/D&gt;&lt;D xsi:type="xsd:long"&gt;45079&lt;/D&gt;&lt;D xsi:type="xsd:long"&gt;45078&lt;/D&gt;&lt;D xsi:type="xsd:long"&gt;45077&lt;/D&gt;&lt;D xsi:type="xsd:long"&gt;45076&lt;/D&gt;&lt;D xsi:type="xsd:long"&gt;45072&lt;/D&gt;&lt;D xsi:type="xsd:long"&gt;45071&lt;/D&gt;&lt;D xsi:type="xsd:long"&gt;45070&lt;/D&gt;&lt;D xsi:type="xsd:long"&gt;45069&lt;/D&gt;&lt;D xsi:type="xsd:long"&gt;45068&lt;/D&gt;&lt;D xsi:type="xsd:long"&gt;45065&lt;/D&gt;&lt;D xsi:type="xsd:long"&gt;45064&lt;/D&gt;&lt;D xsi:type="xsd:long"&gt;45063&lt;/D&gt;&lt;D xsi:type="xsd:long"&gt;45062&lt;/D&gt;&lt;D xsi:type="xsd:long"&gt;45061&lt;/D&gt;&lt;D xsi:type="xsd:long"&gt;45058&lt;/D&gt;&lt;D xsi:type="xsd:long"&gt;45057&lt;/D&gt;&lt;D xsi:type="xsd:long"&gt;45056&lt;/D&gt;&lt;D xsi:type="xsd:long"&gt;45055&lt;/D&gt;&lt;D xsi:type="xsd:long"&gt;45054&lt;/D&gt;&lt;D xsi:type="xsd:long"&gt;45051&lt;/D&gt;&lt;D xsi:type="xsd:long"&gt;45050&lt;/D&gt;&lt;D xsi:type="xsd:long"&gt;45049&lt;/D&gt;&lt;D xsi:type="xsd:long"&gt;45048&lt;/D&gt;&lt;D xsi:type="xsd:long"&gt;45047&lt;/D&gt;&lt;D xsi:type="xsd:long"&gt;45044&lt;/D&gt;&lt;D xsi:type="xsd:long"&gt;45043&lt;/D&gt;&lt;D xsi:type="xsd:long"&gt;45042&lt;/D&gt;&lt;D xsi:type="xsd:long"&gt;45041&lt;/D&gt;&lt;D xsi:type="xsd:long"&gt;45040&lt;/D&gt;&lt;D xsi:type="xsd:long"&gt;45037&lt;/D&gt;&lt;D xsi:type="xsd:long"&gt;45036&lt;/D&gt;&lt;D xsi:type="xsd:long"&gt;45035&lt;/D&gt;&lt;D xsi:type="xsd:long"&gt;45034&lt;/D&gt;&lt;D xsi:type="xsd:long"&gt;45033&lt;/D&gt;&lt;D xsi:type="xsd:long"&gt;45030&lt;/D&gt;&lt;D xsi:type="xsd:long"&gt;45029&lt;/D&gt;&lt;D xsi:type="xsd:long"&gt;45028&lt;/D&gt;&lt;D xsi:type="xsd:long"&gt;45027&lt;/D&gt;&lt;D xsi:type="xsd:long"&gt;45026&lt;/D&gt;&lt;D xsi:type="xsd:long"&gt;45022&lt;/D&gt;&lt;D xsi:type="xsd:long"&gt;45021&lt;/D&gt;&lt;D xsi:type="xsd:long"&gt;45020&lt;/D&gt;&lt;D xsi:type="xsd:long"&gt;45019&lt;/D&gt;&lt;D xsi:type="xsd:long"&gt;45016&lt;/D&gt;&lt;D xsi:type="xsd:long"&gt;45015&lt;/D&gt;&lt;D xsi:type="xsd:long"&gt;45014&lt;/D&gt;&lt;D xsi:type="xsd:long"&gt;45013&lt;/D&gt;&lt;D xsi:type="xsd:long"&gt;45012&lt;/D&gt;&lt;D xsi:type="xsd:long"&gt;45009&lt;/D&gt;&lt;D xsi:type="xsd:long"&gt;45008&lt;/D&gt;&lt;D xsi:type="xsd:long"&gt;45007&lt;/D&gt;&lt;D xsi:type="xsd:long"&gt;45006&lt;/D&gt;&lt;D xsi:type="xsd:long"&gt;45005&lt;/D&gt;&lt;D xsi:type="xsd:long"&gt;45002&lt;/D&gt;&lt;D xsi:type="xsd:long"&gt;45001&lt;/D&gt;&lt;D xsi:type="xsd:long"&gt;45000&lt;/D&gt;&lt;D xsi:type="xsd:long"&gt;44999&lt;/D&gt;&lt;D xsi:type="xsd:long"&gt;44998&lt;/D&gt;&lt;D xsi:type="xsd:long"&gt;44995&lt;/D&gt;&lt;D xsi:type="xsd:long"&gt;44994&lt;/D&gt;&lt;D xsi:type="xsd:long"&gt;44993&lt;/D&gt;&lt;D xsi:type="xsd:long"&gt;44992&lt;/D&gt;&lt;D xsi:type="xsd:long"&gt;44991&lt;/D&gt;&lt;D xsi:type="xsd:long"&gt;44988&lt;/D&gt;&lt;D xsi:type="xsd:long"&gt;44987&lt;/D&gt;&lt;D xsi:type="xsd:long"&gt;44986&lt;/D&gt;&lt;D xsi:type="xsd:long"&gt;44985&lt;/D&gt;&lt;D xsi:type="xsd:long"&gt;44984&lt;/D&gt;&lt;D xsi:type="xsd:long"&gt;44981&lt;/D&gt;&lt;D xsi:type="xsd:long"&gt;44980&lt;/D&gt;&lt;D xsi:type="xsd:long"&gt;44979&lt;/D&gt;&lt;D xsi:type="xsd:long"&gt;44978&lt;/D&gt;&lt;D xsi:type="xsd:long"&gt;44974&lt;/D&gt;&lt;D xsi:type="xsd:long"&gt;44973&lt;/D&gt;&lt;D xsi:type="xsd:long"&gt;44972&lt;/D&gt;&lt;D xsi:type="xsd:long"&gt;44971&lt;/D&gt;&lt;D xsi:type="xsd:long"&gt;44970&lt;/D&gt;&lt;D xsi:type="xsd:long"&gt;44967&lt;/D&gt;&lt;D xsi:type="xsd:long"&gt;44966&lt;/D&gt;&lt;D xsi:type="xsd:long"&gt;44965&lt;/D&gt;&lt;D xsi:type="xsd:long"&gt;44964&lt;/D&gt;&lt;D xsi:type="xsd:long"&gt;44963&lt;/D&gt;&lt;D xsi:type="xsd:long"&gt;44960&lt;/D&gt;&lt;D xsi:type="xsd:long"&gt;44959&lt;/D&gt;&lt;D xsi:type="xsd:long"&gt;44958&lt;/D&gt;&lt;D xsi:type="xsd:long"&gt;44957&lt;/D&gt;&lt;D xsi:type="xsd:long"&gt;44956&lt;/D&gt;&lt;D xsi:type="xsd:long"&gt;44953&lt;/D&gt;&lt;D xsi:type="xsd:long"&gt;44952&lt;/D&gt;&lt;D xsi:type="xsd:long"&gt;44951&lt;/D&gt;&lt;D xsi:type="xsd:long"&gt;44950&lt;/D&gt;&lt;D xsi:type="xsd:long"&gt;44949&lt;/D&gt;&lt;D xsi:type="xsd:long"&gt;44946&lt;/D&gt;&lt;D xsi:type="xsd:long"&gt;44945&lt;/D&gt;&lt;D xsi:type="xsd:long"&gt;44944&lt;/D&gt;&lt;D xsi:type="xsd:long"&gt;44943&lt;/D&gt;&lt;D xsi:type="xsd:long"&gt;44939&lt;/D&gt;&lt;D xsi:type="xsd:long"&gt;44938&lt;/D&gt;&lt;D xsi:type="xsd:long"&gt;44937&lt;/D&gt;&lt;D xsi:type="xsd:long"&gt;44936&lt;/D&gt;&lt;D xsi:type="xsd:long"&gt;44935&lt;/D&gt;&lt;D xsi:type="xsd:long"&gt;44932&lt;/D&gt;&lt;D xsi:type="xsd:long"&gt;44931&lt;/D&gt;&lt;D xsi:type="xsd:long"&gt;44930&lt;/D&gt;&lt;D xsi:type="xsd:long"&gt;44929&lt;/D&gt;&lt;D xsi:type="xsd:long"&gt;44925&lt;/D&gt;&lt;D xsi:type="xsd:long"&gt;44924&lt;/D&gt;&lt;D xsi:type="xsd:long"&gt;44923&lt;/D&gt;&lt;D xsi:type="xsd:long"&gt;44922&lt;/D&gt;&lt;D xsi:type="xsd:long"&gt;44918&lt;/D&gt;&lt;D xsi:type="xsd:long"&gt;44917&lt;/D&gt;&lt;D xsi:type="xsd:long"&gt;44916&lt;/D&gt;&lt;D xsi:type="xsd:long"&gt;44915&lt;/D&gt;&lt;D xsi:type="xsd:long"&gt;44914&lt;/D&gt;&lt;D xsi:type="xsd:long"&gt;44911&lt;/D&gt;&lt;D xsi:type="xsd:long"&gt;44910&lt;/D&gt;&lt;D xsi:type="xsd:long"&gt;44909&lt;/D&gt;&lt;D xsi:type="xsd:long"&gt;44908&lt;/D&gt;&lt;D xsi:type="xsd:long"&gt;44907&lt;/D&gt;&lt;D xsi:type="xsd:long"&gt;44904&lt;/D&gt;&lt;D xsi:type="xsd:long"&gt;44903&lt;/D&gt;&lt;D xsi:type="xsd:long"&gt;44902&lt;/D&gt;&lt;D xsi:type="xsd:long"&gt;44901&lt;/D&gt;&lt;D xsi:type="xsd:long"&gt;44900&lt;/D&gt;&lt;D xsi:type="xsd:long"&gt;44897&lt;/D&gt;&lt;D xsi:type="xsd:long"&gt;44896&lt;/D&gt;&lt;D xsi:type="xsd:long"&gt;44895&lt;/D&gt;&lt;D xsi:type="xsd:long"&gt;44894&lt;/D&gt;&lt;D xsi:type="xsd:long"&gt;44893&lt;/D&gt;&lt;D xsi:type="xsd:long"&gt;44890&lt;/D&gt;&lt;D xsi:type="xsd:long"&gt;44888&lt;/D&gt;&lt;D xsi:type="xsd:long"&gt;44887&lt;/D&gt;&lt;D xsi:type="xsd:long"&gt;44886&lt;/D&gt;&lt;D xsi:type="xsd:long"&gt;44883&lt;/D&gt;&lt;D xsi:type="xsd:long"&gt;44882&lt;/D&gt;&lt;D xsi:type="xsd:long"&gt;44881&lt;/D&gt;&lt;D xsi:type="xsd:long"&gt;44880&lt;/D&gt;&lt;D xsi:type="xsd:long"&gt;44879&lt;/D&gt;&lt;D xsi:type="xsd:long"&gt;44876&lt;/D&gt;&lt;D xsi:type="xsd:long"&gt;44875&lt;/D&gt;&lt;D xsi:type="xsd:long"&gt;44874&lt;/D&gt;&lt;D xsi:type="xsd:long"&gt;44873&lt;/D&gt;&lt;D xsi:type="xsd:long"&gt;44872&lt;/D&gt;&lt;D xsi:type="xsd:long"&gt;44869&lt;/D&gt;&lt;D xsi:type="xsd:long"&gt;44868&lt;/D&gt;&lt;D xsi:type="xsd:long"&gt;44867&lt;/D&gt;&lt;D xsi:type="xsd:long"&gt;44866&lt;/D&gt;&lt;D xsi:type="xsd:long"&gt;44865&lt;/D&gt;&lt;D xsi:type="xsd:long"&gt;44862&lt;/D&gt;&lt;D xsi:type="xsd:long"&gt;44861&lt;/D&gt;&lt;D xsi:type="xsd:long"&gt;44860&lt;/D&gt;&lt;D xsi:type="xsd:long"&gt;44859&lt;/D&gt;&lt;D xsi:type="xsd:long"&gt;44858&lt;/D&gt;&lt;D xsi:type="xsd:long"&gt;44855&lt;/D&gt;&lt;D xsi:type="xsd:long"&gt;44854&lt;/D&gt;&lt;D xsi:type="xsd:long"&gt;44853&lt;/D&gt;&lt;D xsi:type="xsd:long"&gt;44852&lt;/D&gt;&lt;D xsi:type="xsd:long"&gt;44851&lt;/D&gt;&lt;D xsi:type="xsd:long"&gt;44848&lt;/D&gt;&lt;D xsi:type="xsd:long"&gt;44847&lt;/D&gt;&lt;D xsi:type="xsd:long"&gt;44846&lt;/D&gt;&lt;D xsi:type="xsd:long"&gt;44845&lt;/D&gt;&lt;D xsi:type="xsd:long"&gt;44844&lt;/D&gt;&lt;D xsi:type="xsd:long"&gt;44841&lt;/D&gt;&lt;D xsi:type="xsd:long"&gt;44840&lt;/D&gt;&lt;D xsi:type="xsd:long"&gt;44839&lt;/D&gt;&lt;D xsi:type="xsd:long"&gt;44838&lt;/D&gt;&lt;D xsi:type="xsd:long"&gt;44837&lt;/D&gt;&lt;D xsi:type="xsd:long"&gt;44834&lt;/D&gt;&lt;D xsi:type="xsd:long"&gt;44833&lt;/D&gt;&lt;D xsi:type="xsd:long"&gt;44832&lt;/D&gt;&lt;D xsi:type="xsd:long"&gt;44831&lt;/D&gt;&lt;D xsi:type="xsd:long"&gt;44830&lt;/D&gt;&lt;D xsi:type="xsd:long"&gt;44827&lt;/D&gt;&lt;D xsi:type="xsd:long"&gt;44826&lt;/D&gt;&lt;D xsi:type="xsd:long"&gt;44825&lt;/D&gt;&lt;D xsi:type="xsd:long"&gt;44824&lt;/D&gt;&lt;D xsi:type="xsd:long"&gt;44823&lt;/D&gt;&lt;D xsi:type="xsd:long"&gt;44820&lt;/D&gt;&lt;D xsi:type="xsd:long"&gt;44819&lt;/D&gt;&lt;D xsi:type="xsd:long"&gt;44818&lt;/D&gt;&lt;D xsi:type="xsd:long"&gt;44817&lt;/D&gt;&lt;D xsi:type="xsd:long"&gt;44816&lt;/D&gt;&lt;D xsi:type="xsd:long"&gt;44813&lt;/D&gt;&lt;D xsi:type="xsd:long"&gt;44812&lt;/D&gt;&lt;D xsi:type="xsd:long"&gt;44811&lt;/D&gt;&lt;D xsi:type="xsd:long"&gt;44810&lt;/D&gt;&lt;D xsi:type="xsd:long"&gt;44806&lt;/D&gt;&lt;D xsi:type="xsd:long"&gt;44805&lt;/D&gt;&lt;D xsi:type="xsd:long"&gt;44804&lt;/D&gt;&lt;D xsi:type="xsd:long"&gt;44803&lt;/D&gt;&lt;D xsi:type="xsd:long"&gt;44802&lt;/D&gt;&lt;D xsi:type="xsd:long"&gt;44799&lt;/D&gt;&lt;D xsi:type="xsd:long"&gt;44798&lt;/D&gt;&lt;D xsi:type="xsd:long"&gt;44797&lt;/D&gt;&lt;D xsi:type="xsd:long"&gt;44796&lt;/D&gt;&lt;D xsi:type="xsd:long"&gt;44795&lt;/D&gt;&lt;D xsi:type="xsd:long"&gt;44792&lt;/D&gt;&lt;D xsi:type="xsd:long"&gt;44791&lt;/D&gt;&lt;D xsi:type="xsd:long"&gt;44790&lt;/D&gt;&lt;D xsi:type="xsd:long"&gt;44789&lt;/D&gt;&lt;D xsi:type="xsd:long"&gt;44788&lt;/D&gt;&lt;D xsi:type="xsd:long"&gt;44785&lt;/D&gt;&lt;D xsi:type="xsd:long"&gt;44784&lt;/D&gt;&lt;D xsi:type="xsd:long"&gt;44783&lt;/D&gt;&lt;D xsi:type="xsd:long"&gt;44782&lt;/D&gt;&lt;D xsi:type="xsd:long"&gt;44781&lt;/D&gt;&lt;D xsi:type="xsd:long"&gt;44778&lt;/D&gt;&lt;D xsi:type="xsd:long"&gt;44777&lt;/D&gt;&lt;D xsi:type="xsd:long"&gt;44776&lt;/D&gt;&lt;D xsi:type="xsd:long"&gt;44775&lt;/D&gt;&lt;D xsi:type="xsd:long"&gt;44774&lt;/D&gt;&lt;D xsi:type="xsd:long"&gt;44771&lt;/D&gt;&lt;D xsi:type="xsd:long"&gt;44770&lt;/D&gt;&lt;D xsi:type="xsd:long"&gt;44769&lt;/D&gt;&lt;D xsi:type="xsd:long"&gt;44768&lt;/D&gt;&lt;D xsi:type="xsd:long"&gt;44767&lt;/D&gt;&lt;D xsi:type="xsd:long"&gt;44764&lt;/D&gt;&lt;D xsi:type="xsd:long"&gt;44763&lt;/D&gt;&lt;D xsi:type="xsd:long"&gt;44762&lt;/D&gt;&lt;D xsi:type="xsd:long"&gt;44761&lt;/D&gt;&lt;D xsi:type="xsd:long"&gt;44760&lt;/D&gt;&lt;D xsi:type="xsd:long"&gt;44757&lt;/D&gt;&lt;D xsi:type="xsd:long"&gt;44756&lt;/D&gt;&lt;D xsi:type="xsd:long"&gt;44755&lt;/D&gt;&lt;D xsi:type="xsd:long"&gt;44754&lt;/D&gt;&lt;D xsi:type="xsd:long"&gt;44753&lt;/D&gt;&lt;D xsi:type="xsd:long"&gt;44750&lt;/D&gt;&lt;D xsi:type="xsd:long"&gt;44749&lt;/D&gt;&lt;D xsi:type="xsd:long"&gt;44748&lt;/D&gt;&lt;D xsi:type="xsd:long"&gt;44747&lt;/D&gt;&lt;D xsi:type="xsd:long"&gt;44743&lt;/D&gt;&lt;D xsi:type="xsd:long"&gt;44742&lt;/D&gt;&lt;D xsi:type="xsd:long"&gt;44741&lt;/D&gt;&lt;D xsi:type="xsd:long"&gt;44740&lt;/D&gt;&lt;D xsi:type="xsd:long"&gt;44739&lt;/D&gt;&lt;D xsi:type="xsd:long"&gt;44736&lt;/D&gt;&lt;D xsi:type="xsd:long"&gt;44735&lt;/D&gt;&lt;D xsi:type="xsd:long"&gt;44734&lt;/D&gt;&lt;D xsi:type="xsd:long"&gt;44733&lt;/D&gt;&lt;D xsi:type="xsd:long"&gt;44729&lt;/D&gt;&lt;D xsi:type="xsd:long"&gt;44728&lt;/D&gt;&lt;D xsi:type="xsd:long"&gt;44727&lt;/D&gt;&lt;D xsi:type="xsd:long"&gt;44726&lt;/D&gt;&lt;D xsi:type="xsd:long"&gt;44725&lt;/D&gt;&lt;D xsi:type="xsd:long"&gt;44722&lt;/D&gt;&lt;D xsi:type="xsd:long"&gt;44721&lt;/D&gt;&lt;D xsi:type="xsd:long"&gt;44720&lt;/D&gt;&lt;D xsi:type="xsd:long"&gt;44719&lt;/D&gt;&lt;D xsi:type="xsd:long"&gt;44718&lt;/D&gt;&lt;D xsi:type="xsd:long"&gt;44715&lt;/D&gt;&lt;D xsi:type="xsd:long"&gt;44714&lt;/D&gt;&lt;D xsi:type="xsd:long"&gt;44713&lt;/D&gt;&lt;D xsi:type="xsd:long"&gt;44712&lt;/D&gt;&lt;D xsi:type="xsd:long"&gt;44708&lt;/D&gt;&lt;D xsi:type="xsd:long"&gt;44707&lt;/D&gt;&lt;D xsi:type="xsd:long"&gt;44706&lt;/D&gt;&lt;D xsi:type="xsd:long"&gt;44705&lt;/D&gt;&lt;D xsi:type="xsd:long"&gt;44704&lt;/D&gt;&lt;D xsi:type="xsd:long"&gt;44701&lt;/D&gt;&lt;D xsi:type="xsd:long"&gt;44700&lt;/D&gt;&lt;D xsi:type="xsd:long"&gt;44699&lt;/D&gt;&lt;D xsi:type="xsd:long"&gt;44698&lt;/D&gt;&lt;D xsi:type="xsd:long"&gt;44697&lt;/D&gt;&lt;D xsi:type="xsd:long"&gt;44694&lt;/D&gt;&lt;D xsi:type="xsd:long"&gt;44693&lt;/D&gt;&lt;D xsi:type="xsd:long"&gt;44692&lt;/D&gt;&lt;D xsi:type="xsd:long"&gt;44691&lt;/D&gt;&lt;D xsi:type="xsd:long"&gt;44690&lt;/D&gt;&lt;D xsi:type="xsd:long"&gt;44687&lt;/D&gt;&lt;D xsi:type="xsd:long"&gt;44686&lt;/D&gt;&lt;D xsi:type="xsd:long"&gt;44685&lt;/D&gt;&lt;D xsi:type="xsd:long"&gt;44684&lt;/D&gt;&lt;D xsi:type="xsd:long"&gt;44683&lt;/D&gt;&lt;D xsi:type="xsd:long"&gt;44680&lt;/D&gt;&lt;D xsi:type="xsd:long"&gt;44679&lt;/D&gt;&lt;D xsi:type="xsd:long"&gt;44678&lt;/D&gt;&lt;D xsi:type="xsd:long"&gt;44677&lt;/D&gt;&lt;D xsi:type="xsd:long"&gt;44676&lt;/D&gt;&lt;D xsi:type="xsd:long"&gt;44673&lt;/D&gt;&lt;D xsi:type="xsd:long"&gt;44672&lt;/D&gt;&lt;D xsi:type="xsd:long"&gt;44671&lt;/D&gt;&lt;D xsi:type="xsd:long"&gt;44670&lt;/D&gt;&lt;D xsi:type="xsd:long"&gt;44669&lt;/D&gt;&lt;D xsi:type="xsd:long"&gt;44665&lt;/D&gt;&lt;D xsi:type="xsd:long"&gt;44664&lt;/D&gt;&lt;D xsi:type="xsd:long"&gt;44663&lt;/D&gt;&lt;D xsi:type="xsd:long"&gt;44662&lt;/D&gt;&lt;D xsi:type="xsd:long"&gt;44659&lt;/D&gt;&lt;D xsi:type="xsd:long"&gt;44658&lt;/D&gt;&lt;D xsi:type="xsd:long"&gt;44657&lt;/D&gt;&lt;D xsi:type="xsd:long"&gt;44656&lt;/D&gt;&lt;D xsi:type="xsd:long"&gt;44655&lt;/D&gt;&lt;D xsi:type="xsd:long"&gt;44652&lt;/D&gt;&lt;D xsi:type="xsd:long"&gt;44651&lt;/D&gt;&lt;D xsi:type="xsd:long"&gt;44650&lt;/D&gt;&lt;D xsi:type="xsd:long"&gt;44649&lt;/D&gt;&lt;D xsi:type="xsd:long"&gt;44648&lt;/D&gt;&lt;D xsi:type="xsd:long"&gt;44645&lt;/D&gt;&lt;D xsi:type="xsd:long"&gt;44644&lt;/D&gt;&lt;D xsi:type="xsd:long"&gt;44643&lt;/D&gt;&lt;D xsi:type="xsd:long"&gt;44642&lt;/D&gt;&lt;D xsi:type="xsd:long"&gt;44641&lt;/D&gt;&lt;D xsi:type="xsd:long"&gt;44638&lt;/D&gt;&lt;D xsi:type="xsd:long"&gt;44637&lt;/D&gt;&lt;D xsi:type="xsd:long"&gt;44636&lt;/D&gt;&lt;D xsi:type="xsd:long"&gt;44635&lt;/D&gt;&lt;D xsi:type="xsd:long"&gt;44634&lt;/D&gt;&lt;D xsi:type="xsd:long"&gt;44631&lt;/D&gt;&lt;D xsi:type="xsd:long"&gt;44630&lt;/D&gt;&lt;D xsi:type="xsd:long"&gt;44629&lt;/D&gt;&lt;D xsi:type="xsd:long"&gt;44628&lt;/D&gt;&lt;D xsi:type="xsd:long"&gt;44627&lt;/D&gt;&lt;D xsi:type="xsd:long"&gt;44624&lt;/D&gt;&lt;D xsi:type="xsd:long"&gt;44623&lt;/D&gt;&lt;D xsi:type="xsd:long"&gt;44622&lt;/D&gt;&lt;D xsi:type="xsd:long"&gt;44621&lt;/D&gt;&lt;D xsi:type="xsd:long"&gt;44620&lt;/D&gt;&lt;D xsi:type="xsd:long"&gt;44617&lt;/D&gt;&lt;D xsi:type="xsd:long"&gt;44616&lt;/D&gt;&lt;D xsi:type="xsd:long"&gt;44615&lt;/D&gt;&lt;D xsi:type="xsd:long"&gt;44614&lt;/D&gt;&lt;D xsi:type="xsd:long"&gt;44610&lt;/D&gt;&lt;D xsi:type="xsd:long"&gt;44609&lt;/D&gt;&lt;D xsi:type="xsd:long"&gt;44608&lt;/D&gt;&lt;D xsi:type="xsd:long"&gt;44607&lt;/D&gt;&lt;D xsi:type="xsd:long"&gt;44606&lt;/D&gt;&lt;D xsi:type="xsd:long"&gt;44603&lt;/D&gt;&lt;D xsi:type="xsd:long"&gt;44602&lt;/D&gt;&lt;D xsi:type="xsd:long"&gt;44601&lt;/D&gt;&lt;D xsi:type="xsd:long"&gt;44600&lt;/D&gt;&lt;D xsi:type="xsd:long"&gt;44599&lt;/D&gt;&lt;D xsi:type="xsd:long"&gt;44596&lt;/D&gt;&lt;D xsi:type="xsd:long"&gt;44595&lt;/D&gt;&lt;D xsi:type="xsd:long"&gt;44594&lt;/D&gt;&lt;D xsi:type="xsd:long"&gt;44593&lt;/D&gt;&lt;D xsi:type="xsd:long"&gt;44592&lt;/D&gt;&lt;D xsi:type="xsd:long"&gt;44589&lt;/D&gt;&lt;D xsi:type="xsd:long"&gt;44588&lt;/D&gt;&lt;D xsi:type="xsd:long"&gt;44587&lt;/D&gt;&lt;D xsi:type="xsd:long"&gt;44586&lt;/D&gt;&lt;D xsi:type="xsd:long"&gt;44585&lt;/D&gt;&lt;D xsi:type="xsd:long"&gt;44582&lt;/D&gt;&lt;D xsi:type="xsd:long"&gt;44581&lt;/D&gt;&lt;D xsi:type="xsd:long"&gt;44580&lt;/D&gt;&lt;D xsi:type="xsd:long"&gt;44579&lt;/D&gt;&lt;D xsi:type="xsd:long"&gt;44575&lt;/D&gt;&lt;D xsi:type="xsd:long"&gt;44574&lt;/D&gt;&lt;D xsi:type="xsd:long"&gt;44573&lt;/D&gt;&lt;D xsi:type="xsd:long"&gt;44572&lt;/D&gt;&lt;D xsi:type="xsd:long"&gt;44571&lt;/D&gt;&lt;D xsi:type="xsd:long"&gt;44568&lt;/D&gt;&lt;D xsi:type="xsd:long"&gt;44567&lt;/D&gt;&lt;D xsi:type="xsd:long"&gt;44566&lt;/D&gt;&lt;D xsi:type="xsd:long"&gt;44565&lt;/D&gt;&lt;D xsi:type="xsd:long"&gt;44564&lt;/D&gt;&lt;D xsi:type="xsd:long"&gt;44561&lt;/D&gt;&lt;D xsi:type="xsd:long"&gt;44560&lt;/D&gt;&lt;D xsi:type="xsd:long"&gt;44559&lt;/D&gt;&lt;D xsi:type="xsd:long"&gt;44558&lt;/D&gt;&lt;D xsi:type="xsd:long"&gt;44557&lt;/D&gt;&lt;D xsi:type="xsd:long"&gt;44553&lt;/D&gt;&lt;D xsi:type="xsd:long"&gt;44552&lt;/D&gt;&lt;D xsi:type="xsd:long"&gt;44551&lt;/D&gt;&lt;D xsi:type="xsd:long"&gt;44550&lt;/D&gt;&lt;D xsi:type="xsd:long"&gt;44547&lt;/D&gt;&lt;D xsi:type="xsd:long"&gt;44546&lt;/D&gt;&lt;D xsi:type="xsd:long"&gt;44545&lt;/D&gt;&lt;D xsi:type="xsd:long"&gt;44544&lt;/D&gt;&lt;D xsi:type="xsd:long"&gt;44543&lt;/D&gt;&lt;D xsi:type="xsd:long"&gt;44540&lt;/D&gt;&lt;D xsi:type="xsd:long"&gt;44539&lt;/D&gt;&lt;D xsi:type="xsd:long"&gt;44538&lt;/D&gt;&lt;D xsi:type="xsd:long"&gt;44537&lt;/D&gt;&lt;D xsi:type="xsd:long"&gt;44536&lt;/D&gt;&lt;D xsi:type="xsd:long"&gt;44533&lt;/D&gt;&lt;D xsi:type="xsd:long"&gt;44532&lt;/D&gt;&lt;D xsi:type="xsd:long"&gt;44531&lt;/D&gt;&lt;D xsi:type="xsd:long"&gt;44530&lt;/D&gt;&lt;D xsi:type="xsd:long"&gt;44529&lt;/D&gt;&lt;D xsi:type="xsd:long"&gt;44526&lt;/D&gt;&lt;D xsi:type="xsd:long"&gt;44524&lt;/D&gt;&lt;D xsi:type="xsd:long"&gt;44523&lt;/D&gt;&lt;D xsi:type="xsd:long"&gt;44522&lt;/D&gt;&lt;D xsi:type="xsd:long"&gt;44519&lt;/D&gt;&lt;D xsi:type="xsd:long"&gt;44518&lt;/D&gt;&lt;D xsi:type="xsd:long"&gt;44517&lt;/D&gt;&lt;D xsi:type="xsd:long"&gt;44516&lt;/D&gt;&lt;D xsi:type="xsd:long"&gt;44515&lt;/D&gt;&lt;D xsi:type="xsd:long"&gt;44512&lt;/D&gt;&lt;D xsi:type="xsd:long"&gt;44511&lt;/D&gt;&lt;D xsi:type="xsd:long"&gt;44510&lt;/D&gt;&lt;D xsi:type="xsd:long"&gt;44509&lt;/D&gt;&lt;D xsi:type="xsd:long"&gt;44508&lt;/D&gt;&lt;D xsi:type="xsd:long"&gt;44505&lt;/D&gt;&lt;D xsi:type="xsd:long"&gt;44504&lt;/D&gt;&lt;D xsi:type="xsd:long"&gt;44503&lt;/D&gt;&lt;D xsi:type="xsd:long"&gt;44502&lt;/D&gt;&lt;D xsi:type="xsd:long"&gt;44501&lt;/D&gt;&lt;D xsi:type="xsd:long"&gt;44498&lt;/D&gt;&lt;D xsi:type="xsd:long"&gt;44497&lt;/D&gt;&lt;D xsi:type="xsd:long"&gt;44496&lt;/D&gt;&lt;D xsi:type="xsd:long"&gt;44495&lt;/D&gt;&lt;D xsi:type="xsd:long"&gt;44494&lt;/D&gt;&lt;D xsi:type="xsd:long"&gt;44491&lt;/D&gt;&lt;D xsi:type="xsd:long"&gt;44490&lt;/D&gt;&lt;D xsi:type="xsd:long"&gt;44489&lt;/D&gt;&lt;D xsi:type="xsd:long"&gt;44488&lt;/D&gt;&lt;D xsi:type="xsd:long"&gt;44487&lt;/D&gt;&lt;D xsi:type="xsd:long"&gt;44484&lt;/D&gt;&lt;D xsi:type="xsd:long"&gt;44483&lt;/D&gt;&lt;D xsi:type="xsd:long"&gt;44482&lt;/D&gt;&lt;D xsi:type="xsd:long"&gt;44481&lt;/D&gt;&lt;D xsi:type="xsd:long"&gt;44480&lt;/D&gt;&lt;D xsi:type="xsd:long"&gt;44477&lt;/D&gt;&lt;D xsi:type="xsd:long"&gt;44476&lt;/D&gt;&lt;D xsi:type="xsd:long"&gt;44475&lt;/D&gt;&lt;D xsi:type="xsd:long"&gt;44474&lt;/D&gt;&lt;D xsi:type="xsd:long"&gt;44473&lt;/D&gt;&lt;D xsi:type="xsd:long"&gt;44470&lt;/D&gt;&lt;D xsi:type="xsd:long"&gt;44469&lt;/D&gt;&lt;D xsi:type="xsd:long"&gt;44468&lt;/D&gt;&lt;D xsi:type="xsd:long"&gt;44467&lt;/D&gt;&lt;D xsi:type="xsd:long"&gt;44466&lt;/D&gt;&lt;D xsi:type="xsd:long"&gt;44463&lt;/D&gt;&lt;D xsi:type="xsd:long"&gt;44462&lt;/D&gt;&lt;D xsi:type="x</t>
        </r>
      </text>
    </comment>
    <comment ref="A5" authorId="0" shapeId="0" xr:uid="{3D0EBB16-3B72-4CBF-A6D2-A15F8E027738}">
      <text>
        <r>
          <rPr>
            <b/>
            <sz val="9"/>
            <color indexed="81"/>
            <rFont val="Tahoma"/>
            <charset val="1"/>
          </rPr>
          <t>sd:long"&gt;44461&lt;/D&gt;&lt;D xsi:type="xsd:long"&gt;44460&lt;/D&gt;&lt;D xsi:type="xsd:long"&gt;44459&lt;/D&gt;&lt;D xsi:type="xsd:long"&gt;44456&lt;/D&gt;&lt;D xsi:type="xsd:long"&gt;44455&lt;/D&gt;&lt;D xsi:type="xsd:long"&gt;44454&lt;/D&gt;&lt;D xsi:type="xsd:long"&gt;44453&lt;/D&gt;&lt;D xsi:type="xsd:long"&gt;44452&lt;/D&gt;&lt;D xsi:type="xsd:long"&gt;44449&lt;/D&gt;&lt;D xsi:type="xsd:long"&gt;44448&lt;/D&gt;&lt;D xsi:type="xsd:long"&gt;44447&lt;/D&gt;&lt;D xsi:type="xsd:long"&gt;44446&lt;/D&gt;&lt;D xsi:type="xsd:long"&gt;44442&lt;/D&gt;&lt;D xsi:type="xsd:long"&gt;44441&lt;/D&gt;&lt;D xsi:type="xsd:long"&gt;44440&lt;/D&gt;&lt;D xsi:type="xsd:long"&gt;44439&lt;/D&gt;&lt;D xsi:type="xsd:long"&gt;44438&lt;/D&gt;&lt;D xsi:type="xsd:long"&gt;44435&lt;/D&gt;&lt;D xsi:type="xsd:long"&gt;44434&lt;/D&gt;&lt;D xsi:type="xsd:long"&gt;44433&lt;/D&gt;&lt;D xsi:type="xsd:long"&gt;44432&lt;/D&gt;&lt;D xsi:type="xsd:long"&gt;44431&lt;/D&gt;&lt;D xsi:type="xsd:long"&gt;44428&lt;/D&gt;&lt;D xsi:type="xsd:long"&gt;44427&lt;/D&gt;&lt;D xsi:type="xsd:long"&gt;44426&lt;/D&gt;&lt;D xsi:type="xsd:long"&gt;44425&lt;/D&gt;&lt;D xsi:type="xsd:long"&gt;44424&lt;/D&gt;&lt;D xsi:type="xsd:long"&gt;44421&lt;/D&gt;&lt;D xsi:type="xsd:long"&gt;44420&lt;/D&gt;&lt;D xsi:type="xsd:long"&gt;44419&lt;/D&gt;&lt;D xsi:type="xsd:long"&gt;44418&lt;/D&gt;&lt;D xsi:type="xsd:long"&gt;44417&lt;/D&gt;&lt;D xsi:type="xsd:long"&gt;44414&lt;/D&gt;&lt;D xsi:type="xsd:long"&gt;44413&lt;/D&gt;&lt;D xsi:type="xsd:long"&gt;44412&lt;/D&gt;&lt;D xsi:type="xsd:long"&gt;44411&lt;/D&gt;&lt;D xsi:type="xsd:long"&gt;44410&lt;/D&gt;&lt;D xsi:type="xsd:long"&gt;44407&lt;/D&gt;&lt;D xsi:type="xsd:long"&gt;44406&lt;/D&gt;&lt;D xsi:type="xsd:long"&gt;44405&lt;/D&gt;&lt;D xsi:type="xsd:long"&gt;44404&lt;/D&gt;&lt;D xsi:type="xsd:long"&gt;44403&lt;/D&gt;&lt;D xsi:type="xsd:long"&gt;44400&lt;/D&gt;&lt;D xsi:type="xsd:long"&gt;44399&lt;/D&gt;&lt;D xsi:type="xsd:long"&gt;44398&lt;/D&gt;&lt;D xsi:type="xsd:long"&gt;44397&lt;/D&gt;&lt;D xsi:type="xsd:long"&gt;44396&lt;/D&gt;&lt;D xsi:type="xsd:long"&gt;44393&lt;/D&gt;&lt;D xsi:type="xsd:long"&gt;44392&lt;/D&gt;&lt;D xsi:type="xsd:long"&gt;44391&lt;/D&gt;&lt;D xsi:type="xsd:long"&gt;44390&lt;/D&gt;&lt;D xsi:type="xsd:long"&gt;44389&lt;/D&gt;&lt;D xsi:type="xsd:long"&gt;44386&lt;/D&gt;&lt;D xsi:type="xsd:long"&gt;44385&lt;/D&gt;&lt;D xsi:type="xsd:long"&gt;44384&lt;/D&gt;&lt;D xsi:type="xsd:long"&gt;44383&lt;/D&gt;&lt;D xsi:type="xsd:long"&gt;44379&lt;/D&gt;&lt;D xsi:type="xsd:long"&gt;44378&lt;/D&gt;&lt;D xsi:type="xsd:long"&gt;44377&lt;/D&gt;&lt;D xsi:type="xsd:long"&gt;44376&lt;/D&gt;&lt;D xsi:type="xsd:long"&gt;44375&lt;/D&gt;&lt;D xsi:type="xsd:long"&gt;44372&lt;/D&gt;&lt;D xsi:type="xsd:long"&gt;44371&lt;/D&gt;&lt;D xsi:type="xsd:long"&gt;44370&lt;/D&gt;&lt;D xsi:type="xsd:long"&gt;44369&lt;/D&gt;&lt;D xsi:type="xsd:long"&gt;44368&lt;/D&gt;&lt;D xsi:type="xsd:long"&gt;44365&lt;/D&gt;&lt;D xsi:type="xsd:long"&gt;44364&lt;/D&gt;&lt;D xsi:type="xsd:long"&gt;44363&lt;/D&gt;&lt;D xsi:type="xsd:long"&gt;44362&lt;/D&gt;&lt;D xsi:type="xsd:long"&gt;44361&lt;/D&gt;&lt;D xsi:type="xsd:long"&gt;44358&lt;/D&gt;&lt;D xsi:type="xsd:long"&gt;44357&lt;/D&gt;&lt;D xsi:type="xsd:long"&gt;44356&lt;/D&gt;&lt;D xsi:type="xsd:long"&gt;44355&lt;/D&gt;&lt;D xsi:type="xsd:long"&gt;44354&lt;/D&gt;&lt;D xsi:type="xsd:long"&gt;44351&lt;/D&gt;&lt;D xsi:type="xsd:long"&gt;44350&lt;/D&gt;&lt;D xsi:type="xsd:long"&gt;44349&lt;/D&gt;&lt;D xsi:type="xsd:long"&gt;44348&lt;/D&gt;&lt;D xsi:type="xsd:long"&gt;44344&lt;/D&gt;&lt;D xsi:type="xsd:long"&gt;44343&lt;/D&gt;&lt;D xsi:type="xsd:long"&gt;44342&lt;/D&gt;&lt;D xsi:type="xsd:long"&gt;44341&lt;/D&gt;&lt;D xsi:type="xsd:long"&gt;44340&lt;/D&gt;&lt;D xsi:type="xsd:long"&gt;44337&lt;/D&gt;&lt;D xsi:type="xsd:long"&gt;44336&lt;/D&gt;&lt;D xsi:type="xsd:long"&gt;44335&lt;/D&gt;&lt;D xsi:type="xsd:long"&gt;44334&lt;/D&gt;&lt;D xsi:type="xsd:long"&gt;44333&lt;/D&gt;&lt;D xsi:type="xsd:long"&gt;44330&lt;/D&gt;&lt;D xsi:type="xsd:long"&gt;44329&lt;/D&gt;&lt;D xsi:type="xsd:long"&gt;44328&lt;/D&gt;&lt;D xsi:type="xsd:long"&gt;44327&lt;/D&gt;&lt;D xsi:type="xsd:long"&gt;44326&lt;/D&gt;&lt;D xsi:type="xsd:long"&gt;44323&lt;/D&gt;&lt;D xsi:type="xsd:long"&gt;44322&lt;/D&gt;&lt;D xsi:type="xsd:long"&gt;44321&lt;/D&gt;&lt;D xsi:type="xsd:long"&gt;44320&lt;/D&gt;&lt;D xsi:type="xsd:long"&gt;44319&lt;/D&gt;&lt;D xsi:type="xsd:long"&gt;44316&lt;/D&gt;&lt;D xsi:type="xsd:long"&gt;44315&lt;/D&gt;&lt;D xsi:type="xsd:long"&gt;44314&lt;/D&gt;&lt;D xsi:type="xsd:long"&gt;44313&lt;/D&gt;&lt;D xsi:type="xsd:long"&gt;44312&lt;/D&gt;&lt;D xsi:type="xsd:long"&gt;44309&lt;/D&gt;&lt;D xsi:type="xsd:long"&gt;44308&lt;/D&gt;&lt;D xsi:type="xsd:long"&gt;44307&lt;/D&gt;&lt;D xsi:type="xsd:long"&gt;44306&lt;/D&gt;&lt;D xsi:type="xsd:long"&gt;44305&lt;/D&gt;&lt;D xsi:type="xsd:long"&gt;44302&lt;/D&gt;&lt;D xsi:type="xsd:long"&gt;44301&lt;/D&gt;&lt;D xsi:type="xsd:long"&gt;44300&lt;/D&gt;&lt;D xsi:type="xsd:long"&gt;44299&lt;/D&gt;&lt;D xsi:type="xsd:long"&gt;44298&lt;/D&gt;&lt;D xsi:type="xsd:long"&gt;44295&lt;/D&gt;&lt;D xsi:type="xsd:long"&gt;44294&lt;/D&gt;&lt;D xsi:type="xsd:long"&gt;44293&lt;/D&gt;&lt;D xsi:type="xsd:long"&gt;44292&lt;/D&gt;&lt;D xsi:type="xsd:long"&gt;44291&lt;/D&gt;&lt;D xsi:type="xsd:long"&gt;44287&lt;/D&gt;&lt;D xsi:type="xsd:long"&gt;44286&lt;/D&gt;&lt;D xsi:type="xsd:long"&gt;44285&lt;/D&gt;&lt;D xsi:type="xsd:long"&gt;44284&lt;/D&gt;&lt;D xsi:type="xsd:long"&gt;44281&lt;/D&gt;&lt;D xsi:type="xsd:long"&gt;44280&lt;/D&gt;&lt;D xsi:type="xsd:long"&gt;44279&lt;/D&gt;&lt;D xsi:type="xsd:long"&gt;44278&lt;/D&gt;&lt;D xsi:type="xsd:long"&gt;44277&lt;/D&gt;&lt;D xsi:type="xsd:long"&gt;44274&lt;/D&gt;&lt;D xsi:type="xsd:long"&gt;44273&lt;/D&gt;&lt;D xsi:type="xsd:long"&gt;44272&lt;/D&gt;&lt;D xsi:type="xsd:long"&gt;44271&lt;/D&gt;&lt;D xsi:type="xsd:long"&gt;44270&lt;/D&gt;&lt;D xsi:type="xsd:long"&gt;44267&lt;/D&gt;&lt;D xsi:type="xsd:long"&gt;44266&lt;/D&gt;&lt;D xsi:type="xsd:long"&gt;44265&lt;/D&gt;&lt;D xsi:type="xsd:long"&gt;44264&lt;/D&gt;&lt;D xsi:type="xsd:long"&gt;44263&lt;/D&gt;&lt;D xsi:type="xsd:long"&gt;44260&lt;/D&gt;&lt;D xsi:type="xsd:long"&gt;44259&lt;/D&gt;&lt;D xsi:type="xsd:long"&gt;44258&lt;/D&gt;&lt;D xsi:type="xsd:long"&gt;44257&lt;/D&gt;&lt;D xsi:type="xsd:long"&gt;44256&lt;/D&gt;&lt;D xsi:type="xsd:long"&gt;44253&lt;/D&gt;&lt;D xsi:type="xsd:long"&gt;44252&lt;/D&gt;&lt;D xsi:type="xsd:long"&gt;44251&lt;/D&gt;&lt;D xsi:type="xsd:long"&gt;44250&lt;/D&gt;&lt;D xsi:type="xsd:long"&gt;44249&lt;/D&gt;&lt;D xsi:type="xsd:long"&gt;44246&lt;/D&gt;&lt;D xsi:type="xsd:long"&gt;44245&lt;/D&gt;&lt;D xsi:type="xsd:long"&gt;44244&lt;/D&gt;&lt;D xsi:type="xsd:long"&gt;44243&lt;/D&gt;&lt;D xsi:type="xsd:long"&gt;44239&lt;/D&gt;&lt;D xsi:type="xsd:long"&gt;44238&lt;/D&gt;&lt;D xsi:type="xsd:long"&gt;44237&lt;/D&gt;&lt;D xsi:type="xsd:long"&gt;44236&lt;/D&gt;&lt;D xsi:type="xsd:long"&gt;44235&lt;/D&gt;&lt;D xsi:type="xsd:long"&gt;44232&lt;/D&gt;&lt;D xsi:type="xsd:long"&gt;44231&lt;/D&gt;&lt;D xsi:type="xsd:long"&gt;44230&lt;/D&gt;&lt;D xsi:type="xsd:long"&gt;44229&lt;/D&gt;&lt;D xsi:type="xsd:long"&gt;44228&lt;/D&gt;&lt;D xsi:type="xsd:long"&gt;44225&lt;/D&gt;&lt;D xsi:type="xsd:long"&gt;44224&lt;/D&gt;&lt;D xsi:type="xsd:long"&gt;44223&lt;/D&gt;&lt;D xsi:type="xsd:long"&gt;44222&lt;/D&gt;&lt;D xsi:type="xsd:long"&gt;44221&lt;/D&gt;&lt;D xsi:type="xsd:long"&gt;44218&lt;/D&gt;&lt;D xsi:type="xsd:long"&gt;44217&lt;/D&gt;&lt;D xsi:type="xsd:long"&gt;44216&lt;/D&gt;&lt;D xsi:type="xsd:long"&gt;44215&lt;/D&gt;&lt;D xsi:type="xsd:long"&gt;44211&lt;/D&gt;&lt;D xsi:type="xsd:long"&gt;44210&lt;/D&gt;&lt;D xsi:type="xsd:long"&gt;44209&lt;/D&gt;&lt;D xsi:type="xsd:long"&gt;44208&lt;/D&gt;&lt;D xsi:type="xsd:long"&gt;44207&lt;/D&gt;&lt;D xsi:type="xsd:long"&gt;44204&lt;/D&gt;&lt;D xsi:type="xsd:long"&gt;44203&lt;/D&gt;&lt;D xsi:type="xsd:long"&gt;44202&lt;/D&gt;&lt;D xsi:type="xsd:long"&gt;44201&lt;/D&gt;&lt;D xsi:type="xsd:long"&gt;44200&lt;/D&gt;&lt;D xsi:type="xsd:long"&gt;44196&lt;/D&gt;&lt;D xsi:type="xsd:long"&gt;44195&lt;/D&gt;&lt;D xsi:type="xsd:long"&gt;44194&lt;/D&gt;&lt;D xsi:type="xsd:long"&gt;44193&lt;/D&gt;&lt;D xsi:type="xsd:long"&gt;44189&lt;/D&gt;&lt;D xsi:type="xsd:long"&gt;44188&lt;/D&gt;&lt;D xsi:type="xsd:long"&gt;44187&lt;/D&gt;&lt;D xsi:type="xsd:long"&gt;44186&lt;/D&gt;&lt;D xsi:type="xsd:long"&gt;44183&lt;/D&gt;&lt;D xsi:type="xsd:long"&gt;44182&lt;/D&gt;&lt;D xsi:type="xsd:long"&gt;44181&lt;/D&gt;&lt;D xsi:type="xsd:long"&gt;44180&lt;/D&gt;&lt;D xsi:type="xsd:long"&gt;44179&lt;/D&gt;&lt;D xsi:type="xsd:long"&gt;44176&lt;/D&gt;&lt;D xsi:type="xsd:long"&gt;44175&lt;/D&gt;&lt;D xsi:type="xsd:long"&gt;44174&lt;/D&gt;&lt;D xsi:type="xsd:long"&gt;44173&lt;/D&gt;&lt;D xsi:type="xsd:long"&gt;44172&lt;/D&gt;&lt;D xsi:type="xsd:long"&gt;44169&lt;/D&gt;&lt;D xsi:type="xsd:long"&gt;44168&lt;/D&gt;&lt;D xsi:type="xsd:long"&gt;44167&lt;/D&gt;&lt;D xsi:type="xsd:long"&gt;44166&lt;/D&gt;&lt;D xsi:type="xsd:long"&gt;44165&lt;/D&gt;&lt;D xsi:type="xsd:long"&gt;44162&lt;/D&gt;&lt;D xsi:type="xsd:long"&gt;44160&lt;/D&gt;&lt;D xsi:type="xsd:long"&gt;44159&lt;/D&gt;&lt;D xsi:type="xsd:long"&gt;44158&lt;/D&gt;&lt;D xsi:type="xsd:long"&gt;44155&lt;/D&gt;&lt;D xsi:type="xsd:long"&gt;44154&lt;/D&gt;&lt;D xsi:type="xsd:long"&gt;44153&lt;/D&gt;&lt;D xsi:type="xsd:long"&gt;44152&lt;/D&gt;&lt;D xsi:type="xsd:long"&gt;44151&lt;/D&gt;&lt;D xsi:type="xsd:long"&gt;44148&lt;/D&gt;&lt;D xsi:type="xsd:long"&gt;44147&lt;/D&gt;&lt;D xsi:type="xsd:long"&gt;44146&lt;/D&gt;&lt;D xsi:type="xsd:long"&gt;44145&lt;/D&gt;&lt;D xsi:type="xsd:long"&gt;44144&lt;/D&gt;&lt;D xsi:type="xsd:long"&gt;44141&lt;/D&gt;&lt;D xsi:type="xsd:long"&gt;44140&lt;/D&gt;&lt;D xsi:type="xsd:long"&gt;44139&lt;/D&gt;&lt;D xsi:type="xsd:long"&gt;44138&lt;/D&gt;&lt;D xsi:type="xsd:long"&gt;44137&lt;/D&gt;&lt;D xsi:type="xsd:long"&gt;44134&lt;/D&gt;&lt;/FQL&gt;&lt;FQL&gt;&lt;Q&gt;^PSETCAL("NAY",,"NAME")&lt;/Q&gt;&lt;R&gt;1&lt;/R&gt;&lt;C&gt;1&lt;/C&gt;&lt;D xsi:type="xsd:string"&gt;calendar: United States&lt;/D&gt;&lt;/FQL&gt;&lt;FQL&gt;&lt;Q&gt;^FG_COMPANY_NAME&lt;/Q&gt;&lt;R&gt;0&lt;/R&gt;&lt;C&gt;0&lt;/C&gt;&lt;/FQL&gt;&lt;FQL&gt;&lt;Q&gt;^PROPER_NAME&lt;/Q&gt;&lt;R&gt;0&lt;/R&gt;&lt;C&gt;0&lt;/C&gt;&lt;/FQL&gt;&lt;FQL&gt;&lt;Q&gt;WLY-US^PROPER_NAME&lt;/Q&gt;&lt;R&gt;1&lt;/R&gt;&lt;C&gt;1&lt;/C&gt;&lt;D xsi:type="xsd:string"&gt;John Wiley &amp;amp; Sons, Inc. Class A&lt;/D&gt;&lt;/FQL&gt;&lt;FQL&gt;&lt;Q&gt;WU-US^PROPER_NAME&lt;/Q&gt;&lt;R&gt;1&lt;/R&gt;&lt;C&gt;1&lt;/C&gt;&lt;D xsi:type="xsd:string"&gt;Western Union Company&lt;/D&gt;&lt;/FQL&gt;&lt;FQL&gt;&lt;Q&gt;WBA-US^PROPER_NAME&lt;/Q&gt;&lt;R&gt;1&lt;/R&gt;&lt;C&gt;1&lt;/C&gt;&lt;D xsi:type="xsd:string"&gt;Walgreens Boots Alliance, Inc.&lt;/D&gt;&lt;/FQL&gt;&lt;FQL&gt;&lt;Q&gt;VOW3-DE^PROPER_NAME&lt;/Q&gt;&lt;R&gt;1&lt;/R&gt;&lt;C&gt;1&lt;/C&gt;&lt;D xsi:type="xsd:string"&gt;Volkswagen AG Pref&lt;/D&gt;&lt;/FQL&gt;&lt;FQL&gt;&lt;Q&gt;VOD-GB^PROPER_NAME&lt;/Q&gt;&lt;R&gt;1&lt;/R&gt;&lt;C&gt;1&lt;/C&gt;&lt;D xsi:type="xsd:string"&gt;Vodafone Group Public Limited Company&lt;/D&gt;&lt;/FQL&gt;&lt;FQL&gt;&lt;Q&gt;VTRS-US^PROPER_NAME&lt;/Q&gt;&lt;R&gt;1&lt;/R&gt;&lt;C&gt;1&lt;/C&gt;&lt;D xsi:type="xsd:string"&gt;Viatris, Inc.&lt;/D&gt;&lt;/FQL&gt;&lt;FQL&gt;&lt;Q&gt;VZ-US^PROPER_NAME&lt;/Q&gt;&lt;R&gt;1&lt;/R&gt;&lt;C&gt;1&lt;/C&gt;&lt;D xsi:type="xsd:string"&gt;Verizon Communications Inc.&lt;/D&gt;&lt;/FQL&gt;&lt;FQL&gt;&lt;Q&gt;VAL-ZA^PROPER_NAME&lt;/Q&gt;&lt;R&gt;1&lt;/R&gt;&lt;C&gt;1&lt;/C&gt;&lt;D xsi:type="xsd:string"&gt;Valterra Platinum Limited&lt;/D&gt;&lt;/FQL&gt;&lt;FQL&gt;&lt;Q&gt;6995-JP^PROPER_NAME&lt;/Q&gt;&lt;R&gt;1&lt;/R&gt;&lt;C&gt;1&lt;/C&gt;&lt;D xsi:type="xsd:string"&gt;TOKAI RIKA CO., LTD.&lt;/D&gt;&lt;/FQL&gt;&lt;FQL&gt;&lt;Q&gt;TX-US^PROPER_NAME&lt;/Q&gt;&lt;R&gt;1&lt;/R&gt;&lt;C&gt;1&lt;/C&gt;&lt;D xsi:type="xsd:string"&gt;Ternium S.A. Sponsored ADR&lt;/D&gt;&lt;/FQL&gt;&lt;FQL&gt;&lt;Q&gt;UHR-CH^PROPER_NAME&lt;/Q&gt;&lt;R&gt;1&lt;/R&gt;&lt;C&gt;1&lt;/C&gt;&lt;D xsi:type="xsd:string"&gt;Swatch Group Ltd. Bearer&lt;/D&gt;&lt;/FQL&gt;&lt;FQL&gt;&lt;Q&gt;SWK-US^PROPER_NAME&lt;/Q&gt;&lt;R&gt;1&lt;/R&gt;&lt;C&gt;1&lt;/C&gt;&lt;D xsi:type="xsd:string"&gt;Stanley Black &amp;amp; Decker, Inc.&lt;/D&gt;&lt;/FQL&gt;&lt;FQL&gt;&lt;Q&gt;STAN-GB^PROPER_NAME&lt;/Q&gt;&lt;R&gt;1&lt;/R&gt;&lt;C&gt;1&lt;/C&gt;&lt;D xsi:type="xsd:string"&gt;Standard Chartered PLC&lt;/D&gt;&lt;/FQL&gt;&lt;FQL&gt;&lt;Q&gt;GLE-FR^PROPER_NAME&lt;/Q&gt;&lt;R&gt;1&lt;/R&gt;&lt;C&gt;1&lt;/C&gt;&lt;D xsi:type="xsd:string"&gt;Societe Generale S.A. Class A&lt;/D&gt;&lt;/FQL&gt;&lt;FQL&gt;&lt;Q&gt;055550-KR^PROPER_NAME&lt;/Q&gt;&lt;R&gt;1&lt;/R&gt;&lt;C&gt;1&lt;/C&gt;&lt;D xsi:type="xsd:string"&gt;Shinhan Financial Group Co., Ltd.&lt;/D&gt;&lt;/FQL&gt;&lt;FQL&gt;&lt;Q&gt;SESG-FR^PROPER_NAME&lt;/Q&gt;&lt;R&gt;1&lt;/R&gt;&lt;C&gt;1&lt;/C&gt;&lt;D xsi:type="xsd:string"&gt;SES SA FDR (Class A)&lt;/D&gt;&lt;/FQL&gt;&lt;FQL&gt;&lt;Q&gt;SAN-FR^PROPER_NAME&lt;/Q&gt;&lt;R&gt;1&lt;/R&gt;&lt;C&gt;1&lt;/C&gt;&lt;D xsi:type="xsd:string"&gt;Sanofi SA&lt;/D&gt;&lt;/FQL&gt;&lt;FQL&gt;&lt;Q&gt;005935-KR^PROPER_NAME&lt;/Q&gt;&lt;R&gt;1&lt;/R&gt;&lt;C&gt;1&lt;/C&gt;&lt;D xsi:type="xsd:string"&gt;Samsung Electronics Co Ltd Pfd  Non-Voting&lt;/D&gt;&lt;/FQL&gt;&lt;FQL&gt;&lt;Q&gt;SBH-US^PROPER_NAME&lt;/Q&gt;&lt;R&gt;1&lt;/R&gt;&lt;C&gt;1&lt;/C&gt;&lt;D xsi:type="xsd:string"&gt;Sally Beauty Holdings, Inc.&lt;/D&gt;&lt;/FQL&gt;&lt;FQL&gt;&lt;Q&gt;6963-JP^PROPER_NAME&lt;/Q&gt;&lt;R&gt;1&lt;/R&gt;&lt;C&gt;1&lt;/C&gt;&lt;D xsi:type="xsd:string"&gt;ROHM Company Limited&lt;/D&gt;&lt;/FQL&gt;&lt;FQL&gt;&lt;Q&gt;REP-ES^PROPER_NAME&lt;/Q&gt;&lt;R&gt;1&lt;/R&gt;&lt;C&gt;1&lt;/C&gt;&lt;D xsi:type="xsd:string"&gt;Repsol SA&lt;/D&gt;&lt;/FQL&gt;&lt;FQL&gt;&lt;Q&gt;PUM-DE^PROPER_NAME&lt;/Q&gt;&lt;R&gt;1&lt;/R&gt;&lt;C&gt;1&lt;/C&gt;&lt;D xsi:type="xsd:string"&gt;PUMA SE&lt;/D&gt;&lt;/FQL&gt;&lt;FQL&gt;&lt;Q&gt;PFE-US^PROPER_NAME&lt;/Q&gt;&lt;R&gt;1&lt;/R&gt;&lt;C&gt;1&lt;/C&gt;&lt;D xsi:type="xsd:string"&gt;Pfizer Inc.&lt;/D&gt;&lt;/FQL&gt;&lt;FQL&gt;&lt;Q&gt;9404-JP^PROPER_NAME&lt;/Q&gt;&lt;R&gt;1&lt;/R&gt;&lt;C&gt;1&lt;/C&gt;&lt;D xsi:type="xsd:string"&gt;Nippon Television Holdings, Inc.&lt;/D&gt;&lt;/FQL&gt;&lt;FQL&gt;&lt;Q&gt;7731-JP^PROPER_NAME&lt;/Q&gt;&lt;R&gt;1&lt;/R&gt;&lt;C&gt;1&lt;/C&gt;&lt;D xsi:type="xsd:string"&gt;Nikon Corp.&lt;/D&gt;&lt;/FQL&gt;&lt;FQL&gt;&lt;Q&gt;NWG-GB^PROPER_NAME&lt;/Q&gt;&lt;R&gt;1&lt;/R&gt;&lt;C&gt;1&lt;/C&gt;&lt;D xsi:type="xsd:string"&gt;NatWest Group Plc&lt;/D&gt;&lt;/FQL&gt;&lt;FQL&gt;&lt;Q&gt;TAP-US^PROPER_NAME&lt;/Q&gt;&lt;R&gt;1&lt;/R&gt;&lt;C&gt;1&lt;/C&gt;&lt;D xsi:type="xsd:string"&gt;Molson Coors Beverage Company Class B&lt;/D&gt;&lt;/FQL&gt;&lt;FQL&gt;&lt;Q&gt;MHK-US^PROPER_NAME&lt;/Q&gt;&lt;R&gt;1&lt;/R&gt;&lt;C&gt;1&lt;/C&gt;&lt;D xsi:type="xsd:string"&gt;Mohawk Industries, Inc.&lt;/D&gt;&lt;/FQL&gt;&lt;FQL&gt;&lt;Q&gt;7459-JP^PROPER_NAME&lt;/Q&gt;&lt;R&gt;1&lt;/R&gt;&lt;C&gt;1&lt;/C&gt;&lt;D xsi:type="xsd:string"&gt;MEDIPAL HOLDINGS Corporation&lt;/D&gt;&lt;/FQL&gt;&lt;FQL&gt;&lt;Q&gt;MAN-US^PROPER_NAME&lt;/Q&gt;&lt;R&gt;1&lt;/R&gt;&lt;C&gt;1&lt;/C&gt;&lt;D xsi:type="xsd:string"&gt;ManpowerGroup Inc.&lt;/D&gt;&lt;/FQL&gt;&lt;FQL&gt;&lt;Q&gt;M-US^PROPER_NAME&lt;/Q&gt;&lt;R&gt;1&lt;/R&gt;&lt;C&gt;1&lt;/C&gt;&lt;D xsi:type="xsd:string"&gt;Macy's, Inc.&lt;/D&gt;&lt;/FQL&gt;&lt;FQL&gt;&lt;Q&gt;LYB-US^PROPER_NAME&lt;/Q&gt;&lt;R&gt;1&lt;/R&gt;&lt;C&gt;1&lt;/C&gt;&lt;D xsi:type="xsd:string"&gt;LyondellBasell Industries NV&lt;/D&gt;&lt;/FQL&gt;&lt;FQL&gt;&lt;Q&gt;LEA-US^PROPER_NAME&lt;/Q&gt;&lt;R&gt;1&lt;/R&gt;&lt;C&gt;1&lt;/C&gt;&lt;D xsi:type="xsd:string"&gt;Lear Corporation&lt;/D&gt;&lt;/FQL&gt;&lt;FQL&gt;&lt;Q&gt;KHC-US^PROPER_NAME&lt;/Q&gt;&lt;R&gt;1&lt;/R&gt;&lt;C&gt;1&lt;/C&gt;&lt;D xsi:type="xsd:string"&gt;Kraft Heinz Company&lt;/D&gt;&lt;/FQL&gt;&lt;FQL&gt;&lt;Q&gt;AD-NL^PROPER_NAME&lt;/Q&gt;&lt;R&gt;1&lt;/R&gt;&lt;C&gt;1&lt;/C&gt;&lt;D xsi:type="xsd:string"&gt;Koninklijke Ahold Delhaize N.V.&lt;/D&gt;&lt;/FQL&gt;&lt;FQL&gt;&lt;Q&gt;KER-FR^PROPER_NAME&lt;/Q&gt;&lt;R&gt;1&lt;/R&gt;&lt;C&gt;1&lt;/C&gt;&lt;D xsi:type="xsd:string"&gt;Kering SA&lt;/D&gt;&lt;/FQL&gt;&lt;FQL&gt;&lt;Q&gt;105560-KR^PROPER_NAME&lt;/Q&gt;&lt;R&gt;1&lt;/R&gt;&lt;C&gt;1&lt;/C&gt;&lt;D xsi:type="xsd:string"&gt;KB Financial Group Inc.&lt;/D&gt;&lt;/FQL&gt;&lt;FQL&gt;&lt;Q&gt;INTC-US^PROPER_NAME&lt;/Q&gt;&lt;R&gt;1&lt;/R&gt;&lt;C&gt;1&lt;/C&gt;&lt;D xsi:type="xsd:string"&gt;Intel Corporation&lt;/D&gt;&lt;/FQL&gt;&lt;FQL&gt;&lt;Q&gt;HPE-US^PROPER_NAME&lt;/Q&gt;&lt;R&gt;1&lt;/R&gt;&lt;C&gt;1&lt;/C&gt;&lt;D xsi:type="xsd:string"&gt;Hewlett Packard Enterprise Co.&lt;/D&gt;&lt;/FQL&gt;&lt;FQL&gt;&lt;Q&gt;161390-KR^PROPER_NAME&lt;/Q&gt;&lt;R&gt;1&lt;/R&gt;&lt;C&gt;1&lt;/C&gt;&lt;D xsi:type="xsd:string"&gt;HANKOOK TIRE &amp;amp; TECHNOLOGY Co., Ltd.&lt;/D&gt;&lt;/FQL&gt;&lt;FQL&gt;&lt;Q&gt;HAL-US^PROPER_NAME&lt;/Q&gt;&lt;R&gt;1&lt;/R&gt;&lt;C&gt;1&lt;/C&gt;&lt;D xsi:type="xsd:string"&gt;Halliburton Company&lt;/D&gt;&lt;/FQL&gt;&lt;FQL&gt;&lt;Q&gt;4544-JP^PROPER_NAME&lt;/Q&gt;&lt;R&gt;1&lt;/R&gt;&lt;C&gt;1&lt;/C&gt;&lt;D xsi:type="xsd:string"&gt;H.U.Group Holdings, Inc.&lt;/D&gt;&lt;/FQL&gt;&lt;FQL&gt;&lt;Q&gt;GSK-GB^PROPER_NAME&lt;/Q&gt;&lt;R&gt;1&lt;/R&gt;&lt;C&gt;1&lt;/C&gt;&lt;D xsi:type="xsd:string"&gt;GSK plc&lt;/D&gt;&lt;/FQL&gt;&lt;FQL&gt;&lt;Q&gt;ENI-IT^PROPER_NAME&lt;/Q&gt;&lt;R&gt;1&lt;/R&gt;&lt;C&gt;1&lt;/C&gt;&lt;D xsi:type="xsd:string"&gt;Eni S.p.A.&lt;/D&gt;&lt;/FQL&gt;&lt;FQL&gt;&lt;Q&gt;WPP-GB^PROPER_NAME&lt;/Q&gt;&lt;R&gt;1&lt;/R&gt;&lt;C&gt;1&lt;/C&gt;&lt;D xsi:type="xsd:string"&gt;WPP Plc&lt;/D&gt;&lt;/FQL&gt;&lt;FQL&gt;&lt;Q&gt;4324-JP^PROPER_NAME&lt;/Q&gt;&lt;R&gt;1&lt;/R&gt;&lt;C&gt;1&lt;/C&gt;&lt;D xsi:type="xsd:string"&gt;Dentsu Group Inc.&lt;/D&gt;&lt;/FQL&gt;&lt;FQL&gt;&lt;Q&gt;CON-DE^PROPER_NAME&lt;/Q&gt;&lt;R&gt;1&lt;/R&gt;&lt;C&gt;1&lt;/C&gt;&lt;D xsi:type="xsd:string"&gt;Continental AG&lt;/D&gt;&lt;/FQL&gt;&lt;FQL&gt;&lt;Q&gt;CA-FR^PROPER_NAME&lt;/Q&gt;&lt;R&gt;1&lt;/R&gt;&lt;C&gt;1&lt;/C&gt;&lt;D xsi:type="xsd:string"&gt;Carrefour SA&lt;/D&gt;&lt;/FQL&gt;&lt;FQL&gt;&lt;Q&gt;BRBY-GB^PROPER_NAME&lt;/Q&gt;&lt;R&gt;1&lt;/R&gt;&lt;C&gt;1&lt;/C&gt;&lt;D xsi:type="xsd:string"&gt;Burberry Group plc&lt;/D&gt;&lt;/FQL&gt;&lt;FQL&gt;&lt;Q&gt;BT.A-GB^PROPER_NAME&lt;/Q&gt;&lt;R&gt;1&lt;/R&gt;&lt;C&gt;1&lt;/C&gt;&lt;D xsi:type="xsd:string"&gt;BT Group plc&lt;/D&gt;&lt;/FQL&gt;&lt;FQL&gt;&lt;Q&gt;BMY-US^PROPER_NAME&lt;/Q&gt;&lt;R&gt;1&lt;/R&gt;&lt;C&gt;1&lt;/C&gt;&lt;D xsi:type="xsd:string"&gt;Bristol-Myers Squibb Company&lt;/D&gt;&lt;/FQL&gt;&lt;FQL&gt;&lt;Q&gt;BAYN-DE^PROPER_NAME&lt;/Q&gt;&lt;R&gt;1&lt;/R&gt;&lt;C&gt;1&lt;/C&gt;&lt;D xsi:type="xsd:string"&gt;Bayer AG&lt;/D&gt;&lt;/FQL&gt;&lt;FQL&gt;&lt;Q&gt;BAS-DE^PROPER_NAME&lt;/Q&gt;&lt;R&gt;1&lt;/R&gt;&lt;C&gt;1&lt;/C&gt;&lt;D xsi:type="xsd:string"&gt;BASF SE&lt;/D&gt;&lt;/FQL&gt;&lt;FQL&gt;&lt;Q&gt;9888-HK^PROPER_NAME&lt;/Q&gt;&lt;R&gt;1&lt;/R&gt;&lt;C&gt;1&lt;/C&gt;&lt;D xsi:type="xsd:string"&gt;Baidu, Inc. Class A&lt;/D&gt;&lt;/FQL&gt;&lt;FQL&gt;&lt;Q&gt;ATHM-US^PROPER_NAME&lt;/Q&gt;&lt;R&gt;1&lt;/R&gt;&lt;C&gt;1&lt;/C&gt;&lt;D xsi:type="xsd:string"&gt;Autohome Inc. Sponsored ADR Class A&lt;/D&gt;&lt;/FQL&gt;&lt;FQL&gt;&lt;Q&gt;APTV-US^PROPER_NAME&lt;/Q&gt;&lt;R&gt;1&lt;/R&gt;&lt;C&gt;1&lt;/C&gt;&lt;D xsi:type="xsd:string"&gt;Aptiv PLC&lt;/D&gt;&lt;/FQL&gt;&lt;FQL&gt;&lt;Q&gt;914-HK^PROPER_NAME&lt;/Q&gt;&lt;R&gt;1&lt;/R&gt;&lt;C&gt;1&lt;/C&gt;&lt;D xsi:type="xsd:string"&gt;Anhui Conch Cement Company Limited Class H&lt;/D&gt;&lt;/FQL&gt;&lt;FQL&gt;&lt;Q&gt;AAL-GB^PROPER_NAME&lt;/Q&gt;&lt;R&gt;1&lt;/R&gt;&lt;C&gt;1&lt;/C&gt;&lt;D xsi:type="xsd:string"&gt;Anglo American plc&lt;/D&gt;&lt;/FQL&gt;&lt;FQL&gt;&lt;Q&gt;ADEN-CH^PROPER_NAME&lt;/Q&gt;&lt;R&gt;1&lt;/R&gt;&lt;C&gt;1&lt;/C&gt;&lt;D xsi:type="xsd:string"&gt;Adecco Group AG&lt;/D&gt;&lt;/FQL&gt;&lt;FQL&gt;&lt;Q&gt;DUMMY^CORREL_MATRIX(CORRELMATRIX)&lt;/Q&gt;&lt;R&gt;59&lt;/R&gt;&lt;C&gt;59&lt;/C&gt;&lt;D xsi:type="xsd:double"&gt;1&lt;/D&gt;&lt;D xsi:type="xsd:double"&gt;0.39938405&lt;/D&gt;&lt;D xsi:type="xsd:double"&gt;0.12351597&lt;/D&gt;&lt;D xsi:type="xsd:double"&gt;0.31796327&lt;/D&gt;&lt;D xsi:type="xsd:double"&gt;0.18625735&lt;/D&gt;&lt;D xsi:type="xsd:double"&gt;0.18713966&lt;/D&gt;&lt;D xsi:type="xsd:double"&gt;0.5839783&lt;/D&gt;&lt;D xsi:type="xsd:double"&gt;0.3916449&lt;/D&gt;&lt;D xsi:type="xsd:double"&gt;0.045512207&lt;/D&gt;&lt;D xsi:type="xsd:double"&gt;0.3266457&lt;/D&gt;&lt;D xsi:type="xsd:double"&gt;0.43294632&lt;/D&gt;&lt;D xsi:type="xsd:double"&gt;0.29648682&lt;/D&gt;&lt;D xsi:type="xsd:double"&gt;0.51597923&lt;/D&gt;&lt;D xsi:type="xsd:double"&gt;0.17502515&lt;/D&gt;&lt;D xsi:type="xsd:double"&gt;0.47705555&lt;/D&gt;&lt;D xsi:type="xsd:double"&gt;0.41527575&lt;/D&gt;&lt;D xsi:type="xsd:double"&gt;0.25082976&lt;/D&gt;&lt;D xsi:type="xsd:double"&gt;0.12580854&lt;/D&gt;&lt;D xsi:type="xsd:double"&gt;0.2112954&lt;/D&gt;&lt;D xsi:type="xsd:double"&gt;0.139763&lt;/D&gt;&lt;D xsi:type="xsd:double"&gt;0.20724316&lt;/D&gt;&lt;D xsi:type="xsd:double"&gt;0.14516617&lt;/D&gt;&lt;D xsi:type="xsd:double"&gt;0.16819996&lt;/D&gt;&lt;D xsi:type="xsd:double"&gt;0.4765367&lt;/D&gt;&lt;D xsi:type="xsd:double"&gt;0.2663285&lt;/D&gt;&lt;D xsi:type="xsd:double"&gt;0.12240205&lt;/D&gt;&lt;D xsi:type="xsd:double"&gt;0.33602232&lt;/D&gt;&lt;D xsi:type="xsd:double"&gt;0.3146301&lt;/D&gt;&lt;D xsi:type="xsd:double"&gt;0.17430522&lt;/D&gt;&lt;D xsi:type="xsd:double"&gt;0.44833085&lt;/D&gt;&lt;D xsi:type="xsd:double"&gt;0.09664128&lt;/D&gt;&lt;D xsi:type="xsd:double"&gt;0.30196637&lt;/D&gt;&lt;D xsi:type="xsd:double"&gt;0.19476128&lt;/D&gt;&lt;D xsi:type="xsd:double"&gt;0.45068923&lt;/D&gt;&lt;D xsi:type="xsd:double"&gt;0.13730615&lt;/D&gt;&lt;D xsi:type="xsd:double"&gt;0.10514353&lt;/D&gt;&lt;D xsi:type="xsd:double"&gt;0.108049855&lt;/D&gt;&lt;D xsi:type="xsd:double"&gt;0.42113334&lt;/D&gt;&lt;D xsi:type="xsd:double"&gt;0.31757814&lt;/D&gt;&lt;D xsi:type="xsd:double"&gt;0.21714398&lt;/D&gt;&lt;D xsi:type="xsd:double"&gt;0.20429349&lt;/D&gt;&lt;D xsi:type="xsd:double"&gt;0.19614367&lt;/D&gt;&lt;D xsi:type="xsd:double"&gt;0.24527168&lt;/D&gt;&lt;D xsi:type="xsd:double"&gt;0.3358664&lt;/D&gt;&lt;D xsi:type="xsd:double"&gt;0.17815195&lt;/D&gt;&lt;D xsi:type="xsd:double"&gt;0.5114047&lt;/D&gt;&lt;D xsi:type="xsd:double"&gt;0.41977122&lt;/D&gt;&lt;D xsi:type="xsd:double"&gt;0.27303308&lt;/D&gt;&lt;D xsi:type="xsd:double"&gt;0.49752104&lt;/D&gt;&lt;D xsi:type="xsd:double"&gt;0.2843235&lt;/D&gt;&lt;D xsi:type="xsd:double"&gt;0.19002204&lt;/D&gt;&lt;D xsi:type="xsd:double"&gt;0.26021358&lt;/D&gt;&lt;D xsi:type="xsd:double"&gt;0.11426086&lt;/D&gt;&lt;D xsi:type="xsd:double"&gt;0.22955623&lt;/D&gt;&lt;D xsi:type="xsd:double"&gt;0.34252146&lt;/D&gt;&lt;D xsi:type="xsd:double"&gt;0.50821435&lt;/D&gt;&lt;D xsi:type="xsd:double"&gt;0.1348528&lt;/D&gt;&lt;D xsi:type="xsd:double"&gt;0.23994473&lt;/D&gt;&lt;D xsi:type="xsd:double"&gt;0.20664184&lt;/D&gt;&lt;D xsi:type="xsd:double"&gt;0.39938405&lt;/D&gt;&lt;D xsi:type="xsd:double"&gt;1&lt;/D&gt;&lt;D xsi:type="xsd:double"&gt;0.23118158&lt;/D&gt;&lt;D xsi:type="xsd:double"&gt;0.27339724&lt;/D&gt;&lt;D xsi:type="xsd:double"&gt;0.20845011&lt;/D&gt;&lt;D xsi:type="xsd:double"&gt;0.24558595&lt;/D&gt;&lt;D xsi:type="xsd:double"&gt;0.49699247&lt;/D&gt;&lt;D xsi:type="xsd:double"&gt;0.32804742&lt;/D&gt;&lt;D xsi:type="xsd:double"&gt;0.003977246&lt;/D&gt;&lt;D xsi:type="xsd:double"&gt;0.26483834&lt;/D&gt;&lt;D xsi:type="xsd:double"&gt;0.4003947&lt;/D&gt;&lt;D xsi:type="xsd:double"&gt;0.2219083&lt;/D&gt;&lt;D xsi:type="xsd:double"&gt;0.38348606&lt;/D&gt;&lt;D xsi:type="xsd:double"&gt;0.14241657&lt;/D&gt;&lt;D xsi:type="xsd:double"&gt;0.40760097&lt;/D&gt;&lt;D xsi:type="xsd:double"&gt;0.5212918&lt;/D&gt;&lt;D xsi:type="xsd:double"&gt;0.22555007&lt;/D&gt;&lt;D xsi:type="xsd:double"&gt;0.051864404&lt;/D&gt;&lt;D xsi:type="xsd:double"&gt;0.33170706&lt;/D&gt;&lt;D xsi:type="xsd:double"&gt;0.12959494&lt;/D&gt;&lt;D xsi:type="xsd:double"&gt;0.23344079&lt;/D&gt;&lt;D xsi:type="xsd:double"&gt;0.16092536&lt;/D&gt;&lt;D xsi:type="xsd:double"&gt;0.1557952&lt;/D&gt;&lt;D xsi:type="xsd:double"&gt;0.4035347&lt;/D&gt;&lt;D xsi:type="xsd:double"&gt;0.14545378&lt;/D&gt;&lt;D xsi:type="xsd:double"&gt;0.045460504&lt;/D&gt;&lt;D xsi:type="xsd:double"&gt;0.28487447&lt;/D&gt;&lt;D xsi:type="xsd:double"&gt;0.34101942&lt;/D&gt;&lt;D xsi:type="xsd:double"&gt;0.11964421&lt;/D&gt;&lt;D xsi:type="xsd:double"&gt;0.25129953&lt;/D&gt;&lt;D xsi:type="xsd:double"&gt;0.11732159&lt;/D&gt;&lt;D xsi:type="xsd:double"&gt;0.22978368&lt;/D&gt;&lt;D xsi:type="xsd:double"&gt;0.13224563&lt;/D&gt;&lt;D xsi:type="xsd:double"&gt;0.4687992&lt;/D&gt;&lt;D xsi:type="xsd:double"&gt;0.13212422&lt;/D&gt;&lt;D xsi:type="xsd:double"&gt;0.08752199&lt;/D&gt;&lt;D xsi:type="xsd:double"&gt;0.07184414&lt;/D&gt;&lt;D xsi:type="xsd:double"&gt;0.27331284&lt;/D&gt;&lt;D xsi:type="xsd:double"&gt;0.4686896&lt;/D&gt;&lt;D xsi:type="xsd:double"&gt;0.16623355&lt;/D&gt;&lt;D xsi:type="xsd:double"&gt;0.13028964&lt;/D&gt;&lt;D xsi:type="xsd:double"&gt;0.1866798&lt;/D&gt;&lt;D xsi:type="xsd:double"&gt;0.18667169&lt;/D&gt;&lt;D xsi:type="xsd:double"&gt;0.21183583&lt;/D&gt;&lt;D xsi:type="xsd:double"&gt;0.17771262&lt;/D&gt;&lt;D xsi:type="xsd:double"&gt;0.41083544&lt;/D&gt;&lt;D xsi:type="xsd:double"&gt;0.4402563&lt;/D&gt;&lt;D xsi:type="xsd:double"&gt;0.19515103&lt;/D&gt;&lt;D xsi:type="xsd:double"&gt;0.42039084&lt;/D&gt;&lt;D xsi:type="xsd:double"&gt;0.44327343&lt;/D&gt;&lt;D xsi:type="xsd:double"&gt;0.09788907&lt;/D&gt;&lt;D xsi:type="xsd:double"&gt;0.53149796&lt;/D&gt;&lt;D xsi:type="xsd:double"&gt;0.07916192&lt;/D&gt;&lt;D xsi:type="xsd:double"&gt;0.17980261&lt;/D&gt;&lt;D xsi:type="xsd:double"&gt;0.29535085&lt;/D&gt;&lt;D xsi:type="xsd:double"&gt;0.3819308&lt;/D&gt;&lt;D xsi:type="xsd:double"&gt;0.1447117&lt;/D&gt;&lt;D xsi:type="xsd:double"&gt;0.13327818&lt;/D&gt;&lt;D xsi:type="xsd:double"&gt;0.1998287&lt;/D&gt;&lt;D xsi:type="xsd:double"&gt;0.12351597&lt;/D&gt;&lt;D xsi:type="xsd:double"&gt;0.23118158&lt;/D&gt;&lt;D xsi:type="xsd:double"&gt;1&lt;/D&gt;&lt;D xsi:type="xsd:double"&gt;0.07700238&lt;/D&gt;&lt;D xsi:type="xsd:double"&gt;0.219586&lt;/D&gt;&lt;D xsi:type="xsd:double"&gt;0.38515213&lt;/D&gt;&lt;D xsi:type="xsd:double"&gt;0.16261686&lt;/D&gt;&lt;D xsi:type="xsd:double"&gt;0.12648934&lt;/D&gt;&lt;D xsi:type="xsd:double"&gt;0.060530566&lt;/D&gt;&lt;D xsi:type="xsd:double"&gt;0.09905089&lt;/D&gt;&lt;D xsi:type="xsd:double"&gt;0.16386203&lt;/D&gt;&lt;D xsi:type="xsd:double"&gt;0.04913928&lt;/D&gt;&lt;D xsi:type="xsd:double"&gt;0.06697992&lt;/D&gt;&lt;D xsi:type="xsd:double"&gt;0.10347692&lt;/D&gt;&lt;D xsi:type="xsd:double"&gt;0.09018245&lt;/D&gt;&lt;D xsi:type="xsd:double"&gt;0.11647656&lt;/D&gt;&lt;D xsi:type="xsd:double"&gt;0.07718932&lt;/D&gt;&lt;D xsi:type="xsd:double"&gt;0.09727897&lt;/D&gt;&lt;D xsi:type="xsd:double"&gt;0.08047438&lt;/D&gt;&lt;D xsi:type="xsd:double"&gt;0.14139457&lt;/D&gt;&lt;D xsi:type="xsd:double"&gt;0.066502124&lt;/D&gt;&lt;D xsi:type="xsd:double"&gt;0.037332084&lt;/D&gt;&lt;D xsi:type="xsd:double"&gt;0.19620481&lt;/D&gt;&lt;D xsi:type="xsd:double"&gt;0.16724078&lt;/D&gt;&lt;D xsi:type="xsd:double"&gt;0.027636377&lt;/D&gt;&lt;D xsi:type="xsd:double"&gt;0.027529266&lt;/D&gt;&lt;D xsi:type="xsd:double"&gt;0.073951446&lt;/D&gt;&lt;D xsi:type="xsd:double"&gt;0.11294534&lt;/D&gt;&lt;D xsi:type="xsd:double"&gt;0.040439438&lt;/D&gt;&lt;D xsi:type="xsd:double"&gt;0.07176667&lt;/D&gt;&lt;D xsi:type="xsd:double"&gt;0.04872398&lt;/D&gt;&lt;D xsi:type="xsd:double"&gt;0.04189216&lt;/D&gt;&lt;D xsi:type="xsd:double"&gt;0.04530947&lt;/D&gt;&lt;D xsi:type="xsd:double"&gt;0.1214835&lt;/D&gt;&lt;D xsi:type="xsd:double"&gt;0.094915055&lt;/D&gt;&lt;D xsi:type="xsd:double"&gt;0.077587046&lt;/D&gt;&lt;D xsi:type="xsd:double"&gt;0.06316819&lt;/D&gt;&lt;D xsi:type="xsd:double"&gt;0.093412146&lt;/D&gt;&lt;D xsi:type="xsd:double"&gt;0.12067817&lt;/D&gt;&lt;D xsi:type="xsd:double"&gt;0.11386463&lt;/D&gt;&lt;D xsi:type="xsd:double"&gt;0.030167788&lt;/D&gt;&lt;D xsi:type="xsd:double"&gt;0.22901434&lt;/D&gt;&lt;D xsi:type="xsd:double"&gt;0.04234715&lt;/D&gt;&lt;D xsi:type="xsd:double"&gt;0.07362551&lt;/D&gt;&lt;D xsi:type="xsd:double"&gt;0.20805001&lt;/D&gt;&lt;D xsi:type="xsd:double"&gt;0.122271046&lt;/D&gt;&lt;D xsi:type="xsd:double"&gt;0.18625234&lt;/D&gt;&lt;D xsi:type="xsd:double"&gt;0.0499635&lt;/D&gt;&lt;D xsi:type="xsd:double"&gt;0.18200777&lt;/D&gt;&lt;D xsi:type="xsd:double"&gt;0.15071787&lt;/D&gt;&lt;D xsi:type="xsd:double"&gt;0.08954926&lt;/D&gt;&lt;D xsi:type="xsd:double"&gt;0.16476853&lt;/D&gt;&lt;D xsi:type="xsd:double"&gt;0.008647056&lt;/D&gt;&lt;D xsi:type="xsd:double"&gt;0.052148562&lt;/D&gt;&lt;D xsi:type="xsd:double"&gt;0.09243966&lt;/D&gt;&lt;D xsi:type="xsd:double"&gt;0.12213162&lt;/D&gt;&lt;D xsi:type="xsd:double"&gt;0.058911853&lt;/D&gt;&lt;D xsi:type="xsd:double"&gt;0.06341837&lt;/D&gt;&lt;D xsi:type="xsd:double"&gt;0.051414758&lt;/D&gt;&lt;D xsi:type="xsd:double"&gt;0.31796327&lt;/D&gt;&lt;D xsi:type="xsd:double"&gt;0.27339724&lt;/D&gt;&lt;D xsi:type="xsd:double"&gt;0.07700238&lt;/D&gt;&lt;D xsi:type="xsd:double"&gt;1&lt;/D&gt;&lt;D xsi:type="xsd:double"&gt;0.25657505&lt;/D&gt;&lt;D xsi:type="xsd:double"&gt;0.11218112&lt;/D&gt;&lt;D xsi:type="xsd:double"&gt;0.39639395&lt;/D&gt;&lt;D xsi:type="xsd:double"&gt;0.22450599&lt;/D&gt;&lt;D xsi:type="xsd:double"&gt;0.096634105&lt;/D&gt;&lt;D xsi:type="xsd:double"&gt;0.16366695&lt;/D&gt;&lt;D xsi:type="xsd:double"&gt;0.25423726&lt;/D&gt;&lt;D xsi:type="xsd:double"&gt;0.1498384&lt;/D&gt;&lt;D xsi:type="xsd:double"&gt;0.4171376&lt;/D&gt;&lt;D xsi:type="xsd:double"&gt;0.054068793&lt;/D&gt;&lt;D xsi:type="xsd:double"&gt;0.33327508&lt;/D&gt;&lt;D xsi:type="xsd:double"&gt;0.22662239&lt;/D&gt;&lt;D xsi:type="xsd:double"&gt;0.06824344&lt;/D&gt;&lt;D xsi:type="xsd:double"&gt;0.0020722293&lt;/D&gt;&lt;D xsi:type="xsd:double"&gt;0.3589049&lt;/D&gt;&lt;D xsi:type="xsd:double"&gt;0.042003356&lt;/D&gt;&lt;D xsi:type="xsd:double"&gt;0.4393508&lt;/D&gt;&lt;D xsi:type="xsd:double"&gt;0.35284764&lt;/D&gt;&lt;D xsi:type="xsd:double"&gt;0.067978464&lt;/D&gt;&lt;D xsi:type="xsd:double"&gt;0.31843528&lt;/D&gt;&lt;D xsi:type="xsd:double"&gt;0.08325847&lt;/D&gt;&lt;D xsi:type="xsd:double"&gt;0.116408706&lt;/D&gt;&lt;D xsi:type="xsd:double"&gt;0.7497783&lt;/D&gt;&lt;D xsi:type="xsd:double"&gt;0.4878771&lt;/D&gt;&lt;D xsi:type="xsd:double"&gt;0.3969841&lt;/D&gt;&lt;D xsi:type="xsd:double"&gt;0.487004&lt;/D&gt;&lt;D xsi:type="xsd:double"&gt;0.004891051&lt;/D&gt;&lt;D xsi:type="xsd:double"&gt;0.52945894&lt;/D&gt;&lt;D xsi:type="xsd:double"&gt;0.2559938&lt;/D&gt;&lt;D xsi:type="xsd:double"&gt;0.3102515&lt;/D&gt;&lt;D xsi:type="xsd:double"&gt;0.04808809&lt;/D&gt;&lt;D xsi:type="xsd:double"&gt;0.029196503&lt;/D&gt;&lt;D xsi:type="xsd:double"&gt;0.16148512&lt;/D&gt;&lt;D xsi:type="xsd:double"&gt;0.2864457&lt;/D&gt;&lt;D xsi:type="xsd:double"&gt;0.21221629&lt;/D&gt;&lt;D xsi:type="xsd:double"&gt;0.09315408&lt;/D&gt;&lt;D xsi:type="xsd:double"&gt;0.42271778&lt;/D&gt;&lt;D xsi:type="xsd:double"&gt;0.07556651&lt;/D&gt;&lt;D xsi:type="xsd:double"&gt;0.057855826&lt;/D&gt;&lt;D xsi:type="xsd:double"&gt;0.15881817&lt;/D&gt;&lt;D xsi:type="xsd:double"&gt;0.100665&lt;/D&gt;&lt;D xsi:type="xsd:double"&gt;0.30723923&lt;/D&gt;&lt;D xsi:type="xsd:double"&gt;0.30487245&lt;/D&gt;&lt;D xsi:type="xsd:double"&gt;0.5066437&lt;/D&gt;&lt;D xsi:type="xsd:double"&gt;0.33334726&lt;/D&gt;&lt;D xsi:type="xsd:double"&gt;0.38759404&lt;/D&gt;&lt;D xsi:type="xsd:double"&gt;0.06974484&lt;/D&gt;&lt;D xsi:type="xsd:double"&gt;0.15581703&lt;/D&gt;&lt;D xsi:type="xsd:double"&gt;0.12921235&lt;/D&gt;&lt;D xsi:type="xsd:double"&gt;0.36848122&lt;/D&gt;&lt;D xsi:type="xsd:double"&gt;0.17390521&lt;/D&gt;&lt;D xsi:type="xsd:double"&gt;0.3743258&lt;/D&gt;&lt;D xsi:type="xsd:double"&gt;0.2211592&lt;/D&gt;&lt;D xsi:type="xsd:double"&gt;0.3627457&lt;/D&gt;&lt;D xsi:type="xsd:double"&gt;0.3501743&lt;/D&gt;&lt;D xsi:type="xsd:double"&gt;0.18625735&lt;/D&gt;&lt;D xsi:type="xsd:double"&gt;0.20845011&lt;/D&gt;&lt;D xsi:type="xsd:double"&gt;0.219586&lt;/D&gt;&lt;D xsi:type="xsd:double"&gt;0.25657505&lt;/D&gt;&lt;D xsi:type="xsd:double"&gt;1&lt;/D&gt;&lt;D xsi:type="xsd:double"&gt;0.28208867&lt;/D&gt;&lt;D xsi:type="xsd:double"&gt;0.22138534&lt;/D&gt;&lt;D xsi:type="xsd:double"&gt;0.1783574&lt;/D&gt;&lt;D xsi:type="xsd:double"&gt;0.050155975&lt;/D&gt;&lt;D xsi:type="xsd:double"&gt;0.08292831&lt;/D&gt;&lt;D xsi:type="xsd:double"&gt;0.19378798&lt;/D&gt;&lt;D xsi:type="xsd:double"&gt;0.036464725&lt;/D&gt;&lt;D xsi:type="xsd:double"&gt;0.19803022&lt;/D&gt;&lt;D xsi:type="xsd:double"&gt;0.043601554&lt;/D&gt;&lt;D xsi:type="xsd:double"&gt;0.13431253&lt;/D&gt;&lt;D xsi:type="xsd:double"&gt;0.14223558&lt;/D&gt;&lt;D xsi:type="xsd:double"&gt;0.08990513&lt;/D&gt;&lt;D xsi:type="xsd:double"&gt;0.01608673&lt;/D&gt;&lt;D xsi:type="xsd:double"&gt;0.122016065&lt;/D&gt;&lt;D xsi:type="xsd:double"&gt;0.11337348&lt;/D&gt;&lt;D xsi:type="xsd:double"&gt;0.16092788&lt;/D&gt;&lt;D xsi:type="xsd:double"&gt;0.1690994&lt;/D&gt;&lt;D xsi:type="xsd:double"&gt;0.078869745&lt;/D&gt;&lt;D xsi:type="xsd:double"&gt;0.23252256&lt;/D&gt;&lt;D xsi:type="xsd:double"&gt;0.07499752&lt;/D&gt;&lt;D xsi:type="xsd:double"&gt;0.0298947&lt;/D&gt;&lt;D xsi:type="xsd:double"&gt;0.23379572&lt;/D&gt;&lt;D xsi:type="xsd:double"&gt;0.22604072&lt;/D&gt;&lt;D xsi:type="xsd:double"&gt;0.15629771&lt;/D&gt;&lt;D xsi:type="xsd:double"&gt;0.20698543&lt;/D&gt;&lt;D xsi:type="xsd:double"&gt;0.005258511&lt;/D&gt;&lt;D xsi:type="xsd:double"&gt;0.23356366&lt;/D&gt;&lt;D xsi:type="xsd:double"&gt;0.105211444&lt;/D&gt;&lt;D xsi:type="xsd:double"&gt;0.15255003&lt;/D&gt;&lt;D xsi:type="xsd:double"&gt;0.03721305&lt;/D&gt;&lt;D xsi:type="xsd:double"&gt;0.035090685&lt;/D&gt;&lt;D xsi:type="xsd:double"&gt;0.031156102&lt;/D&gt;&lt;D xsi:type="xsd:double"&gt;0.17763424&lt;/D&gt;&lt;D xsi:type="xsd:double"&gt;0.12843105&lt;/D&gt;&lt;D xsi:type="xsd:double"&gt;0.08241095&lt;/D&gt;&lt;D xsi:type="xsd:double"&gt;0.16033295&lt;/D&gt;&lt;D xsi:type="xsd:double"&gt;0.112823956&lt;/D&gt;&lt;D xsi:type="xsd:double"&gt;0.09191894&lt;/D&gt;&lt;D xsi:type="xsd:double"&gt;0.13496628&lt;/D&gt;&lt;D xsi:type="xsd:double"&gt;0.092396006&lt;/D&gt;&lt;D xsi:type="xsd:double"&gt;0.1658718&lt;/D&gt;&lt;D xsi:type="xsd:double"&gt;0.20078865&lt;/D&gt;&lt;D xsi:type="xsd:double"&gt;0.21013322&lt;/D&gt;&lt;D xsi:type="xsd:double"&gt;0.21844539&lt;/D&gt;&lt;D xsi:type="xsd:double"&gt;0.24097674&lt;/D&gt;&lt;D xsi:type="xsd:double"&gt;0.06815889&lt;/D&gt;&lt;D xsi:type="xsd:double"&gt;0.17733148&lt;/D&gt;&lt;D xsi:type="xsd:double"&gt;0.058938865&lt;/D&gt;&lt;D xsi:type="xsd:double"&gt;0.19347213&lt;/D&gt;&lt;D xsi:type="xsd:double"&gt;0.07849945&lt;/D&gt;&lt;D xsi:type="xsd:double"&gt;0.21164237&lt;/D&gt;&lt;D xsi:type="xsd:double"&gt;0.06800632&lt;/D&gt;&lt;D xsi:type="xsd:double"&gt;0.18918885&lt;/D&gt;&lt;D xsi:type="xsd:double"&gt;0.1311286&lt;/D&gt;&lt;D xsi:type="xsd:double"&gt;0.18713966&lt;/D&gt;&lt;D xsi:type="xsd:double"&gt;0.24558595&lt;/D&gt;&lt;D xsi:type="xsd:double"&gt;0.38515213&lt;/D&gt;&lt;D xsi:type="xsd:double"&gt;0.11218112&lt;/D&gt;&lt;D xsi:type="xsd:double"&gt;0.28208867&lt;/D&gt;&lt;D xsi:type="xsd:double"&gt;1&lt;/D&gt;&lt;D xsi:type="xsd:double"&gt;0.17286283&lt;/D&gt;&lt;D xsi:type="xsd:double"&gt;0.15218848&lt;/D&gt;&lt;D xsi:type="xsd:double"&gt;-0.033161763&lt;/D&gt;&lt;D xsi:type="xsd:double"&gt;0.076805614&lt;/D&gt;&lt;D xsi:type="xsd:double"&gt;0.21377215&lt;/D&gt;&lt;D xsi:type="xsd:double"&gt;0.023438502&lt;/D&gt;&lt;D xsi:type="xsd:double"&gt;0.15538396&lt;/D&gt;&lt;D xsi:type="xsd:double"&gt;0.17138945&lt;/D&gt;&lt;D xsi:type="xsd:double"&gt;0.18730856&lt;/D&gt;&lt;D xsi:type="xsd:double"&gt;0.13930942&lt;/D&gt;&lt;D xsi:type="xsd:double"&gt;0.06956214&lt;/D&gt;&lt;D xsi:type="xsd:double"&gt;0.09677698&lt;/D&gt;&lt;D xsi:type="xsd:double"&gt;0.058869857&lt;/D&gt;&lt;D xsi:type="xsd:double"&gt;0.19740954&lt;/D&gt;&lt;D xsi:type="xsd:double"&gt;0.064321175&lt;/D&gt;&lt;D xsi:type="xsd:double"&gt;0.059526287&lt;/D&gt;&lt;D xsi:type="xsd:double"&gt;0.23353863&lt;/D&gt;&lt;D xsi:type="xsd:double"&gt;0.25284863&lt;/D&gt;&lt;D xsi:type="xsd:double"&gt;0.015571004&lt;/D&gt;&lt;D xsi:type="xsd:double"&gt;-0.03756348&lt;/D&gt;&lt;D xsi:type="xsd:double"&gt;0.101971455&lt;/D&gt;&lt;D xsi:type="xsd:double"&gt;0.13737674&lt;/D&gt;&lt;D xsi:type="xsd:double"&gt;0.034880225&lt;/D&gt;&lt;D xsi:type="xsd:double"&gt;0.05961974&lt;/D&gt;&lt;D xsi:type="xsd:double"&gt;0.029118108&lt;/D&gt;&lt;D xsi:type="xsd:double"&gt;0.08956034&lt;/D&gt;&lt;D xsi:type="xsd:double"&gt;-0.01689756&lt;/D&gt;&lt;D xsi:type="xsd:double"&gt;0.12580122&lt;/D&gt;&lt;D xsi:type="xsd:double"&gt;0.13609755&lt;/D&gt;&lt;D xsi:type="xsd:double"&gt;0.09606982&lt;/D&gt;&lt;D xsi:type="xsd:double"&gt;0.022934861&lt;/D&gt;&lt;D xsi:type="xsd:double"&gt;0.23145977&lt;/D&gt;&lt;D xsi:type="xsd:double"&gt;0.1449145&lt;/D&gt;&lt;D xsi:type="xsd:double"&gt;0.24354164&lt;/D&gt;&lt;D xsi:type="xsd:double"&gt;0.041232754&lt;/D&gt;&lt;D xsi:type="xsd:double"&gt;0.2926657&lt;/D&gt;&lt;D xsi:type="xsd:double"&gt;0.039775115&lt;/D&gt;&lt;D xsi:type="xsd:double"&gt;0.06142514&lt;/D&gt;&lt;D xsi:type="xsd:double"&gt;0.24364161&lt;/D&gt;&lt;D xsi:type="xsd:double"&gt;0.12618959&lt;/D&gt;&lt;D xsi:type="xsd:double"&gt;0.19871105&lt;/D&gt;&lt;D xsi:type="xsd:double"&gt;0.104511425&lt;/D&gt;&lt;D xsi:type="xsd:double"&gt;0.2694478&lt;/D&gt;&lt;D xsi:type="xsd:double"&gt;0.14724803&lt;/D&gt;&lt;D xsi:type="xsd:double"&gt;0.1384017&lt;/D&gt;&lt;D xsi:type="xsd:double"&gt;0.18846282&lt;/D&gt;&lt;D xsi:type="xsd:double"&gt;-0.03449254&lt;/D&gt;&lt;D xsi:type="xsd:double"&gt;0.07227729&lt;/D&gt;&lt;D xsi:type="xsd:double"&gt;0.029277531&lt;/D&gt;&lt;D xsi:type="xsd:double"&gt;0.18033718&lt;/D&gt;&lt;D xsi:type="xsd:double"&gt;0.004694804&lt;/D&gt;&lt;D xsi:type="xsd:double"&gt;0.045758676&lt;/D&gt;&lt;D xsi:type="xsd:double"&gt;0.049816806&lt;/D&gt;&lt;D xsi:type="xsd:double"&gt;0.5839783&lt;/D&gt;&lt;D xsi:type="xsd:double"&gt;0.49699247&lt;/D&gt;&lt;D xsi:type="xsd:double"&gt;0.16261686&lt;/D&gt;&lt;D xsi:type="xsd:double"&gt;0.39639395&lt;/D&gt;&lt;D xsi:type="xsd:double"&gt;0.22138534&lt;/D&gt;&lt;D xsi:type="xsd:double"&gt;0.17286283&lt;/D&gt;&lt;D xsi:type="xsd:double"&gt;1&lt;/D&gt;&lt;D xsi:type="xsd:double"&gt;0.50157684&lt;/D&gt;&lt;D xsi:type="xsd:double"&gt;0.046026655&lt;/D&gt;&lt;D xsi:type="xsd:double"&gt;0.32257318&lt;/D&gt;&lt;D xsi:type="xsd:double"&gt;0.47170675&lt;/D&gt;&lt;D xsi:type="xsd:double"&gt;0.34310368&lt;/D&gt;&lt;D xsi:type="xsd:double"&gt;0.6498609&lt;/D&gt;&lt;D xsi:type="xsd:double"&gt;0.16760652&lt;/D&gt;&lt;D xsi:type="xsd:double"&gt;0.523005&lt;/D&gt;&lt;D xsi:type="xsd:double"&gt;0.5242007&lt;/D&gt;&lt;D xsi:type="xsd:double"&gt;0.2632854&lt;/D&gt;&lt;D xsi:type="xsd:double"&gt;0.061505597&lt;/D&gt;&lt;D xsi:type="xsd:double"&gt;0.28608724&lt;/D&gt;&lt;D xsi:type="xsd:double"&gt;0.12476337&lt;/D&gt;&lt;D xsi:type="xsd:double"&gt;0.2649742&lt;/D&gt;&lt;D xsi:type="xsd:double"&gt;0.17784555&lt;/D&gt;&lt;D xsi:type="xsd:double"&gt;0.11342368&lt;/D&gt;&lt;D xsi:type="xsd:double"&gt;0.5528989&lt;/D&gt;&lt;D xsi:type="xsd:double"&gt;0.27792665&lt;/D&gt;&lt;D xsi:type="xsd:double"&gt;0.110833295&lt;/D&gt;&lt;D xsi:type="xsd:double"&gt;0.44210115&lt;/D&gt;&lt;D xsi:type="xsd:double"&gt;0.42688102&lt;/D&gt;&lt;D xsi:type="xsd:double"&gt;0.21113421&lt;/D&gt;&lt;D xsi:type="xsd:double"&gt;0.398293&lt;/D&gt;&lt;D xsi:type="xsd:double"&gt;0.08666217&lt;/D&gt;&lt;D xsi:type="xsd:double"&gt;0.33198673&lt;/D&gt;&lt;D xsi:type="xsd:double"&gt;0.22068276&lt;/D&gt;&lt;D xsi:type="xsd:double"&gt;0.5183201&lt;/D&gt;&lt;D xsi:type="xsd:double"&gt;0.110482775&lt;/D&gt;&lt;D xsi:type="xsd:double"&gt;0.09294506&lt;/D&gt;&lt;D xsi:type="xsd:double"&gt;0.12530355&lt;/D&gt;&lt;D xsi:type="xsd:double"&gt;0.41222456&lt;/D&gt;&lt;D xsi:type="xsd:double"&gt;0.42036217&lt;/D&gt;&lt;D xsi:type="xsd:double"&gt;0.2000265&lt;/D&gt;&lt;D xsi:type="xsd:double"&gt;0.24434972&lt;/D&gt;&lt;D xsi:type="xsd:double"&gt;0.16238824&lt;/D&gt;&lt;D xsi:type="xsd:double"&gt;0.2740753&lt;/D&gt;&lt;D xsi:type="xsd:double"&gt;0.28872693&lt;/D&gt;&lt;D xsi:type="xsd:double"&gt;0.13911241&lt;/D&gt;&lt;D xsi:type="xsd:double"&gt;0.61443573&lt;/D&gt;&lt;D xsi:type="xsd:double"&gt;0.4954197&lt;/D&gt;&lt;D xsi:type="xsd:double"&gt;0.30816174&lt;/D&gt;&lt;D xsi:type="xsd:double"&gt;0.5206565&lt;/D&gt;&lt;D xsi:type="xsd:double"&gt;0.36164185&lt;/D&gt;&lt;D xsi:type="xsd:double"&gt;0.13901925&lt;/D&gt;&lt;D xsi:type="xsd:double"&gt;0.2913979&lt;/D&gt;&lt;D xsi:type="xsd:double"&gt;0.117634356&lt;/D&gt;&lt;D xsi:type="xsd:double"&gt;0.26557684&lt;/D&gt;&lt;D xsi:type="xsd:double"&gt;0.3576253&lt;/D&gt;&lt;D xsi:type="xsd:double"&gt;0.6262405&lt;/D&gt;&lt;D xsi:type="xsd:double"&gt;0.1702902&lt;/D&gt;&lt;D xsi:type="xsd:double"&gt;0.26158947&lt;/D&gt;&lt;D xsi:type="xsd:double"&gt;0.22947456&lt;/D&gt;&lt;D xsi:type="xsd:double"&gt;0.3916449&lt;/D&gt;&lt;D xsi:type="xsd:double"&gt;0.32804742&lt;/D&gt;&lt;D xsi:type="xsd:double"&gt;0.12648934&lt;/D&gt;&lt;D xsi:type="xsd:double"&gt;0.22450599&lt;/D&gt;&lt;D xsi:type="xsd:double"&gt;0.1783574&lt;/D&gt;&lt;D xsi:type="xsd:double"&gt;0.15218848&lt;/D&gt;&lt;D xsi:type="xsd:double"&gt;0.50157684&lt;/D&gt;&lt;D xsi:type="xsd:double"&gt;1&lt;/D&gt;&lt;D xsi:type="xsd:double"&gt;0.17970861&lt;/D&gt;&lt;D xsi:type="xsd:double"&gt;0.27321023&lt;/D&gt;&lt;D xsi:type="xsd:double"&gt;0.32778388&lt;/D&gt;&lt;D xsi:type="xsd:double"&gt;0.29809958&lt;/D&gt;&lt;D xsi:type="xsd:double"&gt;0.4031461&lt;/D&gt;&lt;D xsi:type="xsd:double"&gt;0.14631344&lt;/D&gt;&lt;D xsi:type="xsd:double"&gt;0.38016596&lt;/D&gt;&lt;D xsi:type="xsd:double"&gt;0.37603727&lt;/D&gt;&lt;D xsi:type="xsd:double"&gt;0.35018376&lt;/D&gt;&lt;D xsi:type="xsd:double"&gt;0.116982095&lt;/D&gt;&lt;D xsi:type="xsd:double"&gt;0.18306157&lt;/D&gt;&lt;D xsi:type="xsd:double"&gt;0.0520545&lt;/D&gt;&lt;D xsi:type="xsd:double"&gt;0.14245532&lt;/D&gt;&lt;D xsi:type="xsd:double"&gt;0.12817603&lt;/D&gt;&lt;D xsi:type="xsd:double"&gt;0.0745947&lt;/D&gt;&lt;D xsi:type="xsd:double"&gt;0.3805234&lt;/D&gt;&lt;D xsi:type="xsd:double"&gt;0.2851724&lt;/D&gt;&lt;D xsi:type="xsd:double"&gt;0.11295729&lt;/D&gt;&lt;D xsi:type="xsd:double"&gt;0.24379359&lt;/D&gt;&lt;D xsi:type="xsd:double"&gt;0.22644&lt;/D&gt;&lt;D xsi:type="xsd:double"&gt;0.086407065&lt;/D&gt;&lt;D xsi:type="xsd:double"&gt;0.2161317&lt;/D&gt;&lt;D xsi:type="xsd:double"&gt;0.11234039&lt;/D&gt;&lt;D xsi:type="xsd:double"&gt;0.19858941&lt;/D&gt;&lt;D xsi:type="xsd:double"&gt;0.10971255&lt;/D&gt;&lt;D xsi:type="xsd:double"&gt;0.37212124&lt;/D&gt;&lt;D xsi:type="xsd:double"&gt;0.112034306&lt;/D&gt;&lt;D xsi:type="xsd:double"&gt;0.10828794&lt;/D&gt;&lt;D xsi:type="xsd:double"&gt;0.19156912&lt;/D&gt;&lt;D xsi:type="xsd:double"&gt;0.2771608&lt;/D&gt;&lt;D xsi:type="xsd:double"&gt;0.2871537&lt;/D&gt;&lt;D xsi:type="xsd:double"&gt;0.21861146&lt;/D&gt;&lt;D xsi:type="xsd:double"&gt;0.108912565&lt;/D&gt;&lt;D xsi:type="xsd:double"&gt;0.12764494&lt;/D&gt;&lt;D xsi:type="xsd:double"&gt;0.39283246&lt;/D&gt;&lt;D xsi:type="xsd:double"&gt;0.3095879&lt;/D&gt;&lt;D xsi:type="xsd:double"&gt;0.10563913&lt;/D&gt;&lt;D xsi:type="xsd:double"&gt;0.40558714&lt;/D&gt;&lt;D xsi:type="xsd:double"&gt;0.33661464&lt;/D&gt;&lt;D xsi:type="xsd:double"&gt;0.19430612&lt;/D&gt;&lt;D xsi:type="xsd:double"&gt;0.32963145&lt;/D&gt;&lt;D xsi:type="xsd:double"&gt;0.22059269&lt;/D&gt;&lt;D xsi:type="xsd:double"&gt;0.15196058&lt;/D&gt;&lt;D xsi:type="xsd:double"&gt;0.23455875&lt;/D&gt;&lt;D xsi:type="xsd:double"&gt;0.105778165&lt;/D&gt;&lt;D xsi:type="xsd:double"&gt;0.2370016&lt;/D&gt;&lt;D xsi:type="xsd:double"&gt;0.34853014&lt;/D&gt;&lt;D xsi:type="xsd:double"&gt;0.40551424&lt;/D&gt;&lt;D xsi:type="xsd:double"&gt;0.13743018&lt;/D&gt;&lt;D xsi:type="xsd:double"&gt;0.17352803&lt;/D&gt;&lt;D xsi:type="xsd:double"&gt;0.14339519&lt;/D&gt;&lt;D xsi:type="xsd:double"&gt;0.045512207&lt;/D&gt;&lt;D xsi:type="xsd:double"&gt;0.003977246&lt;/D&gt;&lt;D xsi:type="xsd:double"&gt;0.060530566&lt;/D&gt;&lt;D xsi:type="xsd:double"&gt;0.096634105&lt;/D&gt;&lt;D xsi:type="xsd:double"&gt;0.050155975&lt;/D&gt;&lt;D xsi:type="xsd:double"&gt;-0.033161763&lt;/D&gt;&lt;D xsi:type="xsd:double"&gt;0.046026655&lt;/D&gt;&lt;D xsi:type="xsd:double"&gt;0.17970861&lt;/D&gt;&lt;D xsi:type="xsd:double"&gt;1&lt;/D&gt;&lt;D xsi:type="xsd:double"&gt;0.097486645&lt;/D&gt;&lt;D xsi:type="xsd:double"&gt;0.01622331&lt;/D&gt;&lt;D xsi:type="xsd:double"&gt;0.019878205&lt;/D&gt;&lt;D xsi:type="xsd:double"&gt;0.047989544&lt;/D&gt;&lt;D xsi:type="xsd:double"&gt;0.011468804&lt;/D&gt;&lt;D xsi:type="xsd:double"&gt;0.03906739&lt;/D&gt;&lt;D xsi:type="xsd:double"&gt;0.04311741&lt;/D&gt;&lt;D xsi:type="xsd:double"&gt;0.24124144&lt;/D&gt;&lt;D xsi:type="xsd:double"&gt;-0.025161894&lt;/D&gt;&lt;D xsi:type="xsd:double"&gt;0.15081222&lt;/D&gt;&lt;D xsi:type="xsd:double"&gt;0.009638191&lt;/D&gt;&lt;D xsi:type="xsd:double"&gt;0.11235003&lt;/D&gt;&lt;D xsi:type="xsd:double"&gt;0.082754225&lt;/D&gt;&lt;D xsi:type="xsd:double"&gt;-0.013518405&lt;/D&gt;&lt;D xsi:type="xsd:double"&gt;0.0625</t>
        </r>
      </text>
    </comment>
    <comment ref="A6" authorId="0" shapeId="0" xr:uid="{386BF932-F73A-4480-922A-E60989BE561E}">
      <text>
        <r>
          <rPr>
            <b/>
            <sz val="9"/>
            <color indexed="81"/>
            <rFont val="Tahoma"/>
            <charset val="1"/>
          </rPr>
          <t>2576&lt;/D&gt;&lt;D xsi:type="xsd:double"&gt;0.0616014&lt;/D&gt;&lt;D xsi:type="xsd:double"&gt;0.2344819&lt;/D&gt;&lt;D xsi:type="xsd:double"&gt;0.16839682&lt;/D&gt;&lt;D xsi:type="xsd:double"&gt;0.18141277&lt;/D&gt;&lt;D xsi:type="xsd:double"&gt;0.1073744&lt;/D&gt;&lt;D xsi:type="xsd:double"&gt;0.20463815&lt;/D&gt;&lt;D xsi:type="xsd:double"&gt;0.013564673&lt;/D&gt;&lt;D xsi:type="xsd:double"&gt;0.20788386&lt;/D&gt;&lt;D xsi:type="xsd:double"&gt;0.21476322&lt;/D&gt;&lt;D xsi:type="xsd:double"&gt;0.05825427&lt;/D&gt;&lt;D xsi:type="xsd:double"&gt;0.007889109&lt;/D&gt;&lt;D xsi:type="xsd:double"&gt;0.029668061&lt;/D&gt;&lt;D xsi:type="xsd:double"&gt;0.43334287&lt;/D&gt;&lt;D xsi:type="xsd:double"&gt;0.04864335&lt;/D&gt;&lt;D xsi:type="xsd:double"&gt;0.0610333&lt;/D&gt;&lt;D xsi:type="xsd:double"&gt;0.0088093355&lt;/D&gt;&lt;D xsi:type="xsd:double"&gt;0.16404073&lt;/D&gt;&lt;D xsi:type="xsd:double"&gt;-0.046675574&lt;/D&gt;&lt;D xsi:type="xsd:double"&gt;0.22779897&lt;/D&gt;&lt;D xsi:type="xsd:double"&gt;0.050166782&lt;/D&gt;&lt;D xsi:type="xsd:double"&gt;0.005195823&lt;/D&gt;&lt;D xsi:type="xsd:double"&gt;0.022300402&lt;/D&gt;&lt;D xsi:type="xsd:double"&gt;0.06640819&lt;/D&gt;&lt;D xsi:type="xsd:double"&gt;0.22393566&lt;/D&gt;&lt;D xsi:type="xsd:double"&gt;0.047395613&lt;/D&gt;&lt;D xsi:type="xsd:double"&gt;0.08881844&lt;/D&gt;&lt;D xsi:type="xsd:double"&gt;0.06657146&lt;/D&gt;&lt;D xsi:type="xsd:double"&gt;0.026704367&lt;/D&gt;&lt;D xsi:type="xsd:double"&gt;0.23524706&lt;/D&gt;&lt;D xsi:type="xsd:double"&gt;0.2707928&lt;/D&gt;&lt;D xsi:type="xsd:double"&gt;0.12812741&lt;/D&gt;&lt;D xsi:type="xsd:double"&gt;0.08409664&lt;/D&gt;&lt;D xsi:type="xsd:double"&gt;0.21326135&lt;/D&gt;&lt;D xsi:type="xsd:double"&gt;0.2557498&lt;/D&gt;&lt;D xsi:type="xsd:double"&gt;0.17553252&lt;/D&gt;&lt;D xsi:type="xsd:double"&gt;0.3266457&lt;/D&gt;&lt;D xsi:type="xsd:double"&gt;0.26483834&lt;/D&gt;&lt;D xsi:type="xsd:double"&gt;0.09905089&lt;/D&gt;&lt;D xsi:type="xsd:double"&gt;0.16366695&lt;/D&gt;&lt;D xsi:type="xsd:double"&gt;0.08292831&lt;/D&gt;&lt;D xsi:type="xsd:double"&gt;0.076805614&lt;/D&gt;&lt;D xsi:type="xsd:double"&gt;0.32257318&lt;/D&gt;&lt;D xsi:type="xsd:double"&gt;0.27321023&lt;/D&gt;&lt;D xsi:type="xsd:double"&gt;0.097486645&lt;/D&gt;&lt;D xsi:type="xsd:double"&gt;1&lt;/D&gt;&lt;D xsi:type="xsd:double"&gt;0.28521088&lt;/D&gt;&lt;D xsi:type="xsd:double"&gt;0.26148474&lt;/D&gt;&lt;D xsi:type="xsd:double"&gt;0.31309775&lt;/D&gt;&lt;D xsi:type="xsd:double"&gt;0.17426421&lt;/D&gt;&lt;D xsi:type="xsd:double"&gt;0.36636797&lt;/D&gt;&lt;D xsi:type="xsd:double"&gt;0.34775424&lt;/D&gt;&lt;D xsi:type="xsd:double"&gt;0.26558545&lt;/D&gt;&lt;D xsi:type="xsd:double"&gt;0.09354679&lt;/D&gt;&lt;D xsi:type="xsd:double"&gt;0.13503575&lt;/D&gt;&lt;D xsi:type="xsd:double"&gt;0.12392105&lt;/D&gt;&lt;D xsi:type="xsd:double"&gt;0.09159202&lt;/D&gt;&lt;D xsi:type="xsd:double"&gt;0.096063174&lt;/D&gt;&lt;D xsi:type="xsd:double"&gt;0.1396738&lt;/D&gt;&lt;D xsi:type="xsd:double"&gt;0.255063&lt;/D&gt;&lt;D xsi:type="xsd:double"&gt;0.23886731&lt;/D&gt;&lt;D xsi:type="xsd:double"&gt;0.12269262&lt;/D&gt;&lt;D xsi:type="xsd:double"&gt;0.17925069&lt;/D&gt;&lt;D xsi:type="xsd:double"&gt;0.15181078&lt;/D&gt;&lt;D xsi:type="xsd:double"&gt;0.08126445&lt;/D&gt;&lt;D xsi:type="xsd:double"&gt;0.1919496&lt;/D&gt;&lt;D xsi:type="xsd:double"&gt;0.09402683&lt;/D&gt;&lt;D xsi:type="xsd:double"&gt;0.15499835&lt;/D&gt;&lt;D xsi:type="xsd:double"&gt;0.18644848&lt;/D&gt;&lt;D xsi:type="xsd:double"&gt;0.40697232&lt;/D&gt;&lt;D xsi:type="xsd:double"&gt;0.111709185&lt;/D&gt;&lt;D xsi:type="xsd:double"&gt;0.10762499&lt;/D&gt;&lt;D xsi:type="xsd:double"&gt;0.09608698&lt;/D&gt;&lt;D xsi:type="xsd:double"&gt;0.1919638&lt;/D&gt;&lt;D xsi:type="xsd:double"&gt;0.29833162&lt;/D&gt;&lt;D xsi:type="xsd:double"&gt;0.13282666&lt;/D&gt;&lt;D xsi:type="xsd:double"&gt;0.13052484&lt;/D&gt;&lt;D xsi:type="xsd:double"&gt;0.16880907&lt;/D&gt;&lt;D xsi:type="xsd:double"&gt;0.20029984&lt;/D&gt;&lt;D xsi:type="xsd:double"&gt;0.2679534&lt;/D&gt;&lt;D xsi:type="xsd:double"&gt;0.14833887&lt;/D&gt;&lt;D xsi:type="xsd:double"&gt;0.34899965&lt;/D&gt;&lt;D xsi:type="xsd:double"&gt;0.32249165&lt;/D&gt;&lt;D xsi:type="xsd:double"&gt;0.1407889&lt;/D&gt;&lt;D xsi:type="xsd:double"&gt;0.26642206&lt;/D&gt;&lt;D xsi:type="xsd:double"&gt;0.1921826&lt;/D&gt;&lt;D xsi:type="xsd:double"&gt;0.1622779&lt;/D&gt;&lt;D xsi:type="xsd:double"&gt;0.17713894&lt;/D&gt;&lt;D xsi:type="xsd:double"&gt;0.20932731&lt;/D&gt;&lt;D xsi:type="xsd:double"&gt;0.16019903&lt;/D&gt;&lt;D xsi:type="xsd:double"&gt;0.5388105&lt;/D&gt;&lt;D xsi:type="xsd:double"&gt;0.33944756&lt;/D&gt;&lt;D xsi:type="xsd:double"&gt;0.13867539&lt;/D&gt;&lt;D xsi:type="xsd:double"&gt;0.18218865&lt;/D&gt;&lt;D xsi:type="xsd:double"&gt;0.14585213&lt;/D&gt;&lt;D xsi:type="xsd:double"&gt;0.43294632&lt;/D&gt;&lt;D xsi:type="xsd:double"&gt;0.4003947&lt;/D&gt;&lt;D xsi:type="xsd:double"&gt;0.16386203&lt;/D&gt;&lt;D xsi:type="xsd:double"&gt;0.25423726&lt;/D&gt;&lt;D xsi:type="xsd:double"&gt;0.19378798&lt;/D&gt;&lt;D xsi:type="xsd:double"&gt;0.21377215&lt;/D&gt;&lt;D xsi:type="xsd:double"&gt;0.47170675&lt;/D&gt;&lt;D xsi:type="xsd:double"&gt;0.32778388&lt;/D&gt;&lt;D xsi:type="xsd:double"&gt;0.01622331&lt;/D&gt;&lt;D xsi:type="xsd:double"&gt;0.28521088&lt;/D&gt;&lt;D xsi:type="xsd:double"&gt;1&lt;/D&gt;&lt;D xsi:type="xsd:double"&gt;0.23582321&lt;/D&gt;&lt;D xsi:type="xsd:double"&gt;0.4181015&lt;/D&gt;&lt;D xsi:type="xsd:double"&gt;0.14484985&lt;/D&gt;&lt;D xsi:type="xsd:double"&gt;0.46616992&lt;/D&gt;&lt;D xsi:type="xsd:double"&gt;0.37274373&lt;/D&gt;&lt;D xsi:type="xsd:double"&gt;0.2201009&lt;/D&gt;&lt;D xsi:type="xsd:double"&gt;0.076597445&lt;/D&gt;&lt;D xsi:type="xsd:double"&gt;0.13717712&lt;/D&gt;&lt;D xsi:type="xsd:double"&gt;0.10975982&lt;/D&gt;&lt;D xsi:type="xsd:double"&gt;0.18849632&lt;/D&gt;&lt;D xsi:type="xsd:double"&gt;0.095191814&lt;/D&gt;&lt;D xsi:type="xsd:double"&gt;0.11580456&lt;/D&gt;&lt;D xsi:type="xsd:double"&gt;0.6256396&lt;/D&gt;&lt;D xsi:type="xsd:double"&gt;0.19669776&lt;/D&gt;&lt;D xsi:type="xsd:double"&gt;0.036212742&lt;/D&gt;&lt;D xsi:type="xsd:double"&gt;0.2563553&lt;/D&gt;&lt;D xsi:type="xsd:double"&gt;0.220155&lt;/D&gt;&lt;D xsi:type="xsd:double"&gt;0.1826831&lt;/D&gt;&lt;D xsi:type="xsd:double"&gt;0.23934513&lt;/D&gt;&lt;D xsi:type="xsd:double"&gt;0.061221194&lt;/D&gt;&lt;D xsi:type="xsd:double"&gt;0.21409726&lt;/D&gt;&lt;D xsi:type="xsd:double"&gt;0.13434663&lt;/D&gt;&lt;D xsi:type="xsd:double"&gt;0.39552015&lt;/D&gt;&lt;D xsi:type="xsd:double"&gt;0.11131076&lt;/D&gt;&lt;D xsi:type="xsd:double"&gt;0.066500075&lt;/D&gt;&lt;D xsi:type="xsd:double"&gt;0.024806133&lt;/D&gt;&lt;D xsi:type="xsd:double"&gt;0.37030548&lt;/D&gt;&lt;D xsi:type="xsd:double"&gt;0.30927646&lt;/D&gt;&lt;D xsi:type="xsd:double"&gt;0.121679604&lt;/D&gt;&lt;D xsi:type="xsd:double"&gt;0.2150763&lt;/D&gt;&lt;D xsi:type="xsd:double"&gt;0.1292793&lt;/D&gt;&lt;D xsi:type="xsd:double"&gt;0.2152591&lt;/D&gt;&lt;D xsi:type="xsd:double"&gt;0.20312512&lt;/D&gt;&lt;D xsi:type="xsd:double"&gt;0.15040717&lt;/D&gt;&lt;D xsi:type="xsd:double"&gt;0.4006577&lt;/D&gt;&lt;D xsi:type="xsd:double"&gt;0.40342185&lt;/D&gt;&lt;D xsi:type="xsd:double"&gt;0.21381055&lt;/D&gt;&lt;D xsi:type="xsd:double"&gt;0.55656016&lt;/D&gt;&lt;D xsi:type="xsd:double"&gt;0.21651211&lt;/D&gt;&lt;D xsi:type="xsd:double"&gt;0.118296556&lt;/D&gt;&lt;D xsi:type="xsd:double"&gt;0.2413409&lt;/D&gt;&lt;D xsi:type="xsd:double"&gt;0.03733248&lt;/D&gt;&lt;D xsi:type="xsd:double"&gt;0.17562069&lt;/D&gt;&lt;D xsi:type="xsd:double"&gt;0.2642412&lt;/D&gt;&lt;D xsi:type="xsd:double"&gt;0.40338552&lt;/D&gt;&lt;D xsi:type="xsd:double"&gt;0.12999837&lt;/D&gt;&lt;D xsi:type="xsd:double"&gt;0.16020198&lt;/D&gt;&lt;D xsi:type="xsd:double"&gt;0.13960347&lt;/D&gt;&lt;D xsi:type="xsd:double"&gt;0.29648682&lt;/D&gt;&lt;D xsi:type="xsd:double"&gt;0.2219083&lt;/D&gt;&lt;D xsi:type="xsd:double"&gt;0.04913928&lt;/D&gt;&lt;D xsi:type="xsd:double"&gt;0.1498384&lt;/D&gt;&lt;D xsi:type="xsd:double"&gt;0.036464725&lt;/D&gt;&lt;D xsi:type="xsd:double"&gt;0.023438502&lt;/D&gt;&lt;D xsi:type="xsd:double"&gt;0.34310368&lt;/D&gt;&lt;D xsi:type="xsd:double"&gt;0.29809958&lt;/D&gt;&lt;D xsi:type="xsd:double"&gt;0.019878205&lt;/D&gt;&lt;D xsi:type="xsd:double"&gt;0.26148474&lt;/D&gt;&lt;D xsi:type="xsd:double"&gt;0.23582321&lt;/D&gt;&lt;D xsi:type="xsd:double"&gt;1&lt;/D&gt;&lt;D xsi:type="xsd:double"&gt;0.31058118&lt;/D&gt;&lt;D xsi:type="xsd:double"&gt;0.063583486&lt;/D&gt;&lt;D xsi:type="xsd:double"&gt;0.29691607&lt;/D&gt;&lt;D xsi:type="xsd:double"&gt;0.31378946&lt;/D&gt;&lt;D xsi:type="xsd:double"&gt;0.17484461&lt;/D&gt;&lt;D xsi:type="xsd:double"&gt;0.07735021&lt;/D&gt;&lt;D xsi:type="xsd:double"&gt;0.09928699&lt;/D&gt;&lt;D xsi:type="xsd:double"&gt;0.05076869&lt;/D&gt;&lt;D xsi:type="xsd:double"&gt;0.079658955&lt;/D&gt;&lt;D xsi:type="xsd:double"&gt;0.031134954&lt;/D&gt;&lt;D xsi:type="xsd:double"&gt;0.10325086&lt;/D&gt;&lt;D xsi:type="xsd:double"&gt;0.26606652&lt;/D&gt;&lt;D xsi:type="xsd:double"&gt;0.46898967&lt;/D&gt;&lt;D xsi:type="xsd:double"&gt;0.11170633&lt;/D&gt;&lt;D xsi:type="xsd:double"&gt;0.16430573&lt;/D&gt;&lt;D xsi:type="xsd:double"&gt;0.16612798&lt;/D&gt;&lt;D xsi:type="xsd:double"&gt;0.08906161&lt;/D&gt;&lt;D xsi:type="xsd:double"&gt;0.15114455&lt;/D&gt;&lt;D xsi:type="xsd:double"&gt;0.03355292&lt;/D&gt;&lt;D xsi:type="xsd:double"&gt;0.12551257&lt;/D&gt;&lt;D xsi:type="xsd:double"&gt;0.16677205&lt;/D&gt;&lt;D xsi:type="xsd:double"&gt;0.26248518&lt;/D&gt;&lt;D xsi:type="xsd:double"&gt;0.0601454&lt;/D&gt;&lt;D xsi:type="xsd:double"&gt;0.0410142&lt;/D&gt;&lt;D xsi:type="xsd:double"&gt;0.09473575&lt;/D&gt;&lt;D xsi:type="xsd:double"&gt;0.20357111&lt;/D&gt;&lt;D xsi:type="xsd:double"&gt;0.22343177&lt;/D&gt;&lt;D xsi:type="xsd:double"&gt;0.069757245&lt;/D&gt;&lt;D xsi:type="xsd:double"&gt;0.07923016&lt;/D&gt;&lt;D xsi:type="xsd:double"&gt;0.08444558&lt;/D&gt;&lt;D xsi:type="xsd:double"&gt;0.2025082&lt;/D&gt;&lt;D xsi:type="xsd:double"&gt;0.23004958&lt;/D&gt;&lt;D xsi:type="xsd:double"&gt;0.12330624&lt;/D&gt;&lt;D xsi:type="xsd:double"&gt;0.35326985&lt;/D&gt;&lt;D xsi:type="xsd:double"&gt;0.23584695&lt;/D&gt;&lt;D xsi:type="xsd:double"&gt;0.109791264&lt;/D&gt;&lt;D xsi:type="xsd:double"&gt;0.2188705&lt;/D&gt;&lt;D xsi:type="xsd:double"&gt;0.18843508&lt;/D&gt;&lt;D xsi:type="xsd:double"&gt;0.08995195&lt;/D&gt;&lt;D xsi:type="xsd:double"&gt;0.14838673&lt;/D&gt;&lt;D xsi:type="xsd:double"&gt;0.11391561&lt;/D&gt;&lt;D xsi:type="xsd:double"&gt;0.12679608&lt;/D&gt;&lt;D xsi:type="xsd:double"&gt;0.27987033&lt;/D&gt;&lt;D xsi:type="xsd:double"&gt;0.26799858&lt;/D&gt;&lt;D xsi:type="xsd:double"&gt;0.101600595&lt;/D&gt;&lt;D xsi:type="xsd:double"&gt;0.11065006&lt;/D&gt;&lt;D xsi:type="xsd:double"&gt;0.10826337&lt;/D&gt;&lt;D xsi:type="xsd:double"&gt;0.51597923&lt;/D&gt;&lt;D xsi:type="xsd:double"&gt;0.38348606&lt;/D&gt;&lt;D xsi:type="xsd:double"&gt;0.06697992&lt;/D&gt;&lt;D xsi:type="xsd:double"&gt;0.4171376&lt;/D&gt;&lt;D xsi:type="xsd:double"&gt;0.19803022&lt;/D&gt;&lt;D xsi:type="xsd:double"&gt;0.15538396&lt;/D&gt;&lt;D xsi:type="xsd:double"&gt;0.6498609&lt;/D&gt;&lt;D xsi:type="xsd:double"&gt;0.4031461&lt;/D&gt;&lt;D xsi:type="xsd:double"&gt;0.047989544&lt;/D&gt;&lt;D xsi:type="xsd:double"&gt;0.31309775&lt;/D&gt;&lt;D xsi:type="xsd:double"&gt;0.4181015&lt;/D&gt;&lt;D xsi:type="xsd:double"&gt;0.31058118&lt;/D&gt;&lt;D xsi:type="xsd:double"&gt;1&lt;/D&gt;&lt;D xsi:type="xsd:double"&gt;0.116710454&lt;/D&gt;&lt;D xsi:type="xsd:double"&gt;0.48347074&lt;/D&gt;&lt;D xsi:type="xsd:double"&gt;0.4366321&lt;/D&gt;&lt;D xsi:type="xsd:double"&gt;0.20008494&lt;/D&gt;&lt;D xsi:type="xsd:double"&gt;0.07224051&lt;/D&gt;&lt;D xsi:type="xsd:double"&gt;0.22913106&lt;/D&gt;&lt;D xsi:type="xsd:double"&gt;0.12442811&lt;/D&gt;&lt;D xsi:type="xsd:double"&gt;0.23016976&lt;/D&gt;&lt;D xsi:type="xsd:double"&gt;0.16326527&lt;/D&gt;&lt;D xsi:type="xsd:double"&gt;0.09527039&lt;/D&gt;&lt;D xsi:type="xsd:double"&gt;0.4847455&lt;/D&gt;&lt;D xsi:type="xsd:double"&gt;0.24180132&lt;/D&gt;&lt;D xsi:type="xsd:double"&gt;0.054988883&lt;/D&gt;&lt;D xsi:type="xsd:double"&gt;0.44105703&lt;/D&gt;&lt;D xsi:type="xsd:double"&gt;0.30402818&lt;/D&gt;&lt;D xsi:type="xsd:double"&gt;0.20812005&lt;/D&gt;&lt;D xsi:type="xsd:double"&gt;0.3410932&lt;/D&gt;&lt;D xsi:type="xsd:double"&gt;0.08344504&lt;/D&gt;&lt;D xsi:type="xsd:double"&gt;0.3331386&lt;/D&gt;&lt;D xsi:type="xsd:double"&gt;0.2003357&lt;/D&gt;&lt;D xsi:type="xsd:double"&gt;0.49137184&lt;/D&gt;&lt;D xsi:type="xsd:double"&gt;0.10381844&lt;/D&gt;&lt;D xsi:type="xsd:double"&gt;0.05432115&lt;/D&gt;&lt;D xsi:type="xsd:double"&gt;0.08548139&lt;/D&gt;&lt;D xsi:type="xsd:double"&gt;0.38078496&lt;/D&gt;&lt;D xsi:type="xsd:double"&gt;0.33105004&lt;/D&gt;&lt;D xsi:type="xsd:double"&gt;0.19569056&lt;/D&gt;&lt;D xsi:type="xsd:double"&gt;0.22152151&lt;/D&gt;&lt;D xsi:type="xsd:double"&gt;0.16376218&lt;/D&gt;&lt;D xsi:type="xsd:double"&gt;0.21122454&lt;/D&gt;&lt;D xsi:type="xsd:double"&gt;0.26820096&lt;/D&gt;&lt;D xsi:type="xsd:double"&gt;0.12838867&lt;/D&gt;&lt;D xsi:type="xsd:double"&gt;0.5640279&lt;/D&gt;&lt;D xsi:type="xsd:double"&gt;0.4372496&lt;/D&gt;&lt;D xsi:type="xsd:double"&gt;0.2740215&lt;/D&gt;&lt;D xsi:type="xsd:double"&gt;0.4827097&lt;/D&gt;&lt;D xsi:type="xsd:double"&gt;0.29230016&lt;/D&gt;&lt;D xsi:type="xsd:double"&gt;0.13997997&lt;/D&gt;&lt;D xsi:type="xsd:double"&gt;0.22272357&lt;/D&gt;&lt;D xsi:type="xsd:double"&gt;0.08043909&lt;/D&gt;&lt;D xsi:type="xsd:double"&gt;0.2548705&lt;/D&gt;&lt;D xsi:type="xsd:double"&gt;0.30863494&lt;/D&gt;&lt;D xsi:type="xsd:double"&gt;0.6315838&lt;/D&gt;&lt;D xsi:type="xsd:double"&gt;0.13432454&lt;/D&gt;&lt;D xsi:type="xsd:double"&gt;0.23396072&lt;/D&gt;&lt;D xsi:type="xsd:double"&gt;0.21090992&lt;/D&gt;&lt;D xsi:type="xsd:double"&gt;0.17502515&lt;/D&gt;&lt;D xsi:type="xsd:double"&gt;0.14241657&lt;/D&gt;&lt;D xsi:type="xsd:double"&gt;0.10347692&lt;/D&gt;&lt;D xsi:type="xsd:double"&gt;0.054068793&lt;/D&gt;&lt;D xsi:type="xsd:double"&gt;0.043601554&lt;/D&gt;&lt;D xsi:type="xsd:double"&gt;0.17138945&lt;/D&gt;&lt;D xsi:type="xsd:double"&gt;0.16760652&lt;/D&gt;&lt;D xsi:type="xsd:double"&gt;0.14631344&lt;/D&gt;&lt;D xsi:type="xsd:double"&gt;0.011468804&lt;/D&gt;&lt;D xsi:type="xsd:double"&gt;0.17426421&lt;/D&gt;&lt;D xsi:type="xsd:double"&gt;0.14484985&lt;/D&gt;&lt;D xsi:type="xsd:double"&gt;0.063583486&lt;/D&gt;&lt;D xsi:type="xsd:double"&gt;0.116710454&lt;/D&gt;&lt;D xsi:type="xsd:double"&gt;1&lt;/D&gt;&lt;D xsi:type="xsd:double"&gt;0.18389936&lt;/D&gt;&lt;D xsi:type="xsd:double"&gt;0.15274647&lt;/D&gt;&lt;D xsi:type="xsd:double"&gt;0.1468055&lt;/D&gt;&lt;D xsi:type="xsd:double"&gt;0.26870573&lt;/D&gt;&lt;D xsi:type="xsd:double"&gt;0.052873645&lt;/D&gt;&lt;D xsi:type="xsd:double"&gt;0.19752587&lt;/D&gt;&lt;D xsi:type="xsd:double"&gt;-0.008533499&lt;/D&gt;&lt;D xsi:type="xsd:double"&gt;-0.009597961&lt;/D&gt;&lt;D xsi:type="xsd:double"&gt;0.18804522&lt;/D&gt;&lt;D xsi:type="xsd:double"&gt;0.13989455&lt;/D&gt;&lt;D xsi:type="xsd:double"&gt;0.11705237&lt;/D&gt;&lt;D xsi:type="xsd:double"&gt;0.058995754&lt;/D&gt;&lt;D xsi:type="xsd:double"&gt;0.03893702&lt;/D&gt;&lt;D xsi:type="xsd:double"&gt;0.0069621974&lt;/D&gt;&lt;D xsi:type="xsd:double"&gt;0.027344048&lt;/D&gt;&lt;D xsi:type="xsd:double"&gt;0.05379607&lt;/D&gt;&lt;D xsi:type="xsd:double"&gt;0.30702692&lt;/D&gt;&lt;D xsi:type="xsd:double"&gt;0.0605242&lt;/D&gt;&lt;D xsi:type="xsd:double"&gt;0.0426414&lt;/D&gt;&lt;D xsi:type="xsd:double"&gt;0.12640098&lt;/D&gt;&lt;D xsi:type="xsd:double"&gt;0.38480848&lt;/D&gt;&lt;D xsi:type="xsd:double"&gt;0.37526366&lt;/D&gt;&lt;D xsi:type="xsd:double"&gt;0.025283761&lt;/D&gt;&lt;D xsi:type="xsd:double"&gt;0.15754525&lt;/D&gt;&lt;D xsi:type="xsd:double"&gt;0.12683548&lt;/D&gt;&lt;D xsi:type="xsd:double"&gt;0.2972373&lt;/D&gt;&lt;D xsi:type="xsd:double"&gt;0.07358008&lt;/D&gt;&lt;D xsi:type="xsd:double"&gt;0.16601305&lt;/D&gt;&lt;D xsi:type="xsd:double"&gt;0.097464606&lt;/D&gt;&lt;D xsi:type="xsd:double"&gt;0.12775573&lt;/D&gt;&lt;D xsi:type="xsd:double"&gt;0.19487087&lt;/D&gt;&lt;D xsi:type="xsd:double"&gt;0.15233958&lt;/D&gt;&lt;D xsi:type="xsd:double"&gt;0.14290033&lt;/D&gt;&lt;D xsi:type="xsd:double"&gt;0.015531214&lt;/D&gt;&lt;D xsi:type="xsd:double"&gt;0.14235772&lt;/D&gt;&lt;D xsi:type="xsd:double"&gt;0.06622851&lt;/D&gt;&lt;D xsi:type="xsd:double"&gt;0.43034&lt;/D&gt;&lt;D xsi:type="xsd:double"&gt;0.11684156&lt;/D&gt;&lt;D xsi:type="xsd:double"&gt;0.026498657&lt;/D&gt;&lt;D xsi:type="xsd:double"&gt;0.00056893355&lt;/D&gt;&lt;D xsi:type="xsd:double"&gt;0.18581581&lt;/D&gt;&lt;D xsi:type="xsd:double"&gt;0.15229863&lt;/D&gt;&lt;D xsi:type="xsd:double"&gt;0.041690115&lt;/D&gt;&lt;D xsi:type="xsd:double"&gt;0.039329275&lt;/D&gt;&lt;D xsi:type="xsd:double"&gt;0.068738505&lt;/D&gt;&lt;D xsi:type="xsd:double"&gt;0.47705555&lt;/D&gt;&lt;D xsi:type="xsd:double"&gt;0.40760097&lt;/D&gt;&lt;D xsi:type="xsd:double"&gt;0.09018245&lt;/D&gt;&lt;D xsi:type="xsd:double"&gt;0.33327508&lt;/D&gt;&lt;D xsi:type="xsd:double"&gt;0.13431253&lt;/D&gt;&lt;D xsi:type="xsd:double"&gt;0.18730856&lt;/D&gt;&lt;D xsi:type="xsd:double"&gt;0.523005&lt;/D&gt;&lt;D xsi:type="xsd:double"&gt;0.38016596&lt;/D&gt;&lt;D xsi:type="xsd:double"&gt;0.03906739&lt;/D&gt;&lt;D xsi:type="xsd:double"&gt;0.36636797&lt;/D&gt;&lt;D xsi:type="xsd:double"&gt;0.46616992&lt;/D&gt;&lt;D xsi:type="xsd:double"&gt;0.29691607&lt;/D&gt;&lt;D xsi:type="xsd:double"&gt;0.48347074&lt;/D&gt;&lt;D xsi:type="xsd:double"&gt;0.18389936&lt;/D&gt;&lt;D xsi:type="xsd:double"&gt;1&lt;/D&gt;&lt;D xsi:type="xsd:double"&gt;0.4362768&lt;/D&gt;&lt;D xsi:type="xsd:double"&gt;0.27516997&lt;/D&gt;&lt;D xsi:type="xsd:double"&gt;0.108455464&lt;/D&gt;&lt;D xsi:type="xsd:double"&gt;0.22731288&lt;/D&gt;&lt;D xsi:type="xsd:double"&gt;0.11706742&lt;/D&gt;&lt;D xsi:type="xsd:double"&gt;0.22063513&lt;/D&gt;&lt;D xsi:type="xsd:double"&gt;0.1591178&lt;/D&gt;&lt;D xsi:type="xsd:double"&gt;0.14894313&lt;/D&gt;&lt;D xsi:type="xsd:double"&gt;0.45762885&lt;/D&gt;&lt;D xsi:type="xsd:double"&gt;0.27178732&lt;/D&gt;&lt;D xsi:type="xsd:double"&gt;0.073106356&lt;/D&gt;&lt;D xsi:type="xsd:double"&gt;0.33857784&lt;/D&gt;&lt;D xsi:type="xsd:double"&gt;0.3083304&lt;/D&gt;&lt;D xsi:type="xsd:double"&gt;0.2105397&lt;/D&gt;&lt;D xsi:type="xsd:double"&gt;0.3441946&lt;/D&gt;&lt;D xsi:type="xsd:double"&gt;0.10647436&lt;/D&gt;&lt;D xsi:type="xsd:double"&gt;0.29049096&lt;/D&gt;&lt;D xsi:type="xsd:double"&gt;0.20589966&lt;/D&gt;&lt;D xsi:type="xsd:double"&gt;0.49854836&lt;/D&gt;&lt;D xsi:type="xsd:double"&gt;0.12347774&lt;/D&gt;&lt;D xsi:type="xsd:double"&gt;0.09567576&lt;/D&gt;&lt;D xsi:type="xsd:double"&gt;0.1258521&lt;/D&gt;&lt;D xsi:type="xsd:double"&gt;0.4066668&lt;/D&gt;&lt;D xsi:type="xsd:double"&gt;0.34364292&lt;/D&gt;&lt;D xsi:type="xsd:double"&gt;0.19472516&lt;/D&gt;&lt;D xsi:type="xsd:double"&gt;0.24914658&lt;/D&gt;&lt;D xsi:type="xsd:double"&gt;0.1841743&lt;/D&gt;&lt;D xsi:type="xsd:double"&gt;0.22205701&lt;/D&gt;&lt;D xsi:type="xsd:double"&gt;0.23860087&lt;/D&gt;&lt;D xsi:type="xsd:double"&gt;0.17102055&lt;/D&gt;&lt;D xsi:type="xsd:double"&gt;0.49871153&lt;/D&gt;&lt;D xsi:type="xsd:double"&gt;0.44723776&lt;/D&gt;&lt;D xsi:type="xsd:double"&gt;0.25356165&lt;/D&gt;&lt;D xsi:type="xsd:double"&gt;0.45268938&lt;/D&gt;&lt;D xsi:type="xsd:double"&gt;0.27799326&lt;/D&gt;&lt;D xsi:type="xsd:double"&gt;0.13578808&lt;/D&gt;&lt;D xsi:type="xsd:double"&gt;0.23492771&lt;/D&gt;&lt;D xsi:type="xsd:double"&gt;0.14558843&lt;/D&gt;&lt;D xsi:type="xsd:double"&gt;0.23662041&lt;/D&gt;&lt;D xsi:type="xsd:double"&gt;0.35995936&lt;/D&gt;&lt;D xsi:type="xsd:double"&gt;0.44686198&lt;/D&gt;&lt;D xsi:type="xsd:double"&gt;0.13839488&lt;/D&gt;&lt;D xsi:type="xsd:double"&gt;0.21527608&lt;/D&gt;&lt;D xsi:type="xsd:double"&gt;0.23560493&lt;/D&gt;&lt;D xsi:type="xsd:double"&gt;0.41527575&lt;/D&gt;&lt;D xsi:type="xsd:double"&gt;0.5212918&lt;/D&gt;&lt;D xsi:type="xsd:double"&gt;0.11647656&lt;/D&gt;&lt;D xsi:type="xsd:double"&gt;0.22662239&lt;/D&gt;&lt;D xsi:type="xsd:double"&gt;0.14223558&lt;/D&gt;&lt;D xsi:type="xsd:double"&gt;0.13930942&lt;/D&gt;&lt;D xsi:type="xsd:double"&gt;0.5242007&lt;/D&gt;&lt;D xsi:type="xsd:double"&gt;0.37603727&lt;/D&gt;&lt;D xsi:type="xsd:double"&gt;0.04311741&lt;/D&gt;&lt;D xsi:type="xsd:double"&gt;0.34775424&lt;/D&gt;&lt;D xsi:type="xsd:double"&gt;0.37274373&lt;/D&gt;&lt;D xsi:type="xsd:double"&gt;0.31378946&lt;/D&gt;&lt;D xsi:type="xsd:double"&gt;0.4366321&lt;/D&gt;&lt;D xsi:type="xsd:double"&gt;0.15274647&lt;/D&gt;&lt;D xsi:type="xsd:double"&gt;0.4362768&lt;/D&gt;&lt;D xsi:type="xsd:double"&gt;1&lt;/D&gt;&lt;D xsi:type="xsd:double"&gt;0.26846611&lt;/D&gt;&lt;D xsi:type="xsd:double"&gt;0.06044856&lt;/D&gt;&lt;D xsi:type="xsd:double"&gt;0.48262694&lt;/D&gt;&lt;D xsi:type="xsd:double"&gt;0.09068593&lt;/D&gt;&lt;D xsi:type="xsd:double"&gt;0.21523716&lt;/D&gt;&lt;D xsi:type="xsd:double"&gt;0.10027186&lt;/D&gt;&lt;D xsi:type="xsd:double"&gt;0.14369519&lt;/D&gt;&lt;D xsi:type="xsd:double"&gt;0.3718783&lt;/D&gt;&lt;D xsi:type="xsd:double"&gt;0.20656657&lt;/D&gt;&lt;D xsi:type="xsd:double"&gt;0.08007849&lt;/D&gt;&lt;D xsi:type="xsd:double"&gt;0.2796866&lt;/D&gt;&lt;D xsi:type="xsd:double"&gt;0.38747352&lt;/D&gt;&lt;D xsi:type="xsd:double"&gt;0.17412965&lt;/D&gt;&lt;D xsi:type="xsd:double"&gt;0.27518234&lt;/D&gt;&lt;D xsi:type="xsd:double"&gt;0.07832818&lt;/D&gt;&lt;D xsi:type="xsd:double"&gt;0.20338549&lt;/D&gt;&lt;D xsi:type="xsd:double"&gt;0.20161387&lt;/D&gt;&lt;D xsi:type="xsd:double"&gt;0.47497505&lt;/D&gt;&lt;D xsi:type="xsd:double"&gt;0.11944839&lt;/D&gt;&lt;D xsi:type="xsd:double"&gt;0.05122216&lt;/D&gt;&lt;D xsi:type="xsd:double"&gt;0.08625954&lt;/D&gt;&lt;D xsi:type="xsd:double"&gt;0.27002826&lt;/D&gt;&lt;D xsi:type="xsd:double"&gt;0.75218767&lt;/D&gt;&lt;D xsi:type="xsd:double"&gt;0.1639766&lt;/D&gt;&lt;D xsi:type="xsd:double"&gt;0.14755505&lt;/D&gt;&lt;D xsi:type="xsd:double"&gt;0.17974474&lt;/D&gt;&lt;D xsi:type="xsd:double"&gt;0.26178026&lt;/D&gt;&lt;D xsi:type="xsd:double"&gt;0.2599194&lt;/D&gt;&lt;D xsi:type="xsd:double"&gt;0.13124874&lt;/D&gt;&lt;D xsi:type="xsd:double"&gt;0.5177691&lt;/D&gt;&lt;D xsi:type="xsd:double"&gt;0.48138264&lt;/D&gt;&lt;D xsi:type="xsd:double"&gt;0.17927766&lt;/D&gt;&lt;D xsi:type="xsd:double"&gt;0.35125417&lt;/D&gt;&lt;D xsi:type="xsd:double"&gt;0.34412855&lt;/D&gt;&lt;D xsi:type="xsd:double"&gt;0.11527468&lt;/D&gt;&lt;D xsi:type="xsd:double"&gt;0.33345708&lt;/D&gt;&lt;D xsi:type="xsd:double"&gt;0.13301206&lt;/D&gt;&lt;D xsi:type="xsd:double"&gt;0.17576396&lt;/D&gt;&lt;D xsi:type="xsd:double"&gt;0.37164956&lt;/D&gt;&lt;D xsi:type="xsd:double"&gt;0.45250982&lt;/D&gt;&lt;D xsi:type="xsd:double"&gt;0.13976662&lt;/D&gt;&lt;D xsi:type="xsd:double"&gt;0.19685794&lt;/D&gt;&lt;D xsi:type="xsd:double"&gt;0.19933152&lt;/D&gt;&lt;D xsi:type="xsd:double"&gt;0.25082976&lt;/D&gt;&lt;D xsi:type="xsd:double"&gt;0.22555007&lt;/D&gt;&lt;D xsi:type="xsd:double"&gt;0.07718932&lt;/D&gt;&lt;D xsi:type="xsd:double"&gt;0.06824344&lt;/D&gt;&lt;D xsi:type="xsd:double"&gt;0.08990513&lt;/D&gt;&lt;D xsi:type="xsd:double"&gt;0.06956214&lt;/D&gt;&lt;D xsi:type="xsd:double"&gt;0.2632854&lt;/D&gt;&lt;D xsi:type="xsd:double"&gt;0.35018376&lt;/D&gt;&lt;D xsi:type="xsd:double"&gt;0.24124144&lt;/D&gt;&lt;D xsi:type="xsd:double"&gt;0.26558545&lt;/D&gt;&lt;D xsi:type="xsd:double"&gt;0.2201009&lt;/D&gt;&lt;D xsi:type="xsd:double"&gt;0.17484461&lt;/D&gt;&lt;D xsi:type="xsd:double"&gt;0.20008494&lt;/D&gt;&lt;D xsi:type="xsd:double"&gt;0.1468055&lt;/D&gt;&lt;D xsi:type="xsd:double"&gt;0.27516997&lt;/D&gt;&lt;D xsi:type="xsd:double"&gt;0.26846611&lt;/D&gt;&lt;D xsi:type="xsd:double"&gt;1&lt;/D&gt;&lt;D xsi:type="xsd:double"&gt;0.10093196&lt;/D&gt;&lt;D xsi:type="xsd:double"&gt;0.043541204&lt;/D&gt;&lt;D xsi:type="xsd:double"&gt;-0.004903051&lt;/D&gt;&lt;D xsi:type="xsd:double"&gt;0.005036885&lt;/D&gt;&lt;D xsi:type="xsd:double"&gt;0.018068898&lt;/D&gt;&lt;D xsi:type="xsd:double"&gt;0.070669316&lt;/D&gt;&lt;D xsi:type="xsd:double"&gt;0.2255002&lt;/D&gt;&lt;D xsi:type="xsd:double"&gt;0.2623725&lt;/D&gt;&lt;D xsi:type="xsd:double"&gt;0.1569141&lt;/D&gt;&lt;D xsi:type="xsd:double"&gt;0.08967457&lt;/D&gt;&lt;D xsi:type="xsd:double"&gt;0.08940546&lt;/D&gt;&lt;D xsi:type="xsd:double"&gt;0.020867214&lt;/D&gt;&lt;D xsi:type="xsd:double"&gt;0.13040671&lt;/D&gt;&lt;D xsi:type="xsd:double"&gt;0.06578725&lt;/D&gt;&lt;D xsi:type="xsd:double"&gt;0.08521952&lt;/D&gt;&lt;D xsi:type="xsd:double"&gt;0.16772255&lt;/D&gt;&lt;D xsi:type="xsd:double"&gt;0.23667717&lt;/D&gt;&lt;D xsi:type="xsd:double"&gt;0.10644768&lt;/D&gt;&lt;D xsi:type="xsd:double"&gt;0.10195105&lt;/D&gt;&lt;D xsi:type="xsd:double"&gt;0.2444693&lt;/D&gt;&lt;D xsi:type="xsd:double"&gt;0.19305214&lt;/D&gt;&lt;D xsi:type="xsd:double"&gt;0.19716154&lt;/D&gt;&lt;D xsi:type="xsd:double"&gt;0.12027979&lt;/D&gt;&lt;D xsi:type="xsd:double"&gt;0.024431892&lt;/D&gt;&lt;D xsi:type="xsd:double"&gt;0.099813744&lt;/D&gt;&lt;D xsi:type="xsd:double"&gt;0.55201733&lt;/D&gt;&lt;D xsi:type="xsd:double"&gt;0.194123&lt;/D&gt;&lt;D xsi:type="xsd:double"&gt;0.10610429&lt;/D&gt;&lt;D xsi:type="xsd:double"&gt;0.2383803&lt;/D&gt;&lt;D xsi:type="xsd:double"&gt;0.24503411&lt;/D&gt;&lt;D xsi:type="xsd:double"&gt;0.054117847&lt;/D&gt;&lt;D xsi:type="xsd:double"&gt;0.19423528&lt;/D&gt;&lt;D xsi:type="xsd:double"&gt;0.08577598&lt;/D&gt;&lt;D xsi:type="xsd:double"&gt;0.106473856&lt;/D&gt;&lt;D xsi:type="xsd:double"&gt;0.17579706&lt;/D&gt;&lt;D xsi:type="xsd:double"&gt;0.16068196&lt;/D&gt;&lt;D xsi:type="xsd:double"&gt;0.15127167&lt;/D&gt;&lt;D xsi:type="xsd:double"&gt;0.30996668&lt;/D&gt;&lt;D xsi:type="xsd:double"&gt;0.21228243&lt;/D&gt;&lt;D xsi:type="xsd:double"&gt;0.13016286&lt;/D&gt;&lt;D xsi:type="xsd:double"&gt;0.16751832&lt;/D&gt;&lt;D xsi:type="xsd:double"&gt;0.07052515&lt;/D&gt;&lt;D xsi:type="xsd:double"&gt;0.12580854&lt;/D&gt;&lt;D xsi:type="xsd:double"&gt;0.051864404&lt;/D&gt;&lt;D xsi:type="xsd:double"&gt;0.09727897&lt;/D&gt;&lt;D xsi:type="xsd:double"&gt;0.0020722293&lt;/D&gt;&lt;D xsi:type="xsd:double"&gt;0.01608673&lt;/D&gt;&lt;D xsi:type="xsd:double"&gt;0.09677698&lt;/D&gt;&lt;D xsi:type="xsd:double"&gt;0.061505597&lt;/D&gt;&lt;D xsi:type="xsd:double"&gt;0.116982095&lt;/D&gt;&lt;D xsi:type="xsd:double"&gt;-0.025161894&lt;/D&gt;&lt;D xsi:type="xsd:double"&gt;0.09354679&lt;/D&gt;&lt;D xsi:type="xsd:double"&gt;0.076597445&lt;/D&gt;&lt;D xsi:type="xsd:double"&gt;0.07735021&lt;/D&gt;&lt;D xsi:type="xsd:double"&gt;0.07224051&lt;/D&gt;&lt;D xsi:type="xsd:double"&gt;0.26870573&lt;/D&gt;&lt;D xsi:type="xsd:double"&gt;0.108455464&lt;/D&gt;&lt;D xsi:type="xsd:double"&gt;0.06044856&lt;/D&gt;&lt;D xsi:type="xsd:double"&gt;0.10093196&lt;/D&gt;&lt;D xsi:type="xsd:double"&gt;1&lt;/D&gt;&lt;D xsi:type="xsd:double"&gt;-0.036401875&lt;/D&gt;&lt;D xsi:type="xsd:double"&gt;0.13853398&lt;/D&gt;&lt;D xsi:type="xsd:double"&gt;-0.019091014&lt;/D&gt;&lt;D xsi:type="xsd:double"&gt;0.039148&lt;/D&gt;&lt;D xsi:type="xsd:double"&gt;0.16316432&lt;/D&gt;&lt;D xsi:type="xsd:double"&gt;0.08560384&lt;/D&gt;&lt;D xsi:type="xsd:double"&gt;0.13210414&lt;/D&gt;&lt;D xsi:type="xsd:double"&gt;0.07147025&lt;/D&gt;&lt;D xsi:type="xsd:double"&gt;0.0058947224&lt;/D&gt;&lt;D xsi:type="xsd:double"&gt;-0.005695683&lt;/D&gt;&lt;D xsi:type="xsd:double"&gt;-0.014013442&lt;/D&gt;&lt;D xsi:type="xsd:double"&gt;0.03356908&lt;/D&gt;&lt;D xsi:type="xsd:double"&gt;0.41233557&lt;/D&gt;&lt;D xsi:type="xsd:double"&gt;0.06776621&lt;/D&gt;&lt;D xsi:type="xsd:double"&gt;0.045703832&lt;/D&gt;&lt;D xsi:type="xsd:double"&gt;0.03498125&lt;/D&gt;&lt;D xsi:type="xsd:double"&gt;0.27410004&lt;/D&gt;&lt;D xsi:type="xsd:double"&gt;0.27940333&lt;/D&gt;&lt;D xsi:type="xsd:double"&gt;0.044223208&lt;/D&gt;&lt;D xsi:type="xsd:double"&gt;0.09807482&lt;/D&gt;&lt;D xsi:type="xsd:double"&gt;0.02176218&lt;/D&gt;&lt;D xsi:type="xsd:double"&gt;0.27460316&lt;/D&gt;&lt;D xsi:type="xsd:double"&gt;0.02844804&lt;/D&gt;&lt;D xsi:type="xsd:double"&gt;0.13392948&lt;/D&gt;&lt;D xsi:type="xsd:double"&gt;0.05791869&lt;/D&gt;&lt;D xsi:type="xsd:double"&gt;0.1193344&lt;/D&gt;&lt;D xsi:type="xsd:double"&gt;0.13886689&lt;/D&gt;&lt;D xsi:type="xsd:double"&gt;0.036565933&lt;/D&gt;&lt;D xsi:type="xsd:double"&gt;0.004225091&lt;/D&gt;&lt;D xsi:type="xsd:double"&gt;0.047844116&lt;/D&gt;&lt;D xsi:type="xsd:double"&gt;0.09631019&lt;/D&gt;&lt;D xsi:type="xsd:double"&gt;0.049683303&lt;/D&gt;&lt;D xsi:type="xsd:double"&gt;0.29226112&lt;/D&gt;&lt;D xsi:type="xsd:double"&gt;0.08664683&lt;/D&gt;&lt;D xsi:type="xsd:double"&gt;0.09248834&lt;/D&gt;&lt;D xsi:type="xsd:double"&gt;-0.038159136&lt;/D&gt;&lt;D xsi:type="xsd:double"&gt;0.103297204&lt;/D&gt;&lt;D xsi:type="xsd:double"&gt;0.08631616&lt;/D&gt;&lt;D xsi:type="xsd:double"&gt;0.081012845&lt;/D&gt;&lt;D xsi:type="xsd:double"&gt;0.025230933&lt;/D&gt;&lt;D xsi:type="xsd:double"&gt;0.010673116&lt;/D&gt;&lt;D xsi:type="xsd:double"&gt;0.2112954&lt;/D&gt;&lt;D xsi:type="xsd:double"&gt;0.33170706&lt;/D&gt;&lt;D xsi:type="xsd:double"&gt;0.08047438&lt;/D&gt;&lt;D xsi:type="xsd:double"&gt;0.3589049&lt;/D&gt;&lt;D xsi:type="xsd:double"&gt;0.122016065&lt;/D&gt;&lt;D xsi:type="xsd:double"&gt;0.058869857&lt;/D&gt;&lt;D xsi:type="xsd:double"&gt;0.28608724&lt;/D&gt;&lt;D xsi:type="xsd:double"&gt;0.18306157&lt;/D&gt;&lt;D xsi:type="xsd:double"&gt;0.15081222&lt;/D&gt;&lt;D xsi:type="xsd:double"&gt;0.13503575&lt;/D&gt;&lt;D xsi:type="xsd:double"&gt;0.13717712&lt;/D&gt;&lt;D xsi:type="xsd:double"&gt;0.09928699&lt;/D&gt;&lt;D xsi:type="xsd:double"&gt;0.22913106&lt;/D&gt;&lt;D xsi:type="xsd:double"&gt;0.052873645&lt;/D&gt;&lt;D xsi:type="xsd:double"&gt;0.22731288&lt;/D&gt;&lt;D xsi:type="xsd:double"&gt;0.48262694&lt;/D&gt;&lt;D xsi:type="xsd:double"&gt;0.043541204&lt;/D&gt;&lt;D xsi:type="xsd:double"&gt;-0.036401875&lt;/D&gt;&lt;D xsi:type="xsd:double"&gt;1&lt;/D&gt;&lt;D xsi:type="xsd:double"&gt;0.06525422&lt;/D&gt;&lt;D xsi:type="xsd:double"&gt;0.38383803&lt;/D&gt;&lt;D xsi:type="xsd:double"&gt;0.24898829&lt;/D&gt;&lt;D xsi:type="xsd:double"&gt;0.06941102&lt;/D&gt;&lt;D xsi:type="xsd:double"&gt;0.13636756&lt;/D&gt;&lt;D xsi:type="xsd:double"&gt;-0.0052367835&lt;/D&gt;&lt;D xsi:type="xsd:double"&gt;0.13606389&lt;/D&gt;&lt;D xsi:type="xsd:double"&gt;0.42129913&lt;/D&gt;&lt;D xsi:type="xsd:double"&gt;0.58403146&lt;/D&gt;&lt;D xsi:type="xsd:double"&gt;0.30889213&lt;/D&gt;&lt;D xsi:type="xsd:double"&gt;0.3522306&lt;/D&gt;&lt;D xsi:type="xsd:double"&gt;-0.029282263&lt;/D&gt;&lt;D xsi:type="xsd:double"&gt;0.31727365&lt;/D&gt;&lt;D xsi:type="xsd:double"&gt;0.25940686&lt;/D&gt;&lt;D xsi:type="xsd:double"&gt;0.2698697&lt;/D&gt;&lt;D xsi:type="xsd:double"&gt;0.08343614&lt;/D&gt;&lt;D xsi:type="xsd:double"&gt;-0.023900593&lt;/D&gt;&lt;D xsi:type="xsd:double"&gt;0.12553738&lt;/D&gt;&lt;D xsi:type="xsd:double"&gt;0.08643953&lt;/D&gt;&lt;D xsi:type="xsd:double"&gt;0.526209&lt;/D&gt;&lt;D xsi:type="xsd:double"&gt;0.07677448&lt;/D&gt;&lt;D xsi:type="xsd:double"&gt;0.2565012&lt;/D&gt;&lt;D xsi:type="xsd:double"&gt;0.060176782&lt;/D&gt;&lt;D xsi:type="xsd:double"&gt;0.029192178&lt;/D&gt;&lt;D xsi:type="xsd:double"&gt;0.115883216&lt;/D&gt;&lt;D xsi:type="xsd:double"&gt;0.07734722&lt;/D&gt;&lt;D xsi:type="xsd:double"&gt;0.26809707&lt;/D&gt;&lt;D xsi:type="xsd:double"&gt;0.32246202&lt;/D&gt;&lt;D xsi:type="xsd:double"&gt;0.31496045&lt;/D&gt;&lt;D xsi:type="xsd:double"&gt;0.16499679&lt;/D&gt;&lt;D xsi:type="xsd:double"&gt;0.39414006&lt;/D&gt;&lt;D xsi:type="xsd:double"&gt;0.0619539&lt;/D&gt;&lt;D xsi:type="xsd:double"&gt;0.15446174&lt;/D&gt;&lt;D xsi:type="xsd:double"&gt;0.12144407&lt;/D&gt;&lt;D xsi:type="xsd:double"&gt;0.26062265&lt;/D&gt;&lt;D xsi:type="xsd:double"&gt;0.17167673&lt;/D&gt;&lt;D xsi:type="xsd:double"&gt;0.22857767&lt;/D&gt;&lt;D xsi:type="xsd:double"&gt;0.19618139&lt;/D&gt;&lt;D xsi:type="xsd:double"&gt;0.27153537&lt;/D&gt;&lt;D xsi:type="xsd:double"&gt;0.33577746&lt;/D&gt;&lt;D xsi:type="xsd:double"&gt;0.139763&lt;/D&gt;&lt;D xsi:type="xsd:double"&gt;0.12959494&lt;/D&gt;&lt;D xsi:type="xsd:double"&gt;0.14139457&lt;/D&gt;&lt;D xsi:type="xsd:double"&gt;0.042003356&lt;/D&gt;&lt;D xsi:type="xsd:double"&gt;0.11337348&lt;/D&gt;&lt;D xsi:type="xsd:double"&gt;0.19740954&lt;/D&gt;&lt;D xsi:type="xsd:double"&gt;0.12476337&lt;/D&gt;&lt;D xsi:type="xsd:double"&gt;0.0520545&lt;/D&gt;&lt;D xsi:type="xsd:double"&gt;0.009638191&lt;/D&gt;&lt;D xsi:type="xsd:double"&gt;0.12392105&lt;/D&gt;&lt;D xsi:type="xsd:double"&gt;0.10975982&lt;/D&gt;&lt;D xsi:type="xsd:double"&gt;0.05076869&lt;/D&gt;&lt;D xsi:type="xsd:double"&gt;0.12442811&lt;/D&gt;&lt;D xsi:type="xsd:double"&gt;0.19752587&lt;/D&gt;&lt;D xsi:type="xsd:double"&gt;0.11706742&lt;/D&gt;&lt;D xsi:type="xsd:double"&gt;0.09068593&lt;/D&gt;&lt;D xsi:type="xsd:double"&gt;-0.004903051&lt;/D&gt;&lt;D xsi:type="xsd:double"&gt;0.13853398&lt;/D&gt;&lt;D xsi:type="xsd:double"&gt;0.06525422&lt;/D&gt;&lt;D xsi:type="xsd:double"&gt;1&lt;/D&gt;&lt;D xsi:type="xsd:double"&gt;0.08294853&lt;/D&gt;&lt;D xsi:type="xsd:double"&gt;0.048760973&lt;/D&gt;&lt;D xsi:type="xsd:double"&gt;0.34362248&lt;/D&gt;&lt;D xsi:type="xsd:double"&gt;0.11790707&lt;/D&gt;&lt;D xsi:type="xsd:double"&gt;0.039994534&lt;/D&gt;&lt;D xsi:type="xsd:double"&gt;0.015610277&lt;/D&gt;&lt;D xsi:type="xsd:double"&gt;0.07489031&lt;/D&gt;&lt;D xsi:type="xsd:double"&gt;0.08747698&lt;/D&gt;&lt;D xsi:type="xsd:double"&gt;0.076550595&lt;/D&gt;&lt;D xsi:type="xsd:double"&gt;0.06490566&lt;/D&gt;&lt;D xsi:type="xsd:double"&gt;0.16245347&lt;/D&gt;&lt;D xsi:type="xsd:double"&gt;0.07206055&lt;/D&gt;&lt;D xsi:type="xsd:double"&gt;-0.005796319&lt;/D&gt;&lt;D xsi:type="xsd:double"&gt;0.0946327&lt;/D&gt;&lt;D xsi:type="xsd:double"&gt;0.17701577&lt;/D&gt;&lt;D xsi:type="xsd:double"&gt;0.18637526&lt;/D&gt;&lt;D xsi:type="xsd:double"&gt;-0.0050917407&lt;/D&gt;&lt;D xsi:type="xsd:double"&gt;0.12275454&lt;/D&gt;&lt;D xsi:type="xsd:double"&gt;0.12983648&lt;/D&gt;&lt;D xsi:type="xsd:double"&gt;0.27847192&lt;/D&gt;&lt;D xsi:type="xsd:double"&gt;0.083851665&lt;/D&gt;&lt;D xsi:type="xsd:double"&gt;0.3904253&lt;/D&gt;&lt;D xsi:type="xsd:double"&gt;0.0102453735&lt;/D&gt;&lt;D xsi:type="xsd:double"&gt;0.05021973&lt;/D&gt;&lt;D xsi:type="xsd:double"&gt;0.3714503&lt;/D&gt;&lt;D xsi:type="xsd:double"&gt;0.10639895&lt;/D&gt;&lt;D xsi:type="xsd:double"&gt;0.114230804&lt;/D&gt;&lt;D xsi:type="xsd:double"&gt;0.10793806&lt;/D&gt;&lt;D xsi:type="xsd:double"&gt;0.13309962&lt;/D&gt;&lt;D xsi:type="xsd:double"&gt;0.11719091&lt;/D&gt;&lt;D xsi:type="xsd:double"&gt;0.25578865&lt;/D&gt;&lt;D xsi:type="xsd:double"&gt;0.09668562&lt;/D&gt;&lt;D xsi:type="xsd:double"&gt;0.040059183&lt;/D&gt;&lt;D xsi:type="xsd:double"&gt;0.01890096&lt;/D&gt;&lt;D xsi:type="xsd:double"&gt;0.076156124&lt;/D&gt;&lt;D xsi:type="xsd:double"&gt;0.16491829&lt;/D&gt;&lt;D xsi:type="xsd:double"&gt;0.044695776&lt;/D&gt;&lt;D xsi:type="xsd:double"&gt;0.08319148&lt;/D&gt;&lt;D xsi:type="xsd:double"&gt;0.068182044&lt;/D&gt;&lt;D xsi:type="xsd:double"&gt;0.20724316&lt;/D&gt;&lt;D xsi:type="xsd:double"&gt;0.23344079&lt;/D&gt;&lt;D xsi:type="xsd:double"&gt;0.066502124&lt;/D&gt;&lt;D xsi:type="xsd:double"&gt;0.4393508&lt;/D&gt;&lt;D xsi:type="xsd:double"&gt;0.16092788&lt;/D&gt;&lt;D xsi:type="xsd:double"&gt;0.064321175&lt;/D&gt;&lt;D xsi:type="xsd:double"&gt;0.2649742&lt;/D&gt;&lt;D xsi:type="xsd:double"&gt;0.14245532&lt;/D&gt;&lt;D xsi:type="xsd:double"&gt;0.11235003&lt;/D&gt;&lt;D xsi:type="xsd:double"&gt;0.09159202&lt;/D&gt;&lt;D xsi:type="xsd:double"&gt;0.18849632&lt;/D&gt;&lt;D xsi:type="xsd:double"&gt;0.079658955&lt;/D&gt;&lt;D xsi:type="xsd:double"&gt;0.23016976&lt;/D&gt;&lt;D xsi:type="xsd:double"&gt;-0.008533499&lt;/D&gt;&lt;D xsi:type="xsd:double"&gt;0.22063513&lt;/D&gt;&lt;D xsi:type="xsd:double"&gt;0.21523716&lt;/D&gt;&lt;D xsi:type="xsd:double"&gt;0.005036885&lt;/D&gt;&lt;D xsi:type="xsd:double"&gt;-0.019091014&lt;/D&gt;&lt;D xsi:type="xsd:double"&gt;0.38383803&lt;/D&gt;&lt;D xsi:type="xsd:double"&gt;0.08294853&lt;/D&gt;&lt;D xsi:type="xsd:double"&gt;1&lt;/D&gt;&lt;D xsi:type="xsd:double"&gt;0.3579703&lt;/D&gt;&lt;D xsi:type="xsd:double"&gt;0.09870387&lt;/D&gt;&lt;D xsi:type="xsd:double"&gt;0.20395473&lt;/D&gt;&lt;D xsi:type="xsd:double"&gt;0.037880067&lt;/D&gt;&lt;D xsi:type="xsd:double"&gt;0.11605284&lt;/D&gt;&lt;D xsi:type="xsd:double"&gt;0.44464454&lt;/D&gt;&lt;D xsi:type="xsd:double"&gt;0.4562182&lt;/D&gt;&lt;D xsi:type="xsd:double"&gt;0.3954329&lt;/D&gt;&lt;D xsi:type="xsd:double"&gt;0.39013124&lt;/D&gt;&lt;D xsi:type="xsd:double"&gt;-0.03091307&lt;/D&gt;&lt;D xsi:type="xsd:double"&gt;0.40349433&lt;/D&gt;&lt;D xsi:type="xsd:double"&gt;0.24744223&lt;/D&gt;&lt;D xsi:type="xsd:double"&gt;0.2736088&lt;/D&gt;&lt;D xsi:type="xsd:double"&gt;0.019627945&lt;/D&gt;&lt;D xsi:type="xsd:double"&gt;-0.00636197&lt;/D&gt;&lt;D xsi:type="xsd:double"&gt;0.14541464&lt;/D&gt;&lt;D xsi:type="xsd:double"&gt;0.19464749&lt;/D&gt;&lt;D xsi:type="xsd:double"&gt;0.22791888&lt;/D&gt;&lt;D xsi:type="xsd:double"&gt;0.05939877&lt;/D&gt;&lt;D xsi:type="xsd:double"&gt;0.34963104&lt;/D&gt;&lt;D xsi:type="xsd:double"&gt;0.10895331&lt;/D&gt;&lt;D xsi:type="xsd:double"&gt;-0.020081667&lt;/D&gt;&lt;D xsi:type="xsd:double"&gt;0.0997545&lt;/D&gt;&lt;D xsi:type="xsd:double"&gt;0.09114644&lt;/D&gt;&lt;D xsi:type="xsd:double"&gt;0.24963889&lt;/D&gt;&lt;D xsi:type="xsd:double"&gt;0.2863646&lt;/D&gt;&lt;D xsi:type="xsd:double"&gt;0.41648263&lt;/D&gt;&lt;D xsi:type="xsd:double"&gt;0.1890904&lt;/D&gt;&lt;D xsi:type="xsd:double"&gt;0.32060432&lt;/D&gt;&lt;D xsi:type="xsd:double"&gt;0.037232157&lt;/D&gt;&lt;D xsi:type="xsd:double"&gt;0.11236106&lt;/D&gt;&lt;D xsi:type="xsd:double"&gt;0.08504254&lt;/D&gt;&lt;D xsi:type="xsd:double"&gt;0.28739792&lt;/D&gt;&lt;D xsi:type="xsd:double"&gt;0.10067172&lt;/D&gt;&lt;D xsi:type="xsd:double"&gt;0.22995755&lt;/D&gt;&lt;D xsi:type="xsd:double"&gt;0.201784&lt;/D&gt;&lt;D xsi:type="xsd:double"&gt;0.30975676&lt;/D&gt;&lt;D xsi:type="xsd:double"&gt;0.29358047&lt;/D&gt;&lt;D xsi:type="xsd:double"&gt;0.14516617&lt;/D&gt;&lt;D xsi:type="xsd:double"&gt;0.16092536&lt;/D&gt;&lt;D xsi:type="xsd:double"&gt;0.037332084&lt;/D&gt;&lt;D xsi:type="xsd:double"&gt;0.35284764&lt;/D&gt;&lt;D xsi:type="xsd:double"&gt;0.1690994&lt;/D&gt;&lt;D xsi:type="xsd:double"&gt;0.059526287&lt;/D&gt;&lt;D xsi:type="xsd:double"&gt;0.17784555&lt;/D&gt;&lt;D xsi:type="xsd:double"&gt;0.12817603&lt;/D&gt;&lt;D xsi:type="xsd:double"&gt;0.082754225&lt;/D&gt;&lt;D xsi:type="xsd:double"&gt;0.096063174&lt;/D&gt;&lt;D xsi:type="xsd:double"&gt;0.095191814&lt;/D&gt;&lt;D xsi:type="xsd:double"&gt;0.031134954&lt;/D&gt;&lt;D xsi:type="xsd:double"&gt;0.16326527&lt;/D&gt;&lt;D xsi:type="xsd:double"&gt;-0.009597961&lt;/D&gt;&lt;D xsi:type="xsd:double"&gt;0.1591178&lt;/D&gt;&lt;D xsi:type="xsd:double"&gt;0.10027186&lt;/D&gt;&lt;D xsi:type="xsd:double"&gt;0.018068898&lt;/D&gt;&lt;D xsi:type="xsd:double"&gt;0.039148&lt;/D&gt;&lt;D xsi:type="xsd:double"&gt;0.24898829&lt;/D&gt;&lt;D xsi:type="xsd:double"&gt;0.048760973&lt;/D&gt;&lt;D xsi:type="xsd:double"&gt;0.3579703&lt;/D&gt;&lt;D xsi:type="xsd:double"&gt;1&lt;/D&gt;&lt;D xsi:type="xsd:double"&gt;0.05634033&lt;/D&gt;&lt;D xsi:type="xsd:double"&gt;0.15951203&lt;/D&gt;&lt;D xsi:type="xsd:double"&gt;0.033970937&lt;/D&gt;&lt;D xsi:type="xsd:double"&gt;0.12263618&lt;/D&gt;&lt;D xsi:type="xsd:double"&gt;0.35840264&lt;/D&gt;&lt;D xsi:type="xsd:double"&gt;0.29861337&lt;/D&gt;&lt;D xsi:type="xsd:double"&gt;0.26061854&lt;/D&gt;&lt;D xsi:type="xsd:double"&gt;0.29089186&lt;/D&gt;&lt;D xsi:type="xsd:double"&gt;0.06747609&lt;/D&gt;&lt;D xsi:type="xsd:double"&gt;0.2799415&lt;/D&gt;&lt;D xsi:type="xsd:double"&gt;0.17652567&lt;/D&gt;&lt;D xsi:type="xsd:double"&gt;0.11863407&lt;/D&gt;&lt;D xsi:type="xsd:double"&gt;0.06417513&lt;/D&gt;&lt;D xsi:type="xsd:double"&gt;0.048707478&lt;/D&gt;&lt;D xsi:type="xsd:double"&gt;0.1533686&lt;/D&gt;&lt;D xsi:type="xsd:double"&gt;0.14560044&lt;/D&gt;&lt;D xsi:type="xsd:double"&gt;0.10864947&lt;/D&gt;&lt;D xsi:type="xsd:double"&gt;0.0919781&lt;/D&gt;&lt;D xsi:type="xsd:double"&gt;0.25470525&lt;/D&gt;&lt;D xsi:type="xsd:double"&gt;0.07193704&lt;/D&gt;&lt;D xsi:type="xsd:double"&gt;-0.009713296&lt;/D&gt;&lt;D xsi:type="xsd:double"&gt;0.056328967&lt;/D&gt;&lt;D xsi:type="xsd:double"&gt;0.06206205&lt;/D&gt;&lt;D xsi:type="xsd:double"&gt;0.11580864&lt;/D&gt;&lt;D xsi:type="xsd:double"&gt;0.11274094&lt;/D&gt;&lt;D xsi:type="xsd:double"&gt;0.35903227&lt;/D&gt;&lt;D xsi:type="xsd:double"&gt;0.12374538&lt;/D&gt;&lt;D xsi:type="xsd:double"&gt;0.24924225&lt;/D&gt;&lt;D xsi:type="xsd:double"&gt;0.06266552&lt;/D&gt;&lt;D xsi:type="xsd:double"&gt;0.1115454&lt;/D&gt;&lt;D xsi:type="xsd:double"&gt;0.120834865&lt;/D&gt;&lt;D xsi:type="xsd:double"&gt;0.22621195&lt;/D&gt;&lt;D xsi:type="xsd:double"&gt;0.09258253&lt;/D&gt;&lt;D xsi:type="xsd:double"&gt;0.14775845&lt;/D&gt;&lt;D xsi:type="xsd:double"&gt;0.1661641&lt;/D&gt;&lt;D xsi:type="xsd:double"&gt;0.24044432&lt;/D&gt;&lt;D xsi:type="xsd:double"&gt;0.24662289&lt;/D&gt;&lt;D xsi:type="xsd:double"&gt;0.16819996&lt;/D&gt;&lt;D xsi:type="xsd:double"&gt;0.1557952&lt;/D&gt;&lt;D xsi:type="xsd:double"&gt;0.19620481&lt;/D&gt;&lt;D xsi:type="xsd:double"&gt;0.067978464&lt;/D&gt;&lt;D xsi:type="xsd:double"&gt;0.078869745&lt;/D&gt;&lt;D xsi:type="xsd:double"&gt;0.23353863&lt;/D&gt;&lt;D xsi:type="xsd:double"&gt;0.11342368&lt;/D&gt;&lt;D xsi:type="xsd:double"&gt;0.0745947&lt;/D&gt;&lt;D xsi:type="xsd:double"&gt;-0.013518405&lt;/D&gt;&lt;D xsi:type="xsd:double"&gt;0.1396738&lt;/D&gt;&lt;D xsi:type="xsd:double"&gt;0.11580456&lt;/D&gt;&lt;D xsi:type="xsd:double"&gt;0.10325086&lt;/D&gt;&lt;D xsi:type="xsd:double"&gt;0.09527039&lt;/D&gt;&lt;D xsi:type="xsd:double"&gt;0.18804522&lt;/D&gt;&lt;D xsi:type="xsd:double"&gt;0.14894313&lt;/D&gt;&lt;D xsi:type="xsd:double"&gt;0.14369519&lt;/D&gt;&lt;D xsi:type="xsd:double"&gt;0.070669316&lt;/D&gt;&lt;D xsi:type="xsd:double"&gt;0.16316432&lt;/D&gt;&lt;D xsi:type="xsd:double"&gt;0.06941102&lt;/D&gt;&lt;D xsi:type="xsd:double"&gt;0.34362248&lt;/D&gt;&lt;D xsi:type="xsd:double"&gt;0.09870387&lt;/D&gt;&lt;D xsi:type="xsd:double"&gt;0.05634033&lt;/D&gt;&lt;D xsi:type="xsd:double"&gt;1&lt;/D&gt;&lt;D xsi:type="xsd:double"&gt;0.13065158&lt;/D&gt;&lt;D xsi:type="xsd:double"&gt;0.06205133&lt;/D&gt;&lt;D xsi:type="xsd:double"&gt;0.020906942&lt;/D&gt;&lt;D xsi:type="xsd:double"&gt;0.08447849&lt;/D&gt;&lt;D xsi:type="xsd:double"&gt;0.09899662&lt;/D&gt;&lt;D xsi:type="xsd:double"&gt;0.050922558&lt;/D&gt;&lt;D xsi:type="xsd:double"&gt;0.097886704&lt;/D&gt;&lt;D xsi:type="xsd:double"&gt;0.13134651&lt;/D&gt;&lt;D xsi:type="xsd:double"&gt;0.057656076&lt;/D&gt;&lt;D xsi:type="xsd:double"&gt;0.021644942&lt;/D&gt;&lt;D xsi:type="xsd:double"&gt;0.13937223&lt;/D&gt;&lt;D xsi:type="xsd:double"&gt;0.18843628&lt;/D&gt;&lt;D xsi:type="xsd:double"&gt;0.18678248&lt;/D&gt;&lt;D xsi:type="xsd:double"&gt;-0.032391448&lt;/D&gt;&lt;D xsi:type="xsd:double"&gt;0.13997597&lt;/D&gt;&lt;D xsi:type="xsd:double"&gt;0.13725407&lt;/D&gt;&lt;D xsi:type="xsd:double"&gt;0.260</t>
        </r>
      </text>
    </comment>
    <comment ref="A7" authorId="0" shapeId="0" xr:uid="{E8BE796E-C2B8-4C42-9E1B-47910FF6347B}">
      <text>
        <r>
          <rPr>
            <b/>
            <sz val="9"/>
            <color indexed="81"/>
            <rFont val="Tahoma"/>
            <charset val="1"/>
          </rPr>
          <t>27015&lt;/D&gt;&lt;D xsi:type="xsd:double"&gt;0.08979403&lt;/D&gt;&lt;D xsi:type="xsd:double"&gt;0.4240244&lt;/D&gt;&lt;D xsi:type="xsd:double"&gt;0.036306527&lt;/D&gt;&lt;D xsi:type="xsd:double"&gt;0.076327294&lt;/D&gt;&lt;D xsi:type="xsd:double"&gt;0.8151238&lt;/D&gt;&lt;D xsi:type="xsd:double"&gt;0.11106731&lt;/D&gt;&lt;D xsi:type="xsd:double"&gt;0.13838473&lt;/D&gt;&lt;D xsi:type="xsd:double"&gt;0.09131249&lt;/D&gt;&lt;D xsi:type="xsd:double"&gt;0.12603831&lt;/D&gt;&lt;D xsi:type="xsd:double"&gt;0.085493304&lt;/D&gt;&lt;D xsi:type="xsd:double"&gt;0.18306065&lt;/D&gt;&lt;D xsi:type="xsd:double"&gt;0.13014595&lt;/D&gt;&lt;D xsi:type="xsd:double"&gt;0.027415128&lt;/D&gt;&lt;D xsi:type="xsd:double"&gt;0.032643344&lt;/D&gt;&lt;D xsi:type="xsd:double"&gt;0.08402278&lt;/D&gt;&lt;D xsi:type="xsd:double"&gt;0.12633875&lt;/D&gt;&lt;D xsi:type="xsd:double"&gt;0.072619386&lt;/D&gt;&lt;D xsi:type="xsd:double"&gt;0.07767858&lt;/D&gt;&lt;D xsi:type="xsd:double"&gt;0.08101142&lt;/D&gt;&lt;D xsi:type="xsd:double"&gt;0.4765367&lt;/D&gt;&lt;D xsi:type="xsd:double"&gt;0.4035347&lt;/D&gt;&lt;D xsi:type="xsd:double"&gt;0.16724078&lt;/D&gt;&lt;D xsi:type="xsd:double"&gt;0.31843528&lt;/D&gt;&lt;D xsi:type="xsd:double"&gt;0.23252256&lt;/D&gt;&lt;D xsi:type="xsd:double"&gt;0.25284863&lt;/D&gt;&lt;D xsi:type="xsd:double"&gt;0.5528989&lt;/D&gt;&lt;D xsi:type="xsd:double"&gt;0.3805234&lt;/D&gt;&lt;D xsi:type="xsd:double"&gt;0.06252576&lt;/D&gt;&lt;D xsi:type="xsd:double"&gt;0.255063&lt;/D&gt;&lt;D xsi:type="xsd:double"&gt;0.6256396&lt;/D&gt;&lt;D xsi:type="xsd:double"&gt;0.26606652&lt;/D&gt;&lt;D xsi:type="xsd:double"&gt;0.4847455&lt;/D&gt;&lt;D xsi:type="xsd:double"&gt;0.13989455&lt;/D&gt;&lt;D xsi:type="xsd:double"&gt;0.45762885&lt;/D&gt;&lt;D xsi:type="xsd:double"&gt;0.3718783&lt;/D&gt;&lt;D xsi:type="xsd:double"&gt;0.2255002&lt;/D&gt;&lt;D xsi:type="xsd:double"&gt;0.08560384&lt;/D&gt;&lt;D xsi:type="xsd:double"&gt;0.13636756&lt;/D&gt;&lt;D xsi:type="xsd:double"&gt;0.11790707&lt;/D&gt;&lt;D xsi:type="xsd:double"&gt;0.20395473&lt;/D&gt;&lt;D xsi:type="xsd:double"&gt;0.15951203&lt;/D&gt;&lt;D xsi:type="xsd:double"&gt;0.13065158&lt;/D&gt;&lt;D xsi:type="xsd:double"&gt;1&lt;/D&gt;&lt;D xsi:type="xsd:double"&gt;0.2312635&lt;/D&gt;&lt;D xsi:type="xsd:double"&gt;0.055945132&lt;/D&gt;&lt;D xsi:type="xsd:double"&gt;0.3153666&lt;/D&gt;&lt;D xsi:type="xsd:double"&gt;0.2750108&lt;/D&gt;&lt;D xsi:type="xsd:double"&gt;0.18112548&lt;/D&gt;&lt;D xsi:type="xsd:double"&gt;0.28056657&lt;/D&gt;&lt;D xsi:type="xsd:double"&gt;0.08353291&lt;/D&gt;&lt;D xsi:type="xsd:double"&gt;0.28982103&lt;/D&gt;&lt;D xsi:type="xsd:double"&gt;0.14438145&lt;/D&gt;&lt;D xsi:type="xsd:double"&gt;0.38528058&lt;/D&gt;&lt;D xsi:type="xsd:double"&gt;0.12761296&lt;/D&gt;&lt;D xsi:type="xsd:double"&gt;0.10061295&lt;/D&gt;&lt;D xsi:type="xsd:double"&gt;0.12701933&lt;/D&gt;&lt;D xsi:type="xsd:double"&gt;0.48624644&lt;/D&gt;&lt;D xsi:type="xsd:double"&gt;0.2894159&lt;/D&gt;&lt;D xsi:type="xsd:double"&gt;0.17108415&lt;/D&gt;&lt;D xsi:type="xsd:double"&gt;0.2406651&lt;/D&gt;&lt;D xsi:type="xsd:double"&gt;0.1451531&lt;/D&gt;&lt;D xsi:type="xsd:double"&gt;0.22902842&lt;/D&gt;&lt;D xsi:type="xsd:double"&gt;0.24088739&lt;/D&gt;&lt;D xsi:type="xsd:double"&gt;0.16453576&lt;/D&gt;&lt;D xsi:type="xsd:double"&gt;0.43203276&lt;/D&gt;&lt;D xsi:type="xsd:double"&gt;0.39470315&lt;/D&gt;&lt;D xsi:type="xsd:double"&gt;0.27781868&lt;/D&gt;&lt;D xsi:type="xsd:double"&gt;0.62871724&lt;/D&gt;&lt;D xsi:type="xsd:double"&gt;0.2697583&lt;/D&gt;&lt;D xsi:type="xsd:double"&gt;0.13221139&lt;/D&gt;&lt;D xsi:type="xsd:double"&gt;0.250801&lt;/D&gt;&lt;D xsi:type="xsd:double"&gt;0.062013578&lt;/D&gt;&lt;D xsi:type="xsd:double"&gt;0.20112385&lt;/D&gt;&lt;D xsi:type="xsd:double"&gt;0.26069716&lt;/D&gt;&lt;D xsi:type="xsd:double"&gt;0.49704754&lt;/D&gt;&lt;D xsi:type="xsd:double"&gt;0.11557376&lt;/D&gt;&lt;D xsi:type="xsd:double"&gt;0.17788932&lt;/D&gt;&lt;D xsi:type="xsd:double"&gt;0.15613718&lt;/D&gt;&lt;D xsi:type="xsd:double"&gt;0.2663285&lt;/D&gt;&lt;D xsi:type="xsd:double"&gt;0.14545378&lt;/D&gt;&lt;D xsi:type="xsd:double"&gt;0.027636377&lt;/D&gt;&lt;D xsi:type="xsd:double"&gt;0.08325847&lt;/D&gt;&lt;D xsi:type="xsd:double"&gt;0.07499752&lt;/D&gt;&lt;D xsi:type="xsd:double"&gt;0.015571004&lt;/D&gt;&lt;D xsi:type="xsd:double"&gt;0.27792665&lt;/D&gt;&lt;D xsi:type="xsd:double"&gt;0.2851724&lt;/D&gt;&lt;D xsi:type="xsd:double"&gt;0.0616014&lt;/D&gt;&lt;D xsi:type="xsd:double"&gt;0.23886731&lt;/D&gt;&lt;D xsi:type="xsd:double"&gt;0.19669776&lt;/D&gt;&lt;D xsi:type="xsd:double"&gt;0.46898967&lt;/D&gt;&lt;D xsi:type="xsd:double"&gt;0.24180132&lt;/D&gt;&lt;D xsi:type="xsd:double"&gt;0.11705237&lt;/D&gt;&lt;D xsi:type="xsd:double"&gt;0.27178732&lt;/D&gt;&lt;D xsi:type="xsd:double"&gt;0.20656657&lt;/D&gt;&lt;D xsi:type="xsd:double"&gt;0.2623725&lt;/D&gt;&lt;D xsi:type="xsd:double"&gt;0.13210414&lt;/D&gt;&lt;D xsi:type="xsd:double"&gt;-0.0052367835&lt;/D&gt;&lt;D xsi:type="xsd:double"&gt;0.039994534&lt;/D&gt;&lt;D xsi:type="xsd:double"&gt;0.037880067&lt;/D&gt;&lt;D xsi:type="xsd:double"&gt;0.033970937&lt;/D&gt;&lt;D xsi:type="xsd:double"&gt;0.06205133&lt;/D&gt;&lt;D xsi:type="xsd:double"&gt;0.2312635&lt;/D&gt;&lt;D xsi:type="xsd:double"&gt;1&lt;/D&gt;&lt;D xsi:type="xsd:double"&gt;0.1380008&lt;/D&gt;&lt;D xsi:type="xsd:double"&gt;0.10414559&lt;/D&gt;&lt;D xsi:type="xsd:double"&gt;0.055835765&lt;/D&gt;&lt;D xsi:type="xsd:double"&gt;0.07228331&lt;/D&gt;&lt;D xsi:type="xsd:double"&gt;0.08297587&lt;/D&gt;&lt;D xsi:type="xsd:double"&gt;0.09167201&lt;/D&gt;&lt;D xsi:type="xsd:double"&gt;0.1231703&lt;/D&gt;&lt;D xsi:type="xsd:double"&gt;0.15468986&lt;/D&gt;&lt;D xsi:type="xsd:double"&gt;0.21575737&lt;/D&gt;&lt;D xsi:type="xsd:double"&gt;0.1028858&lt;/D&gt;&lt;D xsi:type="xsd:double"&gt;0.07795534&lt;/D&gt;&lt;D xsi:type="xsd:double"&gt;0.09447268&lt;/D&gt;&lt;D xsi:type="xsd:double"&gt;0.20084551&lt;/D&gt;&lt;D xsi:type="xsd:double"&gt;0.09336312&lt;/D&gt;&lt;D xsi:type="xsd:double"&gt;0.068916716&lt;/D&gt;&lt;D xsi:type="xsd:double"&gt;0.06164797&lt;/D&gt;&lt;D xsi:type="xsd:double"&gt;0.0710842&lt;/D&gt;&lt;D xsi:type="xsd:double"&gt;0.24785136&lt;/D&gt;&lt;D xsi:type="xsd:double"&gt;0.20232418&lt;/D&gt;&lt;D xsi:type="xsd:double"&gt;0.077815555&lt;/D&gt;&lt;D xsi:type="xsd:double"&gt;0.22803132&lt;/D&gt;&lt;D xsi:type="xsd:double"&gt;0.1347776&lt;/D&gt;&lt;D xsi:type="xsd:double"&gt;0.08235472&lt;/D&gt;&lt;D xsi:type="xsd:double"&gt;0.17664377&lt;/D&gt;&lt;D xsi:type="xsd:double"&gt;0.11338912&lt;/D&gt;&lt;D xsi:type="xsd:double"&gt;0.11182416&lt;/D&gt;&lt;D xsi:type="xsd:double"&gt;0.11254&lt;/D&gt;&lt;D xsi:type="xsd:double"&gt;0.120494224&lt;/D&gt;&lt;D xsi:type="xsd:double"&gt;0.105912484&lt;/D&gt;&lt;D xsi:type="xsd:double"&gt;0.30135944&lt;/D&gt;&lt;D xsi:type="xsd:double"&gt;0.2428904&lt;/D&gt;&lt;D xsi:type="xsd:double"&gt;0.09489744&lt;/D&gt;&lt;D xsi:type="xsd:double"&gt;0.12021517&lt;/D&gt;&lt;D xsi:type="xsd:double"&gt;0.06506329&lt;/D&gt;&lt;D xsi:type="xsd:double"&gt;0.12240205&lt;/D&gt;&lt;D xsi:type="xsd:double"&gt;0.045460504&lt;/D&gt;&lt;D xsi:type="xsd:double"&gt;0.027529266&lt;/D&gt;&lt;D xsi:type="xsd:double"&gt;0.116408706&lt;/D&gt;&lt;D xsi:type="xsd:double"&gt;0.0298947&lt;/D&gt;&lt;D xsi:type="xsd:double"&gt;-0.03756348&lt;/D&gt;&lt;D xsi:type="xsd:double"&gt;0.110833295&lt;/D&gt;&lt;D xsi:type="xsd:double"&gt;0.11295729&lt;/D&gt;&lt;D xsi:type="xsd:double"&gt;0.2344819&lt;/D&gt;&lt;D xsi:type="xsd:double"&gt;0.12269262&lt;/D&gt;&lt;D xsi:type="xsd:double"&gt;0.036212742&lt;/D&gt;&lt;D xsi:type="xsd:double"&gt;0.11170633&lt;/D&gt;&lt;D xsi:type="xsd:double"&gt;0.054988883&lt;/D&gt;&lt;D xsi:type="xsd:double"&gt;0.058995754&lt;/D&gt;&lt;D xsi:type="xsd:double"&gt;0.073106356&lt;/D&gt;&lt;D xsi:type="xsd:double"&gt;0.08007849&lt;/D&gt;&lt;D xsi:type="xsd:double"&gt;0.1569141&lt;/D&gt;&lt;D xsi:type="xsd:double"&gt;0.07147025&lt;/D&gt;&lt;D xsi:type="xsd:double"&gt;0.13606389&lt;/D&gt;&lt;D xsi:type="xsd:double"&gt;0.015610277&lt;/D&gt;&lt;D xsi:type="xsd:double"&gt;0.11605284&lt;/D&gt;&lt;D xsi:type="xsd:double"&gt;0.12263618&lt;/D&gt;&lt;D xsi:type="xsd:double"&gt;0.020906942&lt;/D&gt;&lt;D xsi:type="xsd:double"&gt;0.055945132&lt;/D&gt;&lt;D xsi:type="xsd:double"&gt;0.1380008&lt;/D&gt;&lt;D xsi:type="xsd:double"&gt;1&lt;/D&gt;&lt;D xsi:type="xsd:double"&gt;0.1754863&lt;/D&gt;&lt;D xsi:type="xsd:double"&gt;0.230152&lt;/D&gt;&lt;D xsi:type="xsd:double"&gt;0.10486679&lt;/D&gt;&lt;D xsi:type="xsd:double"&gt;0.22857499&lt;/D&gt;&lt;D xsi:type="xsd:double"&gt;0.055343743&lt;/D&gt;&lt;D xsi:type="xsd:double"&gt;0.20235938&lt;/D&gt;&lt;D xsi:type="xsd:double"&gt;0.39562446&lt;/D&gt;&lt;D xsi:type="xsd:double"&gt;0.044888973&lt;/D&gt;&lt;D xsi:type="xsd:double"&gt;0.027315712&lt;/D&gt;&lt;D xsi:type="xsd:double"&gt;0.08181847&lt;/D&gt;&lt;D xsi:type="xsd:double"&gt;0.20455185&lt;/D&gt;&lt;D xsi:type="xsd:double"&gt;0.079690956&lt;/D&gt;&lt;D xsi:type="xsd:double"&gt;0.07242968&lt;/D&gt;&lt;D xsi:type="xsd:double"&gt;0.007920043&lt;/D&gt;&lt;D xsi:type="xsd:double"&gt;0.17376053&lt;/D&gt;&lt;D xsi:type="xsd:double"&gt;-0.021485904&lt;/D&gt;&lt;D xsi:type="xsd:double"&gt;0.17302807&lt;/D&gt;&lt;D xsi:type="xsd:double"&gt;0.034679033&lt;/D&gt;&lt;D xsi:type="xsd:double"&gt;0.0363304&lt;/D&gt;&lt;D xsi:type="xsd:double"&gt;0.045732908&lt;/D&gt;&lt;D xsi:type="xsd:double"&gt;0.06787803&lt;/D&gt;&lt;D xsi:type="xsd:double"&gt;0.23352818&lt;/D&gt;&lt;D xsi:type="xsd:double"&gt;0.09475894&lt;/D&gt;&lt;D xsi:type="xsd:double"&gt;0.11599261&lt;/D&gt;&lt;D xsi:type="xsd:double"&gt;0.048870955&lt;/D&gt;&lt;D xsi:type="xsd:double"&gt;0.01775311&lt;/D&gt;&lt;D xsi:type="xsd:double"&gt;0.34159595&lt;/D&gt;&lt;D xsi:type="xsd:double"&gt;0.23954332&lt;/D&gt;&lt;D xsi:type="xsd:double"&gt;0.16767223&lt;/D&gt;&lt;D xsi:type="xsd:double"&gt;0.11603997&lt;/D&gt;&lt;D xsi:type="xsd:double"&gt;0.17745325&lt;/D&gt;&lt;D xsi:type="xsd:double"&gt;0.27866244&lt;/D&gt;&lt;D xsi:type="xsd:double"&gt;0.18448089&lt;/D&gt;&lt;D xsi:type="xsd:double"&gt;0.33602232&lt;/D&gt;&lt;D xsi:type="xsd:double"&gt;0.28487447&lt;/D&gt;&lt;D xsi:type="xsd:double"&gt;0.073951446&lt;/D&gt;&lt;D xsi:type="xsd:double"&gt;0.7497783&lt;/D&gt;&lt;D xsi:type="xsd:double"&gt;0.23379572&lt;/D&gt;&lt;D xsi:type="xsd:double"&gt;0.101971455&lt;/D&gt;&lt;D xsi:type="xsd:double"&gt;0.44210115&lt;/D&gt;&lt;D xsi:type="xsd:double"&gt;0.24379359&lt;/D&gt;&lt;D xsi:type="xsd:double"&gt;0.16839682&lt;/D&gt;&lt;D xsi:type="xsd:double"&gt;0.17925069&lt;/D&gt;&lt;D xsi:type="xsd:double"&gt;0.2563553&lt;/D&gt;&lt;D xsi:type="xsd:double"&gt;0.16430573&lt;/D&gt;&lt;D xsi:type="xsd:double"&gt;0.44105703&lt;/D&gt;&lt;D xsi:type="xsd:double"&gt;0.03893702&lt;/D&gt;&lt;D xsi:type="xsd:double"&gt;0.33857784&lt;/D&gt;&lt;D xsi:type="xsd:double"&gt;0.2796866&lt;/D&gt;&lt;D xsi:type="xsd:double"&gt;0.08967457&lt;/D&gt;&lt;D xsi:type="xsd:double"&gt;0.0058947224&lt;/D&gt;&lt;D xsi:type="xsd:double"&gt;0.42129913&lt;/D&gt;&lt;D xsi:type="xsd:double"&gt;0.07489031&lt;/D&gt;&lt;D xsi:type="xsd:double"&gt;0.44464454&lt;/D&gt;&lt;D xsi:type="xsd:double"&gt;0.35840264&lt;/D&gt;&lt;D xsi:type="xsd:double"&gt;0.08447849&lt;/D&gt;&lt;D xsi:type="xsd:double"&gt;0.3153666&lt;/D&gt;&lt;D xsi:type="xsd:double"&gt;0.10414559&lt;/D&gt;&lt;D xsi:type="xsd:double"&gt;0.1754863&lt;/D&gt;&lt;D xsi:type="xsd:double"&gt;1&lt;/D&gt;&lt;D xsi:type="xsd:double"&gt;0.5528843&lt;/D&gt;&lt;D xsi:type="xsd:double"&gt;0.4117508&lt;/D&gt;&lt;D xsi:type="xsd:double"&gt;0.53240013&lt;/D&gt;&lt;D xsi:type="xsd:double"&gt;0.01804348&lt;/D&gt;&lt;D xsi:type="xsd:double"&gt;0.5597242&lt;/D&gt;&lt;D xsi:type="xsd:double"&gt;0.32983565&lt;/D&gt;&lt;D xsi:type="xsd:double"&gt;0.33743078&lt;/D&gt;&lt;D xsi:type="xsd:double"&gt;0.04708898&lt;/D&gt;&lt;D xsi:type="xsd:double"&gt;0.02482555&lt;/D&gt;&lt;D xsi:type="xsd:double"&gt;0.17629097&lt;/D&gt;&lt;D xsi:type="xsd:double"&gt;0.30829787&lt;/D&gt;&lt;D xsi:type="xsd:double"&gt;0.25294915&lt;/D&gt;&lt;D xsi:type="xsd:double"&gt;0.101362415&lt;/D&gt;&lt;D xsi:type="xsd:double"&gt;0.4700591&lt;/D&gt;&lt;D xsi:type="xsd:double"&gt;0.078522205&lt;/D&gt;&lt;D xsi:type="xsd:double"&gt;0.08775471&lt;/D&gt;&lt;D xsi:type="xsd:double"&gt;0.17952451&lt;/D&gt;&lt;D xsi:type="xsd:double"&gt;0.0961787&lt;/D&gt;&lt;D xsi:type="xsd:double"&gt;0.39872664&lt;/D&gt;&lt;D xsi:type="xsd:double"&gt;0.34559307&lt;/D&gt;&lt;D xsi:type="xsd:double"&gt;0.528257&lt;/D&gt;&lt;D xsi:type="xsd:double"&gt;0.3538865&lt;/D&gt;&lt;D xsi:type="xsd:double"&gt;0.42440885&lt;/D&gt;&lt;D xsi:type="xsd:double"&gt;0.07906252&lt;/D&gt;&lt;D xsi:type="xsd:double"&gt;0.15911411&lt;/D&gt;&lt;D xsi:type="xsd:double"&gt;0.15995854&lt;/D&gt;&lt;D xsi:type="xsd:double"&gt;0.40712145&lt;/D&gt;&lt;D xsi:type="xsd:double"&gt;0.18914604&lt;/D&gt;&lt;D xsi:type="xsd:double"&gt;0.40154514&lt;/D&gt;&lt;D xsi:type="xsd:double"&gt;0.25663683&lt;/D&gt;&lt;D xsi:type="xsd:double"&gt;0.41644353&lt;/D&gt;&lt;D xsi:type="xsd:double"&gt;0.38840446&lt;/D&gt;&lt;D xsi:type="xsd:double"&gt;0.3146301&lt;/D&gt;&lt;D xsi:type="xsd:double"&gt;0.34101942&lt;/D&gt;&lt;D xsi:type="xsd:double"&gt;0.11294534&lt;/D&gt;&lt;D xsi:type="xsd:double"&gt;0.4878771&lt;/D&gt;&lt;D xsi:type="xsd:double"&gt;0.22604072&lt;/D&gt;&lt;D xsi:type="xsd:double"&gt;0.13737674&lt;/D&gt;&lt;D xsi:type="xsd:double"&gt;0.42688102&lt;/D&gt;&lt;D xsi:type="xsd:double"&gt;0.22644&lt;/D&gt;&lt;D xsi:type="xsd:double"&gt;0.18141277&lt;/D&gt;&lt;D xsi:type="xsd:double"&gt;0.15181078&lt;/D&gt;&lt;D xsi:type="xsd:double"&gt;0.220155&lt;/D&gt;&lt;D xsi:type="xsd:double"&gt;0.16612798&lt;/D&gt;&lt;D xsi:type="xsd:double"&gt;0.30402818&lt;/D&gt;&lt;D xsi:type="xsd:double"&gt;0.0069621974&lt;/D&gt;&lt;D xsi:type="xsd:double"&gt;0.3083304&lt;/D&gt;&lt;D xsi:type="xsd:double"&gt;0.38747352&lt;/D&gt;&lt;D xsi:type="xsd:double"&gt;0.08940546&lt;/D&gt;&lt;D xsi:type="xsd:double"&gt;-0.005695683&lt;/D&gt;&lt;D xsi:type="xsd:double"&gt;0.58403146&lt;/D&gt;&lt;D xsi:type="xsd:double"&gt;0.08747698&lt;/D&gt;&lt;D xsi:type="xsd:double"&gt;0.4562182&lt;/D&gt;&lt;D xsi:type="xsd:double"&gt;0.29861337&lt;/D&gt;&lt;D xsi:type="xsd:double"&gt;0.09899662&lt;/D&gt;&lt;D xsi:type="xsd:double"&gt;0.2750108&lt;/D&gt;&lt;D xsi:type="xsd:double"&gt;0.055835765&lt;/D&gt;&lt;D xsi:type="xsd:double"&gt;0.230152&lt;/D&gt;&lt;D xsi:type="xsd:double"&gt;0.5528843&lt;/D&gt;&lt;D xsi:type="xsd:double"&gt;1&lt;/D&gt;&lt;D xsi:type="xsd:double"&gt;0.36979187&lt;/D&gt;&lt;D xsi:type="xsd:double"&gt;0.5254653&lt;/D&gt;&lt;D xsi:type="xsd:double"&gt;0.009949415&lt;/D&gt;&lt;D xsi:type="xsd:double"&gt;0.48720005&lt;/D&gt;&lt;D xsi:type="xsd:double"&gt;0.36534923&lt;/D&gt;&lt;D xsi:type="xsd:double"&gt;0.3237783&lt;/D&gt;&lt;D xsi:type="xsd:double"&gt;0.08546351&lt;/D&gt;&lt;D xsi:type="xsd:double"&gt;0.02150538&lt;/D&gt;&lt;D xsi:type="xsd:double"&gt;0.23846191&lt;/D&gt;&lt;D xsi:type="xsd:double"&gt;0.21099028&lt;/D&gt;&lt;D xsi:type="xsd:double"&gt;0.40174747&lt;/D&gt;&lt;D xsi:type="xsd:double"&gt;0.095094584&lt;/D&gt;&lt;D xsi:type="xsd:double"&gt;0.39174896&lt;/D&gt;&lt;D xsi:type="xsd:double"&gt;0.07391052&lt;/D&gt;&lt;D xsi:type="xsd:double"&gt;0.051769305&lt;/D&gt;&lt;D xsi:type="xsd:double"&gt;0.1411004&lt;/D&gt;&lt;D xsi:type="xsd:double"&gt;0.08886309&lt;/D&gt;&lt;D xsi:type="xsd:double"&gt;0.33624128&lt;/D&gt;&lt;D xsi:type="xsd:double"&gt;0.35457623&lt;/D&gt;&lt;D xsi:type="xsd:double"&gt;0.50704086&lt;/D&gt;&lt;D xsi:type="xsd:double"&gt;0.29078516&lt;/D&gt;&lt;D xsi:type="xsd:double"&gt;0.46909943&lt;/D&gt;&lt;D xsi:type="xsd:double"&gt;0.04184074&lt;/D&gt;&lt;D xsi:type="xsd:double"&gt;0.14197093&lt;/D&gt;&lt;D xsi:type="xsd:double"&gt;0.22902764&lt;/D&gt;&lt;D xsi:type="xsd:double"&gt;0.36620554&lt;/D&gt;&lt;D xsi:type="xsd:double"&gt;0.18173692&lt;/D&gt;&lt;D xsi:type="xsd:double"&gt;0.3371876&lt;/D&gt;&lt;D xsi:type="xsd:double"&gt;0.2587301&lt;/D&gt;&lt;D xsi:type="xsd:double"&gt;0.42618257&lt;/D&gt;&lt;D xsi:type="xsd:double"&gt;0.38216272&lt;/D&gt;&lt;D xsi:type="xsd:double"&gt;0.17430522&lt;/D&gt;&lt;D xsi:type="xsd:double"&gt;0.11964421&lt;/D&gt;&lt;D xsi:type="xsd:double"&gt;0.040439438&lt;/D&gt;&lt;D xsi:type="xsd:double"&gt;0.3969841&lt;/D&gt;&lt;D xsi:type="xsd:double"&gt;0.15629771&lt;/D&gt;&lt;D xsi:type="xsd:double"&gt;0.034880225&lt;/D&gt;&lt;D xsi:type="xsd:double"&gt;0.21113421&lt;/D&gt;&lt;D xsi:type="xsd:double"&gt;0.086407065&lt;/D&gt;&lt;D xsi:type="xsd:double"&gt;0.1073744&lt;/D&gt;&lt;D xsi:type="xsd:double"&gt;0.08126445&lt;/D&gt;&lt;D xsi:type="xsd:double"&gt;0.1826831&lt;/D&gt;&lt;D xsi:type="xsd:double"&gt;0.08906161&lt;/D&gt;&lt;D xsi:type="xsd:double"&gt;0.20812005&lt;/D&gt;&lt;D xsi:type="xsd:double"&gt;0.027344048&lt;/D&gt;&lt;D xsi:type="xsd:double"&gt;0.2105397&lt;/D&gt;&lt;D xsi:type="xsd:double"&gt;0.17412965&lt;/D&gt;&lt;D xsi:type="xsd:double"&gt;0.020867214&lt;/D&gt;&lt;D xsi:type="xsd:double"&gt;-0.014013442&lt;/D&gt;&lt;D xsi:type="xsd:double"&gt;0.30889213&lt;/D&gt;&lt;D xsi:type="xsd:double"&gt;0.076550595&lt;/D&gt;&lt;D xsi:type="xsd:double"&gt;0.3954329&lt;/D&gt;&lt;D xsi:type="xsd:double"&gt;0.26061854&lt;/D&gt;&lt;D xsi:type="xsd:double"&gt;0.050922558&lt;/D&gt;&lt;D xsi:type="xsd:double"&gt;0.18112548&lt;/D&gt;&lt;D xsi:type="xsd:double"&gt;0.07228331&lt;/D&gt;&lt;D xsi:type="xsd:double"&gt;0.10486679&lt;/D&gt;&lt;D xsi:type="xsd:double"&gt;0.4117508&lt;/D&gt;&lt;D xsi:type="xsd:double"&gt;0.36979187&lt;/D&gt;&lt;D xsi:type="xsd:double"&gt;1&lt;/D&gt;&lt;D xsi:type="xsd:double"&gt;0.38949025&lt;/D&gt;&lt;D xsi:type="xsd:double"&gt;0.020513255&lt;/D&gt;&lt;D xsi:type="xsd:double"&gt;0.38704386&lt;/D&gt;&lt;D xsi:type="xsd:double"&gt;0.26854062&lt;/D&gt;&lt;D xsi:type="xsd:double"&gt;0.19285825&lt;/D&gt;&lt;D xsi:type="xsd:double"&gt;0.04090851&lt;/D&gt;&lt;D xsi:type="xsd:double"&gt;0.035302762&lt;/D&gt;&lt;D xsi:type="xsd:double"&gt;0.11189074&lt;/D&gt;&lt;D xsi:type="xsd:double"&gt;0.13893712&lt;/D&gt;&lt;D xsi:type="xsd:double"&gt;0.19041835&lt;/D&gt;&lt;D xsi:type="xsd:double"&gt;0.036405668&lt;/D&gt;&lt;D xsi:type="xsd:double"&gt;0.46607044&lt;/D&gt;&lt;D xsi:type="xsd:double"&gt;0.06989453&lt;/D&gt;&lt;D xsi:type="xsd:double"&gt;0.00548475&lt;/D&gt;&lt;D xsi:type="xsd:double"&gt;0.06785057&lt;/D&gt;&lt;D xsi:type="xsd:double"&gt;0.05032296&lt;/D&gt;&lt;D xsi:type="xsd:double"&gt;0.20012933&lt;/D&gt;&lt;D xsi:type="xsd:double"&gt;0.19930595&lt;/D&gt;&lt;D xsi:type="xsd:double"&gt;0.38281724&lt;/D&gt;&lt;D xsi:type="xsd:double"&gt;0.16946992&lt;/D&gt;&lt;D xsi:type="xsd:double"&gt;0.24578261&lt;/D&gt;&lt;D xsi:type="xsd:double"&gt;0.05136634&lt;/D&gt;&lt;D xsi:type="xsd:double"&gt;0.068878345&lt;/D&gt;&lt;D xsi:type="xsd:double"&gt;0.06558129&lt;/D&gt;&lt;D xsi:type="xsd:double"&gt;0.2550498&lt;/D&gt;&lt;D xsi:type="xsd:double"&gt;0.120931625&lt;/D&gt;&lt;D xsi:type="xsd:double"&gt;0.1976686&lt;/D&gt;&lt;D xsi:type="xsd:double"&gt;0.24520224&lt;/D&gt;&lt;D xsi:type="xsd:double"&gt;0.29458204&lt;/D&gt;&lt;D xsi:type="xsd:double"&gt;0.27038744&lt;/D&gt;&lt;D xsi:type="xsd:double"&gt;0.44833085&lt;/D&gt;&lt;D xsi:type="xsd:double"&gt;0.25129953&lt;/D&gt;&lt;D xsi:type="xsd:double"&gt;0.07176667&lt;/D&gt;&lt;D xsi:type="xsd:double"&gt;0.487004&lt;/D&gt;&lt;D xsi:type="xsd:double"&gt;0.20698543&lt;/D&gt;&lt;D xsi:type="xsd:double"&gt;0.05961974&lt;/D&gt;&lt;D xsi:type="xsd:double"&gt;0.398293&lt;/D&gt;&lt;D xsi:type="xsd:double"&gt;0.2161317&lt;/D&gt;&lt;D xsi:type="xsd:double"&gt;0.20463815&lt;/D&gt;&lt;D xsi:type="xsd:double"&gt;0.1919496&lt;/D&gt;&lt;D xsi:type="xsd:double"&gt;0.23934513&lt;/D&gt;&lt;D xsi:type="xsd:double"&gt;0.15114455&lt;/D&gt;&lt;D xsi:type="xsd:double"&gt;0.3410932&lt;/D&gt;&lt;D xsi:type="xsd:double"&gt;0.05379607&lt;/D&gt;&lt;D xsi:type="xsd:double"&gt;0.3441946&lt;/D&gt;&lt;D xsi:type="xsd:double"&gt;0.27518234&lt;/D&gt;&lt;D xsi:type="xsd:double"&gt;0.13040671&lt;/D&gt;&lt;D xsi:type="xsd:double"&gt;0.03356908&lt;/D&gt;&lt;D xsi:type="xsd:double"&gt;0.3522306&lt;/D&gt;&lt;D xsi:type="xsd:double"&gt;0.06490566&lt;/D&gt;&lt;D xsi:type="xsd:double"&gt;0.39013124&lt;/D&gt;&lt;D xsi:type="xsd:double"&gt;0.29089186&lt;/D&gt;&lt;D xsi:type="xsd:double"&gt;0.097886704&lt;/D&gt;&lt;D xsi:type="xsd:double"&gt;0.28056657&lt;/D&gt;&lt;D xsi:type="xsd:double"&gt;0.08297587&lt;/D&gt;&lt;D xsi:type="xsd:double"&gt;0.22857499&lt;/D&gt;&lt;D xsi:type="xsd:double"&gt;0.53240013&lt;/D&gt;&lt;D xsi:type="xsd:double"&gt;0.5254653&lt;/D&gt;&lt;D xsi:type="xsd:double"&gt;0.38949025&lt;/D&gt;&lt;D xsi:type="xsd:double"&gt;1&lt;/D&gt;&lt;D xsi:type="xsd:double"&gt;0.026812218&lt;/D&gt;&lt;D xsi:type="xsd:double"&gt;0.5099738&lt;/D&gt;&lt;D xsi:type="xsd:double"&gt;0.3301902&lt;/D&gt;&lt;D xsi:type="xsd:double"&gt;0.31472763&lt;/D&gt;&lt;D xsi:type="xsd:double"&gt;0.04489124&lt;/D&gt;&lt;D xsi:type="xsd:double"&gt;0.032531306&lt;/D&gt;&lt;D xsi:type="xsd:double"&gt;0.22903974&lt;/D&gt;&lt;D xsi:type="xsd:double"&gt;0.2665965&lt;/D&gt;&lt;D xsi:type="xsd:double"&gt;0.24495742&lt;/D&gt;&lt;D xsi:type="xsd:double"&gt;0.08712015&lt;/D&gt;&lt;D xsi:type="xsd:double"&gt;0.4301372&lt;/D&gt;&lt;D xsi:type="xsd:double"&gt;0.07941347&lt;/D&gt;&lt;D xsi:type="xsd:double"&gt;0.10830944&lt;/D&gt;&lt;D xsi:type="xsd:double"&gt;0.12936945&lt;/D&gt;&lt;D xsi:type="xsd:double"&gt;0.109048374&lt;/D&gt;&lt;D xsi:type="xsd:double"&gt;0.3735116&lt;/D&gt;&lt;D xsi:type="xsd:double"&gt;0.3197323&lt;/D&gt;&lt;D xsi:type="xsd:double"&gt;0.50520307&lt;/D&gt;&lt;D xsi:type="xsd:double"&gt;0.3034352&lt;/D&gt;&lt;D xsi:type="xsd:double"&gt;0.36476612&lt;/D&gt;&lt;D xsi:type="xsd:double"&gt;0.06473559&lt;/D&gt;&lt;D xsi:type="xsd:double"&gt;0.10715157&lt;/D&gt;&lt;D xsi:type="xsd:double"&gt;0.2077064&lt;/D&gt;&lt;D xsi:type="xsd:double"&gt;0.36543047&lt;/D&gt;&lt;D xsi:type="xsd:double"&gt;0.22951618&lt;/D&gt;&lt;D xsi:type="xsd:double"&gt;0.31931967&lt;/D&gt;&lt;D xsi:type="xsd:double"&gt;0.26529393&lt;/D&gt;&lt;D xsi:type="xsd:double"&gt;0.37820578&lt;/D&gt;&lt;D xsi:type="xsd:double"&gt;0.39658588&lt;/D&gt;&lt;D xsi:type="xsd:double"&gt;0.09664128&lt;/D&gt;&lt;D xsi:type="xsd:double"&gt;0.11732159&lt;/D&gt;&lt;D xsi:type="xsd:double"&gt;0.04872398&lt;/D&gt;&lt;D xsi:type="xsd:double"&gt;0.004891051&lt;/D&gt;&lt;D xsi:type="xsd:double"&gt;0.005258511&lt;/D&gt;&lt;D xsi:type="xsd:double"&gt;0.029118108&lt;/D&gt;&lt;D xsi:type="xsd:double"&gt;0.08666217&lt;/D&gt;&lt;D xsi:type="xsd:double"&gt;0.11234039&lt;/D&gt;&lt;D xsi:type="xsd:double"&gt;0.013564673&lt;/D&gt;&lt;D xsi:type="xsd:double"&gt;0.09402683&lt;/D&gt;&lt;D xsi:type="xsd:double"&gt;0.061221194&lt;/D&gt;&lt;D xsi:type="xsd:double"&gt;0.03355292&lt;/D&gt;&lt;D xsi:type="xsd:double"&gt;0.08344504&lt;/D&gt;&lt;D xsi:type="xsd:double"&gt;0.30702692&lt;/D&gt;&lt;D xsi:type="xsd:double"&gt;0.10647436&lt;/D&gt;&lt;D xsi:type="xsd:double"&gt;0.07832818&lt;/D&gt;&lt;D xsi:type="xsd:double"&gt;0.06578725&lt;/D&gt;&lt;D xsi:type="xsd:double"&gt;0.41233557&lt;/D&gt;&lt;D xsi:type="xsd:double"&gt;-0.029282263&lt;/D&gt;&lt;D xsi:type="xsd:double"&gt;0.16245347&lt;/D&gt;&lt;D xsi:type="xsd:double"&gt;-0.03091307&lt;/D&gt;&lt;D xsi:type="xsd:double"&gt;0.06747609&lt;/D&gt;&lt;D xsi:type="xsd:double"&gt;0.13134651&lt;/D&gt;&lt;D xsi:type="xsd:double"&gt;0.08353291&lt;/D&gt;&lt;D xsi:type="xsd:double"&gt;0.09167201&lt;/D&gt;&lt;D xsi:type="xsd:double"&gt;0.055343743&lt;/D&gt;&lt;D xsi:type="xsd:double"&gt;0.01804348&lt;/D&gt;&lt;D xsi:type="xsd:double"&gt;0.009949415&lt;/D&gt;&lt;D xsi:type="xsd:double"&gt;0.020513255&lt;/D&gt;&lt;D xsi:type="xsd:double"&gt;0.026812218&lt;/D&gt;&lt;D xsi:type="xsd:double"&gt;1&lt;/D&gt;&lt;D xsi:type="xsd:double"&gt;0.07664426&lt;/D&gt;&lt;D xsi:type="xsd:double"&gt;0.05561929&lt;/D&gt;&lt;D xsi:type="xsd:double"&gt;0.07877092&lt;/D&gt;&lt;D xsi:type="xsd:double"&gt;0.31576818&lt;/D&gt;&lt;D xsi:type="xsd:double"&gt;0.44263995&lt;/D&gt;&lt;D xsi:type="xsd:double"&gt;0.023914205&lt;/D&gt;&lt;D xsi:type="xsd:double"&gt;0.06475415&lt;/D&gt;&lt;D xsi:type="xsd:double"&gt;0.07039756&lt;/D&gt;&lt;D xsi:type="xsd:double"&gt;0.26033136&lt;/D&gt;&lt;D xsi:type="xsd:double"&gt;0.06411737&lt;/D&gt;&lt;D xsi:type="xsd:double"&gt;0.15083618&lt;/D&gt;&lt;D xsi:type="xsd:double"&gt;0.08272657&lt;/D&gt;&lt;D xsi:type="xsd:double"&gt;0.07474769&lt;/D&gt;&lt;D xsi:type="xsd:double"&gt;0.11901885&lt;/D&gt;&lt;D xsi:type="xsd:double"&gt;0.049190138&lt;/D&gt;&lt;D xsi:type="xsd:double"&gt;0.028915746&lt;/D&gt;&lt;D xsi:type="xsd:double"&gt;0.052336283&lt;/D&gt;&lt;D xsi:type="xsd:double"&gt;0.09252827&lt;/D&gt;&lt;D xsi:type="xsd:double"&gt;0.030391136&lt;/D&gt;&lt;D xsi:type="xsd:double"&gt;0.3893183&lt;/D&gt;&lt;D xsi:type="xsd:double"&gt;0.047542106&lt;/D&gt;&lt;D xsi:type="xsd:double"&gt;0.055302408&lt;/D&gt;&lt;D xsi:type="xsd:double"&gt;0.006628398&lt;/D&gt;&lt;D xsi:type="xsd:double"&gt;0.10137699&lt;/D&gt;&lt;D xsi:type="xsd:double"&gt;0.08751341&lt;/D&gt;&lt;D xsi:type="xsd:double"&gt;0.051210653&lt;/D&gt;&lt;D xsi:type="xsd:double"&gt;0.01657844&lt;/D&gt;&lt;D xsi:type="xsd:double"&gt;0.025663476&lt;/D&gt;&lt;D xsi:type="xsd:double"&gt;0.30196637&lt;/D&gt;&lt;D xsi:type="xsd:double"&gt;0.22978368&lt;/D&gt;&lt;D xsi:type="xsd:double"&gt;0.04189216&lt;/D&gt;&lt;D xsi:type="xsd:double"&gt;0.52945894&lt;/D&gt;&lt;D xsi:type="xsd:double"&gt;0.23356366&lt;/D&gt;&lt;D xsi:type="xsd:double"&gt;0.08956034&lt;/D&gt;&lt;D xsi:type="xsd:double"&gt;0.33198673&lt;/D&gt;&lt;D xsi:type="xsd:double"&gt;0.19858941&lt;/D&gt;&lt;D xsi:type="xsd:double"&gt;0.20788386&lt;/D&gt;&lt;D xsi:type="xsd:double"&gt;0.15499835&lt;/D&gt;&lt;D xsi:type="xsd:double"&gt;0.21409726&lt;/D&gt;&lt;D xsi:type="xsd:double"&gt;0.12551257&lt;/D&gt;&lt;D xsi:type="xsd:double"&gt;0.3331386&lt;/D&gt;&lt;D xsi:type="xsd:double"&gt;0.0605242&lt;/D&gt;&lt;D xsi:type="xsd:double"&gt;0.29049096&lt;/D&gt;&lt;D xsi:type="xsd:double"&gt;0.20338549&lt;/D&gt;&lt;D xsi:type="xsd:double"&gt;0.08521952&lt;/D&gt;&lt;D xsi:type="xsd:double"&gt;0.06776621&lt;/D&gt;&lt;D xsi:type="xsd:double"&gt;0.31727365&lt;/D&gt;&lt;D xsi:type="xsd:double"&gt;0.07206055&lt;/D&gt;&lt;D xsi:type="xsd:double"&gt;0.40349433&lt;/D&gt;&lt;D xsi:type="xsd:double"&gt;0.2799415&lt;/D&gt;&lt;D xsi:type="xsd:double"&gt;0.057656076&lt;/D&gt;&lt;D xsi:type="xsd:double"&gt;0.28982103&lt;/D&gt;&lt;D xsi:type="xsd:double"&gt;0.1231703&lt;/D&gt;&lt;D xsi:type="xsd:double"&gt;0.20235938&lt;/D&gt;&lt;D xsi:type="xsd:double"&gt;0.5597242&lt;/D&gt;&lt;D xsi:type="xsd:double"&gt;0.48720005&lt;/D&gt;&lt;D xsi:type="xsd:double"&gt;0.38704386&lt;/D&gt;&lt;D xsi:type="xsd:double"&gt;0.5099738&lt;/D&gt;&lt;D xsi:type="xsd:double"&gt;0.07664426&lt;/D&gt;&lt;D xsi:type="xsd:double"&gt;1&lt;/D&gt;&lt;D xsi:type="xsd:double"&gt;0.32819772&lt;/D&gt;&lt;D xsi:type="xsd:double"&gt;0.28112835&lt;/D&gt;&lt;D xsi:type="xsd:double"&gt;0.06567063&lt;/D&gt;&lt;D xsi:type="xsd:double"&gt;0.08015814&lt;/D&gt;&lt;D xsi:type="xsd:double"&gt;0.17065972&lt;/D&gt;&lt;D xsi:type="xsd:double"&gt;0.25559896&lt;/D&gt;&lt;D xsi:type="xsd:double"&gt;0.157835&lt;/D&gt;&lt;D xsi:type="xsd:double"&gt;0.09027746&lt;/D&gt;&lt;D xsi:type="xsd:double"&gt;0.46738172&lt;/D&gt;&lt;D xsi:type="xsd:double"&gt;0.063897446&lt;/D&gt;&lt;D xsi:type="xsd:double"&gt;0.05726672&lt;/D&gt;&lt;D xsi:type="xsd:double"&gt;0.14796448&lt;/D&gt;&lt;D xsi:type="xsd:double"&gt;0.084487274&lt;/D&gt;&lt;D xsi:type="xsd:double"&gt;0.28610143&lt;/D&gt;&lt;D xsi:type="xsd:double"&gt;0.2579623&lt;/D&gt;&lt;D xsi:type="xsd:double"&gt;0.6149831&lt;/D&gt;&lt;D xsi:type="xsd:double"&gt;0.27863607&lt;/D&gt;&lt;D xsi:type="xsd:double"&gt;0.34912246&lt;/D&gt;&lt;D xsi:type="xsd:double"&gt;0.12375406&lt;/D&gt;&lt;D xsi:type="xsd:double"&gt;0.13513255&lt;/D&gt;&lt;D xsi:type="xsd:double"&gt;0.19294806&lt;/D&gt;&lt;D xsi:type="xsd:double"&gt;0.36900923&lt;/D&gt;&lt;D xsi:type="xsd:double"&gt;0.17546523&lt;/D&gt;&lt;D xsi:type="xsd:double"&gt;0.2994278&lt;/D&gt;&lt;D xsi:type="xsd:double"&gt;0.27699387&lt;/D&gt;&lt;D xsi:type="xsd:double"&gt;0.36494964&lt;/D&gt;&lt;D xsi:type="xsd:double"&gt;0.39001602&lt;/D&gt;&lt;D xsi:type="xsd:double"&gt;0.19476128&lt;/D&gt;&lt;D xsi:type="xsd:double"&gt;0.13224563&lt;/D&gt;&lt;D xsi:type="xsd:double"&gt;0.04530947&lt;/D&gt;&lt;D xsi:type="xsd:double"&gt;0.2559938&lt;/D&gt;&lt;D xsi:type="xsd:double"&gt;0.105211444&lt;/D&gt;&lt;D xsi:type="xsd:double"&gt;-0.01689756&lt;/D&gt;&lt;D xsi:type="xsd:double"&gt;0.22068276&lt;/D&gt;&lt;D xsi:type="xsd:double"&gt;0.10971255&lt;/D&gt;&lt;D xsi:type="xsd:double"&gt;0.21476322&lt;/D&gt;&lt;D xsi:type="xsd:double"&gt;0.18644848&lt;/D&gt;&lt;D xsi:type="xsd:double"&gt;0.13434663&lt;/D&gt;&lt;D xsi:type="xsd:double"&gt;0.16677205&lt;/D&gt;&lt;D xsi:type="xsd:double"&gt;0.2003357&lt;/D&gt;&lt;D xsi:type="xsd:double"&gt;0.0426414&lt;/D&gt;&lt;D xsi:type="xsd:double"&gt;0.20589966&lt;/D&gt;&lt;D xsi:type="xsd:double"&gt;0.20161387&lt;/D&gt;&lt;D xsi:type="xsd:double"&gt;0.16772255&lt;/D&gt;&lt;D xsi:type="xsd:double"&gt;0.045703832&lt;/D&gt;&lt;D xsi:type="xsd:double"&gt;0.25940686&lt;/D&gt;&lt;D xsi:type="xsd:double"&gt;-0.005796319&lt;/D&gt;&lt;D xsi:type="xsd:double"&gt;0.24744223&lt;/D&gt;&lt;D xsi:type="xsd:double"&gt;0.17652567&lt;/D&gt;&lt;D xsi:type="xsd:double"&gt;0.021644942&lt;/D&gt;&lt;D xsi:type="xsd:double"&gt;0.14438145&lt;/D&gt;&lt;D xsi:type="xsd:double"&gt;0.15468986&lt;/D&gt;&lt;D xsi:type="xsd:double"&gt;0.39562446&lt;/D&gt;&lt;D xsi:type="xsd:double"&gt;0.32983565&lt;/D&gt;&lt;D xsi:type="xsd:double"&gt;0.36534923&lt;/D&gt;&lt;D xsi:type="xsd:double"&gt;0.26854062&lt;/D&gt;&lt;D xsi:type="xsd:double"&gt;0.3301902&lt;/D&gt;&lt;D xsi:type="xsd:double"&gt;0.05561929&lt;/D&gt;&lt;D xsi:type="xsd:double"&gt;0.32819772&lt;/D&gt;&lt;D xsi:type="xsd:double"&gt;1&lt;/D&gt;&lt;D xsi:type="xsd:double"&gt;0.16974665&lt;/D&gt;&lt;D xsi:type="xsd:double"&gt;0.046746846&lt;/D&gt;&lt;D xsi:type="xsd:double"&gt;0.06184448&lt;/D&gt;&lt;D xsi:type="xsd:double"&gt;0.16715945&lt;/D&gt;&lt;D xsi:type="xsd:double"&gt;0.122657225&lt;/D&gt;&lt;D xsi:type="xsd:double"&gt;0.18277436&lt;/D&gt;&lt;D xsi:type="xsd:double"&gt;-0.0043930067&lt;/D&gt;&lt;D xsi:type="xsd:double"&gt;0.2942734&lt;/D&gt;&lt;D xsi:type="xsd:double"&gt;-0.011254797&lt;/D&gt;&lt;D xsi:type="xsd:double"&gt;0.11822828&lt;/D&gt;&lt;D xsi:type="xsd:double"&gt;0.114879444&lt;/D&gt;&lt;D xsi:type="xsd:double"&gt;0.030761579&lt;/D&gt;&lt;D xsi:type="xsd:double"&gt;0.20396914&lt;/D&gt;&lt;D xsi:type="xsd:double"&gt;0.19387071&lt;/D&gt;&lt;D xsi:type="xsd:double"&gt;0.2685889&lt;/D&gt;&lt;D xsi:type="xsd:double"&gt;0.19437598&lt;/D&gt;&lt;D xsi:type="xsd:double"&gt;0.22601563&lt;/D&gt;&lt;D xsi:type="xsd:double"&gt;0.072121896&lt;/D&gt;&lt;D xsi:type="xsd:double"&gt;0.048805706&lt;/D&gt;&lt;D xsi:type="xsd:double"&gt;0.27850983&lt;/D&gt;&lt;D xsi:type="xsd:double"&gt;0.25566268&lt;/D&gt;&lt;D xsi:type="xsd:double"&gt;0.22220342&lt;/D&gt;&lt;D xsi:type="xsd:double"&gt;0.21079846&lt;/D&gt;&lt;D xsi:type="xsd:double"&gt;0.23561652&lt;/D&gt;&lt;D xsi:type="xsd:double"&gt;0.32205036&lt;/D&gt;&lt;D xsi:type="xsd:double"&gt;0.28253457&lt;/D&gt;&lt;D xsi:type="xsd:double"&gt;0.45068923&lt;/D&gt;&lt;D xsi:type="xsd:double"&gt;0.4687992&lt;/D&gt;&lt;D xsi:type="xsd:double"&gt;0.1214835&lt;/D&gt;&lt;D xsi:type="xsd:double"&gt;0.3102515&lt;/D&gt;&lt;D xsi:type="xsd:double"&gt;0.15255003&lt;/D&gt;&lt;D xsi:type="xsd:double"&gt;0.12580122&lt;/D&gt;&lt;D xsi:type="xsd:double"&gt;0.5183201&lt;/D&gt;&lt;D xsi:type="xsd:double"&gt;0.37212124&lt;/D&gt;&lt;D xsi:type="xsd:double"&gt;0.05825427&lt;/D&gt;&lt;D xsi:type="xsd:double"&gt;0.40697232&lt;/D&gt;&lt;D xsi:type="xsd:double"&gt;0.39552015&lt;/D&gt;&lt;D xsi:type="xsd:double"&gt;0.26248518&lt;/D&gt;&lt;D xsi:type="xsd:double"&gt;0.49137184&lt;/D&gt;&lt;D xsi:type="xsd:double"&gt;0.12640098&lt;/D&gt;&lt;D xsi:type="xsd:double"&gt;0.49854836&lt;/D&gt;&lt;D xsi:type="xsd:double"&gt;0.47497505&lt;/D&gt;&lt;D xsi:type="xsd:double"&gt;0.23667717&lt;/D&gt;&lt;D xsi:type="xsd:double"&gt;0.03498125&lt;/D&gt;&lt;D xsi:type="xsd:double"&gt;0.2698697&lt;/D&gt;&lt;D xsi:type="xsd:double"&gt;0.0946327&lt;/D&gt;&lt;D xsi:type="xsd:double"&gt;0.2736088&lt;/D&gt;&lt;D xsi:type="xsd:double"&gt;0.11863407&lt;/D&gt;&lt;D xsi:type="xsd:double"&gt;0.13937223&lt;/D&gt;&lt;D xsi:type="xsd:double"&gt;0.38528058&lt;/D&gt;&lt;D xsi:type="xsd:double"&gt;0.21575737&lt;/D&gt;&lt;D xsi:type="xsd:double"&gt;0.044888973&lt;/D&gt;&lt;D xsi:type="xsd:double"&gt;0.33743078&lt;/D&gt;&lt;D xsi:type="xsd:double"&gt;0.3237783&lt;/D&gt;&lt;D xsi:type="xsd:double"&gt;0.19285825&lt;/D&gt;&lt;D xsi:type="xsd:double"&gt;0.31472763&lt;/D&gt;&lt;D xsi:type="xsd:double"&gt;0.07877092&lt;/D&gt;&lt;D xsi:type="xsd:double"&gt;0.28112835&lt;/D&gt;&lt;D xsi:type="xsd:double"&gt;0.16974665&lt;/D&gt;&lt;D xsi:type="xsd:double"&gt;1&lt;/D&gt;&lt;D xsi:type="xsd:double"&gt;0.09543982&lt;/D&gt;&lt;D xsi:type="xsd:double"&gt;0.05490297&lt;/D&gt;&lt;D xsi:type="xsd:double"&gt;0.099916354&lt;/D&gt;&lt;D xsi:type="xsd:double"&gt;0.2696368&lt;/D&gt;&lt;D xsi:type="xsd:double"&gt;0.40175304&lt;/D&gt;&lt;D xsi:type="xsd:double"&gt;0.15525861&lt;/D&gt;&lt;D xsi:type="xsd:double"&gt;0.19535096&lt;/D&gt;&lt;D xsi:type="xsd:double"&gt;0.18072715&lt;/D&gt;&lt;D xsi:type="xsd:double"&gt;0.26411316&lt;/D&gt;&lt;D xsi:type="xsd:double"&gt;0.26467323&lt;/D&gt;&lt;D xsi:type="xsd:double"&gt;0.14342009&lt;/D&gt;&lt;D xsi:type="xsd:double"&gt;0.64671034&lt;/D&gt;&lt;D xsi:type="xsd:double"&gt;0.6102472&lt;/D&gt;&lt;D xsi:type="xsd:double"&gt;0.21219453&lt;/D&gt;&lt;D xsi:type="xsd:double"&gt;0.38943458&lt;/D&gt;&lt;D xsi:type="xsd:double"&gt;0.32464433&lt;/D&gt;&lt;D xsi:type="xsd:double"&gt;0.13950974&lt;/D&gt;&lt;D xsi:type="xsd:double"&gt;0.26061296&lt;/D&gt;&lt;D xsi:type="xsd:double"&gt;0.116483584&lt;/D&gt;&lt;D xsi:type="xsd:double"&gt;0.20739448&lt;/D&gt;&lt;D xsi:type="xsd:double"&gt;0.3786897&lt;/D&gt;&lt;D xsi:type="xsd:double"&gt;0.48931044&lt;/D&gt;&lt;D xsi:type="xsd:double"&gt;0.12319623&lt;/D&gt;&lt;D xsi:type="xsd:double"&gt;0.21383467&lt;/D&gt;&lt;D xsi:type="xsd:double"&gt;0.17939897&lt;/D&gt;&lt;D xsi:type="xsd:double"&gt;0.13730615&lt;/D&gt;&lt;D xsi:type="xsd:double"&gt;0.13212422&lt;/D&gt;&lt;D xsi:type="xsd:double"&gt;0.094915055&lt;/D&gt;&lt;D xsi:type="xsd:double"&gt;0.04808809&lt;/D&gt;&lt;D xsi:type="xsd:double"&gt;0.03721305&lt;/D&gt;&lt;D xsi:type="xsd:double"&gt;0.13609755&lt;/D&gt;&lt;D xsi:type="xsd:double"&gt;0.110482775&lt;/D&gt;&lt;D xsi:type="xsd:double"&gt;0.112034306&lt;/D&gt;&lt;D xsi:type="xsd:double"&gt;0.007889109&lt;/D&gt;&lt;D xsi:type="xsd:double"&gt;0.111709185&lt;/D&gt;&lt;D xsi:type="xsd:double"&gt;0.11131076&lt;/D&gt;&lt;D xsi:type="xsd:double"&gt;0.0601454&lt;/D&gt;&lt;D xsi:type="xsd:double"&gt;0.10381844&lt;/D&gt;&lt;D xsi:type="xsd:double"&gt;0.38480848&lt;/D&gt;&lt;D xsi:type="xsd:double"&gt;0.12347774&lt;/D&gt;&lt;D xsi:type="xsd:double"&gt;0.11944839&lt;/D&gt;&lt;D xsi:type="xsd:double"&gt;0.10644768&lt;/D&gt;&lt;D xsi:type="xsd:double"&gt;0.27410004&lt;/D&gt;&lt;D xsi:type="xsd:double"&gt;0.08343614&lt;/D&gt;&lt;D xsi:type="xsd:double"&gt;0.17701577&lt;/D&gt;&lt;D xsi:type="xsd:double"&gt;0.019627945&lt;/D&gt;&lt;D xsi:type="xsd:double"&gt;0.06417513&lt;/D&gt;&lt;D xsi:type="xsd:double"&gt;0.18843628&lt;/D&gt;&lt;D xsi:type="xsd:double"&gt;0.12761296&lt;/D&gt;&lt;D xsi:type="xsd:double"&gt;0.1028858&lt;/D&gt;&lt;D xsi:type="xsd:double"&gt;0.027315712&lt;/D&gt;&lt;D xsi:type="xsd:double"&gt;0.04708898&lt;/D&gt;&lt;D xsi:type="xsd:double"&gt;0.08546351&lt;/D&gt;&lt;D xsi:type="xsd:double"&gt;0.04090851&lt;/D&gt;&lt;D xsi:type="xsd:double"&gt;0.04489124&lt;/D&gt;&lt;D xsi:type="xsd:double"&gt;0.31576818&lt;/D&gt;&lt;D xsi:type="xsd:double"&gt;0.06567063&lt;/D&gt;&lt;D xsi:type="xsd:double"&gt;0.046746846&lt;/D&gt;&lt;D xsi:type="xsd:double"&gt;0.09543982&lt;/D&gt;&lt;D xsi:type="xsd:double"&gt;1&lt;/D&gt;&lt;D xsi:type="xsd:double"&gt;0.3444013&lt;/D&gt;&lt;D xsi:type="xsd:double"&gt;-0.026372792&lt;/D&gt;&lt;D xsi:type="xsd:double"&gt;0.07709677&lt;/D&gt;&lt;D xsi:type="xsd:double"&gt;0.1337674&lt;/D&gt;&lt;D xsi:type="xsd:double"&gt;0.37131444&lt;/D&gt;&lt;D xsi:type="xsd:double"&gt;0.033298858&lt;/D&gt;&lt;D xsi:type="xsd:double"&gt;0.23621112&lt;/D&gt;&lt;D xsi:type="xsd:double"&gt;0.060302325&lt;/D&gt;&lt;D xsi:type="xsd:double"&gt;0.09565465&lt;/D&gt;&lt;D xsi:type="xsd:double"&gt;0.17895141&lt;/D&gt;&lt;D xsi:type="xsd:double"&gt;0.13123126&lt;/D&gt;&lt;D xsi:type="xsd:double"&gt;0.07800804&lt;/D&gt;&lt;D xsi:type="xsd:double"&gt;0.079770505&lt;/D&gt;&lt;D xsi:type="xsd:double"&gt;0.15852267&lt;/D&gt;&lt;D xsi:type="xsd:double"&gt;0.061140373&lt;/D&gt;&lt;D xsi:type="xsd:double"&gt;0.45050314&lt;/D&gt;&lt;D xsi:type="xsd:double"&gt;0.07814627&lt;/D&gt;&lt;D xsi:type="xsd:double"&gt;0.07262524&lt;/D&gt;&lt;D xsi:type="xsd:double"&gt;0.021275228&lt;/D&gt;&lt;D xsi:type="xsd:double"&gt;0.14185216&lt;/D&gt;&lt;D xsi:type="xsd:double"&gt;0.13428807&lt;/D&gt;&lt;D xsi:type="xsd:double"&gt;0.055262&lt;/D&gt;&lt;D xsi:type="xsd:double"&gt;0.057023384&lt;/D&gt;&lt;D xsi:type="xsd:double"&gt;0.079345495&lt;/D&gt;&lt;D xsi:type="xsd:double"&gt;0.10514353&lt;/D&gt;&lt;D xsi:type="xsd:double"&gt;0.08752199&lt;/D&gt;&lt;D xsi:type="xsd:double"&gt;0.077587046&lt;/D&gt;&lt;D xsi:type="xsd:double"&gt;0.029196503&lt;/D&gt;&lt;D xsi:type="xsd:double"&gt;0.035090685&lt;/D&gt;&lt;D xsi:type="xsd:double"&gt;0.09606982&lt;/D&gt;&lt;D xsi:type="xsd:double"&gt;0.09294506&lt;/D&gt;&lt;D xsi:type="xsd:double"&gt;0.10828794&lt;/D&gt;&lt;D xsi:type="xsd:double"&gt;0.029668061&lt;/D&gt;&lt;D xsi:type="xsd:double"&gt;0.10762499&lt;/D&gt;&lt;D xsi:type="xsd:double"&gt;0.066500075&lt;/D&gt;&lt;D xsi:type="xsd:double"&gt;0.0410142&lt;/D&gt;&lt;D xsi:type="xsd:double"&gt;0.05432115&lt;/D&gt;&lt;D xsi:type="xsd:double"&gt;0.37526366&lt;/D&gt;&lt;D xsi:type="xsd:double"&gt;0.09567576&lt;/D&gt;&lt;D xsi:type="xsd:double"&gt;0.05122216&lt;/D&gt;&lt;D xsi:type="xsd:double"&gt;0.10195105&lt;/D&gt;&lt;D xsi:type="xsd:double"&gt;0.27940333&lt;/D&gt;&lt;D xsi:type="xsd:double"&gt;-0.023900593&lt;/D&gt;&lt;D xsi:type="xsd:double"&gt;0.18637526&lt;/D&gt;&lt;D xsi:type="xsd:double"&gt;-0.00636197&lt;/D&gt;&lt;D xsi:type="xsd:double"&gt;0.048707478&lt;/D&gt;&lt;D xsi:type="xsd:double"&gt;0.18678248&lt;/D&gt;&lt;D xsi:type="xsd:double"&gt;0.10061295&lt;/D&gt;&lt;D xsi:type="xsd:double"&gt;0.07795534&lt;/D&gt;&lt;D xsi:type="xsd:double"&gt;0.08181847&lt;/D&gt;&lt;D xsi:type="xsd:double"&gt;0.02482555&lt;/D&gt;&lt;D xsi:type="xsd:double"&gt;0.02150538&lt;/D&gt;&lt;D xsi:type="xsd:double"&gt;0.035302762&lt;/D&gt;&lt;D xsi:type="xsd:double"&gt;0.032531306&lt;/D&gt;&lt;D xsi:type="xsd:double"&gt;0.44263995&lt;/D&gt;&lt;D xsi:type="xsd:double"&gt;0.08015814&lt;/D&gt;&lt;D xsi:type="xsd:double"&gt;0.06184448&lt;/D&gt;&lt;D xsi:type="xsd:double"&gt;0.05490297&lt;/D&gt;&lt;D xsi:type="xsd:double"&gt;0.3444013&lt;/D&gt;&lt;D xsi:type="xsd:double"&gt;1&lt;/D&gt;&lt;D xsi:type="xsd:double"&gt;-0.005013226&lt;/D&gt;&lt;D xsi:type="xsd:double"&gt;0.10227792&lt;/D&gt;&lt;D xsi:type="xsd:double"&gt;0.04877782&lt;/D&gt;&lt;D xsi:type="xsd:double"&gt;0.26844725&lt;/D&gt;&lt;D xsi:type="xsd:double"&gt;0.061652012&lt;/D&gt;&lt;D xsi:type="xsd:double"&gt;0.17539982&lt;/D&gt;&lt;D xsi:type="xsd:double"&gt;0.04856633&lt;/D&gt;&lt;D xsi:type="xsd:double"&gt;0.069541655&lt;/D&gt;&lt;D xsi:type="xsd:double"&gt;0.17818011&lt;/D&gt;&lt;D xsi:type="xsd:double"&gt;0.05938694&lt;/D&gt;&lt;D xsi:type="xsd:double"&gt;0.028724976&lt;/D&gt;&lt;D xsi:type="xsd:double"&gt;0.05416689&lt;/D&gt;&lt;D xsi:type="xsd:double"&gt;0.091509&lt;/D&gt;&lt;D xsi:type="xsd:double"&gt;0.029599085&lt;/D&gt;&lt;D xsi:type="xsd:double"&gt;0.44056708&lt;/D&gt;&lt;D xsi:type="xsd:double"&gt;0.06627741&lt;/D&gt;&lt;D xsi:type="xsd:double"&gt;0.07220175&lt;/D&gt;&lt;D xsi:type="xsd:double"&gt;0.0078353165&lt;/D&gt;&lt;D xsi:type="xsd:double"&gt;0.11442189&lt;/D&gt;&lt;D xsi:type="xsd:double"&gt;0.07437405&lt;/D&gt;&lt;D xsi:type="xsd:double"&gt;0.0539621&lt;/D&gt;&lt;D xsi:type="xsd:double"&gt;0.047677625&lt;/D&gt;&lt;D xsi:type="xsd:double"&gt;0.030800143&lt;/D&gt;&lt;D xsi:type="xsd:double"&gt;0.108049855&lt;/D&gt;&lt;D xsi:type="xsd:double"&gt;0.07184414&lt;/D&gt;&lt;D xsi:type="xsd:double"&gt;0.06316819&lt;/D&gt;&lt;D xsi:type="xsd:double"&gt;0.16148512&lt;/D&gt;&lt;D xsi:type="xsd:double"&gt;0.031156102&lt;/D&gt;&lt;D xsi:type="xsd:double"&gt;0.022934861&lt;/D&gt;&lt;D xsi:type="xsd:double"&gt;0.12530355&lt;/D&gt;&lt;D xsi:type="xsd:double"&gt;0.19156912&lt;/D&gt;&lt;D xsi:type="xsd:double"&gt;0.43334287&lt;/D&gt;&lt;D xsi:type="xsd:double"&gt;0.09608698&lt;/D&gt;&lt;D xsi:type="xsd:double"&gt;0.024806133&lt;/D&gt;&lt;D xsi:type="xsd:double"&gt;0.09473575&lt;/D&gt;&lt;D xsi:type="xsd:double"&gt;0.08548139&lt;/D&gt;&lt;D xsi:type="xsd:double"&gt;0.025283761&lt;/D&gt;&lt;D xsi:type="xsd:double"&gt;0.1258521&lt;/D&gt;&lt;D xsi:type="xsd:double"&gt;0.08625954&lt;/D&gt;&lt;D xsi:type="xsd:double"&gt;0.2444693&lt;/D&gt;&lt;D xsi:type="xsd:double"&gt;0.044223208&lt;/D&gt;&lt;D xsi:type="xsd:double"&gt;0.12553738&lt;/D&gt;&lt;D xsi:type="xsd:double"&gt;-0.0050917407&lt;/D&gt;&lt;D xsi:type="xsd:double"&gt;0.14541464&lt;/D&gt;&lt;D xsi:type="xsd:double"&gt;0.1533686&lt;/D&gt;&lt;D xsi:type="xsd:double"&gt;-0.032391448&lt;/D&gt;&lt;D xsi:type="xsd:double"&gt;0.12701933&lt;/D&gt;&lt;D xsi:type="xsd:double"&gt;0.09447268&lt;/D&gt;&lt;D xsi:type="xsd:double"&gt;0.20455185&lt;/D&gt;&lt;D xsi:type="xsd:double"&gt;0.17629097&lt;/D&gt;&lt;D xsi:type="xsd:double"&gt;0.23846191&lt;/D&gt;&lt;D xsi:type="xsd:double"&gt;0.11189074&lt;/D&gt;&lt;D xsi:type="xsd:double"&gt;0.22903974&lt;/D&gt;&lt;D xsi:type="xsd:double"&gt;0.023914205&lt;/D&gt;&lt;D xsi:type="xsd:double"&gt;0.17065972&lt;/D&gt;&lt;D xsi:type="xsd:double"&gt;0.16715945&lt;/D&gt;&lt;D xsi:type="xsd:double"&gt;0.099916354&lt;/D&gt;&lt;D xsi:type="xsd:double"&gt;-0.026372792&lt;/D&gt;&lt;D xsi:type="xsd:double"&gt;-0.005013226&lt;/D&gt;&lt;D xsi:type="xsd:double"&gt;1&lt;/D&gt;&lt;D xsi:type="xsd:double"&gt;0.14794247&lt;/D&gt;&lt;D xsi:type="xsd:double"&gt;0.09842036&lt;/D&gt;&lt;D xsi:type="xsd:double"&gt;0.049837377&lt;/D&gt;&lt;D xsi:type="xsd:double"&gt;0.1423626&lt;/D&gt;&lt;D xsi:type="xsd:double"&gt;-0.027349079&lt;/D&gt;&lt;D xsi:type="xsd:double"&gt;0.2418007&lt;/D&gt;&lt;D xsi:type="xsd:double"&gt;0.03028656&lt;/D&gt;&lt;D xsi:type="xsd:double"&gt;-0.02134824&lt;/D&gt;&lt;D xsi:type="xsd:double"&gt;0.10544555&lt;/D&gt;&lt;D xsi:type="xsd:double"&gt;0.113040134&lt;/D&gt;&lt;D xsi:type="xsd:double"&gt;0.21512496&lt;/D&gt;&lt;D xsi:type="xsd:double"&gt;0.07894242&lt;/D&gt;&lt;D xsi:type="xsd:double"&gt;0.1681744&lt;/D&gt;&lt;D xsi:type="xsd:double"&gt;0.019831553&lt;/D&gt;&lt;D xsi:type="xsd:double"&gt;0.038420375&lt;/D&gt;&lt;D xsi:type="xsd:double"&gt;0.25428864&lt;/D&gt;&lt;D xsi:type="xsd:double"&gt;0.2914445&lt;/D&gt;&lt;D xsi:type="xsd:double"&gt;0.13633108&lt;/D&gt;&lt;D xsi:type="xsd:double"&gt;0.10391732&lt;/D&gt;&lt;D xsi:typ</t>
        </r>
      </text>
    </comment>
    <comment ref="A8" authorId="0" shapeId="0" xr:uid="{4F6B8BBA-4396-4C23-8316-54639A506693}">
      <text>
        <r>
          <rPr>
            <b/>
            <sz val="9"/>
            <color indexed="81"/>
            <rFont val="Tahoma"/>
            <charset val="1"/>
          </rPr>
          <t>e="xsd:double"&gt;0.18865477&lt;/D&gt;&lt;D xsi:type="xsd:double"&gt;0.19060285&lt;/D&gt;&lt;D xsi:type="xsd:double"&gt;0.15136585&lt;/D&gt;&lt;D xsi:type="xsd:double"&gt;0.42113334&lt;/D&gt;&lt;D xsi:type="xsd:double"&gt;0.27331284&lt;/D&gt;&lt;D xsi:type="xsd:double"&gt;0.093412146&lt;/D&gt;&lt;D xsi:type="xsd:double"&gt;0.2864457&lt;/D&gt;&lt;D xsi:type="xsd:double"&gt;0.17763424&lt;/D&gt;&lt;D xsi:type="xsd:double"&gt;0.23145977&lt;/D&gt;&lt;D xsi:type="xsd:double"&gt;0.41222456&lt;/D&gt;&lt;D xsi:type="xsd:double"&gt;0.2771608&lt;/D&gt;&lt;D xsi:type="xsd:double"&gt;0.04864335&lt;/D&gt;&lt;D xsi:type="xsd:double"&gt;0.1919638&lt;/D&gt;&lt;D xsi:type="xsd:double"&gt;0.37030548&lt;/D&gt;&lt;D xsi:type="xsd:double"&gt;0.20357111&lt;/D&gt;&lt;D xsi:type="xsd:double"&gt;0.38078496&lt;/D&gt;&lt;D xsi:type="xsd:double"&gt;0.15754525&lt;/D&gt;&lt;D xsi:type="xsd:double"&gt;0.4066668&lt;/D&gt;&lt;D xsi:type="xsd:double"&gt;0.27002826&lt;/D&gt;&lt;D xsi:type="xsd:double"&gt;0.19305214&lt;/D&gt;&lt;D xsi:type="xsd:double"&gt;0.09807482&lt;/D&gt;&lt;D xsi:type="xsd:double"&gt;0.08643953&lt;/D&gt;&lt;D xsi:type="xsd:double"&gt;0.12275454&lt;/D&gt;&lt;D xsi:type="xsd:double"&gt;0.19464749&lt;/D&gt;&lt;D xsi:type="xsd:double"&gt;0.14560044&lt;/D&gt;&lt;D xsi:type="xsd:double"&gt;0.13997597&lt;/D&gt;&lt;D xsi:type="xsd:double"&gt;0.48624644&lt;/D&gt;&lt;D xsi:type="xsd:double"&gt;0.20084551&lt;/D&gt;&lt;D xsi:type="xsd:double"&gt;0.079690956&lt;/D&gt;&lt;D xsi:type="xsd:double"&gt;0.30829787&lt;/D&gt;&lt;D xsi:type="xsd:double"&gt;0.21099028&lt;/D&gt;&lt;D xsi:type="xsd:double"&gt;0.13893712&lt;/D&gt;&lt;D xsi:type="xsd:double"&gt;0.2665965&lt;/D&gt;&lt;D xsi:type="xsd:double"&gt;0.06475415&lt;/D&gt;&lt;D xsi:type="xsd:double"&gt;0.25559896&lt;/D&gt;&lt;D xsi:type="xsd:double"&gt;0.122657225&lt;/D&gt;&lt;D xsi:type="xsd:double"&gt;0.2696368&lt;/D&gt;&lt;D xsi:type="xsd:double"&gt;0.07709677&lt;/D&gt;&lt;D xsi:type="xsd:double"&gt;0.10227792&lt;/D&gt;&lt;D xsi:type="xsd:double"&gt;0.14794247&lt;/D&gt;&lt;D xsi:type="xsd:double"&gt;1&lt;/D&gt;&lt;D xsi:type="xsd:double"&gt;0.16973652&lt;/D&gt;&lt;D xsi:type="xsd:double"&gt;0.1468783&lt;/D&gt;&lt;D xsi:type="xsd:double"&gt;0.19784914&lt;/D&gt;&lt;D xsi:type="xsd:double"&gt;0.13221008&lt;/D&gt;&lt;D xsi:type="xsd:double"&gt;0.17100249&lt;/D&gt;&lt;D xsi:type="xsd:double"&gt;0.19718955&lt;/D&gt;&lt;D xsi:type="xsd:double"&gt;0.11923842&lt;/D&gt;&lt;D xsi:type="xsd:double"&gt;0.33015108&lt;/D&gt;&lt;D xsi:type="xsd:double"&gt;0.26830843&lt;/D&gt;&lt;D xsi:type="xsd:double"&gt;0.25864738&lt;/D&gt;&lt;D xsi:type="xsd:double"&gt;0.44577464&lt;/D&gt;&lt;D xsi:type="xsd:double"&gt;0.18319193&lt;/D&gt;&lt;D xsi:type="xsd:double"&gt;0.0781775&lt;/D&gt;&lt;D xsi:type="xsd:double"&gt;0.19795483&lt;/D&gt;&lt;D xsi:type="xsd:double"&gt;0.087411456&lt;/D&gt;&lt;D xsi:type="xsd:double"&gt;0.18182372&lt;/D&gt;&lt;D xsi:type="xsd:double"&gt;0.20582916&lt;/D&gt;&lt;D xsi:type="xsd:double"&gt;0.38096932&lt;/D&gt;&lt;D xsi:type="xsd:double"&gt;0.099746265&lt;/D&gt;&lt;D xsi:type="xsd:double"&gt;0.16572943&lt;/D&gt;&lt;D xsi:type="xsd:double"&gt;0.18613575&lt;/D&gt;&lt;D xsi:type="xsd:double"&gt;0.31757814&lt;/D&gt;&lt;D xsi:type="xsd:double"&gt;0.4686896&lt;/D&gt;&lt;D xsi:type="xsd:double"&gt;0.12067817&lt;/D&gt;&lt;D xsi:type="xsd:double"&gt;0.21221629&lt;/D&gt;&lt;D xsi:type="xsd:double"&gt;0.12843105&lt;/D&gt;&lt;D xsi:type="xsd:double"&gt;0.1449145&lt;/D&gt;&lt;D xsi:type="xsd:double"&gt;0.42036217&lt;/D&gt;&lt;D xsi:type="xsd:double"&gt;0.2871537&lt;/D&gt;&lt;D xsi:type="xsd:double"&gt;0.0610333&lt;/D&gt;&lt;D xsi:type="xsd:double"&gt;0.29833162&lt;/D&gt;&lt;D xsi:type="xsd:double"&gt;0.30927646&lt;/D&gt;&lt;D xsi:type="xsd:double"&gt;0.22343177&lt;/D&gt;&lt;D xsi:type="xsd:double"&gt;0.33105004&lt;/D&gt;&lt;D xsi:type="xsd:double"&gt;0.12683548&lt;/D&gt;&lt;D xsi:type="xsd:double"&gt;0.34364292&lt;/D&gt;&lt;D xsi:type="xsd:double"&gt;0.75218767&lt;/D&gt;&lt;D xsi:type="xsd:double"&gt;0.19716154&lt;/D&gt;&lt;D xsi:type="xsd:double"&gt;0.02176218&lt;/D&gt;&lt;D xsi:type="xsd:double"&gt;0.526209&lt;/D&gt;&lt;D xsi:type="xsd:double"&gt;0.12983648&lt;/D&gt;&lt;D xsi:type="xsd:double"&gt;0.22791888&lt;/D&gt;&lt;D xsi:type="xsd:double"&gt;0.10864947&lt;/D&gt;&lt;D xsi:type="xsd:double"&gt;0.13725407&lt;/D&gt;&lt;D xsi:type="xsd:double"&gt;0.2894159&lt;/D&gt;&lt;D xsi:type="xsd:double"&gt;0.09336312&lt;/D&gt;&lt;D xsi:type="xsd:double"&gt;0.07242968&lt;/D&gt;&lt;D xsi:type="xsd:double"&gt;0.25294915&lt;/D&gt;&lt;D xsi:type="xsd:double"&gt;0.40174747&lt;/D&gt;&lt;D xsi:type="xsd:double"&gt;0.19041835&lt;/D&gt;&lt;D xsi:type="xsd:double"&gt;0.24495742&lt;/D&gt;&lt;D xsi:type="xsd:double"&gt;0.07039756&lt;/D&gt;&lt;D xsi:type="xsd:double"&gt;0.157835&lt;/D&gt;&lt;D xsi:type="xsd:double"&gt;0.18277436&lt;/D&gt;&lt;D xsi:type="xsd:double"&gt;0.40175304&lt;/D&gt;&lt;D xsi:type="xsd:double"&gt;0.1337674&lt;/D&gt;&lt;D xsi:type="xsd:double"&gt;0.04877782&lt;/D&gt;&lt;D xsi:type="xsd:double"&gt;0.09842036&lt;/D&gt;&lt;D xsi:type="xsd:double"&gt;0.16973652&lt;/D&gt;&lt;D xsi:type="xsd:double"&gt;1&lt;/D&gt;&lt;D xsi:type="xsd:double"&gt;0.15636978&lt;/D&gt;&lt;D xsi:type="xsd:double"&gt;0.15660578&lt;/D&gt;&lt;D xsi:type="xsd:double"&gt;0.19395602&lt;/D&gt;&lt;D xsi:type="xsd:double"&gt;0.18878391&lt;/D&gt;&lt;D xsi:type="xsd:double"&gt;0.2274763&lt;/D&gt;&lt;D xsi:type="xsd:double"&gt;0.12514576&lt;/D&gt;&lt;D xsi:type="xsd:double"&gt;0.41426188&lt;/D&gt;&lt;D xsi:type="xsd:double"&gt;0.44844133&lt;/D&gt;&lt;D xsi:type="xsd:double"&gt;0.13070026&lt;/D&gt;&lt;D xsi:type="xsd:double"&gt;0.29331183&lt;/D&gt;&lt;D xsi:type="xsd:double"&gt;0.30355898&lt;/D&gt;&lt;D xsi:type="xsd:double"&gt;0.11973667&lt;/D&gt;&lt;D xsi:type="xsd:double"&gt;0.276754&lt;/D&gt;&lt;D xsi:type="xsd:double"&gt;0.094737604&lt;/D&gt;&lt;D xsi:type="xsd:double"&gt;0.14879192&lt;/D&gt;&lt;D xsi:type="xsd:double"&gt;0.31459752&lt;/D&gt;&lt;D xsi:type="xsd:double"&gt;0.36121154&lt;/D&gt;&lt;D xsi:type="xsd:double"&gt;0.11690576&lt;/D&gt;&lt;D xsi:type="xsd:double"&gt;0.15191573&lt;/D&gt;&lt;D xsi:type="xsd:double"&gt;0.1986559&lt;/D&gt;&lt;D xsi:type="xsd:double"&gt;0.21714398&lt;/D&gt;&lt;D xsi:type="xsd:double"&gt;0.16623355&lt;/D&gt;&lt;D xsi:type="xsd:double"&gt;0.11386463&lt;/D&gt;&lt;D xsi:type="xsd:double"&gt;0.09315408&lt;/D&gt;&lt;D xsi:type="xsd:double"&gt;0.08241095&lt;/D&gt;&lt;D xsi:type="xsd:double"&gt;0.24354164&lt;/D&gt;&lt;D xsi:type="xsd:double"&gt;0.2000265&lt;/D&gt;&lt;D xsi:type="xsd:double"&gt;0.21861146&lt;/D&gt;&lt;D xsi:type="xsd:double"&gt;0.0088093355&lt;/D&gt;&lt;D xsi:type="xsd:double"&gt;0.13282666&lt;/D&gt;&lt;D xsi:type="xsd:double"&gt;0.121679604&lt;/D&gt;&lt;D xsi:type="xsd:double"&gt;0.069757245&lt;/D&gt;&lt;D xsi:type="xsd:double"&gt;0.19569056&lt;/D&gt;&lt;D xsi:type="xsd:double"&gt;0.2972373&lt;/D&gt;&lt;D xsi:type="xsd:double"&gt;0.19472516&lt;/D&gt;&lt;D xsi:type="xsd:double"&gt;0.1639766&lt;/D&gt;&lt;D xsi:type="xsd:double"&gt;0.12027979&lt;/D&gt;&lt;D xsi:type="xsd:double"&gt;0.27460316&lt;/D&gt;&lt;D xsi:type="xsd:double"&gt;0.07677448&lt;/D&gt;&lt;D xsi:type="xsd:double"&gt;0.27847192&lt;/D&gt;&lt;D xsi:type="xsd:double"&gt;0.05939877&lt;/D&gt;&lt;D xsi:type="xsd:double"&gt;0.0919781&lt;/D&gt;&lt;D xsi:type="xsd:double"&gt;0.26027015&lt;/D&gt;&lt;D xsi:type="xsd:double"&gt;0.17108415&lt;/D&gt;&lt;D xsi:type="xsd:double"&gt;0.068916716&lt;/D&gt;&lt;D xsi:type="xsd:double"&gt;0.007920043&lt;/D&gt;&lt;D xsi:type="xsd:double"&gt;0.101362415&lt;/D&gt;&lt;D xsi:type="xsd:double"&gt;0.095094584&lt;/D&gt;&lt;D xsi:type="xsd:double"&gt;0.036405668&lt;/D&gt;&lt;D xsi:type="xsd:double"&gt;0.08712015&lt;/D&gt;&lt;D xsi:type="xsd:double"&gt;0.26033136&lt;/D&gt;&lt;D xsi:type="xsd:double"&gt;0.09027746&lt;/D&gt;&lt;D xsi:type="xsd:double"&gt;-0.0043930067&lt;/D&gt;&lt;D xsi:type="xsd:double"&gt;0.15525861&lt;/D&gt;&lt;D xsi:type="xsd:double"&gt;0.37131444&lt;/D&gt;&lt;D xsi:type="xsd:double"&gt;0.26844725&lt;/D&gt;&lt;D xsi:type="xsd:double"&gt;0.049837377&lt;/D&gt;&lt;D xsi:type="xsd:double"&gt;0.1468783&lt;/D&gt;&lt;D xsi:type="xsd:double"&gt;0.15636978&lt;/D&gt;&lt;D xsi:type="xsd:double"&gt;1&lt;/D&gt;&lt;D xsi:type="xsd:double"&gt;0.07205466&lt;/D&gt;&lt;D xsi:type="xsd:double"&gt;0.40416467&lt;/D&gt;&lt;D xsi:type="xsd:double"&gt;0.10251292&lt;/D&gt;&lt;D xsi:type="xsd:double"&gt;0.11826781&lt;/D&gt;&lt;D xsi:type="xsd:double"&gt;0.2682707&lt;/D&gt;&lt;D xsi:type="xsd:double"&gt;0.16086975&lt;/D&gt;&lt;D xsi:type="xsd:double"&gt;0.14585564&lt;/D&gt;&lt;D xsi:type="xsd:double"&gt;0.11367889&lt;/D&gt;&lt;D xsi:type="xsd:double"&gt;0.20876804&lt;/D&gt;&lt;D xsi:type="xsd:double"&gt;0.07925821&lt;/D&gt;&lt;D xsi:type="xsd:double"&gt;0.39116722&lt;/D&gt;&lt;D xsi:type="xsd:double"&gt;0.16341968&lt;/D&gt;&lt;D xsi:type="xsd:double"&gt;0.045189083&lt;/D&gt;&lt;D xsi:type="xsd:double"&gt;0.039049007&lt;/D&gt;&lt;D xsi:type="xsd:double"&gt;0.1270397&lt;/D&gt;&lt;D xsi:type="xsd:double"&gt;0.20100822&lt;/D&gt;&lt;D xsi:type="xsd:double"&gt;0.036682352&lt;/D&gt;&lt;D xsi:type="xsd:double"&gt;0.062715456&lt;/D&gt;&lt;D xsi:type="xsd:double"&gt;0.07559594&lt;/D&gt;&lt;D xsi:type="xsd:double"&gt;0.20429349&lt;/D&gt;&lt;D xsi:type="xsd:double"&gt;0.13028964&lt;/D&gt;&lt;D xsi:type="xsd:double"&gt;0.030167788&lt;/D&gt;&lt;D xsi:type="xsd:double"&gt;0.42271778&lt;/D&gt;&lt;D xsi:type="xsd:double"&gt;0.16033295&lt;/D&gt;&lt;D xsi:type="xsd:double"&gt;0.041232754&lt;/D&gt;&lt;D xsi:type="xsd:double"&gt;0.24434972&lt;/D&gt;&lt;D xsi:type="xsd:double"&gt;0.108912565&lt;/D&gt;&lt;D xsi:type="xsd:double"&gt;0.16404073&lt;/D&gt;&lt;D xsi:type="xsd:double"&gt;0.13052484&lt;/D&gt;&lt;D xsi:type="xsd:double"&gt;0.2150763&lt;/D&gt;&lt;D xsi:type="xsd:double"&gt;0.07923016&lt;/D&gt;&lt;D xsi:type="xsd:double"&gt;0.22152151&lt;/D&gt;&lt;D xsi:type="xsd:double"&gt;0.07358008&lt;/D&gt;&lt;D xsi:type="xsd:double"&gt;0.24914658&lt;/D&gt;&lt;D xsi:type="xsd:double"&gt;0.14755505&lt;/D&gt;&lt;D xsi:type="xsd:double"&gt;0.024431892&lt;/D&gt;&lt;D xsi:type="xsd:double"&gt;0.02844804&lt;/D&gt;&lt;D xsi:type="xsd:double"&gt;0.2565012&lt;/D&gt;&lt;D xsi:type="xsd:double"&gt;0.083851665&lt;/D&gt;&lt;D xsi:type="xsd:double"&gt;0.34963104&lt;/D&gt;&lt;D xsi:type="xsd:double"&gt;0.25470525&lt;/D&gt;&lt;D xsi:type="xsd:double"&gt;0.08979403&lt;/D&gt;&lt;D xsi:type="xsd:double"&gt;0.2406651&lt;/D&gt;&lt;D xsi:type="xsd:double"&gt;0.06164797&lt;/D&gt;&lt;D xsi:type="xsd:double"&gt;0.17376053&lt;/D&gt;&lt;D xsi:type="xsd:double"&gt;0.4700591&lt;/D&gt;&lt;D xsi:type="xsd:double"&gt;0.39174896&lt;/D&gt;&lt;D xsi:type="xsd:double"&gt;0.46607044&lt;/D&gt;&lt;D xsi:type="xsd:double"&gt;0.4301372&lt;/D&gt;&lt;D xsi:type="xsd:double"&gt;0.06411737&lt;/D&gt;&lt;D xsi:type="xsd:double"&gt;0.46738172&lt;/D&gt;&lt;D xsi:type="xsd:double"&gt;0.2942734&lt;/D&gt;&lt;D xsi:type="xsd:double"&gt;0.19535096&lt;/D&gt;&lt;D xsi:type="xsd:double"&gt;0.033298858&lt;/D&gt;&lt;D xsi:type="xsd:double"&gt;0.061652012&lt;/D&gt;&lt;D xsi:type="xsd:double"&gt;0.1423626&lt;/D&gt;&lt;D xsi:type="xsd:double"&gt;0.19784914&lt;/D&gt;&lt;D xsi:type="xsd:double"&gt;0.15660578&lt;/D&gt;&lt;D xsi:type="xsd:double"&gt;0.07205466&lt;/D&gt;&lt;D xsi:type="xsd:double"&gt;1&lt;/D&gt;&lt;D xsi:type="xsd:double"&gt;0.060433473&lt;/D&gt;&lt;D xsi:type="xsd:double"&gt;0.009222205&lt;/D&gt;&lt;D xsi:type="xsd:double"&gt;0.12837152&lt;/D&gt;&lt;D xsi:type="xsd:double"&gt;0.09606817&lt;/D&gt;&lt;D xsi:type="xsd:double"&gt;0.20725445&lt;/D&gt;&lt;D xsi:type="xsd:double"&gt;0.19434464&lt;/D&gt;&lt;D xsi:type="xsd:double"&gt;0.48249692&lt;/D&gt;&lt;D xsi:type="xsd:double"&gt;0.24160345&lt;/D&gt;&lt;D xsi:type="xsd:double"&gt;0.25858006&lt;/D&gt;&lt;D xsi:type="xsd:double"&gt;0.034308117&lt;/D&gt;&lt;D xsi:type="xsd:double"&gt;0.058085147&lt;/D&gt;&lt;D xsi:type="xsd:double"&gt;0.14517134&lt;/D&gt;&lt;D xsi:type="xsd:double"&gt;0.2949114&lt;/D&gt;&lt;D xsi:type="xsd:double"&gt;0.14905256&lt;/D&gt;&lt;D xsi:type="xsd:double"&gt;0.20820068&lt;/D&gt;&lt;D xsi:type="xsd:double"&gt;0.27147692&lt;/D&gt;&lt;D xsi:type="xsd:double"&gt;0.314117&lt;/D&gt;&lt;D xsi:type="xsd:double"&gt;0.330756&lt;/D&gt;&lt;D xsi:type="xsd:double"&gt;0.19614367&lt;/D&gt;&lt;D xsi:type="xsd:double"&gt;0.1866798&lt;/D&gt;&lt;D xsi:type="xsd:double"&gt;0.22901434&lt;/D&gt;&lt;D xsi:type="xsd:double"&gt;0.07556651&lt;/D&gt;&lt;D xsi:type="xsd:double"&gt;0.112823956&lt;/D&gt;&lt;D xsi:type="xsd:double"&gt;0.2926657&lt;/D&gt;&lt;D xsi:type="xsd:double"&gt;0.16238824&lt;/D&gt;&lt;D xsi:type="xsd:double"&gt;0.12764494&lt;/D&gt;&lt;D xsi:type="xsd:double"&gt;-0.046675574&lt;/D&gt;&lt;D xsi:type="xsd:double"&gt;0.16880907&lt;/D&gt;&lt;D xsi:type="xsd:double"&gt;0.1292793&lt;/D&gt;&lt;D xsi:type="xsd:double"&gt;0.08444558&lt;/D&gt;&lt;D xsi:type="xsd:double"&gt;0.16376218&lt;/D&gt;&lt;D xsi:type="xsd:double"&gt;0.16601305&lt;/D&gt;&lt;D xsi:type="xsd:double"&gt;0.1841743&lt;/D&gt;&lt;D xsi:type="xsd:double"&gt;0.17974474&lt;/D&gt;&lt;D xsi:type="xsd:double"&gt;0.099813744&lt;/D&gt;&lt;D xsi:type="xsd:double"&gt;0.13392948&lt;/D&gt;&lt;D xsi:type="xsd:double"&gt;0.060176782&lt;/D&gt;&lt;D xsi:type="xsd:double"&gt;0.3904253&lt;/D&gt;&lt;D xsi:type="xsd:double"&gt;0.10895331&lt;/D&gt;&lt;D xsi:type="xsd:double"&gt;0.07193704&lt;/D&gt;&lt;D xsi:type="xsd:double"&gt;0.4240244&lt;/D&gt;&lt;D xsi:type="xsd:double"&gt;0.1451531&lt;/D&gt;&lt;D xsi:type="xsd:double"&gt;0.0710842&lt;/D&gt;&lt;D xsi:type="xsd:double"&gt;-0.021485904&lt;/D&gt;&lt;D xsi:type="xsd:double"&gt;0.078522205&lt;/D&gt;&lt;D xsi:type="xsd:double"&gt;0.07391052&lt;/D&gt;&lt;D xsi:type="xsd:double"&gt;0.06989453&lt;/D&gt;&lt;D xsi:type="xsd:double"&gt;0.07941347&lt;/D&gt;&lt;D xsi:type="xsd:double"&gt;0.15083618&lt;/D&gt;&lt;D xsi:type="xsd:double"&gt;0.063897446&lt;/D&gt;&lt;D xsi:type="xsd:double"&gt;-0.011254797&lt;/D&gt;&lt;D xsi:type="xsd:double"&gt;0.18072715&lt;/D&gt;&lt;D xsi:type="xsd:double"&gt;0.23621112&lt;/D&gt;&lt;D xsi:type="xsd:double"&gt;0.17539982&lt;/D&gt;&lt;D xsi:type="xsd:double"&gt;-0.027349079&lt;/D&gt;&lt;D xsi:type="xsd:double"&gt;0.13221008&lt;/D&gt;&lt;D xsi:type="xsd:double"&gt;0.19395602&lt;/D&gt;&lt;D xsi:type="xsd:double"&gt;0.40416467&lt;/D&gt;&lt;D xsi:type="xsd:double"&gt;0.060433473&lt;/D&gt;&lt;D xsi:type="xsd:double"&gt;1&lt;/D&gt;&lt;D xsi:type="xsd:double"&gt;0.053210437&lt;/D&gt;&lt;D xsi:type="xsd:double"&gt;0.08956719&lt;/D&gt;&lt;D xsi:type="xsd:double"&gt;0.4424879&lt;/D&gt;&lt;D xsi:type="xsd:double"&gt;0.18309455&lt;/D&gt;&lt;D xsi:type="xsd:double"&gt;0.18350884&lt;/D&gt;&lt;D xsi:type="xsd:double"&gt;0.062310375&lt;/D&gt;&lt;D xsi:type="xsd:double"&gt;0.1450753&lt;/D&gt;&lt;D xsi:type="xsd:double"&gt;0.071035214&lt;/D&gt;&lt;D xsi:type="xsd:double"&gt;0.23048382&lt;/D&gt;&lt;D xsi:type="xsd:double"&gt;0.15745598&lt;/D&gt;&lt;D xsi:type="xsd:double"&gt;0.050562486&lt;/D&gt;&lt;D xsi:type="xsd:double"&gt;0.0212731&lt;/D&gt;&lt;D xsi:type="xsd:double"&gt;0.10844933&lt;/D&gt;&lt;D xsi:type="xsd:double"&gt;0.15700687&lt;/D&gt;&lt;D xsi:type="xsd:double"&gt;0.050516907&lt;/D&gt;&lt;D xsi:type="xsd:double"&gt;0.07364383&lt;/D&gt;&lt;D xsi:type="xsd:double"&gt;0.06764423&lt;/D&gt;&lt;D xsi:type="xsd:double"&gt;0.24527168&lt;/D&gt;&lt;D xsi:type="xsd:double"&gt;0.18667169&lt;/D&gt;&lt;D xsi:type="xsd:double"&gt;0.04234715&lt;/D&gt;&lt;D xsi:type="xsd:double"&gt;0.057855826&lt;/D&gt;&lt;D xsi:type="xsd:double"&gt;0.09191894&lt;/D&gt;&lt;D xsi:type="xsd:double"&gt;0.039775115&lt;/D&gt;&lt;D xsi:type="xsd:double"&gt;0.2740753&lt;/D&gt;&lt;D xsi:type="xsd:double"&gt;0.39283246&lt;/D&gt;&lt;D xsi:type="xsd:double"&gt;0.22779897&lt;/D&gt;&lt;D xsi:type="xsd:double"&gt;0.20029984&lt;/D&gt;&lt;D xsi:type="xsd:double"&gt;0.2152591&lt;/D&gt;&lt;D xsi:type="xsd:double"&gt;0.2025082&lt;/D&gt;&lt;D xsi:type="xsd:double"&gt;0.21122454&lt;/D&gt;&lt;D xsi:type="xsd:double"&gt;0.097464606&lt;/D&gt;&lt;D xsi:type="xsd:double"&gt;0.22205701&lt;/D&gt;&lt;D xsi:type="xsd:double"&gt;0.26178026&lt;/D&gt;&lt;D xsi:type="xsd:double"&gt;0.55201733&lt;/D&gt;&lt;D xsi:type="xsd:double"&gt;0.05791869&lt;/D&gt;&lt;D xsi:type="xsd:double"&gt;0.029192178&lt;/D&gt;&lt;D xsi:type="xsd:double"&gt;0.0102453735&lt;/D&gt;&lt;D xsi:type="xsd:double"&gt;-0.020081667&lt;/D&gt;&lt;D xsi:type="xsd:double"&gt;-0.009713296&lt;/D&gt;&lt;D xsi:type="xsd:double"&gt;0.036306527&lt;/D&gt;&lt;D xsi:type="xsd:double"&gt;0.22902842&lt;/D&gt;&lt;D xsi:type="xsd:double"&gt;0.24785136&lt;/D&gt;&lt;D xsi:type="xsd:double"&gt;0.17302807&lt;/D&gt;&lt;D xsi:type="xsd:double"&gt;0.08775471&lt;/D&gt;&lt;D xsi:type="xsd:double"&gt;0.051769305&lt;/D&gt;&lt;D xsi:type="xsd:double"&gt;0.00548475&lt;/D&gt;&lt;D xsi:type="xsd:double"&gt;0.10830944&lt;/D&gt;&lt;D xsi:type="xsd:double"&gt;0.08272657&lt;/D&gt;&lt;D xsi:type="xsd:double"&gt;0.05726672&lt;/D&gt;&lt;D xsi:type="xsd:double"&gt;0.11822828&lt;/D&gt;&lt;D xsi:type="xsd:double"&gt;0.26411316&lt;/D&gt;&lt;D xsi:type="xsd:double"&gt;0.060302325&lt;/D&gt;&lt;D xsi:type="xsd:double"&gt;0.04856633&lt;/D&gt;&lt;D xsi:type="xsd:double"&gt;0.2418007&lt;/D&gt;&lt;D xsi:type="xsd:double"&gt;0.17100249&lt;/D&gt;&lt;D xsi:type="xsd:double"&gt;0.18878391&lt;/D&gt;&lt;D xsi:type="xsd:double"&gt;0.10251292&lt;/D&gt;&lt;D xsi:type="xsd:double"&gt;0.009222205&lt;/D&gt;&lt;D xsi:type="xsd:double"&gt;0.053210437&lt;/D&gt;&lt;D xsi:type="xsd:double"&gt;1&lt;/D&gt;&lt;D xsi:type="xsd:double"&gt;0.17922035&lt;/D&gt;&lt;D xsi:type="xsd:double"&gt;0.06150639&lt;/D&gt;&lt;D xsi:type="xsd:double"&gt;0.2363105&lt;/D&gt;&lt;D xsi:type="xsd:double"&gt;0.21441928&lt;/D&gt;&lt;D xsi:type="xsd:double"&gt;0.035175167&lt;/D&gt;&lt;D xsi:type="xsd:double"&gt;0.19916448&lt;/D&gt;&lt;D xsi:type="xsd:double"&gt;0.08456018&lt;/D&gt;&lt;D xsi:type="xsd:double"&gt;0.06136247&lt;/D&gt;&lt;D xsi:type="xsd:double"&gt;0.17028552&lt;/D&gt;&lt;D xsi:type="xsd:double"&gt;0.14068896&lt;/D&gt;&lt;D xsi:type="xsd:double"&gt;0.16873378&lt;/D&gt;&lt;D xsi:type="xsd:double"&gt;0.25075078&lt;/D&gt;&lt;D xsi:type="xsd:double"&gt;0.24245633&lt;/D&gt;&lt;D xsi:type="xsd:double"&gt;0.064276844&lt;/D&gt;&lt;D xsi:type="xsd:double"&gt;0.13734451&lt;/D&gt;&lt;D xsi:type="xsd:double"&gt;0.021870403&lt;/D&gt;&lt;D xsi:type="xsd:double"&gt;0.3358664&lt;/D&gt;&lt;D xsi:type="xsd:double"&gt;0.21183583&lt;/D&gt;&lt;D xsi:type="xsd:double"&gt;0.07362551&lt;/D&gt;&lt;D xsi:type="xsd:double"&gt;0.15881817&lt;/D&gt;&lt;D xsi:type="xsd:double"&gt;0.13496628&lt;/D&gt;&lt;D xsi:type="xsd:double"&gt;0.06142514&lt;/D&gt;&lt;D xsi:type="xsd:double"&gt;0.28872693&lt;/D&gt;&lt;D xsi:type="xsd:double"&gt;0.3095879&lt;/D&gt;&lt;D xsi:type="xsd:double"&gt;0.050166782&lt;/D&gt;&lt;D xsi:type="xsd:double"&gt;0.2679534&lt;/D&gt;&lt;D xsi:type="xsd:double"&gt;0.20312512&lt;/D&gt;&lt;D xsi:type="xsd:double"&gt;0.23004958&lt;/D&gt;&lt;D xsi:type="xsd:double"&gt;0.26820096&lt;/D&gt;&lt;D xsi:type="xsd:double"&gt;0.12775573&lt;/D&gt;&lt;D xsi:type="xsd:double"&gt;0.23860087&lt;/D&gt;&lt;D xsi:type="xsd:double"&gt;0.2599194&lt;/D&gt;&lt;D xsi:type="xsd:double"&gt;0.194123&lt;/D&gt;&lt;D xsi:type="xsd:double"&gt;0.1193344&lt;/D&gt;&lt;D xsi:type="xsd:double"&gt;0.115883216&lt;/D&gt;&lt;D xsi:type="xsd:double"&gt;0.05021973&lt;/D&gt;&lt;D xsi:type="xsd:double"&gt;0.0997545&lt;/D&gt;&lt;D xsi:type="xsd:double"&gt;0.056328967&lt;/D&gt;&lt;D xsi:type="xsd:double"&gt;0.076327294&lt;/D&gt;&lt;D xsi:type="xsd:double"&gt;0.24088739&lt;/D&gt;&lt;D xsi:type="xsd:double"&gt;0.20232418&lt;/D&gt;&lt;D xsi:type="xsd:double"&gt;0.034679033&lt;/D&gt;&lt;D xsi:type="xsd:double"&gt;0.17952451&lt;/D&gt;&lt;D xsi:type="xsd:double"&gt;0.1411004&lt;/D&gt;&lt;D xsi:type="xsd:double"&gt;0.06785057&lt;/D&gt;&lt;D xsi:type="xsd:double"&gt;0.12936945&lt;/D&gt;&lt;D xsi:type="xsd:double"&gt;0.07474769&lt;/D&gt;&lt;D xsi:type="xsd:double"&gt;0.14796448&lt;/D&gt;&lt;D xsi:type="xsd:double"&gt;0.114879444&lt;/D&gt;&lt;D xsi:type="xsd:double"&gt;0.26467323&lt;/D&gt;&lt;D xsi:type="xsd:double"&gt;0.09565465&lt;/D&gt;&lt;D xsi:type="xsd:double"&gt;0.069541655&lt;/D&gt;&lt;D xsi:type="xsd:double"&gt;0.03028656&lt;/D&gt;&lt;D xsi:type="xsd:double"&gt;0.19718955&lt;/D&gt;&lt;D xsi:type="xsd:double"&gt;0.2274763&lt;/D&gt;&lt;D xsi:type="xsd:double"&gt;0.11826781&lt;/D&gt;&lt;D xsi:type="xsd:double"&gt;0.12837152&lt;/D&gt;&lt;D xsi:type="xsd:double"&gt;0.08956719&lt;/D&gt;&lt;D xsi:type="xsd:double"&gt;0.17922035&lt;/D&gt;&lt;D xsi:type="xsd:double"&gt;1&lt;/D&gt;&lt;D xsi:type="xsd:double"&gt;0.096725054&lt;/D&gt;&lt;D xsi:type="xsd:double"&gt;0.32718188&lt;/D&gt;&lt;D xsi:type="xsd:double"&gt;0.22937332&lt;/D&gt;&lt;D xsi:type="xsd:double"&gt;0.1145053&lt;/D&gt;&lt;D xsi:type="xsd:double"&gt;0.22724968&lt;/D&gt;&lt;D xsi:type="xsd:double"&gt;0.15463917&lt;/D&gt;&lt;D xsi:type="xsd:double"&gt;0.12707856&lt;/D&gt;&lt;D xsi:type="xsd:double"&gt;0.1482693&lt;/D&gt;&lt;D xsi:type="xsd:double"&gt;0.09441538&lt;/D&gt;&lt;D xsi:type="xsd:double"&gt;0.08318602&lt;/D&gt;&lt;D xsi:type="xsd:double"&gt;0.30099964&lt;/D&gt;&lt;D xsi:type="xsd:double"&gt;0.27029422&lt;/D&gt;&lt;D xsi:type="xsd:double"&gt;0.06642651&lt;/D&gt;&lt;D xsi:type="xsd:double"&gt;0.12082513&lt;/D&gt;&lt;D xsi:type="xsd:double"&gt;0.14964731&lt;/D&gt;&lt;D xsi:type="xsd:double"&gt;0.17815195&lt;/D&gt;&lt;D xsi:type="xsd:double"&gt;0.17771262&lt;/D&gt;&lt;D xsi:type="xsd:double"&gt;0.20805001&lt;/D&gt;&lt;D xsi:type="xsd:double"&gt;0.100665&lt;/D&gt;&lt;D xsi:type="xsd:double"&gt;0.092396006&lt;/D&gt;&lt;D xsi:type="xsd:double"&gt;0.24364161&lt;/D&gt;&lt;D xsi:type="xsd:double"&gt;0.13911241&lt;/D&gt;&lt;D xsi:type="xsd:double"&gt;0.10563913&lt;/D&gt;&lt;D xsi:type="xsd:double"&gt;0.005195823&lt;/D&gt;&lt;D xsi:type="xsd:double"&gt;0.14833887&lt;/D&gt;&lt;D xsi:type="xsd:double"&gt;0.15040717&lt;/D&gt;&lt;D xsi:type="xsd:double"&gt;0.12330624&lt;/D&gt;&lt;D xsi:type="xsd:double"&gt;0.12838867&lt;/D&gt;&lt;D xsi:type="xsd:double"&gt;0.19487087&lt;/D&gt;&lt;D xsi:type="xsd:double"&gt;0.17102055&lt;/D&gt;&lt;D xsi:type="xsd:double"&gt;0.13124874&lt;/D&gt;&lt;D xsi:type="xsd:double"&gt;0.10610429&lt;/D&gt;&lt;D xsi:type="xsd:double"&gt;0.13886689&lt;/D&gt;&lt;D xsi:type="xsd:double"&gt;0.07734722&lt;/D&gt;&lt;D xsi:type="xsd:double"&gt;0.3714503&lt;/D&gt;&lt;D xsi:type="xsd:double"&gt;0.09114644&lt;/D&gt;&lt;D xsi:type="xsd:double"&gt;0.06206205&lt;/D&gt;&lt;D xsi:type="xsd:double"&gt;0.8151238&lt;/D&gt;&lt;D xsi:type="xsd:double"&gt;0.16453576&lt;/D&gt;&lt;D xsi:type="xsd:double"&gt;0.077815555&lt;/D&gt;&lt;D xsi:type="xsd:double"&gt;0.0363304&lt;/D&gt;&lt;D xsi:type="xsd:double"&gt;0.0961787&lt;/D&gt;&lt;D xsi:type="xsd:double"&gt;0.08886309&lt;/D&gt;&lt;D xsi:type="xsd:double"&gt;0.05032296&lt;/D&gt;&lt;D xsi:type="xsd:double"&gt;0.109048374&lt;/D&gt;&lt;D xsi:type="xsd:double"&gt;0.11901885&lt;/D&gt;&lt;D xsi:type="xsd:double"&gt;0.084487274&lt;/D&gt;&lt;D xsi:type="xsd:double"&gt;0.030761579&lt;/D&gt;&lt;D xsi:type="xsd:double"&gt;0.14342009&lt;/D&gt;&lt;D xsi:type="xsd:double"&gt;0.17895141&lt;/D&gt;&lt;D xsi:type="xsd:double"&gt;0.17818011&lt;/D&gt;&lt;D xsi:type="xsd:double"&gt;-0.02134824&lt;/D&gt;&lt;D xsi:type="xsd:double"&gt;0.11923842&lt;/D&gt;&lt;D xsi:type="xsd:double"&gt;0.12514576&lt;/D&gt;&lt;D xsi:type="xsd:double"&gt;0.2682707&lt;/D&gt;&lt;D xsi:type="xsd:double"&gt;0.09606817&lt;/D&gt;&lt;D xsi:type="xsd:double"&gt;0.4424879&lt;/D&gt;&lt;D xsi:type="xsd:double"&gt;0.06150639&lt;/D&gt;&lt;D xsi:type="xsd:double"&gt;0.096725054&lt;/D&gt;&lt;D xsi:type="xsd:double"&gt;1&lt;/D&gt;&lt;D xsi:type="xsd:double"&gt;0.13072611&lt;/D&gt;&lt;D xsi:type="xsd:double"&gt;0.18062244&lt;/D&gt;&lt;D xsi:type="xsd:double"&gt;0.06987813&lt;/D&gt;&lt;D xsi:type="xsd:double"&gt;0.16999258&lt;/D&gt;&lt;D xsi:type="xsd:double"&gt;0.08154404&lt;/D&gt;&lt;D xsi:type="xsd:double"&gt;0.17890501&lt;/D&gt;&lt;D xsi:type="xsd:double"&gt;0.15203172&lt;/D&gt;&lt;D xsi:type="xsd:double"&gt;0.011547638&lt;/D&gt;&lt;D xsi:type="xsd:double"&gt;0.050084144&lt;/D&gt;&lt;D xsi:type="xsd:double"&gt;0.10802802&lt;/D&gt;&lt;D xsi:type="xsd:double"&gt;0.14293568&lt;/D&gt;&lt;D xsi:type="xsd:double"&gt;0.06475188&lt;/D&gt;&lt;D xsi:type="xsd:double"&gt;0.07222197&lt;/D&gt;&lt;D xsi:type="xsd:double"&gt;0.07588039&lt;/D&gt;&lt;D xsi:type="xsd:double"&gt;0.5114047&lt;/D&gt;&lt;D xsi:type="xsd:double"&gt;0.41083544&lt;/D&gt;&lt;D xsi:type="xsd:double"&gt;0.122271046&lt;/D&gt;&lt;D xsi:type="xsd:double"&gt;0.30723923&lt;/D&gt;&lt;D xsi:type="xsd:double"&gt;0.1658718&lt;/D&gt;&lt;D xsi:type="xsd:double"&gt;0.12618959&lt;/D&gt;&lt;D xsi:type="xsd:double"&gt;0.61443573&lt;/D&gt;&lt;D xsi:type="xsd:double"&gt;0.40558714&lt;/D&gt;&lt;D xsi:type="xsd:double"&gt;0.022300402&lt;/D&gt;&lt;D xsi:type="xsd:double"&gt;0.34899965&lt;/D&gt;&lt;D xsi:type="xsd:double"&gt;0.4006577&lt;/D&gt;&lt;D xsi:type="xsd:double"&gt;0.35326985&lt;/D&gt;&lt;D xsi:type="xsd:double"&gt;0.5640279&lt;/D&gt;&lt;D xsi:type="xsd:double"&gt;0.15233958&lt;/D&gt;&lt;D xsi:type="xsd:double"&gt;0.49871153&lt;/D&gt;&lt;D xsi:type="xsd:double"&gt;0.5177691&lt;/D&gt;&lt;D xsi:type="xsd:double"&gt;0.2383803&lt;/D&gt;&lt;D xsi:type="xsd:double"&gt;0.036565933&lt;/D&gt;&lt;D xsi:type="xsd:double"&gt;0.26809707&lt;/D&gt;&lt;D xsi:type="xsd:double"&gt;0.10639895&lt;/D&gt;&lt;D xsi:type="xsd:double"&gt;0.24963889&lt;/D&gt;&lt;D xsi:type="xsd:double"&gt;0.11580864&lt;/D&gt;&lt;D xsi:type="xsd:double"&gt;0.11106731&lt;/D&gt;&lt;D xsi:type="xsd:double"&gt;0.43203276&lt;/D&gt;&lt;D xsi:type="xsd:double"&gt;0.22803132&lt;/D&gt;&lt;D xsi:type="xsd:double"&gt;0.045732908&lt;/D&gt;&lt;D xsi:type="xsd:double"&gt;0.39872664&lt;/D&gt;&lt;D xsi:type="xsd:double"&gt;0.33624128&lt;/D&gt;&lt;D xsi:type="xsd:double"&gt;0.20012933&lt;/D&gt;&lt;D xsi:type="xsd:double"&gt;0.3735116&lt;/D&gt;&lt;D xsi:type="xsd:double"&gt;0.049190138&lt;/D&gt;&lt;D xsi:type="xsd:double"&gt;0.28610143&lt;/D&gt;&lt;D xsi:type="xsd:double"&gt;0.20396914&lt;/D&gt;&lt;D xsi:type="xsd:double"&gt;0.64671034&lt;/D&gt;&lt;D xsi:type="xsd:double"&gt;0.13123126&lt;/D&gt;&lt;D xsi:type="xsd:double"&gt;0.05938694&lt;/D&gt;&lt;D xsi:type="xsd:double"&gt;0.10544555&lt;/D&gt;&lt;D xsi:type="xsd:double"&gt;0.33015108&lt;/D&gt;&lt;D xsi:type="xsd:double"&gt;0.41426188&lt;/D&gt;&lt;D xsi:type="xsd:double"&gt;0.16086975&lt;/D&gt;&lt;D xsi:type="xsd:double"&gt;0.20725445&lt;/D&gt;&lt;D xsi:type="xsd:double"&gt;0.18309455&lt;/D&gt;&lt;D xsi:type="xsd:double"&gt;0.2363105&lt;/D&gt;&lt;D xsi:type="xsd:double"&gt;0.32718188&lt;/D&gt;&lt;D xsi:type="xsd:double"&gt;0.13072611&lt;/D&gt;&lt;D xsi:type="xsd:double"&gt;1&lt;/D&gt;&lt;D xsi:type="xsd:double"&gt;0.60986596&lt;/D&gt;&lt;D xsi:type="xsd:double"&gt;0.23078108&lt;/D&gt;&lt;D xsi:type="xsd:double"&gt;0.4435387&lt;/D&gt;&lt;D xsi:type="xsd:double"&gt;0.3177464&lt;/D&gt;&lt;D xsi:type="xsd:double"&gt;0.13961501&lt;/D&gt;&lt;D xsi:type="xsd:double"&gt;0.2337219&lt;/D&gt;&lt;D xsi:type="xsd:double"&gt;0.1425636&lt;/D&gt;&lt;D xsi:type="xsd:double"&gt;0.23917708&lt;/D&gt;&lt;D xsi:type="xsd:double"&gt;0.37982264&lt;/D&gt;&lt;D xsi:type="xsd:double"&gt;0.55766016&lt;/D&gt;&lt;D xsi:type="xsd:double"&gt;0.14698438&lt;/D&gt;&lt;D xsi:type="xsd:double"&gt;0.22030425&lt;/D&gt;&lt;D xsi:type="xsd:double"&gt;0.18250072&lt;/D&gt;&lt;D xsi:type="xsd:double"&gt;0.41977122&lt;/D&gt;&lt;D xsi:type="xsd:double"&gt;0.4402563&lt;/D&gt;&lt;D xsi:type="xsd:double"&gt;0.18625234&lt;/D&gt;&lt;D xsi:type="xsd:double"&gt;0.30487245&lt;/D&gt;&lt;D xsi:type="xsd:double"&gt;0.20078865&lt;/D&gt;&lt;D xsi:type="xsd:double"&gt;0.19871105&lt;/D&gt;&lt;D xsi:type="xsd:double"&gt;0.4954197&lt;/D&gt;&lt;D xsi:type="xsd:double"&gt;0.33661464&lt;/D&gt;&lt;D xsi:type="xsd:double"&gt;0.06640819&lt;/D&gt;&lt;D xsi:type="xsd:double"&gt;0.32249165&lt;/D&gt;&lt;D xsi:type="xsd:double"&gt;0.40342185&lt;/D&gt;&lt;D xsi:type="xsd:double"&gt;0.23584695&lt;/D&gt;&lt;D xsi:type="xsd:double"&gt;0.4372496&lt;/D&gt;&lt;D xsi:type="xsd:double"&gt;0.14290033&lt;/D&gt;&lt;D xsi:type="xsd:double"&gt;0.44723776&lt;/D&gt;&lt;D xsi:type="xsd:double"&gt;0.48138264&lt;/D&gt;&lt;D xsi:type="xsd:double"&gt;0.24503411&lt;/D&gt;&lt;D xsi:type="xsd:double"&gt;0.004225091&lt;/D&gt;&lt;D xsi:type="xsd:double"&gt;0.32246202&lt;/D&gt;&lt;D xsi:type="xsd:double"&gt;0.114230804&lt;/D&gt;&lt;D xsi:type="xsd:double"&gt;0.2863646&lt;/D&gt;&lt;D xsi:type="xsd:double"&gt;0.11274094&lt;/D&gt;&lt;D xsi:type="xsd:double"&gt;0.13838473&lt;/D&gt;&lt;D xsi:type="xsd:double"&gt;0.39470315&lt;/D&gt;&lt;D xsi:type="xsd:double"&gt;0.1347776&lt;/D&gt;&lt;D xsi:type="xsd:double"&gt;0.06787803&lt;/D&gt;&lt;D xsi:type="xsd:double"&gt;0.34559307&lt;/D&gt;&lt;D xsi:type="xsd:double"&gt;0.35457623&lt;/D&gt;&lt;D xsi:type="xsd:double"&gt;0.19930595&lt;/D&gt;&lt;D xsi:type="xsd:double"&gt;0.3197323&lt;/D&gt;&lt;D xsi:type="xsd:double"&gt;0.028915746&lt;/D&gt;&lt;D xsi:type="xsd:double"&gt;0.2579623&lt;/D&gt;&lt;D xsi:type="xsd:double"&gt;0.19387071&lt;/D&gt;&lt;D xsi:type="xsd:double"&gt;0.6102472&lt;/D&gt;&lt;D xsi:type="xsd:double"&gt;0.07800804&lt;/D&gt;&lt;D xsi:type="xsd:double"&gt;0.028724976&lt;/D&gt;&lt;D xsi:type="xsd:double"&gt;0.113040134&lt;/D&gt;&lt;D xsi:type="xsd:double"&gt;0.26830843&lt;/D&gt;&lt;D xsi:type="xsd:double"&gt;0.44844133&lt;/D&gt;&lt;D xsi:type="xsd:double"&gt;0.14585564&lt;/D&gt;&lt;D xsi:type="xsd:double"&gt;0.19434464&lt;/D&gt;&lt;D xsi:type="xsd:double"&gt;0.18350884&lt;/D&gt;&lt;D xsi:type="xsd:double"&gt;0.21441928&lt;/D&gt;&lt;D xsi:type="xsd:double"&gt;0.22937332&lt;/D&gt;&lt;D xsi:type="xsd:double"&gt;0.18062244&lt;/D&gt;&lt;D xsi:type="xsd:double"&gt;0.60986596&lt;/D&gt;&lt;D xsi:type="xsd:double"&gt;1&lt;/D&gt;&lt;D xsi:type="xsd:double"&gt;0.18683995&lt;/D&gt;&lt;D xsi:type="xsd:double"&gt;0.37842825&lt;/D&gt;&lt;D xsi:type="xsd:double"&gt;0.32397628&lt;/D&gt;&lt;D xsi:type="xsd:double"&gt;0.12514895&lt;/D&gt;&lt;D xsi:type="xsd:double"&gt;0.23128551&lt;/D&gt;&lt;D xsi:type="xsd:double"&gt;0.078710735&lt;/D&gt;&lt;D xsi:type="xsd:double"&gt;0.2184798&lt;/D&gt;&lt;D xsi:type="xsd:double"&gt;0.3376983&lt;/D&gt;&lt;D xsi:type="xsd:double"&gt;0.44245362&lt;/D&gt;&lt;D xsi:type="xsd:double"&gt;0.12366873&lt;/D&gt;&lt;D xsi:type="xsd:double"&gt;0.25160655&lt;/D&gt;&lt;D xsi:type="xsd:double"&gt;0.18491417&lt;/D&gt;&lt;D xsi:type="xsd:double"&gt;0.27303308&lt;/D&gt;&lt;D xsi:type="xsd:double"&gt;0.19515103&lt;/D&gt;&lt;D xsi:type="xsd:double"&gt;0.0499635&lt;/D&gt;&lt;D xsi:type="xsd:double"&gt;0.5066437&lt;/D&gt;&lt;D xsi:type="xsd:double"&gt;0.21013322&lt;/D&gt;&lt;D xsi:type="xsd:double"&gt;0.104511425&lt;/D&gt;&lt;D xsi:type="xsd:double"&gt;0.30816174&lt;/D&gt;&lt;D xsi:type="xsd:double"&gt;0.19430612&lt;/D&gt;&lt;D xsi:type="xsd:double"&gt;0.22393566&lt;/D&gt;&lt;D xsi:type="xsd:double"&gt;0.1407889&lt;/D&gt;&lt;D xsi:type="xsd:double"&gt;0.21381055&lt;/D&gt;&lt;D xsi:type="xsd:double"&gt;0.109791264&lt;/D&gt;&lt;D xsi:type="xsd:double"&gt;0.2740215&lt;/D&gt;&lt;D xsi:type="xsd:double"&gt;0.015531214&lt;/D&gt;&lt;D xsi:type="xsd:double"&gt;0.25356165&lt;/D&gt;&lt;D xsi:type="xsd:double"&gt;0.17927766&lt;/D&gt;&lt;D xsi:type="xsd:double"&gt;0.054117847&lt;/D&gt;&lt;D xsi:type="xsd:double"&gt;0.047844116&lt;/D&gt;&lt;D xsi:type="xsd:double"&gt;0.31496045&lt;/D&gt;&lt;D xsi:type="xsd:double"&gt;0.10793806&lt;/D&gt;&lt;D xsi:type="xsd:double"&gt;0.41648263&lt;/D&gt;&lt;D xsi:type="xsd:double"&gt;0.35903227&lt;/D&gt;&lt;D xsi:type="xsd:double"&gt;0.09131249&lt;/D&gt;&lt;D xsi:type="xsd:double"&gt;0.27781868&lt;/D&gt;&lt;D xsi:type="xsd:double"&gt;0.08235472&lt;/D&gt;&lt;D xsi:type="xsd:double"&gt;0.23352818&lt;/D&gt;&lt;D xsi:type="xsd:double"&gt;0.528257&lt;/D&gt;&lt;D xsi:type="xsd:double"&gt;0.50704086&lt;/D&gt;&lt;D xsi:type="xsd:double"&gt;0.38281724&lt;/D&gt;&lt;D xsi:type="xsd:double"&gt;0.50520307&lt;/D&gt;&lt;D xsi:type="xsd:double"&gt;0.052336283&lt;/D&gt;&lt;D xsi:type="xsd:double"&gt;0.6149831&lt;/D&gt;&lt;D xsi:type="xsd:double"&gt;0.2685889&lt;/D&gt;&lt;D xsi:type="xsd:double"&gt;0.21219453&lt;/D&gt;&lt;D xsi:type="xsd:double"&gt;0.079770505&lt;/D&gt;&lt;D xsi:type="xsd:double"&gt;0.05416689&lt;/D&gt;&lt;D xsi:type="xsd:double"&gt;0.21512496&lt;/D&gt;&lt;D xsi:type="xsd:double"&gt;0.25864738&lt;/D&gt;&lt;D xsi:type="xsd:double"&gt;0.13070026&lt;/D&gt;&lt;D xsi:type="xsd:double"&gt;0.11367889&lt;/D&gt;&lt;D xsi:type="xsd:double"&gt;0.48249692&lt;/D&gt;&lt;D xsi:type="xsd:double"&gt;0.062310375&lt;/D&gt;&lt;D xsi:type="xsd:double"&gt;0.035175167&lt;/D&gt;&lt;D xsi:type="xsd:double"&gt;0.1145053&lt;/D&gt;&lt;D xsi:type="xsd:double"&gt;0.06987813&lt;/D&gt;&lt;D xsi:type="xsd:double"&gt;0.23078108&lt;/D&gt;&lt;D xsi:type="xsd:double"&gt;0.18683995&lt;/D&gt;&lt;D xsi:type="xsd:double"&gt;1&lt;/D&gt;&lt;D xsi:type="xsd:double"&gt;0.28225467&lt;/D&gt;&lt;D xsi:type="xsd:double"&gt;0.37494585&lt;/D&gt;&lt;D xsi:type="xsd:double"&gt;0.13552183&lt;/D&gt;&lt;D xsi:type="xsd:double"&gt;0.124052994&lt;/D&gt;&lt;D xsi:type="xsd:double"&gt;0.19918226&lt;/D&gt;&lt;D xsi:type="xsd:double"&gt;0.3618276&lt;/D&gt;&lt;D xsi:type="xsd:double"&gt;0.1331151&lt;/D&gt;&lt;D xsi:type="xsd:double"&gt;0.2680677&lt;/D&gt;&lt;D xsi:type="xsd:double"&gt;0.26346418&lt;/D&gt;&lt;D xsi:type="xsd:double"&gt;0.41547903&lt;/D&gt;&lt;D xsi:type="xsd:double"&gt;0.34725687&lt;/D&gt;&lt;D xsi:type="xsd:double"&gt;0.49752104&lt;/D&gt;&lt;D xsi:type="xsd:double"&gt;0.42039084&lt;/D&gt;&lt;D xsi:type="xsd:double"&gt;0.18200777&lt;/D&gt;&lt;D xsi:type="xsd:double"&gt;0.33334726&lt;/D&gt;&lt;D xsi:type="xsd:double"&gt;0.21844539&lt;/D&gt;&lt;D xsi:type="xsd:double"&gt;0.2694478&lt;/D&gt;&lt;D xsi:type="xsd:double"&gt;0.5206565&lt;/D&gt;&lt;D xsi:type="xsd:double"&gt;0.32963145&lt;/D&gt;&lt;D xsi:type="xsd:double"&gt;0.047395613&lt;/D&gt;&lt;D xsi:type="xsd:double"&gt;0.26642206&lt;/D&gt;&lt;D xsi:type="xsd:double"&gt;0.55656016&lt;/D&gt;&lt;D xsi:type="xsd:double"&gt;0.2188705&lt;/D&gt;&lt;D xsi:type="xsd:double"&gt;0.4827097&lt;/D&gt;&lt;D xsi:type="xsd:double"&gt;0.14235772&lt;/D&gt;&lt;D xsi:type="xsd:double"&gt;0.45268938&lt;/D&gt;&lt;D xsi:type="xsd:double"&gt;0.35125417&lt;/D&gt;&lt;D xsi:type="xsd:double"&gt;0.19423528&lt;/D&gt;&lt;D xsi:type="xsd:double"&gt;0.09631019&lt;/D&gt;&lt;D xsi:type="xsd:double"&gt;0.16499679&lt;/D&gt;&lt;D xsi:type="xsd:double"&gt;0.13309962&lt;/D&gt;&lt;D xsi:type="xsd:double"&gt;0.1890904&lt;/D&gt;&lt;D xsi:type="xsd:double"&gt;0.12374538&lt;/D&gt;&lt;D xsi:type="xsd:double"&gt;0.12603831&lt;/D&gt;&lt;D xsi:type="xsd:double"&gt;0.62871724&lt;/D&gt;&lt;D xsi:type="xsd:double"&gt;0.17664377&lt;/D&gt;&lt;D xsi:type="xsd:double"&gt;0.09475894&lt;/D&gt;&lt;D xsi:type="xsd:double"&gt;0.3538865&lt;/D&gt;&lt;D xsi:type="xsd:double"&gt;0.29078516&lt;/D&gt;&lt;D xsi:type="xsd:double"&gt;0.16946992&lt;/D&gt;&lt;D xsi:type="xsd:double"&gt;0.3034352&lt;/D&gt;&lt;D xsi:type="xsd:double"&gt;0.09252827&lt;/D&gt;&lt;D xsi:type="xsd:double"&gt;0.27863607&lt;/D&gt;&lt;D xsi:type="xsd:double"&gt;0.19437598&lt;/D&gt;&lt;D xsi:type="xsd:double"&gt;0.38943458&lt;/D&gt;&lt;D xsi:type="xsd:double"&gt;0.15852267&lt;/D&gt;&lt;D xsi:type="xsd:double"&gt;0.091509&lt;/D&gt;&lt;D xsi:type="xsd:double"&gt;0.07894242&lt;/D&gt;&lt;D xsi:type="xsd:double"&gt;0.44577464&lt;/D&gt;&lt;D xsi:type="xsd:double"&gt;0.29331183&lt;/D&gt;&lt;D xsi:type="xsd:double"&gt;0.20876804&lt;/D&gt;&lt;D xsi:type="xsd:double"&gt;0.24160345&lt;/D&gt;&lt;D xsi:type="xsd:double"&gt;0.1450753&lt;/D&gt;&lt;D xsi:type="xsd:double"&gt;0.19916448&lt;/D&gt;&lt;D xsi:type="xsd:double"&gt;0.22724968&lt;/D&gt;&lt;D xsi:type="xsd:double"&gt;0.16999258&lt;/D&gt;&lt;D xsi:type="xsd:double"&gt;0.4435387&lt;/D&gt;&lt;D xsi:type="xsd:double"&gt;0.37842825&lt;/D&gt;&lt;D xsi:type="xsd:double"&gt;0.28225467&lt;/D&gt;&lt;D xsi:type="xsd:double"&gt;1&lt;/D&gt;&lt;D xsi:type="xsd:double"&gt;0.28026068&lt;/D&gt;&lt;D xsi:type="xsd:double"&gt;0.16545591&lt;/D&gt;&lt;D xsi:type="xsd:double"&gt;0.25293052&lt;/D&gt;&lt;D xsi:type="xsd:double"&gt;0.070343114&lt;/D&gt;&lt;D xsi:type="xsd:double"&gt;0.19038513&lt;/D&gt;&lt;D xsi:type="xsd:double"&gt;0.2780478&lt;/D&gt;&lt;D xsi:type="xsd:double"&gt;0.47643918&lt;/D&gt;&lt;D xsi:type="xsd:double"&gt;0.07613077&lt;/D&gt;&lt;D xsi:type="xsd:double"&gt;0.19029231&lt;/D&gt;&lt;D xsi:type="xsd:double"&gt;0.21217006&lt;/D&gt;&lt;D xsi:type="xsd:double"&gt;0.2843235&lt;/D&gt;&lt;D xsi:type="xsd:double"&gt;0.44327343&lt;/D&gt;&lt;D xsi:type="xsd:double"&gt;0.15071787&lt;/D&gt;&lt;D xsi:type="xsd:double"&gt;0.38759404&lt;/D&gt;&lt;D xsi:type="xsd:double"&gt;0.24097674&lt;/D&gt;&lt;D xsi:type="xsd:double"&gt;0.14724803&lt;/D&gt;&lt;D xsi:type="xsd:double"&gt;0.36164185&lt;/D&gt;&lt;D xsi:type="xsd:double"&gt;0.22059269&lt;/D&gt;&lt;D xsi:type="xsd:double"&gt;0.08881844&lt;/D&gt;&lt;D xsi:type="xsd:double"&gt;0.1921826&lt;/D&gt;&lt;D xsi:type="xsd:double"&gt;0.21651211&lt;/D&gt;&lt;D xsi:type="xsd:double"&gt;0.18843508&lt;/D&gt;&lt;D xsi:type="xsd:double"&gt;0.29230016&lt;/D&gt;&lt;D xsi:type="xsd:double"&gt;0.06622851&lt;/D&gt;&lt;D xsi:type="xsd:double"&gt;0.27799326&lt;/D&gt;&lt;D xsi:type="xsd:double"&gt;0.34412855&lt;/D&gt;&lt;D xsi:type="xsd:double"&gt;0.08577598&lt;/D&gt;&lt;D xsi:type="xsd:double"&gt;0.049683303&lt;/D&gt;&lt;D xsi:type="xsd:double"&gt;0.39414006&lt;/D&gt;&lt;D xsi:type="xsd:double"&gt;0.11719091&lt;/D&gt;&lt;D xsi:type="xsd:double"&gt;0.32060432&lt;/D&gt;&lt;D xsi:type="xsd:double"&gt;0.24924225&lt;/D&gt;&lt;D xsi:type="xsd:double"&gt;0.085493304&lt;/D&gt;&lt;D xsi:type="xsd:double"&gt;0.2697583&lt;/D&gt;&lt;D xsi:type="xsd:double"&gt;0.11338912&lt;/D&gt;&lt;D xsi:type="xsd:double"&gt;0.11599261&lt;/D&gt;&lt;D xsi:type="xsd:double"&gt;0.42440885&lt;/D&gt;&lt;D xsi:type="xsd:double"&gt;0.46909943&lt;/D&gt;&lt;D xsi:type="xsd:double"&gt;0.24578261&lt;/D&gt;&lt;D xsi:type="xsd:double"&gt;0.36476612&lt;/D&gt;&lt;D xsi:type="xsd:double"&gt;0.030391136&lt;/D&gt;&lt;D xsi:type="xsd:double"&gt;0.34912246&lt;/D&gt;&lt;D xsi:type="xsd:double"&gt;0.22601563&lt;/D&gt;&lt;D xsi:type="xsd:double"&gt;0.32464433&lt;/D&gt;&lt;D xsi:type="xsd:double"&gt;0.061140373&lt;/D&gt;&lt;D xsi:type="xsd:double"&gt;0.029599085&lt;/D&gt;&lt;D xsi:type="xsd:double"&gt;0.1681744&lt;/D&gt;&lt;D xsi:type="xsd:double"&gt;0.18319193&lt;/D&gt;&lt;D xsi:type="xsd:double"&gt;0.30355898&lt;/D&gt;&lt;D xsi:type="xsd:double"&gt;0.07925821&lt;/D&gt;&lt;D xsi:type="xsd:double"&gt;0.25858006&lt;/D&gt;&lt;D xsi:type="xsd:double"&gt;0.071035214&lt;/D&gt;&lt;D xsi:type="xsd:double"&gt;0.08456018&lt;/D&gt;&lt;D xsi:type="xsd:double"&gt;0.15463917&lt;/D&gt;&lt;D xsi:type="xsd:double"&gt;0.08154404&lt;/D&gt;&lt;D xsi:type="xsd:double"&gt;0.3177464&lt;/D&gt;&lt;D xsi:type="xsd:double"&gt;0.32397628&lt;/D&gt;&lt;D xsi:type="xsd:double"&gt;0.37494585&lt;/D&gt;&lt;D xsi:type="xsd:double"&gt;0.28026068&lt;/D&gt;&lt;D xsi:type="xsd:double"&gt;1&lt;/D&gt;&lt;D xsi:type="xsd:double"&gt;0.04889134&lt;/D&gt;&lt;D xsi:type="xsd:double"&gt;0.25123948&lt;/D&gt;&lt;D xsi:type="xsd:double"&gt;0.15305975&lt;/D&gt;&lt;D xsi:type="xsd:double"&gt;0.23407452&lt;/D&gt;&lt;D xsi:type="xsd:double"&gt;0.20727928&lt;/D&gt;&lt;D xsi:type="xsd:double"&gt;0.29366428&lt;/D&gt;&lt;D xsi:type="xsd:double"&gt;0.18174906&lt;/D&gt;&lt;D xsi:type="xsd:double"&gt;0.276111&lt;/D&gt;&lt;D xsi:type="xsd:double"&gt;0.29653567&lt;/D&gt;&lt;D xsi:type="xsd:double"&gt;0.19002204&lt;/D&gt;&lt;D xsi:type="xsd:double"&gt;0.09788907&lt;/D&gt;&lt;D xsi:type="xsd:double"&gt;0.08954926&lt;/D&gt;&lt;D xsi:type="xsd:double"&gt;0.06974484&lt;/D&gt;&lt;D xsi:type="xsd:double"&gt;0.06815889&lt;/D&gt;&lt;D xsi:type="xsd:double"&gt;0.1384017&lt;/D&gt;&lt;D xsi:type="xsd:double"&gt;0.13901925&lt;/D&gt;&lt;D xsi:type="xsd:double"&gt;0.15196058&lt;/D&gt;&lt;D xsi:type="xsd:double"&gt;0.06657146&lt;/D&gt;&lt;D xsi:type="xsd:double"&gt;0.1622779&lt;/D&gt;&lt;D xsi:type="xsd:double"&gt;0.118296556&lt;/D&gt;&lt;D xsi:type="xsd:double"&gt;0.08995195&lt;/D&gt;&lt;D xsi:type="xsd:double"&gt;0.13997997&lt;/D&gt;&lt;D xsi:type="xsd:double"&gt;0.43034&lt;/D&gt;&lt;D xsi:type="xsd:double"&gt;0.13578808&lt;/D&gt;&lt;D xsi:type="xsd:double"&gt;0.11527468&lt;/D&gt;&lt;D xsi:type="xsd:double"&gt;0.106473856&lt;/D&gt;&lt;D xsi:type="xsd:double"&gt;0.29226112&lt;/D&gt;&lt;D xsi:type="xsd:double"&gt;0.0619539&lt;/D&gt;&lt;D xsi:type="xsd:double"&gt;0.25578865&lt;/D&gt;&lt;D xsi:type="xsd:double"&gt;0.037232157&lt;/D&gt;&lt;D xsi:type="xsd:double"&gt;0.06266552&lt;/D&gt;&lt;D xsi:type="xsd:double"&gt;0.18306065&lt;/D&gt;&lt;D xsi:type="xsd:double"&gt;0.13221139&lt;/D&gt;&lt;D xsi:type="xsd:double"&gt;0.11182416&lt;/D&gt;&lt;D xsi:type="xsd:double"&gt;0.048870955&lt;/D&gt;&lt;D xsi:type="xsd:double"&gt;0.07906252&lt;/D&gt;&lt;D xsi:type="xsd:double"&gt;0.04184074&lt;/D&gt;&lt;D xsi:type="xsd:double"&gt;0.05136634&lt;/D&gt;&lt;D xsi:type="xsd:double"&gt;0.06473559&lt;/D&gt;&lt;D xsi:type="xsd:double"&gt;0.3893183&lt;/D&gt;&lt;D xsi:type="xsd:double"&gt;0.12375406&lt;/D&gt;&lt;D xsi:type="xsd:double"&gt;0.072121896&lt;/D&gt;&lt;D xsi:type="xsd:double"&gt;0.13950974&lt;/D&gt;&lt;D xsi:type="xsd:double"&gt;0.45050314&lt;/D&gt;&lt;D xsi:type="xsd:double"&gt;0.44056708&lt;/D&gt;&lt;D xsi:type="xsd:double"&gt;0.019831553&lt;/D&gt;&lt;D xsi:type="xsd:double"&gt;0.0781775&lt;/D&gt;&lt;D xsi:type="xsd:double"&gt;0.11973667&lt;/D&gt;&lt;D xsi:type="xsd:double"&gt;0.39116722&lt;/D&gt;&lt;D xsi:type="xsd:double"&gt;0.034308117&lt;/D&gt;&lt;D xsi:type="xsd:double"&gt;0.23048382&lt;/D&gt;&lt;D xsi:type="xsd:double"&gt;0.06136247&lt;/D&gt;&lt;D xsi:type="xsd:double"&gt;0.12707856&lt;/D&gt;&lt;D xsi:type="xsd:double"&gt;0.17890501&lt;/D&gt;&lt;D xsi:type="xsd:double"&gt;0.13961501&lt;/D&gt;&lt;D xsi:type="xsd:double"&gt;0.12514895&lt;/D&gt;&lt;D xsi:type="xsd:double"&gt;0.13552183&lt;/D&gt;&lt;D xsi:type="xsd:double"&gt;0.16545591&lt;/D&gt;&lt;D xsi:type="xsd:double"&gt;0.04889134&lt;/D&gt;&lt;D xsi:type="xsd:double"&gt;1&lt;/D&gt;&lt;D xsi:type="xsd:double"&gt;0.12100472&lt;/D&gt;&lt;D xsi:type="xsd:double"&gt;0.08063619&lt;/D&gt;&lt;D xsi:type="xsd:double"&gt;0.01834058&lt;/D&gt;&lt;D xsi:type="xsd:double"&gt;0.15175621&lt;/D&gt;&lt;D xsi:type="xsd:double"&gt;0.1645381&lt;/D&gt;&lt;D xsi:type="xsd:double"&gt;0.06287218&lt;/D&gt;&lt;D xsi:type="xsd:double"&gt;0.058244064&lt;/D&gt;&lt;D xsi:type="xsd:double"&gt;0.045360923&lt;/D&gt;&lt;D xsi:type="xsd:double"&gt;0.26021358&lt;/D&gt;&lt;D xsi:type="xsd:double"&gt;0.53149796&lt;/D&gt;&lt;D xsi:type="xsd:double"&gt;0.16476853&lt;/D&gt;&lt;D xsi:type="xsd:double"&gt;0.15581703&lt;/D&gt;&lt;D xsi:type="xsd:double"&gt;0.17733148&lt;/D&gt;&lt;D xsi:type="xsd:double"&gt;0.18846282&lt;/D&gt;&lt;D xsi:type="xsd:double"&gt;0.2913979&lt;/D&gt;&lt;D xsi:type="xsd:double"&gt;0.23455875&lt;/D&gt;&lt;D xsi:type="xsd:double"&gt;0.026704367&lt;/D&gt;&lt;D xsi:type="xsd:double"&gt;0.17713894&lt;/D&gt;&lt;D xsi:type="xsd:double"&gt;0.2413409&lt;/D&gt;&lt;D xsi:type="xsd:double"&gt;0.14838673&lt;/D&gt;&lt;D xsi:type="xsd:double"&gt;0.22272357&lt;/D&gt;&lt;D xsi:type="xsd:double"&gt;0.11684156&lt;/D&gt;&lt;D xsi:type="xsd:double"&gt;0.23492771&lt;/D</t>
        </r>
      </text>
    </comment>
    <comment ref="A9" authorId="0" shapeId="0" xr:uid="{22EA9421-1566-4A54-8943-FE97EA32AFFE}">
      <text>
        <r>
          <rPr>
            <b/>
            <sz val="9"/>
            <color indexed="81"/>
            <rFont val="Tahoma"/>
            <charset val="1"/>
          </rPr>
          <t>&gt;&lt;D xsi:type="xsd:double"&gt;0.33345708&lt;/D&gt;&lt;D xsi:type="xsd:double"&gt;0.17579706&lt;/D&gt;&lt;D xsi:type="xsd:double"&gt;0.08664683&lt;/D&gt;&lt;D xsi:type="xsd:double"&gt;0.15446174&lt;/D&gt;&lt;D xsi:type="xsd:double"&gt;0.09668562&lt;/D&gt;&lt;D xsi:type="xsd:double"&gt;0.11236106&lt;/D&gt;&lt;D xsi:type="xsd:double"&gt;0.1115454&lt;/D&gt;&lt;D xsi:type="xsd:double"&gt;0.13014595&lt;/D&gt;&lt;D xsi:type="xsd:double"&gt;0.250801&lt;/D&gt;&lt;D xsi:type="xsd:double"&gt;0.11254&lt;/D&gt;&lt;D xsi:type="xsd:double"&gt;0.01775311&lt;/D&gt;&lt;D xsi:type="xsd:double"&gt;0.15911411&lt;/D&gt;&lt;D xsi:type="xsd:double"&gt;0.14197093&lt;/D&gt;&lt;D xsi:type="xsd:double"&gt;0.068878345&lt;/D&gt;&lt;D xsi:type="xsd:double"&gt;0.10715157&lt;/D&gt;&lt;D xsi:type="xsd:double"&gt;0.047542106&lt;/D&gt;&lt;D xsi:type="xsd:double"&gt;0.13513255&lt;/D&gt;&lt;D xsi:type="xsd:double"&gt;0.048805706&lt;/D&gt;&lt;D xsi:type="xsd:double"&gt;0.26061296&lt;/D&gt;&lt;D xsi:type="xsd:double"&gt;0.07814627&lt;/D&gt;&lt;D xsi:type="xsd:double"&gt;0.06627741&lt;/D&gt;&lt;D xsi:type="xsd:double"&gt;0.038420375&lt;/D&gt;&lt;D xsi:type="xsd:double"&gt;0.19795483&lt;/D&gt;&lt;D xsi:type="xsd:double"&gt;0.276754&lt;/D&gt;&lt;D xsi:type="xsd:double"&gt;0.16341968&lt;/D&gt;&lt;D xsi:type="xsd:double"&gt;0.058085147&lt;/D&gt;&lt;D xsi:type="xsd:double"&gt;0.15745598&lt;/D&gt;&lt;D xsi:type="xsd:double"&gt;0.17028552&lt;/D&gt;&lt;D xsi:type="xsd:double"&gt;0.1482693&lt;/D&gt;&lt;D xsi:type="xsd:double"&gt;0.15203172&lt;/D&gt;&lt;D xsi:type="xsd:double"&gt;0.2337219&lt;/D&gt;&lt;D xsi:type="xsd:double"&gt;0.23128551&lt;/D&gt;&lt;D xsi:type="xsd:double"&gt;0.124052994&lt;/D&gt;&lt;D xsi:type="xsd:double"&gt;0.25293052&lt;/D&gt;&lt;D xsi:type="xsd:double"&gt;0.25123948&lt;/D&gt;&lt;D xsi:type="xsd:double"&gt;0.12100472&lt;/D&gt;&lt;D xsi:type="xsd:double"&gt;1&lt;/D&gt;&lt;D xsi:type="xsd:double"&gt;0.021000797&lt;/D&gt;&lt;D xsi:type="xsd:double"&gt;0.08207536&lt;/D&gt;&lt;D xsi:type="xsd:double"&gt;0.208143&lt;/D&gt;&lt;D xsi:type="xsd:double"&gt;0.2519329&lt;/D&gt;&lt;D xsi:type="xsd:double"&gt;0.12261399&lt;/D&gt;&lt;D xsi:type="xsd:double"&gt;0.08833339&lt;/D&gt;&lt;D xsi:type="xsd:double"&gt;0.12705892&lt;/D&gt;&lt;D xsi:type="xsd:double"&gt;0.11426086&lt;/D&gt;&lt;D xsi:type="xsd:double"&gt;0.07916192&lt;/D&gt;&lt;D xsi:type="xsd:double"&gt;0.008647056&lt;/D&gt;&lt;D xsi:type="xsd:double"&gt;0.12921235&lt;/D&gt;&lt;D xsi:type="xsd:double"&gt;0.058938865&lt;/D&gt;&lt;D xsi:type="xsd:double"&gt;-0.03449254&lt;/D&gt;&lt;D xsi:type="xsd:double"&gt;0.117634356&lt;/D&gt;&lt;D xsi:type="xsd:double"&gt;0.105778165&lt;/D&gt;&lt;D xsi:type="xsd:double"&gt;0.23524706&lt;/D&gt;&lt;D xsi:type="xsd:double"&gt;0.20932731&lt;/D&gt;&lt;D xsi:type="xsd:double"&gt;0.03733248&lt;/D&gt;&lt;D xsi:type="xsd:double"&gt;0.11391561&lt;/D&gt;&lt;D xsi:type="xsd:double"&gt;0.08043909&lt;/D&gt;&lt;D xsi:type="xsd:double"&gt;0.026498657&lt;/D&gt;&lt;D xsi:type="xsd:double"&gt;0.14558843&lt;/D&gt;&lt;D xsi:type="xsd:double"&gt;0.13301206&lt;/D&gt;&lt;D xsi:type="xsd:double"&gt;0.16068196&lt;/D&gt;&lt;D xsi:type="xsd:double"&gt;0.09248834&lt;/D&gt;&lt;D xsi:type="xsd:double"&gt;0.12144407&lt;/D&gt;&lt;D xsi:type="xsd:double"&gt;0.040059183&lt;/D&gt;&lt;D xsi:type="xsd:double"&gt;0.08504254&lt;/D&gt;&lt;D xsi:type="xsd:double"&gt;0.120834865&lt;/D&gt;&lt;D xsi:type="xsd:double"&gt;0.027415128&lt;/D&gt;&lt;D xsi:type="xsd:double"&gt;0.062013578&lt;/D&gt;&lt;D xsi:type="xsd:double"&gt;0.120494224&lt;/D&gt;&lt;D xsi:type="xsd:double"&gt;0.34159595&lt;/D&gt;&lt;D xsi:type="xsd:double"&gt;0.15995854&lt;/D&gt;&lt;D xsi:type="xsd:double"&gt;0.22902764&lt;/D&gt;&lt;D xsi:type="xsd:double"&gt;0.06558129&lt;/D&gt;&lt;D xsi:type="xsd:double"&gt;0.2077064&lt;/D&gt;&lt;D xsi:type="xsd:double"&gt;0.055302408&lt;/D&gt;&lt;D xsi:type="xsd:double"&gt;0.19294806&lt;/D&gt;&lt;D xsi:type="xsd:double"&gt;0.27850983&lt;/D&gt;&lt;D xsi:type="xsd:double"&gt;0.116483584&lt;/D&gt;&lt;D xsi:type="xsd:double"&gt;0.07262524&lt;/D&gt;&lt;D xsi:type="xsd:double"&gt;0.07220175&lt;/D&gt;&lt;D xsi:type="xsd:double"&gt;0.25428864&lt;/D&gt;&lt;D xsi:type="xsd:double"&gt;0.087411456&lt;/D&gt;&lt;D xsi:type="xsd:double"&gt;0.094737604&lt;/D&gt;&lt;D xsi:type="xsd:double"&gt;0.045189083&lt;/D&gt;&lt;D xsi:type="xsd:double"&gt;0.14517134&lt;/D&gt;&lt;D xsi:type="xsd:double"&gt;0.050562486&lt;/D&gt;&lt;D xsi:type="xsd:double"&gt;0.14068896&lt;/D&gt;&lt;D xsi:type="xsd:double"&gt;0.09441538&lt;/D&gt;&lt;D xsi:type="xsd:double"&gt;0.011547638&lt;/D&gt;&lt;D xsi:type="xsd:double"&gt;0.1425636&lt;/D&gt;&lt;D xsi:type="xsd:double"&gt;0.078710735&lt;/D&gt;&lt;D xsi:type="xsd:double"&gt;0.19918226&lt;/D&gt;&lt;D xsi:type="xsd:double"&gt;0.070343114&lt;/D&gt;&lt;D xsi:type="xsd:double"&gt;0.15305975&lt;/D&gt;&lt;D xsi:type="xsd:double"&gt;0.08063619&lt;/D&gt;&lt;D xsi:type="xsd:double"&gt;0.021000797&lt;/D&gt;&lt;D xsi:type="xsd:double"&gt;1&lt;/D&gt;&lt;D xsi:type="xsd:double"&gt;0.238921&lt;/D&gt;&lt;D xsi:type="xsd:double"&gt;0.26311207&lt;/D&gt;&lt;D xsi:type="xsd:double"&gt;0.10568072&lt;/D&gt;&lt;D xsi:type="xsd:double"&gt;0.15740016&lt;/D&gt;&lt;D xsi:type="xsd:double"&gt;0.2572615&lt;/D&gt;&lt;D xsi:type="xsd:double"&gt;0.19776575&lt;/D&gt;&lt;D xsi:type="xsd:double"&gt;0.22955623&lt;/D&gt;&lt;D xsi:type="xsd:double"&gt;0.17980261&lt;/D&gt;&lt;D xsi:type="xsd:double"&gt;0.052148562&lt;/D&gt;&lt;D xsi:type="xsd:double"&gt;0.36848122&lt;/D&gt;&lt;D xsi:type="xsd:double"&gt;0.19347213&lt;/D&gt;&lt;D xsi:type="xsd:double"&gt;0.07227729&lt;/D&gt;&lt;D xsi:type="xsd:double"&gt;0.26557684&lt;/D&gt;&lt;D xsi:type="xsd:double"&gt;0.2370016&lt;/D&gt;&lt;D xsi:type="xsd:double"&gt;0.2707928&lt;/D&gt;&lt;D xsi:type="xsd:double"&gt;0.16019903&lt;/D&gt;&lt;D xsi:type="xsd:double"&gt;0.17562069&lt;/D&gt;&lt;D xsi:type="xsd:double"&gt;0.12679608&lt;/D&gt;&lt;D xsi:type="xsd:double"&gt;0.2548705&lt;/D&gt;&lt;D xsi:type="xsd:double"&gt;0.00056893355&lt;/D&gt;&lt;D xsi:type="xsd:double"&gt;0.23662041&lt;/D&gt;&lt;D xsi:type="xsd:double"&gt;0.17576396&lt;/D&gt;&lt;D xsi:type="xsd:double"&gt;0.15127167&lt;/D&gt;&lt;D xsi:type="xsd:double"&gt;-0.038159136&lt;/D&gt;&lt;D xsi:type="xsd:double"&gt;0.26062265&lt;/D&gt;&lt;D xsi:type="xsd:double"&gt;0.01890096&lt;/D&gt;&lt;D xsi:type="xsd:double"&gt;0.28739792&lt;/D&gt;&lt;D xsi:type="xsd:double"&gt;0.22621195&lt;/D&gt;&lt;D xsi:type="xsd:double"&gt;0.032643344&lt;/D&gt;&lt;D xsi:type="xsd:double"&gt;0.20112385&lt;/D&gt;&lt;D xsi:type="xsd:double"&gt;0.105912484&lt;/D&gt;&lt;D xsi:type="xsd:double"&gt;0.23954332&lt;/D&gt;&lt;D xsi:type="xsd:double"&gt;0.40712145&lt;/D&gt;&lt;D xsi:type="xsd:double"&gt;0.36620554&lt;/D&gt;&lt;D xsi:type="xsd:double"&gt;0.2550498&lt;/D&gt;&lt;D xsi:type="xsd:double"&gt;0.36543047&lt;/D&gt;&lt;D xsi:type="xsd:double"&gt;0.006628398&lt;/D&gt;&lt;D xsi:type="xsd:double"&gt;0.36900923&lt;/D&gt;&lt;D xsi:type="xsd:double"&gt;0.25566268&lt;/D&gt;&lt;D xsi:type="xsd:double"&gt;0.20739448&lt;/D&gt;&lt;D xsi:type="xsd:double"&gt;0.021275228&lt;/D&gt;&lt;D xsi:type="xsd:double"&gt;0.0078353165&lt;/D&gt;&lt;D xsi:type="xsd:double"&gt;0.2914445&lt;/D&gt;&lt;D xsi:type="xsd:double"&gt;0.18182372&lt;/D&gt;&lt;D xsi:type="xsd:double"&gt;0.14879192&lt;/D&gt;&lt;D xsi:type="xsd:double"&gt;0.039049007&lt;/D&gt;&lt;D xsi:type="xsd:double"&gt;0.2949114&lt;/D&gt;&lt;D xsi:type="xsd:double"&gt;0.0212731&lt;/D&gt;&lt;D xsi:type="xsd:double"&gt;0.16873378&lt;/D&gt;&lt;D xsi:type="xsd:double"&gt;0.08318602&lt;/D&gt;&lt;D xsi:type="xsd:double"&gt;0.050084144&lt;/D&gt;&lt;D xsi:type="xsd:double"&gt;0.23917708&lt;/D&gt;&lt;D xsi:type="xsd:double"&gt;0.2184798&lt;/D&gt;&lt;D xsi:type="xsd:double"&gt;0.3618276&lt;/D&gt;&lt;D xsi:type="xsd:double"&gt;0.19038513&lt;/D&gt;&lt;D xsi:type="xsd:double"&gt;0.23407452&lt;/D&gt;&lt;D xsi:type="xsd:double"&gt;0.01834058&lt;/D&gt;&lt;D xsi:type="xsd:double"&gt;0.08207536&lt;/D&gt;&lt;D xsi:type="xsd:double"&gt;0.238921&lt;/D&gt;&lt;D xsi:type="xsd:double"&gt;1&lt;/D&gt;&lt;D xsi:type="xsd:double"&gt;0.19698185&lt;/D&gt;&lt;D xsi:type="xsd:double"&gt;0.26423404&lt;/D&gt;&lt;D xsi:type="xsd:double"&gt;0.21570908&lt;/D&gt;&lt;D xsi:type="xsd:double"&gt;0.33386257&lt;/D&gt;&lt;D xsi:type="xsd:double"&gt;0.27207133&lt;/D&gt;&lt;D xsi:type="xsd:double"&gt;0.34252146&lt;/D&gt;&lt;D xsi:type="xsd:double"&gt;0.29535085&lt;/D&gt;&lt;D xsi:type="xsd:double"&gt;0.09243966&lt;/D&gt;&lt;D xsi:type="xsd:double"&gt;0.17390521&lt;/D&gt;&lt;D xsi:type="xsd:double"&gt;0.07849945&lt;/D&gt;&lt;D xsi:type="xsd:double"&gt;0.029277531&lt;/D&gt;&lt;D xsi:type="xsd:double"&gt;0.3576253&lt;/D&gt;&lt;D xsi:type="xsd:double"&gt;0.34853014&lt;/D&gt;&lt;D xsi:type="xsd:double"&gt;0.12812741&lt;/D&gt;&lt;D xsi:type="xsd:double"&gt;0.5388105&lt;/D&gt;&lt;D xsi:type="xsd:double"&gt;0.2642412&lt;/D&gt;&lt;D xsi:type="xsd:double"&gt;0.27987033&lt;/D&gt;&lt;D xsi:type="xsd:double"&gt;0.30863494&lt;/D&gt;&lt;D xsi:type="xsd:double"&gt;0.18581581&lt;/D&gt;&lt;D xsi:type="xsd:double"&gt;0.35995936&lt;/D&gt;&lt;D xsi:type="xsd:double"&gt;0.37164956&lt;/D&gt;&lt;D xsi:type="xsd:double"&gt;0.30996668&lt;/D&gt;&lt;D xsi:type="xsd:double"&gt;0.103297204&lt;/D&gt;&lt;D xsi:type="xsd:double"&gt;0.17167673&lt;/D&gt;&lt;D xsi:type="xsd:double"&gt;0.076156124&lt;/D&gt;&lt;D xsi:type="xsd:double"&gt;0.10067172&lt;/D&gt;&lt;D xsi:type="xsd:double"&gt;0.09258253&lt;/D&gt;&lt;D xsi:type="xsd:double"&gt;0.08402278&lt;/D&gt;&lt;D xsi:type="xsd:double"&gt;0.26069716&lt;/D&gt;&lt;D xsi:type="xsd:double"&gt;0.30135944&lt;/D&gt;&lt;D xsi:type="xsd:double"&gt;0.16767223&lt;/D&gt;&lt;D xsi:type="xsd:double"&gt;0.18914604&lt;/D&gt;&lt;D xsi:type="xsd:double"&gt;0.18173692&lt;/D&gt;&lt;D xsi:type="xsd:double"&gt;0.120931625&lt;/D&gt;&lt;D xsi:type="xsd:double"&gt;0.22951618&lt;/D&gt;&lt;D xsi:type="xsd:double"&gt;0.10137699&lt;/D&gt;&lt;D xsi:type="xsd:double"&gt;0.17546523&lt;/D&gt;&lt;D xsi:type="xsd:double"&gt;0.22220342&lt;/D&gt;&lt;D xsi:type="xsd:double"&gt;0.3786897&lt;/D&gt;&lt;D xsi:type="xsd:double"&gt;0.14185216&lt;/D&gt;&lt;D xsi:type="xsd:double"&gt;0.11442189&lt;/D&gt;&lt;D xsi:type="xsd:double"&gt;0.13633108&lt;/D&gt;&lt;D xsi:type="xsd:double"&gt;0.20582916&lt;/D&gt;&lt;D xsi:type="xsd:double"&gt;0.31459752&lt;/D&gt;&lt;D xsi:type="xsd:double"&gt;0.1270397&lt;/D&gt;&lt;D xsi:type="xsd:double"&gt;0.14905256&lt;/D&gt;&lt;D xsi:type="xsd:double"&gt;0.10844933&lt;/D&gt;&lt;D xsi:type="xsd:double"&gt;0.25075078&lt;/D&gt;&lt;D xsi:type="xsd:double"&gt;0.30099964&lt;/D&gt;&lt;D xsi:type="xsd:double"&gt;0.10802802&lt;/D&gt;&lt;D xsi:type="xsd:double"&gt;0.37982264&lt;/D&gt;&lt;D xsi:type="xsd:double"&gt;0.3376983&lt;/D&gt;&lt;D xsi:type="xsd:double"&gt;0.1331151&lt;/D&gt;&lt;D xsi:type="xsd:double"&gt;0.2780478&lt;/D&gt;&lt;D xsi:type="xsd:double"&gt;0.20727928&lt;/D&gt;&lt;D xsi:type="xsd:double"&gt;0.15175621&lt;/D&gt;&lt;D xsi:type="xsd:double"&gt;0.208143&lt;/D&gt;&lt;D xsi:type="xsd:double"&gt;0.26311207&lt;/D&gt;&lt;D xsi:type="xsd:double"&gt;0.19698185&lt;/D&gt;&lt;D xsi:type="xsd:double"&gt;1&lt;/D&gt;&lt;D xsi:type="xsd:double"&gt;0.32504824&lt;/D&gt;&lt;D xsi:type="xsd:double"&gt;0.15105212&lt;/D&gt;&lt;D xsi:type="xsd:double"&gt;0.23276024&lt;/D&gt;&lt;D xsi:type="xsd:double"&gt;0.13475348&lt;/D&gt;&lt;D xsi:type="xsd:double"&gt;0.50821435&lt;/D&gt;&lt;D xsi:type="xsd:double"&gt;0.3819308&lt;/D&gt;&lt;D xsi:type="xsd:double"&gt;0.12213162&lt;/D&gt;&lt;D xsi:type="xsd:double"&gt;0.3743258&lt;/D&gt;&lt;D xsi:type="xsd:double"&gt;0.21164237&lt;/D&gt;&lt;D xsi:type="xsd:double"&gt;0.18033718&lt;/D&gt;&lt;D xsi:type="xsd:double"&gt;0.6262405&lt;/D&gt;&lt;D xsi:type="xsd:double"&gt;0.40551424&lt;/D&gt;&lt;D xsi:type="xsd:double"&gt;0.08409664&lt;/D&gt;&lt;D xsi:type="xsd:double"&gt;0.33944756&lt;/D&gt;&lt;D xsi:type="xsd:double"&gt;0.40338552&lt;/D&gt;&lt;D xsi:type="xsd:double"&gt;0.26799858&lt;/D&gt;&lt;D xsi:type="xsd:double"&gt;0.6315838&lt;/D&gt;&lt;D xsi:type="xsd:double"&gt;0.15229863&lt;/D&gt;&lt;D xsi:type="xsd:double"&gt;0.44686198&lt;/D&gt;&lt;D xsi:type="xsd:double"&gt;0.45250982&lt;/D&gt;&lt;D xsi:type="xsd:double"&gt;0.21228243&lt;/D&gt;&lt;D xsi:type="xsd:double"&gt;0.08631616&lt;/D&gt;&lt;D xsi:type="xsd:double"&gt;0.22857767&lt;/D&gt;&lt;D xsi:type="xsd:double"&gt;0.16491829&lt;/D&gt;&lt;D xsi:type="xsd:double"&gt;0.22995755&lt;/D&gt;&lt;D xsi:type="xsd:double"&gt;0.14775845&lt;/D&gt;&lt;D xsi:type="xsd:double"&gt;0.12633875&lt;/D&gt;&lt;D xsi:type="xsd:double"&gt;0.49704754&lt;/D&gt;&lt;D xsi:type="xsd:double"&gt;0.2428904&lt;/D&gt;&lt;D xsi:type="xsd:double"&gt;0.11603997&lt;/D&gt;&lt;D xsi:type="xsd:double"&gt;0.40154514&lt;/D&gt;&lt;D xsi:type="xsd:double"&gt;0.3371876&lt;/D&gt;&lt;D xsi:type="xsd:double"&gt;0.1976686&lt;/D&gt;&lt;D xsi:type="xsd:double"&gt;0.31931967&lt;/D&gt;&lt;D xsi:type="xsd:double"&gt;0.08751341&lt;/D&gt;&lt;D xsi:type="xsd:double"&gt;0.2994278&lt;/D&gt;&lt;D xsi:type="xsd:double"&gt;0.21079846&lt;/D&gt;&lt;D xsi:type="xsd:double"&gt;0.48931044&lt;/D&gt;&lt;D xsi:type="xsd:double"&gt;0.13428807&lt;/D&gt;&lt;D xsi:type="xsd:double"&gt;0.07437405&lt;/D&gt;&lt;D xsi:type="xsd:double"&gt;0.10391732&lt;/D&gt;&lt;D xsi:type="xsd:double"&gt;0.38096932&lt;/D&gt;&lt;D xsi:type="xsd:double"&gt;0.36121154&lt;/D&gt;&lt;D xsi:type="xsd:double"&gt;0.20100822&lt;/D&gt;&lt;D xsi:type="xsd:double"&gt;0.20820068&lt;/D&gt;&lt;D xsi:type="xsd:double"&gt;0.15700687&lt;/D&gt;&lt;D xsi:type="xsd:double"&gt;0.24245633&lt;/D&gt;&lt;D xsi:type="xsd:double"&gt;0.27029422&lt;/D&gt;&lt;D xsi:type="xsd:double"&gt;0.14293568&lt;/D&gt;&lt;D xsi:type="xsd:double"&gt;0.55766016&lt;/D&gt;&lt;D xsi:type="xsd:double"&gt;0.44245362&lt;/D&gt;&lt;D xsi:type="xsd:double"&gt;0.2680677&lt;/D&gt;&lt;D xsi:type="xsd:double"&gt;0.47643918&lt;/D&gt;&lt;D xsi:type="xsd:double"&gt;0.29366428&lt;/D&gt;&lt;D xsi:type="xsd:double"&gt;0.1645381&lt;/D&gt;&lt;D xsi:type="xsd:double"&gt;0.2519329&lt;/D&gt;&lt;D xsi:type="xsd:double"&gt;0.10568072&lt;/D&gt;&lt;D xsi:type="xsd:double"&gt;0.26423404&lt;/D&gt;&lt;D xsi:type="xsd:double"&gt;0.32504824&lt;/D&gt;&lt;D xsi:type="xsd:double"&gt;1&lt;/D&gt;&lt;D xsi:type="xsd:double"&gt;0.17260855&lt;/D&gt;&lt;D xsi:type="xsd:double"&gt;0.25259912&lt;/D&gt;&lt;D xsi:type="xsd:double"&gt;0.19884156&lt;/D&gt;&lt;D xsi:type="xsd:double"&gt;0.1348528&lt;/D&gt;&lt;D xsi:type="xsd:double"&gt;0.1447117&lt;/D&gt;&lt;D xsi:type="xsd:double"&gt;0.058911853&lt;/D&gt;&lt;D xsi:type="xsd:double"&gt;0.2211592&lt;/D&gt;&lt;D xsi:type="xsd:double"&gt;0.06800632&lt;/D&gt;&lt;D xsi:type="xsd:double"&gt;0.004694804&lt;/D&gt;&lt;D xsi:type="xsd:double"&gt;0.1702902&lt;/D&gt;&lt;D xsi:type="xsd:double"&gt;0.13743018&lt;/D&gt;&lt;D xsi:type="xsd:double"&gt;0.21326135&lt;/D&gt;&lt;D xsi:type="xsd:double"&gt;0.13867539&lt;/D&gt;&lt;D xsi:type="xsd:double"&gt;0.12999837&lt;/D&gt;&lt;D xsi:type="xsd:double"&gt;0.101600595&lt;/D&gt;&lt;D xsi:type="xsd:double"&gt;0.13432454&lt;/D&gt;&lt;D xsi:type="xsd:double"&gt;0.041690115&lt;/D&gt;&lt;D xsi:type="xsd:double"&gt;0.13839488&lt;/D&gt;&lt;D xsi:type="xsd:double"&gt;0.13976662&lt;/D&gt;&lt;D xsi:type="xsd:double"&gt;0.13016286&lt;/D&gt;&lt;D xsi:type="xsd:double"&gt;0.081012845&lt;/D&gt;&lt;D xsi:type="xsd:double"&gt;0.19618139&lt;/D&gt;&lt;D xsi:type="xsd:double"&gt;0.044695776&lt;/D&gt;&lt;D xsi:type="xsd:double"&gt;0.201784&lt;/D&gt;&lt;D xsi:type="xsd:double"&gt;0.1661641&lt;/D&gt;&lt;D xsi:type="xsd:double"&gt;0.072619386&lt;/D&gt;&lt;D xsi:type="xsd:double"&gt;0.11557376&lt;/D&gt;&lt;D xsi:type="xsd:double"&gt;0.09489744&lt;/D&gt;&lt;D xsi:type="xsd:double"&gt;0.17745325&lt;/D&gt;&lt;D xsi:type="xsd:double"&gt;0.25663683&lt;/D&gt;&lt;D xsi:type="xsd:double"&gt;0.2587301&lt;/D&gt;&lt;D xsi:type="xsd:double"&gt;0.24520224&lt;/D&gt;&lt;D xsi:type="xsd:double"&gt;0.26529393&lt;/D&gt;&lt;D xsi:type="xsd:double"&gt;0.051210653&lt;/D&gt;&lt;D xsi:type="xsd:double"&gt;0.27699387&lt;/D&gt;&lt;D xsi:type="xsd:double"&gt;0.23561652&lt;/D&gt;&lt;D xsi:type="xsd:double"&gt;0.12319623&lt;/D&gt;&lt;D xsi:type="xsd:double"&gt;0.055262&lt;/D&gt;&lt;D xsi:type="xsd:double"&gt;0.0539621&lt;/D&gt;&lt;D xsi:type="xsd:double"&gt;0.18865477&lt;/D&gt;&lt;D xsi:type="xsd:double"&gt;0.099746265&lt;/D&gt;&lt;D xsi:type="xsd:double"&gt;0.11690576&lt;/D&gt;&lt;D xsi:type="xsd:double"&gt;0.036682352&lt;/D&gt;&lt;D xsi:type="xsd:double"&gt;0.27147692&lt;/D&gt;&lt;D xsi:type="xsd:double"&gt;0.050516907&lt;/D&gt;&lt;D xsi:type="xsd:double"&gt;0.064276844&lt;/D&gt;&lt;D xsi:type="xsd:double"&gt;0.06642651&lt;/D&gt;&lt;D xsi:type="xsd:double"&gt;0.06475188&lt;/D&gt;&lt;D xsi:type="xsd:double"&gt;0.14698438&lt;/D&gt;&lt;D xsi:type="xsd:double"&gt;0.12366873&lt;/D&gt;&lt;D xsi:type="xsd:double"&gt;0.26346418&lt;/D&gt;&lt;D xsi:type="xsd:double"&gt;0.07613077&lt;/D&gt;&lt;D xsi:type="xsd:double"&gt;0.18174906&lt;/D&gt;&lt;D xsi:type="xsd:double"&gt;0.06287218&lt;/D&gt;&lt;D xsi:type="xsd:double"&gt;0.12261399&lt;/D&gt;&lt;D xsi:type="xsd:double"&gt;0.15740016&lt;/D&gt;&lt;D xsi:type="xsd:double"&gt;0.21570908&lt;/D&gt;&lt;D xsi:type="xsd:double"&gt;0.15105212&lt;/D&gt;&lt;D xsi:type="xsd:double"&gt;0.17260855&lt;/D&gt;&lt;D xsi:type="xsd:double"&gt;1&lt;/D&gt;&lt;D xsi:type="xsd:double"&gt;0.243697&lt;/D&gt;&lt;D xsi:type="xsd:double"&gt;0.19968481&lt;/D&gt;&lt;D xsi:type="xsd:double"&gt;0.23994473&lt;/D&gt;&lt;D xsi:type="xsd:double"&gt;0.13327818&lt;/D&gt;&lt;D xsi:type="xsd:double"&gt;0.06341837&lt;/D&gt;&lt;D xsi:type="xsd:double"&gt;0.3627457&lt;/D&gt;&lt;D xsi:type="xsd:double"&gt;0.18918885&lt;/D&gt;&lt;D xsi:type="xsd:double"&gt;0.045758676&lt;/D&gt;&lt;D xsi:type="xsd:double"&gt;0.26158947&lt;/D&gt;&lt;D xsi:type="xsd:double"&gt;0.17352803&lt;/D&gt;&lt;D xsi:type="xsd:double"&gt;0.2557498&lt;/D&gt;&lt;D xsi:type="xsd:double"&gt;0.18218865&lt;/D&gt;&lt;D xsi:type="xsd:double"&gt;0.16020198&lt;/D&gt;&lt;D xsi:type="xsd:double"&gt;0.11065006&lt;/D&gt;&lt;D xsi:type="xsd:double"&gt;0.23396072&lt;/D&gt;&lt;D xsi:type="xsd:double"&gt;0.039329275&lt;/D&gt;&lt;D xsi:type="xsd:double"&gt;0.21527608&lt;/D&gt;&lt;D xsi:type="xsd:double"&gt;0.19685794&lt;/D&gt;&lt;D xsi:type="xsd:double"&gt;0.16751832&lt;/D&gt;&lt;D xsi:type="xsd:double"&gt;0.025230933&lt;/D&gt;&lt;D xsi:type="xsd:double"&gt;0.27153537&lt;/D&gt;&lt;D xsi:type="xsd:double"&gt;0.08319148&lt;/D&gt;&lt;D xsi:type="xsd:double"&gt;0.30975676&lt;/D&gt;&lt;D xsi:type="xsd:double"&gt;0.24044432&lt;/D&gt;&lt;D xsi:type="xsd:double"&gt;0.07767858&lt;/D&gt;&lt;D xsi:type="xsd:double"&gt;0.17788932&lt;/D&gt;&lt;D xsi:type="xsd:double"&gt;0.12021517&lt;/D&gt;&lt;D xsi:type="xsd:double"&gt;0.27866244&lt;/D&gt;&lt;D xsi:type="xsd:double"&gt;0.41644353&lt;/D&gt;&lt;D xsi:type="xsd:double"&gt;0.42618257&lt;/D&gt;&lt;D xsi:type="xsd:double"&gt;0.29458204&lt;/D&gt;&lt;D xsi:type="xsd:double"&gt;0.37820578&lt;/D&gt;&lt;D xsi:type="xsd:double"&gt;0.01657844&lt;/D&gt;&lt;D xsi:type="xsd:double"&gt;0.36494964&lt;/D&gt;&lt;D xsi:type="xsd:double"&gt;0.32205036&lt;/D&gt;&lt;D xsi:type="xsd:double"&gt;0.21383467&lt;/D&gt;&lt;D xsi:type="xsd:double"&gt;0.057023384&lt;/D&gt;&lt;D xsi:type="xsd:double"&gt;0.047677625&lt;/D&gt;&lt;D xsi:type="xsd:double"&gt;0.19060285&lt;/D&gt;&lt;D xsi:type="xsd:double"&gt;0.16572943&lt;/D&gt;&lt;D xsi:type="xsd:double"&gt;0.15191573&lt;/D&gt;&lt;D xsi:type="xsd:double"&gt;0.062715456&lt;/D&gt;&lt;D xsi:type="xsd:double"&gt;0.314117&lt;/D&gt;&lt;D xsi:type="xsd:double"&gt;0.07364383&lt;/D&gt;&lt;D xsi:type="xsd:double"&gt;0.13734451&lt;/D&gt;&lt;D xsi:type="xsd:double"&gt;0.12082513&lt;/D&gt;&lt;D xsi:type="xsd:double"&gt;0.07222197&lt;/D&gt;&lt;D xsi:type="xsd:double"&gt;0.22030425&lt;/D&gt;&lt;D xsi:type="xsd:double"&gt;0.25160655&lt;/D&gt;&lt;D xsi:type="xsd:double"&gt;0.41547903&lt;/D&gt;&lt;D xsi:type="xsd:double"&gt;0.19029231&lt;/D&gt;&lt;D xsi:type="xsd:double"&gt;0.276111&lt;/D&gt;&lt;D xsi:type="xsd:double"&gt;0.058244064&lt;/D&gt;&lt;D xsi:type="xsd:double"&gt;0.08833339&lt;/D&gt;&lt;D xsi:type="xsd:double"&gt;0.2572615&lt;/D&gt;&lt;D xsi:type="xsd:double"&gt;0.33386257&lt;/D&gt;&lt;D xsi:type="xsd:double"&gt;0.23276024&lt;/D&gt;&lt;D xsi:type="xsd:double"&gt;0.25259912&lt;/D&gt;&lt;D xsi:type="xsd:double"&gt;0.243697&lt;/D&gt;&lt;D xsi:type="xsd:double"&gt;1&lt;/D&gt;&lt;D xsi:type="xsd:double"&gt;0.35201043&lt;/D&gt;&lt;D xsi:type="xsd:double"&gt;0.20664184&lt;/D&gt;&lt;D xsi:type="xsd:double"&gt;0.1998287&lt;/D&gt;&lt;D xsi:type="xsd:double"&gt;0.051414758&lt;/D&gt;&lt;D xsi:type="xsd:double"&gt;0.3501743&lt;/D&gt;&lt;D xsi:type="xsd:double"&gt;0.1311286&lt;/D&gt;&lt;D xsi:type="xsd:double"&gt;0.049816806&lt;/D&gt;&lt;D xsi:type="xsd:double"&gt;0.22947456&lt;/D&gt;&lt;D xsi:type="xsd:double"&gt;0.14339519&lt;/D&gt;&lt;D xsi:type="xsd:double"&gt;0.17553252&lt;/D&gt;&lt;D xsi:type="xsd:double"&gt;0.14585213&lt;/D&gt;&lt;D xsi:type="xsd:double"&gt;0.13960347&lt;/D&gt;&lt;D xsi:type="xsd:double"&gt;0.10826337&lt;/D&gt;&lt;D xsi:type="xsd:double"&gt;0.21090992&lt;/D&gt;&lt;D xsi:type="xsd:double"&gt;0.068738505&lt;/D&gt;&lt;D xsi:type="xsd:double"&gt;0.23560493&lt;/D&gt;&lt;D xsi:type="xsd:double"&gt;0.19933152&lt;/D&gt;&lt;D xsi:type="xsd:double"&gt;0.07052515&lt;/D&gt;&lt;D xsi:type="xsd:double"&gt;0.010673116&lt;/D&gt;&lt;D xsi:type="xsd:double"&gt;0.33577746&lt;/D&gt;&lt;D xsi:type="xsd:double"&gt;0.068182044&lt;/D&gt;&lt;D xsi:type="xsd:double"&gt;0.29358047&lt;/D&gt;&lt;D xsi:type="xsd:double"&gt;0.24662289&lt;/D&gt;&lt;D xsi:type="xsd:double"&gt;0.08101142&lt;/D&gt;&lt;D xsi:type="xsd:double"&gt;0.15613718&lt;/D&gt;&lt;D xsi:type="xsd:double"&gt;0.06506329&lt;/D&gt;&lt;D xsi:type="xsd:double"&gt;0.18448089&lt;/D&gt;&lt;D xsi:type="xsd:double"&gt;0.38840446&lt;/D&gt;&lt;D xsi:type="xsd:double"&gt;0.38216272&lt;/D&gt;&lt;D xsi:type="xsd:double"&gt;0.27038744&lt;/D&gt;&lt;D xsi:type="xsd:double"&gt;0.39658588&lt;/D&gt;&lt;D xsi:type="xsd:double"&gt;0.025663476&lt;/D&gt;&lt;D xsi:type="xsd:double"&gt;0.39001602&lt;/D&gt;&lt;D xsi:type="xsd:double"&gt;0.28253457&lt;/D&gt;&lt;D xsi:type="xsd:double"&gt;0.17939897&lt;/D&gt;&lt;D xsi:type="xsd:double"&gt;0.079345495&lt;/D&gt;&lt;D xsi:type="xsd:double"&gt;0.030800143&lt;/D&gt;&lt;D xsi:type="xsd:double"&gt;0.15136585&lt;/D&gt;&lt;D xsi:type="xsd:double"&gt;0.18613575&lt;/D&gt;&lt;D xsi:type="xsd:double"&gt;0.1986559&lt;/D&gt;&lt;D xsi:type="xsd:double"&gt;0.07559594&lt;/D&gt;&lt;D xsi:type="xsd:double"&gt;0.330756&lt;/D&gt;&lt;D xsi:type="xsd:double"&gt;0.06764423&lt;/D&gt;&lt;D xsi:type="xsd:double"&gt;0.021870403&lt;/D&gt;&lt;D xsi:type="xsd:double"&gt;0.14964731&lt;/D&gt;&lt;D xsi:type="xsd:double"&gt;0.07588039&lt;/D&gt;&lt;D xsi:type="xsd:double"&gt;0.18250072&lt;/D&gt;&lt;D xsi:type="xsd:double"&gt;0.18491417&lt;/D&gt;&lt;D xsi:type="xsd:double"&gt;0.34725687&lt;/D&gt;&lt;D xsi:type="xsd:double"&gt;0.21217006&lt;/D&gt;&lt;D xsi:type="xsd:double"&gt;0.29653567&lt;/D&gt;&lt;D xsi:type="xsd:double"&gt;0.045360923&lt;/D&gt;&lt;D xsi:type="xsd:double"&gt;0.12705892&lt;/D&gt;&lt;D xsi:type="xsd:double"&gt;0.19776575&lt;/D&gt;&lt;D xsi:type="xsd:double"&gt;0.27207133&lt;/D&gt;&lt;D xsi:type="xsd:double"&gt;0.13475348&lt;/D&gt;&lt;D xsi:type="xsd:double"&gt;0.19884156&lt;/D&gt;&lt;D xsi:type="xsd:double"&gt;0.19968481&lt;/D&gt;&lt;D xsi:type="xsd:double"&gt;0.35201043&lt;/D&gt;&lt;D xsi:type="xsd:double"&gt;1&lt;/D&gt;&lt;/FQL&gt;&lt;FQL&gt;&lt;Q&gt;^IDS&lt;/Q&gt;&lt;R&gt;59&lt;/R&gt;&lt;C&gt;1&lt;/C&gt;&lt;D xsi:type="xsd:string"&gt;ADEN-CH&lt;/D&gt;&lt;D xsi:type="xsd:string"&gt;AAL-GB&lt;/D&gt;&lt;D xsi:type="xsd:string"&gt;914-HK&lt;/D&gt;&lt;D xsi:type="xsd:string"&gt;APTV-US&lt;/D&gt;&lt;D xsi:type="xsd:string"&gt;ATHM-US&lt;/D&gt;&lt;D xsi:type="xsd:string"&gt;9888-HK&lt;/D&gt;&lt;D xsi:type="xsd:string"&gt;BAS-DE&lt;/D&gt;&lt;D xsi:type="xsd:string"&gt;BAYN-DE&lt;/D&gt;&lt;D xsi:type="xsd:string"&gt;BMY-US&lt;/D&gt;&lt;D xsi:type="xsd:string"&gt;BT.A-GB&lt;/D&gt;&lt;D xsi:type="xsd:string"&gt;BRBY-GB&lt;/D&gt;&lt;D xsi:type="xsd:string"&gt;CA-FR&lt;/D&gt;&lt;D xsi:type="xsd:string"&gt;CON-DE&lt;/D&gt;&lt;D xsi:type="xsd:string"&gt;4324-JP&lt;/D&gt;&lt;D xsi:type="xsd:string"&gt;WPP-GB&lt;/D&gt;&lt;D xsi:type="xsd:string"&gt;ENI-IT&lt;/D&gt;&lt;D xsi:type="xsd:string"&gt;GSK-GB&lt;/D&gt;&lt;D xsi:type="xsd:string"&gt;4544-JP&lt;/D&gt;&lt;D xsi:type="xsd:string"&gt;HAL-US&lt;/D&gt;&lt;D xsi:type="xsd:string"&gt;161390-KR&lt;/D&gt;&lt;D xsi:type="xsd:string"&gt;HPE-US&lt;/D&gt;&lt;D xsi:type="xsd:string"&gt;INTC-US&lt;/D&gt;&lt;D xsi:type="xsd:string"&gt;105560-KR&lt;/D&gt;&lt;D xsi:type="xsd:string"&gt;KER-FR&lt;/D&gt;&lt;D xsi:type="xsd:string"&gt;AD-NL&lt;/D&gt;&lt;D xsi:type="xsd:string"&gt;KHC-US&lt;/D&gt;&lt;D xsi:type="xsd:string"&gt;LEA-US&lt;/D&gt;&lt;D xsi:type="xsd:string"&gt;LYB-US&lt;/D&gt;&lt;D xsi:type="xsd:string"&gt;M-US&lt;/D&gt;&lt;D xsi:type="xsd:string"&gt;MAN-US&lt;/D&gt;&lt;D xsi:type="xsd:string"&gt;7459-JP&lt;/D&gt;&lt;D xsi:type="xsd:string"&gt;MHK-US&lt;/D&gt;&lt;D xsi:type="xsd:string"&gt;TAP-US&lt;/D&gt;&lt;D xsi:type="xsd:string"&gt;NWG-GB&lt;/D&gt;&lt;D xsi:type="xsd:string"&gt;7731-JP&lt;/D&gt;&lt;D xsi:type="xsd:string"&gt;9404-JP&lt;/D&gt;&lt;D xsi:type="xsd:string"&gt;PFE-US&lt;/D&gt;&lt;D xsi:type="xsd:string"&gt;PUM-DE&lt;/D&gt;&lt;D xsi:type="xsd:string"&gt;REP-ES&lt;/D&gt;&lt;D xsi:type="xsd:string"&gt;6963-JP&lt;/D&gt;&lt;D xsi:type="xsd:string"&gt;SBH-US&lt;/D&gt;&lt;D xsi:type="xsd:string"&gt;005935-KR&lt;/D&gt;&lt;D xsi:type="xsd:string"&gt;SAN-FR&lt;/D&gt;&lt;D xsi:type="xsd:string"&gt;SESG-FR&lt;/D&gt;&lt;D xsi:type="xsd:string"&gt;055550-KR&lt;/D&gt;&lt;D xsi:type="xsd:string"&gt;GLE-FR&lt;/D&gt;&lt;D xsi:type="xsd:string"&gt;STAN-GB&lt;/D&gt;&lt;D xsi:type="xsd:string"&gt;SWK-US&lt;/D&gt;&lt;D xsi:type="xsd:string"&gt;UHR-CH&lt;/D&gt;&lt;D xsi:type="xsd:string"&gt;TX-US&lt;/D&gt;&lt;D xsi:type="xsd:string"&gt;6995-JP&lt;/D&gt;&lt;D xsi:type="xsd:string"&gt;VAL-ZA&lt;/D&gt;&lt;D xsi:type="xsd:string"&gt;VZ-US&lt;/D&gt;&lt;D xsi:type="xsd:string"&gt;VTRS-US&lt;/D&gt;&lt;D xsi:type="xsd:string"&gt;VOD-GB&lt;/D&gt;&lt;D xsi:type="xsd:string"&gt;VOW3-DE&lt;/D&gt;&lt;D xsi:type="xsd:string"&gt;WBA-US&lt;/D&gt;&lt;D xsi:type="xsd:string"&gt;WU-US&lt;/D&gt;&lt;D xsi:type="xsd:string"&gt;WLY-US&lt;/D&gt;&lt;/FQL&gt;&lt;FQL&gt;&lt;Q&gt;DUMMY^FLOAT_ARRAY CORRELMATRIX=GET_FQL_ARRAY(IDS,'P_PRICE_RETURNS(0,45961,45961-5AY,D,USD)');'FDS CODE - DO NOT DELETE'&lt;/Q&gt;&lt;R&gt;1&lt;/R&gt;&lt;C&gt;1&lt;/C&gt;&lt;D xsi:type="xsd:string"&gt;FDS CODE - DO NOT DELETE&lt;/D&gt;&lt;/FQL&gt;&lt;FQL&gt;&lt;Q&gt;DUMMY^STRING_ARRAY IDS=TICKER_LIST('ADEN-CH AAL-GB 914-HK APTV-US ATHM-US 9888-HK BAS-DE BAYN-DE BMY-US BT.A-GB BRBY-GB CA-FR CON-DE 4324-JP WPP-GB ENI-IT GSK-GB 4544-JP HAL-US 161390-KR HPE-US INTC-US 105560-KR KER-FR AD-NL KHC-US LEA-US LYB-US M-US MAN-US 7459-JP MHK-US TAP-US NWG-GB 7731-JP 9404-JP PFE-US PUM-DE REP-ES 6963-JP SBH-US 005935-KR SAN-FR SESG-FR 055550-KR GLE-FR STAN-GB SWK-US UHR-CH TX-US 6995-JP VAL-ZA VZ-US VTRS-US VOD-GB VOW3-DE WBA-US WU-US WLY-US');"FDS CODE - DO NOT DELETE"&lt;/Q&gt;&lt;R&gt;1&lt;/R&gt;&lt;C&gt;1&lt;/C&gt;&lt;D xsi:type="xsd:string"&gt;FDS CODE - DO NOT DELETE&lt;/D&gt;&lt;/FQL&gt;&lt;FQL&gt;&lt;Q&gt;DUMMY^PROPER("CORRELATION OF DAILY DATA BETWEEN ") + FG_DATE(45961-5AY) + LOWERCASE(" AND ") + FG_DATE(45961) + LOWERCASE(":")&lt;/Q&gt;&lt;R&gt;1&lt;/R&gt;&lt;C&gt;1&lt;/C&gt;&lt;D xsi:type="xsd:string"&gt;Correlation Of Daily Data Between 10/30/2020 and 10/31/2025:&lt;/D&gt;&lt;/FQL&gt;&lt;FQL&gt;&lt;Q&gt;ADEN-CH^FG_COMPANY_NAME&lt;/Q&gt;&lt;R&gt;1&lt;/R&gt;&lt;C&gt;1&lt;/C&gt;&lt;D xsi:type="xsd:string"&gt;Adecco Group AG&lt;/D&gt;&lt;/FQL&gt;&lt;FQL&gt;&lt;Q&gt;AAL-GB^FG_COMPANY_NAME&lt;/Q&gt;&lt;R&gt;1&lt;/R&gt;&lt;C&gt;1&lt;/C&gt;&lt;D xsi:type="xsd:string"&gt;Anglo American plc&lt;/D&gt;&lt;/FQL&gt;&lt;FQL&gt;&lt;Q&gt;914-HK^FG_COMPANY_NAME&lt;/Q&gt;&lt;R&gt;1&lt;/R&gt;&lt;C&gt;1&lt;/C&gt;&lt;D xsi:type="xsd:string"&gt;Anhui Conch Cement Company Limited Class H&lt;/D&gt;&lt;/FQL&gt;&lt;FQL&gt;&lt;Q&gt;APTV-US^FG_COMPANY_NAME&lt;/Q&gt;&lt;R&gt;1&lt;/R&gt;&lt;C&gt;1&lt;/C&gt;&lt;D xsi:type="xsd:string"&gt;Aptiv PLC&lt;/D&gt;&lt;/FQL&gt;&lt;FQL&gt;&lt;Q&gt;ATHM-US^FG_COMPANY_NAME&lt;/Q&gt;&lt;R&gt;1&lt;/R&gt;&lt;C&gt;1&lt;/C&gt;&lt;D xsi:type="xsd:string"&gt;Autohome Inc. Sponsored ADR Class A&lt;/D&gt;&lt;/FQL&gt;&lt;FQL&gt;&lt;Q&gt;9888-HK^FG_COMPANY_NAME&lt;/Q&gt;&lt;R&gt;1&lt;/R&gt;&lt;C&gt;1&lt;/C&gt;&lt;D xsi:type="xsd:string"&gt;Baidu, Inc. Class A&lt;/D&gt;&lt;/FQL&gt;&lt;FQL&gt;&lt;Q&gt;BAS-DE^FG_COMPANY_NAME&lt;/Q&gt;&lt;R&gt;1&lt;/R&gt;&lt;C&gt;1&lt;/C&gt;&lt;D xsi:type="xsd:string"&gt;BASF SE&lt;/D&gt;&lt;/FQL&gt;&lt;FQL&gt;&lt;Q&gt;BAYN-DE^FG_COMPANY_NAME&lt;/Q&gt;&lt;R&gt;1&lt;/R&gt;&lt;C&gt;1&lt;/C&gt;&lt;D xsi:type="xsd:string"&gt;Bayer AG&lt;/D&gt;&lt;/FQL&gt;&lt;FQL&gt;&lt;Q&gt;BMY-US^FG_COMPANY_NAME&lt;/Q&gt;&lt;R&gt;1&lt;/R&gt;&lt;C&gt;1&lt;/C&gt;&lt;D xsi:type="xsd:string"&gt;Bristol-Myers Squibb Company&lt;/D&gt;&lt;/FQL&gt;&lt;FQL&gt;&lt;Q&gt;BT.A-GB^FG_COMPANY_NAME&lt;/Q&gt;&lt;R&gt;1&lt;/R&gt;&lt;C&gt;1&lt;/C&gt;&lt;D xsi:type="xsd:string"&gt;BT Group plc&lt;/D&gt;&lt;/FQL&gt;&lt;FQL&gt;&lt;Q&gt;BRBY-GB^FG_COMPANY_NAME&lt;/Q&gt;&lt;R&gt;1&lt;/R&gt;&lt;C&gt;1&lt;/C&gt;&lt;D xsi:type="xsd:string"&gt;Burberry Group plc&lt;/D&gt;&lt;/FQL&gt;&lt;FQL&gt;&lt;Q&gt;CA-FR^FG_COMPANY_NAME&lt;/Q&gt;&lt;R&gt;1&lt;/R&gt;&lt;C&gt;1&lt;/C&gt;&lt;D xsi:type="xsd:string"&gt;Carrefour SA&lt;/D&gt;&lt;/FQL&gt;&lt;FQL&gt;&lt;Q&gt;CON-DE^FG_COMPANY_NAME&lt;/Q&gt;&lt;R&gt;1&lt;/R&gt;&lt;C&gt;1&lt;/C&gt;&lt;D xsi:type="xsd:string"&gt;Continental AG&lt;/D&gt;&lt;/FQL&gt;&lt;FQL&gt;&lt;Q&gt;4324-JP^FG_COMPANY_NAME&lt;/Q&gt;&lt;R&gt;1&lt;/R&gt;&lt;C&gt;1&lt;/C&gt;&lt;D xsi:type="xsd:string"&gt;Dentsu Group Inc.&lt;/D&gt;&lt;/FQL&gt;&lt;FQL&gt;&lt;Q&gt;WPP-GB^FG_COMPANY_NAME&lt;/Q&gt;&lt;R&gt;1&lt;/R&gt;&lt;C&gt;1&lt;/C&gt;&lt;D xsi:type="xsd:string"&gt;WPP Plc&lt;/D&gt;&lt;/FQL&gt;&lt;FQL&gt;&lt;Q&gt;ENI-IT^FG_COMPANY_NAME&lt;/Q&gt;&lt;R&gt;1&lt;/R&gt;&lt;C&gt;1&lt;/C&gt;&lt;D xsi:type="xsd:string"&gt;Eni S.p.A.&lt;/D&gt;&lt;/FQL&gt;&lt;FQL&gt;&lt;Q&gt;GSK-GB^FG_COMPANY_NAME&lt;/Q&gt;&lt;R&gt;1&lt;/R&gt;&lt;C&gt;1&lt;/C&gt;&lt;D xsi:type="xsd:string"&gt;GSK plc&lt;/D&gt;&lt;/FQL&gt;&lt;FQL&gt;&lt;Q&gt;4544-JP^FG_COMPANY_NAME&lt;/Q&gt;&lt;R&gt;1&lt;/R&gt;&lt;C&gt;1&lt;/C&gt;&lt;D xsi:type="xsd:string"&gt;H.U.Group Holdings, Inc.&lt;/D&gt;&lt;/FQL&gt;&lt;FQL&gt;&lt;Q&gt;HAL-US^FG_COMPANY_NAME&lt;/Q&gt;&lt;R&gt;1&lt;/R&gt;&lt;C&gt;1&lt;/C&gt;&lt;D xsi:type="xsd:string"&gt;Halliburton Company&lt;/D&gt;&lt;/FQL&gt;&lt;FQL&gt;&lt;Q&gt;161390-KR^FG_COMPANY_NAME&lt;/Q&gt;&lt;R&gt;1&lt;/R&gt;&lt;C&gt;1&lt;/C&gt;&lt;D xsi:type="xsd:string"&gt;HANKOOK TIRE &amp;amp; TECHNOLOGY Co., Ltd.&lt;/D&gt;&lt;/FQL&gt;&lt;FQL&gt;&lt;Q&gt;HPE-US^FG_COMPANY_NAME&lt;/Q&gt;&lt;R&gt;1&lt;/R&gt;&lt;C&gt;1&lt;/C&gt;&lt;D xsi:type="xsd:string"&gt;Hewlett Packard Enterprise Co.&lt;/D&gt;&lt;/FQL&gt;&lt;FQL&gt;&lt;Q&gt;INTC-US^FG_COMPANY_NAME&lt;/Q&gt;&lt;R&gt;1&lt;/R&gt;&lt;C&gt;1&lt;/C&gt;&lt;D xsi:type="xsd:string"&gt;Intel Corporation&lt;/D&gt;&lt;/FQL&gt;&lt;FQL&gt;&lt;Q&gt;105560-KR^FG_COMPANY_NAME&lt;/Q&gt;&lt;R&gt;1&lt;/R&gt;&lt;C&gt;1&lt;/C&gt;&lt;D xsi:type="xsd:string"&gt;KB Financial Group Inc.&lt;/D&gt;&lt;/FQL&gt;&lt;FQL&gt;&lt;Q&gt;KER-FR^FG_COMPANY_NAME&lt;/Q&gt;&lt;R&gt;1&lt;/R&gt;&lt;C&gt;1&lt;/C&gt;&lt;D xsi:type="xsd:string"&gt;Kering SA&lt;/D&gt;&lt;/FQL&gt;&lt;FQL&gt;&lt;Q&gt;AD-NL^FG_COMPANY_NAME&lt;/Q&gt;&lt;R&gt;1&lt;/R&gt;&lt;C&gt;1&lt;/C&gt;&lt;D xsi:type="xsd:string"&gt;Koninklijke Ahold Delhaize N.V.&lt;/D&gt;&lt;/FQL&gt;&lt;FQL&gt;&lt;Q&gt;KHC-US^FG_COMPANY_NAME&lt;/Q&gt;&lt;R&gt;1&lt;/R&gt;&lt;C&gt;1&lt;/C&gt;&lt;D xsi:type="xsd:string"&gt;Kraft Heinz Company&lt;/D&gt;&lt;/FQL&gt;&lt;FQL&gt;&lt;Q&gt;LEA-US^FG_COMPANY_NAME&lt;/Q&gt;&lt;R&gt;1&lt;/R&gt;&lt;C&gt;1&lt;/C&gt;&lt;D xsi:type="xsd:string"&gt;Lear Corporation&lt;/D&gt;&lt;/FQL&gt;&lt;FQL&gt;&lt;Q&gt;LYB-US^FG_COMPANY_NAME&lt;/Q&gt;&lt;R&gt;1&lt;/R&gt;&lt;C&gt;1&lt;/C&gt;&lt;D xsi:type="xsd:string"&gt;LyondellBasell Industries NV&lt;/D&gt;&lt;/FQL&gt;&lt;FQL&gt;&lt;Q&gt;M-US^FG_COMPANY_NAME&lt;/Q&gt;&lt;R&gt;1&lt;/R&gt;&lt;C&gt;1&lt;/C&gt;&lt;D xsi:type="xsd:string"&gt;Macy's, Inc.&lt;/D&gt;&lt;/FQL&gt;&lt;FQL&gt;&lt;Q&gt;MAN-US^FG_COMPANY_NAME&lt;/Q&gt;&lt;R&gt;1&lt;/R&gt;&lt;C&gt;1&lt;/C&gt;&lt;D xsi:type="xsd:string"&gt;ManpowerGroup Inc.&lt;/D&gt;&lt;/FQL&gt;&lt;FQL&gt;&lt;Q&gt;7459-JP^FG_COMPANY_NAME&lt;/Q&gt;&lt;R&gt;1&lt;/R&gt;&lt;C&gt;1&lt;/C&gt;&lt;D xsi:type="xsd:string"&gt;MEDIPAL HOLDINGS Corporation&lt;/D&gt;&lt;/FQL&gt;&lt;FQL&gt;&lt;Q&gt;MHK-US^FG_COMPANY_NAME&lt;/Q&gt;&lt;R&gt;1&lt;/R&gt;&lt;C&gt;1&lt;/C&gt;&lt;D xsi:type="xsd:string"&gt;Mohawk Industries, Inc.&lt;/D&gt;&lt;/FQL&gt;&lt;FQL&gt;&lt;Q&gt;TAP-US^FG_COMPANY_NAME&lt;/Q&gt;&lt;R&gt;1&lt;/R&gt;&lt;C&gt;1&lt;/C&gt;&lt;D xsi:type="xsd:string"&gt;Molson Coors Beverage Company Class B&lt;/D&gt;&lt;/FQL&gt;&lt;FQL&gt;&lt;Q&gt;NWG-GB^FG_COMPANY_NAME&lt;/Q&gt;&lt;R&gt;1&lt;/R&gt;&lt;C&gt;1&lt;/C&gt;&lt;D xsi:type="xsd:string"&gt;NatWest Group Plc&lt;/D&gt;&lt;/FQL&gt;&lt;FQL&gt;&lt;Q&gt;7731-JP^FG_COMPANY_NAME&lt;/Q&gt;&lt;R&gt;1&lt;/R&gt;&lt;C&gt;1&lt;/C&gt;&lt;D xsi:type="xsd:string"&gt;Nikon Corp.&lt;/D&gt;&lt;/FQL&gt;&lt;FQL&gt;&lt;Q&gt;9404-JP^FG_COMPANY_NAME&lt;/Q&gt;&lt;R&gt;1&lt;/R&gt;&lt;C&gt;1&lt;/C&gt;&lt;D xsi:type="xsd:string"&gt;Nippon Television Holdings, Inc.&lt;/D&gt;&lt;/FQL&gt;&lt;FQL&gt;&lt;Q&gt;PFE-US^FG_COMPANY_NAME&lt;/Q&gt;&lt;R&gt;1&lt;/R&gt;&lt;C&gt;1&lt;/C&gt;&lt;D xsi:type="xsd:string"&gt;Pfizer Inc.&lt;/D&gt;&lt;/FQL&gt;&lt;FQL&gt;&lt;Q&gt;PUM-DE^FG_COMPANY_NAME&lt;/Q&gt;&lt;R&gt;1&lt;/R&gt;&lt;C&gt;1&lt;/C&gt;&lt;D xsi:type="xsd:string"&gt;PUMA SE&lt;/D&gt;&lt;/FQL&gt;&lt;FQL&gt;&lt;Q&gt;REP-ES^FG_COMPANY_NAME&lt;/Q&gt;&lt;R&gt;1&lt;/R&gt;&lt;C&gt;1&lt;/C&gt;&lt;D xsi:type="xsd:string"&gt;Repsol SA&lt;/D&gt;&lt;/FQL&gt;&lt;FQL&gt;&lt;Q&gt;6963-JP^FG_COMPANY_NAME&lt;/Q&gt;&lt;R&gt;1&lt;/R&gt;&lt;C&gt;1&lt;/C&gt;&lt;D xsi:type="xsd:string"&gt;ROHM Company Limited&lt;/D&gt;&lt;/FQL&gt;&lt;FQL&gt;&lt;Q&gt;SBH-US^FG_COMPANY_NAME&lt;/Q&gt;&lt;R&gt;1&lt;/R&gt;&lt;C&gt;1&lt;/C&gt;&lt;D xsi:type="xsd:string"&gt;Sally Beauty Holdings, Inc.&lt;/D&gt;&lt;/FQL&gt;&lt;FQL&gt;&lt;Q&gt;005935-KR^FG_COMPANY_NAME&lt;/Q&gt;&lt;R&gt;1&lt;/R&gt;&lt;C&gt;1&lt;/C&gt;&lt;D xsi:type="xsd:string"&gt;Samsung Electronics Co Ltd Pfd  Non-Voting&lt;/D&gt;&lt;/FQL&gt;&lt;FQL&gt;&lt;Q&gt;SAN-FR^FG_COMPANY_NAME&lt;/Q&gt;&lt;R&gt;1&lt;/R&gt;&lt;C&gt;1&lt;/C&gt;&lt;D xsi:type="xsd:string"&gt;Sanofi SA&lt;/D&gt;&lt;/FQL&gt;&lt;FQL&gt;&lt;Q&gt;SESG-FR^FG_COMPANY_NAME&lt;/Q&gt;&lt;R&gt;1&lt;/R&gt;&lt;C&gt;1&lt;/C&gt;&lt;D xsi:type="xsd:string"&gt;SES SA FDR (Class A)&lt;/D&gt;&lt;/FQL&gt;&lt;FQL&gt;&lt;Q&gt;055550-KR^FG_COMPANY_NAME&lt;/Q&gt;&lt;R&gt;1&lt;/R&gt;&lt;C&gt;1&lt;/C&gt;&lt;D xsi:type="xsd:string"&gt;Shinhan Financial Group Co., Ltd.&lt;/D&gt;&lt;/FQL&gt;&lt;FQL&gt;&lt;Q&gt;GLE-FR^FG_COMPANY_NAME&lt;/Q&gt;&lt;R&gt;1&lt;/R&gt;&lt;C&gt;1&lt;/C&gt;&lt;D xsi:type="xsd:string"&gt;Societe Generale S.A. Class A&lt;/D&gt;&lt;/FQL&gt;&lt;FQL&gt;&lt;Q&gt;STAN-GB^FG_COMPANY_NAME&lt;/Q&gt;&lt;R&gt;1&lt;/R&gt;&lt;C&gt;1&lt;/C&gt;&lt;D xsi:type="xsd:string"&gt;Standard Chartered PLC&lt;/D&gt;&lt;/FQL&gt;&lt;FQL&gt;&lt;Q&gt;SWK-US^FG_COMPANY_NAME&lt;/Q&gt;&lt;R&gt;1&lt;/R&gt;&lt;C&gt;1&lt;/C&gt;&lt;D xsi:type="xsd:string"&gt;Stanley Black &amp;amp; Decker, Inc.&lt;/D&gt;&lt;/FQL&gt;&lt;FQL&gt;&lt;Q&gt;UHR-CH^FG_COMPANY_NAME&lt;/Q&gt;&lt;R&gt;1&lt;/R&gt;&lt;C&gt;1&lt;/C&gt;&lt;D xsi:type="xsd:string"&gt;Swatch Group Ltd. Bearer&lt;/D&gt;&lt;/FQL&gt;&lt;FQL&gt;&lt;Q&gt;TX-US^FG_COMPANY_NAME&lt;/Q&gt;&lt;R&gt;1&lt;/R&gt;&lt;C&gt;1&lt;/C&gt;&lt;D xsi:type="xsd:string"&gt;Ternium S.A. Sponsored ADR&lt;/D&gt;&lt;/FQL&gt;&lt;FQL&gt;&lt;Q&gt;6995-JP^FG_COMPANY_NAME&lt;/Q&gt;&lt;R&gt;1&lt;/R&gt;&lt;C&gt;1&lt;/C&gt;&lt;D xsi:type="xsd:string"&gt;TOKAI RIKA CO., LTD.&lt;/D&gt;&lt;/FQL&gt;&lt;FQL&gt;&lt;Q&gt;VAL-ZA^FG_COMPANY_NAME&lt;/Q&gt;&lt;R&gt;1&lt;/R&gt;&lt;C&gt;1&lt;/C&gt;&lt;D xsi:type="xsd:string"&gt;Valterra Platinum Limited&lt;/D&gt;&lt;/FQL&gt;&lt;FQL&gt;&lt;Q&gt;VZ-US^FG_COMPANY_NAME&lt;/Q&gt;&lt;R&gt;1&lt;/R&gt;&lt;C&gt;1&lt;/C&gt;&lt;D xsi:type="xsd:string"&gt;Verizon Communications Inc.&lt;/D&gt;&lt;/FQL&gt;&lt;FQL&gt;&lt;Q&gt;VTRS-US^FG_COMPANY_NAME&lt;/Q&gt;&lt;R&gt;1&lt;/R&gt;&lt;C&gt;1&lt;/C&gt;&lt;D xsi:type="xsd:string"&gt;Viatris, Inc.&lt;/D&gt;&lt;/FQL&gt;&lt;FQL&gt;&lt;Q&gt;VOD-GB^FG_COMPANY_NAME&lt;/Q&gt;&lt;R&gt;1&lt;/R&gt;&lt;C&gt;1&lt;/C&gt;&lt;D xsi:type="xsd:string"&gt;Vodafone Group Public Limited Company&lt;/D&gt;&lt;/FQL&gt;&lt;FQL&gt;&lt;Q&gt;VOW3-DE^FG_COMPANY_NAME&lt;/Q&gt;&lt;R&gt;1&lt;/R&gt;&lt;C&gt;1&lt;/C&gt;&lt;D xsi:type="xsd:string"&gt;Volkswagen AG Pref&lt;/D&gt;&lt;/FQL&gt;&lt;FQL&gt;&lt;Q&gt;WBA-US^FG_COMPANY_NAME&lt;/Q&gt;&lt;R&gt;1&lt;/R&gt;&lt;C&gt;1&lt;/C&gt;&lt;D xsi:type="xsd:string"&gt;Walgreens Boots Alliance, Inc.&lt;/D&gt;&lt;/FQL&gt;&lt;FQL&gt;&lt;Q&gt;WU-US^FG_COMPANY_NAME&lt;/Q&gt;&lt;R&gt;1&lt;/R&gt;&lt;C&gt;1&lt;/C&gt;&lt;D xsi:type="xsd:string"&gt;Western Union Company&lt;/D&gt;&lt;/FQL&gt;&lt;FQL&gt;&lt;Q&gt;WLY-US^FG_COMPANY_NAME&lt;/Q&gt;&lt;R&gt;1&lt;/R&gt;&lt;C&gt;1&lt;/C&gt;&lt;D xsi:type="xsd:string"&gt;John Wiley &amp;amp; Sons, Inc. Class A&lt;/D&gt;&lt;/FQL&gt;&lt;/Schema&gt;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<sst xmlns="http://schemas.openxmlformats.org/spreadsheetml/2006/main" count="74" uniqueCount="69">
  <si>
    <t>Legend:</t>
  </si>
  <si>
    <t>This sheet contains FactSet XML data for use with this workbook's =FDS codes.  Modifying the worksheet's contents may damage the workbook's =FDS functionality.</t>
  </si>
  <si>
    <t>As of Date:</t>
  </si>
  <si>
    <t>Range:</t>
  </si>
  <si>
    <t>Date</t>
  </si>
  <si>
    <t>FactSet</t>
  </si>
  <si>
    <t>Excel</t>
  </si>
  <si>
    <t>Pearson</t>
  </si>
  <si>
    <t xml:space="preserve">Correlation Matrix </t>
  </si>
  <si>
    <t>ADEN-CH</t>
  </si>
  <si>
    <t>ENI-IT</t>
  </si>
  <si>
    <t>7459-JP</t>
  </si>
  <si>
    <t>GLE-FR</t>
  </si>
  <si>
    <t>AAL-GB</t>
  </si>
  <si>
    <t>GSK-GB</t>
  </si>
  <si>
    <t>MHK-US</t>
  </si>
  <si>
    <t>STAN-GB</t>
  </si>
  <si>
    <t>914-HK</t>
  </si>
  <si>
    <t>4544-JP</t>
  </si>
  <si>
    <t>TAP-US</t>
  </si>
  <si>
    <t>SWK-US</t>
  </si>
  <si>
    <t>APTV-US</t>
  </si>
  <si>
    <t>HAL-US</t>
  </si>
  <si>
    <t>NWG-GB</t>
  </si>
  <si>
    <t>UHR-CH</t>
  </si>
  <si>
    <t>ATHM-US</t>
  </si>
  <si>
    <t>161390-KR</t>
  </si>
  <si>
    <t>7731-JP</t>
  </si>
  <si>
    <t>TX-US</t>
  </si>
  <si>
    <t>9888-HK</t>
  </si>
  <si>
    <t>HPE-US</t>
  </si>
  <si>
    <t>9404-JP</t>
  </si>
  <si>
    <t>6995-JP</t>
  </si>
  <si>
    <t>BAS-DE</t>
  </si>
  <si>
    <t>INTC-US</t>
  </si>
  <si>
    <t>PFE-US</t>
  </si>
  <si>
    <t>VAL-ZA</t>
  </si>
  <si>
    <t>BAYN-DE</t>
  </si>
  <si>
    <t>105560-KR</t>
  </si>
  <si>
    <t>PUM-DE</t>
  </si>
  <si>
    <t>VZ-US</t>
  </si>
  <si>
    <t>BMY-US</t>
  </si>
  <si>
    <t>KER-FR</t>
  </si>
  <si>
    <t>REP-ES</t>
  </si>
  <si>
    <t>VTRS-US</t>
  </si>
  <si>
    <t>BT.A-GB</t>
  </si>
  <si>
    <t>AD-NL</t>
  </si>
  <si>
    <t>6963-JP</t>
  </si>
  <si>
    <t>VOD-GB</t>
  </si>
  <si>
    <t>BRBY-GB</t>
  </si>
  <si>
    <t>KHC-US</t>
  </si>
  <si>
    <t>SBH-US</t>
  </si>
  <si>
    <t>VOW3-DE</t>
  </si>
  <si>
    <t>CA-FR</t>
  </si>
  <si>
    <t>LEA-US</t>
  </si>
  <si>
    <t>005935-KR</t>
  </si>
  <si>
    <t>WBA-US</t>
  </si>
  <si>
    <t>CON-DE</t>
  </si>
  <si>
    <t>LYB-US</t>
  </si>
  <si>
    <t>SAN-FR</t>
  </si>
  <si>
    <t>WU-US</t>
  </si>
  <si>
    <t>4324-JP</t>
  </si>
  <si>
    <t>M-US</t>
  </si>
  <si>
    <t>SESG-FR</t>
  </si>
  <si>
    <t>WLY-US</t>
  </si>
  <si>
    <t>MAN-US</t>
  </si>
  <si>
    <t>055550-KR</t>
  </si>
  <si>
    <t>WPP-GB</t>
  </si>
  <si>
    <t>5AY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</si>
</sst>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4" fillId="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14" fontId="3" fillId="2" borderId="1" xfId="1" applyNumberFormat="1" applyAlignment="1">
      <alignment horizontal="right" indent="2"/>
    </xf>
    <xf numFmtId="0" fontId="3" fillId="2" borderId="1" xfId="1"/>
    <xf numFmtId="2" fontId="0" fillId="0" borderId="0" xfId="0" applyNumberFormat="1"/>
    <xf numFmtId="2" fontId="0" fillId="4" borderId="0" xfId="0" applyNumberFormat="1" applyFill="1"/>
    <xf numFmtId="2" fontId="4" fillId="3" borderId="0" xfId="2" applyNumberFormat="1"/>
    <xf numFmtId="0" fontId="5" fillId="0" borderId="0" xfId="0" applyFont="1"/>
    <xf numFmtId="0" fontId="0" fillId="0" borderId="0" xfId="0" applyNumberFormat="1" applyFill="1"/>
  </cellXfs>
  <cellStyles count="3">
    <cellStyle name="Calculation" xfId="1" builtinId="22"/>
    <cellStyle name="Good" xfId="2" builtinId="26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9"/>
  <sheetViews>
    <sheetView workbookViewId="0"/>
  </sheetViews>
  <sheetFormatPr defaultRowHeight="15" x14ac:dyDescent="0.25"/>
  <sheetData>
    <row r="1" spans="1:2" x14ac:dyDescent="0.25">
      <c r="B1" t="s">
        <v>1</v>
      </c>
    </row>
    <row r="2" spans="1:2" x14ac:dyDescent="0.25"/>
    <row r="3" spans="1:2" x14ac:dyDescent="0.25"/>
    <row r="4" spans="1:2" x14ac:dyDescent="0.25"/>
    <row r="5" spans="1:2" x14ac:dyDescent="0.25"/>
    <row r="6" spans="1:2" x14ac:dyDescent="0.25"/>
    <row r="7" spans="1:2" x14ac:dyDescent="0.25"/>
    <row r="8" spans="1:2" x14ac:dyDescent="0.25"/>
    <row r="9" spans="1:2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2CA7-98CE-41BE-8F0C-E3EEF9BC19C6}">
  <dimension ref="A1:CC82"/>
  <sheetViews>
    <sheetView showGridLines="0" tabSelected="1" zoomScale="70" zoomScaleNormal="70" workbookViewId="0"/>
  </sheetViews>
  <sheetFormatPr defaultColWidth="11" defaultRowHeight="15" x14ac:dyDescent="0.25"/>
  <sheetData>
    <row r="1" spans="1:81" ht="21" x14ac:dyDescent="0.35">
      <c r="A1" s="12" t="s">
        <v>8</v>
      </c>
      <c r="B1" s="12"/>
    </row>
    <row r="2" spans="1:81" ht="21" x14ac:dyDescent="0.35">
      <c r="A2" s="12"/>
    </row>
    <row r="3" spans="1:81" x14ac:dyDescent="0.25">
      <c r="A3" t="str">
        <f>IF(Backend!B30="", "", Backend!B30)</f>
        <v/>
      </c>
      <c r="B3" s="4" t="str">
        <f>IF(Backend!C29="", "", Backend!C29)</f>
        <v>Adecco Group AG</v>
      </c>
      <c r="C3" s="4" t="str">
        <f>IF(Backend!D29="", "", Backend!D29)</f>
        <v>Anglo American plc</v>
      </c>
      <c r="D3" s="4" t="str">
        <f>IF(Backend!E29="", "", Backend!E29)</f>
        <v>Anhui Conch Cement Company Limited Class H</v>
      </c>
      <c r="E3" s="4" t="str">
        <f>IF(Backend!F29="", "", Backend!F29)</f>
        <v>Aptiv PLC</v>
      </c>
      <c r="F3" s="4" t="str">
        <f>IF(Backend!G29="", "", Backend!G29)</f>
        <v>Autohome Inc. Sponsored ADR Class A</v>
      </c>
      <c r="G3" s="4" t="str">
        <f>IF(Backend!H29="", "", Backend!H29)</f>
        <v>Baidu, Inc. Class A</v>
      </c>
      <c r="H3" s="4" t="str">
        <f>IF(Backend!I29="", "", Backend!I29)</f>
        <v>BASF SE</v>
      </c>
      <c r="I3" s="4" t="str">
        <f>IF(Backend!J29="", "", Backend!J29)</f>
        <v>Bayer AG</v>
      </c>
      <c r="J3" s="4" t="str">
        <f>IF(Backend!K29="", "", Backend!K29)</f>
        <v>Bristol-Myers Squibb Company</v>
      </c>
      <c r="K3" s="4" t="str">
        <f>IF(Backend!L29="", "", Backend!L29)</f>
        <v>BT Group plc</v>
      </c>
      <c r="L3" s="4" t="str">
        <f>IF(Backend!M29="", "", Backend!M29)</f>
        <v>Burberry Group plc</v>
      </c>
      <c r="M3" s="4" t="str">
        <f>IF(Backend!N29="", "", Backend!N29)</f>
        <v>Carrefour SA</v>
      </c>
      <c r="N3" s="4" t="str">
        <f>IF(Backend!O29="", "", Backend!O29)</f>
        <v>Continental AG</v>
      </c>
      <c r="O3" s="4" t="str">
        <f>IF(Backend!P29="", "", Backend!P29)</f>
        <v>Dentsu Group Inc.</v>
      </c>
      <c r="P3" s="4" t="str">
        <f>IF(Backend!Q29="", "", Backend!Q29)</f>
        <v>WPP Plc</v>
      </c>
      <c r="Q3" s="4" t="str">
        <f>IF(Backend!R29="", "", Backend!R29)</f>
        <v>Eni S.p.A.</v>
      </c>
      <c r="R3" s="4" t="str">
        <f>IF(Backend!S29="", "", Backend!S29)</f>
        <v>GSK plc</v>
      </c>
      <c r="S3" s="4" t="str">
        <f>IF(Backend!T29="", "", Backend!T29)</f>
        <v>H.U.Group Holdings, Inc.</v>
      </c>
      <c r="T3" s="4" t="str">
        <f>IF(Backend!U29="", "", Backend!U29)</f>
        <v>Halliburton Company</v>
      </c>
      <c r="U3" s="4" t="str">
        <f>IF(Backend!V29="", "", Backend!V29)</f>
        <v>HANKOOK TIRE &amp; TECHNOLOGY Co., Ltd.</v>
      </c>
      <c r="V3" s="4" t="str">
        <f>IF(Backend!W29="", "", Backend!W29)</f>
        <v>Hewlett Packard Enterprise Co.</v>
      </c>
      <c r="W3" s="4" t="str">
        <f>IF(Backend!X29="", "", Backend!X29)</f>
        <v>Intel Corporation</v>
      </c>
      <c r="X3" s="4" t="str">
        <f>IF(Backend!Y29="", "", Backend!Y29)</f>
        <v>KB Financial Group Inc.</v>
      </c>
      <c r="Y3" s="4" t="str">
        <f>IF(Backend!Z29="", "", Backend!Z29)</f>
        <v>Kering SA</v>
      </c>
      <c r="Z3" s="4" t="str">
        <f>IF(Backend!AA29="", "", Backend!AA29)</f>
        <v>Koninklijke Ahold Delhaize N.V.</v>
      </c>
      <c r="AA3" s="4" t="str">
        <f>IF(Backend!AB29="", "", Backend!AB29)</f>
        <v>Kraft Heinz Company</v>
      </c>
      <c r="AB3" s="4" t="str">
        <f>IF(Backend!AC29="", "", Backend!AC29)</f>
        <v>Lear Corporation</v>
      </c>
      <c r="AC3" s="4" t="str">
        <f>IF(Backend!AD29="", "", Backend!AD29)</f>
        <v>LyondellBasell Industries NV</v>
      </c>
      <c r="AD3" s="4" t="str">
        <f>IF(Backend!AE29="", "", Backend!AE29)</f>
        <v>Macy's, Inc.</v>
      </c>
      <c r="AE3" s="4" t="str">
        <f>IF(Backend!AF29="", "", Backend!AF29)</f>
        <v>ManpowerGroup Inc.</v>
      </c>
      <c r="AF3" s="4" t="str">
        <f>IF(Backend!AG29="", "", Backend!AG29)</f>
        <v>MEDIPAL HOLDINGS Corporation</v>
      </c>
      <c r="AG3" s="4" t="str">
        <f>IF(Backend!AH29="", "", Backend!AH29)</f>
        <v>Mohawk Industries, Inc.</v>
      </c>
      <c r="AH3" s="4" t="str">
        <f>IF(Backend!AI29="", "", Backend!AI29)</f>
        <v>Molson Coors Beverage Company Class B</v>
      </c>
      <c r="AI3" s="4" t="str">
        <f>IF(Backend!AJ29="", "", Backend!AJ29)</f>
        <v>NatWest Group Plc</v>
      </c>
      <c r="AJ3" s="4" t="str">
        <f>IF(Backend!AK29="", "", Backend!AK29)</f>
        <v>Nikon Corp.</v>
      </c>
      <c r="AK3" s="4" t="str">
        <f>IF(Backend!AL29="", "", Backend!AL29)</f>
        <v>Nippon Television Holdings, Inc.</v>
      </c>
      <c r="AL3" s="4" t="str">
        <f>IF(Backend!AM29="", "", Backend!AM29)</f>
        <v>Pfizer Inc.</v>
      </c>
      <c r="AM3" s="4" t="str">
        <f>IF(Backend!AN29="", "", Backend!AN29)</f>
        <v>PUMA SE</v>
      </c>
      <c r="AN3" s="4" t="str">
        <f>IF(Backend!AO29="", "", Backend!AO29)</f>
        <v>Repsol SA</v>
      </c>
      <c r="AO3" s="4" t="str">
        <f>IF(Backend!AP29="", "", Backend!AP29)</f>
        <v>ROHM Company Limited</v>
      </c>
      <c r="AP3" s="4" t="str">
        <f>IF(Backend!AQ29="", "", Backend!AQ29)</f>
        <v>Sally Beauty Holdings, Inc.</v>
      </c>
      <c r="AQ3" s="4" t="str">
        <f>IF(Backend!AR29="", "", Backend!AR29)</f>
        <v>Samsung Electronics Co Ltd Pfd  Non-Voting</v>
      </c>
      <c r="AR3" s="4" t="str">
        <f>IF(Backend!AS29="", "", Backend!AS29)</f>
        <v>Sanofi SA</v>
      </c>
      <c r="AS3" s="4" t="str">
        <f>IF(Backend!AT29="", "", Backend!AT29)</f>
        <v>SES SA FDR (Class A)</v>
      </c>
      <c r="AT3" s="4" t="str">
        <f>IF(Backend!AU29="", "", Backend!AU29)</f>
        <v>Shinhan Financial Group Co., Ltd.</v>
      </c>
      <c r="AU3" s="4" t="str">
        <f>IF(Backend!AV29="", "", Backend!AV29)</f>
        <v>Societe Generale S.A. Class A</v>
      </c>
      <c r="AV3" s="4" t="str">
        <f>IF(Backend!AW29="", "", Backend!AW29)</f>
        <v>Standard Chartered PLC</v>
      </c>
      <c r="AW3" s="4" t="str">
        <f>IF(Backend!AX29="", "", Backend!AX29)</f>
        <v>Stanley Black &amp; Decker, Inc.</v>
      </c>
      <c r="AX3" s="4" t="str">
        <f>IF(Backend!AY29="", "", Backend!AY29)</f>
        <v>Swatch Group Ltd. Bearer</v>
      </c>
      <c r="AY3" s="4" t="str">
        <f>IF(Backend!AZ29="", "", Backend!AZ29)</f>
        <v>Ternium S.A. Sponsored ADR</v>
      </c>
      <c r="AZ3" s="4" t="str">
        <f>IF(Backend!BA29="", "", Backend!BA29)</f>
        <v>TOKAI RIKA CO., LTD.</v>
      </c>
      <c r="BA3" s="4" t="str">
        <f>IF(Backend!BB29="", "", Backend!BB29)</f>
        <v>Valterra Platinum Limited</v>
      </c>
      <c r="BB3" s="4" t="str">
        <f>IF(Backend!BC29="", "", Backend!BC29)</f>
        <v>Verizon Communications Inc.</v>
      </c>
      <c r="BC3" s="4" t="str">
        <f>IF(Backend!BD29="", "", Backend!BD29)</f>
        <v>Viatris, Inc.</v>
      </c>
      <c r="BD3" s="4" t="str">
        <f>IF(Backend!BE29="", "", Backend!BE29)</f>
        <v>Vodafone Group Public Limited Company</v>
      </c>
      <c r="BE3" s="4" t="str">
        <f>IF(Backend!BF29="", "", Backend!BF29)</f>
        <v>Volkswagen AG Pref</v>
      </c>
      <c r="BF3" s="4" t="str">
        <f>IF(Backend!BG29="", "", Backend!BG29)</f>
        <v>Walgreens Boots Alliance, Inc.</v>
      </c>
      <c r="BG3" s="4" t="str">
        <f>IF(Backend!BH29="", "", Backend!BH29)</f>
        <v>Western Union Company</v>
      </c>
      <c r="BH3" s="4" t="str">
        <f>IF(Backend!BI29="", "", Backend!BI29)</f>
        <v>John Wiley &amp; Sons, Inc. Class A</v>
      </c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 t="str">
        <f>IF(Backend!BY30="", "", Backend!BY30)</f>
        <v/>
      </c>
      <c r="BY3" s="4" t="str">
        <f>IF(Backend!BZ30="", "", Backend!BZ30)</f>
        <v/>
      </c>
      <c r="BZ3" s="4" t="str">
        <f>IF(Backend!CA30="", "", Backend!CA30)</f>
        <v/>
      </c>
      <c r="CA3" s="4" t="str">
        <f>IF(Backend!CB30="", "", Backend!CB30)</f>
        <v/>
      </c>
      <c r="CB3" s="4" t="str">
        <f>IF(Backend!CC30="", "", Backend!CC30)</f>
        <v/>
      </c>
      <c r="CC3" s="4" t="str">
        <f>IF(Backend!CD30="", "", Backend!CD30)</f>
        <v/>
      </c>
    </row>
    <row r="4" spans="1:81" x14ac:dyDescent="0.25">
      <c r="A4" s="4" t="str">
        <f>IF(Backend!A31="", "", Backend!A31)</f>
        <v>Adecco Group AG</v>
      </c>
      <c r="B4">
        <f>IF(Backend!C31="", "", Backend!C31)</f>
        <v>1</v>
      </c>
      <c r="C4">
        <f>IF(Backend!D31="", "", Backend!D31)</f>
        <v>0.39938404999999999</v>
      </c>
      <c r="D4">
        <f>IF(Backend!E31="", "", Backend!E31)</f>
        <v>0.12351597</v>
      </c>
      <c r="E4">
        <f>IF(Backend!F31="", "", Backend!F31)</f>
        <v>0.31796327000000002</v>
      </c>
      <c r="F4">
        <f>IF(Backend!G31="", "", Backend!G31)</f>
        <v>0.18625734999999999</v>
      </c>
      <c r="G4">
        <f>IF(Backend!H31="", "", Backend!H31)</f>
        <v>0.18713966000000001</v>
      </c>
      <c r="H4">
        <f>IF(Backend!I31="", "", Backend!I31)</f>
        <v>0.58397829999999995</v>
      </c>
      <c r="I4">
        <f>IF(Backend!J31="", "", Backend!J31)</f>
        <v>0.39164490000000002</v>
      </c>
      <c r="J4">
        <f>IF(Backend!K31="", "", Backend!K31)</f>
        <v>4.5512206999999999E-2</v>
      </c>
      <c r="K4">
        <f>IF(Backend!L31="", "", Backend!L31)</f>
        <v>0.32664569999999998</v>
      </c>
      <c r="L4">
        <f>IF(Backend!M31="", "", Backend!M31)</f>
        <v>0.43294632</v>
      </c>
      <c r="M4">
        <f>IF(Backend!N31="", "", Backend!N31)</f>
        <v>0.29648681999999998</v>
      </c>
      <c r="N4">
        <f>IF(Backend!O31="", "", Backend!O31)</f>
        <v>0.51597923000000001</v>
      </c>
      <c r="O4">
        <f>IF(Backend!P31="", "", Backend!P31)</f>
        <v>0.17502514999999999</v>
      </c>
      <c r="P4">
        <f>IF(Backend!Q31="", "", Backend!Q31)</f>
        <v>0.47705554999999999</v>
      </c>
      <c r="Q4">
        <f>IF(Backend!R31="", "", Backend!R31)</f>
        <v>0.41527575</v>
      </c>
      <c r="R4">
        <f>IF(Backend!S31="", "", Backend!S31)</f>
        <v>0.25082976000000001</v>
      </c>
      <c r="S4">
        <f>IF(Backend!T31="", "", Backend!T31)</f>
        <v>0.12580854</v>
      </c>
      <c r="T4">
        <f>IF(Backend!U31="", "", Backend!U31)</f>
        <v>0.21129539999999999</v>
      </c>
      <c r="U4">
        <f>IF(Backend!V31="", "", Backend!V31)</f>
        <v>0.139763</v>
      </c>
      <c r="V4">
        <f>IF(Backend!W31="", "", Backend!W31)</f>
        <v>0.20724316000000001</v>
      </c>
      <c r="W4">
        <f>IF(Backend!X31="", "", Backend!X31)</f>
        <v>0.14516617000000001</v>
      </c>
      <c r="X4">
        <f>IF(Backend!Y31="", "", Backend!Y31)</f>
        <v>0.16819996000000001</v>
      </c>
      <c r="Y4">
        <f>IF(Backend!Z31="", "", Backend!Z31)</f>
        <v>0.47653669999999998</v>
      </c>
      <c r="Z4">
        <f>IF(Backend!AA31="", "", Backend!AA31)</f>
        <v>0.26632850000000002</v>
      </c>
      <c r="AA4">
        <f>IF(Backend!AB31="", "", Backend!AB31)</f>
        <v>0.12240205</v>
      </c>
      <c r="AB4">
        <f>IF(Backend!AC31="", "", Backend!AC31)</f>
        <v>0.33602231999999999</v>
      </c>
      <c r="AC4">
        <f>IF(Backend!AD31="", "", Backend!AD31)</f>
        <v>0.31463010000000002</v>
      </c>
      <c r="AD4">
        <f>IF(Backend!AE31="", "", Backend!AE31)</f>
        <v>0.17430522000000001</v>
      </c>
      <c r="AE4">
        <f>IF(Backend!AF31="", "", Backend!AF31)</f>
        <v>0.44833085</v>
      </c>
      <c r="AF4">
        <f>IF(Backend!AG31="", "", Backend!AG31)</f>
        <v>9.6641279999999996E-2</v>
      </c>
      <c r="AG4">
        <f>IF(Backend!AH31="", "", Backend!AH31)</f>
        <v>0.30196636999999998</v>
      </c>
      <c r="AH4">
        <f>IF(Backend!AI31="", "", Backend!AI31)</f>
        <v>0.19476128000000001</v>
      </c>
      <c r="AI4">
        <f>IF(Backend!AJ31="", "", Backend!AJ31)</f>
        <v>0.45068923</v>
      </c>
      <c r="AJ4">
        <f>IF(Backend!AK31="", "", Backend!AK31)</f>
        <v>0.13730614999999999</v>
      </c>
      <c r="AK4">
        <f>IF(Backend!AL31="", "", Backend!AL31)</f>
        <v>0.10514353</v>
      </c>
      <c r="AL4">
        <f>IF(Backend!AM31="", "", Backend!AM31)</f>
        <v>0.108049855</v>
      </c>
      <c r="AM4">
        <f>IF(Backend!AN31="", "", Backend!AN31)</f>
        <v>0.42113334000000002</v>
      </c>
      <c r="AN4">
        <f>IF(Backend!AO31="", "", Backend!AO31)</f>
        <v>0.31757814000000001</v>
      </c>
      <c r="AO4">
        <f>IF(Backend!AP31="", "", Backend!AP31)</f>
        <v>0.21714397999999999</v>
      </c>
      <c r="AP4">
        <f>IF(Backend!AQ31="", "", Backend!AQ31)</f>
        <v>0.20429348999999999</v>
      </c>
      <c r="AQ4">
        <f>IF(Backend!AR31="", "", Backend!AR31)</f>
        <v>0.19614366999999999</v>
      </c>
      <c r="AR4">
        <f>IF(Backend!AS31="", "", Backend!AS31)</f>
        <v>0.24527167999999999</v>
      </c>
      <c r="AS4">
        <f>IF(Backend!AT31="", "", Backend!AT31)</f>
        <v>0.33586640000000001</v>
      </c>
      <c r="AT4">
        <f>IF(Backend!AU31="", "", Backend!AU31)</f>
        <v>0.17815195</v>
      </c>
      <c r="AU4">
        <f>IF(Backend!AV31="", "", Backend!AV31)</f>
        <v>0.51140470000000005</v>
      </c>
      <c r="AV4">
        <f>IF(Backend!AW31="", "", Backend!AW31)</f>
        <v>0.41977122</v>
      </c>
      <c r="AW4">
        <f>IF(Backend!AX31="", "", Backend!AX31)</f>
        <v>0.27303307999999998</v>
      </c>
      <c r="AX4">
        <f>IF(Backend!AY31="", "", Backend!AY31)</f>
        <v>0.49752104000000003</v>
      </c>
      <c r="AY4">
        <f>IF(Backend!AZ31="", "", Backend!AZ31)</f>
        <v>0.28432350000000001</v>
      </c>
      <c r="AZ4">
        <f>IF(Backend!BA31="", "", Backend!BA31)</f>
        <v>0.19002204</v>
      </c>
      <c r="BA4">
        <f>IF(Backend!BB31="", "", Backend!BB31)</f>
        <v>0.26021358</v>
      </c>
      <c r="BB4">
        <f>IF(Backend!BC31="", "", Backend!BC31)</f>
        <v>0.11426086000000001</v>
      </c>
      <c r="BC4">
        <f>IF(Backend!BD31="", "", Backend!BD31)</f>
        <v>0.22955623</v>
      </c>
      <c r="BD4">
        <f>IF(Backend!BE31="", "", Backend!BE31)</f>
        <v>0.34252146</v>
      </c>
      <c r="BE4">
        <f>IF(Backend!BF31="", "", Backend!BF31)</f>
        <v>0.50821435000000004</v>
      </c>
      <c r="BF4">
        <f>IF(Backend!BG31="", "", Backend!BG31)</f>
        <v>0.13485279999999999</v>
      </c>
      <c r="BG4">
        <f>IF(Backend!BH31="", "", Backend!BH31)</f>
        <v>0.23994472999999999</v>
      </c>
      <c r="BH4">
        <f>IF(Backend!BI31="", "", Backend!BI31)</f>
        <v>0.20664183999999999</v>
      </c>
      <c r="BX4" t="str">
        <f>IF(Backend!BY31="", "", Backend!BY31)</f>
        <v/>
      </c>
      <c r="BY4" t="str">
        <f>IF(Backend!BZ31="", "", Backend!BZ31)</f>
        <v/>
      </c>
      <c r="BZ4" t="str">
        <f>IF(Backend!CA31="", "", Backend!CA31)</f>
        <v/>
      </c>
      <c r="CA4" t="str">
        <f>IF(Backend!CB31="", "", Backend!CB31)</f>
        <v/>
      </c>
      <c r="CB4" t="str">
        <f>IF(Backend!CC31="", "", Backend!CC31)</f>
        <v/>
      </c>
      <c r="CC4" t="str">
        <f>IF(Backend!CD31="", "", Backend!CD31)</f>
        <v/>
      </c>
    </row>
    <row r="5" spans="1:81" x14ac:dyDescent="0.25">
      <c r="A5" s="4" t="str">
        <f>IF(Backend!A32="", "", Backend!A32)</f>
        <v>Anglo American plc</v>
      </c>
      <c r="B5">
        <f>IF(Backend!C32="", "", Backend!C32)</f>
        <v>0.39938404999999999</v>
      </c>
      <c r="C5">
        <f>IF(Backend!D32="", "", Backend!D32)</f>
        <v>1</v>
      </c>
      <c r="D5">
        <f>IF(Backend!E32="", "", Backend!E32)</f>
        <v>0.23118158</v>
      </c>
      <c r="E5">
        <f>IF(Backend!F32="", "", Backend!F32)</f>
        <v>0.27339723999999999</v>
      </c>
      <c r="F5">
        <f>IF(Backend!G32="", "", Backend!G32)</f>
        <v>0.20845010999999999</v>
      </c>
      <c r="G5">
        <f>IF(Backend!H32="", "", Backend!H32)</f>
        <v>0.24558595</v>
      </c>
      <c r="H5">
        <f>IF(Backend!I32="", "", Backend!I32)</f>
        <v>0.49699247000000002</v>
      </c>
      <c r="I5">
        <f>IF(Backend!J32="", "", Backend!J32)</f>
        <v>0.32804741999999998</v>
      </c>
      <c r="J5">
        <f>IF(Backend!K32="", "", Backend!K32)</f>
        <v>3.9772460000000003E-3</v>
      </c>
      <c r="K5">
        <f>IF(Backend!L32="", "", Backend!L32)</f>
        <v>0.26483834000000001</v>
      </c>
      <c r="L5">
        <f>IF(Backend!M32="", "", Backend!M32)</f>
        <v>0.40039469999999999</v>
      </c>
      <c r="M5">
        <f>IF(Backend!N32="", "", Backend!N32)</f>
        <v>0.2219083</v>
      </c>
      <c r="N5">
        <f>IF(Backend!O32="", "", Backend!O32)</f>
        <v>0.38348606000000002</v>
      </c>
      <c r="O5">
        <f>IF(Backend!P32="", "", Backend!P32)</f>
        <v>0.14241656999999999</v>
      </c>
      <c r="P5">
        <f>IF(Backend!Q32="", "", Backend!Q32)</f>
        <v>0.40760097000000001</v>
      </c>
      <c r="Q5">
        <f>IF(Backend!R32="", "", Backend!R32)</f>
        <v>0.52129179999999997</v>
      </c>
      <c r="R5">
        <f>IF(Backend!S32="", "", Backend!S32)</f>
        <v>0.22555006999999999</v>
      </c>
      <c r="S5">
        <f>IF(Backend!T32="", "", Backend!T32)</f>
        <v>5.1864404000000003E-2</v>
      </c>
      <c r="T5">
        <f>IF(Backend!U32="", "", Backend!U32)</f>
        <v>0.33170706</v>
      </c>
      <c r="U5">
        <f>IF(Backend!V32="", "", Backend!V32)</f>
        <v>0.12959493999999999</v>
      </c>
      <c r="V5">
        <f>IF(Backend!W32="", "", Backend!W32)</f>
        <v>0.23344079000000001</v>
      </c>
      <c r="W5">
        <f>IF(Backend!X32="", "", Backend!X32)</f>
        <v>0.16092535999999999</v>
      </c>
      <c r="X5">
        <f>IF(Backend!Y32="", "", Backend!Y32)</f>
        <v>0.15579519999999999</v>
      </c>
      <c r="Y5">
        <f>IF(Backend!Z32="", "", Backend!Z32)</f>
        <v>0.40353470000000002</v>
      </c>
      <c r="Z5">
        <f>IF(Backend!AA32="", "", Backend!AA32)</f>
        <v>0.14545378</v>
      </c>
      <c r="AA5">
        <f>IF(Backend!AB32="", "", Backend!AB32)</f>
        <v>4.5460503999999999E-2</v>
      </c>
      <c r="AB5">
        <f>IF(Backend!AC32="", "", Backend!AC32)</f>
        <v>0.28487446999999999</v>
      </c>
      <c r="AC5">
        <f>IF(Backend!AD32="", "", Backend!AD32)</f>
        <v>0.34101942000000002</v>
      </c>
      <c r="AD5">
        <f>IF(Backend!AE32="", "", Backend!AE32)</f>
        <v>0.11964421</v>
      </c>
      <c r="AE5">
        <f>IF(Backend!AF32="", "", Backend!AF32)</f>
        <v>0.25129952999999999</v>
      </c>
      <c r="AF5">
        <f>IF(Backend!AG32="", "", Backend!AG32)</f>
        <v>0.11732159</v>
      </c>
      <c r="AG5">
        <f>IF(Backend!AH32="", "", Backend!AH32)</f>
        <v>0.22978367999999999</v>
      </c>
      <c r="AH5">
        <f>IF(Backend!AI32="", "", Backend!AI32)</f>
        <v>0.13224563</v>
      </c>
      <c r="AI5">
        <f>IF(Backend!AJ32="", "", Backend!AJ32)</f>
        <v>0.46879920000000003</v>
      </c>
      <c r="AJ5">
        <f>IF(Backend!AK32="", "", Backend!AK32)</f>
        <v>0.13212421999999999</v>
      </c>
      <c r="AK5">
        <f>IF(Backend!AL32="", "", Backend!AL32)</f>
        <v>8.7521989999999994E-2</v>
      </c>
      <c r="AL5">
        <f>IF(Backend!AM32="", "", Backend!AM32)</f>
        <v>7.1844140000000001E-2</v>
      </c>
      <c r="AM5">
        <f>IF(Backend!AN32="", "", Backend!AN32)</f>
        <v>0.27331284</v>
      </c>
      <c r="AN5">
        <f>IF(Backend!AO32="", "", Backend!AO32)</f>
        <v>0.46868959999999998</v>
      </c>
      <c r="AO5">
        <f>IF(Backend!AP32="", "", Backend!AP32)</f>
        <v>0.16623355000000001</v>
      </c>
      <c r="AP5">
        <f>IF(Backend!AQ32="", "", Backend!AQ32)</f>
        <v>0.13028964000000001</v>
      </c>
      <c r="AQ5">
        <f>IF(Backend!AR32="", "", Backend!AR32)</f>
        <v>0.18667980000000001</v>
      </c>
      <c r="AR5">
        <f>IF(Backend!AS32="", "", Backend!AS32)</f>
        <v>0.18667169</v>
      </c>
      <c r="AS5">
        <f>IF(Backend!AT32="", "", Backend!AT32)</f>
        <v>0.21183583</v>
      </c>
      <c r="AT5">
        <f>IF(Backend!AU32="", "", Backend!AU32)</f>
        <v>0.17771261999999999</v>
      </c>
      <c r="AU5">
        <f>IF(Backend!AV32="", "", Backend!AV32)</f>
        <v>0.41083544</v>
      </c>
      <c r="AV5">
        <f>IF(Backend!AW32="", "", Backend!AW32)</f>
        <v>0.44025629999999999</v>
      </c>
      <c r="AW5">
        <f>IF(Backend!AX32="", "", Backend!AX32)</f>
        <v>0.19515103</v>
      </c>
      <c r="AX5">
        <f>IF(Backend!AY32="", "", Backend!AY32)</f>
        <v>0.42039083999999999</v>
      </c>
      <c r="AY5">
        <f>IF(Backend!AZ32="", "", Backend!AZ32)</f>
        <v>0.44327343000000002</v>
      </c>
      <c r="AZ5">
        <f>IF(Backend!BA32="", "", Backend!BA32)</f>
        <v>9.7889069999999995E-2</v>
      </c>
      <c r="BA5">
        <f>IF(Backend!BB32="", "", Backend!BB32)</f>
        <v>0.53149796000000005</v>
      </c>
      <c r="BB5">
        <f>IF(Backend!BC32="", "", Backend!BC32)</f>
        <v>7.9161919999999997E-2</v>
      </c>
      <c r="BC5">
        <f>IF(Backend!BD32="", "", Backend!BD32)</f>
        <v>0.17980261</v>
      </c>
      <c r="BD5">
        <f>IF(Backend!BE32="", "", Backend!BE32)</f>
        <v>0.29535085</v>
      </c>
      <c r="BE5">
        <f>IF(Backend!BF32="", "", Backend!BF32)</f>
        <v>0.38193080000000001</v>
      </c>
      <c r="BF5">
        <f>IF(Backend!BG32="", "", Backend!BG32)</f>
        <v>0.1447117</v>
      </c>
      <c r="BG5">
        <f>IF(Backend!BH32="", "", Backend!BH32)</f>
        <v>0.13327818</v>
      </c>
      <c r="BH5">
        <f>IF(Backend!BI32="", "", Backend!BI32)</f>
        <v>0.1998287</v>
      </c>
      <c r="BI5" t="str">
        <f>IF(Backend!BJ32="", "", Backend!BJ32)</f>
        <v/>
      </c>
      <c r="BJ5" t="str">
        <f>IF(Backend!BK32="", "", Backend!BK32)</f>
        <v/>
      </c>
      <c r="BK5" t="str">
        <f>IF(Backend!BL32="", "", Backend!BL32)</f>
        <v/>
      </c>
      <c r="BL5" t="str">
        <f>IF(Backend!BM32="", "", Backend!BM32)</f>
        <v/>
      </c>
      <c r="BM5" t="str">
        <f>IF(Backend!BN32="", "", Backend!BN32)</f>
        <v/>
      </c>
      <c r="BN5" t="str">
        <f>IF(Backend!BO32="", "", Backend!BO32)</f>
        <v/>
      </c>
      <c r="BO5" t="str">
        <f>IF(Backend!BP32="", "", Backend!BP32)</f>
        <v/>
      </c>
      <c r="BP5" t="str">
        <f>IF(Backend!BQ32="", "", Backend!BQ32)</f>
        <v/>
      </c>
      <c r="BQ5" t="str">
        <f>IF(Backend!BR32="", "", Backend!BR32)</f>
        <v/>
      </c>
      <c r="BR5" t="str">
        <f>IF(Backend!BS32="", "", Backend!BS32)</f>
        <v/>
      </c>
      <c r="BS5" t="str">
        <f>IF(Backend!BT32="", "", Backend!BT32)</f>
        <v/>
      </c>
      <c r="BT5" t="str">
        <f>IF(Backend!BU32="", "", Backend!BU32)</f>
        <v/>
      </c>
      <c r="BU5" t="str">
        <f>IF(Backend!BV32="", "", Backend!BV32)</f>
        <v/>
      </c>
      <c r="BV5" t="str">
        <f>IF(Backend!BW32="", "", Backend!BW32)</f>
        <v/>
      </c>
      <c r="BW5" t="str">
        <f>IF(Backend!BX32="", "", Backend!BX32)</f>
        <v/>
      </c>
      <c r="BX5" t="str">
        <f>IF(Backend!BY32="", "", Backend!BY32)</f>
        <v/>
      </c>
      <c r="BY5" t="str">
        <f>IF(Backend!BZ32="", "", Backend!BZ32)</f>
        <v/>
      </c>
      <c r="BZ5" t="str">
        <f>IF(Backend!CA32="", "", Backend!CA32)</f>
        <v/>
      </c>
      <c r="CA5" t="str">
        <f>IF(Backend!CB32="", "", Backend!CB32)</f>
        <v/>
      </c>
      <c r="CB5" t="str">
        <f>IF(Backend!CC32="", "", Backend!CC32)</f>
        <v/>
      </c>
      <c r="CC5" t="str">
        <f>IF(Backend!CD32="", "", Backend!CD32)</f>
        <v/>
      </c>
    </row>
    <row r="6" spans="1:81" x14ac:dyDescent="0.25">
      <c r="A6" s="4" t="str">
        <f>IF(Backend!A33="", "", Backend!A33)</f>
        <v>Anhui Conch Cement Company Limited Class H</v>
      </c>
      <c r="B6">
        <f>IF(Backend!C33="", "", Backend!C33)</f>
        <v>0.12351597</v>
      </c>
      <c r="C6">
        <f>IF(Backend!D33="", "", Backend!D33)</f>
        <v>0.23118158</v>
      </c>
      <c r="D6">
        <f>IF(Backend!E33="", "", Backend!E33)</f>
        <v>1</v>
      </c>
      <c r="E6">
        <f>IF(Backend!F33="", "", Backend!F33)</f>
        <v>7.7002379999999995E-2</v>
      </c>
      <c r="F6">
        <f>IF(Backend!G33="", "", Backend!G33)</f>
        <v>0.219586</v>
      </c>
      <c r="G6">
        <f>IF(Backend!H33="", "", Backend!H33)</f>
        <v>0.38515212999999998</v>
      </c>
      <c r="H6">
        <f>IF(Backend!I33="", "", Backend!I33)</f>
        <v>0.16261686</v>
      </c>
      <c r="I6">
        <f>IF(Backend!J33="", "", Backend!J33)</f>
        <v>0.12648934000000001</v>
      </c>
      <c r="J6">
        <f>IF(Backend!K33="", "", Backend!K33)</f>
        <v>6.0530566000000001E-2</v>
      </c>
      <c r="K6">
        <f>IF(Backend!L33="", "", Backend!L33)</f>
        <v>9.9050890000000003E-2</v>
      </c>
      <c r="L6">
        <f>IF(Backend!M33="", "", Backend!M33)</f>
        <v>0.16386202999999999</v>
      </c>
      <c r="M6">
        <f>IF(Backend!N33="", "", Backend!N33)</f>
        <v>4.913928E-2</v>
      </c>
      <c r="N6">
        <f>IF(Backend!O33="", "", Backend!O33)</f>
        <v>6.6979919999999998E-2</v>
      </c>
      <c r="O6">
        <f>IF(Backend!P33="", "", Backend!P33)</f>
        <v>0.10347692</v>
      </c>
      <c r="P6">
        <f>IF(Backend!Q33="", "", Backend!Q33)</f>
        <v>9.0182449999999997E-2</v>
      </c>
      <c r="Q6">
        <f>IF(Backend!R33="", "", Backend!R33)</f>
        <v>0.11647656000000001</v>
      </c>
      <c r="R6">
        <f>IF(Backend!S33="", "", Backend!S33)</f>
        <v>7.7189320000000006E-2</v>
      </c>
      <c r="S6">
        <f>IF(Backend!T33="", "", Backend!T33)</f>
        <v>9.7278970000000006E-2</v>
      </c>
      <c r="T6">
        <f>IF(Backend!U33="", "", Backend!U33)</f>
        <v>8.0474379999999998E-2</v>
      </c>
      <c r="U6">
        <f>IF(Backend!V33="", "", Backend!V33)</f>
        <v>0.14139457</v>
      </c>
      <c r="V6">
        <f>IF(Backend!W33="", "", Backend!W33)</f>
        <v>6.6502123999999996E-2</v>
      </c>
      <c r="W6">
        <f>IF(Backend!X33="", "", Backend!X33)</f>
        <v>3.7332084000000001E-2</v>
      </c>
      <c r="X6">
        <f>IF(Backend!Y33="", "", Backend!Y33)</f>
        <v>0.19620481000000001</v>
      </c>
      <c r="Y6">
        <f>IF(Backend!Z33="", "", Backend!Z33)</f>
        <v>0.16724078000000001</v>
      </c>
      <c r="Z6">
        <f>IF(Backend!AA33="", "", Backend!AA33)</f>
        <v>2.7636377E-2</v>
      </c>
      <c r="AA6">
        <f>IF(Backend!AB33="", "", Backend!AB33)</f>
        <v>2.7529266E-2</v>
      </c>
      <c r="AB6">
        <f>IF(Backend!AC33="", "", Backend!AC33)</f>
        <v>7.3951446000000004E-2</v>
      </c>
      <c r="AC6">
        <f>IF(Backend!AD33="", "", Backend!AD33)</f>
        <v>0.11294534000000001</v>
      </c>
      <c r="AD6">
        <f>IF(Backend!AE33="", "", Backend!AE33)</f>
        <v>4.0439438000000001E-2</v>
      </c>
      <c r="AE6">
        <f>IF(Backend!AF33="", "", Backend!AF33)</f>
        <v>7.1766670000000005E-2</v>
      </c>
      <c r="AF6">
        <f>IF(Backend!AG33="", "", Backend!AG33)</f>
        <v>4.872398E-2</v>
      </c>
      <c r="AG6">
        <f>IF(Backend!AH33="", "", Backend!AH33)</f>
        <v>4.1892159999999998E-2</v>
      </c>
      <c r="AH6">
        <f>IF(Backend!AI33="", "", Backend!AI33)</f>
        <v>4.5309469999999998E-2</v>
      </c>
      <c r="AI6">
        <f>IF(Backend!AJ33="", "", Backend!AJ33)</f>
        <v>0.12148349999999999</v>
      </c>
      <c r="AJ6">
        <f>IF(Backend!AK33="", "", Backend!AK33)</f>
        <v>9.4915054999999998E-2</v>
      </c>
      <c r="AK6">
        <f>IF(Backend!AL33="", "", Backend!AL33)</f>
        <v>7.7587046000000007E-2</v>
      </c>
      <c r="AL6">
        <f>IF(Backend!AM33="", "", Backend!AM33)</f>
        <v>6.3168189999999999E-2</v>
      </c>
      <c r="AM6">
        <f>IF(Backend!AN33="", "", Backend!AN33)</f>
        <v>9.3412146000000001E-2</v>
      </c>
      <c r="AN6">
        <f>IF(Backend!AO33="", "", Backend!AO33)</f>
        <v>0.12067817</v>
      </c>
      <c r="AO6">
        <f>IF(Backend!AP33="", "", Backend!AP33)</f>
        <v>0.11386462999999999</v>
      </c>
      <c r="AP6">
        <f>IF(Backend!AQ33="", "", Backend!AQ33)</f>
        <v>3.0167788000000001E-2</v>
      </c>
      <c r="AQ6">
        <f>IF(Backend!AR33="", "", Backend!AR33)</f>
        <v>0.22901434000000001</v>
      </c>
      <c r="AR6">
        <f>IF(Backend!AS33="", "", Backend!AS33)</f>
        <v>4.234715E-2</v>
      </c>
      <c r="AS6">
        <f>IF(Backend!AT33="", "", Backend!AT33)</f>
        <v>7.3625510000000005E-2</v>
      </c>
      <c r="AT6">
        <f>IF(Backend!AU33="", "", Backend!AU33)</f>
        <v>0.20805001000000001</v>
      </c>
      <c r="AU6">
        <f>IF(Backend!AV33="", "", Backend!AV33)</f>
        <v>0.12227104599999999</v>
      </c>
      <c r="AV6">
        <f>IF(Backend!AW33="", "", Backend!AW33)</f>
        <v>0.18625233999999999</v>
      </c>
      <c r="AW6">
        <f>IF(Backend!AX33="", "", Backend!AX33)</f>
        <v>4.9963500000000001E-2</v>
      </c>
      <c r="AX6">
        <f>IF(Backend!AY33="", "", Backend!AY33)</f>
        <v>0.18200777000000001</v>
      </c>
      <c r="AY6">
        <f>IF(Backend!AZ33="", "", Backend!AZ33)</f>
        <v>0.15071787</v>
      </c>
      <c r="AZ6">
        <f>IF(Backend!BA33="", "", Backend!BA33)</f>
        <v>8.9549260000000006E-2</v>
      </c>
      <c r="BA6">
        <f>IF(Backend!BB33="", "", Backend!BB33)</f>
        <v>0.16476853</v>
      </c>
      <c r="BB6">
        <f>IF(Backend!BC33="", "", Backend!BC33)</f>
        <v>8.6470560000000002E-3</v>
      </c>
      <c r="BC6">
        <f>IF(Backend!BD33="", "", Backend!BD33)</f>
        <v>5.2148562000000002E-2</v>
      </c>
      <c r="BD6">
        <f>IF(Backend!BE33="", "", Backend!BE33)</f>
        <v>9.2439660000000007E-2</v>
      </c>
      <c r="BE6">
        <f>IF(Backend!BF33="", "", Backend!BF33)</f>
        <v>0.12213162</v>
      </c>
      <c r="BF6">
        <f>IF(Backend!BG33="", "", Backend!BG33)</f>
        <v>5.8911853E-2</v>
      </c>
      <c r="BG6">
        <f>IF(Backend!BH33="", "", Backend!BH33)</f>
        <v>6.3418370000000002E-2</v>
      </c>
      <c r="BH6">
        <f>IF(Backend!BI33="", "", Backend!BI33)</f>
        <v>5.1414757999999998E-2</v>
      </c>
      <c r="BI6" t="str">
        <f>IF(Backend!BJ33="", "", Backend!BJ33)</f>
        <v/>
      </c>
      <c r="BJ6" t="str">
        <f>IF(Backend!BK33="", "", Backend!BK33)</f>
        <v/>
      </c>
      <c r="BK6" t="str">
        <f>IF(Backend!BL33="", "", Backend!BL33)</f>
        <v/>
      </c>
      <c r="BL6" t="str">
        <f>IF(Backend!BM33="", "", Backend!BM33)</f>
        <v/>
      </c>
      <c r="BM6" t="str">
        <f>IF(Backend!BN33="", "", Backend!BN33)</f>
        <v/>
      </c>
      <c r="BN6" t="str">
        <f>IF(Backend!BO33="", "", Backend!BO33)</f>
        <v/>
      </c>
      <c r="BO6" t="str">
        <f>IF(Backend!BP33="", "", Backend!BP33)</f>
        <v/>
      </c>
      <c r="BP6" t="str">
        <f>IF(Backend!BQ33="", "", Backend!BQ33)</f>
        <v/>
      </c>
      <c r="BQ6" t="str">
        <f>IF(Backend!BR33="", "", Backend!BR33)</f>
        <v/>
      </c>
      <c r="BR6" t="str">
        <f>IF(Backend!BS33="", "", Backend!BS33)</f>
        <v/>
      </c>
      <c r="BS6" t="str">
        <f>IF(Backend!BT33="", "", Backend!BT33)</f>
        <v/>
      </c>
      <c r="BT6" t="str">
        <f>IF(Backend!BU33="", "", Backend!BU33)</f>
        <v/>
      </c>
      <c r="BU6" t="str">
        <f>IF(Backend!BV33="", "", Backend!BV33)</f>
        <v/>
      </c>
      <c r="BV6" t="str">
        <f>IF(Backend!BW33="", "", Backend!BW33)</f>
        <v/>
      </c>
      <c r="BW6" t="str">
        <f>IF(Backend!BX33="", "", Backend!BX33)</f>
        <v/>
      </c>
      <c r="BX6" t="str">
        <f>IF(Backend!BY33="", "", Backend!BY33)</f>
        <v/>
      </c>
      <c r="BY6" t="str">
        <f>IF(Backend!BZ33="", "", Backend!BZ33)</f>
        <v/>
      </c>
      <c r="BZ6" t="str">
        <f>IF(Backend!CA33="", "", Backend!CA33)</f>
        <v/>
      </c>
      <c r="CA6" t="str">
        <f>IF(Backend!CB33="", "", Backend!CB33)</f>
        <v/>
      </c>
      <c r="CB6" t="str">
        <f>IF(Backend!CC33="", "", Backend!CC33)</f>
        <v/>
      </c>
      <c r="CC6" t="str">
        <f>IF(Backend!CD33="", "", Backend!CD33)</f>
        <v/>
      </c>
    </row>
    <row r="7" spans="1:81" x14ac:dyDescent="0.25">
      <c r="A7" s="4" t="str">
        <f>IF(Backend!A34="", "", Backend!A34)</f>
        <v>Aptiv PLC</v>
      </c>
      <c r="B7">
        <f>IF(Backend!C34="", "", Backend!C34)</f>
        <v>0.31796327000000002</v>
      </c>
      <c r="C7">
        <f>IF(Backend!D34="", "", Backend!D34)</f>
        <v>0.27339723999999999</v>
      </c>
      <c r="D7">
        <f>IF(Backend!E34="", "", Backend!E34)</f>
        <v>7.7002379999999995E-2</v>
      </c>
      <c r="E7">
        <f>IF(Backend!F34="", "", Backend!F34)</f>
        <v>1</v>
      </c>
      <c r="F7">
        <f>IF(Backend!G34="", "", Backend!G34)</f>
        <v>0.25657505000000003</v>
      </c>
      <c r="G7">
        <f>IF(Backend!H34="", "", Backend!H34)</f>
        <v>0.11218112</v>
      </c>
      <c r="H7">
        <f>IF(Backend!I34="", "", Backend!I34)</f>
        <v>0.39639394999999999</v>
      </c>
      <c r="I7">
        <f>IF(Backend!J34="", "", Backend!J34)</f>
        <v>0.22450598999999999</v>
      </c>
      <c r="J7">
        <f>IF(Backend!K34="", "", Backend!K34)</f>
        <v>9.6634104999999998E-2</v>
      </c>
      <c r="K7">
        <f>IF(Backend!L34="", "", Backend!L34)</f>
        <v>0.16366695000000001</v>
      </c>
      <c r="L7">
        <f>IF(Backend!M34="", "", Backend!M34)</f>
        <v>0.25423726000000002</v>
      </c>
      <c r="M7">
        <f>IF(Backend!N34="", "", Backend!N34)</f>
        <v>0.14983840000000001</v>
      </c>
      <c r="N7">
        <f>IF(Backend!O34="", "", Backend!O34)</f>
        <v>0.4171376</v>
      </c>
      <c r="O7">
        <f>IF(Backend!P34="", "", Backend!P34)</f>
        <v>5.4068792999999997E-2</v>
      </c>
      <c r="P7">
        <f>IF(Backend!Q34="", "", Backend!Q34)</f>
        <v>0.33327508</v>
      </c>
      <c r="Q7">
        <f>IF(Backend!R34="", "", Backend!R34)</f>
        <v>0.22662239000000001</v>
      </c>
      <c r="R7">
        <f>IF(Backend!S34="", "", Backend!S34)</f>
        <v>6.8243440000000002E-2</v>
      </c>
      <c r="S7">
        <f>IF(Backend!T34="", "", Backend!T34)</f>
        <v>2.0722293000000002E-3</v>
      </c>
      <c r="T7">
        <f>IF(Backend!U34="", "", Backend!U34)</f>
        <v>0.35890490000000003</v>
      </c>
      <c r="U7">
        <f>IF(Backend!V34="", "", Backend!V34)</f>
        <v>4.2003355999999999E-2</v>
      </c>
      <c r="V7">
        <f>IF(Backend!W34="", "", Backend!W34)</f>
        <v>0.43935079999999999</v>
      </c>
      <c r="W7">
        <f>IF(Backend!X34="", "", Backend!X34)</f>
        <v>0.35284764000000002</v>
      </c>
      <c r="X7">
        <f>IF(Backend!Y34="", "", Backend!Y34)</f>
        <v>6.7978464000000002E-2</v>
      </c>
      <c r="Y7">
        <f>IF(Backend!Z34="", "", Backend!Z34)</f>
        <v>0.31843527999999999</v>
      </c>
      <c r="Z7">
        <f>IF(Backend!AA34="", "", Backend!AA34)</f>
        <v>8.3258470000000001E-2</v>
      </c>
      <c r="AA7">
        <f>IF(Backend!AB34="", "", Backend!AB34)</f>
        <v>0.116408706</v>
      </c>
      <c r="AB7">
        <f>IF(Backend!AC34="", "", Backend!AC34)</f>
        <v>0.74977830000000001</v>
      </c>
      <c r="AC7">
        <f>IF(Backend!AD34="", "", Backend!AD34)</f>
        <v>0.48787710000000001</v>
      </c>
      <c r="AD7">
        <f>IF(Backend!AE34="", "", Backend!AE34)</f>
        <v>0.39698410000000001</v>
      </c>
      <c r="AE7">
        <f>IF(Backend!AF34="", "", Backend!AF34)</f>
        <v>0.48700399999999999</v>
      </c>
      <c r="AF7">
        <f>IF(Backend!AG34="", "", Backend!AG34)</f>
        <v>4.8910510000000004E-3</v>
      </c>
      <c r="AG7">
        <f>IF(Backend!AH34="", "", Backend!AH34)</f>
        <v>0.52945894000000004</v>
      </c>
      <c r="AH7">
        <f>IF(Backend!AI34="", "", Backend!AI34)</f>
        <v>0.25599379999999999</v>
      </c>
      <c r="AI7">
        <f>IF(Backend!AJ34="", "", Backend!AJ34)</f>
        <v>0.31025150000000001</v>
      </c>
      <c r="AJ7">
        <f>IF(Backend!AK34="", "", Backend!AK34)</f>
        <v>4.808809E-2</v>
      </c>
      <c r="AK7">
        <f>IF(Backend!AL34="", "", Backend!AL34)</f>
        <v>2.9196502999999999E-2</v>
      </c>
      <c r="AL7">
        <f>IF(Backend!AM34="", "", Backend!AM34)</f>
        <v>0.16148512000000001</v>
      </c>
      <c r="AM7">
        <f>IF(Backend!AN34="", "", Backend!AN34)</f>
        <v>0.28644570000000003</v>
      </c>
      <c r="AN7">
        <f>IF(Backend!AO34="", "", Backend!AO34)</f>
        <v>0.21221629</v>
      </c>
      <c r="AO7">
        <f>IF(Backend!AP34="", "", Backend!AP34)</f>
        <v>9.315408E-2</v>
      </c>
      <c r="AP7">
        <f>IF(Backend!AQ34="", "", Backend!AQ34)</f>
        <v>0.42271777999999999</v>
      </c>
      <c r="AQ7">
        <f>IF(Backend!AR34="", "", Backend!AR34)</f>
        <v>7.5566510000000003E-2</v>
      </c>
      <c r="AR7">
        <f>IF(Backend!AS34="", "", Backend!AS34)</f>
        <v>5.7855825999999999E-2</v>
      </c>
      <c r="AS7">
        <f>IF(Backend!AT34="", "", Backend!AT34)</f>
        <v>0.15881817000000001</v>
      </c>
      <c r="AT7">
        <f>IF(Backend!AU34="", "", Backend!AU34)</f>
        <v>0.100665</v>
      </c>
      <c r="AU7">
        <f>IF(Backend!AV34="", "", Backend!AV34)</f>
        <v>0.30723922999999997</v>
      </c>
      <c r="AV7">
        <f>IF(Backend!AW34="", "", Backend!AW34)</f>
        <v>0.30487245000000002</v>
      </c>
      <c r="AW7">
        <f>IF(Backend!AX34="", "", Backend!AX34)</f>
        <v>0.50664370000000003</v>
      </c>
      <c r="AX7">
        <f>IF(Backend!AY34="", "", Backend!AY34)</f>
        <v>0.33334725999999998</v>
      </c>
      <c r="AY7">
        <f>IF(Backend!AZ34="", "", Backend!AZ34)</f>
        <v>0.38759403999999997</v>
      </c>
      <c r="AZ7">
        <f>IF(Backend!BA34="", "", Backend!BA34)</f>
        <v>6.9744840000000002E-2</v>
      </c>
      <c r="BA7">
        <f>IF(Backend!BB34="", "", Backend!BB34)</f>
        <v>0.15581703</v>
      </c>
      <c r="BB7">
        <f>IF(Backend!BC34="", "", Backend!BC34)</f>
        <v>0.12921235</v>
      </c>
      <c r="BC7">
        <f>IF(Backend!BD34="", "", Backend!BD34)</f>
        <v>0.36848122</v>
      </c>
      <c r="BD7">
        <f>IF(Backend!BE34="", "", Backend!BE34)</f>
        <v>0.17390521</v>
      </c>
      <c r="BE7">
        <f>IF(Backend!BF34="", "", Backend!BF34)</f>
        <v>0.37432579999999999</v>
      </c>
      <c r="BF7">
        <f>IF(Backend!BG34="", "", Backend!BG34)</f>
        <v>0.2211592</v>
      </c>
      <c r="BG7">
        <f>IF(Backend!BH34="", "", Backend!BH34)</f>
        <v>0.3627457</v>
      </c>
      <c r="BH7">
        <f>IF(Backend!BI34="", "", Backend!BI34)</f>
        <v>0.35017429999999999</v>
      </c>
      <c r="BI7" t="str">
        <f>IF(Backend!BJ34="", "", Backend!BJ34)</f>
        <v/>
      </c>
      <c r="BJ7" t="str">
        <f>IF(Backend!BK34="", "", Backend!BK34)</f>
        <v/>
      </c>
      <c r="BK7" t="str">
        <f>IF(Backend!BL34="", "", Backend!BL34)</f>
        <v/>
      </c>
      <c r="BL7" t="str">
        <f>IF(Backend!BM34="", "", Backend!BM34)</f>
        <v/>
      </c>
      <c r="BM7" t="str">
        <f>IF(Backend!BN34="", "", Backend!BN34)</f>
        <v/>
      </c>
      <c r="BN7" t="str">
        <f>IF(Backend!BO34="", "", Backend!BO34)</f>
        <v/>
      </c>
      <c r="BO7" t="str">
        <f>IF(Backend!BP34="", "", Backend!BP34)</f>
        <v/>
      </c>
      <c r="BP7" t="str">
        <f>IF(Backend!BQ34="", "", Backend!BQ34)</f>
        <v/>
      </c>
      <c r="BQ7" t="str">
        <f>IF(Backend!BR34="", "", Backend!BR34)</f>
        <v/>
      </c>
      <c r="BR7" t="str">
        <f>IF(Backend!BS34="", "", Backend!BS34)</f>
        <v/>
      </c>
      <c r="BS7" t="str">
        <f>IF(Backend!BT34="", "", Backend!BT34)</f>
        <v/>
      </c>
      <c r="BT7" t="str">
        <f>IF(Backend!BU34="", "", Backend!BU34)</f>
        <v/>
      </c>
      <c r="BU7" t="str">
        <f>IF(Backend!BV34="", "", Backend!BV34)</f>
        <v/>
      </c>
      <c r="BV7" t="str">
        <f>IF(Backend!BW34="", "", Backend!BW34)</f>
        <v/>
      </c>
      <c r="BW7" t="str">
        <f>IF(Backend!BX34="", "", Backend!BX34)</f>
        <v/>
      </c>
      <c r="BX7" t="str">
        <f>IF(Backend!BY34="", "", Backend!BY34)</f>
        <v/>
      </c>
      <c r="BY7" t="str">
        <f>IF(Backend!BZ34="", "", Backend!BZ34)</f>
        <v/>
      </c>
      <c r="BZ7" t="str">
        <f>IF(Backend!CA34="", "", Backend!CA34)</f>
        <v/>
      </c>
      <c r="CA7" t="str">
        <f>IF(Backend!CB34="", "", Backend!CB34)</f>
        <v/>
      </c>
      <c r="CB7" t="str">
        <f>IF(Backend!CC34="", "", Backend!CC34)</f>
        <v/>
      </c>
      <c r="CC7" t="str">
        <f>IF(Backend!CD34="", "", Backend!CD34)</f>
        <v/>
      </c>
    </row>
    <row r="8" spans="1:81" x14ac:dyDescent="0.25">
      <c r="A8" s="4" t="str">
        <f>IF(Backend!A35="", "", Backend!A35)</f>
        <v>Autohome Inc. Sponsored ADR Class A</v>
      </c>
      <c r="B8">
        <f>IF(Backend!C35="", "", Backend!C35)</f>
        <v>0.18625734999999999</v>
      </c>
      <c r="C8">
        <f>IF(Backend!D35="", "", Backend!D35)</f>
        <v>0.20845010999999999</v>
      </c>
      <c r="D8">
        <f>IF(Backend!E35="", "", Backend!E35)</f>
        <v>0.219586</v>
      </c>
      <c r="E8">
        <f>IF(Backend!F35="", "", Backend!F35)</f>
        <v>0.25657505000000003</v>
      </c>
      <c r="F8">
        <f>IF(Backend!G35="", "", Backend!G35)</f>
        <v>1</v>
      </c>
      <c r="G8">
        <f>IF(Backend!H35="", "", Backend!H35)</f>
        <v>0.28208866999999999</v>
      </c>
      <c r="H8">
        <f>IF(Backend!I35="", "", Backend!I35)</f>
        <v>0.22138534000000001</v>
      </c>
      <c r="I8">
        <f>IF(Backend!J35="", "", Backend!J35)</f>
        <v>0.1783574</v>
      </c>
      <c r="J8">
        <f>IF(Backend!K35="", "", Backend!K35)</f>
        <v>5.0155974999999998E-2</v>
      </c>
      <c r="K8">
        <f>IF(Backend!L35="", "", Backend!L35)</f>
        <v>8.2928310000000005E-2</v>
      </c>
      <c r="L8">
        <f>IF(Backend!M35="", "", Backend!M35)</f>
        <v>0.19378798</v>
      </c>
      <c r="M8">
        <f>IF(Backend!N35="", "", Backend!N35)</f>
        <v>3.6464725000000003E-2</v>
      </c>
      <c r="N8">
        <f>IF(Backend!O35="", "", Backend!O35)</f>
        <v>0.19803022000000001</v>
      </c>
      <c r="O8">
        <f>IF(Backend!P35="", "", Backend!P35)</f>
        <v>4.3601554000000001E-2</v>
      </c>
      <c r="P8">
        <f>IF(Backend!Q35="", "", Backend!Q35)</f>
        <v>0.13431253000000001</v>
      </c>
      <c r="Q8">
        <f>IF(Backend!R35="", "", Backend!R35)</f>
        <v>0.14223558</v>
      </c>
      <c r="R8">
        <f>IF(Backend!S35="", "", Backend!S35)</f>
        <v>8.990513E-2</v>
      </c>
      <c r="S8">
        <f>IF(Backend!T35="", "", Backend!T35)</f>
        <v>1.608673E-2</v>
      </c>
      <c r="T8">
        <f>IF(Backend!U35="", "", Backend!U35)</f>
        <v>0.12201606500000001</v>
      </c>
      <c r="U8">
        <f>IF(Backend!V35="", "", Backend!V35)</f>
        <v>0.11337348</v>
      </c>
      <c r="V8">
        <f>IF(Backend!W35="", "", Backend!W35)</f>
        <v>0.16092788</v>
      </c>
      <c r="W8">
        <f>IF(Backend!X35="", "", Backend!X35)</f>
        <v>0.16909940000000001</v>
      </c>
      <c r="X8">
        <f>IF(Backend!Y35="", "", Backend!Y35)</f>
        <v>7.8869745000000005E-2</v>
      </c>
      <c r="Y8">
        <f>IF(Backend!Z35="", "", Backend!Z35)</f>
        <v>0.23252255999999999</v>
      </c>
      <c r="Z8">
        <f>IF(Backend!AA35="", "", Backend!AA35)</f>
        <v>7.4997519999999998E-2</v>
      </c>
      <c r="AA8">
        <f>IF(Backend!AB35="", "", Backend!AB35)</f>
        <v>2.98947E-2</v>
      </c>
      <c r="AB8">
        <f>IF(Backend!AC35="", "", Backend!AC35)</f>
        <v>0.23379572000000001</v>
      </c>
      <c r="AC8">
        <f>IF(Backend!AD35="", "", Backend!AD35)</f>
        <v>0.22604072</v>
      </c>
      <c r="AD8">
        <f>IF(Backend!AE35="", "", Backend!AE35)</f>
        <v>0.15629771000000001</v>
      </c>
      <c r="AE8">
        <f>IF(Backend!AF35="", "", Backend!AF35)</f>
        <v>0.20698543</v>
      </c>
      <c r="AF8">
        <f>IF(Backend!AG35="", "", Backend!AG35)</f>
        <v>5.2585109999999996E-3</v>
      </c>
      <c r="AG8">
        <f>IF(Backend!AH35="", "", Backend!AH35)</f>
        <v>0.23356366000000001</v>
      </c>
      <c r="AH8">
        <f>IF(Backend!AI35="", "", Backend!AI35)</f>
        <v>0.105211444</v>
      </c>
      <c r="AI8">
        <f>IF(Backend!AJ35="", "", Backend!AJ35)</f>
        <v>0.15255003</v>
      </c>
      <c r="AJ8">
        <f>IF(Backend!AK35="", "", Backend!AK35)</f>
        <v>3.7213049999999998E-2</v>
      </c>
      <c r="AK8">
        <f>IF(Backend!AL35="", "", Backend!AL35)</f>
        <v>3.5090685000000003E-2</v>
      </c>
      <c r="AL8">
        <f>IF(Backend!AM35="", "", Backend!AM35)</f>
        <v>3.1156102000000001E-2</v>
      </c>
      <c r="AM8">
        <f>IF(Backend!AN35="", "", Backend!AN35)</f>
        <v>0.17763424</v>
      </c>
      <c r="AN8">
        <f>IF(Backend!AO35="", "", Backend!AO35)</f>
        <v>0.12843104999999999</v>
      </c>
      <c r="AO8">
        <f>IF(Backend!AP35="", "", Backend!AP35)</f>
        <v>8.2410949999999997E-2</v>
      </c>
      <c r="AP8">
        <f>IF(Backend!AQ35="", "", Backend!AQ35)</f>
        <v>0.16033295</v>
      </c>
      <c r="AQ8">
        <f>IF(Backend!AR35="", "", Backend!AR35)</f>
        <v>0.112823956</v>
      </c>
      <c r="AR8">
        <f>IF(Backend!AS35="", "", Backend!AS35)</f>
        <v>9.1918940000000005E-2</v>
      </c>
      <c r="AS8">
        <f>IF(Backend!AT35="", "", Backend!AT35)</f>
        <v>0.13496627999999999</v>
      </c>
      <c r="AT8">
        <f>IF(Backend!AU35="", "", Backend!AU35)</f>
        <v>9.2396006000000003E-2</v>
      </c>
      <c r="AU8">
        <f>IF(Backend!AV35="", "", Backend!AV35)</f>
        <v>0.16587180000000001</v>
      </c>
      <c r="AV8">
        <f>IF(Backend!AW35="", "", Backend!AW35)</f>
        <v>0.20078865000000001</v>
      </c>
      <c r="AW8">
        <f>IF(Backend!AX35="", "", Backend!AX35)</f>
        <v>0.21013322000000001</v>
      </c>
      <c r="AX8">
        <f>IF(Backend!AY35="", "", Backend!AY35)</f>
        <v>0.21844538999999999</v>
      </c>
      <c r="AY8">
        <f>IF(Backend!AZ35="", "", Backend!AZ35)</f>
        <v>0.24097673999999999</v>
      </c>
      <c r="AZ8">
        <f>IF(Backend!BA35="", "", Backend!BA35)</f>
        <v>6.815889E-2</v>
      </c>
      <c r="BA8">
        <f>IF(Backend!BB35="", "", Backend!BB35)</f>
        <v>0.17733148000000001</v>
      </c>
      <c r="BB8">
        <f>IF(Backend!BC35="", "", Backend!BC35)</f>
        <v>5.8938865E-2</v>
      </c>
      <c r="BC8">
        <f>IF(Backend!BD35="", "", Backend!BD35)</f>
        <v>0.19347212999999999</v>
      </c>
      <c r="BD8">
        <f>IF(Backend!BE35="", "", Backend!BE35)</f>
        <v>7.8499449999999998E-2</v>
      </c>
      <c r="BE8">
        <f>IF(Backend!BF35="", "", Backend!BF35)</f>
        <v>0.21164237</v>
      </c>
      <c r="BF8">
        <f>IF(Backend!BG35="", "", Backend!BG35)</f>
        <v>6.8006319999999995E-2</v>
      </c>
      <c r="BG8">
        <f>IF(Backend!BH35="", "", Backend!BH35)</f>
        <v>0.18918884999999999</v>
      </c>
      <c r="BH8">
        <f>IF(Backend!BI35="", "", Backend!BI35)</f>
        <v>0.13112860000000001</v>
      </c>
      <c r="BI8" t="str">
        <f>IF(Backend!BJ35="", "", Backend!BJ35)</f>
        <v/>
      </c>
      <c r="BJ8" t="str">
        <f>IF(Backend!BK35="", "", Backend!BK35)</f>
        <v/>
      </c>
      <c r="BK8" t="str">
        <f>IF(Backend!BL35="", "", Backend!BL35)</f>
        <v/>
      </c>
      <c r="BL8" t="str">
        <f>IF(Backend!BM35="", "", Backend!BM35)</f>
        <v/>
      </c>
      <c r="BM8" t="str">
        <f>IF(Backend!BN35="", "", Backend!BN35)</f>
        <v/>
      </c>
      <c r="BN8" t="str">
        <f>IF(Backend!BO35="", "", Backend!BO35)</f>
        <v/>
      </c>
      <c r="BO8" t="str">
        <f>IF(Backend!BP35="", "", Backend!BP35)</f>
        <v/>
      </c>
      <c r="BP8" t="str">
        <f>IF(Backend!BQ35="", "", Backend!BQ35)</f>
        <v/>
      </c>
      <c r="BQ8" t="str">
        <f>IF(Backend!BR35="", "", Backend!BR35)</f>
        <v/>
      </c>
      <c r="BR8" t="str">
        <f>IF(Backend!BS35="", "", Backend!BS35)</f>
        <v/>
      </c>
      <c r="BS8" t="str">
        <f>IF(Backend!BT35="", "", Backend!BT35)</f>
        <v/>
      </c>
      <c r="BT8" t="str">
        <f>IF(Backend!BU35="", "", Backend!BU35)</f>
        <v/>
      </c>
      <c r="BU8" t="str">
        <f>IF(Backend!BV35="", "", Backend!BV35)</f>
        <v/>
      </c>
      <c r="BV8" t="str">
        <f>IF(Backend!BW35="", "", Backend!BW35)</f>
        <v/>
      </c>
      <c r="BW8" t="str">
        <f>IF(Backend!BX35="", "", Backend!BX35)</f>
        <v/>
      </c>
      <c r="BX8" t="str">
        <f>IF(Backend!BY35="", "", Backend!BY35)</f>
        <v/>
      </c>
      <c r="BY8" t="str">
        <f>IF(Backend!BZ35="", "", Backend!BZ35)</f>
        <v/>
      </c>
      <c r="BZ8" t="str">
        <f>IF(Backend!CA35="", "", Backend!CA35)</f>
        <v/>
      </c>
      <c r="CA8" t="str">
        <f>IF(Backend!CB35="", "", Backend!CB35)</f>
        <v/>
      </c>
      <c r="CB8" t="str">
        <f>IF(Backend!CC35="", "", Backend!CC35)</f>
        <v/>
      </c>
      <c r="CC8" t="str">
        <f>IF(Backend!CD35="", "", Backend!CD35)</f>
        <v/>
      </c>
    </row>
    <row r="9" spans="1:81" x14ac:dyDescent="0.25">
      <c r="A9" s="4" t="str">
        <f>IF(Backend!A36="", "", Backend!A36)</f>
        <v>Baidu, Inc. Class A</v>
      </c>
      <c r="B9">
        <f>IF(Backend!C36="", "", Backend!C36)</f>
        <v>0.18713966000000001</v>
      </c>
      <c r="C9">
        <f>IF(Backend!D36="", "", Backend!D36)</f>
        <v>0.24558595</v>
      </c>
      <c r="D9">
        <f>IF(Backend!E36="", "", Backend!E36)</f>
        <v>0.38515212999999998</v>
      </c>
      <c r="E9">
        <f>IF(Backend!F36="", "", Backend!F36)</f>
        <v>0.11218112</v>
      </c>
      <c r="F9">
        <f>IF(Backend!G36="", "", Backend!G36)</f>
        <v>0.28208866999999999</v>
      </c>
      <c r="G9">
        <f>IF(Backend!H36="", "", Backend!H36)</f>
        <v>1</v>
      </c>
      <c r="H9">
        <f>IF(Backend!I36="", "", Backend!I36)</f>
        <v>0.17286283</v>
      </c>
      <c r="I9">
        <f>IF(Backend!J36="", "", Backend!J36)</f>
        <v>0.15218847999999999</v>
      </c>
      <c r="J9">
        <f>IF(Backend!K36="", "", Backend!K36)</f>
        <v>-3.3161762999999997E-2</v>
      </c>
      <c r="K9">
        <f>IF(Backend!L36="", "", Backend!L36)</f>
        <v>7.6805613999999994E-2</v>
      </c>
      <c r="L9">
        <f>IF(Backend!M36="", "", Backend!M36)</f>
        <v>0.21377214999999999</v>
      </c>
      <c r="M9">
        <f>IF(Backend!N36="", "", Backend!N36)</f>
        <v>2.3438502E-2</v>
      </c>
      <c r="N9">
        <f>IF(Backend!O36="", "", Backend!O36)</f>
        <v>0.15538395999999999</v>
      </c>
      <c r="O9">
        <f>IF(Backend!P36="", "", Backend!P36)</f>
        <v>0.17138945</v>
      </c>
      <c r="P9">
        <f>IF(Backend!Q36="", "", Backend!Q36)</f>
        <v>0.18730856000000001</v>
      </c>
      <c r="Q9">
        <f>IF(Backend!R36="", "", Backend!R36)</f>
        <v>0.13930941999999999</v>
      </c>
      <c r="R9">
        <f>IF(Backend!S36="", "", Backend!S36)</f>
        <v>6.9562139999999995E-2</v>
      </c>
      <c r="S9">
        <f>IF(Backend!T36="", "", Backend!T36)</f>
        <v>9.6776979999999999E-2</v>
      </c>
      <c r="T9">
        <f>IF(Backend!U36="", "", Backend!U36)</f>
        <v>5.8869856999999998E-2</v>
      </c>
      <c r="U9">
        <f>IF(Backend!V36="", "", Backend!V36)</f>
        <v>0.19740953999999999</v>
      </c>
      <c r="V9">
        <f>IF(Backend!W36="", "", Backend!W36)</f>
        <v>6.4321174999999994E-2</v>
      </c>
      <c r="W9">
        <f>IF(Backend!X36="", "", Backend!X36)</f>
        <v>5.9526286999999997E-2</v>
      </c>
      <c r="X9">
        <f>IF(Backend!Y36="", "", Backend!Y36)</f>
        <v>0.23353863</v>
      </c>
      <c r="Y9">
        <f>IF(Backend!Z36="", "", Backend!Z36)</f>
        <v>0.25284863000000002</v>
      </c>
      <c r="Z9">
        <f>IF(Backend!AA36="", "", Backend!AA36)</f>
        <v>1.5571003999999999E-2</v>
      </c>
      <c r="AA9">
        <f>IF(Backend!AB36="", "", Backend!AB36)</f>
        <v>-3.7563480000000003E-2</v>
      </c>
      <c r="AB9">
        <f>IF(Backend!AC36="", "", Backend!AC36)</f>
        <v>0.101971455</v>
      </c>
      <c r="AC9">
        <f>IF(Backend!AD36="", "", Backend!AD36)</f>
        <v>0.13737674</v>
      </c>
      <c r="AD9">
        <f>IF(Backend!AE36="", "", Backend!AE36)</f>
        <v>3.4880225000000001E-2</v>
      </c>
      <c r="AE9">
        <f>IF(Backend!AF36="", "", Backend!AF36)</f>
        <v>5.9619739999999997E-2</v>
      </c>
      <c r="AF9">
        <f>IF(Backend!AG36="", "", Backend!AG36)</f>
        <v>2.9118108E-2</v>
      </c>
      <c r="AG9">
        <f>IF(Backend!AH36="", "", Backend!AH36)</f>
        <v>8.9560340000000002E-2</v>
      </c>
      <c r="AH9">
        <f>IF(Backend!AI36="", "", Backend!AI36)</f>
        <v>-1.6897559999999999E-2</v>
      </c>
      <c r="AI9">
        <f>IF(Backend!AJ36="", "", Backend!AJ36)</f>
        <v>0.12580121999999999</v>
      </c>
      <c r="AJ9">
        <f>IF(Backend!AK36="", "", Backend!AK36)</f>
        <v>0.13609755000000001</v>
      </c>
      <c r="AK9">
        <f>IF(Backend!AL36="", "", Backend!AL36)</f>
        <v>9.606982E-2</v>
      </c>
      <c r="AL9">
        <f>IF(Backend!AM36="", "", Backend!AM36)</f>
        <v>2.2934861000000001E-2</v>
      </c>
      <c r="AM9">
        <f>IF(Backend!AN36="", "", Backend!AN36)</f>
        <v>0.23145977000000001</v>
      </c>
      <c r="AN9">
        <f>IF(Backend!AO36="", "", Backend!AO36)</f>
        <v>0.1449145</v>
      </c>
      <c r="AO9">
        <f>IF(Backend!AP36="", "", Backend!AP36)</f>
        <v>0.24354164</v>
      </c>
      <c r="AP9">
        <f>IF(Backend!AQ36="", "", Backend!AQ36)</f>
        <v>4.1232754000000003E-2</v>
      </c>
      <c r="AQ9">
        <f>IF(Backend!AR36="", "", Backend!AR36)</f>
        <v>0.29266569999999997</v>
      </c>
      <c r="AR9">
        <f>IF(Backend!AS36="", "", Backend!AS36)</f>
        <v>3.9775115E-2</v>
      </c>
      <c r="AS9">
        <f>IF(Backend!AT36="", "", Backend!AT36)</f>
        <v>6.1425140000000003E-2</v>
      </c>
      <c r="AT9">
        <f>IF(Backend!AU36="", "", Backend!AU36)</f>
        <v>0.24364161000000001</v>
      </c>
      <c r="AU9">
        <f>IF(Backend!AV36="", "", Backend!AV36)</f>
        <v>0.12618958999999999</v>
      </c>
      <c r="AV9">
        <f>IF(Backend!AW36="", "", Backend!AW36)</f>
        <v>0.19871105</v>
      </c>
      <c r="AW9">
        <f>IF(Backend!AX36="", "", Backend!AX36)</f>
        <v>0.10451142500000001</v>
      </c>
      <c r="AX9">
        <f>IF(Backend!AY36="", "", Backend!AY36)</f>
        <v>0.26944780000000002</v>
      </c>
      <c r="AY9">
        <f>IF(Backend!AZ36="", "", Backend!AZ36)</f>
        <v>0.14724803</v>
      </c>
      <c r="AZ9">
        <f>IF(Backend!BA36="", "", Backend!BA36)</f>
        <v>0.13840169999999999</v>
      </c>
      <c r="BA9">
        <f>IF(Backend!BB36="", "", Backend!BB36)</f>
        <v>0.18846282</v>
      </c>
      <c r="BB9">
        <f>IF(Backend!BC36="", "", Backend!BC36)</f>
        <v>-3.4492540000000002E-2</v>
      </c>
      <c r="BC9">
        <f>IF(Backend!BD36="", "", Backend!BD36)</f>
        <v>7.2277289999999994E-2</v>
      </c>
      <c r="BD9">
        <f>IF(Backend!BE36="", "", Backend!BE36)</f>
        <v>2.9277530999999999E-2</v>
      </c>
      <c r="BE9">
        <f>IF(Backend!BF36="", "", Backend!BF36)</f>
        <v>0.18033718000000001</v>
      </c>
      <c r="BF9">
        <f>IF(Backend!BG36="", "", Backend!BG36)</f>
        <v>4.6948040000000003E-3</v>
      </c>
      <c r="BG9">
        <f>IF(Backend!BH36="", "", Backend!BH36)</f>
        <v>4.5758675999999998E-2</v>
      </c>
      <c r="BH9">
        <f>IF(Backend!BI36="", "", Backend!BI36)</f>
        <v>4.9816805999999998E-2</v>
      </c>
      <c r="BI9" t="str">
        <f>IF(Backend!BJ36="", "", Backend!BJ36)</f>
        <v/>
      </c>
      <c r="BJ9" t="str">
        <f>IF(Backend!BK36="", "", Backend!BK36)</f>
        <v/>
      </c>
      <c r="BK9" t="str">
        <f>IF(Backend!BL36="", "", Backend!BL36)</f>
        <v/>
      </c>
      <c r="BL9" t="str">
        <f>IF(Backend!BM36="", "", Backend!BM36)</f>
        <v/>
      </c>
      <c r="BM9" t="str">
        <f>IF(Backend!BN36="", "", Backend!BN36)</f>
        <v/>
      </c>
      <c r="BN9" t="str">
        <f>IF(Backend!BO36="", "", Backend!BO36)</f>
        <v/>
      </c>
      <c r="BO9" t="str">
        <f>IF(Backend!BP36="", "", Backend!BP36)</f>
        <v/>
      </c>
      <c r="BP9" t="str">
        <f>IF(Backend!BQ36="", "", Backend!BQ36)</f>
        <v/>
      </c>
      <c r="BQ9" t="str">
        <f>IF(Backend!BR36="", "", Backend!BR36)</f>
        <v/>
      </c>
      <c r="BR9" t="str">
        <f>IF(Backend!BS36="", "", Backend!BS36)</f>
        <v/>
      </c>
      <c r="BS9" t="str">
        <f>IF(Backend!BT36="", "", Backend!BT36)</f>
        <v/>
      </c>
      <c r="BT9" t="str">
        <f>IF(Backend!BU36="", "", Backend!BU36)</f>
        <v/>
      </c>
      <c r="BU9" t="str">
        <f>IF(Backend!BV36="", "", Backend!BV36)</f>
        <v/>
      </c>
      <c r="BV9" t="str">
        <f>IF(Backend!BW36="", "", Backend!BW36)</f>
        <v/>
      </c>
      <c r="BW9" t="str">
        <f>IF(Backend!BX36="", "", Backend!BX36)</f>
        <v/>
      </c>
      <c r="BX9" t="str">
        <f>IF(Backend!BY36="", "", Backend!BY36)</f>
        <v/>
      </c>
      <c r="BY9" t="str">
        <f>IF(Backend!BZ36="", "", Backend!BZ36)</f>
        <v/>
      </c>
      <c r="BZ9" t="str">
        <f>IF(Backend!CA36="", "", Backend!CA36)</f>
        <v/>
      </c>
      <c r="CA9" t="str">
        <f>IF(Backend!CB36="", "", Backend!CB36)</f>
        <v/>
      </c>
      <c r="CB9" t="str">
        <f>IF(Backend!CC36="", "", Backend!CC36)</f>
        <v/>
      </c>
      <c r="CC9" t="str">
        <f>IF(Backend!CD36="", "", Backend!CD36)</f>
        <v/>
      </c>
    </row>
    <row r="10" spans="1:81" x14ac:dyDescent="0.25">
      <c r="A10" s="4" t="str">
        <f>IF(Backend!A37="", "", Backend!A37)</f>
        <v>BASF SE</v>
      </c>
      <c r="B10">
        <f>IF(Backend!C37="", "", Backend!C37)</f>
        <v>0.58397829999999995</v>
      </c>
      <c r="C10">
        <f>IF(Backend!D37="", "", Backend!D37)</f>
        <v>0.49699247000000002</v>
      </c>
      <c r="D10">
        <f>IF(Backend!E37="", "", Backend!E37)</f>
        <v>0.16261686</v>
      </c>
      <c r="E10">
        <f>IF(Backend!F37="", "", Backend!F37)</f>
        <v>0.39639394999999999</v>
      </c>
      <c r="F10">
        <f>IF(Backend!G37="", "", Backend!G37)</f>
        <v>0.22138534000000001</v>
      </c>
      <c r="G10">
        <f>IF(Backend!H37="", "", Backend!H37)</f>
        <v>0.17286283</v>
      </c>
      <c r="H10">
        <f>IF(Backend!I37="", "", Backend!I37)</f>
        <v>1</v>
      </c>
      <c r="I10">
        <f>IF(Backend!J37="", "", Backend!J37)</f>
        <v>0.50157684000000002</v>
      </c>
      <c r="J10">
        <f>IF(Backend!K37="", "", Backend!K37)</f>
        <v>4.6026655E-2</v>
      </c>
      <c r="K10">
        <f>IF(Backend!L37="", "", Backend!L37)</f>
        <v>0.32257318000000001</v>
      </c>
      <c r="L10">
        <f>IF(Backend!M37="", "", Backend!M37)</f>
        <v>0.47170675000000001</v>
      </c>
      <c r="M10">
        <f>IF(Backend!N37="", "", Backend!N37)</f>
        <v>0.34310368000000002</v>
      </c>
      <c r="N10">
        <f>IF(Backend!O37="", "", Backend!O37)</f>
        <v>0.64986089999999996</v>
      </c>
      <c r="O10">
        <f>IF(Backend!P37="", "", Backend!P37)</f>
        <v>0.16760652000000001</v>
      </c>
      <c r="P10">
        <f>IF(Backend!Q37="", "", Backend!Q37)</f>
        <v>0.52300500000000005</v>
      </c>
      <c r="Q10">
        <f>IF(Backend!R37="", "", Backend!R37)</f>
        <v>0.52420069999999996</v>
      </c>
      <c r="R10">
        <f>IF(Backend!S37="", "", Backend!S37)</f>
        <v>0.2632854</v>
      </c>
      <c r="S10">
        <f>IF(Backend!T37="", "", Backend!T37)</f>
        <v>6.1505597000000002E-2</v>
      </c>
      <c r="T10">
        <f>IF(Backend!U37="", "", Backend!U37)</f>
        <v>0.28608724000000002</v>
      </c>
      <c r="U10">
        <f>IF(Backend!V37="", "", Backend!V37)</f>
        <v>0.12476337</v>
      </c>
      <c r="V10">
        <f>IF(Backend!W37="", "", Backend!W37)</f>
        <v>0.26497419999999999</v>
      </c>
      <c r="W10">
        <f>IF(Backend!X37="", "", Backend!X37)</f>
        <v>0.17784554999999999</v>
      </c>
      <c r="X10">
        <f>IF(Backend!Y37="", "", Backend!Y37)</f>
        <v>0.11342368</v>
      </c>
      <c r="Y10">
        <f>IF(Backend!Z37="", "", Backend!Z37)</f>
        <v>0.55289889999999997</v>
      </c>
      <c r="Z10">
        <f>IF(Backend!AA37="", "", Backend!AA37)</f>
        <v>0.27792665</v>
      </c>
      <c r="AA10">
        <f>IF(Backend!AB37="", "", Backend!AB37)</f>
        <v>0.110833295</v>
      </c>
      <c r="AB10">
        <f>IF(Backend!AC37="", "", Backend!AC37)</f>
        <v>0.44210115</v>
      </c>
      <c r="AC10">
        <f>IF(Backend!AD37="", "", Backend!AD37)</f>
        <v>0.42688102</v>
      </c>
      <c r="AD10">
        <f>IF(Backend!AE37="", "", Backend!AE37)</f>
        <v>0.21113420999999999</v>
      </c>
      <c r="AE10">
        <f>IF(Backend!AF37="", "", Backend!AF37)</f>
        <v>0.39829300000000001</v>
      </c>
      <c r="AF10">
        <f>IF(Backend!AG37="", "", Backend!AG37)</f>
        <v>8.6662169999999997E-2</v>
      </c>
      <c r="AG10">
        <f>IF(Backend!AH37="", "", Backend!AH37)</f>
        <v>0.33198673000000001</v>
      </c>
      <c r="AH10">
        <f>IF(Backend!AI37="", "", Backend!AI37)</f>
        <v>0.22068276000000001</v>
      </c>
      <c r="AI10">
        <f>IF(Backend!AJ37="", "", Backend!AJ37)</f>
        <v>0.51832009999999995</v>
      </c>
      <c r="AJ10">
        <f>IF(Backend!AK37="", "", Backend!AK37)</f>
        <v>0.11048277500000001</v>
      </c>
      <c r="AK10">
        <f>IF(Backend!AL37="", "", Backend!AL37)</f>
        <v>9.2945059999999996E-2</v>
      </c>
      <c r="AL10">
        <f>IF(Backend!AM37="", "", Backend!AM37)</f>
        <v>0.12530355000000001</v>
      </c>
      <c r="AM10">
        <f>IF(Backend!AN37="", "", Backend!AN37)</f>
        <v>0.41222456000000002</v>
      </c>
      <c r="AN10">
        <f>IF(Backend!AO37="", "", Backend!AO37)</f>
        <v>0.42036216999999998</v>
      </c>
      <c r="AO10">
        <f>IF(Backend!AP37="", "", Backend!AP37)</f>
        <v>0.2000265</v>
      </c>
      <c r="AP10">
        <f>IF(Backend!AQ37="", "", Backend!AQ37)</f>
        <v>0.24434971999999999</v>
      </c>
      <c r="AQ10">
        <f>IF(Backend!AR37="", "", Backend!AR37)</f>
        <v>0.16238823999999999</v>
      </c>
      <c r="AR10">
        <f>IF(Backend!AS37="", "", Backend!AS37)</f>
        <v>0.27407530000000002</v>
      </c>
      <c r="AS10">
        <f>IF(Backend!AT37="", "", Backend!AT37)</f>
        <v>0.28872692999999999</v>
      </c>
      <c r="AT10">
        <f>IF(Backend!AU37="", "", Backend!AU37)</f>
        <v>0.13911240999999999</v>
      </c>
      <c r="AU10">
        <f>IF(Backend!AV37="", "", Backend!AV37)</f>
        <v>0.61443572999999996</v>
      </c>
      <c r="AV10">
        <f>IF(Backend!AW37="", "", Backend!AW37)</f>
        <v>0.49541970000000002</v>
      </c>
      <c r="AW10">
        <f>IF(Backend!AX37="", "", Backend!AX37)</f>
        <v>0.30816174000000002</v>
      </c>
      <c r="AX10">
        <f>IF(Backend!AY37="", "", Backend!AY37)</f>
        <v>0.52065649999999997</v>
      </c>
      <c r="AY10">
        <f>IF(Backend!AZ37="", "", Backend!AZ37)</f>
        <v>0.36164184999999999</v>
      </c>
      <c r="AZ10">
        <f>IF(Backend!BA37="", "", Backend!BA37)</f>
        <v>0.13901925000000001</v>
      </c>
      <c r="BA10">
        <f>IF(Backend!BB37="", "", Backend!BB37)</f>
        <v>0.29139789999999999</v>
      </c>
      <c r="BB10">
        <f>IF(Backend!BC37="", "", Backend!BC37)</f>
        <v>0.117634356</v>
      </c>
      <c r="BC10">
        <f>IF(Backend!BD37="", "", Backend!BD37)</f>
        <v>0.26557683999999998</v>
      </c>
      <c r="BD10">
        <f>IF(Backend!BE37="", "", Backend!BE37)</f>
        <v>0.35762529999999998</v>
      </c>
      <c r="BE10">
        <f>IF(Backend!BF37="", "", Backend!BF37)</f>
        <v>0.62624049999999998</v>
      </c>
      <c r="BF10">
        <f>IF(Backend!BG37="", "", Backend!BG37)</f>
        <v>0.1702902</v>
      </c>
      <c r="BG10">
        <f>IF(Backend!BH37="", "", Backend!BH37)</f>
        <v>0.26158946999999999</v>
      </c>
      <c r="BH10">
        <f>IF(Backend!BI37="", "", Backend!BI37)</f>
        <v>0.22947455999999999</v>
      </c>
      <c r="BI10" t="str">
        <f>IF(Backend!BJ37="", "", Backend!BJ37)</f>
        <v/>
      </c>
      <c r="BJ10" t="str">
        <f>IF(Backend!BK37="", "", Backend!BK37)</f>
        <v/>
      </c>
      <c r="BK10" t="str">
        <f>IF(Backend!BL37="", "", Backend!BL37)</f>
        <v/>
      </c>
      <c r="BL10" t="str">
        <f>IF(Backend!BM37="", "", Backend!BM37)</f>
        <v/>
      </c>
      <c r="BM10" t="str">
        <f>IF(Backend!BN37="", "", Backend!BN37)</f>
        <v/>
      </c>
      <c r="BN10" t="str">
        <f>IF(Backend!BO37="", "", Backend!BO37)</f>
        <v/>
      </c>
      <c r="BO10" t="str">
        <f>IF(Backend!BP37="", "", Backend!BP37)</f>
        <v/>
      </c>
      <c r="BP10" t="str">
        <f>IF(Backend!BQ37="", "", Backend!BQ37)</f>
        <v/>
      </c>
      <c r="BQ10" t="str">
        <f>IF(Backend!BR37="", "", Backend!BR37)</f>
        <v/>
      </c>
      <c r="BR10" t="str">
        <f>IF(Backend!BS37="", "", Backend!BS37)</f>
        <v/>
      </c>
      <c r="BS10" t="str">
        <f>IF(Backend!BT37="", "", Backend!BT37)</f>
        <v/>
      </c>
      <c r="BT10" t="str">
        <f>IF(Backend!BU37="", "", Backend!BU37)</f>
        <v/>
      </c>
      <c r="BU10" t="str">
        <f>IF(Backend!BV37="", "", Backend!BV37)</f>
        <v/>
      </c>
      <c r="BV10" t="str">
        <f>IF(Backend!BW37="", "", Backend!BW37)</f>
        <v/>
      </c>
      <c r="BW10" t="str">
        <f>IF(Backend!BX37="", "", Backend!BX37)</f>
        <v/>
      </c>
      <c r="BX10" t="str">
        <f>IF(Backend!BY37="", "", Backend!BY37)</f>
        <v/>
      </c>
      <c r="BY10" t="str">
        <f>IF(Backend!BZ37="", "", Backend!BZ37)</f>
        <v/>
      </c>
      <c r="BZ10" t="str">
        <f>IF(Backend!CA37="", "", Backend!CA37)</f>
        <v/>
      </c>
      <c r="CA10" t="str">
        <f>IF(Backend!CB37="", "", Backend!CB37)</f>
        <v/>
      </c>
      <c r="CB10" t="str">
        <f>IF(Backend!CC37="", "", Backend!CC37)</f>
        <v/>
      </c>
      <c r="CC10" t="str">
        <f>IF(Backend!CD37="", "", Backend!CD37)</f>
        <v/>
      </c>
    </row>
    <row r="11" spans="1:81" x14ac:dyDescent="0.25">
      <c r="A11" s="4" t="str">
        <f>IF(Backend!A38="", "", Backend!A38)</f>
        <v>Bayer AG</v>
      </c>
      <c r="B11">
        <f>IF(Backend!C38="", "", Backend!C38)</f>
        <v>0.39164490000000002</v>
      </c>
      <c r="C11">
        <f>IF(Backend!D38="", "", Backend!D38)</f>
        <v>0.32804741999999998</v>
      </c>
      <c r="D11">
        <f>IF(Backend!E38="", "", Backend!E38)</f>
        <v>0.12648934000000001</v>
      </c>
      <c r="E11">
        <f>IF(Backend!F38="", "", Backend!F38)</f>
        <v>0.22450598999999999</v>
      </c>
      <c r="F11">
        <f>IF(Backend!G38="", "", Backend!G38)</f>
        <v>0.1783574</v>
      </c>
      <c r="G11">
        <f>IF(Backend!H38="", "", Backend!H38)</f>
        <v>0.15218847999999999</v>
      </c>
      <c r="H11">
        <f>IF(Backend!I38="", "", Backend!I38)</f>
        <v>0.50157684000000002</v>
      </c>
      <c r="I11">
        <f>IF(Backend!J38="", "", Backend!J38)</f>
        <v>1</v>
      </c>
      <c r="J11">
        <f>IF(Backend!K38="", "", Backend!K38)</f>
        <v>0.17970860999999999</v>
      </c>
      <c r="K11">
        <f>IF(Backend!L38="", "", Backend!L38)</f>
        <v>0.27321023</v>
      </c>
      <c r="L11">
        <f>IF(Backend!M38="", "", Backend!M38)</f>
        <v>0.32778388000000003</v>
      </c>
      <c r="M11">
        <f>IF(Backend!N38="", "", Backend!N38)</f>
        <v>0.29809957999999998</v>
      </c>
      <c r="N11">
        <f>IF(Backend!O38="", "", Backend!O38)</f>
        <v>0.40314610000000001</v>
      </c>
      <c r="O11">
        <f>IF(Backend!P38="", "", Backend!P38)</f>
        <v>0.14631343999999999</v>
      </c>
      <c r="P11">
        <f>IF(Backend!Q38="", "", Backend!Q38)</f>
        <v>0.38016596000000002</v>
      </c>
      <c r="Q11">
        <f>IF(Backend!R38="", "", Backend!R38)</f>
        <v>0.37603726999999998</v>
      </c>
      <c r="R11">
        <f>IF(Backend!S38="", "", Backend!S38)</f>
        <v>0.35018376000000001</v>
      </c>
      <c r="S11">
        <f>IF(Backend!T38="", "", Backend!T38)</f>
        <v>0.11698209499999999</v>
      </c>
      <c r="T11">
        <f>IF(Backend!U38="", "", Backend!U38)</f>
        <v>0.18306157000000001</v>
      </c>
      <c r="U11">
        <f>IF(Backend!V38="", "", Backend!V38)</f>
        <v>5.2054499999999997E-2</v>
      </c>
      <c r="V11">
        <f>IF(Backend!W38="", "", Backend!W38)</f>
        <v>0.14245532</v>
      </c>
      <c r="W11">
        <f>IF(Backend!X38="", "", Backend!X38)</f>
        <v>0.12817603</v>
      </c>
      <c r="X11">
        <f>IF(Backend!Y38="", "", Backend!Y38)</f>
        <v>7.45947E-2</v>
      </c>
      <c r="Y11">
        <f>IF(Backend!Z38="", "", Backend!Z38)</f>
        <v>0.38052340000000001</v>
      </c>
      <c r="Z11">
        <f>IF(Backend!AA38="", "", Backend!AA38)</f>
        <v>0.28517239999999999</v>
      </c>
      <c r="AA11">
        <f>IF(Backend!AB38="", "", Backend!AB38)</f>
        <v>0.11295729</v>
      </c>
      <c r="AB11">
        <f>IF(Backend!AC38="", "", Backend!AC38)</f>
        <v>0.24379359</v>
      </c>
      <c r="AC11">
        <f>IF(Backend!AD38="", "", Backend!AD38)</f>
        <v>0.22644</v>
      </c>
      <c r="AD11">
        <f>IF(Backend!AE38="", "", Backend!AE38)</f>
        <v>8.6407065000000005E-2</v>
      </c>
      <c r="AE11">
        <f>IF(Backend!AF38="", "", Backend!AF38)</f>
        <v>0.21613170000000001</v>
      </c>
      <c r="AF11">
        <f>IF(Backend!AG38="", "", Backend!AG38)</f>
        <v>0.11234039</v>
      </c>
      <c r="AG11">
        <f>IF(Backend!AH38="", "", Backend!AH38)</f>
        <v>0.19858940999999999</v>
      </c>
      <c r="AH11">
        <f>IF(Backend!AI38="", "", Backend!AI38)</f>
        <v>0.10971255000000001</v>
      </c>
      <c r="AI11">
        <f>IF(Backend!AJ38="", "", Backend!AJ38)</f>
        <v>0.37212124000000002</v>
      </c>
      <c r="AJ11">
        <f>IF(Backend!AK38="", "", Backend!AK38)</f>
        <v>0.112034306</v>
      </c>
      <c r="AK11">
        <f>IF(Backend!AL38="", "", Backend!AL38)</f>
        <v>0.10828794</v>
      </c>
      <c r="AL11">
        <f>IF(Backend!AM38="", "", Backend!AM38)</f>
        <v>0.19156912000000001</v>
      </c>
      <c r="AM11">
        <f>IF(Backend!AN38="", "", Backend!AN38)</f>
        <v>0.27716079999999998</v>
      </c>
      <c r="AN11">
        <f>IF(Backend!AO38="", "", Backend!AO38)</f>
        <v>0.28715370000000001</v>
      </c>
      <c r="AO11">
        <f>IF(Backend!AP38="", "", Backend!AP38)</f>
        <v>0.21861146000000001</v>
      </c>
      <c r="AP11">
        <f>IF(Backend!AQ38="", "", Backend!AQ38)</f>
        <v>0.108912565</v>
      </c>
      <c r="AQ11">
        <f>IF(Backend!AR38="", "", Backend!AR38)</f>
        <v>0.12764494000000001</v>
      </c>
      <c r="AR11">
        <f>IF(Backend!AS38="", "", Backend!AS38)</f>
        <v>0.39283245999999999</v>
      </c>
      <c r="AS11">
        <f>IF(Backend!AT38="", "", Backend!AT38)</f>
        <v>0.30958790000000003</v>
      </c>
      <c r="AT11">
        <f>IF(Backend!AU38="", "", Backend!AU38)</f>
        <v>0.10563913</v>
      </c>
      <c r="AU11">
        <f>IF(Backend!AV38="", "", Backend!AV38)</f>
        <v>0.40558714000000001</v>
      </c>
      <c r="AV11">
        <f>IF(Backend!AW38="", "", Backend!AW38)</f>
        <v>0.33661464000000002</v>
      </c>
      <c r="AW11">
        <f>IF(Backend!AX38="", "", Backend!AX38)</f>
        <v>0.19430612</v>
      </c>
      <c r="AX11">
        <f>IF(Backend!AY38="", "", Backend!AY38)</f>
        <v>0.32963144999999999</v>
      </c>
      <c r="AY11">
        <f>IF(Backend!AZ38="", "", Backend!AZ38)</f>
        <v>0.22059269000000001</v>
      </c>
      <c r="AZ11">
        <f>IF(Backend!BA38="", "", Backend!BA38)</f>
        <v>0.15196058000000001</v>
      </c>
      <c r="BA11">
        <f>IF(Backend!BB38="", "", Backend!BB38)</f>
        <v>0.23455875000000001</v>
      </c>
      <c r="BB11">
        <f>IF(Backend!BC38="", "", Backend!BC38)</f>
        <v>0.10577816499999999</v>
      </c>
      <c r="BC11">
        <f>IF(Backend!BD38="", "", Backend!BD38)</f>
        <v>0.23700160000000001</v>
      </c>
      <c r="BD11">
        <f>IF(Backend!BE38="", "", Backend!BE38)</f>
        <v>0.34853013999999999</v>
      </c>
      <c r="BE11">
        <f>IF(Backend!BF38="", "", Backend!BF38)</f>
        <v>0.40551424000000003</v>
      </c>
      <c r="BF11">
        <f>IF(Backend!BG38="", "", Backend!BG38)</f>
        <v>0.13743018000000001</v>
      </c>
      <c r="BG11">
        <f>IF(Backend!BH38="", "", Backend!BH38)</f>
        <v>0.17352803</v>
      </c>
      <c r="BH11">
        <f>IF(Backend!BI38="", "", Backend!BI38)</f>
        <v>0.14339519000000001</v>
      </c>
      <c r="BI11" t="str">
        <f>IF(Backend!BJ38="", "", Backend!BJ38)</f>
        <v/>
      </c>
      <c r="BJ11" t="str">
        <f>IF(Backend!BK38="", "", Backend!BK38)</f>
        <v/>
      </c>
      <c r="BK11" t="str">
        <f>IF(Backend!BL38="", "", Backend!BL38)</f>
        <v/>
      </c>
      <c r="BL11" t="str">
        <f>IF(Backend!BM38="", "", Backend!BM38)</f>
        <v/>
      </c>
      <c r="BM11" t="str">
        <f>IF(Backend!BN38="", "", Backend!BN38)</f>
        <v/>
      </c>
      <c r="BN11" t="str">
        <f>IF(Backend!BO38="", "", Backend!BO38)</f>
        <v/>
      </c>
      <c r="BO11" t="str">
        <f>IF(Backend!BP38="", "", Backend!BP38)</f>
        <v/>
      </c>
      <c r="BP11" t="str">
        <f>IF(Backend!BQ38="", "", Backend!BQ38)</f>
        <v/>
      </c>
      <c r="BQ11" t="str">
        <f>IF(Backend!BR38="", "", Backend!BR38)</f>
        <v/>
      </c>
      <c r="BR11" t="str">
        <f>IF(Backend!BS38="", "", Backend!BS38)</f>
        <v/>
      </c>
      <c r="BS11" t="str">
        <f>IF(Backend!BT38="", "", Backend!BT38)</f>
        <v/>
      </c>
      <c r="BT11" t="str">
        <f>IF(Backend!BU38="", "", Backend!BU38)</f>
        <v/>
      </c>
      <c r="BU11" t="str">
        <f>IF(Backend!BV38="", "", Backend!BV38)</f>
        <v/>
      </c>
      <c r="BV11" t="str">
        <f>IF(Backend!BW38="", "", Backend!BW38)</f>
        <v/>
      </c>
      <c r="BW11" t="str">
        <f>IF(Backend!BX38="", "", Backend!BX38)</f>
        <v/>
      </c>
      <c r="BX11" t="str">
        <f>IF(Backend!BY38="", "", Backend!BY38)</f>
        <v/>
      </c>
      <c r="BY11" t="str">
        <f>IF(Backend!BZ38="", "", Backend!BZ38)</f>
        <v/>
      </c>
      <c r="BZ11" t="str">
        <f>IF(Backend!CA38="", "", Backend!CA38)</f>
        <v/>
      </c>
      <c r="CA11" t="str">
        <f>IF(Backend!CB38="", "", Backend!CB38)</f>
        <v/>
      </c>
      <c r="CB11" t="str">
        <f>IF(Backend!CC38="", "", Backend!CC38)</f>
        <v/>
      </c>
      <c r="CC11" t="str">
        <f>IF(Backend!CD38="", "", Backend!CD38)</f>
        <v/>
      </c>
    </row>
    <row r="12" spans="1:81" x14ac:dyDescent="0.25">
      <c r="A12" s="4" t="str">
        <f>IF(Backend!A39="", "", Backend!A39)</f>
        <v>Bristol-Myers Squibb Company</v>
      </c>
      <c r="B12">
        <f>IF(Backend!C39="", "", Backend!C39)</f>
        <v>4.5512206999999999E-2</v>
      </c>
      <c r="C12">
        <f>IF(Backend!D39="", "", Backend!D39)</f>
        <v>3.9772460000000003E-3</v>
      </c>
      <c r="D12">
        <f>IF(Backend!E39="", "", Backend!E39)</f>
        <v>6.0530566000000001E-2</v>
      </c>
      <c r="E12">
        <f>IF(Backend!F39="", "", Backend!F39)</f>
        <v>9.6634104999999998E-2</v>
      </c>
      <c r="F12">
        <f>IF(Backend!G39="", "", Backend!G39)</f>
        <v>5.0155974999999998E-2</v>
      </c>
      <c r="G12">
        <f>IF(Backend!H39="", "", Backend!H39)</f>
        <v>-3.3161762999999997E-2</v>
      </c>
      <c r="H12">
        <f>IF(Backend!I39="", "", Backend!I39)</f>
        <v>4.6026655E-2</v>
      </c>
      <c r="I12">
        <f>IF(Backend!J39="", "", Backend!J39)</f>
        <v>0.17970860999999999</v>
      </c>
      <c r="J12">
        <f>IF(Backend!K39="", "", Backend!K39)</f>
        <v>1</v>
      </c>
      <c r="K12">
        <f>IF(Backend!L39="", "", Backend!L39)</f>
        <v>9.7486644999999997E-2</v>
      </c>
      <c r="L12">
        <f>IF(Backend!M39="", "", Backend!M39)</f>
        <v>1.6223310000000001E-2</v>
      </c>
      <c r="M12">
        <f>IF(Backend!N39="", "", Backend!N39)</f>
        <v>1.9878204999999999E-2</v>
      </c>
      <c r="N12">
        <f>IF(Backend!O39="", "", Backend!O39)</f>
        <v>4.7989544000000002E-2</v>
      </c>
      <c r="O12">
        <f>IF(Backend!P39="", "", Backend!P39)</f>
        <v>1.1468804000000001E-2</v>
      </c>
      <c r="P12">
        <f>IF(Backend!Q39="", "", Backend!Q39)</f>
        <v>3.906739E-2</v>
      </c>
      <c r="Q12">
        <f>IF(Backend!R39="", "", Backend!R39)</f>
        <v>4.3117410000000002E-2</v>
      </c>
      <c r="R12">
        <f>IF(Backend!S39="", "", Backend!S39)</f>
        <v>0.24124144</v>
      </c>
      <c r="S12">
        <f>IF(Backend!T39="", "", Backend!T39)</f>
        <v>-2.5161894000000001E-2</v>
      </c>
      <c r="T12">
        <f>IF(Backend!U39="", "", Backend!U39)</f>
        <v>0.15081222</v>
      </c>
      <c r="U12">
        <f>IF(Backend!V39="", "", Backend!V39)</f>
        <v>9.6381910000000008E-3</v>
      </c>
      <c r="V12">
        <f>IF(Backend!W39="", "", Backend!W39)</f>
        <v>0.11235003</v>
      </c>
      <c r="W12">
        <f>IF(Backend!X39="", "", Backend!X39)</f>
        <v>8.2754225000000001E-2</v>
      </c>
      <c r="X12">
        <f>IF(Backend!Y39="", "", Backend!Y39)</f>
        <v>-1.3518405000000001E-2</v>
      </c>
      <c r="Y12">
        <f>IF(Backend!Z39="", "", Backend!Z39)</f>
        <v>6.252576E-2</v>
      </c>
      <c r="Z12">
        <f>IF(Backend!AA39="", "", Backend!AA39)</f>
        <v>6.1601400000000001E-2</v>
      </c>
      <c r="AA12">
        <f>IF(Backend!AB39="", "", Backend!AB39)</f>
        <v>0.23448189999999999</v>
      </c>
      <c r="AB12">
        <f>IF(Backend!AC39="", "", Backend!AC39)</f>
        <v>0.16839682</v>
      </c>
      <c r="AC12">
        <f>IF(Backend!AD39="", "", Backend!AD39)</f>
        <v>0.18141277</v>
      </c>
      <c r="AD12">
        <f>IF(Backend!AE39="", "", Backend!AE39)</f>
        <v>0.10737439999999999</v>
      </c>
      <c r="AE12">
        <f>IF(Backend!AF39="", "", Backend!AF39)</f>
        <v>0.20463814999999999</v>
      </c>
      <c r="AF12">
        <f>IF(Backend!AG39="", "", Backend!AG39)</f>
        <v>1.3564672999999999E-2</v>
      </c>
      <c r="AG12">
        <f>IF(Backend!AH39="", "", Backend!AH39)</f>
        <v>0.20788386</v>
      </c>
      <c r="AH12">
        <f>IF(Backend!AI39="", "", Backend!AI39)</f>
        <v>0.21476322</v>
      </c>
      <c r="AI12">
        <f>IF(Backend!AJ39="", "", Backend!AJ39)</f>
        <v>5.8254269999999997E-2</v>
      </c>
      <c r="AJ12">
        <f>IF(Backend!AK39="", "", Backend!AK39)</f>
        <v>7.8891090000000001E-3</v>
      </c>
      <c r="AK12">
        <f>IF(Backend!AL39="", "", Backend!AL39)</f>
        <v>2.9668060999999999E-2</v>
      </c>
      <c r="AL12">
        <f>IF(Backend!AM39="", "", Backend!AM39)</f>
        <v>0.43334286999999999</v>
      </c>
      <c r="AM12">
        <f>IF(Backend!AN39="", "", Backend!AN39)</f>
        <v>4.8643350000000002E-2</v>
      </c>
      <c r="AN12">
        <f>IF(Backend!AO39="", "", Backend!AO39)</f>
        <v>6.1033299999999999E-2</v>
      </c>
      <c r="AO12">
        <f>IF(Backend!AP39="", "", Backend!AP39)</f>
        <v>8.8093354999999995E-3</v>
      </c>
      <c r="AP12">
        <f>IF(Backend!AQ39="", "", Backend!AQ39)</f>
        <v>0.16404073</v>
      </c>
      <c r="AQ12">
        <f>IF(Backend!AR39="", "", Backend!AR39)</f>
        <v>-4.6675573999999997E-2</v>
      </c>
      <c r="AR12">
        <f>IF(Backend!AS39="", "", Backend!AS39)</f>
        <v>0.22779896999999999</v>
      </c>
      <c r="AS12">
        <f>IF(Backend!AT39="", "", Backend!AT39)</f>
        <v>5.0166782E-2</v>
      </c>
      <c r="AT12">
        <f>IF(Backend!AU39="", "", Backend!AU39)</f>
        <v>5.1958229999999996E-3</v>
      </c>
      <c r="AU12">
        <f>IF(Backend!AV39="", "", Backend!AV39)</f>
        <v>2.2300402E-2</v>
      </c>
      <c r="AV12">
        <f>IF(Backend!AW39="", "", Backend!AW39)</f>
        <v>6.6408190000000006E-2</v>
      </c>
      <c r="AW12">
        <f>IF(Backend!AX39="", "", Backend!AX39)</f>
        <v>0.22393566000000001</v>
      </c>
      <c r="AX12">
        <f>IF(Backend!AY39="", "", Backend!AY39)</f>
        <v>4.7395613000000003E-2</v>
      </c>
      <c r="AY12">
        <f>IF(Backend!AZ39="", "", Backend!AZ39)</f>
        <v>8.8818439999999999E-2</v>
      </c>
      <c r="AZ12">
        <f>IF(Backend!BA39="", "", Backend!BA39)</f>
        <v>6.6571459999999999E-2</v>
      </c>
      <c r="BA12">
        <f>IF(Backend!BB39="", "", Backend!BB39)</f>
        <v>2.6704367E-2</v>
      </c>
      <c r="BB12">
        <f>IF(Backend!BC39="", "", Backend!BC39)</f>
        <v>0.23524706000000001</v>
      </c>
      <c r="BC12">
        <f>IF(Backend!BD39="", "", Backend!BD39)</f>
        <v>0.2707928</v>
      </c>
      <c r="BD12">
        <f>IF(Backend!BE39="", "", Backend!BE39)</f>
        <v>0.12812741</v>
      </c>
      <c r="BE12">
        <f>IF(Backend!BF39="", "", Backend!BF39)</f>
        <v>8.409664E-2</v>
      </c>
      <c r="BF12">
        <f>IF(Backend!BG39="", "", Backend!BG39)</f>
        <v>0.21326134999999999</v>
      </c>
      <c r="BG12">
        <f>IF(Backend!BH39="", "", Backend!BH39)</f>
        <v>0.25574980000000003</v>
      </c>
      <c r="BH12">
        <f>IF(Backend!BI39="", "", Backend!BI39)</f>
        <v>0.17553252</v>
      </c>
      <c r="BI12" t="str">
        <f>IF(Backend!BJ39="", "", Backend!BJ39)</f>
        <v/>
      </c>
      <c r="BJ12" t="str">
        <f>IF(Backend!BK39="", "", Backend!BK39)</f>
        <v/>
      </c>
      <c r="BK12" t="str">
        <f>IF(Backend!BL39="", "", Backend!BL39)</f>
        <v/>
      </c>
      <c r="BL12" t="str">
        <f>IF(Backend!BM39="", "", Backend!BM39)</f>
        <v/>
      </c>
      <c r="BM12" t="str">
        <f>IF(Backend!BN39="", "", Backend!BN39)</f>
        <v/>
      </c>
      <c r="BN12" t="str">
        <f>IF(Backend!BO39="", "", Backend!BO39)</f>
        <v/>
      </c>
      <c r="BO12" t="str">
        <f>IF(Backend!BP39="", "", Backend!BP39)</f>
        <v/>
      </c>
      <c r="BP12" t="str">
        <f>IF(Backend!BQ39="", "", Backend!BQ39)</f>
        <v/>
      </c>
      <c r="BQ12" t="str">
        <f>IF(Backend!BR39="", "", Backend!BR39)</f>
        <v/>
      </c>
      <c r="BR12" t="str">
        <f>IF(Backend!BS39="", "", Backend!BS39)</f>
        <v/>
      </c>
      <c r="BS12" t="str">
        <f>IF(Backend!BT39="", "", Backend!BT39)</f>
        <v/>
      </c>
      <c r="BT12" t="str">
        <f>IF(Backend!BU39="", "", Backend!BU39)</f>
        <v/>
      </c>
      <c r="BU12" t="str">
        <f>IF(Backend!BV39="", "", Backend!BV39)</f>
        <v/>
      </c>
      <c r="BV12" t="str">
        <f>IF(Backend!BW39="", "", Backend!BW39)</f>
        <v/>
      </c>
      <c r="BW12" t="str">
        <f>IF(Backend!BX39="", "", Backend!BX39)</f>
        <v/>
      </c>
      <c r="BX12" t="str">
        <f>IF(Backend!BY39="", "", Backend!BY39)</f>
        <v/>
      </c>
      <c r="BY12" t="str">
        <f>IF(Backend!BZ39="", "", Backend!BZ39)</f>
        <v/>
      </c>
      <c r="BZ12" t="str">
        <f>IF(Backend!CA39="", "", Backend!CA39)</f>
        <v/>
      </c>
      <c r="CA12" t="str">
        <f>IF(Backend!CB39="", "", Backend!CB39)</f>
        <v/>
      </c>
      <c r="CB12" t="str">
        <f>IF(Backend!CC39="", "", Backend!CC39)</f>
        <v/>
      </c>
      <c r="CC12" t="str">
        <f>IF(Backend!CD39="", "", Backend!CD39)</f>
        <v/>
      </c>
    </row>
    <row r="13" spans="1:81" x14ac:dyDescent="0.25">
      <c r="A13" s="4" t="str">
        <f>IF(Backend!A40="", "", Backend!A40)</f>
        <v>BT Group plc</v>
      </c>
      <c r="B13">
        <f>IF(Backend!C40="", "", Backend!C40)</f>
        <v>0.32664569999999998</v>
      </c>
      <c r="C13">
        <f>IF(Backend!D40="", "", Backend!D40)</f>
        <v>0.26483834000000001</v>
      </c>
      <c r="D13">
        <f>IF(Backend!E40="", "", Backend!E40)</f>
        <v>9.9050890000000003E-2</v>
      </c>
      <c r="E13">
        <f>IF(Backend!F40="", "", Backend!F40)</f>
        <v>0.16366695000000001</v>
      </c>
      <c r="F13">
        <f>IF(Backend!G40="", "", Backend!G40)</f>
        <v>8.2928310000000005E-2</v>
      </c>
      <c r="G13">
        <f>IF(Backend!H40="", "", Backend!H40)</f>
        <v>7.6805613999999994E-2</v>
      </c>
      <c r="H13">
        <f>IF(Backend!I40="", "", Backend!I40)</f>
        <v>0.32257318000000001</v>
      </c>
      <c r="I13">
        <f>IF(Backend!J40="", "", Backend!J40)</f>
        <v>0.27321023</v>
      </c>
      <c r="J13">
        <f>IF(Backend!K40="", "", Backend!K40)</f>
        <v>9.7486644999999997E-2</v>
      </c>
      <c r="K13">
        <f>IF(Backend!L40="", "", Backend!L40)</f>
        <v>1</v>
      </c>
      <c r="L13">
        <f>IF(Backend!M40="", "", Backend!M40)</f>
        <v>0.28521088</v>
      </c>
      <c r="M13">
        <f>IF(Backend!N40="", "", Backend!N40)</f>
        <v>0.26148473999999999</v>
      </c>
      <c r="N13">
        <f>IF(Backend!O40="", "", Backend!O40)</f>
        <v>0.31309775000000001</v>
      </c>
      <c r="O13">
        <f>IF(Backend!P40="", "", Backend!P40)</f>
        <v>0.17426421</v>
      </c>
      <c r="P13">
        <f>IF(Backend!Q40="", "", Backend!Q40)</f>
        <v>0.36636796999999999</v>
      </c>
      <c r="Q13">
        <f>IF(Backend!R40="", "", Backend!R40)</f>
        <v>0.34775423999999999</v>
      </c>
      <c r="R13">
        <f>IF(Backend!S40="", "", Backend!S40)</f>
        <v>0.26558545</v>
      </c>
      <c r="S13">
        <f>IF(Backend!T40="", "", Backend!T40)</f>
        <v>9.3546790000000005E-2</v>
      </c>
      <c r="T13">
        <f>IF(Backend!U40="", "", Backend!U40)</f>
        <v>0.13503575000000001</v>
      </c>
      <c r="U13">
        <f>IF(Backend!V40="", "", Backend!V40)</f>
        <v>0.12392105</v>
      </c>
      <c r="V13">
        <f>IF(Backend!W40="", "", Backend!W40)</f>
        <v>9.1592019999999996E-2</v>
      </c>
      <c r="W13">
        <f>IF(Backend!X40="", "", Backend!X40)</f>
        <v>9.6063174000000001E-2</v>
      </c>
      <c r="X13">
        <f>IF(Backend!Y40="", "", Backend!Y40)</f>
        <v>0.13967379999999999</v>
      </c>
      <c r="Y13">
        <f>IF(Backend!Z40="", "", Backend!Z40)</f>
        <v>0.25506299999999998</v>
      </c>
      <c r="Z13">
        <f>IF(Backend!AA40="", "", Backend!AA40)</f>
        <v>0.23886731</v>
      </c>
      <c r="AA13">
        <f>IF(Backend!AB40="", "", Backend!AB40)</f>
        <v>0.12269262</v>
      </c>
      <c r="AB13">
        <f>IF(Backend!AC40="", "", Backend!AC40)</f>
        <v>0.17925068999999999</v>
      </c>
      <c r="AC13">
        <f>IF(Backend!AD40="", "", Backend!AD40)</f>
        <v>0.15181078000000001</v>
      </c>
      <c r="AD13">
        <f>IF(Backend!AE40="", "", Backend!AE40)</f>
        <v>8.1264450000000002E-2</v>
      </c>
      <c r="AE13">
        <f>IF(Backend!AF40="", "", Backend!AF40)</f>
        <v>0.1919496</v>
      </c>
      <c r="AF13">
        <f>IF(Backend!AG40="", "", Backend!AG40)</f>
        <v>9.4026830000000006E-2</v>
      </c>
      <c r="AG13">
        <f>IF(Backend!AH40="", "", Backend!AH40)</f>
        <v>0.15499835000000001</v>
      </c>
      <c r="AH13">
        <f>IF(Backend!AI40="", "", Backend!AI40)</f>
        <v>0.18644848</v>
      </c>
      <c r="AI13">
        <f>IF(Backend!AJ40="", "", Backend!AJ40)</f>
        <v>0.40697232</v>
      </c>
      <c r="AJ13">
        <f>IF(Backend!AK40="", "", Backend!AK40)</f>
        <v>0.111709185</v>
      </c>
      <c r="AK13">
        <f>IF(Backend!AL40="", "", Backend!AL40)</f>
        <v>0.10762499</v>
      </c>
      <c r="AL13">
        <f>IF(Backend!AM40="", "", Backend!AM40)</f>
        <v>9.6086980000000002E-2</v>
      </c>
      <c r="AM13">
        <f>IF(Backend!AN40="", "", Backend!AN40)</f>
        <v>0.19196379999999999</v>
      </c>
      <c r="AN13">
        <f>IF(Backend!AO40="", "", Backend!AO40)</f>
        <v>0.29833162000000002</v>
      </c>
      <c r="AO13">
        <f>IF(Backend!AP40="", "", Backend!AP40)</f>
        <v>0.13282666000000001</v>
      </c>
      <c r="AP13">
        <f>IF(Backend!AQ40="", "", Backend!AQ40)</f>
        <v>0.13052484</v>
      </c>
      <c r="AQ13">
        <f>IF(Backend!AR40="", "", Backend!AR40)</f>
        <v>0.16880907000000001</v>
      </c>
      <c r="AR13">
        <f>IF(Backend!AS40="", "", Backend!AS40)</f>
        <v>0.20029984000000001</v>
      </c>
      <c r="AS13">
        <f>IF(Backend!AT40="", "", Backend!AT40)</f>
        <v>0.26795340000000001</v>
      </c>
      <c r="AT13">
        <f>IF(Backend!AU40="", "", Backend!AU40)</f>
        <v>0.14833887000000001</v>
      </c>
      <c r="AU13">
        <f>IF(Backend!AV40="", "", Backend!AV40)</f>
        <v>0.34899964999999999</v>
      </c>
      <c r="AV13">
        <f>IF(Backend!AW40="", "", Backend!AW40)</f>
        <v>0.32249165000000002</v>
      </c>
      <c r="AW13">
        <f>IF(Backend!AX40="", "", Backend!AX40)</f>
        <v>0.14078889999999999</v>
      </c>
      <c r="AX13">
        <f>IF(Backend!AY40="", "", Backend!AY40)</f>
        <v>0.26642206000000002</v>
      </c>
      <c r="AY13">
        <f>IF(Backend!AZ40="", "", Backend!AZ40)</f>
        <v>0.19218260000000001</v>
      </c>
      <c r="AZ13">
        <f>IF(Backend!BA40="", "", Backend!BA40)</f>
        <v>0.1622779</v>
      </c>
      <c r="BA13">
        <f>IF(Backend!BB40="", "", Backend!BB40)</f>
        <v>0.17713893999999999</v>
      </c>
      <c r="BB13">
        <f>IF(Backend!BC40="", "", Backend!BC40)</f>
        <v>0.20932730999999999</v>
      </c>
      <c r="BC13">
        <f>IF(Backend!BD40="", "", Backend!BD40)</f>
        <v>0.16019902999999999</v>
      </c>
      <c r="BD13">
        <f>IF(Backend!BE40="", "", Backend!BE40)</f>
        <v>0.53881049999999997</v>
      </c>
      <c r="BE13">
        <f>IF(Backend!BF40="", "", Backend!BF40)</f>
        <v>0.33944755999999998</v>
      </c>
      <c r="BF13">
        <f>IF(Backend!BG40="", "", Backend!BG40)</f>
        <v>0.13867539000000001</v>
      </c>
      <c r="BG13">
        <f>IF(Backend!BH40="", "", Backend!BH40)</f>
        <v>0.18218865000000001</v>
      </c>
      <c r="BH13">
        <f>IF(Backend!BI40="", "", Backend!BI40)</f>
        <v>0.14585213</v>
      </c>
      <c r="BI13" t="str">
        <f>IF(Backend!BJ40="", "", Backend!BJ40)</f>
        <v/>
      </c>
      <c r="BJ13" t="str">
        <f>IF(Backend!BK40="", "", Backend!BK40)</f>
        <v/>
      </c>
      <c r="BK13" t="str">
        <f>IF(Backend!BL40="", "", Backend!BL40)</f>
        <v/>
      </c>
      <c r="BL13" t="str">
        <f>IF(Backend!BM40="", "", Backend!BM40)</f>
        <v/>
      </c>
      <c r="BM13" t="str">
        <f>IF(Backend!BN40="", "", Backend!BN40)</f>
        <v/>
      </c>
      <c r="BN13" t="str">
        <f>IF(Backend!BO40="", "", Backend!BO40)</f>
        <v/>
      </c>
      <c r="BO13" t="str">
        <f>IF(Backend!BP40="", "", Backend!BP40)</f>
        <v/>
      </c>
      <c r="BP13" t="str">
        <f>IF(Backend!BQ40="", "", Backend!BQ40)</f>
        <v/>
      </c>
      <c r="BQ13" t="str">
        <f>IF(Backend!BR40="", "", Backend!BR40)</f>
        <v/>
      </c>
      <c r="BR13" t="str">
        <f>IF(Backend!BS40="", "", Backend!BS40)</f>
        <v/>
      </c>
      <c r="BS13" t="str">
        <f>IF(Backend!BT40="", "", Backend!BT40)</f>
        <v/>
      </c>
      <c r="BT13" t="str">
        <f>IF(Backend!BU40="", "", Backend!BU40)</f>
        <v/>
      </c>
      <c r="BU13" t="str">
        <f>IF(Backend!BV40="", "", Backend!BV40)</f>
        <v/>
      </c>
      <c r="BV13" t="str">
        <f>IF(Backend!BW40="", "", Backend!BW40)</f>
        <v/>
      </c>
      <c r="BW13" t="str">
        <f>IF(Backend!BX40="", "", Backend!BX40)</f>
        <v/>
      </c>
      <c r="BX13" t="str">
        <f>IF(Backend!BY40="", "", Backend!BY40)</f>
        <v/>
      </c>
      <c r="BY13" t="str">
        <f>IF(Backend!BZ40="", "", Backend!BZ40)</f>
        <v/>
      </c>
      <c r="BZ13" t="str">
        <f>IF(Backend!CA40="", "", Backend!CA40)</f>
        <v/>
      </c>
      <c r="CA13" t="str">
        <f>IF(Backend!CB40="", "", Backend!CB40)</f>
        <v/>
      </c>
      <c r="CB13" t="str">
        <f>IF(Backend!CC40="", "", Backend!CC40)</f>
        <v/>
      </c>
      <c r="CC13" t="str">
        <f>IF(Backend!CD40="", "", Backend!CD40)</f>
        <v/>
      </c>
    </row>
    <row r="14" spans="1:81" x14ac:dyDescent="0.25">
      <c r="A14" s="4" t="str">
        <f>IF(Backend!A41="", "", Backend!A41)</f>
        <v>Burberry Group plc</v>
      </c>
      <c r="B14">
        <f>IF(Backend!C41="", "", Backend!C41)</f>
        <v>0.43294632</v>
      </c>
      <c r="C14">
        <f>IF(Backend!D41="", "", Backend!D41)</f>
        <v>0.40039469999999999</v>
      </c>
      <c r="D14">
        <f>IF(Backend!E41="", "", Backend!E41)</f>
        <v>0.16386202999999999</v>
      </c>
      <c r="E14">
        <f>IF(Backend!F41="", "", Backend!F41)</f>
        <v>0.25423726000000002</v>
      </c>
      <c r="F14">
        <f>IF(Backend!G41="", "", Backend!G41)</f>
        <v>0.19378798</v>
      </c>
      <c r="G14">
        <f>IF(Backend!H41="", "", Backend!H41)</f>
        <v>0.21377214999999999</v>
      </c>
      <c r="H14">
        <f>IF(Backend!I41="", "", Backend!I41)</f>
        <v>0.47170675000000001</v>
      </c>
      <c r="I14">
        <f>IF(Backend!J41="", "", Backend!J41)</f>
        <v>0.32778388000000003</v>
      </c>
      <c r="J14">
        <f>IF(Backend!K41="", "", Backend!K41)</f>
        <v>1.6223310000000001E-2</v>
      </c>
      <c r="K14">
        <f>IF(Backend!L41="", "", Backend!L41)</f>
        <v>0.28521088</v>
      </c>
      <c r="L14">
        <f>IF(Backend!M41="", "", Backend!M41)</f>
        <v>1</v>
      </c>
      <c r="M14">
        <f>IF(Backend!N41="", "", Backend!N41)</f>
        <v>0.23582321000000001</v>
      </c>
      <c r="N14">
        <f>IF(Backend!O41="", "", Backend!O41)</f>
        <v>0.41810150000000001</v>
      </c>
      <c r="O14">
        <f>IF(Backend!P41="", "", Backend!P41)</f>
        <v>0.14484985</v>
      </c>
      <c r="P14">
        <f>IF(Backend!Q41="", "", Backend!Q41)</f>
        <v>0.46616992000000002</v>
      </c>
      <c r="Q14">
        <f>IF(Backend!R41="", "", Backend!R41)</f>
        <v>0.37274373</v>
      </c>
      <c r="R14">
        <f>IF(Backend!S41="", "", Backend!S41)</f>
        <v>0.22010089999999999</v>
      </c>
      <c r="S14">
        <f>IF(Backend!T41="", "", Backend!T41)</f>
        <v>7.6597445E-2</v>
      </c>
      <c r="T14">
        <f>IF(Backend!U41="", "", Backend!U41)</f>
        <v>0.13717712000000001</v>
      </c>
      <c r="U14">
        <f>IF(Backend!V41="", "", Backend!V41)</f>
        <v>0.10975981999999999</v>
      </c>
      <c r="V14">
        <f>IF(Backend!W41="", "", Backend!W41)</f>
        <v>0.18849631999999999</v>
      </c>
      <c r="W14">
        <f>IF(Backend!X41="", "", Backend!X41)</f>
        <v>9.5191814E-2</v>
      </c>
      <c r="X14">
        <f>IF(Backend!Y41="", "", Backend!Y41)</f>
        <v>0.11580456</v>
      </c>
      <c r="Y14">
        <f>IF(Backend!Z41="", "", Backend!Z41)</f>
        <v>0.62563959999999996</v>
      </c>
      <c r="Z14">
        <f>IF(Backend!AA41="", "", Backend!AA41)</f>
        <v>0.19669776</v>
      </c>
      <c r="AA14">
        <f>IF(Backend!AB41="", "", Backend!AB41)</f>
        <v>3.6212741999999999E-2</v>
      </c>
      <c r="AB14">
        <f>IF(Backend!AC41="", "", Backend!AC41)</f>
        <v>0.25635530000000001</v>
      </c>
      <c r="AC14">
        <f>IF(Backend!AD41="", "", Backend!AD41)</f>
        <v>0.22015499999999999</v>
      </c>
      <c r="AD14">
        <f>IF(Backend!AE41="", "", Backend!AE41)</f>
        <v>0.18268309999999999</v>
      </c>
      <c r="AE14">
        <f>IF(Backend!AF41="", "", Backend!AF41)</f>
        <v>0.23934512999999999</v>
      </c>
      <c r="AF14">
        <f>IF(Backend!AG41="", "", Backend!AG41)</f>
        <v>6.1221194E-2</v>
      </c>
      <c r="AG14">
        <f>IF(Backend!AH41="", "", Backend!AH41)</f>
        <v>0.21409726000000001</v>
      </c>
      <c r="AH14">
        <f>IF(Backend!AI41="", "", Backend!AI41)</f>
        <v>0.13434662999999999</v>
      </c>
      <c r="AI14">
        <f>IF(Backend!AJ41="", "", Backend!AJ41)</f>
        <v>0.39552015000000001</v>
      </c>
      <c r="AJ14">
        <f>IF(Backend!AK41="", "", Backend!AK41)</f>
        <v>0.11131075999999999</v>
      </c>
      <c r="AK14">
        <f>IF(Backend!AL41="", "", Backend!AL41)</f>
        <v>6.6500075000000006E-2</v>
      </c>
      <c r="AL14">
        <f>IF(Backend!AM41="", "", Backend!AM41)</f>
        <v>2.4806133000000001E-2</v>
      </c>
      <c r="AM14">
        <f>IF(Backend!AN41="", "", Backend!AN41)</f>
        <v>0.37030548000000002</v>
      </c>
      <c r="AN14">
        <f>IF(Backend!AO41="", "", Backend!AO41)</f>
        <v>0.30927645999999998</v>
      </c>
      <c r="AO14">
        <f>IF(Backend!AP41="", "", Backend!AP41)</f>
        <v>0.121679604</v>
      </c>
      <c r="AP14">
        <f>IF(Backend!AQ41="", "", Backend!AQ41)</f>
        <v>0.2150763</v>
      </c>
      <c r="AQ14">
        <f>IF(Backend!AR41="", "", Backend!AR41)</f>
        <v>0.12927930000000001</v>
      </c>
      <c r="AR14">
        <f>IF(Backend!AS41="", "", Backend!AS41)</f>
        <v>0.21525910000000001</v>
      </c>
      <c r="AS14">
        <f>IF(Backend!AT41="", "", Backend!AT41)</f>
        <v>0.20312511999999999</v>
      </c>
      <c r="AT14">
        <f>IF(Backend!AU41="", "", Backend!AU41)</f>
        <v>0.15040717000000001</v>
      </c>
      <c r="AU14">
        <f>IF(Backend!AV41="", "", Backend!AV41)</f>
        <v>0.40065770000000001</v>
      </c>
      <c r="AV14">
        <f>IF(Backend!AW41="", "", Backend!AW41)</f>
        <v>0.40342185000000003</v>
      </c>
      <c r="AW14">
        <f>IF(Backend!AX41="", "", Backend!AX41)</f>
        <v>0.21381054999999999</v>
      </c>
      <c r="AX14">
        <f>IF(Backend!AY41="", "", Backend!AY41)</f>
        <v>0.55656015999999997</v>
      </c>
      <c r="AY14">
        <f>IF(Backend!AZ41="", "", Backend!AZ41)</f>
        <v>0.21651211000000001</v>
      </c>
      <c r="AZ14">
        <f>IF(Backend!BA41="", "", Backend!BA41)</f>
        <v>0.118296556</v>
      </c>
      <c r="BA14">
        <f>IF(Backend!BB41="", "", Backend!BB41)</f>
        <v>0.2413409</v>
      </c>
      <c r="BB14">
        <f>IF(Backend!BC41="", "", Backend!BC41)</f>
        <v>3.7332480000000001E-2</v>
      </c>
      <c r="BC14">
        <f>IF(Backend!BD41="", "", Backend!BD41)</f>
        <v>0.17562069</v>
      </c>
      <c r="BD14">
        <f>IF(Backend!BE41="", "", Backend!BE41)</f>
        <v>0.26424120000000001</v>
      </c>
      <c r="BE14">
        <f>IF(Backend!BF41="", "", Backend!BF41)</f>
        <v>0.40338552</v>
      </c>
      <c r="BF14">
        <f>IF(Backend!BG41="", "", Backend!BG41)</f>
        <v>0.12999837</v>
      </c>
      <c r="BG14">
        <f>IF(Backend!BH41="", "", Backend!BH41)</f>
        <v>0.16020197999999999</v>
      </c>
      <c r="BH14">
        <f>IF(Backend!BI41="", "", Backend!BI41)</f>
        <v>0.13960347000000001</v>
      </c>
      <c r="BI14" t="str">
        <f>IF(Backend!BJ41="", "", Backend!BJ41)</f>
        <v/>
      </c>
      <c r="BJ14" t="str">
        <f>IF(Backend!BK41="", "", Backend!BK41)</f>
        <v/>
      </c>
      <c r="BK14" t="str">
        <f>IF(Backend!BL41="", "", Backend!BL41)</f>
        <v/>
      </c>
      <c r="BL14" t="str">
        <f>IF(Backend!BM41="", "", Backend!BM41)</f>
        <v/>
      </c>
      <c r="BM14" t="str">
        <f>IF(Backend!BN41="", "", Backend!BN41)</f>
        <v/>
      </c>
      <c r="BN14" t="str">
        <f>IF(Backend!BO41="", "", Backend!BO41)</f>
        <v/>
      </c>
      <c r="BO14" t="str">
        <f>IF(Backend!BP41="", "", Backend!BP41)</f>
        <v/>
      </c>
      <c r="BP14" t="str">
        <f>IF(Backend!BQ41="", "", Backend!BQ41)</f>
        <v/>
      </c>
      <c r="BQ14" t="str">
        <f>IF(Backend!BR41="", "", Backend!BR41)</f>
        <v/>
      </c>
      <c r="BR14" t="str">
        <f>IF(Backend!BS41="", "", Backend!BS41)</f>
        <v/>
      </c>
      <c r="BS14" t="str">
        <f>IF(Backend!BT41="", "", Backend!BT41)</f>
        <v/>
      </c>
      <c r="BT14" t="str">
        <f>IF(Backend!BU41="", "", Backend!BU41)</f>
        <v/>
      </c>
      <c r="BU14" t="str">
        <f>IF(Backend!BV41="", "", Backend!BV41)</f>
        <v/>
      </c>
      <c r="BV14" t="str">
        <f>IF(Backend!BW41="", "", Backend!BW41)</f>
        <v/>
      </c>
      <c r="BW14" t="str">
        <f>IF(Backend!BX41="", "", Backend!BX41)</f>
        <v/>
      </c>
      <c r="BX14" t="str">
        <f>IF(Backend!BY41="", "", Backend!BY41)</f>
        <v/>
      </c>
      <c r="BY14" t="str">
        <f>IF(Backend!BZ41="", "", Backend!BZ41)</f>
        <v/>
      </c>
      <c r="BZ14" t="str">
        <f>IF(Backend!CA41="", "", Backend!CA41)</f>
        <v/>
      </c>
      <c r="CA14" t="str">
        <f>IF(Backend!CB41="", "", Backend!CB41)</f>
        <v/>
      </c>
      <c r="CB14" t="str">
        <f>IF(Backend!CC41="", "", Backend!CC41)</f>
        <v/>
      </c>
      <c r="CC14" t="str">
        <f>IF(Backend!CD41="", "", Backend!CD41)</f>
        <v/>
      </c>
    </row>
    <row r="15" spans="1:81" x14ac:dyDescent="0.25">
      <c r="A15" s="4" t="str">
        <f>IF(Backend!A42="", "", Backend!A42)</f>
        <v>Carrefour SA</v>
      </c>
      <c r="B15">
        <f>IF(Backend!C42="", "", Backend!C42)</f>
        <v>0.29648681999999998</v>
      </c>
      <c r="C15">
        <f>IF(Backend!D42="", "", Backend!D42)</f>
        <v>0.2219083</v>
      </c>
      <c r="D15">
        <f>IF(Backend!E42="", "", Backend!E42)</f>
        <v>4.913928E-2</v>
      </c>
      <c r="E15">
        <f>IF(Backend!F42="", "", Backend!F42)</f>
        <v>0.14983840000000001</v>
      </c>
      <c r="F15">
        <f>IF(Backend!G42="", "", Backend!G42)</f>
        <v>3.6464725000000003E-2</v>
      </c>
      <c r="G15">
        <f>IF(Backend!H42="", "", Backend!H42)</f>
        <v>2.3438502E-2</v>
      </c>
      <c r="H15">
        <f>IF(Backend!I42="", "", Backend!I42)</f>
        <v>0.34310368000000002</v>
      </c>
      <c r="I15">
        <f>IF(Backend!J42="", "", Backend!J42)</f>
        <v>0.29809957999999998</v>
      </c>
      <c r="J15">
        <f>IF(Backend!K42="", "", Backend!K42)</f>
        <v>1.9878204999999999E-2</v>
      </c>
      <c r="K15">
        <f>IF(Backend!L42="", "", Backend!L42)</f>
        <v>0.26148473999999999</v>
      </c>
      <c r="L15">
        <f>IF(Backend!M42="", "", Backend!M42)</f>
        <v>0.23582321000000001</v>
      </c>
      <c r="M15">
        <f>IF(Backend!N42="", "", Backend!N42)</f>
        <v>1</v>
      </c>
      <c r="N15">
        <f>IF(Backend!O42="", "", Backend!O42)</f>
        <v>0.31058118000000001</v>
      </c>
      <c r="O15">
        <f>IF(Backend!P42="", "", Backend!P42)</f>
        <v>6.3583485999999995E-2</v>
      </c>
      <c r="P15">
        <f>IF(Backend!Q42="", "", Backend!Q42)</f>
        <v>0.29691606999999998</v>
      </c>
      <c r="Q15">
        <f>IF(Backend!R42="", "", Backend!R42)</f>
        <v>0.31378946000000002</v>
      </c>
      <c r="R15">
        <f>IF(Backend!S42="", "", Backend!S42)</f>
        <v>0.17484461000000001</v>
      </c>
      <c r="S15">
        <f>IF(Backend!T42="", "", Backend!T42)</f>
        <v>7.7350210000000003E-2</v>
      </c>
      <c r="T15">
        <f>IF(Backend!U42="", "", Backend!U42)</f>
        <v>9.9286990000000006E-2</v>
      </c>
      <c r="U15">
        <f>IF(Backend!V42="", "", Backend!V42)</f>
        <v>5.0768689999999998E-2</v>
      </c>
      <c r="V15">
        <f>IF(Backend!W42="", "", Backend!W42)</f>
        <v>7.9658955000000004E-2</v>
      </c>
      <c r="W15">
        <f>IF(Backend!X42="", "", Backend!X42)</f>
        <v>3.1134953999999999E-2</v>
      </c>
      <c r="X15">
        <f>IF(Backend!Y42="", "", Backend!Y42)</f>
        <v>0.10325086</v>
      </c>
      <c r="Y15">
        <f>IF(Backend!Z42="", "", Backend!Z42)</f>
        <v>0.26606651999999997</v>
      </c>
      <c r="Z15">
        <f>IF(Backend!AA42="", "", Backend!AA42)</f>
        <v>0.46898967000000003</v>
      </c>
      <c r="AA15">
        <f>IF(Backend!AB42="", "", Backend!AB42)</f>
        <v>0.11170633000000001</v>
      </c>
      <c r="AB15">
        <f>IF(Backend!AC42="", "", Backend!AC42)</f>
        <v>0.16430573000000001</v>
      </c>
      <c r="AC15">
        <f>IF(Backend!AD42="", "", Backend!AD42)</f>
        <v>0.16612798000000001</v>
      </c>
      <c r="AD15">
        <f>IF(Backend!AE42="", "", Backend!AE42)</f>
        <v>8.9061609999999999E-2</v>
      </c>
      <c r="AE15">
        <f>IF(Backend!AF42="", "", Backend!AF42)</f>
        <v>0.15114454999999999</v>
      </c>
      <c r="AF15">
        <f>IF(Backend!AG42="", "", Backend!AG42)</f>
        <v>3.355292E-2</v>
      </c>
      <c r="AG15">
        <f>IF(Backend!AH42="", "", Backend!AH42)</f>
        <v>0.12551256999999999</v>
      </c>
      <c r="AH15">
        <f>IF(Backend!AI42="", "", Backend!AI42)</f>
        <v>0.16677205000000001</v>
      </c>
      <c r="AI15">
        <f>IF(Backend!AJ42="", "", Backend!AJ42)</f>
        <v>0.26248517999999998</v>
      </c>
      <c r="AJ15">
        <f>IF(Backend!AK42="", "", Backend!AK42)</f>
        <v>6.0145400000000002E-2</v>
      </c>
      <c r="AK15">
        <f>IF(Backend!AL42="", "", Backend!AL42)</f>
        <v>4.1014200000000001E-2</v>
      </c>
      <c r="AL15">
        <f>IF(Backend!AM42="", "", Backend!AM42)</f>
        <v>9.4735749999999994E-2</v>
      </c>
      <c r="AM15">
        <f>IF(Backend!AN42="", "", Backend!AN42)</f>
        <v>0.20357111</v>
      </c>
      <c r="AN15">
        <f>IF(Backend!AO42="", "", Backend!AO42)</f>
        <v>0.22343177</v>
      </c>
      <c r="AO15">
        <f>IF(Backend!AP42="", "", Backend!AP42)</f>
        <v>6.9757244999999996E-2</v>
      </c>
      <c r="AP15">
        <f>IF(Backend!AQ42="", "", Backend!AQ42)</f>
        <v>7.9230159999999994E-2</v>
      </c>
      <c r="AQ15">
        <f>IF(Backend!AR42="", "", Backend!AR42)</f>
        <v>8.4445580000000006E-2</v>
      </c>
      <c r="AR15">
        <f>IF(Backend!AS42="", "", Backend!AS42)</f>
        <v>0.2025082</v>
      </c>
      <c r="AS15">
        <f>IF(Backend!AT42="", "", Backend!AT42)</f>
        <v>0.23004958</v>
      </c>
      <c r="AT15">
        <f>IF(Backend!AU42="", "", Backend!AU42)</f>
        <v>0.12330624</v>
      </c>
      <c r="AU15">
        <f>IF(Backend!AV42="", "", Backend!AV42)</f>
        <v>0.35326985</v>
      </c>
      <c r="AV15">
        <f>IF(Backend!AW42="", "", Backend!AW42)</f>
        <v>0.23584695</v>
      </c>
      <c r="AW15">
        <f>IF(Backend!AX42="", "", Backend!AX42)</f>
        <v>0.109791264</v>
      </c>
      <c r="AX15">
        <f>IF(Backend!AY42="", "", Backend!AY42)</f>
        <v>0.2188705</v>
      </c>
      <c r="AY15">
        <f>IF(Backend!AZ42="", "", Backend!AZ42)</f>
        <v>0.18843508</v>
      </c>
      <c r="AZ15">
        <f>IF(Backend!BA42="", "", Backend!BA42)</f>
        <v>8.9951950000000003E-2</v>
      </c>
      <c r="BA15">
        <f>IF(Backend!BB42="", "", Backend!BB42)</f>
        <v>0.14838672999999999</v>
      </c>
      <c r="BB15">
        <f>IF(Backend!BC42="", "", Backend!BC42)</f>
        <v>0.11391561</v>
      </c>
      <c r="BC15">
        <f>IF(Backend!BD42="", "", Backend!BD42)</f>
        <v>0.12679608000000001</v>
      </c>
      <c r="BD15">
        <f>IF(Backend!BE42="", "", Backend!BE42)</f>
        <v>0.27987033</v>
      </c>
      <c r="BE15">
        <f>IF(Backend!BF42="", "", Backend!BF42)</f>
        <v>0.26799857999999999</v>
      </c>
      <c r="BF15">
        <f>IF(Backend!BG42="", "", Backend!BG42)</f>
        <v>0.101600595</v>
      </c>
      <c r="BG15">
        <f>IF(Backend!BH42="", "", Backend!BH42)</f>
        <v>0.11065005999999999</v>
      </c>
      <c r="BH15">
        <f>IF(Backend!BI42="", "", Backend!BI42)</f>
        <v>0.10826337</v>
      </c>
      <c r="BI15" t="str">
        <f>IF(Backend!BJ42="", "", Backend!BJ42)</f>
        <v/>
      </c>
      <c r="BJ15" t="str">
        <f>IF(Backend!BK42="", "", Backend!BK42)</f>
        <v/>
      </c>
      <c r="BK15" t="str">
        <f>IF(Backend!BL42="", "", Backend!BL42)</f>
        <v/>
      </c>
      <c r="BL15" t="str">
        <f>IF(Backend!BM42="", "", Backend!BM42)</f>
        <v/>
      </c>
      <c r="BM15" t="str">
        <f>IF(Backend!BN42="", "", Backend!BN42)</f>
        <v/>
      </c>
      <c r="BN15" t="str">
        <f>IF(Backend!BO42="", "", Backend!BO42)</f>
        <v/>
      </c>
      <c r="BO15" t="str">
        <f>IF(Backend!BP42="", "", Backend!BP42)</f>
        <v/>
      </c>
      <c r="BP15" t="str">
        <f>IF(Backend!BQ42="", "", Backend!BQ42)</f>
        <v/>
      </c>
      <c r="BQ15" t="str">
        <f>IF(Backend!BR42="", "", Backend!BR42)</f>
        <v/>
      </c>
      <c r="BR15" t="str">
        <f>IF(Backend!BS42="", "", Backend!BS42)</f>
        <v/>
      </c>
      <c r="BS15" t="str">
        <f>IF(Backend!BT42="", "", Backend!BT42)</f>
        <v/>
      </c>
      <c r="BT15" t="str">
        <f>IF(Backend!BU42="", "", Backend!BU42)</f>
        <v/>
      </c>
      <c r="BU15" t="str">
        <f>IF(Backend!BV42="", "", Backend!BV42)</f>
        <v/>
      </c>
      <c r="BV15" t="str">
        <f>IF(Backend!BW42="", "", Backend!BW42)</f>
        <v/>
      </c>
      <c r="BW15" t="str">
        <f>IF(Backend!BX42="", "", Backend!BX42)</f>
        <v/>
      </c>
      <c r="BX15" t="str">
        <f>IF(Backend!BY42="", "", Backend!BY42)</f>
        <v/>
      </c>
      <c r="BY15" t="str">
        <f>IF(Backend!BZ42="", "", Backend!BZ42)</f>
        <v/>
      </c>
      <c r="BZ15" t="str">
        <f>IF(Backend!CA42="", "", Backend!CA42)</f>
        <v/>
      </c>
      <c r="CA15" t="str">
        <f>IF(Backend!CB42="", "", Backend!CB42)</f>
        <v/>
      </c>
      <c r="CB15" t="str">
        <f>IF(Backend!CC42="", "", Backend!CC42)</f>
        <v/>
      </c>
      <c r="CC15" t="str">
        <f>IF(Backend!CD42="", "", Backend!CD42)</f>
        <v/>
      </c>
    </row>
    <row r="16" spans="1:81" x14ac:dyDescent="0.25">
      <c r="A16" s="4" t="str">
        <f>IF(Backend!A43="", "", Backend!A43)</f>
        <v>Continental AG</v>
      </c>
      <c r="B16">
        <f>IF(Backend!C43="", "", Backend!C43)</f>
        <v>0.51597923000000001</v>
      </c>
      <c r="C16">
        <f>IF(Backend!D43="", "", Backend!D43)</f>
        <v>0.38348606000000002</v>
      </c>
      <c r="D16">
        <f>IF(Backend!E43="", "", Backend!E43)</f>
        <v>6.6979919999999998E-2</v>
      </c>
      <c r="E16">
        <f>IF(Backend!F43="", "", Backend!F43)</f>
        <v>0.4171376</v>
      </c>
      <c r="F16">
        <f>IF(Backend!G43="", "", Backend!G43)</f>
        <v>0.19803022000000001</v>
      </c>
      <c r="G16">
        <f>IF(Backend!H43="", "", Backend!H43)</f>
        <v>0.15538395999999999</v>
      </c>
      <c r="H16">
        <f>IF(Backend!I43="", "", Backend!I43)</f>
        <v>0.64986089999999996</v>
      </c>
      <c r="I16">
        <f>IF(Backend!J43="", "", Backend!J43)</f>
        <v>0.40314610000000001</v>
      </c>
      <c r="J16">
        <f>IF(Backend!K43="", "", Backend!K43)</f>
        <v>4.7989544000000002E-2</v>
      </c>
      <c r="K16">
        <f>IF(Backend!L43="", "", Backend!L43)</f>
        <v>0.31309775000000001</v>
      </c>
      <c r="L16">
        <f>IF(Backend!M43="", "", Backend!M43)</f>
        <v>0.41810150000000001</v>
      </c>
      <c r="M16">
        <f>IF(Backend!N43="", "", Backend!N43)</f>
        <v>0.31058118000000001</v>
      </c>
      <c r="N16">
        <f>IF(Backend!O43="", "", Backend!O43)</f>
        <v>1</v>
      </c>
      <c r="O16">
        <f>IF(Backend!P43="", "", Backend!P43)</f>
        <v>0.11671045400000001</v>
      </c>
      <c r="P16">
        <f>IF(Backend!Q43="", "", Backend!Q43)</f>
        <v>0.48347074000000001</v>
      </c>
      <c r="Q16">
        <f>IF(Backend!R43="", "", Backend!R43)</f>
        <v>0.43663210000000002</v>
      </c>
      <c r="R16">
        <f>IF(Backend!S43="", "", Backend!S43)</f>
        <v>0.20008493999999999</v>
      </c>
      <c r="S16">
        <f>IF(Backend!T43="", "", Backend!T43)</f>
        <v>7.2240509999999994E-2</v>
      </c>
      <c r="T16">
        <f>IF(Backend!U43="", "", Backend!U43)</f>
        <v>0.22913106</v>
      </c>
      <c r="U16">
        <f>IF(Backend!V43="", "", Backend!V43)</f>
        <v>0.12442810999999999</v>
      </c>
      <c r="V16">
        <f>IF(Backend!W43="", "", Backend!W43)</f>
        <v>0.23016976</v>
      </c>
      <c r="W16">
        <f>IF(Backend!X43="", "", Backend!X43)</f>
        <v>0.16326526999999999</v>
      </c>
      <c r="X16">
        <f>IF(Backend!Y43="", "", Backend!Y43)</f>
        <v>9.5270389999999996E-2</v>
      </c>
      <c r="Y16">
        <f>IF(Backend!Z43="", "", Backend!Z43)</f>
        <v>0.4847455</v>
      </c>
      <c r="Z16">
        <f>IF(Backend!AA43="", "", Backend!AA43)</f>
        <v>0.24180131999999999</v>
      </c>
      <c r="AA16">
        <f>IF(Backend!AB43="", "", Backend!AB43)</f>
        <v>5.4988883000000002E-2</v>
      </c>
      <c r="AB16">
        <f>IF(Backend!AC43="", "", Backend!AC43)</f>
        <v>0.44105703000000002</v>
      </c>
      <c r="AC16">
        <f>IF(Backend!AD43="", "", Backend!AD43)</f>
        <v>0.30402817999999998</v>
      </c>
      <c r="AD16">
        <f>IF(Backend!AE43="", "", Backend!AE43)</f>
        <v>0.20812005</v>
      </c>
      <c r="AE16">
        <f>IF(Backend!AF43="", "", Backend!AF43)</f>
        <v>0.34109319999999999</v>
      </c>
      <c r="AF16">
        <f>IF(Backend!AG43="", "", Backend!AG43)</f>
        <v>8.3445039999999998E-2</v>
      </c>
      <c r="AG16">
        <f>IF(Backend!AH43="", "", Backend!AH43)</f>
        <v>0.33313860000000001</v>
      </c>
      <c r="AH16">
        <f>IF(Backend!AI43="", "", Backend!AI43)</f>
        <v>0.20033570000000001</v>
      </c>
      <c r="AI16">
        <f>IF(Backend!AJ43="", "", Backend!AJ43)</f>
        <v>0.49137184</v>
      </c>
      <c r="AJ16">
        <f>IF(Backend!AK43="", "", Backend!AK43)</f>
        <v>0.10381844</v>
      </c>
      <c r="AK16">
        <f>IF(Backend!AL43="", "", Backend!AL43)</f>
        <v>5.4321149999999999E-2</v>
      </c>
      <c r="AL16">
        <f>IF(Backend!AM43="", "", Backend!AM43)</f>
        <v>8.5481390000000004E-2</v>
      </c>
      <c r="AM16">
        <f>IF(Backend!AN43="", "", Backend!AN43)</f>
        <v>0.38078496000000001</v>
      </c>
      <c r="AN16">
        <f>IF(Backend!AO43="", "", Backend!AO43)</f>
        <v>0.33105003999999999</v>
      </c>
      <c r="AO16">
        <f>IF(Backend!AP43="", "", Backend!AP43)</f>
        <v>0.19569056000000001</v>
      </c>
      <c r="AP16">
        <f>IF(Backend!AQ43="", "", Backend!AQ43)</f>
        <v>0.22152151</v>
      </c>
      <c r="AQ16">
        <f>IF(Backend!AR43="", "", Backend!AR43)</f>
        <v>0.16376218000000001</v>
      </c>
      <c r="AR16">
        <f>IF(Backend!AS43="", "", Backend!AS43)</f>
        <v>0.21122453999999999</v>
      </c>
      <c r="AS16">
        <f>IF(Backend!AT43="", "", Backend!AT43)</f>
        <v>0.26820095999999999</v>
      </c>
      <c r="AT16">
        <f>IF(Backend!AU43="", "", Backend!AU43)</f>
        <v>0.12838867000000001</v>
      </c>
      <c r="AU16">
        <f>IF(Backend!AV43="", "", Backend!AV43)</f>
        <v>0.56402790000000003</v>
      </c>
      <c r="AV16">
        <f>IF(Backend!AW43="", "", Backend!AW43)</f>
        <v>0.43724960000000002</v>
      </c>
      <c r="AW16">
        <f>IF(Backend!AX43="", "", Backend!AX43)</f>
        <v>0.27402149999999997</v>
      </c>
      <c r="AX16">
        <f>IF(Backend!AY43="", "", Backend!AY43)</f>
        <v>0.48270970000000002</v>
      </c>
      <c r="AY16">
        <f>IF(Backend!AZ43="", "", Backend!AZ43)</f>
        <v>0.29230015999999998</v>
      </c>
      <c r="AZ16">
        <f>IF(Backend!BA43="", "", Backend!BA43)</f>
        <v>0.13997997000000001</v>
      </c>
      <c r="BA16">
        <f>IF(Backend!BB43="", "", Backend!BB43)</f>
        <v>0.22272357000000001</v>
      </c>
      <c r="BB16">
        <f>IF(Backend!BC43="", "", Backend!BC43)</f>
        <v>8.0439090000000005E-2</v>
      </c>
      <c r="BC16">
        <f>IF(Backend!BD43="", "", Backend!BD43)</f>
        <v>0.2548705</v>
      </c>
      <c r="BD16">
        <f>IF(Backend!BE43="", "", Backend!BE43)</f>
        <v>0.30863494000000002</v>
      </c>
      <c r="BE16">
        <f>IF(Backend!BF43="", "", Backend!BF43)</f>
        <v>0.63158380000000003</v>
      </c>
      <c r="BF16">
        <f>IF(Backend!BG43="", "", Backend!BG43)</f>
        <v>0.13432453999999999</v>
      </c>
      <c r="BG16">
        <f>IF(Backend!BH43="", "", Backend!BH43)</f>
        <v>0.23396072000000001</v>
      </c>
      <c r="BH16">
        <f>IF(Backend!BI43="", "", Backend!BI43)</f>
        <v>0.21090992</v>
      </c>
      <c r="BI16" t="str">
        <f>IF(Backend!BJ43="", "", Backend!BJ43)</f>
        <v/>
      </c>
      <c r="BJ16" t="str">
        <f>IF(Backend!BK43="", "", Backend!BK43)</f>
        <v/>
      </c>
      <c r="BK16" t="str">
        <f>IF(Backend!BL43="", "", Backend!BL43)</f>
        <v/>
      </c>
      <c r="BL16" t="str">
        <f>IF(Backend!BM43="", "", Backend!BM43)</f>
        <v/>
      </c>
      <c r="BM16" t="str">
        <f>IF(Backend!BN43="", "", Backend!BN43)</f>
        <v/>
      </c>
      <c r="BN16" t="str">
        <f>IF(Backend!BO43="", "", Backend!BO43)</f>
        <v/>
      </c>
      <c r="BO16" t="str">
        <f>IF(Backend!BP43="", "", Backend!BP43)</f>
        <v/>
      </c>
      <c r="BP16" t="str">
        <f>IF(Backend!BQ43="", "", Backend!BQ43)</f>
        <v/>
      </c>
      <c r="BQ16" t="str">
        <f>IF(Backend!BR43="", "", Backend!BR43)</f>
        <v/>
      </c>
      <c r="BR16" t="str">
        <f>IF(Backend!BS43="", "", Backend!BS43)</f>
        <v/>
      </c>
      <c r="BS16" t="str">
        <f>IF(Backend!BT43="", "", Backend!BT43)</f>
        <v/>
      </c>
      <c r="BT16" t="str">
        <f>IF(Backend!BU43="", "", Backend!BU43)</f>
        <v/>
      </c>
      <c r="BU16" t="str">
        <f>IF(Backend!BV43="", "", Backend!BV43)</f>
        <v/>
      </c>
      <c r="BV16" t="str">
        <f>IF(Backend!BW43="", "", Backend!BW43)</f>
        <v/>
      </c>
      <c r="BW16" t="str">
        <f>IF(Backend!BX43="", "", Backend!BX43)</f>
        <v/>
      </c>
      <c r="BX16" t="str">
        <f>IF(Backend!BY43="", "", Backend!BY43)</f>
        <v/>
      </c>
      <c r="BY16" t="str">
        <f>IF(Backend!BZ43="", "", Backend!BZ43)</f>
        <v/>
      </c>
      <c r="BZ16" t="str">
        <f>IF(Backend!CA43="", "", Backend!CA43)</f>
        <v/>
      </c>
      <c r="CA16" t="str">
        <f>IF(Backend!CB43="", "", Backend!CB43)</f>
        <v/>
      </c>
      <c r="CB16" t="str">
        <f>IF(Backend!CC43="", "", Backend!CC43)</f>
        <v/>
      </c>
      <c r="CC16" t="str">
        <f>IF(Backend!CD43="", "", Backend!CD43)</f>
        <v/>
      </c>
    </row>
    <row r="17" spans="1:81" x14ac:dyDescent="0.25">
      <c r="A17" s="4" t="str">
        <f>IF(Backend!A44="", "", Backend!A44)</f>
        <v>Dentsu Group Inc.</v>
      </c>
      <c r="B17">
        <f>IF(Backend!C44="", "", Backend!C44)</f>
        <v>0.17502514999999999</v>
      </c>
      <c r="C17">
        <f>IF(Backend!D44="", "", Backend!D44)</f>
        <v>0.14241656999999999</v>
      </c>
      <c r="D17">
        <f>IF(Backend!E44="", "", Backend!E44)</f>
        <v>0.10347692</v>
      </c>
      <c r="E17">
        <f>IF(Backend!F44="", "", Backend!F44)</f>
        <v>5.4068792999999997E-2</v>
      </c>
      <c r="F17">
        <f>IF(Backend!G44="", "", Backend!G44)</f>
        <v>4.3601554000000001E-2</v>
      </c>
      <c r="G17">
        <f>IF(Backend!H44="", "", Backend!H44)</f>
        <v>0.17138945</v>
      </c>
      <c r="H17">
        <f>IF(Backend!I44="", "", Backend!I44)</f>
        <v>0.16760652000000001</v>
      </c>
      <c r="I17">
        <f>IF(Backend!J44="", "", Backend!J44)</f>
        <v>0.14631343999999999</v>
      </c>
      <c r="J17">
        <f>IF(Backend!K44="", "", Backend!K44)</f>
        <v>1.1468804000000001E-2</v>
      </c>
      <c r="K17">
        <f>IF(Backend!L44="", "", Backend!L44)</f>
        <v>0.17426421</v>
      </c>
      <c r="L17">
        <f>IF(Backend!M44="", "", Backend!M44)</f>
        <v>0.14484985</v>
      </c>
      <c r="M17">
        <f>IF(Backend!N44="", "", Backend!N44)</f>
        <v>6.3583485999999995E-2</v>
      </c>
      <c r="N17">
        <f>IF(Backend!O44="", "", Backend!O44)</f>
        <v>0.11671045400000001</v>
      </c>
      <c r="O17">
        <f>IF(Backend!P44="", "", Backend!P44)</f>
        <v>1</v>
      </c>
      <c r="P17">
        <f>IF(Backend!Q44="", "", Backend!Q44)</f>
        <v>0.18389936000000001</v>
      </c>
      <c r="Q17">
        <f>IF(Backend!R44="", "", Backend!R44)</f>
        <v>0.15274647</v>
      </c>
      <c r="R17">
        <f>IF(Backend!S44="", "", Backend!S44)</f>
        <v>0.14680550000000001</v>
      </c>
      <c r="S17">
        <f>IF(Backend!T44="", "", Backend!T44)</f>
        <v>0.26870572999999998</v>
      </c>
      <c r="T17">
        <f>IF(Backend!U44="", "", Backend!U44)</f>
        <v>5.2873644999999997E-2</v>
      </c>
      <c r="U17">
        <f>IF(Backend!V44="", "", Backend!V44)</f>
        <v>0.19752586999999999</v>
      </c>
      <c r="V17">
        <f>IF(Backend!W44="", "", Backend!W44)</f>
        <v>-8.5334989999999999E-3</v>
      </c>
      <c r="W17">
        <f>IF(Backend!X44="", "", Backend!X44)</f>
        <v>-9.5979610000000003E-3</v>
      </c>
      <c r="X17">
        <f>IF(Backend!Y44="", "", Backend!Y44)</f>
        <v>0.18804522000000001</v>
      </c>
      <c r="Y17">
        <f>IF(Backend!Z44="", "", Backend!Z44)</f>
        <v>0.13989455000000001</v>
      </c>
      <c r="Z17">
        <f>IF(Backend!AA44="", "", Backend!AA44)</f>
        <v>0.11705237</v>
      </c>
      <c r="AA17">
        <f>IF(Backend!AB44="", "", Backend!AB44)</f>
        <v>5.8995753999999997E-2</v>
      </c>
      <c r="AB17">
        <f>IF(Backend!AC44="", "", Backend!AC44)</f>
        <v>3.8937020000000003E-2</v>
      </c>
      <c r="AC17">
        <f>IF(Backend!AD44="", "", Backend!AD44)</f>
        <v>6.9621974E-3</v>
      </c>
      <c r="AD17">
        <f>IF(Backend!AE44="", "", Backend!AE44)</f>
        <v>2.7344047999999999E-2</v>
      </c>
      <c r="AE17">
        <f>IF(Backend!AF44="", "", Backend!AF44)</f>
        <v>5.3796070000000001E-2</v>
      </c>
      <c r="AF17">
        <f>IF(Backend!AG44="", "", Backend!AG44)</f>
        <v>0.30702691999999998</v>
      </c>
      <c r="AG17">
        <f>IF(Backend!AH44="", "", Backend!AH44)</f>
        <v>6.05242E-2</v>
      </c>
      <c r="AH17">
        <f>IF(Backend!AI44="", "", Backend!AI44)</f>
        <v>4.2641400000000003E-2</v>
      </c>
      <c r="AI17">
        <f>IF(Backend!AJ44="", "", Backend!AJ44)</f>
        <v>0.12640098</v>
      </c>
      <c r="AJ17">
        <f>IF(Backend!AK44="", "", Backend!AK44)</f>
        <v>0.38480848000000001</v>
      </c>
      <c r="AK17">
        <f>IF(Backend!AL44="", "", Backend!AL44)</f>
        <v>0.37526366</v>
      </c>
      <c r="AL17">
        <f>IF(Backend!AM44="", "", Backend!AM44)</f>
        <v>2.5283760999999998E-2</v>
      </c>
      <c r="AM17">
        <f>IF(Backend!AN44="", "", Backend!AN44)</f>
        <v>0.15754525</v>
      </c>
      <c r="AN17">
        <f>IF(Backend!AO44="", "", Backend!AO44)</f>
        <v>0.12683548</v>
      </c>
      <c r="AO17">
        <f>IF(Backend!AP44="", "", Backend!AP44)</f>
        <v>0.29723729999999998</v>
      </c>
      <c r="AP17">
        <f>IF(Backend!AQ44="", "", Backend!AQ44)</f>
        <v>7.3580080000000006E-2</v>
      </c>
      <c r="AQ17">
        <f>IF(Backend!AR44="", "", Backend!AR44)</f>
        <v>0.16601305</v>
      </c>
      <c r="AR17">
        <f>IF(Backend!AS44="", "", Backend!AS44)</f>
        <v>9.7464605999999995E-2</v>
      </c>
      <c r="AS17">
        <f>IF(Backend!AT44="", "", Backend!AT44)</f>
        <v>0.12775573000000001</v>
      </c>
      <c r="AT17">
        <f>IF(Backend!AU44="", "", Backend!AU44)</f>
        <v>0.19487087</v>
      </c>
      <c r="AU17">
        <f>IF(Backend!AV44="", "", Backend!AV44)</f>
        <v>0.15233958</v>
      </c>
      <c r="AV17">
        <f>IF(Backend!AW44="", "", Backend!AW44)</f>
        <v>0.14290032999999999</v>
      </c>
      <c r="AW17">
        <f>IF(Backend!AX44="", "", Backend!AX44)</f>
        <v>1.5531214E-2</v>
      </c>
      <c r="AX17">
        <f>IF(Backend!AY44="", "", Backend!AY44)</f>
        <v>0.14235771999999999</v>
      </c>
      <c r="AY17">
        <f>IF(Backend!AZ44="", "", Backend!AZ44)</f>
        <v>6.6228510000000004E-2</v>
      </c>
      <c r="AZ17">
        <f>IF(Backend!BA44="", "", Backend!BA44)</f>
        <v>0.43034</v>
      </c>
      <c r="BA17">
        <f>IF(Backend!BB44="", "", Backend!BB44)</f>
        <v>0.11684156</v>
      </c>
      <c r="BB17">
        <f>IF(Backend!BC44="", "", Backend!BC44)</f>
        <v>2.6498656999999998E-2</v>
      </c>
      <c r="BC17">
        <f>IF(Backend!BD44="", "", Backend!BD44)</f>
        <v>5.6893354999999995E-4</v>
      </c>
      <c r="BD17">
        <f>IF(Backend!BE44="", "", Backend!BE44)</f>
        <v>0.18581581</v>
      </c>
      <c r="BE17">
        <f>IF(Backend!BF44="", "", Backend!BF44)</f>
        <v>0.15229862999999999</v>
      </c>
      <c r="BF17">
        <f>IF(Backend!BG44="", "", Backend!BG44)</f>
        <v>4.1690115E-2</v>
      </c>
      <c r="BG17">
        <f>IF(Backend!BH44="", "", Backend!BH44)</f>
        <v>3.9329274999999997E-2</v>
      </c>
      <c r="BH17">
        <f>IF(Backend!BI44="", "", Backend!BI44)</f>
        <v>6.8738505000000005E-2</v>
      </c>
      <c r="BI17" t="str">
        <f>IF(Backend!BJ44="", "", Backend!BJ44)</f>
        <v/>
      </c>
      <c r="BJ17" t="str">
        <f>IF(Backend!BK44="", "", Backend!BK44)</f>
        <v/>
      </c>
      <c r="BK17" t="str">
        <f>IF(Backend!BL44="", "", Backend!BL44)</f>
        <v/>
      </c>
      <c r="BL17" t="str">
        <f>IF(Backend!BM44="", "", Backend!BM44)</f>
        <v/>
      </c>
      <c r="BM17" t="str">
        <f>IF(Backend!BN44="", "", Backend!BN44)</f>
        <v/>
      </c>
      <c r="BN17" t="str">
        <f>IF(Backend!BO44="", "", Backend!BO44)</f>
        <v/>
      </c>
      <c r="BO17" t="str">
        <f>IF(Backend!BP44="", "", Backend!BP44)</f>
        <v/>
      </c>
      <c r="BP17" t="str">
        <f>IF(Backend!BQ44="", "", Backend!BQ44)</f>
        <v/>
      </c>
      <c r="BQ17" t="str">
        <f>IF(Backend!BR44="", "", Backend!BR44)</f>
        <v/>
      </c>
      <c r="BR17" t="str">
        <f>IF(Backend!BS44="", "", Backend!BS44)</f>
        <v/>
      </c>
      <c r="BS17" t="str">
        <f>IF(Backend!BT44="", "", Backend!BT44)</f>
        <v/>
      </c>
      <c r="BT17" t="str">
        <f>IF(Backend!BU44="", "", Backend!BU44)</f>
        <v/>
      </c>
      <c r="BU17" t="str">
        <f>IF(Backend!BV44="", "", Backend!BV44)</f>
        <v/>
      </c>
      <c r="BV17" t="str">
        <f>IF(Backend!BW44="", "", Backend!BW44)</f>
        <v/>
      </c>
      <c r="BW17" t="str">
        <f>IF(Backend!BX44="", "", Backend!BX44)</f>
        <v/>
      </c>
      <c r="BX17" t="str">
        <f>IF(Backend!BY44="", "", Backend!BY44)</f>
        <v/>
      </c>
      <c r="BY17" t="str">
        <f>IF(Backend!BZ44="", "", Backend!BZ44)</f>
        <v/>
      </c>
      <c r="BZ17" t="str">
        <f>IF(Backend!CA44="", "", Backend!CA44)</f>
        <v/>
      </c>
      <c r="CA17" t="str">
        <f>IF(Backend!CB44="", "", Backend!CB44)</f>
        <v/>
      </c>
      <c r="CB17" t="str">
        <f>IF(Backend!CC44="", "", Backend!CC44)</f>
        <v/>
      </c>
      <c r="CC17" t="str">
        <f>IF(Backend!CD44="", "", Backend!CD44)</f>
        <v/>
      </c>
    </row>
    <row r="18" spans="1:81" x14ac:dyDescent="0.25">
      <c r="A18" s="4" t="str">
        <f>IF(Backend!A45="", "", Backend!A45)</f>
        <v>WPP Plc</v>
      </c>
      <c r="B18">
        <f>IF(Backend!C45="", "", Backend!C45)</f>
        <v>0.47705554999999999</v>
      </c>
      <c r="C18">
        <f>IF(Backend!D45="", "", Backend!D45)</f>
        <v>0.40760097000000001</v>
      </c>
      <c r="D18">
        <f>IF(Backend!E45="", "", Backend!E45)</f>
        <v>9.0182449999999997E-2</v>
      </c>
      <c r="E18">
        <f>IF(Backend!F45="", "", Backend!F45)</f>
        <v>0.33327508</v>
      </c>
      <c r="F18">
        <f>IF(Backend!G45="", "", Backend!G45)</f>
        <v>0.13431253000000001</v>
      </c>
      <c r="G18">
        <f>IF(Backend!H45="", "", Backend!H45)</f>
        <v>0.18730856000000001</v>
      </c>
      <c r="H18">
        <f>IF(Backend!I45="", "", Backend!I45)</f>
        <v>0.52300500000000005</v>
      </c>
      <c r="I18">
        <f>IF(Backend!J45="", "", Backend!J45)</f>
        <v>0.38016596000000002</v>
      </c>
      <c r="J18">
        <f>IF(Backend!K45="", "", Backend!K45)</f>
        <v>3.906739E-2</v>
      </c>
      <c r="K18">
        <f>IF(Backend!L45="", "", Backend!L45)</f>
        <v>0.36636796999999999</v>
      </c>
      <c r="L18">
        <f>IF(Backend!M45="", "", Backend!M45)</f>
        <v>0.46616992000000002</v>
      </c>
      <c r="M18">
        <f>IF(Backend!N45="", "", Backend!N45)</f>
        <v>0.29691606999999998</v>
      </c>
      <c r="N18">
        <f>IF(Backend!O45="", "", Backend!O45)</f>
        <v>0.48347074000000001</v>
      </c>
      <c r="O18">
        <f>IF(Backend!P45="", "", Backend!P45)</f>
        <v>0.18389936000000001</v>
      </c>
      <c r="P18">
        <f>IF(Backend!Q45="", "", Backend!Q45)</f>
        <v>1</v>
      </c>
      <c r="Q18">
        <f>IF(Backend!R45="", "", Backend!R45)</f>
        <v>0.43627680000000002</v>
      </c>
      <c r="R18">
        <f>IF(Backend!S45="", "", Backend!S45)</f>
        <v>0.27516996999999999</v>
      </c>
      <c r="S18">
        <f>IF(Backend!T45="", "", Backend!T45)</f>
        <v>0.108455464</v>
      </c>
      <c r="T18">
        <f>IF(Backend!U45="", "", Backend!U45)</f>
        <v>0.22731287999999999</v>
      </c>
      <c r="U18">
        <f>IF(Backend!V45="", "", Backend!V45)</f>
        <v>0.11706742000000001</v>
      </c>
      <c r="V18">
        <f>IF(Backend!W45="", "", Backend!W45)</f>
        <v>0.22063513000000001</v>
      </c>
      <c r="W18">
        <f>IF(Backend!X45="", "", Backend!X45)</f>
        <v>0.1591178</v>
      </c>
      <c r="X18">
        <f>IF(Backend!Y45="", "", Backend!Y45)</f>
        <v>0.14894313000000001</v>
      </c>
      <c r="Y18">
        <f>IF(Backend!Z45="", "", Backend!Z45)</f>
        <v>0.45762884999999998</v>
      </c>
      <c r="Z18">
        <f>IF(Backend!AA45="", "", Backend!AA45)</f>
        <v>0.27178732</v>
      </c>
      <c r="AA18">
        <f>IF(Backend!AB45="", "", Backend!AB45)</f>
        <v>7.3106355999999997E-2</v>
      </c>
      <c r="AB18">
        <f>IF(Backend!AC45="", "", Backend!AC45)</f>
        <v>0.33857784000000002</v>
      </c>
      <c r="AC18">
        <f>IF(Backend!AD45="", "", Backend!AD45)</f>
        <v>0.3083304</v>
      </c>
      <c r="AD18">
        <f>IF(Backend!AE45="", "", Backend!AE45)</f>
        <v>0.2105397</v>
      </c>
      <c r="AE18">
        <f>IF(Backend!AF45="", "", Backend!AF45)</f>
        <v>0.34419460000000002</v>
      </c>
      <c r="AF18">
        <f>IF(Backend!AG45="", "", Backend!AG45)</f>
        <v>0.10647436</v>
      </c>
      <c r="AG18">
        <f>IF(Backend!AH45="", "", Backend!AH45)</f>
        <v>0.29049096000000002</v>
      </c>
      <c r="AH18">
        <f>IF(Backend!AI45="", "", Backend!AI45)</f>
        <v>0.20589966000000001</v>
      </c>
      <c r="AI18">
        <f>IF(Backend!AJ45="", "", Backend!AJ45)</f>
        <v>0.49854836000000002</v>
      </c>
      <c r="AJ18">
        <f>IF(Backend!AK45="", "", Backend!AK45)</f>
        <v>0.12347774</v>
      </c>
      <c r="AK18">
        <f>IF(Backend!AL45="", "", Backend!AL45)</f>
        <v>9.5675759999999999E-2</v>
      </c>
      <c r="AL18">
        <f>IF(Backend!AM45="", "", Backend!AM45)</f>
        <v>0.12585209999999999</v>
      </c>
      <c r="AM18">
        <f>IF(Backend!AN45="", "", Backend!AN45)</f>
        <v>0.40666679999999999</v>
      </c>
      <c r="AN18">
        <f>IF(Backend!AO45="", "", Backend!AO45)</f>
        <v>0.34364292000000002</v>
      </c>
      <c r="AO18">
        <f>IF(Backend!AP45="", "", Backend!AP45)</f>
        <v>0.19472516000000001</v>
      </c>
      <c r="AP18">
        <f>IF(Backend!AQ45="", "", Backend!AQ45)</f>
        <v>0.24914658000000001</v>
      </c>
      <c r="AQ18">
        <f>IF(Backend!AR45="", "", Backend!AR45)</f>
        <v>0.18417430000000001</v>
      </c>
      <c r="AR18">
        <f>IF(Backend!AS45="", "", Backend!AS45)</f>
        <v>0.22205701</v>
      </c>
      <c r="AS18">
        <f>IF(Backend!AT45="", "", Backend!AT45)</f>
        <v>0.23860086999999999</v>
      </c>
      <c r="AT18">
        <f>IF(Backend!AU45="", "", Backend!AU45)</f>
        <v>0.17102054999999999</v>
      </c>
      <c r="AU18">
        <f>IF(Backend!AV45="", "", Backend!AV45)</f>
        <v>0.49871153000000001</v>
      </c>
      <c r="AV18">
        <f>IF(Backend!AW45="", "", Backend!AW45)</f>
        <v>0.44723775999999998</v>
      </c>
      <c r="AW18">
        <f>IF(Backend!AX45="", "", Backend!AX45)</f>
        <v>0.25356165000000003</v>
      </c>
      <c r="AX18">
        <f>IF(Backend!AY45="", "", Backend!AY45)</f>
        <v>0.45268937999999997</v>
      </c>
      <c r="AY18">
        <f>IF(Backend!AZ45="", "", Backend!AZ45)</f>
        <v>0.27799326000000002</v>
      </c>
      <c r="AZ18">
        <f>IF(Backend!BA45="", "", Backend!BA45)</f>
        <v>0.13578808000000001</v>
      </c>
      <c r="BA18">
        <f>IF(Backend!BB45="", "", Backend!BB45)</f>
        <v>0.23492771000000001</v>
      </c>
      <c r="BB18">
        <f>IF(Backend!BC45="", "", Backend!BC45)</f>
        <v>0.14558842999999999</v>
      </c>
      <c r="BC18">
        <f>IF(Backend!BD45="", "", Backend!BD45)</f>
        <v>0.23662041</v>
      </c>
      <c r="BD18">
        <f>IF(Backend!BE45="", "", Backend!BE45)</f>
        <v>0.35995936000000001</v>
      </c>
      <c r="BE18">
        <f>IF(Backend!BF45="", "", Backend!BF45)</f>
        <v>0.44686197999999999</v>
      </c>
      <c r="BF18">
        <f>IF(Backend!BG45="", "", Backend!BG45)</f>
        <v>0.13839488</v>
      </c>
      <c r="BG18">
        <f>IF(Backend!BH45="", "", Backend!BH45)</f>
        <v>0.21527608000000001</v>
      </c>
      <c r="BH18">
        <f>IF(Backend!BI45="", "", Backend!BI45)</f>
        <v>0.23560492999999999</v>
      </c>
      <c r="BI18" t="str">
        <f>IF(Backend!BJ45="", "", Backend!BJ45)</f>
        <v/>
      </c>
      <c r="BJ18" t="str">
        <f>IF(Backend!BK45="", "", Backend!BK45)</f>
        <v/>
      </c>
      <c r="BK18" t="str">
        <f>IF(Backend!BL45="", "", Backend!BL45)</f>
        <v/>
      </c>
      <c r="BL18" t="str">
        <f>IF(Backend!BM45="", "", Backend!BM45)</f>
        <v/>
      </c>
      <c r="BM18" t="str">
        <f>IF(Backend!BN45="", "", Backend!BN45)</f>
        <v/>
      </c>
      <c r="BN18" t="str">
        <f>IF(Backend!BO45="", "", Backend!BO45)</f>
        <v/>
      </c>
      <c r="BO18" t="str">
        <f>IF(Backend!BP45="", "", Backend!BP45)</f>
        <v/>
      </c>
      <c r="BP18" t="str">
        <f>IF(Backend!BQ45="", "", Backend!BQ45)</f>
        <v/>
      </c>
      <c r="BQ18" t="str">
        <f>IF(Backend!BR45="", "", Backend!BR45)</f>
        <v/>
      </c>
      <c r="BR18" t="str">
        <f>IF(Backend!BS45="", "", Backend!BS45)</f>
        <v/>
      </c>
      <c r="BS18" t="str">
        <f>IF(Backend!BT45="", "", Backend!BT45)</f>
        <v/>
      </c>
      <c r="BT18" t="str">
        <f>IF(Backend!BU45="", "", Backend!BU45)</f>
        <v/>
      </c>
      <c r="BU18" t="str">
        <f>IF(Backend!BV45="", "", Backend!BV45)</f>
        <v/>
      </c>
      <c r="BV18" t="str">
        <f>IF(Backend!BW45="", "", Backend!BW45)</f>
        <v/>
      </c>
      <c r="BW18" t="str">
        <f>IF(Backend!BX45="", "", Backend!BX45)</f>
        <v/>
      </c>
      <c r="BX18" t="str">
        <f>IF(Backend!BY45="", "", Backend!BY45)</f>
        <v/>
      </c>
      <c r="BY18" t="str">
        <f>IF(Backend!BZ45="", "", Backend!BZ45)</f>
        <v/>
      </c>
      <c r="BZ18" t="str">
        <f>IF(Backend!CA45="", "", Backend!CA45)</f>
        <v/>
      </c>
      <c r="CA18" t="str">
        <f>IF(Backend!CB45="", "", Backend!CB45)</f>
        <v/>
      </c>
      <c r="CB18" t="str">
        <f>IF(Backend!CC45="", "", Backend!CC45)</f>
        <v/>
      </c>
      <c r="CC18" t="str">
        <f>IF(Backend!CD45="", "", Backend!CD45)</f>
        <v/>
      </c>
    </row>
    <row r="19" spans="1:81" x14ac:dyDescent="0.25">
      <c r="A19" s="4" t="str">
        <f>IF(Backend!A46="", "", Backend!A46)</f>
        <v>Eni S.p.A.</v>
      </c>
      <c r="B19">
        <f>IF(Backend!C46="", "", Backend!C46)</f>
        <v>0.41527575</v>
      </c>
      <c r="C19">
        <f>IF(Backend!D46="", "", Backend!D46)</f>
        <v>0.52129179999999997</v>
      </c>
      <c r="D19">
        <f>IF(Backend!E46="", "", Backend!E46)</f>
        <v>0.11647656000000001</v>
      </c>
      <c r="E19">
        <f>IF(Backend!F46="", "", Backend!F46)</f>
        <v>0.22662239000000001</v>
      </c>
      <c r="F19">
        <f>IF(Backend!G46="", "", Backend!G46)</f>
        <v>0.14223558</v>
      </c>
      <c r="G19">
        <f>IF(Backend!H46="", "", Backend!H46)</f>
        <v>0.13930941999999999</v>
      </c>
      <c r="H19">
        <f>IF(Backend!I46="", "", Backend!I46)</f>
        <v>0.52420069999999996</v>
      </c>
      <c r="I19">
        <f>IF(Backend!J46="", "", Backend!J46)</f>
        <v>0.37603726999999998</v>
      </c>
      <c r="J19">
        <f>IF(Backend!K46="", "", Backend!K46)</f>
        <v>4.3117410000000002E-2</v>
      </c>
      <c r="K19">
        <f>IF(Backend!L46="", "", Backend!L46)</f>
        <v>0.34775423999999999</v>
      </c>
      <c r="L19">
        <f>IF(Backend!M46="", "", Backend!M46)</f>
        <v>0.37274373</v>
      </c>
      <c r="M19">
        <f>IF(Backend!N46="", "", Backend!N46)</f>
        <v>0.31378946000000002</v>
      </c>
      <c r="N19">
        <f>IF(Backend!O46="", "", Backend!O46)</f>
        <v>0.43663210000000002</v>
      </c>
      <c r="O19">
        <f>IF(Backend!P46="", "", Backend!P46)</f>
        <v>0.15274647</v>
      </c>
      <c r="P19">
        <f>IF(Backend!Q46="", "", Backend!Q46)</f>
        <v>0.43627680000000002</v>
      </c>
      <c r="Q19">
        <f>IF(Backend!R46="", "", Backend!R46)</f>
        <v>1</v>
      </c>
      <c r="R19">
        <f>IF(Backend!S46="", "", Backend!S46)</f>
        <v>0.26846610999999998</v>
      </c>
      <c r="S19">
        <f>IF(Backend!T46="", "", Backend!T46)</f>
        <v>6.0448559999999998E-2</v>
      </c>
      <c r="T19">
        <f>IF(Backend!U46="", "", Backend!U46)</f>
        <v>0.48262694</v>
      </c>
      <c r="U19">
        <f>IF(Backend!V46="", "", Backend!V46)</f>
        <v>9.0685929999999998E-2</v>
      </c>
      <c r="V19">
        <f>IF(Backend!W46="", "", Backend!W46)</f>
        <v>0.21523716000000001</v>
      </c>
      <c r="W19">
        <f>IF(Backend!X46="", "", Backend!X46)</f>
        <v>0.10027186</v>
      </c>
      <c r="X19">
        <f>IF(Backend!Y46="", "", Backend!Y46)</f>
        <v>0.14369519</v>
      </c>
      <c r="Y19">
        <f>IF(Backend!Z46="", "", Backend!Z46)</f>
        <v>0.37187829999999999</v>
      </c>
      <c r="Z19">
        <f>IF(Backend!AA46="", "", Backend!AA46)</f>
        <v>0.20656657</v>
      </c>
      <c r="AA19">
        <f>IF(Backend!AB46="", "", Backend!AB46)</f>
        <v>8.0078490000000002E-2</v>
      </c>
      <c r="AB19">
        <f>IF(Backend!AC46="", "", Backend!AC46)</f>
        <v>0.27968660000000001</v>
      </c>
      <c r="AC19">
        <f>IF(Backend!AD46="", "", Backend!AD46)</f>
        <v>0.38747352000000002</v>
      </c>
      <c r="AD19">
        <f>IF(Backend!AE46="", "", Backend!AE46)</f>
        <v>0.17412965</v>
      </c>
      <c r="AE19">
        <f>IF(Backend!AF46="", "", Backend!AF46)</f>
        <v>0.27518234000000003</v>
      </c>
      <c r="AF19">
        <f>IF(Backend!AG46="", "", Backend!AG46)</f>
        <v>7.8328179999999997E-2</v>
      </c>
      <c r="AG19">
        <f>IF(Backend!AH46="", "", Backend!AH46)</f>
        <v>0.20338549</v>
      </c>
      <c r="AH19">
        <f>IF(Backend!AI46="", "", Backend!AI46)</f>
        <v>0.20161387</v>
      </c>
      <c r="AI19">
        <f>IF(Backend!AJ46="", "", Backend!AJ46)</f>
        <v>0.47497505000000001</v>
      </c>
      <c r="AJ19">
        <f>IF(Backend!AK46="", "", Backend!AK46)</f>
        <v>0.11944839</v>
      </c>
      <c r="AK19">
        <f>IF(Backend!AL46="", "", Backend!AL46)</f>
        <v>5.1222160000000003E-2</v>
      </c>
      <c r="AL19">
        <f>IF(Backend!AM46="", "", Backend!AM46)</f>
        <v>8.6259539999999996E-2</v>
      </c>
      <c r="AM19">
        <f>IF(Backend!AN46="", "", Backend!AN46)</f>
        <v>0.27002826000000002</v>
      </c>
      <c r="AN19">
        <f>IF(Backend!AO46="", "", Backend!AO46)</f>
        <v>0.75218766999999997</v>
      </c>
      <c r="AO19">
        <f>IF(Backend!AP46="", "", Backend!AP46)</f>
        <v>0.1639766</v>
      </c>
      <c r="AP19">
        <f>IF(Backend!AQ46="", "", Backend!AQ46)</f>
        <v>0.14755504999999999</v>
      </c>
      <c r="AQ19">
        <f>IF(Backend!AR46="", "", Backend!AR46)</f>
        <v>0.17974473999999999</v>
      </c>
      <c r="AR19">
        <f>IF(Backend!AS46="", "", Backend!AS46)</f>
        <v>0.26178025999999999</v>
      </c>
      <c r="AS19">
        <f>IF(Backend!AT46="", "", Backend!AT46)</f>
        <v>0.25991940000000002</v>
      </c>
      <c r="AT19">
        <f>IF(Backend!AU46="", "", Backend!AU46)</f>
        <v>0.13124874</v>
      </c>
      <c r="AU19">
        <f>IF(Backend!AV46="", "", Backend!AV46)</f>
        <v>0.51776909999999998</v>
      </c>
      <c r="AV19">
        <f>IF(Backend!AW46="", "", Backend!AW46)</f>
        <v>0.48138263999999997</v>
      </c>
      <c r="AW19">
        <f>IF(Backend!AX46="", "", Backend!AX46)</f>
        <v>0.17927766000000001</v>
      </c>
      <c r="AX19">
        <f>IF(Backend!AY46="", "", Backend!AY46)</f>
        <v>0.35125416999999998</v>
      </c>
      <c r="AY19">
        <f>IF(Backend!AZ46="", "", Backend!AZ46)</f>
        <v>0.34412854999999998</v>
      </c>
      <c r="AZ19">
        <f>IF(Backend!BA46="", "", Backend!BA46)</f>
        <v>0.11527468</v>
      </c>
      <c r="BA19">
        <f>IF(Backend!BB46="", "", Backend!BB46)</f>
        <v>0.33345708000000002</v>
      </c>
      <c r="BB19">
        <f>IF(Backend!BC46="", "", Backend!BC46)</f>
        <v>0.13301205999999999</v>
      </c>
      <c r="BC19">
        <f>IF(Backend!BD46="", "", Backend!BD46)</f>
        <v>0.17576396</v>
      </c>
      <c r="BD19">
        <f>IF(Backend!BE46="", "", Backend!BE46)</f>
        <v>0.37164955999999999</v>
      </c>
      <c r="BE19">
        <f>IF(Backend!BF46="", "", Backend!BF46)</f>
        <v>0.45250982000000001</v>
      </c>
      <c r="BF19">
        <f>IF(Backend!BG46="", "", Backend!BG46)</f>
        <v>0.13976662000000001</v>
      </c>
      <c r="BG19">
        <f>IF(Backend!BH46="", "", Backend!BH46)</f>
        <v>0.19685794000000001</v>
      </c>
      <c r="BH19">
        <f>IF(Backend!BI46="", "", Backend!BI46)</f>
        <v>0.19933152000000001</v>
      </c>
      <c r="BI19" t="str">
        <f>IF(Backend!BJ46="", "", Backend!BJ46)</f>
        <v/>
      </c>
      <c r="BJ19" t="str">
        <f>IF(Backend!BK46="", "", Backend!BK46)</f>
        <v/>
      </c>
      <c r="BK19" t="str">
        <f>IF(Backend!BL46="", "", Backend!BL46)</f>
        <v/>
      </c>
      <c r="BL19" t="str">
        <f>IF(Backend!BM46="", "", Backend!BM46)</f>
        <v/>
      </c>
      <c r="BM19" t="str">
        <f>IF(Backend!BN46="", "", Backend!BN46)</f>
        <v/>
      </c>
      <c r="BN19" t="str">
        <f>IF(Backend!BO46="", "", Backend!BO46)</f>
        <v/>
      </c>
      <c r="BO19" t="str">
        <f>IF(Backend!BP46="", "", Backend!BP46)</f>
        <v/>
      </c>
      <c r="BP19" t="str">
        <f>IF(Backend!BQ46="", "", Backend!BQ46)</f>
        <v/>
      </c>
      <c r="BQ19" t="str">
        <f>IF(Backend!BR46="", "", Backend!BR46)</f>
        <v/>
      </c>
      <c r="BR19" t="str">
        <f>IF(Backend!BS46="", "", Backend!BS46)</f>
        <v/>
      </c>
      <c r="BS19" t="str">
        <f>IF(Backend!BT46="", "", Backend!BT46)</f>
        <v/>
      </c>
      <c r="BT19" t="str">
        <f>IF(Backend!BU46="", "", Backend!BU46)</f>
        <v/>
      </c>
      <c r="BU19" t="str">
        <f>IF(Backend!BV46="", "", Backend!BV46)</f>
        <v/>
      </c>
      <c r="BV19" t="str">
        <f>IF(Backend!BW46="", "", Backend!BW46)</f>
        <v/>
      </c>
      <c r="BW19" t="str">
        <f>IF(Backend!BX46="", "", Backend!BX46)</f>
        <v/>
      </c>
      <c r="BX19" t="str">
        <f>IF(Backend!BY46="", "", Backend!BY46)</f>
        <v/>
      </c>
      <c r="BY19" t="str">
        <f>IF(Backend!BZ46="", "", Backend!BZ46)</f>
        <v/>
      </c>
      <c r="BZ19" t="str">
        <f>IF(Backend!CA46="", "", Backend!CA46)</f>
        <v/>
      </c>
      <c r="CA19" t="str">
        <f>IF(Backend!CB46="", "", Backend!CB46)</f>
        <v/>
      </c>
      <c r="CB19" t="str">
        <f>IF(Backend!CC46="", "", Backend!CC46)</f>
        <v/>
      </c>
      <c r="CC19" t="str">
        <f>IF(Backend!CD46="", "", Backend!CD46)</f>
        <v/>
      </c>
    </row>
    <row r="20" spans="1:81" x14ac:dyDescent="0.25">
      <c r="A20" s="4" t="str">
        <f>IF(Backend!A47="", "", Backend!A47)</f>
        <v>GSK plc</v>
      </c>
      <c r="B20">
        <f>IF(Backend!C47="", "", Backend!C47)</f>
        <v>0.25082976000000001</v>
      </c>
      <c r="C20">
        <f>IF(Backend!D47="", "", Backend!D47)</f>
        <v>0.22555006999999999</v>
      </c>
      <c r="D20">
        <f>IF(Backend!E47="", "", Backend!E47)</f>
        <v>7.7189320000000006E-2</v>
      </c>
      <c r="E20">
        <f>IF(Backend!F47="", "", Backend!F47)</f>
        <v>6.8243440000000002E-2</v>
      </c>
      <c r="F20">
        <f>IF(Backend!G47="", "", Backend!G47)</f>
        <v>8.990513E-2</v>
      </c>
      <c r="G20">
        <f>IF(Backend!H47="", "", Backend!H47)</f>
        <v>6.9562139999999995E-2</v>
      </c>
      <c r="H20">
        <f>IF(Backend!I47="", "", Backend!I47)</f>
        <v>0.2632854</v>
      </c>
      <c r="I20">
        <f>IF(Backend!J47="", "", Backend!J47)</f>
        <v>0.35018376000000001</v>
      </c>
      <c r="J20">
        <f>IF(Backend!K47="", "", Backend!K47)</f>
        <v>0.24124144</v>
      </c>
      <c r="K20">
        <f>IF(Backend!L47="", "", Backend!L47)</f>
        <v>0.26558545</v>
      </c>
      <c r="L20">
        <f>IF(Backend!M47="", "", Backend!M47)</f>
        <v>0.22010089999999999</v>
      </c>
      <c r="M20">
        <f>IF(Backend!N47="", "", Backend!N47)</f>
        <v>0.17484461000000001</v>
      </c>
      <c r="N20">
        <f>IF(Backend!O47="", "", Backend!O47)</f>
        <v>0.20008493999999999</v>
      </c>
      <c r="O20">
        <f>IF(Backend!P47="", "", Backend!P47)</f>
        <v>0.14680550000000001</v>
      </c>
      <c r="P20">
        <f>IF(Backend!Q47="", "", Backend!Q47)</f>
        <v>0.27516996999999999</v>
      </c>
      <c r="Q20">
        <f>IF(Backend!R47="", "", Backend!R47)</f>
        <v>0.26846610999999998</v>
      </c>
      <c r="R20">
        <f>IF(Backend!S47="", "", Backend!S47)</f>
        <v>1</v>
      </c>
      <c r="S20">
        <f>IF(Backend!T47="", "", Backend!T47)</f>
        <v>0.10093196</v>
      </c>
      <c r="T20">
        <f>IF(Backend!U47="", "", Backend!U47)</f>
        <v>4.3541204E-2</v>
      </c>
      <c r="U20">
        <f>IF(Backend!V47="", "", Backend!V47)</f>
        <v>-4.9030510000000003E-3</v>
      </c>
      <c r="V20">
        <f>IF(Backend!W47="", "", Backend!W47)</f>
        <v>5.0368849999999996E-3</v>
      </c>
      <c r="W20">
        <f>IF(Backend!X47="", "", Backend!X47)</f>
        <v>1.8068898E-2</v>
      </c>
      <c r="X20">
        <f>IF(Backend!Y47="", "", Backend!Y47)</f>
        <v>7.0669315999999996E-2</v>
      </c>
      <c r="Y20">
        <f>IF(Backend!Z47="", "", Backend!Z47)</f>
        <v>0.22550020000000001</v>
      </c>
      <c r="Z20">
        <f>IF(Backend!AA47="", "", Backend!AA47)</f>
        <v>0.26237250000000001</v>
      </c>
      <c r="AA20">
        <f>IF(Backend!AB47="", "", Backend!AB47)</f>
        <v>0.1569141</v>
      </c>
      <c r="AB20">
        <f>IF(Backend!AC47="", "", Backend!AC47)</f>
        <v>8.9674569999999995E-2</v>
      </c>
      <c r="AC20">
        <f>IF(Backend!AD47="", "", Backend!AD47)</f>
        <v>8.9405460000000006E-2</v>
      </c>
      <c r="AD20">
        <f>IF(Backend!AE47="", "", Backend!AE47)</f>
        <v>2.0867213999999999E-2</v>
      </c>
      <c r="AE20">
        <f>IF(Backend!AF47="", "", Backend!AF47)</f>
        <v>0.13040671000000001</v>
      </c>
      <c r="AF20">
        <f>IF(Backend!AG47="", "", Backend!AG47)</f>
        <v>6.5787250000000005E-2</v>
      </c>
      <c r="AG20">
        <f>IF(Backend!AH47="", "", Backend!AH47)</f>
        <v>8.5219520000000007E-2</v>
      </c>
      <c r="AH20">
        <f>IF(Backend!AI47="", "", Backend!AI47)</f>
        <v>0.16772255</v>
      </c>
      <c r="AI20">
        <f>IF(Backend!AJ47="", "", Backend!AJ47)</f>
        <v>0.23667716999999999</v>
      </c>
      <c r="AJ20">
        <f>IF(Backend!AK47="", "", Backend!AK47)</f>
        <v>0.10644768</v>
      </c>
      <c r="AK20">
        <f>IF(Backend!AL47="", "", Backend!AL47)</f>
        <v>0.10195105</v>
      </c>
      <c r="AL20">
        <f>IF(Backend!AM47="", "", Backend!AM47)</f>
        <v>0.2444693</v>
      </c>
      <c r="AM20">
        <f>IF(Backend!AN47="", "", Backend!AN47)</f>
        <v>0.19305214000000001</v>
      </c>
      <c r="AN20">
        <f>IF(Backend!AO47="", "", Backend!AO47)</f>
        <v>0.19716154</v>
      </c>
      <c r="AO20">
        <f>IF(Backend!AP47="", "", Backend!AP47)</f>
        <v>0.12027979</v>
      </c>
      <c r="AP20">
        <f>IF(Backend!AQ47="", "", Backend!AQ47)</f>
        <v>2.4431892E-2</v>
      </c>
      <c r="AQ20">
        <f>IF(Backend!AR47="", "", Backend!AR47)</f>
        <v>9.9813743999999996E-2</v>
      </c>
      <c r="AR20">
        <f>IF(Backend!AS47="", "", Backend!AS47)</f>
        <v>0.55201732999999997</v>
      </c>
      <c r="AS20">
        <f>IF(Backend!AT47="", "", Backend!AT47)</f>
        <v>0.19412299999999999</v>
      </c>
      <c r="AT20">
        <f>IF(Backend!AU47="", "", Backend!AU47)</f>
        <v>0.10610429</v>
      </c>
      <c r="AU20">
        <f>IF(Backend!AV47="", "", Backend!AV47)</f>
        <v>0.23838029999999999</v>
      </c>
      <c r="AV20">
        <f>IF(Backend!AW47="", "", Backend!AW47)</f>
        <v>0.24503411</v>
      </c>
      <c r="AW20">
        <f>IF(Backend!AX47="", "", Backend!AX47)</f>
        <v>5.4117846999999997E-2</v>
      </c>
      <c r="AX20">
        <f>IF(Backend!AY47="", "", Backend!AY47)</f>
        <v>0.19423528000000001</v>
      </c>
      <c r="AY20">
        <f>IF(Backend!AZ47="", "", Backend!AZ47)</f>
        <v>8.5775980000000002E-2</v>
      </c>
      <c r="AZ20">
        <f>IF(Backend!BA47="", "", Backend!BA47)</f>
        <v>0.10647385600000001</v>
      </c>
      <c r="BA20">
        <f>IF(Backend!BB47="", "", Backend!BB47)</f>
        <v>0.17579706</v>
      </c>
      <c r="BB20">
        <f>IF(Backend!BC47="", "", Backend!BC47)</f>
        <v>0.16068196000000001</v>
      </c>
      <c r="BC20">
        <f>IF(Backend!BD47="", "", Backend!BD47)</f>
        <v>0.15127167</v>
      </c>
      <c r="BD20">
        <f>IF(Backend!BE47="", "", Backend!BE47)</f>
        <v>0.30996667999999999</v>
      </c>
      <c r="BE20">
        <f>IF(Backend!BF47="", "", Backend!BF47)</f>
        <v>0.21228242999999999</v>
      </c>
      <c r="BF20">
        <f>IF(Backend!BG47="", "", Backend!BG47)</f>
        <v>0.13016285999999999</v>
      </c>
      <c r="BG20">
        <f>IF(Backend!BH47="", "", Backend!BH47)</f>
        <v>0.16751832</v>
      </c>
      <c r="BH20">
        <f>IF(Backend!BI47="", "", Backend!BI47)</f>
        <v>7.0525149999999995E-2</v>
      </c>
      <c r="BI20" t="str">
        <f>IF(Backend!BJ47="", "", Backend!BJ47)</f>
        <v/>
      </c>
      <c r="BJ20" t="str">
        <f>IF(Backend!BK47="", "", Backend!BK47)</f>
        <v/>
      </c>
      <c r="BK20" t="str">
        <f>IF(Backend!BL47="", "", Backend!BL47)</f>
        <v/>
      </c>
      <c r="BL20" t="str">
        <f>IF(Backend!BM47="", "", Backend!BM47)</f>
        <v/>
      </c>
      <c r="BM20" t="str">
        <f>IF(Backend!BN47="", "", Backend!BN47)</f>
        <v/>
      </c>
      <c r="BN20" t="str">
        <f>IF(Backend!BO47="", "", Backend!BO47)</f>
        <v/>
      </c>
      <c r="BO20" t="str">
        <f>IF(Backend!BP47="", "", Backend!BP47)</f>
        <v/>
      </c>
      <c r="BP20" t="str">
        <f>IF(Backend!BQ47="", "", Backend!BQ47)</f>
        <v/>
      </c>
      <c r="BQ20" t="str">
        <f>IF(Backend!BR47="", "", Backend!BR47)</f>
        <v/>
      </c>
      <c r="BR20" t="str">
        <f>IF(Backend!BS47="", "", Backend!BS47)</f>
        <v/>
      </c>
      <c r="BS20" t="str">
        <f>IF(Backend!BT47="", "", Backend!BT47)</f>
        <v/>
      </c>
      <c r="BT20" t="str">
        <f>IF(Backend!BU47="", "", Backend!BU47)</f>
        <v/>
      </c>
      <c r="BU20" t="str">
        <f>IF(Backend!BV47="", "", Backend!BV47)</f>
        <v/>
      </c>
      <c r="BV20" t="str">
        <f>IF(Backend!BW47="", "", Backend!BW47)</f>
        <v/>
      </c>
      <c r="BW20" t="str">
        <f>IF(Backend!BX47="", "", Backend!BX47)</f>
        <v/>
      </c>
      <c r="BX20" t="str">
        <f>IF(Backend!BY47="", "", Backend!BY47)</f>
        <v/>
      </c>
      <c r="BY20" t="str">
        <f>IF(Backend!BZ47="", "", Backend!BZ47)</f>
        <v/>
      </c>
      <c r="BZ20" t="str">
        <f>IF(Backend!CA47="", "", Backend!CA47)</f>
        <v/>
      </c>
      <c r="CA20" t="str">
        <f>IF(Backend!CB47="", "", Backend!CB47)</f>
        <v/>
      </c>
      <c r="CB20" t="str">
        <f>IF(Backend!CC47="", "", Backend!CC47)</f>
        <v/>
      </c>
      <c r="CC20" t="str">
        <f>IF(Backend!CD47="", "", Backend!CD47)</f>
        <v/>
      </c>
    </row>
    <row r="21" spans="1:81" x14ac:dyDescent="0.25">
      <c r="A21" s="4" t="str">
        <f>IF(Backend!A48="", "", Backend!A48)</f>
        <v>H.U.Group Holdings, Inc.</v>
      </c>
      <c r="B21">
        <f>IF(Backend!C48="", "", Backend!C48)</f>
        <v>0.12580854</v>
      </c>
      <c r="C21">
        <f>IF(Backend!D48="", "", Backend!D48)</f>
        <v>5.1864404000000003E-2</v>
      </c>
      <c r="D21">
        <f>IF(Backend!E48="", "", Backend!E48)</f>
        <v>9.7278970000000006E-2</v>
      </c>
      <c r="E21">
        <f>IF(Backend!F48="", "", Backend!F48)</f>
        <v>2.0722293000000002E-3</v>
      </c>
      <c r="F21">
        <f>IF(Backend!G48="", "", Backend!G48)</f>
        <v>1.608673E-2</v>
      </c>
      <c r="G21">
        <f>IF(Backend!H48="", "", Backend!H48)</f>
        <v>9.6776979999999999E-2</v>
      </c>
      <c r="H21">
        <f>IF(Backend!I48="", "", Backend!I48)</f>
        <v>6.1505597000000002E-2</v>
      </c>
      <c r="I21">
        <f>IF(Backend!J48="", "", Backend!J48)</f>
        <v>0.11698209499999999</v>
      </c>
      <c r="J21">
        <f>IF(Backend!K48="", "", Backend!K48)</f>
        <v>-2.5161894000000001E-2</v>
      </c>
      <c r="K21">
        <f>IF(Backend!L48="", "", Backend!L48)</f>
        <v>9.3546790000000005E-2</v>
      </c>
      <c r="L21">
        <f>IF(Backend!M48="", "", Backend!M48)</f>
        <v>7.6597445E-2</v>
      </c>
      <c r="M21">
        <f>IF(Backend!N48="", "", Backend!N48)</f>
        <v>7.7350210000000003E-2</v>
      </c>
      <c r="N21">
        <f>IF(Backend!O48="", "", Backend!O48)</f>
        <v>7.2240509999999994E-2</v>
      </c>
      <c r="O21">
        <f>IF(Backend!P48="", "", Backend!P48)</f>
        <v>0.26870572999999998</v>
      </c>
      <c r="P21">
        <f>IF(Backend!Q48="", "", Backend!Q48)</f>
        <v>0.108455464</v>
      </c>
      <c r="Q21">
        <f>IF(Backend!R48="", "", Backend!R48)</f>
        <v>6.0448559999999998E-2</v>
      </c>
      <c r="R21">
        <f>IF(Backend!S48="", "", Backend!S48)</f>
        <v>0.10093196</v>
      </c>
      <c r="S21">
        <f>IF(Backend!T48="", "", Backend!T48)</f>
        <v>1</v>
      </c>
      <c r="T21">
        <f>IF(Backend!U48="", "", Backend!U48)</f>
        <v>-3.6401875E-2</v>
      </c>
      <c r="U21">
        <f>IF(Backend!V48="", "", Backend!V48)</f>
        <v>0.13853398</v>
      </c>
      <c r="V21">
        <f>IF(Backend!W48="", "", Backend!W48)</f>
        <v>-1.9091014E-2</v>
      </c>
      <c r="W21">
        <f>IF(Backend!X48="", "", Backend!X48)</f>
        <v>3.9148000000000002E-2</v>
      </c>
      <c r="X21">
        <f>IF(Backend!Y48="", "", Backend!Y48)</f>
        <v>0.16316432</v>
      </c>
      <c r="Y21">
        <f>IF(Backend!Z48="", "", Backend!Z48)</f>
        <v>8.560384E-2</v>
      </c>
      <c r="Z21">
        <f>IF(Backend!AA48="", "", Backend!AA48)</f>
        <v>0.13210414000000001</v>
      </c>
      <c r="AA21">
        <f>IF(Backend!AB48="", "", Backend!AB48)</f>
        <v>7.1470249999999999E-2</v>
      </c>
      <c r="AB21">
        <f>IF(Backend!AC48="", "", Backend!AC48)</f>
        <v>5.8947223999999999E-3</v>
      </c>
      <c r="AC21">
        <f>IF(Backend!AD48="", "", Backend!AD48)</f>
        <v>-5.695683E-3</v>
      </c>
      <c r="AD21">
        <f>IF(Backend!AE48="", "", Backend!AE48)</f>
        <v>-1.4013441999999999E-2</v>
      </c>
      <c r="AE21">
        <f>IF(Backend!AF48="", "", Backend!AF48)</f>
        <v>3.3569080000000001E-2</v>
      </c>
      <c r="AF21">
        <f>IF(Backend!AG48="", "", Backend!AG48)</f>
        <v>0.41233556999999998</v>
      </c>
      <c r="AG21">
        <f>IF(Backend!AH48="", "", Backend!AH48)</f>
        <v>6.7766209999999993E-2</v>
      </c>
      <c r="AH21">
        <f>IF(Backend!AI48="", "", Backend!AI48)</f>
        <v>4.5703832E-2</v>
      </c>
      <c r="AI21">
        <f>IF(Backend!AJ48="", "", Backend!AJ48)</f>
        <v>3.4981249999999998E-2</v>
      </c>
      <c r="AJ21">
        <f>IF(Backend!AK48="", "", Backend!AK48)</f>
        <v>0.27410003999999999</v>
      </c>
      <c r="AK21">
        <f>IF(Backend!AL48="", "", Backend!AL48)</f>
        <v>0.27940333000000001</v>
      </c>
      <c r="AL21">
        <f>IF(Backend!AM48="", "", Backend!AM48)</f>
        <v>4.4223208E-2</v>
      </c>
      <c r="AM21">
        <f>IF(Backend!AN48="", "", Backend!AN48)</f>
        <v>9.8074819999999993E-2</v>
      </c>
      <c r="AN21">
        <f>IF(Backend!AO48="", "", Backend!AO48)</f>
        <v>2.1762179999999999E-2</v>
      </c>
      <c r="AO21">
        <f>IF(Backend!AP48="", "", Backend!AP48)</f>
        <v>0.27460316000000001</v>
      </c>
      <c r="AP21">
        <f>IF(Backend!AQ48="", "", Backend!AQ48)</f>
        <v>2.8448040000000001E-2</v>
      </c>
      <c r="AQ21">
        <f>IF(Backend!AR48="", "", Backend!AR48)</f>
        <v>0.13392947999999999</v>
      </c>
      <c r="AR21">
        <f>IF(Backend!AS48="", "", Backend!AS48)</f>
        <v>5.7918690000000002E-2</v>
      </c>
      <c r="AS21">
        <f>IF(Backend!AT48="", "", Backend!AT48)</f>
        <v>0.11933439999999999</v>
      </c>
      <c r="AT21">
        <f>IF(Backend!AU48="", "", Backend!AU48)</f>
        <v>0.13886688999999999</v>
      </c>
      <c r="AU21">
        <f>IF(Backend!AV48="", "", Backend!AV48)</f>
        <v>3.6565933000000002E-2</v>
      </c>
      <c r="AV21">
        <f>IF(Backend!AW48="", "", Backend!AW48)</f>
        <v>4.2250910000000003E-3</v>
      </c>
      <c r="AW21">
        <f>IF(Backend!AX48="", "", Backend!AX48)</f>
        <v>4.7844115999999999E-2</v>
      </c>
      <c r="AX21">
        <f>IF(Backend!AY48="", "", Backend!AY48)</f>
        <v>9.6310190000000004E-2</v>
      </c>
      <c r="AY21">
        <f>IF(Backend!AZ48="", "", Backend!AZ48)</f>
        <v>4.9683302999999998E-2</v>
      </c>
      <c r="AZ21">
        <f>IF(Backend!BA48="", "", Backend!BA48)</f>
        <v>0.29226111999999999</v>
      </c>
      <c r="BA21">
        <f>IF(Backend!BB48="", "", Backend!BB48)</f>
        <v>8.6646829999999994E-2</v>
      </c>
      <c r="BB21">
        <f>IF(Backend!BC48="", "", Backend!BC48)</f>
        <v>9.2488340000000002E-2</v>
      </c>
      <c r="BC21">
        <f>IF(Backend!BD48="", "", Backend!BD48)</f>
        <v>-3.8159136000000003E-2</v>
      </c>
      <c r="BD21">
        <f>IF(Backend!BE48="", "", Backend!BE48)</f>
        <v>0.103297204</v>
      </c>
      <c r="BE21">
        <f>IF(Backend!BF48="", "", Backend!BF48)</f>
        <v>8.6316160000000003E-2</v>
      </c>
      <c r="BF21">
        <f>IF(Backend!BG48="", "", Backend!BG48)</f>
        <v>8.1012845E-2</v>
      </c>
      <c r="BG21">
        <f>IF(Backend!BH48="", "", Backend!BH48)</f>
        <v>2.5230933000000001E-2</v>
      </c>
      <c r="BH21">
        <f>IF(Backend!BI48="", "", Backend!BI48)</f>
        <v>1.0673116E-2</v>
      </c>
      <c r="BI21" t="str">
        <f>IF(Backend!BJ48="", "", Backend!BJ48)</f>
        <v/>
      </c>
      <c r="BJ21" t="str">
        <f>IF(Backend!BK48="", "", Backend!BK48)</f>
        <v/>
      </c>
      <c r="BK21" t="str">
        <f>IF(Backend!BL48="", "", Backend!BL48)</f>
        <v/>
      </c>
      <c r="BL21" t="str">
        <f>IF(Backend!BM48="", "", Backend!BM48)</f>
        <v/>
      </c>
      <c r="BM21" t="str">
        <f>IF(Backend!BN48="", "", Backend!BN48)</f>
        <v/>
      </c>
      <c r="BN21" t="str">
        <f>IF(Backend!BO48="", "", Backend!BO48)</f>
        <v/>
      </c>
      <c r="BO21" t="str">
        <f>IF(Backend!BP48="", "", Backend!BP48)</f>
        <v/>
      </c>
      <c r="BP21" t="str">
        <f>IF(Backend!BQ48="", "", Backend!BQ48)</f>
        <v/>
      </c>
      <c r="BQ21" t="str">
        <f>IF(Backend!BR48="", "", Backend!BR48)</f>
        <v/>
      </c>
      <c r="BR21" t="str">
        <f>IF(Backend!BS48="", "", Backend!BS48)</f>
        <v/>
      </c>
      <c r="BS21" t="str">
        <f>IF(Backend!BT48="", "", Backend!BT48)</f>
        <v/>
      </c>
      <c r="BT21" t="str">
        <f>IF(Backend!BU48="", "", Backend!BU48)</f>
        <v/>
      </c>
      <c r="BU21" t="str">
        <f>IF(Backend!BV48="", "", Backend!BV48)</f>
        <v/>
      </c>
      <c r="BV21" t="str">
        <f>IF(Backend!BW48="", "", Backend!BW48)</f>
        <v/>
      </c>
      <c r="BW21" t="str">
        <f>IF(Backend!BX48="", "", Backend!BX48)</f>
        <v/>
      </c>
      <c r="BX21" t="str">
        <f>IF(Backend!BY48="", "", Backend!BY48)</f>
        <v/>
      </c>
      <c r="BY21" t="str">
        <f>IF(Backend!BZ48="", "", Backend!BZ48)</f>
        <v/>
      </c>
      <c r="BZ21" t="str">
        <f>IF(Backend!CA48="", "", Backend!CA48)</f>
        <v/>
      </c>
      <c r="CA21" t="str">
        <f>IF(Backend!CB48="", "", Backend!CB48)</f>
        <v/>
      </c>
      <c r="CB21" t="str">
        <f>IF(Backend!CC48="", "", Backend!CC48)</f>
        <v/>
      </c>
      <c r="CC21" t="str">
        <f>IF(Backend!CD48="", "", Backend!CD48)</f>
        <v/>
      </c>
    </row>
    <row r="22" spans="1:81" x14ac:dyDescent="0.25">
      <c r="A22" s="4" t="str">
        <f>IF(Backend!A49="", "", Backend!A49)</f>
        <v>Halliburton Company</v>
      </c>
      <c r="B22">
        <f>IF(Backend!C49="", "", Backend!C49)</f>
        <v>0.21129539999999999</v>
      </c>
      <c r="C22">
        <f>IF(Backend!D49="", "", Backend!D49)</f>
        <v>0.33170706</v>
      </c>
      <c r="D22">
        <f>IF(Backend!E49="", "", Backend!E49)</f>
        <v>8.0474379999999998E-2</v>
      </c>
      <c r="E22">
        <f>IF(Backend!F49="", "", Backend!F49)</f>
        <v>0.35890490000000003</v>
      </c>
      <c r="F22">
        <f>IF(Backend!G49="", "", Backend!G49)</f>
        <v>0.12201606500000001</v>
      </c>
      <c r="G22">
        <f>IF(Backend!H49="", "", Backend!H49)</f>
        <v>5.8869856999999998E-2</v>
      </c>
      <c r="H22">
        <f>IF(Backend!I49="", "", Backend!I49)</f>
        <v>0.28608724000000002</v>
      </c>
      <c r="I22">
        <f>IF(Backend!J49="", "", Backend!J49)</f>
        <v>0.18306157000000001</v>
      </c>
      <c r="J22">
        <f>IF(Backend!K49="", "", Backend!K49)</f>
        <v>0.15081222</v>
      </c>
      <c r="K22">
        <f>IF(Backend!L49="", "", Backend!L49)</f>
        <v>0.13503575000000001</v>
      </c>
      <c r="L22">
        <f>IF(Backend!M49="", "", Backend!M49)</f>
        <v>0.13717712000000001</v>
      </c>
      <c r="M22">
        <f>IF(Backend!N49="", "", Backend!N49)</f>
        <v>9.9286990000000006E-2</v>
      </c>
      <c r="N22">
        <f>IF(Backend!O49="", "", Backend!O49)</f>
        <v>0.22913106</v>
      </c>
      <c r="O22">
        <f>IF(Backend!P49="", "", Backend!P49)</f>
        <v>5.2873644999999997E-2</v>
      </c>
      <c r="P22">
        <f>IF(Backend!Q49="", "", Backend!Q49)</f>
        <v>0.22731287999999999</v>
      </c>
      <c r="Q22">
        <f>IF(Backend!R49="", "", Backend!R49)</f>
        <v>0.48262694</v>
      </c>
      <c r="R22">
        <f>IF(Backend!S49="", "", Backend!S49)</f>
        <v>4.3541204E-2</v>
      </c>
      <c r="S22">
        <f>IF(Backend!T49="", "", Backend!T49)</f>
        <v>-3.6401875E-2</v>
      </c>
      <c r="T22">
        <f>IF(Backend!U49="", "", Backend!U49)</f>
        <v>1</v>
      </c>
      <c r="U22">
        <f>IF(Backend!V49="", "", Backend!V49)</f>
        <v>6.5254220000000002E-2</v>
      </c>
      <c r="V22">
        <f>IF(Backend!W49="", "", Backend!W49)</f>
        <v>0.38383803</v>
      </c>
      <c r="W22">
        <f>IF(Backend!X49="", "", Backend!X49)</f>
        <v>0.24898829</v>
      </c>
      <c r="X22">
        <f>IF(Backend!Y49="", "", Backend!Y49)</f>
        <v>6.9411020000000004E-2</v>
      </c>
      <c r="Y22">
        <f>IF(Backend!Z49="", "", Backend!Z49)</f>
        <v>0.13636756</v>
      </c>
      <c r="Z22">
        <f>IF(Backend!AA49="", "", Backend!AA49)</f>
        <v>-5.2367834999999998E-3</v>
      </c>
      <c r="AA22">
        <f>IF(Backend!AB49="", "", Backend!AB49)</f>
        <v>0.13606388999999999</v>
      </c>
      <c r="AB22">
        <f>IF(Backend!AC49="", "", Backend!AC49)</f>
        <v>0.42129913000000002</v>
      </c>
      <c r="AC22">
        <f>IF(Backend!AD49="", "", Backend!AD49)</f>
        <v>0.58403145999999995</v>
      </c>
      <c r="AD22">
        <f>IF(Backend!AE49="", "", Backend!AE49)</f>
        <v>0.30889212999999999</v>
      </c>
      <c r="AE22">
        <f>IF(Backend!AF49="", "", Backend!AF49)</f>
        <v>0.3522306</v>
      </c>
      <c r="AF22">
        <f>IF(Backend!AG49="", "", Backend!AG49)</f>
        <v>-2.9282262999999999E-2</v>
      </c>
      <c r="AG22">
        <f>IF(Backend!AH49="", "", Backend!AH49)</f>
        <v>0.31727365000000002</v>
      </c>
      <c r="AH22">
        <f>IF(Backend!AI49="", "", Backend!AI49)</f>
        <v>0.25940686000000002</v>
      </c>
      <c r="AI22">
        <f>IF(Backend!AJ49="", "", Backend!AJ49)</f>
        <v>0.26986969999999999</v>
      </c>
      <c r="AJ22">
        <f>IF(Backend!AK49="", "", Backend!AK49)</f>
        <v>8.3436140000000006E-2</v>
      </c>
      <c r="AK22">
        <f>IF(Backend!AL49="", "", Backend!AL49)</f>
        <v>-2.3900593000000001E-2</v>
      </c>
      <c r="AL22">
        <f>IF(Backend!AM49="", "", Backend!AM49)</f>
        <v>0.12553738</v>
      </c>
      <c r="AM22">
        <f>IF(Backend!AN49="", "", Backend!AN49)</f>
        <v>8.6439530000000001E-2</v>
      </c>
      <c r="AN22">
        <f>IF(Backend!AO49="", "", Backend!AO49)</f>
        <v>0.52620900000000004</v>
      </c>
      <c r="AO22">
        <f>IF(Backend!AP49="", "", Backend!AP49)</f>
        <v>7.6774480000000006E-2</v>
      </c>
      <c r="AP22">
        <f>IF(Backend!AQ49="", "", Backend!AQ49)</f>
        <v>0.25650119999999998</v>
      </c>
      <c r="AQ22">
        <f>IF(Backend!AR49="", "", Backend!AR49)</f>
        <v>6.0176781999999998E-2</v>
      </c>
      <c r="AR22">
        <f>IF(Backend!AS49="", "", Backend!AS49)</f>
        <v>2.9192177999999999E-2</v>
      </c>
      <c r="AS22">
        <f>IF(Backend!AT49="", "", Backend!AT49)</f>
        <v>0.115883216</v>
      </c>
      <c r="AT22">
        <f>IF(Backend!AU49="", "", Backend!AU49)</f>
        <v>7.7347219999999994E-2</v>
      </c>
      <c r="AU22">
        <f>IF(Backend!AV49="", "", Backend!AV49)</f>
        <v>0.26809706999999999</v>
      </c>
      <c r="AV22">
        <f>IF(Backend!AW49="", "", Backend!AW49)</f>
        <v>0.32246202000000002</v>
      </c>
      <c r="AW22">
        <f>IF(Backend!AX49="", "", Backend!AX49)</f>
        <v>0.31496045</v>
      </c>
      <c r="AX22">
        <f>IF(Backend!AY49="", "", Backend!AY49)</f>
        <v>0.16499679</v>
      </c>
      <c r="AY22">
        <f>IF(Backend!AZ49="", "", Backend!AZ49)</f>
        <v>0.39414006000000001</v>
      </c>
      <c r="AZ22">
        <f>IF(Backend!BA49="", "", Backend!BA49)</f>
        <v>6.1953899999999999E-2</v>
      </c>
      <c r="BA22">
        <f>IF(Backend!BB49="", "", Backend!BB49)</f>
        <v>0.15446173999999999</v>
      </c>
      <c r="BB22">
        <f>IF(Backend!BC49="", "", Backend!BC49)</f>
        <v>0.12144407</v>
      </c>
      <c r="BC22">
        <f>IF(Backend!BD49="", "", Backend!BD49)</f>
        <v>0.26062265000000001</v>
      </c>
      <c r="BD22">
        <f>IF(Backend!BE49="", "", Backend!BE49)</f>
        <v>0.17167673</v>
      </c>
      <c r="BE22">
        <f>IF(Backend!BF49="", "", Backend!BF49)</f>
        <v>0.22857767000000001</v>
      </c>
      <c r="BF22">
        <f>IF(Backend!BG49="", "", Backend!BG49)</f>
        <v>0.19618139000000001</v>
      </c>
      <c r="BG22">
        <f>IF(Backend!BH49="", "", Backend!BH49)</f>
        <v>0.27153537</v>
      </c>
      <c r="BH22">
        <f>IF(Backend!BI49="", "", Backend!BI49)</f>
        <v>0.33577746000000003</v>
      </c>
      <c r="BI22" t="str">
        <f>IF(Backend!BJ49="", "", Backend!BJ49)</f>
        <v/>
      </c>
      <c r="BJ22" t="str">
        <f>IF(Backend!BK49="", "", Backend!BK49)</f>
        <v/>
      </c>
      <c r="BK22" t="str">
        <f>IF(Backend!BL49="", "", Backend!BL49)</f>
        <v/>
      </c>
      <c r="BL22" t="str">
        <f>IF(Backend!BM49="", "", Backend!BM49)</f>
        <v/>
      </c>
      <c r="BM22" t="str">
        <f>IF(Backend!BN49="", "", Backend!BN49)</f>
        <v/>
      </c>
      <c r="BN22" t="str">
        <f>IF(Backend!BO49="", "", Backend!BO49)</f>
        <v/>
      </c>
      <c r="BO22" t="str">
        <f>IF(Backend!BP49="", "", Backend!BP49)</f>
        <v/>
      </c>
      <c r="BP22" t="str">
        <f>IF(Backend!BQ49="", "", Backend!BQ49)</f>
        <v/>
      </c>
      <c r="BQ22" t="str">
        <f>IF(Backend!BR49="", "", Backend!BR49)</f>
        <v/>
      </c>
      <c r="BR22" t="str">
        <f>IF(Backend!BS49="", "", Backend!BS49)</f>
        <v/>
      </c>
      <c r="BS22" t="str">
        <f>IF(Backend!BT49="", "", Backend!BT49)</f>
        <v/>
      </c>
      <c r="BT22" t="str">
        <f>IF(Backend!BU49="", "", Backend!BU49)</f>
        <v/>
      </c>
      <c r="BU22" t="str">
        <f>IF(Backend!BV49="", "", Backend!BV49)</f>
        <v/>
      </c>
      <c r="BV22" t="str">
        <f>IF(Backend!BW49="", "", Backend!BW49)</f>
        <v/>
      </c>
      <c r="BW22" t="str">
        <f>IF(Backend!BX49="", "", Backend!BX49)</f>
        <v/>
      </c>
      <c r="BX22" t="str">
        <f>IF(Backend!BY49="", "", Backend!BY49)</f>
        <v/>
      </c>
      <c r="BY22" t="str">
        <f>IF(Backend!BZ49="", "", Backend!BZ49)</f>
        <v/>
      </c>
      <c r="BZ22" t="str">
        <f>IF(Backend!CA49="", "", Backend!CA49)</f>
        <v/>
      </c>
      <c r="CA22" t="str">
        <f>IF(Backend!CB49="", "", Backend!CB49)</f>
        <v/>
      </c>
      <c r="CB22" t="str">
        <f>IF(Backend!CC49="", "", Backend!CC49)</f>
        <v/>
      </c>
      <c r="CC22" t="str">
        <f>IF(Backend!CD49="", "", Backend!CD49)</f>
        <v/>
      </c>
    </row>
    <row r="23" spans="1:81" x14ac:dyDescent="0.25">
      <c r="A23" s="4" t="str">
        <f>IF(Backend!A50="", "", Backend!A50)</f>
        <v>HANKOOK TIRE &amp; TECHNOLOGY Co., Ltd.</v>
      </c>
      <c r="B23">
        <f>IF(Backend!C50="", "", Backend!C50)</f>
        <v>0.139763</v>
      </c>
      <c r="C23">
        <f>IF(Backend!D50="", "", Backend!D50)</f>
        <v>0.12959493999999999</v>
      </c>
      <c r="D23">
        <f>IF(Backend!E50="", "", Backend!E50)</f>
        <v>0.14139457</v>
      </c>
      <c r="E23">
        <f>IF(Backend!F50="", "", Backend!F50)</f>
        <v>4.2003355999999999E-2</v>
      </c>
      <c r="F23">
        <f>IF(Backend!G50="", "", Backend!G50)</f>
        <v>0.11337348</v>
      </c>
      <c r="G23">
        <f>IF(Backend!H50="", "", Backend!H50)</f>
        <v>0.19740953999999999</v>
      </c>
      <c r="H23">
        <f>IF(Backend!I50="", "", Backend!I50)</f>
        <v>0.12476337</v>
      </c>
      <c r="I23">
        <f>IF(Backend!J50="", "", Backend!J50)</f>
        <v>5.2054499999999997E-2</v>
      </c>
      <c r="J23">
        <f>IF(Backend!K50="", "", Backend!K50)</f>
        <v>9.6381910000000008E-3</v>
      </c>
      <c r="K23">
        <f>IF(Backend!L50="", "", Backend!L50)</f>
        <v>0.12392105</v>
      </c>
      <c r="L23">
        <f>IF(Backend!M50="", "", Backend!M50)</f>
        <v>0.10975981999999999</v>
      </c>
      <c r="M23">
        <f>IF(Backend!N50="", "", Backend!N50)</f>
        <v>5.0768689999999998E-2</v>
      </c>
      <c r="N23">
        <f>IF(Backend!O50="", "", Backend!O50)</f>
        <v>0.12442810999999999</v>
      </c>
      <c r="O23">
        <f>IF(Backend!P50="", "", Backend!P50)</f>
        <v>0.19752586999999999</v>
      </c>
      <c r="P23">
        <f>IF(Backend!Q50="", "", Backend!Q50)</f>
        <v>0.11706742000000001</v>
      </c>
      <c r="Q23">
        <f>IF(Backend!R50="", "", Backend!R50)</f>
        <v>9.0685929999999998E-2</v>
      </c>
      <c r="R23">
        <f>IF(Backend!S50="", "", Backend!S50)</f>
        <v>-4.9030510000000003E-3</v>
      </c>
      <c r="S23">
        <f>IF(Backend!T50="", "", Backend!T50)</f>
        <v>0.13853398</v>
      </c>
      <c r="T23">
        <f>IF(Backend!U50="", "", Backend!U50)</f>
        <v>6.5254220000000002E-2</v>
      </c>
      <c r="U23">
        <f>IF(Backend!V50="", "", Backend!V50)</f>
        <v>1</v>
      </c>
      <c r="V23">
        <f>IF(Backend!W50="", "", Backend!W50)</f>
        <v>8.2948530000000006E-2</v>
      </c>
      <c r="W23">
        <f>IF(Backend!X50="", "", Backend!X50)</f>
        <v>4.8760972999999999E-2</v>
      </c>
      <c r="X23">
        <f>IF(Backend!Y50="", "", Backend!Y50)</f>
        <v>0.34362248000000001</v>
      </c>
      <c r="Y23">
        <f>IF(Backend!Z50="", "", Backend!Z50)</f>
        <v>0.11790707</v>
      </c>
      <c r="Z23">
        <f>IF(Backend!AA50="", "", Backend!AA50)</f>
        <v>3.9994533999999998E-2</v>
      </c>
      <c r="AA23">
        <f>IF(Backend!AB50="", "", Backend!AB50)</f>
        <v>1.5610277000000001E-2</v>
      </c>
      <c r="AB23">
        <f>IF(Backend!AC50="", "", Backend!AC50)</f>
        <v>7.4890310000000002E-2</v>
      </c>
      <c r="AC23">
        <f>IF(Backend!AD50="", "", Backend!AD50)</f>
        <v>8.7476979999999996E-2</v>
      </c>
      <c r="AD23">
        <f>IF(Backend!AE50="", "", Backend!AE50)</f>
        <v>7.6550594999999999E-2</v>
      </c>
      <c r="AE23">
        <f>IF(Backend!AF50="", "", Backend!AF50)</f>
        <v>6.4905660000000004E-2</v>
      </c>
      <c r="AF23">
        <f>IF(Backend!AG50="", "", Backend!AG50)</f>
        <v>0.16245346999999999</v>
      </c>
      <c r="AG23">
        <f>IF(Backend!AH50="", "", Backend!AH50)</f>
        <v>7.2060550000000001E-2</v>
      </c>
      <c r="AH23">
        <f>IF(Backend!AI50="", "", Backend!AI50)</f>
        <v>-5.7963190000000003E-3</v>
      </c>
      <c r="AI23">
        <f>IF(Backend!AJ50="", "", Backend!AJ50)</f>
        <v>9.46327E-2</v>
      </c>
      <c r="AJ23">
        <f>IF(Backend!AK50="", "", Backend!AK50)</f>
        <v>0.17701576999999999</v>
      </c>
      <c r="AK23">
        <f>IF(Backend!AL50="", "", Backend!AL50)</f>
        <v>0.18637525999999999</v>
      </c>
      <c r="AL23">
        <f>IF(Backend!AM50="", "", Backend!AM50)</f>
        <v>-5.0917406999999998E-3</v>
      </c>
      <c r="AM23">
        <f>IF(Backend!AN50="", "", Backend!AN50)</f>
        <v>0.12275454</v>
      </c>
      <c r="AN23">
        <f>IF(Backend!AO50="", "", Backend!AO50)</f>
        <v>0.12983648</v>
      </c>
      <c r="AO23">
        <f>IF(Backend!AP50="", "", Backend!AP50)</f>
        <v>0.27847191999999998</v>
      </c>
      <c r="AP23">
        <f>IF(Backend!AQ50="", "", Backend!AQ50)</f>
        <v>8.3851665000000006E-2</v>
      </c>
      <c r="AQ23">
        <f>IF(Backend!AR50="", "", Backend!AR50)</f>
        <v>0.39042529999999998</v>
      </c>
      <c r="AR23">
        <f>IF(Backend!AS50="", "", Backend!AS50)</f>
        <v>1.02453735E-2</v>
      </c>
      <c r="AS23">
        <f>IF(Backend!AT50="", "", Backend!AT50)</f>
        <v>5.0219729999999997E-2</v>
      </c>
      <c r="AT23">
        <f>IF(Backend!AU50="", "", Backend!AU50)</f>
        <v>0.37145030000000001</v>
      </c>
      <c r="AU23">
        <f>IF(Backend!AV50="", "", Backend!AV50)</f>
        <v>0.10639895000000001</v>
      </c>
      <c r="AV23">
        <f>IF(Backend!AW50="", "", Backend!AW50)</f>
        <v>0.11423080400000001</v>
      </c>
      <c r="AW23">
        <f>IF(Backend!AX50="", "", Backend!AX50)</f>
        <v>0.10793806</v>
      </c>
      <c r="AX23">
        <f>IF(Backend!AY50="", "", Backend!AY50)</f>
        <v>0.13309962</v>
      </c>
      <c r="AY23">
        <f>IF(Backend!AZ50="", "", Backend!AZ50)</f>
        <v>0.11719091</v>
      </c>
      <c r="AZ23">
        <f>IF(Backend!BA50="", "", Backend!BA50)</f>
        <v>0.25578865000000001</v>
      </c>
      <c r="BA23">
        <f>IF(Backend!BB50="", "", Backend!BB50)</f>
        <v>9.668562E-2</v>
      </c>
      <c r="BB23">
        <f>IF(Backend!BC50="", "", Backend!BC50)</f>
        <v>4.0059182999999998E-2</v>
      </c>
      <c r="BC23">
        <f>IF(Backend!BD50="", "", Backend!BD50)</f>
        <v>1.8900960000000001E-2</v>
      </c>
      <c r="BD23">
        <f>IF(Backend!BE50="", "", Backend!BE50)</f>
        <v>7.6156124000000006E-2</v>
      </c>
      <c r="BE23">
        <f>IF(Backend!BF50="", "", Backend!BF50)</f>
        <v>0.16491829</v>
      </c>
      <c r="BF23">
        <f>IF(Backend!BG50="", "", Backend!BG50)</f>
        <v>4.4695776E-2</v>
      </c>
      <c r="BG23">
        <f>IF(Backend!BH50="", "", Backend!BH50)</f>
        <v>8.3191479999999998E-2</v>
      </c>
      <c r="BH23">
        <f>IF(Backend!BI50="", "", Backend!BI50)</f>
        <v>6.8182043999999997E-2</v>
      </c>
      <c r="BI23" t="str">
        <f>IF(Backend!BJ50="", "", Backend!BJ50)</f>
        <v/>
      </c>
      <c r="BJ23" t="str">
        <f>IF(Backend!BK50="", "", Backend!BK50)</f>
        <v/>
      </c>
      <c r="BK23" t="str">
        <f>IF(Backend!BL50="", "", Backend!BL50)</f>
        <v/>
      </c>
      <c r="BL23" t="str">
        <f>IF(Backend!BM50="", "", Backend!BM50)</f>
        <v/>
      </c>
      <c r="BM23" t="str">
        <f>IF(Backend!BN50="", "", Backend!BN50)</f>
        <v/>
      </c>
      <c r="BN23" t="str">
        <f>IF(Backend!BO50="", "", Backend!BO50)</f>
        <v/>
      </c>
      <c r="BO23" t="str">
        <f>IF(Backend!BP50="", "", Backend!BP50)</f>
        <v/>
      </c>
      <c r="BP23" t="str">
        <f>IF(Backend!BQ50="", "", Backend!BQ50)</f>
        <v/>
      </c>
      <c r="BQ23" t="str">
        <f>IF(Backend!BR50="", "", Backend!BR50)</f>
        <v/>
      </c>
      <c r="BR23" t="str">
        <f>IF(Backend!BS50="", "", Backend!BS50)</f>
        <v/>
      </c>
      <c r="BS23" t="str">
        <f>IF(Backend!BT50="", "", Backend!BT50)</f>
        <v/>
      </c>
      <c r="BT23" t="str">
        <f>IF(Backend!BU50="", "", Backend!BU50)</f>
        <v/>
      </c>
      <c r="BU23" t="str">
        <f>IF(Backend!BV50="", "", Backend!BV50)</f>
        <v/>
      </c>
      <c r="BV23" t="str">
        <f>IF(Backend!BW50="", "", Backend!BW50)</f>
        <v/>
      </c>
      <c r="BW23" t="str">
        <f>IF(Backend!BX50="", "", Backend!BX50)</f>
        <v/>
      </c>
      <c r="BX23" t="str">
        <f>IF(Backend!BY50="", "", Backend!BY50)</f>
        <v/>
      </c>
      <c r="BY23" t="str">
        <f>IF(Backend!BZ50="", "", Backend!BZ50)</f>
        <v/>
      </c>
      <c r="BZ23" t="str">
        <f>IF(Backend!CA50="", "", Backend!CA50)</f>
        <v/>
      </c>
      <c r="CA23" t="str">
        <f>IF(Backend!CB50="", "", Backend!CB50)</f>
        <v/>
      </c>
      <c r="CB23" t="str">
        <f>IF(Backend!CC50="", "", Backend!CC50)</f>
        <v/>
      </c>
      <c r="CC23" t="str">
        <f>IF(Backend!CD50="", "", Backend!CD50)</f>
        <v/>
      </c>
    </row>
    <row r="24" spans="1:81" x14ac:dyDescent="0.25">
      <c r="A24" s="4" t="str">
        <f>IF(Backend!A51="", "", Backend!A51)</f>
        <v>Hewlett Packard Enterprise Co.</v>
      </c>
      <c r="B24">
        <f>IF(Backend!C51="", "", Backend!C51)</f>
        <v>0.20724316000000001</v>
      </c>
      <c r="C24">
        <f>IF(Backend!D51="", "", Backend!D51)</f>
        <v>0.23344079000000001</v>
      </c>
      <c r="D24">
        <f>IF(Backend!E51="", "", Backend!E51)</f>
        <v>6.6502123999999996E-2</v>
      </c>
      <c r="E24">
        <f>IF(Backend!F51="", "", Backend!F51)</f>
        <v>0.43935079999999999</v>
      </c>
      <c r="F24">
        <f>IF(Backend!G51="", "", Backend!G51)</f>
        <v>0.16092788</v>
      </c>
      <c r="G24">
        <f>IF(Backend!H51="", "", Backend!H51)</f>
        <v>6.4321174999999994E-2</v>
      </c>
      <c r="H24">
        <f>IF(Backend!I51="", "", Backend!I51)</f>
        <v>0.26497419999999999</v>
      </c>
      <c r="I24">
        <f>IF(Backend!J51="", "", Backend!J51)</f>
        <v>0.14245532</v>
      </c>
      <c r="J24">
        <f>IF(Backend!K51="", "", Backend!K51)</f>
        <v>0.11235003</v>
      </c>
      <c r="K24">
        <f>IF(Backend!L51="", "", Backend!L51)</f>
        <v>9.1592019999999996E-2</v>
      </c>
      <c r="L24">
        <f>IF(Backend!M51="", "", Backend!M51)</f>
        <v>0.18849631999999999</v>
      </c>
      <c r="M24">
        <f>IF(Backend!N51="", "", Backend!N51)</f>
        <v>7.9658955000000004E-2</v>
      </c>
      <c r="N24">
        <f>IF(Backend!O51="", "", Backend!O51)</f>
        <v>0.23016976</v>
      </c>
      <c r="O24">
        <f>IF(Backend!P51="", "", Backend!P51)</f>
        <v>-8.5334989999999999E-3</v>
      </c>
      <c r="P24">
        <f>IF(Backend!Q51="", "", Backend!Q51)</f>
        <v>0.22063513000000001</v>
      </c>
      <c r="Q24">
        <f>IF(Backend!R51="", "", Backend!R51)</f>
        <v>0.21523716000000001</v>
      </c>
      <c r="R24">
        <f>IF(Backend!S51="", "", Backend!S51)</f>
        <v>5.0368849999999996E-3</v>
      </c>
      <c r="S24">
        <f>IF(Backend!T51="", "", Backend!T51)</f>
        <v>-1.9091014E-2</v>
      </c>
      <c r="T24">
        <f>IF(Backend!U51="", "", Backend!U51)</f>
        <v>0.38383803</v>
      </c>
      <c r="U24">
        <f>IF(Backend!V51="", "", Backend!V51)</f>
        <v>8.2948530000000006E-2</v>
      </c>
      <c r="V24">
        <f>IF(Backend!W51="", "", Backend!W51)</f>
        <v>1</v>
      </c>
      <c r="W24">
        <f>IF(Backend!X51="", "", Backend!X51)</f>
        <v>0.35797030000000002</v>
      </c>
      <c r="X24">
        <f>IF(Backend!Y51="", "", Backend!Y51)</f>
        <v>9.8703869999999999E-2</v>
      </c>
      <c r="Y24">
        <f>IF(Backend!Z51="", "", Backend!Z51)</f>
        <v>0.20395473</v>
      </c>
      <c r="Z24">
        <f>IF(Backend!AA51="", "", Backend!AA51)</f>
        <v>3.7880067000000003E-2</v>
      </c>
      <c r="AA24">
        <f>IF(Backend!AB51="", "", Backend!AB51)</f>
        <v>0.11605284</v>
      </c>
      <c r="AB24">
        <f>IF(Backend!AC51="", "", Backend!AC51)</f>
        <v>0.44464453999999998</v>
      </c>
      <c r="AC24">
        <f>IF(Backend!AD51="", "", Backend!AD51)</f>
        <v>0.45621820000000002</v>
      </c>
      <c r="AD24">
        <f>IF(Backend!AE51="", "", Backend!AE51)</f>
        <v>0.39543289999999998</v>
      </c>
      <c r="AE24">
        <f>IF(Backend!AF51="", "", Backend!AF51)</f>
        <v>0.39013123999999999</v>
      </c>
      <c r="AF24">
        <f>IF(Backend!AG51="", "", Backend!AG51)</f>
        <v>-3.0913070000000001E-2</v>
      </c>
      <c r="AG24">
        <f>IF(Backend!AH51="", "", Backend!AH51)</f>
        <v>0.40349433000000001</v>
      </c>
      <c r="AH24">
        <f>IF(Backend!AI51="", "", Backend!AI51)</f>
        <v>0.24744223000000001</v>
      </c>
      <c r="AI24">
        <f>IF(Backend!AJ51="", "", Backend!AJ51)</f>
        <v>0.27360879999999999</v>
      </c>
      <c r="AJ24">
        <f>IF(Backend!AK51="", "", Backend!AK51)</f>
        <v>1.9627945000000001E-2</v>
      </c>
      <c r="AK24">
        <f>IF(Backend!AL51="", "", Backend!AL51)</f>
        <v>-6.3619699999999998E-3</v>
      </c>
      <c r="AL24">
        <f>IF(Backend!AM51="", "", Backend!AM51)</f>
        <v>0.14541464000000001</v>
      </c>
      <c r="AM24">
        <f>IF(Backend!AN51="", "", Backend!AN51)</f>
        <v>0.19464749000000001</v>
      </c>
      <c r="AN24">
        <f>IF(Backend!AO51="", "", Backend!AO51)</f>
        <v>0.22791887999999999</v>
      </c>
      <c r="AO24">
        <f>IF(Backend!AP51="", "", Backend!AP51)</f>
        <v>5.9398769999999997E-2</v>
      </c>
      <c r="AP24">
        <f>IF(Backend!AQ51="", "", Backend!AQ51)</f>
        <v>0.34963104</v>
      </c>
      <c r="AQ24">
        <f>IF(Backend!AR51="", "", Backend!AR51)</f>
        <v>0.10895331</v>
      </c>
      <c r="AR24">
        <f>IF(Backend!AS51="", "", Backend!AS51)</f>
        <v>-2.0081667000000001E-2</v>
      </c>
      <c r="AS24">
        <f>IF(Backend!AT51="", "", Backend!AT51)</f>
        <v>9.9754499999999996E-2</v>
      </c>
      <c r="AT24">
        <f>IF(Backend!AU51="", "", Backend!AU51)</f>
        <v>9.1146439999999995E-2</v>
      </c>
      <c r="AU24">
        <f>IF(Backend!AV51="", "", Backend!AV51)</f>
        <v>0.24963889</v>
      </c>
      <c r="AV24">
        <f>IF(Backend!AW51="", "", Backend!AW51)</f>
        <v>0.28636460000000002</v>
      </c>
      <c r="AW24">
        <f>IF(Backend!AX51="", "", Backend!AX51)</f>
        <v>0.41648263000000002</v>
      </c>
      <c r="AX24">
        <f>IF(Backend!AY51="", "", Backend!AY51)</f>
        <v>0.18909039999999999</v>
      </c>
      <c r="AY24">
        <f>IF(Backend!AZ51="", "", Backend!AZ51)</f>
        <v>0.32060432</v>
      </c>
      <c r="AZ24">
        <f>IF(Backend!BA51="", "", Backend!BA51)</f>
        <v>3.7232157000000002E-2</v>
      </c>
      <c r="BA24">
        <f>IF(Backend!BB51="", "", Backend!BB51)</f>
        <v>0.11236106</v>
      </c>
      <c r="BB24">
        <f>IF(Backend!BC51="", "", Backend!BC51)</f>
        <v>8.504254E-2</v>
      </c>
      <c r="BC24">
        <f>IF(Backend!BD51="", "", Backend!BD51)</f>
        <v>0.28739791999999997</v>
      </c>
      <c r="BD24">
        <f>IF(Backend!BE51="", "", Backend!BE51)</f>
        <v>0.10067172000000001</v>
      </c>
      <c r="BE24">
        <f>IF(Backend!BF51="", "", Backend!BF51)</f>
        <v>0.22995755000000001</v>
      </c>
      <c r="BF24">
        <f>IF(Backend!BG51="", "", Backend!BG51)</f>
        <v>0.20178399999999999</v>
      </c>
      <c r="BG24">
        <f>IF(Backend!BH51="", "", Backend!BH51)</f>
        <v>0.30975676000000002</v>
      </c>
      <c r="BH24">
        <f>IF(Backend!BI51="", "", Backend!BI51)</f>
        <v>0.29358046999999998</v>
      </c>
      <c r="BI24" t="str">
        <f>IF(Backend!BJ51="", "", Backend!BJ51)</f>
        <v/>
      </c>
      <c r="BJ24" t="str">
        <f>IF(Backend!BK51="", "", Backend!BK51)</f>
        <v/>
      </c>
      <c r="BK24" t="str">
        <f>IF(Backend!BL51="", "", Backend!BL51)</f>
        <v/>
      </c>
      <c r="BL24" t="str">
        <f>IF(Backend!BM51="", "", Backend!BM51)</f>
        <v/>
      </c>
      <c r="BM24" t="str">
        <f>IF(Backend!BN51="", "", Backend!BN51)</f>
        <v/>
      </c>
      <c r="BN24" t="str">
        <f>IF(Backend!BO51="", "", Backend!BO51)</f>
        <v/>
      </c>
      <c r="BO24" t="str">
        <f>IF(Backend!BP51="", "", Backend!BP51)</f>
        <v/>
      </c>
      <c r="BP24" t="str">
        <f>IF(Backend!BQ51="", "", Backend!BQ51)</f>
        <v/>
      </c>
      <c r="BQ24" t="str">
        <f>IF(Backend!BR51="", "", Backend!BR51)</f>
        <v/>
      </c>
      <c r="BR24" t="str">
        <f>IF(Backend!BS51="", "", Backend!BS51)</f>
        <v/>
      </c>
      <c r="BS24" t="str">
        <f>IF(Backend!BT51="", "", Backend!BT51)</f>
        <v/>
      </c>
      <c r="BT24" t="str">
        <f>IF(Backend!BU51="", "", Backend!BU51)</f>
        <v/>
      </c>
      <c r="BU24" t="str">
        <f>IF(Backend!BV51="", "", Backend!BV51)</f>
        <v/>
      </c>
      <c r="BV24" t="str">
        <f>IF(Backend!BW51="", "", Backend!BW51)</f>
        <v/>
      </c>
      <c r="BW24" t="str">
        <f>IF(Backend!BX51="", "", Backend!BX51)</f>
        <v/>
      </c>
      <c r="BX24" t="str">
        <f>IF(Backend!BY51="", "", Backend!BY51)</f>
        <v/>
      </c>
      <c r="BY24" t="str">
        <f>IF(Backend!BZ51="", "", Backend!BZ51)</f>
        <v/>
      </c>
      <c r="BZ24" t="str">
        <f>IF(Backend!CA51="", "", Backend!CA51)</f>
        <v/>
      </c>
      <c r="CA24" t="str">
        <f>IF(Backend!CB51="", "", Backend!CB51)</f>
        <v/>
      </c>
      <c r="CB24" t="str">
        <f>IF(Backend!CC51="", "", Backend!CC51)</f>
        <v/>
      </c>
      <c r="CC24" t="str">
        <f>IF(Backend!CD51="", "", Backend!CD51)</f>
        <v/>
      </c>
    </row>
    <row r="25" spans="1:81" x14ac:dyDescent="0.25">
      <c r="A25" s="4" t="str">
        <f>IF(Backend!A52="", "", Backend!A52)</f>
        <v>Intel Corporation</v>
      </c>
      <c r="B25">
        <f>IF(Backend!C52="", "", Backend!C52)</f>
        <v>0.14516617000000001</v>
      </c>
      <c r="C25">
        <f>IF(Backend!D52="", "", Backend!D52)</f>
        <v>0.16092535999999999</v>
      </c>
      <c r="D25">
        <f>IF(Backend!E52="", "", Backend!E52)</f>
        <v>3.7332084000000001E-2</v>
      </c>
      <c r="E25">
        <f>IF(Backend!F52="", "", Backend!F52)</f>
        <v>0.35284764000000002</v>
      </c>
      <c r="F25">
        <f>IF(Backend!G52="", "", Backend!G52)</f>
        <v>0.16909940000000001</v>
      </c>
      <c r="G25">
        <f>IF(Backend!H52="", "", Backend!H52)</f>
        <v>5.9526286999999997E-2</v>
      </c>
      <c r="H25">
        <f>IF(Backend!I52="", "", Backend!I52)</f>
        <v>0.17784554999999999</v>
      </c>
      <c r="I25">
        <f>IF(Backend!J52="", "", Backend!J52)</f>
        <v>0.12817603</v>
      </c>
      <c r="J25">
        <f>IF(Backend!K52="", "", Backend!K52)</f>
        <v>8.2754225000000001E-2</v>
      </c>
      <c r="K25">
        <f>IF(Backend!L52="", "", Backend!L52)</f>
        <v>9.6063174000000001E-2</v>
      </c>
      <c r="L25">
        <f>IF(Backend!M52="", "", Backend!M52)</f>
        <v>9.5191814E-2</v>
      </c>
      <c r="M25">
        <f>IF(Backend!N52="", "", Backend!N52)</f>
        <v>3.1134953999999999E-2</v>
      </c>
      <c r="N25">
        <f>IF(Backend!O52="", "", Backend!O52)</f>
        <v>0.16326526999999999</v>
      </c>
      <c r="O25">
        <f>IF(Backend!P52="", "", Backend!P52)</f>
        <v>-9.5979610000000003E-3</v>
      </c>
      <c r="P25">
        <f>IF(Backend!Q52="", "", Backend!Q52)</f>
        <v>0.1591178</v>
      </c>
      <c r="Q25">
        <f>IF(Backend!R52="", "", Backend!R52)</f>
        <v>0.10027186</v>
      </c>
      <c r="R25">
        <f>IF(Backend!S52="", "", Backend!S52)</f>
        <v>1.8068898E-2</v>
      </c>
      <c r="S25">
        <f>IF(Backend!T52="", "", Backend!T52)</f>
        <v>3.9148000000000002E-2</v>
      </c>
      <c r="T25">
        <f>IF(Backend!U52="", "", Backend!U52)</f>
        <v>0.24898829</v>
      </c>
      <c r="U25">
        <f>IF(Backend!V52="", "", Backend!V52)</f>
        <v>4.8760972999999999E-2</v>
      </c>
      <c r="V25">
        <f>IF(Backend!W52="", "", Backend!W52)</f>
        <v>0.35797030000000002</v>
      </c>
      <c r="W25">
        <f>IF(Backend!X52="", "", Backend!X52)</f>
        <v>1</v>
      </c>
      <c r="X25">
        <f>IF(Backend!Y52="", "", Backend!Y52)</f>
        <v>5.6340330000000001E-2</v>
      </c>
      <c r="Y25">
        <f>IF(Backend!Z52="", "", Backend!Z52)</f>
        <v>0.15951203</v>
      </c>
      <c r="Z25">
        <f>IF(Backend!AA52="", "", Backend!AA52)</f>
        <v>3.3970937E-2</v>
      </c>
      <c r="AA25">
        <f>IF(Backend!AB52="", "", Backend!AB52)</f>
        <v>0.12263618</v>
      </c>
      <c r="AB25">
        <f>IF(Backend!AC52="", "", Backend!AC52)</f>
        <v>0.35840263999999999</v>
      </c>
      <c r="AC25">
        <f>IF(Backend!AD52="", "", Backend!AD52)</f>
        <v>0.29861336999999999</v>
      </c>
      <c r="AD25">
        <f>IF(Backend!AE52="", "", Backend!AE52)</f>
        <v>0.26061854000000001</v>
      </c>
      <c r="AE25">
        <f>IF(Backend!AF52="", "", Backend!AF52)</f>
        <v>0.29089186</v>
      </c>
      <c r="AF25">
        <f>IF(Backend!AG52="", "", Backend!AG52)</f>
        <v>6.7476090000000002E-2</v>
      </c>
      <c r="AG25">
        <f>IF(Backend!AH52="", "", Backend!AH52)</f>
        <v>0.27994150000000001</v>
      </c>
      <c r="AH25">
        <f>IF(Backend!AI52="", "", Backend!AI52)</f>
        <v>0.17652567</v>
      </c>
      <c r="AI25">
        <f>IF(Backend!AJ52="", "", Backend!AJ52)</f>
        <v>0.11863406999999999</v>
      </c>
      <c r="AJ25">
        <f>IF(Backend!AK52="", "", Backend!AK52)</f>
        <v>6.4175129999999997E-2</v>
      </c>
      <c r="AK25">
        <f>IF(Backend!AL52="", "", Backend!AL52)</f>
        <v>4.8707477999999998E-2</v>
      </c>
      <c r="AL25">
        <f>IF(Backend!AM52="", "", Backend!AM52)</f>
        <v>0.15336859999999999</v>
      </c>
      <c r="AM25">
        <f>IF(Backend!AN52="", "", Backend!AN52)</f>
        <v>0.14560044</v>
      </c>
      <c r="AN25">
        <f>IF(Backend!AO52="", "", Backend!AO52)</f>
        <v>0.10864947</v>
      </c>
      <c r="AO25">
        <f>IF(Backend!AP52="", "", Backend!AP52)</f>
        <v>9.1978099999999993E-2</v>
      </c>
      <c r="AP25">
        <f>IF(Backend!AQ52="", "", Backend!AQ52)</f>
        <v>0.25470524999999999</v>
      </c>
      <c r="AQ25">
        <f>IF(Backend!AR52="", "", Backend!AR52)</f>
        <v>7.1937039999999994E-2</v>
      </c>
      <c r="AR25">
        <f>IF(Backend!AS52="", "", Backend!AS52)</f>
        <v>-9.7132959999999997E-3</v>
      </c>
      <c r="AS25">
        <f>IF(Backend!AT52="", "", Backend!AT52)</f>
        <v>5.6328967000000001E-2</v>
      </c>
      <c r="AT25">
        <f>IF(Backend!AU52="", "", Backend!AU52)</f>
        <v>6.2062050000000001E-2</v>
      </c>
      <c r="AU25">
        <f>IF(Backend!AV52="", "", Backend!AV52)</f>
        <v>0.11580864</v>
      </c>
      <c r="AV25">
        <f>IF(Backend!AW52="", "", Backend!AW52)</f>
        <v>0.11274094</v>
      </c>
      <c r="AW25">
        <f>IF(Backend!AX52="", "", Backend!AX52)</f>
        <v>0.35903226999999999</v>
      </c>
      <c r="AX25">
        <f>IF(Backend!AY52="", "", Backend!AY52)</f>
        <v>0.12374538</v>
      </c>
      <c r="AY25">
        <f>IF(Backend!AZ52="", "", Backend!AZ52)</f>
        <v>0.24924225</v>
      </c>
      <c r="AZ25">
        <f>IF(Backend!BA52="", "", Backend!BA52)</f>
        <v>6.2665520000000002E-2</v>
      </c>
      <c r="BA25">
        <f>IF(Backend!BB52="", "", Backend!BB52)</f>
        <v>0.1115454</v>
      </c>
      <c r="BB25">
        <f>IF(Backend!BC52="", "", Backend!BC52)</f>
        <v>0.120834865</v>
      </c>
      <c r="BC25">
        <f>IF(Backend!BD52="", "", Backend!BD52)</f>
        <v>0.22621194999999999</v>
      </c>
      <c r="BD25">
        <f>IF(Backend!BE52="", "", Backend!BE52)</f>
        <v>9.2582529999999996E-2</v>
      </c>
      <c r="BE25">
        <f>IF(Backend!BF52="", "", Backend!BF52)</f>
        <v>0.14775845000000001</v>
      </c>
      <c r="BF25">
        <f>IF(Backend!BG52="", "", Backend!BG52)</f>
        <v>0.16616410000000001</v>
      </c>
      <c r="BG25">
        <f>IF(Backend!BH52="", "", Backend!BH52)</f>
        <v>0.24044431999999999</v>
      </c>
      <c r="BH25">
        <f>IF(Backend!BI52="", "", Backend!BI52)</f>
        <v>0.24662289000000001</v>
      </c>
      <c r="BI25" t="str">
        <f>IF(Backend!BJ52="", "", Backend!BJ52)</f>
        <v/>
      </c>
      <c r="BJ25" t="str">
        <f>IF(Backend!BK52="", "", Backend!BK52)</f>
        <v/>
      </c>
      <c r="BK25" t="str">
        <f>IF(Backend!BL52="", "", Backend!BL52)</f>
        <v/>
      </c>
      <c r="BL25" t="str">
        <f>IF(Backend!BM52="", "", Backend!BM52)</f>
        <v/>
      </c>
      <c r="BM25" t="str">
        <f>IF(Backend!BN52="", "", Backend!BN52)</f>
        <v/>
      </c>
      <c r="BN25" t="str">
        <f>IF(Backend!BO52="", "", Backend!BO52)</f>
        <v/>
      </c>
      <c r="BO25" t="str">
        <f>IF(Backend!BP52="", "", Backend!BP52)</f>
        <v/>
      </c>
      <c r="BP25" t="str">
        <f>IF(Backend!BQ52="", "", Backend!BQ52)</f>
        <v/>
      </c>
      <c r="BQ25" t="str">
        <f>IF(Backend!BR52="", "", Backend!BR52)</f>
        <v/>
      </c>
      <c r="BR25" t="str">
        <f>IF(Backend!BS52="", "", Backend!BS52)</f>
        <v/>
      </c>
      <c r="BS25" t="str">
        <f>IF(Backend!BT52="", "", Backend!BT52)</f>
        <v/>
      </c>
      <c r="BT25" t="str">
        <f>IF(Backend!BU52="", "", Backend!BU52)</f>
        <v/>
      </c>
      <c r="BU25" t="str">
        <f>IF(Backend!BV52="", "", Backend!BV52)</f>
        <v/>
      </c>
      <c r="BV25" t="str">
        <f>IF(Backend!BW52="", "", Backend!BW52)</f>
        <v/>
      </c>
      <c r="BW25" t="str">
        <f>IF(Backend!BX52="", "", Backend!BX52)</f>
        <v/>
      </c>
      <c r="BX25" t="str">
        <f>IF(Backend!BY52="", "", Backend!BY52)</f>
        <v/>
      </c>
      <c r="BY25" t="str">
        <f>IF(Backend!BZ52="", "", Backend!BZ52)</f>
        <v/>
      </c>
      <c r="BZ25" t="str">
        <f>IF(Backend!CA52="", "", Backend!CA52)</f>
        <v/>
      </c>
      <c r="CA25" t="str">
        <f>IF(Backend!CB52="", "", Backend!CB52)</f>
        <v/>
      </c>
      <c r="CB25" t="str">
        <f>IF(Backend!CC52="", "", Backend!CC52)</f>
        <v/>
      </c>
      <c r="CC25" t="str">
        <f>IF(Backend!CD52="", "", Backend!CD52)</f>
        <v/>
      </c>
    </row>
    <row r="26" spans="1:81" x14ac:dyDescent="0.25">
      <c r="A26" s="4" t="str">
        <f>IF(Backend!A53="", "", Backend!A53)</f>
        <v>KB Financial Group Inc.</v>
      </c>
      <c r="B26">
        <f>IF(Backend!C53="", "", Backend!C53)</f>
        <v>0.16819996000000001</v>
      </c>
      <c r="C26">
        <f>IF(Backend!D53="", "", Backend!D53)</f>
        <v>0.15579519999999999</v>
      </c>
      <c r="D26">
        <f>IF(Backend!E53="", "", Backend!E53)</f>
        <v>0.19620481000000001</v>
      </c>
      <c r="E26">
        <f>IF(Backend!F53="", "", Backend!F53)</f>
        <v>6.7978464000000002E-2</v>
      </c>
      <c r="F26">
        <f>IF(Backend!G53="", "", Backend!G53)</f>
        <v>7.8869745000000005E-2</v>
      </c>
      <c r="G26">
        <f>IF(Backend!H53="", "", Backend!H53)</f>
        <v>0.23353863</v>
      </c>
      <c r="H26">
        <f>IF(Backend!I53="", "", Backend!I53)</f>
        <v>0.11342368</v>
      </c>
      <c r="I26">
        <f>IF(Backend!J53="", "", Backend!J53)</f>
        <v>7.45947E-2</v>
      </c>
      <c r="J26">
        <f>IF(Backend!K53="", "", Backend!K53)</f>
        <v>-1.3518405000000001E-2</v>
      </c>
      <c r="K26">
        <f>IF(Backend!L53="", "", Backend!L53)</f>
        <v>0.13967379999999999</v>
      </c>
      <c r="L26">
        <f>IF(Backend!M53="", "", Backend!M53)</f>
        <v>0.11580456</v>
      </c>
      <c r="M26">
        <f>IF(Backend!N53="", "", Backend!N53)</f>
        <v>0.10325086</v>
      </c>
      <c r="N26">
        <f>IF(Backend!O53="", "", Backend!O53)</f>
        <v>9.5270389999999996E-2</v>
      </c>
      <c r="O26">
        <f>IF(Backend!P53="", "", Backend!P53)</f>
        <v>0.18804522000000001</v>
      </c>
      <c r="P26">
        <f>IF(Backend!Q53="", "", Backend!Q53)</f>
        <v>0.14894313000000001</v>
      </c>
      <c r="Q26">
        <f>IF(Backend!R53="", "", Backend!R53)</f>
        <v>0.14369519</v>
      </c>
      <c r="R26">
        <f>IF(Backend!S53="", "", Backend!S53)</f>
        <v>7.0669315999999996E-2</v>
      </c>
      <c r="S26">
        <f>IF(Backend!T53="", "", Backend!T53)</f>
        <v>0.16316432</v>
      </c>
      <c r="T26">
        <f>IF(Backend!U53="", "", Backend!U53)</f>
        <v>6.9411020000000004E-2</v>
      </c>
      <c r="U26">
        <f>IF(Backend!V53="", "", Backend!V53)</f>
        <v>0.34362248000000001</v>
      </c>
      <c r="V26">
        <f>IF(Backend!W53="", "", Backend!W53)</f>
        <v>9.8703869999999999E-2</v>
      </c>
      <c r="W26">
        <f>IF(Backend!X53="", "", Backend!X53)</f>
        <v>5.6340330000000001E-2</v>
      </c>
      <c r="X26">
        <f>IF(Backend!Y53="", "", Backend!Y53)</f>
        <v>1</v>
      </c>
      <c r="Y26">
        <f>IF(Backend!Z53="", "", Backend!Z53)</f>
        <v>0.13065157999999999</v>
      </c>
      <c r="Z26">
        <f>IF(Backend!AA53="", "", Backend!AA53)</f>
        <v>6.2051330000000002E-2</v>
      </c>
      <c r="AA26">
        <f>IF(Backend!AB53="", "", Backend!AB53)</f>
        <v>2.0906942000000001E-2</v>
      </c>
      <c r="AB26">
        <f>IF(Backend!AC53="", "", Backend!AC53)</f>
        <v>8.4478490000000003E-2</v>
      </c>
      <c r="AC26">
        <f>IF(Backend!AD53="", "", Backend!AD53)</f>
        <v>9.8996619999999994E-2</v>
      </c>
      <c r="AD26">
        <f>IF(Backend!AE53="", "", Backend!AE53)</f>
        <v>5.0922558E-2</v>
      </c>
      <c r="AE26">
        <f>IF(Backend!AF53="", "", Backend!AF53)</f>
        <v>9.7886704000000005E-2</v>
      </c>
      <c r="AF26">
        <f>IF(Backend!AG53="", "", Backend!AG53)</f>
        <v>0.13134651</v>
      </c>
      <c r="AG26">
        <f>IF(Backend!AH53="", "", Backend!AH53)</f>
        <v>5.7656076000000001E-2</v>
      </c>
      <c r="AH26">
        <f>IF(Backend!AI53="", "", Backend!AI53)</f>
        <v>2.1644942E-2</v>
      </c>
      <c r="AI26">
        <f>IF(Backend!AJ53="", "", Backend!AJ53)</f>
        <v>0.13937223000000001</v>
      </c>
      <c r="AJ26">
        <f>IF(Backend!AK53="", "", Backend!AK53)</f>
        <v>0.18843628000000001</v>
      </c>
      <c r="AK26">
        <f>IF(Backend!AL53="", "", Backend!AL53)</f>
        <v>0.18678248</v>
      </c>
      <c r="AL26">
        <f>IF(Backend!AM53="", "", Backend!AM53)</f>
        <v>-3.2391448000000003E-2</v>
      </c>
      <c r="AM26">
        <f>IF(Backend!AN53="", "", Backend!AN53)</f>
        <v>0.13997597000000001</v>
      </c>
      <c r="AN26">
        <f>IF(Backend!AO53="", "", Backend!AO53)</f>
        <v>0.13725407000000001</v>
      </c>
      <c r="AO26">
        <f>IF(Backend!AP53="", "", Backend!AP53)</f>
        <v>0.26027014999999998</v>
      </c>
      <c r="AP26">
        <f>IF(Backend!AQ53="", "", Backend!AQ53)</f>
        <v>8.9794029999999997E-2</v>
      </c>
      <c r="AQ26">
        <f>IF(Backend!AR53="", "", Backend!AR53)</f>
        <v>0.42402440000000002</v>
      </c>
      <c r="AR26">
        <f>IF(Backend!AS53="", "", Backend!AS53)</f>
        <v>3.6306526999999998E-2</v>
      </c>
      <c r="AS26">
        <f>IF(Backend!AT53="", "", Backend!AT53)</f>
        <v>7.6327294000000004E-2</v>
      </c>
      <c r="AT26">
        <f>IF(Backend!AU53="", "", Backend!AU53)</f>
        <v>0.81512379999999995</v>
      </c>
      <c r="AU26">
        <f>IF(Backend!AV53="", "", Backend!AV53)</f>
        <v>0.11106731</v>
      </c>
      <c r="AV26">
        <f>IF(Backend!AW53="", "", Backend!AW53)</f>
        <v>0.13838473000000001</v>
      </c>
      <c r="AW26">
        <f>IF(Backend!AX53="", "", Backend!AX53)</f>
        <v>9.1312489999999996E-2</v>
      </c>
      <c r="AX26">
        <f>IF(Backend!AY53="", "", Backend!AY53)</f>
        <v>0.12603830999999999</v>
      </c>
      <c r="AY26">
        <f>IF(Backend!AZ53="", "", Backend!AZ53)</f>
        <v>8.5493304000000006E-2</v>
      </c>
      <c r="AZ26">
        <f>IF(Backend!BA53="", "", Backend!BA53)</f>
        <v>0.18306064999999999</v>
      </c>
      <c r="BA26">
        <f>IF(Backend!BB53="", "", Backend!BB53)</f>
        <v>0.13014595000000001</v>
      </c>
      <c r="BB26">
        <f>IF(Backend!BC53="", "", Backend!BC53)</f>
        <v>2.7415128E-2</v>
      </c>
      <c r="BC26">
        <f>IF(Backend!BD53="", "", Backend!BD53)</f>
        <v>3.2643343999999998E-2</v>
      </c>
      <c r="BD26">
        <f>IF(Backend!BE53="", "", Backend!BE53)</f>
        <v>8.4022780000000005E-2</v>
      </c>
      <c r="BE26">
        <f>IF(Backend!BF53="", "", Backend!BF53)</f>
        <v>0.12633875</v>
      </c>
      <c r="BF26">
        <f>IF(Backend!BG53="", "", Backend!BG53)</f>
        <v>7.2619385999999994E-2</v>
      </c>
      <c r="BG26">
        <f>IF(Backend!BH53="", "", Backend!BH53)</f>
        <v>7.7678579999999997E-2</v>
      </c>
      <c r="BH26">
        <f>IF(Backend!BI53="", "", Backend!BI53)</f>
        <v>8.1011420000000001E-2</v>
      </c>
      <c r="BI26" t="str">
        <f>IF(Backend!BJ53="", "", Backend!BJ53)</f>
        <v/>
      </c>
      <c r="BJ26" t="str">
        <f>IF(Backend!BK53="", "", Backend!BK53)</f>
        <v/>
      </c>
      <c r="BK26" t="str">
        <f>IF(Backend!BL53="", "", Backend!BL53)</f>
        <v/>
      </c>
      <c r="BL26" t="str">
        <f>IF(Backend!BM53="", "", Backend!BM53)</f>
        <v/>
      </c>
      <c r="BM26" t="str">
        <f>IF(Backend!BN53="", "", Backend!BN53)</f>
        <v/>
      </c>
      <c r="BN26" t="str">
        <f>IF(Backend!BO53="", "", Backend!BO53)</f>
        <v/>
      </c>
      <c r="BO26" t="str">
        <f>IF(Backend!BP53="", "", Backend!BP53)</f>
        <v/>
      </c>
      <c r="BP26" t="str">
        <f>IF(Backend!BQ53="", "", Backend!BQ53)</f>
        <v/>
      </c>
      <c r="BQ26" t="str">
        <f>IF(Backend!BR53="", "", Backend!BR53)</f>
        <v/>
      </c>
      <c r="BR26" t="str">
        <f>IF(Backend!BS53="", "", Backend!BS53)</f>
        <v/>
      </c>
      <c r="BS26" t="str">
        <f>IF(Backend!BT53="", "", Backend!BT53)</f>
        <v/>
      </c>
      <c r="BT26" t="str">
        <f>IF(Backend!BU53="", "", Backend!BU53)</f>
        <v/>
      </c>
      <c r="BU26" t="str">
        <f>IF(Backend!BV53="", "", Backend!BV53)</f>
        <v/>
      </c>
      <c r="BV26" t="str">
        <f>IF(Backend!BW53="", "", Backend!BW53)</f>
        <v/>
      </c>
      <c r="BW26" t="str">
        <f>IF(Backend!BX53="", "", Backend!BX53)</f>
        <v/>
      </c>
      <c r="BX26" t="str">
        <f>IF(Backend!BY53="", "", Backend!BY53)</f>
        <v/>
      </c>
      <c r="BY26" t="str">
        <f>IF(Backend!BZ53="", "", Backend!BZ53)</f>
        <v/>
      </c>
      <c r="BZ26" t="str">
        <f>IF(Backend!CA53="", "", Backend!CA53)</f>
        <v/>
      </c>
      <c r="CA26" t="str">
        <f>IF(Backend!CB53="", "", Backend!CB53)</f>
        <v/>
      </c>
      <c r="CB26" t="str">
        <f>IF(Backend!CC53="", "", Backend!CC53)</f>
        <v/>
      </c>
      <c r="CC26" t="str">
        <f>IF(Backend!CD53="", "", Backend!CD53)</f>
        <v/>
      </c>
    </row>
    <row r="27" spans="1:81" x14ac:dyDescent="0.25">
      <c r="A27" s="4" t="str">
        <f>IF(Backend!A54="", "", Backend!A54)</f>
        <v>Kering SA</v>
      </c>
      <c r="B27">
        <f>IF(Backend!C54="", "", Backend!C54)</f>
        <v>0.47653669999999998</v>
      </c>
      <c r="C27">
        <f>IF(Backend!D54="", "", Backend!D54)</f>
        <v>0.40353470000000002</v>
      </c>
      <c r="D27">
        <f>IF(Backend!E54="", "", Backend!E54)</f>
        <v>0.16724078000000001</v>
      </c>
      <c r="E27">
        <f>IF(Backend!F54="", "", Backend!F54)</f>
        <v>0.31843527999999999</v>
      </c>
      <c r="F27">
        <f>IF(Backend!G54="", "", Backend!G54)</f>
        <v>0.23252255999999999</v>
      </c>
      <c r="G27">
        <f>IF(Backend!H54="", "", Backend!H54)</f>
        <v>0.25284863000000002</v>
      </c>
      <c r="H27">
        <f>IF(Backend!I54="", "", Backend!I54)</f>
        <v>0.55289889999999997</v>
      </c>
      <c r="I27">
        <f>IF(Backend!J54="", "", Backend!J54)</f>
        <v>0.38052340000000001</v>
      </c>
      <c r="J27">
        <f>IF(Backend!K54="", "", Backend!K54)</f>
        <v>6.252576E-2</v>
      </c>
      <c r="K27">
        <f>IF(Backend!L54="", "", Backend!L54)</f>
        <v>0.25506299999999998</v>
      </c>
      <c r="L27">
        <f>IF(Backend!M54="", "", Backend!M54)</f>
        <v>0.62563959999999996</v>
      </c>
      <c r="M27">
        <f>IF(Backend!N54="", "", Backend!N54)</f>
        <v>0.26606651999999997</v>
      </c>
      <c r="N27">
        <f>IF(Backend!O54="", "", Backend!O54)</f>
        <v>0.4847455</v>
      </c>
      <c r="O27">
        <f>IF(Backend!P54="", "", Backend!P54)</f>
        <v>0.13989455000000001</v>
      </c>
      <c r="P27">
        <f>IF(Backend!Q54="", "", Backend!Q54)</f>
        <v>0.45762884999999998</v>
      </c>
      <c r="Q27">
        <f>IF(Backend!R54="", "", Backend!R54)</f>
        <v>0.37187829999999999</v>
      </c>
      <c r="R27">
        <f>IF(Backend!S54="", "", Backend!S54)</f>
        <v>0.22550020000000001</v>
      </c>
      <c r="S27">
        <f>IF(Backend!T54="", "", Backend!T54)</f>
        <v>8.560384E-2</v>
      </c>
      <c r="T27">
        <f>IF(Backend!U54="", "", Backend!U54)</f>
        <v>0.13636756</v>
      </c>
      <c r="U27">
        <f>IF(Backend!V54="", "", Backend!V54)</f>
        <v>0.11790707</v>
      </c>
      <c r="V27">
        <f>IF(Backend!W54="", "", Backend!W54)</f>
        <v>0.20395473</v>
      </c>
      <c r="W27">
        <f>IF(Backend!X54="", "", Backend!X54)</f>
        <v>0.15951203</v>
      </c>
      <c r="X27">
        <f>IF(Backend!Y54="", "", Backend!Y54)</f>
        <v>0.13065157999999999</v>
      </c>
      <c r="Y27">
        <f>IF(Backend!Z54="", "", Backend!Z54)</f>
        <v>1</v>
      </c>
      <c r="Z27">
        <f>IF(Backend!AA54="", "", Backend!AA54)</f>
        <v>0.23126350000000001</v>
      </c>
      <c r="AA27">
        <f>IF(Backend!AB54="", "", Backend!AB54)</f>
        <v>5.5945132000000002E-2</v>
      </c>
      <c r="AB27">
        <f>IF(Backend!AC54="", "", Backend!AC54)</f>
        <v>0.3153666</v>
      </c>
      <c r="AC27">
        <f>IF(Backend!AD54="", "", Backend!AD54)</f>
        <v>0.2750108</v>
      </c>
      <c r="AD27">
        <f>IF(Backend!AE54="", "", Backend!AE54)</f>
        <v>0.18112548000000001</v>
      </c>
      <c r="AE27">
        <f>IF(Backend!AF54="", "", Backend!AF54)</f>
        <v>0.28056657000000002</v>
      </c>
      <c r="AF27">
        <f>IF(Backend!AG54="", "", Backend!AG54)</f>
        <v>8.3532910000000002E-2</v>
      </c>
      <c r="AG27">
        <f>IF(Backend!AH54="", "", Backend!AH54)</f>
        <v>0.28982102999999998</v>
      </c>
      <c r="AH27">
        <f>IF(Backend!AI54="", "", Backend!AI54)</f>
        <v>0.14438144999999999</v>
      </c>
      <c r="AI27">
        <f>IF(Backend!AJ54="", "", Backend!AJ54)</f>
        <v>0.38528057999999998</v>
      </c>
      <c r="AJ27">
        <f>IF(Backend!AK54="", "", Backend!AK54)</f>
        <v>0.12761296</v>
      </c>
      <c r="AK27">
        <f>IF(Backend!AL54="", "", Backend!AL54)</f>
        <v>0.10061295000000001</v>
      </c>
      <c r="AL27">
        <f>IF(Backend!AM54="", "", Backend!AM54)</f>
        <v>0.12701933000000001</v>
      </c>
      <c r="AM27">
        <f>IF(Backend!AN54="", "", Backend!AN54)</f>
        <v>0.48624644</v>
      </c>
      <c r="AN27">
        <f>IF(Backend!AO54="", "", Backend!AO54)</f>
        <v>0.2894159</v>
      </c>
      <c r="AO27">
        <f>IF(Backend!AP54="", "", Backend!AP54)</f>
        <v>0.17108414999999999</v>
      </c>
      <c r="AP27">
        <f>IF(Backend!AQ54="", "", Backend!AQ54)</f>
        <v>0.24066509999999999</v>
      </c>
      <c r="AQ27">
        <f>IF(Backend!AR54="", "", Backend!AR54)</f>
        <v>0.14515310000000001</v>
      </c>
      <c r="AR27">
        <f>IF(Backend!AS54="", "", Backend!AS54)</f>
        <v>0.22902842000000001</v>
      </c>
      <c r="AS27">
        <f>IF(Backend!AT54="", "", Backend!AT54)</f>
        <v>0.24088739000000001</v>
      </c>
      <c r="AT27">
        <f>IF(Backend!AU54="", "", Backend!AU54)</f>
        <v>0.16453576</v>
      </c>
      <c r="AU27">
        <f>IF(Backend!AV54="", "", Backend!AV54)</f>
        <v>0.43203276000000002</v>
      </c>
      <c r="AV27">
        <f>IF(Backend!AW54="", "", Backend!AW54)</f>
        <v>0.39470315</v>
      </c>
      <c r="AW27">
        <f>IF(Backend!AX54="", "", Backend!AX54)</f>
        <v>0.27781867999999998</v>
      </c>
      <c r="AX27">
        <f>IF(Backend!AY54="", "", Backend!AY54)</f>
        <v>0.62871723999999996</v>
      </c>
      <c r="AY27">
        <f>IF(Backend!AZ54="", "", Backend!AZ54)</f>
        <v>0.26975830000000001</v>
      </c>
      <c r="AZ27">
        <f>IF(Backend!BA54="", "", Backend!BA54)</f>
        <v>0.13221139000000001</v>
      </c>
      <c r="BA27">
        <f>IF(Backend!BB54="", "", Backend!BB54)</f>
        <v>0.250801</v>
      </c>
      <c r="BB27">
        <f>IF(Backend!BC54="", "", Backend!BC54)</f>
        <v>6.2013578E-2</v>
      </c>
      <c r="BC27">
        <f>IF(Backend!BD54="", "", Backend!BD54)</f>
        <v>0.20112384999999999</v>
      </c>
      <c r="BD27">
        <f>IF(Backend!BE54="", "", Backend!BE54)</f>
        <v>0.26069715999999998</v>
      </c>
      <c r="BE27">
        <f>IF(Backend!BF54="", "", Backend!BF54)</f>
        <v>0.49704754000000001</v>
      </c>
      <c r="BF27">
        <f>IF(Backend!BG54="", "", Backend!BG54)</f>
        <v>0.11557376</v>
      </c>
      <c r="BG27">
        <f>IF(Backend!BH54="", "", Backend!BH54)</f>
        <v>0.17788931999999999</v>
      </c>
      <c r="BH27">
        <f>IF(Backend!BI54="", "", Backend!BI54)</f>
        <v>0.15613717999999999</v>
      </c>
      <c r="BI27" t="str">
        <f>IF(Backend!BJ54="", "", Backend!BJ54)</f>
        <v/>
      </c>
      <c r="BJ27" t="str">
        <f>IF(Backend!BK54="", "", Backend!BK54)</f>
        <v/>
      </c>
      <c r="BK27" t="str">
        <f>IF(Backend!BL54="", "", Backend!BL54)</f>
        <v/>
      </c>
      <c r="BL27" t="str">
        <f>IF(Backend!BM54="", "", Backend!BM54)</f>
        <v/>
      </c>
      <c r="BM27" t="str">
        <f>IF(Backend!BN54="", "", Backend!BN54)</f>
        <v/>
      </c>
      <c r="BN27" t="str">
        <f>IF(Backend!BO54="", "", Backend!BO54)</f>
        <v/>
      </c>
      <c r="BO27" t="str">
        <f>IF(Backend!BP54="", "", Backend!BP54)</f>
        <v/>
      </c>
      <c r="BP27" t="str">
        <f>IF(Backend!BQ54="", "", Backend!BQ54)</f>
        <v/>
      </c>
      <c r="BQ27" t="str">
        <f>IF(Backend!BR54="", "", Backend!BR54)</f>
        <v/>
      </c>
      <c r="BR27" t="str">
        <f>IF(Backend!BS54="", "", Backend!BS54)</f>
        <v/>
      </c>
      <c r="BS27" t="str">
        <f>IF(Backend!BT54="", "", Backend!BT54)</f>
        <v/>
      </c>
      <c r="BT27" t="str">
        <f>IF(Backend!BU54="", "", Backend!BU54)</f>
        <v/>
      </c>
      <c r="BU27" t="str">
        <f>IF(Backend!BV54="", "", Backend!BV54)</f>
        <v/>
      </c>
      <c r="BV27" t="str">
        <f>IF(Backend!BW54="", "", Backend!BW54)</f>
        <v/>
      </c>
      <c r="BW27" t="str">
        <f>IF(Backend!BX54="", "", Backend!BX54)</f>
        <v/>
      </c>
      <c r="BX27" t="str">
        <f>IF(Backend!BY54="", "", Backend!BY54)</f>
        <v/>
      </c>
      <c r="BY27" t="str">
        <f>IF(Backend!BZ54="", "", Backend!BZ54)</f>
        <v/>
      </c>
      <c r="BZ27" t="str">
        <f>IF(Backend!CA54="", "", Backend!CA54)</f>
        <v/>
      </c>
      <c r="CA27" t="str">
        <f>IF(Backend!CB54="", "", Backend!CB54)</f>
        <v/>
      </c>
      <c r="CB27" t="str">
        <f>IF(Backend!CC54="", "", Backend!CC54)</f>
        <v/>
      </c>
      <c r="CC27" t="str">
        <f>IF(Backend!CD54="", "", Backend!CD54)</f>
        <v/>
      </c>
    </row>
    <row r="28" spans="1:81" x14ac:dyDescent="0.25">
      <c r="A28" s="4" t="str">
        <f>IF(Backend!A55="", "", Backend!A55)</f>
        <v>Koninklijke Ahold Delhaize N.V.</v>
      </c>
      <c r="B28">
        <f>IF(Backend!C55="", "", Backend!C55)</f>
        <v>0.26632850000000002</v>
      </c>
      <c r="C28">
        <f>IF(Backend!D55="", "", Backend!D55)</f>
        <v>0.14545378</v>
      </c>
      <c r="D28">
        <f>IF(Backend!E55="", "", Backend!E55)</f>
        <v>2.7636377E-2</v>
      </c>
      <c r="E28">
        <f>IF(Backend!F55="", "", Backend!F55)</f>
        <v>8.3258470000000001E-2</v>
      </c>
      <c r="F28">
        <f>IF(Backend!G55="", "", Backend!G55)</f>
        <v>7.4997519999999998E-2</v>
      </c>
      <c r="G28">
        <f>IF(Backend!H55="", "", Backend!H55)</f>
        <v>1.5571003999999999E-2</v>
      </c>
      <c r="H28">
        <f>IF(Backend!I55="", "", Backend!I55)</f>
        <v>0.27792665</v>
      </c>
      <c r="I28">
        <f>IF(Backend!J55="", "", Backend!J55)</f>
        <v>0.28517239999999999</v>
      </c>
      <c r="J28">
        <f>IF(Backend!K55="", "", Backend!K55)</f>
        <v>6.1601400000000001E-2</v>
      </c>
      <c r="K28">
        <f>IF(Backend!L55="", "", Backend!L55)</f>
        <v>0.23886731</v>
      </c>
      <c r="L28">
        <f>IF(Backend!M55="", "", Backend!M55)</f>
        <v>0.19669776</v>
      </c>
      <c r="M28">
        <f>IF(Backend!N55="", "", Backend!N55)</f>
        <v>0.46898967000000003</v>
      </c>
      <c r="N28">
        <f>IF(Backend!O55="", "", Backend!O55)</f>
        <v>0.24180131999999999</v>
      </c>
      <c r="O28">
        <f>IF(Backend!P55="", "", Backend!P55)</f>
        <v>0.11705237</v>
      </c>
      <c r="P28">
        <f>IF(Backend!Q55="", "", Backend!Q55)</f>
        <v>0.27178732</v>
      </c>
      <c r="Q28">
        <f>IF(Backend!R55="", "", Backend!R55)</f>
        <v>0.20656657</v>
      </c>
      <c r="R28">
        <f>IF(Backend!S55="", "", Backend!S55)</f>
        <v>0.26237250000000001</v>
      </c>
      <c r="S28">
        <f>IF(Backend!T55="", "", Backend!T55)</f>
        <v>0.13210414000000001</v>
      </c>
      <c r="T28">
        <f>IF(Backend!U55="", "", Backend!U55)</f>
        <v>-5.2367834999999998E-3</v>
      </c>
      <c r="U28">
        <f>IF(Backend!V55="", "", Backend!V55)</f>
        <v>3.9994533999999998E-2</v>
      </c>
      <c r="V28">
        <f>IF(Backend!W55="", "", Backend!W55)</f>
        <v>3.7880067000000003E-2</v>
      </c>
      <c r="W28">
        <f>IF(Backend!X55="", "", Backend!X55)</f>
        <v>3.3970937E-2</v>
      </c>
      <c r="X28">
        <f>IF(Backend!Y55="", "", Backend!Y55)</f>
        <v>6.2051330000000002E-2</v>
      </c>
      <c r="Y28">
        <f>IF(Backend!Z55="", "", Backend!Z55)</f>
        <v>0.23126350000000001</v>
      </c>
      <c r="Z28">
        <f>IF(Backend!AA55="", "", Backend!AA55)</f>
        <v>1</v>
      </c>
      <c r="AA28">
        <f>IF(Backend!AB55="", "", Backend!AB55)</f>
        <v>0.13800080000000001</v>
      </c>
      <c r="AB28">
        <f>IF(Backend!AC55="", "", Backend!AC55)</f>
        <v>0.10414559</v>
      </c>
      <c r="AC28">
        <f>IF(Backend!AD55="", "", Backend!AD55)</f>
        <v>5.5835765000000002E-2</v>
      </c>
      <c r="AD28">
        <f>IF(Backend!AE55="", "", Backend!AE55)</f>
        <v>7.2283310000000003E-2</v>
      </c>
      <c r="AE28">
        <f>IF(Backend!AF55="", "", Backend!AF55)</f>
        <v>8.2975869999999993E-2</v>
      </c>
      <c r="AF28">
        <f>IF(Backend!AG55="", "", Backend!AG55)</f>
        <v>9.1672009999999998E-2</v>
      </c>
      <c r="AG28">
        <f>IF(Backend!AH55="", "", Backend!AH55)</f>
        <v>0.1231703</v>
      </c>
      <c r="AH28">
        <f>IF(Backend!AI55="", "", Backend!AI55)</f>
        <v>0.15468986000000001</v>
      </c>
      <c r="AI28">
        <f>IF(Backend!AJ55="", "", Backend!AJ55)</f>
        <v>0.21575737</v>
      </c>
      <c r="AJ28">
        <f>IF(Backend!AK55="", "", Backend!AK55)</f>
        <v>0.1028858</v>
      </c>
      <c r="AK28">
        <f>IF(Backend!AL55="", "", Backend!AL55)</f>
        <v>7.7955339999999998E-2</v>
      </c>
      <c r="AL28">
        <f>IF(Backend!AM55="", "", Backend!AM55)</f>
        <v>9.4472680000000003E-2</v>
      </c>
      <c r="AM28">
        <f>IF(Backend!AN55="", "", Backend!AN55)</f>
        <v>0.20084551</v>
      </c>
      <c r="AN28">
        <f>IF(Backend!AO55="", "", Backend!AO55)</f>
        <v>9.3363119999999994E-2</v>
      </c>
      <c r="AO28">
        <f>IF(Backend!AP55="", "", Backend!AP55)</f>
        <v>6.8916716000000003E-2</v>
      </c>
      <c r="AP28">
        <f>IF(Backend!AQ55="", "", Backend!AQ55)</f>
        <v>6.1647970000000003E-2</v>
      </c>
      <c r="AQ28">
        <f>IF(Backend!AR55="", "", Backend!AR55)</f>
        <v>7.10842E-2</v>
      </c>
      <c r="AR28">
        <f>IF(Backend!AS55="", "", Backend!AS55)</f>
        <v>0.24785135999999999</v>
      </c>
      <c r="AS28">
        <f>IF(Backend!AT55="", "", Backend!AT55)</f>
        <v>0.20232417999999999</v>
      </c>
      <c r="AT28">
        <f>IF(Backend!AU55="", "", Backend!AU55)</f>
        <v>7.7815554999999995E-2</v>
      </c>
      <c r="AU28">
        <f>IF(Backend!AV55="", "", Backend!AV55)</f>
        <v>0.22803132000000001</v>
      </c>
      <c r="AV28">
        <f>IF(Backend!AW55="", "", Backend!AW55)</f>
        <v>0.1347776</v>
      </c>
      <c r="AW28">
        <f>IF(Backend!AX55="", "", Backend!AX55)</f>
        <v>8.2354720000000006E-2</v>
      </c>
      <c r="AX28">
        <f>IF(Backend!AY55="", "", Backend!AY55)</f>
        <v>0.17664377000000001</v>
      </c>
      <c r="AY28">
        <f>IF(Backend!AZ55="", "", Backend!AZ55)</f>
        <v>0.11338912</v>
      </c>
      <c r="AZ28">
        <f>IF(Backend!BA55="", "", Backend!BA55)</f>
        <v>0.11182416000000001</v>
      </c>
      <c r="BA28">
        <f>IF(Backend!BB55="", "", Backend!BB55)</f>
        <v>0.11254</v>
      </c>
      <c r="BB28">
        <f>IF(Backend!BC55="", "", Backend!BC55)</f>
        <v>0.120494224</v>
      </c>
      <c r="BC28">
        <f>IF(Backend!BD55="", "", Backend!BD55)</f>
        <v>0.105912484</v>
      </c>
      <c r="BD28">
        <f>IF(Backend!BE55="", "", Backend!BE55)</f>
        <v>0.30135943999999998</v>
      </c>
      <c r="BE28">
        <f>IF(Backend!BF55="", "", Backend!BF55)</f>
        <v>0.24289040000000001</v>
      </c>
      <c r="BF28">
        <f>IF(Backend!BG55="", "", Backend!BG55)</f>
        <v>9.489744E-2</v>
      </c>
      <c r="BG28">
        <f>IF(Backend!BH55="", "", Backend!BH55)</f>
        <v>0.12021517</v>
      </c>
      <c r="BH28">
        <f>IF(Backend!BI55="", "", Backend!BI55)</f>
        <v>6.5063289999999996E-2</v>
      </c>
      <c r="BI28" t="str">
        <f>IF(Backend!BJ55="", "", Backend!BJ55)</f>
        <v/>
      </c>
      <c r="BJ28" t="str">
        <f>IF(Backend!BK55="", "", Backend!BK55)</f>
        <v/>
      </c>
      <c r="BK28" t="str">
        <f>IF(Backend!BL55="", "", Backend!BL55)</f>
        <v/>
      </c>
      <c r="BL28" t="str">
        <f>IF(Backend!BM55="", "", Backend!BM55)</f>
        <v/>
      </c>
      <c r="BM28" t="str">
        <f>IF(Backend!BN55="", "", Backend!BN55)</f>
        <v/>
      </c>
      <c r="BN28" t="str">
        <f>IF(Backend!BO55="", "", Backend!BO55)</f>
        <v/>
      </c>
      <c r="BO28" t="str">
        <f>IF(Backend!BP55="", "", Backend!BP55)</f>
        <v/>
      </c>
      <c r="BP28" t="str">
        <f>IF(Backend!BQ55="", "", Backend!BQ55)</f>
        <v/>
      </c>
      <c r="BQ28" t="str">
        <f>IF(Backend!BR55="", "", Backend!BR55)</f>
        <v/>
      </c>
      <c r="BR28" t="str">
        <f>IF(Backend!BS55="", "", Backend!BS55)</f>
        <v/>
      </c>
      <c r="BS28" t="str">
        <f>IF(Backend!BT55="", "", Backend!BT55)</f>
        <v/>
      </c>
      <c r="BT28" t="str">
        <f>IF(Backend!BU55="", "", Backend!BU55)</f>
        <v/>
      </c>
      <c r="BU28" t="str">
        <f>IF(Backend!BV55="", "", Backend!BV55)</f>
        <v/>
      </c>
      <c r="BV28" t="str">
        <f>IF(Backend!BW55="", "", Backend!BW55)</f>
        <v/>
      </c>
      <c r="BW28" t="str">
        <f>IF(Backend!BX55="", "", Backend!BX55)</f>
        <v/>
      </c>
      <c r="BX28" t="str">
        <f>IF(Backend!BY55="", "", Backend!BY55)</f>
        <v/>
      </c>
      <c r="BY28" t="str">
        <f>IF(Backend!BZ55="", "", Backend!BZ55)</f>
        <v/>
      </c>
      <c r="BZ28" t="str">
        <f>IF(Backend!CA55="", "", Backend!CA55)</f>
        <v/>
      </c>
      <c r="CA28" t="str">
        <f>IF(Backend!CB55="", "", Backend!CB55)</f>
        <v/>
      </c>
      <c r="CB28" t="str">
        <f>IF(Backend!CC55="", "", Backend!CC55)</f>
        <v/>
      </c>
      <c r="CC28" t="str">
        <f>IF(Backend!CD55="", "", Backend!CD55)</f>
        <v/>
      </c>
    </row>
    <row r="29" spans="1:81" x14ac:dyDescent="0.25">
      <c r="A29" s="4" t="str">
        <f>IF(Backend!A56="", "", Backend!A56)</f>
        <v>Kraft Heinz Company</v>
      </c>
      <c r="B29">
        <f>IF(Backend!C56="", "", Backend!C56)</f>
        <v>0.12240205</v>
      </c>
      <c r="C29">
        <f>IF(Backend!D56="", "", Backend!D56)</f>
        <v>4.5460503999999999E-2</v>
      </c>
      <c r="D29">
        <f>IF(Backend!E56="", "", Backend!E56)</f>
        <v>2.7529266E-2</v>
      </c>
      <c r="E29">
        <f>IF(Backend!F56="", "", Backend!F56)</f>
        <v>0.116408706</v>
      </c>
      <c r="F29">
        <f>IF(Backend!G56="", "", Backend!G56)</f>
        <v>2.98947E-2</v>
      </c>
      <c r="G29">
        <f>IF(Backend!H56="", "", Backend!H56)</f>
        <v>-3.7563480000000003E-2</v>
      </c>
      <c r="H29">
        <f>IF(Backend!I56="", "", Backend!I56)</f>
        <v>0.110833295</v>
      </c>
      <c r="I29">
        <f>IF(Backend!J56="", "", Backend!J56)</f>
        <v>0.11295729</v>
      </c>
      <c r="J29">
        <f>IF(Backend!K56="", "", Backend!K56)</f>
        <v>0.23448189999999999</v>
      </c>
      <c r="K29">
        <f>IF(Backend!L56="", "", Backend!L56)</f>
        <v>0.12269262</v>
      </c>
      <c r="L29">
        <f>IF(Backend!M56="", "", Backend!M56)</f>
        <v>3.6212741999999999E-2</v>
      </c>
      <c r="M29">
        <f>IF(Backend!N56="", "", Backend!N56)</f>
        <v>0.11170633000000001</v>
      </c>
      <c r="N29">
        <f>IF(Backend!O56="", "", Backend!O56)</f>
        <v>5.4988883000000002E-2</v>
      </c>
      <c r="O29">
        <f>IF(Backend!P56="", "", Backend!P56)</f>
        <v>5.8995753999999997E-2</v>
      </c>
      <c r="P29">
        <f>IF(Backend!Q56="", "", Backend!Q56)</f>
        <v>7.3106355999999997E-2</v>
      </c>
      <c r="Q29">
        <f>IF(Backend!R56="", "", Backend!R56)</f>
        <v>8.0078490000000002E-2</v>
      </c>
      <c r="R29">
        <f>IF(Backend!S56="", "", Backend!S56)</f>
        <v>0.1569141</v>
      </c>
      <c r="S29">
        <f>IF(Backend!T56="", "", Backend!T56)</f>
        <v>7.1470249999999999E-2</v>
      </c>
      <c r="T29">
        <f>IF(Backend!U56="", "", Backend!U56)</f>
        <v>0.13606388999999999</v>
      </c>
      <c r="U29">
        <f>IF(Backend!V56="", "", Backend!V56)</f>
        <v>1.5610277000000001E-2</v>
      </c>
      <c r="V29">
        <f>IF(Backend!W56="", "", Backend!W56)</f>
        <v>0.11605284</v>
      </c>
      <c r="W29">
        <f>IF(Backend!X56="", "", Backend!X56)</f>
        <v>0.12263618</v>
      </c>
      <c r="X29">
        <f>IF(Backend!Y56="", "", Backend!Y56)</f>
        <v>2.0906942000000001E-2</v>
      </c>
      <c r="Y29">
        <f>IF(Backend!Z56="", "", Backend!Z56)</f>
        <v>5.5945132000000002E-2</v>
      </c>
      <c r="Z29">
        <f>IF(Backend!AA56="", "", Backend!AA56)</f>
        <v>0.13800080000000001</v>
      </c>
      <c r="AA29">
        <f>IF(Backend!AB56="", "", Backend!AB56)</f>
        <v>1</v>
      </c>
      <c r="AB29">
        <f>IF(Backend!AC56="", "", Backend!AC56)</f>
        <v>0.17548630000000001</v>
      </c>
      <c r="AC29">
        <f>IF(Backend!AD56="", "", Backend!AD56)</f>
        <v>0.230152</v>
      </c>
      <c r="AD29">
        <f>IF(Backend!AE56="", "", Backend!AE56)</f>
        <v>0.10486679</v>
      </c>
      <c r="AE29">
        <f>IF(Backend!AF56="", "", Backend!AF56)</f>
        <v>0.22857499000000001</v>
      </c>
      <c r="AF29">
        <f>IF(Backend!AG56="", "", Backend!AG56)</f>
        <v>5.5343743000000001E-2</v>
      </c>
      <c r="AG29">
        <f>IF(Backend!AH56="", "", Backend!AH56)</f>
        <v>0.20235938000000001</v>
      </c>
      <c r="AH29">
        <f>IF(Backend!AI56="", "", Backend!AI56)</f>
        <v>0.39562446000000001</v>
      </c>
      <c r="AI29">
        <f>IF(Backend!AJ56="", "", Backend!AJ56)</f>
        <v>4.4888972999999999E-2</v>
      </c>
      <c r="AJ29">
        <f>IF(Backend!AK56="", "", Backend!AK56)</f>
        <v>2.7315711999999999E-2</v>
      </c>
      <c r="AK29">
        <f>IF(Backend!AL56="", "", Backend!AL56)</f>
        <v>8.1818470000000004E-2</v>
      </c>
      <c r="AL29">
        <f>IF(Backend!AM56="", "", Backend!AM56)</f>
        <v>0.20455185000000001</v>
      </c>
      <c r="AM29">
        <f>IF(Backend!AN56="", "", Backend!AN56)</f>
        <v>7.9690955999999993E-2</v>
      </c>
      <c r="AN29">
        <f>IF(Backend!AO56="", "", Backend!AO56)</f>
        <v>7.2429679999999996E-2</v>
      </c>
      <c r="AO29">
        <f>IF(Backend!AP56="", "", Backend!AP56)</f>
        <v>7.9200429999999999E-3</v>
      </c>
      <c r="AP29">
        <f>IF(Backend!AQ56="", "", Backend!AQ56)</f>
        <v>0.17376053</v>
      </c>
      <c r="AQ29">
        <f>IF(Backend!AR56="", "", Backend!AR56)</f>
        <v>-2.1485904E-2</v>
      </c>
      <c r="AR29">
        <f>IF(Backend!AS56="", "", Backend!AS56)</f>
        <v>0.17302807000000001</v>
      </c>
      <c r="AS29">
        <f>IF(Backend!AT56="", "", Backend!AT56)</f>
        <v>3.4679032999999998E-2</v>
      </c>
      <c r="AT29">
        <f>IF(Backend!AU56="", "", Backend!AU56)</f>
        <v>3.6330399999999999E-2</v>
      </c>
      <c r="AU29">
        <f>IF(Backend!AV56="", "", Backend!AV56)</f>
        <v>4.5732908000000003E-2</v>
      </c>
      <c r="AV29">
        <f>IF(Backend!AW56="", "", Backend!AW56)</f>
        <v>6.7878030000000006E-2</v>
      </c>
      <c r="AW29">
        <f>IF(Backend!AX56="", "", Backend!AX56)</f>
        <v>0.23352818</v>
      </c>
      <c r="AX29">
        <f>IF(Backend!AY56="", "", Backend!AY56)</f>
        <v>9.475894E-2</v>
      </c>
      <c r="AY29">
        <f>IF(Backend!AZ56="", "", Backend!AZ56)</f>
        <v>0.11599261</v>
      </c>
      <c r="AZ29">
        <f>IF(Backend!BA56="", "", Backend!BA56)</f>
        <v>4.8870955000000001E-2</v>
      </c>
      <c r="BA29">
        <f>IF(Backend!BB56="", "", Backend!BB56)</f>
        <v>1.7753109999999999E-2</v>
      </c>
      <c r="BB29">
        <f>IF(Backend!BC56="", "", Backend!BC56)</f>
        <v>0.34159594999999998</v>
      </c>
      <c r="BC29">
        <f>IF(Backend!BD56="", "", Backend!BD56)</f>
        <v>0.23954332</v>
      </c>
      <c r="BD29">
        <f>IF(Backend!BE56="", "", Backend!BE56)</f>
        <v>0.16767223000000001</v>
      </c>
      <c r="BE29">
        <f>IF(Backend!BF56="", "", Backend!BF56)</f>
        <v>0.11603997000000001</v>
      </c>
      <c r="BF29">
        <f>IF(Backend!BG56="", "", Backend!BG56)</f>
        <v>0.17745325000000001</v>
      </c>
      <c r="BG29">
        <f>IF(Backend!BH56="", "", Backend!BH56)</f>
        <v>0.27866244000000001</v>
      </c>
      <c r="BH29">
        <f>IF(Backend!BI56="", "", Backend!BI56)</f>
        <v>0.18448089000000001</v>
      </c>
      <c r="BI29" t="str">
        <f>IF(Backend!BJ56="", "", Backend!BJ56)</f>
        <v/>
      </c>
      <c r="BJ29" t="str">
        <f>IF(Backend!BK56="", "", Backend!BK56)</f>
        <v/>
      </c>
      <c r="BK29" t="str">
        <f>IF(Backend!BL56="", "", Backend!BL56)</f>
        <v/>
      </c>
      <c r="BL29" t="str">
        <f>IF(Backend!BM56="", "", Backend!BM56)</f>
        <v/>
      </c>
      <c r="BM29" t="str">
        <f>IF(Backend!BN56="", "", Backend!BN56)</f>
        <v/>
      </c>
      <c r="BN29" t="str">
        <f>IF(Backend!BO56="", "", Backend!BO56)</f>
        <v/>
      </c>
      <c r="BO29" t="str">
        <f>IF(Backend!BP56="", "", Backend!BP56)</f>
        <v/>
      </c>
      <c r="BP29" t="str">
        <f>IF(Backend!BQ56="", "", Backend!BQ56)</f>
        <v/>
      </c>
      <c r="BQ29" t="str">
        <f>IF(Backend!BR56="", "", Backend!BR56)</f>
        <v/>
      </c>
      <c r="BR29" t="str">
        <f>IF(Backend!BS56="", "", Backend!BS56)</f>
        <v/>
      </c>
      <c r="BS29" t="str">
        <f>IF(Backend!BT56="", "", Backend!BT56)</f>
        <v/>
      </c>
      <c r="BT29" t="str">
        <f>IF(Backend!BU56="", "", Backend!BU56)</f>
        <v/>
      </c>
      <c r="BU29" t="str">
        <f>IF(Backend!BV56="", "", Backend!BV56)</f>
        <v/>
      </c>
      <c r="BV29" t="str">
        <f>IF(Backend!BW56="", "", Backend!BW56)</f>
        <v/>
      </c>
      <c r="BW29" t="str">
        <f>IF(Backend!BX56="", "", Backend!BX56)</f>
        <v/>
      </c>
      <c r="BX29" t="str">
        <f>IF(Backend!BY56="", "", Backend!BY56)</f>
        <v/>
      </c>
      <c r="BY29" t="str">
        <f>IF(Backend!BZ56="", "", Backend!BZ56)</f>
        <v/>
      </c>
      <c r="BZ29" t="str">
        <f>IF(Backend!CA56="", "", Backend!CA56)</f>
        <v/>
      </c>
      <c r="CA29" t="str">
        <f>IF(Backend!CB56="", "", Backend!CB56)</f>
        <v/>
      </c>
      <c r="CB29" t="str">
        <f>IF(Backend!CC56="", "", Backend!CC56)</f>
        <v/>
      </c>
      <c r="CC29" t="str">
        <f>IF(Backend!CD56="", "", Backend!CD56)</f>
        <v/>
      </c>
    </row>
    <row r="30" spans="1:81" x14ac:dyDescent="0.25">
      <c r="A30" s="4" t="str">
        <f>IF(Backend!A57="", "", Backend!A57)</f>
        <v>Lear Corporation</v>
      </c>
      <c r="B30">
        <f>IF(Backend!C57="", "", Backend!C57)</f>
        <v>0.33602231999999999</v>
      </c>
      <c r="C30">
        <f>IF(Backend!D57="", "", Backend!D57)</f>
        <v>0.28487446999999999</v>
      </c>
      <c r="D30">
        <f>IF(Backend!E57="", "", Backend!E57)</f>
        <v>7.3951446000000004E-2</v>
      </c>
      <c r="E30">
        <f>IF(Backend!F57="", "", Backend!F57)</f>
        <v>0.74977830000000001</v>
      </c>
      <c r="F30">
        <f>IF(Backend!G57="", "", Backend!G57)</f>
        <v>0.23379572000000001</v>
      </c>
      <c r="G30">
        <f>IF(Backend!H57="", "", Backend!H57)</f>
        <v>0.101971455</v>
      </c>
      <c r="H30">
        <f>IF(Backend!I57="", "", Backend!I57)</f>
        <v>0.44210115</v>
      </c>
      <c r="I30">
        <f>IF(Backend!J57="", "", Backend!J57)</f>
        <v>0.24379359</v>
      </c>
      <c r="J30">
        <f>IF(Backend!K57="", "", Backend!K57)</f>
        <v>0.16839682</v>
      </c>
      <c r="K30">
        <f>IF(Backend!L57="", "", Backend!L57)</f>
        <v>0.17925068999999999</v>
      </c>
      <c r="L30">
        <f>IF(Backend!M57="", "", Backend!M57)</f>
        <v>0.25635530000000001</v>
      </c>
      <c r="M30">
        <f>IF(Backend!N57="", "", Backend!N57)</f>
        <v>0.16430573000000001</v>
      </c>
      <c r="N30">
        <f>IF(Backend!O57="", "", Backend!O57)</f>
        <v>0.44105703000000002</v>
      </c>
      <c r="O30">
        <f>IF(Backend!P57="", "", Backend!P57)</f>
        <v>3.8937020000000003E-2</v>
      </c>
      <c r="P30">
        <f>IF(Backend!Q57="", "", Backend!Q57)</f>
        <v>0.33857784000000002</v>
      </c>
      <c r="Q30">
        <f>IF(Backend!R57="", "", Backend!R57)</f>
        <v>0.27968660000000001</v>
      </c>
      <c r="R30">
        <f>IF(Backend!S57="", "", Backend!S57)</f>
        <v>8.9674569999999995E-2</v>
      </c>
      <c r="S30">
        <f>IF(Backend!T57="", "", Backend!T57)</f>
        <v>5.8947223999999999E-3</v>
      </c>
      <c r="T30">
        <f>IF(Backend!U57="", "", Backend!U57)</f>
        <v>0.42129913000000002</v>
      </c>
      <c r="U30">
        <f>IF(Backend!V57="", "", Backend!V57)</f>
        <v>7.4890310000000002E-2</v>
      </c>
      <c r="V30">
        <f>IF(Backend!W57="", "", Backend!W57)</f>
        <v>0.44464453999999998</v>
      </c>
      <c r="W30">
        <f>IF(Backend!X57="", "", Backend!X57)</f>
        <v>0.35840263999999999</v>
      </c>
      <c r="X30">
        <f>IF(Backend!Y57="", "", Backend!Y57)</f>
        <v>8.4478490000000003E-2</v>
      </c>
      <c r="Y30">
        <f>IF(Backend!Z57="", "", Backend!Z57)</f>
        <v>0.3153666</v>
      </c>
      <c r="Z30">
        <f>IF(Backend!AA57="", "", Backend!AA57)</f>
        <v>0.10414559</v>
      </c>
      <c r="AA30">
        <f>IF(Backend!AB57="", "", Backend!AB57)</f>
        <v>0.17548630000000001</v>
      </c>
      <c r="AB30">
        <f>IF(Backend!AC57="", "", Backend!AC57)</f>
        <v>1</v>
      </c>
      <c r="AC30">
        <f>IF(Backend!AD57="", "", Backend!AD57)</f>
        <v>0.5528843</v>
      </c>
      <c r="AD30">
        <f>IF(Backend!AE57="", "", Backend!AE57)</f>
        <v>0.41175079999999997</v>
      </c>
      <c r="AE30">
        <f>IF(Backend!AF57="", "", Backend!AF57)</f>
        <v>0.53240012999999997</v>
      </c>
      <c r="AF30">
        <f>IF(Backend!AG57="", "", Backend!AG57)</f>
        <v>1.8043480000000001E-2</v>
      </c>
      <c r="AG30">
        <f>IF(Backend!AH57="", "", Backend!AH57)</f>
        <v>0.55972420000000001</v>
      </c>
      <c r="AH30">
        <f>IF(Backend!AI57="", "", Backend!AI57)</f>
        <v>0.32983564999999998</v>
      </c>
      <c r="AI30">
        <f>IF(Backend!AJ57="", "", Backend!AJ57)</f>
        <v>0.33743077999999999</v>
      </c>
      <c r="AJ30">
        <f>IF(Backend!AK57="", "", Backend!AK57)</f>
        <v>4.7088980000000003E-2</v>
      </c>
      <c r="AK30">
        <f>IF(Backend!AL57="", "", Backend!AL57)</f>
        <v>2.4825549999999998E-2</v>
      </c>
      <c r="AL30">
        <f>IF(Backend!AM57="", "", Backend!AM57)</f>
        <v>0.17629096999999999</v>
      </c>
      <c r="AM30">
        <f>IF(Backend!AN57="", "", Backend!AN57)</f>
        <v>0.30829786999999997</v>
      </c>
      <c r="AN30">
        <f>IF(Backend!AO57="", "", Backend!AO57)</f>
        <v>0.25294915000000001</v>
      </c>
      <c r="AO30">
        <f>IF(Backend!AP57="", "", Backend!AP57)</f>
        <v>0.101362415</v>
      </c>
      <c r="AP30">
        <f>IF(Backend!AQ57="", "", Backend!AQ57)</f>
        <v>0.47005910000000001</v>
      </c>
      <c r="AQ30">
        <f>IF(Backend!AR57="", "", Backend!AR57)</f>
        <v>7.8522204999999998E-2</v>
      </c>
      <c r="AR30">
        <f>IF(Backend!AS57="", "", Backend!AS57)</f>
        <v>8.775471E-2</v>
      </c>
      <c r="AS30">
        <f>IF(Backend!AT57="", "", Backend!AT57)</f>
        <v>0.17952451</v>
      </c>
      <c r="AT30">
        <f>IF(Backend!AU57="", "", Backend!AU57)</f>
        <v>9.6178700000000006E-2</v>
      </c>
      <c r="AU30">
        <f>IF(Backend!AV57="", "", Backend!AV57)</f>
        <v>0.39872664000000002</v>
      </c>
      <c r="AV30">
        <f>IF(Backend!AW57="", "", Backend!AW57)</f>
        <v>0.34559307</v>
      </c>
      <c r="AW30">
        <f>IF(Backend!AX57="", "", Backend!AX57)</f>
        <v>0.52825699999999998</v>
      </c>
      <c r="AX30">
        <f>IF(Backend!AY57="", "", Backend!AY57)</f>
        <v>0.35388649999999999</v>
      </c>
      <c r="AY30">
        <f>IF(Backend!AZ57="", "", Backend!AZ57)</f>
        <v>0.42440885</v>
      </c>
      <c r="AZ30">
        <f>IF(Backend!BA57="", "", Backend!BA57)</f>
        <v>7.9062519999999997E-2</v>
      </c>
      <c r="BA30">
        <f>IF(Backend!BB57="", "", Backend!BB57)</f>
        <v>0.15911411</v>
      </c>
      <c r="BB30">
        <f>IF(Backend!BC57="", "", Backend!BC57)</f>
        <v>0.15995854000000001</v>
      </c>
      <c r="BC30">
        <f>IF(Backend!BD57="", "", Backend!BD57)</f>
        <v>0.40712145</v>
      </c>
      <c r="BD30">
        <f>IF(Backend!BE57="", "", Backend!BE57)</f>
        <v>0.18914603999999999</v>
      </c>
      <c r="BE30">
        <f>IF(Backend!BF57="", "", Backend!BF57)</f>
        <v>0.40154514000000002</v>
      </c>
      <c r="BF30">
        <f>IF(Backend!BG57="", "", Backend!BG57)</f>
        <v>0.25663682999999998</v>
      </c>
      <c r="BG30">
        <f>IF(Backend!BH57="", "", Backend!BH57)</f>
        <v>0.41644353000000001</v>
      </c>
      <c r="BH30">
        <f>IF(Backend!BI57="", "", Backend!BI57)</f>
        <v>0.38840446000000001</v>
      </c>
      <c r="BI30" t="str">
        <f>IF(Backend!BJ57="", "", Backend!BJ57)</f>
        <v/>
      </c>
      <c r="BJ30" t="str">
        <f>IF(Backend!BK57="", "", Backend!BK57)</f>
        <v/>
      </c>
      <c r="BK30" t="str">
        <f>IF(Backend!BL57="", "", Backend!BL57)</f>
        <v/>
      </c>
      <c r="BL30" t="str">
        <f>IF(Backend!BM57="", "", Backend!BM57)</f>
        <v/>
      </c>
      <c r="BM30" t="str">
        <f>IF(Backend!BN57="", "", Backend!BN57)</f>
        <v/>
      </c>
      <c r="BN30" t="str">
        <f>IF(Backend!BO57="", "", Backend!BO57)</f>
        <v/>
      </c>
      <c r="BO30" t="str">
        <f>IF(Backend!BP57="", "", Backend!BP57)</f>
        <v/>
      </c>
      <c r="BP30" t="str">
        <f>IF(Backend!BQ57="", "", Backend!BQ57)</f>
        <v/>
      </c>
      <c r="BQ30" t="str">
        <f>IF(Backend!BR57="", "", Backend!BR57)</f>
        <v/>
      </c>
      <c r="BR30" t="str">
        <f>IF(Backend!BS57="", "", Backend!BS57)</f>
        <v/>
      </c>
      <c r="BS30" t="str">
        <f>IF(Backend!BT57="", "", Backend!BT57)</f>
        <v/>
      </c>
      <c r="BT30" t="str">
        <f>IF(Backend!BU57="", "", Backend!BU57)</f>
        <v/>
      </c>
      <c r="BU30" t="str">
        <f>IF(Backend!BV57="", "", Backend!BV57)</f>
        <v/>
      </c>
      <c r="BV30" t="str">
        <f>IF(Backend!BW57="", "", Backend!BW57)</f>
        <v/>
      </c>
      <c r="BW30" t="str">
        <f>IF(Backend!BX57="", "", Backend!BX57)</f>
        <v/>
      </c>
      <c r="BX30" t="str">
        <f>IF(Backend!BY57="", "", Backend!BY57)</f>
        <v/>
      </c>
      <c r="BY30" t="str">
        <f>IF(Backend!BZ57="", "", Backend!BZ57)</f>
        <v/>
      </c>
      <c r="BZ30" t="str">
        <f>IF(Backend!CA57="", "", Backend!CA57)</f>
        <v/>
      </c>
      <c r="CA30" t="str">
        <f>IF(Backend!CB57="", "", Backend!CB57)</f>
        <v/>
      </c>
      <c r="CB30" t="str">
        <f>IF(Backend!CC57="", "", Backend!CC57)</f>
        <v/>
      </c>
      <c r="CC30" t="str">
        <f>IF(Backend!CD57="", "", Backend!CD57)</f>
        <v/>
      </c>
    </row>
    <row r="31" spans="1:81" x14ac:dyDescent="0.25">
      <c r="A31" s="4" t="str">
        <f>IF(Backend!A58="", "", Backend!A58)</f>
        <v>LyondellBasell Industries NV</v>
      </c>
      <c r="B31">
        <f>IF(Backend!C58="", "", Backend!C58)</f>
        <v>0.31463010000000002</v>
      </c>
      <c r="C31">
        <f>IF(Backend!D58="", "", Backend!D58)</f>
        <v>0.34101942000000002</v>
      </c>
      <c r="D31">
        <f>IF(Backend!E58="", "", Backend!E58)</f>
        <v>0.11294534000000001</v>
      </c>
      <c r="E31">
        <f>IF(Backend!F58="", "", Backend!F58)</f>
        <v>0.48787710000000001</v>
      </c>
      <c r="F31">
        <f>IF(Backend!G58="", "", Backend!G58)</f>
        <v>0.22604072</v>
      </c>
      <c r="G31">
        <f>IF(Backend!H58="", "", Backend!H58)</f>
        <v>0.13737674</v>
      </c>
      <c r="H31">
        <f>IF(Backend!I58="", "", Backend!I58)</f>
        <v>0.42688102</v>
      </c>
      <c r="I31">
        <f>IF(Backend!J58="", "", Backend!J58)</f>
        <v>0.22644</v>
      </c>
      <c r="J31">
        <f>IF(Backend!K58="", "", Backend!K58)</f>
        <v>0.18141277</v>
      </c>
      <c r="K31">
        <f>IF(Backend!L58="", "", Backend!L58)</f>
        <v>0.15181078000000001</v>
      </c>
      <c r="L31">
        <f>IF(Backend!M58="", "", Backend!M58)</f>
        <v>0.22015499999999999</v>
      </c>
      <c r="M31">
        <f>IF(Backend!N58="", "", Backend!N58)</f>
        <v>0.16612798000000001</v>
      </c>
      <c r="N31">
        <f>IF(Backend!O58="", "", Backend!O58)</f>
        <v>0.30402817999999998</v>
      </c>
      <c r="O31">
        <f>IF(Backend!P58="", "", Backend!P58)</f>
        <v>6.9621974E-3</v>
      </c>
      <c r="P31">
        <f>IF(Backend!Q58="", "", Backend!Q58)</f>
        <v>0.3083304</v>
      </c>
      <c r="Q31">
        <f>IF(Backend!R58="", "", Backend!R58)</f>
        <v>0.38747352000000002</v>
      </c>
      <c r="R31">
        <f>IF(Backend!S58="", "", Backend!S58)</f>
        <v>8.9405460000000006E-2</v>
      </c>
      <c r="S31">
        <f>IF(Backend!T58="", "", Backend!T58)</f>
        <v>-5.695683E-3</v>
      </c>
      <c r="T31">
        <f>IF(Backend!U58="", "", Backend!U58)</f>
        <v>0.58403145999999995</v>
      </c>
      <c r="U31">
        <f>IF(Backend!V58="", "", Backend!V58)</f>
        <v>8.7476979999999996E-2</v>
      </c>
      <c r="V31">
        <f>IF(Backend!W58="", "", Backend!W58)</f>
        <v>0.45621820000000002</v>
      </c>
      <c r="W31">
        <f>IF(Backend!X58="", "", Backend!X58)</f>
        <v>0.29861336999999999</v>
      </c>
      <c r="X31">
        <f>IF(Backend!Y58="", "", Backend!Y58)</f>
        <v>9.8996619999999994E-2</v>
      </c>
      <c r="Y31">
        <f>IF(Backend!Z58="", "", Backend!Z58)</f>
        <v>0.2750108</v>
      </c>
      <c r="Z31">
        <f>IF(Backend!AA58="", "", Backend!AA58)</f>
        <v>5.5835765000000002E-2</v>
      </c>
      <c r="AA31">
        <f>IF(Backend!AB58="", "", Backend!AB58)</f>
        <v>0.230152</v>
      </c>
      <c r="AB31">
        <f>IF(Backend!AC58="", "", Backend!AC58)</f>
        <v>0.5528843</v>
      </c>
      <c r="AC31">
        <f>IF(Backend!AD58="", "", Backend!AD58)</f>
        <v>1</v>
      </c>
      <c r="AD31">
        <f>IF(Backend!AE58="", "", Backend!AE58)</f>
        <v>0.36979187000000002</v>
      </c>
      <c r="AE31">
        <f>IF(Backend!AF58="", "", Backend!AF58)</f>
        <v>0.52546530000000002</v>
      </c>
      <c r="AF31">
        <f>IF(Backend!AG58="", "", Backend!AG58)</f>
        <v>9.9494149999999996E-3</v>
      </c>
      <c r="AG31">
        <f>IF(Backend!AH58="", "", Backend!AH58)</f>
        <v>0.48720005</v>
      </c>
      <c r="AH31">
        <f>IF(Backend!AI58="", "", Backend!AI58)</f>
        <v>0.36534923000000002</v>
      </c>
      <c r="AI31">
        <f>IF(Backend!AJ58="", "", Backend!AJ58)</f>
        <v>0.32377830000000002</v>
      </c>
      <c r="AJ31">
        <f>IF(Backend!AK58="", "", Backend!AK58)</f>
        <v>8.5463510000000006E-2</v>
      </c>
      <c r="AK31">
        <f>IF(Backend!AL58="", "", Backend!AL58)</f>
        <v>2.1505380000000001E-2</v>
      </c>
      <c r="AL31">
        <f>IF(Backend!AM58="", "", Backend!AM58)</f>
        <v>0.23846191</v>
      </c>
      <c r="AM31">
        <f>IF(Backend!AN58="", "", Backend!AN58)</f>
        <v>0.21099028</v>
      </c>
      <c r="AN31">
        <f>IF(Backend!AO58="", "", Backend!AO58)</f>
        <v>0.40174747</v>
      </c>
      <c r="AO31">
        <f>IF(Backend!AP58="", "", Backend!AP58)</f>
        <v>9.5094583999999996E-2</v>
      </c>
      <c r="AP31">
        <f>IF(Backend!AQ58="", "", Backend!AQ58)</f>
        <v>0.39174895999999998</v>
      </c>
      <c r="AQ31">
        <f>IF(Backend!AR58="", "", Backend!AR58)</f>
        <v>7.3910519999999993E-2</v>
      </c>
      <c r="AR31">
        <f>IF(Backend!AS58="", "", Backend!AS58)</f>
        <v>5.1769305000000002E-2</v>
      </c>
      <c r="AS31">
        <f>IF(Backend!AT58="", "", Backend!AT58)</f>
        <v>0.14110039999999999</v>
      </c>
      <c r="AT31">
        <f>IF(Backend!AU58="", "", Backend!AU58)</f>
        <v>8.8863090000000006E-2</v>
      </c>
      <c r="AU31">
        <f>IF(Backend!AV58="", "", Backend!AV58)</f>
        <v>0.33624127999999998</v>
      </c>
      <c r="AV31">
        <f>IF(Backend!AW58="", "", Backend!AW58)</f>
        <v>0.35457622999999999</v>
      </c>
      <c r="AW31">
        <f>IF(Backend!AX58="", "", Backend!AX58)</f>
        <v>0.50704086000000004</v>
      </c>
      <c r="AX31">
        <f>IF(Backend!AY58="", "", Backend!AY58)</f>
        <v>0.29078515999999999</v>
      </c>
      <c r="AY31">
        <f>IF(Backend!AZ58="", "", Backend!AZ58)</f>
        <v>0.46909942999999998</v>
      </c>
      <c r="AZ31">
        <f>IF(Backend!BA58="", "", Backend!BA58)</f>
        <v>4.1840740000000001E-2</v>
      </c>
      <c r="BA31">
        <f>IF(Backend!BB58="", "", Backend!BB58)</f>
        <v>0.14197093</v>
      </c>
      <c r="BB31">
        <f>IF(Backend!BC58="", "", Backend!BC58)</f>
        <v>0.22902764</v>
      </c>
      <c r="BC31">
        <f>IF(Backend!BD58="", "", Backend!BD58)</f>
        <v>0.36620554</v>
      </c>
      <c r="BD31">
        <f>IF(Backend!BE58="", "", Backend!BE58)</f>
        <v>0.18173692</v>
      </c>
      <c r="BE31">
        <f>IF(Backend!BF58="", "", Backend!BF58)</f>
        <v>0.33718759999999998</v>
      </c>
      <c r="BF31">
        <f>IF(Backend!BG58="", "", Backend!BG58)</f>
        <v>0.25873010000000002</v>
      </c>
      <c r="BG31">
        <f>IF(Backend!BH58="", "", Backend!BH58)</f>
        <v>0.42618256999999998</v>
      </c>
      <c r="BH31">
        <f>IF(Backend!BI58="", "", Backend!BI58)</f>
        <v>0.38216272000000001</v>
      </c>
      <c r="BI31" t="str">
        <f>IF(Backend!BJ58="", "", Backend!BJ58)</f>
        <v/>
      </c>
      <c r="BJ31" t="str">
        <f>IF(Backend!BK58="", "", Backend!BK58)</f>
        <v/>
      </c>
      <c r="BK31" t="str">
        <f>IF(Backend!BL58="", "", Backend!BL58)</f>
        <v/>
      </c>
      <c r="BL31" t="str">
        <f>IF(Backend!BM58="", "", Backend!BM58)</f>
        <v/>
      </c>
      <c r="BM31" t="str">
        <f>IF(Backend!BN58="", "", Backend!BN58)</f>
        <v/>
      </c>
      <c r="BN31" t="str">
        <f>IF(Backend!BO58="", "", Backend!BO58)</f>
        <v/>
      </c>
      <c r="BO31" t="str">
        <f>IF(Backend!BP58="", "", Backend!BP58)</f>
        <v/>
      </c>
      <c r="BP31" t="str">
        <f>IF(Backend!BQ58="", "", Backend!BQ58)</f>
        <v/>
      </c>
      <c r="BQ31" t="str">
        <f>IF(Backend!BR58="", "", Backend!BR58)</f>
        <v/>
      </c>
      <c r="BR31" t="str">
        <f>IF(Backend!BS58="", "", Backend!BS58)</f>
        <v/>
      </c>
      <c r="BS31" t="str">
        <f>IF(Backend!BT58="", "", Backend!BT58)</f>
        <v/>
      </c>
      <c r="BT31" t="str">
        <f>IF(Backend!BU58="", "", Backend!BU58)</f>
        <v/>
      </c>
      <c r="BU31" t="str">
        <f>IF(Backend!BV58="", "", Backend!BV58)</f>
        <v/>
      </c>
      <c r="BV31" t="str">
        <f>IF(Backend!BW58="", "", Backend!BW58)</f>
        <v/>
      </c>
      <c r="BW31" t="str">
        <f>IF(Backend!BX58="", "", Backend!BX58)</f>
        <v/>
      </c>
      <c r="BX31" t="str">
        <f>IF(Backend!BY58="", "", Backend!BY58)</f>
        <v/>
      </c>
      <c r="BY31" t="str">
        <f>IF(Backend!BZ58="", "", Backend!BZ58)</f>
        <v/>
      </c>
      <c r="BZ31" t="str">
        <f>IF(Backend!CA58="", "", Backend!CA58)</f>
        <v/>
      </c>
      <c r="CA31" t="str">
        <f>IF(Backend!CB58="", "", Backend!CB58)</f>
        <v/>
      </c>
      <c r="CB31" t="str">
        <f>IF(Backend!CC58="", "", Backend!CC58)</f>
        <v/>
      </c>
      <c r="CC31" t="str">
        <f>IF(Backend!CD58="", "", Backend!CD58)</f>
        <v/>
      </c>
    </row>
    <row r="32" spans="1:81" x14ac:dyDescent="0.25">
      <c r="A32" s="4" t="str">
        <f>IF(Backend!A59="", "", Backend!A59)</f>
        <v>Macy's, Inc.</v>
      </c>
      <c r="B32">
        <f>IF(Backend!C59="", "", Backend!C59)</f>
        <v>0.17430522000000001</v>
      </c>
      <c r="C32">
        <f>IF(Backend!D59="", "", Backend!D59)</f>
        <v>0.11964421</v>
      </c>
      <c r="D32">
        <f>IF(Backend!E59="", "", Backend!E59)</f>
        <v>4.0439438000000001E-2</v>
      </c>
      <c r="E32">
        <f>IF(Backend!F59="", "", Backend!F59)</f>
        <v>0.39698410000000001</v>
      </c>
      <c r="F32">
        <f>IF(Backend!G59="", "", Backend!G59)</f>
        <v>0.15629771000000001</v>
      </c>
      <c r="G32">
        <f>IF(Backend!H59="", "", Backend!H59)</f>
        <v>3.4880225000000001E-2</v>
      </c>
      <c r="H32">
        <f>IF(Backend!I59="", "", Backend!I59)</f>
        <v>0.21113420999999999</v>
      </c>
      <c r="I32">
        <f>IF(Backend!J59="", "", Backend!J59)</f>
        <v>8.6407065000000005E-2</v>
      </c>
      <c r="J32">
        <f>IF(Backend!K59="", "", Backend!K59)</f>
        <v>0.10737439999999999</v>
      </c>
      <c r="K32">
        <f>IF(Backend!L59="", "", Backend!L59)</f>
        <v>8.1264450000000002E-2</v>
      </c>
      <c r="L32">
        <f>IF(Backend!M59="", "", Backend!M59)</f>
        <v>0.18268309999999999</v>
      </c>
      <c r="M32">
        <f>IF(Backend!N59="", "", Backend!N59)</f>
        <v>8.9061609999999999E-2</v>
      </c>
      <c r="N32">
        <f>IF(Backend!O59="", "", Backend!O59)</f>
        <v>0.20812005</v>
      </c>
      <c r="O32">
        <f>IF(Backend!P59="", "", Backend!P59)</f>
        <v>2.7344047999999999E-2</v>
      </c>
      <c r="P32">
        <f>IF(Backend!Q59="", "", Backend!Q59)</f>
        <v>0.2105397</v>
      </c>
      <c r="Q32">
        <f>IF(Backend!R59="", "", Backend!R59)</f>
        <v>0.17412965</v>
      </c>
      <c r="R32">
        <f>IF(Backend!S59="", "", Backend!S59)</f>
        <v>2.0867213999999999E-2</v>
      </c>
      <c r="S32">
        <f>IF(Backend!T59="", "", Backend!T59)</f>
        <v>-1.4013441999999999E-2</v>
      </c>
      <c r="T32">
        <f>IF(Backend!U59="", "", Backend!U59)</f>
        <v>0.30889212999999999</v>
      </c>
      <c r="U32">
        <f>IF(Backend!V59="", "", Backend!V59)</f>
        <v>7.6550594999999999E-2</v>
      </c>
      <c r="V32">
        <f>IF(Backend!W59="", "", Backend!W59)</f>
        <v>0.39543289999999998</v>
      </c>
      <c r="W32">
        <f>IF(Backend!X59="", "", Backend!X59)</f>
        <v>0.26061854000000001</v>
      </c>
      <c r="X32">
        <f>IF(Backend!Y59="", "", Backend!Y59)</f>
        <v>5.0922558E-2</v>
      </c>
      <c r="Y32">
        <f>IF(Backend!Z59="", "", Backend!Z59)</f>
        <v>0.18112548000000001</v>
      </c>
      <c r="Z32">
        <f>IF(Backend!AA59="", "", Backend!AA59)</f>
        <v>7.2283310000000003E-2</v>
      </c>
      <c r="AA32">
        <f>IF(Backend!AB59="", "", Backend!AB59)</f>
        <v>0.10486679</v>
      </c>
      <c r="AB32">
        <f>IF(Backend!AC59="", "", Backend!AC59)</f>
        <v>0.41175079999999997</v>
      </c>
      <c r="AC32">
        <f>IF(Backend!AD59="", "", Backend!AD59)</f>
        <v>0.36979187000000002</v>
      </c>
      <c r="AD32">
        <f>IF(Backend!AE59="", "", Backend!AE59)</f>
        <v>1</v>
      </c>
      <c r="AE32">
        <f>IF(Backend!AF59="", "", Backend!AF59)</f>
        <v>0.38949024999999998</v>
      </c>
      <c r="AF32">
        <f>IF(Backend!AG59="", "", Backend!AG59)</f>
        <v>2.0513255000000001E-2</v>
      </c>
      <c r="AG32">
        <f>IF(Backend!AH59="", "", Backend!AH59)</f>
        <v>0.38704386000000002</v>
      </c>
      <c r="AH32">
        <f>IF(Backend!AI59="", "", Backend!AI59)</f>
        <v>0.26854062000000001</v>
      </c>
      <c r="AI32">
        <f>IF(Backend!AJ59="", "", Backend!AJ59)</f>
        <v>0.19285825000000001</v>
      </c>
      <c r="AJ32">
        <f>IF(Backend!AK59="", "", Backend!AK59)</f>
        <v>4.0908510000000002E-2</v>
      </c>
      <c r="AK32">
        <f>IF(Backend!AL59="", "", Backend!AL59)</f>
        <v>3.5302762000000001E-2</v>
      </c>
      <c r="AL32">
        <f>IF(Backend!AM59="", "", Backend!AM59)</f>
        <v>0.11189074</v>
      </c>
      <c r="AM32">
        <f>IF(Backend!AN59="", "", Backend!AN59)</f>
        <v>0.13893712</v>
      </c>
      <c r="AN32">
        <f>IF(Backend!AO59="", "", Backend!AO59)</f>
        <v>0.19041834999999999</v>
      </c>
      <c r="AO32">
        <f>IF(Backend!AP59="", "", Backend!AP59)</f>
        <v>3.6405668000000002E-2</v>
      </c>
      <c r="AP32">
        <f>IF(Backend!AQ59="", "", Backend!AQ59)</f>
        <v>0.46607043999999997</v>
      </c>
      <c r="AQ32">
        <f>IF(Backend!AR59="", "", Backend!AR59)</f>
        <v>6.9894529999999996E-2</v>
      </c>
      <c r="AR32">
        <f>IF(Backend!AS59="", "", Backend!AS59)</f>
        <v>5.48475E-3</v>
      </c>
      <c r="AS32">
        <f>IF(Backend!AT59="", "", Backend!AT59)</f>
        <v>6.7850569999999999E-2</v>
      </c>
      <c r="AT32">
        <f>IF(Backend!AU59="", "", Backend!AU59)</f>
        <v>5.032296E-2</v>
      </c>
      <c r="AU32">
        <f>IF(Backend!AV59="", "", Backend!AV59)</f>
        <v>0.20012932999999999</v>
      </c>
      <c r="AV32">
        <f>IF(Backend!AW59="", "", Backend!AW59)</f>
        <v>0.19930595000000001</v>
      </c>
      <c r="AW32">
        <f>IF(Backend!AX59="", "", Backend!AX59)</f>
        <v>0.38281724</v>
      </c>
      <c r="AX32">
        <f>IF(Backend!AY59="", "", Backend!AY59)</f>
        <v>0.16946992</v>
      </c>
      <c r="AY32">
        <f>IF(Backend!AZ59="", "", Backend!AZ59)</f>
        <v>0.24578261000000001</v>
      </c>
      <c r="AZ32">
        <f>IF(Backend!BA59="", "", Backend!BA59)</f>
        <v>5.1366340000000003E-2</v>
      </c>
      <c r="BA32">
        <f>IF(Backend!BB59="", "", Backend!BB59)</f>
        <v>6.8878344999999994E-2</v>
      </c>
      <c r="BB32">
        <f>IF(Backend!BC59="", "", Backend!BC59)</f>
        <v>6.558129E-2</v>
      </c>
      <c r="BC32">
        <f>IF(Backend!BD59="", "", Backend!BD59)</f>
        <v>0.25504979999999999</v>
      </c>
      <c r="BD32">
        <f>IF(Backend!BE59="", "", Backend!BE59)</f>
        <v>0.120931625</v>
      </c>
      <c r="BE32">
        <f>IF(Backend!BF59="", "", Backend!BF59)</f>
        <v>0.1976686</v>
      </c>
      <c r="BF32">
        <f>IF(Backend!BG59="", "", Backend!BG59)</f>
        <v>0.24520223999999999</v>
      </c>
      <c r="BG32">
        <f>IF(Backend!BH59="", "", Backend!BH59)</f>
        <v>0.29458203999999999</v>
      </c>
      <c r="BH32">
        <f>IF(Backend!BI59="", "", Backend!BI59)</f>
        <v>0.27038743999999998</v>
      </c>
      <c r="BI32" t="str">
        <f>IF(Backend!BJ59="", "", Backend!BJ59)</f>
        <v/>
      </c>
      <c r="BJ32" t="str">
        <f>IF(Backend!BK59="", "", Backend!BK59)</f>
        <v/>
      </c>
      <c r="BK32" t="str">
        <f>IF(Backend!BL59="", "", Backend!BL59)</f>
        <v/>
      </c>
      <c r="BL32" t="str">
        <f>IF(Backend!BM59="", "", Backend!BM59)</f>
        <v/>
      </c>
      <c r="BM32" t="str">
        <f>IF(Backend!BN59="", "", Backend!BN59)</f>
        <v/>
      </c>
      <c r="BN32" t="str">
        <f>IF(Backend!BO59="", "", Backend!BO59)</f>
        <v/>
      </c>
      <c r="BO32" t="str">
        <f>IF(Backend!BP59="", "", Backend!BP59)</f>
        <v/>
      </c>
      <c r="BP32" t="str">
        <f>IF(Backend!BQ59="", "", Backend!BQ59)</f>
        <v/>
      </c>
      <c r="BQ32" t="str">
        <f>IF(Backend!BR59="", "", Backend!BR59)</f>
        <v/>
      </c>
      <c r="BR32" t="str">
        <f>IF(Backend!BS59="", "", Backend!BS59)</f>
        <v/>
      </c>
      <c r="BS32" t="str">
        <f>IF(Backend!BT59="", "", Backend!BT59)</f>
        <v/>
      </c>
      <c r="BT32" t="str">
        <f>IF(Backend!BU59="", "", Backend!BU59)</f>
        <v/>
      </c>
      <c r="BU32" t="str">
        <f>IF(Backend!BV59="", "", Backend!BV59)</f>
        <v/>
      </c>
      <c r="BV32" t="str">
        <f>IF(Backend!BW59="", "", Backend!BW59)</f>
        <v/>
      </c>
      <c r="BW32" t="str">
        <f>IF(Backend!BX59="", "", Backend!BX59)</f>
        <v/>
      </c>
      <c r="BX32" t="str">
        <f>IF(Backend!BY59="", "", Backend!BY59)</f>
        <v/>
      </c>
      <c r="BY32" t="str">
        <f>IF(Backend!BZ59="", "", Backend!BZ59)</f>
        <v/>
      </c>
      <c r="BZ32" t="str">
        <f>IF(Backend!CA59="", "", Backend!CA59)</f>
        <v/>
      </c>
      <c r="CA32" t="str">
        <f>IF(Backend!CB59="", "", Backend!CB59)</f>
        <v/>
      </c>
      <c r="CB32" t="str">
        <f>IF(Backend!CC59="", "", Backend!CC59)</f>
        <v/>
      </c>
      <c r="CC32" t="str">
        <f>IF(Backend!CD59="", "", Backend!CD59)</f>
        <v/>
      </c>
    </row>
    <row r="33" spans="1:81" x14ac:dyDescent="0.25">
      <c r="A33" s="4" t="str">
        <f>IF(Backend!A60="", "", Backend!A60)</f>
        <v>ManpowerGroup Inc.</v>
      </c>
      <c r="B33">
        <f>IF(Backend!C60="", "", Backend!C60)</f>
        <v>0.44833085</v>
      </c>
      <c r="C33">
        <f>IF(Backend!D60="", "", Backend!D60)</f>
        <v>0.25129952999999999</v>
      </c>
      <c r="D33">
        <f>IF(Backend!E60="", "", Backend!E60)</f>
        <v>7.1766670000000005E-2</v>
      </c>
      <c r="E33">
        <f>IF(Backend!F60="", "", Backend!F60)</f>
        <v>0.48700399999999999</v>
      </c>
      <c r="F33">
        <f>IF(Backend!G60="", "", Backend!G60)</f>
        <v>0.20698543</v>
      </c>
      <c r="G33">
        <f>IF(Backend!H60="", "", Backend!H60)</f>
        <v>5.9619739999999997E-2</v>
      </c>
      <c r="H33">
        <f>IF(Backend!I60="", "", Backend!I60)</f>
        <v>0.39829300000000001</v>
      </c>
      <c r="I33">
        <f>IF(Backend!J60="", "", Backend!J60)</f>
        <v>0.21613170000000001</v>
      </c>
      <c r="J33">
        <f>IF(Backend!K60="", "", Backend!K60)</f>
        <v>0.20463814999999999</v>
      </c>
      <c r="K33">
        <f>IF(Backend!L60="", "", Backend!L60)</f>
        <v>0.1919496</v>
      </c>
      <c r="L33">
        <f>IF(Backend!M60="", "", Backend!M60)</f>
        <v>0.23934512999999999</v>
      </c>
      <c r="M33">
        <f>IF(Backend!N60="", "", Backend!N60)</f>
        <v>0.15114454999999999</v>
      </c>
      <c r="N33">
        <f>IF(Backend!O60="", "", Backend!O60)</f>
        <v>0.34109319999999999</v>
      </c>
      <c r="O33">
        <f>IF(Backend!P60="", "", Backend!P60)</f>
        <v>5.3796070000000001E-2</v>
      </c>
      <c r="P33">
        <f>IF(Backend!Q60="", "", Backend!Q60)</f>
        <v>0.34419460000000002</v>
      </c>
      <c r="Q33">
        <f>IF(Backend!R60="", "", Backend!R60)</f>
        <v>0.27518234000000003</v>
      </c>
      <c r="R33">
        <f>IF(Backend!S60="", "", Backend!S60)</f>
        <v>0.13040671000000001</v>
      </c>
      <c r="S33">
        <f>IF(Backend!T60="", "", Backend!T60)</f>
        <v>3.3569080000000001E-2</v>
      </c>
      <c r="T33">
        <f>IF(Backend!U60="", "", Backend!U60)</f>
        <v>0.3522306</v>
      </c>
      <c r="U33">
        <f>IF(Backend!V60="", "", Backend!V60)</f>
        <v>6.4905660000000004E-2</v>
      </c>
      <c r="V33">
        <f>IF(Backend!W60="", "", Backend!W60)</f>
        <v>0.39013123999999999</v>
      </c>
      <c r="W33">
        <f>IF(Backend!X60="", "", Backend!X60)</f>
        <v>0.29089186</v>
      </c>
      <c r="X33">
        <f>IF(Backend!Y60="", "", Backend!Y60)</f>
        <v>9.7886704000000005E-2</v>
      </c>
      <c r="Y33">
        <f>IF(Backend!Z60="", "", Backend!Z60)</f>
        <v>0.28056657000000002</v>
      </c>
      <c r="Z33">
        <f>IF(Backend!AA60="", "", Backend!AA60)</f>
        <v>8.2975869999999993E-2</v>
      </c>
      <c r="AA33">
        <f>IF(Backend!AB60="", "", Backend!AB60)</f>
        <v>0.22857499000000001</v>
      </c>
      <c r="AB33">
        <f>IF(Backend!AC60="", "", Backend!AC60)</f>
        <v>0.53240012999999997</v>
      </c>
      <c r="AC33">
        <f>IF(Backend!AD60="", "", Backend!AD60)</f>
        <v>0.52546530000000002</v>
      </c>
      <c r="AD33">
        <f>IF(Backend!AE60="", "", Backend!AE60)</f>
        <v>0.38949024999999998</v>
      </c>
      <c r="AE33">
        <f>IF(Backend!AF60="", "", Backend!AF60)</f>
        <v>1</v>
      </c>
      <c r="AF33">
        <f>IF(Backend!AG60="", "", Backend!AG60)</f>
        <v>2.6812217999999999E-2</v>
      </c>
      <c r="AG33">
        <f>IF(Backend!AH60="", "", Backend!AH60)</f>
        <v>0.50997380000000003</v>
      </c>
      <c r="AH33">
        <f>IF(Backend!AI60="", "", Backend!AI60)</f>
        <v>0.33019019999999999</v>
      </c>
      <c r="AI33">
        <f>IF(Backend!AJ60="", "", Backend!AJ60)</f>
        <v>0.31472762999999998</v>
      </c>
      <c r="AJ33">
        <f>IF(Backend!AK60="", "", Backend!AK60)</f>
        <v>4.4891239999999999E-2</v>
      </c>
      <c r="AK33">
        <f>IF(Backend!AL60="", "", Backend!AL60)</f>
        <v>3.2531306000000003E-2</v>
      </c>
      <c r="AL33">
        <f>IF(Backend!AM60="", "", Backend!AM60)</f>
        <v>0.22903973999999999</v>
      </c>
      <c r="AM33">
        <f>IF(Backend!AN60="", "", Backend!AN60)</f>
        <v>0.26659650000000001</v>
      </c>
      <c r="AN33">
        <f>IF(Backend!AO60="", "", Backend!AO60)</f>
        <v>0.24495742000000001</v>
      </c>
      <c r="AO33">
        <f>IF(Backend!AP60="", "", Backend!AP60)</f>
        <v>8.7120149999999993E-2</v>
      </c>
      <c r="AP33">
        <f>IF(Backend!AQ60="", "", Backend!AQ60)</f>
        <v>0.4301372</v>
      </c>
      <c r="AQ33">
        <f>IF(Backend!AR60="", "", Backend!AR60)</f>
        <v>7.941347E-2</v>
      </c>
      <c r="AR33">
        <f>IF(Backend!AS60="", "", Backend!AS60)</f>
        <v>0.10830944000000001</v>
      </c>
      <c r="AS33">
        <f>IF(Backend!AT60="", "", Backend!AT60)</f>
        <v>0.12936945</v>
      </c>
      <c r="AT33">
        <f>IF(Backend!AU60="", "", Backend!AU60)</f>
        <v>0.109048374</v>
      </c>
      <c r="AU33">
        <f>IF(Backend!AV60="", "", Backend!AV60)</f>
        <v>0.3735116</v>
      </c>
      <c r="AV33">
        <f>IF(Backend!AW60="", "", Backend!AW60)</f>
        <v>0.31973230000000002</v>
      </c>
      <c r="AW33">
        <f>IF(Backend!AX60="", "", Backend!AX60)</f>
        <v>0.50520306999999998</v>
      </c>
      <c r="AX33">
        <f>IF(Backend!AY60="", "", Backend!AY60)</f>
        <v>0.30343520000000002</v>
      </c>
      <c r="AY33">
        <f>IF(Backend!AZ60="", "", Backend!AZ60)</f>
        <v>0.36476612000000003</v>
      </c>
      <c r="AZ33">
        <f>IF(Backend!BA60="", "", Backend!BA60)</f>
        <v>6.4735589999999996E-2</v>
      </c>
      <c r="BA33">
        <f>IF(Backend!BB60="", "", Backend!BB60)</f>
        <v>0.10715157</v>
      </c>
      <c r="BB33">
        <f>IF(Backend!BC60="", "", Backend!BC60)</f>
        <v>0.20770640000000001</v>
      </c>
      <c r="BC33">
        <f>IF(Backend!BD60="", "", Backend!BD60)</f>
        <v>0.36543047000000001</v>
      </c>
      <c r="BD33">
        <f>IF(Backend!BE60="", "", Backend!BE60)</f>
        <v>0.22951617999999999</v>
      </c>
      <c r="BE33">
        <f>IF(Backend!BF60="", "", Backend!BF60)</f>
        <v>0.31931967</v>
      </c>
      <c r="BF33">
        <f>IF(Backend!BG60="", "", Backend!BG60)</f>
        <v>0.26529393000000001</v>
      </c>
      <c r="BG33">
        <f>IF(Backend!BH60="", "", Backend!BH60)</f>
        <v>0.37820577999999999</v>
      </c>
      <c r="BH33">
        <f>IF(Backend!BI60="", "", Backend!BI60)</f>
        <v>0.39658588</v>
      </c>
      <c r="BI33" t="str">
        <f>IF(Backend!BJ60="", "", Backend!BJ60)</f>
        <v/>
      </c>
      <c r="BJ33" t="str">
        <f>IF(Backend!BK60="", "", Backend!BK60)</f>
        <v/>
      </c>
      <c r="BK33" t="str">
        <f>IF(Backend!BL60="", "", Backend!BL60)</f>
        <v/>
      </c>
      <c r="BL33" t="str">
        <f>IF(Backend!BM60="", "", Backend!BM60)</f>
        <v/>
      </c>
      <c r="BM33" t="str">
        <f>IF(Backend!BN60="", "", Backend!BN60)</f>
        <v/>
      </c>
      <c r="BN33" t="str">
        <f>IF(Backend!BO60="", "", Backend!BO60)</f>
        <v/>
      </c>
      <c r="BO33" t="str">
        <f>IF(Backend!BP60="", "", Backend!BP60)</f>
        <v/>
      </c>
      <c r="BP33" t="str">
        <f>IF(Backend!BQ60="", "", Backend!BQ60)</f>
        <v/>
      </c>
      <c r="BQ33" t="str">
        <f>IF(Backend!BR60="", "", Backend!BR60)</f>
        <v/>
      </c>
      <c r="BR33" t="str">
        <f>IF(Backend!BS60="", "", Backend!BS60)</f>
        <v/>
      </c>
      <c r="BS33" t="str">
        <f>IF(Backend!BT60="", "", Backend!BT60)</f>
        <v/>
      </c>
      <c r="BT33" t="str">
        <f>IF(Backend!BU60="", "", Backend!BU60)</f>
        <v/>
      </c>
      <c r="BU33" t="str">
        <f>IF(Backend!BV60="", "", Backend!BV60)</f>
        <v/>
      </c>
      <c r="BV33" t="str">
        <f>IF(Backend!BW60="", "", Backend!BW60)</f>
        <v/>
      </c>
      <c r="BW33" t="str">
        <f>IF(Backend!BX60="", "", Backend!BX60)</f>
        <v/>
      </c>
      <c r="BX33" t="str">
        <f>IF(Backend!BY60="", "", Backend!BY60)</f>
        <v/>
      </c>
      <c r="BY33" t="str">
        <f>IF(Backend!BZ60="", "", Backend!BZ60)</f>
        <v/>
      </c>
      <c r="BZ33" t="str">
        <f>IF(Backend!CA60="", "", Backend!CA60)</f>
        <v/>
      </c>
      <c r="CA33" t="str">
        <f>IF(Backend!CB60="", "", Backend!CB60)</f>
        <v/>
      </c>
      <c r="CB33" t="str">
        <f>IF(Backend!CC60="", "", Backend!CC60)</f>
        <v/>
      </c>
      <c r="CC33" t="str">
        <f>IF(Backend!CD60="", "", Backend!CD60)</f>
        <v/>
      </c>
    </row>
    <row r="34" spans="1:81" x14ac:dyDescent="0.25">
      <c r="A34" s="4" t="str">
        <f>IF(Backend!A61="", "", Backend!A61)</f>
        <v>MEDIPAL HOLDINGS Corporation</v>
      </c>
      <c r="B34">
        <f>IF(Backend!C61="", "", Backend!C61)</f>
        <v>9.6641279999999996E-2</v>
      </c>
      <c r="C34">
        <f>IF(Backend!D61="", "", Backend!D61)</f>
        <v>0.11732159</v>
      </c>
      <c r="D34">
        <f>IF(Backend!E61="", "", Backend!E61)</f>
        <v>4.872398E-2</v>
      </c>
      <c r="E34">
        <f>IF(Backend!F61="", "", Backend!F61)</f>
        <v>4.8910510000000004E-3</v>
      </c>
      <c r="F34">
        <f>IF(Backend!G61="", "", Backend!G61)</f>
        <v>5.2585109999999996E-3</v>
      </c>
      <c r="G34">
        <f>IF(Backend!H61="", "", Backend!H61)</f>
        <v>2.9118108E-2</v>
      </c>
      <c r="H34">
        <f>IF(Backend!I61="", "", Backend!I61)</f>
        <v>8.6662169999999997E-2</v>
      </c>
      <c r="I34">
        <f>IF(Backend!J61="", "", Backend!J61)</f>
        <v>0.11234039</v>
      </c>
      <c r="J34">
        <f>IF(Backend!K61="", "", Backend!K61)</f>
        <v>1.3564672999999999E-2</v>
      </c>
      <c r="K34">
        <f>IF(Backend!L61="", "", Backend!L61)</f>
        <v>9.4026830000000006E-2</v>
      </c>
      <c r="L34">
        <f>IF(Backend!M61="", "", Backend!M61)</f>
        <v>6.1221194E-2</v>
      </c>
      <c r="M34">
        <f>IF(Backend!N61="", "", Backend!N61)</f>
        <v>3.355292E-2</v>
      </c>
      <c r="N34">
        <f>IF(Backend!O61="", "", Backend!O61)</f>
        <v>8.3445039999999998E-2</v>
      </c>
      <c r="O34">
        <f>IF(Backend!P61="", "", Backend!P61)</f>
        <v>0.30702691999999998</v>
      </c>
      <c r="P34">
        <f>IF(Backend!Q61="", "", Backend!Q61)</f>
        <v>0.10647436</v>
      </c>
      <c r="Q34">
        <f>IF(Backend!R61="", "", Backend!R61)</f>
        <v>7.8328179999999997E-2</v>
      </c>
      <c r="R34">
        <f>IF(Backend!S61="", "", Backend!S61)</f>
        <v>6.5787250000000005E-2</v>
      </c>
      <c r="S34">
        <f>IF(Backend!T61="", "", Backend!T61)</f>
        <v>0.41233556999999998</v>
      </c>
      <c r="T34">
        <f>IF(Backend!U61="", "", Backend!U61)</f>
        <v>-2.9282262999999999E-2</v>
      </c>
      <c r="U34">
        <f>IF(Backend!V61="", "", Backend!V61)</f>
        <v>0.16245346999999999</v>
      </c>
      <c r="V34">
        <f>IF(Backend!W61="", "", Backend!W61)</f>
        <v>-3.0913070000000001E-2</v>
      </c>
      <c r="W34">
        <f>IF(Backend!X61="", "", Backend!X61)</f>
        <v>6.7476090000000002E-2</v>
      </c>
      <c r="X34">
        <f>IF(Backend!Y61="", "", Backend!Y61)</f>
        <v>0.13134651</v>
      </c>
      <c r="Y34">
        <f>IF(Backend!Z61="", "", Backend!Z61)</f>
        <v>8.3532910000000002E-2</v>
      </c>
      <c r="Z34">
        <f>IF(Backend!AA61="", "", Backend!AA61)</f>
        <v>9.1672009999999998E-2</v>
      </c>
      <c r="AA34">
        <f>IF(Backend!AB61="", "", Backend!AB61)</f>
        <v>5.5343743000000001E-2</v>
      </c>
      <c r="AB34">
        <f>IF(Backend!AC61="", "", Backend!AC61)</f>
        <v>1.8043480000000001E-2</v>
      </c>
      <c r="AC34">
        <f>IF(Backend!AD61="", "", Backend!AD61)</f>
        <v>9.9494149999999996E-3</v>
      </c>
      <c r="AD34">
        <f>IF(Backend!AE61="", "", Backend!AE61)</f>
        <v>2.0513255000000001E-2</v>
      </c>
      <c r="AE34">
        <f>IF(Backend!AF61="", "", Backend!AF61)</f>
        <v>2.6812217999999999E-2</v>
      </c>
      <c r="AF34">
        <f>IF(Backend!AG61="", "", Backend!AG61)</f>
        <v>1</v>
      </c>
      <c r="AG34">
        <f>IF(Backend!AH61="", "", Backend!AH61)</f>
        <v>7.6644260000000006E-2</v>
      </c>
      <c r="AH34">
        <f>IF(Backend!AI61="", "", Backend!AI61)</f>
        <v>5.5619290000000002E-2</v>
      </c>
      <c r="AI34">
        <f>IF(Backend!AJ61="", "", Backend!AJ61)</f>
        <v>7.8770919999999994E-2</v>
      </c>
      <c r="AJ34">
        <f>IF(Backend!AK61="", "", Backend!AK61)</f>
        <v>0.31576818000000001</v>
      </c>
      <c r="AK34">
        <f>IF(Backend!AL61="", "", Backend!AL61)</f>
        <v>0.44263995</v>
      </c>
      <c r="AL34">
        <f>IF(Backend!AM61="", "", Backend!AM61)</f>
        <v>2.3914205000000001E-2</v>
      </c>
      <c r="AM34">
        <f>IF(Backend!AN61="", "", Backend!AN61)</f>
        <v>6.4754149999999996E-2</v>
      </c>
      <c r="AN34">
        <f>IF(Backend!AO61="", "", Backend!AO61)</f>
        <v>7.0397559999999998E-2</v>
      </c>
      <c r="AO34">
        <f>IF(Backend!AP61="", "", Backend!AP61)</f>
        <v>0.26033136000000001</v>
      </c>
      <c r="AP34">
        <f>IF(Backend!AQ61="", "", Backend!AQ61)</f>
        <v>6.4117370000000007E-2</v>
      </c>
      <c r="AQ34">
        <f>IF(Backend!AR61="", "", Backend!AR61)</f>
        <v>0.15083617999999999</v>
      </c>
      <c r="AR34">
        <f>IF(Backend!AS61="", "", Backend!AS61)</f>
        <v>8.2726569999999999E-2</v>
      </c>
      <c r="AS34">
        <f>IF(Backend!AT61="", "", Backend!AT61)</f>
        <v>7.4747690000000006E-2</v>
      </c>
      <c r="AT34">
        <f>IF(Backend!AU61="", "", Backend!AU61)</f>
        <v>0.11901885</v>
      </c>
      <c r="AU34">
        <f>IF(Backend!AV61="", "", Backend!AV61)</f>
        <v>4.9190138000000001E-2</v>
      </c>
      <c r="AV34">
        <f>IF(Backend!AW61="", "", Backend!AW61)</f>
        <v>2.8915745999999999E-2</v>
      </c>
      <c r="AW34">
        <f>IF(Backend!AX61="", "", Backend!AX61)</f>
        <v>5.2336282999999997E-2</v>
      </c>
      <c r="AX34">
        <f>IF(Backend!AY61="", "", Backend!AY61)</f>
        <v>9.2528269999999996E-2</v>
      </c>
      <c r="AY34">
        <f>IF(Backend!AZ61="", "", Backend!AZ61)</f>
        <v>3.0391135999999999E-2</v>
      </c>
      <c r="AZ34">
        <f>IF(Backend!BA61="", "", Backend!BA61)</f>
        <v>0.38931830000000001</v>
      </c>
      <c r="BA34">
        <f>IF(Backend!BB61="", "", Backend!BB61)</f>
        <v>4.7542106000000001E-2</v>
      </c>
      <c r="BB34">
        <f>IF(Backend!BC61="", "", Backend!BC61)</f>
        <v>5.5302407999999997E-2</v>
      </c>
      <c r="BC34">
        <f>IF(Backend!BD61="", "", Backend!BD61)</f>
        <v>6.6283979999999998E-3</v>
      </c>
      <c r="BD34">
        <f>IF(Backend!BE61="", "", Backend!BE61)</f>
        <v>0.10137699</v>
      </c>
      <c r="BE34">
        <f>IF(Backend!BF61="", "", Backend!BF61)</f>
        <v>8.751341E-2</v>
      </c>
      <c r="BF34">
        <f>IF(Backend!BG61="", "", Backend!BG61)</f>
        <v>5.1210653000000002E-2</v>
      </c>
      <c r="BG34">
        <f>IF(Backend!BH61="", "", Backend!BH61)</f>
        <v>1.657844E-2</v>
      </c>
      <c r="BH34">
        <f>IF(Backend!BI61="", "", Backend!BI61)</f>
        <v>2.5663476000000001E-2</v>
      </c>
      <c r="BI34" t="str">
        <f>IF(Backend!BJ61="", "", Backend!BJ61)</f>
        <v/>
      </c>
      <c r="BJ34" t="str">
        <f>IF(Backend!BK61="", "", Backend!BK61)</f>
        <v/>
      </c>
      <c r="BK34" t="str">
        <f>IF(Backend!BL61="", "", Backend!BL61)</f>
        <v/>
      </c>
      <c r="BL34" t="str">
        <f>IF(Backend!BM61="", "", Backend!BM61)</f>
        <v/>
      </c>
      <c r="BM34" t="str">
        <f>IF(Backend!BN61="", "", Backend!BN61)</f>
        <v/>
      </c>
      <c r="BN34" t="str">
        <f>IF(Backend!BO61="", "", Backend!BO61)</f>
        <v/>
      </c>
      <c r="BO34" t="str">
        <f>IF(Backend!BP61="", "", Backend!BP61)</f>
        <v/>
      </c>
      <c r="BP34" t="str">
        <f>IF(Backend!BQ61="", "", Backend!BQ61)</f>
        <v/>
      </c>
      <c r="BQ34" t="str">
        <f>IF(Backend!BR61="", "", Backend!BR61)</f>
        <v/>
      </c>
      <c r="BR34" t="str">
        <f>IF(Backend!BS61="", "", Backend!BS61)</f>
        <v/>
      </c>
      <c r="BS34" t="str">
        <f>IF(Backend!BT61="", "", Backend!BT61)</f>
        <v/>
      </c>
      <c r="BT34" t="str">
        <f>IF(Backend!BU61="", "", Backend!BU61)</f>
        <v/>
      </c>
      <c r="BU34" t="str">
        <f>IF(Backend!BV61="", "", Backend!BV61)</f>
        <v/>
      </c>
      <c r="BV34" t="str">
        <f>IF(Backend!BW61="", "", Backend!BW61)</f>
        <v/>
      </c>
      <c r="BW34" t="str">
        <f>IF(Backend!BX61="", "", Backend!BX61)</f>
        <v/>
      </c>
      <c r="BX34" t="str">
        <f>IF(Backend!BY61="", "", Backend!BY61)</f>
        <v/>
      </c>
      <c r="BY34" t="str">
        <f>IF(Backend!BZ61="", "", Backend!BZ61)</f>
        <v/>
      </c>
      <c r="BZ34" t="str">
        <f>IF(Backend!CA61="", "", Backend!CA61)</f>
        <v/>
      </c>
      <c r="CA34" t="str">
        <f>IF(Backend!CB61="", "", Backend!CB61)</f>
        <v/>
      </c>
      <c r="CB34" t="str">
        <f>IF(Backend!CC61="", "", Backend!CC61)</f>
        <v/>
      </c>
      <c r="CC34" t="str">
        <f>IF(Backend!CD61="", "", Backend!CD61)</f>
        <v/>
      </c>
    </row>
    <row r="35" spans="1:81" x14ac:dyDescent="0.25">
      <c r="A35" s="4" t="str">
        <f>IF(Backend!A62="", "", Backend!A62)</f>
        <v>Mohawk Industries, Inc.</v>
      </c>
      <c r="B35">
        <f>IF(Backend!C62="", "", Backend!C62)</f>
        <v>0.30196636999999998</v>
      </c>
      <c r="C35">
        <f>IF(Backend!D62="", "", Backend!D62)</f>
        <v>0.22978367999999999</v>
      </c>
      <c r="D35">
        <f>IF(Backend!E62="", "", Backend!E62)</f>
        <v>4.1892159999999998E-2</v>
      </c>
      <c r="E35">
        <f>IF(Backend!F62="", "", Backend!F62)</f>
        <v>0.52945894000000004</v>
      </c>
      <c r="F35">
        <f>IF(Backend!G62="", "", Backend!G62)</f>
        <v>0.23356366000000001</v>
      </c>
      <c r="G35">
        <f>IF(Backend!H62="", "", Backend!H62)</f>
        <v>8.9560340000000002E-2</v>
      </c>
      <c r="H35">
        <f>IF(Backend!I62="", "", Backend!I62)</f>
        <v>0.33198673000000001</v>
      </c>
      <c r="I35">
        <f>IF(Backend!J62="", "", Backend!J62)</f>
        <v>0.19858940999999999</v>
      </c>
      <c r="J35">
        <f>IF(Backend!K62="", "", Backend!K62)</f>
        <v>0.20788386</v>
      </c>
      <c r="K35">
        <f>IF(Backend!L62="", "", Backend!L62)</f>
        <v>0.15499835000000001</v>
      </c>
      <c r="L35">
        <f>IF(Backend!M62="", "", Backend!M62)</f>
        <v>0.21409726000000001</v>
      </c>
      <c r="M35">
        <f>IF(Backend!N62="", "", Backend!N62)</f>
        <v>0.12551256999999999</v>
      </c>
      <c r="N35">
        <f>IF(Backend!O62="", "", Backend!O62)</f>
        <v>0.33313860000000001</v>
      </c>
      <c r="O35">
        <f>IF(Backend!P62="", "", Backend!P62)</f>
        <v>6.05242E-2</v>
      </c>
      <c r="P35">
        <f>IF(Backend!Q62="", "", Backend!Q62)</f>
        <v>0.29049096000000002</v>
      </c>
      <c r="Q35">
        <f>IF(Backend!R62="", "", Backend!R62)</f>
        <v>0.20338549</v>
      </c>
      <c r="R35">
        <f>IF(Backend!S62="", "", Backend!S62)</f>
        <v>8.5219520000000007E-2</v>
      </c>
      <c r="S35">
        <f>IF(Backend!T62="", "", Backend!T62)</f>
        <v>6.7766209999999993E-2</v>
      </c>
      <c r="T35">
        <f>IF(Backend!U62="", "", Backend!U62)</f>
        <v>0.31727365000000002</v>
      </c>
      <c r="U35">
        <f>IF(Backend!V62="", "", Backend!V62)</f>
        <v>7.2060550000000001E-2</v>
      </c>
      <c r="V35">
        <f>IF(Backend!W62="", "", Backend!W62)</f>
        <v>0.40349433000000001</v>
      </c>
      <c r="W35">
        <f>IF(Backend!X62="", "", Backend!X62)</f>
        <v>0.27994150000000001</v>
      </c>
      <c r="X35">
        <f>IF(Backend!Y62="", "", Backend!Y62)</f>
        <v>5.7656076000000001E-2</v>
      </c>
      <c r="Y35">
        <f>IF(Backend!Z62="", "", Backend!Z62)</f>
        <v>0.28982102999999998</v>
      </c>
      <c r="Z35">
        <f>IF(Backend!AA62="", "", Backend!AA62)</f>
        <v>0.1231703</v>
      </c>
      <c r="AA35">
        <f>IF(Backend!AB62="", "", Backend!AB62)</f>
        <v>0.20235938000000001</v>
      </c>
      <c r="AB35">
        <f>IF(Backend!AC62="", "", Backend!AC62)</f>
        <v>0.55972420000000001</v>
      </c>
      <c r="AC35">
        <f>IF(Backend!AD62="", "", Backend!AD62)</f>
        <v>0.48720005</v>
      </c>
      <c r="AD35">
        <f>IF(Backend!AE62="", "", Backend!AE62)</f>
        <v>0.38704386000000002</v>
      </c>
      <c r="AE35">
        <f>IF(Backend!AF62="", "", Backend!AF62)</f>
        <v>0.50997380000000003</v>
      </c>
      <c r="AF35">
        <f>IF(Backend!AG62="", "", Backend!AG62)</f>
        <v>7.6644260000000006E-2</v>
      </c>
      <c r="AG35">
        <f>IF(Backend!AH62="", "", Backend!AH62)</f>
        <v>1</v>
      </c>
      <c r="AH35">
        <f>IF(Backend!AI62="", "", Backend!AI62)</f>
        <v>0.32819772000000003</v>
      </c>
      <c r="AI35">
        <f>IF(Backend!AJ62="", "", Backend!AJ62)</f>
        <v>0.28112835000000003</v>
      </c>
      <c r="AJ35">
        <f>IF(Backend!AK62="", "", Backend!AK62)</f>
        <v>6.5670629999999994E-2</v>
      </c>
      <c r="AK35">
        <f>IF(Backend!AL62="", "", Backend!AL62)</f>
        <v>8.0158140000000003E-2</v>
      </c>
      <c r="AL35">
        <f>IF(Backend!AM62="", "", Backend!AM62)</f>
        <v>0.17065971999999999</v>
      </c>
      <c r="AM35">
        <f>IF(Backend!AN62="", "", Backend!AN62)</f>
        <v>0.25559895999999999</v>
      </c>
      <c r="AN35">
        <f>IF(Backend!AO62="", "", Backend!AO62)</f>
        <v>0.157835</v>
      </c>
      <c r="AO35">
        <f>IF(Backend!AP62="", "", Backend!AP62)</f>
        <v>9.0277460000000004E-2</v>
      </c>
      <c r="AP35">
        <f>IF(Backend!AQ62="", "", Backend!AQ62)</f>
        <v>0.46738172</v>
      </c>
      <c r="AQ35">
        <f>IF(Backend!AR62="", "", Backend!AR62)</f>
        <v>6.3897445999999997E-2</v>
      </c>
      <c r="AR35">
        <f>IF(Backend!AS62="", "", Backend!AS62)</f>
        <v>5.726672E-2</v>
      </c>
      <c r="AS35">
        <f>IF(Backend!AT62="", "", Backend!AT62)</f>
        <v>0.14796448000000001</v>
      </c>
      <c r="AT35">
        <f>IF(Backend!AU62="", "", Backend!AU62)</f>
        <v>8.4487274000000001E-2</v>
      </c>
      <c r="AU35">
        <f>IF(Backend!AV62="", "", Backend!AV62)</f>
        <v>0.28610142999999999</v>
      </c>
      <c r="AV35">
        <f>IF(Backend!AW62="", "", Backend!AW62)</f>
        <v>0.25796229999999998</v>
      </c>
      <c r="AW35">
        <f>IF(Backend!AX62="", "", Backend!AX62)</f>
        <v>0.6149831</v>
      </c>
      <c r="AX35">
        <f>IF(Backend!AY62="", "", Backend!AY62)</f>
        <v>0.27863607000000001</v>
      </c>
      <c r="AY35">
        <f>IF(Backend!AZ62="", "", Backend!AZ62)</f>
        <v>0.34912246000000002</v>
      </c>
      <c r="AZ35">
        <f>IF(Backend!BA62="", "", Backend!BA62)</f>
        <v>0.12375406</v>
      </c>
      <c r="BA35">
        <f>IF(Backend!BB62="", "", Backend!BB62)</f>
        <v>0.13513254999999999</v>
      </c>
      <c r="BB35">
        <f>IF(Backend!BC62="", "", Backend!BC62)</f>
        <v>0.19294806</v>
      </c>
      <c r="BC35">
        <f>IF(Backend!BD62="", "", Backend!BD62)</f>
        <v>0.36900923000000002</v>
      </c>
      <c r="BD35">
        <f>IF(Backend!BE62="", "", Backend!BE62)</f>
        <v>0.17546523</v>
      </c>
      <c r="BE35">
        <f>IF(Backend!BF62="", "", Backend!BF62)</f>
        <v>0.29942780000000002</v>
      </c>
      <c r="BF35">
        <f>IF(Backend!BG62="", "", Backend!BG62)</f>
        <v>0.27699386999999998</v>
      </c>
      <c r="BG35">
        <f>IF(Backend!BH62="", "", Backend!BH62)</f>
        <v>0.36494964000000002</v>
      </c>
      <c r="BH35">
        <f>IF(Backend!BI62="", "", Backend!BI62)</f>
        <v>0.39001602000000002</v>
      </c>
      <c r="BI35" t="str">
        <f>IF(Backend!BJ62="", "", Backend!BJ62)</f>
        <v/>
      </c>
      <c r="BJ35" t="str">
        <f>IF(Backend!BK62="", "", Backend!BK62)</f>
        <v/>
      </c>
      <c r="BK35" t="str">
        <f>IF(Backend!BL62="", "", Backend!BL62)</f>
        <v/>
      </c>
      <c r="BL35" t="str">
        <f>IF(Backend!BM62="", "", Backend!BM62)</f>
        <v/>
      </c>
      <c r="BM35" t="str">
        <f>IF(Backend!BN62="", "", Backend!BN62)</f>
        <v/>
      </c>
      <c r="BN35" t="str">
        <f>IF(Backend!BO62="", "", Backend!BO62)</f>
        <v/>
      </c>
      <c r="BO35" t="str">
        <f>IF(Backend!BP62="", "", Backend!BP62)</f>
        <v/>
      </c>
      <c r="BP35" t="str">
        <f>IF(Backend!BQ62="", "", Backend!BQ62)</f>
        <v/>
      </c>
      <c r="BQ35" t="str">
        <f>IF(Backend!BR62="", "", Backend!BR62)</f>
        <v/>
      </c>
      <c r="BR35" t="str">
        <f>IF(Backend!BS62="", "", Backend!BS62)</f>
        <v/>
      </c>
      <c r="BS35" t="str">
        <f>IF(Backend!BT62="", "", Backend!BT62)</f>
        <v/>
      </c>
      <c r="BT35" t="str">
        <f>IF(Backend!BU62="", "", Backend!BU62)</f>
        <v/>
      </c>
      <c r="BU35" t="str">
        <f>IF(Backend!BV62="", "", Backend!BV62)</f>
        <v/>
      </c>
      <c r="BV35" t="str">
        <f>IF(Backend!BW62="", "", Backend!BW62)</f>
        <v/>
      </c>
      <c r="BW35" t="str">
        <f>IF(Backend!BX62="", "", Backend!BX62)</f>
        <v/>
      </c>
      <c r="BX35" t="str">
        <f>IF(Backend!BY62="", "", Backend!BY62)</f>
        <v/>
      </c>
      <c r="BY35" t="str">
        <f>IF(Backend!BZ62="", "", Backend!BZ62)</f>
        <v/>
      </c>
      <c r="BZ35" t="str">
        <f>IF(Backend!CA62="", "", Backend!CA62)</f>
        <v/>
      </c>
      <c r="CA35" t="str">
        <f>IF(Backend!CB62="", "", Backend!CB62)</f>
        <v/>
      </c>
      <c r="CB35" t="str">
        <f>IF(Backend!CC62="", "", Backend!CC62)</f>
        <v/>
      </c>
      <c r="CC35" t="str">
        <f>IF(Backend!CD62="", "", Backend!CD62)</f>
        <v/>
      </c>
    </row>
    <row r="36" spans="1:81" x14ac:dyDescent="0.25">
      <c r="A36" s="4" t="str">
        <f>IF(Backend!A63="", "", Backend!A63)</f>
        <v>Molson Coors Beverage Company Class B</v>
      </c>
      <c r="B36">
        <f>IF(Backend!C63="", "", Backend!C63)</f>
        <v>0.19476128000000001</v>
      </c>
      <c r="C36">
        <f>IF(Backend!D63="", "", Backend!D63)</f>
        <v>0.13224563</v>
      </c>
      <c r="D36">
        <f>IF(Backend!E63="", "", Backend!E63)</f>
        <v>4.5309469999999998E-2</v>
      </c>
      <c r="E36">
        <f>IF(Backend!F63="", "", Backend!F63)</f>
        <v>0.25599379999999999</v>
      </c>
      <c r="F36">
        <f>IF(Backend!G63="", "", Backend!G63)</f>
        <v>0.105211444</v>
      </c>
      <c r="G36">
        <f>IF(Backend!H63="", "", Backend!H63)</f>
        <v>-1.6897559999999999E-2</v>
      </c>
      <c r="H36">
        <f>IF(Backend!I63="", "", Backend!I63)</f>
        <v>0.22068276000000001</v>
      </c>
      <c r="I36">
        <f>IF(Backend!J63="", "", Backend!J63)</f>
        <v>0.10971255000000001</v>
      </c>
      <c r="J36">
        <f>IF(Backend!K63="", "", Backend!K63)</f>
        <v>0.21476322</v>
      </c>
      <c r="K36">
        <f>IF(Backend!L63="", "", Backend!L63)</f>
        <v>0.18644848</v>
      </c>
      <c r="L36">
        <f>IF(Backend!M63="", "", Backend!M63)</f>
        <v>0.13434662999999999</v>
      </c>
      <c r="M36">
        <f>IF(Backend!N63="", "", Backend!N63)</f>
        <v>0.16677205000000001</v>
      </c>
      <c r="N36">
        <f>IF(Backend!O63="", "", Backend!O63)</f>
        <v>0.20033570000000001</v>
      </c>
      <c r="O36">
        <f>IF(Backend!P63="", "", Backend!P63)</f>
        <v>4.2641400000000003E-2</v>
      </c>
      <c r="P36">
        <f>IF(Backend!Q63="", "", Backend!Q63)</f>
        <v>0.20589966000000001</v>
      </c>
      <c r="Q36">
        <f>IF(Backend!R63="", "", Backend!R63)</f>
        <v>0.20161387</v>
      </c>
      <c r="R36">
        <f>IF(Backend!S63="", "", Backend!S63)</f>
        <v>0.16772255</v>
      </c>
      <c r="S36">
        <f>IF(Backend!T63="", "", Backend!T63)</f>
        <v>4.5703832E-2</v>
      </c>
      <c r="T36">
        <f>IF(Backend!U63="", "", Backend!U63)</f>
        <v>0.25940686000000002</v>
      </c>
      <c r="U36">
        <f>IF(Backend!V63="", "", Backend!V63)</f>
        <v>-5.7963190000000003E-3</v>
      </c>
      <c r="V36">
        <f>IF(Backend!W63="", "", Backend!W63)</f>
        <v>0.24744223000000001</v>
      </c>
      <c r="W36">
        <f>IF(Backend!X63="", "", Backend!X63)</f>
        <v>0.17652567</v>
      </c>
      <c r="X36">
        <f>IF(Backend!Y63="", "", Backend!Y63)</f>
        <v>2.1644942E-2</v>
      </c>
      <c r="Y36">
        <f>IF(Backend!Z63="", "", Backend!Z63)</f>
        <v>0.14438144999999999</v>
      </c>
      <c r="Z36">
        <f>IF(Backend!AA63="", "", Backend!AA63)</f>
        <v>0.15468986000000001</v>
      </c>
      <c r="AA36">
        <f>IF(Backend!AB63="", "", Backend!AB63)</f>
        <v>0.39562446000000001</v>
      </c>
      <c r="AB36">
        <f>IF(Backend!AC63="", "", Backend!AC63)</f>
        <v>0.32983564999999998</v>
      </c>
      <c r="AC36">
        <f>IF(Backend!AD63="", "", Backend!AD63)</f>
        <v>0.36534923000000002</v>
      </c>
      <c r="AD36">
        <f>IF(Backend!AE63="", "", Backend!AE63)</f>
        <v>0.26854062000000001</v>
      </c>
      <c r="AE36">
        <f>IF(Backend!AF63="", "", Backend!AF63)</f>
        <v>0.33019019999999999</v>
      </c>
      <c r="AF36">
        <f>IF(Backend!AG63="", "", Backend!AG63)</f>
        <v>5.5619290000000002E-2</v>
      </c>
      <c r="AG36">
        <f>IF(Backend!AH63="", "", Backend!AH63)</f>
        <v>0.32819772000000003</v>
      </c>
      <c r="AH36">
        <f>IF(Backend!AI63="", "", Backend!AI63)</f>
        <v>1</v>
      </c>
      <c r="AI36">
        <f>IF(Backend!AJ63="", "", Backend!AJ63)</f>
        <v>0.16974665</v>
      </c>
      <c r="AJ36">
        <f>IF(Backend!AK63="", "", Backend!AK63)</f>
        <v>4.6746846000000002E-2</v>
      </c>
      <c r="AK36">
        <f>IF(Backend!AL63="", "", Backend!AL63)</f>
        <v>6.184448E-2</v>
      </c>
      <c r="AL36">
        <f>IF(Backend!AM63="", "", Backend!AM63)</f>
        <v>0.16715944999999999</v>
      </c>
      <c r="AM36">
        <f>IF(Backend!AN63="", "", Backend!AN63)</f>
        <v>0.12265722499999999</v>
      </c>
      <c r="AN36">
        <f>IF(Backend!AO63="", "", Backend!AO63)</f>
        <v>0.18277436</v>
      </c>
      <c r="AO36">
        <f>IF(Backend!AP63="", "", Backend!AP63)</f>
        <v>-4.3930067000000003E-3</v>
      </c>
      <c r="AP36">
        <f>IF(Backend!AQ63="", "", Backend!AQ63)</f>
        <v>0.29427340000000002</v>
      </c>
      <c r="AQ36">
        <f>IF(Backend!AR63="", "", Backend!AR63)</f>
        <v>-1.1254797E-2</v>
      </c>
      <c r="AR36">
        <f>IF(Backend!AS63="", "", Backend!AS63)</f>
        <v>0.11822828000000001</v>
      </c>
      <c r="AS36">
        <f>IF(Backend!AT63="", "", Backend!AT63)</f>
        <v>0.114879444</v>
      </c>
      <c r="AT36">
        <f>IF(Backend!AU63="", "", Backend!AU63)</f>
        <v>3.0761579000000001E-2</v>
      </c>
      <c r="AU36">
        <f>IF(Backend!AV63="", "", Backend!AV63)</f>
        <v>0.20396913999999999</v>
      </c>
      <c r="AV36">
        <f>IF(Backend!AW63="", "", Backend!AW63)</f>
        <v>0.19387071</v>
      </c>
      <c r="AW36">
        <f>IF(Backend!AX63="", "", Backend!AX63)</f>
        <v>0.26858890000000002</v>
      </c>
      <c r="AX36">
        <f>IF(Backend!AY63="", "", Backend!AY63)</f>
        <v>0.19437598</v>
      </c>
      <c r="AY36">
        <f>IF(Backend!AZ63="", "", Backend!AZ63)</f>
        <v>0.22601563</v>
      </c>
      <c r="AZ36">
        <f>IF(Backend!BA63="", "", Backend!BA63)</f>
        <v>7.2121896000000005E-2</v>
      </c>
      <c r="BA36">
        <f>IF(Backend!BB63="", "", Backend!BB63)</f>
        <v>4.8805705999999997E-2</v>
      </c>
      <c r="BB36">
        <f>IF(Backend!BC63="", "", Backend!BC63)</f>
        <v>0.27850983000000001</v>
      </c>
      <c r="BC36">
        <f>IF(Backend!BD63="", "", Backend!BD63)</f>
        <v>0.25566267999999998</v>
      </c>
      <c r="BD36">
        <f>IF(Backend!BE63="", "", Backend!BE63)</f>
        <v>0.22220342000000001</v>
      </c>
      <c r="BE36">
        <f>IF(Backend!BF63="", "", Backend!BF63)</f>
        <v>0.21079845999999999</v>
      </c>
      <c r="BF36">
        <f>IF(Backend!BG63="", "", Backend!BG63)</f>
        <v>0.23561652</v>
      </c>
      <c r="BG36">
        <f>IF(Backend!BH63="", "", Backend!BH63)</f>
        <v>0.32205035999999998</v>
      </c>
      <c r="BH36">
        <f>IF(Backend!BI63="", "", Backend!BI63)</f>
        <v>0.28253456999999998</v>
      </c>
      <c r="BI36" t="str">
        <f>IF(Backend!BJ63="", "", Backend!BJ63)</f>
        <v/>
      </c>
      <c r="BJ36" t="str">
        <f>IF(Backend!BK63="", "", Backend!BK63)</f>
        <v/>
      </c>
      <c r="BK36" t="str">
        <f>IF(Backend!BL63="", "", Backend!BL63)</f>
        <v/>
      </c>
      <c r="BL36" t="str">
        <f>IF(Backend!BM63="", "", Backend!BM63)</f>
        <v/>
      </c>
      <c r="BM36" t="str">
        <f>IF(Backend!BN63="", "", Backend!BN63)</f>
        <v/>
      </c>
      <c r="BN36" t="str">
        <f>IF(Backend!BO63="", "", Backend!BO63)</f>
        <v/>
      </c>
      <c r="BO36" t="str">
        <f>IF(Backend!BP63="", "", Backend!BP63)</f>
        <v/>
      </c>
      <c r="BP36" t="str">
        <f>IF(Backend!BQ63="", "", Backend!BQ63)</f>
        <v/>
      </c>
      <c r="BQ36" t="str">
        <f>IF(Backend!BR63="", "", Backend!BR63)</f>
        <v/>
      </c>
      <c r="BR36" t="str">
        <f>IF(Backend!BS63="", "", Backend!BS63)</f>
        <v/>
      </c>
      <c r="BS36" t="str">
        <f>IF(Backend!BT63="", "", Backend!BT63)</f>
        <v/>
      </c>
      <c r="BT36" t="str">
        <f>IF(Backend!BU63="", "", Backend!BU63)</f>
        <v/>
      </c>
      <c r="BU36" t="str">
        <f>IF(Backend!BV63="", "", Backend!BV63)</f>
        <v/>
      </c>
      <c r="BV36" t="str">
        <f>IF(Backend!BW63="", "", Backend!BW63)</f>
        <v/>
      </c>
      <c r="BW36" t="str">
        <f>IF(Backend!BX63="", "", Backend!BX63)</f>
        <v/>
      </c>
      <c r="BX36" t="str">
        <f>IF(Backend!BY63="", "", Backend!BY63)</f>
        <v/>
      </c>
      <c r="BY36" t="str">
        <f>IF(Backend!BZ63="", "", Backend!BZ63)</f>
        <v/>
      </c>
      <c r="BZ36" t="str">
        <f>IF(Backend!CA63="", "", Backend!CA63)</f>
        <v/>
      </c>
      <c r="CA36" t="str">
        <f>IF(Backend!CB63="", "", Backend!CB63)</f>
        <v/>
      </c>
      <c r="CB36" t="str">
        <f>IF(Backend!CC63="", "", Backend!CC63)</f>
        <v/>
      </c>
      <c r="CC36" t="str">
        <f>IF(Backend!CD63="", "", Backend!CD63)</f>
        <v/>
      </c>
    </row>
    <row r="37" spans="1:81" x14ac:dyDescent="0.25">
      <c r="A37" s="4" t="str">
        <f>IF(Backend!A64="", "", Backend!A64)</f>
        <v>NatWest Group Plc</v>
      </c>
      <c r="B37">
        <f>IF(Backend!C64="", "", Backend!C64)</f>
        <v>0.45068923</v>
      </c>
      <c r="C37">
        <f>IF(Backend!D64="", "", Backend!D64)</f>
        <v>0.46879920000000003</v>
      </c>
      <c r="D37">
        <f>IF(Backend!E64="", "", Backend!E64)</f>
        <v>0.12148349999999999</v>
      </c>
      <c r="E37">
        <f>IF(Backend!F64="", "", Backend!F64)</f>
        <v>0.31025150000000001</v>
      </c>
      <c r="F37">
        <f>IF(Backend!G64="", "", Backend!G64)</f>
        <v>0.15255003</v>
      </c>
      <c r="G37">
        <f>IF(Backend!H64="", "", Backend!H64)</f>
        <v>0.12580121999999999</v>
      </c>
      <c r="H37">
        <f>IF(Backend!I64="", "", Backend!I64)</f>
        <v>0.51832009999999995</v>
      </c>
      <c r="I37">
        <f>IF(Backend!J64="", "", Backend!J64)</f>
        <v>0.37212124000000002</v>
      </c>
      <c r="J37">
        <f>IF(Backend!K64="", "", Backend!K64)</f>
        <v>5.8254269999999997E-2</v>
      </c>
      <c r="K37">
        <f>IF(Backend!L64="", "", Backend!L64)</f>
        <v>0.40697232</v>
      </c>
      <c r="L37">
        <f>IF(Backend!M64="", "", Backend!M64)</f>
        <v>0.39552015000000001</v>
      </c>
      <c r="M37">
        <f>IF(Backend!N64="", "", Backend!N64)</f>
        <v>0.26248517999999998</v>
      </c>
      <c r="N37">
        <f>IF(Backend!O64="", "", Backend!O64)</f>
        <v>0.49137184</v>
      </c>
      <c r="O37">
        <f>IF(Backend!P64="", "", Backend!P64)</f>
        <v>0.12640098</v>
      </c>
      <c r="P37">
        <f>IF(Backend!Q64="", "", Backend!Q64)</f>
        <v>0.49854836000000002</v>
      </c>
      <c r="Q37">
        <f>IF(Backend!R64="", "", Backend!R64)</f>
        <v>0.47497505000000001</v>
      </c>
      <c r="R37">
        <f>IF(Backend!S64="", "", Backend!S64)</f>
        <v>0.23667716999999999</v>
      </c>
      <c r="S37">
        <f>IF(Backend!T64="", "", Backend!T64)</f>
        <v>3.4981249999999998E-2</v>
      </c>
      <c r="T37">
        <f>IF(Backend!U64="", "", Backend!U64)</f>
        <v>0.26986969999999999</v>
      </c>
      <c r="U37">
        <f>IF(Backend!V64="", "", Backend!V64)</f>
        <v>9.46327E-2</v>
      </c>
      <c r="V37">
        <f>IF(Backend!W64="", "", Backend!W64)</f>
        <v>0.27360879999999999</v>
      </c>
      <c r="W37">
        <f>IF(Backend!X64="", "", Backend!X64)</f>
        <v>0.11863406999999999</v>
      </c>
      <c r="X37">
        <f>IF(Backend!Y64="", "", Backend!Y64)</f>
        <v>0.13937223000000001</v>
      </c>
      <c r="Y37">
        <f>IF(Backend!Z64="", "", Backend!Z64)</f>
        <v>0.38528057999999998</v>
      </c>
      <c r="Z37">
        <f>IF(Backend!AA64="", "", Backend!AA64)</f>
        <v>0.21575737</v>
      </c>
      <c r="AA37">
        <f>IF(Backend!AB64="", "", Backend!AB64)</f>
        <v>4.4888972999999999E-2</v>
      </c>
      <c r="AB37">
        <f>IF(Backend!AC64="", "", Backend!AC64)</f>
        <v>0.33743077999999999</v>
      </c>
      <c r="AC37">
        <f>IF(Backend!AD64="", "", Backend!AD64)</f>
        <v>0.32377830000000002</v>
      </c>
      <c r="AD37">
        <f>IF(Backend!AE64="", "", Backend!AE64)</f>
        <v>0.19285825000000001</v>
      </c>
      <c r="AE37">
        <f>IF(Backend!AF64="", "", Backend!AF64)</f>
        <v>0.31472762999999998</v>
      </c>
      <c r="AF37">
        <f>IF(Backend!AG64="", "", Backend!AG64)</f>
        <v>7.8770919999999994E-2</v>
      </c>
      <c r="AG37">
        <f>IF(Backend!AH64="", "", Backend!AH64)</f>
        <v>0.28112835000000003</v>
      </c>
      <c r="AH37">
        <f>IF(Backend!AI64="", "", Backend!AI64)</f>
        <v>0.16974665</v>
      </c>
      <c r="AI37">
        <f>IF(Backend!AJ64="", "", Backend!AJ64)</f>
        <v>1</v>
      </c>
      <c r="AJ37">
        <f>IF(Backend!AK64="", "", Backend!AK64)</f>
        <v>9.5439819999999995E-2</v>
      </c>
      <c r="AK37">
        <f>IF(Backend!AL64="", "", Backend!AL64)</f>
        <v>5.4902970000000002E-2</v>
      </c>
      <c r="AL37">
        <f>IF(Backend!AM64="", "", Backend!AM64)</f>
        <v>9.9916353999999999E-2</v>
      </c>
      <c r="AM37">
        <f>IF(Backend!AN64="", "", Backend!AN64)</f>
        <v>0.26963680000000001</v>
      </c>
      <c r="AN37">
        <f>IF(Backend!AO64="", "", Backend!AO64)</f>
        <v>0.40175304000000001</v>
      </c>
      <c r="AO37">
        <f>IF(Backend!AP64="", "", Backend!AP64)</f>
        <v>0.15525860999999999</v>
      </c>
      <c r="AP37">
        <f>IF(Backend!AQ64="", "", Backend!AQ64)</f>
        <v>0.19535095999999999</v>
      </c>
      <c r="AQ37">
        <f>IF(Backend!AR64="", "", Backend!AR64)</f>
        <v>0.18072715</v>
      </c>
      <c r="AR37">
        <f>IF(Backend!AS64="", "", Backend!AS64)</f>
        <v>0.26411316000000001</v>
      </c>
      <c r="AS37">
        <f>IF(Backend!AT64="", "", Backend!AT64)</f>
        <v>0.26467322999999998</v>
      </c>
      <c r="AT37">
        <f>IF(Backend!AU64="", "", Backend!AU64)</f>
        <v>0.14342009</v>
      </c>
      <c r="AU37">
        <f>IF(Backend!AV64="", "", Backend!AV64)</f>
        <v>0.64671034000000005</v>
      </c>
      <c r="AV37">
        <f>IF(Backend!AW64="", "", Backend!AW64)</f>
        <v>0.61024719999999999</v>
      </c>
      <c r="AW37">
        <f>IF(Backend!AX64="", "", Backend!AX64)</f>
        <v>0.21219452999999999</v>
      </c>
      <c r="AX37">
        <f>IF(Backend!AY64="", "", Backend!AY64)</f>
        <v>0.38943457999999997</v>
      </c>
      <c r="AY37">
        <f>IF(Backend!AZ64="", "", Backend!AZ64)</f>
        <v>0.32464432999999998</v>
      </c>
      <c r="AZ37">
        <f>IF(Backend!BA64="", "", Backend!BA64)</f>
        <v>0.13950973999999999</v>
      </c>
      <c r="BA37">
        <f>IF(Backend!BB64="", "", Backend!BB64)</f>
        <v>0.26061296</v>
      </c>
      <c r="BB37">
        <f>IF(Backend!BC64="", "", Backend!BC64)</f>
        <v>0.116483584</v>
      </c>
      <c r="BC37">
        <f>IF(Backend!BD64="", "", Backend!BD64)</f>
        <v>0.20739447999999999</v>
      </c>
      <c r="BD37">
        <f>IF(Backend!BE64="", "", Backend!BE64)</f>
        <v>0.37868970000000002</v>
      </c>
      <c r="BE37">
        <f>IF(Backend!BF64="", "", Backend!BF64)</f>
        <v>0.48931044000000001</v>
      </c>
      <c r="BF37">
        <f>IF(Backend!BG64="", "", Backend!BG64)</f>
        <v>0.12319623</v>
      </c>
      <c r="BG37">
        <f>IF(Backend!BH64="", "", Backend!BH64)</f>
        <v>0.21383467</v>
      </c>
      <c r="BH37">
        <f>IF(Backend!BI64="", "", Backend!BI64)</f>
        <v>0.17939896999999999</v>
      </c>
      <c r="BI37" t="str">
        <f>IF(Backend!BJ64="", "", Backend!BJ64)</f>
        <v/>
      </c>
      <c r="BJ37" t="str">
        <f>IF(Backend!BK64="", "", Backend!BK64)</f>
        <v/>
      </c>
      <c r="BK37" t="str">
        <f>IF(Backend!BL64="", "", Backend!BL64)</f>
        <v/>
      </c>
      <c r="BL37" t="str">
        <f>IF(Backend!BM64="", "", Backend!BM64)</f>
        <v/>
      </c>
      <c r="BM37" t="str">
        <f>IF(Backend!BN64="", "", Backend!BN64)</f>
        <v/>
      </c>
      <c r="BN37" t="str">
        <f>IF(Backend!BO64="", "", Backend!BO64)</f>
        <v/>
      </c>
      <c r="BO37" t="str">
        <f>IF(Backend!BP64="", "", Backend!BP64)</f>
        <v/>
      </c>
      <c r="BP37" t="str">
        <f>IF(Backend!BQ64="", "", Backend!BQ64)</f>
        <v/>
      </c>
      <c r="BQ37" t="str">
        <f>IF(Backend!BR64="", "", Backend!BR64)</f>
        <v/>
      </c>
      <c r="BR37" t="str">
        <f>IF(Backend!BS64="", "", Backend!BS64)</f>
        <v/>
      </c>
      <c r="BS37" t="str">
        <f>IF(Backend!BT64="", "", Backend!BT64)</f>
        <v/>
      </c>
      <c r="BT37" t="str">
        <f>IF(Backend!BU64="", "", Backend!BU64)</f>
        <v/>
      </c>
      <c r="BU37" t="str">
        <f>IF(Backend!BV64="", "", Backend!BV64)</f>
        <v/>
      </c>
      <c r="BV37" t="str">
        <f>IF(Backend!BW64="", "", Backend!BW64)</f>
        <v/>
      </c>
      <c r="BW37" t="str">
        <f>IF(Backend!BX64="", "", Backend!BX64)</f>
        <v/>
      </c>
      <c r="BX37" t="str">
        <f>IF(Backend!BY64="", "", Backend!BY64)</f>
        <v/>
      </c>
      <c r="BY37" t="str">
        <f>IF(Backend!BZ64="", "", Backend!BZ64)</f>
        <v/>
      </c>
      <c r="BZ37" t="str">
        <f>IF(Backend!CA64="", "", Backend!CA64)</f>
        <v/>
      </c>
      <c r="CA37" t="str">
        <f>IF(Backend!CB64="", "", Backend!CB64)</f>
        <v/>
      </c>
      <c r="CB37" t="str">
        <f>IF(Backend!CC64="", "", Backend!CC64)</f>
        <v/>
      </c>
      <c r="CC37" t="str">
        <f>IF(Backend!CD64="", "", Backend!CD64)</f>
        <v/>
      </c>
    </row>
    <row r="38" spans="1:81" x14ac:dyDescent="0.25">
      <c r="A38" s="4" t="str">
        <f>IF(Backend!A65="", "", Backend!A65)</f>
        <v>Nikon Corp.</v>
      </c>
      <c r="B38">
        <f>IF(Backend!C65="", "", Backend!C65)</f>
        <v>0.13730614999999999</v>
      </c>
      <c r="C38">
        <f>IF(Backend!D65="", "", Backend!D65)</f>
        <v>0.13212421999999999</v>
      </c>
      <c r="D38">
        <f>IF(Backend!E65="", "", Backend!E65)</f>
        <v>9.4915054999999998E-2</v>
      </c>
      <c r="E38">
        <f>IF(Backend!F65="", "", Backend!F65)</f>
        <v>4.808809E-2</v>
      </c>
      <c r="F38">
        <f>IF(Backend!G65="", "", Backend!G65)</f>
        <v>3.7213049999999998E-2</v>
      </c>
      <c r="G38">
        <f>IF(Backend!H65="", "", Backend!H65)</f>
        <v>0.13609755000000001</v>
      </c>
      <c r="H38">
        <f>IF(Backend!I65="", "", Backend!I65)</f>
        <v>0.11048277500000001</v>
      </c>
      <c r="I38">
        <f>IF(Backend!J65="", "", Backend!J65)</f>
        <v>0.112034306</v>
      </c>
      <c r="J38">
        <f>IF(Backend!K65="", "", Backend!K65)</f>
        <v>7.8891090000000001E-3</v>
      </c>
      <c r="K38">
        <f>IF(Backend!L65="", "", Backend!L65)</f>
        <v>0.111709185</v>
      </c>
      <c r="L38">
        <f>IF(Backend!M65="", "", Backend!M65)</f>
        <v>0.11131075999999999</v>
      </c>
      <c r="M38">
        <f>IF(Backend!N65="", "", Backend!N65)</f>
        <v>6.0145400000000002E-2</v>
      </c>
      <c r="N38">
        <f>IF(Backend!O65="", "", Backend!O65)</f>
        <v>0.10381844</v>
      </c>
      <c r="O38">
        <f>IF(Backend!P65="", "", Backend!P65)</f>
        <v>0.38480848000000001</v>
      </c>
      <c r="P38">
        <f>IF(Backend!Q65="", "", Backend!Q65)</f>
        <v>0.12347774</v>
      </c>
      <c r="Q38">
        <f>IF(Backend!R65="", "", Backend!R65)</f>
        <v>0.11944839</v>
      </c>
      <c r="R38">
        <f>IF(Backend!S65="", "", Backend!S65)</f>
        <v>0.10644768</v>
      </c>
      <c r="S38">
        <f>IF(Backend!T65="", "", Backend!T65)</f>
        <v>0.27410003999999999</v>
      </c>
      <c r="T38">
        <f>IF(Backend!U65="", "", Backend!U65)</f>
        <v>8.3436140000000006E-2</v>
      </c>
      <c r="U38">
        <f>IF(Backend!V65="", "", Backend!V65)</f>
        <v>0.17701576999999999</v>
      </c>
      <c r="V38">
        <f>IF(Backend!W65="", "", Backend!W65)</f>
        <v>1.9627945000000001E-2</v>
      </c>
      <c r="W38">
        <f>IF(Backend!X65="", "", Backend!X65)</f>
        <v>6.4175129999999997E-2</v>
      </c>
      <c r="X38">
        <f>IF(Backend!Y65="", "", Backend!Y65)</f>
        <v>0.18843628000000001</v>
      </c>
      <c r="Y38">
        <f>IF(Backend!Z65="", "", Backend!Z65)</f>
        <v>0.12761296</v>
      </c>
      <c r="Z38">
        <f>IF(Backend!AA65="", "", Backend!AA65)</f>
        <v>0.1028858</v>
      </c>
      <c r="AA38">
        <f>IF(Backend!AB65="", "", Backend!AB65)</f>
        <v>2.7315711999999999E-2</v>
      </c>
      <c r="AB38">
        <f>IF(Backend!AC65="", "", Backend!AC65)</f>
        <v>4.7088980000000003E-2</v>
      </c>
      <c r="AC38">
        <f>IF(Backend!AD65="", "", Backend!AD65)</f>
        <v>8.5463510000000006E-2</v>
      </c>
      <c r="AD38">
        <f>IF(Backend!AE65="", "", Backend!AE65)</f>
        <v>4.0908510000000002E-2</v>
      </c>
      <c r="AE38">
        <f>IF(Backend!AF65="", "", Backend!AF65)</f>
        <v>4.4891239999999999E-2</v>
      </c>
      <c r="AF38">
        <f>IF(Backend!AG65="", "", Backend!AG65)</f>
        <v>0.31576818000000001</v>
      </c>
      <c r="AG38">
        <f>IF(Backend!AH65="", "", Backend!AH65)</f>
        <v>6.5670629999999994E-2</v>
      </c>
      <c r="AH38">
        <f>IF(Backend!AI65="", "", Backend!AI65)</f>
        <v>4.6746846000000002E-2</v>
      </c>
      <c r="AI38">
        <f>IF(Backend!AJ65="", "", Backend!AJ65)</f>
        <v>9.5439819999999995E-2</v>
      </c>
      <c r="AJ38">
        <f>IF(Backend!AK65="", "", Backend!AK65)</f>
        <v>1</v>
      </c>
      <c r="AK38">
        <f>IF(Backend!AL65="", "", Backend!AL65)</f>
        <v>0.34440130000000002</v>
      </c>
      <c r="AL38">
        <f>IF(Backend!AM65="", "", Backend!AM65)</f>
        <v>-2.6372791999999999E-2</v>
      </c>
      <c r="AM38">
        <f>IF(Backend!AN65="", "", Backend!AN65)</f>
        <v>7.7096769999999995E-2</v>
      </c>
      <c r="AN38">
        <f>IF(Backend!AO65="", "", Backend!AO65)</f>
        <v>0.13376740000000001</v>
      </c>
      <c r="AO38">
        <f>IF(Backend!AP65="", "", Backend!AP65)</f>
        <v>0.37131444000000002</v>
      </c>
      <c r="AP38">
        <f>IF(Backend!AQ65="", "", Backend!AQ65)</f>
        <v>3.3298858000000001E-2</v>
      </c>
      <c r="AQ38">
        <f>IF(Backend!AR65="", "", Backend!AR65)</f>
        <v>0.23621112</v>
      </c>
      <c r="AR38">
        <f>IF(Backend!AS65="", "", Backend!AS65)</f>
        <v>6.0302324999999997E-2</v>
      </c>
      <c r="AS38">
        <f>IF(Backend!AT65="", "", Backend!AT65)</f>
        <v>9.5654649999999994E-2</v>
      </c>
      <c r="AT38">
        <f>IF(Backend!AU65="", "", Backend!AU65)</f>
        <v>0.17895141000000001</v>
      </c>
      <c r="AU38">
        <f>IF(Backend!AV65="", "", Backend!AV65)</f>
        <v>0.13123125999999999</v>
      </c>
      <c r="AV38">
        <f>IF(Backend!AW65="", "", Backend!AW65)</f>
        <v>7.8008040000000001E-2</v>
      </c>
      <c r="AW38">
        <f>IF(Backend!AX65="", "", Backend!AX65)</f>
        <v>7.9770505000000005E-2</v>
      </c>
      <c r="AX38">
        <f>IF(Backend!AY65="", "", Backend!AY65)</f>
        <v>0.15852267</v>
      </c>
      <c r="AY38">
        <f>IF(Backend!AZ65="", "", Backend!AZ65)</f>
        <v>6.1140372999999998E-2</v>
      </c>
      <c r="AZ38">
        <f>IF(Backend!BA65="", "", Backend!BA65)</f>
        <v>0.45050314000000002</v>
      </c>
      <c r="BA38">
        <f>IF(Backend!BB65="", "", Backend!BB65)</f>
        <v>7.8146270000000004E-2</v>
      </c>
      <c r="BB38">
        <f>IF(Backend!BC65="", "", Backend!BC65)</f>
        <v>7.2625239999999994E-2</v>
      </c>
      <c r="BC38">
        <f>IF(Backend!BD65="", "", Backend!BD65)</f>
        <v>2.1275228E-2</v>
      </c>
      <c r="BD38">
        <f>IF(Backend!BE65="", "", Backend!BE65)</f>
        <v>0.14185216</v>
      </c>
      <c r="BE38">
        <f>IF(Backend!BF65="", "", Backend!BF65)</f>
        <v>0.13428807000000001</v>
      </c>
      <c r="BF38">
        <f>IF(Backend!BG65="", "", Backend!BG65)</f>
        <v>5.5261999999999999E-2</v>
      </c>
      <c r="BG38">
        <f>IF(Backend!BH65="", "", Backend!BH65)</f>
        <v>5.7023384000000003E-2</v>
      </c>
      <c r="BH38">
        <f>IF(Backend!BI65="", "", Backend!BI65)</f>
        <v>7.9345495000000002E-2</v>
      </c>
      <c r="BI38" t="str">
        <f>IF(Backend!BJ65="", "", Backend!BJ65)</f>
        <v/>
      </c>
      <c r="BJ38" t="str">
        <f>IF(Backend!BK65="", "", Backend!BK65)</f>
        <v/>
      </c>
      <c r="BK38" t="str">
        <f>IF(Backend!BL65="", "", Backend!BL65)</f>
        <v/>
      </c>
      <c r="BL38" t="str">
        <f>IF(Backend!BM65="", "", Backend!BM65)</f>
        <v/>
      </c>
      <c r="BM38" t="str">
        <f>IF(Backend!BN65="", "", Backend!BN65)</f>
        <v/>
      </c>
      <c r="BN38" t="str">
        <f>IF(Backend!BO65="", "", Backend!BO65)</f>
        <v/>
      </c>
      <c r="BO38" t="str">
        <f>IF(Backend!BP65="", "", Backend!BP65)</f>
        <v/>
      </c>
      <c r="BP38" t="str">
        <f>IF(Backend!BQ65="", "", Backend!BQ65)</f>
        <v/>
      </c>
      <c r="BQ38" t="str">
        <f>IF(Backend!BR65="", "", Backend!BR65)</f>
        <v/>
      </c>
      <c r="BR38" t="str">
        <f>IF(Backend!BS65="", "", Backend!BS65)</f>
        <v/>
      </c>
      <c r="BS38" t="str">
        <f>IF(Backend!BT65="", "", Backend!BT65)</f>
        <v/>
      </c>
      <c r="BT38" t="str">
        <f>IF(Backend!BU65="", "", Backend!BU65)</f>
        <v/>
      </c>
      <c r="BU38" t="str">
        <f>IF(Backend!BV65="", "", Backend!BV65)</f>
        <v/>
      </c>
      <c r="BV38" t="str">
        <f>IF(Backend!BW65="", "", Backend!BW65)</f>
        <v/>
      </c>
      <c r="BW38" t="str">
        <f>IF(Backend!BX65="", "", Backend!BX65)</f>
        <v/>
      </c>
      <c r="BX38" t="str">
        <f>IF(Backend!BY65="", "", Backend!BY65)</f>
        <v/>
      </c>
      <c r="BY38" t="str">
        <f>IF(Backend!BZ65="", "", Backend!BZ65)</f>
        <v/>
      </c>
      <c r="BZ38" t="str">
        <f>IF(Backend!CA65="", "", Backend!CA65)</f>
        <v/>
      </c>
      <c r="CA38" t="str">
        <f>IF(Backend!CB65="", "", Backend!CB65)</f>
        <v/>
      </c>
      <c r="CB38" t="str">
        <f>IF(Backend!CC65="", "", Backend!CC65)</f>
        <v/>
      </c>
      <c r="CC38" t="str">
        <f>IF(Backend!CD65="", "", Backend!CD65)</f>
        <v/>
      </c>
    </row>
    <row r="39" spans="1:81" x14ac:dyDescent="0.25">
      <c r="A39" s="4" t="str">
        <f>IF(Backend!A66="", "", Backend!A66)</f>
        <v>Nippon Television Holdings, Inc.</v>
      </c>
      <c r="B39">
        <f>IF(Backend!C66="", "", Backend!C66)</f>
        <v>0.10514353</v>
      </c>
      <c r="C39">
        <f>IF(Backend!D66="", "", Backend!D66)</f>
        <v>8.7521989999999994E-2</v>
      </c>
      <c r="D39">
        <f>IF(Backend!E66="", "", Backend!E66)</f>
        <v>7.7587046000000007E-2</v>
      </c>
      <c r="E39">
        <f>IF(Backend!F66="", "", Backend!F66)</f>
        <v>2.9196502999999999E-2</v>
      </c>
      <c r="F39">
        <f>IF(Backend!G66="", "", Backend!G66)</f>
        <v>3.5090685000000003E-2</v>
      </c>
      <c r="G39">
        <f>IF(Backend!H66="", "", Backend!H66)</f>
        <v>9.606982E-2</v>
      </c>
      <c r="H39">
        <f>IF(Backend!I66="", "", Backend!I66)</f>
        <v>9.2945059999999996E-2</v>
      </c>
      <c r="I39">
        <f>IF(Backend!J66="", "", Backend!J66)</f>
        <v>0.10828794</v>
      </c>
      <c r="J39">
        <f>IF(Backend!K66="", "", Backend!K66)</f>
        <v>2.9668060999999999E-2</v>
      </c>
      <c r="K39">
        <f>IF(Backend!L66="", "", Backend!L66)</f>
        <v>0.10762499</v>
      </c>
      <c r="L39">
        <f>IF(Backend!M66="", "", Backend!M66)</f>
        <v>6.6500075000000006E-2</v>
      </c>
      <c r="M39">
        <f>IF(Backend!N66="", "", Backend!N66)</f>
        <v>4.1014200000000001E-2</v>
      </c>
      <c r="N39">
        <f>IF(Backend!O66="", "", Backend!O66)</f>
        <v>5.4321149999999999E-2</v>
      </c>
      <c r="O39">
        <f>IF(Backend!P66="", "", Backend!P66)</f>
        <v>0.37526366</v>
      </c>
      <c r="P39">
        <f>IF(Backend!Q66="", "", Backend!Q66)</f>
        <v>9.5675759999999999E-2</v>
      </c>
      <c r="Q39">
        <f>IF(Backend!R66="", "", Backend!R66)</f>
        <v>5.1222160000000003E-2</v>
      </c>
      <c r="R39">
        <f>IF(Backend!S66="", "", Backend!S66)</f>
        <v>0.10195105</v>
      </c>
      <c r="S39">
        <f>IF(Backend!T66="", "", Backend!T66)</f>
        <v>0.27940333000000001</v>
      </c>
      <c r="T39">
        <f>IF(Backend!U66="", "", Backend!U66)</f>
        <v>-2.3900593000000001E-2</v>
      </c>
      <c r="U39">
        <f>IF(Backend!V66="", "", Backend!V66)</f>
        <v>0.18637525999999999</v>
      </c>
      <c r="V39">
        <f>IF(Backend!W66="", "", Backend!W66)</f>
        <v>-6.3619699999999998E-3</v>
      </c>
      <c r="W39">
        <f>IF(Backend!X66="", "", Backend!X66)</f>
        <v>4.8707477999999998E-2</v>
      </c>
      <c r="X39">
        <f>IF(Backend!Y66="", "", Backend!Y66)</f>
        <v>0.18678248</v>
      </c>
      <c r="Y39">
        <f>IF(Backend!Z66="", "", Backend!Z66)</f>
        <v>0.10061295000000001</v>
      </c>
      <c r="Z39">
        <f>IF(Backend!AA66="", "", Backend!AA66)</f>
        <v>7.7955339999999998E-2</v>
      </c>
      <c r="AA39">
        <f>IF(Backend!AB66="", "", Backend!AB66)</f>
        <v>8.1818470000000004E-2</v>
      </c>
      <c r="AB39">
        <f>IF(Backend!AC66="", "", Backend!AC66)</f>
        <v>2.4825549999999998E-2</v>
      </c>
      <c r="AC39">
        <f>IF(Backend!AD66="", "", Backend!AD66)</f>
        <v>2.1505380000000001E-2</v>
      </c>
      <c r="AD39">
        <f>IF(Backend!AE66="", "", Backend!AE66)</f>
        <v>3.5302762000000001E-2</v>
      </c>
      <c r="AE39">
        <f>IF(Backend!AF66="", "", Backend!AF66)</f>
        <v>3.2531306000000003E-2</v>
      </c>
      <c r="AF39">
        <f>IF(Backend!AG66="", "", Backend!AG66)</f>
        <v>0.44263995</v>
      </c>
      <c r="AG39">
        <f>IF(Backend!AH66="", "", Backend!AH66)</f>
        <v>8.0158140000000003E-2</v>
      </c>
      <c r="AH39">
        <f>IF(Backend!AI66="", "", Backend!AI66)</f>
        <v>6.184448E-2</v>
      </c>
      <c r="AI39">
        <f>IF(Backend!AJ66="", "", Backend!AJ66)</f>
        <v>5.4902970000000002E-2</v>
      </c>
      <c r="AJ39">
        <f>IF(Backend!AK66="", "", Backend!AK66)</f>
        <v>0.34440130000000002</v>
      </c>
      <c r="AK39">
        <f>IF(Backend!AL66="", "", Backend!AL66)</f>
        <v>1</v>
      </c>
      <c r="AL39">
        <f>IF(Backend!AM66="", "", Backend!AM66)</f>
        <v>-5.013226E-3</v>
      </c>
      <c r="AM39">
        <f>IF(Backend!AN66="", "", Backend!AN66)</f>
        <v>0.10227791999999999</v>
      </c>
      <c r="AN39">
        <f>IF(Backend!AO66="", "", Backend!AO66)</f>
        <v>4.877782E-2</v>
      </c>
      <c r="AO39">
        <f>IF(Backend!AP66="", "", Backend!AP66)</f>
        <v>0.26844725000000003</v>
      </c>
      <c r="AP39">
        <f>IF(Backend!AQ66="", "", Backend!AQ66)</f>
        <v>6.1652011999999999E-2</v>
      </c>
      <c r="AQ39">
        <f>IF(Backend!AR66="", "", Backend!AR66)</f>
        <v>0.17539982000000001</v>
      </c>
      <c r="AR39">
        <f>IF(Backend!AS66="", "", Backend!AS66)</f>
        <v>4.8566329999999998E-2</v>
      </c>
      <c r="AS39">
        <f>IF(Backend!AT66="", "", Backend!AT66)</f>
        <v>6.9541654999999994E-2</v>
      </c>
      <c r="AT39">
        <f>IF(Backend!AU66="", "", Backend!AU66)</f>
        <v>0.17818011</v>
      </c>
      <c r="AU39">
        <f>IF(Backend!AV66="", "", Backend!AV66)</f>
        <v>5.9386939999999999E-2</v>
      </c>
      <c r="AV39">
        <f>IF(Backend!AW66="", "", Backend!AW66)</f>
        <v>2.8724975999999999E-2</v>
      </c>
      <c r="AW39">
        <f>IF(Backend!AX66="", "", Backend!AX66)</f>
        <v>5.4166890000000002E-2</v>
      </c>
      <c r="AX39">
        <f>IF(Backend!AY66="", "", Backend!AY66)</f>
        <v>9.1508999999999993E-2</v>
      </c>
      <c r="AY39">
        <f>IF(Backend!AZ66="", "", Backend!AZ66)</f>
        <v>2.9599085000000001E-2</v>
      </c>
      <c r="AZ39">
        <f>IF(Backend!BA66="", "", Backend!BA66)</f>
        <v>0.44056708</v>
      </c>
      <c r="BA39">
        <f>IF(Backend!BB66="", "", Backend!BB66)</f>
        <v>6.6277409999999995E-2</v>
      </c>
      <c r="BB39">
        <f>IF(Backend!BC66="", "", Backend!BC66)</f>
        <v>7.2201749999999995E-2</v>
      </c>
      <c r="BC39">
        <f>IF(Backend!BD66="", "", Backend!BD66)</f>
        <v>7.8353164999999999E-3</v>
      </c>
      <c r="BD39">
        <f>IF(Backend!BE66="", "", Backend!BE66)</f>
        <v>0.11442189</v>
      </c>
      <c r="BE39">
        <f>IF(Backend!BF66="", "", Backend!BF66)</f>
        <v>7.4374049999999997E-2</v>
      </c>
      <c r="BF39">
        <f>IF(Backend!BG66="", "", Backend!BG66)</f>
        <v>5.3962099999999999E-2</v>
      </c>
      <c r="BG39">
        <f>IF(Backend!BH66="", "", Backend!BH66)</f>
        <v>4.7677625000000001E-2</v>
      </c>
      <c r="BH39">
        <f>IF(Backend!BI66="", "", Backend!BI66)</f>
        <v>3.0800142999999999E-2</v>
      </c>
      <c r="BI39" t="str">
        <f>IF(Backend!BJ66="", "", Backend!BJ66)</f>
        <v/>
      </c>
      <c r="BJ39" t="str">
        <f>IF(Backend!BK66="", "", Backend!BK66)</f>
        <v/>
      </c>
      <c r="BK39" t="str">
        <f>IF(Backend!BL66="", "", Backend!BL66)</f>
        <v/>
      </c>
      <c r="BL39" t="str">
        <f>IF(Backend!BM66="", "", Backend!BM66)</f>
        <v/>
      </c>
      <c r="BM39" t="str">
        <f>IF(Backend!BN66="", "", Backend!BN66)</f>
        <v/>
      </c>
      <c r="BN39" t="str">
        <f>IF(Backend!BO66="", "", Backend!BO66)</f>
        <v/>
      </c>
      <c r="BO39" t="str">
        <f>IF(Backend!BP66="", "", Backend!BP66)</f>
        <v/>
      </c>
      <c r="BP39" t="str">
        <f>IF(Backend!BQ66="", "", Backend!BQ66)</f>
        <v/>
      </c>
      <c r="BQ39" t="str">
        <f>IF(Backend!BR66="", "", Backend!BR66)</f>
        <v/>
      </c>
      <c r="BR39" t="str">
        <f>IF(Backend!BS66="", "", Backend!BS66)</f>
        <v/>
      </c>
      <c r="BS39" t="str">
        <f>IF(Backend!BT66="", "", Backend!BT66)</f>
        <v/>
      </c>
      <c r="BT39" t="str">
        <f>IF(Backend!BU66="", "", Backend!BU66)</f>
        <v/>
      </c>
      <c r="BU39" t="str">
        <f>IF(Backend!BV66="", "", Backend!BV66)</f>
        <v/>
      </c>
      <c r="BV39" t="str">
        <f>IF(Backend!BW66="", "", Backend!BW66)</f>
        <v/>
      </c>
      <c r="BW39" t="str">
        <f>IF(Backend!BX66="", "", Backend!BX66)</f>
        <v/>
      </c>
      <c r="BX39" t="str">
        <f>IF(Backend!BY66="", "", Backend!BY66)</f>
        <v/>
      </c>
      <c r="BY39" t="str">
        <f>IF(Backend!BZ66="", "", Backend!BZ66)</f>
        <v/>
      </c>
      <c r="BZ39" t="str">
        <f>IF(Backend!CA66="", "", Backend!CA66)</f>
        <v/>
      </c>
      <c r="CA39" t="str">
        <f>IF(Backend!CB66="", "", Backend!CB66)</f>
        <v/>
      </c>
      <c r="CB39" t="str">
        <f>IF(Backend!CC66="", "", Backend!CC66)</f>
        <v/>
      </c>
      <c r="CC39" t="str">
        <f>IF(Backend!CD66="", "", Backend!CD66)</f>
        <v/>
      </c>
    </row>
    <row r="40" spans="1:81" x14ac:dyDescent="0.25">
      <c r="A40" s="4" t="str">
        <f>IF(Backend!A67="", "", Backend!A67)</f>
        <v>Pfizer Inc.</v>
      </c>
      <c r="B40">
        <f>IF(Backend!C67="", "", Backend!C67)</f>
        <v>0.108049855</v>
      </c>
      <c r="C40">
        <f>IF(Backend!D67="", "", Backend!D67)</f>
        <v>7.1844140000000001E-2</v>
      </c>
      <c r="D40">
        <f>IF(Backend!E67="", "", Backend!E67)</f>
        <v>6.3168189999999999E-2</v>
      </c>
      <c r="E40">
        <f>IF(Backend!F67="", "", Backend!F67)</f>
        <v>0.16148512000000001</v>
      </c>
      <c r="F40">
        <f>IF(Backend!G67="", "", Backend!G67)</f>
        <v>3.1156102000000001E-2</v>
      </c>
      <c r="G40">
        <f>IF(Backend!H67="", "", Backend!H67)</f>
        <v>2.2934861000000001E-2</v>
      </c>
      <c r="H40">
        <f>IF(Backend!I67="", "", Backend!I67)</f>
        <v>0.12530355000000001</v>
      </c>
      <c r="I40">
        <f>IF(Backend!J67="", "", Backend!J67)</f>
        <v>0.19156912000000001</v>
      </c>
      <c r="J40">
        <f>IF(Backend!K67="", "", Backend!K67)</f>
        <v>0.43334286999999999</v>
      </c>
      <c r="K40">
        <f>IF(Backend!L67="", "", Backend!L67)</f>
        <v>9.6086980000000002E-2</v>
      </c>
      <c r="L40">
        <f>IF(Backend!M67="", "", Backend!M67)</f>
        <v>2.4806133000000001E-2</v>
      </c>
      <c r="M40">
        <f>IF(Backend!N67="", "", Backend!N67)</f>
        <v>9.4735749999999994E-2</v>
      </c>
      <c r="N40">
        <f>IF(Backend!O67="", "", Backend!O67)</f>
        <v>8.5481390000000004E-2</v>
      </c>
      <c r="O40">
        <f>IF(Backend!P67="", "", Backend!P67)</f>
        <v>2.5283760999999998E-2</v>
      </c>
      <c r="P40">
        <f>IF(Backend!Q67="", "", Backend!Q67)</f>
        <v>0.12585209999999999</v>
      </c>
      <c r="Q40">
        <f>IF(Backend!R67="", "", Backend!R67)</f>
        <v>8.6259539999999996E-2</v>
      </c>
      <c r="R40">
        <f>IF(Backend!S67="", "", Backend!S67)</f>
        <v>0.2444693</v>
      </c>
      <c r="S40">
        <f>IF(Backend!T67="", "", Backend!T67)</f>
        <v>4.4223208E-2</v>
      </c>
      <c r="T40">
        <f>IF(Backend!U67="", "", Backend!U67)</f>
        <v>0.12553738</v>
      </c>
      <c r="U40">
        <f>IF(Backend!V67="", "", Backend!V67)</f>
        <v>-5.0917406999999998E-3</v>
      </c>
      <c r="V40">
        <f>IF(Backend!W67="", "", Backend!W67)</f>
        <v>0.14541464000000001</v>
      </c>
      <c r="W40">
        <f>IF(Backend!X67="", "", Backend!X67)</f>
        <v>0.15336859999999999</v>
      </c>
      <c r="X40">
        <f>IF(Backend!Y67="", "", Backend!Y67)</f>
        <v>-3.2391448000000003E-2</v>
      </c>
      <c r="Y40">
        <f>IF(Backend!Z67="", "", Backend!Z67)</f>
        <v>0.12701933000000001</v>
      </c>
      <c r="Z40">
        <f>IF(Backend!AA67="", "", Backend!AA67)</f>
        <v>9.4472680000000003E-2</v>
      </c>
      <c r="AA40">
        <f>IF(Backend!AB67="", "", Backend!AB67)</f>
        <v>0.20455185000000001</v>
      </c>
      <c r="AB40">
        <f>IF(Backend!AC67="", "", Backend!AC67)</f>
        <v>0.17629096999999999</v>
      </c>
      <c r="AC40">
        <f>IF(Backend!AD67="", "", Backend!AD67)</f>
        <v>0.23846191</v>
      </c>
      <c r="AD40">
        <f>IF(Backend!AE67="", "", Backend!AE67)</f>
        <v>0.11189074</v>
      </c>
      <c r="AE40">
        <f>IF(Backend!AF67="", "", Backend!AF67)</f>
        <v>0.22903973999999999</v>
      </c>
      <c r="AF40">
        <f>IF(Backend!AG67="", "", Backend!AG67)</f>
        <v>2.3914205000000001E-2</v>
      </c>
      <c r="AG40">
        <f>IF(Backend!AH67="", "", Backend!AH67)</f>
        <v>0.17065971999999999</v>
      </c>
      <c r="AH40">
        <f>IF(Backend!AI67="", "", Backend!AI67)</f>
        <v>0.16715944999999999</v>
      </c>
      <c r="AI40">
        <f>IF(Backend!AJ67="", "", Backend!AJ67)</f>
        <v>9.9916353999999999E-2</v>
      </c>
      <c r="AJ40">
        <f>IF(Backend!AK67="", "", Backend!AK67)</f>
        <v>-2.6372791999999999E-2</v>
      </c>
      <c r="AK40">
        <f>IF(Backend!AL67="", "", Backend!AL67)</f>
        <v>-5.013226E-3</v>
      </c>
      <c r="AL40">
        <f>IF(Backend!AM67="", "", Backend!AM67)</f>
        <v>1</v>
      </c>
      <c r="AM40">
        <f>IF(Backend!AN67="", "", Backend!AN67)</f>
        <v>0.14794246999999999</v>
      </c>
      <c r="AN40">
        <f>IF(Backend!AO67="", "", Backend!AO67)</f>
        <v>9.8420359999999998E-2</v>
      </c>
      <c r="AO40">
        <f>IF(Backend!AP67="", "", Backend!AP67)</f>
        <v>4.9837377000000002E-2</v>
      </c>
      <c r="AP40">
        <f>IF(Backend!AQ67="", "", Backend!AQ67)</f>
        <v>0.14236260000000001</v>
      </c>
      <c r="AQ40">
        <f>IF(Backend!AR67="", "", Backend!AR67)</f>
        <v>-2.7349078999999998E-2</v>
      </c>
      <c r="AR40">
        <f>IF(Backend!AS67="", "", Backend!AS67)</f>
        <v>0.24180070000000001</v>
      </c>
      <c r="AS40">
        <f>IF(Backend!AT67="", "", Backend!AT67)</f>
        <v>3.0286560000000001E-2</v>
      </c>
      <c r="AT40">
        <f>IF(Backend!AU67="", "", Backend!AU67)</f>
        <v>-2.1348240000000001E-2</v>
      </c>
      <c r="AU40">
        <f>IF(Backend!AV67="", "", Backend!AV67)</f>
        <v>0.10544555</v>
      </c>
      <c r="AV40">
        <f>IF(Backend!AW67="", "", Backend!AW67)</f>
        <v>0.113040134</v>
      </c>
      <c r="AW40">
        <f>IF(Backend!AX67="", "", Backend!AX67)</f>
        <v>0.21512496</v>
      </c>
      <c r="AX40">
        <f>IF(Backend!AY67="", "", Backend!AY67)</f>
        <v>7.8942419999999999E-2</v>
      </c>
      <c r="AY40">
        <f>IF(Backend!AZ67="", "", Backend!AZ67)</f>
        <v>0.1681744</v>
      </c>
      <c r="AZ40">
        <f>IF(Backend!BA67="", "", Backend!BA67)</f>
        <v>1.9831552999999998E-2</v>
      </c>
      <c r="BA40">
        <f>IF(Backend!BB67="", "", Backend!BB67)</f>
        <v>3.8420375E-2</v>
      </c>
      <c r="BB40">
        <f>IF(Backend!BC67="", "", Backend!BC67)</f>
        <v>0.25428864000000001</v>
      </c>
      <c r="BC40">
        <f>IF(Backend!BD67="", "", Backend!BD67)</f>
        <v>0.2914445</v>
      </c>
      <c r="BD40">
        <f>IF(Backend!BE67="", "", Backend!BE67)</f>
        <v>0.13633107999999999</v>
      </c>
      <c r="BE40">
        <f>IF(Backend!BF67="", "", Backend!BF67)</f>
        <v>0.10391731999999999</v>
      </c>
      <c r="BF40">
        <f>IF(Backend!BG67="", "", Backend!BG67)</f>
        <v>0.18865477</v>
      </c>
      <c r="BG40">
        <f>IF(Backend!BH67="", "", Backend!BH67)</f>
        <v>0.19060284999999999</v>
      </c>
      <c r="BH40">
        <f>IF(Backend!BI67="", "", Backend!BI67)</f>
        <v>0.15136585</v>
      </c>
      <c r="BI40" t="str">
        <f>IF(Backend!BJ67="", "", Backend!BJ67)</f>
        <v/>
      </c>
      <c r="BJ40" t="str">
        <f>IF(Backend!BK67="", "", Backend!BK67)</f>
        <v/>
      </c>
      <c r="BK40" t="str">
        <f>IF(Backend!BL67="", "", Backend!BL67)</f>
        <v/>
      </c>
      <c r="BL40" t="str">
        <f>IF(Backend!BM67="", "", Backend!BM67)</f>
        <v/>
      </c>
      <c r="BM40" t="str">
        <f>IF(Backend!BN67="", "", Backend!BN67)</f>
        <v/>
      </c>
      <c r="BN40" t="str">
        <f>IF(Backend!BO67="", "", Backend!BO67)</f>
        <v/>
      </c>
      <c r="BO40" t="str">
        <f>IF(Backend!BP67="", "", Backend!BP67)</f>
        <v/>
      </c>
      <c r="BP40" t="str">
        <f>IF(Backend!BQ67="", "", Backend!BQ67)</f>
        <v/>
      </c>
      <c r="BQ40" t="str">
        <f>IF(Backend!BR67="", "", Backend!BR67)</f>
        <v/>
      </c>
      <c r="BR40" t="str">
        <f>IF(Backend!BS67="", "", Backend!BS67)</f>
        <v/>
      </c>
      <c r="BS40" t="str">
        <f>IF(Backend!BT67="", "", Backend!BT67)</f>
        <v/>
      </c>
      <c r="BT40" t="str">
        <f>IF(Backend!BU67="", "", Backend!BU67)</f>
        <v/>
      </c>
      <c r="BU40" t="str">
        <f>IF(Backend!BV67="", "", Backend!BV67)</f>
        <v/>
      </c>
      <c r="BV40" t="str">
        <f>IF(Backend!BW67="", "", Backend!BW67)</f>
        <v/>
      </c>
      <c r="BW40" t="str">
        <f>IF(Backend!BX67="", "", Backend!BX67)</f>
        <v/>
      </c>
      <c r="BX40" t="str">
        <f>IF(Backend!BY67="", "", Backend!BY67)</f>
        <v/>
      </c>
      <c r="BY40" t="str">
        <f>IF(Backend!BZ67="", "", Backend!BZ67)</f>
        <v/>
      </c>
      <c r="BZ40" t="str">
        <f>IF(Backend!CA67="", "", Backend!CA67)</f>
        <v/>
      </c>
      <c r="CA40" t="str">
        <f>IF(Backend!CB67="", "", Backend!CB67)</f>
        <v/>
      </c>
      <c r="CB40" t="str">
        <f>IF(Backend!CC67="", "", Backend!CC67)</f>
        <v/>
      </c>
      <c r="CC40" t="str">
        <f>IF(Backend!CD67="", "", Backend!CD67)</f>
        <v/>
      </c>
    </row>
    <row r="41" spans="1:81" x14ac:dyDescent="0.25">
      <c r="A41" s="4" t="str">
        <f>IF(Backend!A68="", "", Backend!A68)</f>
        <v>PUMA SE</v>
      </c>
      <c r="B41">
        <f>IF(Backend!C68="", "", Backend!C68)</f>
        <v>0.42113334000000002</v>
      </c>
      <c r="C41">
        <f>IF(Backend!D68="", "", Backend!D68)</f>
        <v>0.27331284</v>
      </c>
      <c r="D41">
        <f>IF(Backend!E68="", "", Backend!E68)</f>
        <v>9.3412146000000001E-2</v>
      </c>
      <c r="E41">
        <f>IF(Backend!F68="", "", Backend!F68)</f>
        <v>0.28644570000000003</v>
      </c>
      <c r="F41">
        <f>IF(Backend!G68="", "", Backend!G68)</f>
        <v>0.17763424</v>
      </c>
      <c r="G41">
        <f>IF(Backend!H68="", "", Backend!H68)</f>
        <v>0.23145977000000001</v>
      </c>
      <c r="H41">
        <f>IF(Backend!I68="", "", Backend!I68)</f>
        <v>0.41222456000000002</v>
      </c>
      <c r="I41">
        <f>IF(Backend!J68="", "", Backend!J68)</f>
        <v>0.27716079999999998</v>
      </c>
      <c r="J41">
        <f>IF(Backend!K68="", "", Backend!K68)</f>
        <v>4.8643350000000002E-2</v>
      </c>
      <c r="K41">
        <f>IF(Backend!L68="", "", Backend!L68)</f>
        <v>0.19196379999999999</v>
      </c>
      <c r="L41">
        <f>IF(Backend!M68="", "", Backend!M68)</f>
        <v>0.37030548000000002</v>
      </c>
      <c r="M41">
        <f>IF(Backend!N68="", "", Backend!N68)</f>
        <v>0.20357111</v>
      </c>
      <c r="N41">
        <f>IF(Backend!O68="", "", Backend!O68)</f>
        <v>0.38078496000000001</v>
      </c>
      <c r="O41">
        <f>IF(Backend!P68="", "", Backend!P68)</f>
        <v>0.15754525</v>
      </c>
      <c r="P41">
        <f>IF(Backend!Q68="", "", Backend!Q68)</f>
        <v>0.40666679999999999</v>
      </c>
      <c r="Q41">
        <f>IF(Backend!R68="", "", Backend!R68)</f>
        <v>0.27002826000000002</v>
      </c>
      <c r="R41">
        <f>IF(Backend!S68="", "", Backend!S68)</f>
        <v>0.19305214000000001</v>
      </c>
      <c r="S41">
        <f>IF(Backend!T68="", "", Backend!T68)</f>
        <v>9.8074819999999993E-2</v>
      </c>
      <c r="T41">
        <f>IF(Backend!U68="", "", Backend!U68)</f>
        <v>8.6439530000000001E-2</v>
      </c>
      <c r="U41">
        <f>IF(Backend!V68="", "", Backend!V68)</f>
        <v>0.12275454</v>
      </c>
      <c r="V41">
        <f>IF(Backend!W68="", "", Backend!W68)</f>
        <v>0.19464749000000001</v>
      </c>
      <c r="W41">
        <f>IF(Backend!X68="", "", Backend!X68)</f>
        <v>0.14560044</v>
      </c>
      <c r="X41">
        <f>IF(Backend!Y68="", "", Backend!Y68)</f>
        <v>0.13997597000000001</v>
      </c>
      <c r="Y41">
        <f>IF(Backend!Z68="", "", Backend!Z68)</f>
        <v>0.48624644</v>
      </c>
      <c r="Z41">
        <f>IF(Backend!AA68="", "", Backend!AA68)</f>
        <v>0.20084551</v>
      </c>
      <c r="AA41">
        <f>IF(Backend!AB68="", "", Backend!AB68)</f>
        <v>7.9690955999999993E-2</v>
      </c>
      <c r="AB41">
        <f>IF(Backend!AC68="", "", Backend!AC68)</f>
        <v>0.30829786999999997</v>
      </c>
      <c r="AC41">
        <f>IF(Backend!AD68="", "", Backend!AD68)</f>
        <v>0.21099028</v>
      </c>
      <c r="AD41">
        <f>IF(Backend!AE68="", "", Backend!AE68)</f>
        <v>0.13893712</v>
      </c>
      <c r="AE41">
        <f>IF(Backend!AF68="", "", Backend!AF68)</f>
        <v>0.26659650000000001</v>
      </c>
      <c r="AF41">
        <f>IF(Backend!AG68="", "", Backend!AG68)</f>
        <v>6.4754149999999996E-2</v>
      </c>
      <c r="AG41">
        <f>IF(Backend!AH68="", "", Backend!AH68)</f>
        <v>0.25559895999999999</v>
      </c>
      <c r="AH41">
        <f>IF(Backend!AI68="", "", Backend!AI68)</f>
        <v>0.12265722499999999</v>
      </c>
      <c r="AI41">
        <f>IF(Backend!AJ68="", "", Backend!AJ68)</f>
        <v>0.26963680000000001</v>
      </c>
      <c r="AJ41">
        <f>IF(Backend!AK68="", "", Backend!AK68)</f>
        <v>7.7096769999999995E-2</v>
      </c>
      <c r="AK41">
        <f>IF(Backend!AL68="", "", Backend!AL68)</f>
        <v>0.10227791999999999</v>
      </c>
      <c r="AL41">
        <f>IF(Backend!AM68="", "", Backend!AM68)</f>
        <v>0.14794246999999999</v>
      </c>
      <c r="AM41">
        <f>IF(Backend!AN68="", "", Backend!AN68)</f>
        <v>1</v>
      </c>
      <c r="AN41">
        <f>IF(Backend!AO68="", "", Backend!AO68)</f>
        <v>0.16973652</v>
      </c>
      <c r="AO41">
        <f>IF(Backend!AP68="", "", Backend!AP68)</f>
        <v>0.14687829999999999</v>
      </c>
      <c r="AP41">
        <f>IF(Backend!AQ68="", "", Backend!AQ68)</f>
        <v>0.19784914000000001</v>
      </c>
      <c r="AQ41">
        <f>IF(Backend!AR68="", "", Backend!AR68)</f>
        <v>0.13221008000000001</v>
      </c>
      <c r="AR41">
        <f>IF(Backend!AS68="", "", Backend!AS68)</f>
        <v>0.17100249000000001</v>
      </c>
      <c r="AS41">
        <f>IF(Backend!AT68="", "", Backend!AT68)</f>
        <v>0.19718954999999999</v>
      </c>
      <c r="AT41">
        <f>IF(Backend!AU68="", "", Backend!AU68)</f>
        <v>0.11923842</v>
      </c>
      <c r="AU41">
        <f>IF(Backend!AV68="", "", Backend!AV68)</f>
        <v>0.33015107999999999</v>
      </c>
      <c r="AV41">
        <f>IF(Backend!AW68="", "", Backend!AW68)</f>
        <v>0.26830842999999999</v>
      </c>
      <c r="AW41">
        <f>IF(Backend!AX68="", "", Backend!AX68)</f>
        <v>0.25864737999999998</v>
      </c>
      <c r="AX41">
        <f>IF(Backend!AY68="", "", Backend!AY68)</f>
        <v>0.44577464</v>
      </c>
      <c r="AY41">
        <f>IF(Backend!AZ68="", "", Backend!AZ68)</f>
        <v>0.18319193</v>
      </c>
      <c r="AZ41">
        <f>IF(Backend!BA68="", "", Backend!BA68)</f>
        <v>7.8177499999999997E-2</v>
      </c>
      <c r="BA41">
        <f>IF(Backend!BB68="", "", Backend!BB68)</f>
        <v>0.19795483</v>
      </c>
      <c r="BB41">
        <f>IF(Backend!BC68="", "", Backend!BC68)</f>
        <v>8.7411455999999998E-2</v>
      </c>
      <c r="BC41">
        <f>IF(Backend!BD68="", "", Backend!BD68)</f>
        <v>0.18182371999999999</v>
      </c>
      <c r="BD41">
        <f>IF(Backend!BE68="", "", Backend!BE68)</f>
        <v>0.20582916000000001</v>
      </c>
      <c r="BE41">
        <f>IF(Backend!BF68="", "", Backend!BF68)</f>
        <v>0.38096932</v>
      </c>
      <c r="BF41">
        <f>IF(Backend!BG68="", "", Backend!BG68)</f>
        <v>9.9746265000000001E-2</v>
      </c>
      <c r="BG41">
        <f>IF(Backend!BH68="", "", Backend!BH68)</f>
        <v>0.16572943000000001</v>
      </c>
      <c r="BH41">
        <f>IF(Backend!BI68="", "", Backend!BI68)</f>
        <v>0.18613574999999999</v>
      </c>
      <c r="BI41" t="str">
        <f>IF(Backend!BJ68="", "", Backend!BJ68)</f>
        <v/>
      </c>
      <c r="BJ41" t="str">
        <f>IF(Backend!BK68="", "", Backend!BK68)</f>
        <v/>
      </c>
      <c r="BK41" t="str">
        <f>IF(Backend!BL68="", "", Backend!BL68)</f>
        <v/>
      </c>
      <c r="BL41" t="str">
        <f>IF(Backend!BM68="", "", Backend!BM68)</f>
        <v/>
      </c>
      <c r="BM41" t="str">
        <f>IF(Backend!BN68="", "", Backend!BN68)</f>
        <v/>
      </c>
      <c r="BN41" t="str">
        <f>IF(Backend!BO68="", "", Backend!BO68)</f>
        <v/>
      </c>
      <c r="BO41" t="str">
        <f>IF(Backend!BP68="", "", Backend!BP68)</f>
        <v/>
      </c>
      <c r="BP41" t="str">
        <f>IF(Backend!BQ68="", "", Backend!BQ68)</f>
        <v/>
      </c>
      <c r="BQ41" t="str">
        <f>IF(Backend!BR68="", "", Backend!BR68)</f>
        <v/>
      </c>
      <c r="BR41" t="str">
        <f>IF(Backend!BS68="", "", Backend!BS68)</f>
        <v/>
      </c>
      <c r="BS41" t="str">
        <f>IF(Backend!BT68="", "", Backend!BT68)</f>
        <v/>
      </c>
      <c r="BT41" t="str">
        <f>IF(Backend!BU68="", "", Backend!BU68)</f>
        <v/>
      </c>
      <c r="BU41" t="str">
        <f>IF(Backend!BV68="", "", Backend!BV68)</f>
        <v/>
      </c>
      <c r="BV41" t="str">
        <f>IF(Backend!BW68="", "", Backend!BW68)</f>
        <v/>
      </c>
      <c r="BW41" t="str">
        <f>IF(Backend!BX68="", "", Backend!BX68)</f>
        <v/>
      </c>
      <c r="BX41" t="str">
        <f>IF(Backend!BY68="", "", Backend!BY68)</f>
        <v/>
      </c>
      <c r="BY41" t="str">
        <f>IF(Backend!BZ68="", "", Backend!BZ68)</f>
        <v/>
      </c>
      <c r="BZ41" t="str">
        <f>IF(Backend!CA68="", "", Backend!CA68)</f>
        <v/>
      </c>
      <c r="CA41" t="str">
        <f>IF(Backend!CB68="", "", Backend!CB68)</f>
        <v/>
      </c>
      <c r="CB41" t="str">
        <f>IF(Backend!CC68="", "", Backend!CC68)</f>
        <v/>
      </c>
      <c r="CC41" t="str">
        <f>IF(Backend!CD68="", "", Backend!CD68)</f>
        <v/>
      </c>
    </row>
    <row r="42" spans="1:81" x14ac:dyDescent="0.25">
      <c r="A42" s="4" t="str">
        <f>IF(Backend!A69="", "", Backend!A69)</f>
        <v>Repsol SA</v>
      </c>
      <c r="B42">
        <f>IF(Backend!C69="", "", Backend!C69)</f>
        <v>0.31757814000000001</v>
      </c>
      <c r="C42">
        <f>IF(Backend!D69="", "", Backend!D69)</f>
        <v>0.46868959999999998</v>
      </c>
      <c r="D42">
        <f>IF(Backend!E69="", "", Backend!E69)</f>
        <v>0.12067817</v>
      </c>
      <c r="E42">
        <f>IF(Backend!F69="", "", Backend!F69)</f>
        <v>0.21221629</v>
      </c>
      <c r="F42">
        <f>IF(Backend!G69="", "", Backend!G69)</f>
        <v>0.12843104999999999</v>
      </c>
      <c r="G42">
        <f>IF(Backend!H69="", "", Backend!H69)</f>
        <v>0.1449145</v>
      </c>
      <c r="H42">
        <f>IF(Backend!I69="", "", Backend!I69)</f>
        <v>0.42036216999999998</v>
      </c>
      <c r="I42">
        <f>IF(Backend!J69="", "", Backend!J69)</f>
        <v>0.28715370000000001</v>
      </c>
      <c r="J42">
        <f>IF(Backend!K69="", "", Backend!K69)</f>
        <v>6.1033299999999999E-2</v>
      </c>
      <c r="K42">
        <f>IF(Backend!L69="", "", Backend!L69)</f>
        <v>0.29833162000000002</v>
      </c>
      <c r="L42">
        <f>IF(Backend!M69="", "", Backend!M69)</f>
        <v>0.30927645999999998</v>
      </c>
      <c r="M42">
        <f>IF(Backend!N69="", "", Backend!N69)</f>
        <v>0.22343177</v>
      </c>
      <c r="N42">
        <f>IF(Backend!O69="", "", Backend!O69)</f>
        <v>0.33105003999999999</v>
      </c>
      <c r="O42">
        <f>IF(Backend!P69="", "", Backend!P69)</f>
        <v>0.12683548</v>
      </c>
      <c r="P42">
        <f>IF(Backend!Q69="", "", Backend!Q69)</f>
        <v>0.34364292000000002</v>
      </c>
      <c r="Q42">
        <f>IF(Backend!R69="", "", Backend!R69)</f>
        <v>0.75218766999999997</v>
      </c>
      <c r="R42">
        <f>IF(Backend!S69="", "", Backend!S69)</f>
        <v>0.19716154</v>
      </c>
      <c r="S42">
        <f>IF(Backend!T69="", "", Backend!T69)</f>
        <v>2.1762179999999999E-2</v>
      </c>
      <c r="T42">
        <f>IF(Backend!U69="", "", Backend!U69)</f>
        <v>0.52620900000000004</v>
      </c>
      <c r="U42">
        <f>IF(Backend!V69="", "", Backend!V69)</f>
        <v>0.12983648</v>
      </c>
      <c r="V42">
        <f>IF(Backend!W69="", "", Backend!W69)</f>
        <v>0.22791887999999999</v>
      </c>
      <c r="W42">
        <f>IF(Backend!X69="", "", Backend!X69)</f>
        <v>0.10864947</v>
      </c>
      <c r="X42">
        <f>IF(Backend!Y69="", "", Backend!Y69)</f>
        <v>0.13725407000000001</v>
      </c>
      <c r="Y42">
        <f>IF(Backend!Z69="", "", Backend!Z69)</f>
        <v>0.2894159</v>
      </c>
      <c r="Z42">
        <f>IF(Backend!AA69="", "", Backend!AA69)</f>
        <v>9.3363119999999994E-2</v>
      </c>
      <c r="AA42">
        <f>IF(Backend!AB69="", "", Backend!AB69)</f>
        <v>7.2429679999999996E-2</v>
      </c>
      <c r="AB42">
        <f>IF(Backend!AC69="", "", Backend!AC69)</f>
        <v>0.25294915000000001</v>
      </c>
      <c r="AC42">
        <f>IF(Backend!AD69="", "", Backend!AD69)</f>
        <v>0.40174747</v>
      </c>
      <c r="AD42">
        <f>IF(Backend!AE69="", "", Backend!AE69)</f>
        <v>0.19041834999999999</v>
      </c>
      <c r="AE42">
        <f>IF(Backend!AF69="", "", Backend!AF69)</f>
        <v>0.24495742000000001</v>
      </c>
      <c r="AF42">
        <f>IF(Backend!AG69="", "", Backend!AG69)</f>
        <v>7.0397559999999998E-2</v>
      </c>
      <c r="AG42">
        <f>IF(Backend!AH69="", "", Backend!AH69)</f>
        <v>0.157835</v>
      </c>
      <c r="AH42">
        <f>IF(Backend!AI69="", "", Backend!AI69)</f>
        <v>0.18277436</v>
      </c>
      <c r="AI42">
        <f>IF(Backend!AJ69="", "", Backend!AJ69)</f>
        <v>0.40175304000000001</v>
      </c>
      <c r="AJ42">
        <f>IF(Backend!AK69="", "", Backend!AK69)</f>
        <v>0.13376740000000001</v>
      </c>
      <c r="AK42">
        <f>IF(Backend!AL69="", "", Backend!AL69)</f>
        <v>4.877782E-2</v>
      </c>
      <c r="AL42">
        <f>IF(Backend!AM69="", "", Backend!AM69)</f>
        <v>9.8420359999999998E-2</v>
      </c>
      <c r="AM42">
        <f>IF(Backend!AN69="", "", Backend!AN69)</f>
        <v>0.16973652</v>
      </c>
      <c r="AN42">
        <f>IF(Backend!AO69="", "", Backend!AO69)</f>
        <v>1</v>
      </c>
      <c r="AO42">
        <f>IF(Backend!AP69="", "", Backend!AP69)</f>
        <v>0.15636978000000001</v>
      </c>
      <c r="AP42">
        <f>IF(Backend!AQ69="", "", Backend!AQ69)</f>
        <v>0.15660578</v>
      </c>
      <c r="AQ42">
        <f>IF(Backend!AR69="", "", Backend!AR69)</f>
        <v>0.19395602000000001</v>
      </c>
      <c r="AR42">
        <f>IF(Backend!AS69="", "", Backend!AS69)</f>
        <v>0.18878391</v>
      </c>
      <c r="AS42">
        <f>IF(Backend!AT69="", "", Backend!AT69)</f>
        <v>0.22747629999999999</v>
      </c>
      <c r="AT42">
        <f>IF(Backend!AU69="", "", Backend!AU69)</f>
        <v>0.12514575999999999</v>
      </c>
      <c r="AU42">
        <f>IF(Backend!AV69="", "", Backend!AV69)</f>
        <v>0.41426188000000003</v>
      </c>
      <c r="AV42">
        <f>IF(Backend!AW69="", "", Backend!AW69)</f>
        <v>0.44844133000000003</v>
      </c>
      <c r="AW42">
        <f>IF(Backend!AX69="", "", Backend!AX69)</f>
        <v>0.13070026000000001</v>
      </c>
      <c r="AX42">
        <f>IF(Backend!AY69="", "", Backend!AY69)</f>
        <v>0.29331183</v>
      </c>
      <c r="AY42">
        <f>IF(Backend!AZ69="", "", Backend!AZ69)</f>
        <v>0.30355897999999998</v>
      </c>
      <c r="AZ42">
        <f>IF(Backend!BA69="", "", Backend!BA69)</f>
        <v>0.11973667</v>
      </c>
      <c r="BA42">
        <f>IF(Backend!BB69="", "", Backend!BB69)</f>
        <v>0.276754</v>
      </c>
      <c r="BB42">
        <f>IF(Backend!BC69="", "", Backend!BC69)</f>
        <v>9.4737604000000003E-2</v>
      </c>
      <c r="BC42">
        <f>IF(Backend!BD69="", "", Backend!BD69)</f>
        <v>0.14879191999999999</v>
      </c>
      <c r="BD42">
        <f>IF(Backend!BE69="", "", Backend!BE69)</f>
        <v>0.31459752000000002</v>
      </c>
      <c r="BE42">
        <f>IF(Backend!BF69="", "", Backend!BF69)</f>
        <v>0.36121154</v>
      </c>
      <c r="BF42">
        <f>IF(Backend!BG69="", "", Backend!BG69)</f>
        <v>0.11690576</v>
      </c>
      <c r="BG42">
        <f>IF(Backend!BH69="", "", Backend!BH69)</f>
        <v>0.15191573</v>
      </c>
      <c r="BH42">
        <f>IF(Backend!BI69="", "", Backend!BI69)</f>
        <v>0.1986559</v>
      </c>
      <c r="BI42" t="str">
        <f>IF(Backend!BJ69="", "", Backend!BJ69)</f>
        <v/>
      </c>
      <c r="BJ42" t="str">
        <f>IF(Backend!BK69="", "", Backend!BK69)</f>
        <v/>
      </c>
      <c r="BK42" t="str">
        <f>IF(Backend!BL69="", "", Backend!BL69)</f>
        <v/>
      </c>
      <c r="BL42" t="str">
        <f>IF(Backend!BM69="", "", Backend!BM69)</f>
        <v/>
      </c>
      <c r="BM42" t="str">
        <f>IF(Backend!BN69="", "", Backend!BN69)</f>
        <v/>
      </c>
      <c r="BN42" t="str">
        <f>IF(Backend!BO69="", "", Backend!BO69)</f>
        <v/>
      </c>
      <c r="BO42" t="str">
        <f>IF(Backend!BP69="", "", Backend!BP69)</f>
        <v/>
      </c>
      <c r="BP42" t="str">
        <f>IF(Backend!BQ69="", "", Backend!BQ69)</f>
        <v/>
      </c>
      <c r="BQ42" t="str">
        <f>IF(Backend!BR69="", "", Backend!BR69)</f>
        <v/>
      </c>
      <c r="BR42" t="str">
        <f>IF(Backend!BS69="", "", Backend!BS69)</f>
        <v/>
      </c>
      <c r="BS42" t="str">
        <f>IF(Backend!BT69="", "", Backend!BT69)</f>
        <v/>
      </c>
      <c r="BT42" t="str">
        <f>IF(Backend!BU69="", "", Backend!BU69)</f>
        <v/>
      </c>
      <c r="BU42" t="str">
        <f>IF(Backend!BV69="", "", Backend!BV69)</f>
        <v/>
      </c>
      <c r="BV42" t="str">
        <f>IF(Backend!BW69="", "", Backend!BW69)</f>
        <v/>
      </c>
      <c r="BW42" t="str">
        <f>IF(Backend!BX69="", "", Backend!BX69)</f>
        <v/>
      </c>
      <c r="BX42" t="str">
        <f>IF(Backend!BY69="", "", Backend!BY69)</f>
        <v/>
      </c>
      <c r="BY42" t="str">
        <f>IF(Backend!BZ69="", "", Backend!BZ69)</f>
        <v/>
      </c>
      <c r="BZ42" t="str">
        <f>IF(Backend!CA69="", "", Backend!CA69)</f>
        <v/>
      </c>
      <c r="CA42" t="str">
        <f>IF(Backend!CB69="", "", Backend!CB69)</f>
        <v/>
      </c>
      <c r="CB42" t="str">
        <f>IF(Backend!CC69="", "", Backend!CC69)</f>
        <v/>
      </c>
      <c r="CC42" t="str">
        <f>IF(Backend!CD69="", "", Backend!CD69)</f>
        <v/>
      </c>
    </row>
    <row r="43" spans="1:81" x14ac:dyDescent="0.25">
      <c r="A43" s="4" t="str">
        <f>IF(Backend!A70="", "", Backend!A70)</f>
        <v>ROHM Company Limited</v>
      </c>
      <c r="B43">
        <f>IF(Backend!C70="", "", Backend!C70)</f>
        <v>0.21714397999999999</v>
      </c>
      <c r="C43">
        <f>IF(Backend!D70="", "", Backend!D70)</f>
        <v>0.16623355000000001</v>
      </c>
      <c r="D43">
        <f>IF(Backend!E70="", "", Backend!E70)</f>
        <v>0.11386462999999999</v>
      </c>
      <c r="E43">
        <f>IF(Backend!F70="", "", Backend!F70)</f>
        <v>9.315408E-2</v>
      </c>
      <c r="F43">
        <f>IF(Backend!G70="", "", Backend!G70)</f>
        <v>8.2410949999999997E-2</v>
      </c>
      <c r="G43">
        <f>IF(Backend!H70="", "", Backend!H70)</f>
        <v>0.24354164</v>
      </c>
      <c r="H43">
        <f>IF(Backend!I70="", "", Backend!I70)</f>
        <v>0.2000265</v>
      </c>
      <c r="I43">
        <f>IF(Backend!J70="", "", Backend!J70)</f>
        <v>0.21861146000000001</v>
      </c>
      <c r="J43">
        <f>IF(Backend!K70="", "", Backend!K70)</f>
        <v>8.8093354999999995E-3</v>
      </c>
      <c r="K43">
        <f>IF(Backend!L70="", "", Backend!L70)</f>
        <v>0.13282666000000001</v>
      </c>
      <c r="L43">
        <f>IF(Backend!M70="", "", Backend!M70)</f>
        <v>0.121679604</v>
      </c>
      <c r="M43">
        <f>IF(Backend!N70="", "", Backend!N70)</f>
        <v>6.9757244999999996E-2</v>
      </c>
      <c r="N43">
        <f>IF(Backend!O70="", "", Backend!O70)</f>
        <v>0.19569056000000001</v>
      </c>
      <c r="O43">
        <f>IF(Backend!P70="", "", Backend!P70)</f>
        <v>0.29723729999999998</v>
      </c>
      <c r="P43">
        <f>IF(Backend!Q70="", "", Backend!Q70)</f>
        <v>0.19472516000000001</v>
      </c>
      <c r="Q43">
        <f>IF(Backend!R70="", "", Backend!R70)</f>
        <v>0.1639766</v>
      </c>
      <c r="R43">
        <f>IF(Backend!S70="", "", Backend!S70)</f>
        <v>0.12027979</v>
      </c>
      <c r="S43">
        <f>IF(Backend!T70="", "", Backend!T70)</f>
        <v>0.27460316000000001</v>
      </c>
      <c r="T43">
        <f>IF(Backend!U70="", "", Backend!U70)</f>
        <v>7.6774480000000006E-2</v>
      </c>
      <c r="U43">
        <f>IF(Backend!V70="", "", Backend!V70)</f>
        <v>0.27847191999999998</v>
      </c>
      <c r="V43">
        <f>IF(Backend!W70="", "", Backend!W70)</f>
        <v>5.9398769999999997E-2</v>
      </c>
      <c r="W43">
        <f>IF(Backend!X70="", "", Backend!X70)</f>
        <v>9.1978099999999993E-2</v>
      </c>
      <c r="X43">
        <f>IF(Backend!Y70="", "", Backend!Y70)</f>
        <v>0.26027014999999998</v>
      </c>
      <c r="Y43">
        <f>IF(Backend!Z70="", "", Backend!Z70)</f>
        <v>0.17108414999999999</v>
      </c>
      <c r="Z43">
        <f>IF(Backend!AA70="", "", Backend!AA70)</f>
        <v>6.8916716000000003E-2</v>
      </c>
      <c r="AA43">
        <f>IF(Backend!AB70="", "", Backend!AB70)</f>
        <v>7.9200429999999999E-3</v>
      </c>
      <c r="AB43">
        <f>IF(Backend!AC70="", "", Backend!AC70)</f>
        <v>0.101362415</v>
      </c>
      <c r="AC43">
        <f>IF(Backend!AD70="", "", Backend!AD70)</f>
        <v>9.5094583999999996E-2</v>
      </c>
      <c r="AD43">
        <f>IF(Backend!AE70="", "", Backend!AE70)</f>
        <v>3.6405668000000002E-2</v>
      </c>
      <c r="AE43">
        <f>IF(Backend!AF70="", "", Backend!AF70)</f>
        <v>8.7120149999999993E-2</v>
      </c>
      <c r="AF43">
        <f>IF(Backend!AG70="", "", Backend!AG70)</f>
        <v>0.26033136000000001</v>
      </c>
      <c r="AG43">
        <f>IF(Backend!AH70="", "", Backend!AH70)</f>
        <v>9.0277460000000004E-2</v>
      </c>
      <c r="AH43">
        <f>IF(Backend!AI70="", "", Backend!AI70)</f>
        <v>-4.3930067000000003E-3</v>
      </c>
      <c r="AI43">
        <f>IF(Backend!AJ70="", "", Backend!AJ70)</f>
        <v>0.15525860999999999</v>
      </c>
      <c r="AJ43">
        <f>IF(Backend!AK70="", "", Backend!AK70)</f>
        <v>0.37131444000000002</v>
      </c>
      <c r="AK43">
        <f>IF(Backend!AL70="", "", Backend!AL70)</f>
        <v>0.26844725000000003</v>
      </c>
      <c r="AL43">
        <f>IF(Backend!AM70="", "", Backend!AM70)</f>
        <v>4.9837377000000002E-2</v>
      </c>
      <c r="AM43">
        <f>IF(Backend!AN70="", "", Backend!AN70)</f>
        <v>0.14687829999999999</v>
      </c>
      <c r="AN43">
        <f>IF(Backend!AO70="", "", Backend!AO70)</f>
        <v>0.15636978000000001</v>
      </c>
      <c r="AO43">
        <f>IF(Backend!AP70="", "", Backend!AP70)</f>
        <v>1</v>
      </c>
      <c r="AP43">
        <f>IF(Backend!AQ70="", "", Backend!AQ70)</f>
        <v>7.2054660000000006E-2</v>
      </c>
      <c r="AQ43">
        <f>IF(Backend!AR70="", "", Backend!AR70)</f>
        <v>0.40416467</v>
      </c>
      <c r="AR43">
        <f>IF(Backend!AS70="", "", Backend!AS70)</f>
        <v>0.10251291999999999</v>
      </c>
      <c r="AS43">
        <f>IF(Backend!AT70="", "", Backend!AT70)</f>
        <v>0.11826781</v>
      </c>
      <c r="AT43">
        <f>IF(Backend!AU70="", "", Backend!AU70)</f>
        <v>0.26827069999999997</v>
      </c>
      <c r="AU43">
        <f>IF(Backend!AV70="", "", Backend!AV70)</f>
        <v>0.16086975000000001</v>
      </c>
      <c r="AV43">
        <f>IF(Backend!AW70="", "", Backend!AW70)</f>
        <v>0.14585564000000001</v>
      </c>
      <c r="AW43">
        <f>IF(Backend!AX70="", "", Backend!AX70)</f>
        <v>0.11367889</v>
      </c>
      <c r="AX43">
        <f>IF(Backend!AY70="", "", Backend!AY70)</f>
        <v>0.20876803999999999</v>
      </c>
      <c r="AY43">
        <f>IF(Backend!AZ70="", "", Backend!AZ70)</f>
        <v>7.9258209999999996E-2</v>
      </c>
      <c r="AZ43">
        <f>IF(Backend!BA70="", "", Backend!BA70)</f>
        <v>0.39116721999999998</v>
      </c>
      <c r="BA43">
        <f>IF(Backend!BB70="", "", Backend!BB70)</f>
        <v>0.16341968000000001</v>
      </c>
      <c r="BB43">
        <f>IF(Backend!BC70="", "", Backend!BC70)</f>
        <v>4.5189082999999998E-2</v>
      </c>
      <c r="BC43">
        <f>IF(Backend!BD70="", "", Backend!BD70)</f>
        <v>3.9049006999999997E-2</v>
      </c>
      <c r="BD43">
        <f>IF(Backend!BE70="", "", Backend!BE70)</f>
        <v>0.12703970000000001</v>
      </c>
      <c r="BE43">
        <f>IF(Backend!BF70="", "", Backend!BF70)</f>
        <v>0.20100821999999999</v>
      </c>
      <c r="BF43">
        <f>IF(Backend!BG70="", "", Backend!BG70)</f>
        <v>3.6682352000000001E-2</v>
      </c>
      <c r="BG43">
        <f>IF(Backend!BH70="", "", Backend!BH70)</f>
        <v>6.2715456000000003E-2</v>
      </c>
      <c r="BH43">
        <f>IF(Backend!BI70="", "", Backend!BI70)</f>
        <v>7.559594E-2</v>
      </c>
      <c r="BI43" t="str">
        <f>IF(Backend!BJ70="", "", Backend!BJ70)</f>
        <v/>
      </c>
      <c r="BJ43" t="str">
        <f>IF(Backend!BK70="", "", Backend!BK70)</f>
        <v/>
      </c>
      <c r="BK43" t="str">
        <f>IF(Backend!BL70="", "", Backend!BL70)</f>
        <v/>
      </c>
      <c r="BL43" t="str">
        <f>IF(Backend!BM70="", "", Backend!BM70)</f>
        <v/>
      </c>
      <c r="BM43" t="str">
        <f>IF(Backend!BN70="", "", Backend!BN70)</f>
        <v/>
      </c>
      <c r="BN43" t="str">
        <f>IF(Backend!BO70="", "", Backend!BO70)</f>
        <v/>
      </c>
      <c r="BO43" t="str">
        <f>IF(Backend!BP70="", "", Backend!BP70)</f>
        <v/>
      </c>
      <c r="BP43" t="str">
        <f>IF(Backend!BQ70="", "", Backend!BQ70)</f>
        <v/>
      </c>
      <c r="BQ43" t="str">
        <f>IF(Backend!BR70="", "", Backend!BR70)</f>
        <v/>
      </c>
      <c r="BR43" t="str">
        <f>IF(Backend!BS70="", "", Backend!BS70)</f>
        <v/>
      </c>
      <c r="BS43" t="str">
        <f>IF(Backend!BT70="", "", Backend!BT70)</f>
        <v/>
      </c>
      <c r="BT43" t="str">
        <f>IF(Backend!BU70="", "", Backend!BU70)</f>
        <v/>
      </c>
      <c r="BU43" t="str">
        <f>IF(Backend!BV70="", "", Backend!BV70)</f>
        <v/>
      </c>
      <c r="BV43" t="str">
        <f>IF(Backend!BW70="", "", Backend!BW70)</f>
        <v/>
      </c>
      <c r="BW43" t="str">
        <f>IF(Backend!BX70="", "", Backend!BX70)</f>
        <v/>
      </c>
      <c r="BX43" t="str">
        <f>IF(Backend!BY70="", "", Backend!BY70)</f>
        <v/>
      </c>
      <c r="BY43" t="str">
        <f>IF(Backend!BZ70="", "", Backend!BZ70)</f>
        <v/>
      </c>
      <c r="BZ43" t="str">
        <f>IF(Backend!CA70="", "", Backend!CA70)</f>
        <v/>
      </c>
      <c r="CA43" t="str">
        <f>IF(Backend!CB70="", "", Backend!CB70)</f>
        <v/>
      </c>
      <c r="CB43" t="str">
        <f>IF(Backend!CC70="", "", Backend!CC70)</f>
        <v/>
      </c>
      <c r="CC43" t="str">
        <f>IF(Backend!CD70="", "", Backend!CD70)</f>
        <v/>
      </c>
    </row>
    <row r="44" spans="1:81" x14ac:dyDescent="0.25">
      <c r="A44" s="4" t="str">
        <f>IF(Backend!A71="", "", Backend!A71)</f>
        <v>Sally Beauty Holdings, Inc.</v>
      </c>
      <c r="B44">
        <f>IF(Backend!C71="", "", Backend!C71)</f>
        <v>0.20429348999999999</v>
      </c>
      <c r="C44">
        <f>IF(Backend!D71="", "", Backend!D71)</f>
        <v>0.13028964000000001</v>
      </c>
      <c r="D44">
        <f>IF(Backend!E71="", "", Backend!E71)</f>
        <v>3.0167788000000001E-2</v>
      </c>
      <c r="E44">
        <f>IF(Backend!F71="", "", Backend!F71)</f>
        <v>0.42271777999999999</v>
      </c>
      <c r="F44">
        <f>IF(Backend!G71="", "", Backend!G71)</f>
        <v>0.16033295</v>
      </c>
      <c r="G44">
        <f>IF(Backend!H71="", "", Backend!H71)</f>
        <v>4.1232754000000003E-2</v>
      </c>
      <c r="H44">
        <f>IF(Backend!I71="", "", Backend!I71)</f>
        <v>0.24434971999999999</v>
      </c>
      <c r="I44">
        <f>IF(Backend!J71="", "", Backend!J71)</f>
        <v>0.108912565</v>
      </c>
      <c r="J44">
        <f>IF(Backend!K71="", "", Backend!K71)</f>
        <v>0.16404073</v>
      </c>
      <c r="K44">
        <f>IF(Backend!L71="", "", Backend!L71)</f>
        <v>0.13052484</v>
      </c>
      <c r="L44">
        <f>IF(Backend!M71="", "", Backend!M71)</f>
        <v>0.2150763</v>
      </c>
      <c r="M44">
        <f>IF(Backend!N71="", "", Backend!N71)</f>
        <v>7.9230159999999994E-2</v>
      </c>
      <c r="N44">
        <f>IF(Backend!O71="", "", Backend!O71)</f>
        <v>0.22152151</v>
      </c>
      <c r="O44">
        <f>IF(Backend!P71="", "", Backend!P71)</f>
        <v>7.3580080000000006E-2</v>
      </c>
      <c r="P44">
        <f>IF(Backend!Q71="", "", Backend!Q71)</f>
        <v>0.24914658000000001</v>
      </c>
      <c r="Q44">
        <f>IF(Backend!R71="", "", Backend!R71)</f>
        <v>0.14755504999999999</v>
      </c>
      <c r="R44">
        <f>IF(Backend!S71="", "", Backend!S71)</f>
        <v>2.4431892E-2</v>
      </c>
      <c r="S44">
        <f>IF(Backend!T71="", "", Backend!T71)</f>
        <v>2.8448040000000001E-2</v>
      </c>
      <c r="T44">
        <f>IF(Backend!U71="", "", Backend!U71)</f>
        <v>0.25650119999999998</v>
      </c>
      <c r="U44">
        <f>IF(Backend!V71="", "", Backend!V71)</f>
        <v>8.3851665000000006E-2</v>
      </c>
      <c r="V44">
        <f>IF(Backend!W71="", "", Backend!W71)</f>
        <v>0.34963104</v>
      </c>
      <c r="W44">
        <f>IF(Backend!X71="", "", Backend!X71)</f>
        <v>0.25470524999999999</v>
      </c>
      <c r="X44">
        <f>IF(Backend!Y71="", "", Backend!Y71)</f>
        <v>8.9794029999999997E-2</v>
      </c>
      <c r="Y44">
        <f>IF(Backend!Z71="", "", Backend!Z71)</f>
        <v>0.24066509999999999</v>
      </c>
      <c r="Z44">
        <f>IF(Backend!AA71="", "", Backend!AA71)</f>
        <v>6.1647970000000003E-2</v>
      </c>
      <c r="AA44">
        <f>IF(Backend!AB71="", "", Backend!AB71)</f>
        <v>0.17376053</v>
      </c>
      <c r="AB44">
        <f>IF(Backend!AC71="", "", Backend!AC71)</f>
        <v>0.47005910000000001</v>
      </c>
      <c r="AC44">
        <f>IF(Backend!AD71="", "", Backend!AD71)</f>
        <v>0.39174895999999998</v>
      </c>
      <c r="AD44">
        <f>IF(Backend!AE71="", "", Backend!AE71)</f>
        <v>0.46607043999999997</v>
      </c>
      <c r="AE44">
        <f>IF(Backend!AF71="", "", Backend!AF71)</f>
        <v>0.4301372</v>
      </c>
      <c r="AF44">
        <f>IF(Backend!AG71="", "", Backend!AG71)</f>
        <v>6.4117370000000007E-2</v>
      </c>
      <c r="AG44">
        <f>IF(Backend!AH71="", "", Backend!AH71)</f>
        <v>0.46738172</v>
      </c>
      <c r="AH44">
        <f>IF(Backend!AI71="", "", Backend!AI71)</f>
        <v>0.29427340000000002</v>
      </c>
      <c r="AI44">
        <f>IF(Backend!AJ71="", "", Backend!AJ71)</f>
        <v>0.19535095999999999</v>
      </c>
      <c r="AJ44">
        <f>IF(Backend!AK71="", "", Backend!AK71)</f>
        <v>3.3298858000000001E-2</v>
      </c>
      <c r="AK44">
        <f>IF(Backend!AL71="", "", Backend!AL71)</f>
        <v>6.1652011999999999E-2</v>
      </c>
      <c r="AL44">
        <f>IF(Backend!AM71="", "", Backend!AM71)</f>
        <v>0.14236260000000001</v>
      </c>
      <c r="AM44">
        <f>IF(Backend!AN71="", "", Backend!AN71)</f>
        <v>0.19784914000000001</v>
      </c>
      <c r="AN44">
        <f>IF(Backend!AO71="", "", Backend!AO71)</f>
        <v>0.15660578</v>
      </c>
      <c r="AO44">
        <f>IF(Backend!AP71="", "", Backend!AP71)</f>
        <v>7.2054660000000006E-2</v>
      </c>
      <c r="AP44">
        <f>IF(Backend!AQ71="", "", Backend!AQ71)</f>
        <v>1</v>
      </c>
      <c r="AQ44">
        <f>IF(Backend!AR71="", "", Backend!AR71)</f>
        <v>6.0433473000000001E-2</v>
      </c>
      <c r="AR44">
        <f>IF(Backend!AS71="", "", Backend!AS71)</f>
        <v>9.2222050000000007E-3</v>
      </c>
      <c r="AS44">
        <f>IF(Backend!AT71="", "", Backend!AT71)</f>
        <v>0.12837151999999999</v>
      </c>
      <c r="AT44">
        <f>IF(Backend!AU71="", "", Backend!AU71)</f>
        <v>9.6068169999999994E-2</v>
      </c>
      <c r="AU44">
        <f>IF(Backend!AV71="", "", Backend!AV71)</f>
        <v>0.20725445000000001</v>
      </c>
      <c r="AV44">
        <f>IF(Backend!AW71="", "", Backend!AW71)</f>
        <v>0.19434464000000001</v>
      </c>
      <c r="AW44">
        <f>IF(Backend!AX71="", "", Backend!AX71)</f>
        <v>0.48249692</v>
      </c>
      <c r="AX44">
        <f>IF(Backend!AY71="", "", Backend!AY71)</f>
        <v>0.24160345</v>
      </c>
      <c r="AY44">
        <f>IF(Backend!AZ71="", "", Backend!AZ71)</f>
        <v>0.25858006</v>
      </c>
      <c r="AZ44">
        <f>IF(Backend!BA71="", "", Backend!BA71)</f>
        <v>3.4308116999999999E-2</v>
      </c>
      <c r="BA44">
        <f>IF(Backend!BB71="", "", Backend!BB71)</f>
        <v>5.8085146999999997E-2</v>
      </c>
      <c r="BB44">
        <f>IF(Backend!BC71="", "", Backend!BC71)</f>
        <v>0.14517134000000001</v>
      </c>
      <c r="BC44">
        <f>IF(Backend!BD71="", "", Backend!BD71)</f>
        <v>0.29491139999999999</v>
      </c>
      <c r="BD44">
        <f>IF(Backend!BE71="", "", Backend!BE71)</f>
        <v>0.14905256</v>
      </c>
      <c r="BE44">
        <f>IF(Backend!BF71="", "", Backend!BF71)</f>
        <v>0.20820068</v>
      </c>
      <c r="BF44">
        <f>IF(Backend!BG71="", "", Backend!BG71)</f>
        <v>0.27147692000000001</v>
      </c>
      <c r="BG44">
        <f>IF(Backend!BH71="", "", Backend!BH71)</f>
        <v>0.31411699999999998</v>
      </c>
      <c r="BH44">
        <f>IF(Backend!BI71="", "", Backend!BI71)</f>
        <v>0.33075599999999999</v>
      </c>
      <c r="BI44" t="str">
        <f>IF(Backend!BJ71="", "", Backend!BJ71)</f>
        <v/>
      </c>
      <c r="BJ44" t="str">
        <f>IF(Backend!BK71="", "", Backend!BK71)</f>
        <v/>
      </c>
      <c r="BK44" t="str">
        <f>IF(Backend!BL71="", "", Backend!BL71)</f>
        <v/>
      </c>
      <c r="BL44" t="str">
        <f>IF(Backend!BM71="", "", Backend!BM71)</f>
        <v/>
      </c>
      <c r="BM44" t="str">
        <f>IF(Backend!BN71="", "", Backend!BN71)</f>
        <v/>
      </c>
      <c r="BN44" t="str">
        <f>IF(Backend!BO71="", "", Backend!BO71)</f>
        <v/>
      </c>
      <c r="BO44" t="str">
        <f>IF(Backend!BP71="", "", Backend!BP71)</f>
        <v/>
      </c>
      <c r="BP44" t="str">
        <f>IF(Backend!BQ71="", "", Backend!BQ71)</f>
        <v/>
      </c>
      <c r="BQ44" t="str">
        <f>IF(Backend!BR71="", "", Backend!BR71)</f>
        <v/>
      </c>
      <c r="BR44" t="str">
        <f>IF(Backend!BS71="", "", Backend!BS71)</f>
        <v/>
      </c>
      <c r="BS44" t="str">
        <f>IF(Backend!BT71="", "", Backend!BT71)</f>
        <v/>
      </c>
      <c r="BT44" t="str">
        <f>IF(Backend!BU71="", "", Backend!BU71)</f>
        <v/>
      </c>
      <c r="BU44" t="str">
        <f>IF(Backend!BV71="", "", Backend!BV71)</f>
        <v/>
      </c>
      <c r="BV44" t="str">
        <f>IF(Backend!BW71="", "", Backend!BW71)</f>
        <v/>
      </c>
      <c r="BW44" t="str">
        <f>IF(Backend!BX71="", "", Backend!BX71)</f>
        <v/>
      </c>
      <c r="BX44" t="str">
        <f>IF(Backend!BY71="", "", Backend!BY71)</f>
        <v/>
      </c>
      <c r="BY44" t="str">
        <f>IF(Backend!BZ71="", "", Backend!BZ71)</f>
        <v/>
      </c>
      <c r="BZ44" t="str">
        <f>IF(Backend!CA71="", "", Backend!CA71)</f>
        <v/>
      </c>
      <c r="CA44" t="str">
        <f>IF(Backend!CB71="", "", Backend!CB71)</f>
        <v/>
      </c>
      <c r="CB44" t="str">
        <f>IF(Backend!CC71="", "", Backend!CC71)</f>
        <v/>
      </c>
      <c r="CC44" t="str">
        <f>IF(Backend!CD71="", "", Backend!CD71)</f>
        <v/>
      </c>
    </row>
    <row r="45" spans="1:81" x14ac:dyDescent="0.25">
      <c r="A45" s="4" t="str">
        <f>IF(Backend!A72="", "", Backend!A72)</f>
        <v>Samsung Electronics Co Ltd Pfd  Non-Voting</v>
      </c>
      <c r="B45">
        <f>IF(Backend!C72="", "", Backend!C72)</f>
        <v>0.19614366999999999</v>
      </c>
      <c r="C45">
        <f>IF(Backend!D72="", "", Backend!D72)</f>
        <v>0.18667980000000001</v>
      </c>
      <c r="D45">
        <f>IF(Backend!E72="", "", Backend!E72)</f>
        <v>0.22901434000000001</v>
      </c>
      <c r="E45">
        <f>IF(Backend!F72="", "", Backend!F72)</f>
        <v>7.5566510000000003E-2</v>
      </c>
      <c r="F45">
        <f>IF(Backend!G72="", "", Backend!G72)</f>
        <v>0.112823956</v>
      </c>
      <c r="G45">
        <f>IF(Backend!H72="", "", Backend!H72)</f>
        <v>0.29266569999999997</v>
      </c>
      <c r="H45">
        <f>IF(Backend!I72="", "", Backend!I72)</f>
        <v>0.16238823999999999</v>
      </c>
      <c r="I45">
        <f>IF(Backend!J72="", "", Backend!J72)</f>
        <v>0.12764494000000001</v>
      </c>
      <c r="J45">
        <f>IF(Backend!K72="", "", Backend!K72)</f>
        <v>-4.6675573999999997E-2</v>
      </c>
      <c r="K45">
        <f>IF(Backend!L72="", "", Backend!L72)</f>
        <v>0.16880907000000001</v>
      </c>
      <c r="L45">
        <f>IF(Backend!M72="", "", Backend!M72)</f>
        <v>0.12927930000000001</v>
      </c>
      <c r="M45">
        <f>IF(Backend!N72="", "", Backend!N72)</f>
        <v>8.4445580000000006E-2</v>
      </c>
      <c r="N45">
        <f>IF(Backend!O72="", "", Backend!O72)</f>
        <v>0.16376218000000001</v>
      </c>
      <c r="O45">
        <f>IF(Backend!P72="", "", Backend!P72)</f>
        <v>0.16601305</v>
      </c>
      <c r="P45">
        <f>IF(Backend!Q72="", "", Backend!Q72)</f>
        <v>0.18417430000000001</v>
      </c>
      <c r="Q45">
        <f>IF(Backend!R72="", "", Backend!R72)</f>
        <v>0.17974473999999999</v>
      </c>
      <c r="R45">
        <f>IF(Backend!S72="", "", Backend!S72)</f>
        <v>9.9813743999999996E-2</v>
      </c>
      <c r="S45">
        <f>IF(Backend!T72="", "", Backend!T72)</f>
        <v>0.13392947999999999</v>
      </c>
      <c r="T45">
        <f>IF(Backend!U72="", "", Backend!U72)</f>
        <v>6.0176781999999998E-2</v>
      </c>
      <c r="U45">
        <f>IF(Backend!V72="", "", Backend!V72)</f>
        <v>0.39042529999999998</v>
      </c>
      <c r="V45">
        <f>IF(Backend!W72="", "", Backend!W72)</f>
        <v>0.10895331</v>
      </c>
      <c r="W45">
        <f>IF(Backend!X72="", "", Backend!X72)</f>
        <v>7.1937039999999994E-2</v>
      </c>
      <c r="X45">
        <f>IF(Backend!Y72="", "", Backend!Y72)</f>
        <v>0.42402440000000002</v>
      </c>
      <c r="Y45">
        <f>IF(Backend!Z72="", "", Backend!Z72)</f>
        <v>0.14515310000000001</v>
      </c>
      <c r="Z45">
        <f>IF(Backend!AA72="", "", Backend!AA72)</f>
        <v>7.10842E-2</v>
      </c>
      <c r="AA45">
        <f>IF(Backend!AB72="", "", Backend!AB72)</f>
        <v>-2.1485904E-2</v>
      </c>
      <c r="AB45">
        <f>IF(Backend!AC72="", "", Backend!AC72)</f>
        <v>7.8522204999999998E-2</v>
      </c>
      <c r="AC45">
        <f>IF(Backend!AD72="", "", Backend!AD72)</f>
        <v>7.3910519999999993E-2</v>
      </c>
      <c r="AD45">
        <f>IF(Backend!AE72="", "", Backend!AE72)</f>
        <v>6.9894529999999996E-2</v>
      </c>
      <c r="AE45">
        <f>IF(Backend!AF72="", "", Backend!AF72)</f>
        <v>7.941347E-2</v>
      </c>
      <c r="AF45">
        <f>IF(Backend!AG72="", "", Backend!AG72)</f>
        <v>0.15083617999999999</v>
      </c>
      <c r="AG45">
        <f>IF(Backend!AH72="", "", Backend!AH72)</f>
        <v>6.3897445999999997E-2</v>
      </c>
      <c r="AH45">
        <f>IF(Backend!AI72="", "", Backend!AI72)</f>
        <v>-1.1254797E-2</v>
      </c>
      <c r="AI45">
        <f>IF(Backend!AJ72="", "", Backend!AJ72)</f>
        <v>0.18072715</v>
      </c>
      <c r="AJ45">
        <f>IF(Backend!AK72="", "", Backend!AK72)</f>
        <v>0.23621112</v>
      </c>
      <c r="AK45">
        <f>IF(Backend!AL72="", "", Backend!AL72)</f>
        <v>0.17539982000000001</v>
      </c>
      <c r="AL45">
        <f>IF(Backend!AM72="", "", Backend!AM72)</f>
        <v>-2.7349078999999998E-2</v>
      </c>
      <c r="AM45">
        <f>IF(Backend!AN72="", "", Backend!AN72)</f>
        <v>0.13221008000000001</v>
      </c>
      <c r="AN45">
        <f>IF(Backend!AO72="", "", Backend!AO72)</f>
        <v>0.19395602000000001</v>
      </c>
      <c r="AO45">
        <f>IF(Backend!AP72="", "", Backend!AP72)</f>
        <v>0.40416467</v>
      </c>
      <c r="AP45">
        <f>IF(Backend!AQ72="", "", Backend!AQ72)</f>
        <v>6.0433473000000001E-2</v>
      </c>
      <c r="AQ45">
        <f>IF(Backend!AR72="", "", Backend!AR72)</f>
        <v>1</v>
      </c>
      <c r="AR45">
        <f>IF(Backend!AS72="", "", Backend!AS72)</f>
        <v>5.3210436999999999E-2</v>
      </c>
      <c r="AS45">
        <f>IF(Backend!AT72="", "", Backend!AT72)</f>
        <v>8.9567190000000005E-2</v>
      </c>
      <c r="AT45">
        <f>IF(Backend!AU72="", "", Backend!AU72)</f>
        <v>0.44248789999999999</v>
      </c>
      <c r="AU45">
        <f>IF(Backend!AV72="", "", Backend!AV72)</f>
        <v>0.18309454999999999</v>
      </c>
      <c r="AV45">
        <f>IF(Backend!AW72="", "", Backend!AW72)</f>
        <v>0.18350884000000001</v>
      </c>
      <c r="AW45">
        <f>IF(Backend!AX72="", "", Backend!AX72)</f>
        <v>6.2310375000000001E-2</v>
      </c>
      <c r="AX45">
        <f>IF(Backend!AY72="", "", Backend!AY72)</f>
        <v>0.14507529999999999</v>
      </c>
      <c r="AY45">
        <f>IF(Backend!AZ72="", "", Backend!AZ72)</f>
        <v>7.1035213999999999E-2</v>
      </c>
      <c r="AZ45">
        <f>IF(Backend!BA72="", "", Backend!BA72)</f>
        <v>0.23048382000000001</v>
      </c>
      <c r="BA45">
        <f>IF(Backend!BB72="", "", Backend!BB72)</f>
        <v>0.15745598</v>
      </c>
      <c r="BB45">
        <f>IF(Backend!BC72="", "", Backend!BC72)</f>
        <v>5.0562485999999997E-2</v>
      </c>
      <c r="BC45">
        <f>IF(Backend!BD72="", "", Backend!BD72)</f>
        <v>2.12731E-2</v>
      </c>
      <c r="BD45">
        <f>IF(Backend!BE72="", "", Backend!BE72)</f>
        <v>0.10844933</v>
      </c>
      <c r="BE45">
        <f>IF(Backend!BF72="", "", Backend!BF72)</f>
        <v>0.15700686999999999</v>
      </c>
      <c r="BF45">
        <f>IF(Backend!BG72="", "", Backend!BG72)</f>
        <v>5.0516907E-2</v>
      </c>
      <c r="BG45">
        <f>IF(Backend!BH72="", "", Backend!BH72)</f>
        <v>7.3643829999999993E-2</v>
      </c>
      <c r="BH45">
        <f>IF(Backend!BI72="", "", Backend!BI72)</f>
        <v>6.764423E-2</v>
      </c>
      <c r="BI45" t="str">
        <f>IF(Backend!BJ72="", "", Backend!BJ72)</f>
        <v/>
      </c>
      <c r="BJ45" t="str">
        <f>IF(Backend!BK72="", "", Backend!BK72)</f>
        <v/>
      </c>
      <c r="BK45" t="str">
        <f>IF(Backend!BL72="", "", Backend!BL72)</f>
        <v/>
      </c>
      <c r="BL45" t="str">
        <f>IF(Backend!BM72="", "", Backend!BM72)</f>
        <v/>
      </c>
      <c r="BM45" t="str">
        <f>IF(Backend!BN72="", "", Backend!BN72)</f>
        <v/>
      </c>
      <c r="BN45" t="str">
        <f>IF(Backend!BO72="", "", Backend!BO72)</f>
        <v/>
      </c>
      <c r="BO45" t="str">
        <f>IF(Backend!BP72="", "", Backend!BP72)</f>
        <v/>
      </c>
      <c r="BP45" t="str">
        <f>IF(Backend!BQ72="", "", Backend!BQ72)</f>
        <v/>
      </c>
      <c r="BQ45" t="str">
        <f>IF(Backend!BR72="", "", Backend!BR72)</f>
        <v/>
      </c>
      <c r="BR45" t="str">
        <f>IF(Backend!BS72="", "", Backend!BS72)</f>
        <v/>
      </c>
      <c r="BS45" t="str">
        <f>IF(Backend!BT72="", "", Backend!BT72)</f>
        <v/>
      </c>
      <c r="BT45" t="str">
        <f>IF(Backend!BU72="", "", Backend!BU72)</f>
        <v/>
      </c>
      <c r="BU45" t="str">
        <f>IF(Backend!BV72="", "", Backend!BV72)</f>
        <v/>
      </c>
      <c r="BV45" t="str">
        <f>IF(Backend!BW72="", "", Backend!BW72)</f>
        <v/>
      </c>
      <c r="BW45" t="str">
        <f>IF(Backend!BX72="", "", Backend!BX72)</f>
        <v/>
      </c>
      <c r="BX45" t="str">
        <f>IF(Backend!BY72="", "", Backend!BY72)</f>
        <v/>
      </c>
      <c r="BY45" t="str">
        <f>IF(Backend!BZ72="", "", Backend!BZ72)</f>
        <v/>
      </c>
      <c r="BZ45" t="str">
        <f>IF(Backend!CA72="", "", Backend!CA72)</f>
        <v/>
      </c>
      <c r="CA45" t="str">
        <f>IF(Backend!CB72="", "", Backend!CB72)</f>
        <v/>
      </c>
      <c r="CB45" t="str">
        <f>IF(Backend!CC72="", "", Backend!CC72)</f>
        <v/>
      </c>
      <c r="CC45" t="str">
        <f>IF(Backend!CD72="", "", Backend!CD72)</f>
        <v/>
      </c>
    </row>
    <row r="46" spans="1:81" x14ac:dyDescent="0.25">
      <c r="A46" s="4" t="str">
        <f>IF(Backend!A73="", "", Backend!A73)</f>
        <v>Sanofi SA</v>
      </c>
      <c r="B46">
        <f>IF(Backend!C73="", "", Backend!C73)</f>
        <v>0.24527167999999999</v>
      </c>
      <c r="C46">
        <f>IF(Backend!D73="", "", Backend!D73)</f>
        <v>0.18667169</v>
      </c>
      <c r="D46">
        <f>IF(Backend!E73="", "", Backend!E73)</f>
        <v>4.234715E-2</v>
      </c>
      <c r="E46">
        <f>IF(Backend!F73="", "", Backend!F73)</f>
        <v>5.7855825999999999E-2</v>
      </c>
      <c r="F46">
        <f>IF(Backend!G73="", "", Backend!G73)</f>
        <v>9.1918940000000005E-2</v>
      </c>
      <c r="G46">
        <f>IF(Backend!H73="", "", Backend!H73)</f>
        <v>3.9775115E-2</v>
      </c>
      <c r="H46">
        <f>IF(Backend!I73="", "", Backend!I73)</f>
        <v>0.27407530000000002</v>
      </c>
      <c r="I46">
        <f>IF(Backend!J73="", "", Backend!J73)</f>
        <v>0.39283245999999999</v>
      </c>
      <c r="J46">
        <f>IF(Backend!K73="", "", Backend!K73)</f>
        <v>0.22779896999999999</v>
      </c>
      <c r="K46">
        <f>IF(Backend!L73="", "", Backend!L73)</f>
        <v>0.20029984000000001</v>
      </c>
      <c r="L46">
        <f>IF(Backend!M73="", "", Backend!M73)</f>
        <v>0.21525910000000001</v>
      </c>
      <c r="M46">
        <f>IF(Backend!N73="", "", Backend!N73)</f>
        <v>0.2025082</v>
      </c>
      <c r="N46">
        <f>IF(Backend!O73="", "", Backend!O73)</f>
        <v>0.21122453999999999</v>
      </c>
      <c r="O46">
        <f>IF(Backend!P73="", "", Backend!P73)</f>
        <v>9.7464605999999995E-2</v>
      </c>
      <c r="P46">
        <f>IF(Backend!Q73="", "", Backend!Q73)</f>
        <v>0.22205701</v>
      </c>
      <c r="Q46">
        <f>IF(Backend!R73="", "", Backend!R73)</f>
        <v>0.26178025999999999</v>
      </c>
      <c r="R46">
        <f>IF(Backend!S73="", "", Backend!S73)</f>
        <v>0.55201732999999997</v>
      </c>
      <c r="S46">
        <f>IF(Backend!T73="", "", Backend!T73)</f>
        <v>5.7918690000000002E-2</v>
      </c>
      <c r="T46">
        <f>IF(Backend!U73="", "", Backend!U73)</f>
        <v>2.9192177999999999E-2</v>
      </c>
      <c r="U46">
        <f>IF(Backend!V73="", "", Backend!V73)</f>
        <v>1.02453735E-2</v>
      </c>
      <c r="V46">
        <f>IF(Backend!W73="", "", Backend!W73)</f>
        <v>-2.0081667000000001E-2</v>
      </c>
      <c r="W46">
        <f>IF(Backend!X73="", "", Backend!X73)</f>
        <v>-9.7132959999999997E-3</v>
      </c>
      <c r="X46">
        <f>IF(Backend!Y73="", "", Backend!Y73)</f>
        <v>3.6306526999999998E-2</v>
      </c>
      <c r="Y46">
        <f>IF(Backend!Z73="", "", Backend!Z73)</f>
        <v>0.22902842000000001</v>
      </c>
      <c r="Z46">
        <f>IF(Backend!AA73="", "", Backend!AA73)</f>
        <v>0.24785135999999999</v>
      </c>
      <c r="AA46">
        <f>IF(Backend!AB73="", "", Backend!AB73)</f>
        <v>0.17302807000000001</v>
      </c>
      <c r="AB46">
        <f>IF(Backend!AC73="", "", Backend!AC73)</f>
        <v>8.775471E-2</v>
      </c>
      <c r="AC46">
        <f>IF(Backend!AD73="", "", Backend!AD73)</f>
        <v>5.1769305000000002E-2</v>
      </c>
      <c r="AD46">
        <f>IF(Backend!AE73="", "", Backend!AE73)</f>
        <v>5.48475E-3</v>
      </c>
      <c r="AE46">
        <f>IF(Backend!AF73="", "", Backend!AF73)</f>
        <v>0.10830944000000001</v>
      </c>
      <c r="AF46">
        <f>IF(Backend!AG73="", "", Backend!AG73)</f>
        <v>8.2726569999999999E-2</v>
      </c>
      <c r="AG46">
        <f>IF(Backend!AH73="", "", Backend!AH73)</f>
        <v>5.726672E-2</v>
      </c>
      <c r="AH46">
        <f>IF(Backend!AI73="", "", Backend!AI73)</f>
        <v>0.11822828000000001</v>
      </c>
      <c r="AI46">
        <f>IF(Backend!AJ73="", "", Backend!AJ73)</f>
        <v>0.26411316000000001</v>
      </c>
      <c r="AJ46">
        <f>IF(Backend!AK73="", "", Backend!AK73)</f>
        <v>6.0302324999999997E-2</v>
      </c>
      <c r="AK46">
        <f>IF(Backend!AL73="", "", Backend!AL73)</f>
        <v>4.8566329999999998E-2</v>
      </c>
      <c r="AL46">
        <f>IF(Backend!AM73="", "", Backend!AM73)</f>
        <v>0.24180070000000001</v>
      </c>
      <c r="AM46">
        <f>IF(Backend!AN73="", "", Backend!AN73)</f>
        <v>0.17100249000000001</v>
      </c>
      <c r="AN46">
        <f>IF(Backend!AO73="", "", Backend!AO73)</f>
        <v>0.18878391</v>
      </c>
      <c r="AO46">
        <f>IF(Backend!AP73="", "", Backend!AP73)</f>
        <v>0.10251291999999999</v>
      </c>
      <c r="AP46">
        <f>IF(Backend!AQ73="", "", Backend!AQ73)</f>
        <v>9.2222050000000007E-3</v>
      </c>
      <c r="AQ46">
        <f>IF(Backend!AR73="", "", Backend!AR73)</f>
        <v>5.3210436999999999E-2</v>
      </c>
      <c r="AR46">
        <f>IF(Backend!AS73="", "", Backend!AS73)</f>
        <v>1</v>
      </c>
      <c r="AS46">
        <f>IF(Backend!AT73="", "", Backend!AT73)</f>
        <v>0.17922035</v>
      </c>
      <c r="AT46">
        <f>IF(Backend!AU73="", "", Backend!AU73)</f>
        <v>6.1506390000000001E-2</v>
      </c>
      <c r="AU46">
        <f>IF(Backend!AV73="", "", Backend!AV73)</f>
        <v>0.23631050000000001</v>
      </c>
      <c r="AV46">
        <f>IF(Backend!AW73="", "", Backend!AW73)</f>
        <v>0.21441927999999999</v>
      </c>
      <c r="AW46">
        <f>IF(Backend!AX73="", "", Backend!AX73)</f>
        <v>3.5175167E-2</v>
      </c>
      <c r="AX46">
        <f>IF(Backend!AY73="", "", Backend!AY73)</f>
        <v>0.19916448</v>
      </c>
      <c r="AY46">
        <f>IF(Backend!AZ73="", "", Backend!AZ73)</f>
        <v>8.4560179999999999E-2</v>
      </c>
      <c r="AZ46">
        <f>IF(Backend!BA73="", "", Backend!BA73)</f>
        <v>6.1362470000000002E-2</v>
      </c>
      <c r="BA46">
        <f>IF(Backend!BB73="", "", Backend!BB73)</f>
        <v>0.17028552</v>
      </c>
      <c r="BB46">
        <f>IF(Backend!BC73="", "", Backend!BC73)</f>
        <v>0.14068896</v>
      </c>
      <c r="BC46">
        <f>IF(Backend!BD73="", "", Backend!BD73)</f>
        <v>0.16873378</v>
      </c>
      <c r="BD46">
        <f>IF(Backend!BE73="", "", Backend!BE73)</f>
        <v>0.25075078000000001</v>
      </c>
      <c r="BE46">
        <f>IF(Backend!BF73="", "", Backend!BF73)</f>
        <v>0.24245633</v>
      </c>
      <c r="BF46">
        <f>IF(Backend!BG73="", "", Backend!BG73)</f>
        <v>6.4276844E-2</v>
      </c>
      <c r="BG46">
        <f>IF(Backend!BH73="", "", Backend!BH73)</f>
        <v>0.13734451</v>
      </c>
      <c r="BH46">
        <f>IF(Backend!BI73="", "", Backend!BI73)</f>
        <v>2.1870403E-2</v>
      </c>
      <c r="BI46" t="str">
        <f>IF(Backend!BJ73="", "", Backend!BJ73)</f>
        <v/>
      </c>
      <c r="BJ46" t="str">
        <f>IF(Backend!BK73="", "", Backend!BK73)</f>
        <v/>
      </c>
      <c r="BK46" t="str">
        <f>IF(Backend!BL73="", "", Backend!BL73)</f>
        <v/>
      </c>
      <c r="BL46" t="str">
        <f>IF(Backend!BM73="", "", Backend!BM73)</f>
        <v/>
      </c>
      <c r="BM46" t="str">
        <f>IF(Backend!BN73="", "", Backend!BN73)</f>
        <v/>
      </c>
      <c r="BN46" t="str">
        <f>IF(Backend!BO73="", "", Backend!BO73)</f>
        <v/>
      </c>
      <c r="BO46" t="str">
        <f>IF(Backend!BP73="", "", Backend!BP73)</f>
        <v/>
      </c>
      <c r="BP46" t="str">
        <f>IF(Backend!BQ73="", "", Backend!BQ73)</f>
        <v/>
      </c>
      <c r="BQ46" t="str">
        <f>IF(Backend!BR73="", "", Backend!BR73)</f>
        <v/>
      </c>
      <c r="BR46" t="str">
        <f>IF(Backend!BS73="", "", Backend!BS73)</f>
        <v/>
      </c>
      <c r="BS46" t="str">
        <f>IF(Backend!BT73="", "", Backend!BT73)</f>
        <v/>
      </c>
      <c r="BT46" t="str">
        <f>IF(Backend!BU73="", "", Backend!BU73)</f>
        <v/>
      </c>
      <c r="BU46" t="str">
        <f>IF(Backend!BV73="", "", Backend!BV73)</f>
        <v/>
      </c>
      <c r="BV46" t="str">
        <f>IF(Backend!BW73="", "", Backend!BW73)</f>
        <v/>
      </c>
      <c r="BW46" t="str">
        <f>IF(Backend!BX73="", "", Backend!BX73)</f>
        <v/>
      </c>
      <c r="BX46" t="str">
        <f>IF(Backend!BY73="", "", Backend!BY73)</f>
        <v/>
      </c>
      <c r="BY46" t="str">
        <f>IF(Backend!BZ73="", "", Backend!BZ73)</f>
        <v/>
      </c>
      <c r="BZ46" t="str">
        <f>IF(Backend!CA73="", "", Backend!CA73)</f>
        <v/>
      </c>
      <c r="CA46" t="str">
        <f>IF(Backend!CB73="", "", Backend!CB73)</f>
        <v/>
      </c>
      <c r="CB46" t="str">
        <f>IF(Backend!CC73="", "", Backend!CC73)</f>
        <v/>
      </c>
      <c r="CC46" t="str">
        <f>IF(Backend!CD73="", "", Backend!CD73)</f>
        <v/>
      </c>
    </row>
    <row r="47" spans="1:81" x14ac:dyDescent="0.25">
      <c r="A47" s="4" t="str">
        <f>IF(Backend!A74="", "", Backend!A74)</f>
        <v>SES SA FDR (Class A)</v>
      </c>
      <c r="B47">
        <f>IF(Backend!C74="", "", Backend!C74)</f>
        <v>0.33586640000000001</v>
      </c>
      <c r="C47">
        <f>IF(Backend!D74="", "", Backend!D74)</f>
        <v>0.21183583</v>
      </c>
      <c r="D47">
        <f>IF(Backend!E74="", "", Backend!E74)</f>
        <v>7.3625510000000005E-2</v>
      </c>
      <c r="E47">
        <f>IF(Backend!F74="", "", Backend!F74)</f>
        <v>0.15881817000000001</v>
      </c>
      <c r="F47">
        <f>IF(Backend!G74="", "", Backend!G74)</f>
        <v>0.13496627999999999</v>
      </c>
      <c r="G47">
        <f>IF(Backend!H74="", "", Backend!H74)</f>
        <v>6.1425140000000003E-2</v>
      </c>
      <c r="H47">
        <f>IF(Backend!I74="", "", Backend!I74)</f>
        <v>0.28872692999999999</v>
      </c>
      <c r="I47">
        <f>IF(Backend!J74="", "", Backend!J74)</f>
        <v>0.30958790000000003</v>
      </c>
      <c r="J47">
        <f>IF(Backend!K74="", "", Backend!K74)</f>
        <v>5.0166782E-2</v>
      </c>
      <c r="K47">
        <f>IF(Backend!L74="", "", Backend!L74)</f>
        <v>0.26795340000000001</v>
      </c>
      <c r="L47">
        <f>IF(Backend!M74="", "", Backend!M74)</f>
        <v>0.20312511999999999</v>
      </c>
      <c r="M47">
        <f>IF(Backend!N74="", "", Backend!N74)</f>
        <v>0.23004958</v>
      </c>
      <c r="N47">
        <f>IF(Backend!O74="", "", Backend!O74)</f>
        <v>0.26820095999999999</v>
      </c>
      <c r="O47">
        <f>IF(Backend!P74="", "", Backend!P74)</f>
        <v>0.12775573000000001</v>
      </c>
      <c r="P47">
        <f>IF(Backend!Q74="", "", Backend!Q74)</f>
        <v>0.23860086999999999</v>
      </c>
      <c r="Q47">
        <f>IF(Backend!R74="", "", Backend!R74)</f>
        <v>0.25991940000000002</v>
      </c>
      <c r="R47">
        <f>IF(Backend!S74="", "", Backend!S74)</f>
        <v>0.19412299999999999</v>
      </c>
      <c r="S47">
        <f>IF(Backend!T74="", "", Backend!T74)</f>
        <v>0.11933439999999999</v>
      </c>
      <c r="T47">
        <f>IF(Backend!U74="", "", Backend!U74)</f>
        <v>0.115883216</v>
      </c>
      <c r="U47">
        <f>IF(Backend!V74="", "", Backend!V74)</f>
        <v>5.0219729999999997E-2</v>
      </c>
      <c r="V47">
        <f>IF(Backend!W74="", "", Backend!W74)</f>
        <v>9.9754499999999996E-2</v>
      </c>
      <c r="W47">
        <f>IF(Backend!X74="", "", Backend!X74)</f>
        <v>5.6328967000000001E-2</v>
      </c>
      <c r="X47">
        <f>IF(Backend!Y74="", "", Backend!Y74)</f>
        <v>7.6327294000000004E-2</v>
      </c>
      <c r="Y47">
        <f>IF(Backend!Z74="", "", Backend!Z74)</f>
        <v>0.24088739000000001</v>
      </c>
      <c r="Z47">
        <f>IF(Backend!AA74="", "", Backend!AA74)</f>
        <v>0.20232417999999999</v>
      </c>
      <c r="AA47">
        <f>IF(Backend!AB74="", "", Backend!AB74)</f>
        <v>3.4679032999999998E-2</v>
      </c>
      <c r="AB47">
        <f>IF(Backend!AC74="", "", Backend!AC74)</f>
        <v>0.17952451</v>
      </c>
      <c r="AC47">
        <f>IF(Backend!AD74="", "", Backend!AD74)</f>
        <v>0.14110039999999999</v>
      </c>
      <c r="AD47">
        <f>IF(Backend!AE74="", "", Backend!AE74)</f>
        <v>6.7850569999999999E-2</v>
      </c>
      <c r="AE47">
        <f>IF(Backend!AF74="", "", Backend!AF74)</f>
        <v>0.12936945</v>
      </c>
      <c r="AF47">
        <f>IF(Backend!AG74="", "", Backend!AG74)</f>
        <v>7.4747690000000006E-2</v>
      </c>
      <c r="AG47">
        <f>IF(Backend!AH74="", "", Backend!AH74)</f>
        <v>0.14796448000000001</v>
      </c>
      <c r="AH47">
        <f>IF(Backend!AI74="", "", Backend!AI74)</f>
        <v>0.114879444</v>
      </c>
      <c r="AI47">
        <f>IF(Backend!AJ74="", "", Backend!AJ74)</f>
        <v>0.26467322999999998</v>
      </c>
      <c r="AJ47">
        <f>IF(Backend!AK74="", "", Backend!AK74)</f>
        <v>9.5654649999999994E-2</v>
      </c>
      <c r="AK47">
        <f>IF(Backend!AL74="", "", Backend!AL74)</f>
        <v>6.9541654999999994E-2</v>
      </c>
      <c r="AL47">
        <f>IF(Backend!AM74="", "", Backend!AM74)</f>
        <v>3.0286560000000001E-2</v>
      </c>
      <c r="AM47">
        <f>IF(Backend!AN74="", "", Backend!AN74)</f>
        <v>0.19718954999999999</v>
      </c>
      <c r="AN47">
        <f>IF(Backend!AO74="", "", Backend!AO74)</f>
        <v>0.22747629999999999</v>
      </c>
      <c r="AO47">
        <f>IF(Backend!AP74="", "", Backend!AP74)</f>
        <v>0.11826781</v>
      </c>
      <c r="AP47">
        <f>IF(Backend!AQ74="", "", Backend!AQ74)</f>
        <v>0.12837151999999999</v>
      </c>
      <c r="AQ47">
        <f>IF(Backend!AR74="", "", Backend!AR74)</f>
        <v>8.9567190000000005E-2</v>
      </c>
      <c r="AR47">
        <f>IF(Backend!AS74="", "", Backend!AS74)</f>
        <v>0.17922035</v>
      </c>
      <c r="AS47">
        <f>IF(Backend!AT74="", "", Backend!AT74)</f>
        <v>1</v>
      </c>
      <c r="AT47">
        <f>IF(Backend!AU74="", "", Backend!AU74)</f>
        <v>9.6725054000000005E-2</v>
      </c>
      <c r="AU47">
        <f>IF(Backend!AV74="", "", Backend!AV74)</f>
        <v>0.32718187999999998</v>
      </c>
      <c r="AV47">
        <f>IF(Backend!AW74="", "", Backend!AW74)</f>
        <v>0.22937331999999999</v>
      </c>
      <c r="AW47">
        <f>IF(Backend!AX74="", "", Backend!AX74)</f>
        <v>0.1145053</v>
      </c>
      <c r="AX47">
        <f>IF(Backend!AY74="", "", Backend!AY74)</f>
        <v>0.22724968000000001</v>
      </c>
      <c r="AY47">
        <f>IF(Backend!AZ74="", "", Backend!AZ74)</f>
        <v>0.15463916999999999</v>
      </c>
      <c r="AZ47">
        <f>IF(Backend!BA74="", "", Backend!BA74)</f>
        <v>0.12707856000000001</v>
      </c>
      <c r="BA47">
        <f>IF(Backend!BB74="", "", Backend!BB74)</f>
        <v>0.14826929999999999</v>
      </c>
      <c r="BB47">
        <f>IF(Backend!BC74="", "", Backend!BC74)</f>
        <v>9.4415379999999993E-2</v>
      </c>
      <c r="BC47">
        <f>IF(Backend!BD74="", "", Backend!BD74)</f>
        <v>8.3186019999999999E-2</v>
      </c>
      <c r="BD47">
        <f>IF(Backend!BE74="", "", Backend!BE74)</f>
        <v>0.30099964000000001</v>
      </c>
      <c r="BE47">
        <f>IF(Backend!BF74="", "", Backend!BF74)</f>
        <v>0.27029421999999997</v>
      </c>
      <c r="BF47">
        <f>IF(Backend!BG74="", "", Backend!BG74)</f>
        <v>6.6426509999999994E-2</v>
      </c>
      <c r="BG47">
        <f>IF(Backend!BH74="", "", Backend!BH74)</f>
        <v>0.12082513</v>
      </c>
      <c r="BH47">
        <f>IF(Backend!BI74="", "", Backend!BI74)</f>
        <v>0.14964731000000001</v>
      </c>
      <c r="BI47" t="str">
        <f>IF(Backend!BJ74="", "", Backend!BJ74)</f>
        <v/>
      </c>
      <c r="BJ47" t="str">
        <f>IF(Backend!BK74="", "", Backend!BK74)</f>
        <v/>
      </c>
      <c r="BK47" t="str">
        <f>IF(Backend!BL74="", "", Backend!BL74)</f>
        <v/>
      </c>
      <c r="BL47" t="str">
        <f>IF(Backend!BM74="", "", Backend!BM74)</f>
        <v/>
      </c>
      <c r="BM47" t="str">
        <f>IF(Backend!BN74="", "", Backend!BN74)</f>
        <v/>
      </c>
      <c r="BN47" t="str">
        <f>IF(Backend!BO74="", "", Backend!BO74)</f>
        <v/>
      </c>
      <c r="BO47" t="str">
        <f>IF(Backend!BP74="", "", Backend!BP74)</f>
        <v/>
      </c>
      <c r="BP47" t="str">
        <f>IF(Backend!BQ74="", "", Backend!BQ74)</f>
        <v/>
      </c>
      <c r="BQ47" t="str">
        <f>IF(Backend!BR74="", "", Backend!BR74)</f>
        <v/>
      </c>
      <c r="BR47" t="str">
        <f>IF(Backend!BS74="", "", Backend!BS74)</f>
        <v/>
      </c>
      <c r="BS47" t="str">
        <f>IF(Backend!BT74="", "", Backend!BT74)</f>
        <v/>
      </c>
      <c r="BT47" t="str">
        <f>IF(Backend!BU74="", "", Backend!BU74)</f>
        <v/>
      </c>
      <c r="BU47" t="str">
        <f>IF(Backend!BV74="", "", Backend!BV74)</f>
        <v/>
      </c>
      <c r="BV47" t="str">
        <f>IF(Backend!BW74="", "", Backend!BW74)</f>
        <v/>
      </c>
      <c r="BW47" t="str">
        <f>IF(Backend!BX74="", "", Backend!BX74)</f>
        <v/>
      </c>
      <c r="BX47" t="str">
        <f>IF(Backend!BY74="", "", Backend!BY74)</f>
        <v/>
      </c>
      <c r="BY47" t="str">
        <f>IF(Backend!BZ74="", "", Backend!BZ74)</f>
        <v/>
      </c>
      <c r="BZ47" t="str">
        <f>IF(Backend!CA74="", "", Backend!CA74)</f>
        <v/>
      </c>
      <c r="CA47" t="str">
        <f>IF(Backend!CB74="", "", Backend!CB74)</f>
        <v/>
      </c>
      <c r="CB47" t="str">
        <f>IF(Backend!CC74="", "", Backend!CC74)</f>
        <v/>
      </c>
      <c r="CC47" t="str">
        <f>IF(Backend!CD74="", "", Backend!CD74)</f>
        <v/>
      </c>
    </row>
    <row r="48" spans="1:81" x14ac:dyDescent="0.25">
      <c r="A48" s="4" t="str">
        <f>IF(Backend!A75="", "", Backend!A75)</f>
        <v>Shinhan Financial Group Co., Ltd.</v>
      </c>
      <c r="B48">
        <f>IF(Backend!C75="", "", Backend!C75)</f>
        <v>0.17815195</v>
      </c>
      <c r="C48">
        <f>IF(Backend!D75="", "", Backend!D75)</f>
        <v>0.17771261999999999</v>
      </c>
      <c r="D48">
        <f>IF(Backend!E75="", "", Backend!E75)</f>
        <v>0.20805001000000001</v>
      </c>
      <c r="E48">
        <f>IF(Backend!F75="", "", Backend!F75)</f>
        <v>0.100665</v>
      </c>
      <c r="F48">
        <f>IF(Backend!G75="", "", Backend!G75)</f>
        <v>9.2396006000000003E-2</v>
      </c>
      <c r="G48">
        <f>IF(Backend!H75="", "", Backend!H75)</f>
        <v>0.24364161000000001</v>
      </c>
      <c r="H48">
        <f>IF(Backend!I75="", "", Backend!I75)</f>
        <v>0.13911240999999999</v>
      </c>
      <c r="I48">
        <f>IF(Backend!J75="", "", Backend!J75)</f>
        <v>0.10563913</v>
      </c>
      <c r="J48">
        <f>IF(Backend!K75="", "", Backend!K75)</f>
        <v>5.1958229999999996E-3</v>
      </c>
      <c r="K48">
        <f>IF(Backend!L75="", "", Backend!L75)</f>
        <v>0.14833887000000001</v>
      </c>
      <c r="L48">
        <f>IF(Backend!M75="", "", Backend!M75)</f>
        <v>0.15040717000000001</v>
      </c>
      <c r="M48">
        <f>IF(Backend!N75="", "", Backend!N75)</f>
        <v>0.12330624</v>
      </c>
      <c r="N48">
        <f>IF(Backend!O75="", "", Backend!O75)</f>
        <v>0.12838867000000001</v>
      </c>
      <c r="O48">
        <f>IF(Backend!P75="", "", Backend!P75)</f>
        <v>0.19487087</v>
      </c>
      <c r="P48">
        <f>IF(Backend!Q75="", "", Backend!Q75)</f>
        <v>0.17102054999999999</v>
      </c>
      <c r="Q48">
        <f>IF(Backend!R75="", "", Backend!R75)</f>
        <v>0.13124874</v>
      </c>
      <c r="R48">
        <f>IF(Backend!S75="", "", Backend!S75)</f>
        <v>0.10610429</v>
      </c>
      <c r="S48">
        <f>IF(Backend!T75="", "", Backend!T75)</f>
        <v>0.13886688999999999</v>
      </c>
      <c r="T48">
        <f>IF(Backend!U75="", "", Backend!U75)</f>
        <v>7.7347219999999994E-2</v>
      </c>
      <c r="U48">
        <f>IF(Backend!V75="", "", Backend!V75)</f>
        <v>0.37145030000000001</v>
      </c>
      <c r="V48">
        <f>IF(Backend!W75="", "", Backend!W75)</f>
        <v>9.1146439999999995E-2</v>
      </c>
      <c r="W48">
        <f>IF(Backend!X75="", "", Backend!X75)</f>
        <v>6.2062050000000001E-2</v>
      </c>
      <c r="X48">
        <f>IF(Backend!Y75="", "", Backend!Y75)</f>
        <v>0.81512379999999995</v>
      </c>
      <c r="Y48">
        <f>IF(Backend!Z75="", "", Backend!Z75)</f>
        <v>0.16453576</v>
      </c>
      <c r="Z48">
        <f>IF(Backend!AA75="", "", Backend!AA75)</f>
        <v>7.7815554999999995E-2</v>
      </c>
      <c r="AA48">
        <f>IF(Backend!AB75="", "", Backend!AB75)</f>
        <v>3.6330399999999999E-2</v>
      </c>
      <c r="AB48">
        <f>IF(Backend!AC75="", "", Backend!AC75)</f>
        <v>9.6178700000000006E-2</v>
      </c>
      <c r="AC48">
        <f>IF(Backend!AD75="", "", Backend!AD75)</f>
        <v>8.8863090000000006E-2</v>
      </c>
      <c r="AD48">
        <f>IF(Backend!AE75="", "", Backend!AE75)</f>
        <v>5.032296E-2</v>
      </c>
      <c r="AE48">
        <f>IF(Backend!AF75="", "", Backend!AF75)</f>
        <v>0.109048374</v>
      </c>
      <c r="AF48">
        <f>IF(Backend!AG75="", "", Backend!AG75)</f>
        <v>0.11901885</v>
      </c>
      <c r="AG48">
        <f>IF(Backend!AH75="", "", Backend!AH75)</f>
        <v>8.4487274000000001E-2</v>
      </c>
      <c r="AH48">
        <f>IF(Backend!AI75="", "", Backend!AI75)</f>
        <v>3.0761579000000001E-2</v>
      </c>
      <c r="AI48">
        <f>IF(Backend!AJ75="", "", Backend!AJ75)</f>
        <v>0.14342009</v>
      </c>
      <c r="AJ48">
        <f>IF(Backend!AK75="", "", Backend!AK75)</f>
        <v>0.17895141000000001</v>
      </c>
      <c r="AK48">
        <f>IF(Backend!AL75="", "", Backend!AL75)</f>
        <v>0.17818011</v>
      </c>
      <c r="AL48">
        <f>IF(Backend!AM75="", "", Backend!AM75)</f>
        <v>-2.1348240000000001E-2</v>
      </c>
      <c r="AM48">
        <f>IF(Backend!AN75="", "", Backend!AN75)</f>
        <v>0.11923842</v>
      </c>
      <c r="AN48">
        <f>IF(Backend!AO75="", "", Backend!AO75)</f>
        <v>0.12514575999999999</v>
      </c>
      <c r="AO48">
        <f>IF(Backend!AP75="", "", Backend!AP75)</f>
        <v>0.26827069999999997</v>
      </c>
      <c r="AP48">
        <f>IF(Backend!AQ75="", "", Backend!AQ75)</f>
        <v>9.6068169999999994E-2</v>
      </c>
      <c r="AQ48">
        <f>IF(Backend!AR75="", "", Backend!AR75)</f>
        <v>0.44248789999999999</v>
      </c>
      <c r="AR48">
        <f>IF(Backend!AS75="", "", Backend!AS75)</f>
        <v>6.1506390000000001E-2</v>
      </c>
      <c r="AS48">
        <f>IF(Backend!AT75="", "", Backend!AT75)</f>
        <v>9.6725054000000005E-2</v>
      </c>
      <c r="AT48">
        <f>IF(Backend!AU75="", "", Backend!AU75)</f>
        <v>1</v>
      </c>
      <c r="AU48">
        <f>IF(Backend!AV75="", "", Backend!AV75)</f>
        <v>0.13072611000000001</v>
      </c>
      <c r="AV48">
        <f>IF(Backend!AW75="", "", Backend!AW75)</f>
        <v>0.18062244</v>
      </c>
      <c r="AW48">
        <f>IF(Backend!AX75="", "", Backend!AX75)</f>
        <v>6.9878129999999997E-2</v>
      </c>
      <c r="AX48">
        <f>IF(Backend!AY75="", "", Backend!AY75)</f>
        <v>0.16999258</v>
      </c>
      <c r="AY48">
        <f>IF(Backend!AZ75="", "", Backend!AZ75)</f>
        <v>8.1544039999999998E-2</v>
      </c>
      <c r="AZ48">
        <f>IF(Backend!BA75="", "", Backend!BA75)</f>
        <v>0.17890501</v>
      </c>
      <c r="BA48">
        <f>IF(Backend!BB75="", "", Backend!BB75)</f>
        <v>0.15203172000000001</v>
      </c>
      <c r="BB48">
        <f>IF(Backend!BC75="", "", Backend!BC75)</f>
        <v>1.1547638000000001E-2</v>
      </c>
      <c r="BC48">
        <f>IF(Backend!BD75="", "", Backend!BD75)</f>
        <v>5.0084143999999997E-2</v>
      </c>
      <c r="BD48">
        <f>IF(Backend!BE75="", "", Backend!BE75)</f>
        <v>0.10802802</v>
      </c>
      <c r="BE48">
        <f>IF(Backend!BF75="", "", Backend!BF75)</f>
        <v>0.14293568000000001</v>
      </c>
      <c r="BF48">
        <f>IF(Backend!BG75="", "", Backend!BG75)</f>
        <v>6.4751879999999998E-2</v>
      </c>
      <c r="BG48">
        <f>IF(Backend!BH75="", "", Backend!BH75)</f>
        <v>7.2221969999999996E-2</v>
      </c>
      <c r="BH48">
        <f>IF(Backend!BI75="", "", Backend!BI75)</f>
        <v>7.5880390000000006E-2</v>
      </c>
      <c r="BI48" t="str">
        <f>IF(Backend!BJ75="", "", Backend!BJ75)</f>
        <v/>
      </c>
      <c r="BJ48" t="str">
        <f>IF(Backend!BK75="", "", Backend!BK75)</f>
        <v/>
      </c>
      <c r="BK48" t="str">
        <f>IF(Backend!BL75="", "", Backend!BL75)</f>
        <v/>
      </c>
      <c r="BL48" t="str">
        <f>IF(Backend!BM75="", "", Backend!BM75)</f>
        <v/>
      </c>
      <c r="BM48" t="str">
        <f>IF(Backend!BN75="", "", Backend!BN75)</f>
        <v/>
      </c>
      <c r="BN48" t="str">
        <f>IF(Backend!BO75="", "", Backend!BO75)</f>
        <v/>
      </c>
      <c r="BO48" t="str">
        <f>IF(Backend!BP75="", "", Backend!BP75)</f>
        <v/>
      </c>
      <c r="BP48" t="str">
        <f>IF(Backend!BQ75="", "", Backend!BQ75)</f>
        <v/>
      </c>
      <c r="BQ48" t="str">
        <f>IF(Backend!BR75="", "", Backend!BR75)</f>
        <v/>
      </c>
      <c r="BR48" t="str">
        <f>IF(Backend!BS75="", "", Backend!BS75)</f>
        <v/>
      </c>
      <c r="BS48" t="str">
        <f>IF(Backend!BT75="", "", Backend!BT75)</f>
        <v/>
      </c>
      <c r="BT48" t="str">
        <f>IF(Backend!BU75="", "", Backend!BU75)</f>
        <v/>
      </c>
      <c r="BU48" t="str">
        <f>IF(Backend!BV75="", "", Backend!BV75)</f>
        <v/>
      </c>
      <c r="BV48" t="str">
        <f>IF(Backend!BW75="", "", Backend!BW75)</f>
        <v/>
      </c>
      <c r="BW48" t="str">
        <f>IF(Backend!BX75="", "", Backend!BX75)</f>
        <v/>
      </c>
      <c r="BX48" t="str">
        <f>IF(Backend!BY75="", "", Backend!BY75)</f>
        <v/>
      </c>
      <c r="BY48" t="str">
        <f>IF(Backend!BZ75="", "", Backend!BZ75)</f>
        <v/>
      </c>
      <c r="BZ48" t="str">
        <f>IF(Backend!CA75="", "", Backend!CA75)</f>
        <v/>
      </c>
      <c r="CA48" t="str">
        <f>IF(Backend!CB75="", "", Backend!CB75)</f>
        <v/>
      </c>
      <c r="CB48" t="str">
        <f>IF(Backend!CC75="", "", Backend!CC75)</f>
        <v/>
      </c>
      <c r="CC48" t="str">
        <f>IF(Backend!CD75="", "", Backend!CD75)</f>
        <v/>
      </c>
    </row>
    <row r="49" spans="1:81" x14ac:dyDescent="0.25">
      <c r="A49" s="4" t="str">
        <f>IF(Backend!A76="", "", Backend!A76)</f>
        <v>Societe Generale S.A. Class A</v>
      </c>
      <c r="B49">
        <f>IF(Backend!C76="", "", Backend!C76)</f>
        <v>0.51140470000000005</v>
      </c>
      <c r="C49">
        <f>IF(Backend!D76="", "", Backend!D76)</f>
        <v>0.41083544</v>
      </c>
      <c r="D49">
        <f>IF(Backend!E76="", "", Backend!E76)</f>
        <v>0.12227104599999999</v>
      </c>
      <c r="E49">
        <f>IF(Backend!F76="", "", Backend!F76)</f>
        <v>0.30723922999999997</v>
      </c>
      <c r="F49">
        <f>IF(Backend!G76="", "", Backend!G76)</f>
        <v>0.16587180000000001</v>
      </c>
      <c r="G49">
        <f>IF(Backend!H76="", "", Backend!H76)</f>
        <v>0.12618958999999999</v>
      </c>
      <c r="H49">
        <f>IF(Backend!I76="", "", Backend!I76)</f>
        <v>0.61443572999999996</v>
      </c>
      <c r="I49">
        <f>IF(Backend!J76="", "", Backend!J76)</f>
        <v>0.40558714000000001</v>
      </c>
      <c r="J49">
        <f>IF(Backend!K76="", "", Backend!K76)</f>
        <v>2.2300402E-2</v>
      </c>
      <c r="K49">
        <f>IF(Backend!L76="", "", Backend!L76)</f>
        <v>0.34899964999999999</v>
      </c>
      <c r="L49">
        <f>IF(Backend!M76="", "", Backend!M76)</f>
        <v>0.40065770000000001</v>
      </c>
      <c r="M49">
        <f>IF(Backend!N76="", "", Backend!N76)</f>
        <v>0.35326985</v>
      </c>
      <c r="N49">
        <f>IF(Backend!O76="", "", Backend!O76)</f>
        <v>0.56402790000000003</v>
      </c>
      <c r="O49">
        <f>IF(Backend!P76="", "", Backend!P76)</f>
        <v>0.15233958</v>
      </c>
      <c r="P49">
        <f>IF(Backend!Q76="", "", Backend!Q76)</f>
        <v>0.49871153000000001</v>
      </c>
      <c r="Q49">
        <f>IF(Backend!R76="", "", Backend!R76)</f>
        <v>0.51776909999999998</v>
      </c>
      <c r="R49">
        <f>IF(Backend!S76="", "", Backend!S76)</f>
        <v>0.23838029999999999</v>
      </c>
      <c r="S49">
        <f>IF(Backend!T76="", "", Backend!T76)</f>
        <v>3.6565933000000002E-2</v>
      </c>
      <c r="T49">
        <f>IF(Backend!U76="", "", Backend!U76)</f>
        <v>0.26809706999999999</v>
      </c>
      <c r="U49">
        <f>IF(Backend!V76="", "", Backend!V76)</f>
        <v>0.10639895000000001</v>
      </c>
      <c r="V49">
        <f>IF(Backend!W76="", "", Backend!W76)</f>
        <v>0.24963889</v>
      </c>
      <c r="W49">
        <f>IF(Backend!X76="", "", Backend!X76)</f>
        <v>0.11580864</v>
      </c>
      <c r="X49">
        <f>IF(Backend!Y76="", "", Backend!Y76)</f>
        <v>0.11106731</v>
      </c>
      <c r="Y49">
        <f>IF(Backend!Z76="", "", Backend!Z76)</f>
        <v>0.43203276000000002</v>
      </c>
      <c r="Z49">
        <f>IF(Backend!AA76="", "", Backend!AA76)</f>
        <v>0.22803132000000001</v>
      </c>
      <c r="AA49">
        <f>IF(Backend!AB76="", "", Backend!AB76)</f>
        <v>4.5732908000000003E-2</v>
      </c>
      <c r="AB49">
        <f>IF(Backend!AC76="", "", Backend!AC76)</f>
        <v>0.39872664000000002</v>
      </c>
      <c r="AC49">
        <f>IF(Backend!AD76="", "", Backend!AD76)</f>
        <v>0.33624127999999998</v>
      </c>
      <c r="AD49">
        <f>IF(Backend!AE76="", "", Backend!AE76)</f>
        <v>0.20012932999999999</v>
      </c>
      <c r="AE49">
        <f>IF(Backend!AF76="", "", Backend!AF76)</f>
        <v>0.3735116</v>
      </c>
      <c r="AF49">
        <f>IF(Backend!AG76="", "", Backend!AG76)</f>
        <v>4.9190138000000001E-2</v>
      </c>
      <c r="AG49">
        <f>IF(Backend!AH76="", "", Backend!AH76)</f>
        <v>0.28610142999999999</v>
      </c>
      <c r="AH49">
        <f>IF(Backend!AI76="", "", Backend!AI76)</f>
        <v>0.20396913999999999</v>
      </c>
      <c r="AI49">
        <f>IF(Backend!AJ76="", "", Backend!AJ76)</f>
        <v>0.64671034000000005</v>
      </c>
      <c r="AJ49">
        <f>IF(Backend!AK76="", "", Backend!AK76)</f>
        <v>0.13123125999999999</v>
      </c>
      <c r="AK49">
        <f>IF(Backend!AL76="", "", Backend!AL76)</f>
        <v>5.9386939999999999E-2</v>
      </c>
      <c r="AL49">
        <f>IF(Backend!AM76="", "", Backend!AM76)</f>
        <v>0.10544555</v>
      </c>
      <c r="AM49">
        <f>IF(Backend!AN76="", "", Backend!AN76)</f>
        <v>0.33015107999999999</v>
      </c>
      <c r="AN49">
        <f>IF(Backend!AO76="", "", Backend!AO76)</f>
        <v>0.41426188000000003</v>
      </c>
      <c r="AO49">
        <f>IF(Backend!AP76="", "", Backend!AP76)</f>
        <v>0.16086975000000001</v>
      </c>
      <c r="AP49">
        <f>IF(Backend!AQ76="", "", Backend!AQ76)</f>
        <v>0.20725445000000001</v>
      </c>
      <c r="AQ49">
        <f>IF(Backend!AR76="", "", Backend!AR76)</f>
        <v>0.18309454999999999</v>
      </c>
      <c r="AR49">
        <f>IF(Backend!AS76="", "", Backend!AS76)</f>
        <v>0.23631050000000001</v>
      </c>
      <c r="AS49">
        <f>IF(Backend!AT76="", "", Backend!AT76)</f>
        <v>0.32718187999999998</v>
      </c>
      <c r="AT49">
        <f>IF(Backend!AU76="", "", Backend!AU76)</f>
        <v>0.13072611000000001</v>
      </c>
      <c r="AU49">
        <f>IF(Backend!AV76="", "", Backend!AV76)</f>
        <v>1</v>
      </c>
      <c r="AV49">
        <f>IF(Backend!AW76="", "", Backend!AW76)</f>
        <v>0.60986596000000004</v>
      </c>
      <c r="AW49">
        <f>IF(Backend!AX76="", "", Backend!AX76)</f>
        <v>0.23078108</v>
      </c>
      <c r="AX49">
        <f>IF(Backend!AY76="", "", Backend!AY76)</f>
        <v>0.44353870000000001</v>
      </c>
      <c r="AY49">
        <f>IF(Backend!AZ76="", "", Backend!AZ76)</f>
        <v>0.31774639999999998</v>
      </c>
      <c r="AZ49">
        <f>IF(Backend!BA76="", "", Backend!BA76)</f>
        <v>0.13961501000000001</v>
      </c>
      <c r="BA49">
        <f>IF(Backend!BB76="", "", Backend!BB76)</f>
        <v>0.23372190000000001</v>
      </c>
      <c r="BB49">
        <f>IF(Backend!BC76="", "", Backend!BC76)</f>
        <v>0.14256360000000001</v>
      </c>
      <c r="BC49">
        <f>IF(Backend!BD76="", "", Backend!BD76)</f>
        <v>0.23917707999999999</v>
      </c>
      <c r="BD49">
        <f>IF(Backend!BE76="", "", Backend!BE76)</f>
        <v>0.37982263999999999</v>
      </c>
      <c r="BE49">
        <f>IF(Backend!BF76="", "", Backend!BF76)</f>
        <v>0.55766015999999996</v>
      </c>
      <c r="BF49">
        <f>IF(Backend!BG76="", "", Backend!BG76)</f>
        <v>0.14698438</v>
      </c>
      <c r="BG49">
        <f>IF(Backend!BH76="", "", Backend!BH76)</f>
        <v>0.22030425000000001</v>
      </c>
      <c r="BH49">
        <f>IF(Backend!BI76="", "", Backend!BI76)</f>
        <v>0.18250072000000001</v>
      </c>
      <c r="BI49" t="str">
        <f>IF(Backend!BJ76="", "", Backend!BJ76)</f>
        <v/>
      </c>
      <c r="BJ49" t="str">
        <f>IF(Backend!BK76="", "", Backend!BK76)</f>
        <v/>
      </c>
      <c r="BK49" t="str">
        <f>IF(Backend!BL76="", "", Backend!BL76)</f>
        <v/>
      </c>
      <c r="BL49" t="str">
        <f>IF(Backend!BM76="", "", Backend!BM76)</f>
        <v/>
      </c>
      <c r="BM49" t="str">
        <f>IF(Backend!BN76="", "", Backend!BN76)</f>
        <v/>
      </c>
      <c r="BN49" t="str">
        <f>IF(Backend!BO76="", "", Backend!BO76)</f>
        <v/>
      </c>
      <c r="BO49" t="str">
        <f>IF(Backend!BP76="", "", Backend!BP76)</f>
        <v/>
      </c>
      <c r="BP49" t="str">
        <f>IF(Backend!BQ76="", "", Backend!BQ76)</f>
        <v/>
      </c>
      <c r="BQ49" t="str">
        <f>IF(Backend!BR76="", "", Backend!BR76)</f>
        <v/>
      </c>
      <c r="BR49" t="str">
        <f>IF(Backend!BS76="", "", Backend!BS76)</f>
        <v/>
      </c>
      <c r="BS49" t="str">
        <f>IF(Backend!BT76="", "", Backend!BT76)</f>
        <v/>
      </c>
      <c r="BT49" t="str">
        <f>IF(Backend!BU76="", "", Backend!BU76)</f>
        <v/>
      </c>
      <c r="BU49" t="str">
        <f>IF(Backend!BV76="", "", Backend!BV76)</f>
        <v/>
      </c>
      <c r="BV49" t="str">
        <f>IF(Backend!BW76="", "", Backend!BW76)</f>
        <v/>
      </c>
      <c r="BW49" t="str">
        <f>IF(Backend!BX76="", "", Backend!BX76)</f>
        <v/>
      </c>
      <c r="BX49" t="str">
        <f>IF(Backend!BY76="", "", Backend!BY76)</f>
        <v/>
      </c>
      <c r="BY49" t="str">
        <f>IF(Backend!BZ76="", "", Backend!BZ76)</f>
        <v/>
      </c>
      <c r="BZ49" t="str">
        <f>IF(Backend!CA76="", "", Backend!CA76)</f>
        <v/>
      </c>
      <c r="CA49" t="str">
        <f>IF(Backend!CB76="", "", Backend!CB76)</f>
        <v/>
      </c>
      <c r="CB49" t="str">
        <f>IF(Backend!CC76="", "", Backend!CC76)</f>
        <v/>
      </c>
      <c r="CC49" t="str">
        <f>IF(Backend!CD76="", "", Backend!CD76)</f>
        <v/>
      </c>
    </row>
    <row r="50" spans="1:81" x14ac:dyDescent="0.25">
      <c r="A50" s="4" t="str">
        <f>IF(Backend!A77="", "", Backend!A77)</f>
        <v>Standard Chartered PLC</v>
      </c>
      <c r="B50">
        <f>IF(Backend!C77="", "", Backend!C77)</f>
        <v>0.41977122</v>
      </c>
      <c r="C50">
        <f>IF(Backend!D77="", "", Backend!D77)</f>
        <v>0.44025629999999999</v>
      </c>
      <c r="D50">
        <f>IF(Backend!E77="", "", Backend!E77)</f>
        <v>0.18625233999999999</v>
      </c>
      <c r="E50">
        <f>IF(Backend!F77="", "", Backend!F77)</f>
        <v>0.30487245000000002</v>
      </c>
      <c r="F50">
        <f>IF(Backend!G77="", "", Backend!G77)</f>
        <v>0.20078865000000001</v>
      </c>
      <c r="G50">
        <f>IF(Backend!H77="", "", Backend!H77)</f>
        <v>0.19871105</v>
      </c>
      <c r="H50">
        <f>IF(Backend!I77="", "", Backend!I77)</f>
        <v>0.49541970000000002</v>
      </c>
      <c r="I50">
        <f>IF(Backend!J77="", "", Backend!J77)</f>
        <v>0.33661464000000002</v>
      </c>
      <c r="J50">
        <f>IF(Backend!K77="", "", Backend!K77)</f>
        <v>6.6408190000000006E-2</v>
      </c>
      <c r="K50">
        <f>IF(Backend!L77="", "", Backend!L77)</f>
        <v>0.32249165000000002</v>
      </c>
      <c r="L50">
        <f>IF(Backend!M77="", "", Backend!M77)</f>
        <v>0.40342185000000003</v>
      </c>
      <c r="M50">
        <f>IF(Backend!N77="", "", Backend!N77)</f>
        <v>0.23584695</v>
      </c>
      <c r="N50">
        <f>IF(Backend!O77="", "", Backend!O77)</f>
        <v>0.43724960000000002</v>
      </c>
      <c r="O50">
        <f>IF(Backend!P77="", "", Backend!P77)</f>
        <v>0.14290032999999999</v>
      </c>
      <c r="P50">
        <f>IF(Backend!Q77="", "", Backend!Q77)</f>
        <v>0.44723775999999998</v>
      </c>
      <c r="Q50">
        <f>IF(Backend!R77="", "", Backend!R77)</f>
        <v>0.48138263999999997</v>
      </c>
      <c r="R50">
        <f>IF(Backend!S77="", "", Backend!S77)</f>
        <v>0.24503411</v>
      </c>
      <c r="S50">
        <f>IF(Backend!T77="", "", Backend!T77)</f>
        <v>4.2250910000000003E-3</v>
      </c>
      <c r="T50">
        <f>IF(Backend!U77="", "", Backend!U77)</f>
        <v>0.32246202000000002</v>
      </c>
      <c r="U50">
        <f>IF(Backend!V77="", "", Backend!V77)</f>
        <v>0.11423080400000001</v>
      </c>
      <c r="V50">
        <f>IF(Backend!W77="", "", Backend!W77)</f>
        <v>0.28636460000000002</v>
      </c>
      <c r="W50">
        <f>IF(Backend!X77="", "", Backend!X77)</f>
        <v>0.11274094</v>
      </c>
      <c r="X50">
        <f>IF(Backend!Y77="", "", Backend!Y77)</f>
        <v>0.13838473000000001</v>
      </c>
      <c r="Y50">
        <f>IF(Backend!Z77="", "", Backend!Z77)</f>
        <v>0.39470315</v>
      </c>
      <c r="Z50">
        <f>IF(Backend!AA77="", "", Backend!AA77)</f>
        <v>0.1347776</v>
      </c>
      <c r="AA50">
        <f>IF(Backend!AB77="", "", Backend!AB77)</f>
        <v>6.7878030000000006E-2</v>
      </c>
      <c r="AB50">
        <f>IF(Backend!AC77="", "", Backend!AC77)</f>
        <v>0.34559307</v>
      </c>
      <c r="AC50">
        <f>IF(Backend!AD77="", "", Backend!AD77)</f>
        <v>0.35457622999999999</v>
      </c>
      <c r="AD50">
        <f>IF(Backend!AE77="", "", Backend!AE77)</f>
        <v>0.19930595000000001</v>
      </c>
      <c r="AE50">
        <f>IF(Backend!AF77="", "", Backend!AF77)</f>
        <v>0.31973230000000002</v>
      </c>
      <c r="AF50">
        <f>IF(Backend!AG77="", "", Backend!AG77)</f>
        <v>2.8915745999999999E-2</v>
      </c>
      <c r="AG50">
        <f>IF(Backend!AH77="", "", Backend!AH77)</f>
        <v>0.25796229999999998</v>
      </c>
      <c r="AH50">
        <f>IF(Backend!AI77="", "", Backend!AI77)</f>
        <v>0.19387071</v>
      </c>
      <c r="AI50">
        <f>IF(Backend!AJ77="", "", Backend!AJ77)</f>
        <v>0.61024719999999999</v>
      </c>
      <c r="AJ50">
        <f>IF(Backend!AK77="", "", Backend!AK77)</f>
        <v>7.8008040000000001E-2</v>
      </c>
      <c r="AK50">
        <f>IF(Backend!AL77="", "", Backend!AL77)</f>
        <v>2.8724975999999999E-2</v>
      </c>
      <c r="AL50">
        <f>IF(Backend!AM77="", "", Backend!AM77)</f>
        <v>0.113040134</v>
      </c>
      <c r="AM50">
        <f>IF(Backend!AN77="", "", Backend!AN77)</f>
        <v>0.26830842999999999</v>
      </c>
      <c r="AN50">
        <f>IF(Backend!AO77="", "", Backend!AO77)</f>
        <v>0.44844133000000003</v>
      </c>
      <c r="AO50">
        <f>IF(Backend!AP77="", "", Backend!AP77)</f>
        <v>0.14585564000000001</v>
      </c>
      <c r="AP50">
        <f>IF(Backend!AQ77="", "", Backend!AQ77)</f>
        <v>0.19434464000000001</v>
      </c>
      <c r="AQ50">
        <f>IF(Backend!AR77="", "", Backend!AR77)</f>
        <v>0.18350884000000001</v>
      </c>
      <c r="AR50">
        <f>IF(Backend!AS77="", "", Backend!AS77)</f>
        <v>0.21441927999999999</v>
      </c>
      <c r="AS50">
        <f>IF(Backend!AT77="", "", Backend!AT77)</f>
        <v>0.22937331999999999</v>
      </c>
      <c r="AT50">
        <f>IF(Backend!AU77="", "", Backend!AU77)</f>
        <v>0.18062244</v>
      </c>
      <c r="AU50">
        <f>IF(Backend!AV77="", "", Backend!AV77)</f>
        <v>0.60986596000000004</v>
      </c>
      <c r="AV50">
        <f>IF(Backend!AW77="", "", Backend!AW77)</f>
        <v>1</v>
      </c>
      <c r="AW50">
        <f>IF(Backend!AX77="", "", Backend!AX77)</f>
        <v>0.18683995</v>
      </c>
      <c r="AX50">
        <f>IF(Backend!AY77="", "", Backend!AY77)</f>
        <v>0.37842825000000002</v>
      </c>
      <c r="AY50">
        <f>IF(Backend!AZ77="", "", Backend!AZ77)</f>
        <v>0.32397628000000001</v>
      </c>
      <c r="AZ50">
        <f>IF(Backend!BA77="", "", Backend!BA77)</f>
        <v>0.12514895000000001</v>
      </c>
      <c r="BA50">
        <f>IF(Backend!BB77="", "", Backend!BB77)</f>
        <v>0.23128551</v>
      </c>
      <c r="BB50">
        <f>IF(Backend!BC77="", "", Backend!BC77)</f>
        <v>7.8710735000000004E-2</v>
      </c>
      <c r="BC50">
        <f>IF(Backend!BD77="", "", Backend!BD77)</f>
        <v>0.2184798</v>
      </c>
      <c r="BD50">
        <f>IF(Backend!BE77="", "", Backend!BE77)</f>
        <v>0.33769830000000001</v>
      </c>
      <c r="BE50">
        <f>IF(Backend!BF77="", "", Backend!BF77)</f>
        <v>0.44245361999999999</v>
      </c>
      <c r="BF50">
        <f>IF(Backend!BG77="", "", Backend!BG77)</f>
        <v>0.12366873</v>
      </c>
      <c r="BG50">
        <f>IF(Backend!BH77="", "", Backend!BH77)</f>
        <v>0.25160654999999998</v>
      </c>
      <c r="BH50">
        <f>IF(Backend!BI77="", "", Backend!BI77)</f>
        <v>0.18491416999999999</v>
      </c>
      <c r="BI50" t="str">
        <f>IF(Backend!BJ77="", "", Backend!BJ77)</f>
        <v/>
      </c>
      <c r="BJ50" t="str">
        <f>IF(Backend!BK77="", "", Backend!BK77)</f>
        <v/>
      </c>
      <c r="BK50" t="str">
        <f>IF(Backend!BL77="", "", Backend!BL77)</f>
        <v/>
      </c>
      <c r="BL50" t="str">
        <f>IF(Backend!BM77="", "", Backend!BM77)</f>
        <v/>
      </c>
      <c r="BM50" t="str">
        <f>IF(Backend!BN77="", "", Backend!BN77)</f>
        <v/>
      </c>
      <c r="BN50" t="str">
        <f>IF(Backend!BO77="", "", Backend!BO77)</f>
        <v/>
      </c>
      <c r="BO50" t="str">
        <f>IF(Backend!BP77="", "", Backend!BP77)</f>
        <v/>
      </c>
      <c r="BP50" t="str">
        <f>IF(Backend!BQ77="", "", Backend!BQ77)</f>
        <v/>
      </c>
      <c r="BQ50" t="str">
        <f>IF(Backend!BR77="", "", Backend!BR77)</f>
        <v/>
      </c>
      <c r="BR50" t="str">
        <f>IF(Backend!BS77="", "", Backend!BS77)</f>
        <v/>
      </c>
      <c r="BS50" t="str">
        <f>IF(Backend!BT77="", "", Backend!BT77)</f>
        <v/>
      </c>
      <c r="BT50" t="str">
        <f>IF(Backend!BU77="", "", Backend!BU77)</f>
        <v/>
      </c>
      <c r="BU50" t="str">
        <f>IF(Backend!BV77="", "", Backend!BV77)</f>
        <v/>
      </c>
      <c r="BV50" t="str">
        <f>IF(Backend!BW77="", "", Backend!BW77)</f>
        <v/>
      </c>
      <c r="BW50" t="str">
        <f>IF(Backend!BX77="", "", Backend!BX77)</f>
        <v/>
      </c>
      <c r="BX50" t="str">
        <f>IF(Backend!BY77="", "", Backend!BY77)</f>
        <v/>
      </c>
      <c r="BY50" t="str">
        <f>IF(Backend!BZ77="", "", Backend!BZ77)</f>
        <v/>
      </c>
      <c r="BZ50" t="str">
        <f>IF(Backend!CA77="", "", Backend!CA77)</f>
        <v/>
      </c>
      <c r="CA50" t="str">
        <f>IF(Backend!CB77="", "", Backend!CB77)</f>
        <v/>
      </c>
      <c r="CB50" t="str">
        <f>IF(Backend!CC77="", "", Backend!CC77)</f>
        <v/>
      </c>
      <c r="CC50" t="str">
        <f>IF(Backend!CD77="", "", Backend!CD77)</f>
        <v/>
      </c>
    </row>
    <row r="51" spans="1:81" x14ac:dyDescent="0.25">
      <c r="A51" s="4" t="str">
        <f>IF(Backend!A78="", "", Backend!A78)</f>
        <v>Stanley Black &amp; Decker, Inc.</v>
      </c>
      <c r="B51">
        <f>IF(Backend!C78="", "", Backend!C78)</f>
        <v>0.27303307999999998</v>
      </c>
      <c r="C51">
        <f>IF(Backend!D78="", "", Backend!D78)</f>
        <v>0.19515103</v>
      </c>
      <c r="D51">
        <f>IF(Backend!E78="", "", Backend!E78)</f>
        <v>4.9963500000000001E-2</v>
      </c>
      <c r="E51">
        <f>IF(Backend!F78="", "", Backend!F78)</f>
        <v>0.50664370000000003</v>
      </c>
      <c r="F51">
        <f>IF(Backend!G78="", "", Backend!G78)</f>
        <v>0.21013322000000001</v>
      </c>
      <c r="G51">
        <f>IF(Backend!H78="", "", Backend!H78)</f>
        <v>0.10451142500000001</v>
      </c>
      <c r="H51">
        <f>IF(Backend!I78="", "", Backend!I78)</f>
        <v>0.30816174000000002</v>
      </c>
      <c r="I51">
        <f>IF(Backend!J78="", "", Backend!J78)</f>
        <v>0.19430612</v>
      </c>
      <c r="J51">
        <f>IF(Backend!K78="", "", Backend!K78)</f>
        <v>0.22393566000000001</v>
      </c>
      <c r="K51">
        <f>IF(Backend!L78="", "", Backend!L78)</f>
        <v>0.14078889999999999</v>
      </c>
      <c r="L51">
        <f>IF(Backend!M78="", "", Backend!M78)</f>
        <v>0.21381054999999999</v>
      </c>
      <c r="M51">
        <f>IF(Backend!N78="", "", Backend!N78)</f>
        <v>0.109791264</v>
      </c>
      <c r="N51">
        <f>IF(Backend!O78="", "", Backend!O78)</f>
        <v>0.27402149999999997</v>
      </c>
      <c r="O51">
        <f>IF(Backend!P78="", "", Backend!P78)</f>
        <v>1.5531214E-2</v>
      </c>
      <c r="P51">
        <f>IF(Backend!Q78="", "", Backend!Q78)</f>
        <v>0.25356165000000003</v>
      </c>
      <c r="Q51">
        <f>IF(Backend!R78="", "", Backend!R78)</f>
        <v>0.17927766000000001</v>
      </c>
      <c r="R51">
        <f>IF(Backend!S78="", "", Backend!S78)</f>
        <v>5.4117846999999997E-2</v>
      </c>
      <c r="S51">
        <f>IF(Backend!T78="", "", Backend!T78)</f>
        <v>4.7844115999999999E-2</v>
      </c>
      <c r="T51">
        <f>IF(Backend!U78="", "", Backend!U78)</f>
        <v>0.31496045</v>
      </c>
      <c r="U51">
        <f>IF(Backend!V78="", "", Backend!V78)</f>
        <v>0.10793806</v>
      </c>
      <c r="V51">
        <f>IF(Backend!W78="", "", Backend!W78)</f>
        <v>0.41648263000000002</v>
      </c>
      <c r="W51">
        <f>IF(Backend!X78="", "", Backend!X78)</f>
        <v>0.35903226999999999</v>
      </c>
      <c r="X51">
        <f>IF(Backend!Y78="", "", Backend!Y78)</f>
        <v>9.1312489999999996E-2</v>
      </c>
      <c r="Y51">
        <f>IF(Backend!Z78="", "", Backend!Z78)</f>
        <v>0.27781867999999998</v>
      </c>
      <c r="Z51">
        <f>IF(Backend!AA78="", "", Backend!AA78)</f>
        <v>8.2354720000000006E-2</v>
      </c>
      <c r="AA51">
        <f>IF(Backend!AB78="", "", Backend!AB78)</f>
        <v>0.23352818</v>
      </c>
      <c r="AB51">
        <f>IF(Backend!AC78="", "", Backend!AC78)</f>
        <v>0.52825699999999998</v>
      </c>
      <c r="AC51">
        <f>IF(Backend!AD78="", "", Backend!AD78)</f>
        <v>0.50704086000000004</v>
      </c>
      <c r="AD51">
        <f>IF(Backend!AE78="", "", Backend!AE78)</f>
        <v>0.38281724</v>
      </c>
      <c r="AE51">
        <f>IF(Backend!AF78="", "", Backend!AF78)</f>
        <v>0.50520306999999998</v>
      </c>
      <c r="AF51">
        <f>IF(Backend!AG78="", "", Backend!AG78)</f>
        <v>5.2336282999999997E-2</v>
      </c>
      <c r="AG51">
        <f>IF(Backend!AH78="", "", Backend!AH78)</f>
        <v>0.6149831</v>
      </c>
      <c r="AH51">
        <f>IF(Backend!AI78="", "", Backend!AI78)</f>
        <v>0.26858890000000002</v>
      </c>
      <c r="AI51">
        <f>IF(Backend!AJ78="", "", Backend!AJ78)</f>
        <v>0.21219452999999999</v>
      </c>
      <c r="AJ51">
        <f>IF(Backend!AK78="", "", Backend!AK78)</f>
        <v>7.9770505000000005E-2</v>
      </c>
      <c r="AK51">
        <f>IF(Backend!AL78="", "", Backend!AL78)</f>
        <v>5.4166890000000002E-2</v>
      </c>
      <c r="AL51">
        <f>IF(Backend!AM78="", "", Backend!AM78)</f>
        <v>0.21512496</v>
      </c>
      <c r="AM51">
        <f>IF(Backend!AN78="", "", Backend!AN78)</f>
        <v>0.25864737999999998</v>
      </c>
      <c r="AN51">
        <f>IF(Backend!AO78="", "", Backend!AO78)</f>
        <v>0.13070026000000001</v>
      </c>
      <c r="AO51">
        <f>IF(Backend!AP78="", "", Backend!AP78)</f>
        <v>0.11367889</v>
      </c>
      <c r="AP51">
        <f>IF(Backend!AQ78="", "", Backend!AQ78)</f>
        <v>0.48249692</v>
      </c>
      <c r="AQ51">
        <f>IF(Backend!AR78="", "", Backend!AR78)</f>
        <v>6.2310375000000001E-2</v>
      </c>
      <c r="AR51">
        <f>IF(Backend!AS78="", "", Backend!AS78)</f>
        <v>3.5175167E-2</v>
      </c>
      <c r="AS51">
        <f>IF(Backend!AT78="", "", Backend!AT78)</f>
        <v>0.1145053</v>
      </c>
      <c r="AT51">
        <f>IF(Backend!AU78="", "", Backend!AU78)</f>
        <v>6.9878129999999997E-2</v>
      </c>
      <c r="AU51">
        <f>IF(Backend!AV78="", "", Backend!AV78)</f>
        <v>0.23078108</v>
      </c>
      <c r="AV51">
        <f>IF(Backend!AW78="", "", Backend!AW78)</f>
        <v>0.18683995</v>
      </c>
      <c r="AW51">
        <f>IF(Backend!AX78="", "", Backend!AX78)</f>
        <v>1</v>
      </c>
      <c r="AX51">
        <f>IF(Backend!AY78="", "", Backend!AY78)</f>
        <v>0.28225466999999999</v>
      </c>
      <c r="AY51">
        <f>IF(Backend!AZ78="", "", Backend!AZ78)</f>
        <v>0.37494585000000002</v>
      </c>
      <c r="AZ51">
        <f>IF(Backend!BA78="", "", Backend!BA78)</f>
        <v>0.13552183000000001</v>
      </c>
      <c r="BA51">
        <f>IF(Backend!BB78="", "", Backend!BB78)</f>
        <v>0.124052994</v>
      </c>
      <c r="BB51">
        <f>IF(Backend!BC78="", "", Backend!BC78)</f>
        <v>0.19918226</v>
      </c>
      <c r="BC51">
        <f>IF(Backend!BD78="", "", Backend!BD78)</f>
        <v>0.36182760000000003</v>
      </c>
      <c r="BD51">
        <f>IF(Backend!BE78="", "", Backend!BE78)</f>
        <v>0.13311509999999999</v>
      </c>
      <c r="BE51">
        <f>IF(Backend!BF78="", "", Backend!BF78)</f>
        <v>0.26806770000000002</v>
      </c>
      <c r="BF51">
        <f>IF(Backend!BG78="", "", Backend!BG78)</f>
        <v>0.26346417999999999</v>
      </c>
      <c r="BG51">
        <f>IF(Backend!BH78="", "", Backend!BH78)</f>
        <v>0.41547903000000003</v>
      </c>
      <c r="BH51">
        <f>IF(Backend!BI78="", "", Backend!BI78)</f>
        <v>0.34725687</v>
      </c>
      <c r="BI51" t="str">
        <f>IF(Backend!BJ78="", "", Backend!BJ78)</f>
        <v/>
      </c>
      <c r="BJ51" t="str">
        <f>IF(Backend!BK78="", "", Backend!BK78)</f>
        <v/>
      </c>
      <c r="BK51" t="str">
        <f>IF(Backend!BL78="", "", Backend!BL78)</f>
        <v/>
      </c>
      <c r="BL51" t="str">
        <f>IF(Backend!BM78="", "", Backend!BM78)</f>
        <v/>
      </c>
      <c r="BM51" t="str">
        <f>IF(Backend!BN78="", "", Backend!BN78)</f>
        <v/>
      </c>
      <c r="BN51" t="str">
        <f>IF(Backend!BO78="", "", Backend!BO78)</f>
        <v/>
      </c>
      <c r="BO51" t="str">
        <f>IF(Backend!BP78="", "", Backend!BP78)</f>
        <v/>
      </c>
      <c r="BP51" t="str">
        <f>IF(Backend!BQ78="", "", Backend!BQ78)</f>
        <v/>
      </c>
      <c r="BQ51" t="str">
        <f>IF(Backend!BR78="", "", Backend!BR78)</f>
        <v/>
      </c>
      <c r="BR51" t="str">
        <f>IF(Backend!BS78="", "", Backend!BS78)</f>
        <v/>
      </c>
      <c r="BS51" t="str">
        <f>IF(Backend!BT78="", "", Backend!BT78)</f>
        <v/>
      </c>
      <c r="BT51" t="str">
        <f>IF(Backend!BU78="", "", Backend!BU78)</f>
        <v/>
      </c>
      <c r="BU51" t="str">
        <f>IF(Backend!BV78="", "", Backend!BV78)</f>
        <v/>
      </c>
      <c r="BV51" t="str">
        <f>IF(Backend!BW78="", "", Backend!BW78)</f>
        <v/>
      </c>
      <c r="BW51" t="str">
        <f>IF(Backend!BX78="", "", Backend!BX78)</f>
        <v/>
      </c>
      <c r="BX51" t="str">
        <f>IF(Backend!BY78="", "", Backend!BY78)</f>
        <v/>
      </c>
      <c r="BY51" t="str">
        <f>IF(Backend!BZ78="", "", Backend!BZ78)</f>
        <v/>
      </c>
      <c r="BZ51" t="str">
        <f>IF(Backend!CA78="", "", Backend!CA78)</f>
        <v/>
      </c>
      <c r="CA51" t="str">
        <f>IF(Backend!CB78="", "", Backend!CB78)</f>
        <v/>
      </c>
      <c r="CB51" t="str">
        <f>IF(Backend!CC78="", "", Backend!CC78)</f>
        <v/>
      </c>
      <c r="CC51" t="str">
        <f>IF(Backend!CD78="", "", Backend!CD78)</f>
        <v/>
      </c>
    </row>
    <row r="52" spans="1:81" x14ac:dyDescent="0.25">
      <c r="A52" s="4" t="str">
        <f>IF(Backend!A79="", "", Backend!A79)</f>
        <v>Swatch Group Ltd. Bearer</v>
      </c>
      <c r="B52">
        <f>IF(Backend!C79="", "", Backend!C79)</f>
        <v>0.49752104000000003</v>
      </c>
      <c r="C52">
        <f>IF(Backend!D79="", "", Backend!D79)</f>
        <v>0.42039083999999999</v>
      </c>
      <c r="D52">
        <f>IF(Backend!E79="", "", Backend!E79)</f>
        <v>0.18200777000000001</v>
      </c>
      <c r="E52">
        <f>IF(Backend!F79="", "", Backend!F79)</f>
        <v>0.33334725999999998</v>
      </c>
      <c r="F52">
        <f>IF(Backend!G79="", "", Backend!G79)</f>
        <v>0.21844538999999999</v>
      </c>
      <c r="G52">
        <f>IF(Backend!H79="", "", Backend!H79)</f>
        <v>0.26944780000000002</v>
      </c>
      <c r="H52">
        <f>IF(Backend!I79="", "", Backend!I79)</f>
        <v>0.52065649999999997</v>
      </c>
      <c r="I52">
        <f>IF(Backend!J79="", "", Backend!J79)</f>
        <v>0.32963144999999999</v>
      </c>
      <c r="J52">
        <f>IF(Backend!K79="", "", Backend!K79)</f>
        <v>4.7395613000000003E-2</v>
      </c>
      <c r="K52">
        <f>IF(Backend!L79="", "", Backend!L79)</f>
        <v>0.26642206000000002</v>
      </c>
      <c r="L52">
        <f>IF(Backend!M79="", "", Backend!M79)</f>
        <v>0.55656015999999997</v>
      </c>
      <c r="M52">
        <f>IF(Backend!N79="", "", Backend!N79)</f>
        <v>0.2188705</v>
      </c>
      <c r="N52">
        <f>IF(Backend!O79="", "", Backend!O79)</f>
        <v>0.48270970000000002</v>
      </c>
      <c r="O52">
        <f>IF(Backend!P79="", "", Backend!P79)</f>
        <v>0.14235771999999999</v>
      </c>
      <c r="P52">
        <f>IF(Backend!Q79="", "", Backend!Q79)</f>
        <v>0.45268937999999997</v>
      </c>
      <c r="Q52">
        <f>IF(Backend!R79="", "", Backend!R79)</f>
        <v>0.35125416999999998</v>
      </c>
      <c r="R52">
        <f>IF(Backend!S79="", "", Backend!S79)</f>
        <v>0.19423528000000001</v>
      </c>
      <c r="S52">
        <f>IF(Backend!T79="", "", Backend!T79)</f>
        <v>9.6310190000000004E-2</v>
      </c>
      <c r="T52">
        <f>IF(Backend!U79="", "", Backend!U79)</f>
        <v>0.16499679</v>
      </c>
      <c r="U52">
        <f>IF(Backend!V79="", "", Backend!V79)</f>
        <v>0.13309962</v>
      </c>
      <c r="V52">
        <f>IF(Backend!W79="", "", Backend!W79)</f>
        <v>0.18909039999999999</v>
      </c>
      <c r="W52">
        <f>IF(Backend!X79="", "", Backend!X79)</f>
        <v>0.12374538</v>
      </c>
      <c r="X52">
        <f>IF(Backend!Y79="", "", Backend!Y79)</f>
        <v>0.12603830999999999</v>
      </c>
      <c r="Y52">
        <f>IF(Backend!Z79="", "", Backend!Z79)</f>
        <v>0.62871723999999996</v>
      </c>
      <c r="Z52">
        <f>IF(Backend!AA79="", "", Backend!AA79)</f>
        <v>0.17664377000000001</v>
      </c>
      <c r="AA52">
        <f>IF(Backend!AB79="", "", Backend!AB79)</f>
        <v>9.475894E-2</v>
      </c>
      <c r="AB52">
        <f>IF(Backend!AC79="", "", Backend!AC79)</f>
        <v>0.35388649999999999</v>
      </c>
      <c r="AC52">
        <f>IF(Backend!AD79="", "", Backend!AD79)</f>
        <v>0.29078515999999999</v>
      </c>
      <c r="AD52">
        <f>IF(Backend!AE79="", "", Backend!AE79)</f>
        <v>0.16946992</v>
      </c>
      <c r="AE52">
        <f>IF(Backend!AF79="", "", Backend!AF79)</f>
        <v>0.30343520000000002</v>
      </c>
      <c r="AF52">
        <f>IF(Backend!AG79="", "", Backend!AG79)</f>
        <v>9.2528269999999996E-2</v>
      </c>
      <c r="AG52">
        <f>IF(Backend!AH79="", "", Backend!AH79)</f>
        <v>0.27863607000000001</v>
      </c>
      <c r="AH52">
        <f>IF(Backend!AI79="", "", Backend!AI79)</f>
        <v>0.19437598</v>
      </c>
      <c r="AI52">
        <f>IF(Backend!AJ79="", "", Backend!AJ79)</f>
        <v>0.38943457999999997</v>
      </c>
      <c r="AJ52">
        <f>IF(Backend!AK79="", "", Backend!AK79)</f>
        <v>0.15852267</v>
      </c>
      <c r="AK52">
        <f>IF(Backend!AL79="", "", Backend!AL79)</f>
        <v>9.1508999999999993E-2</v>
      </c>
      <c r="AL52">
        <f>IF(Backend!AM79="", "", Backend!AM79)</f>
        <v>7.8942419999999999E-2</v>
      </c>
      <c r="AM52">
        <f>IF(Backend!AN79="", "", Backend!AN79)</f>
        <v>0.44577464</v>
      </c>
      <c r="AN52">
        <f>IF(Backend!AO79="", "", Backend!AO79)</f>
        <v>0.29331183</v>
      </c>
      <c r="AO52">
        <f>IF(Backend!AP79="", "", Backend!AP79)</f>
        <v>0.20876803999999999</v>
      </c>
      <c r="AP52">
        <f>IF(Backend!AQ79="", "", Backend!AQ79)</f>
        <v>0.24160345</v>
      </c>
      <c r="AQ52">
        <f>IF(Backend!AR79="", "", Backend!AR79)</f>
        <v>0.14507529999999999</v>
      </c>
      <c r="AR52">
        <f>IF(Backend!AS79="", "", Backend!AS79)</f>
        <v>0.19916448</v>
      </c>
      <c r="AS52">
        <f>IF(Backend!AT79="", "", Backend!AT79)</f>
        <v>0.22724968000000001</v>
      </c>
      <c r="AT52">
        <f>IF(Backend!AU79="", "", Backend!AU79)</f>
        <v>0.16999258</v>
      </c>
      <c r="AU52">
        <f>IF(Backend!AV79="", "", Backend!AV79)</f>
        <v>0.44353870000000001</v>
      </c>
      <c r="AV52">
        <f>IF(Backend!AW79="", "", Backend!AW79)</f>
        <v>0.37842825000000002</v>
      </c>
      <c r="AW52">
        <f>IF(Backend!AX79="", "", Backend!AX79)</f>
        <v>0.28225466999999999</v>
      </c>
      <c r="AX52">
        <f>IF(Backend!AY79="", "", Backend!AY79)</f>
        <v>1</v>
      </c>
      <c r="AY52">
        <f>IF(Backend!AZ79="", "", Backend!AZ79)</f>
        <v>0.28026067999999998</v>
      </c>
      <c r="AZ52">
        <f>IF(Backend!BA79="", "", Backend!BA79)</f>
        <v>0.16545591000000001</v>
      </c>
      <c r="BA52">
        <f>IF(Backend!BB79="", "", Backend!BB79)</f>
        <v>0.25293051999999999</v>
      </c>
      <c r="BB52">
        <f>IF(Backend!BC79="", "", Backend!BC79)</f>
        <v>7.0343113999999998E-2</v>
      </c>
      <c r="BC52">
        <f>IF(Backend!BD79="", "", Backend!BD79)</f>
        <v>0.19038513000000001</v>
      </c>
      <c r="BD52">
        <f>IF(Backend!BE79="", "", Backend!BE79)</f>
        <v>0.27804780000000001</v>
      </c>
      <c r="BE52">
        <f>IF(Backend!BF79="", "", Backend!BF79)</f>
        <v>0.47643918000000002</v>
      </c>
      <c r="BF52">
        <f>IF(Backend!BG79="", "", Backend!BG79)</f>
        <v>7.613077E-2</v>
      </c>
      <c r="BG52">
        <f>IF(Backend!BH79="", "", Backend!BH79)</f>
        <v>0.19029230999999999</v>
      </c>
      <c r="BH52">
        <f>IF(Backend!BI79="", "", Backend!BI79)</f>
        <v>0.21217005999999999</v>
      </c>
      <c r="BI52" t="str">
        <f>IF(Backend!BJ79="", "", Backend!BJ79)</f>
        <v/>
      </c>
      <c r="BJ52" t="str">
        <f>IF(Backend!BK79="", "", Backend!BK79)</f>
        <v/>
      </c>
      <c r="BK52" t="str">
        <f>IF(Backend!BL79="", "", Backend!BL79)</f>
        <v/>
      </c>
      <c r="BL52" t="str">
        <f>IF(Backend!BM79="", "", Backend!BM79)</f>
        <v/>
      </c>
      <c r="BM52" t="str">
        <f>IF(Backend!BN79="", "", Backend!BN79)</f>
        <v/>
      </c>
      <c r="BN52" t="str">
        <f>IF(Backend!BO79="", "", Backend!BO79)</f>
        <v/>
      </c>
      <c r="BO52" t="str">
        <f>IF(Backend!BP79="", "", Backend!BP79)</f>
        <v/>
      </c>
      <c r="BP52" t="str">
        <f>IF(Backend!BQ79="", "", Backend!BQ79)</f>
        <v/>
      </c>
      <c r="BQ52" t="str">
        <f>IF(Backend!BR79="", "", Backend!BR79)</f>
        <v/>
      </c>
      <c r="BR52" t="str">
        <f>IF(Backend!BS79="", "", Backend!BS79)</f>
        <v/>
      </c>
      <c r="BS52" t="str">
        <f>IF(Backend!BT79="", "", Backend!BT79)</f>
        <v/>
      </c>
      <c r="BT52" t="str">
        <f>IF(Backend!BU79="", "", Backend!BU79)</f>
        <v/>
      </c>
      <c r="BU52" t="str">
        <f>IF(Backend!BV79="", "", Backend!BV79)</f>
        <v/>
      </c>
      <c r="BV52" t="str">
        <f>IF(Backend!BW79="", "", Backend!BW79)</f>
        <v/>
      </c>
      <c r="BW52" t="str">
        <f>IF(Backend!BX79="", "", Backend!BX79)</f>
        <v/>
      </c>
      <c r="BX52" t="str">
        <f>IF(Backend!BY79="", "", Backend!BY79)</f>
        <v/>
      </c>
      <c r="BY52" t="str">
        <f>IF(Backend!BZ79="", "", Backend!BZ79)</f>
        <v/>
      </c>
      <c r="BZ52" t="str">
        <f>IF(Backend!CA79="", "", Backend!CA79)</f>
        <v/>
      </c>
      <c r="CA52" t="str">
        <f>IF(Backend!CB79="", "", Backend!CB79)</f>
        <v/>
      </c>
      <c r="CB52" t="str">
        <f>IF(Backend!CC79="", "", Backend!CC79)</f>
        <v/>
      </c>
      <c r="CC52" t="str">
        <f>IF(Backend!CD79="", "", Backend!CD79)</f>
        <v/>
      </c>
    </row>
    <row r="53" spans="1:81" x14ac:dyDescent="0.25">
      <c r="A53" s="4" t="str">
        <f>IF(Backend!A80="", "", Backend!A80)</f>
        <v>Ternium S.A. Sponsored ADR</v>
      </c>
      <c r="B53">
        <f>IF(Backend!C80="", "", Backend!C80)</f>
        <v>0.28432350000000001</v>
      </c>
      <c r="C53">
        <f>IF(Backend!D80="", "", Backend!D80)</f>
        <v>0.44327343000000002</v>
      </c>
      <c r="D53">
        <f>IF(Backend!E80="", "", Backend!E80)</f>
        <v>0.15071787</v>
      </c>
      <c r="E53">
        <f>IF(Backend!F80="", "", Backend!F80)</f>
        <v>0.38759403999999997</v>
      </c>
      <c r="F53">
        <f>IF(Backend!G80="", "", Backend!G80)</f>
        <v>0.24097673999999999</v>
      </c>
      <c r="G53">
        <f>IF(Backend!H80="", "", Backend!H80)</f>
        <v>0.14724803</v>
      </c>
      <c r="H53">
        <f>IF(Backend!I80="", "", Backend!I80)</f>
        <v>0.36164184999999999</v>
      </c>
      <c r="I53">
        <f>IF(Backend!J80="", "", Backend!J80)</f>
        <v>0.22059269000000001</v>
      </c>
      <c r="J53">
        <f>IF(Backend!K80="", "", Backend!K80)</f>
        <v>8.8818439999999999E-2</v>
      </c>
      <c r="K53">
        <f>IF(Backend!L80="", "", Backend!L80)</f>
        <v>0.19218260000000001</v>
      </c>
      <c r="L53">
        <f>IF(Backend!M80="", "", Backend!M80)</f>
        <v>0.21651211000000001</v>
      </c>
      <c r="M53">
        <f>IF(Backend!N80="", "", Backend!N80)</f>
        <v>0.18843508</v>
      </c>
      <c r="N53">
        <f>IF(Backend!O80="", "", Backend!O80)</f>
        <v>0.29230015999999998</v>
      </c>
      <c r="O53">
        <f>IF(Backend!P80="", "", Backend!P80)</f>
        <v>6.6228510000000004E-2</v>
      </c>
      <c r="P53">
        <f>IF(Backend!Q80="", "", Backend!Q80)</f>
        <v>0.27799326000000002</v>
      </c>
      <c r="Q53">
        <f>IF(Backend!R80="", "", Backend!R80)</f>
        <v>0.34412854999999998</v>
      </c>
      <c r="R53">
        <f>IF(Backend!S80="", "", Backend!S80)</f>
        <v>8.5775980000000002E-2</v>
      </c>
      <c r="S53">
        <f>IF(Backend!T80="", "", Backend!T80)</f>
        <v>4.9683302999999998E-2</v>
      </c>
      <c r="T53">
        <f>IF(Backend!U80="", "", Backend!U80)</f>
        <v>0.39414006000000001</v>
      </c>
      <c r="U53">
        <f>IF(Backend!V80="", "", Backend!V80)</f>
        <v>0.11719091</v>
      </c>
      <c r="V53">
        <f>IF(Backend!W80="", "", Backend!W80)</f>
        <v>0.32060432</v>
      </c>
      <c r="W53">
        <f>IF(Backend!X80="", "", Backend!X80)</f>
        <v>0.24924225</v>
      </c>
      <c r="X53">
        <f>IF(Backend!Y80="", "", Backend!Y80)</f>
        <v>8.5493304000000006E-2</v>
      </c>
      <c r="Y53">
        <f>IF(Backend!Z80="", "", Backend!Z80)</f>
        <v>0.26975830000000001</v>
      </c>
      <c r="Z53">
        <f>IF(Backend!AA80="", "", Backend!AA80)</f>
        <v>0.11338912</v>
      </c>
      <c r="AA53">
        <f>IF(Backend!AB80="", "", Backend!AB80)</f>
        <v>0.11599261</v>
      </c>
      <c r="AB53">
        <f>IF(Backend!AC80="", "", Backend!AC80)</f>
        <v>0.42440885</v>
      </c>
      <c r="AC53">
        <f>IF(Backend!AD80="", "", Backend!AD80)</f>
        <v>0.46909942999999998</v>
      </c>
      <c r="AD53">
        <f>IF(Backend!AE80="", "", Backend!AE80)</f>
        <v>0.24578261000000001</v>
      </c>
      <c r="AE53">
        <f>IF(Backend!AF80="", "", Backend!AF80)</f>
        <v>0.36476612000000003</v>
      </c>
      <c r="AF53">
        <f>IF(Backend!AG80="", "", Backend!AG80)</f>
        <v>3.0391135999999999E-2</v>
      </c>
      <c r="AG53">
        <f>IF(Backend!AH80="", "", Backend!AH80)</f>
        <v>0.34912246000000002</v>
      </c>
      <c r="AH53">
        <f>IF(Backend!AI80="", "", Backend!AI80)</f>
        <v>0.22601563</v>
      </c>
      <c r="AI53">
        <f>IF(Backend!AJ80="", "", Backend!AJ80)</f>
        <v>0.32464432999999998</v>
      </c>
      <c r="AJ53">
        <f>IF(Backend!AK80="", "", Backend!AK80)</f>
        <v>6.1140372999999998E-2</v>
      </c>
      <c r="AK53">
        <f>IF(Backend!AL80="", "", Backend!AL80)</f>
        <v>2.9599085000000001E-2</v>
      </c>
      <c r="AL53">
        <f>IF(Backend!AM80="", "", Backend!AM80)</f>
        <v>0.1681744</v>
      </c>
      <c r="AM53">
        <f>IF(Backend!AN80="", "", Backend!AN80)</f>
        <v>0.18319193</v>
      </c>
      <c r="AN53">
        <f>IF(Backend!AO80="", "", Backend!AO80)</f>
        <v>0.30355897999999998</v>
      </c>
      <c r="AO53">
        <f>IF(Backend!AP80="", "", Backend!AP80)</f>
        <v>7.9258209999999996E-2</v>
      </c>
      <c r="AP53">
        <f>IF(Backend!AQ80="", "", Backend!AQ80)</f>
        <v>0.25858006</v>
      </c>
      <c r="AQ53">
        <f>IF(Backend!AR80="", "", Backend!AR80)</f>
        <v>7.1035213999999999E-2</v>
      </c>
      <c r="AR53">
        <f>IF(Backend!AS80="", "", Backend!AS80)</f>
        <v>8.4560179999999999E-2</v>
      </c>
      <c r="AS53">
        <f>IF(Backend!AT80="", "", Backend!AT80)</f>
        <v>0.15463916999999999</v>
      </c>
      <c r="AT53">
        <f>IF(Backend!AU80="", "", Backend!AU80)</f>
        <v>8.1544039999999998E-2</v>
      </c>
      <c r="AU53">
        <f>IF(Backend!AV80="", "", Backend!AV80)</f>
        <v>0.31774639999999998</v>
      </c>
      <c r="AV53">
        <f>IF(Backend!AW80="", "", Backend!AW80)</f>
        <v>0.32397628000000001</v>
      </c>
      <c r="AW53">
        <f>IF(Backend!AX80="", "", Backend!AX80)</f>
        <v>0.37494585000000002</v>
      </c>
      <c r="AX53">
        <f>IF(Backend!AY80="", "", Backend!AY80)</f>
        <v>0.28026067999999998</v>
      </c>
      <c r="AY53">
        <f>IF(Backend!AZ80="", "", Backend!AZ80)</f>
        <v>1</v>
      </c>
      <c r="AZ53">
        <f>IF(Backend!BA80="", "", Backend!BA80)</f>
        <v>4.8891339999999998E-2</v>
      </c>
      <c r="BA53">
        <f>IF(Backend!BB80="", "", Backend!BB80)</f>
        <v>0.25123948000000002</v>
      </c>
      <c r="BB53">
        <f>IF(Backend!BC80="", "", Backend!BC80)</f>
        <v>0.15305974999999999</v>
      </c>
      <c r="BC53">
        <f>IF(Backend!BD80="", "", Backend!BD80)</f>
        <v>0.23407452000000001</v>
      </c>
      <c r="BD53">
        <f>IF(Backend!BE80="", "", Backend!BE80)</f>
        <v>0.20727928000000001</v>
      </c>
      <c r="BE53">
        <f>IF(Backend!BF80="", "", Backend!BF80)</f>
        <v>0.29366428</v>
      </c>
      <c r="BF53">
        <f>IF(Backend!BG80="", "", Backend!BG80)</f>
        <v>0.18174905999999999</v>
      </c>
      <c r="BG53">
        <f>IF(Backend!BH80="", "", Backend!BH80)</f>
        <v>0.276111</v>
      </c>
      <c r="BH53">
        <f>IF(Backend!BI80="", "", Backend!BI80)</f>
        <v>0.29653566999999997</v>
      </c>
      <c r="BI53" t="str">
        <f>IF(Backend!BJ80="", "", Backend!BJ80)</f>
        <v/>
      </c>
      <c r="BJ53" t="str">
        <f>IF(Backend!BK80="", "", Backend!BK80)</f>
        <v/>
      </c>
      <c r="BK53" t="str">
        <f>IF(Backend!BL80="", "", Backend!BL80)</f>
        <v/>
      </c>
      <c r="BL53" t="str">
        <f>IF(Backend!BM80="", "", Backend!BM80)</f>
        <v/>
      </c>
      <c r="BM53" t="str">
        <f>IF(Backend!BN80="", "", Backend!BN80)</f>
        <v/>
      </c>
      <c r="BN53" t="str">
        <f>IF(Backend!BO80="", "", Backend!BO80)</f>
        <v/>
      </c>
      <c r="BO53" t="str">
        <f>IF(Backend!BP80="", "", Backend!BP80)</f>
        <v/>
      </c>
      <c r="BP53" t="str">
        <f>IF(Backend!BQ80="", "", Backend!BQ80)</f>
        <v/>
      </c>
      <c r="BQ53" t="str">
        <f>IF(Backend!BR80="", "", Backend!BR80)</f>
        <v/>
      </c>
      <c r="BR53" t="str">
        <f>IF(Backend!BS80="", "", Backend!BS80)</f>
        <v/>
      </c>
      <c r="BS53" t="str">
        <f>IF(Backend!BT80="", "", Backend!BT80)</f>
        <v/>
      </c>
      <c r="BT53" t="str">
        <f>IF(Backend!BU80="", "", Backend!BU80)</f>
        <v/>
      </c>
      <c r="BU53" t="str">
        <f>IF(Backend!BV80="", "", Backend!BV80)</f>
        <v/>
      </c>
      <c r="BV53" t="str">
        <f>IF(Backend!BW80="", "", Backend!BW80)</f>
        <v/>
      </c>
      <c r="BW53" t="str">
        <f>IF(Backend!BX80="", "", Backend!BX80)</f>
        <v/>
      </c>
      <c r="BX53" t="str">
        <f>IF(Backend!BY80="", "", Backend!BY80)</f>
        <v/>
      </c>
      <c r="BY53" t="str">
        <f>IF(Backend!BZ80="", "", Backend!BZ80)</f>
        <v/>
      </c>
      <c r="BZ53" t="str">
        <f>IF(Backend!CA80="", "", Backend!CA80)</f>
        <v/>
      </c>
      <c r="CA53" t="str">
        <f>IF(Backend!CB80="", "", Backend!CB80)</f>
        <v/>
      </c>
      <c r="CB53" t="str">
        <f>IF(Backend!CC80="", "", Backend!CC80)</f>
        <v/>
      </c>
      <c r="CC53" t="str">
        <f>IF(Backend!CD80="", "", Backend!CD80)</f>
        <v/>
      </c>
    </row>
    <row r="54" spans="1:81" x14ac:dyDescent="0.25">
      <c r="A54" s="4" t="str">
        <f>IF(Backend!A81="", "", Backend!A81)</f>
        <v>TOKAI RIKA CO., LTD.</v>
      </c>
      <c r="B54">
        <f>IF(Backend!C81="", "", Backend!C81)</f>
        <v>0.19002204</v>
      </c>
      <c r="C54">
        <f>IF(Backend!D81="", "", Backend!D81)</f>
        <v>9.7889069999999995E-2</v>
      </c>
      <c r="D54">
        <f>IF(Backend!E81="", "", Backend!E81)</f>
        <v>8.9549260000000006E-2</v>
      </c>
      <c r="E54">
        <f>IF(Backend!F81="", "", Backend!F81)</f>
        <v>6.9744840000000002E-2</v>
      </c>
      <c r="F54">
        <f>IF(Backend!G81="", "", Backend!G81)</f>
        <v>6.815889E-2</v>
      </c>
      <c r="G54">
        <f>IF(Backend!H81="", "", Backend!H81)</f>
        <v>0.13840169999999999</v>
      </c>
      <c r="H54">
        <f>IF(Backend!I81="", "", Backend!I81)</f>
        <v>0.13901925000000001</v>
      </c>
      <c r="I54">
        <f>IF(Backend!J81="", "", Backend!J81)</f>
        <v>0.15196058000000001</v>
      </c>
      <c r="J54">
        <f>IF(Backend!K81="", "", Backend!K81)</f>
        <v>6.6571459999999999E-2</v>
      </c>
      <c r="K54">
        <f>IF(Backend!L81="", "", Backend!L81)</f>
        <v>0.1622779</v>
      </c>
      <c r="L54">
        <f>IF(Backend!M81="", "", Backend!M81)</f>
        <v>0.118296556</v>
      </c>
      <c r="M54">
        <f>IF(Backend!N81="", "", Backend!N81)</f>
        <v>8.9951950000000003E-2</v>
      </c>
      <c r="N54">
        <f>IF(Backend!O81="", "", Backend!O81)</f>
        <v>0.13997997000000001</v>
      </c>
      <c r="O54">
        <f>IF(Backend!P81="", "", Backend!P81)</f>
        <v>0.43034</v>
      </c>
      <c r="P54">
        <f>IF(Backend!Q81="", "", Backend!Q81)</f>
        <v>0.13578808000000001</v>
      </c>
      <c r="Q54">
        <f>IF(Backend!R81="", "", Backend!R81)</f>
        <v>0.11527468</v>
      </c>
      <c r="R54">
        <f>IF(Backend!S81="", "", Backend!S81)</f>
        <v>0.10647385600000001</v>
      </c>
      <c r="S54">
        <f>IF(Backend!T81="", "", Backend!T81)</f>
        <v>0.29226111999999999</v>
      </c>
      <c r="T54">
        <f>IF(Backend!U81="", "", Backend!U81)</f>
        <v>6.1953899999999999E-2</v>
      </c>
      <c r="U54">
        <f>IF(Backend!V81="", "", Backend!V81)</f>
        <v>0.25578865000000001</v>
      </c>
      <c r="V54">
        <f>IF(Backend!W81="", "", Backend!W81)</f>
        <v>3.7232157000000002E-2</v>
      </c>
      <c r="W54">
        <f>IF(Backend!X81="", "", Backend!X81)</f>
        <v>6.2665520000000002E-2</v>
      </c>
      <c r="X54">
        <f>IF(Backend!Y81="", "", Backend!Y81)</f>
        <v>0.18306064999999999</v>
      </c>
      <c r="Y54">
        <f>IF(Backend!Z81="", "", Backend!Z81)</f>
        <v>0.13221139000000001</v>
      </c>
      <c r="Z54">
        <f>IF(Backend!AA81="", "", Backend!AA81)</f>
        <v>0.11182416000000001</v>
      </c>
      <c r="AA54">
        <f>IF(Backend!AB81="", "", Backend!AB81)</f>
        <v>4.8870955000000001E-2</v>
      </c>
      <c r="AB54">
        <f>IF(Backend!AC81="", "", Backend!AC81)</f>
        <v>7.9062519999999997E-2</v>
      </c>
      <c r="AC54">
        <f>IF(Backend!AD81="", "", Backend!AD81)</f>
        <v>4.1840740000000001E-2</v>
      </c>
      <c r="AD54">
        <f>IF(Backend!AE81="", "", Backend!AE81)</f>
        <v>5.1366340000000003E-2</v>
      </c>
      <c r="AE54">
        <f>IF(Backend!AF81="", "", Backend!AF81)</f>
        <v>6.4735589999999996E-2</v>
      </c>
      <c r="AF54">
        <f>IF(Backend!AG81="", "", Backend!AG81)</f>
        <v>0.38931830000000001</v>
      </c>
      <c r="AG54">
        <f>IF(Backend!AH81="", "", Backend!AH81)</f>
        <v>0.12375406</v>
      </c>
      <c r="AH54">
        <f>IF(Backend!AI81="", "", Backend!AI81)</f>
        <v>7.2121896000000005E-2</v>
      </c>
      <c r="AI54">
        <f>IF(Backend!AJ81="", "", Backend!AJ81)</f>
        <v>0.13950973999999999</v>
      </c>
      <c r="AJ54">
        <f>IF(Backend!AK81="", "", Backend!AK81)</f>
        <v>0.45050314000000002</v>
      </c>
      <c r="AK54">
        <f>IF(Backend!AL81="", "", Backend!AL81)</f>
        <v>0.44056708</v>
      </c>
      <c r="AL54">
        <f>IF(Backend!AM81="", "", Backend!AM81)</f>
        <v>1.9831552999999998E-2</v>
      </c>
      <c r="AM54">
        <f>IF(Backend!AN81="", "", Backend!AN81)</f>
        <v>7.8177499999999997E-2</v>
      </c>
      <c r="AN54">
        <f>IF(Backend!AO81="", "", Backend!AO81)</f>
        <v>0.11973667</v>
      </c>
      <c r="AO54">
        <f>IF(Backend!AP81="", "", Backend!AP81)</f>
        <v>0.39116721999999998</v>
      </c>
      <c r="AP54">
        <f>IF(Backend!AQ81="", "", Backend!AQ81)</f>
        <v>3.4308116999999999E-2</v>
      </c>
      <c r="AQ54">
        <f>IF(Backend!AR81="", "", Backend!AR81)</f>
        <v>0.23048382000000001</v>
      </c>
      <c r="AR54">
        <f>IF(Backend!AS81="", "", Backend!AS81)</f>
        <v>6.1362470000000002E-2</v>
      </c>
      <c r="AS54">
        <f>IF(Backend!AT81="", "", Backend!AT81)</f>
        <v>0.12707856000000001</v>
      </c>
      <c r="AT54">
        <f>IF(Backend!AU81="", "", Backend!AU81)</f>
        <v>0.17890501</v>
      </c>
      <c r="AU54">
        <f>IF(Backend!AV81="", "", Backend!AV81)</f>
        <v>0.13961501000000001</v>
      </c>
      <c r="AV54">
        <f>IF(Backend!AW81="", "", Backend!AW81)</f>
        <v>0.12514895000000001</v>
      </c>
      <c r="AW54">
        <f>IF(Backend!AX81="", "", Backend!AX81)</f>
        <v>0.13552183000000001</v>
      </c>
      <c r="AX54">
        <f>IF(Backend!AY81="", "", Backend!AY81)</f>
        <v>0.16545591000000001</v>
      </c>
      <c r="AY54">
        <f>IF(Backend!AZ81="", "", Backend!AZ81)</f>
        <v>4.8891339999999998E-2</v>
      </c>
      <c r="AZ54">
        <f>IF(Backend!BA81="", "", Backend!BA81)</f>
        <v>1</v>
      </c>
      <c r="BA54">
        <f>IF(Backend!BB81="", "", Backend!BB81)</f>
        <v>0.12100472</v>
      </c>
      <c r="BB54">
        <f>IF(Backend!BC81="", "", Backend!BC81)</f>
        <v>8.0636189999999996E-2</v>
      </c>
      <c r="BC54">
        <f>IF(Backend!BD81="", "", Backend!BD81)</f>
        <v>1.8340579999999999E-2</v>
      </c>
      <c r="BD54">
        <f>IF(Backend!BE81="", "", Backend!BE81)</f>
        <v>0.15175621</v>
      </c>
      <c r="BE54">
        <f>IF(Backend!BF81="", "", Backend!BF81)</f>
        <v>0.16453809999999999</v>
      </c>
      <c r="BF54">
        <f>IF(Backend!BG81="", "", Backend!BG81)</f>
        <v>6.287218E-2</v>
      </c>
      <c r="BG54">
        <f>IF(Backend!BH81="", "", Backend!BH81)</f>
        <v>5.8244063999999998E-2</v>
      </c>
      <c r="BH54">
        <f>IF(Backend!BI81="", "", Backend!BI81)</f>
        <v>4.5360922999999997E-2</v>
      </c>
      <c r="BI54" t="str">
        <f>IF(Backend!BJ81="", "", Backend!BJ81)</f>
        <v/>
      </c>
      <c r="BJ54" t="str">
        <f>IF(Backend!BK81="", "", Backend!BK81)</f>
        <v/>
      </c>
      <c r="BK54" t="str">
        <f>IF(Backend!BL81="", "", Backend!BL81)</f>
        <v/>
      </c>
      <c r="BL54" t="str">
        <f>IF(Backend!BM81="", "", Backend!BM81)</f>
        <v/>
      </c>
      <c r="BM54" t="str">
        <f>IF(Backend!BN81="", "", Backend!BN81)</f>
        <v/>
      </c>
      <c r="BN54" t="str">
        <f>IF(Backend!BO81="", "", Backend!BO81)</f>
        <v/>
      </c>
      <c r="BO54" t="str">
        <f>IF(Backend!BP81="", "", Backend!BP81)</f>
        <v/>
      </c>
      <c r="BP54" t="str">
        <f>IF(Backend!BQ81="", "", Backend!BQ81)</f>
        <v/>
      </c>
      <c r="BQ54" t="str">
        <f>IF(Backend!BR81="", "", Backend!BR81)</f>
        <v/>
      </c>
      <c r="BR54" t="str">
        <f>IF(Backend!BS81="", "", Backend!BS81)</f>
        <v/>
      </c>
      <c r="BS54" t="str">
        <f>IF(Backend!BT81="", "", Backend!BT81)</f>
        <v/>
      </c>
      <c r="BT54" t="str">
        <f>IF(Backend!BU81="", "", Backend!BU81)</f>
        <v/>
      </c>
      <c r="BU54" t="str">
        <f>IF(Backend!BV81="", "", Backend!BV81)</f>
        <v/>
      </c>
      <c r="BV54" t="str">
        <f>IF(Backend!BW81="", "", Backend!BW81)</f>
        <v/>
      </c>
      <c r="BW54" t="str">
        <f>IF(Backend!BX81="", "", Backend!BX81)</f>
        <v/>
      </c>
      <c r="BX54" t="str">
        <f>IF(Backend!BY81="", "", Backend!BY81)</f>
        <v/>
      </c>
      <c r="BY54" t="str">
        <f>IF(Backend!BZ81="", "", Backend!BZ81)</f>
        <v/>
      </c>
      <c r="BZ54" t="str">
        <f>IF(Backend!CA81="", "", Backend!CA81)</f>
        <v/>
      </c>
      <c r="CA54" t="str">
        <f>IF(Backend!CB81="", "", Backend!CB81)</f>
        <v/>
      </c>
      <c r="CB54" t="str">
        <f>IF(Backend!CC81="", "", Backend!CC81)</f>
        <v/>
      </c>
      <c r="CC54" t="str">
        <f>IF(Backend!CD81="", "", Backend!CD81)</f>
        <v/>
      </c>
    </row>
    <row r="55" spans="1:81" x14ac:dyDescent="0.25">
      <c r="A55" s="4" t="str">
        <f>IF(Backend!A82="", "", Backend!A82)</f>
        <v>Valterra Platinum Limited</v>
      </c>
      <c r="B55">
        <f>IF(Backend!C82="", "", Backend!C82)</f>
        <v>0.26021358</v>
      </c>
      <c r="C55">
        <f>IF(Backend!D82="", "", Backend!D82)</f>
        <v>0.53149796000000005</v>
      </c>
      <c r="D55">
        <f>IF(Backend!E82="", "", Backend!E82)</f>
        <v>0.16476853</v>
      </c>
      <c r="E55">
        <f>IF(Backend!F82="", "", Backend!F82)</f>
        <v>0.15581703</v>
      </c>
      <c r="F55">
        <f>IF(Backend!G82="", "", Backend!G82)</f>
        <v>0.17733148000000001</v>
      </c>
      <c r="G55">
        <f>IF(Backend!H82="", "", Backend!H82)</f>
        <v>0.18846282</v>
      </c>
      <c r="H55">
        <f>IF(Backend!I82="", "", Backend!I82)</f>
        <v>0.29139789999999999</v>
      </c>
      <c r="I55">
        <f>IF(Backend!J82="", "", Backend!J82)</f>
        <v>0.23455875000000001</v>
      </c>
      <c r="J55">
        <f>IF(Backend!K82="", "", Backend!K82)</f>
        <v>2.6704367E-2</v>
      </c>
      <c r="K55">
        <f>IF(Backend!L82="", "", Backend!L82)</f>
        <v>0.17713893999999999</v>
      </c>
      <c r="L55">
        <f>IF(Backend!M82="", "", Backend!M82)</f>
        <v>0.2413409</v>
      </c>
      <c r="M55">
        <f>IF(Backend!N82="", "", Backend!N82)</f>
        <v>0.14838672999999999</v>
      </c>
      <c r="N55">
        <f>IF(Backend!O82="", "", Backend!O82)</f>
        <v>0.22272357000000001</v>
      </c>
      <c r="O55">
        <f>IF(Backend!P82="", "", Backend!P82)</f>
        <v>0.11684156</v>
      </c>
      <c r="P55">
        <f>IF(Backend!Q82="", "", Backend!Q82)</f>
        <v>0.23492771000000001</v>
      </c>
      <c r="Q55">
        <f>IF(Backend!R82="", "", Backend!R82)</f>
        <v>0.33345708000000002</v>
      </c>
      <c r="R55">
        <f>IF(Backend!S82="", "", Backend!S82)</f>
        <v>0.17579706</v>
      </c>
      <c r="S55">
        <f>IF(Backend!T82="", "", Backend!T82)</f>
        <v>8.6646829999999994E-2</v>
      </c>
      <c r="T55">
        <f>IF(Backend!U82="", "", Backend!U82)</f>
        <v>0.15446173999999999</v>
      </c>
      <c r="U55">
        <f>IF(Backend!V82="", "", Backend!V82)</f>
        <v>9.668562E-2</v>
      </c>
      <c r="V55">
        <f>IF(Backend!W82="", "", Backend!W82)</f>
        <v>0.11236106</v>
      </c>
      <c r="W55">
        <f>IF(Backend!X82="", "", Backend!X82)</f>
        <v>0.1115454</v>
      </c>
      <c r="X55">
        <f>IF(Backend!Y82="", "", Backend!Y82)</f>
        <v>0.13014595000000001</v>
      </c>
      <c r="Y55">
        <f>IF(Backend!Z82="", "", Backend!Z82)</f>
        <v>0.250801</v>
      </c>
      <c r="Z55">
        <f>IF(Backend!AA82="", "", Backend!AA82)</f>
        <v>0.11254</v>
      </c>
      <c r="AA55">
        <f>IF(Backend!AB82="", "", Backend!AB82)</f>
        <v>1.7753109999999999E-2</v>
      </c>
      <c r="AB55">
        <f>IF(Backend!AC82="", "", Backend!AC82)</f>
        <v>0.15911411</v>
      </c>
      <c r="AC55">
        <f>IF(Backend!AD82="", "", Backend!AD82)</f>
        <v>0.14197093</v>
      </c>
      <c r="AD55">
        <f>IF(Backend!AE82="", "", Backend!AE82)</f>
        <v>6.8878344999999994E-2</v>
      </c>
      <c r="AE55">
        <f>IF(Backend!AF82="", "", Backend!AF82)</f>
        <v>0.10715157</v>
      </c>
      <c r="AF55">
        <f>IF(Backend!AG82="", "", Backend!AG82)</f>
        <v>4.7542106000000001E-2</v>
      </c>
      <c r="AG55">
        <f>IF(Backend!AH82="", "", Backend!AH82)</f>
        <v>0.13513254999999999</v>
      </c>
      <c r="AH55">
        <f>IF(Backend!AI82="", "", Backend!AI82)</f>
        <v>4.8805705999999997E-2</v>
      </c>
      <c r="AI55">
        <f>IF(Backend!AJ82="", "", Backend!AJ82)</f>
        <v>0.26061296</v>
      </c>
      <c r="AJ55">
        <f>IF(Backend!AK82="", "", Backend!AK82)</f>
        <v>7.8146270000000004E-2</v>
      </c>
      <c r="AK55">
        <f>IF(Backend!AL82="", "", Backend!AL82)</f>
        <v>6.6277409999999995E-2</v>
      </c>
      <c r="AL55">
        <f>IF(Backend!AM82="", "", Backend!AM82)</f>
        <v>3.8420375E-2</v>
      </c>
      <c r="AM55">
        <f>IF(Backend!AN82="", "", Backend!AN82)</f>
        <v>0.19795483</v>
      </c>
      <c r="AN55">
        <f>IF(Backend!AO82="", "", Backend!AO82)</f>
        <v>0.276754</v>
      </c>
      <c r="AO55">
        <f>IF(Backend!AP82="", "", Backend!AP82)</f>
        <v>0.16341968000000001</v>
      </c>
      <c r="AP55">
        <f>IF(Backend!AQ82="", "", Backend!AQ82)</f>
        <v>5.8085146999999997E-2</v>
      </c>
      <c r="AQ55">
        <f>IF(Backend!AR82="", "", Backend!AR82)</f>
        <v>0.15745598</v>
      </c>
      <c r="AR55">
        <f>IF(Backend!AS82="", "", Backend!AS82)</f>
        <v>0.17028552</v>
      </c>
      <c r="AS55">
        <f>IF(Backend!AT82="", "", Backend!AT82)</f>
        <v>0.14826929999999999</v>
      </c>
      <c r="AT55">
        <f>IF(Backend!AU82="", "", Backend!AU82)</f>
        <v>0.15203172000000001</v>
      </c>
      <c r="AU55">
        <f>IF(Backend!AV82="", "", Backend!AV82)</f>
        <v>0.23372190000000001</v>
      </c>
      <c r="AV55">
        <f>IF(Backend!AW82="", "", Backend!AW82)</f>
        <v>0.23128551</v>
      </c>
      <c r="AW55">
        <f>IF(Backend!AX82="", "", Backend!AX82)</f>
        <v>0.124052994</v>
      </c>
      <c r="AX55">
        <f>IF(Backend!AY82="", "", Backend!AY82)</f>
        <v>0.25293051999999999</v>
      </c>
      <c r="AY55">
        <f>IF(Backend!AZ82="", "", Backend!AZ82)</f>
        <v>0.25123948000000002</v>
      </c>
      <c r="AZ55">
        <f>IF(Backend!BA82="", "", Backend!BA82)</f>
        <v>0.12100472</v>
      </c>
      <c r="BA55">
        <f>IF(Backend!BB82="", "", Backend!BB82)</f>
        <v>1</v>
      </c>
      <c r="BB55">
        <f>IF(Backend!BC82="", "", Backend!BC82)</f>
        <v>2.1000797000000002E-2</v>
      </c>
      <c r="BC55">
        <f>IF(Backend!BD82="", "", Backend!BD82)</f>
        <v>8.207536E-2</v>
      </c>
      <c r="BD55">
        <f>IF(Backend!BE82="", "", Backend!BE82)</f>
        <v>0.20814299999999999</v>
      </c>
      <c r="BE55">
        <f>IF(Backend!BF82="", "", Backend!BF82)</f>
        <v>0.25193290000000002</v>
      </c>
      <c r="BF55">
        <f>IF(Backend!BG82="", "", Backend!BG82)</f>
        <v>0.12261399000000001</v>
      </c>
      <c r="BG55">
        <f>IF(Backend!BH82="", "", Backend!BH82)</f>
        <v>8.8333389999999998E-2</v>
      </c>
      <c r="BH55">
        <f>IF(Backend!BI82="", "", Backend!BI82)</f>
        <v>0.12705891999999999</v>
      </c>
      <c r="BI55" t="str">
        <f>IF(Backend!BJ82="", "", Backend!BJ82)</f>
        <v/>
      </c>
      <c r="BJ55" t="str">
        <f>IF(Backend!BK82="", "", Backend!BK82)</f>
        <v/>
      </c>
      <c r="BK55" t="str">
        <f>IF(Backend!BL82="", "", Backend!BL82)</f>
        <v/>
      </c>
      <c r="BL55" t="str">
        <f>IF(Backend!BM82="", "", Backend!BM82)</f>
        <v/>
      </c>
      <c r="BM55" t="str">
        <f>IF(Backend!BN82="", "", Backend!BN82)</f>
        <v/>
      </c>
      <c r="BN55" t="str">
        <f>IF(Backend!BO82="", "", Backend!BO82)</f>
        <v/>
      </c>
      <c r="BO55" t="str">
        <f>IF(Backend!BP82="", "", Backend!BP82)</f>
        <v/>
      </c>
      <c r="BP55" t="str">
        <f>IF(Backend!BQ82="", "", Backend!BQ82)</f>
        <v/>
      </c>
      <c r="BQ55" t="str">
        <f>IF(Backend!BR82="", "", Backend!BR82)</f>
        <v/>
      </c>
      <c r="BR55" t="str">
        <f>IF(Backend!BS82="", "", Backend!BS82)</f>
        <v/>
      </c>
      <c r="BS55" t="str">
        <f>IF(Backend!BT82="", "", Backend!BT82)</f>
        <v/>
      </c>
      <c r="BT55" t="str">
        <f>IF(Backend!BU82="", "", Backend!BU82)</f>
        <v/>
      </c>
      <c r="BU55" t="str">
        <f>IF(Backend!BV82="", "", Backend!BV82)</f>
        <v/>
      </c>
      <c r="BV55" t="str">
        <f>IF(Backend!BW82="", "", Backend!BW82)</f>
        <v/>
      </c>
      <c r="BW55" t="str">
        <f>IF(Backend!BX82="", "", Backend!BX82)</f>
        <v/>
      </c>
      <c r="BX55" t="str">
        <f>IF(Backend!BY82="", "", Backend!BY82)</f>
        <v/>
      </c>
      <c r="BY55" t="str">
        <f>IF(Backend!BZ82="", "", Backend!BZ82)</f>
        <v/>
      </c>
      <c r="BZ55" t="str">
        <f>IF(Backend!CA82="", "", Backend!CA82)</f>
        <v/>
      </c>
      <c r="CA55" t="str">
        <f>IF(Backend!CB82="", "", Backend!CB82)</f>
        <v/>
      </c>
      <c r="CB55" t="str">
        <f>IF(Backend!CC82="", "", Backend!CC82)</f>
        <v/>
      </c>
      <c r="CC55" t="str">
        <f>IF(Backend!CD82="", "", Backend!CD82)</f>
        <v/>
      </c>
    </row>
    <row r="56" spans="1:81" x14ac:dyDescent="0.25">
      <c r="A56" s="4" t="str">
        <f>IF(Backend!A83="", "", Backend!A83)</f>
        <v>Verizon Communications Inc.</v>
      </c>
      <c r="B56">
        <f>IF(Backend!C83="", "", Backend!C83)</f>
        <v>0.11426086000000001</v>
      </c>
      <c r="C56">
        <f>IF(Backend!D83="", "", Backend!D83)</f>
        <v>7.9161919999999997E-2</v>
      </c>
      <c r="D56">
        <f>IF(Backend!E83="", "", Backend!E83)</f>
        <v>8.6470560000000002E-3</v>
      </c>
      <c r="E56">
        <f>IF(Backend!F83="", "", Backend!F83)</f>
        <v>0.12921235</v>
      </c>
      <c r="F56">
        <f>IF(Backend!G83="", "", Backend!G83)</f>
        <v>5.8938865E-2</v>
      </c>
      <c r="G56">
        <f>IF(Backend!H83="", "", Backend!H83)</f>
        <v>-3.4492540000000002E-2</v>
      </c>
      <c r="H56">
        <f>IF(Backend!I83="", "", Backend!I83)</f>
        <v>0.117634356</v>
      </c>
      <c r="I56">
        <f>IF(Backend!J83="", "", Backend!J83)</f>
        <v>0.10577816499999999</v>
      </c>
      <c r="J56">
        <f>IF(Backend!K83="", "", Backend!K83)</f>
        <v>0.23524706000000001</v>
      </c>
      <c r="K56">
        <f>IF(Backend!L83="", "", Backend!L83)</f>
        <v>0.20932730999999999</v>
      </c>
      <c r="L56">
        <f>IF(Backend!M83="", "", Backend!M83)</f>
        <v>3.7332480000000001E-2</v>
      </c>
      <c r="M56">
        <f>IF(Backend!N83="", "", Backend!N83)</f>
        <v>0.11391561</v>
      </c>
      <c r="N56">
        <f>IF(Backend!O83="", "", Backend!O83)</f>
        <v>8.0439090000000005E-2</v>
      </c>
      <c r="O56">
        <f>IF(Backend!P83="", "", Backend!P83)</f>
        <v>2.6498656999999998E-2</v>
      </c>
      <c r="P56">
        <f>IF(Backend!Q83="", "", Backend!Q83)</f>
        <v>0.14558842999999999</v>
      </c>
      <c r="Q56">
        <f>IF(Backend!R83="", "", Backend!R83)</f>
        <v>0.13301205999999999</v>
      </c>
      <c r="R56">
        <f>IF(Backend!S83="", "", Backend!S83)</f>
        <v>0.16068196000000001</v>
      </c>
      <c r="S56">
        <f>IF(Backend!T83="", "", Backend!T83)</f>
        <v>9.2488340000000002E-2</v>
      </c>
      <c r="T56">
        <f>IF(Backend!U83="", "", Backend!U83)</f>
        <v>0.12144407</v>
      </c>
      <c r="U56">
        <f>IF(Backend!V83="", "", Backend!V83)</f>
        <v>4.0059182999999998E-2</v>
      </c>
      <c r="V56">
        <f>IF(Backend!W83="", "", Backend!W83)</f>
        <v>8.504254E-2</v>
      </c>
      <c r="W56">
        <f>IF(Backend!X83="", "", Backend!X83)</f>
        <v>0.120834865</v>
      </c>
      <c r="X56">
        <f>IF(Backend!Y83="", "", Backend!Y83)</f>
        <v>2.7415128E-2</v>
      </c>
      <c r="Y56">
        <f>IF(Backend!Z83="", "", Backend!Z83)</f>
        <v>6.2013578E-2</v>
      </c>
      <c r="Z56">
        <f>IF(Backend!AA83="", "", Backend!AA83)</f>
        <v>0.120494224</v>
      </c>
      <c r="AA56">
        <f>IF(Backend!AB83="", "", Backend!AB83)</f>
        <v>0.34159594999999998</v>
      </c>
      <c r="AB56">
        <f>IF(Backend!AC83="", "", Backend!AC83)</f>
        <v>0.15995854000000001</v>
      </c>
      <c r="AC56">
        <f>IF(Backend!AD83="", "", Backend!AD83)</f>
        <v>0.22902764</v>
      </c>
      <c r="AD56">
        <f>IF(Backend!AE83="", "", Backend!AE83)</f>
        <v>6.558129E-2</v>
      </c>
      <c r="AE56">
        <f>IF(Backend!AF83="", "", Backend!AF83)</f>
        <v>0.20770640000000001</v>
      </c>
      <c r="AF56">
        <f>IF(Backend!AG83="", "", Backend!AG83)</f>
        <v>5.5302407999999997E-2</v>
      </c>
      <c r="AG56">
        <f>IF(Backend!AH83="", "", Backend!AH83)</f>
        <v>0.19294806</v>
      </c>
      <c r="AH56">
        <f>IF(Backend!AI83="", "", Backend!AI83)</f>
        <v>0.27850983000000001</v>
      </c>
      <c r="AI56">
        <f>IF(Backend!AJ83="", "", Backend!AJ83)</f>
        <v>0.116483584</v>
      </c>
      <c r="AJ56">
        <f>IF(Backend!AK83="", "", Backend!AK83)</f>
        <v>7.2625239999999994E-2</v>
      </c>
      <c r="AK56">
        <f>IF(Backend!AL83="", "", Backend!AL83)</f>
        <v>7.2201749999999995E-2</v>
      </c>
      <c r="AL56">
        <f>IF(Backend!AM83="", "", Backend!AM83)</f>
        <v>0.25428864000000001</v>
      </c>
      <c r="AM56">
        <f>IF(Backend!AN83="", "", Backend!AN83)</f>
        <v>8.7411455999999998E-2</v>
      </c>
      <c r="AN56">
        <f>IF(Backend!AO83="", "", Backend!AO83)</f>
        <v>9.4737604000000003E-2</v>
      </c>
      <c r="AO56">
        <f>IF(Backend!AP83="", "", Backend!AP83)</f>
        <v>4.5189082999999998E-2</v>
      </c>
      <c r="AP56">
        <f>IF(Backend!AQ83="", "", Backend!AQ83)</f>
        <v>0.14517134000000001</v>
      </c>
      <c r="AQ56">
        <f>IF(Backend!AR83="", "", Backend!AR83)</f>
        <v>5.0562485999999997E-2</v>
      </c>
      <c r="AR56">
        <f>IF(Backend!AS83="", "", Backend!AS83)</f>
        <v>0.14068896</v>
      </c>
      <c r="AS56">
        <f>IF(Backend!AT83="", "", Backend!AT83)</f>
        <v>9.4415379999999993E-2</v>
      </c>
      <c r="AT56">
        <f>IF(Backend!AU83="", "", Backend!AU83)</f>
        <v>1.1547638000000001E-2</v>
      </c>
      <c r="AU56">
        <f>IF(Backend!AV83="", "", Backend!AV83)</f>
        <v>0.14256360000000001</v>
      </c>
      <c r="AV56">
        <f>IF(Backend!AW83="", "", Backend!AW83)</f>
        <v>7.8710735000000004E-2</v>
      </c>
      <c r="AW56">
        <f>IF(Backend!AX83="", "", Backend!AX83)</f>
        <v>0.19918226</v>
      </c>
      <c r="AX56">
        <f>IF(Backend!AY83="", "", Backend!AY83)</f>
        <v>7.0343113999999998E-2</v>
      </c>
      <c r="AY56">
        <f>IF(Backend!AZ83="", "", Backend!AZ83)</f>
        <v>0.15305974999999999</v>
      </c>
      <c r="AZ56">
        <f>IF(Backend!BA83="", "", Backend!BA83)</f>
        <v>8.0636189999999996E-2</v>
      </c>
      <c r="BA56">
        <f>IF(Backend!BB83="", "", Backend!BB83)</f>
        <v>2.1000797000000002E-2</v>
      </c>
      <c r="BB56">
        <f>IF(Backend!BC83="", "", Backend!BC83)</f>
        <v>1</v>
      </c>
      <c r="BC56">
        <f>IF(Backend!BD83="", "", Backend!BD83)</f>
        <v>0.23892099999999999</v>
      </c>
      <c r="BD56">
        <f>IF(Backend!BE83="", "", Backend!BE83)</f>
        <v>0.26311206999999998</v>
      </c>
      <c r="BE56">
        <f>IF(Backend!BF83="", "", Backend!BF83)</f>
        <v>0.10568072000000001</v>
      </c>
      <c r="BF56">
        <f>IF(Backend!BG83="", "", Backend!BG83)</f>
        <v>0.15740016000000001</v>
      </c>
      <c r="BG56">
        <f>IF(Backend!BH83="", "", Backend!BH83)</f>
        <v>0.25726149999999998</v>
      </c>
      <c r="BH56">
        <f>IF(Backend!BI83="", "", Backend!BI83)</f>
        <v>0.19776574999999999</v>
      </c>
      <c r="BI56" t="str">
        <f>IF(Backend!BJ83="", "", Backend!BJ83)</f>
        <v/>
      </c>
      <c r="BJ56" t="str">
        <f>IF(Backend!BK83="", "", Backend!BK83)</f>
        <v/>
      </c>
      <c r="BK56" t="str">
        <f>IF(Backend!BL83="", "", Backend!BL83)</f>
        <v/>
      </c>
      <c r="BL56" t="str">
        <f>IF(Backend!BM83="", "", Backend!BM83)</f>
        <v/>
      </c>
      <c r="BM56" t="str">
        <f>IF(Backend!BN83="", "", Backend!BN83)</f>
        <v/>
      </c>
      <c r="BN56" t="str">
        <f>IF(Backend!BO83="", "", Backend!BO83)</f>
        <v/>
      </c>
      <c r="BO56" t="str">
        <f>IF(Backend!BP83="", "", Backend!BP83)</f>
        <v/>
      </c>
      <c r="BP56" t="str">
        <f>IF(Backend!BQ83="", "", Backend!BQ83)</f>
        <v/>
      </c>
      <c r="BQ56" t="str">
        <f>IF(Backend!BR83="", "", Backend!BR83)</f>
        <v/>
      </c>
      <c r="BR56" t="str">
        <f>IF(Backend!BS83="", "", Backend!BS83)</f>
        <v/>
      </c>
      <c r="BS56" t="str">
        <f>IF(Backend!BT83="", "", Backend!BT83)</f>
        <v/>
      </c>
      <c r="BT56" t="str">
        <f>IF(Backend!BU83="", "", Backend!BU83)</f>
        <v/>
      </c>
      <c r="BU56" t="str">
        <f>IF(Backend!BV83="", "", Backend!BV83)</f>
        <v/>
      </c>
      <c r="BV56" t="str">
        <f>IF(Backend!BW83="", "", Backend!BW83)</f>
        <v/>
      </c>
      <c r="BW56" t="str">
        <f>IF(Backend!BX83="", "", Backend!BX83)</f>
        <v/>
      </c>
      <c r="BX56" t="str">
        <f>IF(Backend!BY83="", "", Backend!BY83)</f>
        <v/>
      </c>
      <c r="BY56" t="str">
        <f>IF(Backend!BZ83="", "", Backend!BZ83)</f>
        <v/>
      </c>
      <c r="BZ56" t="str">
        <f>IF(Backend!CA83="", "", Backend!CA83)</f>
        <v/>
      </c>
      <c r="CA56" t="str">
        <f>IF(Backend!CB83="", "", Backend!CB83)</f>
        <v/>
      </c>
      <c r="CB56" t="str">
        <f>IF(Backend!CC83="", "", Backend!CC83)</f>
        <v/>
      </c>
      <c r="CC56" t="str">
        <f>IF(Backend!CD83="", "", Backend!CD83)</f>
        <v/>
      </c>
    </row>
    <row r="57" spans="1:81" x14ac:dyDescent="0.25">
      <c r="A57" s="4" t="str">
        <f>IF(Backend!A84="", "", Backend!A84)</f>
        <v>Viatris, Inc.</v>
      </c>
      <c r="B57">
        <f>IF(Backend!C84="", "", Backend!C84)</f>
        <v>0.22955623</v>
      </c>
      <c r="C57">
        <f>IF(Backend!D84="", "", Backend!D84)</f>
        <v>0.17980261</v>
      </c>
      <c r="D57">
        <f>IF(Backend!E84="", "", Backend!E84)</f>
        <v>5.2148562000000002E-2</v>
      </c>
      <c r="E57">
        <f>IF(Backend!F84="", "", Backend!F84)</f>
        <v>0.36848122</v>
      </c>
      <c r="F57">
        <f>IF(Backend!G84="", "", Backend!G84)</f>
        <v>0.19347212999999999</v>
      </c>
      <c r="G57">
        <f>IF(Backend!H84="", "", Backend!H84)</f>
        <v>7.2277289999999994E-2</v>
      </c>
      <c r="H57">
        <f>IF(Backend!I84="", "", Backend!I84)</f>
        <v>0.26557683999999998</v>
      </c>
      <c r="I57">
        <f>IF(Backend!J84="", "", Backend!J84)</f>
        <v>0.23700160000000001</v>
      </c>
      <c r="J57">
        <f>IF(Backend!K84="", "", Backend!K84)</f>
        <v>0.2707928</v>
      </c>
      <c r="K57">
        <f>IF(Backend!L84="", "", Backend!L84)</f>
        <v>0.16019902999999999</v>
      </c>
      <c r="L57">
        <f>IF(Backend!M84="", "", Backend!M84)</f>
        <v>0.17562069</v>
      </c>
      <c r="M57">
        <f>IF(Backend!N84="", "", Backend!N84)</f>
        <v>0.12679608000000001</v>
      </c>
      <c r="N57">
        <f>IF(Backend!O84="", "", Backend!O84)</f>
        <v>0.2548705</v>
      </c>
      <c r="O57">
        <f>IF(Backend!P84="", "", Backend!P84)</f>
        <v>5.6893354999999995E-4</v>
      </c>
      <c r="P57">
        <f>IF(Backend!Q84="", "", Backend!Q84)</f>
        <v>0.23662041</v>
      </c>
      <c r="Q57">
        <f>IF(Backend!R84="", "", Backend!R84)</f>
        <v>0.17576396</v>
      </c>
      <c r="R57">
        <f>IF(Backend!S84="", "", Backend!S84)</f>
        <v>0.15127167</v>
      </c>
      <c r="S57">
        <f>IF(Backend!T84="", "", Backend!T84)</f>
        <v>-3.8159136000000003E-2</v>
      </c>
      <c r="T57">
        <f>IF(Backend!U84="", "", Backend!U84)</f>
        <v>0.26062265000000001</v>
      </c>
      <c r="U57">
        <f>IF(Backend!V84="", "", Backend!V84)</f>
        <v>1.8900960000000001E-2</v>
      </c>
      <c r="V57">
        <f>IF(Backend!W84="", "", Backend!W84)</f>
        <v>0.28739791999999997</v>
      </c>
      <c r="W57">
        <f>IF(Backend!X84="", "", Backend!X84)</f>
        <v>0.22621194999999999</v>
      </c>
      <c r="X57">
        <f>IF(Backend!Y84="", "", Backend!Y84)</f>
        <v>3.2643343999999998E-2</v>
      </c>
      <c r="Y57">
        <f>IF(Backend!Z84="", "", Backend!Z84)</f>
        <v>0.20112384999999999</v>
      </c>
      <c r="Z57">
        <f>IF(Backend!AA84="", "", Backend!AA84)</f>
        <v>0.105912484</v>
      </c>
      <c r="AA57">
        <f>IF(Backend!AB84="", "", Backend!AB84)</f>
        <v>0.23954332</v>
      </c>
      <c r="AB57">
        <f>IF(Backend!AC84="", "", Backend!AC84)</f>
        <v>0.40712145</v>
      </c>
      <c r="AC57">
        <f>IF(Backend!AD84="", "", Backend!AD84)</f>
        <v>0.36620554</v>
      </c>
      <c r="AD57">
        <f>IF(Backend!AE84="", "", Backend!AE84)</f>
        <v>0.25504979999999999</v>
      </c>
      <c r="AE57">
        <f>IF(Backend!AF84="", "", Backend!AF84)</f>
        <v>0.36543047000000001</v>
      </c>
      <c r="AF57">
        <f>IF(Backend!AG84="", "", Backend!AG84)</f>
        <v>6.6283979999999998E-3</v>
      </c>
      <c r="AG57">
        <f>IF(Backend!AH84="", "", Backend!AH84)</f>
        <v>0.36900923000000002</v>
      </c>
      <c r="AH57">
        <f>IF(Backend!AI84="", "", Backend!AI84)</f>
        <v>0.25566267999999998</v>
      </c>
      <c r="AI57">
        <f>IF(Backend!AJ84="", "", Backend!AJ84)</f>
        <v>0.20739447999999999</v>
      </c>
      <c r="AJ57">
        <f>IF(Backend!AK84="", "", Backend!AK84)</f>
        <v>2.1275228E-2</v>
      </c>
      <c r="AK57">
        <f>IF(Backend!AL84="", "", Backend!AL84)</f>
        <v>7.8353164999999999E-3</v>
      </c>
      <c r="AL57">
        <f>IF(Backend!AM84="", "", Backend!AM84)</f>
        <v>0.2914445</v>
      </c>
      <c r="AM57">
        <f>IF(Backend!AN84="", "", Backend!AN84)</f>
        <v>0.18182371999999999</v>
      </c>
      <c r="AN57">
        <f>IF(Backend!AO84="", "", Backend!AO84)</f>
        <v>0.14879191999999999</v>
      </c>
      <c r="AO57">
        <f>IF(Backend!AP84="", "", Backend!AP84)</f>
        <v>3.9049006999999997E-2</v>
      </c>
      <c r="AP57">
        <f>IF(Backend!AQ84="", "", Backend!AQ84)</f>
        <v>0.29491139999999999</v>
      </c>
      <c r="AQ57">
        <f>IF(Backend!AR84="", "", Backend!AR84)</f>
        <v>2.12731E-2</v>
      </c>
      <c r="AR57">
        <f>IF(Backend!AS84="", "", Backend!AS84)</f>
        <v>0.16873378</v>
      </c>
      <c r="AS57">
        <f>IF(Backend!AT84="", "", Backend!AT84)</f>
        <v>8.3186019999999999E-2</v>
      </c>
      <c r="AT57">
        <f>IF(Backend!AU84="", "", Backend!AU84)</f>
        <v>5.0084143999999997E-2</v>
      </c>
      <c r="AU57">
        <f>IF(Backend!AV84="", "", Backend!AV84)</f>
        <v>0.23917707999999999</v>
      </c>
      <c r="AV57">
        <f>IF(Backend!AW84="", "", Backend!AW84)</f>
        <v>0.2184798</v>
      </c>
      <c r="AW57">
        <f>IF(Backend!AX84="", "", Backend!AX84)</f>
        <v>0.36182760000000003</v>
      </c>
      <c r="AX57">
        <f>IF(Backend!AY84="", "", Backend!AY84)</f>
        <v>0.19038513000000001</v>
      </c>
      <c r="AY57">
        <f>IF(Backend!AZ84="", "", Backend!AZ84)</f>
        <v>0.23407452000000001</v>
      </c>
      <c r="AZ57">
        <f>IF(Backend!BA84="", "", Backend!BA84)</f>
        <v>1.8340579999999999E-2</v>
      </c>
      <c r="BA57">
        <f>IF(Backend!BB84="", "", Backend!BB84)</f>
        <v>8.207536E-2</v>
      </c>
      <c r="BB57">
        <f>IF(Backend!BC84="", "", Backend!BC84)</f>
        <v>0.23892099999999999</v>
      </c>
      <c r="BC57">
        <f>IF(Backend!BD84="", "", Backend!BD84)</f>
        <v>1</v>
      </c>
      <c r="BD57">
        <f>IF(Backend!BE84="", "", Backend!BE84)</f>
        <v>0.19698185000000001</v>
      </c>
      <c r="BE57">
        <f>IF(Backend!BF84="", "", Backend!BF84)</f>
        <v>0.26423404</v>
      </c>
      <c r="BF57">
        <f>IF(Backend!BG84="", "", Backend!BG84)</f>
        <v>0.21570908</v>
      </c>
      <c r="BG57">
        <f>IF(Backend!BH84="", "", Backend!BH84)</f>
        <v>0.33386257000000003</v>
      </c>
      <c r="BH57">
        <f>IF(Backend!BI84="", "", Backend!BI84)</f>
        <v>0.27207133</v>
      </c>
      <c r="BI57" t="str">
        <f>IF(Backend!BJ84="", "", Backend!BJ84)</f>
        <v/>
      </c>
      <c r="BJ57" t="str">
        <f>IF(Backend!BK84="", "", Backend!BK84)</f>
        <v/>
      </c>
      <c r="BK57" t="str">
        <f>IF(Backend!BL84="", "", Backend!BL84)</f>
        <v/>
      </c>
      <c r="BL57" t="str">
        <f>IF(Backend!BM84="", "", Backend!BM84)</f>
        <v/>
      </c>
      <c r="BM57" t="str">
        <f>IF(Backend!BN84="", "", Backend!BN84)</f>
        <v/>
      </c>
      <c r="BN57" t="str">
        <f>IF(Backend!BO84="", "", Backend!BO84)</f>
        <v/>
      </c>
      <c r="BO57" t="str">
        <f>IF(Backend!BP84="", "", Backend!BP84)</f>
        <v/>
      </c>
      <c r="BP57" t="str">
        <f>IF(Backend!BQ84="", "", Backend!BQ84)</f>
        <v/>
      </c>
      <c r="BQ57" t="str">
        <f>IF(Backend!BR84="", "", Backend!BR84)</f>
        <v/>
      </c>
      <c r="BR57" t="str">
        <f>IF(Backend!BS84="", "", Backend!BS84)</f>
        <v/>
      </c>
      <c r="BS57" t="str">
        <f>IF(Backend!BT84="", "", Backend!BT84)</f>
        <v/>
      </c>
      <c r="BT57" t="str">
        <f>IF(Backend!BU84="", "", Backend!BU84)</f>
        <v/>
      </c>
      <c r="BU57" t="str">
        <f>IF(Backend!BV84="", "", Backend!BV84)</f>
        <v/>
      </c>
      <c r="BV57" t="str">
        <f>IF(Backend!BW84="", "", Backend!BW84)</f>
        <v/>
      </c>
      <c r="BW57" t="str">
        <f>IF(Backend!BX84="", "", Backend!BX84)</f>
        <v/>
      </c>
      <c r="BX57" t="str">
        <f>IF(Backend!BY84="", "", Backend!BY84)</f>
        <v/>
      </c>
      <c r="BY57" t="str">
        <f>IF(Backend!BZ84="", "", Backend!BZ84)</f>
        <v/>
      </c>
      <c r="BZ57" t="str">
        <f>IF(Backend!CA84="", "", Backend!CA84)</f>
        <v/>
      </c>
      <c r="CA57" t="str">
        <f>IF(Backend!CB84="", "", Backend!CB84)</f>
        <v/>
      </c>
      <c r="CB57" t="str">
        <f>IF(Backend!CC84="", "", Backend!CC84)</f>
        <v/>
      </c>
      <c r="CC57" t="str">
        <f>IF(Backend!CD84="", "", Backend!CD84)</f>
        <v/>
      </c>
    </row>
    <row r="58" spans="1:81" x14ac:dyDescent="0.25">
      <c r="A58" s="4" t="str">
        <f>IF(Backend!A85="", "", Backend!A85)</f>
        <v>Vodafone Group Public Limited Company</v>
      </c>
      <c r="B58">
        <f>IF(Backend!C85="", "", Backend!C85)</f>
        <v>0.34252146</v>
      </c>
      <c r="C58">
        <f>IF(Backend!D85="", "", Backend!D85)</f>
        <v>0.29535085</v>
      </c>
      <c r="D58">
        <f>IF(Backend!E85="", "", Backend!E85)</f>
        <v>9.2439660000000007E-2</v>
      </c>
      <c r="E58">
        <f>IF(Backend!F85="", "", Backend!F85)</f>
        <v>0.17390521</v>
      </c>
      <c r="F58">
        <f>IF(Backend!G85="", "", Backend!G85)</f>
        <v>7.8499449999999998E-2</v>
      </c>
      <c r="G58">
        <f>IF(Backend!H85="", "", Backend!H85)</f>
        <v>2.9277530999999999E-2</v>
      </c>
      <c r="H58">
        <f>IF(Backend!I85="", "", Backend!I85)</f>
        <v>0.35762529999999998</v>
      </c>
      <c r="I58">
        <f>IF(Backend!J85="", "", Backend!J85)</f>
        <v>0.34853013999999999</v>
      </c>
      <c r="J58">
        <f>IF(Backend!K85="", "", Backend!K85)</f>
        <v>0.12812741</v>
      </c>
      <c r="K58">
        <f>IF(Backend!L85="", "", Backend!L85)</f>
        <v>0.53881049999999997</v>
      </c>
      <c r="L58">
        <f>IF(Backend!M85="", "", Backend!M85)</f>
        <v>0.26424120000000001</v>
      </c>
      <c r="M58">
        <f>IF(Backend!N85="", "", Backend!N85)</f>
        <v>0.27987033</v>
      </c>
      <c r="N58">
        <f>IF(Backend!O85="", "", Backend!O85)</f>
        <v>0.30863494000000002</v>
      </c>
      <c r="O58">
        <f>IF(Backend!P85="", "", Backend!P85)</f>
        <v>0.18581581</v>
      </c>
      <c r="P58">
        <f>IF(Backend!Q85="", "", Backend!Q85)</f>
        <v>0.35995936000000001</v>
      </c>
      <c r="Q58">
        <f>IF(Backend!R85="", "", Backend!R85)</f>
        <v>0.37164955999999999</v>
      </c>
      <c r="R58">
        <f>IF(Backend!S85="", "", Backend!S85)</f>
        <v>0.30996667999999999</v>
      </c>
      <c r="S58">
        <f>IF(Backend!T85="", "", Backend!T85)</f>
        <v>0.103297204</v>
      </c>
      <c r="T58">
        <f>IF(Backend!U85="", "", Backend!U85)</f>
        <v>0.17167673</v>
      </c>
      <c r="U58">
        <f>IF(Backend!V85="", "", Backend!V85)</f>
        <v>7.6156124000000006E-2</v>
      </c>
      <c r="V58">
        <f>IF(Backend!W85="", "", Backend!W85)</f>
        <v>0.10067172000000001</v>
      </c>
      <c r="W58">
        <f>IF(Backend!X85="", "", Backend!X85)</f>
        <v>9.2582529999999996E-2</v>
      </c>
      <c r="X58">
        <f>IF(Backend!Y85="", "", Backend!Y85)</f>
        <v>8.4022780000000005E-2</v>
      </c>
      <c r="Y58">
        <f>IF(Backend!Z85="", "", Backend!Z85)</f>
        <v>0.26069715999999998</v>
      </c>
      <c r="Z58">
        <f>IF(Backend!AA85="", "", Backend!AA85)</f>
        <v>0.30135943999999998</v>
      </c>
      <c r="AA58">
        <f>IF(Backend!AB85="", "", Backend!AB85)</f>
        <v>0.16767223000000001</v>
      </c>
      <c r="AB58">
        <f>IF(Backend!AC85="", "", Backend!AC85)</f>
        <v>0.18914603999999999</v>
      </c>
      <c r="AC58">
        <f>IF(Backend!AD85="", "", Backend!AD85)</f>
        <v>0.18173692</v>
      </c>
      <c r="AD58">
        <f>IF(Backend!AE85="", "", Backend!AE85)</f>
        <v>0.120931625</v>
      </c>
      <c r="AE58">
        <f>IF(Backend!AF85="", "", Backend!AF85)</f>
        <v>0.22951617999999999</v>
      </c>
      <c r="AF58">
        <f>IF(Backend!AG85="", "", Backend!AG85)</f>
        <v>0.10137699</v>
      </c>
      <c r="AG58">
        <f>IF(Backend!AH85="", "", Backend!AH85)</f>
        <v>0.17546523</v>
      </c>
      <c r="AH58">
        <f>IF(Backend!AI85="", "", Backend!AI85)</f>
        <v>0.22220342000000001</v>
      </c>
      <c r="AI58">
        <f>IF(Backend!AJ85="", "", Backend!AJ85)</f>
        <v>0.37868970000000002</v>
      </c>
      <c r="AJ58">
        <f>IF(Backend!AK85="", "", Backend!AK85)</f>
        <v>0.14185216</v>
      </c>
      <c r="AK58">
        <f>IF(Backend!AL85="", "", Backend!AL85)</f>
        <v>0.11442189</v>
      </c>
      <c r="AL58">
        <f>IF(Backend!AM85="", "", Backend!AM85)</f>
        <v>0.13633107999999999</v>
      </c>
      <c r="AM58">
        <f>IF(Backend!AN85="", "", Backend!AN85)</f>
        <v>0.20582916000000001</v>
      </c>
      <c r="AN58">
        <f>IF(Backend!AO85="", "", Backend!AO85)</f>
        <v>0.31459752000000002</v>
      </c>
      <c r="AO58">
        <f>IF(Backend!AP85="", "", Backend!AP85)</f>
        <v>0.12703970000000001</v>
      </c>
      <c r="AP58">
        <f>IF(Backend!AQ85="", "", Backend!AQ85)</f>
        <v>0.14905256</v>
      </c>
      <c r="AQ58">
        <f>IF(Backend!AR85="", "", Backend!AR85)</f>
        <v>0.10844933</v>
      </c>
      <c r="AR58">
        <f>IF(Backend!AS85="", "", Backend!AS85)</f>
        <v>0.25075078000000001</v>
      </c>
      <c r="AS58">
        <f>IF(Backend!AT85="", "", Backend!AT85)</f>
        <v>0.30099964000000001</v>
      </c>
      <c r="AT58">
        <f>IF(Backend!AU85="", "", Backend!AU85)</f>
        <v>0.10802802</v>
      </c>
      <c r="AU58">
        <f>IF(Backend!AV85="", "", Backend!AV85)</f>
        <v>0.37982263999999999</v>
      </c>
      <c r="AV58">
        <f>IF(Backend!AW85="", "", Backend!AW85)</f>
        <v>0.33769830000000001</v>
      </c>
      <c r="AW58">
        <f>IF(Backend!AX85="", "", Backend!AX85)</f>
        <v>0.13311509999999999</v>
      </c>
      <c r="AX58">
        <f>IF(Backend!AY85="", "", Backend!AY85)</f>
        <v>0.27804780000000001</v>
      </c>
      <c r="AY58">
        <f>IF(Backend!AZ85="", "", Backend!AZ85)</f>
        <v>0.20727928000000001</v>
      </c>
      <c r="AZ58">
        <f>IF(Backend!BA85="", "", Backend!BA85)</f>
        <v>0.15175621</v>
      </c>
      <c r="BA58">
        <f>IF(Backend!BB85="", "", Backend!BB85)</f>
        <v>0.20814299999999999</v>
      </c>
      <c r="BB58">
        <f>IF(Backend!BC85="", "", Backend!BC85)</f>
        <v>0.26311206999999998</v>
      </c>
      <c r="BC58">
        <f>IF(Backend!BD85="", "", Backend!BD85)</f>
        <v>0.19698185000000001</v>
      </c>
      <c r="BD58">
        <f>IF(Backend!BE85="", "", Backend!BE85)</f>
        <v>1</v>
      </c>
      <c r="BE58">
        <f>IF(Backend!BF85="", "", Backend!BF85)</f>
        <v>0.32504823999999999</v>
      </c>
      <c r="BF58">
        <f>IF(Backend!BG85="", "", Backend!BG85)</f>
        <v>0.15105212000000001</v>
      </c>
      <c r="BG58">
        <f>IF(Backend!BH85="", "", Backend!BH85)</f>
        <v>0.23276024000000001</v>
      </c>
      <c r="BH58">
        <f>IF(Backend!BI85="", "", Backend!BI85)</f>
        <v>0.13475348000000001</v>
      </c>
      <c r="BI58" t="str">
        <f>IF(Backend!BJ85="", "", Backend!BJ85)</f>
        <v/>
      </c>
      <c r="BJ58" t="str">
        <f>IF(Backend!BK85="", "", Backend!BK85)</f>
        <v/>
      </c>
      <c r="BK58" t="str">
        <f>IF(Backend!BL85="", "", Backend!BL85)</f>
        <v/>
      </c>
      <c r="BL58" t="str">
        <f>IF(Backend!BM85="", "", Backend!BM85)</f>
        <v/>
      </c>
      <c r="BM58" t="str">
        <f>IF(Backend!BN85="", "", Backend!BN85)</f>
        <v/>
      </c>
      <c r="BN58" t="str">
        <f>IF(Backend!BO85="", "", Backend!BO85)</f>
        <v/>
      </c>
      <c r="BO58" t="str">
        <f>IF(Backend!BP85="", "", Backend!BP85)</f>
        <v/>
      </c>
      <c r="BP58" t="str">
        <f>IF(Backend!BQ85="", "", Backend!BQ85)</f>
        <v/>
      </c>
      <c r="BQ58" t="str">
        <f>IF(Backend!BR85="", "", Backend!BR85)</f>
        <v/>
      </c>
      <c r="BR58" t="str">
        <f>IF(Backend!BS85="", "", Backend!BS85)</f>
        <v/>
      </c>
      <c r="BS58" t="str">
        <f>IF(Backend!BT85="", "", Backend!BT85)</f>
        <v/>
      </c>
      <c r="BT58" t="str">
        <f>IF(Backend!BU85="", "", Backend!BU85)</f>
        <v/>
      </c>
      <c r="BU58" t="str">
        <f>IF(Backend!BV85="", "", Backend!BV85)</f>
        <v/>
      </c>
      <c r="BV58" t="str">
        <f>IF(Backend!BW85="", "", Backend!BW85)</f>
        <v/>
      </c>
      <c r="BW58" t="str">
        <f>IF(Backend!BX85="", "", Backend!BX85)</f>
        <v/>
      </c>
      <c r="BX58" t="str">
        <f>IF(Backend!BY85="", "", Backend!BY85)</f>
        <v/>
      </c>
      <c r="BY58" t="str">
        <f>IF(Backend!BZ85="", "", Backend!BZ85)</f>
        <v/>
      </c>
      <c r="BZ58" t="str">
        <f>IF(Backend!CA85="", "", Backend!CA85)</f>
        <v/>
      </c>
      <c r="CA58" t="str">
        <f>IF(Backend!CB85="", "", Backend!CB85)</f>
        <v/>
      </c>
      <c r="CB58" t="str">
        <f>IF(Backend!CC85="", "", Backend!CC85)</f>
        <v/>
      </c>
      <c r="CC58" t="str">
        <f>IF(Backend!CD85="", "", Backend!CD85)</f>
        <v/>
      </c>
    </row>
    <row r="59" spans="1:81" x14ac:dyDescent="0.25">
      <c r="A59" s="4" t="str">
        <f>IF(Backend!A86="", "", Backend!A86)</f>
        <v>Volkswagen AG Pref</v>
      </c>
      <c r="B59">
        <f>IF(Backend!C86="", "", Backend!C86)</f>
        <v>0.50821435000000004</v>
      </c>
      <c r="C59">
        <f>IF(Backend!D86="", "", Backend!D86)</f>
        <v>0.38193080000000001</v>
      </c>
      <c r="D59">
        <f>IF(Backend!E86="", "", Backend!E86)</f>
        <v>0.12213162</v>
      </c>
      <c r="E59">
        <f>IF(Backend!F86="", "", Backend!F86)</f>
        <v>0.37432579999999999</v>
      </c>
      <c r="F59">
        <f>IF(Backend!G86="", "", Backend!G86)</f>
        <v>0.21164237</v>
      </c>
      <c r="G59">
        <f>IF(Backend!H86="", "", Backend!H86)</f>
        <v>0.18033718000000001</v>
      </c>
      <c r="H59">
        <f>IF(Backend!I86="", "", Backend!I86)</f>
        <v>0.62624049999999998</v>
      </c>
      <c r="I59">
        <f>IF(Backend!J86="", "", Backend!J86)</f>
        <v>0.40551424000000003</v>
      </c>
      <c r="J59">
        <f>IF(Backend!K86="", "", Backend!K86)</f>
        <v>8.409664E-2</v>
      </c>
      <c r="K59">
        <f>IF(Backend!L86="", "", Backend!L86)</f>
        <v>0.33944755999999998</v>
      </c>
      <c r="L59">
        <f>IF(Backend!M86="", "", Backend!M86)</f>
        <v>0.40338552</v>
      </c>
      <c r="M59">
        <f>IF(Backend!N86="", "", Backend!N86)</f>
        <v>0.26799857999999999</v>
      </c>
      <c r="N59">
        <f>IF(Backend!O86="", "", Backend!O86)</f>
        <v>0.63158380000000003</v>
      </c>
      <c r="O59">
        <f>IF(Backend!P86="", "", Backend!P86)</f>
        <v>0.15229862999999999</v>
      </c>
      <c r="P59">
        <f>IF(Backend!Q86="", "", Backend!Q86)</f>
        <v>0.44686197999999999</v>
      </c>
      <c r="Q59">
        <f>IF(Backend!R86="", "", Backend!R86)</f>
        <v>0.45250982000000001</v>
      </c>
      <c r="R59">
        <f>IF(Backend!S86="", "", Backend!S86)</f>
        <v>0.21228242999999999</v>
      </c>
      <c r="S59">
        <f>IF(Backend!T86="", "", Backend!T86)</f>
        <v>8.6316160000000003E-2</v>
      </c>
      <c r="T59">
        <f>IF(Backend!U86="", "", Backend!U86)</f>
        <v>0.22857767000000001</v>
      </c>
      <c r="U59">
        <f>IF(Backend!V86="", "", Backend!V86)</f>
        <v>0.16491829</v>
      </c>
      <c r="V59">
        <f>IF(Backend!W86="", "", Backend!W86)</f>
        <v>0.22995755000000001</v>
      </c>
      <c r="W59">
        <f>IF(Backend!X86="", "", Backend!X86)</f>
        <v>0.14775845000000001</v>
      </c>
      <c r="X59">
        <f>IF(Backend!Y86="", "", Backend!Y86)</f>
        <v>0.12633875</v>
      </c>
      <c r="Y59">
        <f>IF(Backend!Z86="", "", Backend!Z86)</f>
        <v>0.49704754000000001</v>
      </c>
      <c r="Z59">
        <f>IF(Backend!AA86="", "", Backend!AA86)</f>
        <v>0.24289040000000001</v>
      </c>
      <c r="AA59">
        <f>IF(Backend!AB86="", "", Backend!AB86)</f>
        <v>0.11603997000000001</v>
      </c>
      <c r="AB59">
        <f>IF(Backend!AC86="", "", Backend!AC86)</f>
        <v>0.40154514000000002</v>
      </c>
      <c r="AC59">
        <f>IF(Backend!AD86="", "", Backend!AD86)</f>
        <v>0.33718759999999998</v>
      </c>
      <c r="AD59">
        <f>IF(Backend!AE86="", "", Backend!AE86)</f>
        <v>0.1976686</v>
      </c>
      <c r="AE59">
        <f>IF(Backend!AF86="", "", Backend!AF86)</f>
        <v>0.31931967</v>
      </c>
      <c r="AF59">
        <f>IF(Backend!AG86="", "", Backend!AG86)</f>
        <v>8.751341E-2</v>
      </c>
      <c r="AG59">
        <f>IF(Backend!AH86="", "", Backend!AH86)</f>
        <v>0.29942780000000002</v>
      </c>
      <c r="AH59">
        <f>IF(Backend!AI86="", "", Backend!AI86)</f>
        <v>0.21079845999999999</v>
      </c>
      <c r="AI59">
        <f>IF(Backend!AJ86="", "", Backend!AJ86)</f>
        <v>0.48931044000000001</v>
      </c>
      <c r="AJ59">
        <f>IF(Backend!AK86="", "", Backend!AK86)</f>
        <v>0.13428807000000001</v>
      </c>
      <c r="AK59">
        <f>IF(Backend!AL86="", "", Backend!AL86)</f>
        <v>7.4374049999999997E-2</v>
      </c>
      <c r="AL59">
        <f>IF(Backend!AM86="", "", Backend!AM86)</f>
        <v>0.10391731999999999</v>
      </c>
      <c r="AM59">
        <f>IF(Backend!AN86="", "", Backend!AN86)</f>
        <v>0.38096932</v>
      </c>
      <c r="AN59">
        <f>IF(Backend!AO86="", "", Backend!AO86)</f>
        <v>0.36121154</v>
      </c>
      <c r="AO59">
        <f>IF(Backend!AP86="", "", Backend!AP86)</f>
        <v>0.20100821999999999</v>
      </c>
      <c r="AP59">
        <f>IF(Backend!AQ86="", "", Backend!AQ86)</f>
        <v>0.20820068</v>
      </c>
      <c r="AQ59">
        <f>IF(Backend!AR86="", "", Backend!AR86)</f>
        <v>0.15700686999999999</v>
      </c>
      <c r="AR59">
        <f>IF(Backend!AS86="", "", Backend!AS86)</f>
        <v>0.24245633</v>
      </c>
      <c r="AS59">
        <f>IF(Backend!AT86="", "", Backend!AT86)</f>
        <v>0.27029421999999997</v>
      </c>
      <c r="AT59">
        <f>IF(Backend!AU86="", "", Backend!AU86)</f>
        <v>0.14293568000000001</v>
      </c>
      <c r="AU59">
        <f>IF(Backend!AV86="", "", Backend!AV86)</f>
        <v>0.55766015999999996</v>
      </c>
      <c r="AV59">
        <f>IF(Backend!AW86="", "", Backend!AW86)</f>
        <v>0.44245361999999999</v>
      </c>
      <c r="AW59">
        <f>IF(Backend!AX86="", "", Backend!AX86)</f>
        <v>0.26806770000000002</v>
      </c>
      <c r="AX59">
        <f>IF(Backend!AY86="", "", Backend!AY86)</f>
        <v>0.47643918000000002</v>
      </c>
      <c r="AY59">
        <f>IF(Backend!AZ86="", "", Backend!AZ86)</f>
        <v>0.29366428</v>
      </c>
      <c r="AZ59">
        <f>IF(Backend!BA86="", "", Backend!BA86)</f>
        <v>0.16453809999999999</v>
      </c>
      <c r="BA59">
        <f>IF(Backend!BB86="", "", Backend!BB86)</f>
        <v>0.25193290000000002</v>
      </c>
      <c r="BB59">
        <f>IF(Backend!BC86="", "", Backend!BC86)</f>
        <v>0.10568072000000001</v>
      </c>
      <c r="BC59">
        <f>IF(Backend!BD86="", "", Backend!BD86)</f>
        <v>0.26423404</v>
      </c>
      <c r="BD59">
        <f>IF(Backend!BE86="", "", Backend!BE86)</f>
        <v>0.32504823999999999</v>
      </c>
      <c r="BE59">
        <f>IF(Backend!BF86="", "", Backend!BF86)</f>
        <v>1</v>
      </c>
      <c r="BF59">
        <f>IF(Backend!BG86="", "", Backend!BG86)</f>
        <v>0.17260855</v>
      </c>
      <c r="BG59">
        <f>IF(Backend!BH86="", "", Backend!BH86)</f>
        <v>0.25259912000000001</v>
      </c>
      <c r="BH59">
        <f>IF(Backend!BI86="", "", Backend!BI86)</f>
        <v>0.19884156</v>
      </c>
      <c r="BI59" t="str">
        <f>IF(Backend!BJ86="", "", Backend!BJ86)</f>
        <v/>
      </c>
      <c r="BJ59" t="str">
        <f>IF(Backend!BK86="", "", Backend!BK86)</f>
        <v/>
      </c>
      <c r="BK59" t="str">
        <f>IF(Backend!BL86="", "", Backend!BL86)</f>
        <v/>
      </c>
      <c r="BL59" t="str">
        <f>IF(Backend!BM86="", "", Backend!BM86)</f>
        <v/>
      </c>
      <c r="BM59" t="str">
        <f>IF(Backend!BN86="", "", Backend!BN86)</f>
        <v/>
      </c>
      <c r="BN59" t="str">
        <f>IF(Backend!BO86="", "", Backend!BO86)</f>
        <v/>
      </c>
      <c r="BO59" t="str">
        <f>IF(Backend!BP86="", "", Backend!BP86)</f>
        <v/>
      </c>
      <c r="BP59" t="str">
        <f>IF(Backend!BQ86="", "", Backend!BQ86)</f>
        <v/>
      </c>
      <c r="BQ59" t="str">
        <f>IF(Backend!BR86="", "", Backend!BR86)</f>
        <v/>
      </c>
      <c r="BR59" t="str">
        <f>IF(Backend!BS86="", "", Backend!BS86)</f>
        <v/>
      </c>
      <c r="BS59" t="str">
        <f>IF(Backend!BT86="", "", Backend!BT86)</f>
        <v/>
      </c>
      <c r="BT59" t="str">
        <f>IF(Backend!BU86="", "", Backend!BU86)</f>
        <v/>
      </c>
      <c r="BU59" t="str">
        <f>IF(Backend!BV86="", "", Backend!BV86)</f>
        <v/>
      </c>
      <c r="BV59" t="str">
        <f>IF(Backend!BW86="", "", Backend!BW86)</f>
        <v/>
      </c>
      <c r="BW59" t="str">
        <f>IF(Backend!BX86="", "", Backend!BX86)</f>
        <v/>
      </c>
      <c r="BX59" t="str">
        <f>IF(Backend!BY86="", "", Backend!BY86)</f>
        <v/>
      </c>
      <c r="BY59" t="str">
        <f>IF(Backend!BZ86="", "", Backend!BZ86)</f>
        <v/>
      </c>
      <c r="BZ59" t="str">
        <f>IF(Backend!CA86="", "", Backend!CA86)</f>
        <v/>
      </c>
      <c r="CA59" t="str">
        <f>IF(Backend!CB86="", "", Backend!CB86)</f>
        <v/>
      </c>
      <c r="CB59" t="str">
        <f>IF(Backend!CC86="", "", Backend!CC86)</f>
        <v/>
      </c>
      <c r="CC59" t="str">
        <f>IF(Backend!CD86="", "", Backend!CD86)</f>
        <v/>
      </c>
    </row>
    <row r="60" spans="1:81" x14ac:dyDescent="0.25">
      <c r="A60" s="4" t="str">
        <f>IF(Backend!A87="", "", Backend!A87)</f>
        <v>Walgreens Boots Alliance, Inc.</v>
      </c>
      <c r="B60">
        <f>IF(Backend!C87="", "", Backend!C87)</f>
        <v>0.13485279999999999</v>
      </c>
      <c r="C60">
        <f>IF(Backend!D87="", "", Backend!D87)</f>
        <v>0.1447117</v>
      </c>
      <c r="D60">
        <f>IF(Backend!E87="", "", Backend!E87)</f>
        <v>5.8911853E-2</v>
      </c>
      <c r="E60">
        <f>IF(Backend!F87="", "", Backend!F87)</f>
        <v>0.2211592</v>
      </c>
      <c r="F60">
        <f>IF(Backend!G87="", "", Backend!G87)</f>
        <v>6.8006319999999995E-2</v>
      </c>
      <c r="G60">
        <f>IF(Backend!H87="", "", Backend!H87)</f>
        <v>4.6948040000000003E-3</v>
      </c>
      <c r="H60">
        <f>IF(Backend!I87="", "", Backend!I87)</f>
        <v>0.1702902</v>
      </c>
      <c r="I60">
        <f>IF(Backend!J87="", "", Backend!J87)</f>
        <v>0.13743018000000001</v>
      </c>
      <c r="J60">
        <f>IF(Backend!K87="", "", Backend!K87)</f>
        <v>0.21326134999999999</v>
      </c>
      <c r="K60">
        <f>IF(Backend!L87="", "", Backend!L87)</f>
        <v>0.13867539000000001</v>
      </c>
      <c r="L60">
        <f>IF(Backend!M87="", "", Backend!M87)</f>
        <v>0.12999837</v>
      </c>
      <c r="M60">
        <f>IF(Backend!N87="", "", Backend!N87)</f>
        <v>0.101600595</v>
      </c>
      <c r="N60">
        <f>IF(Backend!O87="", "", Backend!O87)</f>
        <v>0.13432453999999999</v>
      </c>
      <c r="O60">
        <f>IF(Backend!P87="", "", Backend!P87)</f>
        <v>4.1690115E-2</v>
      </c>
      <c r="P60">
        <f>IF(Backend!Q87="", "", Backend!Q87)</f>
        <v>0.13839488</v>
      </c>
      <c r="Q60">
        <f>IF(Backend!R87="", "", Backend!R87)</f>
        <v>0.13976662000000001</v>
      </c>
      <c r="R60">
        <f>IF(Backend!S87="", "", Backend!S87)</f>
        <v>0.13016285999999999</v>
      </c>
      <c r="S60">
        <f>IF(Backend!T87="", "", Backend!T87)</f>
        <v>8.1012845E-2</v>
      </c>
      <c r="T60">
        <f>IF(Backend!U87="", "", Backend!U87)</f>
        <v>0.19618139000000001</v>
      </c>
      <c r="U60">
        <f>IF(Backend!V87="", "", Backend!V87)</f>
        <v>4.4695776E-2</v>
      </c>
      <c r="V60">
        <f>IF(Backend!W87="", "", Backend!W87)</f>
        <v>0.20178399999999999</v>
      </c>
      <c r="W60">
        <f>IF(Backend!X87="", "", Backend!X87)</f>
        <v>0.16616410000000001</v>
      </c>
      <c r="X60">
        <f>IF(Backend!Y87="", "", Backend!Y87)</f>
        <v>7.2619385999999994E-2</v>
      </c>
      <c r="Y60">
        <f>IF(Backend!Z87="", "", Backend!Z87)</f>
        <v>0.11557376</v>
      </c>
      <c r="Z60">
        <f>IF(Backend!AA87="", "", Backend!AA87)</f>
        <v>9.489744E-2</v>
      </c>
      <c r="AA60">
        <f>IF(Backend!AB87="", "", Backend!AB87)</f>
        <v>0.17745325000000001</v>
      </c>
      <c r="AB60">
        <f>IF(Backend!AC87="", "", Backend!AC87)</f>
        <v>0.25663682999999998</v>
      </c>
      <c r="AC60">
        <f>IF(Backend!AD87="", "", Backend!AD87)</f>
        <v>0.25873010000000002</v>
      </c>
      <c r="AD60">
        <f>IF(Backend!AE87="", "", Backend!AE87)</f>
        <v>0.24520223999999999</v>
      </c>
      <c r="AE60">
        <f>IF(Backend!AF87="", "", Backend!AF87)</f>
        <v>0.26529393000000001</v>
      </c>
      <c r="AF60">
        <f>IF(Backend!AG87="", "", Backend!AG87)</f>
        <v>5.1210653000000002E-2</v>
      </c>
      <c r="AG60">
        <f>IF(Backend!AH87="", "", Backend!AH87)</f>
        <v>0.27699386999999998</v>
      </c>
      <c r="AH60">
        <f>IF(Backend!AI87="", "", Backend!AI87)</f>
        <v>0.23561652</v>
      </c>
      <c r="AI60">
        <f>IF(Backend!AJ87="", "", Backend!AJ87)</f>
        <v>0.12319623</v>
      </c>
      <c r="AJ60">
        <f>IF(Backend!AK87="", "", Backend!AK87)</f>
        <v>5.5261999999999999E-2</v>
      </c>
      <c r="AK60">
        <f>IF(Backend!AL87="", "", Backend!AL87)</f>
        <v>5.3962099999999999E-2</v>
      </c>
      <c r="AL60">
        <f>IF(Backend!AM87="", "", Backend!AM87)</f>
        <v>0.18865477</v>
      </c>
      <c r="AM60">
        <f>IF(Backend!AN87="", "", Backend!AN87)</f>
        <v>9.9746265000000001E-2</v>
      </c>
      <c r="AN60">
        <f>IF(Backend!AO87="", "", Backend!AO87)</f>
        <v>0.11690576</v>
      </c>
      <c r="AO60">
        <f>IF(Backend!AP87="", "", Backend!AP87)</f>
        <v>3.6682352000000001E-2</v>
      </c>
      <c r="AP60">
        <f>IF(Backend!AQ87="", "", Backend!AQ87)</f>
        <v>0.27147692000000001</v>
      </c>
      <c r="AQ60">
        <f>IF(Backend!AR87="", "", Backend!AR87)</f>
        <v>5.0516907E-2</v>
      </c>
      <c r="AR60">
        <f>IF(Backend!AS87="", "", Backend!AS87)</f>
        <v>6.4276844E-2</v>
      </c>
      <c r="AS60">
        <f>IF(Backend!AT87="", "", Backend!AT87)</f>
        <v>6.6426509999999994E-2</v>
      </c>
      <c r="AT60">
        <f>IF(Backend!AU87="", "", Backend!AU87)</f>
        <v>6.4751879999999998E-2</v>
      </c>
      <c r="AU60">
        <f>IF(Backend!AV87="", "", Backend!AV87)</f>
        <v>0.14698438</v>
      </c>
      <c r="AV60">
        <f>IF(Backend!AW87="", "", Backend!AW87)</f>
        <v>0.12366873</v>
      </c>
      <c r="AW60">
        <f>IF(Backend!AX87="", "", Backend!AX87)</f>
        <v>0.26346417999999999</v>
      </c>
      <c r="AX60">
        <f>IF(Backend!AY87="", "", Backend!AY87)</f>
        <v>7.613077E-2</v>
      </c>
      <c r="AY60">
        <f>IF(Backend!AZ87="", "", Backend!AZ87)</f>
        <v>0.18174905999999999</v>
      </c>
      <c r="AZ60">
        <f>IF(Backend!BA87="", "", Backend!BA87)</f>
        <v>6.287218E-2</v>
      </c>
      <c r="BA60">
        <f>IF(Backend!BB87="", "", Backend!BB87)</f>
        <v>0.12261399000000001</v>
      </c>
      <c r="BB60">
        <f>IF(Backend!BC87="", "", Backend!BC87)</f>
        <v>0.15740016000000001</v>
      </c>
      <c r="BC60">
        <f>IF(Backend!BD87="", "", Backend!BD87)</f>
        <v>0.21570908</v>
      </c>
      <c r="BD60">
        <f>IF(Backend!BE87="", "", Backend!BE87)</f>
        <v>0.15105212000000001</v>
      </c>
      <c r="BE60">
        <f>IF(Backend!BF87="", "", Backend!BF87)</f>
        <v>0.17260855</v>
      </c>
      <c r="BF60">
        <f>IF(Backend!BG87="", "", Backend!BG87)</f>
        <v>1</v>
      </c>
      <c r="BG60">
        <f>IF(Backend!BH87="", "", Backend!BH87)</f>
        <v>0.243697</v>
      </c>
      <c r="BH60">
        <f>IF(Backend!BI87="", "", Backend!BI87)</f>
        <v>0.19968480999999999</v>
      </c>
      <c r="BI60" t="str">
        <f>IF(Backend!BJ87="", "", Backend!BJ87)</f>
        <v/>
      </c>
      <c r="BJ60" t="str">
        <f>IF(Backend!BK87="", "", Backend!BK87)</f>
        <v/>
      </c>
      <c r="BK60" t="str">
        <f>IF(Backend!BL87="", "", Backend!BL87)</f>
        <v/>
      </c>
      <c r="BL60" t="str">
        <f>IF(Backend!BM87="", "", Backend!BM87)</f>
        <v/>
      </c>
      <c r="BM60" t="str">
        <f>IF(Backend!BN87="", "", Backend!BN87)</f>
        <v/>
      </c>
      <c r="BN60" t="str">
        <f>IF(Backend!BO87="", "", Backend!BO87)</f>
        <v/>
      </c>
      <c r="BO60" t="str">
        <f>IF(Backend!BP87="", "", Backend!BP87)</f>
        <v/>
      </c>
      <c r="BP60" t="str">
        <f>IF(Backend!BQ87="", "", Backend!BQ87)</f>
        <v/>
      </c>
      <c r="BQ60" t="str">
        <f>IF(Backend!BR87="", "", Backend!BR87)</f>
        <v/>
      </c>
      <c r="BR60" t="str">
        <f>IF(Backend!BS87="", "", Backend!BS87)</f>
        <v/>
      </c>
      <c r="BS60" t="str">
        <f>IF(Backend!BT87="", "", Backend!BT87)</f>
        <v/>
      </c>
      <c r="BT60" t="str">
        <f>IF(Backend!BU87="", "", Backend!BU87)</f>
        <v/>
      </c>
      <c r="BU60" t="str">
        <f>IF(Backend!BV87="", "", Backend!BV87)</f>
        <v/>
      </c>
      <c r="BV60" t="str">
        <f>IF(Backend!BW87="", "", Backend!BW87)</f>
        <v/>
      </c>
      <c r="BW60" t="str">
        <f>IF(Backend!BX87="", "", Backend!BX87)</f>
        <v/>
      </c>
      <c r="BX60" t="str">
        <f>IF(Backend!BY87="", "", Backend!BY87)</f>
        <v/>
      </c>
      <c r="BY60" t="str">
        <f>IF(Backend!BZ87="", "", Backend!BZ87)</f>
        <v/>
      </c>
      <c r="BZ60" t="str">
        <f>IF(Backend!CA87="", "", Backend!CA87)</f>
        <v/>
      </c>
      <c r="CA60" t="str">
        <f>IF(Backend!CB87="", "", Backend!CB87)</f>
        <v/>
      </c>
      <c r="CB60" t="str">
        <f>IF(Backend!CC87="", "", Backend!CC87)</f>
        <v/>
      </c>
      <c r="CC60" t="str">
        <f>IF(Backend!CD87="", "", Backend!CD87)</f>
        <v/>
      </c>
    </row>
    <row r="61" spans="1:81" x14ac:dyDescent="0.25">
      <c r="A61" s="4" t="str">
        <f>IF(Backend!A88="", "", Backend!A88)</f>
        <v>Western Union Company</v>
      </c>
      <c r="B61">
        <f>IF(Backend!C88="", "", Backend!C88)</f>
        <v>0.23994472999999999</v>
      </c>
      <c r="C61">
        <f>IF(Backend!D88="", "", Backend!D88)</f>
        <v>0.13327818</v>
      </c>
      <c r="D61">
        <f>IF(Backend!E88="", "", Backend!E88)</f>
        <v>6.3418370000000002E-2</v>
      </c>
      <c r="E61">
        <f>IF(Backend!F88="", "", Backend!F88)</f>
        <v>0.3627457</v>
      </c>
      <c r="F61">
        <f>IF(Backend!G88="", "", Backend!G88)</f>
        <v>0.18918884999999999</v>
      </c>
      <c r="G61">
        <f>IF(Backend!H88="", "", Backend!H88)</f>
        <v>4.5758675999999998E-2</v>
      </c>
      <c r="H61">
        <f>IF(Backend!I88="", "", Backend!I88)</f>
        <v>0.26158946999999999</v>
      </c>
      <c r="I61">
        <f>IF(Backend!J88="", "", Backend!J88)</f>
        <v>0.17352803</v>
      </c>
      <c r="J61">
        <f>IF(Backend!K88="", "", Backend!K88)</f>
        <v>0.25574980000000003</v>
      </c>
      <c r="K61">
        <f>IF(Backend!L88="", "", Backend!L88)</f>
        <v>0.18218865000000001</v>
      </c>
      <c r="L61">
        <f>IF(Backend!M88="", "", Backend!M88)</f>
        <v>0.16020197999999999</v>
      </c>
      <c r="M61">
        <f>IF(Backend!N88="", "", Backend!N88)</f>
        <v>0.11065005999999999</v>
      </c>
      <c r="N61">
        <f>IF(Backend!O88="", "", Backend!O88)</f>
        <v>0.23396072000000001</v>
      </c>
      <c r="O61">
        <f>IF(Backend!P88="", "", Backend!P88)</f>
        <v>3.9329274999999997E-2</v>
      </c>
      <c r="P61">
        <f>IF(Backend!Q88="", "", Backend!Q88)</f>
        <v>0.21527608000000001</v>
      </c>
      <c r="Q61">
        <f>IF(Backend!R88="", "", Backend!R88)</f>
        <v>0.19685794000000001</v>
      </c>
      <c r="R61">
        <f>IF(Backend!S88="", "", Backend!S88)</f>
        <v>0.16751832</v>
      </c>
      <c r="S61">
        <f>IF(Backend!T88="", "", Backend!T88)</f>
        <v>2.5230933000000001E-2</v>
      </c>
      <c r="T61">
        <f>IF(Backend!U88="", "", Backend!U88)</f>
        <v>0.27153537</v>
      </c>
      <c r="U61">
        <f>IF(Backend!V88="", "", Backend!V88)</f>
        <v>8.3191479999999998E-2</v>
      </c>
      <c r="V61">
        <f>IF(Backend!W88="", "", Backend!W88)</f>
        <v>0.30975676000000002</v>
      </c>
      <c r="W61">
        <f>IF(Backend!X88="", "", Backend!X88)</f>
        <v>0.24044431999999999</v>
      </c>
      <c r="X61">
        <f>IF(Backend!Y88="", "", Backend!Y88)</f>
        <v>7.7678579999999997E-2</v>
      </c>
      <c r="Y61">
        <f>IF(Backend!Z88="", "", Backend!Z88)</f>
        <v>0.17788931999999999</v>
      </c>
      <c r="Z61">
        <f>IF(Backend!AA88="", "", Backend!AA88)</f>
        <v>0.12021517</v>
      </c>
      <c r="AA61">
        <f>IF(Backend!AB88="", "", Backend!AB88)</f>
        <v>0.27866244000000001</v>
      </c>
      <c r="AB61">
        <f>IF(Backend!AC88="", "", Backend!AC88)</f>
        <v>0.41644353000000001</v>
      </c>
      <c r="AC61">
        <f>IF(Backend!AD88="", "", Backend!AD88)</f>
        <v>0.42618256999999998</v>
      </c>
      <c r="AD61">
        <f>IF(Backend!AE88="", "", Backend!AE88)</f>
        <v>0.29458203999999999</v>
      </c>
      <c r="AE61">
        <f>IF(Backend!AF88="", "", Backend!AF88)</f>
        <v>0.37820577999999999</v>
      </c>
      <c r="AF61">
        <f>IF(Backend!AG88="", "", Backend!AG88)</f>
        <v>1.657844E-2</v>
      </c>
      <c r="AG61">
        <f>IF(Backend!AH88="", "", Backend!AH88)</f>
        <v>0.36494964000000002</v>
      </c>
      <c r="AH61">
        <f>IF(Backend!AI88="", "", Backend!AI88)</f>
        <v>0.32205035999999998</v>
      </c>
      <c r="AI61">
        <f>IF(Backend!AJ88="", "", Backend!AJ88)</f>
        <v>0.21383467</v>
      </c>
      <c r="AJ61">
        <f>IF(Backend!AK88="", "", Backend!AK88)</f>
        <v>5.7023384000000003E-2</v>
      </c>
      <c r="AK61">
        <f>IF(Backend!AL88="", "", Backend!AL88)</f>
        <v>4.7677625000000001E-2</v>
      </c>
      <c r="AL61">
        <f>IF(Backend!AM88="", "", Backend!AM88)</f>
        <v>0.19060284999999999</v>
      </c>
      <c r="AM61">
        <f>IF(Backend!AN88="", "", Backend!AN88)</f>
        <v>0.16572943000000001</v>
      </c>
      <c r="AN61">
        <f>IF(Backend!AO88="", "", Backend!AO88)</f>
        <v>0.15191573</v>
      </c>
      <c r="AO61">
        <f>IF(Backend!AP88="", "", Backend!AP88)</f>
        <v>6.2715456000000003E-2</v>
      </c>
      <c r="AP61">
        <f>IF(Backend!AQ88="", "", Backend!AQ88)</f>
        <v>0.31411699999999998</v>
      </c>
      <c r="AQ61">
        <f>IF(Backend!AR88="", "", Backend!AR88)</f>
        <v>7.3643829999999993E-2</v>
      </c>
      <c r="AR61">
        <f>IF(Backend!AS88="", "", Backend!AS88)</f>
        <v>0.13734451</v>
      </c>
      <c r="AS61">
        <f>IF(Backend!AT88="", "", Backend!AT88)</f>
        <v>0.12082513</v>
      </c>
      <c r="AT61">
        <f>IF(Backend!AU88="", "", Backend!AU88)</f>
        <v>7.2221969999999996E-2</v>
      </c>
      <c r="AU61">
        <f>IF(Backend!AV88="", "", Backend!AV88)</f>
        <v>0.22030425000000001</v>
      </c>
      <c r="AV61">
        <f>IF(Backend!AW88="", "", Backend!AW88)</f>
        <v>0.25160654999999998</v>
      </c>
      <c r="AW61">
        <f>IF(Backend!AX88="", "", Backend!AX88)</f>
        <v>0.41547903000000003</v>
      </c>
      <c r="AX61">
        <f>IF(Backend!AY88="", "", Backend!AY88)</f>
        <v>0.19029230999999999</v>
      </c>
      <c r="AY61">
        <f>IF(Backend!AZ88="", "", Backend!AZ88)</f>
        <v>0.276111</v>
      </c>
      <c r="AZ61">
        <f>IF(Backend!BA88="", "", Backend!BA88)</f>
        <v>5.8244063999999998E-2</v>
      </c>
      <c r="BA61">
        <f>IF(Backend!BB88="", "", Backend!BB88)</f>
        <v>8.8333389999999998E-2</v>
      </c>
      <c r="BB61">
        <f>IF(Backend!BC88="", "", Backend!BC88)</f>
        <v>0.25726149999999998</v>
      </c>
      <c r="BC61">
        <f>IF(Backend!BD88="", "", Backend!BD88)</f>
        <v>0.33386257000000003</v>
      </c>
      <c r="BD61">
        <f>IF(Backend!BE88="", "", Backend!BE88)</f>
        <v>0.23276024000000001</v>
      </c>
      <c r="BE61">
        <f>IF(Backend!BF88="", "", Backend!BF88)</f>
        <v>0.25259912000000001</v>
      </c>
      <c r="BF61">
        <f>IF(Backend!BG88="", "", Backend!BG88)</f>
        <v>0.243697</v>
      </c>
      <c r="BG61">
        <f>IF(Backend!BH88="", "", Backend!BH88)</f>
        <v>1</v>
      </c>
      <c r="BH61">
        <f>IF(Backend!BI88="", "", Backend!BI88)</f>
        <v>0.35201042999999999</v>
      </c>
      <c r="BI61" t="str">
        <f>IF(Backend!BJ88="", "", Backend!BJ88)</f>
        <v/>
      </c>
      <c r="BJ61" t="str">
        <f>IF(Backend!BK88="", "", Backend!BK88)</f>
        <v/>
      </c>
      <c r="BK61" t="str">
        <f>IF(Backend!BL88="", "", Backend!BL88)</f>
        <v/>
      </c>
      <c r="BL61" t="str">
        <f>IF(Backend!BM88="", "", Backend!BM88)</f>
        <v/>
      </c>
      <c r="BM61" t="str">
        <f>IF(Backend!BN88="", "", Backend!BN88)</f>
        <v/>
      </c>
      <c r="BN61" t="str">
        <f>IF(Backend!BO88="", "", Backend!BO88)</f>
        <v/>
      </c>
      <c r="BO61" t="str">
        <f>IF(Backend!BP88="", "", Backend!BP88)</f>
        <v/>
      </c>
      <c r="BP61" t="str">
        <f>IF(Backend!BQ88="", "", Backend!BQ88)</f>
        <v/>
      </c>
      <c r="BQ61" t="str">
        <f>IF(Backend!BR88="", "", Backend!BR88)</f>
        <v/>
      </c>
      <c r="BR61" t="str">
        <f>IF(Backend!BS88="", "", Backend!BS88)</f>
        <v/>
      </c>
      <c r="BS61" t="str">
        <f>IF(Backend!BT88="", "", Backend!BT88)</f>
        <v/>
      </c>
      <c r="BT61" t="str">
        <f>IF(Backend!BU88="", "", Backend!BU88)</f>
        <v/>
      </c>
      <c r="BU61" t="str">
        <f>IF(Backend!BV88="", "", Backend!BV88)</f>
        <v/>
      </c>
      <c r="BV61" t="str">
        <f>IF(Backend!BW88="", "", Backend!BW88)</f>
        <v/>
      </c>
      <c r="BW61" t="str">
        <f>IF(Backend!BX88="", "", Backend!BX88)</f>
        <v/>
      </c>
      <c r="BX61" t="str">
        <f>IF(Backend!BY88="", "", Backend!BY88)</f>
        <v/>
      </c>
      <c r="BY61" t="str">
        <f>IF(Backend!BZ88="", "", Backend!BZ88)</f>
        <v/>
      </c>
      <c r="BZ61" t="str">
        <f>IF(Backend!CA88="", "", Backend!CA88)</f>
        <v/>
      </c>
      <c r="CA61" t="str">
        <f>IF(Backend!CB88="", "", Backend!CB88)</f>
        <v/>
      </c>
      <c r="CB61" t="str">
        <f>IF(Backend!CC88="", "", Backend!CC88)</f>
        <v/>
      </c>
      <c r="CC61" t="str">
        <f>IF(Backend!CD88="", "", Backend!CD88)</f>
        <v/>
      </c>
    </row>
    <row r="62" spans="1:81" x14ac:dyDescent="0.25">
      <c r="A62" s="4" t="str">
        <f>IF(Backend!A89="", "", Backend!A89)</f>
        <v>John Wiley &amp; Sons, Inc. Class A</v>
      </c>
      <c r="B62">
        <f>IF(Backend!C89="", "", Backend!C89)</f>
        <v>0.20664183999999999</v>
      </c>
      <c r="C62">
        <f>IF(Backend!D89="", "", Backend!D89)</f>
        <v>0.1998287</v>
      </c>
      <c r="D62">
        <f>IF(Backend!E89="", "", Backend!E89)</f>
        <v>5.1414757999999998E-2</v>
      </c>
      <c r="E62">
        <f>IF(Backend!F89="", "", Backend!F89)</f>
        <v>0.35017429999999999</v>
      </c>
      <c r="F62">
        <f>IF(Backend!G89="", "", Backend!G89)</f>
        <v>0.13112860000000001</v>
      </c>
      <c r="G62">
        <f>IF(Backend!H89="", "", Backend!H89)</f>
        <v>4.9816805999999998E-2</v>
      </c>
      <c r="H62">
        <f>IF(Backend!I89="", "", Backend!I89)</f>
        <v>0.22947455999999999</v>
      </c>
      <c r="I62">
        <f>IF(Backend!J89="", "", Backend!J89)</f>
        <v>0.14339519000000001</v>
      </c>
      <c r="J62">
        <f>IF(Backend!K89="", "", Backend!K89)</f>
        <v>0.17553252</v>
      </c>
      <c r="K62">
        <f>IF(Backend!L89="", "", Backend!L89)</f>
        <v>0.14585213</v>
      </c>
      <c r="L62">
        <f>IF(Backend!M89="", "", Backend!M89)</f>
        <v>0.13960347000000001</v>
      </c>
      <c r="M62">
        <f>IF(Backend!N89="", "", Backend!N89)</f>
        <v>0.10826337</v>
      </c>
      <c r="N62">
        <f>IF(Backend!O89="", "", Backend!O89)</f>
        <v>0.21090992</v>
      </c>
      <c r="O62">
        <f>IF(Backend!P89="", "", Backend!P89)</f>
        <v>6.8738505000000005E-2</v>
      </c>
      <c r="P62">
        <f>IF(Backend!Q89="", "", Backend!Q89)</f>
        <v>0.23560492999999999</v>
      </c>
      <c r="Q62">
        <f>IF(Backend!R89="", "", Backend!R89)</f>
        <v>0.19933152000000001</v>
      </c>
      <c r="R62">
        <f>IF(Backend!S89="", "", Backend!S89)</f>
        <v>7.0525149999999995E-2</v>
      </c>
      <c r="S62">
        <f>IF(Backend!T89="", "", Backend!T89)</f>
        <v>1.0673116E-2</v>
      </c>
      <c r="T62">
        <f>IF(Backend!U89="", "", Backend!U89)</f>
        <v>0.33577746000000003</v>
      </c>
      <c r="U62">
        <f>IF(Backend!V89="", "", Backend!V89)</f>
        <v>6.8182043999999997E-2</v>
      </c>
      <c r="V62">
        <f>IF(Backend!W89="", "", Backend!W89)</f>
        <v>0.29358046999999998</v>
      </c>
      <c r="W62">
        <f>IF(Backend!X89="", "", Backend!X89)</f>
        <v>0.24662289000000001</v>
      </c>
      <c r="X62">
        <f>IF(Backend!Y89="", "", Backend!Y89)</f>
        <v>8.1011420000000001E-2</v>
      </c>
      <c r="Y62">
        <f>IF(Backend!Z89="", "", Backend!Z89)</f>
        <v>0.15613717999999999</v>
      </c>
      <c r="Z62">
        <f>IF(Backend!AA89="", "", Backend!AA89)</f>
        <v>6.5063289999999996E-2</v>
      </c>
      <c r="AA62">
        <f>IF(Backend!AB89="", "", Backend!AB89)</f>
        <v>0.18448089000000001</v>
      </c>
      <c r="AB62">
        <f>IF(Backend!AC89="", "", Backend!AC89)</f>
        <v>0.38840446000000001</v>
      </c>
      <c r="AC62">
        <f>IF(Backend!AD89="", "", Backend!AD89)</f>
        <v>0.38216272000000001</v>
      </c>
      <c r="AD62">
        <f>IF(Backend!AE89="", "", Backend!AE89)</f>
        <v>0.27038743999999998</v>
      </c>
      <c r="AE62">
        <f>IF(Backend!AF89="", "", Backend!AF89)</f>
        <v>0.39658588</v>
      </c>
      <c r="AF62">
        <f>IF(Backend!AG89="", "", Backend!AG89)</f>
        <v>2.5663476000000001E-2</v>
      </c>
      <c r="AG62">
        <f>IF(Backend!AH89="", "", Backend!AH89)</f>
        <v>0.39001602000000002</v>
      </c>
      <c r="AH62">
        <f>IF(Backend!AI89="", "", Backend!AI89)</f>
        <v>0.28253456999999998</v>
      </c>
      <c r="AI62">
        <f>IF(Backend!AJ89="", "", Backend!AJ89)</f>
        <v>0.17939896999999999</v>
      </c>
      <c r="AJ62">
        <f>IF(Backend!AK89="", "", Backend!AK89)</f>
        <v>7.9345495000000002E-2</v>
      </c>
      <c r="AK62">
        <f>IF(Backend!AL89="", "", Backend!AL89)</f>
        <v>3.0800142999999999E-2</v>
      </c>
      <c r="AL62">
        <f>IF(Backend!AM89="", "", Backend!AM89)</f>
        <v>0.15136585</v>
      </c>
      <c r="AM62">
        <f>IF(Backend!AN89="", "", Backend!AN89)</f>
        <v>0.18613574999999999</v>
      </c>
      <c r="AN62">
        <f>IF(Backend!AO89="", "", Backend!AO89)</f>
        <v>0.1986559</v>
      </c>
      <c r="AO62">
        <f>IF(Backend!AP89="", "", Backend!AP89)</f>
        <v>7.559594E-2</v>
      </c>
      <c r="AP62">
        <f>IF(Backend!AQ89="", "", Backend!AQ89)</f>
        <v>0.33075599999999999</v>
      </c>
      <c r="AQ62">
        <f>IF(Backend!AR89="", "", Backend!AR89)</f>
        <v>6.764423E-2</v>
      </c>
      <c r="AR62">
        <f>IF(Backend!AS89="", "", Backend!AS89)</f>
        <v>2.1870403E-2</v>
      </c>
      <c r="AS62">
        <f>IF(Backend!AT89="", "", Backend!AT89)</f>
        <v>0.14964731000000001</v>
      </c>
      <c r="AT62">
        <f>IF(Backend!AU89="", "", Backend!AU89)</f>
        <v>7.5880390000000006E-2</v>
      </c>
      <c r="AU62">
        <f>IF(Backend!AV89="", "", Backend!AV89)</f>
        <v>0.18250072000000001</v>
      </c>
      <c r="AV62">
        <f>IF(Backend!AW89="", "", Backend!AW89)</f>
        <v>0.18491416999999999</v>
      </c>
      <c r="AW62">
        <f>IF(Backend!AX89="", "", Backend!AX89)</f>
        <v>0.34725687</v>
      </c>
      <c r="AX62">
        <f>IF(Backend!AY89="", "", Backend!AY89)</f>
        <v>0.21217005999999999</v>
      </c>
      <c r="AY62">
        <f>IF(Backend!AZ89="", "", Backend!AZ89)</f>
        <v>0.29653566999999997</v>
      </c>
      <c r="AZ62">
        <f>IF(Backend!BA89="", "", Backend!BA89)</f>
        <v>4.5360922999999997E-2</v>
      </c>
      <c r="BA62">
        <f>IF(Backend!BB89="", "", Backend!BB89)</f>
        <v>0.12705891999999999</v>
      </c>
      <c r="BB62">
        <f>IF(Backend!BC89="", "", Backend!BC89)</f>
        <v>0.19776574999999999</v>
      </c>
      <c r="BC62">
        <f>IF(Backend!BD89="", "", Backend!BD89)</f>
        <v>0.27207133</v>
      </c>
      <c r="BD62">
        <f>IF(Backend!BE89="", "", Backend!BE89)</f>
        <v>0.13475348000000001</v>
      </c>
      <c r="BE62">
        <f>IF(Backend!BF89="", "", Backend!BF89)</f>
        <v>0.19884156</v>
      </c>
      <c r="BF62">
        <f>IF(Backend!BG89="", "", Backend!BG89)</f>
        <v>0.19968480999999999</v>
      </c>
      <c r="BG62">
        <f>IF(Backend!BH89="", "", Backend!BH89)</f>
        <v>0.35201042999999999</v>
      </c>
      <c r="BH62">
        <f>IF(Backend!BI89="", "", Backend!BI89)</f>
        <v>1</v>
      </c>
      <c r="BI62" t="str">
        <f>IF(Backend!BJ89="", "", Backend!BJ89)</f>
        <v/>
      </c>
      <c r="BJ62" t="str">
        <f>IF(Backend!BK89="", "", Backend!BK89)</f>
        <v/>
      </c>
      <c r="BK62" t="str">
        <f>IF(Backend!BL89="", "", Backend!BL89)</f>
        <v/>
      </c>
      <c r="BL62" t="str">
        <f>IF(Backend!BM89="", "", Backend!BM89)</f>
        <v/>
      </c>
      <c r="BM62" t="str">
        <f>IF(Backend!BN89="", "", Backend!BN89)</f>
        <v/>
      </c>
      <c r="BN62" t="str">
        <f>IF(Backend!BO89="", "", Backend!BO89)</f>
        <v/>
      </c>
      <c r="BO62" t="str">
        <f>IF(Backend!BP89="", "", Backend!BP89)</f>
        <v/>
      </c>
      <c r="BP62" t="str">
        <f>IF(Backend!BQ89="", "", Backend!BQ89)</f>
        <v/>
      </c>
      <c r="BQ62" t="str">
        <f>IF(Backend!BR89="", "", Backend!BR89)</f>
        <v/>
      </c>
      <c r="BR62" t="str">
        <f>IF(Backend!BS89="", "", Backend!BS89)</f>
        <v/>
      </c>
      <c r="BS62" t="str">
        <f>IF(Backend!BT89="", "", Backend!BT89)</f>
        <v/>
      </c>
      <c r="BT62" t="str">
        <f>IF(Backend!BU89="", "", Backend!BU89)</f>
        <v/>
      </c>
      <c r="BU62" t="str">
        <f>IF(Backend!BV89="", "", Backend!BV89)</f>
        <v/>
      </c>
      <c r="BV62" t="str">
        <f>IF(Backend!BW89="", "", Backend!BW89)</f>
        <v/>
      </c>
      <c r="BW62" t="str">
        <f>IF(Backend!BX89="", "", Backend!BX89)</f>
        <v/>
      </c>
      <c r="BX62" t="str">
        <f>IF(Backend!BY89="", "", Backend!BY89)</f>
        <v/>
      </c>
      <c r="BY62" t="str">
        <f>IF(Backend!BZ89="", "", Backend!BZ89)</f>
        <v/>
      </c>
      <c r="BZ62" t="str">
        <f>IF(Backend!CA89="", "", Backend!CA89)</f>
        <v/>
      </c>
      <c r="CA62" t="str">
        <f>IF(Backend!CB89="", "", Backend!CB89)</f>
        <v/>
      </c>
      <c r="CB62" t="str">
        <f>IF(Backend!CC89="", "", Backend!CC89)</f>
        <v/>
      </c>
      <c r="CC62" t="str">
        <f>IF(Backend!CD89="", "", Backend!CD89)</f>
        <v/>
      </c>
    </row>
    <row r="63" spans="1:81" x14ac:dyDescent="0.25">
      <c r="A63" s="4" t="str">
        <f>IF(Backend!A90="", "", Backend!A90)</f>
        <v/>
      </c>
      <c r="B63" t="str">
        <f>IF(Backend!C90="", "", Backend!C90)</f>
        <v/>
      </c>
      <c r="C63" t="str">
        <f>IF(Backend!D90="", "", Backend!D90)</f>
        <v/>
      </c>
      <c r="D63" t="str">
        <f>IF(Backend!E90="", "", Backend!E90)</f>
        <v/>
      </c>
      <c r="E63" t="str">
        <f>IF(Backend!F90="", "", Backend!F90)</f>
        <v/>
      </c>
      <c r="F63" t="str">
        <f>IF(Backend!G90="", "", Backend!G90)</f>
        <v/>
      </c>
      <c r="G63" t="str">
        <f>IF(Backend!H90="", "", Backend!H90)</f>
        <v/>
      </c>
      <c r="H63" t="str">
        <f>IF(Backend!I90="", "", Backend!I90)</f>
        <v/>
      </c>
      <c r="I63" t="str">
        <f>IF(Backend!J90="", "", Backend!J90)</f>
        <v/>
      </c>
      <c r="J63" t="str">
        <f>IF(Backend!K90="", "", Backend!K90)</f>
        <v/>
      </c>
      <c r="K63" t="str">
        <f>IF(Backend!L90="", "", Backend!L90)</f>
        <v/>
      </c>
      <c r="L63" t="str">
        <f>IF(Backend!M90="", "", Backend!M90)</f>
        <v/>
      </c>
      <c r="M63" t="str">
        <f>IF(Backend!N90="", "", Backend!N90)</f>
        <v/>
      </c>
      <c r="N63" t="str">
        <f>IF(Backend!O90="", "", Backend!O90)</f>
        <v/>
      </c>
      <c r="O63" t="str">
        <f>IF(Backend!P90="", "", Backend!P90)</f>
        <v/>
      </c>
      <c r="P63" t="str">
        <f>IF(Backend!Q90="", "", Backend!Q90)</f>
        <v/>
      </c>
      <c r="Q63" t="str">
        <f>IF(Backend!R90="", "", Backend!R90)</f>
        <v/>
      </c>
      <c r="R63" t="str">
        <f>IF(Backend!S90="", "", Backend!S90)</f>
        <v/>
      </c>
      <c r="S63" t="str">
        <f>IF(Backend!T90="", "", Backend!T90)</f>
        <v/>
      </c>
      <c r="T63" t="str">
        <f>IF(Backend!U90="", "", Backend!U90)</f>
        <v/>
      </c>
      <c r="U63" t="str">
        <f>IF(Backend!V90="", "", Backend!V90)</f>
        <v/>
      </c>
      <c r="V63" t="str">
        <f>IF(Backend!W90="", "", Backend!W90)</f>
        <v/>
      </c>
      <c r="W63" t="str">
        <f>IF(Backend!X90="", "", Backend!X90)</f>
        <v/>
      </c>
      <c r="X63" t="str">
        <f>IF(Backend!Y90="", "", Backend!Y90)</f>
        <v/>
      </c>
      <c r="Y63" t="str">
        <f>IF(Backend!Z90="", "", Backend!Z90)</f>
        <v/>
      </c>
      <c r="Z63" t="str">
        <f>IF(Backend!AA90="", "", Backend!AA90)</f>
        <v/>
      </c>
      <c r="AA63" t="str">
        <f>IF(Backend!AB90="", "", Backend!AB90)</f>
        <v/>
      </c>
      <c r="AB63" t="str">
        <f>IF(Backend!AC90="", "", Backend!AC90)</f>
        <v/>
      </c>
      <c r="AC63" t="str">
        <f>IF(Backend!AD90="", "", Backend!AD90)</f>
        <v/>
      </c>
      <c r="AD63" t="str">
        <f>IF(Backend!AE90="", "", Backend!AE90)</f>
        <v/>
      </c>
      <c r="AE63" t="str">
        <f>IF(Backend!AF90="", "", Backend!AF90)</f>
        <v/>
      </c>
      <c r="AF63" t="str">
        <f>IF(Backend!AG90="", "", Backend!AG90)</f>
        <v/>
      </c>
      <c r="AG63" t="str">
        <f>IF(Backend!AH90="", "", Backend!AH90)</f>
        <v/>
      </c>
      <c r="AH63" t="str">
        <f>IF(Backend!AI90="", "", Backend!AI90)</f>
        <v/>
      </c>
      <c r="AI63" t="str">
        <f>IF(Backend!AJ90="", "", Backend!AJ90)</f>
        <v/>
      </c>
      <c r="AJ63" t="str">
        <f>IF(Backend!AK90="", "", Backend!AK90)</f>
        <v/>
      </c>
      <c r="AK63" t="str">
        <f>IF(Backend!AL90="", "", Backend!AL90)</f>
        <v/>
      </c>
      <c r="AL63" t="str">
        <f>IF(Backend!AM90="", "", Backend!AM90)</f>
        <v/>
      </c>
      <c r="AM63" t="str">
        <f>IF(Backend!AN90="", "", Backend!AN90)</f>
        <v/>
      </c>
      <c r="AN63" t="str">
        <f>IF(Backend!AO90="", "", Backend!AO90)</f>
        <v/>
      </c>
      <c r="AO63" t="str">
        <f>IF(Backend!AP90="", "", Backend!AP90)</f>
        <v/>
      </c>
      <c r="AP63" t="str">
        <f>IF(Backend!AQ90="", "", Backend!AQ90)</f>
        <v/>
      </c>
      <c r="AQ63" t="str">
        <f>IF(Backend!AR90="", "", Backend!AR90)</f>
        <v/>
      </c>
      <c r="AR63" t="str">
        <f>IF(Backend!AS90="", "", Backend!AS90)</f>
        <v/>
      </c>
      <c r="AS63" t="str">
        <f>IF(Backend!AT90="", "", Backend!AT90)</f>
        <v/>
      </c>
      <c r="AT63" t="str">
        <f>IF(Backend!AU90="", "", Backend!AU90)</f>
        <v/>
      </c>
      <c r="AU63" t="str">
        <f>IF(Backend!AV90="", "", Backend!AV90)</f>
        <v/>
      </c>
      <c r="AV63" t="str">
        <f>IF(Backend!AW90="", "", Backend!AW90)</f>
        <v/>
      </c>
      <c r="AW63" t="str">
        <f>IF(Backend!AX90="", "", Backend!AX90)</f>
        <v/>
      </c>
      <c r="AX63" t="str">
        <f>IF(Backend!AY90="", "", Backend!AY90)</f>
        <v/>
      </c>
      <c r="AY63" t="str">
        <f>IF(Backend!AZ90="", "", Backend!AZ90)</f>
        <v/>
      </c>
      <c r="AZ63" t="str">
        <f>IF(Backend!BA90="", "", Backend!BA90)</f>
        <v/>
      </c>
      <c r="BA63" t="str">
        <f>IF(Backend!BB90="", "", Backend!BB90)</f>
        <v/>
      </c>
      <c r="BB63" t="str">
        <f>IF(Backend!BC90="", "", Backend!BC90)</f>
        <v/>
      </c>
      <c r="BC63" t="str">
        <f>IF(Backend!BD90="", "", Backend!BD90)</f>
        <v/>
      </c>
      <c r="BD63" t="str">
        <f>IF(Backend!BE90="", "", Backend!BE90)</f>
        <v/>
      </c>
      <c r="BE63" t="str">
        <f>IF(Backend!BF90="", "", Backend!BF90)</f>
        <v/>
      </c>
      <c r="BF63" t="str">
        <f>IF(Backend!BG90="", "", Backend!BG90)</f>
        <v/>
      </c>
      <c r="BG63" t="str">
        <f>IF(Backend!BH90="", "", Backend!BH90)</f>
        <v/>
      </c>
      <c r="BH63" t="str">
        <f>IF(Backend!BI90="", "", Backend!BI90)</f>
        <v/>
      </c>
      <c r="BI63" t="str">
        <f>IF(Backend!BJ90="", "", Backend!BJ90)</f>
        <v/>
      </c>
      <c r="BJ63" t="str">
        <f>IF(Backend!BK90="", "", Backend!BK90)</f>
        <v/>
      </c>
      <c r="BK63" t="str">
        <f>IF(Backend!BL90="", "", Backend!BL90)</f>
        <v/>
      </c>
      <c r="BL63" t="str">
        <f>IF(Backend!BM90="", "", Backend!BM90)</f>
        <v/>
      </c>
      <c r="BM63" t="str">
        <f>IF(Backend!BN90="", "", Backend!BN90)</f>
        <v/>
      </c>
      <c r="BN63" t="str">
        <f>IF(Backend!BO90="", "", Backend!BO90)</f>
        <v/>
      </c>
      <c r="BO63" t="str">
        <f>IF(Backend!BP90="", "", Backend!BP90)</f>
        <v/>
      </c>
      <c r="BP63" t="str">
        <f>IF(Backend!BQ90="", "", Backend!BQ90)</f>
        <v/>
      </c>
      <c r="BQ63" t="str">
        <f>IF(Backend!BR90="", "", Backend!BR90)</f>
        <v/>
      </c>
      <c r="BR63" t="str">
        <f>IF(Backend!BS90="", "", Backend!BS90)</f>
        <v/>
      </c>
      <c r="BS63" t="str">
        <f>IF(Backend!BT90="", "", Backend!BT90)</f>
        <v/>
      </c>
      <c r="BT63" t="str">
        <f>IF(Backend!BU90="", "", Backend!BU90)</f>
        <v/>
      </c>
      <c r="BU63" t="str">
        <f>IF(Backend!BV90="", "", Backend!BV90)</f>
        <v/>
      </c>
      <c r="BV63" t="str">
        <f>IF(Backend!BW90="", "", Backend!BW90)</f>
        <v/>
      </c>
      <c r="BW63" t="str">
        <f>IF(Backend!BX90="", "", Backend!BX90)</f>
        <v/>
      </c>
      <c r="BX63" t="str">
        <f>IF(Backend!BY90="", "", Backend!BY90)</f>
        <v/>
      </c>
      <c r="BY63" t="str">
        <f>IF(Backend!BZ90="", "", Backend!BZ90)</f>
        <v/>
      </c>
      <c r="BZ63" t="str">
        <f>IF(Backend!CA90="", "", Backend!CA90)</f>
        <v/>
      </c>
      <c r="CA63" t="str">
        <f>IF(Backend!CB90="", "", Backend!CB90)</f>
        <v/>
      </c>
      <c r="CB63" t="str">
        <f>IF(Backend!CC90="", "", Backend!CC90)</f>
        <v/>
      </c>
      <c r="CC63" t="str">
        <f>IF(Backend!CD90="", "", Backend!CD90)</f>
        <v/>
      </c>
    </row>
    <row r="64" spans="1:81" x14ac:dyDescent="0.25">
      <c r="A64" s="4" t="str">
        <f>IF(Backend!A91="", "", Backend!A91)</f>
        <v/>
      </c>
      <c r="B64" t="str">
        <f>IF(Backend!C91="", "", Backend!C91)</f>
        <v/>
      </c>
      <c r="C64" t="str">
        <f>IF(Backend!D91="", "", Backend!D91)</f>
        <v/>
      </c>
      <c r="D64" t="str">
        <f>IF(Backend!E91="", "", Backend!E91)</f>
        <v/>
      </c>
      <c r="E64" t="str">
        <f>IF(Backend!F91="", "", Backend!F91)</f>
        <v/>
      </c>
      <c r="F64" t="str">
        <f>IF(Backend!G91="", "", Backend!G91)</f>
        <v/>
      </c>
      <c r="G64" t="str">
        <f>IF(Backend!H91="", "", Backend!H91)</f>
        <v/>
      </c>
      <c r="H64" t="str">
        <f>IF(Backend!I91="", "", Backend!I91)</f>
        <v/>
      </c>
      <c r="I64" t="str">
        <f>IF(Backend!J91="", "", Backend!J91)</f>
        <v/>
      </c>
      <c r="J64" t="str">
        <f>IF(Backend!K91="", "", Backend!K91)</f>
        <v/>
      </c>
      <c r="K64" t="str">
        <f>IF(Backend!L91="", "", Backend!L91)</f>
        <v/>
      </c>
      <c r="L64" t="str">
        <f>IF(Backend!M91="", "", Backend!M91)</f>
        <v/>
      </c>
      <c r="M64" t="str">
        <f>IF(Backend!N91="", "", Backend!N91)</f>
        <v/>
      </c>
      <c r="N64" t="str">
        <f>IF(Backend!O91="", "", Backend!O91)</f>
        <v/>
      </c>
      <c r="O64" t="str">
        <f>IF(Backend!P91="", "", Backend!P91)</f>
        <v/>
      </c>
      <c r="P64" t="str">
        <f>IF(Backend!Q91="", "", Backend!Q91)</f>
        <v/>
      </c>
      <c r="Q64" t="str">
        <f>IF(Backend!R91="", "", Backend!R91)</f>
        <v/>
      </c>
      <c r="R64" t="str">
        <f>IF(Backend!S91="", "", Backend!S91)</f>
        <v/>
      </c>
      <c r="S64" t="str">
        <f>IF(Backend!T91="", "", Backend!T91)</f>
        <v/>
      </c>
      <c r="T64" t="str">
        <f>IF(Backend!U91="", "", Backend!U91)</f>
        <v/>
      </c>
      <c r="U64" t="str">
        <f>IF(Backend!V91="", "", Backend!V91)</f>
        <v/>
      </c>
      <c r="V64" t="str">
        <f>IF(Backend!W91="", "", Backend!W91)</f>
        <v/>
      </c>
      <c r="W64" t="str">
        <f>IF(Backend!X91="", "", Backend!X91)</f>
        <v/>
      </c>
      <c r="X64" t="str">
        <f>IF(Backend!Y91="", "", Backend!Y91)</f>
        <v/>
      </c>
      <c r="Y64" t="str">
        <f>IF(Backend!Z91="", "", Backend!Z91)</f>
        <v/>
      </c>
      <c r="Z64" t="str">
        <f>IF(Backend!AA91="", "", Backend!AA91)</f>
        <v/>
      </c>
      <c r="AA64" t="str">
        <f>IF(Backend!AB91="", "", Backend!AB91)</f>
        <v/>
      </c>
      <c r="AB64" t="str">
        <f>IF(Backend!AC91="", "", Backend!AC91)</f>
        <v/>
      </c>
      <c r="AC64" t="str">
        <f>IF(Backend!AD91="", "", Backend!AD91)</f>
        <v/>
      </c>
      <c r="AD64" t="str">
        <f>IF(Backend!AE91="", "", Backend!AE91)</f>
        <v/>
      </c>
      <c r="AE64" t="str">
        <f>IF(Backend!AF91="", "", Backend!AF91)</f>
        <v/>
      </c>
      <c r="AF64" t="str">
        <f>IF(Backend!AG91="", "", Backend!AG91)</f>
        <v/>
      </c>
      <c r="AG64" t="str">
        <f>IF(Backend!AH91="", "", Backend!AH91)</f>
        <v/>
      </c>
      <c r="AH64" t="str">
        <f>IF(Backend!AI91="", "", Backend!AI91)</f>
        <v/>
      </c>
      <c r="AI64" t="str">
        <f>IF(Backend!AJ91="", "", Backend!AJ91)</f>
        <v/>
      </c>
      <c r="AJ64" t="str">
        <f>IF(Backend!AK91="", "", Backend!AK91)</f>
        <v/>
      </c>
      <c r="AK64" t="str">
        <f>IF(Backend!AL91="", "", Backend!AL91)</f>
        <v/>
      </c>
      <c r="AL64" t="str">
        <f>IF(Backend!AM91="", "", Backend!AM91)</f>
        <v/>
      </c>
      <c r="AM64" t="str">
        <f>IF(Backend!AN91="", "", Backend!AN91)</f>
        <v/>
      </c>
      <c r="AN64" t="str">
        <f>IF(Backend!AO91="", "", Backend!AO91)</f>
        <v/>
      </c>
      <c r="AO64" t="str">
        <f>IF(Backend!AP91="", "", Backend!AP91)</f>
        <v/>
      </c>
      <c r="AP64" t="str">
        <f>IF(Backend!AQ91="", "", Backend!AQ91)</f>
        <v/>
      </c>
      <c r="AQ64" t="str">
        <f>IF(Backend!AR91="", "", Backend!AR91)</f>
        <v/>
      </c>
      <c r="AR64" t="str">
        <f>IF(Backend!AS91="", "", Backend!AS91)</f>
        <v/>
      </c>
      <c r="AS64" t="str">
        <f>IF(Backend!AT91="", "", Backend!AT91)</f>
        <v/>
      </c>
      <c r="AT64" t="str">
        <f>IF(Backend!AU91="", "", Backend!AU91)</f>
        <v/>
      </c>
      <c r="AU64" t="str">
        <f>IF(Backend!AV91="", "", Backend!AV91)</f>
        <v/>
      </c>
      <c r="AV64" t="str">
        <f>IF(Backend!AW91="", "", Backend!AW91)</f>
        <v/>
      </c>
      <c r="AW64" t="str">
        <f>IF(Backend!AX91="", "", Backend!AX91)</f>
        <v/>
      </c>
      <c r="AX64" t="str">
        <f>IF(Backend!AY91="", "", Backend!AY91)</f>
        <v/>
      </c>
      <c r="AY64" t="str">
        <f>IF(Backend!AZ91="", "", Backend!AZ91)</f>
        <v/>
      </c>
      <c r="AZ64" t="str">
        <f>IF(Backend!BA91="", "", Backend!BA91)</f>
        <v/>
      </c>
      <c r="BA64" t="str">
        <f>IF(Backend!BB91="", "", Backend!BB91)</f>
        <v/>
      </c>
      <c r="BB64" t="str">
        <f>IF(Backend!BC91="", "", Backend!BC91)</f>
        <v/>
      </c>
      <c r="BC64" t="str">
        <f>IF(Backend!BD91="", "", Backend!BD91)</f>
        <v/>
      </c>
      <c r="BD64" t="str">
        <f>IF(Backend!BE91="", "", Backend!BE91)</f>
        <v/>
      </c>
      <c r="BE64" t="str">
        <f>IF(Backend!BF91="", "", Backend!BF91)</f>
        <v/>
      </c>
      <c r="BF64" t="str">
        <f>IF(Backend!BG91="", "", Backend!BG91)</f>
        <v/>
      </c>
      <c r="BG64" t="str">
        <f>IF(Backend!BH91="", "", Backend!BH91)</f>
        <v/>
      </c>
      <c r="BH64" t="str">
        <f>IF(Backend!BI91="", "", Backend!BI91)</f>
        <v/>
      </c>
      <c r="BI64" t="str">
        <f>IF(Backend!BJ91="", "", Backend!BJ91)</f>
        <v/>
      </c>
      <c r="BJ64" t="str">
        <f>IF(Backend!BK91="", "", Backend!BK91)</f>
        <v/>
      </c>
      <c r="BK64" t="str">
        <f>IF(Backend!BL91="", "", Backend!BL91)</f>
        <v/>
      </c>
      <c r="BL64" t="str">
        <f>IF(Backend!BM91="", "", Backend!BM91)</f>
        <v/>
      </c>
      <c r="BM64" t="str">
        <f>IF(Backend!BN91="", "", Backend!BN91)</f>
        <v/>
      </c>
      <c r="BN64" t="str">
        <f>IF(Backend!BO91="", "", Backend!BO91)</f>
        <v/>
      </c>
      <c r="BO64" t="str">
        <f>IF(Backend!BP91="", "", Backend!BP91)</f>
        <v/>
      </c>
      <c r="BP64" t="str">
        <f>IF(Backend!BQ91="", "", Backend!BQ91)</f>
        <v/>
      </c>
      <c r="BQ64" t="str">
        <f>IF(Backend!BR91="", "", Backend!BR91)</f>
        <v/>
      </c>
      <c r="BR64" t="str">
        <f>IF(Backend!BS91="", "", Backend!BS91)</f>
        <v/>
      </c>
      <c r="BS64" t="str">
        <f>IF(Backend!BT91="", "", Backend!BT91)</f>
        <v/>
      </c>
      <c r="BT64" t="str">
        <f>IF(Backend!BU91="", "", Backend!BU91)</f>
        <v/>
      </c>
      <c r="BU64" t="str">
        <f>IF(Backend!BV91="", "", Backend!BV91)</f>
        <v/>
      </c>
      <c r="BV64" t="str">
        <f>IF(Backend!BW91="", "", Backend!BW91)</f>
        <v/>
      </c>
      <c r="BW64" t="str">
        <f>IF(Backend!BX91="", "", Backend!BX91)</f>
        <v/>
      </c>
      <c r="BX64" t="str">
        <f>IF(Backend!BY91="", "", Backend!BY91)</f>
        <v/>
      </c>
      <c r="BY64" t="str">
        <f>IF(Backend!BZ91="", "", Backend!BZ91)</f>
        <v/>
      </c>
      <c r="BZ64" t="str">
        <f>IF(Backend!CA91="", "", Backend!CA91)</f>
        <v/>
      </c>
      <c r="CA64" t="str">
        <f>IF(Backend!CB91="", "", Backend!CB91)</f>
        <v/>
      </c>
      <c r="CB64" t="str">
        <f>IF(Backend!CC91="", "", Backend!CC91)</f>
        <v/>
      </c>
      <c r="CC64" t="str">
        <f>IF(Backend!CD91="", "", Backend!CD91)</f>
        <v/>
      </c>
    </row>
    <row r="65" spans="1:81" x14ac:dyDescent="0.25">
      <c r="A65" s="4" t="str">
        <f>IF(Backend!A92="", "", Backend!A92)</f>
        <v/>
      </c>
      <c r="B65" t="str">
        <f>IF(Backend!C92="", "", Backend!C92)</f>
        <v/>
      </c>
      <c r="C65" t="str">
        <f>IF(Backend!D92="", "", Backend!D92)</f>
        <v/>
      </c>
      <c r="D65" t="str">
        <f>IF(Backend!E92="", "", Backend!E92)</f>
        <v/>
      </c>
      <c r="E65" t="str">
        <f>IF(Backend!F92="", "", Backend!F92)</f>
        <v/>
      </c>
      <c r="F65" t="str">
        <f>IF(Backend!G92="", "", Backend!G92)</f>
        <v/>
      </c>
      <c r="G65" t="str">
        <f>IF(Backend!H92="", "", Backend!H92)</f>
        <v/>
      </c>
      <c r="H65" t="str">
        <f>IF(Backend!I92="", "", Backend!I92)</f>
        <v/>
      </c>
      <c r="I65" t="str">
        <f>IF(Backend!J92="", "", Backend!J92)</f>
        <v/>
      </c>
      <c r="J65" t="str">
        <f>IF(Backend!K92="", "", Backend!K92)</f>
        <v/>
      </c>
      <c r="K65" t="str">
        <f>IF(Backend!L92="", "", Backend!L92)</f>
        <v/>
      </c>
      <c r="L65" t="str">
        <f>IF(Backend!M92="", "", Backend!M92)</f>
        <v/>
      </c>
      <c r="M65" t="str">
        <f>IF(Backend!N92="", "", Backend!N92)</f>
        <v/>
      </c>
      <c r="N65" t="str">
        <f>IF(Backend!O92="", "", Backend!O92)</f>
        <v/>
      </c>
      <c r="O65" t="str">
        <f>IF(Backend!P92="", "", Backend!P92)</f>
        <v/>
      </c>
      <c r="P65" t="str">
        <f>IF(Backend!Q92="", "", Backend!Q92)</f>
        <v/>
      </c>
      <c r="Q65" t="str">
        <f>IF(Backend!R92="", "", Backend!R92)</f>
        <v/>
      </c>
      <c r="R65" t="str">
        <f>IF(Backend!S92="", "", Backend!S92)</f>
        <v/>
      </c>
      <c r="S65" t="str">
        <f>IF(Backend!T92="", "", Backend!T92)</f>
        <v/>
      </c>
      <c r="T65" t="str">
        <f>IF(Backend!U92="", "", Backend!U92)</f>
        <v/>
      </c>
      <c r="U65" t="str">
        <f>IF(Backend!V92="", "", Backend!V92)</f>
        <v/>
      </c>
      <c r="V65" t="str">
        <f>IF(Backend!W92="", "", Backend!W92)</f>
        <v/>
      </c>
      <c r="W65" t="str">
        <f>IF(Backend!X92="", "", Backend!X92)</f>
        <v/>
      </c>
      <c r="X65" t="str">
        <f>IF(Backend!Y92="", "", Backend!Y92)</f>
        <v/>
      </c>
      <c r="Y65" t="str">
        <f>IF(Backend!Z92="", "", Backend!Z92)</f>
        <v/>
      </c>
      <c r="Z65" t="str">
        <f>IF(Backend!AA92="", "", Backend!AA92)</f>
        <v/>
      </c>
      <c r="AA65" t="str">
        <f>IF(Backend!AB92="", "", Backend!AB92)</f>
        <v/>
      </c>
      <c r="AB65" t="str">
        <f>IF(Backend!AC92="", "", Backend!AC92)</f>
        <v/>
      </c>
      <c r="AC65" t="str">
        <f>IF(Backend!AD92="", "", Backend!AD92)</f>
        <v/>
      </c>
      <c r="AD65" t="str">
        <f>IF(Backend!AE92="", "", Backend!AE92)</f>
        <v/>
      </c>
      <c r="AE65" t="str">
        <f>IF(Backend!AF92="", "", Backend!AF92)</f>
        <v/>
      </c>
      <c r="AF65" t="str">
        <f>IF(Backend!AG92="", "", Backend!AG92)</f>
        <v/>
      </c>
      <c r="AG65" t="str">
        <f>IF(Backend!AH92="", "", Backend!AH92)</f>
        <v/>
      </c>
      <c r="AH65" t="str">
        <f>IF(Backend!AI92="", "", Backend!AI92)</f>
        <v/>
      </c>
      <c r="AI65" t="str">
        <f>IF(Backend!AJ92="", "", Backend!AJ92)</f>
        <v/>
      </c>
      <c r="AJ65" t="str">
        <f>IF(Backend!AK92="", "", Backend!AK92)</f>
        <v/>
      </c>
      <c r="AK65" t="str">
        <f>IF(Backend!AL92="", "", Backend!AL92)</f>
        <v/>
      </c>
      <c r="AL65" t="str">
        <f>IF(Backend!AM92="", "", Backend!AM92)</f>
        <v/>
      </c>
      <c r="AM65" t="str">
        <f>IF(Backend!AN92="", "", Backend!AN92)</f>
        <v/>
      </c>
      <c r="AN65" t="str">
        <f>IF(Backend!AO92="", "", Backend!AO92)</f>
        <v/>
      </c>
      <c r="AO65" t="str">
        <f>IF(Backend!AP92="", "", Backend!AP92)</f>
        <v/>
      </c>
      <c r="AP65" t="str">
        <f>IF(Backend!AQ92="", "", Backend!AQ92)</f>
        <v/>
      </c>
      <c r="AQ65" t="str">
        <f>IF(Backend!AR92="", "", Backend!AR92)</f>
        <v/>
      </c>
      <c r="AR65" t="str">
        <f>IF(Backend!AS92="", "", Backend!AS92)</f>
        <v/>
      </c>
      <c r="AS65" t="str">
        <f>IF(Backend!AT92="", "", Backend!AT92)</f>
        <v/>
      </c>
      <c r="AT65" t="str">
        <f>IF(Backend!AU92="", "", Backend!AU92)</f>
        <v/>
      </c>
      <c r="AU65" t="str">
        <f>IF(Backend!AV92="", "", Backend!AV92)</f>
        <v/>
      </c>
      <c r="AV65" t="str">
        <f>IF(Backend!AW92="", "", Backend!AW92)</f>
        <v/>
      </c>
      <c r="AW65" t="str">
        <f>IF(Backend!AX92="", "", Backend!AX92)</f>
        <v/>
      </c>
      <c r="AX65" t="str">
        <f>IF(Backend!AY92="", "", Backend!AY92)</f>
        <v/>
      </c>
      <c r="AY65" t="str">
        <f>IF(Backend!AZ92="", "", Backend!AZ92)</f>
        <v/>
      </c>
      <c r="AZ65" t="str">
        <f>IF(Backend!BA92="", "", Backend!BA92)</f>
        <v/>
      </c>
      <c r="BA65" t="str">
        <f>IF(Backend!BB92="", "", Backend!BB92)</f>
        <v/>
      </c>
      <c r="BB65" t="str">
        <f>IF(Backend!BC92="", "", Backend!BC92)</f>
        <v/>
      </c>
      <c r="BC65" t="str">
        <f>IF(Backend!BD92="", "", Backend!BD92)</f>
        <v/>
      </c>
      <c r="BD65" t="str">
        <f>IF(Backend!BE92="", "", Backend!BE92)</f>
        <v/>
      </c>
      <c r="BE65" t="str">
        <f>IF(Backend!BF92="", "", Backend!BF92)</f>
        <v/>
      </c>
      <c r="BF65" t="str">
        <f>IF(Backend!BG92="", "", Backend!BG92)</f>
        <v/>
      </c>
      <c r="BG65" t="str">
        <f>IF(Backend!BH92="", "", Backend!BH92)</f>
        <v/>
      </c>
      <c r="BH65" t="str">
        <f>IF(Backend!BI92="", "", Backend!BI92)</f>
        <v/>
      </c>
      <c r="BI65" t="str">
        <f>IF(Backend!BJ92="", "", Backend!BJ92)</f>
        <v/>
      </c>
      <c r="BJ65" t="str">
        <f>IF(Backend!BK92="", "", Backend!BK92)</f>
        <v/>
      </c>
      <c r="BK65" t="str">
        <f>IF(Backend!BL92="", "", Backend!BL92)</f>
        <v/>
      </c>
      <c r="BL65" t="str">
        <f>IF(Backend!BM92="", "", Backend!BM92)</f>
        <v/>
      </c>
      <c r="BM65" t="str">
        <f>IF(Backend!BN92="", "", Backend!BN92)</f>
        <v/>
      </c>
      <c r="BN65" t="str">
        <f>IF(Backend!BO92="", "", Backend!BO92)</f>
        <v/>
      </c>
      <c r="BO65" t="str">
        <f>IF(Backend!BP92="", "", Backend!BP92)</f>
        <v/>
      </c>
      <c r="BP65" t="str">
        <f>IF(Backend!BQ92="", "", Backend!BQ92)</f>
        <v/>
      </c>
      <c r="BQ65" t="str">
        <f>IF(Backend!BR92="", "", Backend!BR92)</f>
        <v/>
      </c>
      <c r="BR65" t="str">
        <f>IF(Backend!BS92="", "", Backend!BS92)</f>
        <v/>
      </c>
      <c r="BS65" t="str">
        <f>IF(Backend!BT92="", "", Backend!BT92)</f>
        <v/>
      </c>
      <c r="BT65" t="str">
        <f>IF(Backend!BU92="", "", Backend!BU92)</f>
        <v/>
      </c>
      <c r="BU65" t="str">
        <f>IF(Backend!BV92="", "", Backend!BV92)</f>
        <v/>
      </c>
      <c r="BV65" t="str">
        <f>IF(Backend!BW92="", "", Backend!BW92)</f>
        <v/>
      </c>
      <c r="BW65" t="str">
        <f>IF(Backend!BX92="", "", Backend!BX92)</f>
        <v/>
      </c>
      <c r="BX65" t="str">
        <f>IF(Backend!BY92="", "", Backend!BY92)</f>
        <v/>
      </c>
      <c r="BY65" t="str">
        <f>IF(Backend!BZ92="", "", Backend!BZ92)</f>
        <v/>
      </c>
      <c r="BZ65" t="str">
        <f>IF(Backend!CA92="", "", Backend!CA92)</f>
        <v/>
      </c>
      <c r="CA65" t="str">
        <f>IF(Backend!CB92="", "", Backend!CB92)</f>
        <v/>
      </c>
      <c r="CB65" t="str">
        <f>IF(Backend!CC92="", "", Backend!CC92)</f>
        <v/>
      </c>
      <c r="CC65" t="str">
        <f>IF(Backend!CD92="", "", Backend!CD92)</f>
        <v/>
      </c>
    </row>
    <row r="66" spans="1:81" x14ac:dyDescent="0.25">
      <c r="A66" s="4" t="str">
        <f>IF(Backend!A93="", "", Backend!A93)</f>
        <v/>
      </c>
      <c r="B66" t="str">
        <f>IF(Backend!C93="", "", Backend!C93)</f>
        <v/>
      </c>
      <c r="C66" t="str">
        <f>IF(Backend!D93="", "", Backend!D93)</f>
        <v/>
      </c>
      <c r="D66" t="str">
        <f>IF(Backend!E93="", "", Backend!E93)</f>
        <v/>
      </c>
      <c r="E66" t="str">
        <f>IF(Backend!F93="", "", Backend!F93)</f>
        <v/>
      </c>
      <c r="F66" t="str">
        <f>IF(Backend!G93="", "", Backend!G93)</f>
        <v/>
      </c>
      <c r="G66" t="str">
        <f>IF(Backend!H93="", "", Backend!H93)</f>
        <v/>
      </c>
      <c r="H66" t="str">
        <f>IF(Backend!I93="", "", Backend!I93)</f>
        <v/>
      </c>
      <c r="I66" t="str">
        <f>IF(Backend!J93="", "", Backend!J93)</f>
        <v/>
      </c>
      <c r="J66" t="str">
        <f>IF(Backend!K93="", "", Backend!K93)</f>
        <v/>
      </c>
      <c r="K66" t="str">
        <f>IF(Backend!L93="", "", Backend!L93)</f>
        <v/>
      </c>
      <c r="L66" t="str">
        <f>IF(Backend!M93="", "", Backend!M93)</f>
        <v/>
      </c>
      <c r="M66" t="str">
        <f>IF(Backend!N93="", "", Backend!N93)</f>
        <v/>
      </c>
      <c r="N66" t="str">
        <f>IF(Backend!O93="", "", Backend!O93)</f>
        <v/>
      </c>
      <c r="O66" t="str">
        <f>IF(Backend!P93="", "", Backend!P93)</f>
        <v/>
      </c>
      <c r="P66" t="str">
        <f>IF(Backend!Q93="", "", Backend!Q93)</f>
        <v/>
      </c>
      <c r="Q66" t="str">
        <f>IF(Backend!R93="", "", Backend!R93)</f>
        <v/>
      </c>
      <c r="R66" t="str">
        <f>IF(Backend!S93="", "", Backend!S93)</f>
        <v/>
      </c>
      <c r="S66" t="str">
        <f>IF(Backend!T93="", "", Backend!T93)</f>
        <v/>
      </c>
      <c r="T66" t="str">
        <f>IF(Backend!U93="", "", Backend!U93)</f>
        <v/>
      </c>
      <c r="U66" t="str">
        <f>IF(Backend!V93="", "", Backend!V93)</f>
        <v/>
      </c>
      <c r="V66" t="str">
        <f>IF(Backend!W93="", "", Backend!W93)</f>
        <v/>
      </c>
      <c r="W66" t="str">
        <f>IF(Backend!X93="", "", Backend!X93)</f>
        <v/>
      </c>
      <c r="X66" t="str">
        <f>IF(Backend!Y93="", "", Backend!Y93)</f>
        <v/>
      </c>
      <c r="Y66" t="str">
        <f>IF(Backend!Z93="", "", Backend!Z93)</f>
        <v/>
      </c>
      <c r="Z66" t="str">
        <f>IF(Backend!AA93="", "", Backend!AA93)</f>
        <v/>
      </c>
      <c r="AA66" t="str">
        <f>IF(Backend!AB93="", "", Backend!AB93)</f>
        <v/>
      </c>
      <c r="AB66" t="str">
        <f>IF(Backend!AC93="", "", Backend!AC93)</f>
        <v/>
      </c>
      <c r="AC66" t="str">
        <f>IF(Backend!AD93="", "", Backend!AD93)</f>
        <v/>
      </c>
      <c r="AD66" t="str">
        <f>IF(Backend!AE93="", "", Backend!AE93)</f>
        <v/>
      </c>
      <c r="AE66" t="str">
        <f>IF(Backend!AF93="", "", Backend!AF93)</f>
        <v/>
      </c>
      <c r="AF66" t="str">
        <f>IF(Backend!AG93="", "", Backend!AG93)</f>
        <v/>
      </c>
      <c r="AG66" t="str">
        <f>IF(Backend!AH93="", "", Backend!AH93)</f>
        <v/>
      </c>
      <c r="AH66" t="str">
        <f>IF(Backend!AI93="", "", Backend!AI93)</f>
        <v/>
      </c>
      <c r="AI66" t="str">
        <f>IF(Backend!AJ93="", "", Backend!AJ93)</f>
        <v/>
      </c>
      <c r="AJ66" t="str">
        <f>IF(Backend!AK93="", "", Backend!AK93)</f>
        <v/>
      </c>
      <c r="AK66" t="str">
        <f>IF(Backend!AL93="", "", Backend!AL93)</f>
        <v/>
      </c>
      <c r="AL66" t="str">
        <f>IF(Backend!AM93="", "", Backend!AM93)</f>
        <v/>
      </c>
      <c r="AM66" t="str">
        <f>IF(Backend!AN93="", "", Backend!AN93)</f>
        <v/>
      </c>
      <c r="AN66" t="str">
        <f>IF(Backend!AO93="", "", Backend!AO93)</f>
        <v/>
      </c>
      <c r="AO66" t="str">
        <f>IF(Backend!AP93="", "", Backend!AP93)</f>
        <v/>
      </c>
      <c r="AP66" t="str">
        <f>IF(Backend!AQ93="", "", Backend!AQ93)</f>
        <v/>
      </c>
      <c r="AQ66" t="str">
        <f>IF(Backend!AR93="", "", Backend!AR93)</f>
        <v/>
      </c>
      <c r="AR66" t="str">
        <f>IF(Backend!AS93="", "", Backend!AS93)</f>
        <v/>
      </c>
      <c r="AS66" t="str">
        <f>IF(Backend!AT93="", "", Backend!AT93)</f>
        <v/>
      </c>
      <c r="AT66" t="str">
        <f>IF(Backend!AU93="", "", Backend!AU93)</f>
        <v/>
      </c>
      <c r="AU66" t="str">
        <f>IF(Backend!AV93="", "", Backend!AV93)</f>
        <v/>
      </c>
      <c r="AV66" t="str">
        <f>IF(Backend!AW93="", "", Backend!AW93)</f>
        <v/>
      </c>
      <c r="AW66" t="str">
        <f>IF(Backend!AX93="", "", Backend!AX93)</f>
        <v/>
      </c>
      <c r="AX66" t="str">
        <f>IF(Backend!AY93="", "", Backend!AY93)</f>
        <v/>
      </c>
      <c r="AY66" t="str">
        <f>IF(Backend!AZ93="", "", Backend!AZ93)</f>
        <v/>
      </c>
      <c r="AZ66" t="str">
        <f>IF(Backend!BA93="", "", Backend!BA93)</f>
        <v/>
      </c>
      <c r="BA66" t="str">
        <f>IF(Backend!BB93="", "", Backend!BB93)</f>
        <v/>
      </c>
      <c r="BB66" t="str">
        <f>IF(Backend!BC93="", "", Backend!BC93)</f>
        <v/>
      </c>
      <c r="BC66" t="str">
        <f>IF(Backend!BD93="", "", Backend!BD93)</f>
        <v/>
      </c>
      <c r="BD66" t="str">
        <f>IF(Backend!BE93="", "", Backend!BE93)</f>
        <v/>
      </c>
      <c r="BE66" t="str">
        <f>IF(Backend!BF93="", "", Backend!BF93)</f>
        <v/>
      </c>
      <c r="BF66" t="str">
        <f>IF(Backend!BG93="", "", Backend!BG93)</f>
        <v/>
      </c>
      <c r="BG66" t="str">
        <f>IF(Backend!BH93="", "", Backend!BH93)</f>
        <v/>
      </c>
      <c r="BH66" t="str">
        <f>IF(Backend!BI93="", "", Backend!BI93)</f>
        <v/>
      </c>
      <c r="BI66" t="str">
        <f>IF(Backend!BJ93="", "", Backend!BJ93)</f>
        <v/>
      </c>
      <c r="BJ66" t="str">
        <f>IF(Backend!BK93="", "", Backend!BK93)</f>
        <v/>
      </c>
      <c r="BK66" t="str">
        <f>IF(Backend!BL93="", "", Backend!BL93)</f>
        <v/>
      </c>
      <c r="BL66" t="str">
        <f>IF(Backend!BM93="", "", Backend!BM93)</f>
        <v/>
      </c>
      <c r="BM66" t="str">
        <f>IF(Backend!BN93="", "", Backend!BN93)</f>
        <v/>
      </c>
      <c r="BN66" t="str">
        <f>IF(Backend!BO93="", "", Backend!BO93)</f>
        <v/>
      </c>
      <c r="BO66" t="str">
        <f>IF(Backend!BP93="", "", Backend!BP93)</f>
        <v/>
      </c>
      <c r="BP66" t="str">
        <f>IF(Backend!BQ93="", "", Backend!BQ93)</f>
        <v/>
      </c>
      <c r="BQ66" t="str">
        <f>IF(Backend!BR93="", "", Backend!BR93)</f>
        <v/>
      </c>
      <c r="BR66" t="str">
        <f>IF(Backend!BS93="", "", Backend!BS93)</f>
        <v/>
      </c>
      <c r="BS66" t="str">
        <f>IF(Backend!BT93="", "", Backend!BT93)</f>
        <v/>
      </c>
      <c r="BT66" t="str">
        <f>IF(Backend!BU93="", "", Backend!BU93)</f>
        <v/>
      </c>
      <c r="BU66" t="str">
        <f>IF(Backend!BV93="", "", Backend!BV93)</f>
        <v/>
      </c>
      <c r="BV66" t="str">
        <f>IF(Backend!BW93="", "", Backend!BW93)</f>
        <v/>
      </c>
      <c r="BW66" t="str">
        <f>IF(Backend!BX93="", "", Backend!BX93)</f>
        <v/>
      </c>
      <c r="BX66" t="str">
        <f>IF(Backend!BY93="", "", Backend!BY93)</f>
        <v/>
      </c>
      <c r="BY66" t="str">
        <f>IF(Backend!BZ93="", "", Backend!BZ93)</f>
        <v/>
      </c>
      <c r="BZ66" t="str">
        <f>IF(Backend!CA93="", "", Backend!CA93)</f>
        <v/>
      </c>
      <c r="CA66" t="str">
        <f>IF(Backend!CB93="", "", Backend!CB93)</f>
        <v/>
      </c>
      <c r="CB66" t="str">
        <f>IF(Backend!CC93="", "", Backend!CC93)</f>
        <v/>
      </c>
      <c r="CC66" t="str">
        <f>IF(Backend!CD93="", "", Backend!CD93)</f>
        <v/>
      </c>
    </row>
    <row r="67" spans="1:81" x14ac:dyDescent="0.25">
      <c r="A67" s="4" t="str">
        <f>IF(Backend!A94="", "", Backend!A94)</f>
        <v/>
      </c>
      <c r="B67" t="str">
        <f>IF(Backend!C94="", "", Backend!C94)</f>
        <v/>
      </c>
      <c r="C67" t="str">
        <f>IF(Backend!D94="", "", Backend!D94)</f>
        <v/>
      </c>
      <c r="D67" t="str">
        <f>IF(Backend!E94="", "", Backend!E94)</f>
        <v/>
      </c>
      <c r="E67" t="str">
        <f>IF(Backend!F94="", "", Backend!F94)</f>
        <v/>
      </c>
      <c r="F67" t="str">
        <f>IF(Backend!G94="", "", Backend!G94)</f>
        <v/>
      </c>
      <c r="G67" t="str">
        <f>IF(Backend!H94="", "", Backend!H94)</f>
        <v/>
      </c>
      <c r="H67" t="str">
        <f>IF(Backend!I94="", "", Backend!I94)</f>
        <v/>
      </c>
      <c r="I67" t="str">
        <f>IF(Backend!J94="", "", Backend!J94)</f>
        <v/>
      </c>
      <c r="J67" t="str">
        <f>IF(Backend!K94="", "", Backend!K94)</f>
        <v/>
      </c>
      <c r="K67" t="str">
        <f>IF(Backend!L94="", "", Backend!L94)</f>
        <v/>
      </c>
      <c r="L67" t="str">
        <f>IF(Backend!M94="", "", Backend!M94)</f>
        <v/>
      </c>
      <c r="M67" t="str">
        <f>IF(Backend!N94="", "", Backend!N94)</f>
        <v/>
      </c>
      <c r="N67" t="str">
        <f>IF(Backend!O94="", "", Backend!O94)</f>
        <v/>
      </c>
      <c r="O67" t="str">
        <f>IF(Backend!P94="", "", Backend!P94)</f>
        <v/>
      </c>
      <c r="P67" t="str">
        <f>IF(Backend!Q94="", "", Backend!Q94)</f>
        <v/>
      </c>
      <c r="Q67" t="str">
        <f>IF(Backend!R94="", "", Backend!R94)</f>
        <v/>
      </c>
      <c r="R67" t="str">
        <f>IF(Backend!S94="", "", Backend!S94)</f>
        <v/>
      </c>
      <c r="S67" t="str">
        <f>IF(Backend!T94="", "", Backend!T94)</f>
        <v/>
      </c>
      <c r="T67" t="str">
        <f>IF(Backend!U94="", "", Backend!U94)</f>
        <v/>
      </c>
      <c r="U67" t="str">
        <f>IF(Backend!V94="", "", Backend!V94)</f>
        <v/>
      </c>
      <c r="V67" t="str">
        <f>IF(Backend!W94="", "", Backend!W94)</f>
        <v/>
      </c>
      <c r="W67" t="str">
        <f>IF(Backend!X94="", "", Backend!X94)</f>
        <v/>
      </c>
      <c r="X67" t="str">
        <f>IF(Backend!Y94="", "", Backend!Y94)</f>
        <v/>
      </c>
      <c r="Y67" t="str">
        <f>IF(Backend!Z94="", "", Backend!Z94)</f>
        <v/>
      </c>
      <c r="Z67" t="str">
        <f>IF(Backend!AA94="", "", Backend!AA94)</f>
        <v/>
      </c>
      <c r="AA67" t="str">
        <f>IF(Backend!AB94="", "", Backend!AB94)</f>
        <v/>
      </c>
      <c r="AB67" t="str">
        <f>IF(Backend!AC94="", "", Backend!AC94)</f>
        <v/>
      </c>
      <c r="AC67" t="str">
        <f>IF(Backend!AD94="", "", Backend!AD94)</f>
        <v/>
      </c>
      <c r="AD67" t="str">
        <f>IF(Backend!AE94="", "", Backend!AE94)</f>
        <v/>
      </c>
      <c r="AE67" t="str">
        <f>IF(Backend!AF94="", "", Backend!AF94)</f>
        <v/>
      </c>
      <c r="AF67" t="str">
        <f>IF(Backend!AG94="", "", Backend!AG94)</f>
        <v/>
      </c>
      <c r="AG67" t="str">
        <f>IF(Backend!AH94="", "", Backend!AH94)</f>
        <v/>
      </c>
      <c r="AH67" t="str">
        <f>IF(Backend!AI94="", "", Backend!AI94)</f>
        <v/>
      </c>
      <c r="AI67" t="str">
        <f>IF(Backend!AJ94="", "", Backend!AJ94)</f>
        <v/>
      </c>
      <c r="AJ67" t="str">
        <f>IF(Backend!AK94="", "", Backend!AK94)</f>
        <v/>
      </c>
      <c r="AK67" t="str">
        <f>IF(Backend!AL94="", "", Backend!AL94)</f>
        <v/>
      </c>
      <c r="AL67" t="str">
        <f>IF(Backend!AM94="", "", Backend!AM94)</f>
        <v/>
      </c>
      <c r="AM67" t="str">
        <f>IF(Backend!AN94="", "", Backend!AN94)</f>
        <v/>
      </c>
      <c r="AN67" t="str">
        <f>IF(Backend!AO94="", "", Backend!AO94)</f>
        <v/>
      </c>
      <c r="AO67" t="str">
        <f>IF(Backend!AP94="", "", Backend!AP94)</f>
        <v/>
      </c>
      <c r="AP67" t="str">
        <f>IF(Backend!AQ94="", "", Backend!AQ94)</f>
        <v/>
      </c>
      <c r="AQ67" t="str">
        <f>IF(Backend!AR94="", "", Backend!AR94)</f>
        <v/>
      </c>
      <c r="AR67" t="str">
        <f>IF(Backend!AS94="", "", Backend!AS94)</f>
        <v/>
      </c>
      <c r="AS67" t="str">
        <f>IF(Backend!AT94="", "", Backend!AT94)</f>
        <v/>
      </c>
      <c r="AT67" t="str">
        <f>IF(Backend!AU94="", "", Backend!AU94)</f>
        <v/>
      </c>
      <c r="AU67" t="str">
        <f>IF(Backend!AV94="", "", Backend!AV94)</f>
        <v/>
      </c>
      <c r="AV67" t="str">
        <f>IF(Backend!AW94="", "", Backend!AW94)</f>
        <v/>
      </c>
      <c r="AW67" t="str">
        <f>IF(Backend!AX94="", "", Backend!AX94)</f>
        <v/>
      </c>
      <c r="AX67" t="str">
        <f>IF(Backend!AY94="", "", Backend!AY94)</f>
        <v/>
      </c>
      <c r="AY67" t="str">
        <f>IF(Backend!AZ94="", "", Backend!AZ94)</f>
        <v/>
      </c>
      <c r="AZ67" t="str">
        <f>IF(Backend!BA94="", "", Backend!BA94)</f>
        <v/>
      </c>
      <c r="BA67" t="str">
        <f>IF(Backend!BB94="", "", Backend!BB94)</f>
        <v/>
      </c>
      <c r="BB67" t="str">
        <f>IF(Backend!BC94="", "", Backend!BC94)</f>
        <v/>
      </c>
      <c r="BC67" t="str">
        <f>IF(Backend!BD94="", "", Backend!BD94)</f>
        <v/>
      </c>
      <c r="BD67" t="str">
        <f>IF(Backend!BE94="", "", Backend!BE94)</f>
        <v/>
      </c>
      <c r="BE67" t="str">
        <f>IF(Backend!BF94="", "", Backend!BF94)</f>
        <v/>
      </c>
      <c r="BF67" t="str">
        <f>IF(Backend!BG94="", "", Backend!BG94)</f>
        <v/>
      </c>
      <c r="BG67" t="str">
        <f>IF(Backend!BH94="", "", Backend!BH94)</f>
        <v/>
      </c>
      <c r="BH67" t="str">
        <f>IF(Backend!BI94="", "", Backend!BI94)</f>
        <v/>
      </c>
      <c r="BI67" t="str">
        <f>IF(Backend!BJ94="", "", Backend!BJ94)</f>
        <v/>
      </c>
      <c r="BJ67" t="str">
        <f>IF(Backend!BK94="", "", Backend!BK94)</f>
        <v/>
      </c>
      <c r="BK67" t="str">
        <f>IF(Backend!BL94="", "", Backend!BL94)</f>
        <v/>
      </c>
      <c r="BL67" t="str">
        <f>IF(Backend!BM94="", "", Backend!BM94)</f>
        <v/>
      </c>
      <c r="BM67" t="str">
        <f>IF(Backend!BN94="", "", Backend!BN94)</f>
        <v/>
      </c>
      <c r="BN67" t="str">
        <f>IF(Backend!BO94="", "", Backend!BO94)</f>
        <v/>
      </c>
      <c r="BO67" t="str">
        <f>IF(Backend!BP94="", "", Backend!BP94)</f>
        <v/>
      </c>
      <c r="BP67" t="str">
        <f>IF(Backend!BQ94="", "", Backend!BQ94)</f>
        <v/>
      </c>
      <c r="BQ67" t="str">
        <f>IF(Backend!BR94="", "", Backend!BR94)</f>
        <v/>
      </c>
      <c r="BR67" t="str">
        <f>IF(Backend!BS94="", "", Backend!BS94)</f>
        <v/>
      </c>
      <c r="BS67" t="str">
        <f>IF(Backend!BT94="", "", Backend!BT94)</f>
        <v/>
      </c>
      <c r="BT67" t="str">
        <f>IF(Backend!BU94="", "", Backend!BU94)</f>
        <v/>
      </c>
      <c r="BU67" t="str">
        <f>IF(Backend!BV94="", "", Backend!BV94)</f>
        <v/>
      </c>
      <c r="BV67" t="str">
        <f>IF(Backend!BW94="", "", Backend!BW94)</f>
        <v/>
      </c>
      <c r="BW67" t="str">
        <f>IF(Backend!BX94="", "", Backend!BX94)</f>
        <v/>
      </c>
      <c r="BX67" t="str">
        <f>IF(Backend!BY94="", "", Backend!BY94)</f>
        <v/>
      </c>
      <c r="BY67" t="str">
        <f>IF(Backend!BZ94="", "", Backend!BZ94)</f>
        <v/>
      </c>
      <c r="BZ67" t="str">
        <f>IF(Backend!CA94="", "", Backend!CA94)</f>
        <v/>
      </c>
      <c r="CA67" t="str">
        <f>IF(Backend!CB94="", "", Backend!CB94)</f>
        <v/>
      </c>
      <c r="CB67" t="str">
        <f>IF(Backend!CC94="", "", Backend!CC94)</f>
        <v/>
      </c>
      <c r="CC67" t="str">
        <f>IF(Backend!CD94="", "", Backend!CD94)</f>
        <v/>
      </c>
    </row>
    <row r="68" spans="1:81" x14ac:dyDescent="0.25">
      <c r="A68" s="4" t="str">
        <f>IF(Backend!A95="", "", Backend!A95)</f>
        <v/>
      </c>
      <c r="B68" t="str">
        <f>IF(Backend!C95="", "", Backend!C95)</f>
        <v/>
      </c>
      <c r="C68" t="str">
        <f>IF(Backend!D95="", "", Backend!D95)</f>
        <v/>
      </c>
      <c r="D68" t="str">
        <f>IF(Backend!E95="", "", Backend!E95)</f>
        <v/>
      </c>
      <c r="E68" t="str">
        <f>IF(Backend!F95="", "", Backend!F95)</f>
        <v/>
      </c>
      <c r="F68" t="str">
        <f>IF(Backend!G95="", "", Backend!G95)</f>
        <v/>
      </c>
      <c r="G68" t="str">
        <f>IF(Backend!H95="", "", Backend!H95)</f>
        <v/>
      </c>
      <c r="H68" t="str">
        <f>IF(Backend!I95="", "", Backend!I95)</f>
        <v/>
      </c>
      <c r="I68" t="str">
        <f>IF(Backend!J95="", "", Backend!J95)</f>
        <v/>
      </c>
      <c r="J68" t="str">
        <f>IF(Backend!K95="", "", Backend!K95)</f>
        <v/>
      </c>
      <c r="K68" t="str">
        <f>IF(Backend!L95="", "", Backend!L95)</f>
        <v/>
      </c>
      <c r="L68" t="str">
        <f>IF(Backend!M95="", "", Backend!M95)</f>
        <v/>
      </c>
      <c r="M68" t="str">
        <f>IF(Backend!N95="", "", Backend!N95)</f>
        <v/>
      </c>
      <c r="N68" t="str">
        <f>IF(Backend!O95="", "", Backend!O95)</f>
        <v/>
      </c>
      <c r="O68" t="str">
        <f>IF(Backend!P95="", "", Backend!P95)</f>
        <v/>
      </c>
      <c r="P68" t="str">
        <f>IF(Backend!Q95="", "", Backend!Q95)</f>
        <v/>
      </c>
      <c r="Q68" t="str">
        <f>IF(Backend!R95="", "", Backend!R95)</f>
        <v/>
      </c>
      <c r="R68" t="str">
        <f>IF(Backend!S95="", "", Backend!S95)</f>
        <v/>
      </c>
      <c r="S68" t="str">
        <f>IF(Backend!T95="", "", Backend!T95)</f>
        <v/>
      </c>
      <c r="T68" t="str">
        <f>IF(Backend!U95="", "", Backend!U95)</f>
        <v/>
      </c>
      <c r="U68" t="str">
        <f>IF(Backend!V95="", "", Backend!V95)</f>
        <v/>
      </c>
      <c r="V68" t="str">
        <f>IF(Backend!W95="", "", Backend!W95)</f>
        <v/>
      </c>
      <c r="W68" t="str">
        <f>IF(Backend!X95="", "", Backend!X95)</f>
        <v/>
      </c>
      <c r="X68" t="str">
        <f>IF(Backend!Y95="", "", Backend!Y95)</f>
        <v/>
      </c>
      <c r="Y68" t="str">
        <f>IF(Backend!Z95="", "", Backend!Z95)</f>
        <v/>
      </c>
      <c r="Z68" t="str">
        <f>IF(Backend!AA95="", "", Backend!AA95)</f>
        <v/>
      </c>
      <c r="AA68" t="str">
        <f>IF(Backend!AB95="", "", Backend!AB95)</f>
        <v/>
      </c>
      <c r="AB68" t="str">
        <f>IF(Backend!AC95="", "", Backend!AC95)</f>
        <v/>
      </c>
      <c r="AC68" t="str">
        <f>IF(Backend!AD95="", "", Backend!AD95)</f>
        <v/>
      </c>
      <c r="AD68" t="str">
        <f>IF(Backend!AE95="", "", Backend!AE95)</f>
        <v/>
      </c>
      <c r="AE68" t="str">
        <f>IF(Backend!AF95="", "", Backend!AF95)</f>
        <v/>
      </c>
      <c r="AF68" t="str">
        <f>IF(Backend!AG95="", "", Backend!AG95)</f>
        <v/>
      </c>
      <c r="AG68" t="str">
        <f>IF(Backend!AH95="", "", Backend!AH95)</f>
        <v/>
      </c>
      <c r="AH68" t="str">
        <f>IF(Backend!AI95="", "", Backend!AI95)</f>
        <v/>
      </c>
      <c r="AI68" t="str">
        <f>IF(Backend!AJ95="", "", Backend!AJ95)</f>
        <v/>
      </c>
      <c r="AJ68" t="str">
        <f>IF(Backend!AK95="", "", Backend!AK95)</f>
        <v/>
      </c>
      <c r="AK68" t="str">
        <f>IF(Backend!AL95="", "", Backend!AL95)</f>
        <v/>
      </c>
      <c r="AL68" t="str">
        <f>IF(Backend!AM95="", "", Backend!AM95)</f>
        <v/>
      </c>
      <c r="AM68" t="str">
        <f>IF(Backend!AN95="", "", Backend!AN95)</f>
        <v/>
      </c>
      <c r="AN68" t="str">
        <f>IF(Backend!AO95="", "", Backend!AO95)</f>
        <v/>
      </c>
      <c r="AO68" t="str">
        <f>IF(Backend!AP95="", "", Backend!AP95)</f>
        <v/>
      </c>
      <c r="AP68" t="str">
        <f>IF(Backend!AQ95="", "", Backend!AQ95)</f>
        <v/>
      </c>
      <c r="AQ68" t="str">
        <f>IF(Backend!AR95="", "", Backend!AR95)</f>
        <v/>
      </c>
      <c r="AR68" t="str">
        <f>IF(Backend!AS95="", "", Backend!AS95)</f>
        <v/>
      </c>
      <c r="AS68" t="str">
        <f>IF(Backend!AT95="", "", Backend!AT95)</f>
        <v/>
      </c>
      <c r="AT68" t="str">
        <f>IF(Backend!AU95="", "", Backend!AU95)</f>
        <v/>
      </c>
      <c r="AU68" t="str">
        <f>IF(Backend!AV95="", "", Backend!AV95)</f>
        <v/>
      </c>
      <c r="AV68" t="str">
        <f>IF(Backend!AW95="", "", Backend!AW95)</f>
        <v/>
      </c>
      <c r="AW68" t="str">
        <f>IF(Backend!AX95="", "", Backend!AX95)</f>
        <v/>
      </c>
      <c r="AX68" t="str">
        <f>IF(Backend!AY95="", "", Backend!AY95)</f>
        <v/>
      </c>
      <c r="AY68" t="str">
        <f>IF(Backend!AZ95="", "", Backend!AZ95)</f>
        <v/>
      </c>
      <c r="AZ68" t="str">
        <f>IF(Backend!BA95="", "", Backend!BA95)</f>
        <v/>
      </c>
      <c r="BA68" t="str">
        <f>IF(Backend!BB95="", "", Backend!BB95)</f>
        <v/>
      </c>
      <c r="BB68" t="str">
        <f>IF(Backend!BC95="", "", Backend!BC95)</f>
        <v/>
      </c>
      <c r="BC68" t="str">
        <f>IF(Backend!BD95="", "", Backend!BD95)</f>
        <v/>
      </c>
      <c r="BD68" t="str">
        <f>IF(Backend!BE95="", "", Backend!BE95)</f>
        <v/>
      </c>
      <c r="BE68" t="str">
        <f>IF(Backend!BF95="", "", Backend!BF95)</f>
        <v/>
      </c>
      <c r="BF68" t="str">
        <f>IF(Backend!BG95="", "", Backend!BG95)</f>
        <v/>
      </c>
      <c r="BG68" t="str">
        <f>IF(Backend!BH95="", "", Backend!BH95)</f>
        <v/>
      </c>
      <c r="BH68" t="str">
        <f>IF(Backend!BI95="", "", Backend!BI95)</f>
        <v/>
      </c>
      <c r="BI68" t="str">
        <f>IF(Backend!BJ95="", "", Backend!BJ95)</f>
        <v/>
      </c>
      <c r="BJ68" t="str">
        <f>IF(Backend!BK95="", "", Backend!BK95)</f>
        <v/>
      </c>
      <c r="BK68" t="str">
        <f>IF(Backend!BL95="", "", Backend!BL95)</f>
        <v/>
      </c>
      <c r="BL68" t="str">
        <f>IF(Backend!BM95="", "", Backend!BM95)</f>
        <v/>
      </c>
      <c r="BM68" t="str">
        <f>IF(Backend!BN95="", "", Backend!BN95)</f>
        <v/>
      </c>
      <c r="BN68" t="str">
        <f>IF(Backend!BO95="", "", Backend!BO95)</f>
        <v/>
      </c>
      <c r="BO68" t="str">
        <f>IF(Backend!BP95="", "", Backend!BP95)</f>
        <v/>
      </c>
      <c r="BP68" t="str">
        <f>IF(Backend!BQ95="", "", Backend!BQ95)</f>
        <v/>
      </c>
      <c r="BQ68" t="str">
        <f>IF(Backend!BR95="", "", Backend!BR95)</f>
        <v/>
      </c>
      <c r="BR68" t="str">
        <f>IF(Backend!BS95="", "", Backend!BS95)</f>
        <v/>
      </c>
      <c r="BS68" t="str">
        <f>IF(Backend!BT95="", "", Backend!BT95)</f>
        <v/>
      </c>
      <c r="BT68" t="str">
        <f>IF(Backend!BU95="", "", Backend!BU95)</f>
        <v/>
      </c>
      <c r="BU68" t="str">
        <f>IF(Backend!BV95="", "", Backend!BV95)</f>
        <v/>
      </c>
      <c r="BV68" t="str">
        <f>IF(Backend!BW95="", "", Backend!BW95)</f>
        <v/>
      </c>
      <c r="BW68" t="str">
        <f>IF(Backend!BX95="", "", Backend!BX95)</f>
        <v/>
      </c>
      <c r="BX68" t="str">
        <f>IF(Backend!BY95="", "", Backend!BY95)</f>
        <v/>
      </c>
      <c r="BY68" t="str">
        <f>IF(Backend!BZ95="", "", Backend!BZ95)</f>
        <v/>
      </c>
      <c r="BZ68" t="str">
        <f>IF(Backend!CA95="", "", Backend!CA95)</f>
        <v/>
      </c>
      <c r="CA68" t="str">
        <f>IF(Backend!CB95="", "", Backend!CB95)</f>
        <v/>
      </c>
      <c r="CB68" t="str">
        <f>IF(Backend!CC95="", "", Backend!CC95)</f>
        <v/>
      </c>
      <c r="CC68" t="str">
        <f>IF(Backend!CD95="", "", Backend!CD95)</f>
        <v/>
      </c>
    </row>
    <row r="69" spans="1:81" x14ac:dyDescent="0.25">
      <c r="A69" s="4" t="str">
        <f>IF(Backend!A96="", "", Backend!A96)</f>
        <v/>
      </c>
      <c r="B69" t="str">
        <f>IF(Backend!C96="", "", Backend!C96)</f>
        <v/>
      </c>
      <c r="C69" t="str">
        <f>IF(Backend!D96="", "", Backend!D96)</f>
        <v/>
      </c>
      <c r="D69" t="str">
        <f>IF(Backend!E96="", "", Backend!E96)</f>
        <v/>
      </c>
      <c r="E69" t="str">
        <f>IF(Backend!F96="", "", Backend!F96)</f>
        <v/>
      </c>
      <c r="F69" t="str">
        <f>IF(Backend!G96="", "", Backend!G96)</f>
        <v/>
      </c>
      <c r="G69" t="str">
        <f>IF(Backend!H96="", "", Backend!H96)</f>
        <v/>
      </c>
      <c r="H69" t="str">
        <f>IF(Backend!I96="", "", Backend!I96)</f>
        <v/>
      </c>
      <c r="I69" t="str">
        <f>IF(Backend!J96="", "", Backend!J96)</f>
        <v/>
      </c>
      <c r="J69" t="str">
        <f>IF(Backend!K96="", "", Backend!K96)</f>
        <v/>
      </c>
      <c r="K69" t="str">
        <f>IF(Backend!L96="", "", Backend!L96)</f>
        <v/>
      </c>
      <c r="L69" t="str">
        <f>IF(Backend!M96="", "", Backend!M96)</f>
        <v/>
      </c>
      <c r="M69" t="str">
        <f>IF(Backend!N96="", "", Backend!N96)</f>
        <v/>
      </c>
      <c r="N69" t="str">
        <f>IF(Backend!O96="", "", Backend!O96)</f>
        <v/>
      </c>
      <c r="O69" t="str">
        <f>IF(Backend!P96="", "", Backend!P96)</f>
        <v/>
      </c>
      <c r="P69" t="str">
        <f>IF(Backend!Q96="", "", Backend!Q96)</f>
        <v/>
      </c>
      <c r="Q69" t="str">
        <f>IF(Backend!R96="", "", Backend!R96)</f>
        <v/>
      </c>
      <c r="R69" t="str">
        <f>IF(Backend!S96="", "", Backend!S96)</f>
        <v/>
      </c>
      <c r="S69" t="str">
        <f>IF(Backend!T96="", "", Backend!T96)</f>
        <v/>
      </c>
      <c r="T69" t="str">
        <f>IF(Backend!U96="", "", Backend!U96)</f>
        <v/>
      </c>
      <c r="U69" t="str">
        <f>IF(Backend!V96="", "", Backend!V96)</f>
        <v/>
      </c>
      <c r="V69" t="str">
        <f>IF(Backend!W96="", "", Backend!W96)</f>
        <v/>
      </c>
      <c r="W69" t="str">
        <f>IF(Backend!X96="", "", Backend!X96)</f>
        <v/>
      </c>
      <c r="X69" t="str">
        <f>IF(Backend!Y96="", "", Backend!Y96)</f>
        <v/>
      </c>
      <c r="Y69" t="str">
        <f>IF(Backend!Z96="", "", Backend!Z96)</f>
        <v/>
      </c>
      <c r="Z69" t="str">
        <f>IF(Backend!AA96="", "", Backend!AA96)</f>
        <v/>
      </c>
      <c r="AA69" t="str">
        <f>IF(Backend!AB96="", "", Backend!AB96)</f>
        <v/>
      </c>
      <c r="AB69" t="str">
        <f>IF(Backend!AC96="", "", Backend!AC96)</f>
        <v/>
      </c>
      <c r="AC69" t="str">
        <f>IF(Backend!AD96="", "", Backend!AD96)</f>
        <v/>
      </c>
      <c r="AD69" t="str">
        <f>IF(Backend!AE96="", "", Backend!AE96)</f>
        <v/>
      </c>
      <c r="AE69" t="str">
        <f>IF(Backend!AF96="", "", Backend!AF96)</f>
        <v/>
      </c>
      <c r="AF69" t="str">
        <f>IF(Backend!AG96="", "", Backend!AG96)</f>
        <v/>
      </c>
      <c r="AG69" t="str">
        <f>IF(Backend!AH96="", "", Backend!AH96)</f>
        <v/>
      </c>
      <c r="AH69" t="str">
        <f>IF(Backend!AI96="", "", Backend!AI96)</f>
        <v/>
      </c>
      <c r="AI69" t="str">
        <f>IF(Backend!AJ96="", "", Backend!AJ96)</f>
        <v/>
      </c>
      <c r="AJ69" t="str">
        <f>IF(Backend!AK96="", "", Backend!AK96)</f>
        <v/>
      </c>
      <c r="AK69" t="str">
        <f>IF(Backend!AL96="", "", Backend!AL96)</f>
        <v/>
      </c>
      <c r="AL69" t="str">
        <f>IF(Backend!AM96="", "", Backend!AM96)</f>
        <v/>
      </c>
      <c r="AM69" t="str">
        <f>IF(Backend!AN96="", "", Backend!AN96)</f>
        <v/>
      </c>
      <c r="AN69" t="str">
        <f>IF(Backend!AO96="", "", Backend!AO96)</f>
        <v/>
      </c>
      <c r="AO69" t="str">
        <f>IF(Backend!AP96="", "", Backend!AP96)</f>
        <v/>
      </c>
      <c r="AP69" t="str">
        <f>IF(Backend!AQ96="", "", Backend!AQ96)</f>
        <v/>
      </c>
      <c r="AQ69" t="str">
        <f>IF(Backend!AR96="", "", Backend!AR96)</f>
        <v/>
      </c>
      <c r="AR69" t="str">
        <f>IF(Backend!AS96="", "", Backend!AS96)</f>
        <v/>
      </c>
      <c r="AS69" t="str">
        <f>IF(Backend!AT96="", "", Backend!AT96)</f>
        <v/>
      </c>
      <c r="AT69" t="str">
        <f>IF(Backend!AU96="", "", Backend!AU96)</f>
        <v/>
      </c>
      <c r="AU69" t="str">
        <f>IF(Backend!AV96="", "", Backend!AV96)</f>
        <v/>
      </c>
      <c r="AV69" t="str">
        <f>IF(Backend!AW96="", "", Backend!AW96)</f>
        <v/>
      </c>
      <c r="AW69" t="str">
        <f>IF(Backend!AX96="", "", Backend!AX96)</f>
        <v/>
      </c>
      <c r="AX69" t="str">
        <f>IF(Backend!AY96="", "", Backend!AY96)</f>
        <v/>
      </c>
      <c r="AY69" t="str">
        <f>IF(Backend!AZ96="", "", Backend!AZ96)</f>
        <v/>
      </c>
      <c r="AZ69" t="str">
        <f>IF(Backend!BA96="", "", Backend!BA96)</f>
        <v/>
      </c>
      <c r="BA69" t="str">
        <f>IF(Backend!BB96="", "", Backend!BB96)</f>
        <v/>
      </c>
      <c r="BB69" t="str">
        <f>IF(Backend!BC96="", "", Backend!BC96)</f>
        <v/>
      </c>
      <c r="BC69" t="str">
        <f>IF(Backend!BD96="", "", Backend!BD96)</f>
        <v/>
      </c>
      <c r="BD69" t="str">
        <f>IF(Backend!BE96="", "", Backend!BE96)</f>
        <v/>
      </c>
      <c r="BE69" t="str">
        <f>IF(Backend!BF96="", "", Backend!BF96)</f>
        <v/>
      </c>
      <c r="BF69" t="str">
        <f>IF(Backend!BG96="", "", Backend!BG96)</f>
        <v/>
      </c>
      <c r="BG69" t="str">
        <f>IF(Backend!BH96="", "", Backend!BH96)</f>
        <v/>
      </c>
      <c r="BH69" t="str">
        <f>IF(Backend!BI96="", "", Backend!BI96)</f>
        <v/>
      </c>
      <c r="BI69" t="str">
        <f>IF(Backend!BJ96="", "", Backend!BJ96)</f>
        <v/>
      </c>
      <c r="BJ69" t="str">
        <f>IF(Backend!BK96="", "", Backend!BK96)</f>
        <v/>
      </c>
      <c r="BK69" t="str">
        <f>IF(Backend!BL96="", "", Backend!BL96)</f>
        <v/>
      </c>
      <c r="BL69" t="str">
        <f>IF(Backend!BM96="", "", Backend!BM96)</f>
        <v/>
      </c>
      <c r="BM69" t="str">
        <f>IF(Backend!BN96="", "", Backend!BN96)</f>
        <v/>
      </c>
      <c r="BN69" t="str">
        <f>IF(Backend!BO96="", "", Backend!BO96)</f>
        <v/>
      </c>
      <c r="BO69" t="str">
        <f>IF(Backend!BP96="", "", Backend!BP96)</f>
        <v/>
      </c>
      <c r="BP69" t="str">
        <f>IF(Backend!BQ96="", "", Backend!BQ96)</f>
        <v/>
      </c>
      <c r="BQ69" t="str">
        <f>IF(Backend!BR96="", "", Backend!BR96)</f>
        <v/>
      </c>
      <c r="BR69" t="str">
        <f>IF(Backend!BS96="", "", Backend!BS96)</f>
        <v/>
      </c>
      <c r="BS69" t="str">
        <f>IF(Backend!BT96="", "", Backend!BT96)</f>
        <v/>
      </c>
      <c r="BT69" t="str">
        <f>IF(Backend!BU96="", "", Backend!BU96)</f>
        <v/>
      </c>
      <c r="BU69" t="str">
        <f>IF(Backend!BV96="", "", Backend!BV96)</f>
        <v/>
      </c>
      <c r="BV69" t="str">
        <f>IF(Backend!BW96="", "", Backend!BW96)</f>
        <v/>
      </c>
      <c r="BW69" t="str">
        <f>IF(Backend!BX96="", "", Backend!BX96)</f>
        <v/>
      </c>
      <c r="BX69" t="str">
        <f>IF(Backend!BY96="", "", Backend!BY96)</f>
        <v/>
      </c>
      <c r="BY69" t="str">
        <f>IF(Backend!BZ96="", "", Backend!BZ96)</f>
        <v/>
      </c>
      <c r="BZ69" t="str">
        <f>IF(Backend!CA96="", "", Backend!CA96)</f>
        <v/>
      </c>
      <c r="CA69" t="str">
        <f>IF(Backend!CB96="", "", Backend!CB96)</f>
        <v/>
      </c>
      <c r="CB69" t="str">
        <f>IF(Backend!CC96="", "", Backend!CC96)</f>
        <v/>
      </c>
      <c r="CC69" t="str">
        <f>IF(Backend!CD96="", "", Backend!CD96)</f>
        <v/>
      </c>
    </row>
    <row r="70" spans="1:81" x14ac:dyDescent="0.25">
      <c r="A70" s="4" t="str">
        <f>IF(Backend!A97="", "", Backend!A97)</f>
        <v/>
      </c>
      <c r="B70" t="str">
        <f>IF(Backend!C97="", "", Backend!C97)</f>
        <v/>
      </c>
      <c r="C70" t="str">
        <f>IF(Backend!D97="", "", Backend!D97)</f>
        <v/>
      </c>
      <c r="D70" t="str">
        <f>IF(Backend!E97="", "", Backend!E97)</f>
        <v/>
      </c>
      <c r="E70" t="str">
        <f>IF(Backend!F97="", "", Backend!F97)</f>
        <v/>
      </c>
      <c r="F70" t="str">
        <f>IF(Backend!G97="", "", Backend!G97)</f>
        <v/>
      </c>
      <c r="G70" t="str">
        <f>IF(Backend!H97="", "", Backend!H97)</f>
        <v/>
      </c>
      <c r="H70" t="str">
        <f>IF(Backend!I97="", "", Backend!I97)</f>
        <v/>
      </c>
      <c r="I70" t="str">
        <f>IF(Backend!J97="", "", Backend!J97)</f>
        <v/>
      </c>
      <c r="J70" t="str">
        <f>IF(Backend!K97="", "", Backend!K97)</f>
        <v/>
      </c>
      <c r="K70" t="str">
        <f>IF(Backend!L97="", "", Backend!L97)</f>
        <v/>
      </c>
      <c r="L70" t="str">
        <f>IF(Backend!M97="", "", Backend!M97)</f>
        <v/>
      </c>
      <c r="M70" t="str">
        <f>IF(Backend!N97="", "", Backend!N97)</f>
        <v/>
      </c>
      <c r="N70" t="str">
        <f>IF(Backend!O97="", "", Backend!O97)</f>
        <v/>
      </c>
      <c r="O70" t="str">
        <f>IF(Backend!P97="", "", Backend!P97)</f>
        <v/>
      </c>
      <c r="P70" t="str">
        <f>IF(Backend!Q97="", "", Backend!Q97)</f>
        <v/>
      </c>
      <c r="Q70" t="str">
        <f>IF(Backend!R97="", "", Backend!R97)</f>
        <v/>
      </c>
      <c r="R70" t="str">
        <f>IF(Backend!S97="", "", Backend!S97)</f>
        <v/>
      </c>
      <c r="S70" t="str">
        <f>IF(Backend!T97="", "", Backend!T97)</f>
        <v/>
      </c>
      <c r="T70" t="str">
        <f>IF(Backend!U97="", "", Backend!U97)</f>
        <v/>
      </c>
      <c r="U70" t="str">
        <f>IF(Backend!V97="", "", Backend!V97)</f>
        <v/>
      </c>
      <c r="V70" t="str">
        <f>IF(Backend!W97="", "", Backend!W97)</f>
        <v/>
      </c>
      <c r="W70" t="str">
        <f>IF(Backend!X97="", "", Backend!X97)</f>
        <v/>
      </c>
      <c r="X70" t="str">
        <f>IF(Backend!Y97="", "", Backend!Y97)</f>
        <v/>
      </c>
      <c r="Y70" t="str">
        <f>IF(Backend!Z97="", "", Backend!Z97)</f>
        <v/>
      </c>
      <c r="Z70" t="str">
        <f>IF(Backend!AA97="", "", Backend!AA97)</f>
        <v/>
      </c>
      <c r="AA70" t="str">
        <f>IF(Backend!AB97="", "", Backend!AB97)</f>
        <v/>
      </c>
      <c r="AB70" t="str">
        <f>IF(Backend!AC97="", "", Backend!AC97)</f>
        <v/>
      </c>
      <c r="AC70" t="str">
        <f>IF(Backend!AD97="", "", Backend!AD97)</f>
        <v/>
      </c>
      <c r="AD70" t="str">
        <f>IF(Backend!AE97="", "", Backend!AE97)</f>
        <v/>
      </c>
      <c r="AE70" t="str">
        <f>IF(Backend!AF97="", "", Backend!AF97)</f>
        <v/>
      </c>
      <c r="AF70" t="str">
        <f>IF(Backend!AG97="", "", Backend!AG97)</f>
        <v/>
      </c>
      <c r="AG70" t="str">
        <f>IF(Backend!AH97="", "", Backend!AH97)</f>
        <v/>
      </c>
      <c r="AH70" t="str">
        <f>IF(Backend!AI97="", "", Backend!AI97)</f>
        <v/>
      </c>
      <c r="AI70" t="str">
        <f>IF(Backend!AJ97="", "", Backend!AJ97)</f>
        <v/>
      </c>
      <c r="AJ70" t="str">
        <f>IF(Backend!AK97="", "", Backend!AK97)</f>
        <v/>
      </c>
      <c r="AK70" t="str">
        <f>IF(Backend!AL97="", "", Backend!AL97)</f>
        <v/>
      </c>
      <c r="AL70" t="str">
        <f>IF(Backend!AM97="", "", Backend!AM97)</f>
        <v/>
      </c>
      <c r="AM70" t="str">
        <f>IF(Backend!AN97="", "", Backend!AN97)</f>
        <v/>
      </c>
      <c r="AN70" t="str">
        <f>IF(Backend!AO97="", "", Backend!AO97)</f>
        <v/>
      </c>
      <c r="AO70" t="str">
        <f>IF(Backend!AP97="", "", Backend!AP97)</f>
        <v/>
      </c>
      <c r="AP70" t="str">
        <f>IF(Backend!AQ97="", "", Backend!AQ97)</f>
        <v/>
      </c>
      <c r="AQ70" t="str">
        <f>IF(Backend!AR97="", "", Backend!AR97)</f>
        <v/>
      </c>
      <c r="AR70" t="str">
        <f>IF(Backend!AS97="", "", Backend!AS97)</f>
        <v/>
      </c>
      <c r="AS70" t="str">
        <f>IF(Backend!AT97="", "", Backend!AT97)</f>
        <v/>
      </c>
      <c r="AT70" t="str">
        <f>IF(Backend!AU97="", "", Backend!AU97)</f>
        <v/>
      </c>
      <c r="AU70" t="str">
        <f>IF(Backend!AV97="", "", Backend!AV97)</f>
        <v/>
      </c>
      <c r="AV70" t="str">
        <f>IF(Backend!AW97="", "", Backend!AW97)</f>
        <v/>
      </c>
      <c r="AW70" t="str">
        <f>IF(Backend!AX97="", "", Backend!AX97)</f>
        <v/>
      </c>
      <c r="AX70" t="str">
        <f>IF(Backend!AY97="", "", Backend!AY97)</f>
        <v/>
      </c>
      <c r="AY70" t="str">
        <f>IF(Backend!AZ97="", "", Backend!AZ97)</f>
        <v/>
      </c>
      <c r="AZ70" t="str">
        <f>IF(Backend!BA97="", "", Backend!BA97)</f>
        <v/>
      </c>
      <c r="BA70" t="str">
        <f>IF(Backend!BB97="", "", Backend!BB97)</f>
        <v/>
      </c>
      <c r="BB70" t="str">
        <f>IF(Backend!BC97="", "", Backend!BC97)</f>
        <v/>
      </c>
      <c r="BC70" t="str">
        <f>IF(Backend!BD97="", "", Backend!BD97)</f>
        <v/>
      </c>
      <c r="BD70" t="str">
        <f>IF(Backend!BE97="", "", Backend!BE97)</f>
        <v/>
      </c>
      <c r="BE70" t="str">
        <f>IF(Backend!BF97="", "", Backend!BF97)</f>
        <v/>
      </c>
      <c r="BF70" t="str">
        <f>IF(Backend!BG97="", "", Backend!BG97)</f>
        <v/>
      </c>
      <c r="BG70" t="str">
        <f>IF(Backend!BH97="", "", Backend!BH97)</f>
        <v/>
      </c>
      <c r="BH70" t="str">
        <f>IF(Backend!BI97="", "", Backend!BI97)</f>
        <v/>
      </c>
      <c r="BI70" t="str">
        <f>IF(Backend!BJ97="", "", Backend!BJ97)</f>
        <v/>
      </c>
      <c r="BJ70" t="str">
        <f>IF(Backend!BK97="", "", Backend!BK97)</f>
        <v/>
      </c>
      <c r="BK70" t="str">
        <f>IF(Backend!BL97="", "", Backend!BL97)</f>
        <v/>
      </c>
      <c r="BL70" t="str">
        <f>IF(Backend!BM97="", "", Backend!BM97)</f>
        <v/>
      </c>
      <c r="BM70" t="str">
        <f>IF(Backend!BN97="", "", Backend!BN97)</f>
        <v/>
      </c>
      <c r="BN70" t="str">
        <f>IF(Backend!BO97="", "", Backend!BO97)</f>
        <v/>
      </c>
      <c r="BO70" t="str">
        <f>IF(Backend!BP97="", "", Backend!BP97)</f>
        <v/>
      </c>
      <c r="BP70" t="str">
        <f>IF(Backend!BQ97="", "", Backend!BQ97)</f>
        <v/>
      </c>
      <c r="BQ70" t="str">
        <f>IF(Backend!BR97="", "", Backend!BR97)</f>
        <v/>
      </c>
      <c r="BR70" t="str">
        <f>IF(Backend!BS97="", "", Backend!BS97)</f>
        <v/>
      </c>
      <c r="BS70" t="str">
        <f>IF(Backend!BT97="", "", Backend!BT97)</f>
        <v/>
      </c>
      <c r="BT70" t="str">
        <f>IF(Backend!BU97="", "", Backend!BU97)</f>
        <v/>
      </c>
      <c r="BU70" t="str">
        <f>IF(Backend!BV97="", "", Backend!BV97)</f>
        <v/>
      </c>
      <c r="BV70" t="str">
        <f>IF(Backend!BW97="", "", Backend!BW97)</f>
        <v/>
      </c>
      <c r="BW70" t="str">
        <f>IF(Backend!BX97="", "", Backend!BX97)</f>
        <v/>
      </c>
      <c r="BX70" t="str">
        <f>IF(Backend!BY97="", "", Backend!BY97)</f>
        <v/>
      </c>
      <c r="BY70" t="str">
        <f>IF(Backend!BZ97="", "", Backend!BZ97)</f>
        <v/>
      </c>
      <c r="BZ70" t="str">
        <f>IF(Backend!CA97="", "", Backend!CA97)</f>
        <v/>
      </c>
      <c r="CA70" t="str">
        <f>IF(Backend!CB97="", "", Backend!CB97)</f>
        <v/>
      </c>
      <c r="CB70" t="str">
        <f>IF(Backend!CC97="", "", Backend!CC97)</f>
        <v/>
      </c>
      <c r="CC70" t="str">
        <f>IF(Backend!CD97="", "", Backend!CD97)</f>
        <v/>
      </c>
    </row>
    <row r="71" spans="1:81" x14ac:dyDescent="0.25">
      <c r="A71" s="4" t="str">
        <f>IF(Backend!A98="", "", Backend!A98)</f>
        <v/>
      </c>
      <c r="B71" t="str">
        <f>IF(Backend!C98="", "", Backend!C98)</f>
        <v/>
      </c>
      <c r="C71" t="str">
        <f>IF(Backend!D98="", "", Backend!D98)</f>
        <v/>
      </c>
      <c r="D71" t="str">
        <f>IF(Backend!E98="", "", Backend!E98)</f>
        <v/>
      </c>
      <c r="E71" t="str">
        <f>IF(Backend!F98="", "", Backend!F98)</f>
        <v/>
      </c>
      <c r="F71" t="str">
        <f>IF(Backend!G98="", "", Backend!G98)</f>
        <v/>
      </c>
      <c r="G71" t="str">
        <f>IF(Backend!H98="", "", Backend!H98)</f>
        <v/>
      </c>
      <c r="H71" t="str">
        <f>IF(Backend!I98="", "", Backend!I98)</f>
        <v/>
      </c>
      <c r="I71" t="str">
        <f>IF(Backend!J98="", "", Backend!J98)</f>
        <v/>
      </c>
      <c r="J71" t="str">
        <f>IF(Backend!K98="", "", Backend!K98)</f>
        <v/>
      </c>
      <c r="K71" t="str">
        <f>IF(Backend!L98="", "", Backend!L98)</f>
        <v/>
      </c>
      <c r="L71" t="str">
        <f>IF(Backend!M98="", "", Backend!M98)</f>
        <v/>
      </c>
      <c r="M71" t="str">
        <f>IF(Backend!N98="", "", Backend!N98)</f>
        <v/>
      </c>
      <c r="N71" t="str">
        <f>IF(Backend!O98="", "", Backend!O98)</f>
        <v/>
      </c>
      <c r="O71" t="str">
        <f>IF(Backend!P98="", "", Backend!P98)</f>
        <v/>
      </c>
      <c r="P71" t="str">
        <f>IF(Backend!Q98="", "", Backend!Q98)</f>
        <v/>
      </c>
      <c r="Q71" t="str">
        <f>IF(Backend!R98="", "", Backend!R98)</f>
        <v/>
      </c>
      <c r="R71" t="str">
        <f>IF(Backend!S98="", "", Backend!S98)</f>
        <v/>
      </c>
      <c r="S71" t="str">
        <f>IF(Backend!T98="", "", Backend!T98)</f>
        <v/>
      </c>
      <c r="T71" t="str">
        <f>IF(Backend!U98="", "", Backend!U98)</f>
        <v/>
      </c>
      <c r="U71" t="str">
        <f>IF(Backend!V98="", "", Backend!V98)</f>
        <v/>
      </c>
      <c r="V71" t="str">
        <f>IF(Backend!W98="", "", Backend!W98)</f>
        <v/>
      </c>
      <c r="W71" t="str">
        <f>IF(Backend!X98="", "", Backend!X98)</f>
        <v/>
      </c>
      <c r="X71" t="str">
        <f>IF(Backend!Y98="", "", Backend!Y98)</f>
        <v/>
      </c>
      <c r="Y71" t="str">
        <f>IF(Backend!Z98="", "", Backend!Z98)</f>
        <v/>
      </c>
      <c r="Z71" t="str">
        <f>IF(Backend!AA98="", "", Backend!AA98)</f>
        <v/>
      </c>
      <c r="AA71" t="str">
        <f>IF(Backend!AB98="", "", Backend!AB98)</f>
        <v/>
      </c>
      <c r="AB71" t="str">
        <f>IF(Backend!AC98="", "", Backend!AC98)</f>
        <v/>
      </c>
      <c r="AC71" t="str">
        <f>IF(Backend!AD98="", "", Backend!AD98)</f>
        <v/>
      </c>
      <c r="AD71" t="str">
        <f>IF(Backend!AE98="", "", Backend!AE98)</f>
        <v/>
      </c>
      <c r="AE71" t="str">
        <f>IF(Backend!AF98="", "", Backend!AF98)</f>
        <v/>
      </c>
      <c r="AF71" t="str">
        <f>IF(Backend!AG98="", "", Backend!AG98)</f>
        <v/>
      </c>
      <c r="AG71" t="str">
        <f>IF(Backend!AH98="", "", Backend!AH98)</f>
        <v/>
      </c>
      <c r="AH71" t="str">
        <f>IF(Backend!AI98="", "", Backend!AI98)</f>
        <v/>
      </c>
      <c r="AI71" t="str">
        <f>IF(Backend!AJ98="", "", Backend!AJ98)</f>
        <v/>
      </c>
      <c r="AJ71" t="str">
        <f>IF(Backend!AK98="", "", Backend!AK98)</f>
        <v/>
      </c>
      <c r="AK71" t="str">
        <f>IF(Backend!AL98="", "", Backend!AL98)</f>
        <v/>
      </c>
      <c r="AL71" t="str">
        <f>IF(Backend!AM98="", "", Backend!AM98)</f>
        <v/>
      </c>
      <c r="AM71" t="str">
        <f>IF(Backend!AN98="", "", Backend!AN98)</f>
        <v/>
      </c>
      <c r="AN71" t="str">
        <f>IF(Backend!AO98="", "", Backend!AO98)</f>
        <v/>
      </c>
      <c r="AO71" t="str">
        <f>IF(Backend!AP98="", "", Backend!AP98)</f>
        <v/>
      </c>
      <c r="AP71" t="str">
        <f>IF(Backend!AQ98="", "", Backend!AQ98)</f>
        <v/>
      </c>
      <c r="AQ71" t="str">
        <f>IF(Backend!AR98="", "", Backend!AR98)</f>
        <v/>
      </c>
      <c r="AR71" t="str">
        <f>IF(Backend!AS98="", "", Backend!AS98)</f>
        <v/>
      </c>
      <c r="AS71" t="str">
        <f>IF(Backend!AT98="", "", Backend!AT98)</f>
        <v/>
      </c>
      <c r="AT71" t="str">
        <f>IF(Backend!AU98="", "", Backend!AU98)</f>
        <v/>
      </c>
      <c r="AU71" t="str">
        <f>IF(Backend!AV98="", "", Backend!AV98)</f>
        <v/>
      </c>
      <c r="AV71" t="str">
        <f>IF(Backend!AW98="", "", Backend!AW98)</f>
        <v/>
      </c>
      <c r="AW71" t="str">
        <f>IF(Backend!AX98="", "", Backend!AX98)</f>
        <v/>
      </c>
      <c r="AX71" t="str">
        <f>IF(Backend!AY98="", "", Backend!AY98)</f>
        <v/>
      </c>
      <c r="AY71" t="str">
        <f>IF(Backend!AZ98="", "", Backend!AZ98)</f>
        <v/>
      </c>
      <c r="AZ71" t="str">
        <f>IF(Backend!BA98="", "", Backend!BA98)</f>
        <v/>
      </c>
      <c r="BA71" t="str">
        <f>IF(Backend!BB98="", "", Backend!BB98)</f>
        <v/>
      </c>
      <c r="BB71" t="str">
        <f>IF(Backend!BC98="", "", Backend!BC98)</f>
        <v/>
      </c>
      <c r="BC71" t="str">
        <f>IF(Backend!BD98="", "", Backend!BD98)</f>
        <v/>
      </c>
      <c r="BD71" t="str">
        <f>IF(Backend!BE98="", "", Backend!BE98)</f>
        <v/>
      </c>
      <c r="BE71" t="str">
        <f>IF(Backend!BF98="", "", Backend!BF98)</f>
        <v/>
      </c>
      <c r="BF71" t="str">
        <f>IF(Backend!BG98="", "", Backend!BG98)</f>
        <v/>
      </c>
      <c r="BG71" t="str">
        <f>IF(Backend!BH98="", "", Backend!BH98)</f>
        <v/>
      </c>
      <c r="BH71" t="str">
        <f>IF(Backend!BI98="", "", Backend!BI98)</f>
        <v/>
      </c>
      <c r="BI71" t="str">
        <f>IF(Backend!BJ98="", "", Backend!BJ98)</f>
        <v/>
      </c>
      <c r="BJ71" t="str">
        <f>IF(Backend!BK98="", "", Backend!BK98)</f>
        <v/>
      </c>
      <c r="BK71" t="str">
        <f>IF(Backend!BL98="", "", Backend!BL98)</f>
        <v/>
      </c>
      <c r="BL71" t="str">
        <f>IF(Backend!BM98="", "", Backend!BM98)</f>
        <v/>
      </c>
      <c r="BM71" t="str">
        <f>IF(Backend!BN98="", "", Backend!BN98)</f>
        <v/>
      </c>
      <c r="BN71" t="str">
        <f>IF(Backend!BO98="", "", Backend!BO98)</f>
        <v/>
      </c>
      <c r="BO71" t="str">
        <f>IF(Backend!BP98="", "", Backend!BP98)</f>
        <v/>
      </c>
      <c r="BP71" t="str">
        <f>IF(Backend!BQ98="", "", Backend!BQ98)</f>
        <v/>
      </c>
      <c r="BQ71" t="str">
        <f>IF(Backend!BR98="", "", Backend!BR98)</f>
        <v/>
      </c>
      <c r="BR71" t="str">
        <f>IF(Backend!BS98="", "", Backend!BS98)</f>
        <v/>
      </c>
      <c r="BS71" t="str">
        <f>IF(Backend!BT98="", "", Backend!BT98)</f>
        <v/>
      </c>
      <c r="BT71" t="str">
        <f>IF(Backend!BU98="", "", Backend!BU98)</f>
        <v/>
      </c>
      <c r="BU71" t="str">
        <f>IF(Backend!BV98="", "", Backend!BV98)</f>
        <v/>
      </c>
      <c r="BV71" t="str">
        <f>IF(Backend!BW98="", "", Backend!BW98)</f>
        <v/>
      </c>
      <c r="BW71" t="str">
        <f>IF(Backend!BX98="", "", Backend!BX98)</f>
        <v/>
      </c>
      <c r="BX71" t="str">
        <f>IF(Backend!BY98="", "", Backend!BY98)</f>
        <v/>
      </c>
      <c r="BY71" t="str">
        <f>IF(Backend!BZ98="", "", Backend!BZ98)</f>
        <v/>
      </c>
      <c r="BZ71" t="str">
        <f>IF(Backend!CA98="", "", Backend!CA98)</f>
        <v/>
      </c>
      <c r="CA71" t="str">
        <f>IF(Backend!CB98="", "", Backend!CB98)</f>
        <v/>
      </c>
      <c r="CB71" t="str">
        <f>IF(Backend!CC98="", "", Backend!CC98)</f>
        <v/>
      </c>
      <c r="CC71" t="str">
        <f>IF(Backend!CD98="", "", Backend!CD98)</f>
        <v/>
      </c>
    </row>
    <row r="72" spans="1:81" x14ac:dyDescent="0.25">
      <c r="A72" s="4" t="str">
        <f>IF(Backend!A99="", "", Backend!A99)</f>
        <v/>
      </c>
      <c r="B72" t="str">
        <f>IF(Backend!C99="", "", Backend!C99)</f>
        <v/>
      </c>
      <c r="C72" t="str">
        <f>IF(Backend!D99="", "", Backend!D99)</f>
        <v/>
      </c>
      <c r="D72" t="str">
        <f>IF(Backend!E99="", "", Backend!E99)</f>
        <v/>
      </c>
      <c r="E72" t="str">
        <f>IF(Backend!F99="", "", Backend!F99)</f>
        <v/>
      </c>
      <c r="F72" t="str">
        <f>IF(Backend!G99="", "", Backend!G99)</f>
        <v/>
      </c>
      <c r="G72" t="str">
        <f>IF(Backend!H99="", "", Backend!H99)</f>
        <v/>
      </c>
      <c r="H72" t="str">
        <f>IF(Backend!I99="", "", Backend!I99)</f>
        <v/>
      </c>
      <c r="I72" t="str">
        <f>IF(Backend!J99="", "", Backend!J99)</f>
        <v/>
      </c>
      <c r="J72" t="str">
        <f>IF(Backend!K99="", "", Backend!K99)</f>
        <v/>
      </c>
      <c r="K72" t="str">
        <f>IF(Backend!L99="", "", Backend!L99)</f>
        <v/>
      </c>
      <c r="L72" t="str">
        <f>IF(Backend!M99="", "", Backend!M99)</f>
        <v/>
      </c>
      <c r="M72" t="str">
        <f>IF(Backend!N99="", "", Backend!N99)</f>
        <v/>
      </c>
      <c r="N72" t="str">
        <f>IF(Backend!O99="", "", Backend!O99)</f>
        <v/>
      </c>
      <c r="O72" t="str">
        <f>IF(Backend!P99="", "", Backend!P99)</f>
        <v/>
      </c>
      <c r="P72" t="str">
        <f>IF(Backend!Q99="", "", Backend!Q99)</f>
        <v/>
      </c>
      <c r="Q72" t="str">
        <f>IF(Backend!R99="", "", Backend!R99)</f>
        <v/>
      </c>
      <c r="R72" t="str">
        <f>IF(Backend!S99="", "", Backend!S99)</f>
        <v/>
      </c>
      <c r="S72" t="str">
        <f>IF(Backend!T99="", "", Backend!T99)</f>
        <v/>
      </c>
      <c r="T72" t="str">
        <f>IF(Backend!U99="", "", Backend!U99)</f>
        <v/>
      </c>
      <c r="U72" t="str">
        <f>IF(Backend!V99="", "", Backend!V99)</f>
        <v/>
      </c>
      <c r="V72" t="str">
        <f>IF(Backend!W99="", "", Backend!W99)</f>
        <v/>
      </c>
      <c r="W72" t="str">
        <f>IF(Backend!X99="", "", Backend!X99)</f>
        <v/>
      </c>
      <c r="X72" t="str">
        <f>IF(Backend!Y99="", "", Backend!Y99)</f>
        <v/>
      </c>
      <c r="Y72" t="str">
        <f>IF(Backend!Z99="", "", Backend!Z99)</f>
        <v/>
      </c>
      <c r="Z72" t="str">
        <f>IF(Backend!AA99="", "", Backend!AA99)</f>
        <v/>
      </c>
      <c r="AA72" t="str">
        <f>IF(Backend!AB99="", "", Backend!AB99)</f>
        <v/>
      </c>
      <c r="AB72" t="str">
        <f>IF(Backend!AC99="", "", Backend!AC99)</f>
        <v/>
      </c>
      <c r="AC72" t="str">
        <f>IF(Backend!AD99="", "", Backend!AD99)</f>
        <v/>
      </c>
      <c r="AD72" t="str">
        <f>IF(Backend!AE99="", "", Backend!AE99)</f>
        <v/>
      </c>
      <c r="AE72" t="str">
        <f>IF(Backend!AF99="", "", Backend!AF99)</f>
        <v/>
      </c>
      <c r="AF72" t="str">
        <f>IF(Backend!AG99="", "", Backend!AG99)</f>
        <v/>
      </c>
      <c r="AG72" t="str">
        <f>IF(Backend!AH99="", "", Backend!AH99)</f>
        <v/>
      </c>
      <c r="AH72" t="str">
        <f>IF(Backend!AI99="", "", Backend!AI99)</f>
        <v/>
      </c>
      <c r="AI72" t="str">
        <f>IF(Backend!AJ99="", "", Backend!AJ99)</f>
        <v/>
      </c>
      <c r="AJ72" t="str">
        <f>IF(Backend!AK99="", "", Backend!AK99)</f>
        <v/>
      </c>
      <c r="AK72" t="str">
        <f>IF(Backend!AL99="", "", Backend!AL99)</f>
        <v/>
      </c>
      <c r="AL72" t="str">
        <f>IF(Backend!AM99="", "", Backend!AM99)</f>
        <v/>
      </c>
      <c r="AM72" t="str">
        <f>IF(Backend!AN99="", "", Backend!AN99)</f>
        <v/>
      </c>
      <c r="AN72" t="str">
        <f>IF(Backend!AO99="", "", Backend!AO99)</f>
        <v/>
      </c>
      <c r="AO72" t="str">
        <f>IF(Backend!AP99="", "", Backend!AP99)</f>
        <v/>
      </c>
      <c r="AP72" t="str">
        <f>IF(Backend!AQ99="", "", Backend!AQ99)</f>
        <v/>
      </c>
      <c r="AQ72" t="str">
        <f>IF(Backend!AR99="", "", Backend!AR99)</f>
        <v/>
      </c>
      <c r="AR72" t="str">
        <f>IF(Backend!AS99="", "", Backend!AS99)</f>
        <v/>
      </c>
      <c r="AS72" t="str">
        <f>IF(Backend!AT99="", "", Backend!AT99)</f>
        <v/>
      </c>
      <c r="AT72" t="str">
        <f>IF(Backend!AU99="", "", Backend!AU99)</f>
        <v/>
      </c>
      <c r="AU72" t="str">
        <f>IF(Backend!AV99="", "", Backend!AV99)</f>
        <v/>
      </c>
      <c r="AV72" t="str">
        <f>IF(Backend!AW99="", "", Backend!AW99)</f>
        <v/>
      </c>
      <c r="AW72" t="str">
        <f>IF(Backend!AX99="", "", Backend!AX99)</f>
        <v/>
      </c>
      <c r="AX72" t="str">
        <f>IF(Backend!AY99="", "", Backend!AY99)</f>
        <v/>
      </c>
      <c r="AY72" t="str">
        <f>IF(Backend!AZ99="", "", Backend!AZ99)</f>
        <v/>
      </c>
      <c r="AZ72" t="str">
        <f>IF(Backend!BA99="", "", Backend!BA99)</f>
        <v/>
      </c>
      <c r="BA72" t="str">
        <f>IF(Backend!BB99="", "", Backend!BB99)</f>
        <v/>
      </c>
      <c r="BB72" t="str">
        <f>IF(Backend!BC99="", "", Backend!BC99)</f>
        <v/>
      </c>
      <c r="BC72" t="str">
        <f>IF(Backend!BD99="", "", Backend!BD99)</f>
        <v/>
      </c>
      <c r="BD72" t="str">
        <f>IF(Backend!BE99="", "", Backend!BE99)</f>
        <v/>
      </c>
      <c r="BE72" t="str">
        <f>IF(Backend!BF99="", "", Backend!BF99)</f>
        <v/>
      </c>
      <c r="BF72" t="str">
        <f>IF(Backend!BG99="", "", Backend!BG99)</f>
        <v/>
      </c>
      <c r="BG72" t="str">
        <f>IF(Backend!BH99="", "", Backend!BH99)</f>
        <v/>
      </c>
      <c r="BH72" t="str">
        <f>IF(Backend!BI99="", "", Backend!BI99)</f>
        <v/>
      </c>
      <c r="BI72" t="str">
        <f>IF(Backend!BJ99="", "", Backend!BJ99)</f>
        <v/>
      </c>
      <c r="BJ72" t="str">
        <f>IF(Backend!BK99="", "", Backend!BK99)</f>
        <v/>
      </c>
      <c r="BK72" t="str">
        <f>IF(Backend!BL99="", "", Backend!BL99)</f>
        <v/>
      </c>
      <c r="BL72" t="str">
        <f>IF(Backend!BM99="", "", Backend!BM99)</f>
        <v/>
      </c>
      <c r="BM72" t="str">
        <f>IF(Backend!BN99="", "", Backend!BN99)</f>
        <v/>
      </c>
      <c r="BN72" t="str">
        <f>IF(Backend!BO99="", "", Backend!BO99)</f>
        <v/>
      </c>
      <c r="BO72" t="str">
        <f>IF(Backend!BP99="", "", Backend!BP99)</f>
        <v/>
      </c>
      <c r="BP72" t="str">
        <f>IF(Backend!BQ99="", "", Backend!BQ99)</f>
        <v/>
      </c>
      <c r="BQ72" t="str">
        <f>IF(Backend!BR99="", "", Backend!BR99)</f>
        <v/>
      </c>
      <c r="BR72" t="str">
        <f>IF(Backend!BS99="", "", Backend!BS99)</f>
        <v/>
      </c>
      <c r="BS72" t="str">
        <f>IF(Backend!BT99="", "", Backend!BT99)</f>
        <v/>
      </c>
      <c r="BT72" t="str">
        <f>IF(Backend!BU99="", "", Backend!BU99)</f>
        <v/>
      </c>
      <c r="BU72" t="str">
        <f>IF(Backend!BV99="", "", Backend!BV99)</f>
        <v/>
      </c>
      <c r="BV72" t="str">
        <f>IF(Backend!BW99="", "", Backend!BW99)</f>
        <v/>
      </c>
      <c r="BW72" t="str">
        <f>IF(Backend!BX99="", "", Backend!BX99)</f>
        <v/>
      </c>
      <c r="BX72" t="str">
        <f>IF(Backend!BY99="", "", Backend!BY99)</f>
        <v/>
      </c>
      <c r="BY72" t="str">
        <f>IF(Backend!BZ99="", "", Backend!BZ99)</f>
        <v/>
      </c>
      <c r="BZ72" t="str">
        <f>IF(Backend!CA99="", "", Backend!CA99)</f>
        <v/>
      </c>
      <c r="CA72" t="str">
        <f>IF(Backend!CB99="", "", Backend!CB99)</f>
        <v/>
      </c>
      <c r="CB72" t="str">
        <f>IF(Backend!CC99="", "", Backend!CC99)</f>
        <v/>
      </c>
      <c r="CC72" t="str">
        <f>IF(Backend!CD99="", "", Backend!CD99)</f>
        <v/>
      </c>
    </row>
    <row r="73" spans="1:81" x14ac:dyDescent="0.25">
      <c r="A73" s="4" t="str">
        <f>IF(Backend!A100="", "", Backend!A100)</f>
        <v/>
      </c>
      <c r="B73" t="str">
        <f>IF(Backend!C100="", "", Backend!C100)</f>
        <v/>
      </c>
      <c r="C73" t="str">
        <f>IF(Backend!D100="", "", Backend!D100)</f>
        <v/>
      </c>
      <c r="D73" t="str">
        <f>IF(Backend!E100="", "", Backend!E100)</f>
        <v/>
      </c>
      <c r="E73" t="str">
        <f>IF(Backend!F100="", "", Backend!F100)</f>
        <v/>
      </c>
      <c r="F73" t="str">
        <f>IF(Backend!G100="", "", Backend!G100)</f>
        <v/>
      </c>
      <c r="G73" t="str">
        <f>IF(Backend!H100="", "", Backend!H100)</f>
        <v/>
      </c>
      <c r="H73" t="str">
        <f>IF(Backend!I100="", "", Backend!I100)</f>
        <v/>
      </c>
      <c r="I73" t="str">
        <f>IF(Backend!J100="", "", Backend!J100)</f>
        <v/>
      </c>
      <c r="J73" t="str">
        <f>IF(Backend!K100="", "", Backend!K100)</f>
        <v/>
      </c>
      <c r="K73" t="str">
        <f>IF(Backend!L100="", "", Backend!L100)</f>
        <v/>
      </c>
      <c r="L73" t="str">
        <f>IF(Backend!M100="", "", Backend!M100)</f>
        <v/>
      </c>
      <c r="M73" t="str">
        <f>IF(Backend!N100="", "", Backend!N100)</f>
        <v/>
      </c>
      <c r="N73" t="str">
        <f>IF(Backend!O100="", "", Backend!O100)</f>
        <v/>
      </c>
      <c r="O73" t="str">
        <f>IF(Backend!P100="", "", Backend!P100)</f>
        <v/>
      </c>
      <c r="P73" t="str">
        <f>IF(Backend!Q100="", "", Backend!Q100)</f>
        <v/>
      </c>
      <c r="Q73" t="str">
        <f>IF(Backend!R100="", "", Backend!R100)</f>
        <v/>
      </c>
      <c r="R73" t="str">
        <f>IF(Backend!S100="", "", Backend!S100)</f>
        <v/>
      </c>
      <c r="S73" t="str">
        <f>IF(Backend!T100="", "", Backend!T100)</f>
        <v/>
      </c>
      <c r="T73" t="str">
        <f>IF(Backend!U100="", "", Backend!U100)</f>
        <v/>
      </c>
      <c r="U73" t="str">
        <f>IF(Backend!V100="", "", Backend!V100)</f>
        <v/>
      </c>
      <c r="V73" t="str">
        <f>IF(Backend!W100="", "", Backend!W100)</f>
        <v/>
      </c>
      <c r="W73" t="str">
        <f>IF(Backend!X100="", "", Backend!X100)</f>
        <v/>
      </c>
      <c r="X73" t="str">
        <f>IF(Backend!Y100="", "", Backend!Y100)</f>
        <v/>
      </c>
      <c r="Y73" t="str">
        <f>IF(Backend!Z100="", "", Backend!Z100)</f>
        <v/>
      </c>
      <c r="Z73" t="str">
        <f>IF(Backend!AA100="", "", Backend!AA100)</f>
        <v/>
      </c>
      <c r="AA73" t="str">
        <f>IF(Backend!AB100="", "", Backend!AB100)</f>
        <v/>
      </c>
      <c r="AB73" t="str">
        <f>IF(Backend!AC100="", "", Backend!AC100)</f>
        <v/>
      </c>
      <c r="AC73" t="str">
        <f>IF(Backend!AD100="", "", Backend!AD100)</f>
        <v/>
      </c>
      <c r="AD73" t="str">
        <f>IF(Backend!AE100="", "", Backend!AE100)</f>
        <v/>
      </c>
      <c r="AE73" t="str">
        <f>IF(Backend!AF100="", "", Backend!AF100)</f>
        <v/>
      </c>
      <c r="AF73" t="str">
        <f>IF(Backend!AG100="", "", Backend!AG100)</f>
        <v/>
      </c>
      <c r="AG73" t="str">
        <f>IF(Backend!AH100="", "", Backend!AH100)</f>
        <v/>
      </c>
      <c r="AH73" t="str">
        <f>IF(Backend!AI100="", "", Backend!AI100)</f>
        <v/>
      </c>
      <c r="AI73" t="str">
        <f>IF(Backend!AJ100="", "", Backend!AJ100)</f>
        <v/>
      </c>
      <c r="AJ73" t="str">
        <f>IF(Backend!AK100="", "", Backend!AK100)</f>
        <v/>
      </c>
      <c r="AK73" t="str">
        <f>IF(Backend!AL100="", "", Backend!AL100)</f>
        <v/>
      </c>
      <c r="AL73" t="str">
        <f>IF(Backend!AM100="", "", Backend!AM100)</f>
        <v/>
      </c>
      <c r="AM73" t="str">
        <f>IF(Backend!AN100="", "", Backend!AN100)</f>
        <v/>
      </c>
      <c r="AN73" t="str">
        <f>IF(Backend!AO100="", "", Backend!AO100)</f>
        <v/>
      </c>
      <c r="AO73" t="str">
        <f>IF(Backend!AP100="", "", Backend!AP100)</f>
        <v/>
      </c>
      <c r="AP73" t="str">
        <f>IF(Backend!AQ100="", "", Backend!AQ100)</f>
        <v/>
      </c>
      <c r="AQ73" t="str">
        <f>IF(Backend!AR100="", "", Backend!AR100)</f>
        <v/>
      </c>
      <c r="AR73" t="str">
        <f>IF(Backend!AS100="", "", Backend!AS100)</f>
        <v/>
      </c>
      <c r="AS73" t="str">
        <f>IF(Backend!AT100="", "", Backend!AT100)</f>
        <v/>
      </c>
      <c r="AT73" t="str">
        <f>IF(Backend!AU100="", "", Backend!AU100)</f>
        <v/>
      </c>
      <c r="AU73" t="str">
        <f>IF(Backend!AV100="", "", Backend!AV100)</f>
        <v/>
      </c>
      <c r="AV73" t="str">
        <f>IF(Backend!AW100="", "", Backend!AW100)</f>
        <v/>
      </c>
      <c r="AW73" t="str">
        <f>IF(Backend!AX100="", "", Backend!AX100)</f>
        <v/>
      </c>
      <c r="AX73" t="str">
        <f>IF(Backend!AY100="", "", Backend!AY100)</f>
        <v/>
      </c>
      <c r="AY73" t="str">
        <f>IF(Backend!AZ100="", "", Backend!AZ100)</f>
        <v/>
      </c>
      <c r="AZ73" t="str">
        <f>IF(Backend!BA100="", "", Backend!BA100)</f>
        <v/>
      </c>
      <c r="BA73" t="str">
        <f>IF(Backend!BB100="", "", Backend!BB100)</f>
        <v/>
      </c>
      <c r="BB73" t="str">
        <f>IF(Backend!BC100="", "", Backend!BC100)</f>
        <v/>
      </c>
      <c r="BC73" t="str">
        <f>IF(Backend!BD100="", "", Backend!BD100)</f>
        <v/>
      </c>
      <c r="BD73" t="str">
        <f>IF(Backend!BE100="", "", Backend!BE100)</f>
        <v/>
      </c>
      <c r="BE73" t="str">
        <f>IF(Backend!BF100="", "", Backend!BF100)</f>
        <v/>
      </c>
      <c r="BF73" t="str">
        <f>IF(Backend!BG100="", "", Backend!BG100)</f>
        <v/>
      </c>
      <c r="BG73" t="str">
        <f>IF(Backend!BH100="", "", Backend!BH100)</f>
        <v/>
      </c>
      <c r="BH73" t="str">
        <f>IF(Backend!BI100="", "", Backend!BI100)</f>
        <v/>
      </c>
      <c r="BI73" t="str">
        <f>IF(Backend!BJ100="", "", Backend!BJ100)</f>
        <v/>
      </c>
      <c r="BJ73" t="str">
        <f>IF(Backend!BK100="", "", Backend!BK100)</f>
        <v/>
      </c>
      <c r="BK73" t="str">
        <f>IF(Backend!BL100="", "", Backend!BL100)</f>
        <v/>
      </c>
      <c r="BL73" t="str">
        <f>IF(Backend!BM100="", "", Backend!BM100)</f>
        <v/>
      </c>
      <c r="BM73" t="str">
        <f>IF(Backend!BN100="", "", Backend!BN100)</f>
        <v/>
      </c>
      <c r="BN73" t="str">
        <f>IF(Backend!BO100="", "", Backend!BO100)</f>
        <v/>
      </c>
      <c r="BO73" t="str">
        <f>IF(Backend!BP100="", "", Backend!BP100)</f>
        <v/>
      </c>
      <c r="BP73" t="str">
        <f>IF(Backend!BQ100="", "", Backend!BQ100)</f>
        <v/>
      </c>
      <c r="BQ73" t="str">
        <f>IF(Backend!BR100="", "", Backend!BR100)</f>
        <v/>
      </c>
      <c r="BR73" t="str">
        <f>IF(Backend!BS100="", "", Backend!BS100)</f>
        <v/>
      </c>
      <c r="BS73" t="str">
        <f>IF(Backend!BT100="", "", Backend!BT100)</f>
        <v/>
      </c>
      <c r="BT73" t="str">
        <f>IF(Backend!BU100="", "", Backend!BU100)</f>
        <v/>
      </c>
      <c r="BU73" t="str">
        <f>IF(Backend!BV100="", "", Backend!BV100)</f>
        <v/>
      </c>
      <c r="BV73" t="str">
        <f>IF(Backend!BW100="", "", Backend!BW100)</f>
        <v/>
      </c>
      <c r="BW73" t="str">
        <f>IF(Backend!BX100="", "", Backend!BX100)</f>
        <v/>
      </c>
      <c r="BX73" t="str">
        <f>IF(Backend!BY100="", "", Backend!BY100)</f>
        <v/>
      </c>
      <c r="BY73" t="str">
        <f>IF(Backend!BZ100="", "", Backend!BZ100)</f>
        <v/>
      </c>
      <c r="BZ73" t="str">
        <f>IF(Backend!CA100="", "", Backend!CA100)</f>
        <v/>
      </c>
      <c r="CA73" t="str">
        <f>IF(Backend!CB100="", "", Backend!CB100)</f>
        <v/>
      </c>
      <c r="CB73" t="str">
        <f>IF(Backend!CC100="", "", Backend!CC100)</f>
        <v/>
      </c>
      <c r="CC73" t="str">
        <f>IF(Backend!CD100="", "", Backend!CD100)</f>
        <v/>
      </c>
    </row>
    <row r="74" spans="1:81" x14ac:dyDescent="0.25">
      <c r="A74" s="4" t="str">
        <f>IF(Backend!A101="", "", Backend!A101)</f>
        <v/>
      </c>
      <c r="B74" t="str">
        <f>IF(Backend!C101="", "", Backend!C101)</f>
        <v/>
      </c>
      <c r="C74" t="str">
        <f>IF(Backend!D101="", "", Backend!D101)</f>
        <v/>
      </c>
      <c r="D74" t="str">
        <f>IF(Backend!E101="", "", Backend!E101)</f>
        <v/>
      </c>
      <c r="E74" t="str">
        <f>IF(Backend!F101="", "", Backend!F101)</f>
        <v/>
      </c>
      <c r="F74" t="str">
        <f>IF(Backend!G101="", "", Backend!G101)</f>
        <v/>
      </c>
      <c r="G74" t="str">
        <f>IF(Backend!H101="", "", Backend!H101)</f>
        <v/>
      </c>
      <c r="H74" t="str">
        <f>IF(Backend!I101="", "", Backend!I101)</f>
        <v/>
      </c>
      <c r="I74" t="str">
        <f>IF(Backend!J101="", "", Backend!J101)</f>
        <v/>
      </c>
      <c r="J74" t="str">
        <f>IF(Backend!K101="", "", Backend!K101)</f>
        <v/>
      </c>
      <c r="K74" t="str">
        <f>IF(Backend!L101="", "", Backend!L101)</f>
        <v/>
      </c>
      <c r="L74" t="str">
        <f>IF(Backend!M101="", "", Backend!M101)</f>
        <v/>
      </c>
      <c r="M74" t="str">
        <f>IF(Backend!N101="", "", Backend!N101)</f>
        <v/>
      </c>
      <c r="N74" t="str">
        <f>IF(Backend!O101="", "", Backend!O101)</f>
        <v/>
      </c>
      <c r="O74" t="str">
        <f>IF(Backend!P101="", "", Backend!P101)</f>
        <v/>
      </c>
      <c r="P74" t="str">
        <f>IF(Backend!Q101="", "", Backend!Q101)</f>
        <v/>
      </c>
      <c r="Q74" t="str">
        <f>IF(Backend!R101="", "", Backend!R101)</f>
        <v/>
      </c>
      <c r="R74" t="str">
        <f>IF(Backend!S101="", "", Backend!S101)</f>
        <v/>
      </c>
      <c r="S74" t="str">
        <f>IF(Backend!T101="", "", Backend!T101)</f>
        <v/>
      </c>
      <c r="T74" t="str">
        <f>IF(Backend!U101="", "", Backend!U101)</f>
        <v/>
      </c>
      <c r="U74" t="str">
        <f>IF(Backend!V101="", "", Backend!V101)</f>
        <v/>
      </c>
      <c r="V74" t="str">
        <f>IF(Backend!W101="", "", Backend!W101)</f>
        <v/>
      </c>
      <c r="W74" t="str">
        <f>IF(Backend!X101="", "", Backend!X101)</f>
        <v/>
      </c>
      <c r="X74" t="str">
        <f>IF(Backend!Y101="", "", Backend!Y101)</f>
        <v/>
      </c>
      <c r="Y74" t="str">
        <f>IF(Backend!Z101="", "", Backend!Z101)</f>
        <v/>
      </c>
      <c r="Z74" t="str">
        <f>IF(Backend!AA101="", "", Backend!AA101)</f>
        <v/>
      </c>
      <c r="AA74" t="str">
        <f>IF(Backend!AB101="", "", Backend!AB101)</f>
        <v/>
      </c>
      <c r="AB74" t="str">
        <f>IF(Backend!AC101="", "", Backend!AC101)</f>
        <v/>
      </c>
      <c r="AC74" t="str">
        <f>IF(Backend!AD101="", "", Backend!AD101)</f>
        <v/>
      </c>
      <c r="AD74" t="str">
        <f>IF(Backend!AE101="", "", Backend!AE101)</f>
        <v/>
      </c>
      <c r="AE74" t="str">
        <f>IF(Backend!AF101="", "", Backend!AF101)</f>
        <v/>
      </c>
      <c r="AF74" t="str">
        <f>IF(Backend!AG101="", "", Backend!AG101)</f>
        <v/>
      </c>
      <c r="AG74" t="str">
        <f>IF(Backend!AH101="", "", Backend!AH101)</f>
        <v/>
      </c>
      <c r="AH74" t="str">
        <f>IF(Backend!AI101="", "", Backend!AI101)</f>
        <v/>
      </c>
      <c r="AI74" t="str">
        <f>IF(Backend!AJ101="", "", Backend!AJ101)</f>
        <v/>
      </c>
      <c r="AJ74" t="str">
        <f>IF(Backend!AK101="", "", Backend!AK101)</f>
        <v/>
      </c>
      <c r="AK74" t="str">
        <f>IF(Backend!AL101="", "", Backend!AL101)</f>
        <v/>
      </c>
      <c r="AL74" t="str">
        <f>IF(Backend!AM101="", "", Backend!AM101)</f>
        <v/>
      </c>
      <c r="AM74" t="str">
        <f>IF(Backend!AN101="", "", Backend!AN101)</f>
        <v/>
      </c>
      <c r="AN74" t="str">
        <f>IF(Backend!AO101="", "", Backend!AO101)</f>
        <v/>
      </c>
      <c r="AO74" t="str">
        <f>IF(Backend!AP101="", "", Backend!AP101)</f>
        <v/>
      </c>
      <c r="AP74" t="str">
        <f>IF(Backend!AQ101="", "", Backend!AQ101)</f>
        <v/>
      </c>
      <c r="AQ74" t="str">
        <f>IF(Backend!AR101="", "", Backend!AR101)</f>
        <v/>
      </c>
      <c r="AR74" t="str">
        <f>IF(Backend!AS101="", "", Backend!AS101)</f>
        <v/>
      </c>
      <c r="AS74" t="str">
        <f>IF(Backend!AT101="", "", Backend!AT101)</f>
        <v/>
      </c>
      <c r="AT74" t="str">
        <f>IF(Backend!AU101="", "", Backend!AU101)</f>
        <v/>
      </c>
      <c r="AU74" t="str">
        <f>IF(Backend!AV101="", "", Backend!AV101)</f>
        <v/>
      </c>
      <c r="AV74" t="str">
        <f>IF(Backend!AW101="", "", Backend!AW101)</f>
        <v/>
      </c>
      <c r="AW74" t="str">
        <f>IF(Backend!AX101="", "", Backend!AX101)</f>
        <v/>
      </c>
      <c r="AX74" t="str">
        <f>IF(Backend!AY101="", "", Backend!AY101)</f>
        <v/>
      </c>
      <c r="AY74" t="str">
        <f>IF(Backend!AZ101="", "", Backend!AZ101)</f>
        <v/>
      </c>
      <c r="AZ74" t="str">
        <f>IF(Backend!BA101="", "", Backend!BA101)</f>
        <v/>
      </c>
      <c r="BA74" t="str">
        <f>IF(Backend!BB101="", "", Backend!BB101)</f>
        <v/>
      </c>
      <c r="BB74" t="str">
        <f>IF(Backend!BC101="", "", Backend!BC101)</f>
        <v/>
      </c>
      <c r="BC74" t="str">
        <f>IF(Backend!BD101="", "", Backend!BD101)</f>
        <v/>
      </c>
      <c r="BD74" t="str">
        <f>IF(Backend!BE101="", "", Backend!BE101)</f>
        <v/>
      </c>
      <c r="BE74" t="str">
        <f>IF(Backend!BF101="", "", Backend!BF101)</f>
        <v/>
      </c>
      <c r="BF74" t="str">
        <f>IF(Backend!BG101="", "", Backend!BG101)</f>
        <v/>
      </c>
      <c r="BG74" t="str">
        <f>IF(Backend!BH101="", "", Backend!BH101)</f>
        <v/>
      </c>
      <c r="BH74" t="str">
        <f>IF(Backend!BI101="", "", Backend!BI101)</f>
        <v/>
      </c>
      <c r="BI74" t="str">
        <f>IF(Backend!BJ101="", "", Backend!BJ101)</f>
        <v/>
      </c>
      <c r="BJ74" t="str">
        <f>IF(Backend!BK101="", "", Backend!BK101)</f>
        <v/>
      </c>
      <c r="BK74" t="str">
        <f>IF(Backend!BL101="", "", Backend!BL101)</f>
        <v/>
      </c>
      <c r="BL74" t="str">
        <f>IF(Backend!BM101="", "", Backend!BM101)</f>
        <v/>
      </c>
      <c r="BM74" t="str">
        <f>IF(Backend!BN101="", "", Backend!BN101)</f>
        <v/>
      </c>
      <c r="BN74" t="str">
        <f>IF(Backend!BO101="", "", Backend!BO101)</f>
        <v/>
      </c>
      <c r="BO74" t="str">
        <f>IF(Backend!BP101="", "", Backend!BP101)</f>
        <v/>
      </c>
      <c r="BP74" t="str">
        <f>IF(Backend!BQ101="", "", Backend!BQ101)</f>
        <v/>
      </c>
      <c r="BQ74" t="str">
        <f>IF(Backend!BR101="", "", Backend!BR101)</f>
        <v/>
      </c>
      <c r="BR74" t="str">
        <f>IF(Backend!BS101="", "", Backend!BS101)</f>
        <v/>
      </c>
      <c r="BS74" t="str">
        <f>IF(Backend!BT101="", "", Backend!BT101)</f>
        <v/>
      </c>
      <c r="BT74" t="str">
        <f>IF(Backend!BU101="", "", Backend!BU101)</f>
        <v/>
      </c>
      <c r="BU74" t="str">
        <f>IF(Backend!BV101="", "", Backend!BV101)</f>
        <v/>
      </c>
      <c r="BV74" t="str">
        <f>IF(Backend!BW101="", "", Backend!BW101)</f>
        <v/>
      </c>
      <c r="BW74" t="str">
        <f>IF(Backend!BX101="", "", Backend!BX101)</f>
        <v/>
      </c>
      <c r="BX74" t="str">
        <f>IF(Backend!BY101="", "", Backend!BY101)</f>
        <v/>
      </c>
      <c r="BY74" t="str">
        <f>IF(Backend!BZ101="", "", Backend!BZ101)</f>
        <v/>
      </c>
      <c r="BZ74" t="str">
        <f>IF(Backend!CA101="", "", Backend!CA101)</f>
        <v/>
      </c>
      <c r="CA74" t="str">
        <f>IF(Backend!CB101="", "", Backend!CB101)</f>
        <v/>
      </c>
      <c r="CB74" t="str">
        <f>IF(Backend!CC101="", "", Backend!CC101)</f>
        <v/>
      </c>
      <c r="CC74" t="str">
        <f>IF(Backend!CD101="", "", Backend!CD101)</f>
        <v/>
      </c>
    </row>
    <row r="75" spans="1:81" x14ac:dyDescent="0.25">
      <c r="A75" s="4" t="str">
        <f>IF(Backend!A102="", "", Backend!A102)</f>
        <v/>
      </c>
      <c r="B75" t="str">
        <f>IF(Backend!C102="", "", Backend!C102)</f>
        <v/>
      </c>
      <c r="C75" t="str">
        <f>IF(Backend!D102="", "", Backend!D102)</f>
        <v/>
      </c>
      <c r="D75" t="str">
        <f>IF(Backend!E102="", "", Backend!E102)</f>
        <v/>
      </c>
      <c r="E75" t="str">
        <f>IF(Backend!F102="", "", Backend!F102)</f>
        <v/>
      </c>
      <c r="F75" t="str">
        <f>IF(Backend!G102="", "", Backend!G102)</f>
        <v/>
      </c>
      <c r="G75" t="str">
        <f>IF(Backend!H102="", "", Backend!H102)</f>
        <v/>
      </c>
      <c r="H75" t="str">
        <f>IF(Backend!I102="", "", Backend!I102)</f>
        <v/>
      </c>
      <c r="I75" t="str">
        <f>IF(Backend!J102="", "", Backend!J102)</f>
        <v/>
      </c>
      <c r="J75" t="str">
        <f>IF(Backend!K102="", "", Backend!K102)</f>
        <v/>
      </c>
      <c r="K75" t="str">
        <f>IF(Backend!L102="", "", Backend!L102)</f>
        <v/>
      </c>
      <c r="L75" t="str">
        <f>IF(Backend!M102="", "", Backend!M102)</f>
        <v/>
      </c>
      <c r="M75" t="str">
        <f>IF(Backend!N102="", "", Backend!N102)</f>
        <v/>
      </c>
      <c r="N75" t="str">
        <f>IF(Backend!O102="", "", Backend!O102)</f>
        <v/>
      </c>
      <c r="O75" t="str">
        <f>IF(Backend!P102="", "", Backend!P102)</f>
        <v/>
      </c>
      <c r="P75" t="str">
        <f>IF(Backend!Q102="", "", Backend!Q102)</f>
        <v/>
      </c>
      <c r="Q75" t="str">
        <f>IF(Backend!R102="", "", Backend!R102)</f>
        <v/>
      </c>
      <c r="R75" t="str">
        <f>IF(Backend!S102="", "", Backend!S102)</f>
        <v/>
      </c>
      <c r="S75" t="str">
        <f>IF(Backend!T102="", "", Backend!T102)</f>
        <v/>
      </c>
      <c r="T75" t="str">
        <f>IF(Backend!U102="", "", Backend!U102)</f>
        <v/>
      </c>
      <c r="U75" t="str">
        <f>IF(Backend!V102="", "", Backend!V102)</f>
        <v/>
      </c>
      <c r="V75" t="str">
        <f>IF(Backend!W102="", "", Backend!W102)</f>
        <v/>
      </c>
      <c r="W75" t="str">
        <f>IF(Backend!X102="", "", Backend!X102)</f>
        <v/>
      </c>
      <c r="X75" t="str">
        <f>IF(Backend!Y102="", "", Backend!Y102)</f>
        <v/>
      </c>
      <c r="Y75" t="str">
        <f>IF(Backend!Z102="", "", Backend!Z102)</f>
        <v/>
      </c>
      <c r="Z75" t="str">
        <f>IF(Backend!AA102="", "", Backend!AA102)</f>
        <v/>
      </c>
      <c r="AA75" t="str">
        <f>IF(Backend!AB102="", "", Backend!AB102)</f>
        <v/>
      </c>
      <c r="AB75" t="str">
        <f>IF(Backend!AC102="", "", Backend!AC102)</f>
        <v/>
      </c>
      <c r="AC75" t="str">
        <f>IF(Backend!AD102="", "", Backend!AD102)</f>
        <v/>
      </c>
      <c r="AD75" t="str">
        <f>IF(Backend!AE102="", "", Backend!AE102)</f>
        <v/>
      </c>
      <c r="AE75" t="str">
        <f>IF(Backend!AF102="", "", Backend!AF102)</f>
        <v/>
      </c>
      <c r="AF75" t="str">
        <f>IF(Backend!AG102="", "", Backend!AG102)</f>
        <v/>
      </c>
      <c r="AG75" t="str">
        <f>IF(Backend!AH102="", "", Backend!AH102)</f>
        <v/>
      </c>
      <c r="AH75" t="str">
        <f>IF(Backend!AI102="", "", Backend!AI102)</f>
        <v/>
      </c>
      <c r="AI75" t="str">
        <f>IF(Backend!AJ102="", "", Backend!AJ102)</f>
        <v/>
      </c>
      <c r="AJ75" t="str">
        <f>IF(Backend!AK102="", "", Backend!AK102)</f>
        <v/>
      </c>
      <c r="AK75" t="str">
        <f>IF(Backend!AL102="", "", Backend!AL102)</f>
        <v/>
      </c>
      <c r="AL75" t="str">
        <f>IF(Backend!AM102="", "", Backend!AM102)</f>
        <v/>
      </c>
      <c r="AM75" t="str">
        <f>IF(Backend!AN102="", "", Backend!AN102)</f>
        <v/>
      </c>
      <c r="AN75" t="str">
        <f>IF(Backend!AO102="", "", Backend!AO102)</f>
        <v/>
      </c>
      <c r="AO75" t="str">
        <f>IF(Backend!AP102="", "", Backend!AP102)</f>
        <v/>
      </c>
      <c r="AP75" t="str">
        <f>IF(Backend!AQ102="", "", Backend!AQ102)</f>
        <v/>
      </c>
      <c r="AQ75" t="str">
        <f>IF(Backend!AR102="", "", Backend!AR102)</f>
        <v/>
      </c>
      <c r="AR75" t="str">
        <f>IF(Backend!AS102="", "", Backend!AS102)</f>
        <v/>
      </c>
      <c r="AS75" t="str">
        <f>IF(Backend!AT102="", "", Backend!AT102)</f>
        <v/>
      </c>
      <c r="AT75" t="str">
        <f>IF(Backend!AU102="", "", Backend!AU102)</f>
        <v/>
      </c>
      <c r="AU75" t="str">
        <f>IF(Backend!AV102="", "", Backend!AV102)</f>
        <v/>
      </c>
      <c r="AV75" t="str">
        <f>IF(Backend!AW102="", "", Backend!AW102)</f>
        <v/>
      </c>
      <c r="AW75" t="str">
        <f>IF(Backend!AX102="", "", Backend!AX102)</f>
        <v/>
      </c>
      <c r="AX75" t="str">
        <f>IF(Backend!AY102="", "", Backend!AY102)</f>
        <v/>
      </c>
      <c r="AY75" t="str">
        <f>IF(Backend!AZ102="", "", Backend!AZ102)</f>
        <v/>
      </c>
      <c r="AZ75" t="str">
        <f>IF(Backend!BA102="", "", Backend!BA102)</f>
        <v/>
      </c>
      <c r="BA75" t="str">
        <f>IF(Backend!BB102="", "", Backend!BB102)</f>
        <v/>
      </c>
      <c r="BB75" t="str">
        <f>IF(Backend!BC102="", "", Backend!BC102)</f>
        <v/>
      </c>
      <c r="BC75" t="str">
        <f>IF(Backend!BD102="", "", Backend!BD102)</f>
        <v/>
      </c>
      <c r="BD75" t="str">
        <f>IF(Backend!BE102="", "", Backend!BE102)</f>
        <v/>
      </c>
      <c r="BE75" t="str">
        <f>IF(Backend!BF102="", "", Backend!BF102)</f>
        <v/>
      </c>
      <c r="BF75" t="str">
        <f>IF(Backend!BG102="", "", Backend!BG102)</f>
        <v/>
      </c>
      <c r="BG75" t="str">
        <f>IF(Backend!BH102="", "", Backend!BH102)</f>
        <v/>
      </c>
      <c r="BH75" t="str">
        <f>IF(Backend!BI102="", "", Backend!BI102)</f>
        <v/>
      </c>
      <c r="BI75" t="str">
        <f>IF(Backend!BJ102="", "", Backend!BJ102)</f>
        <v/>
      </c>
      <c r="BJ75" t="str">
        <f>IF(Backend!BK102="", "", Backend!BK102)</f>
        <v/>
      </c>
      <c r="BK75" t="str">
        <f>IF(Backend!BL102="", "", Backend!BL102)</f>
        <v/>
      </c>
      <c r="BL75" t="str">
        <f>IF(Backend!BM102="", "", Backend!BM102)</f>
        <v/>
      </c>
      <c r="BM75" t="str">
        <f>IF(Backend!BN102="", "", Backend!BN102)</f>
        <v/>
      </c>
      <c r="BN75" t="str">
        <f>IF(Backend!BO102="", "", Backend!BO102)</f>
        <v/>
      </c>
      <c r="BO75" t="str">
        <f>IF(Backend!BP102="", "", Backend!BP102)</f>
        <v/>
      </c>
      <c r="BP75" t="str">
        <f>IF(Backend!BQ102="", "", Backend!BQ102)</f>
        <v/>
      </c>
      <c r="BQ75" t="str">
        <f>IF(Backend!BR102="", "", Backend!BR102)</f>
        <v/>
      </c>
      <c r="BR75" t="str">
        <f>IF(Backend!BS102="", "", Backend!BS102)</f>
        <v/>
      </c>
      <c r="BS75" t="str">
        <f>IF(Backend!BT102="", "", Backend!BT102)</f>
        <v/>
      </c>
      <c r="BT75" t="str">
        <f>IF(Backend!BU102="", "", Backend!BU102)</f>
        <v/>
      </c>
      <c r="BU75" t="str">
        <f>IF(Backend!BV102="", "", Backend!BV102)</f>
        <v/>
      </c>
      <c r="BV75" t="str">
        <f>IF(Backend!BW102="", "", Backend!BW102)</f>
        <v/>
      </c>
      <c r="BW75" t="str">
        <f>IF(Backend!BX102="", "", Backend!BX102)</f>
        <v/>
      </c>
      <c r="BX75" t="str">
        <f>IF(Backend!BY102="", "", Backend!BY102)</f>
        <v/>
      </c>
      <c r="BY75" t="str">
        <f>IF(Backend!BZ102="", "", Backend!BZ102)</f>
        <v/>
      </c>
      <c r="BZ75" t="str">
        <f>IF(Backend!CA102="", "", Backend!CA102)</f>
        <v/>
      </c>
      <c r="CA75" t="str">
        <f>IF(Backend!CB102="", "", Backend!CB102)</f>
        <v/>
      </c>
      <c r="CB75" t="str">
        <f>IF(Backend!CC102="", "", Backend!CC102)</f>
        <v/>
      </c>
      <c r="CC75" t="str">
        <f>IF(Backend!CD102="", "", Backend!CD102)</f>
        <v/>
      </c>
    </row>
    <row r="76" spans="1:81" x14ac:dyDescent="0.25">
      <c r="A76" s="4" t="str">
        <f>IF(Backend!A103="", "", Backend!A103)</f>
        <v/>
      </c>
      <c r="B76" t="str">
        <f>IF(Backend!C103="", "", Backend!C103)</f>
        <v/>
      </c>
      <c r="C76" t="str">
        <f>IF(Backend!D103="", "", Backend!D103)</f>
        <v/>
      </c>
      <c r="D76" t="str">
        <f>IF(Backend!E103="", "", Backend!E103)</f>
        <v/>
      </c>
      <c r="E76" t="str">
        <f>IF(Backend!F103="", "", Backend!F103)</f>
        <v/>
      </c>
      <c r="F76" t="str">
        <f>IF(Backend!G103="", "", Backend!G103)</f>
        <v/>
      </c>
      <c r="G76" t="str">
        <f>IF(Backend!H103="", "", Backend!H103)</f>
        <v/>
      </c>
      <c r="H76" t="str">
        <f>IF(Backend!I103="", "", Backend!I103)</f>
        <v/>
      </c>
      <c r="I76" t="str">
        <f>IF(Backend!J103="", "", Backend!J103)</f>
        <v/>
      </c>
      <c r="J76" t="str">
        <f>IF(Backend!K103="", "", Backend!K103)</f>
        <v/>
      </c>
      <c r="K76" t="str">
        <f>IF(Backend!L103="", "", Backend!L103)</f>
        <v/>
      </c>
      <c r="L76" t="str">
        <f>IF(Backend!M103="", "", Backend!M103)</f>
        <v/>
      </c>
      <c r="M76" t="str">
        <f>IF(Backend!N103="", "", Backend!N103)</f>
        <v/>
      </c>
      <c r="N76" t="str">
        <f>IF(Backend!O103="", "", Backend!O103)</f>
        <v/>
      </c>
      <c r="O76" t="str">
        <f>IF(Backend!P103="", "", Backend!P103)</f>
        <v/>
      </c>
      <c r="P76" t="str">
        <f>IF(Backend!Q103="", "", Backend!Q103)</f>
        <v/>
      </c>
      <c r="Q76" t="str">
        <f>IF(Backend!R103="", "", Backend!R103)</f>
        <v/>
      </c>
      <c r="R76" t="str">
        <f>IF(Backend!S103="", "", Backend!S103)</f>
        <v/>
      </c>
      <c r="S76" t="str">
        <f>IF(Backend!T103="", "", Backend!T103)</f>
        <v/>
      </c>
      <c r="T76" t="str">
        <f>IF(Backend!U103="", "", Backend!U103)</f>
        <v/>
      </c>
      <c r="U76" t="str">
        <f>IF(Backend!V103="", "", Backend!V103)</f>
        <v/>
      </c>
      <c r="V76" t="str">
        <f>IF(Backend!W103="", "", Backend!W103)</f>
        <v/>
      </c>
      <c r="W76" t="str">
        <f>IF(Backend!X103="", "", Backend!X103)</f>
        <v/>
      </c>
      <c r="X76" t="str">
        <f>IF(Backend!Y103="", "", Backend!Y103)</f>
        <v/>
      </c>
      <c r="Y76" t="str">
        <f>IF(Backend!Z103="", "", Backend!Z103)</f>
        <v/>
      </c>
      <c r="Z76" t="str">
        <f>IF(Backend!AA103="", "", Backend!AA103)</f>
        <v/>
      </c>
      <c r="AA76" t="str">
        <f>IF(Backend!AB103="", "", Backend!AB103)</f>
        <v/>
      </c>
      <c r="AB76" t="str">
        <f>IF(Backend!AC103="", "", Backend!AC103)</f>
        <v/>
      </c>
      <c r="AC76" t="str">
        <f>IF(Backend!AD103="", "", Backend!AD103)</f>
        <v/>
      </c>
      <c r="AD76" t="str">
        <f>IF(Backend!AE103="", "", Backend!AE103)</f>
        <v/>
      </c>
      <c r="AE76" t="str">
        <f>IF(Backend!AF103="", "", Backend!AF103)</f>
        <v/>
      </c>
      <c r="AF76" t="str">
        <f>IF(Backend!AG103="", "", Backend!AG103)</f>
        <v/>
      </c>
      <c r="AG76" t="str">
        <f>IF(Backend!AH103="", "", Backend!AH103)</f>
        <v/>
      </c>
      <c r="AH76" t="str">
        <f>IF(Backend!AI103="", "", Backend!AI103)</f>
        <v/>
      </c>
      <c r="AI76" t="str">
        <f>IF(Backend!AJ103="", "", Backend!AJ103)</f>
        <v/>
      </c>
      <c r="AJ76" t="str">
        <f>IF(Backend!AK103="", "", Backend!AK103)</f>
        <v/>
      </c>
      <c r="AK76" t="str">
        <f>IF(Backend!AL103="", "", Backend!AL103)</f>
        <v/>
      </c>
      <c r="AL76" t="str">
        <f>IF(Backend!AM103="", "", Backend!AM103)</f>
        <v/>
      </c>
      <c r="AM76" t="str">
        <f>IF(Backend!AN103="", "", Backend!AN103)</f>
        <v/>
      </c>
      <c r="AN76" t="str">
        <f>IF(Backend!AO103="", "", Backend!AO103)</f>
        <v/>
      </c>
      <c r="AO76" t="str">
        <f>IF(Backend!AP103="", "", Backend!AP103)</f>
        <v/>
      </c>
      <c r="AP76" t="str">
        <f>IF(Backend!AQ103="", "", Backend!AQ103)</f>
        <v/>
      </c>
      <c r="AQ76" t="str">
        <f>IF(Backend!AR103="", "", Backend!AR103)</f>
        <v/>
      </c>
      <c r="AR76" t="str">
        <f>IF(Backend!AS103="", "", Backend!AS103)</f>
        <v/>
      </c>
      <c r="AS76" t="str">
        <f>IF(Backend!AT103="", "", Backend!AT103)</f>
        <v/>
      </c>
      <c r="AT76" t="str">
        <f>IF(Backend!AU103="", "", Backend!AU103)</f>
        <v/>
      </c>
      <c r="AU76" t="str">
        <f>IF(Backend!AV103="", "", Backend!AV103)</f>
        <v/>
      </c>
      <c r="AV76" t="str">
        <f>IF(Backend!AW103="", "", Backend!AW103)</f>
        <v/>
      </c>
      <c r="AW76" t="str">
        <f>IF(Backend!AX103="", "", Backend!AX103)</f>
        <v/>
      </c>
      <c r="AX76" t="str">
        <f>IF(Backend!AY103="", "", Backend!AY103)</f>
        <v/>
      </c>
      <c r="AY76" t="str">
        <f>IF(Backend!AZ103="", "", Backend!AZ103)</f>
        <v/>
      </c>
      <c r="AZ76" t="str">
        <f>IF(Backend!BA103="", "", Backend!BA103)</f>
        <v/>
      </c>
      <c r="BA76" t="str">
        <f>IF(Backend!BB103="", "", Backend!BB103)</f>
        <v/>
      </c>
      <c r="BB76" t="str">
        <f>IF(Backend!BC103="", "", Backend!BC103)</f>
        <v/>
      </c>
      <c r="BC76" t="str">
        <f>IF(Backend!BD103="", "", Backend!BD103)</f>
        <v/>
      </c>
      <c r="BD76" t="str">
        <f>IF(Backend!BE103="", "", Backend!BE103)</f>
        <v/>
      </c>
      <c r="BE76" t="str">
        <f>IF(Backend!BF103="", "", Backend!BF103)</f>
        <v/>
      </c>
      <c r="BF76" t="str">
        <f>IF(Backend!BG103="", "", Backend!BG103)</f>
        <v/>
      </c>
      <c r="BG76" t="str">
        <f>IF(Backend!BH103="", "", Backend!BH103)</f>
        <v/>
      </c>
      <c r="BH76" t="str">
        <f>IF(Backend!BI103="", "", Backend!BI103)</f>
        <v/>
      </c>
      <c r="BI76" t="str">
        <f>IF(Backend!BJ103="", "", Backend!BJ103)</f>
        <v/>
      </c>
      <c r="BJ76" t="str">
        <f>IF(Backend!BK103="", "", Backend!BK103)</f>
        <v/>
      </c>
      <c r="BK76" t="str">
        <f>IF(Backend!BL103="", "", Backend!BL103)</f>
        <v/>
      </c>
      <c r="BL76" t="str">
        <f>IF(Backend!BM103="", "", Backend!BM103)</f>
        <v/>
      </c>
      <c r="BM76" t="str">
        <f>IF(Backend!BN103="", "", Backend!BN103)</f>
        <v/>
      </c>
      <c r="BN76" t="str">
        <f>IF(Backend!BO103="", "", Backend!BO103)</f>
        <v/>
      </c>
      <c r="BO76" t="str">
        <f>IF(Backend!BP103="", "", Backend!BP103)</f>
        <v/>
      </c>
      <c r="BP76" t="str">
        <f>IF(Backend!BQ103="", "", Backend!BQ103)</f>
        <v/>
      </c>
      <c r="BQ76" t="str">
        <f>IF(Backend!BR103="", "", Backend!BR103)</f>
        <v/>
      </c>
      <c r="BR76" t="str">
        <f>IF(Backend!BS103="", "", Backend!BS103)</f>
        <v/>
      </c>
      <c r="BS76" t="str">
        <f>IF(Backend!BT103="", "", Backend!BT103)</f>
        <v/>
      </c>
      <c r="BT76" t="str">
        <f>IF(Backend!BU103="", "", Backend!BU103)</f>
        <v/>
      </c>
      <c r="BU76" t="str">
        <f>IF(Backend!BV103="", "", Backend!BV103)</f>
        <v/>
      </c>
      <c r="BV76" t="str">
        <f>IF(Backend!BW103="", "", Backend!BW103)</f>
        <v/>
      </c>
      <c r="BW76" t="str">
        <f>IF(Backend!BX103="", "", Backend!BX103)</f>
        <v/>
      </c>
      <c r="BX76" t="str">
        <f>IF(Backend!BY103="", "", Backend!BY103)</f>
        <v/>
      </c>
      <c r="BY76" t="str">
        <f>IF(Backend!BZ103="", "", Backend!BZ103)</f>
        <v/>
      </c>
      <c r="BZ76" t="str">
        <f>IF(Backend!CA103="", "", Backend!CA103)</f>
        <v/>
      </c>
      <c r="CA76" t="str">
        <f>IF(Backend!CB103="", "", Backend!CB103)</f>
        <v/>
      </c>
      <c r="CB76" t="str">
        <f>IF(Backend!CC103="", "", Backend!CC103)</f>
        <v/>
      </c>
      <c r="CC76" t="str">
        <f>IF(Backend!CD103="", "", Backend!CD103)</f>
        <v/>
      </c>
    </row>
    <row r="77" spans="1:81" x14ac:dyDescent="0.25">
      <c r="A77" s="4" t="str">
        <f>IF(Backend!A104="", "", Backend!A104)</f>
        <v/>
      </c>
      <c r="B77" t="str">
        <f>IF(Backend!C104="", "", Backend!C104)</f>
        <v/>
      </c>
      <c r="C77" t="str">
        <f>IF(Backend!D104="", "", Backend!D104)</f>
        <v/>
      </c>
      <c r="D77" t="str">
        <f>IF(Backend!E104="", "", Backend!E104)</f>
        <v/>
      </c>
      <c r="E77" t="str">
        <f>IF(Backend!F104="", "", Backend!F104)</f>
        <v/>
      </c>
      <c r="F77" t="str">
        <f>IF(Backend!G104="", "", Backend!G104)</f>
        <v/>
      </c>
      <c r="G77" t="str">
        <f>IF(Backend!H104="", "", Backend!H104)</f>
        <v/>
      </c>
      <c r="H77" t="str">
        <f>IF(Backend!I104="", "", Backend!I104)</f>
        <v/>
      </c>
      <c r="I77" t="str">
        <f>IF(Backend!J104="", "", Backend!J104)</f>
        <v/>
      </c>
      <c r="J77" t="str">
        <f>IF(Backend!K104="", "", Backend!K104)</f>
        <v/>
      </c>
      <c r="K77" t="str">
        <f>IF(Backend!L104="", "", Backend!L104)</f>
        <v/>
      </c>
      <c r="L77" t="str">
        <f>IF(Backend!M104="", "", Backend!M104)</f>
        <v/>
      </c>
      <c r="M77" t="str">
        <f>IF(Backend!N104="", "", Backend!N104)</f>
        <v/>
      </c>
      <c r="N77" t="str">
        <f>IF(Backend!O104="", "", Backend!O104)</f>
        <v/>
      </c>
      <c r="O77" t="str">
        <f>IF(Backend!P104="", "", Backend!P104)</f>
        <v/>
      </c>
      <c r="P77" t="str">
        <f>IF(Backend!Q104="", "", Backend!Q104)</f>
        <v/>
      </c>
      <c r="Q77" t="str">
        <f>IF(Backend!R104="", "", Backend!R104)</f>
        <v/>
      </c>
      <c r="R77" t="str">
        <f>IF(Backend!S104="", "", Backend!S104)</f>
        <v/>
      </c>
      <c r="S77" t="str">
        <f>IF(Backend!T104="", "", Backend!T104)</f>
        <v/>
      </c>
      <c r="T77" t="str">
        <f>IF(Backend!U104="", "", Backend!U104)</f>
        <v/>
      </c>
      <c r="U77" t="str">
        <f>IF(Backend!V104="", "", Backend!V104)</f>
        <v/>
      </c>
      <c r="V77" t="str">
        <f>IF(Backend!W104="", "", Backend!W104)</f>
        <v/>
      </c>
      <c r="W77" t="str">
        <f>IF(Backend!X104="", "", Backend!X104)</f>
        <v/>
      </c>
      <c r="X77" t="str">
        <f>IF(Backend!Y104="", "", Backend!Y104)</f>
        <v/>
      </c>
      <c r="Y77" t="str">
        <f>IF(Backend!Z104="", "", Backend!Z104)</f>
        <v/>
      </c>
      <c r="Z77" t="str">
        <f>IF(Backend!AA104="", "", Backend!AA104)</f>
        <v/>
      </c>
      <c r="AA77" t="str">
        <f>IF(Backend!AB104="", "", Backend!AB104)</f>
        <v/>
      </c>
      <c r="AB77" t="str">
        <f>IF(Backend!AC104="", "", Backend!AC104)</f>
        <v/>
      </c>
      <c r="AC77" t="str">
        <f>IF(Backend!AD104="", "", Backend!AD104)</f>
        <v/>
      </c>
      <c r="AD77" t="str">
        <f>IF(Backend!AE104="", "", Backend!AE104)</f>
        <v/>
      </c>
      <c r="AE77" t="str">
        <f>IF(Backend!AF104="", "", Backend!AF104)</f>
        <v/>
      </c>
      <c r="AF77" t="str">
        <f>IF(Backend!AG104="", "", Backend!AG104)</f>
        <v/>
      </c>
      <c r="AG77" t="str">
        <f>IF(Backend!AH104="", "", Backend!AH104)</f>
        <v/>
      </c>
      <c r="AH77" t="str">
        <f>IF(Backend!AI104="", "", Backend!AI104)</f>
        <v/>
      </c>
      <c r="AI77" t="str">
        <f>IF(Backend!AJ104="", "", Backend!AJ104)</f>
        <v/>
      </c>
      <c r="AJ77" t="str">
        <f>IF(Backend!AK104="", "", Backend!AK104)</f>
        <v/>
      </c>
      <c r="AK77" t="str">
        <f>IF(Backend!AL104="", "", Backend!AL104)</f>
        <v/>
      </c>
      <c r="AL77" t="str">
        <f>IF(Backend!AM104="", "", Backend!AM104)</f>
        <v/>
      </c>
      <c r="AM77" t="str">
        <f>IF(Backend!AN104="", "", Backend!AN104)</f>
        <v/>
      </c>
      <c r="AN77" t="str">
        <f>IF(Backend!AO104="", "", Backend!AO104)</f>
        <v/>
      </c>
      <c r="AO77" t="str">
        <f>IF(Backend!AP104="", "", Backend!AP104)</f>
        <v/>
      </c>
      <c r="AP77" t="str">
        <f>IF(Backend!AQ104="", "", Backend!AQ104)</f>
        <v/>
      </c>
      <c r="AQ77" t="str">
        <f>IF(Backend!AR104="", "", Backend!AR104)</f>
        <v/>
      </c>
      <c r="AR77" t="str">
        <f>IF(Backend!AS104="", "", Backend!AS104)</f>
        <v/>
      </c>
      <c r="AS77" t="str">
        <f>IF(Backend!AT104="", "", Backend!AT104)</f>
        <v/>
      </c>
      <c r="AT77" t="str">
        <f>IF(Backend!AU104="", "", Backend!AU104)</f>
        <v/>
      </c>
      <c r="AU77" t="str">
        <f>IF(Backend!AV104="", "", Backend!AV104)</f>
        <v/>
      </c>
      <c r="AV77" t="str">
        <f>IF(Backend!AW104="", "", Backend!AW104)</f>
        <v/>
      </c>
      <c r="AW77" t="str">
        <f>IF(Backend!AX104="", "", Backend!AX104)</f>
        <v/>
      </c>
      <c r="AX77" t="str">
        <f>IF(Backend!AY104="", "", Backend!AY104)</f>
        <v/>
      </c>
      <c r="AY77" t="str">
        <f>IF(Backend!AZ104="", "", Backend!AZ104)</f>
        <v/>
      </c>
      <c r="AZ77" t="str">
        <f>IF(Backend!BA104="", "", Backend!BA104)</f>
        <v/>
      </c>
      <c r="BA77" t="str">
        <f>IF(Backend!BB104="", "", Backend!BB104)</f>
        <v/>
      </c>
      <c r="BB77" t="str">
        <f>IF(Backend!BC104="", "", Backend!BC104)</f>
        <v/>
      </c>
      <c r="BC77" t="str">
        <f>IF(Backend!BD104="", "", Backend!BD104)</f>
        <v/>
      </c>
      <c r="BD77" t="str">
        <f>IF(Backend!BE104="", "", Backend!BE104)</f>
        <v/>
      </c>
      <c r="BE77" t="str">
        <f>IF(Backend!BF104="", "", Backend!BF104)</f>
        <v/>
      </c>
      <c r="BF77" t="str">
        <f>IF(Backend!BG104="", "", Backend!BG104)</f>
        <v/>
      </c>
      <c r="BG77" t="str">
        <f>IF(Backend!BH104="", "", Backend!BH104)</f>
        <v/>
      </c>
      <c r="BH77" t="str">
        <f>IF(Backend!BI104="", "", Backend!BI104)</f>
        <v/>
      </c>
      <c r="BI77" t="str">
        <f>IF(Backend!BJ104="", "", Backend!BJ104)</f>
        <v/>
      </c>
      <c r="BJ77" t="str">
        <f>IF(Backend!BK104="", "", Backend!BK104)</f>
        <v/>
      </c>
      <c r="BK77" t="str">
        <f>IF(Backend!BL104="", "", Backend!BL104)</f>
        <v/>
      </c>
      <c r="BL77" t="str">
        <f>IF(Backend!BM104="", "", Backend!BM104)</f>
        <v/>
      </c>
      <c r="BM77" t="str">
        <f>IF(Backend!BN104="", "", Backend!BN104)</f>
        <v/>
      </c>
      <c r="BN77" t="str">
        <f>IF(Backend!BO104="", "", Backend!BO104)</f>
        <v/>
      </c>
      <c r="BO77" t="str">
        <f>IF(Backend!BP104="", "", Backend!BP104)</f>
        <v/>
      </c>
      <c r="BP77" t="str">
        <f>IF(Backend!BQ104="", "", Backend!BQ104)</f>
        <v/>
      </c>
      <c r="BQ77" t="str">
        <f>IF(Backend!BR104="", "", Backend!BR104)</f>
        <v/>
      </c>
      <c r="BR77" t="str">
        <f>IF(Backend!BS104="", "", Backend!BS104)</f>
        <v/>
      </c>
      <c r="BS77" t="str">
        <f>IF(Backend!BT104="", "", Backend!BT104)</f>
        <v/>
      </c>
      <c r="BT77" t="str">
        <f>IF(Backend!BU104="", "", Backend!BU104)</f>
        <v/>
      </c>
      <c r="BU77" t="str">
        <f>IF(Backend!BV104="", "", Backend!BV104)</f>
        <v/>
      </c>
      <c r="BV77" t="str">
        <f>IF(Backend!BW104="", "", Backend!BW104)</f>
        <v/>
      </c>
      <c r="BW77" t="str">
        <f>IF(Backend!BX104="", "", Backend!BX104)</f>
        <v/>
      </c>
      <c r="BX77" t="str">
        <f>IF(Backend!BY104="", "", Backend!BY104)</f>
        <v/>
      </c>
      <c r="BY77" t="str">
        <f>IF(Backend!BZ104="", "", Backend!BZ104)</f>
        <v/>
      </c>
      <c r="BZ77" t="str">
        <f>IF(Backend!CA104="", "", Backend!CA104)</f>
        <v/>
      </c>
      <c r="CA77" t="str">
        <f>IF(Backend!CB104="", "", Backend!CB104)</f>
        <v/>
      </c>
      <c r="CB77" t="str">
        <f>IF(Backend!CC104="", "", Backend!CC104)</f>
        <v/>
      </c>
      <c r="CC77" t="str">
        <f>IF(Backend!CD104="", "", Backend!CD104)</f>
        <v/>
      </c>
    </row>
    <row r="78" spans="1:81" x14ac:dyDescent="0.25">
      <c r="A78" s="4" t="str">
        <f>IF(Backend!A105="", "", Backend!A105)</f>
        <v/>
      </c>
      <c r="B78" t="str">
        <f>IF(Backend!C105="", "", Backend!C105)</f>
        <v/>
      </c>
      <c r="C78" t="str">
        <f>IF(Backend!D105="", "", Backend!D105)</f>
        <v/>
      </c>
      <c r="D78" t="str">
        <f>IF(Backend!E105="", "", Backend!E105)</f>
        <v/>
      </c>
      <c r="E78" t="str">
        <f>IF(Backend!F105="", "", Backend!F105)</f>
        <v/>
      </c>
      <c r="F78" t="str">
        <f>IF(Backend!G105="", "", Backend!G105)</f>
        <v/>
      </c>
      <c r="G78" t="str">
        <f>IF(Backend!H105="", "", Backend!H105)</f>
        <v/>
      </c>
      <c r="H78" t="str">
        <f>IF(Backend!I105="", "", Backend!I105)</f>
        <v/>
      </c>
      <c r="I78" t="str">
        <f>IF(Backend!J105="", "", Backend!J105)</f>
        <v/>
      </c>
      <c r="J78" t="str">
        <f>IF(Backend!K105="", "", Backend!K105)</f>
        <v/>
      </c>
      <c r="K78" t="str">
        <f>IF(Backend!L105="", "", Backend!L105)</f>
        <v/>
      </c>
      <c r="L78" t="str">
        <f>IF(Backend!M105="", "", Backend!M105)</f>
        <v/>
      </c>
      <c r="M78" t="str">
        <f>IF(Backend!N105="", "", Backend!N105)</f>
        <v/>
      </c>
      <c r="N78" t="str">
        <f>IF(Backend!O105="", "", Backend!O105)</f>
        <v/>
      </c>
      <c r="O78" t="str">
        <f>IF(Backend!P105="", "", Backend!P105)</f>
        <v/>
      </c>
      <c r="P78" t="str">
        <f>IF(Backend!Q105="", "", Backend!Q105)</f>
        <v/>
      </c>
      <c r="Q78" t="str">
        <f>IF(Backend!R105="", "", Backend!R105)</f>
        <v/>
      </c>
      <c r="R78" t="str">
        <f>IF(Backend!S105="", "", Backend!S105)</f>
        <v/>
      </c>
      <c r="S78" t="str">
        <f>IF(Backend!T105="", "", Backend!T105)</f>
        <v/>
      </c>
      <c r="T78" t="str">
        <f>IF(Backend!U105="", "", Backend!U105)</f>
        <v/>
      </c>
      <c r="U78" t="str">
        <f>IF(Backend!V105="", "", Backend!V105)</f>
        <v/>
      </c>
      <c r="V78" t="str">
        <f>IF(Backend!W105="", "", Backend!W105)</f>
        <v/>
      </c>
      <c r="W78" t="str">
        <f>IF(Backend!X105="", "", Backend!X105)</f>
        <v/>
      </c>
      <c r="X78" t="str">
        <f>IF(Backend!Y105="", "", Backend!Y105)</f>
        <v/>
      </c>
      <c r="Y78" t="str">
        <f>IF(Backend!Z105="", "", Backend!Z105)</f>
        <v/>
      </c>
      <c r="Z78" t="str">
        <f>IF(Backend!AA105="", "", Backend!AA105)</f>
        <v/>
      </c>
      <c r="AA78" t="str">
        <f>IF(Backend!AB105="", "", Backend!AB105)</f>
        <v/>
      </c>
      <c r="AB78" t="str">
        <f>IF(Backend!AC105="", "", Backend!AC105)</f>
        <v/>
      </c>
      <c r="AC78" t="str">
        <f>IF(Backend!AD105="", "", Backend!AD105)</f>
        <v/>
      </c>
      <c r="AD78" t="str">
        <f>IF(Backend!AE105="", "", Backend!AE105)</f>
        <v/>
      </c>
      <c r="AE78" t="str">
        <f>IF(Backend!AF105="", "", Backend!AF105)</f>
        <v/>
      </c>
      <c r="AF78" t="str">
        <f>IF(Backend!AG105="", "", Backend!AG105)</f>
        <v/>
      </c>
      <c r="AG78" t="str">
        <f>IF(Backend!AH105="", "", Backend!AH105)</f>
        <v/>
      </c>
      <c r="AH78" t="str">
        <f>IF(Backend!AI105="", "", Backend!AI105)</f>
        <v/>
      </c>
      <c r="AI78" t="str">
        <f>IF(Backend!AJ105="", "", Backend!AJ105)</f>
        <v/>
      </c>
      <c r="AJ78" t="str">
        <f>IF(Backend!AK105="", "", Backend!AK105)</f>
        <v/>
      </c>
      <c r="AK78" t="str">
        <f>IF(Backend!AL105="", "", Backend!AL105)</f>
        <v/>
      </c>
      <c r="AL78" t="str">
        <f>IF(Backend!AM105="", "", Backend!AM105)</f>
        <v/>
      </c>
      <c r="AM78" t="str">
        <f>IF(Backend!AN105="", "", Backend!AN105)</f>
        <v/>
      </c>
      <c r="AN78" t="str">
        <f>IF(Backend!AO105="", "", Backend!AO105)</f>
        <v/>
      </c>
      <c r="AO78" t="str">
        <f>IF(Backend!AP105="", "", Backend!AP105)</f>
        <v/>
      </c>
      <c r="AP78" t="str">
        <f>IF(Backend!AQ105="", "", Backend!AQ105)</f>
        <v/>
      </c>
      <c r="AQ78" t="str">
        <f>IF(Backend!AR105="", "", Backend!AR105)</f>
        <v/>
      </c>
      <c r="AR78" t="str">
        <f>IF(Backend!AS105="", "", Backend!AS105)</f>
        <v/>
      </c>
      <c r="AS78" t="str">
        <f>IF(Backend!AT105="", "", Backend!AT105)</f>
        <v/>
      </c>
      <c r="AT78" t="str">
        <f>IF(Backend!AU105="", "", Backend!AU105)</f>
        <v/>
      </c>
      <c r="AU78" t="str">
        <f>IF(Backend!AV105="", "", Backend!AV105)</f>
        <v/>
      </c>
      <c r="AV78" t="str">
        <f>IF(Backend!AW105="", "", Backend!AW105)</f>
        <v/>
      </c>
      <c r="AW78" t="str">
        <f>IF(Backend!AX105="", "", Backend!AX105)</f>
        <v/>
      </c>
      <c r="AX78" t="str">
        <f>IF(Backend!AY105="", "", Backend!AY105)</f>
        <v/>
      </c>
      <c r="AY78" t="str">
        <f>IF(Backend!AZ105="", "", Backend!AZ105)</f>
        <v/>
      </c>
      <c r="AZ78" t="str">
        <f>IF(Backend!BA105="", "", Backend!BA105)</f>
        <v/>
      </c>
      <c r="BA78" t="str">
        <f>IF(Backend!BB105="", "", Backend!BB105)</f>
        <v/>
      </c>
      <c r="BB78" t="str">
        <f>IF(Backend!BC105="", "", Backend!BC105)</f>
        <v/>
      </c>
      <c r="BC78" t="str">
        <f>IF(Backend!BD105="", "", Backend!BD105)</f>
        <v/>
      </c>
      <c r="BD78" t="str">
        <f>IF(Backend!BE105="", "", Backend!BE105)</f>
        <v/>
      </c>
      <c r="BE78" t="str">
        <f>IF(Backend!BF105="", "", Backend!BF105)</f>
        <v/>
      </c>
      <c r="BF78" t="str">
        <f>IF(Backend!BG105="", "", Backend!BG105)</f>
        <v/>
      </c>
      <c r="BG78" t="str">
        <f>IF(Backend!BH105="", "", Backend!BH105)</f>
        <v/>
      </c>
      <c r="BH78" t="str">
        <f>IF(Backend!BI105="", "", Backend!BI105)</f>
        <v/>
      </c>
      <c r="BI78" t="str">
        <f>IF(Backend!BJ105="", "", Backend!BJ105)</f>
        <v/>
      </c>
      <c r="BJ78" t="str">
        <f>IF(Backend!BK105="", "", Backend!BK105)</f>
        <v/>
      </c>
      <c r="BK78" t="str">
        <f>IF(Backend!BL105="", "", Backend!BL105)</f>
        <v/>
      </c>
      <c r="BL78" t="str">
        <f>IF(Backend!BM105="", "", Backend!BM105)</f>
        <v/>
      </c>
      <c r="BM78" t="str">
        <f>IF(Backend!BN105="", "", Backend!BN105)</f>
        <v/>
      </c>
      <c r="BN78" t="str">
        <f>IF(Backend!BO105="", "", Backend!BO105)</f>
        <v/>
      </c>
      <c r="BO78" t="str">
        <f>IF(Backend!BP105="", "", Backend!BP105)</f>
        <v/>
      </c>
      <c r="BP78" t="str">
        <f>IF(Backend!BQ105="", "", Backend!BQ105)</f>
        <v/>
      </c>
      <c r="BQ78" t="str">
        <f>IF(Backend!BR105="", "", Backend!BR105)</f>
        <v/>
      </c>
      <c r="BR78" t="str">
        <f>IF(Backend!BS105="", "", Backend!BS105)</f>
        <v/>
      </c>
      <c r="BS78" t="str">
        <f>IF(Backend!BT105="", "", Backend!BT105)</f>
        <v/>
      </c>
      <c r="BT78" t="str">
        <f>IF(Backend!BU105="", "", Backend!BU105)</f>
        <v/>
      </c>
      <c r="BU78" t="str">
        <f>IF(Backend!BV105="", "", Backend!BV105)</f>
        <v/>
      </c>
      <c r="BV78" t="str">
        <f>IF(Backend!BW105="", "", Backend!BW105)</f>
        <v/>
      </c>
      <c r="BW78" t="str">
        <f>IF(Backend!BX105="", "", Backend!BX105)</f>
        <v/>
      </c>
      <c r="BX78" t="str">
        <f>IF(Backend!BY105="", "", Backend!BY105)</f>
        <v/>
      </c>
      <c r="BY78" t="str">
        <f>IF(Backend!BZ105="", "", Backend!BZ105)</f>
        <v/>
      </c>
      <c r="BZ78" t="str">
        <f>IF(Backend!CA105="", "", Backend!CA105)</f>
        <v/>
      </c>
      <c r="CA78" t="str">
        <f>IF(Backend!CB105="", "", Backend!CB105)</f>
        <v/>
      </c>
      <c r="CB78" t="str">
        <f>IF(Backend!CC105="", "", Backend!CC105)</f>
        <v/>
      </c>
      <c r="CC78" t="str">
        <f>IF(Backend!CD105="", "", Backend!CD105)</f>
        <v/>
      </c>
    </row>
    <row r="79" spans="1:81" x14ac:dyDescent="0.25">
      <c r="A79" s="4" t="str">
        <f>IF(Backend!A106="", "", Backend!A106)</f>
        <v/>
      </c>
      <c r="B79" t="str">
        <f>IF(Backend!C106="", "", Backend!C106)</f>
        <v/>
      </c>
      <c r="C79" t="str">
        <f>IF(Backend!D106="", "", Backend!D106)</f>
        <v/>
      </c>
      <c r="D79" t="str">
        <f>IF(Backend!E106="", "", Backend!E106)</f>
        <v/>
      </c>
      <c r="E79" t="str">
        <f>IF(Backend!F106="", "", Backend!F106)</f>
        <v/>
      </c>
      <c r="F79" t="str">
        <f>IF(Backend!G106="", "", Backend!G106)</f>
        <v/>
      </c>
      <c r="G79" t="str">
        <f>IF(Backend!H106="", "", Backend!H106)</f>
        <v/>
      </c>
      <c r="H79" t="str">
        <f>IF(Backend!I106="", "", Backend!I106)</f>
        <v/>
      </c>
      <c r="I79" t="str">
        <f>IF(Backend!J106="", "", Backend!J106)</f>
        <v/>
      </c>
      <c r="J79" t="str">
        <f>IF(Backend!K106="", "", Backend!K106)</f>
        <v/>
      </c>
      <c r="K79" t="str">
        <f>IF(Backend!L106="", "", Backend!L106)</f>
        <v/>
      </c>
      <c r="L79" t="str">
        <f>IF(Backend!M106="", "", Backend!M106)</f>
        <v/>
      </c>
      <c r="M79" t="str">
        <f>IF(Backend!N106="", "", Backend!N106)</f>
        <v/>
      </c>
      <c r="N79" t="str">
        <f>IF(Backend!O106="", "", Backend!O106)</f>
        <v/>
      </c>
      <c r="O79" t="str">
        <f>IF(Backend!P106="", "", Backend!P106)</f>
        <v/>
      </c>
      <c r="P79" t="str">
        <f>IF(Backend!Q106="", "", Backend!Q106)</f>
        <v/>
      </c>
      <c r="Q79" t="str">
        <f>IF(Backend!R106="", "", Backend!R106)</f>
        <v/>
      </c>
      <c r="R79" t="str">
        <f>IF(Backend!S106="", "", Backend!S106)</f>
        <v/>
      </c>
      <c r="S79" t="str">
        <f>IF(Backend!T106="", "", Backend!T106)</f>
        <v/>
      </c>
      <c r="T79" t="str">
        <f>IF(Backend!U106="", "", Backend!U106)</f>
        <v/>
      </c>
      <c r="U79" t="str">
        <f>IF(Backend!V106="", "", Backend!V106)</f>
        <v/>
      </c>
      <c r="V79" t="str">
        <f>IF(Backend!W106="", "", Backend!W106)</f>
        <v/>
      </c>
      <c r="W79" t="str">
        <f>IF(Backend!X106="", "", Backend!X106)</f>
        <v/>
      </c>
      <c r="X79" t="str">
        <f>IF(Backend!Y106="", "", Backend!Y106)</f>
        <v/>
      </c>
      <c r="Y79" t="str">
        <f>IF(Backend!Z106="", "", Backend!Z106)</f>
        <v/>
      </c>
      <c r="Z79" t="str">
        <f>IF(Backend!AA106="", "", Backend!AA106)</f>
        <v/>
      </c>
      <c r="AA79" t="str">
        <f>IF(Backend!AB106="", "", Backend!AB106)</f>
        <v/>
      </c>
      <c r="AB79" t="str">
        <f>IF(Backend!AC106="", "", Backend!AC106)</f>
        <v/>
      </c>
      <c r="AC79" t="str">
        <f>IF(Backend!AD106="", "", Backend!AD106)</f>
        <v/>
      </c>
      <c r="AD79" t="str">
        <f>IF(Backend!AE106="", "", Backend!AE106)</f>
        <v/>
      </c>
      <c r="AE79" t="str">
        <f>IF(Backend!AF106="", "", Backend!AF106)</f>
        <v/>
      </c>
      <c r="AF79" t="str">
        <f>IF(Backend!AG106="", "", Backend!AG106)</f>
        <v/>
      </c>
      <c r="AG79" t="str">
        <f>IF(Backend!AH106="", "", Backend!AH106)</f>
        <v/>
      </c>
      <c r="AH79" t="str">
        <f>IF(Backend!AI106="", "", Backend!AI106)</f>
        <v/>
      </c>
      <c r="AI79" t="str">
        <f>IF(Backend!AJ106="", "", Backend!AJ106)</f>
        <v/>
      </c>
      <c r="AJ79" t="str">
        <f>IF(Backend!AK106="", "", Backend!AK106)</f>
        <v/>
      </c>
      <c r="AK79" t="str">
        <f>IF(Backend!AL106="", "", Backend!AL106)</f>
        <v/>
      </c>
      <c r="AL79" t="str">
        <f>IF(Backend!AM106="", "", Backend!AM106)</f>
        <v/>
      </c>
      <c r="AM79" t="str">
        <f>IF(Backend!AN106="", "", Backend!AN106)</f>
        <v/>
      </c>
      <c r="AN79" t="str">
        <f>IF(Backend!AO106="", "", Backend!AO106)</f>
        <v/>
      </c>
      <c r="AO79" t="str">
        <f>IF(Backend!AP106="", "", Backend!AP106)</f>
        <v/>
      </c>
      <c r="AP79" t="str">
        <f>IF(Backend!AQ106="", "", Backend!AQ106)</f>
        <v/>
      </c>
      <c r="AQ79" t="str">
        <f>IF(Backend!AR106="", "", Backend!AR106)</f>
        <v/>
      </c>
      <c r="AR79" t="str">
        <f>IF(Backend!AS106="", "", Backend!AS106)</f>
        <v/>
      </c>
      <c r="AS79" t="str">
        <f>IF(Backend!AT106="", "", Backend!AT106)</f>
        <v/>
      </c>
      <c r="AT79" t="str">
        <f>IF(Backend!AU106="", "", Backend!AU106)</f>
        <v/>
      </c>
      <c r="AU79" t="str">
        <f>IF(Backend!AV106="", "", Backend!AV106)</f>
        <v/>
      </c>
      <c r="AV79" t="str">
        <f>IF(Backend!AW106="", "", Backend!AW106)</f>
        <v/>
      </c>
      <c r="AW79" t="str">
        <f>IF(Backend!AX106="", "", Backend!AX106)</f>
        <v/>
      </c>
      <c r="AX79" t="str">
        <f>IF(Backend!AY106="", "", Backend!AY106)</f>
        <v/>
      </c>
      <c r="AY79" t="str">
        <f>IF(Backend!AZ106="", "", Backend!AZ106)</f>
        <v/>
      </c>
      <c r="AZ79" t="str">
        <f>IF(Backend!BA106="", "", Backend!BA106)</f>
        <v/>
      </c>
      <c r="BA79" t="str">
        <f>IF(Backend!BB106="", "", Backend!BB106)</f>
        <v/>
      </c>
      <c r="BB79" t="str">
        <f>IF(Backend!BC106="", "", Backend!BC106)</f>
        <v/>
      </c>
      <c r="BC79" t="str">
        <f>IF(Backend!BD106="", "", Backend!BD106)</f>
        <v/>
      </c>
      <c r="BD79" t="str">
        <f>IF(Backend!BE106="", "", Backend!BE106)</f>
        <v/>
      </c>
      <c r="BE79" t="str">
        <f>IF(Backend!BF106="", "", Backend!BF106)</f>
        <v/>
      </c>
      <c r="BF79" t="str">
        <f>IF(Backend!BG106="", "", Backend!BG106)</f>
        <v/>
      </c>
      <c r="BG79" t="str">
        <f>IF(Backend!BH106="", "", Backend!BH106)</f>
        <v/>
      </c>
      <c r="BH79" t="str">
        <f>IF(Backend!BI106="", "", Backend!BI106)</f>
        <v/>
      </c>
      <c r="BI79" t="str">
        <f>IF(Backend!BJ106="", "", Backend!BJ106)</f>
        <v/>
      </c>
      <c r="BJ79" t="str">
        <f>IF(Backend!BK106="", "", Backend!BK106)</f>
        <v/>
      </c>
      <c r="BK79" t="str">
        <f>IF(Backend!BL106="", "", Backend!BL106)</f>
        <v/>
      </c>
      <c r="BL79" t="str">
        <f>IF(Backend!BM106="", "", Backend!BM106)</f>
        <v/>
      </c>
      <c r="BM79" t="str">
        <f>IF(Backend!BN106="", "", Backend!BN106)</f>
        <v/>
      </c>
      <c r="BN79" t="str">
        <f>IF(Backend!BO106="", "", Backend!BO106)</f>
        <v/>
      </c>
      <c r="BO79" t="str">
        <f>IF(Backend!BP106="", "", Backend!BP106)</f>
        <v/>
      </c>
      <c r="BP79" t="str">
        <f>IF(Backend!BQ106="", "", Backend!BQ106)</f>
        <v/>
      </c>
      <c r="BQ79" t="str">
        <f>IF(Backend!BR106="", "", Backend!BR106)</f>
        <v/>
      </c>
      <c r="BR79" t="str">
        <f>IF(Backend!BS106="", "", Backend!BS106)</f>
        <v/>
      </c>
      <c r="BS79" t="str">
        <f>IF(Backend!BT106="", "", Backend!BT106)</f>
        <v/>
      </c>
      <c r="BT79" t="str">
        <f>IF(Backend!BU106="", "", Backend!BU106)</f>
        <v/>
      </c>
      <c r="BU79" t="str">
        <f>IF(Backend!BV106="", "", Backend!BV106)</f>
        <v/>
      </c>
      <c r="BV79" t="str">
        <f>IF(Backend!BW106="", "", Backend!BW106)</f>
        <v/>
      </c>
      <c r="BW79" t="str">
        <f>IF(Backend!BX106="", "", Backend!BX106)</f>
        <v/>
      </c>
      <c r="BX79" t="str">
        <f>IF(Backend!BY106="", "", Backend!BY106)</f>
        <v/>
      </c>
      <c r="BY79" t="str">
        <f>IF(Backend!BZ106="", "", Backend!BZ106)</f>
        <v/>
      </c>
      <c r="BZ79" t="str">
        <f>IF(Backend!CA106="", "", Backend!CA106)</f>
        <v/>
      </c>
      <c r="CA79" t="str">
        <f>IF(Backend!CB106="", "", Backend!CB106)</f>
        <v/>
      </c>
      <c r="CB79" t="str">
        <f>IF(Backend!CC106="", "", Backend!CC106)</f>
        <v/>
      </c>
      <c r="CC79" t="str">
        <f>IF(Backend!CD106="", "", Backend!CD106)</f>
        <v/>
      </c>
    </row>
    <row r="80" spans="1:81" x14ac:dyDescent="0.25">
      <c r="A80" s="4" t="str">
        <f>IF(Backend!A107="", "", Backend!A107)</f>
        <v/>
      </c>
      <c r="B80" t="str">
        <f>IF(Backend!C107="", "", Backend!C107)</f>
        <v/>
      </c>
      <c r="C80" t="str">
        <f>IF(Backend!D107="", "", Backend!D107)</f>
        <v/>
      </c>
      <c r="D80" t="str">
        <f>IF(Backend!E107="", "", Backend!E107)</f>
        <v/>
      </c>
      <c r="E80" t="str">
        <f>IF(Backend!F107="", "", Backend!F107)</f>
        <v/>
      </c>
      <c r="F80" t="str">
        <f>IF(Backend!G107="", "", Backend!G107)</f>
        <v/>
      </c>
      <c r="G80" t="str">
        <f>IF(Backend!H107="", "", Backend!H107)</f>
        <v/>
      </c>
      <c r="H80" t="str">
        <f>IF(Backend!I107="", "", Backend!I107)</f>
        <v/>
      </c>
      <c r="I80" t="str">
        <f>IF(Backend!J107="", "", Backend!J107)</f>
        <v/>
      </c>
      <c r="J80" t="str">
        <f>IF(Backend!K107="", "", Backend!K107)</f>
        <v/>
      </c>
      <c r="K80" t="str">
        <f>IF(Backend!L107="", "", Backend!L107)</f>
        <v/>
      </c>
      <c r="L80" t="str">
        <f>IF(Backend!M107="", "", Backend!M107)</f>
        <v/>
      </c>
      <c r="M80" t="str">
        <f>IF(Backend!N107="", "", Backend!N107)</f>
        <v/>
      </c>
      <c r="N80" t="str">
        <f>IF(Backend!O107="", "", Backend!O107)</f>
        <v/>
      </c>
      <c r="O80" t="str">
        <f>IF(Backend!P107="", "", Backend!P107)</f>
        <v/>
      </c>
      <c r="P80" t="str">
        <f>IF(Backend!Q107="", "", Backend!Q107)</f>
        <v/>
      </c>
      <c r="Q80" t="str">
        <f>IF(Backend!R107="", "", Backend!R107)</f>
        <v/>
      </c>
      <c r="R80" t="str">
        <f>IF(Backend!S107="", "", Backend!S107)</f>
        <v/>
      </c>
      <c r="S80" t="str">
        <f>IF(Backend!T107="", "", Backend!T107)</f>
        <v/>
      </c>
      <c r="T80" t="str">
        <f>IF(Backend!U107="", "", Backend!U107)</f>
        <v/>
      </c>
      <c r="U80" t="str">
        <f>IF(Backend!V107="", "", Backend!V107)</f>
        <v/>
      </c>
      <c r="V80" t="str">
        <f>IF(Backend!W107="", "", Backend!W107)</f>
        <v/>
      </c>
      <c r="W80" t="str">
        <f>IF(Backend!X107="", "", Backend!X107)</f>
        <v/>
      </c>
      <c r="X80" t="str">
        <f>IF(Backend!Y107="", "", Backend!Y107)</f>
        <v/>
      </c>
      <c r="Y80" t="str">
        <f>IF(Backend!Z107="", "", Backend!Z107)</f>
        <v/>
      </c>
      <c r="Z80" t="str">
        <f>IF(Backend!AA107="", "", Backend!AA107)</f>
        <v/>
      </c>
      <c r="AA80" t="str">
        <f>IF(Backend!AB107="", "", Backend!AB107)</f>
        <v/>
      </c>
      <c r="AB80" t="str">
        <f>IF(Backend!AC107="", "", Backend!AC107)</f>
        <v/>
      </c>
      <c r="AC80" t="str">
        <f>IF(Backend!AD107="", "", Backend!AD107)</f>
        <v/>
      </c>
      <c r="AD80" t="str">
        <f>IF(Backend!AE107="", "", Backend!AE107)</f>
        <v/>
      </c>
      <c r="AE80" t="str">
        <f>IF(Backend!AF107="", "", Backend!AF107)</f>
        <v/>
      </c>
      <c r="AF80" t="str">
        <f>IF(Backend!AG107="", "", Backend!AG107)</f>
        <v/>
      </c>
      <c r="AG80" t="str">
        <f>IF(Backend!AH107="", "", Backend!AH107)</f>
        <v/>
      </c>
      <c r="AH80" t="str">
        <f>IF(Backend!AI107="", "", Backend!AI107)</f>
        <v/>
      </c>
      <c r="AI80" t="str">
        <f>IF(Backend!AJ107="", "", Backend!AJ107)</f>
        <v/>
      </c>
      <c r="AJ80" t="str">
        <f>IF(Backend!AK107="", "", Backend!AK107)</f>
        <v/>
      </c>
      <c r="AK80" t="str">
        <f>IF(Backend!AL107="", "", Backend!AL107)</f>
        <v/>
      </c>
      <c r="AL80" t="str">
        <f>IF(Backend!AM107="", "", Backend!AM107)</f>
        <v/>
      </c>
      <c r="AM80" t="str">
        <f>IF(Backend!AN107="", "", Backend!AN107)</f>
        <v/>
      </c>
      <c r="AN80" t="str">
        <f>IF(Backend!AO107="", "", Backend!AO107)</f>
        <v/>
      </c>
      <c r="AO80" t="str">
        <f>IF(Backend!AP107="", "", Backend!AP107)</f>
        <v/>
      </c>
      <c r="AP80" t="str">
        <f>IF(Backend!AQ107="", "", Backend!AQ107)</f>
        <v/>
      </c>
      <c r="AQ80" t="str">
        <f>IF(Backend!AR107="", "", Backend!AR107)</f>
        <v/>
      </c>
      <c r="AR80" t="str">
        <f>IF(Backend!AS107="", "", Backend!AS107)</f>
        <v/>
      </c>
      <c r="AS80" t="str">
        <f>IF(Backend!AT107="", "", Backend!AT107)</f>
        <v/>
      </c>
      <c r="AT80" t="str">
        <f>IF(Backend!AU107="", "", Backend!AU107)</f>
        <v/>
      </c>
      <c r="AU80" t="str">
        <f>IF(Backend!AV107="", "", Backend!AV107)</f>
        <v/>
      </c>
      <c r="AV80" t="str">
        <f>IF(Backend!AW107="", "", Backend!AW107)</f>
        <v/>
      </c>
      <c r="AW80" t="str">
        <f>IF(Backend!AX107="", "", Backend!AX107)</f>
        <v/>
      </c>
      <c r="AX80" t="str">
        <f>IF(Backend!AY107="", "", Backend!AY107)</f>
        <v/>
      </c>
      <c r="AY80" t="str">
        <f>IF(Backend!AZ107="", "", Backend!AZ107)</f>
        <v/>
      </c>
      <c r="AZ80" t="str">
        <f>IF(Backend!BA107="", "", Backend!BA107)</f>
        <v/>
      </c>
      <c r="BA80" t="str">
        <f>IF(Backend!BB107="", "", Backend!BB107)</f>
        <v/>
      </c>
      <c r="BB80" t="str">
        <f>IF(Backend!BC107="", "", Backend!BC107)</f>
        <v/>
      </c>
      <c r="BC80" t="str">
        <f>IF(Backend!BD107="", "", Backend!BD107)</f>
        <v/>
      </c>
      <c r="BD80" t="str">
        <f>IF(Backend!BE107="", "", Backend!BE107)</f>
        <v/>
      </c>
      <c r="BE80" t="str">
        <f>IF(Backend!BF107="", "", Backend!BF107)</f>
        <v/>
      </c>
      <c r="BF80" t="str">
        <f>IF(Backend!BG107="", "", Backend!BG107)</f>
        <v/>
      </c>
      <c r="BG80" t="str">
        <f>IF(Backend!BH107="", "", Backend!BH107)</f>
        <v/>
      </c>
      <c r="BH80" t="str">
        <f>IF(Backend!BI107="", "", Backend!BI107)</f>
        <v/>
      </c>
      <c r="BI80" t="str">
        <f>IF(Backend!BJ107="", "", Backend!BJ107)</f>
        <v/>
      </c>
      <c r="BJ80" t="str">
        <f>IF(Backend!BK107="", "", Backend!BK107)</f>
        <v/>
      </c>
      <c r="BK80" t="str">
        <f>IF(Backend!BL107="", "", Backend!BL107)</f>
        <v/>
      </c>
      <c r="BL80" t="str">
        <f>IF(Backend!BM107="", "", Backend!BM107)</f>
        <v/>
      </c>
      <c r="BM80" t="str">
        <f>IF(Backend!BN107="", "", Backend!BN107)</f>
        <v/>
      </c>
      <c r="BN80" t="str">
        <f>IF(Backend!BO107="", "", Backend!BO107)</f>
        <v/>
      </c>
      <c r="BO80" t="str">
        <f>IF(Backend!BP107="", "", Backend!BP107)</f>
        <v/>
      </c>
      <c r="BP80" t="str">
        <f>IF(Backend!BQ107="", "", Backend!BQ107)</f>
        <v/>
      </c>
      <c r="BQ80" t="str">
        <f>IF(Backend!BR107="", "", Backend!BR107)</f>
        <v/>
      </c>
      <c r="BR80" t="str">
        <f>IF(Backend!BS107="", "", Backend!BS107)</f>
        <v/>
      </c>
      <c r="BS80" t="str">
        <f>IF(Backend!BT107="", "", Backend!BT107)</f>
        <v/>
      </c>
      <c r="BT80" t="str">
        <f>IF(Backend!BU107="", "", Backend!BU107)</f>
        <v/>
      </c>
      <c r="BU80" t="str">
        <f>IF(Backend!BV107="", "", Backend!BV107)</f>
        <v/>
      </c>
      <c r="BV80" t="str">
        <f>IF(Backend!BW107="", "", Backend!BW107)</f>
        <v/>
      </c>
      <c r="BW80" t="str">
        <f>IF(Backend!BX107="", "", Backend!BX107)</f>
        <v/>
      </c>
      <c r="BX80" t="str">
        <f>IF(Backend!BY107="", "", Backend!BY107)</f>
        <v/>
      </c>
      <c r="BY80" t="str">
        <f>IF(Backend!BZ107="", "", Backend!BZ107)</f>
        <v/>
      </c>
      <c r="BZ80" t="str">
        <f>IF(Backend!CA107="", "", Backend!CA107)</f>
        <v/>
      </c>
      <c r="CA80" t="str">
        <f>IF(Backend!CB107="", "", Backend!CB107)</f>
        <v/>
      </c>
      <c r="CB80" t="str">
        <f>IF(Backend!CC107="", "", Backend!CC107)</f>
        <v/>
      </c>
      <c r="CC80" t="str">
        <f>IF(Backend!CD107="", "", Backend!CD107)</f>
        <v/>
      </c>
    </row>
    <row r="81" spans="1:81" x14ac:dyDescent="0.25">
      <c r="A81" s="4" t="str">
        <f>IF(Backend!A108="", "", Backend!A108)</f>
        <v/>
      </c>
      <c r="B81" t="str">
        <f>IF(Backend!C108="", "", Backend!C108)</f>
        <v/>
      </c>
      <c r="C81" t="str">
        <f>IF(Backend!D108="", "", Backend!D108)</f>
        <v/>
      </c>
      <c r="D81" t="str">
        <f>IF(Backend!E108="", "", Backend!E108)</f>
        <v/>
      </c>
      <c r="E81" t="str">
        <f>IF(Backend!F108="", "", Backend!F108)</f>
        <v/>
      </c>
      <c r="F81" t="str">
        <f>IF(Backend!G108="", "", Backend!G108)</f>
        <v/>
      </c>
      <c r="G81" t="str">
        <f>IF(Backend!H108="", "", Backend!H108)</f>
        <v/>
      </c>
      <c r="H81" t="str">
        <f>IF(Backend!I108="", "", Backend!I108)</f>
        <v/>
      </c>
      <c r="I81" t="str">
        <f>IF(Backend!J108="", "", Backend!J108)</f>
        <v/>
      </c>
      <c r="J81" t="str">
        <f>IF(Backend!K108="", "", Backend!K108)</f>
        <v/>
      </c>
      <c r="K81" t="str">
        <f>IF(Backend!L108="", "", Backend!L108)</f>
        <v/>
      </c>
      <c r="L81" t="str">
        <f>IF(Backend!M108="", "", Backend!M108)</f>
        <v/>
      </c>
      <c r="M81" t="str">
        <f>IF(Backend!N108="", "", Backend!N108)</f>
        <v/>
      </c>
      <c r="N81" t="str">
        <f>IF(Backend!O108="", "", Backend!O108)</f>
        <v/>
      </c>
      <c r="O81" t="str">
        <f>IF(Backend!P108="", "", Backend!P108)</f>
        <v/>
      </c>
      <c r="P81" t="str">
        <f>IF(Backend!Q108="", "", Backend!Q108)</f>
        <v/>
      </c>
      <c r="Q81" t="str">
        <f>IF(Backend!R108="", "", Backend!R108)</f>
        <v/>
      </c>
      <c r="R81" t="str">
        <f>IF(Backend!S108="", "", Backend!S108)</f>
        <v/>
      </c>
      <c r="S81" t="str">
        <f>IF(Backend!T108="", "", Backend!T108)</f>
        <v/>
      </c>
      <c r="T81" t="str">
        <f>IF(Backend!U108="", "", Backend!U108)</f>
        <v/>
      </c>
      <c r="U81" t="str">
        <f>IF(Backend!V108="", "", Backend!V108)</f>
        <v/>
      </c>
      <c r="V81" t="str">
        <f>IF(Backend!W108="", "", Backend!W108)</f>
        <v/>
      </c>
      <c r="W81" t="str">
        <f>IF(Backend!X108="", "", Backend!X108)</f>
        <v/>
      </c>
      <c r="X81" t="str">
        <f>IF(Backend!Y108="", "", Backend!Y108)</f>
        <v/>
      </c>
      <c r="Y81" t="str">
        <f>IF(Backend!Z108="", "", Backend!Z108)</f>
        <v/>
      </c>
      <c r="Z81" t="str">
        <f>IF(Backend!AA108="", "", Backend!AA108)</f>
        <v/>
      </c>
      <c r="AA81" t="str">
        <f>IF(Backend!AB108="", "", Backend!AB108)</f>
        <v/>
      </c>
      <c r="AB81" t="str">
        <f>IF(Backend!AC108="", "", Backend!AC108)</f>
        <v/>
      </c>
      <c r="AC81" t="str">
        <f>IF(Backend!AD108="", "", Backend!AD108)</f>
        <v/>
      </c>
      <c r="AD81" t="str">
        <f>IF(Backend!AE108="", "", Backend!AE108)</f>
        <v/>
      </c>
      <c r="AE81" t="str">
        <f>IF(Backend!AF108="", "", Backend!AF108)</f>
        <v/>
      </c>
      <c r="AF81" t="str">
        <f>IF(Backend!AG108="", "", Backend!AG108)</f>
        <v/>
      </c>
      <c r="AG81" t="str">
        <f>IF(Backend!AH108="", "", Backend!AH108)</f>
        <v/>
      </c>
      <c r="AH81" t="str">
        <f>IF(Backend!AI108="", "", Backend!AI108)</f>
        <v/>
      </c>
      <c r="AI81" t="str">
        <f>IF(Backend!AJ108="", "", Backend!AJ108)</f>
        <v/>
      </c>
      <c r="AJ81" t="str">
        <f>IF(Backend!AK108="", "", Backend!AK108)</f>
        <v/>
      </c>
      <c r="AK81" t="str">
        <f>IF(Backend!AL108="", "", Backend!AL108)</f>
        <v/>
      </c>
      <c r="AL81" t="str">
        <f>IF(Backend!AM108="", "", Backend!AM108)</f>
        <v/>
      </c>
      <c r="AM81" t="str">
        <f>IF(Backend!AN108="", "", Backend!AN108)</f>
        <v/>
      </c>
      <c r="AN81" t="str">
        <f>IF(Backend!AO108="", "", Backend!AO108)</f>
        <v/>
      </c>
      <c r="AO81" t="str">
        <f>IF(Backend!AP108="", "", Backend!AP108)</f>
        <v/>
      </c>
      <c r="AP81" t="str">
        <f>IF(Backend!AQ108="", "", Backend!AQ108)</f>
        <v/>
      </c>
      <c r="AQ81" t="str">
        <f>IF(Backend!AR108="", "", Backend!AR108)</f>
        <v/>
      </c>
      <c r="AR81" t="str">
        <f>IF(Backend!AS108="", "", Backend!AS108)</f>
        <v/>
      </c>
      <c r="AS81" t="str">
        <f>IF(Backend!AT108="", "", Backend!AT108)</f>
        <v/>
      </c>
      <c r="AT81" t="str">
        <f>IF(Backend!AU108="", "", Backend!AU108)</f>
        <v/>
      </c>
      <c r="AU81" t="str">
        <f>IF(Backend!AV108="", "", Backend!AV108)</f>
        <v/>
      </c>
      <c r="AV81" t="str">
        <f>IF(Backend!AW108="", "", Backend!AW108)</f>
        <v/>
      </c>
      <c r="AW81" t="str">
        <f>IF(Backend!AX108="", "", Backend!AX108)</f>
        <v/>
      </c>
      <c r="AX81" t="str">
        <f>IF(Backend!AY108="", "", Backend!AY108)</f>
        <v/>
      </c>
      <c r="AY81" t="str">
        <f>IF(Backend!AZ108="", "", Backend!AZ108)</f>
        <v/>
      </c>
      <c r="AZ81" t="str">
        <f>IF(Backend!BA108="", "", Backend!BA108)</f>
        <v/>
      </c>
      <c r="BA81" t="str">
        <f>IF(Backend!BB108="", "", Backend!BB108)</f>
        <v/>
      </c>
      <c r="BB81" t="str">
        <f>IF(Backend!BC108="", "", Backend!BC108)</f>
        <v/>
      </c>
      <c r="BC81" t="str">
        <f>IF(Backend!BD108="", "", Backend!BD108)</f>
        <v/>
      </c>
      <c r="BD81" t="str">
        <f>IF(Backend!BE108="", "", Backend!BE108)</f>
        <v/>
      </c>
      <c r="BE81" t="str">
        <f>IF(Backend!BF108="", "", Backend!BF108)</f>
        <v/>
      </c>
      <c r="BF81" t="str">
        <f>IF(Backend!BG108="", "", Backend!BG108)</f>
        <v/>
      </c>
      <c r="BG81" t="str">
        <f>IF(Backend!BH108="", "", Backend!BH108)</f>
        <v/>
      </c>
      <c r="BH81" t="str">
        <f>IF(Backend!BI108="", "", Backend!BI108)</f>
        <v/>
      </c>
      <c r="BI81" t="str">
        <f>IF(Backend!BJ108="", "", Backend!BJ108)</f>
        <v/>
      </c>
      <c r="BJ81" t="str">
        <f>IF(Backend!BK108="", "", Backend!BK108)</f>
        <v/>
      </c>
      <c r="BK81" t="str">
        <f>IF(Backend!BL108="", "", Backend!BL108)</f>
        <v/>
      </c>
      <c r="BL81" t="str">
        <f>IF(Backend!BM108="", "", Backend!BM108)</f>
        <v/>
      </c>
      <c r="BM81" t="str">
        <f>IF(Backend!BN108="", "", Backend!BN108)</f>
        <v/>
      </c>
      <c r="BN81" t="str">
        <f>IF(Backend!BO108="", "", Backend!BO108)</f>
        <v/>
      </c>
      <c r="BO81" t="str">
        <f>IF(Backend!BP108="", "", Backend!BP108)</f>
        <v/>
      </c>
      <c r="BP81" t="str">
        <f>IF(Backend!BQ108="", "", Backend!BQ108)</f>
        <v/>
      </c>
      <c r="BQ81" t="str">
        <f>IF(Backend!BR108="", "", Backend!BR108)</f>
        <v/>
      </c>
      <c r="BR81" t="str">
        <f>IF(Backend!BS108="", "", Backend!BS108)</f>
        <v/>
      </c>
      <c r="BS81" t="str">
        <f>IF(Backend!BT108="", "", Backend!BT108)</f>
        <v/>
      </c>
      <c r="BT81" t="str">
        <f>IF(Backend!BU108="", "", Backend!BU108)</f>
        <v/>
      </c>
      <c r="BU81" t="str">
        <f>IF(Backend!BV108="", "", Backend!BV108)</f>
        <v/>
      </c>
      <c r="BV81" t="str">
        <f>IF(Backend!BW108="", "", Backend!BW108)</f>
        <v/>
      </c>
      <c r="BW81" t="str">
        <f>IF(Backend!BX108="", "", Backend!BX108)</f>
        <v/>
      </c>
      <c r="BX81" t="str">
        <f>IF(Backend!BY108="", "", Backend!BY108)</f>
        <v/>
      </c>
      <c r="BY81" t="str">
        <f>IF(Backend!BZ108="", "", Backend!BZ108)</f>
        <v/>
      </c>
      <c r="BZ81" t="str">
        <f>IF(Backend!CA108="", "", Backend!CA108)</f>
        <v/>
      </c>
      <c r="CA81" t="str">
        <f>IF(Backend!CB108="", "", Backend!CB108)</f>
        <v/>
      </c>
      <c r="CB81" t="str">
        <f>IF(Backend!CC108="", "", Backend!CC108)</f>
        <v/>
      </c>
      <c r="CC81" t="str">
        <f>IF(Backend!CD108="", "", Backend!CD108)</f>
        <v/>
      </c>
    </row>
    <row r="82" spans="1:81" x14ac:dyDescent="0.25">
      <c r="A82" s="4" t="str">
        <f>IF(Backend!A109="", "", Backend!A109)</f>
        <v/>
      </c>
      <c r="B82" t="str">
        <f>IF(Backend!C109="", "", Backend!C109)</f>
        <v/>
      </c>
      <c r="C82" t="str">
        <f>IF(Backend!D109="", "", Backend!D109)</f>
        <v/>
      </c>
      <c r="D82" t="str">
        <f>IF(Backend!E109="", "", Backend!E109)</f>
        <v/>
      </c>
      <c r="E82" t="str">
        <f>IF(Backend!F109="", "", Backend!F109)</f>
        <v/>
      </c>
      <c r="F82" t="str">
        <f>IF(Backend!G109="", "", Backend!G109)</f>
        <v/>
      </c>
      <c r="G82" t="str">
        <f>IF(Backend!H109="", "", Backend!H109)</f>
        <v/>
      </c>
      <c r="H82" t="str">
        <f>IF(Backend!I109="", "", Backend!I109)</f>
        <v/>
      </c>
      <c r="I82" t="str">
        <f>IF(Backend!J109="", "", Backend!J109)</f>
        <v/>
      </c>
      <c r="J82" t="str">
        <f>IF(Backend!K109="", "", Backend!K109)</f>
        <v/>
      </c>
      <c r="K82" t="str">
        <f>IF(Backend!L109="", "", Backend!L109)</f>
        <v/>
      </c>
      <c r="L82" t="str">
        <f>IF(Backend!M109="", "", Backend!M109)</f>
        <v/>
      </c>
      <c r="M82" t="str">
        <f>IF(Backend!N109="", "", Backend!N109)</f>
        <v/>
      </c>
      <c r="N82" t="str">
        <f>IF(Backend!O109="", "", Backend!O109)</f>
        <v/>
      </c>
      <c r="O82" t="str">
        <f>IF(Backend!P109="", "", Backend!P109)</f>
        <v/>
      </c>
      <c r="P82" t="str">
        <f>IF(Backend!Q109="", "", Backend!Q109)</f>
        <v/>
      </c>
      <c r="Q82" t="str">
        <f>IF(Backend!R109="", "", Backend!R109)</f>
        <v/>
      </c>
      <c r="R82" t="str">
        <f>IF(Backend!S109="", "", Backend!S109)</f>
        <v/>
      </c>
      <c r="S82" t="str">
        <f>IF(Backend!T109="", "", Backend!T109)</f>
        <v/>
      </c>
      <c r="T82" t="str">
        <f>IF(Backend!U109="", "", Backend!U109)</f>
        <v/>
      </c>
      <c r="U82" t="str">
        <f>IF(Backend!V109="", "", Backend!V109)</f>
        <v/>
      </c>
      <c r="V82" t="str">
        <f>IF(Backend!W109="", "", Backend!W109)</f>
        <v/>
      </c>
      <c r="W82" t="str">
        <f>IF(Backend!X109="", "", Backend!X109)</f>
        <v/>
      </c>
      <c r="X82" t="str">
        <f>IF(Backend!Y109="", "", Backend!Y109)</f>
        <v/>
      </c>
      <c r="Y82" t="str">
        <f>IF(Backend!Z109="", "", Backend!Z109)</f>
        <v/>
      </c>
      <c r="Z82" t="str">
        <f>IF(Backend!AA109="", "", Backend!AA109)</f>
        <v/>
      </c>
      <c r="AA82" t="str">
        <f>IF(Backend!AB109="", "", Backend!AB109)</f>
        <v/>
      </c>
      <c r="AB82" t="str">
        <f>IF(Backend!AC109="", "", Backend!AC109)</f>
        <v/>
      </c>
      <c r="AC82" t="str">
        <f>IF(Backend!AD109="", "", Backend!AD109)</f>
        <v/>
      </c>
      <c r="AD82" t="str">
        <f>IF(Backend!AE109="", "", Backend!AE109)</f>
        <v/>
      </c>
      <c r="AE82" t="str">
        <f>IF(Backend!AF109="", "", Backend!AF109)</f>
        <v/>
      </c>
      <c r="AF82" t="str">
        <f>IF(Backend!AG109="", "", Backend!AG109)</f>
        <v/>
      </c>
      <c r="AG82" t="str">
        <f>IF(Backend!AH109="", "", Backend!AH109)</f>
        <v/>
      </c>
      <c r="AH82" t="str">
        <f>IF(Backend!AI109="", "", Backend!AI109)</f>
        <v/>
      </c>
      <c r="AI82" t="str">
        <f>IF(Backend!AJ109="", "", Backend!AJ109)</f>
        <v/>
      </c>
      <c r="AJ82" t="str">
        <f>IF(Backend!AK109="", "", Backend!AK109)</f>
        <v/>
      </c>
      <c r="AK82" t="str">
        <f>IF(Backend!AL109="", "", Backend!AL109)</f>
        <v/>
      </c>
      <c r="AL82" t="str">
        <f>IF(Backend!AM109="", "", Backend!AM109)</f>
        <v/>
      </c>
      <c r="AM82" t="str">
        <f>IF(Backend!AN109="", "", Backend!AN109)</f>
        <v/>
      </c>
      <c r="AN82" t="str">
        <f>IF(Backend!AO109="", "", Backend!AO109)</f>
        <v/>
      </c>
      <c r="AO82" t="str">
        <f>IF(Backend!AP109="", "", Backend!AP109)</f>
        <v/>
      </c>
      <c r="AP82" t="str">
        <f>IF(Backend!AQ109="", "", Backend!AQ109)</f>
        <v/>
      </c>
      <c r="AQ82" t="str">
        <f>IF(Backend!AR109="", "", Backend!AR109)</f>
        <v/>
      </c>
      <c r="AR82" t="str">
        <f>IF(Backend!AS109="", "", Backend!AS109)</f>
        <v/>
      </c>
      <c r="AS82" t="str">
        <f>IF(Backend!AT109="", "", Backend!AT109)</f>
        <v/>
      </c>
      <c r="AT82" t="str">
        <f>IF(Backend!AU109="", "", Backend!AU109)</f>
        <v/>
      </c>
      <c r="AU82" t="str">
        <f>IF(Backend!AV109="", "", Backend!AV109)</f>
        <v/>
      </c>
      <c r="AV82" t="str">
        <f>IF(Backend!AW109="", "", Backend!AW109)</f>
        <v/>
      </c>
      <c r="AW82" t="str">
        <f>IF(Backend!AX109="", "", Backend!AX109)</f>
        <v/>
      </c>
      <c r="AX82" t="str">
        <f>IF(Backend!AY109="", "", Backend!AY109)</f>
        <v/>
      </c>
      <c r="AY82" t="str">
        <f>IF(Backend!AZ109="", "", Backend!AZ109)</f>
        <v/>
      </c>
      <c r="AZ82" t="str">
        <f>IF(Backend!BA109="", "", Backend!BA109)</f>
        <v/>
      </c>
      <c r="BA82" t="str">
        <f>IF(Backend!BB109="", "", Backend!BB109)</f>
        <v/>
      </c>
      <c r="BB82" t="str">
        <f>IF(Backend!BC109="", "", Backend!BC109)</f>
        <v/>
      </c>
      <c r="BC82" t="str">
        <f>IF(Backend!BD109="", "", Backend!BD109)</f>
        <v/>
      </c>
      <c r="BD82" t="str">
        <f>IF(Backend!BE109="", "", Backend!BE109)</f>
        <v/>
      </c>
      <c r="BE82" t="str">
        <f>IF(Backend!BF109="", "", Backend!BF109)</f>
        <v/>
      </c>
      <c r="BF82" t="str">
        <f>IF(Backend!BG109="", "", Backend!BG109)</f>
        <v/>
      </c>
      <c r="BG82" t="str">
        <f>IF(Backend!BH109="", "", Backend!BH109)</f>
        <v/>
      </c>
      <c r="BH82" t="str">
        <f>IF(Backend!BI109="", "", Backend!BI109)</f>
        <v/>
      </c>
      <c r="BI82" t="str">
        <f>IF(Backend!BJ109="", "", Backend!BJ109)</f>
        <v/>
      </c>
      <c r="BJ82" t="str">
        <f>IF(Backend!BK109="", "", Backend!BK109)</f>
        <v/>
      </c>
      <c r="BK82" t="str">
        <f>IF(Backend!BL109="", "", Backend!BL109)</f>
        <v/>
      </c>
      <c r="BL82" t="str">
        <f>IF(Backend!BM109="", "", Backend!BM109)</f>
        <v/>
      </c>
      <c r="BM82" t="str">
        <f>IF(Backend!BN109="", "", Backend!BN109)</f>
        <v/>
      </c>
      <c r="BN82" t="str">
        <f>IF(Backend!BO109="", "", Backend!BO109)</f>
        <v/>
      </c>
      <c r="BO82" t="str">
        <f>IF(Backend!BP109="", "", Backend!BP109)</f>
        <v/>
      </c>
      <c r="BP82" t="str">
        <f>IF(Backend!BQ109="", "", Backend!BQ109)</f>
        <v/>
      </c>
      <c r="BQ82" t="str">
        <f>IF(Backend!BR109="", "", Backend!BR109)</f>
        <v/>
      </c>
      <c r="BR82" t="str">
        <f>IF(Backend!BS109="", "", Backend!BS109)</f>
        <v/>
      </c>
      <c r="BS82" t="str">
        <f>IF(Backend!BT109="", "", Backend!BT109)</f>
        <v/>
      </c>
      <c r="BT82" t="str">
        <f>IF(Backend!BU109="", "", Backend!BU109)</f>
        <v/>
      </c>
      <c r="BU82" t="str">
        <f>IF(Backend!BV109="", "", Backend!BV109)</f>
        <v/>
      </c>
      <c r="BV82" t="str">
        <f>IF(Backend!BW109="", "", Backend!BW109)</f>
        <v/>
      </c>
      <c r="BW82" t="str">
        <f>IF(Backend!BX109="", "", Backend!BX109)</f>
        <v/>
      </c>
      <c r="BX82" t="str">
        <f>IF(Backend!BY109="", "", Backend!BY109)</f>
        <v/>
      </c>
      <c r="BY82" t="str">
        <f>IF(Backend!BZ109="", "", Backend!BZ109)</f>
        <v/>
      </c>
      <c r="BZ82" t="str">
        <f>IF(Backend!CA109="", "", Backend!CA109)</f>
        <v/>
      </c>
      <c r="CA82" t="str">
        <f>IF(Backend!CB109="", "", Backend!CB109)</f>
        <v/>
      </c>
      <c r="CB82" t="str">
        <f>IF(Backend!CC109="", "", Backend!CC109)</f>
        <v/>
      </c>
      <c r="CC82" t="str">
        <f>IF(Backend!CD109="", "", Backend!CD109)</f>
        <v/>
      </c>
    </row>
  </sheetData>
  <conditionalFormatting sqref="B4:CC82">
    <cfRule type="colorScale" priority="1">
      <colorScale>
        <cfvo type="min"/>
        <cfvo type="max"/>
        <color theme="4"/>
        <color theme="4" tint="0.79998168889431442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Y107"/>
  <sheetViews>
    <sheetView workbookViewId="0">
      <selection activeCell="B1" sqref="B1"/>
    </sheetView>
  </sheetViews>
  <sheetFormatPr defaultRowHeight="15" x14ac:dyDescent="0.25"/>
  <cols>
    <col min="2" max="2" width="15.7109375" customWidth="1"/>
    <col min="3" max="3" width="13" customWidth="1"/>
    <col min="4" max="9" width="11.140625" customWidth="1"/>
    <col min="10" max="10" width="38.28515625" bestFit="1" customWidth="1"/>
    <col min="11" max="75" width="11.140625" customWidth="1"/>
  </cols>
  <sheetData>
    <row r="1" spans="2:13" x14ac:dyDescent="0.25">
      <c r="B1" t="s">
        <v>2</v>
      </c>
      <c r="C1" s="7">
        <v>45961</v>
      </c>
    </row>
    <row r="2" spans="2:13" x14ac:dyDescent="0.25">
      <c r="B2" t="s">
        <v>3</v>
      </c>
      <c r="C2" s="7" t="s">
        <v>68</v>
      </c>
    </row>
    <row r="4" spans="2:13" x14ac:dyDescent="0.25">
      <c r="B4" t="s">
        <v>0</v>
      </c>
    </row>
    <row r="5" spans="2:13" x14ac:dyDescent="0.25">
      <c r="C5" s="8" t="s">
        <v>9</v>
      </c>
      <c r="D5" t="str" cm="1">
        <f t="array" ref="D5">_xll.FDSC("-",C5,"PROPER_NAME")</f>
        <v>Adecco Group AG</v>
      </c>
      <c r="E5" s="8" t="s">
        <v>10</v>
      </c>
      <c r="F5" t="str" cm="1">
        <f t="array" ref="F5">_xll.FDSC("-",E5,"PROPER_NAME")</f>
        <v>Eni S.p.A.</v>
      </c>
      <c r="G5" s="8" t="s">
        <v>11</v>
      </c>
      <c r="H5" t="str" cm="1">
        <f t="array" ref="H5">_xll.FDSC("-",G5,"PROPER_NAME")</f>
        <v>MEDIPAL HOLDINGS Corporation</v>
      </c>
      <c r="I5" s="8" t="s">
        <v>12</v>
      </c>
      <c r="J5" t="str" cm="1">
        <f t="array" ref="J5">_xll.FDSC("-",I5,"PROPER_NAME")</f>
        <v>Societe Generale S.A. Class A</v>
      </c>
      <c r="K5" s="8"/>
    </row>
    <row r="6" spans="2:13" x14ac:dyDescent="0.25">
      <c r="C6" s="8" t="s">
        <v>13</v>
      </c>
      <c r="D6" t="str" cm="1">
        <f t="array" ref="D6">_xll.FDSC("-",C6,"PROPER_NAME")</f>
        <v>Anglo American plc</v>
      </c>
      <c r="E6" s="8" t="s">
        <v>14</v>
      </c>
      <c r="F6" t="str" cm="1">
        <f t="array" ref="F6">_xll.FDSC("-",E6,"PROPER_NAME")</f>
        <v>GSK plc</v>
      </c>
      <c r="G6" s="8" t="s">
        <v>15</v>
      </c>
      <c r="H6" t="str" cm="1">
        <f t="array" ref="H6">_xll.FDSC("-",G6,"PROPER_NAME")</f>
        <v>Mohawk Industries, Inc.</v>
      </c>
      <c r="I6" s="8" t="s">
        <v>16</v>
      </c>
      <c r="J6" t="str" cm="1">
        <f t="array" ref="J6">_xll.FDSC("-",I6,"PROPER_NAME")</f>
        <v>Standard Chartered PLC</v>
      </c>
      <c r="K6" s="8"/>
      <c r="M6" s="5"/>
    </row>
    <row r="7" spans="2:13" x14ac:dyDescent="0.25">
      <c r="C7" s="8" t="s">
        <v>17</v>
      </c>
      <c r="D7" t="str" cm="1">
        <f t="array" ref="D7">_xll.FDSC("-",C7,"PROPER_NAME")</f>
        <v>Anhui Conch Cement Company Limited Class H</v>
      </c>
      <c r="E7" s="8" t="s">
        <v>18</v>
      </c>
      <c r="F7" t="str" cm="1">
        <f t="array" ref="F7">_xll.FDSC("-",E7,"PROPER_NAME")</f>
        <v>H.U.Group Holdings, Inc.</v>
      </c>
      <c r="G7" s="8" t="s">
        <v>19</v>
      </c>
      <c r="H7" t="str" cm="1">
        <f t="array" ref="H7">_xll.FDSC("-",G7,"PROPER_NAME")</f>
        <v>Molson Coors Beverage Company Class B</v>
      </c>
      <c r="I7" s="8" t="s">
        <v>20</v>
      </c>
      <c r="J7" t="str" cm="1">
        <f t="array" ref="J7">_xll.FDSC("-",I7,"PROPER_NAME")</f>
        <v>Stanley Black &amp; Decker, Inc.</v>
      </c>
      <c r="K7" s="8"/>
    </row>
    <row r="8" spans="2:13" x14ac:dyDescent="0.25">
      <c r="C8" s="8" t="s">
        <v>21</v>
      </c>
      <c r="D8" t="str" cm="1">
        <f t="array" ref="D8">_xll.FDSC("-",C8,"PROPER_NAME")</f>
        <v>Aptiv PLC</v>
      </c>
      <c r="E8" s="8" t="s">
        <v>22</v>
      </c>
      <c r="F8" t="str" cm="1">
        <f t="array" ref="F8">_xll.FDSC("-",E8,"PROPER_NAME")</f>
        <v>Halliburton Company</v>
      </c>
      <c r="G8" s="8" t="s">
        <v>23</v>
      </c>
      <c r="H8" t="str" cm="1">
        <f t="array" ref="H8">_xll.FDSC("-",G8,"PROPER_NAME")</f>
        <v>NatWest Group Plc</v>
      </c>
      <c r="I8" s="8" t="s">
        <v>24</v>
      </c>
      <c r="J8" t="str" cm="1">
        <f t="array" ref="J8">_xll.FDSC("-",I8,"PROPER_NAME")</f>
        <v>Swatch Group Ltd. Bearer</v>
      </c>
      <c r="K8" s="8"/>
    </row>
    <row r="9" spans="2:13" x14ac:dyDescent="0.25">
      <c r="C9" s="8" t="s">
        <v>25</v>
      </c>
      <c r="D9" t="str" cm="1">
        <f t="array" ref="D9">_xll.FDSC("-",C9,"PROPER_NAME")</f>
        <v>Autohome Inc. Sponsored ADR Class A</v>
      </c>
      <c r="E9" s="8" t="s">
        <v>26</v>
      </c>
      <c r="F9" t="str" cm="1">
        <f t="array" ref="F9">_xll.FDSC("-",E9,"PROPER_NAME")</f>
        <v>HANKOOK TIRE &amp; TECHNOLOGY Co., Ltd.</v>
      </c>
      <c r="G9" s="8" t="s">
        <v>27</v>
      </c>
      <c r="H9" t="str" cm="1">
        <f t="array" ref="H9">_xll.FDSC("-",G9,"PROPER_NAME")</f>
        <v>Nikon Corp.</v>
      </c>
      <c r="I9" s="8" t="s">
        <v>28</v>
      </c>
      <c r="J9" t="str" cm="1">
        <f t="array" ref="J9">_xll.FDSC("-",I9,"PROPER_NAME")</f>
        <v>Ternium S.A. Sponsored ADR</v>
      </c>
      <c r="K9" s="8"/>
    </row>
    <row r="10" spans="2:13" x14ac:dyDescent="0.25">
      <c r="C10" s="8" t="s">
        <v>29</v>
      </c>
      <c r="D10" t="str" cm="1">
        <f t="array" ref="D10">_xll.FDSC("-",C10,"PROPER_NAME")</f>
        <v>Baidu, Inc. Class A</v>
      </c>
      <c r="E10" s="8" t="s">
        <v>30</v>
      </c>
      <c r="F10" t="str" cm="1">
        <f t="array" ref="F10">_xll.FDSC("-",E10,"PROPER_NAME")</f>
        <v>Hewlett Packard Enterprise Co.</v>
      </c>
      <c r="G10" s="8" t="s">
        <v>31</v>
      </c>
      <c r="H10" t="str" cm="1">
        <f t="array" ref="H10">_xll.FDSC("-",G10,"PROPER_NAME")</f>
        <v>Nippon Television Holdings, Inc.</v>
      </c>
      <c r="I10" s="8" t="s">
        <v>32</v>
      </c>
      <c r="J10" t="str" cm="1">
        <f t="array" ref="J10">_xll.FDSC("-",I10,"PROPER_NAME")</f>
        <v>TOKAI RIKA CO., LTD.</v>
      </c>
      <c r="K10" s="8"/>
    </row>
    <row r="11" spans="2:13" x14ac:dyDescent="0.25">
      <c r="C11" s="8" t="s">
        <v>33</v>
      </c>
      <c r="D11" t="str" cm="1">
        <f t="array" ref="D11">_xll.FDSC("-",C11,"PROPER_NAME")</f>
        <v>BASF SE</v>
      </c>
      <c r="E11" s="8" t="s">
        <v>34</v>
      </c>
      <c r="F11" t="str" cm="1">
        <f t="array" ref="F11">_xll.FDSC("-",E11,"PROPER_NAME")</f>
        <v>Intel Corporation</v>
      </c>
      <c r="G11" s="8" t="s">
        <v>35</v>
      </c>
      <c r="H11" t="str" cm="1">
        <f t="array" ref="H11">_xll.FDSC("-",G11,"PROPER_NAME")</f>
        <v>Pfizer Inc.</v>
      </c>
      <c r="I11" s="8" t="s">
        <v>36</v>
      </c>
      <c r="J11" t="str" cm="1">
        <f t="array" ref="J11">_xll.FDSC("-",I11,"PROPER_NAME")</f>
        <v>Valterra Platinum Limited</v>
      </c>
      <c r="K11" s="8"/>
    </row>
    <row r="12" spans="2:13" x14ac:dyDescent="0.25">
      <c r="C12" s="8" t="s">
        <v>37</v>
      </c>
      <c r="D12" t="str" cm="1">
        <f t="array" ref="D12">_xll.FDSC("-",C12,"PROPER_NAME")</f>
        <v>Bayer AG</v>
      </c>
      <c r="E12" s="8" t="s">
        <v>38</v>
      </c>
      <c r="F12" t="str" cm="1">
        <f t="array" ref="F12">_xll.FDSC("-",E12,"PROPER_NAME")</f>
        <v>KB Financial Group Inc.</v>
      </c>
      <c r="G12" s="8" t="s">
        <v>39</v>
      </c>
      <c r="H12" t="str" cm="1">
        <f t="array" ref="H12">_xll.FDSC("-",G12,"PROPER_NAME")</f>
        <v>PUMA SE</v>
      </c>
      <c r="I12" s="8" t="s">
        <v>40</v>
      </c>
      <c r="J12" t="str" cm="1">
        <f t="array" ref="J12">_xll.FDSC("-",I12,"PROPER_NAME")</f>
        <v>Verizon Communications Inc.</v>
      </c>
      <c r="K12" s="8"/>
    </row>
    <row r="13" spans="2:13" x14ac:dyDescent="0.25">
      <c r="C13" s="8" t="s">
        <v>41</v>
      </c>
      <c r="D13" t="str" cm="1">
        <f t="array" ref="D13">_xll.FDSC("-",C13,"PROPER_NAME")</f>
        <v>Bristol-Myers Squibb Company</v>
      </c>
      <c r="E13" s="8" t="s">
        <v>42</v>
      </c>
      <c r="F13" t="str" cm="1">
        <f t="array" ref="F13">_xll.FDSC("-",E13,"PROPER_NAME")</f>
        <v>Kering SA</v>
      </c>
      <c r="G13" s="8" t="s">
        <v>43</v>
      </c>
      <c r="H13" t="str" cm="1">
        <f t="array" ref="H13">_xll.FDSC("-",G13,"PROPER_NAME")</f>
        <v>Repsol SA</v>
      </c>
      <c r="I13" s="8" t="s">
        <v>44</v>
      </c>
      <c r="J13" t="str" cm="1">
        <f t="array" ref="J13">_xll.FDSC("-",I13,"PROPER_NAME")</f>
        <v>Viatris, Inc.</v>
      </c>
      <c r="K13" s="8"/>
    </row>
    <row r="14" spans="2:13" x14ac:dyDescent="0.25">
      <c r="C14" s="8" t="s">
        <v>45</v>
      </c>
      <c r="D14" t="str" cm="1">
        <f t="array" ref="D14">_xll.FDSC("-",C14,"PROPER_NAME")</f>
        <v>BT Group plc</v>
      </c>
      <c r="E14" s="8" t="s">
        <v>46</v>
      </c>
      <c r="F14" t="str" cm="1">
        <f t="array" ref="F14">_xll.FDSC("-",E14,"PROPER_NAME")</f>
        <v>Koninklijke Ahold Delhaize N.V.</v>
      </c>
      <c r="G14" s="8" t="s">
        <v>47</v>
      </c>
      <c r="H14" t="str" cm="1">
        <f t="array" ref="H14">_xll.FDSC("-",G14,"PROPER_NAME")</f>
        <v>ROHM Company Limited</v>
      </c>
      <c r="I14" s="8" t="s">
        <v>48</v>
      </c>
      <c r="J14" t="str" cm="1">
        <f t="array" ref="J14">_xll.FDSC("-",I14,"PROPER_NAME")</f>
        <v>Vodafone Group Public Limited Company</v>
      </c>
      <c r="K14" s="8"/>
    </row>
    <row r="15" spans="2:13" x14ac:dyDescent="0.25">
      <c r="C15" s="8" t="s">
        <v>49</v>
      </c>
      <c r="D15" t="str" cm="1">
        <f t="array" ref="D15">_xll.FDSC("-",C15,"PROPER_NAME")</f>
        <v>Burberry Group plc</v>
      </c>
      <c r="E15" s="8" t="s">
        <v>50</v>
      </c>
      <c r="F15" t="str" cm="1">
        <f t="array" ref="F15">_xll.FDSC("-",E15,"PROPER_NAME")</f>
        <v>Kraft Heinz Company</v>
      </c>
      <c r="G15" s="8" t="s">
        <v>51</v>
      </c>
      <c r="H15" t="str" cm="1">
        <f t="array" ref="H15">_xll.FDSC("-",G15,"PROPER_NAME")</f>
        <v>Sally Beauty Holdings, Inc.</v>
      </c>
      <c r="I15" s="8" t="s">
        <v>52</v>
      </c>
      <c r="J15" t="str" cm="1">
        <f t="array" ref="J15">_xll.FDSC("-",I15,"PROPER_NAME")</f>
        <v>Volkswagen AG Pref</v>
      </c>
      <c r="K15" s="8"/>
    </row>
    <row r="16" spans="2:13" x14ac:dyDescent="0.25">
      <c r="C16" s="8" t="s">
        <v>53</v>
      </c>
      <c r="D16" t="str" cm="1">
        <f t="array" ref="D16">_xll.FDSC("-",C16,"PROPER_NAME")</f>
        <v>Carrefour SA</v>
      </c>
      <c r="E16" s="8" t="s">
        <v>54</v>
      </c>
      <c r="F16" t="str" cm="1">
        <f t="array" ref="F16">_xll.FDSC("-",E16,"PROPER_NAME")</f>
        <v>Lear Corporation</v>
      </c>
      <c r="G16" s="8" t="s">
        <v>55</v>
      </c>
      <c r="H16" t="str" cm="1">
        <f t="array" ref="H16">_xll.FDSC("-",G16,"PROPER_NAME")</f>
        <v>Samsung Electronics Co Ltd Pfd  Non-Voting</v>
      </c>
      <c r="I16" s="8" t="s">
        <v>56</v>
      </c>
      <c r="J16" t="str" cm="1">
        <f t="array" ref="J16">_xll.FDSC("-",I16,"PROPER_NAME")</f>
        <v>Walgreens Boots Alliance, Inc.</v>
      </c>
      <c r="K16" s="8"/>
    </row>
    <row r="17" spans="1:77" x14ac:dyDescent="0.25">
      <c r="C17" s="8" t="s">
        <v>57</v>
      </c>
      <c r="D17" t="str" cm="1">
        <f t="array" ref="D17">_xll.FDSC("-",C17,"PROPER_NAME")</f>
        <v>Continental AG</v>
      </c>
      <c r="E17" s="8" t="s">
        <v>58</v>
      </c>
      <c r="F17" t="str" cm="1">
        <f t="array" ref="F17">_xll.FDSC("-",E17,"PROPER_NAME")</f>
        <v>LyondellBasell Industries NV</v>
      </c>
      <c r="G17" s="8" t="s">
        <v>59</v>
      </c>
      <c r="H17" t="str" cm="1">
        <f t="array" ref="H17">_xll.FDSC("-",G17,"PROPER_NAME")</f>
        <v>Sanofi SA</v>
      </c>
      <c r="I17" s="8" t="s">
        <v>60</v>
      </c>
      <c r="J17" t="str" cm="1">
        <f t="array" ref="J17">_xll.FDSC("-",I17,"PROPER_NAME")</f>
        <v>Western Union Company</v>
      </c>
      <c r="K17" s="8"/>
    </row>
    <row r="18" spans="1:77" x14ac:dyDescent="0.25">
      <c r="C18" s="8" t="s">
        <v>61</v>
      </c>
      <c r="D18" t="str" cm="1">
        <f t="array" ref="D18">_xll.FDSC("-",C18,"PROPER_NAME")</f>
        <v>Dentsu Group Inc.</v>
      </c>
      <c r="E18" s="8" t="s">
        <v>62</v>
      </c>
      <c r="F18" t="str" cm="1">
        <f t="array" ref="F18">_xll.FDSC("-",E18,"PROPER_NAME")</f>
        <v>Macy's, Inc.</v>
      </c>
      <c r="G18" s="8" t="s">
        <v>63</v>
      </c>
      <c r="H18" t="str" cm="1">
        <f t="array" ref="H18">_xll.FDSC("-",G18,"PROPER_NAME")</f>
        <v>SES SA FDR (Class A)</v>
      </c>
      <c r="I18" s="8" t="s">
        <v>64</v>
      </c>
      <c r="J18" t="str" cm="1">
        <f t="array" ref="J18">_xll.FDSC("-",I18,"PROPER_NAME")</f>
        <v>John Wiley &amp; Sons, Inc. Class A</v>
      </c>
      <c r="K18" s="8"/>
    </row>
    <row r="19" spans="1:77" x14ac:dyDescent="0.25">
      <c r="C19" s="8" t="s">
        <v>67</v>
      </c>
      <c r="D19" t="str" cm="1">
        <f t="array" ref="D19">_xll.FDSC("-",C19,"PROPER_NAME")</f>
        <v>WPP Plc</v>
      </c>
      <c r="E19" s="8" t="s">
        <v>65</v>
      </c>
      <c r="F19" t="str" cm="1">
        <f t="array" ref="F19">_xll.FDSC("-",E19,"PROPER_NAME")</f>
        <v>ManpowerGroup Inc.</v>
      </c>
      <c r="G19" s="8" t="s">
        <v>66</v>
      </c>
      <c r="H19" t="str" cm="1">
        <f t="array" ref="H19">_xll.FDSC("-",G19,"PROPER_NAME")</f>
        <v>Shinhan Financial Group Co., Ltd.</v>
      </c>
      <c r="I19" s="8"/>
      <c r="J19" t="str" cm="1">
        <f t="array" ref="J19">_xll.FDSC("-",I19,"PROPER_NAME")</f>
        <v>-</v>
      </c>
    </row>
    <row r="26" spans="1:77" x14ac:dyDescent="0.25">
      <c r="B26" t="str" cm="1">
        <f t="array" ref="B26">_xll.FDS("DUMMY","PROPER(""Correlation of Daily Data Between "") + FG_DATE("&amp;$C$1&amp;"-"&amp;$C$2&amp;") + LOWERCASE("" and "") + FG_DATE("&amp;$C$1&amp;") + LOWERCASE("":"")")</f>
        <v>Correlation Of Daily Data Between 10/30/2020 and 10/31/2025:</v>
      </c>
    </row>
    <row r="27" spans="1:77" x14ac:dyDescent="0.25">
      <c r="B27" t="str" cm="1">
        <f t="array" ref="B27">_xll.FDSB("DUMMY","STRING_ARRAY IDS=TICKER_LIST('"&amp;_xlfn.TEXTJOIN(" ",TRUE,C5:C23,E5:E23,G5:G23,I5:I23)&amp;"');""FDS Code - Do Not Delete""")</f>
        <v>FDS CODE - DO NOT DELETE</v>
      </c>
      <c r="C27" t="str" cm="1">
        <f t="array" ref="C27">_xll.FDSB("DUMMY","FLOAT_ARRAY CORRELMATRIX=GET_FQL_ARRAY(IDS,'P_PRICE_RETURNS(0,"&amp;$C1&amp;","&amp;$C1&amp;"-"&amp;$C$2&amp;",D,USD)');'FDS Code - Do Not Delete'")</f>
        <v>FDS CODE - DO NOT DELETE</v>
      </c>
    </row>
    <row r="29" spans="1:77" x14ac:dyDescent="0.25">
      <c r="C29" t="str" cm="1">
        <f t="array" ref="C29">_xll.FDS(C30,"FG_COMPANY_NAME")</f>
        <v>Adecco Group AG</v>
      </c>
      <c r="D29" t="str" cm="1">
        <f t="array" ref="D29">_xll.FDS(D30,"FG_COMPANY_NAME")</f>
        <v>Anglo American plc</v>
      </c>
      <c r="E29" t="str" cm="1">
        <f t="array" ref="E29">_xll.FDS(E30,"FG_COMPANY_NAME")</f>
        <v>Anhui Conch Cement Company Limited Class H</v>
      </c>
      <c r="F29" t="str" cm="1">
        <f t="array" ref="F29">_xll.FDS(F30,"FG_COMPANY_NAME")</f>
        <v>Aptiv PLC</v>
      </c>
      <c r="G29" t="str" cm="1">
        <f t="array" ref="G29">_xll.FDS(G30,"FG_COMPANY_NAME")</f>
        <v>Autohome Inc. Sponsored ADR Class A</v>
      </c>
      <c r="H29" t="str" cm="1">
        <f t="array" ref="H29">_xll.FDS(H30,"FG_COMPANY_NAME")</f>
        <v>Baidu, Inc. Class A</v>
      </c>
      <c r="I29" t="str" cm="1">
        <f t="array" ref="I29">_xll.FDS(I30,"FG_COMPANY_NAME")</f>
        <v>BASF SE</v>
      </c>
      <c r="J29" t="str" cm="1">
        <f t="array" ref="J29">_xll.FDS(J30,"FG_COMPANY_NAME")</f>
        <v>Bayer AG</v>
      </c>
      <c r="K29" t="str" cm="1">
        <f t="array" ref="K29">_xll.FDS(K30,"FG_COMPANY_NAME")</f>
        <v>Bristol-Myers Squibb Company</v>
      </c>
      <c r="L29" t="str" cm="1">
        <f t="array" ref="L29">_xll.FDS(L30,"FG_COMPANY_NAME")</f>
        <v>BT Group plc</v>
      </c>
      <c r="M29" t="str" cm="1">
        <f t="array" ref="M29">_xll.FDS(M30,"FG_COMPANY_NAME")</f>
        <v>Burberry Group plc</v>
      </c>
      <c r="N29" t="str" cm="1">
        <f t="array" ref="N29">_xll.FDS(N30,"FG_COMPANY_NAME")</f>
        <v>Carrefour SA</v>
      </c>
      <c r="O29" t="str" cm="1">
        <f t="array" ref="O29">_xll.FDS(O30,"FG_COMPANY_NAME")</f>
        <v>Continental AG</v>
      </c>
      <c r="P29" t="str" cm="1">
        <f t="array" ref="P29">_xll.FDS(P30,"FG_COMPANY_NAME")</f>
        <v>Dentsu Group Inc.</v>
      </c>
      <c r="Q29" t="str" cm="1">
        <f t="array" ref="Q29">_xll.FDS(Q30,"FG_COMPANY_NAME")</f>
        <v>WPP Plc</v>
      </c>
      <c r="R29" t="str" cm="1">
        <f t="array" ref="R29">_xll.FDS(R30,"FG_COMPANY_NAME")</f>
        <v>Eni S.p.A.</v>
      </c>
      <c r="S29" t="str" cm="1">
        <f t="array" ref="S29">_xll.FDS(S30,"FG_COMPANY_NAME")</f>
        <v>GSK plc</v>
      </c>
      <c r="T29" t="str" cm="1">
        <f t="array" ref="T29">_xll.FDS(T30,"FG_COMPANY_NAME")</f>
        <v>H.U.Group Holdings, Inc.</v>
      </c>
      <c r="U29" t="str" cm="1">
        <f t="array" ref="U29">_xll.FDS(U30,"FG_COMPANY_NAME")</f>
        <v>Halliburton Company</v>
      </c>
      <c r="V29" t="str" cm="1">
        <f t="array" ref="V29">_xll.FDS(V30,"FG_COMPANY_NAME")</f>
        <v>HANKOOK TIRE &amp; TECHNOLOGY Co., Ltd.</v>
      </c>
      <c r="W29" t="str" cm="1">
        <f t="array" ref="W29">_xll.FDS(W30,"FG_COMPANY_NAME")</f>
        <v>Hewlett Packard Enterprise Co.</v>
      </c>
      <c r="X29" t="str" cm="1">
        <f t="array" ref="X29">_xll.FDS(X30,"FG_COMPANY_NAME")</f>
        <v>Intel Corporation</v>
      </c>
      <c r="Y29" t="str" cm="1">
        <f t="array" ref="Y29">_xll.FDS(Y30,"FG_COMPANY_NAME")</f>
        <v>KB Financial Group Inc.</v>
      </c>
      <c r="Z29" t="str" cm="1">
        <f t="array" ref="Z29">_xll.FDS(Z30,"FG_COMPANY_NAME")</f>
        <v>Kering SA</v>
      </c>
      <c r="AA29" t="str" cm="1">
        <f t="array" ref="AA29">_xll.FDS(AA30,"FG_COMPANY_NAME")</f>
        <v>Koninklijke Ahold Delhaize N.V.</v>
      </c>
      <c r="AB29" t="str" cm="1">
        <f t="array" ref="AB29">_xll.FDS(AB30,"FG_COMPANY_NAME")</f>
        <v>Kraft Heinz Company</v>
      </c>
      <c r="AC29" t="str" cm="1">
        <f t="array" ref="AC29">_xll.FDS(AC30,"FG_COMPANY_NAME")</f>
        <v>Lear Corporation</v>
      </c>
      <c r="AD29" t="str" cm="1">
        <f t="array" ref="AD29">_xll.FDS(AD30,"FG_COMPANY_NAME")</f>
        <v>LyondellBasell Industries NV</v>
      </c>
      <c r="AE29" t="str" cm="1">
        <f t="array" ref="AE29">_xll.FDS(AE30,"FG_COMPANY_NAME")</f>
        <v>Macy's, Inc.</v>
      </c>
      <c r="AF29" t="str" cm="1">
        <f t="array" ref="AF29">_xll.FDS(AF30,"FG_COMPANY_NAME")</f>
        <v>ManpowerGroup Inc.</v>
      </c>
      <c r="AG29" t="str" cm="1">
        <f t="array" ref="AG29">_xll.FDS(AG30,"FG_COMPANY_NAME")</f>
        <v>MEDIPAL HOLDINGS Corporation</v>
      </c>
      <c r="AH29" t="str" cm="1">
        <f t="array" ref="AH29">_xll.FDS(AH30,"FG_COMPANY_NAME")</f>
        <v>Mohawk Industries, Inc.</v>
      </c>
      <c r="AI29" t="str" cm="1">
        <f t="array" ref="AI29">_xll.FDS(AI30,"FG_COMPANY_NAME")</f>
        <v>Molson Coors Beverage Company Class B</v>
      </c>
      <c r="AJ29" t="str" cm="1">
        <f t="array" ref="AJ29">_xll.FDS(AJ30,"FG_COMPANY_NAME")</f>
        <v>NatWest Group Plc</v>
      </c>
      <c r="AK29" t="str" cm="1">
        <f t="array" ref="AK29">_xll.FDS(AK30,"FG_COMPANY_NAME")</f>
        <v>Nikon Corp.</v>
      </c>
      <c r="AL29" t="str" cm="1">
        <f t="array" ref="AL29">_xll.FDS(AL30,"FG_COMPANY_NAME")</f>
        <v>Nippon Television Holdings, Inc.</v>
      </c>
      <c r="AM29" t="str" cm="1">
        <f t="array" ref="AM29">_xll.FDS(AM30,"FG_COMPANY_NAME")</f>
        <v>Pfizer Inc.</v>
      </c>
      <c r="AN29" t="str" cm="1">
        <f t="array" ref="AN29">_xll.FDS(AN30,"FG_COMPANY_NAME")</f>
        <v>PUMA SE</v>
      </c>
      <c r="AO29" t="str" cm="1">
        <f t="array" ref="AO29">_xll.FDS(AO30,"FG_COMPANY_NAME")</f>
        <v>Repsol SA</v>
      </c>
      <c r="AP29" t="str" cm="1">
        <f t="array" ref="AP29">_xll.FDS(AP30,"FG_COMPANY_NAME")</f>
        <v>ROHM Company Limited</v>
      </c>
      <c r="AQ29" t="str" cm="1">
        <f t="array" ref="AQ29">_xll.FDS(AQ30,"FG_COMPANY_NAME")</f>
        <v>Sally Beauty Holdings, Inc.</v>
      </c>
      <c r="AR29" t="str" cm="1">
        <f t="array" ref="AR29">_xll.FDS(AR30,"FG_COMPANY_NAME")</f>
        <v>Samsung Electronics Co Ltd Pfd  Non-Voting</v>
      </c>
      <c r="AS29" t="str" cm="1">
        <f t="array" ref="AS29">_xll.FDS(AS30,"FG_COMPANY_NAME")</f>
        <v>Sanofi SA</v>
      </c>
      <c r="AT29" t="str" cm="1">
        <f t="array" ref="AT29">_xll.FDS(AT30,"FG_COMPANY_NAME")</f>
        <v>SES SA FDR (Class A)</v>
      </c>
      <c r="AU29" t="str" cm="1">
        <f t="array" ref="AU29">_xll.FDS(AU30,"FG_COMPANY_NAME")</f>
        <v>Shinhan Financial Group Co., Ltd.</v>
      </c>
      <c r="AV29" t="str" cm="1">
        <f t="array" ref="AV29">_xll.FDS(AV30,"FG_COMPANY_NAME")</f>
        <v>Societe Generale S.A. Class A</v>
      </c>
      <c r="AW29" t="str" cm="1">
        <f t="array" ref="AW29">_xll.FDS(AW30,"FG_COMPANY_NAME")</f>
        <v>Standard Chartered PLC</v>
      </c>
      <c r="AX29" t="str" cm="1">
        <f t="array" ref="AX29">_xll.FDS(AX30,"FG_COMPANY_NAME")</f>
        <v>Stanley Black &amp; Decker, Inc.</v>
      </c>
      <c r="AY29" t="str" cm="1">
        <f t="array" ref="AY29">_xll.FDS(AY30,"FG_COMPANY_NAME")</f>
        <v>Swatch Group Ltd. Bearer</v>
      </c>
      <c r="AZ29" t="str" cm="1">
        <f t="array" ref="AZ29">_xll.FDS(AZ30,"FG_COMPANY_NAME")</f>
        <v>Ternium S.A. Sponsored ADR</v>
      </c>
      <c r="BA29" t="str" cm="1">
        <f t="array" ref="BA29">_xll.FDS(BA30,"FG_COMPANY_NAME")</f>
        <v>TOKAI RIKA CO., LTD.</v>
      </c>
      <c r="BB29" t="str" cm="1">
        <f t="array" ref="BB29">_xll.FDS(BB30,"FG_COMPANY_NAME")</f>
        <v>Valterra Platinum Limited</v>
      </c>
      <c r="BC29" t="str" cm="1">
        <f t="array" ref="BC29">_xll.FDS(BC30,"FG_COMPANY_NAME")</f>
        <v>Verizon Communications Inc.</v>
      </c>
      <c r="BD29" t="str" cm="1">
        <f t="array" ref="BD29">_xll.FDS(BD30,"FG_COMPANY_NAME")</f>
        <v>Viatris, Inc.</v>
      </c>
      <c r="BE29" t="str" cm="1">
        <f t="array" ref="BE29">_xll.FDS(BE30,"FG_COMPANY_NAME")</f>
        <v>Vodafone Group Public Limited Company</v>
      </c>
      <c r="BF29" t="str" cm="1">
        <f t="array" ref="BF29">_xll.FDS(BF30,"FG_COMPANY_NAME")</f>
        <v>Volkswagen AG Pref</v>
      </c>
      <c r="BG29" t="str" cm="1">
        <f t="array" ref="BG29">_xll.FDS(BG30,"FG_COMPANY_NAME")</f>
        <v>Walgreens Boots Alliance, Inc.</v>
      </c>
      <c r="BH29" t="str" cm="1">
        <f t="array" ref="BH29">_xll.FDS(BH30,"FG_COMPANY_NAME")</f>
        <v>Western Union Company</v>
      </c>
      <c r="BI29" t="str" cm="1">
        <f t="array" ref="BI29">_xll.FDS(BI30,"FG_COMPANY_NAME")</f>
        <v>John Wiley &amp; Sons, Inc. Class A</v>
      </c>
    </row>
    <row r="30" spans="1:77" ht="15" customHeight="1" x14ac:dyDescent="0.25">
      <c r="C30" s="3" t="str" cm="1">
        <f t="array" ref="C30:BI30">_xll.FDSR(V27,"IDS")</f>
        <v>ADEN-CH</v>
      </c>
      <c r="D30" s="6" t="str">
        <v>AAL-GB</v>
      </c>
      <c r="E30" s="6" t="str">
        <v>914-HK</v>
      </c>
      <c r="F30" s="6" t="str">
        <v>APTV-US</v>
      </c>
      <c r="G30" s="6" t="str">
        <v>ATHM-US</v>
      </c>
      <c r="H30" s="6" t="str">
        <v>9888-HK</v>
      </c>
      <c r="I30" s="6" t="str">
        <v>BAS-DE</v>
      </c>
      <c r="J30" s="6" t="str">
        <v>BAYN-DE</v>
      </c>
      <c r="K30" s="6" t="str">
        <v>BMY-US</v>
      </c>
      <c r="L30" s="6" t="str">
        <v>BT.A-GB</v>
      </c>
      <c r="M30" s="6" t="str">
        <v>BRBY-GB</v>
      </c>
      <c r="N30" s="6" t="str">
        <v>CA-FR</v>
      </c>
      <c r="O30" s="6" t="str">
        <v>CON-DE</v>
      </c>
      <c r="P30" s="6" t="str">
        <v>4324-JP</v>
      </c>
      <c r="Q30" s="4" t="str">
        <v>WPP-GB</v>
      </c>
      <c r="R30" s="4" t="str">
        <v>ENI-IT</v>
      </c>
      <c r="S30" s="4" t="str">
        <v>GSK-GB</v>
      </c>
      <c r="T30" s="4" t="str">
        <v>4544-JP</v>
      </c>
      <c r="U30" s="4" t="str">
        <v>HAL-US</v>
      </c>
      <c r="V30" s="4" t="str">
        <v>161390-KR</v>
      </c>
      <c r="W30" s="4" t="str">
        <v>HPE-US</v>
      </c>
      <c r="X30" s="4" t="str">
        <v>INTC-US</v>
      </c>
      <c r="Y30" s="4" t="str">
        <v>105560-KR</v>
      </c>
      <c r="Z30" s="4" t="str">
        <v>KER-FR</v>
      </c>
      <c r="AA30" s="4" t="str">
        <v>AD-NL</v>
      </c>
      <c r="AB30" s="4" t="str">
        <v>KHC-US</v>
      </c>
      <c r="AC30" s="4" t="str">
        <v>LEA-US</v>
      </c>
      <c r="AD30" s="4" t="str">
        <v>LYB-US</v>
      </c>
      <c r="AE30" s="4" t="str">
        <v>M-US</v>
      </c>
      <c r="AF30" s="4" t="str">
        <v>MAN-US</v>
      </c>
      <c r="AG30" s="4" t="str">
        <v>7459-JP</v>
      </c>
      <c r="AH30" s="4" t="str">
        <v>MHK-US</v>
      </c>
      <c r="AI30" s="4" t="str">
        <v>TAP-US</v>
      </c>
      <c r="AJ30" s="4" t="str">
        <v>NWG-GB</v>
      </c>
      <c r="AK30" s="4" t="str">
        <v>7731-JP</v>
      </c>
      <c r="AL30" s="4" t="str">
        <v>9404-JP</v>
      </c>
      <c r="AM30" s="4" t="str">
        <v>PFE-US</v>
      </c>
      <c r="AN30" s="4" t="str">
        <v>PUM-DE</v>
      </c>
      <c r="AO30" s="4" t="str">
        <v>REP-ES</v>
      </c>
      <c r="AP30" s="4" t="str">
        <v>6963-JP</v>
      </c>
      <c r="AQ30" s="4" t="str">
        <v>SBH-US</v>
      </c>
      <c r="AR30" s="4" t="str">
        <v>005935-KR</v>
      </c>
      <c r="AS30" s="4" t="str">
        <v>SAN-FR</v>
      </c>
      <c r="AT30" s="4" t="str">
        <v>SESG-FR</v>
      </c>
      <c r="AU30" s="4" t="str">
        <v>055550-KR</v>
      </c>
      <c r="AV30" s="4" t="str">
        <v>GLE-FR</v>
      </c>
      <c r="AW30" s="4" t="str">
        <v>STAN-GB</v>
      </c>
      <c r="AX30" s="4" t="str">
        <v>SWK-US</v>
      </c>
      <c r="AY30" s="4" t="str">
        <v>UHR-CH</v>
      </c>
      <c r="AZ30" s="4" t="str">
        <v>TX-US</v>
      </c>
      <c r="BA30" s="4" t="str">
        <v>6995-JP</v>
      </c>
      <c r="BB30" s="4" t="str">
        <v>VAL-ZA</v>
      </c>
      <c r="BC30" s="4" t="str">
        <v>VZ-US</v>
      </c>
      <c r="BD30" s="4" t="str">
        <v>VTRS-US</v>
      </c>
      <c r="BE30" s="4" t="str">
        <v>VOD-GB</v>
      </c>
      <c r="BF30" s="4" t="str">
        <v>VOW3-DE</v>
      </c>
      <c r="BG30" s="4" t="str">
        <v>WBA-US</v>
      </c>
      <c r="BH30" s="4" t="str">
        <v>WU-US</v>
      </c>
      <c r="BI30" s="4" t="str">
        <v>WLY-US</v>
      </c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spans="1:77" x14ac:dyDescent="0.25">
      <c r="A31" t="str" cm="1">
        <f t="array" ref="A31">_xll.FDS(B31,"FG_COMPANY_NAME")</f>
        <v>Adecco Group AG</v>
      </c>
      <c r="B31" s="4" t="str" cm="1">
        <f t="array" ref="B31:B89">_xll.FDSB(V23,"IDS")</f>
        <v>ADEN-CH</v>
      </c>
      <c r="C31" s="2" cm="1">
        <f t="array" ref="C31:BI89">_xll.FDSB("DUMMY","CORREL_MATRIX(CORRELMATRIX)")</f>
        <v>1</v>
      </c>
      <c r="D31" s="2">
        <v>0.39938404999999999</v>
      </c>
      <c r="E31" s="2">
        <v>0.12351597</v>
      </c>
      <c r="F31" s="2">
        <v>0.31796327000000002</v>
      </c>
      <c r="G31" s="2">
        <v>0.18625734999999999</v>
      </c>
      <c r="H31" s="2">
        <v>0.18713966000000001</v>
      </c>
      <c r="I31" s="2">
        <v>0.58397829999999995</v>
      </c>
      <c r="J31" s="2">
        <v>0.39164490000000002</v>
      </c>
      <c r="K31" s="2">
        <v>4.5512206999999999E-2</v>
      </c>
      <c r="L31" s="2">
        <v>0.32664569999999998</v>
      </c>
      <c r="M31" s="2">
        <v>0.43294632</v>
      </c>
      <c r="N31" s="2">
        <v>0.29648681999999998</v>
      </c>
      <c r="O31" s="2">
        <v>0.51597923000000001</v>
      </c>
      <c r="P31" s="2">
        <v>0.17502514999999999</v>
      </c>
      <c r="Q31" s="2">
        <v>0.47705554999999999</v>
      </c>
      <c r="R31" s="2">
        <v>0.41527575</v>
      </c>
      <c r="S31" s="2">
        <v>0.25082976000000001</v>
      </c>
      <c r="T31" s="2">
        <v>0.12580854</v>
      </c>
      <c r="U31" s="2">
        <v>0.21129539999999999</v>
      </c>
      <c r="V31" s="2">
        <v>0.139763</v>
      </c>
      <c r="W31" s="2">
        <v>0.20724316000000001</v>
      </c>
      <c r="X31" s="2">
        <v>0.14516617000000001</v>
      </c>
      <c r="Y31" s="2">
        <v>0.16819996000000001</v>
      </c>
      <c r="Z31" s="2">
        <v>0.47653669999999998</v>
      </c>
      <c r="AA31" s="2">
        <v>0.26632850000000002</v>
      </c>
      <c r="AB31" s="2">
        <v>0.12240205</v>
      </c>
      <c r="AC31" s="2">
        <v>0.33602231999999999</v>
      </c>
      <c r="AD31" s="2">
        <v>0.31463010000000002</v>
      </c>
      <c r="AE31" s="2">
        <v>0.17430522000000001</v>
      </c>
      <c r="AF31" s="2">
        <v>0.44833085</v>
      </c>
      <c r="AG31" s="2">
        <v>9.6641279999999996E-2</v>
      </c>
      <c r="AH31" s="2">
        <v>0.30196636999999998</v>
      </c>
      <c r="AI31" s="2">
        <v>0.19476128000000001</v>
      </c>
      <c r="AJ31" s="2">
        <v>0.45068923</v>
      </c>
      <c r="AK31" s="2">
        <v>0.13730614999999999</v>
      </c>
      <c r="AL31" s="2">
        <v>0.10514353</v>
      </c>
      <c r="AM31" s="2">
        <v>0.108049855</v>
      </c>
      <c r="AN31" s="2">
        <v>0.42113334000000002</v>
      </c>
      <c r="AO31" s="2">
        <v>0.31757814000000001</v>
      </c>
      <c r="AP31" s="2">
        <v>0.21714397999999999</v>
      </c>
      <c r="AQ31" s="2">
        <v>0.20429348999999999</v>
      </c>
      <c r="AR31" s="2">
        <v>0.19614366999999999</v>
      </c>
      <c r="AS31" s="2">
        <v>0.24527167999999999</v>
      </c>
      <c r="AT31" s="2">
        <v>0.33586640000000001</v>
      </c>
      <c r="AU31" s="2">
        <v>0.17815195</v>
      </c>
      <c r="AV31" s="2">
        <v>0.51140470000000005</v>
      </c>
      <c r="AW31" s="2">
        <v>0.41977122</v>
      </c>
      <c r="AX31" s="2">
        <v>0.27303307999999998</v>
      </c>
      <c r="AY31" s="2">
        <v>0.49752104000000003</v>
      </c>
      <c r="AZ31" s="2">
        <v>0.28432350000000001</v>
      </c>
      <c r="BA31" s="2">
        <v>0.19002204</v>
      </c>
      <c r="BB31" s="2">
        <v>0.26021358</v>
      </c>
      <c r="BC31" s="2">
        <v>0.11426086000000001</v>
      </c>
      <c r="BD31" s="2">
        <v>0.22955623</v>
      </c>
      <c r="BE31" s="2">
        <v>0.34252146</v>
      </c>
      <c r="BF31" s="2">
        <v>0.50821435000000004</v>
      </c>
      <c r="BG31" s="2">
        <v>0.13485279999999999</v>
      </c>
      <c r="BH31" s="2">
        <v>0.23994472999999999</v>
      </c>
      <c r="BI31" s="2">
        <v>0.20664183999999999</v>
      </c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x14ac:dyDescent="0.25">
      <c r="A32" t="str" cm="1">
        <f t="array" ref="A32">_xll.FDS(B32,"FG_COMPANY_NAME")</f>
        <v>Anglo American plc</v>
      </c>
      <c r="B32" s="4" t="str">
        <v>AAL-GB</v>
      </c>
      <c r="C32" s="2">
        <v>0.39938404999999999</v>
      </c>
      <c r="D32" s="2">
        <v>1</v>
      </c>
      <c r="E32" s="2">
        <v>0.23118158</v>
      </c>
      <c r="F32" s="2">
        <v>0.27339723999999999</v>
      </c>
      <c r="G32" s="2">
        <v>0.20845010999999999</v>
      </c>
      <c r="H32" s="2">
        <v>0.24558595</v>
      </c>
      <c r="I32" s="2">
        <v>0.49699247000000002</v>
      </c>
      <c r="J32" s="2">
        <v>0.32804741999999998</v>
      </c>
      <c r="K32" s="2">
        <v>3.9772460000000003E-3</v>
      </c>
      <c r="L32" s="2">
        <v>0.26483834000000001</v>
      </c>
      <c r="M32" s="2">
        <v>0.40039469999999999</v>
      </c>
      <c r="N32" s="2">
        <v>0.2219083</v>
      </c>
      <c r="O32" s="2">
        <v>0.38348606000000002</v>
      </c>
      <c r="P32" s="2">
        <v>0.14241656999999999</v>
      </c>
      <c r="Q32" s="2">
        <v>0.40760097000000001</v>
      </c>
      <c r="R32" s="2">
        <v>0.52129179999999997</v>
      </c>
      <c r="S32" s="2">
        <v>0.22555006999999999</v>
      </c>
      <c r="T32" s="2">
        <v>5.1864404000000003E-2</v>
      </c>
      <c r="U32" s="2">
        <v>0.33170706</v>
      </c>
      <c r="V32" s="2">
        <v>0.12959493999999999</v>
      </c>
      <c r="W32" s="2">
        <v>0.23344079000000001</v>
      </c>
      <c r="X32" s="2">
        <v>0.16092535999999999</v>
      </c>
      <c r="Y32" s="2">
        <v>0.15579519999999999</v>
      </c>
      <c r="Z32" s="2">
        <v>0.40353470000000002</v>
      </c>
      <c r="AA32" s="2">
        <v>0.14545378</v>
      </c>
      <c r="AB32" s="2">
        <v>4.5460503999999999E-2</v>
      </c>
      <c r="AC32" s="2">
        <v>0.28487446999999999</v>
      </c>
      <c r="AD32" s="2">
        <v>0.34101942000000002</v>
      </c>
      <c r="AE32" s="2">
        <v>0.11964421</v>
      </c>
      <c r="AF32" s="2">
        <v>0.25129952999999999</v>
      </c>
      <c r="AG32" s="2">
        <v>0.11732159</v>
      </c>
      <c r="AH32" s="2">
        <v>0.22978367999999999</v>
      </c>
      <c r="AI32" s="2">
        <v>0.13224563</v>
      </c>
      <c r="AJ32" s="2">
        <v>0.46879920000000003</v>
      </c>
      <c r="AK32" s="2">
        <v>0.13212421999999999</v>
      </c>
      <c r="AL32" s="2">
        <v>8.7521989999999994E-2</v>
      </c>
      <c r="AM32" s="2">
        <v>7.1844140000000001E-2</v>
      </c>
      <c r="AN32" s="2">
        <v>0.27331284</v>
      </c>
      <c r="AO32" s="2">
        <v>0.46868959999999998</v>
      </c>
      <c r="AP32" s="2">
        <v>0.16623355000000001</v>
      </c>
      <c r="AQ32" s="2">
        <v>0.13028964000000001</v>
      </c>
      <c r="AR32" s="2">
        <v>0.18667980000000001</v>
      </c>
      <c r="AS32" s="2">
        <v>0.18667169</v>
      </c>
      <c r="AT32" s="2">
        <v>0.21183583</v>
      </c>
      <c r="AU32" s="2">
        <v>0.17771261999999999</v>
      </c>
      <c r="AV32" s="2">
        <v>0.41083544</v>
      </c>
      <c r="AW32" s="2">
        <v>0.44025629999999999</v>
      </c>
      <c r="AX32" s="2">
        <v>0.19515103</v>
      </c>
      <c r="AY32" s="2">
        <v>0.42039083999999999</v>
      </c>
      <c r="AZ32" s="2">
        <v>0.44327343000000002</v>
      </c>
      <c r="BA32" s="2">
        <v>9.7889069999999995E-2</v>
      </c>
      <c r="BB32" s="2">
        <v>0.53149796000000005</v>
      </c>
      <c r="BC32" s="2">
        <v>7.9161919999999997E-2</v>
      </c>
      <c r="BD32" s="2">
        <v>0.17980261</v>
      </c>
      <c r="BE32" s="2">
        <v>0.29535085</v>
      </c>
      <c r="BF32" s="2">
        <v>0.38193080000000001</v>
      </c>
      <c r="BG32" s="2">
        <v>0.1447117</v>
      </c>
      <c r="BH32" s="2">
        <v>0.13327818</v>
      </c>
      <c r="BI32" s="2">
        <v>0.1998287</v>
      </c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x14ac:dyDescent="0.25">
      <c r="A33" t="str" cm="1">
        <f t="array" ref="A33">_xll.FDS(B33,"FG_COMPANY_NAME")</f>
        <v>Anhui Conch Cement Company Limited Class H</v>
      </c>
      <c r="B33" s="4" t="str">
        <v>914-HK</v>
      </c>
      <c r="C33" s="2">
        <v>0.12351597</v>
      </c>
      <c r="D33" s="2">
        <v>0.23118158</v>
      </c>
      <c r="E33" s="2">
        <v>1</v>
      </c>
      <c r="F33" s="2">
        <v>7.7002379999999995E-2</v>
      </c>
      <c r="G33" s="2">
        <v>0.219586</v>
      </c>
      <c r="H33" s="2">
        <v>0.38515212999999998</v>
      </c>
      <c r="I33" s="2">
        <v>0.16261686</v>
      </c>
      <c r="J33" s="2">
        <v>0.12648934000000001</v>
      </c>
      <c r="K33" s="2">
        <v>6.0530566000000001E-2</v>
      </c>
      <c r="L33" s="2">
        <v>9.9050890000000003E-2</v>
      </c>
      <c r="M33" s="2">
        <v>0.16386202999999999</v>
      </c>
      <c r="N33" s="2">
        <v>4.913928E-2</v>
      </c>
      <c r="O33" s="2">
        <v>6.6979919999999998E-2</v>
      </c>
      <c r="P33" s="2">
        <v>0.10347692</v>
      </c>
      <c r="Q33" s="2">
        <v>9.0182449999999997E-2</v>
      </c>
      <c r="R33" s="2">
        <v>0.11647656000000001</v>
      </c>
      <c r="S33" s="2">
        <v>7.7189320000000006E-2</v>
      </c>
      <c r="T33" s="2">
        <v>9.7278970000000006E-2</v>
      </c>
      <c r="U33" s="2">
        <v>8.0474379999999998E-2</v>
      </c>
      <c r="V33" s="2">
        <v>0.14139457</v>
      </c>
      <c r="W33" s="2">
        <v>6.6502123999999996E-2</v>
      </c>
      <c r="X33" s="2">
        <v>3.7332084000000001E-2</v>
      </c>
      <c r="Y33" s="2">
        <v>0.19620481000000001</v>
      </c>
      <c r="Z33" s="2">
        <v>0.16724078000000001</v>
      </c>
      <c r="AA33" s="2">
        <v>2.7636377E-2</v>
      </c>
      <c r="AB33" s="2">
        <v>2.7529266E-2</v>
      </c>
      <c r="AC33" s="2">
        <v>7.3951446000000004E-2</v>
      </c>
      <c r="AD33" s="2">
        <v>0.11294534000000001</v>
      </c>
      <c r="AE33" s="2">
        <v>4.0439438000000001E-2</v>
      </c>
      <c r="AF33" s="2">
        <v>7.1766670000000005E-2</v>
      </c>
      <c r="AG33" s="2">
        <v>4.872398E-2</v>
      </c>
      <c r="AH33" s="2">
        <v>4.1892159999999998E-2</v>
      </c>
      <c r="AI33" s="2">
        <v>4.5309469999999998E-2</v>
      </c>
      <c r="AJ33" s="2">
        <v>0.12148349999999999</v>
      </c>
      <c r="AK33" s="2">
        <v>9.4915054999999998E-2</v>
      </c>
      <c r="AL33" s="2">
        <v>7.7587046000000007E-2</v>
      </c>
      <c r="AM33" s="2">
        <v>6.3168189999999999E-2</v>
      </c>
      <c r="AN33" s="2">
        <v>9.3412146000000001E-2</v>
      </c>
      <c r="AO33" s="2">
        <v>0.12067817</v>
      </c>
      <c r="AP33" s="2">
        <v>0.11386462999999999</v>
      </c>
      <c r="AQ33" s="2">
        <v>3.0167788000000001E-2</v>
      </c>
      <c r="AR33" s="2">
        <v>0.22901434000000001</v>
      </c>
      <c r="AS33" s="2">
        <v>4.234715E-2</v>
      </c>
      <c r="AT33" s="2">
        <v>7.3625510000000005E-2</v>
      </c>
      <c r="AU33" s="2">
        <v>0.20805001000000001</v>
      </c>
      <c r="AV33" s="2">
        <v>0.12227104599999999</v>
      </c>
      <c r="AW33" s="2">
        <v>0.18625233999999999</v>
      </c>
      <c r="AX33" s="2">
        <v>4.9963500000000001E-2</v>
      </c>
      <c r="AY33" s="2">
        <v>0.18200777000000001</v>
      </c>
      <c r="AZ33" s="2">
        <v>0.15071787</v>
      </c>
      <c r="BA33" s="2">
        <v>8.9549260000000006E-2</v>
      </c>
      <c r="BB33" s="2">
        <v>0.16476853</v>
      </c>
      <c r="BC33" s="2">
        <v>8.6470560000000002E-3</v>
      </c>
      <c r="BD33" s="2">
        <v>5.2148562000000002E-2</v>
      </c>
      <c r="BE33" s="2">
        <v>9.2439660000000007E-2</v>
      </c>
      <c r="BF33" s="2">
        <v>0.12213162</v>
      </c>
      <c r="BG33" s="2">
        <v>5.8911853E-2</v>
      </c>
      <c r="BH33" s="2">
        <v>6.3418370000000002E-2</v>
      </c>
      <c r="BI33" s="2">
        <v>5.1414757999999998E-2</v>
      </c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x14ac:dyDescent="0.25">
      <c r="A34" t="str" cm="1">
        <f t="array" ref="A34">_xll.FDS(B34,"FG_COMPANY_NAME")</f>
        <v>Aptiv PLC</v>
      </c>
      <c r="B34" s="4" t="str">
        <v>APTV-US</v>
      </c>
      <c r="C34" s="2">
        <v>0.31796327000000002</v>
      </c>
      <c r="D34" s="2">
        <v>0.27339723999999999</v>
      </c>
      <c r="E34" s="2">
        <v>7.7002379999999995E-2</v>
      </c>
      <c r="F34" s="2">
        <v>1</v>
      </c>
      <c r="G34" s="2">
        <v>0.25657505000000003</v>
      </c>
      <c r="H34" s="2">
        <v>0.11218112</v>
      </c>
      <c r="I34" s="2">
        <v>0.39639394999999999</v>
      </c>
      <c r="J34" s="2">
        <v>0.22450598999999999</v>
      </c>
      <c r="K34" s="2">
        <v>9.6634104999999998E-2</v>
      </c>
      <c r="L34" s="2">
        <v>0.16366695000000001</v>
      </c>
      <c r="M34" s="2">
        <v>0.25423726000000002</v>
      </c>
      <c r="N34" s="2">
        <v>0.14983840000000001</v>
      </c>
      <c r="O34" s="2">
        <v>0.4171376</v>
      </c>
      <c r="P34" s="2">
        <v>5.4068792999999997E-2</v>
      </c>
      <c r="Q34" s="2">
        <v>0.33327508</v>
      </c>
      <c r="R34" s="2">
        <v>0.22662239000000001</v>
      </c>
      <c r="S34" s="2">
        <v>6.8243440000000002E-2</v>
      </c>
      <c r="T34" s="2">
        <v>2.0722293000000002E-3</v>
      </c>
      <c r="U34" s="2">
        <v>0.35890490000000003</v>
      </c>
      <c r="V34" s="2">
        <v>4.2003355999999999E-2</v>
      </c>
      <c r="W34" s="2">
        <v>0.43935079999999999</v>
      </c>
      <c r="X34" s="2">
        <v>0.35284764000000002</v>
      </c>
      <c r="Y34" s="2">
        <v>6.7978464000000002E-2</v>
      </c>
      <c r="Z34" s="2">
        <v>0.31843527999999999</v>
      </c>
      <c r="AA34" s="2">
        <v>8.3258470000000001E-2</v>
      </c>
      <c r="AB34" s="2">
        <v>0.116408706</v>
      </c>
      <c r="AC34" s="2">
        <v>0.74977830000000001</v>
      </c>
      <c r="AD34" s="2">
        <v>0.48787710000000001</v>
      </c>
      <c r="AE34" s="2">
        <v>0.39698410000000001</v>
      </c>
      <c r="AF34" s="2">
        <v>0.48700399999999999</v>
      </c>
      <c r="AG34" s="2">
        <v>4.8910510000000004E-3</v>
      </c>
      <c r="AH34" s="2">
        <v>0.52945894000000004</v>
      </c>
      <c r="AI34" s="2">
        <v>0.25599379999999999</v>
      </c>
      <c r="AJ34" s="2">
        <v>0.31025150000000001</v>
      </c>
      <c r="AK34" s="2">
        <v>4.808809E-2</v>
      </c>
      <c r="AL34" s="2">
        <v>2.9196502999999999E-2</v>
      </c>
      <c r="AM34" s="2">
        <v>0.16148512000000001</v>
      </c>
      <c r="AN34" s="2">
        <v>0.28644570000000003</v>
      </c>
      <c r="AO34" s="2">
        <v>0.21221629</v>
      </c>
      <c r="AP34" s="2">
        <v>9.315408E-2</v>
      </c>
      <c r="AQ34" s="2">
        <v>0.42271777999999999</v>
      </c>
      <c r="AR34" s="2">
        <v>7.5566510000000003E-2</v>
      </c>
      <c r="AS34" s="2">
        <v>5.7855825999999999E-2</v>
      </c>
      <c r="AT34" s="2">
        <v>0.15881817000000001</v>
      </c>
      <c r="AU34" s="2">
        <v>0.100665</v>
      </c>
      <c r="AV34" s="2">
        <v>0.30723922999999997</v>
      </c>
      <c r="AW34" s="2">
        <v>0.30487245000000002</v>
      </c>
      <c r="AX34" s="2">
        <v>0.50664370000000003</v>
      </c>
      <c r="AY34" s="2">
        <v>0.33334725999999998</v>
      </c>
      <c r="AZ34" s="2">
        <v>0.38759403999999997</v>
      </c>
      <c r="BA34" s="2">
        <v>6.9744840000000002E-2</v>
      </c>
      <c r="BB34" s="2">
        <v>0.15581703</v>
      </c>
      <c r="BC34" s="2">
        <v>0.12921235</v>
      </c>
      <c r="BD34" s="2">
        <v>0.36848122</v>
      </c>
      <c r="BE34" s="2">
        <v>0.17390521</v>
      </c>
      <c r="BF34" s="2">
        <v>0.37432579999999999</v>
      </c>
      <c r="BG34" s="2">
        <v>0.2211592</v>
      </c>
      <c r="BH34" s="2">
        <v>0.3627457</v>
      </c>
      <c r="BI34" s="2">
        <v>0.35017429999999999</v>
      </c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x14ac:dyDescent="0.25">
      <c r="A35" t="str" cm="1">
        <f t="array" ref="A35">_xll.FDS(B35,"FG_COMPANY_NAME")</f>
        <v>Autohome Inc. Sponsored ADR Class A</v>
      </c>
      <c r="B35" s="4" t="str">
        <v>ATHM-US</v>
      </c>
      <c r="C35" s="2">
        <v>0.18625734999999999</v>
      </c>
      <c r="D35" s="2">
        <v>0.20845010999999999</v>
      </c>
      <c r="E35" s="2">
        <v>0.219586</v>
      </c>
      <c r="F35" s="2">
        <v>0.25657505000000003</v>
      </c>
      <c r="G35" s="2">
        <v>1</v>
      </c>
      <c r="H35" s="2">
        <v>0.28208866999999999</v>
      </c>
      <c r="I35" s="2">
        <v>0.22138534000000001</v>
      </c>
      <c r="J35" s="2">
        <v>0.1783574</v>
      </c>
      <c r="K35" s="2">
        <v>5.0155974999999998E-2</v>
      </c>
      <c r="L35" s="2">
        <v>8.2928310000000005E-2</v>
      </c>
      <c r="M35" s="2">
        <v>0.19378798</v>
      </c>
      <c r="N35" s="2">
        <v>3.6464725000000003E-2</v>
      </c>
      <c r="O35" s="2">
        <v>0.19803022000000001</v>
      </c>
      <c r="P35" s="2">
        <v>4.3601554000000001E-2</v>
      </c>
      <c r="Q35" s="2">
        <v>0.13431253000000001</v>
      </c>
      <c r="R35" s="2">
        <v>0.14223558</v>
      </c>
      <c r="S35" s="2">
        <v>8.990513E-2</v>
      </c>
      <c r="T35" s="2">
        <v>1.608673E-2</v>
      </c>
      <c r="U35" s="2">
        <v>0.12201606500000001</v>
      </c>
      <c r="V35" s="2">
        <v>0.11337348</v>
      </c>
      <c r="W35" s="2">
        <v>0.16092788</v>
      </c>
      <c r="X35" s="2">
        <v>0.16909940000000001</v>
      </c>
      <c r="Y35" s="2">
        <v>7.8869745000000005E-2</v>
      </c>
      <c r="Z35" s="2">
        <v>0.23252255999999999</v>
      </c>
      <c r="AA35" s="2">
        <v>7.4997519999999998E-2</v>
      </c>
      <c r="AB35" s="2">
        <v>2.98947E-2</v>
      </c>
      <c r="AC35" s="2">
        <v>0.23379572000000001</v>
      </c>
      <c r="AD35" s="2">
        <v>0.22604072</v>
      </c>
      <c r="AE35" s="2">
        <v>0.15629771000000001</v>
      </c>
      <c r="AF35" s="2">
        <v>0.20698543</v>
      </c>
      <c r="AG35" s="2">
        <v>5.2585109999999996E-3</v>
      </c>
      <c r="AH35" s="2">
        <v>0.23356366000000001</v>
      </c>
      <c r="AI35" s="2">
        <v>0.105211444</v>
      </c>
      <c r="AJ35" s="2">
        <v>0.15255003</v>
      </c>
      <c r="AK35" s="2">
        <v>3.7213049999999998E-2</v>
      </c>
      <c r="AL35" s="2">
        <v>3.5090685000000003E-2</v>
      </c>
      <c r="AM35" s="2">
        <v>3.1156102000000001E-2</v>
      </c>
      <c r="AN35" s="2">
        <v>0.17763424</v>
      </c>
      <c r="AO35" s="2">
        <v>0.12843104999999999</v>
      </c>
      <c r="AP35" s="2">
        <v>8.2410949999999997E-2</v>
      </c>
      <c r="AQ35" s="2">
        <v>0.16033295</v>
      </c>
      <c r="AR35" s="2">
        <v>0.112823956</v>
      </c>
      <c r="AS35" s="2">
        <v>9.1918940000000005E-2</v>
      </c>
      <c r="AT35" s="2">
        <v>0.13496627999999999</v>
      </c>
      <c r="AU35" s="2">
        <v>9.2396006000000003E-2</v>
      </c>
      <c r="AV35" s="2">
        <v>0.16587180000000001</v>
      </c>
      <c r="AW35" s="2">
        <v>0.20078865000000001</v>
      </c>
      <c r="AX35" s="2">
        <v>0.21013322000000001</v>
      </c>
      <c r="AY35" s="2">
        <v>0.21844538999999999</v>
      </c>
      <c r="AZ35" s="2">
        <v>0.24097673999999999</v>
      </c>
      <c r="BA35" s="2">
        <v>6.815889E-2</v>
      </c>
      <c r="BB35" s="2">
        <v>0.17733148000000001</v>
      </c>
      <c r="BC35" s="2">
        <v>5.8938865E-2</v>
      </c>
      <c r="BD35" s="2">
        <v>0.19347212999999999</v>
      </c>
      <c r="BE35" s="2">
        <v>7.8499449999999998E-2</v>
      </c>
      <c r="BF35" s="2">
        <v>0.21164237</v>
      </c>
      <c r="BG35" s="2">
        <v>6.8006319999999995E-2</v>
      </c>
      <c r="BH35" s="2">
        <v>0.18918884999999999</v>
      </c>
      <c r="BI35" s="2">
        <v>0.13112860000000001</v>
      </c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x14ac:dyDescent="0.25">
      <c r="A36" t="str" cm="1">
        <f t="array" ref="A36">_xll.FDS(B36,"FG_COMPANY_NAME")</f>
        <v>Baidu, Inc. Class A</v>
      </c>
      <c r="B36" s="4" t="str">
        <v>9888-HK</v>
      </c>
      <c r="C36" s="2">
        <v>0.18713966000000001</v>
      </c>
      <c r="D36" s="2">
        <v>0.24558595</v>
      </c>
      <c r="E36" s="2">
        <v>0.38515212999999998</v>
      </c>
      <c r="F36" s="2">
        <v>0.11218112</v>
      </c>
      <c r="G36" s="2">
        <v>0.28208866999999999</v>
      </c>
      <c r="H36" s="2">
        <v>1</v>
      </c>
      <c r="I36" s="2">
        <v>0.17286283</v>
      </c>
      <c r="J36" s="2">
        <v>0.15218847999999999</v>
      </c>
      <c r="K36" s="2">
        <v>-3.3161762999999997E-2</v>
      </c>
      <c r="L36" s="2">
        <v>7.6805613999999994E-2</v>
      </c>
      <c r="M36" s="2">
        <v>0.21377214999999999</v>
      </c>
      <c r="N36" s="2">
        <v>2.3438502E-2</v>
      </c>
      <c r="O36" s="2">
        <v>0.15538395999999999</v>
      </c>
      <c r="P36" s="2">
        <v>0.17138945</v>
      </c>
      <c r="Q36" s="2">
        <v>0.18730856000000001</v>
      </c>
      <c r="R36" s="2">
        <v>0.13930941999999999</v>
      </c>
      <c r="S36" s="2">
        <v>6.9562139999999995E-2</v>
      </c>
      <c r="T36" s="2">
        <v>9.6776979999999999E-2</v>
      </c>
      <c r="U36" s="2">
        <v>5.8869856999999998E-2</v>
      </c>
      <c r="V36" s="2">
        <v>0.19740953999999999</v>
      </c>
      <c r="W36" s="2">
        <v>6.4321174999999994E-2</v>
      </c>
      <c r="X36" s="2">
        <v>5.9526286999999997E-2</v>
      </c>
      <c r="Y36" s="2">
        <v>0.23353863</v>
      </c>
      <c r="Z36" s="2">
        <v>0.25284863000000002</v>
      </c>
      <c r="AA36" s="2">
        <v>1.5571003999999999E-2</v>
      </c>
      <c r="AB36" s="2">
        <v>-3.7563480000000003E-2</v>
      </c>
      <c r="AC36" s="2">
        <v>0.101971455</v>
      </c>
      <c r="AD36" s="2">
        <v>0.13737674</v>
      </c>
      <c r="AE36" s="2">
        <v>3.4880225000000001E-2</v>
      </c>
      <c r="AF36" s="2">
        <v>5.9619739999999997E-2</v>
      </c>
      <c r="AG36" s="2">
        <v>2.9118108E-2</v>
      </c>
      <c r="AH36" s="2">
        <v>8.9560340000000002E-2</v>
      </c>
      <c r="AI36" s="2">
        <v>-1.6897559999999999E-2</v>
      </c>
      <c r="AJ36" s="2">
        <v>0.12580121999999999</v>
      </c>
      <c r="AK36" s="2">
        <v>0.13609755000000001</v>
      </c>
      <c r="AL36" s="2">
        <v>9.606982E-2</v>
      </c>
      <c r="AM36" s="2">
        <v>2.2934861000000001E-2</v>
      </c>
      <c r="AN36" s="2">
        <v>0.23145977000000001</v>
      </c>
      <c r="AO36" s="2">
        <v>0.1449145</v>
      </c>
      <c r="AP36" s="2">
        <v>0.24354164</v>
      </c>
      <c r="AQ36" s="2">
        <v>4.1232754000000003E-2</v>
      </c>
      <c r="AR36" s="2">
        <v>0.29266569999999997</v>
      </c>
      <c r="AS36" s="2">
        <v>3.9775115E-2</v>
      </c>
      <c r="AT36" s="2">
        <v>6.1425140000000003E-2</v>
      </c>
      <c r="AU36" s="2">
        <v>0.24364161000000001</v>
      </c>
      <c r="AV36" s="2">
        <v>0.12618958999999999</v>
      </c>
      <c r="AW36" s="2">
        <v>0.19871105</v>
      </c>
      <c r="AX36" s="2">
        <v>0.10451142500000001</v>
      </c>
      <c r="AY36" s="2">
        <v>0.26944780000000002</v>
      </c>
      <c r="AZ36" s="2">
        <v>0.14724803</v>
      </c>
      <c r="BA36" s="2">
        <v>0.13840169999999999</v>
      </c>
      <c r="BB36" s="2">
        <v>0.18846282</v>
      </c>
      <c r="BC36" s="2">
        <v>-3.4492540000000002E-2</v>
      </c>
      <c r="BD36" s="2">
        <v>7.2277289999999994E-2</v>
      </c>
      <c r="BE36" s="2">
        <v>2.9277530999999999E-2</v>
      </c>
      <c r="BF36" s="2">
        <v>0.18033718000000001</v>
      </c>
      <c r="BG36" s="2">
        <v>4.6948040000000003E-3</v>
      </c>
      <c r="BH36" s="2">
        <v>4.5758675999999998E-2</v>
      </c>
      <c r="BI36" s="2">
        <v>4.9816805999999998E-2</v>
      </c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x14ac:dyDescent="0.25">
      <c r="A37" t="str" cm="1">
        <f t="array" ref="A37">_xll.FDS(B37,"FG_COMPANY_NAME")</f>
        <v>BASF SE</v>
      </c>
      <c r="B37" s="4" t="str">
        <v>BAS-DE</v>
      </c>
      <c r="C37" s="2">
        <v>0.58397829999999995</v>
      </c>
      <c r="D37" s="2">
        <v>0.49699247000000002</v>
      </c>
      <c r="E37" s="2">
        <v>0.16261686</v>
      </c>
      <c r="F37" s="2">
        <v>0.39639394999999999</v>
      </c>
      <c r="G37" s="2">
        <v>0.22138534000000001</v>
      </c>
      <c r="H37" s="2">
        <v>0.17286283</v>
      </c>
      <c r="I37" s="2">
        <v>1</v>
      </c>
      <c r="J37" s="2">
        <v>0.50157684000000002</v>
      </c>
      <c r="K37" s="2">
        <v>4.6026655E-2</v>
      </c>
      <c r="L37" s="2">
        <v>0.32257318000000001</v>
      </c>
      <c r="M37" s="2">
        <v>0.47170675000000001</v>
      </c>
      <c r="N37" s="2">
        <v>0.34310368000000002</v>
      </c>
      <c r="O37" s="2">
        <v>0.64986089999999996</v>
      </c>
      <c r="P37" s="2">
        <v>0.16760652000000001</v>
      </c>
      <c r="Q37" s="2">
        <v>0.52300500000000005</v>
      </c>
      <c r="R37" s="2">
        <v>0.52420069999999996</v>
      </c>
      <c r="S37" s="2">
        <v>0.2632854</v>
      </c>
      <c r="T37" s="2">
        <v>6.1505597000000002E-2</v>
      </c>
      <c r="U37" s="2">
        <v>0.28608724000000002</v>
      </c>
      <c r="V37" s="2">
        <v>0.12476337</v>
      </c>
      <c r="W37" s="2">
        <v>0.26497419999999999</v>
      </c>
      <c r="X37" s="2">
        <v>0.17784554999999999</v>
      </c>
      <c r="Y37" s="2">
        <v>0.11342368</v>
      </c>
      <c r="Z37" s="2">
        <v>0.55289889999999997</v>
      </c>
      <c r="AA37" s="2">
        <v>0.27792665</v>
      </c>
      <c r="AB37" s="2">
        <v>0.110833295</v>
      </c>
      <c r="AC37" s="2">
        <v>0.44210115</v>
      </c>
      <c r="AD37" s="2">
        <v>0.42688102</v>
      </c>
      <c r="AE37" s="2">
        <v>0.21113420999999999</v>
      </c>
      <c r="AF37" s="2">
        <v>0.39829300000000001</v>
      </c>
      <c r="AG37" s="2">
        <v>8.6662169999999997E-2</v>
      </c>
      <c r="AH37" s="2">
        <v>0.33198673000000001</v>
      </c>
      <c r="AI37" s="2">
        <v>0.22068276000000001</v>
      </c>
      <c r="AJ37" s="2">
        <v>0.51832009999999995</v>
      </c>
      <c r="AK37" s="2">
        <v>0.11048277500000001</v>
      </c>
      <c r="AL37" s="2">
        <v>9.2945059999999996E-2</v>
      </c>
      <c r="AM37" s="2">
        <v>0.12530355000000001</v>
      </c>
      <c r="AN37" s="2">
        <v>0.41222456000000002</v>
      </c>
      <c r="AO37" s="2">
        <v>0.42036216999999998</v>
      </c>
      <c r="AP37" s="2">
        <v>0.2000265</v>
      </c>
      <c r="AQ37" s="2">
        <v>0.24434971999999999</v>
      </c>
      <c r="AR37" s="2">
        <v>0.16238823999999999</v>
      </c>
      <c r="AS37" s="2">
        <v>0.27407530000000002</v>
      </c>
      <c r="AT37" s="2">
        <v>0.28872692999999999</v>
      </c>
      <c r="AU37" s="2">
        <v>0.13911240999999999</v>
      </c>
      <c r="AV37" s="2">
        <v>0.61443572999999996</v>
      </c>
      <c r="AW37" s="2">
        <v>0.49541970000000002</v>
      </c>
      <c r="AX37" s="2">
        <v>0.30816174000000002</v>
      </c>
      <c r="AY37" s="2">
        <v>0.52065649999999997</v>
      </c>
      <c r="AZ37" s="2">
        <v>0.36164184999999999</v>
      </c>
      <c r="BA37" s="2">
        <v>0.13901925000000001</v>
      </c>
      <c r="BB37" s="2">
        <v>0.29139789999999999</v>
      </c>
      <c r="BC37" s="2">
        <v>0.117634356</v>
      </c>
      <c r="BD37" s="2">
        <v>0.26557683999999998</v>
      </c>
      <c r="BE37" s="2">
        <v>0.35762529999999998</v>
      </c>
      <c r="BF37" s="2">
        <v>0.62624049999999998</v>
      </c>
      <c r="BG37" s="2">
        <v>0.1702902</v>
      </c>
      <c r="BH37" s="2">
        <v>0.26158946999999999</v>
      </c>
      <c r="BI37" s="2">
        <v>0.22947455999999999</v>
      </c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x14ac:dyDescent="0.25">
      <c r="A38" t="str" cm="1">
        <f t="array" ref="A38">_xll.FDS(B38,"FG_COMPANY_NAME")</f>
        <v>Bayer AG</v>
      </c>
      <c r="B38" s="4" t="str">
        <v>BAYN-DE</v>
      </c>
      <c r="C38" s="2">
        <v>0.39164490000000002</v>
      </c>
      <c r="D38" s="2">
        <v>0.32804741999999998</v>
      </c>
      <c r="E38" s="2">
        <v>0.12648934000000001</v>
      </c>
      <c r="F38" s="2">
        <v>0.22450598999999999</v>
      </c>
      <c r="G38" s="2">
        <v>0.1783574</v>
      </c>
      <c r="H38" s="2">
        <v>0.15218847999999999</v>
      </c>
      <c r="I38" s="2">
        <v>0.50157684000000002</v>
      </c>
      <c r="J38" s="2">
        <v>1</v>
      </c>
      <c r="K38" s="2">
        <v>0.17970860999999999</v>
      </c>
      <c r="L38" s="2">
        <v>0.27321023</v>
      </c>
      <c r="M38" s="2">
        <v>0.32778388000000003</v>
      </c>
      <c r="N38" s="2">
        <v>0.29809957999999998</v>
      </c>
      <c r="O38" s="2">
        <v>0.40314610000000001</v>
      </c>
      <c r="P38" s="2">
        <v>0.14631343999999999</v>
      </c>
      <c r="Q38" s="2">
        <v>0.38016596000000002</v>
      </c>
      <c r="R38" s="2">
        <v>0.37603726999999998</v>
      </c>
      <c r="S38" s="2">
        <v>0.35018376000000001</v>
      </c>
      <c r="T38" s="2">
        <v>0.11698209499999999</v>
      </c>
      <c r="U38" s="2">
        <v>0.18306157000000001</v>
      </c>
      <c r="V38" s="2">
        <v>5.2054499999999997E-2</v>
      </c>
      <c r="W38" s="2">
        <v>0.14245532</v>
      </c>
      <c r="X38" s="2">
        <v>0.12817603</v>
      </c>
      <c r="Y38" s="2">
        <v>7.45947E-2</v>
      </c>
      <c r="Z38" s="2">
        <v>0.38052340000000001</v>
      </c>
      <c r="AA38" s="2">
        <v>0.28517239999999999</v>
      </c>
      <c r="AB38" s="2">
        <v>0.11295729</v>
      </c>
      <c r="AC38" s="2">
        <v>0.24379359</v>
      </c>
      <c r="AD38" s="2">
        <v>0.22644</v>
      </c>
      <c r="AE38" s="2">
        <v>8.6407065000000005E-2</v>
      </c>
      <c r="AF38" s="2">
        <v>0.21613170000000001</v>
      </c>
      <c r="AG38" s="2">
        <v>0.11234039</v>
      </c>
      <c r="AH38" s="2">
        <v>0.19858940999999999</v>
      </c>
      <c r="AI38" s="2">
        <v>0.10971255000000001</v>
      </c>
      <c r="AJ38" s="2">
        <v>0.37212124000000002</v>
      </c>
      <c r="AK38" s="2">
        <v>0.112034306</v>
      </c>
      <c r="AL38" s="2">
        <v>0.10828794</v>
      </c>
      <c r="AM38" s="2">
        <v>0.19156912000000001</v>
      </c>
      <c r="AN38" s="2">
        <v>0.27716079999999998</v>
      </c>
      <c r="AO38" s="2">
        <v>0.28715370000000001</v>
      </c>
      <c r="AP38" s="2">
        <v>0.21861146000000001</v>
      </c>
      <c r="AQ38" s="2">
        <v>0.108912565</v>
      </c>
      <c r="AR38" s="2">
        <v>0.12764494000000001</v>
      </c>
      <c r="AS38" s="2">
        <v>0.39283245999999999</v>
      </c>
      <c r="AT38" s="2">
        <v>0.30958790000000003</v>
      </c>
      <c r="AU38" s="2">
        <v>0.10563913</v>
      </c>
      <c r="AV38" s="2">
        <v>0.40558714000000001</v>
      </c>
      <c r="AW38" s="2">
        <v>0.33661464000000002</v>
      </c>
      <c r="AX38" s="2">
        <v>0.19430612</v>
      </c>
      <c r="AY38" s="2">
        <v>0.32963144999999999</v>
      </c>
      <c r="AZ38" s="2">
        <v>0.22059269000000001</v>
      </c>
      <c r="BA38" s="2">
        <v>0.15196058000000001</v>
      </c>
      <c r="BB38" s="2">
        <v>0.23455875000000001</v>
      </c>
      <c r="BC38" s="2">
        <v>0.10577816499999999</v>
      </c>
      <c r="BD38" s="2">
        <v>0.23700160000000001</v>
      </c>
      <c r="BE38" s="2">
        <v>0.34853013999999999</v>
      </c>
      <c r="BF38" s="2">
        <v>0.40551424000000003</v>
      </c>
      <c r="BG38" s="2">
        <v>0.13743018000000001</v>
      </c>
      <c r="BH38" s="2">
        <v>0.17352803</v>
      </c>
      <c r="BI38" s="2">
        <v>0.14339519000000001</v>
      </c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x14ac:dyDescent="0.25">
      <c r="A39" t="str" cm="1">
        <f t="array" ref="A39">_xll.FDS(B39,"FG_COMPANY_NAME")</f>
        <v>Bristol-Myers Squibb Company</v>
      </c>
      <c r="B39" s="4" t="str">
        <v>BMY-US</v>
      </c>
      <c r="C39" s="2">
        <v>4.5512206999999999E-2</v>
      </c>
      <c r="D39" s="2">
        <v>3.9772460000000003E-3</v>
      </c>
      <c r="E39" s="2">
        <v>6.0530566000000001E-2</v>
      </c>
      <c r="F39" s="2">
        <v>9.6634104999999998E-2</v>
      </c>
      <c r="G39" s="2">
        <v>5.0155974999999998E-2</v>
      </c>
      <c r="H39" s="2">
        <v>-3.3161762999999997E-2</v>
      </c>
      <c r="I39" s="2">
        <v>4.6026655E-2</v>
      </c>
      <c r="J39" s="2">
        <v>0.17970860999999999</v>
      </c>
      <c r="K39" s="2">
        <v>1</v>
      </c>
      <c r="L39" s="2">
        <v>9.7486644999999997E-2</v>
      </c>
      <c r="M39" s="2">
        <v>1.6223310000000001E-2</v>
      </c>
      <c r="N39" s="2">
        <v>1.9878204999999999E-2</v>
      </c>
      <c r="O39" s="2">
        <v>4.7989544000000002E-2</v>
      </c>
      <c r="P39" s="2">
        <v>1.1468804000000001E-2</v>
      </c>
      <c r="Q39" s="2">
        <v>3.906739E-2</v>
      </c>
      <c r="R39" s="2">
        <v>4.3117410000000002E-2</v>
      </c>
      <c r="S39" s="2">
        <v>0.24124144</v>
      </c>
      <c r="T39" s="2">
        <v>-2.5161894000000001E-2</v>
      </c>
      <c r="U39" s="2">
        <v>0.15081222</v>
      </c>
      <c r="V39" s="2">
        <v>9.6381910000000008E-3</v>
      </c>
      <c r="W39" s="2">
        <v>0.11235003</v>
      </c>
      <c r="X39" s="2">
        <v>8.2754225000000001E-2</v>
      </c>
      <c r="Y39" s="2">
        <v>-1.3518405000000001E-2</v>
      </c>
      <c r="Z39" s="2">
        <v>6.252576E-2</v>
      </c>
      <c r="AA39" s="2">
        <v>6.1601400000000001E-2</v>
      </c>
      <c r="AB39" s="2">
        <v>0.23448189999999999</v>
      </c>
      <c r="AC39" s="2">
        <v>0.16839682</v>
      </c>
      <c r="AD39" s="2">
        <v>0.18141277</v>
      </c>
      <c r="AE39" s="2">
        <v>0.10737439999999999</v>
      </c>
      <c r="AF39" s="2">
        <v>0.20463814999999999</v>
      </c>
      <c r="AG39" s="2">
        <v>1.3564672999999999E-2</v>
      </c>
      <c r="AH39" s="2">
        <v>0.20788386</v>
      </c>
      <c r="AI39" s="2">
        <v>0.21476322</v>
      </c>
      <c r="AJ39" s="2">
        <v>5.8254269999999997E-2</v>
      </c>
      <c r="AK39" s="2">
        <v>7.8891090000000001E-3</v>
      </c>
      <c r="AL39" s="2">
        <v>2.9668060999999999E-2</v>
      </c>
      <c r="AM39" s="2">
        <v>0.43334286999999999</v>
      </c>
      <c r="AN39" s="2">
        <v>4.8643350000000002E-2</v>
      </c>
      <c r="AO39" s="2">
        <v>6.1033299999999999E-2</v>
      </c>
      <c r="AP39" s="2">
        <v>8.8093354999999995E-3</v>
      </c>
      <c r="AQ39" s="2">
        <v>0.16404073</v>
      </c>
      <c r="AR39" s="2">
        <v>-4.6675573999999997E-2</v>
      </c>
      <c r="AS39" s="2">
        <v>0.22779896999999999</v>
      </c>
      <c r="AT39" s="2">
        <v>5.0166782E-2</v>
      </c>
      <c r="AU39" s="2">
        <v>5.1958229999999996E-3</v>
      </c>
      <c r="AV39" s="2">
        <v>2.2300402E-2</v>
      </c>
      <c r="AW39" s="2">
        <v>6.6408190000000006E-2</v>
      </c>
      <c r="AX39" s="2">
        <v>0.22393566000000001</v>
      </c>
      <c r="AY39" s="2">
        <v>4.7395613000000003E-2</v>
      </c>
      <c r="AZ39" s="2">
        <v>8.8818439999999999E-2</v>
      </c>
      <c r="BA39" s="2">
        <v>6.6571459999999999E-2</v>
      </c>
      <c r="BB39" s="2">
        <v>2.6704367E-2</v>
      </c>
      <c r="BC39" s="2">
        <v>0.23524706000000001</v>
      </c>
      <c r="BD39" s="2">
        <v>0.2707928</v>
      </c>
      <c r="BE39" s="2">
        <v>0.12812741</v>
      </c>
      <c r="BF39" s="2">
        <v>8.409664E-2</v>
      </c>
      <c r="BG39" s="2">
        <v>0.21326134999999999</v>
      </c>
      <c r="BH39" s="2">
        <v>0.25574980000000003</v>
      </c>
      <c r="BI39" s="2">
        <v>0.17553252</v>
      </c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x14ac:dyDescent="0.25">
      <c r="A40" t="str" cm="1">
        <f t="array" ref="A40">_xll.FDS(B40,"FG_COMPANY_NAME")</f>
        <v>BT Group plc</v>
      </c>
      <c r="B40" s="4" t="str">
        <v>BT.A-GB</v>
      </c>
      <c r="C40" s="2">
        <v>0.32664569999999998</v>
      </c>
      <c r="D40" s="2">
        <v>0.26483834000000001</v>
      </c>
      <c r="E40" s="2">
        <v>9.9050890000000003E-2</v>
      </c>
      <c r="F40" s="2">
        <v>0.16366695000000001</v>
      </c>
      <c r="G40" s="2">
        <v>8.2928310000000005E-2</v>
      </c>
      <c r="H40" s="2">
        <v>7.6805613999999994E-2</v>
      </c>
      <c r="I40" s="2">
        <v>0.32257318000000001</v>
      </c>
      <c r="J40" s="2">
        <v>0.27321023</v>
      </c>
      <c r="K40" s="2">
        <v>9.7486644999999997E-2</v>
      </c>
      <c r="L40" s="2">
        <v>1</v>
      </c>
      <c r="M40" s="2">
        <v>0.28521088</v>
      </c>
      <c r="N40" s="2">
        <v>0.26148473999999999</v>
      </c>
      <c r="O40" s="2">
        <v>0.31309775000000001</v>
      </c>
      <c r="P40" s="2">
        <v>0.17426421</v>
      </c>
      <c r="Q40" s="2">
        <v>0.36636796999999999</v>
      </c>
      <c r="R40" s="2">
        <v>0.34775423999999999</v>
      </c>
      <c r="S40" s="2">
        <v>0.26558545</v>
      </c>
      <c r="T40" s="2">
        <v>9.3546790000000005E-2</v>
      </c>
      <c r="U40" s="2">
        <v>0.13503575000000001</v>
      </c>
      <c r="V40" s="2">
        <v>0.12392105</v>
      </c>
      <c r="W40" s="2">
        <v>9.1592019999999996E-2</v>
      </c>
      <c r="X40" s="2">
        <v>9.6063174000000001E-2</v>
      </c>
      <c r="Y40" s="2">
        <v>0.13967379999999999</v>
      </c>
      <c r="Z40" s="2">
        <v>0.25506299999999998</v>
      </c>
      <c r="AA40" s="2">
        <v>0.23886731</v>
      </c>
      <c r="AB40" s="2">
        <v>0.12269262</v>
      </c>
      <c r="AC40" s="2">
        <v>0.17925068999999999</v>
      </c>
      <c r="AD40" s="2">
        <v>0.15181078000000001</v>
      </c>
      <c r="AE40" s="2">
        <v>8.1264450000000002E-2</v>
      </c>
      <c r="AF40" s="2">
        <v>0.1919496</v>
      </c>
      <c r="AG40" s="2">
        <v>9.4026830000000006E-2</v>
      </c>
      <c r="AH40" s="2">
        <v>0.15499835000000001</v>
      </c>
      <c r="AI40" s="2">
        <v>0.18644848</v>
      </c>
      <c r="AJ40" s="2">
        <v>0.40697232</v>
      </c>
      <c r="AK40" s="2">
        <v>0.111709185</v>
      </c>
      <c r="AL40" s="2">
        <v>0.10762499</v>
      </c>
      <c r="AM40" s="2">
        <v>9.6086980000000002E-2</v>
      </c>
      <c r="AN40" s="2">
        <v>0.19196379999999999</v>
      </c>
      <c r="AO40" s="2">
        <v>0.29833162000000002</v>
      </c>
      <c r="AP40" s="2">
        <v>0.13282666000000001</v>
      </c>
      <c r="AQ40" s="2">
        <v>0.13052484</v>
      </c>
      <c r="AR40" s="2">
        <v>0.16880907000000001</v>
      </c>
      <c r="AS40" s="2">
        <v>0.20029984000000001</v>
      </c>
      <c r="AT40" s="2">
        <v>0.26795340000000001</v>
      </c>
      <c r="AU40" s="2">
        <v>0.14833887000000001</v>
      </c>
      <c r="AV40" s="2">
        <v>0.34899964999999999</v>
      </c>
      <c r="AW40" s="2">
        <v>0.32249165000000002</v>
      </c>
      <c r="AX40" s="2">
        <v>0.14078889999999999</v>
      </c>
      <c r="AY40" s="2">
        <v>0.26642206000000002</v>
      </c>
      <c r="AZ40" s="2">
        <v>0.19218260000000001</v>
      </c>
      <c r="BA40" s="2">
        <v>0.1622779</v>
      </c>
      <c r="BB40" s="2">
        <v>0.17713893999999999</v>
      </c>
      <c r="BC40" s="2">
        <v>0.20932730999999999</v>
      </c>
      <c r="BD40" s="2">
        <v>0.16019902999999999</v>
      </c>
      <c r="BE40" s="2">
        <v>0.53881049999999997</v>
      </c>
      <c r="BF40" s="2">
        <v>0.33944755999999998</v>
      </c>
      <c r="BG40" s="2">
        <v>0.13867539000000001</v>
      </c>
      <c r="BH40" s="2">
        <v>0.18218865000000001</v>
      </c>
      <c r="BI40" s="2">
        <v>0.14585213</v>
      </c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x14ac:dyDescent="0.25">
      <c r="A41" t="str" cm="1">
        <f t="array" ref="A41">_xll.FDS(B41,"FG_COMPANY_NAME")</f>
        <v>Burberry Group plc</v>
      </c>
      <c r="B41" s="4" t="str">
        <v>BRBY-GB</v>
      </c>
      <c r="C41" s="2">
        <v>0.43294632</v>
      </c>
      <c r="D41" s="2">
        <v>0.40039469999999999</v>
      </c>
      <c r="E41" s="2">
        <v>0.16386202999999999</v>
      </c>
      <c r="F41" s="2">
        <v>0.25423726000000002</v>
      </c>
      <c r="G41" s="2">
        <v>0.19378798</v>
      </c>
      <c r="H41" s="2">
        <v>0.21377214999999999</v>
      </c>
      <c r="I41" s="2">
        <v>0.47170675000000001</v>
      </c>
      <c r="J41" s="2">
        <v>0.32778388000000003</v>
      </c>
      <c r="K41" s="2">
        <v>1.6223310000000001E-2</v>
      </c>
      <c r="L41" s="2">
        <v>0.28521088</v>
      </c>
      <c r="M41" s="2">
        <v>1</v>
      </c>
      <c r="N41" s="2">
        <v>0.23582321000000001</v>
      </c>
      <c r="O41" s="2">
        <v>0.41810150000000001</v>
      </c>
      <c r="P41" s="2">
        <v>0.14484985</v>
      </c>
      <c r="Q41" s="2">
        <v>0.46616992000000002</v>
      </c>
      <c r="R41" s="2">
        <v>0.37274373</v>
      </c>
      <c r="S41" s="2">
        <v>0.22010089999999999</v>
      </c>
      <c r="T41" s="2">
        <v>7.6597445E-2</v>
      </c>
      <c r="U41" s="2">
        <v>0.13717712000000001</v>
      </c>
      <c r="V41" s="2">
        <v>0.10975981999999999</v>
      </c>
      <c r="W41" s="2">
        <v>0.18849631999999999</v>
      </c>
      <c r="X41" s="2">
        <v>9.5191814E-2</v>
      </c>
      <c r="Y41" s="2">
        <v>0.11580456</v>
      </c>
      <c r="Z41" s="2">
        <v>0.62563959999999996</v>
      </c>
      <c r="AA41" s="2">
        <v>0.19669776</v>
      </c>
      <c r="AB41" s="2">
        <v>3.6212741999999999E-2</v>
      </c>
      <c r="AC41" s="2">
        <v>0.25635530000000001</v>
      </c>
      <c r="AD41" s="2">
        <v>0.22015499999999999</v>
      </c>
      <c r="AE41" s="2">
        <v>0.18268309999999999</v>
      </c>
      <c r="AF41" s="2">
        <v>0.23934512999999999</v>
      </c>
      <c r="AG41" s="2">
        <v>6.1221194E-2</v>
      </c>
      <c r="AH41" s="2">
        <v>0.21409726000000001</v>
      </c>
      <c r="AI41" s="2">
        <v>0.13434662999999999</v>
      </c>
      <c r="AJ41" s="2">
        <v>0.39552015000000001</v>
      </c>
      <c r="AK41" s="2">
        <v>0.11131075999999999</v>
      </c>
      <c r="AL41" s="2">
        <v>6.6500075000000006E-2</v>
      </c>
      <c r="AM41" s="2">
        <v>2.4806133000000001E-2</v>
      </c>
      <c r="AN41" s="2">
        <v>0.37030548000000002</v>
      </c>
      <c r="AO41" s="2">
        <v>0.30927645999999998</v>
      </c>
      <c r="AP41" s="2">
        <v>0.121679604</v>
      </c>
      <c r="AQ41" s="2">
        <v>0.2150763</v>
      </c>
      <c r="AR41" s="2">
        <v>0.12927930000000001</v>
      </c>
      <c r="AS41" s="2">
        <v>0.21525910000000001</v>
      </c>
      <c r="AT41" s="2">
        <v>0.20312511999999999</v>
      </c>
      <c r="AU41" s="2">
        <v>0.15040717000000001</v>
      </c>
      <c r="AV41" s="2">
        <v>0.40065770000000001</v>
      </c>
      <c r="AW41" s="2">
        <v>0.40342185000000003</v>
      </c>
      <c r="AX41" s="2">
        <v>0.21381054999999999</v>
      </c>
      <c r="AY41" s="2">
        <v>0.55656015999999997</v>
      </c>
      <c r="AZ41" s="2">
        <v>0.21651211000000001</v>
      </c>
      <c r="BA41" s="2">
        <v>0.118296556</v>
      </c>
      <c r="BB41" s="2">
        <v>0.2413409</v>
      </c>
      <c r="BC41" s="2">
        <v>3.7332480000000001E-2</v>
      </c>
      <c r="BD41" s="2">
        <v>0.17562069</v>
      </c>
      <c r="BE41" s="2">
        <v>0.26424120000000001</v>
      </c>
      <c r="BF41" s="2">
        <v>0.40338552</v>
      </c>
      <c r="BG41" s="2">
        <v>0.12999837</v>
      </c>
      <c r="BH41" s="2">
        <v>0.16020197999999999</v>
      </c>
      <c r="BI41" s="2">
        <v>0.13960347000000001</v>
      </c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x14ac:dyDescent="0.25">
      <c r="A42" t="str" cm="1">
        <f t="array" ref="A42">_xll.FDS(B42,"FG_COMPANY_NAME")</f>
        <v>Carrefour SA</v>
      </c>
      <c r="B42" s="4" t="str">
        <v>CA-FR</v>
      </c>
      <c r="C42" s="2">
        <v>0.29648681999999998</v>
      </c>
      <c r="D42" s="2">
        <v>0.2219083</v>
      </c>
      <c r="E42" s="2">
        <v>4.913928E-2</v>
      </c>
      <c r="F42" s="2">
        <v>0.14983840000000001</v>
      </c>
      <c r="G42" s="2">
        <v>3.6464725000000003E-2</v>
      </c>
      <c r="H42" s="2">
        <v>2.3438502E-2</v>
      </c>
      <c r="I42" s="2">
        <v>0.34310368000000002</v>
      </c>
      <c r="J42" s="2">
        <v>0.29809957999999998</v>
      </c>
      <c r="K42" s="2">
        <v>1.9878204999999999E-2</v>
      </c>
      <c r="L42" s="2">
        <v>0.26148473999999999</v>
      </c>
      <c r="M42" s="2">
        <v>0.23582321000000001</v>
      </c>
      <c r="N42" s="2">
        <v>1</v>
      </c>
      <c r="O42" s="2">
        <v>0.31058118000000001</v>
      </c>
      <c r="P42" s="2">
        <v>6.3583485999999995E-2</v>
      </c>
      <c r="Q42" s="2">
        <v>0.29691606999999998</v>
      </c>
      <c r="R42" s="2">
        <v>0.31378946000000002</v>
      </c>
      <c r="S42" s="2">
        <v>0.17484461000000001</v>
      </c>
      <c r="T42" s="2">
        <v>7.7350210000000003E-2</v>
      </c>
      <c r="U42" s="2">
        <v>9.9286990000000006E-2</v>
      </c>
      <c r="V42" s="2">
        <v>5.0768689999999998E-2</v>
      </c>
      <c r="W42" s="2">
        <v>7.9658955000000004E-2</v>
      </c>
      <c r="X42" s="2">
        <v>3.1134953999999999E-2</v>
      </c>
      <c r="Y42" s="2">
        <v>0.10325086</v>
      </c>
      <c r="Z42" s="2">
        <v>0.26606651999999997</v>
      </c>
      <c r="AA42" s="2">
        <v>0.46898967000000003</v>
      </c>
      <c r="AB42" s="2">
        <v>0.11170633000000001</v>
      </c>
      <c r="AC42" s="2">
        <v>0.16430573000000001</v>
      </c>
      <c r="AD42" s="2">
        <v>0.16612798000000001</v>
      </c>
      <c r="AE42" s="2">
        <v>8.9061609999999999E-2</v>
      </c>
      <c r="AF42" s="2">
        <v>0.15114454999999999</v>
      </c>
      <c r="AG42" s="2">
        <v>3.355292E-2</v>
      </c>
      <c r="AH42" s="2">
        <v>0.12551256999999999</v>
      </c>
      <c r="AI42" s="2">
        <v>0.16677205000000001</v>
      </c>
      <c r="AJ42" s="2">
        <v>0.26248517999999998</v>
      </c>
      <c r="AK42" s="2">
        <v>6.0145400000000002E-2</v>
      </c>
      <c r="AL42" s="2">
        <v>4.1014200000000001E-2</v>
      </c>
      <c r="AM42" s="2">
        <v>9.4735749999999994E-2</v>
      </c>
      <c r="AN42" s="2">
        <v>0.20357111</v>
      </c>
      <c r="AO42" s="2">
        <v>0.22343177</v>
      </c>
      <c r="AP42" s="2">
        <v>6.9757244999999996E-2</v>
      </c>
      <c r="AQ42" s="2">
        <v>7.9230159999999994E-2</v>
      </c>
      <c r="AR42" s="2">
        <v>8.4445580000000006E-2</v>
      </c>
      <c r="AS42" s="2">
        <v>0.2025082</v>
      </c>
      <c r="AT42" s="2">
        <v>0.23004958</v>
      </c>
      <c r="AU42" s="2">
        <v>0.12330624</v>
      </c>
      <c r="AV42" s="2">
        <v>0.35326985</v>
      </c>
      <c r="AW42" s="2">
        <v>0.23584695</v>
      </c>
      <c r="AX42" s="2">
        <v>0.109791264</v>
      </c>
      <c r="AY42" s="2">
        <v>0.2188705</v>
      </c>
      <c r="AZ42" s="2">
        <v>0.18843508</v>
      </c>
      <c r="BA42" s="2">
        <v>8.9951950000000003E-2</v>
      </c>
      <c r="BB42" s="2">
        <v>0.14838672999999999</v>
      </c>
      <c r="BC42" s="2">
        <v>0.11391561</v>
      </c>
      <c r="BD42" s="2">
        <v>0.12679608000000001</v>
      </c>
      <c r="BE42" s="2">
        <v>0.27987033</v>
      </c>
      <c r="BF42" s="2">
        <v>0.26799857999999999</v>
      </c>
      <c r="BG42" s="2">
        <v>0.101600595</v>
      </c>
      <c r="BH42" s="2">
        <v>0.11065005999999999</v>
      </c>
      <c r="BI42" s="2">
        <v>0.10826337</v>
      </c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25">
      <c r="A43" t="str" cm="1">
        <f t="array" ref="A43">_xll.FDS(B43,"FG_COMPANY_NAME")</f>
        <v>Continental AG</v>
      </c>
      <c r="B43" s="4" t="str">
        <v>CON-DE</v>
      </c>
      <c r="C43" s="2">
        <v>0.51597923000000001</v>
      </c>
      <c r="D43" s="2">
        <v>0.38348606000000002</v>
      </c>
      <c r="E43" s="2">
        <v>6.6979919999999998E-2</v>
      </c>
      <c r="F43" s="2">
        <v>0.4171376</v>
      </c>
      <c r="G43" s="2">
        <v>0.19803022000000001</v>
      </c>
      <c r="H43" s="2">
        <v>0.15538395999999999</v>
      </c>
      <c r="I43" s="2">
        <v>0.64986089999999996</v>
      </c>
      <c r="J43" s="2">
        <v>0.40314610000000001</v>
      </c>
      <c r="K43" s="2">
        <v>4.7989544000000002E-2</v>
      </c>
      <c r="L43" s="2">
        <v>0.31309775000000001</v>
      </c>
      <c r="M43" s="2">
        <v>0.41810150000000001</v>
      </c>
      <c r="N43" s="2">
        <v>0.31058118000000001</v>
      </c>
      <c r="O43" s="2">
        <v>1</v>
      </c>
      <c r="P43" s="2">
        <v>0.11671045400000001</v>
      </c>
      <c r="Q43" s="2">
        <v>0.48347074000000001</v>
      </c>
      <c r="R43" s="2">
        <v>0.43663210000000002</v>
      </c>
      <c r="S43" s="2">
        <v>0.20008493999999999</v>
      </c>
      <c r="T43" s="2">
        <v>7.2240509999999994E-2</v>
      </c>
      <c r="U43" s="2">
        <v>0.22913106</v>
      </c>
      <c r="V43" s="2">
        <v>0.12442810999999999</v>
      </c>
      <c r="W43" s="2">
        <v>0.23016976</v>
      </c>
      <c r="X43" s="2">
        <v>0.16326526999999999</v>
      </c>
      <c r="Y43" s="2">
        <v>9.5270389999999996E-2</v>
      </c>
      <c r="Z43" s="2">
        <v>0.4847455</v>
      </c>
      <c r="AA43" s="2">
        <v>0.24180131999999999</v>
      </c>
      <c r="AB43" s="2">
        <v>5.4988883000000002E-2</v>
      </c>
      <c r="AC43" s="2">
        <v>0.44105703000000002</v>
      </c>
      <c r="AD43" s="2">
        <v>0.30402817999999998</v>
      </c>
      <c r="AE43" s="2">
        <v>0.20812005</v>
      </c>
      <c r="AF43" s="2">
        <v>0.34109319999999999</v>
      </c>
      <c r="AG43" s="2">
        <v>8.3445039999999998E-2</v>
      </c>
      <c r="AH43" s="2">
        <v>0.33313860000000001</v>
      </c>
      <c r="AI43" s="2">
        <v>0.20033570000000001</v>
      </c>
      <c r="AJ43" s="2">
        <v>0.49137184</v>
      </c>
      <c r="AK43" s="2">
        <v>0.10381844</v>
      </c>
      <c r="AL43" s="2">
        <v>5.4321149999999999E-2</v>
      </c>
      <c r="AM43" s="2">
        <v>8.5481390000000004E-2</v>
      </c>
      <c r="AN43" s="2">
        <v>0.38078496000000001</v>
      </c>
      <c r="AO43" s="2">
        <v>0.33105003999999999</v>
      </c>
      <c r="AP43" s="2">
        <v>0.19569056000000001</v>
      </c>
      <c r="AQ43" s="2">
        <v>0.22152151</v>
      </c>
      <c r="AR43" s="2">
        <v>0.16376218000000001</v>
      </c>
      <c r="AS43" s="2">
        <v>0.21122453999999999</v>
      </c>
      <c r="AT43" s="2">
        <v>0.26820095999999999</v>
      </c>
      <c r="AU43" s="2">
        <v>0.12838867000000001</v>
      </c>
      <c r="AV43" s="2">
        <v>0.56402790000000003</v>
      </c>
      <c r="AW43" s="2">
        <v>0.43724960000000002</v>
      </c>
      <c r="AX43" s="2">
        <v>0.27402149999999997</v>
      </c>
      <c r="AY43" s="2">
        <v>0.48270970000000002</v>
      </c>
      <c r="AZ43" s="2">
        <v>0.29230015999999998</v>
      </c>
      <c r="BA43" s="2">
        <v>0.13997997000000001</v>
      </c>
      <c r="BB43" s="2">
        <v>0.22272357000000001</v>
      </c>
      <c r="BC43" s="2">
        <v>8.0439090000000005E-2</v>
      </c>
      <c r="BD43" s="2">
        <v>0.2548705</v>
      </c>
      <c r="BE43" s="2">
        <v>0.30863494000000002</v>
      </c>
      <c r="BF43" s="2">
        <v>0.63158380000000003</v>
      </c>
      <c r="BG43" s="2">
        <v>0.13432453999999999</v>
      </c>
      <c r="BH43" s="2">
        <v>0.23396072000000001</v>
      </c>
      <c r="BI43" s="2">
        <v>0.21090992</v>
      </c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25">
      <c r="A44" t="str" cm="1">
        <f t="array" ref="A44">_xll.FDS(B44,"FG_COMPANY_NAME")</f>
        <v>Dentsu Group Inc.</v>
      </c>
      <c r="B44" s="4" t="str">
        <v>4324-JP</v>
      </c>
      <c r="C44" s="2">
        <v>0.17502514999999999</v>
      </c>
      <c r="D44" s="2">
        <v>0.14241656999999999</v>
      </c>
      <c r="E44" s="2">
        <v>0.10347692</v>
      </c>
      <c r="F44" s="2">
        <v>5.4068792999999997E-2</v>
      </c>
      <c r="G44" s="2">
        <v>4.3601554000000001E-2</v>
      </c>
      <c r="H44" s="2">
        <v>0.17138945</v>
      </c>
      <c r="I44" s="2">
        <v>0.16760652000000001</v>
      </c>
      <c r="J44" s="2">
        <v>0.14631343999999999</v>
      </c>
      <c r="K44" s="2">
        <v>1.1468804000000001E-2</v>
      </c>
      <c r="L44" s="2">
        <v>0.17426421</v>
      </c>
      <c r="M44" s="2">
        <v>0.14484985</v>
      </c>
      <c r="N44" s="2">
        <v>6.3583485999999995E-2</v>
      </c>
      <c r="O44" s="2">
        <v>0.11671045400000001</v>
      </c>
      <c r="P44" s="2">
        <v>1</v>
      </c>
      <c r="Q44" s="2">
        <v>0.18389936000000001</v>
      </c>
      <c r="R44" s="2">
        <v>0.15274647</v>
      </c>
      <c r="S44" s="2">
        <v>0.14680550000000001</v>
      </c>
      <c r="T44" s="2">
        <v>0.26870572999999998</v>
      </c>
      <c r="U44" s="2">
        <v>5.2873644999999997E-2</v>
      </c>
      <c r="V44" s="2">
        <v>0.19752586999999999</v>
      </c>
      <c r="W44" s="2">
        <v>-8.5334989999999999E-3</v>
      </c>
      <c r="X44" s="2">
        <v>-9.5979610000000003E-3</v>
      </c>
      <c r="Y44" s="2">
        <v>0.18804522000000001</v>
      </c>
      <c r="Z44" s="2">
        <v>0.13989455000000001</v>
      </c>
      <c r="AA44" s="2">
        <v>0.11705237</v>
      </c>
      <c r="AB44" s="2">
        <v>5.8995753999999997E-2</v>
      </c>
      <c r="AC44" s="2">
        <v>3.8937020000000003E-2</v>
      </c>
      <c r="AD44" s="2">
        <v>6.9621974E-3</v>
      </c>
      <c r="AE44" s="2">
        <v>2.7344047999999999E-2</v>
      </c>
      <c r="AF44" s="2">
        <v>5.3796070000000001E-2</v>
      </c>
      <c r="AG44" s="2">
        <v>0.30702691999999998</v>
      </c>
      <c r="AH44" s="2">
        <v>6.05242E-2</v>
      </c>
      <c r="AI44" s="2">
        <v>4.2641400000000003E-2</v>
      </c>
      <c r="AJ44" s="2">
        <v>0.12640098</v>
      </c>
      <c r="AK44" s="2">
        <v>0.38480848000000001</v>
      </c>
      <c r="AL44" s="2">
        <v>0.37526366</v>
      </c>
      <c r="AM44" s="2">
        <v>2.5283760999999998E-2</v>
      </c>
      <c r="AN44" s="2">
        <v>0.15754525</v>
      </c>
      <c r="AO44" s="2">
        <v>0.12683548</v>
      </c>
      <c r="AP44" s="2">
        <v>0.29723729999999998</v>
      </c>
      <c r="AQ44" s="2">
        <v>7.3580080000000006E-2</v>
      </c>
      <c r="AR44" s="2">
        <v>0.16601305</v>
      </c>
      <c r="AS44" s="2">
        <v>9.7464605999999995E-2</v>
      </c>
      <c r="AT44" s="2">
        <v>0.12775573000000001</v>
      </c>
      <c r="AU44" s="2">
        <v>0.19487087</v>
      </c>
      <c r="AV44" s="2">
        <v>0.15233958</v>
      </c>
      <c r="AW44" s="2">
        <v>0.14290032999999999</v>
      </c>
      <c r="AX44" s="2">
        <v>1.5531214E-2</v>
      </c>
      <c r="AY44" s="2">
        <v>0.14235771999999999</v>
      </c>
      <c r="AZ44" s="2">
        <v>6.6228510000000004E-2</v>
      </c>
      <c r="BA44" s="2">
        <v>0.43034</v>
      </c>
      <c r="BB44" s="2">
        <v>0.11684156</v>
      </c>
      <c r="BC44" s="2">
        <v>2.6498656999999998E-2</v>
      </c>
      <c r="BD44" s="2">
        <v>5.6893354999999995E-4</v>
      </c>
      <c r="BE44" s="2">
        <v>0.18581581</v>
      </c>
      <c r="BF44" s="2">
        <v>0.15229862999999999</v>
      </c>
      <c r="BG44" s="2">
        <v>4.1690115E-2</v>
      </c>
      <c r="BH44" s="2">
        <v>3.9329274999999997E-2</v>
      </c>
      <c r="BI44" s="2">
        <v>6.8738505000000005E-2</v>
      </c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25">
      <c r="A45" t="str" cm="1">
        <f t="array" ref="A45">_xll.FDS(B45,"FG_COMPANY_NAME")</f>
        <v>WPP Plc</v>
      </c>
      <c r="B45" s="4" t="str">
        <v>WPP-GB</v>
      </c>
      <c r="C45" s="2">
        <v>0.47705554999999999</v>
      </c>
      <c r="D45" s="2">
        <v>0.40760097000000001</v>
      </c>
      <c r="E45" s="2">
        <v>9.0182449999999997E-2</v>
      </c>
      <c r="F45" s="2">
        <v>0.33327508</v>
      </c>
      <c r="G45" s="2">
        <v>0.13431253000000001</v>
      </c>
      <c r="H45" s="2">
        <v>0.18730856000000001</v>
      </c>
      <c r="I45" s="2">
        <v>0.52300500000000005</v>
      </c>
      <c r="J45" s="2">
        <v>0.38016596000000002</v>
      </c>
      <c r="K45" s="2">
        <v>3.906739E-2</v>
      </c>
      <c r="L45" s="2">
        <v>0.36636796999999999</v>
      </c>
      <c r="M45" s="2">
        <v>0.46616992000000002</v>
      </c>
      <c r="N45" s="2">
        <v>0.29691606999999998</v>
      </c>
      <c r="O45" s="2">
        <v>0.48347074000000001</v>
      </c>
      <c r="P45" s="2">
        <v>0.18389936000000001</v>
      </c>
      <c r="Q45" s="2">
        <v>1</v>
      </c>
      <c r="R45" s="2">
        <v>0.43627680000000002</v>
      </c>
      <c r="S45" s="2">
        <v>0.27516996999999999</v>
      </c>
      <c r="T45" s="2">
        <v>0.108455464</v>
      </c>
      <c r="U45" s="2">
        <v>0.22731287999999999</v>
      </c>
      <c r="V45" s="2">
        <v>0.11706742000000001</v>
      </c>
      <c r="W45" s="2">
        <v>0.22063513000000001</v>
      </c>
      <c r="X45" s="2">
        <v>0.1591178</v>
      </c>
      <c r="Y45" s="2">
        <v>0.14894313000000001</v>
      </c>
      <c r="Z45" s="2">
        <v>0.45762884999999998</v>
      </c>
      <c r="AA45" s="2">
        <v>0.27178732</v>
      </c>
      <c r="AB45" s="2">
        <v>7.3106355999999997E-2</v>
      </c>
      <c r="AC45" s="2">
        <v>0.33857784000000002</v>
      </c>
      <c r="AD45" s="2">
        <v>0.3083304</v>
      </c>
      <c r="AE45" s="2">
        <v>0.2105397</v>
      </c>
      <c r="AF45" s="2">
        <v>0.34419460000000002</v>
      </c>
      <c r="AG45" s="2">
        <v>0.10647436</v>
      </c>
      <c r="AH45" s="2">
        <v>0.29049096000000002</v>
      </c>
      <c r="AI45" s="2">
        <v>0.20589966000000001</v>
      </c>
      <c r="AJ45" s="2">
        <v>0.49854836000000002</v>
      </c>
      <c r="AK45" s="2">
        <v>0.12347774</v>
      </c>
      <c r="AL45" s="2">
        <v>9.5675759999999999E-2</v>
      </c>
      <c r="AM45" s="2">
        <v>0.12585209999999999</v>
      </c>
      <c r="AN45" s="2">
        <v>0.40666679999999999</v>
      </c>
      <c r="AO45" s="2">
        <v>0.34364292000000002</v>
      </c>
      <c r="AP45" s="2">
        <v>0.19472516000000001</v>
      </c>
      <c r="AQ45" s="2">
        <v>0.24914658000000001</v>
      </c>
      <c r="AR45" s="2">
        <v>0.18417430000000001</v>
      </c>
      <c r="AS45" s="2">
        <v>0.22205701</v>
      </c>
      <c r="AT45" s="2">
        <v>0.23860086999999999</v>
      </c>
      <c r="AU45" s="2">
        <v>0.17102054999999999</v>
      </c>
      <c r="AV45" s="2">
        <v>0.49871153000000001</v>
      </c>
      <c r="AW45" s="2">
        <v>0.44723775999999998</v>
      </c>
      <c r="AX45" s="2">
        <v>0.25356165000000003</v>
      </c>
      <c r="AY45" s="2">
        <v>0.45268937999999997</v>
      </c>
      <c r="AZ45" s="2">
        <v>0.27799326000000002</v>
      </c>
      <c r="BA45" s="2">
        <v>0.13578808000000001</v>
      </c>
      <c r="BB45" s="2">
        <v>0.23492771000000001</v>
      </c>
      <c r="BC45" s="2">
        <v>0.14558842999999999</v>
      </c>
      <c r="BD45" s="2">
        <v>0.23662041</v>
      </c>
      <c r="BE45" s="2">
        <v>0.35995936000000001</v>
      </c>
      <c r="BF45" s="2">
        <v>0.44686197999999999</v>
      </c>
      <c r="BG45" s="2">
        <v>0.13839488</v>
      </c>
      <c r="BH45" s="2">
        <v>0.21527608000000001</v>
      </c>
      <c r="BI45" s="2">
        <v>0.23560492999999999</v>
      </c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25">
      <c r="A46" t="str" cm="1">
        <f t="array" ref="A46">_xll.FDS(B46,"FG_COMPANY_NAME")</f>
        <v>Eni S.p.A.</v>
      </c>
      <c r="B46" s="4" t="str">
        <v>ENI-IT</v>
      </c>
      <c r="C46" s="2">
        <v>0.41527575</v>
      </c>
      <c r="D46" s="2">
        <v>0.52129179999999997</v>
      </c>
      <c r="E46" s="2">
        <v>0.11647656000000001</v>
      </c>
      <c r="F46" s="2">
        <v>0.22662239000000001</v>
      </c>
      <c r="G46" s="2">
        <v>0.14223558</v>
      </c>
      <c r="H46" s="2">
        <v>0.13930941999999999</v>
      </c>
      <c r="I46" s="2">
        <v>0.52420069999999996</v>
      </c>
      <c r="J46" s="2">
        <v>0.37603726999999998</v>
      </c>
      <c r="K46" s="2">
        <v>4.3117410000000002E-2</v>
      </c>
      <c r="L46" s="2">
        <v>0.34775423999999999</v>
      </c>
      <c r="M46" s="2">
        <v>0.37274373</v>
      </c>
      <c r="N46" s="2">
        <v>0.31378946000000002</v>
      </c>
      <c r="O46" s="2">
        <v>0.43663210000000002</v>
      </c>
      <c r="P46" s="2">
        <v>0.15274647</v>
      </c>
      <c r="Q46" s="2">
        <v>0.43627680000000002</v>
      </c>
      <c r="R46" s="2">
        <v>1</v>
      </c>
      <c r="S46" s="2">
        <v>0.26846610999999998</v>
      </c>
      <c r="T46" s="2">
        <v>6.0448559999999998E-2</v>
      </c>
      <c r="U46" s="2">
        <v>0.48262694</v>
      </c>
      <c r="V46" s="2">
        <v>9.0685929999999998E-2</v>
      </c>
      <c r="W46" s="2">
        <v>0.21523716000000001</v>
      </c>
      <c r="X46" s="2">
        <v>0.10027186</v>
      </c>
      <c r="Y46" s="2">
        <v>0.14369519</v>
      </c>
      <c r="Z46" s="2">
        <v>0.37187829999999999</v>
      </c>
      <c r="AA46" s="2">
        <v>0.20656657</v>
      </c>
      <c r="AB46" s="2">
        <v>8.0078490000000002E-2</v>
      </c>
      <c r="AC46" s="2">
        <v>0.27968660000000001</v>
      </c>
      <c r="AD46" s="2">
        <v>0.38747352000000002</v>
      </c>
      <c r="AE46" s="2">
        <v>0.17412965</v>
      </c>
      <c r="AF46" s="2">
        <v>0.27518234000000003</v>
      </c>
      <c r="AG46" s="2">
        <v>7.8328179999999997E-2</v>
      </c>
      <c r="AH46" s="2">
        <v>0.20338549</v>
      </c>
      <c r="AI46" s="2">
        <v>0.20161387</v>
      </c>
      <c r="AJ46" s="2">
        <v>0.47497505000000001</v>
      </c>
      <c r="AK46" s="2">
        <v>0.11944839</v>
      </c>
      <c r="AL46" s="2">
        <v>5.1222160000000003E-2</v>
      </c>
      <c r="AM46" s="2">
        <v>8.6259539999999996E-2</v>
      </c>
      <c r="AN46" s="2">
        <v>0.27002826000000002</v>
      </c>
      <c r="AO46" s="2">
        <v>0.75218766999999997</v>
      </c>
      <c r="AP46" s="2">
        <v>0.1639766</v>
      </c>
      <c r="AQ46" s="2">
        <v>0.14755504999999999</v>
      </c>
      <c r="AR46" s="2">
        <v>0.17974473999999999</v>
      </c>
      <c r="AS46" s="2">
        <v>0.26178025999999999</v>
      </c>
      <c r="AT46" s="2">
        <v>0.25991940000000002</v>
      </c>
      <c r="AU46" s="2">
        <v>0.13124874</v>
      </c>
      <c r="AV46" s="2">
        <v>0.51776909999999998</v>
      </c>
      <c r="AW46" s="2">
        <v>0.48138263999999997</v>
      </c>
      <c r="AX46" s="2">
        <v>0.17927766000000001</v>
      </c>
      <c r="AY46" s="2">
        <v>0.35125416999999998</v>
      </c>
      <c r="AZ46" s="2">
        <v>0.34412854999999998</v>
      </c>
      <c r="BA46" s="2">
        <v>0.11527468</v>
      </c>
      <c r="BB46" s="2">
        <v>0.33345708000000002</v>
      </c>
      <c r="BC46" s="2">
        <v>0.13301205999999999</v>
      </c>
      <c r="BD46" s="2">
        <v>0.17576396</v>
      </c>
      <c r="BE46" s="2">
        <v>0.37164955999999999</v>
      </c>
      <c r="BF46" s="2">
        <v>0.45250982000000001</v>
      </c>
      <c r="BG46" s="2">
        <v>0.13976662000000001</v>
      </c>
      <c r="BH46" s="2">
        <v>0.19685794000000001</v>
      </c>
      <c r="BI46" s="2">
        <v>0.19933152000000001</v>
      </c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25">
      <c r="A47" t="str" cm="1">
        <f t="array" ref="A47">_xll.FDS(B47,"FG_COMPANY_NAME")</f>
        <v>GSK plc</v>
      </c>
      <c r="B47" s="4" t="str">
        <v>GSK-GB</v>
      </c>
      <c r="C47" s="2">
        <v>0.25082976000000001</v>
      </c>
      <c r="D47" s="2">
        <v>0.22555006999999999</v>
      </c>
      <c r="E47" s="2">
        <v>7.7189320000000006E-2</v>
      </c>
      <c r="F47" s="2">
        <v>6.8243440000000002E-2</v>
      </c>
      <c r="G47" s="2">
        <v>8.990513E-2</v>
      </c>
      <c r="H47" s="2">
        <v>6.9562139999999995E-2</v>
      </c>
      <c r="I47" s="2">
        <v>0.2632854</v>
      </c>
      <c r="J47" s="2">
        <v>0.35018376000000001</v>
      </c>
      <c r="K47" s="2">
        <v>0.24124144</v>
      </c>
      <c r="L47" s="2">
        <v>0.26558545</v>
      </c>
      <c r="M47" s="2">
        <v>0.22010089999999999</v>
      </c>
      <c r="N47" s="2">
        <v>0.17484461000000001</v>
      </c>
      <c r="O47" s="2">
        <v>0.20008493999999999</v>
      </c>
      <c r="P47" s="2">
        <v>0.14680550000000001</v>
      </c>
      <c r="Q47" s="2">
        <v>0.27516996999999999</v>
      </c>
      <c r="R47" s="2">
        <v>0.26846610999999998</v>
      </c>
      <c r="S47" s="2">
        <v>1</v>
      </c>
      <c r="T47" s="2">
        <v>0.10093196</v>
      </c>
      <c r="U47" s="2">
        <v>4.3541204E-2</v>
      </c>
      <c r="V47" s="2">
        <v>-4.9030510000000003E-3</v>
      </c>
      <c r="W47" s="2">
        <v>5.0368849999999996E-3</v>
      </c>
      <c r="X47" s="2">
        <v>1.8068898E-2</v>
      </c>
      <c r="Y47" s="2">
        <v>7.0669315999999996E-2</v>
      </c>
      <c r="Z47" s="2">
        <v>0.22550020000000001</v>
      </c>
      <c r="AA47" s="2">
        <v>0.26237250000000001</v>
      </c>
      <c r="AB47" s="2">
        <v>0.1569141</v>
      </c>
      <c r="AC47" s="2">
        <v>8.9674569999999995E-2</v>
      </c>
      <c r="AD47" s="2">
        <v>8.9405460000000006E-2</v>
      </c>
      <c r="AE47" s="2">
        <v>2.0867213999999999E-2</v>
      </c>
      <c r="AF47" s="2">
        <v>0.13040671000000001</v>
      </c>
      <c r="AG47" s="2">
        <v>6.5787250000000005E-2</v>
      </c>
      <c r="AH47" s="2">
        <v>8.5219520000000007E-2</v>
      </c>
      <c r="AI47" s="2">
        <v>0.16772255</v>
      </c>
      <c r="AJ47" s="2">
        <v>0.23667716999999999</v>
      </c>
      <c r="AK47" s="2">
        <v>0.10644768</v>
      </c>
      <c r="AL47" s="2">
        <v>0.10195105</v>
      </c>
      <c r="AM47" s="2">
        <v>0.2444693</v>
      </c>
      <c r="AN47" s="2">
        <v>0.19305214000000001</v>
      </c>
      <c r="AO47" s="2">
        <v>0.19716154</v>
      </c>
      <c r="AP47" s="2">
        <v>0.12027979</v>
      </c>
      <c r="AQ47" s="2">
        <v>2.4431892E-2</v>
      </c>
      <c r="AR47" s="2">
        <v>9.9813743999999996E-2</v>
      </c>
      <c r="AS47" s="2">
        <v>0.55201732999999997</v>
      </c>
      <c r="AT47" s="2">
        <v>0.19412299999999999</v>
      </c>
      <c r="AU47" s="2">
        <v>0.10610429</v>
      </c>
      <c r="AV47" s="2">
        <v>0.23838029999999999</v>
      </c>
      <c r="AW47" s="2">
        <v>0.24503411</v>
      </c>
      <c r="AX47" s="2">
        <v>5.4117846999999997E-2</v>
      </c>
      <c r="AY47" s="2">
        <v>0.19423528000000001</v>
      </c>
      <c r="AZ47" s="2">
        <v>8.5775980000000002E-2</v>
      </c>
      <c r="BA47" s="2">
        <v>0.10647385600000001</v>
      </c>
      <c r="BB47" s="2">
        <v>0.17579706</v>
      </c>
      <c r="BC47" s="2">
        <v>0.16068196000000001</v>
      </c>
      <c r="BD47" s="2">
        <v>0.15127167</v>
      </c>
      <c r="BE47" s="2">
        <v>0.30996667999999999</v>
      </c>
      <c r="BF47" s="2">
        <v>0.21228242999999999</v>
      </c>
      <c r="BG47" s="2">
        <v>0.13016285999999999</v>
      </c>
      <c r="BH47" s="2">
        <v>0.16751832</v>
      </c>
      <c r="BI47" s="2">
        <v>7.0525149999999995E-2</v>
      </c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25">
      <c r="A48" t="str" cm="1">
        <f t="array" ref="A48">_xll.FDS(B48,"FG_COMPANY_NAME")</f>
        <v>H.U.Group Holdings, Inc.</v>
      </c>
      <c r="B48" s="4" t="str">
        <v>4544-JP</v>
      </c>
      <c r="C48" s="2">
        <v>0.12580854</v>
      </c>
      <c r="D48" s="2">
        <v>5.1864404000000003E-2</v>
      </c>
      <c r="E48" s="2">
        <v>9.7278970000000006E-2</v>
      </c>
      <c r="F48" s="2">
        <v>2.0722293000000002E-3</v>
      </c>
      <c r="G48" s="2">
        <v>1.608673E-2</v>
      </c>
      <c r="H48" s="2">
        <v>9.6776979999999999E-2</v>
      </c>
      <c r="I48" s="2">
        <v>6.1505597000000002E-2</v>
      </c>
      <c r="J48" s="2">
        <v>0.11698209499999999</v>
      </c>
      <c r="K48" s="2">
        <v>-2.5161894000000001E-2</v>
      </c>
      <c r="L48" s="2">
        <v>9.3546790000000005E-2</v>
      </c>
      <c r="M48" s="2">
        <v>7.6597445E-2</v>
      </c>
      <c r="N48" s="2">
        <v>7.7350210000000003E-2</v>
      </c>
      <c r="O48" s="2">
        <v>7.2240509999999994E-2</v>
      </c>
      <c r="P48" s="2">
        <v>0.26870572999999998</v>
      </c>
      <c r="Q48" s="2">
        <v>0.108455464</v>
      </c>
      <c r="R48" s="2">
        <v>6.0448559999999998E-2</v>
      </c>
      <c r="S48" s="2">
        <v>0.10093196</v>
      </c>
      <c r="T48" s="2">
        <v>1</v>
      </c>
      <c r="U48" s="2">
        <v>-3.6401875E-2</v>
      </c>
      <c r="V48" s="2">
        <v>0.13853398</v>
      </c>
      <c r="W48" s="2">
        <v>-1.9091014E-2</v>
      </c>
      <c r="X48" s="2">
        <v>3.9148000000000002E-2</v>
      </c>
      <c r="Y48" s="2">
        <v>0.16316432</v>
      </c>
      <c r="Z48" s="2">
        <v>8.560384E-2</v>
      </c>
      <c r="AA48" s="2">
        <v>0.13210414000000001</v>
      </c>
      <c r="AB48" s="2">
        <v>7.1470249999999999E-2</v>
      </c>
      <c r="AC48" s="2">
        <v>5.8947223999999999E-3</v>
      </c>
      <c r="AD48" s="2">
        <v>-5.695683E-3</v>
      </c>
      <c r="AE48" s="2">
        <v>-1.4013441999999999E-2</v>
      </c>
      <c r="AF48" s="2">
        <v>3.3569080000000001E-2</v>
      </c>
      <c r="AG48" s="2">
        <v>0.41233556999999998</v>
      </c>
      <c r="AH48" s="2">
        <v>6.7766209999999993E-2</v>
      </c>
      <c r="AI48" s="2">
        <v>4.5703832E-2</v>
      </c>
      <c r="AJ48" s="2">
        <v>3.4981249999999998E-2</v>
      </c>
      <c r="AK48" s="2">
        <v>0.27410003999999999</v>
      </c>
      <c r="AL48" s="2">
        <v>0.27940333000000001</v>
      </c>
      <c r="AM48" s="2">
        <v>4.4223208E-2</v>
      </c>
      <c r="AN48" s="2">
        <v>9.8074819999999993E-2</v>
      </c>
      <c r="AO48" s="2">
        <v>2.1762179999999999E-2</v>
      </c>
      <c r="AP48" s="2">
        <v>0.27460316000000001</v>
      </c>
      <c r="AQ48" s="2">
        <v>2.8448040000000001E-2</v>
      </c>
      <c r="AR48" s="2">
        <v>0.13392947999999999</v>
      </c>
      <c r="AS48" s="2">
        <v>5.7918690000000002E-2</v>
      </c>
      <c r="AT48" s="2">
        <v>0.11933439999999999</v>
      </c>
      <c r="AU48" s="2">
        <v>0.13886688999999999</v>
      </c>
      <c r="AV48" s="2">
        <v>3.6565933000000002E-2</v>
      </c>
      <c r="AW48" s="2">
        <v>4.2250910000000003E-3</v>
      </c>
      <c r="AX48" s="2">
        <v>4.7844115999999999E-2</v>
      </c>
      <c r="AY48" s="2">
        <v>9.6310190000000004E-2</v>
      </c>
      <c r="AZ48" s="2">
        <v>4.9683302999999998E-2</v>
      </c>
      <c r="BA48" s="2">
        <v>0.29226111999999999</v>
      </c>
      <c r="BB48" s="2">
        <v>8.6646829999999994E-2</v>
      </c>
      <c r="BC48" s="2">
        <v>9.2488340000000002E-2</v>
      </c>
      <c r="BD48" s="2">
        <v>-3.8159136000000003E-2</v>
      </c>
      <c r="BE48" s="2">
        <v>0.103297204</v>
      </c>
      <c r="BF48" s="2">
        <v>8.6316160000000003E-2</v>
      </c>
      <c r="BG48" s="2">
        <v>8.1012845E-2</v>
      </c>
      <c r="BH48" s="2">
        <v>2.5230933000000001E-2</v>
      </c>
      <c r="BI48" s="2">
        <v>1.0673116E-2</v>
      </c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x14ac:dyDescent="0.25">
      <c r="A49" t="str" cm="1">
        <f t="array" ref="A49">_xll.FDS(B49,"FG_COMPANY_NAME")</f>
        <v>Halliburton Company</v>
      </c>
      <c r="B49" s="4" t="str">
        <v>HAL-US</v>
      </c>
      <c r="C49" s="2">
        <v>0.21129539999999999</v>
      </c>
      <c r="D49" s="2">
        <v>0.33170706</v>
      </c>
      <c r="E49" s="2">
        <v>8.0474379999999998E-2</v>
      </c>
      <c r="F49" s="2">
        <v>0.35890490000000003</v>
      </c>
      <c r="G49" s="2">
        <v>0.12201606500000001</v>
      </c>
      <c r="H49" s="2">
        <v>5.8869856999999998E-2</v>
      </c>
      <c r="I49" s="2">
        <v>0.28608724000000002</v>
      </c>
      <c r="J49" s="2">
        <v>0.18306157000000001</v>
      </c>
      <c r="K49" s="2">
        <v>0.15081222</v>
      </c>
      <c r="L49" s="2">
        <v>0.13503575000000001</v>
      </c>
      <c r="M49" s="2">
        <v>0.13717712000000001</v>
      </c>
      <c r="N49" s="2">
        <v>9.9286990000000006E-2</v>
      </c>
      <c r="O49" s="2">
        <v>0.22913106</v>
      </c>
      <c r="P49" s="2">
        <v>5.2873644999999997E-2</v>
      </c>
      <c r="Q49" s="2">
        <v>0.22731287999999999</v>
      </c>
      <c r="R49" s="2">
        <v>0.48262694</v>
      </c>
      <c r="S49" s="2">
        <v>4.3541204E-2</v>
      </c>
      <c r="T49" s="2">
        <v>-3.6401875E-2</v>
      </c>
      <c r="U49" s="2">
        <v>1</v>
      </c>
      <c r="V49" s="2">
        <v>6.5254220000000002E-2</v>
      </c>
      <c r="W49" s="2">
        <v>0.38383803</v>
      </c>
      <c r="X49" s="2">
        <v>0.24898829</v>
      </c>
      <c r="Y49" s="2">
        <v>6.9411020000000004E-2</v>
      </c>
      <c r="Z49" s="2">
        <v>0.13636756</v>
      </c>
      <c r="AA49" s="2">
        <v>-5.2367834999999998E-3</v>
      </c>
      <c r="AB49" s="2">
        <v>0.13606388999999999</v>
      </c>
      <c r="AC49" s="2">
        <v>0.42129913000000002</v>
      </c>
      <c r="AD49" s="2">
        <v>0.58403145999999995</v>
      </c>
      <c r="AE49" s="2">
        <v>0.30889212999999999</v>
      </c>
      <c r="AF49" s="2">
        <v>0.3522306</v>
      </c>
      <c r="AG49" s="2">
        <v>-2.9282262999999999E-2</v>
      </c>
      <c r="AH49" s="2">
        <v>0.31727365000000002</v>
      </c>
      <c r="AI49" s="2">
        <v>0.25940686000000002</v>
      </c>
      <c r="AJ49" s="2">
        <v>0.26986969999999999</v>
      </c>
      <c r="AK49" s="2">
        <v>8.3436140000000006E-2</v>
      </c>
      <c r="AL49" s="2">
        <v>-2.3900593000000001E-2</v>
      </c>
      <c r="AM49" s="2">
        <v>0.12553738</v>
      </c>
      <c r="AN49" s="2">
        <v>8.6439530000000001E-2</v>
      </c>
      <c r="AO49" s="2">
        <v>0.52620900000000004</v>
      </c>
      <c r="AP49" s="2">
        <v>7.6774480000000006E-2</v>
      </c>
      <c r="AQ49" s="2">
        <v>0.25650119999999998</v>
      </c>
      <c r="AR49" s="2">
        <v>6.0176781999999998E-2</v>
      </c>
      <c r="AS49" s="2">
        <v>2.9192177999999999E-2</v>
      </c>
      <c r="AT49" s="2">
        <v>0.115883216</v>
      </c>
      <c r="AU49" s="2">
        <v>7.7347219999999994E-2</v>
      </c>
      <c r="AV49" s="2">
        <v>0.26809706999999999</v>
      </c>
      <c r="AW49" s="2">
        <v>0.32246202000000002</v>
      </c>
      <c r="AX49" s="2">
        <v>0.31496045</v>
      </c>
      <c r="AY49" s="2">
        <v>0.16499679</v>
      </c>
      <c r="AZ49" s="2">
        <v>0.39414006000000001</v>
      </c>
      <c r="BA49" s="2">
        <v>6.1953899999999999E-2</v>
      </c>
      <c r="BB49" s="2">
        <v>0.15446173999999999</v>
      </c>
      <c r="BC49" s="2">
        <v>0.12144407</v>
      </c>
      <c r="BD49" s="2">
        <v>0.26062265000000001</v>
      </c>
      <c r="BE49" s="2">
        <v>0.17167673</v>
      </c>
      <c r="BF49" s="2">
        <v>0.22857767000000001</v>
      </c>
      <c r="BG49" s="2">
        <v>0.19618139000000001</v>
      </c>
      <c r="BH49" s="2">
        <v>0.27153537</v>
      </c>
      <c r="BI49" s="2">
        <v>0.33577746000000003</v>
      </c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x14ac:dyDescent="0.25">
      <c r="A50" t="str" cm="1">
        <f t="array" ref="A50">_xll.FDS(B50,"FG_COMPANY_NAME")</f>
        <v>HANKOOK TIRE &amp; TECHNOLOGY Co., Ltd.</v>
      </c>
      <c r="B50" s="4" t="str">
        <v>161390-KR</v>
      </c>
      <c r="C50" s="2">
        <v>0.139763</v>
      </c>
      <c r="D50" s="2">
        <v>0.12959493999999999</v>
      </c>
      <c r="E50" s="2">
        <v>0.14139457</v>
      </c>
      <c r="F50" s="2">
        <v>4.2003355999999999E-2</v>
      </c>
      <c r="G50" s="2">
        <v>0.11337348</v>
      </c>
      <c r="H50" s="2">
        <v>0.19740953999999999</v>
      </c>
      <c r="I50" s="2">
        <v>0.12476337</v>
      </c>
      <c r="J50" s="2">
        <v>5.2054499999999997E-2</v>
      </c>
      <c r="K50" s="2">
        <v>9.6381910000000008E-3</v>
      </c>
      <c r="L50" s="2">
        <v>0.12392105</v>
      </c>
      <c r="M50" s="2">
        <v>0.10975981999999999</v>
      </c>
      <c r="N50" s="2">
        <v>5.0768689999999998E-2</v>
      </c>
      <c r="O50" s="2">
        <v>0.12442810999999999</v>
      </c>
      <c r="P50" s="2">
        <v>0.19752586999999999</v>
      </c>
      <c r="Q50" s="2">
        <v>0.11706742000000001</v>
      </c>
      <c r="R50" s="2">
        <v>9.0685929999999998E-2</v>
      </c>
      <c r="S50" s="2">
        <v>-4.9030510000000003E-3</v>
      </c>
      <c r="T50" s="2">
        <v>0.13853398</v>
      </c>
      <c r="U50" s="2">
        <v>6.5254220000000002E-2</v>
      </c>
      <c r="V50" s="2">
        <v>1</v>
      </c>
      <c r="W50" s="2">
        <v>8.2948530000000006E-2</v>
      </c>
      <c r="X50" s="2">
        <v>4.8760972999999999E-2</v>
      </c>
      <c r="Y50" s="2">
        <v>0.34362248000000001</v>
      </c>
      <c r="Z50" s="2">
        <v>0.11790707</v>
      </c>
      <c r="AA50" s="2">
        <v>3.9994533999999998E-2</v>
      </c>
      <c r="AB50" s="2">
        <v>1.5610277000000001E-2</v>
      </c>
      <c r="AC50" s="2">
        <v>7.4890310000000002E-2</v>
      </c>
      <c r="AD50" s="2">
        <v>8.7476979999999996E-2</v>
      </c>
      <c r="AE50" s="2">
        <v>7.6550594999999999E-2</v>
      </c>
      <c r="AF50" s="2">
        <v>6.4905660000000004E-2</v>
      </c>
      <c r="AG50" s="2">
        <v>0.16245346999999999</v>
      </c>
      <c r="AH50" s="2">
        <v>7.2060550000000001E-2</v>
      </c>
      <c r="AI50" s="2">
        <v>-5.7963190000000003E-3</v>
      </c>
      <c r="AJ50" s="2">
        <v>9.46327E-2</v>
      </c>
      <c r="AK50" s="2">
        <v>0.17701576999999999</v>
      </c>
      <c r="AL50" s="2">
        <v>0.18637525999999999</v>
      </c>
      <c r="AM50" s="2">
        <v>-5.0917406999999998E-3</v>
      </c>
      <c r="AN50" s="2">
        <v>0.12275454</v>
      </c>
      <c r="AO50" s="2">
        <v>0.12983648</v>
      </c>
      <c r="AP50" s="2">
        <v>0.27847191999999998</v>
      </c>
      <c r="AQ50" s="2">
        <v>8.3851665000000006E-2</v>
      </c>
      <c r="AR50" s="2">
        <v>0.39042529999999998</v>
      </c>
      <c r="AS50" s="2">
        <v>1.02453735E-2</v>
      </c>
      <c r="AT50" s="2">
        <v>5.0219729999999997E-2</v>
      </c>
      <c r="AU50" s="2">
        <v>0.37145030000000001</v>
      </c>
      <c r="AV50" s="2">
        <v>0.10639895000000001</v>
      </c>
      <c r="AW50" s="2">
        <v>0.11423080400000001</v>
      </c>
      <c r="AX50" s="2">
        <v>0.10793806</v>
      </c>
      <c r="AY50" s="2">
        <v>0.13309962</v>
      </c>
      <c r="AZ50" s="2">
        <v>0.11719091</v>
      </c>
      <c r="BA50" s="2">
        <v>0.25578865000000001</v>
      </c>
      <c r="BB50" s="2">
        <v>9.668562E-2</v>
      </c>
      <c r="BC50" s="2">
        <v>4.0059182999999998E-2</v>
      </c>
      <c r="BD50" s="2">
        <v>1.8900960000000001E-2</v>
      </c>
      <c r="BE50" s="2">
        <v>7.6156124000000006E-2</v>
      </c>
      <c r="BF50" s="2">
        <v>0.16491829</v>
      </c>
      <c r="BG50" s="2">
        <v>4.4695776E-2</v>
      </c>
      <c r="BH50" s="2">
        <v>8.3191479999999998E-2</v>
      </c>
      <c r="BI50" s="2">
        <v>6.8182043999999997E-2</v>
      </c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x14ac:dyDescent="0.25">
      <c r="A51" t="str" cm="1">
        <f t="array" ref="A51">_xll.FDS(B51,"FG_COMPANY_NAME")</f>
        <v>Hewlett Packard Enterprise Co.</v>
      </c>
      <c r="B51" s="4" t="str">
        <v>HPE-US</v>
      </c>
      <c r="C51" s="2">
        <v>0.20724316000000001</v>
      </c>
      <c r="D51" s="2">
        <v>0.23344079000000001</v>
      </c>
      <c r="E51" s="2">
        <v>6.6502123999999996E-2</v>
      </c>
      <c r="F51" s="2">
        <v>0.43935079999999999</v>
      </c>
      <c r="G51" s="2">
        <v>0.16092788</v>
      </c>
      <c r="H51" s="2">
        <v>6.4321174999999994E-2</v>
      </c>
      <c r="I51" s="2">
        <v>0.26497419999999999</v>
      </c>
      <c r="J51" s="2">
        <v>0.14245532</v>
      </c>
      <c r="K51" s="2">
        <v>0.11235003</v>
      </c>
      <c r="L51" s="2">
        <v>9.1592019999999996E-2</v>
      </c>
      <c r="M51" s="2">
        <v>0.18849631999999999</v>
      </c>
      <c r="N51" s="2">
        <v>7.9658955000000004E-2</v>
      </c>
      <c r="O51" s="2">
        <v>0.23016976</v>
      </c>
      <c r="P51" s="2">
        <v>-8.5334989999999999E-3</v>
      </c>
      <c r="Q51" s="2">
        <v>0.22063513000000001</v>
      </c>
      <c r="R51" s="2">
        <v>0.21523716000000001</v>
      </c>
      <c r="S51" s="2">
        <v>5.0368849999999996E-3</v>
      </c>
      <c r="T51" s="2">
        <v>-1.9091014E-2</v>
      </c>
      <c r="U51" s="2">
        <v>0.38383803</v>
      </c>
      <c r="V51" s="2">
        <v>8.2948530000000006E-2</v>
      </c>
      <c r="W51" s="2">
        <v>1</v>
      </c>
      <c r="X51" s="2">
        <v>0.35797030000000002</v>
      </c>
      <c r="Y51" s="2">
        <v>9.8703869999999999E-2</v>
      </c>
      <c r="Z51" s="2">
        <v>0.20395473</v>
      </c>
      <c r="AA51" s="2">
        <v>3.7880067000000003E-2</v>
      </c>
      <c r="AB51" s="2">
        <v>0.11605284</v>
      </c>
      <c r="AC51" s="2">
        <v>0.44464453999999998</v>
      </c>
      <c r="AD51" s="2">
        <v>0.45621820000000002</v>
      </c>
      <c r="AE51" s="2">
        <v>0.39543289999999998</v>
      </c>
      <c r="AF51" s="2">
        <v>0.39013123999999999</v>
      </c>
      <c r="AG51" s="2">
        <v>-3.0913070000000001E-2</v>
      </c>
      <c r="AH51" s="2">
        <v>0.40349433000000001</v>
      </c>
      <c r="AI51" s="2">
        <v>0.24744223000000001</v>
      </c>
      <c r="AJ51" s="2">
        <v>0.27360879999999999</v>
      </c>
      <c r="AK51" s="2">
        <v>1.9627945000000001E-2</v>
      </c>
      <c r="AL51" s="2">
        <v>-6.3619699999999998E-3</v>
      </c>
      <c r="AM51" s="2">
        <v>0.14541464000000001</v>
      </c>
      <c r="AN51" s="2">
        <v>0.19464749000000001</v>
      </c>
      <c r="AO51" s="2">
        <v>0.22791887999999999</v>
      </c>
      <c r="AP51" s="2">
        <v>5.9398769999999997E-2</v>
      </c>
      <c r="AQ51" s="2">
        <v>0.34963104</v>
      </c>
      <c r="AR51" s="2">
        <v>0.10895331</v>
      </c>
      <c r="AS51" s="2">
        <v>-2.0081667000000001E-2</v>
      </c>
      <c r="AT51" s="2">
        <v>9.9754499999999996E-2</v>
      </c>
      <c r="AU51" s="2">
        <v>9.1146439999999995E-2</v>
      </c>
      <c r="AV51" s="2">
        <v>0.24963889</v>
      </c>
      <c r="AW51" s="2">
        <v>0.28636460000000002</v>
      </c>
      <c r="AX51" s="2">
        <v>0.41648263000000002</v>
      </c>
      <c r="AY51" s="2">
        <v>0.18909039999999999</v>
      </c>
      <c r="AZ51" s="2">
        <v>0.32060432</v>
      </c>
      <c r="BA51" s="2">
        <v>3.7232157000000002E-2</v>
      </c>
      <c r="BB51" s="2">
        <v>0.11236106</v>
      </c>
      <c r="BC51" s="2">
        <v>8.504254E-2</v>
      </c>
      <c r="BD51" s="2">
        <v>0.28739791999999997</v>
      </c>
      <c r="BE51" s="2">
        <v>0.10067172000000001</v>
      </c>
      <c r="BF51" s="2">
        <v>0.22995755000000001</v>
      </c>
      <c r="BG51" s="2">
        <v>0.20178399999999999</v>
      </c>
      <c r="BH51" s="2">
        <v>0.30975676000000002</v>
      </c>
      <c r="BI51" s="2">
        <v>0.29358046999999998</v>
      </c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x14ac:dyDescent="0.25">
      <c r="A52" t="str" cm="1">
        <f t="array" ref="A52">_xll.FDS(B52,"FG_COMPANY_NAME")</f>
        <v>Intel Corporation</v>
      </c>
      <c r="B52" s="4" t="str">
        <v>INTC-US</v>
      </c>
      <c r="C52" s="2">
        <v>0.14516617000000001</v>
      </c>
      <c r="D52" s="2">
        <v>0.16092535999999999</v>
      </c>
      <c r="E52" s="2">
        <v>3.7332084000000001E-2</v>
      </c>
      <c r="F52" s="2">
        <v>0.35284764000000002</v>
      </c>
      <c r="G52" s="2">
        <v>0.16909940000000001</v>
      </c>
      <c r="H52" s="2">
        <v>5.9526286999999997E-2</v>
      </c>
      <c r="I52" s="2">
        <v>0.17784554999999999</v>
      </c>
      <c r="J52" s="2">
        <v>0.12817603</v>
      </c>
      <c r="K52" s="2">
        <v>8.2754225000000001E-2</v>
      </c>
      <c r="L52" s="2">
        <v>9.6063174000000001E-2</v>
      </c>
      <c r="M52" s="2">
        <v>9.5191814E-2</v>
      </c>
      <c r="N52" s="2">
        <v>3.1134953999999999E-2</v>
      </c>
      <c r="O52" s="2">
        <v>0.16326526999999999</v>
      </c>
      <c r="P52" s="2">
        <v>-9.5979610000000003E-3</v>
      </c>
      <c r="Q52" s="2">
        <v>0.1591178</v>
      </c>
      <c r="R52" s="2">
        <v>0.10027186</v>
      </c>
      <c r="S52" s="2">
        <v>1.8068898E-2</v>
      </c>
      <c r="T52" s="2">
        <v>3.9148000000000002E-2</v>
      </c>
      <c r="U52" s="2">
        <v>0.24898829</v>
      </c>
      <c r="V52" s="2">
        <v>4.8760972999999999E-2</v>
      </c>
      <c r="W52" s="2">
        <v>0.35797030000000002</v>
      </c>
      <c r="X52" s="2">
        <v>1</v>
      </c>
      <c r="Y52" s="2">
        <v>5.6340330000000001E-2</v>
      </c>
      <c r="Z52" s="2">
        <v>0.15951203</v>
      </c>
      <c r="AA52" s="2">
        <v>3.3970937E-2</v>
      </c>
      <c r="AB52" s="2">
        <v>0.12263618</v>
      </c>
      <c r="AC52" s="2">
        <v>0.35840263999999999</v>
      </c>
      <c r="AD52" s="2">
        <v>0.29861336999999999</v>
      </c>
      <c r="AE52" s="2">
        <v>0.26061854000000001</v>
      </c>
      <c r="AF52" s="2">
        <v>0.29089186</v>
      </c>
      <c r="AG52" s="2">
        <v>6.7476090000000002E-2</v>
      </c>
      <c r="AH52" s="2">
        <v>0.27994150000000001</v>
      </c>
      <c r="AI52" s="2">
        <v>0.17652567</v>
      </c>
      <c r="AJ52" s="2">
        <v>0.11863406999999999</v>
      </c>
      <c r="AK52" s="2">
        <v>6.4175129999999997E-2</v>
      </c>
      <c r="AL52" s="2">
        <v>4.8707477999999998E-2</v>
      </c>
      <c r="AM52" s="2">
        <v>0.15336859999999999</v>
      </c>
      <c r="AN52" s="2">
        <v>0.14560044</v>
      </c>
      <c r="AO52" s="2">
        <v>0.10864947</v>
      </c>
      <c r="AP52" s="2">
        <v>9.1978099999999993E-2</v>
      </c>
      <c r="AQ52" s="2">
        <v>0.25470524999999999</v>
      </c>
      <c r="AR52" s="2">
        <v>7.1937039999999994E-2</v>
      </c>
      <c r="AS52" s="2">
        <v>-9.7132959999999997E-3</v>
      </c>
      <c r="AT52" s="2">
        <v>5.6328967000000001E-2</v>
      </c>
      <c r="AU52" s="2">
        <v>6.2062050000000001E-2</v>
      </c>
      <c r="AV52" s="2">
        <v>0.11580864</v>
      </c>
      <c r="AW52" s="2">
        <v>0.11274094</v>
      </c>
      <c r="AX52" s="2">
        <v>0.35903226999999999</v>
      </c>
      <c r="AY52" s="2">
        <v>0.12374538</v>
      </c>
      <c r="AZ52" s="2">
        <v>0.24924225</v>
      </c>
      <c r="BA52" s="2">
        <v>6.2665520000000002E-2</v>
      </c>
      <c r="BB52" s="2">
        <v>0.1115454</v>
      </c>
      <c r="BC52" s="2">
        <v>0.120834865</v>
      </c>
      <c r="BD52" s="2">
        <v>0.22621194999999999</v>
      </c>
      <c r="BE52" s="2">
        <v>9.2582529999999996E-2</v>
      </c>
      <c r="BF52" s="2">
        <v>0.14775845000000001</v>
      </c>
      <c r="BG52" s="2">
        <v>0.16616410000000001</v>
      </c>
      <c r="BH52" s="2">
        <v>0.24044431999999999</v>
      </c>
      <c r="BI52" s="2">
        <v>0.24662289000000001</v>
      </c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x14ac:dyDescent="0.25">
      <c r="A53" t="str" cm="1">
        <f t="array" ref="A53">_xll.FDS(B53,"FG_COMPANY_NAME")</f>
        <v>KB Financial Group Inc.</v>
      </c>
      <c r="B53" s="4" t="str">
        <v>105560-KR</v>
      </c>
      <c r="C53" s="2">
        <v>0.16819996000000001</v>
      </c>
      <c r="D53" s="2">
        <v>0.15579519999999999</v>
      </c>
      <c r="E53" s="2">
        <v>0.19620481000000001</v>
      </c>
      <c r="F53" s="2">
        <v>6.7978464000000002E-2</v>
      </c>
      <c r="G53" s="2">
        <v>7.8869745000000005E-2</v>
      </c>
      <c r="H53" s="2">
        <v>0.23353863</v>
      </c>
      <c r="I53" s="2">
        <v>0.11342368</v>
      </c>
      <c r="J53" s="2">
        <v>7.45947E-2</v>
      </c>
      <c r="K53" s="2">
        <v>-1.3518405000000001E-2</v>
      </c>
      <c r="L53" s="2">
        <v>0.13967379999999999</v>
      </c>
      <c r="M53" s="2">
        <v>0.11580456</v>
      </c>
      <c r="N53" s="2">
        <v>0.10325086</v>
      </c>
      <c r="O53" s="2">
        <v>9.5270389999999996E-2</v>
      </c>
      <c r="P53" s="2">
        <v>0.18804522000000001</v>
      </c>
      <c r="Q53" s="2">
        <v>0.14894313000000001</v>
      </c>
      <c r="R53" s="2">
        <v>0.14369519</v>
      </c>
      <c r="S53" s="2">
        <v>7.0669315999999996E-2</v>
      </c>
      <c r="T53" s="2">
        <v>0.16316432</v>
      </c>
      <c r="U53" s="2">
        <v>6.9411020000000004E-2</v>
      </c>
      <c r="V53" s="2">
        <v>0.34362248000000001</v>
      </c>
      <c r="W53" s="2">
        <v>9.8703869999999999E-2</v>
      </c>
      <c r="X53" s="2">
        <v>5.6340330000000001E-2</v>
      </c>
      <c r="Y53" s="2">
        <v>1</v>
      </c>
      <c r="Z53" s="2">
        <v>0.13065157999999999</v>
      </c>
      <c r="AA53" s="2">
        <v>6.2051330000000002E-2</v>
      </c>
      <c r="AB53" s="2">
        <v>2.0906942000000001E-2</v>
      </c>
      <c r="AC53" s="2">
        <v>8.4478490000000003E-2</v>
      </c>
      <c r="AD53" s="2">
        <v>9.8996619999999994E-2</v>
      </c>
      <c r="AE53" s="2">
        <v>5.0922558E-2</v>
      </c>
      <c r="AF53" s="2">
        <v>9.7886704000000005E-2</v>
      </c>
      <c r="AG53" s="2">
        <v>0.13134651</v>
      </c>
      <c r="AH53" s="2">
        <v>5.7656076000000001E-2</v>
      </c>
      <c r="AI53" s="2">
        <v>2.1644942E-2</v>
      </c>
      <c r="AJ53" s="2">
        <v>0.13937223000000001</v>
      </c>
      <c r="AK53" s="2">
        <v>0.18843628000000001</v>
      </c>
      <c r="AL53" s="2">
        <v>0.18678248</v>
      </c>
      <c r="AM53" s="2">
        <v>-3.2391448000000003E-2</v>
      </c>
      <c r="AN53" s="2">
        <v>0.13997597000000001</v>
      </c>
      <c r="AO53" s="2">
        <v>0.13725407000000001</v>
      </c>
      <c r="AP53" s="2">
        <v>0.26027014999999998</v>
      </c>
      <c r="AQ53" s="2">
        <v>8.9794029999999997E-2</v>
      </c>
      <c r="AR53" s="2">
        <v>0.42402440000000002</v>
      </c>
      <c r="AS53" s="2">
        <v>3.6306526999999998E-2</v>
      </c>
      <c r="AT53" s="2">
        <v>7.6327294000000004E-2</v>
      </c>
      <c r="AU53" s="2">
        <v>0.81512379999999995</v>
      </c>
      <c r="AV53" s="2">
        <v>0.11106731</v>
      </c>
      <c r="AW53" s="2">
        <v>0.13838473000000001</v>
      </c>
      <c r="AX53" s="2">
        <v>9.1312489999999996E-2</v>
      </c>
      <c r="AY53" s="2">
        <v>0.12603830999999999</v>
      </c>
      <c r="AZ53" s="2">
        <v>8.5493304000000006E-2</v>
      </c>
      <c r="BA53" s="2">
        <v>0.18306064999999999</v>
      </c>
      <c r="BB53" s="2">
        <v>0.13014595000000001</v>
      </c>
      <c r="BC53" s="2">
        <v>2.7415128E-2</v>
      </c>
      <c r="BD53" s="2">
        <v>3.2643343999999998E-2</v>
      </c>
      <c r="BE53" s="2">
        <v>8.4022780000000005E-2</v>
      </c>
      <c r="BF53" s="2">
        <v>0.12633875</v>
      </c>
      <c r="BG53" s="2">
        <v>7.2619385999999994E-2</v>
      </c>
      <c r="BH53" s="2">
        <v>7.7678579999999997E-2</v>
      </c>
      <c r="BI53" s="2">
        <v>8.1011420000000001E-2</v>
      </c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x14ac:dyDescent="0.25">
      <c r="A54" t="str" cm="1">
        <f t="array" ref="A54">_xll.FDS(B54,"FG_COMPANY_NAME")</f>
        <v>Kering SA</v>
      </c>
      <c r="B54" s="4" t="str">
        <v>KER-FR</v>
      </c>
      <c r="C54" s="2">
        <v>0.47653669999999998</v>
      </c>
      <c r="D54" s="2">
        <v>0.40353470000000002</v>
      </c>
      <c r="E54" s="2">
        <v>0.16724078000000001</v>
      </c>
      <c r="F54" s="2">
        <v>0.31843527999999999</v>
      </c>
      <c r="G54" s="2">
        <v>0.23252255999999999</v>
      </c>
      <c r="H54" s="2">
        <v>0.25284863000000002</v>
      </c>
      <c r="I54" s="2">
        <v>0.55289889999999997</v>
      </c>
      <c r="J54" s="2">
        <v>0.38052340000000001</v>
      </c>
      <c r="K54" s="2">
        <v>6.252576E-2</v>
      </c>
      <c r="L54" s="2">
        <v>0.25506299999999998</v>
      </c>
      <c r="M54" s="2">
        <v>0.62563959999999996</v>
      </c>
      <c r="N54" s="2">
        <v>0.26606651999999997</v>
      </c>
      <c r="O54" s="2">
        <v>0.4847455</v>
      </c>
      <c r="P54" s="2">
        <v>0.13989455000000001</v>
      </c>
      <c r="Q54" s="2">
        <v>0.45762884999999998</v>
      </c>
      <c r="R54" s="2">
        <v>0.37187829999999999</v>
      </c>
      <c r="S54" s="2">
        <v>0.22550020000000001</v>
      </c>
      <c r="T54" s="2">
        <v>8.560384E-2</v>
      </c>
      <c r="U54" s="2">
        <v>0.13636756</v>
      </c>
      <c r="V54" s="2">
        <v>0.11790707</v>
      </c>
      <c r="W54" s="2">
        <v>0.20395473</v>
      </c>
      <c r="X54" s="2">
        <v>0.15951203</v>
      </c>
      <c r="Y54" s="2">
        <v>0.13065157999999999</v>
      </c>
      <c r="Z54" s="2">
        <v>1</v>
      </c>
      <c r="AA54" s="2">
        <v>0.23126350000000001</v>
      </c>
      <c r="AB54" s="2">
        <v>5.5945132000000002E-2</v>
      </c>
      <c r="AC54" s="2">
        <v>0.3153666</v>
      </c>
      <c r="AD54" s="2">
        <v>0.2750108</v>
      </c>
      <c r="AE54" s="2">
        <v>0.18112548000000001</v>
      </c>
      <c r="AF54" s="2">
        <v>0.28056657000000002</v>
      </c>
      <c r="AG54" s="2">
        <v>8.3532910000000002E-2</v>
      </c>
      <c r="AH54" s="2">
        <v>0.28982102999999998</v>
      </c>
      <c r="AI54" s="2">
        <v>0.14438144999999999</v>
      </c>
      <c r="AJ54" s="2">
        <v>0.38528057999999998</v>
      </c>
      <c r="AK54" s="2">
        <v>0.12761296</v>
      </c>
      <c r="AL54" s="2">
        <v>0.10061295000000001</v>
      </c>
      <c r="AM54" s="2">
        <v>0.12701933000000001</v>
      </c>
      <c r="AN54" s="2">
        <v>0.48624644</v>
      </c>
      <c r="AO54" s="2">
        <v>0.2894159</v>
      </c>
      <c r="AP54" s="2">
        <v>0.17108414999999999</v>
      </c>
      <c r="AQ54" s="2">
        <v>0.24066509999999999</v>
      </c>
      <c r="AR54" s="2">
        <v>0.14515310000000001</v>
      </c>
      <c r="AS54" s="2">
        <v>0.22902842000000001</v>
      </c>
      <c r="AT54" s="2">
        <v>0.24088739000000001</v>
      </c>
      <c r="AU54" s="2">
        <v>0.16453576</v>
      </c>
      <c r="AV54" s="2">
        <v>0.43203276000000002</v>
      </c>
      <c r="AW54" s="2">
        <v>0.39470315</v>
      </c>
      <c r="AX54" s="2">
        <v>0.27781867999999998</v>
      </c>
      <c r="AY54" s="2">
        <v>0.62871723999999996</v>
      </c>
      <c r="AZ54" s="2">
        <v>0.26975830000000001</v>
      </c>
      <c r="BA54" s="2">
        <v>0.13221139000000001</v>
      </c>
      <c r="BB54" s="2">
        <v>0.250801</v>
      </c>
      <c r="BC54" s="2">
        <v>6.2013578E-2</v>
      </c>
      <c r="BD54" s="2">
        <v>0.20112384999999999</v>
      </c>
      <c r="BE54" s="2">
        <v>0.26069715999999998</v>
      </c>
      <c r="BF54" s="2">
        <v>0.49704754000000001</v>
      </c>
      <c r="BG54" s="2">
        <v>0.11557376</v>
      </c>
      <c r="BH54" s="2">
        <v>0.17788931999999999</v>
      </c>
      <c r="BI54" s="2">
        <v>0.15613717999999999</v>
      </c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x14ac:dyDescent="0.25">
      <c r="A55" t="str" cm="1">
        <f t="array" ref="A55">_xll.FDS(B55,"FG_COMPANY_NAME")</f>
        <v>Koninklijke Ahold Delhaize N.V.</v>
      </c>
      <c r="B55" s="4" t="str">
        <v>AD-NL</v>
      </c>
      <c r="C55" s="2">
        <v>0.26632850000000002</v>
      </c>
      <c r="D55" s="2">
        <v>0.14545378</v>
      </c>
      <c r="E55" s="2">
        <v>2.7636377E-2</v>
      </c>
      <c r="F55" s="2">
        <v>8.3258470000000001E-2</v>
      </c>
      <c r="G55" s="2">
        <v>7.4997519999999998E-2</v>
      </c>
      <c r="H55" s="2">
        <v>1.5571003999999999E-2</v>
      </c>
      <c r="I55" s="2">
        <v>0.27792665</v>
      </c>
      <c r="J55" s="2">
        <v>0.28517239999999999</v>
      </c>
      <c r="K55" s="2">
        <v>6.1601400000000001E-2</v>
      </c>
      <c r="L55" s="2">
        <v>0.23886731</v>
      </c>
      <c r="M55" s="2">
        <v>0.19669776</v>
      </c>
      <c r="N55" s="2">
        <v>0.46898967000000003</v>
      </c>
      <c r="O55" s="2">
        <v>0.24180131999999999</v>
      </c>
      <c r="P55" s="2">
        <v>0.11705237</v>
      </c>
      <c r="Q55" s="2">
        <v>0.27178732</v>
      </c>
      <c r="R55" s="2">
        <v>0.20656657</v>
      </c>
      <c r="S55" s="2">
        <v>0.26237250000000001</v>
      </c>
      <c r="T55" s="2">
        <v>0.13210414000000001</v>
      </c>
      <c r="U55" s="2">
        <v>-5.2367834999999998E-3</v>
      </c>
      <c r="V55" s="2">
        <v>3.9994533999999998E-2</v>
      </c>
      <c r="W55" s="2">
        <v>3.7880067000000003E-2</v>
      </c>
      <c r="X55" s="2">
        <v>3.3970937E-2</v>
      </c>
      <c r="Y55" s="2">
        <v>6.2051330000000002E-2</v>
      </c>
      <c r="Z55" s="2">
        <v>0.23126350000000001</v>
      </c>
      <c r="AA55" s="2">
        <v>1</v>
      </c>
      <c r="AB55" s="2">
        <v>0.13800080000000001</v>
      </c>
      <c r="AC55" s="2">
        <v>0.10414559</v>
      </c>
      <c r="AD55" s="2">
        <v>5.5835765000000002E-2</v>
      </c>
      <c r="AE55" s="2">
        <v>7.2283310000000003E-2</v>
      </c>
      <c r="AF55" s="2">
        <v>8.2975869999999993E-2</v>
      </c>
      <c r="AG55" s="2">
        <v>9.1672009999999998E-2</v>
      </c>
      <c r="AH55" s="2">
        <v>0.1231703</v>
      </c>
      <c r="AI55" s="2">
        <v>0.15468986000000001</v>
      </c>
      <c r="AJ55" s="2">
        <v>0.21575737</v>
      </c>
      <c r="AK55" s="2">
        <v>0.1028858</v>
      </c>
      <c r="AL55" s="2">
        <v>7.7955339999999998E-2</v>
      </c>
      <c r="AM55" s="2">
        <v>9.4472680000000003E-2</v>
      </c>
      <c r="AN55" s="2">
        <v>0.20084551</v>
      </c>
      <c r="AO55" s="2">
        <v>9.3363119999999994E-2</v>
      </c>
      <c r="AP55" s="2">
        <v>6.8916716000000003E-2</v>
      </c>
      <c r="AQ55" s="2">
        <v>6.1647970000000003E-2</v>
      </c>
      <c r="AR55" s="2">
        <v>7.10842E-2</v>
      </c>
      <c r="AS55" s="2">
        <v>0.24785135999999999</v>
      </c>
      <c r="AT55" s="2">
        <v>0.20232417999999999</v>
      </c>
      <c r="AU55" s="2">
        <v>7.7815554999999995E-2</v>
      </c>
      <c r="AV55" s="2">
        <v>0.22803132000000001</v>
      </c>
      <c r="AW55" s="2">
        <v>0.1347776</v>
      </c>
      <c r="AX55" s="2">
        <v>8.2354720000000006E-2</v>
      </c>
      <c r="AY55" s="2">
        <v>0.17664377000000001</v>
      </c>
      <c r="AZ55" s="2">
        <v>0.11338912</v>
      </c>
      <c r="BA55" s="2">
        <v>0.11182416000000001</v>
      </c>
      <c r="BB55" s="2">
        <v>0.11254</v>
      </c>
      <c r="BC55" s="2">
        <v>0.120494224</v>
      </c>
      <c r="BD55" s="2">
        <v>0.105912484</v>
      </c>
      <c r="BE55" s="2">
        <v>0.30135943999999998</v>
      </c>
      <c r="BF55" s="2">
        <v>0.24289040000000001</v>
      </c>
      <c r="BG55" s="2">
        <v>9.489744E-2</v>
      </c>
      <c r="BH55" s="2">
        <v>0.12021517</v>
      </c>
      <c r="BI55" s="2">
        <v>6.5063289999999996E-2</v>
      </c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x14ac:dyDescent="0.25">
      <c r="A56" t="str" cm="1">
        <f t="array" ref="A56">_xll.FDS(B56,"FG_COMPANY_NAME")</f>
        <v>Kraft Heinz Company</v>
      </c>
      <c r="B56" s="4" t="str">
        <v>KHC-US</v>
      </c>
      <c r="C56" s="2">
        <v>0.12240205</v>
      </c>
      <c r="D56" s="2">
        <v>4.5460503999999999E-2</v>
      </c>
      <c r="E56" s="2">
        <v>2.7529266E-2</v>
      </c>
      <c r="F56" s="2">
        <v>0.116408706</v>
      </c>
      <c r="G56" s="2">
        <v>2.98947E-2</v>
      </c>
      <c r="H56" s="2">
        <v>-3.7563480000000003E-2</v>
      </c>
      <c r="I56" s="2">
        <v>0.110833295</v>
      </c>
      <c r="J56" s="2">
        <v>0.11295729</v>
      </c>
      <c r="K56" s="2">
        <v>0.23448189999999999</v>
      </c>
      <c r="L56" s="2">
        <v>0.12269262</v>
      </c>
      <c r="M56" s="2">
        <v>3.6212741999999999E-2</v>
      </c>
      <c r="N56" s="2">
        <v>0.11170633000000001</v>
      </c>
      <c r="O56" s="2">
        <v>5.4988883000000002E-2</v>
      </c>
      <c r="P56" s="2">
        <v>5.8995753999999997E-2</v>
      </c>
      <c r="Q56" s="2">
        <v>7.3106355999999997E-2</v>
      </c>
      <c r="R56" s="2">
        <v>8.0078490000000002E-2</v>
      </c>
      <c r="S56" s="2">
        <v>0.1569141</v>
      </c>
      <c r="T56" s="2">
        <v>7.1470249999999999E-2</v>
      </c>
      <c r="U56" s="2">
        <v>0.13606388999999999</v>
      </c>
      <c r="V56" s="2">
        <v>1.5610277000000001E-2</v>
      </c>
      <c r="W56" s="2">
        <v>0.11605284</v>
      </c>
      <c r="X56" s="2">
        <v>0.12263618</v>
      </c>
      <c r="Y56" s="2">
        <v>2.0906942000000001E-2</v>
      </c>
      <c r="Z56" s="2">
        <v>5.5945132000000002E-2</v>
      </c>
      <c r="AA56" s="2">
        <v>0.13800080000000001</v>
      </c>
      <c r="AB56" s="2">
        <v>1</v>
      </c>
      <c r="AC56" s="2">
        <v>0.17548630000000001</v>
      </c>
      <c r="AD56" s="2">
        <v>0.230152</v>
      </c>
      <c r="AE56" s="2">
        <v>0.10486679</v>
      </c>
      <c r="AF56" s="2">
        <v>0.22857499000000001</v>
      </c>
      <c r="AG56" s="2">
        <v>5.5343743000000001E-2</v>
      </c>
      <c r="AH56" s="2">
        <v>0.20235938000000001</v>
      </c>
      <c r="AI56" s="2">
        <v>0.39562446000000001</v>
      </c>
      <c r="AJ56" s="2">
        <v>4.4888972999999999E-2</v>
      </c>
      <c r="AK56" s="2">
        <v>2.7315711999999999E-2</v>
      </c>
      <c r="AL56" s="2">
        <v>8.1818470000000004E-2</v>
      </c>
      <c r="AM56" s="2">
        <v>0.20455185000000001</v>
      </c>
      <c r="AN56" s="2">
        <v>7.9690955999999993E-2</v>
      </c>
      <c r="AO56" s="2">
        <v>7.2429679999999996E-2</v>
      </c>
      <c r="AP56" s="2">
        <v>7.9200429999999999E-3</v>
      </c>
      <c r="AQ56" s="2">
        <v>0.17376053</v>
      </c>
      <c r="AR56" s="2">
        <v>-2.1485904E-2</v>
      </c>
      <c r="AS56" s="2">
        <v>0.17302807000000001</v>
      </c>
      <c r="AT56" s="2">
        <v>3.4679032999999998E-2</v>
      </c>
      <c r="AU56" s="2">
        <v>3.6330399999999999E-2</v>
      </c>
      <c r="AV56" s="2">
        <v>4.5732908000000003E-2</v>
      </c>
      <c r="AW56" s="2">
        <v>6.7878030000000006E-2</v>
      </c>
      <c r="AX56" s="2">
        <v>0.23352818</v>
      </c>
      <c r="AY56" s="2">
        <v>9.475894E-2</v>
      </c>
      <c r="AZ56" s="2">
        <v>0.11599261</v>
      </c>
      <c r="BA56" s="2">
        <v>4.8870955000000001E-2</v>
      </c>
      <c r="BB56" s="2">
        <v>1.7753109999999999E-2</v>
      </c>
      <c r="BC56" s="2">
        <v>0.34159594999999998</v>
      </c>
      <c r="BD56" s="2">
        <v>0.23954332</v>
      </c>
      <c r="BE56" s="2">
        <v>0.16767223000000001</v>
      </c>
      <c r="BF56" s="2">
        <v>0.11603997000000001</v>
      </c>
      <c r="BG56" s="2">
        <v>0.17745325000000001</v>
      </c>
      <c r="BH56" s="2">
        <v>0.27866244000000001</v>
      </c>
      <c r="BI56" s="2">
        <v>0.18448089000000001</v>
      </c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x14ac:dyDescent="0.25">
      <c r="A57" t="str" cm="1">
        <f t="array" ref="A57">_xll.FDS(B57,"FG_COMPANY_NAME")</f>
        <v>Lear Corporation</v>
      </c>
      <c r="B57" s="4" t="str">
        <v>LEA-US</v>
      </c>
      <c r="C57" s="2">
        <v>0.33602231999999999</v>
      </c>
      <c r="D57" s="2">
        <v>0.28487446999999999</v>
      </c>
      <c r="E57" s="2">
        <v>7.3951446000000004E-2</v>
      </c>
      <c r="F57" s="2">
        <v>0.74977830000000001</v>
      </c>
      <c r="G57" s="2">
        <v>0.23379572000000001</v>
      </c>
      <c r="H57" s="2">
        <v>0.101971455</v>
      </c>
      <c r="I57" s="2">
        <v>0.44210115</v>
      </c>
      <c r="J57" s="2">
        <v>0.24379359</v>
      </c>
      <c r="K57" s="2">
        <v>0.16839682</v>
      </c>
      <c r="L57" s="2">
        <v>0.17925068999999999</v>
      </c>
      <c r="M57" s="2">
        <v>0.25635530000000001</v>
      </c>
      <c r="N57" s="2">
        <v>0.16430573000000001</v>
      </c>
      <c r="O57" s="2">
        <v>0.44105703000000002</v>
      </c>
      <c r="P57" s="2">
        <v>3.8937020000000003E-2</v>
      </c>
      <c r="Q57" s="2">
        <v>0.33857784000000002</v>
      </c>
      <c r="R57" s="2">
        <v>0.27968660000000001</v>
      </c>
      <c r="S57" s="2">
        <v>8.9674569999999995E-2</v>
      </c>
      <c r="T57" s="2">
        <v>5.8947223999999999E-3</v>
      </c>
      <c r="U57" s="2">
        <v>0.42129913000000002</v>
      </c>
      <c r="V57" s="2">
        <v>7.4890310000000002E-2</v>
      </c>
      <c r="W57" s="2">
        <v>0.44464453999999998</v>
      </c>
      <c r="X57" s="2">
        <v>0.35840263999999999</v>
      </c>
      <c r="Y57" s="2">
        <v>8.4478490000000003E-2</v>
      </c>
      <c r="Z57" s="2">
        <v>0.3153666</v>
      </c>
      <c r="AA57" s="2">
        <v>0.10414559</v>
      </c>
      <c r="AB57" s="2">
        <v>0.17548630000000001</v>
      </c>
      <c r="AC57" s="2">
        <v>1</v>
      </c>
      <c r="AD57" s="2">
        <v>0.5528843</v>
      </c>
      <c r="AE57" s="2">
        <v>0.41175079999999997</v>
      </c>
      <c r="AF57" s="2">
        <v>0.53240012999999997</v>
      </c>
      <c r="AG57" s="2">
        <v>1.8043480000000001E-2</v>
      </c>
      <c r="AH57" s="2">
        <v>0.55972420000000001</v>
      </c>
      <c r="AI57" s="2">
        <v>0.32983564999999998</v>
      </c>
      <c r="AJ57" s="2">
        <v>0.33743077999999999</v>
      </c>
      <c r="AK57" s="2">
        <v>4.7088980000000003E-2</v>
      </c>
      <c r="AL57" s="2">
        <v>2.4825549999999998E-2</v>
      </c>
      <c r="AM57" s="2">
        <v>0.17629096999999999</v>
      </c>
      <c r="AN57" s="2">
        <v>0.30829786999999997</v>
      </c>
      <c r="AO57" s="2">
        <v>0.25294915000000001</v>
      </c>
      <c r="AP57" s="2">
        <v>0.101362415</v>
      </c>
      <c r="AQ57" s="2">
        <v>0.47005910000000001</v>
      </c>
      <c r="AR57" s="2">
        <v>7.8522204999999998E-2</v>
      </c>
      <c r="AS57" s="2">
        <v>8.775471E-2</v>
      </c>
      <c r="AT57" s="2">
        <v>0.17952451</v>
      </c>
      <c r="AU57" s="2">
        <v>9.6178700000000006E-2</v>
      </c>
      <c r="AV57" s="2">
        <v>0.39872664000000002</v>
      </c>
      <c r="AW57" s="2">
        <v>0.34559307</v>
      </c>
      <c r="AX57" s="2">
        <v>0.52825699999999998</v>
      </c>
      <c r="AY57" s="2">
        <v>0.35388649999999999</v>
      </c>
      <c r="AZ57" s="2">
        <v>0.42440885</v>
      </c>
      <c r="BA57" s="2">
        <v>7.9062519999999997E-2</v>
      </c>
      <c r="BB57" s="2">
        <v>0.15911411</v>
      </c>
      <c r="BC57" s="2">
        <v>0.15995854000000001</v>
      </c>
      <c r="BD57" s="2">
        <v>0.40712145</v>
      </c>
      <c r="BE57" s="2">
        <v>0.18914603999999999</v>
      </c>
      <c r="BF57" s="2">
        <v>0.40154514000000002</v>
      </c>
      <c r="BG57" s="2">
        <v>0.25663682999999998</v>
      </c>
      <c r="BH57" s="2">
        <v>0.41644353000000001</v>
      </c>
      <c r="BI57" s="2">
        <v>0.38840446000000001</v>
      </c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x14ac:dyDescent="0.25">
      <c r="A58" t="str" cm="1">
        <f t="array" ref="A58">_xll.FDS(B58,"FG_COMPANY_NAME")</f>
        <v>LyondellBasell Industries NV</v>
      </c>
      <c r="B58" s="4" t="str">
        <v>LYB-US</v>
      </c>
      <c r="C58" s="2">
        <v>0.31463010000000002</v>
      </c>
      <c r="D58" s="2">
        <v>0.34101942000000002</v>
      </c>
      <c r="E58" s="2">
        <v>0.11294534000000001</v>
      </c>
      <c r="F58" s="2">
        <v>0.48787710000000001</v>
      </c>
      <c r="G58" s="2">
        <v>0.22604072</v>
      </c>
      <c r="H58" s="2">
        <v>0.13737674</v>
      </c>
      <c r="I58" s="2">
        <v>0.42688102</v>
      </c>
      <c r="J58" s="2">
        <v>0.22644</v>
      </c>
      <c r="K58" s="2">
        <v>0.18141277</v>
      </c>
      <c r="L58" s="2">
        <v>0.15181078000000001</v>
      </c>
      <c r="M58" s="2">
        <v>0.22015499999999999</v>
      </c>
      <c r="N58" s="2">
        <v>0.16612798000000001</v>
      </c>
      <c r="O58" s="2">
        <v>0.30402817999999998</v>
      </c>
      <c r="P58" s="2">
        <v>6.9621974E-3</v>
      </c>
      <c r="Q58" s="2">
        <v>0.3083304</v>
      </c>
      <c r="R58" s="2">
        <v>0.38747352000000002</v>
      </c>
      <c r="S58" s="2">
        <v>8.9405460000000006E-2</v>
      </c>
      <c r="T58" s="2">
        <v>-5.695683E-3</v>
      </c>
      <c r="U58" s="2">
        <v>0.58403145999999995</v>
      </c>
      <c r="V58" s="2">
        <v>8.7476979999999996E-2</v>
      </c>
      <c r="W58" s="2">
        <v>0.45621820000000002</v>
      </c>
      <c r="X58" s="2">
        <v>0.29861336999999999</v>
      </c>
      <c r="Y58" s="2">
        <v>9.8996619999999994E-2</v>
      </c>
      <c r="Z58" s="2">
        <v>0.2750108</v>
      </c>
      <c r="AA58" s="2">
        <v>5.5835765000000002E-2</v>
      </c>
      <c r="AB58" s="2">
        <v>0.230152</v>
      </c>
      <c r="AC58" s="2">
        <v>0.5528843</v>
      </c>
      <c r="AD58" s="2">
        <v>1</v>
      </c>
      <c r="AE58" s="2">
        <v>0.36979187000000002</v>
      </c>
      <c r="AF58" s="2">
        <v>0.52546530000000002</v>
      </c>
      <c r="AG58" s="2">
        <v>9.9494149999999996E-3</v>
      </c>
      <c r="AH58" s="2">
        <v>0.48720005</v>
      </c>
      <c r="AI58" s="2">
        <v>0.36534923000000002</v>
      </c>
      <c r="AJ58" s="2">
        <v>0.32377830000000002</v>
      </c>
      <c r="AK58" s="2">
        <v>8.5463510000000006E-2</v>
      </c>
      <c r="AL58" s="2">
        <v>2.1505380000000001E-2</v>
      </c>
      <c r="AM58" s="2">
        <v>0.23846191</v>
      </c>
      <c r="AN58" s="2">
        <v>0.21099028</v>
      </c>
      <c r="AO58" s="2">
        <v>0.40174747</v>
      </c>
      <c r="AP58" s="2">
        <v>9.5094583999999996E-2</v>
      </c>
      <c r="AQ58" s="2">
        <v>0.39174895999999998</v>
      </c>
      <c r="AR58" s="2">
        <v>7.3910519999999993E-2</v>
      </c>
      <c r="AS58" s="2">
        <v>5.1769305000000002E-2</v>
      </c>
      <c r="AT58" s="2">
        <v>0.14110039999999999</v>
      </c>
      <c r="AU58" s="2">
        <v>8.8863090000000006E-2</v>
      </c>
      <c r="AV58" s="2">
        <v>0.33624127999999998</v>
      </c>
      <c r="AW58" s="2">
        <v>0.35457622999999999</v>
      </c>
      <c r="AX58" s="2">
        <v>0.50704086000000004</v>
      </c>
      <c r="AY58" s="2">
        <v>0.29078515999999999</v>
      </c>
      <c r="AZ58" s="2">
        <v>0.46909942999999998</v>
      </c>
      <c r="BA58" s="2">
        <v>4.1840740000000001E-2</v>
      </c>
      <c r="BB58" s="2">
        <v>0.14197093</v>
      </c>
      <c r="BC58" s="2">
        <v>0.22902764</v>
      </c>
      <c r="BD58" s="2">
        <v>0.36620554</v>
      </c>
      <c r="BE58" s="2">
        <v>0.18173692</v>
      </c>
      <c r="BF58" s="2">
        <v>0.33718759999999998</v>
      </c>
      <c r="BG58" s="2">
        <v>0.25873010000000002</v>
      </c>
      <c r="BH58" s="2">
        <v>0.42618256999999998</v>
      </c>
      <c r="BI58" s="2">
        <v>0.38216272000000001</v>
      </c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x14ac:dyDescent="0.25">
      <c r="A59" t="str" cm="1">
        <f t="array" ref="A59">_xll.FDS(B59,"FG_COMPANY_NAME")</f>
        <v>Macy's, Inc.</v>
      </c>
      <c r="B59" s="4" t="str">
        <v>M-US</v>
      </c>
      <c r="C59" s="2">
        <v>0.17430522000000001</v>
      </c>
      <c r="D59" s="2">
        <v>0.11964421</v>
      </c>
      <c r="E59" s="2">
        <v>4.0439438000000001E-2</v>
      </c>
      <c r="F59" s="2">
        <v>0.39698410000000001</v>
      </c>
      <c r="G59" s="2">
        <v>0.15629771000000001</v>
      </c>
      <c r="H59" s="2">
        <v>3.4880225000000001E-2</v>
      </c>
      <c r="I59" s="2">
        <v>0.21113420999999999</v>
      </c>
      <c r="J59" s="2">
        <v>8.6407065000000005E-2</v>
      </c>
      <c r="K59" s="2">
        <v>0.10737439999999999</v>
      </c>
      <c r="L59" s="2">
        <v>8.1264450000000002E-2</v>
      </c>
      <c r="M59" s="2">
        <v>0.18268309999999999</v>
      </c>
      <c r="N59" s="2">
        <v>8.9061609999999999E-2</v>
      </c>
      <c r="O59" s="2">
        <v>0.20812005</v>
      </c>
      <c r="P59" s="2">
        <v>2.7344047999999999E-2</v>
      </c>
      <c r="Q59" s="2">
        <v>0.2105397</v>
      </c>
      <c r="R59" s="2">
        <v>0.17412965</v>
      </c>
      <c r="S59" s="2">
        <v>2.0867213999999999E-2</v>
      </c>
      <c r="T59" s="2">
        <v>-1.4013441999999999E-2</v>
      </c>
      <c r="U59" s="2">
        <v>0.30889212999999999</v>
      </c>
      <c r="V59" s="2">
        <v>7.6550594999999999E-2</v>
      </c>
      <c r="W59" s="2">
        <v>0.39543289999999998</v>
      </c>
      <c r="X59" s="2">
        <v>0.26061854000000001</v>
      </c>
      <c r="Y59" s="2">
        <v>5.0922558E-2</v>
      </c>
      <c r="Z59" s="2">
        <v>0.18112548000000001</v>
      </c>
      <c r="AA59" s="2">
        <v>7.2283310000000003E-2</v>
      </c>
      <c r="AB59" s="2">
        <v>0.10486679</v>
      </c>
      <c r="AC59" s="2">
        <v>0.41175079999999997</v>
      </c>
      <c r="AD59" s="2">
        <v>0.36979187000000002</v>
      </c>
      <c r="AE59" s="2">
        <v>1</v>
      </c>
      <c r="AF59" s="2">
        <v>0.38949024999999998</v>
      </c>
      <c r="AG59" s="2">
        <v>2.0513255000000001E-2</v>
      </c>
      <c r="AH59" s="2">
        <v>0.38704386000000002</v>
      </c>
      <c r="AI59" s="2">
        <v>0.26854062000000001</v>
      </c>
      <c r="AJ59" s="2">
        <v>0.19285825000000001</v>
      </c>
      <c r="AK59" s="2">
        <v>4.0908510000000002E-2</v>
      </c>
      <c r="AL59" s="2">
        <v>3.5302762000000001E-2</v>
      </c>
      <c r="AM59" s="2">
        <v>0.11189074</v>
      </c>
      <c r="AN59" s="2">
        <v>0.13893712</v>
      </c>
      <c r="AO59" s="2">
        <v>0.19041834999999999</v>
      </c>
      <c r="AP59" s="2">
        <v>3.6405668000000002E-2</v>
      </c>
      <c r="AQ59" s="2">
        <v>0.46607043999999997</v>
      </c>
      <c r="AR59" s="2">
        <v>6.9894529999999996E-2</v>
      </c>
      <c r="AS59" s="2">
        <v>5.48475E-3</v>
      </c>
      <c r="AT59" s="2">
        <v>6.7850569999999999E-2</v>
      </c>
      <c r="AU59" s="2">
        <v>5.032296E-2</v>
      </c>
      <c r="AV59" s="2">
        <v>0.20012932999999999</v>
      </c>
      <c r="AW59" s="2">
        <v>0.19930595000000001</v>
      </c>
      <c r="AX59" s="2">
        <v>0.38281724</v>
      </c>
      <c r="AY59" s="2">
        <v>0.16946992</v>
      </c>
      <c r="AZ59" s="2">
        <v>0.24578261000000001</v>
      </c>
      <c r="BA59" s="2">
        <v>5.1366340000000003E-2</v>
      </c>
      <c r="BB59" s="2">
        <v>6.8878344999999994E-2</v>
      </c>
      <c r="BC59" s="2">
        <v>6.558129E-2</v>
      </c>
      <c r="BD59" s="2">
        <v>0.25504979999999999</v>
      </c>
      <c r="BE59" s="2">
        <v>0.120931625</v>
      </c>
      <c r="BF59" s="2">
        <v>0.1976686</v>
      </c>
      <c r="BG59" s="2">
        <v>0.24520223999999999</v>
      </c>
      <c r="BH59" s="2">
        <v>0.29458203999999999</v>
      </c>
      <c r="BI59" s="2">
        <v>0.27038743999999998</v>
      </c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x14ac:dyDescent="0.25">
      <c r="A60" t="str" cm="1">
        <f t="array" ref="A60">_xll.FDS(B60,"FG_COMPANY_NAME")</f>
        <v>ManpowerGroup Inc.</v>
      </c>
      <c r="B60" s="4" t="str">
        <v>MAN-US</v>
      </c>
      <c r="C60" s="2">
        <v>0.44833085</v>
      </c>
      <c r="D60" s="2">
        <v>0.25129952999999999</v>
      </c>
      <c r="E60" s="2">
        <v>7.1766670000000005E-2</v>
      </c>
      <c r="F60" s="2">
        <v>0.48700399999999999</v>
      </c>
      <c r="G60" s="2">
        <v>0.20698543</v>
      </c>
      <c r="H60" s="2">
        <v>5.9619739999999997E-2</v>
      </c>
      <c r="I60" s="2">
        <v>0.39829300000000001</v>
      </c>
      <c r="J60" s="2">
        <v>0.21613170000000001</v>
      </c>
      <c r="K60" s="2">
        <v>0.20463814999999999</v>
      </c>
      <c r="L60" s="2">
        <v>0.1919496</v>
      </c>
      <c r="M60" s="2">
        <v>0.23934512999999999</v>
      </c>
      <c r="N60" s="2">
        <v>0.15114454999999999</v>
      </c>
      <c r="O60" s="2">
        <v>0.34109319999999999</v>
      </c>
      <c r="P60" s="2">
        <v>5.3796070000000001E-2</v>
      </c>
      <c r="Q60" s="2">
        <v>0.34419460000000002</v>
      </c>
      <c r="R60" s="2">
        <v>0.27518234000000003</v>
      </c>
      <c r="S60" s="2">
        <v>0.13040671000000001</v>
      </c>
      <c r="T60" s="2">
        <v>3.3569080000000001E-2</v>
      </c>
      <c r="U60" s="2">
        <v>0.3522306</v>
      </c>
      <c r="V60" s="2">
        <v>6.4905660000000004E-2</v>
      </c>
      <c r="W60" s="2">
        <v>0.39013123999999999</v>
      </c>
      <c r="X60" s="2">
        <v>0.29089186</v>
      </c>
      <c r="Y60" s="2">
        <v>9.7886704000000005E-2</v>
      </c>
      <c r="Z60" s="2">
        <v>0.28056657000000002</v>
      </c>
      <c r="AA60" s="2">
        <v>8.2975869999999993E-2</v>
      </c>
      <c r="AB60" s="2">
        <v>0.22857499000000001</v>
      </c>
      <c r="AC60" s="2">
        <v>0.53240012999999997</v>
      </c>
      <c r="AD60" s="2">
        <v>0.52546530000000002</v>
      </c>
      <c r="AE60" s="2">
        <v>0.38949024999999998</v>
      </c>
      <c r="AF60" s="2">
        <v>1</v>
      </c>
      <c r="AG60" s="2">
        <v>2.6812217999999999E-2</v>
      </c>
      <c r="AH60" s="2">
        <v>0.50997380000000003</v>
      </c>
      <c r="AI60" s="2">
        <v>0.33019019999999999</v>
      </c>
      <c r="AJ60" s="2">
        <v>0.31472762999999998</v>
      </c>
      <c r="AK60" s="2">
        <v>4.4891239999999999E-2</v>
      </c>
      <c r="AL60" s="2">
        <v>3.2531306000000003E-2</v>
      </c>
      <c r="AM60" s="2">
        <v>0.22903973999999999</v>
      </c>
      <c r="AN60" s="2">
        <v>0.26659650000000001</v>
      </c>
      <c r="AO60" s="2">
        <v>0.24495742000000001</v>
      </c>
      <c r="AP60" s="2">
        <v>8.7120149999999993E-2</v>
      </c>
      <c r="AQ60" s="2">
        <v>0.4301372</v>
      </c>
      <c r="AR60" s="2">
        <v>7.941347E-2</v>
      </c>
      <c r="AS60" s="2">
        <v>0.10830944000000001</v>
      </c>
      <c r="AT60" s="2">
        <v>0.12936945</v>
      </c>
      <c r="AU60" s="2">
        <v>0.109048374</v>
      </c>
      <c r="AV60" s="2">
        <v>0.3735116</v>
      </c>
      <c r="AW60" s="2">
        <v>0.31973230000000002</v>
      </c>
      <c r="AX60" s="2">
        <v>0.50520306999999998</v>
      </c>
      <c r="AY60" s="2">
        <v>0.30343520000000002</v>
      </c>
      <c r="AZ60" s="2">
        <v>0.36476612000000003</v>
      </c>
      <c r="BA60" s="2">
        <v>6.4735589999999996E-2</v>
      </c>
      <c r="BB60" s="2">
        <v>0.10715157</v>
      </c>
      <c r="BC60" s="2">
        <v>0.20770640000000001</v>
      </c>
      <c r="BD60" s="2">
        <v>0.36543047000000001</v>
      </c>
      <c r="BE60" s="2">
        <v>0.22951617999999999</v>
      </c>
      <c r="BF60" s="2">
        <v>0.31931967</v>
      </c>
      <c r="BG60" s="2">
        <v>0.26529393000000001</v>
      </c>
      <c r="BH60" s="2">
        <v>0.37820577999999999</v>
      </c>
      <c r="BI60" s="2">
        <v>0.39658588</v>
      </c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x14ac:dyDescent="0.25">
      <c r="A61" t="str" cm="1">
        <f t="array" ref="A61">_xll.FDS(B61,"FG_COMPANY_NAME")</f>
        <v>MEDIPAL HOLDINGS Corporation</v>
      </c>
      <c r="B61" s="4" t="str">
        <v>7459-JP</v>
      </c>
      <c r="C61" s="2">
        <v>9.6641279999999996E-2</v>
      </c>
      <c r="D61" s="2">
        <v>0.11732159</v>
      </c>
      <c r="E61" s="2">
        <v>4.872398E-2</v>
      </c>
      <c r="F61" s="2">
        <v>4.8910510000000004E-3</v>
      </c>
      <c r="G61" s="2">
        <v>5.2585109999999996E-3</v>
      </c>
      <c r="H61" s="2">
        <v>2.9118108E-2</v>
      </c>
      <c r="I61" s="2">
        <v>8.6662169999999997E-2</v>
      </c>
      <c r="J61" s="2">
        <v>0.11234039</v>
      </c>
      <c r="K61" s="2">
        <v>1.3564672999999999E-2</v>
      </c>
      <c r="L61" s="2">
        <v>9.4026830000000006E-2</v>
      </c>
      <c r="M61" s="2">
        <v>6.1221194E-2</v>
      </c>
      <c r="N61" s="2">
        <v>3.355292E-2</v>
      </c>
      <c r="O61" s="2">
        <v>8.3445039999999998E-2</v>
      </c>
      <c r="P61" s="2">
        <v>0.30702691999999998</v>
      </c>
      <c r="Q61" s="2">
        <v>0.10647436</v>
      </c>
      <c r="R61" s="2">
        <v>7.8328179999999997E-2</v>
      </c>
      <c r="S61" s="2">
        <v>6.5787250000000005E-2</v>
      </c>
      <c r="T61" s="2">
        <v>0.41233556999999998</v>
      </c>
      <c r="U61" s="2">
        <v>-2.9282262999999999E-2</v>
      </c>
      <c r="V61" s="2">
        <v>0.16245346999999999</v>
      </c>
      <c r="W61" s="2">
        <v>-3.0913070000000001E-2</v>
      </c>
      <c r="X61" s="2">
        <v>6.7476090000000002E-2</v>
      </c>
      <c r="Y61" s="2">
        <v>0.13134651</v>
      </c>
      <c r="Z61" s="2">
        <v>8.3532910000000002E-2</v>
      </c>
      <c r="AA61" s="2">
        <v>9.1672009999999998E-2</v>
      </c>
      <c r="AB61" s="2">
        <v>5.5343743000000001E-2</v>
      </c>
      <c r="AC61" s="2">
        <v>1.8043480000000001E-2</v>
      </c>
      <c r="AD61" s="2">
        <v>9.9494149999999996E-3</v>
      </c>
      <c r="AE61" s="2">
        <v>2.0513255000000001E-2</v>
      </c>
      <c r="AF61" s="2">
        <v>2.6812217999999999E-2</v>
      </c>
      <c r="AG61" s="2">
        <v>1</v>
      </c>
      <c r="AH61" s="2">
        <v>7.6644260000000006E-2</v>
      </c>
      <c r="AI61" s="2">
        <v>5.5619290000000002E-2</v>
      </c>
      <c r="AJ61" s="2">
        <v>7.8770919999999994E-2</v>
      </c>
      <c r="AK61" s="2">
        <v>0.31576818000000001</v>
      </c>
      <c r="AL61" s="2">
        <v>0.44263995</v>
      </c>
      <c r="AM61" s="2">
        <v>2.3914205000000001E-2</v>
      </c>
      <c r="AN61" s="2">
        <v>6.4754149999999996E-2</v>
      </c>
      <c r="AO61" s="2">
        <v>7.0397559999999998E-2</v>
      </c>
      <c r="AP61" s="2">
        <v>0.26033136000000001</v>
      </c>
      <c r="AQ61" s="2">
        <v>6.4117370000000007E-2</v>
      </c>
      <c r="AR61" s="2">
        <v>0.15083617999999999</v>
      </c>
      <c r="AS61" s="2">
        <v>8.2726569999999999E-2</v>
      </c>
      <c r="AT61" s="2">
        <v>7.4747690000000006E-2</v>
      </c>
      <c r="AU61" s="2">
        <v>0.11901885</v>
      </c>
      <c r="AV61" s="2">
        <v>4.9190138000000001E-2</v>
      </c>
      <c r="AW61" s="2">
        <v>2.8915745999999999E-2</v>
      </c>
      <c r="AX61" s="2">
        <v>5.2336282999999997E-2</v>
      </c>
      <c r="AY61" s="2">
        <v>9.2528269999999996E-2</v>
      </c>
      <c r="AZ61" s="2">
        <v>3.0391135999999999E-2</v>
      </c>
      <c r="BA61" s="2">
        <v>0.38931830000000001</v>
      </c>
      <c r="BB61" s="2">
        <v>4.7542106000000001E-2</v>
      </c>
      <c r="BC61" s="2">
        <v>5.5302407999999997E-2</v>
      </c>
      <c r="BD61" s="2">
        <v>6.6283979999999998E-3</v>
      </c>
      <c r="BE61" s="2">
        <v>0.10137699</v>
      </c>
      <c r="BF61" s="2">
        <v>8.751341E-2</v>
      </c>
      <c r="BG61" s="2">
        <v>5.1210653000000002E-2</v>
      </c>
      <c r="BH61" s="2">
        <v>1.657844E-2</v>
      </c>
      <c r="BI61" s="2">
        <v>2.5663476000000001E-2</v>
      </c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x14ac:dyDescent="0.25">
      <c r="A62" t="str" cm="1">
        <f t="array" ref="A62">_xll.FDS(B62,"FG_COMPANY_NAME")</f>
        <v>Mohawk Industries, Inc.</v>
      </c>
      <c r="B62" s="4" t="str">
        <v>MHK-US</v>
      </c>
      <c r="C62" s="2">
        <v>0.30196636999999998</v>
      </c>
      <c r="D62" s="2">
        <v>0.22978367999999999</v>
      </c>
      <c r="E62" s="2">
        <v>4.1892159999999998E-2</v>
      </c>
      <c r="F62" s="2">
        <v>0.52945894000000004</v>
      </c>
      <c r="G62" s="2">
        <v>0.23356366000000001</v>
      </c>
      <c r="H62" s="2">
        <v>8.9560340000000002E-2</v>
      </c>
      <c r="I62" s="2">
        <v>0.33198673000000001</v>
      </c>
      <c r="J62" s="2">
        <v>0.19858940999999999</v>
      </c>
      <c r="K62" s="2">
        <v>0.20788386</v>
      </c>
      <c r="L62" s="2">
        <v>0.15499835000000001</v>
      </c>
      <c r="M62" s="2">
        <v>0.21409726000000001</v>
      </c>
      <c r="N62" s="2">
        <v>0.12551256999999999</v>
      </c>
      <c r="O62" s="2">
        <v>0.33313860000000001</v>
      </c>
      <c r="P62" s="2">
        <v>6.05242E-2</v>
      </c>
      <c r="Q62" s="2">
        <v>0.29049096000000002</v>
      </c>
      <c r="R62" s="2">
        <v>0.20338549</v>
      </c>
      <c r="S62" s="2">
        <v>8.5219520000000007E-2</v>
      </c>
      <c r="T62" s="2">
        <v>6.7766209999999993E-2</v>
      </c>
      <c r="U62" s="2">
        <v>0.31727365000000002</v>
      </c>
      <c r="V62" s="2">
        <v>7.2060550000000001E-2</v>
      </c>
      <c r="W62" s="2">
        <v>0.40349433000000001</v>
      </c>
      <c r="X62" s="2">
        <v>0.27994150000000001</v>
      </c>
      <c r="Y62" s="2">
        <v>5.7656076000000001E-2</v>
      </c>
      <c r="Z62" s="2">
        <v>0.28982102999999998</v>
      </c>
      <c r="AA62" s="2">
        <v>0.1231703</v>
      </c>
      <c r="AB62" s="2">
        <v>0.20235938000000001</v>
      </c>
      <c r="AC62" s="2">
        <v>0.55972420000000001</v>
      </c>
      <c r="AD62" s="2">
        <v>0.48720005</v>
      </c>
      <c r="AE62" s="2">
        <v>0.38704386000000002</v>
      </c>
      <c r="AF62" s="2">
        <v>0.50997380000000003</v>
      </c>
      <c r="AG62" s="2">
        <v>7.6644260000000006E-2</v>
      </c>
      <c r="AH62" s="2">
        <v>1</v>
      </c>
      <c r="AI62" s="2">
        <v>0.32819772000000003</v>
      </c>
      <c r="AJ62" s="2">
        <v>0.28112835000000003</v>
      </c>
      <c r="AK62" s="2">
        <v>6.5670629999999994E-2</v>
      </c>
      <c r="AL62" s="2">
        <v>8.0158140000000003E-2</v>
      </c>
      <c r="AM62" s="2">
        <v>0.17065971999999999</v>
      </c>
      <c r="AN62" s="2">
        <v>0.25559895999999999</v>
      </c>
      <c r="AO62" s="2">
        <v>0.157835</v>
      </c>
      <c r="AP62" s="2">
        <v>9.0277460000000004E-2</v>
      </c>
      <c r="AQ62" s="2">
        <v>0.46738172</v>
      </c>
      <c r="AR62" s="2">
        <v>6.3897445999999997E-2</v>
      </c>
      <c r="AS62" s="2">
        <v>5.726672E-2</v>
      </c>
      <c r="AT62" s="2">
        <v>0.14796448000000001</v>
      </c>
      <c r="AU62" s="2">
        <v>8.4487274000000001E-2</v>
      </c>
      <c r="AV62" s="2">
        <v>0.28610142999999999</v>
      </c>
      <c r="AW62" s="2">
        <v>0.25796229999999998</v>
      </c>
      <c r="AX62" s="2">
        <v>0.6149831</v>
      </c>
      <c r="AY62" s="2">
        <v>0.27863607000000001</v>
      </c>
      <c r="AZ62" s="2">
        <v>0.34912246000000002</v>
      </c>
      <c r="BA62" s="2">
        <v>0.12375406</v>
      </c>
      <c r="BB62" s="2">
        <v>0.13513254999999999</v>
      </c>
      <c r="BC62" s="2">
        <v>0.19294806</v>
      </c>
      <c r="BD62" s="2">
        <v>0.36900923000000002</v>
      </c>
      <c r="BE62" s="2">
        <v>0.17546523</v>
      </c>
      <c r="BF62" s="2">
        <v>0.29942780000000002</v>
      </c>
      <c r="BG62" s="2">
        <v>0.27699386999999998</v>
      </c>
      <c r="BH62" s="2">
        <v>0.36494964000000002</v>
      </c>
      <c r="BI62" s="2">
        <v>0.39001602000000002</v>
      </c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1:77" x14ac:dyDescent="0.25">
      <c r="A63" t="str" cm="1">
        <f t="array" ref="A63">_xll.FDS(B63,"FG_COMPANY_NAME")</f>
        <v>Molson Coors Beverage Company Class B</v>
      </c>
      <c r="B63" s="4" t="str">
        <v>TAP-US</v>
      </c>
      <c r="C63" s="2">
        <v>0.19476128000000001</v>
      </c>
      <c r="D63" s="2">
        <v>0.13224563</v>
      </c>
      <c r="E63" s="2">
        <v>4.5309469999999998E-2</v>
      </c>
      <c r="F63" s="2">
        <v>0.25599379999999999</v>
      </c>
      <c r="G63" s="2">
        <v>0.105211444</v>
      </c>
      <c r="H63" s="2">
        <v>-1.6897559999999999E-2</v>
      </c>
      <c r="I63" s="2">
        <v>0.22068276000000001</v>
      </c>
      <c r="J63" s="2">
        <v>0.10971255000000001</v>
      </c>
      <c r="K63" s="2">
        <v>0.21476322</v>
      </c>
      <c r="L63" s="2">
        <v>0.18644848</v>
      </c>
      <c r="M63" s="2">
        <v>0.13434662999999999</v>
      </c>
      <c r="N63" s="2">
        <v>0.16677205000000001</v>
      </c>
      <c r="O63" s="2">
        <v>0.20033570000000001</v>
      </c>
      <c r="P63" s="2">
        <v>4.2641400000000003E-2</v>
      </c>
      <c r="Q63" s="2">
        <v>0.20589966000000001</v>
      </c>
      <c r="R63" s="2">
        <v>0.20161387</v>
      </c>
      <c r="S63" s="2">
        <v>0.16772255</v>
      </c>
      <c r="T63" s="2">
        <v>4.5703832E-2</v>
      </c>
      <c r="U63" s="2">
        <v>0.25940686000000002</v>
      </c>
      <c r="V63" s="2">
        <v>-5.7963190000000003E-3</v>
      </c>
      <c r="W63" s="2">
        <v>0.24744223000000001</v>
      </c>
      <c r="X63" s="2">
        <v>0.17652567</v>
      </c>
      <c r="Y63" s="2">
        <v>2.1644942E-2</v>
      </c>
      <c r="Z63" s="2">
        <v>0.14438144999999999</v>
      </c>
      <c r="AA63" s="2">
        <v>0.15468986000000001</v>
      </c>
      <c r="AB63" s="2">
        <v>0.39562446000000001</v>
      </c>
      <c r="AC63" s="2">
        <v>0.32983564999999998</v>
      </c>
      <c r="AD63" s="2">
        <v>0.36534923000000002</v>
      </c>
      <c r="AE63" s="2">
        <v>0.26854062000000001</v>
      </c>
      <c r="AF63" s="2">
        <v>0.33019019999999999</v>
      </c>
      <c r="AG63" s="2">
        <v>5.5619290000000002E-2</v>
      </c>
      <c r="AH63" s="2">
        <v>0.32819772000000003</v>
      </c>
      <c r="AI63" s="2">
        <v>1</v>
      </c>
      <c r="AJ63" s="2">
        <v>0.16974665</v>
      </c>
      <c r="AK63" s="2">
        <v>4.6746846000000002E-2</v>
      </c>
      <c r="AL63" s="2">
        <v>6.184448E-2</v>
      </c>
      <c r="AM63" s="2">
        <v>0.16715944999999999</v>
      </c>
      <c r="AN63" s="2">
        <v>0.12265722499999999</v>
      </c>
      <c r="AO63" s="2">
        <v>0.18277436</v>
      </c>
      <c r="AP63" s="2">
        <v>-4.3930067000000003E-3</v>
      </c>
      <c r="AQ63" s="2">
        <v>0.29427340000000002</v>
      </c>
      <c r="AR63" s="2">
        <v>-1.1254797E-2</v>
      </c>
      <c r="AS63" s="2">
        <v>0.11822828000000001</v>
      </c>
      <c r="AT63" s="2">
        <v>0.114879444</v>
      </c>
      <c r="AU63" s="2">
        <v>3.0761579000000001E-2</v>
      </c>
      <c r="AV63" s="2">
        <v>0.20396913999999999</v>
      </c>
      <c r="AW63" s="2">
        <v>0.19387071</v>
      </c>
      <c r="AX63" s="2">
        <v>0.26858890000000002</v>
      </c>
      <c r="AY63" s="2">
        <v>0.19437598</v>
      </c>
      <c r="AZ63" s="2">
        <v>0.22601563</v>
      </c>
      <c r="BA63" s="2">
        <v>7.2121896000000005E-2</v>
      </c>
      <c r="BB63" s="2">
        <v>4.8805705999999997E-2</v>
      </c>
      <c r="BC63" s="2">
        <v>0.27850983000000001</v>
      </c>
      <c r="BD63" s="2">
        <v>0.25566267999999998</v>
      </c>
      <c r="BE63" s="2">
        <v>0.22220342000000001</v>
      </c>
      <c r="BF63" s="2">
        <v>0.21079845999999999</v>
      </c>
      <c r="BG63" s="2">
        <v>0.23561652</v>
      </c>
      <c r="BH63" s="2">
        <v>0.32205035999999998</v>
      </c>
      <c r="BI63" s="2">
        <v>0.28253456999999998</v>
      </c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1:77" x14ac:dyDescent="0.25">
      <c r="A64" t="str" cm="1">
        <f t="array" ref="A64">_xll.FDS(B64,"FG_COMPANY_NAME")</f>
        <v>NatWest Group Plc</v>
      </c>
      <c r="B64" s="4" t="str">
        <v>NWG-GB</v>
      </c>
      <c r="C64" s="2">
        <v>0.45068923</v>
      </c>
      <c r="D64" s="2">
        <v>0.46879920000000003</v>
      </c>
      <c r="E64" s="2">
        <v>0.12148349999999999</v>
      </c>
      <c r="F64" s="2">
        <v>0.31025150000000001</v>
      </c>
      <c r="G64" s="2">
        <v>0.15255003</v>
      </c>
      <c r="H64" s="2">
        <v>0.12580121999999999</v>
      </c>
      <c r="I64" s="2">
        <v>0.51832009999999995</v>
      </c>
      <c r="J64" s="2">
        <v>0.37212124000000002</v>
      </c>
      <c r="K64" s="2">
        <v>5.8254269999999997E-2</v>
      </c>
      <c r="L64" s="2">
        <v>0.40697232</v>
      </c>
      <c r="M64" s="2">
        <v>0.39552015000000001</v>
      </c>
      <c r="N64" s="2">
        <v>0.26248517999999998</v>
      </c>
      <c r="O64" s="2">
        <v>0.49137184</v>
      </c>
      <c r="P64" s="2">
        <v>0.12640098</v>
      </c>
      <c r="Q64" s="2">
        <v>0.49854836000000002</v>
      </c>
      <c r="R64" s="2">
        <v>0.47497505000000001</v>
      </c>
      <c r="S64" s="2">
        <v>0.23667716999999999</v>
      </c>
      <c r="T64" s="2">
        <v>3.4981249999999998E-2</v>
      </c>
      <c r="U64" s="2">
        <v>0.26986969999999999</v>
      </c>
      <c r="V64" s="2">
        <v>9.46327E-2</v>
      </c>
      <c r="W64" s="2">
        <v>0.27360879999999999</v>
      </c>
      <c r="X64" s="2">
        <v>0.11863406999999999</v>
      </c>
      <c r="Y64" s="2">
        <v>0.13937223000000001</v>
      </c>
      <c r="Z64" s="2">
        <v>0.38528057999999998</v>
      </c>
      <c r="AA64" s="2">
        <v>0.21575737</v>
      </c>
      <c r="AB64" s="2">
        <v>4.4888972999999999E-2</v>
      </c>
      <c r="AC64" s="2">
        <v>0.33743077999999999</v>
      </c>
      <c r="AD64" s="2">
        <v>0.32377830000000002</v>
      </c>
      <c r="AE64" s="2">
        <v>0.19285825000000001</v>
      </c>
      <c r="AF64" s="2">
        <v>0.31472762999999998</v>
      </c>
      <c r="AG64" s="2">
        <v>7.8770919999999994E-2</v>
      </c>
      <c r="AH64" s="2">
        <v>0.28112835000000003</v>
      </c>
      <c r="AI64" s="2">
        <v>0.16974665</v>
      </c>
      <c r="AJ64" s="2">
        <v>1</v>
      </c>
      <c r="AK64" s="2">
        <v>9.5439819999999995E-2</v>
      </c>
      <c r="AL64" s="2">
        <v>5.4902970000000002E-2</v>
      </c>
      <c r="AM64" s="2">
        <v>9.9916353999999999E-2</v>
      </c>
      <c r="AN64" s="2">
        <v>0.26963680000000001</v>
      </c>
      <c r="AO64" s="2">
        <v>0.40175304000000001</v>
      </c>
      <c r="AP64" s="2">
        <v>0.15525860999999999</v>
      </c>
      <c r="AQ64" s="2">
        <v>0.19535095999999999</v>
      </c>
      <c r="AR64" s="2">
        <v>0.18072715</v>
      </c>
      <c r="AS64" s="2">
        <v>0.26411316000000001</v>
      </c>
      <c r="AT64" s="2">
        <v>0.26467322999999998</v>
      </c>
      <c r="AU64" s="2">
        <v>0.14342009</v>
      </c>
      <c r="AV64" s="2">
        <v>0.64671034000000005</v>
      </c>
      <c r="AW64" s="2">
        <v>0.61024719999999999</v>
      </c>
      <c r="AX64" s="2">
        <v>0.21219452999999999</v>
      </c>
      <c r="AY64" s="2">
        <v>0.38943457999999997</v>
      </c>
      <c r="AZ64" s="2">
        <v>0.32464432999999998</v>
      </c>
      <c r="BA64" s="2">
        <v>0.13950973999999999</v>
      </c>
      <c r="BB64" s="2">
        <v>0.26061296</v>
      </c>
      <c r="BC64" s="2">
        <v>0.116483584</v>
      </c>
      <c r="BD64" s="2">
        <v>0.20739447999999999</v>
      </c>
      <c r="BE64" s="2">
        <v>0.37868970000000002</v>
      </c>
      <c r="BF64" s="2">
        <v>0.48931044000000001</v>
      </c>
      <c r="BG64" s="2">
        <v>0.12319623</v>
      </c>
      <c r="BH64" s="2">
        <v>0.21383467</v>
      </c>
      <c r="BI64" s="2">
        <v>0.17939896999999999</v>
      </c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1:77" x14ac:dyDescent="0.25">
      <c r="A65" t="str" cm="1">
        <f t="array" ref="A65">_xll.FDS(B65,"FG_COMPANY_NAME")</f>
        <v>Nikon Corp.</v>
      </c>
      <c r="B65" s="4" t="str">
        <v>7731-JP</v>
      </c>
      <c r="C65" s="2">
        <v>0.13730614999999999</v>
      </c>
      <c r="D65" s="2">
        <v>0.13212421999999999</v>
      </c>
      <c r="E65" s="2">
        <v>9.4915054999999998E-2</v>
      </c>
      <c r="F65" s="2">
        <v>4.808809E-2</v>
      </c>
      <c r="G65" s="2">
        <v>3.7213049999999998E-2</v>
      </c>
      <c r="H65" s="2">
        <v>0.13609755000000001</v>
      </c>
      <c r="I65" s="2">
        <v>0.11048277500000001</v>
      </c>
      <c r="J65" s="2">
        <v>0.112034306</v>
      </c>
      <c r="K65" s="2">
        <v>7.8891090000000001E-3</v>
      </c>
      <c r="L65" s="2">
        <v>0.111709185</v>
      </c>
      <c r="M65" s="2">
        <v>0.11131075999999999</v>
      </c>
      <c r="N65" s="2">
        <v>6.0145400000000002E-2</v>
      </c>
      <c r="O65" s="2">
        <v>0.10381844</v>
      </c>
      <c r="P65" s="2">
        <v>0.38480848000000001</v>
      </c>
      <c r="Q65" s="2">
        <v>0.12347774</v>
      </c>
      <c r="R65" s="2">
        <v>0.11944839</v>
      </c>
      <c r="S65" s="2">
        <v>0.10644768</v>
      </c>
      <c r="T65" s="2">
        <v>0.27410003999999999</v>
      </c>
      <c r="U65" s="2">
        <v>8.3436140000000006E-2</v>
      </c>
      <c r="V65" s="2">
        <v>0.17701576999999999</v>
      </c>
      <c r="W65" s="2">
        <v>1.9627945000000001E-2</v>
      </c>
      <c r="X65" s="2">
        <v>6.4175129999999997E-2</v>
      </c>
      <c r="Y65" s="2">
        <v>0.18843628000000001</v>
      </c>
      <c r="Z65" s="2">
        <v>0.12761296</v>
      </c>
      <c r="AA65" s="2">
        <v>0.1028858</v>
      </c>
      <c r="AB65" s="2">
        <v>2.7315711999999999E-2</v>
      </c>
      <c r="AC65" s="2">
        <v>4.7088980000000003E-2</v>
      </c>
      <c r="AD65" s="2">
        <v>8.5463510000000006E-2</v>
      </c>
      <c r="AE65" s="2">
        <v>4.0908510000000002E-2</v>
      </c>
      <c r="AF65" s="2">
        <v>4.4891239999999999E-2</v>
      </c>
      <c r="AG65" s="2">
        <v>0.31576818000000001</v>
      </c>
      <c r="AH65" s="2">
        <v>6.5670629999999994E-2</v>
      </c>
      <c r="AI65" s="2">
        <v>4.6746846000000002E-2</v>
      </c>
      <c r="AJ65" s="2">
        <v>9.5439819999999995E-2</v>
      </c>
      <c r="AK65" s="2">
        <v>1</v>
      </c>
      <c r="AL65" s="2">
        <v>0.34440130000000002</v>
      </c>
      <c r="AM65" s="2">
        <v>-2.6372791999999999E-2</v>
      </c>
      <c r="AN65" s="2">
        <v>7.7096769999999995E-2</v>
      </c>
      <c r="AO65" s="2">
        <v>0.13376740000000001</v>
      </c>
      <c r="AP65" s="2">
        <v>0.37131444000000002</v>
      </c>
      <c r="AQ65" s="2">
        <v>3.3298858000000001E-2</v>
      </c>
      <c r="AR65" s="2">
        <v>0.23621112</v>
      </c>
      <c r="AS65" s="2">
        <v>6.0302324999999997E-2</v>
      </c>
      <c r="AT65" s="2">
        <v>9.5654649999999994E-2</v>
      </c>
      <c r="AU65" s="2">
        <v>0.17895141000000001</v>
      </c>
      <c r="AV65" s="2">
        <v>0.13123125999999999</v>
      </c>
      <c r="AW65" s="2">
        <v>7.8008040000000001E-2</v>
      </c>
      <c r="AX65" s="2">
        <v>7.9770505000000005E-2</v>
      </c>
      <c r="AY65" s="2">
        <v>0.15852267</v>
      </c>
      <c r="AZ65" s="2">
        <v>6.1140372999999998E-2</v>
      </c>
      <c r="BA65" s="2">
        <v>0.45050314000000002</v>
      </c>
      <c r="BB65" s="2">
        <v>7.8146270000000004E-2</v>
      </c>
      <c r="BC65" s="2">
        <v>7.2625239999999994E-2</v>
      </c>
      <c r="BD65" s="2">
        <v>2.1275228E-2</v>
      </c>
      <c r="BE65" s="2">
        <v>0.14185216</v>
      </c>
      <c r="BF65" s="2">
        <v>0.13428807000000001</v>
      </c>
      <c r="BG65" s="2">
        <v>5.5261999999999999E-2</v>
      </c>
      <c r="BH65" s="2">
        <v>5.7023384000000003E-2</v>
      </c>
      <c r="BI65" s="2">
        <v>7.9345495000000002E-2</v>
      </c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1:77" x14ac:dyDescent="0.25">
      <c r="A66" t="str" cm="1">
        <f t="array" ref="A66">_xll.FDS(B66,"FG_COMPANY_NAME")</f>
        <v>Nippon Television Holdings, Inc.</v>
      </c>
      <c r="B66" s="4" t="str">
        <v>9404-JP</v>
      </c>
      <c r="C66" s="2">
        <v>0.10514353</v>
      </c>
      <c r="D66" s="2">
        <v>8.7521989999999994E-2</v>
      </c>
      <c r="E66" s="2">
        <v>7.7587046000000007E-2</v>
      </c>
      <c r="F66" s="2">
        <v>2.9196502999999999E-2</v>
      </c>
      <c r="G66" s="2">
        <v>3.5090685000000003E-2</v>
      </c>
      <c r="H66" s="2">
        <v>9.606982E-2</v>
      </c>
      <c r="I66" s="2">
        <v>9.2945059999999996E-2</v>
      </c>
      <c r="J66" s="2">
        <v>0.10828794</v>
      </c>
      <c r="K66" s="2">
        <v>2.9668060999999999E-2</v>
      </c>
      <c r="L66" s="2">
        <v>0.10762499</v>
      </c>
      <c r="M66" s="2">
        <v>6.6500075000000006E-2</v>
      </c>
      <c r="N66" s="2">
        <v>4.1014200000000001E-2</v>
      </c>
      <c r="O66" s="2">
        <v>5.4321149999999999E-2</v>
      </c>
      <c r="P66" s="2">
        <v>0.37526366</v>
      </c>
      <c r="Q66" s="2">
        <v>9.5675759999999999E-2</v>
      </c>
      <c r="R66" s="2">
        <v>5.1222160000000003E-2</v>
      </c>
      <c r="S66" s="2">
        <v>0.10195105</v>
      </c>
      <c r="T66" s="2">
        <v>0.27940333000000001</v>
      </c>
      <c r="U66" s="2">
        <v>-2.3900593000000001E-2</v>
      </c>
      <c r="V66" s="2">
        <v>0.18637525999999999</v>
      </c>
      <c r="W66" s="2">
        <v>-6.3619699999999998E-3</v>
      </c>
      <c r="X66" s="2">
        <v>4.8707477999999998E-2</v>
      </c>
      <c r="Y66" s="2">
        <v>0.18678248</v>
      </c>
      <c r="Z66" s="2">
        <v>0.10061295000000001</v>
      </c>
      <c r="AA66" s="2">
        <v>7.7955339999999998E-2</v>
      </c>
      <c r="AB66" s="2">
        <v>8.1818470000000004E-2</v>
      </c>
      <c r="AC66" s="2">
        <v>2.4825549999999998E-2</v>
      </c>
      <c r="AD66" s="2">
        <v>2.1505380000000001E-2</v>
      </c>
      <c r="AE66" s="2">
        <v>3.5302762000000001E-2</v>
      </c>
      <c r="AF66" s="2">
        <v>3.2531306000000003E-2</v>
      </c>
      <c r="AG66" s="2">
        <v>0.44263995</v>
      </c>
      <c r="AH66" s="2">
        <v>8.0158140000000003E-2</v>
      </c>
      <c r="AI66" s="2">
        <v>6.184448E-2</v>
      </c>
      <c r="AJ66" s="2">
        <v>5.4902970000000002E-2</v>
      </c>
      <c r="AK66" s="2">
        <v>0.34440130000000002</v>
      </c>
      <c r="AL66" s="2">
        <v>1</v>
      </c>
      <c r="AM66" s="2">
        <v>-5.013226E-3</v>
      </c>
      <c r="AN66" s="2">
        <v>0.10227791999999999</v>
      </c>
      <c r="AO66" s="2">
        <v>4.877782E-2</v>
      </c>
      <c r="AP66" s="2">
        <v>0.26844725000000003</v>
      </c>
      <c r="AQ66" s="2">
        <v>6.1652011999999999E-2</v>
      </c>
      <c r="AR66" s="2">
        <v>0.17539982000000001</v>
      </c>
      <c r="AS66" s="2">
        <v>4.8566329999999998E-2</v>
      </c>
      <c r="AT66" s="2">
        <v>6.9541654999999994E-2</v>
      </c>
      <c r="AU66" s="2">
        <v>0.17818011</v>
      </c>
      <c r="AV66" s="2">
        <v>5.9386939999999999E-2</v>
      </c>
      <c r="AW66" s="2">
        <v>2.8724975999999999E-2</v>
      </c>
      <c r="AX66" s="2">
        <v>5.4166890000000002E-2</v>
      </c>
      <c r="AY66" s="2">
        <v>9.1508999999999993E-2</v>
      </c>
      <c r="AZ66" s="2">
        <v>2.9599085000000001E-2</v>
      </c>
      <c r="BA66" s="2">
        <v>0.44056708</v>
      </c>
      <c r="BB66" s="2">
        <v>6.6277409999999995E-2</v>
      </c>
      <c r="BC66" s="2">
        <v>7.2201749999999995E-2</v>
      </c>
      <c r="BD66" s="2">
        <v>7.8353164999999999E-3</v>
      </c>
      <c r="BE66" s="2">
        <v>0.11442189</v>
      </c>
      <c r="BF66" s="2">
        <v>7.4374049999999997E-2</v>
      </c>
      <c r="BG66" s="2">
        <v>5.3962099999999999E-2</v>
      </c>
      <c r="BH66" s="2">
        <v>4.7677625000000001E-2</v>
      </c>
      <c r="BI66" s="2">
        <v>3.0800142999999999E-2</v>
      </c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1:77" x14ac:dyDescent="0.25">
      <c r="A67" t="str" cm="1">
        <f t="array" ref="A67">_xll.FDS(B67,"FG_COMPANY_NAME")</f>
        <v>Pfizer Inc.</v>
      </c>
      <c r="B67" s="4" t="str">
        <v>PFE-US</v>
      </c>
      <c r="C67" s="2">
        <v>0.108049855</v>
      </c>
      <c r="D67" s="2">
        <v>7.1844140000000001E-2</v>
      </c>
      <c r="E67" s="2">
        <v>6.3168189999999999E-2</v>
      </c>
      <c r="F67" s="2">
        <v>0.16148512000000001</v>
      </c>
      <c r="G67" s="2">
        <v>3.1156102000000001E-2</v>
      </c>
      <c r="H67" s="2">
        <v>2.2934861000000001E-2</v>
      </c>
      <c r="I67" s="2">
        <v>0.12530355000000001</v>
      </c>
      <c r="J67" s="2">
        <v>0.19156912000000001</v>
      </c>
      <c r="K67" s="2">
        <v>0.43334286999999999</v>
      </c>
      <c r="L67" s="2">
        <v>9.6086980000000002E-2</v>
      </c>
      <c r="M67" s="2">
        <v>2.4806133000000001E-2</v>
      </c>
      <c r="N67" s="2">
        <v>9.4735749999999994E-2</v>
      </c>
      <c r="O67" s="2">
        <v>8.5481390000000004E-2</v>
      </c>
      <c r="P67" s="2">
        <v>2.5283760999999998E-2</v>
      </c>
      <c r="Q67" s="2">
        <v>0.12585209999999999</v>
      </c>
      <c r="R67" s="2">
        <v>8.6259539999999996E-2</v>
      </c>
      <c r="S67" s="2">
        <v>0.2444693</v>
      </c>
      <c r="T67" s="2">
        <v>4.4223208E-2</v>
      </c>
      <c r="U67" s="2">
        <v>0.12553738</v>
      </c>
      <c r="V67" s="2">
        <v>-5.0917406999999998E-3</v>
      </c>
      <c r="W67" s="2">
        <v>0.14541464000000001</v>
      </c>
      <c r="X67" s="2">
        <v>0.15336859999999999</v>
      </c>
      <c r="Y67" s="2">
        <v>-3.2391448000000003E-2</v>
      </c>
      <c r="Z67" s="2">
        <v>0.12701933000000001</v>
      </c>
      <c r="AA67" s="2">
        <v>9.4472680000000003E-2</v>
      </c>
      <c r="AB67" s="2">
        <v>0.20455185000000001</v>
      </c>
      <c r="AC67" s="2">
        <v>0.17629096999999999</v>
      </c>
      <c r="AD67" s="2">
        <v>0.23846191</v>
      </c>
      <c r="AE67" s="2">
        <v>0.11189074</v>
      </c>
      <c r="AF67" s="2">
        <v>0.22903973999999999</v>
      </c>
      <c r="AG67" s="2">
        <v>2.3914205000000001E-2</v>
      </c>
      <c r="AH67" s="2">
        <v>0.17065971999999999</v>
      </c>
      <c r="AI67" s="2">
        <v>0.16715944999999999</v>
      </c>
      <c r="AJ67" s="2">
        <v>9.9916353999999999E-2</v>
      </c>
      <c r="AK67" s="2">
        <v>-2.6372791999999999E-2</v>
      </c>
      <c r="AL67" s="2">
        <v>-5.013226E-3</v>
      </c>
      <c r="AM67" s="2">
        <v>1</v>
      </c>
      <c r="AN67" s="2">
        <v>0.14794246999999999</v>
      </c>
      <c r="AO67" s="2">
        <v>9.8420359999999998E-2</v>
      </c>
      <c r="AP67" s="2">
        <v>4.9837377000000002E-2</v>
      </c>
      <c r="AQ67" s="2">
        <v>0.14236260000000001</v>
      </c>
      <c r="AR67" s="2">
        <v>-2.7349078999999998E-2</v>
      </c>
      <c r="AS67" s="2">
        <v>0.24180070000000001</v>
      </c>
      <c r="AT67" s="2">
        <v>3.0286560000000001E-2</v>
      </c>
      <c r="AU67" s="2">
        <v>-2.1348240000000001E-2</v>
      </c>
      <c r="AV67" s="2">
        <v>0.10544555</v>
      </c>
      <c r="AW67" s="2">
        <v>0.113040134</v>
      </c>
      <c r="AX67" s="2">
        <v>0.21512496</v>
      </c>
      <c r="AY67" s="2">
        <v>7.8942419999999999E-2</v>
      </c>
      <c r="AZ67" s="2">
        <v>0.1681744</v>
      </c>
      <c r="BA67" s="2">
        <v>1.9831552999999998E-2</v>
      </c>
      <c r="BB67" s="2">
        <v>3.8420375E-2</v>
      </c>
      <c r="BC67" s="2">
        <v>0.25428864000000001</v>
      </c>
      <c r="BD67" s="2">
        <v>0.2914445</v>
      </c>
      <c r="BE67" s="2">
        <v>0.13633107999999999</v>
      </c>
      <c r="BF67" s="2">
        <v>0.10391731999999999</v>
      </c>
      <c r="BG67" s="2">
        <v>0.18865477</v>
      </c>
      <c r="BH67" s="2">
        <v>0.19060284999999999</v>
      </c>
      <c r="BI67" s="2">
        <v>0.15136585</v>
      </c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1:77" x14ac:dyDescent="0.25">
      <c r="A68" t="str" cm="1">
        <f t="array" ref="A68">_xll.FDS(B68,"FG_COMPANY_NAME")</f>
        <v>PUMA SE</v>
      </c>
      <c r="B68" s="4" t="str">
        <v>PUM-DE</v>
      </c>
      <c r="C68" s="2">
        <v>0.42113334000000002</v>
      </c>
      <c r="D68" s="2">
        <v>0.27331284</v>
      </c>
      <c r="E68" s="2">
        <v>9.3412146000000001E-2</v>
      </c>
      <c r="F68" s="2">
        <v>0.28644570000000003</v>
      </c>
      <c r="G68" s="2">
        <v>0.17763424</v>
      </c>
      <c r="H68" s="2">
        <v>0.23145977000000001</v>
      </c>
      <c r="I68" s="2">
        <v>0.41222456000000002</v>
      </c>
      <c r="J68" s="2">
        <v>0.27716079999999998</v>
      </c>
      <c r="K68" s="2">
        <v>4.8643350000000002E-2</v>
      </c>
      <c r="L68" s="2">
        <v>0.19196379999999999</v>
      </c>
      <c r="M68" s="2">
        <v>0.37030548000000002</v>
      </c>
      <c r="N68" s="2">
        <v>0.20357111</v>
      </c>
      <c r="O68" s="2">
        <v>0.38078496000000001</v>
      </c>
      <c r="P68" s="2">
        <v>0.15754525</v>
      </c>
      <c r="Q68" s="2">
        <v>0.40666679999999999</v>
      </c>
      <c r="R68" s="2">
        <v>0.27002826000000002</v>
      </c>
      <c r="S68" s="2">
        <v>0.19305214000000001</v>
      </c>
      <c r="T68" s="2">
        <v>9.8074819999999993E-2</v>
      </c>
      <c r="U68" s="2">
        <v>8.6439530000000001E-2</v>
      </c>
      <c r="V68" s="2">
        <v>0.12275454</v>
      </c>
      <c r="W68" s="2">
        <v>0.19464749000000001</v>
      </c>
      <c r="X68" s="2">
        <v>0.14560044</v>
      </c>
      <c r="Y68" s="2">
        <v>0.13997597000000001</v>
      </c>
      <c r="Z68" s="2">
        <v>0.48624644</v>
      </c>
      <c r="AA68" s="2">
        <v>0.20084551</v>
      </c>
      <c r="AB68" s="2">
        <v>7.9690955999999993E-2</v>
      </c>
      <c r="AC68" s="2">
        <v>0.30829786999999997</v>
      </c>
      <c r="AD68" s="2">
        <v>0.21099028</v>
      </c>
      <c r="AE68" s="2">
        <v>0.13893712</v>
      </c>
      <c r="AF68" s="2">
        <v>0.26659650000000001</v>
      </c>
      <c r="AG68" s="2">
        <v>6.4754149999999996E-2</v>
      </c>
      <c r="AH68" s="2">
        <v>0.25559895999999999</v>
      </c>
      <c r="AI68" s="2">
        <v>0.12265722499999999</v>
      </c>
      <c r="AJ68" s="2">
        <v>0.26963680000000001</v>
      </c>
      <c r="AK68" s="2">
        <v>7.7096769999999995E-2</v>
      </c>
      <c r="AL68" s="2">
        <v>0.10227791999999999</v>
      </c>
      <c r="AM68" s="2">
        <v>0.14794246999999999</v>
      </c>
      <c r="AN68" s="2">
        <v>1</v>
      </c>
      <c r="AO68" s="2">
        <v>0.16973652</v>
      </c>
      <c r="AP68" s="2">
        <v>0.14687829999999999</v>
      </c>
      <c r="AQ68" s="2">
        <v>0.19784914000000001</v>
      </c>
      <c r="AR68" s="2">
        <v>0.13221008000000001</v>
      </c>
      <c r="AS68" s="2">
        <v>0.17100249000000001</v>
      </c>
      <c r="AT68" s="2">
        <v>0.19718954999999999</v>
      </c>
      <c r="AU68" s="2">
        <v>0.11923842</v>
      </c>
      <c r="AV68" s="2">
        <v>0.33015107999999999</v>
      </c>
      <c r="AW68" s="2">
        <v>0.26830842999999999</v>
      </c>
      <c r="AX68" s="2">
        <v>0.25864737999999998</v>
      </c>
      <c r="AY68" s="2">
        <v>0.44577464</v>
      </c>
      <c r="AZ68" s="2">
        <v>0.18319193</v>
      </c>
      <c r="BA68" s="2">
        <v>7.8177499999999997E-2</v>
      </c>
      <c r="BB68" s="2">
        <v>0.19795483</v>
      </c>
      <c r="BC68" s="2">
        <v>8.7411455999999998E-2</v>
      </c>
      <c r="BD68" s="2">
        <v>0.18182371999999999</v>
      </c>
      <c r="BE68" s="2">
        <v>0.20582916000000001</v>
      </c>
      <c r="BF68" s="2">
        <v>0.38096932</v>
      </c>
      <c r="BG68" s="2">
        <v>9.9746265000000001E-2</v>
      </c>
      <c r="BH68" s="2">
        <v>0.16572943000000001</v>
      </c>
      <c r="BI68" s="2">
        <v>0.18613574999999999</v>
      </c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1:77" x14ac:dyDescent="0.25">
      <c r="A69" t="str" cm="1">
        <f t="array" ref="A69">_xll.FDS(B69,"FG_COMPANY_NAME")</f>
        <v>Repsol SA</v>
      </c>
      <c r="B69" s="4" t="str">
        <v>REP-ES</v>
      </c>
      <c r="C69" s="2">
        <v>0.31757814000000001</v>
      </c>
      <c r="D69" s="2">
        <v>0.46868959999999998</v>
      </c>
      <c r="E69" s="2">
        <v>0.12067817</v>
      </c>
      <c r="F69" s="2">
        <v>0.21221629</v>
      </c>
      <c r="G69" s="2">
        <v>0.12843104999999999</v>
      </c>
      <c r="H69" s="2">
        <v>0.1449145</v>
      </c>
      <c r="I69" s="2">
        <v>0.42036216999999998</v>
      </c>
      <c r="J69" s="2">
        <v>0.28715370000000001</v>
      </c>
      <c r="K69" s="2">
        <v>6.1033299999999999E-2</v>
      </c>
      <c r="L69" s="2">
        <v>0.29833162000000002</v>
      </c>
      <c r="M69" s="2">
        <v>0.30927645999999998</v>
      </c>
      <c r="N69" s="2">
        <v>0.22343177</v>
      </c>
      <c r="O69" s="2">
        <v>0.33105003999999999</v>
      </c>
      <c r="P69" s="2">
        <v>0.12683548</v>
      </c>
      <c r="Q69" s="2">
        <v>0.34364292000000002</v>
      </c>
      <c r="R69" s="2">
        <v>0.75218766999999997</v>
      </c>
      <c r="S69" s="2">
        <v>0.19716154</v>
      </c>
      <c r="T69" s="2">
        <v>2.1762179999999999E-2</v>
      </c>
      <c r="U69" s="2">
        <v>0.52620900000000004</v>
      </c>
      <c r="V69" s="2">
        <v>0.12983648</v>
      </c>
      <c r="W69" s="2">
        <v>0.22791887999999999</v>
      </c>
      <c r="X69" s="2">
        <v>0.10864947</v>
      </c>
      <c r="Y69" s="2">
        <v>0.13725407000000001</v>
      </c>
      <c r="Z69" s="2">
        <v>0.2894159</v>
      </c>
      <c r="AA69" s="2">
        <v>9.3363119999999994E-2</v>
      </c>
      <c r="AB69" s="2">
        <v>7.2429679999999996E-2</v>
      </c>
      <c r="AC69" s="2">
        <v>0.25294915000000001</v>
      </c>
      <c r="AD69" s="2">
        <v>0.40174747</v>
      </c>
      <c r="AE69" s="2">
        <v>0.19041834999999999</v>
      </c>
      <c r="AF69" s="2">
        <v>0.24495742000000001</v>
      </c>
      <c r="AG69" s="2">
        <v>7.0397559999999998E-2</v>
      </c>
      <c r="AH69" s="2">
        <v>0.157835</v>
      </c>
      <c r="AI69" s="2">
        <v>0.18277436</v>
      </c>
      <c r="AJ69" s="2">
        <v>0.40175304000000001</v>
      </c>
      <c r="AK69" s="2">
        <v>0.13376740000000001</v>
      </c>
      <c r="AL69" s="2">
        <v>4.877782E-2</v>
      </c>
      <c r="AM69" s="2">
        <v>9.8420359999999998E-2</v>
      </c>
      <c r="AN69" s="2">
        <v>0.16973652</v>
      </c>
      <c r="AO69" s="2">
        <v>1</v>
      </c>
      <c r="AP69" s="2">
        <v>0.15636978000000001</v>
      </c>
      <c r="AQ69" s="2">
        <v>0.15660578</v>
      </c>
      <c r="AR69" s="2">
        <v>0.19395602000000001</v>
      </c>
      <c r="AS69" s="2">
        <v>0.18878391</v>
      </c>
      <c r="AT69" s="2">
        <v>0.22747629999999999</v>
      </c>
      <c r="AU69" s="2">
        <v>0.12514575999999999</v>
      </c>
      <c r="AV69" s="2">
        <v>0.41426188000000003</v>
      </c>
      <c r="AW69" s="2">
        <v>0.44844133000000003</v>
      </c>
      <c r="AX69" s="2">
        <v>0.13070026000000001</v>
      </c>
      <c r="AY69" s="2">
        <v>0.29331183</v>
      </c>
      <c r="AZ69" s="2">
        <v>0.30355897999999998</v>
      </c>
      <c r="BA69" s="2">
        <v>0.11973667</v>
      </c>
      <c r="BB69" s="2">
        <v>0.276754</v>
      </c>
      <c r="BC69" s="2">
        <v>9.4737604000000003E-2</v>
      </c>
      <c r="BD69" s="2">
        <v>0.14879191999999999</v>
      </c>
      <c r="BE69" s="2">
        <v>0.31459752000000002</v>
      </c>
      <c r="BF69" s="2">
        <v>0.36121154</v>
      </c>
      <c r="BG69" s="2">
        <v>0.11690576</v>
      </c>
      <c r="BH69" s="2">
        <v>0.15191573</v>
      </c>
      <c r="BI69" s="2">
        <v>0.1986559</v>
      </c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1:77" x14ac:dyDescent="0.25">
      <c r="A70" t="str" cm="1">
        <f t="array" ref="A70">_xll.FDS(B70,"FG_COMPANY_NAME")</f>
        <v>ROHM Company Limited</v>
      </c>
      <c r="B70" s="4" t="str">
        <v>6963-JP</v>
      </c>
      <c r="C70" s="2">
        <v>0.21714397999999999</v>
      </c>
      <c r="D70" s="2">
        <v>0.16623355000000001</v>
      </c>
      <c r="E70" s="2">
        <v>0.11386462999999999</v>
      </c>
      <c r="F70" s="2">
        <v>9.315408E-2</v>
      </c>
      <c r="G70" s="2">
        <v>8.2410949999999997E-2</v>
      </c>
      <c r="H70" s="2">
        <v>0.24354164</v>
      </c>
      <c r="I70" s="2">
        <v>0.2000265</v>
      </c>
      <c r="J70" s="2">
        <v>0.21861146000000001</v>
      </c>
      <c r="K70" s="2">
        <v>8.8093354999999995E-3</v>
      </c>
      <c r="L70" s="2">
        <v>0.13282666000000001</v>
      </c>
      <c r="M70" s="2">
        <v>0.121679604</v>
      </c>
      <c r="N70" s="2">
        <v>6.9757244999999996E-2</v>
      </c>
      <c r="O70" s="2">
        <v>0.19569056000000001</v>
      </c>
      <c r="P70" s="2">
        <v>0.29723729999999998</v>
      </c>
      <c r="Q70" s="2">
        <v>0.19472516000000001</v>
      </c>
      <c r="R70" s="2">
        <v>0.1639766</v>
      </c>
      <c r="S70" s="2">
        <v>0.12027979</v>
      </c>
      <c r="T70" s="2">
        <v>0.27460316000000001</v>
      </c>
      <c r="U70" s="2">
        <v>7.6774480000000006E-2</v>
      </c>
      <c r="V70" s="2">
        <v>0.27847191999999998</v>
      </c>
      <c r="W70" s="2">
        <v>5.9398769999999997E-2</v>
      </c>
      <c r="X70" s="2">
        <v>9.1978099999999993E-2</v>
      </c>
      <c r="Y70" s="2">
        <v>0.26027014999999998</v>
      </c>
      <c r="Z70" s="2">
        <v>0.17108414999999999</v>
      </c>
      <c r="AA70" s="2">
        <v>6.8916716000000003E-2</v>
      </c>
      <c r="AB70" s="2">
        <v>7.9200429999999999E-3</v>
      </c>
      <c r="AC70" s="2">
        <v>0.101362415</v>
      </c>
      <c r="AD70" s="2">
        <v>9.5094583999999996E-2</v>
      </c>
      <c r="AE70" s="2">
        <v>3.6405668000000002E-2</v>
      </c>
      <c r="AF70" s="2">
        <v>8.7120149999999993E-2</v>
      </c>
      <c r="AG70" s="2">
        <v>0.26033136000000001</v>
      </c>
      <c r="AH70" s="2">
        <v>9.0277460000000004E-2</v>
      </c>
      <c r="AI70" s="2">
        <v>-4.3930067000000003E-3</v>
      </c>
      <c r="AJ70" s="2">
        <v>0.15525860999999999</v>
      </c>
      <c r="AK70" s="2">
        <v>0.37131444000000002</v>
      </c>
      <c r="AL70" s="2">
        <v>0.26844725000000003</v>
      </c>
      <c r="AM70" s="2">
        <v>4.9837377000000002E-2</v>
      </c>
      <c r="AN70" s="2">
        <v>0.14687829999999999</v>
      </c>
      <c r="AO70" s="2">
        <v>0.15636978000000001</v>
      </c>
      <c r="AP70" s="2">
        <v>1</v>
      </c>
      <c r="AQ70" s="2">
        <v>7.2054660000000006E-2</v>
      </c>
      <c r="AR70" s="2">
        <v>0.40416467</v>
      </c>
      <c r="AS70" s="2">
        <v>0.10251291999999999</v>
      </c>
      <c r="AT70" s="2">
        <v>0.11826781</v>
      </c>
      <c r="AU70" s="2">
        <v>0.26827069999999997</v>
      </c>
      <c r="AV70" s="2">
        <v>0.16086975000000001</v>
      </c>
      <c r="AW70" s="2">
        <v>0.14585564000000001</v>
      </c>
      <c r="AX70" s="2">
        <v>0.11367889</v>
      </c>
      <c r="AY70" s="2">
        <v>0.20876803999999999</v>
      </c>
      <c r="AZ70" s="2">
        <v>7.9258209999999996E-2</v>
      </c>
      <c r="BA70" s="2">
        <v>0.39116721999999998</v>
      </c>
      <c r="BB70" s="2">
        <v>0.16341968000000001</v>
      </c>
      <c r="BC70" s="2">
        <v>4.5189082999999998E-2</v>
      </c>
      <c r="BD70" s="2">
        <v>3.9049006999999997E-2</v>
      </c>
      <c r="BE70" s="2">
        <v>0.12703970000000001</v>
      </c>
      <c r="BF70" s="2">
        <v>0.20100821999999999</v>
      </c>
      <c r="BG70" s="2">
        <v>3.6682352000000001E-2</v>
      </c>
      <c r="BH70" s="2">
        <v>6.2715456000000003E-2</v>
      </c>
      <c r="BI70" s="2">
        <v>7.559594E-2</v>
      </c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spans="1:77" x14ac:dyDescent="0.25">
      <c r="A71" t="str" cm="1">
        <f t="array" ref="A71">_xll.FDS(B71,"FG_COMPANY_NAME")</f>
        <v>Sally Beauty Holdings, Inc.</v>
      </c>
      <c r="B71" s="4" t="str">
        <v>SBH-US</v>
      </c>
      <c r="C71" s="2">
        <v>0.20429348999999999</v>
      </c>
      <c r="D71" s="2">
        <v>0.13028964000000001</v>
      </c>
      <c r="E71" s="2">
        <v>3.0167788000000001E-2</v>
      </c>
      <c r="F71" s="2">
        <v>0.42271777999999999</v>
      </c>
      <c r="G71" s="2">
        <v>0.16033295</v>
      </c>
      <c r="H71" s="2">
        <v>4.1232754000000003E-2</v>
      </c>
      <c r="I71" s="2">
        <v>0.24434971999999999</v>
      </c>
      <c r="J71" s="2">
        <v>0.108912565</v>
      </c>
      <c r="K71" s="2">
        <v>0.16404073</v>
      </c>
      <c r="L71" s="2">
        <v>0.13052484</v>
      </c>
      <c r="M71" s="2">
        <v>0.2150763</v>
      </c>
      <c r="N71" s="2">
        <v>7.9230159999999994E-2</v>
      </c>
      <c r="O71" s="2">
        <v>0.22152151</v>
      </c>
      <c r="P71" s="2">
        <v>7.3580080000000006E-2</v>
      </c>
      <c r="Q71" s="2">
        <v>0.24914658000000001</v>
      </c>
      <c r="R71" s="2">
        <v>0.14755504999999999</v>
      </c>
      <c r="S71" s="2">
        <v>2.4431892E-2</v>
      </c>
      <c r="T71" s="2">
        <v>2.8448040000000001E-2</v>
      </c>
      <c r="U71" s="2">
        <v>0.25650119999999998</v>
      </c>
      <c r="V71" s="2">
        <v>8.3851665000000006E-2</v>
      </c>
      <c r="W71" s="2">
        <v>0.34963104</v>
      </c>
      <c r="X71" s="2">
        <v>0.25470524999999999</v>
      </c>
      <c r="Y71" s="2">
        <v>8.9794029999999997E-2</v>
      </c>
      <c r="Z71" s="2">
        <v>0.24066509999999999</v>
      </c>
      <c r="AA71" s="2">
        <v>6.1647970000000003E-2</v>
      </c>
      <c r="AB71" s="2">
        <v>0.17376053</v>
      </c>
      <c r="AC71" s="2">
        <v>0.47005910000000001</v>
      </c>
      <c r="AD71" s="2">
        <v>0.39174895999999998</v>
      </c>
      <c r="AE71" s="2">
        <v>0.46607043999999997</v>
      </c>
      <c r="AF71" s="2">
        <v>0.4301372</v>
      </c>
      <c r="AG71" s="2">
        <v>6.4117370000000007E-2</v>
      </c>
      <c r="AH71" s="2">
        <v>0.46738172</v>
      </c>
      <c r="AI71" s="2">
        <v>0.29427340000000002</v>
      </c>
      <c r="AJ71" s="2">
        <v>0.19535095999999999</v>
      </c>
      <c r="AK71" s="2">
        <v>3.3298858000000001E-2</v>
      </c>
      <c r="AL71" s="2">
        <v>6.1652011999999999E-2</v>
      </c>
      <c r="AM71" s="2">
        <v>0.14236260000000001</v>
      </c>
      <c r="AN71" s="2">
        <v>0.19784914000000001</v>
      </c>
      <c r="AO71" s="2">
        <v>0.15660578</v>
      </c>
      <c r="AP71" s="2">
        <v>7.2054660000000006E-2</v>
      </c>
      <c r="AQ71" s="2">
        <v>1</v>
      </c>
      <c r="AR71" s="2">
        <v>6.0433473000000001E-2</v>
      </c>
      <c r="AS71" s="2">
        <v>9.2222050000000007E-3</v>
      </c>
      <c r="AT71" s="2">
        <v>0.12837151999999999</v>
      </c>
      <c r="AU71" s="2">
        <v>9.6068169999999994E-2</v>
      </c>
      <c r="AV71" s="2">
        <v>0.20725445000000001</v>
      </c>
      <c r="AW71" s="2">
        <v>0.19434464000000001</v>
      </c>
      <c r="AX71" s="2">
        <v>0.48249692</v>
      </c>
      <c r="AY71" s="2">
        <v>0.24160345</v>
      </c>
      <c r="AZ71" s="2">
        <v>0.25858006</v>
      </c>
      <c r="BA71" s="2">
        <v>3.4308116999999999E-2</v>
      </c>
      <c r="BB71" s="2">
        <v>5.8085146999999997E-2</v>
      </c>
      <c r="BC71" s="2">
        <v>0.14517134000000001</v>
      </c>
      <c r="BD71" s="2">
        <v>0.29491139999999999</v>
      </c>
      <c r="BE71" s="2">
        <v>0.14905256</v>
      </c>
      <c r="BF71" s="2">
        <v>0.20820068</v>
      </c>
      <c r="BG71" s="2">
        <v>0.27147692000000001</v>
      </c>
      <c r="BH71" s="2">
        <v>0.31411699999999998</v>
      </c>
      <c r="BI71" s="2">
        <v>0.33075599999999999</v>
      </c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1:77" x14ac:dyDescent="0.25">
      <c r="A72" t="str" cm="1">
        <f t="array" ref="A72">_xll.FDS(B72,"FG_COMPANY_NAME")</f>
        <v>Samsung Electronics Co Ltd Pfd  Non-Voting</v>
      </c>
      <c r="B72" s="4" t="str">
        <v>005935-KR</v>
      </c>
      <c r="C72" s="2">
        <v>0.19614366999999999</v>
      </c>
      <c r="D72" s="2">
        <v>0.18667980000000001</v>
      </c>
      <c r="E72" s="2">
        <v>0.22901434000000001</v>
      </c>
      <c r="F72" s="2">
        <v>7.5566510000000003E-2</v>
      </c>
      <c r="G72" s="2">
        <v>0.112823956</v>
      </c>
      <c r="H72" s="2">
        <v>0.29266569999999997</v>
      </c>
      <c r="I72" s="2">
        <v>0.16238823999999999</v>
      </c>
      <c r="J72" s="2">
        <v>0.12764494000000001</v>
      </c>
      <c r="K72" s="2">
        <v>-4.6675573999999997E-2</v>
      </c>
      <c r="L72" s="2">
        <v>0.16880907000000001</v>
      </c>
      <c r="M72" s="2">
        <v>0.12927930000000001</v>
      </c>
      <c r="N72" s="2">
        <v>8.4445580000000006E-2</v>
      </c>
      <c r="O72" s="2">
        <v>0.16376218000000001</v>
      </c>
      <c r="P72" s="2">
        <v>0.16601305</v>
      </c>
      <c r="Q72" s="2">
        <v>0.18417430000000001</v>
      </c>
      <c r="R72" s="2">
        <v>0.17974473999999999</v>
      </c>
      <c r="S72" s="2">
        <v>9.9813743999999996E-2</v>
      </c>
      <c r="T72" s="2">
        <v>0.13392947999999999</v>
      </c>
      <c r="U72" s="2">
        <v>6.0176781999999998E-2</v>
      </c>
      <c r="V72" s="2">
        <v>0.39042529999999998</v>
      </c>
      <c r="W72" s="2">
        <v>0.10895331</v>
      </c>
      <c r="X72" s="2">
        <v>7.1937039999999994E-2</v>
      </c>
      <c r="Y72" s="2">
        <v>0.42402440000000002</v>
      </c>
      <c r="Z72" s="2">
        <v>0.14515310000000001</v>
      </c>
      <c r="AA72" s="2">
        <v>7.10842E-2</v>
      </c>
      <c r="AB72" s="2">
        <v>-2.1485904E-2</v>
      </c>
      <c r="AC72" s="2">
        <v>7.8522204999999998E-2</v>
      </c>
      <c r="AD72" s="2">
        <v>7.3910519999999993E-2</v>
      </c>
      <c r="AE72" s="2">
        <v>6.9894529999999996E-2</v>
      </c>
      <c r="AF72" s="2">
        <v>7.941347E-2</v>
      </c>
      <c r="AG72" s="2">
        <v>0.15083617999999999</v>
      </c>
      <c r="AH72" s="2">
        <v>6.3897445999999997E-2</v>
      </c>
      <c r="AI72" s="2">
        <v>-1.1254797E-2</v>
      </c>
      <c r="AJ72" s="2">
        <v>0.18072715</v>
      </c>
      <c r="AK72" s="2">
        <v>0.23621112</v>
      </c>
      <c r="AL72" s="2">
        <v>0.17539982000000001</v>
      </c>
      <c r="AM72" s="2">
        <v>-2.7349078999999998E-2</v>
      </c>
      <c r="AN72" s="2">
        <v>0.13221008000000001</v>
      </c>
      <c r="AO72" s="2">
        <v>0.19395602000000001</v>
      </c>
      <c r="AP72" s="2">
        <v>0.40416467</v>
      </c>
      <c r="AQ72" s="2">
        <v>6.0433473000000001E-2</v>
      </c>
      <c r="AR72" s="2">
        <v>1</v>
      </c>
      <c r="AS72" s="2">
        <v>5.3210436999999999E-2</v>
      </c>
      <c r="AT72" s="2">
        <v>8.9567190000000005E-2</v>
      </c>
      <c r="AU72" s="2">
        <v>0.44248789999999999</v>
      </c>
      <c r="AV72" s="2">
        <v>0.18309454999999999</v>
      </c>
      <c r="AW72" s="2">
        <v>0.18350884000000001</v>
      </c>
      <c r="AX72" s="2">
        <v>6.2310375000000001E-2</v>
      </c>
      <c r="AY72" s="2">
        <v>0.14507529999999999</v>
      </c>
      <c r="AZ72" s="2">
        <v>7.1035213999999999E-2</v>
      </c>
      <c r="BA72" s="2">
        <v>0.23048382000000001</v>
      </c>
      <c r="BB72" s="2">
        <v>0.15745598</v>
      </c>
      <c r="BC72" s="2">
        <v>5.0562485999999997E-2</v>
      </c>
      <c r="BD72" s="2">
        <v>2.12731E-2</v>
      </c>
      <c r="BE72" s="2">
        <v>0.10844933</v>
      </c>
      <c r="BF72" s="2">
        <v>0.15700686999999999</v>
      </c>
      <c r="BG72" s="2">
        <v>5.0516907E-2</v>
      </c>
      <c r="BH72" s="2">
        <v>7.3643829999999993E-2</v>
      </c>
      <c r="BI72" s="2">
        <v>6.764423E-2</v>
      </c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spans="1:77" x14ac:dyDescent="0.25">
      <c r="A73" t="str" cm="1">
        <f t="array" ref="A73">_xll.FDS(B73,"FG_COMPANY_NAME")</f>
        <v>Sanofi SA</v>
      </c>
      <c r="B73" s="4" t="str">
        <v>SAN-FR</v>
      </c>
      <c r="C73" s="2">
        <v>0.24527167999999999</v>
      </c>
      <c r="D73" s="2">
        <v>0.18667169</v>
      </c>
      <c r="E73" s="2">
        <v>4.234715E-2</v>
      </c>
      <c r="F73" s="2">
        <v>5.7855825999999999E-2</v>
      </c>
      <c r="G73" s="2">
        <v>9.1918940000000005E-2</v>
      </c>
      <c r="H73" s="2">
        <v>3.9775115E-2</v>
      </c>
      <c r="I73" s="2">
        <v>0.27407530000000002</v>
      </c>
      <c r="J73" s="2">
        <v>0.39283245999999999</v>
      </c>
      <c r="K73" s="2">
        <v>0.22779896999999999</v>
      </c>
      <c r="L73" s="2">
        <v>0.20029984000000001</v>
      </c>
      <c r="M73" s="2">
        <v>0.21525910000000001</v>
      </c>
      <c r="N73" s="2">
        <v>0.2025082</v>
      </c>
      <c r="O73" s="2">
        <v>0.21122453999999999</v>
      </c>
      <c r="P73" s="2">
        <v>9.7464605999999995E-2</v>
      </c>
      <c r="Q73" s="2">
        <v>0.22205701</v>
      </c>
      <c r="R73" s="2">
        <v>0.26178025999999999</v>
      </c>
      <c r="S73" s="2">
        <v>0.55201732999999997</v>
      </c>
      <c r="T73" s="2">
        <v>5.7918690000000002E-2</v>
      </c>
      <c r="U73" s="2">
        <v>2.9192177999999999E-2</v>
      </c>
      <c r="V73" s="2">
        <v>1.02453735E-2</v>
      </c>
      <c r="W73" s="2">
        <v>-2.0081667000000001E-2</v>
      </c>
      <c r="X73" s="2">
        <v>-9.7132959999999997E-3</v>
      </c>
      <c r="Y73" s="2">
        <v>3.6306526999999998E-2</v>
      </c>
      <c r="Z73" s="2">
        <v>0.22902842000000001</v>
      </c>
      <c r="AA73" s="2">
        <v>0.24785135999999999</v>
      </c>
      <c r="AB73" s="2">
        <v>0.17302807000000001</v>
      </c>
      <c r="AC73" s="2">
        <v>8.775471E-2</v>
      </c>
      <c r="AD73" s="2">
        <v>5.1769305000000002E-2</v>
      </c>
      <c r="AE73" s="2">
        <v>5.48475E-3</v>
      </c>
      <c r="AF73" s="2">
        <v>0.10830944000000001</v>
      </c>
      <c r="AG73" s="2">
        <v>8.2726569999999999E-2</v>
      </c>
      <c r="AH73" s="2">
        <v>5.726672E-2</v>
      </c>
      <c r="AI73" s="2">
        <v>0.11822828000000001</v>
      </c>
      <c r="AJ73" s="2">
        <v>0.26411316000000001</v>
      </c>
      <c r="AK73" s="2">
        <v>6.0302324999999997E-2</v>
      </c>
      <c r="AL73" s="2">
        <v>4.8566329999999998E-2</v>
      </c>
      <c r="AM73" s="2">
        <v>0.24180070000000001</v>
      </c>
      <c r="AN73" s="2">
        <v>0.17100249000000001</v>
      </c>
      <c r="AO73" s="2">
        <v>0.18878391</v>
      </c>
      <c r="AP73" s="2">
        <v>0.10251291999999999</v>
      </c>
      <c r="AQ73" s="2">
        <v>9.2222050000000007E-3</v>
      </c>
      <c r="AR73" s="2">
        <v>5.3210436999999999E-2</v>
      </c>
      <c r="AS73" s="2">
        <v>1</v>
      </c>
      <c r="AT73" s="2">
        <v>0.17922035</v>
      </c>
      <c r="AU73" s="2">
        <v>6.1506390000000001E-2</v>
      </c>
      <c r="AV73" s="2">
        <v>0.23631050000000001</v>
      </c>
      <c r="AW73" s="2">
        <v>0.21441927999999999</v>
      </c>
      <c r="AX73" s="2">
        <v>3.5175167E-2</v>
      </c>
      <c r="AY73" s="2">
        <v>0.19916448</v>
      </c>
      <c r="AZ73" s="2">
        <v>8.4560179999999999E-2</v>
      </c>
      <c r="BA73" s="2">
        <v>6.1362470000000002E-2</v>
      </c>
      <c r="BB73" s="2">
        <v>0.17028552</v>
      </c>
      <c r="BC73" s="2">
        <v>0.14068896</v>
      </c>
      <c r="BD73" s="2">
        <v>0.16873378</v>
      </c>
      <c r="BE73" s="2">
        <v>0.25075078000000001</v>
      </c>
      <c r="BF73" s="2">
        <v>0.24245633</v>
      </c>
      <c r="BG73" s="2">
        <v>6.4276844E-2</v>
      </c>
      <c r="BH73" s="2">
        <v>0.13734451</v>
      </c>
      <c r="BI73" s="2">
        <v>2.1870403E-2</v>
      </c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spans="1:77" x14ac:dyDescent="0.25">
      <c r="A74" t="str" cm="1">
        <f t="array" ref="A74">_xll.FDS(B74,"FG_COMPANY_NAME")</f>
        <v>SES SA FDR (Class A)</v>
      </c>
      <c r="B74" s="4" t="str">
        <v>SESG-FR</v>
      </c>
      <c r="C74" s="2">
        <v>0.33586640000000001</v>
      </c>
      <c r="D74" s="2">
        <v>0.21183583</v>
      </c>
      <c r="E74" s="2">
        <v>7.3625510000000005E-2</v>
      </c>
      <c r="F74" s="2">
        <v>0.15881817000000001</v>
      </c>
      <c r="G74" s="2">
        <v>0.13496627999999999</v>
      </c>
      <c r="H74" s="2">
        <v>6.1425140000000003E-2</v>
      </c>
      <c r="I74" s="2">
        <v>0.28872692999999999</v>
      </c>
      <c r="J74" s="2">
        <v>0.30958790000000003</v>
      </c>
      <c r="K74" s="2">
        <v>5.0166782E-2</v>
      </c>
      <c r="L74" s="2">
        <v>0.26795340000000001</v>
      </c>
      <c r="M74" s="2">
        <v>0.20312511999999999</v>
      </c>
      <c r="N74" s="2">
        <v>0.23004958</v>
      </c>
      <c r="O74" s="2">
        <v>0.26820095999999999</v>
      </c>
      <c r="P74" s="2">
        <v>0.12775573000000001</v>
      </c>
      <c r="Q74" s="2">
        <v>0.23860086999999999</v>
      </c>
      <c r="R74" s="2">
        <v>0.25991940000000002</v>
      </c>
      <c r="S74" s="2">
        <v>0.19412299999999999</v>
      </c>
      <c r="T74" s="2">
        <v>0.11933439999999999</v>
      </c>
      <c r="U74" s="2">
        <v>0.115883216</v>
      </c>
      <c r="V74" s="2">
        <v>5.0219729999999997E-2</v>
      </c>
      <c r="W74" s="2">
        <v>9.9754499999999996E-2</v>
      </c>
      <c r="X74" s="2">
        <v>5.6328967000000001E-2</v>
      </c>
      <c r="Y74" s="2">
        <v>7.6327294000000004E-2</v>
      </c>
      <c r="Z74" s="2">
        <v>0.24088739000000001</v>
      </c>
      <c r="AA74" s="2">
        <v>0.20232417999999999</v>
      </c>
      <c r="AB74" s="2">
        <v>3.4679032999999998E-2</v>
      </c>
      <c r="AC74" s="2">
        <v>0.17952451</v>
      </c>
      <c r="AD74" s="2">
        <v>0.14110039999999999</v>
      </c>
      <c r="AE74" s="2">
        <v>6.7850569999999999E-2</v>
      </c>
      <c r="AF74" s="2">
        <v>0.12936945</v>
      </c>
      <c r="AG74" s="2">
        <v>7.4747690000000006E-2</v>
      </c>
      <c r="AH74" s="2">
        <v>0.14796448000000001</v>
      </c>
      <c r="AI74" s="2">
        <v>0.114879444</v>
      </c>
      <c r="AJ74" s="2">
        <v>0.26467322999999998</v>
      </c>
      <c r="AK74" s="2">
        <v>9.5654649999999994E-2</v>
      </c>
      <c r="AL74" s="2">
        <v>6.9541654999999994E-2</v>
      </c>
      <c r="AM74" s="2">
        <v>3.0286560000000001E-2</v>
      </c>
      <c r="AN74" s="2">
        <v>0.19718954999999999</v>
      </c>
      <c r="AO74" s="2">
        <v>0.22747629999999999</v>
      </c>
      <c r="AP74" s="2">
        <v>0.11826781</v>
      </c>
      <c r="AQ74" s="2">
        <v>0.12837151999999999</v>
      </c>
      <c r="AR74" s="2">
        <v>8.9567190000000005E-2</v>
      </c>
      <c r="AS74" s="2">
        <v>0.17922035</v>
      </c>
      <c r="AT74" s="2">
        <v>1</v>
      </c>
      <c r="AU74" s="2">
        <v>9.6725054000000005E-2</v>
      </c>
      <c r="AV74" s="2">
        <v>0.32718187999999998</v>
      </c>
      <c r="AW74" s="2">
        <v>0.22937331999999999</v>
      </c>
      <c r="AX74" s="2">
        <v>0.1145053</v>
      </c>
      <c r="AY74" s="2">
        <v>0.22724968000000001</v>
      </c>
      <c r="AZ74" s="2">
        <v>0.15463916999999999</v>
      </c>
      <c r="BA74" s="2">
        <v>0.12707856000000001</v>
      </c>
      <c r="BB74" s="2">
        <v>0.14826929999999999</v>
      </c>
      <c r="BC74" s="2">
        <v>9.4415379999999993E-2</v>
      </c>
      <c r="BD74" s="2">
        <v>8.3186019999999999E-2</v>
      </c>
      <c r="BE74" s="2">
        <v>0.30099964000000001</v>
      </c>
      <c r="BF74" s="2">
        <v>0.27029421999999997</v>
      </c>
      <c r="BG74" s="2">
        <v>6.6426509999999994E-2</v>
      </c>
      <c r="BH74" s="2">
        <v>0.12082513</v>
      </c>
      <c r="BI74" s="2">
        <v>0.14964731000000001</v>
      </c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spans="1:77" x14ac:dyDescent="0.25">
      <c r="A75" t="str" cm="1">
        <f t="array" ref="A75">_xll.FDS(B75,"FG_COMPANY_NAME")</f>
        <v>Shinhan Financial Group Co., Ltd.</v>
      </c>
      <c r="B75" s="4" t="str">
        <v>055550-KR</v>
      </c>
      <c r="C75" s="2">
        <v>0.17815195</v>
      </c>
      <c r="D75" s="2">
        <v>0.17771261999999999</v>
      </c>
      <c r="E75" s="2">
        <v>0.20805001000000001</v>
      </c>
      <c r="F75" s="2">
        <v>0.100665</v>
      </c>
      <c r="G75" s="2">
        <v>9.2396006000000003E-2</v>
      </c>
      <c r="H75" s="2">
        <v>0.24364161000000001</v>
      </c>
      <c r="I75" s="2">
        <v>0.13911240999999999</v>
      </c>
      <c r="J75" s="2">
        <v>0.10563913</v>
      </c>
      <c r="K75" s="2">
        <v>5.1958229999999996E-3</v>
      </c>
      <c r="L75" s="2">
        <v>0.14833887000000001</v>
      </c>
      <c r="M75" s="2">
        <v>0.15040717000000001</v>
      </c>
      <c r="N75" s="2">
        <v>0.12330624</v>
      </c>
      <c r="O75" s="2">
        <v>0.12838867000000001</v>
      </c>
      <c r="P75" s="2">
        <v>0.19487087</v>
      </c>
      <c r="Q75" s="2">
        <v>0.17102054999999999</v>
      </c>
      <c r="R75" s="2">
        <v>0.13124874</v>
      </c>
      <c r="S75" s="2">
        <v>0.10610429</v>
      </c>
      <c r="T75" s="2">
        <v>0.13886688999999999</v>
      </c>
      <c r="U75" s="2">
        <v>7.7347219999999994E-2</v>
      </c>
      <c r="V75" s="2">
        <v>0.37145030000000001</v>
      </c>
      <c r="W75" s="2">
        <v>9.1146439999999995E-2</v>
      </c>
      <c r="X75" s="2">
        <v>6.2062050000000001E-2</v>
      </c>
      <c r="Y75" s="2">
        <v>0.81512379999999995</v>
      </c>
      <c r="Z75" s="2">
        <v>0.16453576</v>
      </c>
      <c r="AA75" s="2">
        <v>7.7815554999999995E-2</v>
      </c>
      <c r="AB75" s="2">
        <v>3.6330399999999999E-2</v>
      </c>
      <c r="AC75" s="2">
        <v>9.6178700000000006E-2</v>
      </c>
      <c r="AD75" s="2">
        <v>8.8863090000000006E-2</v>
      </c>
      <c r="AE75" s="2">
        <v>5.032296E-2</v>
      </c>
      <c r="AF75" s="2">
        <v>0.109048374</v>
      </c>
      <c r="AG75" s="2">
        <v>0.11901885</v>
      </c>
      <c r="AH75" s="2">
        <v>8.4487274000000001E-2</v>
      </c>
      <c r="AI75" s="2">
        <v>3.0761579000000001E-2</v>
      </c>
      <c r="AJ75" s="2">
        <v>0.14342009</v>
      </c>
      <c r="AK75" s="2">
        <v>0.17895141000000001</v>
      </c>
      <c r="AL75" s="2">
        <v>0.17818011</v>
      </c>
      <c r="AM75" s="2">
        <v>-2.1348240000000001E-2</v>
      </c>
      <c r="AN75" s="2">
        <v>0.11923842</v>
      </c>
      <c r="AO75" s="2">
        <v>0.12514575999999999</v>
      </c>
      <c r="AP75" s="2">
        <v>0.26827069999999997</v>
      </c>
      <c r="AQ75" s="2">
        <v>9.6068169999999994E-2</v>
      </c>
      <c r="AR75" s="2">
        <v>0.44248789999999999</v>
      </c>
      <c r="AS75" s="2">
        <v>6.1506390000000001E-2</v>
      </c>
      <c r="AT75" s="2">
        <v>9.6725054000000005E-2</v>
      </c>
      <c r="AU75" s="2">
        <v>1</v>
      </c>
      <c r="AV75" s="2">
        <v>0.13072611000000001</v>
      </c>
      <c r="AW75" s="2">
        <v>0.18062244</v>
      </c>
      <c r="AX75" s="2">
        <v>6.9878129999999997E-2</v>
      </c>
      <c r="AY75" s="2">
        <v>0.16999258</v>
      </c>
      <c r="AZ75" s="2">
        <v>8.1544039999999998E-2</v>
      </c>
      <c r="BA75" s="2">
        <v>0.17890501</v>
      </c>
      <c r="BB75" s="2">
        <v>0.15203172000000001</v>
      </c>
      <c r="BC75" s="2">
        <v>1.1547638000000001E-2</v>
      </c>
      <c r="BD75" s="2">
        <v>5.0084143999999997E-2</v>
      </c>
      <c r="BE75" s="2">
        <v>0.10802802</v>
      </c>
      <c r="BF75" s="2">
        <v>0.14293568000000001</v>
      </c>
      <c r="BG75" s="2">
        <v>6.4751879999999998E-2</v>
      </c>
      <c r="BH75" s="2">
        <v>7.2221969999999996E-2</v>
      </c>
      <c r="BI75" s="2">
        <v>7.5880390000000006E-2</v>
      </c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spans="1:77" x14ac:dyDescent="0.25">
      <c r="A76" t="str" cm="1">
        <f t="array" ref="A76">_xll.FDS(B76,"FG_COMPANY_NAME")</f>
        <v>Societe Generale S.A. Class A</v>
      </c>
      <c r="B76" s="4" t="str">
        <v>GLE-FR</v>
      </c>
      <c r="C76" s="2">
        <v>0.51140470000000005</v>
      </c>
      <c r="D76" s="2">
        <v>0.41083544</v>
      </c>
      <c r="E76" s="2">
        <v>0.12227104599999999</v>
      </c>
      <c r="F76" s="2">
        <v>0.30723922999999997</v>
      </c>
      <c r="G76" s="2">
        <v>0.16587180000000001</v>
      </c>
      <c r="H76" s="2">
        <v>0.12618958999999999</v>
      </c>
      <c r="I76" s="2">
        <v>0.61443572999999996</v>
      </c>
      <c r="J76" s="2">
        <v>0.40558714000000001</v>
      </c>
      <c r="K76" s="2">
        <v>2.2300402E-2</v>
      </c>
      <c r="L76" s="2">
        <v>0.34899964999999999</v>
      </c>
      <c r="M76" s="2">
        <v>0.40065770000000001</v>
      </c>
      <c r="N76" s="2">
        <v>0.35326985</v>
      </c>
      <c r="O76" s="2">
        <v>0.56402790000000003</v>
      </c>
      <c r="P76" s="2">
        <v>0.15233958</v>
      </c>
      <c r="Q76" s="2">
        <v>0.49871153000000001</v>
      </c>
      <c r="R76" s="2">
        <v>0.51776909999999998</v>
      </c>
      <c r="S76" s="2">
        <v>0.23838029999999999</v>
      </c>
      <c r="T76" s="2">
        <v>3.6565933000000002E-2</v>
      </c>
      <c r="U76" s="2">
        <v>0.26809706999999999</v>
      </c>
      <c r="V76" s="2">
        <v>0.10639895000000001</v>
      </c>
      <c r="W76" s="2">
        <v>0.24963889</v>
      </c>
      <c r="X76" s="2">
        <v>0.11580864</v>
      </c>
      <c r="Y76" s="2">
        <v>0.11106731</v>
      </c>
      <c r="Z76" s="2">
        <v>0.43203276000000002</v>
      </c>
      <c r="AA76" s="2">
        <v>0.22803132000000001</v>
      </c>
      <c r="AB76" s="2">
        <v>4.5732908000000003E-2</v>
      </c>
      <c r="AC76" s="2">
        <v>0.39872664000000002</v>
      </c>
      <c r="AD76" s="2">
        <v>0.33624127999999998</v>
      </c>
      <c r="AE76" s="2">
        <v>0.20012932999999999</v>
      </c>
      <c r="AF76" s="2">
        <v>0.3735116</v>
      </c>
      <c r="AG76" s="2">
        <v>4.9190138000000001E-2</v>
      </c>
      <c r="AH76" s="2">
        <v>0.28610142999999999</v>
      </c>
      <c r="AI76" s="2">
        <v>0.20396913999999999</v>
      </c>
      <c r="AJ76" s="2">
        <v>0.64671034000000005</v>
      </c>
      <c r="AK76" s="2">
        <v>0.13123125999999999</v>
      </c>
      <c r="AL76" s="2">
        <v>5.9386939999999999E-2</v>
      </c>
      <c r="AM76" s="2">
        <v>0.10544555</v>
      </c>
      <c r="AN76" s="2">
        <v>0.33015107999999999</v>
      </c>
      <c r="AO76" s="2">
        <v>0.41426188000000003</v>
      </c>
      <c r="AP76" s="2">
        <v>0.16086975000000001</v>
      </c>
      <c r="AQ76" s="2">
        <v>0.20725445000000001</v>
      </c>
      <c r="AR76" s="2">
        <v>0.18309454999999999</v>
      </c>
      <c r="AS76" s="2">
        <v>0.23631050000000001</v>
      </c>
      <c r="AT76" s="2">
        <v>0.32718187999999998</v>
      </c>
      <c r="AU76" s="2">
        <v>0.13072611000000001</v>
      </c>
      <c r="AV76" s="2">
        <v>1</v>
      </c>
      <c r="AW76" s="2">
        <v>0.60986596000000004</v>
      </c>
      <c r="AX76" s="2">
        <v>0.23078108</v>
      </c>
      <c r="AY76" s="2">
        <v>0.44353870000000001</v>
      </c>
      <c r="AZ76" s="2">
        <v>0.31774639999999998</v>
      </c>
      <c r="BA76" s="2">
        <v>0.13961501000000001</v>
      </c>
      <c r="BB76" s="2">
        <v>0.23372190000000001</v>
      </c>
      <c r="BC76" s="2">
        <v>0.14256360000000001</v>
      </c>
      <c r="BD76" s="2">
        <v>0.23917707999999999</v>
      </c>
      <c r="BE76" s="2">
        <v>0.37982263999999999</v>
      </c>
      <c r="BF76" s="2">
        <v>0.55766015999999996</v>
      </c>
      <c r="BG76" s="2">
        <v>0.14698438</v>
      </c>
      <c r="BH76" s="2">
        <v>0.22030425000000001</v>
      </c>
      <c r="BI76" s="2">
        <v>0.18250072000000001</v>
      </c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spans="1:77" x14ac:dyDescent="0.25">
      <c r="A77" t="str" cm="1">
        <f t="array" ref="A77">_xll.FDS(B77,"FG_COMPANY_NAME")</f>
        <v>Standard Chartered PLC</v>
      </c>
      <c r="B77" s="4" t="str">
        <v>STAN-GB</v>
      </c>
      <c r="C77" s="2">
        <v>0.41977122</v>
      </c>
      <c r="D77" s="2">
        <v>0.44025629999999999</v>
      </c>
      <c r="E77" s="2">
        <v>0.18625233999999999</v>
      </c>
      <c r="F77" s="2">
        <v>0.30487245000000002</v>
      </c>
      <c r="G77" s="2">
        <v>0.20078865000000001</v>
      </c>
      <c r="H77" s="2">
        <v>0.19871105</v>
      </c>
      <c r="I77" s="2">
        <v>0.49541970000000002</v>
      </c>
      <c r="J77" s="2">
        <v>0.33661464000000002</v>
      </c>
      <c r="K77" s="2">
        <v>6.6408190000000006E-2</v>
      </c>
      <c r="L77" s="2">
        <v>0.32249165000000002</v>
      </c>
      <c r="M77" s="2">
        <v>0.40342185000000003</v>
      </c>
      <c r="N77" s="2">
        <v>0.23584695</v>
      </c>
      <c r="O77" s="2">
        <v>0.43724960000000002</v>
      </c>
      <c r="P77" s="2">
        <v>0.14290032999999999</v>
      </c>
      <c r="Q77" s="2">
        <v>0.44723775999999998</v>
      </c>
      <c r="R77" s="2">
        <v>0.48138263999999997</v>
      </c>
      <c r="S77" s="2">
        <v>0.24503411</v>
      </c>
      <c r="T77" s="2">
        <v>4.2250910000000003E-3</v>
      </c>
      <c r="U77" s="2">
        <v>0.32246202000000002</v>
      </c>
      <c r="V77" s="2">
        <v>0.11423080400000001</v>
      </c>
      <c r="W77" s="2">
        <v>0.28636460000000002</v>
      </c>
      <c r="X77" s="2">
        <v>0.11274094</v>
      </c>
      <c r="Y77" s="2">
        <v>0.13838473000000001</v>
      </c>
      <c r="Z77" s="2">
        <v>0.39470315</v>
      </c>
      <c r="AA77" s="2">
        <v>0.1347776</v>
      </c>
      <c r="AB77" s="2">
        <v>6.7878030000000006E-2</v>
      </c>
      <c r="AC77" s="2">
        <v>0.34559307</v>
      </c>
      <c r="AD77" s="2">
        <v>0.35457622999999999</v>
      </c>
      <c r="AE77" s="2">
        <v>0.19930595000000001</v>
      </c>
      <c r="AF77" s="2">
        <v>0.31973230000000002</v>
      </c>
      <c r="AG77" s="2">
        <v>2.8915745999999999E-2</v>
      </c>
      <c r="AH77" s="2">
        <v>0.25796229999999998</v>
      </c>
      <c r="AI77" s="2">
        <v>0.19387071</v>
      </c>
      <c r="AJ77" s="2">
        <v>0.61024719999999999</v>
      </c>
      <c r="AK77" s="2">
        <v>7.8008040000000001E-2</v>
      </c>
      <c r="AL77" s="2">
        <v>2.8724975999999999E-2</v>
      </c>
      <c r="AM77" s="2">
        <v>0.113040134</v>
      </c>
      <c r="AN77" s="2">
        <v>0.26830842999999999</v>
      </c>
      <c r="AO77" s="2">
        <v>0.44844133000000003</v>
      </c>
      <c r="AP77" s="2">
        <v>0.14585564000000001</v>
      </c>
      <c r="AQ77" s="2">
        <v>0.19434464000000001</v>
      </c>
      <c r="AR77" s="2">
        <v>0.18350884000000001</v>
      </c>
      <c r="AS77" s="2">
        <v>0.21441927999999999</v>
      </c>
      <c r="AT77" s="2">
        <v>0.22937331999999999</v>
      </c>
      <c r="AU77" s="2">
        <v>0.18062244</v>
      </c>
      <c r="AV77" s="2">
        <v>0.60986596000000004</v>
      </c>
      <c r="AW77" s="2">
        <v>1</v>
      </c>
      <c r="AX77" s="2">
        <v>0.18683995</v>
      </c>
      <c r="AY77" s="2">
        <v>0.37842825000000002</v>
      </c>
      <c r="AZ77" s="2">
        <v>0.32397628000000001</v>
      </c>
      <c r="BA77" s="2">
        <v>0.12514895000000001</v>
      </c>
      <c r="BB77" s="2">
        <v>0.23128551</v>
      </c>
      <c r="BC77" s="2">
        <v>7.8710735000000004E-2</v>
      </c>
      <c r="BD77" s="2">
        <v>0.2184798</v>
      </c>
      <c r="BE77" s="2">
        <v>0.33769830000000001</v>
      </c>
      <c r="BF77" s="2">
        <v>0.44245361999999999</v>
      </c>
      <c r="BG77" s="2">
        <v>0.12366873</v>
      </c>
      <c r="BH77" s="2">
        <v>0.25160654999999998</v>
      </c>
      <c r="BI77" s="2">
        <v>0.18491416999999999</v>
      </c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spans="1:77" x14ac:dyDescent="0.25">
      <c r="A78" t="str" cm="1">
        <f t="array" ref="A78">_xll.FDS(B78,"FG_COMPANY_NAME")</f>
        <v>Stanley Black &amp; Decker, Inc.</v>
      </c>
      <c r="B78" s="4" t="str">
        <v>SWK-US</v>
      </c>
      <c r="C78" s="2">
        <v>0.27303307999999998</v>
      </c>
      <c r="D78" s="2">
        <v>0.19515103</v>
      </c>
      <c r="E78" s="2">
        <v>4.9963500000000001E-2</v>
      </c>
      <c r="F78" s="2">
        <v>0.50664370000000003</v>
      </c>
      <c r="G78" s="2">
        <v>0.21013322000000001</v>
      </c>
      <c r="H78" s="2">
        <v>0.10451142500000001</v>
      </c>
      <c r="I78" s="2">
        <v>0.30816174000000002</v>
      </c>
      <c r="J78" s="2">
        <v>0.19430612</v>
      </c>
      <c r="K78" s="2">
        <v>0.22393566000000001</v>
      </c>
      <c r="L78" s="2">
        <v>0.14078889999999999</v>
      </c>
      <c r="M78" s="2">
        <v>0.21381054999999999</v>
      </c>
      <c r="N78" s="2">
        <v>0.109791264</v>
      </c>
      <c r="O78" s="2">
        <v>0.27402149999999997</v>
      </c>
      <c r="P78" s="2">
        <v>1.5531214E-2</v>
      </c>
      <c r="Q78" s="2">
        <v>0.25356165000000003</v>
      </c>
      <c r="R78" s="2">
        <v>0.17927766000000001</v>
      </c>
      <c r="S78" s="2">
        <v>5.4117846999999997E-2</v>
      </c>
      <c r="T78" s="2">
        <v>4.7844115999999999E-2</v>
      </c>
      <c r="U78" s="2">
        <v>0.31496045</v>
      </c>
      <c r="V78" s="2">
        <v>0.10793806</v>
      </c>
      <c r="W78" s="2">
        <v>0.41648263000000002</v>
      </c>
      <c r="X78" s="2">
        <v>0.35903226999999999</v>
      </c>
      <c r="Y78" s="2">
        <v>9.1312489999999996E-2</v>
      </c>
      <c r="Z78" s="2">
        <v>0.27781867999999998</v>
      </c>
      <c r="AA78" s="2">
        <v>8.2354720000000006E-2</v>
      </c>
      <c r="AB78" s="2">
        <v>0.23352818</v>
      </c>
      <c r="AC78" s="2">
        <v>0.52825699999999998</v>
      </c>
      <c r="AD78" s="2">
        <v>0.50704086000000004</v>
      </c>
      <c r="AE78" s="2">
        <v>0.38281724</v>
      </c>
      <c r="AF78" s="2">
        <v>0.50520306999999998</v>
      </c>
      <c r="AG78" s="2">
        <v>5.2336282999999997E-2</v>
      </c>
      <c r="AH78" s="2">
        <v>0.6149831</v>
      </c>
      <c r="AI78" s="2">
        <v>0.26858890000000002</v>
      </c>
      <c r="AJ78" s="2">
        <v>0.21219452999999999</v>
      </c>
      <c r="AK78" s="2">
        <v>7.9770505000000005E-2</v>
      </c>
      <c r="AL78" s="2">
        <v>5.4166890000000002E-2</v>
      </c>
      <c r="AM78" s="2">
        <v>0.21512496</v>
      </c>
      <c r="AN78" s="2">
        <v>0.25864737999999998</v>
      </c>
      <c r="AO78" s="2">
        <v>0.13070026000000001</v>
      </c>
      <c r="AP78" s="2">
        <v>0.11367889</v>
      </c>
      <c r="AQ78" s="2">
        <v>0.48249692</v>
      </c>
      <c r="AR78" s="2">
        <v>6.2310375000000001E-2</v>
      </c>
      <c r="AS78" s="2">
        <v>3.5175167E-2</v>
      </c>
      <c r="AT78" s="2">
        <v>0.1145053</v>
      </c>
      <c r="AU78" s="2">
        <v>6.9878129999999997E-2</v>
      </c>
      <c r="AV78" s="2">
        <v>0.23078108</v>
      </c>
      <c r="AW78" s="2">
        <v>0.18683995</v>
      </c>
      <c r="AX78" s="2">
        <v>1</v>
      </c>
      <c r="AY78" s="2">
        <v>0.28225466999999999</v>
      </c>
      <c r="AZ78" s="2">
        <v>0.37494585000000002</v>
      </c>
      <c r="BA78" s="2">
        <v>0.13552183000000001</v>
      </c>
      <c r="BB78" s="2">
        <v>0.124052994</v>
      </c>
      <c r="BC78" s="2">
        <v>0.19918226</v>
      </c>
      <c r="BD78" s="2">
        <v>0.36182760000000003</v>
      </c>
      <c r="BE78" s="2">
        <v>0.13311509999999999</v>
      </c>
      <c r="BF78" s="2">
        <v>0.26806770000000002</v>
      </c>
      <c r="BG78" s="2">
        <v>0.26346417999999999</v>
      </c>
      <c r="BH78" s="2">
        <v>0.41547903000000003</v>
      </c>
      <c r="BI78" s="2">
        <v>0.34725687</v>
      </c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1:77" x14ac:dyDescent="0.25">
      <c r="A79" t="str" cm="1">
        <f t="array" ref="A79">_xll.FDS(B79,"FG_COMPANY_NAME")</f>
        <v>Swatch Group Ltd. Bearer</v>
      </c>
      <c r="B79" s="4" t="str">
        <v>UHR-CH</v>
      </c>
      <c r="C79" s="2">
        <v>0.49752104000000003</v>
      </c>
      <c r="D79" s="2">
        <v>0.42039083999999999</v>
      </c>
      <c r="E79" s="2">
        <v>0.18200777000000001</v>
      </c>
      <c r="F79" s="2">
        <v>0.33334725999999998</v>
      </c>
      <c r="G79" s="2">
        <v>0.21844538999999999</v>
      </c>
      <c r="H79" s="2">
        <v>0.26944780000000002</v>
      </c>
      <c r="I79" s="2">
        <v>0.52065649999999997</v>
      </c>
      <c r="J79" s="2">
        <v>0.32963144999999999</v>
      </c>
      <c r="K79" s="2">
        <v>4.7395613000000003E-2</v>
      </c>
      <c r="L79" s="2">
        <v>0.26642206000000002</v>
      </c>
      <c r="M79" s="2">
        <v>0.55656015999999997</v>
      </c>
      <c r="N79" s="2">
        <v>0.2188705</v>
      </c>
      <c r="O79" s="2">
        <v>0.48270970000000002</v>
      </c>
      <c r="P79" s="2">
        <v>0.14235771999999999</v>
      </c>
      <c r="Q79" s="2">
        <v>0.45268937999999997</v>
      </c>
      <c r="R79" s="2">
        <v>0.35125416999999998</v>
      </c>
      <c r="S79" s="2">
        <v>0.19423528000000001</v>
      </c>
      <c r="T79" s="2">
        <v>9.6310190000000004E-2</v>
      </c>
      <c r="U79" s="2">
        <v>0.16499679</v>
      </c>
      <c r="V79" s="2">
        <v>0.13309962</v>
      </c>
      <c r="W79" s="2">
        <v>0.18909039999999999</v>
      </c>
      <c r="X79" s="2">
        <v>0.12374538</v>
      </c>
      <c r="Y79" s="2">
        <v>0.12603830999999999</v>
      </c>
      <c r="Z79" s="2">
        <v>0.62871723999999996</v>
      </c>
      <c r="AA79" s="2">
        <v>0.17664377000000001</v>
      </c>
      <c r="AB79" s="2">
        <v>9.475894E-2</v>
      </c>
      <c r="AC79" s="2">
        <v>0.35388649999999999</v>
      </c>
      <c r="AD79" s="2">
        <v>0.29078515999999999</v>
      </c>
      <c r="AE79" s="2">
        <v>0.16946992</v>
      </c>
      <c r="AF79" s="2">
        <v>0.30343520000000002</v>
      </c>
      <c r="AG79" s="2">
        <v>9.2528269999999996E-2</v>
      </c>
      <c r="AH79" s="2">
        <v>0.27863607000000001</v>
      </c>
      <c r="AI79" s="2">
        <v>0.19437598</v>
      </c>
      <c r="AJ79" s="2">
        <v>0.38943457999999997</v>
      </c>
      <c r="AK79" s="2">
        <v>0.15852267</v>
      </c>
      <c r="AL79" s="2">
        <v>9.1508999999999993E-2</v>
      </c>
      <c r="AM79" s="2">
        <v>7.8942419999999999E-2</v>
      </c>
      <c r="AN79" s="2">
        <v>0.44577464</v>
      </c>
      <c r="AO79" s="2">
        <v>0.29331183</v>
      </c>
      <c r="AP79" s="2">
        <v>0.20876803999999999</v>
      </c>
      <c r="AQ79" s="2">
        <v>0.24160345</v>
      </c>
      <c r="AR79" s="2">
        <v>0.14507529999999999</v>
      </c>
      <c r="AS79" s="2">
        <v>0.19916448</v>
      </c>
      <c r="AT79" s="2">
        <v>0.22724968000000001</v>
      </c>
      <c r="AU79" s="2">
        <v>0.16999258</v>
      </c>
      <c r="AV79" s="2">
        <v>0.44353870000000001</v>
      </c>
      <c r="AW79" s="2">
        <v>0.37842825000000002</v>
      </c>
      <c r="AX79" s="2">
        <v>0.28225466999999999</v>
      </c>
      <c r="AY79" s="2">
        <v>1</v>
      </c>
      <c r="AZ79" s="2">
        <v>0.28026067999999998</v>
      </c>
      <c r="BA79" s="2">
        <v>0.16545591000000001</v>
      </c>
      <c r="BB79" s="2">
        <v>0.25293051999999999</v>
      </c>
      <c r="BC79" s="2">
        <v>7.0343113999999998E-2</v>
      </c>
      <c r="BD79" s="2">
        <v>0.19038513000000001</v>
      </c>
      <c r="BE79" s="2">
        <v>0.27804780000000001</v>
      </c>
      <c r="BF79" s="2">
        <v>0.47643918000000002</v>
      </c>
      <c r="BG79" s="2">
        <v>7.613077E-2</v>
      </c>
      <c r="BH79" s="2">
        <v>0.19029230999999999</v>
      </c>
      <c r="BI79" s="2">
        <v>0.21217005999999999</v>
      </c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spans="1:77" x14ac:dyDescent="0.25">
      <c r="A80" t="str" cm="1">
        <f t="array" ref="A80">_xll.FDS(B80,"FG_COMPANY_NAME")</f>
        <v>Ternium S.A. Sponsored ADR</v>
      </c>
      <c r="B80" s="4" t="str">
        <v>TX-US</v>
      </c>
      <c r="C80" s="2">
        <v>0.28432350000000001</v>
      </c>
      <c r="D80" s="2">
        <v>0.44327343000000002</v>
      </c>
      <c r="E80" s="2">
        <v>0.15071787</v>
      </c>
      <c r="F80" s="2">
        <v>0.38759403999999997</v>
      </c>
      <c r="G80" s="2">
        <v>0.24097673999999999</v>
      </c>
      <c r="H80" s="2">
        <v>0.14724803</v>
      </c>
      <c r="I80" s="2">
        <v>0.36164184999999999</v>
      </c>
      <c r="J80" s="2">
        <v>0.22059269000000001</v>
      </c>
      <c r="K80" s="2">
        <v>8.8818439999999999E-2</v>
      </c>
      <c r="L80" s="2">
        <v>0.19218260000000001</v>
      </c>
      <c r="M80" s="2">
        <v>0.21651211000000001</v>
      </c>
      <c r="N80" s="2">
        <v>0.18843508</v>
      </c>
      <c r="O80" s="2">
        <v>0.29230015999999998</v>
      </c>
      <c r="P80" s="2">
        <v>6.6228510000000004E-2</v>
      </c>
      <c r="Q80" s="2">
        <v>0.27799326000000002</v>
      </c>
      <c r="R80" s="2">
        <v>0.34412854999999998</v>
      </c>
      <c r="S80" s="2">
        <v>8.5775980000000002E-2</v>
      </c>
      <c r="T80" s="2">
        <v>4.9683302999999998E-2</v>
      </c>
      <c r="U80" s="2">
        <v>0.39414006000000001</v>
      </c>
      <c r="V80" s="2">
        <v>0.11719091</v>
      </c>
      <c r="W80" s="2">
        <v>0.32060432</v>
      </c>
      <c r="X80" s="2">
        <v>0.24924225</v>
      </c>
      <c r="Y80" s="2">
        <v>8.5493304000000006E-2</v>
      </c>
      <c r="Z80" s="2">
        <v>0.26975830000000001</v>
      </c>
      <c r="AA80" s="2">
        <v>0.11338912</v>
      </c>
      <c r="AB80" s="2">
        <v>0.11599261</v>
      </c>
      <c r="AC80" s="2">
        <v>0.42440885</v>
      </c>
      <c r="AD80" s="2">
        <v>0.46909942999999998</v>
      </c>
      <c r="AE80" s="2">
        <v>0.24578261000000001</v>
      </c>
      <c r="AF80" s="2">
        <v>0.36476612000000003</v>
      </c>
      <c r="AG80" s="2">
        <v>3.0391135999999999E-2</v>
      </c>
      <c r="AH80" s="2">
        <v>0.34912246000000002</v>
      </c>
      <c r="AI80" s="2">
        <v>0.22601563</v>
      </c>
      <c r="AJ80" s="2">
        <v>0.32464432999999998</v>
      </c>
      <c r="AK80" s="2">
        <v>6.1140372999999998E-2</v>
      </c>
      <c r="AL80" s="2">
        <v>2.9599085000000001E-2</v>
      </c>
      <c r="AM80" s="2">
        <v>0.1681744</v>
      </c>
      <c r="AN80" s="2">
        <v>0.18319193</v>
      </c>
      <c r="AO80" s="2">
        <v>0.30355897999999998</v>
      </c>
      <c r="AP80" s="2">
        <v>7.9258209999999996E-2</v>
      </c>
      <c r="AQ80" s="2">
        <v>0.25858006</v>
      </c>
      <c r="AR80" s="2">
        <v>7.1035213999999999E-2</v>
      </c>
      <c r="AS80" s="2">
        <v>8.4560179999999999E-2</v>
      </c>
      <c r="AT80" s="2">
        <v>0.15463916999999999</v>
      </c>
      <c r="AU80" s="2">
        <v>8.1544039999999998E-2</v>
      </c>
      <c r="AV80" s="2">
        <v>0.31774639999999998</v>
      </c>
      <c r="AW80" s="2">
        <v>0.32397628000000001</v>
      </c>
      <c r="AX80" s="2">
        <v>0.37494585000000002</v>
      </c>
      <c r="AY80" s="2">
        <v>0.28026067999999998</v>
      </c>
      <c r="AZ80" s="2">
        <v>1</v>
      </c>
      <c r="BA80" s="2">
        <v>4.8891339999999998E-2</v>
      </c>
      <c r="BB80" s="2">
        <v>0.25123948000000002</v>
      </c>
      <c r="BC80" s="2">
        <v>0.15305974999999999</v>
      </c>
      <c r="BD80" s="2">
        <v>0.23407452000000001</v>
      </c>
      <c r="BE80" s="2">
        <v>0.20727928000000001</v>
      </c>
      <c r="BF80" s="2">
        <v>0.29366428</v>
      </c>
      <c r="BG80" s="2">
        <v>0.18174905999999999</v>
      </c>
      <c r="BH80" s="2">
        <v>0.276111</v>
      </c>
      <c r="BI80" s="2">
        <v>0.29653566999999997</v>
      </c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spans="1:77" x14ac:dyDescent="0.25">
      <c r="A81" t="str" cm="1">
        <f t="array" ref="A81">_xll.FDS(B81,"FG_COMPANY_NAME")</f>
        <v>TOKAI RIKA CO., LTD.</v>
      </c>
      <c r="B81" s="4" t="str">
        <v>6995-JP</v>
      </c>
      <c r="C81" s="2">
        <v>0.19002204</v>
      </c>
      <c r="D81" s="2">
        <v>9.7889069999999995E-2</v>
      </c>
      <c r="E81" s="2">
        <v>8.9549260000000006E-2</v>
      </c>
      <c r="F81" s="2">
        <v>6.9744840000000002E-2</v>
      </c>
      <c r="G81" s="2">
        <v>6.815889E-2</v>
      </c>
      <c r="H81" s="2">
        <v>0.13840169999999999</v>
      </c>
      <c r="I81" s="2">
        <v>0.13901925000000001</v>
      </c>
      <c r="J81" s="2">
        <v>0.15196058000000001</v>
      </c>
      <c r="K81" s="2">
        <v>6.6571459999999999E-2</v>
      </c>
      <c r="L81" s="2">
        <v>0.1622779</v>
      </c>
      <c r="M81" s="2">
        <v>0.118296556</v>
      </c>
      <c r="N81" s="2">
        <v>8.9951950000000003E-2</v>
      </c>
      <c r="O81" s="2">
        <v>0.13997997000000001</v>
      </c>
      <c r="P81" s="2">
        <v>0.43034</v>
      </c>
      <c r="Q81" s="2">
        <v>0.13578808000000001</v>
      </c>
      <c r="R81" s="2">
        <v>0.11527468</v>
      </c>
      <c r="S81" s="2">
        <v>0.10647385600000001</v>
      </c>
      <c r="T81" s="2">
        <v>0.29226111999999999</v>
      </c>
      <c r="U81" s="2">
        <v>6.1953899999999999E-2</v>
      </c>
      <c r="V81" s="2">
        <v>0.25578865000000001</v>
      </c>
      <c r="W81" s="2">
        <v>3.7232157000000002E-2</v>
      </c>
      <c r="X81" s="2">
        <v>6.2665520000000002E-2</v>
      </c>
      <c r="Y81" s="2">
        <v>0.18306064999999999</v>
      </c>
      <c r="Z81" s="2">
        <v>0.13221139000000001</v>
      </c>
      <c r="AA81" s="2">
        <v>0.11182416000000001</v>
      </c>
      <c r="AB81" s="2">
        <v>4.8870955000000001E-2</v>
      </c>
      <c r="AC81" s="2">
        <v>7.9062519999999997E-2</v>
      </c>
      <c r="AD81" s="2">
        <v>4.1840740000000001E-2</v>
      </c>
      <c r="AE81" s="2">
        <v>5.1366340000000003E-2</v>
      </c>
      <c r="AF81" s="2">
        <v>6.4735589999999996E-2</v>
      </c>
      <c r="AG81" s="2">
        <v>0.38931830000000001</v>
      </c>
      <c r="AH81" s="2">
        <v>0.12375406</v>
      </c>
      <c r="AI81" s="2">
        <v>7.2121896000000005E-2</v>
      </c>
      <c r="AJ81" s="2">
        <v>0.13950973999999999</v>
      </c>
      <c r="AK81" s="2">
        <v>0.45050314000000002</v>
      </c>
      <c r="AL81" s="2">
        <v>0.44056708</v>
      </c>
      <c r="AM81" s="2">
        <v>1.9831552999999998E-2</v>
      </c>
      <c r="AN81" s="2">
        <v>7.8177499999999997E-2</v>
      </c>
      <c r="AO81" s="2">
        <v>0.11973667</v>
      </c>
      <c r="AP81" s="2">
        <v>0.39116721999999998</v>
      </c>
      <c r="AQ81" s="2">
        <v>3.4308116999999999E-2</v>
      </c>
      <c r="AR81" s="2">
        <v>0.23048382000000001</v>
      </c>
      <c r="AS81" s="2">
        <v>6.1362470000000002E-2</v>
      </c>
      <c r="AT81" s="2">
        <v>0.12707856000000001</v>
      </c>
      <c r="AU81" s="2">
        <v>0.17890501</v>
      </c>
      <c r="AV81" s="2">
        <v>0.13961501000000001</v>
      </c>
      <c r="AW81" s="2">
        <v>0.12514895000000001</v>
      </c>
      <c r="AX81" s="2">
        <v>0.13552183000000001</v>
      </c>
      <c r="AY81" s="2">
        <v>0.16545591000000001</v>
      </c>
      <c r="AZ81" s="2">
        <v>4.8891339999999998E-2</v>
      </c>
      <c r="BA81" s="2">
        <v>1</v>
      </c>
      <c r="BB81" s="2">
        <v>0.12100472</v>
      </c>
      <c r="BC81" s="2">
        <v>8.0636189999999996E-2</v>
      </c>
      <c r="BD81" s="2">
        <v>1.8340579999999999E-2</v>
      </c>
      <c r="BE81" s="2">
        <v>0.15175621</v>
      </c>
      <c r="BF81" s="2">
        <v>0.16453809999999999</v>
      </c>
      <c r="BG81" s="2">
        <v>6.287218E-2</v>
      </c>
      <c r="BH81" s="2">
        <v>5.8244063999999998E-2</v>
      </c>
      <c r="BI81" s="2">
        <v>4.5360922999999997E-2</v>
      </c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spans="1:77" x14ac:dyDescent="0.25">
      <c r="A82" t="str" cm="1">
        <f t="array" ref="A82">_xll.FDS(B82,"FG_COMPANY_NAME")</f>
        <v>Valterra Platinum Limited</v>
      </c>
      <c r="B82" s="4" t="str">
        <v>VAL-ZA</v>
      </c>
      <c r="C82" s="2">
        <v>0.26021358</v>
      </c>
      <c r="D82" s="2">
        <v>0.53149796000000005</v>
      </c>
      <c r="E82" s="2">
        <v>0.16476853</v>
      </c>
      <c r="F82" s="2">
        <v>0.15581703</v>
      </c>
      <c r="G82" s="2">
        <v>0.17733148000000001</v>
      </c>
      <c r="H82" s="2">
        <v>0.18846282</v>
      </c>
      <c r="I82" s="2">
        <v>0.29139789999999999</v>
      </c>
      <c r="J82" s="2">
        <v>0.23455875000000001</v>
      </c>
      <c r="K82" s="2">
        <v>2.6704367E-2</v>
      </c>
      <c r="L82" s="2">
        <v>0.17713893999999999</v>
      </c>
      <c r="M82" s="2">
        <v>0.2413409</v>
      </c>
      <c r="N82" s="2">
        <v>0.14838672999999999</v>
      </c>
      <c r="O82" s="2">
        <v>0.22272357000000001</v>
      </c>
      <c r="P82" s="2">
        <v>0.11684156</v>
      </c>
      <c r="Q82" s="2">
        <v>0.23492771000000001</v>
      </c>
      <c r="R82" s="2">
        <v>0.33345708000000002</v>
      </c>
      <c r="S82" s="2">
        <v>0.17579706</v>
      </c>
      <c r="T82" s="2">
        <v>8.6646829999999994E-2</v>
      </c>
      <c r="U82" s="2">
        <v>0.15446173999999999</v>
      </c>
      <c r="V82" s="2">
        <v>9.668562E-2</v>
      </c>
      <c r="W82" s="2">
        <v>0.11236106</v>
      </c>
      <c r="X82" s="2">
        <v>0.1115454</v>
      </c>
      <c r="Y82" s="2">
        <v>0.13014595000000001</v>
      </c>
      <c r="Z82" s="2">
        <v>0.250801</v>
      </c>
      <c r="AA82" s="2">
        <v>0.11254</v>
      </c>
      <c r="AB82" s="2">
        <v>1.7753109999999999E-2</v>
      </c>
      <c r="AC82" s="2">
        <v>0.15911411</v>
      </c>
      <c r="AD82" s="2">
        <v>0.14197093</v>
      </c>
      <c r="AE82" s="2">
        <v>6.8878344999999994E-2</v>
      </c>
      <c r="AF82" s="2">
        <v>0.10715157</v>
      </c>
      <c r="AG82" s="2">
        <v>4.7542106000000001E-2</v>
      </c>
      <c r="AH82" s="2">
        <v>0.13513254999999999</v>
      </c>
      <c r="AI82" s="2">
        <v>4.8805705999999997E-2</v>
      </c>
      <c r="AJ82" s="2">
        <v>0.26061296</v>
      </c>
      <c r="AK82" s="2">
        <v>7.8146270000000004E-2</v>
      </c>
      <c r="AL82" s="2">
        <v>6.6277409999999995E-2</v>
      </c>
      <c r="AM82" s="2">
        <v>3.8420375E-2</v>
      </c>
      <c r="AN82" s="2">
        <v>0.19795483</v>
      </c>
      <c r="AO82" s="2">
        <v>0.276754</v>
      </c>
      <c r="AP82" s="2">
        <v>0.16341968000000001</v>
      </c>
      <c r="AQ82" s="2">
        <v>5.8085146999999997E-2</v>
      </c>
      <c r="AR82" s="2">
        <v>0.15745598</v>
      </c>
      <c r="AS82" s="2">
        <v>0.17028552</v>
      </c>
      <c r="AT82" s="2">
        <v>0.14826929999999999</v>
      </c>
      <c r="AU82" s="2">
        <v>0.15203172000000001</v>
      </c>
      <c r="AV82" s="2">
        <v>0.23372190000000001</v>
      </c>
      <c r="AW82" s="2">
        <v>0.23128551</v>
      </c>
      <c r="AX82" s="2">
        <v>0.124052994</v>
      </c>
      <c r="AY82" s="2">
        <v>0.25293051999999999</v>
      </c>
      <c r="AZ82" s="2">
        <v>0.25123948000000002</v>
      </c>
      <c r="BA82" s="2">
        <v>0.12100472</v>
      </c>
      <c r="BB82" s="2">
        <v>1</v>
      </c>
      <c r="BC82" s="2">
        <v>2.1000797000000002E-2</v>
      </c>
      <c r="BD82" s="2">
        <v>8.207536E-2</v>
      </c>
      <c r="BE82" s="2">
        <v>0.20814299999999999</v>
      </c>
      <c r="BF82" s="2">
        <v>0.25193290000000002</v>
      </c>
      <c r="BG82" s="2">
        <v>0.12261399000000001</v>
      </c>
      <c r="BH82" s="2">
        <v>8.8333389999999998E-2</v>
      </c>
      <c r="BI82" s="2">
        <v>0.12705891999999999</v>
      </c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 spans="1:77" x14ac:dyDescent="0.25">
      <c r="A83" t="str" cm="1">
        <f t="array" ref="A83">_xll.FDS(B83,"FG_COMPANY_NAME")</f>
        <v>Verizon Communications Inc.</v>
      </c>
      <c r="B83" s="4" t="str">
        <v>VZ-US</v>
      </c>
      <c r="C83" s="2">
        <v>0.11426086000000001</v>
      </c>
      <c r="D83" s="2">
        <v>7.9161919999999997E-2</v>
      </c>
      <c r="E83" s="2">
        <v>8.6470560000000002E-3</v>
      </c>
      <c r="F83" s="2">
        <v>0.12921235</v>
      </c>
      <c r="G83" s="2">
        <v>5.8938865E-2</v>
      </c>
      <c r="H83" s="2">
        <v>-3.4492540000000002E-2</v>
      </c>
      <c r="I83" s="2">
        <v>0.117634356</v>
      </c>
      <c r="J83" s="2">
        <v>0.10577816499999999</v>
      </c>
      <c r="K83" s="2">
        <v>0.23524706000000001</v>
      </c>
      <c r="L83" s="2">
        <v>0.20932730999999999</v>
      </c>
      <c r="M83" s="2">
        <v>3.7332480000000001E-2</v>
      </c>
      <c r="N83" s="2">
        <v>0.11391561</v>
      </c>
      <c r="O83" s="2">
        <v>8.0439090000000005E-2</v>
      </c>
      <c r="P83" s="2">
        <v>2.6498656999999998E-2</v>
      </c>
      <c r="Q83" s="2">
        <v>0.14558842999999999</v>
      </c>
      <c r="R83" s="2">
        <v>0.13301205999999999</v>
      </c>
      <c r="S83" s="2">
        <v>0.16068196000000001</v>
      </c>
      <c r="T83" s="2">
        <v>9.2488340000000002E-2</v>
      </c>
      <c r="U83" s="2">
        <v>0.12144407</v>
      </c>
      <c r="V83" s="2">
        <v>4.0059182999999998E-2</v>
      </c>
      <c r="W83" s="2">
        <v>8.504254E-2</v>
      </c>
      <c r="X83" s="2">
        <v>0.120834865</v>
      </c>
      <c r="Y83" s="2">
        <v>2.7415128E-2</v>
      </c>
      <c r="Z83" s="2">
        <v>6.2013578E-2</v>
      </c>
      <c r="AA83" s="2">
        <v>0.120494224</v>
      </c>
      <c r="AB83" s="2">
        <v>0.34159594999999998</v>
      </c>
      <c r="AC83" s="2">
        <v>0.15995854000000001</v>
      </c>
      <c r="AD83" s="2">
        <v>0.22902764</v>
      </c>
      <c r="AE83" s="2">
        <v>6.558129E-2</v>
      </c>
      <c r="AF83" s="2">
        <v>0.20770640000000001</v>
      </c>
      <c r="AG83" s="2">
        <v>5.5302407999999997E-2</v>
      </c>
      <c r="AH83" s="2">
        <v>0.19294806</v>
      </c>
      <c r="AI83" s="2">
        <v>0.27850983000000001</v>
      </c>
      <c r="AJ83" s="2">
        <v>0.116483584</v>
      </c>
      <c r="AK83" s="2">
        <v>7.2625239999999994E-2</v>
      </c>
      <c r="AL83" s="2">
        <v>7.2201749999999995E-2</v>
      </c>
      <c r="AM83" s="2">
        <v>0.25428864000000001</v>
      </c>
      <c r="AN83" s="2">
        <v>8.7411455999999998E-2</v>
      </c>
      <c r="AO83" s="2">
        <v>9.4737604000000003E-2</v>
      </c>
      <c r="AP83" s="2">
        <v>4.5189082999999998E-2</v>
      </c>
      <c r="AQ83" s="2">
        <v>0.14517134000000001</v>
      </c>
      <c r="AR83" s="2">
        <v>5.0562485999999997E-2</v>
      </c>
      <c r="AS83" s="2">
        <v>0.14068896</v>
      </c>
      <c r="AT83" s="2">
        <v>9.4415379999999993E-2</v>
      </c>
      <c r="AU83" s="2">
        <v>1.1547638000000001E-2</v>
      </c>
      <c r="AV83" s="2">
        <v>0.14256360000000001</v>
      </c>
      <c r="AW83" s="2">
        <v>7.8710735000000004E-2</v>
      </c>
      <c r="AX83" s="2">
        <v>0.19918226</v>
      </c>
      <c r="AY83" s="2">
        <v>7.0343113999999998E-2</v>
      </c>
      <c r="AZ83" s="2">
        <v>0.15305974999999999</v>
      </c>
      <c r="BA83" s="2">
        <v>8.0636189999999996E-2</v>
      </c>
      <c r="BB83" s="2">
        <v>2.1000797000000002E-2</v>
      </c>
      <c r="BC83" s="2">
        <v>1</v>
      </c>
      <c r="BD83" s="2">
        <v>0.23892099999999999</v>
      </c>
      <c r="BE83" s="2">
        <v>0.26311206999999998</v>
      </c>
      <c r="BF83" s="2">
        <v>0.10568072000000001</v>
      </c>
      <c r="BG83" s="2">
        <v>0.15740016000000001</v>
      </c>
      <c r="BH83" s="2">
        <v>0.25726149999999998</v>
      </c>
      <c r="BI83" s="2">
        <v>0.19776574999999999</v>
      </c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spans="1:77" x14ac:dyDescent="0.25">
      <c r="A84" t="str" cm="1">
        <f t="array" ref="A84">_xll.FDS(B84,"FG_COMPANY_NAME")</f>
        <v>Viatris, Inc.</v>
      </c>
      <c r="B84" s="4" t="str">
        <v>VTRS-US</v>
      </c>
      <c r="C84" s="2">
        <v>0.22955623</v>
      </c>
      <c r="D84" s="2">
        <v>0.17980261</v>
      </c>
      <c r="E84" s="2">
        <v>5.2148562000000002E-2</v>
      </c>
      <c r="F84" s="2">
        <v>0.36848122</v>
      </c>
      <c r="G84" s="2">
        <v>0.19347212999999999</v>
      </c>
      <c r="H84" s="2">
        <v>7.2277289999999994E-2</v>
      </c>
      <c r="I84" s="2">
        <v>0.26557683999999998</v>
      </c>
      <c r="J84" s="2">
        <v>0.23700160000000001</v>
      </c>
      <c r="K84" s="2">
        <v>0.2707928</v>
      </c>
      <c r="L84" s="2">
        <v>0.16019902999999999</v>
      </c>
      <c r="M84" s="2">
        <v>0.17562069</v>
      </c>
      <c r="N84" s="2">
        <v>0.12679608000000001</v>
      </c>
      <c r="O84" s="2">
        <v>0.2548705</v>
      </c>
      <c r="P84" s="2">
        <v>5.6893354999999995E-4</v>
      </c>
      <c r="Q84" s="2">
        <v>0.23662041</v>
      </c>
      <c r="R84" s="2">
        <v>0.17576396</v>
      </c>
      <c r="S84" s="2">
        <v>0.15127167</v>
      </c>
      <c r="T84" s="2">
        <v>-3.8159136000000003E-2</v>
      </c>
      <c r="U84" s="2">
        <v>0.26062265000000001</v>
      </c>
      <c r="V84" s="2">
        <v>1.8900960000000001E-2</v>
      </c>
      <c r="W84" s="2">
        <v>0.28739791999999997</v>
      </c>
      <c r="X84" s="2">
        <v>0.22621194999999999</v>
      </c>
      <c r="Y84" s="2">
        <v>3.2643343999999998E-2</v>
      </c>
      <c r="Z84" s="2">
        <v>0.20112384999999999</v>
      </c>
      <c r="AA84" s="2">
        <v>0.105912484</v>
      </c>
      <c r="AB84" s="2">
        <v>0.23954332</v>
      </c>
      <c r="AC84" s="2">
        <v>0.40712145</v>
      </c>
      <c r="AD84" s="2">
        <v>0.36620554</v>
      </c>
      <c r="AE84" s="2">
        <v>0.25504979999999999</v>
      </c>
      <c r="AF84" s="2">
        <v>0.36543047000000001</v>
      </c>
      <c r="AG84" s="2">
        <v>6.6283979999999998E-3</v>
      </c>
      <c r="AH84" s="2">
        <v>0.36900923000000002</v>
      </c>
      <c r="AI84" s="2">
        <v>0.25566267999999998</v>
      </c>
      <c r="AJ84" s="2">
        <v>0.20739447999999999</v>
      </c>
      <c r="AK84" s="2">
        <v>2.1275228E-2</v>
      </c>
      <c r="AL84" s="2">
        <v>7.8353164999999999E-3</v>
      </c>
      <c r="AM84" s="2">
        <v>0.2914445</v>
      </c>
      <c r="AN84" s="2">
        <v>0.18182371999999999</v>
      </c>
      <c r="AO84" s="2">
        <v>0.14879191999999999</v>
      </c>
      <c r="AP84" s="2">
        <v>3.9049006999999997E-2</v>
      </c>
      <c r="AQ84" s="2">
        <v>0.29491139999999999</v>
      </c>
      <c r="AR84" s="2">
        <v>2.12731E-2</v>
      </c>
      <c r="AS84" s="2">
        <v>0.16873378</v>
      </c>
      <c r="AT84" s="2">
        <v>8.3186019999999999E-2</v>
      </c>
      <c r="AU84" s="2">
        <v>5.0084143999999997E-2</v>
      </c>
      <c r="AV84" s="2">
        <v>0.23917707999999999</v>
      </c>
      <c r="AW84" s="2">
        <v>0.2184798</v>
      </c>
      <c r="AX84" s="2">
        <v>0.36182760000000003</v>
      </c>
      <c r="AY84" s="2">
        <v>0.19038513000000001</v>
      </c>
      <c r="AZ84" s="2">
        <v>0.23407452000000001</v>
      </c>
      <c r="BA84" s="2">
        <v>1.8340579999999999E-2</v>
      </c>
      <c r="BB84" s="2">
        <v>8.207536E-2</v>
      </c>
      <c r="BC84" s="2">
        <v>0.23892099999999999</v>
      </c>
      <c r="BD84" s="2">
        <v>1</v>
      </c>
      <c r="BE84" s="2">
        <v>0.19698185000000001</v>
      </c>
      <c r="BF84" s="2">
        <v>0.26423404</v>
      </c>
      <c r="BG84" s="2">
        <v>0.21570908</v>
      </c>
      <c r="BH84" s="2">
        <v>0.33386257000000003</v>
      </c>
      <c r="BI84" s="2">
        <v>0.27207133</v>
      </c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spans="1:77" x14ac:dyDescent="0.25">
      <c r="A85" t="str" cm="1">
        <f t="array" ref="A85">_xll.FDS(B85,"FG_COMPANY_NAME")</f>
        <v>Vodafone Group Public Limited Company</v>
      </c>
      <c r="B85" s="4" t="str">
        <v>VOD-GB</v>
      </c>
      <c r="C85" s="2">
        <v>0.34252146</v>
      </c>
      <c r="D85" s="2">
        <v>0.29535085</v>
      </c>
      <c r="E85" s="2">
        <v>9.2439660000000007E-2</v>
      </c>
      <c r="F85" s="2">
        <v>0.17390521</v>
      </c>
      <c r="G85" s="2">
        <v>7.8499449999999998E-2</v>
      </c>
      <c r="H85" s="2">
        <v>2.9277530999999999E-2</v>
      </c>
      <c r="I85" s="2">
        <v>0.35762529999999998</v>
      </c>
      <c r="J85" s="2">
        <v>0.34853013999999999</v>
      </c>
      <c r="K85" s="2">
        <v>0.12812741</v>
      </c>
      <c r="L85" s="2">
        <v>0.53881049999999997</v>
      </c>
      <c r="M85" s="2">
        <v>0.26424120000000001</v>
      </c>
      <c r="N85" s="2">
        <v>0.27987033</v>
      </c>
      <c r="O85" s="2">
        <v>0.30863494000000002</v>
      </c>
      <c r="P85" s="2">
        <v>0.18581581</v>
      </c>
      <c r="Q85" s="2">
        <v>0.35995936000000001</v>
      </c>
      <c r="R85" s="2">
        <v>0.37164955999999999</v>
      </c>
      <c r="S85" s="2">
        <v>0.30996667999999999</v>
      </c>
      <c r="T85" s="2">
        <v>0.103297204</v>
      </c>
      <c r="U85" s="2">
        <v>0.17167673</v>
      </c>
      <c r="V85" s="2">
        <v>7.6156124000000006E-2</v>
      </c>
      <c r="W85" s="2">
        <v>0.10067172000000001</v>
      </c>
      <c r="X85" s="2">
        <v>9.2582529999999996E-2</v>
      </c>
      <c r="Y85" s="2">
        <v>8.4022780000000005E-2</v>
      </c>
      <c r="Z85" s="2">
        <v>0.26069715999999998</v>
      </c>
      <c r="AA85" s="2">
        <v>0.30135943999999998</v>
      </c>
      <c r="AB85" s="2">
        <v>0.16767223000000001</v>
      </c>
      <c r="AC85" s="2">
        <v>0.18914603999999999</v>
      </c>
      <c r="AD85" s="2">
        <v>0.18173692</v>
      </c>
      <c r="AE85" s="2">
        <v>0.120931625</v>
      </c>
      <c r="AF85" s="2">
        <v>0.22951617999999999</v>
      </c>
      <c r="AG85" s="2">
        <v>0.10137699</v>
      </c>
      <c r="AH85" s="2">
        <v>0.17546523</v>
      </c>
      <c r="AI85" s="2">
        <v>0.22220342000000001</v>
      </c>
      <c r="AJ85" s="2">
        <v>0.37868970000000002</v>
      </c>
      <c r="AK85" s="2">
        <v>0.14185216</v>
      </c>
      <c r="AL85" s="2">
        <v>0.11442189</v>
      </c>
      <c r="AM85" s="2">
        <v>0.13633107999999999</v>
      </c>
      <c r="AN85" s="2">
        <v>0.20582916000000001</v>
      </c>
      <c r="AO85" s="2">
        <v>0.31459752000000002</v>
      </c>
      <c r="AP85" s="2">
        <v>0.12703970000000001</v>
      </c>
      <c r="AQ85" s="2">
        <v>0.14905256</v>
      </c>
      <c r="AR85" s="2">
        <v>0.10844933</v>
      </c>
      <c r="AS85" s="2">
        <v>0.25075078000000001</v>
      </c>
      <c r="AT85" s="2">
        <v>0.30099964000000001</v>
      </c>
      <c r="AU85" s="2">
        <v>0.10802802</v>
      </c>
      <c r="AV85" s="2">
        <v>0.37982263999999999</v>
      </c>
      <c r="AW85" s="2">
        <v>0.33769830000000001</v>
      </c>
      <c r="AX85" s="2">
        <v>0.13311509999999999</v>
      </c>
      <c r="AY85" s="2">
        <v>0.27804780000000001</v>
      </c>
      <c r="AZ85" s="2">
        <v>0.20727928000000001</v>
      </c>
      <c r="BA85" s="2">
        <v>0.15175621</v>
      </c>
      <c r="BB85" s="2">
        <v>0.20814299999999999</v>
      </c>
      <c r="BC85" s="2">
        <v>0.26311206999999998</v>
      </c>
      <c r="BD85" s="2">
        <v>0.19698185000000001</v>
      </c>
      <c r="BE85" s="2">
        <v>1</v>
      </c>
      <c r="BF85" s="2">
        <v>0.32504823999999999</v>
      </c>
      <c r="BG85" s="2">
        <v>0.15105212000000001</v>
      </c>
      <c r="BH85" s="2">
        <v>0.23276024000000001</v>
      </c>
      <c r="BI85" s="2">
        <v>0.13475348000000001</v>
      </c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spans="1:77" x14ac:dyDescent="0.25">
      <c r="A86" t="str" cm="1">
        <f t="array" ref="A86">_xll.FDS(B86,"FG_COMPANY_NAME")</f>
        <v>Volkswagen AG Pref</v>
      </c>
      <c r="B86" s="4" t="str">
        <v>VOW3-DE</v>
      </c>
      <c r="C86" s="2">
        <v>0.50821435000000004</v>
      </c>
      <c r="D86" s="2">
        <v>0.38193080000000001</v>
      </c>
      <c r="E86" s="2">
        <v>0.12213162</v>
      </c>
      <c r="F86" s="2">
        <v>0.37432579999999999</v>
      </c>
      <c r="G86" s="2">
        <v>0.21164237</v>
      </c>
      <c r="H86" s="2">
        <v>0.18033718000000001</v>
      </c>
      <c r="I86" s="2">
        <v>0.62624049999999998</v>
      </c>
      <c r="J86" s="2">
        <v>0.40551424000000003</v>
      </c>
      <c r="K86" s="2">
        <v>8.409664E-2</v>
      </c>
      <c r="L86" s="2">
        <v>0.33944755999999998</v>
      </c>
      <c r="M86" s="2">
        <v>0.40338552</v>
      </c>
      <c r="N86" s="2">
        <v>0.26799857999999999</v>
      </c>
      <c r="O86" s="2">
        <v>0.63158380000000003</v>
      </c>
      <c r="P86" s="2">
        <v>0.15229862999999999</v>
      </c>
      <c r="Q86" s="2">
        <v>0.44686197999999999</v>
      </c>
      <c r="R86" s="2">
        <v>0.45250982000000001</v>
      </c>
      <c r="S86" s="2">
        <v>0.21228242999999999</v>
      </c>
      <c r="T86" s="2">
        <v>8.6316160000000003E-2</v>
      </c>
      <c r="U86" s="2">
        <v>0.22857767000000001</v>
      </c>
      <c r="V86" s="2">
        <v>0.16491829</v>
      </c>
      <c r="W86" s="2">
        <v>0.22995755000000001</v>
      </c>
      <c r="X86" s="2">
        <v>0.14775845000000001</v>
      </c>
      <c r="Y86" s="2">
        <v>0.12633875</v>
      </c>
      <c r="Z86" s="2">
        <v>0.49704754000000001</v>
      </c>
      <c r="AA86" s="2">
        <v>0.24289040000000001</v>
      </c>
      <c r="AB86" s="2">
        <v>0.11603997000000001</v>
      </c>
      <c r="AC86" s="2">
        <v>0.40154514000000002</v>
      </c>
      <c r="AD86" s="2">
        <v>0.33718759999999998</v>
      </c>
      <c r="AE86" s="2">
        <v>0.1976686</v>
      </c>
      <c r="AF86" s="2">
        <v>0.31931967</v>
      </c>
      <c r="AG86" s="2">
        <v>8.751341E-2</v>
      </c>
      <c r="AH86" s="2">
        <v>0.29942780000000002</v>
      </c>
      <c r="AI86" s="2">
        <v>0.21079845999999999</v>
      </c>
      <c r="AJ86" s="2">
        <v>0.48931044000000001</v>
      </c>
      <c r="AK86" s="2">
        <v>0.13428807000000001</v>
      </c>
      <c r="AL86" s="2">
        <v>7.4374049999999997E-2</v>
      </c>
      <c r="AM86" s="2">
        <v>0.10391731999999999</v>
      </c>
      <c r="AN86" s="2">
        <v>0.38096932</v>
      </c>
      <c r="AO86" s="2">
        <v>0.36121154</v>
      </c>
      <c r="AP86" s="2">
        <v>0.20100821999999999</v>
      </c>
      <c r="AQ86" s="2">
        <v>0.20820068</v>
      </c>
      <c r="AR86" s="2">
        <v>0.15700686999999999</v>
      </c>
      <c r="AS86" s="2">
        <v>0.24245633</v>
      </c>
      <c r="AT86" s="2">
        <v>0.27029421999999997</v>
      </c>
      <c r="AU86" s="2">
        <v>0.14293568000000001</v>
      </c>
      <c r="AV86" s="2">
        <v>0.55766015999999996</v>
      </c>
      <c r="AW86" s="2">
        <v>0.44245361999999999</v>
      </c>
      <c r="AX86" s="2">
        <v>0.26806770000000002</v>
      </c>
      <c r="AY86" s="2">
        <v>0.47643918000000002</v>
      </c>
      <c r="AZ86" s="2">
        <v>0.29366428</v>
      </c>
      <c r="BA86" s="2">
        <v>0.16453809999999999</v>
      </c>
      <c r="BB86" s="2">
        <v>0.25193290000000002</v>
      </c>
      <c r="BC86" s="2">
        <v>0.10568072000000001</v>
      </c>
      <c r="BD86" s="2">
        <v>0.26423404</v>
      </c>
      <c r="BE86" s="2">
        <v>0.32504823999999999</v>
      </c>
      <c r="BF86" s="2">
        <v>1</v>
      </c>
      <c r="BG86" s="2">
        <v>0.17260855</v>
      </c>
      <c r="BH86" s="2">
        <v>0.25259912000000001</v>
      </c>
      <c r="BI86" s="2">
        <v>0.19884156</v>
      </c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spans="1:77" x14ac:dyDescent="0.25">
      <c r="A87" t="str" cm="1">
        <f t="array" ref="A87">_xll.FDS(B87,"FG_COMPANY_NAME")</f>
        <v>Walgreens Boots Alliance, Inc.</v>
      </c>
      <c r="B87" s="4" t="str">
        <v>WBA-US</v>
      </c>
      <c r="C87" s="2">
        <v>0.13485279999999999</v>
      </c>
      <c r="D87" s="2">
        <v>0.1447117</v>
      </c>
      <c r="E87" s="2">
        <v>5.8911853E-2</v>
      </c>
      <c r="F87" s="2">
        <v>0.2211592</v>
      </c>
      <c r="G87" s="2">
        <v>6.8006319999999995E-2</v>
      </c>
      <c r="H87" s="2">
        <v>4.6948040000000003E-3</v>
      </c>
      <c r="I87" s="2">
        <v>0.1702902</v>
      </c>
      <c r="J87" s="2">
        <v>0.13743018000000001</v>
      </c>
      <c r="K87" s="2">
        <v>0.21326134999999999</v>
      </c>
      <c r="L87" s="2">
        <v>0.13867539000000001</v>
      </c>
      <c r="M87" s="2">
        <v>0.12999837</v>
      </c>
      <c r="N87" s="2">
        <v>0.101600595</v>
      </c>
      <c r="O87" s="2">
        <v>0.13432453999999999</v>
      </c>
      <c r="P87" s="2">
        <v>4.1690115E-2</v>
      </c>
      <c r="Q87" s="2">
        <v>0.13839488</v>
      </c>
      <c r="R87" s="2">
        <v>0.13976662000000001</v>
      </c>
      <c r="S87" s="2">
        <v>0.13016285999999999</v>
      </c>
      <c r="T87" s="2">
        <v>8.1012845E-2</v>
      </c>
      <c r="U87" s="2">
        <v>0.19618139000000001</v>
      </c>
      <c r="V87" s="2">
        <v>4.4695776E-2</v>
      </c>
      <c r="W87" s="2">
        <v>0.20178399999999999</v>
      </c>
      <c r="X87" s="2">
        <v>0.16616410000000001</v>
      </c>
      <c r="Y87" s="2">
        <v>7.2619385999999994E-2</v>
      </c>
      <c r="Z87" s="2">
        <v>0.11557376</v>
      </c>
      <c r="AA87" s="2">
        <v>9.489744E-2</v>
      </c>
      <c r="AB87" s="2">
        <v>0.17745325000000001</v>
      </c>
      <c r="AC87" s="2">
        <v>0.25663682999999998</v>
      </c>
      <c r="AD87" s="2">
        <v>0.25873010000000002</v>
      </c>
      <c r="AE87" s="2">
        <v>0.24520223999999999</v>
      </c>
      <c r="AF87" s="2">
        <v>0.26529393000000001</v>
      </c>
      <c r="AG87" s="2">
        <v>5.1210653000000002E-2</v>
      </c>
      <c r="AH87" s="2">
        <v>0.27699386999999998</v>
      </c>
      <c r="AI87" s="2">
        <v>0.23561652</v>
      </c>
      <c r="AJ87" s="2">
        <v>0.12319623</v>
      </c>
      <c r="AK87" s="2">
        <v>5.5261999999999999E-2</v>
      </c>
      <c r="AL87" s="2">
        <v>5.3962099999999999E-2</v>
      </c>
      <c r="AM87" s="2">
        <v>0.18865477</v>
      </c>
      <c r="AN87" s="2">
        <v>9.9746265000000001E-2</v>
      </c>
      <c r="AO87" s="2">
        <v>0.11690576</v>
      </c>
      <c r="AP87" s="2">
        <v>3.6682352000000001E-2</v>
      </c>
      <c r="AQ87" s="2">
        <v>0.27147692000000001</v>
      </c>
      <c r="AR87" s="2">
        <v>5.0516907E-2</v>
      </c>
      <c r="AS87" s="2">
        <v>6.4276844E-2</v>
      </c>
      <c r="AT87" s="2">
        <v>6.6426509999999994E-2</v>
      </c>
      <c r="AU87" s="2">
        <v>6.4751879999999998E-2</v>
      </c>
      <c r="AV87" s="2">
        <v>0.14698438</v>
      </c>
      <c r="AW87" s="2">
        <v>0.12366873</v>
      </c>
      <c r="AX87" s="2">
        <v>0.26346417999999999</v>
      </c>
      <c r="AY87" s="2">
        <v>7.613077E-2</v>
      </c>
      <c r="AZ87" s="2">
        <v>0.18174905999999999</v>
      </c>
      <c r="BA87" s="2">
        <v>6.287218E-2</v>
      </c>
      <c r="BB87" s="2">
        <v>0.12261399000000001</v>
      </c>
      <c r="BC87" s="2">
        <v>0.15740016000000001</v>
      </c>
      <c r="BD87" s="2">
        <v>0.21570908</v>
      </c>
      <c r="BE87" s="2">
        <v>0.15105212000000001</v>
      </c>
      <c r="BF87" s="2">
        <v>0.17260855</v>
      </c>
      <c r="BG87" s="2">
        <v>1</v>
      </c>
      <c r="BH87" s="2">
        <v>0.243697</v>
      </c>
      <c r="BI87" s="2">
        <v>0.19968480999999999</v>
      </c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spans="1:77" x14ac:dyDescent="0.25">
      <c r="A88" t="str" cm="1">
        <f t="array" ref="A88">_xll.FDS(B88,"FG_COMPANY_NAME")</f>
        <v>Western Union Company</v>
      </c>
      <c r="B88" s="4" t="str">
        <v>WU-US</v>
      </c>
      <c r="C88" s="2">
        <v>0.23994472999999999</v>
      </c>
      <c r="D88" s="2">
        <v>0.13327818</v>
      </c>
      <c r="E88" s="2">
        <v>6.3418370000000002E-2</v>
      </c>
      <c r="F88" s="2">
        <v>0.3627457</v>
      </c>
      <c r="G88" s="2">
        <v>0.18918884999999999</v>
      </c>
      <c r="H88" s="2">
        <v>4.5758675999999998E-2</v>
      </c>
      <c r="I88" s="2">
        <v>0.26158946999999999</v>
      </c>
      <c r="J88" s="2">
        <v>0.17352803</v>
      </c>
      <c r="K88" s="2">
        <v>0.25574980000000003</v>
      </c>
      <c r="L88" s="2">
        <v>0.18218865000000001</v>
      </c>
      <c r="M88" s="2">
        <v>0.16020197999999999</v>
      </c>
      <c r="N88" s="2">
        <v>0.11065005999999999</v>
      </c>
      <c r="O88" s="2">
        <v>0.23396072000000001</v>
      </c>
      <c r="P88" s="2">
        <v>3.9329274999999997E-2</v>
      </c>
      <c r="Q88" s="2">
        <v>0.21527608000000001</v>
      </c>
      <c r="R88" s="2">
        <v>0.19685794000000001</v>
      </c>
      <c r="S88" s="2">
        <v>0.16751832</v>
      </c>
      <c r="T88" s="2">
        <v>2.5230933000000001E-2</v>
      </c>
      <c r="U88" s="2">
        <v>0.27153537</v>
      </c>
      <c r="V88" s="2">
        <v>8.3191479999999998E-2</v>
      </c>
      <c r="W88" s="2">
        <v>0.30975676000000002</v>
      </c>
      <c r="X88" s="2">
        <v>0.24044431999999999</v>
      </c>
      <c r="Y88" s="2">
        <v>7.7678579999999997E-2</v>
      </c>
      <c r="Z88" s="2">
        <v>0.17788931999999999</v>
      </c>
      <c r="AA88" s="2">
        <v>0.12021517</v>
      </c>
      <c r="AB88" s="2">
        <v>0.27866244000000001</v>
      </c>
      <c r="AC88" s="2">
        <v>0.41644353000000001</v>
      </c>
      <c r="AD88" s="2">
        <v>0.42618256999999998</v>
      </c>
      <c r="AE88" s="2">
        <v>0.29458203999999999</v>
      </c>
      <c r="AF88" s="2">
        <v>0.37820577999999999</v>
      </c>
      <c r="AG88" s="2">
        <v>1.657844E-2</v>
      </c>
      <c r="AH88" s="2">
        <v>0.36494964000000002</v>
      </c>
      <c r="AI88" s="2">
        <v>0.32205035999999998</v>
      </c>
      <c r="AJ88" s="2">
        <v>0.21383467</v>
      </c>
      <c r="AK88" s="2">
        <v>5.7023384000000003E-2</v>
      </c>
      <c r="AL88" s="2">
        <v>4.7677625000000001E-2</v>
      </c>
      <c r="AM88" s="2">
        <v>0.19060284999999999</v>
      </c>
      <c r="AN88" s="2">
        <v>0.16572943000000001</v>
      </c>
      <c r="AO88" s="2">
        <v>0.15191573</v>
      </c>
      <c r="AP88" s="2">
        <v>6.2715456000000003E-2</v>
      </c>
      <c r="AQ88" s="2">
        <v>0.31411699999999998</v>
      </c>
      <c r="AR88" s="2">
        <v>7.3643829999999993E-2</v>
      </c>
      <c r="AS88" s="2">
        <v>0.13734451</v>
      </c>
      <c r="AT88" s="2">
        <v>0.12082513</v>
      </c>
      <c r="AU88" s="2">
        <v>7.2221969999999996E-2</v>
      </c>
      <c r="AV88" s="2">
        <v>0.22030425000000001</v>
      </c>
      <c r="AW88" s="2">
        <v>0.25160654999999998</v>
      </c>
      <c r="AX88" s="2">
        <v>0.41547903000000003</v>
      </c>
      <c r="AY88" s="2">
        <v>0.19029230999999999</v>
      </c>
      <c r="AZ88" s="2">
        <v>0.276111</v>
      </c>
      <c r="BA88" s="2">
        <v>5.8244063999999998E-2</v>
      </c>
      <c r="BB88" s="2">
        <v>8.8333389999999998E-2</v>
      </c>
      <c r="BC88" s="2">
        <v>0.25726149999999998</v>
      </c>
      <c r="BD88" s="2">
        <v>0.33386257000000003</v>
      </c>
      <c r="BE88" s="2">
        <v>0.23276024000000001</v>
      </c>
      <c r="BF88" s="2">
        <v>0.25259912000000001</v>
      </c>
      <c r="BG88" s="2">
        <v>0.243697</v>
      </c>
      <c r="BH88" s="2">
        <v>1</v>
      </c>
      <c r="BI88" s="2">
        <v>0.35201042999999999</v>
      </c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1:77" x14ac:dyDescent="0.25">
      <c r="A89" t="str" cm="1">
        <f t="array" ref="A89">_xll.FDS(B89,"FG_COMPANY_NAME")</f>
        <v>John Wiley &amp; Sons, Inc. Class A</v>
      </c>
      <c r="B89" s="4" t="str">
        <v>WLY-US</v>
      </c>
      <c r="C89" s="2">
        <v>0.20664183999999999</v>
      </c>
      <c r="D89" s="2">
        <v>0.1998287</v>
      </c>
      <c r="E89" s="2">
        <v>5.1414757999999998E-2</v>
      </c>
      <c r="F89" s="2">
        <v>0.35017429999999999</v>
      </c>
      <c r="G89" s="2">
        <v>0.13112860000000001</v>
      </c>
      <c r="H89" s="2">
        <v>4.9816805999999998E-2</v>
      </c>
      <c r="I89" s="2">
        <v>0.22947455999999999</v>
      </c>
      <c r="J89" s="2">
        <v>0.14339519000000001</v>
      </c>
      <c r="K89" s="2">
        <v>0.17553252</v>
      </c>
      <c r="L89" s="2">
        <v>0.14585213</v>
      </c>
      <c r="M89" s="2">
        <v>0.13960347000000001</v>
      </c>
      <c r="N89" s="2">
        <v>0.10826337</v>
      </c>
      <c r="O89" s="2">
        <v>0.21090992</v>
      </c>
      <c r="P89" s="2">
        <v>6.8738505000000005E-2</v>
      </c>
      <c r="Q89" s="2">
        <v>0.23560492999999999</v>
      </c>
      <c r="R89" s="2">
        <v>0.19933152000000001</v>
      </c>
      <c r="S89" s="2">
        <v>7.0525149999999995E-2</v>
      </c>
      <c r="T89" s="2">
        <v>1.0673116E-2</v>
      </c>
      <c r="U89" s="2">
        <v>0.33577746000000003</v>
      </c>
      <c r="V89" s="2">
        <v>6.8182043999999997E-2</v>
      </c>
      <c r="W89" s="2">
        <v>0.29358046999999998</v>
      </c>
      <c r="X89" s="2">
        <v>0.24662289000000001</v>
      </c>
      <c r="Y89" s="2">
        <v>8.1011420000000001E-2</v>
      </c>
      <c r="Z89" s="2">
        <v>0.15613717999999999</v>
      </c>
      <c r="AA89" s="2">
        <v>6.5063289999999996E-2</v>
      </c>
      <c r="AB89" s="2">
        <v>0.18448089000000001</v>
      </c>
      <c r="AC89" s="2">
        <v>0.38840446000000001</v>
      </c>
      <c r="AD89" s="2">
        <v>0.38216272000000001</v>
      </c>
      <c r="AE89" s="2">
        <v>0.27038743999999998</v>
      </c>
      <c r="AF89" s="2">
        <v>0.39658588</v>
      </c>
      <c r="AG89" s="2">
        <v>2.5663476000000001E-2</v>
      </c>
      <c r="AH89" s="2">
        <v>0.39001602000000002</v>
      </c>
      <c r="AI89" s="2">
        <v>0.28253456999999998</v>
      </c>
      <c r="AJ89" s="2">
        <v>0.17939896999999999</v>
      </c>
      <c r="AK89" s="2">
        <v>7.9345495000000002E-2</v>
      </c>
      <c r="AL89" s="2">
        <v>3.0800142999999999E-2</v>
      </c>
      <c r="AM89" s="2">
        <v>0.15136585</v>
      </c>
      <c r="AN89" s="2">
        <v>0.18613574999999999</v>
      </c>
      <c r="AO89" s="2">
        <v>0.1986559</v>
      </c>
      <c r="AP89" s="2">
        <v>7.559594E-2</v>
      </c>
      <c r="AQ89" s="2">
        <v>0.33075599999999999</v>
      </c>
      <c r="AR89" s="2">
        <v>6.764423E-2</v>
      </c>
      <c r="AS89" s="2">
        <v>2.1870403E-2</v>
      </c>
      <c r="AT89" s="2">
        <v>0.14964731000000001</v>
      </c>
      <c r="AU89" s="2">
        <v>7.5880390000000006E-2</v>
      </c>
      <c r="AV89" s="2">
        <v>0.18250072000000001</v>
      </c>
      <c r="AW89" s="2">
        <v>0.18491416999999999</v>
      </c>
      <c r="AX89" s="2">
        <v>0.34725687</v>
      </c>
      <c r="AY89" s="2">
        <v>0.21217005999999999</v>
      </c>
      <c r="AZ89" s="2">
        <v>0.29653566999999997</v>
      </c>
      <c r="BA89" s="2">
        <v>4.5360922999999997E-2</v>
      </c>
      <c r="BB89" s="2">
        <v>0.12705891999999999</v>
      </c>
      <c r="BC89" s="2">
        <v>0.19776574999999999</v>
      </c>
      <c r="BD89" s="2">
        <v>0.27207133</v>
      </c>
      <c r="BE89" s="2">
        <v>0.13475348000000001</v>
      </c>
      <c r="BF89" s="2">
        <v>0.19884156</v>
      </c>
      <c r="BG89" s="2">
        <v>0.19968480999999999</v>
      </c>
      <c r="BH89" s="2">
        <v>0.35201042999999999</v>
      </c>
      <c r="BI89" s="2">
        <v>1</v>
      </c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spans="1:77" x14ac:dyDescent="0.25"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spans="1:77" x14ac:dyDescent="0.25"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spans="1:77" x14ac:dyDescent="0.25"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1:77" x14ac:dyDescent="0.25"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spans="1:77" x14ac:dyDescent="0.25"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spans="1:77" x14ac:dyDescent="0.25"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1:77" x14ac:dyDescent="0.25"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spans="2:77" x14ac:dyDescent="0.25"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spans="2:77" x14ac:dyDescent="0.25"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spans="2:77" x14ac:dyDescent="0.25"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spans="2:77" x14ac:dyDescent="0.25"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spans="2:77" x14ac:dyDescent="0.25"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spans="2:77" x14ac:dyDescent="0.25"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spans="2:77" x14ac:dyDescent="0.25"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spans="2:77" x14ac:dyDescent="0.25"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spans="2:77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spans="2:77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spans="2:77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2F21-4EB4-441F-8F7E-42971DFD2E06}">
  <dimension ref="A1:H1263"/>
  <sheetViews>
    <sheetView workbookViewId="0">
      <selection activeCell="B3" sqref="B3"/>
    </sheetView>
  </sheetViews>
  <sheetFormatPr defaultRowHeight="15" x14ac:dyDescent="0.25"/>
  <cols>
    <col min="1" max="1" width="10.5703125" customWidth="1"/>
    <col min="2" max="2" width="13.42578125" customWidth="1"/>
    <col min="8" max="8" width="7.7109375" bestFit="1" customWidth="1"/>
  </cols>
  <sheetData>
    <row r="1" spans="1:8" x14ac:dyDescent="0.25">
      <c r="A1" s="13" t="str" cm="1">
        <f t="array" ref="A1">_xll.FDS("","PSETCAL(""NAY"",,""NAME"")")</f>
        <v>calendar: United States</v>
      </c>
    </row>
    <row r="2" spans="1:8" x14ac:dyDescent="0.25">
      <c r="A2" t="s">
        <v>2</v>
      </c>
      <c r="B2" s="7">
        <v>45961</v>
      </c>
    </row>
    <row r="3" spans="1:8" x14ac:dyDescent="0.25">
      <c r="A3" t="s">
        <v>3</v>
      </c>
      <c r="B3" s="7" t="s">
        <v>68</v>
      </c>
    </row>
    <row r="6" spans="1:8" x14ac:dyDescent="0.25">
      <c r="B6" s="4" t="s">
        <v>4</v>
      </c>
      <c r="C6" s="4" t="s">
        <v>9</v>
      </c>
      <c r="D6" s="4" t="s">
        <v>31</v>
      </c>
    </row>
    <row r="7" spans="1:8" x14ac:dyDescent="0.25">
      <c r="B7" s="5" cm="1">
        <f t="array" ref="B7:B1263">_xll.FDS(C6,"JULIAN(FG_PRICE("&amp;$B$2&amp;","&amp;$B$2&amp;"-"&amp;$B$3&amp;",,USD).dates)")</f>
        <v>45961</v>
      </c>
      <c r="C7">
        <f t="array" ref="C7:C1263">_xll.FDS($C$6,"P_PRICE_RETURNS(0,"&amp;$B2&amp;","&amp;$B2&amp;"-"&amp;$B$3&amp;",D,USD)")</f>
        <v>1.8202305000000001</v>
      </c>
      <c r="D7">
        <f t="array" ref="D7:D1263">_xll.FDS($D$6,"P_PRICE_RETURNS(0,"&amp;$B2&amp;","&amp;$B2&amp;"-"&amp;$B$3&amp;",D,USD)")</f>
        <v>1.4812350000000001</v>
      </c>
      <c r="G7" s="9" t="s">
        <v>5</v>
      </c>
      <c r="H7" s="10">
        <f t="array" ref="H7">_xll.FDS($C$6,"CORREL(P_PRICE_RETURNS(0,"&amp;$B2&amp;","&amp;$B2&amp;"-"&amp;$B$3&amp;",D,USD),VALUE('"&amp;D6&amp;"',P_PRICE_RETURNS(0,"&amp;$B2&amp;","&amp;$B2&amp;"-"&amp;$B$3&amp;",D,USD)))")</f>
        <v>0.10514353462262099</v>
      </c>
    </row>
    <row r="8" spans="1:8" x14ac:dyDescent="0.25">
      <c r="B8" s="5">
        <v>45960</v>
      </c>
      <c r="C8">
        <v>-1.9320071000000001</v>
      </c>
      <c r="D8">
        <v>-1.7723382000000001</v>
      </c>
      <c r="G8" t="s">
        <v>6</v>
      </c>
      <c r="H8" s="11">
        <f>CORREL(_xlfn.ANCHORARRAY(C7),_xlfn.ANCHORARRAY(D7))</f>
        <v>0.10514353462262127</v>
      </c>
    </row>
    <row r="9" spans="1:8" x14ac:dyDescent="0.25">
      <c r="B9" s="5">
        <v>45959</v>
      </c>
      <c r="C9">
        <v>-1.0120809</v>
      </c>
      <c r="D9">
        <v>-1.3668655999999999</v>
      </c>
      <c r="G9" t="s">
        <v>7</v>
      </c>
      <c r="H9" s="11">
        <f>PEARSON(_xlfn.ANCHORARRAY(C7),_xlfn.ANCHORARRAY(D7))</f>
        <v>0.10514353462262127</v>
      </c>
    </row>
    <row r="10" spans="1:8" x14ac:dyDescent="0.25">
      <c r="B10" s="5">
        <v>45958</v>
      </c>
      <c r="C10">
        <v>2.6500224999999999E-2</v>
      </c>
      <c r="D10">
        <v>-0.25761127</v>
      </c>
    </row>
    <row r="11" spans="1:8" x14ac:dyDescent="0.25">
      <c r="B11" s="5">
        <v>45957</v>
      </c>
      <c r="C11">
        <v>-0.85569620000000002</v>
      </c>
      <c r="D11">
        <v>0.13417006000000001</v>
      </c>
    </row>
    <row r="12" spans="1:8" x14ac:dyDescent="0.25">
      <c r="B12" s="5">
        <v>45954</v>
      </c>
      <c r="C12">
        <v>1.7183542000000001</v>
      </c>
      <c r="D12">
        <v>0.80196860000000003</v>
      </c>
    </row>
    <row r="13" spans="1:8" x14ac:dyDescent="0.25">
      <c r="B13" s="5">
        <v>45953</v>
      </c>
      <c r="C13">
        <v>0.39188862000000002</v>
      </c>
      <c r="D13">
        <v>0.29813050000000002</v>
      </c>
    </row>
    <row r="14" spans="1:8" x14ac:dyDescent="0.25">
      <c r="B14" s="5">
        <v>45952</v>
      </c>
      <c r="C14">
        <v>-5.2032530000000001</v>
      </c>
      <c r="D14">
        <v>0.18209218999999999</v>
      </c>
    </row>
    <row r="15" spans="1:8" x14ac:dyDescent="0.25">
      <c r="B15" s="5">
        <v>45951</v>
      </c>
      <c r="C15">
        <v>0.50624610000000003</v>
      </c>
      <c r="D15">
        <v>-0.67558885000000002</v>
      </c>
    </row>
    <row r="16" spans="1:8" x14ac:dyDescent="0.25">
      <c r="B16" s="5">
        <v>45950</v>
      </c>
      <c r="C16">
        <v>-1.3189375000000001</v>
      </c>
      <c r="D16">
        <v>1.9166231</v>
      </c>
    </row>
    <row r="17" spans="2:4" x14ac:dyDescent="0.25">
      <c r="B17" s="5">
        <v>45947</v>
      </c>
      <c r="C17">
        <v>-1.6785085</v>
      </c>
      <c r="D17">
        <v>-0.12831687999999999</v>
      </c>
    </row>
    <row r="18" spans="2:4" x14ac:dyDescent="0.25">
      <c r="B18" s="5">
        <v>45946</v>
      </c>
      <c r="C18">
        <v>-0.79361795999999996</v>
      </c>
      <c r="D18">
        <v>-6.5976380000000001E-2</v>
      </c>
    </row>
    <row r="19" spans="2:4" x14ac:dyDescent="0.25">
      <c r="B19" s="5">
        <v>45945</v>
      </c>
      <c r="C19">
        <v>1.8190145</v>
      </c>
      <c r="D19">
        <v>-0.98713636000000005</v>
      </c>
    </row>
    <row r="20" spans="2:4" x14ac:dyDescent="0.25">
      <c r="B20" s="5">
        <v>45944</v>
      </c>
      <c r="C20">
        <v>-2.0232557999999998</v>
      </c>
      <c r="D20">
        <v>0.51168203000000001</v>
      </c>
    </row>
    <row r="21" spans="2:4" x14ac:dyDescent="0.25">
      <c r="B21" s="5">
        <v>45943</v>
      </c>
      <c r="C21">
        <v>0.72711705999999998</v>
      </c>
      <c r="D21">
        <v>3.6096573E-2</v>
      </c>
    </row>
    <row r="22" spans="2:4" x14ac:dyDescent="0.25">
      <c r="B22" s="5">
        <v>45940</v>
      </c>
      <c r="C22">
        <v>-2.1021903000000002</v>
      </c>
      <c r="D22">
        <v>-2.2437214999999999</v>
      </c>
    </row>
    <row r="23" spans="2:4" x14ac:dyDescent="0.25">
      <c r="B23" s="5">
        <v>45939</v>
      </c>
      <c r="C23">
        <v>4.0310264</v>
      </c>
      <c r="D23">
        <v>-1.1200190000000001</v>
      </c>
    </row>
    <row r="24" spans="2:4" x14ac:dyDescent="0.25">
      <c r="B24" s="5">
        <v>45938</v>
      </c>
      <c r="C24">
        <v>2.0020365999999998</v>
      </c>
      <c r="D24">
        <v>-1.6994834000000001</v>
      </c>
    </row>
    <row r="25" spans="2:4" x14ac:dyDescent="0.25">
      <c r="B25" s="5">
        <v>45937</v>
      </c>
      <c r="C25">
        <v>-1.1036395999999999</v>
      </c>
      <c r="D25">
        <v>-0.7166922</v>
      </c>
    </row>
    <row r="26" spans="2:4" x14ac:dyDescent="0.25">
      <c r="B26" s="5">
        <v>45936</v>
      </c>
      <c r="C26">
        <v>1.2773633</v>
      </c>
      <c r="D26">
        <v>0.47632456000000001</v>
      </c>
    </row>
    <row r="27" spans="2:4" x14ac:dyDescent="0.25">
      <c r="B27" s="5">
        <v>45933</v>
      </c>
      <c r="C27">
        <v>1.2650728</v>
      </c>
      <c r="D27">
        <v>0.88672640000000003</v>
      </c>
    </row>
    <row r="28" spans="2:4" x14ac:dyDescent="0.25">
      <c r="B28" s="5">
        <v>45932</v>
      </c>
      <c r="C28">
        <v>-0.92149376999999999</v>
      </c>
      <c r="D28">
        <v>-4.1393757000000004</v>
      </c>
    </row>
    <row r="29" spans="2:4" x14ac:dyDescent="0.25">
      <c r="B29" s="5">
        <v>45931</v>
      </c>
      <c r="C29">
        <v>3.4820557000000001</v>
      </c>
      <c r="D29">
        <v>-0.84327459999999999</v>
      </c>
    </row>
    <row r="30" spans="2:4" x14ac:dyDescent="0.25">
      <c r="B30" s="5">
        <v>45930</v>
      </c>
      <c r="C30">
        <v>-1.1042057999999999</v>
      </c>
      <c r="D30">
        <v>1.1559725000000001</v>
      </c>
    </row>
    <row r="31" spans="2:4" x14ac:dyDescent="0.25">
      <c r="B31" s="5">
        <v>45929</v>
      </c>
      <c r="C31">
        <v>1.3941526</v>
      </c>
      <c r="D31">
        <v>-0.75445770000000001</v>
      </c>
    </row>
    <row r="32" spans="2:4" x14ac:dyDescent="0.25">
      <c r="B32" s="5">
        <v>45926</v>
      </c>
      <c r="C32">
        <v>1.7757535</v>
      </c>
      <c r="D32">
        <v>0.69429874000000003</v>
      </c>
    </row>
    <row r="33" spans="2:4" x14ac:dyDescent="0.25">
      <c r="B33" s="5">
        <v>45925</v>
      </c>
      <c r="C33">
        <v>-2.6607454000000001</v>
      </c>
      <c r="D33">
        <v>-0.73363184999999997</v>
      </c>
    </row>
    <row r="34" spans="2:4" x14ac:dyDescent="0.25">
      <c r="B34" s="5">
        <v>45924</v>
      </c>
      <c r="C34">
        <v>5.1317333999999999</v>
      </c>
      <c r="D34">
        <v>-0.79580545000000003</v>
      </c>
    </row>
    <row r="35" spans="2:4" x14ac:dyDescent="0.25">
      <c r="B35" s="5">
        <v>45923</v>
      </c>
      <c r="C35">
        <v>0.84652899999999998</v>
      </c>
      <c r="D35">
        <v>6.7675109999999997E-2</v>
      </c>
    </row>
    <row r="36" spans="2:4" x14ac:dyDescent="0.25">
      <c r="B36" s="5">
        <v>45922</v>
      </c>
      <c r="C36">
        <v>2.2218227000000002</v>
      </c>
      <c r="D36">
        <v>-0.81180333999999998</v>
      </c>
    </row>
    <row r="37" spans="2:4" x14ac:dyDescent="0.25">
      <c r="B37" s="5">
        <v>45919</v>
      </c>
      <c r="C37">
        <v>-1.2111604</v>
      </c>
      <c r="D37">
        <v>-1.6031027</v>
      </c>
    </row>
    <row r="38" spans="2:4" x14ac:dyDescent="0.25">
      <c r="B38" s="5">
        <v>45918</v>
      </c>
      <c r="C38">
        <v>-3.0165492999999999</v>
      </c>
      <c r="D38">
        <v>-1.3047694999999999</v>
      </c>
    </row>
    <row r="39" spans="2:4" x14ac:dyDescent="0.25">
      <c r="B39" s="5">
        <v>45917</v>
      </c>
      <c r="C39">
        <v>8.1181529999999995E-3</v>
      </c>
      <c r="D39">
        <v>-0.48071742000000001</v>
      </c>
    </row>
    <row r="40" spans="2:4" x14ac:dyDescent="0.25">
      <c r="B40" s="5">
        <v>45916</v>
      </c>
      <c r="C40">
        <v>-4.1167736000000001</v>
      </c>
      <c r="D40">
        <v>1.8997431</v>
      </c>
    </row>
    <row r="41" spans="2:4" x14ac:dyDescent="0.25">
      <c r="B41" s="5">
        <v>45915</v>
      </c>
      <c r="C41">
        <v>-0.28595924</v>
      </c>
      <c r="D41">
        <v>0.16957521</v>
      </c>
    </row>
    <row r="42" spans="2:4" x14ac:dyDescent="0.25">
      <c r="B42" s="5">
        <v>45912</v>
      </c>
      <c r="C42">
        <v>0.43821335</v>
      </c>
      <c r="D42">
        <v>-2.3040473000000001</v>
      </c>
    </row>
    <row r="43" spans="2:4" x14ac:dyDescent="0.25">
      <c r="B43" s="5">
        <v>45911</v>
      </c>
      <c r="C43">
        <v>0.43091773999999999</v>
      </c>
      <c r="D43">
        <v>5.2547455E-2</v>
      </c>
    </row>
    <row r="44" spans="2:4" x14ac:dyDescent="0.25">
      <c r="B44" s="5">
        <v>45910</v>
      </c>
      <c r="C44">
        <v>-1.2122451999999999</v>
      </c>
      <c r="D44">
        <v>-0.49911139999999998</v>
      </c>
    </row>
    <row r="45" spans="2:4" x14ac:dyDescent="0.25">
      <c r="B45" s="5">
        <v>45909</v>
      </c>
      <c r="C45">
        <v>-1.1412679999999999</v>
      </c>
      <c r="D45">
        <v>3.1282662999999999</v>
      </c>
    </row>
    <row r="46" spans="2:4" x14ac:dyDescent="0.25">
      <c r="B46" s="5">
        <v>45908</v>
      </c>
      <c r="C46">
        <v>-1.739949</v>
      </c>
      <c r="D46">
        <v>1.5260457999999999</v>
      </c>
    </row>
    <row r="47" spans="2:4" x14ac:dyDescent="0.25">
      <c r="B47" s="5">
        <v>45905</v>
      </c>
      <c r="C47">
        <v>-3.656298</v>
      </c>
      <c r="D47">
        <v>1.7557383</v>
      </c>
    </row>
    <row r="48" spans="2:4" x14ac:dyDescent="0.25">
      <c r="B48" s="5">
        <v>45904</v>
      </c>
      <c r="C48">
        <v>0.10441541999999999</v>
      </c>
      <c r="D48">
        <v>-2.0760298E-2</v>
      </c>
    </row>
    <row r="49" spans="2:4" x14ac:dyDescent="0.25">
      <c r="B49" s="5">
        <v>45903</v>
      </c>
      <c r="C49">
        <v>1.808846</v>
      </c>
      <c r="D49">
        <v>-1.5769362</v>
      </c>
    </row>
    <row r="50" spans="2:4" x14ac:dyDescent="0.25">
      <c r="B50" s="5">
        <v>45902</v>
      </c>
      <c r="C50">
        <v>-6.6762924000000003</v>
      </c>
      <c r="D50">
        <v>1.8613337999999999</v>
      </c>
    </row>
    <row r="51" spans="2:4" x14ac:dyDescent="0.25">
      <c r="B51" s="5">
        <v>45898</v>
      </c>
      <c r="C51">
        <v>0.84817410000000004</v>
      </c>
      <c r="D51">
        <v>0.70673229999999998</v>
      </c>
    </row>
    <row r="52" spans="2:4" x14ac:dyDescent="0.25">
      <c r="B52" s="5">
        <v>45897</v>
      </c>
      <c r="C52">
        <v>0.55260659999999995</v>
      </c>
      <c r="D52">
        <v>4.9853324999999997E-2</v>
      </c>
    </row>
    <row r="53" spans="2:4" x14ac:dyDescent="0.25">
      <c r="B53" s="5">
        <v>45896</v>
      </c>
      <c r="C53">
        <v>-1.6266465000000001</v>
      </c>
      <c r="D53">
        <v>-3.359914E-2</v>
      </c>
    </row>
    <row r="54" spans="2:4" x14ac:dyDescent="0.25">
      <c r="B54" s="5">
        <v>45895</v>
      </c>
      <c r="C54">
        <v>-3.1865834999999998</v>
      </c>
      <c r="D54">
        <v>-0.34198165000000003</v>
      </c>
    </row>
    <row r="55" spans="2:4" x14ac:dyDescent="0.25">
      <c r="B55" s="5">
        <v>45894</v>
      </c>
      <c r="C55">
        <v>-1.1515318999999999</v>
      </c>
      <c r="D55">
        <v>-1.4755606999999999</v>
      </c>
    </row>
    <row r="56" spans="2:4" x14ac:dyDescent="0.25">
      <c r="B56" s="5">
        <v>45891</v>
      </c>
      <c r="C56">
        <v>3.5834312000000001</v>
      </c>
      <c r="D56">
        <v>1.8274188</v>
      </c>
    </row>
    <row r="57" spans="2:4" x14ac:dyDescent="0.25">
      <c r="B57" s="5">
        <v>45890</v>
      </c>
      <c r="C57">
        <v>-1.8691659</v>
      </c>
      <c r="D57">
        <v>-0.11746883399999999</v>
      </c>
    </row>
    <row r="58" spans="2:4" x14ac:dyDescent="0.25">
      <c r="B58" s="5">
        <v>45889</v>
      </c>
      <c r="C58">
        <v>-0.37709474999999998</v>
      </c>
      <c r="D58">
        <v>-0.70991515999999999</v>
      </c>
    </row>
    <row r="59" spans="2:4" x14ac:dyDescent="0.25">
      <c r="B59" s="5">
        <v>45888</v>
      </c>
      <c r="C59">
        <v>3.6943554999999999</v>
      </c>
      <c r="D59">
        <v>3.7636400000000001</v>
      </c>
    </row>
    <row r="60" spans="2:4" x14ac:dyDescent="0.25">
      <c r="B60" s="5">
        <v>45887</v>
      </c>
      <c r="C60">
        <v>-0.93888640000000001</v>
      </c>
      <c r="D60">
        <v>0.22422075</v>
      </c>
    </row>
    <row r="61" spans="2:4" x14ac:dyDescent="0.25">
      <c r="B61" s="5">
        <v>45884</v>
      </c>
      <c r="C61">
        <v>-0.14839172</v>
      </c>
      <c r="D61">
        <v>-0.27261972000000001</v>
      </c>
    </row>
    <row r="62" spans="2:4" x14ac:dyDescent="0.25">
      <c r="B62" s="5">
        <v>45883</v>
      </c>
      <c r="C62">
        <v>-0.62507389999999996</v>
      </c>
      <c r="D62">
        <v>-0.51832794999999998</v>
      </c>
    </row>
    <row r="63" spans="2:4" x14ac:dyDescent="0.25">
      <c r="B63" s="5">
        <v>45882</v>
      </c>
      <c r="C63">
        <v>0.123012066</v>
      </c>
      <c r="D63">
        <v>-0.18756986</v>
      </c>
    </row>
    <row r="64" spans="2:4" x14ac:dyDescent="0.25">
      <c r="B64" s="5">
        <v>45881</v>
      </c>
      <c r="C64">
        <v>-0.71327090000000004</v>
      </c>
      <c r="D64">
        <v>2.6527286000000001</v>
      </c>
    </row>
    <row r="65" spans="2:4" x14ac:dyDescent="0.25">
      <c r="B65" s="5">
        <v>45880</v>
      </c>
      <c r="C65">
        <v>-1.8096983</v>
      </c>
      <c r="D65">
        <v>-0.15534163000000001</v>
      </c>
    </row>
    <row r="66" spans="2:4" x14ac:dyDescent="0.25">
      <c r="B66" s="5">
        <v>45877</v>
      </c>
      <c r="C66">
        <v>1.7258286</v>
      </c>
      <c r="D66">
        <v>0.93574524000000003</v>
      </c>
    </row>
    <row r="67" spans="2:4" x14ac:dyDescent="0.25">
      <c r="B67" s="5">
        <v>45876</v>
      </c>
      <c r="C67">
        <v>5.6899430000000004</v>
      </c>
      <c r="D67">
        <v>1.6974568000000001</v>
      </c>
    </row>
    <row r="68" spans="2:4" x14ac:dyDescent="0.25">
      <c r="B68" s="5">
        <v>45875</v>
      </c>
      <c r="C68">
        <v>3.094411</v>
      </c>
      <c r="D68">
        <v>-0.24356246000000001</v>
      </c>
    </row>
    <row r="69" spans="2:4" x14ac:dyDescent="0.25">
      <c r="B69" s="5">
        <v>45874</v>
      </c>
      <c r="C69">
        <v>-2.5939882000000001</v>
      </c>
      <c r="D69">
        <v>3.1515002000000001</v>
      </c>
    </row>
    <row r="70" spans="2:4" x14ac:dyDescent="0.25">
      <c r="B70" s="5">
        <v>45873</v>
      </c>
      <c r="C70">
        <v>-3.3237576</v>
      </c>
      <c r="D70">
        <v>0.7539034</v>
      </c>
    </row>
    <row r="71" spans="2:4" x14ac:dyDescent="0.25">
      <c r="B71" s="5">
        <v>45870</v>
      </c>
      <c r="C71">
        <v>0.68191290000000004</v>
      </c>
      <c r="D71">
        <v>7.5800896</v>
      </c>
    </row>
    <row r="72" spans="2:4" x14ac:dyDescent="0.25">
      <c r="B72" s="5">
        <v>45869</v>
      </c>
      <c r="C72">
        <v>-0.84120035000000004</v>
      </c>
      <c r="D72">
        <v>-0.97639560000000003</v>
      </c>
    </row>
    <row r="73" spans="2:4" x14ac:dyDescent="0.25">
      <c r="B73" s="5">
        <v>45868</v>
      </c>
      <c r="C73">
        <v>-0.80201626000000004</v>
      </c>
      <c r="D73">
        <v>0.31455755000000002</v>
      </c>
    </row>
    <row r="74" spans="2:4" x14ac:dyDescent="0.25">
      <c r="B74" s="5">
        <v>45867</v>
      </c>
      <c r="C74">
        <v>-2.7853726999999999</v>
      </c>
      <c r="D74">
        <v>0.65919159999999999</v>
      </c>
    </row>
    <row r="75" spans="2:4" x14ac:dyDescent="0.25">
      <c r="B75" s="5">
        <v>45866</v>
      </c>
      <c r="C75">
        <v>-1.0212958000000001</v>
      </c>
      <c r="D75">
        <v>-2.4104535999999999</v>
      </c>
    </row>
    <row r="76" spans="2:4" x14ac:dyDescent="0.25">
      <c r="B76" s="5">
        <v>45863</v>
      </c>
      <c r="C76">
        <v>2.6332616999999998</v>
      </c>
      <c r="D76">
        <v>-1.4399529</v>
      </c>
    </row>
    <row r="77" spans="2:4" x14ac:dyDescent="0.25">
      <c r="B77" s="5">
        <v>45862</v>
      </c>
      <c r="C77">
        <v>1.6644715999999999</v>
      </c>
      <c r="D77">
        <v>0.73361396999999995</v>
      </c>
    </row>
    <row r="78" spans="2:4" x14ac:dyDescent="0.25">
      <c r="B78" s="5">
        <v>45861</v>
      </c>
      <c r="C78">
        <v>1.6375421999999999</v>
      </c>
      <c r="D78">
        <v>1.0497928000000001</v>
      </c>
    </row>
    <row r="79" spans="2:4" x14ac:dyDescent="0.25">
      <c r="B79" s="5">
        <v>45860</v>
      </c>
      <c r="C79">
        <v>-1.5266835999999999</v>
      </c>
      <c r="D79">
        <v>1.7580509</v>
      </c>
    </row>
    <row r="80" spans="2:4" x14ac:dyDescent="0.25">
      <c r="B80" s="5">
        <v>45859</v>
      </c>
      <c r="C80">
        <v>-1.1549651999999999</v>
      </c>
      <c r="D80">
        <v>0.73262453000000005</v>
      </c>
    </row>
    <row r="81" spans="2:4" x14ac:dyDescent="0.25">
      <c r="B81" s="5">
        <v>45856</v>
      </c>
      <c r="C81">
        <v>2.1070123000000001</v>
      </c>
      <c r="D81">
        <v>2.7627826</v>
      </c>
    </row>
    <row r="82" spans="2:4" x14ac:dyDescent="0.25">
      <c r="B82" s="5">
        <v>45855</v>
      </c>
      <c r="C82">
        <v>0.76727869999999998</v>
      </c>
      <c r="D82">
        <v>1.5826344000000001</v>
      </c>
    </row>
    <row r="83" spans="2:4" x14ac:dyDescent="0.25">
      <c r="B83" s="5">
        <v>45854</v>
      </c>
      <c r="C83">
        <v>-0.68259835000000002</v>
      </c>
      <c r="D83">
        <v>1.6598105000000001</v>
      </c>
    </row>
    <row r="84" spans="2:4" x14ac:dyDescent="0.25">
      <c r="B84" s="5">
        <v>45853</v>
      </c>
      <c r="C84">
        <v>0.63385963000000001</v>
      </c>
      <c r="D84">
        <v>-1.36733055E-2</v>
      </c>
    </row>
    <row r="85" spans="2:4" x14ac:dyDescent="0.25">
      <c r="B85" s="5">
        <v>45852</v>
      </c>
      <c r="C85">
        <v>-0.37976503</v>
      </c>
      <c r="D85">
        <v>-0.37736892999999999</v>
      </c>
    </row>
    <row r="86" spans="2:4" x14ac:dyDescent="0.25">
      <c r="B86" s="5">
        <v>45849</v>
      </c>
      <c r="C86">
        <v>-2.8660060000000001</v>
      </c>
      <c r="D86">
        <v>-1.3950229000000001</v>
      </c>
    </row>
    <row r="87" spans="2:4" x14ac:dyDescent="0.25">
      <c r="B87" s="5">
        <v>45848</v>
      </c>
      <c r="C87">
        <v>1.7081141</v>
      </c>
      <c r="D87">
        <v>0.59670210000000001</v>
      </c>
    </row>
    <row r="88" spans="2:4" x14ac:dyDescent="0.25">
      <c r="B88" s="5">
        <v>45847</v>
      </c>
      <c r="C88">
        <v>1.2643694999999999</v>
      </c>
      <c r="D88">
        <v>1.5718102</v>
      </c>
    </row>
    <row r="89" spans="2:4" x14ac:dyDescent="0.25">
      <c r="B89" s="5">
        <v>45846</v>
      </c>
      <c r="C89">
        <v>1.7271757000000001</v>
      </c>
      <c r="D89">
        <v>-1.8043041</v>
      </c>
    </row>
    <row r="90" spans="2:4" x14ac:dyDescent="0.25">
      <c r="B90" s="5">
        <v>45845</v>
      </c>
      <c r="C90">
        <v>-1.2218893</v>
      </c>
      <c r="D90">
        <v>-1.1497021000000001</v>
      </c>
    </row>
    <row r="91" spans="2:4" x14ac:dyDescent="0.25">
      <c r="B91" s="5">
        <v>45841</v>
      </c>
      <c r="C91">
        <v>0.4683137</v>
      </c>
      <c r="D91">
        <v>-6.7846894000000004</v>
      </c>
    </row>
    <row r="92" spans="2:4" x14ac:dyDescent="0.25">
      <c r="B92" s="5">
        <v>45840</v>
      </c>
      <c r="C92">
        <v>4.2440414000000004</v>
      </c>
      <c r="D92">
        <v>-2.9087782</v>
      </c>
    </row>
    <row r="93" spans="2:4" x14ac:dyDescent="0.25">
      <c r="B93" s="5">
        <v>45839</v>
      </c>
      <c r="C93">
        <v>1.5427351</v>
      </c>
      <c r="D93">
        <v>0.54872036000000002</v>
      </c>
    </row>
    <row r="94" spans="2:4" x14ac:dyDescent="0.25">
      <c r="B94" s="5">
        <v>45838</v>
      </c>
      <c r="C94">
        <v>0.10634660999999999</v>
      </c>
      <c r="D94">
        <v>2.0119189999999998</v>
      </c>
    </row>
    <row r="95" spans="2:4" x14ac:dyDescent="0.25">
      <c r="B95" s="5">
        <v>45835</v>
      </c>
      <c r="C95">
        <v>1.5831709</v>
      </c>
      <c r="D95">
        <v>-0.96343756000000003</v>
      </c>
    </row>
    <row r="96" spans="2:4" x14ac:dyDescent="0.25">
      <c r="B96" s="5">
        <v>45834</v>
      </c>
      <c r="C96">
        <v>3.7000774999999999</v>
      </c>
      <c r="D96">
        <v>2.2975086999999998</v>
      </c>
    </row>
    <row r="97" spans="2:4" x14ac:dyDescent="0.25">
      <c r="B97" s="5">
        <v>45833</v>
      </c>
      <c r="C97">
        <v>-1.8214642999999999</v>
      </c>
      <c r="D97">
        <v>-1.1334777</v>
      </c>
    </row>
    <row r="98" spans="2:4" x14ac:dyDescent="0.25">
      <c r="B98" s="5">
        <v>45832</v>
      </c>
      <c r="C98">
        <v>4.5966149999999999</v>
      </c>
      <c r="D98">
        <v>1.6259193000000001</v>
      </c>
    </row>
    <row r="99" spans="2:4" x14ac:dyDescent="0.25">
      <c r="B99" s="5">
        <v>45831</v>
      </c>
      <c r="C99">
        <v>-1.4683545</v>
      </c>
      <c r="D99">
        <v>-5.9765577E-2</v>
      </c>
    </row>
    <row r="100" spans="2:4" x14ac:dyDescent="0.25">
      <c r="B100" s="5">
        <v>45828</v>
      </c>
      <c r="C100">
        <v>-4.6786250000000003</v>
      </c>
      <c r="D100">
        <v>-1.7330348</v>
      </c>
    </row>
    <row r="101" spans="2:4" x14ac:dyDescent="0.25">
      <c r="B101" s="5">
        <v>45826</v>
      </c>
      <c r="C101">
        <v>-0.26899575999999997</v>
      </c>
      <c r="D101">
        <v>3.0294417999999999</v>
      </c>
    </row>
    <row r="102" spans="2:4" x14ac:dyDescent="0.25">
      <c r="B102" s="5">
        <v>45825</v>
      </c>
      <c r="C102">
        <v>-0.68413615000000005</v>
      </c>
      <c r="D102">
        <v>-2.9973567000000001</v>
      </c>
    </row>
    <row r="103" spans="2:4" x14ac:dyDescent="0.25">
      <c r="B103" s="5">
        <v>45824</v>
      </c>
      <c r="C103">
        <v>2.2997380000000001</v>
      </c>
      <c r="D103">
        <v>2.2840858000000002</v>
      </c>
    </row>
    <row r="104" spans="2:4" x14ac:dyDescent="0.25">
      <c r="B104" s="5">
        <v>45821</v>
      </c>
      <c r="C104">
        <v>-2.040851</v>
      </c>
      <c r="D104">
        <v>-0.27056335999999997</v>
      </c>
    </row>
    <row r="105" spans="2:4" x14ac:dyDescent="0.25">
      <c r="B105" s="5">
        <v>45820</v>
      </c>
      <c r="C105">
        <v>0.55880547000000003</v>
      </c>
      <c r="D105">
        <v>0.82832574999999997</v>
      </c>
    </row>
    <row r="106" spans="2:4" x14ac:dyDescent="0.25">
      <c r="B106" s="5">
        <v>45819</v>
      </c>
      <c r="C106">
        <v>1.8869638</v>
      </c>
      <c r="D106">
        <v>3.4570693999999998E-3</v>
      </c>
    </row>
    <row r="107" spans="2:4" x14ac:dyDescent="0.25">
      <c r="B107" s="5">
        <v>45818</v>
      </c>
      <c r="C107">
        <v>6.2016010000000001</v>
      </c>
      <c r="D107">
        <v>-0.70012209999999997</v>
      </c>
    </row>
    <row r="108" spans="2:4" x14ac:dyDescent="0.25">
      <c r="B108" s="5">
        <v>45817</v>
      </c>
      <c r="C108">
        <v>0.19471645000000001</v>
      </c>
      <c r="D108">
        <v>0.25243759999999998</v>
      </c>
    </row>
    <row r="109" spans="2:4" x14ac:dyDescent="0.25">
      <c r="B109" s="5">
        <v>45814</v>
      </c>
      <c r="C109">
        <v>-1.4799595000000001</v>
      </c>
      <c r="D109">
        <v>-0.97314714999999996</v>
      </c>
    </row>
    <row r="110" spans="2:4" x14ac:dyDescent="0.25">
      <c r="B110" s="5">
        <v>45813</v>
      </c>
      <c r="C110">
        <v>-0.91507435000000004</v>
      </c>
      <c r="D110">
        <v>-1.0030568</v>
      </c>
    </row>
    <row r="111" spans="2:4" x14ac:dyDescent="0.25">
      <c r="B111" s="5">
        <v>45812</v>
      </c>
      <c r="C111">
        <v>0.16705990000000001</v>
      </c>
      <c r="D111">
        <v>0.16546250000000001</v>
      </c>
    </row>
    <row r="112" spans="2:4" x14ac:dyDescent="0.25">
      <c r="B112" s="5">
        <v>45811</v>
      </c>
      <c r="C112">
        <v>-0.62628983999999999</v>
      </c>
      <c r="D112">
        <v>-1.5132247999999999</v>
      </c>
    </row>
    <row r="113" spans="2:4" x14ac:dyDescent="0.25">
      <c r="B113" s="5">
        <v>45810</v>
      </c>
      <c r="C113">
        <v>-1.0620654</v>
      </c>
      <c r="D113">
        <v>1.0641098</v>
      </c>
    </row>
    <row r="114" spans="2:4" x14ac:dyDescent="0.25">
      <c r="B114" s="5">
        <v>45807</v>
      </c>
      <c r="C114">
        <v>1.7935991</v>
      </c>
      <c r="D114">
        <v>-0.61782000000000004</v>
      </c>
    </row>
    <row r="115" spans="2:4" x14ac:dyDescent="0.25">
      <c r="B115" s="5">
        <v>45806</v>
      </c>
      <c r="C115">
        <v>0.18795729</v>
      </c>
      <c r="D115">
        <v>0.49780606999999999</v>
      </c>
    </row>
    <row r="116" spans="2:4" x14ac:dyDescent="0.25">
      <c r="B116" s="5">
        <v>45805</v>
      </c>
      <c r="C116">
        <v>-2.3387669999999998</v>
      </c>
      <c r="D116">
        <v>-0.42893887000000003</v>
      </c>
    </row>
    <row r="117" spans="2:4" x14ac:dyDescent="0.25">
      <c r="B117" s="5">
        <v>45804</v>
      </c>
      <c r="C117">
        <v>2.5044322000000001</v>
      </c>
      <c r="D117">
        <v>0.36110878000000002</v>
      </c>
    </row>
    <row r="118" spans="2:4" x14ac:dyDescent="0.25">
      <c r="B118" s="5">
        <v>45800</v>
      </c>
      <c r="C118">
        <v>-2.1053076000000002</v>
      </c>
      <c r="D118">
        <v>4.2061089999999997</v>
      </c>
    </row>
    <row r="119" spans="2:4" x14ac:dyDescent="0.25">
      <c r="B119" s="5">
        <v>45799</v>
      </c>
      <c r="C119">
        <v>-2.2271453999999999</v>
      </c>
      <c r="D119">
        <v>-1.5025436999999999</v>
      </c>
    </row>
    <row r="120" spans="2:4" x14ac:dyDescent="0.25">
      <c r="B120" s="5">
        <v>45798</v>
      </c>
      <c r="C120">
        <v>-1.0249972000000001</v>
      </c>
      <c r="D120">
        <v>1.6119599</v>
      </c>
    </row>
    <row r="121" spans="2:4" x14ac:dyDescent="0.25">
      <c r="B121" s="5">
        <v>45797</v>
      </c>
      <c r="C121">
        <v>2.5246263</v>
      </c>
      <c r="D121">
        <v>-1.0647476</v>
      </c>
    </row>
    <row r="122" spans="2:4" x14ac:dyDescent="0.25">
      <c r="B122" s="5">
        <v>45796</v>
      </c>
      <c r="C122">
        <v>0.73723793000000004</v>
      </c>
      <c r="D122">
        <v>1.0231018000000001</v>
      </c>
    </row>
    <row r="123" spans="2:4" x14ac:dyDescent="0.25">
      <c r="B123" s="5">
        <v>45793</v>
      </c>
      <c r="C123">
        <v>-1.3644278000000001</v>
      </c>
      <c r="D123">
        <v>3.2929778000000001</v>
      </c>
    </row>
    <row r="124" spans="2:4" x14ac:dyDescent="0.25">
      <c r="B124" s="5">
        <v>45792</v>
      </c>
      <c r="C124">
        <v>-0.62660574999999996</v>
      </c>
      <c r="D124">
        <v>-1.5240788000000001</v>
      </c>
    </row>
    <row r="125" spans="2:4" x14ac:dyDescent="0.25">
      <c r="B125" s="5">
        <v>45791</v>
      </c>
      <c r="C125">
        <v>-1.7038167</v>
      </c>
      <c r="D125">
        <v>-2.1904944999999998</v>
      </c>
    </row>
    <row r="126" spans="2:4" x14ac:dyDescent="0.25">
      <c r="B126" s="5">
        <v>45790</v>
      </c>
      <c r="C126">
        <v>0.23765564</v>
      </c>
      <c r="D126">
        <v>-1.9888937</v>
      </c>
    </row>
    <row r="127" spans="2:4" x14ac:dyDescent="0.25">
      <c r="B127" s="5">
        <v>45789</v>
      </c>
      <c r="C127">
        <v>3.5124898</v>
      </c>
      <c r="D127">
        <v>0.19302368</v>
      </c>
    </row>
    <row r="128" spans="2:4" x14ac:dyDescent="0.25">
      <c r="B128" s="5">
        <v>45786</v>
      </c>
      <c r="C128">
        <v>0.21408795999999999</v>
      </c>
      <c r="D128">
        <v>-1.8080354000000001</v>
      </c>
    </row>
    <row r="129" spans="2:4" x14ac:dyDescent="0.25">
      <c r="B129" s="5">
        <v>45785</v>
      </c>
      <c r="C129">
        <v>10.768174999999999</v>
      </c>
      <c r="D129">
        <v>-0.69160460000000001</v>
      </c>
    </row>
    <row r="130" spans="2:4" x14ac:dyDescent="0.25">
      <c r="B130" s="5">
        <v>45784</v>
      </c>
      <c r="C130">
        <v>-1.6437470999999999</v>
      </c>
      <c r="D130">
        <v>0.85681677000000001</v>
      </c>
    </row>
    <row r="131" spans="2:4" x14ac:dyDescent="0.25">
      <c r="B131" s="5">
        <v>45783</v>
      </c>
      <c r="C131">
        <v>0.11152028999999999</v>
      </c>
      <c r="D131">
        <v>0.65108540000000004</v>
      </c>
    </row>
    <row r="132" spans="2:4" x14ac:dyDescent="0.25">
      <c r="B132" s="5">
        <v>45782</v>
      </c>
      <c r="C132">
        <v>-2.4099946000000001</v>
      </c>
      <c r="D132">
        <v>0.15997887</v>
      </c>
    </row>
    <row r="133" spans="2:4" x14ac:dyDescent="0.25">
      <c r="B133" s="5">
        <v>45779</v>
      </c>
      <c r="C133">
        <v>2.1313906</v>
      </c>
      <c r="D133">
        <v>-0.33853650000000002</v>
      </c>
    </row>
    <row r="134" spans="2:4" x14ac:dyDescent="0.25">
      <c r="B134" s="5">
        <v>45778</v>
      </c>
      <c r="C134">
        <v>-1.2735008999999999</v>
      </c>
      <c r="D134">
        <v>-2.2348880000000002</v>
      </c>
    </row>
    <row r="135" spans="2:4" x14ac:dyDescent="0.25">
      <c r="B135" s="5">
        <v>45777</v>
      </c>
      <c r="C135">
        <v>-0.34104585999999998</v>
      </c>
      <c r="D135">
        <v>-0.21952986999999999</v>
      </c>
    </row>
    <row r="136" spans="2:4" x14ac:dyDescent="0.25">
      <c r="B136" s="5">
        <v>45776</v>
      </c>
      <c r="C136">
        <v>-1.2347638999999999</v>
      </c>
      <c r="D136">
        <v>0.34066439999999998</v>
      </c>
    </row>
    <row r="137" spans="2:4" x14ac:dyDescent="0.25">
      <c r="B137" s="5">
        <v>45775</v>
      </c>
      <c r="C137">
        <v>1.355505</v>
      </c>
      <c r="D137">
        <v>0.72296859999999996</v>
      </c>
    </row>
    <row r="138" spans="2:4" x14ac:dyDescent="0.25">
      <c r="B138" s="5">
        <v>45772</v>
      </c>
      <c r="C138">
        <v>-0.62452554999999998</v>
      </c>
      <c r="D138">
        <v>5.2440166000000003E-2</v>
      </c>
    </row>
    <row r="139" spans="2:4" x14ac:dyDescent="0.25">
      <c r="B139" s="5">
        <v>45771</v>
      </c>
      <c r="C139">
        <v>-1.2060820999999999</v>
      </c>
      <c r="D139">
        <v>-4.1006384000000002</v>
      </c>
    </row>
    <row r="140" spans="2:4" x14ac:dyDescent="0.25">
      <c r="B140" s="5">
        <v>45770</v>
      </c>
      <c r="C140">
        <v>-1.0742008999999999</v>
      </c>
      <c r="D140">
        <v>-2.4164617000000002</v>
      </c>
    </row>
    <row r="141" spans="2:4" x14ac:dyDescent="0.25">
      <c r="B141" s="5">
        <v>45769</v>
      </c>
      <c r="C141">
        <v>0.60422419999999999</v>
      </c>
      <c r="D141">
        <v>1.4749885</v>
      </c>
    </row>
    <row r="142" spans="2:4" x14ac:dyDescent="0.25">
      <c r="B142" s="5">
        <v>45768</v>
      </c>
      <c r="C142">
        <v>1.5103698000000001</v>
      </c>
      <c r="D142">
        <v>8.9490180000000006</v>
      </c>
    </row>
    <row r="143" spans="2:4" x14ac:dyDescent="0.25">
      <c r="B143" s="5">
        <v>45764</v>
      </c>
      <c r="C143">
        <v>-2.2681534000000001</v>
      </c>
      <c r="D143">
        <v>1.8160105</v>
      </c>
    </row>
    <row r="144" spans="2:4" x14ac:dyDescent="0.25">
      <c r="B144" s="5">
        <v>45763</v>
      </c>
      <c r="C144">
        <v>-0.92061760000000004</v>
      </c>
      <c r="D144">
        <v>0.84077120000000005</v>
      </c>
    </row>
    <row r="145" spans="2:4" x14ac:dyDescent="0.25">
      <c r="B145" s="5">
        <v>45762</v>
      </c>
      <c r="C145">
        <v>1.0723472000000001</v>
      </c>
      <c r="D145">
        <v>-1.2182592999999999</v>
      </c>
    </row>
    <row r="146" spans="2:4" x14ac:dyDescent="0.25">
      <c r="B146" s="5">
        <v>45761</v>
      </c>
      <c r="C146">
        <v>2.8991342000000002</v>
      </c>
      <c r="D146">
        <v>0.11342764</v>
      </c>
    </row>
    <row r="147" spans="2:4" x14ac:dyDescent="0.25">
      <c r="B147" s="5">
        <v>45758</v>
      </c>
      <c r="C147">
        <v>0.55953264000000003</v>
      </c>
      <c r="D147">
        <v>0.82086325000000004</v>
      </c>
    </row>
    <row r="148" spans="2:4" x14ac:dyDescent="0.25">
      <c r="B148" s="5">
        <v>45757</v>
      </c>
      <c r="C148">
        <v>5.9335589999999998</v>
      </c>
      <c r="D148">
        <v>4.5773745000000003</v>
      </c>
    </row>
    <row r="149" spans="2:4" x14ac:dyDescent="0.25">
      <c r="B149" s="5">
        <v>45756</v>
      </c>
      <c r="C149">
        <v>-3.6640166999999999</v>
      </c>
      <c r="D149">
        <v>1.7007947000000001</v>
      </c>
    </row>
    <row r="150" spans="2:4" x14ac:dyDescent="0.25">
      <c r="B150" s="5">
        <v>45755</v>
      </c>
      <c r="C150">
        <v>2.600336</v>
      </c>
      <c r="D150">
        <v>4.4513702000000004</v>
      </c>
    </row>
    <row r="151" spans="2:4" x14ac:dyDescent="0.25">
      <c r="B151" s="5">
        <v>45754</v>
      </c>
      <c r="C151">
        <v>-8.5412800000000004</v>
      </c>
      <c r="D151">
        <v>-7.9462289999999998</v>
      </c>
    </row>
    <row r="152" spans="2:4" x14ac:dyDescent="0.25">
      <c r="B152" s="5">
        <v>45751</v>
      </c>
      <c r="C152">
        <v>-5.7921705000000001</v>
      </c>
      <c r="D152">
        <v>-1.8498302</v>
      </c>
    </row>
    <row r="153" spans="2:4" x14ac:dyDescent="0.25">
      <c r="B153" s="5">
        <v>45750</v>
      </c>
      <c r="C153">
        <v>-3.850311</v>
      </c>
      <c r="D153">
        <v>4.5839189999999999</v>
      </c>
    </row>
    <row r="154" spans="2:4" x14ac:dyDescent="0.25">
      <c r="B154" s="5">
        <v>45749</v>
      </c>
      <c r="C154">
        <v>-2.0392478000000001</v>
      </c>
      <c r="D154">
        <v>-1.0445118</v>
      </c>
    </row>
    <row r="155" spans="2:4" x14ac:dyDescent="0.25">
      <c r="B155" s="5">
        <v>45748</v>
      </c>
      <c r="C155">
        <v>2.5143266</v>
      </c>
      <c r="D155">
        <v>2.021277</v>
      </c>
    </row>
    <row r="156" spans="2:4" x14ac:dyDescent="0.25">
      <c r="B156" s="5">
        <v>45747</v>
      </c>
      <c r="C156">
        <v>-3.6391079999999998</v>
      </c>
      <c r="D156">
        <v>-1.8544674000000001</v>
      </c>
    </row>
    <row r="157" spans="2:4" x14ac:dyDescent="0.25">
      <c r="B157" s="5">
        <v>45744</v>
      </c>
      <c r="C157">
        <v>-0.33591389999999999</v>
      </c>
      <c r="D157">
        <v>-0.51050779999999996</v>
      </c>
    </row>
    <row r="158" spans="2:4" x14ac:dyDescent="0.25">
      <c r="B158" s="5">
        <v>45743</v>
      </c>
      <c r="C158">
        <v>0.75255629999999996</v>
      </c>
      <c r="D158">
        <v>0.63855649999999997</v>
      </c>
    </row>
    <row r="159" spans="2:4" x14ac:dyDescent="0.25">
      <c r="B159" s="5">
        <v>45742</v>
      </c>
      <c r="C159">
        <v>1.4208673999999999</v>
      </c>
      <c r="D159">
        <v>0.92761517000000004</v>
      </c>
    </row>
    <row r="160" spans="2:4" x14ac:dyDescent="0.25">
      <c r="B160" s="5">
        <v>45741</v>
      </c>
      <c r="C160">
        <v>-3.7193299999999999E-2</v>
      </c>
      <c r="D160">
        <v>0.94557999999999998</v>
      </c>
    </row>
    <row r="161" spans="2:4" x14ac:dyDescent="0.25">
      <c r="B161" s="5">
        <v>45740</v>
      </c>
      <c r="C161">
        <v>0.49551725000000002</v>
      </c>
      <c r="D161">
        <v>-1.8028915000000001</v>
      </c>
    </row>
    <row r="162" spans="2:4" x14ac:dyDescent="0.25">
      <c r="B162" s="5">
        <v>45737</v>
      </c>
      <c r="C162">
        <v>-5.5273056</v>
      </c>
      <c r="D162">
        <v>0.23998021999999999</v>
      </c>
    </row>
    <row r="163" spans="2:4" x14ac:dyDescent="0.25">
      <c r="B163" s="5">
        <v>45736</v>
      </c>
      <c r="C163">
        <v>-4.2259574000000004</v>
      </c>
      <c r="D163">
        <v>0.78594684999999997</v>
      </c>
    </row>
    <row r="164" spans="2:4" x14ac:dyDescent="0.25">
      <c r="B164" s="5">
        <v>45735</v>
      </c>
      <c r="C164">
        <v>-0.91788769999999997</v>
      </c>
      <c r="D164">
        <v>0.61182976</v>
      </c>
    </row>
    <row r="165" spans="2:4" x14ac:dyDescent="0.25">
      <c r="B165" s="5">
        <v>45734</v>
      </c>
      <c r="C165">
        <v>3.7461519999999999</v>
      </c>
      <c r="D165">
        <v>0.97099539999999995</v>
      </c>
    </row>
    <row r="166" spans="2:4" x14ac:dyDescent="0.25">
      <c r="B166" s="5">
        <v>45733</v>
      </c>
      <c r="C166">
        <v>1.6869307</v>
      </c>
      <c r="D166">
        <v>0.92287063999999996</v>
      </c>
    </row>
    <row r="167" spans="2:4" x14ac:dyDescent="0.25">
      <c r="B167" s="5">
        <v>45730</v>
      </c>
      <c r="C167">
        <v>5.5975555999999997</v>
      </c>
      <c r="D167">
        <v>0.89426039999999996</v>
      </c>
    </row>
    <row r="168" spans="2:4" x14ac:dyDescent="0.25">
      <c r="B168" s="5">
        <v>45729</v>
      </c>
      <c r="C168">
        <v>-1.2056230999999999</v>
      </c>
      <c r="D168">
        <v>1.4496088</v>
      </c>
    </row>
    <row r="169" spans="2:4" x14ac:dyDescent="0.25">
      <c r="B169" s="5">
        <v>45728</v>
      </c>
      <c r="C169">
        <v>0.44678449999999997</v>
      </c>
      <c r="D169">
        <v>0.9902358</v>
      </c>
    </row>
    <row r="170" spans="2:4" x14ac:dyDescent="0.25">
      <c r="B170" s="5">
        <v>45727</v>
      </c>
      <c r="C170">
        <v>-1.7571091999999999</v>
      </c>
      <c r="D170">
        <v>-0.78191160000000004</v>
      </c>
    </row>
    <row r="171" spans="2:4" x14ac:dyDescent="0.25">
      <c r="B171" s="5">
        <v>45726</v>
      </c>
      <c r="C171">
        <v>-0.15500784000000001</v>
      </c>
      <c r="D171">
        <v>-0.73822737000000005</v>
      </c>
    </row>
    <row r="172" spans="2:4" x14ac:dyDescent="0.25">
      <c r="B172" s="5">
        <v>45723</v>
      </c>
      <c r="C172">
        <v>-0.97758173999999998</v>
      </c>
      <c r="D172">
        <v>0.27401447000000001</v>
      </c>
    </row>
    <row r="173" spans="2:4" x14ac:dyDescent="0.25">
      <c r="B173" s="5">
        <v>45722</v>
      </c>
      <c r="C173">
        <v>8.7162129999999998</v>
      </c>
      <c r="D173">
        <v>1.2269019999999999</v>
      </c>
    </row>
    <row r="174" spans="2:4" x14ac:dyDescent="0.25">
      <c r="B174" s="5">
        <v>45721</v>
      </c>
      <c r="C174">
        <v>8.6513519999999993</v>
      </c>
      <c r="D174">
        <v>0.33621788000000002</v>
      </c>
    </row>
    <row r="175" spans="2:4" x14ac:dyDescent="0.25">
      <c r="B175" s="5">
        <v>45720</v>
      </c>
      <c r="C175">
        <v>-2.2449254999999999</v>
      </c>
      <c r="D175">
        <v>1.5667199999999999</v>
      </c>
    </row>
    <row r="176" spans="2:4" x14ac:dyDescent="0.25">
      <c r="B176" s="5">
        <v>45719</v>
      </c>
      <c r="C176">
        <v>1.0118126999999999</v>
      </c>
      <c r="D176">
        <v>2.6606798</v>
      </c>
    </row>
    <row r="177" spans="2:4" x14ac:dyDescent="0.25">
      <c r="B177" s="5">
        <v>45716</v>
      </c>
      <c r="C177">
        <v>-0.81043242999999998</v>
      </c>
      <c r="D177">
        <v>-1.9574285</v>
      </c>
    </row>
    <row r="178" spans="2:4" x14ac:dyDescent="0.25">
      <c r="B178" s="5">
        <v>45715</v>
      </c>
      <c r="C178">
        <v>-4.9047890000000001</v>
      </c>
      <c r="D178">
        <v>-0.56954026000000002</v>
      </c>
    </row>
    <row r="179" spans="2:4" x14ac:dyDescent="0.25">
      <c r="B179" s="5">
        <v>45714</v>
      </c>
      <c r="C179">
        <v>12.283431999999999</v>
      </c>
      <c r="D179">
        <v>-0.31596422000000002</v>
      </c>
    </row>
    <row r="180" spans="2:4" x14ac:dyDescent="0.25">
      <c r="B180" s="5">
        <v>45713</v>
      </c>
      <c r="C180">
        <v>-2.0190774999999999</v>
      </c>
      <c r="D180">
        <v>0.94223020000000002</v>
      </c>
    </row>
    <row r="181" spans="2:4" x14ac:dyDescent="0.25">
      <c r="B181" s="5">
        <v>45712</v>
      </c>
      <c r="C181">
        <v>1.1461376999999999</v>
      </c>
      <c r="D181">
        <v>0.17414093</v>
      </c>
    </row>
    <row r="182" spans="2:4" x14ac:dyDescent="0.25">
      <c r="B182" s="5">
        <v>45709</v>
      </c>
      <c r="C182">
        <v>2.7783989999999998</v>
      </c>
      <c r="D182">
        <v>-1.4728308000000001E-2</v>
      </c>
    </row>
    <row r="183" spans="2:4" x14ac:dyDescent="0.25">
      <c r="B183" s="5">
        <v>45708</v>
      </c>
      <c r="C183">
        <v>2.8265595000000001</v>
      </c>
      <c r="D183">
        <v>-2.9450654999999999E-2</v>
      </c>
    </row>
    <row r="184" spans="2:4" x14ac:dyDescent="0.25">
      <c r="B184" s="5">
        <v>45707</v>
      </c>
      <c r="C184">
        <v>-1.4927626000000001</v>
      </c>
      <c r="D184">
        <v>-3.3567727000000001</v>
      </c>
    </row>
    <row r="185" spans="2:4" x14ac:dyDescent="0.25">
      <c r="B185" s="5">
        <v>45706</v>
      </c>
      <c r="C185">
        <v>0.75539350000000005</v>
      </c>
      <c r="D185">
        <v>0.8058071</v>
      </c>
    </row>
    <row r="186" spans="2:4" x14ac:dyDescent="0.25">
      <c r="B186" s="5">
        <v>45702</v>
      </c>
      <c r="C186">
        <v>0.81305503999999995</v>
      </c>
      <c r="D186">
        <v>4.2600629999999997</v>
      </c>
    </row>
    <row r="187" spans="2:4" x14ac:dyDescent="0.25">
      <c r="B187" s="5">
        <v>45701</v>
      </c>
      <c r="C187">
        <v>3.2638907000000001</v>
      </c>
      <c r="D187">
        <v>0.94407797000000004</v>
      </c>
    </row>
    <row r="188" spans="2:4" x14ac:dyDescent="0.25">
      <c r="B188" s="5">
        <v>45700</v>
      </c>
      <c r="C188">
        <v>-2.6481330000000001</v>
      </c>
      <c r="D188">
        <v>-1.2669921</v>
      </c>
    </row>
    <row r="189" spans="2:4" x14ac:dyDescent="0.25">
      <c r="B189" s="5">
        <v>45699</v>
      </c>
      <c r="C189">
        <v>0.59363840000000001</v>
      </c>
      <c r="D189">
        <v>-0.59009789999999995</v>
      </c>
    </row>
    <row r="190" spans="2:4" x14ac:dyDescent="0.25">
      <c r="B190" s="5">
        <v>45698</v>
      </c>
      <c r="C190">
        <v>-0.6547153</v>
      </c>
      <c r="D190">
        <v>0.46616793000000001</v>
      </c>
    </row>
    <row r="191" spans="2:4" x14ac:dyDescent="0.25">
      <c r="B191" s="5">
        <v>45695</v>
      </c>
      <c r="C191">
        <v>-1.7019331</v>
      </c>
      <c r="D191">
        <v>-2.8025687000000001</v>
      </c>
    </row>
    <row r="192" spans="2:4" x14ac:dyDescent="0.25">
      <c r="B192" s="5">
        <v>45694</v>
      </c>
      <c r="C192">
        <v>2.151084</v>
      </c>
      <c r="D192">
        <v>2.6017190000000001</v>
      </c>
    </row>
    <row r="193" spans="2:4" x14ac:dyDescent="0.25">
      <c r="B193" s="5">
        <v>45693</v>
      </c>
      <c r="C193">
        <v>-0.15878676999999999</v>
      </c>
      <c r="D193">
        <v>1.821804</v>
      </c>
    </row>
    <row r="194" spans="2:4" x14ac:dyDescent="0.25">
      <c r="B194" s="5">
        <v>45692</v>
      </c>
      <c r="C194">
        <v>0.92834234000000004</v>
      </c>
      <c r="D194">
        <v>-0.26004909999999998</v>
      </c>
    </row>
    <row r="195" spans="2:4" x14ac:dyDescent="0.25">
      <c r="B195" s="5">
        <v>45691</v>
      </c>
      <c r="C195">
        <v>-0.49710273999999999</v>
      </c>
      <c r="D195">
        <v>-0.67121980000000003</v>
      </c>
    </row>
    <row r="196" spans="2:4" x14ac:dyDescent="0.25">
      <c r="B196" s="5">
        <v>45688</v>
      </c>
      <c r="C196">
        <v>-1.3539612000000001</v>
      </c>
      <c r="D196">
        <v>-1.8610477000000001</v>
      </c>
    </row>
    <row r="197" spans="2:4" x14ac:dyDescent="0.25">
      <c r="B197" s="5">
        <v>45687</v>
      </c>
      <c r="C197">
        <v>-0.97332596999999998</v>
      </c>
      <c r="D197">
        <v>1.0701776000000001</v>
      </c>
    </row>
    <row r="198" spans="2:4" x14ac:dyDescent="0.25">
      <c r="B198" s="5">
        <v>45686</v>
      </c>
      <c r="C198">
        <v>0.90725420000000001</v>
      </c>
      <c r="D198">
        <v>5.194998</v>
      </c>
    </row>
    <row r="199" spans="2:4" x14ac:dyDescent="0.25">
      <c r="B199" s="5">
        <v>45685</v>
      </c>
      <c r="C199">
        <v>-0.17931461000000001</v>
      </c>
      <c r="D199">
        <v>-1.4164984</v>
      </c>
    </row>
    <row r="200" spans="2:4" x14ac:dyDescent="0.25">
      <c r="B200" s="5">
        <v>45684</v>
      </c>
      <c r="C200">
        <v>1.7988801000000001</v>
      </c>
      <c r="D200">
        <v>4.5000552999999996</v>
      </c>
    </row>
    <row r="201" spans="2:4" x14ac:dyDescent="0.25">
      <c r="B201" s="5">
        <v>45681</v>
      </c>
      <c r="C201">
        <v>2.8790236</v>
      </c>
      <c r="D201">
        <v>1.7260074999999999</v>
      </c>
    </row>
    <row r="202" spans="2:4" x14ac:dyDescent="0.25">
      <c r="B202" s="5">
        <v>45680</v>
      </c>
      <c r="C202">
        <v>-0.89644789999999996</v>
      </c>
      <c r="D202">
        <v>-3.3037722</v>
      </c>
    </row>
    <row r="203" spans="2:4" x14ac:dyDescent="0.25">
      <c r="B203" s="5">
        <v>45679</v>
      </c>
      <c r="C203">
        <v>-1.5830934000000001</v>
      </c>
      <c r="D203">
        <v>2.2237659000000001</v>
      </c>
    </row>
    <row r="204" spans="2:4" x14ac:dyDescent="0.25">
      <c r="B204" s="5">
        <v>45678</v>
      </c>
      <c r="C204">
        <v>0.76494216999999998</v>
      </c>
      <c r="D204">
        <v>5.8926105</v>
      </c>
    </row>
    <row r="205" spans="2:4" x14ac:dyDescent="0.25">
      <c r="B205" s="5">
        <v>45674</v>
      </c>
      <c r="C205">
        <v>1.3931274</v>
      </c>
      <c r="D205">
        <v>0.25064945</v>
      </c>
    </row>
    <row r="206" spans="2:4" x14ac:dyDescent="0.25">
      <c r="B206" s="5">
        <v>45673</v>
      </c>
      <c r="C206">
        <v>0.91286900000000004</v>
      </c>
      <c r="D206">
        <v>-1.0079563</v>
      </c>
    </row>
    <row r="207" spans="2:4" x14ac:dyDescent="0.25">
      <c r="B207" s="5">
        <v>45672</v>
      </c>
      <c r="C207">
        <v>2.3459791999999999</v>
      </c>
      <c r="D207">
        <v>1.94031</v>
      </c>
    </row>
    <row r="208" spans="2:4" x14ac:dyDescent="0.25">
      <c r="B208" s="5">
        <v>45671</v>
      </c>
      <c r="C208">
        <v>0.46070813999999999</v>
      </c>
      <c r="D208">
        <v>-2.6675344000000001</v>
      </c>
    </row>
    <row r="209" spans="2:4" x14ac:dyDescent="0.25">
      <c r="B209" s="5">
        <v>45670</v>
      </c>
      <c r="C209">
        <v>0.72590109999999997</v>
      </c>
      <c r="D209">
        <v>3.49164E-2</v>
      </c>
    </row>
    <row r="210" spans="2:4" x14ac:dyDescent="0.25">
      <c r="B210" s="5">
        <v>45667</v>
      </c>
      <c r="C210">
        <v>-7.9059242999999997</v>
      </c>
      <c r="D210">
        <v>-1.6273021999999999</v>
      </c>
    </row>
    <row r="211" spans="2:4" x14ac:dyDescent="0.25">
      <c r="B211" s="5">
        <v>45665</v>
      </c>
      <c r="C211">
        <v>-1.4296114</v>
      </c>
      <c r="D211">
        <v>-1.0029136999999999</v>
      </c>
    </row>
    <row r="212" spans="2:4" x14ac:dyDescent="0.25">
      <c r="B212" s="5">
        <v>45664</v>
      </c>
      <c r="C212">
        <v>-0.61856509999999998</v>
      </c>
      <c r="D212">
        <v>-0.58232545999999996</v>
      </c>
    </row>
    <row r="213" spans="2:4" x14ac:dyDescent="0.25">
      <c r="B213" s="5">
        <v>45663</v>
      </c>
      <c r="C213">
        <v>1.4539719</v>
      </c>
      <c r="D213">
        <v>-2.5399923000000002</v>
      </c>
    </row>
    <row r="214" spans="2:4" x14ac:dyDescent="0.25">
      <c r="B214" s="5">
        <v>45660</v>
      </c>
      <c r="C214">
        <v>-0.34683346999999998</v>
      </c>
      <c r="D214">
        <v>-0.15565156999999999</v>
      </c>
    </row>
    <row r="215" spans="2:4" x14ac:dyDescent="0.25">
      <c r="B215" s="5">
        <v>45659</v>
      </c>
      <c r="C215">
        <v>-0.50502420000000003</v>
      </c>
      <c r="D215">
        <v>3.182888E-3</v>
      </c>
    </row>
    <row r="216" spans="2:4" x14ac:dyDescent="0.25">
      <c r="B216" s="5">
        <v>45657</v>
      </c>
      <c r="C216">
        <v>4.41432E-2</v>
      </c>
      <c r="D216">
        <v>2.5439262000000001E-2</v>
      </c>
    </row>
    <row r="217" spans="2:4" x14ac:dyDescent="0.25">
      <c r="B217" s="5">
        <v>45656</v>
      </c>
      <c r="C217">
        <v>5.2917003999999997E-2</v>
      </c>
      <c r="D217">
        <v>-1.4598428999999999</v>
      </c>
    </row>
    <row r="218" spans="2:4" x14ac:dyDescent="0.25">
      <c r="B218" s="5">
        <v>45653</v>
      </c>
      <c r="C218">
        <v>0.79630612999999995</v>
      </c>
      <c r="D218">
        <v>-1.283598</v>
      </c>
    </row>
    <row r="219" spans="2:4" x14ac:dyDescent="0.25">
      <c r="B219" s="5">
        <v>45652</v>
      </c>
      <c r="C219">
        <v>4.4429301999999997E-2</v>
      </c>
      <c r="D219">
        <v>0.42535066999999999</v>
      </c>
    </row>
    <row r="220" spans="2:4" x14ac:dyDescent="0.25">
      <c r="B220" s="5">
        <v>45650</v>
      </c>
      <c r="C220">
        <v>-8.3255770000000007E-2</v>
      </c>
      <c r="D220">
        <v>-0.63892599999999999</v>
      </c>
    </row>
    <row r="221" spans="2:4" x14ac:dyDescent="0.25">
      <c r="B221" s="5">
        <v>45649</v>
      </c>
      <c r="C221">
        <v>-0.16320944000000001</v>
      </c>
      <c r="D221">
        <v>0.23673773000000001</v>
      </c>
    </row>
    <row r="222" spans="2:4" x14ac:dyDescent="0.25">
      <c r="B222" s="5">
        <v>45646</v>
      </c>
      <c r="C222">
        <v>2.0448208000000001</v>
      </c>
      <c r="D222">
        <v>3.4430265000000002</v>
      </c>
    </row>
    <row r="223" spans="2:4" x14ac:dyDescent="0.25">
      <c r="B223" s="5">
        <v>45645</v>
      </c>
      <c r="C223">
        <v>-3.1511366000000001</v>
      </c>
      <c r="D223">
        <v>2.2826076</v>
      </c>
    </row>
    <row r="224" spans="2:4" x14ac:dyDescent="0.25">
      <c r="B224" s="5">
        <v>45644</v>
      </c>
      <c r="C224">
        <v>-2.1087885000000002</v>
      </c>
      <c r="D224">
        <v>-1.1404692999999999</v>
      </c>
    </row>
    <row r="225" spans="2:4" x14ac:dyDescent="0.25">
      <c r="B225" s="5">
        <v>45643</v>
      </c>
      <c r="C225">
        <v>-1.0320604</v>
      </c>
      <c r="D225">
        <v>-1.548028</v>
      </c>
    </row>
    <row r="226" spans="2:4" x14ac:dyDescent="0.25">
      <c r="B226" s="5">
        <v>45642</v>
      </c>
      <c r="C226">
        <v>-0.31320452999999998</v>
      </c>
      <c r="D226">
        <v>-9.6678734000000002E-2</v>
      </c>
    </row>
    <row r="227" spans="2:4" x14ac:dyDescent="0.25">
      <c r="B227" s="5">
        <v>45639</v>
      </c>
      <c r="C227">
        <v>-0.96888540000000001</v>
      </c>
      <c r="D227">
        <v>-0.82076789999999999</v>
      </c>
    </row>
    <row r="228" spans="2:4" x14ac:dyDescent="0.25">
      <c r="B228" s="5">
        <v>45638</v>
      </c>
      <c r="C228">
        <v>-3.9256454000000001</v>
      </c>
      <c r="D228">
        <v>3.2298803</v>
      </c>
    </row>
    <row r="229" spans="2:4" x14ac:dyDescent="0.25">
      <c r="B229" s="5">
        <v>45637</v>
      </c>
      <c r="C229">
        <v>-1.6112328</v>
      </c>
      <c r="D229">
        <v>0.57940482999999998</v>
      </c>
    </row>
    <row r="230" spans="2:4" x14ac:dyDescent="0.25">
      <c r="B230" s="5">
        <v>45636</v>
      </c>
      <c r="C230">
        <v>-1.3604521999999999</v>
      </c>
      <c r="D230">
        <v>-1.1064708000000001</v>
      </c>
    </row>
    <row r="231" spans="2:4" x14ac:dyDescent="0.25">
      <c r="B231" s="5">
        <v>45635</v>
      </c>
      <c r="C231">
        <v>1.8821478</v>
      </c>
      <c r="D231">
        <v>-7.6246259999999996E-2</v>
      </c>
    </row>
    <row r="232" spans="2:4" x14ac:dyDescent="0.25">
      <c r="B232" s="5">
        <v>45632</v>
      </c>
      <c r="C232">
        <v>2.1742463000000001</v>
      </c>
      <c r="D232">
        <v>1.3765453999999999</v>
      </c>
    </row>
    <row r="233" spans="2:4" x14ac:dyDescent="0.25">
      <c r="B233" s="5">
        <v>45631</v>
      </c>
      <c r="C233">
        <v>-0.24725795</v>
      </c>
      <c r="D233">
        <v>1.7265676999999999</v>
      </c>
    </row>
    <row r="234" spans="2:4" x14ac:dyDescent="0.25">
      <c r="B234" s="5">
        <v>45630</v>
      </c>
      <c r="C234">
        <v>1.1327385999999999</v>
      </c>
      <c r="D234">
        <v>-2.5282442999999999</v>
      </c>
    </row>
    <row r="235" spans="2:4" x14ac:dyDescent="0.25">
      <c r="B235" s="5">
        <v>45629</v>
      </c>
      <c r="C235">
        <v>-0.31302570000000002</v>
      </c>
      <c r="D235">
        <v>2.3652791999999998</v>
      </c>
    </row>
    <row r="236" spans="2:4" x14ac:dyDescent="0.25">
      <c r="B236" s="5">
        <v>45628</v>
      </c>
      <c r="C236">
        <v>-0.43372512000000002</v>
      </c>
      <c r="D236">
        <v>2.1203875999999999</v>
      </c>
    </row>
    <row r="237" spans="2:4" x14ac:dyDescent="0.25">
      <c r="B237" s="5">
        <v>45625</v>
      </c>
      <c r="C237">
        <v>-0.27164817000000002</v>
      </c>
      <c r="D237">
        <v>2.0911932000000002</v>
      </c>
    </row>
    <row r="238" spans="2:4" x14ac:dyDescent="0.25">
      <c r="B238" s="5">
        <v>45623</v>
      </c>
      <c r="C238">
        <v>2.5894759999999999</v>
      </c>
      <c r="D238">
        <v>1.9550920000000001</v>
      </c>
    </row>
    <row r="239" spans="2:4" x14ac:dyDescent="0.25">
      <c r="B239" s="5">
        <v>45622</v>
      </c>
      <c r="C239">
        <v>-0.67550540000000003</v>
      </c>
      <c r="D239">
        <v>2.7080177999999999</v>
      </c>
    </row>
    <row r="240" spans="2:4" x14ac:dyDescent="0.25">
      <c r="B240" s="5">
        <v>45621</v>
      </c>
      <c r="C240">
        <v>2.0892978000000002</v>
      </c>
      <c r="D240">
        <v>1.7489672000000001</v>
      </c>
    </row>
    <row r="241" spans="2:4" x14ac:dyDescent="0.25">
      <c r="B241" s="5">
        <v>45618</v>
      </c>
      <c r="C241">
        <v>-0.81197023000000002</v>
      </c>
      <c r="D241">
        <v>2.9685616000000001</v>
      </c>
    </row>
    <row r="242" spans="2:4" x14ac:dyDescent="0.25">
      <c r="B242" s="5">
        <v>45617</v>
      </c>
      <c r="C242">
        <v>-1.6582549</v>
      </c>
      <c r="D242">
        <v>-8.7368489999999993E-2</v>
      </c>
    </row>
    <row r="243" spans="2:4" x14ac:dyDescent="0.25">
      <c r="B243" s="5">
        <v>45616</v>
      </c>
      <c r="C243">
        <v>-1.4814556000000001</v>
      </c>
      <c r="D243">
        <v>-0.78862905999999999</v>
      </c>
    </row>
    <row r="244" spans="2:4" x14ac:dyDescent="0.25">
      <c r="B244" s="5">
        <v>45615</v>
      </c>
      <c r="C244">
        <v>-1.0893105999999999</v>
      </c>
      <c r="D244">
        <v>1.0450244</v>
      </c>
    </row>
    <row r="245" spans="2:4" x14ac:dyDescent="0.25">
      <c r="B245" s="5">
        <v>45614</v>
      </c>
      <c r="C245">
        <v>8.1288815E-2</v>
      </c>
      <c r="D245">
        <v>0.32998323000000002</v>
      </c>
    </row>
    <row r="246" spans="2:4" x14ac:dyDescent="0.25">
      <c r="B246" s="5">
        <v>45611</v>
      </c>
      <c r="C246">
        <v>0.54143669999999999</v>
      </c>
      <c r="D246">
        <v>0.56880710000000001</v>
      </c>
    </row>
    <row r="247" spans="2:4" x14ac:dyDescent="0.25">
      <c r="B247" s="5">
        <v>45610</v>
      </c>
      <c r="C247">
        <v>0.29467344000000001</v>
      </c>
      <c r="D247">
        <v>-0.62478184999999997</v>
      </c>
    </row>
    <row r="248" spans="2:4" x14ac:dyDescent="0.25">
      <c r="B248" s="5">
        <v>45609</v>
      </c>
      <c r="C248">
        <v>-2.119875</v>
      </c>
      <c r="D248">
        <v>-1.2875080000000001</v>
      </c>
    </row>
    <row r="249" spans="2:4" x14ac:dyDescent="0.25">
      <c r="B249" s="5">
        <v>45608</v>
      </c>
      <c r="C249">
        <v>-3.53477</v>
      </c>
      <c r="D249">
        <v>-0.67641735000000003</v>
      </c>
    </row>
    <row r="250" spans="2:4" x14ac:dyDescent="0.25">
      <c r="B250" s="5">
        <v>45607</v>
      </c>
      <c r="C250">
        <v>-6.7889689999999997E-3</v>
      </c>
      <c r="D250">
        <v>-1.9386232000000001</v>
      </c>
    </row>
    <row r="251" spans="2:4" x14ac:dyDescent="0.25">
      <c r="B251" s="5">
        <v>45604</v>
      </c>
      <c r="C251">
        <v>-3.0215619999999999</v>
      </c>
      <c r="D251">
        <v>-1.7586767999999999</v>
      </c>
    </row>
    <row r="252" spans="2:4" x14ac:dyDescent="0.25">
      <c r="B252" s="5">
        <v>45603</v>
      </c>
      <c r="C252">
        <v>1.1089087</v>
      </c>
      <c r="D252">
        <v>4.1551229999999997</v>
      </c>
    </row>
    <row r="253" spans="2:4" x14ac:dyDescent="0.25">
      <c r="B253" s="5">
        <v>45602</v>
      </c>
      <c r="C253">
        <v>-1.4730036</v>
      </c>
      <c r="D253">
        <v>-2.0589887999999998</v>
      </c>
    </row>
    <row r="254" spans="2:4" x14ac:dyDescent="0.25">
      <c r="B254" s="5">
        <v>45601</v>
      </c>
      <c r="C254">
        <v>-6.0891923999999999</v>
      </c>
      <c r="D254">
        <v>-0.12216568</v>
      </c>
    </row>
    <row r="255" spans="2:4" x14ac:dyDescent="0.25">
      <c r="B255" s="5">
        <v>45600</v>
      </c>
      <c r="C255">
        <v>0.50854679999999997</v>
      </c>
      <c r="D255">
        <v>0.63154699999999997</v>
      </c>
    </row>
    <row r="256" spans="2:4" x14ac:dyDescent="0.25">
      <c r="B256" s="5">
        <v>45597</v>
      </c>
      <c r="C256">
        <v>-0.51373840000000004</v>
      </c>
      <c r="D256">
        <v>-3.2659888000000001</v>
      </c>
    </row>
    <row r="257" spans="2:4" x14ac:dyDescent="0.25">
      <c r="B257" s="5">
        <v>45596</v>
      </c>
      <c r="C257">
        <v>-0.73977709999999997</v>
      </c>
      <c r="D257">
        <v>1.3457298</v>
      </c>
    </row>
    <row r="258" spans="2:4" x14ac:dyDescent="0.25">
      <c r="B258" s="5">
        <v>45595</v>
      </c>
      <c r="C258">
        <v>-0.50907729999999995</v>
      </c>
      <c r="D258">
        <v>0.74336530000000001</v>
      </c>
    </row>
    <row r="259" spans="2:4" x14ac:dyDescent="0.25">
      <c r="B259" s="5">
        <v>45594</v>
      </c>
      <c r="C259">
        <v>-1.9384980000000001</v>
      </c>
      <c r="D259">
        <v>1.0330796</v>
      </c>
    </row>
    <row r="260" spans="2:4" x14ac:dyDescent="0.25">
      <c r="B260" s="5">
        <v>45593</v>
      </c>
      <c r="C260">
        <v>-2.5260448000000001E-2</v>
      </c>
      <c r="D260">
        <v>-0.23485422</v>
      </c>
    </row>
    <row r="261" spans="2:4" x14ac:dyDescent="0.25">
      <c r="B261" s="5">
        <v>45590</v>
      </c>
      <c r="C261">
        <v>-0.28489828</v>
      </c>
      <c r="D261">
        <v>-1.6777396</v>
      </c>
    </row>
    <row r="262" spans="2:4" x14ac:dyDescent="0.25">
      <c r="B262" s="5">
        <v>45589</v>
      </c>
      <c r="C262">
        <v>1.2461542999999999</v>
      </c>
      <c r="D262">
        <v>0.57423115000000002</v>
      </c>
    </row>
    <row r="263" spans="2:4" x14ac:dyDescent="0.25">
      <c r="B263" s="5">
        <v>45588</v>
      </c>
      <c r="C263">
        <v>-1.6137362</v>
      </c>
      <c r="D263">
        <v>-2.1438062000000002</v>
      </c>
    </row>
    <row r="264" spans="2:4" x14ac:dyDescent="0.25">
      <c r="B264" s="5">
        <v>45587</v>
      </c>
      <c r="C264">
        <v>1.0476112</v>
      </c>
      <c r="D264">
        <v>-2.1559059999999999</v>
      </c>
    </row>
    <row r="265" spans="2:4" x14ac:dyDescent="0.25">
      <c r="B265" s="5">
        <v>45586</v>
      </c>
      <c r="C265">
        <v>-1.1127054999999999</v>
      </c>
      <c r="D265">
        <v>-2.8508901999999999E-2</v>
      </c>
    </row>
    <row r="266" spans="2:4" x14ac:dyDescent="0.25">
      <c r="B266" s="5">
        <v>45583</v>
      </c>
      <c r="C266">
        <v>1.4953612999999999</v>
      </c>
      <c r="D266">
        <v>1.6941309</v>
      </c>
    </row>
    <row r="267" spans="2:4" x14ac:dyDescent="0.25">
      <c r="B267" s="5">
        <v>45582</v>
      </c>
      <c r="C267">
        <v>-4.4413330000000002</v>
      </c>
      <c r="D267">
        <v>-0.84694623999999996</v>
      </c>
    </row>
    <row r="268" spans="2:4" x14ac:dyDescent="0.25">
      <c r="B268" s="5">
        <v>45581</v>
      </c>
      <c r="C268">
        <v>1.7081141</v>
      </c>
      <c r="D268">
        <v>-0.45815109999999998</v>
      </c>
    </row>
    <row r="269" spans="2:4" x14ac:dyDescent="0.25">
      <c r="B269" s="5">
        <v>45580</v>
      </c>
      <c r="C269">
        <v>0.69370270000000001</v>
      </c>
      <c r="D269">
        <v>1.0065198</v>
      </c>
    </row>
    <row r="270" spans="2:4" x14ac:dyDescent="0.25">
      <c r="B270" s="5">
        <v>45579</v>
      </c>
      <c r="C270">
        <v>-0.81215499999999996</v>
      </c>
      <c r="D270">
        <v>-0.39370655999999998</v>
      </c>
    </row>
    <row r="271" spans="2:4" x14ac:dyDescent="0.25">
      <c r="B271" s="5">
        <v>45576</v>
      </c>
      <c r="C271">
        <v>0.37081241999999998</v>
      </c>
      <c r="D271">
        <v>-0.80469847000000005</v>
      </c>
    </row>
    <row r="272" spans="2:4" x14ac:dyDescent="0.25">
      <c r="B272" s="5">
        <v>45575</v>
      </c>
      <c r="C272">
        <v>-7.2318315999999994E-2</v>
      </c>
      <c r="D272">
        <v>1.2387872</v>
      </c>
    </row>
    <row r="273" spans="2:4" x14ac:dyDescent="0.25">
      <c r="B273" s="5">
        <v>45574</v>
      </c>
      <c r="C273">
        <v>1.8451333000000001</v>
      </c>
      <c r="D273">
        <v>0.18612145999999999</v>
      </c>
    </row>
    <row r="274" spans="2:4" x14ac:dyDescent="0.25">
      <c r="B274" s="5">
        <v>45573</v>
      </c>
      <c r="C274">
        <v>-1.0536194000000001</v>
      </c>
      <c r="D274">
        <v>-0.81143975000000002</v>
      </c>
    </row>
    <row r="275" spans="2:4" x14ac:dyDescent="0.25">
      <c r="B275" s="5">
        <v>45572</v>
      </c>
      <c r="C275">
        <v>0.66906213999999997</v>
      </c>
      <c r="D275">
        <v>2.1499514999999998</v>
      </c>
    </row>
    <row r="276" spans="2:4" x14ac:dyDescent="0.25">
      <c r="B276" s="5">
        <v>45569</v>
      </c>
      <c r="C276">
        <v>-0.11007786</v>
      </c>
      <c r="D276">
        <v>-0.49968362</v>
      </c>
    </row>
    <row r="277" spans="2:4" x14ac:dyDescent="0.25">
      <c r="B277" s="5">
        <v>45568</v>
      </c>
      <c r="C277">
        <v>-0.76870919999999998</v>
      </c>
      <c r="D277">
        <v>0.94008446000000001</v>
      </c>
    </row>
    <row r="278" spans="2:4" x14ac:dyDescent="0.25">
      <c r="B278" s="5">
        <v>45567</v>
      </c>
      <c r="C278">
        <v>-1.2722194</v>
      </c>
      <c r="D278">
        <v>-2.7691661999999999</v>
      </c>
    </row>
    <row r="279" spans="2:4" x14ac:dyDescent="0.25">
      <c r="B279" s="5">
        <v>45566</v>
      </c>
      <c r="C279">
        <v>-2.6978433000000002</v>
      </c>
      <c r="D279">
        <v>0.85264443999999995</v>
      </c>
    </row>
    <row r="280" spans="2:4" x14ac:dyDescent="0.25">
      <c r="B280" s="5">
        <v>45565</v>
      </c>
      <c r="C280">
        <v>-2.0947098999999998</v>
      </c>
      <c r="D280">
        <v>-4.6839952</v>
      </c>
    </row>
    <row r="281" spans="2:4" x14ac:dyDescent="0.25">
      <c r="B281" s="5">
        <v>45562</v>
      </c>
      <c r="C281">
        <v>4.0702819999999997</v>
      </c>
      <c r="D281">
        <v>-0.34051537999999998</v>
      </c>
    </row>
    <row r="282" spans="2:4" x14ac:dyDescent="0.25">
      <c r="B282" s="5">
        <v>45561</v>
      </c>
      <c r="C282">
        <v>2.8408408000000001</v>
      </c>
      <c r="D282">
        <v>3.0638217999999999</v>
      </c>
    </row>
    <row r="283" spans="2:4" x14ac:dyDescent="0.25">
      <c r="B283" s="5">
        <v>45560</v>
      </c>
      <c r="C283">
        <v>-1.0751069</v>
      </c>
      <c r="D283">
        <v>-1.9258678</v>
      </c>
    </row>
    <row r="284" spans="2:4" x14ac:dyDescent="0.25">
      <c r="B284" s="5">
        <v>45559</v>
      </c>
      <c r="C284">
        <v>0.38068295000000002</v>
      </c>
      <c r="D284">
        <v>1.7606257999999999</v>
      </c>
    </row>
    <row r="285" spans="2:4" x14ac:dyDescent="0.25">
      <c r="B285" s="5">
        <v>45558</v>
      </c>
      <c r="C285">
        <v>-0.98150369999999998</v>
      </c>
      <c r="D285">
        <v>0.48002004999999998</v>
      </c>
    </row>
    <row r="286" spans="2:4" x14ac:dyDescent="0.25">
      <c r="B286" s="5">
        <v>45555</v>
      </c>
      <c r="C286">
        <v>-2.4016500000000001</v>
      </c>
      <c r="D286">
        <v>-2.8756021999999999</v>
      </c>
    </row>
    <row r="287" spans="2:4" x14ac:dyDescent="0.25">
      <c r="B287" s="5">
        <v>45554</v>
      </c>
      <c r="C287">
        <v>2.1301388999999999</v>
      </c>
      <c r="D287">
        <v>1.5912652</v>
      </c>
    </row>
    <row r="288" spans="2:4" x14ac:dyDescent="0.25">
      <c r="B288" s="5">
        <v>45553</v>
      </c>
      <c r="C288">
        <v>1.5280008</v>
      </c>
      <c r="D288">
        <v>-1.6960382000000001</v>
      </c>
    </row>
    <row r="289" spans="2:4" x14ac:dyDescent="0.25">
      <c r="B289" s="5">
        <v>45552</v>
      </c>
      <c r="C289">
        <v>2.1324396000000001</v>
      </c>
      <c r="D289">
        <v>1.0512233</v>
      </c>
    </row>
    <row r="290" spans="2:4" x14ac:dyDescent="0.25">
      <c r="B290" s="5">
        <v>45551</v>
      </c>
      <c r="C290">
        <v>1.2135506000000001E-2</v>
      </c>
      <c r="D290">
        <v>0.15310049000000001</v>
      </c>
    </row>
    <row r="291" spans="2:4" x14ac:dyDescent="0.25">
      <c r="B291" s="5">
        <v>45548</v>
      </c>
      <c r="C291">
        <v>2.1486402</v>
      </c>
      <c r="D291">
        <v>-0.28162003000000002</v>
      </c>
    </row>
    <row r="292" spans="2:4" x14ac:dyDescent="0.25">
      <c r="B292" s="5">
        <v>45547</v>
      </c>
      <c r="C292">
        <v>-4.6885014000000003E-2</v>
      </c>
      <c r="D292">
        <v>0.92313290000000003</v>
      </c>
    </row>
    <row r="293" spans="2:4" x14ac:dyDescent="0.25">
      <c r="B293" s="5">
        <v>45546</v>
      </c>
      <c r="C293">
        <v>-8.2504750000000002E-2</v>
      </c>
      <c r="D293">
        <v>-2.8730273</v>
      </c>
    </row>
    <row r="294" spans="2:4" x14ac:dyDescent="0.25">
      <c r="B294" s="5">
        <v>45545</v>
      </c>
      <c r="C294">
        <v>-2.9404819999999998</v>
      </c>
      <c r="D294">
        <v>1.3533473</v>
      </c>
    </row>
    <row r="295" spans="2:4" x14ac:dyDescent="0.25">
      <c r="B295" s="5">
        <v>45544</v>
      </c>
      <c r="C295">
        <v>-0.28527380000000002</v>
      </c>
      <c r="D295">
        <v>0.22579431999999999</v>
      </c>
    </row>
    <row r="296" spans="2:4" x14ac:dyDescent="0.25">
      <c r="B296" s="5">
        <v>45541</v>
      </c>
      <c r="C296">
        <v>-3.6260365999999999</v>
      </c>
      <c r="D296">
        <v>1.0733843000000001</v>
      </c>
    </row>
    <row r="297" spans="2:4" x14ac:dyDescent="0.25">
      <c r="B297" s="5">
        <v>45540</v>
      </c>
      <c r="C297">
        <v>0.18632412000000001</v>
      </c>
      <c r="D297">
        <v>0.16508101999999999</v>
      </c>
    </row>
    <row r="298" spans="2:4" x14ac:dyDescent="0.25">
      <c r="B298" s="5">
        <v>45539</v>
      </c>
      <c r="C298">
        <v>-0.56070089999999995</v>
      </c>
      <c r="D298">
        <v>-2.9514252999999999</v>
      </c>
    </row>
    <row r="299" spans="2:4" x14ac:dyDescent="0.25">
      <c r="B299" s="5">
        <v>45538</v>
      </c>
      <c r="C299">
        <v>-0.58599113999999997</v>
      </c>
      <c r="D299">
        <v>2.1222949999999998</v>
      </c>
    </row>
    <row r="300" spans="2:4" x14ac:dyDescent="0.25">
      <c r="B300" s="5">
        <v>45534</v>
      </c>
      <c r="C300">
        <v>-1.2212335999999999</v>
      </c>
      <c r="D300">
        <v>-1.1686862</v>
      </c>
    </row>
    <row r="301" spans="2:4" x14ac:dyDescent="0.25">
      <c r="B301" s="5">
        <v>45533</v>
      </c>
      <c r="C301">
        <v>-0.49930215</v>
      </c>
      <c r="D301">
        <v>-3.7028313000000002</v>
      </c>
    </row>
    <row r="302" spans="2:4" x14ac:dyDescent="0.25">
      <c r="B302" s="5">
        <v>45532</v>
      </c>
      <c r="C302">
        <v>-0.11672974</v>
      </c>
      <c r="D302">
        <v>1.2032509</v>
      </c>
    </row>
    <row r="303" spans="2:4" x14ac:dyDescent="0.25">
      <c r="B303" s="5">
        <v>45531</v>
      </c>
      <c r="C303">
        <v>0.60067177000000005</v>
      </c>
      <c r="D303">
        <v>2.815175</v>
      </c>
    </row>
    <row r="304" spans="2:4" x14ac:dyDescent="0.25">
      <c r="B304" s="5">
        <v>45530</v>
      </c>
      <c r="C304">
        <v>0.37399529999999997</v>
      </c>
      <c r="D304">
        <v>0.52465200000000001</v>
      </c>
    </row>
    <row r="305" spans="2:4" x14ac:dyDescent="0.25">
      <c r="B305" s="5">
        <v>45527</v>
      </c>
      <c r="C305">
        <v>1.5348314999999999</v>
      </c>
      <c r="D305">
        <v>1.9746542</v>
      </c>
    </row>
    <row r="306" spans="2:4" x14ac:dyDescent="0.25">
      <c r="B306" s="5">
        <v>45526</v>
      </c>
      <c r="C306">
        <v>1.6059995</v>
      </c>
      <c r="D306">
        <v>2.5570393E-2</v>
      </c>
    </row>
    <row r="307" spans="2:4" x14ac:dyDescent="0.25">
      <c r="B307" s="5">
        <v>45525</v>
      </c>
      <c r="C307">
        <v>1.0388255</v>
      </c>
      <c r="D307">
        <v>0.61912537000000001</v>
      </c>
    </row>
    <row r="308" spans="2:4" x14ac:dyDescent="0.25">
      <c r="B308" s="5">
        <v>45524</v>
      </c>
      <c r="C308">
        <v>-0.115168095</v>
      </c>
      <c r="D308">
        <v>1.7114043000000001</v>
      </c>
    </row>
    <row r="309" spans="2:4" x14ac:dyDescent="0.25">
      <c r="B309" s="5">
        <v>45523</v>
      </c>
      <c r="C309">
        <v>1.0533094000000001</v>
      </c>
      <c r="D309">
        <v>-1.1090755000000001</v>
      </c>
    </row>
    <row r="310" spans="2:4" x14ac:dyDescent="0.25">
      <c r="B310" s="5">
        <v>45520</v>
      </c>
      <c r="C310">
        <v>-4.2277574999999998E-2</v>
      </c>
      <c r="D310">
        <v>3.864932</v>
      </c>
    </row>
    <row r="311" spans="2:4" x14ac:dyDescent="0.25">
      <c r="B311" s="5">
        <v>45519</v>
      </c>
      <c r="C311">
        <v>0.25714636000000002</v>
      </c>
      <c r="D311">
        <v>-1.4299333000000001</v>
      </c>
    </row>
    <row r="312" spans="2:4" x14ac:dyDescent="0.25">
      <c r="B312" s="5">
        <v>45518</v>
      </c>
      <c r="C312">
        <v>8.9049340000000005E-2</v>
      </c>
      <c r="D312">
        <v>0.14988183999999999</v>
      </c>
    </row>
    <row r="313" spans="2:4" x14ac:dyDescent="0.25">
      <c r="B313" s="5">
        <v>45517</v>
      </c>
      <c r="C313">
        <v>0.39494037999999998</v>
      </c>
      <c r="D313">
        <v>5.6529759999999998</v>
      </c>
    </row>
    <row r="314" spans="2:4" x14ac:dyDescent="0.25">
      <c r="B314" s="5">
        <v>45516</v>
      </c>
      <c r="C314">
        <v>-1.1653899999999999</v>
      </c>
      <c r="D314">
        <v>-0.87903739999999997</v>
      </c>
    </row>
    <row r="315" spans="2:4" x14ac:dyDescent="0.25">
      <c r="B315" s="5">
        <v>45513</v>
      </c>
      <c r="C315">
        <v>-0.62583685</v>
      </c>
      <c r="D315">
        <v>4.3432829999999996</v>
      </c>
    </row>
    <row r="316" spans="2:4" x14ac:dyDescent="0.25">
      <c r="B316" s="5">
        <v>45512</v>
      </c>
      <c r="C316">
        <v>-0.65668820000000006</v>
      </c>
      <c r="D316">
        <v>-0.85374117000000005</v>
      </c>
    </row>
    <row r="317" spans="2:4" x14ac:dyDescent="0.25">
      <c r="B317" s="5">
        <v>45511</v>
      </c>
      <c r="C317">
        <v>1.3575196</v>
      </c>
      <c r="D317">
        <v>-2.8853713999999999</v>
      </c>
    </row>
    <row r="318" spans="2:4" x14ac:dyDescent="0.25">
      <c r="B318" s="5">
        <v>45510</v>
      </c>
      <c r="C318">
        <v>-0.13590455000000001</v>
      </c>
      <c r="D318">
        <v>10.1122265</v>
      </c>
    </row>
    <row r="319" spans="2:4" x14ac:dyDescent="0.25">
      <c r="B319" s="5">
        <v>45509</v>
      </c>
      <c r="C319">
        <v>-0.92930794000000005</v>
      </c>
      <c r="D319">
        <v>-11.419439000000001</v>
      </c>
    </row>
    <row r="320" spans="2:4" x14ac:dyDescent="0.25">
      <c r="B320" s="5">
        <v>45506</v>
      </c>
      <c r="C320">
        <v>-3.4951507999999998</v>
      </c>
      <c r="D320">
        <v>-4.5640229999999997</v>
      </c>
    </row>
    <row r="321" spans="2:4" x14ac:dyDescent="0.25">
      <c r="B321" s="5">
        <v>45505</v>
      </c>
      <c r="C321">
        <v>0.70357320000000001</v>
      </c>
      <c r="D321">
        <v>-1.7453194000000001</v>
      </c>
    </row>
    <row r="322" spans="2:4" x14ac:dyDescent="0.25">
      <c r="B322" s="5">
        <v>45504</v>
      </c>
      <c r="C322">
        <v>0.51335096000000002</v>
      </c>
      <c r="D322">
        <v>5.4990053000000003</v>
      </c>
    </row>
    <row r="323" spans="2:4" x14ac:dyDescent="0.25">
      <c r="B323" s="5">
        <v>45503</v>
      </c>
      <c r="C323">
        <v>0.85765122999999999</v>
      </c>
      <c r="D323">
        <v>0.57781934999999995</v>
      </c>
    </row>
    <row r="324" spans="2:4" x14ac:dyDescent="0.25">
      <c r="B324" s="5">
        <v>45502</v>
      </c>
      <c r="C324">
        <v>2.5391579000000001E-2</v>
      </c>
      <c r="D324">
        <v>1.5723704999999999</v>
      </c>
    </row>
    <row r="325" spans="2:4" x14ac:dyDescent="0.25">
      <c r="B325" s="5">
        <v>45499</v>
      </c>
      <c r="C325">
        <v>-0.49667358</v>
      </c>
      <c r="D325">
        <v>-0.62621236000000002</v>
      </c>
    </row>
    <row r="326" spans="2:4" x14ac:dyDescent="0.25">
      <c r="B326" s="5">
        <v>45498</v>
      </c>
      <c r="C326">
        <v>-1.6987324000000002E-2</v>
      </c>
      <c r="D326">
        <v>-2.3982166999999999</v>
      </c>
    </row>
    <row r="327" spans="2:4" x14ac:dyDescent="0.25">
      <c r="B327" s="5">
        <v>45497</v>
      </c>
      <c r="C327">
        <v>0.22230148</v>
      </c>
      <c r="D327">
        <v>0.57156085999999995</v>
      </c>
    </row>
    <row r="328" spans="2:4" x14ac:dyDescent="0.25">
      <c r="B328" s="5">
        <v>45496</v>
      </c>
      <c r="C328">
        <v>-1.2510239999999999</v>
      </c>
      <c r="D328">
        <v>1.4400721000000001</v>
      </c>
    </row>
    <row r="329" spans="2:4" x14ac:dyDescent="0.25">
      <c r="B329" s="5">
        <v>45495</v>
      </c>
      <c r="C329">
        <v>-1.0097206000000001</v>
      </c>
      <c r="D329">
        <v>-0.71811676000000002</v>
      </c>
    </row>
    <row r="330" spans="2:4" x14ac:dyDescent="0.25">
      <c r="B330" s="5">
        <v>45492</v>
      </c>
      <c r="C330">
        <v>-1.8424450999999999</v>
      </c>
      <c r="D330">
        <v>-1.9990504</v>
      </c>
    </row>
    <row r="331" spans="2:4" x14ac:dyDescent="0.25">
      <c r="B331" s="5">
        <v>45491</v>
      </c>
      <c r="C331">
        <v>1.3597965000000001</v>
      </c>
      <c r="D331">
        <v>-2.5924265000000002</v>
      </c>
    </row>
    <row r="332" spans="2:4" x14ac:dyDescent="0.25">
      <c r="B332" s="5">
        <v>45490</v>
      </c>
      <c r="C332">
        <v>3.2424330000000001</v>
      </c>
      <c r="D332">
        <v>2.2225975999999998</v>
      </c>
    </row>
    <row r="333" spans="2:4" x14ac:dyDescent="0.25">
      <c r="B333" s="5">
        <v>45489</v>
      </c>
      <c r="C333">
        <v>-0.49792528000000003</v>
      </c>
      <c r="D333">
        <v>-0.15128850999999999</v>
      </c>
    </row>
    <row r="334" spans="2:4" x14ac:dyDescent="0.25">
      <c r="B334" s="5">
        <v>45488</v>
      </c>
      <c r="C334">
        <v>-0.75309870000000001</v>
      </c>
      <c r="D334">
        <v>-9.8180770000000001E-2</v>
      </c>
    </row>
    <row r="335" spans="2:4" x14ac:dyDescent="0.25">
      <c r="B335" s="5">
        <v>45485</v>
      </c>
      <c r="C335">
        <v>0.80739260000000002</v>
      </c>
      <c r="D335">
        <v>0.87388754000000002</v>
      </c>
    </row>
    <row r="336" spans="2:4" x14ac:dyDescent="0.25">
      <c r="B336" s="5">
        <v>45484</v>
      </c>
      <c r="C336">
        <v>2.2686123999999999</v>
      </c>
      <c r="D336">
        <v>1.9998670000000001</v>
      </c>
    </row>
    <row r="337" spans="2:4" x14ac:dyDescent="0.25">
      <c r="B337" s="5">
        <v>45483</v>
      </c>
      <c r="C337">
        <v>2.2862434</v>
      </c>
      <c r="D337">
        <v>1.8793105999999999</v>
      </c>
    </row>
    <row r="338" spans="2:4" x14ac:dyDescent="0.25">
      <c r="B338" s="5">
        <v>45482</v>
      </c>
      <c r="C338">
        <v>-4.5582174999999996</v>
      </c>
      <c r="D338">
        <v>1.5386105000000001</v>
      </c>
    </row>
    <row r="339" spans="2:4" x14ac:dyDescent="0.25">
      <c r="B339" s="5">
        <v>45481</v>
      </c>
      <c r="C339">
        <v>-1.1411249999999999</v>
      </c>
      <c r="D339">
        <v>-0.64513682999999999</v>
      </c>
    </row>
    <row r="340" spans="2:4" x14ac:dyDescent="0.25">
      <c r="B340" s="5">
        <v>45478</v>
      </c>
      <c r="C340">
        <v>-0.42359829999999998</v>
      </c>
      <c r="D340">
        <v>1.6018509999999999</v>
      </c>
    </row>
    <row r="341" spans="2:4" x14ac:dyDescent="0.25">
      <c r="B341" s="5">
        <v>45476</v>
      </c>
      <c r="C341">
        <v>2.2867202999999998</v>
      </c>
      <c r="D341">
        <v>0.52663090000000001</v>
      </c>
    </row>
    <row r="342" spans="2:4" x14ac:dyDescent="0.25">
      <c r="B342" s="5">
        <v>45475</v>
      </c>
      <c r="C342">
        <v>0.48707724000000002</v>
      </c>
      <c r="D342">
        <v>0.31101704000000002</v>
      </c>
    </row>
    <row r="343" spans="2:4" x14ac:dyDescent="0.25">
      <c r="B343" s="5">
        <v>45474</v>
      </c>
      <c r="C343">
        <v>0.46379566</v>
      </c>
      <c r="D343">
        <v>-7.2795150000000003E-2</v>
      </c>
    </row>
    <row r="344" spans="2:4" x14ac:dyDescent="0.25">
      <c r="B344" s="5">
        <v>45471</v>
      </c>
      <c r="C344">
        <v>-0.24495721000000001</v>
      </c>
      <c r="D344">
        <v>-1.0167599</v>
      </c>
    </row>
    <row r="345" spans="2:4" x14ac:dyDescent="0.25">
      <c r="B345" s="5">
        <v>45470</v>
      </c>
      <c r="C345">
        <v>-0.58298707000000005</v>
      </c>
      <c r="D345">
        <v>1.0690808000000001</v>
      </c>
    </row>
    <row r="346" spans="2:4" x14ac:dyDescent="0.25">
      <c r="B346" s="5">
        <v>45469</v>
      </c>
      <c r="C346">
        <v>-2.8888582999999999</v>
      </c>
      <c r="D346">
        <v>-0.97225309999999998</v>
      </c>
    </row>
    <row r="347" spans="2:4" x14ac:dyDescent="0.25">
      <c r="B347" s="5">
        <v>45468</v>
      </c>
      <c r="C347">
        <v>-1.5366793000000001</v>
      </c>
      <c r="D347">
        <v>1.2486458</v>
      </c>
    </row>
    <row r="348" spans="2:4" x14ac:dyDescent="0.25">
      <c r="B348" s="5">
        <v>45467</v>
      </c>
      <c r="C348">
        <v>0.93448160000000002</v>
      </c>
      <c r="D348">
        <v>-0.1062274</v>
      </c>
    </row>
    <row r="349" spans="2:4" x14ac:dyDescent="0.25">
      <c r="B349" s="5">
        <v>45464</v>
      </c>
      <c r="C349">
        <v>-2.8664231</v>
      </c>
      <c r="D349">
        <v>-0.16375184000000001</v>
      </c>
    </row>
    <row r="350" spans="2:4" x14ac:dyDescent="0.25">
      <c r="B350" s="5">
        <v>45463</v>
      </c>
      <c r="C350">
        <v>-0.33219457000000002</v>
      </c>
      <c r="D350">
        <v>-0.78808665</v>
      </c>
    </row>
    <row r="351" spans="2:4" x14ac:dyDescent="0.25">
      <c r="B351" s="5">
        <v>45461</v>
      </c>
      <c r="C351">
        <v>1.9476294999999999</v>
      </c>
      <c r="D351">
        <v>3.7233233000000001</v>
      </c>
    </row>
    <row r="352" spans="2:4" x14ac:dyDescent="0.25">
      <c r="B352" s="5">
        <v>45460</v>
      </c>
      <c r="C352">
        <v>0.57967900000000006</v>
      </c>
      <c r="D352">
        <v>0.65017939999999996</v>
      </c>
    </row>
    <row r="353" spans="2:4" x14ac:dyDescent="0.25">
      <c r="B353" s="5">
        <v>45457</v>
      </c>
      <c r="C353">
        <v>-2.5749743</v>
      </c>
      <c r="D353">
        <v>2.2508501999999999</v>
      </c>
    </row>
    <row r="354" spans="2:4" x14ac:dyDescent="0.25">
      <c r="B354" s="5">
        <v>45456</v>
      </c>
      <c r="C354">
        <v>-2.4492501999999998</v>
      </c>
      <c r="D354">
        <v>-1.70784</v>
      </c>
    </row>
    <row r="355" spans="2:4" x14ac:dyDescent="0.25">
      <c r="B355" s="5">
        <v>45455</v>
      </c>
      <c r="C355">
        <v>1.8079281</v>
      </c>
      <c r="D355">
        <v>-0.66630840000000002</v>
      </c>
    </row>
    <row r="356" spans="2:4" x14ac:dyDescent="0.25">
      <c r="B356" s="5">
        <v>45454</v>
      </c>
      <c r="C356">
        <v>-1.2621880000000001</v>
      </c>
      <c r="D356">
        <v>0.34327507000000002</v>
      </c>
    </row>
    <row r="357" spans="2:4" x14ac:dyDescent="0.25">
      <c r="B357" s="5">
        <v>45453</v>
      </c>
      <c r="C357">
        <v>-1.5082061</v>
      </c>
      <c r="D357">
        <v>2.9460549999999999</v>
      </c>
    </row>
    <row r="358" spans="2:4" x14ac:dyDescent="0.25">
      <c r="B358" s="5">
        <v>45450</v>
      </c>
      <c r="C358">
        <v>-0.98352430000000002</v>
      </c>
      <c r="D358">
        <v>-1.2185931000000001</v>
      </c>
    </row>
    <row r="359" spans="2:4" x14ac:dyDescent="0.25">
      <c r="B359" s="5">
        <v>45449</v>
      </c>
      <c r="C359">
        <v>-0.19726157</v>
      </c>
      <c r="D359">
        <v>-1.0360777000000001</v>
      </c>
    </row>
    <row r="360" spans="2:4" x14ac:dyDescent="0.25">
      <c r="B360" s="5">
        <v>45448</v>
      </c>
      <c r="C360">
        <v>-2.0438075000000002</v>
      </c>
      <c r="D360">
        <v>-0.36808848</v>
      </c>
    </row>
    <row r="361" spans="2:4" x14ac:dyDescent="0.25">
      <c r="B361" s="5">
        <v>45447</v>
      </c>
      <c r="C361">
        <v>-0.44760107999999998</v>
      </c>
      <c r="D361">
        <v>1.2526988999999999</v>
      </c>
    </row>
    <row r="362" spans="2:4" x14ac:dyDescent="0.25">
      <c r="B362" s="5">
        <v>45446</v>
      </c>
      <c r="C362">
        <v>1.7808794999999999</v>
      </c>
      <c r="D362">
        <v>1.5808462999999999</v>
      </c>
    </row>
    <row r="363" spans="2:4" x14ac:dyDescent="0.25">
      <c r="B363" s="5">
        <v>45443</v>
      </c>
      <c r="C363">
        <v>-0.63756109999999999</v>
      </c>
      <c r="D363">
        <v>4.220879</v>
      </c>
    </row>
    <row r="364" spans="2:4" x14ac:dyDescent="0.25">
      <c r="B364" s="5">
        <v>45442</v>
      </c>
      <c r="C364">
        <v>1.0988473999999999</v>
      </c>
      <c r="D364">
        <v>-1.1528075</v>
      </c>
    </row>
    <row r="365" spans="2:4" x14ac:dyDescent="0.25">
      <c r="B365" s="5">
        <v>45441</v>
      </c>
      <c r="C365">
        <v>-2.5937915</v>
      </c>
      <c r="D365">
        <v>0.92953443999999996</v>
      </c>
    </row>
    <row r="366" spans="2:4" x14ac:dyDescent="0.25">
      <c r="B366" s="5">
        <v>45440</v>
      </c>
      <c r="C366">
        <v>-0.9239018</v>
      </c>
      <c r="D366">
        <v>0.23061037000000001</v>
      </c>
    </row>
    <row r="367" spans="2:4" x14ac:dyDescent="0.25">
      <c r="B367" s="5">
        <v>45436</v>
      </c>
      <c r="C367">
        <v>-1.0957599</v>
      </c>
      <c r="D367">
        <v>-0.19549131</v>
      </c>
    </row>
    <row r="368" spans="2:4" x14ac:dyDescent="0.25">
      <c r="B368" s="5">
        <v>45435</v>
      </c>
      <c r="C368">
        <v>0.8144498</v>
      </c>
      <c r="D368">
        <v>0.82635879999999995</v>
      </c>
    </row>
    <row r="369" spans="2:4" x14ac:dyDescent="0.25">
      <c r="B369" s="5">
        <v>45434</v>
      </c>
      <c r="C369">
        <v>-0.24520159</v>
      </c>
      <c r="D369">
        <v>-2.1647273999999999</v>
      </c>
    </row>
    <row r="370" spans="2:4" x14ac:dyDescent="0.25">
      <c r="B370" s="5">
        <v>45433</v>
      </c>
      <c r="C370">
        <v>-1.3491451999999999</v>
      </c>
      <c r="D370">
        <v>-1.2439728000000001</v>
      </c>
    </row>
    <row r="371" spans="2:4" x14ac:dyDescent="0.25">
      <c r="B371" s="5">
        <v>45432</v>
      </c>
      <c r="C371">
        <v>-0.20902156999999999</v>
      </c>
      <c r="D371">
        <v>0.20707845999999999</v>
      </c>
    </row>
    <row r="372" spans="2:4" x14ac:dyDescent="0.25">
      <c r="B372" s="5">
        <v>45429</v>
      </c>
      <c r="C372">
        <v>-1.0528207000000001</v>
      </c>
      <c r="D372">
        <v>0.45275687999999997</v>
      </c>
    </row>
    <row r="373" spans="2:4" x14ac:dyDescent="0.25">
      <c r="B373" s="5">
        <v>45428</v>
      </c>
      <c r="C373">
        <v>0.37475824000000002</v>
      </c>
      <c r="D373">
        <v>-1.1813521</v>
      </c>
    </row>
    <row r="374" spans="2:4" x14ac:dyDescent="0.25">
      <c r="B374" s="5">
        <v>45427</v>
      </c>
      <c r="C374">
        <v>2.6359797</v>
      </c>
      <c r="D374">
        <v>-1.443851</v>
      </c>
    </row>
    <row r="375" spans="2:4" x14ac:dyDescent="0.25">
      <c r="B375" s="5">
        <v>45426</v>
      </c>
      <c r="C375">
        <v>-0.21972059999999999</v>
      </c>
      <c r="D375">
        <v>-0.106048584</v>
      </c>
    </row>
    <row r="376" spans="2:4" x14ac:dyDescent="0.25">
      <c r="B376" s="5">
        <v>45425</v>
      </c>
      <c r="C376">
        <v>3.2182097000000001</v>
      </c>
      <c r="D376">
        <v>0.17732381999999999</v>
      </c>
    </row>
    <row r="377" spans="2:4" x14ac:dyDescent="0.25">
      <c r="B377" s="5">
        <v>45422</v>
      </c>
      <c r="C377">
        <v>4.4645549999999998</v>
      </c>
      <c r="D377">
        <v>-7.1097609999999998</v>
      </c>
    </row>
    <row r="378" spans="2:4" x14ac:dyDescent="0.25">
      <c r="B378" s="5">
        <v>45421</v>
      </c>
      <c r="C378">
        <v>0.14337301</v>
      </c>
      <c r="D378">
        <v>2.5385499999999999</v>
      </c>
    </row>
    <row r="379" spans="2:4" x14ac:dyDescent="0.25">
      <c r="B379" s="5">
        <v>45420</v>
      </c>
      <c r="C379">
        <v>2.7354598000000001</v>
      </c>
      <c r="D379">
        <v>-3.2722829999999998</v>
      </c>
    </row>
    <row r="380" spans="2:4" x14ac:dyDescent="0.25">
      <c r="B380" s="5">
        <v>45419</v>
      </c>
      <c r="C380">
        <v>-0.81759689999999996</v>
      </c>
      <c r="D380">
        <v>-1.0996163000000001</v>
      </c>
    </row>
    <row r="381" spans="2:4" x14ac:dyDescent="0.25">
      <c r="B381" s="5">
        <v>45418</v>
      </c>
      <c r="C381">
        <v>0.84266660000000004</v>
      </c>
      <c r="D381">
        <v>-0.69178340000000005</v>
      </c>
    </row>
    <row r="382" spans="2:4" x14ac:dyDescent="0.25">
      <c r="B382" s="5">
        <v>45415</v>
      </c>
      <c r="C382">
        <v>1.53898</v>
      </c>
      <c r="D382">
        <v>0.76855419999999997</v>
      </c>
    </row>
    <row r="383" spans="2:4" x14ac:dyDescent="0.25">
      <c r="B383" s="5">
        <v>45414</v>
      </c>
      <c r="C383">
        <v>-0.79556110000000002</v>
      </c>
      <c r="D383">
        <v>2.6692390000000001</v>
      </c>
    </row>
    <row r="384" spans="2:4" x14ac:dyDescent="0.25">
      <c r="B384" s="5">
        <v>45413</v>
      </c>
      <c r="C384">
        <v>-0.23929476999999999</v>
      </c>
      <c r="D384">
        <v>-0.98524093999999995</v>
      </c>
    </row>
    <row r="385" spans="2:4" x14ac:dyDescent="0.25">
      <c r="B385" s="5">
        <v>45412</v>
      </c>
      <c r="C385">
        <v>-0.82629920000000001</v>
      </c>
      <c r="D385">
        <v>2.4610400000000001</v>
      </c>
    </row>
    <row r="386" spans="2:4" x14ac:dyDescent="0.25">
      <c r="B386" s="5">
        <v>45411</v>
      </c>
      <c r="C386">
        <v>1.8689156</v>
      </c>
      <c r="D386">
        <v>0.37653446000000002</v>
      </c>
    </row>
    <row r="387" spans="2:4" x14ac:dyDescent="0.25">
      <c r="B387" s="5">
        <v>45408</v>
      </c>
      <c r="C387">
        <v>2.1543144999999999</v>
      </c>
      <c r="D387">
        <v>-0.66905020000000004</v>
      </c>
    </row>
    <row r="388" spans="2:4" x14ac:dyDescent="0.25">
      <c r="B388" s="5">
        <v>45407</v>
      </c>
      <c r="C388">
        <v>-0.42605399999999999</v>
      </c>
      <c r="D388">
        <v>-2.496016</v>
      </c>
    </row>
    <row r="389" spans="2:4" x14ac:dyDescent="0.25">
      <c r="B389" s="5">
        <v>45406</v>
      </c>
      <c r="C389">
        <v>1.1861323999999999E-2</v>
      </c>
      <c r="D389">
        <v>0.60855150000000002</v>
      </c>
    </row>
    <row r="390" spans="2:4" x14ac:dyDescent="0.25">
      <c r="B390" s="5">
        <v>45405</v>
      </c>
      <c r="C390">
        <v>-1.8041551</v>
      </c>
      <c r="D390">
        <v>0.15403032</v>
      </c>
    </row>
    <row r="391" spans="2:4" x14ac:dyDescent="0.25">
      <c r="B391" s="5">
        <v>45404</v>
      </c>
      <c r="C391">
        <v>1.3238072000000001</v>
      </c>
      <c r="D391">
        <v>-0.69661735999999996</v>
      </c>
    </row>
    <row r="392" spans="2:4" x14ac:dyDescent="0.25">
      <c r="B392" s="5">
        <v>45401</v>
      </c>
      <c r="C392">
        <v>4.6384334999999999E-2</v>
      </c>
      <c r="D392">
        <v>-2.8078257999999998</v>
      </c>
    </row>
    <row r="393" spans="2:4" x14ac:dyDescent="0.25">
      <c r="B393" s="5">
        <v>45400</v>
      </c>
      <c r="C393">
        <v>2.3131251000000002</v>
      </c>
      <c r="D393">
        <v>0.51391125000000004</v>
      </c>
    </row>
    <row r="394" spans="2:4" x14ac:dyDescent="0.25">
      <c r="B394" s="5">
        <v>45399</v>
      </c>
      <c r="C394">
        <v>0.51358939999999997</v>
      </c>
      <c r="D394">
        <v>-2.4392724000000001</v>
      </c>
    </row>
    <row r="395" spans="2:4" x14ac:dyDescent="0.25">
      <c r="B395" s="5">
        <v>45398</v>
      </c>
      <c r="C395">
        <v>-10.961824</v>
      </c>
      <c r="D395">
        <v>-4.9513043999999997</v>
      </c>
    </row>
    <row r="396" spans="2:4" x14ac:dyDescent="0.25">
      <c r="B396" s="5">
        <v>45397</v>
      </c>
      <c r="C396">
        <v>-0.92777609999999999</v>
      </c>
      <c r="D396">
        <v>-1.304996</v>
      </c>
    </row>
    <row r="397" spans="2:4" x14ac:dyDescent="0.25">
      <c r="B397" s="5">
        <v>45394</v>
      </c>
      <c r="C397">
        <v>0.69150924999999996</v>
      </c>
      <c r="D397">
        <v>1.3276338999999999</v>
      </c>
    </row>
    <row r="398" spans="2:4" x14ac:dyDescent="0.25">
      <c r="B398" s="5">
        <v>45393</v>
      </c>
      <c r="C398">
        <v>6.5827369999999996E-2</v>
      </c>
      <c r="D398">
        <v>1.3526796999999999</v>
      </c>
    </row>
    <row r="399" spans="2:4" x14ac:dyDescent="0.25">
      <c r="B399" s="5">
        <v>45392</v>
      </c>
      <c r="C399">
        <v>-0.96797350000000004</v>
      </c>
      <c r="D399">
        <v>-0.57045219999999996</v>
      </c>
    </row>
    <row r="400" spans="2:4" x14ac:dyDescent="0.25">
      <c r="B400" s="5">
        <v>45391</v>
      </c>
      <c r="C400">
        <v>-0.94795823000000001</v>
      </c>
      <c r="D400">
        <v>3.0833244</v>
      </c>
    </row>
    <row r="401" spans="2:4" x14ac:dyDescent="0.25">
      <c r="B401" s="5">
        <v>45390</v>
      </c>
      <c r="C401">
        <v>1.661861</v>
      </c>
      <c r="D401">
        <v>-1.7023086999999999E-2</v>
      </c>
    </row>
    <row r="402" spans="2:4" x14ac:dyDescent="0.25">
      <c r="B402" s="5">
        <v>45387</v>
      </c>
      <c r="C402">
        <v>-1.1488020000000001</v>
      </c>
      <c r="D402">
        <v>1.6402483000000001</v>
      </c>
    </row>
    <row r="403" spans="2:4" x14ac:dyDescent="0.25">
      <c r="B403" s="5">
        <v>45386</v>
      </c>
      <c r="C403">
        <v>0.24334191999999999</v>
      </c>
      <c r="D403">
        <v>0.17830133000000001</v>
      </c>
    </row>
    <row r="404" spans="2:4" x14ac:dyDescent="0.25">
      <c r="B404" s="5">
        <v>45385</v>
      </c>
      <c r="C404">
        <v>0.10225773000000001</v>
      </c>
      <c r="D404">
        <v>0.91048479999999998</v>
      </c>
    </row>
    <row r="405" spans="2:4" x14ac:dyDescent="0.25">
      <c r="B405" s="5">
        <v>45384</v>
      </c>
      <c r="C405">
        <v>-3.5704075999999998</v>
      </c>
      <c r="D405">
        <v>9.2923640000000002E-2</v>
      </c>
    </row>
    <row r="406" spans="2:4" x14ac:dyDescent="0.25">
      <c r="B406" s="5">
        <v>45383</v>
      </c>
      <c r="C406">
        <v>-0.45863986000000001</v>
      </c>
      <c r="D406">
        <v>3.9995193000000002</v>
      </c>
    </row>
    <row r="407" spans="2:4" x14ac:dyDescent="0.25">
      <c r="B407" s="5">
        <v>45379</v>
      </c>
      <c r="C407">
        <v>1.5750169999999999</v>
      </c>
      <c r="D407">
        <v>-2.5600553000000001</v>
      </c>
    </row>
    <row r="408" spans="2:4" x14ac:dyDescent="0.25">
      <c r="B408" s="5">
        <v>45378</v>
      </c>
      <c r="C408">
        <v>-0.28093456999999999</v>
      </c>
      <c r="D408">
        <v>1.7310858</v>
      </c>
    </row>
    <row r="409" spans="2:4" x14ac:dyDescent="0.25">
      <c r="B409" s="5">
        <v>45377</v>
      </c>
      <c r="C409">
        <v>0.17175673999999999</v>
      </c>
      <c r="D409">
        <v>0.27624369999999998</v>
      </c>
    </row>
    <row r="410" spans="2:4" x14ac:dyDescent="0.25">
      <c r="B410" s="5">
        <v>45376</v>
      </c>
      <c r="C410">
        <v>0.22876262999999999</v>
      </c>
      <c r="D410">
        <v>2.4410962999999999</v>
      </c>
    </row>
    <row r="411" spans="2:4" x14ac:dyDescent="0.25">
      <c r="B411" s="5">
        <v>45373</v>
      </c>
      <c r="C411">
        <v>-0.17412305</v>
      </c>
      <c r="D411">
        <v>1.5559673000000001</v>
      </c>
    </row>
    <row r="412" spans="2:4" x14ac:dyDescent="0.25">
      <c r="B412" s="5">
        <v>45372</v>
      </c>
      <c r="C412">
        <v>0.6894827</v>
      </c>
      <c r="D412">
        <v>1.98282</v>
      </c>
    </row>
    <row r="413" spans="2:4" x14ac:dyDescent="0.25">
      <c r="B413" s="5">
        <v>45371</v>
      </c>
      <c r="C413">
        <v>-0.45757293999999998</v>
      </c>
      <c r="D413">
        <v>-0.61977506000000004</v>
      </c>
    </row>
    <row r="414" spans="2:4" x14ac:dyDescent="0.25">
      <c r="B414" s="5">
        <v>45370</v>
      </c>
      <c r="C414">
        <v>-2.5486767000000001</v>
      </c>
      <c r="D414">
        <v>0.23748875</v>
      </c>
    </row>
    <row r="415" spans="2:4" x14ac:dyDescent="0.25">
      <c r="B415" s="5">
        <v>45369</v>
      </c>
      <c r="C415">
        <v>-1.0872006000000001</v>
      </c>
      <c r="D415">
        <v>0.50921439999999996</v>
      </c>
    </row>
    <row r="416" spans="2:4" x14ac:dyDescent="0.25">
      <c r="B416" s="5">
        <v>45366</v>
      </c>
      <c r="C416">
        <v>0.93947650000000005</v>
      </c>
      <c r="D416">
        <v>-0.17707944</v>
      </c>
    </row>
    <row r="417" spans="2:4" x14ac:dyDescent="0.25">
      <c r="B417" s="5">
        <v>45365</v>
      </c>
      <c r="C417">
        <v>0.29722451999999999</v>
      </c>
      <c r="D417">
        <v>-1.8778980000000001</v>
      </c>
    </row>
    <row r="418" spans="2:4" x14ac:dyDescent="0.25">
      <c r="B418" s="5">
        <v>45364</v>
      </c>
      <c r="C418">
        <v>-0.74270963999999995</v>
      </c>
      <c r="D418">
        <v>-1.5445352000000001</v>
      </c>
    </row>
    <row r="419" spans="2:4" x14ac:dyDescent="0.25">
      <c r="B419" s="5">
        <v>45363</v>
      </c>
      <c r="C419">
        <v>1.2919784000000001</v>
      </c>
      <c r="D419">
        <v>-3.0380606999999999</v>
      </c>
    </row>
    <row r="420" spans="2:4" x14ac:dyDescent="0.25">
      <c r="B420" s="5">
        <v>45362</v>
      </c>
      <c r="C420">
        <v>-1.1418998</v>
      </c>
      <c r="D420">
        <v>-5.8132410000000002E-2</v>
      </c>
    </row>
    <row r="421" spans="2:4" x14ac:dyDescent="0.25">
      <c r="B421" s="5">
        <v>45359</v>
      </c>
      <c r="C421">
        <v>0.41121244000000001</v>
      </c>
      <c r="D421">
        <v>2.7038693</v>
      </c>
    </row>
    <row r="422" spans="2:4" x14ac:dyDescent="0.25">
      <c r="B422" s="5">
        <v>45358</v>
      </c>
      <c r="C422">
        <v>1.5212417</v>
      </c>
      <c r="D422">
        <v>1.9632459</v>
      </c>
    </row>
    <row r="423" spans="2:4" x14ac:dyDescent="0.25">
      <c r="B423" s="5">
        <v>45357</v>
      </c>
      <c r="C423">
        <v>-1.8715858000000001E-3</v>
      </c>
      <c r="D423">
        <v>-0.51087740000000004</v>
      </c>
    </row>
    <row r="424" spans="2:4" x14ac:dyDescent="0.25">
      <c r="B424" s="5">
        <v>45356</v>
      </c>
      <c r="C424">
        <v>1.630795</v>
      </c>
      <c r="D424">
        <v>-1.8697977000000001E-2</v>
      </c>
    </row>
    <row r="425" spans="2:4" x14ac:dyDescent="0.25">
      <c r="B425" s="5">
        <v>45355</v>
      </c>
      <c r="C425">
        <v>-2.5544047000000001</v>
      </c>
      <c r="D425">
        <v>-0.54827930000000002</v>
      </c>
    </row>
    <row r="426" spans="2:4" x14ac:dyDescent="0.25">
      <c r="B426" s="5">
        <v>45352</v>
      </c>
      <c r="C426">
        <v>-1.2385546999999999</v>
      </c>
      <c r="D426">
        <v>0.82556010000000002</v>
      </c>
    </row>
    <row r="427" spans="2:4" x14ac:dyDescent="0.25">
      <c r="B427" s="5">
        <v>45351</v>
      </c>
      <c r="C427">
        <v>-5.2451553000000004</v>
      </c>
      <c r="D427">
        <v>0.74126720000000001</v>
      </c>
    </row>
    <row r="428" spans="2:4" x14ac:dyDescent="0.25">
      <c r="B428" s="5">
        <v>45350</v>
      </c>
      <c r="C428">
        <v>0.41966438</v>
      </c>
      <c r="D428">
        <v>-1.3058065999999999</v>
      </c>
    </row>
    <row r="429" spans="2:4" x14ac:dyDescent="0.25">
      <c r="B429" s="5">
        <v>45349</v>
      </c>
      <c r="C429">
        <v>0.60787199999999997</v>
      </c>
      <c r="D429">
        <v>-1.1935353</v>
      </c>
    </row>
    <row r="430" spans="2:4" x14ac:dyDescent="0.25">
      <c r="B430" s="5">
        <v>45348</v>
      </c>
      <c r="C430">
        <v>-0.74776410000000004</v>
      </c>
      <c r="D430">
        <v>-2.4068176999999999</v>
      </c>
    </row>
    <row r="431" spans="2:4" x14ac:dyDescent="0.25">
      <c r="B431" s="5">
        <v>45345</v>
      </c>
      <c r="C431">
        <v>6.3180923000000005E-4</v>
      </c>
      <c r="D431">
        <v>-1.9931793E-2</v>
      </c>
    </row>
    <row r="432" spans="2:4" x14ac:dyDescent="0.25">
      <c r="B432" s="5">
        <v>45344</v>
      </c>
      <c r="C432">
        <v>1.8048644</v>
      </c>
      <c r="D432">
        <v>-7.9566239999999996E-2</v>
      </c>
    </row>
    <row r="433" spans="2:4" x14ac:dyDescent="0.25">
      <c r="B433" s="5">
        <v>45343</v>
      </c>
      <c r="C433">
        <v>-0.19977093000000001</v>
      </c>
      <c r="D433">
        <v>1.3718724</v>
      </c>
    </row>
    <row r="434" spans="2:4" x14ac:dyDescent="0.25">
      <c r="B434" s="5">
        <v>45342</v>
      </c>
      <c r="C434">
        <v>0.16144513999999999</v>
      </c>
      <c r="D434">
        <v>-1.4296888999999999</v>
      </c>
    </row>
    <row r="435" spans="2:4" x14ac:dyDescent="0.25">
      <c r="B435" s="5">
        <v>45338</v>
      </c>
      <c r="C435">
        <v>-0.50690769999999996</v>
      </c>
      <c r="D435">
        <v>0.64970254999999999</v>
      </c>
    </row>
    <row r="436" spans="2:4" x14ac:dyDescent="0.25">
      <c r="B436" s="5">
        <v>45337</v>
      </c>
      <c r="C436">
        <v>1.6199112</v>
      </c>
      <c r="D436">
        <v>0.97477435999999995</v>
      </c>
    </row>
    <row r="437" spans="2:4" x14ac:dyDescent="0.25">
      <c r="B437" s="5">
        <v>45336</v>
      </c>
      <c r="C437">
        <v>0.56260823999999998</v>
      </c>
      <c r="D437">
        <v>-0.69897175</v>
      </c>
    </row>
    <row r="438" spans="2:4" x14ac:dyDescent="0.25">
      <c r="B438" s="5">
        <v>45335</v>
      </c>
      <c r="C438">
        <v>-2.3085176999999999</v>
      </c>
      <c r="D438">
        <v>1.3540745000000001</v>
      </c>
    </row>
    <row r="439" spans="2:4" x14ac:dyDescent="0.25">
      <c r="B439" s="5">
        <v>45334</v>
      </c>
      <c r="C439">
        <v>2.1103740000000002</v>
      </c>
      <c r="D439">
        <v>-8.6987019999999998E-2</v>
      </c>
    </row>
    <row r="440" spans="2:4" x14ac:dyDescent="0.25">
      <c r="B440" s="5">
        <v>45331</v>
      </c>
      <c r="C440">
        <v>-2.8542339999999999</v>
      </c>
      <c r="D440">
        <v>-0.46569110000000002</v>
      </c>
    </row>
    <row r="441" spans="2:4" x14ac:dyDescent="0.25">
      <c r="B441" s="5">
        <v>45330</v>
      </c>
      <c r="C441">
        <v>-0.75570345000000005</v>
      </c>
      <c r="D441">
        <v>-3.9623081999999998</v>
      </c>
    </row>
    <row r="442" spans="2:4" x14ac:dyDescent="0.25">
      <c r="B442" s="5">
        <v>45329</v>
      </c>
      <c r="C442">
        <v>-1.4039098999999999</v>
      </c>
      <c r="D442">
        <v>5.5678964000000004</v>
      </c>
    </row>
    <row r="443" spans="2:4" x14ac:dyDescent="0.25">
      <c r="B443" s="5">
        <v>45328</v>
      </c>
      <c r="C443">
        <v>0.71613789999999999</v>
      </c>
      <c r="D443">
        <v>-0.28094649999999999</v>
      </c>
    </row>
    <row r="444" spans="2:4" x14ac:dyDescent="0.25">
      <c r="B444" s="5">
        <v>45327</v>
      </c>
      <c r="C444">
        <v>-1.500237</v>
      </c>
      <c r="D444">
        <v>-0.79994200000000004</v>
      </c>
    </row>
    <row r="445" spans="2:4" x14ac:dyDescent="0.25">
      <c r="B445" s="5">
        <v>45324</v>
      </c>
      <c r="C445">
        <v>0.57363509999999995</v>
      </c>
      <c r="D445">
        <v>21.178758999999999</v>
      </c>
    </row>
    <row r="446" spans="2:4" x14ac:dyDescent="0.25">
      <c r="B446" s="5">
        <v>45323</v>
      </c>
      <c r="C446">
        <v>-1.1456013</v>
      </c>
      <c r="D446">
        <v>1.2135625000000001</v>
      </c>
    </row>
    <row r="447" spans="2:4" x14ac:dyDescent="0.25">
      <c r="B447" s="5">
        <v>45322</v>
      </c>
      <c r="C447">
        <v>1.6429423999999999</v>
      </c>
      <c r="D447">
        <v>0.79269409999999996</v>
      </c>
    </row>
    <row r="448" spans="2:4" x14ac:dyDescent="0.25">
      <c r="B448" s="5">
        <v>45321</v>
      </c>
      <c r="C448">
        <v>0.83886384999999997</v>
      </c>
      <c r="D448">
        <v>0.20266771</v>
      </c>
    </row>
    <row r="449" spans="2:4" x14ac:dyDescent="0.25">
      <c r="B449" s="5">
        <v>45320</v>
      </c>
      <c r="C449">
        <v>-1.6429602999999999</v>
      </c>
      <c r="D449">
        <v>1.9278169000000001</v>
      </c>
    </row>
    <row r="450" spans="2:4" x14ac:dyDescent="0.25">
      <c r="B450" s="5">
        <v>45317</v>
      </c>
      <c r="C450">
        <v>2.5760770000000002</v>
      </c>
      <c r="D450">
        <v>-2.4834811999999999</v>
      </c>
    </row>
    <row r="451" spans="2:4" x14ac:dyDescent="0.25">
      <c r="B451" s="5">
        <v>45316</v>
      </c>
      <c r="C451">
        <v>-1.1489868000000001</v>
      </c>
      <c r="D451">
        <v>0.104773045</v>
      </c>
    </row>
    <row r="452" spans="2:4" x14ac:dyDescent="0.25">
      <c r="B452" s="5">
        <v>45315</v>
      </c>
      <c r="C452">
        <v>3.1143187999999999</v>
      </c>
      <c r="D452">
        <v>0.8490801</v>
      </c>
    </row>
    <row r="453" spans="2:4" x14ac:dyDescent="0.25">
      <c r="B453" s="5">
        <v>45314</v>
      </c>
      <c r="C453">
        <v>-0.54335</v>
      </c>
      <c r="D453">
        <v>0.62422750000000005</v>
      </c>
    </row>
    <row r="454" spans="2:4" x14ac:dyDescent="0.25">
      <c r="B454" s="5">
        <v>45313</v>
      </c>
      <c r="C454">
        <v>0.6136298</v>
      </c>
      <c r="D454">
        <v>1.2878299</v>
      </c>
    </row>
    <row r="455" spans="2:4" x14ac:dyDescent="0.25">
      <c r="B455" s="5">
        <v>45310</v>
      </c>
      <c r="C455">
        <v>-0.53454639999999998</v>
      </c>
      <c r="D455">
        <v>-0.11590718999999999</v>
      </c>
    </row>
    <row r="456" spans="2:4" x14ac:dyDescent="0.25">
      <c r="B456" s="5">
        <v>45309</v>
      </c>
      <c r="C456">
        <v>-0.43316483</v>
      </c>
      <c r="D456">
        <v>-0.53048134000000002</v>
      </c>
    </row>
    <row r="457" spans="2:4" x14ac:dyDescent="0.25">
      <c r="B457" s="5">
        <v>45308</v>
      </c>
      <c r="C457">
        <v>-5.6596812999999999</v>
      </c>
      <c r="D457">
        <v>-3.0846298000000001</v>
      </c>
    </row>
    <row r="458" spans="2:4" x14ac:dyDescent="0.25">
      <c r="B458" s="5">
        <v>45307</v>
      </c>
      <c r="C458">
        <v>-3.3304870000000002</v>
      </c>
      <c r="D458">
        <v>5.0126910000000002</v>
      </c>
    </row>
    <row r="459" spans="2:4" x14ac:dyDescent="0.25">
      <c r="B459" s="5">
        <v>45303</v>
      </c>
      <c r="C459">
        <v>1.1285901</v>
      </c>
      <c r="D459">
        <v>0.18099546</v>
      </c>
    </row>
    <row r="460" spans="2:4" x14ac:dyDescent="0.25">
      <c r="B460" s="5">
        <v>45302</v>
      </c>
      <c r="C460">
        <v>0.120294094</v>
      </c>
      <c r="D460">
        <v>0.43318272000000002</v>
      </c>
    </row>
    <row r="461" spans="2:4" x14ac:dyDescent="0.25">
      <c r="B461" s="5">
        <v>45301</v>
      </c>
      <c r="C461">
        <v>-2.0858525999999999</v>
      </c>
      <c r="D461">
        <v>0.71171519999999999</v>
      </c>
    </row>
    <row r="462" spans="2:4" x14ac:dyDescent="0.25">
      <c r="B462" s="5">
        <v>45300</v>
      </c>
      <c r="C462">
        <v>-3.7392794999999999</v>
      </c>
      <c r="D462">
        <v>3.3911943</v>
      </c>
    </row>
    <row r="463" spans="2:4" x14ac:dyDescent="0.25">
      <c r="B463" s="5">
        <v>45299</v>
      </c>
      <c r="C463">
        <v>0.58726069999999997</v>
      </c>
      <c r="D463">
        <v>0.16678572</v>
      </c>
    </row>
    <row r="464" spans="2:4" x14ac:dyDescent="0.25">
      <c r="B464" s="5">
        <v>45296</v>
      </c>
      <c r="C464">
        <v>-0.28235912000000002</v>
      </c>
      <c r="D464">
        <v>0.11467934</v>
      </c>
    </row>
    <row r="465" spans="2:4" x14ac:dyDescent="0.25">
      <c r="B465" s="5">
        <v>45295</v>
      </c>
      <c r="C465">
        <v>1.2481332000000001</v>
      </c>
      <c r="D465">
        <v>0.54895879999999997</v>
      </c>
    </row>
    <row r="466" spans="2:4" x14ac:dyDescent="0.25">
      <c r="B466" s="5">
        <v>45294</v>
      </c>
      <c r="C466">
        <v>-2.5317669999999999</v>
      </c>
      <c r="D466">
        <v>-1.1629105</v>
      </c>
    </row>
    <row r="467" spans="2:4" x14ac:dyDescent="0.25">
      <c r="B467" s="5">
        <v>45293</v>
      </c>
      <c r="C467">
        <v>-0.82483289999999998</v>
      </c>
      <c r="D467">
        <v>-0.67284703000000001</v>
      </c>
    </row>
    <row r="468" spans="2:4" x14ac:dyDescent="0.25">
      <c r="B468" s="5">
        <v>45289</v>
      </c>
      <c r="C468">
        <v>-0.67785379999999995</v>
      </c>
      <c r="D468">
        <v>0.20005703</v>
      </c>
    </row>
    <row r="469" spans="2:4" x14ac:dyDescent="0.25">
      <c r="B469" s="5">
        <v>45288</v>
      </c>
      <c r="C469">
        <v>0.84280969999999999</v>
      </c>
      <c r="D469">
        <v>1.8799543000000001</v>
      </c>
    </row>
    <row r="470" spans="2:4" x14ac:dyDescent="0.25">
      <c r="B470" s="5">
        <v>45287</v>
      </c>
      <c r="C470">
        <v>2.5596022999999999</v>
      </c>
      <c r="D470">
        <v>1.5920401</v>
      </c>
    </row>
    <row r="471" spans="2:4" x14ac:dyDescent="0.25">
      <c r="B471" s="5">
        <v>45286</v>
      </c>
      <c r="C471">
        <v>2.3388862999999999E-2</v>
      </c>
      <c r="D471">
        <v>-0.29060839999999999</v>
      </c>
    </row>
    <row r="472" spans="2:4" x14ac:dyDescent="0.25">
      <c r="B472" s="5">
        <v>45282</v>
      </c>
      <c r="C472">
        <v>-0.59690474999999998</v>
      </c>
      <c r="D472">
        <v>0.25962590000000002</v>
      </c>
    </row>
    <row r="473" spans="2:4" x14ac:dyDescent="0.25">
      <c r="B473" s="5">
        <v>45281</v>
      </c>
      <c r="C473">
        <v>-0.7345855</v>
      </c>
      <c r="D473">
        <v>-9.8359584999999999E-2</v>
      </c>
    </row>
    <row r="474" spans="2:4" x14ac:dyDescent="0.25">
      <c r="B474" s="5">
        <v>45280</v>
      </c>
      <c r="C474">
        <v>-1.5337706</v>
      </c>
      <c r="D474">
        <v>1.7627596999999999</v>
      </c>
    </row>
    <row r="475" spans="2:4" x14ac:dyDescent="0.25">
      <c r="B475" s="5">
        <v>45279</v>
      </c>
      <c r="C475">
        <v>2.2555113000000002</v>
      </c>
      <c r="D475">
        <v>-0.4902184</v>
      </c>
    </row>
    <row r="476" spans="2:4" x14ac:dyDescent="0.25">
      <c r="B476" s="5">
        <v>45278</v>
      </c>
      <c r="C476">
        <v>-0.71635245999999997</v>
      </c>
      <c r="D476">
        <v>-1.9991814999999999</v>
      </c>
    </row>
    <row r="477" spans="2:4" x14ac:dyDescent="0.25">
      <c r="B477" s="5">
        <v>45275</v>
      </c>
      <c r="C477">
        <v>0.55506230000000001</v>
      </c>
      <c r="D477">
        <v>-1.2911855999999999</v>
      </c>
    </row>
    <row r="478" spans="2:4" x14ac:dyDescent="0.25">
      <c r="B478" s="5">
        <v>45274</v>
      </c>
      <c r="C478">
        <v>2.4080276</v>
      </c>
      <c r="D478">
        <v>0.14702082</v>
      </c>
    </row>
    <row r="479" spans="2:4" x14ac:dyDescent="0.25">
      <c r="B479" s="5">
        <v>45273</v>
      </c>
      <c r="C479">
        <v>-0.95238089999999997</v>
      </c>
      <c r="D479">
        <v>5.1572800000000001</v>
      </c>
    </row>
    <row r="480" spans="2:4" x14ac:dyDescent="0.25">
      <c r="B480" s="5">
        <v>45272</v>
      </c>
      <c r="C480">
        <v>0.10154247</v>
      </c>
      <c r="D480">
        <v>0.13192892000000001</v>
      </c>
    </row>
    <row r="481" spans="2:4" x14ac:dyDescent="0.25">
      <c r="B481" s="5">
        <v>45271</v>
      </c>
      <c r="C481">
        <v>0.41970014999999999</v>
      </c>
      <c r="D481">
        <v>-0.17229915000000001</v>
      </c>
    </row>
    <row r="482" spans="2:4" x14ac:dyDescent="0.25">
      <c r="B482" s="5">
        <v>45268</v>
      </c>
      <c r="C482">
        <v>0.88710785000000003</v>
      </c>
      <c r="D482">
        <v>-1.2448668000000001</v>
      </c>
    </row>
    <row r="483" spans="2:4" x14ac:dyDescent="0.25">
      <c r="B483" s="5">
        <v>45267</v>
      </c>
      <c r="C483">
        <v>-0.30653477000000001</v>
      </c>
      <c r="D483">
        <v>2.085054</v>
      </c>
    </row>
    <row r="484" spans="2:4" x14ac:dyDescent="0.25">
      <c r="B484" s="5">
        <v>45266</v>
      </c>
      <c r="C484">
        <v>-1.0952352999999999</v>
      </c>
      <c r="D484">
        <v>2.4645925000000002</v>
      </c>
    </row>
    <row r="485" spans="2:4" x14ac:dyDescent="0.25">
      <c r="B485" s="5">
        <v>45265</v>
      </c>
      <c r="C485">
        <v>-0.41282773</v>
      </c>
      <c r="D485">
        <v>-0.64824223999999997</v>
      </c>
    </row>
    <row r="486" spans="2:4" x14ac:dyDescent="0.25">
      <c r="B486" s="5">
        <v>45264</v>
      </c>
      <c r="C486">
        <v>-1.0096073000000001</v>
      </c>
      <c r="D486">
        <v>-0.26921630000000002</v>
      </c>
    </row>
    <row r="487" spans="2:4" x14ac:dyDescent="0.25">
      <c r="B487" s="5">
        <v>45261</v>
      </c>
      <c r="C487">
        <v>-0.53991080000000002</v>
      </c>
      <c r="D487">
        <v>2.4807929999999998</v>
      </c>
    </row>
    <row r="488" spans="2:4" x14ac:dyDescent="0.25">
      <c r="B488" s="5">
        <v>45260</v>
      </c>
      <c r="C488">
        <v>0.74074269999999998</v>
      </c>
      <c r="D488">
        <v>0.15413761000000001</v>
      </c>
    </row>
    <row r="489" spans="2:4" x14ac:dyDescent="0.25">
      <c r="B489" s="5">
        <v>45259</v>
      </c>
      <c r="C489">
        <v>1.1104703</v>
      </c>
      <c r="D489">
        <v>8.4841250000000007E-2</v>
      </c>
    </row>
    <row r="490" spans="2:4" x14ac:dyDescent="0.25">
      <c r="B490" s="5">
        <v>45258</v>
      </c>
      <c r="C490">
        <v>0.61521530000000002</v>
      </c>
      <c r="D490">
        <v>0.60848000000000002</v>
      </c>
    </row>
    <row r="491" spans="2:4" x14ac:dyDescent="0.25">
      <c r="B491" s="5">
        <v>45257</v>
      </c>
      <c r="C491">
        <v>-0.35871267000000001</v>
      </c>
      <c r="D491">
        <v>0.1739502</v>
      </c>
    </row>
    <row r="492" spans="2:4" x14ac:dyDescent="0.25">
      <c r="B492" s="5">
        <v>45254</v>
      </c>
      <c r="C492">
        <v>1.5112996000000001</v>
      </c>
      <c r="D492">
        <v>1.2788653000000001</v>
      </c>
    </row>
    <row r="493" spans="2:4" x14ac:dyDescent="0.25">
      <c r="B493" s="5">
        <v>45252</v>
      </c>
      <c r="C493">
        <v>0.51403045999999997</v>
      </c>
      <c r="D493">
        <v>-0.91522336000000004</v>
      </c>
    </row>
    <row r="494" spans="2:4" x14ac:dyDescent="0.25">
      <c r="B494" s="5">
        <v>45251</v>
      </c>
      <c r="C494">
        <v>-0.34239888000000002</v>
      </c>
      <c r="D494">
        <v>1.0544895999999999</v>
      </c>
    </row>
    <row r="495" spans="2:4" x14ac:dyDescent="0.25">
      <c r="B495" s="5">
        <v>45250</v>
      </c>
      <c r="C495">
        <v>1.1706352E-2</v>
      </c>
      <c r="D495">
        <v>-1.3443649</v>
      </c>
    </row>
    <row r="496" spans="2:4" x14ac:dyDescent="0.25">
      <c r="B496" s="5">
        <v>45247</v>
      </c>
      <c r="C496">
        <v>1.9587159000000001</v>
      </c>
      <c r="D496">
        <v>1.6861439</v>
      </c>
    </row>
    <row r="497" spans="2:4" x14ac:dyDescent="0.25">
      <c r="B497" s="5">
        <v>45246</v>
      </c>
      <c r="C497">
        <v>-1.5011369999999999</v>
      </c>
      <c r="D497">
        <v>-0.68045855</v>
      </c>
    </row>
    <row r="498" spans="2:4" x14ac:dyDescent="0.25">
      <c r="B498" s="5">
        <v>45245</v>
      </c>
      <c r="C498">
        <v>1.4363049999999999</v>
      </c>
      <c r="D498">
        <v>-0.33298729999999999</v>
      </c>
    </row>
    <row r="499" spans="2:4" x14ac:dyDescent="0.25">
      <c r="B499" s="5">
        <v>45244</v>
      </c>
      <c r="C499">
        <v>3.6700249</v>
      </c>
      <c r="D499">
        <v>-0.11769533</v>
      </c>
    </row>
    <row r="500" spans="2:4" x14ac:dyDescent="0.25">
      <c r="B500" s="5">
        <v>45243</v>
      </c>
      <c r="C500">
        <v>0.41964054000000001</v>
      </c>
      <c r="D500">
        <v>-2.3202837000000001</v>
      </c>
    </row>
    <row r="501" spans="2:4" x14ac:dyDescent="0.25">
      <c r="B501" s="5">
        <v>45240</v>
      </c>
      <c r="C501">
        <v>-0.83469150000000003</v>
      </c>
      <c r="D501">
        <v>1.7045855999999999</v>
      </c>
    </row>
    <row r="502" spans="2:4" x14ac:dyDescent="0.25">
      <c r="B502" s="5">
        <v>45239</v>
      </c>
      <c r="C502">
        <v>1.1752605</v>
      </c>
      <c r="D502">
        <v>-0.43863654000000002</v>
      </c>
    </row>
    <row r="503" spans="2:4" x14ac:dyDescent="0.25">
      <c r="B503" s="5">
        <v>45238</v>
      </c>
      <c r="C503">
        <v>-4.8184394999999998E-2</v>
      </c>
      <c r="D503">
        <v>-2.6637374999999999</v>
      </c>
    </row>
    <row r="504" spans="2:4" x14ac:dyDescent="0.25">
      <c r="B504" s="5">
        <v>45237</v>
      </c>
      <c r="C504">
        <v>-1.8730937999999999</v>
      </c>
      <c r="D504">
        <v>-0.97060204000000005</v>
      </c>
    </row>
    <row r="505" spans="2:4" x14ac:dyDescent="0.25">
      <c r="B505" s="5">
        <v>45236</v>
      </c>
      <c r="C505">
        <v>0.66156389999999998</v>
      </c>
      <c r="D505">
        <v>-1.2695968</v>
      </c>
    </row>
    <row r="506" spans="2:4" x14ac:dyDescent="0.25">
      <c r="B506" s="5">
        <v>45233</v>
      </c>
      <c r="C506">
        <v>2.2395133999999999</v>
      </c>
      <c r="D506">
        <v>0.74989795999999997</v>
      </c>
    </row>
    <row r="507" spans="2:4" x14ac:dyDescent="0.25">
      <c r="B507" s="5">
        <v>45232</v>
      </c>
      <c r="C507">
        <v>14.391220000000001</v>
      </c>
      <c r="D507">
        <v>2.5248528000000001</v>
      </c>
    </row>
    <row r="508" spans="2:4" x14ac:dyDescent="0.25">
      <c r="B508" s="5">
        <v>45231</v>
      </c>
      <c r="C508">
        <v>0.78452825999999998</v>
      </c>
      <c r="D508">
        <v>2.2297262999999998</v>
      </c>
    </row>
    <row r="509" spans="2:4" x14ac:dyDescent="0.25">
      <c r="B509" s="5">
        <v>45230</v>
      </c>
      <c r="C509">
        <v>0.74666739999999998</v>
      </c>
      <c r="D509">
        <v>-0.17011166</v>
      </c>
    </row>
    <row r="510" spans="2:4" x14ac:dyDescent="0.25">
      <c r="B510" s="5">
        <v>45229</v>
      </c>
      <c r="C510">
        <v>9.9802020000000005E-2</v>
      </c>
      <c r="D510">
        <v>-1.1818706999999999</v>
      </c>
    </row>
    <row r="511" spans="2:4" x14ac:dyDescent="0.25">
      <c r="B511" s="5">
        <v>45226</v>
      </c>
      <c r="C511">
        <v>-1.02911</v>
      </c>
      <c r="D511">
        <v>0.80124139999999999</v>
      </c>
    </row>
    <row r="512" spans="2:4" x14ac:dyDescent="0.25">
      <c r="B512" s="5">
        <v>45225</v>
      </c>
      <c r="C512">
        <v>0.11854172</v>
      </c>
      <c r="D512">
        <v>-1.3243317999999999</v>
      </c>
    </row>
    <row r="513" spans="2:4" x14ac:dyDescent="0.25">
      <c r="B513" s="5">
        <v>45224</v>
      </c>
      <c r="C513">
        <v>-0.901258</v>
      </c>
      <c r="D513">
        <v>-0.50569176999999998</v>
      </c>
    </row>
    <row r="514" spans="2:4" x14ac:dyDescent="0.25">
      <c r="B514" s="5">
        <v>45223</v>
      </c>
      <c r="C514">
        <v>8.5592270000000008E-3</v>
      </c>
      <c r="D514">
        <v>0.77558755999999995</v>
      </c>
    </row>
    <row r="515" spans="2:4" x14ac:dyDescent="0.25">
      <c r="B515" s="5">
        <v>45222</v>
      </c>
      <c r="C515">
        <v>0.20891428000000001</v>
      </c>
      <c r="D515">
        <v>-8.1938504999999995E-2</v>
      </c>
    </row>
    <row r="516" spans="2:4" x14ac:dyDescent="0.25">
      <c r="B516" s="5">
        <v>45219</v>
      </c>
      <c r="C516">
        <v>-1.0670900000000001</v>
      </c>
      <c r="D516">
        <v>0.19023418</v>
      </c>
    </row>
    <row r="517" spans="2:4" x14ac:dyDescent="0.25">
      <c r="B517" s="5">
        <v>45218</v>
      </c>
      <c r="C517">
        <v>-3.8294613000000002</v>
      </c>
      <c r="D517">
        <v>-0.26978254000000002</v>
      </c>
    </row>
    <row r="518" spans="2:4" x14ac:dyDescent="0.25">
      <c r="B518" s="5">
        <v>45217</v>
      </c>
      <c r="C518">
        <v>-1.1308491000000001</v>
      </c>
      <c r="D518">
        <v>0.36584139999999998</v>
      </c>
    </row>
    <row r="519" spans="2:4" x14ac:dyDescent="0.25">
      <c r="B519" s="5">
        <v>45216</v>
      </c>
      <c r="C519">
        <v>-0.51943064000000005</v>
      </c>
      <c r="D519">
        <v>0.33313036000000001</v>
      </c>
    </row>
    <row r="520" spans="2:4" x14ac:dyDescent="0.25">
      <c r="B520" s="5">
        <v>45215</v>
      </c>
      <c r="C520">
        <v>0.95212459999999999</v>
      </c>
      <c r="D520">
        <v>-1.0641754000000001</v>
      </c>
    </row>
    <row r="521" spans="2:4" x14ac:dyDescent="0.25">
      <c r="B521" s="5">
        <v>45212</v>
      </c>
      <c r="C521">
        <v>-2.4612427000000001</v>
      </c>
      <c r="D521">
        <v>-1.7897069999999999</v>
      </c>
    </row>
    <row r="522" spans="2:4" x14ac:dyDescent="0.25">
      <c r="B522" s="5">
        <v>45211</v>
      </c>
      <c r="C522">
        <v>0.33899546000000003</v>
      </c>
      <c r="D522">
        <v>1.2559651999999999</v>
      </c>
    </row>
    <row r="523" spans="2:4" x14ac:dyDescent="0.25">
      <c r="B523" s="5">
        <v>45210</v>
      </c>
      <c r="C523">
        <v>0.52875280000000002</v>
      </c>
      <c r="D523">
        <v>-1.7359614000000001</v>
      </c>
    </row>
    <row r="524" spans="2:4" x14ac:dyDescent="0.25">
      <c r="B524" s="5">
        <v>45209</v>
      </c>
      <c r="C524">
        <v>1.7131685999999999</v>
      </c>
      <c r="D524">
        <v>2.3888349999999998</v>
      </c>
    </row>
    <row r="525" spans="2:4" x14ac:dyDescent="0.25">
      <c r="B525" s="5">
        <v>45208</v>
      </c>
      <c r="C525">
        <v>0.64444539999999995</v>
      </c>
      <c r="D525">
        <v>0.56215525</v>
      </c>
    </row>
    <row r="526" spans="2:4" x14ac:dyDescent="0.25">
      <c r="B526" s="5">
        <v>45205</v>
      </c>
      <c r="C526">
        <v>1.4483571</v>
      </c>
      <c r="D526">
        <v>1.1459708</v>
      </c>
    </row>
    <row r="527" spans="2:4" x14ac:dyDescent="0.25">
      <c r="B527" s="5">
        <v>45204</v>
      </c>
      <c r="C527">
        <v>-0.37462115000000001</v>
      </c>
      <c r="D527">
        <v>1.2906313</v>
      </c>
    </row>
    <row r="528" spans="2:4" x14ac:dyDescent="0.25">
      <c r="B528" s="5">
        <v>45203</v>
      </c>
      <c r="C528">
        <v>-2.6618301999999998</v>
      </c>
      <c r="D528">
        <v>-2.9566287999999998</v>
      </c>
    </row>
    <row r="529" spans="2:4" x14ac:dyDescent="0.25">
      <c r="B529" s="5">
        <v>45202</v>
      </c>
      <c r="C529">
        <v>0.36929846</v>
      </c>
      <c r="D529">
        <v>-2.560079</v>
      </c>
    </row>
    <row r="530" spans="2:4" x14ac:dyDescent="0.25">
      <c r="B530" s="5">
        <v>45201</v>
      </c>
      <c r="C530">
        <v>-2.2392273</v>
      </c>
      <c r="D530">
        <v>-0.15029907000000001</v>
      </c>
    </row>
    <row r="531" spans="2:4" x14ac:dyDescent="0.25">
      <c r="B531" s="5">
        <v>45198</v>
      </c>
      <c r="C531">
        <v>1.508534</v>
      </c>
      <c r="D531">
        <v>0.3461957</v>
      </c>
    </row>
    <row r="532" spans="2:4" x14ac:dyDescent="0.25">
      <c r="B532" s="5">
        <v>45197</v>
      </c>
      <c r="C532">
        <v>-0.20226240000000001</v>
      </c>
      <c r="D532">
        <v>-1.5133619</v>
      </c>
    </row>
    <row r="533" spans="2:4" x14ac:dyDescent="0.25">
      <c r="B533" s="5">
        <v>45196</v>
      </c>
      <c r="C533">
        <v>-1.5735625999999999E-3</v>
      </c>
      <c r="D533">
        <v>-1.0349630999999999</v>
      </c>
    </row>
    <row r="534" spans="2:4" x14ac:dyDescent="0.25">
      <c r="B534" s="5">
        <v>45195</v>
      </c>
      <c r="C534">
        <v>-0.57243109999999997</v>
      </c>
      <c r="D534">
        <v>1.4351487000000001</v>
      </c>
    </row>
    <row r="535" spans="2:4" x14ac:dyDescent="0.25">
      <c r="B535" s="5">
        <v>45194</v>
      </c>
      <c r="C535">
        <v>-0.46449304000000002</v>
      </c>
      <c r="D535">
        <v>-3.1120420000000002</v>
      </c>
    </row>
    <row r="536" spans="2:4" x14ac:dyDescent="0.25">
      <c r="B536" s="5">
        <v>45191</v>
      </c>
      <c r="C536">
        <v>-1.9920348999999999</v>
      </c>
      <c r="D536">
        <v>13.05579</v>
      </c>
    </row>
    <row r="537" spans="2:4" x14ac:dyDescent="0.25">
      <c r="B537" s="5">
        <v>45190</v>
      </c>
      <c r="C537">
        <v>-1.7536521</v>
      </c>
      <c r="D537">
        <v>-0.71392060000000002</v>
      </c>
    </row>
    <row r="538" spans="2:4" x14ac:dyDescent="0.25">
      <c r="B538" s="5">
        <v>45189</v>
      </c>
      <c r="C538">
        <v>2.3648739999999999</v>
      </c>
      <c r="D538">
        <v>-1.8681346999999999</v>
      </c>
    </row>
    <row r="539" spans="2:4" x14ac:dyDescent="0.25">
      <c r="B539" s="5">
        <v>45188</v>
      </c>
      <c r="C539">
        <v>-0.16964673999999999</v>
      </c>
      <c r="D539">
        <v>-1.1047661</v>
      </c>
    </row>
    <row r="540" spans="2:4" x14ac:dyDescent="0.25">
      <c r="B540" s="5">
        <v>45187</v>
      </c>
      <c r="C540">
        <v>0.21427869999999999</v>
      </c>
      <c r="D540">
        <v>0.1218915</v>
      </c>
    </row>
    <row r="541" spans="2:4" x14ac:dyDescent="0.25">
      <c r="B541" s="5">
        <v>45184</v>
      </c>
      <c r="C541">
        <v>1.0159969</v>
      </c>
      <c r="D541">
        <v>1.3210653999999999</v>
      </c>
    </row>
    <row r="542" spans="2:4" x14ac:dyDescent="0.25">
      <c r="B542" s="5">
        <v>45183</v>
      </c>
      <c r="C542">
        <v>-0.64690113000000005</v>
      </c>
      <c r="D542">
        <v>1.7409325</v>
      </c>
    </row>
    <row r="543" spans="2:4" x14ac:dyDescent="0.25">
      <c r="B543" s="5">
        <v>45182</v>
      </c>
      <c r="C543">
        <v>0.3783822</v>
      </c>
      <c r="D543">
        <v>5.3226948000000003E-2</v>
      </c>
    </row>
    <row r="544" spans="2:4" x14ac:dyDescent="0.25">
      <c r="B544" s="5">
        <v>45181</v>
      </c>
      <c r="C544">
        <v>0.23363829</v>
      </c>
      <c r="D544">
        <v>3.6704540000000001E-2</v>
      </c>
    </row>
    <row r="545" spans="2:4" x14ac:dyDescent="0.25">
      <c r="B545" s="5">
        <v>45180</v>
      </c>
      <c r="C545">
        <v>0.41503906000000002</v>
      </c>
      <c r="D545">
        <v>1.6691685000000001</v>
      </c>
    </row>
    <row r="546" spans="2:4" x14ac:dyDescent="0.25">
      <c r="B546" s="5">
        <v>45177</v>
      </c>
      <c r="C546">
        <v>-1.7703533</v>
      </c>
      <c r="D546">
        <v>-0.85966589999999998</v>
      </c>
    </row>
    <row r="547" spans="2:4" x14ac:dyDescent="0.25">
      <c r="B547" s="5">
        <v>45176</v>
      </c>
      <c r="C547">
        <v>0.41923523000000001</v>
      </c>
      <c r="D547">
        <v>0.29034615000000003</v>
      </c>
    </row>
    <row r="548" spans="2:4" x14ac:dyDescent="0.25">
      <c r="B548" s="5">
        <v>45175</v>
      </c>
      <c r="C548">
        <v>-0.72403550000000005</v>
      </c>
      <c r="D548">
        <v>0.92252489999999998</v>
      </c>
    </row>
    <row r="549" spans="2:4" x14ac:dyDescent="0.25">
      <c r="B549" s="5">
        <v>45174</v>
      </c>
      <c r="C549">
        <v>-1.2807906</v>
      </c>
      <c r="D549">
        <v>-2.1667719999999999</v>
      </c>
    </row>
    <row r="550" spans="2:4" x14ac:dyDescent="0.25">
      <c r="B550" s="5">
        <v>45170</v>
      </c>
      <c r="C550">
        <v>-1.3331710999999999</v>
      </c>
      <c r="D550">
        <v>0.61293839999999999</v>
      </c>
    </row>
    <row r="551" spans="2:4" x14ac:dyDescent="0.25">
      <c r="B551" s="5">
        <v>45169</v>
      </c>
      <c r="C551">
        <v>-0.63168405999999999</v>
      </c>
      <c r="D551">
        <v>1.3352155999999999</v>
      </c>
    </row>
    <row r="552" spans="2:4" x14ac:dyDescent="0.25">
      <c r="B552" s="5">
        <v>45168</v>
      </c>
      <c r="C552">
        <v>1.3725162</v>
      </c>
      <c r="D552">
        <v>0.36306379999999999</v>
      </c>
    </row>
    <row r="553" spans="2:4" x14ac:dyDescent="0.25">
      <c r="B553" s="5">
        <v>45167</v>
      </c>
      <c r="C553">
        <v>1.8835068E-2</v>
      </c>
      <c r="D553">
        <v>0.45692919999999998</v>
      </c>
    </row>
    <row r="554" spans="2:4" x14ac:dyDescent="0.25">
      <c r="B554" s="5">
        <v>45166</v>
      </c>
      <c r="C554">
        <v>1.5456795999999999</v>
      </c>
      <c r="D554">
        <v>1.3840555999999999</v>
      </c>
    </row>
    <row r="555" spans="2:4" x14ac:dyDescent="0.25">
      <c r="B555" s="5">
        <v>45163</v>
      </c>
      <c r="C555">
        <v>-1.0546446</v>
      </c>
      <c r="D555">
        <v>-0.95846056999999996</v>
      </c>
    </row>
    <row r="556" spans="2:4" x14ac:dyDescent="0.25">
      <c r="B556" s="5">
        <v>45162</v>
      </c>
      <c r="C556">
        <v>-1.2938797</v>
      </c>
      <c r="D556">
        <v>-1.3426184999999999</v>
      </c>
    </row>
    <row r="557" spans="2:4" x14ac:dyDescent="0.25">
      <c r="B557" s="5">
        <v>45161</v>
      </c>
      <c r="C557">
        <v>-0.64132809999999996</v>
      </c>
      <c r="D557">
        <v>0.99397899999999995</v>
      </c>
    </row>
    <row r="558" spans="2:4" x14ac:dyDescent="0.25">
      <c r="B558" s="5">
        <v>45160</v>
      </c>
      <c r="C558">
        <v>3.6371229999999999</v>
      </c>
      <c r="D558">
        <v>0.80078839999999996</v>
      </c>
    </row>
    <row r="559" spans="2:4" x14ac:dyDescent="0.25">
      <c r="B559" s="5">
        <v>45159</v>
      </c>
      <c r="C559">
        <v>0.99747180000000002</v>
      </c>
      <c r="D559">
        <v>-1.9493878</v>
      </c>
    </row>
    <row r="560" spans="2:4" x14ac:dyDescent="0.25">
      <c r="B560" s="5">
        <v>45156</v>
      </c>
      <c r="C560">
        <v>-0.38350223999999999</v>
      </c>
      <c r="D560">
        <v>-1.0097145999999999</v>
      </c>
    </row>
    <row r="561" spans="2:4" x14ac:dyDescent="0.25">
      <c r="B561" s="5">
        <v>45155</v>
      </c>
      <c r="C561">
        <v>-0.63697099999999995</v>
      </c>
      <c r="D561">
        <v>-0.79931616999999999</v>
      </c>
    </row>
    <row r="562" spans="2:4" x14ac:dyDescent="0.25">
      <c r="B562" s="5">
        <v>45154</v>
      </c>
      <c r="C562">
        <v>6.5565109999999996E-2</v>
      </c>
      <c r="D562">
        <v>-0.66998005000000005</v>
      </c>
    </row>
    <row r="563" spans="2:4" x14ac:dyDescent="0.25">
      <c r="B563" s="5">
        <v>45153</v>
      </c>
      <c r="C563">
        <v>-1.5413463000000001</v>
      </c>
      <c r="D563">
        <v>0.44876336999999999</v>
      </c>
    </row>
    <row r="564" spans="2:4" x14ac:dyDescent="0.25">
      <c r="B564" s="5">
        <v>45152</v>
      </c>
      <c r="C564">
        <v>0.26375054999999997</v>
      </c>
      <c r="D564">
        <v>-1.4486372000000001</v>
      </c>
    </row>
    <row r="565" spans="2:4" x14ac:dyDescent="0.25">
      <c r="B565" s="5">
        <v>45149</v>
      </c>
      <c r="C565">
        <v>-1.2146771000000001</v>
      </c>
      <c r="D565">
        <v>-0.23836493</v>
      </c>
    </row>
    <row r="566" spans="2:4" x14ac:dyDescent="0.25">
      <c r="B566" s="5">
        <v>45148</v>
      </c>
      <c r="C566">
        <v>1.0850668000000001</v>
      </c>
      <c r="D566">
        <v>1.4649272</v>
      </c>
    </row>
    <row r="567" spans="2:4" x14ac:dyDescent="0.25">
      <c r="B567" s="5">
        <v>45147</v>
      </c>
      <c r="C567">
        <v>0.82783700000000005</v>
      </c>
      <c r="D567">
        <v>-0.78818200000000005</v>
      </c>
    </row>
    <row r="568" spans="2:4" x14ac:dyDescent="0.25">
      <c r="B568" s="5">
        <v>45146</v>
      </c>
      <c r="C568">
        <v>-1.2816548000000001</v>
      </c>
      <c r="D568">
        <v>2.4747848999999999E-2</v>
      </c>
    </row>
    <row r="569" spans="2:4" x14ac:dyDescent="0.25">
      <c r="B569" s="5">
        <v>45145</v>
      </c>
      <c r="C569">
        <v>0.77697039999999995</v>
      </c>
      <c r="D569">
        <v>1.1995912</v>
      </c>
    </row>
    <row r="570" spans="2:4" x14ac:dyDescent="0.25">
      <c r="B570" s="5">
        <v>45142</v>
      </c>
      <c r="C570">
        <v>6.1166286E-2</v>
      </c>
      <c r="D570">
        <v>-0.54560900000000001</v>
      </c>
    </row>
    <row r="571" spans="2:4" x14ac:dyDescent="0.25">
      <c r="B571" s="5">
        <v>45141</v>
      </c>
      <c r="C571">
        <v>6.775379</v>
      </c>
      <c r="D571">
        <v>-0.76306459999999998</v>
      </c>
    </row>
    <row r="572" spans="2:4" x14ac:dyDescent="0.25">
      <c r="B572" s="5">
        <v>45140</v>
      </c>
      <c r="C572">
        <v>-1.8900216000000001</v>
      </c>
      <c r="D572">
        <v>-0.51007866999999996</v>
      </c>
    </row>
    <row r="573" spans="2:4" x14ac:dyDescent="0.25">
      <c r="B573" s="5">
        <v>45139</v>
      </c>
      <c r="C573">
        <v>-0.93708634000000002</v>
      </c>
      <c r="D573">
        <v>0.89344979999999996</v>
      </c>
    </row>
    <row r="574" spans="2:4" x14ac:dyDescent="0.25">
      <c r="B574" s="5">
        <v>45138</v>
      </c>
      <c r="C574">
        <v>0.68941116000000002</v>
      </c>
      <c r="D574">
        <v>-0.61959030000000004</v>
      </c>
    </row>
    <row r="575" spans="2:4" x14ac:dyDescent="0.25">
      <c r="B575" s="5">
        <v>45135</v>
      </c>
      <c r="C575">
        <v>0.83736180000000004</v>
      </c>
      <c r="D575">
        <v>-0.40379763000000002</v>
      </c>
    </row>
    <row r="576" spans="2:4" x14ac:dyDescent="0.25">
      <c r="B576" s="5">
        <v>45134</v>
      </c>
      <c r="C576">
        <v>2.1973251999999999</v>
      </c>
      <c r="D576">
        <v>-0.24782419</v>
      </c>
    </row>
    <row r="577" spans="2:4" x14ac:dyDescent="0.25">
      <c r="B577" s="5">
        <v>45133</v>
      </c>
      <c r="C577">
        <v>-0.145787</v>
      </c>
      <c r="D577">
        <v>0.50575733</v>
      </c>
    </row>
    <row r="578" spans="2:4" x14ac:dyDescent="0.25">
      <c r="B578" s="5">
        <v>45132</v>
      </c>
      <c r="C578">
        <v>3.4605264999999998</v>
      </c>
      <c r="D578">
        <v>0.25824308000000001</v>
      </c>
    </row>
    <row r="579" spans="2:4" x14ac:dyDescent="0.25">
      <c r="B579" s="5">
        <v>45131</v>
      </c>
      <c r="C579">
        <v>0.57326555000000001</v>
      </c>
      <c r="D579">
        <v>1.0322332000000001</v>
      </c>
    </row>
    <row r="580" spans="2:4" x14ac:dyDescent="0.25">
      <c r="B580" s="5">
        <v>45128</v>
      </c>
      <c r="C580">
        <v>-0.84348319999999999</v>
      </c>
      <c r="D580">
        <v>-3.0043720999999999</v>
      </c>
    </row>
    <row r="581" spans="2:4" x14ac:dyDescent="0.25">
      <c r="B581" s="5">
        <v>45127</v>
      </c>
      <c r="C581">
        <v>-2.9989599999999998</v>
      </c>
      <c r="D581">
        <v>-7.0792439999999998E-2</v>
      </c>
    </row>
    <row r="582" spans="2:4" x14ac:dyDescent="0.25">
      <c r="B582" s="5">
        <v>45126</v>
      </c>
      <c r="C582">
        <v>0.28244257</v>
      </c>
      <c r="D582">
        <v>1.0811447999999999</v>
      </c>
    </row>
    <row r="583" spans="2:4" x14ac:dyDescent="0.25">
      <c r="B583" s="5">
        <v>45125</v>
      </c>
      <c r="C583">
        <v>2.5736690000000002</v>
      </c>
      <c r="D583">
        <v>1.1481403999999999</v>
      </c>
    </row>
    <row r="584" spans="2:4" x14ac:dyDescent="0.25">
      <c r="B584" s="5">
        <v>45124</v>
      </c>
      <c r="C584">
        <v>1.5308261000000001</v>
      </c>
      <c r="D584">
        <v>-0.44567584999999998</v>
      </c>
    </row>
    <row r="585" spans="2:4" x14ac:dyDescent="0.25">
      <c r="B585" s="5">
        <v>45121</v>
      </c>
      <c r="C585">
        <v>0.35939217000000001</v>
      </c>
      <c r="D585">
        <v>0.17555952</v>
      </c>
    </row>
    <row r="586" spans="2:4" x14ac:dyDescent="0.25">
      <c r="B586" s="5">
        <v>45120</v>
      </c>
      <c r="C586">
        <v>1.9649148000000001</v>
      </c>
      <c r="D586">
        <v>0.18624067</v>
      </c>
    </row>
    <row r="587" spans="2:4" x14ac:dyDescent="0.25">
      <c r="B587" s="5">
        <v>45119</v>
      </c>
      <c r="C587">
        <v>5.1261543999999999</v>
      </c>
      <c r="D587">
        <v>1.855731</v>
      </c>
    </row>
    <row r="588" spans="2:4" x14ac:dyDescent="0.25">
      <c r="B588" s="5">
        <v>45118</v>
      </c>
      <c r="C588">
        <v>3.2111882999999999</v>
      </c>
      <c r="D588">
        <v>-0.89458822999999998</v>
      </c>
    </row>
    <row r="589" spans="2:4" x14ac:dyDescent="0.25">
      <c r="B589" s="5">
        <v>45117</v>
      </c>
      <c r="C589">
        <v>1.1915922000000001</v>
      </c>
      <c r="D589">
        <v>0.43498278000000001</v>
      </c>
    </row>
    <row r="590" spans="2:4" x14ac:dyDescent="0.25">
      <c r="B590" s="5">
        <v>45114</v>
      </c>
      <c r="C590">
        <v>2.8231025000000001</v>
      </c>
      <c r="D590">
        <v>0.45970677999999998</v>
      </c>
    </row>
    <row r="591" spans="2:4" x14ac:dyDescent="0.25">
      <c r="B591" s="5">
        <v>45113</v>
      </c>
      <c r="C591">
        <v>-1.4810502999999999</v>
      </c>
      <c r="D591">
        <v>-0.97088220000000003</v>
      </c>
    </row>
    <row r="592" spans="2:4" x14ac:dyDescent="0.25">
      <c r="B592" s="5">
        <v>45112</v>
      </c>
      <c r="C592">
        <v>-0.66238045999999995</v>
      </c>
      <c r="D592">
        <v>-1.1998951</v>
      </c>
    </row>
    <row r="593" spans="2:4" x14ac:dyDescent="0.25">
      <c r="B593" s="5">
        <v>45110</v>
      </c>
      <c r="C593">
        <v>2.1095514</v>
      </c>
      <c r="D593">
        <v>1.0716081</v>
      </c>
    </row>
    <row r="594" spans="2:4" x14ac:dyDescent="0.25">
      <c r="B594" s="5">
        <v>45107</v>
      </c>
      <c r="C594">
        <v>1.1332272999999999</v>
      </c>
      <c r="D594">
        <v>0.87277890000000002</v>
      </c>
    </row>
    <row r="595" spans="2:4" x14ac:dyDescent="0.25">
      <c r="B595" s="5">
        <v>45106</v>
      </c>
      <c r="C595">
        <v>-0.13886093999999999</v>
      </c>
      <c r="D595">
        <v>-1.0390937</v>
      </c>
    </row>
    <row r="596" spans="2:4" x14ac:dyDescent="0.25">
      <c r="B596" s="5">
        <v>45105</v>
      </c>
      <c r="C596">
        <v>1.2036085000000001</v>
      </c>
      <c r="D596">
        <v>1.6104698</v>
      </c>
    </row>
    <row r="597" spans="2:4" x14ac:dyDescent="0.25">
      <c r="B597" s="5">
        <v>45104</v>
      </c>
      <c r="C597">
        <v>0.2383709</v>
      </c>
      <c r="D597">
        <v>-0.26603937</v>
      </c>
    </row>
    <row r="598" spans="2:4" x14ac:dyDescent="0.25">
      <c r="B598" s="5">
        <v>45103</v>
      </c>
      <c r="C598">
        <v>-0.54291487000000005</v>
      </c>
      <c r="D598">
        <v>0.32595395999999999</v>
      </c>
    </row>
    <row r="599" spans="2:4" x14ac:dyDescent="0.25">
      <c r="B599" s="5">
        <v>45100</v>
      </c>
      <c r="C599">
        <v>-0.20846724999999999</v>
      </c>
      <c r="D599">
        <v>-0.99992749999999997</v>
      </c>
    </row>
    <row r="600" spans="2:4" x14ac:dyDescent="0.25">
      <c r="B600" s="5">
        <v>45099</v>
      </c>
      <c r="C600">
        <v>0.17609596</v>
      </c>
      <c r="D600">
        <v>0.18180609</v>
      </c>
    </row>
    <row r="601" spans="2:4" x14ac:dyDescent="0.25">
      <c r="B601" s="5">
        <v>45098</v>
      </c>
      <c r="C601">
        <v>2.6833415</v>
      </c>
      <c r="D601">
        <v>1.116991E-2</v>
      </c>
    </row>
    <row r="602" spans="2:4" x14ac:dyDescent="0.25">
      <c r="B602" s="5">
        <v>45097</v>
      </c>
      <c r="C602">
        <v>-1.7458856</v>
      </c>
      <c r="D602">
        <v>0.35959481999999998</v>
      </c>
    </row>
    <row r="603" spans="2:4" x14ac:dyDescent="0.25">
      <c r="B603" s="5">
        <v>45093</v>
      </c>
      <c r="C603">
        <v>-9.5856189999999994E-2</v>
      </c>
      <c r="D603">
        <v>-0.16345978</v>
      </c>
    </row>
    <row r="604" spans="2:4" x14ac:dyDescent="0.25">
      <c r="B604" s="5">
        <v>45092</v>
      </c>
      <c r="C604">
        <v>0.36725997999999999</v>
      </c>
      <c r="D604">
        <v>-0.49984455</v>
      </c>
    </row>
    <row r="605" spans="2:4" x14ac:dyDescent="0.25">
      <c r="B605" s="5">
        <v>45091</v>
      </c>
      <c r="C605">
        <v>-1.2459815000000001</v>
      </c>
      <c r="D605">
        <v>-0.22746325000000001</v>
      </c>
    </row>
    <row r="606" spans="2:4" x14ac:dyDescent="0.25">
      <c r="B606" s="5">
        <v>45090</v>
      </c>
      <c r="C606">
        <v>1.0215044</v>
      </c>
      <c r="D606">
        <v>0.47187804999999999</v>
      </c>
    </row>
    <row r="607" spans="2:4" x14ac:dyDescent="0.25">
      <c r="B607" s="5">
        <v>45089</v>
      </c>
      <c r="C607">
        <v>0.10331869</v>
      </c>
      <c r="D607">
        <v>0.31700134000000002</v>
      </c>
    </row>
    <row r="608" spans="2:4" x14ac:dyDescent="0.25">
      <c r="B608" s="5">
        <v>45086</v>
      </c>
      <c r="C608">
        <v>0.32792090000000002</v>
      </c>
      <c r="D608">
        <v>1.7425775999999999</v>
      </c>
    </row>
    <row r="609" spans="2:4" x14ac:dyDescent="0.25">
      <c r="B609" s="5">
        <v>45085</v>
      </c>
      <c r="C609">
        <v>1.5024185000000001</v>
      </c>
      <c r="D609">
        <v>-0.35423635999999997</v>
      </c>
    </row>
    <row r="610" spans="2:4" x14ac:dyDescent="0.25">
      <c r="B610" s="5">
        <v>45084</v>
      </c>
      <c r="C610">
        <v>-7.7396629999999994E-2</v>
      </c>
      <c r="D610">
        <v>0.11317729999999999</v>
      </c>
    </row>
    <row r="611" spans="2:4" x14ac:dyDescent="0.25">
      <c r="B611" s="5">
        <v>45083</v>
      </c>
      <c r="C611">
        <v>-0.70843100000000003</v>
      </c>
      <c r="D611">
        <v>-0.59292909999999999</v>
      </c>
    </row>
    <row r="612" spans="2:4" x14ac:dyDescent="0.25">
      <c r="B612" s="5">
        <v>45082</v>
      </c>
      <c r="C612">
        <v>0.13446807999999999</v>
      </c>
      <c r="D612">
        <v>1.4087915</v>
      </c>
    </row>
    <row r="613" spans="2:4" x14ac:dyDescent="0.25">
      <c r="B613" s="5">
        <v>45079</v>
      </c>
      <c r="C613">
        <v>4.0124180000000003</v>
      </c>
      <c r="D613">
        <v>-0.12211203599999999</v>
      </c>
    </row>
    <row r="614" spans="2:4" x14ac:dyDescent="0.25">
      <c r="B614" s="5">
        <v>45078</v>
      </c>
      <c r="C614">
        <v>1.5460252999999999</v>
      </c>
      <c r="D614">
        <v>1.4285445000000001</v>
      </c>
    </row>
    <row r="615" spans="2:4" x14ac:dyDescent="0.25">
      <c r="B615" s="5">
        <v>45077</v>
      </c>
      <c r="C615">
        <v>-3.8074849999999998</v>
      </c>
      <c r="D615">
        <v>-1.1854172000000001</v>
      </c>
    </row>
    <row r="616" spans="2:4" x14ac:dyDescent="0.25">
      <c r="B616" s="5">
        <v>45076</v>
      </c>
      <c r="C616">
        <v>-0.60717463000000005</v>
      </c>
      <c r="D616">
        <v>1.3639688000000001</v>
      </c>
    </row>
    <row r="617" spans="2:4" x14ac:dyDescent="0.25">
      <c r="B617" s="5">
        <v>45072</v>
      </c>
      <c r="C617">
        <v>0.19502639999999999</v>
      </c>
      <c r="D617">
        <v>-1.8887877</v>
      </c>
    </row>
    <row r="618" spans="2:4" x14ac:dyDescent="0.25">
      <c r="B618" s="5">
        <v>45071</v>
      </c>
      <c r="C618">
        <v>-0.99650024999999998</v>
      </c>
      <c r="D618">
        <v>-0.56868790000000002</v>
      </c>
    </row>
    <row r="619" spans="2:4" x14ac:dyDescent="0.25">
      <c r="B619" s="5">
        <v>45070</v>
      </c>
      <c r="C619">
        <v>-2.2672593999999999</v>
      </c>
      <c r="D619">
        <v>-1.4676571</v>
      </c>
    </row>
    <row r="620" spans="2:4" x14ac:dyDescent="0.25">
      <c r="B620" s="5">
        <v>45069</v>
      </c>
      <c r="C620">
        <v>-7.1167946000000003E-3</v>
      </c>
      <c r="D620">
        <v>0.25247334999999999</v>
      </c>
    </row>
    <row r="621" spans="2:4" x14ac:dyDescent="0.25">
      <c r="B621" s="5">
        <v>45068</v>
      </c>
      <c r="C621">
        <v>0.34480094999999999</v>
      </c>
      <c r="D621">
        <v>9.62615E-2</v>
      </c>
    </row>
    <row r="622" spans="2:4" x14ac:dyDescent="0.25">
      <c r="B622" s="5">
        <v>45065</v>
      </c>
      <c r="C622">
        <v>0.70244074000000001</v>
      </c>
      <c r="D622">
        <v>2.0448445999999998</v>
      </c>
    </row>
    <row r="623" spans="2:4" x14ac:dyDescent="0.25">
      <c r="B623" s="5">
        <v>45064</v>
      </c>
      <c r="C623">
        <v>-0.71772336999999997</v>
      </c>
      <c r="D623">
        <v>-0.23151636</v>
      </c>
    </row>
    <row r="624" spans="2:4" x14ac:dyDescent="0.25">
      <c r="B624" s="5">
        <v>45063</v>
      </c>
      <c r="C624">
        <v>4.9412249999999998E-2</v>
      </c>
      <c r="D624">
        <v>0.20185708999999999</v>
      </c>
    </row>
    <row r="625" spans="2:4" x14ac:dyDescent="0.25">
      <c r="B625" s="5">
        <v>45062</v>
      </c>
      <c r="C625">
        <v>-2.0854472999999998</v>
      </c>
      <c r="D625">
        <v>0.29613972</v>
      </c>
    </row>
    <row r="626" spans="2:4" x14ac:dyDescent="0.25">
      <c r="B626" s="5">
        <v>45061</v>
      </c>
      <c r="C626">
        <v>0.5694747</v>
      </c>
      <c r="D626">
        <v>-0.53724050000000001</v>
      </c>
    </row>
    <row r="627" spans="2:4" x14ac:dyDescent="0.25">
      <c r="B627" s="5">
        <v>45058</v>
      </c>
      <c r="C627">
        <v>-0.6314516</v>
      </c>
      <c r="D627">
        <v>-8.3804129999999998E-3</v>
      </c>
    </row>
    <row r="628" spans="2:4" x14ac:dyDescent="0.25">
      <c r="B628" s="5">
        <v>45057</v>
      </c>
      <c r="C628">
        <v>-2.7859210999999998E-2</v>
      </c>
      <c r="D628">
        <v>-1.1971295</v>
      </c>
    </row>
    <row r="629" spans="2:4" x14ac:dyDescent="0.25">
      <c r="B629" s="5">
        <v>45056</v>
      </c>
      <c r="C629">
        <v>-0.95236900000000002</v>
      </c>
      <c r="D629">
        <v>1.4401554999999999</v>
      </c>
    </row>
    <row r="630" spans="2:4" x14ac:dyDescent="0.25">
      <c r="B630" s="5">
        <v>45055</v>
      </c>
      <c r="C630">
        <v>-1.0662615</v>
      </c>
      <c r="D630">
        <v>1.1748552000000001</v>
      </c>
    </row>
    <row r="631" spans="2:4" x14ac:dyDescent="0.25">
      <c r="B631" s="5">
        <v>45054</v>
      </c>
      <c r="C631">
        <v>0.20200013999999999</v>
      </c>
      <c r="D631">
        <v>-0.15189648</v>
      </c>
    </row>
    <row r="632" spans="2:4" x14ac:dyDescent="0.25">
      <c r="B632" s="5">
        <v>45051</v>
      </c>
      <c r="C632">
        <v>2.6711464</v>
      </c>
      <c r="D632">
        <v>-0.7413149</v>
      </c>
    </row>
    <row r="633" spans="2:4" x14ac:dyDescent="0.25">
      <c r="B633" s="5">
        <v>45050</v>
      </c>
      <c r="C633">
        <v>-2.2413313000000001</v>
      </c>
      <c r="D633">
        <v>0.9260893</v>
      </c>
    </row>
    <row r="634" spans="2:4" x14ac:dyDescent="0.25">
      <c r="B634" s="5">
        <v>45049</v>
      </c>
      <c r="C634">
        <v>-1.5933930999999999</v>
      </c>
      <c r="D634">
        <v>0.99161862999999995</v>
      </c>
    </row>
    <row r="635" spans="2:4" x14ac:dyDescent="0.25">
      <c r="B635" s="5">
        <v>45048</v>
      </c>
      <c r="C635">
        <v>-1.2654304999999999</v>
      </c>
      <c r="D635">
        <v>0.85474249999999996</v>
      </c>
    </row>
    <row r="636" spans="2:4" x14ac:dyDescent="0.25">
      <c r="B636" s="5">
        <v>45047</v>
      </c>
      <c r="C636">
        <v>-0.60305595000000001</v>
      </c>
      <c r="D636">
        <v>-0.58661103000000003</v>
      </c>
    </row>
    <row r="637" spans="2:4" x14ac:dyDescent="0.25">
      <c r="B637" s="5">
        <v>45044</v>
      </c>
      <c r="C637">
        <v>3.0594587</v>
      </c>
      <c r="D637">
        <v>0.47680139999999999</v>
      </c>
    </row>
    <row r="638" spans="2:4" x14ac:dyDescent="0.25">
      <c r="B638" s="5">
        <v>45043</v>
      </c>
      <c r="C638">
        <v>-0.31285286000000001</v>
      </c>
      <c r="D638">
        <v>-0.16452074</v>
      </c>
    </row>
    <row r="639" spans="2:4" x14ac:dyDescent="0.25">
      <c r="B639" s="5">
        <v>45042</v>
      </c>
      <c r="C639">
        <v>0.30335188000000002</v>
      </c>
      <c r="D639">
        <v>-0.44522285</v>
      </c>
    </row>
    <row r="640" spans="2:4" x14ac:dyDescent="0.25">
      <c r="B640" s="5">
        <v>45041</v>
      </c>
      <c r="C640">
        <v>-3.4481168000000002</v>
      </c>
      <c r="D640">
        <v>0.92960595999999995</v>
      </c>
    </row>
    <row r="641" spans="2:4" x14ac:dyDescent="0.25">
      <c r="B641" s="5">
        <v>45040</v>
      </c>
      <c r="C641">
        <v>1.5790701</v>
      </c>
      <c r="D641">
        <v>0.41981935999999997</v>
      </c>
    </row>
    <row r="642" spans="2:4" x14ac:dyDescent="0.25">
      <c r="B642" s="5">
        <v>45037</v>
      </c>
      <c r="C642">
        <v>-0.41565299999999999</v>
      </c>
      <c r="D642">
        <v>0.56167840000000002</v>
      </c>
    </row>
    <row r="643" spans="2:4" x14ac:dyDescent="0.25">
      <c r="B643" s="5">
        <v>45036</v>
      </c>
      <c r="C643">
        <v>-2.0154177999999998</v>
      </c>
      <c r="D643">
        <v>1.5354037</v>
      </c>
    </row>
    <row r="644" spans="2:4" x14ac:dyDescent="0.25">
      <c r="B644" s="5">
        <v>45035</v>
      </c>
      <c r="C644">
        <v>-1.059401</v>
      </c>
      <c r="D644">
        <v>2.7275085000000001E-2</v>
      </c>
    </row>
    <row r="645" spans="2:4" x14ac:dyDescent="0.25">
      <c r="B645" s="5">
        <v>45034</v>
      </c>
      <c r="C645">
        <v>-5.9877396000000003</v>
      </c>
      <c r="D645">
        <v>0.87074039999999997</v>
      </c>
    </row>
    <row r="646" spans="2:4" x14ac:dyDescent="0.25">
      <c r="B646" s="5">
        <v>45033</v>
      </c>
      <c r="C646">
        <v>0.52406790000000003</v>
      </c>
      <c r="D646">
        <v>-1.0629474999999999</v>
      </c>
    </row>
    <row r="647" spans="2:4" x14ac:dyDescent="0.25">
      <c r="B647" s="5">
        <v>45030</v>
      </c>
      <c r="C647">
        <v>0.9782672</v>
      </c>
      <c r="D647">
        <v>7.9739093999999996E-2</v>
      </c>
    </row>
    <row r="648" spans="2:4" x14ac:dyDescent="0.25">
      <c r="B648" s="5">
        <v>45029</v>
      </c>
      <c r="C648">
        <v>2.1476150000000001</v>
      </c>
      <c r="D648">
        <v>-0.46064854</v>
      </c>
    </row>
    <row r="649" spans="2:4" x14ac:dyDescent="0.25">
      <c r="B649" s="5">
        <v>45028</v>
      </c>
      <c r="C649">
        <v>1.2619495000000001</v>
      </c>
      <c r="D649">
        <v>1.8438816</v>
      </c>
    </row>
    <row r="650" spans="2:4" x14ac:dyDescent="0.25">
      <c r="B650" s="5">
        <v>45027</v>
      </c>
      <c r="C650">
        <v>2.2368670000000002</v>
      </c>
      <c r="D650">
        <v>0.40768385000000001</v>
      </c>
    </row>
    <row r="651" spans="2:4" x14ac:dyDescent="0.25">
      <c r="B651" s="5">
        <v>45026</v>
      </c>
      <c r="C651">
        <v>-0.75728300000000004</v>
      </c>
      <c r="D651">
        <v>-1.1930168000000001</v>
      </c>
    </row>
    <row r="652" spans="2:4" x14ac:dyDescent="0.25">
      <c r="B652" s="5">
        <v>45022</v>
      </c>
      <c r="C652">
        <v>0.75365305000000005</v>
      </c>
      <c r="D652">
        <v>-1.2976527</v>
      </c>
    </row>
    <row r="653" spans="2:4" x14ac:dyDescent="0.25">
      <c r="B653" s="5">
        <v>45021</v>
      </c>
      <c r="C653">
        <v>-2.8860866999999999</v>
      </c>
      <c r="D653">
        <v>-1.4338553000000001</v>
      </c>
    </row>
    <row r="654" spans="2:4" x14ac:dyDescent="0.25">
      <c r="B654" s="5">
        <v>45020</v>
      </c>
      <c r="C654">
        <v>-0.83671209999999996</v>
      </c>
      <c r="D654">
        <v>1.9631624000000001</v>
      </c>
    </row>
    <row r="655" spans="2:4" x14ac:dyDescent="0.25">
      <c r="B655" s="5">
        <v>45019</v>
      </c>
      <c r="C655">
        <v>-0.30486584</v>
      </c>
      <c r="D655">
        <v>1.5400767</v>
      </c>
    </row>
    <row r="656" spans="2:4" x14ac:dyDescent="0.25">
      <c r="B656" s="5">
        <v>45016</v>
      </c>
      <c r="C656">
        <v>0.77703</v>
      </c>
      <c r="D656">
        <v>2.8932571</v>
      </c>
    </row>
    <row r="657" spans="2:4" x14ac:dyDescent="0.25">
      <c r="B657" s="5">
        <v>45015</v>
      </c>
      <c r="C657">
        <v>2.3134947000000001</v>
      </c>
      <c r="D657">
        <v>-2.5558770000000002</v>
      </c>
    </row>
    <row r="658" spans="2:4" x14ac:dyDescent="0.25">
      <c r="B658" s="5">
        <v>45014</v>
      </c>
      <c r="C658">
        <v>2.5990129</v>
      </c>
      <c r="D658">
        <v>-0.10418296000000001</v>
      </c>
    </row>
    <row r="659" spans="2:4" x14ac:dyDescent="0.25">
      <c r="B659" s="5">
        <v>45013</v>
      </c>
      <c r="C659">
        <v>-9.8276139999999998E-2</v>
      </c>
      <c r="D659">
        <v>-0.29160380000000002</v>
      </c>
    </row>
    <row r="660" spans="2:4" x14ac:dyDescent="0.25">
      <c r="B660" s="5">
        <v>45012</v>
      </c>
      <c r="C660">
        <v>1.4094949000000001</v>
      </c>
      <c r="D660">
        <v>-0.66912174000000002</v>
      </c>
    </row>
    <row r="661" spans="2:4" x14ac:dyDescent="0.25">
      <c r="B661" s="5">
        <v>45009</v>
      </c>
      <c r="C661">
        <v>-3.1083286000000001</v>
      </c>
      <c r="D661">
        <v>1.8085599000000001</v>
      </c>
    </row>
    <row r="662" spans="2:4" x14ac:dyDescent="0.25">
      <c r="B662" s="5">
        <v>45008</v>
      </c>
      <c r="C662">
        <v>0.45516489999999998</v>
      </c>
      <c r="D662">
        <v>1.648128</v>
      </c>
    </row>
    <row r="663" spans="2:4" x14ac:dyDescent="0.25">
      <c r="B663" s="5">
        <v>45007</v>
      </c>
      <c r="C663">
        <v>9.8872185000000001E-2</v>
      </c>
      <c r="D663">
        <v>-0.83847046000000003</v>
      </c>
    </row>
    <row r="664" spans="2:4" x14ac:dyDescent="0.25">
      <c r="B664" s="5">
        <v>45006</v>
      </c>
      <c r="C664">
        <v>1.676774</v>
      </c>
      <c r="D664">
        <v>-0.49518347000000001</v>
      </c>
    </row>
    <row r="665" spans="2:4" x14ac:dyDescent="0.25">
      <c r="B665" s="5">
        <v>45005</v>
      </c>
      <c r="C665">
        <v>1.4484881999999999</v>
      </c>
      <c r="D665">
        <v>-1.0212421</v>
      </c>
    </row>
    <row r="666" spans="2:4" x14ac:dyDescent="0.25">
      <c r="B666" s="5">
        <v>45002</v>
      </c>
      <c r="C666">
        <v>-2.0775974000000001</v>
      </c>
      <c r="D666">
        <v>1.0852575</v>
      </c>
    </row>
    <row r="667" spans="2:4" x14ac:dyDescent="0.25">
      <c r="B667" s="5">
        <v>45001</v>
      </c>
      <c r="C667">
        <v>1.4378785999999999</v>
      </c>
      <c r="D667">
        <v>-1.7043173</v>
      </c>
    </row>
    <row r="668" spans="2:4" x14ac:dyDescent="0.25">
      <c r="B668" s="5">
        <v>45000</v>
      </c>
      <c r="C668">
        <v>-6.8719806999999999</v>
      </c>
      <c r="D668">
        <v>3.290689</v>
      </c>
    </row>
    <row r="669" spans="2:4" x14ac:dyDescent="0.25">
      <c r="B669" s="5">
        <v>44999</v>
      </c>
      <c r="C669">
        <v>0.98925830000000003</v>
      </c>
      <c r="D669">
        <v>-3.2801450000000001</v>
      </c>
    </row>
    <row r="670" spans="2:4" x14ac:dyDescent="0.25">
      <c r="B670" s="5">
        <v>44998</v>
      </c>
      <c r="C670">
        <v>-2.8565347000000001</v>
      </c>
      <c r="D670">
        <v>-2.7556121</v>
      </c>
    </row>
    <row r="671" spans="2:4" x14ac:dyDescent="0.25">
      <c r="B671" s="5">
        <v>44995</v>
      </c>
      <c r="C671">
        <v>2.2630810000000001</v>
      </c>
      <c r="D671">
        <v>2.0893454999999999</v>
      </c>
    </row>
    <row r="672" spans="2:4" x14ac:dyDescent="0.25">
      <c r="B672" s="5">
        <v>44994</v>
      </c>
      <c r="C672">
        <v>0.52137374999999997</v>
      </c>
      <c r="D672">
        <v>3.5698295</v>
      </c>
    </row>
    <row r="673" spans="2:4" x14ac:dyDescent="0.25">
      <c r="B673" s="5">
        <v>44993</v>
      </c>
      <c r="C673">
        <v>-2.3472905000000002</v>
      </c>
      <c r="D673">
        <v>0.18167496</v>
      </c>
    </row>
    <row r="674" spans="2:4" x14ac:dyDescent="0.25">
      <c r="B674" s="5">
        <v>44992</v>
      </c>
      <c r="C674">
        <v>-2.0042776999999998</v>
      </c>
      <c r="D674">
        <v>1.3197779999999999</v>
      </c>
    </row>
    <row r="675" spans="2:4" x14ac:dyDescent="0.25">
      <c r="B675" s="5">
        <v>44991</v>
      </c>
      <c r="C675">
        <v>0.89781283999999995</v>
      </c>
      <c r="D675">
        <v>0.83717109999999995</v>
      </c>
    </row>
    <row r="676" spans="2:4" x14ac:dyDescent="0.25">
      <c r="B676" s="5">
        <v>44988</v>
      </c>
      <c r="C676">
        <v>2.8305888000000001</v>
      </c>
      <c r="D676">
        <v>-1.1567175000000001</v>
      </c>
    </row>
    <row r="677" spans="2:4" x14ac:dyDescent="0.25">
      <c r="B677" s="5">
        <v>44987</v>
      </c>
      <c r="C677">
        <v>0.32023190000000001</v>
      </c>
      <c r="D677">
        <v>0.38108826000000001</v>
      </c>
    </row>
    <row r="678" spans="2:4" x14ac:dyDescent="0.25">
      <c r="B678" s="5">
        <v>44986</v>
      </c>
      <c r="C678">
        <v>1.5602231</v>
      </c>
      <c r="D678">
        <v>0.24464130000000001</v>
      </c>
    </row>
    <row r="679" spans="2:4" x14ac:dyDescent="0.25">
      <c r="B679" s="5">
        <v>44985</v>
      </c>
      <c r="C679">
        <v>-2.912277</v>
      </c>
      <c r="D679">
        <v>-2.7659832999999998</v>
      </c>
    </row>
    <row r="680" spans="2:4" x14ac:dyDescent="0.25">
      <c r="B680" s="5">
        <v>44984</v>
      </c>
      <c r="C680">
        <v>1.8846631</v>
      </c>
      <c r="D680">
        <v>0.99102259999999998</v>
      </c>
    </row>
    <row r="681" spans="2:4" x14ac:dyDescent="0.25">
      <c r="B681" s="5">
        <v>44981</v>
      </c>
      <c r="C681">
        <v>-1.2289047</v>
      </c>
      <c r="D681">
        <v>-0.34077168000000002</v>
      </c>
    </row>
    <row r="682" spans="2:4" x14ac:dyDescent="0.25">
      <c r="B682" s="5">
        <v>44980</v>
      </c>
      <c r="C682">
        <v>-0.53679350000000003</v>
      </c>
      <c r="D682">
        <v>-0.17797947</v>
      </c>
    </row>
    <row r="683" spans="2:4" x14ac:dyDescent="0.25">
      <c r="B683" s="5">
        <v>44979</v>
      </c>
      <c r="C683">
        <v>-0.72616340000000001</v>
      </c>
      <c r="D683">
        <v>0.25482178</v>
      </c>
    </row>
    <row r="684" spans="2:4" x14ac:dyDescent="0.25">
      <c r="B684" s="5">
        <v>44978</v>
      </c>
      <c r="C684">
        <v>-1.7168403000000001</v>
      </c>
      <c r="D684">
        <v>2.7121902000000002</v>
      </c>
    </row>
    <row r="685" spans="2:4" x14ac:dyDescent="0.25">
      <c r="B685" s="5">
        <v>44974</v>
      </c>
      <c r="C685">
        <v>0.2184391</v>
      </c>
      <c r="D685">
        <v>3.8728832999999998</v>
      </c>
    </row>
    <row r="686" spans="2:4" x14ac:dyDescent="0.25">
      <c r="B686" s="5">
        <v>44973</v>
      </c>
      <c r="C686">
        <v>-0.81833599999999995</v>
      </c>
      <c r="D686">
        <v>0.44717790000000002</v>
      </c>
    </row>
    <row r="687" spans="2:4" x14ac:dyDescent="0.25">
      <c r="B687" s="5">
        <v>44972</v>
      </c>
      <c r="C687">
        <v>1.0503530000000001</v>
      </c>
      <c r="D687">
        <v>-0.44020414000000002</v>
      </c>
    </row>
    <row r="688" spans="2:4" x14ac:dyDescent="0.25">
      <c r="B688" s="5">
        <v>44971</v>
      </c>
      <c r="C688">
        <v>-0.27610064000000001</v>
      </c>
      <c r="D688">
        <v>0.46895742000000001</v>
      </c>
    </row>
    <row r="689" spans="2:4" x14ac:dyDescent="0.25">
      <c r="B689" s="5">
        <v>44970</v>
      </c>
      <c r="C689">
        <v>0.85729359999999999</v>
      </c>
      <c r="D689">
        <v>-0.83621144000000003</v>
      </c>
    </row>
    <row r="690" spans="2:4" x14ac:dyDescent="0.25">
      <c r="B690" s="5">
        <v>44967</v>
      </c>
      <c r="C690">
        <v>-2.8986036999999998</v>
      </c>
      <c r="D690">
        <v>-0.57674645999999996</v>
      </c>
    </row>
    <row r="691" spans="2:4" x14ac:dyDescent="0.25">
      <c r="B691" s="5">
        <v>44966</v>
      </c>
      <c r="C691">
        <v>0.71513649999999995</v>
      </c>
      <c r="D691">
        <v>1.4732242</v>
      </c>
    </row>
    <row r="692" spans="2:4" x14ac:dyDescent="0.25">
      <c r="B692" s="5">
        <v>44965</v>
      </c>
      <c r="C692">
        <v>-0.66788197000000005</v>
      </c>
      <c r="D692">
        <v>0.22947788</v>
      </c>
    </row>
    <row r="693" spans="2:4" x14ac:dyDescent="0.25">
      <c r="B693" s="5">
        <v>44964</v>
      </c>
      <c r="C693">
        <v>-0.72392224999999999</v>
      </c>
      <c r="D693">
        <v>0.64197780000000004</v>
      </c>
    </row>
    <row r="694" spans="2:4" x14ac:dyDescent="0.25">
      <c r="B694" s="5">
        <v>44963</v>
      </c>
      <c r="C694">
        <v>-3.0520915999999998</v>
      </c>
      <c r="D694">
        <v>-1.3698697</v>
      </c>
    </row>
    <row r="695" spans="2:4" x14ac:dyDescent="0.25">
      <c r="B695" s="5">
        <v>44960</v>
      </c>
      <c r="C695">
        <v>1.6931295</v>
      </c>
      <c r="D695">
        <v>-2.8655588999999999</v>
      </c>
    </row>
    <row r="696" spans="2:4" x14ac:dyDescent="0.25">
      <c r="B696" s="5">
        <v>44959</v>
      </c>
      <c r="C696">
        <v>3.909421</v>
      </c>
      <c r="D696">
        <v>0.38053989999999999</v>
      </c>
    </row>
    <row r="697" spans="2:4" x14ac:dyDescent="0.25">
      <c r="B697" s="5">
        <v>44958</v>
      </c>
      <c r="C697">
        <v>2.3619652000000002</v>
      </c>
      <c r="D697">
        <v>0.22717714</v>
      </c>
    </row>
    <row r="698" spans="2:4" x14ac:dyDescent="0.25">
      <c r="B698" s="5">
        <v>44957</v>
      </c>
      <c r="C698">
        <v>-0.73932410000000004</v>
      </c>
      <c r="D698">
        <v>-0.15041231999999999</v>
      </c>
    </row>
    <row r="699" spans="2:4" x14ac:dyDescent="0.25">
      <c r="B699" s="5">
        <v>44956</v>
      </c>
      <c r="C699">
        <v>0.50398109999999996</v>
      </c>
      <c r="D699">
        <v>-0.66157580000000005</v>
      </c>
    </row>
    <row r="700" spans="2:4" x14ac:dyDescent="0.25">
      <c r="B700" s="5">
        <v>44953</v>
      </c>
      <c r="C700">
        <v>0.76735019999999998</v>
      </c>
      <c r="D700">
        <v>0.84679126999999998</v>
      </c>
    </row>
    <row r="701" spans="2:4" x14ac:dyDescent="0.25">
      <c r="B701" s="5">
        <v>44952</v>
      </c>
      <c r="C701">
        <v>0.29035807000000002</v>
      </c>
      <c r="D701">
        <v>-0.17280578999999999</v>
      </c>
    </row>
    <row r="702" spans="2:4" x14ac:dyDescent="0.25">
      <c r="B702" s="5">
        <v>44951</v>
      </c>
      <c r="C702">
        <v>-0.48360825000000002</v>
      </c>
      <c r="D702">
        <v>1.7397761</v>
      </c>
    </row>
    <row r="703" spans="2:4" x14ac:dyDescent="0.25">
      <c r="B703" s="5">
        <v>44950</v>
      </c>
      <c r="C703">
        <v>-0.80389379999999999</v>
      </c>
      <c r="D703">
        <v>1.6844511</v>
      </c>
    </row>
    <row r="704" spans="2:4" x14ac:dyDescent="0.25">
      <c r="B704" s="5">
        <v>44949</v>
      </c>
      <c r="C704">
        <v>1.6988873</v>
      </c>
      <c r="D704">
        <v>-0.14389753</v>
      </c>
    </row>
    <row r="705" spans="2:4" x14ac:dyDescent="0.25">
      <c r="B705" s="5">
        <v>44946</v>
      </c>
      <c r="C705">
        <v>1.2063980000000001</v>
      </c>
      <c r="D705">
        <v>-1.0262191000000001</v>
      </c>
    </row>
    <row r="706" spans="2:4" x14ac:dyDescent="0.25">
      <c r="B706" s="5">
        <v>44945</v>
      </c>
      <c r="C706">
        <v>-2.2039651999999998</v>
      </c>
      <c r="D706">
        <v>4.0280820000000002E-2</v>
      </c>
    </row>
    <row r="707" spans="2:4" x14ac:dyDescent="0.25">
      <c r="B707" s="5">
        <v>44944</v>
      </c>
      <c r="C707">
        <v>0.64164399999999999</v>
      </c>
      <c r="D707">
        <v>0.41170119999999999</v>
      </c>
    </row>
    <row r="708" spans="2:4" x14ac:dyDescent="0.25">
      <c r="B708" s="5">
        <v>44943</v>
      </c>
      <c r="C708">
        <v>2.2293568000000001</v>
      </c>
      <c r="D708">
        <v>-1.0887325000000001</v>
      </c>
    </row>
    <row r="709" spans="2:4" x14ac:dyDescent="0.25">
      <c r="B709" s="5">
        <v>44939</v>
      </c>
      <c r="C709">
        <v>1.0126710000000001</v>
      </c>
      <c r="D709">
        <v>1.1089563</v>
      </c>
    </row>
    <row r="710" spans="2:4" x14ac:dyDescent="0.25">
      <c r="B710" s="5">
        <v>44938</v>
      </c>
      <c r="C710">
        <v>2.2791266000000001</v>
      </c>
      <c r="D710">
        <v>2.0298479999999999</v>
      </c>
    </row>
    <row r="711" spans="2:4" x14ac:dyDescent="0.25">
      <c r="B711" s="5">
        <v>44937</v>
      </c>
      <c r="C711">
        <v>-0.2035141</v>
      </c>
      <c r="D711">
        <v>-7.8976150000000002E-3</v>
      </c>
    </row>
    <row r="712" spans="2:4" x14ac:dyDescent="0.25">
      <c r="B712" s="5">
        <v>44936</v>
      </c>
      <c r="C712">
        <v>-6.5917788000000002</v>
      </c>
      <c r="D712">
        <v>-0.68825482999999998</v>
      </c>
    </row>
    <row r="713" spans="2:4" x14ac:dyDescent="0.25">
      <c r="B713" s="5">
        <v>44935</v>
      </c>
      <c r="C713">
        <v>3.5329937999999999</v>
      </c>
      <c r="D713">
        <v>0.37901402000000001</v>
      </c>
    </row>
    <row r="714" spans="2:4" x14ac:dyDescent="0.25">
      <c r="B714" s="5">
        <v>44932</v>
      </c>
      <c r="C714">
        <v>-0.46448708</v>
      </c>
      <c r="D714">
        <v>1.2968183</v>
      </c>
    </row>
    <row r="715" spans="2:4" x14ac:dyDescent="0.25">
      <c r="B715" s="5">
        <v>44931</v>
      </c>
      <c r="C715">
        <v>0.86255073999999998</v>
      </c>
      <c r="D715">
        <v>-1.954323</v>
      </c>
    </row>
    <row r="716" spans="2:4" x14ac:dyDescent="0.25">
      <c r="B716" s="5">
        <v>44930</v>
      </c>
      <c r="C716">
        <v>5.0276994999999998</v>
      </c>
      <c r="D716">
        <v>-2.3913264000000001</v>
      </c>
    </row>
    <row r="717" spans="2:4" x14ac:dyDescent="0.25">
      <c r="B717" s="5">
        <v>44929</v>
      </c>
      <c r="C717">
        <v>3.3032537</v>
      </c>
      <c r="D717">
        <v>0.91010329999999995</v>
      </c>
    </row>
    <row r="718" spans="2:4" x14ac:dyDescent="0.25">
      <c r="B718" s="5">
        <v>44925</v>
      </c>
      <c r="C718">
        <v>-1.7005146</v>
      </c>
      <c r="D718">
        <v>1.0670900000000001</v>
      </c>
    </row>
    <row r="719" spans="2:4" x14ac:dyDescent="0.25">
      <c r="B719" s="5">
        <v>44924</v>
      </c>
      <c r="C719">
        <v>1.9813299</v>
      </c>
      <c r="D719">
        <v>1.3346791</v>
      </c>
    </row>
    <row r="720" spans="2:4" x14ac:dyDescent="0.25">
      <c r="B720" s="5">
        <v>44923</v>
      </c>
      <c r="C720">
        <v>-1.2577115999999999</v>
      </c>
      <c r="D720">
        <v>-0.45955180000000001</v>
      </c>
    </row>
    <row r="721" spans="2:4" x14ac:dyDescent="0.25">
      <c r="B721" s="5">
        <v>44922</v>
      </c>
      <c r="C721">
        <v>0.83247422999999998</v>
      </c>
      <c r="D721">
        <v>-0.75923204</v>
      </c>
    </row>
    <row r="722" spans="2:4" x14ac:dyDescent="0.25">
      <c r="B722" s="5">
        <v>44918</v>
      </c>
      <c r="C722">
        <v>1.2571573</v>
      </c>
      <c r="D722">
        <v>-0.25549529999999998</v>
      </c>
    </row>
    <row r="723" spans="2:4" x14ac:dyDescent="0.25">
      <c r="B723" s="5">
        <v>44917</v>
      </c>
      <c r="C723">
        <v>-1.3682186999999999</v>
      </c>
      <c r="D723">
        <v>1.0729194</v>
      </c>
    </row>
    <row r="724" spans="2:4" x14ac:dyDescent="0.25">
      <c r="B724" s="5">
        <v>44916</v>
      </c>
      <c r="C724">
        <v>2.7960896000000002</v>
      </c>
      <c r="D724">
        <v>-0.92413425000000005</v>
      </c>
    </row>
    <row r="725" spans="2:4" x14ac:dyDescent="0.25">
      <c r="B725" s="5">
        <v>44915</v>
      </c>
      <c r="C725">
        <v>-9.6708535999999998E-2</v>
      </c>
      <c r="D725">
        <v>3.3404826999999999</v>
      </c>
    </row>
    <row r="726" spans="2:4" x14ac:dyDescent="0.25">
      <c r="B726" s="5">
        <v>44914</v>
      </c>
      <c r="C726">
        <v>0.12633800000000001</v>
      </c>
      <c r="D726">
        <v>-0.91040730000000003</v>
      </c>
    </row>
    <row r="727" spans="2:4" x14ac:dyDescent="0.25">
      <c r="B727" s="5">
        <v>44911</v>
      </c>
      <c r="C727">
        <v>-2.0855725000000001</v>
      </c>
      <c r="D727">
        <v>-0.59869289999999997</v>
      </c>
    </row>
    <row r="728" spans="2:4" x14ac:dyDescent="0.25">
      <c r="B728" s="5">
        <v>44910</v>
      </c>
      <c r="C728">
        <v>-3.3824622999999998</v>
      </c>
      <c r="D728">
        <v>-1.5902936000000001</v>
      </c>
    </row>
    <row r="729" spans="2:4" x14ac:dyDescent="0.25">
      <c r="B729" s="5">
        <v>44909</v>
      </c>
      <c r="C729">
        <v>1.6105174999999999E-2</v>
      </c>
      <c r="D729">
        <v>-4.4029949999999998E-2</v>
      </c>
    </row>
    <row r="730" spans="2:4" x14ac:dyDescent="0.25">
      <c r="B730" s="5">
        <v>44908</v>
      </c>
      <c r="C730">
        <v>3.3693552000000002</v>
      </c>
      <c r="D730">
        <v>3.2302140000000001</v>
      </c>
    </row>
    <row r="731" spans="2:4" x14ac:dyDescent="0.25">
      <c r="B731" s="5">
        <v>44907</v>
      </c>
      <c r="C731">
        <v>-1.5213787999999999</v>
      </c>
      <c r="D731">
        <v>-0.69231390000000004</v>
      </c>
    </row>
    <row r="732" spans="2:4" x14ac:dyDescent="0.25">
      <c r="B732" s="5">
        <v>44904</v>
      </c>
      <c r="C732">
        <v>1.5724777999999999</v>
      </c>
      <c r="D732">
        <v>0.50663950000000002</v>
      </c>
    </row>
    <row r="733" spans="2:4" x14ac:dyDescent="0.25">
      <c r="B733" s="5">
        <v>44903</v>
      </c>
      <c r="C733">
        <v>-1.9652486</v>
      </c>
      <c r="D733">
        <v>-0.90039970000000003</v>
      </c>
    </row>
    <row r="734" spans="2:4" x14ac:dyDescent="0.25">
      <c r="B734" s="5">
        <v>44902</v>
      </c>
      <c r="C734">
        <v>-1.8751144</v>
      </c>
      <c r="D734">
        <v>0.63755510000000004</v>
      </c>
    </row>
    <row r="735" spans="2:4" x14ac:dyDescent="0.25">
      <c r="B735" s="5">
        <v>44901</v>
      </c>
      <c r="C735">
        <v>-1.3494074</v>
      </c>
      <c r="D735">
        <v>0.11870861000000001</v>
      </c>
    </row>
    <row r="736" spans="2:4" x14ac:dyDescent="0.25">
      <c r="B736" s="5">
        <v>44900</v>
      </c>
      <c r="C736">
        <v>-0.85688830000000005</v>
      </c>
      <c r="D736">
        <v>-1.3611495</v>
      </c>
    </row>
    <row r="737" spans="2:4" x14ac:dyDescent="0.25">
      <c r="B737" s="5">
        <v>44897</v>
      </c>
      <c r="C737">
        <v>1.4611483000000001</v>
      </c>
      <c r="D737">
        <v>-4.7844650000000002E-2</v>
      </c>
    </row>
    <row r="738" spans="2:4" x14ac:dyDescent="0.25">
      <c r="B738" s="5">
        <v>44896</v>
      </c>
      <c r="C738">
        <v>2.8814554000000001</v>
      </c>
      <c r="D738">
        <v>1.395607</v>
      </c>
    </row>
    <row r="739" spans="2:4" x14ac:dyDescent="0.25">
      <c r="B739" s="5">
        <v>44895</v>
      </c>
      <c r="C739">
        <v>-1.9327939000000001</v>
      </c>
      <c r="D739">
        <v>-2.4368881999999998</v>
      </c>
    </row>
    <row r="740" spans="2:4" x14ac:dyDescent="0.25">
      <c r="B740" s="5">
        <v>44894</v>
      </c>
      <c r="C740">
        <v>-0.99801419999999996</v>
      </c>
      <c r="D740">
        <v>0.90243815999999999</v>
      </c>
    </row>
    <row r="741" spans="2:4" x14ac:dyDescent="0.25">
      <c r="B741" s="5">
        <v>44893</v>
      </c>
      <c r="C741">
        <v>-1.3517857</v>
      </c>
      <c r="D741">
        <v>-1.0591923999999999</v>
      </c>
    </row>
    <row r="742" spans="2:4" x14ac:dyDescent="0.25">
      <c r="B742" s="5">
        <v>44890</v>
      </c>
      <c r="C742">
        <v>0.52996874000000005</v>
      </c>
      <c r="D742">
        <v>2.2364378</v>
      </c>
    </row>
    <row r="743" spans="2:4" x14ac:dyDescent="0.25">
      <c r="B743" s="5">
        <v>44888</v>
      </c>
      <c r="C743">
        <v>0.27493237999999998</v>
      </c>
      <c r="D743">
        <v>1.1592984</v>
      </c>
    </row>
    <row r="744" spans="2:4" x14ac:dyDescent="0.25">
      <c r="B744" s="5">
        <v>44887</v>
      </c>
      <c r="C744">
        <v>0.46918391999999998</v>
      </c>
      <c r="D744">
        <v>0.97564459999999997</v>
      </c>
    </row>
    <row r="745" spans="2:4" x14ac:dyDescent="0.25">
      <c r="B745" s="5">
        <v>44886</v>
      </c>
      <c r="C745">
        <v>-1.2085378</v>
      </c>
      <c r="D745">
        <v>-0.88276270000000001</v>
      </c>
    </row>
    <row r="746" spans="2:4" x14ac:dyDescent="0.25">
      <c r="B746" s="5">
        <v>44883</v>
      </c>
      <c r="C746">
        <v>2.3334503</v>
      </c>
      <c r="D746">
        <v>0.40148497</v>
      </c>
    </row>
    <row r="747" spans="2:4" x14ac:dyDescent="0.25">
      <c r="B747" s="5">
        <v>44882</v>
      </c>
      <c r="C747">
        <v>-3.4670649999999998</v>
      </c>
      <c r="D747">
        <v>0.84367990000000004</v>
      </c>
    </row>
    <row r="748" spans="2:4" x14ac:dyDescent="0.25">
      <c r="B748" s="5">
        <v>44881</v>
      </c>
      <c r="C748">
        <v>-1.8678307999999999</v>
      </c>
      <c r="D748">
        <v>-0.74598193000000002</v>
      </c>
    </row>
    <row r="749" spans="2:4" x14ac:dyDescent="0.25">
      <c r="B749" s="5">
        <v>44880</v>
      </c>
      <c r="C749">
        <v>-1.5004516000000001</v>
      </c>
      <c r="D749">
        <v>1.1347532</v>
      </c>
    </row>
    <row r="750" spans="2:4" x14ac:dyDescent="0.25">
      <c r="B750" s="5">
        <v>44879</v>
      </c>
      <c r="C750">
        <v>-1.1288106</v>
      </c>
      <c r="D750">
        <v>-1.9046544999999999</v>
      </c>
    </row>
    <row r="751" spans="2:4" x14ac:dyDescent="0.25">
      <c r="B751" s="5">
        <v>44876</v>
      </c>
      <c r="C751">
        <v>4.3579340000000002</v>
      </c>
      <c r="D751">
        <v>1.8121004000000001</v>
      </c>
    </row>
    <row r="752" spans="2:4" x14ac:dyDescent="0.25">
      <c r="B752" s="5">
        <v>44875</v>
      </c>
      <c r="C752">
        <v>6.3586353999999998</v>
      </c>
      <c r="D752">
        <v>3.6156058</v>
      </c>
    </row>
    <row r="753" spans="2:4" x14ac:dyDescent="0.25">
      <c r="B753" s="5">
        <v>44874</v>
      </c>
      <c r="C753">
        <v>-0.66658260000000003</v>
      </c>
      <c r="D753">
        <v>-1.1067747999999999</v>
      </c>
    </row>
    <row r="754" spans="2:4" x14ac:dyDescent="0.25">
      <c r="B754" s="5">
        <v>44873</v>
      </c>
      <c r="C754">
        <v>2.8717160000000002</v>
      </c>
      <c r="D754">
        <v>1.2470245</v>
      </c>
    </row>
    <row r="755" spans="2:4" x14ac:dyDescent="0.25">
      <c r="B755" s="5">
        <v>44872</v>
      </c>
      <c r="C755">
        <v>3.1404375999999998</v>
      </c>
      <c r="D755">
        <v>-3.3480346000000001</v>
      </c>
    </row>
    <row r="756" spans="2:4" x14ac:dyDescent="0.25">
      <c r="B756" s="5">
        <v>44869</v>
      </c>
      <c r="C756">
        <v>4.5979140000000003</v>
      </c>
      <c r="D756">
        <v>-2.7516365</v>
      </c>
    </row>
    <row r="757" spans="2:4" x14ac:dyDescent="0.25">
      <c r="B757" s="5">
        <v>44868</v>
      </c>
      <c r="C757">
        <v>-3.0634402999999999</v>
      </c>
      <c r="D757">
        <v>-0.70855020000000002</v>
      </c>
    </row>
    <row r="758" spans="2:4" x14ac:dyDescent="0.25">
      <c r="B758" s="5">
        <v>44867</v>
      </c>
      <c r="C758">
        <v>0.53966044999999996</v>
      </c>
      <c r="D758">
        <v>0.9313226</v>
      </c>
    </row>
    <row r="759" spans="2:4" x14ac:dyDescent="0.25">
      <c r="B759" s="5">
        <v>44866</v>
      </c>
      <c r="C759">
        <v>-1.0570168</v>
      </c>
      <c r="D759">
        <v>1.6167521</v>
      </c>
    </row>
    <row r="760" spans="2:4" x14ac:dyDescent="0.25">
      <c r="B760" s="5">
        <v>44865</v>
      </c>
      <c r="C760">
        <v>1.0812283</v>
      </c>
      <c r="D760">
        <v>-1.4670372</v>
      </c>
    </row>
    <row r="761" spans="2:4" x14ac:dyDescent="0.25">
      <c r="B761" s="5">
        <v>44862</v>
      </c>
      <c r="C761">
        <v>-0.71666240000000003</v>
      </c>
      <c r="D761">
        <v>-2.323985</v>
      </c>
    </row>
    <row r="762" spans="2:4" x14ac:dyDescent="0.25">
      <c r="B762" s="5">
        <v>44861</v>
      </c>
      <c r="C762">
        <v>-0.5322635</v>
      </c>
      <c r="D762">
        <v>-0.37361382999999998</v>
      </c>
    </row>
    <row r="763" spans="2:4" x14ac:dyDescent="0.25">
      <c r="B763" s="5">
        <v>44860</v>
      </c>
      <c r="C763">
        <v>3.3921003000000001</v>
      </c>
      <c r="D763">
        <v>0.63534975000000005</v>
      </c>
    </row>
    <row r="764" spans="2:4" x14ac:dyDescent="0.25">
      <c r="B764" s="5">
        <v>44859</v>
      </c>
      <c r="C764">
        <v>0.88254213000000004</v>
      </c>
      <c r="D764">
        <v>0.99582669999999995</v>
      </c>
    </row>
    <row r="765" spans="2:4" x14ac:dyDescent="0.25">
      <c r="B765" s="5">
        <v>44858</v>
      </c>
      <c r="C765">
        <v>2.492702</v>
      </c>
      <c r="D765">
        <v>0.29557942999999998</v>
      </c>
    </row>
    <row r="766" spans="2:4" x14ac:dyDescent="0.25">
      <c r="B766" s="5">
        <v>44855</v>
      </c>
      <c r="C766">
        <v>-1.9385277999999999</v>
      </c>
      <c r="D766">
        <v>-0.70324540000000002</v>
      </c>
    </row>
    <row r="767" spans="2:4" x14ac:dyDescent="0.25">
      <c r="B767" s="5">
        <v>44854</v>
      </c>
      <c r="C767">
        <v>1.5250921</v>
      </c>
      <c r="D767">
        <v>-0.85393786000000005</v>
      </c>
    </row>
    <row r="768" spans="2:4" x14ac:dyDescent="0.25">
      <c r="B768" s="5">
        <v>44853</v>
      </c>
      <c r="C768">
        <v>-2.6403964000000002</v>
      </c>
      <c r="D768">
        <v>-0.59187409999999996</v>
      </c>
    </row>
    <row r="769" spans="2:4" x14ac:dyDescent="0.25">
      <c r="B769" s="5">
        <v>44852</v>
      </c>
      <c r="C769">
        <v>1.7930746</v>
      </c>
      <c r="D769">
        <v>0.53926706000000002</v>
      </c>
    </row>
    <row r="770" spans="2:4" x14ac:dyDescent="0.25">
      <c r="B770" s="5">
        <v>44851</v>
      </c>
      <c r="C770">
        <v>4.1614294000000003</v>
      </c>
      <c r="D770">
        <v>-0.85300803000000003</v>
      </c>
    </row>
    <row r="771" spans="2:4" x14ac:dyDescent="0.25">
      <c r="B771" s="5">
        <v>44848</v>
      </c>
      <c r="C771">
        <v>1.8160939</v>
      </c>
      <c r="D771">
        <v>0.54409503999999997</v>
      </c>
    </row>
    <row r="772" spans="2:4" x14ac:dyDescent="0.25">
      <c r="B772" s="5">
        <v>44847</v>
      </c>
      <c r="C772">
        <v>2.3228168</v>
      </c>
      <c r="D772">
        <v>-1.2985884999999999</v>
      </c>
    </row>
    <row r="773" spans="2:4" x14ac:dyDescent="0.25">
      <c r="B773" s="5">
        <v>44846</v>
      </c>
      <c r="C773">
        <v>0.16257763</v>
      </c>
      <c r="D773">
        <v>-7.2902439999999999E-2</v>
      </c>
    </row>
    <row r="774" spans="2:4" x14ac:dyDescent="0.25">
      <c r="B774" s="5">
        <v>44845</v>
      </c>
      <c r="C774">
        <v>0.70854424999999999</v>
      </c>
      <c r="D774">
        <v>-0.93985200000000002</v>
      </c>
    </row>
    <row r="775" spans="2:4" x14ac:dyDescent="0.25">
      <c r="B775" s="5">
        <v>44844</v>
      </c>
      <c r="C775">
        <v>1.3916968999999999</v>
      </c>
      <c r="D775">
        <v>-0.41509867</v>
      </c>
    </row>
    <row r="776" spans="2:4" x14ac:dyDescent="0.25">
      <c r="B776" s="5">
        <v>44841</v>
      </c>
      <c r="C776">
        <v>-3.3175588</v>
      </c>
      <c r="D776">
        <v>-0.94291570000000002</v>
      </c>
    </row>
    <row r="777" spans="2:4" x14ac:dyDescent="0.25">
      <c r="B777" s="5">
        <v>44840</v>
      </c>
      <c r="C777">
        <v>-1.9275545999999999</v>
      </c>
      <c r="D777">
        <v>-0.25318265000000001</v>
      </c>
    </row>
    <row r="778" spans="2:4" x14ac:dyDescent="0.25">
      <c r="B778" s="5">
        <v>44839</v>
      </c>
      <c r="C778">
        <v>-4.3317259999999997</v>
      </c>
      <c r="D778">
        <v>-0.63768029999999998</v>
      </c>
    </row>
    <row r="779" spans="2:4" x14ac:dyDescent="0.25">
      <c r="B779" s="5">
        <v>44838</v>
      </c>
      <c r="C779">
        <v>5.7359099999999996</v>
      </c>
      <c r="D779">
        <v>2.0867944</v>
      </c>
    </row>
    <row r="780" spans="2:4" x14ac:dyDescent="0.25">
      <c r="B780" s="5">
        <v>44837</v>
      </c>
      <c r="C780">
        <v>0.3275633</v>
      </c>
      <c r="D780">
        <v>-6.598234E-2</v>
      </c>
    </row>
    <row r="781" spans="2:4" x14ac:dyDescent="0.25">
      <c r="B781" s="5">
        <v>44834</v>
      </c>
      <c r="C781">
        <v>2.5506616000000002</v>
      </c>
      <c r="D781">
        <v>-0.95963480000000001</v>
      </c>
    </row>
    <row r="782" spans="2:4" x14ac:dyDescent="0.25">
      <c r="B782" s="5">
        <v>44833</v>
      </c>
      <c r="C782">
        <v>-3.6782919999999999</v>
      </c>
      <c r="D782">
        <v>0.94456669999999998</v>
      </c>
    </row>
    <row r="783" spans="2:4" x14ac:dyDescent="0.25">
      <c r="B783" s="5">
        <v>44832</v>
      </c>
      <c r="C783">
        <v>1.5799284</v>
      </c>
      <c r="D783">
        <v>0.190413</v>
      </c>
    </row>
    <row r="784" spans="2:4" x14ac:dyDescent="0.25">
      <c r="B784" s="5">
        <v>44831</v>
      </c>
      <c r="C784">
        <v>-5.5629014999999997E-2</v>
      </c>
      <c r="D784">
        <v>-0.34883022000000002</v>
      </c>
    </row>
    <row r="785" spans="2:4" x14ac:dyDescent="0.25">
      <c r="B785" s="5">
        <v>44830</v>
      </c>
      <c r="C785">
        <v>-0.32271147</v>
      </c>
      <c r="D785">
        <v>-2.1797597</v>
      </c>
    </row>
    <row r="786" spans="2:4" x14ac:dyDescent="0.25">
      <c r="B786" s="5">
        <v>44827</v>
      </c>
      <c r="C786">
        <v>-3.9769589999999999</v>
      </c>
      <c r="D786">
        <v>-0.83050729999999995</v>
      </c>
    </row>
    <row r="787" spans="2:4" x14ac:dyDescent="0.25">
      <c r="B787" s="5">
        <v>44826</v>
      </c>
      <c r="C787">
        <v>-3.416115</v>
      </c>
      <c r="D787">
        <v>0.57122709999999999</v>
      </c>
    </row>
    <row r="788" spans="2:4" x14ac:dyDescent="0.25">
      <c r="B788" s="5">
        <v>44825</v>
      </c>
      <c r="C788">
        <v>-0.14813541999999999</v>
      </c>
      <c r="D788">
        <v>-1.1893809</v>
      </c>
    </row>
    <row r="789" spans="2:4" x14ac:dyDescent="0.25">
      <c r="B789" s="5">
        <v>44824</v>
      </c>
      <c r="C789">
        <v>-3.1141757999999999</v>
      </c>
      <c r="D789">
        <v>1.3851643</v>
      </c>
    </row>
    <row r="790" spans="2:4" x14ac:dyDescent="0.25">
      <c r="B790" s="5">
        <v>44823</v>
      </c>
      <c r="C790">
        <v>2.5820731999999999E-2</v>
      </c>
      <c r="D790">
        <v>-0.24077892000000001</v>
      </c>
    </row>
    <row r="791" spans="2:4" x14ac:dyDescent="0.25">
      <c r="B791" s="5">
        <v>44820</v>
      </c>
      <c r="C791">
        <v>-5.0306320000000002E-2</v>
      </c>
      <c r="D791">
        <v>1.3201236999999999</v>
      </c>
    </row>
    <row r="792" spans="2:4" x14ac:dyDescent="0.25">
      <c r="B792" s="5">
        <v>44819</v>
      </c>
      <c r="C792">
        <v>-1.0017931</v>
      </c>
      <c r="D792">
        <v>9.9587439999999999E-2</v>
      </c>
    </row>
    <row r="793" spans="2:4" x14ac:dyDescent="0.25">
      <c r="B793" s="5">
        <v>44818</v>
      </c>
      <c r="C793">
        <v>-1.6370833</v>
      </c>
      <c r="D793">
        <v>-0.50782559999999999</v>
      </c>
    </row>
    <row r="794" spans="2:4" x14ac:dyDescent="0.25">
      <c r="B794" s="5">
        <v>44817</v>
      </c>
      <c r="C794">
        <v>-3.9348185</v>
      </c>
      <c r="D794">
        <v>-1.2895643999999999</v>
      </c>
    </row>
    <row r="795" spans="2:4" x14ac:dyDescent="0.25">
      <c r="B795" s="5">
        <v>44816</v>
      </c>
      <c r="C795">
        <v>2.8853892999999999</v>
      </c>
      <c r="D795">
        <v>5.2678585E-2</v>
      </c>
    </row>
    <row r="796" spans="2:4" x14ac:dyDescent="0.25">
      <c r="B796" s="5">
        <v>44813</v>
      </c>
      <c r="C796">
        <v>3.8083673</v>
      </c>
      <c r="D796">
        <v>1.7640114</v>
      </c>
    </row>
    <row r="797" spans="2:4" x14ac:dyDescent="0.25">
      <c r="B797" s="5">
        <v>44812</v>
      </c>
      <c r="C797">
        <v>0.95535517000000003</v>
      </c>
      <c r="D797">
        <v>0.79338549999999997</v>
      </c>
    </row>
    <row r="798" spans="2:4" x14ac:dyDescent="0.25">
      <c r="B798" s="5">
        <v>44811</v>
      </c>
      <c r="C798">
        <v>-0.98527074000000003</v>
      </c>
      <c r="D798">
        <v>-1.9916356</v>
      </c>
    </row>
    <row r="799" spans="2:4" x14ac:dyDescent="0.25">
      <c r="B799" s="5">
        <v>44810</v>
      </c>
      <c r="C799">
        <v>-1.3060927</v>
      </c>
      <c r="D799">
        <v>-2.6268899999999999</v>
      </c>
    </row>
    <row r="800" spans="2:4" x14ac:dyDescent="0.25">
      <c r="B800" s="5">
        <v>44806</v>
      </c>
      <c r="C800">
        <v>3.8892983999999999</v>
      </c>
      <c r="D800">
        <v>-9.5438960000000003E-2</v>
      </c>
    </row>
    <row r="801" spans="2:4" x14ac:dyDescent="0.25">
      <c r="B801" s="5">
        <v>44805</v>
      </c>
      <c r="C801">
        <v>-4.6648263999999999</v>
      </c>
      <c r="D801">
        <v>-1.4971494999999999</v>
      </c>
    </row>
    <row r="802" spans="2:4" x14ac:dyDescent="0.25">
      <c r="B802" s="5">
        <v>44804</v>
      </c>
      <c r="C802">
        <v>0.83408355999999995</v>
      </c>
      <c r="D802">
        <v>0.13918876999999999</v>
      </c>
    </row>
    <row r="803" spans="2:4" x14ac:dyDescent="0.25">
      <c r="B803" s="5">
        <v>44803</v>
      </c>
      <c r="C803">
        <v>1.1332272999999999</v>
      </c>
      <c r="D803">
        <v>-5.9753656000000002E-2</v>
      </c>
    </row>
    <row r="804" spans="2:4" x14ac:dyDescent="0.25">
      <c r="B804" s="5">
        <v>44802</v>
      </c>
      <c r="C804">
        <v>-1.2528121000000001</v>
      </c>
      <c r="D804">
        <v>-2.3730278</v>
      </c>
    </row>
    <row r="805" spans="2:4" x14ac:dyDescent="0.25">
      <c r="B805" s="5">
        <v>44799</v>
      </c>
      <c r="C805">
        <v>-1.8888712000000001</v>
      </c>
      <c r="D805">
        <v>-1.6462564</v>
      </c>
    </row>
    <row r="806" spans="2:4" x14ac:dyDescent="0.25">
      <c r="B806" s="5">
        <v>44798</v>
      </c>
      <c r="C806">
        <v>1.0344625000000001</v>
      </c>
      <c r="D806">
        <v>-0.19482374</v>
      </c>
    </row>
    <row r="807" spans="2:4" x14ac:dyDescent="0.25">
      <c r="B807" s="5">
        <v>44797</v>
      </c>
      <c r="C807">
        <v>-0.60148239999999997</v>
      </c>
      <c r="D807">
        <v>0.36382674999999998</v>
      </c>
    </row>
    <row r="808" spans="2:4" x14ac:dyDescent="0.25">
      <c r="B808" s="5">
        <v>44796</v>
      </c>
      <c r="C808">
        <v>-0.1704812</v>
      </c>
      <c r="D808">
        <v>0.35475491999999997</v>
      </c>
    </row>
    <row r="809" spans="2:4" x14ac:dyDescent="0.25">
      <c r="B809" s="5">
        <v>44795</v>
      </c>
      <c r="C809">
        <v>-4.0737332999999998</v>
      </c>
      <c r="D809">
        <v>0.52814483999999995</v>
      </c>
    </row>
    <row r="810" spans="2:4" x14ac:dyDescent="0.25">
      <c r="B810" s="5">
        <v>44792</v>
      </c>
      <c r="C810">
        <v>-2.2754490000000001</v>
      </c>
      <c r="D810">
        <v>-1.143831</v>
      </c>
    </row>
    <row r="811" spans="2:4" x14ac:dyDescent="0.25">
      <c r="B811" s="5">
        <v>44791</v>
      </c>
      <c r="C811">
        <v>-2.3531914000000001E-2</v>
      </c>
      <c r="D811">
        <v>-0.55416226000000002</v>
      </c>
    </row>
    <row r="812" spans="2:4" x14ac:dyDescent="0.25">
      <c r="B812" s="5">
        <v>44790</v>
      </c>
      <c r="C812">
        <v>-3.2870173</v>
      </c>
      <c r="D812">
        <v>0.10983944</v>
      </c>
    </row>
    <row r="813" spans="2:4" x14ac:dyDescent="0.25">
      <c r="B813" s="5">
        <v>44789</v>
      </c>
      <c r="C813">
        <v>0.29692649999999998</v>
      </c>
      <c r="D813">
        <v>-1.4513791</v>
      </c>
    </row>
    <row r="814" spans="2:4" x14ac:dyDescent="0.25">
      <c r="B814" s="5">
        <v>44788</v>
      </c>
      <c r="C814">
        <v>-1.4987767000000001</v>
      </c>
      <c r="D814">
        <v>0.6247163</v>
      </c>
    </row>
    <row r="815" spans="2:4" x14ac:dyDescent="0.25">
      <c r="B815" s="5">
        <v>44785</v>
      </c>
      <c r="C815">
        <v>0.33484697000000002</v>
      </c>
      <c r="D815">
        <v>0.41018724000000001</v>
      </c>
    </row>
    <row r="816" spans="2:4" x14ac:dyDescent="0.25">
      <c r="B816" s="5">
        <v>44784</v>
      </c>
      <c r="C816">
        <v>1.3276935000000001</v>
      </c>
      <c r="D816">
        <v>-0.34695268000000001</v>
      </c>
    </row>
    <row r="817" spans="2:4" x14ac:dyDescent="0.25">
      <c r="B817" s="5">
        <v>44783</v>
      </c>
      <c r="C817">
        <v>3.7425041000000001</v>
      </c>
      <c r="D817">
        <v>2.3958444999999999</v>
      </c>
    </row>
    <row r="818" spans="2:4" x14ac:dyDescent="0.25">
      <c r="B818" s="5">
        <v>44782</v>
      </c>
      <c r="C818">
        <v>0.26501416999999999</v>
      </c>
      <c r="D818">
        <v>-1.2464464</v>
      </c>
    </row>
    <row r="819" spans="2:4" x14ac:dyDescent="0.25">
      <c r="B819" s="5">
        <v>44781</v>
      </c>
      <c r="C819">
        <v>1.3097763</v>
      </c>
      <c r="D819">
        <v>0.46018362000000002</v>
      </c>
    </row>
    <row r="820" spans="2:4" x14ac:dyDescent="0.25">
      <c r="B820" s="5">
        <v>44778</v>
      </c>
      <c r="C820">
        <v>0.15349388</v>
      </c>
      <c r="D820">
        <v>-1.3867438000000001</v>
      </c>
    </row>
    <row r="821" spans="2:4" x14ac:dyDescent="0.25">
      <c r="B821" s="5">
        <v>44777</v>
      </c>
      <c r="C821">
        <v>-2.6162922000000002</v>
      </c>
      <c r="D821">
        <v>1.1921048000000001</v>
      </c>
    </row>
    <row r="822" spans="2:4" x14ac:dyDescent="0.25">
      <c r="B822" s="5">
        <v>44776</v>
      </c>
      <c r="C822">
        <v>1.3768077000000001</v>
      </c>
      <c r="D822">
        <v>-2.5275470000000002</v>
      </c>
    </row>
    <row r="823" spans="2:4" x14ac:dyDescent="0.25">
      <c r="B823" s="5">
        <v>44775</v>
      </c>
      <c r="C823">
        <v>-3.8056195000000002</v>
      </c>
      <c r="D823">
        <v>-0.93129280000000003</v>
      </c>
    </row>
    <row r="824" spans="2:4" x14ac:dyDescent="0.25">
      <c r="B824" s="5">
        <v>44774</v>
      </c>
      <c r="C824">
        <v>0.28430222999999999</v>
      </c>
      <c r="D824">
        <v>-0.34192203999999998</v>
      </c>
    </row>
    <row r="825" spans="2:4" x14ac:dyDescent="0.25">
      <c r="B825" s="5">
        <v>44771</v>
      </c>
      <c r="C825">
        <v>3.4154415</v>
      </c>
      <c r="D825">
        <v>-2.1025062000000001</v>
      </c>
    </row>
    <row r="826" spans="2:4" x14ac:dyDescent="0.25">
      <c r="B826" s="5">
        <v>44770</v>
      </c>
      <c r="C826">
        <v>1.2733102000000001</v>
      </c>
      <c r="D826">
        <v>0.52630900000000003</v>
      </c>
    </row>
    <row r="827" spans="2:4" x14ac:dyDescent="0.25">
      <c r="B827" s="5">
        <v>44769</v>
      </c>
      <c r="C827">
        <v>1.2546896999999999</v>
      </c>
      <c r="D827">
        <v>-2.9110372</v>
      </c>
    </row>
    <row r="828" spans="2:4" x14ac:dyDescent="0.25">
      <c r="B828" s="5">
        <v>44768</v>
      </c>
      <c r="C828">
        <v>-4.4974270000000001</v>
      </c>
      <c r="D828">
        <v>-0.12780427999999999</v>
      </c>
    </row>
    <row r="829" spans="2:4" x14ac:dyDescent="0.25">
      <c r="B829" s="5">
        <v>44767</v>
      </c>
      <c r="C829">
        <v>-0.68187713999999999</v>
      </c>
      <c r="D829">
        <v>-0.49371123</v>
      </c>
    </row>
    <row r="830" spans="2:4" x14ac:dyDescent="0.25">
      <c r="B830" s="5">
        <v>44764</v>
      </c>
      <c r="C830">
        <v>-5.3614377999999997E-2</v>
      </c>
      <c r="D830">
        <v>1.6995191999999999</v>
      </c>
    </row>
    <row r="831" spans="2:4" x14ac:dyDescent="0.25">
      <c r="B831" s="5">
        <v>44763</v>
      </c>
      <c r="C831">
        <v>0.53832530000000001</v>
      </c>
      <c r="D831">
        <v>2.5907040000000001</v>
      </c>
    </row>
    <row r="832" spans="2:4" x14ac:dyDescent="0.25">
      <c r="B832" s="5">
        <v>44762</v>
      </c>
      <c r="C832">
        <v>-0.87745189999999995</v>
      </c>
      <c r="D832">
        <v>2.3823620000000001</v>
      </c>
    </row>
    <row r="833" spans="2:4" x14ac:dyDescent="0.25">
      <c r="B833" s="5">
        <v>44761</v>
      </c>
      <c r="C833">
        <v>2.7067899999999998</v>
      </c>
      <c r="D833">
        <v>0.59622525999999998</v>
      </c>
    </row>
    <row r="834" spans="2:4" x14ac:dyDescent="0.25">
      <c r="B834" s="5">
        <v>44760</v>
      </c>
      <c r="C834">
        <v>2.6138902000000002</v>
      </c>
      <c r="D834">
        <v>0.40574073999999999</v>
      </c>
    </row>
    <row r="835" spans="2:4" x14ac:dyDescent="0.25">
      <c r="B835" s="5">
        <v>44757</v>
      </c>
      <c r="C835">
        <v>2.7907251999999998</v>
      </c>
      <c r="D835">
        <v>0.45098065999999998</v>
      </c>
    </row>
    <row r="836" spans="2:4" x14ac:dyDescent="0.25">
      <c r="B836" s="5">
        <v>44756</v>
      </c>
      <c r="C836">
        <v>-1.7464637999999999</v>
      </c>
      <c r="D836">
        <v>-1.5333532999999999</v>
      </c>
    </row>
    <row r="837" spans="2:4" x14ac:dyDescent="0.25">
      <c r="B837" s="5">
        <v>44755</v>
      </c>
      <c r="C837">
        <v>-2.4321495999999998</v>
      </c>
      <c r="D837">
        <v>0.82895755999999998</v>
      </c>
    </row>
    <row r="838" spans="2:4" x14ac:dyDescent="0.25">
      <c r="B838" s="5">
        <v>44754</v>
      </c>
      <c r="C838">
        <v>1.6122341</v>
      </c>
      <c r="D838">
        <v>-1.4215409999999999</v>
      </c>
    </row>
    <row r="839" spans="2:4" x14ac:dyDescent="0.25">
      <c r="B839" s="5">
        <v>44753</v>
      </c>
      <c r="C839">
        <v>-3.2424032999999999</v>
      </c>
      <c r="D839">
        <v>2.5721669999999999</v>
      </c>
    </row>
    <row r="840" spans="2:4" x14ac:dyDescent="0.25">
      <c r="B840" s="5">
        <v>44750</v>
      </c>
      <c r="C840">
        <v>0.70387124999999995</v>
      </c>
      <c r="D840">
        <v>-0.17015337999999999</v>
      </c>
    </row>
    <row r="841" spans="2:4" x14ac:dyDescent="0.25">
      <c r="B841" s="5">
        <v>44749</v>
      </c>
      <c r="C841">
        <v>2.3837328000000002</v>
      </c>
      <c r="D841">
        <v>-0.45096873999999998</v>
      </c>
    </row>
    <row r="842" spans="2:4" x14ac:dyDescent="0.25">
      <c r="B842" s="5">
        <v>44748</v>
      </c>
      <c r="C842">
        <v>2.4701238000000001</v>
      </c>
      <c r="D842">
        <v>-1.7592132</v>
      </c>
    </row>
    <row r="843" spans="2:4" x14ac:dyDescent="0.25">
      <c r="B843" s="5">
        <v>44747</v>
      </c>
      <c r="C843">
        <v>-4.3001532999999998</v>
      </c>
      <c r="D843">
        <v>1.8782734999999999</v>
      </c>
    </row>
    <row r="844" spans="2:4" x14ac:dyDescent="0.25">
      <c r="B844" s="5">
        <v>44743</v>
      </c>
      <c r="C844">
        <v>0.15342236000000001</v>
      </c>
      <c r="D844">
        <v>1.2974143</v>
      </c>
    </row>
    <row r="845" spans="2:4" x14ac:dyDescent="0.25">
      <c r="B845" s="5">
        <v>44742</v>
      </c>
      <c r="C845">
        <v>-1.1154115</v>
      </c>
      <c r="D845">
        <v>-0.92037915999999997</v>
      </c>
    </row>
    <row r="846" spans="2:4" x14ac:dyDescent="0.25">
      <c r="B846" s="5">
        <v>44741</v>
      </c>
      <c r="C846">
        <v>-2.7176976000000002</v>
      </c>
      <c r="D846">
        <v>-0.65945387</v>
      </c>
    </row>
    <row r="847" spans="2:4" x14ac:dyDescent="0.25">
      <c r="B847" s="5">
        <v>44740</v>
      </c>
      <c r="C847">
        <v>1.0360122</v>
      </c>
      <c r="D847">
        <v>2.8014183000000002E-2</v>
      </c>
    </row>
    <row r="848" spans="2:4" x14ac:dyDescent="0.25">
      <c r="B848" s="5">
        <v>44739</v>
      </c>
      <c r="C848">
        <v>-1.6850232999999999</v>
      </c>
      <c r="D848">
        <v>1.3476490999999999</v>
      </c>
    </row>
    <row r="849" spans="2:4" x14ac:dyDescent="0.25">
      <c r="B849" s="5">
        <v>44736</v>
      </c>
      <c r="C849">
        <v>2.1705269999999999</v>
      </c>
      <c r="D849">
        <v>-1.1331677</v>
      </c>
    </row>
    <row r="850" spans="2:4" x14ac:dyDescent="0.25">
      <c r="B850" s="5">
        <v>44735</v>
      </c>
      <c r="C850">
        <v>-2.2086442000000002</v>
      </c>
      <c r="D850">
        <v>0.44938326000000001</v>
      </c>
    </row>
    <row r="851" spans="2:4" x14ac:dyDescent="0.25">
      <c r="B851" s="5">
        <v>44734</v>
      </c>
      <c r="C851">
        <v>0.32182931999999997</v>
      </c>
      <c r="D851">
        <v>0.62285659999999998</v>
      </c>
    </row>
    <row r="852" spans="2:4" x14ac:dyDescent="0.25">
      <c r="B852" s="5">
        <v>44733</v>
      </c>
      <c r="C852">
        <v>0.97616910000000001</v>
      </c>
      <c r="D852">
        <v>-2.6239634000000001</v>
      </c>
    </row>
    <row r="853" spans="2:4" x14ac:dyDescent="0.25">
      <c r="B853" s="5">
        <v>44729</v>
      </c>
      <c r="C853">
        <v>0.36540030000000001</v>
      </c>
      <c r="D853">
        <v>-3.5755574999999999</v>
      </c>
    </row>
    <row r="854" spans="2:4" x14ac:dyDescent="0.25">
      <c r="B854" s="5">
        <v>44728</v>
      </c>
      <c r="C854">
        <v>1.6032457</v>
      </c>
      <c r="D854">
        <v>2.7412890999999999</v>
      </c>
    </row>
    <row r="855" spans="2:4" x14ac:dyDescent="0.25">
      <c r="B855" s="5">
        <v>44727</v>
      </c>
      <c r="C855">
        <v>2.5900482999999999</v>
      </c>
      <c r="D855">
        <v>-1.6248524</v>
      </c>
    </row>
    <row r="856" spans="2:4" x14ac:dyDescent="0.25">
      <c r="B856" s="5">
        <v>44726</v>
      </c>
      <c r="C856">
        <v>-0.82816480000000003</v>
      </c>
      <c r="D856">
        <v>-1.6427875000000001</v>
      </c>
    </row>
    <row r="857" spans="2:4" x14ac:dyDescent="0.25">
      <c r="B857" s="5">
        <v>44725</v>
      </c>
      <c r="C857">
        <v>-6.2992515999999998</v>
      </c>
      <c r="D857">
        <v>-1.7339945000000001</v>
      </c>
    </row>
    <row r="858" spans="2:4" x14ac:dyDescent="0.25">
      <c r="B858" s="5">
        <v>44722</v>
      </c>
      <c r="C858">
        <v>-4.2278529999999996</v>
      </c>
      <c r="D858">
        <v>-0.115948915</v>
      </c>
    </row>
    <row r="859" spans="2:4" x14ac:dyDescent="0.25">
      <c r="B859" s="5">
        <v>44721</v>
      </c>
      <c r="C859">
        <v>-1.3772309</v>
      </c>
      <c r="D859">
        <v>2.570808</v>
      </c>
    </row>
    <row r="860" spans="2:4" x14ac:dyDescent="0.25">
      <c r="B860" s="5">
        <v>44720</v>
      </c>
      <c r="C860">
        <v>-0.54908990000000002</v>
      </c>
      <c r="D860">
        <v>-7.123351E-2</v>
      </c>
    </row>
    <row r="861" spans="2:4" x14ac:dyDescent="0.25">
      <c r="B861" s="5">
        <v>44719</v>
      </c>
      <c r="C861">
        <v>-4.1943790000000002E-2</v>
      </c>
      <c r="D861">
        <v>0.25608540000000002</v>
      </c>
    </row>
    <row r="862" spans="2:4" x14ac:dyDescent="0.25">
      <c r="B862" s="5">
        <v>44718</v>
      </c>
      <c r="C862">
        <v>-0.39334892999999999</v>
      </c>
      <c r="D862">
        <v>-0.38431883</v>
      </c>
    </row>
    <row r="863" spans="2:4" x14ac:dyDescent="0.25">
      <c r="B863" s="5">
        <v>44715</v>
      </c>
      <c r="C863">
        <v>0.49160720000000002</v>
      </c>
      <c r="D863">
        <v>-0.35224557000000001</v>
      </c>
    </row>
    <row r="864" spans="2:4" x14ac:dyDescent="0.25">
      <c r="B864" s="5">
        <v>44714</v>
      </c>
      <c r="C864">
        <v>0.13651848</v>
      </c>
      <c r="D864">
        <v>-0.80817939999999999</v>
      </c>
    </row>
    <row r="865" spans="2:4" x14ac:dyDescent="0.25">
      <c r="B865" s="5">
        <v>44713</v>
      </c>
      <c r="C865">
        <v>-1.5644491</v>
      </c>
      <c r="D865">
        <v>1.5231729000000001</v>
      </c>
    </row>
    <row r="866" spans="2:4" x14ac:dyDescent="0.25">
      <c r="B866" s="5">
        <v>44712</v>
      </c>
      <c r="C866">
        <v>0.20406246</v>
      </c>
      <c r="D866">
        <v>-1.2626170999999999</v>
      </c>
    </row>
    <row r="867" spans="2:4" x14ac:dyDescent="0.25">
      <c r="B867" s="5">
        <v>44708</v>
      </c>
      <c r="C867">
        <v>4.8217772999999999</v>
      </c>
      <c r="D867">
        <v>1.7431498000000001</v>
      </c>
    </row>
    <row r="868" spans="2:4" x14ac:dyDescent="0.25">
      <c r="B868" s="5">
        <v>44707</v>
      </c>
      <c r="C868">
        <v>0.20297766</v>
      </c>
      <c r="D868">
        <v>0.27425290000000002</v>
      </c>
    </row>
    <row r="869" spans="2:4" x14ac:dyDescent="0.25">
      <c r="B869" s="5">
        <v>44706</v>
      </c>
      <c r="C869">
        <v>-9.2202425000000005E-2</v>
      </c>
      <c r="D869">
        <v>-1.6222536999999999</v>
      </c>
    </row>
    <row r="870" spans="2:4" x14ac:dyDescent="0.25">
      <c r="B870" s="5">
        <v>44705</v>
      </c>
      <c r="C870">
        <v>-1.6194402999999999</v>
      </c>
      <c r="D870">
        <v>6.5290929999999997E-2</v>
      </c>
    </row>
    <row r="871" spans="2:4" x14ac:dyDescent="0.25">
      <c r="B871" s="5">
        <v>44704</v>
      </c>
      <c r="C871">
        <v>3.0243158000000001</v>
      </c>
      <c r="D871">
        <v>0.76225995999999996</v>
      </c>
    </row>
    <row r="872" spans="2:4" x14ac:dyDescent="0.25">
      <c r="B872" s="5">
        <v>44701</v>
      </c>
      <c r="C872">
        <v>0.90608597000000002</v>
      </c>
      <c r="D872">
        <v>-0.81140995000000005</v>
      </c>
    </row>
    <row r="873" spans="2:4" x14ac:dyDescent="0.25">
      <c r="B873" s="5">
        <v>44700</v>
      </c>
      <c r="C873">
        <v>-1.6648471</v>
      </c>
      <c r="D873">
        <v>0.68230630000000003</v>
      </c>
    </row>
    <row r="874" spans="2:4" x14ac:dyDescent="0.25">
      <c r="B874" s="5">
        <v>44699</v>
      </c>
      <c r="C874">
        <v>-0.12787580000000001</v>
      </c>
      <c r="D874">
        <v>-0.52753090000000002</v>
      </c>
    </row>
    <row r="875" spans="2:4" x14ac:dyDescent="0.25">
      <c r="B875" s="5">
        <v>44698</v>
      </c>
      <c r="C875">
        <v>2.2046923999999999</v>
      </c>
      <c r="D875">
        <v>-0.23562907999999999</v>
      </c>
    </row>
    <row r="876" spans="2:4" x14ac:dyDescent="0.25">
      <c r="B876" s="5">
        <v>44697</v>
      </c>
      <c r="C876">
        <v>1.0145306999999999</v>
      </c>
      <c r="D876">
        <v>-0.96365213000000005</v>
      </c>
    </row>
    <row r="877" spans="2:4" x14ac:dyDescent="0.25">
      <c r="B877" s="5">
        <v>44694</v>
      </c>
      <c r="C877">
        <v>3.0716420000000002</v>
      </c>
      <c r="D877">
        <v>0.31110048000000001</v>
      </c>
    </row>
    <row r="878" spans="2:4" x14ac:dyDescent="0.25">
      <c r="B878" s="5">
        <v>44693</v>
      </c>
      <c r="C878">
        <v>-0.54094790000000004</v>
      </c>
      <c r="D878">
        <v>0.55207013999999999</v>
      </c>
    </row>
    <row r="879" spans="2:4" x14ac:dyDescent="0.25">
      <c r="B879" s="5">
        <v>44692</v>
      </c>
      <c r="C879">
        <v>2.0585656000000001</v>
      </c>
      <c r="D879">
        <v>-1.7789006000000001</v>
      </c>
    </row>
    <row r="880" spans="2:4" x14ac:dyDescent="0.25">
      <c r="B880" s="5">
        <v>44691</v>
      </c>
      <c r="C880">
        <v>0.29188395</v>
      </c>
      <c r="D880">
        <v>0.21884440999999999</v>
      </c>
    </row>
    <row r="881" spans="2:4" x14ac:dyDescent="0.25">
      <c r="B881" s="5">
        <v>44690</v>
      </c>
      <c r="C881">
        <v>-6.3244939999999996</v>
      </c>
      <c r="D881">
        <v>-0.47260522999999999</v>
      </c>
    </row>
    <row r="882" spans="2:4" x14ac:dyDescent="0.25">
      <c r="B882" s="5">
        <v>44687</v>
      </c>
      <c r="C882">
        <v>-1.4408529000000001</v>
      </c>
      <c r="D882">
        <v>0.98705290000000001</v>
      </c>
    </row>
    <row r="883" spans="2:4" x14ac:dyDescent="0.25">
      <c r="B883" s="5">
        <v>44686</v>
      </c>
      <c r="C883">
        <v>-6.0297727999999999</v>
      </c>
      <c r="D883">
        <v>-0.20346044999999999</v>
      </c>
    </row>
    <row r="884" spans="2:4" x14ac:dyDescent="0.25">
      <c r="B884" s="5">
        <v>44685</v>
      </c>
      <c r="C884">
        <v>0.40242672000000002</v>
      </c>
      <c r="D884">
        <v>-5.0014256999999999E-2</v>
      </c>
    </row>
    <row r="885" spans="2:4" x14ac:dyDescent="0.25">
      <c r="B885" s="5">
        <v>44684</v>
      </c>
      <c r="C885">
        <v>2.4403095000000001</v>
      </c>
      <c r="D885">
        <v>0.24632214999999999</v>
      </c>
    </row>
    <row r="886" spans="2:4" x14ac:dyDescent="0.25">
      <c r="B886" s="5">
        <v>44683</v>
      </c>
      <c r="C886">
        <v>-3.0544937000000001</v>
      </c>
      <c r="D886">
        <v>0.43826103</v>
      </c>
    </row>
    <row r="887" spans="2:4" x14ac:dyDescent="0.25">
      <c r="B887" s="5">
        <v>44680</v>
      </c>
      <c r="C887">
        <v>0.75294970000000006</v>
      </c>
      <c r="D887">
        <v>1.123035</v>
      </c>
    </row>
    <row r="888" spans="2:4" x14ac:dyDescent="0.25">
      <c r="B888" s="5">
        <v>44679</v>
      </c>
      <c r="C888">
        <v>0.40787457999999999</v>
      </c>
      <c r="D888">
        <v>-5.1015615E-2</v>
      </c>
    </row>
    <row r="889" spans="2:4" x14ac:dyDescent="0.25">
      <c r="B889" s="5">
        <v>44678</v>
      </c>
      <c r="C889">
        <v>-3.2796501999999998</v>
      </c>
      <c r="D889">
        <v>-1.6240000999999999</v>
      </c>
    </row>
    <row r="890" spans="2:4" x14ac:dyDescent="0.25">
      <c r="B890" s="5">
        <v>44677</v>
      </c>
      <c r="C890">
        <v>-1.5901327000000001</v>
      </c>
      <c r="D890">
        <v>1.3851880999999999</v>
      </c>
    </row>
    <row r="891" spans="2:4" x14ac:dyDescent="0.25">
      <c r="B891" s="5">
        <v>44676</v>
      </c>
      <c r="C891">
        <v>-0.31273364999999997</v>
      </c>
      <c r="D891">
        <v>4.4167039999999998E-2</v>
      </c>
    </row>
    <row r="892" spans="2:4" x14ac:dyDescent="0.25">
      <c r="B892" s="5">
        <v>44673</v>
      </c>
      <c r="C892">
        <v>-1.81759</v>
      </c>
      <c r="D892">
        <v>-0.93767639999999997</v>
      </c>
    </row>
    <row r="893" spans="2:4" x14ac:dyDescent="0.25">
      <c r="B893" s="5">
        <v>44672</v>
      </c>
      <c r="C893">
        <v>1.1960506</v>
      </c>
      <c r="D893">
        <v>-0.55005550000000003</v>
      </c>
    </row>
    <row r="894" spans="2:4" x14ac:dyDescent="0.25">
      <c r="B894" s="5">
        <v>44671</v>
      </c>
      <c r="C894">
        <v>2.2465109999999999</v>
      </c>
      <c r="D894">
        <v>2.2137760000000002</v>
      </c>
    </row>
    <row r="895" spans="2:4" x14ac:dyDescent="0.25">
      <c r="B895" s="5">
        <v>44670</v>
      </c>
      <c r="C895">
        <v>-3.7310780000000001</v>
      </c>
      <c r="D895">
        <v>-2.1724223999999999</v>
      </c>
    </row>
    <row r="896" spans="2:4" x14ac:dyDescent="0.25">
      <c r="B896" s="5">
        <v>44669</v>
      </c>
      <c r="C896">
        <v>-6.8897009999999995E-2</v>
      </c>
      <c r="D896">
        <v>-0.67304969999999997</v>
      </c>
    </row>
    <row r="897" spans="2:4" x14ac:dyDescent="0.25">
      <c r="B897" s="5">
        <v>44665</v>
      </c>
      <c r="C897">
        <v>1.4098883</v>
      </c>
      <c r="D897">
        <v>-0.78876020000000002</v>
      </c>
    </row>
    <row r="898" spans="2:4" x14ac:dyDescent="0.25">
      <c r="B898" s="5">
        <v>44664</v>
      </c>
      <c r="C898">
        <v>-1.4685391999999999</v>
      </c>
      <c r="D898">
        <v>-0.5981803</v>
      </c>
    </row>
    <row r="899" spans="2:4" x14ac:dyDescent="0.25">
      <c r="B899" s="5">
        <v>44663</v>
      </c>
      <c r="C899">
        <v>-0.17821788999999999</v>
      </c>
      <c r="D899">
        <v>2.0923853000000001</v>
      </c>
    </row>
    <row r="900" spans="2:4" x14ac:dyDescent="0.25">
      <c r="B900" s="5">
        <v>44662</v>
      </c>
      <c r="C900">
        <v>-0.14955400999999999</v>
      </c>
      <c r="D900">
        <v>-1.1359513000000001</v>
      </c>
    </row>
    <row r="901" spans="2:4" x14ac:dyDescent="0.25">
      <c r="B901" s="5">
        <v>44659</v>
      </c>
      <c r="C901">
        <v>2.3716330000000001</v>
      </c>
      <c r="D901">
        <v>-1.9925177000000001</v>
      </c>
    </row>
    <row r="902" spans="2:4" x14ac:dyDescent="0.25">
      <c r="B902" s="5">
        <v>44658</v>
      </c>
      <c r="C902">
        <v>-3.1943798000000001</v>
      </c>
      <c r="D902">
        <v>-1.8081725</v>
      </c>
    </row>
    <row r="903" spans="2:4" x14ac:dyDescent="0.25">
      <c r="B903" s="5">
        <v>44657</v>
      </c>
      <c r="C903">
        <v>-1.3933359999999999</v>
      </c>
      <c r="D903">
        <v>-0.60013530000000004</v>
      </c>
    </row>
    <row r="904" spans="2:4" x14ac:dyDescent="0.25">
      <c r="B904" s="5">
        <v>44656</v>
      </c>
      <c r="C904">
        <v>-4.0148973000000003</v>
      </c>
      <c r="D904">
        <v>-1.0105073</v>
      </c>
    </row>
    <row r="905" spans="2:4" x14ac:dyDescent="0.25">
      <c r="B905" s="5">
        <v>44655</v>
      </c>
      <c r="C905">
        <v>0.50151349999999995</v>
      </c>
      <c r="D905">
        <v>2.7239322999999999E-2</v>
      </c>
    </row>
    <row r="906" spans="2:4" x14ac:dyDescent="0.25">
      <c r="B906" s="5">
        <v>44652</v>
      </c>
      <c r="C906">
        <v>-2.2453964000000002</v>
      </c>
      <c r="D906">
        <v>-1.3597786000000001</v>
      </c>
    </row>
    <row r="907" spans="2:4" x14ac:dyDescent="0.25">
      <c r="B907" s="5">
        <v>44651</v>
      </c>
      <c r="C907">
        <v>-2.3118675</v>
      </c>
      <c r="D907">
        <v>1.0029674</v>
      </c>
    </row>
    <row r="908" spans="2:4" x14ac:dyDescent="0.25">
      <c r="B908" s="5">
        <v>44650</v>
      </c>
      <c r="C908">
        <v>-1.4596880000000001</v>
      </c>
      <c r="D908">
        <v>-1.7548083999999999</v>
      </c>
    </row>
    <row r="909" spans="2:4" x14ac:dyDescent="0.25">
      <c r="B909" s="5">
        <v>44649</v>
      </c>
      <c r="C909">
        <v>4.5311690000000002</v>
      </c>
      <c r="D909">
        <v>6.3741210000000006E-2</v>
      </c>
    </row>
    <row r="910" spans="2:4" x14ac:dyDescent="0.25">
      <c r="B910" s="5">
        <v>44648</v>
      </c>
      <c r="C910">
        <v>-2.5152682999999998</v>
      </c>
      <c r="D910">
        <v>-1.6392708</v>
      </c>
    </row>
    <row r="911" spans="2:4" x14ac:dyDescent="0.25">
      <c r="B911" s="5">
        <v>44645</v>
      </c>
      <c r="C911">
        <v>-0.10455847</v>
      </c>
      <c r="D911">
        <v>-1.1449754000000001</v>
      </c>
    </row>
    <row r="912" spans="2:4" x14ac:dyDescent="0.25">
      <c r="B912" s="5">
        <v>44644</v>
      </c>
      <c r="C912">
        <v>-5.0091743000000001E-2</v>
      </c>
      <c r="D912">
        <v>-0.83565710000000004</v>
      </c>
    </row>
    <row r="913" spans="2:4" x14ac:dyDescent="0.25">
      <c r="B913" s="5">
        <v>44643</v>
      </c>
      <c r="C913">
        <v>-0.39799810000000002</v>
      </c>
      <c r="D913">
        <v>1.0610223000000001</v>
      </c>
    </row>
    <row r="914" spans="2:4" x14ac:dyDescent="0.25">
      <c r="B914" s="5">
        <v>44642</v>
      </c>
      <c r="C914">
        <v>0.22034645</v>
      </c>
      <c r="D914">
        <v>4.3725966999999998E-2</v>
      </c>
    </row>
    <row r="915" spans="2:4" x14ac:dyDescent="0.25">
      <c r="B915" s="5">
        <v>44641</v>
      </c>
      <c r="C915">
        <v>0.48416852999999999</v>
      </c>
      <c r="D915">
        <v>2.0980835E-2</v>
      </c>
    </row>
    <row r="916" spans="2:4" x14ac:dyDescent="0.25">
      <c r="B916" s="5">
        <v>44638</v>
      </c>
      <c r="C916">
        <v>1.5013456000000001</v>
      </c>
      <c r="D916">
        <v>-0.99985599999999997</v>
      </c>
    </row>
    <row r="917" spans="2:4" x14ac:dyDescent="0.25">
      <c r="B917" s="5">
        <v>44637</v>
      </c>
      <c r="C917">
        <v>-1.202637</v>
      </c>
      <c r="D917">
        <v>3.2300949999999999</v>
      </c>
    </row>
    <row r="918" spans="2:4" x14ac:dyDescent="0.25">
      <c r="B918" s="5">
        <v>44636</v>
      </c>
      <c r="C918">
        <v>3.8699270000000001</v>
      </c>
      <c r="D918">
        <v>1.1873722</v>
      </c>
    </row>
    <row r="919" spans="2:4" x14ac:dyDescent="0.25">
      <c r="B919" s="5">
        <v>44635</v>
      </c>
      <c r="C919">
        <v>-1.0893762</v>
      </c>
      <c r="D919">
        <v>0.99737644000000003</v>
      </c>
    </row>
    <row r="920" spans="2:4" x14ac:dyDescent="0.25">
      <c r="B920" s="5">
        <v>44634</v>
      </c>
      <c r="C920">
        <v>1.8757581999999999</v>
      </c>
      <c r="D920">
        <v>-0.94516873000000001</v>
      </c>
    </row>
    <row r="921" spans="2:4" x14ac:dyDescent="0.25">
      <c r="B921" s="5">
        <v>44631</v>
      </c>
      <c r="C921">
        <v>0.71357490000000001</v>
      </c>
      <c r="D921">
        <v>-1.2027204</v>
      </c>
    </row>
    <row r="922" spans="2:4" x14ac:dyDescent="0.25">
      <c r="B922" s="5">
        <v>44630</v>
      </c>
      <c r="C922">
        <v>-0.90190170000000003</v>
      </c>
      <c r="D922">
        <v>2.2821783999999998</v>
      </c>
    </row>
    <row r="923" spans="2:4" x14ac:dyDescent="0.25">
      <c r="B923" s="5">
        <v>44629</v>
      </c>
      <c r="C923">
        <v>7.2334290000000001</v>
      </c>
      <c r="D923">
        <v>-0.59946180000000004</v>
      </c>
    </row>
    <row r="924" spans="2:4" x14ac:dyDescent="0.25">
      <c r="B924" s="5">
        <v>44628</v>
      </c>
      <c r="C924">
        <v>1.0436772999999999</v>
      </c>
      <c r="D924">
        <v>-3.3902823999999998</v>
      </c>
    </row>
    <row r="925" spans="2:4" x14ac:dyDescent="0.25">
      <c r="B925" s="5">
        <v>44627</v>
      </c>
      <c r="C925">
        <v>-3.5163462000000001</v>
      </c>
      <c r="D925">
        <v>-3.6639689999999998</v>
      </c>
    </row>
    <row r="926" spans="2:4" x14ac:dyDescent="0.25">
      <c r="B926" s="5">
        <v>44624</v>
      </c>
      <c r="C926">
        <v>-6.3476920000000003</v>
      </c>
      <c r="D926">
        <v>-0.75101850000000003</v>
      </c>
    </row>
    <row r="927" spans="2:4" x14ac:dyDescent="0.25">
      <c r="B927" s="5">
        <v>44623</v>
      </c>
      <c r="C927">
        <v>-0.60170290000000004</v>
      </c>
      <c r="D927">
        <v>0.49105883</v>
      </c>
    </row>
    <row r="928" spans="2:4" x14ac:dyDescent="0.25">
      <c r="B928" s="5">
        <v>44622</v>
      </c>
      <c r="C928">
        <v>1.7491102000000001</v>
      </c>
      <c r="D928">
        <v>-0.59400200000000003</v>
      </c>
    </row>
    <row r="929" spans="2:4" x14ac:dyDescent="0.25">
      <c r="B929" s="5">
        <v>44621</v>
      </c>
      <c r="C929">
        <v>-5.6031110000000002</v>
      </c>
      <c r="D929">
        <v>-1.1250256999999999</v>
      </c>
    </row>
    <row r="930" spans="2:4" x14ac:dyDescent="0.25">
      <c r="B930" s="5">
        <v>44620</v>
      </c>
      <c r="C930">
        <v>-1.3814329999999999</v>
      </c>
      <c r="D930">
        <v>2.3726582999999999</v>
      </c>
    </row>
    <row r="931" spans="2:4" x14ac:dyDescent="0.25">
      <c r="B931" s="5">
        <v>44617</v>
      </c>
      <c r="C931">
        <v>3.1027675000000001</v>
      </c>
      <c r="D931">
        <v>-1.8827259999999999</v>
      </c>
    </row>
    <row r="932" spans="2:4" x14ac:dyDescent="0.25">
      <c r="B932" s="5">
        <v>44616</v>
      </c>
      <c r="C932">
        <v>-6.5548060000000001</v>
      </c>
      <c r="D932">
        <v>-3.2973290000000002E-2</v>
      </c>
    </row>
    <row r="933" spans="2:4" x14ac:dyDescent="0.25">
      <c r="B933" s="5">
        <v>44615</v>
      </c>
      <c r="C933">
        <v>-0.13065934000000001</v>
      </c>
      <c r="D933">
        <v>2.6071072000000001E-2</v>
      </c>
    </row>
    <row r="934" spans="2:4" x14ac:dyDescent="0.25">
      <c r="B934" s="5">
        <v>44614</v>
      </c>
      <c r="C934">
        <v>-2.2814274000000001</v>
      </c>
      <c r="D934">
        <v>-2.4619996999999998</v>
      </c>
    </row>
    <row r="935" spans="2:4" x14ac:dyDescent="0.25">
      <c r="B935" s="5">
        <v>44610</v>
      </c>
      <c r="C935">
        <v>8.3518029999999993E-2</v>
      </c>
      <c r="D935">
        <v>-1.2583494</v>
      </c>
    </row>
    <row r="936" spans="2:4" x14ac:dyDescent="0.25">
      <c r="B936" s="5">
        <v>44609</v>
      </c>
      <c r="C936">
        <v>-0.47830342999999997</v>
      </c>
      <c r="D936">
        <v>-1.0517240000000001</v>
      </c>
    </row>
    <row r="937" spans="2:4" x14ac:dyDescent="0.25">
      <c r="B937" s="5">
        <v>44608</v>
      </c>
      <c r="C937">
        <v>-1.6416967</v>
      </c>
      <c r="D937">
        <v>1.1443973000000001</v>
      </c>
    </row>
    <row r="938" spans="2:4" x14ac:dyDescent="0.25">
      <c r="B938" s="5">
        <v>44607</v>
      </c>
      <c r="C938">
        <v>3.6833643999999999</v>
      </c>
      <c r="D938">
        <v>-0.21988152999999999</v>
      </c>
    </row>
    <row r="939" spans="2:4" x14ac:dyDescent="0.25">
      <c r="B939" s="5">
        <v>44606</v>
      </c>
      <c r="C939">
        <v>-0.78236459999999997</v>
      </c>
      <c r="D939">
        <v>0.34593343999999998</v>
      </c>
    </row>
    <row r="940" spans="2:4" x14ac:dyDescent="0.25">
      <c r="B940" s="5">
        <v>44603</v>
      </c>
      <c r="C940">
        <v>-1.269412</v>
      </c>
      <c r="D940">
        <v>6.4730644000000004E-2</v>
      </c>
    </row>
    <row r="941" spans="2:4" x14ac:dyDescent="0.25">
      <c r="B941" s="5">
        <v>44602</v>
      </c>
      <c r="C941">
        <v>1.4721751000000001</v>
      </c>
      <c r="D941">
        <v>1.6403198000000001E-2</v>
      </c>
    </row>
    <row r="942" spans="2:4" x14ac:dyDescent="0.25">
      <c r="B942" s="5">
        <v>44601</v>
      </c>
      <c r="C942">
        <v>1.3581753000000001</v>
      </c>
      <c r="D942">
        <v>-0.39536953000000002</v>
      </c>
    </row>
    <row r="943" spans="2:4" x14ac:dyDescent="0.25">
      <c r="B943" s="5">
        <v>44600</v>
      </c>
      <c r="C943">
        <v>1.4670014</v>
      </c>
      <c r="D943">
        <v>2.5263906</v>
      </c>
    </row>
    <row r="944" spans="2:4" x14ac:dyDescent="0.25">
      <c r="B944" s="5">
        <v>44599</v>
      </c>
      <c r="C944">
        <v>2.2326112</v>
      </c>
      <c r="D944">
        <v>2.7354240000000001</v>
      </c>
    </row>
    <row r="945" spans="2:4" x14ac:dyDescent="0.25">
      <c r="B945" s="5">
        <v>44596</v>
      </c>
      <c r="C945">
        <v>-1.3823688000000001</v>
      </c>
      <c r="D945">
        <v>6.8578720000000004</v>
      </c>
    </row>
    <row r="946" spans="2:4" x14ac:dyDescent="0.25">
      <c r="B946" s="5">
        <v>44595</v>
      </c>
      <c r="C946">
        <v>-0.26730300000000001</v>
      </c>
      <c r="D946">
        <v>-0.18730759999999999</v>
      </c>
    </row>
    <row r="947" spans="2:4" x14ac:dyDescent="0.25">
      <c r="B947" s="5">
        <v>44594</v>
      </c>
      <c r="C947">
        <v>-0.56842566000000005</v>
      </c>
      <c r="D947">
        <v>1.4308213999999999</v>
      </c>
    </row>
    <row r="948" spans="2:4" x14ac:dyDescent="0.25">
      <c r="B948" s="5">
        <v>44593</v>
      </c>
      <c r="C948">
        <v>4.745126</v>
      </c>
      <c r="D948">
        <v>0.21954775000000001</v>
      </c>
    </row>
    <row r="949" spans="2:4" x14ac:dyDescent="0.25">
      <c r="B949" s="5">
        <v>44592</v>
      </c>
      <c r="C949">
        <v>1.6430020000000001</v>
      </c>
      <c r="D949">
        <v>0.12866258999999999</v>
      </c>
    </row>
    <row r="950" spans="2:4" x14ac:dyDescent="0.25">
      <c r="B950" s="5">
        <v>44589</v>
      </c>
      <c r="C950">
        <v>-2.0436168000000001</v>
      </c>
      <c r="D950">
        <v>2.0275354000000001</v>
      </c>
    </row>
    <row r="951" spans="2:4" x14ac:dyDescent="0.25">
      <c r="B951" s="5">
        <v>44588</v>
      </c>
      <c r="C951">
        <v>-7.2168945999999998</v>
      </c>
      <c r="D951">
        <v>-3.2827913999999998</v>
      </c>
    </row>
    <row r="952" spans="2:4" x14ac:dyDescent="0.25">
      <c r="B952" s="5">
        <v>44587</v>
      </c>
      <c r="C952">
        <v>1.4420508999999999</v>
      </c>
      <c r="D952">
        <v>-1.6448796000000001</v>
      </c>
    </row>
    <row r="953" spans="2:4" x14ac:dyDescent="0.25">
      <c r="B953" s="5">
        <v>44586</v>
      </c>
      <c r="C953">
        <v>1.3704181</v>
      </c>
      <c r="D953">
        <v>-1.628077</v>
      </c>
    </row>
    <row r="954" spans="2:4" x14ac:dyDescent="0.25">
      <c r="B954" s="5">
        <v>44585</v>
      </c>
      <c r="C954">
        <v>-5.9685826000000004</v>
      </c>
      <c r="D954">
        <v>0.82435610000000004</v>
      </c>
    </row>
    <row r="955" spans="2:4" x14ac:dyDescent="0.25">
      <c r="B955" s="5">
        <v>44582</v>
      </c>
      <c r="C955">
        <v>-2.5551020000000002</v>
      </c>
      <c r="D955">
        <v>0.53714514000000002</v>
      </c>
    </row>
    <row r="956" spans="2:4" x14ac:dyDescent="0.25">
      <c r="B956" s="5">
        <v>44581</v>
      </c>
      <c r="C956">
        <v>-1.6635120000000001</v>
      </c>
      <c r="D956">
        <v>1.1322737</v>
      </c>
    </row>
    <row r="957" spans="2:4" x14ac:dyDescent="0.25">
      <c r="B957" s="5">
        <v>44580</v>
      </c>
      <c r="C957">
        <v>3.0926466000000001</v>
      </c>
      <c r="D957">
        <v>-1.4509677999999999</v>
      </c>
    </row>
    <row r="958" spans="2:4" x14ac:dyDescent="0.25">
      <c r="B958" s="5">
        <v>44579</v>
      </c>
      <c r="C958">
        <v>-0.43126344999999999</v>
      </c>
      <c r="D958">
        <v>-0.50157905000000003</v>
      </c>
    </row>
    <row r="959" spans="2:4" x14ac:dyDescent="0.25">
      <c r="B959" s="5">
        <v>44575</v>
      </c>
      <c r="C959">
        <v>-8.4149840000000004E-2</v>
      </c>
      <c r="D959">
        <v>0.54463150000000005</v>
      </c>
    </row>
    <row r="960" spans="2:4" x14ac:dyDescent="0.25">
      <c r="B960" s="5">
        <v>44574</v>
      </c>
      <c r="C960">
        <v>0.71024894999999999</v>
      </c>
      <c r="D960">
        <v>1.2973428</v>
      </c>
    </row>
    <row r="961" spans="2:4" x14ac:dyDescent="0.25">
      <c r="B961" s="5">
        <v>44573</v>
      </c>
      <c r="C961">
        <v>0.99312069999999997</v>
      </c>
      <c r="D961">
        <v>1.2938976</v>
      </c>
    </row>
    <row r="962" spans="2:4" x14ac:dyDescent="0.25">
      <c r="B962" s="5">
        <v>44572</v>
      </c>
      <c r="C962">
        <v>2.2659660000000001</v>
      </c>
      <c r="D962">
        <v>0.24799109</v>
      </c>
    </row>
    <row r="963" spans="2:4" x14ac:dyDescent="0.25">
      <c r="B963" s="5">
        <v>44571</v>
      </c>
      <c r="C963">
        <v>-8.2075596000000001E-2</v>
      </c>
      <c r="D963">
        <v>0.46919583999999998</v>
      </c>
    </row>
    <row r="964" spans="2:4" x14ac:dyDescent="0.25">
      <c r="B964" s="5">
        <v>44568</v>
      </c>
      <c r="C964">
        <v>-0.45220255999999998</v>
      </c>
      <c r="D964">
        <v>1.8867970000000001</v>
      </c>
    </row>
    <row r="965" spans="2:4" x14ac:dyDescent="0.25">
      <c r="B965" s="5">
        <v>44567</v>
      </c>
      <c r="C965">
        <v>-1.8285334</v>
      </c>
      <c r="D965">
        <v>-1.3873458000000001</v>
      </c>
    </row>
    <row r="966" spans="2:4" x14ac:dyDescent="0.25">
      <c r="B966" s="5">
        <v>44566</v>
      </c>
      <c r="C966">
        <v>1.4133811000000001</v>
      </c>
      <c r="D966">
        <v>0.62153340000000001</v>
      </c>
    </row>
    <row r="967" spans="2:4" x14ac:dyDescent="0.25">
      <c r="B967" s="5">
        <v>44565</v>
      </c>
      <c r="C967">
        <v>1.6891003</v>
      </c>
      <c r="D967">
        <v>1.3341308000000001</v>
      </c>
    </row>
    <row r="968" spans="2:4" x14ac:dyDescent="0.25">
      <c r="B968" s="5">
        <v>44564</v>
      </c>
      <c r="C968">
        <v>7.7521800000000002E-2</v>
      </c>
      <c r="D968">
        <v>-0.12576580000000001</v>
      </c>
    </row>
    <row r="969" spans="2:4" x14ac:dyDescent="0.25">
      <c r="B969" s="5">
        <v>44561</v>
      </c>
      <c r="C969">
        <v>0.28536319999999998</v>
      </c>
      <c r="D969">
        <v>0</v>
      </c>
    </row>
    <row r="970" spans="2:4" x14ac:dyDescent="0.25">
      <c r="B970" s="5">
        <v>44560</v>
      </c>
      <c r="C970">
        <v>-6.5225359999999996E-2</v>
      </c>
      <c r="D970">
        <v>-0.87001919999999999</v>
      </c>
    </row>
    <row r="971" spans="2:4" x14ac:dyDescent="0.25">
      <c r="B971" s="5">
        <v>44559</v>
      </c>
      <c r="C971">
        <v>0.55291650000000003</v>
      </c>
      <c r="D971">
        <v>-0.40197968000000001</v>
      </c>
    </row>
    <row r="972" spans="2:4" x14ac:dyDescent="0.25">
      <c r="B972" s="5">
        <v>44558</v>
      </c>
      <c r="C972">
        <v>0.93076230000000004</v>
      </c>
      <c r="D972">
        <v>1.2206674</v>
      </c>
    </row>
    <row r="973" spans="2:4" x14ac:dyDescent="0.25">
      <c r="B973" s="5">
        <v>44557</v>
      </c>
      <c r="C973">
        <v>0.47376156000000003</v>
      </c>
      <c r="D973">
        <v>-0.92762109999999998</v>
      </c>
    </row>
    <row r="974" spans="2:4" x14ac:dyDescent="0.25">
      <c r="B974" s="5">
        <v>44553</v>
      </c>
      <c r="C974">
        <v>2.7822018000000002</v>
      </c>
      <c r="D974">
        <v>0.26352406</v>
      </c>
    </row>
    <row r="975" spans="2:4" x14ac:dyDescent="0.25">
      <c r="B975" s="5">
        <v>44552</v>
      </c>
      <c r="C975">
        <v>1.3201594000000001</v>
      </c>
      <c r="D975">
        <v>0.22786856</v>
      </c>
    </row>
    <row r="976" spans="2:4" x14ac:dyDescent="0.25">
      <c r="B976" s="5">
        <v>44551</v>
      </c>
      <c r="C976">
        <v>1.0976790999999999</v>
      </c>
      <c r="D976">
        <v>0.17035006999999999</v>
      </c>
    </row>
    <row r="977" spans="2:4" x14ac:dyDescent="0.25">
      <c r="B977" s="5">
        <v>44550</v>
      </c>
      <c r="C977">
        <v>-1.5676022000000001</v>
      </c>
      <c r="D977">
        <v>-1.7466009</v>
      </c>
    </row>
    <row r="978" spans="2:4" x14ac:dyDescent="0.25">
      <c r="B978" s="5">
        <v>44547</v>
      </c>
      <c r="C978">
        <v>-0.76177715999999995</v>
      </c>
      <c r="D978">
        <v>-0.49499272999999999</v>
      </c>
    </row>
    <row r="979" spans="2:4" x14ac:dyDescent="0.25">
      <c r="B979" s="5">
        <v>44546</v>
      </c>
      <c r="C979">
        <v>2.3304342999999998</v>
      </c>
      <c r="D979">
        <v>-0.50908922999999995</v>
      </c>
    </row>
    <row r="980" spans="2:4" x14ac:dyDescent="0.25">
      <c r="B980" s="5">
        <v>44545</v>
      </c>
      <c r="C980">
        <v>-0.36678314000000001</v>
      </c>
      <c r="D980">
        <v>0.82581042999999998</v>
      </c>
    </row>
    <row r="981" spans="2:4" x14ac:dyDescent="0.25">
      <c r="B981" s="5">
        <v>44544</v>
      </c>
      <c r="C981">
        <v>-0.5044341</v>
      </c>
      <c r="D981">
        <v>-0.123113394</v>
      </c>
    </row>
    <row r="982" spans="2:4" x14ac:dyDescent="0.25">
      <c r="B982" s="5">
        <v>44543</v>
      </c>
      <c r="C982">
        <v>-2.4530349999999999</v>
      </c>
      <c r="D982">
        <v>-0.63731073999999999</v>
      </c>
    </row>
    <row r="983" spans="2:4" x14ac:dyDescent="0.25">
      <c r="B983" s="5">
        <v>44540</v>
      </c>
      <c r="C983">
        <v>-0.55278539999999998</v>
      </c>
      <c r="D983">
        <v>-2.4499118000000002</v>
      </c>
    </row>
    <row r="984" spans="2:4" x14ac:dyDescent="0.25">
      <c r="B984" s="5">
        <v>44539</v>
      </c>
      <c r="C984">
        <v>-0.73643327000000003</v>
      </c>
      <c r="D984">
        <v>0.24061203</v>
      </c>
    </row>
    <row r="985" spans="2:4" x14ac:dyDescent="0.25">
      <c r="B985" s="5">
        <v>44538</v>
      </c>
      <c r="C985">
        <v>-0.64739584999999999</v>
      </c>
      <c r="D985">
        <v>0.69874524999999998</v>
      </c>
    </row>
    <row r="986" spans="2:4" x14ac:dyDescent="0.25">
      <c r="B986" s="5">
        <v>44537</v>
      </c>
      <c r="C986">
        <v>1.2316942</v>
      </c>
      <c r="D986">
        <v>2.9718040999999999</v>
      </c>
    </row>
    <row r="987" spans="2:4" x14ac:dyDescent="0.25">
      <c r="B987" s="5">
        <v>44536</v>
      </c>
      <c r="C987">
        <v>2.306962</v>
      </c>
      <c r="D987">
        <v>-0.62739849999999997</v>
      </c>
    </row>
    <row r="988" spans="2:4" x14ac:dyDescent="0.25">
      <c r="B988" s="5">
        <v>44533</v>
      </c>
      <c r="C988">
        <v>-0.74391960000000001</v>
      </c>
      <c r="D988">
        <v>2.2951006999999999</v>
      </c>
    </row>
    <row r="989" spans="2:4" x14ac:dyDescent="0.25">
      <c r="B989" s="5">
        <v>44532</v>
      </c>
      <c r="C989">
        <v>0.62630176999999998</v>
      </c>
      <c r="D989">
        <v>-0.60270429999999997</v>
      </c>
    </row>
    <row r="990" spans="2:4" x14ac:dyDescent="0.25">
      <c r="B990" s="5">
        <v>44531</v>
      </c>
      <c r="C990">
        <v>4.8108459999999997</v>
      </c>
      <c r="D990">
        <v>0.77116490000000004</v>
      </c>
    </row>
    <row r="991" spans="2:4" x14ac:dyDescent="0.25">
      <c r="B991" s="5">
        <v>44530</v>
      </c>
      <c r="C991">
        <v>-2.1755100000000001</v>
      </c>
      <c r="D991">
        <v>-1.3786197</v>
      </c>
    </row>
    <row r="992" spans="2:4" x14ac:dyDescent="0.25">
      <c r="B992" s="5">
        <v>44529</v>
      </c>
      <c r="C992">
        <v>-2.0721257</v>
      </c>
      <c r="D992">
        <v>-3.5668730000000002</v>
      </c>
    </row>
    <row r="993" spans="2:4" x14ac:dyDescent="0.25">
      <c r="B993" s="5">
        <v>44526</v>
      </c>
      <c r="C993">
        <v>-1.3447464</v>
      </c>
      <c r="D993">
        <v>-1.0112106999999999</v>
      </c>
    </row>
    <row r="994" spans="2:4" x14ac:dyDescent="0.25">
      <c r="B994" s="5">
        <v>44524</v>
      </c>
      <c r="C994">
        <v>-0.55243969999999998</v>
      </c>
      <c r="D994">
        <v>-1.6566932000000001</v>
      </c>
    </row>
    <row r="995" spans="2:4" x14ac:dyDescent="0.25">
      <c r="B995" s="5">
        <v>44523</v>
      </c>
      <c r="C995">
        <v>-0.95979570000000003</v>
      </c>
      <c r="D995">
        <v>-0.21740793999999999</v>
      </c>
    </row>
    <row r="996" spans="2:4" x14ac:dyDescent="0.25">
      <c r="B996" s="5">
        <v>44522</v>
      </c>
      <c r="C996">
        <v>-0.39685369999999998</v>
      </c>
      <c r="D996">
        <v>-1.3939798000000001</v>
      </c>
    </row>
    <row r="997" spans="2:4" x14ac:dyDescent="0.25">
      <c r="B997" s="5">
        <v>44519</v>
      </c>
      <c r="C997">
        <v>-2.1497964999999999</v>
      </c>
      <c r="D997">
        <v>-0.57356359999999995</v>
      </c>
    </row>
    <row r="998" spans="2:4" x14ac:dyDescent="0.25">
      <c r="B998" s="5">
        <v>44518</v>
      </c>
      <c r="C998">
        <v>0.82645416000000005</v>
      </c>
      <c r="D998">
        <v>-0.93524456</v>
      </c>
    </row>
    <row r="999" spans="2:4" x14ac:dyDescent="0.25">
      <c r="B999" s="5">
        <v>44517</v>
      </c>
      <c r="C999">
        <v>-0.76748729999999998</v>
      </c>
      <c r="D999">
        <v>-0.58888196999999998</v>
      </c>
    </row>
    <row r="1000" spans="2:4" x14ac:dyDescent="0.25">
      <c r="B1000" s="5">
        <v>44516</v>
      </c>
      <c r="C1000">
        <v>-2.4165093999999998</v>
      </c>
      <c r="D1000">
        <v>-0.98033550000000003</v>
      </c>
    </row>
    <row r="1001" spans="2:4" x14ac:dyDescent="0.25">
      <c r="B1001" s="5">
        <v>44515</v>
      </c>
      <c r="C1001">
        <v>-1.2438058999999999</v>
      </c>
      <c r="D1001">
        <v>1.0650276999999999</v>
      </c>
    </row>
    <row r="1002" spans="2:4" x14ac:dyDescent="0.25">
      <c r="B1002" s="5">
        <v>44512</v>
      </c>
      <c r="C1002">
        <v>6.2879323999999999</v>
      </c>
      <c r="D1002">
        <v>-0.21834970000000001</v>
      </c>
    </row>
    <row r="1003" spans="2:4" x14ac:dyDescent="0.25">
      <c r="B1003" s="5">
        <v>44511</v>
      </c>
      <c r="C1003">
        <v>-0.85156560000000003</v>
      </c>
      <c r="D1003">
        <v>0.72011950000000002</v>
      </c>
    </row>
    <row r="1004" spans="2:4" x14ac:dyDescent="0.25">
      <c r="B1004" s="5">
        <v>44510</v>
      </c>
      <c r="C1004">
        <v>-0.88825226000000002</v>
      </c>
      <c r="D1004">
        <v>-1.7682076</v>
      </c>
    </row>
    <row r="1005" spans="2:4" x14ac:dyDescent="0.25">
      <c r="B1005" s="5">
        <v>44509</v>
      </c>
      <c r="C1005">
        <v>-1.1012017999999999</v>
      </c>
      <c r="D1005">
        <v>-0.45996904</v>
      </c>
    </row>
    <row r="1006" spans="2:4" x14ac:dyDescent="0.25">
      <c r="B1006" s="5">
        <v>44508</v>
      </c>
      <c r="C1006">
        <v>-0.81713796000000005</v>
      </c>
      <c r="D1006">
        <v>2.9921174000000001</v>
      </c>
    </row>
    <row r="1007" spans="2:4" x14ac:dyDescent="0.25">
      <c r="B1007" s="5">
        <v>44505</v>
      </c>
      <c r="C1007">
        <v>-0.69696309999999995</v>
      </c>
      <c r="D1007">
        <v>1.9985557</v>
      </c>
    </row>
    <row r="1008" spans="2:4" x14ac:dyDescent="0.25">
      <c r="B1008" s="5">
        <v>44504</v>
      </c>
      <c r="C1008">
        <v>1.3491987999999999</v>
      </c>
      <c r="D1008">
        <v>0.87176560000000003</v>
      </c>
    </row>
    <row r="1009" spans="2:4" x14ac:dyDescent="0.25">
      <c r="B1009" s="5">
        <v>44503</v>
      </c>
      <c r="C1009">
        <v>4.1544676000000003</v>
      </c>
      <c r="D1009">
        <v>-0.24545193000000001</v>
      </c>
    </row>
    <row r="1010" spans="2:4" x14ac:dyDescent="0.25">
      <c r="B1010" s="5">
        <v>44502</v>
      </c>
      <c r="C1010">
        <v>-4.4379654000000004</v>
      </c>
      <c r="D1010">
        <v>-1.0024369</v>
      </c>
    </row>
    <row r="1011" spans="2:4" x14ac:dyDescent="0.25">
      <c r="B1011" s="5">
        <v>44501</v>
      </c>
      <c r="C1011">
        <v>2.1811604</v>
      </c>
      <c r="D1011">
        <v>2.2865175999999998</v>
      </c>
    </row>
    <row r="1012" spans="2:4" x14ac:dyDescent="0.25">
      <c r="B1012" s="5">
        <v>44498</v>
      </c>
      <c r="C1012">
        <v>-1.2964188999999999</v>
      </c>
      <c r="D1012">
        <v>-0.56127309999999997</v>
      </c>
    </row>
    <row r="1013" spans="2:4" x14ac:dyDescent="0.25">
      <c r="B1013" s="5">
        <v>44497</v>
      </c>
      <c r="C1013">
        <v>0.14789104</v>
      </c>
      <c r="D1013">
        <v>-1.0718524</v>
      </c>
    </row>
    <row r="1014" spans="2:4" x14ac:dyDescent="0.25">
      <c r="B1014" s="5">
        <v>44496</v>
      </c>
      <c r="C1014">
        <v>-1.7216921000000001</v>
      </c>
      <c r="D1014">
        <v>0.22932290999999999</v>
      </c>
    </row>
    <row r="1015" spans="2:4" x14ac:dyDescent="0.25">
      <c r="B1015" s="5">
        <v>44495</v>
      </c>
      <c r="C1015">
        <v>1.0666370000000001</v>
      </c>
      <c r="D1015">
        <v>-0.38325189999999998</v>
      </c>
    </row>
    <row r="1016" spans="2:4" x14ac:dyDescent="0.25">
      <c r="B1016" s="5">
        <v>44494</v>
      </c>
      <c r="C1016">
        <v>-1.1866927</v>
      </c>
      <c r="D1016">
        <v>-0.98725560000000001</v>
      </c>
    </row>
    <row r="1017" spans="2:4" x14ac:dyDescent="0.25">
      <c r="B1017" s="5">
        <v>44491</v>
      </c>
      <c r="C1017">
        <v>0.70357320000000001</v>
      </c>
      <c r="D1017">
        <v>-2.0088613</v>
      </c>
    </row>
    <row r="1018" spans="2:4" x14ac:dyDescent="0.25">
      <c r="B1018" s="5">
        <v>44490</v>
      </c>
      <c r="C1018">
        <v>0.87890625</v>
      </c>
      <c r="D1018">
        <v>1.8080711</v>
      </c>
    </row>
    <row r="1019" spans="2:4" x14ac:dyDescent="0.25">
      <c r="B1019" s="5">
        <v>44489</v>
      </c>
      <c r="C1019">
        <v>-0.46612024000000002</v>
      </c>
      <c r="D1019">
        <v>-0.12232065</v>
      </c>
    </row>
    <row r="1020" spans="2:4" x14ac:dyDescent="0.25">
      <c r="B1020" s="5">
        <v>44488</v>
      </c>
      <c r="C1020">
        <v>-0.45900940000000001</v>
      </c>
      <c r="D1020">
        <v>-0.26149154000000002</v>
      </c>
    </row>
    <row r="1021" spans="2:4" x14ac:dyDescent="0.25">
      <c r="B1021" s="5">
        <v>44487</v>
      </c>
      <c r="C1021">
        <v>-2.1688879000000001</v>
      </c>
      <c r="D1021">
        <v>0.24430752</v>
      </c>
    </row>
    <row r="1022" spans="2:4" x14ac:dyDescent="0.25">
      <c r="B1022" s="5">
        <v>44484</v>
      </c>
      <c r="C1022">
        <v>0.76837540000000004</v>
      </c>
      <c r="D1022">
        <v>-0.39404034999999998</v>
      </c>
    </row>
    <row r="1023" spans="2:4" x14ac:dyDescent="0.25">
      <c r="B1023" s="5">
        <v>44483</v>
      </c>
      <c r="C1023">
        <v>1.3187289</v>
      </c>
      <c r="D1023">
        <v>-0.22052526</v>
      </c>
    </row>
    <row r="1024" spans="2:4" x14ac:dyDescent="0.25">
      <c r="B1024" s="5">
        <v>44482</v>
      </c>
      <c r="C1024">
        <v>-0.23406147999999999</v>
      </c>
      <c r="D1024">
        <v>-0.5668223</v>
      </c>
    </row>
    <row r="1025" spans="2:4" x14ac:dyDescent="0.25">
      <c r="B1025" s="5">
        <v>44481</v>
      </c>
      <c r="C1025">
        <v>-0.47581792000000001</v>
      </c>
      <c r="D1025">
        <v>-0.28165580000000001</v>
      </c>
    </row>
    <row r="1026" spans="2:4" x14ac:dyDescent="0.25">
      <c r="B1026" s="5">
        <v>44480</v>
      </c>
      <c r="C1026">
        <v>-0.22212266999999999</v>
      </c>
      <c r="D1026">
        <v>-1.5647829</v>
      </c>
    </row>
    <row r="1027" spans="2:4" x14ac:dyDescent="0.25">
      <c r="B1027" s="5">
        <v>44477</v>
      </c>
      <c r="C1027">
        <v>-0.30639171999999998</v>
      </c>
      <c r="D1027">
        <v>1.0330558000000001</v>
      </c>
    </row>
    <row r="1028" spans="2:4" x14ac:dyDescent="0.25">
      <c r="B1028" s="5">
        <v>44476</v>
      </c>
      <c r="C1028">
        <v>2.8407453999999999</v>
      </c>
      <c r="D1028">
        <v>-0.17676353</v>
      </c>
    </row>
    <row r="1029" spans="2:4" x14ac:dyDescent="0.25">
      <c r="B1029" s="5">
        <v>44475</v>
      </c>
      <c r="C1029">
        <v>-0.19930601000000001</v>
      </c>
      <c r="D1029">
        <v>2.620387</v>
      </c>
    </row>
    <row r="1030" spans="2:4" x14ac:dyDescent="0.25">
      <c r="B1030" s="5">
        <v>44474</v>
      </c>
      <c r="C1030">
        <v>1.1110306E-2</v>
      </c>
      <c r="D1030">
        <v>-0.93446373999999999</v>
      </c>
    </row>
    <row r="1031" spans="2:4" x14ac:dyDescent="0.25">
      <c r="B1031" s="5">
        <v>44473</v>
      </c>
      <c r="C1031">
        <v>1.0680437</v>
      </c>
      <c r="D1031">
        <v>0.83045959999999996</v>
      </c>
    </row>
    <row r="1032" spans="2:4" x14ac:dyDescent="0.25">
      <c r="B1032" s="5">
        <v>44470</v>
      </c>
      <c r="C1032">
        <v>8.7940690000000002E-2</v>
      </c>
      <c r="D1032">
        <v>-1.9182444000000001</v>
      </c>
    </row>
    <row r="1033" spans="2:4" x14ac:dyDescent="0.25">
      <c r="B1033" s="5">
        <v>44469</v>
      </c>
      <c r="C1033">
        <v>-1.8050492</v>
      </c>
      <c r="D1033">
        <v>0.53907629999999995</v>
      </c>
    </row>
    <row r="1034" spans="2:4" x14ac:dyDescent="0.25">
      <c r="B1034" s="5">
        <v>44468</v>
      </c>
      <c r="C1034">
        <v>-0.33178925999999997</v>
      </c>
      <c r="D1034">
        <v>-2.8155030000000001</v>
      </c>
    </row>
    <row r="1035" spans="2:4" x14ac:dyDescent="0.25">
      <c r="B1035" s="5">
        <v>44467</v>
      </c>
      <c r="C1035">
        <v>-1.4091909</v>
      </c>
      <c r="D1035">
        <v>-0.4809022</v>
      </c>
    </row>
    <row r="1036" spans="2:4" x14ac:dyDescent="0.25">
      <c r="B1036" s="5">
        <v>44466</v>
      </c>
      <c r="C1036">
        <v>-0.18071532000000001</v>
      </c>
      <c r="D1036">
        <v>0.52577260000000003</v>
      </c>
    </row>
    <row r="1037" spans="2:4" x14ac:dyDescent="0.25">
      <c r="B1037" s="5">
        <v>44463</v>
      </c>
      <c r="C1037">
        <v>8.1205369999999999E-2</v>
      </c>
      <c r="D1037">
        <v>2.606535</v>
      </c>
    </row>
    <row r="1038" spans="2:4" x14ac:dyDescent="0.25">
      <c r="B1038" s="5">
        <v>44462</v>
      </c>
      <c r="C1038">
        <v>-1.0130285999999999</v>
      </c>
      <c r="D1038">
        <v>-0.45853256999999997</v>
      </c>
    </row>
    <row r="1039" spans="2:4" x14ac:dyDescent="0.25">
      <c r="B1039" s="5">
        <v>44461</v>
      </c>
      <c r="C1039">
        <v>2.3084997999999999</v>
      </c>
      <c r="D1039">
        <v>-1.0292053000000001</v>
      </c>
    </row>
    <row r="1040" spans="2:4" x14ac:dyDescent="0.25">
      <c r="B1040" s="5">
        <v>44460</v>
      </c>
      <c r="C1040">
        <v>-0.39269327999999998</v>
      </c>
      <c r="D1040">
        <v>-0.89977384000000005</v>
      </c>
    </row>
    <row r="1041" spans="2:4" x14ac:dyDescent="0.25">
      <c r="B1041" s="5">
        <v>44459</v>
      </c>
      <c r="C1041">
        <v>6.8068503999999998E-3</v>
      </c>
      <c r="D1041">
        <v>0.41546822</v>
      </c>
    </row>
    <row r="1042" spans="2:4" x14ac:dyDescent="0.25">
      <c r="B1042" s="5">
        <v>44456</v>
      </c>
      <c r="C1042">
        <v>-0.28236507999999999</v>
      </c>
      <c r="D1042">
        <v>0.74350833999999999</v>
      </c>
    </row>
    <row r="1043" spans="2:4" x14ac:dyDescent="0.25">
      <c r="B1043" s="5">
        <v>44455</v>
      </c>
      <c r="C1043">
        <v>1.7413259000000001</v>
      </c>
      <c r="D1043">
        <v>0.64007044000000002</v>
      </c>
    </row>
    <row r="1044" spans="2:4" x14ac:dyDescent="0.25">
      <c r="B1044" s="5">
        <v>44454</v>
      </c>
      <c r="C1044">
        <v>-1.0420917999999999</v>
      </c>
      <c r="D1044">
        <v>-1.4917374000000001</v>
      </c>
    </row>
    <row r="1045" spans="2:4" x14ac:dyDescent="0.25">
      <c r="B1045" s="5">
        <v>44453</v>
      </c>
      <c r="C1045">
        <v>-3.2605469999999999</v>
      </c>
      <c r="D1045">
        <v>1.1216759999999999</v>
      </c>
    </row>
    <row r="1046" spans="2:4" x14ac:dyDescent="0.25">
      <c r="B1046" s="5">
        <v>44452</v>
      </c>
      <c r="C1046">
        <v>9.6535679999999999E-2</v>
      </c>
      <c r="D1046">
        <v>-0.31600594999999998</v>
      </c>
    </row>
    <row r="1047" spans="2:4" x14ac:dyDescent="0.25">
      <c r="B1047" s="5">
        <v>44449</v>
      </c>
      <c r="C1047">
        <v>-2.9051423000000001</v>
      </c>
      <c r="D1047">
        <v>1.3582349</v>
      </c>
    </row>
    <row r="1048" spans="2:4" x14ac:dyDescent="0.25">
      <c r="B1048" s="5">
        <v>44448</v>
      </c>
      <c r="C1048">
        <v>-0.14064908000000001</v>
      </c>
      <c r="D1048">
        <v>-0.41971206999999999</v>
      </c>
    </row>
    <row r="1049" spans="2:4" x14ac:dyDescent="0.25">
      <c r="B1049" s="5">
        <v>44447</v>
      </c>
      <c r="C1049">
        <v>-1.1525631000000001</v>
      </c>
      <c r="D1049">
        <v>0.86406470000000002</v>
      </c>
    </row>
    <row r="1050" spans="2:4" x14ac:dyDescent="0.25">
      <c r="B1050" s="5">
        <v>44446</v>
      </c>
      <c r="C1050">
        <v>-0.63300129999999999</v>
      </c>
      <c r="D1050">
        <v>0.79919099999999998</v>
      </c>
    </row>
    <row r="1051" spans="2:4" x14ac:dyDescent="0.25">
      <c r="B1051" s="5">
        <v>44442</v>
      </c>
      <c r="C1051">
        <v>-0.95281004999999996</v>
      </c>
      <c r="D1051">
        <v>1.8665314</v>
      </c>
    </row>
    <row r="1052" spans="2:4" x14ac:dyDescent="0.25">
      <c r="B1052" s="5">
        <v>44441</v>
      </c>
      <c r="C1052">
        <v>-0.87682605000000002</v>
      </c>
      <c r="D1052">
        <v>-5.5807830000000003E-2</v>
      </c>
    </row>
    <row r="1053" spans="2:4" x14ac:dyDescent="0.25">
      <c r="B1053" s="5">
        <v>44440</v>
      </c>
      <c r="C1053">
        <v>2.46557</v>
      </c>
      <c r="D1053">
        <v>2.8582573</v>
      </c>
    </row>
    <row r="1054" spans="2:4" x14ac:dyDescent="0.25">
      <c r="B1054" s="5">
        <v>44439</v>
      </c>
      <c r="C1054">
        <v>-1.6968787000000001</v>
      </c>
      <c r="D1054">
        <v>-1.3930202</v>
      </c>
    </row>
    <row r="1055" spans="2:4" x14ac:dyDescent="0.25">
      <c r="B1055" s="5">
        <v>44438</v>
      </c>
      <c r="C1055">
        <v>-5.2559375999999998E-2</v>
      </c>
      <c r="D1055">
        <v>1.1726618</v>
      </c>
    </row>
    <row r="1056" spans="2:4" x14ac:dyDescent="0.25">
      <c r="B1056" s="5">
        <v>44435</v>
      </c>
      <c r="C1056">
        <v>0.52000283999999997</v>
      </c>
      <c r="D1056">
        <v>-1.0286689</v>
      </c>
    </row>
    <row r="1057" spans="2:4" x14ac:dyDescent="0.25">
      <c r="B1057" s="5">
        <v>44434</v>
      </c>
      <c r="C1057">
        <v>0.14443397999999999</v>
      </c>
      <c r="D1057">
        <v>0.55412053999999999</v>
      </c>
    </row>
    <row r="1058" spans="2:4" x14ac:dyDescent="0.25">
      <c r="B1058" s="5">
        <v>44433</v>
      </c>
      <c r="C1058">
        <v>1.5197396000000001</v>
      </c>
      <c r="D1058">
        <v>-1.1219977999999999</v>
      </c>
    </row>
    <row r="1059" spans="2:4" x14ac:dyDescent="0.25">
      <c r="B1059" s="5">
        <v>44432</v>
      </c>
      <c r="C1059">
        <v>-0.76067450000000003</v>
      </c>
      <c r="D1059">
        <v>-0.12241602</v>
      </c>
    </row>
    <row r="1060" spans="2:4" x14ac:dyDescent="0.25">
      <c r="B1060" s="5">
        <v>44431</v>
      </c>
      <c r="C1060">
        <v>1.6069651</v>
      </c>
      <c r="D1060">
        <v>0.81651209999999996</v>
      </c>
    </row>
    <row r="1061" spans="2:4" x14ac:dyDescent="0.25">
      <c r="B1061" s="5">
        <v>44428</v>
      </c>
      <c r="C1061">
        <v>-0.23183227000000001</v>
      </c>
      <c r="D1061">
        <v>9.6511840000000002E-2</v>
      </c>
    </row>
    <row r="1062" spans="2:4" x14ac:dyDescent="0.25">
      <c r="B1062" s="5">
        <v>44427</v>
      </c>
      <c r="C1062">
        <v>-3.0236304000000001</v>
      </c>
      <c r="D1062">
        <v>-1.922965</v>
      </c>
    </row>
    <row r="1063" spans="2:4" x14ac:dyDescent="0.25">
      <c r="B1063" s="5">
        <v>44426</v>
      </c>
      <c r="C1063">
        <v>-3.4749507999999999E-3</v>
      </c>
      <c r="D1063">
        <v>1.0736108</v>
      </c>
    </row>
    <row r="1064" spans="2:4" x14ac:dyDescent="0.25">
      <c r="B1064" s="5">
        <v>44425</v>
      </c>
      <c r="C1064">
        <v>-1.6587555</v>
      </c>
      <c r="D1064">
        <v>-1.8189131999999999</v>
      </c>
    </row>
    <row r="1065" spans="2:4" x14ac:dyDescent="0.25">
      <c r="B1065" s="5">
        <v>44424</v>
      </c>
      <c r="C1065">
        <v>-0.50965550000000004</v>
      </c>
      <c r="D1065">
        <v>-0.82061289999999998</v>
      </c>
    </row>
    <row r="1066" spans="2:4" x14ac:dyDescent="0.25">
      <c r="B1066" s="5">
        <v>44421</v>
      </c>
      <c r="C1066">
        <v>-0.20523071000000001</v>
      </c>
      <c r="D1066">
        <v>0.52814483999999995</v>
      </c>
    </row>
    <row r="1067" spans="2:4" x14ac:dyDescent="0.25">
      <c r="B1067" s="5">
        <v>44420</v>
      </c>
      <c r="C1067">
        <v>0.82325934999999995</v>
      </c>
      <c r="D1067">
        <v>-1.3477444999999999</v>
      </c>
    </row>
    <row r="1068" spans="2:4" x14ac:dyDescent="0.25">
      <c r="B1068" s="5">
        <v>44419</v>
      </c>
      <c r="C1068">
        <v>-0.3304243</v>
      </c>
      <c r="D1068">
        <v>1.7116188999999999</v>
      </c>
    </row>
    <row r="1069" spans="2:4" x14ac:dyDescent="0.25">
      <c r="B1069" s="5">
        <v>44418</v>
      </c>
      <c r="C1069">
        <v>-0.88182689999999997</v>
      </c>
      <c r="D1069">
        <v>9.2697139999999997E-2</v>
      </c>
    </row>
    <row r="1070" spans="2:4" x14ac:dyDescent="0.25">
      <c r="B1070" s="5">
        <v>44417</v>
      </c>
      <c r="C1070">
        <v>-1.1476398000000001</v>
      </c>
      <c r="D1070">
        <v>3.1733512999999998E-2</v>
      </c>
    </row>
    <row r="1071" spans="2:4" x14ac:dyDescent="0.25">
      <c r="B1071" s="5">
        <v>44414</v>
      </c>
      <c r="C1071">
        <v>1.1898994000000001</v>
      </c>
      <c r="D1071">
        <v>-2.0157455999999998</v>
      </c>
    </row>
    <row r="1072" spans="2:4" x14ac:dyDescent="0.25">
      <c r="B1072" s="5">
        <v>44413</v>
      </c>
      <c r="C1072">
        <v>-0.81416964999999997</v>
      </c>
      <c r="D1072">
        <v>0.11100769000000001</v>
      </c>
    </row>
    <row r="1073" spans="2:4" x14ac:dyDescent="0.25">
      <c r="B1073" s="5">
        <v>44412</v>
      </c>
      <c r="C1073">
        <v>-1.3001739999999999</v>
      </c>
      <c r="D1073">
        <v>-1.5951633000000001</v>
      </c>
    </row>
    <row r="1074" spans="2:4" x14ac:dyDescent="0.25">
      <c r="B1074" s="5">
        <v>44411</v>
      </c>
      <c r="C1074">
        <v>-0.36941170000000001</v>
      </c>
      <c r="D1074">
        <v>-0.74268579999999995</v>
      </c>
    </row>
    <row r="1075" spans="2:4" x14ac:dyDescent="0.25">
      <c r="B1075" s="5">
        <v>44410</v>
      </c>
      <c r="C1075">
        <v>-2.0736456E-2</v>
      </c>
      <c r="D1075">
        <v>3.8277507000000002</v>
      </c>
    </row>
    <row r="1076" spans="2:4" x14ac:dyDescent="0.25">
      <c r="B1076" s="5">
        <v>44407</v>
      </c>
      <c r="C1076">
        <v>-3.2417476000000001</v>
      </c>
      <c r="D1076">
        <v>-2.7553200000000002</v>
      </c>
    </row>
    <row r="1077" spans="2:4" x14ac:dyDescent="0.25">
      <c r="B1077" s="5">
        <v>44406</v>
      </c>
      <c r="C1077">
        <v>-2.1964312E-2</v>
      </c>
      <c r="D1077">
        <v>-0.35020113000000003</v>
      </c>
    </row>
    <row r="1078" spans="2:4" x14ac:dyDescent="0.25">
      <c r="B1078" s="5">
        <v>44405</v>
      </c>
      <c r="C1078">
        <v>-7.9325080000000003</v>
      </c>
      <c r="D1078">
        <v>-1.140058</v>
      </c>
    </row>
    <row r="1079" spans="2:4" x14ac:dyDescent="0.25">
      <c r="B1079" s="5">
        <v>44404</v>
      </c>
      <c r="C1079">
        <v>-3.8475454</v>
      </c>
      <c r="D1079">
        <v>1.8171786999999999</v>
      </c>
    </row>
    <row r="1080" spans="2:4" x14ac:dyDescent="0.25">
      <c r="B1080" s="5">
        <v>44403</v>
      </c>
      <c r="C1080">
        <v>1.5104175</v>
      </c>
      <c r="D1080">
        <v>0.88382959999999999</v>
      </c>
    </row>
    <row r="1081" spans="2:4" x14ac:dyDescent="0.25">
      <c r="B1081" s="5">
        <v>44400</v>
      </c>
      <c r="C1081">
        <v>2.5133014</v>
      </c>
      <c r="D1081">
        <v>-0.3934145</v>
      </c>
    </row>
    <row r="1082" spans="2:4" x14ac:dyDescent="0.25">
      <c r="B1082" s="5">
        <v>44399</v>
      </c>
      <c r="C1082">
        <v>0.32542944000000001</v>
      </c>
      <c r="D1082">
        <v>0.18159151000000001</v>
      </c>
    </row>
    <row r="1083" spans="2:4" x14ac:dyDescent="0.25">
      <c r="B1083" s="5">
        <v>44398</v>
      </c>
      <c r="C1083">
        <v>2.6138067</v>
      </c>
      <c r="D1083">
        <v>-4.1645765000000001E-2</v>
      </c>
    </row>
    <row r="1084" spans="2:4" x14ac:dyDescent="0.25">
      <c r="B1084" s="5">
        <v>44397</v>
      </c>
      <c r="C1084">
        <v>0.83518029999999999</v>
      </c>
      <c r="D1084">
        <v>-1.3040364</v>
      </c>
    </row>
    <row r="1085" spans="2:4" x14ac:dyDescent="0.25">
      <c r="B1085" s="5">
        <v>44396</v>
      </c>
      <c r="C1085">
        <v>-2.9075205</v>
      </c>
      <c r="D1085">
        <v>-1.0709405000000001</v>
      </c>
    </row>
    <row r="1086" spans="2:4" x14ac:dyDescent="0.25">
      <c r="B1086" s="5">
        <v>44393</v>
      </c>
      <c r="C1086">
        <v>-0.92805029999999999</v>
      </c>
      <c r="D1086">
        <v>-6.3580275000000006E-2</v>
      </c>
    </row>
    <row r="1087" spans="2:4" x14ac:dyDescent="0.25">
      <c r="B1087" s="5">
        <v>44392</v>
      </c>
      <c r="C1087">
        <v>-2.3820758</v>
      </c>
      <c r="D1087">
        <v>-1.2674928000000001</v>
      </c>
    </row>
    <row r="1088" spans="2:4" x14ac:dyDescent="0.25">
      <c r="B1088" s="5">
        <v>44391</v>
      </c>
      <c r="C1088">
        <v>6.3371659999999996E-2</v>
      </c>
      <c r="D1088">
        <v>0.28206110000000001</v>
      </c>
    </row>
    <row r="1089" spans="2:4" x14ac:dyDescent="0.25">
      <c r="B1089" s="5">
        <v>44390</v>
      </c>
      <c r="C1089">
        <v>4.8291683000000002E-2</v>
      </c>
      <c r="D1089">
        <v>0.98137856000000001</v>
      </c>
    </row>
    <row r="1090" spans="2:4" x14ac:dyDescent="0.25">
      <c r="B1090" s="5">
        <v>44389</v>
      </c>
      <c r="C1090">
        <v>0.68213939999999995</v>
      </c>
      <c r="D1090">
        <v>2.774918</v>
      </c>
    </row>
    <row r="1091" spans="2:4" x14ac:dyDescent="0.25">
      <c r="B1091" s="5">
        <v>44386</v>
      </c>
      <c r="C1091">
        <v>1.7441392</v>
      </c>
      <c r="D1091">
        <v>-0.53114295</v>
      </c>
    </row>
    <row r="1092" spans="2:4" x14ac:dyDescent="0.25">
      <c r="B1092" s="5">
        <v>44385</v>
      </c>
      <c r="C1092">
        <v>-2.1189988</v>
      </c>
      <c r="D1092">
        <v>-0.90773700000000002</v>
      </c>
    </row>
    <row r="1093" spans="2:4" x14ac:dyDescent="0.25">
      <c r="B1093" s="5">
        <v>44384</v>
      </c>
      <c r="C1093">
        <v>0.90118646999999996</v>
      </c>
      <c r="D1093">
        <v>-2.0221710000000002</v>
      </c>
    </row>
    <row r="1094" spans="2:4" x14ac:dyDescent="0.25">
      <c r="B1094" s="5">
        <v>44383</v>
      </c>
      <c r="C1094">
        <v>-1.5559137000000001</v>
      </c>
      <c r="D1094">
        <v>5.7828426000000002E-2</v>
      </c>
    </row>
    <row r="1095" spans="2:4" x14ac:dyDescent="0.25">
      <c r="B1095" s="5">
        <v>44379</v>
      </c>
      <c r="C1095">
        <v>0.76558590000000004</v>
      </c>
      <c r="D1095">
        <v>1.1371374000000001</v>
      </c>
    </row>
    <row r="1096" spans="2:4" x14ac:dyDescent="0.25">
      <c r="B1096" s="5">
        <v>44378</v>
      </c>
      <c r="C1096">
        <v>0.91177224999999995</v>
      </c>
      <c r="D1096">
        <v>-0.5704224</v>
      </c>
    </row>
    <row r="1097" spans="2:4" x14ac:dyDescent="0.25">
      <c r="B1097" s="5">
        <v>44377</v>
      </c>
      <c r="C1097">
        <v>-1.7338693000000001</v>
      </c>
      <c r="D1097">
        <v>-1.5083610999999999</v>
      </c>
    </row>
    <row r="1098" spans="2:4" x14ac:dyDescent="0.25">
      <c r="B1098" s="5">
        <v>44376</v>
      </c>
      <c r="C1098">
        <v>1.1708021</v>
      </c>
      <c r="D1098">
        <v>-0.35098194999999999</v>
      </c>
    </row>
    <row r="1099" spans="2:4" x14ac:dyDescent="0.25">
      <c r="B1099" s="5">
        <v>44375</v>
      </c>
      <c r="C1099">
        <v>-7.2091820000000001E-2</v>
      </c>
      <c r="D1099">
        <v>0.82989930000000001</v>
      </c>
    </row>
    <row r="1100" spans="2:4" x14ac:dyDescent="0.25">
      <c r="B1100" s="5">
        <v>44372</v>
      </c>
      <c r="C1100">
        <v>0.23621320000000001</v>
      </c>
      <c r="D1100">
        <v>-0.62136650000000004</v>
      </c>
    </row>
    <row r="1101" spans="2:4" x14ac:dyDescent="0.25">
      <c r="B1101" s="5">
        <v>44371</v>
      </c>
      <c r="C1101">
        <v>0.83186625999999997</v>
      </c>
      <c r="D1101">
        <v>3.0292273000000001</v>
      </c>
    </row>
    <row r="1102" spans="2:4" x14ac:dyDescent="0.25">
      <c r="B1102" s="5">
        <v>44370</v>
      </c>
      <c r="C1102">
        <v>-0.5626738</v>
      </c>
      <c r="D1102">
        <v>-0.92269179999999995</v>
      </c>
    </row>
    <row r="1103" spans="2:4" x14ac:dyDescent="0.25">
      <c r="B1103" s="5">
        <v>44369</v>
      </c>
      <c r="C1103">
        <v>0.18732547999999999</v>
      </c>
      <c r="D1103">
        <v>1.9071697999999999</v>
      </c>
    </row>
    <row r="1104" spans="2:4" x14ac:dyDescent="0.25">
      <c r="B1104" s="5">
        <v>44368</v>
      </c>
      <c r="C1104">
        <v>0.73720216999999999</v>
      </c>
      <c r="D1104">
        <v>-3.4381807000000002</v>
      </c>
    </row>
    <row r="1105" spans="2:4" x14ac:dyDescent="0.25">
      <c r="B1105" s="5">
        <v>44365</v>
      </c>
      <c r="C1105">
        <v>-3.2219945999999999</v>
      </c>
      <c r="D1105">
        <v>-1.6103445999999999</v>
      </c>
    </row>
    <row r="1106" spans="2:4" x14ac:dyDescent="0.25">
      <c r="B1106" s="5">
        <v>44364</v>
      </c>
      <c r="C1106">
        <v>-2.1741152000000001</v>
      </c>
      <c r="D1106">
        <v>-1.6009271</v>
      </c>
    </row>
    <row r="1107" spans="2:4" x14ac:dyDescent="0.25">
      <c r="B1107" s="5">
        <v>44363</v>
      </c>
      <c r="C1107">
        <v>0.38303136999999998</v>
      </c>
      <c r="D1107">
        <v>-9.7495319999999996E-2</v>
      </c>
    </row>
    <row r="1108" spans="2:4" x14ac:dyDescent="0.25">
      <c r="B1108" s="5">
        <v>44362</v>
      </c>
      <c r="C1108">
        <v>-0.82921385999999997</v>
      </c>
      <c r="D1108">
        <v>-0.24018883999999999</v>
      </c>
    </row>
    <row r="1109" spans="2:4" x14ac:dyDescent="0.25">
      <c r="B1109" s="5">
        <v>44361</v>
      </c>
      <c r="C1109">
        <v>1.2188435</v>
      </c>
      <c r="D1109">
        <v>0.32483339999999999</v>
      </c>
    </row>
    <row r="1110" spans="2:4" x14ac:dyDescent="0.25">
      <c r="B1110" s="5">
        <v>44358</v>
      </c>
      <c r="C1110">
        <v>2.9595851999999998</v>
      </c>
      <c r="D1110">
        <v>-0.22072791999999999</v>
      </c>
    </row>
    <row r="1111" spans="2:4" x14ac:dyDescent="0.25">
      <c r="B1111" s="5">
        <v>44357</v>
      </c>
      <c r="C1111">
        <v>-0.23803711</v>
      </c>
      <c r="D1111">
        <v>-0.52732825000000005</v>
      </c>
    </row>
    <row r="1112" spans="2:4" x14ac:dyDescent="0.25">
      <c r="B1112" s="5">
        <v>44356</v>
      </c>
      <c r="C1112">
        <v>-0.33305287</v>
      </c>
      <c r="D1112">
        <v>-0.2994597</v>
      </c>
    </row>
    <row r="1113" spans="2:4" x14ac:dyDescent="0.25">
      <c r="B1113" s="5">
        <v>44355</v>
      </c>
      <c r="C1113">
        <v>-0.19587278</v>
      </c>
      <c r="D1113">
        <v>0.32093525000000001</v>
      </c>
    </row>
    <row r="1114" spans="2:4" x14ac:dyDescent="0.25">
      <c r="B1114" s="5">
        <v>44354</v>
      </c>
      <c r="C1114">
        <v>-0.86447596999999998</v>
      </c>
      <c r="D1114">
        <v>5.1403046000000001E-2</v>
      </c>
    </row>
    <row r="1115" spans="2:4" x14ac:dyDescent="0.25">
      <c r="B1115" s="5">
        <v>44351</v>
      </c>
      <c r="C1115">
        <v>0.7162094</v>
      </c>
      <c r="D1115">
        <v>4.2796135000000004E-3</v>
      </c>
    </row>
    <row r="1116" spans="2:4" x14ac:dyDescent="0.25">
      <c r="B1116" s="5">
        <v>44350</v>
      </c>
      <c r="C1116">
        <v>-0.93663335000000003</v>
      </c>
      <c r="D1116">
        <v>-0.43425560000000002</v>
      </c>
    </row>
    <row r="1117" spans="2:4" x14ac:dyDescent="0.25">
      <c r="B1117" s="5">
        <v>44349</v>
      </c>
      <c r="C1117">
        <v>-0.95448493999999995</v>
      </c>
      <c r="D1117">
        <v>1.9273400000000001</v>
      </c>
    </row>
    <row r="1118" spans="2:4" x14ac:dyDescent="0.25">
      <c r="B1118" s="5">
        <v>44348</v>
      </c>
      <c r="C1118">
        <v>1.9425988000000001</v>
      </c>
      <c r="D1118">
        <v>0.83208084000000004</v>
      </c>
    </row>
    <row r="1119" spans="2:4" x14ac:dyDescent="0.25">
      <c r="B1119" s="5">
        <v>44344</v>
      </c>
      <c r="C1119">
        <v>0.84902049999999996</v>
      </c>
      <c r="D1119">
        <v>1.6364217000000001</v>
      </c>
    </row>
    <row r="1120" spans="2:4" x14ac:dyDescent="0.25">
      <c r="B1120" s="5">
        <v>44343</v>
      </c>
      <c r="C1120">
        <v>0.41304827</v>
      </c>
      <c r="D1120">
        <v>-1.2332200999999999E-2</v>
      </c>
    </row>
    <row r="1121" spans="2:4" x14ac:dyDescent="0.25">
      <c r="B1121" s="5">
        <v>44342</v>
      </c>
      <c r="C1121">
        <v>5.4931639999999997E-2</v>
      </c>
      <c r="D1121">
        <v>0.29088259999999999</v>
      </c>
    </row>
    <row r="1122" spans="2:4" x14ac:dyDescent="0.25">
      <c r="B1122" s="5">
        <v>44341</v>
      </c>
      <c r="C1122">
        <v>0.94331500000000001</v>
      </c>
      <c r="D1122">
        <v>-0.55523515000000001</v>
      </c>
    </row>
    <row r="1123" spans="2:4" x14ac:dyDescent="0.25">
      <c r="B1123" s="5">
        <v>44340</v>
      </c>
      <c r="C1123">
        <v>0.21196603999999999</v>
      </c>
      <c r="D1123">
        <v>0.51641464000000004</v>
      </c>
    </row>
    <row r="1124" spans="2:4" x14ac:dyDescent="0.25">
      <c r="B1124" s="5">
        <v>44337</v>
      </c>
      <c r="C1124">
        <v>0.75305699999999998</v>
      </c>
      <c r="D1124">
        <v>0.28744935999999999</v>
      </c>
    </row>
    <row r="1125" spans="2:4" x14ac:dyDescent="0.25">
      <c r="B1125" s="5">
        <v>44336</v>
      </c>
      <c r="C1125">
        <v>0.98026990000000003</v>
      </c>
      <c r="D1125">
        <v>-0.78072549999999996</v>
      </c>
    </row>
    <row r="1126" spans="2:4" x14ac:dyDescent="0.25">
      <c r="B1126" s="5">
        <v>44335</v>
      </c>
      <c r="C1126">
        <v>-3.6285162</v>
      </c>
      <c r="D1126">
        <v>-1.5721499999999999</v>
      </c>
    </row>
    <row r="1127" spans="2:4" x14ac:dyDescent="0.25">
      <c r="B1127" s="5">
        <v>44334</v>
      </c>
      <c r="C1127">
        <v>2.3754716</v>
      </c>
      <c r="D1127">
        <v>1.5927910999999999</v>
      </c>
    </row>
    <row r="1128" spans="2:4" x14ac:dyDescent="0.25">
      <c r="B1128" s="5">
        <v>44333</v>
      </c>
      <c r="C1128">
        <v>-0.29322504999999999</v>
      </c>
      <c r="D1128">
        <v>-0.92750790000000005</v>
      </c>
    </row>
    <row r="1129" spans="2:4" x14ac:dyDescent="0.25">
      <c r="B1129" s="5">
        <v>44330</v>
      </c>
      <c r="C1129">
        <v>2.1736382999999999</v>
      </c>
      <c r="D1129">
        <v>-5.2560510000000003</v>
      </c>
    </row>
    <row r="1130" spans="2:4" x14ac:dyDescent="0.25">
      <c r="B1130" s="5">
        <v>44329</v>
      </c>
      <c r="C1130">
        <v>0.26476382999999998</v>
      </c>
      <c r="D1130">
        <v>-2.1151244999999999</v>
      </c>
    </row>
    <row r="1131" spans="2:4" x14ac:dyDescent="0.25">
      <c r="B1131" s="5">
        <v>44328</v>
      </c>
      <c r="C1131">
        <v>-0.26594995999999999</v>
      </c>
      <c r="D1131">
        <v>-2.4842203</v>
      </c>
    </row>
    <row r="1132" spans="2:4" x14ac:dyDescent="0.25">
      <c r="B1132" s="5">
        <v>44327</v>
      </c>
      <c r="C1132">
        <v>-3.2443821000000002</v>
      </c>
      <c r="D1132">
        <v>-0.88245269999999998</v>
      </c>
    </row>
    <row r="1133" spans="2:4" x14ac:dyDescent="0.25">
      <c r="B1133" s="5">
        <v>44326</v>
      </c>
      <c r="C1133">
        <v>0.94664097000000003</v>
      </c>
      <c r="D1133">
        <v>0.61168670000000003</v>
      </c>
    </row>
    <row r="1134" spans="2:4" x14ac:dyDescent="0.25">
      <c r="B1134" s="5">
        <v>44323</v>
      </c>
      <c r="C1134">
        <v>2.4635077000000001</v>
      </c>
      <c r="D1134">
        <v>0.82229375999999998</v>
      </c>
    </row>
    <row r="1135" spans="2:4" x14ac:dyDescent="0.25">
      <c r="B1135" s="5">
        <v>44322</v>
      </c>
      <c r="C1135">
        <v>1.3840318</v>
      </c>
      <c r="D1135">
        <v>-0.22174716</v>
      </c>
    </row>
    <row r="1136" spans="2:4" x14ac:dyDescent="0.25">
      <c r="B1136" s="5">
        <v>44321</v>
      </c>
      <c r="C1136">
        <v>0.43205022999999998</v>
      </c>
      <c r="D1136">
        <v>-1.3738871E-2</v>
      </c>
    </row>
    <row r="1137" spans="2:4" x14ac:dyDescent="0.25">
      <c r="B1137" s="5">
        <v>44320</v>
      </c>
      <c r="C1137">
        <v>-5.2555680000000002</v>
      </c>
      <c r="D1137">
        <v>-0.25182366</v>
      </c>
    </row>
    <row r="1138" spans="2:4" x14ac:dyDescent="0.25">
      <c r="B1138" s="5">
        <v>44319</v>
      </c>
      <c r="C1138">
        <v>1.0513783000000001</v>
      </c>
      <c r="D1138">
        <v>0.34886600000000001</v>
      </c>
    </row>
    <row r="1139" spans="2:4" x14ac:dyDescent="0.25">
      <c r="B1139" s="5">
        <v>44316</v>
      </c>
      <c r="C1139">
        <v>-1.4797449</v>
      </c>
      <c r="D1139">
        <v>-0.18975734999999999</v>
      </c>
    </row>
    <row r="1140" spans="2:4" x14ac:dyDescent="0.25">
      <c r="B1140" s="5">
        <v>44315</v>
      </c>
      <c r="C1140">
        <v>-0.56245922999999998</v>
      </c>
      <c r="D1140">
        <v>-3.6716459999999999E-2</v>
      </c>
    </row>
    <row r="1141" spans="2:4" x14ac:dyDescent="0.25">
      <c r="B1141" s="5">
        <v>44314</v>
      </c>
      <c r="C1141">
        <v>-0.67245363999999996</v>
      </c>
      <c r="D1141">
        <v>-0.33882259999999997</v>
      </c>
    </row>
    <row r="1142" spans="2:4" x14ac:dyDescent="0.25">
      <c r="B1142" s="5">
        <v>44313</v>
      </c>
      <c r="C1142">
        <v>0.30013322999999997</v>
      </c>
      <c r="D1142">
        <v>-0.34574270000000001</v>
      </c>
    </row>
    <row r="1143" spans="2:4" x14ac:dyDescent="0.25">
      <c r="B1143" s="5">
        <v>44312</v>
      </c>
      <c r="C1143">
        <v>-0.37849545000000001</v>
      </c>
      <c r="D1143">
        <v>-0.90277790000000002</v>
      </c>
    </row>
    <row r="1144" spans="2:4" x14ac:dyDescent="0.25">
      <c r="B1144" s="5">
        <v>44309</v>
      </c>
      <c r="C1144">
        <v>-0.50181746000000005</v>
      </c>
      <c r="D1144">
        <v>-0.56202410000000003</v>
      </c>
    </row>
    <row r="1145" spans="2:4" x14ac:dyDescent="0.25">
      <c r="B1145" s="5">
        <v>44308</v>
      </c>
      <c r="C1145">
        <v>1.9144654000000001</v>
      </c>
      <c r="D1145">
        <v>0.9199619</v>
      </c>
    </row>
    <row r="1146" spans="2:4" x14ac:dyDescent="0.25">
      <c r="B1146" s="5">
        <v>44307</v>
      </c>
      <c r="C1146">
        <v>-2.5490403000000001</v>
      </c>
      <c r="D1146">
        <v>-1.2744844</v>
      </c>
    </row>
    <row r="1147" spans="2:4" x14ac:dyDescent="0.25">
      <c r="B1147" s="5">
        <v>44306</v>
      </c>
      <c r="C1147">
        <v>-0.88627933999999997</v>
      </c>
      <c r="D1147">
        <v>-1.6437054</v>
      </c>
    </row>
    <row r="1148" spans="2:4" x14ac:dyDescent="0.25">
      <c r="B1148" s="5">
        <v>44305</v>
      </c>
      <c r="C1148">
        <v>0.41313169999999999</v>
      </c>
      <c r="D1148">
        <v>1.8297553</v>
      </c>
    </row>
    <row r="1149" spans="2:4" x14ac:dyDescent="0.25">
      <c r="B1149" s="5">
        <v>44302</v>
      </c>
      <c r="C1149">
        <v>1.8059969</v>
      </c>
      <c r="D1149">
        <v>0.26502609999999999</v>
      </c>
    </row>
    <row r="1150" spans="2:4" x14ac:dyDescent="0.25">
      <c r="B1150" s="5">
        <v>44301</v>
      </c>
      <c r="C1150">
        <v>0.43208600000000003</v>
      </c>
      <c r="D1150">
        <v>2.9489635999999999</v>
      </c>
    </row>
    <row r="1151" spans="2:4" x14ac:dyDescent="0.25">
      <c r="B1151" s="5">
        <v>44300</v>
      </c>
      <c r="C1151">
        <v>-1.9037366</v>
      </c>
      <c r="D1151">
        <v>-1.4245987</v>
      </c>
    </row>
    <row r="1152" spans="2:4" x14ac:dyDescent="0.25">
      <c r="B1152" s="5">
        <v>44299</v>
      </c>
      <c r="C1152">
        <v>-0.37400126</v>
      </c>
      <c r="D1152">
        <v>-2.9575825E-2</v>
      </c>
    </row>
    <row r="1153" spans="2:4" x14ac:dyDescent="0.25">
      <c r="B1153" s="5">
        <v>44298</v>
      </c>
      <c r="C1153">
        <v>-1.1496006999999999</v>
      </c>
      <c r="D1153">
        <v>2.3714065999999998</v>
      </c>
    </row>
    <row r="1154" spans="2:4" x14ac:dyDescent="0.25">
      <c r="B1154" s="5">
        <v>44295</v>
      </c>
      <c r="C1154">
        <v>0.53625107000000005</v>
      </c>
      <c r="D1154">
        <v>-0.36250949999999998</v>
      </c>
    </row>
    <row r="1155" spans="2:4" x14ac:dyDescent="0.25">
      <c r="B1155" s="5">
        <v>44294</v>
      </c>
      <c r="C1155">
        <v>1.3893366</v>
      </c>
      <c r="D1155">
        <v>-1.7594159</v>
      </c>
    </row>
    <row r="1156" spans="2:4" x14ac:dyDescent="0.25">
      <c r="B1156" s="5">
        <v>44293</v>
      </c>
      <c r="C1156">
        <v>0.60743093000000004</v>
      </c>
      <c r="D1156">
        <v>1.6629100000000001</v>
      </c>
    </row>
    <row r="1157" spans="2:4" x14ac:dyDescent="0.25">
      <c r="B1157" s="5">
        <v>44292</v>
      </c>
      <c r="C1157">
        <v>1.3067603000000001</v>
      </c>
      <c r="D1157">
        <v>-7.0834159999999993E-2</v>
      </c>
    </row>
    <row r="1158" spans="2:4" x14ac:dyDescent="0.25">
      <c r="B1158" s="5">
        <v>44291</v>
      </c>
      <c r="C1158">
        <v>0.67238810000000004</v>
      </c>
      <c r="D1158">
        <v>-0.13725161999999999</v>
      </c>
    </row>
    <row r="1159" spans="2:4" x14ac:dyDescent="0.25">
      <c r="B1159" s="5">
        <v>44287</v>
      </c>
      <c r="C1159">
        <v>1.5019894</v>
      </c>
      <c r="D1159">
        <v>-1.3272643</v>
      </c>
    </row>
    <row r="1160" spans="2:4" x14ac:dyDescent="0.25">
      <c r="B1160" s="5">
        <v>44286</v>
      </c>
      <c r="C1160">
        <v>-1.3378203</v>
      </c>
      <c r="D1160">
        <v>-1.3301075</v>
      </c>
    </row>
    <row r="1161" spans="2:4" x14ac:dyDescent="0.25">
      <c r="B1161" s="5">
        <v>44285</v>
      </c>
      <c r="C1161">
        <v>1.5550733000000001</v>
      </c>
      <c r="D1161">
        <v>-3.3752203000000001</v>
      </c>
    </row>
    <row r="1162" spans="2:4" x14ac:dyDescent="0.25">
      <c r="B1162" s="5">
        <v>44284</v>
      </c>
      <c r="C1162">
        <v>-7.7414510000000006E-2</v>
      </c>
      <c r="D1162">
        <v>-3.5693467000000001</v>
      </c>
    </row>
    <row r="1163" spans="2:4" x14ac:dyDescent="0.25">
      <c r="B1163" s="5">
        <v>44281</v>
      </c>
      <c r="C1163">
        <v>-0.21570325000000001</v>
      </c>
      <c r="D1163">
        <v>0.57879685999999997</v>
      </c>
    </row>
    <row r="1164" spans="2:4" x14ac:dyDescent="0.25">
      <c r="B1164" s="5">
        <v>44280</v>
      </c>
      <c r="C1164">
        <v>-0.17460585000000001</v>
      </c>
      <c r="D1164">
        <v>1.7376183999999999</v>
      </c>
    </row>
    <row r="1165" spans="2:4" x14ac:dyDescent="0.25">
      <c r="B1165" s="5">
        <v>44279</v>
      </c>
      <c r="C1165">
        <v>0.63198805000000002</v>
      </c>
      <c r="D1165">
        <v>-3.9606571000000002</v>
      </c>
    </row>
    <row r="1166" spans="2:4" x14ac:dyDescent="0.25">
      <c r="B1166" s="5">
        <v>44278</v>
      </c>
      <c r="C1166">
        <v>-1.8410027</v>
      </c>
      <c r="D1166">
        <v>-7.568598E-2</v>
      </c>
    </row>
    <row r="1167" spans="2:4" x14ac:dyDescent="0.25">
      <c r="B1167" s="5">
        <v>44277</v>
      </c>
      <c r="C1167">
        <v>1.7531037</v>
      </c>
      <c r="D1167">
        <v>-0.27967094999999997</v>
      </c>
    </row>
    <row r="1168" spans="2:4" x14ac:dyDescent="0.25">
      <c r="B1168" s="5">
        <v>44274</v>
      </c>
      <c r="C1168">
        <v>-1.5740692999999999</v>
      </c>
      <c r="D1168">
        <v>1.8384933000000001</v>
      </c>
    </row>
    <row r="1169" spans="2:4" x14ac:dyDescent="0.25">
      <c r="B1169" s="5">
        <v>44273</v>
      </c>
      <c r="C1169">
        <v>0.75892210000000004</v>
      </c>
      <c r="D1169">
        <v>2.3851155999999998</v>
      </c>
    </row>
    <row r="1170" spans="2:4" x14ac:dyDescent="0.25">
      <c r="B1170" s="5">
        <v>44272</v>
      </c>
      <c r="C1170">
        <v>-1.4024973E-2</v>
      </c>
      <c r="D1170">
        <v>-5.2553414999999999E-2</v>
      </c>
    </row>
    <row r="1171" spans="2:4" x14ac:dyDescent="0.25">
      <c r="B1171" s="5">
        <v>44271</v>
      </c>
      <c r="C1171">
        <v>-0.32123327000000002</v>
      </c>
      <c r="D1171">
        <v>-3.4439563999999999E-2</v>
      </c>
    </row>
    <row r="1172" spans="2:4" x14ac:dyDescent="0.25">
      <c r="B1172" s="5">
        <v>44270</v>
      </c>
      <c r="C1172">
        <v>-7.6901910000000004E-2</v>
      </c>
      <c r="D1172">
        <v>0.33043623</v>
      </c>
    </row>
    <row r="1173" spans="2:4" x14ac:dyDescent="0.25">
      <c r="B1173" s="5">
        <v>44267</v>
      </c>
      <c r="C1173">
        <v>0.53677560000000002</v>
      </c>
      <c r="D1173">
        <v>0.2695322</v>
      </c>
    </row>
    <row r="1174" spans="2:4" x14ac:dyDescent="0.25">
      <c r="B1174" s="5">
        <v>44266</v>
      </c>
      <c r="C1174">
        <v>-0.6062746</v>
      </c>
      <c r="D1174">
        <v>2.2187948</v>
      </c>
    </row>
    <row r="1175" spans="2:4" x14ac:dyDescent="0.25">
      <c r="B1175" s="5">
        <v>44265</v>
      </c>
      <c r="C1175">
        <v>-1.3365089999999999</v>
      </c>
      <c r="D1175">
        <v>-1.0499299</v>
      </c>
    </row>
    <row r="1176" spans="2:4" x14ac:dyDescent="0.25">
      <c r="B1176" s="5">
        <v>44264</v>
      </c>
      <c r="C1176">
        <v>1.6364217000000001</v>
      </c>
      <c r="D1176">
        <v>1.8247008</v>
      </c>
    </row>
    <row r="1177" spans="2:4" x14ac:dyDescent="0.25">
      <c r="B1177" s="5">
        <v>44263</v>
      </c>
      <c r="C1177">
        <v>2.6244519999999998</v>
      </c>
      <c r="D1177">
        <v>0.74745417000000003</v>
      </c>
    </row>
    <row r="1178" spans="2:4" x14ac:dyDescent="0.25">
      <c r="B1178" s="5">
        <v>44260</v>
      </c>
      <c r="C1178">
        <v>-0.53706765000000001</v>
      </c>
      <c r="D1178">
        <v>0.85052249999999996</v>
      </c>
    </row>
    <row r="1179" spans="2:4" x14ac:dyDescent="0.25">
      <c r="B1179" s="5">
        <v>44259</v>
      </c>
      <c r="C1179">
        <v>1.0876775000000001</v>
      </c>
      <c r="D1179">
        <v>-1.2831986</v>
      </c>
    </row>
    <row r="1180" spans="2:4" x14ac:dyDescent="0.25">
      <c r="B1180" s="5">
        <v>44258</v>
      </c>
      <c r="C1180">
        <v>2.3849368000000002</v>
      </c>
      <c r="D1180">
        <v>1.4667034000000001</v>
      </c>
    </row>
    <row r="1181" spans="2:4" x14ac:dyDescent="0.25">
      <c r="B1181" s="5">
        <v>44257</v>
      </c>
      <c r="C1181">
        <v>1.5673041000000001</v>
      </c>
      <c r="D1181">
        <v>-2.5456310000000002</v>
      </c>
    </row>
    <row r="1182" spans="2:4" x14ac:dyDescent="0.25">
      <c r="B1182" s="5">
        <v>44256</v>
      </c>
      <c r="C1182">
        <v>0.75256824</v>
      </c>
      <c r="D1182">
        <v>3.2339692000000002</v>
      </c>
    </row>
    <row r="1183" spans="2:4" x14ac:dyDescent="0.25">
      <c r="B1183" s="5">
        <v>44253</v>
      </c>
      <c r="C1183">
        <v>-2.9084682000000002</v>
      </c>
      <c r="D1183">
        <v>-4.0052595000000002</v>
      </c>
    </row>
    <row r="1184" spans="2:4" x14ac:dyDescent="0.25">
      <c r="B1184" s="5">
        <v>44252</v>
      </c>
      <c r="C1184">
        <v>-1.1111498</v>
      </c>
      <c r="D1184">
        <v>2.4178028</v>
      </c>
    </row>
    <row r="1185" spans="2:4" x14ac:dyDescent="0.25">
      <c r="B1185" s="5">
        <v>44251</v>
      </c>
      <c r="C1185">
        <v>2.1516679999999999</v>
      </c>
      <c r="D1185">
        <v>-0.2138555</v>
      </c>
    </row>
    <row r="1186" spans="2:4" x14ac:dyDescent="0.25">
      <c r="B1186" s="5">
        <v>44250</v>
      </c>
      <c r="C1186">
        <v>2.4914742000000001E-3</v>
      </c>
      <c r="D1186">
        <v>-3.3295155E-2</v>
      </c>
    </row>
    <row r="1187" spans="2:4" x14ac:dyDescent="0.25">
      <c r="B1187" s="5">
        <v>44249</v>
      </c>
      <c r="C1187">
        <v>-9.1135499999999994E-2</v>
      </c>
      <c r="D1187">
        <v>2.7717710000000002</v>
      </c>
    </row>
    <row r="1188" spans="2:4" x14ac:dyDescent="0.25">
      <c r="B1188" s="5">
        <v>44246</v>
      </c>
      <c r="C1188">
        <v>2.186048</v>
      </c>
      <c r="D1188">
        <v>-1.0667205</v>
      </c>
    </row>
    <row r="1189" spans="2:4" x14ac:dyDescent="0.25">
      <c r="B1189" s="5">
        <v>44245</v>
      </c>
      <c r="C1189">
        <v>-1.0515749999999999</v>
      </c>
      <c r="D1189">
        <v>1.9489527</v>
      </c>
    </row>
    <row r="1190" spans="2:4" x14ac:dyDescent="0.25">
      <c r="B1190" s="5">
        <v>44244</v>
      </c>
      <c r="C1190">
        <v>-2.2092342</v>
      </c>
      <c r="D1190">
        <v>-0.48711895999999999</v>
      </c>
    </row>
    <row r="1191" spans="2:4" x14ac:dyDescent="0.25">
      <c r="B1191" s="5">
        <v>44243</v>
      </c>
      <c r="C1191">
        <v>1.7229676</v>
      </c>
      <c r="D1191">
        <v>-1.8364727000000001</v>
      </c>
    </row>
    <row r="1192" spans="2:4" x14ac:dyDescent="0.25">
      <c r="B1192" s="5">
        <v>44239</v>
      </c>
      <c r="C1192">
        <v>-1.4301896000000001</v>
      </c>
      <c r="D1192">
        <v>0.84385869999999996</v>
      </c>
    </row>
    <row r="1193" spans="2:4" x14ac:dyDescent="0.25">
      <c r="B1193" s="5">
        <v>44238</v>
      </c>
      <c r="C1193">
        <v>1.1314154000000001</v>
      </c>
      <c r="D1193">
        <v>-5.7286023999999998E-2</v>
      </c>
    </row>
    <row r="1194" spans="2:4" x14ac:dyDescent="0.25">
      <c r="B1194" s="5">
        <v>44237</v>
      </c>
      <c r="C1194">
        <v>0.17981528999999999</v>
      </c>
      <c r="D1194">
        <v>-0.793767</v>
      </c>
    </row>
    <row r="1195" spans="2:4" x14ac:dyDescent="0.25">
      <c r="B1195" s="5">
        <v>44236</v>
      </c>
      <c r="C1195">
        <v>-0.124287605</v>
      </c>
      <c r="D1195">
        <v>-1.7444014999999999</v>
      </c>
    </row>
    <row r="1196" spans="2:4" x14ac:dyDescent="0.25">
      <c r="B1196" s="5">
        <v>44235</v>
      </c>
      <c r="C1196">
        <v>1.1846542</v>
      </c>
      <c r="D1196">
        <v>3.824246</v>
      </c>
    </row>
    <row r="1197" spans="2:4" x14ac:dyDescent="0.25">
      <c r="B1197" s="5">
        <v>44232</v>
      </c>
      <c r="C1197">
        <v>0.41092634</v>
      </c>
      <c r="D1197">
        <v>10.289478000000001</v>
      </c>
    </row>
    <row r="1198" spans="2:4" x14ac:dyDescent="0.25">
      <c r="B1198" s="5">
        <v>44231</v>
      </c>
      <c r="C1198">
        <v>0.68515539999999997</v>
      </c>
      <c r="D1198">
        <v>-0.56629180000000001</v>
      </c>
    </row>
    <row r="1199" spans="2:4" x14ac:dyDescent="0.25">
      <c r="B1199" s="5">
        <v>44230</v>
      </c>
      <c r="C1199">
        <v>-0.89170930000000004</v>
      </c>
      <c r="D1199">
        <v>1.5663743000000001</v>
      </c>
    </row>
    <row r="1200" spans="2:4" x14ac:dyDescent="0.25">
      <c r="B1200" s="5">
        <v>44229</v>
      </c>
      <c r="C1200">
        <v>-0.12856722000000001</v>
      </c>
      <c r="D1200">
        <v>1.0195017</v>
      </c>
    </row>
    <row r="1201" spans="2:4" x14ac:dyDescent="0.25">
      <c r="B1201" s="5">
        <v>44228</v>
      </c>
      <c r="C1201">
        <v>0.91409682999999997</v>
      </c>
      <c r="D1201">
        <v>1.0704636999999999</v>
      </c>
    </row>
    <row r="1202" spans="2:4" x14ac:dyDescent="0.25">
      <c r="B1202" s="5">
        <v>44225</v>
      </c>
      <c r="C1202">
        <v>-0.23085475</v>
      </c>
      <c r="D1202">
        <v>1.9216895000000001</v>
      </c>
    </row>
    <row r="1203" spans="2:4" x14ac:dyDescent="0.25">
      <c r="B1203" s="5">
        <v>44224</v>
      </c>
      <c r="C1203">
        <v>-1.7504871</v>
      </c>
      <c r="D1203">
        <v>-0.95515850000000002</v>
      </c>
    </row>
    <row r="1204" spans="2:4" x14ac:dyDescent="0.25">
      <c r="B1204" s="5">
        <v>44223</v>
      </c>
      <c r="C1204">
        <v>-0.99526049999999999</v>
      </c>
      <c r="D1204">
        <v>0.40614604999999998</v>
      </c>
    </row>
    <row r="1205" spans="2:4" x14ac:dyDescent="0.25">
      <c r="B1205" s="5">
        <v>44222</v>
      </c>
      <c r="C1205">
        <v>0.84359645999999999</v>
      </c>
      <c r="D1205">
        <v>1.9539713999999999</v>
      </c>
    </row>
    <row r="1206" spans="2:4" x14ac:dyDescent="0.25">
      <c r="B1206" s="5">
        <v>44221</v>
      </c>
      <c r="C1206">
        <v>-2.6317954000000001</v>
      </c>
      <c r="D1206">
        <v>0.36747456000000001</v>
      </c>
    </row>
    <row r="1207" spans="2:4" x14ac:dyDescent="0.25">
      <c r="B1207" s="5">
        <v>44218</v>
      </c>
      <c r="C1207">
        <v>-2.5387645000000001</v>
      </c>
      <c r="D1207">
        <v>-0.30834675</v>
      </c>
    </row>
    <row r="1208" spans="2:4" x14ac:dyDescent="0.25">
      <c r="B1208" s="5">
        <v>44217</v>
      </c>
      <c r="C1208">
        <v>2.2084236000000002</v>
      </c>
      <c r="D1208">
        <v>0.78878400000000004</v>
      </c>
    </row>
    <row r="1209" spans="2:4" x14ac:dyDescent="0.25">
      <c r="B1209" s="5">
        <v>44216</v>
      </c>
      <c r="C1209">
        <v>-0.15089511999999999</v>
      </c>
      <c r="D1209">
        <v>0.58792829999999996</v>
      </c>
    </row>
    <row r="1210" spans="2:4" x14ac:dyDescent="0.25">
      <c r="B1210" s="5">
        <v>44215</v>
      </c>
      <c r="C1210">
        <v>-7.4738263999999999E-2</v>
      </c>
      <c r="D1210">
        <v>-2.0936846999999998</v>
      </c>
    </row>
    <row r="1211" spans="2:4" x14ac:dyDescent="0.25">
      <c r="B1211" s="5">
        <v>44211</v>
      </c>
      <c r="C1211">
        <v>-2.0333350000000001</v>
      </c>
      <c r="D1211">
        <v>-0.98544955000000001</v>
      </c>
    </row>
    <row r="1212" spans="2:4" x14ac:dyDescent="0.25">
      <c r="B1212" s="5">
        <v>44210</v>
      </c>
      <c r="C1212">
        <v>0.46640635000000003</v>
      </c>
      <c r="D1212">
        <v>1.8423795999999999</v>
      </c>
    </row>
    <row r="1213" spans="2:4" x14ac:dyDescent="0.25">
      <c r="B1213" s="5">
        <v>44209</v>
      </c>
      <c r="C1213">
        <v>-0.27559995999999998</v>
      </c>
      <c r="D1213">
        <v>-5.1975249999999997E-3</v>
      </c>
    </row>
    <row r="1214" spans="2:4" x14ac:dyDescent="0.25">
      <c r="B1214" s="5">
        <v>44208</v>
      </c>
      <c r="C1214">
        <v>2.9802321999999998E-3</v>
      </c>
      <c r="D1214">
        <v>0.52597519999999998</v>
      </c>
    </row>
    <row r="1215" spans="2:4" x14ac:dyDescent="0.25">
      <c r="B1215" s="5">
        <v>44207</v>
      </c>
      <c r="C1215">
        <v>-1.1664093</v>
      </c>
      <c r="D1215">
        <v>-0.47940611999999999</v>
      </c>
    </row>
    <row r="1216" spans="2:4" x14ac:dyDescent="0.25">
      <c r="B1216" s="5">
        <v>44204</v>
      </c>
      <c r="C1216">
        <v>-9.9027160000000003E-2</v>
      </c>
      <c r="D1216">
        <v>1.3678432</v>
      </c>
    </row>
    <row r="1217" spans="2:4" x14ac:dyDescent="0.25">
      <c r="B1217" s="5">
        <v>44203</v>
      </c>
      <c r="C1217">
        <v>0.43340919999999999</v>
      </c>
      <c r="D1217">
        <v>0.35829544000000002</v>
      </c>
    </row>
    <row r="1218" spans="2:4" x14ac:dyDescent="0.25">
      <c r="B1218" s="5">
        <v>44202</v>
      </c>
      <c r="C1218">
        <v>1.4176964999999999</v>
      </c>
      <c r="D1218">
        <v>2.1385431000000001</v>
      </c>
    </row>
    <row r="1219" spans="2:4" x14ac:dyDescent="0.25">
      <c r="B1219" s="5">
        <v>44201</v>
      </c>
      <c r="C1219">
        <v>-0.17446876</v>
      </c>
      <c r="D1219">
        <v>0.41744710000000002</v>
      </c>
    </row>
    <row r="1220" spans="2:4" x14ac:dyDescent="0.25">
      <c r="B1220" s="5">
        <v>44200</v>
      </c>
      <c r="C1220">
        <v>0.49455166</v>
      </c>
      <c r="D1220">
        <v>-2.3776411999999998</v>
      </c>
    </row>
    <row r="1221" spans="2:4" x14ac:dyDescent="0.25">
      <c r="B1221" s="5">
        <v>44196</v>
      </c>
      <c r="C1221">
        <v>-0.11878610000000001</v>
      </c>
      <c r="D1221">
        <v>0</v>
      </c>
    </row>
    <row r="1222" spans="2:4" x14ac:dyDescent="0.25">
      <c r="B1222" s="5">
        <v>44195</v>
      </c>
      <c r="C1222">
        <v>-0.86808799999999997</v>
      </c>
      <c r="D1222">
        <v>-1.0549426</v>
      </c>
    </row>
    <row r="1223" spans="2:4" x14ac:dyDescent="0.25">
      <c r="B1223" s="5">
        <v>44194</v>
      </c>
      <c r="C1223">
        <v>0.82862380000000002</v>
      </c>
      <c r="D1223">
        <v>0.67318679999999997</v>
      </c>
    </row>
    <row r="1224" spans="2:4" x14ac:dyDescent="0.25">
      <c r="B1224" s="5">
        <v>44193</v>
      </c>
      <c r="C1224">
        <v>0.62997340000000002</v>
      </c>
      <c r="D1224">
        <v>0.58574676999999997</v>
      </c>
    </row>
    <row r="1225" spans="2:4" x14ac:dyDescent="0.25">
      <c r="B1225" s="5">
        <v>44189</v>
      </c>
      <c r="C1225">
        <v>-0.17955303</v>
      </c>
      <c r="D1225">
        <v>-0.11765361000000001</v>
      </c>
    </row>
    <row r="1226" spans="2:4" x14ac:dyDescent="0.25">
      <c r="B1226" s="5">
        <v>44188</v>
      </c>
      <c r="C1226">
        <v>1.1072993</v>
      </c>
      <c r="D1226">
        <v>-1.4722942999999999</v>
      </c>
    </row>
    <row r="1227" spans="2:4" x14ac:dyDescent="0.25">
      <c r="B1227" s="5">
        <v>44187</v>
      </c>
      <c r="C1227">
        <v>0.79350469999999995</v>
      </c>
      <c r="D1227">
        <v>0.50454140000000003</v>
      </c>
    </row>
    <row r="1228" spans="2:4" x14ac:dyDescent="0.25">
      <c r="B1228" s="5">
        <v>44186</v>
      </c>
      <c r="C1228">
        <v>-2.089709</v>
      </c>
      <c r="D1228">
        <v>-0.62585473000000003</v>
      </c>
    </row>
    <row r="1229" spans="2:4" x14ac:dyDescent="0.25">
      <c r="B1229" s="5">
        <v>44183</v>
      </c>
      <c r="C1229">
        <v>-0.37644506</v>
      </c>
      <c r="D1229">
        <v>0.88754889999999997</v>
      </c>
    </row>
    <row r="1230" spans="2:4" x14ac:dyDescent="0.25">
      <c r="B1230" s="5">
        <v>44182</v>
      </c>
      <c r="C1230">
        <v>1.3709306999999999</v>
      </c>
      <c r="D1230">
        <v>-1.9654632000000001</v>
      </c>
    </row>
    <row r="1231" spans="2:4" x14ac:dyDescent="0.25">
      <c r="B1231" s="5">
        <v>44181</v>
      </c>
      <c r="C1231">
        <v>1.3864993999999999</v>
      </c>
      <c r="D1231">
        <v>-4.6628714000000002E-2</v>
      </c>
    </row>
    <row r="1232" spans="2:4" x14ac:dyDescent="0.25">
      <c r="B1232" s="5">
        <v>44180</v>
      </c>
      <c r="C1232">
        <v>1.8425345</v>
      </c>
      <c r="D1232">
        <v>0.15988350000000001</v>
      </c>
    </row>
    <row r="1233" spans="2:4" x14ac:dyDescent="0.25">
      <c r="B1233" s="5">
        <v>44179</v>
      </c>
      <c r="C1233">
        <v>0.45341252999999998</v>
      </c>
      <c r="D1233">
        <v>0.30188559999999998</v>
      </c>
    </row>
    <row r="1234" spans="2:4" x14ac:dyDescent="0.25">
      <c r="B1234" s="5">
        <v>44176</v>
      </c>
      <c r="C1234">
        <v>3.0694007999999999</v>
      </c>
      <c r="D1234">
        <v>1.8510342</v>
      </c>
    </row>
    <row r="1235" spans="2:4" x14ac:dyDescent="0.25">
      <c r="B1235" s="5">
        <v>44175</v>
      </c>
      <c r="C1235">
        <v>-0.26507974000000001</v>
      </c>
      <c r="D1235">
        <v>-1.8263459</v>
      </c>
    </row>
    <row r="1236" spans="2:4" x14ac:dyDescent="0.25">
      <c r="B1236" s="5">
        <v>44174</v>
      </c>
      <c r="C1236">
        <v>0.11872053</v>
      </c>
      <c r="D1236">
        <v>0.87984799999999996</v>
      </c>
    </row>
    <row r="1237" spans="2:4" x14ac:dyDescent="0.25">
      <c r="B1237" s="5">
        <v>44173</v>
      </c>
      <c r="C1237">
        <v>-0.59605240000000004</v>
      </c>
      <c r="D1237">
        <v>-0.34183859999999999</v>
      </c>
    </row>
    <row r="1238" spans="2:4" x14ac:dyDescent="0.25">
      <c r="B1238" s="5">
        <v>44172</v>
      </c>
      <c r="C1238">
        <v>-8.7904930000000006E-2</v>
      </c>
      <c r="D1238">
        <v>-1.0535002</v>
      </c>
    </row>
    <row r="1239" spans="2:4" x14ac:dyDescent="0.25">
      <c r="B1239" s="5">
        <v>44169</v>
      </c>
      <c r="C1239">
        <v>0.88641643999999997</v>
      </c>
      <c r="D1239">
        <v>-0.92251897000000005</v>
      </c>
    </row>
    <row r="1240" spans="2:4" x14ac:dyDescent="0.25">
      <c r="B1240" s="5">
        <v>44168</v>
      </c>
      <c r="C1240">
        <v>0.67378280000000002</v>
      </c>
      <c r="D1240">
        <v>2.3623704999999999</v>
      </c>
    </row>
    <row r="1241" spans="2:4" x14ac:dyDescent="0.25">
      <c r="B1241" s="5">
        <v>44167</v>
      </c>
      <c r="C1241">
        <v>0.76336859999999995</v>
      </c>
      <c r="D1241">
        <v>0.86585283000000002</v>
      </c>
    </row>
    <row r="1242" spans="2:4" x14ac:dyDescent="0.25">
      <c r="B1242" s="5">
        <v>44166</v>
      </c>
      <c r="C1242">
        <v>0.39865970000000001</v>
      </c>
      <c r="D1242">
        <v>0.32565593999999998</v>
      </c>
    </row>
    <row r="1243" spans="2:4" x14ac:dyDescent="0.25">
      <c r="B1243" s="5">
        <v>44165</v>
      </c>
      <c r="C1243">
        <v>2.0586251999999998</v>
      </c>
      <c r="D1243">
        <v>-4.621041</v>
      </c>
    </row>
    <row r="1244" spans="2:4" x14ac:dyDescent="0.25">
      <c r="B1244" s="5">
        <v>44162</v>
      </c>
      <c r="C1244">
        <v>-0.30923486</v>
      </c>
      <c r="D1244">
        <v>3.0768513999999998</v>
      </c>
    </row>
    <row r="1245" spans="2:4" x14ac:dyDescent="0.25">
      <c r="B1245" s="5">
        <v>44160</v>
      </c>
      <c r="C1245">
        <v>0.76637270000000002</v>
      </c>
      <c r="D1245">
        <v>-0.86864830000000004</v>
      </c>
    </row>
    <row r="1246" spans="2:4" x14ac:dyDescent="0.25">
      <c r="B1246" s="5">
        <v>44159</v>
      </c>
      <c r="C1246">
        <v>2.1837949999999999</v>
      </c>
      <c r="D1246">
        <v>1.0262966</v>
      </c>
    </row>
    <row r="1247" spans="2:4" x14ac:dyDescent="0.25">
      <c r="B1247" s="5">
        <v>44158</v>
      </c>
      <c r="C1247">
        <v>1.3373971</v>
      </c>
      <c r="D1247">
        <v>-0.63173175000000004</v>
      </c>
    </row>
    <row r="1248" spans="2:4" x14ac:dyDescent="0.25">
      <c r="B1248" s="5">
        <v>44155</v>
      </c>
      <c r="C1248">
        <v>0.18098354</v>
      </c>
      <c r="D1248">
        <v>0.33721923999999998</v>
      </c>
    </row>
    <row r="1249" spans="2:4" x14ac:dyDescent="0.25">
      <c r="B1249" s="5">
        <v>44154</v>
      </c>
      <c r="C1249">
        <v>-3.372401</v>
      </c>
      <c r="D1249">
        <v>-1.5811204999999999</v>
      </c>
    </row>
    <row r="1250" spans="2:4" x14ac:dyDescent="0.25">
      <c r="B1250" s="5">
        <v>44153</v>
      </c>
      <c r="C1250">
        <v>0.43063163999999998</v>
      </c>
      <c r="D1250">
        <v>-3.2770752999999999</v>
      </c>
    </row>
    <row r="1251" spans="2:4" x14ac:dyDescent="0.25">
      <c r="B1251" s="5">
        <v>44152</v>
      </c>
      <c r="C1251">
        <v>-0.83214045000000003</v>
      </c>
      <c r="D1251">
        <v>1.6181468999999999</v>
      </c>
    </row>
    <row r="1252" spans="2:4" x14ac:dyDescent="0.25">
      <c r="B1252" s="5">
        <v>44151</v>
      </c>
      <c r="C1252">
        <v>3.1886458000000002</v>
      </c>
      <c r="D1252">
        <v>2.3438454000000002</v>
      </c>
    </row>
    <row r="1253" spans="2:4" x14ac:dyDescent="0.25">
      <c r="B1253" s="5">
        <v>44148</v>
      </c>
      <c r="C1253">
        <v>0.55717229999999995</v>
      </c>
      <c r="D1253">
        <v>-2.3594797000000001</v>
      </c>
    </row>
    <row r="1254" spans="2:4" x14ac:dyDescent="0.25">
      <c r="B1254" s="5">
        <v>44147</v>
      </c>
      <c r="C1254">
        <v>-0.66863300000000003</v>
      </c>
      <c r="D1254">
        <v>-0.34931301999999997</v>
      </c>
    </row>
    <row r="1255" spans="2:4" x14ac:dyDescent="0.25">
      <c r="B1255" s="5">
        <v>44146</v>
      </c>
      <c r="C1255">
        <v>-2.3997009</v>
      </c>
      <c r="D1255">
        <v>4.1287184000000003</v>
      </c>
    </row>
    <row r="1256" spans="2:4" x14ac:dyDescent="0.25">
      <c r="B1256" s="5">
        <v>44145</v>
      </c>
      <c r="C1256">
        <v>3.0124664000000001</v>
      </c>
      <c r="D1256">
        <v>5.0698040000000004</v>
      </c>
    </row>
    <row r="1257" spans="2:4" x14ac:dyDescent="0.25">
      <c r="B1257" s="5">
        <v>44144</v>
      </c>
      <c r="C1257">
        <v>6.2492609999999997</v>
      </c>
      <c r="D1257">
        <v>-0.56967734999999997</v>
      </c>
    </row>
    <row r="1258" spans="2:4" x14ac:dyDescent="0.25">
      <c r="B1258" s="5">
        <v>44141</v>
      </c>
      <c r="C1258">
        <v>0.45112370000000002</v>
      </c>
      <c r="D1258">
        <v>-1.5492916000000001</v>
      </c>
    </row>
    <row r="1259" spans="2:4" x14ac:dyDescent="0.25">
      <c r="B1259" s="5">
        <v>44140</v>
      </c>
      <c r="C1259">
        <v>1.7213345</v>
      </c>
      <c r="D1259">
        <v>-1.6664087999999999</v>
      </c>
    </row>
    <row r="1260" spans="2:4" x14ac:dyDescent="0.25">
      <c r="B1260" s="5">
        <v>44139</v>
      </c>
      <c r="C1260">
        <v>-0.84167119999999995</v>
      </c>
      <c r="D1260">
        <v>0.87013244999999995</v>
      </c>
    </row>
    <row r="1261" spans="2:4" x14ac:dyDescent="0.25">
      <c r="B1261" s="5">
        <v>44138</v>
      </c>
      <c r="C1261">
        <v>6.4305544000000001</v>
      </c>
      <c r="D1261">
        <v>0.22474527</v>
      </c>
    </row>
    <row r="1262" spans="2:4" x14ac:dyDescent="0.25">
      <c r="B1262" s="5">
        <v>44137</v>
      </c>
      <c r="C1262">
        <v>1.8998146</v>
      </c>
      <c r="D1262">
        <v>2.9258250000000001</v>
      </c>
    </row>
    <row r="1263" spans="2:4" x14ac:dyDescent="0.25">
      <c r="B1263" s="5">
        <v>44134</v>
      </c>
      <c r="C1263">
        <v>0.76014996000000001</v>
      </c>
      <c r="D1263">
        <v>-2.3376882000000001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1"/>
      <c r="B1" s="1"/>
      <c r="C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5272068"><![CDATA[{"ADEN-CH^CORREL(P_PRICE_RETURNS(0,45961,45961-5AY,D,USD),VALUE('9404-JP',P_PRICE_RETURNS(0,45961,45961-5AY,D,USD)))":0.105143534622621,"9404-JP^P_PRICE_RETURNS(0,45961,45961-5AY,D,USD)":[1.481235,-1.7723382,-1.3668656,-0.25761127,0.13417006,0.8019686,0.2981305,0.18209219,-0.67558885,1.9166231,-0.12831688,-0.06597638,-0.98713636,0.51168203,0.036096573,-2.2437215,-1.120019,-1.6994834,-0.7166922,0.47632456,0.8867264,-4.1393757,-0.8432746,1.1559725,-0.7544577,0.69429874,-0.73363185,-0.79580545,0.06767511,-0.81180334,-1.6031027,-1.3047695,-0.48071742,1.8997431,0.16957521,-2.3040473,0.052547455,-0.4991114,3.1282663,1.5260458,1.7557383,-0.020760298,-1.5769362,1.8613338,0.7067323,0.049853325,-0.03359914,-0.34198165,-1.4755607,1.8274188,-0.117468834,-0.70991516,3.76364,0.22422075,-0.27261972,-0.51832795,-0.18756986,2.6527286,-0.15534163,0.93574524,1.6974568,-0.24356246,3.1515002,0.7539034,7.5800896,-0.9763956,0.31455755,0.6591916,-2.4104536,-1.4399529,0.73361397,1.0497928,1.7580509,0.73262453,2.7627826,1.5826344,1.6598105,-0.0136733055,-0.37736893,-1.3950229,0.5967021,1.5718102,-1.8043041,-1.1497021,-6.7846894,-2.9087782,0.54872036,2.011919,-0.96343756,2.2975087,-1.1334777,1.6259193,-0.059765577,-1.7330348,3.0294418,-2.9973567,2.2840858,-0.27056336,0.82832575,0.0034570694,-0.7001221,0.2524376,-0.97314715,-1.0030568,0.1654625,-1.5132248,1.0641098,-0.61782,0.49780607,-0.42893887,0.36110878,4.206109,-1.5025437,1.6119599,-1.0647476,1.0231018,3.2929778,-1.5240788,-2.1904945,-1.9888937,0.19302368,-1.8080354,-0.6916046,0.85681677,0.6510854,0.15997887,-0.3385365,-2.234888,-0.21952987,0.3406644,0.7229686,0.052440166,-4.1006384,-2.4164617,1.4749885,8.949018,1.8160105,0.8407712,-1.2182593,0.11342764,0.82086325,4.5773745,1.7007947,4.4513702,-7.946229,-1.8498302,4.583919,-1.0445118,2.021277,-1.8544674,-0.5105078,0.6385565,0.92761517,0.94558,-1.8028915,0.23998022,0.78594685,0.61182976,0.9709954,0.92287064,0.8942604,1.4496088,0.9902358,-0.7819116,-0.73822737,0.27401447,1.226902,0.33621788,1.56672,2.6606798,-1.9574285,-0.56954026,-0.31596422,0.9422302,0.17414093,-0.014728308,-0.029450655,-3.3567727,0.8058071,4.260063,0.94407797,-1.2669921,-0.5900979,0.46616793,-2.8025687,2.601719,1.821804,-0.2600491,-0.6712198,-1.8610477,1.0701776,5.194998,-1.4164984,4.5000553,1.7260075,-3.3037722,2.2237659,5.8926105,0.25064945,-1.0079563,1.94031,-2.6675344,0.0349164,-1.6273022,-1.0029137,-0.58232546,-2.5399923,-0.15565157,0.003182888,0.025439262,-1.4598429,-1.283598,0.42535067,-0.638926,0.23673773,3.4430265,2.2826076,-1.1404693,-1.548028,-0.096678734,-0.8207679,3.2298803,0.57940483,-1.1064708,-0.07624626,1.3765454,1.7265677,-2.5282443,2.3652792,2.1203876,2.0911932,1.955092,2.7080178,1.7489672,2.9685616,-0.08736849,-0.78862906,1.0450244,0.32998323,0.5688071,-0.62478185,-1.287508,-0.67641735,-1.9386232,-1.7586768,4.155123,-2.0589888,-0.12216568,0.631547,-3.2659888,1.3457298,0.7433653,1.0330796,-0.23485422,-1.6777396,0.57423115,-2.1438062,-2.155906,-0.028508902,1.6941309,-0.84694624,-0.4581511,1.0065198,-0.39370656,-0.80469847,1.2387872,0.18612146,-0.81143975,2.1499515,-0.49968362,0.94008446,-2.7691662,0.85264444,-4.6839952,-0.34051538,3.0638218,-1.9258678,1.7606258,0.48002005,-2.8756022,1.5912652,-1.6960382,1.0512233,0.15310049,-0.28162003,0.9231329,-2.8730273,1.3533473,0.22579432,1.0733843,0.16508102,-2.9514253,2.122295,-1.1686862,-3.7028313,1.2032509,2.815175,0.524652,1.9746542,0.025570393,0.61912537,1.7114043,-1.1090755,3.864932,-1.4299333,0.14988184,5.652976,-0.8790374,4.343283,-0.85374117,-2.8853714,10.1122265,-11.419439,-4.564023,-1.7453194,5.4990053,0.57781935,1.5723705,-0.62621236,-2.3982167,0.57156086,1.4400721,-0.71811676,-1.9990504,-2.5924265,2.2225976,-0.15128851,-0.09818077,0.87388754,1.999867,1.8793106,1.5386105,-0.64513683,1.601851,0.5266309,0.31101704,-0.07279515,-1.0167599,1.0690808,-0.9722531,1.2486458,-0.1062274,-0.16375184,-0.78808665,3.7233233,0.6501794,2.2508502,-1.70784,-0.6663084,0.34327507,2.946055,-1.2185931,-1.0360777,-0.36808848,1.2526989,1.5808463,4.220879,-1.1528075,0.92953444,0.23061037,-0.19549131,0.8263588,-2.1647274,-1.2439728,0.20707846,0.45275688,-1.1813521,-1.443851,-0.106048584,0.17732382,-7.109761,2.53855,-3.272283,-1.0996163,-0.6917834,0.7685542,2.669239,-0.98524094,2.46104,0.37653446,-0.6690502,-2.496016,0.6085515,0.15403032,-0.69661736,-2.8078258,0.51391125,-2.4392724,-4.9513044,-1.304996,1.3276339,1.3526797,-0.5704522,3.0833244,-0.017023087,1.6402483,0.17830133,0.9104848,0.09292364,3.9995193,-2.5600553,1.7310858,0.2762437,2.4410963,1.5559673,1.98282,-0.61977506,0.23748875,0.5092144,-0.17707944,-1.877898,-1.5445352,-3.0380607,-0.05813241,2.7038693,1.9632459,-0.5108774,-0.018697977,-0.5482793,0.8255601,0.7412672,-1.3058066,-1.1935353,-2.4068177,-0.019931793,-0.07956624,1.3718724,-1.4296889,0.64970255,0.97477436,-0.69897175,1.3540745,-0.08698702,-0.4656911,-3.9623082,5.5678964,-0.2809465,-0.799942,21.178759,1.2135625,0.7926941,0.20266771,1.9278169,-2.4834812,0.104773045,0.8490801,0.6242275,1.2878299,-0.11590719,-0.53048134,-3.0846298,5.012691,0.18099546,0.43318272,0.7117152,3.3911943,0.16678572,0.11467934,0.5489588,-1.1629105,-0.67284703,0.20005703,1.8799543,1.5920401,-0.2906084,0.2596259,-0.098359585,1.7627597,-0.4902184,-1.9991815,-1.2911856,0.14702082,5.15728,0.13192892,-0.17229915,-1.2448668,2.085054,2.4645925,-0.64824224,-0.2692163,2.480793,0.15413761,0.08484125,0.60848,0.1739502,1.2788653,-0.91522336,1.0544896,-1.3443649,1.6861439,-0.68045855,-0.3329873,-0.11769533,-2.3202837,1.7045856,-0.43863654,-2.6637375,-0.97060204,-1.2695968,0.74989796,2.5248528,2.2297263,-0.17011166,-1.1818707,0.8012414,-1.3243318,-0.50569177,0.77558756,-0.081938505,0.19023418,-0.26978254,0.3658414,0.33313036,-1.0641754,-1.789707,1.2559652,-1.7359614,2.388835,0.56215525,1.1459708,1.2906313,-2.9566288,-2.560079,-0.15029907,0.3461957,-1.5133619,-1.0349631,1.4351487,-3.112042,13.05579,-0.7139206,-1.8681347,-1.1047661,0.1218915,1.3210654,1.7409325,0.053226948,0.03670454,1.6691685,-0.8596659,0.29034615,0.9225249,-2.166772,0.6129384,1.3352156,0.3630638,0.4569292,1.3840556,-0.95846057,-1.3426185,0.993979,0.8007884,-1.9493878,-1.0097146,-0.79931617,-0.66998005,0.44876337,-1.4486372,-0.23836493,1.4649272,-0.788182,0.024747849,1.1995912,-0.545609,-0.7630646,-0.51007867,0.8934498,-0.6195903,-0.40379763,-0.24782419,0.50575733,0.25824308,1.0322332,-3.0043721,-0.07079244,1.0811448,1.1481404,-0.44567585,0.17555952,0.18624067,1.855731,-0.89458823,0.43498278,0.45970678,-0.9708822,-1.1998951,1.0716081,0.8727789,-1.0390937,1.6104698,-0.26603937,0.32595396,-0.9999275,0.18180609,0.01116991,0.35959482,-0.16345978,-0.49984455,-0.22746325,0.47187805,0.31700134,1.7425776,-0.35423636,0.1131773,-0.5929291,1.4087915,-0.122112036,1.4285445,-1.1854172,1.3639688,-1.8887877,-0.5686879,-1.4676571,0.25247335,0.0962615,2.0448446,-0.23151636,0.20185709,0.29613972,-0.5372405,-0.008380413,-1.1971295,1.4401555,1.1748552,-0.15189648,-0.7413149,0.9260893,0.99161863,0.8547425,-0.58661103,0.4768014,-0.16452074,-0.44522285,0.92960596,0.41981936,0.5616784,1.5354037,0.027275085,0.8707404,-1.0629475,0.079739094,-0.46064854,1.8438816,0.40768385,-1.1930168,-1.2976527,-1.4338553,1.9631624,1.5400767,2.8932571,-2.555877,-0.10418296,-0.2916038,-0.66912174,1.8085599,1.648128,-0.83847046,-0.49518347,-1.0212421,1.0852575,-1.7043173,3.290689,-3.280145,-2.7556121,2.0893455,3.5698295,0.18167496,1.319778,0.8371711,-1.1567175,0.38108826,0.2446413,-2.7659833,0.9910226,-0.34077168,-0.17797947,0.25482178,2.7121902,3.8728833,0.4471779,-0.44020414,0.46895742,-0.83621144,-0.57674646,1.4732242,0.22947788,0.6419778,-1.3698697,-2.8655589,0.3805399,0.22717714,-0.15041232,-0.6615758,0.84679127,-0.17280579,1.7397761,1.6844511,-0.14389753,-1.0262191,0.04028082,0.4117012,-1.0887325,1.1089563,2.029848,-0.007897615,-0.68825483,0.37901402,1.2968183,-1.954323,-2.3913264,0.9101033,1.06709,1.3346791,-0.4595518,-0.75923204,-0.2554953,1.0729194,-0.92413425,3.3404827,-0.9104073,-0.5986929,-1.5902936,-0.04402995,3.230214,-0.6923139,0.5066395,-0.9003997,0.6375551,0.11870861,-1.3611495,-0.04784465,1.395607,-2.4368882,0.90243816,-1.0591924,2.2364378,1.1592984,0.9756446,-0.8827627,0.40148497,0.8436799,-0.74598193,1.1347532,-1.9046545,1.8121004,3.6156058,-1.1067748,1.2470245,-3.3480346,-2.7516365,-0.7085502,0.9313226,1.6167521,-1.4670372,-2.323985,-0.37361383,0.63534975,0.9958267,0.29557943,-0.7032454,-0.85393786,-0.5918741,0.53926706,-0.85300803,0.54409504,-1.2985885,-0.07290244,-0.939852,-0.41509867,-0.9429157,-0.25318265,-0.6376803,2.0867944,-0.06598234,-0.9596348,0.9445667,0.190413,-0.34883022,-2.1797597,-0.8305073,0.5712271,-1.1893809,1.3851643,-0.24077892,1.3201237,0.09958744,-0.5078256,-1.2895644,0.052678585,1.7640114,0.7933855,-1.9916356,-2.62689,-0.09543896,-1.4971495,0.13918877,-0.059753656,-2.3730278,-1.6462564,-0.19482374,0.36382675,0.35475492,0.52814484,-1.143831,-0.55416226,0.10983944,-1.4513791,0.6247163,0.41018724,-0.34695268,2.3958445,-1.2464464,0.46018362,-1.3867438,1.1921048,-2.527547,-0.9312928,-0.34192204,-2.1025062,0.526309,-2.9110372,-0.12780428,-0.49371123,1.6995192,2.590704,2.382362,0.59622526,0.40574074,0.45098066,-1.5333533,0.82895756,-1.421541,2.572167,-0.17015338,-0.45096874,-1.7592132,1.8782735,1.2974143,-0.92037916,-0.65945387,0.028014183,1.3476491,-1.1331677,0.44938326,0.6228566,-2.6239634,-3.5755575,2.7412891,-1.6248524,-1.6427875,-1.7339945,-0.115948915,2.570808,-0.07123351,0.2560854,-0.38431883,-0.35224557,-0.8081794,1.5231729,-1.2626171,1.7431498,0.2742529,-1.6222537,0.06529093,0.76225996,-0.81140995,0.6823063,-0.5275309,-0.23562908,-0.96365213,0.31110048,0.55207014,-1.7789006,0.21884441,-0.47260523,0.9870529,-0.20346045,-0.050014257,0.24632215,0.43826103,1.123035,-0.051015615,-1.6240001,1.3851881,0.04416704,-0.9376764,-0.5500555,2.213776,-2.1724224,-0.6730497,-0.7887602,-0.5981803,2.0923853,-1.1359513,-1.9925177,-1.8081725,-0.6001353,-1.0105073,0.027239323,-1.3597786,1.0029674,-1.7548084,0.06374121,-1.6392708,-1.1449754,-0.8356571,1.0610223,0.043725967,0.020980835,-0.999856,3.230095,1.1873722,0.99737644,-0.94516873,-1.2027204,2.2821784,-0.5994618,-3.3902824,-3.663969,-0.7510185,0.49105883,-0.594002,-1.1250257,2.3726583,-1.882726,-0.03297329,0.026071072,-2.4619997,-1.2583494,-1.051724,1.1443973,-0.21988153,0.34593344,0.064730644,0.016403198,-0.39536953,2.5263906,2.735424,6.857872,-0.1873076,1.4308214,0.21954775,0.12866259,2.0275354,-3.2827914,-1.6448796,-1.628077,0.8243561,0.53714514,1.1322737,-1.4509678,-0.50157905,0.5446315,1.2973428,1.2938976,0.24799109,0.46919584,1.886797,-1.3873458,0.6215334,1.3341308,-0.1257658,0.0,-0.8700192,-0.40197968,1.2206674,-0.9276211,0.26352406,0.22786856,0.17035007,-1.7466009,-0.49499273,-0.50908923,0.82581043,-0.123113394,-0.63731074,-2.4499118,0.24061203,0.69874525,2.9718041,-0.6273985,2.2951007,-0.6027043,0.7711649,-1.3786197,-3.566873,-1.0112107,-1.6566932,-0.21740794,-1.3939798,-0.5735636,-0.93524456,-0.58888197,-0.9803355,1.0650277,-0.2183497,0.7201195,-1.7682076,-0.45996904,2.9921174,1.9985557,0.8717656,-0.24545193,-1.0024369,2.2865176,-0.5612731,-1.0718524,0.22932291,-0.3832519,-0.9872556,-2.0088613,1.8080711,-0.12232065,-0.26149154,0.24430752,-0.39404035,-0.22052526,-0.5668223,-0.2816558,-1.5647829,1.0330558,-0.17676353,2.620387,-0.93446374,0.8304596,-1.9182444,0.5390763,-2.815503,-0.4809022,0.5257726,2.606535,-0.45853257,-1.0292053,-0.89977384,0.41546822,0.74350834,0.64007044,-1.4917374,1.121676,-0.31600595,1.3582349,-0.41971207,0.8640647,0.799191,1.8665314,-0.05580783,2.8582573,-1.3930202,1.1726618,-1.0286689,0.55412054,-1.1219978,-0.12241602,0.8165121,0.09651184,-1.922965,1.0736108,-1.8189132,-0.8206129,0.52814484,-1.3477445,1.7116189,0.09269714,0.031733513,-2.0157456,0.11100769,-1.5951633,-0.7426858,3.8277507,-2.75532,-0.35020113,-1.140058,1.8171787,0.8838296,-0.3934145,0.18159151,-0.041645765,-1.3040364,-1.0709405,-0.063580275,-1.2674928,0.2820611,0.98137856,2.774918,-0.53114295,-0.907737,-2.022171,0.057828426,1.1371374,-0.5704224,-1.5083611,-0.35098195,0.8298993,-0.6213665,3.0292273,-0.9226918,1.9071698,-3.4381807,-1.6103446,-1.6009271,-0.09749532,-0.24018884,0.3248334,-0.22072792,-0.52732825,-0.2994597,0.32093525,0.051403046,0.0042796135,-0.4342556,1.92734,0.83208084,1.6364217,-0.012332201,0.2908826,-0.55523515,0.51641464,0.28744936,-0.7807255,-1.57215,1.5927911,-0.9275079,-5.256051,-2.1151245,-2.4842203,-0.8824527,0.6116867,0.82229376,-0.22174716,-0.013738871,-0.25182366,0.348866,-0.18975735,-0.03671646,-0.3388226,-0.3457427,-0.9027779,-0.5620241,0.9199619,-1.2744844,-1.6437054,1.8297553,0.2650261,2.9489636,-1.4245987,-0.029575825,2.3714066,-0.3625095,-1.7594159,1.66291,-0.07083416,-0.13725162,-1.3272643,-1.3301075,-3.3752203,-3.5693467,0.57879686,1.7376184,-3.9606571,-0.07568598,-0.27967095,1.8384933,2.3851156,-0.052553415,-0.034439564,0.33043623,0.2695322,2.2187948,-1.0499299,1.8247008,0.74745417,0.8505225,-1.2831986,1.4667034,-2.545631,3.2339692,-4.0052595,2.4178028,-0.2138555,-0.033295155,2.771771,-1.0667205,1.9489527,-0.48711896,-1.8364727,0.8438587,-0.057286024,-0.793767,-1.7444015,3.824246,10.289478,-0.5662918,1.5663743,1.0195017,1.0704637,1.9216895,-0.9551585,0.40614605,1.9539714,0.36747456,-0.30834675,0.788784,0.5879283,-2.0936847,-0.98544955,1.8423796,-0.005197525,0.5259752,-0.47940612,1.3678432,0.35829544,2.1385431,0.4174471,-2.3776412,0.0,-1.0549426,0.6731868,0.58574677,-0.11765361,-1.4722943,0.5045414,-0.62585473,0.8875489,-1.9654632,-0.046628714,0.1598835,0.3018856,1.8510342,-1.8263459,0.879848,-0.3418386,-1.0535002,-0.92251897,2.3623705,0.86585283,0.32565594,-4.621041,3.0768514,-0.8686483,1.0262966,-0.63173175,0.33721924,-1.5811205,-3.2770753,1.6181469,2.3438454,-2.3594797,-0.34931302,4.1287184,5.069804,-0.56967735,-1.5492916,-1.6664088,0.87013245,0.22474527,2.925825,-2.3376882],"ADEN-CH^P_PRICE_RETURNS(0,45961,45961-5AY,D,USD)":[1.8202305,-1.9320071,-1.0120809,0.026500225,-0.8556962,1.7183542,0.39188862,-5.203253,0.5062461,-1.3189375,-1.6785085,-0.79361796,1.8190145,-2.0232558,0.72711706,-2.1021903,4.0310264,2.0020366,-1.1036396,1.2773633,1.2650728,-0.92149377,3.4820557,-1.1042058,1.3941526,1.7757535,-2.6607454,5.1317334,0.846529,2.2218227,-1.2111604,-3.0165493,0.008118153,-4.1167736,-0.28595924,0.43821335,0.43091774,-1.2122452,-1.141268,-1.739949,-3.656298,0.10441542,1.808846,-6.6762924,0.8481741,0.5526066,-1.6266465,-3.1865835,-1.1515319,3.5834312,-1.8691659,-0.37709475,3.6943555,-0.9388864,-0.14839172,-0.6250739,0.123012066,-0.7132709,-1.8096983,1.7258286,5.689943,3.094411,-2.5939882,-3.3237576,0.6819129,-0.84120035,-0.80201626,-2.7853727,-1.0212958,2.6332617,1.6644716,1.6375422,-1.5266836,-1.1549652,2.1070123,0.7672787,-0.68259835,0.63385963,-0.37976503,-2.866006,1.7081141,1.2643695,1.7271757,-1.2218893,0.4683137,4.2440414,1.5427351,0.10634661,1.5831709,3.7000775,-1.8214643,4.596615,-1.4683545,-4.678625,-0.26899576,-0.68413615,2.299738,-2.040851,0.55880547,1.8869638,6.201601,0.19471645,-1.4799595,-0.91507435,0.1670599,-0.62628984,-1.0620654,1.7935991,0.18795729,-2.338767,2.5044322,-2.1053076,-2.2271454,-1.0249972,2.5246263,0.73723793,-1.3644278,-0.62660575,-1.7038167,0.23765564,3.5124898,0.21408796,10.768175,-1.6437471,0.11152029,-2.4099946,2.1313906,-1.2735009,-0.34104586,-1.2347639,1.355505,-0.62452555,-1.2060821,-1.0742009,0.6042242,1.5103698,-2.2681534,-0.9206176,1.0723472,2.8991342,0.55953264,5.933559,-3.6640167,2.600336,-8.54128,-5.7921705,-3.850311,-2.0392478,2.5143266,-3.639108,-0.3359139,0.7525563,1.4208674,-0.0371933,0.49551725,-5.5273056,-4.2259574,-0.9178877,3.746152,1.6869307,5.5975556,-1.2056231,0.4467845,-1.7571092,-0.15500784,-0.97758174,8.716213,8.651352,-2.2449255,1.0118127,-0.81043243,-4.904789,12.283432,-2.0190775,1.1461377,2.778399,2.8265595,-1.4927626,0.7553935,0.81305504,3.2638907,-2.648133,0.5936384,-0.6547153,-1.7019331,2.151084,-0.15878677,0.92834234,-0.49710274,-1.3539612,-0.97332597,0.9072542,-0.17931461,1.7988801,2.8790236,-0.8964479,-1.5830934,0.76494217,1.3931274,0.912869,2.3459792,0.46070814,0.7259011,-7.9059243,-1.4296114,-0.6185651,1.4539719,-0.34683347,-0.5050242,0.0441432,0.052917004,0.79630613,0.044429302,-0.08325577,-0.16320944,2.0448208,-3.1511366,-2.1087885,-1.0320604,-0.31320453,-0.9688854,-3.9256454,-1.6112328,-1.3604522,1.8821478,2.1742463,-0.24725795,1.1327386,-0.3130257,-0.43372512,-0.27164817,2.589476,-0.6755054,2.0892978,-0.81197023,-1.6582549,-1.4814556,-1.0893106,0.081288815,0.5414367,0.29467344,-2.119875,-3.53477,-0.006788969,-3.021562,1.1089087,-1.4730036,-6.0891924,0.5085468,-0.5137384,-0.7397771,-0.5090773,-1.938498,-0.025260448,-0.28489828,1.2461543,-1.6137362,1.0476112,-1.1127055,1.4953613,-4.441333,1.7081141,0.6937027,-0.812155,0.37081242,-0.072318316,1.8451333,-1.0536194,0.66906214,-0.11007786,-0.7687092,-1.2722194,-2.6978433,-2.0947099,4.070282,2.8408408,-1.0751069,0.38068295,-0.9815037,-2.40165,2.1301389,1.5280008,2.1324396,0.012135506,2.1486402,-0.046885014,-0.08250475,-2.940482,-0.2852738,-3.6260366,0.18632412,-0.5607009,-0.58599114,-1.2212336,-0.49930215,-0.11672974,0.60067177,0.3739953,1.5348315,1.6059995,1.0388255,-0.115168095,1.0533094,-0.042277575,0.25714636,0.08904934,0.39494038,-1.16539,-0.62583685,-0.6566882,1.3575196,-0.13590455,-0.92930794,-3.4951508,0.7035732,0.51335096,0.85765123,0.025391579,-0.49667358,-0.016987324,0.22230148,-1.251024,-1.0097206,-1.8424451,1.3597965,3.242433,-0.49792528,-0.7530987,0.8073926,2.2686124,2.2862434,-4.5582175,-1.141125,-0.4235983,2.2867203,0.48707724,0.46379566,-0.24495721,-0.58298707,-2.8888583,-1.5366793,0.9344816,-2.8664231,-0.33219457,1.9476295,0.579679,-2.5749743,-2.4492502,1.8079281,-1.262188,-1.5082061,-0.9835243,-0.19726157,-2.0438075,-0.44760108,1.7808795,-0.6375611,1.0988474,-2.5937915,-0.9239018,-1.0957599,0.8144498,-0.24520159,-1.3491452,-0.20902157,-1.0528207,0.37475824,2.6359797,-0.2197206,3.2182097,4.464555,0.14337301,2.7354598,-0.8175969,0.8426666,1.53898,-0.7955611,-0.23929477,-0.8262992,1.8689156,2.1543145,-0.426054,0.011861324,-1.8041551,1.3238072,0.046384335,2.3131251,0.5135894,-10.961824,-0.9277761,0.69150925,0.06582737,-0.9679735,-0.94795823,1.661861,-1.148802,0.24334192,0.10225773,-3.5704076,-0.45863986,1.575017,-0.28093457,0.17175674,0.22876263,-0.17412305,0.6894827,-0.45757294,-2.5486767,-1.0872006,0.9394765,0.29722452,-0.74270964,1.2919784,-1.1418998,0.41121244,1.5212417,-0.0018715858,1.630795,-2.5544047,-1.2385547,-5.2451553,0.41966438,0.607872,-0.7477641,0.00063180923,1.8048644,-0.19977093,0.16144514,-0.5069077,1.6199112,0.56260824,-2.3085177,2.110374,-2.854234,-0.75570345,-1.4039099,0.7161379,-1.500237,0.5736351,-1.1456013,1.6429424,0.83886385,-1.6429603,2.576077,-1.1489868,3.1143188,-0.54335,0.6136298,-0.5345464,-0.43316483,-5.6596813,-3.330487,1.1285901,0.120294094,-2.0858526,-3.7392795,0.5872607,-0.28235912,1.2481332,-2.531767,-0.8248329,-0.6778538,0.8428097,2.5596023,0.023388863,-0.59690475,-0.7345855,-1.5337706,2.2555113,-0.71635246,0.5550623,2.4080276,-0.9523809,0.10154247,0.41970015,0.88710785,-0.30653477,-1.0952353,-0.41282773,-1.0096073,-0.5399108,0.7407427,1.1104703,0.6152153,-0.35871267,1.5112996,0.51403046,-0.34239888,0.011706352,1.9587159,-1.501137,1.436305,3.6700249,0.41964054,-0.8346915,1.1752605,-0.048184395,-1.8730938,0.6615639,2.2395134,14.39122,0.78452826,0.7466674,0.09980202,-1.02911,0.11854172,-0.901258,0.008559227,0.20891428,-1.06709,-3.8294613,-1.1308491,-0.51943064,0.9521246,-2.4612427,0.33899546,0.5287528,1.7131686,0.6444454,1.4483571,-0.37462115,-2.6618302,0.36929846,-2.2392273,1.508534,-0.2022624,-0.0015735626,-0.5724311,-0.46449304,-1.9920349,-1.7536521,2.364874,-0.16964674,0.2142787,1.0159969,-0.64690113,0.3783822,0.23363829,0.41503906,-1.7703533,0.41923523,-0.7240355,-1.2807906,-1.3331711,-0.63168406,1.3725162,0.018835068,1.5456796,-1.0546446,-1.2938797,-0.6413281,3.637123,0.9974718,-0.38350224,-0.636971,0.06556511,-1.5413463,0.26375055,-1.2146771,1.0850668,0.827837,-1.2816548,0.7769704,0.061166286,6.775379,-1.8900216,-0.93708634,0.68941116,0.8373618,2.1973252,-0.145787,3.4605265,0.57326555,-0.8434832,-2.99896,0.28244257,2.573669,1.5308261,0.35939217,1.9649148,5.1261544,3.2111883,1.1915922,2.8231025,-1.4810503,-0.66238046,2.1095514,1.1332273,-0.13886094,1.2036085,0.2383709,-0.54291487,-0.20846725,0.17609596,2.6833415,-1.7458856,-0.09585619,0.36725998,-1.2459815,1.0215044,0.10331869,0.3279209,1.5024185,-0.07739663,-0.708431,0.13446808,4.012418,1.5460253,-3.807485,-0.60717463,0.1950264,-0.99650025,-2.2672594,-0.0071167946,0.34480095,0.70244074,-0.71772337,0.04941225,-2.0854473,0.5694747,-0.6314516,-0.027859211,-0.952369,-1.0662615,0.20200014,2.6711464,-2.2413313,-1.5933931,-1.2654305,-0.60305595,3.0594587,-0.31285286,0.30335188,-3.4481168,1.5790701,-0.415653,-2.0154178,-1.059401,-5.9877396,0.5240679,0.9782672,2.147615,1.2619495,2.236867,-0.757283,0.75365305,-2.8860867,-0.8367121,-0.30486584,0.77703,2.3134947,2.5990129,-0.09827614,1.4094949,-3.1083286,0.4551649,0.098872185,1.676774,1.4484882,-2.0775974,1.4378786,-6.8719807,0.9892583,-2.8565347,2.263081,0.52137375,-2.3472905,-2.0042777,0.89781284,2.8305888,0.3202319,1.5602231,-2.912277,1.8846631,-1.2289047,-0.5367935,-0.7261634,-1.7168403,0.2184391,-0.818336,1.050353,-0.27610064,0.8572936,-2.8986037,0.7151365,-0.66788197,-0.72392225,-3.0520916,1.6931295,3.909421,2.3619652,-0.7393241,0.5039811,0.7673502,0.29035807,-0.48360825,-0.8038938,1.6988873,1.206398,-2.2039652,0.641644,2.2293568,1.012671,2.2791266,-0.2035141,-6.5917788,3.5329938,-0.46448708,0.86255074,5.0276995,3.3032537,-1.7005146,1.9813299,-1.2577116,0.83247423,1.2571573,-1.3682187,2.7960896,-0.096708536,0.126338,-2.0855725,-3.3824623,0.016105175,3.3693552,-1.5213788,1.5724778,-1.9652486,-1.8751144,-1.3494074,-0.8568883,1.4611483,2.8814554,-1.9327939,-0.9980142,-1.3517857,0.52996874,0.27493238,0.46918392,-1.2085378,2.3334503,-3.467065,-1.8678308,-1.5004516,-1.1288106,4.357934,6.3586354,-0.6665826,2.871716,3.1404376,4.597914,-3.0634403,0.53966045,-1.0570168,1.0812283,-0.7166624,-0.5322635,3.3921003,0.88254213,2.492702,-1.9385278,1.5250921,-2.6403964,1.7930746,4.1614294,1.8160939,2.3228168,0.16257763,0.70854425,1.3916969,-3.3175588,-1.9275546,-4.331726,5.73591,0.3275633,2.5506616,-3.678292,1.5799284,-0.055629015,-0.32271147,-3.976959,-3.416115,-0.14813542,-3.1141758,0.025820732,-0.05030632,-1.0017931,-1.6370833,-3.9348185,2.8853893,3.8083673,0.95535517,-0.98527074,-1.3060927,3.8892984,-4.6648264,0.83408356,1.1332273,-1.2528121,-1.8888712,1.0344625,-0.6014824,-0.1704812,-4.0737333,-2.275449,-0.023531914,-3.2870173,0.2969265,-1.4987767,0.33484697,1.3276935,3.7425041,0.26501417,1.3097763,0.15349388,-2.6162922,1.3768077,-3.8056195,0.28430223,3.4154415,1.2733102,1.2546897,-4.497427,-0.68187714,-0.053614378,0.5383253,-0.8774519,2.70679,2.6138902,2.7907252,-1.7464638,-2.4321496,1.6122341,-3.2424033,0.70387125,2.3837328,2.4701238,-4.3001533,0.15342236,-1.1154115,-2.7176976,1.0360122,-1.6850233,2.170527,-2.2086442,0.32182932,0.9761691,0.3654003,1.6032457,2.5900483,-0.8281648,-6.2992516,-4.227853,-1.3772309,-0.5490899,-0.04194379,-0.39334893,0.4916072,0.13651848,-1.5644491,0.20406246,4.8217773,0.20297766,-0.092202425,-1.6194403,3.0243158,0.90608597,-1.6648471,-0.1278758,2.2046924,1.0145307,3.071642,-0.5409479,2.0585656,0.29188395,-6.324494,-1.4408529,-6.0297728,0.40242672,2.4403095,-3.0544937,0.7529497,0.40787458,-3.2796502,-1.5901327,-0.31273365,-1.81759,1.1960506,2.246511,-3.731078,-0.06889701,1.4098883,-1.4685392,-0.17821789,-0.14955401,2.371633,-3.1943798,-1.393336,-4.0148973,0.5015135,-2.2453964,-2.3118675,-1.459688,4.531169,-2.5152683,-0.10455847,-0.050091743,-0.3979981,0.22034645,0.48416853,1.5013456,-1.202637,3.869927,-1.0893762,1.8757582,0.7135749,-0.9019017,7.233429,1.0436773,-3.5163462,-6.347692,-0.6017029,1.7491102,-5.603111,-1.381433,3.1027675,-6.554806,-0.13065934,-2.2814274,0.08351803,-0.47830343,-1.6416967,3.6833644,-0.7823646,-1.269412,1.4721751,1.3581753,1.4670014,2.2326112,-1.3823688,-0.267303,-0.56842566,4.745126,1.643002,-2.0436168,-7.2168946,1.4420509,1.3704181,-5.9685826,-2.555102,-1.663512,3.0926466,-0.43126345,-0.08414984,0.71024895,0.9931207,2.265966,-0.082075596,-0.45220256,-1.8285334,1.4133811,1.6891003,0.0775218,0.2853632,-0.06522536,0.5529165,0.9307623,0.47376156,2.7822018,1.3201594,1.0976791,-1.5676022,-0.76177716,2.3304343,-0.36678314,-0.5044341,-2.453035,-0.5527854,-0.73643327,-0.64739585,1.2316942,2.306962,-0.7439196,0.62630177,4.810846,-2.17551,-2.0721257,-1.3447464,-0.5524397,-0.9597957,-0.3968537,-2.1497965,0.82645416,-0.7674873,-2.4165094,-1.2438059,6.2879324,-0.8515656,-0.88825226,-1.1012018,-0.81713796,-0.6969631,1.3491988,4.1544676,-4.4379654,2.1811604,-1.2964189,0.14789104,-1.7216921,1.066637,-1.1866927,0.7035732,0.87890625,-0.46612024,-0.4590094,-2.1688879,0.7683754,1.3187289,-0.23406148,-0.47581792,-0.22212267,-0.30639172,2.8407454,-0.19930601,0.011110306,1.0680437,0.08794069,-1.8050492,-0.33178926,-1.4091909,-0.18071532,0.08120537,-1.0130286,2.3084998,-0.39269328,0.0068068504,-0.28236508,1.7413259,-1.0420918,-3.260547,0.09653568,-2.9051423,-0.14064908,-1.1525631,-0.6330013,-0.95281005,-0.87682605,2.46557,-1.6968787,-0.052559376,0.52000284,0.14443398,1.5197396,-0.7606745,1.6069651,-0.23183227,-3.0236304,-0.0034749508,-1.6587555,-0.5096555,-0.20523071,0.82325935,-0.3304243,-0.8818269,-1.1476398,1.1898994,-0.81416965,-1.300174,-0.3694117,-0.020736456,-3.2417476,-0.021964312,-7.932508,-3.8475454,1.5104175,2.5133014,0.32542944,2.6138067,0.8351803,-2.9075205,-0.9280503,-2.3820758,0.06337166,0.048291683,0.6821394,1.7441392,-2.1189988,0.90118647,-1.5559137,0.7655859,0.91177225,-1.7338693,1.1708021,-0.07209182,0.2362132,0.83186626,-0.5626738,0.18732548,0.73720217,-3.2219946,-2.1741152,0.38303137,-0.82921386,1.2188435,2.9595852,-0.23803711,-0.33305287,-0.19587278,-0.86447597,0.7162094,-0.93663335,-0.95448494,1.9425988,0.8490205,0.41304827,0.05493164,0.943315,0.21196604,0.753057,0.9802699,-3.6285162,2.3754716,-0.29322505,2.1736383,0.26476383,-0.26594996,-3.2443821,0.94664097,2.4635077,1.3840318,0.43205023,-5.255568,1.0513783,-1.4797449,-0.56245923,-0.67245364,0.30013323,-0.37849545,-0.50181746,1.9144654,-2.5490403,-0.88627934,0.4131317,1.8059969,0.432086,-1.9037366,-0.37400126,-1.1496007,0.53625107,1.3893366,0.60743093,1.3067603,0.6723881,1.5019894,-1.3378203,1.5550733,-0.07741451,-0.21570325,-0.17460585,0.63198805,-1.8410027,1.7531037,-1.5740693,0.7589221,-0.014024973,-0.32123327,-0.07690191,0.5367756,-0.6062746,-1.336509,1.6364217,2.624452,-0.53706765,1.0876775,2.3849368,1.5673041,0.75256824,-2.9084682,-1.1111498,2.151668,0.0024914742,-0.0911355,2.186048,-1.051575,-2.2092342,1.7229676,-1.4301896,1.1314154,0.17981529,-0.124287605,1.1846542,0.41092634,0.6851554,-0.8917093,-0.12856722,0.91409683,-0.23085475,-1.7504871,-0.9952605,0.84359646,-2.6317954,-2.5387645,2.2084236,-0.15089512,-0.074738264,-2.033335,0.46640635,-0.27559996,0.0029802322,-1.1664093,-0.09902716,0.4334092,1.4176965,-0.17446876,0.49455166,-0.1187861,-0.868088,0.8286238,0.6299734,-0.17955303,1.1072993,0.7935047,-2.089709,-0.37644506,1.3709307,1.3864994,1.8425345,0.45341253,3.0694008,-0.26507974,0.11872053,-0.5960524,-0.08790493,0.88641644,0.6737828,0.7633686,0.3986597,2.0586252,-0.30923486,0.7663727,2.183795,1.3373971,0.18098354,-3.372401,0.43063164,-0.83214045,3.1886458,0.5571723,-0.668633,-2.3997009,3.0124664,6.249261,0.4511237,1.7213345,-0.8416712,6.4305544,1.8998146,0.76014996],"ADEN-CH^JULIAN(FG_PRICE(45961,45961-5AY,,USD).DATES)":[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,45785,45784,45783,45782,45779,45778,45777,45776,45775,45772,45771,45770,45769,45768,45764,45763,45762,45761,45758,45757,45756,45755,45754,45751,45750,45749,45748,45747,45744,45743,45742,45741,45740,45737,45736,45735,45734,45733,45730,45729,45728,45727,45726,45723,45722,45721,45720,45719,45716,45715,45714,45713,45712,45709,45708,45707,45706,45702,45701,45700,45699,45698,45695,45694,45693,45692,45691,45688,45687,45686,45685,45684,45681,45680,45679,45678,45674,45673,45672,45671,45670,45667,45665,45664,45663,45660,45659,45657,45656,45653,45652,45650,45649,45646,45645,45644,45643,45642,45639,45638,45637,45636,45635,45632,45631,45630,45629,45628,45625,45623,45622,45621,45618,45617,45616,45615,45614,45611,45610,45609,45608,45607,45604,45603,45602,45601,45600,45597,45596,45595,45594,45593,45590,45589,45588,45587,45586,45583,45582,45581,45580,45579,45576,45575,45574,45573,45572,45569,45568,45567,45566,45565,45562,45561,45560,45559,45558,45555,45554,45553,45552,45551,45548,45547,45546,45545,45544,45541,45540,45539,45538,45534,45533,45532,45531,45530,45527,45526,45525,45524,45523,45520,45519,45518,45517,45516,45513,45512,45511,45510,45509,45506,45505,45504,45503,45502,45499,45498,45497,45496,45495,45492,45491,45490,45489,45488,45485,45484,45483,45482,45481,45478,45476,45475,45474,45471,45470,45469,45468,45467,45464,45463,45461,45460,45457,45456,45455,45454,45453,45450,45449,45448,45447,45446,45443,45442,45441,45440,45436,45435,45434,45433,45432,45429,45428,45427,45426,45425,45422,45421,45420,45419,45418,45415,45414,45413,45412,45411,45408,45407,45406,45405,45404,45401,45400,45399,45398,45397,45394,45393,45392,45391,45390,45387,45386,45385,45384,45383,45379,45378,45377,45376,45373,45372,45371,45370,45369,45366,45365,45364,45363,45362,45359,45358,45357,45356,45355,45352,45351,45350,45349,45348,45345,45344,45343,45342,45338,45337,45336,45335,45334,45331,45330,45329,45328,45327,45324,45323,45322,45321,45320,45317,45316,45315,45314,45313,45310,45309,45308,45307,45303,45302,45301,45300,45299,45296,45295,45294,45293,45289,45288,45287,45286,45282,45281,45280,45279,45278,45275,45274,45273,45272,45271,45268,45267,45266,45265,45264,45261,45260,45259,45258,45257,45254,45252,45251,45250,45247,45246,45245,45244,45243,45240,45239,45238,45237,45236,45233,45232,45231,45230,45229,45226,45225,45224,45223,45222,45219,45218,45217,45216,45215,45212,45211,45210,45209,45208,45205,45204,45203,45202,45201,45198,45197,45196,45195,45194,45191,45190,45189,45188,45187,45184,45183,45182,45181,45180,45177,45176,45175,45174,45170,45169,45168,45167,45166,45163,45162,45161,45160,45159,45156,45155,45154,45153,45152,45149,45148,45147,45146,45145,45142,45141,45140,45139,45138,45135,45134,45133,45132,45131,45128,45127,45126,45125,45124,45121,45120,45119,45118,45117,45114,45113,45112,45110,45107,45106,45105,45104,45103,45100,45099,45098,45097,45093,45092,45091,45090,45089,45086,45085,45084,45083,45082,45079,45078,45077,45076,45072,45071,45070,45069,45068,45065,45064,45063,45062,45061,45058,45057,45056,45055,45054,45051,45050,45049,45048,45047,45044,45043,45042,45041,45040,45037,45036,45035,45034,45033,45030,45029,45028,45027,45026,45022,45021,45020,45019,45016,45015,45014,45013,45012,45009,45008,45007,45006,45005,45002,45001,45000,44999,44998,44995,44994,44993,44992,44991,44988,44987,44986,44985,44984,44981,44980,44979,44978,44974,44973,44972,44971,44970,44967,44966,44965,44964,44963,44960,44959,44958,44957,44956,44953,44952,44951,44950,44949,44946,44945,44944,44943,44939,44938,44937,44936,44935,44932,44931,44930,44929,44925,44924,44923,44922,44918,44917,44916,44915,44914,44911,44910,44909,44908,44907,44904,44903,44902,44901,44900,44897,44896,44895,44894,44893,44890,44888,44887,44886,44883,44882,44881,44880,44879,44876,44875,44874,44873,44872,44869,44868,44867,44866,44865,44862,44861,44860,44859,44858,44855,44854,44853,44852,44851,44848,44847,44846,44845,44844,44841,44840,44839,44838,44837,44834,44833,44832,44831,44830,44827,44826,44825,44824,44823,44820,44819,44818,44817,44816,44813,44812,44811,44810,44806,44805,44804,44803,44802,44799,44798,44797,44796,44795,44792,44791,44790,44789,44788,44785,44784,44783,44782,44781,44778,44777,44776,44775,44774,44771,44770,44769,44768,44767,44764,44763,44762,44761,44760,44757,44756,44755,44754,44753,44750,44749,44748,44747,44743,44742,44741,44740,44739,44736,44735,44734,44733,44729,44728,44727,44726,44725,44722,44721,44720,44719,44718,44715,44714,44713,44712,44708,44707,44706,44705,44704,44701,44700,44699,44698,44697,44694,44693,44692,44691,44690,44687,44686,44685,44684,44683,44680,44679,44678,44677,44676,44673,44672,44671,44670,44669,44665,44664,44663,44662,44659,44658,44657,44656,44655,44652,44651,44650,44649,44648,44645,44644,44643,44642,44641,44638,44637,44636,44635,44634,44631,44630,44629,44628,44627,44624,44623,44622,44621,44620,44617,44616,44615,44614,44610,44609,44608,44607,44606,44603,44602,44601,44600,44599,44596,44595,44594,44593,44592,44589,44588,44587,44586,44585,44582,44581,44580,44579,44575,44574,44573,44572,44571,44568,44567,44566,44565,44564,44561,44560,44559,44558,44557,44553,44552,44551,44550,44547,44546,44545,44544,44543,44540,44539,44538,44537,44536,44533,44532,44531,44530,44529,44526,44524,44523,44522,44519,44518,44517,44516,44515,44512,44511,44510,44509,44508,44505,44504,44503,44502,44501,44498,44497,44496,44495,44494,44491,44490,44489,44488,44487,44484,44483,44482,44481,44480,44477,44476,44475,44474,44473,44470,44469,44468,44467,44466,44463,44462,44461,44460,44459,44456,44455,44454,44453,44452,44449,44448,44447,44446,44442,44441,44440,44439,44438,44435,44434,44433,44432,44431,44428,44427,44426,44425,44424,44421,44420,44419,44418,44417,44414,44413,44412,44411,44410,44407,44406,44405,44404,44403,44400,44399,44398,44397,44396,44393,44392,44391,44390,44389,44386,44385,44384,44383,44379,44378,44377,44376,44375,44372,44371,44370,44369,44368,44365,44364,44363,44362,44361,44358,44357,44356,44355,44354,44351,44350,44349,44348,44344,44343,44342,44341,44340,44337,44336,44335,44334,44333,44330,44329,44328,44327,44326,44323,44322,44321,44320,44319,44316,44315,44314,44313,44312,44309,44308,44307,44306,44305,44302,44301,44300,44299,44298,44295,44294,44293,44292,44291,44287,44286,44285,44284,44281,44280,44279,44278,44277,44274,44273,44272,44271,44270,44267,44266,44265,44264,44263,44260,44259,44258,44257,44256,44253,44252,44251,44250,44249,44246,44245,44244,44243,44239,44238,44237,44236,44235,44232,44231,44230,44229,44228,44225,44224,44223,44222,44221,44218,44217,44216,44215,44211,44210,44209,44208,44207,44204,44203,44202,44201,44200,44196,44195,44194,44193,44189,44188,44187,44186,44183,44182,44181,44180,44179,44176,44175,44174,44173,44172,44169,44168,44167,44166,44165,44162,44160,44159,44158,44155,44154,44153,44152,44151,44148,44147,44146,44145,44144,44141,44140,44139,44138,44137,44134],"^PSETCAL(\"NAY\",,\"NAME\")":"calendar: United States","^FG_COMPANY_NAME":null,"^PROPER_NAME":null,"WLY-US^PROPER_NAME":"John Wiley & Sons, Inc. Class A","WU-US^PROPER_NAME":"Western Union Company","WBA-US^PROPER_NAME":"Walgreens Boots Alliance, Inc.","VOW3-DE^PROPER_NAME":"Volkswagen AG Pref","VOD-GB^PROPER_NAME":"Vodafone Group Public Limited Company","VTRS-US^PROPER_NAME":"Viatris, Inc.","VZ-US^PROPER_NAME":"Verizon Communications Inc.","VAL-ZA^PROPER_NAME":"Valterra Platinum Limited","6995-JP^PROPER_NAME":"TOKAI RIKA CO., LTD.","TX-US^PROPER_NAME":"Ternium S.A. Sponsored ADR","UHR-CH^PROPER_NAME":"Swatch Group Ltd. Bearer","SWK-US^PROPER_NAME":"Stanley Black & Decker, Inc.","STAN-GB^PROPER_NAME":"Standard Chartered PLC","GLE-FR^PROPER_NAME":"Societe Generale S.A. Class A","055550-KR^PROPER_NAME":"Shinhan Financial Group Co., Ltd.","SESG-FR^PROPER_NAME":"SES SA FDR (Class A)","SAN-FR^PROPER_NAME":"Sanofi SA","005935-KR^PROPER_NAME":"Samsung Electronics Co Ltd Pfd  Non-Voting","SBH-US^PROPER_NAME":"Sally Beauty Holdings, Inc.","6963-JP^PROPER_NAME":"ROHM Company Limited","REP-ES^PROPER_NAME":"Repsol SA","PUM-DE^PROPER_NAME":"PUMA SE","PFE-US^PROPER_NAME":"Pfizer Inc.","9404-JP^PROPER_NAME":"Nippon Television Holdings, Inc.","7731-JP^PROPER_NAME":"Nikon Corp.","NWG-GB^PROPER_NAME":"NatWest Group Plc","TAP-US^PROPER_NAME":"Molson Coors Beverage Company Class B","MHK-US^PROPER_NAME":"Mohawk Industries, Inc.","7459-JP^PROPER_NAME":"MEDIPAL HOLDINGS Corporation","MAN-US^PROPER_NAME":"ManpowerGroup Inc.","M-US^PROPER_NAME":"Macy's, Inc.","LYB-US^PROPER_NAME":"LyondellBasell Industries NV","LEA-US^PROPER_NAME":"Lear Corporation","KHC-US^PROPER_NAME":"Kraft Heinz Company","AD-NL^PROPER_NAME":"Koninklijke Ahold Delhaize N.V.","KER-FR^PROPER_NAME":"Kering SA","105560-KR^PROPER_NAME":"KB Financial Group Inc.","INTC-US^PROPER_NAME":"Intel Corporation","HPE-US^PROPER_NAME":"Hewlett Packard Enterprise Co.","161390-KR^PROPER_NAME":"HANKOOK TIRE & TECHNOLOGY Co., Ltd.","HAL-US^PROPER_NAME":"Halliburton Company","4544-JP^PROPER_NAME":"H.U.Group Holdings, Inc.","GSK-GB^PROPER_NAME":"GSK plc","ENI-IT^PROPER_NAME":"Eni S.p.A.","WPP-GB^PROPER_NAME":"WPP Plc","4324-JP^PROPER_NAME":"Dentsu Group Inc.","CON-DE^PROPER_NAME":"Continental AG","CA-FR^PROPER_NAME":"Carrefour SA","BRBY-GB^PROPER_NAME":"Burberry Group plc","BT.A-GB^PROPER_NAME":"BT Group plc","BMY-US^PROPER_NAME":"Bristol-Myers Squibb Company","BAYN-DE^PROPER_NAME":"Bayer AG","BAS-DE^PROPER_NAME":"BASF SE","9888-HK^PROPER_NAME":"Baidu, Inc. Class A","ATHM-US^PROPER_NAME":"Autohome Inc. Sponsored ADR Class A","APTV-US^PROPER_NAME":"Aptiv PLC","914-HK^PROPER_NAME":"Anhui Conch Cement Company Limited Class H","AAL-GB^PROPER_NAME":"Anglo American plc","ADEN-CH^PROPER_NAME":"Adecco Group AG","DUMMY^CORREL_MATRIX(CORRELMATRIX)":[[1.0,0.39938405,0.12351597,0.31796327,0.18625735,0.18713966,0.5839783,0.3916449,0.045512207,0.3266457,0.43294632,0.29648682,0.51597923,0.17502515,0.47705555,0.41527575,0.25082976,0.12580854,0.2112954,0.139763,0.20724316,0.14516617,0.16819996,0.4765367,0.2663285,0.12240205,0.33602232,0.3146301,0.17430522,0.44833085,0.09664128,0.30196637,0.19476128,0.45068923,0.13730615,0.10514353,0.108049855,0.42113334,0.31757814,0.21714398,0.20429349,0.19614367,0.24527168,0.3358664,0.17815195,0.5114047,0.41977122,0.27303308,0.49752104,0.2843235,0.19002204,0.26021358,0.11426086,0.22955623,0.34252146,0.50821435,0.1348528,0.23994473,0.20664184],[0.39938405,1.0,0.23118158,0.27339724,0.20845011,0.24558595,0.49699247,0.32804742,0.003977246,0.26483834,0.4003947,0.2219083,0.38348606,0.14241657,0.40760097,0.5212918,0.22555007,0.051864404,0.33170706,0.12959494,0.23344079,0.16092536,0.1557952,0.4035347,0.14545378,0.045460504,0.28487447,0.34101942,0.11964421,0.25129953,0.11732159,0.22978368,0.13224563,0.4687992,0.13212422,0.08752199,0.07184414,0.27331284,0.4686896,0.16623355,0.13028964,0.1866798,0.18667169,0.21183583,0.17771262,0.41083544,0.4402563,0.19515103,0.42039084,0.44327343,0.09788907,0.53149796,0.07916192,0.17980261,0.29535085,0.3819308,0.1447117,0.13327818,0.1998287],[0.12351597,0.23118158,1.0,0.07700238,0.219586,0.38515213,0.16261686,0.12648934,0.060530566,0.09905089,0.16386203,0.04913928,0.06697992,0.10347692,0.09018245,0.11647656,0.07718932,0.09727897,0.08047438,0.14139457,0.066502124,0.037332084,0.19620481,0.16724078,0.027636377,0.027529266,0.073951446,0.11294534,0.040439438,0.07176667,0.04872398,0.04189216,0.04530947,0.1214835,0.094915055,0.077587046,0.06316819,0.093412146,0.12067817,0.11386463,0.030167788,0.22901434,0.04234715,0.07362551,0.20805001,0.122271046,0.18625234,0.0499635,0.18200777,0.15071787,0.08954926,0.16476853,0.008647056,0.052148562,0.09243966,0.12213162,0.058911853,0.06341837,0.051414758],[0.31796327,0.27339724,0.07700238,1.0,0.25657505,0.11218112,0.39639395,0.22450599,0.096634105,0.16366695,0.25423726,0.1498384,0.4171376,0.054068793,0.33327508,0.22662239,0.06824344,0.0020722293,0.3589049,0.042003356,0.4393508,0.35284764,0.067978464,0.31843528,0.08325847,0.116408706,0.7497783,0.4878771,0.3969841,0.487004,0.004891051,0.52945894,0.2559938,0.3102515,0.04808809,0.029196503,0.16148512,0.2864457,0.21221629,0.09315408,0.42271778,0.07556651,0.057855826,0.15881817,0.100665,0.30723923,0.30487245,0.5066437,0.33334726,0.38759404,0.06974484,0.15581703,0.12921235,0.36848122,0.17390521,0.3743258,0.2211592,0.3627457,0.3501743],[0.18625735,0.20845011,0.219586,0.25657505,1.0,0.28208867,0.22138534,0.1783574,0.050155975,0.08292831,0.19378798,0.036464725,0.19803022,0.043601554,0.13431253,0.14223558,0.08990513,0.01608673,0.122016065,0.11337348,0.16092788,0.1690994,0.078869745,0.23252256,0.07499752,0.0298947,0.23379572,0.22604072,0.15629771,0.20698543,0.005258511,0.23356366,0.105211444,0.15255003,0.03721305,0.035090685,0.031156102,0.17763424,0.12843105,0.08241095,0.16033295,0.112823956,0.09191894,0.13496628,0.092396006,0.1658718,0.20078865,0.21013322,0.21844539,0.24097674,0.06815889,0.17733148,0.058938865,0.19347213,0.07849945,0.21164237,0.06800632,0.18918885,0.1311286],[0.18713966,0.24558595,0.38515213,0.11218112,0.28208867,1.0,0.17286283,0.15218848,-0.033161763,0.076805614,0.21377215,0.023438502,0.15538396,0.17138945,0.18730856,0.13930942,0.06956214,0.09677698,0.058869857,0.19740954,0.064321175,0.059526287,0.23353863,0.25284863,0.015571004,-0.03756348,0.101971455,0.13737674,0.034880225,0.05961974,0.029118108,0.08956034,-0.01689756,0.12580122,0.13609755,0.09606982,0.022934861,0.23145977,0.1449145,0.24354164,0.041232754,0.2926657,0.039775115,0.06142514,0.24364161,0.12618959,0.19871105,0.104511425,0.2694478,0.14724803,0.1384017,0.18846282,-0.03449254,0.07227729,0.029277531,0.18033718,0.004694804,0.045758676,0.049816806],[0.5839783,0.49699247,0.16261686,0.39639395,0.22138534,0.17286283,1.0,0.50157684,0.046026655,0.32257318,0.47170675,0.34310368,0.6498609,0.16760652,0.523005,0.5242007,0.2632854,0.061505597,0.28608724,0.12476337,0.2649742,0.17784555,0.11342368,0.5528989,0.27792665,0.110833295,0.44210115,0.42688102,0.21113421,0.398293,0.08666217,0.33198673,0.22068276,0.5183201,0.110482775,0.09294506,0.12530355,0.41222456,0.42036217,0.2000265,0.24434972,0.16238824,0.2740753,0.28872693,0.13911241,0.61443573,0.4954197,0.30816174,0.5206565,0.36164185,0.13901925,0.2913979,0.117634356,0.26557684,0.3576253,0.6262405,0.1702902,0.26158947,0.22947456],[0.3916449,0.32804742,0.12648934,0.22450599,0.1783574,0.15218848,0.50157684,1.0,0.17970861,0.27321023,0.32778388,0.29809958,0.4031461,0.14631344,0.38016596,0.37603727,0.35018376,0.116982095,0.18306157,0.0520545,0.14245532,0.12817603,0.0745947,0.3805234,0.2851724,0.11295729,0.24379359,0.22644,0.086407065,0.2161317,0.11234039,0.19858941,0.10971255,0.37212124,0.112034306,0.10828794,0.19156912,0.2771608,0.2871537,0.21861146,0.108912565,0.12764494,0.39283246,0.3095879,0.10563913,0.40558714,0.33661464,0.19430612,0.32963145,0.22059269,0.15196058,0.23455875,0.105778165,0.2370016,0.34853014,0.40551424,0.13743018,0.17352803,0.14339519],[0.045512207,0.003977246,0.060530566,0.096634105,0.050155975,-0.033161763,0.046026655,0.17970861,1.0,0.097486645,0.01622331,0.019878205,0.047989544,0.011468804,0.03906739,0.04311741,0.24124144,-0.025161894,0.15081222,0.009638191,0.11235003,0.082754225,-0.013518405,0.06252576,0.0616014,0.2344819,0.16839682,0.18141277,0.1073744,0.20463815,0.013564673,0.20788386,0.21476322,0.05825427,0.007889109,0.029668061,0.43334287,0.04864335,0.0610333,0.0088093355,0.16404073,-0.046675574,0.22779897,0.050166782,0.005195823,0.022300402,0.06640819,0.22393566,0.047395613,0.08881844,0.06657146,0.026704367,0.23524706,0.2707928,0.12812741,0.08409664,0.21326135,0.2557498,0.17553252],[0.3266457,0.26483834,0.09905089,0.16366695,0.08292831,0.076805614,0.32257318,0.27321023,0.097486645,1.0,0.28521088,0.26148474,0.31309775,0.17426421,0.36636797,0.34775424,0.26558545,0.09354679,0.13503575,0.12392105,0.09159202,0.096063174,0.1396738,0.255063,0.23886731,0.12269262,0.17925069,0.15181078,0.08126445,0.1919496,0.09402683,0.15499835,0.18644848,0.40697232,0.111709185,0.10762499,0.09608698,0.1919638,0.29833162,0.13282666,0.13052484,0.16880907,0.20029984,0.2679534,0.14833887,0.34899965,0.32249165,0.1407889,0.26642206,0.1921826,0.1622779,0.17713894,0.20932731,0.16019903,0.5388105,0.33944756,0.13867539,0.18218865,0.14585213],[0.43294632,0.4003947,0.16386203,0.25423726,0.19378798,0.21377215,0.47170675,0.32778388,0.01622331,0.28521088,1.0,0.23582321,0.4181015,0.14484985,0.46616992,0.37274373,0.2201009,0.076597445,0.13717712,0.10975982,0.18849632,0.095191814,0.11580456,0.6256396,0.19669776,0.036212742,0.2563553,0.220155,0.1826831,0.23934513,0.061221194,0.21409726,0.13434663,0.39552015,0.11131076,0.066500075,0.024806133,0.37030548,0.30927646,0.121679604,0.2150763,0.1292793,0.2152591,0.20312512,0.15040717,0.4006577,0.40342185,0.21381055,0.55656016,0.21651211,0.118296556,0.2413409,0.03733248,0.17562069,0.2642412,0.40338552,0.12999837,0.16020198,0.13960347],[0.29648682,0.2219083,0.04913928,0.1498384,0.036464725,0.023438502,0.34310368,0.29809958,0.019878205,0.26148474,0.23582321,1.0,0.31058118,0.063583486,0.29691607,0.31378946,0.17484461,0.07735021,0.09928699,0.05076869,0.079658955,0.031134954,0.10325086,0.26606652,0.46898967,0.11170633,0.16430573,0.16612798,0.08906161,0.15114455,0.03355292,0.12551257,0.16677205,0.26248518,0.0601454,0.0410142,0.09473575,0.20357111,0.22343177,0.069757245,0.07923016,0.08444558,0.2025082,0.23004958,0.12330624,0.35326985,0.23584695,0.109791264,0.2188705,0.18843508,0.08995195,0.14838673,0.11391561,0.12679608,0.27987033,0.26799858,0.101600595,0.11065006,0.10826337],[0.51597923,0.38348606,0.06697992,0.4171376,0.19803022,0.15538396,0.6498609,0.4031461,0.047989544,0.31309775,0.4181015,0.31058118,1.0,0.116710454,0.48347074,0.4366321,0.20008494,0.07224051,0.22913106,0.12442811,0.23016976,0.16326527,0.09527039,0.4847455,0.24180132,0.054988883,0.44105703,0.30402818,0.20812005,0.3410932,0.08344504,0.3331386,0.2003357,0.49137184,0.10381844,0.05432115,0.08548139,0.38078496,0.33105004,0.19569056,0.22152151,0.16376218,0.21122454,0.26820096,0.12838867,0.5640279,0.4372496,0.2740215,0.4827097,0.29230016,0.13997997,0.22272357,0.08043909,0.2548705,0.30863494,0.6315838,0.13432454,0.23396072,0.21090992],[0.17502515,0.14241657,0.10347692,0.054068793,0.043601554,0.17138945,0.16760652,0.14631344,0.011468804,0.17426421,0.14484985,0.063583486,0.116710454,1.0,0.18389936,0.15274647,0.1468055,0.26870573,0.052873645,0.19752587,-0.008533499,-0.009597961,0.18804522,0.13989455,0.11705237,0.058995754,0.03893702,0.0069621974,0.027344048,0.05379607,0.30702692,0.0605242,0.0426414,0.12640098,0.38480848,0.37526366,0.025283761,0.15754525,0.12683548,0.2972373,0.07358008,0.16601305,0.097464606,0.12775573,0.19487087,0.15233958,0.14290033,0.015531214,0.14235772,0.06622851,0.43034,0.11684156,0.026498657,0.00056893355,0.18581581,0.15229863,0.041690115,0.039329275,0.068738505],[0.47705555,0.40760097,0.09018245,0.33327508,0.13431253,0.18730856,0.523005,0.38016596,0.03906739,0.36636797,0.46616992,0.29691607,0.48347074,0.18389936,1.0,0.4362768,0.27516997,0.108455464,0.22731288,0.11706742,0.22063513,0.1591178,0.14894313,0.45762885,0.27178732,0.073106356,0.33857784,0.3083304,0.2105397,0.3441946,0.10647436,0.29049096,0.20589966,0.49854836,0.12347774,0.09567576,0.1258521,0.4066668,0.34364292,0.19472516,0.24914658,0.1841743,0.22205701,0.23860087,0.17102055,0.49871153,0.44723776,0.25356165,0.45268938,0.27799326,0.13578808,0.23492771,0.14558843,0.23662041,0.35995936,0.44686198,0.13839488,0.21527608,0.23560493],[0.41527575,0.5212918,0.11647656,0.22662239,0.14223558,0.13930942,0.5242007,0.37603727,0.04311741,0.34775424,0.37274373,0.31378946,0.4366321,0.15274647,0.4362768,1.0,0.26846611,0.06044856,0.48262694,0.09068593,0.21523716,0.10027186,0.14369519,0.3718783,0.20656657,0.08007849,0.2796866,0.38747352,0.17412965,0.27518234,0.07832818,0.20338549,0.20161387,0.47497505,0.11944839,0.05122216,0.08625954,0.27002826,0.75218767,0.1639766,0.14755505,0.17974474,0.26178026,0.2599194,0.13124874,0.5177691,0.48138264,0.17927766,0.35125417,0.34412855,0.11527468,0.33345708,0.13301206,0.17576396,0.37164956,0.45250982,0.13976662,0.19685794,0.19933152],[0.25082976,0.22555007,0.07718932,0.06824344,0.08990513,0.06956214,0.2632854,0.35018376,0.24124144,0.26558545,0.2201009,0.17484461,0.20008494,0.1468055,0.27516997,0.26846611,1.0,0.10093196,0.043541204,-0.004903051,0.005036885,0.018068898,0.070669316,0.2255002,0.2623725,0.1569141,0.08967457,0.08940546,0.020867214,0.13040671,0.06578725,0.08521952,0.16772255,0.23667717,0.10644768,0.10195105,0.2444693,0.19305214,0.19716154,0.12027979,0.024431892,0.099813744,0.55201733,0.194123,0.10610429,0.2383803,0.24503411,0.054117847,0.19423528,0.08577598,0.106473856,0.17579706,0.16068196,0.15127167,0.30996668,0.21228243,0.13016286,0.16751832,0.07052515],[0.12580854,0.051864404,0.09727897,0.0020722293,0.01608673,0.09677698,0.061505597,0.116982095,-0.025161894,0.09354679,0.076597445,0.07735021,0.07224051,0.26870573,0.108455464,0.06044856,0.10093196,1.0,-0.036401875,0.13853398,-0.019091014,0.039148,0.16316432,0.08560384,0.13210414,0.07147025,0.0058947224,-0.005695683,-0.014013442,0.03356908,0.41233557,0.06776621,0.045703832,0.03498125,0.27410004,0.27940333,0.044223208,0.09807482,0.02176218,0.27460316,0.02844804,0.13392948,0.05791869,0.1193344,0.13886689,0.036565933,0.004225091,0.047844116,0.09631019,0.049683303,0.29226112,0.08664683,0.09248834,-0.038159136,0.103297204,0.08631616,0.081012845,0.025230933,0.010673116],[0.2112954,0.33170706,0.08047438,0.3589049,0.122016065,0.058869857,0.28608724,0.18306157,0.15081222,0.13503575,0.13717712,0.09928699,0.22913106,0.052873645,0.22731288,0.48262694,0.043541204,-0.036401875,1.0,0.06525422,0.38383803,0.24898829,0.06941102,0.13636756,-0.0052367835,0.13606389,0.42129913,0.58403146,0.30889213,0.3522306,-0.029282263,0.31727365,0.25940686,0.2698697,0.08343614,-0.023900593,0.12553738,0.08643953,0.526209,0.07677448,0.2565012,0.060176782,0.029192178,0.115883216,0.07734722,0.26809707,0.32246202,0.31496045,0.16499679,0.39414006,0.0619539,0.15446174,0.12144407,0.26062265,0.17167673,0.22857767,0.19618139,0.27153537,0.33577746],[0.139763,0.12959494,0.14139457,0.042003356,0.11337348,0.19740954,0.12476337,0.0520545,0.009638191,0.12392105,0.10975982,0.05076869,0.12442811,0.19752587,0.11706742,0.09068593,-0.004903051,0.13853398,0.06525422,1.0,0.08294853,0.048760973,0.34362248,0.11790707,0.039994534,0.015610277,0.07489031,0.08747698,0.076550595,0.06490566,0.16245347,0.07206055,-0.005796319,0.0946327,0.17701577,0.18637526,-0.0050917407,0.12275454,0.12983648,0.27847192,0.083851665,0.3904253,0.0102453735,0.05021973,0.3714503,0.10639895,0.114230804,0.10793806,0.13309962,0.11719091,0.25578865,0.09668562,0.040059183,0.01890096,0.076156124,0.16491829,0.044695776,0.08319148,0.068182044],[0.20724316,0.23344079,0.066502124,0.4393508,0.16092788,0.064321175,0.2649742,0.14245532,0.11235003,0.09159202,0.18849632,0.079658955,0.23016976,-0.008533499,0.22063513,0.21523716,0.005036885,-0.019091014,0.38383803,0.08294853,1.0,0.3579703,0.09870387,0.20395473,0.037880067,0.11605284,0.44464454,0.4562182,0.3954329,0.39013124,-0.03091307,0.40349433,0.24744223,0.2736088,0.019627945,-0.00636197,0.14541464,0.19464749,0.22791888,0.05939877,0.34963104,0.10895331,-0.020081667,0.0997545,0.09114644,0.24963889,0.2863646,0.41648263,0.1890904,0.32060432,0.037232157,0.11236106,0.08504254,0.28739792,0.10067172,0.22995755,0.201784,0.30975676,0.29358047],[0.14516617,0.16092536,0.037332084,0.35284764,0.1690994,0.059526287,0.17784555,0.12817603,0.082754225,0.096063174,0.095191814,0.031134954,0.16326527,-0.009597961,0.1591178,0.10027186,0.018068898,0.039148,0.24898829,0.048760973,0.3579703,1.0,0.05634033,0.15951203,0.033970937,0.12263618,0.35840264,0.29861337,0.26061854,0.29089186,0.06747609,0.2799415,0.17652567,0.11863407,0.06417513,0.048707478,0.1533686,0.14560044,0.10864947,0.0919781,0.25470525,0.07193704,-0.009713296,0.056328967,0.06206205,0.11580864,0.11274094,0.35903227,0.12374538,0.24924225,0.06266552,0.1115454,0.120834865,0.22621195,0.09258253,0.14775845,0.1661641,0.24044432,0.24662289],[0.16819996,0.1557952,0.19620481,0.067978464,0.078869745,0.23353863,0.11342368,0.0745947,-0.013518405,0.1396738,0.11580456,0.10325086,0.09527039,0.18804522,0.14894313,0.14369519,0.070669316,0.16316432,0.06941102,0.34362248,0.09870387,0.05634033,1.0,0.13065158,0.06205133,0.020906942,0.08447849,0.09899662,0.050922558,0.097886704,0.13134651,0.057656076,0.021644942,0.13937223,0.18843628,0.18678248,-0.032391448,0.13997597,0.13725407,0.26027015,0.08979403,0.4240244,0.036306527,0.076327294,0.8151238,0.11106731,0.13838473,0.09131249,0.12603831,0.085493304,0.18306065,0.13014595,0.027415128,0.032643344,0.08402278,0.12633875,0.072619386,0.07767858,0.08101142],[0.4765367,0.4035347,0.16724078,0.31843528,0.23252256,0.25284863,0.5528989,0.3805234,0.06252576,0.255063,0.6256396,0.26606652,0.4847455,0.13989455,0.45762885,0.3718783,0.2255002,0.08560384,0.13636756,0.11790707,0.20395473,0.15951203,0.13065158,1.0,0.2312635,0.055945132,0.3153666,0.2750108,0.18112548,0.28056657,0.08353291,0.28982103,0.14438145,0.38528058,0.12761296,0.10061295,0.12701933,0.48624644,0.2894159,0.17108415,0.2406651,0.1451531,0.22902842,0.24088739,0.16453576,0.43203276,0.39470315,0.27781868,0.62871724,0.2697583,0.13221139,0.250801,0.062013578,0.20112385,0.26069716,0.49704754,0.11557376,0.17788932,0.15613718],[0.2663285,0.14545378,0.027636377,0.08325847,0.07499752,0.015571004,0.27792665,0.2851724,0.0616014,0.23886731,0.19669776,0.46898967,0.24180132,0.11705237,0.27178732,0.20656657,0.2623725,0.13210414,-0.0052367835,0.039994534,0.037880067,0.033970937,0.06205133,0.2312635,1.0,0.1380008,0.10414559,0.055835765,0.07228331,0.08297587,0.09167201,0.1231703,0.15468986,0.21575737,0.1028858,0.07795534,0.09447268,0.20084551,0.09336312,0.068916716,0.06164797,0.0710842,0.24785136,0.20232418,0.077815555,0.22803132,0.1347776,0.08235472,0.17664377,0.11338912,0.11182416,0.11254,0.120494224,0.105912484,0.30135944,0.2428904,0.09489744,0.12021517,0.06506329],[0.12240205,0.045460504,0.027529266,0.116408706,0.0298947,-0.03756348,0.110833295,0.11295729,0.2344819,0.12269262,0.036212742,0.11170633,0.054988883,0.058995754,0.073106356,0.08007849,0.1569141,0.07147025,0.13606389,0.015610277,0.11605284,0.12263618,0.020906942,0.055945132,0.1380008,1.0,0.1754863,0.230152,0.10486679,0.22857499,0.055343743,0.20235938,0.39562446,0.044888973,0.027315712,0.08181847,0.20455185,0.079690956,0.07242968,0.007920043,0.17376053,-0.021485904,0.17302807,0.034679033,0.0363304,0.045732908,0.06787803,0.23352818,0.09475894,0.11599261,0.048870955,0.01775311,0.34159595,0.23954332,0.16767223,0.11603997,0.17745325,0.27866244,0.18448089],[0.33602232,0.28487447,0.073951446,0.7497783,0.23379572,0.101971455,0.44210115,0.24379359,0.16839682,0.17925069,0.2563553,0.16430573,0.44105703,0.03893702,0.33857784,0.2796866,0.08967457,0.0058947224,0.42129913,0.07489031,0.44464454,0.35840264,0.08447849,0.3153666,0.10414559,0.1754863,1.0,0.5528843,0.4117508,0.53240013,0.01804348,0.5597242,0.32983565,0.33743078,0.04708898,0.02482555,0.17629097,0.30829787,0.25294915,0.101362415,0.4700591,0.078522205,0.08775471,0.17952451,0.0961787,0.39872664,0.34559307,0.528257,0.3538865,0.42440885,0.07906252,0.15911411,0.15995854,0.40712145,0.18914604,0.40154514,0.25663683,0.41644353,0.38840446],[0.3146301,0.34101942,0.11294534,0.4878771,0.22604072,0.13737674,0.42688102,0.22644,0.18141277,0.15181078,0.220155,0.16612798,0.30402818,0.0069621974,0.3083304,0.38747352,0.08940546,-0.005695683,0.58403146,0.08747698,0.4562182,0.29861337,0.09899662,0.2750108,0.055835765,0.230152,0.5528843,1.0,0.36979187,0.5254653,0.009949415,0.48720005,0.36534923,0.3237783,0.08546351,0.02150538,0.23846191,0.21099028,0.40174747,0.095094584,0.39174896,0.07391052,0.051769305,0.1411004,0.08886309,0.33624128,0.35457623,0.50704086,0.29078516,0.46909943,0.04184074,0.14197093,0.22902764,0.36620554,0.18173692,0.3371876,0.2587301,0.42618257,0.38216272],[0.17430522,0.11964421,0.040439438,0.3969841,0.15629771,0.034880225,0.21113421,0.086407065,0.1073744,0.08126445,0.1826831,0.08906161,0.20812005,0.027344048,0.2105397,0.17412965,0.020867214,-0.014013442,0.30889213,0.076550595,0.3954329,0.26061854,0.050922558,0.18112548,0.07228331,0.10486679,0.4117508,0.36979187,1.0,0.38949025,0.020513255,0.38704386,0.26854062,0.19285825,0.04090851,0.035302762,0.11189074,0.13893712,0.19041835,0.036405668,0.46607044,0.06989453,0.00548475,0.06785057,0.05032296,0.20012933,0.19930595,0.38281724,0.16946992,0.24578261,0.05136634,0.068878345,0.06558129,0.2550498,0.120931625,0.1976686,0.24520224,0.29458204,0.27038744],[0.44833085,0.25129953,0.07176667,0.487004,0.20698543,0.05961974,0.398293,0.2161317,0.20463815,0.1919496,0.23934513,0.15114455,0.3410932,0.05379607,0.3441946,0.27518234,0.13040671,0.03356908,0.3522306,0.06490566,0.39013124,0.29089186,0.097886704,0.28056657,0.08297587,0.22857499,0.53240013,0.5254653,0.38949025,1.0,0.026812218,0.5099738,0.3301902,0.31472763,0.04489124,0.032531306,0.22903974,0.2665965,0.24495742,0.08712015,0.4301372,0.07941347,0.10830944,0.12936945,0.109048374,0.3735116,0.3197323,0.50520307,0.3034352,0.36476612,0.06473559,0.10715157,0.2077064,0.36543047,0.22951618,0.31931967,0.26529393,0.37820578,0.39658588],[0.09664128,0.11732159,0.04872398,0.004891051,0.005258511,0.029118108,0.08666217,0.11234039,0.013564673,0.09402683,0.061221194,0.03355292,0.08344504,0.30702692,0.10647436,0.07832818,0.06578725,0.41233557,-0.029282263,0.16245347,-0.03091307,0.06747609,0.13134651,0.08353291,0.09167201,0.055343743,0.01804348,0.009949415,0.020513255,0.026812218,1.0,0.07664426,0.05561929,0.07877092,0.31576818,0.44263995,0.023914205,0.06475415,0.07039756,0.26033136,0.06411737,0.15083618,0.08272657,0.07474769,0.11901885,0.049190138,0.028915746,0.052336283,0.09252827,0.030391136,0.3893183,0.047542106,0.055302408,0.006628398,0.10137699,0.08751341,0.051210653,0.01657844,0.025663476],[0.30196637,0.22978368,0.04189216,0.52945894,0.23356366,0.08956034,0.33198673,0.19858941,0.20788386,0.15499835,0.21409726,0.12551257,0.3331386,0.0605242,0.29049096,0.20338549,0.08521952,0.06776621,0.31727365,0.07206055,0.40349433,0.2799415,0.057656076,0.28982103,0.1231703,0.20235938,0.5597242,0.48720005,0.38704386,0.5099738,0.07664426,1.0,0.32819772,0.28112835,0.06567063,0.08015814,0.17065972,0.25559896,0.157835,0.09027746,0.46738172,0.063897446,0.05726672,0.14796448,0.084487274,0.28610143,0.2579623,0.6149831,0.27863607,0.34912246,0.12375406,0.13513255,0.19294806,0.36900923,0.17546523,0.2994278,0.27699387,0.36494964,0.39001602],[0.19476128,0.13224563,0.04530947,0.2559938,0.105211444,-0.01689756,0.22068276,0.10971255,0.21476322,0.18644848,0.13434663,0.16677205,0.2003357,0.0426414,0.20589966,0.20161387,0.16772255,0.045703832,0.25940686,-0.005796319,0.24744223,0.17652567,0.021644942,0.14438145,0.15468986,0.39562446,0.32983565,0.36534923,0.26854062,0.3301902,0.05561929,0.32819772,1.0,0.16974665,0.046746846,0.06184448,0.16715945,0.122657225,0.18277436,-0.0043930067,0.2942734,-0.011254797,0.11822828,0.114879444,0.030761579,0.20396914,0.19387071,0.2685889,0.19437598,0.22601563,0.072121896,0.048805706,0.27850983,0.25566268,0.22220342,0.21079846,0.23561652,0.32205036,0.28253457],[0.45068923,0.4687992,0.1214835,0.3102515,0.15255003,0.12580122,0.5183201,0.37212124,0.05825427,0.40697232,0.39552015,0.26248518,0.49137184,0.12640098,0.49854836,0.47497505,0.23667717,0.03498125,0.2698697,0.0946327,0.2736088,0.11863407,0.13937223,0.38528058,0.21575737,0.044888973,0.33743078,0.3237783,0.19285825,0.31472763,0.07877092,0.28112835,0.16974665,1.0,0.09543982,0.05490297,0.099916354,0.2696368,0.40175304,0.15525861,0.19535096,0.18072715,0.26411316,0.26467323,0.14342009,0.64671034,0.6102472,0.21219453,0.38943458,0.32464433,0.13950974,0.26061296,0.116483584,0.20739448,0.3786897,0.48931044,0.12319623,0.21383467,0.17939897],[0.13730615,0.13212422,0.094915055,0.04808809,0.03721305,0.13609755,0.110482775,0.112034306,0.007889109,0.111709185,0.11131076,0.0601454,0.10381844,0.38480848,0.12347774,0.11944839,0.10644768,0.27410004,0.08343614,0.17701577,0.019627945,0.06417513,0.18843628,0.12761296,0.1028858,0.027315712,0.04708898,0.08546351,0.04090851,0.04489124,0.31576818,0.06567063,0.046746846,0.09543982,1.0,0.3444013,-0.026372792,0.07709677,0.1337674,0.37131444,0.033298858,0.23621112,0.060302325,0.09565465,0.17895141,0.13123126,0.07800804,0.079770505,0.15852267,0.061140373,0.45050314,0.07814627,0.07262524,0.021275228,0.14185216,0.13428807,0.055262,0.057023384,0.079345495],[0.10514353,0.08752199,0.077587046,0.029196503,0.035090685,0.09606982,0.09294506,0.10828794,0.029668061,0.10762499,0.066500075,0.0410142,0.05432115,0.37526366,0.09567576,0.05122216,0.10195105,0.27940333,-0.023900593,0.18637526,-0.00636197,0.048707478,0.18678248,0.10061295,0.07795534,0.08181847,0.02482555,0.02150538,0.035302762,0.032531306,0.44263995,0.08015814,0.06184448,0.05490297,0.3444013,1.0,-0.005013226,0.10227792,0.04877782,0.26844725,0.061652012,0.17539982,0.04856633,0.069541655,0.17818011,0.05938694,0.028724976,0.05416689,0.091509,0.029599085,0.44056708,0.06627741,0.07220175,0.0078353165,0.11442189,0.07437405,0.0539621,0.047677625,0.030800143],[0.108049855,0.07184414,0.06316819,0.16148512,0.031156102,0.022934861,0.12530355,0.19156912,0.43334287,0.09608698,0.024806133,0.09473575,0.08548139,0.025283761,0.1258521,0.08625954,0.2444693,0.044223208,0.12553738,-0.0050917407,0.14541464,0.1533686,-0.032391448,0.12701933,0.09447268,0.20455185,0.17629097,0.23846191,0.11189074,0.22903974,0.023914205,0.17065972,0.16715945,0.099916354,-0.026372792,-0.005013226,1.0,0.14794247,0.09842036,0.049837377,0.1423626,-0.027349079,0.2418007,0.03028656,-0.02134824,0.10544555,0.113040134,0.21512496,0.07894242,0.1681744,0.019831553,0.038420375,0.25428864,0.2914445,0.13633108,0.10391732,0.18865477,0.19060285,0.15136585],[0.42113334,0.27331284,0.093412146,0.2864457,0.17763424,0.23145977,0.41222456,0.2771608,0.04864335,0.1919638,0.37030548,0.20357111,0.38078496,0.15754525,0.4066668,0.27002826,0.19305214,0.09807482,0.08643953,0.12275454,0.19464749,0.14560044,0.13997597,0.48624644,0.20084551,0.079690956,0.30829787,0.21099028,0.13893712,0.2665965,0.06475415,0.25559896,0.122657225,0.2696368,0.07709677,0.10227792,0.14794247,1.0,0.16973652,0.1468783,0.19784914,0.13221008,0.17100249,0.19718955,0.11923842,0.33015108,0.26830843,0.25864738,0.44577464,0.18319193,0.0781775,0.19795483,0.087411456,0.18182372,0.20582916,0.38096932,0.099746265,0.16572943,0.18613575],[0.31757814,0.4686896,0.12067817,0.21221629,0.12843105,0.1449145,0.42036217,0.2871537,0.0610333,0.29833162,0.30927646,0.22343177,0.33105004,0.12683548,0.34364292,0.75218767,0.19716154,0.02176218,0.526209,0.12983648,0.22791888,0.10864947,0.13725407,0.2894159,0.09336312,0.07242968,0.25294915,0.40174747,0.19041835,0.24495742,0.07039756,0.157835,0.18277436,0.40175304,0.1337674,0.04877782,0.09842036,0.16973652,1.0,0.15636978,0.15660578,0.19395602,0.18878391,0.2274763,0.12514576,0.41426188,0.44844133,0.13070026,0.29331183,0.30355898,0.11973667,0.276754,0.094737604,0.14879192,0.31459752,0.36121154,0.11690576,0.15191573,0.1986559],[0.21714398,0.16623355,0.11386463,0.09315408,0.08241095,0.24354164,0.2000265,0.21861146,0.0088093355,0.13282666,0.121679604,0.069757245,0.19569056,0.2972373,0.19472516,0.1639766,0.12027979,0.27460316,0.07677448,0.27847192,0.05939877,0.0919781,0.26027015,0.17108415,0.068916716,0.007920043,0.101362415,0.095094584,0.036405668,0.08712015,0.26033136,0.09027746,-0.0043930067,0.15525861,0.37131444,0.26844725,0.049837377,0.1468783,0.15636978,1.0,0.07205466,0.40416467,0.10251292,0.11826781,0.2682707,0.16086975,0.14585564,0.11367889,0.20876804,0.07925821,0.39116722,0.16341968,0.045189083,0.039049007,0.1270397,0.20100822,0.036682352,0.062715456,0.07559594],[0.20429349,0.13028964,0.030167788,0.42271778,0.16033295,0.041232754,0.24434972,0.108912565,0.16404073,0.13052484,0.2150763,0.07923016,0.22152151,0.07358008,0.24914658,0.14755505,0.024431892,0.02844804,0.2565012,0.083851665,0.34963104,0.25470525,0.08979403,0.2406651,0.06164797,0.17376053,0.4700591,0.39174896,0.46607044,0.4301372,0.06411737,0.46738172,0.2942734,0.19535096,0.033298858,0.061652012,0.1423626,0.19784914,0.15660578,0.07205466,1.0,0.060433473,0.009222205,0.12837152,0.09606817,0.20725445,0.19434464,0.48249692,0.24160345,0.25858006,0.034308117,0.058085147,0.14517134,0.2949114,0.14905256,0.20820068,0.27147692,0.314117,0.330756],[0.19614367,0.1866798,0.22901434,0.07556651,0.112823956,0.2926657,0.16238824,0.12764494,-0.046675574,0.16880907,0.1292793,0.08444558,0.16376218,0.16601305,0.1841743,0.17974474,0.099813744,0.13392948,0.060176782,0.3904253,0.10895331,0.07193704,0.4240244,0.1451531,0.0710842,-0.021485904,0.078522205,0.07391052,0.06989453,0.07941347,0.15083618,0.063897446,-0.011254797,0.18072715,0.23621112,0.17539982,-0.027349079,0.13221008,0.19395602,0.40416467,0.060433473,1.0,0.053210437,0.08956719,0.4424879,0.18309455,0.18350884,0.062310375,0.1450753,0.071035214,0.23048382,0.15745598,0.050562486,0.0212731,0.10844933,0.15700687,0.050516907,0.07364383,0.06764423],[0.24527168,0.18667169,0.04234715,0.057855826,0.09191894,0.039775115,0.2740753,0.39283246,0.22779897,0.20029984,0.2152591,0.2025082,0.21122454,0.097464606,0.22205701,0.26178026,0.55201733,0.05791869,0.029192178,0.0102453735,-0.020081667,-0.009713296,0.036306527,0.22902842,0.24785136,0.17302807,0.08775471,0.051769305,0.00548475,0.10830944,0.08272657,0.05726672,0.11822828,0.26411316,0.060302325,0.04856633,0.2418007,0.17100249,0.18878391,0.10251292,0.009222205,0.053210437,1.0,0.17922035,0.06150639,0.2363105,0.21441928,0.035175167,0.19916448,0.08456018,0.06136247,0.17028552,0.14068896,0.16873378,0.25075078,0.24245633,0.064276844,0.13734451,0.021870403],[0.3358664,0.21183583,0.07362551,0.15881817,0.13496628,0.06142514,0.28872693,0.3095879,0.050166782,0.2679534,0.20312512,0.23004958,0.26820096,0.12775573,0.23860087,0.2599194,0.194123,0.1193344,0.115883216,0.05021973,0.0997545,0.056328967,0.076327294,0.24088739,0.20232418,0.034679033,0.17952451,0.1411004,0.06785057,0.12936945,0.07474769,0.14796448,0.114879444,0.26467323,0.09565465,0.069541655,0.03028656,0.19718955,0.2274763,0.11826781,0.12837152,0.08956719,0.17922035,1.0,0.096725054,0.32718188,0.22937332,0.1145053,0.22724968,0.15463917,0.12707856,0.1482693,0.09441538,0.08318602,0.30099964,0.27029422,0.06642651,0.12082513,0.14964731],[0.17815195,0.17771262,0.20805001,0.100665,0.092396006,0.24364161,0.13911241,0.10563913,0.005195823,0.14833887,0.15040717,0.12330624,0.12838867,0.19487087,0.17102055,0.13124874,0.10610429,0.13886689,0.07734722,0.3714503,0.09114644,0.06206205,0.8151238,0.16453576,0.077815555,0.0363304,0.0961787,0.08886309,0.05032296,0.109048374,0.11901885,0.084487274,0.030761579,0.14342009,0.17895141,0.17818011,-0.02134824,0.11923842,0.12514576,0.2682707,0.09606817,0.4424879,0.06150639,0.096725054,1.0,0.13072611,0.18062244,0.06987813,0.16999258,0.08154404,0.17890501,0.15203172,0.011547638,0.050084144,0.10802802,0.14293568,0.06475188,0.07222197,0.07588039],[0.5114047,0.41083544,0.122271046,0.30723923,0.1658718,0.12618959,0.61443573,0.40558714,0.022300402,0.34899965,0.4006577,0.35326985,0.5640279,0.15233958,0.49871153,0.5177691,0.2383803,0.036565933,0.26809707,0.10639895,0.24963889,0.11580864,0.11106731,0.43203276,0.22803132,0.045732908,0.39872664,0.33624128,0.20012933,0.3735116,0.049190138,0.28610143,0.20396914,0.64671034,0.13123126,0.05938694,0.10544555,0.33015108,0.41426188,0.16086975,0.20725445,0.18309455,0.2363105,0.32718188,0.13072611,1.0,0.60986596,0.23078108,0.4435387,0.3177464,0.13961501,0.2337219,0.1425636,0.23917708,0.37982264,0.55766016,0.14698438,0.22030425,0.18250072],[0.41977122,0.4402563,0.18625234,0.30487245,0.20078865,0.19871105,0.4954197,0.33661464,0.06640819,0.32249165,0.40342185,0.23584695,0.4372496,0.14290033,0.44723776,0.48138264,0.24503411,0.004225091,0.32246202,0.114230804,0.2863646,0.11274094,0.13838473,0.39470315,0.1347776,0.06787803,0.34559307,0.35457623,0.19930595,0.3197323,0.028915746,0.2579623,0.19387071,0.6102472,0.07800804,0.028724976,0.113040134,0.26830843,0.44844133,0.14585564,0.19434464,0.18350884,0.21441928,0.22937332,0.18062244,0.60986596,1.0,0.18683995,0.37842825,0.32397628,0.12514895,0.23128551,0.078710735,0.2184798,0.3376983,0.44245362,0.12366873,0.25160655,0.18491417],[0.27303308,0.19515103,0.0499635,0.5066437,0.21013322,0.104511425,0.30816174,0.19430612,0.22393566,0.1407889,0.21381055,0.109791264,0.2740215,0.015531214,0.25356165,0.17927766,0.054117847,0.047844116,0.31496045,0.10793806,0.41648263,0.35903227,0.09131249,0.27781868,0.08235472,0.23352818,0.528257,0.50704086,0.38281724,0.50520307,0.052336283,0.6149831,0.2685889,0.21219453,0.079770505,0.05416689,0.21512496,0.25864738,0.13070026,0.11367889,0.48249692,0.062310375,0.035175167,0.1145053,0.06987813,0.23078108,0.18683995,1.0,0.28225467,0.37494585,0.13552183,0.124052994,0.19918226,0.3618276,0.1331151,0.2680677,0.26346418,0.41547903,0.34725687],[0.49752104,0.42039084,0.18200777,0.33334726,0.21844539,0.2694478,0.5206565,0.32963145,0.047395613,0.26642206,0.55656016,0.2188705,0.4827097,0.14235772,0.45268938,0.35125417,0.19423528,0.09631019,0.16499679,0.13309962,0.1890904,0.12374538,0.12603831,0.62871724,0.17664377,0.09475894,0.3538865,0.29078516,0.16946992,0.3034352,0.09252827,0.27863607,0.19437598,0.38943458,0.15852267,0.091509,0.07894242,0.44577464,0.29331183,0.20876804,0.24160345,0.1450753,0.19916448,0.22724968,0.16999258,0.4435387,0.37842825,0.28225467,1.0,0.28026068,0.16545591,0.25293052,0.070343114,0.19038513,0.2780478,0.47643918,0.07613077,0.19029231,0.21217006],[0.2843235,0.44327343,0.15071787,0.38759404,0.24097674,0.14724803,0.36164185,0.22059269,0.08881844,0.1921826,0.21651211,0.18843508,0.29230016,0.06622851,0.27799326,0.34412855,0.08577598,0.049683303,0.39414006,0.11719091,0.32060432,0.24924225,0.085493304,0.2697583,0.11338912,0.11599261,0.42440885,0.46909943,0.24578261,0.36476612,0.030391136,0.34912246,0.22601563,0.32464433,0.061140373,0.029599085,0.1681744,0.18319193,0.30355898,0.07925821,0.25858006,0.071035214,0.08456018,0.15463917,0.08154404,0.3177464,0.32397628,0.37494585,0.28026068,1.0,0.04889134,0.25123948,0.15305975,0.23407452,0.20727928,0.29366428,0.18174906,0.276111,0.29653567],[0.19002204,0.09788907,0.08954926,0.06974484,0.06815889,0.1384017,0.13901925,0.15196058,0.06657146,0.1622779,0.118296556,0.08995195,0.13997997,0.43034,0.13578808,0.11527468,0.106473856,0.29226112,0.0619539,0.25578865,0.037232157,0.06266552,0.18306065,0.13221139,0.11182416,0.048870955,0.07906252,0.04184074,0.05136634,0.06473559,0.3893183,0.12375406,0.072121896,0.13950974,0.45050314,0.44056708,0.019831553,0.0781775,0.11973667,0.39116722,0.034308117,0.23048382,0.06136247,0.12707856,0.17890501,0.13961501,0.12514895,0.13552183,0.16545591,0.04889134,1.0,0.12100472,0.08063619,0.01834058,0.15175621,0.1645381,0.06287218,0.058244064,0.045360923],[0.26021358,0.53149796,0.16476853,0.15581703,0.17733148,0.18846282,0.2913979,0.23455875,0.026704367,0.17713894,0.2413409,0.14838673,0.22272357,0.11684156,0.23492771,0.33345708,0.17579706,0.08664683,0.15446174,0.09668562,0.11236106,0.1115454,0.13014595,0.250801,0.11254,0.01775311,0.15911411,0.14197093,0.068878345,0.10715157,0.047542106,0.13513255,0.048805706,0.26061296,0.07814627,0.06627741,0.038420375,0.19795483,0.276754,0.16341968,0.058085147,0.15745598,0.17028552,0.1482693,0.15203172,0.2337219,0.23128551,0.124052994,0.25293052,0.25123948,0.12100472,1.0,0.021000797,0.08207536,0.208143,0.2519329,0.12261399,0.08833339,0.12705892],[0.11426086,0.07916192,0.008647056,0.12921235,0.058938865,-0.03449254,0.117634356,0.105778165,0.23524706,0.20932731,0.03733248,0.11391561,0.08043909,0.026498657,0.14558843,0.13301206,0.16068196,0.09248834,0.12144407,0.040059183,0.08504254,0.120834865,0.027415128,0.062013578,0.120494224,0.34159595,0.15995854,0.22902764,0.06558129,0.2077064,0.055302408,0.19294806,0.27850983,0.116483584,0.07262524,0.07220175,0.25428864,0.087411456,0.094737604,0.045189083,0.14517134,0.050562486,0.14068896,0.09441538,0.011547638,0.1425636,0.078710735,0.19918226,0.070343114,0.15305975,0.08063619,0.021000797,1.0,0.238921,0.26311207,0.10568072,0.15740016,0.2572615,0.19776575],[0.22955623,0.17980261,0.052148562,0.36848122,0.19347213,0.07227729,0.26557684,0.2370016,0.2707928,0.16019903,0.17562069,0.12679608,0.2548705,0.00056893355,0.23662041,0.17576396,0.15127167,-0.038159136,0.26062265,0.01890096,0.28739792,0.22621195,0.032643344,0.20112385,0.105912484,0.23954332,0.40712145,0.36620554,0.2550498,0.36543047,0.006628398,0.36900923,0.25566268,0.20739448,0.021275228,0.0078353165,0.2914445,0.18182372,0.14879192,0.039049007,0.2949114,0.0212731,0.16873378,0.08318602,0.050084144,0.23917708,0.2184798,0.3618276,0.19038513,0.23407452,0.01834058,0.08207536,0.238921,1.0,0.19698185,0.26423404,0.21570908,0.33386257,0.27207133],[0.34252146,0.29535085,0.09243966,0.17390521,0.07849945,0.029277531,0.3576253,0.34853014,0.12812741,0.5388105,0.2642412,0.27987033,0.30863494,0.18581581,0.35995936,0.37164956,0.30996668,0.103297204,0.17167673,0.076156124,0.10067172,0.09258253,0.08402278,0.26069716,0.30135944,0.16767223,0.18914604,0.18173692,0.120931625,0.22951618,0.10137699,0.17546523,0.22220342,0.3786897,0.14185216,0.11442189,0.13633108,0.20582916,0.31459752,0.1270397,0.14905256,0.10844933,0.25075078,0.30099964,0.10802802,0.37982264,0.3376983,0.1331151,0.2780478,0.20727928,0.15175621,0.208143,0.26311207,0.19698185,1.0,0.32504824,0.15105212,0.23276024,0.13475348],[0.50821435,0.3819308,0.12213162,0.3743258,0.21164237,0.18033718,0.6262405,0.40551424,0.08409664,0.33944756,0.40338552,0.26799858,0.6315838,0.15229863,0.44686198,0.45250982,0.21228243,0.08631616,0.22857767,0.16491829,0.22995755,0.14775845,0.12633875,0.49704754,0.2428904,0.11603997,0.40154514,0.3371876,0.1976686,0.31931967,0.08751341,0.2994278,0.21079846,0.48931044,0.13428807,0.07437405,0.10391732,0.38096932,0.36121154,0.20100822,0.20820068,0.15700687,0.24245633,0.27029422,0.14293568,0.55766016,0.44245362,0.2680677,0.47643918,0.29366428,0.1645381,0.2519329,0.10568072,0.26423404,0.32504824,1.0,0.17260855,0.25259912,0.19884156],[0.1348528,0.1447117,0.058911853,0.2211592,0.06800632,0.004694804,0.1702902,0.13743018,0.21326135,0.13867539,0.12999837,0.101600595,0.13432454,0.041690115,0.13839488,0.13976662,0.13016286,0.081012845,0.19618139,0.044695776,0.201784,0.1661641,0.072619386,0.11557376,0.09489744,0.17745325,0.25663683,0.2587301,0.24520224,0.26529393,0.051210653,0.27699387,0.23561652,0.12319623,0.055262,0.0539621,0.18865477,0.099746265,0.11690576,0.036682352,0.27147692,0.050516907,0.064276844,0.06642651,0.06475188,0.14698438,0.12366873,0.26346418,0.07613077,0.18174906,0.06287218,0.12261399,0.15740016,0.21570908,0.15105212,0.17260855,1.0,0.243697,0.19968481],[0.23994473,0.13327818,0.06341837,0.3627457,0.18918885,0.045758676,0.26158947,0.17352803,0.2557498,0.18218865,0.16020198,0.11065006,0.23396072,0.039329275,0.21527608,0.19685794,0.16751832,0.025230933,0.27153537,0.08319148,0.30975676,0.24044432,0.07767858,0.17788932,0.12021517,0.27866244,0.41644353,0.42618257,0.29458204,0.37820578,0.01657844,0.36494964,0.32205036,0.21383467,0.057023384,0.047677625,0.19060285,0.16572943,0.15191573,0.062715456,0.314117,0.07364383,0.13734451,0.12082513,0.07222197,0.22030425,0.25160655,0.41547903,0.19029231,0.276111,0.058244064,0.08833339,0.2572615,0.33386257,0.23276024,0.25259912,0.243697,1.0,0.35201043],[0.20664184,0.1998287,0.051414758,0.3501743,0.1311286,0.049816806,0.22947456,0.14339519,0.17553252,0.14585213,0.13960347,0.10826337,0.21090992,0.068738505,0.23560493,0.19933152,0.07052515,0.010673116,0.33577746,0.068182044,0.29358047,0.24662289,0.08101142,0.15613718,0.06506329,0.18448089,0.38840446,0.38216272,0.27038744,0.39658588,0.025663476,0.39001602,0.28253457,0.17939897,0.079345495,0.030800143,0.15136585,0.18613575,0.1986559,0.07559594,0.330756,0.06764423,0.021870403,0.14964731,0.07588039,0.18250072,0.18491417,0.34725687,0.21217006,0.29653567,0.045360923,0.12705892,0.19776575,0.27207133,0.13475348,0.19884156,0.19968481,0.35201043,1.0]],"^IDS":["ADEN-CH","AAL-GB","914-HK","APTV-US","ATHM-US","9888-HK","BAS-DE","BAYN-DE","BMY-US","BT.A-GB","BRBY-GB","CA-FR","CON-DE","4324-JP","WPP-GB","ENI-IT","GSK-GB","4544-JP","HAL-US","161390-KR","HPE-US","INTC-US","105560-KR","KER-FR","AD-NL","KHC-US","LEA-US","LYB-US","M-US","MAN-US","7459-JP","MHK-US","TAP-US","NWG-GB","7731-JP","9404-JP","PFE-US","PUM-DE","REP-ES","6963-JP","SBH-US","005935-KR","SAN-FR","SESG-FR","055550-KR","GLE-FR","STAN-GB","SWK-US","UHR-CH","TX-US","6995-JP","VAL-ZA","VZ-US","VTRS-US","VOD-GB","VOW3-DE","WBA-US","WU-US","WLY-US"],"DUMMY^FLOAT_ARRAY CORRELMATRIX=GET_FQL_ARRAY(IDS,'P_PRICE_RETURNS(0,45961,45961-5AY,D,USD)');'FDS CODE - DO NOT DELETE'":"FDS CODE - DO NOT DELETE","DUMMY^STRING_ARRAY IDS=TICKER_LIST('ADEN-CH AAL-GB 914-HK APTV-US ATHM-US 9888-HK BAS-DE BAYN-DE BMY-US BT.A-GB BRBY-GB CA-FR CON-DE 4324-JP WPP-GB ENI-IT GSK-GB 4544-JP HAL-US 161390-KR HPE-US INTC-US 105560-KR KER-FR AD-NL KHC-US LEA-US LYB-US M-US MAN-US 7459-JP MHK-US TAP-US NWG-GB 7731-JP 9404-JP PFE-US PUM-DE REP-ES 6963-JP SBH-US 005935-KR SAN-FR SESG-FR 055550-KR GLE-FR STAN-GB SWK-US UHR-CH TX-US 6995-JP VAL-ZA VZ-US VTRS-US VOD-GB VOW3-DE WBA-US WU-US WLY-US');\"FDS CODE - DO NOT DELETE\"":"FDS CODE - DO NOT DELETE","DUMMY^PROPER(\"CORRELATION OF DAILY DATA BETWEEN \") + FG_DATE(45961-5AY) + LOWERCASE(\" AND \") + FG_DATE(45961) + LOWERCASE(\":\")":"Correlation Of Daily Data Between 10/30/2020 and 10/31/2025:","ADEN-CH^FG_COMPANY_NAME":"Adecco Group AG","AAL-GB^FG_COMPANY_NAME":"Anglo American plc","914-HK^FG_COMPANY_NAME":"Anhui Conch Cement Company Limited Class H","APTV-US^FG_COMPANY_NAME":"Aptiv PLC","ATHM-US^FG_COMPANY_NAME":"Autohome Inc. Sponsored ADR Class A","9888-HK^FG_COMPANY_NAME":"Baidu, Inc. Class A","BAS-DE^FG_COMPANY_NAME":"BASF SE","BAYN-DE^FG_COMPANY_NAME":"Bayer AG","BMY-US^FG_COMPANY_NAME":"Bristol-Myers Squibb Company","BT.A-GB^FG_COMPANY_NAME":"BT Group plc","BRBY-GB^FG_COMPANY_NAME":"Burberry Group plc","CA-FR^FG_COMPANY_NAME":"Carrefour SA","CON-DE^FG_COMPANY_NAME":"Continental AG","4324-JP^FG_COMPANY_NAME":"Dentsu Group Inc.","WPP-GB^FG_COMPANY_NAME":"WPP Plc","ENI-IT^FG_COMPANY_NAME":"Eni S.p.A.","GSK-GB^FG_COMPANY_NAME":"GSK plc","4544-JP^FG_COMPANY_NAME":"H.U.Group Holdings, Inc.","HAL-US^FG_COMPANY_NAME":"Halliburton Company","161390-KR^FG_COMPANY_NAME":"HANKOOK TIRE & TECHNOLOGY Co., Ltd.","HPE-US^FG_COMPANY_NAME":"Hewlett Packard Enterprise Co.","INTC-US^FG_COMPANY_NAME":"Intel Corporation","105560-KR^FG_COMPANY_NAME":"KB Financial Group Inc.","KER-FR^FG_COMPANY_NAME":"Kering SA","AD-NL^FG_COMPANY_NAME":"Koninklijke Ahold Delhaize N.V.","KHC-US^FG_COMPANY_NAME":"Kraft Heinz Company","LEA-US^FG_COMPANY_NAME":"Lear Corporation","LYB-US^FG_COMPANY_NAME":"LyondellBasell Industries NV","M-US^FG_COMPANY_NAME":"Macy's, Inc.","MAN-US^FG_COMPANY_NAME":"ManpowerGroup Inc.","7459-JP^FG_COMPANY_NAME":"MEDIPAL HOLDINGS Corporation","MHK-US^FG_COMPANY_NAME":"Mohawk Industries, Inc.","TAP-US^FG_COMPANY_NAME":"Molson Coors Beverage Company Class B","NWG-GB^FG_COMPANY_NAME":"NatWest Group Plc","7731-JP^FG_COMPANY_NAME":"Nikon Corp.","9404-JP^FG_COMPANY_NAME":"Nippon Television Holdings, Inc.","PFE-US^FG_COMPANY_NAME":"Pfizer Inc.","PUM-DE^FG_COMPANY_NAME":"PUMA SE","REP-ES^FG_COMPANY_NAME":"Repsol SA","6963-JP^FG_COMPANY_NAME":"ROHM Company Limited","SBH-US^FG_COMPANY_NAME":"Sally Beauty Holdings, Inc.","005935-KR^FG_COMPANY_NAME":"Samsung Electronics Co Ltd Pfd  Non-Voting","SAN-FR^FG_COMPANY_NAME":"Sanofi SA","SESG-FR^FG_COMPANY_NAME":"SES SA FDR (Class A)","055550-KR^FG_COMPANY_NAME":"Shinhan Financial Group Co., Ltd.","GLE-FR^FG_COMPANY_NAME":"Societe Generale S.A. Class A","STAN-GB^FG_COMPANY_NAME":"Standard Chartered PLC","SWK-US^FG_COMPANY_NAME":"Stanley Black & Decker, Inc.","UHR-CH^FG_COMPANY_NAME":"Swatch Group Ltd. Bearer","TX-US^FG_COMPANY_NAME":"Ternium S.A. Sponsored ADR","6995-JP^FG_COMPANY_NAME":"TOKAI RIKA CO., LTD.","VAL-ZA^FG_COMPANY_NAME":"Valterra Platinum Limited","VZ-US^FG_COMPANY_NAME":"Verizon Communications Inc.","VTRS-US^FG_COMPANY_NAME":"Viatris, Inc.","VOD-GB^FG_COMPANY_NAME":"Vodafone Group Public Limited Company","VOW3-DE^FG_COMPANY_NAME":"Volkswagen AG Pref","WBA-US^FG_COMPANY_NAME":"Walgreens Boots Alliance, Inc.","WU-US^FG_COMPANY_NAME":"Western Union Company","WLY-US^FG_COMPANY_NAME":"John Wiley & Sons, Inc. Class A"}]]></FdsFormulaCache>
</file>

<file path=customXml/itemProps1.xml><?xml version="1.0" encoding="utf-8"?>
<ds:datastoreItem xmlns:ds="http://schemas.openxmlformats.org/officeDocument/2006/customXml" ds:itemID="{6FF76B61-9F3F-41A7-B8E3-F049AB47C016}">
  <ds:schemaRefs>
    <ds:schemaRef ds:uri="urn:fdsformulacache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 Matrix</vt:lpstr>
      <vt:lpstr>Backend</vt:lpstr>
      <vt:lpstr>Proof</vt:lpstr>
    </vt:vector>
  </TitlesOfParts>
  <Company>FactSet Research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Fortuna</dc:creator>
  <cp:lastModifiedBy>Ward, Meghan</cp:lastModifiedBy>
  <dcterms:created xsi:type="dcterms:W3CDTF">2017-11-20T14:02:05Z</dcterms:created>
  <dcterms:modified xsi:type="dcterms:W3CDTF">2025-12-09T09:21:09Z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_AdHocReviewCycleID">
    <vt:i4>-528403289</vt:i4>
  </property>
  <property fmtid="{D5CDD505-2E9C-101B-9397-08002B2CF9AE}" pid="4" name="_NewReviewCycle">
    <vt:lpwstr/>
  </property>
  <property fmtid="{D5CDD505-2E9C-101B-9397-08002B2CF9AE}" pid="5" name="_EmailSubject">
    <vt:lpwstr>Correlation matrix due today - please hand over if you cannot finish</vt:lpwstr>
  </property>
  <property fmtid="{D5CDD505-2E9C-101B-9397-08002B2CF9AE}" pid="6" name="_AuthorEmail">
    <vt:lpwstr>mward@brownadvisory.com</vt:lpwstr>
  </property>
  <property fmtid="{D5CDD505-2E9C-101B-9397-08002B2CF9AE}" pid="7" name="_AuthorEmailDisplayName">
    <vt:lpwstr>Ward, Meghan</vt:lpwstr>
  </property>
  <property fmtid="{D5CDD505-2E9C-101B-9397-08002B2CF9AE}" pid="8" name="_PreviousAdHocReviewCycleID">
    <vt:i4>-616084431</vt:i4>
  </property>
  <property fmtid="{D5CDD505-2E9C-101B-9397-08002B2CF9AE}" pid="9" name="_ReviewingToolsShownOnce">
    <vt:lpwstr/>
  </property>
</Properties>
</file>