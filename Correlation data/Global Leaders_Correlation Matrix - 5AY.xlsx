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\\bafs\BA Shared\CPR\CPR Institutional Reports\Ad Hoc Requests\London Requests\A Meghan\"/>
    </mc:Choice>
  </mc:AlternateContent>
  <xr:revisionPtr revIDLastSave="0" documentId="13_ncr:1_{865CED29-1D5C-4F75-9954-42C7FE68BDE4}" xr6:coauthVersionLast="47" xr6:coauthVersionMax="47" xr10:uidLastSave="{00000000-0000-0000-0000-000000000000}"/>
  <bookViews>
    <workbookView xWindow="-28920" yWindow="-120" windowWidth="29040" windowHeight="15720" firstSheet="1" activeTab="2" xr2:uid="{00000000-000D-0000-FFFF-FFFF00000000}"/>
  </bookViews>
  <sheets>
    <sheet name="__FDSCACHE__" sheetId="2" state="veryHidden" r:id="rId1"/>
    <sheet name="Correlation Matrix" sheetId="5" r:id="rId2"/>
    <sheet name="Backend" sheetId="1" r:id="rId3"/>
    <sheet name="Proof" sheetId="4" r:id="rId4"/>
    <sheet name="__APW_ACTIVE_FIELD_RESTORE__" sheetId="3" state="veryHidden" r:id="rId5"/>
  </sheets>
  <definedNames>
    <definedName name="__APW_RESTORE_DATA0__" hidden="1">Backend!#REF!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9" i="1" l="1" a="1"/>
  <c r="AH29" i="1" l="1"/>
  <c r="AG29" i="1" a="1"/>
  <c r="AG29" i="1" l="1"/>
  <c r="AF29" i="1" a="1"/>
  <c r="AF29" i="1" l="1"/>
  <c r="AE29" i="1" a="1"/>
  <c r="AE29" i="1" l="1"/>
  <c r="AD29" i="1" a="1"/>
  <c r="AD29" i="1" l="1"/>
  <c r="AC29" i="1" a="1"/>
  <c r="AC29" i="1" l="1"/>
  <c r="AB29" i="1" a="1"/>
  <c r="AB29" i="1" l="1"/>
  <c r="AA29" i="1" a="1"/>
  <c r="AA29" i="1" l="1"/>
  <c r="Z29" i="1" a="1"/>
  <c r="Z29" i="1" l="1"/>
  <c r="Y29" i="1" a="1"/>
  <c r="Y29" i="1" l="1"/>
  <c r="X29" i="1" a="1"/>
  <c r="X29" i="1" l="1"/>
  <c r="W29" i="1" a="1"/>
  <c r="W29" i="1" l="1"/>
  <c r="V29" i="1" a="1"/>
  <c r="V29" i="1" l="1"/>
  <c r="U29" i="1" a="1"/>
  <c r="U29" i="1" l="1"/>
  <c r="T29" i="1" a="1"/>
  <c r="T29" i="1" l="1"/>
  <c r="S29" i="1" a="1"/>
  <c r="S29" i="1" l="1"/>
  <c r="R29" i="1" a="1"/>
  <c r="R29" i="1" l="1"/>
  <c r="Q29" i="1" a="1"/>
  <c r="Q29" i="1" l="1"/>
  <c r="P29" i="1" a="1"/>
  <c r="P29" i="1" l="1"/>
  <c r="O29" i="1" a="1"/>
  <c r="O29" i="1" l="1"/>
  <c r="N29" i="1" a="1"/>
  <c r="N29" i="1" l="1"/>
  <c r="M29" i="1" a="1"/>
  <c r="M29" i="1" l="1"/>
  <c r="L29" i="1" a="1"/>
  <c r="L29" i="1" l="1"/>
  <c r="K29" i="1" a="1"/>
  <c r="K29" i="1" l="1"/>
  <c r="J29" i="1" a="1"/>
  <c r="J29" i="1" l="1"/>
  <c r="I29" i="1" a="1"/>
  <c r="I29" i="1" l="1"/>
  <c r="H29" i="1" a="1"/>
  <c r="H29" i="1" l="1"/>
  <c r="G29" i="1" a="1"/>
  <c r="G29" i="1" l="1"/>
  <c r="F29" i="1" a="1"/>
  <c r="F29" i="1" l="1"/>
  <c r="E29" i="1" a="1"/>
  <c r="E29" i="1" l="1"/>
  <c r="D29" i="1" a="1"/>
  <c r="D29" i="1" l="1"/>
  <c r="C29" i="1" a="1"/>
  <c r="C29" i="1" l="1"/>
  <c r="A62" i="1" a="1"/>
  <c r="A62" i="1" l="1"/>
  <c r="A61" i="1" a="1"/>
  <c r="A61" i="1" l="1"/>
  <c r="A60" i="1" a="1"/>
  <c r="A60" i="1" l="1"/>
  <c r="A59" i="1" a="1"/>
  <c r="A59" i="1" l="1"/>
  <c r="A58" i="1" a="1"/>
  <c r="A58" i="1" l="1"/>
  <c r="A57" i="1" a="1"/>
  <c r="A57" i="1" l="1"/>
  <c r="A56" i="1" a="1"/>
  <c r="A56" i="1" l="1"/>
  <c r="A55" i="1" a="1"/>
  <c r="A55" i="1" l="1"/>
  <c r="A54" i="1" a="1"/>
  <c r="A54" i="1" l="1"/>
  <c r="A53" i="1" a="1"/>
  <c r="A53" i="1" l="1"/>
  <c r="A52" i="1" a="1"/>
  <c r="A52" i="1" l="1"/>
  <c r="A51" i="1" a="1"/>
  <c r="A51" i="1" l="1"/>
  <c r="A50" i="1" a="1"/>
  <c r="A50" i="1" l="1"/>
  <c r="A49" i="1" a="1"/>
  <c r="A49" i="1" l="1"/>
  <c r="A48" i="1" a="1"/>
  <c r="A48" i="1" l="1"/>
  <c r="A47" i="1" a="1"/>
  <c r="A47" i="1" l="1"/>
  <c r="A46" i="1" a="1"/>
  <c r="A46" i="1" l="1"/>
  <c r="A45" i="1" a="1"/>
  <c r="A45" i="1" l="1"/>
  <c r="A44" i="1" a="1"/>
  <c r="A44" i="1" l="1"/>
  <c r="A43" i="1" a="1"/>
  <c r="A43" i="1" l="1"/>
  <c r="A42" i="1" a="1"/>
  <c r="A42" i="1" l="1"/>
  <c r="A41" i="1" a="1"/>
  <c r="A41" i="1" l="1"/>
  <c r="A40" i="1" a="1"/>
  <c r="A40" i="1" l="1"/>
  <c r="A39" i="1" a="1"/>
  <c r="A39" i="1" l="1"/>
  <c r="A38" i="1" a="1"/>
  <c r="A38" i="1" l="1"/>
  <c r="A37" i="1" a="1"/>
  <c r="A37" i="1" l="1"/>
  <c r="A36" i="1" a="1"/>
  <c r="A36" i="1" l="1"/>
  <c r="A35" i="1" a="1"/>
  <c r="A35" i="1" l="1"/>
  <c r="A34" i="1" a="1"/>
  <c r="A34" i="1" l="1"/>
  <c r="A33" i="1" a="1"/>
  <c r="A33" i="1" l="1"/>
  <c r="A32" i="1" a="1"/>
  <c r="A32" i="1" l="1"/>
  <c r="A31" i="1" a="1"/>
  <c r="H7" i="4" a="1"/>
  <c r="A31" i="1" l="1"/>
  <c r="H7" i="4"/>
  <c r="D7" i="4" a="1"/>
  <c r="D1250" i="4" l="1"/>
  <c r="D1236" i="4"/>
  <c r="D1222" i="4"/>
  <c r="D1208" i="4"/>
  <c r="D1194" i="4"/>
  <c r="D1180" i="4"/>
  <c r="D1166" i="4"/>
  <c r="D1152" i="4"/>
  <c r="D1138" i="4"/>
  <c r="D1124" i="4"/>
  <c r="D1110" i="4"/>
  <c r="D1096" i="4"/>
  <c r="D1082" i="4"/>
  <c r="D1068" i="4"/>
  <c r="D1054" i="4"/>
  <c r="D1040" i="4"/>
  <c r="D1026" i="4"/>
  <c r="D1012" i="4"/>
  <c r="D998" i="4"/>
  <c r="D984" i="4"/>
  <c r="D970" i="4"/>
  <c r="D956" i="4"/>
  <c r="D942" i="4"/>
  <c r="D928" i="4"/>
  <c r="D914" i="4"/>
  <c r="D900" i="4"/>
  <c r="D886" i="4"/>
  <c r="D872" i="4"/>
  <c r="D858" i="4"/>
  <c r="D844" i="4"/>
  <c r="D830" i="4"/>
  <c r="D816" i="4"/>
  <c r="D802" i="4"/>
  <c r="D788" i="4"/>
  <c r="D774" i="4"/>
  <c r="D760" i="4"/>
  <c r="D1263" i="4"/>
  <c r="D1249" i="4"/>
  <c r="D1235" i="4"/>
  <c r="D1221" i="4"/>
  <c r="D1207" i="4"/>
  <c r="D1193" i="4"/>
  <c r="D1179" i="4"/>
  <c r="D1165" i="4"/>
  <c r="D1151" i="4"/>
  <c r="D1137" i="4"/>
  <c r="D1123" i="4"/>
  <c r="D1109" i="4"/>
  <c r="D1095" i="4"/>
  <c r="D1081" i="4"/>
  <c r="D1067" i="4"/>
  <c r="D1053" i="4"/>
  <c r="D1039" i="4"/>
  <c r="D1025" i="4"/>
  <c r="D1011" i="4"/>
  <c r="D997" i="4"/>
  <c r="D983" i="4"/>
  <c r="D969" i="4"/>
  <c r="D955" i="4"/>
  <c r="D941" i="4"/>
  <c r="D927" i="4"/>
  <c r="D913" i="4"/>
  <c r="D899" i="4"/>
  <c r="D885" i="4"/>
  <c r="D871" i="4"/>
  <c r="D857" i="4"/>
  <c r="D843" i="4"/>
  <c r="D829" i="4"/>
  <c r="D815" i="4"/>
  <c r="D801" i="4"/>
  <c r="D787" i="4"/>
  <c r="D773" i="4"/>
  <c r="D759" i="4"/>
  <c r="D745" i="4"/>
  <c r="D731" i="4"/>
  <c r="D717" i="4"/>
  <c r="D703" i="4"/>
  <c r="D689" i="4"/>
  <c r="D675" i="4"/>
  <c r="D661" i="4"/>
  <c r="D647" i="4"/>
  <c r="D633" i="4"/>
  <c r="D619" i="4"/>
  <c r="D605" i="4"/>
  <c r="D591" i="4"/>
  <c r="D577" i="4"/>
  <c r="D563" i="4"/>
  <c r="D549" i="4"/>
  <c r="D535" i="4"/>
  <c r="D521" i="4"/>
  <c r="D1262" i="4"/>
  <c r="D1248" i="4"/>
  <c r="D1234" i="4"/>
  <c r="D1220" i="4"/>
  <c r="D1206" i="4"/>
  <c r="D1192" i="4"/>
  <c r="D1178" i="4"/>
  <c r="D1164" i="4"/>
  <c r="D1150" i="4"/>
  <c r="D1136" i="4"/>
  <c r="D1122" i="4"/>
  <c r="D1108" i="4"/>
  <c r="D1094" i="4"/>
  <c r="D1080" i="4"/>
  <c r="D1066" i="4"/>
  <c r="D1052" i="4"/>
  <c r="D1038" i="4"/>
  <c r="D1024" i="4"/>
  <c r="D1010" i="4"/>
  <c r="D996" i="4"/>
  <c r="D982" i="4"/>
  <c r="D968" i="4"/>
  <c r="D954" i="4"/>
  <c r="D940" i="4"/>
  <c r="D926" i="4"/>
  <c r="D912" i="4"/>
  <c r="D898" i="4"/>
  <c r="D884" i="4"/>
  <c r="D870" i="4"/>
  <c r="D856" i="4"/>
  <c r="D842" i="4"/>
  <c r="D828" i="4"/>
  <c r="D814" i="4"/>
  <c r="D800" i="4"/>
  <c r="D786" i="4"/>
  <c r="D772" i="4"/>
  <c r="D758" i="4"/>
  <c r="D744" i="4"/>
  <c r="D730" i="4"/>
  <c r="D716" i="4"/>
  <c r="D702" i="4"/>
  <c r="D688" i="4"/>
  <c r="D674" i="4"/>
  <c r="D660" i="4"/>
  <c r="D646" i="4"/>
  <c r="D632" i="4"/>
  <c r="D618" i="4"/>
  <c r="D604" i="4"/>
  <c r="D590" i="4"/>
  <c r="D576" i="4"/>
  <c r="D562" i="4"/>
  <c r="D548" i="4"/>
  <c r="D1261" i="4"/>
  <c r="D1247" i="4"/>
  <c r="D1233" i="4"/>
  <c r="D1219" i="4"/>
  <c r="D1205" i="4"/>
  <c r="D1191" i="4"/>
  <c r="D1177" i="4"/>
  <c r="D1163" i="4"/>
  <c r="D1149" i="4"/>
  <c r="D1135" i="4"/>
  <c r="D1121" i="4"/>
  <c r="D1107" i="4"/>
  <c r="D1093" i="4"/>
  <c r="D1079" i="4"/>
  <c r="D1065" i="4"/>
  <c r="D1051" i="4"/>
  <c r="D1037" i="4"/>
  <c r="D1023" i="4"/>
  <c r="D1009" i="4"/>
  <c r="D995" i="4"/>
  <c r="D981" i="4"/>
  <c r="D967" i="4"/>
  <c r="D953" i="4"/>
  <c r="D939" i="4"/>
  <c r="D925" i="4"/>
  <c r="D911" i="4"/>
  <c r="D897" i="4"/>
  <c r="D883" i="4"/>
  <c r="D869" i="4"/>
  <c r="D855" i="4"/>
  <c r="D841" i="4"/>
  <c r="D827" i="4"/>
  <c r="D813" i="4"/>
  <c r="D799" i="4"/>
  <c r="D785" i="4"/>
  <c r="D771" i="4"/>
  <c r="D757" i="4"/>
  <c r="D743" i="4"/>
  <c r="D729" i="4"/>
  <c r="D715" i="4"/>
  <c r="D701" i="4"/>
  <c r="D687" i="4"/>
  <c r="D673" i="4"/>
  <c r="D659" i="4"/>
  <c r="D645" i="4"/>
  <c r="D631" i="4"/>
  <c r="D617" i="4"/>
  <c r="D603" i="4"/>
  <c r="D589" i="4"/>
  <c r="D575" i="4"/>
  <c r="D561" i="4"/>
  <c r="D547" i="4"/>
  <c r="D533" i="4"/>
  <c r="D1259" i="4"/>
  <c r="D1245" i="4"/>
  <c r="D1231" i="4"/>
  <c r="D1217" i="4"/>
  <c r="D1203" i="4"/>
  <c r="D1189" i="4"/>
  <c r="D1175" i="4"/>
  <c r="D1161" i="4"/>
  <c r="D1147" i="4"/>
  <c r="D1133" i="4"/>
  <c r="D1119" i="4"/>
  <c r="D1105" i="4"/>
  <c r="D1091" i="4"/>
  <c r="D1077" i="4"/>
  <c r="D1063" i="4"/>
  <c r="D1049" i="4"/>
  <c r="D1035" i="4"/>
  <c r="D1021" i="4"/>
  <c r="D1007" i="4"/>
  <c r="D993" i="4"/>
  <c r="D979" i="4"/>
  <c r="D965" i="4"/>
  <c r="D951" i="4"/>
  <c r="D937" i="4"/>
  <c r="D923" i="4"/>
  <c r="D909" i="4"/>
  <c r="D895" i="4"/>
  <c r="D881" i="4"/>
  <c r="D867" i="4"/>
  <c r="D853" i="4"/>
  <c r="D839" i="4"/>
  <c r="D825" i="4"/>
  <c r="D811" i="4"/>
  <c r="D797" i="4"/>
  <c r="D783" i="4"/>
  <c r="D769" i="4"/>
  <c r="D755" i="4"/>
  <c r="D741" i="4"/>
  <c r="D727" i="4"/>
  <c r="D713" i="4"/>
  <c r="D699" i="4"/>
  <c r="D685" i="4"/>
  <c r="D671" i="4"/>
  <c r="D657" i="4"/>
  <c r="D643" i="4"/>
  <c r="D629" i="4"/>
  <c r="D615" i="4"/>
  <c r="D601" i="4"/>
  <c r="D587" i="4"/>
  <c r="D573" i="4"/>
  <c r="D559" i="4"/>
  <c r="D545" i="4"/>
  <c r="D531" i="4"/>
  <c r="D517" i="4"/>
  <c r="D503" i="4"/>
  <c r="D489" i="4"/>
  <c r="D475" i="4"/>
  <c r="D461" i="4"/>
  <c r="D447" i="4"/>
  <c r="D433" i="4"/>
  <c r="D419" i="4"/>
  <c r="D405" i="4"/>
  <c r="D391" i="4"/>
  <c r="D377" i="4"/>
  <c r="D363" i="4"/>
  <c r="D349" i="4"/>
  <c r="D335" i="4"/>
  <c r="D321" i="4"/>
  <c r="D307" i="4"/>
  <c r="D293" i="4"/>
  <c r="D279" i="4"/>
  <c r="D265" i="4"/>
  <c r="D251" i="4"/>
  <c r="D237" i="4"/>
  <c r="D223" i="4"/>
  <c r="D209" i="4"/>
  <c r="D195" i="4"/>
  <c r="D181" i="4"/>
  <c r="D167" i="4"/>
  <c r="D153" i="4"/>
  <c r="D139" i="4"/>
  <c r="D125" i="4"/>
  <c r="D111" i="4"/>
  <c r="D97" i="4"/>
  <c r="D83" i="4"/>
  <c r="D1241" i="4"/>
  <c r="D1218" i="4"/>
  <c r="D1198" i="4"/>
  <c r="D1174" i="4"/>
  <c r="D1155" i="4"/>
  <c r="D1131" i="4"/>
  <c r="D1112" i="4"/>
  <c r="D1088" i="4"/>
  <c r="D1069" i="4"/>
  <c r="D1045" i="4"/>
  <c r="D1022" i="4"/>
  <c r="D1002" i="4"/>
  <c r="D978" i="4"/>
  <c r="D959" i="4"/>
  <c r="D935" i="4"/>
  <c r="D916" i="4"/>
  <c r="D892" i="4"/>
  <c r="D873" i="4"/>
  <c r="D849" i="4"/>
  <c r="D826" i="4"/>
  <c r="D806" i="4"/>
  <c r="D782" i="4"/>
  <c r="D763" i="4"/>
  <c r="D740" i="4"/>
  <c r="D722" i="4"/>
  <c r="D704" i="4"/>
  <c r="D682" i="4"/>
  <c r="D664" i="4"/>
  <c r="D642" i="4"/>
  <c r="D624" i="4"/>
  <c r="D606" i="4"/>
  <c r="D584" i="4"/>
  <c r="D566" i="4"/>
  <c r="D544" i="4"/>
  <c r="D527" i="4"/>
  <c r="D511" i="4"/>
  <c r="D496" i="4"/>
  <c r="D481" i="4"/>
  <c r="D466" i="4"/>
  <c r="D451" i="4"/>
  <c r="D436" i="4"/>
  <c r="D421" i="4"/>
  <c r="D406" i="4"/>
  <c r="D390" i="4"/>
  <c r="D375" i="4"/>
  <c r="D360" i="4"/>
  <c r="D345" i="4"/>
  <c r="D330" i="4"/>
  <c r="D315" i="4"/>
  <c r="D300" i="4"/>
  <c r="D285" i="4"/>
  <c r="D270" i="4"/>
  <c r="D255" i="4"/>
  <c r="D240" i="4"/>
  <c r="D225" i="4"/>
  <c r="D210" i="4"/>
  <c r="D194" i="4"/>
  <c r="D179" i="4"/>
  <c r="D164" i="4"/>
  <c r="D149" i="4"/>
  <c r="D134" i="4"/>
  <c r="D119" i="4"/>
  <c r="D104" i="4"/>
  <c r="D89" i="4"/>
  <c r="D74" i="4"/>
  <c r="D60" i="4"/>
  <c r="D46" i="4"/>
  <c r="D32" i="4"/>
  <c r="D18" i="4"/>
  <c r="D254" i="4"/>
  <c r="D193" i="4"/>
  <c r="D163" i="4"/>
  <c r="D133" i="4"/>
  <c r="D103" i="4"/>
  <c r="D73" i="4"/>
  <c r="D45" i="4"/>
  <c r="D17" i="4"/>
  <c r="D72" i="4"/>
  <c r="D30" i="4"/>
  <c r="D29" i="4"/>
  <c r="D1213" i="4"/>
  <c r="D1260" i="4"/>
  <c r="D1240" i="4"/>
  <c r="D1216" i="4"/>
  <c r="D1197" i="4"/>
  <c r="D1173" i="4"/>
  <c r="D1154" i="4"/>
  <c r="D1130" i="4"/>
  <c r="D1111" i="4"/>
  <c r="D1087" i="4"/>
  <c r="D1064" i="4"/>
  <c r="D1044" i="4"/>
  <c r="D1020" i="4"/>
  <c r="D1001" i="4"/>
  <c r="D977" i="4"/>
  <c r="D958" i="4"/>
  <c r="D934" i="4"/>
  <c r="D915" i="4"/>
  <c r="D891" i="4"/>
  <c r="D868" i="4"/>
  <c r="D848" i="4"/>
  <c r="D824" i="4"/>
  <c r="D805" i="4"/>
  <c r="D781" i="4"/>
  <c r="D762" i="4"/>
  <c r="D739" i="4"/>
  <c r="D721" i="4"/>
  <c r="D700" i="4"/>
  <c r="D681" i="4"/>
  <c r="D663" i="4"/>
  <c r="D641" i="4"/>
  <c r="D623" i="4"/>
  <c r="D602" i="4"/>
  <c r="D583" i="4"/>
  <c r="D565" i="4"/>
  <c r="D543" i="4"/>
  <c r="D526" i="4"/>
  <c r="D510" i="4"/>
  <c r="D495" i="4"/>
  <c r="D480" i="4"/>
  <c r="D465" i="4"/>
  <c r="D450" i="4"/>
  <c r="D435" i="4"/>
  <c r="D420" i="4"/>
  <c r="D404" i="4"/>
  <c r="D389" i="4"/>
  <c r="D374" i="4"/>
  <c r="D359" i="4"/>
  <c r="D344" i="4"/>
  <c r="D329" i="4"/>
  <c r="D314" i="4"/>
  <c r="D299" i="4"/>
  <c r="D284" i="4"/>
  <c r="D269" i="4"/>
  <c r="D239" i="4"/>
  <c r="D224" i="4"/>
  <c r="D208" i="4"/>
  <c r="D178" i="4"/>
  <c r="D148" i="4"/>
  <c r="D118" i="4"/>
  <c r="D88" i="4"/>
  <c r="D59" i="4"/>
  <c r="D31" i="4"/>
  <c r="D87" i="4"/>
  <c r="D44" i="4"/>
  <c r="D57" i="4"/>
  <c r="D15" i="4"/>
  <c r="D1190" i="4"/>
  <c r="D1127" i="4"/>
  <c r="D1060" i="4"/>
  <c r="D994" i="4"/>
  <c r="D931" i="4"/>
  <c r="D864" i="4"/>
  <c r="D798" i="4"/>
  <c r="D736" i="4"/>
  <c r="D678" i="4"/>
  <c r="D620" i="4"/>
  <c r="D558" i="4"/>
  <c r="D507" i="4"/>
  <c r="D462" i="4"/>
  <c r="D416" i="4"/>
  <c r="D356" i="4"/>
  <c r="D311" i="4"/>
  <c r="D266" i="4"/>
  <c r="D220" i="4"/>
  <c r="D175" i="4"/>
  <c r="D1258" i="4"/>
  <c r="D1239" i="4"/>
  <c r="D1215" i="4"/>
  <c r="D1196" i="4"/>
  <c r="D1172" i="4"/>
  <c r="D1153" i="4"/>
  <c r="D1129" i="4"/>
  <c r="D1106" i="4"/>
  <c r="D1086" i="4"/>
  <c r="D1062" i="4"/>
  <c r="D1043" i="4"/>
  <c r="D1019" i="4"/>
  <c r="D1000" i="4"/>
  <c r="D976" i="4"/>
  <c r="D957" i="4"/>
  <c r="D933" i="4"/>
  <c r="D910" i="4"/>
  <c r="D890" i="4"/>
  <c r="D866" i="4"/>
  <c r="D847" i="4"/>
  <c r="D823" i="4"/>
  <c r="D804" i="4"/>
  <c r="D780" i="4"/>
  <c r="D761" i="4"/>
  <c r="D738" i="4"/>
  <c r="D720" i="4"/>
  <c r="D698" i="4"/>
  <c r="D680" i="4"/>
  <c r="D662" i="4"/>
  <c r="D640" i="4"/>
  <c r="D622" i="4"/>
  <c r="D600" i="4"/>
  <c r="D582" i="4"/>
  <c r="D564" i="4"/>
  <c r="D542" i="4"/>
  <c r="D525" i="4"/>
  <c r="D509" i="4"/>
  <c r="D494" i="4"/>
  <c r="D479" i="4"/>
  <c r="D464" i="4"/>
  <c r="D449" i="4"/>
  <c r="D434" i="4"/>
  <c r="D418" i="4"/>
  <c r="D403" i="4"/>
  <c r="D388" i="4"/>
  <c r="D373" i="4"/>
  <c r="D358" i="4"/>
  <c r="D343" i="4"/>
  <c r="D328" i="4"/>
  <c r="D313" i="4"/>
  <c r="D298" i="4"/>
  <c r="D283" i="4"/>
  <c r="D268" i="4"/>
  <c r="D253" i="4"/>
  <c r="D238" i="4"/>
  <c r="D222" i="4"/>
  <c r="D207" i="4"/>
  <c r="D192" i="4"/>
  <c r="D177" i="4"/>
  <c r="D162" i="4"/>
  <c r="D147" i="4"/>
  <c r="D132" i="4"/>
  <c r="D117" i="4"/>
  <c r="D102" i="4"/>
  <c r="D58" i="4"/>
  <c r="D16" i="4"/>
  <c r="D1256" i="4"/>
  <c r="D1170" i="4"/>
  <c r="D1103" i="4"/>
  <c r="D1041" i="4"/>
  <c r="D974" i="4"/>
  <c r="D907" i="4"/>
  <c r="D845" i="4"/>
  <c r="D778" i="4"/>
  <c r="D718" i="4"/>
  <c r="D656" i="4"/>
  <c r="D598" i="4"/>
  <c r="D540" i="4"/>
  <c r="D492" i="4"/>
  <c r="D446" i="4"/>
  <c r="D401" i="4"/>
  <c r="D341" i="4"/>
  <c r="D296" i="4"/>
  <c r="D250" i="4"/>
  <c r="D205" i="4"/>
  <c r="D1257" i="4"/>
  <c r="D1238" i="4"/>
  <c r="D1214" i="4"/>
  <c r="D1195" i="4"/>
  <c r="D1171" i="4"/>
  <c r="D1148" i="4"/>
  <c r="D1128" i="4"/>
  <c r="D1104" i="4"/>
  <c r="D1085" i="4"/>
  <c r="D1061" i="4"/>
  <c r="D1042" i="4"/>
  <c r="D1018" i="4"/>
  <c r="D999" i="4"/>
  <c r="D975" i="4"/>
  <c r="D952" i="4"/>
  <c r="D932" i="4"/>
  <c r="D908" i="4"/>
  <c r="D889" i="4"/>
  <c r="D865" i="4"/>
  <c r="D846" i="4"/>
  <c r="D822" i="4"/>
  <c r="D803" i="4"/>
  <c r="D779" i="4"/>
  <c r="D756" i="4"/>
  <c r="D737" i="4"/>
  <c r="D719" i="4"/>
  <c r="D697" i="4"/>
  <c r="D679" i="4"/>
  <c r="D658" i="4"/>
  <c r="D639" i="4"/>
  <c r="D621" i="4"/>
  <c r="D599" i="4"/>
  <c r="D581" i="4"/>
  <c r="D560" i="4"/>
  <c r="D541" i="4"/>
  <c r="D524" i="4"/>
  <c r="D508" i="4"/>
  <c r="D493" i="4"/>
  <c r="D478" i="4"/>
  <c r="D463" i="4"/>
  <c r="D448" i="4"/>
  <c r="D432" i="4"/>
  <c r="D417" i="4"/>
  <c r="D402" i="4"/>
  <c r="D387" i="4"/>
  <c r="D372" i="4"/>
  <c r="D357" i="4"/>
  <c r="D342" i="4"/>
  <c r="D327" i="4"/>
  <c r="D312" i="4"/>
  <c r="D297" i="4"/>
  <c r="D282" i="4"/>
  <c r="D267" i="4"/>
  <c r="D252" i="4"/>
  <c r="D236" i="4"/>
  <c r="D221" i="4"/>
  <c r="D206" i="4"/>
  <c r="D191" i="4"/>
  <c r="D176" i="4"/>
  <c r="D161" i="4"/>
  <c r="D146" i="4"/>
  <c r="D131" i="4"/>
  <c r="D116" i="4"/>
  <c r="D101" i="4"/>
  <c r="D86" i="4"/>
  <c r="D71" i="4"/>
  <c r="D43" i="4"/>
  <c r="D1237" i="4"/>
  <c r="D1146" i="4"/>
  <c r="D1084" i="4"/>
  <c r="D1017" i="4"/>
  <c r="D950" i="4"/>
  <c r="D888" i="4"/>
  <c r="D821" i="4"/>
  <c r="D754" i="4"/>
  <c r="D696" i="4"/>
  <c r="D638" i="4"/>
  <c r="D580" i="4"/>
  <c r="D523" i="4"/>
  <c r="D477" i="4"/>
  <c r="D431" i="4"/>
  <c r="D371" i="4"/>
  <c r="D326" i="4"/>
  <c r="D281" i="4"/>
  <c r="D235" i="4"/>
  <c r="D1255" i="4"/>
  <c r="D1232" i="4"/>
  <c r="D1212" i="4"/>
  <c r="D1188" i="4"/>
  <c r="D1169" i="4"/>
  <c r="D1145" i="4"/>
  <c r="D1126" i="4"/>
  <c r="D1102" i="4"/>
  <c r="D1083" i="4"/>
  <c r="D1059" i="4"/>
  <c r="D1036" i="4"/>
  <c r="D1016" i="4"/>
  <c r="D992" i="4"/>
  <c r="D973" i="4"/>
  <c r="D949" i="4"/>
  <c r="D930" i="4"/>
  <c r="D906" i="4"/>
  <c r="D887" i="4"/>
  <c r="D863" i="4"/>
  <c r="D840" i="4"/>
  <c r="D820" i="4"/>
  <c r="D796" i="4"/>
  <c r="D777" i="4"/>
  <c r="D753" i="4"/>
  <c r="D735" i="4"/>
  <c r="D714" i="4"/>
  <c r="D695" i="4"/>
  <c r="D677" i="4"/>
  <c r="D655" i="4"/>
  <c r="D637" i="4"/>
  <c r="D616" i="4"/>
  <c r="D597" i="4"/>
  <c r="D579" i="4"/>
  <c r="D557" i="4"/>
  <c r="D539" i="4"/>
  <c r="D522" i="4"/>
  <c r="D506" i="4"/>
  <c r="D491" i="4"/>
  <c r="D476" i="4"/>
  <c r="D460" i="4"/>
  <c r="D445" i="4"/>
  <c r="D430" i="4"/>
  <c r="D415" i="4"/>
  <c r="D400" i="4"/>
  <c r="D385" i="4"/>
  <c r="D370" i="4"/>
  <c r="D355" i="4"/>
  <c r="D340" i="4"/>
  <c r="D325" i="4"/>
  <c r="D310" i="4"/>
  <c r="D295" i="4"/>
  <c r="D280" i="4"/>
  <c r="D264" i="4"/>
  <c r="D249" i="4"/>
  <c r="D234" i="4"/>
  <c r="D219" i="4"/>
  <c r="D204" i="4"/>
  <c r="D189" i="4"/>
  <c r="D174" i="4"/>
  <c r="D159" i="4"/>
  <c r="D144" i="4"/>
  <c r="D129" i="4"/>
  <c r="D114" i="4"/>
  <c r="D99" i="4"/>
  <c r="D84" i="4"/>
  <c r="D69" i="4"/>
  <c r="D55" i="4"/>
  <c r="D41" i="4"/>
  <c r="D27" i="4"/>
  <c r="D13" i="4"/>
  <c r="D676" i="4"/>
  <c r="D538" i="4"/>
  <c r="D505" i="4"/>
  <c r="D474" i="4"/>
  <c r="D444" i="4"/>
  <c r="D414" i="4"/>
  <c r="D384" i="4"/>
  <c r="D369" i="4"/>
  <c r="D339" i="4"/>
  <c r="D309" i="4"/>
  <c r="D294" i="4"/>
  <c r="D263" i="4"/>
  <c r="D233" i="4"/>
  <c r="D203" i="4"/>
  <c r="D173" i="4"/>
  <c r="D158" i="4"/>
  <c r="D128" i="4"/>
  <c r="D113" i="4"/>
  <c r="D82" i="4"/>
  <c r="D68" i="4"/>
  <c r="D40" i="4"/>
  <c r="D12" i="4"/>
  <c r="D1253" i="4"/>
  <c r="D1210" i="4"/>
  <c r="D1186" i="4"/>
  <c r="D1167" i="4"/>
  <c r="D1120" i="4"/>
  <c r="D1100" i="4"/>
  <c r="D1057" i="4"/>
  <c r="D1014" i="4"/>
  <c r="D971" i="4"/>
  <c r="D924" i="4"/>
  <c r="D880" i="4"/>
  <c r="D837" i="4"/>
  <c r="D794" i="4"/>
  <c r="D751" i="4"/>
  <c r="D711" i="4"/>
  <c r="D672" i="4"/>
  <c r="D613" i="4"/>
  <c r="D574" i="4"/>
  <c r="D537" i="4"/>
  <c r="D504" i="4"/>
  <c r="D473" i="4"/>
  <c r="D443" i="4"/>
  <c r="D413" i="4"/>
  <c r="D383" i="4"/>
  <c r="D353" i="4"/>
  <c r="D323" i="4"/>
  <c r="D292" i="4"/>
  <c r="D262" i="4"/>
  <c r="D232" i="4"/>
  <c r="D202" i="4"/>
  <c r="D172" i="4"/>
  <c r="D142" i="4"/>
  <c r="D127" i="4"/>
  <c r="D96" i="4"/>
  <c r="D67" i="4"/>
  <c r="D39" i="4"/>
  <c r="D11" i="4"/>
  <c r="D1254" i="4"/>
  <c r="D1230" i="4"/>
  <c r="D1211" i="4"/>
  <c r="D1187" i="4"/>
  <c r="D1168" i="4"/>
  <c r="D1144" i="4"/>
  <c r="D1125" i="4"/>
  <c r="D1101" i="4"/>
  <c r="D1078" i="4"/>
  <c r="D1058" i="4"/>
  <c r="D1034" i="4"/>
  <c r="D1015" i="4"/>
  <c r="D991" i="4"/>
  <c r="D972" i="4"/>
  <c r="D948" i="4"/>
  <c r="D929" i="4"/>
  <c r="D905" i="4"/>
  <c r="D882" i="4"/>
  <c r="D862" i="4"/>
  <c r="D838" i="4"/>
  <c r="D819" i="4"/>
  <c r="D795" i="4"/>
  <c r="D776" i="4"/>
  <c r="D752" i="4"/>
  <c r="D734" i="4"/>
  <c r="D712" i="4"/>
  <c r="D694" i="4"/>
  <c r="D654" i="4"/>
  <c r="D636" i="4"/>
  <c r="D614" i="4"/>
  <c r="D596" i="4"/>
  <c r="D578" i="4"/>
  <c r="D556" i="4"/>
  <c r="D520" i="4"/>
  <c r="D490" i="4"/>
  <c r="D459" i="4"/>
  <c r="D429" i="4"/>
  <c r="D399" i="4"/>
  <c r="D354" i="4"/>
  <c r="D324" i="4"/>
  <c r="D278" i="4"/>
  <c r="D248" i="4"/>
  <c r="D218" i="4"/>
  <c r="D188" i="4"/>
  <c r="D143" i="4"/>
  <c r="D98" i="4"/>
  <c r="D54" i="4"/>
  <c r="D26" i="4"/>
  <c r="D1229" i="4"/>
  <c r="D1143" i="4"/>
  <c r="D1076" i="4"/>
  <c r="D1033" i="4"/>
  <c r="D990" i="4"/>
  <c r="D947" i="4"/>
  <c r="D904" i="4"/>
  <c r="D861" i="4"/>
  <c r="D818" i="4"/>
  <c r="D775" i="4"/>
  <c r="D733" i="4"/>
  <c r="D693" i="4"/>
  <c r="D653" i="4"/>
  <c r="D635" i="4"/>
  <c r="D595" i="4"/>
  <c r="D555" i="4"/>
  <c r="D519" i="4"/>
  <c r="D488" i="4"/>
  <c r="D458" i="4"/>
  <c r="D428" i="4"/>
  <c r="D398" i="4"/>
  <c r="D368" i="4"/>
  <c r="D338" i="4"/>
  <c r="D308" i="4"/>
  <c r="D277" i="4"/>
  <c r="D247" i="4"/>
  <c r="D217" i="4"/>
  <c r="D187" i="4"/>
  <c r="D157" i="4"/>
  <c r="D112" i="4"/>
  <c r="D81" i="4"/>
  <c r="D53" i="4"/>
  <c r="D25" i="4"/>
  <c r="D1252" i="4"/>
  <c r="D1228" i="4"/>
  <c r="D1209" i="4"/>
  <c r="D1185" i="4"/>
  <c r="D1162" i="4"/>
  <c r="D1142" i="4"/>
  <c r="D1118" i="4"/>
  <c r="D1099" i="4"/>
  <c r="D1075" i="4"/>
  <c r="D1056" i="4"/>
  <c r="D1032" i="4"/>
  <c r="D1013" i="4"/>
  <c r="D989" i="4"/>
  <c r="D966" i="4"/>
  <c r="D946" i="4"/>
  <c r="D922" i="4"/>
  <c r="D903" i="4"/>
  <c r="D879" i="4"/>
  <c r="D860" i="4"/>
  <c r="D836" i="4"/>
  <c r="D817" i="4"/>
  <c r="D793" i="4"/>
  <c r="D770" i="4"/>
  <c r="D750" i="4"/>
  <c r="D732" i="4"/>
  <c r="D710" i="4"/>
  <c r="D692" i="4"/>
  <c r="D670" i="4"/>
  <c r="D652" i="4"/>
  <c r="D634" i="4"/>
  <c r="D612" i="4"/>
  <c r="D594" i="4"/>
  <c r="D572" i="4"/>
  <c r="D554" i="4"/>
  <c r="D536" i="4"/>
  <c r="D518" i="4"/>
  <c r="D502" i="4"/>
  <c r="D487" i="4"/>
  <c r="D472" i="4"/>
  <c r="D457" i="4"/>
  <c r="D442" i="4"/>
  <c r="D427" i="4"/>
  <c r="D412" i="4"/>
  <c r="D397" i="4"/>
  <c r="D382" i="4"/>
  <c r="D367" i="4"/>
  <c r="D352" i="4"/>
  <c r="D337" i="4"/>
  <c r="D322" i="4"/>
  <c r="D306" i="4"/>
  <c r="D291" i="4"/>
  <c r="D276" i="4"/>
  <c r="D261" i="4"/>
  <c r="D246" i="4"/>
  <c r="D231" i="4"/>
  <c r="D216" i="4"/>
  <c r="D201" i="4"/>
  <c r="D186" i="4"/>
  <c r="D171" i="4"/>
  <c r="D156" i="4"/>
  <c r="D141" i="4"/>
  <c r="D126" i="4"/>
  <c r="D110" i="4"/>
  <c r="D95" i="4"/>
  <c r="D80" i="4"/>
  <c r="D66" i="4"/>
  <c r="D52" i="4"/>
  <c r="D38" i="4"/>
  <c r="D24" i="4"/>
  <c r="D10" i="4"/>
  <c r="D1200" i="4"/>
  <c r="D1139" i="4"/>
  <c r="D1073" i="4"/>
  <c r="D1008" i="4"/>
  <c r="D960" i="4"/>
  <c r="D894" i="4"/>
  <c r="D833" i="4"/>
  <c r="D767" i="4"/>
  <c r="D709" i="4"/>
  <c r="D665" i="4"/>
  <c r="D608" i="4"/>
  <c r="D551" i="4"/>
  <c r="D500" i="4"/>
  <c r="D456" i="4"/>
  <c r="D422" i="4"/>
  <c r="D379" i="4"/>
  <c r="D334" i="4"/>
  <c r="D290" i="4"/>
  <c r="D256" i="4"/>
  <c r="D212" i="4"/>
  <c r="D169" i="4"/>
  <c r="D136" i="4"/>
  <c r="D100" i="4"/>
  <c r="D64" i="4"/>
  <c r="D34" i="4"/>
  <c r="D651" i="4"/>
  <c r="D550" i="4"/>
  <c r="D499" i="4"/>
  <c r="D455" i="4"/>
  <c r="D411" i="4"/>
  <c r="D378" i="4"/>
  <c r="D333" i="4"/>
  <c r="D245" i="4"/>
  <c r="D211" i="4"/>
  <c r="D168" i="4"/>
  <c r="D135" i="4"/>
  <c r="D94" i="4"/>
  <c r="D63" i="4"/>
  <c r="D33" i="4"/>
  <c r="D593" i="4"/>
  <c r="D498" i="4"/>
  <c r="D454" i="4"/>
  <c r="D410" i="4"/>
  <c r="D376" i="4"/>
  <c r="D288" i="4"/>
  <c r="D244" i="4"/>
  <c r="D200" i="4"/>
  <c r="D166" i="4"/>
  <c r="D130" i="4"/>
  <c r="D93" i="4"/>
  <c r="D62" i="4"/>
  <c r="D28" i="4"/>
  <c r="D409" i="4"/>
  <c r="D331" i="4"/>
  <c r="D243" i="4"/>
  <c r="D165" i="4"/>
  <c r="D61" i="4"/>
  <c r="D1243" i="4"/>
  <c r="D1116" i="4"/>
  <c r="D1055" i="4"/>
  <c r="D1003" i="4"/>
  <c r="D876" i="4"/>
  <c r="D749" i="4"/>
  <c r="D648" i="4"/>
  <c r="D588" i="4"/>
  <c r="D532" i="4"/>
  <c r="D486" i="4"/>
  <c r="D452" i="4"/>
  <c r="D408" i="4"/>
  <c r="D320" i="4"/>
  <c r="D286" i="4"/>
  <c r="D198" i="4"/>
  <c r="D91" i="4"/>
  <c r="D1242" i="4"/>
  <c r="D988" i="4"/>
  <c r="D936" i="4"/>
  <c r="D875" i="4"/>
  <c r="D809" i="4"/>
  <c r="D748" i="4"/>
  <c r="D644" i="4"/>
  <c r="D530" i="4"/>
  <c r="D407" i="4"/>
  <c r="D319" i="4"/>
  <c r="D197" i="4"/>
  <c r="D122" i="4"/>
  <c r="D1251" i="4"/>
  <c r="D1199" i="4"/>
  <c r="D1134" i="4"/>
  <c r="D1072" i="4"/>
  <c r="D1006" i="4"/>
  <c r="D945" i="4"/>
  <c r="D893" i="4"/>
  <c r="D832" i="4"/>
  <c r="D766" i="4"/>
  <c r="D708" i="4"/>
  <c r="D607" i="4"/>
  <c r="D289" i="4"/>
  <c r="D199" i="4"/>
  <c r="D92" i="4"/>
  <c r="D23" i="4"/>
  <c r="D1182" i="4"/>
  <c r="D705" i="4"/>
  <c r="D365" i="4"/>
  <c r="D160" i="4"/>
  <c r="D22" i="4"/>
  <c r="D1115" i="4"/>
  <c r="D691" i="4"/>
  <c r="D485" i="4"/>
  <c r="D364" i="4"/>
  <c r="D241" i="4"/>
  <c r="D90" i="4"/>
  <c r="D1246" i="4"/>
  <c r="D1184" i="4"/>
  <c r="D1132" i="4"/>
  <c r="D1071" i="4"/>
  <c r="D1005" i="4"/>
  <c r="D944" i="4"/>
  <c r="D878" i="4"/>
  <c r="D831" i="4"/>
  <c r="D765" i="4"/>
  <c r="D707" i="4"/>
  <c r="D650" i="4"/>
  <c r="D546" i="4"/>
  <c r="D332" i="4"/>
  <c r="D810" i="4"/>
  <c r="D242" i="4"/>
  <c r="D56" i="4"/>
  <c r="D1181" i="4"/>
  <c r="D586" i="4"/>
  <c r="D275" i="4"/>
  <c r="D1244" i="4"/>
  <c r="D1183" i="4"/>
  <c r="D1117" i="4"/>
  <c r="D1070" i="4"/>
  <c r="D1004" i="4"/>
  <c r="D943" i="4"/>
  <c r="D877" i="4"/>
  <c r="D812" i="4"/>
  <c r="D764" i="4"/>
  <c r="D706" i="4"/>
  <c r="D649" i="4"/>
  <c r="D592" i="4"/>
  <c r="D534" i="4"/>
  <c r="D497" i="4"/>
  <c r="D453" i="4"/>
  <c r="D366" i="4"/>
  <c r="D287" i="4"/>
  <c r="D124" i="4"/>
  <c r="D938" i="4"/>
  <c r="D123" i="4"/>
  <c r="D1050" i="4"/>
  <c r="D441" i="4"/>
  <c r="D155" i="4"/>
  <c r="D1156" i="4"/>
  <c r="D1031" i="4"/>
  <c r="D920" i="4"/>
  <c r="D834" i="4"/>
  <c r="D725" i="4"/>
  <c r="D626" i="4"/>
  <c r="D528" i="4"/>
  <c r="D467" i="4"/>
  <c r="D386" i="4"/>
  <c r="D305" i="4"/>
  <c r="D229" i="4"/>
  <c r="D170" i="4"/>
  <c r="D107" i="4"/>
  <c r="D48" i="4"/>
  <c r="D1227" i="4"/>
  <c r="D1141" i="4"/>
  <c r="D1030" i="4"/>
  <c r="D919" i="4"/>
  <c r="D808" i="4"/>
  <c r="D724" i="4"/>
  <c r="D625" i="4"/>
  <c r="D516" i="4"/>
  <c r="D440" i="4"/>
  <c r="D381" i="4"/>
  <c r="D304" i="4"/>
  <c r="D228" i="4"/>
  <c r="D154" i="4"/>
  <c r="D106" i="4"/>
  <c r="D47" i="4"/>
  <c r="D1226" i="4"/>
  <c r="D1140" i="4"/>
  <c r="D1029" i="4"/>
  <c r="D918" i="4"/>
  <c r="D807" i="4"/>
  <c r="D723" i="4"/>
  <c r="D611" i="4"/>
  <c r="D515" i="4"/>
  <c r="D439" i="4"/>
  <c r="D380" i="4"/>
  <c r="D303" i="4"/>
  <c r="D227" i="4"/>
  <c r="D152" i="4"/>
  <c r="D105" i="4"/>
  <c r="D42" i="4"/>
  <c r="D1225" i="4"/>
  <c r="D1114" i="4"/>
  <c r="D917" i="4"/>
  <c r="D792" i="4"/>
  <c r="D690" i="4"/>
  <c r="D610" i="4"/>
  <c r="D514" i="4"/>
  <c r="D438" i="4"/>
  <c r="D362" i="4"/>
  <c r="D226" i="4"/>
  <c r="D151" i="4"/>
  <c r="D85" i="4"/>
  <c r="D37" i="4"/>
  <c r="D1224" i="4"/>
  <c r="D1113" i="4"/>
  <c r="D1027" i="4"/>
  <c r="D902" i="4"/>
  <c r="D791" i="4"/>
  <c r="D686" i="4"/>
  <c r="D609" i="4"/>
  <c r="D513" i="4"/>
  <c r="D437" i="4"/>
  <c r="D361" i="4"/>
  <c r="D301" i="4"/>
  <c r="D215" i="4"/>
  <c r="D150" i="4"/>
  <c r="D79" i="4"/>
  <c r="D36" i="4"/>
  <c r="D1223" i="4"/>
  <c r="D1098" i="4"/>
  <c r="D987" i="4"/>
  <c r="D901" i="4"/>
  <c r="D790" i="4"/>
  <c r="D684" i="4"/>
  <c r="D512" i="4"/>
  <c r="D351" i="4"/>
  <c r="D214" i="4"/>
  <c r="D78" i="4"/>
  <c r="D1204" i="4"/>
  <c r="D986" i="4"/>
  <c r="D789" i="4"/>
  <c r="D501" i="4"/>
  <c r="D350" i="4"/>
  <c r="D140" i="4"/>
  <c r="D1202" i="4"/>
  <c r="D784" i="4"/>
  <c r="D669" i="4"/>
  <c r="D570" i="4"/>
  <c r="D348" i="4"/>
  <c r="D138" i="4"/>
  <c r="D1201" i="4"/>
  <c r="D768" i="4"/>
  <c r="D569" i="4"/>
  <c r="D347" i="4"/>
  <c r="D137" i="4"/>
  <c r="D1176" i="4"/>
  <c r="D747" i="4"/>
  <c r="D482" i="4"/>
  <c r="D185" i="4"/>
  <c r="D14" i="4"/>
  <c r="D1160" i="4"/>
  <c r="D746" i="4"/>
  <c r="D666" i="4"/>
  <c r="D395" i="4"/>
  <c r="D184" i="4"/>
  <c r="D1159" i="4"/>
  <c r="D742" i="4"/>
  <c r="D470" i="4"/>
  <c r="D318" i="4"/>
  <c r="D115" i="4"/>
  <c r="D1158" i="4"/>
  <c r="D628" i="4"/>
  <c r="D393" i="4"/>
  <c r="D182" i="4"/>
  <c r="D7" i="4"/>
  <c r="D835" i="4"/>
  <c r="D316" i="4"/>
  <c r="D145" i="4"/>
  <c r="D683" i="4"/>
  <c r="D213" i="4"/>
  <c r="D985" i="4"/>
  <c r="D424" i="4"/>
  <c r="D20" i="4"/>
  <c r="D859" i="4"/>
  <c r="D483" i="4"/>
  <c r="D190" i="4"/>
  <c r="D1089" i="4"/>
  <c r="D667" i="4"/>
  <c r="D346" i="4"/>
  <c r="D70" i="4"/>
  <c r="D852" i="4"/>
  <c r="D336" i="4"/>
  <c r="D9" i="4"/>
  <c r="D851" i="4"/>
  <c r="D394" i="4"/>
  <c r="D51" i="4"/>
  <c r="D850" i="4"/>
  <c r="D317" i="4"/>
  <c r="D1046" i="4"/>
  <c r="D468" i="4"/>
  <c r="D426" i="4"/>
  <c r="D896" i="4"/>
  <c r="D425" i="4"/>
  <c r="D77" i="4"/>
  <c r="D1092" i="4"/>
  <c r="D484" i="4"/>
  <c r="D76" i="4"/>
  <c r="D1090" i="4"/>
  <c r="D668" i="4"/>
  <c r="D271" i="4"/>
  <c r="D19" i="4"/>
  <c r="D964" i="4"/>
  <c r="D568" i="4"/>
  <c r="D260" i="4"/>
  <c r="D1074" i="4"/>
  <c r="D471" i="4"/>
  <c r="D120" i="4"/>
  <c r="D1048" i="4"/>
  <c r="D630" i="4"/>
  <c r="D258" i="4"/>
  <c r="D8" i="4"/>
  <c r="D728" i="4"/>
  <c r="D109" i="4"/>
  <c r="D529" i="4"/>
  <c r="D180" i="4"/>
  <c r="D1028" i="4"/>
  <c r="D302" i="4"/>
  <c r="D585" i="4"/>
  <c r="D274" i="4"/>
  <c r="D35" i="4"/>
  <c r="D1097" i="4"/>
  <c r="D571" i="4"/>
  <c r="D273" i="4"/>
  <c r="D21" i="4"/>
  <c r="D874" i="4"/>
  <c r="D272" i="4"/>
  <c r="D980" i="4"/>
  <c r="D423" i="4"/>
  <c r="D75" i="4"/>
  <c r="D854" i="4"/>
  <c r="D396" i="4"/>
  <c r="D121" i="4"/>
  <c r="D963" i="4"/>
  <c r="D567" i="4"/>
  <c r="D259" i="4"/>
  <c r="D962" i="4"/>
  <c r="D553" i="4"/>
  <c r="D183" i="4"/>
  <c r="D1047" i="4"/>
  <c r="D257" i="4"/>
  <c r="D627" i="4"/>
  <c r="D49" i="4"/>
  <c r="D196" i="4"/>
  <c r="D469" i="4"/>
  <c r="D921" i="4"/>
  <c r="D961" i="4"/>
  <c r="D50" i="4"/>
  <c r="D726" i="4"/>
  <c r="D392" i="4"/>
  <c r="D108" i="4"/>
  <c r="D65" i="4"/>
  <c r="D552" i="4"/>
  <c r="D1157" i="4"/>
  <c r="D230" i="4"/>
  <c r="C7" i="4" a="1"/>
  <c r="C1260" i="4" l="1"/>
  <c r="C1246" i="4"/>
  <c r="C1232" i="4"/>
  <c r="C1218" i="4"/>
  <c r="C1204" i="4"/>
  <c r="C1190" i="4"/>
  <c r="C1176" i="4"/>
  <c r="C1162" i="4"/>
  <c r="C1148" i="4"/>
  <c r="C1134" i="4"/>
  <c r="C1120" i="4"/>
  <c r="C1106" i="4"/>
  <c r="C1092" i="4"/>
  <c r="C1078" i="4"/>
  <c r="C1064" i="4"/>
  <c r="C1050" i="4"/>
  <c r="C1036" i="4"/>
  <c r="C1022" i="4"/>
  <c r="C1008" i="4"/>
  <c r="C994" i="4"/>
  <c r="C980" i="4"/>
  <c r="C966" i="4"/>
  <c r="C952" i="4"/>
  <c r="C938" i="4"/>
  <c r="C924" i="4"/>
  <c r="C910" i="4"/>
  <c r="C896" i="4"/>
  <c r="C882" i="4"/>
  <c r="C868" i="4"/>
  <c r="C854" i="4"/>
  <c r="C840" i="4"/>
  <c r="C826" i="4"/>
  <c r="C812" i="4"/>
  <c r="C798" i="4"/>
  <c r="C784" i="4"/>
  <c r="C770" i="4"/>
  <c r="C756" i="4"/>
  <c r="C742" i="4"/>
  <c r="C728" i="4"/>
  <c r="C1259" i="4"/>
  <c r="C1245" i="4"/>
  <c r="C1231" i="4"/>
  <c r="C1217" i="4"/>
  <c r="C1203" i="4"/>
  <c r="C1189" i="4"/>
  <c r="C1175" i="4"/>
  <c r="C1161" i="4"/>
  <c r="C1147" i="4"/>
  <c r="C1133" i="4"/>
  <c r="C1119" i="4"/>
  <c r="C1105" i="4"/>
  <c r="C1091" i="4"/>
  <c r="C1077" i="4"/>
  <c r="C1063" i="4"/>
  <c r="C1049" i="4"/>
  <c r="C1035" i="4"/>
  <c r="C1021" i="4"/>
  <c r="C1007" i="4"/>
  <c r="C993" i="4"/>
  <c r="C979" i="4"/>
  <c r="C965" i="4"/>
  <c r="C951" i="4"/>
  <c r="C937" i="4"/>
  <c r="C923" i="4"/>
  <c r="C909" i="4"/>
  <c r="C895" i="4"/>
  <c r="C881" i="4"/>
  <c r="C867" i="4"/>
  <c r="C853" i="4"/>
  <c r="C839" i="4"/>
  <c r="C825" i="4"/>
  <c r="C811" i="4"/>
  <c r="C797" i="4"/>
  <c r="C783" i="4"/>
  <c r="C769" i="4"/>
  <c r="C755" i="4"/>
  <c r="C741" i="4"/>
  <c r="C727" i="4"/>
  <c r="C713" i="4"/>
  <c r="C699" i="4"/>
  <c r="C685" i="4"/>
  <c r="C671" i="4"/>
  <c r="C1258" i="4"/>
  <c r="C1244" i="4"/>
  <c r="C1230" i="4"/>
  <c r="C1216" i="4"/>
  <c r="C1202" i="4"/>
  <c r="C1188" i="4"/>
  <c r="C1174" i="4"/>
  <c r="C1160" i="4"/>
  <c r="C1146" i="4"/>
  <c r="C1132" i="4"/>
  <c r="C1118" i="4"/>
  <c r="C1104" i="4"/>
  <c r="C1090" i="4"/>
  <c r="C1076" i="4"/>
  <c r="C1062" i="4"/>
  <c r="C1048" i="4"/>
  <c r="C1034" i="4"/>
  <c r="C1020" i="4"/>
  <c r="C1006" i="4"/>
  <c r="C992" i="4"/>
  <c r="C978" i="4"/>
  <c r="C964" i="4"/>
  <c r="C950" i="4"/>
  <c r="C936" i="4"/>
  <c r="C922" i="4"/>
  <c r="C908" i="4"/>
  <c r="C894" i="4"/>
  <c r="C880" i="4"/>
  <c r="C866" i="4"/>
  <c r="C852" i="4"/>
  <c r="C838" i="4"/>
  <c r="C824" i="4"/>
  <c r="C810" i="4"/>
  <c r="C796" i="4"/>
  <c r="C782" i="4"/>
  <c r="C768" i="4"/>
  <c r="C754" i="4"/>
  <c r="C740" i="4"/>
  <c r="C726" i="4"/>
  <c r="C712" i="4"/>
  <c r="C698" i="4"/>
  <c r="C684" i="4"/>
  <c r="C670" i="4"/>
  <c r="C656" i="4"/>
  <c r="C642" i="4"/>
  <c r="C628" i="4"/>
  <c r="C614" i="4"/>
  <c r="C600" i="4"/>
  <c r="C586" i="4"/>
  <c r="C572" i="4"/>
  <c r="C558" i="4"/>
  <c r="C1257" i="4"/>
  <c r="C1243" i="4"/>
  <c r="C1229" i="4"/>
  <c r="C1215" i="4"/>
  <c r="C1201" i="4"/>
  <c r="C1187" i="4"/>
  <c r="C1173" i="4"/>
  <c r="C1159" i="4"/>
  <c r="C1145" i="4"/>
  <c r="C1131" i="4"/>
  <c r="C1117" i="4"/>
  <c r="C1103" i="4"/>
  <c r="C1089" i="4"/>
  <c r="C1075" i="4"/>
  <c r="C1061" i="4"/>
  <c r="C1047" i="4"/>
  <c r="C1033" i="4"/>
  <c r="C1019" i="4"/>
  <c r="C1005" i="4"/>
  <c r="C991" i="4"/>
  <c r="C977" i="4"/>
  <c r="C963" i="4"/>
  <c r="C949" i="4"/>
  <c r="C935" i="4"/>
  <c r="C921" i="4"/>
  <c r="C907" i="4"/>
  <c r="C893" i="4"/>
  <c r="C879" i="4"/>
  <c r="C865" i="4"/>
  <c r="C851" i="4"/>
  <c r="C837" i="4"/>
  <c r="C823" i="4"/>
  <c r="C809" i="4"/>
  <c r="C795" i="4"/>
  <c r="C781" i="4"/>
  <c r="C767" i="4"/>
  <c r="C753" i="4"/>
  <c r="C739" i="4"/>
  <c r="C725" i="4"/>
  <c r="C711" i="4"/>
  <c r="C697" i="4"/>
  <c r="C1256" i="4"/>
  <c r="C1242" i="4"/>
  <c r="C1228" i="4"/>
  <c r="C1214" i="4"/>
  <c r="C1200" i="4"/>
  <c r="C1186" i="4"/>
  <c r="C1172" i="4"/>
  <c r="C1158" i="4"/>
  <c r="C1144" i="4"/>
  <c r="C1130" i="4"/>
  <c r="C1116" i="4"/>
  <c r="C1102" i="4"/>
  <c r="C1088" i="4"/>
  <c r="C1074" i="4"/>
  <c r="C1060" i="4"/>
  <c r="C1046" i="4"/>
  <c r="C1032" i="4"/>
  <c r="C1018" i="4"/>
  <c r="C1004" i="4"/>
  <c r="C990" i="4"/>
  <c r="C976" i="4"/>
  <c r="C962" i="4"/>
  <c r="C948" i="4"/>
  <c r="C934" i="4"/>
  <c r="C920" i="4"/>
  <c r="C906" i="4"/>
  <c r="C892" i="4"/>
  <c r="C878" i="4"/>
  <c r="C864" i="4"/>
  <c r="C850" i="4"/>
  <c r="C836" i="4"/>
  <c r="C822" i="4"/>
  <c r="C808" i="4"/>
  <c r="C794" i="4"/>
  <c r="C780" i="4"/>
  <c r="C766" i="4"/>
  <c r="C752" i="4"/>
  <c r="C738" i="4"/>
  <c r="C724" i="4"/>
  <c r="C710" i="4"/>
  <c r="C696" i="4"/>
  <c r="C682" i="4"/>
  <c r="C668" i="4"/>
  <c r="C654" i="4"/>
  <c r="C640" i="4"/>
  <c r="C626" i="4"/>
  <c r="C612" i="4"/>
  <c r="C598" i="4"/>
  <c r="C584" i="4"/>
  <c r="C570" i="4"/>
  <c r="C556" i="4"/>
  <c r="C542" i="4"/>
  <c r="C528" i="4"/>
  <c r="C514" i="4"/>
  <c r="C500" i="4"/>
  <c r="C486" i="4"/>
  <c r="C472" i="4"/>
  <c r="C458" i="4"/>
  <c r="C444" i="4"/>
  <c r="C430" i="4"/>
  <c r="C416" i="4"/>
  <c r="C402" i="4"/>
  <c r="C388" i="4"/>
  <c r="C374" i="4"/>
  <c r="C360" i="4"/>
  <c r="C346" i="4"/>
  <c r="C332" i="4"/>
  <c r="C318" i="4"/>
  <c r="C304" i="4"/>
  <c r="C290" i="4"/>
  <c r="C276" i="4"/>
  <c r="C262" i="4"/>
  <c r="C248" i="4"/>
  <c r="C234" i="4"/>
  <c r="C220" i="4"/>
  <c r="C206" i="4"/>
  <c r="C192" i="4"/>
  <c r="C178" i="4"/>
  <c r="C164" i="4"/>
  <c r="C150" i="4"/>
  <c r="C136" i="4"/>
  <c r="C122" i="4"/>
  <c r="C108" i="4"/>
  <c r="C94" i="4"/>
  <c r="C80" i="4"/>
  <c r="C1255" i="4"/>
  <c r="C1241" i="4"/>
  <c r="C1227" i="4"/>
  <c r="C1213" i="4"/>
  <c r="C1199" i="4"/>
  <c r="C1185" i="4"/>
  <c r="C1171" i="4"/>
  <c r="C1157" i="4"/>
  <c r="C1143" i="4"/>
  <c r="C1129" i="4"/>
  <c r="C1115" i="4"/>
  <c r="C1101" i="4"/>
  <c r="C1087" i="4"/>
  <c r="C1073" i="4"/>
  <c r="C1059" i="4"/>
  <c r="C1045" i="4"/>
  <c r="C1031" i="4"/>
  <c r="C1017" i="4"/>
  <c r="C1003" i="4"/>
  <c r="C989" i="4"/>
  <c r="C975" i="4"/>
  <c r="C961" i="4"/>
  <c r="C947" i="4"/>
  <c r="C933" i="4"/>
  <c r="C919" i="4"/>
  <c r="C905" i="4"/>
  <c r="C891" i="4"/>
  <c r="C877" i="4"/>
  <c r="C863" i="4"/>
  <c r="C849" i="4"/>
  <c r="C835" i="4"/>
  <c r="C821" i="4"/>
  <c r="C807" i="4"/>
  <c r="C793" i="4"/>
  <c r="C779" i="4"/>
  <c r="C765" i="4"/>
  <c r="C751" i="4"/>
  <c r="C737" i="4"/>
  <c r="C723" i="4"/>
  <c r="C709" i="4"/>
  <c r="C695" i="4"/>
  <c r="C681" i="4"/>
  <c r="C667" i="4"/>
  <c r="C653" i="4"/>
  <c r="C639" i="4"/>
  <c r="C625" i="4"/>
  <c r="C611" i="4"/>
  <c r="C597" i="4"/>
  <c r="C583" i="4"/>
  <c r="C569" i="4"/>
  <c r="C555" i="4"/>
  <c r="C541" i="4"/>
  <c r="C527" i="4"/>
  <c r="C513" i="4"/>
  <c r="C499" i="4"/>
  <c r="C485" i="4"/>
  <c r="C471" i="4"/>
  <c r="C457" i="4"/>
  <c r="C443" i="4"/>
  <c r="C429" i="4"/>
  <c r="C415" i="4"/>
  <c r="C401" i="4"/>
  <c r="C387" i="4"/>
  <c r="C373" i="4"/>
  <c r="C359" i="4"/>
  <c r="C345" i="4"/>
  <c r="C331" i="4"/>
  <c r="C317" i="4"/>
  <c r="C303" i="4"/>
  <c r="C289" i="4"/>
  <c r="C275" i="4"/>
  <c r="C261" i="4"/>
  <c r="C247" i="4"/>
  <c r="C233" i="4"/>
  <c r="C219" i="4"/>
  <c r="C205" i="4"/>
  <c r="C191" i="4"/>
  <c r="C177" i="4"/>
  <c r="C163" i="4"/>
  <c r="C149" i="4"/>
  <c r="C135" i="4"/>
  <c r="C121" i="4"/>
  <c r="C107" i="4"/>
  <c r="C93" i="4"/>
  <c r="C1254" i="4"/>
  <c r="C1240" i="4"/>
  <c r="C1226" i="4"/>
  <c r="C1212" i="4"/>
  <c r="C1198" i="4"/>
  <c r="C1184" i="4"/>
  <c r="C1170" i="4"/>
  <c r="C1156" i="4"/>
  <c r="C1142" i="4"/>
  <c r="C1128" i="4"/>
  <c r="C1114" i="4"/>
  <c r="C1100" i="4"/>
  <c r="C1086" i="4"/>
  <c r="C1072" i="4"/>
  <c r="C1058" i="4"/>
  <c r="C1044" i="4"/>
  <c r="C1030" i="4"/>
  <c r="C1016" i="4"/>
  <c r="C1002" i="4"/>
  <c r="C988" i="4"/>
  <c r="C974" i="4"/>
  <c r="C960" i="4"/>
  <c r="C946" i="4"/>
  <c r="C932" i="4"/>
  <c r="C918" i="4"/>
  <c r="C904" i="4"/>
  <c r="C890" i="4"/>
  <c r="C876" i="4"/>
  <c r="C862" i="4"/>
  <c r="C848" i="4"/>
  <c r="C834" i="4"/>
  <c r="C820" i="4"/>
  <c r="C806" i="4"/>
  <c r="C792" i="4"/>
  <c r="C778" i="4"/>
  <c r="C764" i="4"/>
  <c r="C750" i="4"/>
  <c r="C736" i="4"/>
  <c r="C722" i="4"/>
  <c r="C708" i="4"/>
  <c r="C694" i="4"/>
  <c r="C680" i="4"/>
  <c r="C666" i="4"/>
  <c r="C652" i="4"/>
  <c r="C638" i="4"/>
  <c r="C624" i="4"/>
  <c r="C610" i="4"/>
  <c r="C596" i="4"/>
  <c r="C582" i="4"/>
  <c r="C568" i="4"/>
  <c r="C554" i="4"/>
  <c r="C1253" i="4"/>
  <c r="C1239" i="4"/>
  <c r="C1225" i="4"/>
  <c r="C1211" i="4"/>
  <c r="C1197" i="4"/>
  <c r="C1183" i="4"/>
  <c r="C1169" i="4"/>
  <c r="C1252" i="4"/>
  <c r="C1222" i="4"/>
  <c r="C1192" i="4"/>
  <c r="C1155" i="4"/>
  <c r="C1127" i="4"/>
  <c r="C1099" i="4"/>
  <c r="C1071" i="4"/>
  <c r="C1043" i="4"/>
  <c r="C1015" i="4"/>
  <c r="C987" i="4"/>
  <c r="C959" i="4"/>
  <c r="C931" i="4"/>
  <c r="C903" i="4"/>
  <c r="C875" i="4"/>
  <c r="C847" i="4"/>
  <c r="C819" i="4"/>
  <c r="C791" i="4"/>
  <c r="C763" i="4"/>
  <c r="C735" i="4"/>
  <c r="C714" i="4"/>
  <c r="C688" i="4"/>
  <c r="C664" i="4"/>
  <c r="C646" i="4"/>
  <c r="C627" i="4"/>
  <c r="C606" i="4"/>
  <c r="C588" i="4"/>
  <c r="C566" i="4"/>
  <c r="C548" i="4"/>
  <c r="C532" i="4"/>
  <c r="C516" i="4"/>
  <c r="C498" i="4"/>
  <c r="C482" i="4"/>
  <c r="C466" i="4"/>
  <c r="C450" i="4"/>
  <c r="C434" i="4"/>
  <c r="C418" i="4"/>
  <c r="C400" i="4"/>
  <c r="C384" i="4"/>
  <c r="C368" i="4"/>
  <c r="C352" i="4"/>
  <c r="C336" i="4"/>
  <c r="C320" i="4"/>
  <c r="C302" i="4"/>
  <c r="C286" i="4"/>
  <c r="C270" i="4"/>
  <c r="C254" i="4"/>
  <c r="C1251" i="4"/>
  <c r="C1221" i="4"/>
  <c r="C1191" i="4"/>
  <c r="C1154" i="4"/>
  <c r="C1126" i="4"/>
  <c r="C1098" i="4"/>
  <c r="C1070" i="4"/>
  <c r="C1042" i="4"/>
  <c r="C1014" i="4"/>
  <c r="C986" i="4"/>
  <c r="C958" i="4"/>
  <c r="C930" i="4"/>
  <c r="C902" i="4"/>
  <c r="C874" i="4"/>
  <c r="C846" i="4"/>
  <c r="C818" i="4"/>
  <c r="C790" i="4"/>
  <c r="C762" i="4"/>
  <c r="C734" i="4"/>
  <c r="C707" i="4"/>
  <c r="C687" i="4"/>
  <c r="C663" i="4"/>
  <c r="C645" i="4"/>
  <c r="C623" i="4"/>
  <c r="C605" i="4"/>
  <c r="C587" i="4"/>
  <c r="C565" i="4"/>
  <c r="C547" i="4"/>
  <c r="C531" i="4"/>
  <c r="C515" i="4"/>
  <c r="C497" i="4"/>
  <c r="C481" i="4"/>
  <c r="C465" i="4"/>
  <c r="C449" i="4"/>
  <c r="C433" i="4"/>
  <c r="C417" i="4"/>
  <c r="C399" i="4"/>
  <c r="C383" i="4"/>
  <c r="C367" i="4"/>
  <c r="C351" i="4"/>
  <c r="C335" i="4"/>
  <c r="C319" i="4"/>
  <c r="C301" i="4"/>
  <c r="C285" i="4"/>
  <c r="C269" i="4"/>
  <c r="C253" i="4"/>
  <c r="C1250" i="4"/>
  <c r="C1220" i="4"/>
  <c r="C1182" i="4"/>
  <c r="C1153" i="4"/>
  <c r="C1125" i="4"/>
  <c r="C1097" i="4"/>
  <c r="C1069" i="4"/>
  <c r="C1041" i="4"/>
  <c r="C1013" i="4"/>
  <c r="C985" i="4"/>
  <c r="C957" i="4"/>
  <c r="C929" i="4"/>
  <c r="C901" i="4"/>
  <c r="C873" i="4"/>
  <c r="C845" i="4"/>
  <c r="C817" i="4"/>
  <c r="C789" i="4"/>
  <c r="C761" i="4"/>
  <c r="C733" i="4"/>
  <c r="C706" i="4"/>
  <c r="C686" i="4"/>
  <c r="C662" i="4"/>
  <c r="C644" i="4"/>
  <c r="C622" i="4"/>
  <c r="C604" i="4"/>
  <c r="C585" i="4"/>
  <c r="C564" i="4"/>
  <c r="C546" i="4"/>
  <c r="C530" i="4"/>
  <c r="C512" i="4"/>
  <c r="C496" i="4"/>
  <c r="C480" i="4"/>
  <c r="C464" i="4"/>
  <c r="C448" i="4"/>
  <c r="C432" i="4"/>
  <c r="C414" i="4"/>
  <c r="C398" i="4"/>
  <c r="C382" i="4"/>
  <c r="C366" i="4"/>
  <c r="C350" i="4"/>
  <c r="C334" i="4"/>
  <c r="C316" i="4"/>
  <c r="C300" i="4"/>
  <c r="C284" i="4"/>
  <c r="C268" i="4"/>
  <c r="C252" i="4"/>
  <c r="C236" i="4"/>
  <c r="C218" i="4"/>
  <c r="C202" i="4"/>
  <c r="C186" i="4"/>
  <c r="C170" i="4"/>
  <c r="C154" i="4"/>
  <c r="C138" i="4"/>
  <c r="C1249" i="4"/>
  <c r="C1219" i="4"/>
  <c r="C1181" i="4"/>
  <c r="C1152" i="4"/>
  <c r="C1124" i="4"/>
  <c r="C1096" i="4"/>
  <c r="C1068" i="4"/>
  <c r="C1040" i="4"/>
  <c r="C1012" i="4"/>
  <c r="C984" i="4"/>
  <c r="C956" i="4"/>
  <c r="C928" i="4"/>
  <c r="C900" i="4"/>
  <c r="C872" i="4"/>
  <c r="C844" i="4"/>
  <c r="C816" i="4"/>
  <c r="C788" i="4"/>
  <c r="C760" i="4"/>
  <c r="C732" i="4"/>
  <c r="C705" i="4"/>
  <c r="C683" i="4"/>
  <c r="C661" i="4"/>
  <c r="C643" i="4"/>
  <c r="C621" i="4"/>
  <c r="C603" i="4"/>
  <c r="C581" i="4"/>
  <c r="C563" i="4"/>
  <c r="C545" i="4"/>
  <c r="C529" i="4"/>
  <c r="C511" i="4"/>
  <c r="C495" i="4"/>
  <c r="C479" i="4"/>
  <c r="C463" i="4"/>
  <c r="C447" i="4"/>
  <c r="C431" i="4"/>
  <c r="C413" i="4"/>
  <c r="C397" i="4"/>
  <c r="C381" i="4"/>
  <c r="C365" i="4"/>
  <c r="C349" i="4"/>
  <c r="C333" i="4"/>
  <c r="C315" i="4"/>
  <c r="C299" i="4"/>
  <c r="C283" i="4"/>
  <c r="C267" i="4"/>
  <c r="C1248" i="4"/>
  <c r="C1210" i="4"/>
  <c r="C1180" i="4"/>
  <c r="C1151" i="4"/>
  <c r="C1123" i="4"/>
  <c r="C1095" i="4"/>
  <c r="C1067" i="4"/>
  <c r="C1039" i="4"/>
  <c r="C1011" i="4"/>
  <c r="C983" i="4"/>
  <c r="C955" i="4"/>
  <c r="C927" i="4"/>
  <c r="C899" i="4"/>
  <c r="C871" i="4"/>
  <c r="C843" i="4"/>
  <c r="C815" i="4"/>
  <c r="C787" i="4"/>
  <c r="C759" i="4"/>
  <c r="C731" i="4"/>
  <c r="C704" i="4"/>
  <c r="C679" i="4"/>
  <c r="C660" i="4"/>
  <c r="C641" i="4"/>
  <c r="C620" i="4"/>
  <c r="C602" i="4"/>
  <c r="C580" i="4"/>
  <c r="C562" i="4"/>
  <c r="C544" i="4"/>
  <c r="C526" i="4"/>
  <c r="C510" i="4"/>
  <c r="C494" i="4"/>
  <c r="C478" i="4"/>
  <c r="C462" i="4"/>
  <c r="C446" i="4"/>
  <c r="C428" i="4"/>
  <c r="C412" i="4"/>
  <c r="C396" i="4"/>
  <c r="C380" i="4"/>
  <c r="C364" i="4"/>
  <c r="C348" i="4"/>
  <c r="C330" i="4"/>
  <c r="C314" i="4"/>
  <c r="C298" i="4"/>
  <c r="C282" i="4"/>
  <c r="C266" i="4"/>
  <c r="C250" i="4"/>
  <c r="C232" i="4"/>
  <c r="C216" i="4"/>
  <c r="C200" i="4"/>
  <c r="C184" i="4"/>
  <c r="C168" i="4"/>
  <c r="C152" i="4"/>
  <c r="C134" i="4"/>
  <c r="C118" i="4"/>
  <c r="C102" i="4"/>
  <c r="C1247" i="4"/>
  <c r="C1209" i="4"/>
  <c r="C1179" i="4"/>
  <c r="C1150" i="4"/>
  <c r="C1122" i="4"/>
  <c r="C1094" i="4"/>
  <c r="C1066" i="4"/>
  <c r="C1038" i="4"/>
  <c r="C1010" i="4"/>
  <c r="C982" i="4"/>
  <c r="C954" i="4"/>
  <c r="C926" i="4"/>
  <c r="C898" i="4"/>
  <c r="C870" i="4"/>
  <c r="C842" i="4"/>
  <c r="C814" i="4"/>
  <c r="C786" i="4"/>
  <c r="C758" i="4"/>
  <c r="C730" i="4"/>
  <c r="C703" i="4"/>
  <c r="C678" i="4"/>
  <c r="C659" i="4"/>
  <c r="C637" i="4"/>
  <c r="C619" i="4"/>
  <c r="C601" i="4"/>
  <c r="C579" i="4"/>
  <c r="C561" i="4"/>
  <c r="C543" i="4"/>
  <c r="C525" i="4"/>
  <c r="C509" i="4"/>
  <c r="C493" i="4"/>
  <c r="C477" i="4"/>
  <c r="C461" i="4"/>
  <c r="C445" i="4"/>
  <c r="C427" i="4"/>
  <c r="C411" i="4"/>
  <c r="C395" i="4"/>
  <c r="C379" i="4"/>
  <c r="C363" i="4"/>
  <c r="C347" i="4"/>
  <c r="C329" i="4"/>
  <c r="C313" i="4"/>
  <c r="C297" i="4"/>
  <c r="C281" i="4"/>
  <c r="C265" i="4"/>
  <c r="C249" i="4"/>
  <c r="C1238" i="4"/>
  <c r="C1208" i="4"/>
  <c r="C1178" i="4"/>
  <c r="C1149" i="4"/>
  <c r="C1121" i="4"/>
  <c r="C1093" i="4"/>
  <c r="C1065" i="4"/>
  <c r="C1037" i="4"/>
  <c r="C1009" i="4"/>
  <c r="C981" i="4"/>
  <c r="C953" i="4"/>
  <c r="C925" i="4"/>
  <c r="C897" i="4"/>
  <c r="C869" i="4"/>
  <c r="C841" i="4"/>
  <c r="C813" i="4"/>
  <c r="C785" i="4"/>
  <c r="C757" i="4"/>
  <c r="C729" i="4"/>
  <c r="C702" i="4"/>
  <c r="C677" i="4"/>
  <c r="C658" i="4"/>
  <c r="C636" i="4"/>
  <c r="C618" i="4"/>
  <c r="C599" i="4"/>
  <c r="C578" i="4"/>
  <c r="C560" i="4"/>
  <c r="C540" i="4"/>
  <c r="C524" i="4"/>
  <c r="C508" i="4"/>
  <c r="C492" i="4"/>
  <c r="C476" i="4"/>
  <c r="C460" i="4"/>
  <c r="C442" i="4"/>
  <c r="C426" i="4"/>
  <c r="C410" i="4"/>
  <c r="C394" i="4"/>
  <c r="C378" i="4"/>
  <c r="C362" i="4"/>
  <c r="C344" i="4"/>
  <c r="C328" i="4"/>
  <c r="C312" i="4"/>
  <c r="C296" i="4"/>
  <c r="C280" i="4"/>
  <c r="C264" i="4"/>
  <c r="C246" i="4"/>
  <c r="C230" i="4"/>
  <c r="C214" i="4"/>
  <c r="C198" i="4"/>
  <c r="C182" i="4"/>
  <c r="C166" i="4"/>
  <c r="C148" i="4"/>
  <c r="C132" i="4"/>
  <c r="C116" i="4"/>
  <c r="C100" i="4"/>
  <c r="C84" i="4"/>
  <c r="C69" i="4"/>
  <c r="C55" i="4"/>
  <c r="C41" i="4"/>
  <c r="C27" i="4"/>
  <c r="C13" i="4"/>
  <c r="C595" i="4"/>
  <c r="C523" i="4"/>
  <c r="C507" i="4"/>
  <c r="C475" i="4"/>
  <c r="C459" i="4"/>
  <c r="C441" i="4"/>
  <c r="C409" i="4"/>
  <c r="C393" i="4"/>
  <c r="C361" i="4"/>
  <c r="C343" i="4"/>
  <c r="C311" i="4"/>
  <c r="C295" i="4"/>
  <c r="C263" i="4"/>
  <c r="C245" i="4"/>
  <c r="C213" i="4"/>
  <c r="C181" i="4"/>
  <c r="C165" i="4"/>
  <c r="C131" i="4"/>
  <c r="C115" i="4"/>
  <c r="C83" i="4"/>
  <c r="C68" i="4"/>
  <c r="C40" i="4"/>
  <c r="C12" i="4"/>
  <c r="C97" i="4"/>
  <c r="C1237" i="4"/>
  <c r="C1207" i="4"/>
  <c r="C1177" i="4"/>
  <c r="C1141" i="4"/>
  <c r="C1113" i="4"/>
  <c r="C1085" i="4"/>
  <c r="C1057" i="4"/>
  <c r="C1029" i="4"/>
  <c r="C1001" i="4"/>
  <c r="C973" i="4"/>
  <c r="C945" i="4"/>
  <c r="C917" i="4"/>
  <c r="C889" i="4"/>
  <c r="C861" i="4"/>
  <c r="C833" i="4"/>
  <c r="C805" i="4"/>
  <c r="C777" i="4"/>
  <c r="C749" i="4"/>
  <c r="C721" i="4"/>
  <c r="C701" i="4"/>
  <c r="C676" i="4"/>
  <c r="C657" i="4"/>
  <c r="C635" i="4"/>
  <c r="C617" i="4"/>
  <c r="C577" i="4"/>
  <c r="C559" i="4"/>
  <c r="C539" i="4"/>
  <c r="C491" i="4"/>
  <c r="C425" i="4"/>
  <c r="C377" i="4"/>
  <c r="C327" i="4"/>
  <c r="C279" i="4"/>
  <c r="C229" i="4"/>
  <c r="C197" i="4"/>
  <c r="C147" i="4"/>
  <c r="C99" i="4"/>
  <c r="C54" i="4"/>
  <c r="C26" i="4"/>
  <c r="C38" i="4"/>
  <c r="C1236" i="4"/>
  <c r="C1206" i="4"/>
  <c r="C1168" i="4"/>
  <c r="C1140" i="4"/>
  <c r="C1112" i="4"/>
  <c r="C1084" i="4"/>
  <c r="C1056" i="4"/>
  <c r="C1028" i="4"/>
  <c r="C1000" i="4"/>
  <c r="C972" i="4"/>
  <c r="C944" i="4"/>
  <c r="C916" i="4"/>
  <c r="C888" i="4"/>
  <c r="C860" i="4"/>
  <c r="C832" i="4"/>
  <c r="C804" i="4"/>
  <c r="C776" i="4"/>
  <c r="C748" i="4"/>
  <c r="C720" i="4"/>
  <c r="C700" i="4"/>
  <c r="C675" i="4"/>
  <c r="C655" i="4"/>
  <c r="C634" i="4"/>
  <c r="C616" i="4"/>
  <c r="C594" i="4"/>
  <c r="C576" i="4"/>
  <c r="C557" i="4"/>
  <c r="C538" i="4"/>
  <c r="C522" i="4"/>
  <c r="C506" i="4"/>
  <c r="C490" i="4"/>
  <c r="C474" i="4"/>
  <c r="C456" i="4"/>
  <c r="C440" i="4"/>
  <c r="C424" i="4"/>
  <c r="C408" i="4"/>
  <c r="C392" i="4"/>
  <c r="C376" i="4"/>
  <c r="C358" i="4"/>
  <c r="C342" i="4"/>
  <c r="C326" i="4"/>
  <c r="C310" i="4"/>
  <c r="C294" i="4"/>
  <c r="C278" i="4"/>
  <c r="C260" i="4"/>
  <c r="C244" i="4"/>
  <c r="C228" i="4"/>
  <c r="C212" i="4"/>
  <c r="C196" i="4"/>
  <c r="C180" i="4"/>
  <c r="C162" i="4"/>
  <c r="C146" i="4"/>
  <c r="C130" i="4"/>
  <c r="C114" i="4"/>
  <c r="C98" i="4"/>
  <c r="C82" i="4"/>
  <c r="C67" i="4"/>
  <c r="C53" i="4"/>
  <c r="C39" i="4"/>
  <c r="C25" i="4"/>
  <c r="C11" i="4"/>
  <c r="C999" i="4"/>
  <c r="C775" i="4"/>
  <c r="C719" i="4"/>
  <c r="C693" i="4"/>
  <c r="C651" i="4"/>
  <c r="C615" i="4"/>
  <c r="C575" i="4"/>
  <c r="C537" i="4"/>
  <c r="C505" i="4"/>
  <c r="C473" i="4"/>
  <c r="C439" i="4"/>
  <c r="C407" i="4"/>
  <c r="C375" i="4"/>
  <c r="C341" i="4"/>
  <c r="C325" i="4"/>
  <c r="C293" i="4"/>
  <c r="C277" i="4"/>
  <c r="C243" i="4"/>
  <c r="C195" i="4"/>
  <c r="C161" i="4"/>
  <c r="C145" i="4"/>
  <c r="C113" i="4"/>
  <c r="C66" i="4"/>
  <c r="C10" i="4"/>
  <c r="C1235" i="4"/>
  <c r="C1205" i="4"/>
  <c r="C1167" i="4"/>
  <c r="C1139" i="4"/>
  <c r="C1111" i="4"/>
  <c r="C1083" i="4"/>
  <c r="C1055" i="4"/>
  <c r="C1027" i="4"/>
  <c r="C971" i="4"/>
  <c r="C943" i="4"/>
  <c r="C915" i="4"/>
  <c r="C887" i="4"/>
  <c r="C859" i="4"/>
  <c r="C831" i="4"/>
  <c r="C803" i="4"/>
  <c r="C747" i="4"/>
  <c r="C674" i="4"/>
  <c r="C633" i="4"/>
  <c r="C593" i="4"/>
  <c r="C553" i="4"/>
  <c r="C521" i="4"/>
  <c r="C489" i="4"/>
  <c r="C455" i="4"/>
  <c r="C423" i="4"/>
  <c r="C391" i="4"/>
  <c r="C357" i="4"/>
  <c r="C309" i="4"/>
  <c r="C259" i="4"/>
  <c r="C227" i="4"/>
  <c r="C211" i="4"/>
  <c r="C179" i="4"/>
  <c r="C129" i="4"/>
  <c r="C81" i="4"/>
  <c r="C52" i="4"/>
  <c r="C1234" i="4"/>
  <c r="C1196" i="4"/>
  <c r="C1166" i="4"/>
  <c r="C1138" i="4"/>
  <c r="C1110" i="4"/>
  <c r="C1082" i="4"/>
  <c r="C1054" i="4"/>
  <c r="C1026" i="4"/>
  <c r="C998" i="4"/>
  <c r="C970" i="4"/>
  <c r="C942" i="4"/>
  <c r="C914" i="4"/>
  <c r="C1233" i="4"/>
  <c r="C1107" i="4"/>
  <c r="C968" i="4"/>
  <c r="C856" i="4"/>
  <c r="C746" i="4"/>
  <c r="C669" i="4"/>
  <c r="C592" i="4"/>
  <c r="C534" i="4"/>
  <c r="C470" i="4"/>
  <c r="C420" i="4"/>
  <c r="C356" i="4"/>
  <c r="C306" i="4"/>
  <c r="C251" i="4"/>
  <c r="C221" i="4"/>
  <c r="C189" i="4"/>
  <c r="C159" i="4"/>
  <c r="C133" i="4"/>
  <c r="C106" i="4"/>
  <c r="C85" i="4"/>
  <c r="C62" i="4"/>
  <c r="C44" i="4"/>
  <c r="C23" i="4"/>
  <c r="C857" i="4"/>
  <c r="C1224" i="4"/>
  <c r="C1081" i="4"/>
  <c r="C967" i="4"/>
  <c r="C855" i="4"/>
  <c r="C745" i="4"/>
  <c r="C665" i="4"/>
  <c r="C591" i="4"/>
  <c r="C533" i="4"/>
  <c r="C469" i="4"/>
  <c r="C419" i="4"/>
  <c r="C355" i="4"/>
  <c r="C305" i="4"/>
  <c r="C242" i="4"/>
  <c r="C217" i="4"/>
  <c r="C188" i="4"/>
  <c r="C158" i="4"/>
  <c r="C128" i="4"/>
  <c r="C105" i="4"/>
  <c r="C79" i="4"/>
  <c r="C61" i="4"/>
  <c r="C43" i="4"/>
  <c r="C22" i="4"/>
  <c r="C1223" i="4"/>
  <c r="C1080" i="4"/>
  <c r="C941" i="4"/>
  <c r="C830" i="4"/>
  <c r="C744" i="4"/>
  <c r="C650" i="4"/>
  <c r="C590" i="4"/>
  <c r="C520" i="4"/>
  <c r="C468" i="4"/>
  <c r="C406" i="4"/>
  <c r="C354" i="4"/>
  <c r="C292" i="4"/>
  <c r="C241" i="4"/>
  <c r="C215" i="4"/>
  <c r="C187" i="4"/>
  <c r="C157" i="4"/>
  <c r="C127" i="4"/>
  <c r="C104" i="4"/>
  <c r="C78" i="4"/>
  <c r="C60" i="4"/>
  <c r="C42" i="4"/>
  <c r="C21" i="4"/>
  <c r="C126" i="4"/>
  <c r="C59" i="4"/>
  <c r="C20" i="4"/>
  <c r="C46" i="4"/>
  <c r="C771" i="4"/>
  <c r="C1195" i="4"/>
  <c r="C1079" i="4"/>
  <c r="C940" i="4"/>
  <c r="C829" i="4"/>
  <c r="C743" i="4"/>
  <c r="C649" i="4"/>
  <c r="C589" i="4"/>
  <c r="C519" i="4"/>
  <c r="C467" i="4"/>
  <c r="C405" i="4"/>
  <c r="C353" i="4"/>
  <c r="C291" i="4"/>
  <c r="C240" i="4"/>
  <c r="C210" i="4"/>
  <c r="C185" i="4"/>
  <c r="C156" i="4"/>
  <c r="C103" i="4"/>
  <c r="C77" i="4"/>
  <c r="C37" i="4"/>
  <c r="C672" i="4"/>
  <c r="C1194" i="4"/>
  <c r="C1053" i="4"/>
  <c r="C939" i="4"/>
  <c r="C828" i="4"/>
  <c r="C718" i="4"/>
  <c r="C648" i="4"/>
  <c r="C574" i="4"/>
  <c r="C518" i="4"/>
  <c r="C454" i="4"/>
  <c r="C404" i="4"/>
  <c r="C340" i="4"/>
  <c r="C288" i="4"/>
  <c r="C239" i="4"/>
  <c r="C209" i="4"/>
  <c r="C183" i="4"/>
  <c r="C155" i="4"/>
  <c r="C125" i="4"/>
  <c r="C101" i="4"/>
  <c r="C76" i="4"/>
  <c r="C58" i="4"/>
  <c r="C36" i="4"/>
  <c r="C19" i="4"/>
  <c r="C124" i="4"/>
  <c r="C75" i="4"/>
  <c r="C35" i="4"/>
  <c r="C18" i="4"/>
  <c r="C139" i="4"/>
  <c r="C607" i="4"/>
  <c r="C1193" i="4"/>
  <c r="C1052" i="4"/>
  <c r="C913" i="4"/>
  <c r="C827" i="4"/>
  <c r="C717" i="4"/>
  <c r="C647" i="4"/>
  <c r="C573" i="4"/>
  <c r="C517" i="4"/>
  <c r="C453" i="4"/>
  <c r="C403" i="4"/>
  <c r="C339" i="4"/>
  <c r="C287" i="4"/>
  <c r="C238" i="4"/>
  <c r="C208" i="4"/>
  <c r="C176" i="4"/>
  <c r="C153" i="4"/>
  <c r="C96" i="4"/>
  <c r="C57" i="4"/>
  <c r="C1108" i="4"/>
  <c r="C1165" i="4"/>
  <c r="C1051" i="4"/>
  <c r="C912" i="4"/>
  <c r="C802" i="4"/>
  <c r="C716" i="4"/>
  <c r="C632" i="4"/>
  <c r="C571" i="4"/>
  <c r="C504" i="4"/>
  <c r="C452" i="4"/>
  <c r="C390" i="4"/>
  <c r="C338" i="4"/>
  <c r="C274" i="4"/>
  <c r="C237" i="4"/>
  <c r="C207" i="4"/>
  <c r="C175" i="4"/>
  <c r="C151" i="4"/>
  <c r="C123" i="4"/>
  <c r="C95" i="4"/>
  <c r="C74" i="4"/>
  <c r="C56" i="4"/>
  <c r="C34" i="4"/>
  <c r="C17" i="4"/>
  <c r="C1025" i="4"/>
  <c r="C801" i="4"/>
  <c r="C631" i="4"/>
  <c r="C503" i="4"/>
  <c r="C389" i="4"/>
  <c r="C273" i="4"/>
  <c r="C204" i="4"/>
  <c r="C144" i="4"/>
  <c r="C92" i="4"/>
  <c r="C73" i="4"/>
  <c r="C33" i="4"/>
  <c r="C16" i="4"/>
  <c r="C551" i="4"/>
  <c r="C385" i="4"/>
  <c r="C226" i="4"/>
  <c r="C117" i="4"/>
  <c r="C322" i="4"/>
  <c r="C89" i="4"/>
  <c r="C9" i="4"/>
  <c r="C1135" i="4"/>
  <c r="C321" i="4"/>
  <c r="C29" i="4"/>
  <c r="C1109" i="4"/>
  <c r="C772" i="4"/>
  <c r="C608" i="4"/>
  <c r="C484" i="4"/>
  <c r="C370" i="4"/>
  <c r="C256" i="4"/>
  <c r="C167" i="4"/>
  <c r="C87" i="4"/>
  <c r="C7" i="4"/>
  <c r="C483" i="4"/>
  <c r="C1164" i="4"/>
  <c r="C911" i="4"/>
  <c r="C715" i="4"/>
  <c r="C567" i="4"/>
  <c r="C451" i="4"/>
  <c r="C337" i="4"/>
  <c r="C235" i="4"/>
  <c r="C174" i="4"/>
  <c r="C120" i="4"/>
  <c r="C51" i="4"/>
  <c r="C437" i="4"/>
  <c r="C201" i="4"/>
  <c r="C90" i="4"/>
  <c r="C225" i="4"/>
  <c r="C141" i="4"/>
  <c r="C48" i="4"/>
  <c r="C996" i="4"/>
  <c r="C223" i="4"/>
  <c r="C421" i="4"/>
  <c r="C1163" i="4"/>
  <c r="C1024" i="4"/>
  <c r="C886" i="4"/>
  <c r="C800" i="4"/>
  <c r="C692" i="4"/>
  <c r="C630" i="4"/>
  <c r="C552" i="4"/>
  <c r="C502" i="4"/>
  <c r="C438" i="4"/>
  <c r="C386" i="4"/>
  <c r="C324" i="4"/>
  <c r="C272" i="4"/>
  <c r="C231" i="4"/>
  <c r="C203" i="4"/>
  <c r="C173" i="4"/>
  <c r="C143" i="4"/>
  <c r="C119" i="4"/>
  <c r="C91" i="4"/>
  <c r="C72" i="4"/>
  <c r="C50" i="4"/>
  <c r="C32" i="4"/>
  <c r="C15" i="4"/>
  <c r="C629" i="4"/>
  <c r="C323" i="4"/>
  <c r="C172" i="4"/>
  <c r="C71" i="4"/>
  <c r="C31" i="4"/>
  <c r="C258" i="4"/>
  <c r="C70" i="4"/>
  <c r="C1263" i="4"/>
  <c r="C609" i="4"/>
  <c r="C487" i="4"/>
  <c r="C194" i="4"/>
  <c r="C140" i="4"/>
  <c r="C65" i="4"/>
  <c r="C995" i="4"/>
  <c r="C535" i="4"/>
  <c r="C307" i="4"/>
  <c r="C222" i="4"/>
  <c r="C160" i="4"/>
  <c r="C109" i="4"/>
  <c r="C63" i="4"/>
  <c r="C24" i="4"/>
  <c r="C1137" i="4"/>
  <c r="C1023" i="4"/>
  <c r="C885" i="4"/>
  <c r="C799" i="4"/>
  <c r="C691" i="4"/>
  <c r="C501" i="4"/>
  <c r="C271" i="4"/>
  <c r="C142" i="4"/>
  <c r="C49" i="4"/>
  <c r="C14" i="4"/>
  <c r="C199" i="4"/>
  <c r="C112" i="4"/>
  <c r="C883" i="4"/>
  <c r="C689" i="4"/>
  <c r="C549" i="4"/>
  <c r="C435" i="4"/>
  <c r="C371" i="4"/>
  <c r="C224" i="4"/>
  <c r="C169" i="4"/>
  <c r="C111" i="4"/>
  <c r="C47" i="4"/>
  <c r="C8" i="4"/>
  <c r="C969" i="4"/>
  <c r="C369" i="4"/>
  <c r="C255" i="4"/>
  <c r="C190" i="4"/>
  <c r="C137" i="4"/>
  <c r="C86" i="4"/>
  <c r="C1136" i="4"/>
  <c r="C997" i="4"/>
  <c r="C884" i="4"/>
  <c r="C774" i="4"/>
  <c r="C690" i="4"/>
  <c r="C613" i="4"/>
  <c r="C550" i="4"/>
  <c r="C488" i="4"/>
  <c r="C436" i="4"/>
  <c r="C372" i="4"/>
  <c r="C171" i="4"/>
  <c r="C30" i="4"/>
  <c r="C773" i="4"/>
  <c r="C257" i="4"/>
  <c r="C88" i="4"/>
  <c r="C1262" i="4"/>
  <c r="C858" i="4"/>
  <c r="C673" i="4"/>
  <c r="C536" i="4"/>
  <c r="C422" i="4"/>
  <c r="C308" i="4"/>
  <c r="C193" i="4"/>
  <c r="C110" i="4"/>
  <c r="C64" i="4"/>
  <c r="C28" i="4"/>
  <c r="C1261" i="4"/>
  <c r="C45" i="4"/>
  <c r="B7" i="4" a="1"/>
  <c r="B7" i="4" l="1"/>
  <c r="A1" i="4" a="1"/>
  <c r="A1" i="4" l="1"/>
  <c r="J19" i="1" a="1"/>
  <c r="J19" i="1" l="1"/>
  <c r="J18" i="1" a="1"/>
  <c r="J18" i="1" l="1"/>
  <c r="J17" i="1" a="1"/>
  <c r="J17" i="1" l="1"/>
  <c r="J16" i="1" a="1"/>
  <c r="J16" i="1" l="1"/>
  <c r="J15" i="1" a="1"/>
  <c r="J15" i="1" l="1"/>
  <c r="J14" i="1" a="1"/>
  <c r="J14" i="1" l="1"/>
  <c r="J13" i="1" a="1"/>
  <c r="J13" i="1" l="1"/>
  <c r="J12" i="1" a="1"/>
  <c r="J12" i="1" l="1"/>
  <c r="J11" i="1" a="1"/>
  <c r="J11" i="1" l="1"/>
  <c r="J10" i="1" a="1"/>
  <c r="J10" i="1" l="1"/>
  <c r="J9" i="1" a="1"/>
  <c r="J9" i="1" l="1"/>
  <c r="J8" i="1" a="1"/>
  <c r="J8" i="1" l="1"/>
  <c r="J7" i="1" a="1"/>
  <c r="J7" i="1" l="1"/>
  <c r="J6" i="1" a="1"/>
  <c r="J6" i="1" l="1"/>
  <c r="J5" i="1" a="1"/>
  <c r="J5" i="1" l="1"/>
  <c r="H19" i="1" a="1"/>
  <c r="H19" i="1" l="1"/>
  <c r="H18" i="1" a="1"/>
  <c r="H18" i="1" l="1"/>
  <c r="H17" i="1" a="1"/>
  <c r="H17" i="1" l="1"/>
  <c r="H16" i="1" a="1"/>
  <c r="H16" i="1" l="1"/>
  <c r="H15" i="1" a="1"/>
  <c r="H15" i="1" l="1"/>
  <c r="H14" i="1" a="1"/>
  <c r="H14" i="1" l="1"/>
  <c r="H13" i="1" a="1"/>
  <c r="H13" i="1" l="1"/>
  <c r="H12" i="1" a="1"/>
  <c r="H12" i="1" l="1"/>
  <c r="H11" i="1" a="1"/>
  <c r="H11" i="1" l="1"/>
  <c r="H10" i="1" a="1"/>
  <c r="H10" i="1" l="1"/>
  <c r="H9" i="1" a="1"/>
  <c r="H9" i="1" l="1"/>
  <c r="H8" i="1" a="1"/>
  <c r="H8" i="1" l="1"/>
  <c r="H7" i="1" a="1"/>
  <c r="H7" i="1" l="1"/>
  <c r="H6" i="1" a="1"/>
  <c r="H6" i="1" l="1"/>
  <c r="H5" i="1" a="1"/>
  <c r="H5" i="1" l="1"/>
  <c r="F19" i="1" a="1"/>
  <c r="F19" i="1" l="1"/>
  <c r="F18" i="1" a="1"/>
  <c r="F18" i="1" l="1"/>
  <c r="F17" i="1" a="1"/>
  <c r="F17" i="1" l="1"/>
  <c r="F16" i="1" a="1"/>
  <c r="F16" i="1" l="1"/>
  <c r="F15" i="1" a="1"/>
  <c r="F15" i="1" l="1"/>
  <c r="F14" i="1" a="1"/>
  <c r="F14" i="1" l="1"/>
  <c r="F13" i="1" a="1"/>
  <c r="F13" i="1" l="1"/>
  <c r="F12" i="1" a="1"/>
  <c r="F12" i="1" l="1"/>
  <c r="F11" i="1" a="1"/>
  <c r="F11" i="1" l="1"/>
  <c r="F10" i="1" a="1"/>
  <c r="F10" i="1" l="1"/>
  <c r="F9" i="1" a="1"/>
  <c r="F9" i="1" l="1"/>
  <c r="F8" i="1" a="1"/>
  <c r="F8" i="1" l="1"/>
  <c r="F7" i="1" a="1"/>
  <c r="F7" i="1" l="1"/>
  <c r="F6" i="1" a="1"/>
  <c r="F6" i="1" l="1"/>
  <c r="F5" i="1" a="1"/>
  <c r="F5" i="1" l="1"/>
  <c r="D23" i="1" a="1"/>
  <c r="D23" i="1" l="1"/>
  <c r="D22" i="1" a="1"/>
  <c r="D22" i="1" l="1"/>
  <c r="D21" i="1" a="1"/>
  <c r="D21" i="1" l="1"/>
  <c r="D20" i="1" a="1"/>
  <c r="D20" i="1" l="1"/>
  <c r="D19" i="1" a="1"/>
  <c r="D19" i="1" l="1"/>
  <c r="D18" i="1" a="1"/>
  <c r="D18" i="1" l="1"/>
  <c r="D17" i="1" a="1"/>
  <c r="D17" i="1" l="1"/>
  <c r="D16" i="1" a="1"/>
  <c r="D16" i="1" l="1"/>
  <c r="D15" i="1" a="1"/>
  <c r="D15" i="1" l="1"/>
  <c r="D14" i="1" a="1"/>
  <c r="D14" i="1" l="1"/>
  <c r="D13" i="1" a="1"/>
  <c r="D13" i="1" l="1"/>
  <c r="D12" i="1" a="1"/>
  <c r="D12" i="1" l="1"/>
  <c r="D11" i="1" a="1"/>
  <c r="D11" i="1" l="1"/>
  <c r="D10" i="1" a="1"/>
  <c r="D10" i="1" l="1"/>
  <c r="D9" i="1" a="1"/>
  <c r="D9" i="1" l="1"/>
  <c r="D8" i="1" a="1"/>
  <c r="D8" i="1" l="1"/>
  <c r="D7" i="1" a="1"/>
  <c r="D7" i="1" l="1"/>
  <c r="D6" i="1" a="1"/>
  <c r="D6" i="1" l="1"/>
  <c r="D5" i="1" a="1"/>
  <c r="D5" i="1" l="1"/>
  <c r="C31" i="1" a="1"/>
  <c r="C31" i="1" l="1"/>
  <c r="C30" i="1" a="1"/>
  <c r="C30" i="1" l="1"/>
  <c r="C27" i="1" a="1"/>
  <c r="C27" i="1" l="1"/>
  <c r="B27" i="1" a="1"/>
  <c r="B27" i="1" l="1"/>
  <c r="B31" i="1" a="1"/>
  <c r="B31" i="1" l="1"/>
  <c r="B26" i="1" a="1"/>
  <c r="B26" i="1" l="1"/>
  <c r="A27" i="5" l="1"/>
  <c r="A28" i="5"/>
  <c r="A15" i="5"/>
  <c r="A23" i="5"/>
  <c r="A24" i="5"/>
  <c r="A29" i="5"/>
  <c r="A25" i="5"/>
  <c r="A16" i="5"/>
  <c r="A17" i="5"/>
  <c r="A18" i="5"/>
  <c r="A19" i="5"/>
  <c r="A20" i="5"/>
  <c r="A21" i="5"/>
  <c r="A22" i="5"/>
  <c r="A26" i="5"/>
  <c r="A30" i="5"/>
  <c r="A31" i="5"/>
  <c r="A32" i="5"/>
  <c r="A33" i="5"/>
  <c r="A34" i="5"/>
  <c r="A35" i="5"/>
  <c r="A42" i="5" l="1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4" i="5" l="1"/>
  <c r="A38" i="5"/>
  <c r="A37" i="5"/>
  <c r="A36" i="5"/>
  <c r="A14" i="5"/>
  <c r="A13" i="5"/>
  <c r="A12" i="5"/>
  <c r="A11" i="5"/>
  <c r="A10" i="5"/>
  <c r="A9" i="5"/>
  <c r="A8" i="5"/>
  <c r="A7" i="5"/>
  <c r="A6" i="5"/>
  <c r="A5" i="5"/>
  <c r="B3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A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BX4" i="5"/>
  <c r="BY4" i="5"/>
  <c r="BZ4" i="5"/>
  <c r="CA4" i="5"/>
  <c r="CB4" i="5"/>
  <c r="CC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BT5" i="5"/>
  <c r="BU5" i="5"/>
  <c r="BV5" i="5"/>
  <c r="BW5" i="5"/>
  <c r="BX5" i="5"/>
  <c r="BY5" i="5"/>
  <c r="BZ5" i="5"/>
  <c r="CA5" i="5"/>
  <c r="CB5" i="5"/>
  <c r="CC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BP6" i="5"/>
  <c r="BQ6" i="5"/>
  <c r="BR6" i="5"/>
  <c r="BS6" i="5"/>
  <c r="BT6" i="5"/>
  <c r="BU6" i="5"/>
  <c r="BV6" i="5"/>
  <c r="BW6" i="5"/>
  <c r="BX6" i="5"/>
  <c r="BY6" i="5"/>
  <c r="BZ6" i="5"/>
  <c r="CA6" i="5"/>
  <c r="CB6" i="5"/>
  <c r="CC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BP7" i="5"/>
  <c r="BQ7" i="5"/>
  <c r="BR7" i="5"/>
  <c r="BS7" i="5"/>
  <c r="BT7" i="5"/>
  <c r="BU7" i="5"/>
  <c r="BV7" i="5"/>
  <c r="BW7" i="5"/>
  <c r="BX7" i="5"/>
  <c r="BY7" i="5"/>
  <c r="BZ7" i="5"/>
  <c r="CA7" i="5"/>
  <c r="CB7" i="5"/>
  <c r="CC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BP8" i="5"/>
  <c r="BQ8" i="5"/>
  <c r="BR8" i="5"/>
  <c r="BS8" i="5"/>
  <c r="BT8" i="5"/>
  <c r="BU8" i="5"/>
  <c r="BV8" i="5"/>
  <c r="BW8" i="5"/>
  <c r="BX8" i="5"/>
  <c r="BY8" i="5"/>
  <c r="BZ8" i="5"/>
  <c r="CA8" i="5"/>
  <c r="CB8" i="5"/>
  <c r="CC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BF9" i="5"/>
  <c r="BG9" i="5"/>
  <c r="BH9" i="5"/>
  <c r="BI9" i="5"/>
  <c r="BJ9" i="5"/>
  <c r="BK9" i="5"/>
  <c r="BL9" i="5"/>
  <c r="BM9" i="5"/>
  <c r="BN9" i="5"/>
  <c r="BO9" i="5"/>
  <c r="BP9" i="5"/>
  <c r="BQ9" i="5"/>
  <c r="BR9" i="5"/>
  <c r="BS9" i="5"/>
  <c r="BT9" i="5"/>
  <c r="BU9" i="5"/>
  <c r="BV9" i="5"/>
  <c r="BW9" i="5"/>
  <c r="BX9" i="5"/>
  <c r="BY9" i="5"/>
  <c r="BZ9" i="5"/>
  <c r="CA9" i="5"/>
  <c r="CB9" i="5"/>
  <c r="CC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BE10" i="5"/>
  <c r="BF10" i="5"/>
  <c r="BG10" i="5"/>
  <c r="BH10" i="5"/>
  <c r="BI10" i="5"/>
  <c r="BJ10" i="5"/>
  <c r="BK10" i="5"/>
  <c r="BL10" i="5"/>
  <c r="BM10" i="5"/>
  <c r="BN10" i="5"/>
  <c r="BO10" i="5"/>
  <c r="BP10" i="5"/>
  <c r="BQ10" i="5"/>
  <c r="BR10" i="5"/>
  <c r="BS10" i="5"/>
  <c r="BT10" i="5"/>
  <c r="BU10" i="5"/>
  <c r="BV10" i="5"/>
  <c r="BW10" i="5"/>
  <c r="BX10" i="5"/>
  <c r="BY10" i="5"/>
  <c r="BZ10" i="5"/>
  <c r="CA10" i="5"/>
  <c r="CB10" i="5"/>
  <c r="CC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BE11" i="5"/>
  <c r="BF11" i="5"/>
  <c r="BG11" i="5"/>
  <c r="BH11" i="5"/>
  <c r="BI11" i="5"/>
  <c r="BJ11" i="5"/>
  <c r="BK11" i="5"/>
  <c r="BL11" i="5"/>
  <c r="BM11" i="5"/>
  <c r="BN11" i="5"/>
  <c r="BO11" i="5"/>
  <c r="BP11" i="5"/>
  <c r="BQ11" i="5"/>
  <c r="BR11" i="5"/>
  <c r="BS11" i="5"/>
  <c r="BT11" i="5"/>
  <c r="BU11" i="5"/>
  <c r="BV11" i="5"/>
  <c r="BW11" i="5"/>
  <c r="BX11" i="5"/>
  <c r="BY11" i="5"/>
  <c r="BZ11" i="5"/>
  <c r="CA11" i="5"/>
  <c r="CB11" i="5"/>
  <c r="CC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M12" i="5"/>
  <c r="BN12" i="5"/>
  <c r="BO12" i="5"/>
  <c r="BP12" i="5"/>
  <c r="BQ12" i="5"/>
  <c r="BR12" i="5"/>
  <c r="BS12" i="5"/>
  <c r="BT12" i="5"/>
  <c r="BU12" i="5"/>
  <c r="BV12" i="5"/>
  <c r="BW12" i="5"/>
  <c r="BX12" i="5"/>
  <c r="BY12" i="5"/>
  <c r="BZ12" i="5"/>
  <c r="CA12" i="5"/>
  <c r="CB12" i="5"/>
  <c r="CC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BV13" i="5"/>
  <c r="BW13" i="5"/>
  <c r="BX13" i="5"/>
  <c r="BY13" i="5"/>
  <c r="BZ13" i="5"/>
  <c r="CA13" i="5"/>
  <c r="CB13" i="5"/>
  <c r="CC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J15" i="5"/>
  <c r="BK15" i="5"/>
  <c r="BL15" i="5"/>
  <c r="BM15" i="5"/>
  <c r="BN15" i="5"/>
  <c r="BO15" i="5"/>
  <c r="BP15" i="5"/>
  <c r="BQ15" i="5"/>
  <c r="BR15" i="5"/>
  <c r="BS15" i="5"/>
  <c r="BT15" i="5"/>
  <c r="BU15" i="5"/>
  <c r="BV15" i="5"/>
  <c r="BW15" i="5"/>
  <c r="BX15" i="5"/>
  <c r="BY15" i="5"/>
  <c r="BZ15" i="5"/>
  <c r="CA15" i="5"/>
  <c r="CB15" i="5"/>
  <c r="CC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BE16" i="5"/>
  <c r="BF16" i="5"/>
  <c r="BG16" i="5"/>
  <c r="BH16" i="5"/>
  <c r="BI16" i="5"/>
  <c r="BJ16" i="5"/>
  <c r="BK16" i="5"/>
  <c r="BL16" i="5"/>
  <c r="BM16" i="5"/>
  <c r="BN16" i="5"/>
  <c r="BO16" i="5"/>
  <c r="BP16" i="5"/>
  <c r="BQ16" i="5"/>
  <c r="BR16" i="5"/>
  <c r="BS16" i="5"/>
  <c r="BT16" i="5"/>
  <c r="BU16" i="5"/>
  <c r="BV16" i="5"/>
  <c r="BW16" i="5"/>
  <c r="BX16" i="5"/>
  <c r="BY16" i="5"/>
  <c r="BZ16" i="5"/>
  <c r="CA16" i="5"/>
  <c r="CB16" i="5"/>
  <c r="CC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V17" i="5"/>
  <c r="BW17" i="5"/>
  <c r="BX17" i="5"/>
  <c r="BY17" i="5"/>
  <c r="BZ17" i="5"/>
  <c r="CA17" i="5"/>
  <c r="CB17" i="5"/>
  <c r="CC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V18" i="5"/>
  <c r="BW18" i="5"/>
  <c r="BX18" i="5"/>
  <c r="BY18" i="5"/>
  <c r="BZ18" i="5"/>
  <c r="CA18" i="5"/>
  <c r="CB18" i="5"/>
  <c r="CC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BE21" i="5"/>
  <c r="BF21" i="5"/>
  <c r="BG21" i="5"/>
  <c r="BH21" i="5"/>
  <c r="BI21" i="5"/>
  <c r="BJ21" i="5"/>
  <c r="BK21" i="5"/>
  <c r="BL21" i="5"/>
  <c r="BM21" i="5"/>
  <c r="BN21" i="5"/>
  <c r="BO21" i="5"/>
  <c r="BP21" i="5"/>
  <c r="BQ21" i="5"/>
  <c r="BR21" i="5"/>
  <c r="BS21" i="5"/>
  <c r="BT21" i="5"/>
  <c r="BU21" i="5"/>
  <c r="BV21" i="5"/>
  <c r="BW21" i="5"/>
  <c r="BX21" i="5"/>
  <c r="BY21" i="5"/>
  <c r="BZ21" i="5"/>
  <c r="CA21" i="5"/>
  <c r="CB21" i="5"/>
  <c r="CC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BE22" i="5"/>
  <c r="BF22" i="5"/>
  <c r="BG22" i="5"/>
  <c r="BH22" i="5"/>
  <c r="BI22" i="5"/>
  <c r="BJ22" i="5"/>
  <c r="BK22" i="5"/>
  <c r="BL22" i="5"/>
  <c r="BM22" i="5"/>
  <c r="BN22" i="5"/>
  <c r="BO22" i="5"/>
  <c r="BP22" i="5"/>
  <c r="BQ22" i="5"/>
  <c r="BR22" i="5"/>
  <c r="BS22" i="5"/>
  <c r="BT22" i="5"/>
  <c r="BU22" i="5"/>
  <c r="BV22" i="5"/>
  <c r="BW22" i="5"/>
  <c r="BX22" i="5"/>
  <c r="BY22" i="5"/>
  <c r="BZ22" i="5"/>
  <c r="CA22" i="5"/>
  <c r="CB22" i="5"/>
  <c r="CC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BE23" i="5"/>
  <c r="BF23" i="5"/>
  <c r="BG23" i="5"/>
  <c r="BH23" i="5"/>
  <c r="BI23" i="5"/>
  <c r="BJ23" i="5"/>
  <c r="BK23" i="5"/>
  <c r="BL23" i="5"/>
  <c r="BM23" i="5"/>
  <c r="BN23" i="5"/>
  <c r="BO23" i="5"/>
  <c r="BP23" i="5"/>
  <c r="BQ23" i="5"/>
  <c r="BR23" i="5"/>
  <c r="BS23" i="5"/>
  <c r="BT23" i="5"/>
  <c r="BU23" i="5"/>
  <c r="BV23" i="5"/>
  <c r="BW23" i="5"/>
  <c r="BX23" i="5"/>
  <c r="BY23" i="5"/>
  <c r="BZ23" i="5"/>
  <c r="CA23" i="5"/>
  <c r="CB23" i="5"/>
  <c r="CC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BE24" i="5"/>
  <c r="BF24" i="5"/>
  <c r="BG24" i="5"/>
  <c r="BH24" i="5"/>
  <c r="BI24" i="5"/>
  <c r="BJ24" i="5"/>
  <c r="BK24" i="5"/>
  <c r="BL24" i="5"/>
  <c r="BM24" i="5"/>
  <c r="BN24" i="5"/>
  <c r="BO24" i="5"/>
  <c r="BP24" i="5"/>
  <c r="BQ24" i="5"/>
  <c r="BR24" i="5"/>
  <c r="BS24" i="5"/>
  <c r="BT24" i="5"/>
  <c r="BU24" i="5"/>
  <c r="BV24" i="5"/>
  <c r="BW24" i="5"/>
  <c r="BX24" i="5"/>
  <c r="BY24" i="5"/>
  <c r="BZ24" i="5"/>
  <c r="CA24" i="5"/>
  <c r="CB24" i="5"/>
  <c r="CC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BE25" i="5"/>
  <c r="BF25" i="5"/>
  <c r="BG25" i="5"/>
  <c r="BH25" i="5"/>
  <c r="BI25" i="5"/>
  <c r="BJ25" i="5"/>
  <c r="BK25" i="5"/>
  <c r="BL25" i="5"/>
  <c r="BM25" i="5"/>
  <c r="BN25" i="5"/>
  <c r="BO25" i="5"/>
  <c r="BP25" i="5"/>
  <c r="BQ25" i="5"/>
  <c r="BR25" i="5"/>
  <c r="BS25" i="5"/>
  <c r="BT25" i="5"/>
  <c r="BU25" i="5"/>
  <c r="BV25" i="5"/>
  <c r="BW25" i="5"/>
  <c r="BX25" i="5"/>
  <c r="BY25" i="5"/>
  <c r="BZ25" i="5"/>
  <c r="CA25" i="5"/>
  <c r="CB25" i="5"/>
  <c r="CC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BF26" i="5"/>
  <c r="BG26" i="5"/>
  <c r="BH26" i="5"/>
  <c r="BI26" i="5"/>
  <c r="BJ26" i="5"/>
  <c r="BK26" i="5"/>
  <c r="BL26" i="5"/>
  <c r="BM26" i="5"/>
  <c r="BN26" i="5"/>
  <c r="BO26" i="5"/>
  <c r="BP26" i="5"/>
  <c r="BQ26" i="5"/>
  <c r="BR26" i="5"/>
  <c r="BS26" i="5"/>
  <c r="BT26" i="5"/>
  <c r="BU26" i="5"/>
  <c r="BV26" i="5"/>
  <c r="BW26" i="5"/>
  <c r="BX26" i="5"/>
  <c r="BY26" i="5"/>
  <c r="BZ26" i="5"/>
  <c r="CA26" i="5"/>
  <c r="CB26" i="5"/>
  <c r="CC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BV27" i="5"/>
  <c r="BW27" i="5"/>
  <c r="BX27" i="5"/>
  <c r="BY27" i="5"/>
  <c r="BZ27" i="5"/>
  <c r="CA27" i="5"/>
  <c r="CB27" i="5"/>
  <c r="CC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BE28" i="5"/>
  <c r="BF28" i="5"/>
  <c r="BG28" i="5"/>
  <c r="BH28" i="5"/>
  <c r="BI28" i="5"/>
  <c r="BJ28" i="5"/>
  <c r="BK28" i="5"/>
  <c r="BL28" i="5"/>
  <c r="BM28" i="5"/>
  <c r="BN28" i="5"/>
  <c r="BO28" i="5"/>
  <c r="BP28" i="5"/>
  <c r="BQ28" i="5"/>
  <c r="BR28" i="5"/>
  <c r="BS28" i="5"/>
  <c r="BT28" i="5"/>
  <c r="BU28" i="5"/>
  <c r="BV28" i="5"/>
  <c r="BW28" i="5"/>
  <c r="BX28" i="5"/>
  <c r="BY28" i="5"/>
  <c r="BZ28" i="5"/>
  <c r="CA28" i="5"/>
  <c r="CB28" i="5"/>
  <c r="CC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BE29" i="5"/>
  <c r="BF29" i="5"/>
  <c r="BG29" i="5"/>
  <c r="BH29" i="5"/>
  <c r="BI29" i="5"/>
  <c r="BJ29" i="5"/>
  <c r="BK29" i="5"/>
  <c r="BL29" i="5"/>
  <c r="BM29" i="5"/>
  <c r="BN29" i="5"/>
  <c r="BO29" i="5"/>
  <c r="BP29" i="5"/>
  <c r="BQ29" i="5"/>
  <c r="BR29" i="5"/>
  <c r="BS29" i="5"/>
  <c r="BT29" i="5"/>
  <c r="BU29" i="5"/>
  <c r="BV29" i="5"/>
  <c r="BW29" i="5"/>
  <c r="BX29" i="5"/>
  <c r="BY29" i="5"/>
  <c r="BZ29" i="5"/>
  <c r="CA29" i="5"/>
  <c r="CB29" i="5"/>
  <c r="CC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CA30" i="5"/>
  <c r="CB30" i="5"/>
  <c r="CC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BE31" i="5"/>
  <c r="BF31" i="5"/>
  <c r="BG31" i="5"/>
  <c r="BH31" i="5"/>
  <c r="BI31" i="5"/>
  <c r="BJ31" i="5"/>
  <c r="BK31" i="5"/>
  <c r="BL31" i="5"/>
  <c r="BM31" i="5"/>
  <c r="BN31" i="5"/>
  <c r="BO31" i="5"/>
  <c r="BP31" i="5"/>
  <c r="BQ31" i="5"/>
  <c r="BR31" i="5"/>
  <c r="BS31" i="5"/>
  <c r="BT31" i="5"/>
  <c r="BU31" i="5"/>
  <c r="BV31" i="5"/>
  <c r="BW31" i="5"/>
  <c r="BX31" i="5"/>
  <c r="BY31" i="5"/>
  <c r="BZ31" i="5"/>
  <c r="CA31" i="5"/>
  <c r="CB31" i="5"/>
  <c r="CC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BE32" i="5"/>
  <c r="BF32" i="5"/>
  <c r="BG32" i="5"/>
  <c r="BH32" i="5"/>
  <c r="BI32" i="5"/>
  <c r="BJ32" i="5"/>
  <c r="BK32" i="5"/>
  <c r="BL32" i="5"/>
  <c r="BM32" i="5"/>
  <c r="BN32" i="5"/>
  <c r="BO32" i="5"/>
  <c r="BP32" i="5"/>
  <c r="BQ32" i="5"/>
  <c r="BR32" i="5"/>
  <c r="BS32" i="5"/>
  <c r="BT32" i="5"/>
  <c r="BU32" i="5"/>
  <c r="BV32" i="5"/>
  <c r="BW32" i="5"/>
  <c r="BX32" i="5"/>
  <c r="BY32" i="5"/>
  <c r="BZ32" i="5"/>
  <c r="CA32" i="5"/>
  <c r="CB32" i="5"/>
  <c r="CC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BE33" i="5"/>
  <c r="BF33" i="5"/>
  <c r="BG33" i="5"/>
  <c r="BH33" i="5"/>
  <c r="BI33" i="5"/>
  <c r="BJ33" i="5"/>
  <c r="BK33" i="5"/>
  <c r="BL33" i="5"/>
  <c r="BM33" i="5"/>
  <c r="BN33" i="5"/>
  <c r="BO33" i="5"/>
  <c r="BP33" i="5"/>
  <c r="BQ33" i="5"/>
  <c r="BR33" i="5"/>
  <c r="BS33" i="5"/>
  <c r="BT33" i="5"/>
  <c r="BU33" i="5"/>
  <c r="BV33" i="5"/>
  <c r="BW33" i="5"/>
  <c r="BX33" i="5"/>
  <c r="BY33" i="5"/>
  <c r="BZ33" i="5"/>
  <c r="CA33" i="5"/>
  <c r="CB33" i="5"/>
  <c r="CC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BE34" i="5"/>
  <c r="BF34" i="5"/>
  <c r="BG34" i="5"/>
  <c r="BH34" i="5"/>
  <c r="BI34" i="5"/>
  <c r="BJ34" i="5"/>
  <c r="BK34" i="5"/>
  <c r="BL34" i="5"/>
  <c r="BM34" i="5"/>
  <c r="BN34" i="5"/>
  <c r="BO34" i="5"/>
  <c r="BP34" i="5"/>
  <c r="BQ34" i="5"/>
  <c r="BR34" i="5"/>
  <c r="BS34" i="5"/>
  <c r="BT34" i="5"/>
  <c r="BU34" i="5"/>
  <c r="BV34" i="5"/>
  <c r="BW34" i="5"/>
  <c r="BX34" i="5"/>
  <c r="BY34" i="5"/>
  <c r="BZ34" i="5"/>
  <c r="CA34" i="5"/>
  <c r="CB34" i="5"/>
  <c r="CC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BE35" i="5"/>
  <c r="BF35" i="5"/>
  <c r="BG35" i="5"/>
  <c r="BH35" i="5"/>
  <c r="BI35" i="5"/>
  <c r="BJ35" i="5"/>
  <c r="BK35" i="5"/>
  <c r="BL35" i="5"/>
  <c r="BM35" i="5"/>
  <c r="BN35" i="5"/>
  <c r="BO35" i="5"/>
  <c r="BP35" i="5"/>
  <c r="BQ35" i="5"/>
  <c r="BR35" i="5"/>
  <c r="BS35" i="5"/>
  <c r="BT35" i="5"/>
  <c r="BU35" i="5"/>
  <c r="BV35" i="5"/>
  <c r="BW35" i="5"/>
  <c r="BX35" i="5"/>
  <c r="BY35" i="5"/>
  <c r="BZ35" i="5"/>
  <c r="CA35" i="5"/>
  <c r="CB35" i="5"/>
  <c r="CC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BE36" i="5"/>
  <c r="BF36" i="5"/>
  <c r="BG36" i="5"/>
  <c r="BH36" i="5"/>
  <c r="BI36" i="5"/>
  <c r="BJ36" i="5"/>
  <c r="BK36" i="5"/>
  <c r="BL36" i="5"/>
  <c r="BM36" i="5"/>
  <c r="BN36" i="5"/>
  <c r="BO36" i="5"/>
  <c r="BP36" i="5"/>
  <c r="BQ36" i="5"/>
  <c r="BR36" i="5"/>
  <c r="BS36" i="5"/>
  <c r="BT36" i="5"/>
  <c r="BU36" i="5"/>
  <c r="BV36" i="5"/>
  <c r="BW36" i="5"/>
  <c r="BX36" i="5"/>
  <c r="BY36" i="5"/>
  <c r="BZ36" i="5"/>
  <c r="CA36" i="5"/>
  <c r="CB36" i="5"/>
  <c r="CC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BE37" i="5"/>
  <c r="BF37" i="5"/>
  <c r="BG37" i="5"/>
  <c r="BH37" i="5"/>
  <c r="BI37" i="5"/>
  <c r="BJ37" i="5"/>
  <c r="BK37" i="5"/>
  <c r="BL37" i="5"/>
  <c r="BM37" i="5"/>
  <c r="BN37" i="5"/>
  <c r="BO37" i="5"/>
  <c r="BP37" i="5"/>
  <c r="BQ37" i="5"/>
  <c r="BR37" i="5"/>
  <c r="BS37" i="5"/>
  <c r="BT37" i="5"/>
  <c r="BU37" i="5"/>
  <c r="BV37" i="5"/>
  <c r="BW37" i="5"/>
  <c r="BX37" i="5"/>
  <c r="BY37" i="5"/>
  <c r="BZ37" i="5"/>
  <c r="CA37" i="5"/>
  <c r="CB37" i="5"/>
  <c r="CC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BF38" i="5"/>
  <c r="BG38" i="5"/>
  <c r="BH38" i="5"/>
  <c r="BI38" i="5"/>
  <c r="BJ38" i="5"/>
  <c r="BK38" i="5"/>
  <c r="BL38" i="5"/>
  <c r="BM38" i="5"/>
  <c r="BN38" i="5"/>
  <c r="BO38" i="5"/>
  <c r="BP38" i="5"/>
  <c r="BQ38" i="5"/>
  <c r="BR38" i="5"/>
  <c r="BS38" i="5"/>
  <c r="BT38" i="5"/>
  <c r="BU38" i="5"/>
  <c r="BV38" i="5"/>
  <c r="BW38" i="5"/>
  <c r="BX38" i="5"/>
  <c r="BY38" i="5"/>
  <c r="BZ38" i="5"/>
  <c r="CA38" i="5"/>
  <c r="CB38" i="5"/>
  <c r="CC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BF39" i="5"/>
  <c r="BG39" i="5"/>
  <c r="BH39" i="5"/>
  <c r="BI39" i="5"/>
  <c r="BJ39" i="5"/>
  <c r="BK39" i="5"/>
  <c r="BL39" i="5"/>
  <c r="BM39" i="5"/>
  <c r="BN39" i="5"/>
  <c r="BO39" i="5"/>
  <c r="BP39" i="5"/>
  <c r="BQ39" i="5"/>
  <c r="BR39" i="5"/>
  <c r="BS39" i="5"/>
  <c r="BT39" i="5"/>
  <c r="BU39" i="5"/>
  <c r="BV39" i="5"/>
  <c r="BW39" i="5"/>
  <c r="BX39" i="5"/>
  <c r="BY39" i="5"/>
  <c r="BZ39" i="5"/>
  <c r="CA39" i="5"/>
  <c r="CB39" i="5"/>
  <c r="CC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BF40" i="5"/>
  <c r="BG40" i="5"/>
  <c r="BH40" i="5"/>
  <c r="BI40" i="5"/>
  <c r="BJ40" i="5"/>
  <c r="BK40" i="5"/>
  <c r="BL40" i="5"/>
  <c r="BM40" i="5"/>
  <c r="BN40" i="5"/>
  <c r="BO40" i="5"/>
  <c r="BP40" i="5"/>
  <c r="BQ40" i="5"/>
  <c r="BR40" i="5"/>
  <c r="BS40" i="5"/>
  <c r="BT40" i="5"/>
  <c r="BU40" i="5"/>
  <c r="BV40" i="5"/>
  <c r="BW40" i="5"/>
  <c r="BX40" i="5"/>
  <c r="BY40" i="5"/>
  <c r="BZ40" i="5"/>
  <c r="CA40" i="5"/>
  <c r="CB40" i="5"/>
  <c r="CC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CC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V42" i="5"/>
  <c r="AW42" i="5"/>
  <c r="AX42" i="5"/>
  <c r="AY42" i="5"/>
  <c r="AZ42" i="5"/>
  <c r="BA42" i="5"/>
  <c r="BB42" i="5"/>
  <c r="BC42" i="5"/>
  <c r="BD42" i="5"/>
  <c r="BE42" i="5"/>
  <c r="BF42" i="5"/>
  <c r="BG42" i="5"/>
  <c r="BH42" i="5"/>
  <c r="BI42" i="5"/>
  <c r="BJ42" i="5"/>
  <c r="BK42" i="5"/>
  <c r="BL42" i="5"/>
  <c r="BM42" i="5"/>
  <c r="BN42" i="5"/>
  <c r="BO42" i="5"/>
  <c r="BP42" i="5"/>
  <c r="BQ42" i="5"/>
  <c r="BR42" i="5"/>
  <c r="BS42" i="5"/>
  <c r="BT42" i="5"/>
  <c r="BU42" i="5"/>
  <c r="BV42" i="5"/>
  <c r="BW42" i="5"/>
  <c r="BX42" i="5"/>
  <c r="BY42" i="5"/>
  <c r="BZ42" i="5"/>
  <c r="CA42" i="5"/>
  <c r="CB42" i="5"/>
  <c r="CC42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V43" i="5"/>
  <c r="AW43" i="5"/>
  <c r="AX43" i="5"/>
  <c r="AY43" i="5"/>
  <c r="AZ43" i="5"/>
  <c r="BA43" i="5"/>
  <c r="BB43" i="5"/>
  <c r="BC43" i="5"/>
  <c r="BD43" i="5"/>
  <c r="BE43" i="5"/>
  <c r="BF43" i="5"/>
  <c r="BG43" i="5"/>
  <c r="BH43" i="5"/>
  <c r="BI43" i="5"/>
  <c r="BJ43" i="5"/>
  <c r="BK43" i="5"/>
  <c r="BL43" i="5"/>
  <c r="BM43" i="5"/>
  <c r="BN43" i="5"/>
  <c r="BO43" i="5"/>
  <c r="BP43" i="5"/>
  <c r="BQ43" i="5"/>
  <c r="BR43" i="5"/>
  <c r="BS43" i="5"/>
  <c r="BT43" i="5"/>
  <c r="BU43" i="5"/>
  <c r="BV43" i="5"/>
  <c r="BW43" i="5"/>
  <c r="BX43" i="5"/>
  <c r="BY43" i="5"/>
  <c r="BZ43" i="5"/>
  <c r="CA43" i="5"/>
  <c r="CB43" i="5"/>
  <c r="CC43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V44" i="5"/>
  <c r="AW44" i="5"/>
  <c r="AX44" i="5"/>
  <c r="AY44" i="5"/>
  <c r="AZ44" i="5"/>
  <c r="BA44" i="5"/>
  <c r="BB44" i="5"/>
  <c r="BC44" i="5"/>
  <c r="BD44" i="5"/>
  <c r="BE44" i="5"/>
  <c r="BF44" i="5"/>
  <c r="BG44" i="5"/>
  <c r="BH44" i="5"/>
  <c r="BI44" i="5"/>
  <c r="BJ44" i="5"/>
  <c r="BK44" i="5"/>
  <c r="BL44" i="5"/>
  <c r="BM44" i="5"/>
  <c r="BN44" i="5"/>
  <c r="BO44" i="5"/>
  <c r="BP44" i="5"/>
  <c r="BQ44" i="5"/>
  <c r="BR44" i="5"/>
  <c r="BS44" i="5"/>
  <c r="BT44" i="5"/>
  <c r="BU44" i="5"/>
  <c r="BV44" i="5"/>
  <c r="BW44" i="5"/>
  <c r="BX44" i="5"/>
  <c r="BY44" i="5"/>
  <c r="BZ44" i="5"/>
  <c r="CA44" i="5"/>
  <c r="CB44" i="5"/>
  <c r="CC44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V45" i="5"/>
  <c r="AW45" i="5"/>
  <c r="AX45" i="5"/>
  <c r="AY45" i="5"/>
  <c r="AZ45" i="5"/>
  <c r="BA45" i="5"/>
  <c r="BB45" i="5"/>
  <c r="BC45" i="5"/>
  <c r="BD45" i="5"/>
  <c r="BE45" i="5"/>
  <c r="BF45" i="5"/>
  <c r="BG45" i="5"/>
  <c r="BH45" i="5"/>
  <c r="BI45" i="5"/>
  <c r="BJ45" i="5"/>
  <c r="BK45" i="5"/>
  <c r="BL45" i="5"/>
  <c r="BM45" i="5"/>
  <c r="BN45" i="5"/>
  <c r="BO45" i="5"/>
  <c r="BP45" i="5"/>
  <c r="BQ45" i="5"/>
  <c r="BR45" i="5"/>
  <c r="BS45" i="5"/>
  <c r="BT45" i="5"/>
  <c r="BU45" i="5"/>
  <c r="BV45" i="5"/>
  <c r="BW45" i="5"/>
  <c r="BX45" i="5"/>
  <c r="BY45" i="5"/>
  <c r="BZ45" i="5"/>
  <c r="CA45" i="5"/>
  <c r="CB45" i="5"/>
  <c r="CC45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AG46" i="5"/>
  <c r="AH46" i="5"/>
  <c r="AI46" i="5"/>
  <c r="AJ46" i="5"/>
  <c r="AK46" i="5"/>
  <c r="AL46" i="5"/>
  <c r="AM46" i="5"/>
  <c r="AN46" i="5"/>
  <c r="AO46" i="5"/>
  <c r="AP46" i="5"/>
  <c r="AQ46" i="5"/>
  <c r="AR46" i="5"/>
  <c r="AS46" i="5"/>
  <c r="AT46" i="5"/>
  <c r="AU46" i="5"/>
  <c r="AV46" i="5"/>
  <c r="AW46" i="5"/>
  <c r="AX46" i="5"/>
  <c r="AY46" i="5"/>
  <c r="AZ46" i="5"/>
  <c r="BA46" i="5"/>
  <c r="BB46" i="5"/>
  <c r="BC46" i="5"/>
  <c r="BD46" i="5"/>
  <c r="BE46" i="5"/>
  <c r="BF46" i="5"/>
  <c r="BG46" i="5"/>
  <c r="BH46" i="5"/>
  <c r="BI46" i="5"/>
  <c r="BJ46" i="5"/>
  <c r="BK46" i="5"/>
  <c r="BL46" i="5"/>
  <c r="BM46" i="5"/>
  <c r="BN46" i="5"/>
  <c r="BO46" i="5"/>
  <c r="BP46" i="5"/>
  <c r="BQ46" i="5"/>
  <c r="BR46" i="5"/>
  <c r="BS46" i="5"/>
  <c r="BT46" i="5"/>
  <c r="BU46" i="5"/>
  <c r="BV46" i="5"/>
  <c r="BW46" i="5"/>
  <c r="BX46" i="5"/>
  <c r="BY46" i="5"/>
  <c r="BZ46" i="5"/>
  <c r="CA46" i="5"/>
  <c r="CB46" i="5"/>
  <c r="CC46" i="5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AG47" i="5"/>
  <c r="AH47" i="5"/>
  <c r="AI47" i="5"/>
  <c r="AJ47" i="5"/>
  <c r="AK47" i="5"/>
  <c r="AL47" i="5"/>
  <c r="AM47" i="5"/>
  <c r="AN47" i="5"/>
  <c r="AO47" i="5"/>
  <c r="AP47" i="5"/>
  <c r="AQ47" i="5"/>
  <c r="AR47" i="5"/>
  <c r="AS47" i="5"/>
  <c r="AT47" i="5"/>
  <c r="AU47" i="5"/>
  <c r="AV47" i="5"/>
  <c r="AW47" i="5"/>
  <c r="AX47" i="5"/>
  <c r="AY47" i="5"/>
  <c r="AZ47" i="5"/>
  <c r="BA47" i="5"/>
  <c r="BB47" i="5"/>
  <c r="BC47" i="5"/>
  <c r="BD47" i="5"/>
  <c r="BE47" i="5"/>
  <c r="BF47" i="5"/>
  <c r="BG47" i="5"/>
  <c r="BH47" i="5"/>
  <c r="BI47" i="5"/>
  <c r="BJ47" i="5"/>
  <c r="BK47" i="5"/>
  <c r="BL47" i="5"/>
  <c r="BM47" i="5"/>
  <c r="BN47" i="5"/>
  <c r="BO47" i="5"/>
  <c r="BP47" i="5"/>
  <c r="BQ47" i="5"/>
  <c r="BR47" i="5"/>
  <c r="BS47" i="5"/>
  <c r="BT47" i="5"/>
  <c r="BU47" i="5"/>
  <c r="BV47" i="5"/>
  <c r="BW47" i="5"/>
  <c r="BX47" i="5"/>
  <c r="BY47" i="5"/>
  <c r="BZ47" i="5"/>
  <c r="CA47" i="5"/>
  <c r="CB47" i="5"/>
  <c r="CC47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AG48" i="5"/>
  <c r="AH48" i="5"/>
  <c r="AI48" i="5"/>
  <c r="AJ48" i="5"/>
  <c r="AK48" i="5"/>
  <c r="AL48" i="5"/>
  <c r="AM48" i="5"/>
  <c r="AN48" i="5"/>
  <c r="AO48" i="5"/>
  <c r="AP48" i="5"/>
  <c r="AQ48" i="5"/>
  <c r="AR48" i="5"/>
  <c r="AS48" i="5"/>
  <c r="AT48" i="5"/>
  <c r="AU48" i="5"/>
  <c r="AV48" i="5"/>
  <c r="AW48" i="5"/>
  <c r="AX48" i="5"/>
  <c r="AY48" i="5"/>
  <c r="AZ48" i="5"/>
  <c r="BA48" i="5"/>
  <c r="BB48" i="5"/>
  <c r="BC48" i="5"/>
  <c r="BD48" i="5"/>
  <c r="BE48" i="5"/>
  <c r="BF48" i="5"/>
  <c r="BG48" i="5"/>
  <c r="BH48" i="5"/>
  <c r="BI48" i="5"/>
  <c r="BJ48" i="5"/>
  <c r="BK48" i="5"/>
  <c r="BL48" i="5"/>
  <c r="BM48" i="5"/>
  <c r="BN48" i="5"/>
  <c r="BO48" i="5"/>
  <c r="BP48" i="5"/>
  <c r="BQ48" i="5"/>
  <c r="BR48" i="5"/>
  <c r="BS48" i="5"/>
  <c r="BT48" i="5"/>
  <c r="BU48" i="5"/>
  <c r="BV48" i="5"/>
  <c r="BW48" i="5"/>
  <c r="BX48" i="5"/>
  <c r="BY48" i="5"/>
  <c r="BZ48" i="5"/>
  <c r="CA48" i="5"/>
  <c r="CB48" i="5"/>
  <c r="CC48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AG49" i="5"/>
  <c r="AH49" i="5"/>
  <c r="AI49" i="5"/>
  <c r="AJ49" i="5"/>
  <c r="AK49" i="5"/>
  <c r="AL49" i="5"/>
  <c r="AM49" i="5"/>
  <c r="AN49" i="5"/>
  <c r="AO49" i="5"/>
  <c r="AP49" i="5"/>
  <c r="AQ49" i="5"/>
  <c r="AR49" i="5"/>
  <c r="AS49" i="5"/>
  <c r="AT49" i="5"/>
  <c r="AU49" i="5"/>
  <c r="AV49" i="5"/>
  <c r="AW49" i="5"/>
  <c r="AX49" i="5"/>
  <c r="AY49" i="5"/>
  <c r="AZ49" i="5"/>
  <c r="BA49" i="5"/>
  <c r="BB49" i="5"/>
  <c r="BC49" i="5"/>
  <c r="BD49" i="5"/>
  <c r="BE49" i="5"/>
  <c r="BF49" i="5"/>
  <c r="BG49" i="5"/>
  <c r="BH49" i="5"/>
  <c r="BI49" i="5"/>
  <c r="BJ49" i="5"/>
  <c r="BK49" i="5"/>
  <c r="BL49" i="5"/>
  <c r="BM49" i="5"/>
  <c r="BN49" i="5"/>
  <c r="BO49" i="5"/>
  <c r="BP49" i="5"/>
  <c r="BQ49" i="5"/>
  <c r="BR49" i="5"/>
  <c r="BS49" i="5"/>
  <c r="BT49" i="5"/>
  <c r="BU49" i="5"/>
  <c r="BV49" i="5"/>
  <c r="BW49" i="5"/>
  <c r="BX49" i="5"/>
  <c r="BY49" i="5"/>
  <c r="BZ49" i="5"/>
  <c r="CA49" i="5"/>
  <c r="CB49" i="5"/>
  <c r="CC49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M50" i="5"/>
  <c r="AN50" i="5"/>
  <c r="AO50" i="5"/>
  <c r="AP50" i="5"/>
  <c r="AQ50" i="5"/>
  <c r="AR50" i="5"/>
  <c r="AS50" i="5"/>
  <c r="AT50" i="5"/>
  <c r="AU50" i="5"/>
  <c r="AV50" i="5"/>
  <c r="AW50" i="5"/>
  <c r="AX50" i="5"/>
  <c r="AY50" i="5"/>
  <c r="AZ50" i="5"/>
  <c r="BA50" i="5"/>
  <c r="BB50" i="5"/>
  <c r="BC50" i="5"/>
  <c r="BD50" i="5"/>
  <c r="BE50" i="5"/>
  <c r="BF50" i="5"/>
  <c r="BG50" i="5"/>
  <c r="BH50" i="5"/>
  <c r="BI50" i="5"/>
  <c r="BJ50" i="5"/>
  <c r="BK50" i="5"/>
  <c r="BL50" i="5"/>
  <c r="BM50" i="5"/>
  <c r="BN50" i="5"/>
  <c r="BO50" i="5"/>
  <c r="BP50" i="5"/>
  <c r="BQ50" i="5"/>
  <c r="BR50" i="5"/>
  <c r="BS50" i="5"/>
  <c r="BT50" i="5"/>
  <c r="BU50" i="5"/>
  <c r="BV50" i="5"/>
  <c r="BW50" i="5"/>
  <c r="BX50" i="5"/>
  <c r="BY50" i="5"/>
  <c r="BZ50" i="5"/>
  <c r="CA50" i="5"/>
  <c r="CB50" i="5"/>
  <c r="CC50" i="5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AG51" i="5"/>
  <c r="AH51" i="5"/>
  <c r="AI51" i="5"/>
  <c r="AJ51" i="5"/>
  <c r="AK51" i="5"/>
  <c r="AL51" i="5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BC51" i="5"/>
  <c r="BD51" i="5"/>
  <c r="BE51" i="5"/>
  <c r="BF51" i="5"/>
  <c r="BG51" i="5"/>
  <c r="BH51" i="5"/>
  <c r="BI51" i="5"/>
  <c r="BJ51" i="5"/>
  <c r="BK51" i="5"/>
  <c r="BL51" i="5"/>
  <c r="BM51" i="5"/>
  <c r="BN51" i="5"/>
  <c r="BO51" i="5"/>
  <c r="BP51" i="5"/>
  <c r="BQ51" i="5"/>
  <c r="BR51" i="5"/>
  <c r="BS51" i="5"/>
  <c r="BT51" i="5"/>
  <c r="BU51" i="5"/>
  <c r="BV51" i="5"/>
  <c r="BW51" i="5"/>
  <c r="BX51" i="5"/>
  <c r="BY51" i="5"/>
  <c r="BZ51" i="5"/>
  <c r="CA51" i="5"/>
  <c r="CB51" i="5"/>
  <c r="CC51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AG52" i="5"/>
  <c r="AH52" i="5"/>
  <c r="AI52" i="5"/>
  <c r="AJ52" i="5"/>
  <c r="AK52" i="5"/>
  <c r="AL52" i="5"/>
  <c r="AM52" i="5"/>
  <c r="AN52" i="5"/>
  <c r="AO52" i="5"/>
  <c r="AP52" i="5"/>
  <c r="AQ52" i="5"/>
  <c r="AR52" i="5"/>
  <c r="AS52" i="5"/>
  <c r="AT52" i="5"/>
  <c r="AU52" i="5"/>
  <c r="AV52" i="5"/>
  <c r="AW52" i="5"/>
  <c r="AX52" i="5"/>
  <c r="AY52" i="5"/>
  <c r="AZ52" i="5"/>
  <c r="BA52" i="5"/>
  <c r="BB52" i="5"/>
  <c r="BC52" i="5"/>
  <c r="BD52" i="5"/>
  <c r="BE52" i="5"/>
  <c r="BF52" i="5"/>
  <c r="BG52" i="5"/>
  <c r="BH52" i="5"/>
  <c r="BI52" i="5"/>
  <c r="BJ52" i="5"/>
  <c r="BK52" i="5"/>
  <c r="BL52" i="5"/>
  <c r="BM52" i="5"/>
  <c r="BN52" i="5"/>
  <c r="BO52" i="5"/>
  <c r="BP52" i="5"/>
  <c r="BQ52" i="5"/>
  <c r="BR52" i="5"/>
  <c r="BS52" i="5"/>
  <c r="BT52" i="5"/>
  <c r="BU52" i="5"/>
  <c r="BV52" i="5"/>
  <c r="BW52" i="5"/>
  <c r="BX52" i="5"/>
  <c r="BY52" i="5"/>
  <c r="BZ52" i="5"/>
  <c r="CA52" i="5"/>
  <c r="CB52" i="5"/>
  <c r="CC52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CA53" i="5"/>
  <c r="CB53" i="5"/>
  <c r="CC53" i="5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AG54" i="5"/>
  <c r="AH54" i="5"/>
  <c r="AI54" i="5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P54" i="5"/>
  <c r="BQ54" i="5"/>
  <c r="BR54" i="5"/>
  <c r="BS54" i="5"/>
  <c r="BT54" i="5"/>
  <c r="BU54" i="5"/>
  <c r="BV54" i="5"/>
  <c r="BW54" i="5"/>
  <c r="BX54" i="5"/>
  <c r="BY54" i="5"/>
  <c r="BZ54" i="5"/>
  <c r="CA54" i="5"/>
  <c r="CB54" i="5"/>
  <c r="CC54" i="5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AG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CA55" i="5"/>
  <c r="CB55" i="5"/>
  <c r="CC55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AG56" i="5"/>
  <c r="AH56" i="5"/>
  <c r="AI56" i="5"/>
  <c r="AJ56" i="5"/>
  <c r="AK56" i="5"/>
  <c r="AL56" i="5"/>
  <c r="AM56" i="5"/>
  <c r="AN56" i="5"/>
  <c r="AO56" i="5"/>
  <c r="AP56" i="5"/>
  <c r="AQ56" i="5"/>
  <c r="AR56" i="5"/>
  <c r="AS56" i="5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Z56" i="5"/>
  <c r="CA56" i="5"/>
  <c r="CB56" i="5"/>
  <c r="CC56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AP57" i="5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W57" i="5"/>
  <c r="BX57" i="5"/>
  <c r="BY57" i="5"/>
  <c r="BZ57" i="5"/>
  <c r="CA57" i="5"/>
  <c r="CB57" i="5"/>
  <c r="CC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T58" i="5"/>
  <c r="BU58" i="5"/>
  <c r="BV58" i="5"/>
  <c r="BW58" i="5"/>
  <c r="BX58" i="5"/>
  <c r="BY58" i="5"/>
  <c r="BZ58" i="5"/>
  <c r="CA58" i="5"/>
  <c r="CB58" i="5"/>
  <c r="CC58" i="5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AP59" i="5"/>
  <c r="AQ59" i="5"/>
  <c r="AR59" i="5"/>
  <c r="AS59" i="5"/>
  <c r="AT59" i="5"/>
  <c r="AU59" i="5"/>
  <c r="AV59" i="5"/>
  <c r="AW59" i="5"/>
  <c r="AX59" i="5"/>
  <c r="AY59" i="5"/>
  <c r="AZ59" i="5"/>
  <c r="BA59" i="5"/>
  <c r="BB59" i="5"/>
  <c r="BC59" i="5"/>
  <c r="BD59" i="5"/>
  <c r="BE59" i="5"/>
  <c r="BF59" i="5"/>
  <c r="BG59" i="5"/>
  <c r="BH59" i="5"/>
  <c r="BI59" i="5"/>
  <c r="BJ59" i="5"/>
  <c r="BK59" i="5"/>
  <c r="BL59" i="5"/>
  <c r="BM59" i="5"/>
  <c r="BN59" i="5"/>
  <c r="BO59" i="5"/>
  <c r="BP59" i="5"/>
  <c r="BQ59" i="5"/>
  <c r="BR59" i="5"/>
  <c r="BS59" i="5"/>
  <c r="BT59" i="5"/>
  <c r="BU59" i="5"/>
  <c r="BV59" i="5"/>
  <c r="BW59" i="5"/>
  <c r="BX59" i="5"/>
  <c r="BY59" i="5"/>
  <c r="BZ59" i="5"/>
  <c r="CA59" i="5"/>
  <c r="CB59" i="5"/>
  <c r="CC59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P60" i="5"/>
  <c r="AQ60" i="5"/>
  <c r="AR60" i="5"/>
  <c r="AS60" i="5"/>
  <c r="AT60" i="5"/>
  <c r="AU60" i="5"/>
  <c r="AV60" i="5"/>
  <c r="AW60" i="5"/>
  <c r="AX60" i="5"/>
  <c r="AY60" i="5"/>
  <c r="AZ60" i="5"/>
  <c r="BA60" i="5"/>
  <c r="BB60" i="5"/>
  <c r="BC60" i="5"/>
  <c r="BD60" i="5"/>
  <c r="BE60" i="5"/>
  <c r="BF60" i="5"/>
  <c r="BG60" i="5"/>
  <c r="BH60" i="5"/>
  <c r="BI60" i="5"/>
  <c r="BJ60" i="5"/>
  <c r="BK60" i="5"/>
  <c r="BL60" i="5"/>
  <c r="BM60" i="5"/>
  <c r="BN60" i="5"/>
  <c r="BO60" i="5"/>
  <c r="BP60" i="5"/>
  <c r="BQ60" i="5"/>
  <c r="BR60" i="5"/>
  <c r="BS60" i="5"/>
  <c r="BT60" i="5"/>
  <c r="BU60" i="5"/>
  <c r="BV60" i="5"/>
  <c r="BW60" i="5"/>
  <c r="BX60" i="5"/>
  <c r="BY60" i="5"/>
  <c r="BZ60" i="5"/>
  <c r="CA60" i="5"/>
  <c r="CB60" i="5"/>
  <c r="CC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AG61" i="5"/>
  <c r="AH61" i="5"/>
  <c r="AI61" i="5"/>
  <c r="AJ61" i="5"/>
  <c r="AK61" i="5"/>
  <c r="AL61" i="5"/>
  <c r="AM61" i="5"/>
  <c r="AN61" i="5"/>
  <c r="AO61" i="5"/>
  <c r="AP61" i="5"/>
  <c r="AQ61" i="5"/>
  <c r="AR61" i="5"/>
  <c r="AS61" i="5"/>
  <c r="AT61" i="5"/>
  <c r="AU61" i="5"/>
  <c r="AV61" i="5"/>
  <c r="AW61" i="5"/>
  <c r="AX61" i="5"/>
  <c r="AY61" i="5"/>
  <c r="AZ61" i="5"/>
  <c r="BA61" i="5"/>
  <c r="BB61" i="5"/>
  <c r="BC61" i="5"/>
  <c r="BD61" i="5"/>
  <c r="BE61" i="5"/>
  <c r="BF61" i="5"/>
  <c r="BG61" i="5"/>
  <c r="BH61" i="5"/>
  <c r="BI61" i="5"/>
  <c r="BJ61" i="5"/>
  <c r="BK61" i="5"/>
  <c r="BL61" i="5"/>
  <c r="BM61" i="5"/>
  <c r="BN61" i="5"/>
  <c r="BO61" i="5"/>
  <c r="BP61" i="5"/>
  <c r="BQ61" i="5"/>
  <c r="BR61" i="5"/>
  <c r="BS61" i="5"/>
  <c r="BT61" i="5"/>
  <c r="BU61" i="5"/>
  <c r="BV61" i="5"/>
  <c r="BW61" i="5"/>
  <c r="BX61" i="5"/>
  <c r="BY61" i="5"/>
  <c r="BZ61" i="5"/>
  <c r="CA61" i="5"/>
  <c r="CB61" i="5"/>
  <c r="CC61" i="5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AG62" i="5"/>
  <c r="AH62" i="5"/>
  <c r="AI62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Z62" i="5"/>
  <c r="BA62" i="5"/>
  <c r="BB62" i="5"/>
  <c r="BC62" i="5"/>
  <c r="BD62" i="5"/>
  <c r="BE62" i="5"/>
  <c r="BF62" i="5"/>
  <c r="BG62" i="5"/>
  <c r="BH62" i="5"/>
  <c r="BI62" i="5"/>
  <c r="BJ62" i="5"/>
  <c r="BK62" i="5"/>
  <c r="BL62" i="5"/>
  <c r="BM62" i="5"/>
  <c r="BN62" i="5"/>
  <c r="BO62" i="5"/>
  <c r="BP62" i="5"/>
  <c r="BQ62" i="5"/>
  <c r="BR62" i="5"/>
  <c r="BS62" i="5"/>
  <c r="BT62" i="5"/>
  <c r="BU62" i="5"/>
  <c r="BV62" i="5"/>
  <c r="BW62" i="5"/>
  <c r="BX62" i="5"/>
  <c r="BY62" i="5"/>
  <c r="BZ62" i="5"/>
  <c r="CA62" i="5"/>
  <c r="CB62" i="5"/>
  <c r="CC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AG63" i="5"/>
  <c r="AH63" i="5"/>
  <c r="AI63" i="5"/>
  <c r="AJ63" i="5"/>
  <c r="AK63" i="5"/>
  <c r="AL63" i="5"/>
  <c r="AM63" i="5"/>
  <c r="AN63" i="5"/>
  <c r="AO63" i="5"/>
  <c r="AP63" i="5"/>
  <c r="AQ63" i="5"/>
  <c r="AR63" i="5"/>
  <c r="AS63" i="5"/>
  <c r="AT63" i="5"/>
  <c r="AU63" i="5"/>
  <c r="AV63" i="5"/>
  <c r="AW63" i="5"/>
  <c r="AX63" i="5"/>
  <c r="AY63" i="5"/>
  <c r="AZ63" i="5"/>
  <c r="BA63" i="5"/>
  <c r="BB63" i="5"/>
  <c r="BC63" i="5"/>
  <c r="BD63" i="5"/>
  <c r="BE63" i="5"/>
  <c r="BF63" i="5"/>
  <c r="BG63" i="5"/>
  <c r="BH63" i="5"/>
  <c r="BI63" i="5"/>
  <c r="BJ63" i="5"/>
  <c r="BK63" i="5"/>
  <c r="BL63" i="5"/>
  <c r="BM63" i="5"/>
  <c r="BN63" i="5"/>
  <c r="BO63" i="5"/>
  <c r="BP63" i="5"/>
  <c r="BQ63" i="5"/>
  <c r="BR63" i="5"/>
  <c r="BS63" i="5"/>
  <c r="BT63" i="5"/>
  <c r="BU63" i="5"/>
  <c r="BV63" i="5"/>
  <c r="BW63" i="5"/>
  <c r="BX63" i="5"/>
  <c r="BY63" i="5"/>
  <c r="BZ63" i="5"/>
  <c r="CA63" i="5"/>
  <c r="CB63" i="5"/>
  <c r="CC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AG64" i="5"/>
  <c r="AH64" i="5"/>
  <c r="AI64" i="5"/>
  <c r="AJ64" i="5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Q64" i="5"/>
  <c r="BR64" i="5"/>
  <c r="BS64" i="5"/>
  <c r="BT64" i="5"/>
  <c r="BU64" i="5"/>
  <c r="BV64" i="5"/>
  <c r="BW64" i="5"/>
  <c r="BX64" i="5"/>
  <c r="BY64" i="5"/>
  <c r="BZ64" i="5"/>
  <c r="CA64" i="5"/>
  <c r="CB64" i="5"/>
  <c r="CC64" i="5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AG65" i="5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CA65" i="5"/>
  <c r="CB65" i="5"/>
  <c r="CC65" i="5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CA66" i="5"/>
  <c r="CB66" i="5"/>
  <c r="CC66" i="5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AG67" i="5"/>
  <c r="AH67" i="5"/>
  <c r="AI67" i="5"/>
  <c r="AJ67" i="5"/>
  <c r="AK67" i="5"/>
  <c r="AL67" i="5"/>
  <c r="AM67" i="5"/>
  <c r="AN67" i="5"/>
  <c r="AO67" i="5"/>
  <c r="AP67" i="5"/>
  <c r="AQ67" i="5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X67" i="5"/>
  <c r="BY67" i="5"/>
  <c r="BZ67" i="5"/>
  <c r="CA67" i="5"/>
  <c r="CB67" i="5"/>
  <c r="CC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AG68" i="5"/>
  <c r="AH68" i="5"/>
  <c r="AI68" i="5"/>
  <c r="AJ68" i="5"/>
  <c r="AK68" i="5"/>
  <c r="AL68" i="5"/>
  <c r="AM68" i="5"/>
  <c r="AN68" i="5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U68" i="5"/>
  <c r="BV68" i="5"/>
  <c r="BW68" i="5"/>
  <c r="BX68" i="5"/>
  <c r="BY68" i="5"/>
  <c r="BZ68" i="5"/>
  <c r="CA68" i="5"/>
  <c r="CB68" i="5"/>
  <c r="CC68" i="5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AG69" i="5"/>
  <c r="AH69" i="5"/>
  <c r="AI69" i="5"/>
  <c r="AJ69" i="5"/>
  <c r="AK69" i="5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R69" i="5"/>
  <c r="BS69" i="5"/>
  <c r="BT69" i="5"/>
  <c r="BU69" i="5"/>
  <c r="BV69" i="5"/>
  <c r="BW69" i="5"/>
  <c r="BX69" i="5"/>
  <c r="BY69" i="5"/>
  <c r="BZ69" i="5"/>
  <c r="CA69" i="5"/>
  <c r="CB69" i="5"/>
  <c r="CC69" i="5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AG70" i="5"/>
  <c r="AH70" i="5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O70" i="5"/>
  <c r="BP70" i="5"/>
  <c r="BQ70" i="5"/>
  <c r="BR70" i="5"/>
  <c r="BS70" i="5"/>
  <c r="BT70" i="5"/>
  <c r="BU70" i="5"/>
  <c r="BV70" i="5"/>
  <c r="BW70" i="5"/>
  <c r="BX70" i="5"/>
  <c r="BY70" i="5"/>
  <c r="BZ70" i="5"/>
  <c r="CA70" i="5"/>
  <c r="CB70" i="5"/>
  <c r="CC70" i="5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CA71" i="5"/>
  <c r="CB71" i="5"/>
  <c r="CC71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AG72" i="5"/>
  <c r="AH72" i="5"/>
  <c r="AI72" i="5"/>
  <c r="AJ72" i="5"/>
  <c r="AK72" i="5"/>
  <c r="AL72" i="5"/>
  <c r="AM72" i="5"/>
  <c r="AN72" i="5"/>
  <c r="AO72" i="5"/>
  <c r="AP72" i="5"/>
  <c r="AQ72" i="5"/>
  <c r="AR72" i="5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Y72" i="5"/>
  <c r="BZ72" i="5"/>
  <c r="CA72" i="5"/>
  <c r="CB72" i="5"/>
  <c r="CC72" i="5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AG73" i="5"/>
  <c r="AH73" i="5"/>
  <c r="AI73" i="5"/>
  <c r="AJ73" i="5"/>
  <c r="AK73" i="5"/>
  <c r="AL73" i="5"/>
  <c r="AM73" i="5"/>
  <c r="AN73" i="5"/>
  <c r="AO73" i="5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V73" i="5"/>
  <c r="BW73" i="5"/>
  <c r="BX73" i="5"/>
  <c r="BY73" i="5"/>
  <c r="BZ73" i="5"/>
  <c r="CA73" i="5"/>
  <c r="CB73" i="5"/>
  <c r="CC73" i="5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AG74" i="5"/>
  <c r="AH74" i="5"/>
  <c r="AI74" i="5"/>
  <c r="AJ74" i="5"/>
  <c r="AK74" i="5"/>
  <c r="AL74" i="5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S74" i="5"/>
  <c r="BT74" i="5"/>
  <c r="BU74" i="5"/>
  <c r="BV74" i="5"/>
  <c r="BW74" i="5"/>
  <c r="BX74" i="5"/>
  <c r="BY74" i="5"/>
  <c r="BZ74" i="5"/>
  <c r="CA74" i="5"/>
  <c r="CB74" i="5"/>
  <c r="CC74" i="5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AH75" i="5"/>
  <c r="AI75" i="5"/>
  <c r="AJ75" i="5"/>
  <c r="AK75" i="5"/>
  <c r="AL75" i="5"/>
  <c r="AM75" i="5"/>
  <c r="AN75" i="5"/>
  <c r="AO75" i="5"/>
  <c r="AP75" i="5"/>
  <c r="AQ75" i="5"/>
  <c r="AR75" i="5"/>
  <c r="AS75" i="5"/>
  <c r="AT75" i="5"/>
  <c r="AU75" i="5"/>
  <c r="AV75" i="5"/>
  <c r="AW75" i="5"/>
  <c r="AX75" i="5"/>
  <c r="AY75" i="5"/>
  <c r="AZ75" i="5"/>
  <c r="BA75" i="5"/>
  <c r="BB75" i="5"/>
  <c r="BC75" i="5"/>
  <c r="BD75" i="5"/>
  <c r="BE75" i="5"/>
  <c r="BF75" i="5"/>
  <c r="BG75" i="5"/>
  <c r="BH75" i="5"/>
  <c r="BI75" i="5"/>
  <c r="BJ75" i="5"/>
  <c r="BK75" i="5"/>
  <c r="BL75" i="5"/>
  <c r="BM75" i="5"/>
  <c r="BN75" i="5"/>
  <c r="BO75" i="5"/>
  <c r="BP75" i="5"/>
  <c r="BQ75" i="5"/>
  <c r="BR75" i="5"/>
  <c r="BS75" i="5"/>
  <c r="BT75" i="5"/>
  <c r="BU75" i="5"/>
  <c r="BV75" i="5"/>
  <c r="BW75" i="5"/>
  <c r="BX75" i="5"/>
  <c r="BY75" i="5"/>
  <c r="BZ75" i="5"/>
  <c r="CA75" i="5"/>
  <c r="CB75" i="5"/>
  <c r="CC75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AH76" i="5"/>
  <c r="AI76" i="5"/>
  <c r="AJ76" i="5"/>
  <c r="AK76" i="5"/>
  <c r="AL76" i="5"/>
  <c r="AM76" i="5"/>
  <c r="AN76" i="5"/>
  <c r="AO76" i="5"/>
  <c r="AP76" i="5"/>
  <c r="AQ76" i="5"/>
  <c r="AR76" i="5"/>
  <c r="AS76" i="5"/>
  <c r="AT76" i="5"/>
  <c r="AU76" i="5"/>
  <c r="AV76" i="5"/>
  <c r="AW76" i="5"/>
  <c r="AX76" i="5"/>
  <c r="AY76" i="5"/>
  <c r="AZ76" i="5"/>
  <c r="BA76" i="5"/>
  <c r="BB76" i="5"/>
  <c r="BC76" i="5"/>
  <c r="BD76" i="5"/>
  <c r="BE76" i="5"/>
  <c r="BF76" i="5"/>
  <c r="BG76" i="5"/>
  <c r="BH76" i="5"/>
  <c r="BI76" i="5"/>
  <c r="BJ76" i="5"/>
  <c r="BK76" i="5"/>
  <c r="BL76" i="5"/>
  <c r="BM76" i="5"/>
  <c r="BN76" i="5"/>
  <c r="BO76" i="5"/>
  <c r="BP76" i="5"/>
  <c r="BQ76" i="5"/>
  <c r="BR76" i="5"/>
  <c r="BS76" i="5"/>
  <c r="BT76" i="5"/>
  <c r="BU76" i="5"/>
  <c r="BV76" i="5"/>
  <c r="BW76" i="5"/>
  <c r="BX76" i="5"/>
  <c r="BY76" i="5"/>
  <c r="BZ76" i="5"/>
  <c r="CA76" i="5"/>
  <c r="CB76" i="5"/>
  <c r="CC76" i="5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AH77" i="5"/>
  <c r="AI77" i="5"/>
  <c r="AJ77" i="5"/>
  <c r="AK77" i="5"/>
  <c r="AL77" i="5"/>
  <c r="AM77" i="5"/>
  <c r="AN77" i="5"/>
  <c r="AO77" i="5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BC77" i="5"/>
  <c r="BD77" i="5"/>
  <c r="BE77" i="5"/>
  <c r="BF77" i="5"/>
  <c r="BG77" i="5"/>
  <c r="BH77" i="5"/>
  <c r="BI77" i="5"/>
  <c r="BJ77" i="5"/>
  <c r="BK77" i="5"/>
  <c r="BL77" i="5"/>
  <c r="BM77" i="5"/>
  <c r="BN77" i="5"/>
  <c r="BO77" i="5"/>
  <c r="BP77" i="5"/>
  <c r="BQ77" i="5"/>
  <c r="BR77" i="5"/>
  <c r="BS77" i="5"/>
  <c r="BT77" i="5"/>
  <c r="BU77" i="5"/>
  <c r="BV77" i="5"/>
  <c r="BW77" i="5"/>
  <c r="BX77" i="5"/>
  <c r="BY77" i="5"/>
  <c r="BZ77" i="5"/>
  <c r="CA77" i="5"/>
  <c r="CB77" i="5"/>
  <c r="CC77" i="5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AH78" i="5"/>
  <c r="AI78" i="5"/>
  <c r="AJ78" i="5"/>
  <c r="AK78" i="5"/>
  <c r="AL78" i="5"/>
  <c r="AM78" i="5"/>
  <c r="AN78" i="5"/>
  <c r="AO78" i="5"/>
  <c r="AP78" i="5"/>
  <c r="AQ78" i="5"/>
  <c r="AR78" i="5"/>
  <c r="AS78" i="5"/>
  <c r="AT78" i="5"/>
  <c r="AU78" i="5"/>
  <c r="AV78" i="5"/>
  <c r="AW78" i="5"/>
  <c r="AX78" i="5"/>
  <c r="AY78" i="5"/>
  <c r="AZ78" i="5"/>
  <c r="BA78" i="5"/>
  <c r="BB78" i="5"/>
  <c r="BC78" i="5"/>
  <c r="BD78" i="5"/>
  <c r="BE78" i="5"/>
  <c r="BF78" i="5"/>
  <c r="BG78" i="5"/>
  <c r="BH78" i="5"/>
  <c r="BI78" i="5"/>
  <c r="BJ78" i="5"/>
  <c r="BK78" i="5"/>
  <c r="BL78" i="5"/>
  <c r="BM78" i="5"/>
  <c r="BN78" i="5"/>
  <c r="BO78" i="5"/>
  <c r="BP78" i="5"/>
  <c r="BQ78" i="5"/>
  <c r="BR78" i="5"/>
  <c r="BS78" i="5"/>
  <c r="BT78" i="5"/>
  <c r="BU78" i="5"/>
  <c r="BV78" i="5"/>
  <c r="BW78" i="5"/>
  <c r="BX78" i="5"/>
  <c r="BY78" i="5"/>
  <c r="BZ78" i="5"/>
  <c r="CA78" i="5"/>
  <c r="CB78" i="5"/>
  <c r="CC78" i="5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AH79" i="5"/>
  <c r="AI79" i="5"/>
  <c r="AJ79" i="5"/>
  <c r="AK79" i="5"/>
  <c r="AL79" i="5"/>
  <c r="AM79" i="5"/>
  <c r="AN79" i="5"/>
  <c r="AO79" i="5"/>
  <c r="AP79" i="5"/>
  <c r="AQ79" i="5"/>
  <c r="AR79" i="5"/>
  <c r="AS79" i="5"/>
  <c r="AT79" i="5"/>
  <c r="AU79" i="5"/>
  <c r="AV79" i="5"/>
  <c r="AW79" i="5"/>
  <c r="AX79" i="5"/>
  <c r="AY79" i="5"/>
  <c r="AZ79" i="5"/>
  <c r="BA79" i="5"/>
  <c r="BB79" i="5"/>
  <c r="BC79" i="5"/>
  <c r="BD79" i="5"/>
  <c r="BE79" i="5"/>
  <c r="BF79" i="5"/>
  <c r="BG79" i="5"/>
  <c r="BH79" i="5"/>
  <c r="BI79" i="5"/>
  <c r="BJ79" i="5"/>
  <c r="BK79" i="5"/>
  <c r="BL79" i="5"/>
  <c r="BM79" i="5"/>
  <c r="BN79" i="5"/>
  <c r="BO79" i="5"/>
  <c r="BP79" i="5"/>
  <c r="BQ79" i="5"/>
  <c r="BR79" i="5"/>
  <c r="BS79" i="5"/>
  <c r="BT79" i="5"/>
  <c r="BU79" i="5"/>
  <c r="BV79" i="5"/>
  <c r="BW79" i="5"/>
  <c r="BX79" i="5"/>
  <c r="BY79" i="5"/>
  <c r="BZ79" i="5"/>
  <c r="CA79" i="5"/>
  <c r="CB79" i="5"/>
  <c r="CC79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CA81" i="5"/>
  <c r="CB81" i="5"/>
  <c r="CC81" i="5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Z82" i="5"/>
  <c r="CA82" i="5"/>
  <c r="CB82" i="5"/>
  <c r="CC82" i="5"/>
  <c r="BX3" i="5"/>
  <c r="BY3" i="5"/>
  <c r="BZ3" i="5"/>
  <c r="CA3" i="5"/>
  <c r="CB3" i="5"/>
  <c r="CC3" i="5"/>
  <c r="H9" i="4"/>
  <c r="H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Ward, Meghan</author>
  </authors>
  <commentList>
    <comment ref="A1" authorId="0" shapeId="0" xr:uid="{3B0BB4AA-18D0-40D3-8762-3A200385B7FD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Timestamp="1765272931"&gt;&lt;FQL&gt;&lt;Q&gt;MSFT-US^CORREL(P_PRICE_RETURNS(0,45961,45961-5AY,D,USD),VALUE('DB1-DE',P_PRICE_RETURNS(0,45961,45961-5AY,D,USD)))&lt;/Q&gt;&lt;R&gt;1&lt;/R&gt;&lt;C&gt;1&lt;/C&gt;&lt;D xsi:type="xsd:double"&gt;0.144255032938354&lt;/D&gt;&lt;/FQL&gt;&lt;FQL&gt;&lt;Q&gt;DB1-DE^P_PRICE_RETURNS(0,45961,45961-5AY,D,USD)&lt;/Q&gt;&lt;R&gt;1257&lt;/R&gt;&lt;C&gt;1&lt;/C&gt;&lt;D xsi:type="xsd:double"&gt;-0.59781075&lt;/D&gt;&lt;D xsi:type="xsd:double"&gt;-0.72221756&lt;/D&gt;&lt;D xsi:type="xsd:double"&gt;-1.386553&lt;/D&gt;&lt;D xsi:type="xsd:double"&gt;-1.4789104&lt;/D&gt;&lt;D xsi:type="xsd:double"&gt;-0.6184697&lt;/D&gt;&lt;D xsi:type="xsd:double"&gt;1.1202931&lt;/D&gt;&lt;D xsi:type="xsd:double"&gt;1.1383414&lt;/D&gt;&lt;D xsi:type="xsd:double"&gt;-0.34028292&lt;/D&gt;&lt;D xsi:type="xsd:double"&gt;0.020182133&lt;/D&gt;&lt;D xsi:type="xsd:double"&gt;0.55828094&lt;/D&gt;&lt;D xsi:type="xsd:double"&gt;0.18906593&lt;/D&gt;&lt;D xsi:type="xsd:double"&gt;-1.1930585&lt;/D&gt;&lt;D xsi:type="xsd:double"&gt;-1.4507294&lt;/D&gt;&lt;D xsi:type="xsd:double"&gt;0.68496466&lt;/D&gt;&lt;D xsi:type="xsd:double"&gt;0.40740967&lt;/D&gt;&lt;D xsi:type="xsd:double"&gt;-0.4949212&lt;/D&gt;&lt;D xsi:type="xsd:double"&gt;-0.16490221&lt;/D&gt;&lt;D xsi:type="xsd:double"&gt;0.33608675&lt;/D&gt;&lt;D xsi:type="xsd:double"&gt;-0.094759464&lt;/D&gt;&lt;D xsi:type="xsd:double"&gt;-0.7329166&lt;/D&gt;&lt;D xsi:type="xsd:double"&gt;-1.636064&lt;/D&gt;&lt;D xsi:type="xsd:double"&gt;1.4899611&lt;/D&gt;&lt;D xsi:type="xsd:double"&gt;-0.5684078&lt;/D&gt;&lt;D xsi:type="xsd:double"&gt;0.96725225&lt;/D&gt;&lt;D xsi:type="xsd:double"&gt;1.3098955&lt;/D&gt;&lt;D xsi:type="xsd:double"&gt;-0.0011146069&lt;/D&gt;&lt;D xsi:type="xsd:double"&gt;0.82228184&lt;/D&gt;&lt;D xsi:type="xsd:double"&gt;-0.30992627&lt;/D&gt;&lt;D xsi:type="xsd:double"&gt;-1.4461219&lt;/D&gt;&lt;D xsi:type="xsd:double"&gt;-0.6765723&lt;/D&gt;&lt;D xsi:type="xsd:double"&gt;-1.970613&lt;/D&gt;&lt;D xsi:type="xsd:double"&gt;-0.6675422&lt;/D&gt;&lt;D xsi:type="xsd:double"&gt;-0.61970353&lt;/D&gt;&lt;D xsi:type="xsd:double"&gt;-1.8220067&lt;/D&gt;&lt;D xsi:type="xsd:double"&gt;-0.2794385&lt;/D&gt;&lt;D xsi:type="xsd:double"&gt;-0.38256645&lt;/D&gt;&lt;D xsi:type="xsd:double"&gt;-0.53316355&lt;/D&gt;&lt;D xsi:type="xsd:double"&gt;-1.0971367&lt;/D&gt;&lt;D xsi:type="xsd:double"&gt;-1.2857854&lt;/D&gt;&lt;D xsi:type="xsd:double"&gt;0.7238388&lt;/D&gt;&lt;D xsi:type="xsd:double"&gt;0.4636407&lt;/D&gt;&lt;D xsi:type="xsd:double"&gt;-0.32513142&lt;/D&gt;&lt;D xsi:type="xsd:double"&gt;1.1509418&lt;/D&gt;&lt;D xsi:type="xsd:double"&gt;-3.2894433&lt;/D&gt;&lt;D xsi:type="xsd:double"&gt;-0.5345702&lt;/D&gt;&lt;D xsi:type="xsd:double"&gt;-0.118893385&lt;/D&gt;&lt;D xsi:type="xsd:double"&gt;-0.8336842&lt;/D&gt;&lt;D xsi:type="xsd:double"&gt;-0.7721782&lt;/D&gt;&lt;D xsi:type="xsd:double"&gt;0.07172823&lt;/D&gt;&lt;D xsi:type="xsd:double"&gt;0.36586523&lt;/D&gt;&lt;D xsi:type="xsd:double"&gt;-1.0120869&lt;/D&gt;&lt;D xsi:type="xsd:double"&gt;1.8393755&lt;/D&gt;&lt;D xsi:type="xsd:double"&gt;-0.20548105&lt;/D&gt;&lt;D xsi:type="xsd:double"&gt;-0.6388068&lt;/D&gt;&lt;D xsi:type="xsd:double"&gt;0.12471676&lt;/D&gt;&lt;D xsi:type="xsd:double"&gt;0.47824383&lt;/D&gt;&lt;D xsi:type="xsd:double"&gt;1.2793303&lt;/D&gt;&lt;D xsi:type="xsd:double"&gt;-2.6678443&lt;/D&gt;&lt;D xsi:type="xsd:double"&gt;0.4564166&lt;/D&gt;&lt;D xsi:type="xsd:double"&gt;0.055885315&lt;/D&gt;&lt;D xsi:type="xsd:double"&gt;1.2557268&lt;/D&gt;&lt;D xsi:type="xsd:double"&gt;0.7595062&lt;/D&gt;&lt;D xsi:type="xsd:double"&gt;-0.7264197&lt;/D&gt;&lt;D xsi:type="xsd:double"&gt;1.030004&lt;/D&gt;&lt;D xsi:type="xsd:double"&gt;1.1509776&lt;/D&gt;&lt;D xsi:type="xsd:double"&gt;0.25185347&lt;/D&gt;&lt;D xsi:type="xsd:double"&gt;-0.9177804&lt;/D&gt;&lt;D xsi:type="xsd:double"&gt;0.6356001&lt;/D&gt;&lt;D xsi:type="xsd:double"&gt;-2.661705&lt;/D&gt;&lt;D xsi:type="xsd:double"&gt;-1.9604623&lt;/D&gt;&lt;D xsi:type="xsd:double"&gt;-0.1085639&lt;/D&gt;&lt;D xsi:type="xsd:double"&gt;-0.025743246&lt;/D&gt;&lt;D xsi:type="xsd:double"&gt;-0.46576858&lt;/D&gt;&lt;D xsi:type="xsd:double"&gt;-0.3309667&lt;/D&gt;&lt;D xsi:type="xsd:double"&gt;0.74658394&lt;/D&gt;&lt;D xsi:type="xsd:double"&gt;-0.64299107&lt;/D&gt;&lt;D xsi:type="xsd:double"&gt;0.4210353&lt;/D&gt;&lt;D xsi:type="xsd:double"&gt;-1.5692115&lt;/D&gt;&lt;D xsi:type="xsd:double"&gt;-0.45944452&lt;/D&gt;&lt;D xsi:type="xsd:double"&gt;-0.8166909&lt;/D&gt;&lt;D xsi:type="xsd:double"&gt;-1.069063&lt;/D&gt;&lt;D xsi:type="xsd:double"&gt;0.82303286&lt;/D&gt;&lt;D xsi:type="xsd:double"&gt;-2.162516&lt;/D&gt;&lt;D xsi:type="xsd:double"&gt;1.0196567&lt;/D&gt;&lt;D xsi:type="xsd:double"&gt;0.9867668&lt;/D&gt;&lt;D xsi:type="xsd:double"&gt;-2.2384048&lt;/D&gt;&lt;D xsi:type="xsd:double"&gt;-0.42022467&lt;/D&gt;&lt;D xsi:type="xsd:double"&gt;-0.005620718&lt;/D&gt;&lt;D xsi:type="xsd:double"&gt;0.4475355&lt;/D&gt;&lt;D xsi:type="xsd:double"&gt;2.1905422&lt;/D&gt;&lt;D xsi:type="xsd:double"&gt;0.58811903&lt;/D&gt;&lt;D xsi:type="xsd:double"&gt;0.34290552&lt;/D&gt;&lt;D xsi:type="xsd:double"&gt;0.17141104&lt;/D&gt;&lt;D xsi:type="xsd:double"&gt;1.0971785&lt;/D&gt;&lt;D xsi:type="xsd:double"&gt;-0.5299926&lt;/D&gt;&lt;D xsi:type="xsd:double"&gt;-1.7605424&lt;/D&gt;&lt;D xsi:type="xsd:double"&gt;2.5192618&lt;/D&gt;&lt;D xsi:type="xsd:double"&gt;-1.8389881&lt;/D&gt;&lt;D xsi:type="xsd:double"&gt;-0.120568275&lt;/D&gt;&lt;D xsi:type="xsd:double"&gt;-0.66268444&lt;/D&gt;&lt;D xsi:type="xsd:double"&gt;-1.1976421&lt;/D&gt;&lt;D xsi:type="xsd:double"&gt;-1.1274159&lt;/D&gt;&lt;D xsi:type="xsd:double"&gt;0.4581213&lt;/D&gt;&lt;D xsi:type="xsd:double"&gt;0.2809286&lt;/D&gt;&lt;D xsi:type="xsd:double"&gt;0.7167697&lt;/D&gt;&lt;D xsi:type="xsd:double"&gt;-1.8764913&lt;/D&gt;&lt;D xsi:type="xsd:double"&gt;1.4417529&lt;/D&gt;&lt;D xsi:type="xsd:double"&gt;-0.05289316&lt;/D&gt;&lt;D xsi:type="xsd:double"&gt;-0.37852526&lt;/D&gt;&lt;D xsi:type="xsd:double"&gt;-1.3144195&lt;/D&gt;&lt;D xsi:type="xsd:double"&gt;0.49550533&lt;/D&gt;&lt;D xsi:type="xsd:double"&gt;0.51522255&lt;/D&gt;&lt;D xsi:type="xsd:double"&gt;-0.9987533&lt;/D&gt;&lt;D xsi:type="xsd:double"&gt;1.628685&lt;/D&gt;&lt;D xsi:type="xsd:double"&gt;0.5199194&lt;/D&gt;&lt;D xsi:type="xsd:double"&gt;1.0913968&lt;/D&gt;&lt;D xsi:type="xsd:double"&gt;1.2136459&lt;/D&gt;&lt;D xsi:type="xsd:double"&gt;-0.7677257&lt;/D&gt;&lt;D xsi:type="xsd:double"&gt;1.1031508&lt;/D&gt;&lt;D xsi:type="xsd:double"&gt;0.20376444&lt;/D&gt;&lt;D xsi:type="xsd:double"&gt;-4.3222666&lt;/D&gt;&lt;D xsi:type="xsd:double"&gt;0.6513357&lt;/D&gt;&lt;D xsi:type="xsd:double"&gt;-2.1890342&lt;/D&gt;&lt;D xsi:type="xsd:double"&gt;0.014257431&lt;/D&gt;&lt;D xsi:type="xsd:double"&gt;-0.41734576&lt;/D&gt;&lt;D xsi:type="xsd:double"&gt;0.98125935&lt;/D&gt;&lt;D xsi:type="xsd:double"&gt;2.8728843&lt;/D&gt;&lt;D xsi:type="xsd:double"&gt;-0.7565379&lt;/D&gt;&lt;D xsi:type="xsd:double"&gt;3.5863638&lt;/D&gt;&lt;D xsi:type="xsd:double"&gt;-1.5455365&lt;/D&gt;&lt;D xsi:type="xsd:double"&gt;-1.7126858&lt;/D&gt;&lt;D xsi:type="xsd:double"&gt;0.6321311&lt;/D&gt;&lt;D xsi:type="xsd:double"&gt;0.45737028&lt;/D&gt;&lt;D xsi:type="xsd:double"&gt;-0.1170516&lt;/D&gt;&lt;D xsi:type="xsd:double"&gt;2.0285368&lt;/D&gt;&lt;D xsi:type="xsd:double"&gt;1.3039112&lt;/D&gt;&lt;D xsi:type="xsd:double"&gt;0.49648285&lt;/D&gt;&lt;D xsi:type="xsd:double"&gt;-0.18606782&lt;/D&gt;&lt;D xsi:type="xsd:double"&gt;0.8052349&lt;/D&gt;&lt;D xsi:type="xsd:double"&gt;1.237917&lt;/D&gt;&lt;D xsi:type="xsd:double"&gt;3.0044198&lt;/D&gt;&lt;D xsi:type="xsd:double"&gt;5.358839&lt;/D&gt;&lt;D xsi:type="xsd:double"&gt;-2.1427095&lt;/D&gt;&lt;D xsi:type="xsd:double"&gt;4.818809&lt;/D&gt;&lt;D xsi:type="xsd:double"&gt;-5.452174&lt;/D&gt;&lt;D xsi:type="xsd:double"&gt;-8.28898&lt;/D&gt;&lt;D xsi:type="xsd:double"&gt;3.7827492&lt;/D&gt;&lt;D xsi:type="xsd:double"&gt;0.7532358&lt;/D&gt;&lt;D xsi:type="xsd:double"&gt;1.4395475&lt;/D&gt;&lt;D xsi:type="xsd:double"&gt;-0.010293722&lt;/D&gt;&lt;D xsi:type="xsd:double"&gt;1.4265537&lt;/D&gt;&lt;D xsi:type="xsd:double"&gt;1.5482664&lt;/D&gt;&lt;D xsi:type="xsd:double"&gt;-0.84555745&lt;/D&gt;&lt;D xsi:type="xsd:double"&gt;1.3532758&lt;/D&gt;&lt;D xsi:type="xsd:double"&gt;-1.6710758&lt;/D&gt;&lt;D xsi:type="xsd:double"&gt;-0.013536215&lt;/D&gt;&lt;D xsi:type="xsd:double"&gt;-2.3656309&lt;/D&gt;&lt;D xsi:type="xsd:double"&gt;-0.016468763&lt;/D&gt;&lt;D xsi:type="xsd:double"&gt;0.27252436&lt;/D&gt;&lt;D xsi:type="xsd:double"&gt;0.52508116&lt;/D&gt;&lt;D xsi:type="xsd:double"&gt;2.4481058&lt;/D&gt;&lt;D xsi:type="xsd:double"&gt;-0.39724112&lt;/D&gt;&lt;D xsi:type="xsd:double"&gt;1.0669589&lt;/D&gt;&lt;D xsi:type="xsd:double"&gt;-0.20846128&lt;/D&gt;&lt;D xsi:type="xsd:double"&gt;1.9872069&lt;/D&gt;&lt;D xsi:type="xsd:double"&gt;1.0303974&lt;/D&gt;&lt;D xsi:type="xsd:double"&gt;0.50166845&lt;/D&gt;&lt;D xsi:type="xsd:double"&gt;2.6073694&lt;/D&gt;&lt;D xsi:type="xsd:double"&gt;-0.49691796&lt;/D&gt;&lt;D xsi:type="xsd:double"&gt;3.2704234&lt;/D&gt;&lt;D xsi:type="xsd:double"&gt;-0.7176876&lt;/D&gt;&lt;D xsi:type="xsd:double"&gt;-0.61460733&lt;/D&gt;&lt;D xsi:type="xsd:double"&gt;2.3970842&lt;/D&gt;&lt;D xsi:type="xsd:double"&gt;0.89144707&lt;/D&gt;&lt;D xsi:type="xsd:double"&gt;-0.51630735&lt;/D&gt;&lt;D xsi:type="xsd:double"&gt;-0.54941773&lt;/D&gt;&lt;D xsi:type="xsd:double"&gt;0.12009144&lt;/D&gt;&lt;D xsi:type="xsd:double"&gt;-0.49099326&lt;/D&gt;&lt;D xsi:type="xsd:double"&gt;1.1111617&lt;/D&gt;&lt;D xsi:type="xsd:double"&gt;-0.9409249&lt;/D&gt;&lt;D xsi:type="xsd:double"&gt;2.0550728&lt;/D&gt;&lt;D xsi:type="xsd:double"&gt;1.7669082&lt;/D&gt;&lt;D xsi:type="xsd:double"&gt;0.5801201&lt;/D&gt;&lt;D xsi:type="xsd:double"&gt;-0.1560092&lt;/D&gt;&lt;D xsi:type="xsd:double"&gt;-0.36531687&lt;/D&gt;&lt;D xsi:type="xsd:double"&gt;-0.6227255&lt;/D&gt;&lt;D xsi:type="xsd:double"&gt;0.7709861&lt;/D&gt;&lt;D xsi:type="xsd:double"&gt;0.8076787&lt;/D&gt;&lt;D xsi:type="xsd:double"&gt;-0.15488863&lt;/D&gt;&lt;D xsi:type="xsd:double"&gt;-1.2973607&lt;/D&gt;&lt;D xsi:type="xsd:double"&gt;1.3312101&lt;/D&gt;&lt;D xsi:type="xsd:double"&gt;-0.33653975&lt;/D&gt;&lt;D xsi:type="xsd:double"&gt;-0.41731&lt;/D&gt;&lt;D xsi:type="xsd:double"&gt;1.0516882&lt;/D&gt;&lt;D xsi:type="xsd:double"&gt;1.2020111&lt;/D&gt;&lt;D xsi:type="xsd:double"&gt;-0.2536118&lt;/D&gt;&lt;D xsi:type="xsd:double"&gt;1.5224695&lt;/D&gt;&lt;D xsi:type="xsd:double"&gt;1.6235471&lt;/D&gt;&lt;D xsi:type="xsd:double"&gt;0.52866936&lt;/D&gt;&lt;D xsi:type="xsd:double"&gt;-0.0921309&lt;/D&gt;&lt;D xsi:type="xsd:double"&gt;0.32572746&lt;/D&gt;&lt;D xsi:type="xsd:double"&gt;2.2075057&lt;/D&gt;&lt;D xsi:type="xsd:double"&gt;-0.335747&lt;/D&gt;&lt;D xsi:type="xsd:double"&gt;-0.6713033&lt;/D&gt;&lt;D xsi:type="xsd:double"&gt;0.6875634&lt;/D&gt;&lt;D xsi:type="xsd:double"&gt;0.92561245&lt;/D&gt;&lt;D xsi:type="xsd:double"&gt;0.24693012&lt;/D&gt;&lt;D xsi:type="xsd:double"&gt;-0.6691456&lt;/D&gt;&lt;D xsi:type="xsd:double"&gt;-0.14793873&lt;/D&gt;&lt;D xsi:type="xsd:double"&gt;-0.24565458&lt;/D&gt;&lt;D xsi:type="xsd:double"&gt;-0.93749166&lt;/D&gt;&lt;D xsi:type="xsd:double"&gt;1.2063622&lt;/D&gt;&lt;D xsi:type="xsd:double"&gt;0.16839504&lt;/D&gt;&lt;D xsi:type="xsd:double"&gt;0.014436245&lt;/D&gt;&lt;D xsi:type="xsd:double"&gt;-1.2330353&lt;/D&gt;&lt;D xsi:type="xsd:double"&gt;-0.16899705&lt;/D&gt;&lt;D xsi:type="xsd:double"&gt;-0.7997334&lt;/D&gt;&lt;D xsi:type="xsd:double"&gt;-0.6556153&lt;/D&gt;&lt;D xsi:type="xsd:double"&gt;0.32461882&lt;/D&gt;&lt;D xsi:type="xsd:double"&gt;0.8457184&lt;/D&gt;&lt;D xsi:type="xsd:double"&gt;0.32322407&lt;/D&gt;&lt;D xsi:type="xsd:double"&gt;-0.37163496&lt;/D&gt;&lt;D xsi:type="xsd:double"&gt;0.5334377&lt;/D&gt;&lt;D xsi:type="xsd:double"&gt;-0.37632585&lt;/D&gt;&lt;D xsi:type="xsd:double"&gt;-0.7207453&lt;/D&gt;&lt;D xsi:type="xsd:double"&gt;-0.71870685&lt;/D&gt;&lt;D xsi:type="xsd:double"&gt;1.6424894&lt;/D&gt;&lt;D xsi:type="xsd:double"&gt;0.4771471&lt;/D&gt;&lt;D xsi:type="xsd:double"&gt;-0.13005137&lt;/D&gt;&lt;D xsi:type="xsd:double"&gt;-0.69678426&lt;/D&gt;&lt;D xsi:type="xsd:double"&gt;1.1892796&lt;/D&gt;&lt;D xsi:type="xsd:double"&gt;2.303958&lt;/D&gt;&lt;D xsi:type="xsd:double"&gt;-0.10830164&lt;/D&gt;&lt;D xsi:type="xsd:double"&gt;0.9881735&lt;/D&gt;&lt;D xsi:type="xsd:double"&gt;-0.03182292&lt;/D&gt;&lt;D xsi:type="xsd:double"&gt;0.71275234&lt;/D&gt;&lt;D xsi:type="xsd:double"&gt;-0.6234348&lt;/D&gt;&lt;D xsi:type="xsd:double"&gt;-0.53545237&lt;/D&gt;&lt;D xsi:type="xsd:double"&gt;1.7999172&lt;/D&gt;&lt;D xsi:type="xsd:double"&gt;-1.0476708&lt;/D&gt;&lt;D xsi:type="xsd:double"&gt;1.359582&lt;/D&gt;&lt;D xsi:type="xsd:double"&gt;-0.8552015&lt;/D&gt;&lt;D xsi:type="xsd:double"&gt;-2.455783&lt;/D&gt;&lt;D xsi:type="xsd:double"&gt;-0.052666664&lt;/D&gt;&lt;D xsi:type="xsd:double"&gt;-0.48888326&lt;/D&gt;&lt;D xsi:type="xsd:double"&gt;-0.2098918&lt;/D&gt;&lt;D xsi:type="xsd:double"&gt;-3.0855238&lt;/D&gt;&lt;D xsi:type="xsd:double"&gt;0.90944767&lt;/D&gt;&lt;D xsi:type="xsd:double"&gt;-0.0031590462&lt;/D&gt;&lt;D xsi:type="xsd:double"&gt;1.2402654&lt;/D&gt;&lt;D xsi:type="xsd:double"&gt;-0.3442347&lt;/D&gt;&lt;D xsi:type="xsd:double"&gt;-0.6039858&lt;/D&gt;&lt;D xsi:type="xsd:double"&gt;-0.8704126&lt;/D&gt;&lt;D xsi:type="xsd:double"&gt;0.98975897&lt;/D&gt;&lt;D xsi:type="xsd:double"&gt;0.4544139&lt;/D&gt;&lt;D xsi:type="xsd:double"&gt;1.5744328&lt;/D&gt;&lt;D xsi:type="xsd:double"&gt;-2.2980154&lt;/D&gt;&lt;D xsi:type="xsd:double"&gt;-0.27666092&lt;/D&gt;&lt;D xsi:type="xsd:double"&gt;-0.57344437&lt;/D&gt;&lt;D xsi:type="xsd:double"&gt;0.18054247&lt;/D&gt;&lt;D xsi:type="xsd:double"&gt;0.5869031&lt;/D&gt;&lt;D xsi:type="xsd:double"&gt;-0.030320883&lt;/D&gt;&lt;D xsi:type="xsd:double"&gt;0.44939518&lt;/D&gt;&lt;D xsi:type="xsd:double"&gt;0.76949596&lt;/D&gt;&lt;D xsi:type="xsd:double"&gt;1.194179&lt;/D&gt;&lt;D xsi:type="xsd:double"&gt;-1.5411377&lt;/D&gt;&lt;D xsi:type="xsd:double"&gt;0.029921532&lt;/D&gt;&lt;D xsi:type="xsd:double"&gt;1.0491848&lt;/D&gt;&lt;D xsi:type="xsd:double"&gt;0.48536062&lt;/D&gt;&lt;D xsi:type="xsd:double"&gt;-2.0331442&lt;/D&gt;&lt;D xsi:type="xsd:double"&gt;-0.21007061&lt;/D&gt;&lt;D xsi:type="xsd:double"&gt;0.676167&lt;/D&gt;&lt;D xsi:type="xsd:double"&gt;-0.89396834&lt;/D&gt;&lt;D xsi:type="xsd:double"&gt;0.07199049&lt;/D&gt;&lt;D xsi:type="xsd:double"&gt;0.7349491&lt;/D&gt;&lt;D xsi:type="xsd:double"&gt;-0.7146239&lt;/D&gt;&lt;D xsi:type="xsd:double"&gt;0.7632971&lt;/D&gt;&lt;D xsi:type="xsd:double"&gt;-0.7313371&lt;/D&gt;&lt;D xsi:type="xsd:double"&gt;1.2448192&lt;/D&gt;&lt;D xsi:type="xsd:double"&gt;1.6391397&lt;/D&gt;&lt;D xsi:type="xsd:double"&gt;0.44175386&lt;/D&gt;&lt;D xsi:type="xsd:double"&gt;-0.69004893&lt;/D&gt;&lt;D xsi:type="xsd:double"&gt;-1.1963308&lt;/D&gt;&lt;D xsi:type="xsd:double"&gt;0.027370453&lt;/D&gt;&lt;D xsi:type="xsd:double"&gt;0.781703&lt;/D&gt;&lt;D xsi:type="xsd:double"&gt;1.3931036&lt;/D&gt;&lt;D xsi:type="xsd:double"&gt;-0.74778795&lt;/D&gt;&lt;D xsi:type="xsd:double"&gt;-1.4158607&lt;/D&gt;&lt;D xsi:type="xsd:double"&gt;1.0866761&lt;/D&gt;&lt;D xsi:type="xsd:double"&gt;1.7076373&lt;/D&gt;&lt;D xsi:type="xsd:double"&gt;-0.30433536&lt;/D&gt;&lt;D xsi:type="xsd:double"&gt;1.284492&lt;/D&gt;&lt;D xsi:type="xsd:double"&gt;-0.6819129&lt;/D&gt;&lt;D xsi:type="xsd:double"&gt;-0.062811375&lt;/D&gt;&lt;D xsi:type="xsd:double"&gt;0.0073194504&lt;/D&gt;&lt;D xsi:type="xsd:double"&gt;1.1256456&lt;/D&gt;&lt;D xsi:type="xsd:double"&gt;0.41960478&lt;/D&gt;&lt;D xsi:type="xsd:double"&gt;0.053441525&lt;/D&gt;&lt;D xsi:type="xsd:double"&gt;0.84711313&lt;/D&gt;&lt;D xsi:type="xsd:double"&gt;0.33340454&lt;/D&gt;&lt;D xsi:type="xsd:double"&gt;0.7762313&lt;/D&gt;&lt;D xsi:type="xsd:double"&gt;0.4202485&lt;/D&gt;&lt;D xsi:type="xsd:double"&gt;1.1656165&lt;/D&gt;&lt;D xsi:type="xsd:double"&gt;1.0521531&lt;/D&gt;&lt;D xsi:type="xsd:double"&gt;1.4631748&lt;/D&gt;&lt;D xsi:type="xsd:double"&gt;1.745534&lt;/D&gt;&lt;D xsi:type="xsd:double"&gt;1.117301&lt;/D&gt;&lt;D xsi:type="xsd:double"&gt;0.6212592&lt;/D&gt;&lt;D xsi:type="xsd:double"&gt;0.7989526&lt;/D&gt;&lt;D xsi:type="xsd:double"&gt;-0.6630659&lt;/D&gt;&lt;D xsi:type="xsd:double"&gt;2.5249958&lt;/D&gt;&lt;D xsi:type="xsd:double"&gt;-1.9195497&lt;/D&gt;&lt;D xsi:type="xsd:double"&gt;-1.0819197&lt;/D&gt;&lt;D xsi:type="xsd:double"&gt;0.2019763&lt;/D&gt;&lt;D xsi:type="xsd:double"&gt;-1.6588509&lt;/D&gt;&lt;D xsi:type="xsd:double"&gt;0.068831444&lt;/D&gt;&lt;D xsi:type="xsd:double"&gt;0.9905219&lt;/D&gt;&lt;D xsi:type="xsd:double"&gt;-1.1330307&lt;/D&gt;&lt;D xsi:type="xsd:double"&gt;0.429821&lt;/D&gt;&lt;D xsi:type="xsd:double"&gt;0.040388107&lt;/D&gt;&lt;D xsi:type="xsd:double"&gt;0.13160706&lt;/D&gt;&lt;D xsi:type="xsd:double"&gt;-1.1776388&lt;/D&gt;&lt;D xsi:type="xsd:double"&gt;1.4798999&lt;/D&gt;&lt;D xsi:type="xsd:double"&gt;-1.5473664&lt;/D&gt;&lt;D xsi:type="xsd:double"&gt;-0.8062959&lt;/D&gt;&lt;D xsi:type="xsd:double"&gt;0.66758394&lt;/D&gt;&lt;D xsi:type="xsd:double"&gt;-0.7656872&lt;/D&gt;&lt;D xsi:type="xsd:double"&gt;-0.5563617&lt;/D&gt;&lt;D xsi:type="xsd:double"&gt;2.4128437&lt;/D&gt;&lt;D xsi:type="xsd:double"&gt;1.3160825&lt;/D&gt;&lt;D xsi:type="xsd:double"&gt;0.20821095&lt;/D&gt;&lt;D xsi:type="xsd:double"&gt;-0.38457513&lt;/D&gt;&lt;D xsi:type="xsd:double"&gt;-0.17026663&lt;/D&gt;&lt;D xsi:type="xsd:double"&gt;-1.6576946&lt;/D&gt;&lt;D xsi:type="xsd:double"&gt;0.57246685&lt;/D&gt;&lt;D xsi:type="xsd:double"&gt;0.25721788&lt;/D&gt;&lt;D xsi:type="xsd:double"&gt;-0.20233989&lt;/D&gt;&lt;D xsi:type="xsd:double"&gt;-1.3934433&lt;/D&gt;&lt;D xsi:type="xsd:double"&gt;1.2252212&lt;/D&gt;&lt;D xsi:type="xsd:double"&gt;-0.51882863&lt;/D&gt;&lt;D xsi:type="xsd:double"&gt;-0.912869&lt;/D&gt;&lt;D xsi:type="xsd:double"&gt;1.2847066&lt;/D&gt;&lt;D xsi:type="xsd:double"&gt;0.7263422&lt;/D&gt;&lt;D xsi:type="xsd:double"&gt;0.21029711&lt;/D&gt;&lt;D xsi:type="xsd:double"&gt;2.0946026&lt;/D&gt;&lt;D xsi:type="xsd:double"&gt;2.3895621&lt;/D&gt;&lt;D xsi:type="xsd:double"&gt;0.3489256&lt;/D&gt;&lt;D xsi:type="xsd:double"&gt;-3.7711859&lt;/D&gt;&lt;D xsi:type="xsd:double"&gt;0.88977814&lt;/D&gt;&lt;D xsi:type="xsd:double"&gt;0.08072853&lt;/D&gt;&lt;D xsi:type="xsd:double"&gt;-1.6940415&lt;/D&gt;&lt;D xsi:type="xsd:double"&gt;-0.90129375&lt;/D&gt;&lt;D xsi:type="xsd:double"&gt;0.16356707&lt;/D&gt;&lt;D xsi:type="xsd:double"&gt;1.164639&lt;/D&gt;&lt;D xsi:type="xsd:double"&gt;1.4832973&lt;/D&gt;&lt;D xsi:type="xsd:double"&gt;0.43007135&lt;/D&gt;&lt;D xsi:type="xsd:double"&gt;1.9215822&lt;/D&gt;&lt;D xsi:type="xsd:double"&gt;1.292479&lt;/D&gt;&lt;D xsi:type="xsd:double"&gt;-0.7516563&lt;/D&gt;&lt;D xsi:type="xsd:double"&gt;-3.1083167&lt;/D&gt;&lt;D xsi:type="xsd:double"&gt;0.017392635&lt;/D&gt;&lt;D xsi:type="xsd:double"&gt;-0.15032887&lt;/D&gt;&lt;D xsi:type="xsd:double"&gt;-0.15839338&lt;/D&gt;&lt;D xsi:type="xsd:double"&gt;0.4434228&lt;/D&gt;&lt;D xsi:type="xsd:double"&gt;-0.50712824&lt;/D&gt;&lt;D xsi:type="xsd:double"&gt;1.7365694&lt;/D&gt;&lt;D xsi:type="xsd:double"&gt;0.84666014&lt;/D&gt;&lt;D xsi:type="xsd:double"&gt;0.26316643&lt;/D&gt;&lt;D xsi:type="xsd:double"&gt;-1.2527525&lt;/D&gt;&lt;D xsi:type="xsd:double"&gt;-2.0692587&lt;/D&gt;&lt;D xsi:type="xsd:double"&gt;-0.4875958&lt;/D&gt;&lt;D xsi:type="xsd:double"&gt;0.9486556&lt;/D&gt;&lt;D xsi:type="xsd:double"&gt;-0.37106276&lt;/D&gt;&lt;D xsi:type="xsd:double"&gt;1.4961243&lt;/D&gt;&lt;D xsi:type="xsd:double"&gt;-0.2312243&lt;/D&gt;&lt;D xsi:type="xsd:double"&gt;1.8964052&lt;/D&gt;&lt;D xsi:type="xsd:double"&gt;0.95807314&lt;/D&gt;&lt;D xsi:type="xsd:double"&gt;-0.08416772&lt;/D&gt;&lt;D xsi:type="xsd:double"&gt;-0.7393062&lt;/D&gt;&lt;D xsi:type="xsd:double"&gt;0.0344038&lt;/D&gt;&lt;D xsi:type="xsd:double"&gt;0.3512621&lt;/D&gt;&lt;D xsi:type="xsd:double"&gt;0.6452322&lt;/D&gt;&lt;D xsi:type="xsd:double"&gt;-4.09587&lt;/D&gt;&lt;D xsi:type="xsd:double"&gt;0.7118821&lt;/D&gt;&lt;D xsi:type="xsd:double"&gt;0.5957484&lt;/D&gt;&lt;D xsi:type="xsd:double"&gt;-0.21207929&lt;/D&gt;&lt;D xsi:type="xsd:double"&gt;0.1518488&lt;/D&gt;&lt;D xsi:type="xsd:double"&gt;0.42294264&lt;/D&gt;&lt;D xsi:type="xsd:double"&gt;-2.1889985&lt;/D&gt;&lt;D xsi:type="xsd:double"&gt;0.41501522&lt;/D&gt;&lt;D xsi:type="xsd:double"&gt;-0.041913986&lt;/D&gt;&lt;D xsi:type="xsd:double"&gt;-0.34060478&lt;/D&gt;&lt;D xsi:type="xsd:double"&gt;-0.028520823&lt;/D&gt;&lt;D xsi:type="xsd:double"&gt;-0.6245792&lt;/D&gt;&lt;D xsi:type="xsd:double"&gt;0.69898367&lt;/D&gt;&lt;D xsi:type="xsd:double"&gt;0.10185242&lt;/D&gt;&lt;D xsi:type="xsd:double"&gt;0.5014539&lt;/D&gt;&lt;D xsi:type="xsd:double"&gt;0.06713867&lt;/D&gt;&lt;D xsi:type="xsd:double"&gt;-1.3585031&lt;/D&gt;&lt;D xsi:type="xsd:double"&gt;-0.5138874&lt;/D&gt;&lt;D xsi:type="xsd:double"&gt;0.55282116&lt;/D&gt;&lt;D xsi:type="xsd:double"&gt;0.08561611&lt;/D&gt;&lt;D xsi:type="xsd:double"&gt;0.8831382&lt;/D&gt;&lt;D xsi:type="xsd:double"&gt;0.49568415&lt;/D&gt;&lt;D xsi:type="xsd:double"&gt;-0.6284833&lt;/D&gt;&lt;D xsi:type="xsd:double"&gt;0.5510092&lt;/D&gt;&lt;D xsi:type="xsd:double"&gt;-0.3153026&lt;/D&gt;&lt;D xsi:type="xsd:double"&gt;0.053060055&lt;/D&gt;&lt;D xsi:type="xsd:double"&gt;-0.13090372&lt;/D&gt;&lt;D xsi:type="xsd:double"&gt;-0.75006485&lt;/D&gt;&lt;D xsi:type="xsd:double"&gt;0.3259778&lt;/D&gt;&lt;D xsi:type="xsd:double"&gt;-2.6588082&lt;/D&gt;&lt;D xsi:type="xsd:double"&gt;0.44003725&lt;/D&gt;&lt;D xsi:type="xsd:double"&gt;-0.2175808&lt;/D&gt;&lt;D xsi:type="xsd:double"&gt;-1.2584984&lt;/D&gt;&lt;D xsi:type="xsd:double"&gt;0.98905563&lt;/D&gt;&lt;D xsi:type="xsd:double"&gt;-0.5544603&lt;/D&gt;&lt;D xsi:type="xsd:double"&gt;0.12563467&lt;/D&gt;&lt;D xsi:type="xsd:double"&gt;0.076437&lt;/D&gt;&lt;D xsi:type="xsd:double"&gt;-0.25851727&lt;/D&gt;&lt;D xsi:type="xsd:double"&gt;0.42467117&lt;/D&gt;&lt;D xsi:type="xsd:double"&gt;-0.22807121&lt;/D&gt;&lt;D xsi:type="xsd:double"&gt;0.07157326&lt;/D&gt;&lt;D xsi:type="xsd:double"&gt;0.932467&lt;/D&gt;&lt;D xsi:type="xsd:double"&gt;1.8588662&lt;/D&gt;&lt;D xsi:type="xsd:double"&gt;0.8779645&lt;/D&gt;&lt;D xsi:type="xsd:double"&gt;-1.4350355&lt;/D&gt;&lt;D xsi:type="xsd:double"&gt;1.1253476&lt;/D&gt;&lt;D xsi:type="xsd:double"&gt;1.0848403&lt;/D&gt;&lt;D xsi:type="xsd:double"&gt;-0.28840303&lt;/D&gt;&lt;D xsi:type="xsd:double"&gt;0.05941391&lt;/D&gt;&lt;D xsi:type="xsd:double"&gt;-0.7827163&lt;/D&gt;&lt;D xsi:type="xsd:double"&gt;0.25137663&lt;/D&gt;&lt;D xsi:type="xsd:double"&gt;-0.43857694&lt;/D&gt;&lt;D xsi:type="xsd:double"&gt;0.9815693&lt;/D&gt;&lt;D xsi:type="xsd:double"&gt;-0.06210208&lt;/D&gt;&lt;D xsi:type="xsd:double"&gt;0.4955411&lt;/D&gt;&lt;D xsi:type="xsd:double"&gt;-0.17162561&lt;/D&gt;&lt;D xsi:type="xsd:double"&gt;-0.6787181&lt;/D&gt;&lt;D xsi:type="xsd:double"&gt;0.28516054&lt;/D&gt;&lt;D xsi:type="xsd:double"&gt;0.15861988&lt;/D&gt;&lt;D xsi:type="xsd:double"&gt;0.8153558&lt;/D&gt;&lt;D xsi:type="xsd:double"&gt;-0.45396686&lt;/D&gt;&lt;D xsi:type="xsd:double"&gt;-0.5432725&lt;/D&gt;&lt;D xsi:type="xsd:double"&gt;-1.39606&lt;/D&gt;&lt;D xsi:type="xsd:double"&gt;0.34145117&lt;/D&gt;&lt;D xsi:type="xsd:double"&gt;-1.4862299&lt;/D&gt;&lt;D xsi:type="xsd:double"&gt;-0.16171932&lt;/D&gt;&lt;D xsi:type="xsd:double"&gt;0.8489251&lt;/D&gt;&lt;D xsi:type="xsd:double"&gt;0.044977665&lt;/D&gt;&lt;D xsi:type="xsd:double"&gt;-0.14226437&lt;/D&gt;&lt;D xsi:type="xsd:double"&gt;-0.33516288&lt;/D&gt;&lt;D xsi:type="xsd:double"&gt;1.6658783&lt;/D&gt;&lt;D xsi:type="xsd:double"&gt;-1.155287&lt;/D&gt;&lt;D xsi:type="xsd:double"&gt;0.7235527&lt;/D&gt;&lt;D xsi:type="xsd:double"&gt;-1.0465324&lt;/D&gt;&lt;D xsi:type="xsd:double"&gt;0.2580166&lt;/D&gt;&lt;D xsi:type="xsd:double"&gt;0.8866668&lt;/D&gt;&lt;D xsi:type="xsd:double"&gt;1.9176006&lt;/D&gt;&lt;D xsi:type="xsd:double"&gt;-1.6676843&lt;/D&gt;&lt;D xsi:type="xsd:double"&gt;-1.7823398&lt;/D&gt;&lt;D xsi:type="xsd:double"&gt;0.43810606&lt;/D&gt;&lt;D xsi:type="xsd:double"&gt;-0.29239058&lt;/D&gt;&lt;D xsi:type="xsd:double"&gt;1.3685465&lt;/D&gt;&lt;D xsi:type="xsd:double"&gt;0.1271367&lt;/D&gt;&lt;D xsi:type="xsd:double"&gt;0.7246256&lt;/D&gt;&lt;D xsi:type="xsd:double"&gt;0.15035868&lt;/D&gt;&lt;D xsi:type="xsd:double"&gt;0.9011507&lt;/D&gt;&lt;D xsi:type="xsd:double"&gt;0.96143484&lt;/D&gt;&lt;D xsi:type="xsd:double"&gt;1.6835809&lt;/D&gt;&lt;D xsi:type="xsd:double"&gt;-0.1284182&lt;/D&gt;&lt;D xsi:type="xsd:double"&gt;0.04056692&lt;/D&gt;&lt;D xsi:type="xsd:double"&gt;-0.7349074&lt;/D&gt;&lt;D xsi:type="xsd:double"&gt;0.4551053&lt;/D&gt;&lt;D xsi:type="xsd:double"&gt;0.16407967&lt;/D&gt;&lt;D xsi:type="xsd:double"&gt;1.083684&lt;/D&gt;&lt;D xsi:type="xsd:double"&gt;-0.6730139&lt;/D&gt;&lt;D xsi:type="xsd:double"&gt;-0.18982291&lt;/D&gt;&lt;D xsi:type="xsd:double"&gt;1.4332771&lt;/D&gt;&lt;D xsi:type="xsd:double"&gt;0.09851456&lt;/D&gt;&lt;D xsi:type="xsd:double"&gt;0.44754744&lt;/D&gt;&lt;D xsi:type="xsd:double"&gt;-0.44035316&lt;/D&gt;&lt;D xsi:type="xsd:double"&gt;0.5810499&lt;/D&gt;&lt;D xsi:type="xsd:double"&gt;0.17838478&lt;/D&gt;&lt;D xsi:type="xsd:double"&gt;0.16708374&lt;/D&gt;&lt;D xsi:type="xsd:double"&gt;0.968194&lt;/D&gt;&lt;D xsi:type="xsd:double"&gt;0.045084953&lt;/D&gt;&lt;D xsi:type="xsd:double"&gt;1.1646152&lt;/D&gt;&lt;D xsi:type="xsd:double"&gt;0.8051038&lt;/D&gt;&lt;D xsi:type="xsd:double"&gt;0.9594202&lt;/D&gt;&lt;D xsi:type="xsd:double"&gt;0.59148073&lt;/D&gt;&lt;D xsi:type="xsd:double"&gt;0.10803938&lt;/D&gt;&lt;D xsi:type="xsd:double"&gt;1.4054537&lt;/D&gt;&lt;D xsi:type="xsd:double"&gt;0.70091486&lt;/D&gt;&lt;D xsi:type="xsd:double"&gt;-1.0760725&lt;/D&gt;&lt;D xsi:type="xsd:double"&gt;1.2361884&lt;/D&gt;&lt;D xsi:type="xsd:double"&gt;0.32277107&lt;/D&gt;&lt;D xsi:type="xsd:double"&gt;2.9432297&lt;/D&gt;&lt;D xsi:type="xsd:double"&gt;0.57617426&lt;/D&gt;&lt;D xsi:type="xsd:double"&gt;0.9238124&lt;/D&gt;&lt;D xsi:type="xsd:double"&gt;1.3432264&lt;/D&gt;&lt;D xsi:type="xsd:double"&gt;1.3947606&lt;/D&gt;&lt;D xsi:type="xsd:double"&gt;-0.94480515&lt;/D&gt;&lt;D xsi:type="xsd:double"&gt;0.93295574&lt;/D&gt;&lt;D xsi:type="xsd:double"&gt;-0.30133724&lt;/D&gt;&lt;D xsi:type="xsd:double"&gt;-0.21913052&lt;/D&gt;&lt;D xsi:type="xsd:double"&gt;0.1713872&lt;/D&gt;&lt;D xsi:type="xsd:double"&gt;-1.3034344&lt;/D&gt;&lt;D xsi:type="xsd:double"&gt;-0.09021163&lt;/D&gt;&lt;D xsi:type="xsd:double"&gt;0.22102594&lt;/D&gt;&lt;D xsi:type="xsd:double"&gt;0.5717397&lt;/D&gt;&lt;D xsi:type="xsd:double"&gt;-0.8951545&lt;/D&gt;&lt;D xsi:type="xsd:double"&gt;-1.1512697&lt;/D&gt;&lt;D xsi:type="xsd:double"&gt;1.3866663&lt;/D&gt;&lt;D xsi:type="xsd:double"&gt;-2.3979604&lt;/D&gt;&lt;D xsi:type="xsd:double"&gt;-0.9460032&lt;/D&gt;&lt;D xsi:type="xsd:double"&gt;-1.51335&lt;/D&gt;&lt;D xsi:type="xsd:double"&gt;1.9111037&lt;/D&gt;&lt;D xsi:type="xsd:double"&gt;0.25092363&lt;/D&gt;&lt;D xsi:type="xsd:double"&gt;1.3530016&lt;/D&gt;&lt;D xsi:type="xsd:double"&gt;1.180923&lt;/D&gt;&lt;D xsi:type="xsd:double"&gt;-0.18222332&lt;/D&gt;&lt;D xsi:type="xsd:double"&gt;-0.7633865&lt;/D&gt;&lt;D xsi:type="xsd:double"&gt;-2.6111603&lt;/D&gt;&lt;D xsi:type="xsd:double"&gt;0.10962486&lt;/D&gt;&lt;D xsi:type="xsd:double"&gt;2.9072165&lt;/D&gt;&lt;D xsi:type="xsd:double"&gt;-1.1482179&lt;/D&gt;&lt;D xsi:type="xsd:double"&gt;-0.40308833&lt;/D&gt;&lt;D xsi:type="xsd:double"&gt;-2.088666&lt;/D&gt;&lt;D xsi:type="xsd:double"&gt;0.13412237&lt;/D&gt;&lt;D xsi:type="xsd:double"&gt;-1.9050002&lt;/D&gt;&lt;D xsi:type="xsd:double"&gt;-0.50439835&lt;/D&gt;&lt;D xsi:type="xsd:double"&gt;1.9049048&lt;/D&gt;&lt;D xsi:type="xsd:double"&gt;-0.5517423&lt;/D&gt;&lt;D xsi:type="xsd:double"&gt;1.1420131&lt;/D&gt;&lt;D xsi:type="xsd:double"&gt;-0.7101774&lt;/D&gt;&lt;D xsi:type="xsd:double"&gt;-0.13337135&lt;/D&gt;&lt;D xsi:type="xsd:double"&gt;-0.11972189&lt;/D&gt;&lt;D xsi:type="xsd:double"&gt;0.65823793&lt;/D&gt;&lt;D xsi:type="xsd:double"&gt;1.1163592&lt;/D&gt;&lt;D xsi:type="xsd:double"&gt;-0.089901686&lt;/D&gt;&lt;D xsi:type="xsd:double"&gt;-0.6198466&lt;/D&gt;&lt;D xsi:type="xsd:double"&gt;-2.0608008&lt;/D&gt;&lt;D xsi:type="xsd:double"&gt;-0.059187412&lt;/D&gt;&lt;D xsi:type="xsd:double"&gt;-0.92814565&lt;/D&gt;&lt;D xsi:type="xsd:double"&gt;0.85742474&lt;/D&gt;&lt;D xsi:type="xsd:double"&gt;0.30903816&lt;/D&gt;&lt;D xsi:type="xsd:double"&gt;1.0635495&lt;/D&gt;&lt;D xsi:type="xsd:double"&gt;-1.091665&lt;/D&gt;&lt;D xsi:type="xsd:double"&gt;0.2722621&lt;/D&gt;&lt;D xsi:type="xsd:double"&gt;0.703609&lt;/D&gt;&lt;D xsi:type="xsd:double"&gt;-0.031286478&lt;/D&gt;&lt;D xsi:type="xsd:double"&gt;-0.7622421&lt;/D&gt;&lt;D xsi:type="xsd:double"&gt;-0.69541335&lt;/D&gt;&lt;D xsi:type="xsd:double"&gt;-2.277708&lt;/D&gt;&lt;D xsi:type="xsd:double"&gt;-0.9479642&lt;/D&gt;&lt;D xsi:type="xsd:double"&gt;-0.5056977&lt;/D&gt;&lt;D xsi:type="xsd:double"&gt;-0.23350716&lt;/D&gt;&lt;D xsi:type="xsd:double"&gt;-1.6710997&lt;/D&gt;&lt;D xsi:type="xsd:double"&gt;1.4132619&lt;/D&gt;&lt;D xsi:type="xsd:double"&gt;0.96325874&lt;/D&gt;&lt;D xsi:type="xsd:double"&gt;-0.6948292&lt;/D&gt;&lt;D xsi:type="xsd:double"&gt;-0.7355571&lt;/D&gt;&lt;D xsi:type="xsd:double"&gt;1.2453079&lt;/D&gt;&lt;D xsi:type="xsd:double"&gt;0.13918877&lt;/D&gt;&lt;D xsi:type="xsd:double"&gt;-1.5276074&lt;/D&gt;&lt;D xsi:type="xsd:double"&gt;-2.474004&lt;/D&gt;&lt;D xsi:type="xsd:double"&gt;-1.2240231&lt;/D&gt;&lt;D xsi:type="xsd:double"&gt;1.6106606&lt;/D&gt;&lt;D xsi:type="xsd:double"&gt;2.0692945&lt;/D&gt;&lt;D xsi:type="xsd:double"&gt;1.251483&lt;/D&gt;&lt;D xsi:type="xsd:double"&gt;0.27737617&lt;/D&gt;&lt;D xsi:type="xsd:double"&gt;-0.5994916&lt;/D&gt;&lt;D xsi:type="xsd:double"&gt;-0.18563867&lt;/D&gt;&lt;D xsi:type="xsd:double"&gt;0.6963134&lt;/D&gt;&lt;D xsi:type="xsd:double"&gt;0.018751621&lt;/D&gt;&lt;D xsi:type="xsd:double"&gt;0.066018105&lt;/D&gt;&lt;D xsi:type="xsd:double"&gt;-0.058555603&lt;/D&gt;&lt;D xsi:type="xsd:double"&gt;1.7278075&lt;/D&gt;&lt;D xsi:type="xsd:double"&gt;0.5680084&lt;/D&gt;&lt;D xsi:type="xsd:double"&gt;2.8648615&lt;/D&gt;&lt;D xsi:type="xsd:double"&gt;-0.7725358&lt;/D&gt;&lt;D xsi:type="xsd:double"&gt;0.3087759&lt;/D&gt;&lt;D xsi:type="xsd:double"&gt;-0.23568273&lt;/D&gt;&lt;D xsi:type="xsd:double"&gt;-3.0088186&lt;/D&gt;&lt;D xsi:type="xsd:double"&gt;-0.80064535&lt;/D&gt;&lt;D xsi:type="xsd:double"&gt;-0.3276646&lt;/D&gt;&lt;D xsi:type="xsd:double"&gt;1.2150049&lt;/D&gt;&lt;D xsi:type="xsd:double"&gt;0.27928352&lt;/D&gt;&lt;D xsi:type="xsd:double"&gt;-0.60108304&lt;/D&gt;&lt;D xsi:type="xsd:double"&gt;-0.2810061&lt;/D&gt;&lt;D xsi:type="xsd:double"&gt;0.4826188&lt;/D&gt;&lt;D xsi:type="xsd:double"&gt;0.2539158&lt;/D&gt;&lt;D xsi:type="xsd:double"&gt;-0.49806237&lt;/D&gt;&lt;D xsi:type="xsd:double"&gt;0.06670952&lt;/D&gt;&lt;D xsi:type="xsd:double"&gt;-3.300035&lt;/D&gt;&lt;D xsi:type="xsd:double"&gt;2.3763895&lt;/D&gt;&lt;D xsi:type="xsd:double"&gt;1.8795133&lt;/D&gt;&lt;D xsi:type="xsd:double"&gt;0.51145554&lt;/D&gt;&lt;D xsi:type="xsd:double"&gt;1.7304301&lt;/D&gt;&lt;D xsi:type="xsd:double"&gt;0.0026226044&lt;/D&gt;&lt;D xsi:type="xsd:double"&gt;0.39246082&lt;/D&gt;&lt;D xsi:type="xsd:double"&gt;1.1746287&lt;/D&gt;&lt;D xsi:type="xsd:double"&gt;-0.26926398&lt;/D&gt;&lt;D xsi:type="xsd:double"&gt;0.1711011&lt;/D&gt;&lt;D xsi:type="xsd:double"&gt;-1.6382158&lt;/D&gt;&lt;D xsi:type="xsd:double"&gt;1.1968255&lt;/D&gt;&lt;D xsi:type="xsd:double"&gt;1.9390345&lt;/D&gt;&lt;D xsi:type="xsd:double"&gt;-1.9554853&lt;/D&gt;&lt;D xsi:type="xsd:double"&gt;-0.46334267&lt;/D&gt;&lt;D xsi:type="xsd:double"&gt;0.7948041&lt;/D&gt;&lt;D xsi:type="xsd:double"&gt;-1.8203557&lt;/D&gt;&lt;D xsi:type="xsd:double"&gt;-0.9556353&lt;/D&gt;&lt;D xsi:type="xsd:double"&gt;-1.1663318&lt;/D&gt;&lt;D xsi:type="xsd:double"&gt;-0.06651878&lt;/D&gt;&lt;D xsi:type="xsd:double"&gt;1.3320684&lt;/D&gt;&lt;D xsi:type="xsd:double"&gt;0.6435871&lt;/D&gt;&lt;D xsi:type="xsd:double"&gt;-4.1102705&lt;/D&gt;&lt;D xsi:type="xsd:double"&gt;-0.16542673&lt;/D&gt;&lt;D xsi:type="xsd:double"&gt;-1.2371182&lt;/D&gt;&lt;D xsi:type="xsd:double"&gt;0.35680532&lt;/D&gt;&lt;D xsi:type="xsd:double"&gt;-0.69364905&lt;/D&gt;&lt;D xsi:type="xsd:double"&gt;-1.1645257&lt;/D&gt;&lt;D xsi:type="xsd:double"&gt;-0.41743517&lt;/D&gt;&lt;D xsi:type="xsd:double"&gt;-0.38736463&lt;/D&gt;&lt;D xsi:type="xsd:double"&gt;-0.17265081&lt;/D&gt;&lt;D xsi:type="xsd:double"&gt;1.2493849&lt;/D&gt;&lt;D xsi:type="xsd:double"&gt;1.4060855&lt;/D&gt;&lt;D xsi:type="xsd:double"&gt;-0.5919516&lt;/D&gt;&lt;D xsi:type="xsd:double"&gt;-0.5389452&lt;/D&gt;&lt;D xsi:type="xsd:double"&gt;2.581799&lt;/D&gt;&lt;D xsi:type="xsd:double"&gt;-8.001643&lt;/D&gt;&lt;D xsi:type="xsd:double"&gt;-1.0997534&lt;/D&gt;&lt;D xsi:type="xsd:double"&gt;1.3509989&lt;/D&gt;&lt;D xsi:type="xsd:double"&gt;-0.44199228&lt;/D&gt;&lt;D xsi:type="xsd:double"&gt;1.2148619&lt;/D&gt;&lt;D xsi:type="xsd:double"&gt;1.3493419&lt;/D&gt;&lt;D xsi:type="xsd:double"&gt;0.88677406&lt;/D&gt;&lt;D xsi:type="xsd:double"&gt;0.42598248&lt;/D&gt;&lt;D xsi:type="xsd:double"&gt;-1.9563019&lt;/D&gt;&lt;D xsi:type="xsd:double"&gt;-1.8556833&lt;/D&gt;&lt;D xsi:type="xsd:double"&gt;0.9127021&lt;/D&gt;&lt;D xsi:type="xsd:double"&gt;1.1485219&lt;/D&gt;&lt;D xsi:type="xsd:double"&gt;0.5077481&lt;/D&gt;&lt;D xsi:type="xsd:double"&gt;-0.7689893&lt;/D&gt;&lt;D xsi:type="xsd:double"&gt;1.4458895&lt;/D&gt;&lt;D xsi:type="xsd:double"&gt;0.16746521&lt;/D&gt;&lt;D xsi:type="xsd:double"&gt;2.2031307&lt;/D&gt;&lt;D xsi:type="xsd:double"&gt;-1.6779661&lt;/D&gt;&lt;D xsi:type="xsd:double"&gt;0.39474964&lt;/D&gt;&lt;D xsi:type="xsd:double"&gt;-1.0500908&lt;/D&gt;&lt;D xsi:type="xsd:double"&gt;0.42028427&lt;/D&gt;&lt;D xsi:type="xsd:double"&gt;0.42663813&lt;/D&gt;&lt;D xsi:type="xsd:double"&gt;0.959599&lt;/D&gt;&lt;D xsi:type="xsd:double"&gt;-0.6995201&lt;/D&gt;&lt;D xsi:type="xsd:double"&gt;0.7996559&lt;/D&gt;&lt;D xsi:type="xsd:double"&gt;0.6745219&lt;/D&gt;&lt;D xsi:type="xsd:double"&gt;2.0078301&lt;/D&gt;&lt;D xsi:type="xsd:double"&gt;3.7083387&lt;/D&gt;&lt;D xsi:type="xsd:double"&gt;-0.9887636&lt;/D&gt;&lt;D xsi:type="xsd:double"&gt;5.094719&lt;/D&gt;&lt;D xsi:type="xsd:double"&gt;-3.660655&lt;/D&gt;&lt;D xsi:type="xsd:double"&gt;1.4236331&lt;/D&gt;&lt;D xsi:type="xsd:double"&gt;-1.1596859&lt;/D&gt;&lt;D xsi:type="xsd:double"&gt;1.9691825&lt;/D&gt;&lt;D xsi:type="xsd:double"&gt;1.926887&lt;/D&gt;&lt;D xsi:type="xsd:double"&gt;-1.2448192&lt;/D&gt;&lt;D xsi:type="xsd:double"&gt;-1.0547757&lt;/D&gt;&lt;D xsi:type="xsd:double"&gt;0.31553507&lt;/D&gt;&lt;D xsi:type="xsd:double"&gt;-0.032544136&lt;/D&gt;&lt;D xsi:type="xsd:double"&gt;-0.24209619&lt;/D&gt;&lt;D xsi:type="xsd:double"&gt;1.2064338&lt;/D&gt;&lt;D xsi:type="xsd:double"&gt;-0.47966242&lt;/D&gt;&lt;D xsi:type="xsd:double"&gt;1.0566354&lt;/D&gt;&lt;D xsi:type="xsd:double"&gt;0.36267042&lt;/D&gt;&lt;D xsi:type="xsd:double"&gt;-0.90212226&lt;/D&gt;&lt;D xsi:type="xsd:double"&gt;-3.2812119&lt;/D&gt;&lt;D xsi:type="xsd:double"&gt;-1.0687947&lt;/D&gt;&lt;D xsi:type="xsd:double"&gt;0.08611679&lt;/D&gt;&lt;D xsi:type="xsd:double"&gt;-1.4957488&lt;/D&gt;&lt;D xsi:type="xsd:double"&gt;1.0579705&lt;/D&gt;&lt;D xsi:type="xsd:double"&gt;0.5486369&lt;/D&gt;&lt;D xsi:type="xsd:double"&gt;0.8767843&lt;/D&gt;&lt;D xsi:type="xsd:double"&gt;-0.7358968&lt;/D&gt;&lt;D xsi:type="xsd:double"&gt;2.190113&lt;/D&gt;&lt;D xsi:type="xsd:double"&gt;0.20889044&lt;/D&gt;&lt;D xsi:type="xsd:double"&gt;-0.928849&lt;/D&gt;&lt;D xsi:type="xsd:double"&gt;-0.92375875&lt;/D&gt;&lt;D xsi:type="xsd:double"&gt;-2.1935284&lt;/D&gt;&lt;D xsi:type="xsd:double"&gt;2.0407438&lt;/D&gt;&lt;D xsi:type="xsd:double"&gt;1.8473864&lt;/D&gt;&lt;D xsi:type="xsd:double"&gt;0.79784393&lt;/D&gt;&lt;D xsi:type="xsd:double"&gt;-0.18309951&lt;/D&gt;&lt;D xsi:type="xsd:double"&gt;0.8935094&lt;/D&gt;&lt;D xsi:type="xsd:double"&gt;-0.81243515&lt;/D&gt;&lt;D xsi:type="xsd:double"&gt;0.40272474&lt;/D&gt;&lt;D xsi:type="xsd:double"&gt;0.22017956&lt;/D&gt;&lt;D xsi:type="xsd:double"&gt;-0.9694159&lt;/D&gt;&lt;D xsi:type="xsd:double"&gt;-0.7041991&lt;/D&gt;&lt;D xsi:type="xsd:double"&gt;-0.056523085&lt;/D&gt;&lt;D xsi:type="xsd:double"&gt;1.2881756&lt;/D&gt;&lt;D xsi:type="xsd:double"&gt;0.23112297&lt;/D&gt;&lt;D xsi:type="xsd:double"&gt;0.6451726&lt;/D&gt;&lt;D xsi:type="xsd:double"&gt;0.122618675&lt;/D&gt;&lt;D xsi:type="xsd:double"&gt;0.26848316&lt;/D&gt;&lt;D xsi:type="xsd:double"&gt;1.6538978&lt;/D&gt;&lt;D xsi:type="xsd:double"&gt;3.116107&lt;/D&gt;&lt;D xsi:type="xsd:double"&gt;0.62892437&lt;/D&gt;&lt;D xsi:type="xsd:double"&gt;-2.0062327&lt;/D&gt;&lt;D xsi:type="xsd:double"&gt;-0.6364763&lt;/D&gt;&lt;D xsi:type="xsd:double"&gt;-1.2800992&lt;/D&gt;&lt;D xsi:type="xsd:double"&gt;-1.4398634&lt;/D&gt;&lt;D xsi:type="xsd:double"&gt;1.4426231&lt;/D&gt;&lt;D xsi:type="xsd:double"&gt;-0.62794685&lt;/D&gt;&lt;D xsi:type="xsd:double"&gt;-0.059831142&lt;/D&gt;&lt;D xsi:type="xsd:double"&gt;0.061416626&lt;/D&gt;&lt;D xsi:type="xsd:double"&gt;-1.0395229&lt;/D&gt;&lt;D xsi:type="xsd:double"&gt;1.5806079&lt;/D&gt;&lt;D xsi:type="xsd:double"&gt;-0.96032023&lt;/D&gt;&lt;D xsi:type="xsd:double"&gt;-1.0902524&lt;/D&gt;&lt;D xsi:type="xsd:double"&gt;-0.7475376&lt;/D&gt;&lt;D xsi:type="xsd:double"&gt;-1.3635635&lt;/D&gt;&lt;D xsi:type="xsd:double"&gt;0.3519416&lt;/D&gt;&lt;D xsi:type="xsd:double"&gt;1.11202&lt;/D&gt;&lt;D xsi:type="xsd:double"&gt;-2.325666&lt;/D&gt;&lt;D xsi:type="xsd:double"&gt;0.09795427&lt;/D&gt;&lt;D xsi:type="xsd:double"&gt;-0.09414554&lt;/D&gt;&lt;D xsi:type="xsd:double"&gt;-0.36536455&lt;/D&gt;&lt;D xsi:type="xsd:double"&gt;-0.92313886&lt;/D&gt;&lt;D xsi:type="xsd:double"&gt;-1.7356098&lt;/D&gt;&lt;D xsi:type="xsd:double"&gt;0.044083595&lt;/D&gt;&lt;D xsi:type="xsd:double"&gt;3.2348871&lt;/D&gt;&lt;D xsi:type="xsd:double"&gt;1.3802409&lt;/D&gt;&lt;D xsi:type="xsd:double"&gt;-1.1962056&lt;/D&gt;&lt;D xsi:type="xsd:double"&gt;0.37527084&lt;/D&gt;&lt;D xsi:type="xsd:double"&gt;-0.2963364&lt;/D&gt;&lt;D xsi:type="xsd:double"&gt;2.0766854&lt;/D&gt;&lt;D xsi:type="xsd:double"&gt;0.8692503&lt;/D&gt;&lt;D xsi:type="xsd:double"&gt;-0.616771&lt;/D&gt;&lt;D xsi:type="xsd:double"&gt;0.93171597&lt;/D&gt;&lt;D xsi:type="xsd:double"&gt;-0.96429586&lt;/D&gt;&lt;D xsi:type="xsd:double"&gt;3.2971263&lt;/D&gt;&lt;D xsi:type="xsd:double"&gt;2.1974683&lt;/D&gt;&lt;D xsi:type="xsd:double"&gt;-0.07497668&lt;/D&gt;&lt;D xsi:type="xsd:double"&gt;0.70990324&lt;/D&gt;&lt;D xsi:type="xsd:double"&gt;1.900065&lt;/D&gt;&lt;D xsi:type="xsd:double"&gt;0.51834583&lt;/D&gt;&lt;D xsi:type="xsd:double"&gt;0.45199394&lt;/D&gt;&lt;D xsi:type="xsd:double"&gt;2.9299855&lt;/D&gt;&lt;D xsi:type="xsd:double"&gt;0.64264536&lt;/D&gt;&lt;D xsi:type="xsd:double"&gt;-2.5518477&lt;/D&gt;&lt;D xsi:type="xsd:double"&gt;0.056648254&lt;/D&gt;&lt;D xsi:type="xsd:double"&gt;-1.6886413&lt;/D&gt;&lt;D xsi:type="xsd:double"&gt;-1.3523579&lt;/D&gt;&lt;D xsi:type="xsd:double"&gt;0.58151484&lt;/D&gt;&lt;D xsi:type="xsd:double"&gt;-1.409018&lt;/D&gt;&lt;D xsi:type="xsd:double"&gt;2.6712894&lt;/D&gt;&lt;D xsi:type="xsd:double"&gt;1.3090491&lt;/D&gt;&lt;D xsi:type="xsd:double"&gt;1.5573263&lt;/D&gt;&lt;D xsi:type="xsd:double"&gt;1.7700195&lt;/D&gt;&lt;D xsi:type="xsd:double"&gt;-3.2143414&lt;/D&gt;&lt;D xsi:type="xsd:double"&gt;-1.4838636&lt;/D&gt;&lt;D xsi:type="xsd:double"&gt;1.3304472&lt;/D&gt;&lt;D xsi:type="xsd:double"&gt;1.0795951&lt;/D&gt;&lt;D xsi:type="xsd:double"&gt;0.22655725&lt;/D&gt;&lt;D xsi:type="xsd:double"&gt;0.072681904&lt;/D&gt;&lt;D xsi:type="xsd:double"&gt;-1.9834757&lt;/D&gt;&lt;D xsi:type="xsd:double"&gt;-0.20353198&lt;/D&gt;&lt;D xsi:type="xsd:double"&gt;-1.4697433&lt;/D&gt;&lt;D xsi:type="xsd:double"&gt;-2.4615526&lt;/D&gt;&lt;D xsi:type="xsd:double"&gt;-1.8379629&lt;/D&gt;&lt;D xsi:type="xsd:double"&gt;0.25537014&lt;/D&gt;&lt;D xsi:type="xsd:double"&gt;2.6427627&lt;/D&gt;&lt;D xsi:type="xsd:double"&gt;0.9291053&lt;/D&gt;&lt;D xsi:type="xsd:double"&gt;0.5162716&lt;/D&gt;&lt;D xsi:type="xsd:double"&gt;2.050376&lt;/D&gt;&lt;D xsi:type="xsd:double"&gt;0.33929348&lt;/D&gt;&lt;D xsi:type="xsd:double"&gt;0.04554987&lt;/D&gt;&lt;D xsi:type="xsd:double"&gt;-0.46729444999999997&lt;/D&gt;&lt;D xsi:type="xsd:double"&gt;-2.4743795&lt;/D&gt;&lt;D xsi:type="xsd:double"&gt;-2.094674&lt;/D&gt;&lt;D xsi:type="xsd:double"&gt;-0.7531822&lt;/D&gt;&lt;D xsi:type="xsd:double"&gt;-1.2556016&lt;/D&gt;&lt;D xsi:type="xsd:double"&gt;0.6118536&lt;/D&gt;&lt;D xsi:type="xsd:double"&gt;-0.75707436&lt;/D&gt;&lt;D xsi:type="xsd:double"&gt;-0.10701418&lt;/D&gt;&lt;D xsi:type="xsd:double"&gt;0.2565503&lt;/D&gt;&lt;D xsi:type="xsd:double"&gt;-1.369971&lt;/D&gt;&lt;D xsi:type="xsd:double"&gt;1.9781232&lt;/D&gt;&lt;D xsi:type="xsd:double"&gt;1.1014342&lt;/D&gt;&lt;D xsi:type="xsd:double"&gt;0.5543113&lt;/D&gt;&lt;D xsi:type="xsd:double"&gt;1.4045596&lt;/D&gt;&lt;D xsi:type="xsd:double"&gt;-2.909124&lt;/D&gt;&lt;D xsi:type="xsd:double"&gt;3.5983205&lt;/D&gt;&lt;D xsi:type="xsd:double"&gt;-2.713561&lt;/D&gt;&lt;D xsi:type="xsd:double"&gt;0.70067644&lt;/D&gt;&lt;D xsi:type="xsd:double"&gt;-0.5698979&lt;/D&gt;&lt;D xsi:type="xsd:double"&gt;-0.38823485&lt;/D&gt;&lt;D xsi:type="xsd:double"&gt;-0.93477964&lt;/D&gt;&lt;D xsi:type="xsd:double"&gt;0.18657446&lt;/D&gt;&lt;D xsi:type="xsd:double"&gt;1.3571739&lt;/D&gt;&lt;D xsi:type="xsd:double"&gt;-0.9129822&lt;/D&gt;&lt;D xsi:type="xsd:double"&gt;-0.65972805&lt;/D&gt;&lt;D xsi:type="xsd:double"&gt;-0.8687496&lt;/D&gt;&lt;D xsi:type="xsd:double"&gt;1.0358334&lt;/D&gt;&lt;D xsi:type="xsd:double"&gt;0.011062622&lt;/D&gt;&lt;D xsi:type="xsd:double"&gt;-0.59040785&lt;/D&gt;&lt;D xsi:type="xsd:double"&gt;2.2039056&lt;/D&gt;&lt;D xsi:type="xsd:double"&gt;-4.2081475&lt;/D&gt;&lt;D xsi:type="xsd:double"&gt;-1.6295314&lt;/D&gt;&lt;D xsi:type="xsd:double"&gt;0.021922588&lt;/D&gt;&lt;D xsi:type="xsd:double"&gt;0.13971329&lt;/D&gt;&lt;D xsi:type="xsd:double"&gt;0.9447813&lt;/D&gt;&lt;D xsi:type="xsd:double"&gt;-0.39323568&lt;/D&gt;&lt;D xsi:type="xsd:double"&gt;0.42420626&lt;/D&gt;&lt;D xsi:type="xsd:double"&gt;0.5621791&lt;/D&gt;&lt;D xsi:type="xsd:double"&gt;-1.0883987&lt;/D&gt;&lt;D xsi:type="xsd:double"&gt;2.257073&lt;/D&gt;&lt;D xsi:type="xsd:double"&gt;1.5051126&lt;/D&gt;&lt;D xsi:type="xsd:double"&gt;2.4104238&lt;/D&gt;&lt;D xsi:type="xsd:double"&gt;2.190721&lt;/D&gt;&lt;D xsi:type="xsd:double"&gt;-0.88350177&lt;/D&gt;&lt;D xsi:type="xsd:double"&gt;0.15181303&lt;/D&gt;&lt;D xsi:type="xsd:double"&gt;-2.0237803&lt;/D&gt;&lt;D xsi:type="xsd:double"&gt;0.71430206&lt;/D&gt;&lt;D xsi:type="xsd:double"&gt;0.30220747&lt;/D&gt;&lt;D xsi:type="xsd:double"&gt;1.4776707&lt;/D&gt;&lt;D xsi:type="xsd:double"&gt;2.0381331&lt;/D&gt;&lt;D xsi:type="xsd:double"&gt;0.4526615&lt;/D&gt;&lt;D xsi:type="xsd:double"&gt;-4.110563&lt;/D&gt;&lt;D xsi:type="xsd:double"&gt;0.99440813&lt;/D&gt;&lt;D xsi:type="xsd:double"&gt;1.8920064&lt;/D&gt;&lt;D xsi:type="</t>
        </r>
      </text>
    </comment>
    <comment ref="A2" authorId="0" shapeId="0" xr:uid="{ACDE75F5-D5F2-4E9A-9DFD-90E13A4F7E1A}">
      <text>
        <r>
          <rPr>
            <b/>
            <sz val="9"/>
            <color indexed="81"/>
            <rFont val="Tahoma"/>
            <charset val="1"/>
          </rPr>
          <t>xsd:double"&gt;-0.2649963&lt;/D&gt;&lt;D xsi:type="xsd:double"&gt;0.790596&lt;/D&gt;&lt;D xsi:type="xsd:double"&gt;-1.3894975&lt;/D&gt;&lt;D xsi:type="xsd:double"&gt;2.9331565&lt;/D&gt;&lt;D xsi:type="xsd:double"&gt;-0.8962512&lt;/D&gt;&lt;D xsi:type="xsd:double"&gt;-3.8099945&lt;/D&gt;&lt;D xsi:type="xsd:double"&gt;-0.2602756&lt;/D&gt;&lt;D xsi:type="xsd:double"&gt;0.69833994&lt;/D&gt;&lt;D xsi:type="xsd:double"&gt;-1.3761938&lt;/D&gt;&lt;D xsi:type="xsd:double"&gt;1.5568376&lt;/D&gt;&lt;D xsi:type="xsd:double"&gt;0.85726976&lt;/D&gt;&lt;D xsi:type="xsd:double"&gt;-0.48243403&lt;/D&gt;&lt;D xsi:type="xsd:double"&gt;1.0806918&lt;/D&gt;&lt;D xsi:type="xsd:double"&gt;1.5151858&lt;/D&gt;&lt;D xsi:type="xsd:double"&gt;-0.56052804&lt;/D&gt;&lt;D xsi:type="xsd:double"&gt;0.78861713&lt;/D&gt;&lt;D xsi:type="xsd:double"&gt;1.6463637&lt;/D&gt;&lt;D xsi:type="xsd:double"&gt;1.0494232&lt;/D&gt;&lt;D xsi:type="xsd:double"&gt;-2.2306085&lt;/D&gt;&lt;D xsi:type="xsd:double"&gt;-0.20727515&lt;/D&gt;&lt;D xsi:type="xsd:double"&gt;-0.98496675&lt;/D&gt;&lt;D xsi:type="xsd:double"&gt;-1.7111838&lt;/D&gt;&lt;D xsi:type="xsd:double"&gt;-1.7361462&lt;/D&gt;&lt;D xsi:type="xsd:double"&gt;0.5323887&lt;/D&gt;&lt;D xsi:type="xsd:double"&gt;0.083470345&lt;/D&gt;&lt;D xsi:type="xsd:double"&gt;1.2078166&lt;/D&gt;&lt;D xsi:type="xsd:double"&gt;-1.6309559&lt;/D&gt;&lt;D xsi:type="xsd:double"&gt;-4.557866&lt;/D&gt;&lt;D xsi:type="xsd:double"&gt;-0.06997585&lt;/D&gt;&lt;D xsi:type="xsd:double"&gt;0.6631851&lt;/D&gt;&lt;D xsi:type="xsd:double"&gt;-1.9989908&lt;/D&gt;&lt;D xsi:type="xsd:double"&gt;2.4902701&lt;/D&gt;&lt;D xsi:type="xsd:double"&gt;1.2332678&lt;/D&gt;&lt;D xsi:type="xsd:double"&gt;1.7385602&lt;/D&gt;&lt;D xsi:type="xsd:double"&gt;-2.3655891&lt;/D&gt;&lt;D xsi:type="xsd:double"&gt;-0.24869442&lt;/D&gt;&lt;D xsi:type="xsd:double"&gt;2.6070237&lt;/D&gt;&lt;D xsi:type="xsd:double"&gt;-0.36957264&lt;/D&gt;&lt;D xsi:type="xsd:double"&gt;0.3509283&lt;/D&gt;&lt;D xsi:type="xsd:double"&gt;-1.3314724&lt;/D&gt;&lt;D xsi:type="xsd:double"&gt;0.5293369&lt;/D&gt;&lt;D xsi:type="xsd:double"&gt;1.795876&lt;/D&gt;&lt;D xsi:type="xsd:double"&gt;-2.1354854&lt;/D&gt;&lt;D xsi:type="xsd:double"&gt;-0.9748459&lt;/D&gt;&lt;D xsi:type="xsd:double"&gt;-1.8199623&lt;/D&gt;&lt;D xsi:type="xsd:double"&gt;0.0047564507&lt;/D&gt;&lt;D xsi:type="xsd:double"&gt;0.2327919&lt;/D&gt;&lt;D xsi:type="xsd:double"&gt;-0.09639859&lt;/D&gt;&lt;D xsi:type="xsd:double"&gt;2.032745&lt;/D&gt;&lt;D xsi:type="xsd:double"&gt;0.05171299&lt;/D&gt;&lt;D xsi:type="xsd:double"&gt;-2.4730802&lt;/D&gt;&lt;D xsi:type="xsd:double"&gt;0.3170371&lt;/D&gt;&lt;D xsi:type="xsd:double"&gt;0.009441376&lt;/D&gt;&lt;D xsi:type="xsd:double"&gt;-1.0311842&lt;/D&gt;&lt;D xsi:type="xsd:double"&gt;-1.3990223&lt;/D&gt;&lt;D xsi:type="xsd:double"&gt;1.8085837&lt;/D&gt;&lt;D xsi:type="xsd:double"&gt;-2.7658105&lt;/D&gt;&lt;D xsi:type="xsd:double"&gt;0.15774965&lt;/D&gt;&lt;D xsi:type="xsd:double"&gt;0.75187683&lt;/D&gt;&lt;D xsi:type="xsd:double"&gt;-0.508821&lt;/D&gt;&lt;D xsi:type="xsd:double"&gt;-0.69295764&lt;/D&gt;&lt;D xsi:type="xsd:double"&gt;-0.4091084&lt;/D&gt;&lt;D xsi:type="xsd:double"&gt;1.3376951&lt;/D&gt;&lt;D xsi:type="xsd:double"&gt;-0.34424067&lt;/D&gt;&lt;D xsi:type="xsd:double"&gt;-1.5090644&lt;/D&gt;&lt;D xsi:type="xsd:double"&gt;2.5515556&lt;/D&gt;&lt;D xsi:type="xsd:double"&gt;-1.2401819&lt;/D&gt;&lt;D xsi:type="xsd:double"&gt;0.16477108&lt;/D&gt;&lt;D xsi:type="xsd:double"&gt;-1.6377807&lt;/D&gt;&lt;D xsi:type="xsd:double"&gt;1.0479093&lt;/D&gt;&lt;D xsi:type="xsd:double"&gt;1.6764522&lt;/D&gt;&lt;D xsi:type="xsd:double"&gt;0.7253885&lt;/D&gt;&lt;D xsi:type="xsd:double"&gt;1.8955588&lt;/D&gt;&lt;D xsi:type="xsd:double"&gt;-0.2906978&lt;/D&gt;&lt;D xsi:type="xsd:double"&gt;-2.7781546&lt;/D&gt;&lt;D xsi:type="xsd:double"&gt;1.5506625&lt;/D&gt;&lt;D xsi:type="xsd:double"&gt;-0.1772523&lt;/D&gt;&lt;D xsi:type="xsd:double"&gt;0.60659647&lt;/D&gt;&lt;D xsi:type="xsd:double"&gt;-0.7833302&lt;/D&gt;&lt;D xsi:type="xsd:double"&gt;5.0747275&lt;/D&gt;&lt;D xsi:type="xsd:double"&gt;1.2174845&lt;/D&gt;&lt;D xsi:type="xsd:double"&gt;4.7552466&lt;/D&gt;&lt;D xsi:type="xsd:double"&gt;0.80627203&lt;/D&gt;&lt;D xsi:type="xsd:double"&gt;-0.65822005&lt;/D&gt;&lt;D xsi:type="xsd:double"&gt;7.292962&lt;/D&gt;&lt;D xsi:type="xsd:double"&gt;-2.5443614&lt;/D&gt;&lt;D xsi:type="xsd:double"&gt;-0.6856978&lt;/D&gt;&lt;D xsi:type="xsd:double"&gt;-4.511738&lt;/D&gt;&lt;D xsi:type="xsd:double"&gt;-0.45524836&lt;/D&gt;&lt;D xsi:type="xsd:double"&gt;-1.4726043&lt;/D&gt;&lt;D xsi:type="xsd:double"&gt;-4.216152&lt;/D&gt;&lt;D xsi:type="xsd:double"&gt;0.20807981&lt;/D&gt;&lt;D xsi:type="xsd:double"&gt;1.183188&lt;/D&gt;&lt;D xsi:type="xsd:double"&gt;-2.051872&lt;/D&gt;&lt;D xsi:type="xsd:double"&gt;-1.4453769&lt;/D&gt;&lt;D xsi:type="xsd:double"&gt;-1.180309&lt;/D&gt;&lt;D xsi:type="xsd:double"&gt;-1.1228681&lt;/D&gt;&lt;D xsi:type="xsd:double"&gt;-0.78244805&lt;/D&gt;&lt;D xsi:type="xsd:double"&gt;-0.055223703&lt;/D&gt;&lt;D xsi:type="xsd:double"&gt;1.4115095&lt;/D&gt;&lt;D xsi:type="xsd:double"&gt;-0.8330703&lt;/D&gt;&lt;D xsi:type="xsd:double"&gt;0.044572353&lt;/D&gt;&lt;D xsi:type="xsd:double"&gt;-0.73528886&lt;/D&gt;&lt;D xsi:type="xsd:double"&gt;0.93438625&lt;/D&gt;&lt;D xsi:type="xsd:double"&gt;-0.5077779&lt;/D&gt;&lt;D xsi:type="xsd:double"&gt;1.0480642&lt;/D&gt;&lt;D xsi:type="xsd:double"&gt;1.2622356&lt;/D&gt;&lt;D xsi:type="xsd:double"&gt;0.2914071&lt;/D&gt;&lt;D xsi:type="xsd:double"&gt;-0.059610605&lt;/D&gt;&lt;D xsi:type="xsd:double"&gt;-0.22660494&lt;/D&gt;&lt;D xsi:type="xsd:double"&gt;2.0210147&lt;/D&gt;&lt;D xsi:type="xsd:double"&gt;-0.7183969&lt;/D&gt;&lt;D xsi:type="xsd:double"&gt;-0.54591894&lt;/D&gt;&lt;D xsi:type="xsd:double"&gt;-0.342381&lt;/D&gt;&lt;D xsi:type="xsd:double"&gt;-3.0795395&lt;/D&gt;&lt;D xsi:type="xsd:double"&gt;-1.9270778&lt;/D&gt;&lt;D xsi:type="xsd:double"&gt;0.8587837&lt;/D&gt;&lt;D xsi:type="xsd:double"&gt;2.0503879&lt;/D&gt;&lt;D xsi:type="xsd:double"&gt;1.2662411&lt;/D&gt;&lt;D xsi:type="xsd:double"&gt;0.62572956&lt;/D&gt;&lt;D xsi:type="xsd:double"&gt;-0.6227851&lt;/D&gt;&lt;D xsi:type="xsd:double"&gt;2.6068091&lt;/D&gt;&lt;D xsi:type="xsd:double"&gt;2.2266746&lt;/D&gt;&lt;D xsi:type="xsd:double"&gt;1.652813&lt;/D&gt;&lt;D xsi:type="xsd:double"&gt;0.60549974&lt;/D&gt;&lt;D xsi:type="xsd:double"&gt;-0.42899847&lt;/D&gt;&lt;D xsi:type="xsd:double"&gt;-0.45892596&lt;/D&gt;&lt;D xsi:type="xsd:double"&gt;0.546515&lt;/D&gt;&lt;D xsi:type="xsd:double"&gt;-0.28727055&lt;/D&gt;&lt;D xsi:type="xsd:double"&gt;-0.63598156&lt;/D&gt;&lt;D xsi:type="xsd:double"&gt;0.36182404&lt;/D&gt;&lt;D xsi:type="xsd:double"&gt;0.2370596&lt;/D&gt;&lt;D xsi:type="xsd:double"&gt;-0.30457377&lt;/D&gt;&lt;D xsi:type="xsd:double"&gt;0.8255124&lt;/D&gt;&lt;D xsi:type="xsd:double"&gt;0.33313036&lt;/D&gt;&lt;D xsi:type="xsd:double"&gt;1.0807872&lt;/D&gt;&lt;D xsi:type="xsd:double"&gt;0.2632141&lt;/D&gt;&lt;D xsi:type="xsd:double"&gt;2.8950572&lt;/D&gt;&lt;D xsi:type="xsd:double"&gt;-1.6230643&lt;/D&gt;&lt;D xsi:type="xsd:double"&gt;0.9518981&lt;/D&gt;&lt;D xsi:type="xsd:double"&gt;2.1252513&lt;/D&gt;&lt;D xsi:type="xsd:double"&gt;0.5669832&lt;/D&gt;&lt;D xsi:type="xsd:double"&gt;-0.6320238&lt;/D&gt;&lt;D xsi:type="xsd:double"&gt;-0.54407716&lt;/D&gt;&lt;D xsi:type="xsd:double"&gt;0.45796633&lt;/D&gt;&lt;D xsi:type="xsd:double"&gt;0.019025803&lt;/D&gt;&lt;D xsi:type="xsd:double"&gt;-0.14589429&lt;/D&gt;&lt;D xsi:type="xsd:double"&gt;0.47820807&lt;/D&gt;&lt;D xsi:type="xsd:double"&gt;0.2061367&lt;/D&gt;&lt;D xsi:type="xsd:double"&gt;-1.0858715&lt;/D&gt;&lt;D xsi:type="xsd:double"&gt;-1.4949739&lt;/D&gt;&lt;D xsi:type="xsd:double"&gt;2.1459699&lt;/D&gt;&lt;D xsi:type="xsd:double"&gt;-2.6397645&lt;/D&gt;&lt;D xsi:type="xsd:double"&gt;-1.007098&lt;/D&gt;&lt;D xsi:type="xsd:double"&gt;-0.055021048&lt;/D&gt;&lt;D xsi:type="xsd:double"&gt;-0.62919855&lt;/D&gt;&lt;D xsi:type="xsd:double"&gt;-0.46792626&lt;/D&gt;&lt;D xsi:type="xsd:double"&gt;-2.0070493&lt;/D&gt;&lt;D xsi:type="xsd:double"&gt;0.37264824&lt;/D&gt;&lt;D xsi:type="xsd:double"&gt;0.46087503&lt;/D&gt;&lt;D xsi:type="xsd:double"&gt;-2.0782888&lt;/D&gt;&lt;D xsi:type="xsd:double"&gt;-0.7793069&lt;/D&gt;&lt;D xsi:type="xsd:double"&gt;1.0761738&lt;/D&gt;&lt;D xsi:type="xsd:double"&gt;-0.6017864&lt;/D&gt;&lt;D xsi:type="xsd:double"&gt;-1.3786018&lt;/D&gt;&lt;D xsi:type="xsd:double"&gt;-0.56972504&lt;/D&gt;&lt;D xsi:type="xsd:double"&gt;0.7023692&lt;/D&gt;&lt;D xsi:type="xsd:double"&gt;0.2310276&lt;/D&gt;&lt;D xsi:type="xsd:double"&gt;-0.6249428&lt;/D&gt;&lt;D xsi:type="xsd:double"&gt;1.3238311&lt;/D&gt;&lt;D xsi:type="xsd:double"&gt;0.07288456&lt;/D&gt;&lt;D xsi:type="xsd:double"&gt;1.2525439&lt;/D&gt;&lt;D xsi:type="xsd:double"&gt;1.1668563&lt;/D&gt;&lt;D xsi:type="xsd:double"&gt;-1.303047&lt;/D&gt;&lt;D xsi:type="xsd:double"&gt;0.27695894&lt;/D&gt;&lt;D xsi:type="xsd:double"&gt;-0.15513301&lt;/D&gt;&lt;D xsi:type="xsd:double"&gt;0.39007664&lt;/D&gt;&lt;D xsi:type="xsd:double"&gt;-1.3476908&lt;/D&gt;&lt;D xsi:type="xsd:double"&gt;-0.4395604&lt;/D&gt;&lt;D xsi:type="xsd:double"&gt;0.29530525&lt;/D&gt;&lt;D xsi:type="xsd:double"&gt;-2.4790585&lt;/D&gt;&lt;D xsi:type="xsd:double"&gt;2.005434&lt;/D&gt;&lt;D xsi:type="xsd:double"&gt;-0.034463406&lt;/D&gt;&lt;D xsi:type="xsd:double"&gt;1.2720823&lt;/D&gt;&lt;D xsi:type="xsd:double"&gt;-0.8907497&lt;/D&gt;&lt;D xsi:type="xsd:double"&gt;0.016963482&lt;/D&gt;&lt;D xsi:type="xsd:double"&gt;0.6498933&lt;/D&gt;&lt;D xsi:type="xsd:double"&gt;-0.3196597&lt;/D&gt;&lt;D xsi:type="xsd:double"&gt;1.1162281&lt;/D&gt;&lt;D xsi:type="xsd:double"&gt;2.1963358&lt;/D&gt;&lt;D xsi:type="xsd:double"&gt;-1.0611475&lt;/D&gt;&lt;D xsi:type="xsd:double"&gt;0.0826478&lt;/D&gt;&lt;D xsi:type="xsd:double"&gt;0.23713112&lt;/D&gt;&lt;D xsi:type="xsd:double"&gt;1.6627908&lt;/D&gt;&lt;D xsi:type="xsd:double"&gt;0.025331974&lt;/D&gt;&lt;D xsi:type="xsd:double"&gt;-0.17634034&lt;/D&gt;&lt;D xsi:type="xsd:double"&gt;-1.9158125&lt;/D&gt;&lt;D xsi:type="xsd:double"&gt;-1.3261795&lt;/D&gt;&lt;D xsi:type="xsd:double"&gt;-1.131165&lt;/D&gt;&lt;D xsi:type="xsd:double"&gt;1.0419369&lt;/D&gt;&lt;D xsi:type="xsd:double"&gt;-0.545907&lt;/D&gt;&lt;D xsi:type="xsd:double"&gt;3.7617207&lt;/D&gt;&lt;D xsi:type="xsd:double"&gt;-0.5303681&lt;/D&gt;&lt;D xsi:type="xsd:double"&gt;-2.1473825&lt;/D&gt;&lt;D xsi:type="xsd:double"&gt;-0.22495389&lt;/D&gt;&lt;D xsi:type="xsd:double"&gt;0.18991232&lt;/D&gt;&lt;D xsi:type="xsd:double"&gt;0.027000904&lt;/D&gt;&lt;D xsi:type="xsd:double"&gt;-0.7653177&lt;/D&gt;&lt;D xsi:type="xsd:double"&gt;-0.86138844&lt;/D&gt;&lt;D xsi:type="xsd:double"&gt;-0.22972226&lt;/D&gt;&lt;D xsi:type="xsd:double"&gt;-1.0682404&lt;/D&gt;&lt;D xsi:type="xsd:double"&gt;0.043821335&lt;/D&gt;&lt;D xsi:type="xsd:double"&gt;-0.09224415&lt;/D&gt;&lt;D xsi:type="xsd:double"&gt;-0.60195327&lt;/D&gt;&lt;D xsi:type="xsd:double"&gt;0.93485117&lt;/D&gt;&lt;D xsi:type="xsd:double"&gt;-2.0320952&lt;/D&gt;&lt;D xsi:type="xsd:double"&gt;0.3794074&lt;/D&gt;&lt;D xsi:type="xsd:double"&gt;0.7079005&lt;/D&gt;&lt;D xsi:type="xsd:double"&gt;-0.21021962&lt;/D&gt;&lt;D xsi:type="xsd:double"&gt;-0.9106159&lt;/D&gt;&lt;D xsi:type="xsd:double"&gt;-0.555861&lt;/D&gt;&lt;D xsi:type="xsd:double"&gt;0.21903515&lt;/D&gt;&lt;D xsi:type="xsd:double"&gt;0.60601234&lt;/D&gt;&lt;D xsi:type="xsd:double"&gt;-0.08147955&lt;/D&gt;&lt;D xsi:type="xsd:double"&gt;0.7967472&lt;/D&gt;&lt;D xsi:type="xsd:double"&gt;0.36695004&lt;/D&gt;&lt;D xsi:type="xsd:double"&gt;0.029695034&lt;/D&gt;&lt;D xsi:type="xsd:double"&gt;0.30305386&lt;/D&gt;&lt;D xsi:type="xsd:double"&gt;1.0828972&lt;/D&gt;&lt;D xsi:type="xsd:double"&gt;1.276648&lt;/D&gt;&lt;D xsi:type="xsd:double"&gt;-0.31644702&lt;/D&gt;&lt;D xsi:type="xsd:double"&gt;0.8452296&lt;/D&gt;&lt;D xsi:type="xsd:double"&gt;-0.13971925&lt;/D&gt;&lt;D xsi:type="xsd:double"&gt;0.3951192&lt;/D&gt;&lt;D xsi:type="xsd:double"&gt;1.0629654&lt;/D&gt;&lt;D xsi:type="xsd:double"&gt;-1.2428939&lt;/D&gt;&lt;D xsi:type="xsd:double"&gt;0.767684&lt;/D&gt;&lt;D xsi:type="xsd:double"&gt;-1.4483154&lt;/D&gt;&lt;D xsi:type="xsd:double"&gt;2.4457693&lt;/D&gt;&lt;D xsi:type="xsd:double"&gt;-2.3458004&lt;/D&gt;&lt;D xsi:type="xsd:double"&gt;-1.095438&lt;/D&gt;&lt;D xsi:type="xsd:double"&gt;-1.5072286&lt;/D&gt;&lt;D xsi:type="xsd:double"&gt;0.9671807&lt;/D&gt;&lt;D xsi:type="xsd:double"&gt;1.4590263&lt;/D&gt;&lt;D xsi:type="xsd:double"&gt;1.1346817&lt;/D&gt;&lt;D xsi:type="xsd:double"&gt;-0.39915442&lt;/D&gt;&lt;D xsi:type="xsd:double"&gt;-0.69100857&lt;/D&gt;&lt;D xsi:type="xsd:double"&gt;-0.25404096&lt;/D&gt;&lt;D xsi:type="xsd:double"&gt;-0.8314848&lt;/D&gt;&lt;D xsi:type="xsd:double"&gt;-1.1707306&lt;/D&gt;&lt;D xsi:type="xsd:double"&gt;-0.23052096&lt;/D&gt;&lt;D xsi:type="xsd:double"&gt;1.4490843&lt;/D&gt;&lt;D xsi:type="xsd:double"&gt;-0.2952695&lt;/D&gt;&lt;D xsi:type="xsd:double"&gt;-2.000749&lt;/D&gt;&lt;D xsi:type="xsd:double"&gt;0.58802366&lt;/D&gt;&lt;D xsi:type="xsd:double"&gt;-0.3801167&lt;/D&gt;&lt;D xsi:type="xsd:double"&gt;0.5718827&lt;/D&gt;&lt;D xsi:type="xsd:double"&gt;-0.2980411&lt;/D&gt;&lt;D xsi:type="xsd:double"&gt;-1.5567422&lt;/D&gt;&lt;D xsi:type="xsd:double"&gt;0.4604578&lt;/D&gt;&lt;D xsi:type="xsd:double"&gt;-0.23870468&lt;/D&gt;&lt;D xsi:type="xsd:double"&gt;0.30704737&lt;/D&gt;&lt;D xsi:type="xsd:double"&gt;1.0152936&lt;/D&gt;&lt;D xsi:type="xsd:double"&gt;-1.0439336&lt;/D&gt;&lt;D xsi:type="xsd:double"&gt;0.169456&lt;/D&gt;&lt;D xsi:type="xsd:double"&gt;2.508521&lt;/D&gt;&lt;D xsi:type="xsd:double"&gt;-0.0998795&lt;/D&gt;&lt;D xsi:type="xsd:double"&gt;1.2454629&lt;/D&gt;&lt;D xsi:type="xsd:double"&gt;0.54774284&lt;/D&gt;&lt;D xsi:type="xsd:double"&gt;1.3621807&lt;/D&gt;&lt;D xsi:type="xsd:double"&gt;2.0830154&lt;/D&gt;&lt;D xsi:type="xsd:double"&gt;0.46323538&lt;/D&gt;&lt;D xsi:type="xsd:double"&gt;0.03902912&lt;/D&gt;&lt;D xsi:type="xsd:double"&gt;-1.3034344&lt;/D&gt;&lt;D xsi:type="xsd:double"&gt;0.40465593&lt;/D&gt;&lt;D xsi:type="xsd:double"&gt;-0.029700994&lt;/D&gt;&lt;D xsi:type="xsd:double"&gt;1.080358&lt;/D&gt;&lt;D xsi:type="xsd:double"&gt;-0.42040348&lt;/D&gt;&lt;D xsi:type="xsd:double"&gt;-0.4635334&lt;/D&gt;&lt;D xsi:type="xsd:double"&gt;0.1840949&lt;/D&gt;&lt;D xsi:type="xsd:double"&gt;0.24707317&lt;/D&gt;&lt;D xsi:type="xsd:double"&gt;-2.3242772&lt;/D&gt;&lt;D xsi:type="xsd:double"&gt;-0.6206393&lt;/D&gt;&lt;D xsi:type="xsd:double"&gt;0.3183961&lt;/D&gt;&lt;D xsi:type="xsd:double"&gt;0.25023222&lt;/D&gt;&lt;D xsi:type="xsd:double"&gt;-1.1946559&lt;/D&gt;&lt;D xsi:type="xsd:double"&gt;0.18103123&lt;/D&gt;&lt;D xsi:type="xsd:double"&gt;-1.0633528&lt;/D&gt;&lt;D xsi:type="xsd:double"&gt;0.6412506&lt;/D&gt;&lt;D xsi:type="xsd:double"&gt;-0.3338933&lt;/D&gt;&lt;D xsi:type="xsd:double"&gt;1.9850731&lt;/D&gt;&lt;D xsi:type="xsd:double"&gt;0.2375722&lt;/D&gt;&lt;D xsi:type="xsd:double"&gt;-1.2765944&lt;/D&gt;&lt;D xsi:type="xsd:double"&gt;-2.0042002&lt;/D&gt;&lt;D xsi:type="xsd:double"&gt;0.32567978&lt;/D&gt;&lt;D xsi:type="xsd:double"&gt;2.578473&lt;/D&gt;&lt;D xsi:type="xsd:double"&gt;-0.2344966&lt;/D&gt;&lt;D xsi:type="xsd:double"&gt;-0.40295124&lt;/D&gt;&lt;D xsi:type="xsd:double"&gt;-2.8553665&lt;/D&gt;&lt;D xsi:type="xsd:double"&gt;0.30320883&lt;/D&gt;&lt;D xsi:type="xsd:double"&gt;-0.12307763&lt;/D&gt;&lt;D xsi:type="xsd:double"&gt;1.0006428&lt;/D&gt;&lt;D xsi:type="xsd:double"&gt;-1.774013&lt;/D&gt;&lt;D xsi:type="xsd:double"&gt;-0.4916489&lt;/D&gt;&lt;D xsi:type="xsd:double"&gt;-0.855875&lt;/D&gt;&lt;D xsi:type="xsd:double"&gt;0.08788109&lt;/D&gt;&lt;D xsi:type="xsd:double"&gt;0.39509535&lt;/D&gt;&lt;D xsi:type="xsd:double"&gt;-1.080662&lt;/D&gt;&lt;D xsi:type="xsd:double"&gt;0.03759861&lt;/D&gt;&lt;D xsi:type="xsd:double"&gt;0.3678918&lt;/D&gt;&lt;D xsi:type="xsd:double"&gt;-0.49367547&lt;/D&gt;&lt;D xsi:type="xsd:double"&gt;0.020897388&lt;/D&gt;&lt;D xsi:type="xsd:double"&gt;0.52148104&lt;/D&gt;&lt;D xsi:type="xsd:double"&gt;0.62645674&lt;/D&gt;&lt;D xsi:type="xsd:double"&gt;-0.0856936&lt;/D&gt;&lt;D xsi:type="xsd:double"&gt;1.5118957&lt;/D&gt;&lt;D xsi:type="xsd:double"&gt;1.6864419&lt;/D&gt;&lt;D xsi:type="xsd:double"&gt;-0.07408261&lt;/D&gt;&lt;D xsi:type="xsd:double"&gt;0.8335948&lt;/D&gt;&lt;D xsi:type="xsd:double"&gt;0.32311678&lt;/D&gt;&lt;D xsi:type="xsd:double"&gt;1.1583805&lt;/D&gt;&lt;D xsi:type="xsd:double"&gt;0.35909414&lt;/D&gt;&lt;D xsi:type="xsd:double"&gt;0.5466461&lt;/D&gt;&lt;D xsi:type="xsd:double"&gt;-0.5321026&lt;/D&gt;&lt;D xsi:type="xsd:double"&gt;2.143383&lt;/D&gt;&lt;D xsi:type="xsd:double"&gt;0.7400274&lt;/D&gt;&lt;D xsi:type="xsd:double"&gt;-1.1473358&lt;/D&gt;&lt;D xsi:type="xsd:double"&gt;0.5953431&lt;/D&gt;&lt;D xsi:type="xsd:double"&gt;-0.36095977&lt;/D&gt;&lt;D xsi:type="xsd:double"&gt;-1.4639914&lt;/D&gt;&lt;D xsi:type="xsd:double"&gt;0.09992123&lt;/D&gt;&lt;D xsi:type="xsd:double"&gt;-2.036345&lt;/D&gt;&lt;D xsi:type="xsd:double"&gt;0.7043719&lt;/D&gt;&lt;D xsi:type="xsd:double"&gt;0.6807327&lt;/D&gt;&lt;D xsi:type="xsd:double"&gt;-0.29560924&lt;/D&gt;&lt;D xsi:type="xsd:double"&gt;2.4876833&lt;/D&gt;&lt;D xsi:type="xsd:double"&gt;-0.0003874302&lt;/D&gt;&lt;D xsi:type="xsd:double"&gt;3.5454512&lt;/D&gt;&lt;D xsi:type="xsd:double"&gt;0.06300211&lt;/D&gt;&lt;D xsi:type="xsd:double"&gt;-1.7302513&lt;/D&gt;&lt;D xsi:type="xsd:double"&gt;-0.8383155&lt;/D&gt;&lt;D xsi:type="xsd:double"&gt;-0.71947575&lt;/D&gt;&lt;D xsi:type="xsd:double"&gt;-1.0494709&lt;/D&gt;&lt;D xsi:type="xsd:double"&gt;-0.38303137&lt;/D&gt;&lt;D xsi:type="xsd:double"&gt;-0.33591986&lt;/D&gt;&lt;D xsi:type="xsd:double"&gt;1.0617733&lt;/D&gt;&lt;D xsi:type="xsd:double"&gt;-1.4018476&lt;/D&gt;&lt;D xsi:type="xsd:double"&gt;-0.038856268&lt;/D&gt;&lt;D xsi:type="xsd:double"&gt;-0.023239851&lt;/D&gt;&lt;D xsi:type="xsd:double"&gt;0.964272&lt;/D&gt;&lt;D xsi:type="xsd:double"&gt;-0.104123354&lt;/D&gt;&lt;D xsi:type="xsd:double"&gt;-2.812606&lt;/D&gt;&lt;D xsi:type="xsd:double"&gt;2.1637917&lt;/D&gt;&lt;D xsi:type="xsd:double"&gt;0.8857608&lt;/D&gt;&lt;D xsi:type="xsd:double"&gt;0.42073727&lt;/D&gt;&lt;D xsi:type="xsd:double"&gt;-0.35600066&lt;/D&gt;&lt;D xsi:type="xsd:double"&gt;0.4520893&lt;/D&gt;&lt;D xsi:type="xsd:double"&gt;-0.29533505&lt;/D&gt;&lt;D xsi:type="xsd:double"&gt;-1.3110459&lt;/D&gt;&lt;D xsi:type="xsd:double"&gt;0.5518794&lt;/D&gt;&lt;D xsi:type="xsd:double"&gt;-2.023363&lt;/D&gt;&lt;D xsi:type="xsd:double"&gt;1.8073916&lt;/D&gt;&lt;D xsi:type="xsd:double"&gt;2.6777148&lt;/D&gt;&lt;D xsi:type="xsd:double"&gt;-1.1971295&lt;/D&gt;&lt;D xsi:type="xsd:double"&gt;1.5439868&lt;/D&gt;&lt;D xsi:type="xsd:double"&gt;-1.8401563&lt;/D&gt;&lt;D xsi:type="xsd:double"&gt;1.394403&lt;/D&gt;&lt;D xsi:type="xsd:double"&gt;-0.27416945&lt;/D&gt;&lt;D xsi:type="xsd:double"&gt;-1.8136978&lt;/D&gt;&lt;D xsi:type="xsd:double"&gt;0.44996738&lt;/D&gt;&lt;D xsi:type="xsd:double"&gt;-0.44269562&lt;/D&gt;&lt;D xsi:type="xsd:double"&gt;2.0166159&lt;/D&gt;&lt;D xsi:type="xsd:double"&gt;-1.4570236&lt;/D&gt;&lt;D xsi:type="xsd:double"&gt;-1.1611283&lt;/D&gt;&lt;D xsi:type="xsd:double"&gt;0.310719&lt;/D&gt;&lt;D xsi:type="xsd:double"&gt;-0.73730946&lt;/D&gt;&lt;D xsi:type="xsd:double"&gt;-1.5075922&lt;/D&gt;&lt;D xsi:type="xsd:double"&gt;0.7382035&lt;/D&gt;&lt;D xsi:type="xsd:double"&gt;-2.4899423&lt;/D&gt;&lt;D xsi:type="xsd:double"&gt;0.9369135&lt;/D&gt;&lt;D xsi:type="xsd:double"&gt;-1.032114&lt;/D&gt;&lt;D xsi:type="xsd:double"&gt;1.1266232&lt;/D&gt;&lt;D xsi:type="xsd:double"&gt;-0.528419&lt;/D&gt;&lt;D xsi:type="xsd:double"&gt;-0.09201765&lt;/D&gt;&lt;D xsi:type="xsd:double"&gt;0.7244706&lt;/D&gt;&lt;D xsi:type="xsd:double"&gt;1.0886908&lt;/D&gt;&lt;D xsi:type="xsd:double"&gt;-0.024610758&lt;/D&gt;&lt;D xsi:type="xsd:double"&gt;0.6577611&lt;/D&gt;&lt;D xsi:type="xsd:double"&gt;1.1103988&lt;/D&gt;&lt;D xsi:type="xsd:double"&gt;-3.5949051&lt;/D&gt;&lt;D xsi:type="xsd:double"&gt;-0.40519834&lt;/D&gt;&lt;D xsi:type="xsd:double"&gt;1.6354084&lt;/D&gt;&lt;D xsi:type="xsd:double"&gt;-0.0076651573&lt;/D&gt;&lt;D xsi:type="xsd:double"&gt;0.9501934&lt;/D&gt;&lt;D xsi:type="xsd:double"&gt;1.8350601&lt;/D&gt;&lt;D xsi:type="xsd:double"&gt;-0.72782636&lt;/D&gt;&lt;D xsi:type="xsd:double"&gt;0.14146566&lt;/D&gt;&lt;D xsi:type="xsd:double"&gt;-0.4091859&lt;/D&gt;&lt;D xsi:type="xsd:double"&gt;1.0473132&lt;/D&gt;&lt;D xsi:type="xsd:double"&gt;-0.5415976&lt;/D&gt;&lt;D xsi:type="xsd:double"&gt;-1.1654496&lt;/D&gt;&lt;D xsi:type="xsd:double"&gt;-0.43973923&lt;/D&gt;&lt;D xsi:type="xsd:double"&gt;1.2857199&lt;/D&gt;&lt;D xsi:type="xsd:double"&gt;-0.4903078&lt;/D&gt;&lt;D xsi:type="xsd:double"&gt;2.0852923&lt;/D&gt;&lt;D xsi:type="xsd:double"&gt;2.6503325&lt;/D&gt;&lt;D xsi:type="xsd:double"&gt;1.6001105&lt;/D&gt;&lt;D xsi:type="xsd:double"&gt;-0.10957718&lt;/D&gt;&lt;D xsi:type="xsd:double"&gt;-1.4113784&lt;/D&gt;&lt;D xsi:type="xsd:double"&gt;-0.10455847&lt;/D&gt;&lt;D xsi:type="xsd:double"&gt;-1.7247796&lt;/D&gt;&lt;D xsi:type="xsd:double"&gt;2.4004102&lt;/D&gt;&lt;D xsi:type="xsd:double"&gt;-1.1872888&lt;/D&gt;&lt;D xsi:type="xsd:double"&gt;-0.81133246&lt;/D&gt;&lt;D xsi:type="xsd:double"&gt;2.7447462&lt;/D&gt;&lt;D xsi:type="xsd:double"&gt;0.900507&lt;/D&gt;&lt;D xsi:type="xsd:double"&gt;2.3628592&lt;/D&gt;&lt;D xsi:type="xsd:double"&gt;-4.4373393&lt;/D&gt;&lt;D xsi:type="xsd:double"&gt;0.31811&lt;/D&gt;&lt;D xsi:type="xsd:double"&gt;0.18148422&lt;/D&gt;&lt;D xsi:type="xsd:double"&gt;2.535355&lt;/D&gt;&lt;D xsi:type="xsd:double"&gt;4.349375&lt;/D&gt;&lt;D xsi:type="xsd:double"&gt;1.7732501&lt;/D&gt;&lt;D xsi:type="xsd:double"&gt;-0.93318224&lt;/D&gt;&lt;D xsi:type="xsd:double"&gt;-2.3947&lt;/D&gt;&lt;/FQL&gt;&lt;FQL&gt;&lt;Q&gt;MSFT-US^P_PRICE_RETURNS(0,45961,45961-5AY,D,USD)&lt;/Q&gt;&lt;R&gt;1257&lt;/R&gt;&lt;C&gt;1&lt;/C&gt;&lt;D xsi:type="xsd:double"&gt;-1.5120983&lt;/D&gt;&lt;D xsi:type="xsd:double"&gt;-2.9156983&lt;/D&gt;&lt;D xsi:type="xsd:double"&gt;-0.095933676&lt;/D&gt;&lt;D xsi:type="xsd:double"&gt;1.9848704&lt;/D&gt;&lt;D xsi:type="xsd:double"&gt;1.5106678&lt;/D&gt;&lt;D xsi:type="xsd:double"&gt;0.58590174&lt;/D&gt;&lt;D xsi:type="xsd:double"&gt;0.00385046&lt;/D&gt;&lt;D xsi:type="xsd:double"&gt;0.55634975&lt;/D&gt;&lt;D xsi:type="xsd:double"&gt;0.16834736&lt;/D&gt;&lt;D xsi:type="xsd:double"&gt;0.6250143&lt;/D&gt;&lt;D xsi:type="xsd:double"&gt;0.38506985&lt;/D&gt;&lt;D xsi:type="xsd:double"&gt;-0.35448074&lt;/D&gt;&lt;D xsi:type="xsd:double"&gt;-0.027263165&lt;/D&gt;&lt;D xsi:type="xsd:double"&gt;-0.093370676&lt;/D&gt;&lt;D xsi:type="xsd:double"&gt;0.6047487&lt;/D&gt;&lt;D xsi:type="xsd:double"&gt;-2.1898985&lt;/D&gt;&lt;D xsi:type="xsd:double"&gt;-0.46678782&lt;/D&gt;&lt;D xsi:type="xsd:double"&gt;0.1660347&lt;/D&gt;&lt;D xsi:type="xsd:double"&gt;-0.86838603&lt;/D&gt;&lt;D xsi:type="xsd:double"&gt;2.1687508&lt;/D&gt;&lt;D xsi:type="xsd:double"&gt;0.31217337&lt;/D&gt;&lt;D xsi:type="xsd:double"&gt;-0.7638931&lt;/D&gt;&lt;D xsi:type="xsd:double"&gt;0.33980608&lt;/D&gt;&lt;D xsi:type="xsd:double"&gt;0.65100193&lt;/D&gt;&lt;D xsi:type="xsd:double"&gt;0.61392784&lt;/D&gt;&lt;D xsi:type="xsd:double"&gt;0.8737087&lt;/D&gt;&lt;D xsi:type="xsd:double"&gt;-0.6115854&lt;/D&gt;&lt;D xsi:type="xsd:double"&gt;0.18066168&lt;/D&gt;&lt;D xsi:type="xsd:double"&gt;-1.0146737&lt;/D&gt;&lt;D xsi:type="xsd:double"&gt;-0.6718993&lt;/D&gt;&lt;D xsi:type="xsd:double"&gt;1.864481&lt;/D&gt;&lt;D xsi:type="xsd:double"&gt;-0.3078282&lt;/D&gt;&lt;D xsi:type="xsd:double"&gt;0.19251108&lt;/D&gt;&lt;D xsi:type="xsd:double"&gt;-1.2263238&lt;/D&gt;&lt;D xsi:type="xsd:double"&gt;1.0707974&lt;/D&gt;&lt;D xsi:type="xsd:double"&gt;1.7744184&lt;/D&gt;&lt;D xsi:type="xsd:double"&gt;0.12791157&lt;/D&gt;&lt;D xsi:type="xsd:double"&gt;0.3932476&lt;/D&gt;&lt;D xsi:type="xsd:double"&gt;0.042152405&lt;/D&gt;&lt;D xsi:type="xsd:double"&gt;0.646472&lt;/D&gt;&lt;D xsi:type="xsd:double"&gt;-2.553302&lt;/D&gt;&lt;D xsi:type="xsd:double"&gt;0.5184531&lt;/D&gt;&lt;D xsi:type="xsd:double"&gt;0.04553795&lt;/D&gt;&lt;D xsi:type="xsd:double"&gt;-0.30985475&lt;/D&gt;&lt;D xsi:type="xsd:double"&gt;-0.57884455&lt;/D&gt;&lt;D xsi:type="xsd:double"&gt;0.57228804&lt;/D&gt;&lt;D xsi:type="xsd:double"&gt;0.9361744&lt;/D&gt;&lt;D xsi:type="xsd:double"&gt;-0.44025183&lt;/D&gt;&lt;D xsi:type="xsd:double"&gt;-0.5855322&lt;/D&gt;&lt;D xsi:type="xsd:double"&gt;0.59297085&lt;/D&gt;&lt;D xsi:type="xsd:double"&gt;-0.29265285&lt;/D&gt;&lt;D xsi:type="xsd:double"&gt;-0.7944763&lt;/D&gt;&lt;D xsi:type="xsd:double"&gt;-1.4175177&lt;/D&gt;&lt;D xsi:type="xsd:double"&gt;-0.5901933&lt;/D&gt;&lt;D xsi:type="xsd:double"&gt;-0.4421234&lt;/D&gt;&lt;D xsi:type="xsd:double"&gt;0.36497116&lt;/D&gt;&lt;D xsi:type="xsd:double"&gt;-1.6363025&lt;/D&gt;&lt;D xsi:type="xsd:double"&gt;1.4316559&lt;/D&gt;&lt;D xsi:type="xsd:double"&gt;-0.05171299&lt;/D&gt;&lt;D xsi:type="xsd:double"&gt;0.23038387&lt;/D&gt;&lt;D xsi:type="xsd:double"&gt;-0.7810354&lt;/D&gt;&lt;D xsi:type="xsd:double"&gt;-0.5324483&lt;/D&gt;&lt;D xsi:type="xsd:double"&gt;-1.4730096&lt;/D&gt;&lt;D xsi:type="xsd:double"&gt;2.199924&lt;/D&gt;&lt;D xsi:type="xsd:double"&gt;-1.7600775&lt;/D&gt;&lt;D xsi:type="xsd:double"&gt;3.9474726&lt;/D&gt;&lt;D xsi:type="xsd:double"&gt;0.13071299&lt;/D&gt;&lt;D xsi:type="xsd:double"&gt;0.013661385&lt;/D&gt;&lt;D xsi:type="xsd:double"&gt;-0.23554564&lt;/D&gt;&lt;D xsi:type="xsd:double"&gt;0.55395365&lt;/D&gt;&lt;D xsi:type="xsd:double"&gt;0.99037886&lt;/D&gt;&lt;D xsi:type="xsd:double"&gt;0.11874437&lt;/D&gt;&lt;D xsi:type="xsd:double"&gt;-0.93910694&lt;/D&gt;&lt;D xsi:type="xsd:double"&gt;0.0019669533&lt;/D&gt;&lt;D xsi:type="xsd:double"&gt;-0.32246113&lt;/D&gt;&lt;D xsi:type="xsd:double"&gt;1.202488&lt;/D&gt;&lt;D xsi:type="xsd:double"&gt;-0.03954172&lt;/D&gt;&lt;D xsi:type="xsd:double"&gt;0.55663586&lt;/D&gt;&lt;D xsi:type="xsd:double"&gt;-0.059610605&lt;/D&gt;&lt;D xsi:type="xsd:double"&gt;0.36691427&lt;/D&gt;&lt;D xsi:type="xsd:double"&gt;-0.40317178&lt;/D&gt;&lt;D xsi:type="xsd:double"&gt;1.3873816&lt;/D&gt;&lt;D xsi:type="xsd:double"&gt;-0.22100806&lt;/D&gt;&lt;D xsi:type="xsd:double"&gt;-0.22451878&lt;/D&gt;&lt;D xsi:type="xsd:double"&gt;1.5781164&lt;/D&gt;&lt;D xsi:type="xsd:double"&gt;-0.19509792&lt;/D&gt;&lt;D xsi:type="xsd:double"&gt;-1.0775864&lt;/D&gt;&lt;D xsi:type="xsd:double"&gt;0.29640198&lt;/D&gt;&lt;D xsi:type="xsd:double"&gt;-0.30354857&lt;/D&gt;&lt;D xsi:type="xsd:double"&gt;1.0522723&lt;/D&gt;&lt;D xsi:type="xsd:double"&gt;0.44071674&lt;/D&gt;&lt;D xsi:type="xsd:double"&gt;0.8456707&lt;/D&gt;&lt;D xsi:type="xsd:double"&gt;1.8014312&lt;/D&gt;&lt;D xsi:type="xsd:double"&gt;-0.5913675&lt;/D&gt;&lt;D xsi:type="xsd:double"&gt;0.46020746&lt;/D&gt;&lt;D xsi:type="xsd:double"&gt;-0.22957921&lt;/D&gt;&lt;D xsi:type="xsd:double"&gt;0.8800745&lt;/D&gt;&lt;D xsi:type="xsd:double"&gt;-0.81650615&lt;/D&gt;&lt;D xsi:type="xsd:double"&gt;1.3224125&lt;/D&gt;&lt;D xsi:type="xsd:double"&gt;0.36098957&lt;/D&gt;&lt;D xsi:type="xsd:double"&gt;-0.3870964&lt;/D&gt;&lt;D xsi:type="xsd:double"&gt;0.50385&lt;/D&gt;&lt;D xsi:type="xsd:double"&gt;0.57731867&lt;/D&gt;&lt;D xsi:type="xsd:double"&gt;0.821352&lt;/D&gt;&lt;D xsi:type="xsd:double"&gt;0.19439459&lt;/D&gt;&lt;D xsi:type="xsd:double"&gt;0.21646023&lt;/D&gt;&lt;D xsi:type="xsd:double"&gt;0.3497243&lt;/D&gt;&lt;D xsi:type="xsd:double"&gt;0.36627054&lt;/D&gt;&lt;D xsi:type="xsd:double"&gt;0.2886176&lt;/D&gt;&lt;D xsi:type="xsd:double"&gt;-0.7228315&lt;/D&gt;&lt;D xsi:type="xsd:double"&gt;2.3346186&lt;/D&gt;&lt;D xsi:type="xsd:double"&gt;-1.0288835&lt;/D&gt;&lt;D xsi:type="xsd:double"&gt;0.50599575&lt;/D&gt;&lt;D xsi:type="xsd:double"&gt;-1.2222528&lt;/D&gt;&lt;D xsi:type="xsd:double"&gt;-0.15254617&lt;/D&gt;&lt;D xsi:type="xsd:double"&gt;1.0126114&lt;/D&gt;&lt;D xsi:type="xsd:double"&gt;0.25157928&lt;/D&gt;&lt;D xsi:type="xsd:double"&gt;0.04194975&lt;/D&gt;&lt;D xsi:type="xsd:double"&gt;0.8460641&lt;/D&gt;&lt;D xsi:type="xsd:double"&gt;-0.026708841&lt;/D&gt;&lt;D xsi:type="xsd:double"&gt;2.4001122&lt;/D&gt;&lt;D xsi:type="xsd:double"&gt;0.12780428&lt;/D&gt;&lt;D xsi:type="xsd:double"&gt;1.1122704&lt;/D&gt;&lt;D xsi:type="xsd:double"&gt;0.00923872&lt;/D&gt;&lt;D xsi:type="xsd:double"&gt;-0.6557107&lt;/D&gt;&lt;D xsi:type="xsd:double"&gt;0.20446777&lt;/D&gt;&lt;D xsi:type="xsd:double"&gt;2.3225188&lt;/D&gt;&lt;D xsi:type="xsd:double"&gt;7.6253533&lt;/D&gt;&lt;D xsi:type="xsd:double"&gt;0.30961037&lt;/D&gt;&lt;D xsi:type="xsd:double"&gt;0.73627234&lt;/D&gt;&lt;D xsi:type="xsd:double"&gt;-0.17609&lt;/D&gt;&lt;D xsi:type="xsd:double"&gt;1.1748075&lt;/D&gt;&lt;D xsi:type="xsd:double"&gt;3.4482718&lt;/D&gt;&lt;D xsi:type="xsd:double"&gt;2.0636797&lt;/D&gt;&lt;D xsi:type="xsd:double"&gt;2.144134&lt;/D&gt;&lt;D xsi:type="xsd:double"&gt;-2.3546696&lt;/D&gt;&lt;D xsi:type="xsd:double"&gt;-1.0306478&lt;/D&gt;&lt;D xsi:type="xsd:double"&gt;-3.6605954&lt;/D&gt;&lt;D xsi:type="xsd:double"&gt;-0.5363405&lt;/D&gt;&lt;D xsi:type="xsd:double"&gt;-0.16475916&lt;/D&gt;&lt;D xsi:type="xsd:double"&gt;1.8618107&lt;/D&gt;&lt;D xsi:type="xsd:double"&gt;-2.3406446&lt;/D&gt;&lt;D xsi:type="xsd:double"&gt;10.133684&lt;/D&gt;&lt;D xsi:type="xsd:double"&gt;-0.92214346&lt;/D&gt;&lt;D xsi:type="xsd:double"&gt;-0.55024624&lt;/D&gt;&lt;D xsi:type="xsd:double"&gt;-3.5565913&lt;/D&gt;&lt;D xsi:type="xsd:double"&gt;-2.3630142&lt;/D&gt;&lt;D xsi:type="xsd:double"&gt;-0.013077259&lt;/D&gt;&lt;D xsi:type="xsd:double"&gt;1.8114448&lt;/D&gt;&lt;D xsi:type="xsd:double"&gt;-0.900203&lt;/D&gt;&lt;D xsi:type="xsd:double"&gt;-3.0160248&lt;/D&gt;&lt;D xsi:type="xsd:double"&gt;0.15641451&lt;/D&gt;&lt;D xsi:type="xsd:double"&gt;-1.3133943&lt;/D&gt;&lt;D xsi:type="xsd:double"&gt;0.5291581&lt;/D&gt;&lt;D xsi:type="xsd:double"&gt;0.46515465&lt;/D&gt;&lt;D xsi:type="xsd:double"&gt;1.1425972&lt;/D&gt;&lt;D xsi:type="xsd:double"&gt;-0.25269985&lt;/D&gt;&lt;D xsi:type="xsd:double"&gt;1.1211991&lt;/D&gt;&lt;D xsi:type="xsd:double"&gt;-1.3326526&lt;/D&gt;&lt;D xsi:type="xsd:double"&gt;0.03603697&lt;/D&gt;&lt;D xsi:type="xsd:double"&gt;2.584684&lt;/D&gt;&lt;D xsi:type="xsd:double"&gt;-1.1741042&lt;/D&gt;&lt;D xsi:type="xsd:double"&gt;0.7412195&lt;/D&gt;&lt;D xsi:type="xsd:double"&gt;0.076282024&lt;/D&gt;&lt;D xsi:type="xsd:double"&gt;-3.3434153&lt;/D&gt;&lt;D xsi:type="xsd:double"&gt;-0.902015&lt;/D&gt;&lt;D xsi:type="xsd:double"&gt;-1.0298669&lt;/D&gt;&lt;D xsi:type="xsd:double"&gt;3.193438&lt;/D&gt;&lt;D xsi:type="xsd:double"&gt;0.030887127&lt;/D&gt;&lt;D xsi:type="xsd:double"&gt;-2.141112&lt;/D&gt;&lt;D xsi:type="xsd:double"&gt;1.1362195&lt;/D&gt;&lt;D xsi:type="xsd:double"&gt;-1.8012166&lt;/D&gt;&lt;D xsi:type="xsd:double"&gt;0.45992136&lt;/D&gt;&lt;D xsi:type="xsd:double"&gt;-1.5099049&lt;/D&gt;&lt;D xsi:type="xsd:double"&gt;-1.0313272&lt;/D&gt;&lt;D xsi:type="xsd:double"&gt;-1.9032538&lt;/D&gt;&lt;D xsi:type="xsd:double"&gt;0.32789707&lt;/D&gt;&lt;D xsi:type="xsd:double"&gt;1.2523174&lt;/D&gt;&lt;D xsi:type="xsd:double"&gt;0.29625893&lt;/D&gt;&lt;D xsi:type="xsd:double"&gt;-0.51395893&lt;/D&gt;&lt;D xsi:type="xsd:double"&gt;0.36671162&lt;/D&gt;&lt;D xsi:type="xsd:double"&gt;-0.5833149&lt;/D&gt;&lt;D xsi:type="xsd:double"&gt;-0.1892209&lt;/D&gt;&lt;D xsi:type="xsd:double"&gt;0.6028056&lt;/D&gt;&lt;D xsi:type="xsd:double"&gt;-1.4597654&lt;/D&gt;&lt;D xsi:type="xsd:double"&gt;0.61216354&lt;/D&gt;&lt;D xsi:type="xsd:double"&gt;0.22310019&lt;/D&gt;&lt;D xsi:type="xsd:double"&gt;0.3528595&lt;/D&gt;&lt;D xsi:type="xsd:double"&gt;-0.997442&lt;/D&gt;&lt;D xsi:type="xsd:double"&gt;0.016868114&lt;/D&gt;&lt;D xsi:type="xsd:double"&gt;-6.1809063&lt;/D&gt;&lt;D xsi:type="xsd:double"&gt;-1.0890067&lt;/D&gt;&lt;D xsi:type="xsd:double"&gt;2.9086947&lt;/D&gt;&lt;D xsi:type="xsd:double"&gt;-2.1393478&lt;/D&gt;&lt;D xsi:type="xsd:double"&gt;-0.59322715&lt;/D&gt;&lt;D xsi:type="xsd:double"&gt;0.11429787&lt;/D&gt;&lt;D xsi:type="xsd:double"&gt;4.1306973&lt;/D&gt;&lt;D xsi:type="xsd:double"&gt;-0.12353659&lt;/D&gt;&lt;D xsi:type="xsd:double"&gt;1.0481&lt;/D&gt;&lt;D xsi:type="xsd:double"&gt;-0.40581226&lt;/D&gt;&lt;D xsi:type="xsd:double"&gt;2.5597215&lt;/D&gt;&lt;D xsi:type="xsd:double"&gt;-0.36433935&lt;/D&gt;&lt;D xsi:type="xsd:double"&gt;-0.4200995&lt;/D&gt;&lt;D xsi:type="xsd:double"&gt;-1.3213634&lt;/D&gt;&lt;D xsi:type="xsd:double"&gt;0.5185008&lt;/D&gt;&lt;D xsi:type="xsd:double"&gt;-1.2808263&lt;/D&gt;&lt;D xsi:type="xsd:double"&gt;1.0629535&lt;/D&gt;&lt;D xsi:type="xsd:double"&gt;1.1395693&lt;/D&gt;&lt;D xsi:type="xsd:double"&gt;-0.6927669&lt;/D&gt;&lt;D xsi:type="xsd:double"&gt;-0.78383684&lt;/D&gt;&lt;D xsi:type="xsd:double"&gt;-1.3239503&lt;/D&gt;&lt;D xsi:type="xsd:double"&gt;-1.730156&lt;/D&gt;&lt;D xsi:type="xsd:double"&gt;-0.27769804&lt;/D&gt;&lt;D xsi:type="xsd:double"&gt;0.9373903&lt;/D&gt;&lt;D xsi:type="xsd:double"&gt;-0.30921102&lt;/D&gt;&lt;D xsi:type="xsd:double"&gt;-0.09838939&lt;/D&gt;&lt;D xsi:type="xsd:double"&gt;-0.082308054&lt;/D&gt;&lt;D xsi:type="xsd:double"&gt;-3.7561&lt;/D&gt;&lt;D xsi:type="xsd:double"&gt;0.63552856&lt;/D&gt;&lt;D xsi:type="xsd:double"&gt;0.9658575&lt;/D&gt;&lt;D xsi:type="xsd:double"&gt;-0.50938725&lt;/D&gt;&lt;D xsi:type="xsd:double"&gt;0.1269579&lt;/D&gt;&lt;D xsi:type="xsd:double"&gt;1.2767076&lt;/D&gt;&lt;D xsi:type="xsd:double"&gt;-0.6031096&lt;/D&gt;&lt;D xsi:type="xsd:double"&gt;0.5523324&lt;/D&gt;&lt;D xsi:type="xsd:double"&gt;0.21463633&lt;/D&gt;&lt;D xsi:type="xsd:double"&gt;1.1887789&lt;/D&gt;&lt;D xsi:type="xsd:double"&gt;1.442492&lt;/D&gt;&lt;D xsi:type="xsd:double"&gt;0.051045418&lt;/D&gt;&lt;D xsi:type="xsd:double"&gt;1.7758489&lt;/D&gt;&lt;D xsi:type="xsd:double"&gt;0.11111498&lt;/D&gt;&lt;D xsi:type="xsd:double"&gt;-1.168251&lt;/D&gt;&lt;D xsi:type="xsd:double"&gt;2.1968007&lt;/D&gt;&lt;D xsi:type="xsd:double"&gt;0.42926073&lt;/D&gt;&lt;D xsi:type="xsd:double"&gt;1.0003209&lt;/D&gt;&lt;D xsi:type="xsd:double"&gt;-0.6305814&lt;/D&gt;&lt;D xsi:type="xsd:double"&gt;-0.5505204&lt;/D&gt;&lt;D xsi:type="xsd:double"&gt;0.4882574&lt;/D&gt;&lt;D xsi:type="xsd:double"&gt;0.18312931&lt;/D&gt;&lt;D xsi:type="xsd:double"&gt;-2.7852654&lt;/D&gt;&lt;D xsi:type="xsd:double"&gt;0.3974557&lt;/D&gt;&lt;D xsi:type="xsd:double"&gt;0.5129695&lt;/D&gt;&lt;D xsi:type="xsd:double"&gt;1.2009263&lt;/D&gt;&lt;D xsi:type="xsd:double"&gt;-1.0720849&lt;/D&gt;&lt;D xsi:type="xsd:double"&gt;-0.6793082&lt;/D&gt;&lt;D xsi:type="xsd:double"&gt;1.2494683&lt;/D&gt;&lt;D xsi:type="xsd:double"&gt;2.119279&lt;/D&gt;&lt;D xsi:type="xsd:double"&gt;0.73446035&lt;/D&gt;&lt;D xsi:type="xsd:double"&gt;-0.4654348&lt;/D&gt;&lt;D xsi:type="xsd:double"&gt;0.98929405&lt;/D&gt;&lt;D xsi:type="xsd:double"&gt;-6.0527563&lt;/D&gt;&lt;D xsi:type="xsd:double"&gt;0.13427734&lt;/D&gt;&lt;D xsi:type="xsd:double"&gt;1.2564778&lt;/D&gt;&lt;D xsi:type="xsd:double"&gt;-0.36435723&lt;/D&gt;&lt;D xsi:type="xsd:double"&gt;0.80521107&lt;/D&gt;&lt;D xsi:type="xsd:double"&gt;0.030612946&lt;/D&gt;&lt;D xsi:type="xsd:double"&gt;-0.68068504&lt;/D&gt;&lt;D xsi:type="xsd:double"&gt;2.0846248&lt;/D&gt;&lt;D xsi:type="xsd:double"&gt;0.14827251&lt;/D&gt;&lt;D xsi:type="xsd:double"&gt;0.34555197&lt;/D&gt;&lt;D xsi:type="xsd:double"&gt;0.14419556&lt;/D&gt;&lt;D xsi:type="xsd:double"&gt;-0.62568784&lt;/D&gt;&lt;D xsi:type="xsd:double"&gt;-0.09543896&lt;/D&gt;&lt;D xsi:type="xsd:double"&gt;0.677371&lt;/D&gt;&lt;D xsi:type="xsd:double"&gt;0.115430355&lt;/D&gt;&lt;D xsi:type="xsd:double"&gt;-0.388062&lt;/D&gt;&lt;D xsi:type="xsd:double"&gt;0.6631136&lt;/D&gt;&lt;D xsi:type="xsd:double"&gt;1.2623906&lt;/D&gt;&lt;D xsi:type="xsd:double"&gt;-1.5670776&lt;/D&gt;&lt;D xsi:type="xsd:double"&gt;-0.11523962&lt;/D&gt;&lt;D xsi:type="xsd:double"&gt;-0.14144182&lt;/D&gt;&lt;D xsi:type="xsd:double"&gt;-0.846231&lt;/D&gt;&lt;D xsi:type="xsd:double"&gt;-2.2333205&lt;/D&gt;&lt;D xsi:type="xsd:double"&gt;0.5326867&lt;/D&gt;&lt;D xsi:type="xsd:double"&gt;-0.7627964&lt;/D&gt;&lt;D xsi:type="xsd:double"&gt;-0.18513799&lt;/D&gt;&lt;D xsi:type="xsd:double"&gt;0.6850362&lt;/D&gt;&lt;D xsi:type="xsd:double"&gt;-1.0011315&lt;/D&gt;&lt;D xsi:type="xsd:double"&gt;-0.40434003&lt;/D&gt;&lt;D xsi:type="xsd:double"&gt;-0.77959895&lt;/D&gt;&lt;D xsi:type="xsd:double"&gt;1.8291116&lt;/D&gt;&lt;D xsi:type="xsd:double"&gt;-0.99735856&lt;/D&gt;&lt;D xsi:type="xsd:double"&gt;0.88329315&lt;/D&gt;&lt;D xsi:type="xsd:double"&gt;0.1741767&lt;/D&gt;&lt;D xsi:type="xsd:double"&gt;0.84074736&lt;/D&gt;&lt;D xsi:type="xsd:double"&gt;0.936079&lt;/D&gt;&lt;D xsi:type="xsd:double"&gt;2.1342397&lt;/D&gt;&lt;D xsi:type="xsd:double"&gt;2.0901084&lt;/D&gt;&lt;D xsi:type="xsd:double"&gt;1.0007381&lt;/D&gt;&lt;D xsi:type="xsd:double"&gt;-1.6381383&lt;/D&gt;&lt;D xsi:type="xsd:double"&gt;-0.12472272&lt;/D&gt;&lt;D xsi:type="xsd:double"&gt;-0.1318872&lt;/D&gt;&lt;D xsi:type="xsd:double"&gt;-1.8459082&lt;/D&gt;&lt;D xsi:type="xsd:double"&gt;0.97309349999999994&lt;/D&gt;&lt;D xsi:type="xsd:double"&gt;0.6137371&lt;/D&gt;&lt;D xsi:type="xsd:double"&gt;-0.782907&lt;/D&gt;&lt;D xsi:type="xsd:double"&gt;0.08465052&lt;/D&gt;&lt;D xsi:type="xsd:double"&gt;-0.7917702&lt;/D&gt;&lt;D xsi:type="xsd:double"&gt;0.2984047&lt;/D&gt;&lt;D xsi:type="xsd:double"&gt;-2.0252824&lt;/D&gt;&lt;D xsi:type="xsd:double"&gt;-0.1553595&lt;/D&gt;&lt;D xsi:type="xsd:double"&gt;0.77574253&lt;/D&gt;&lt;D xsi:type="xsd:double"&gt;0.7312298&lt;/D&gt;&lt;D xsi:type="xsd:double"&gt;-0.60803294&lt;/D&gt;&lt;D xsi:type="xsd:double"&gt;1.0003448&lt;/D&gt;&lt;D xsi:type="xsd:double"&gt;0.68838596&lt;/D&gt;&lt;D xsi:type="xsd:double"&gt;1.7698765&lt;/D&gt;&lt;D xsi:type="xsd:double"&gt;0.1945734&lt;/D&gt;&lt;D xsi:type="xsd:double"&gt;0.826931&lt;/D&gt;&lt;D xsi:type="xsd:double"&gt;1.0692&lt;/D&gt;&lt;D xsi:type="xsd:double"&gt;-0.29528737&lt;/D&gt;&lt;D xsi:type="xsd:double"&gt;1.1286855&lt;/D&gt;&lt;D xsi:type="xsd:double"&gt;-3.2656848&lt;/D&gt;&lt;D xsi:type="xsd:double"&gt;-2.0666003&lt;/D&gt;&lt;D xsi:type="xsd:double"&gt;-0.29640794&lt;/D&gt;&lt;D xsi:type="xsd:double"&gt;-1.0805845&lt;/D&gt;&lt;D xsi:type="xsd:double"&gt;-0.89283586&lt;/D&gt;&lt;D xsi:type="xsd:double"&gt;0.34331083&lt;/D&gt;&lt;D xsi:type="xsd:double"&gt;1.6419649&lt;/D&gt;&lt;D xsi:type="xsd:double"&gt;-2.4481237&lt;/D&gt;&lt;D xsi:type="xsd:double"&gt;-3.5854816&lt;/D&gt;&lt;D xsi:type="xsd:double"&gt;0.43121576&lt;/D&gt;&lt;D xsi:type="xsd:double"&gt;1.3337612&lt;/D&gt;&lt;D xsi:type="xsd:double"&gt;-0.7402897&lt;/D&gt;&lt;D xsi:type="xsd:double"&gt;-0.7102251&lt;/D&gt;&lt;D xsi:type="xsd:double"&gt;-1.3347566&lt;/D&gt;&lt;D xsi:type="xsd:double"&gt;-0.9780586&lt;/D&gt;&lt;D xsi:type="xsd:double"&gt;0.090396404&lt;/D&gt;&lt;D xsi:type="xsd:double"&gt;-0.2529204&lt;/D&gt;&lt;D xsi:type="xsd:double"&gt;-2.4772108&lt;/D&gt;&lt;D xsi:type="xsd:double"&gt;1.4601588&lt;/D&gt;&lt;D xsi:type="xsd:double"&gt;-1.4370263&lt;/D&gt;&lt;D xsi:type="xsd:double"&gt;-0.2823174&lt;/D&gt;&lt;D xsi:type="xsd:double"&gt;1.4736176&lt;/D&gt;&lt;D xsi:type="xsd:double"&gt;0.32441616&lt;/D&gt;&lt;D xsi:type="xsd:double"&gt;0.5583167&lt;/D&gt;&lt;D xsi:type="xsd:double"&gt;2.188158&lt;/D&gt;&lt;D xsi:type="xsd:double"&gt;-1.3028562&lt;/D&gt;&lt;D xsi:type="xsd:double"&gt;0.15259981&lt;/D&gt;&lt;D xsi:type="xsd:double"&gt;0.26831627&lt;/D&gt;&lt;D xsi:type="xsd:double"&gt;0.73268414&lt;/D&gt;&lt;D xsi:type="xsd:double"&gt;-0.4691124&lt;/D&gt;&lt;D xsi:type="xsd:double"&gt;0.91540813&lt;/D&gt;&lt;D xsi:type="xsd:double"&gt;-0.14338493&lt;/D&gt;&lt;D xsi:type="xsd:double"&gt;-0.45275092&lt;/D&gt;&lt;D xsi:type="xsd:double"&gt;1.3105273&lt;/D&gt;&lt;D xsi:type="xsd:double"&gt;0.22419691&lt;/D&gt;&lt;D xsi:type="xsd:double"&gt;0.11789799&lt;/D&gt;&lt;D xsi:type="xsd:double"&gt;1.9367695&lt;/D&gt;&lt;D xsi:type="xsd:double"&gt;1.1241674&lt;/D&gt;&lt;D xsi:type="xsd:double"&gt;0.948441&lt;/D&gt;&lt;D xsi:type="xsd:double"&gt;-0.15782118&lt;/D&gt;&lt;D xsi:type="xsd:double"&gt;0.12027025&lt;/D&gt;&lt;D xsi:type="xsd:double"&gt;1.9083381&lt;/D&gt;&lt;D xsi:type="xsd:double"&gt;0.61665773&lt;/D&gt;&lt;D xsi:type="xsd:double"&gt;-0.3878355&lt;/D&gt;&lt;D xsi:type="xsd:double"&gt;0.110924244&lt;/D&gt;&lt;D xsi:type="xsd:double"&gt;-3.3786118&lt;/D&gt;&lt;D xsi:type="xsd:double"&gt;-0.2672434&lt;/D&gt;&lt;D xsi:type="xsd:double"&gt;0.0371933&lt;/D&gt;&lt;D xsi:type="xsd:double"&gt;0.74005127&lt;/D&gt;&lt;D xsi:type="xsd:double"&gt;-0.8176148&lt;/D&gt;&lt;D xsi:type="xsd:double"&gt;0.34495592&lt;/D&gt;&lt;D xsi:type="xsd:double"&gt;0.869894&lt;/D&gt;&lt;D xsi:type="xsd:double"&gt;1.2208223&lt;/D&gt;&lt;D xsi:type="xsd:double"&gt;-0.18527508&lt;/D&gt;&lt;D xsi:type="xsd:double"&gt;-0.49399734&lt;/D&gt;&lt;D xsi:type="xsd:double"&gt;1.5651941&lt;/D&gt;&lt;D xsi:type="xsd:double"&gt;0.6864548&lt;/D&gt;&lt;D xsi:type="xsd:double"&gt;-0.24593472&lt;/D&gt;&lt;D xsi:type="xsd:double"&gt;0.586915&lt;/D&gt;&lt;D xsi:type="xsd:double"&gt;0.4335761&lt;/D&gt;&lt;D xsi:type="xsd:double"&gt;0.29315948&lt;/D&gt;&lt;D xsi:type="xsd:double"&gt;-1.0156214&lt;/D&gt;&lt;D xsi:type="xsd:double"&gt;1.6918302&lt;/D&gt;&lt;D xsi:type="xsd:double"&gt;2.216971&lt;/D&gt;&lt;D xsi:type="xsd:double"&gt;0.73428154&lt;/D&gt;&lt;D xsi:type="xsd:double"&gt;1.4409423&lt;/D&gt;&lt;D xsi:type="xsd:double"&gt;-3.2119334&lt;/D&gt;&lt;D xsi:type="xsd:double"&gt;-1.0016739&lt;/D&gt;&lt;D xsi:type="xsd:double"&gt;1.824379&lt;/D&gt;&lt;D xsi:type="xsd:double"&gt;-2.4495184&lt;/D&gt;&lt;D xsi:type="xsd:double"&gt;0.36557913&lt;/D&gt;&lt;D xsi:type="xsd:double"&gt;1.6485453&lt;/D&gt;&lt;D xsi:type="xsd:double"&gt;0.4610181&lt;/D&gt;&lt;D xsi:type="xsd:double"&gt;-1.2739003&lt;/D&gt;&lt;D xsi:type="xsd:double"&gt;-1.838094&lt;/D&gt;&lt;D xsi:type="xsd:double"&gt;-0.6609082&lt;/D&gt;&lt;D xsi:type="xsd:double"&gt;0.22724867&lt;/D&gt;&lt;D xsi:type="xsd:double"&gt;-1.957804&lt;/D&gt;&lt;D xsi:type="xsd:double"&gt;-1.4091074&lt;/D&gt;&lt;D xsi:type="xsd:double"&gt;1.1033416&lt;/D&gt;&lt;D xsi:type="xsd:double"&gt;-0.70845485&lt;/D&gt;&lt;D xsi:type="xsd:double"&gt;0.3980279&lt;/D&gt;&lt;D xsi:type="xsd:double"&gt;-0.21855235&lt;/D&gt;&lt;D xsi:type="xsd:double"&gt;1.8282771&lt;/D&gt;&lt;D xsi:type="xsd:double"&gt;-0.6112516&lt;/D&gt;&lt;D xsi:type="xsd:double"&gt;-0.23490787&lt;/D&gt;&lt;D xsi:type="xsd:double"&gt;-0.73722005&lt;/D&gt;&lt;D xsi:type="xsd:double"&gt;0.9150982&lt;/D&gt;&lt;D xsi:type="xsd:double"&gt;-0.16847253&lt;/D&gt;&lt;D xsi:type="xsd:double"&gt;-0.052177906&lt;/D&gt;&lt;D xsi:type="xsd:double"&gt;-0.28614402&lt;/D&gt;&lt;D xsi:type="xsd:double"&gt;-1.3714612&lt;/D&gt;&lt;D xsi:type="xsd:double"&gt;-0.14672875&lt;/D&gt;&lt;D xsi:type="xsd:double"&gt;0.97358227&lt;/D&gt;&lt;D xsi:type="xsd:double"&gt;0.90647936&lt;/D&gt;&lt;D xsi:type="xsd:double"&gt;0.98006725&lt;/D&gt;&lt;D xsi:type="xsd:double"&gt;0.21612644&lt;/D&gt;&lt;D xsi:type="xsd:double"&gt;-2.069515&lt;/D&gt;&lt;D xsi:type="xsd:double"&gt;2.437961&lt;/D&gt;&lt;D xsi:type="xsd:double"&gt;-0.043344498&lt;/D&gt;&lt;D xsi:type="xsd:double"&gt;2.6599407&lt;/D&gt;&lt;D xsi:type="xsd:double"&gt;-0.41849613&lt;/D&gt;&lt;D xsi:type="xsd:double"&gt;-0.7136941&lt;/D&gt;&lt;D xsi:type="xsd:double"&gt;1.7533422&lt;/D&gt;&lt;D xsi:type="xsd:double"&gt;-0.13907552&lt;/D&gt;&lt;D xsi:type="xsd:double</t>
        </r>
      </text>
    </comment>
    <comment ref="A3" authorId="0" shapeId="0" xr:uid="{DBE079E4-32E4-4612-A543-61D31557B835}">
      <text>
        <r>
          <rPr>
            <b/>
            <sz val="9"/>
            <color indexed="81"/>
            <rFont val="Tahoma"/>
            <charset val="1"/>
          </rPr>
          <t>"&gt;-2.957201&lt;/D&gt;&lt;D xsi:type="xsd:double"&gt;-0.13958812&lt;/D&gt;&lt;D xsi:type="xsd:double"&gt;0.44965744&lt;/D&gt;&lt;D xsi:type="xsd:double"&gt;1.4519811&lt;/D&gt;&lt;D xsi:type="xsd:double"&gt;0.05890131&lt;/D&gt;&lt;D xsi:type="xsd:double"&gt;-0.014722347&lt;/D&gt;&lt;D xsi:type="xsd:double"&gt;-0.68235993&lt;/D&gt;&lt;D xsi:type="xsd:double"&gt;-0.3182292&lt;/D&gt;&lt;D xsi:type="xsd:double"&gt;2.3546696&lt;/D&gt;&lt;D xsi:type="xsd:double"&gt;-0.15144944&lt;/D&gt;&lt;D xsi:type="xsd:double"&gt;-0.3143072&lt;/D&gt;&lt;D xsi:type="xsd:double"&gt;-0.6149173&lt;/D&gt;&lt;D xsi:type="xsd:double"&gt;-0.71552396&lt;/D&gt;&lt;D xsi:type="xsd:double"&gt;0.7801652&lt;/D&gt;&lt;D xsi:type="xsd:double"&gt;-2.1528661&lt;/D&gt;&lt;D xsi:type="xsd:double"&gt;-1.2578726&lt;/D&gt;&lt;D xsi:type="xsd:double"&gt;1.5551448&lt;/D&gt;&lt;D xsi:type="xsd:double"&gt;0.01449585&lt;/D&gt;&lt;D xsi:type="xsd:double"&gt;2.1110296&lt;/D&gt;&lt;D xsi:type="xsd:double"&gt;-0.039446354&lt;/D&gt;&lt;D xsi:type="xsd:double"&gt;-1.3545096&lt;/D&gt;&lt;D xsi:type="xsd:double"&gt;1.8425822&lt;/D&gt;&lt;D xsi:type="xsd:double"&gt;1.5594363&lt;/D&gt;&lt;D xsi:type="xsd:double"&gt;-2.6946366&lt;/D&gt;&lt;D xsi:type="xsd:double"&gt;-0.27579665&lt;/D&gt;&lt;D xsi:type="xsd:double"&gt;1.4334202&lt;/D&gt;&lt;D xsi:type="xsd:double"&gt;-0.23217201&lt;/D&gt;&lt;D xsi:type="xsd:double"&gt;0.57382584&lt;/D&gt;&lt;D xsi:type="xsd:double"&gt;0.91753006&lt;/D&gt;&lt;D xsi:type="xsd:double"&gt;0.60275793&lt;/D&gt;&lt;D xsi:type="xsd:double"&gt;-0.54180026&lt;/D&gt;&lt;D xsi:type="xsd:double"&gt;1.2186766&lt;/D&gt;&lt;D xsi:type="xsd:double"&gt;1.1297345&lt;/D&gt;&lt;D xsi:type="xsd:double"&gt;-0.20498037&lt;/D&gt;&lt;D xsi:type="xsd:double"&gt;0.4633546&lt;/D&gt;&lt;D xsi:type="xsd:double"&gt;0.9983659&lt;/D&gt;&lt;D xsi:type="xsd:double"&gt;0.48593283&lt;/D&gt;&lt;D xsi:type="xsd:double"&gt;1.8574119&lt;/D&gt;&lt;D xsi:type="xsd:double"&gt;0.29357672&lt;/D&gt;&lt;D xsi:type="xsd:double"&gt;1.8871546&lt;/D&gt;&lt;D xsi:type="xsd:double"&gt;-0.051641464&lt;/D&gt;&lt;D xsi:type="xsd:double"&gt;-0.7177532&lt;/D&gt;&lt;D xsi:type="xsd:double"&gt;-0.07280111&lt;/D&gt;&lt;D xsi:type="xsd:double"&gt;-1.3748586&lt;/D&gt;&lt;D xsi:type="xsd:double"&gt;0.20251274&lt;/D&gt;&lt;D xsi:type="xsd:double"&gt;0.3234625&lt;/D&gt;&lt;D xsi:type="xsd:double"&gt;-0.15747547&lt;/D&gt;&lt;D xsi:type="xsd:double"&gt;0.021362305&lt;/D&gt;&lt;D xsi:type="xsd:double"&gt;0.2784133&lt;/D&gt;&lt;D xsi:type="xsd:double"&gt;0.78787804&lt;/D&gt;&lt;D xsi:type="xsd:double"&gt;-0.7072866&lt;/D&gt;&lt;D xsi:type="xsd:double"&gt;0.1636982&lt;/D&gt;&lt;D xsi:type="xsd:double"&gt;0.51789284&lt;/D&gt;&lt;D xsi:type="xsd:double"&gt;1.3117313&lt;/D&gt;&lt;D xsi:type="xsd:double"&gt;-2.2544563&lt;/D&gt;&lt;D xsi:type="xsd:double"&gt;-0.0026762486&lt;/D&gt;&lt;D xsi:type="xsd:double"&gt;0.82951784&lt;/D&gt;&lt;D xsi:type="xsd:double"&gt;-0.78294873&lt;/D&gt;&lt;D xsi:type="xsd:double"&gt;0.88421106&lt;/D&gt;&lt;D xsi:type="xsd:double"&gt;0.5829811&lt;/D&gt;&lt;D xsi:type="xsd:double"&gt;-0.9986043&lt;/D&gt;&lt;D xsi:type="xsd:double"&gt;0.91563463&lt;/D&gt;&lt;D xsi:type="xsd:double"&gt;-1.4338732&lt;/D&gt;&lt;D xsi:type="xsd:double"&gt;-1.1612236&lt;/D&gt;&lt;D xsi:type="xsd:double"&gt;0.015830994&lt;/D&gt;&lt;D xsi:type="xsd:double"&gt;-1.0060132&lt;/D&gt;&lt;D xsi:type="xsd:double"&gt;1.0802746&lt;/D&gt;&lt;D xsi:type="xsd:double"&gt;0.31263828&lt;/D&gt;&lt;D xsi:type="xsd:double"&gt;-0.1111567&lt;/D&gt;&lt;D xsi:type="xsd:double"&gt;1.2812614&lt;/D&gt;&lt;D xsi:type="xsd:double"&gt;-1.1577964&lt;/D&gt;&lt;D xsi:type="xsd:double"&gt;2.052188&lt;/D&gt;&lt;D xsi:type="xsd:double"&gt;-1.680094&lt;/D&gt;&lt;D xsi:type="xsd:double"&gt;1.7583251&lt;/D&gt;&lt;D xsi:type="xsd:double"&gt;-0.16203523&lt;/D&gt;&lt;D xsi:type="xsd:double"&gt;0.979054&lt;/D&gt;&lt;D xsi:type="xsd:double"&gt;-0.808835&lt;/D&gt;&lt;D xsi:type="xsd:double"&gt;2.489674&lt;/D&gt;&lt;D xsi:type="xsd:double"&gt;-0.6910801&lt;/D&gt;&lt;D xsi:type="xsd:double"&gt;0.7405758&lt;/D&gt;&lt;D xsi:type="xsd:double"&gt;1.1219263&lt;/D&gt;&lt;D xsi:type="xsd:double"&gt;1.0572553&lt;/D&gt;&lt;D xsi:type="xsd:double"&gt;1.2861729&lt;/D&gt;&lt;D xsi:type="xsd:double"&gt;0.65015554&lt;/D&gt;&lt;D xsi:type="xsd:double"&gt;2.3542643&lt;/D&gt;&lt;D xsi:type="xsd:double"&gt;0.23716688&lt;/D&gt;&lt;D xsi:type="xsd:double"&gt;2.2740364&lt;/D&gt;&lt;D xsi:type="xsd:double"&gt;0.58555603&lt;/D&gt;&lt;D xsi:type="xsd:double"&gt;-3.751433&lt;/D&gt;&lt;D xsi:type="xsd:double"&gt;3.0678034&lt;/D&gt;&lt;D xsi:type="xsd:double"&gt;0.36742687&lt;/D&gt;&lt;D xsi:type="xsd:double"&gt;0.8112192&lt;/D&gt;&lt;D xsi:type="xsd:double"&gt;-1.4034748&lt;/D&gt;&lt;D xsi:type="xsd:double"&gt;0.36655664&lt;/D&gt;&lt;D xsi:type="xsd:double"&gt;-0.5872488&lt;/D&gt;&lt;D xsi:type="xsd:double"&gt;-0.17436743&lt;/D&gt;&lt;D xsi:type="xsd:double"&gt;1.4981866&lt;/D&gt;&lt;D xsi:type="xsd:double"&gt;-1.0357499&lt;/D&gt;&lt;D xsi:type="xsd:double"&gt;-0.37904382&lt;/D&gt;&lt;D xsi:type="xsd:double"&gt;1.2272&lt;/D&gt;&lt;D xsi:type="xsd:double"&gt;-0.43357015&lt;/D&gt;&lt;D xsi:type="xsd:double"&gt;0.78225136&lt;/D&gt;&lt;D xsi:type="xsd:double"&gt;2.4737&lt;/D&gt;&lt;D xsi:type="xsd:double"&gt;0.12698174&lt;/D&gt;&lt;D xsi:type="xsd:double"&gt;1.7757297&lt;/D&gt;&lt;D xsi:type="xsd:double"&gt;-2.6134133&lt;/D&gt;&lt;D xsi:type="xsd:double"&gt;1.9160748&lt;/D&gt;&lt;D xsi:type="xsd:double"&gt;0.6727457&lt;/D&gt;&lt;D xsi:type="xsd:double"&gt;0.2717495&lt;/D&gt;&lt;D xsi:type="xsd:double"&gt;0.20823479&lt;/D&gt;&lt;D xsi:type="xsd:double"&gt;-1.7005742&lt;/D&gt;&lt;D xsi:type="xsd:double"&gt;0.16719103&lt;/D&gt;&lt;D xsi:type="xsd:double"&gt;-0.7886529&lt;/D&gt;&lt;D xsi:type="xsd:double"&gt;-0.38656592&lt;/D&gt;&lt;D xsi:type="xsd:double"&gt;-2.3976862&lt;/D&gt;&lt;D xsi:type="xsd:double"&gt;-0.12459755&lt;/D&gt;&lt;D xsi:type="xsd:double"&gt;-0.35127997&lt;/D&gt;&lt;D xsi:type="xsd:double"&gt;-2.503693&lt;/D&gt;&lt;D xsi:type="xsd:double"&gt;0.7855773&lt;/D&gt;&lt;D xsi:type="xsd:double"&gt;1.2930632&lt;/D&gt;&lt;D xsi:type="xsd:double"&gt;-1.8257737&lt;/D&gt;&lt;D xsi:type="xsd:double"&gt;1.0979176&lt;/D&gt;&lt;D xsi:type="xsd:double"&gt;1.3215661&lt;/D&gt;&lt;D xsi:type="xsd:double"&gt;-0.89221597&lt;/D&gt;&lt;D xsi:type="xsd:double"&gt;-0.20086169&lt;/D&gt;&lt;D xsi:type="xsd:double"&gt;1.4878511&lt;/D&gt;&lt;D xsi:type="xsd:double"&gt;0.27458668&lt;/D&gt;&lt;D xsi:type="xsd:double"&gt;-0.3132701&lt;/D&gt;&lt;D xsi:type="xsd:double"&gt;0.11571646&lt;/D&gt;&lt;D xsi:type="xsd:double"&gt;1.4550447&lt;/D&gt;&lt;D xsi:type="xsd:double"&gt;0.22292137&lt;/D&gt;&lt;D xsi:type="xsd:double"&gt;0.94071627&lt;/D&gt;&lt;D xsi:type="xsd:double"&gt;-2.1498442&lt;/D&gt;&lt;D xsi:type="xsd:double"&gt;1.4079332&lt;/D&gt;&lt;D xsi:type="xsd:double"&gt;0.18018484&lt;/D&gt;&lt;D xsi:type="xsd:double"&gt;1.7062664&lt;/D&gt;&lt;D xsi:type="xsd:double"&gt;-0.12623072&lt;/D&gt;&lt;D xsi:type="xsd:double"&gt;-1.0986209&lt;/D&gt;&lt;D xsi:type="xsd:double"&gt;-0.45360923&lt;/D&gt;&lt;D xsi:type="xsd:double"&gt;-0.6727636&lt;/D&gt;&lt;D xsi:type="xsd:double"&gt;0.94389915&lt;/D&gt;&lt;D xsi:type="xsd:double"&gt;-0.5945504&lt;/D&gt;&lt;D xsi:type="xsd:double"&gt;0.21723509&lt;/D&gt;&lt;D xsi:type="xsd:double"&gt;-1.1715949&lt;/D&gt;&lt;D xsi:type="xsd:double"&gt;-1.2298942&lt;/D&gt;&lt;D xsi:type="xsd:double"&gt;0.7108331&lt;/D&gt;&lt;D xsi:type="xsd:double"&gt;0.34285784&lt;/D&gt;&lt;D xsi:type="xsd:double"&gt;-0.25648475&lt;/D&gt;&lt;D xsi:type="xsd:double"&gt;-2.6282907&lt;/D&gt;&lt;D xsi:type="xsd:double"&gt;0.1250267&lt;/D&gt;&lt;D xsi:type="xsd:double"&gt;-0.7240534&lt;/D&gt;&lt;D xsi:type="xsd:double"&gt;2.313137&lt;/D&gt;&lt;D xsi:type="xsd:double"&gt;-2.0872176&lt;/D&gt;&lt;D xsi:type="xsd:double"&gt;-3.7637532&lt;/D&gt;&lt;D xsi:type="xsd:double"&gt;1.7009139&lt;/D&gt;&lt;D xsi:type="xsd:double"&gt;0.38979053&lt;/D&gt;&lt;D xsi:type="xsd:double"&gt;-0.8937061&lt;/D&gt;&lt;D xsi:type="xsd:double"&gt;-2.3121536&lt;/D&gt;&lt;D xsi:type="xsd:double"&gt;-1.2267411&lt;/D&gt;&lt;D xsi:type="xsd:double"&gt;3.979981&lt;/D&gt;&lt;D xsi:type="xsd:double"&gt;0.14193058&lt;/D&gt;&lt;D xsi:type="xsd:double"&gt;0.7529259&lt;/D&gt;&lt;D xsi:type="xsd:double"&gt;1.6192198&lt;/D&gt;&lt;D xsi:type="xsd:double"&gt;1.4226913&lt;/D&gt;&lt;D xsi:type="xsd:double"&gt;0.19286871&lt;/D&gt;&lt;D xsi:type="xsd:double"&gt;-1.5983701&lt;/D&gt;&lt;D xsi:type="xsd:double"&gt;-1.1867404&lt;/D&gt;&lt;D xsi:type="xsd:double"&gt;0.922668&lt;/D&gt;&lt;D xsi:type="xsd:double"&gt;0.04733801&lt;/D&gt;&lt;D xsi:type="xsd:double"&gt;-0.74881315&lt;/D&gt;&lt;D xsi:type="xsd:double"&gt;1.6385674&lt;/D&gt;&lt;D xsi:type="xsd:double"&gt;-0.23820996&lt;/D&gt;&lt;D xsi:type="xsd:double"&gt;0.38257837&lt;/D&gt;&lt;D xsi:type="xsd:double"&gt;1.8167973&lt;/D&gt;&lt;D xsi:type="xsd:double"&gt;-1.9163013&lt;/D&gt;&lt;D xsi:type="xsd:double"&gt;-1.3805926&lt;/D&gt;&lt;D xsi:type="xsd:double"&gt;1.8437386&lt;/D&gt;&lt;D xsi:type="xsd:double"&gt;-1.3282001&lt;/D&gt;&lt;D xsi:type="xsd:double"&gt;-1.2502551&lt;/D&gt;&lt;D xsi:type="xsd:double"&gt;-1.6575754&lt;/D&gt;&lt;D xsi:type="xsd:double"&gt;3.189659&lt;/D&gt;&lt;D xsi:type="xsd:double"&gt;0.9123802&lt;/D&gt;&lt;D xsi:type="xsd:double"&gt;0.735271&lt;/D&gt;&lt;D xsi:type="xsd:double"&gt;1.5483975&lt;/D&gt;&lt;D xsi:type="xsd:double"&gt;0.47038794&lt;/D&gt;&lt;D xsi:type="xsd:double"&gt;0.58135986&lt;/D&gt;&lt;D xsi:type="xsd:double"&gt;-3.0867875&lt;/D&gt;&lt;D xsi:type="xsd:double"&gt;-0.67273974&lt;/D&gt;&lt;D xsi:type="xsd:double"&gt;0.16100407&lt;/D&gt;&lt;D xsi:type="xsd:double"&gt;0.84792376&lt;/D&gt;&lt;D xsi:type="xsd:double"&gt;1.275909&lt;/D&gt;&lt;D xsi:type="xsd:double"&gt;-0.8514166&lt;/D&gt;&lt;D xsi:type="xsd:double"&gt;-0.5046785&lt;/D&gt;&lt;D xsi:type="xsd:double"&gt;2.138567&lt;/D&gt;&lt;D xsi:type="xsd:double"&gt;3.845787&lt;/D&gt;&lt;D xsi:type="xsd:double"&gt;-0.4472494&lt;/D&gt;&lt;D xsi:type="xsd:double"&gt;-1.8431962&lt;/D&gt;&lt;D xsi:type="xsd:double"&gt;0.89212656&lt;/D&gt;&lt;D xsi:type="xsd:double"&gt;-0.056511164&lt;/D&gt;&lt;D xsi:type="xsd:double"&gt;1.4394879&lt;/D&gt;&lt;D xsi:type="xsd:double"&gt;0.7249713&lt;/D&gt;&lt;D xsi:type="xsd:double"&gt;0.7367611&lt;/D&gt;&lt;D xsi:type="xsd:double"&gt;0.15858412&lt;/D&gt;&lt;D xsi:type="xsd:double"&gt;-0.3676057&lt;/D&gt;&lt;D xsi:type="xsd:double"&gt;-0.70443153&lt;/D&gt;&lt;D xsi:type="xsd:double"&gt;1.7296433&lt;/D&gt;&lt;D xsi:type="xsd:double"&gt;-0.53458214&lt;/D&gt;&lt;D xsi:type="xsd:double"&gt;-0.6438136&lt;/D&gt;&lt;D xsi:type="xsd:double"&gt;1.7157197&lt;/D&gt;&lt;D xsi:type="xsd:double"&gt;0.33180714&lt;/D&gt;&lt;D xsi:type="xsd:double"&gt;-0.33070445&lt;/D&gt;&lt;D xsi:type="xsd:double"&gt;-0.049090385&lt;/D&gt;&lt;D xsi:type="xsd:double"&gt;-0.5532801&lt;/D&gt;&lt;D xsi:type="xsd:double"&gt;0.79717636&lt;/D&gt;&lt;D xsi:type="xsd:double"&gt;3.2027602&lt;/D&gt;&lt;D xsi:type="xsd:double"&gt;7.2434783&lt;/D&gt;&lt;D xsi:type="xsd:double"&gt;-2.253604&lt;/D&gt;&lt;D xsi:type="xsd:double"&gt;-1.3962865&lt;/D&gt;&lt;D xsi:type="xsd:double"&gt;-0.12232065&lt;/D&gt;&lt;D xsi:type="xsd:double"&gt;-0.81124306&lt;/D&gt;&lt;D xsi:type="xsd:double"&gt;0.027751923&lt;/D&gt;&lt;D xsi:type="xsd:double"&gt;-0.1488924&lt;/D&gt;&lt;D xsi:type="xsd:double"&gt;0.92960596&lt;/D&gt;&lt;D xsi:type="xsd:double"&gt;-1.2765586&lt;/D&gt;&lt;D xsi:type="xsd:double"&gt;2.2399426&lt;/D&gt;&lt;D xsi:type="xsd:double"&gt;0.23335218&lt;/D&gt;&lt;D xsi:type="xsd:double"&gt;-2.266848&lt;/D&gt;&lt;D xsi:type="xsd:double"&gt;-0.757885&lt;/D&gt;&lt;D xsi:type="xsd:double"&gt;2.5532842&lt;/D&gt;&lt;D xsi:type="xsd:double"&gt;-0.9889245&lt;/D&gt;&lt;D xsi:type="xsd:double"&gt;-0.017416477&lt;/D&gt;&lt;D xsi:type="xsd:double"&gt;-0.37113428&lt;/D&gt;&lt;D xsi:type="xsd:double"&gt;1.4962196&lt;/D&gt;&lt;D xsi:type="xsd:double"&gt;1.2619734&lt;/D&gt;&lt;D xsi:type="xsd:double"&gt;1.9183993&lt;/D&gt;&lt;D xsi:type="xsd:double"&gt;-0.41609406&lt;/D&gt;&lt;D xsi:type="xsd:double"&gt;-1.4933884&lt;/D&gt;&lt;D xsi:type="xsd:double"&gt;1.0480404&lt;/D&gt;&lt;D xsi:type="xsd:double"&gt;1.9721627&lt;/D&gt;&lt;D xsi:type="xsd:double"&gt;-0.54422617&lt;/D&gt;&lt;D xsi:type="xsd:double"&gt;0.5693674&lt;/D&gt;&lt;D xsi:type="xsd:double"&gt;-2.576667&lt;/D&gt;&lt;D xsi:type="xsd:double"&gt;1.1694312&lt;/D&gt;&lt;D xsi:type="xsd:double"&gt;4.0536523&lt;/D&gt;&lt;D xsi:type="xsd:double"&gt;1.7830372&lt;/D&gt;&lt;D xsi:type="xsd:double"&gt;2.705586&lt;/D&gt;&lt;D xsi:type="xsd:double"&gt;2.1440983&lt;/D&gt;&lt;D xsi:type="xsd:double"&gt;-1.4782846&lt;/D&gt;&lt;D xsi:type="xsd:double"&gt;-0.543946&lt;/D&gt;&lt;D xsi:type="xsd:double"&gt;-0.17706156&lt;/D&gt;&lt;D xsi:type="xsd:double"&gt;-1.0589004&lt;/D&gt;&lt;D xsi:type="xsd:double"&gt;0.61889887&lt;/D&gt;&lt;D xsi:type="xsd:double"&gt;1.6646028&lt;/D&gt;&lt;D xsi:type="xsd:double"&gt;1.9653201&lt;/D&gt;&lt;D xsi:type="xsd:double"&gt;-1.262927&lt;/D&gt;&lt;D xsi:type="xsd:double"&gt;-0.2958119&lt;/D&gt;&lt;D xsi:type="xsd:double"&gt;0.3771782&lt;/D&gt;&lt;D xsi:type="xsd:double"&gt;-2.1784365&lt;/D&gt;&lt;D xsi:type="xsd:double"&gt;1.2961745&lt;/D&gt;&lt;D xsi:type="xsd:double"&gt;-0.45909882&lt;/D&gt;&lt;D xsi:type="xsd:double"&gt;-2.08866&lt;/D&gt;&lt;D xsi:type="xsd:double"&gt;-1.5601754&lt;/D&gt;&lt;D xsi:type="xsd:double"&gt;-2.6622653&lt;/D&gt;&lt;D xsi:type="xsd:double"&gt;-1.0471404&lt;/D&gt;&lt;D xsi:type="xsd:double"&gt;0.313282&lt;/D&gt;&lt;D xsi:type="xsd:double"&gt;3.1242847&lt;/D&gt;&lt;D xsi:type="xsd:double"&gt;-0.19724965&lt;/D&gt;&lt;D xsi:type="xsd:double"&gt;-1.1659801&lt;/D&gt;&lt;D xsi:type="xsd:double"&gt;-0.3102064&lt;/D&gt;&lt;D xsi:type="xsd:double"&gt;4.202211&lt;/D&gt;&lt;D xsi:type="xsd:double"&gt;-0.6115794&lt;/D&gt;&lt;D xsi:type="xsd:double"&gt;-2.3620546&lt;/D&gt;&lt;D xsi:type="xsd:double"&gt;4.68843&lt;/D&gt;&lt;D xsi:type="xsd:double"&gt;1.9934654&lt;/D&gt;&lt;D xsi:type="xsd:double"&gt;2.1012664&lt;/D&gt;&lt;D xsi:type="xsd:double"&gt;-2.196163&lt;/D&gt;&lt;D xsi:type="xsd:double"&gt;0.06451607&lt;/D&gt;&lt;D xsi:type="xsd:double"&gt;3.0713558&lt;/D&gt;&lt;D xsi:type="xsd:double"&gt;-0.5908072&lt;/D&gt;&lt;D xsi:type="xsd:double"&gt;-0.22261143&lt;/D&gt;&lt;D xsi:type="xsd:double"&gt;0.9824276&lt;/D&gt;&lt;D xsi:type="xsd:double"&gt;3.5743594&lt;/D&gt;&lt;D xsi:type="xsd:double"&gt;-1.6453922&lt;/D&gt;&lt;D xsi:type="xsd:double"&gt;-1.8889129&lt;/D&gt;&lt;D xsi:type="xsd:double"&gt;0.46817064&lt;/D&gt;&lt;D xsi:type="xsd:double"&gt;0.30187368&lt;/D&gt;&lt;D xsi:type="xsd:double"&gt;1.1621475&lt;/D&gt;&lt;D xsi:type="xsd:double"&gt;3.0238152&lt;/D&gt;&lt;D xsi:type="xsd:double"&gt;0.7617116&lt;/D&gt;&lt;D xsi:type="xsd:double"&gt;0.9736419&lt;/D&gt;&lt;D xsi:type="xsd:double"&gt;1.1785269&lt;/D&gt;&lt;D xsi:type="xsd:double"&gt;-2.9637754&lt;/D&gt;&lt;D xsi:type="xsd:double"&gt;-4.374319&lt;/D&gt;&lt;D xsi:type="xsd:double"&gt;-0.1000762&lt;/D&gt;&lt;D xsi:type="xsd:double"&gt;-0.49375296&lt;/D&gt;&lt;D xsi:type="xsd:double"&gt;2.7629733&lt;/D&gt;&lt;D xsi:type="xsd:double"&gt;-1.025492&lt;/D&gt;&lt;D xsi:type="xsd:double"&gt;-0.7414162&lt;/D&gt;&lt;D xsi:type="xsd:double"&gt;0.22671223&lt;/D&gt;&lt;D xsi:type="xsd:double"&gt;-2.552873&lt;/D&gt;&lt;D xsi:type="xsd:double"&gt;1.0876656&lt;/D&gt;&lt;D xsi:type="xsd:double"&gt;0.5614519&lt;/D&gt;&lt;D xsi:type="xsd:double"&gt;-1.7328084&lt;/D&gt;&lt;D xsi:type="xsd:double"&gt;-1.7348647&lt;/D&gt;&lt;D xsi:type="xsd:double"&gt;-3.1918228&lt;/D&gt;&lt;D xsi:type="xsd:double"&gt;0.1167655&lt;/D&gt;&lt;D xsi:type="xsd:double"&gt;1.7464757&lt;/D&gt;&lt;D xsi:type="xsd:double"&gt;2.888918&lt;/D&gt;&lt;D xsi:type="xsd:double"&gt;-0.8003235&lt;/D&gt;&lt;D xsi:type="xsd:double"&gt;1.2399197&lt;/D&gt;&lt;D xsi:type="xsd:double"&gt;-0.30597448&lt;/D&gt;&lt;D xsi:type="xsd:double"&gt;-2.0303786&lt;/D&gt;&lt;D xsi:type="xsd:double"&gt;-1.8900514&lt;/D&gt;&lt;D xsi:type="xsd:double"&gt;0.12956858&lt;/D&gt;&lt;D xsi:type="xsd:double"&gt;-0.17637014&lt;/D&gt;&lt;D xsi:type="xsd:double"&gt;6.1623573&lt;/D&gt;&lt;D xsi:type="xsd:double"&gt;-0.59149265&lt;/D&gt;&lt;D xsi:type="xsd:double"&gt;-2.315247&lt;/D&gt;&lt;D xsi:type="xsd:double"&gt;-0.036352873&lt;/D&gt;&lt;D xsi:type="xsd:double"&gt;1.0406852&lt;/D&gt;&lt;D xsi:type="xsd:double"&gt;1.2311459&lt;/D&gt;&lt;D xsi:type="xsd:double"&gt;0.3440857&lt;/D&gt;&lt;D xsi:type="xsd:double"&gt;-0.19032955&lt;/D&gt;&lt;D xsi:type="xsd:double"&gt;-0.020682812&lt;/D&gt;&lt;D xsi:type="xsd:double"&gt;-0.09918809&lt;/D&gt;&lt;D xsi:type="xsd:double"&gt;0.17387867&lt;/D&gt;&lt;D xsi:type="xsd:double"&gt;-2.2500098&lt;/D&gt;&lt;D xsi:type="xsd:double"&gt;1.6997337&lt;/D&gt;&lt;D xsi:type="xsd:double"&gt;8.2268&lt;/D&gt;&lt;D xsi:type="xsd:double"&gt;-1.9050121&lt;/D&gt;&lt;D xsi:type="xsd:double"&gt;0.43884516&lt;/D&gt;&lt;D xsi:type="xsd:double"&gt;2.9269576&lt;/D&gt;&lt;D xsi:type="xsd:double"&gt;3.3325553&lt;/D&gt;&lt;D xsi:type="xsd:double"&gt;-2.6578844&lt;/D&gt;&lt;D xsi:type="xsd:double"&gt;-3.5368323&lt;/D&gt;&lt;D xsi:type="xsd:double"&gt;-1.7059445&lt;/D&gt;&lt;D xsi:type="xsd:double"&gt;-1.5856147&lt;/D&gt;&lt;D xsi:type="xsd:double"&gt;4.02205&lt;/D&gt;&lt;D xsi:type="xsd:double"&gt;-1.9756198&lt;/D&gt;&lt;D xsi:type="xsd:double"&gt;-7.7156305&lt;/D&gt;&lt;D xsi:type="xsd:double"&gt;1.379168&lt;/D&gt;&lt;D xsi:type="xsd:double"&gt;2.1187901&lt;/D&gt;&lt;D xsi:type="xsd:double"&gt;2.5280595&lt;/D&gt;&lt;D xsi:type="xsd:double"&gt;-0.1395464&lt;/D&gt;&lt;D xsi:type="xsd:double"&gt;-0.8469641&lt;/D&gt;&lt;D xsi:type="xsd:double"&gt;0.40837526&lt;/D&gt;&lt;D xsi:type="xsd:double"&gt;3.9245725&lt;/D&gt;&lt;D xsi:type="xsd:double"&gt;-2.424866&lt;/D&gt;&lt;D xsi:type="xsd:double"&gt;3.7608027&lt;/D&gt;&lt;D xsi:type="xsd:double"&gt;0.15083551&lt;/D&gt;&lt;D xsi:type="xsd:double"&gt;-1.6750276&lt;/D&gt;&lt;D xsi:type="xsd:double"&gt;-2.1302938&lt;/D&gt;&lt;D xsi:type="xsd:double"&gt;-5.0852895&lt;/D&gt;&lt;D xsi:type="xsd:double"&gt;-0.9670973&lt;/D&gt;&lt;D xsi:type="xsd:double"&gt;0.12856722&lt;/D&gt;&lt;D xsi:type="xsd:double"&gt;3.3812404&lt;/D&gt;&lt;D xsi:type="xsd:double"&gt;3.3662558&lt;/D&gt;&lt;D xsi:type="xsd:double"&gt;-1.936847&lt;/D&gt;&lt;D xsi:type="xsd:double"&gt;-1.4809012&lt;/D&gt;&lt;D xsi:type="xsd:double"&gt;1.9711494&lt;/D&gt;&lt;D xsi:type="xsd:double"&gt;-0.43798685&lt;/D&gt;&lt;D xsi:type="xsd:double"&gt;-0.19754767&lt;/D&gt;&lt;D xsi:type="xsd:double"&gt;-1.2698114&lt;/D&gt;&lt;D xsi:type="xsd:double"&gt;0.849545&lt;/D&gt;&lt;D xsi:type="xsd:double"&gt;-1.4435947&lt;/D&gt;&lt;D xsi:type="xsd:double"&gt;-0.8465588&lt;/D&gt;&lt;D xsi:type="xsd:double"&gt;-0.089889765&lt;/D&gt;&lt;D xsi:type="xsd:double"&gt;-0.260818&lt;/D&gt;&lt;D xsi:type="xsd:double"&gt;-2.711916&lt;/D&gt;&lt;D xsi:type="xsd:double"&gt;0.09126663&lt;/D&gt;&lt;D xsi:type="xsd:double"&gt;-5.497837&lt;/D&gt;&lt;D xsi:type="xsd:double"&gt;0.82809925&lt;/D&gt;&lt;D xsi:type="xsd:double"&gt;2.2976995&lt;/D&gt;&lt;D xsi:type="xsd:double"&gt;0.1666069&lt;/D&gt;&lt;D xsi:type="xsd:double"&gt;1.9111514&lt;/D&gt;&lt;D xsi:type="xsd:double"&gt;-1.097399&lt;/D&gt;&lt;D xsi:type="xsd:double"&gt;-1.6666651&lt;/D&gt;&lt;D xsi:type="xsd:double"&gt;-0.4092276&lt;/D&gt;&lt;D xsi:type="xsd:double"&gt;-0.5704045&lt;/D&gt;&lt;D xsi:type="xsd:double"&gt;-0.8520961&lt;/D&gt;&lt;D xsi:type="xsd:double"&gt;-1.066798&lt;/D&gt;&lt;D xsi:type="xsd:double"&gt;-3.8587093&lt;/D&gt;&lt;D xsi:type="xsd:double"&gt;1.1095405&lt;/D&gt;&lt;D xsi:type="xsd:double"&gt;-0.2351284&lt;/D&gt;&lt;D xsi:type="xsd:double"&gt;-0.4716456&lt;/D&gt;&lt;D xsi:type="xsd:double"&gt;-2.9355228&lt;/D&gt;&lt;D xsi:type="xsd:double"&gt;-1.3854027&lt;/D&gt;&lt;D xsi:type="xsd:double"&gt;-0.3947556&lt;/D&gt;&lt;D xsi:type="xsd:double"&gt;-0.4748702&lt;/D&gt;&lt;D xsi:type="xsd:double"&gt;-0.25897622&lt;/D&gt;&lt;D xsi:type="xsd:double"&gt;0.53441525&lt;/D&gt;&lt;D xsi:type="xsd:double"&gt;1.7037153&lt;/D&gt;&lt;D xsi:type="xsd:double"&gt;-0.7400811&lt;/D&gt;&lt;D xsi:type="xsd:double"&gt;2.4300456&lt;/D&gt;&lt;D xsi:type="xsd:double"&gt;0.70632696&lt;/D&gt;&lt;D xsi:type="xsd:double"&gt;-0.9154856&lt;/D&gt;&lt;D xsi:type="xsd:double"&gt;-0.26088357&lt;/D&gt;&lt;D xsi:type="xsd:double"&gt;0.4177451&lt;/D&gt;&lt;D xsi:type="xsd:double"&gt;2.7836323&lt;/D&gt;&lt;D xsi:type="xsd:double"&gt;-1.147443&lt;/D&gt;&lt;D xsi:type="xsd:double"&gt;-0.97242594&lt;/D&gt;&lt;D xsi:type="xsd:double"&gt;1.5665054&lt;/D&gt;&lt;D xsi:type="xsd:double"&gt;2.8540611&lt;/D&gt;&lt;D xsi:type="xsd:double"&gt;6.6851854&lt;/D&gt;&lt;D xsi:type="xsd:double"&gt;-2.6774287&lt;/D&gt;&lt;D xsi:type="xsd:double"&gt;-0.58764815&lt;/D&gt;&lt;D xsi:type="xsd:double"&gt;-1.6915917&lt;/D&gt;&lt;D xsi:type="xsd:double"&gt;0.9799123&lt;/D&gt;&lt;D xsi:type="xsd:double"&gt;1.0557532&lt;/D&gt;&lt;D xsi:type="xsd:double"&gt;2.0766973&lt;/D&gt;&lt;D xsi:type="xsd:double"&gt;-0.9621382&lt;/D&gt;&lt;D xsi:type="xsd:double"&gt;1.0390401&lt;/D&gt;&lt;D xsi:type="xsd:double"&gt;0.5381465&lt;/D&gt;&lt;D xsi:type="xsd:double"&gt;-0.37450194&lt;/D&gt;&lt;D xsi:type="xsd:double"&gt;-4.0981474&lt;/D&gt;&lt;D xsi:type="xsd:double"&gt;-1.1768639&lt;/D&gt;&lt;D xsi:type="xsd:double"&gt;-0.27570724&lt;/D&gt;&lt;D xsi:type="xsd:double"&gt;0.8226633&lt;/D&gt;&lt;D xsi:type="xsd:double"&gt;1.2782931&lt;/D&gt;&lt;D xsi:type="xsd:double"&gt;1.2597322&lt;/D&gt;&lt;D xsi:type="xsd:double"&gt;1.0707498&lt;/D&gt;&lt;D xsi:type="xsd:double"&gt;-1.3179243&lt;/D&gt;&lt;D xsi:type="xsd:double"&gt;1.4737964&lt;/D&gt;&lt;D xsi:type="xsd:double"&gt;-3.174907&lt;/D&gt;&lt;D xsi:type="xsd:double"&gt;-1.0496795&lt;/D&gt;&lt;D xsi:type="xsd:double"&gt;3.4149885&lt;/D&gt;&lt;D xsi:type="xsd:double"&gt;2.2636533&lt;/D&gt;&lt;D xsi:type="xsd:double"&gt;-0.24040341&lt;/D&gt;&lt;D xsi:type="xsd:double"&gt;2.4591208&lt;/D&gt;&lt;D xsi:type="xsd:double"&gt;1.0940075&lt;/D&gt;&lt;D xsi:type="xsd:double"&gt;-2.6970088&lt;/D&gt;&lt;D xsi:type="xsd:double"&gt;2.9735327&lt;/D&gt;&lt;D xsi:type="xsd:double"&gt;0.9204984&lt;/D&gt;&lt;D xsi:type="xsd:double"&gt;-4.241276&lt;/D&gt;&lt;D xsi:type="xsd:double"&gt;-4.456365&lt;/D&gt;&lt;D xsi:type="xsd:double"&gt;-2.0783246&lt;/D&gt;&lt;D xsi:type="xsd:double"&gt;-0.7669687&lt;/D&gt;&lt;D xsi:type="xsd:double"&gt;1.3953447&lt;/D&gt;&lt;D xsi:type="xsd:double"&gt;-0.4703343&lt;/D&gt;&lt;D xsi:type="xsd:double"&gt;-1.6607165&lt;/D&gt;&lt;D xsi:type="xsd:double"&gt;0.7928848&lt;/D&gt;&lt;D xsi:type="xsd:double"&gt;0.20231009&lt;/D&gt;&lt;D xsi:type="xsd:double"&gt;-0.5013883&lt;/D&gt;&lt;D xsi:type="xsd:double"&gt;2.7604342&lt;/D&gt;&lt;D xsi:type="xsd:double"&gt;1.2875199&lt;/D&gt;&lt;D xsi:type="xsd:double"&gt;1.1170149&lt;/D&gt;&lt;D xsi:type="xsd:double"&gt;-0.39516687&lt;/D&gt;&lt;D xsi:type="xsd:double"&gt;3.2032013&lt;/D&gt;&lt;D xsi:type="xsd:double"&gt;-0.22912025&lt;/D&gt;&lt;D xsi:type="xsd:double"&gt;-0.36996603&lt;/D&gt;&lt;D xsi:type="xsd:double"&gt;-4.7747555&lt;/D&gt;&lt;D xsi:type="xsd:double"&gt;2.0344138&lt;/D&gt;&lt;D xsi:type="xsd:double"&gt;0.1455307&lt;/D&gt;&lt;D xsi:type="xsd:double"&gt;2.259636&lt;/D&gt;&lt;D xsi:type="xsd:double"&gt;-1.9957721&lt;/D&gt;&lt;D xsi:type="xsd:double"&gt;-3.3209682&lt;/D&gt;&lt;D xsi:type="xsd:double"&gt;1.8595576&lt;/D&gt;&lt;D xsi:type="xsd:double"&gt;-3.6945462&lt;/D&gt;&lt;D xsi:type="xsd:double"&gt;-0.9446502&lt;/D&gt;&lt;D xsi:type="xsd:double"&gt;-4.3554726&lt;/D&gt;&lt;D xsi:type="xsd:double"&gt;2.9100776&lt;/D&gt;&lt;D xsi:type="xsd:double"&gt;-0.9456217&lt;/D&gt;&lt;D xsi:type="xsd:double"&gt;2.504325&lt;/D&gt;&lt;D xsi:type="xsd:double"&gt;-4.1812&lt;/D&gt;&lt;D xsi:type="xsd:double"&gt;2.26326&lt;/D&gt;&lt;D xsi:type="xsd:double"&gt;4.8108935&lt;/D&gt;&lt;D xsi:type="xsd:double"&gt;-3.7403822&lt;/D&gt;&lt;D xsi:type="xsd:double"&gt;2.4413347&lt;/D&gt;&lt;D xsi:type="xsd:double"&gt;-2.414441&lt;/D&gt;&lt;D xsi:type="xsd:double"&gt;-1.9381166&lt;/D&gt;&lt;D xsi:type="xsd:double"&gt;0.3715396&lt;/D&gt;&lt;D xsi:type="xsd:double"&gt;1.7039776&lt;/D&gt;&lt;D xsi:type="xsd:double"&gt;0.24658442&lt;/D&gt;&lt;D xsi:type="xsd:double"&gt;-2.708435&lt;/D&gt;&lt;D xsi:type="xsd:double"&gt;1.971209&lt;/D&gt;&lt;D xsi:type="xsd:double"&gt;-1.1217892&lt;/D&gt;&lt;D xsi:type="xsd:double"&gt;-3.9431572&lt;/D&gt;&lt;D xsi:type="xsd:double"&gt;-1.4599979&lt;/D&gt;&lt;D xsi:type="xsd:double"&gt;0.6243706&lt;/D&gt;&lt;D xsi:type="xsd:double"&gt;-3.6605775&lt;/D&gt;&lt;D xsi:type="xsd:double"&gt;-1.2985349&lt;/D&gt;&lt;D xsi:type="xsd:double"&gt;1.7936707&lt;/D&gt;&lt;D xsi:type="xsd:double"&gt;0.3600359&lt;/D&gt;&lt;D xsi:type="xsd:double"&gt;-1.7683029&lt;/D&gt;&lt;D xsi:type="xsd:double"&gt;-0.49142838&lt;/D&gt;&lt;D xsi:type="xsd:double"&gt;1.5159249&lt;/D&gt;&lt;D xsi:type="xsd:double"&gt;2.311647&lt;/D&gt;&lt;D xsi:type="xsd:double"&gt;-0.13811588&lt;/D&gt;&lt;D xsi:type="xsd:double"&gt;1.53929&lt;/D&gt;&lt;D xsi:type="xsd:double"&gt;-1.5029967&lt;/D&gt;&lt;D xsi:type="xsd:double"&gt;1.6379118&lt;/D&gt;&lt;D xsi:type="xsd:double"&gt;-0.4227221&lt;/D&gt;&lt;D xsi:type="xsd:double"&gt;1.7647862&lt;/D&gt;&lt;D xsi:type="xsd:double"&gt;0.28192997&lt;/D&gt;&lt;D xsi:type="xsd:double"&gt;2.521336&lt;/D&gt;&lt;D xsi:type="xsd:double"&gt;3.8742542&lt;/D&gt;&lt;D xsi:type="xsd:double"&gt;-1.296109&lt;/D&gt;&lt;D xsi:type="xsd:double"&gt;-1.9328356&lt;/D&gt;&lt;D xsi:type="xsd:double"&gt;-1.0086656&lt;/D&gt;&lt;D xsi:type="xsd:double"&gt;4.5858264&lt;/D&gt;&lt;D xsi:type="xsd:double"&gt;-1.0971248&lt;/D&gt;&lt;D xsi:type="xsd:double"&gt;-3.7776768&lt;/D&gt;&lt;D xsi:type="xsd:double"&gt;-2.0478606&lt;/D&gt;&lt;D xsi:type="xsd:double"&gt;-1.4224291&lt;/D&gt;&lt;D xsi:type="xsd:double"&gt;1.7765641&lt;/D&gt;&lt;D xsi:type="xsd:double"&gt;-1.2851834&lt;/D&gt;&lt;D xsi:type="xsd:double"&gt;0.49780607&lt;/D&gt;&lt;D xsi:type="xsd:double"&gt;0.9233117&lt;/D&gt;&lt;D xsi:type="xsd:double"&gt;5.109358&lt;/D&gt;&lt;D xsi:type="xsd:double"&gt;-2.589327&lt;/D&gt;&lt;D xsi:type="xsd:double"&gt;-0.07293224&lt;/D&gt;&lt;D xsi:type="xsd:double"&gt;-0.9630978&lt;/D&gt;&lt;D xsi:type="xsd:double"&gt;-2.9282093&lt;/D&gt;&lt;D xsi:type="xsd:double"&gt;-0.32283068&lt;/D&gt;&lt;D xsi:type="xsd:double"&gt;1.8542409&lt;/D&gt;&lt;D xsi:type="xsd:double"&gt;-0.013560057&lt;/D&gt;&lt;D xsi:type="xsd:double"&gt;-2.427405&lt;/D&gt;&lt;D xsi:type="xsd:double"&gt;-2.8373063&lt;/D&gt;&lt;D xsi:type="xsd:double"&gt;2.183473&lt;/D&gt;&lt;D xsi:type="xsd:double"&gt;1.1995316&lt;/D&gt;&lt;D xsi:type="xsd:double"&gt;-1.6310334&lt;/D&gt;&lt;D xsi:type="xsd:double"&gt;1.5568495&lt;/D&gt;&lt;D xsi:type="xsd:double"&gt;-3.895229&lt;/D&gt;&lt;D xsi:type="xsd:double"&gt;1.5222073&lt;/D&gt;&lt;D xsi:type="xsd:double"&gt;-0.7138729&lt;/D&gt;&lt;D xsi:type="xsd:double"&gt;0.88237524&lt;/D&gt;&lt;D xsi:type="xsd:double"&gt;2.8081656&lt;/D&gt;&lt;D xsi:type="xsd:double"&gt;1.0549068&lt;/D&gt;&lt;D xsi:type="xsd:double"&gt;2.8493166&lt;/D&gt;&lt;D xsi:type="xsd:double"&gt;-2.658838&lt;/D&gt;&lt;D xsi:type="xsd:double"&gt;0.11484623&lt;/D&gt;&lt;D xsi:type="xsd:double"&gt;-1.8468201&lt;/D&gt;&lt;D xsi:type="xsd:double"&gt;-0.57032704&lt;/D&gt;&lt;D xsi:type="xsd:double"&gt;0.22467375&lt;/D&gt;&lt;D xsi:type="xsd:double"&gt;-2.43392&lt;/D&gt;&lt;D xsi:type="xsd:double"&gt;1.7716646&lt;/D&gt;&lt;D xsi:type="xsd:double"&gt;-4.232258&lt;/D&gt;&lt;D xsi:type="xsd:double"&gt;1.0444999&lt;/D&gt;&lt;D xsi:type="xsd:double"&gt;0.22592545&lt;/D&gt;&lt;D xsi:type="xsd:double"&gt;0.07323027&lt;/D&gt;&lt;D xsi:type="xsd:double"&gt;0.050973892&lt;/D&gt;&lt;D xsi:type="xsd:double"&gt;-0.7901907&lt;/D&gt;&lt;D xsi:type="xsd:double"&gt;-3.8387895&lt;/D&gt;&lt;D xsi:type="xsd:double"&gt;-1.7147124&lt;/D&gt;&lt;D xsi:type="xsd:double"&gt;-0.46681762&lt;/D&gt;&lt;D xsi:type="xsd:double"&gt;-0.88412166&lt;/D&gt;&lt;D xsi:type="xsd:double"&gt;-0.76912045&lt;/D&gt;&lt;D xsi:type="xsd:double"&gt;0.20513535&lt;/D&gt;&lt;D xsi:type="xsd:double"&gt;-0.35042167&lt;/D&gt;&lt;D xsi:type="xsd:double"&gt;2.318561&lt;/D&gt;&lt;D xsi:type="xsd:double"&gt;0.4471779&lt;/D&gt;&lt;D xsi:type="xsd:double"&gt;1.8057346&lt;/D&gt;&lt;D xsi:type="xsd:double"&gt;2.3069024&lt;/D&gt;&lt;D xsi:type="xsd:double"&gt;-1.2013555&lt;/D&gt;&lt;D xsi:type="xsd:double"&gt;-0.3385663&lt;/D&gt;&lt;D xsi:type="xsd:double"&gt;-2.913493&lt;/D&gt;&lt;D xsi:type="xsd:double"&gt;1.9217849&lt;/D&gt;&lt;D xsi:type="xsd:double"&gt;-3.2586932&lt;/D&gt;&lt;D xsi:type="xsd:double"&gt;-0.9166837&lt;/D&gt;&lt;D xsi:type="xsd:double"&gt;2.8339863&lt;/D&gt;&lt;D xsi:type="xsd:double"&gt;-0.5582571&lt;/D&gt;&lt;D xsi:type="xsd:double"&gt;0.014925003&lt;/D&gt;&lt;D xsi:type="xsd:double"&gt;2.6763558&lt;/D&gt;&lt;D xsi:type="xsd:double"&gt;0.9844899&lt;/D&gt;&lt;D xsi:type="xsd:double"&gt;-1.9666672&lt;/D&gt;&lt;D xsi:type="xsd:double"&gt;-0.17874241&lt;/D&gt;&lt;D xsi:type="xsd:double"&gt;-0.1542747&lt;/D&gt;&lt;D xsi:type="xsd:double"&gt;-1.7942548&lt;/D&gt;&lt;D xsi:type="xsd:double"&gt;2.108109&lt;/D&gt;&lt;D xsi:type="xsd:double"&gt;-2.435565&lt;/D&gt;&lt;D xsi:type="xsd:double"&gt;0.06811619&lt;/D&gt;&lt;D xsi:type="xsd:double"&gt;-0.63266754&lt;/D&gt;&lt;D xsi:type="xsd:double"&gt;-0.95596313&lt;/D&gt;&lt;D xsi:type="xsd:double"&gt;0.5391598&lt;/D&gt;&lt;D xsi:type="xsd:double"&gt;0.63399076&lt;/D&gt;&lt;D xsi:type="xsd:double"&gt;-0.11487603&lt;/D&gt;&lt;D xsi:type="xsd:double"&gt;1.0236025&lt;/D&gt;&lt;D xsi:type="xsd:double"&gt;-0.1930356&lt;/D&gt;&lt;D xsi:type="xsd:double"&gt;1.2905002&lt;/D&gt;&lt;D xsi:type="xsd:double"&gt;0.4927516&lt;/D&gt;&lt;D xsi:type="xsd:double"&gt;-1.5329719&lt;/D&gt;&lt;D xsi:type="xsd:double"&gt;-0.308609&lt;/D&gt;&lt;D xsi:type="xsd:double"&gt;0.27673244&lt;/D&gt;&lt;D xsi:type="xsd:double"&gt;-0.1129508&lt;/D&gt;&lt;D xsi:type="xsd:double"&gt;0.73053837&lt;/D&gt;&lt;D xsi:type="xsd:double"&gt;0.2611637&lt;/D&gt;&lt;D xsi:type="xsd:double"&gt;1.141572&lt;/D&gt;&lt;D xsi:type="xsd:double"&gt;-0.67848563&lt;/D&gt;&lt;D xsi:type="xsd:double"&gt;2.241397&lt;/D&gt;&lt;D xsi:type="xsd:double"&gt;0.36512613&lt;/D&gt;&lt;D xsi:type="xsd:double"&gt;4.211414&lt;/D&gt;&lt;D xsi:type="xsd:double"&gt;0.64257383&lt;/D&gt;&lt;D xsi:type="xsd:double"&gt;-0.33316016&lt;/D&gt;&lt;D xsi:type="xsd:double"&gt;-0.5148709&lt;/D&gt;&lt;D xsi:type="xsd:double"&gt;1.0897517&lt;/D&gt;&lt;D xsi:type="xsd:double"&gt;-0.26603937&lt;/D&gt;&lt;D xsi:type="xsd:double"&gt;0.30590296&lt;/D&gt;&lt;D xsi:type="xsd:double"&gt;1.0124683&lt;/D&gt;&lt;D xsi:type="xsd:double"&gt;0.48223734&lt;/D&gt;&lt;D xsi:type="xsd:double"&gt;2.1734&lt;/D&gt;&lt;D xsi:type="xsd:double"&gt;1.171124&lt;/D&gt;&lt;D xsi:type="xsd:double"&gt;-0.45882463&lt;/D&gt;&lt;D xsi:type="xsd:double"&gt;-0.21027327&lt;/D&gt;&lt;D xsi:type="xsd:double"&gt;0&lt;/D&gt;&lt;D xsi:type="xsd:double"&gt;0.5936384&lt;/D&gt;&lt;D xsi:type="xsd:double"&gt;1.5064359&lt;/D&gt;&lt;D xsi:type="xsd:double"&gt;1.9956946&lt;/D&gt;&lt;D xsi:type="xsd:double"&gt;-2.0719528&lt;/D&gt;&lt;D xsi:type="xsd:double"&gt;2.546823&lt;/D&gt;&lt;D xsi:type="xsd:double"&gt;-0.7323921&lt;/D&gt;&lt;D xsi:type="xsd:double"&gt;0.16930103&lt;/D&gt;&lt;D xsi:type="xsd:double"&gt;-3.6203623&lt;/D&gt;&lt;D xsi:type="xsd:double"&gt;-1.7304122&lt;/D&gt;&lt;D xsi:type="xsd:double"&gt;-0.07010102&lt;/D&gt;&lt;D xsi:type="xsd:double"&gt;0.32821894&lt;/D&gt;&lt;D xsi:type="xsd:double"&gt;1.282227&lt;/D&gt;&lt;D xsi:type="xsd:double"&gt;0.16989708&lt;/D&gt;&lt;D xsi:type="xsd:double"&gt;-1.8574715&lt;/D&gt;&lt;D xsi:type="xsd:double"&gt;-1.7528355&lt;/D&gt;&lt;D xsi:type="xsd:double"&gt;0.13122559&lt;/D&gt;&lt;D xsi:type="xsd:double"&gt;1.677835&lt;/D&gt;&lt;D xsi:type="xsd:double"&gt;0.9428024&lt;/D&gt;&lt;D xsi:type="xsd:double"&gt;0.43286085&lt;/D&gt;&lt;D xsi:type="xsd:double"&gt;-0.5180836&lt;/D&gt;&lt;D xsi:type="xsd:double"&gt;-0.9859741&lt;/D&gt;&lt;D xsi:type="xsd:double"&gt;0.009989738&lt;/D&gt;&lt;D xsi:type="xsd:double"&gt;-0.31879544&lt;/D&gt;&lt;D xsi:type="xsd:double"&gt;-0.0033140182&lt;/D&gt;&lt;D xsi:type="xsd:double"&gt;-0.22528768&lt;/D&gt;&lt;D xsi:type="xsd:double"&gt;-0.016570091&lt;/D&gt;&lt;D xsi:type="xsd:double"&gt;-0.56325793&lt;/D&gt;&lt;D xsi:type="xsd:double"&gt;1.2912035&lt;/D&gt;&lt;D xsi:type="xsd:double"&gt;0.21064281&lt;/D&gt;&lt;D xsi:type="xsd:double"&gt;-0.96685886&lt;/D&gt;&lt;D xsi:type="xsd:double"&gt;-0.20157099&lt;/D&gt;&lt;D xsi:type="xsd:double"&gt;-0.6663382&lt;/D&gt;&lt;D xsi:type="xsd:double"&gt;0.095283985&lt;/D&gt;&lt;D xsi:type="xsd:double"&gt;2.55754&lt;/D&gt;&lt;D xsi:type="xsd:double"&gt;2.07752&lt;/D&gt;&lt;D xsi:type="xsd:double"&gt;-0.80181956&lt;/D&gt;&lt;D xsi:type="xsd:double"&gt;-0.51596165&lt;/D&gt;&lt;D xsi:type="xsd:double"&gt;0.5975723&lt;/D&gt;&lt;D xsi:type="xsd:double"&gt;1.0489702&lt;/D&gt;&lt;D xsi:type="xsd:double"&gt;0.996685&lt;/D&gt;&lt;D xsi:type="xsd:double"&gt;0.178051&lt;/D&gt;&lt;D xsi:type="xsd:double"&gt;-0.6554961&lt;/D&gt;&lt;D xsi:type="xsd:double"&gt;-0.39038658&lt;/D&gt;&lt;D xsi:type="xsd:double"&gt;-0.020724535&lt;/D&gt;&lt;D xsi:type="xsd:double"&gt;1.0505676&lt;/D&gt;&lt;D xsi:type="xsd:double"&gt;-0.21244884&lt;/D&gt;&lt;D xsi:type="xsd:double"&gt;0.8075237&lt;/D&gt;&lt;D xsi:type="xsd:double"&gt;-0.03159046&lt;/D&gt;&lt;D xsi:type="xsd:double"&gt;-0.5549729&lt;/D&gt;&lt;D xsi:type="xsd:double"&gt;0.09782314&lt;/D&gt;&lt;D xsi:type="xsd:double"&gt;-0.11168122&lt;/D&gt;&lt;D xsi:type="xsd:double"&gt;-0.8683562&lt;/D&gt;&lt;D xsi:type="xsd:double"&gt;-0.21404624&lt;/D&gt;&lt;D xsi:type="xsd:double"&gt;1.2336612&lt;/D&gt;&lt;D xsi:type="xsd:double"&gt;1.6844392&lt;/D&gt;&lt;D xsi:type="xsd:double"&gt;0.74466467&lt;/D&gt;&lt;D xsi:type="xsd:double"&gt;0.83390474&lt;/D&gt;&lt;D xsi:type="xsd:double"&gt;-1.33214&lt;/D&gt;&lt;D xsi:type="xsd:double"&gt;-0.099635124&lt;/D&gt;&lt;D xsi:type="xsd:double"&gt;-0.52387714&lt;/D&gt;&lt;D xsi:type="xsd:double"&gt;0.5445242&lt;/D&gt;&lt;D xsi:type="xsd:double"&gt;1.319778&lt;/D&gt;&lt;D xsi:type="xsd:double"&gt;-0.22307038&lt;/D&gt;&lt;D xsi:type="xsd:double"&gt;0.18743277&lt;/D&gt;&lt;D xsi:type="xsd:double"&gt;-0.8966446&lt;/D&gt;&lt;D xsi:type="xsd:double"&gt;0.8175373&lt;/D&gt;&lt;D xsi:type="xsd:double"&gt;0.0036001205&lt;/D&gt;&lt;D xsi:type="xsd:double"&gt;2.2275329&lt;/D&gt;&lt;D xsi:type="xsd:double"&gt;0.25839806&lt;/D&gt;&lt;D xsi:type="xsd:double"&gt;-0.184232&lt;/D&gt;&lt;D xsi:type="xsd:double"&gt;0.99731684&lt;/D&gt;&lt;D xsi:type="xsd:double"&gt;1.3961315&lt;/D&gt;&lt;D xsi:type="xsd:double"&gt;-0.62620044&lt;/D&gt;&lt;D xsi:type="xsd:double"&gt;0.5334139&lt;/D&gt;&lt;D xsi:type="xsd:double"&gt;-0.0885129&lt;/D&gt;&lt;D xsi:type="xsd:double"&gt;1.0966063&lt;/D&gt;&lt;D xsi:type="xsd:double"&gt;1.2334824&lt;/D&gt;&lt;D xsi:type="xsd:double"&gt;-0.56343675&lt;/D&gt;&lt;D xsi:type="xsd:double"&gt;1.3676286&lt;/D&gt;&lt;D xsi:type="xsd:double"&gt;-0.37930608&lt;/D&gt;&lt;D xsi:type="xsd:double"&gt;-0.58872104&lt;/D&gt;&lt;D xsi:type="xsd:double"&gt;0.77552795&lt;/D&gt;&lt;D xsi:type="xsd:double"&gt;0.25268793&lt;/D&gt;&lt;D xsi:type="xsd:double"&gt;1.439333&lt;/D&gt;&lt;D xsi:type="xsd:double"&gt;0.4038453&lt;/D&gt;&lt;D xsi:type="xsd:double"&gt;-0.48854947&lt;/D&gt;&lt;D xsi:type="xsd:double"&gt;1.2041926&lt;/D&gt;&lt;D xsi:type="xsd:double"&gt;2.0674706&lt;/D&gt;&lt;D xsi:type="xsd:double"&gt;-0.6429434&lt;/D&gt;&lt;D xsi:type="xsd:double"&gt;-0.04041791&lt;/D&gt;&lt;D xsi:type="xsd:double"&gt;-0.913167&lt;/D&gt;&lt;D xsi:type="xsd:double"&gt;0.14840364&lt;/D&gt;&lt;D xsi:type="xsd:double"&gt;-0.8668363&lt;/D&gt;&lt;D xsi:type="xsd:double"&gt;-0.09136796&lt;/D&gt;&lt;D xsi:type="xsd:double"&gt;0.37482977&lt;/D&gt;&lt;D xsi:type="xsd:double"&gt;2.2882104&lt;/D&gt;&lt;D xsi:type="xsd:double"&gt;-0.5314827&lt;/D&gt;&lt;D xsi:type="xsd:double"&gt;1.382029&lt;/D&gt;&lt;D xsi:type="xsd:double"&gt;0.016450882&lt;/D&gt;&lt;D xsi:type="xsd:double"&gt;-0.8565128&lt;/D&gt;&lt;D xsi:type="xsd:double"&gt;-1.1968553&lt;/D&gt;&lt;D xsi:type="xsd:double"&gt;2.106738&lt;/D&gt;&lt;D xsi:type="xsd:double"&gt;1.6861916&lt;/D&gt;&lt;D xsi:type="xsd:double"&gt;-2.9362798&lt;/D&gt;&lt;D xsi:type="xsd:double"&gt;-0.3843367&lt;/D&gt;&lt;D xsi:type="xsd:double"&gt;-2.0914257&lt;/D&gt;&lt;D xsi:type="xsd:double"&gt;1.093185&lt;/D&gt;&lt;D xsi:type="xsd:double"&gt;1.3226748&lt;/D&gt;&lt;D xsi:type="xsd:double"&gt;-0.5327046&lt;/D&gt;&lt;D xsi:type="xsd:double"&gt;-1.6159773&lt;/D&gt;&lt;D xsi:type="xsd:double"&gt;-0.12689233&lt;/D&gt;&lt;D xsi:type="xsd:double"&gt;-0.13068914&lt;/D&gt;&lt;D xsi:type="xsd:double"&gt;-0.8053124&lt;/D&gt;&lt;D xsi:type="xsd:double"&gt;-2.8285682&lt;/D&gt;&lt;D xsi:type="xsd:double"&gt;0.16058683&lt;/D&gt;&lt;D xsi:type="xsd:double"&gt;0.15317202&lt;/D&gt;&lt;D xsi:type="xsd:double"&gt;1.5476108&lt;/D&gt;&lt;D xsi:type="xsd:double"&gt;-1.308608&lt;/D&gt;&lt;D xsi:type="xsd:double"&gt;0.8983135&lt;/D&gt;&lt;D xsi:type="xsd:double"&gt;-0.18550754&lt;/D&gt;&lt;D xsi:type="xsd:double"&gt;-0.7670462&lt;/D&gt;&lt;D xsi:type="xsd:double"&gt;0.47783852&lt;/D&gt;&lt;D xsi:type="xsd:double"&gt;1.5298009&lt;/D&gt;&lt;D xsi:type="xsd:double"&gt;-1.1218965&lt;/D&gt;&lt;D xsi:type="xsd:double"&gt;1.0081649&lt;/D&gt;&lt;D xsi:type="xsd:double"&gt;0.023448467&lt;/D&gt;&lt;D xsi:type="xsd:double"&gt;1.0266542&lt;/D&gt;&lt;D xsi:type="xsd:double"&gt;1.3405442&lt;/D&gt;&lt;D xsi:type="xsd:double"&gt;0.8230448&lt;/D&gt;&lt;D xsi:type="xsd:double"&gt;-0.48580766&lt;/D&gt;&lt;D xsi:type="xsd:double"&gt;2.7728438&lt;/D&gt;&lt;D xsi:type="xsd:double"&gt;2.7908564&lt;/D&gt;&lt;D xsi:type="xsd:double"&gt;1.6907454&lt;/D&gt;&lt;D xsi:type="xsd:double"&gt;-1.4410794&lt;/D&gt;&lt;D xsi:type="xsd:double"&gt;-0.524354&lt;/D&gt;&lt;D xsi:type="xsd:double"&gt;1.7818689&lt;/D&gt;&lt;D xsi:type="xsd:double"&gt;-1.3250709&lt;/D&gt;&lt;D xsi:type="xsd:double"&gt;-0.8923292&lt;/D&gt;&lt;D xsi:type="xsd:double"&gt;0.673759&lt;/D&gt;&lt;D xsi:type="xsd:double"&gt;2.4484515&lt;/D&gt;&lt;D xsi:type="xsd:double"&gt;-0.1603663&lt;/D&gt;&lt;D xsi:type="xsd:double"&gt;-2.6662111&lt;/D&gt;&lt;D xsi:type="xsd:double"&gt;-0.2818644&lt;/D&gt;&lt;D xsi:type="xsd:double"&gt;1.235044&lt;/D&gt;&lt;D xsi:type="xsd:double"&gt;-0.39873123&lt;/D&gt;&lt;D xsi:type="xsd:double"&gt;-0.58196187&lt;/D&gt;&lt;D xsi:type="xsd:double"&gt;2.0265102&lt;/D&gt;&lt;D xsi:type="xsd:double"&gt;-0.58174133&lt;/D&gt;&lt;D xsi:type="xsd:double"&gt;2.8101444&lt;/D&gt;&lt;D xsi:type="xsd:double"&gt;-1.8177927&lt;/D&gt;&lt;D xsi:type="xsd:double"&gt;2.1479368&lt;/D&gt;&lt;D xsi:type="xsd:double"&gt;-0.3647387&lt;/D&gt;&lt;D xsi:type="xsd:double"&gt;-2.6980817&lt;/D&gt;&lt;D xsi:type="xsd:double"&gt;-1.2956917&lt;/D&gt;&lt;D xsi:type="xsd:double"&gt;1.9623041&lt;/D&gt;&lt;D xsi:type="xsd:double"&gt;1.4804125&lt;/D&gt;&lt;D xsi:type="xsd:double"&gt;-2.3704946&lt;/D&gt;&lt;D xsi:type="xsd:double"&gt;0.54872036&lt;/D&gt;&lt;D xsi:type="xsd:double"&gt;-0.52875876&lt;/D&gt;&lt;D xsi:type="xsd:double"&gt;-2.6808321&lt;/D&gt;&lt;D xsi:type="xsd:double"&gt;-1.1567295&lt;/D&gt;&lt;D xsi:type="xsd:double"&gt;-0.16789436&lt;/D&gt;&lt;D xsi:type="xsd:double"&gt;0.20517111&lt;/D&gt;&lt;D xsi:type="xsd:double"&gt;-0.5265534&lt;/D&gt;&lt;D xsi:type="xsd:double"&gt;0.20450354&lt;/D&gt;&lt;D xsi:type="xsd:double"&gt;0.68775415&lt;/D&gt;&lt;D xsi:type="xsd:double"&gt;-0.38971305&lt;/D&gt;&lt;D xsi:type="xsd:double"&gt;0.5361557&lt;/D&gt;&lt;D xsi:type="xsd:double"&gt;0.11148453&lt;/D&gt;&lt;D xsi:type="xsd:double"&gt;0.07851124&lt;/D&gt;&lt;D xsi:type="xsd:double"&gt;-0.40740967&lt;/D&gt;&lt;D xsi:type="xsd:double"&gt;1.4571428&lt;/D&gt;&lt;D xsi:type="xsd:double"&gt;-0.058418512&lt;/D&gt;&lt;D xsi:type="xsd:double"&gt;3.3152223&lt;/D&gt;&lt;D xsi:type="xsd:double"&gt;-2.9171646&lt;/D&gt;&lt;D xsi:type="xsd:double"&gt;2.5890946&lt;/D&gt;&lt;D xsi:type="xsd:double"&gt;0.24533272&lt;/D&gt;&lt;D xsi:type="xsd:double"&gt;1.2198806&lt;/D&gt;&lt;D xsi:type="xsd:double"&gt;1.5844226&lt;/D&gt;&lt;D xsi:type="xsd:double"&gt;0.4356146&lt;/D&gt;&lt;D xsi:type="xsd:double"&gt;0.28082132&lt;/D&gt;&lt;D xsi:type="xsd:double"&gt;3.6499739&lt;/D&gt;&lt;D xsi:type="xsd:double"&gt;1.7822742&lt;/D&gt;&lt;D xsi:type="xsd:double"&gt;-0.17369986&lt;/D&gt;&lt;D xsi:type="xsd:double"&gt;-1.534617&lt;/D&gt;&lt;D xsi:type="xsd:double"&gt;0.65603256&lt;/D&gt;&lt;D xsi:type="xsd:double"&gt;-1.1770725&lt;/D&gt;&lt;D xsi:type="xsd:double"&gt;-0.969851&lt;/D&gt;&lt;D xsi:type="xsd:double"&gt;0.6092787&lt;/D&gt;&lt;D xsi:type="xsd:double"&gt;2.8456926&lt;/D&gt;&lt;D xsi:type="xsd:double"&gt;-2.5929272&lt;/D&gt;&lt;D xsi:type="xsd:double"&gt;0.09646416&lt;/D&gt;&lt;D xsi:type="xsd:double"&gt;-2.1266043&lt;/D&gt;&lt;D xsi:type="xsd:double"&gt;0.33382177&lt;/D&gt;&lt;D xsi:type="xsd:double"&gt;-1.1019409&lt;/D&gt;&lt;D xsi:type="xsd:double"&gt;-0.36007166&lt;/D&gt;&lt;D xsi:type="xsd:double"&gt;0.99214315&lt;/D&gt;&lt;D xsi:type="xsd:double"&gt;0.7827282&lt;/D&gt;&lt;D xsi:type="xsd:double"&gt;-1.3039172&lt;/D&gt;&lt;D xsi:type="xsd:double"&gt;0.6065011&lt;/D&gt;&lt;D xsi:type="xsd:double"&gt;1.8299103&lt;/D&gt;&lt;D xsi:type="xsd:double"&gt;-0.37826896&lt;/D&gt;&lt;D xsi:type="xsd:double"&gt;0.063848495&lt;/D&gt;&lt;D xsi:type="xsd:double"&gt;2.4050832&lt;/D&gt;&lt;D xsi:type="xsd:double"&gt;-0.032675266&lt;/D&gt;&lt;D xsi:type="xsd:double"&gt;0.44077635&lt;/D&gt;&lt;D xsi:type="xsd:double"&gt;1.301539&lt;/D&gt;&lt;D xsi:type="xsd:double"&gt;-0.6043434&lt;/D&gt;&lt;D xsi:type="xsd:double"&gt;-1.9489825&lt;/D&gt;&lt;D xsi:type="xsd:double"&gt;0.80264807&lt;/D&gt;&lt;D xsi:type="xsd:double"&gt;-0.032657385&lt;/D&gt;&lt;D xsi:type="xsd:double"&gt;0.056004524&lt;/D&gt;&lt;D xsi:type="xsd:double"&gt;-0.52467585&lt;/D&gt;&lt;D xsi:type="xsd:double"&gt;-0.388515&lt;/D&gt;&lt;D xsi:type="xsd:double"&gt;0.9996772&lt;/D&gt;&lt;D xsi:type="xsd:double"&gt;-0.53895116&lt;/D&gt;&lt;D xsi:type="xsd:double"&gt;0.6358981&lt;/D&gt;&lt;D xsi:type="xsd:double"&gt;0.004673004&lt;/D&gt;&lt;D xsi:type="xsd:double"&gt;1.7847776&lt;/D&gt;&lt;D xsi:type="xsd:double"&gt;-0.13308525&lt;/D&gt;&lt;D xsi:type="xsd:double"&gt;-0.9556532&lt;/D&gt;&lt;D xsi:type="xsd:double"&gt;0.6348252&lt;/D&gt;&lt;D xsi:type="xsd:double"&gt;-1.5760541&lt;/D&gt;&lt;D xsi:type="xsd:double"&gt;-1.27514&lt;/D&gt;&lt;D xsi:type="xsd:double"&gt;0.33254623&lt;/D&gt;&lt;D xsi:type="xsd:double"&gt;0.49664974&lt;/D&gt;&lt;D xsi:type="xsd:double"&gt;-0.51258206&lt;/D&gt;&lt;D xsi:type="xsd:double"&gt;2.6254773&lt;/D&gt;&lt;D xsi:type="xsd:double"&gt;-3.3792794&lt;/D&gt;&lt;D xsi:type="xsd:double"&gt;-2.3824453&lt;/D&gt;&lt;D xsi:type="xsd:double"&gt;0.1925826&lt;/D&gt;&lt;D xsi:type="xsd:double"&gt;3.1886816&lt;/D&gt;&lt;D xsi:type="xsd:double"&gt;4.8248887&lt;/D&gt;&lt;D xsi:type="xsd:double"&gt;2.026391&lt;/D&gt;&lt;D xsi:type="xsd:double"&gt;-0.06914735&lt;/D&gt;&lt;D xsi:type="xsd:double"&gt;-1.099062&lt;/D&gt;&lt;/FQL&gt;&lt;FQL&gt;&lt;Q&gt;MSFT-US^JULIAN(FG_PRICE(45961,45961-5AY,,USD).DATES)&lt;/Q&gt;&lt;R&gt;1257&lt;/R&gt;&lt;C&gt;1&lt;/C&gt;&lt;D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</t>
        </r>
      </text>
    </comment>
    <comment ref="A4" authorId="0" shapeId="0" xr:uid="{4949C84A-4A9A-4BA1-B381-FD75C2536B1F}">
      <text>
        <r>
          <rPr>
            <b/>
            <sz val="9"/>
            <color indexed="81"/>
            <rFont val="Tahoma"/>
            <charset val="1"/>
          </rPr>
          <t>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xsi:type="xsd:long"&gt;45769&lt;/D&gt;&lt;D xsi:type="xsd:long"&gt;45768&lt;/D&gt;&lt;D xsi:type="xsd:long"&gt;45764&lt;/D&gt;&lt;D xsi:type="xsd:long"&gt;45763&lt;/D&gt;&lt;D xsi:type="xsd:long"&gt;45762&lt;/D&gt;&lt;D xsi:type="xsd:long"&gt;45761&lt;/D&gt;&lt;D xsi:type="xsd:long"&gt;45758&lt;/D&gt;&lt;D xsi:type="xsd:long"&gt;45757&lt;/D&gt;&lt;D xsi:type="xsd:long"&gt;45756&lt;/D&gt;&lt;D xsi:type="xsd:long"&gt;45755&lt;/D&gt;&lt;D xsi:type="xsd:long"&gt;45754&lt;/D&gt;&lt;D xsi:type="xsd:long"&gt;45751&lt;/D&gt;&lt;D xsi:type="xsd:long"&gt;45750&lt;/D&gt;&lt;D xsi:type="xsd:long"&gt;45749&lt;/D&gt;&lt;D xsi:type="xsd:long"&gt;45748&lt;/D&gt;&lt;D xsi:type="xsd:long"&gt;45747&lt;/D&gt;&lt;D xsi:type="xsd:long"&gt;45744&lt;/D&gt;&lt;D xsi:type="xsd:long"&gt;45743&lt;/D&gt;&lt;D xsi:type="xsd:long"&gt;45742&lt;/D&gt;&lt;D xsi:type="xsd:long"&gt;45741&lt;/D&gt;&lt;D xsi:type="xsd:long"&gt;45740&lt;/D&gt;&lt;D xsi:type="xsd:long"&gt;45737&lt;/D&gt;&lt;D xsi:type="xsd:long"&gt;45736&lt;/D&gt;&lt;D xsi:type="xsd:long"&gt;45735&lt;/D&gt;&lt;D xsi:type="xsd:long"&gt;45734&lt;/D&gt;&lt;D xsi:type="xsd:long"&gt;45733&lt;/D&gt;&lt;D xsi:type="xsd:long"&gt;45730&lt;/D&gt;&lt;D xsi:type="xsd:long"&gt;45729&lt;/D&gt;&lt;D xsi:type="xsd:long"&gt;45728&lt;/D&gt;&lt;D xsi:type="xsd:long"&gt;45727&lt;/D&gt;&lt;D xsi:type="xsd:long"&gt;45726&lt;/D&gt;&lt;D xsi:type="xsd:long"&gt;45723&lt;/D&gt;&lt;D xsi:type="xsd:long"&gt;45722&lt;/D&gt;&lt;D xsi:type="xsd:long"&gt;45721&lt;/D&gt;&lt;D xsi:type="xsd:long"&gt;45720&lt;/D&gt;&lt;D xsi:type="xsd:long"&gt;45719&lt;/D&gt;&lt;D xsi:type="xsd:long"&gt;45716&lt;/D&gt;&lt;D xsi:type="xsd:long"&gt;45715&lt;/D&gt;&lt;D xsi:type="xsd:long"&gt;45714&lt;/D&gt;&lt;D xsi:type="xsd:long"&gt;45713&lt;/D&gt;&lt;D xsi:type="xsd:long"&gt;45712&lt;/D&gt;&lt;D xsi:type="xsd:long"&gt;45709&lt;/D&gt;&lt;D xsi:type="xsd:long"&gt;45708&lt;/D&gt;&lt;D xsi:type="xsd:long"&gt;45707&lt;/D&gt;&lt;D xsi:type="xsd:long"&gt;45706&lt;/D&gt;&lt;D xsi:type="xsd:long"&gt;45702&lt;/D&gt;&lt;D xsi:type="xsd:long"&gt;45701&lt;/D&gt;&lt;D xsi:type="xsd:long"&gt;45700&lt;/D&gt;&lt;D xsi:type="xsd:long"&gt;45699&lt;/D&gt;&lt;D xsi:type="xsd:long"&gt;45698&lt;/D&gt;&lt;D xsi:type="xsd:long"&gt;45695&lt;/D&gt;&lt;D xsi:type="xsd:long"&gt;45694&lt;/D&gt;&lt;D xsi:type="xsd:long"&gt;45693&lt;/D&gt;&lt;D xsi:type="xsd:long"&gt;45692&lt;/D&gt;&lt;D xsi:type="xsd:long"&gt;45691&lt;/D&gt;&lt;D xsi:type="xsd:long"&gt;45688&lt;/D&gt;&lt;D xsi:type="xsd:long"&gt;45687&lt;/D&gt;&lt;D xsi:type="xsd:long"&gt;45686&lt;/D&gt;&lt;D xsi:type="xsd:long"&gt;45685&lt;/D&gt;&lt;D xsi:type="xsd:long"&gt;45684&lt;/D&gt;&lt;D xsi:type="xsd:long"&gt;45681&lt;/D&gt;&lt;D xsi:type="xsd:long"&gt;45680&lt;/D&gt;&lt;D xsi:type="xsd:long"&gt;45679&lt;/D&gt;&lt;D xsi:type="xsd:long"&gt;45678&lt;/D&gt;&lt;D xsi:type="xsd:long"&gt;45674&lt;/D&gt;&lt;D xsi:type="xsd:long"&gt;45673&lt;/D&gt;&lt;D xsi:type="xsd:long"&gt;45672&lt;/D&gt;&lt;D xsi:type="xsd:long"&gt;45671&lt;/D&gt;&lt;D xsi:type="xsd:long"&gt;45670&lt;/D&gt;&lt;D xsi:type="xsd:long"&gt;45667&lt;/D&gt;&lt;D xsi:type="xsd:long"&gt;45665&lt;/D&gt;&lt;D xsi:type="xsd:long"&gt;45664&lt;/D&gt;&lt;D xsi:type="xsd:long"&gt;45663&lt;/D&gt;&lt;D xsi:type="xsd:long"&gt;45660&lt;/D&gt;&lt;D xsi:type="xsd:long"&gt;45659&lt;/D&gt;&lt;D xsi:type="xsd:long"&gt;45657&lt;/D&gt;&lt;D xsi:type="xsd:long"&gt;45656&lt;/D&gt;&lt;D xsi:type="xsd:long"&gt;45653&lt;/D&gt;&lt;D xsi:type="xsd:long"&gt;45652&lt;/D&gt;&lt;D xsi:type="xsd:long"&gt;45650&lt;/D&gt;&lt;D xsi:type="xsd:long"&gt;45649&lt;/D&gt;&lt;D xsi:type="xsd:long"&gt;45646&lt;/D&gt;&lt;D xsi:type="xsd:long"&gt;45645&lt;/D&gt;&lt;D xsi:type="xsd:long"&gt;45644&lt;/D&gt;&lt;D xsi:type="xsd:long"&gt;45643&lt;/D&gt;&lt;D xsi:type="xsd:long"&gt;45642&lt;/D&gt;&lt;D xsi:type="xsd:long"&gt;45639&lt;/D&gt;&lt;D xsi:type="xsd:long"&gt;45638&lt;/D&gt;&lt;D xsi:type="xsd:long"&gt;45637&lt;/D&gt;&lt;D xsi:type="xsd:long"&gt;45636&lt;/D&gt;&lt;D xsi:type="xsd:long"&gt;45635&lt;/D&gt;&lt;D xsi:type="xsd:long"&gt;45632&lt;/D&gt;&lt;D xsi:type="xsd:long"&gt;45631&lt;/D&gt;&lt;D xsi:type="xsd:long"&gt;45630&lt;/D&gt;&lt;D xsi:type="xsd:long"&gt;45629&lt;/D&gt;&lt;D xsi:type="xsd:long"&gt;45628&lt;/D&gt;&lt;D xsi:type="xsd:long"&gt;45625&lt;/D&gt;&lt;D xsi:type="xsd:long"&gt;45623&lt;/D&gt;&lt;D xsi:type="xsd:long"&gt;45622&lt;/D&gt;&lt;D xsi:type="xsd:long"&gt;45621&lt;/D&gt;&lt;D xsi:type="xsd:long"&gt;45618&lt;/D&gt;&lt;D xsi:type="xsd:long"&gt;45617&lt;/D&gt;&lt;D xsi:type="xsd:long"&gt;45616&lt;/D&gt;&lt;D xsi:type="xsd:long"&gt;45615&lt;/D&gt;&lt;D xsi:type="xsd:long"&gt;45614&lt;/D&gt;&lt;D xsi:type="xsd:long"&gt;45611&lt;/D&gt;&lt;D xsi:type="xsd:long"&gt;45610&lt;/D&gt;&lt;D xsi:type="xsd:long"&gt;45609&lt;/D&gt;&lt;D xsi:type="xsd:long"&gt;45608&lt;/D&gt;&lt;D xsi:type="xsd:long"&gt;45607&lt;/D&gt;&lt;D xsi:type="xsd:long"&gt;45604&lt;/D&gt;&lt;D xsi:type="xsd:long"&gt;45603&lt;/D&gt;&lt;D xsi:type="xsd:long"&gt;45602&lt;/D&gt;&lt;D xsi:type="xsd:long"&gt;45601&lt;/D&gt;&lt;D xsi:type="xsd:long"&gt;45600&lt;/D&gt;&lt;D xsi:type="xsd:long"&gt;45597&lt;/D&gt;&lt;D xsi:type="xsd:long"&gt;45596&lt;/D&gt;&lt;D xsi:type="xsd:long"&gt;45595&lt;/D&gt;&lt;D xsi:type="xsd:long"&gt;45594&lt;/D&gt;&lt;D xsi:type="xsd:long"&gt;45593&lt;/D&gt;&lt;D xsi:type="xsd:long"&gt;45590&lt;/D&gt;&lt;D xsi:type="xsd:long"&gt;45589&lt;/D&gt;&lt;D xsi:type="xsd:long"&gt;45588&lt;/D&gt;&lt;D xsi:type="xsd:long"&gt;45587&lt;/D&gt;&lt;D xsi:type="xsd:long"&gt;45586&lt;/D&gt;&lt;D xsi:type="xsd:long"&gt;45583&lt;/D&gt;&lt;D xsi:type="xsd:long"&gt;45582&lt;/D&gt;&lt;D xsi:type="xsd:long"&gt;45581&lt;/D&gt;&lt;D xsi:type="xsd:long"&gt;45580&lt;/D&gt;&lt;D xsi:type="xsd:long"&gt;45579&lt;/D&gt;&lt;D xsi:type="xsd:long"&gt;45576&lt;/D&gt;&lt;D xsi:type="xsd:long"&gt;45575&lt;/D&gt;&lt;D xsi:type="xsd:long"&gt;45574&lt;/D&gt;&lt;D xsi:type="xsd:long"&gt;45573&lt;/D&gt;&lt;D xsi:type="xsd:long"&gt;45572&lt;/D&gt;&lt;D xsi:type="xsd:long"&gt;45569&lt;/D&gt;&lt;D xsi:type="xsd:long"&gt;45568&lt;/D&gt;&lt;D xsi:type="xsd:long"&gt;45567&lt;/D&gt;&lt;D xsi:type="xsd:long"&gt;45566&lt;/D&gt;&lt;D xsi:type="xsd:long"&gt;45565&lt;/D&gt;&lt;D xsi:type="xsd:long"&gt;45562&lt;/D&gt;&lt;D xsi:type="xsd:long"&gt;45561&lt;/D&gt;&lt;D xsi:type="xsd:long"&gt;45560&lt;/D&gt;&lt;D xsi:type="xsd:long"&gt;45559&lt;/D&gt;&lt;D xsi:type="xsd:long"&gt;45558&lt;/D&gt;&lt;D xsi:type="xsd:long"&gt;45555&lt;/D&gt;&lt;D xsi:type="xsd:long"&gt;45554&lt;/D&gt;&lt;D xsi:type="xsd:long"&gt;45553&lt;/D&gt;&lt;D xsi:type="xsd:long"&gt;45552&lt;/D&gt;&lt;D xsi:type="xsd:long"&gt;45551&lt;/D&gt;&lt;D xsi:type="xsd:long"&gt;45548&lt;/D&gt;&lt;D xsi:type="xsd:long"&gt;45547&lt;/D&gt;&lt;D xsi:type="xsd:long"&gt;45546&lt;/D&gt;&lt;D xsi:type="xsd:long"&gt;45545&lt;/D&gt;&lt;D xsi:type="xsd:long"&gt;45544&lt;/D&gt;&lt;D xsi:type="xsd:long"&gt;45541&lt;/D&gt;&lt;D xsi:type="xsd:long"&gt;45540&lt;/D&gt;&lt;D xsi:type="xsd:long"&gt;45539&lt;/D&gt;&lt;D xsi:type="xsd:long"&gt;45538&lt;/D&gt;&lt;D xsi:type="xsd:long"&gt;45534&lt;/D&gt;&lt;D xsi:type="xsd:long"&gt;45533&lt;/D&gt;&lt;D xsi:type="xsd:long"&gt;45532&lt;/D&gt;&lt;D xsi:type="xsd:long"&gt;45531&lt;/D&gt;&lt;D xsi:type="xsd:long"&gt;45530&lt;/D&gt;&lt;D xsi:type="xsd:long"&gt;45527&lt;/D&gt;&lt;D xsi:type="xsd:long"&gt;45526&lt;/D&gt;&lt;D xsi:type="xsd:long"&gt;45525&lt;/D&gt;&lt;D xsi:type="xsd:long"&gt;45524&lt;/D&gt;&lt;D xsi:type="xsd:long"&gt;45523&lt;/D&gt;&lt;D xsi:type="xsd:long"&gt;45520&lt;/D&gt;&lt;D xsi:type="xsd:long"&gt;45519&lt;/D&gt;&lt;D xsi:type="xsd:long"&gt;45518&lt;/D&gt;&lt;D xsi:type="xsd:long"&gt;45517&lt;/D&gt;&lt;D xsi:type="xsd:long"&gt;45516&lt;/D&gt;&lt;D xsi:type="xsd:long"&gt;45513&lt;/D&gt;&lt;D xsi:type="xsd:long"&gt;45512&lt;/D&gt;&lt;D xsi:type="xsd:long"&gt;45511&lt;/D&gt;&lt;D xsi:type="xsd:long"&gt;45510&lt;/D&gt;&lt;D xsi:type="xsd:long"&gt;45509&lt;/D&gt;&lt;D xsi:type="xsd:long"&gt;45506&lt;/D&gt;&lt;D xsi:type="xsd:long"&gt;45505&lt;/D&gt;&lt;D xsi:type="xsd:long"&gt;45504&lt;/D&gt;&lt;D xsi:type="xsd:long"&gt;45503&lt;/D&gt;&lt;D xsi:type="xsd:long"&gt;45502&lt;/D&gt;&lt;D xsi:type="xsd:long"&gt;45499&lt;/D&gt;&lt;D xsi:type="xsd:long"&gt;45498&lt;/D&gt;&lt;D xsi:type="xsd:long"&gt;45497&lt;/D&gt;&lt;D xsi:type="xsd:long"&gt;45496&lt;/D&gt;&lt;D xsi:type="xsd:long"&gt;45495&lt;/D&gt;&lt;D xsi:type="xsd:long"&gt;45492&lt;/D&gt;&lt;D xsi:type="xsd:long"&gt;45491&lt;/D&gt;&lt;D xsi:type="xsd:long"&gt;45490&lt;/D&gt;&lt;D xsi:type="xsd:long"&gt;45489&lt;/D&gt;&lt;D xsi:type="xsd:long"&gt;45488&lt;/D&gt;&lt;D xsi:type="xsd:long"&gt;45485&lt;/D&gt;&lt;D xsi:type="xsd:long"&gt;45484&lt;/D&gt;&lt;D xsi:type="xsd:long"&gt;45483&lt;/D&gt;&lt;D xsi:type="xsd:long"&gt;45482&lt;/D&gt;&lt;D xsi:type="xsd:long"&gt;45481&lt;/D&gt;&lt;D xsi:type="xsd:long"&gt;45478&lt;/D&gt;&lt;D xsi:type="xsd:long"&gt;45476&lt;/D&gt;&lt;D xsi:type="xsd:long"&gt;45475&lt;/D&gt;&lt;D xsi:type="xsd:long"&gt;45474&lt;/D&gt;&lt;D xsi:type="xsd:long"&gt;45471&lt;/D&gt;&lt;D xsi:type="xsd:long"&gt;45470&lt;/D&gt;&lt;D xsi:type="xsd:long"&gt;45469&lt;/D&gt;&lt;D xsi:type="xsd:long"&gt;45468&lt;/D&gt;&lt;D xsi:type="xsd:long"&gt;45467&lt;/D&gt;&lt;D xsi:type="xsd:long"&gt;45464&lt;/D&gt;&lt;D xsi:type="xsd:long"&gt;45463&lt;/D&gt;&lt;D xsi:type="xsd:long"&gt;45461&lt;/D&gt;&lt;D xsi:type="xsd:long"&gt;45460&lt;/D&gt;&lt;D xsi:type="xsd:long"&gt;45457&lt;/D&gt;&lt;D xsi:type="xsd:long"&gt;45456&lt;/D&gt;&lt;D xsi:type="xsd:long"&gt;45455&lt;/D&gt;&lt;D xsi:type="xsd:long"&gt;45454&lt;/D&gt;&lt;D xsi:type="xsd:long"&gt;45453&lt;/D&gt;&lt;D xsi:type="xsd:long"&gt;45450&lt;/D&gt;&lt;D xsi:type="xsd:long"&gt;45449&lt;/D&gt;&lt;D xsi:type="xsd:long"&gt;45448&lt;/D&gt;&lt;D xsi:type="xsd:long"&gt;45447&lt;/D&gt;&lt;D xsi:type="xsd:long"&gt;45446&lt;/D&gt;&lt;D xsi:type="xsd:long"&gt;45443&lt;/D&gt;&lt;D xsi:type="xsd:long"&gt;45442&lt;/D&gt;&lt;D xsi:type="xsd:long"&gt;45441&lt;/D&gt;&lt;D xsi:type="xsd:long"&gt;45440&lt;/D&gt;&lt;D xsi:type="xsd:long"&gt;45436&lt;/D&gt;&lt;D xsi:type="xsd:long"&gt;45435&lt;/D&gt;&lt;D xsi:type="xsd:long"&gt;45434&lt;/D&gt;&lt;D xsi:type="xsd:long"&gt;45433&lt;/D&gt;&lt;D xsi:type="xsd:long"&gt;45432&lt;/D&gt;&lt;D xsi:type="xsd:long"&gt;45429&lt;/D&gt;&lt;D xsi:type="xsd:long"&gt;45428&lt;/D&gt;&lt;D xsi:type="xsd:long"&gt;45427&lt;/D&gt;&lt;D xsi:type="xsd:long"&gt;45426&lt;/D&gt;&lt;D xsi:type="xsd:long"&gt;45425&lt;/D&gt;&lt;D xsi:type="xsd:long"&gt;45422&lt;/D&gt;&lt;D xsi:type="xsd:long"&gt;45421&lt;/D&gt;&lt;D xsi:type="xsd:long"&gt;45420&lt;/D&gt;&lt;D xsi:type="xsd:long"&gt;45419&lt;/D&gt;&lt;D xsi:type="xsd:long"&gt;45418&lt;/D&gt;&lt;D xsi:type="xsd:long"&gt;45415&lt;/D&gt;&lt;D xsi:type="xsd:long"&gt;45414&lt;/D&gt;&lt;D xsi:type="xsd:long"&gt;45413&lt;/D&gt;&lt;D xsi:type="xsd:long"&gt;45412&lt;/D&gt;&lt;D xsi:type="xsd:long"&gt;45411&lt;/D&gt;&lt;D xsi:type="xsd:long"&gt;45408&lt;/D&gt;&lt;D xsi:type="xsd:long"&gt;45407&lt;/D&gt;&lt;D xsi:type="xsd:long"&gt;45406&lt;/D&gt;&lt;D xsi:type="xsd:long"&gt;45405&lt;/D&gt;&lt;D xsi:type="xsd:long"&gt;45404&lt;/D&gt;&lt;D xsi:type="xsd:long"&gt;45401&lt;/D&gt;&lt;D xsi:type="xsd:long"&gt;45400&lt;/D&gt;&lt;D xsi:type="xsd:long"&gt;45399&lt;/D&gt;&lt;D xsi:type="xsd:long"&gt;45398&lt;/D&gt;&lt;D xsi:type="xsd:long"&gt;45397&lt;/D&gt;&lt;D xsi:type="xsd:long"&gt;45394&lt;/D&gt;&lt;D xsi:type="xsd:long"&gt;45393&lt;/D&gt;&lt;D xsi:type="xsd:long"&gt;45392&lt;/D&gt;&lt;D xsi:type="xsd:long"&gt;45391&lt;/D&gt;&lt;D xsi:type="xsd:long"&gt;45390&lt;/D&gt;&lt;D xsi:type="xsd:long"&gt;45387&lt;/D&gt;&lt;D xsi:type="xsd:long"&gt;45386&lt;/D&gt;&lt;D xsi:type="xsd:long"&gt;45385&lt;/D&gt;&lt;D xsi:type="xsd:long"&gt;45384&lt;/D&gt;&lt;D xsi:type="xsd:long"&gt;45383&lt;/D&gt;&lt;D xsi:type="xsd:long"&gt;45379&lt;/D&gt;&lt;D xsi:type="xsd:long"&gt;45378&lt;/D&gt;&lt;D xsi:type="xsd:long"&gt;45377&lt;/D&gt;&lt;D xsi:type="xsd:long"&gt;45376&lt;/D&gt;&lt;D xsi:type="xsd:long"&gt;45373&lt;/D&gt;&lt;D xsi:type="xsd:long"&gt;45372&lt;/D&gt;&lt;D xsi:type="xsd:long"&gt;45371&lt;/D&gt;&lt;D xsi:type="xsd:long"&gt;45370&lt;/D&gt;&lt;D xsi:type="xsd:long"&gt;45369&lt;/D&gt;&lt;D xsi:type="xsd:long"&gt;45366&lt;/D&gt;&lt;D xsi:type="xsd:long"&gt;45365&lt;/D&gt;&lt;D xsi:type="xsd:long"&gt;45364&lt;/D&gt;&lt;D xsi:type="xsd:long"&gt;45363&lt;/D&gt;&lt;D xsi:type="xsd:long"&gt;45362&lt;/D&gt;&lt;D xsi:type="xsd:long"&gt;45359&lt;/D&gt;&lt;D xsi:type="xsd:long"&gt;45358&lt;/D&gt;&lt;D xsi:type="xsd:long"&gt;45357&lt;/D&gt;&lt;D xsi:type="xsd:long"&gt;45356&lt;/D&gt;&lt;D xsi:type="xsd:long"&gt;45355&lt;/D&gt;&lt;D xsi:type="xsd:long"&gt;45352&lt;/D&gt;&lt;D xsi:type="xsd:long"&gt;45351&lt;/D&gt;&lt;D xsi:type="xsd:long"&gt;45350&lt;/D&gt;&lt;D xsi:type="xsd:long"&gt;45349&lt;/D&gt;&lt;D xsi:type="xsd:long"&gt;45348&lt;/D&gt;&lt;D xsi:type="xsd:long"&gt;45345&lt;/D&gt;&lt;D xsi:type="xsd:long"&gt;45344&lt;/D&gt;&lt;D xsi:type="xsd:long"&gt;45343&lt;/D&gt;&lt;D xsi:type="xsd:long"&gt;45342&lt;/D&gt;&lt;D xsi:type="xsd:long"&gt;45338&lt;/D&gt;&lt;D xsi:type="xsd:long"&gt;45337&lt;/D&gt;&lt;D xsi:type="xsd:long"&gt;45336&lt;/D&gt;&lt;D xsi:type="xsd:long"&gt;45335&lt;/D&gt;&lt;D xsi:type="xsd:long"&gt;45334&lt;/D&gt;&lt;D xsi:type="xsd:long"&gt;45331&lt;/D&gt;&lt;D xsi:type="xsd:long"&gt;45330&lt;/D&gt;&lt;D xsi:type="xsd:long"&gt;45329&lt;/D&gt;&lt;D xsi:type="xsd:long"&gt;45328&lt;/D&gt;&lt;D xsi:type="xsd:long"&gt;45327&lt;/D&gt;&lt;D xsi:type="xsd:long"&gt;45324&lt;/D&gt;&lt;D xsi:type="xsd:long"&gt;45323&lt;/D&gt;&lt;D xsi:type="xsd:long"&gt;45322&lt;/D&gt;&lt;D xsi:type="xsd:long"&gt;45321&lt;/D&gt;&lt;D xsi:type="xsd:long"&gt;45320&lt;/D&gt;&lt;D xsi:type="xsd:long"&gt;45317&lt;/D&gt;&lt;D xsi:type="xsd:long"&gt;45316&lt;/D&gt;&lt;D xsi:type="xsd:long"&gt;45315&lt;/D&gt;&lt;D xsi:type="xsd:long"&gt;45314&lt;/D&gt;&lt;D xsi:type="xsd:long"&gt;45313&lt;/D&gt;&lt;D xsi:type="xsd:long"&gt;45310&lt;/D&gt;&lt;D xsi:type="xsd:long"&gt;45309&lt;/D&gt;&lt;D xsi:type="xsd:long"&gt;45308&lt;/D&gt;&lt;D xsi:type="xsd:long"&gt;45307&lt;/D&gt;&lt;D xsi:type="xsd:long"&gt;45303&lt;/D&gt;&lt;D xsi:type="xsd:long"&gt;45302&lt;/D&gt;&lt;D xsi:type="xsd:long"&gt;45301&lt;/D&gt;&lt;D xsi:type="xsd:long"&gt;45300&lt;/D&gt;&lt;D xsi:type="xsd:long"&gt;45299&lt;/D&gt;&lt;D xsi:type="xsd:long"&gt;45296&lt;/D&gt;&lt;D xsi:type="xsd:long"&gt;45295&lt;/D&gt;&lt;D xsi:type="xsd:long"&gt;45294&lt;/D&gt;&lt;D xsi:type="xsd:long"&gt;45293&lt;/D&gt;&lt;D xsi:type="xsd:long"&gt;45289&lt;/D&gt;&lt;D xsi:type="xsd:long"&gt;45288&lt;/D&gt;&lt;D xsi:type="xsd:long"&gt;45287&lt;/D&gt;&lt;D xsi:type="xsd:long"&gt;45286&lt;/D&gt;&lt;D xsi:type="xsd:long"&gt;45282&lt;/D&gt;&lt;D xsi:type="xsd:long"&gt;45281&lt;/D&gt;&lt;D xsi:type="xsd:long"&gt;45280&lt;/D&gt;&lt;D xsi:type="xsd:long"&gt;45279&lt;/D&gt;&lt;D xsi:type="xsd:long"&gt;45278&lt;/D&gt;&lt;D xsi:type="xsd:long"&gt;45275&lt;/D&gt;&lt;D xsi:type="xsd:long"&gt;45274&lt;/D&gt;&lt;D xsi:type="xsd:long"&gt;45273&lt;/D&gt;&lt;D xsi:type="xsd:long"&gt;45272&lt;/D&gt;&lt;D xsi:type="xsd:long"&gt;45271&lt;/D&gt;&lt;D xsi:type="xsd:long"&gt;45268&lt;/D&gt;&lt;D xsi:type="xsd:long"&gt;45267&lt;/D&gt;&lt;D xsi:type="xsd:long"&gt;45266&lt;/D&gt;&lt;D xsi:type="xsd:long"&gt;45265&lt;/D&gt;&lt;D xsi:type="xsd:long"&gt;45264&lt;/D&gt;&lt;D xsi:type="xsd:long"&gt;45261&lt;/D&gt;&lt;D xsi:type="xsd:long"&gt;45260&lt;/D&gt;&lt;D xsi:type="xsd:long"&gt;45259&lt;/D&gt;&lt;D xsi:type="xsd:long"&gt;45258&lt;/D&gt;&lt;D xsi:type="xsd:long"&gt;45257&lt;/D&gt;&lt;D xsi:type="xsd:long"&gt;45254&lt;/D&gt;&lt;D xsi:type="xsd:long"&gt;45252&lt;/D&gt;&lt;D xsi:type="xsd:long"&gt;45251&lt;/D&gt;&lt;D xsi:type="xsd:long"&gt;45250&lt;/D&gt;&lt;D xsi:type="xsd:long"&gt;45247&lt;/D&gt;&lt;D xsi:type="xsd:long"&gt;45246&lt;/D&gt;&lt;D xsi:type="xsd:long"&gt;45245&lt;/D&gt;&lt;D xsi:type="xsd:long"&gt;45244&lt;/D&gt;&lt;D xsi:type="xsd:long"&gt;45243&lt;/D&gt;&lt;D xsi:type="xsd:long"&gt;45240&lt;/D&gt;&lt;D xsi:type="xsd:long"&gt;45239&lt;/D&gt;&lt;D xsi:type="xsd:long"&gt;45238&lt;/D&gt;&lt;D xsi:type="xsd:long"&gt;45237&lt;/D&gt;&lt;D xsi:type="xsd:long"&gt;45236&lt;/D&gt;&lt;D xsi:type="xsd:long"&gt;45233&lt;/D&gt;&lt;D xsi:type="xsd:long"&gt;45232&lt;/D&gt;&lt;D xsi:type="xsd:long"&gt;45231&lt;/D&gt;&lt;D xsi:type="xsd:long"&gt;45230&lt;/D&gt;&lt;D xsi:type="xsd:long"&gt;45229&lt;/D&gt;&lt;D xsi:type="xsd:long"&gt;45226&lt;/D&gt;&lt;D xsi:type="xsd:long"&gt;45225&lt;/D&gt;&lt;D xsi:type="xsd:long"&gt;45224&lt;/D&gt;&lt;D xsi:type="xsd:long"&gt;45223&lt;/D&gt;&lt;D xsi:type="xsd:long"&gt;45222&lt;/D&gt;&lt;D xsi:type="xsd:long"&gt;45219&lt;/D&gt;&lt;D xsi:type="xsd:long"&gt;45218&lt;/D&gt;&lt;D xsi:type="xsd:long"&gt;45217&lt;/D&gt;&lt;D xsi:type="xsd:long"&gt;45216&lt;/D&gt;&lt;D xsi:type="xsd:long"&gt;45215&lt;/D&gt;&lt;D xsi:type="xsd:long"&gt;45212&lt;/D&gt;&lt;D xsi:type="xsd:long"&gt;45211&lt;/D&gt;&lt;D xsi:type="xsd:long"&gt;45210&lt;/D&gt;&lt;D xsi:type="xsd:long"&gt;45209&lt;/D&gt;&lt;D xsi:type="xsd:long"&gt;45208&lt;/D&gt;&lt;D xsi:type="xsd:long"&gt;45205&lt;/D&gt;&lt;D xsi:type="xsd:long"&gt;45204&lt;/D&gt;&lt;D xsi:type="xsd:long"&gt;45203&lt;/D&gt;&lt;D xsi:type="xsd:long"&gt;45202&lt;/D&gt;&lt;D xsi:type="xsd:long"&gt;45201&lt;/D&gt;&lt;D xsi:type="xsd:long"&gt;45198&lt;/D&gt;&lt;D xsi:type="xsd:long"&gt;45197&lt;/D&gt;&lt;D xsi:type="xsd:long"&gt;45196&lt;/D&gt;&lt;D xsi:type="xsd:long"&gt;45195&lt;/D&gt;&lt;D xsi:type="xsd:long"&gt;45194&lt;/D&gt;&lt;D xsi:type="xsd:long"&gt;45191&lt;/D&gt;&lt;D xsi:type="xsd:long"&gt;45190&lt;/D&gt;&lt;D xsi:type="xsd:long"&gt;45189&lt;/D&gt;&lt;D xsi:type="xsd:long"&gt;45188&lt;/D&gt;&lt;D xsi:type="xsd:long"&gt;45187&lt;/D&gt;&lt;D xsi:type="xsd:long"&gt;45184&lt;/D&gt;&lt;D xsi:type="xsd:long"&gt;45183&lt;/D&gt;&lt;D xsi:type="xsd:long"&gt;45182&lt;/D&gt;&lt;D xsi:type="xsd:long"&gt;45181&lt;/D&gt;&lt;D xsi:type="xsd:long"&gt;45180&lt;/D&gt;&lt;D xsi:type="xsd:long"&gt;45177&lt;/D&gt;&lt;D xsi:type="xsd:long"&gt;45176&lt;/D&gt;&lt;D xsi:type="xsd:long"&gt;45175&lt;/D&gt;&lt;D xsi:type="xsd:long"&gt;45174&lt;/D&gt;&lt;D xsi:type="xsd:long"&gt;45170&lt;/D&gt;&lt;D xsi:type="xsd:long"&gt;45169&lt;/D&gt;&lt;D xsi:type="xsd:long"&gt;45168&lt;/D&gt;&lt;D xsi:type="xsd:long"&gt;45167&lt;/D&gt;&lt;D xsi:type="xsd:long"&gt;45166&lt;/D&gt;&lt;D xsi:type="xsd:long"&gt;45163&lt;/D&gt;&lt;D xsi:type="xsd:long"&gt;45162&lt;/D&gt;&lt;D xsi:type="xsd:long"&gt;45161&lt;/D&gt;&lt;D xsi:type="xsd:long"&gt;45160&lt;/D&gt;&lt;D xsi:type="xsd:long"&gt;45159&lt;/D&gt;&lt;D xsi:type="xsd:long"&gt;45156&lt;/D&gt;&lt;D xsi:type="xsd:long"&gt;45155&lt;/D&gt;&lt;D xsi:type="xsd:long"&gt;45154&lt;/D&gt;&lt;D xsi:type="xsd:long"&gt;45153&lt;/D&gt;&lt;D xsi:type="xsd:long"&gt;45152&lt;/D&gt;&lt;D xsi:type="xsd:long"&gt;45149&lt;/D&gt;&lt;D xsi:type="xsd:long"&gt;45148&lt;/D&gt;&lt;D xsi:type="xsd:long"&gt;45147&lt;/D&gt;&lt;D xsi:type="xsd:long"&gt;45146&lt;/D&gt;&lt;D xsi:type="xsd:long"&gt;45145&lt;/D&gt;&lt;D xsi:type="xsd:long"&gt;45142&lt;/D&gt;&lt;D xsi:type="xsd:long"&gt;45141&lt;/D&gt;&lt;D xsi:type="xsd:long"&gt;45140&lt;/D&gt;&lt;D xsi:type="xsd:long"&gt;45139&lt;/D&gt;&lt;D xsi:type="xsd:long"&gt;45138&lt;/D&gt;&lt;D xsi:type="xsd:long"&gt;45135&lt;/D&gt;&lt;D xsi:type="xsd:long"&gt;45134&lt;/D&gt;&lt;D xsi:type="xsd:long"&gt;45133&lt;/D&gt;&lt;D xsi:type="xsd:long"&gt;45132&lt;/D&gt;&lt;D xsi:type="xsd:long"&gt;45131&lt;/D&gt;&lt;D xsi:type="xsd:long"&gt;45128&lt;/D&gt;&lt;D xsi:type="xsd:long"&gt;45127&lt;/D&gt;&lt;D xsi:type="xsd:long"&gt;45126&lt;/D&gt;&lt;D xsi:type="xsd:long"&gt;45125&lt;/D&gt;&lt;D xsi:type="xsd:long"&gt;45124&lt;/D&gt;&lt;D xsi:type="xsd:long"&gt;45121&lt;/D&gt;&lt;D xsi:type="xsd:long"&gt;45120&lt;/D&gt;&lt;D xsi:type="xsd:long"&gt;45119&lt;/D&gt;&lt;D xsi:type="xsd:long"&gt;45118&lt;/D&gt;&lt;D xsi:type="xsd:long"&gt;45117&lt;/D&gt;&lt;D xsi:type="xsd:long"&gt;45114&lt;/D&gt;&lt;D xsi:type="xsd:long"&gt;45113&lt;/D&gt;&lt;D xsi:type="xsd:long"&gt;45112&lt;/D&gt;&lt;D xsi:type="xsd:long"&gt;45110&lt;/D&gt;&lt;D xsi:type="xsd:long"&gt;45107&lt;/D&gt;&lt;D xsi:type="xsd:long"&gt;45106&lt;/D&gt;&lt;D xsi:type="xsd:long"&gt;45105&lt;/D&gt;&lt;D xsi:type="xsd:long"&gt;45104&lt;/D&gt;&lt;D xsi:type="xsd:long"&gt;45103&lt;/D&gt;&lt;D xsi:type="xsd:long"&gt;45100&lt;/D&gt;&lt;D xsi:type="xsd:long"&gt;45099&lt;/D&gt;&lt;D xsi:type="xsd:long"&gt;45098&lt;/D&gt;&lt;D xsi:type="xsd:long"&gt;45097&lt;/D&gt;&lt;D xsi:type="xsd:long"&gt;45093&lt;/D&gt;&lt;D xsi:type="xsd:long"&gt;45092&lt;/D&gt;&lt;D xsi:type="xsd:long"&gt;45091&lt;/D&gt;&lt;D xsi:type="xsd:long"&gt;45090&lt;/D&gt;&lt;D xsi:type="xsd:long"&gt;45089&lt;/D&gt;&lt;D xsi:type="xsd:long"&gt;45086&lt;/D&gt;&lt;D xsi:type="xsd:long"&gt;45085&lt;/D&gt;&lt;D xsi:type="xsd:long"&gt;45084&lt;/D&gt;&lt;D xsi:type="xsd:long"&gt;45083&lt;/D&gt;&lt;D xsi:type="xsd:long"&gt;45082&lt;/D&gt;&lt;D xsi:type="xsd:long"&gt;45079&lt;/D&gt;&lt;D xsi:type="xsd:long"&gt;45078&lt;/D&gt;&lt;D xsi:type="xsd:long"&gt;45077&lt;/D&gt;&lt;D xsi:type="xsd:long"&gt;45076&lt;/D&gt;&lt;D xsi:type="xsd:long"&gt;45072&lt;/D&gt;&lt;D xsi:type="xsd:long"&gt;45071&lt;/D&gt;&lt;D xsi:type="xsd:long"&gt;45070&lt;/D&gt;&lt;D xsi:type="xsd:long"&gt;45069&lt;/D&gt;&lt;D xsi:type="xsd:long"&gt;45068&lt;/D&gt;&lt;D xsi:type="xsd:long"&gt;45065&lt;/D&gt;&lt;D xsi:type="xsd:long"&gt;45064&lt;/D&gt;&lt;D xsi:type="xsd:long"&gt;45063&lt;/D&gt;&lt;D xsi:type="xsd:long"&gt;45062&lt;/D&gt;&lt;D xsi:type="xsd:long"&gt;45061&lt;/D&gt;&lt;D xsi:type="xsd:long"&gt;45058&lt;/D&gt;&lt;D xsi:type="xsd:long"&gt;45057&lt;/D&gt;&lt;D xsi:type="xsd:long"&gt;45056&lt;/D&gt;&lt;D xsi:type="xsd:long"&gt;45055&lt;/D&gt;&lt;D xsi:type="xsd:long"&gt;45054&lt;/D&gt;&lt;D xsi:type="xsd:long"&gt;45051&lt;/D&gt;&lt;D xsi:type="xsd:long"&gt;45050&lt;/D&gt;&lt;D xsi:type="xsd:long"&gt;45049&lt;/D&gt;&lt;D xsi:type="xsd:long"&gt;45048&lt;/D&gt;&lt;D xsi:type="xsd:long"&gt;45047&lt;/D&gt;&lt;D xsi:type="xsd:long"&gt;45044&lt;/D&gt;&lt;D xsi:type="xsd:long"&gt;45043&lt;/D&gt;&lt;D xsi:type="xsd:long"&gt;45042&lt;/D&gt;&lt;D xsi:type="xsd:long"&gt;45041&lt;/D&gt;&lt;D xsi:type="xsd:long"&gt;45040&lt;/D&gt;&lt;D xsi:type="xsd:long"&gt;45037&lt;/D&gt;&lt;D xsi:type="xsd:long"&gt;45036&lt;/D&gt;&lt;D xsi:type="xsd:long"&gt;45035&lt;/D&gt;&lt;D xsi:type="xsd:long"&gt;45034&lt;/D&gt;&lt;D xsi:type="xsd:long"&gt;45033&lt;/D&gt;&lt;D xsi:type="xsd:long"&gt;45030&lt;/D&gt;&lt;D xsi:type="xsd:long"&gt;45029&lt;/D&gt;&lt;D xsi:type="xsd:long"&gt;45028&lt;/D&gt;&lt;D xsi:type="xsd:long"&gt;45027&lt;/D&gt;&lt;D xsi:type="xsd:long"&gt;45026&lt;/D&gt;&lt;D xsi:type="xsd:long"&gt;45022&lt;/D&gt;&lt;D xsi:type="xsd:long"&gt;45021&lt;/D&gt;&lt;D xsi:type="xsd:long"&gt;45020&lt;/D&gt;&lt;D xsi:type="xsd:long"&gt;45019&lt;/D&gt;&lt;D xsi:type="xsd:long"&gt;45016&lt;/D&gt;&lt;D xsi:type="xsd:long"&gt;45015&lt;/D&gt;&lt;D xsi:type="xsd:long"&gt;45014&lt;/D&gt;&lt;D xsi:type="xsd:long"&gt;45013&lt;/D&gt;&lt;D xsi:type="xsd:long"&gt;45012&lt;/D&gt;&lt;D xsi:type="xsd:long"&gt;45009&lt;/D&gt;&lt;D xsi:type="xsd:long"&gt;45008&lt;/D&gt;&lt;D xsi:type="xsd:long"&gt;45007&lt;/D&gt;&lt;D xsi:type="xsd:long"&gt;45006&lt;/D&gt;&lt;D xsi:type="xsd:long"&gt;45005&lt;/D&gt;&lt;D xsi:type="xsd:long"&gt;45002&lt;/D&gt;&lt;D xsi:type="xsd:long"&gt;45001&lt;/D&gt;&lt;D xsi:type="xsd:long"&gt;45000&lt;/D&gt;&lt;D xsi:type="xsd:long"&gt;44999&lt;/D&gt;&lt;D xsi:type="xsd:long"&gt;44998&lt;/D&gt;&lt;D xsi:type="xsd:long"&gt;44995&lt;/D&gt;&lt;D xsi:type="xsd:long"&gt;44994&lt;/D&gt;&lt;D xsi:type="xsd:long"&gt;44993&lt;/D&gt;&lt;D xsi:type="xsd:long"&gt;44992&lt;/D&gt;&lt;D xsi:type="xsd:long"&gt;44991&lt;/D&gt;&lt;D xsi:type="xsd:long"&gt;44988&lt;/D&gt;&lt;D xsi:type="xsd:long"&gt;44987&lt;/D&gt;&lt;D xsi:type="xsd:long"&gt;44986&lt;/D&gt;&lt;D xsi:type="xsd:long"&gt;44985&lt;/D&gt;&lt;D xsi:type="xsd:long"&gt;44984&lt;/D&gt;&lt;D xsi:type="xsd:long"&gt;44981&lt;/D&gt;&lt;D xsi:type="xsd:long"&gt;44980&lt;/D&gt;&lt;D xsi:type="xsd:long"&gt;44979&lt;/D&gt;&lt;D xsi:type="xsd:long"&gt;44978&lt;/D&gt;&lt;D xsi:type="xsd:long"&gt;44974&lt;/D&gt;&lt;D xsi:type="xsd:long"&gt;44973&lt;/D&gt;&lt;D xsi:type="xsd:long"&gt;44972&lt;/D&gt;&lt;D xsi:type="xsd:long"&gt;44971&lt;/D&gt;&lt;D xsi:type="xsd:long"&gt;44970&lt;/D&gt;&lt;D xsi:type="xsd:long"&gt;44967&lt;/D&gt;&lt;D xsi:type="xsd:long"&gt;44966&lt;/D&gt;&lt;D xsi:type="xsd:long"&gt;44965&lt;/D&gt;&lt;D xsi:type="xsd:long"&gt;44964&lt;/D&gt;&lt;D xsi:type="xsd:long"&gt;44963&lt;/D&gt;&lt;D xsi:type="xsd:long"&gt;44960&lt;/D&gt;&lt;D xsi:type="xsd:long"&gt;44959&lt;/D&gt;&lt;D xsi:type="xsd:long"&gt;44958&lt;/D&gt;&lt;D xsi:type="xsd:long"&gt;44957&lt;/D&gt;&lt;D xsi:type="xsd:long"&gt;44956&lt;/D&gt;&lt;D xsi:type="xsd:long"&gt;44953&lt;/D&gt;&lt;D xsi:type="xsd:long"&gt;44952&lt;/D&gt;&lt;D xsi:type="xsd:long"&gt;44951&lt;/D&gt;&lt;D xsi:type="xsd:long"&gt;44950&lt;/D&gt;&lt;D xsi:type="xsd:long"&gt;44949&lt;/D&gt;&lt;D xsi:type="xsd:long"&gt;44946&lt;/D&gt;&lt;D xsi:type="xsd:long"&gt;44945&lt;/D&gt;&lt;D xsi:type="xsd:long"&gt;44944&lt;/D&gt;&lt;D xsi:type="xsd:long"&gt;44943&lt;/D&gt;&lt;D xsi:type="xsd:long"&gt;44939&lt;/D&gt;&lt;D xsi:type="xsd:long"&gt;44938&lt;/D&gt;&lt;D xsi:type="xsd:long"&gt;44937&lt;/D&gt;&lt;D xsi:type="xsd:long"&gt;44936&lt;/D&gt;&lt;D xsi:type="xsd:long"&gt;44935&lt;/D&gt;&lt;D xsi:type="xsd:long"&gt;44932&lt;/D&gt;&lt;D xsi:type="xsd:long"&gt;44931&lt;/D&gt;&lt;D xsi:type="xsd:long"&gt;44930&lt;/D&gt;&lt;D xsi:type="xsd:long"&gt;44929&lt;/D&gt;&lt;D xsi:type="xsd:long"&gt;44925&lt;/D&gt;&lt;D xsi:type="xsd:long"&gt;44924&lt;/D&gt;&lt;D xsi:type="xsd:long"&gt;44923&lt;/D&gt;&lt;D xsi:type="xsd:long"&gt;44922&lt;/D&gt;&lt;D xsi:type="xsd:long"&gt;44918&lt;/D&gt;&lt;D xsi:type="xsd:long"&gt;44917&lt;/D&gt;&lt;D xsi:type="xsd:long"&gt;44916&lt;/D&gt;&lt;D xsi:type="xsd:long"&gt;44915&lt;/D&gt;&lt;D xsi:type="xsd:long"&gt;44914&lt;/D&gt;&lt;D xsi:type="xsd:long"&gt;44911&lt;/D&gt;&lt;D xsi:type="xsd:long"&gt;44910&lt;/D&gt;&lt;D xsi:type="xsd:long"&gt;44909&lt;/D&gt;&lt;D xsi:type="xsd:long"&gt;44908&lt;/D&gt;&lt;D xsi:type="xsd:long"&gt;44907&lt;/D&gt;&lt;D xsi:type="xsd:long"&gt;44904&lt;/D&gt;&lt;D xsi:type="xsd:long"&gt;44903&lt;/D&gt;&lt;D xsi:type="xsd:long"&gt;44902&lt;/D&gt;&lt;D xsi:type="xsd:long"&gt;44901&lt;/D&gt;&lt;D xsi:type="xsd:long"&gt;44900&lt;/D&gt;&lt;D xsi:type="xsd:long"&gt;44897&lt;/D&gt;&lt;D xsi:type="xsd:long"&gt;44896&lt;/D&gt;&lt;D xsi:type="xsd:long"&gt;44895&lt;/D&gt;&lt;D xsi:type="xsd:long"&gt;44894&lt;/D&gt;&lt;D xsi:type="xsd:long"&gt;44893&lt;/D&gt;&lt;D xsi:type="xsd:long"&gt;44890&lt;/D&gt;&lt;D xsi:type="xsd:long"&gt;44888&lt;/D&gt;&lt;D xsi:type="xsd:long"&gt;44887&lt;/D&gt;&lt;D xsi:type="xsd:long"&gt;44886&lt;/D&gt;&lt;D xsi:type="xsd:long"&gt;44883&lt;/D&gt;&lt;D xsi:type="xsd:long"&gt;44882&lt;/D&gt;&lt;D xsi:type="xsd:long"&gt;44881&lt;/D&gt;&lt;D xsi:type="xsd:long"&gt;44880&lt;/D&gt;&lt;D xsi:type="xsd:long"&gt;44879&lt;/D&gt;&lt;D xsi:type="xsd:long"&gt;44876&lt;/D&gt;&lt;D xsi:type="xsd:long"&gt;44875&lt;/D&gt;&lt;D xsi:type="xsd:long"&gt;44874&lt;/D&gt;&lt;D xsi:type="xsd:long"&gt;44873&lt;/D&gt;&lt;D xsi:type="xsd:long"&gt;44872&lt;/D&gt;&lt;D xsi:type="xsd:long"&gt;44869&lt;/D&gt;&lt;D xsi:type="xsd:long"&gt;44868&lt;/D&gt;&lt;D xsi:type="xsd:long"&gt;44867&lt;/D&gt;&lt;D xsi:type="xsd:long"&gt;44866&lt;/D&gt;&lt;D xsi:type="xsd:long"&gt;44865&lt;/D&gt;&lt;D xsi:type="xsd:long"&gt;44862&lt;/D&gt;&lt;D xsi:type="xsd:long"&gt;44861&lt;/D&gt;&lt;D xsi:type="xsd:long"&gt;44860&lt;/D&gt;&lt;D xsi:type="xsd:long"&gt;44859&lt;/D&gt;&lt;D xsi:type="xsd:long"&gt;44858&lt;/D&gt;&lt;D xsi:type="xsd:long"&gt;44855&lt;/D&gt;&lt;D xsi:type="xsd:long"&gt;44854&lt;/D&gt;&lt;D xsi:type="xsd:long"&gt;44853&lt;/D&gt;&lt;D xsi:type="xsd:long"&gt;44852&lt;/D&gt;&lt;D xsi:type="xsd:long"&gt;44851&lt;/D&gt;&lt;D xsi:type="xsd:long"&gt;44848&lt;/D&gt;&lt;D xsi:type="xsd:long"&gt;44847&lt;/D&gt;&lt;D xsi:type="xsd:long"&gt;44846&lt;/D&gt;&lt;D xsi:type="xsd:long"&gt;44845&lt;/D&gt;&lt;D xsi:type="xsd:long"&gt;44844&lt;/D&gt;&lt;D xsi:type="xsd:long"&gt;44841&lt;/D&gt;&lt;D xsi:type="xsd:long"&gt;44840&lt;/D&gt;&lt;D xsi:type="xsd:long"&gt;44839&lt;/D&gt;&lt;D xsi:type="xsd:long"&gt;44838&lt;/D&gt;&lt;D xsi:type="xsd:long"&gt;44837&lt;/D&gt;&lt;D xsi:type="xsd:long"&gt;44834&lt;/D&gt;&lt;D xsi:type="xsd:long"&gt;44833&lt;/D&gt;&lt;D xsi:type="xsd:long"&gt;44832&lt;/D&gt;&lt;D xsi:type="xsd:long"&gt;44831&lt;/D&gt;&lt;D xsi:type="xsd:long"&gt;44830&lt;/D&gt;&lt;D xsi:type="xsd:long"&gt;44827&lt;/D&gt;&lt;D xsi:type="xsd:long"&gt;44826&lt;/D&gt;&lt;D xsi:type="xsd:long"&gt;44825&lt;/D&gt;&lt;D xsi:type="xsd:long"&gt;44824&lt;/D&gt;&lt;D xsi:type="xsd:long"&gt;44823&lt;/D&gt;&lt;D xsi:type="xsd:long"&gt;44820&lt;/D&gt;&lt;D xsi:type="xsd:long"&gt;44819&lt;/D&gt;&lt;D xsi:type="xsd:long"&gt;44818&lt;/D&gt;&lt;D xsi:type="xsd:long"&gt;44817&lt;/D&gt;&lt;D xsi:type="xsd:long"&gt;44816&lt;/D&gt;&lt;D xsi:type="xsd:long"&gt;44813&lt;/D&gt;&lt;D xsi:type="xsd:long"&gt;44812&lt;/D&gt;&lt;D xsi:type="xsd:long"&gt;44811&lt;/D&gt;&lt;D xsi:type="xsd:long"&gt;44810&lt;/D&gt;&lt;D xsi:type="xsd:long"&gt;44806&lt;/D&gt;&lt;D xsi:type="xsd:long"&gt;44805&lt;/D&gt;&lt;D xsi:type="xsd:long"&gt;44804&lt;/D&gt;&lt;D xsi:type="xsd:long"&gt;44803&lt;/D&gt;&lt;D xsi:type="xsd:long"&gt;44802&lt;/D&gt;&lt;D xsi:type="xsd:long"&gt;44799&lt;/D&gt;&lt;D xsi:type="xsd:long"&gt;44798&lt;/D&gt;&lt;D xsi:type="xsd:long"&gt;44797&lt;/D&gt;&lt;D xsi:type="xsd:long"&gt;44796&lt;/D&gt;&lt;D xsi:type="xsd:long"&gt;44795&lt;/D&gt;&lt;D xsi:type="xsd:long"&gt;44792&lt;/D&gt;&lt;D xsi:type="xsd:long"&gt;44791&lt;/D&gt;&lt;D xsi:type="xsd:long"&gt;44790&lt;/D&gt;&lt;D xsi:type="xsd:long"&gt;44789&lt;/D&gt;&lt;D xsi:type="xsd:long"&gt;44788&lt;/D&gt;&lt;D xsi:type="xsd:long"&gt;44785&lt;/D&gt;&lt;D xsi:type="xsd:long"&gt;44784&lt;/D&gt;&lt;D xsi:type="xsd:long"&gt;44783&lt;/D&gt;&lt;D xsi:type="xsd:long"&gt;44782&lt;/D&gt;&lt;D xsi:type="xsd:long"&gt;44781&lt;/D&gt;&lt;D xsi:type="xsd:long"&gt;44778&lt;/D&gt;&lt;D xsi:type="xsd:long"&gt;44777&lt;/D&gt;&lt;D xsi:type="xsd:long"&gt;44776&lt;/D&gt;&lt;D xsi:type="xsd:long"&gt;44775&lt;/D&gt;&lt;D xsi:type="xsd:long"&gt;44774&lt;/D&gt;&lt;D xsi:type="xsd:long"&gt;44771&lt;/D&gt;&lt;D xsi:type="xsd:long"&gt;44770&lt;/D&gt;&lt;D xsi:type="xsd:long"&gt;44769&lt;/D&gt;&lt;D xsi:type="xsd:long"&gt;44768&lt;/D&gt;&lt;D xsi:type="xsd:long"&gt;44767&lt;/D&gt;&lt;D xsi:type="xsd:long"&gt;44764&lt;/D&gt;&lt;D xsi:type="xsd:long"&gt;44763&lt;/D&gt;&lt;D xsi:type="xsd:long"&gt;44762&lt;/D&gt;&lt;D xsi:type="xsd:long"&gt;44761&lt;/D&gt;&lt;D xsi:type="xsd:long"&gt;44760&lt;/D&gt;&lt;D xsi:type="xsd:long"&gt;44757&lt;/D&gt;&lt;D xsi:type="xsd:long"&gt;44756&lt;/D&gt;&lt;D xsi:type="xsd:long"&gt;44755&lt;/D&gt;&lt;D xsi:type="xsd:long"&gt;44754&lt;/D&gt;&lt;D xsi:type="xsd:long"&gt;44753&lt;/D&gt;&lt;D xsi:type="xsd:long"&gt;44750&lt;/D&gt;&lt;D xsi:type="xsd:long"&gt;44749&lt;/D&gt;&lt;D xsi:type="xsd:long"&gt;44748&lt;/D&gt;&lt;D xsi:type="xsd:long"&gt;44747&lt;/D&gt;&lt;D xsi:type="xsd:long"&gt;44743&lt;/D&gt;&lt;D xsi:type="xsd:long"&gt;44742&lt;/D&gt;&lt;D xsi:type="xsd:long"&gt;44741&lt;/D&gt;&lt;D xsi:type="xsd:long"&gt;44740&lt;/D&gt;&lt;D xsi:type="xsd:long"&gt;44739&lt;/D&gt;&lt;D xsi:type="xsd:long"&gt;44736&lt;/D&gt;&lt;D xsi:type="xsd:long"&gt;44735&lt;/D&gt;&lt;D xsi:type="xsd:long"&gt;44734&lt;/D&gt;&lt;D xsi:type="xsd:long"&gt;44733&lt;/D&gt;&lt;D xsi:type="xsd:long"&gt;44729&lt;/D&gt;&lt;D xsi:type="xsd:long"&gt;44728&lt;/D&gt;&lt;D xsi:type="xsd:long"&gt;44727&lt;/D&gt;&lt;D xsi:type="xsd:long"&gt;44726&lt;/D&gt;&lt;D xsi:type="xsd:long"&gt;44725&lt;/D&gt;&lt;D xsi:type="xsd:long"&gt;44722&lt;/D&gt;&lt;D xsi:type="xsd:long"&gt;44721&lt;/D&gt;&lt;D xsi:type="xsd:long"&gt;44720&lt;/D&gt;&lt;D xsi:type="xsd:long"&gt;44719&lt;/D&gt;&lt;D xsi:type="xsd:long"&gt;44718&lt;/D&gt;&lt;D xsi:type="xsd:long"&gt;44715&lt;/D&gt;&lt;D xsi:type="xsd:long"&gt;44714&lt;/D&gt;&lt;D xsi:type="xsd:long"&gt;44713&lt;/D&gt;&lt;D xsi:type="xsd:long"&gt;44712&lt;/D&gt;&lt;D xsi:type="xsd:long"&gt;44708&lt;/D&gt;&lt;D xsi:type="xsd:long"&gt;44707&lt;/D&gt;&lt;D xsi:type="xsd:long"&gt;44706&lt;/D&gt;&lt;D xsi:type="xsd:long"&gt;44705&lt;/D&gt;&lt;D xsi:type="xsd:long"&gt;44704&lt;/D&gt;&lt;D xsi:type="xsd:long"&gt;44701&lt;/D&gt;&lt;D xsi:type="xsd:long"&gt;44700&lt;/D&gt;&lt;D xsi:type="xsd:long"&gt;44699&lt;/D&gt;&lt;D xsi:type="xsd:long"&gt;44698&lt;/D&gt;&lt;D xsi:type="xsd:long"&gt;44697&lt;/D&gt;&lt;D xsi:type="xsd:long"&gt;44694&lt;/D&gt;&lt;D xsi:type="xsd:long"&gt;44693&lt;/D&gt;&lt;D xsi:type="xsd:long"&gt;44692&lt;/D&gt;&lt;D xsi:type="xsd:long"&gt;44691&lt;/D&gt;&lt;D xsi:type="xsd:long"&gt;44690&lt;/D&gt;&lt;D xsi:type="xsd:long"&gt;44687&lt;/D&gt;&lt;D xsi:type="xsd:long"&gt;44686&lt;/D&gt;&lt;D xsi:type="xsd:long"&gt;44685&lt;/D&gt;&lt;D xsi:type="xsd:long"&gt;44684&lt;/D&gt;&lt;D xsi:type="xsd:long"&gt;44683&lt;/D&gt;&lt;D xsi:type="xsd:long"&gt;44680&lt;/D&gt;&lt;D xsi:type="xsd:long"&gt;44679&lt;/D&gt;&lt;D xsi:type="xsd:long"&gt;44678&lt;/D&gt;&lt;D xsi:type="xsd:long"&gt;44677&lt;/D&gt;&lt;D xsi:type="xsd:long"&gt;44676&lt;/D&gt;&lt;D xsi:type="xsd:long"&gt;44673&lt;/D&gt;&lt;D xsi:type="xsd:long"&gt;44672&lt;/D&gt;&lt;D xsi:type="xsd:long"&gt;44671&lt;/D&gt;&lt;D xsi:type="xsd:long"&gt;44670&lt;/D&gt;&lt;D xsi:type="xsd:long"&gt;44669&lt;/D&gt;&lt;D xsi:type="xsd:long"&gt;44665&lt;/D&gt;&lt;D xsi:type="xsd:long"&gt;44664&lt;/D&gt;&lt;D xsi:type="xsd:long"&gt;44663&lt;/D&gt;&lt;D xsi:type="xsd:long"&gt;44662&lt;/D&gt;&lt;D xsi:type="xsd:long"&gt;44659&lt;/D&gt;&lt;D xsi:type="xsd:long"&gt;44658&lt;/D&gt;&lt;D xsi:type="xsd:long"&gt;44657&lt;/D&gt;&lt;D xsi:type="xsd:long"&gt;44656&lt;/D&gt;&lt;D xsi:type="xsd:long"&gt;44655&lt;/D&gt;&lt;D xsi:type="xsd:long"&gt;44652&lt;/D&gt;&lt;D xsi:type="xsd:long"&gt;44651&lt;/D&gt;&lt;D xsi:type="xsd:long"&gt;44650&lt;/D&gt;&lt;D xsi:type="xsd:long"&gt;44649&lt;/D&gt;&lt;D xsi:type="xsd:long"&gt;44648&lt;/D&gt;&lt;D xsi:type="xsd:long"&gt;44645&lt;/D&gt;&lt;D xsi:type="xsd:long"&gt;44644&lt;/D&gt;&lt;D xsi:type="xsd:long"&gt;44643&lt;/D&gt;&lt;D xsi:type="xsd:long"&gt;44642&lt;/D&gt;&lt;D xsi:type="xsd:long"&gt;44641&lt;/D&gt;&lt;D xsi:type="xsd:long"&gt;44638&lt;/D&gt;&lt;D xsi:type="xsd:long"&gt;44637&lt;/D&gt;&lt;D xsi:type="xsd:long"&gt;44636&lt;/D&gt;&lt;D xsi:type="xsd:long"&gt;44635&lt;/D&gt;&lt;D xsi:type="xsd:long"&gt;44634&lt;/D&gt;&lt;D xsi:type="xsd:long"&gt;44631&lt;/D&gt;&lt;D xsi:type="xsd:long"&gt;44630&lt;/D&gt;&lt;D xsi:type="xsd:long"&gt;44629&lt;/D&gt;&lt;D xsi:type="xsd:long"&gt;44628&lt;/D&gt;&lt;D xsi:type="xsd:long"&gt;44627&lt;/D&gt;&lt;D xsi:type="xsd:long"&gt;44624&lt;/D&gt;&lt;D xsi:type="xsd:long"&gt;44623&lt;/D&gt;&lt;D xsi:type="xsd:long"&gt;44622&lt;/D&gt;&lt;D xsi:type="xsd:long"&gt;44621&lt;/D&gt;&lt;D xsi:type="xsd:long"&gt;44620&lt;/D&gt;&lt;D xsi:type="xsd:long"&gt;44617&lt;/D&gt;&lt;D xsi:type="xsd:long"&gt;44616&lt;/D&gt;&lt;D xsi:type="xsd:long"&gt;44615&lt;/D&gt;&lt;D xsi:type="xsd:long"&gt;44614&lt;/D&gt;&lt;D xsi:type="xsd:long"&gt;44610&lt;/D&gt;&lt;D xsi:type="xsd:long"&gt;44609&lt;/D&gt;&lt;D xsi:type="xsd:long"&gt;44608&lt;/D&gt;&lt;D xsi:type="xsd:long"&gt;44607&lt;/D&gt;&lt;D xsi:type="xsd:long"&gt;44606&lt;/D&gt;&lt;D xsi:type="xsd:long"&gt;44603&lt;/D&gt;&lt;D xsi:type="xsd:long"&gt;44602&lt;/D&gt;&lt;D xsi:type="xsd:long"&gt;44601&lt;/D&gt;&lt;D xsi:type="xsd:long"&gt;44600&lt;/D&gt;&lt;D xsi:type="xsd:long"&gt;44599&lt;/D&gt;&lt;D xsi:type="xsd:long"&gt;44596&lt;/D&gt;&lt;D xsi:type="xsd:long"&gt;44595&lt;/D&gt;&lt;D xsi:type="xsd:long"&gt;44594&lt;/D&gt;&lt;D xsi:type="xsd:long"&gt;44593&lt;/D&gt;&lt;D xsi:type="xsd:long"&gt;44592&lt;/D&gt;&lt;D xsi:type="xsd:long"&gt;44589&lt;/D&gt;&lt;D xsi:type="xsd:long"&gt;44588&lt;/D&gt;&lt;D xsi:type="xsd:long"&gt;44587&lt;/D&gt;&lt;D xsi:type="xsd:long"&gt;44586&lt;/D&gt;&lt;D xsi:type="xsd:long"&gt;44585&lt;/D&gt;&lt;D xsi:type="xsd:long"&gt;44582&lt;/D&gt;&lt;D xsi:type="xsd:long"&gt;44581&lt;/D&gt;&lt;D xsi:type="xsd:long"&gt;44580&lt;/D&gt;&lt;D xsi:type="xsd:long"&gt;44579&lt;/D&gt;&lt;D xsi:type="xsd:long"&gt;44575&lt;/D&gt;&lt;D xsi:type="xsd:long"&gt;44574&lt;/D&gt;&lt;D xsi:type="xsd:long"&gt;44573&lt;/D&gt;&lt;D xsi:type="xsd:long"&gt;44572&lt;/D&gt;&lt;D xsi:type="xsd:long"&gt;44571&lt;/D&gt;&lt;D xsi:type="xsd:long"&gt;44568&lt;/D&gt;&lt;D xsi:type="xsd:long"&gt;44567&lt;/D&gt;&lt;D xsi:type="xsd:long"&gt;44566&lt;/D&gt;&lt;D xsi:type="xsd:long"&gt;44565&lt;/D&gt;&lt;D xsi:type="xsd:long"&gt;44564&lt;/D&gt;&lt;D xsi:type="xsd:long"&gt;44561&lt;/D&gt;&lt;D xsi:type="xsd:long"&gt;44560&lt;/D&gt;&lt;D xsi:type="xsd:long"&gt;44559&lt;/D&gt;&lt;D xsi:type="xsd:long"&gt;44558&lt;/D&gt;&lt;D xsi:type="xsd:long"&gt;44557&lt;/D&gt;&lt;D xsi:type="xsd:long"&gt;44553&lt;/D&gt;&lt;D xsi:type="xsd:long"&gt;44552&lt;/D&gt;&lt;D xsi:type="xsd:long"&gt;44551&lt;/D&gt;&lt;D xsi:type="xsd:long"&gt;44550&lt;/D&gt;&lt;D xsi:type="xsd:long"&gt;44547&lt;/D&gt;&lt;D xsi:type="xsd:long"&gt;44546&lt;/D&gt;&lt;D xsi:type="xsd:long"&gt;44545&lt;/D&gt;&lt;D xsi:type="xsd:long"&gt;44544&lt;/D&gt;&lt;D xsi:type="xsd:long"&gt;44543&lt;/D&gt;&lt;D xsi:type="xsd:long"&gt;44540&lt;/D&gt;&lt;D xsi:type="xsd:long"&gt;44539&lt;/D&gt;&lt;D xsi:type="xsd:long"&gt;44538&lt;/D&gt;&lt;D xsi:type="xsd:long"&gt;44537&lt;/D&gt;&lt;D xsi:type="xsd:long"&gt;44536&lt;/D&gt;&lt;D xsi:type="xsd:long"&gt;44533&lt;/D&gt;&lt;D xsi:type="xsd:long"&gt;44532&lt;/D&gt;&lt;D xsi:type="xsd:long"&gt;44531&lt;/D&gt;&lt;D xsi:type="xsd:long"&gt;44530&lt;/D&gt;&lt;D xsi:type="xsd:long"&gt;44529&lt;/D&gt;&lt;D xsi:type="xsd:long"&gt;44526&lt;/D&gt;&lt;D xsi:type="xsd:long"&gt;44524&lt;/D&gt;&lt;D xsi:type="xsd:long"&gt;44523&lt;/D&gt;&lt;D xsi:type="xsd:long"&gt;44522&lt;/D&gt;&lt;D xsi:type="xsd:long"&gt;44519&lt;/D&gt;&lt;D xsi:type="xsd:long"&gt;44518&lt;/D&gt;&lt;D xsi:type="xsd:long"&gt;44517&lt;/D&gt;&lt;D xsi:type="xsd:long"&gt;44516&lt;/D&gt;&lt;D xsi:type="xsd:long"&gt;44515&lt;/D&gt;&lt;D xsi:type="xsd:long"&gt;44512&lt;/D&gt;&lt;D xsi:type="xsd:long"&gt;44511&lt;/D&gt;&lt;D xsi:type="xsd:long"&gt;44510&lt;/D&gt;&lt;D xsi:type="xsd:long"&gt;44509&lt;/D&gt;&lt;D xsi:type="xsd:long"&gt;44508&lt;/D&gt;&lt;D xsi:type="xsd:long"&gt;44505&lt;/D&gt;&lt;D xsi:type="xsd:long"&gt;44504&lt;/D&gt;&lt;D xsi:type="xsd:long"&gt;44503&lt;/D&gt;&lt;D xsi:type="xsd:long"&gt;44502&lt;/D&gt;&lt;D xsi:type="xsd:long"&gt;44501&lt;/D&gt;&lt;D xsi:type="xsd:long"&gt;44498&lt;/D&gt;&lt;D xsi:type="xsd:long"&gt;44497&lt;/D&gt;&lt;D xsi:type="xsd:long"&gt;44496&lt;/D&gt;&lt;D xsi:type="xsd:long"&gt;44495&lt;/D&gt;&lt;D xsi:type="xsd:long"&gt;44494&lt;/D&gt;&lt;D xsi:type="xsd:long"&gt;44491&lt;/D&gt;&lt;D xsi:type="xsd:long"&gt;44490&lt;/D&gt;&lt;D xsi:type="xsd:long"&gt;44489&lt;/D&gt;&lt;D xsi:type="xsd:long"&gt;44488&lt;/D&gt;&lt;D xsi:type="xsd:long"&gt;44487&lt;/D&gt;&lt;D xsi:type="xsd:long"&gt;44484&lt;/D&gt;&lt;D xsi:type="xsd:long"&gt;44483&lt;/D&gt;&lt;D xsi:type="xsd:long"&gt;44482&lt;/D&gt;&lt;D xsi:type="xsd:long"&gt;44481&lt;/D&gt;&lt;D xsi:type="xsd:long"&gt;44480&lt;/D&gt;&lt;D xsi:type="xsd:long"&gt;44477&lt;/D&gt;&lt;D xsi:type="xsd:long"&gt;44476&lt;/D&gt;&lt;D xsi:type="xsd:long"&gt;44475&lt;/D&gt;&lt;D xsi:type="xsd:long"&gt;44474&lt;/D&gt;&lt;D xsi:type="xsd:long"&gt;44473&lt;/D&gt;&lt;D xsi:type="xsd:long"&gt;44470&lt;/D&gt;&lt;D xsi:type="xsd:long"&gt;44469&lt;/D&gt;&lt;D xsi:type="xsd:long"&gt;44468&lt;/D&gt;&lt;D xsi:type="xsd:long"&gt;44467&lt;/D&gt;&lt;D xsi:type="xsd:long"&gt;44466&lt;/D&gt;&lt;D xsi:type="x</t>
        </r>
      </text>
    </comment>
    <comment ref="A5" authorId="0" shapeId="0" xr:uid="{1DDBA808-9CFA-4AA6-A7BF-57A8266A6E2E}">
      <text>
        <r>
          <rPr>
            <b/>
            <sz val="9"/>
            <color indexed="81"/>
            <rFont val="Tahoma"/>
            <charset val="1"/>
          </rPr>
          <t>sd:long"&gt;44463&lt;/D&gt;&lt;D xsi:type="xsd:long"&gt;44462&lt;/D&gt;&lt;D xsi:type="xsd:long"&gt;44461&lt;/D&gt;&lt;D xsi:type="xsd:long"&gt;44460&lt;/D&gt;&lt;D xsi:type="xsd:long"&gt;44459&lt;/D&gt;&lt;D xsi:type="xsd:long"&gt;44456&lt;/D&gt;&lt;D xsi:type="xsd:long"&gt;44455&lt;/D&gt;&lt;D xsi:type="xsd:long"&gt;44454&lt;/D&gt;&lt;D xsi:type="xsd:long"&gt;44453&lt;/D&gt;&lt;D xsi:type="xsd:long"&gt;44452&lt;/D&gt;&lt;D xsi:type="xsd:long"&gt;44449&lt;/D&gt;&lt;D xsi:type="xsd:long"&gt;44448&lt;/D&gt;&lt;D xsi:type="xsd:long"&gt;44447&lt;/D&gt;&lt;D xsi:type="xsd:long"&gt;44446&lt;/D&gt;&lt;D xsi:type="xsd:long"&gt;44442&lt;/D&gt;&lt;D xsi:type="xsd:long"&gt;44441&lt;/D&gt;&lt;D xsi:type="xsd:long"&gt;44440&lt;/D&gt;&lt;D xsi:type="xsd:long"&gt;44439&lt;/D&gt;&lt;D xsi:type="xsd:long"&gt;44438&lt;/D&gt;&lt;D xsi:type="xsd:long"&gt;44435&lt;/D&gt;&lt;D xsi:type="xsd:long"&gt;44434&lt;/D&gt;&lt;D xsi:type="xsd:long"&gt;44433&lt;/D&gt;&lt;D xsi:type="xsd:long"&gt;44432&lt;/D&gt;&lt;D xsi:type="xsd:long"&gt;44431&lt;/D&gt;&lt;D xsi:type="xsd:long"&gt;44428&lt;/D&gt;&lt;D xsi:type="xsd:long"&gt;44427&lt;/D&gt;&lt;D xsi:type="xsd:long"&gt;44426&lt;/D&gt;&lt;D xsi:type="xsd:long"&gt;44425&lt;/D&gt;&lt;D xsi:type="xsd:long"&gt;44424&lt;/D&gt;&lt;D xsi:type="xsd:long"&gt;44421&lt;/D&gt;&lt;D xsi:type="xsd:long"&gt;44420&lt;/D&gt;&lt;D xsi:type="xsd:long"&gt;44419&lt;/D&gt;&lt;D xsi:type="xsd:long"&gt;44418&lt;/D&gt;&lt;D xsi:type="xsd:long"&gt;44417&lt;/D&gt;&lt;D xsi:type="xsd:long"&gt;44414&lt;/D&gt;&lt;D xsi:type="xsd:long"&gt;44413&lt;/D&gt;&lt;D xsi:type="xsd:long"&gt;44412&lt;/D&gt;&lt;D xsi:type="xsd:long"&gt;44411&lt;/D&gt;&lt;D xsi:type="xsd:long"&gt;44410&lt;/D&gt;&lt;D xsi:type="xsd:long"&gt;44407&lt;/D&gt;&lt;D xsi:type="xsd:long"&gt;44406&lt;/D&gt;&lt;D xsi:type="xsd:long"&gt;44405&lt;/D&gt;&lt;D xsi:type="xsd:long"&gt;44404&lt;/D&gt;&lt;D xsi:type="xsd:long"&gt;44403&lt;/D&gt;&lt;D xsi:type="xsd:long"&gt;44400&lt;/D&gt;&lt;D xsi:type="xsd:long"&gt;44399&lt;/D&gt;&lt;D xsi:type="xsd:long"&gt;44398&lt;/D&gt;&lt;D xsi:type="xsd:long"&gt;44397&lt;/D&gt;&lt;D xsi:type="xsd:long"&gt;44396&lt;/D&gt;&lt;D xsi:type="xsd:long"&gt;44393&lt;/D&gt;&lt;D xsi:type="xsd:long"&gt;44392&lt;/D&gt;&lt;D xsi:type="xsd:long"&gt;44391&lt;/D&gt;&lt;D xsi:type="xsd:long"&gt;44390&lt;/D&gt;&lt;D xsi:type="xsd:long"&gt;44389&lt;/D&gt;&lt;D xsi:type="xsd:long"&gt;44386&lt;/D&gt;&lt;D xsi:type="xsd:long"&gt;44385&lt;/D&gt;&lt;D xsi:type="xsd:long"&gt;44384&lt;/D&gt;&lt;D xsi:type="xsd:long"&gt;44383&lt;/D&gt;&lt;D xsi:type="xsd:long"&gt;44379&lt;/D&gt;&lt;D xsi:type="xsd:long"&gt;44378&lt;/D&gt;&lt;D xsi:type="xsd:long"&gt;44377&lt;/D&gt;&lt;D xsi:type="xsd:long"&gt;44376&lt;/D&gt;&lt;D xsi:type="xsd:long"&gt;44375&lt;/D&gt;&lt;D xsi:type="xsd:long"&gt;44372&lt;/D&gt;&lt;D xsi:type="xsd:long"&gt;44371&lt;/D&gt;&lt;D xsi:type="xsd:long"&gt;44370&lt;/D&gt;&lt;D xsi:type="xsd:long"&gt;44369&lt;/D&gt;&lt;D xsi:type="xsd:long"&gt;44368&lt;/D&gt;&lt;D xsi:type="xsd:long"&gt;44365&lt;/D&gt;&lt;D xsi:type="xsd:long"&gt;44364&lt;/D&gt;&lt;D xsi:type="xsd:long"&gt;44363&lt;/D&gt;&lt;D xsi:type="xsd:long"&gt;44362&lt;/D&gt;&lt;D xsi:type="xsd:long"&gt;44361&lt;/D&gt;&lt;D xsi:type="xsd:long"&gt;44358&lt;/D&gt;&lt;D xsi:type="xsd:long"&gt;44357&lt;/D&gt;&lt;D xsi:type="xsd:long"&gt;44356&lt;/D&gt;&lt;D xsi:type="xsd:long"&gt;44355&lt;/D&gt;&lt;D xsi:type="xsd:long"&gt;44354&lt;/D&gt;&lt;D xsi:type="xsd:long"&gt;44351&lt;/D&gt;&lt;D xsi:type="xsd:long"&gt;44350&lt;/D&gt;&lt;D xsi:type="xsd:long"&gt;44349&lt;/D&gt;&lt;D xsi:type="xsd:long"&gt;44348&lt;/D&gt;&lt;D xsi:type="xsd:long"&gt;44344&lt;/D&gt;&lt;D xsi:type="xsd:long"&gt;44343&lt;/D&gt;&lt;D xsi:type="xsd:long"&gt;44342&lt;/D&gt;&lt;D xsi:type="xsd:long"&gt;44341&lt;/D&gt;&lt;D xsi:type="xsd:long"&gt;44340&lt;/D&gt;&lt;D xsi:type="xsd:long"&gt;44337&lt;/D&gt;&lt;D xsi:type="xsd:long"&gt;44336&lt;/D&gt;&lt;D xsi:type="xsd:long"&gt;44335&lt;/D&gt;&lt;D xsi:type="xsd:long"&gt;44334&lt;/D&gt;&lt;D xsi:type="xsd:long"&gt;44333&lt;/D&gt;&lt;D xsi:type="xsd:long"&gt;44330&lt;/D&gt;&lt;D xsi:type="xsd:long"&gt;44329&lt;/D&gt;&lt;D xsi:type="xsd:long"&gt;44328&lt;/D&gt;&lt;D xsi:type="xsd:long"&gt;44327&lt;/D&gt;&lt;D xsi:type="xsd:long"&gt;44326&lt;/D&gt;&lt;D xsi:type="xsd:long"&gt;44323&lt;/D&gt;&lt;D xsi:type="xsd:long"&gt;44322&lt;/D&gt;&lt;D xsi:type="xsd:long"&gt;44321&lt;/D&gt;&lt;D xsi:type="xsd:long"&gt;44320&lt;/D&gt;&lt;D xsi:type="xsd:long"&gt;44319&lt;/D&gt;&lt;D xsi:type="xsd:long"&gt;44316&lt;/D&gt;&lt;D xsi:type="xsd:long"&gt;44315&lt;/D&gt;&lt;D xsi:type="xsd:long"&gt;44314&lt;/D&gt;&lt;D xsi:type="xsd:long"&gt;44313&lt;/D&gt;&lt;D xsi:type="xsd:long"&gt;44312&lt;/D&gt;&lt;D xsi:type="xsd:long"&gt;44309&lt;/D&gt;&lt;D xsi:type="xsd:long"&gt;44308&lt;/D&gt;&lt;D xsi:type="xsd:long"&gt;44307&lt;/D&gt;&lt;D xsi:type="xsd:long"&gt;44306&lt;/D&gt;&lt;D xsi:type="xsd:long"&gt;44305&lt;/D&gt;&lt;D xsi:type="xsd:long"&gt;44302&lt;/D&gt;&lt;D xsi:type="xsd:long"&gt;44301&lt;/D&gt;&lt;D xsi:type="xsd:long"&gt;44300&lt;/D&gt;&lt;D xsi:type="xsd:long"&gt;44299&lt;/D&gt;&lt;D xsi:type="xsd:long"&gt;44298&lt;/D&gt;&lt;D xsi:type="xsd:long"&gt;44295&lt;/D&gt;&lt;D xsi:type="xsd:long"&gt;44294&lt;/D&gt;&lt;D xsi:type="xsd:long"&gt;44293&lt;/D&gt;&lt;D xsi:type="xsd:long"&gt;44292&lt;/D&gt;&lt;D xsi:type="xsd:long"&gt;44291&lt;/D&gt;&lt;D xsi:type="xsd:long"&gt;44287&lt;/D&gt;&lt;D xsi:type="xsd:long"&gt;44286&lt;/D&gt;&lt;D xsi:type="xsd:long"&gt;44285&lt;/D&gt;&lt;D xsi:type="xsd:long"&gt;44284&lt;/D&gt;&lt;D xsi:type="xsd:long"&gt;44281&lt;/D&gt;&lt;D xsi:type="xsd:long"&gt;44280&lt;/D&gt;&lt;D xsi:type="xsd:long"&gt;44279&lt;/D&gt;&lt;D xsi:type="xsd:long"&gt;44278&lt;/D&gt;&lt;D xsi:type="xsd:long"&gt;44277&lt;/D&gt;&lt;D xsi:type="xsd:long"&gt;44274&lt;/D&gt;&lt;D xsi:type="xsd:long"&gt;44273&lt;/D&gt;&lt;D xsi:type="xsd:long"&gt;44272&lt;/D&gt;&lt;D xsi:type="xsd:long"&gt;44271&lt;/D&gt;&lt;D xsi:type="xsd:long"&gt;44270&lt;/D&gt;&lt;D xsi:type="xsd:long"&gt;44267&lt;/D&gt;&lt;D xsi:type="xsd:long"&gt;44266&lt;/D&gt;&lt;D xsi:type="xsd:long"&gt;44265&lt;/D&gt;&lt;D xsi:type="xsd:long"&gt;44264&lt;/D&gt;&lt;D xsi:type="xsd:long"&gt;44263&lt;/D&gt;&lt;D xsi:type="xsd:long"&gt;44260&lt;/D&gt;&lt;D xsi:type="xsd:long"&gt;44259&lt;/D&gt;&lt;D xsi:type="xsd:long"&gt;44258&lt;/D&gt;&lt;D xsi:type="xsd:long"&gt;44257&lt;/D&gt;&lt;D xsi:type="xsd:long"&gt;44256&lt;/D&gt;&lt;D xsi:type="xsd:long"&gt;44253&lt;/D&gt;&lt;D xsi:type="xsd:long"&gt;44252&lt;/D&gt;&lt;D xsi:type="xsd:long"&gt;44251&lt;/D&gt;&lt;D xsi:type="xsd:long"&gt;44250&lt;/D&gt;&lt;D xsi:type="xsd:long"&gt;44249&lt;/D&gt;&lt;D xsi:type="xsd:long"&gt;44246&lt;/D&gt;&lt;D xsi:type="xsd:long"&gt;44245&lt;/D&gt;&lt;D xsi:type="xsd:long"&gt;44244&lt;/D&gt;&lt;D xsi:type="xsd:long"&gt;44243&lt;/D&gt;&lt;D xsi:type="xsd:long"&gt;44239&lt;/D&gt;&lt;D xsi:type="xsd:long"&gt;44238&lt;/D&gt;&lt;D xsi:type="xsd:long"&gt;44237&lt;/D&gt;&lt;D xsi:type="xsd:long"&gt;44236&lt;/D&gt;&lt;D xsi:type="xsd:long"&gt;44235&lt;/D&gt;&lt;D xsi:type="xsd:long"&gt;44232&lt;/D&gt;&lt;D xsi:type="xsd:long"&gt;44231&lt;/D&gt;&lt;D xsi:type="xsd:long"&gt;44230&lt;/D&gt;&lt;D xsi:type="xsd:long"&gt;44229&lt;/D&gt;&lt;D xsi:type="xsd:long"&gt;44228&lt;/D&gt;&lt;D xsi:type="xsd:long"&gt;44225&lt;/D&gt;&lt;D xsi:type="xsd:long"&gt;44224&lt;/D&gt;&lt;D xsi:type="xsd:long"&gt;44223&lt;/D&gt;&lt;D xsi:type="xsd:long"&gt;44222&lt;/D&gt;&lt;D xsi:type="xsd:long"&gt;44221&lt;/D&gt;&lt;D xsi:type="xsd:long"&gt;44218&lt;/D&gt;&lt;D xsi:type="xsd:long"&gt;44217&lt;/D&gt;&lt;D xsi:type="xsd:long"&gt;44216&lt;/D&gt;&lt;D xsi:type="xsd:long"&gt;44215&lt;/D&gt;&lt;D xsi:type="xsd:long"&gt;44211&lt;/D&gt;&lt;D xsi:type="xsd:long"&gt;44210&lt;/D&gt;&lt;D xsi:type="xsd:long"&gt;44209&lt;/D&gt;&lt;D xsi:type="xsd:long"&gt;44208&lt;/D&gt;&lt;D xsi:type="xsd:long"&gt;44207&lt;/D&gt;&lt;D xsi:type="xsd:long"&gt;44204&lt;/D&gt;&lt;D xsi:type="xsd:long"&gt;44203&lt;/D&gt;&lt;D xsi:type="xsd:long"&gt;44202&lt;/D&gt;&lt;D xsi:type="xsd:long"&gt;44201&lt;/D&gt;&lt;D xsi:type="xsd:long"&gt;44200&lt;/D&gt;&lt;D xsi:type="xsd:long"&gt;44196&lt;/D&gt;&lt;D xsi:type="xsd:long"&gt;44195&lt;/D&gt;&lt;D xsi:type="xsd:long"&gt;44194&lt;/D&gt;&lt;D xsi:type="xsd:long"&gt;44193&lt;/D&gt;&lt;D xsi:type="xsd:long"&gt;44189&lt;/D&gt;&lt;D xsi:type="xsd:long"&gt;44188&lt;/D&gt;&lt;D xsi:type="xsd:long"&gt;44187&lt;/D&gt;&lt;D xsi:type="xsd:long"&gt;44186&lt;/D&gt;&lt;D xsi:type="xsd:long"&gt;44183&lt;/D&gt;&lt;D xsi:type="xsd:long"&gt;44182&lt;/D&gt;&lt;D xsi:type="xsd:long"&gt;44181&lt;/D&gt;&lt;D xsi:type="xsd:long"&gt;44180&lt;/D&gt;&lt;D xsi:type="xsd:long"&gt;44179&lt;/D&gt;&lt;D xsi:type="xsd:long"&gt;44176&lt;/D&gt;&lt;D xsi:type="xsd:long"&gt;44175&lt;/D&gt;&lt;D xsi:type="xsd:long"&gt;44174&lt;/D&gt;&lt;D xsi:type="xsd:long"&gt;44173&lt;/D&gt;&lt;D xsi:type="xsd:long"&gt;44172&lt;/D&gt;&lt;D xsi:type="xsd:long"&gt;44169&lt;/D&gt;&lt;D xsi:type="xsd:long"&gt;44168&lt;/D&gt;&lt;D xsi:type="xsd:long"&gt;44167&lt;/D&gt;&lt;D xsi:type="xsd:long"&gt;44166&lt;/D&gt;&lt;D xsi:type="xsd:long"&gt;44165&lt;/D&gt;&lt;D xsi:type="xsd:long"&gt;44162&lt;/D&gt;&lt;D xsi:type="xsd:long"&gt;44160&lt;/D&gt;&lt;D xsi:type="xsd:long"&gt;44159&lt;/D&gt;&lt;D xsi:type="xsd:long"&gt;44158&lt;/D&gt;&lt;D xsi:type="xsd:long"&gt;44155&lt;/D&gt;&lt;D xsi:type="xsd:long"&gt;44154&lt;/D&gt;&lt;D xsi:type="xsd:long"&gt;44153&lt;/D&gt;&lt;D xsi:type="xsd:long"&gt;44152&lt;/D&gt;&lt;D xsi:type="xsd:long"&gt;44151&lt;/D&gt;&lt;D xsi:type="xsd:long"&gt;44148&lt;/D&gt;&lt;D xsi:type="xsd:long"&gt;44147&lt;/D&gt;&lt;D xsi:type="xsd:long"&gt;44146&lt;/D&gt;&lt;D xsi:type="xsd:long"&gt;44145&lt;/D&gt;&lt;D xsi:type="xsd:long"&gt;44144&lt;/D&gt;&lt;D xsi:type="xsd:long"&gt;44141&lt;/D&gt;&lt;D xsi:type="xsd:long"&gt;44140&lt;/D&gt;&lt;D xsi:type="xsd:long"&gt;44139&lt;/D&gt;&lt;D xsi:type="xsd:long"&gt;44138&lt;/D&gt;&lt;D xsi:type="xsd:long"&gt;44137&lt;/D&gt;&lt;D xsi:type="xsd:long"&gt;44134&lt;/D&gt;&lt;/FQL&gt;&lt;FQL&gt;&lt;Q&gt;^PSETCAL("NAY",,"NAME")&lt;/Q&gt;&lt;R&gt;1&lt;/R&gt;&lt;C&gt;1&lt;/C&gt;&lt;D xsi:type="xsd:string"&gt;calendar: United States&lt;/D&gt;&lt;/FQL&gt;&lt;FQL&gt;&lt;Q&gt;^FG_COMPANY_NAME&lt;/Q&gt;&lt;R&gt;0&lt;/R&gt;&lt;C&gt;0&lt;/C&gt;&lt;/FQL&gt;&lt;FQL&gt;&lt;Q&gt;^PROPER_NAME&lt;/Q&gt;&lt;R&gt;0&lt;/R&gt;&lt;C&gt;0&lt;/C&gt;&lt;/FQL&gt;&lt;FQL&gt;&lt;Q&gt;MCO-US^PROPER_NAME&lt;/Q&gt;&lt;R&gt;1&lt;/R&gt;&lt;C&gt;1&lt;/C&gt;&lt;D xsi:type="xsd:string"&gt;Moody's Corporation&lt;/D&gt;&lt;/FQL&gt;&lt;FQL&gt;&lt;Q&gt;SHW-US^PROPER_NAME&lt;/Q&gt;&lt;R&gt;1&lt;/R&gt;&lt;C&gt;1&lt;/C&gt;&lt;D xsi:type="xsd:string"&gt;Sherwin-Williams Company&lt;/D&gt;&lt;/FQL&gt;&lt;FQL&gt;&lt;Q&gt;EVD-DE^PROPER_NAME&lt;/Q&gt;&lt;R&gt;1&lt;/R&gt;&lt;C&gt;1&lt;/C&gt;&lt;D xsi:type="xsd:string"&gt;CTS Eventim AG &amp;amp; Co. KGaA&lt;/D&gt;&lt;/FQL&gt;&lt;FQL&gt;&lt;Q&gt;BKNG-US^PROPER_NAME&lt;/Q&gt;&lt;R&gt;1&lt;/R&gt;&lt;C&gt;1&lt;/C&gt;&lt;D xsi:type="xsd:string"&gt;Booking Holdings Inc.&lt;/D&gt;&lt;/FQL&gt;&lt;FQL&gt;&lt;Q&gt;ADSK-US^PROPER_NAME&lt;/Q&gt;&lt;R&gt;1&lt;/R&gt;&lt;C&gt;1&lt;/C&gt;&lt;D xsi:type="xsd:string"&gt;Autodesk, Inc.&lt;/D&gt;&lt;/FQL&gt;&lt;FQL&gt;&lt;Q&gt;WDAY-US^PROPER_NAME&lt;/Q&gt;&lt;R&gt;1&lt;/R&gt;&lt;C&gt;1&lt;/C&gt;&lt;D xsi:type="xsd:string"&gt;Workday, Inc. Class A&lt;/D&gt;&lt;/FQL&gt;&lt;FQL&gt;&lt;Q&gt;RTO-GB^PROPER_NAME&lt;/Q&gt;&lt;R&gt;1&lt;/R&gt;&lt;C&gt;1&lt;/C&gt;&lt;D xsi:type="xsd:string"&gt;Rentokil Initial plc&lt;/D&gt;&lt;/FQL&gt;&lt;FQL&gt;&lt;Q&gt;BBCA-ID^PROPER_NAME&lt;/Q&gt;&lt;R&gt;1&lt;/R&gt;&lt;C&gt;1&lt;/C&gt;&lt;D xsi:type="xsd:string"&gt;PT Bank Central Asia Tbk&lt;/D&gt;&lt;/FQL&gt;&lt;FQL&gt;&lt;Q&gt;AZO-US^PROPER_NAME&lt;/Q&gt;&lt;R&gt;1&lt;/R&gt;&lt;C&gt;1&lt;/C&gt;&lt;D xsi:type="xsd:string"&gt;AutoZone, Inc.&lt;/D&gt;&lt;/FQL&gt;&lt;FQL&gt;&lt;Q&gt;ALLE-US^PROPER_NAME&lt;/Q&gt;&lt;R&gt;1&lt;/R&gt;&lt;C&gt;1&lt;/C&gt;&lt;D xsi:type="xsd:string"&gt;Allegion Public Limited Company&lt;/D&gt;&lt;/FQL&gt;&lt;FQL&gt;&lt;Q&gt;ATCO.B-SE^PROPER_NAME&lt;/Q&gt;&lt;R&gt;1&lt;/R&gt;&lt;C&gt;1&lt;/C&gt;&lt;D xsi:type="xsd:string"&gt;Atlas Copco AB Class B&lt;/D&gt;&lt;/FQL&gt;&lt;FQL&gt;&lt;Q&gt;B3SA3-BR^PROPER_NAME&lt;/Q&gt;&lt;R&gt;1&lt;/R&gt;&lt;C&gt;1&lt;/C&gt;&lt;D xsi:type="xsd:string"&gt;B3 SA - Brasil, Bolsa, Balcao&lt;/D&gt;&lt;/FQL&gt;&lt;FQL&gt;&lt;Q&gt;ZTS-US^PROPER_NAME&lt;/Q&gt;&lt;R&gt;1&lt;/R&gt;&lt;C&gt;1&lt;/C&gt;&lt;D xsi:type="xsd:string"&gt;Zoetis, Inc. Class A&lt;/D&gt;&lt;/FQL&gt;&lt;FQL&gt;&lt;Q&gt;FERG-US^PROPER_NAME&lt;/Q&gt;&lt;R&gt;1&lt;/R&gt;&lt;C&gt;1&lt;/C&gt;&lt;D xsi:type="xsd:string"&gt;Ferguson Enterprises Inc.&lt;/D&gt;&lt;/FQL&gt;&lt;FQL&gt;&lt;Q&gt;EW-US^PROPER_NAME&lt;/Q&gt;&lt;R&gt;1&lt;/R&gt;&lt;C&gt;1&lt;/C&gt;&lt;D xsi:type="xsd:string"&gt;Edwards Lifesciences Corporation&lt;/D&gt;&lt;/FQL&gt;&lt;FQL&gt;&lt;Q&gt;INTU-US^PROPER_NAME&lt;/Q&gt;&lt;R&gt;1&lt;/R&gt;&lt;C&gt;1&lt;/C&gt;&lt;D xsi:type="xsd:string"&gt;Intuit Inc.&lt;/D&gt;&lt;/FQL&gt;&lt;FQL&gt;&lt;Q&gt;HDB-US^PROPER_NAME&lt;/Q&gt;&lt;R&gt;1&lt;/R&gt;&lt;C&gt;1&lt;/C&gt;&lt;D xsi:type="xsd:string"&gt;HDFC Bank Limited Sponsored ADR&lt;/D&gt;&lt;/FQL&gt;&lt;FQL&gt;&lt;Q&gt;1299-HK^PROPER_NAME&lt;/Q&gt;&lt;R&gt;1&lt;/R&gt;&lt;C&gt;1&lt;/C&gt;&lt;D xsi:type="xsd:string"&gt;AIA Group Limited&lt;/D&gt;&lt;/FQL&gt;&lt;FQL&gt;&lt;Q&gt;ROG-CH^PROPER_NAME&lt;/Q&gt;&lt;R&gt;1&lt;/R&gt;&lt;C&gt;1&lt;/C&gt;&lt;D xsi:type="xsd:string"&gt;Roche Holding Ltd Dividend Right Cert.&lt;/D&gt;&lt;/FQL&gt;&lt;FQL&gt;&lt;Q&gt;SAF-FR^PROPER_NAME&lt;/Q&gt;&lt;R&gt;1&lt;/R&gt;&lt;C&gt;1&lt;/C&gt;&lt;D xsi:type="xsd:string"&gt;Safran SA&lt;/D&gt;&lt;/FQL&gt;&lt;FQL&gt;&lt;Q&gt;EXPN-GB^PROPER_NAME&lt;/Q&gt;&lt;R&gt;1&lt;/R&gt;&lt;C&gt;1&lt;/C&gt;&lt;D xsi:type="xsd:string"&gt;Experian PLC&lt;/D&gt;&lt;/FQL&gt;&lt;FQL&gt;&lt;Q&gt;SCHW-US^PROPER_NAME&lt;/Q&gt;&lt;R&gt;1&lt;/R&gt;&lt;C&gt;1&lt;/C&gt;&lt;D xsi:type="xsd:string"&gt;Charles Schwab Corp&lt;/D&gt;&lt;/FQL&gt;&lt;FQL&gt;&lt;Q&gt;TSM-US^PROPER_NAME&lt;/Q&gt;&lt;R&gt;1&lt;/R&gt;&lt;C&gt;1&lt;/C&gt;&lt;D xsi:type="xsd:string"&gt;Taiwan Semiconductor Manufacturing Co., Ltd. Sponsored ADR&lt;/D&gt;&lt;/FQL&gt;&lt;FQL&gt;&lt;Q&gt;GE-US^PROPER_NAME&lt;/Q&gt;&lt;R&gt;1&lt;/R&gt;&lt;C&gt;1&lt;/C&gt;&lt;D xsi:type="xsd:string"&gt;GE Aerospace&lt;/D&gt;&lt;/FQL&gt;&lt;FQL&gt;&lt;Q&gt;DB1-DE^PROPER_NAME&lt;/Q&gt;&lt;R&gt;1&lt;/R&gt;&lt;C&gt;1&lt;/C&gt;&lt;D xsi:type="xsd:string"&gt;Deutsche Boerse AG&lt;/D&gt;&lt;/FQL&gt;&lt;FQL&gt;&lt;Q&gt;ASML-US^PROPER_NAME&lt;/Q&gt;&lt;R&gt;1&lt;/R&gt;&lt;C&gt;1&lt;/C&gt;&lt;D xsi:type="xsd:string"&gt;ASML Holding NV Sponsored ADR&lt;/D&gt;&lt;/FQL&gt;&lt;FQL&gt;&lt;Q&gt;ULVR-GB^PROPER_NAME&lt;/Q&gt;&lt;R&gt;1&lt;/R&gt;&lt;C&gt;1&lt;/C&gt;&lt;D xsi:type="xsd:string"&gt;Unilever PLC&lt;/D&gt;&lt;/FQL&gt;&lt;FQL&gt;&lt;Q&gt;MA-US^PROPER_NAME&lt;/Q&gt;&lt;R&gt;1&lt;/R&gt;&lt;C&gt;1&lt;/C&gt;&lt;D xsi:type="xsd:string"&gt;Mastercard Incorporated Class A&lt;/D&gt;&lt;/FQL&gt;&lt;FQL&gt;&lt;Q&gt;V-US^PROPER_NAME&lt;/Q&gt;&lt;R&gt;1&lt;/R&gt;&lt;C&gt;1&lt;/C&gt;&lt;D xsi:type="xsd:string"&gt;Visa Inc. Class A&lt;/D&gt;&lt;/FQL&gt;&lt;FQL&gt;&lt;Q&gt;LSEG-GB^PROPER_NAME&lt;/Q&gt;&lt;R&gt;1&lt;/R&gt;&lt;C&gt;1&lt;/C&gt;&lt;D xsi:type="xsd:string"&gt;London Stock Exchange Group plc&lt;/D&gt;&lt;/FQL&gt;&lt;FQL&gt;&lt;Q&gt;GOOG-US^PROPER_NAME&lt;/Q&gt;&lt;R&gt;1&lt;/R&gt;&lt;C&gt;1&lt;/C&gt;&lt;D xsi:type="xsd:string"&gt;Alphabet Inc. Class C&lt;/D&gt;&lt;/FQL&gt;&lt;FQL&gt;&lt;Q&gt;MSFT-US^PROPER_NAME&lt;/Q&gt;&lt;R&gt;1&lt;/R&gt;&lt;C&gt;1&lt;/C&gt;&lt;D xsi:type="xsd:string"&gt;Microsoft Corporation&lt;/D&gt;&lt;/FQL&gt;&lt;FQL&gt;&lt;Q&gt;DUMMY^CORREL_MATRIX(CORRELMATRIX)&lt;/Q&gt;&lt;R&gt;32&lt;/R&gt;&lt;C&gt;32&lt;/C&gt;&lt;D xsi:type="xsd:double"&gt;1&lt;/D&gt;&lt;D xsi:type="xsd:double"&gt;0.6602172&lt;/D&gt;&lt;D xsi:type="xsd:double"&gt;0.11480432&lt;/D&gt;&lt;D xsi:type="xsd:double"&gt;0.44737276&lt;/D&gt;&lt;D xsi:type="xsd:double"&gt;0.4808563&lt;/D&gt;&lt;D xsi:type="xsd:double"&gt;0.016145427&lt;/D&gt;&lt;D xsi:type="xsd:double"&gt;0.5822661&lt;/D&gt;&lt;D xsi:type="xsd:double"&gt;0.14425503&lt;/D&gt;&lt;D xsi:type="xsd:double"&gt;0.3014616&lt;/D&gt;&lt;D xsi:type="xsd:double"&gt;0.4903793&lt;/D&gt;&lt;D xsi:type="xsd:double"&gt;0.267167&lt;/D&gt;&lt;D xsi:type="xsd:double"&gt;0.27763397&lt;/D&gt;&lt;D xsi:type="xsd:double"&gt;0.17271675&lt;/D&gt;&lt;D xsi:type="xsd:double"&gt;0.089628235&lt;/D&gt;&lt;D xsi:type="xsd:double"&gt;0.008310933&lt;/D&gt;&lt;D xsi:type="xsd:double"&gt;0.28786197&lt;/D&gt;&lt;D xsi:type="xsd:double"&gt;0.62596166&lt;/D&gt;&lt;D xsi:type="xsd:double"&gt;0.35392687&lt;/D&gt;&lt;D xsi:type="xsd:double"&gt;0.3587558&lt;/D&gt;&lt;D xsi:type="xsd:double"&gt;0.40642413&lt;/D&gt;&lt;D xsi:type="xsd:double"&gt;0.1860025&lt;/D&gt;&lt;D xsi:type="xsd:double"&gt;0.268966&lt;/D&gt;&lt;D xsi:type="xsd:double"&gt;0.37333167&lt;/D&gt;&lt;D xsi:type="xsd:double"&gt;0.21489932&lt;/D&gt;&lt;D xsi:type="xsd:double"&gt;0.098974645&lt;/D&gt;&lt;D xsi:type="xsd:double"&gt;0.19745813&lt;/D&gt;&lt;D xsi:type="xsd:double"&gt;0.55141306&lt;/D&gt;&lt;D xsi:type="xsd:double"&gt;0.5700099&lt;/D&gt;&lt;D xsi:type="xsd:double"&gt;0.39047444&lt;/D&gt;&lt;D xsi:type="xsd:double"&gt;0.14743002&lt;/D&gt;&lt;D xsi:type="xsd:double"&gt;0.35503155&lt;/D&gt;&lt;D xsi:type="xsd:double"&gt;0.5726618&lt;/D&gt;&lt;D xsi:type="xsd:double"&gt;0.6602172&lt;/D&gt;&lt;D xsi:type="xsd:double"&gt;1&lt;/D&gt;&lt;D xsi:type="xsd:double"&gt;0.1288944&lt;/D&gt;&lt;D xsi:type="xsd:double"&gt;0.39927265&lt;/D&gt;&lt;D xsi:type="xsd:double"&gt;0.42491433&lt;/D&gt;&lt;D xsi:type="xsd:double"&gt;0.02683493&lt;/D&gt;&lt;D xsi:type="xsd:double"&gt;0.50340265&lt;/D&gt;&lt;D xsi:type="xsd:double"&gt;0.098878205&lt;/D&gt;&lt;D xsi:type="xsd:double"&gt;0.29815143&lt;/D&gt;&lt;D xsi:type="xsd:double"&gt;0.45100883&lt;/D&gt;&lt;D xsi:type="xsd:double"&gt;0.24902625&lt;/D&gt;&lt;D xsi:type="xsd:double"&gt;0.21984063&lt;/D&gt;&lt;D xsi:type="xsd:double"&gt;0.18892059&lt;/D&gt;&lt;D xsi:type="xsd:double"&gt;0.061816532&lt;/D&gt;&lt;D xsi:type="xsd:double"&gt;0.044050697&lt;/D&gt;&lt;D xsi:type="xsd:double"&gt;0.26997408&lt;/D&gt;&lt;D xsi:type="xsd:double"&gt;0.54476255&lt;/D&gt;&lt;D xsi:type="xsd:double"&gt;0.32421997&lt;/D&gt;&lt;D xsi:type="xsd:double"&gt;0.2996653&lt;/D&gt;&lt;D xsi:type="xsd:double"&gt;0.3569&lt;/D&gt;&lt;D xsi:type="xsd:double"&gt;0.2036618&lt;/D&gt;&lt;D xsi:type="xsd:double"&gt;0.23337437&lt;/D&gt;&lt;D xsi:type="xsd:double"&gt;0.28092483&lt;/D&gt;&lt;D xsi:type="xsd:double"&gt;0.1522361&lt;/D&gt;&lt;D xsi:type="xsd:double"&gt;0.059248313&lt;/D&gt;&lt;D xsi:type="xsd:double"&gt;0.1447075&lt;/D&gt;&lt;D xsi:type="xsd:double"&gt;0.4320502&lt;/D&gt;&lt;D xsi:type="xsd:double"&gt;0.49197906&lt;/D&gt;&lt;D xsi:type="xsd:double"&gt;0.39714432&lt;/D&gt;&lt;D xsi:type="xsd:double"&gt;0.14764051&lt;/D&gt;&lt;D xsi:type="xsd:double"&gt;0.26885998&lt;/D&gt;&lt;D xsi:type="xsd:double"&gt;0.46503523&lt;/D&gt;&lt;D xsi:type="xsd:double"&gt;0.11480432&lt;/D&gt;&lt;D xsi:type="xsd:double"&gt;0.1288944&lt;/D&gt;&lt;D xsi:type="xsd:double"&gt;1&lt;/D&gt;&lt;D xsi:type="xsd:double"&gt;0.17274241&lt;/D&gt;&lt;D xsi:type="xsd:double"&gt;0.15690845&lt;/D&gt;&lt;D xsi:type="xsd:double"&gt;0.27212468&lt;/D&gt;&lt;D xsi:type="xsd:double"&gt;0.1915429&lt;/D&gt;&lt;D xsi:type="xsd:double"&gt;0.54103786&lt;/D&gt;&lt;D xsi:type="xsd:double"&gt;0.094351865&lt;/D&gt;&lt;D xsi:type="xsd:double"&gt;0.13669819&lt;/D&gt;&lt;D xsi:type="xsd:double"&gt;0.09851729&lt;/D&gt;&lt;D xsi:type="xsd:double"&gt;0.45928076&lt;/D&gt;&lt;D xsi:type="xsd:double"&gt;0.28440186&lt;/D&gt;&lt;D xsi:type="xsd:double"&gt;0.29977077&lt;/D&gt;&lt;D xsi:type="xsd:double"&gt;0.12050736&lt;/D&gt;&lt;D xsi:type="xsd:double"&gt;0.19495247&lt;/D&gt;&lt;D xsi:type="xsd:double"&gt;0.18303666&lt;/D&gt;&lt;D xsi:type="xsd:double"&gt;0.18619199&lt;/D&gt;&lt;D xsi:type="xsd:double"&gt;0.15717058&lt;/D&gt;&lt;D xsi:type="xsd:double"&gt;0.1726982&lt;/D&gt;&lt;D xsi:type="xsd:double"&gt;0.13807361&lt;/D&gt;&lt;D xsi:type="xsd:double"&gt;0.35244116&lt;/D&gt;&lt;D xsi:type="xsd:double"&gt;0.04066656&lt;/D&gt;&lt;D xsi:type="xsd:double"&gt;0.06786581&lt;/D&gt;&lt;D xsi:type="xsd:double"&gt;0.058418788&lt;/D&gt;&lt;D xsi:type="xsd:double"&gt;0.312711&lt;/D&gt;&lt;D xsi:type="xsd:double"&gt;0.1409297&lt;/D&gt;&lt;D xsi:type="xsd:double"&gt;0.18247983&lt;/D&gt;&lt;D xsi:type="xsd:double"&gt;0.09844582&lt;/D&gt;&lt;D xsi:type="xsd:double"&gt;0.2795783&lt;/D&gt;&lt;D xsi:type="xsd:double"&gt;0.1165571&lt;/D&gt;&lt;D xsi:type="xsd:double"&gt;0.25265074&lt;/D&gt;&lt;D xsi:type="xsd:double"&gt;0.44737276&lt;/D&gt;&lt;D xsi:type="xsd:double"&gt;0.39927265&lt;/D&gt;&lt;D xsi:type="xsd:double"&gt;0.17274241&lt;/D&gt;&lt;D xsi:type="xsd:double"&gt;1&lt;/D&gt;&lt;D xsi:type="xsd:double"&gt;0.88173735&lt;/D&gt;&lt;D xsi:type="xsd:double"&gt;0.1128113&lt;/D&gt;&lt;D xsi:type="xsd:double"&gt;0.39051622&lt;/D&gt;&lt;D xsi:type="xsd:double"&gt;0.21412763&lt;/D&gt;&lt;D xsi:type="xsd:double"&gt;0.418707&lt;/D&gt;&lt;D xsi:type="xsd:double"&gt;0.30322325&lt;/D&gt;&lt;D xsi:type="xsd:double"&gt;0.37733322&lt;/D&gt;&lt;D xsi:type="xsd:double"&gt;0.27664655&lt;/D&gt;&lt;D xsi:type="xsd:double"&gt;0.3022692&lt;/D&gt;&lt;D xsi:type="xsd:double"&gt;0.1277087&lt;/D&gt;&lt;D xsi:type="xsd:double"&gt;0.052469287&lt;/D&gt;&lt;D xsi:type="xsd:double"&gt;0.33338684&lt;/D&gt;&lt;D xsi:type="xsd:double"&gt;0.4823142&lt;/D&gt;&lt;D xsi:type="xsd:double"&gt;0.3527749&lt;/D&gt;&lt;D xsi:type="xsd:double"&gt;0.37868068&lt;/D&gt;&lt;D xsi:type="xsd:double"&gt;0.41178825&lt;/D&gt;&lt;D xsi:type="xsd:double"&gt;0.14241678&lt;/D&gt;&lt;D xsi:type="xsd:double"&gt;0.26348475&lt;/D&gt;&lt;D xsi:type="xsd:double"&gt;0.41775015&lt;/D&gt;&lt;D xsi:type="xsd:double"&gt;0.2943026&lt;/D&gt;&lt;D xsi:type="xsd:double"&gt;0.07057856&lt;/D&gt;&lt;D xsi:type="xsd:double"&gt;0.16095908&lt;/D&gt;&lt;D xsi:type="xsd:double"&gt;0.40438142&lt;/D&gt;&lt;D xsi:type="xsd:double"&gt;0.45402867&lt;/D&gt;&lt;D xsi:type="xsd:double"&gt;0.51456714&lt;/D&gt;&lt;D xsi:type="xsd:double"&gt;0.26409146&lt;/D&gt;&lt;D xsi:type="xsd:double"&gt;0.39198723&lt;/D&gt;&lt;D xsi:type="xsd:double"&gt;0.5399711&lt;/D&gt;&lt;D xsi:type="xsd:double"&gt;0.4808563&lt;/D&gt;&lt;D xsi:type="xsd:double"&gt;0.42491433&lt;/D&gt;&lt;D xsi:type="xsd:double"&gt;0.15690845&lt;/D&gt;&lt;D xsi:type="xsd:double"&gt;0.88173735&lt;/D&gt;&lt;D xsi:type="xsd:double"&gt;1&lt;/D&gt;&lt;D xsi:type="xsd:double"&gt;0.121826276&lt;/D&gt;&lt;D xsi:type="xsd:double"&gt;0.42422023&lt;/D&gt;&lt;D xsi:type="xsd:double"&gt;0.22820488&lt;/D&gt;&lt;D xsi:type="xsd:double"&gt;0.44700685&lt;/D&gt;&lt;D xsi:type="xsd:double"&gt;0.32116455&lt;/D&gt;&lt;D xsi:type="xsd:double"&gt;0.39673948&lt;/D&gt;&lt;D xsi:type="xsd:double"&gt;0.2770046&lt;/D&gt;&lt;D xsi:type="xsd:double"&gt;0.33722252&lt;/D&gt;&lt;D xsi:type="xsd:double"&gt;0.12520835&lt;/D&gt;&lt;D xsi:type="xsd:double"&gt;0.057950255&lt;/D&gt;&lt;D xsi:type="xsd:double"&gt;0.3835561&lt;/D&gt;&lt;D xsi:type="xsd:double"&gt;0.5236233&lt;/D&gt;&lt;D xsi:type="xsd:double"&gt;0.38375455&lt;/D&gt;&lt;D xsi:type="xsd:double"&gt;0.38851005&lt;/D&gt;&lt;D xsi:type="xsd:double"&gt;0.4341406&lt;/D&gt;&lt;D xsi:type="xsd:double"&gt;0.1691443&lt;/D&gt;&lt;D xsi:type="xsd:double"&gt;0.30399925&lt;/D&gt;&lt;D xsi:type="xsd:double"&gt;0.4461775&lt;/D&gt;&lt;D xsi:type="xsd:double"&gt;0.28398523&lt;/D&gt;&lt;D xsi:type="xsd:double"&gt;0.073454365&lt;/D&gt;&lt;D xsi:type="xsd:double"&gt;0.18750893&lt;/D&gt;&lt;D xsi:type="xsd:double"&gt;0.43069217&lt;/D&gt;&lt;D xsi:type="xsd:double"&gt;0.500421&lt;/D&gt;&lt;D xsi:type="xsd:double"&gt;0.5664322&lt;/D&gt;&lt;D xsi:type="xsd:double"&gt;0.2987343&lt;/D&gt;&lt;D xsi:type="xsd:double"&gt;0.38738152&lt;/D&gt;&lt;D xsi:type="xsd:double"&gt;0.5602167&lt;/D&gt;&lt;D xsi:type="xsd:double"&gt;0.016145427&lt;/D&gt;&lt;D xsi:type="xsd:double"&gt;0.02683493&lt;/D&gt;&lt;D xsi:type="xsd:double"&gt;0.27212468&lt;/D&gt;&lt;D xsi:type="xsd:double"&gt;0.1128113&lt;/D&gt;&lt;D xsi:type="xsd:double"&gt;0.121826276&lt;/D&gt;&lt;D xsi:type="xsd:double"&gt;1&lt;/D&gt;&lt;D xsi:type="xsd:double"&gt;0.03997197&lt;/D&gt;&lt;D xsi:type="xsd:double"&gt;0.3438901&lt;/D&gt;&lt;D xsi:type="xsd:double"&gt;0.05402053&lt;/D&gt;&lt;D xsi:type="xsd:double"&gt;0.025981035&lt;/D&gt;&lt;D xsi:type="xsd:double"&gt;0.035275526&lt;/D&gt;&lt;D xsi:type="xsd:double"&gt;0.3355551&lt;/D&gt;&lt;D xsi:type="xsd:double"&gt;0.22893472&lt;/D&gt;&lt;D xsi:type="xsd:double"&gt;0.28797138&lt;/D&gt;&lt;D xsi:type="xsd:double"&gt;0.13305753&lt;/D&gt;&lt;D xsi:type="xsd:double"&gt;0.13162139&lt;/D&gt;&lt;D xsi:type="xsd:double"&gt;0.046338905&lt;/D&gt;&lt;D xsi:type="xsd:double"&gt;0.020011267&lt;/D&gt;&lt;D xsi:type="xsd:double"&gt;0.12381701&lt;/D&gt;&lt;D xsi:type="xsd:double"&gt;0.17518488&lt;/D&gt;&lt;D xsi:type="xsd:double"&gt;0.041053824&lt;/D&gt;&lt;D xsi:type="xsd:double"&gt;0.23730204&lt;/D&gt;&lt;D xsi:type="xsd:double"&gt;0.098312415&lt;/D&gt;&lt;D xsi:type="xsd:double"&gt;0.12150303&lt;/D&gt;&lt;D xsi:type="xsd:double"&gt;0.06315047&lt;/D&gt;&lt;D xsi:type="xsd:double"&gt;0.28705734&lt;/D&gt;&lt;D xsi:type="xsd:double"&gt;0.03587716&lt;/D&gt;&lt;D xsi:type="xsd:double"&gt;0.069559805&lt;/D&gt;&lt;D xsi:type="xsd:double"&gt;0.068910554&lt;/D&gt;&lt;D xsi:type="xsd:double"&gt;0.18897523&lt;/D&gt;&lt;D xsi:type="xsd:double"&gt;0.13355766&lt;/D&gt;&lt;D xsi:type="xsd:double"&gt;0.12608184&lt;/D&gt;&lt;D xsi:type="xsd:double"&gt;0.5822661&lt;/D&gt;&lt;D xsi:type="xsd:double"&gt;0.50340265&lt;/D&gt;&lt;D xsi:type="xsd:double"&gt;0.1915429&lt;/D&gt;&lt;D xsi:type="xsd:double"&gt;0.39051622&lt;/D&gt;&lt;D xsi:type="xsd:double"&gt;0.42422023&lt;/D&gt;&lt;D xsi:type="xsd:double"&gt;0.03997197&lt;/D&gt;&lt;D xsi:type="xsd:double"&gt;1&lt;/D&gt;&lt;D xsi:type="xsd:double"&gt;0.19588377&lt;/D&gt;&lt;D xsi:type="xsd:double"&gt;0.38918862&lt;/D&gt;&lt;D xsi:type="xsd:double"&gt;0.7003524&lt;/D&gt;&lt;D xsi:type="xsd:double"&gt;0.30205593&lt;/D&gt;&lt;D xsi:type="xsd:double"&gt;0.3510487&lt;/D&gt;&lt;D xsi:type="xsd:double"&gt;0.27095345&lt;/D&gt;&lt;D xsi:type="xsd:double"&gt;0.10183631&lt;/D&gt;&lt;D xsi:type="xsd:double"&gt;0.086207494&lt;/D&gt;&lt;D xsi:type="xsd:double"&gt;0.31032413&lt;/D&gt;&lt;D xsi:type="xsd:double"&gt;0.5533673&lt;/D&gt;&lt;D xsi:type="xsd:double"&gt;0.3235543&lt;/D&gt;&lt;D xsi:type="xsd:double"&gt;0.4569311&lt;/D&gt;&lt;D xsi:type="xsd:double"&gt;0.38298845&lt;/D&gt;&lt;D xsi:type="xsd:double"&gt;0.18508182&lt;/D&gt;&lt;D xsi:type="xsd:double"&gt;0.44080138&lt;/D&gt;&lt;D xsi:type="xsd:double"&gt;0.38972098&lt;/D&gt;&lt;D xsi:type="xsd:double"&gt;0.15856995&lt;/D&gt;&lt;D xsi:type="xsd:double"&gt;0.07262522&lt;/D&gt;&lt;D xsi:type="xsd:double"&gt;0.21007457&lt;/D&gt;&lt;D xsi:type="xsd:double"&gt;0.4502916&lt;/D&gt;&lt;D xsi:type="xsd:double"&gt;0.5513974&lt;/D&gt;&lt;D xsi:type="xsd:double"&gt;0.45197335&lt;/D&gt;&lt;D xsi:type="xsd:double"&gt;0.2628503&lt;/D&gt;&lt;D xsi:type="xsd:double"&gt;0.34209198&lt;/D&gt;&lt;D xsi:type="xsd:double"&gt;0.48905623&lt;/D&gt;&lt;D xsi:type="xsd:double"&gt;0.14425503&lt;/D&gt;&lt;D xsi:type="xsd:double"&gt;0.098878205&lt;/D&gt;&lt;D xsi:type="xsd:double"&gt;0.54103786&lt;/D&gt;&lt;D xsi:type="xsd:double"&gt;0.21412763&lt;/D&gt;&lt;D xsi:type="xsd:double"&gt;0.22820488&lt;/D&gt;&lt;D xsi:type="xsd:double"&gt;0.3438901&lt;/D&gt;&lt;D xsi:type="xsd:double"&gt;0.19588377&lt;/D&gt;&lt;D xsi:type="xsd:double"&gt;1&lt;/D&gt;&lt;D xsi:type="xsd:double"&gt;0.122936726&lt;/D&gt;&lt;D xsi:type="xsd:double"&gt;0.10890806&lt;/D&gt;&lt;D xsi:type="xsd:double"&gt;0.0957226&lt;/D&gt;&lt;D xsi:type="xsd:double"&gt;0.44998568&lt;/D&gt;&lt;D xsi:type="xsd:double"&gt;0.39820796&lt;/D&gt;&lt;D xsi:type="xsd:double"&gt;0.3448901&lt;/D&gt;&lt;D xsi:type="xsd:double"&gt;0.08669336&lt;/D&gt;&lt;D xsi:type="xsd:double"&gt;0.22101165&lt;/D&gt;&lt;D xsi:type="xsd:double"&gt;0.19934581&lt;/D&gt;&lt;D xsi:type="xsd:double"&gt;0.1659841&lt;/D&gt;&lt;D xsi:type="xsd:double"&gt;0.14290443&lt;/D&gt;&lt;D xsi:type="xsd:double"&gt;0.2110136&lt;/D&gt;&lt;D xsi:type="xsd:double"&gt;0.15060684&lt;/D&gt;&lt;D xsi:type="xsd:double"&gt;0.3877785&lt;/D&gt;&lt;D xsi:type="xsd:double"&gt;0.110066496&lt;/D&gt;&lt;D xsi:type="xsd:double"&gt;0.14030321&lt;/D&gt;&lt;D xsi:type="xsd:double"&gt;0.04464204&lt;/D&gt;&lt;D xsi:type="xsd:double"&gt;0.37145242&lt;/D&gt;&lt;D xsi:type="xsd:double"&gt;0.15192589&lt;/D&gt;&lt;D xsi:type="xsd:double"&gt;0.1776095&lt;/D&gt;&lt;D xsi:type="xsd:double"&gt;0.17202592&lt;/D&gt;&lt;D xsi:type="xsd:double"&gt;0.36710358&lt;/D&gt;&lt;D xsi:type="xsd:double"&gt;0.14558794&lt;/D&gt;&lt;D xsi:type="xsd:double"&gt;0.25797442&lt;/D&gt;&lt;D xsi:type="xsd:double"&gt;0.3014616&lt;/D&gt;&lt;D xsi:type="xsd:double"&gt;0.29815143&lt;/D&gt;&lt;D xsi:type="xsd:double"&gt;0.094351865&lt;/D&gt;&lt;D xsi:type="xsd:double"&gt;0.418707&lt;/D&gt;&lt;D xsi:type="xsd:double"&gt;0.44700685&lt;/D&gt;&lt;D xsi:type="xsd:double"&gt;0.05402053&lt;/D&gt;&lt;D xsi:type="xsd:double"&gt;0.38918862&lt;/D&gt;&lt;D xsi:type="xsd:double"&gt;0.122936726&lt;/D&gt;&lt;D xsi:type="xsd:double"&gt;1&lt;/D&gt;&lt;D xsi:type="xsd:double"&gt;0.36634833&lt;/D&gt;&lt;D xsi:type="xsd:double"&gt;0.41518444&lt;/D&gt;&lt;D xsi:type="xsd:double"&gt;0.1663605&lt;/D&gt;&lt;D xsi:type="xsd:double"&gt;0.4172788&lt;/D&gt;&lt;D xsi:type="xsd:double"&gt;0.03741375&lt;/D&gt;&lt;D xsi:type="xsd:double"&gt;0.03402584&lt;/D&gt;&lt;D xsi:type="xsd:double"&gt;0.25862768&lt;/D&gt;&lt;D xsi:type="xsd:double"&gt;0.33655694&lt;/D&gt;&lt;D xsi:type="xsd:double"&gt;0.24646682&lt;/D&gt;&lt;D xsi:type="xsd:double"&gt;0.37180993&lt;/D&gt;&lt;D xsi:type="xsd:double"&gt;0.23793127&lt;/D&gt;&lt;D xsi:type="xsd:double"&gt;0.13513638&lt;/D&gt;&lt;D xsi:type="xsd:double"&gt;0.26889184&lt;/D&gt;&lt;D xsi:type="xsd:double"&gt;0.41050643&lt;/D&gt;&lt;D xsi:type="xsd:double"&gt;0.20242758&lt;/D&gt;&lt;D xsi:type="xsd:double"&gt;0.06133442&lt;/D&gt;&lt;D xsi:type="xsd:double"&gt;0.1371865&lt;/D&gt;&lt;D xsi:type="xsd:double"&gt;0.21784183&lt;/D&gt;&lt;D xsi:type="xsd:double"&gt;0.34777665&lt;/D&gt;&lt;D xsi:type="xsd:double"&gt;0.49389368&lt;/D&gt;&lt;D xsi:type="xsd:double"&gt;0.2692853&lt;/D&gt;&lt;D xsi:type="xsd:double"&gt;0.28647375&lt;/D&gt;&lt;D xsi:type="xsd:double"&gt;0.38403314&lt;/D&gt;&lt;D xsi:type="xsd:double"&gt;0.4903793&lt;/D&gt;&lt;D xsi:type="xsd:double"&gt;0.45100883&lt;/D&gt;&lt;D xsi:type="xsd:double"&gt;0.13669819&lt;/D&gt;&lt;D xsi:type="xsd:double"&gt;0.30322325&lt;/D&gt;&lt;D xsi:type="xsd:double"&gt;0.32116455&lt;/D&gt;&lt;D xsi:type="xsd:double"&gt;0.025981035&lt;/D&gt;&lt;D xsi:type="xsd:double"&gt;0.7003524&lt;/D&gt;&lt;D xsi:type="xsd:double"&gt;0.10890806&lt;/D&gt;&lt;D xsi:type="xsd:double"&gt;0.36634833&lt;/D&gt;&lt;D xsi:type="xsd:double"&gt;1&lt;/D&gt;&lt;D xsi:type="xsd:double"&gt;0.26972643&lt;/D&gt;&lt;D xsi:type="xsd:double"&gt;0.2576659&lt;/D&gt;&lt;D xsi:type="xsd:double"&gt;0.22681463&lt;/D&gt;&lt;D xsi:type="xsd:double"&gt;0.047630403&lt;/D&gt;&lt;D xsi:type="xsd:double"&gt;0.12007378&lt;/D&gt;&lt;D xsi:type="xsd:double"&gt;0.26383513&lt;/D&gt;&lt;D xsi:type="xsd:double"&gt;0.44004235&lt;/D&gt;&lt;D xsi:type="xsd:double"&gt;0.22611693&lt;/D&gt;&lt;D xsi:type="xsd:double"&gt;0.36989662&lt;/D&gt;&lt;D xsi:type="xsd:double"&gt;0.25573727&lt;/D&gt;&lt;D xsi:type="xsd:double"&gt;0.16203232&lt;/D&gt;&lt;D xsi:type="xsd:double"&gt;0.32127917&lt;/D&gt;&lt;D xsi:type="xsd:double"&gt;0.30762088&lt;/D&gt;&lt;D xsi:type="xsd:double"&gt;0.07632956&lt;/D&gt;&lt;D xsi:type="xsd:double"&gt;0.09366875&lt;/D&gt;&lt;D xsi:type="xsd:double"&gt;0.1447472&lt;/D&gt;&lt;D xsi:type="xsd:double"&gt;0.36428177&lt;/D&gt;&lt;D xsi:type="xsd:double"&gt;0.4650613&lt;/D&gt;&lt;D xsi:type="xsd:double"&gt;0.3971287&lt;/D&gt;&lt;D xsi:type="xsd:double"&gt;0.17484505&lt;/D&gt;&lt;D xsi:type="xsd:double"&gt;0.2578943&lt;/D&gt;&lt;D xsi:type="xsd:double"&gt;0.38030174&lt;/D&gt;&lt;D xsi:type="xsd:double"&gt;0.267167&lt;/D&gt;&lt;D xsi:type="xsd:double"&gt;0.24902625&lt;/D&gt;&lt;D xsi:type="xsd:double"&gt;0.09851729&lt;/D&gt;&lt;D xsi:type="xsd:double"&gt;0.37733322&lt;/D&gt;&lt;D xsi:type="xsd:double"&gt;0.39673948&lt;/D&gt;&lt;D xsi:type="xsd:double"&gt;0.035275526&lt;/D&gt;&lt;D xsi:type="xsd:double"&gt;0.30205593&lt;/D&gt;&lt;D xsi:type="xsd:double"&gt;0.0957226&lt;/D&gt;&lt;D xsi:type="xsd:double"&gt;0.41518444&lt;/D&gt;&lt;D xsi:type="xsd:double"&gt;0.26972643&lt;/D&gt;&lt;D xsi:type="xsd:double"&gt;1&lt;/D&gt;&lt;D xsi:type="xsd:double"&gt;0.15361369&lt;/D&gt;&lt;D xsi:type="xsd:double"&gt;0.29598546&lt;/D&gt;&lt;D xsi:type="xsd:double"&gt;0.0005603322&lt;/D&gt;&lt;D xsi:type="xsd:double"&gt;0.0341788&lt;/D&gt;&lt;D xsi:type="xsd:double"&gt;0.3070179&lt;/D&gt;&lt;D xsi:type="xsd:double"&gt;0.317386&lt;/D&gt;&lt;D xsi:type="xsd:double"&gt;0.18734102&lt;/D&gt;&lt;D xsi:type="xsd:double"&gt;0.29130426&lt;/D&gt;&lt;D xsi:type="xsd:double"&gt;0.20451726&lt;/D&gt;&lt;D xsi:type="xsd:double"&gt;0.17271894&lt;/D&gt;&lt;D xsi:type="xsd:double"&gt;0.22151203&lt;/D&gt;&lt;D xsi:type="xsd:double"&gt;0.3963527&lt;/D&gt;&lt;D xsi:type="xsd:double"&gt;0.23189104&lt;/D&gt;&lt;D xsi:type="xsd:double"&gt;0.10204573&lt;/D&gt;&lt;D xsi:type="xsd:double"&gt;0.06167387&lt;/D&gt;&lt;D xsi:type="xsd:double"&gt;0.23859946&lt;/D&gt;&lt;D xsi:type="xsd:double"&gt;0.32080665&lt;/D&gt;&lt;D xsi:type="xsd:double"&gt;0.39641568&lt;/D&gt;&lt;D xsi:type="xsd:double"&gt;0.20724937&lt;/D&gt;&lt;D xsi:type="xsd:double"&gt;0.27418944&lt;/D&gt;&lt;D xsi:type="xsd:double"&gt;0.33861277&lt;/D&gt;&lt;D xsi:type="xsd:double"&gt;0.27763397&lt;/D&gt;&lt;D xsi:type="xsd:double"&gt;0.21984063&lt;/D&gt;&lt;D xsi:type="xsd:double"&gt;0.45928076&lt;/D&gt;&lt;D xsi:type="xsd:double"&gt;0.27664655&lt;/D&gt;&lt;D xsi:type="xsd:double"&gt;0.2770046&lt;/D&gt;&lt;D xsi:type="xsd:double"&gt;0.3355551&lt;/D&gt;&lt;D xsi:type="xsd:double"&gt;0.3510487&lt;/D&gt;&lt;D xsi:type="xsd:double"&gt;0.44998568&lt;/D&gt;&lt;D xsi:type="xsd:double"&gt;0.1663605&lt;/D&gt;&lt;D xsi:type="xsd:double"&gt;0.2576659&lt;/D&gt;&lt;D xsi:type="xsd:double"&gt;0.15361369&lt;/D&gt;&lt;D xsi:type="xsd:double"&gt;1&lt;/D&gt;&lt;D xsi:type="xsd:double"&gt;0.4245813&lt;/D&gt;&lt;D xsi:type="xsd:double"&gt;0.35048857&lt;/D&gt;&lt;D xsi:type="xsd:double"&gt;0.12665023&lt;/D&gt;&lt;D xsi:type="xsd:double"&gt;0.23366344&lt;/D&gt;&lt;D xsi:type="xsd:double"&gt;0.30833653&lt;/D&gt;&lt;D xsi:type="xsd:double"&gt;0.22989279&lt;/D&gt;&lt;D xsi:type="xsd:double"&gt;0.32436532&lt;/D&gt;&lt;D xsi:type="xsd:double"&gt;0.31517896&lt;/D&gt;&lt;D xsi:type="xsd:double"&gt;0.16125801&lt;/D&gt;&lt;D xsi:type="xsd:double"&gt;0.57328904&lt;/D&gt;&lt;D xsi:type="xsd:double"&gt;0.25776264&lt;/D&gt;&lt;D xsi:type="xsd:double"&gt;0.15172534&lt;/D&gt;&lt;D xsi:type="xsd:double"&gt;0.07501913&lt;/D&gt;&lt;D xsi:type="xsd:double"&gt;0.52231896&lt;/D&gt;&lt;D xsi:type="xsd:double"&gt;0.23014224&lt;/D&gt;&lt;D xsi:type="xsd:double"&gt;0.30139518&lt;/D&gt;&lt;D xsi:type="xsd:double"&gt;0.18981889&lt;/D&gt;&lt;D xsi:type="xsd:double"&gt;0.34089434&lt;/D&gt;&lt;D xsi:type="xsd:double"&gt;0.3137019&lt;/D&gt;&lt;D xsi:type="xsd:double"&gt;0.40515828&lt;/D&gt;&lt;D xsi:type="xsd:double"&gt;0.17271675&lt;/D&gt;&lt;D xsi:type="xsd:double"&gt;0.18892059&lt;/D&gt;&lt;D xsi:type="xsd:double"&gt;0.28440186&lt;/D&gt;&lt;D xsi:type="xsd:double"&gt;0.3022692&lt;/D&gt;&lt;D xsi:type="xsd:double"&gt;0.33722252&lt;/D&gt;&lt;D xsi:type="xsd:double"&gt;0.22893472&lt;/D&gt;&lt;D xsi:type="xsd:double"&gt;0.27095345&lt;/D&gt;&lt;D xsi:type="xsd:double"&gt;0.39820796&lt;/D&gt;&lt;D xsi:type="xsd:double"&gt;0.4172788&lt;/D&gt;&lt;D xsi:type="xsd:double"&gt;0.22681463&lt;/D&gt;&lt;D xsi:type="xsd:double"&gt;0.29598546&lt;/D&gt;&lt;D xsi:type="xsd:double"&gt;0.4245813&lt;/D&gt;&lt;D xsi:type="xsd:double"&gt;1&lt;/D&gt;&lt;D xsi:type="xsd:double"&gt;0.21131513&lt;/D&gt;&lt;D xsi:type="xsd:double"&gt;0.14178161&lt;/D&gt;&lt;D xsi:type="xsd:double"&gt;0.29576716&lt;/D&gt;&lt;D xsi:type="xsd:double"&gt;0.21018147&lt;/D&gt;&lt;D xsi:type="xsd:double"&gt;0.17405881&lt;/D&gt;&lt;D xsi:type="xsd:double"&gt;0.2884078&lt;/D&gt;&lt;D xsi:type="xsd:double"&gt;0.10838473&lt;/D&gt;&lt;D xsi:type="xsd:double"&gt;0.17025054&lt;/D&gt;&lt;D xsi:type="xsd:double"&gt;0.49826986&lt;/D&gt;&lt;D xsi:type="xsd:double"&gt;0.24358143&lt;/D&gt;&lt;D xsi:type="xsd:double"&gt;0.12743644&lt;/D&gt;&lt;D xsi:type="xsd:double"&gt;0.110910505&lt;/D&gt;&lt;D xsi:type="xsd:double"&gt;0.28363976&lt;/D&gt;&lt;D xsi:type="xsd:double"&gt;0.14111637&lt;/D&gt;&lt;D xsi:type="xsd:double"&gt;0.20658293&lt;/D&gt;&lt;D xsi:type="xsd:double"&gt;0.40367833&lt;/D&gt;&lt;D xsi:type="xsd:double"&gt;0.5067775&lt;/D&gt;&lt;D xsi:type="xsd:double"&gt;0.17269012&lt;/D&gt;&lt;D xsi:type="xsd:double"&gt;0.24065845&lt;/D&gt;&lt;D xsi:type="xsd:double"&gt;0.089628235&lt;/D&gt;&lt;D xsi:type="xsd:double"&gt;0.061816532&lt;/D&gt;&lt;D xsi:type="xsd:double"&gt;0.29977077&lt;/D&gt;&lt;D xsi:type="xsd:double"&gt;0.1277087&lt;/D&gt;&lt;D xsi:type="xsd:double"&gt;0.12520835&lt;/D&gt;&lt;D xsi:type="xsd:double"&gt;0.28797138&lt;/D&gt;&lt;D xsi:type="xsd:double"&gt;0.10183631&lt;/D&gt;&lt;D xsi:type="xsd:double"&gt;0.3448901&lt;/D&gt;&lt;D xsi:type="xsd:double"&gt;0.03741375&lt;/D&gt;&lt;D xsi:type="xsd:double"&gt;0.047630403&lt;/D&gt;&lt;D xsi:type="xsd:double"&gt;0.0005603322&lt;/D&gt;&lt;D xsi:type="xsd:double"&gt;0.35048857&lt;/D&gt;&lt;D xsi:type="xsd:double"&gt;0.21131513&lt;/D&gt;&lt;D xsi:type="xsd:double"&gt;1&lt;/D&gt;&lt;D xsi:type="xsd:double"&gt;0.07535537&lt;/D&gt;&lt;D xsi:type="xsd:double"&gt;0.16362783&lt;/D&gt;&lt;D xsi:type="xsd:double"&gt;0.13735245&lt;/D&gt;&lt;D xsi:type="xsd:double"&gt;0.07182634&lt;/D&gt;&lt;D xsi:type="xsd:double"&gt;0.13387391&lt;/D&gt;&lt;D xsi:type="xsd:double"&gt;0.1921412&lt;/D&gt;&lt;D xsi:type="xsd:double"&gt;0.07625269&lt;/D&gt;&lt;D xsi:type="xsd:double"&gt;0.27645284&lt;/D&gt;&lt;D xsi:type="xsd:double"&gt;0.090241775&lt;/D&gt;&lt;D xsi:type="xsd:double"&gt;0.104383096&lt;/D&gt;&lt;D xsi:type="xsd:double"&gt;0.04397877&lt;/D&gt;&lt;D xsi:type="xsd:double"&gt;0.29526287&lt;/D&gt;&lt;D xsi:type="xsd:double"&gt;0.12870222&lt;/D&gt;&lt;D xsi:type="xsd:double"&gt;0.09197058&lt;/D&gt;&lt;D xsi:type="xsd:double"&gt;0.038462576&lt;/D&gt;&lt;D xsi:type="xsd:double"&gt;0.1849121&lt;/D&gt;&lt;D xsi:type="xsd:double"&gt;0.14701863&lt;/D&gt;&lt;D xsi:type="xsd:double"&gt;0.22151062&lt;/D&gt;&lt;D xsi:type="xsd:double"&gt;0.008310933&lt;/D&gt;&lt;D xsi:type="xsd:double"&gt;0.044050697&lt;/D&gt;&lt;D xsi:type="xsd:double"&gt;0.12050736&lt;/D&gt;&lt;D xsi:type="xsd:double"&gt;0.052469287&lt;/D&gt;&lt;D xsi:type="xsd:double"&gt;0.057950255&lt;/D&gt;&lt;D xsi:type="xsd:double"&gt;0.13305753&lt;/D&gt;&lt;D xsi:type="xsd:double"&gt;0.086207494&lt;/D&gt;&lt;D xsi:type="xsd:double"&gt;0.08669336&lt;/D&gt;&lt;D xsi:type="xsd:double"&gt;0.03402584&lt;/D&gt;&lt;D xsi:type="xsd:double"&gt;0.12007378&lt;/D&gt;&lt;D xsi:type="xsd:double"&gt;0.0341788&lt;/D&gt;&lt;D xsi:type="xsd:double"&gt;0.12665023&lt;/D&gt;&lt;D xsi:type="xsd:double"&gt;0.14178161&lt;/D&gt;&lt;D xsi:type="xsd:double"&gt;0.07535537&lt;/D&gt;&lt;D xsi:type="xsd:double"&gt;1&lt;/D&gt;&lt;D xsi:type="xsd:double"&gt;0.10757822&lt;/D&gt;&lt;D xsi:type="xsd:double"&gt;0.03903523&lt;/D&gt;&lt;D xsi:type="xsd:double"&gt;0.037537426&lt;/D&gt;&lt;D xsi:type="xsd:double"&gt;0.048805915&lt;/D&gt;&lt;D xsi:type="xsd:double"&gt;0.053312283&lt;/D&gt;&lt;D xsi:type="xsd:double"&gt;0.11416633&lt;/D&gt;&lt;D xsi:type="xsd:double"&gt;0.16275035&lt;/D&gt;&lt;D xsi:type="xsd:double"&gt;0.052125268&lt;/D&gt;&lt;D xsi:type="xsd:double"&gt;-0.018566653&lt;/D&gt;&lt;D xsi:type="xsd:double"&gt;0.12656653&lt;/D&gt;&lt;D xsi:type="xsd:double"&gt;0.09439859&lt;/D&gt;&lt;D xsi:type="xsd:double"&gt;0.025650848&lt;/D&gt;&lt;D xsi:type="xsd:double"&gt;0.042687595&lt;/D&gt;&lt;D xsi:type="xsd:double"&gt;0.08137319&lt;/D&gt;&lt;D xsi:type="xsd:double"&gt;0.12958428&lt;/D&gt;&lt;D xsi:type="xsd:double"&gt;0.009492949&lt;/D&gt;&lt;D xsi:type="xsd:double"&gt;0.04938311&lt;/D&gt;&lt;D xsi:type="xsd:double"&gt;0.28786197&lt;/D&gt;&lt;D xsi:type="xsd:double"&gt;0.26997408&lt;/D&gt;&lt;D xsi:type="xsd:double"&gt;0.19495247&lt;/D&gt;&lt;D xsi:type="xsd:double"&gt;0.33338684&lt;/D&gt;&lt;D xsi:type="xsd:double"&gt;0.3835561&lt;/D&gt;&lt;D xsi:type="xsd:double"&gt;0.13162139&lt;/D&gt;&lt;D xsi:type="xsd:double"&gt;0.31032413&lt;/D&gt;&lt;D xsi:type="xsd:double"&gt;0.22101165&lt;/D&gt;&lt;D xsi:type="xsd:double"&gt;0.25862768&lt;/D&gt;&lt;D xsi:type="xsd:double"&gt;0.26383513&lt;/D&gt;&lt;D xsi:type="xsd:double"&gt;0.3070179&lt;/D&gt;&lt;D xsi:type="xsd:double"&gt;0.23366344&lt;/D&gt;&lt;D xsi:type="xsd:double"&gt;0.29576716&lt;/D&gt;&lt;D xsi:type="xsd:double"&gt;0.16362783&lt;/D&gt;&lt;D xsi:type="xsd:double"&gt;0.10757822&lt;/D&gt;&lt;D xsi:type="xsd:double"&gt;1&lt;/D&gt;&lt;D xsi:type="xsd:double"&gt;0.31683585&lt;/D&gt;&lt;D xsi:type="xsd:double"&gt;0.22424337&lt;/D&gt;&lt;D xsi:type="xsd:double"&gt;0.28096628&lt;/D&gt;&lt;D xsi:type="xsd:double"&gt;0.26792565&lt;/D&gt;&lt;D xsi:type="xsd:double"&gt;0.16979149&lt;/D&gt;&lt;D xsi:type="xsd:double"&gt;0.2691437&lt;/D&gt;&lt;D xsi:type="xsd:double"&gt;0.28594357&lt;/D&gt;&lt;D xsi:type="xsd:double"&gt;0.1561577&lt;/D&gt;&lt;D xsi:type="xsd:double"&gt;0.12752318&lt;/D&gt;&lt;D xsi:type="xsd:double"&gt;0.17824054&lt;/D&gt;&lt;D xsi:type="xsd:double"&gt;0.26493755&lt;/D&gt;&lt;D xsi:type="xsd:double"&gt;0.35084158&lt;/D&gt;&lt;D xsi:type="xsd:double"&gt;0.3396367&lt;/D&gt;&lt;D xsi:type="xsd:double"&gt;0.27277035&lt;/D&gt;&lt;D xsi:type="xsd:double"&gt;0.23394033&lt;/D&gt;&lt;D xsi:type="xsd:double"&gt;0.31985283&lt;/D&gt;&lt;D xsi:type="xsd:double"&gt;0.62596166&lt;/D&gt;&lt;D xsi:type="xsd:double"&gt;0.54476255&lt;/D&gt;&lt;D xsi:type="xsd:double"&gt;0.18303666&lt;/D&gt;&lt;D xsi:type="xsd:double"&gt;0.4823142&lt;/D&gt;&lt;D xsi:type="xsd:double"&gt;0.5236233&lt;/D&gt;&lt;D xsi:type="xsd:double"&gt;0.046338905&lt;/D&gt;&lt;D xsi:type="xsd:double"&gt;0.5533673&lt;/D&gt;&lt;D xsi:type="xsd:double"&gt;0.19934581&lt;/D&gt;&lt;D xsi:type="xsd:double"&gt;0.33655694&lt;/D&gt;&lt;D xsi:type="xsd:double"&gt;0.44004235&lt;/D&gt;&lt;D xsi:type="xsd:double"&gt;0.317386&lt;/D&gt;&lt;D xsi:type="xsd:double"&gt;0.30833653&lt;/D&gt;&lt;D xsi:type="xsd:double"&gt;0.21018147&lt;/D&gt;&lt;D xsi:type="xsd:double"&gt;0.13735245&lt;/D&gt;&lt;D xsi:type="xsd:double"&gt;0.03903523&lt;/D&gt;&lt;D xsi:type="xsd:double"&gt;0.31683585&lt;/D&gt;&lt;D xsi:type="xsd:double"&gt;1&lt;/D&gt;&lt;D xsi:type="xsd:double"&gt;0.3925602&lt;/D&gt;&lt;D xsi:type="xsd:double"&gt;0.39339897&lt;/D&gt;&lt;D xsi:type="xsd:double"&gt;0.4661218&lt;/D&gt;&lt;D xsi:type="xsd:double"&gt;0.15552998&lt;/D&gt;&lt;D xsi:type="xsd:double"&gt;0.28714323&lt;/D&gt;&lt;D xsi:type="xsd:double"&gt;0.3891098&lt;/D&gt;&lt;D xsi:type="xsd:double"&gt;0.2171235&lt;/D&gt;&lt;D xsi:type="xsd:double"&gt;0.054165937&lt;/D&gt;&lt;D xsi:type="xsd:double"&gt;0.21849826&lt;/D&gt;&lt;D xsi:type="xsd:double"&gt;0.6106168&lt;/D&gt;&lt;D xsi:type="xsd:double"&gt;0.64434785&lt;/D&gt;&lt;D xsi:type="xsd:double"&gt;0.44671327&lt;/D&gt;&lt;D xsi:type="xsd:double"&gt;0.21181017&lt;/D&gt;&lt;D xsi:type="xsd:double"&gt;0.39583263&lt;/D&gt;&lt;D xsi:type="xsd:double"&gt;0.57665265&lt;/D&gt;&lt;D xsi:type="xsd:double"&gt;0.35392687&lt;/D&gt;&lt;D xsi:type="xsd:double"&gt;0.32421997&lt;/D&gt;&lt;D xsi:type="xsd:double"&gt;0.18619199&lt;/D&gt;&lt;D xsi:type="xsd:double"&gt;0.3527749&lt;/D&gt;&lt;D xsi:type="xsd:double"&gt;0.38375455&lt;/D&gt;&lt;D xsi:type="xsd:double"&gt;0.020011267&lt;/D&gt;&lt;D xsi:type="xsd:double"&gt;0.3235543&lt;/D&gt;&lt;D xsi:type="xsd:double"&gt;0.1659841&lt;/D&gt;&lt;D xsi:type="xsd:double"&gt;0.24646682&lt;/D&gt;&lt;D xsi:type="xsd:double"&gt;0.22611693&lt;/D&gt;&lt;D xsi:type="xsd:double"&gt;0.18734102&lt;/D&gt;&lt;D xsi:type="xsd:double"&gt;0.22989279&lt;/D&gt;&lt;D xsi:type="xsd:double"&gt;0.17405881&lt;/D&gt;&lt;D xsi:type="xsd:double"&gt;0.07182634&lt;/D&gt;&lt;D xsi:type="xsd:double"&gt;0.037537426&lt;/D&gt;&lt;D xsi:type="xsd:double"&gt;0.22424337&lt;/D&gt;&lt;D xsi:type="xsd:double"&gt;0.3925602&lt;/D&gt;&lt;D xsi:type="xsd:double"&gt;1&lt;/D&gt;&lt;D xsi:type="xsd:double"&gt;0.19782186&lt;/D&gt;&lt;D xsi:type="xsd:double"&gt;0.36334464&lt;/D&gt;&lt;D xsi:type="xsd:double"&gt;0.1316958&lt;/D&gt;&lt;D xsi:type="xsd:double"&gt;0.20185311&lt;/D&gt;&lt;D xsi:type="xsd:double"&gt;0.2809613&lt;/D&gt;&lt;D xsi:type="xsd:double</t>
        </r>
      </text>
    </comment>
    <comment ref="A6" authorId="0" shapeId="0" xr:uid="{519DA3A0-845E-47B7-9C06-A53A5B3FCBDF}">
      <text>
        <r>
          <rPr>
            <b/>
            <sz val="9"/>
            <color indexed="81"/>
            <rFont val="Tahoma"/>
            <charset val="1"/>
          </rPr>
          <t>"&gt;0.15960535&lt;/D&gt;&lt;D xsi:type="xsd:double"&gt;0.05175569&lt;/D&gt;&lt;D xsi:type="xsd:double"&gt;0.17746663&lt;/D&gt;&lt;D xsi:type="xsd:double"&gt;0.2969387&lt;/D&gt;&lt;D xsi:type="xsd:double"&gt;0.37196097&lt;/D&gt;&lt;D xsi:type="xsd:double"&gt;0.318266&lt;/D&gt;&lt;D xsi:type="xsd:double"&gt;0.16762279&lt;/D&gt;&lt;D xsi:type="xsd:double"&gt;0.25086343&lt;/D&gt;&lt;D xsi:type="xsd:double"&gt;0.37441856&lt;/D&gt;&lt;D xsi:type="xsd:double"&gt;0.3587558&lt;/D&gt;&lt;D xsi:type="xsd:double"&gt;0.2996653&lt;/D&gt;&lt;D xsi:type="xsd:double"&gt;0.15717058&lt;/D&gt;&lt;D xsi:type="xsd:double"&gt;0.37868068&lt;/D&gt;&lt;D xsi:type="xsd:double"&gt;0.38851005&lt;/D&gt;&lt;D xsi:type="xsd:double"&gt;0.12381701&lt;/D&gt;&lt;D xsi:type="xsd:double"&gt;0.4569311&lt;/D&gt;&lt;D xsi:type="xsd:double"&gt;0.14290443&lt;/D&gt;&lt;D xsi:type="xsd:double"&gt;0.37180993&lt;/D&gt;&lt;D xsi:type="xsd:double"&gt;0.36989662&lt;/D&gt;&lt;D xsi:type="xsd:double"&gt;0.29130426&lt;/D&gt;&lt;D xsi:type="xsd:double"&gt;0.32436532&lt;/D&gt;&lt;D xsi:type="xsd:double"&gt;0.2884078&lt;/D&gt;&lt;D xsi:type="xsd:double"&gt;0.13387391&lt;/D&gt;&lt;D xsi:type="xsd:double"&gt;0.048805915&lt;/D&gt;&lt;D xsi:type="xsd:double"&gt;0.28096628&lt;/D&gt;&lt;D xsi:type="xsd:double"&gt;0.39339897&lt;/D&gt;&lt;D xsi:type="xsd:double"&gt;0.19782186&lt;/D&gt;&lt;D xsi:type="xsd:double"&gt;1&lt;/D&gt;&lt;D xsi:type="xsd:double"&gt;0.34693485&lt;/D&gt;&lt;D xsi:type="xsd:double"&gt;0.15949665&lt;/D&gt;&lt;D xsi:type="xsd:double"&gt;0.3754337&lt;/D&gt;&lt;D xsi:type="xsd:double"&gt;0.45536423&lt;/D&gt;&lt;D xsi:type="xsd:double"&gt;0.20926523&lt;/D&gt;&lt;D xsi:type="xsd:double"&gt;0.031968568&lt;/D&gt;&lt;D xsi:type="xsd:double"&gt;0.22803198&lt;/D&gt;&lt;D xsi:type="xsd:double"&gt;0.35311884&lt;/D&gt;&lt;D xsi:type="xsd:double"&gt;0.43644047&lt;/D&gt;&lt;D xsi:type="xsd:double"&gt;0.35342523&lt;/D&gt;&lt;D xsi:type="xsd:double"&gt;0.19715057&lt;/D&gt;&lt;D xsi:type="xsd:double"&gt;0.4101371&lt;/D&gt;&lt;D xsi:type="xsd:double"&gt;0.44597325&lt;/D&gt;&lt;D xsi:type="xsd:double"&gt;0.40642413&lt;/D&gt;&lt;D xsi:type="xsd:double"&gt;0.3569&lt;/D&gt;&lt;D xsi:type="xsd:double"&gt;0.1726982&lt;/D&gt;&lt;D xsi:type="xsd:double"&gt;0.41178825&lt;/D&gt;&lt;D xsi:type="xsd:double"&gt;0.4341406&lt;/D&gt;&lt;D xsi:type="xsd:double"&gt;0.17518488&lt;/D&gt;&lt;D xsi:type="xsd:double"&gt;0.38298845&lt;/D&gt;&lt;D xsi:type="xsd:double"&gt;0.2110136&lt;/D&gt;&lt;D xsi:type="xsd:double"&gt;0.23793127&lt;/D&gt;&lt;D xsi:type="xsd:double"&gt;0.25573727&lt;/D&gt;&lt;D xsi:type="xsd:double"&gt;0.20451726&lt;/D&gt;&lt;D xsi:type="xsd:double"&gt;0.31517896&lt;/D&gt;&lt;D xsi:type="xsd:double"&gt;0.10838473&lt;/D&gt;&lt;D xsi:type="xsd:double"&gt;0.1921412&lt;/D&gt;&lt;D xsi:type="xsd:double"&gt;0.053312283&lt;/D&gt;&lt;D xsi:type="xsd:double"&gt;0.26792565&lt;/D&gt;&lt;D xsi:type="xsd:double"&gt;0.4661218&lt;/D&gt;&lt;D xsi:type="xsd:double"&gt;0.36334464&lt;/D&gt;&lt;D xsi:type="xsd:double"&gt;0.34693485&lt;/D&gt;&lt;D xsi:type="xsd:double"&gt;1&lt;/D&gt;&lt;D xsi:type="xsd:double"&gt;0.13069318&lt;/D&gt;&lt;D xsi:type="xsd:double"&gt;0.23051614&lt;/D&gt;&lt;D xsi:type="xsd:double"&gt;0.39521497&lt;/D&gt;&lt;D xsi:type="xsd:double"&gt;0.27457425&lt;/D&gt;&lt;D xsi:type="xsd:double"&gt;0.05225324&lt;/D&gt;&lt;D xsi:type="xsd:double"&gt;0.1884587&lt;/D&gt;&lt;D xsi:type="xsd:double"&gt;0.3829848&lt;/D&gt;&lt;D xsi:type="xsd:double"&gt;0.42648733&lt;/D&gt;&lt;D xsi:type="xsd:double"&gt;0.29217255&lt;/D&gt;&lt;D xsi:type="xsd:double"&gt;0.1462819&lt;/D&gt;&lt;D xsi:type="xsd:double"&gt;0.43629214&lt;/D&gt;&lt;D xsi:type="xsd:double"&gt;0.53689325&lt;/D&gt;&lt;D xsi:type="xsd:double"&gt;0.1860025&lt;/D&gt;&lt;D xsi:type="xsd:double"&gt;0.2036618&lt;/D&gt;&lt;D xsi:type="xsd:double"&gt;0.13807361&lt;/D&gt;&lt;D xsi:type="xsd:double"&gt;0.14241678&lt;/D&gt;&lt;D xsi:type="xsd:double"&gt;0.1691443&lt;/D&gt;&lt;D xsi:type="xsd:double"&gt;0.041053824&lt;/D&gt;&lt;D xsi:type="xsd:double"&gt;0.18508182&lt;/D&gt;&lt;D xsi:type="xsd:double"&gt;0.15060684&lt;/D&gt;&lt;D xsi:type="xsd:double"&gt;0.13513638&lt;/D&gt;&lt;D xsi:type="xsd:double"&gt;0.16203232&lt;/D&gt;&lt;D xsi:type="xsd:double"&gt;0.17271894&lt;/D&gt;&lt;D xsi:type="xsd:double"&gt;0.16125801&lt;/D&gt;&lt;D xsi:type="xsd:double"&gt;0.17025054&lt;/D&gt;&lt;D xsi:type="xsd:double"&gt;0.07625269&lt;/D&gt;&lt;D xsi:type="xsd:double"&gt;0.11416633&lt;/D&gt;&lt;D xsi:type="xsd:double"&gt;0.16979149&lt;/D&gt;&lt;D xsi:type="xsd:double"&gt;0.15552998&lt;/D&gt;&lt;D xsi:type="xsd:double"&gt;0.1316958&lt;/D&gt;&lt;D xsi:type="xsd:double"&gt;0.15949665&lt;/D&gt;&lt;D xsi:type="xsd:double"&gt;0.13069318&lt;/D&gt;&lt;D xsi:type="xsd:double"&gt;1&lt;/D&gt;&lt;D xsi:type="xsd:double"&gt;0.1716022&lt;/D&gt;&lt;D xsi:type="xsd:double"&gt;0.1374936&lt;/D&gt;&lt;D xsi:type="xsd:double"&gt;0.078253455&lt;/D&gt;&lt;D xsi:type="xsd:double"&gt;0.07247388&lt;/D&gt;&lt;D xsi:type="xsd:double"&gt;0.09996514&lt;/D&gt;&lt;D xsi:type="xsd:double"&gt;0.17177677&lt;/D&gt;&lt;D xsi:type="xsd:double"&gt;0.1792791&lt;/D&gt;&lt;D xsi:type="xsd:double"&gt;0.15277743&lt;/D&gt;&lt;D xsi:type="xsd:double"&gt;0.122030325&lt;/D&gt;&lt;D xsi:type="xsd:double"&gt;0.121919975&lt;/D&gt;&lt;D xsi:type="xsd:double"&gt;0.21730869&lt;/D&gt;&lt;D xsi:type="xsd:double"&gt;0.268966&lt;/D&gt;&lt;D xsi:type="xsd:double"&gt;0.23337437&lt;/D&gt;&lt;D xsi:type="xsd:double"&gt;0.35244116&lt;/D&gt;&lt;D xsi:type="xsd:double"&gt;0.26348475&lt;/D&gt;&lt;D xsi:type="xsd:double"&gt;0.30399925&lt;/D&gt;&lt;D xsi:type="xsd:double"&gt;0.23730204&lt;/D&gt;&lt;D xsi:type="xsd:double"&gt;0.44080138&lt;/D&gt;&lt;D xsi:type="xsd:double"&gt;0.3877785&lt;/D&gt;&lt;D xsi:type="xsd:double"&gt;0.26889184&lt;/D&gt;&lt;D xsi:type="xsd:double"&gt;0.32127917&lt;/D&gt;&lt;D xsi:type="xsd:double"&gt;0.22151203&lt;/D&gt;&lt;D xsi:type="xsd:double"&gt;0.57328904&lt;/D&gt;&lt;D xsi:type="xsd:double"&gt;0.49826986&lt;/D&gt;&lt;D xsi:type="xsd:double"&gt;0.27645284&lt;/D&gt;&lt;D xsi:type="xsd:double"&gt;0.16275035&lt;/D&gt;&lt;D xsi:type="xsd:double"&gt;0.2691437&lt;/D&gt;&lt;D xsi:type="xsd:double"&gt;0.28714323&lt;/D&gt;&lt;D xsi:type="xsd:double"&gt;0.20185311&lt;/D&gt;&lt;D xsi:type="xsd:double"&gt;0.3754337&lt;/D&gt;&lt;D xsi:type="xsd:double"&gt;0.23051614&lt;/D&gt;&lt;D xsi:type="xsd:double"&gt;0.1716022&lt;/D&gt;&lt;D xsi:type="xsd:double"&gt;1&lt;/D&gt;&lt;D xsi:type="xsd:double"&gt;0.31981412&lt;/D&gt;&lt;D xsi:type="xsd:double"&gt;0.12319111&lt;/D&gt;&lt;D xsi:type="xsd:double"&gt;0.12790614&lt;/D&gt;&lt;D xsi:type="xsd:double"&gt;0.38952658&lt;/D&gt;&lt;D xsi:type="xsd:double"&gt;0.20170431&lt;/D&gt;&lt;D xsi:type="xsd:double"&gt;0.28845963&lt;/D&gt;&lt;D xsi:type="xsd:double"&gt;0.28768867&lt;/D&gt;&lt;D xsi:type="xsd:double"&gt;0.4453952&lt;/D&gt;&lt;D xsi:type="xsd:double"&gt;0.2452502&lt;/D&gt;&lt;D xsi:type="xsd:double"&gt;0.34701312&lt;/D&gt;&lt;D xsi:type="xsd:double"&gt;0.37333167&lt;/D&gt;&lt;D xsi:type="xsd:double"&gt;0.28092483&lt;/D&gt;&lt;D xsi:type="xsd:double"&gt;0.04066656&lt;/D&gt;&lt;D xsi:type="xsd:double"&gt;0.41775015&lt;/D&gt;&lt;D xsi:type="xsd:double"&gt;0.4461775&lt;/D&gt;&lt;D xsi:type="xsd:double"&gt;0.098312415&lt;/D&gt;&lt;D xsi:type="xsd:double"&gt;0.38972098&lt;/D&gt;&lt;D xsi:type="xsd:double"&gt;0.110066496&lt;/D&gt;&lt;D xsi:type="xsd:double"&gt;0.41050643&lt;/D&gt;&lt;D xsi:type="xsd:double"&gt;0.30762088&lt;/D&gt;&lt;D xsi:type="xsd:double"&gt;0.3963527&lt;/D&gt;&lt;D xsi:type="xsd:double"&gt;0.25776264&lt;/D&gt;&lt;D xsi:type="xsd:double"&gt;0.24358143&lt;/D&gt;&lt;D xsi:type="xsd:double"&gt;0.090241775&lt;/D&gt;&lt;D xsi:type="xsd:double"&gt;0.052125268&lt;/D&gt;&lt;D xsi:type="xsd:double"&gt;0.28594357&lt;/D&gt;&lt;D xsi:type="xsd:double"&gt;0.3891098&lt;/D&gt;&lt;D xsi:type="xsd:double"&gt;0.2809613&lt;/D&gt;&lt;D xsi:type="xsd:double"&gt;0.45536423&lt;/D&gt;&lt;D xsi:type="xsd:double"&gt;0.39521497&lt;/D&gt;&lt;D xsi:type="xsd:double"&gt;0.1374936&lt;/D&gt;&lt;D xsi:type="xsd:double"&gt;0.31981412&lt;/D&gt;&lt;D xsi:type="xsd:double"&gt;1&lt;/D&gt;&lt;D xsi:type="xsd:double"&gt;0.29209107&lt;/D&gt;&lt;D xsi:type="xsd:double"&gt;0.059979577&lt;/D&gt;&lt;D xsi:type="xsd:double"&gt;0.18009502&lt;/D&gt;&lt;D xsi:type="xsd:double"&gt;0.32953933&lt;/D&gt;&lt;D xsi:type="xsd:double"&gt;0.43374&lt;/D&gt;&lt;D xsi:type="xsd:double"&gt;0.38031825&lt;/D&gt;&lt;D xsi:type="xsd:double"&gt;0.20712267&lt;/D&gt;&lt;D xsi:type="xsd:double"&gt;0.51760036&lt;/D&gt;&lt;D xsi:type="xsd:double"&gt;0.4854655&lt;/D&gt;&lt;D xsi:type="xsd:double"&gt;0.21489932&lt;/D&gt;&lt;D xsi:type="xsd:double"&gt;0.1522361&lt;/D&gt;&lt;D xsi:type="xsd:double"&gt;0.06786581&lt;/D&gt;&lt;D xsi:type="xsd:double"&gt;0.2943026&lt;/D&gt;&lt;D xsi:type="xsd:double"&gt;0.28398523&lt;/D&gt;&lt;D xsi:type="xsd:double"&gt;0.12150303&lt;/D&gt;&lt;D xsi:type="xsd:double"&gt;0.15856995&lt;/D&gt;&lt;D xsi:type="xsd:double"&gt;0.14030321&lt;/D&gt;&lt;D xsi:type="xsd:double"&gt;0.20242758&lt;/D&gt;&lt;D xsi:type="xsd:double"&gt;0.07632956&lt;/D&gt;&lt;D xsi:type="xsd:double"&gt;0.23189104&lt;/D&gt;&lt;D xsi:type="xsd:double"&gt;0.15172534&lt;/D&gt;&lt;D xsi:type="xsd:double"&gt;0.12743644&lt;/D&gt;&lt;D xsi:type="xsd:double"&gt;0.104383096&lt;/D&gt;&lt;D xsi:type="xsd:double"&gt;-0.018566653&lt;/D&gt;&lt;D xsi:type="xsd:double"&gt;0.1561577&lt;/D&gt;&lt;D xsi:type="xsd:double"&gt;0.2171235&lt;/D&gt;&lt;D xsi:type="xsd:double"&gt;0.15960535&lt;/D&gt;&lt;D xsi:type="xsd:double"&gt;0.20926523&lt;/D&gt;&lt;D xsi:type="xsd:double"&gt;0.27457425&lt;/D&gt;&lt;D xsi:type="xsd:double"&gt;0.078253455&lt;/D&gt;&lt;D xsi:type="xsd:double"&gt;0.12319111&lt;/D&gt;&lt;D xsi:type="xsd:double"&gt;0.29209107&lt;/D&gt;&lt;D xsi:type="xsd:double"&gt;1&lt;/D&gt;&lt;D xsi:type="xsd:double"&gt;0.028859528&lt;/D&gt;&lt;D xsi:type="xsd:double"&gt;0.10382106&lt;/D&gt;&lt;D xsi:type="xsd:double"&gt;0.14961903&lt;/D&gt;&lt;D xsi:type="xsd:double"&gt;0.23638722&lt;/D&gt;&lt;D xsi:type="xsd:double"&gt;0.1947729&lt;/D&gt;&lt;D xsi:type="xsd:double"&gt;0.07384373&lt;/D&gt;&lt;D xsi:type="xsd:double"&gt;0.31779498&lt;/D&gt;&lt;D xsi:type="xsd:double"&gt;0.29821667&lt;/D&gt;&lt;D xsi:type="xsd:double"&gt;0.098974645&lt;/D&gt;&lt;D xsi:type="xsd:double"&gt;0.059248313&lt;/D&gt;&lt;D xsi:type="xsd:double"&gt;0.058418788&lt;/D&gt;&lt;D xsi:type="xsd:double"&gt;0.07057856&lt;/D&gt;&lt;D xsi:type="xsd:double"&gt;0.073454365&lt;/D&gt;&lt;D xsi:type="xsd:double"&gt;0.06315047&lt;/D&gt;&lt;D xsi:type="xsd:double"&gt;0.07262522&lt;/D&gt;&lt;D xsi:type="xsd:double"&gt;0.04464204&lt;/D&gt;&lt;D xsi:type="xsd:double"&gt;0.06133442&lt;/D&gt;&lt;D xsi:type="xsd:double"&gt;0.09366875&lt;/D&gt;&lt;D xsi:type="xsd:double"&gt;0.10204573&lt;/D&gt;&lt;D xsi:type="xsd:double"&gt;0.07501913&lt;/D&gt;&lt;D xsi:type="xsd:double"&gt;0.110910505&lt;/D&gt;&lt;D xsi:type="xsd:double"&gt;0.04397877&lt;/D&gt;&lt;D xsi:type="xsd:double"&gt;0.12656653&lt;/D&gt;&lt;D xsi:type="xsd:double"&gt;0.12752318&lt;/D&gt;&lt;D xsi:type="xsd:double"&gt;0.054165937&lt;/D&gt;&lt;D xsi:type="xsd:double"&gt;0.05175569&lt;/D&gt;&lt;D xsi:type="xsd:double"&gt;0.031968568&lt;/D&gt;&lt;D xsi:type="xsd:double"&gt;0.05225324&lt;/D&gt;&lt;D xsi:type="xsd:double"&gt;0.07247388&lt;/D&gt;&lt;D xsi:type="xsd:double"&gt;0.12790614&lt;/D&gt;&lt;D xsi:type="xsd:double"&gt;0.059979577&lt;/D&gt;&lt;D xsi:type="xsd:double"&gt;0.028859528&lt;/D&gt;&lt;D xsi:type="xsd:double"&gt;1&lt;/D&gt;&lt;D xsi:type="xsd:double"&gt;0.07372455&lt;/D&gt;&lt;D xsi:type="xsd:double"&gt;0.05628952&lt;/D&gt;&lt;D xsi:type="xsd:double"&gt;0.0488498&lt;/D&gt;&lt;D xsi:type="xsd:double"&gt;0.12504548&lt;/D&gt;&lt;D xsi:type="xsd:double"&gt;0.10357219&lt;/D&gt;&lt;D xsi:type="xsd:double"&gt;0.049287044&lt;/D&gt;&lt;D xsi:type="xsd:double"&gt;0.053459376&lt;/D&gt;&lt;D xsi:type="xsd:double"&gt;0.19745813&lt;/D&gt;&lt;D xsi:type="xsd:double"&gt;0.1447075&lt;/D&gt;&lt;D xsi:type="xsd:double"&gt;0.312711&lt;/D&gt;&lt;D xsi:type="xsd:double"&gt;0.16095908&lt;/D&gt;&lt;D xsi:type="xsd:double"&gt;0.18750893&lt;/D&gt;&lt;D xsi:type="xsd:double"&gt;0.28705734&lt;/D&gt;&lt;D xsi:type="xsd:double"&gt;0.21007457&lt;/D&gt;&lt;D xsi:type="xsd:double"&gt;0.37145242&lt;/D&gt;&lt;D xsi:type="xsd:double"&gt;0.1371865&lt;/D&gt;&lt;D xsi:type="xsd:double"&gt;0.1447472&lt;/D&gt;&lt;D xsi:type="xsd:double"&gt;0.06167387&lt;/D&gt;&lt;D xsi:type="xsd:double"&gt;0.52231896&lt;/D&gt;&lt;D xsi:type="xsd:double"&gt;0.28363976&lt;/D&gt;&lt;D xsi:type="xsd:double"&gt;0.29526287&lt;/D&gt;&lt;D xsi:type="xsd:double"&gt;0.09439859&lt;/D&gt;&lt;D xsi:type="xsd:double"&gt;0.17824054&lt;/D&gt;&lt;D xsi:type="xsd:double"&gt;0.21849826&lt;/D&gt;&lt;D xsi:type="xsd:double"&gt;0.17746663&lt;/D&gt;&lt;D xsi:type="xsd:double"&gt;0.22803198&lt;/D&gt;&lt;D xsi:type="xsd:double"&gt;0.1884587&lt;/D&gt;&lt;D xsi:type="xsd:double"&gt;0.09996514&lt;/D&gt;&lt;D xsi:type="xsd:double"&gt;0.38952658&lt;/D&gt;&lt;D xsi:type="xsd:double"&gt;0.18009502&lt;/D&gt;&lt;D xsi:type="xsd:double"&gt;0.10382106&lt;/D&gt;&lt;D xsi:type="xsd:double"&gt;0.07372455&lt;/D&gt;&lt;D xsi:type="xsd:double"&gt;1&lt;/D&gt;&lt;D xsi:type="xsd:double"&gt;0.14129876&lt;/D&gt;&lt;D xsi:type="xsd:double"&gt;0.23657632&lt;/D&gt;&lt;D xsi:type="xsd:double"&gt;0.13799842&lt;/D&gt;&lt;D xsi:type="xsd:double"&gt;0.2617828&lt;/D&gt;&lt;D xsi:type="xsd:double"&gt;0.19629179&lt;/D&gt;&lt;D xsi:type="xsd:double"&gt;0.2802365&lt;/D&gt;&lt;D xsi:type="xsd:double"&gt;0.55141306&lt;/D&gt;&lt;D xsi:type="xsd:double"&gt;0.4320502&lt;/D&gt;&lt;D xsi:type="xsd:double"&gt;0.1409297&lt;/D&gt;&lt;D xsi:type="xsd:double"&gt;0.40438142&lt;/D&gt;&lt;D xsi:type="xsd:double"&gt;0.43069217&lt;/D&gt;&lt;D xsi:type="xsd:double"&gt;0.03587716&lt;/D&gt;&lt;D xsi:type="xsd:double"&gt;0.4502916&lt;/D&gt;&lt;D xsi:type="xsd:double"&gt;0.15192589&lt;/D&gt;&lt;D xsi:type="xsd:double"&gt;0.21784183&lt;/D&gt;&lt;D xsi:type="xsd:double"&gt;0.36428177&lt;/D&gt;&lt;D xsi:type="xsd:double"&gt;0.23859946&lt;/D&gt;&lt;D xsi:type="xsd:double"&gt;0.23014224&lt;/D&gt;&lt;D xsi:type="xsd:double"&gt;0.14111637&lt;/D&gt;&lt;D xsi:type="xsd:double"&gt;0.12870222&lt;/D&gt;&lt;D xsi:type="xsd:double"&gt;0.025650848&lt;/D&gt;&lt;D xsi:type="xsd:double"&gt;0.26493755&lt;/D&gt;&lt;D xsi:type="xsd:double"&gt;0.6106168&lt;/D&gt;&lt;D xsi:type="xsd:double"&gt;0.2969387&lt;/D&gt;&lt;D xsi:type="xsd:double"&gt;0.35311884&lt;/D&gt;&lt;D xsi:type="xsd:double"&gt;0.3829848&lt;/D&gt;&lt;D xsi:type="xsd:double"&gt;0.17177677&lt;/D&gt;&lt;D xsi:type="xsd:double"&gt;0.20170431&lt;/D&gt;&lt;D xsi:type="xsd:double"&gt;0.32953933&lt;/D&gt;&lt;D xsi:type="xsd:double"&gt;0.14961903&lt;/D&gt;&lt;D xsi:type="xsd:double"&gt;0.05628952&lt;/D&gt;&lt;D xsi:type="xsd:double"&gt;0.14129876&lt;/D&gt;&lt;D xsi:type="xsd:double"&gt;1&lt;/D&gt;&lt;D xsi:type="xsd:double"&gt;0.58626735&lt;/D&gt;&lt;D xsi:type="xsd:double"&gt;0.36752674&lt;/D&gt;&lt;D xsi:type="xsd:double"&gt;0.13028926&lt;/D&gt;&lt;D xsi:type="xsd:double"&gt;0.33166748&lt;/D&gt;&lt;D xsi:type="xsd:double"&gt;0.48027095&lt;/D&gt;&lt;D xsi:type="xsd:double"&gt;0.5700099&lt;/D&gt;&lt;D xsi:type="xsd:double"&gt;0.49197906&lt;/D&gt;&lt;D xsi:type="xsd:double"&gt;0.18247983&lt;/D&gt;&lt;D xsi:type="xsd:double"&gt;0.45402867&lt;/D&gt;&lt;D xsi:type="xsd:double"&gt;0.500421&lt;/D&gt;&lt;D xsi:type="xsd:double"&gt;0.069559805&lt;/D&gt;&lt;D xsi:type="xsd:double"&gt;0.5513974&lt;/D&gt;&lt;D xsi:type="xsd:double"&gt;0.1776095&lt;/D&gt;&lt;D xsi:type="xsd:double"&gt;0.34777665&lt;/D&gt;&lt;D xsi:type="xsd:double"&gt;0.4650613&lt;/D&gt;&lt;D xsi:type="xsd:double"&gt;0.32080665&lt;/D&gt;&lt;D xsi:type="xsd:double"&gt;0.30139518&lt;/D&gt;&lt;D xsi:type="xsd:double"&gt;0.20658293&lt;/D&gt;&lt;D xsi:type="xsd:double"&gt;0.09197058&lt;/D&gt;&lt;D xsi:type="xsd:double"&gt;0.042687595&lt;/D&gt;&lt;D xsi:type="xsd:double"&gt;0.35084158&lt;/D&gt;&lt;D xsi:type="xsd:double"&gt;0.64434785&lt;/D&gt;&lt;D xsi:type="xsd:double"&gt;0.37196097&lt;/D&gt;&lt;D xsi:type="xsd:double"&gt;0.43644047&lt;/D&gt;&lt;D xsi:type="xsd:double"&gt;0.42648733&lt;/D&gt;&lt;D xsi:type="xsd:double"&gt;0.1792791&lt;/D&gt;&lt;D xsi:type="xsd:double"&gt;0.28845963&lt;/D&gt;&lt;D xsi:type="xsd:double"&gt;0.43374&lt;/D&gt;&lt;D xsi:type="xsd:double"&gt;0.23638722&lt;/D&gt;&lt;D xsi:type="xsd:double"&gt;0.0488498&lt;/D&gt;&lt;D xsi:type="xsd:double"&gt;0.23657632&lt;/D&gt;&lt;D xsi:type="xsd:double"&gt;0.58626735&lt;/D&gt;&lt;D xsi:type="xsd:double"&gt;1&lt;/D&gt;&lt;D xsi:type="xsd:double"&gt;0.4523449&lt;/D&gt;&lt;D xsi:type="xsd:double"&gt;0.20760763&lt;/D&gt;&lt;D xsi:type="xsd:double"&gt;0.4102486&lt;/D&gt;&lt;D xsi:type="xsd:double"&gt;0.5568605&lt;/D&gt;&lt;D xsi:type="xsd:double"&gt;0.39047444&lt;/D&gt;&lt;D xsi:type="xsd:double"&gt;0.39714432&lt;/D&gt;&lt;D xsi:type="xsd:double"&gt;0.09844582&lt;/D&gt;&lt;D xsi:type="xsd:double"&gt;0.51456714&lt;/D&gt;&lt;D xsi:type="xsd:double"&gt;0.5664322&lt;/D&gt;&lt;D xsi:type="xsd:double"&gt;0.068910554&lt;/D&gt;&lt;D xsi:type="xsd:double"&gt;0.45197335&lt;/D&gt;&lt;D xsi:type="xsd:double"&gt;0.17202592&lt;/D&gt;&lt;D xsi:type="xsd:double"&gt;0.49389368&lt;/D&gt;&lt;D xsi:type="xsd:double"&gt;0.3971287&lt;/D&gt;&lt;D xsi:type="xsd:double"&gt;0.39641568&lt;/D&gt;&lt;D xsi:type="xsd:double"&gt;0.18981889&lt;/D&gt;&lt;D xsi:type="xsd:double"&gt;0.40367833&lt;/D&gt;&lt;D xsi:type="xsd:double"&gt;0.038462576&lt;/D&gt;&lt;D xsi:type="xsd:double"&gt;0.08137319&lt;/D&gt;&lt;D xsi:type="xsd:double"&gt;0.3396367&lt;/D&gt;&lt;D xsi:type="xsd:double"&gt;0.44671327&lt;/D&gt;&lt;D xsi:type="xsd:double"&gt;0.318266&lt;/D&gt;&lt;D xsi:type="xsd:double"&gt;0.35342523&lt;/D&gt;&lt;D xsi:type="xsd:double"&gt;0.29217255&lt;/D&gt;&lt;D xsi:type="xsd:double"&gt;0.15277743&lt;/D&gt;&lt;D xsi:type="xsd:double"&gt;0.28768867&lt;/D&gt;&lt;D xsi:type="xsd:double"&gt;0.38031825&lt;/D&gt;&lt;D xsi:type="xsd:double"&gt;0.1947729&lt;/D&gt;&lt;D xsi:type="xsd:double"&gt;0.12504548&lt;/D&gt;&lt;D xsi:type="xsd:double"&gt;0.13799842&lt;/D&gt;&lt;D xsi:type="xsd:double"&gt;0.36752674&lt;/D&gt;&lt;D xsi:type="xsd:double"&gt;0.4523449&lt;/D&gt;&lt;D xsi:type="xsd:double"&gt;1&lt;/D&gt;&lt;D xsi:type="xsd:double"&gt;0.36715543&lt;/D&gt;&lt;D xsi:type="xsd:double"&gt;0.27548656&lt;/D&gt;&lt;D xsi:type="xsd:double"&gt;0.39787203&lt;/D&gt;&lt;D xsi:type="xsd:double"&gt;0.14743002&lt;/D&gt;&lt;D xsi:type="xsd:double"&gt;0.14764051&lt;/D&gt;&lt;D xsi:type="xsd:double"&gt;0.2795783&lt;/D&gt;&lt;D xsi:type="xsd:double"&gt;0.26409146&lt;/D&gt;&lt;D xsi:type="xsd:double"&gt;0.2987343&lt;/D&gt;&lt;D xsi:type="xsd:double"&gt;0.18897523&lt;/D&gt;&lt;D xsi:type="xsd:double"&gt;0.2628503&lt;/D&gt;&lt;D xsi:type="xsd:double"&gt;0.36710358&lt;/D&gt;&lt;D xsi:type="xsd:double"&gt;0.2692853&lt;/D&gt;&lt;D xsi:type="xsd:double"&gt;0.17484505&lt;/D&gt;&lt;D xsi:type="xsd:double"&gt;0.20724937&lt;/D&gt;&lt;D xsi:type="xsd:double"&gt;0.34089434&lt;/D&gt;&lt;D xsi:type="xsd:double"&gt;0.5067775&lt;/D&gt;&lt;D xsi:type="xsd:double"&gt;0.1849121&lt;/D&gt;&lt;D xsi:type="xsd:double"&gt;0.12958428&lt;/D&gt;&lt;D xsi:type="xsd:double"&gt;0.27277035&lt;/D&gt;&lt;D xsi:type="xsd:double"&gt;0.21181017&lt;/D&gt;&lt;D xsi:type="xsd:double"&gt;0.16762279&lt;/D&gt;&lt;D xsi:type="xsd:double"&gt;0.19715057&lt;/D&gt;&lt;D xsi:type="xsd:double"&gt;0.1462819&lt;/D&gt;&lt;D xsi:type="xsd:double"&gt;0.122030325&lt;/D&gt;&lt;D xsi:type="xsd:double"&gt;0.4453952&lt;/D&gt;&lt;D xsi:type="xsd:double"&gt;0.20712267&lt;/D&gt;&lt;D xsi:type="xsd:double"&gt;0.07384373&lt;/D&gt;&lt;D xsi:type="xsd:double"&gt;0.10357219&lt;/D&gt;&lt;D xsi:type="xsd:double"&gt;0.2617828&lt;/D&gt;&lt;D xsi:type="xsd:double"&gt;0.13028926&lt;/D&gt;&lt;D xsi:type="xsd:double"&gt;0.20760763&lt;/D&gt;&lt;D xsi:type="xsd:double"&gt;0.36715543&lt;/D&gt;&lt;D xsi:type="xsd:double"&gt;1&lt;/D&gt;&lt;D xsi:type="xsd:double"&gt;0.09869452&lt;/D&gt;&lt;D xsi:type="xsd:double"&gt;0.20587155&lt;/D&gt;&lt;D xsi:type="xsd:double"&gt;0.35503155&lt;/D&gt;&lt;D xsi:type="xsd:double"&gt;0.26885998&lt;/D&gt;&lt;D xsi:type="xsd:double"&gt;0.1165571&lt;/D&gt;&lt;D xsi:type="xsd:double"&gt;0.39198723&lt;/D&gt;&lt;D xsi:type="xsd:double"&gt;0.38738152&lt;/D&gt;&lt;D xsi:type="xsd:double"&gt;0.13355766&lt;/D&gt;&lt;D xsi:type="xsd:double"&gt;0.34209198&lt;/D&gt;&lt;D xsi:type="xsd:double"&gt;0.14558794&lt;/D&gt;&lt;D xsi:type="xsd:double"&gt;0.28647375&lt;/D&gt;&lt;D xsi:type="xsd:double"&gt;0.2578943&lt;/D&gt;&lt;D xsi:type="xsd:double"&gt;0.27418944&lt;/D&gt;&lt;D xsi:type="xsd:double"&gt;0.3137019&lt;/D&gt;&lt;D xsi:type="xsd:double"&gt;0.17269012&lt;/D&gt;&lt;D xsi:type="xsd:double"&gt;0.14701863&lt;/D&gt;&lt;D xsi:type="xsd:double"&gt;0.009492949&lt;/D&gt;&lt;D xsi:type="xsd:double"&gt;0.23394033&lt;/D&gt;&lt;D xsi:type="xsd:double"&gt;0.39583263&lt;/D&gt;&lt;D xsi:type="xsd:double"&gt;0.25086343&lt;/D&gt;&lt;D xsi:type="xsd:double"&gt;0.4101371&lt;/D&gt;&lt;D xsi:type="xsd:double"&gt;0.43629214&lt;/D&gt;&lt;D xsi:type="xsd:double"&gt;0.121919975&lt;/D&gt;&lt;D xsi:type="xsd:double"&gt;0.2452502&lt;/D&gt;&lt;D xsi:type="xsd:double"&gt;0.51760036&lt;/D&gt;&lt;D xsi:type="xsd:double"&gt;0.31779498&lt;/D&gt;&lt;D xsi:type="xsd:double"&gt;0.049287044&lt;/D&gt;&lt;D xsi:type="xsd:double"&gt;0.19629179&lt;/D&gt;&lt;D xsi:type="xsd:double"&gt;0.33166748&lt;/D&gt;&lt;D xsi:type="xsd:double"&gt;0.4102486&lt;/D&gt;&lt;D xsi:type="xsd:double"&gt;0.27548656&lt;/D&gt;&lt;D xsi:type="xsd:double"&gt;0.09869452&lt;/D&gt;&lt;D xsi:type="xsd:double"&gt;1&lt;/D&gt;&lt;D xsi:type="xsd:double"&gt;0.560516&lt;/D&gt;&lt;D xsi:type="xsd:double"&gt;0.5726618&lt;/D&gt;&lt;D xsi:type="xsd:double"&gt;0.46503523&lt;/D&gt;&lt;D xsi:type="xsd:double"&gt;0.25265074&lt;/D&gt;&lt;D xsi:type="xsd:double"&gt;0.5399711&lt;/D&gt;&lt;D xsi:type="xsd:double"&gt;0.5602167&lt;/D&gt;&lt;D xsi:type="xsd:double"&gt;0.12608184&lt;/D&gt;&lt;D xsi:type="xsd:double"&gt;0.48905623&lt;/D&gt;&lt;D xsi:type="xsd:double"&gt;0.25797442&lt;/D&gt;&lt;D xsi:type="xsd:double"&gt;0.38403314&lt;/D&gt;&lt;D xsi:type="xsd:double"&gt;0.38030174&lt;/D&gt;&lt;D xsi:type="xsd:double"&gt;0.33861277&lt;/D&gt;&lt;D xsi:type="xsd:double"&gt;0.40515828&lt;/D&gt;&lt;D xsi:type="xsd:double"&gt;0.24065845&lt;/D&gt;&lt;D xsi:type="xsd:double"&gt;0.22151062&lt;/D&gt;&lt;D xsi:type="xsd:double"&gt;0.04938311&lt;/D&gt;&lt;D xsi:type="xsd:double"&gt;0.31985283&lt;/D&gt;&lt;D xsi:type="xsd:double"&gt;0.57665265&lt;/D&gt;&lt;D xsi:type="xsd:double"&gt;0.37441856&lt;/D&gt;&lt;D xsi:type="xsd:double"&gt;0.44597325&lt;/D&gt;&lt;D xsi:type="xsd:double"&gt;0.53689325&lt;/D&gt;&lt;D xsi:type="xsd:double"&gt;0.21730869&lt;/D&gt;&lt;D xsi:type="xsd:double"&gt;0.34701312&lt;/D&gt;&lt;D xsi:type="xsd:double"&gt;0.4854655&lt;/D&gt;&lt;D xsi:type="xsd:double"&gt;0.29821667&lt;/D&gt;&lt;D xsi:type="xsd:double"&gt;0.053459376&lt;/D&gt;&lt;D xsi:type="xsd:double"&gt;0.2802365&lt;/D&gt;&lt;D xsi:type="xsd:double"&gt;0.48027095&lt;/D&gt;&lt;D xsi:type="xsd:double"&gt;0.5568605&lt;/D&gt;&lt;D xsi:type="xsd:double"&gt;0.39787203&lt;/D&gt;&lt;D xsi:type="xsd:double"&gt;0.20587155&lt;/D&gt;&lt;D xsi:type="xsd:double"&gt;0.560516&lt;/D&gt;&lt;D xsi:type="xsd:double"&gt;1&lt;/D&gt;&lt;/FQL&gt;&lt;FQL&gt;&lt;Q&gt;^IDS&lt;/Q&gt;&lt;R&gt;32&lt;/R&gt;&lt;C&gt;1&lt;/C&gt;&lt;D xsi:type="xsd:string"&gt;MSFT-US&lt;/D&gt;&lt;D xsi:type="xsd:string"&gt;GOOG-US&lt;/D&gt;&lt;D xsi:type="xsd:string"&gt;LSEG-GB&lt;/D&gt;&lt;D xsi:type="xsd:string"&gt;V-US&lt;/D&gt;&lt;D xsi:type="xsd:string"&gt;MA-US&lt;/D&gt;&lt;D xsi:type="xsd:string"&gt;ULVR-GB&lt;/D&gt;&lt;D xsi:type="xsd:string"&gt;ASML-US&lt;/D&gt;&lt;D xsi:type="xsd:string"&gt;DB1-DE&lt;/D&gt;&lt;D xsi:type="xsd:string"&gt;GE-US&lt;/D&gt;&lt;D xsi:type="xsd:string"&gt;TSM-US&lt;/D&gt;&lt;D xsi:type="xsd:string"&gt;SCHW-US&lt;/D&gt;&lt;D xsi:type="xsd:string"&gt;EXPN-GB&lt;/D&gt;&lt;D xsi:type="xsd:string"&gt;SAF-FR&lt;/D&gt;&lt;D xsi:type="xsd:string"&gt;ROG-CH&lt;/D&gt;&lt;D xsi:type="xsd:string"&gt;1299-HK&lt;/D&gt;&lt;D xsi:type="xsd:string"&gt;HDB-US&lt;/D&gt;&lt;D xsi:type="xsd:string"&gt;INTU-US&lt;/D&gt;&lt;D xsi:type="xsd:string"&gt;EW-US&lt;/D&gt;&lt;D xsi:type="xsd:string"&gt;FERG-US&lt;/D&gt;&lt;D xsi:type="xsd:string"&gt;ZTS-US&lt;/D&gt;&lt;D xsi:type="xsd:string"&gt;B3SA3-BR&lt;/D&gt;&lt;D xsi:type="xsd:string"&gt;ATCO.B-SE&lt;/D&gt;&lt;D xsi:type="xsd:string"&gt;ALLE-US&lt;/D&gt;&lt;D xsi:type="xsd:string"&gt;AZO-US&lt;/D&gt;&lt;D xsi:type="xsd:string"&gt;BBCA-ID&lt;/D&gt;&lt;D xsi:type="xsd:string"&gt;RTO-GB&lt;/D&gt;&lt;D xsi:type="xsd:string"&gt;WDAY-US&lt;/D&gt;&lt;D xsi:type="xsd:string"&gt;ADSK-US&lt;/D&gt;&lt;D xsi:type="xsd:string"&gt;BKNG-US&lt;/D&gt;&lt;D xsi:type="xsd:string"&gt;EVD-DE&lt;/D&gt;&lt;D xsi:type="xsd:string"&gt;SHW-US&lt;/D&gt;&lt;D xsi:type="xsd:string"&gt;MCO-US&lt;/D&gt;&lt;/FQL&gt;&lt;FQL&gt;&lt;Q&gt;DUMMY^FLOAT_ARRAY CORRELMATRIX=GET_FQL_ARRAY(IDS,'P_PRICE_RETURNS(0,45961,45961-5AY,D,USD)');'FDS CODE - DO NOT DELETE'&lt;/Q&gt;&lt;R&gt;1&lt;/R&gt;&lt;C&gt;1&lt;/C&gt;&lt;D xsi:type="xsd:string"&gt;FDS CODE - DO NOT DELETE&lt;/D&gt;&lt;/FQL&gt;&lt;FQL&gt;&lt;Q&gt;DUMMY^STRING_ARRAY IDS=TICKER_LIST('MSFT-US GOOG-US LSEG-GB V-US MA-US ULVR-GB ASML-US DB1-DE GE-US TSM-US SCHW-US EXPN-GB SAF-FR ROG-CH 1299-HK HDB-US INTU-US EW-US FERG-US ZTS-US B3SA3-BR ATCO.B-SE ALLE-US AZO-US BBCA-ID RTO-GB WDAY-US ADSK-US BKNG-US EVD-DE SHW-US MCO-US');"FDS CODE - DO NOT DELETE"&lt;/Q&gt;&lt;R&gt;1&lt;/R&gt;&lt;C&gt;1&lt;/C&gt;&lt;D xsi:type="xsd:string"&gt;FDS CODE - DO NOT DELETE&lt;/D&gt;&lt;/FQL&gt;&lt;FQL&gt;&lt;Q&gt;DUMMY^PROPER("CORRELATION OF DAILY DATA BETWEEN ") + FG_DATE(45961-5AY) + LOWERCASE(" AND ") + FG_DATE(45961) + LOWERCASE(":")&lt;/Q&gt;&lt;R&gt;1&lt;/R&gt;&lt;C&gt;1&lt;/C&gt;&lt;D xsi:type="xsd:string"&gt;Correlation Of Daily Data Between 10/30/2020 and 10/31/2025:&lt;/D&gt;&lt;/FQL&gt;&lt;FQL&gt;&lt;Q&gt;MSFT-US^FG_COMPANY_NAME&lt;/Q&gt;&lt;R&gt;1&lt;/R&gt;&lt;C&gt;1&lt;/C&gt;&lt;D xsi:type="xsd:string"&gt;Microsoft Corporation&lt;/D&gt;&lt;/FQL&gt;&lt;FQL&gt;&lt;Q&gt;GOOG-US^FG_COMPANY_NAME&lt;/Q&gt;&lt;R&gt;1&lt;/R&gt;&lt;C&gt;1&lt;/C&gt;&lt;D xsi:type="xsd:string"&gt;Alphabet Inc. Class C&lt;/D&gt;&lt;/FQL&gt;&lt;FQL&gt;&lt;Q&gt;LSEG-GB^FG_COMPANY_NAME&lt;/Q&gt;&lt;R&gt;1&lt;/R&gt;&lt;C&gt;1&lt;/C&gt;&lt;D xsi:type="xsd:string"&gt;London Stock Exchange Group plc&lt;/D&gt;&lt;/FQL&gt;&lt;FQL&gt;&lt;Q&gt;V-US^FG_COMPANY_NAME&lt;/Q&gt;&lt;R&gt;1&lt;/R&gt;&lt;C&gt;1&lt;/C&gt;&lt;D xsi:type="xsd:string"&gt;Visa Inc. Class A&lt;/D&gt;&lt;/FQL&gt;&lt;FQL&gt;&lt;Q&gt;MA-US^FG_COMPANY_NAME&lt;/Q&gt;&lt;R&gt;1&lt;/R&gt;&lt;C&gt;1&lt;/C&gt;&lt;D xsi:type="xsd:string"&gt;Mastercard Incorporated Class A&lt;/D&gt;&lt;/FQL&gt;&lt;FQL&gt;&lt;Q&gt;ULVR-GB^FG_COMPANY_NAME&lt;/Q&gt;&lt;R&gt;1&lt;/R&gt;&lt;C&gt;1&lt;/C&gt;&lt;D xsi:type="xsd:string"&gt;Unilever PLC&lt;/D&gt;&lt;/FQL&gt;&lt;FQL&gt;&lt;Q&gt;ASML-US^FG_COMPANY_NAME&lt;/Q&gt;&lt;R&gt;1&lt;/R&gt;&lt;C&gt;1&lt;/C&gt;&lt;D xsi:type="xsd:string"&gt;ASML Holding NV Sponsored ADR&lt;/D&gt;&lt;/FQL&gt;&lt;FQL&gt;&lt;Q&gt;DB1-DE^FG_COMPANY_NAME&lt;/Q&gt;&lt;R&gt;1&lt;/R&gt;&lt;C&gt;1&lt;/C&gt;&lt;D xsi:type="xsd:string"&gt;Deutsche Boerse AG&lt;/D&gt;&lt;/FQL&gt;&lt;FQL&gt;&lt;Q&gt;GE-US^FG_COMPANY_NAME&lt;/Q&gt;&lt;R&gt;1&lt;/R&gt;&lt;C&gt;1&lt;/C&gt;&lt;D xsi:type="xsd:string"&gt;GE Aerospace&lt;/D&gt;&lt;/FQL&gt;&lt;FQL&gt;&lt;Q&gt;TSM-US^FG_COMPANY_NAME&lt;/Q&gt;&lt;R&gt;1&lt;/R&gt;&lt;C&gt;1&lt;/C&gt;&lt;D xsi:type="xsd:string"&gt;Taiwan Semiconductor Manufacturing Co., Ltd. Sponsored ADR&lt;/D&gt;&lt;/FQL&gt;&lt;FQL&gt;&lt;Q&gt;SCHW-US^FG_COMPANY_NAME&lt;/Q&gt;&lt;R&gt;1&lt;/R&gt;&lt;C&gt;1&lt;/C&gt;&lt;D xsi:type="xsd:string"&gt;Charles Schwab Corp&lt;/D&gt;&lt;/FQL&gt;&lt;FQL&gt;&lt;Q&gt;EXPN-GB^FG_COMPANY_NAME&lt;/Q&gt;&lt;R&gt;1&lt;/R&gt;&lt;C&gt;1&lt;/C&gt;&lt;D xsi:type="xsd:string"&gt;Experian PLC&lt;/D&gt;&lt;/FQL&gt;&lt;FQL&gt;&lt;Q&gt;SAF-FR^FG_COMPANY_NAME&lt;/Q&gt;&lt;R&gt;1&lt;/R&gt;&lt;C&gt;1&lt;/C&gt;&lt;D xsi:type="xsd:string"&gt;Safran SA&lt;/D&gt;&lt;/FQL&gt;&lt;FQL&gt;&lt;Q&gt;ROG-CH^FG_COMPANY_NAME&lt;/Q&gt;&lt;R&gt;1&lt;/R&gt;&lt;C&gt;1&lt;/C&gt;&lt;D xsi:type="xsd:string"&gt;Roche Holding Ltd Dividend Right Cert.&lt;/D&gt;&lt;/FQL&gt;&lt;FQL&gt;&lt;Q&gt;1299-HK^FG_COMPANY_NAME&lt;/Q&gt;&lt;R&gt;1&lt;/R&gt;&lt;C&gt;1&lt;/C&gt;&lt;D xsi:type="xsd:string"&gt;AIA Group Limited&lt;/D&gt;&lt;/FQL&gt;&lt;FQL&gt;&lt;Q&gt;HDB-US^FG_COMPANY_NAME&lt;/Q&gt;&lt;R&gt;1&lt;/R&gt;&lt;C&gt;1&lt;/C&gt;&lt;D xsi:type="xsd:string"&gt;HDFC Bank Limited Sponsored ADR&lt;/D&gt;&lt;/FQL&gt;&lt;FQL&gt;&lt;Q&gt;INTU-US^FG_COMPANY_NAME&lt;/Q&gt;&lt;R&gt;1&lt;/R&gt;&lt;C&gt;1&lt;/C&gt;&lt;D xsi:type="xsd:string"&gt;Intuit Inc.&lt;/D&gt;&lt;/FQL&gt;&lt;FQL&gt;&lt;Q&gt;EW-US^FG_COMPANY_NAME&lt;/Q&gt;&lt;R&gt;1&lt;/R&gt;&lt;C&gt;1&lt;/C&gt;&lt;D xsi:type="xsd:string"&gt;Edwards Lifesciences Corporation&lt;/D&gt;&lt;/FQL&gt;&lt;FQL&gt;&lt;Q&gt;FERG-US^FG_COMPANY_NAME&lt;/Q&gt;&lt;R&gt;1&lt;/R&gt;&lt;C&gt;1&lt;/C&gt;&lt;D xsi:type="xsd:string"&gt;Ferguson Enterprises Inc.&lt;/D&gt;&lt;/FQL&gt;&lt;FQL&gt;&lt;Q&gt;ZTS-US^FG_COMPANY_NAME&lt;/Q&gt;&lt;R&gt;1&lt;/R&gt;&lt;C&gt;1&lt;/C&gt;&lt;D xsi:type="xsd:string"&gt;Zoetis, Inc. Class A&lt;/D&gt;&lt;/FQL&gt;&lt;FQL&gt;&lt;Q&gt;B3SA3-BR^FG_COMPANY_NAME&lt;/Q&gt;&lt;R&gt;1&lt;/R&gt;&lt;C&gt;1&lt;/C&gt;&lt;D xsi:type="xsd:string"&gt;B3 SA - Brasil, Bolsa, Balcao&lt;/D&gt;&lt;/FQL&gt;&lt;FQL&gt;&lt;Q&gt;ATCO.B-SE^FG_COMPANY_NAME&lt;/Q&gt;&lt;R&gt;1&lt;/R&gt;&lt;C&gt;1&lt;/C&gt;&lt;D xsi:type="xsd:string"&gt;Atlas Copco AB Class B&lt;/D&gt;&lt;/FQL&gt;&lt;FQL&gt;&lt;Q&gt;ALLE-US^FG_COMPANY_NAME&lt;/Q&gt;&lt;R&gt;1&lt;/R&gt;&lt;C&gt;1&lt;/C&gt;&lt;D xsi:type="xsd:string"&gt;Allegion Public Limited Company&lt;/D&gt;&lt;/FQL&gt;&lt;FQL&gt;&lt;Q&gt;AZO-US^FG_COMPANY_NAME&lt;/Q&gt;&lt;R&gt;1&lt;/R&gt;&lt;C&gt;1&lt;/C&gt;&lt;D xsi:type="xsd:string"&gt;AutoZone, Inc.&lt;/D&gt;&lt;/FQL&gt;&lt;FQL&gt;&lt;Q&gt;BBCA-ID^FG_COMPANY_NAME&lt;/Q&gt;&lt;R&gt;1&lt;/R&gt;&lt;C&gt;1&lt;/C&gt;&lt;D xsi:type="xsd:string"&gt;PT Bank Central Asia Tbk&lt;/D&gt;&lt;/FQL&gt;&lt;FQL&gt;&lt;Q&gt;RTO-GB^FG_COMPANY_NAME&lt;/Q&gt;&lt;R&gt;1&lt;/R&gt;&lt;C&gt;1&lt;/C&gt;&lt;D xsi:type="xsd:string"&gt;Rentokil Initial plc&lt;/D&gt;&lt;/FQL&gt;&lt;FQL&gt;&lt;Q&gt;WDAY-US^FG_COMPANY_NAME&lt;/Q&gt;&lt;R&gt;1&lt;/R&gt;&lt;C&gt;1&lt;/C&gt;&lt;D xsi:type="xsd:string"&gt;Workday, Inc. Class A&lt;/D&gt;&lt;/FQL&gt;&lt;FQL&gt;&lt;Q&gt;ADSK-US^FG_COMPANY_NAME&lt;/Q&gt;&lt;R&gt;1&lt;/R&gt;&lt;C&gt;1&lt;/C&gt;&lt;D xsi:type="xsd:string"&gt;Autodesk, Inc.&lt;/D&gt;&lt;/FQL&gt;&lt;FQL&gt;&lt;Q&gt;BKNG-US^FG_COMPANY_NAME&lt;/Q&gt;&lt;R&gt;1&lt;/R&gt;&lt;C&gt;1&lt;/C&gt;&lt;D xsi:type="xsd:string"&gt;Booking Holdings Inc.&lt;/D&gt;&lt;/FQL&gt;&lt;FQL&gt;&lt;Q&gt;EVD-DE^FG_COMPANY_NAME&lt;/Q&gt;&lt;R&gt;1&lt;/R&gt;&lt;C&gt;1&lt;/C&gt;&lt;D xsi:type="xsd:string"&gt;CTS Eventim AG &amp;amp; Co. KGaA&lt;/D&gt;&lt;/FQL&gt;&lt;FQL&gt;&lt;Q&gt;SHW-US^FG_COMPANY_NAME&lt;/Q&gt;&lt;R&gt;1&lt;/R&gt;&lt;C&gt;1&lt;/C&gt;&lt;D xsi:type="xsd:string"&gt;Sherwin-Williams Company&lt;/D&gt;&lt;/FQL&gt;&lt;FQL&gt;&lt;Q&gt;MCO-US^FG_COMPANY_NAME&lt;/Q&gt;&lt;R&gt;1&lt;/R&gt;&lt;C&gt;1&lt;/C&gt;&lt;D xsi:type="xsd:string"&gt;Moody's Corporation&lt;/D&gt;&lt;/FQL&gt;&lt;/Schema&gt;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<sst xmlns="http://schemas.openxmlformats.org/spreadsheetml/2006/main" count="47" uniqueCount="42">
  <si>
    <t>Legend:</t>
  </si>
  <si>
    <t>This sheet contains FactSet XML data for use with this workbook's =FDS codes.  Modifying the worksheet's contents may damage the workbook's =FDS functionality.</t>
  </si>
  <si>
    <t>As of Date:</t>
  </si>
  <si>
    <t>Range:</t>
  </si>
  <si>
    <t>Date</t>
  </si>
  <si>
    <t>FactSet</t>
  </si>
  <si>
    <t>Excel</t>
  </si>
  <si>
    <t>Pearson</t>
  </si>
  <si>
    <t xml:space="preserve">Correlation Matrix </t>
  </si>
  <si>
    <t>LSEG-GB</t>
  </si>
  <si>
    <t>DB1-DE</t>
  </si>
  <si>
    <t>SAF-FR</t>
  </si>
  <si>
    <t>EVD-DE</t>
  </si>
  <si>
    <t>GOOG-US</t>
  </si>
  <si>
    <t>ADSK-US</t>
  </si>
  <si>
    <t>GE-US</t>
  </si>
  <si>
    <t>INTU-US</t>
  </si>
  <si>
    <t>MSFT-US</t>
  </si>
  <si>
    <t>V-US</t>
  </si>
  <si>
    <t>HDB-US</t>
  </si>
  <si>
    <t>SHW-US</t>
  </si>
  <si>
    <t>MCO-US</t>
  </si>
  <si>
    <t>EW-US</t>
  </si>
  <si>
    <t>FERG-US</t>
  </si>
  <si>
    <t>MA-US</t>
  </si>
  <si>
    <t>ZTS-US</t>
  </si>
  <si>
    <t>ULVR-GB</t>
  </si>
  <si>
    <t>B3SA3-BR</t>
  </si>
  <si>
    <t>ASML-US</t>
  </si>
  <si>
    <t>ATCO.B-SE</t>
  </si>
  <si>
    <t>ALLE-US</t>
  </si>
  <si>
    <t>AZO-US</t>
  </si>
  <si>
    <t>TSM-US</t>
  </si>
  <si>
    <t>BBCA-ID</t>
  </si>
  <si>
    <t>SCHW-US</t>
  </si>
  <si>
    <t>RTO-GB</t>
  </si>
  <si>
    <t>EXPN-GB</t>
  </si>
  <si>
    <t>WDAY-US</t>
  </si>
  <si>
    <t>ROG-CH</t>
  </si>
  <si>
    <t>BKNG-US</t>
  </si>
  <si>
    <t>1299-HK</t>
  </si>
  <si>
    <t>5AY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</si>
</sst>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EEEEEE"/>
        <bgColor rgb="FF000000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4" fillId="3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vertic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center"/>
    </xf>
    <xf numFmtId="14" fontId="3" fillId="2" borderId="1" xfId="1" applyNumberFormat="1" applyAlignment="1">
      <alignment horizontal="right" indent="2"/>
    </xf>
    <xf numFmtId="0" fontId="3" fillId="2" borderId="1" xfId="1"/>
    <xf numFmtId="2" fontId="0" fillId="0" borderId="0" xfId="0" applyNumberFormat="1"/>
    <xf numFmtId="2" fontId="0" fillId="4" borderId="0" xfId="0" applyNumberFormat="1" applyFill="1"/>
    <xf numFmtId="2" fontId="4" fillId="3" borderId="0" xfId="2" applyNumberFormat="1"/>
    <xf numFmtId="0" fontId="5" fillId="0" borderId="0" xfId="0" applyFont="1"/>
    <xf numFmtId="0" fontId="0" fillId="0" borderId="0" xfId="0" applyNumberFormat="1" applyFill="1"/>
    <xf numFmtId="0" fontId="0" fillId="5" borderId="2" xfId="0" applyFill="1" applyBorder="1" applyAlignment="1">
      <alignment horizontal="left"/>
    </xf>
  </cellXfs>
  <cellStyles count="3">
    <cellStyle name="Calculation" xfId="1" builtinId="22"/>
    <cellStyle name="Good" xfId="2" builtinId="26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"/>
  <sheetViews>
    <sheetView workbookViewId="0"/>
  </sheetViews>
  <sheetFormatPr defaultRowHeight="15" x14ac:dyDescent="0.25"/>
  <sheetData>
    <row r="1" spans="1:2" x14ac:dyDescent="0.25">
      <c r="B1" t="s">
        <v>1</v>
      </c>
    </row>
    <row r="2" spans="1:2" x14ac:dyDescent="0.25"/>
    <row r="3" spans="1:2" x14ac:dyDescent="0.25"/>
    <row r="4" spans="1:2" x14ac:dyDescent="0.25"/>
    <row r="5" spans="1:2" x14ac:dyDescent="0.25"/>
    <row r="6" spans="1:2" x14ac:dyDescent="0.2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E2CA7-98CE-41BE-8F0C-E3EEF9BC19C6}">
  <dimension ref="A1:CC82"/>
  <sheetViews>
    <sheetView showGridLines="0" zoomScale="70" zoomScaleNormal="70" workbookViewId="0"/>
  </sheetViews>
  <sheetFormatPr defaultColWidth="11" defaultRowHeight="15" x14ac:dyDescent="0.25"/>
  <sheetData>
    <row r="1" spans="1:81" ht="21" x14ac:dyDescent="0.35">
      <c r="A1" s="12" t="s">
        <v>8</v>
      </c>
      <c r="B1" s="12"/>
    </row>
    <row r="2" spans="1:81" ht="21" x14ac:dyDescent="0.35">
      <c r="A2" s="12"/>
    </row>
    <row r="3" spans="1:81" x14ac:dyDescent="0.25">
      <c r="A3" t="str">
        <f>IF(Backend!B30="", "", Backend!B30)</f>
        <v/>
      </c>
      <c r="B3" s="4" t="str">
        <f>IF(Backend!C29="", "", Backend!C29)</f>
        <v>Microsoft Corporation</v>
      </c>
      <c r="C3" s="4" t="str">
        <f>IF(Backend!D29="", "", Backend!D29)</f>
        <v>Alphabet Inc. Class C</v>
      </c>
      <c r="D3" s="4" t="str">
        <f>IF(Backend!E29="", "", Backend!E29)</f>
        <v>London Stock Exchange Group plc</v>
      </c>
      <c r="E3" s="4" t="str">
        <f>IF(Backend!F29="", "", Backend!F29)</f>
        <v>Visa Inc. Class A</v>
      </c>
      <c r="F3" s="4" t="str">
        <f>IF(Backend!G29="", "", Backend!G29)</f>
        <v>Mastercard Incorporated Class A</v>
      </c>
      <c r="G3" s="4" t="str">
        <f>IF(Backend!H29="", "", Backend!H29)</f>
        <v>Unilever PLC</v>
      </c>
      <c r="H3" s="4" t="str">
        <f>IF(Backend!I29="", "", Backend!I29)</f>
        <v>ASML Holding NV Sponsored ADR</v>
      </c>
      <c r="I3" s="4" t="str">
        <f>IF(Backend!J29="", "", Backend!J29)</f>
        <v>Deutsche Boerse AG</v>
      </c>
      <c r="J3" s="4" t="str">
        <f>IF(Backend!K29="", "", Backend!K29)</f>
        <v>GE Aerospace</v>
      </c>
      <c r="K3" s="4" t="str">
        <f>IF(Backend!L29="", "", Backend!L29)</f>
        <v>Taiwan Semiconductor Manufacturing Co., Ltd. Sponsored ADR</v>
      </c>
      <c r="L3" s="4" t="str">
        <f>IF(Backend!M29="", "", Backend!M29)</f>
        <v>Charles Schwab Corp</v>
      </c>
      <c r="M3" s="4" t="str">
        <f>IF(Backend!N29="", "", Backend!N29)</f>
        <v>Experian PLC</v>
      </c>
      <c r="N3" s="4" t="str">
        <f>IF(Backend!O29="", "", Backend!O29)</f>
        <v>Safran SA</v>
      </c>
      <c r="O3" s="4" t="str">
        <f>IF(Backend!P29="", "", Backend!P29)</f>
        <v>Roche Holding Ltd Dividend Right Cert.</v>
      </c>
      <c r="P3" s="4" t="str">
        <f>IF(Backend!Q29="", "", Backend!Q29)</f>
        <v>AIA Group Limited</v>
      </c>
      <c r="Q3" s="4" t="str">
        <f>IF(Backend!R29="", "", Backend!R29)</f>
        <v>HDFC Bank Limited Sponsored ADR</v>
      </c>
      <c r="R3" s="4" t="str">
        <f>IF(Backend!S29="", "", Backend!S29)</f>
        <v>Intuit Inc.</v>
      </c>
      <c r="S3" s="4" t="str">
        <f>IF(Backend!T29="", "", Backend!T29)</f>
        <v>Edwards Lifesciences Corporation</v>
      </c>
      <c r="T3" s="4" t="str">
        <f>IF(Backend!U29="", "", Backend!U29)</f>
        <v>Ferguson Enterprises Inc.</v>
      </c>
      <c r="U3" s="4" t="str">
        <f>IF(Backend!V29="", "", Backend!V29)</f>
        <v>Zoetis, Inc. Class A</v>
      </c>
      <c r="V3" s="4" t="str">
        <f>IF(Backend!W29="", "", Backend!W29)</f>
        <v>B3 SA - Brasil, Bolsa, Balcao</v>
      </c>
      <c r="W3" s="4" t="str">
        <f>IF(Backend!X29="", "", Backend!X29)</f>
        <v>Atlas Copco AB Class B</v>
      </c>
      <c r="X3" s="4" t="str">
        <f>IF(Backend!Y29="", "", Backend!Y29)</f>
        <v>Allegion Public Limited Company</v>
      </c>
      <c r="Y3" s="4" t="str">
        <f>IF(Backend!Z29="", "", Backend!Z29)</f>
        <v>AutoZone, Inc.</v>
      </c>
      <c r="Z3" s="4" t="str">
        <f>IF(Backend!AA29="", "", Backend!AA29)</f>
        <v>PT Bank Central Asia Tbk</v>
      </c>
      <c r="AA3" s="4" t="str">
        <f>IF(Backend!AB29="", "", Backend!AB29)</f>
        <v>Rentokil Initial plc</v>
      </c>
      <c r="AB3" s="4" t="str">
        <f>IF(Backend!AC29="", "", Backend!AC29)</f>
        <v>Workday, Inc. Class A</v>
      </c>
      <c r="AC3" s="4" t="str">
        <f>IF(Backend!AD29="", "", Backend!AD29)</f>
        <v>Autodesk, Inc.</v>
      </c>
      <c r="AD3" s="4" t="str">
        <f>IF(Backend!AE29="", "", Backend!AE29)</f>
        <v>Booking Holdings Inc.</v>
      </c>
      <c r="AE3" s="4" t="str">
        <f>IF(Backend!AF29="", "", Backend!AF29)</f>
        <v>CTS Eventim AG &amp; Co. KGaA</v>
      </c>
      <c r="AF3" s="4" t="str">
        <f>IF(Backend!AG29="", "", Backend!AG29)</f>
        <v>Sherwin-Williams Company</v>
      </c>
      <c r="AG3" s="4" t="str">
        <f>IF(Backend!AH29="", "", Backend!AH29)</f>
        <v>Moody's Corporation</v>
      </c>
      <c r="AH3" s="4" t="str">
        <f>IF(Backend!AI29="", "", Backend!AI29)</f>
        <v/>
      </c>
      <c r="AI3" s="4" t="str">
        <f>IF(Backend!AJ29="", "", Backend!AJ29)</f>
        <v/>
      </c>
      <c r="AJ3" s="4" t="str">
        <f>IF(Backend!AK29="", "", Backend!AK29)</f>
        <v/>
      </c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 t="str">
        <f>IF(Backend!BY30="", "", Backend!BY30)</f>
        <v/>
      </c>
      <c r="BY3" s="4" t="str">
        <f>IF(Backend!BZ30="", "", Backend!BZ30)</f>
        <v/>
      </c>
      <c r="BZ3" s="4" t="str">
        <f>IF(Backend!CA30="", "", Backend!CA30)</f>
        <v/>
      </c>
      <c r="CA3" s="4" t="str">
        <f>IF(Backend!CB30="", "", Backend!CB30)</f>
        <v/>
      </c>
      <c r="CB3" s="4" t="str">
        <f>IF(Backend!CC30="", "", Backend!CC30)</f>
        <v/>
      </c>
      <c r="CC3" s="4" t="str">
        <f>IF(Backend!CD30="", "", Backend!CD30)</f>
        <v/>
      </c>
    </row>
    <row r="4" spans="1:81" x14ac:dyDescent="0.25">
      <c r="A4" s="4" t="str">
        <f>IF(Backend!A31="", "", Backend!A31)</f>
        <v>Microsoft Corporation</v>
      </c>
      <c r="B4">
        <f>IF(Backend!C31="", "", Backend!C31)</f>
        <v>1</v>
      </c>
      <c r="C4">
        <f>IF(Backend!D31="", "", Backend!D31)</f>
        <v>0.66021719999999995</v>
      </c>
      <c r="D4">
        <f>IF(Backend!E31="", "", Backend!E31)</f>
        <v>0.11480432</v>
      </c>
      <c r="E4">
        <f>IF(Backend!F31="", "", Backend!F31)</f>
        <v>0.44737275999999998</v>
      </c>
      <c r="F4">
        <f>IF(Backend!G31="", "", Backend!G31)</f>
        <v>0.48085630000000001</v>
      </c>
      <c r="G4">
        <f>IF(Backend!H31="", "", Backend!H31)</f>
        <v>1.6145427E-2</v>
      </c>
      <c r="H4">
        <f>IF(Backend!I31="", "", Backend!I31)</f>
        <v>0.58226610000000001</v>
      </c>
      <c r="I4">
        <f>IF(Backend!J31="", "", Backend!J31)</f>
        <v>0.14425503000000001</v>
      </c>
      <c r="J4">
        <f>IF(Backend!K31="", "", Backend!K31)</f>
        <v>0.3014616</v>
      </c>
      <c r="K4">
        <f>IF(Backend!L31="", "", Backend!L31)</f>
        <v>0.49037930000000002</v>
      </c>
      <c r="L4">
        <f>IF(Backend!M31="", "", Backend!M31)</f>
        <v>0.26716699999999999</v>
      </c>
      <c r="M4">
        <f>IF(Backend!N31="", "", Backend!N31)</f>
        <v>0.27763397000000001</v>
      </c>
      <c r="N4">
        <f>IF(Backend!O31="", "", Backend!O31)</f>
        <v>0.17271675</v>
      </c>
      <c r="O4">
        <f>IF(Backend!P31="", "", Backend!P31)</f>
        <v>8.9628235000000001E-2</v>
      </c>
      <c r="P4">
        <f>IF(Backend!Q31="", "", Backend!Q31)</f>
        <v>8.3109329999999995E-3</v>
      </c>
      <c r="Q4">
        <f>IF(Backend!R31="", "", Backend!R31)</f>
        <v>0.28786197000000002</v>
      </c>
      <c r="R4">
        <f>IF(Backend!S31="", "", Backend!S31)</f>
        <v>0.62596165999999998</v>
      </c>
      <c r="S4">
        <f>IF(Backend!T31="", "", Backend!T31)</f>
        <v>0.35392687</v>
      </c>
      <c r="T4">
        <f>IF(Backend!U31="", "", Backend!U31)</f>
        <v>0.35875580000000001</v>
      </c>
      <c r="U4">
        <f>IF(Backend!V31="", "", Backend!V31)</f>
        <v>0.40642412999999999</v>
      </c>
      <c r="V4">
        <f>IF(Backend!W31="", "", Backend!W31)</f>
        <v>0.18600249999999999</v>
      </c>
      <c r="W4">
        <f>IF(Backend!X31="", "", Backend!X31)</f>
        <v>0.26896599999999998</v>
      </c>
      <c r="X4">
        <f>IF(Backend!Y31="", "", Backend!Y31)</f>
        <v>0.37333167</v>
      </c>
      <c r="Y4">
        <f>IF(Backend!Z31="", "", Backend!Z31)</f>
        <v>0.21489932</v>
      </c>
      <c r="Z4">
        <f>IF(Backend!AA31="", "", Backend!AA31)</f>
        <v>9.8974645E-2</v>
      </c>
      <c r="AA4">
        <f>IF(Backend!AB31="", "", Backend!AB31)</f>
        <v>0.19745813000000001</v>
      </c>
      <c r="AB4">
        <f>IF(Backend!AC31="", "", Backend!AC31)</f>
        <v>0.55141306000000001</v>
      </c>
      <c r="AC4">
        <f>IF(Backend!AD31="", "", Backend!AD31)</f>
        <v>0.57000989999999996</v>
      </c>
      <c r="AD4">
        <f>IF(Backend!AE31="", "", Backend!AE31)</f>
        <v>0.39047443999999998</v>
      </c>
      <c r="AE4">
        <f>IF(Backend!AF31="", "", Backend!AF31)</f>
        <v>0.14743001999999999</v>
      </c>
      <c r="AF4">
        <f>IF(Backend!AG31="", "", Backend!AG31)</f>
        <v>0.35503154999999997</v>
      </c>
      <c r="AG4">
        <f>IF(Backend!AH31="", "", Backend!AH31)</f>
        <v>0.5726618</v>
      </c>
      <c r="AH4" t="str">
        <f>IF(Backend!AI31="", "", Backend!AI31)</f>
        <v/>
      </c>
      <c r="AI4" t="str">
        <f>IF(Backend!AJ31="", "", Backend!AJ31)</f>
        <v/>
      </c>
      <c r="AJ4" t="str">
        <f>IF(Backend!AK31="", "", Backend!AK31)</f>
        <v/>
      </c>
      <c r="BX4" t="str">
        <f>IF(Backend!BY31="", "", Backend!BY31)</f>
        <v/>
      </c>
      <c r="BY4" t="str">
        <f>IF(Backend!BZ31="", "", Backend!BZ31)</f>
        <v/>
      </c>
      <c r="BZ4" t="str">
        <f>IF(Backend!CA31="", "", Backend!CA31)</f>
        <v/>
      </c>
      <c r="CA4" t="str">
        <f>IF(Backend!CB31="", "", Backend!CB31)</f>
        <v/>
      </c>
      <c r="CB4" t="str">
        <f>IF(Backend!CC31="", "", Backend!CC31)</f>
        <v/>
      </c>
      <c r="CC4" t="str">
        <f>IF(Backend!CD31="", "", Backend!CD31)</f>
        <v/>
      </c>
    </row>
    <row r="5" spans="1:81" x14ac:dyDescent="0.25">
      <c r="A5" s="4" t="str">
        <f>IF(Backend!A32="", "", Backend!A32)</f>
        <v>Alphabet Inc. Class C</v>
      </c>
      <c r="B5">
        <f>IF(Backend!C32="", "", Backend!C32)</f>
        <v>0.66021719999999995</v>
      </c>
      <c r="C5">
        <f>IF(Backend!D32="", "", Backend!D32)</f>
        <v>1</v>
      </c>
      <c r="D5">
        <f>IF(Backend!E32="", "", Backend!E32)</f>
        <v>0.12889439999999999</v>
      </c>
      <c r="E5">
        <f>IF(Backend!F32="", "", Backend!F32)</f>
        <v>0.39927265000000001</v>
      </c>
      <c r="F5">
        <f>IF(Backend!G32="", "", Backend!G32)</f>
        <v>0.42491433000000001</v>
      </c>
      <c r="G5">
        <f>IF(Backend!H32="", "", Backend!H32)</f>
        <v>2.683493E-2</v>
      </c>
      <c r="H5">
        <f>IF(Backend!I32="", "", Backend!I32)</f>
        <v>0.50340264999999995</v>
      </c>
      <c r="I5">
        <f>IF(Backend!J32="", "", Backend!J32)</f>
        <v>9.8878204999999997E-2</v>
      </c>
      <c r="J5">
        <f>IF(Backend!K32="", "", Backend!K32)</f>
        <v>0.29815143</v>
      </c>
      <c r="K5">
        <f>IF(Backend!L32="", "", Backend!L32)</f>
        <v>0.45100883000000003</v>
      </c>
      <c r="L5">
        <f>IF(Backend!M32="", "", Backend!M32)</f>
        <v>0.24902625</v>
      </c>
      <c r="M5">
        <f>IF(Backend!N32="", "", Backend!N32)</f>
        <v>0.21984063000000001</v>
      </c>
      <c r="N5">
        <f>IF(Backend!O32="", "", Backend!O32)</f>
        <v>0.18892059</v>
      </c>
      <c r="O5">
        <f>IF(Backend!P32="", "", Backend!P32)</f>
        <v>6.1816532E-2</v>
      </c>
      <c r="P5">
        <f>IF(Backend!Q32="", "", Backend!Q32)</f>
        <v>4.4050697E-2</v>
      </c>
      <c r="Q5">
        <f>IF(Backend!R32="", "", Backend!R32)</f>
        <v>0.26997408000000001</v>
      </c>
      <c r="R5">
        <f>IF(Backend!S32="", "", Backend!S32)</f>
        <v>0.54476254999999996</v>
      </c>
      <c r="S5">
        <f>IF(Backend!T32="", "", Backend!T32)</f>
        <v>0.32421997000000002</v>
      </c>
      <c r="T5">
        <f>IF(Backend!U32="", "", Backend!U32)</f>
        <v>0.29966530000000002</v>
      </c>
      <c r="U5">
        <f>IF(Backend!V32="", "", Backend!V32)</f>
        <v>0.3569</v>
      </c>
      <c r="V5">
        <f>IF(Backend!W32="", "", Backend!W32)</f>
        <v>0.2036618</v>
      </c>
      <c r="W5">
        <f>IF(Backend!X32="", "", Backend!X32)</f>
        <v>0.23337437</v>
      </c>
      <c r="X5">
        <f>IF(Backend!Y32="", "", Backend!Y32)</f>
        <v>0.28092483000000001</v>
      </c>
      <c r="Y5">
        <f>IF(Backend!Z32="", "", Backend!Z32)</f>
        <v>0.15223610000000001</v>
      </c>
      <c r="Z5">
        <f>IF(Backend!AA32="", "", Backend!AA32)</f>
        <v>5.9248312999999997E-2</v>
      </c>
      <c r="AA5">
        <f>IF(Backend!AB32="", "", Backend!AB32)</f>
        <v>0.14470749999999999</v>
      </c>
      <c r="AB5">
        <f>IF(Backend!AC32="", "", Backend!AC32)</f>
        <v>0.4320502</v>
      </c>
      <c r="AC5">
        <f>IF(Backend!AD32="", "", Backend!AD32)</f>
        <v>0.49197906000000002</v>
      </c>
      <c r="AD5">
        <f>IF(Backend!AE32="", "", Backend!AE32)</f>
        <v>0.39714432</v>
      </c>
      <c r="AE5">
        <f>IF(Backend!AF32="", "", Backend!AF32)</f>
        <v>0.14764051</v>
      </c>
      <c r="AF5">
        <f>IF(Backend!AG32="", "", Backend!AG32)</f>
        <v>0.26885998</v>
      </c>
      <c r="AG5">
        <f>IF(Backend!AH32="", "", Backend!AH32)</f>
        <v>0.46503523000000002</v>
      </c>
      <c r="AH5" t="str">
        <f>IF(Backend!AI32="", "", Backend!AI32)</f>
        <v/>
      </c>
      <c r="AI5" t="str">
        <f>IF(Backend!AJ32="", "", Backend!AJ32)</f>
        <v/>
      </c>
      <c r="AJ5" t="str">
        <f>IF(Backend!AK32="", "", Backend!AK32)</f>
        <v/>
      </c>
      <c r="AK5" t="str">
        <f>IF(Backend!AL32="", "", Backend!AL32)</f>
        <v/>
      </c>
      <c r="AL5" t="str">
        <f>IF(Backend!AM32="", "", Backend!AM32)</f>
        <v/>
      </c>
      <c r="AM5" t="str">
        <f>IF(Backend!AN32="", "", Backend!AN32)</f>
        <v/>
      </c>
      <c r="AN5" t="str">
        <f>IF(Backend!AO32="", "", Backend!AO32)</f>
        <v/>
      </c>
      <c r="AO5" t="str">
        <f>IF(Backend!AP32="", "", Backend!AP32)</f>
        <v/>
      </c>
      <c r="AP5" t="str">
        <f>IF(Backend!AQ32="", "", Backend!AQ32)</f>
        <v/>
      </c>
      <c r="AQ5" t="str">
        <f>IF(Backend!AR32="", "", Backend!AR32)</f>
        <v/>
      </c>
      <c r="AR5" t="str">
        <f>IF(Backend!AS32="", "", Backend!AS32)</f>
        <v/>
      </c>
      <c r="AS5" t="str">
        <f>IF(Backend!AT32="", "", Backend!AT32)</f>
        <v/>
      </c>
      <c r="AT5" t="str">
        <f>IF(Backend!AU32="", "", Backend!AU32)</f>
        <v/>
      </c>
      <c r="AU5" t="str">
        <f>IF(Backend!AV32="", "", Backend!AV32)</f>
        <v/>
      </c>
      <c r="AV5" t="str">
        <f>IF(Backend!AW32="", "", Backend!AW32)</f>
        <v/>
      </c>
      <c r="AW5" t="str">
        <f>IF(Backend!AX32="", "", Backend!AX32)</f>
        <v/>
      </c>
      <c r="AX5" t="str">
        <f>IF(Backend!AY32="", "", Backend!AY32)</f>
        <v/>
      </c>
      <c r="AY5" t="str">
        <f>IF(Backend!AZ32="", "", Backend!AZ32)</f>
        <v/>
      </c>
      <c r="AZ5" t="str">
        <f>IF(Backend!BA32="", "", Backend!BA32)</f>
        <v/>
      </c>
      <c r="BA5" t="str">
        <f>IF(Backend!BB32="", "", Backend!BB32)</f>
        <v/>
      </c>
      <c r="BB5" t="str">
        <f>IF(Backend!BC32="", "", Backend!BC32)</f>
        <v/>
      </c>
      <c r="BC5" t="str">
        <f>IF(Backend!BD32="", "", Backend!BD32)</f>
        <v/>
      </c>
      <c r="BD5" t="str">
        <f>IF(Backend!BE32="", "", Backend!BE32)</f>
        <v/>
      </c>
      <c r="BE5" t="str">
        <f>IF(Backend!BF32="", "", Backend!BF32)</f>
        <v/>
      </c>
      <c r="BF5" t="str">
        <f>IF(Backend!BG32="", "", Backend!BG32)</f>
        <v/>
      </c>
      <c r="BG5" t="str">
        <f>IF(Backend!BH32="", "", Backend!BH32)</f>
        <v/>
      </c>
      <c r="BH5" t="str">
        <f>IF(Backend!BI32="", "", Backend!BI32)</f>
        <v/>
      </c>
      <c r="BI5" t="str">
        <f>IF(Backend!BJ32="", "", Backend!BJ32)</f>
        <v/>
      </c>
      <c r="BJ5" t="str">
        <f>IF(Backend!BK32="", "", Backend!BK32)</f>
        <v/>
      </c>
      <c r="BK5" t="str">
        <f>IF(Backend!BL32="", "", Backend!BL32)</f>
        <v/>
      </c>
      <c r="BL5" t="str">
        <f>IF(Backend!BM32="", "", Backend!BM32)</f>
        <v/>
      </c>
      <c r="BM5" t="str">
        <f>IF(Backend!BN32="", "", Backend!BN32)</f>
        <v/>
      </c>
      <c r="BN5" t="str">
        <f>IF(Backend!BO32="", "", Backend!BO32)</f>
        <v/>
      </c>
      <c r="BO5" t="str">
        <f>IF(Backend!BP32="", "", Backend!BP32)</f>
        <v/>
      </c>
      <c r="BP5" t="str">
        <f>IF(Backend!BQ32="", "", Backend!BQ32)</f>
        <v/>
      </c>
      <c r="BQ5" t="str">
        <f>IF(Backend!BR32="", "", Backend!BR32)</f>
        <v/>
      </c>
      <c r="BR5" t="str">
        <f>IF(Backend!BS32="", "", Backend!BS32)</f>
        <v/>
      </c>
      <c r="BS5" t="str">
        <f>IF(Backend!BT32="", "", Backend!BT32)</f>
        <v/>
      </c>
      <c r="BT5" t="str">
        <f>IF(Backend!BU32="", "", Backend!BU32)</f>
        <v/>
      </c>
      <c r="BU5" t="str">
        <f>IF(Backend!BV32="", "", Backend!BV32)</f>
        <v/>
      </c>
      <c r="BV5" t="str">
        <f>IF(Backend!BW32="", "", Backend!BW32)</f>
        <v/>
      </c>
      <c r="BW5" t="str">
        <f>IF(Backend!BX32="", "", Backend!BX32)</f>
        <v/>
      </c>
      <c r="BX5" t="str">
        <f>IF(Backend!BY32="", "", Backend!BY32)</f>
        <v/>
      </c>
      <c r="BY5" t="str">
        <f>IF(Backend!BZ32="", "", Backend!BZ32)</f>
        <v/>
      </c>
      <c r="BZ5" t="str">
        <f>IF(Backend!CA32="", "", Backend!CA32)</f>
        <v/>
      </c>
      <c r="CA5" t="str">
        <f>IF(Backend!CB32="", "", Backend!CB32)</f>
        <v/>
      </c>
      <c r="CB5" t="str">
        <f>IF(Backend!CC32="", "", Backend!CC32)</f>
        <v/>
      </c>
      <c r="CC5" t="str">
        <f>IF(Backend!CD32="", "", Backend!CD32)</f>
        <v/>
      </c>
    </row>
    <row r="6" spans="1:81" x14ac:dyDescent="0.25">
      <c r="A6" s="4" t="str">
        <f>IF(Backend!A33="", "", Backend!A33)</f>
        <v>London Stock Exchange Group plc</v>
      </c>
      <c r="B6">
        <f>IF(Backend!C33="", "", Backend!C33)</f>
        <v>0.11480432</v>
      </c>
      <c r="C6">
        <f>IF(Backend!D33="", "", Backend!D33)</f>
        <v>0.12889439999999999</v>
      </c>
      <c r="D6">
        <f>IF(Backend!E33="", "", Backend!E33)</f>
        <v>1</v>
      </c>
      <c r="E6">
        <f>IF(Backend!F33="", "", Backend!F33)</f>
        <v>0.17274241000000001</v>
      </c>
      <c r="F6">
        <f>IF(Backend!G33="", "", Backend!G33)</f>
        <v>0.15690845</v>
      </c>
      <c r="G6">
        <f>IF(Backend!H33="", "", Backend!H33)</f>
        <v>0.27212468000000001</v>
      </c>
      <c r="H6">
        <f>IF(Backend!I33="", "", Backend!I33)</f>
        <v>0.19154289999999999</v>
      </c>
      <c r="I6">
        <f>IF(Backend!J33="", "", Backend!J33)</f>
        <v>0.54103785999999998</v>
      </c>
      <c r="J6">
        <f>IF(Backend!K33="", "", Backend!K33)</f>
        <v>9.4351864999999993E-2</v>
      </c>
      <c r="K6">
        <f>IF(Backend!L33="", "", Backend!L33)</f>
        <v>0.13669819</v>
      </c>
      <c r="L6">
        <f>IF(Backend!M33="", "", Backend!M33)</f>
        <v>9.8517289999999993E-2</v>
      </c>
      <c r="M6">
        <f>IF(Backend!N33="", "", Backend!N33)</f>
        <v>0.45928076000000001</v>
      </c>
      <c r="N6">
        <f>IF(Backend!O33="", "", Backend!O33)</f>
        <v>0.28440186000000001</v>
      </c>
      <c r="O6">
        <f>IF(Backend!P33="", "", Backend!P33)</f>
        <v>0.29977077000000002</v>
      </c>
      <c r="P6">
        <f>IF(Backend!Q33="", "", Backend!Q33)</f>
        <v>0.12050735999999999</v>
      </c>
      <c r="Q6">
        <f>IF(Backend!R33="", "", Backend!R33)</f>
        <v>0.19495246999999999</v>
      </c>
      <c r="R6">
        <f>IF(Backend!S33="", "", Backend!S33)</f>
        <v>0.18303665999999999</v>
      </c>
      <c r="S6">
        <f>IF(Backend!T33="", "", Backend!T33)</f>
        <v>0.18619199</v>
      </c>
      <c r="T6">
        <f>IF(Backend!U33="", "", Backend!U33)</f>
        <v>0.15717058</v>
      </c>
      <c r="U6">
        <f>IF(Backend!V33="", "", Backend!V33)</f>
        <v>0.1726982</v>
      </c>
      <c r="V6">
        <f>IF(Backend!W33="", "", Backend!W33)</f>
        <v>0.13807361000000001</v>
      </c>
      <c r="W6">
        <f>IF(Backend!X33="", "", Backend!X33)</f>
        <v>0.35244115999999998</v>
      </c>
      <c r="X6">
        <f>IF(Backend!Y33="", "", Backend!Y33)</f>
        <v>4.0666559999999997E-2</v>
      </c>
      <c r="Y6">
        <f>IF(Backend!Z33="", "", Backend!Z33)</f>
        <v>6.7865809999999999E-2</v>
      </c>
      <c r="Z6">
        <f>IF(Backend!AA33="", "", Backend!AA33)</f>
        <v>5.8418787999999999E-2</v>
      </c>
      <c r="AA6">
        <f>IF(Backend!AB33="", "", Backend!AB33)</f>
        <v>0.31271100000000002</v>
      </c>
      <c r="AB6">
        <f>IF(Backend!AC33="", "", Backend!AC33)</f>
        <v>0.14092969999999999</v>
      </c>
      <c r="AC6">
        <f>IF(Backend!AD33="", "", Backend!AD33)</f>
        <v>0.18247983000000001</v>
      </c>
      <c r="AD6">
        <f>IF(Backend!AE33="", "", Backend!AE33)</f>
        <v>9.8445820000000003E-2</v>
      </c>
      <c r="AE6">
        <f>IF(Backend!AF33="", "", Backend!AF33)</f>
        <v>0.2795783</v>
      </c>
      <c r="AF6">
        <f>IF(Backend!AG33="", "", Backend!AG33)</f>
        <v>0.1165571</v>
      </c>
      <c r="AG6">
        <f>IF(Backend!AH33="", "", Backend!AH33)</f>
        <v>0.25265073999999998</v>
      </c>
      <c r="AH6" t="str">
        <f>IF(Backend!AI33="", "", Backend!AI33)</f>
        <v/>
      </c>
      <c r="AI6" t="str">
        <f>IF(Backend!AJ33="", "", Backend!AJ33)</f>
        <v/>
      </c>
      <c r="AJ6" t="str">
        <f>IF(Backend!AK33="", "", Backend!AK33)</f>
        <v/>
      </c>
      <c r="AK6" t="str">
        <f>IF(Backend!AL33="", "", Backend!AL33)</f>
        <v/>
      </c>
      <c r="AL6" t="str">
        <f>IF(Backend!AM33="", "", Backend!AM33)</f>
        <v/>
      </c>
      <c r="AM6" t="str">
        <f>IF(Backend!AN33="", "", Backend!AN33)</f>
        <v/>
      </c>
      <c r="AN6" t="str">
        <f>IF(Backend!AO33="", "", Backend!AO33)</f>
        <v/>
      </c>
      <c r="AO6" t="str">
        <f>IF(Backend!AP33="", "", Backend!AP33)</f>
        <v/>
      </c>
      <c r="AP6" t="str">
        <f>IF(Backend!AQ33="", "", Backend!AQ33)</f>
        <v/>
      </c>
      <c r="AQ6" t="str">
        <f>IF(Backend!AR33="", "", Backend!AR33)</f>
        <v/>
      </c>
      <c r="AR6" t="str">
        <f>IF(Backend!AS33="", "", Backend!AS33)</f>
        <v/>
      </c>
      <c r="AS6" t="str">
        <f>IF(Backend!AT33="", "", Backend!AT33)</f>
        <v/>
      </c>
      <c r="AT6" t="str">
        <f>IF(Backend!AU33="", "", Backend!AU33)</f>
        <v/>
      </c>
      <c r="AU6" t="str">
        <f>IF(Backend!AV33="", "", Backend!AV33)</f>
        <v/>
      </c>
      <c r="AV6" t="str">
        <f>IF(Backend!AW33="", "", Backend!AW33)</f>
        <v/>
      </c>
      <c r="AW6" t="str">
        <f>IF(Backend!AX33="", "", Backend!AX33)</f>
        <v/>
      </c>
      <c r="AX6" t="str">
        <f>IF(Backend!AY33="", "", Backend!AY33)</f>
        <v/>
      </c>
      <c r="AY6" t="str">
        <f>IF(Backend!AZ33="", "", Backend!AZ33)</f>
        <v/>
      </c>
      <c r="AZ6" t="str">
        <f>IF(Backend!BA33="", "", Backend!BA33)</f>
        <v/>
      </c>
      <c r="BA6" t="str">
        <f>IF(Backend!BB33="", "", Backend!BB33)</f>
        <v/>
      </c>
      <c r="BB6" t="str">
        <f>IF(Backend!BC33="", "", Backend!BC33)</f>
        <v/>
      </c>
      <c r="BC6" t="str">
        <f>IF(Backend!BD33="", "", Backend!BD33)</f>
        <v/>
      </c>
      <c r="BD6" t="str">
        <f>IF(Backend!BE33="", "", Backend!BE33)</f>
        <v/>
      </c>
      <c r="BE6" t="str">
        <f>IF(Backend!BF33="", "", Backend!BF33)</f>
        <v/>
      </c>
      <c r="BF6" t="str">
        <f>IF(Backend!BG33="", "", Backend!BG33)</f>
        <v/>
      </c>
      <c r="BG6" t="str">
        <f>IF(Backend!BH33="", "", Backend!BH33)</f>
        <v/>
      </c>
      <c r="BH6" t="str">
        <f>IF(Backend!BI33="", "", Backend!BI33)</f>
        <v/>
      </c>
      <c r="BI6" t="str">
        <f>IF(Backend!BJ33="", "", Backend!BJ33)</f>
        <v/>
      </c>
      <c r="BJ6" t="str">
        <f>IF(Backend!BK33="", "", Backend!BK33)</f>
        <v/>
      </c>
      <c r="BK6" t="str">
        <f>IF(Backend!BL33="", "", Backend!BL33)</f>
        <v/>
      </c>
      <c r="BL6" t="str">
        <f>IF(Backend!BM33="", "", Backend!BM33)</f>
        <v/>
      </c>
      <c r="BM6" t="str">
        <f>IF(Backend!BN33="", "", Backend!BN33)</f>
        <v/>
      </c>
      <c r="BN6" t="str">
        <f>IF(Backend!BO33="", "", Backend!BO33)</f>
        <v/>
      </c>
      <c r="BO6" t="str">
        <f>IF(Backend!BP33="", "", Backend!BP33)</f>
        <v/>
      </c>
      <c r="BP6" t="str">
        <f>IF(Backend!BQ33="", "", Backend!BQ33)</f>
        <v/>
      </c>
      <c r="BQ6" t="str">
        <f>IF(Backend!BR33="", "", Backend!BR33)</f>
        <v/>
      </c>
      <c r="BR6" t="str">
        <f>IF(Backend!BS33="", "", Backend!BS33)</f>
        <v/>
      </c>
      <c r="BS6" t="str">
        <f>IF(Backend!BT33="", "", Backend!BT33)</f>
        <v/>
      </c>
      <c r="BT6" t="str">
        <f>IF(Backend!BU33="", "", Backend!BU33)</f>
        <v/>
      </c>
      <c r="BU6" t="str">
        <f>IF(Backend!BV33="", "", Backend!BV33)</f>
        <v/>
      </c>
      <c r="BV6" t="str">
        <f>IF(Backend!BW33="", "", Backend!BW33)</f>
        <v/>
      </c>
      <c r="BW6" t="str">
        <f>IF(Backend!BX33="", "", Backend!BX33)</f>
        <v/>
      </c>
      <c r="BX6" t="str">
        <f>IF(Backend!BY33="", "", Backend!BY33)</f>
        <v/>
      </c>
      <c r="BY6" t="str">
        <f>IF(Backend!BZ33="", "", Backend!BZ33)</f>
        <v/>
      </c>
      <c r="BZ6" t="str">
        <f>IF(Backend!CA33="", "", Backend!CA33)</f>
        <v/>
      </c>
      <c r="CA6" t="str">
        <f>IF(Backend!CB33="", "", Backend!CB33)</f>
        <v/>
      </c>
      <c r="CB6" t="str">
        <f>IF(Backend!CC33="", "", Backend!CC33)</f>
        <v/>
      </c>
      <c r="CC6" t="str">
        <f>IF(Backend!CD33="", "", Backend!CD33)</f>
        <v/>
      </c>
    </row>
    <row r="7" spans="1:81" x14ac:dyDescent="0.25">
      <c r="A7" s="4" t="str">
        <f>IF(Backend!A34="", "", Backend!A34)</f>
        <v>Visa Inc. Class A</v>
      </c>
      <c r="B7">
        <f>IF(Backend!C34="", "", Backend!C34)</f>
        <v>0.44737275999999998</v>
      </c>
      <c r="C7">
        <f>IF(Backend!D34="", "", Backend!D34)</f>
        <v>0.39927265000000001</v>
      </c>
      <c r="D7">
        <f>IF(Backend!E34="", "", Backend!E34)</f>
        <v>0.17274241000000001</v>
      </c>
      <c r="E7">
        <f>IF(Backend!F34="", "", Backend!F34)</f>
        <v>1</v>
      </c>
      <c r="F7">
        <f>IF(Backend!G34="", "", Backend!G34)</f>
        <v>0.88173734999999998</v>
      </c>
      <c r="G7">
        <f>IF(Backend!H34="", "", Backend!H34)</f>
        <v>0.1128113</v>
      </c>
      <c r="H7">
        <f>IF(Backend!I34="", "", Backend!I34)</f>
        <v>0.39051622000000002</v>
      </c>
      <c r="I7">
        <f>IF(Backend!J34="", "", Backend!J34)</f>
        <v>0.21412763000000001</v>
      </c>
      <c r="J7">
        <f>IF(Backend!K34="", "", Backend!K34)</f>
        <v>0.418707</v>
      </c>
      <c r="K7">
        <f>IF(Backend!L34="", "", Backend!L34)</f>
        <v>0.30322325</v>
      </c>
      <c r="L7">
        <f>IF(Backend!M34="", "", Backend!M34)</f>
        <v>0.37733322000000002</v>
      </c>
      <c r="M7">
        <f>IF(Backend!N34="", "", Backend!N34)</f>
        <v>0.27664654999999999</v>
      </c>
      <c r="N7">
        <f>IF(Backend!O34="", "", Backend!O34)</f>
        <v>0.30226920000000002</v>
      </c>
      <c r="O7">
        <f>IF(Backend!P34="", "", Backend!P34)</f>
        <v>0.12770870000000001</v>
      </c>
      <c r="P7">
        <f>IF(Backend!Q34="", "", Backend!Q34)</f>
        <v>5.2469287000000003E-2</v>
      </c>
      <c r="Q7">
        <f>IF(Backend!R34="", "", Backend!R34)</f>
        <v>0.33338684000000002</v>
      </c>
      <c r="R7">
        <f>IF(Backend!S34="", "", Backend!S34)</f>
        <v>0.48231420000000003</v>
      </c>
      <c r="S7">
        <f>IF(Backend!T34="", "", Backend!T34)</f>
        <v>0.3527749</v>
      </c>
      <c r="T7">
        <f>IF(Backend!U34="", "", Backend!U34)</f>
        <v>0.37868067999999999</v>
      </c>
      <c r="U7">
        <f>IF(Backend!V34="", "", Backend!V34)</f>
        <v>0.41178825000000002</v>
      </c>
      <c r="V7">
        <f>IF(Backend!W34="", "", Backend!W34)</f>
        <v>0.14241677999999999</v>
      </c>
      <c r="W7">
        <f>IF(Backend!X34="", "", Backend!X34)</f>
        <v>0.26348474999999999</v>
      </c>
      <c r="X7">
        <f>IF(Backend!Y34="", "", Backend!Y34)</f>
        <v>0.41775014999999999</v>
      </c>
      <c r="Y7">
        <f>IF(Backend!Z34="", "", Backend!Z34)</f>
        <v>0.29430260000000003</v>
      </c>
      <c r="Z7">
        <f>IF(Backend!AA34="", "", Backend!AA34)</f>
        <v>7.0578559999999999E-2</v>
      </c>
      <c r="AA7">
        <f>IF(Backend!AB34="", "", Backend!AB34)</f>
        <v>0.16095908</v>
      </c>
      <c r="AB7">
        <f>IF(Backend!AC34="", "", Backend!AC34)</f>
        <v>0.40438141999999999</v>
      </c>
      <c r="AC7">
        <f>IF(Backend!AD34="", "", Backend!AD34)</f>
        <v>0.45402867000000002</v>
      </c>
      <c r="AD7">
        <f>IF(Backend!AE34="", "", Backend!AE34)</f>
        <v>0.51456714000000003</v>
      </c>
      <c r="AE7">
        <f>IF(Backend!AF34="", "", Backend!AF34)</f>
        <v>0.26409146</v>
      </c>
      <c r="AF7">
        <f>IF(Backend!AG34="", "", Backend!AG34)</f>
        <v>0.39198723000000002</v>
      </c>
      <c r="AG7">
        <f>IF(Backend!AH34="", "", Backend!AH34)</f>
        <v>0.53997110000000004</v>
      </c>
      <c r="AH7" t="str">
        <f>IF(Backend!AI34="", "", Backend!AI34)</f>
        <v/>
      </c>
      <c r="AI7" t="str">
        <f>IF(Backend!AJ34="", "", Backend!AJ34)</f>
        <v/>
      </c>
      <c r="AJ7" t="str">
        <f>IF(Backend!AK34="", "", Backend!AK34)</f>
        <v/>
      </c>
      <c r="AK7" t="str">
        <f>IF(Backend!AL34="", "", Backend!AL34)</f>
        <v/>
      </c>
      <c r="AL7" t="str">
        <f>IF(Backend!AM34="", "", Backend!AM34)</f>
        <v/>
      </c>
      <c r="AM7" t="str">
        <f>IF(Backend!AN34="", "", Backend!AN34)</f>
        <v/>
      </c>
      <c r="AN7" t="str">
        <f>IF(Backend!AO34="", "", Backend!AO34)</f>
        <v/>
      </c>
      <c r="AO7" t="str">
        <f>IF(Backend!AP34="", "", Backend!AP34)</f>
        <v/>
      </c>
      <c r="AP7" t="str">
        <f>IF(Backend!AQ34="", "", Backend!AQ34)</f>
        <v/>
      </c>
      <c r="AQ7" t="str">
        <f>IF(Backend!AR34="", "", Backend!AR34)</f>
        <v/>
      </c>
      <c r="AR7" t="str">
        <f>IF(Backend!AS34="", "", Backend!AS34)</f>
        <v/>
      </c>
      <c r="AS7" t="str">
        <f>IF(Backend!AT34="", "", Backend!AT34)</f>
        <v/>
      </c>
      <c r="AT7" t="str">
        <f>IF(Backend!AU34="", "", Backend!AU34)</f>
        <v/>
      </c>
      <c r="AU7" t="str">
        <f>IF(Backend!AV34="", "", Backend!AV34)</f>
        <v/>
      </c>
      <c r="AV7" t="str">
        <f>IF(Backend!AW34="", "", Backend!AW34)</f>
        <v/>
      </c>
      <c r="AW7" t="str">
        <f>IF(Backend!AX34="", "", Backend!AX34)</f>
        <v/>
      </c>
      <c r="AX7" t="str">
        <f>IF(Backend!AY34="", "", Backend!AY34)</f>
        <v/>
      </c>
      <c r="AY7" t="str">
        <f>IF(Backend!AZ34="", "", Backend!AZ34)</f>
        <v/>
      </c>
      <c r="AZ7" t="str">
        <f>IF(Backend!BA34="", "", Backend!BA34)</f>
        <v/>
      </c>
      <c r="BA7" t="str">
        <f>IF(Backend!BB34="", "", Backend!BB34)</f>
        <v/>
      </c>
      <c r="BB7" t="str">
        <f>IF(Backend!BC34="", "", Backend!BC34)</f>
        <v/>
      </c>
      <c r="BC7" t="str">
        <f>IF(Backend!BD34="", "", Backend!BD34)</f>
        <v/>
      </c>
      <c r="BD7" t="str">
        <f>IF(Backend!BE34="", "", Backend!BE34)</f>
        <v/>
      </c>
      <c r="BE7" t="str">
        <f>IF(Backend!BF34="", "", Backend!BF34)</f>
        <v/>
      </c>
      <c r="BF7" t="str">
        <f>IF(Backend!BG34="", "", Backend!BG34)</f>
        <v/>
      </c>
      <c r="BG7" t="str">
        <f>IF(Backend!BH34="", "", Backend!BH34)</f>
        <v/>
      </c>
      <c r="BH7" t="str">
        <f>IF(Backend!BI34="", "", Backend!BI34)</f>
        <v/>
      </c>
      <c r="BI7" t="str">
        <f>IF(Backend!BJ34="", "", Backend!BJ34)</f>
        <v/>
      </c>
      <c r="BJ7" t="str">
        <f>IF(Backend!BK34="", "", Backend!BK34)</f>
        <v/>
      </c>
      <c r="BK7" t="str">
        <f>IF(Backend!BL34="", "", Backend!BL34)</f>
        <v/>
      </c>
      <c r="BL7" t="str">
        <f>IF(Backend!BM34="", "", Backend!BM34)</f>
        <v/>
      </c>
      <c r="BM7" t="str">
        <f>IF(Backend!BN34="", "", Backend!BN34)</f>
        <v/>
      </c>
      <c r="BN7" t="str">
        <f>IF(Backend!BO34="", "", Backend!BO34)</f>
        <v/>
      </c>
      <c r="BO7" t="str">
        <f>IF(Backend!BP34="", "", Backend!BP34)</f>
        <v/>
      </c>
      <c r="BP7" t="str">
        <f>IF(Backend!BQ34="", "", Backend!BQ34)</f>
        <v/>
      </c>
      <c r="BQ7" t="str">
        <f>IF(Backend!BR34="", "", Backend!BR34)</f>
        <v/>
      </c>
      <c r="BR7" t="str">
        <f>IF(Backend!BS34="", "", Backend!BS34)</f>
        <v/>
      </c>
      <c r="BS7" t="str">
        <f>IF(Backend!BT34="", "", Backend!BT34)</f>
        <v/>
      </c>
      <c r="BT7" t="str">
        <f>IF(Backend!BU34="", "", Backend!BU34)</f>
        <v/>
      </c>
      <c r="BU7" t="str">
        <f>IF(Backend!BV34="", "", Backend!BV34)</f>
        <v/>
      </c>
      <c r="BV7" t="str">
        <f>IF(Backend!BW34="", "", Backend!BW34)</f>
        <v/>
      </c>
      <c r="BW7" t="str">
        <f>IF(Backend!BX34="", "", Backend!BX34)</f>
        <v/>
      </c>
      <c r="BX7" t="str">
        <f>IF(Backend!BY34="", "", Backend!BY34)</f>
        <v/>
      </c>
      <c r="BY7" t="str">
        <f>IF(Backend!BZ34="", "", Backend!BZ34)</f>
        <v/>
      </c>
      <c r="BZ7" t="str">
        <f>IF(Backend!CA34="", "", Backend!CA34)</f>
        <v/>
      </c>
      <c r="CA7" t="str">
        <f>IF(Backend!CB34="", "", Backend!CB34)</f>
        <v/>
      </c>
      <c r="CB7" t="str">
        <f>IF(Backend!CC34="", "", Backend!CC34)</f>
        <v/>
      </c>
      <c r="CC7" t="str">
        <f>IF(Backend!CD34="", "", Backend!CD34)</f>
        <v/>
      </c>
    </row>
    <row r="8" spans="1:81" x14ac:dyDescent="0.25">
      <c r="A8" s="4" t="str">
        <f>IF(Backend!A35="", "", Backend!A35)</f>
        <v>Mastercard Incorporated Class A</v>
      </c>
      <c r="B8">
        <f>IF(Backend!C35="", "", Backend!C35)</f>
        <v>0.48085630000000001</v>
      </c>
      <c r="C8">
        <f>IF(Backend!D35="", "", Backend!D35)</f>
        <v>0.42491433000000001</v>
      </c>
      <c r="D8">
        <f>IF(Backend!E35="", "", Backend!E35)</f>
        <v>0.15690845</v>
      </c>
      <c r="E8">
        <f>IF(Backend!F35="", "", Backend!F35)</f>
        <v>0.88173734999999998</v>
      </c>
      <c r="F8">
        <f>IF(Backend!G35="", "", Backend!G35)</f>
        <v>1</v>
      </c>
      <c r="G8">
        <f>IF(Backend!H35="", "", Backend!H35)</f>
        <v>0.121826276</v>
      </c>
      <c r="H8">
        <f>IF(Backend!I35="", "", Backend!I35)</f>
        <v>0.42422022999999998</v>
      </c>
      <c r="I8">
        <f>IF(Backend!J35="", "", Backend!J35)</f>
        <v>0.22820488</v>
      </c>
      <c r="J8">
        <f>IF(Backend!K35="", "", Backend!K35)</f>
        <v>0.44700685000000001</v>
      </c>
      <c r="K8">
        <f>IF(Backend!L35="", "", Backend!L35)</f>
        <v>0.32116454999999999</v>
      </c>
      <c r="L8">
        <f>IF(Backend!M35="", "", Backend!M35)</f>
        <v>0.39673947999999998</v>
      </c>
      <c r="M8">
        <f>IF(Backend!N35="", "", Backend!N35)</f>
        <v>0.27700459999999999</v>
      </c>
      <c r="N8">
        <f>IF(Backend!O35="", "", Backend!O35)</f>
        <v>0.33722252000000003</v>
      </c>
      <c r="O8">
        <f>IF(Backend!P35="", "", Backend!P35)</f>
        <v>0.12520835</v>
      </c>
      <c r="P8">
        <f>IF(Backend!Q35="", "", Backend!Q35)</f>
        <v>5.7950254999999999E-2</v>
      </c>
      <c r="Q8">
        <f>IF(Backend!R35="", "", Backend!R35)</f>
        <v>0.38355610000000001</v>
      </c>
      <c r="R8">
        <f>IF(Backend!S35="", "", Backend!S35)</f>
        <v>0.52362330000000001</v>
      </c>
      <c r="S8">
        <f>IF(Backend!T35="", "", Backend!T35)</f>
        <v>0.38375455000000003</v>
      </c>
      <c r="T8">
        <f>IF(Backend!U35="", "", Backend!U35)</f>
        <v>0.38851005</v>
      </c>
      <c r="U8">
        <f>IF(Backend!V35="", "", Backend!V35)</f>
        <v>0.43414059999999999</v>
      </c>
      <c r="V8">
        <f>IF(Backend!W35="", "", Backend!W35)</f>
        <v>0.1691443</v>
      </c>
      <c r="W8">
        <f>IF(Backend!X35="", "", Backend!X35)</f>
        <v>0.30399925</v>
      </c>
      <c r="X8">
        <f>IF(Backend!Y35="", "", Backend!Y35)</f>
        <v>0.4461775</v>
      </c>
      <c r="Y8">
        <f>IF(Backend!Z35="", "", Backend!Z35)</f>
        <v>0.28398522999999998</v>
      </c>
      <c r="Z8">
        <f>IF(Backend!AA35="", "", Backend!AA35)</f>
        <v>7.3454364999999994E-2</v>
      </c>
      <c r="AA8">
        <f>IF(Backend!AB35="", "", Backend!AB35)</f>
        <v>0.18750892999999999</v>
      </c>
      <c r="AB8">
        <f>IF(Backend!AC35="", "", Backend!AC35)</f>
        <v>0.43069216999999999</v>
      </c>
      <c r="AC8">
        <f>IF(Backend!AD35="", "", Backend!AD35)</f>
        <v>0.500421</v>
      </c>
      <c r="AD8">
        <f>IF(Backend!AE35="", "", Backend!AE35)</f>
        <v>0.56643220000000005</v>
      </c>
      <c r="AE8">
        <f>IF(Backend!AF35="", "", Backend!AF35)</f>
        <v>0.29873430000000001</v>
      </c>
      <c r="AF8">
        <f>IF(Backend!AG35="", "", Backend!AG35)</f>
        <v>0.38738151999999998</v>
      </c>
      <c r="AG8">
        <f>IF(Backend!AH35="", "", Backend!AH35)</f>
        <v>0.56021670000000001</v>
      </c>
      <c r="AH8" t="str">
        <f>IF(Backend!AI35="", "", Backend!AI35)</f>
        <v/>
      </c>
      <c r="AI8" t="str">
        <f>IF(Backend!AJ35="", "", Backend!AJ35)</f>
        <v/>
      </c>
      <c r="AJ8" t="str">
        <f>IF(Backend!AK35="", "", Backend!AK35)</f>
        <v/>
      </c>
      <c r="AK8" t="str">
        <f>IF(Backend!AL35="", "", Backend!AL35)</f>
        <v/>
      </c>
      <c r="AL8" t="str">
        <f>IF(Backend!AM35="", "", Backend!AM35)</f>
        <v/>
      </c>
      <c r="AM8" t="str">
        <f>IF(Backend!AN35="", "", Backend!AN35)</f>
        <v/>
      </c>
      <c r="AN8" t="str">
        <f>IF(Backend!AO35="", "", Backend!AO35)</f>
        <v/>
      </c>
      <c r="AO8" t="str">
        <f>IF(Backend!AP35="", "", Backend!AP35)</f>
        <v/>
      </c>
      <c r="AP8" t="str">
        <f>IF(Backend!AQ35="", "", Backend!AQ35)</f>
        <v/>
      </c>
      <c r="AQ8" t="str">
        <f>IF(Backend!AR35="", "", Backend!AR35)</f>
        <v/>
      </c>
      <c r="AR8" t="str">
        <f>IF(Backend!AS35="", "", Backend!AS35)</f>
        <v/>
      </c>
      <c r="AS8" t="str">
        <f>IF(Backend!AT35="", "", Backend!AT35)</f>
        <v/>
      </c>
      <c r="AT8" t="str">
        <f>IF(Backend!AU35="", "", Backend!AU35)</f>
        <v/>
      </c>
      <c r="AU8" t="str">
        <f>IF(Backend!AV35="", "", Backend!AV35)</f>
        <v/>
      </c>
      <c r="AV8" t="str">
        <f>IF(Backend!AW35="", "", Backend!AW35)</f>
        <v/>
      </c>
      <c r="AW8" t="str">
        <f>IF(Backend!AX35="", "", Backend!AX35)</f>
        <v/>
      </c>
      <c r="AX8" t="str">
        <f>IF(Backend!AY35="", "", Backend!AY35)</f>
        <v/>
      </c>
      <c r="AY8" t="str">
        <f>IF(Backend!AZ35="", "", Backend!AZ35)</f>
        <v/>
      </c>
      <c r="AZ8" t="str">
        <f>IF(Backend!BA35="", "", Backend!BA35)</f>
        <v/>
      </c>
      <c r="BA8" t="str">
        <f>IF(Backend!BB35="", "", Backend!BB35)</f>
        <v/>
      </c>
      <c r="BB8" t="str">
        <f>IF(Backend!BC35="", "", Backend!BC35)</f>
        <v/>
      </c>
      <c r="BC8" t="str">
        <f>IF(Backend!BD35="", "", Backend!BD35)</f>
        <v/>
      </c>
      <c r="BD8" t="str">
        <f>IF(Backend!BE35="", "", Backend!BE35)</f>
        <v/>
      </c>
      <c r="BE8" t="str">
        <f>IF(Backend!BF35="", "", Backend!BF35)</f>
        <v/>
      </c>
      <c r="BF8" t="str">
        <f>IF(Backend!BG35="", "", Backend!BG35)</f>
        <v/>
      </c>
      <c r="BG8" t="str">
        <f>IF(Backend!BH35="", "", Backend!BH35)</f>
        <v/>
      </c>
      <c r="BH8" t="str">
        <f>IF(Backend!BI35="", "", Backend!BI35)</f>
        <v/>
      </c>
      <c r="BI8" t="str">
        <f>IF(Backend!BJ35="", "", Backend!BJ35)</f>
        <v/>
      </c>
      <c r="BJ8" t="str">
        <f>IF(Backend!BK35="", "", Backend!BK35)</f>
        <v/>
      </c>
      <c r="BK8" t="str">
        <f>IF(Backend!BL35="", "", Backend!BL35)</f>
        <v/>
      </c>
      <c r="BL8" t="str">
        <f>IF(Backend!BM35="", "", Backend!BM35)</f>
        <v/>
      </c>
      <c r="BM8" t="str">
        <f>IF(Backend!BN35="", "", Backend!BN35)</f>
        <v/>
      </c>
      <c r="BN8" t="str">
        <f>IF(Backend!BO35="", "", Backend!BO35)</f>
        <v/>
      </c>
      <c r="BO8" t="str">
        <f>IF(Backend!BP35="", "", Backend!BP35)</f>
        <v/>
      </c>
      <c r="BP8" t="str">
        <f>IF(Backend!BQ35="", "", Backend!BQ35)</f>
        <v/>
      </c>
      <c r="BQ8" t="str">
        <f>IF(Backend!BR35="", "", Backend!BR35)</f>
        <v/>
      </c>
      <c r="BR8" t="str">
        <f>IF(Backend!BS35="", "", Backend!BS35)</f>
        <v/>
      </c>
      <c r="BS8" t="str">
        <f>IF(Backend!BT35="", "", Backend!BT35)</f>
        <v/>
      </c>
      <c r="BT8" t="str">
        <f>IF(Backend!BU35="", "", Backend!BU35)</f>
        <v/>
      </c>
      <c r="BU8" t="str">
        <f>IF(Backend!BV35="", "", Backend!BV35)</f>
        <v/>
      </c>
      <c r="BV8" t="str">
        <f>IF(Backend!BW35="", "", Backend!BW35)</f>
        <v/>
      </c>
      <c r="BW8" t="str">
        <f>IF(Backend!BX35="", "", Backend!BX35)</f>
        <v/>
      </c>
      <c r="BX8" t="str">
        <f>IF(Backend!BY35="", "", Backend!BY35)</f>
        <v/>
      </c>
      <c r="BY8" t="str">
        <f>IF(Backend!BZ35="", "", Backend!BZ35)</f>
        <v/>
      </c>
      <c r="BZ8" t="str">
        <f>IF(Backend!CA35="", "", Backend!CA35)</f>
        <v/>
      </c>
      <c r="CA8" t="str">
        <f>IF(Backend!CB35="", "", Backend!CB35)</f>
        <v/>
      </c>
      <c r="CB8" t="str">
        <f>IF(Backend!CC35="", "", Backend!CC35)</f>
        <v/>
      </c>
      <c r="CC8" t="str">
        <f>IF(Backend!CD35="", "", Backend!CD35)</f>
        <v/>
      </c>
    </row>
    <row r="9" spans="1:81" x14ac:dyDescent="0.25">
      <c r="A9" s="4" t="str">
        <f>IF(Backend!A36="", "", Backend!A36)</f>
        <v>Unilever PLC</v>
      </c>
      <c r="B9">
        <f>IF(Backend!C36="", "", Backend!C36)</f>
        <v>1.6145427E-2</v>
      </c>
      <c r="C9">
        <f>IF(Backend!D36="", "", Backend!D36)</f>
        <v>2.683493E-2</v>
      </c>
      <c r="D9">
        <f>IF(Backend!E36="", "", Backend!E36)</f>
        <v>0.27212468000000001</v>
      </c>
      <c r="E9">
        <f>IF(Backend!F36="", "", Backend!F36)</f>
        <v>0.1128113</v>
      </c>
      <c r="F9">
        <f>IF(Backend!G36="", "", Backend!G36)</f>
        <v>0.121826276</v>
      </c>
      <c r="G9">
        <f>IF(Backend!H36="", "", Backend!H36)</f>
        <v>1</v>
      </c>
      <c r="H9">
        <f>IF(Backend!I36="", "", Backend!I36)</f>
        <v>3.9971970000000002E-2</v>
      </c>
      <c r="I9">
        <f>IF(Backend!J36="", "", Backend!J36)</f>
        <v>0.34389009999999998</v>
      </c>
      <c r="J9">
        <f>IF(Backend!K36="", "", Backend!K36)</f>
        <v>5.4020529999999997E-2</v>
      </c>
      <c r="K9">
        <f>IF(Backend!L36="", "", Backend!L36)</f>
        <v>2.5981035E-2</v>
      </c>
      <c r="L9">
        <f>IF(Backend!M36="", "", Backend!M36)</f>
        <v>3.5275526000000001E-2</v>
      </c>
      <c r="M9">
        <f>IF(Backend!N36="", "", Backend!N36)</f>
        <v>0.3355551</v>
      </c>
      <c r="N9">
        <f>IF(Backend!O36="", "", Backend!O36)</f>
        <v>0.22893472000000001</v>
      </c>
      <c r="O9">
        <f>IF(Backend!P36="", "", Backend!P36)</f>
        <v>0.28797138</v>
      </c>
      <c r="P9">
        <f>IF(Backend!Q36="", "", Backend!Q36)</f>
        <v>0.13305753000000001</v>
      </c>
      <c r="Q9">
        <f>IF(Backend!R36="", "", Backend!R36)</f>
        <v>0.13162139</v>
      </c>
      <c r="R9">
        <f>IF(Backend!S36="", "", Backend!S36)</f>
        <v>4.6338905E-2</v>
      </c>
      <c r="S9">
        <f>IF(Backend!T36="", "", Backend!T36)</f>
        <v>2.0011266999999999E-2</v>
      </c>
      <c r="T9">
        <f>IF(Backend!U36="", "", Backend!U36)</f>
        <v>0.12381701000000001</v>
      </c>
      <c r="U9">
        <f>IF(Backend!V36="", "", Backend!V36)</f>
        <v>0.17518487999999999</v>
      </c>
      <c r="V9">
        <f>IF(Backend!W36="", "", Backend!W36)</f>
        <v>4.1053824000000003E-2</v>
      </c>
      <c r="W9">
        <f>IF(Backend!X36="", "", Backend!X36)</f>
        <v>0.23730203999999999</v>
      </c>
      <c r="X9">
        <f>IF(Backend!Y36="", "", Backend!Y36)</f>
        <v>9.8312415E-2</v>
      </c>
      <c r="Y9">
        <f>IF(Backend!Z36="", "", Backend!Z36)</f>
        <v>0.12150303</v>
      </c>
      <c r="Z9">
        <f>IF(Backend!AA36="", "", Backend!AA36)</f>
        <v>6.315047E-2</v>
      </c>
      <c r="AA9">
        <f>IF(Backend!AB36="", "", Backend!AB36)</f>
        <v>0.28705733999999999</v>
      </c>
      <c r="AB9">
        <f>IF(Backend!AC36="", "", Backend!AC36)</f>
        <v>3.5877159999999998E-2</v>
      </c>
      <c r="AC9">
        <f>IF(Backend!AD36="", "", Backend!AD36)</f>
        <v>6.9559805000000002E-2</v>
      </c>
      <c r="AD9">
        <f>IF(Backend!AE36="", "", Backend!AE36)</f>
        <v>6.8910553999999999E-2</v>
      </c>
      <c r="AE9">
        <f>IF(Backend!AF36="", "", Backend!AF36)</f>
        <v>0.18897522999999999</v>
      </c>
      <c r="AF9">
        <f>IF(Backend!AG36="", "", Backend!AG36)</f>
        <v>0.13355765999999999</v>
      </c>
      <c r="AG9">
        <f>IF(Backend!AH36="", "", Backend!AH36)</f>
        <v>0.12608184</v>
      </c>
      <c r="AH9" t="str">
        <f>IF(Backend!AI36="", "", Backend!AI36)</f>
        <v/>
      </c>
      <c r="AI9" t="str">
        <f>IF(Backend!AJ36="", "", Backend!AJ36)</f>
        <v/>
      </c>
      <c r="AJ9" t="str">
        <f>IF(Backend!AK36="", "", Backend!AK36)</f>
        <v/>
      </c>
      <c r="AK9" t="str">
        <f>IF(Backend!AL36="", "", Backend!AL36)</f>
        <v/>
      </c>
      <c r="AL9" t="str">
        <f>IF(Backend!AM36="", "", Backend!AM36)</f>
        <v/>
      </c>
      <c r="AM9" t="str">
        <f>IF(Backend!AN36="", "", Backend!AN36)</f>
        <v/>
      </c>
      <c r="AN9" t="str">
        <f>IF(Backend!AO36="", "", Backend!AO36)</f>
        <v/>
      </c>
      <c r="AO9" t="str">
        <f>IF(Backend!AP36="", "", Backend!AP36)</f>
        <v/>
      </c>
      <c r="AP9" t="str">
        <f>IF(Backend!AQ36="", "", Backend!AQ36)</f>
        <v/>
      </c>
      <c r="AQ9" t="str">
        <f>IF(Backend!AR36="", "", Backend!AR36)</f>
        <v/>
      </c>
      <c r="AR9" t="str">
        <f>IF(Backend!AS36="", "", Backend!AS36)</f>
        <v/>
      </c>
      <c r="AS9" t="str">
        <f>IF(Backend!AT36="", "", Backend!AT36)</f>
        <v/>
      </c>
      <c r="AT9" t="str">
        <f>IF(Backend!AU36="", "", Backend!AU36)</f>
        <v/>
      </c>
      <c r="AU9" t="str">
        <f>IF(Backend!AV36="", "", Backend!AV36)</f>
        <v/>
      </c>
      <c r="AV9" t="str">
        <f>IF(Backend!AW36="", "", Backend!AW36)</f>
        <v/>
      </c>
      <c r="AW9" t="str">
        <f>IF(Backend!AX36="", "", Backend!AX36)</f>
        <v/>
      </c>
      <c r="AX9" t="str">
        <f>IF(Backend!AY36="", "", Backend!AY36)</f>
        <v/>
      </c>
      <c r="AY9" t="str">
        <f>IF(Backend!AZ36="", "", Backend!AZ36)</f>
        <v/>
      </c>
      <c r="AZ9" t="str">
        <f>IF(Backend!BA36="", "", Backend!BA36)</f>
        <v/>
      </c>
      <c r="BA9" t="str">
        <f>IF(Backend!BB36="", "", Backend!BB36)</f>
        <v/>
      </c>
      <c r="BB9" t="str">
        <f>IF(Backend!BC36="", "", Backend!BC36)</f>
        <v/>
      </c>
      <c r="BC9" t="str">
        <f>IF(Backend!BD36="", "", Backend!BD36)</f>
        <v/>
      </c>
      <c r="BD9" t="str">
        <f>IF(Backend!BE36="", "", Backend!BE36)</f>
        <v/>
      </c>
      <c r="BE9" t="str">
        <f>IF(Backend!BF36="", "", Backend!BF36)</f>
        <v/>
      </c>
      <c r="BF9" t="str">
        <f>IF(Backend!BG36="", "", Backend!BG36)</f>
        <v/>
      </c>
      <c r="BG9" t="str">
        <f>IF(Backend!BH36="", "", Backend!BH36)</f>
        <v/>
      </c>
      <c r="BH9" t="str">
        <f>IF(Backend!BI36="", "", Backend!BI36)</f>
        <v/>
      </c>
      <c r="BI9" t="str">
        <f>IF(Backend!BJ36="", "", Backend!BJ36)</f>
        <v/>
      </c>
      <c r="BJ9" t="str">
        <f>IF(Backend!BK36="", "", Backend!BK36)</f>
        <v/>
      </c>
      <c r="BK9" t="str">
        <f>IF(Backend!BL36="", "", Backend!BL36)</f>
        <v/>
      </c>
      <c r="BL9" t="str">
        <f>IF(Backend!BM36="", "", Backend!BM36)</f>
        <v/>
      </c>
      <c r="BM9" t="str">
        <f>IF(Backend!BN36="", "", Backend!BN36)</f>
        <v/>
      </c>
      <c r="BN9" t="str">
        <f>IF(Backend!BO36="", "", Backend!BO36)</f>
        <v/>
      </c>
      <c r="BO9" t="str">
        <f>IF(Backend!BP36="", "", Backend!BP36)</f>
        <v/>
      </c>
      <c r="BP9" t="str">
        <f>IF(Backend!BQ36="", "", Backend!BQ36)</f>
        <v/>
      </c>
      <c r="BQ9" t="str">
        <f>IF(Backend!BR36="", "", Backend!BR36)</f>
        <v/>
      </c>
      <c r="BR9" t="str">
        <f>IF(Backend!BS36="", "", Backend!BS36)</f>
        <v/>
      </c>
      <c r="BS9" t="str">
        <f>IF(Backend!BT36="", "", Backend!BT36)</f>
        <v/>
      </c>
      <c r="BT9" t="str">
        <f>IF(Backend!BU36="", "", Backend!BU36)</f>
        <v/>
      </c>
      <c r="BU9" t="str">
        <f>IF(Backend!BV36="", "", Backend!BV36)</f>
        <v/>
      </c>
      <c r="BV9" t="str">
        <f>IF(Backend!BW36="", "", Backend!BW36)</f>
        <v/>
      </c>
      <c r="BW9" t="str">
        <f>IF(Backend!BX36="", "", Backend!BX36)</f>
        <v/>
      </c>
      <c r="BX9" t="str">
        <f>IF(Backend!BY36="", "", Backend!BY36)</f>
        <v/>
      </c>
      <c r="BY9" t="str">
        <f>IF(Backend!BZ36="", "", Backend!BZ36)</f>
        <v/>
      </c>
      <c r="BZ9" t="str">
        <f>IF(Backend!CA36="", "", Backend!CA36)</f>
        <v/>
      </c>
      <c r="CA9" t="str">
        <f>IF(Backend!CB36="", "", Backend!CB36)</f>
        <v/>
      </c>
      <c r="CB9" t="str">
        <f>IF(Backend!CC36="", "", Backend!CC36)</f>
        <v/>
      </c>
      <c r="CC9" t="str">
        <f>IF(Backend!CD36="", "", Backend!CD36)</f>
        <v/>
      </c>
    </row>
    <row r="10" spans="1:81" x14ac:dyDescent="0.25">
      <c r="A10" s="4" t="str">
        <f>IF(Backend!A37="", "", Backend!A37)</f>
        <v>ASML Holding NV Sponsored ADR</v>
      </c>
      <c r="B10">
        <f>IF(Backend!C37="", "", Backend!C37)</f>
        <v>0.58226610000000001</v>
      </c>
      <c r="C10">
        <f>IF(Backend!D37="", "", Backend!D37)</f>
        <v>0.50340264999999995</v>
      </c>
      <c r="D10">
        <f>IF(Backend!E37="", "", Backend!E37)</f>
        <v>0.19154289999999999</v>
      </c>
      <c r="E10">
        <f>IF(Backend!F37="", "", Backend!F37)</f>
        <v>0.39051622000000002</v>
      </c>
      <c r="F10">
        <f>IF(Backend!G37="", "", Backend!G37)</f>
        <v>0.42422022999999998</v>
      </c>
      <c r="G10">
        <f>IF(Backend!H37="", "", Backend!H37)</f>
        <v>3.9971970000000002E-2</v>
      </c>
      <c r="H10">
        <f>IF(Backend!I37="", "", Backend!I37)</f>
        <v>1</v>
      </c>
      <c r="I10">
        <f>IF(Backend!J37="", "", Backend!J37)</f>
        <v>0.19588377000000001</v>
      </c>
      <c r="J10">
        <f>IF(Backend!K37="", "", Backend!K37)</f>
        <v>0.38918861999999999</v>
      </c>
      <c r="K10">
        <f>IF(Backend!L37="", "", Backend!L37)</f>
        <v>0.70035239999999999</v>
      </c>
      <c r="L10">
        <f>IF(Backend!M37="", "", Backend!M37)</f>
        <v>0.30205592999999997</v>
      </c>
      <c r="M10">
        <f>IF(Backend!N37="", "", Backend!N37)</f>
        <v>0.35104869999999999</v>
      </c>
      <c r="N10">
        <f>IF(Backend!O37="", "", Backend!O37)</f>
        <v>0.27095344999999998</v>
      </c>
      <c r="O10">
        <f>IF(Backend!P37="", "", Backend!P37)</f>
        <v>0.10183631</v>
      </c>
      <c r="P10">
        <f>IF(Backend!Q37="", "", Backend!Q37)</f>
        <v>8.6207493999999996E-2</v>
      </c>
      <c r="Q10">
        <f>IF(Backend!R37="", "", Backend!R37)</f>
        <v>0.31032412999999998</v>
      </c>
      <c r="R10">
        <f>IF(Backend!S37="", "", Backend!S37)</f>
        <v>0.55336730000000001</v>
      </c>
      <c r="S10">
        <f>IF(Backend!T37="", "", Backend!T37)</f>
        <v>0.32355430000000002</v>
      </c>
      <c r="T10">
        <f>IF(Backend!U37="", "", Backend!U37)</f>
        <v>0.45693109999999998</v>
      </c>
      <c r="U10">
        <f>IF(Backend!V37="", "", Backend!V37)</f>
        <v>0.38298844999999998</v>
      </c>
      <c r="V10">
        <f>IF(Backend!W37="", "", Backend!W37)</f>
        <v>0.18508182000000001</v>
      </c>
      <c r="W10">
        <f>IF(Backend!X37="", "", Backend!X37)</f>
        <v>0.44080138000000002</v>
      </c>
      <c r="X10">
        <f>IF(Backend!Y37="", "", Backend!Y37)</f>
        <v>0.38972097999999999</v>
      </c>
      <c r="Y10">
        <f>IF(Backend!Z37="", "", Backend!Z37)</f>
        <v>0.15856994999999999</v>
      </c>
      <c r="Z10">
        <f>IF(Backend!AA37="", "", Backend!AA37)</f>
        <v>7.2625220000000004E-2</v>
      </c>
      <c r="AA10">
        <f>IF(Backend!AB37="", "", Backend!AB37)</f>
        <v>0.21007456999999999</v>
      </c>
      <c r="AB10">
        <f>IF(Backend!AC37="", "", Backend!AC37)</f>
        <v>0.45029160000000001</v>
      </c>
      <c r="AC10">
        <f>IF(Backend!AD37="", "", Backend!AD37)</f>
        <v>0.55139740000000004</v>
      </c>
      <c r="AD10">
        <f>IF(Backend!AE37="", "", Backend!AE37)</f>
        <v>0.45197335</v>
      </c>
      <c r="AE10">
        <f>IF(Backend!AF37="", "", Backend!AF37)</f>
        <v>0.26285029999999998</v>
      </c>
      <c r="AF10">
        <f>IF(Backend!AG37="", "", Backend!AG37)</f>
        <v>0.34209198000000002</v>
      </c>
      <c r="AG10">
        <f>IF(Backend!AH37="", "", Backend!AH37)</f>
        <v>0.48905622999999998</v>
      </c>
      <c r="AH10" t="str">
        <f>IF(Backend!AI37="", "", Backend!AI37)</f>
        <v/>
      </c>
      <c r="AI10" t="str">
        <f>IF(Backend!AJ37="", "", Backend!AJ37)</f>
        <v/>
      </c>
      <c r="AJ10" t="str">
        <f>IF(Backend!AK37="", "", Backend!AK37)</f>
        <v/>
      </c>
      <c r="AK10" t="str">
        <f>IF(Backend!AL37="", "", Backend!AL37)</f>
        <v/>
      </c>
      <c r="AL10" t="str">
        <f>IF(Backend!AM37="", "", Backend!AM37)</f>
        <v/>
      </c>
      <c r="AM10" t="str">
        <f>IF(Backend!AN37="", "", Backend!AN37)</f>
        <v/>
      </c>
      <c r="AN10" t="str">
        <f>IF(Backend!AO37="", "", Backend!AO37)</f>
        <v/>
      </c>
      <c r="AO10" t="str">
        <f>IF(Backend!AP37="", "", Backend!AP37)</f>
        <v/>
      </c>
      <c r="AP10" t="str">
        <f>IF(Backend!AQ37="", "", Backend!AQ37)</f>
        <v/>
      </c>
      <c r="AQ10" t="str">
        <f>IF(Backend!AR37="", "", Backend!AR37)</f>
        <v/>
      </c>
      <c r="AR10" t="str">
        <f>IF(Backend!AS37="", "", Backend!AS37)</f>
        <v/>
      </c>
      <c r="AS10" t="str">
        <f>IF(Backend!AT37="", "", Backend!AT37)</f>
        <v/>
      </c>
      <c r="AT10" t="str">
        <f>IF(Backend!AU37="", "", Backend!AU37)</f>
        <v/>
      </c>
      <c r="AU10" t="str">
        <f>IF(Backend!AV37="", "", Backend!AV37)</f>
        <v/>
      </c>
      <c r="AV10" t="str">
        <f>IF(Backend!AW37="", "", Backend!AW37)</f>
        <v/>
      </c>
      <c r="AW10" t="str">
        <f>IF(Backend!AX37="", "", Backend!AX37)</f>
        <v/>
      </c>
      <c r="AX10" t="str">
        <f>IF(Backend!AY37="", "", Backend!AY37)</f>
        <v/>
      </c>
      <c r="AY10" t="str">
        <f>IF(Backend!AZ37="", "", Backend!AZ37)</f>
        <v/>
      </c>
      <c r="AZ10" t="str">
        <f>IF(Backend!BA37="", "", Backend!BA37)</f>
        <v/>
      </c>
      <c r="BA10" t="str">
        <f>IF(Backend!BB37="", "", Backend!BB37)</f>
        <v/>
      </c>
      <c r="BB10" t="str">
        <f>IF(Backend!BC37="", "", Backend!BC37)</f>
        <v/>
      </c>
      <c r="BC10" t="str">
        <f>IF(Backend!BD37="", "", Backend!BD37)</f>
        <v/>
      </c>
      <c r="BD10" t="str">
        <f>IF(Backend!BE37="", "", Backend!BE37)</f>
        <v/>
      </c>
      <c r="BE10" t="str">
        <f>IF(Backend!BF37="", "", Backend!BF37)</f>
        <v/>
      </c>
      <c r="BF10" t="str">
        <f>IF(Backend!BG37="", "", Backend!BG37)</f>
        <v/>
      </c>
      <c r="BG10" t="str">
        <f>IF(Backend!BH37="", "", Backend!BH37)</f>
        <v/>
      </c>
      <c r="BH10" t="str">
        <f>IF(Backend!BI37="", "", Backend!BI37)</f>
        <v/>
      </c>
      <c r="BI10" t="str">
        <f>IF(Backend!BJ37="", "", Backend!BJ37)</f>
        <v/>
      </c>
      <c r="BJ10" t="str">
        <f>IF(Backend!BK37="", "", Backend!BK37)</f>
        <v/>
      </c>
      <c r="BK10" t="str">
        <f>IF(Backend!BL37="", "", Backend!BL37)</f>
        <v/>
      </c>
      <c r="BL10" t="str">
        <f>IF(Backend!BM37="", "", Backend!BM37)</f>
        <v/>
      </c>
      <c r="BM10" t="str">
        <f>IF(Backend!BN37="", "", Backend!BN37)</f>
        <v/>
      </c>
      <c r="BN10" t="str">
        <f>IF(Backend!BO37="", "", Backend!BO37)</f>
        <v/>
      </c>
      <c r="BO10" t="str">
        <f>IF(Backend!BP37="", "", Backend!BP37)</f>
        <v/>
      </c>
      <c r="BP10" t="str">
        <f>IF(Backend!BQ37="", "", Backend!BQ37)</f>
        <v/>
      </c>
      <c r="BQ10" t="str">
        <f>IF(Backend!BR37="", "", Backend!BR37)</f>
        <v/>
      </c>
      <c r="BR10" t="str">
        <f>IF(Backend!BS37="", "", Backend!BS37)</f>
        <v/>
      </c>
      <c r="BS10" t="str">
        <f>IF(Backend!BT37="", "", Backend!BT37)</f>
        <v/>
      </c>
      <c r="BT10" t="str">
        <f>IF(Backend!BU37="", "", Backend!BU37)</f>
        <v/>
      </c>
      <c r="BU10" t="str">
        <f>IF(Backend!BV37="", "", Backend!BV37)</f>
        <v/>
      </c>
      <c r="BV10" t="str">
        <f>IF(Backend!BW37="", "", Backend!BW37)</f>
        <v/>
      </c>
      <c r="BW10" t="str">
        <f>IF(Backend!BX37="", "", Backend!BX37)</f>
        <v/>
      </c>
      <c r="BX10" t="str">
        <f>IF(Backend!BY37="", "", Backend!BY37)</f>
        <v/>
      </c>
      <c r="BY10" t="str">
        <f>IF(Backend!BZ37="", "", Backend!BZ37)</f>
        <v/>
      </c>
      <c r="BZ10" t="str">
        <f>IF(Backend!CA37="", "", Backend!CA37)</f>
        <v/>
      </c>
      <c r="CA10" t="str">
        <f>IF(Backend!CB37="", "", Backend!CB37)</f>
        <v/>
      </c>
      <c r="CB10" t="str">
        <f>IF(Backend!CC37="", "", Backend!CC37)</f>
        <v/>
      </c>
      <c r="CC10" t="str">
        <f>IF(Backend!CD37="", "", Backend!CD37)</f>
        <v/>
      </c>
    </row>
    <row r="11" spans="1:81" x14ac:dyDescent="0.25">
      <c r="A11" s="4" t="str">
        <f>IF(Backend!A38="", "", Backend!A38)</f>
        <v>Deutsche Boerse AG</v>
      </c>
      <c r="B11">
        <f>IF(Backend!C38="", "", Backend!C38)</f>
        <v>0.14425503000000001</v>
      </c>
      <c r="C11">
        <f>IF(Backend!D38="", "", Backend!D38)</f>
        <v>9.8878204999999997E-2</v>
      </c>
      <c r="D11">
        <f>IF(Backend!E38="", "", Backend!E38)</f>
        <v>0.54103785999999998</v>
      </c>
      <c r="E11">
        <f>IF(Backend!F38="", "", Backend!F38)</f>
        <v>0.21412763000000001</v>
      </c>
      <c r="F11">
        <f>IF(Backend!G38="", "", Backend!G38)</f>
        <v>0.22820488</v>
      </c>
      <c r="G11">
        <f>IF(Backend!H38="", "", Backend!H38)</f>
        <v>0.34389009999999998</v>
      </c>
      <c r="H11">
        <f>IF(Backend!I38="", "", Backend!I38)</f>
        <v>0.19588377000000001</v>
      </c>
      <c r="I11">
        <f>IF(Backend!J38="", "", Backend!J38)</f>
        <v>1</v>
      </c>
      <c r="J11">
        <f>IF(Backend!K38="", "", Backend!K38)</f>
        <v>0.122936726</v>
      </c>
      <c r="K11">
        <f>IF(Backend!L38="", "", Backend!L38)</f>
        <v>0.10890806</v>
      </c>
      <c r="L11">
        <f>IF(Backend!M38="", "", Backend!M38)</f>
        <v>9.5722600000000005E-2</v>
      </c>
      <c r="M11">
        <f>IF(Backend!N38="", "", Backend!N38)</f>
        <v>0.44998568</v>
      </c>
      <c r="N11">
        <f>IF(Backend!O38="", "", Backend!O38)</f>
        <v>0.39820796000000003</v>
      </c>
      <c r="O11">
        <f>IF(Backend!P38="", "", Backend!P38)</f>
        <v>0.34489009999999998</v>
      </c>
      <c r="P11">
        <f>IF(Backend!Q38="", "", Backend!Q38)</f>
        <v>8.6693359999999997E-2</v>
      </c>
      <c r="Q11">
        <f>IF(Backend!R38="", "", Backend!R38)</f>
        <v>0.22101165</v>
      </c>
      <c r="R11">
        <f>IF(Backend!S38="", "", Backend!S38)</f>
        <v>0.19934581000000001</v>
      </c>
      <c r="S11">
        <f>IF(Backend!T38="", "", Backend!T38)</f>
        <v>0.1659841</v>
      </c>
      <c r="T11">
        <f>IF(Backend!U38="", "", Backend!U38)</f>
        <v>0.14290443</v>
      </c>
      <c r="U11">
        <f>IF(Backend!V38="", "", Backend!V38)</f>
        <v>0.2110136</v>
      </c>
      <c r="V11">
        <f>IF(Backend!W38="", "", Backend!W38)</f>
        <v>0.15060683999999999</v>
      </c>
      <c r="W11">
        <f>IF(Backend!X38="", "", Backend!X38)</f>
        <v>0.38777850000000003</v>
      </c>
      <c r="X11">
        <f>IF(Backend!Y38="", "", Backend!Y38)</f>
        <v>0.110066496</v>
      </c>
      <c r="Y11">
        <f>IF(Backend!Z38="", "", Backend!Z38)</f>
        <v>0.14030321000000001</v>
      </c>
      <c r="Z11">
        <f>IF(Backend!AA38="", "", Backend!AA38)</f>
        <v>4.4642040000000001E-2</v>
      </c>
      <c r="AA11">
        <f>IF(Backend!AB38="", "", Backend!AB38)</f>
        <v>0.37145242000000001</v>
      </c>
      <c r="AB11">
        <f>IF(Backend!AC38="", "", Backend!AC38)</f>
        <v>0.15192589000000001</v>
      </c>
      <c r="AC11">
        <f>IF(Backend!AD38="", "", Backend!AD38)</f>
        <v>0.1776095</v>
      </c>
      <c r="AD11">
        <f>IF(Backend!AE38="", "", Backend!AE38)</f>
        <v>0.17202592</v>
      </c>
      <c r="AE11">
        <f>IF(Backend!AF38="", "", Backend!AF38)</f>
        <v>0.36710357999999998</v>
      </c>
      <c r="AF11">
        <f>IF(Backend!AG38="", "", Backend!AG38)</f>
        <v>0.14558794</v>
      </c>
      <c r="AG11">
        <f>IF(Backend!AH38="", "", Backend!AH38)</f>
        <v>0.25797441999999998</v>
      </c>
      <c r="AH11" t="str">
        <f>IF(Backend!AI38="", "", Backend!AI38)</f>
        <v/>
      </c>
      <c r="AI11" t="str">
        <f>IF(Backend!AJ38="", "", Backend!AJ38)</f>
        <v/>
      </c>
      <c r="AJ11" t="str">
        <f>IF(Backend!AK38="", "", Backend!AK38)</f>
        <v/>
      </c>
      <c r="AK11" t="str">
        <f>IF(Backend!AL38="", "", Backend!AL38)</f>
        <v/>
      </c>
      <c r="AL11" t="str">
        <f>IF(Backend!AM38="", "", Backend!AM38)</f>
        <v/>
      </c>
      <c r="AM11" t="str">
        <f>IF(Backend!AN38="", "", Backend!AN38)</f>
        <v/>
      </c>
      <c r="AN11" t="str">
        <f>IF(Backend!AO38="", "", Backend!AO38)</f>
        <v/>
      </c>
      <c r="AO11" t="str">
        <f>IF(Backend!AP38="", "", Backend!AP38)</f>
        <v/>
      </c>
      <c r="AP11" t="str">
        <f>IF(Backend!AQ38="", "", Backend!AQ38)</f>
        <v/>
      </c>
      <c r="AQ11" t="str">
        <f>IF(Backend!AR38="", "", Backend!AR38)</f>
        <v/>
      </c>
      <c r="AR11" t="str">
        <f>IF(Backend!AS38="", "", Backend!AS38)</f>
        <v/>
      </c>
      <c r="AS11" t="str">
        <f>IF(Backend!AT38="", "", Backend!AT38)</f>
        <v/>
      </c>
      <c r="AT11" t="str">
        <f>IF(Backend!AU38="", "", Backend!AU38)</f>
        <v/>
      </c>
      <c r="AU11" t="str">
        <f>IF(Backend!AV38="", "", Backend!AV38)</f>
        <v/>
      </c>
      <c r="AV11" t="str">
        <f>IF(Backend!AW38="", "", Backend!AW38)</f>
        <v/>
      </c>
      <c r="AW11" t="str">
        <f>IF(Backend!AX38="", "", Backend!AX38)</f>
        <v/>
      </c>
      <c r="AX11" t="str">
        <f>IF(Backend!AY38="", "", Backend!AY38)</f>
        <v/>
      </c>
      <c r="AY11" t="str">
        <f>IF(Backend!AZ38="", "", Backend!AZ38)</f>
        <v/>
      </c>
      <c r="AZ11" t="str">
        <f>IF(Backend!BA38="", "", Backend!BA38)</f>
        <v/>
      </c>
      <c r="BA11" t="str">
        <f>IF(Backend!BB38="", "", Backend!BB38)</f>
        <v/>
      </c>
      <c r="BB11" t="str">
        <f>IF(Backend!BC38="", "", Backend!BC38)</f>
        <v/>
      </c>
      <c r="BC11" t="str">
        <f>IF(Backend!BD38="", "", Backend!BD38)</f>
        <v/>
      </c>
      <c r="BD11" t="str">
        <f>IF(Backend!BE38="", "", Backend!BE38)</f>
        <v/>
      </c>
      <c r="BE11" t="str">
        <f>IF(Backend!BF38="", "", Backend!BF38)</f>
        <v/>
      </c>
      <c r="BF11" t="str">
        <f>IF(Backend!BG38="", "", Backend!BG38)</f>
        <v/>
      </c>
      <c r="BG11" t="str">
        <f>IF(Backend!BH38="", "", Backend!BH38)</f>
        <v/>
      </c>
      <c r="BH11" t="str">
        <f>IF(Backend!BI38="", "", Backend!BI38)</f>
        <v/>
      </c>
      <c r="BI11" t="str">
        <f>IF(Backend!BJ38="", "", Backend!BJ38)</f>
        <v/>
      </c>
      <c r="BJ11" t="str">
        <f>IF(Backend!BK38="", "", Backend!BK38)</f>
        <v/>
      </c>
      <c r="BK11" t="str">
        <f>IF(Backend!BL38="", "", Backend!BL38)</f>
        <v/>
      </c>
      <c r="BL11" t="str">
        <f>IF(Backend!BM38="", "", Backend!BM38)</f>
        <v/>
      </c>
      <c r="BM11" t="str">
        <f>IF(Backend!BN38="", "", Backend!BN38)</f>
        <v/>
      </c>
      <c r="BN11" t="str">
        <f>IF(Backend!BO38="", "", Backend!BO38)</f>
        <v/>
      </c>
      <c r="BO11" t="str">
        <f>IF(Backend!BP38="", "", Backend!BP38)</f>
        <v/>
      </c>
      <c r="BP11" t="str">
        <f>IF(Backend!BQ38="", "", Backend!BQ38)</f>
        <v/>
      </c>
      <c r="BQ11" t="str">
        <f>IF(Backend!BR38="", "", Backend!BR38)</f>
        <v/>
      </c>
      <c r="BR11" t="str">
        <f>IF(Backend!BS38="", "", Backend!BS38)</f>
        <v/>
      </c>
      <c r="BS11" t="str">
        <f>IF(Backend!BT38="", "", Backend!BT38)</f>
        <v/>
      </c>
      <c r="BT11" t="str">
        <f>IF(Backend!BU38="", "", Backend!BU38)</f>
        <v/>
      </c>
      <c r="BU11" t="str">
        <f>IF(Backend!BV38="", "", Backend!BV38)</f>
        <v/>
      </c>
      <c r="BV11" t="str">
        <f>IF(Backend!BW38="", "", Backend!BW38)</f>
        <v/>
      </c>
      <c r="BW11" t="str">
        <f>IF(Backend!BX38="", "", Backend!BX38)</f>
        <v/>
      </c>
      <c r="BX11" t="str">
        <f>IF(Backend!BY38="", "", Backend!BY38)</f>
        <v/>
      </c>
      <c r="BY11" t="str">
        <f>IF(Backend!BZ38="", "", Backend!BZ38)</f>
        <v/>
      </c>
      <c r="BZ11" t="str">
        <f>IF(Backend!CA38="", "", Backend!CA38)</f>
        <v/>
      </c>
      <c r="CA11" t="str">
        <f>IF(Backend!CB38="", "", Backend!CB38)</f>
        <v/>
      </c>
      <c r="CB11" t="str">
        <f>IF(Backend!CC38="", "", Backend!CC38)</f>
        <v/>
      </c>
      <c r="CC11" t="str">
        <f>IF(Backend!CD38="", "", Backend!CD38)</f>
        <v/>
      </c>
    </row>
    <row r="12" spans="1:81" x14ac:dyDescent="0.25">
      <c r="A12" s="4" t="str">
        <f>IF(Backend!A39="", "", Backend!A39)</f>
        <v>GE Aerospace</v>
      </c>
      <c r="B12">
        <f>IF(Backend!C39="", "", Backend!C39)</f>
        <v>0.3014616</v>
      </c>
      <c r="C12">
        <f>IF(Backend!D39="", "", Backend!D39)</f>
        <v>0.29815143</v>
      </c>
      <c r="D12">
        <f>IF(Backend!E39="", "", Backend!E39)</f>
        <v>9.4351864999999993E-2</v>
      </c>
      <c r="E12">
        <f>IF(Backend!F39="", "", Backend!F39)</f>
        <v>0.418707</v>
      </c>
      <c r="F12">
        <f>IF(Backend!G39="", "", Backend!G39)</f>
        <v>0.44700685000000001</v>
      </c>
      <c r="G12">
        <f>IF(Backend!H39="", "", Backend!H39)</f>
        <v>5.4020529999999997E-2</v>
      </c>
      <c r="H12">
        <f>IF(Backend!I39="", "", Backend!I39)</f>
        <v>0.38918861999999999</v>
      </c>
      <c r="I12">
        <f>IF(Backend!J39="", "", Backend!J39)</f>
        <v>0.122936726</v>
      </c>
      <c r="J12">
        <f>IF(Backend!K39="", "", Backend!K39)</f>
        <v>1</v>
      </c>
      <c r="K12">
        <f>IF(Backend!L39="", "", Backend!L39)</f>
        <v>0.36634833</v>
      </c>
      <c r="L12">
        <f>IF(Backend!M39="", "", Backend!M39)</f>
        <v>0.41518443999999999</v>
      </c>
      <c r="M12">
        <f>IF(Backend!N39="", "", Backend!N39)</f>
        <v>0.16636049999999999</v>
      </c>
      <c r="N12">
        <f>IF(Backend!O39="", "", Backend!O39)</f>
        <v>0.41727880000000001</v>
      </c>
      <c r="O12">
        <f>IF(Backend!P39="", "", Backend!P39)</f>
        <v>3.7413750000000003E-2</v>
      </c>
      <c r="P12">
        <f>IF(Backend!Q39="", "", Backend!Q39)</f>
        <v>3.4025840000000002E-2</v>
      </c>
      <c r="Q12">
        <f>IF(Backend!R39="", "", Backend!R39)</f>
        <v>0.25862768000000003</v>
      </c>
      <c r="R12">
        <f>IF(Backend!S39="", "", Backend!S39)</f>
        <v>0.33655694000000003</v>
      </c>
      <c r="S12">
        <f>IF(Backend!T39="", "", Backend!T39)</f>
        <v>0.24646682</v>
      </c>
      <c r="T12">
        <f>IF(Backend!U39="", "", Backend!U39)</f>
        <v>0.37180993000000001</v>
      </c>
      <c r="U12">
        <f>IF(Backend!V39="", "", Backend!V39)</f>
        <v>0.23793127</v>
      </c>
      <c r="V12">
        <f>IF(Backend!W39="", "", Backend!W39)</f>
        <v>0.13513638</v>
      </c>
      <c r="W12">
        <f>IF(Backend!X39="", "", Backend!X39)</f>
        <v>0.26889183999999999</v>
      </c>
      <c r="X12">
        <f>IF(Backend!Y39="", "", Backend!Y39)</f>
        <v>0.41050642999999998</v>
      </c>
      <c r="Y12">
        <f>IF(Backend!Z39="", "", Backend!Z39)</f>
        <v>0.20242758</v>
      </c>
      <c r="Z12">
        <f>IF(Backend!AA39="", "", Backend!AA39)</f>
        <v>6.1334420000000001E-2</v>
      </c>
      <c r="AA12">
        <f>IF(Backend!AB39="", "", Backend!AB39)</f>
        <v>0.13718649999999999</v>
      </c>
      <c r="AB12">
        <f>IF(Backend!AC39="", "", Backend!AC39)</f>
        <v>0.21784182999999999</v>
      </c>
      <c r="AC12">
        <f>IF(Backend!AD39="", "", Backend!AD39)</f>
        <v>0.34777665000000002</v>
      </c>
      <c r="AD12">
        <f>IF(Backend!AE39="", "", Backend!AE39)</f>
        <v>0.49389368</v>
      </c>
      <c r="AE12">
        <f>IF(Backend!AF39="", "", Backend!AF39)</f>
        <v>0.26928530000000001</v>
      </c>
      <c r="AF12">
        <f>IF(Backend!AG39="", "", Backend!AG39)</f>
        <v>0.28647375000000003</v>
      </c>
      <c r="AG12">
        <f>IF(Backend!AH39="", "", Backend!AH39)</f>
        <v>0.38403314</v>
      </c>
      <c r="AH12" t="str">
        <f>IF(Backend!AI39="", "", Backend!AI39)</f>
        <v/>
      </c>
      <c r="AI12" t="str">
        <f>IF(Backend!AJ39="", "", Backend!AJ39)</f>
        <v/>
      </c>
      <c r="AJ12" t="str">
        <f>IF(Backend!AK39="", "", Backend!AK39)</f>
        <v/>
      </c>
      <c r="AK12" t="str">
        <f>IF(Backend!AL39="", "", Backend!AL39)</f>
        <v/>
      </c>
      <c r="AL12" t="str">
        <f>IF(Backend!AM39="", "", Backend!AM39)</f>
        <v/>
      </c>
      <c r="AM12" t="str">
        <f>IF(Backend!AN39="", "", Backend!AN39)</f>
        <v/>
      </c>
      <c r="AN12" t="str">
        <f>IF(Backend!AO39="", "", Backend!AO39)</f>
        <v/>
      </c>
      <c r="AO12" t="str">
        <f>IF(Backend!AP39="", "", Backend!AP39)</f>
        <v/>
      </c>
      <c r="AP12" t="str">
        <f>IF(Backend!AQ39="", "", Backend!AQ39)</f>
        <v/>
      </c>
      <c r="AQ12" t="str">
        <f>IF(Backend!AR39="", "", Backend!AR39)</f>
        <v/>
      </c>
      <c r="AR12" t="str">
        <f>IF(Backend!AS39="", "", Backend!AS39)</f>
        <v/>
      </c>
      <c r="AS12" t="str">
        <f>IF(Backend!AT39="", "", Backend!AT39)</f>
        <v/>
      </c>
      <c r="AT12" t="str">
        <f>IF(Backend!AU39="", "", Backend!AU39)</f>
        <v/>
      </c>
      <c r="AU12" t="str">
        <f>IF(Backend!AV39="", "", Backend!AV39)</f>
        <v/>
      </c>
      <c r="AV12" t="str">
        <f>IF(Backend!AW39="", "", Backend!AW39)</f>
        <v/>
      </c>
      <c r="AW12" t="str">
        <f>IF(Backend!AX39="", "", Backend!AX39)</f>
        <v/>
      </c>
      <c r="AX12" t="str">
        <f>IF(Backend!AY39="", "", Backend!AY39)</f>
        <v/>
      </c>
      <c r="AY12" t="str">
        <f>IF(Backend!AZ39="", "", Backend!AZ39)</f>
        <v/>
      </c>
      <c r="AZ12" t="str">
        <f>IF(Backend!BA39="", "", Backend!BA39)</f>
        <v/>
      </c>
      <c r="BA12" t="str">
        <f>IF(Backend!BB39="", "", Backend!BB39)</f>
        <v/>
      </c>
      <c r="BB12" t="str">
        <f>IF(Backend!BC39="", "", Backend!BC39)</f>
        <v/>
      </c>
      <c r="BC12" t="str">
        <f>IF(Backend!BD39="", "", Backend!BD39)</f>
        <v/>
      </c>
      <c r="BD12" t="str">
        <f>IF(Backend!BE39="", "", Backend!BE39)</f>
        <v/>
      </c>
      <c r="BE12" t="str">
        <f>IF(Backend!BF39="", "", Backend!BF39)</f>
        <v/>
      </c>
      <c r="BF12" t="str">
        <f>IF(Backend!BG39="", "", Backend!BG39)</f>
        <v/>
      </c>
      <c r="BG12" t="str">
        <f>IF(Backend!BH39="", "", Backend!BH39)</f>
        <v/>
      </c>
      <c r="BH12" t="str">
        <f>IF(Backend!BI39="", "", Backend!BI39)</f>
        <v/>
      </c>
      <c r="BI12" t="str">
        <f>IF(Backend!BJ39="", "", Backend!BJ39)</f>
        <v/>
      </c>
      <c r="BJ12" t="str">
        <f>IF(Backend!BK39="", "", Backend!BK39)</f>
        <v/>
      </c>
      <c r="BK12" t="str">
        <f>IF(Backend!BL39="", "", Backend!BL39)</f>
        <v/>
      </c>
      <c r="BL12" t="str">
        <f>IF(Backend!BM39="", "", Backend!BM39)</f>
        <v/>
      </c>
      <c r="BM12" t="str">
        <f>IF(Backend!BN39="", "", Backend!BN39)</f>
        <v/>
      </c>
      <c r="BN12" t="str">
        <f>IF(Backend!BO39="", "", Backend!BO39)</f>
        <v/>
      </c>
      <c r="BO12" t="str">
        <f>IF(Backend!BP39="", "", Backend!BP39)</f>
        <v/>
      </c>
      <c r="BP12" t="str">
        <f>IF(Backend!BQ39="", "", Backend!BQ39)</f>
        <v/>
      </c>
      <c r="BQ12" t="str">
        <f>IF(Backend!BR39="", "", Backend!BR39)</f>
        <v/>
      </c>
      <c r="BR12" t="str">
        <f>IF(Backend!BS39="", "", Backend!BS39)</f>
        <v/>
      </c>
      <c r="BS12" t="str">
        <f>IF(Backend!BT39="", "", Backend!BT39)</f>
        <v/>
      </c>
      <c r="BT12" t="str">
        <f>IF(Backend!BU39="", "", Backend!BU39)</f>
        <v/>
      </c>
      <c r="BU12" t="str">
        <f>IF(Backend!BV39="", "", Backend!BV39)</f>
        <v/>
      </c>
      <c r="BV12" t="str">
        <f>IF(Backend!BW39="", "", Backend!BW39)</f>
        <v/>
      </c>
      <c r="BW12" t="str">
        <f>IF(Backend!BX39="", "", Backend!BX39)</f>
        <v/>
      </c>
      <c r="BX12" t="str">
        <f>IF(Backend!BY39="", "", Backend!BY39)</f>
        <v/>
      </c>
      <c r="BY12" t="str">
        <f>IF(Backend!BZ39="", "", Backend!BZ39)</f>
        <v/>
      </c>
      <c r="BZ12" t="str">
        <f>IF(Backend!CA39="", "", Backend!CA39)</f>
        <v/>
      </c>
      <c r="CA12" t="str">
        <f>IF(Backend!CB39="", "", Backend!CB39)</f>
        <v/>
      </c>
      <c r="CB12" t="str">
        <f>IF(Backend!CC39="", "", Backend!CC39)</f>
        <v/>
      </c>
      <c r="CC12" t="str">
        <f>IF(Backend!CD39="", "", Backend!CD39)</f>
        <v/>
      </c>
    </row>
    <row r="13" spans="1:81" x14ac:dyDescent="0.25">
      <c r="A13" s="4" t="str">
        <f>IF(Backend!A40="", "", Backend!A40)</f>
        <v>Taiwan Semiconductor Manufacturing Co., Ltd. Sponsored ADR</v>
      </c>
      <c r="B13">
        <f>IF(Backend!C40="", "", Backend!C40)</f>
        <v>0.49037930000000002</v>
      </c>
      <c r="C13">
        <f>IF(Backend!D40="", "", Backend!D40)</f>
        <v>0.45100883000000003</v>
      </c>
      <c r="D13">
        <f>IF(Backend!E40="", "", Backend!E40)</f>
        <v>0.13669819</v>
      </c>
      <c r="E13">
        <f>IF(Backend!F40="", "", Backend!F40)</f>
        <v>0.30322325</v>
      </c>
      <c r="F13">
        <f>IF(Backend!G40="", "", Backend!G40)</f>
        <v>0.32116454999999999</v>
      </c>
      <c r="G13">
        <f>IF(Backend!H40="", "", Backend!H40)</f>
        <v>2.5981035E-2</v>
      </c>
      <c r="H13">
        <f>IF(Backend!I40="", "", Backend!I40)</f>
        <v>0.70035239999999999</v>
      </c>
      <c r="I13">
        <f>IF(Backend!J40="", "", Backend!J40)</f>
        <v>0.10890806</v>
      </c>
      <c r="J13">
        <f>IF(Backend!K40="", "", Backend!K40)</f>
        <v>0.36634833</v>
      </c>
      <c r="K13">
        <f>IF(Backend!L40="", "", Backend!L40)</f>
        <v>1</v>
      </c>
      <c r="L13">
        <f>IF(Backend!M40="", "", Backend!M40)</f>
        <v>0.26972643000000002</v>
      </c>
      <c r="M13">
        <f>IF(Backend!N40="", "", Backend!N40)</f>
        <v>0.2576659</v>
      </c>
      <c r="N13">
        <f>IF(Backend!O40="", "", Backend!O40)</f>
        <v>0.22681462999999999</v>
      </c>
      <c r="O13">
        <f>IF(Backend!P40="", "", Backend!P40)</f>
        <v>4.7630403000000002E-2</v>
      </c>
      <c r="P13">
        <f>IF(Backend!Q40="", "", Backend!Q40)</f>
        <v>0.12007378</v>
      </c>
      <c r="Q13">
        <f>IF(Backend!R40="", "", Backend!R40)</f>
        <v>0.26383512999999997</v>
      </c>
      <c r="R13">
        <f>IF(Backend!S40="", "", Backend!S40)</f>
        <v>0.44004235000000003</v>
      </c>
      <c r="S13">
        <f>IF(Backend!T40="", "", Backend!T40)</f>
        <v>0.22611692999999999</v>
      </c>
      <c r="T13">
        <f>IF(Backend!U40="", "", Backend!U40)</f>
        <v>0.36989662000000001</v>
      </c>
      <c r="U13">
        <f>IF(Backend!V40="", "", Backend!V40)</f>
        <v>0.25573727000000002</v>
      </c>
      <c r="V13">
        <f>IF(Backend!W40="", "", Backend!W40)</f>
        <v>0.16203232000000001</v>
      </c>
      <c r="W13">
        <f>IF(Backend!X40="", "", Backend!X40)</f>
        <v>0.32127917</v>
      </c>
      <c r="X13">
        <f>IF(Backend!Y40="", "", Backend!Y40)</f>
        <v>0.30762087999999999</v>
      </c>
      <c r="Y13">
        <f>IF(Backend!Z40="", "", Backend!Z40)</f>
        <v>7.6329560000000005E-2</v>
      </c>
      <c r="Z13">
        <f>IF(Backend!AA40="", "", Backend!AA40)</f>
        <v>9.3668749999999995E-2</v>
      </c>
      <c r="AA13">
        <f>IF(Backend!AB40="", "", Backend!AB40)</f>
        <v>0.14474719999999999</v>
      </c>
      <c r="AB13">
        <f>IF(Backend!AC40="", "", Backend!AC40)</f>
        <v>0.36428177</v>
      </c>
      <c r="AC13">
        <f>IF(Backend!AD40="", "", Backend!AD40)</f>
        <v>0.46506130000000001</v>
      </c>
      <c r="AD13">
        <f>IF(Backend!AE40="", "", Backend!AE40)</f>
        <v>0.3971287</v>
      </c>
      <c r="AE13">
        <f>IF(Backend!AF40="", "", Backend!AF40)</f>
        <v>0.17484505</v>
      </c>
      <c r="AF13">
        <f>IF(Backend!AG40="", "", Backend!AG40)</f>
        <v>0.25789430000000002</v>
      </c>
      <c r="AG13">
        <f>IF(Backend!AH40="", "", Backend!AH40)</f>
        <v>0.38030174</v>
      </c>
      <c r="AH13" t="str">
        <f>IF(Backend!AI40="", "", Backend!AI40)</f>
        <v/>
      </c>
      <c r="AI13" t="str">
        <f>IF(Backend!AJ40="", "", Backend!AJ40)</f>
        <v/>
      </c>
      <c r="AJ13" t="str">
        <f>IF(Backend!AK40="", "", Backend!AK40)</f>
        <v/>
      </c>
      <c r="AK13" t="str">
        <f>IF(Backend!AL40="", "", Backend!AL40)</f>
        <v/>
      </c>
      <c r="AL13" t="str">
        <f>IF(Backend!AM40="", "", Backend!AM40)</f>
        <v/>
      </c>
      <c r="AM13" t="str">
        <f>IF(Backend!AN40="", "", Backend!AN40)</f>
        <v/>
      </c>
      <c r="AN13" t="str">
        <f>IF(Backend!AO40="", "", Backend!AO40)</f>
        <v/>
      </c>
      <c r="AO13" t="str">
        <f>IF(Backend!AP40="", "", Backend!AP40)</f>
        <v/>
      </c>
      <c r="AP13" t="str">
        <f>IF(Backend!AQ40="", "", Backend!AQ40)</f>
        <v/>
      </c>
      <c r="AQ13" t="str">
        <f>IF(Backend!AR40="", "", Backend!AR40)</f>
        <v/>
      </c>
      <c r="AR13" t="str">
        <f>IF(Backend!AS40="", "", Backend!AS40)</f>
        <v/>
      </c>
      <c r="AS13" t="str">
        <f>IF(Backend!AT40="", "", Backend!AT40)</f>
        <v/>
      </c>
      <c r="AT13" t="str">
        <f>IF(Backend!AU40="", "", Backend!AU40)</f>
        <v/>
      </c>
      <c r="AU13" t="str">
        <f>IF(Backend!AV40="", "", Backend!AV40)</f>
        <v/>
      </c>
      <c r="AV13" t="str">
        <f>IF(Backend!AW40="", "", Backend!AW40)</f>
        <v/>
      </c>
      <c r="AW13" t="str">
        <f>IF(Backend!AX40="", "", Backend!AX40)</f>
        <v/>
      </c>
      <c r="AX13" t="str">
        <f>IF(Backend!AY40="", "", Backend!AY40)</f>
        <v/>
      </c>
      <c r="AY13" t="str">
        <f>IF(Backend!AZ40="", "", Backend!AZ40)</f>
        <v/>
      </c>
      <c r="AZ13" t="str">
        <f>IF(Backend!BA40="", "", Backend!BA40)</f>
        <v/>
      </c>
      <c r="BA13" t="str">
        <f>IF(Backend!BB40="", "", Backend!BB40)</f>
        <v/>
      </c>
      <c r="BB13" t="str">
        <f>IF(Backend!BC40="", "", Backend!BC40)</f>
        <v/>
      </c>
      <c r="BC13" t="str">
        <f>IF(Backend!BD40="", "", Backend!BD40)</f>
        <v/>
      </c>
      <c r="BD13" t="str">
        <f>IF(Backend!BE40="", "", Backend!BE40)</f>
        <v/>
      </c>
      <c r="BE13" t="str">
        <f>IF(Backend!BF40="", "", Backend!BF40)</f>
        <v/>
      </c>
      <c r="BF13" t="str">
        <f>IF(Backend!BG40="", "", Backend!BG40)</f>
        <v/>
      </c>
      <c r="BG13" t="str">
        <f>IF(Backend!BH40="", "", Backend!BH40)</f>
        <v/>
      </c>
      <c r="BH13" t="str">
        <f>IF(Backend!BI40="", "", Backend!BI40)</f>
        <v/>
      </c>
      <c r="BI13" t="str">
        <f>IF(Backend!BJ40="", "", Backend!BJ40)</f>
        <v/>
      </c>
      <c r="BJ13" t="str">
        <f>IF(Backend!BK40="", "", Backend!BK40)</f>
        <v/>
      </c>
      <c r="BK13" t="str">
        <f>IF(Backend!BL40="", "", Backend!BL40)</f>
        <v/>
      </c>
      <c r="BL13" t="str">
        <f>IF(Backend!BM40="", "", Backend!BM40)</f>
        <v/>
      </c>
      <c r="BM13" t="str">
        <f>IF(Backend!BN40="", "", Backend!BN40)</f>
        <v/>
      </c>
      <c r="BN13" t="str">
        <f>IF(Backend!BO40="", "", Backend!BO40)</f>
        <v/>
      </c>
      <c r="BO13" t="str">
        <f>IF(Backend!BP40="", "", Backend!BP40)</f>
        <v/>
      </c>
      <c r="BP13" t="str">
        <f>IF(Backend!BQ40="", "", Backend!BQ40)</f>
        <v/>
      </c>
      <c r="BQ13" t="str">
        <f>IF(Backend!BR40="", "", Backend!BR40)</f>
        <v/>
      </c>
      <c r="BR13" t="str">
        <f>IF(Backend!BS40="", "", Backend!BS40)</f>
        <v/>
      </c>
      <c r="BS13" t="str">
        <f>IF(Backend!BT40="", "", Backend!BT40)</f>
        <v/>
      </c>
      <c r="BT13" t="str">
        <f>IF(Backend!BU40="", "", Backend!BU40)</f>
        <v/>
      </c>
      <c r="BU13" t="str">
        <f>IF(Backend!BV40="", "", Backend!BV40)</f>
        <v/>
      </c>
      <c r="BV13" t="str">
        <f>IF(Backend!BW40="", "", Backend!BW40)</f>
        <v/>
      </c>
      <c r="BW13" t="str">
        <f>IF(Backend!BX40="", "", Backend!BX40)</f>
        <v/>
      </c>
      <c r="BX13" t="str">
        <f>IF(Backend!BY40="", "", Backend!BY40)</f>
        <v/>
      </c>
      <c r="BY13" t="str">
        <f>IF(Backend!BZ40="", "", Backend!BZ40)</f>
        <v/>
      </c>
      <c r="BZ13" t="str">
        <f>IF(Backend!CA40="", "", Backend!CA40)</f>
        <v/>
      </c>
      <c r="CA13" t="str">
        <f>IF(Backend!CB40="", "", Backend!CB40)</f>
        <v/>
      </c>
      <c r="CB13" t="str">
        <f>IF(Backend!CC40="", "", Backend!CC40)</f>
        <v/>
      </c>
      <c r="CC13" t="str">
        <f>IF(Backend!CD40="", "", Backend!CD40)</f>
        <v/>
      </c>
    </row>
    <row r="14" spans="1:81" x14ac:dyDescent="0.25">
      <c r="A14" s="4" t="str">
        <f>IF(Backend!A41="", "", Backend!A41)</f>
        <v>Charles Schwab Corp</v>
      </c>
      <c r="B14">
        <f>IF(Backend!C41="", "", Backend!C41)</f>
        <v>0.26716699999999999</v>
      </c>
      <c r="C14">
        <f>IF(Backend!D41="", "", Backend!D41)</f>
        <v>0.24902625</v>
      </c>
      <c r="D14">
        <f>IF(Backend!E41="", "", Backend!E41)</f>
        <v>9.8517289999999993E-2</v>
      </c>
      <c r="E14">
        <f>IF(Backend!F41="", "", Backend!F41)</f>
        <v>0.37733322000000002</v>
      </c>
      <c r="F14">
        <f>IF(Backend!G41="", "", Backend!G41)</f>
        <v>0.39673947999999998</v>
      </c>
      <c r="G14">
        <f>IF(Backend!H41="", "", Backend!H41)</f>
        <v>3.5275526000000001E-2</v>
      </c>
      <c r="H14">
        <f>IF(Backend!I41="", "", Backend!I41)</f>
        <v>0.30205592999999997</v>
      </c>
      <c r="I14">
        <f>IF(Backend!J41="", "", Backend!J41)</f>
        <v>9.5722600000000005E-2</v>
      </c>
      <c r="J14">
        <f>IF(Backend!K41="", "", Backend!K41)</f>
        <v>0.41518443999999999</v>
      </c>
      <c r="K14">
        <f>IF(Backend!L41="", "", Backend!L41)</f>
        <v>0.26972643000000002</v>
      </c>
      <c r="L14">
        <f>IF(Backend!M41="", "", Backend!M41)</f>
        <v>1</v>
      </c>
      <c r="M14">
        <f>IF(Backend!N41="", "", Backend!N41)</f>
        <v>0.15361369</v>
      </c>
      <c r="N14">
        <f>IF(Backend!O41="", "", Backend!O41)</f>
        <v>0.29598545999999998</v>
      </c>
      <c r="O14">
        <f>IF(Backend!P41="", "", Backend!P41)</f>
        <v>5.6033220000000004E-4</v>
      </c>
      <c r="P14">
        <f>IF(Backend!Q41="", "", Backend!Q41)</f>
        <v>3.4178800000000002E-2</v>
      </c>
      <c r="Q14">
        <f>IF(Backend!R41="", "", Backend!R41)</f>
        <v>0.30701790000000001</v>
      </c>
      <c r="R14">
        <f>IF(Backend!S41="", "", Backend!S41)</f>
        <v>0.317386</v>
      </c>
      <c r="S14">
        <f>IF(Backend!T41="", "", Backend!T41)</f>
        <v>0.18734102</v>
      </c>
      <c r="T14">
        <f>IF(Backend!U41="", "", Backend!U41)</f>
        <v>0.29130425999999998</v>
      </c>
      <c r="U14">
        <f>IF(Backend!V41="", "", Backend!V41)</f>
        <v>0.20451726000000001</v>
      </c>
      <c r="V14">
        <f>IF(Backend!W41="", "", Backend!W41)</f>
        <v>0.17271893999999999</v>
      </c>
      <c r="W14">
        <f>IF(Backend!X41="", "", Backend!X41)</f>
        <v>0.22151203</v>
      </c>
      <c r="X14">
        <f>IF(Backend!Y41="", "", Backend!Y41)</f>
        <v>0.3963527</v>
      </c>
      <c r="Y14">
        <f>IF(Backend!Z41="", "", Backend!Z41)</f>
        <v>0.23189103999999999</v>
      </c>
      <c r="Z14">
        <f>IF(Backend!AA41="", "", Backend!AA41)</f>
        <v>0.10204573</v>
      </c>
      <c r="AA14">
        <f>IF(Backend!AB41="", "", Backend!AB41)</f>
        <v>6.1673869999999999E-2</v>
      </c>
      <c r="AB14">
        <f>IF(Backend!AC41="", "", Backend!AC41)</f>
        <v>0.23859946000000001</v>
      </c>
      <c r="AC14">
        <f>IF(Backend!AD41="", "", Backend!AD41)</f>
        <v>0.32080665000000003</v>
      </c>
      <c r="AD14">
        <f>IF(Backend!AE41="", "", Backend!AE41)</f>
        <v>0.39641567999999999</v>
      </c>
      <c r="AE14">
        <f>IF(Backend!AF41="", "", Backend!AF41)</f>
        <v>0.20724936999999999</v>
      </c>
      <c r="AF14">
        <f>IF(Backend!AG41="", "", Backend!AG41)</f>
        <v>0.27418944000000001</v>
      </c>
      <c r="AG14">
        <f>IF(Backend!AH41="", "", Backend!AH41)</f>
        <v>0.33861277000000001</v>
      </c>
      <c r="AH14" t="str">
        <f>IF(Backend!AI41="", "", Backend!AI41)</f>
        <v/>
      </c>
      <c r="AI14" t="str">
        <f>IF(Backend!AJ41="", "", Backend!AJ41)</f>
        <v/>
      </c>
      <c r="AJ14" t="str">
        <f>IF(Backend!AK41="", "", Backend!AK41)</f>
        <v/>
      </c>
      <c r="AK14" t="str">
        <f>IF(Backend!AL41="", "", Backend!AL41)</f>
        <v/>
      </c>
      <c r="AL14" t="str">
        <f>IF(Backend!AM41="", "", Backend!AM41)</f>
        <v/>
      </c>
      <c r="AM14" t="str">
        <f>IF(Backend!AN41="", "", Backend!AN41)</f>
        <v/>
      </c>
      <c r="AN14" t="str">
        <f>IF(Backend!AO41="", "", Backend!AO41)</f>
        <v/>
      </c>
      <c r="AO14" t="str">
        <f>IF(Backend!AP41="", "", Backend!AP41)</f>
        <v/>
      </c>
      <c r="AP14" t="str">
        <f>IF(Backend!AQ41="", "", Backend!AQ41)</f>
        <v/>
      </c>
      <c r="AQ14" t="str">
        <f>IF(Backend!AR41="", "", Backend!AR41)</f>
        <v/>
      </c>
      <c r="AR14" t="str">
        <f>IF(Backend!AS41="", "", Backend!AS41)</f>
        <v/>
      </c>
      <c r="AS14" t="str">
        <f>IF(Backend!AT41="", "", Backend!AT41)</f>
        <v/>
      </c>
      <c r="AT14" t="str">
        <f>IF(Backend!AU41="", "", Backend!AU41)</f>
        <v/>
      </c>
      <c r="AU14" t="str">
        <f>IF(Backend!AV41="", "", Backend!AV41)</f>
        <v/>
      </c>
      <c r="AV14" t="str">
        <f>IF(Backend!AW41="", "", Backend!AW41)</f>
        <v/>
      </c>
      <c r="AW14" t="str">
        <f>IF(Backend!AX41="", "", Backend!AX41)</f>
        <v/>
      </c>
      <c r="AX14" t="str">
        <f>IF(Backend!AY41="", "", Backend!AY41)</f>
        <v/>
      </c>
      <c r="AY14" t="str">
        <f>IF(Backend!AZ41="", "", Backend!AZ41)</f>
        <v/>
      </c>
      <c r="AZ14" t="str">
        <f>IF(Backend!BA41="", "", Backend!BA41)</f>
        <v/>
      </c>
      <c r="BA14" t="str">
        <f>IF(Backend!BB41="", "", Backend!BB41)</f>
        <v/>
      </c>
      <c r="BB14" t="str">
        <f>IF(Backend!BC41="", "", Backend!BC41)</f>
        <v/>
      </c>
      <c r="BC14" t="str">
        <f>IF(Backend!BD41="", "", Backend!BD41)</f>
        <v/>
      </c>
      <c r="BD14" t="str">
        <f>IF(Backend!BE41="", "", Backend!BE41)</f>
        <v/>
      </c>
      <c r="BE14" t="str">
        <f>IF(Backend!BF41="", "", Backend!BF41)</f>
        <v/>
      </c>
      <c r="BF14" t="str">
        <f>IF(Backend!BG41="", "", Backend!BG41)</f>
        <v/>
      </c>
      <c r="BG14" t="str">
        <f>IF(Backend!BH41="", "", Backend!BH41)</f>
        <v/>
      </c>
      <c r="BH14" t="str">
        <f>IF(Backend!BI41="", "", Backend!BI41)</f>
        <v/>
      </c>
      <c r="BI14" t="str">
        <f>IF(Backend!BJ41="", "", Backend!BJ41)</f>
        <v/>
      </c>
      <c r="BJ14" t="str">
        <f>IF(Backend!BK41="", "", Backend!BK41)</f>
        <v/>
      </c>
      <c r="BK14" t="str">
        <f>IF(Backend!BL41="", "", Backend!BL41)</f>
        <v/>
      </c>
      <c r="BL14" t="str">
        <f>IF(Backend!BM41="", "", Backend!BM41)</f>
        <v/>
      </c>
      <c r="BM14" t="str">
        <f>IF(Backend!BN41="", "", Backend!BN41)</f>
        <v/>
      </c>
      <c r="BN14" t="str">
        <f>IF(Backend!BO41="", "", Backend!BO41)</f>
        <v/>
      </c>
      <c r="BO14" t="str">
        <f>IF(Backend!BP41="", "", Backend!BP41)</f>
        <v/>
      </c>
      <c r="BP14" t="str">
        <f>IF(Backend!BQ41="", "", Backend!BQ41)</f>
        <v/>
      </c>
      <c r="BQ14" t="str">
        <f>IF(Backend!BR41="", "", Backend!BR41)</f>
        <v/>
      </c>
      <c r="BR14" t="str">
        <f>IF(Backend!BS41="", "", Backend!BS41)</f>
        <v/>
      </c>
      <c r="BS14" t="str">
        <f>IF(Backend!BT41="", "", Backend!BT41)</f>
        <v/>
      </c>
      <c r="BT14" t="str">
        <f>IF(Backend!BU41="", "", Backend!BU41)</f>
        <v/>
      </c>
      <c r="BU14" t="str">
        <f>IF(Backend!BV41="", "", Backend!BV41)</f>
        <v/>
      </c>
      <c r="BV14" t="str">
        <f>IF(Backend!BW41="", "", Backend!BW41)</f>
        <v/>
      </c>
      <c r="BW14" t="str">
        <f>IF(Backend!BX41="", "", Backend!BX41)</f>
        <v/>
      </c>
      <c r="BX14" t="str">
        <f>IF(Backend!BY41="", "", Backend!BY41)</f>
        <v/>
      </c>
      <c r="BY14" t="str">
        <f>IF(Backend!BZ41="", "", Backend!BZ41)</f>
        <v/>
      </c>
      <c r="BZ14" t="str">
        <f>IF(Backend!CA41="", "", Backend!CA41)</f>
        <v/>
      </c>
      <c r="CA14" t="str">
        <f>IF(Backend!CB41="", "", Backend!CB41)</f>
        <v/>
      </c>
      <c r="CB14" t="str">
        <f>IF(Backend!CC41="", "", Backend!CC41)</f>
        <v/>
      </c>
      <c r="CC14" t="str">
        <f>IF(Backend!CD41="", "", Backend!CD41)</f>
        <v/>
      </c>
    </row>
    <row r="15" spans="1:81" x14ac:dyDescent="0.25">
      <c r="A15" s="4" t="str">
        <f>IF(Backend!A42="", "", Backend!A42)</f>
        <v>Experian PLC</v>
      </c>
      <c r="B15">
        <f>IF(Backend!C42="", "", Backend!C42)</f>
        <v>0.27763397000000001</v>
      </c>
      <c r="C15">
        <f>IF(Backend!D42="", "", Backend!D42)</f>
        <v>0.21984063000000001</v>
      </c>
      <c r="D15">
        <f>IF(Backend!E42="", "", Backend!E42)</f>
        <v>0.45928076000000001</v>
      </c>
      <c r="E15">
        <f>IF(Backend!F42="", "", Backend!F42)</f>
        <v>0.27664654999999999</v>
      </c>
      <c r="F15">
        <f>IF(Backend!G42="", "", Backend!G42)</f>
        <v>0.27700459999999999</v>
      </c>
      <c r="G15">
        <f>IF(Backend!H42="", "", Backend!H42)</f>
        <v>0.3355551</v>
      </c>
      <c r="H15">
        <f>IF(Backend!I42="", "", Backend!I42)</f>
        <v>0.35104869999999999</v>
      </c>
      <c r="I15">
        <f>IF(Backend!J42="", "", Backend!J42)</f>
        <v>0.44998568</v>
      </c>
      <c r="J15">
        <f>IF(Backend!K42="", "", Backend!K42)</f>
        <v>0.16636049999999999</v>
      </c>
      <c r="K15">
        <f>IF(Backend!L42="", "", Backend!L42)</f>
        <v>0.2576659</v>
      </c>
      <c r="L15">
        <f>IF(Backend!M42="", "", Backend!M42)</f>
        <v>0.15361369</v>
      </c>
      <c r="M15">
        <f>IF(Backend!N42="", "", Backend!N42)</f>
        <v>1</v>
      </c>
      <c r="N15">
        <f>IF(Backend!O42="", "", Backend!O42)</f>
        <v>0.42458129999999999</v>
      </c>
      <c r="O15">
        <f>IF(Backend!P42="", "", Backend!P42)</f>
        <v>0.35048857</v>
      </c>
      <c r="P15">
        <f>IF(Backend!Q42="", "", Backend!Q42)</f>
        <v>0.12665023</v>
      </c>
      <c r="Q15">
        <f>IF(Backend!R42="", "", Backend!R42)</f>
        <v>0.23366344</v>
      </c>
      <c r="R15">
        <f>IF(Backend!S42="", "", Backend!S42)</f>
        <v>0.30833653</v>
      </c>
      <c r="S15">
        <f>IF(Backend!T42="", "", Backend!T42)</f>
        <v>0.22989279000000001</v>
      </c>
      <c r="T15">
        <f>IF(Backend!U42="", "", Backend!U42)</f>
        <v>0.32436532000000001</v>
      </c>
      <c r="U15">
        <f>IF(Backend!V42="", "", Backend!V42)</f>
        <v>0.31517896000000001</v>
      </c>
      <c r="V15">
        <f>IF(Backend!W42="", "", Backend!W42)</f>
        <v>0.16125801000000001</v>
      </c>
      <c r="W15">
        <f>IF(Backend!X42="", "", Backend!X42)</f>
        <v>0.57328904000000003</v>
      </c>
      <c r="X15">
        <f>IF(Backend!Y42="", "", Backend!Y42)</f>
        <v>0.25776263999999999</v>
      </c>
      <c r="Y15">
        <f>IF(Backend!Z42="", "", Backend!Z42)</f>
        <v>0.15172533999999999</v>
      </c>
      <c r="Z15">
        <f>IF(Backend!AA42="", "", Backend!AA42)</f>
        <v>7.5019130000000003E-2</v>
      </c>
      <c r="AA15">
        <f>IF(Backend!AB42="", "", Backend!AB42)</f>
        <v>0.52231896</v>
      </c>
      <c r="AB15">
        <f>IF(Backend!AC42="", "", Backend!AC42)</f>
        <v>0.23014224</v>
      </c>
      <c r="AC15">
        <f>IF(Backend!AD42="", "", Backend!AD42)</f>
        <v>0.30139517999999998</v>
      </c>
      <c r="AD15">
        <f>IF(Backend!AE42="", "", Backend!AE42)</f>
        <v>0.18981888999999999</v>
      </c>
      <c r="AE15">
        <f>IF(Backend!AF42="", "", Backend!AF42)</f>
        <v>0.34089434000000002</v>
      </c>
      <c r="AF15">
        <f>IF(Backend!AG42="", "", Backend!AG42)</f>
        <v>0.31370189999999998</v>
      </c>
      <c r="AG15">
        <f>IF(Backend!AH42="", "", Backend!AH42)</f>
        <v>0.40515827999999998</v>
      </c>
      <c r="AH15" t="str">
        <f>IF(Backend!AI42="", "", Backend!AI42)</f>
        <v/>
      </c>
      <c r="AI15" t="str">
        <f>IF(Backend!AJ42="", "", Backend!AJ42)</f>
        <v/>
      </c>
      <c r="AJ15" t="str">
        <f>IF(Backend!AK42="", "", Backend!AK42)</f>
        <v/>
      </c>
      <c r="AK15" t="str">
        <f>IF(Backend!AL42="", "", Backend!AL42)</f>
        <v/>
      </c>
      <c r="AL15" t="str">
        <f>IF(Backend!AM42="", "", Backend!AM42)</f>
        <v/>
      </c>
      <c r="AM15" t="str">
        <f>IF(Backend!AN42="", "", Backend!AN42)</f>
        <v/>
      </c>
      <c r="AN15" t="str">
        <f>IF(Backend!AO42="", "", Backend!AO42)</f>
        <v/>
      </c>
      <c r="AO15" t="str">
        <f>IF(Backend!AP42="", "", Backend!AP42)</f>
        <v/>
      </c>
      <c r="AP15" t="str">
        <f>IF(Backend!AQ42="", "", Backend!AQ42)</f>
        <v/>
      </c>
      <c r="AQ15" t="str">
        <f>IF(Backend!AR42="", "", Backend!AR42)</f>
        <v/>
      </c>
      <c r="AR15" t="str">
        <f>IF(Backend!AS42="", "", Backend!AS42)</f>
        <v/>
      </c>
      <c r="AS15" t="str">
        <f>IF(Backend!AT42="", "", Backend!AT42)</f>
        <v/>
      </c>
      <c r="AT15" t="str">
        <f>IF(Backend!AU42="", "", Backend!AU42)</f>
        <v/>
      </c>
      <c r="AU15" t="str">
        <f>IF(Backend!AV42="", "", Backend!AV42)</f>
        <v/>
      </c>
      <c r="AV15" t="str">
        <f>IF(Backend!AW42="", "", Backend!AW42)</f>
        <v/>
      </c>
      <c r="AW15" t="str">
        <f>IF(Backend!AX42="", "", Backend!AX42)</f>
        <v/>
      </c>
      <c r="AX15" t="str">
        <f>IF(Backend!AY42="", "", Backend!AY42)</f>
        <v/>
      </c>
      <c r="AY15" t="str">
        <f>IF(Backend!AZ42="", "", Backend!AZ42)</f>
        <v/>
      </c>
      <c r="AZ15" t="str">
        <f>IF(Backend!BA42="", "", Backend!BA42)</f>
        <v/>
      </c>
      <c r="BA15" t="str">
        <f>IF(Backend!BB42="", "", Backend!BB42)</f>
        <v/>
      </c>
      <c r="BB15" t="str">
        <f>IF(Backend!BC42="", "", Backend!BC42)</f>
        <v/>
      </c>
      <c r="BC15" t="str">
        <f>IF(Backend!BD42="", "", Backend!BD42)</f>
        <v/>
      </c>
      <c r="BD15" t="str">
        <f>IF(Backend!BE42="", "", Backend!BE42)</f>
        <v/>
      </c>
      <c r="BE15" t="str">
        <f>IF(Backend!BF42="", "", Backend!BF42)</f>
        <v/>
      </c>
      <c r="BF15" t="str">
        <f>IF(Backend!BG42="", "", Backend!BG42)</f>
        <v/>
      </c>
      <c r="BG15" t="str">
        <f>IF(Backend!BH42="", "", Backend!BH42)</f>
        <v/>
      </c>
      <c r="BH15" t="str">
        <f>IF(Backend!BI42="", "", Backend!BI42)</f>
        <v/>
      </c>
      <c r="BI15" t="str">
        <f>IF(Backend!BJ42="", "", Backend!BJ42)</f>
        <v/>
      </c>
      <c r="BJ15" t="str">
        <f>IF(Backend!BK42="", "", Backend!BK42)</f>
        <v/>
      </c>
      <c r="BK15" t="str">
        <f>IF(Backend!BL42="", "", Backend!BL42)</f>
        <v/>
      </c>
      <c r="BL15" t="str">
        <f>IF(Backend!BM42="", "", Backend!BM42)</f>
        <v/>
      </c>
      <c r="BM15" t="str">
        <f>IF(Backend!BN42="", "", Backend!BN42)</f>
        <v/>
      </c>
      <c r="BN15" t="str">
        <f>IF(Backend!BO42="", "", Backend!BO42)</f>
        <v/>
      </c>
      <c r="BO15" t="str">
        <f>IF(Backend!BP42="", "", Backend!BP42)</f>
        <v/>
      </c>
      <c r="BP15" t="str">
        <f>IF(Backend!BQ42="", "", Backend!BQ42)</f>
        <v/>
      </c>
      <c r="BQ15" t="str">
        <f>IF(Backend!BR42="", "", Backend!BR42)</f>
        <v/>
      </c>
      <c r="BR15" t="str">
        <f>IF(Backend!BS42="", "", Backend!BS42)</f>
        <v/>
      </c>
      <c r="BS15" t="str">
        <f>IF(Backend!BT42="", "", Backend!BT42)</f>
        <v/>
      </c>
      <c r="BT15" t="str">
        <f>IF(Backend!BU42="", "", Backend!BU42)</f>
        <v/>
      </c>
      <c r="BU15" t="str">
        <f>IF(Backend!BV42="", "", Backend!BV42)</f>
        <v/>
      </c>
      <c r="BV15" t="str">
        <f>IF(Backend!BW42="", "", Backend!BW42)</f>
        <v/>
      </c>
      <c r="BW15" t="str">
        <f>IF(Backend!BX42="", "", Backend!BX42)</f>
        <v/>
      </c>
      <c r="BX15" t="str">
        <f>IF(Backend!BY42="", "", Backend!BY42)</f>
        <v/>
      </c>
      <c r="BY15" t="str">
        <f>IF(Backend!BZ42="", "", Backend!BZ42)</f>
        <v/>
      </c>
      <c r="BZ15" t="str">
        <f>IF(Backend!CA42="", "", Backend!CA42)</f>
        <v/>
      </c>
      <c r="CA15" t="str">
        <f>IF(Backend!CB42="", "", Backend!CB42)</f>
        <v/>
      </c>
      <c r="CB15" t="str">
        <f>IF(Backend!CC42="", "", Backend!CC42)</f>
        <v/>
      </c>
      <c r="CC15" t="str">
        <f>IF(Backend!CD42="", "", Backend!CD42)</f>
        <v/>
      </c>
    </row>
    <row r="16" spans="1:81" x14ac:dyDescent="0.25">
      <c r="A16" s="4" t="str">
        <f>IF(Backend!A43="", "", Backend!A43)</f>
        <v>Safran SA</v>
      </c>
      <c r="B16">
        <f>IF(Backend!C43="", "", Backend!C43)</f>
        <v>0.17271675</v>
      </c>
      <c r="C16">
        <f>IF(Backend!D43="", "", Backend!D43)</f>
        <v>0.18892059</v>
      </c>
      <c r="D16">
        <f>IF(Backend!E43="", "", Backend!E43)</f>
        <v>0.28440186000000001</v>
      </c>
      <c r="E16">
        <f>IF(Backend!F43="", "", Backend!F43)</f>
        <v>0.30226920000000002</v>
      </c>
      <c r="F16">
        <f>IF(Backend!G43="", "", Backend!G43)</f>
        <v>0.33722252000000003</v>
      </c>
      <c r="G16">
        <f>IF(Backend!H43="", "", Backend!H43)</f>
        <v>0.22893472000000001</v>
      </c>
      <c r="H16">
        <f>IF(Backend!I43="", "", Backend!I43)</f>
        <v>0.27095344999999998</v>
      </c>
      <c r="I16">
        <f>IF(Backend!J43="", "", Backend!J43)</f>
        <v>0.39820796000000003</v>
      </c>
      <c r="J16">
        <f>IF(Backend!K43="", "", Backend!K43)</f>
        <v>0.41727880000000001</v>
      </c>
      <c r="K16">
        <f>IF(Backend!L43="", "", Backend!L43)</f>
        <v>0.22681462999999999</v>
      </c>
      <c r="L16">
        <f>IF(Backend!M43="", "", Backend!M43)</f>
        <v>0.29598545999999998</v>
      </c>
      <c r="M16">
        <f>IF(Backend!N43="", "", Backend!N43)</f>
        <v>0.42458129999999999</v>
      </c>
      <c r="N16">
        <f>IF(Backend!O43="", "", Backend!O43)</f>
        <v>1</v>
      </c>
      <c r="O16">
        <f>IF(Backend!P43="", "", Backend!P43)</f>
        <v>0.21131512999999999</v>
      </c>
      <c r="P16">
        <f>IF(Backend!Q43="", "", Backend!Q43)</f>
        <v>0.14178161</v>
      </c>
      <c r="Q16">
        <f>IF(Backend!R43="", "", Backend!R43)</f>
        <v>0.29576715999999997</v>
      </c>
      <c r="R16">
        <f>IF(Backend!S43="", "", Backend!S43)</f>
        <v>0.21018147000000001</v>
      </c>
      <c r="S16">
        <f>IF(Backend!T43="", "", Backend!T43)</f>
        <v>0.17405881000000001</v>
      </c>
      <c r="T16">
        <f>IF(Backend!U43="", "", Backend!U43)</f>
        <v>0.28840779999999999</v>
      </c>
      <c r="U16">
        <f>IF(Backend!V43="", "", Backend!V43)</f>
        <v>0.10838473</v>
      </c>
      <c r="V16">
        <f>IF(Backend!W43="", "", Backend!W43)</f>
        <v>0.17025054000000001</v>
      </c>
      <c r="W16">
        <f>IF(Backend!X43="", "", Backend!X43)</f>
        <v>0.49826986000000001</v>
      </c>
      <c r="X16">
        <f>IF(Backend!Y43="", "", Backend!Y43)</f>
        <v>0.24358142999999999</v>
      </c>
      <c r="Y16">
        <f>IF(Backend!Z43="", "", Backend!Z43)</f>
        <v>0.12743644000000001</v>
      </c>
      <c r="Z16">
        <f>IF(Backend!AA43="", "", Backend!AA43)</f>
        <v>0.11091050500000001</v>
      </c>
      <c r="AA16">
        <f>IF(Backend!AB43="", "", Backend!AB43)</f>
        <v>0.28363976000000002</v>
      </c>
      <c r="AB16">
        <f>IF(Backend!AC43="", "", Backend!AC43)</f>
        <v>0.14111636999999999</v>
      </c>
      <c r="AC16">
        <f>IF(Backend!AD43="", "", Backend!AD43)</f>
        <v>0.20658293</v>
      </c>
      <c r="AD16">
        <f>IF(Backend!AE43="", "", Backend!AE43)</f>
        <v>0.40367832999999997</v>
      </c>
      <c r="AE16">
        <f>IF(Backend!AF43="", "", Backend!AF43)</f>
        <v>0.50677749999999999</v>
      </c>
      <c r="AF16">
        <f>IF(Backend!AG43="", "", Backend!AG43)</f>
        <v>0.17269012</v>
      </c>
      <c r="AG16">
        <f>IF(Backend!AH43="", "", Backend!AH43)</f>
        <v>0.24065845</v>
      </c>
      <c r="AH16" t="str">
        <f>IF(Backend!AI43="", "", Backend!AI43)</f>
        <v/>
      </c>
      <c r="AI16" t="str">
        <f>IF(Backend!AJ43="", "", Backend!AJ43)</f>
        <v/>
      </c>
      <c r="AJ16" t="str">
        <f>IF(Backend!AK43="", "", Backend!AK43)</f>
        <v/>
      </c>
      <c r="AK16" t="str">
        <f>IF(Backend!AL43="", "", Backend!AL43)</f>
        <v/>
      </c>
      <c r="AL16" t="str">
        <f>IF(Backend!AM43="", "", Backend!AM43)</f>
        <v/>
      </c>
      <c r="AM16" t="str">
        <f>IF(Backend!AN43="", "", Backend!AN43)</f>
        <v/>
      </c>
      <c r="AN16" t="str">
        <f>IF(Backend!AO43="", "", Backend!AO43)</f>
        <v/>
      </c>
      <c r="AO16" t="str">
        <f>IF(Backend!AP43="", "", Backend!AP43)</f>
        <v/>
      </c>
      <c r="AP16" t="str">
        <f>IF(Backend!AQ43="", "", Backend!AQ43)</f>
        <v/>
      </c>
      <c r="AQ16" t="str">
        <f>IF(Backend!AR43="", "", Backend!AR43)</f>
        <v/>
      </c>
      <c r="AR16" t="str">
        <f>IF(Backend!AS43="", "", Backend!AS43)</f>
        <v/>
      </c>
      <c r="AS16" t="str">
        <f>IF(Backend!AT43="", "", Backend!AT43)</f>
        <v/>
      </c>
      <c r="AT16" t="str">
        <f>IF(Backend!AU43="", "", Backend!AU43)</f>
        <v/>
      </c>
      <c r="AU16" t="str">
        <f>IF(Backend!AV43="", "", Backend!AV43)</f>
        <v/>
      </c>
      <c r="AV16" t="str">
        <f>IF(Backend!AW43="", "", Backend!AW43)</f>
        <v/>
      </c>
      <c r="AW16" t="str">
        <f>IF(Backend!AX43="", "", Backend!AX43)</f>
        <v/>
      </c>
      <c r="AX16" t="str">
        <f>IF(Backend!AY43="", "", Backend!AY43)</f>
        <v/>
      </c>
      <c r="AY16" t="str">
        <f>IF(Backend!AZ43="", "", Backend!AZ43)</f>
        <v/>
      </c>
      <c r="AZ16" t="str">
        <f>IF(Backend!BA43="", "", Backend!BA43)</f>
        <v/>
      </c>
      <c r="BA16" t="str">
        <f>IF(Backend!BB43="", "", Backend!BB43)</f>
        <v/>
      </c>
      <c r="BB16" t="str">
        <f>IF(Backend!BC43="", "", Backend!BC43)</f>
        <v/>
      </c>
      <c r="BC16" t="str">
        <f>IF(Backend!BD43="", "", Backend!BD43)</f>
        <v/>
      </c>
      <c r="BD16" t="str">
        <f>IF(Backend!BE43="", "", Backend!BE43)</f>
        <v/>
      </c>
      <c r="BE16" t="str">
        <f>IF(Backend!BF43="", "", Backend!BF43)</f>
        <v/>
      </c>
      <c r="BF16" t="str">
        <f>IF(Backend!BG43="", "", Backend!BG43)</f>
        <v/>
      </c>
      <c r="BG16" t="str">
        <f>IF(Backend!BH43="", "", Backend!BH43)</f>
        <v/>
      </c>
      <c r="BH16" t="str">
        <f>IF(Backend!BI43="", "", Backend!BI43)</f>
        <v/>
      </c>
      <c r="BI16" t="str">
        <f>IF(Backend!BJ43="", "", Backend!BJ43)</f>
        <v/>
      </c>
      <c r="BJ16" t="str">
        <f>IF(Backend!BK43="", "", Backend!BK43)</f>
        <v/>
      </c>
      <c r="BK16" t="str">
        <f>IF(Backend!BL43="", "", Backend!BL43)</f>
        <v/>
      </c>
      <c r="BL16" t="str">
        <f>IF(Backend!BM43="", "", Backend!BM43)</f>
        <v/>
      </c>
      <c r="BM16" t="str">
        <f>IF(Backend!BN43="", "", Backend!BN43)</f>
        <v/>
      </c>
      <c r="BN16" t="str">
        <f>IF(Backend!BO43="", "", Backend!BO43)</f>
        <v/>
      </c>
      <c r="BO16" t="str">
        <f>IF(Backend!BP43="", "", Backend!BP43)</f>
        <v/>
      </c>
      <c r="BP16" t="str">
        <f>IF(Backend!BQ43="", "", Backend!BQ43)</f>
        <v/>
      </c>
      <c r="BQ16" t="str">
        <f>IF(Backend!BR43="", "", Backend!BR43)</f>
        <v/>
      </c>
      <c r="BR16" t="str">
        <f>IF(Backend!BS43="", "", Backend!BS43)</f>
        <v/>
      </c>
      <c r="BS16" t="str">
        <f>IF(Backend!BT43="", "", Backend!BT43)</f>
        <v/>
      </c>
      <c r="BT16" t="str">
        <f>IF(Backend!BU43="", "", Backend!BU43)</f>
        <v/>
      </c>
      <c r="BU16" t="str">
        <f>IF(Backend!BV43="", "", Backend!BV43)</f>
        <v/>
      </c>
      <c r="BV16" t="str">
        <f>IF(Backend!BW43="", "", Backend!BW43)</f>
        <v/>
      </c>
      <c r="BW16" t="str">
        <f>IF(Backend!BX43="", "", Backend!BX43)</f>
        <v/>
      </c>
      <c r="BX16" t="str">
        <f>IF(Backend!BY43="", "", Backend!BY43)</f>
        <v/>
      </c>
      <c r="BY16" t="str">
        <f>IF(Backend!BZ43="", "", Backend!BZ43)</f>
        <v/>
      </c>
      <c r="BZ16" t="str">
        <f>IF(Backend!CA43="", "", Backend!CA43)</f>
        <v/>
      </c>
      <c r="CA16" t="str">
        <f>IF(Backend!CB43="", "", Backend!CB43)</f>
        <v/>
      </c>
      <c r="CB16" t="str">
        <f>IF(Backend!CC43="", "", Backend!CC43)</f>
        <v/>
      </c>
      <c r="CC16" t="str">
        <f>IF(Backend!CD43="", "", Backend!CD43)</f>
        <v/>
      </c>
    </row>
    <row r="17" spans="1:81" x14ac:dyDescent="0.25">
      <c r="A17" s="4" t="str">
        <f>IF(Backend!A44="", "", Backend!A44)</f>
        <v>Roche Holding Ltd Dividend Right Cert.</v>
      </c>
      <c r="B17">
        <f>IF(Backend!C44="", "", Backend!C44)</f>
        <v>8.9628235000000001E-2</v>
      </c>
      <c r="C17">
        <f>IF(Backend!D44="", "", Backend!D44)</f>
        <v>6.1816532E-2</v>
      </c>
      <c r="D17">
        <f>IF(Backend!E44="", "", Backend!E44)</f>
        <v>0.29977077000000002</v>
      </c>
      <c r="E17">
        <f>IF(Backend!F44="", "", Backend!F44)</f>
        <v>0.12770870000000001</v>
      </c>
      <c r="F17">
        <f>IF(Backend!G44="", "", Backend!G44)</f>
        <v>0.12520835</v>
      </c>
      <c r="G17">
        <f>IF(Backend!H44="", "", Backend!H44)</f>
        <v>0.28797138</v>
      </c>
      <c r="H17">
        <f>IF(Backend!I44="", "", Backend!I44)</f>
        <v>0.10183631</v>
      </c>
      <c r="I17">
        <f>IF(Backend!J44="", "", Backend!J44)</f>
        <v>0.34489009999999998</v>
      </c>
      <c r="J17">
        <f>IF(Backend!K44="", "", Backend!K44)</f>
        <v>3.7413750000000003E-2</v>
      </c>
      <c r="K17">
        <f>IF(Backend!L44="", "", Backend!L44)</f>
        <v>4.7630403000000002E-2</v>
      </c>
      <c r="L17">
        <f>IF(Backend!M44="", "", Backend!M44)</f>
        <v>5.6033220000000004E-4</v>
      </c>
      <c r="M17">
        <f>IF(Backend!N44="", "", Backend!N44)</f>
        <v>0.35048857</v>
      </c>
      <c r="N17">
        <f>IF(Backend!O44="", "", Backend!O44)</f>
        <v>0.21131512999999999</v>
      </c>
      <c r="O17">
        <f>IF(Backend!P44="", "", Backend!P44)</f>
        <v>1</v>
      </c>
      <c r="P17">
        <f>IF(Backend!Q44="", "", Backend!Q44)</f>
        <v>7.5355370000000005E-2</v>
      </c>
      <c r="Q17">
        <f>IF(Backend!R44="", "", Backend!R44)</f>
        <v>0.16362783</v>
      </c>
      <c r="R17">
        <f>IF(Backend!S44="", "", Backend!S44)</f>
        <v>0.13735244999999999</v>
      </c>
      <c r="S17">
        <f>IF(Backend!T44="", "", Backend!T44)</f>
        <v>7.1826340000000002E-2</v>
      </c>
      <c r="T17">
        <f>IF(Backend!U44="", "", Backend!U44)</f>
        <v>0.13387391000000001</v>
      </c>
      <c r="U17">
        <f>IF(Backend!V44="", "", Backend!V44)</f>
        <v>0.19214120000000001</v>
      </c>
      <c r="V17">
        <f>IF(Backend!W44="", "", Backend!W44)</f>
        <v>7.6252689999999998E-2</v>
      </c>
      <c r="W17">
        <f>IF(Backend!X44="", "", Backend!X44)</f>
        <v>0.27645283999999998</v>
      </c>
      <c r="X17">
        <f>IF(Backend!Y44="", "", Backend!Y44)</f>
        <v>9.0241774999999996E-2</v>
      </c>
      <c r="Y17">
        <f>IF(Backend!Z44="", "", Backend!Z44)</f>
        <v>0.10438309599999999</v>
      </c>
      <c r="Z17">
        <f>IF(Backend!AA44="", "", Backend!AA44)</f>
        <v>4.397877E-2</v>
      </c>
      <c r="AA17">
        <f>IF(Backend!AB44="", "", Backend!AB44)</f>
        <v>0.29526287000000001</v>
      </c>
      <c r="AB17">
        <f>IF(Backend!AC44="", "", Backend!AC44)</f>
        <v>0.12870222000000001</v>
      </c>
      <c r="AC17">
        <f>IF(Backend!AD44="", "", Backend!AD44)</f>
        <v>9.1970579999999996E-2</v>
      </c>
      <c r="AD17">
        <f>IF(Backend!AE44="", "", Backend!AE44)</f>
        <v>3.8462575999999998E-2</v>
      </c>
      <c r="AE17">
        <f>IF(Backend!AF44="", "", Backend!AF44)</f>
        <v>0.1849121</v>
      </c>
      <c r="AF17">
        <f>IF(Backend!AG44="", "", Backend!AG44)</f>
        <v>0.14701863000000001</v>
      </c>
      <c r="AG17">
        <f>IF(Backend!AH44="", "", Backend!AH44)</f>
        <v>0.22151061999999999</v>
      </c>
      <c r="AH17" t="str">
        <f>IF(Backend!AI44="", "", Backend!AI44)</f>
        <v/>
      </c>
      <c r="AI17" t="str">
        <f>IF(Backend!AJ44="", "", Backend!AJ44)</f>
        <v/>
      </c>
      <c r="AJ17" t="str">
        <f>IF(Backend!AK44="", "", Backend!AK44)</f>
        <v/>
      </c>
      <c r="AK17" t="str">
        <f>IF(Backend!AL44="", "", Backend!AL44)</f>
        <v/>
      </c>
      <c r="AL17" t="str">
        <f>IF(Backend!AM44="", "", Backend!AM44)</f>
        <v/>
      </c>
      <c r="AM17" t="str">
        <f>IF(Backend!AN44="", "", Backend!AN44)</f>
        <v/>
      </c>
      <c r="AN17" t="str">
        <f>IF(Backend!AO44="", "", Backend!AO44)</f>
        <v/>
      </c>
      <c r="AO17" t="str">
        <f>IF(Backend!AP44="", "", Backend!AP44)</f>
        <v/>
      </c>
      <c r="AP17" t="str">
        <f>IF(Backend!AQ44="", "", Backend!AQ44)</f>
        <v/>
      </c>
      <c r="AQ17" t="str">
        <f>IF(Backend!AR44="", "", Backend!AR44)</f>
        <v/>
      </c>
      <c r="AR17" t="str">
        <f>IF(Backend!AS44="", "", Backend!AS44)</f>
        <v/>
      </c>
      <c r="AS17" t="str">
        <f>IF(Backend!AT44="", "", Backend!AT44)</f>
        <v/>
      </c>
      <c r="AT17" t="str">
        <f>IF(Backend!AU44="", "", Backend!AU44)</f>
        <v/>
      </c>
      <c r="AU17" t="str">
        <f>IF(Backend!AV44="", "", Backend!AV44)</f>
        <v/>
      </c>
      <c r="AV17" t="str">
        <f>IF(Backend!AW44="", "", Backend!AW44)</f>
        <v/>
      </c>
      <c r="AW17" t="str">
        <f>IF(Backend!AX44="", "", Backend!AX44)</f>
        <v/>
      </c>
      <c r="AX17" t="str">
        <f>IF(Backend!AY44="", "", Backend!AY44)</f>
        <v/>
      </c>
      <c r="AY17" t="str">
        <f>IF(Backend!AZ44="", "", Backend!AZ44)</f>
        <v/>
      </c>
      <c r="AZ17" t="str">
        <f>IF(Backend!BA44="", "", Backend!BA44)</f>
        <v/>
      </c>
      <c r="BA17" t="str">
        <f>IF(Backend!BB44="", "", Backend!BB44)</f>
        <v/>
      </c>
      <c r="BB17" t="str">
        <f>IF(Backend!BC44="", "", Backend!BC44)</f>
        <v/>
      </c>
      <c r="BC17" t="str">
        <f>IF(Backend!BD44="", "", Backend!BD44)</f>
        <v/>
      </c>
      <c r="BD17" t="str">
        <f>IF(Backend!BE44="", "", Backend!BE44)</f>
        <v/>
      </c>
      <c r="BE17" t="str">
        <f>IF(Backend!BF44="", "", Backend!BF44)</f>
        <v/>
      </c>
      <c r="BF17" t="str">
        <f>IF(Backend!BG44="", "", Backend!BG44)</f>
        <v/>
      </c>
      <c r="BG17" t="str">
        <f>IF(Backend!BH44="", "", Backend!BH44)</f>
        <v/>
      </c>
      <c r="BH17" t="str">
        <f>IF(Backend!BI44="", "", Backend!BI44)</f>
        <v/>
      </c>
      <c r="BI17" t="str">
        <f>IF(Backend!BJ44="", "", Backend!BJ44)</f>
        <v/>
      </c>
      <c r="BJ17" t="str">
        <f>IF(Backend!BK44="", "", Backend!BK44)</f>
        <v/>
      </c>
      <c r="BK17" t="str">
        <f>IF(Backend!BL44="", "", Backend!BL44)</f>
        <v/>
      </c>
      <c r="BL17" t="str">
        <f>IF(Backend!BM44="", "", Backend!BM44)</f>
        <v/>
      </c>
      <c r="BM17" t="str">
        <f>IF(Backend!BN44="", "", Backend!BN44)</f>
        <v/>
      </c>
      <c r="BN17" t="str">
        <f>IF(Backend!BO44="", "", Backend!BO44)</f>
        <v/>
      </c>
      <c r="BO17" t="str">
        <f>IF(Backend!BP44="", "", Backend!BP44)</f>
        <v/>
      </c>
      <c r="BP17" t="str">
        <f>IF(Backend!BQ44="", "", Backend!BQ44)</f>
        <v/>
      </c>
      <c r="BQ17" t="str">
        <f>IF(Backend!BR44="", "", Backend!BR44)</f>
        <v/>
      </c>
      <c r="BR17" t="str">
        <f>IF(Backend!BS44="", "", Backend!BS44)</f>
        <v/>
      </c>
      <c r="BS17" t="str">
        <f>IF(Backend!BT44="", "", Backend!BT44)</f>
        <v/>
      </c>
      <c r="BT17" t="str">
        <f>IF(Backend!BU44="", "", Backend!BU44)</f>
        <v/>
      </c>
      <c r="BU17" t="str">
        <f>IF(Backend!BV44="", "", Backend!BV44)</f>
        <v/>
      </c>
      <c r="BV17" t="str">
        <f>IF(Backend!BW44="", "", Backend!BW44)</f>
        <v/>
      </c>
      <c r="BW17" t="str">
        <f>IF(Backend!BX44="", "", Backend!BX44)</f>
        <v/>
      </c>
      <c r="BX17" t="str">
        <f>IF(Backend!BY44="", "", Backend!BY44)</f>
        <v/>
      </c>
      <c r="BY17" t="str">
        <f>IF(Backend!BZ44="", "", Backend!BZ44)</f>
        <v/>
      </c>
      <c r="BZ17" t="str">
        <f>IF(Backend!CA44="", "", Backend!CA44)</f>
        <v/>
      </c>
      <c r="CA17" t="str">
        <f>IF(Backend!CB44="", "", Backend!CB44)</f>
        <v/>
      </c>
      <c r="CB17" t="str">
        <f>IF(Backend!CC44="", "", Backend!CC44)</f>
        <v/>
      </c>
      <c r="CC17" t="str">
        <f>IF(Backend!CD44="", "", Backend!CD44)</f>
        <v/>
      </c>
    </row>
    <row r="18" spans="1:81" x14ac:dyDescent="0.25">
      <c r="A18" s="4" t="str">
        <f>IF(Backend!A45="", "", Backend!A45)</f>
        <v>AIA Group Limited</v>
      </c>
      <c r="B18">
        <f>IF(Backend!C45="", "", Backend!C45)</f>
        <v>8.3109329999999995E-3</v>
      </c>
      <c r="C18">
        <f>IF(Backend!D45="", "", Backend!D45)</f>
        <v>4.4050697E-2</v>
      </c>
      <c r="D18">
        <f>IF(Backend!E45="", "", Backend!E45)</f>
        <v>0.12050735999999999</v>
      </c>
      <c r="E18">
        <f>IF(Backend!F45="", "", Backend!F45)</f>
        <v>5.2469287000000003E-2</v>
      </c>
      <c r="F18">
        <f>IF(Backend!G45="", "", Backend!G45)</f>
        <v>5.7950254999999999E-2</v>
      </c>
      <c r="G18">
        <f>IF(Backend!H45="", "", Backend!H45)</f>
        <v>0.13305753000000001</v>
      </c>
      <c r="H18">
        <f>IF(Backend!I45="", "", Backend!I45)</f>
        <v>8.6207493999999996E-2</v>
      </c>
      <c r="I18">
        <f>IF(Backend!J45="", "", Backend!J45)</f>
        <v>8.6693359999999997E-2</v>
      </c>
      <c r="J18">
        <f>IF(Backend!K45="", "", Backend!K45)</f>
        <v>3.4025840000000002E-2</v>
      </c>
      <c r="K18">
        <f>IF(Backend!L45="", "", Backend!L45)</f>
        <v>0.12007378</v>
      </c>
      <c r="L18">
        <f>IF(Backend!M45="", "", Backend!M45)</f>
        <v>3.4178800000000002E-2</v>
      </c>
      <c r="M18">
        <f>IF(Backend!N45="", "", Backend!N45)</f>
        <v>0.12665023</v>
      </c>
      <c r="N18">
        <f>IF(Backend!O45="", "", Backend!O45)</f>
        <v>0.14178161</v>
      </c>
      <c r="O18">
        <f>IF(Backend!P45="", "", Backend!P45)</f>
        <v>7.5355370000000005E-2</v>
      </c>
      <c r="P18">
        <f>IF(Backend!Q45="", "", Backend!Q45)</f>
        <v>1</v>
      </c>
      <c r="Q18">
        <f>IF(Backend!R45="", "", Backend!R45)</f>
        <v>0.10757822</v>
      </c>
      <c r="R18">
        <f>IF(Backend!S45="", "", Backend!S45)</f>
        <v>3.9035229999999997E-2</v>
      </c>
      <c r="S18">
        <f>IF(Backend!T45="", "", Backend!T45)</f>
        <v>3.7537425999999999E-2</v>
      </c>
      <c r="T18">
        <f>IF(Backend!U45="", "", Backend!U45)</f>
        <v>4.8805914999999998E-2</v>
      </c>
      <c r="U18">
        <f>IF(Backend!V45="", "", Backend!V45)</f>
        <v>5.3312283000000002E-2</v>
      </c>
      <c r="V18">
        <f>IF(Backend!W45="", "", Backend!W45)</f>
        <v>0.11416633</v>
      </c>
      <c r="W18">
        <f>IF(Backend!X45="", "", Backend!X45)</f>
        <v>0.16275034999999999</v>
      </c>
      <c r="X18">
        <f>IF(Backend!Y45="", "", Backend!Y45)</f>
        <v>5.2125268000000002E-2</v>
      </c>
      <c r="Y18">
        <f>IF(Backend!Z45="", "", Backend!Z45)</f>
        <v>-1.8566652999999999E-2</v>
      </c>
      <c r="Z18">
        <f>IF(Backend!AA45="", "", Backend!AA45)</f>
        <v>0.12656653000000001</v>
      </c>
      <c r="AA18">
        <f>IF(Backend!AB45="", "", Backend!AB45)</f>
        <v>9.4398590000000004E-2</v>
      </c>
      <c r="AB18">
        <f>IF(Backend!AC45="", "", Backend!AC45)</f>
        <v>2.5650848E-2</v>
      </c>
      <c r="AC18">
        <f>IF(Backend!AD45="", "", Backend!AD45)</f>
        <v>4.2687595000000002E-2</v>
      </c>
      <c r="AD18">
        <f>IF(Backend!AE45="", "", Backend!AE45)</f>
        <v>8.1373189999999998E-2</v>
      </c>
      <c r="AE18">
        <f>IF(Backend!AF45="", "", Backend!AF45)</f>
        <v>0.12958428</v>
      </c>
      <c r="AF18">
        <f>IF(Backend!AG45="", "", Backend!AG45)</f>
        <v>9.4929490000000005E-3</v>
      </c>
      <c r="AG18">
        <f>IF(Backend!AH45="", "", Backend!AH45)</f>
        <v>4.9383110000000001E-2</v>
      </c>
      <c r="AH18" t="str">
        <f>IF(Backend!AI45="", "", Backend!AI45)</f>
        <v/>
      </c>
      <c r="AI18" t="str">
        <f>IF(Backend!AJ45="", "", Backend!AJ45)</f>
        <v/>
      </c>
      <c r="AJ18" t="str">
        <f>IF(Backend!AK45="", "", Backend!AK45)</f>
        <v/>
      </c>
      <c r="AK18" t="str">
        <f>IF(Backend!AL45="", "", Backend!AL45)</f>
        <v/>
      </c>
      <c r="AL18" t="str">
        <f>IF(Backend!AM45="", "", Backend!AM45)</f>
        <v/>
      </c>
      <c r="AM18" t="str">
        <f>IF(Backend!AN45="", "", Backend!AN45)</f>
        <v/>
      </c>
      <c r="AN18" t="str">
        <f>IF(Backend!AO45="", "", Backend!AO45)</f>
        <v/>
      </c>
      <c r="AO18" t="str">
        <f>IF(Backend!AP45="", "", Backend!AP45)</f>
        <v/>
      </c>
      <c r="AP18" t="str">
        <f>IF(Backend!AQ45="", "", Backend!AQ45)</f>
        <v/>
      </c>
      <c r="AQ18" t="str">
        <f>IF(Backend!AR45="", "", Backend!AR45)</f>
        <v/>
      </c>
      <c r="AR18" t="str">
        <f>IF(Backend!AS45="", "", Backend!AS45)</f>
        <v/>
      </c>
      <c r="AS18" t="str">
        <f>IF(Backend!AT45="", "", Backend!AT45)</f>
        <v/>
      </c>
      <c r="AT18" t="str">
        <f>IF(Backend!AU45="", "", Backend!AU45)</f>
        <v/>
      </c>
      <c r="AU18" t="str">
        <f>IF(Backend!AV45="", "", Backend!AV45)</f>
        <v/>
      </c>
      <c r="AV18" t="str">
        <f>IF(Backend!AW45="", "", Backend!AW45)</f>
        <v/>
      </c>
      <c r="AW18" t="str">
        <f>IF(Backend!AX45="", "", Backend!AX45)</f>
        <v/>
      </c>
      <c r="AX18" t="str">
        <f>IF(Backend!AY45="", "", Backend!AY45)</f>
        <v/>
      </c>
      <c r="AY18" t="str">
        <f>IF(Backend!AZ45="", "", Backend!AZ45)</f>
        <v/>
      </c>
      <c r="AZ18" t="str">
        <f>IF(Backend!BA45="", "", Backend!BA45)</f>
        <v/>
      </c>
      <c r="BA18" t="str">
        <f>IF(Backend!BB45="", "", Backend!BB45)</f>
        <v/>
      </c>
      <c r="BB18" t="str">
        <f>IF(Backend!BC45="", "", Backend!BC45)</f>
        <v/>
      </c>
      <c r="BC18" t="str">
        <f>IF(Backend!BD45="", "", Backend!BD45)</f>
        <v/>
      </c>
      <c r="BD18" t="str">
        <f>IF(Backend!BE45="", "", Backend!BE45)</f>
        <v/>
      </c>
      <c r="BE18" t="str">
        <f>IF(Backend!BF45="", "", Backend!BF45)</f>
        <v/>
      </c>
      <c r="BF18" t="str">
        <f>IF(Backend!BG45="", "", Backend!BG45)</f>
        <v/>
      </c>
      <c r="BG18" t="str">
        <f>IF(Backend!BH45="", "", Backend!BH45)</f>
        <v/>
      </c>
      <c r="BH18" t="str">
        <f>IF(Backend!BI45="", "", Backend!BI45)</f>
        <v/>
      </c>
      <c r="BI18" t="str">
        <f>IF(Backend!BJ45="", "", Backend!BJ45)</f>
        <v/>
      </c>
      <c r="BJ18" t="str">
        <f>IF(Backend!BK45="", "", Backend!BK45)</f>
        <v/>
      </c>
      <c r="BK18" t="str">
        <f>IF(Backend!BL45="", "", Backend!BL45)</f>
        <v/>
      </c>
      <c r="BL18" t="str">
        <f>IF(Backend!BM45="", "", Backend!BM45)</f>
        <v/>
      </c>
      <c r="BM18" t="str">
        <f>IF(Backend!BN45="", "", Backend!BN45)</f>
        <v/>
      </c>
      <c r="BN18" t="str">
        <f>IF(Backend!BO45="", "", Backend!BO45)</f>
        <v/>
      </c>
      <c r="BO18" t="str">
        <f>IF(Backend!BP45="", "", Backend!BP45)</f>
        <v/>
      </c>
      <c r="BP18" t="str">
        <f>IF(Backend!BQ45="", "", Backend!BQ45)</f>
        <v/>
      </c>
      <c r="BQ18" t="str">
        <f>IF(Backend!BR45="", "", Backend!BR45)</f>
        <v/>
      </c>
      <c r="BR18" t="str">
        <f>IF(Backend!BS45="", "", Backend!BS45)</f>
        <v/>
      </c>
      <c r="BS18" t="str">
        <f>IF(Backend!BT45="", "", Backend!BT45)</f>
        <v/>
      </c>
      <c r="BT18" t="str">
        <f>IF(Backend!BU45="", "", Backend!BU45)</f>
        <v/>
      </c>
      <c r="BU18" t="str">
        <f>IF(Backend!BV45="", "", Backend!BV45)</f>
        <v/>
      </c>
      <c r="BV18" t="str">
        <f>IF(Backend!BW45="", "", Backend!BW45)</f>
        <v/>
      </c>
      <c r="BW18" t="str">
        <f>IF(Backend!BX45="", "", Backend!BX45)</f>
        <v/>
      </c>
      <c r="BX18" t="str">
        <f>IF(Backend!BY45="", "", Backend!BY45)</f>
        <v/>
      </c>
      <c r="BY18" t="str">
        <f>IF(Backend!BZ45="", "", Backend!BZ45)</f>
        <v/>
      </c>
      <c r="BZ18" t="str">
        <f>IF(Backend!CA45="", "", Backend!CA45)</f>
        <v/>
      </c>
      <c r="CA18" t="str">
        <f>IF(Backend!CB45="", "", Backend!CB45)</f>
        <v/>
      </c>
      <c r="CB18" t="str">
        <f>IF(Backend!CC45="", "", Backend!CC45)</f>
        <v/>
      </c>
      <c r="CC18" t="str">
        <f>IF(Backend!CD45="", "", Backend!CD45)</f>
        <v/>
      </c>
    </row>
    <row r="19" spans="1:81" x14ac:dyDescent="0.25">
      <c r="A19" s="4" t="str">
        <f>IF(Backend!A46="", "", Backend!A46)</f>
        <v>HDFC Bank Limited Sponsored ADR</v>
      </c>
      <c r="B19">
        <f>IF(Backend!C46="", "", Backend!C46)</f>
        <v>0.28786197000000002</v>
      </c>
      <c r="C19">
        <f>IF(Backend!D46="", "", Backend!D46)</f>
        <v>0.26997408000000001</v>
      </c>
      <c r="D19">
        <f>IF(Backend!E46="", "", Backend!E46)</f>
        <v>0.19495246999999999</v>
      </c>
      <c r="E19">
        <f>IF(Backend!F46="", "", Backend!F46)</f>
        <v>0.33338684000000002</v>
      </c>
      <c r="F19">
        <f>IF(Backend!G46="", "", Backend!G46)</f>
        <v>0.38355610000000001</v>
      </c>
      <c r="G19">
        <f>IF(Backend!H46="", "", Backend!H46)</f>
        <v>0.13162139</v>
      </c>
      <c r="H19">
        <f>IF(Backend!I46="", "", Backend!I46)</f>
        <v>0.31032412999999998</v>
      </c>
      <c r="I19">
        <f>IF(Backend!J46="", "", Backend!J46)</f>
        <v>0.22101165</v>
      </c>
      <c r="J19">
        <f>IF(Backend!K46="", "", Backend!K46)</f>
        <v>0.25862768000000003</v>
      </c>
      <c r="K19">
        <f>IF(Backend!L46="", "", Backend!L46)</f>
        <v>0.26383512999999997</v>
      </c>
      <c r="L19">
        <f>IF(Backend!M46="", "", Backend!M46)</f>
        <v>0.30701790000000001</v>
      </c>
      <c r="M19">
        <f>IF(Backend!N46="", "", Backend!N46)</f>
        <v>0.23366344</v>
      </c>
      <c r="N19">
        <f>IF(Backend!O46="", "", Backend!O46)</f>
        <v>0.29576715999999997</v>
      </c>
      <c r="O19">
        <f>IF(Backend!P46="", "", Backend!P46)</f>
        <v>0.16362783</v>
      </c>
      <c r="P19">
        <f>IF(Backend!Q46="", "", Backend!Q46)</f>
        <v>0.10757822</v>
      </c>
      <c r="Q19">
        <f>IF(Backend!R46="", "", Backend!R46)</f>
        <v>1</v>
      </c>
      <c r="R19">
        <f>IF(Backend!S46="", "", Backend!S46)</f>
        <v>0.31683584999999997</v>
      </c>
      <c r="S19">
        <f>IF(Backend!T46="", "", Backend!T46)</f>
        <v>0.22424337</v>
      </c>
      <c r="T19">
        <f>IF(Backend!U46="", "", Backend!U46)</f>
        <v>0.28096628000000001</v>
      </c>
      <c r="U19">
        <f>IF(Backend!V46="", "", Backend!V46)</f>
        <v>0.26792565000000002</v>
      </c>
      <c r="V19">
        <f>IF(Backend!W46="", "", Backend!W46)</f>
        <v>0.16979148999999999</v>
      </c>
      <c r="W19">
        <f>IF(Backend!X46="", "", Backend!X46)</f>
        <v>0.26914369999999999</v>
      </c>
      <c r="X19">
        <f>IF(Backend!Y46="", "", Backend!Y46)</f>
        <v>0.28594356999999998</v>
      </c>
      <c r="Y19">
        <f>IF(Backend!Z46="", "", Backend!Z46)</f>
        <v>0.15615770000000001</v>
      </c>
      <c r="Z19">
        <f>IF(Backend!AA46="", "", Backend!AA46)</f>
        <v>0.12752318000000001</v>
      </c>
      <c r="AA19">
        <f>IF(Backend!AB46="", "", Backend!AB46)</f>
        <v>0.17824054</v>
      </c>
      <c r="AB19">
        <f>IF(Backend!AC46="", "", Backend!AC46)</f>
        <v>0.26493755000000002</v>
      </c>
      <c r="AC19">
        <f>IF(Backend!AD46="", "", Backend!AD46)</f>
        <v>0.35084157999999999</v>
      </c>
      <c r="AD19">
        <f>IF(Backend!AE46="", "", Backend!AE46)</f>
        <v>0.33963670000000001</v>
      </c>
      <c r="AE19">
        <f>IF(Backend!AF46="", "", Backend!AF46)</f>
        <v>0.27277034999999999</v>
      </c>
      <c r="AF19">
        <f>IF(Backend!AG46="", "", Backend!AG46)</f>
        <v>0.23394033</v>
      </c>
      <c r="AG19">
        <f>IF(Backend!AH46="", "", Backend!AH46)</f>
        <v>0.31985282999999998</v>
      </c>
      <c r="AH19" t="str">
        <f>IF(Backend!AI46="", "", Backend!AI46)</f>
        <v/>
      </c>
      <c r="AI19" t="str">
        <f>IF(Backend!AJ46="", "", Backend!AJ46)</f>
        <v/>
      </c>
      <c r="AJ19" t="str">
        <f>IF(Backend!AK46="", "", Backend!AK46)</f>
        <v/>
      </c>
      <c r="AK19" t="str">
        <f>IF(Backend!AL46="", "", Backend!AL46)</f>
        <v/>
      </c>
      <c r="AL19" t="str">
        <f>IF(Backend!AM46="", "", Backend!AM46)</f>
        <v/>
      </c>
      <c r="AM19" t="str">
        <f>IF(Backend!AN46="", "", Backend!AN46)</f>
        <v/>
      </c>
      <c r="AN19" t="str">
        <f>IF(Backend!AO46="", "", Backend!AO46)</f>
        <v/>
      </c>
      <c r="AO19" t="str">
        <f>IF(Backend!AP46="", "", Backend!AP46)</f>
        <v/>
      </c>
      <c r="AP19" t="str">
        <f>IF(Backend!AQ46="", "", Backend!AQ46)</f>
        <v/>
      </c>
      <c r="AQ19" t="str">
        <f>IF(Backend!AR46="", "", Backend!AR46)</f>
        <v/>
      </c>
      <c r="AR19" t="str">
        <f>IF(Backend!AS46="", "", Backend!AS46)</f>
        <v/>
      </c>
      <c r="AS19" t="str">
        <f>IF(Backend!AT46="", "", Backend!AT46)</f>
        <v/>
      </c>
      <c r="AT19" t="str">
        <f>IF(Backend!AU46="", "", Backend!AU46)</f>
        <v/>
      </c>
      <c r="AU19" t="str">
        <f>IF(Backend!AV46="", "", Backend!AV46)</f>
        <v/>
      </c>
      <c r="AV19" t="str">
        <f>IF(Backend!AW46="", "", Backend!AW46)</f>
        <v/>
      </c>
      <c r="AW19" t="str">
        <f>IF(Backend!AX46="", "", Backend!AX46)</f>
        <v/>
      </c>
      <c r="AX19" t="str">
        <f>IF(Backend!AY46="", "", Backend!AY46)</f>
        <v/>
      </c>
      <c r="AY19" t="str">
        <f>IF(Backend!AZ46="", "", Backend!AZ46)</f>
        <v/>
      </c>
      <c r="AZ19" t="str">
        <f>IF(Backend!BA46="", "", Backend!BA46)</f>
        <v/>
      </c>
      <c r="BA19" t="str">
        <f>IF(Backend!BB46="", "", Backend!BB46)</f>
        <v/>
      </c>
      <c r="BB19" t="str">
        <f>IF(Backend!BC46="", "", Backend!BC46)</f>
        <v/>
      </c>
      <c r="BC19" t="str">
        <f>IF(Backend!BD46="", "", Backend!BD46)</f>
        <v/>
      </c>
      <c r="BD19" t="str">
        <f>IF(Backend!BE46="", "", Backend!BE46)</f>
        <v/>
      </c>
      <c r="BE19" t="str">
        <f>IF(Backend!BF46="", "", Backend!BF46)</f>
        <v/>
      </c>
      <c r="BF19" t="str">
        <f>IF(Backend!BG46="", "", Backend!BG46)</f>
        <v/>
      </c>
      <c r="BG19" t="str">
        <f>IF(Backend!BH46="", "", Backend!BH46)</f>
        <v/>
      </c>
      <c r="BH19" t="str">
        <f>IF(Backend!BI46="", "", Backend!BI46)</f>
        <v/>
      </c>
      <c r="BI19" t="str">
        <f>IF(Backend!BJ46="", "", Backend!BJ46)</f>
        <v/>
      </c>
      <c r="BJ19" t="str">
        <f>IF(Backend!BK46="", "", Backend!BK46)</f>
        <v/>
      </c>
      <c r="BK19" t="str">
        <f>IF(Backend!BL46="", "", Backend!BL46)</f>
        <v/>
      </c>
      <c r="BL19" t="str">
        <f>IF(Backend!BM46="", "", Backend!BM46)</f>
        <v/>
      </c>
      <c r="BM19" t="str">
        <f>IF(Backend!BN46="", "", Backend!BN46)</f>
        <v/>
      </c>
      <c r="BN19" t="str">
        <f>IF(Backend!BO46="", "", Backend!BO46)</f>
        <v/>
      </c>
      <c r="BO19" t="str">
        <f>IF(Backend!BP46="", "", Backend!BP46)</f>
        <v/>
      </c>
      <c r="BP19" t="str">
        <f>IF(Backend!BQ46="", "", Backend!BQ46)</f>
        <v/>
      </c>
      <c r="BQ19" t="str">
        <f>IF(Backend!BR46="", "", Backend!BR46)</f>
        <v/>
      </c>
      <c r="BR19" t="str">
        <f>IF(Backend!BS46="", "", Backend!BS46)</f>
        <v/>
      </c>
      <c r="BS19" t="str">
        <f>IF(Backend!BT46="", "", Backend!BT46)</f>
        <v/>
      </c>
      <c r="BT19" t="str">
        <f>IF(Backend!BU46="", "", Backend!BU46)</f>
        <v/>
      </c>
      <c r="BU19" t="str">
        <f>IF(Backend!BV46="", "", Backend!BV46)</f>
        <v/>
      </c>
      <c r="BV19" t="str">
        <f>IF(Backend!BW46="", "", Backend!BW46)</f>
        <v/>
      </c>
      <c r="BW19" t="str">
        <f>IF(Backend!BX46="", "", Backend!BX46)</f>
        <v/>
      </c>
      <c r="BX19" t="str">
        <f>IF(Backend!BY46="", "", Backend!BY46)</f>
        <v/>
      </c>
      <c r="BY19" t="str">
        <f>IF(Backend!BZ46="", "", Backend!BZ46)</f>
        <v/>
      </c>
      <c r="BZ19" t="str">
        <f>IF(Backend!CA46="", "", Backend!CA46)</f>
        <v/>
      </c>
      <c r="CA19" t="str">
        <f>IF(Backend!CB46="", "", Backend!CB46)</f>
        <v/>
      </c>
      <c r="CB19" t="str">
        <f>IF(Backend!CC46="", "", Backend!CC46)</f>
        <v/>
      </c>
      <c r="CC19" t="str">
        <f>IF(Backend!CD46="", "", Backend!CD46)</f>
        <v/>
      </c>
    </row>
    <row r="20" spans="1:81" x14ac:dyDescent="0.25">
      <c r="A20" s="4" t="str">
        <f>IF(Backend!A47="", "", Backend!A47)</f>
        <v>Intuit Inc.</v>
      </c>
      <c r="B20">
        <f>IF(Backend!C47="", "", Backend!C47)</f>
        <v>0.62596165999999998</v>
      </c>
      <c r="C20">
        <f>IF(Backend!D47="", "", Backend!D47)</f>
        <v>0.54476254999999996</v>
      </c>
      <c r="D20">
        <f>IF(Backend!E47="", "", Backend!E47)</f>
        <v>0.18303665999999999</v>
      </c>
      <c r="E20">
        <f>IF(Backend!F47="", "", Backend!F47)</f>
        <v>0.48231420000000003</v>
      </c>
      <c r="F20">
        <f>IF(Backend!G47="", "", Backend!G47)</f>
        <v>0.52362330000000001</v>
      </c>
      <c r="G20">
        <f>IF(Backend!H47="", "", Backend!H47)</f>
        <v>4.6338905E-2</v>
      </c>
      <c r="H20">
        <f>IF(Backend!I47="", "", Backend!I47)</f>
        <v>0.55336730000000001</v>
      </c>
      <c r="I20">
        <f>IF(Backend!J47="", "", Backend!J47)</f>
        <v>0.19934581000000001</v>
      </c>
      <c r="J20">
        <f>IF(Backend!K47="", "", Backend!K47)</f>
        <v>0.33655694000000003</v>
      </c>
      <c r="K20">
        <f>IF(Backend!L47="", "", Backend!L47)</f>
        <v>0.44004235000000003</v>
      </c>
      <c r="L20">
        <f>IF(Backend!M47="", "", Backend!M47)</f>
        <v>0.317386</v>
      </c>
      <c r="M20">
        <f>IF(Backend!N47="", "", Backend!N47)</f>
        <v>0.30833653</v>
      </c>
      <c r="N20">
        <f>IF(Backend!O47="", "", Backend!O47)</f>
        <v>0.21018147000000001</v>
      </c>
      <c r="O20">
        <f>IF(Backend!P47="", "", Backend!P47)</f>
        <v>0.13735244999999999</v>
      </c>
      <c r="P20">
        <f>IF(Backend!Q47="", "", Backend!Q47)</f>
        <v>3.9035229999999997E-2</v>
      </c>
      <c r="Q20">
        <f>IF(Backend!R47="", "", Backend!R47)</f>
        <v>0.31683584999999997</v>
      </c>
      <c r="R20">
        <f>IF(Backend!S47="", "", Backend!S47)</f>
        <v>1</v>
      </c>
      <c r="S20">
        <f>IF(Backend!T47="", "", Backend!T47)</f>
        <v>0.39256020000000003</v>
      </c>
      <c r="T20">
        <f>IF(Backend!U47="", "", Backend!U47)</f>
        <v>0.39339897000000001</v>
      </c>
      <c r="U20">
        <f>IF(Backend!V47="", "", Backend!V47)</f>
        <v>0.46612179999999998</v>
      </c>
      <c r="V20">
        <f>IF(Backend!W47="", "", Backend!W47)</f>
        <v>0.15552998000000001</v>
      </c>
      <c r="W20">
        <f>IF(Backend!X47="", "", Backend!X47)</f>
        <v>0.28714323000000003</v>
      </c>
      <c r="X20">
        <f>IF(Backend!Y47="", "", Backend!Y47)</f>
        <v>0.38910980000000001</v>
      </c>
      <c r="Y20">
        <f>IF(Backend!Z47="", "", Backend!Z47)</f>
        <v>0.2171235</v>
      </c>
      <c r="Z20">
        <f>IF(Backend!AA47="", "", Backend!AA47)</f>
        <v>5.4165936999999997E-2</v>
      </c>
      <c r="AA20">
        <f>IF(Backend!AB47="", "", Backend!AB47)</f>
        <v>0.21849826</v>
      </c>
      <c r="AB20">
        <f>IF(Backend!AC47="", "", Backend!AC47)</f>
        <v>0.61061679999999996</v>
      </c>
      <c r="AC20">
        <f>IF(Backend!AD47="", "", Backend!AD47)</f>
        <v>0.64434785000000006</v>
      </c>
      <c r="AD20">
        <f>IF(Backend!AE47="", "", Backend!AE47)</f>
        <v>0.44671327</v>
      </c>
      <c r="AE20">
        <f>IF(Backend!AF47="", "", Backend!AF47)</f>
        <v>0.21181016999999999</v>
      </c>
      <c r="AF20">
        <f>IF(Backend!AG47="", "", Backend!AG47)</f>
        <v>0.39583263000000002</v>
      </c>
      <c r="AG20">
        <f>IF(Backend!AH47="", "", Backend!AH47)</f>
        <v>0.57665264999999999</v>
      </c>
      <c r="AH20" t="str">
        <f>IF(Backend!AI47="", "", Backend!AI47)</f>
        <v/>
      </c>
      <c r="AI20" t="str">
        <f>IF(Backend!AJ47="", "", Backend!AJ47)</f>
        <v/>
      </c>
      <c r="AJ20" t="str">
        <f>IF(Backend!AK47="", "", Backend!AK47)</f>
        <v/>
      </c>
      <c r="AK20" t="str">
        <f>IF(Backend!AL47="", "", Backend!AL47)</f>
        <v/>
      </c>
      <c r="AL20" t="str">
        <f>IF(Backend!AM47="", "", Backend!AM47)</f>
        <v/>
      </c>
      <c r="AM20" t="str">
        <f>IF(Backend!AN47="", "", Backend!AN47)</f>
        <v/>
      </c>
      <c r="AN20" t="str">
        <f>IF(Backend!AO47="", "", Backend!AO47)</f>
        <v/>
      </c>
      <c r="AO20" t="str">
        <f>IF(Backend!AP47="", "", Backend!AP47)</f>
        <v/>
      </c>
      <c r="AP20" t="str">
        <f>IF(Backend!AQ47="", "", Backend!AQ47)</f>
        <v/>
      </c>
      <c r="AQ20" t="str">
        <f>IF(Backend!AR47="", "", Backend!AR47)</f>
        <v/>
      </c>
      <c r="AR20" t="str">
        <f>IF(Backend!AS47="", "", Backend!AS47)</f>
        <v/>
      </c>
      <c r="AS20" t="str">
        <f>IF(Backend!AT47="", "", Backend!AT47)</f>
        <v/>
      </c>
      <c r="AT20" t="str">
        <f>IF(Backend!AU47="", "", Backend!AU47)</f>
        <v/>
      </c>
      <c r="AU20" t="str">
        <f>IF(Backend!AV47="", "", Backend!AV47)</f>
        <v/>
      </c>
      <c r="AV20" t="str">
        <f>IF(Backend!AW47="", "", Backend!AW47)</f>
        <v/>
      </c>
      <c r="AW20" t="str">
        <f>IF(Backend!AX47="", "", Backend!AX47)</f>
        <v/>
      </c>
      <c r="AX20" t="str">
        <f>IF(Backend!AY47="", "", Backend!AY47)</f>
        <v/>
      </c>
      <c r="AY20" t="str">
        <f>IF(Backend!AZ47="", "", Backend!AZ47)</f>
        <v/>
      </c>
      <c r="AZ20" t="str">
        <f>IF(Backend!BA47="", "", Backend!BA47)</f>
        <v/>
      </c>
      <c r="BA20" t="str">
        <f>IF(Backend!BB47="", "", Backend!BB47)</f>
        <v/>
      </c>
      <c r="BB20" t="str">
        <f>IF(Backend!BC47="", "", Backend!BC47)</f>
        <v/>
      </c>
      <c r="BC20" t="str">
        <f>IF(Backend!BD47="", "", Backend!BD47)</f>
        <v/>
      </c>
      <c r="BD20" t="str">
        <f>IF(Backend!BE47="", "", Backend!BE47)</f>
        <v/>
      </c>
      <c r="BE20" t="str">
        <f>IF(Backend!BF47="", "", Backend!BF47)</f>
        <v/>
      </c>
      <c r="BF20" t="str">
        <f>IF(Backend!BG47="", "", Backend!BG47)</f>
        <v/>
      </c>
      <c r="BG20" t="str">
        <f>IF(Backend!BH47="", "", Backend!BH47)</f>
        <v/>
      </c>
      <c r="BH20" t="str">
        <f>IF(Backend!BI47="", "", Backend!BI47)</f>
        <v/>
      </c>
      <c r="BI20" t="str">
        <f>IF(Backend!BJ47="", "", Backend!BJ47)</f>
        <v/>
      </c>
      <c r="BJ20" t="str">
        <f>IF(Backend!BK47="", "", Backend!BK47)</f>
        <v/>
      </c>
      <c r="BK20" t="str">
        <f>IF(Backend!BL47="", "", Backend!BL47)</f>
        <v/>
      </c>
      <c r="BL20" t="str">
        <f>IF(Backend!BM47="", "", Backend!BM47)</f>
        <v/>
      </c>
      <c r="BM20" t="str">
        <f>IF(Backend!BN47="", "", Backend!BN47)</f>
        <v/>
      </c>
      <c r="BN20" t="str">
        <f>IF(Backend!BO47="", "", Backend!BO47)</f>
        <v/>
      </c>
      <c r="BO20" t="str">
        <f>IF(Backend!BP47="", "", Backend!BP47)</f>
        <v/>
      </c>
      <c r="BP20" t="str">
        <f>IF(Backend!BQ47="", "", Backend!BQ47)</f>
        <v/>
      </c>
      <c r="BQ20" t="str">
        <f>IF(Backend!BR47="", "", Backend!BR47)</f>
        <v/>
      </c>
      <c r="BR20" t="str">
        <f>IF(Backend!BS47="", "", Backend!BS47)</f>
        <v/>
      </c>
      <c r="BS20" t="str">
        <f>IF(Backend!BT47="", "", Backend!BT47)</f>
        <v/>
      </c>
      <c r="BT20" t="str">
        <f>IF(Backend!BU47="", "", Backend!BU47)</f>
        <v/>
      </c>
      <c r="BU20" t="str">
        <f>IF(Backend!BV47="", "", Backend!BV47)</f>
        <v/>
      </c>
      <c r="BV20" t="str">
        <f>IF(Backend!BW47="", "", Backend!BW47)</f>
        <v/>
      </c>
      <c r="BW20" t="str">
        <f>IF(Backend!BX47="", "", Backend!BX47)</f>
        <v/>
      </c>
      <c r="BX20" t="str">
        <f>IF(Backend!BY47="", "", Backend!BY47)</f>
        <v/>
      </c>
      <c r="BY20" t="str">
        <f>IF(Backend!BZ47="", "", Backend!BZ47)</f>
        <v/>
      </c>
      <c r="BZ20" t="str">
        <f>IF(Backend!CA47="", "", Backend!CA47)</f>
        <v/>
      </c>
      <c r="CA20" t="str">
        <f>IF(Backend!CB47="", "", Backend!CB47)</f>
        <v/>
      </c>
      <c r="CB20" t="str">
        <f>IF(Backend!CC47="", "", Backend!CC47)</f>
        <v/>
      </c>
      <c r="CC20" t="str">
        <f>IF(Backend!CD47="", "", Backend!CD47)</f>
        <v/>
      </c>
    </row>
    <row r="21" spans="1:81" x14ac:dyDescent="0.25">
      <c r="A21" s="4" t="str">
        <f>IF(Backend!A48="", "", Backend!A48)</f>
        <v>Edwards Lifesciences Corporation</v>
      </c>
      <c r="B21">
        <f>IF(Backend!C48="", "", Backend!C48)</f>
        <v>0.35392687</v>
      </c>
      <c r="C21">
        <f>IF(Backend!D48="", "", Backend!D48)</f>
        <v>0.32421997000000002</v>
      </c>
      <c r="D21">
        <f>IF(Backend!E48="", "", Backend!E48)</f>
        <v>0.18619199</v>
      </c>
      <c r="E21">
        <f>IF(Backend!F48="", "", Backend!F48)</f>
        <v>0.3527749</v>
      </c>
      <c r="F21">
        <f>IF(Backend!G48="", "", Backend!G48)</f>
        <v>0.38375455000000003</v>
      </c>
      <c r="G21">
        <f>IF(Backend!H48="", "", Backend!H48)</f>
        <v>2.0011266999999999E-2</v>
      </c>
      <c r="H21">
        <f>IF(Backend!I48="", "", Backend!I48)</f>
        <v>0.32355430000000002</v>
      </c>
      <c r="I21">
        <f>IF(Backend!J48="", "", Backend!J48)</f>
        <v>0.1659841</v>
      </c>
      <c r="J21">
        <f>IF(Backend!K48="", "", Backend!K48)</f>
        <v>0.24646682</v>
      </c>
      <c r="K21">
        <f>IF(Backend!L48="", "", Backend!L48)</f>
        <v>0.22611692999999999</v>
      </c>
      <c r="L21">
        <f>IF(Backend!M48="", "", Backend!M48)</f>
        <v>0.18734102</v>
      </c>
      <c r="M21">
        <f>IF(Backend!N48="", "", Backend!N48)</f>
        <v>0.22989279000000001</v>
      </c>
      <c r="N21">
        <f>IF(Backend!O48="", "", Backend!O48)</f>
        <v>0.17405881000000001</v>
      </c>
      <c r="O21">
        <f>IF(Backend!P48="", "", Backend!P48)</f>
        <v>7.1826340000000002E-2</v>
      </c>
      <c r="P21">
        <f>IF(Backend!Q48="", "", Backend!Q48)</f>
        <v>3.7537425999999999E-2</v>
      </c>
      <c r="Q21">
        <f>IF(Backend!R48="", "", Backend!R48)</f>
        <v>0.22424337</v>
      </c>
      <c r="R21">
        <f>IF(Backend!S48="", "", Backend!S48)</f>
        <v>0.39256020000000003</v>
      </c>
      <c r="S21">
        <f>IF(Backend!T48="", "", Backend!T48)</f>
        <v>1</v>
      </c>
      <c r="T21">
        <f>IF(Backend!U48="", "", Backend!U48)</f>
        <v>0.19782185999999999</v>
      </c>
      <c r="U21">
        <f>IF(Backend!V48="", "", Backend!V48)</f>
        <v>0.36334464</v>
      </c>
      <c r="V21">
        <f>IF(Backend!W48="", "", Backend!W48)</f>
        <v>0.1316958</v>
      </c>
      <c r="W21">
        <f>IF(Backend!X48="", "", Backend!X48)</f>
        <v>0.20185311</v>
      </c>
      <c r="X21">
        <f>IF(Backend!Y48="", "", Backend!Y48)</f>
        <v>0.28096130000000002</v>
      </c>
      <c r="Y21">
        <f>IF(Backend!Z48="", "", Backend!Z48)</f>
        <v>0.15960535000000001</v>
      </c>
      <c r="Z21">
        <f>IF(Backend!AA48="", "", Backend!AA48)</f>
        <v>5.175569E-2</v>
      </c>
      <c r="AA21">
        <f>IF(Backend!AB48="", "", Backend!AB48)</f>
        <v>0.17746662999999999</v>
      </c>
      <c r="AB21">
        <f>IF(Backend!AC48="", "", Backend!AC48)</f>
        <v>0.2969387</v>
      </c>
      <c r="AC21">
        <f>IF(Backend!AD48="", "", Backend!AD48)</f>
        <v>0.37196097</v>
      </c>
      <c r="AD21">
        <f>IF(Backend!AE48="", "", Backend!AE48)</f>
        <v>0.31826599999999999</v>
      </c>
      <c r="AE21">
        <f>IF(Backend!AF48="", "", Backend!AF48)</f>
        <v>0.16762278999999999</v>
      </c>
      <c r="AF21">
        <f>IF(Backend!AG48="", "", Backend!AG48)</f>
        <v>0.25086343</v>
      </c>
      <c r="AG21">
        <f>IF(Backend!AH48="", "", Backend!AH48)</f>
        <v>0.37441856000000001</v>
      </c>
      <c r="AH21" t="str">
        <f>IF(Backend!AI48="", "", Backend!AI48)</f>
        <v/>
      </c>
      <c r="AI21" t="str">
        <f>IF(Backend!AJ48="", "", Backend!AJ48)</f>
        <v/>
      </c>
      <c r="AJ21" t="str">
        <f>IF(Backend!AK48="", "", Backend!AK48)</f>
        <v/>
      </c>
      <c r="AK21" t="str">
        <f>IF(Backend!AL48="", "", Backend!AL48)</f>
        <v/>
      </c>
      <c r="AL21" t="str">
        <f>IF(Backend!AM48="", "", Backend!AM48)</f>
        <v/>
      </c>
      <c r="AM21" t="str">
        <f>IF(Backend!AN48="", "", Backend!AN48)</f>
        <v/>
      </c>
      <c r="AN21" t="str">
        <f>IF(Backend!AO48="", "", Backend!AO48)</f>
        <v/>
      </c>
      <c r="AO21" t="str">
        <f>IF(Backend!AP48="", "", Backend!AP48)</f>
        <v/>
      </c>
      <c r="AP21" t="str">
        <f>IF(Backend!AQ48="", "", Backend!AQ48)</f>
        <v/>
      </c>
      <c r="AQ21" t="str">
        <f>IF(Backend!AR48="", "", Backend!AR48)</f>
        <v/>
      </c>
      <c r="AR21" t="str">
        <f>IF(Backend!AS48="", "", Backend!AS48)</f>
        <v/>
      </c>
      <c r="AS21" t="str">
        <f>IF(Backend!AT48="", "", Backend!AT48)</f>
        <v/>
      </c>
      <c r="AT21" t="str">
        <f>IF(Backend!AU48="", "", Backend!AU48)</f>
        <v/>
      </c>
      <c r="AU21" t="str">
        <f>IF(Backend!AV48="", "", Backend!AV48)</f>
        <v/>
      </c>
      <c r="AV21" t="str">
        <f>IF(Backend!AW48="", "", Backend!AW48)</f>
        <v/>
      </c>
      <c r="AW21" t="str">
        <f>IF(Backend!AX48="", "", Backend!AX48)</f>
        <v/>
      </c>
      <c r="AX21" t="str">
        <f>IF(Backend!AY48="", "", Backend!AY48)</f>
        <v/>
      </c>
      <c r="AY21" t="str">
        <f>IF(Backend!AZ48="", "", Backend!AZ48)</f>
        <v/>
      </c>
      <c r="AZ21" t="str">
        <f>IF(Backend!BA48="", "", Backend!BA48)</f>
        <v/>
      </c>
      <c r="BA21" t="str">
        <f>IF(Backend!BB48="", "", Backend!BB48)</f>
        <v/>
      </c>
      <c r="BB21" t="str">
        <f>IF(Backend!BC48="", "", Backend!BC48)</f>
        <v/>
      </c>
      <c r="BC21" t="str">
        <f>IF(Backend!BD48="", "", Backend!BD48)</f>
        <v/>
      </c>
      <c r="BD21" t="str">
        <f>IF(Backend!BE48="", "", Backend!BE48)</f>
        <v/>
      </c>
      <c r="BE21" t="str">
        <f>IF(Backend!BF48="", "", Backend!BF48)</f>
        <v/>
      </c>
      <c r="BF21" t="str">
        <f>IF(Backend!BG48="", "", Backend!BG48)</f>
        <v/>
      </c>
      <c r="BG21" t="str">
        <f>IF(Backend!BH48="", "", Backend!BH48)</f>
        <v/>
      </c>
      <c r="BH21" t="str">
        <f>IF(Backend!BI48="", "", Backend!BI48)</f>
        <v/>
      </c>
      <c r="BI21" t="str">
        <f>IF(Backend!BJ48="", "", Backend!BJ48)</f>
        <v/>
      </c>
      <c r="BJ21" t="str">
        <f>IF(Backend!BK48="", "", Backend!BK48)</f>
        <v/>
      </c>
      <c r="BK21" t="str">
        <f>IF(Backend!BL48="", "", Backend!BL48)</f>
        <v/>
      </c>
      <c r="BL21" t="str">
        <f>IF(Backend!BM48="", "", Backend!BM48)</f>
        <v/>
      </c>
      <c r="BM21" t="str">
        <f>IF(Backend!BN48="", "", Backend!BN48)</f>
        <v/>
      </c>
      <c r="BN21" t="str">
        <f>IF(Backend!BO48="", "", Backend!BO48)</f>
        <v/>
      </c>
      <c r="BO21" t="str">
        <f>IF(Backend!BP48="", "", Backend!BP48)</f>
        <v/>
      </c>
      <c r="BP21" t="str">
        <f>IF(Backend!BQ48="", "", Backend!BQ48)</f>
        <v/>
      </c>
      <c r="BQ21" t="str">
        <f>IF(Backend!BR48="", "", Backend!BR48)</f>
        <v/>
      </c>
      <c r="BR21" t="str">
        <f>IF(Backend!BS48="", "", Backend!BS48)</f>
        <v/>
      </c>
      <c r="BS21" t="str">
        <f>IF(Backend!BT48="", "", Backend!BT48)</f>
        <v/>
      </c>
      <c r="BT21" t="str">
        <f>IF(Backend!BU48="", "", Backend!BU48)</f>
        <v/>
      </c>
      <c r="BU21" t="str">
        <f>IF(Backend!BV48="", "", Backend!BV48)</f>
        <v/>
      </c>
      <c r="BV21" t="str">
        <f>IF(Backend!BW48="", "", Backend!BW48)</f>
        <v/>
      </c>
      <c r="BW21" t="str">
        <f>IF(Backend!BX48="", "", Backend!BX48)</f>
        <v/>
      </c>
      <c r="BX21" t="str">
        <f>IF(Backend!BY48="", "", Backend!BY48)</f>
        <v/>
      </c>
      <c r="BY21" t="str">
        <f>IF(Backend!BZ48="", "", Backend!BZ48)</f>
        <v/>
      </c>
      <c r="BZ21" t="str">
        <f>IF(Backend!CA48="", "", Backend!CA48)</f>
        <v/>
      </c>
      <c r="CA21" t="str">
        <f>IF(Backend!CB48="", "", Backend!CB48)</f>
        <v/>
      </c>
      <c r="CB21" t="str">
        <f>IF(Backend!CC48="", "", Backend!CC48)</f>
        <v/>
      </c>
      <c r="CC21" t="str">
        <f>IF(Backend!CD48="", "", Backend!CD48)</f>
        <v/>
      </c>
    </row>
    <row r="22" spans="1:81" x14ac:dyDescent="0.25">
      <c r="A22" s="4" t="str">
        <f>IF(Backend!A49="", "", Backend!A49)</f>
        <v>Ferguson Enterprises Inc.</v>
      </c>
      <c r="B22">
        <f>IF(Backend!C49="", "", Backend!C49)</f>
        <v>0.35875580000000001</v>
      </c>
      <c r="C22">
        <f>IF(Backend!D49="", "", Backend!D49)</f>
        <v>0.29966530000000002</v>
      </c>
      <c r="D22">
        <f>IF(Backend!E49="", "", Backend!E49)</f>
        <v>0.15717058</v>
      </c>
      <c r="E22">
        <f>IF(Backend!F49="", "", Backend!F49)</f>
        <v>0.37868067999999999</v>
      </c>
      <c r="F22">
        <f>IF(Backend!G49="", "", Backend!G49)</f>
        <v>0.38851005</v>
      </c>
      <c r="G22">
        <f>IF(Backend!H49="", "", Backend!H49)</f>
        <v>0.12381701000000001</v>
      </c>
      <c r="H22">
        <f>IF(Backend!I49="", "", Backend!I49)</f>
        <v>0.45693109999999998</v>
      </c>
      <c r="I22">
        <f>IF(Backend!J49="", "", Backend!J49)</f>
        <v>0.14290443</v>
      </c>
      <c r="J22">
        <f>IF(Backend!K49="", "", Backend!K49)</f>
        <v>0.37180993000000001</v>
      </c>
      <c r="K22">
        <f>IF(Backend!L49="", "", Backend!L49)</f>
        <v>0.36989662000000001</v>
      </c>
      <c r="L22">
        <f>IF(Backend!M49="", "", Backend!M49)</f>
        <v>0.29130425999999998</v>
      </c>
      <c r="M22">
        <f>IF(Backend!N49="", "", Backend!N49)</f>
        <v>0.32436532000000001</v>
      </c>
      <c r="N22">
        <f>IF(Backend!O49="", "", Backend!O49)</f>
        <v>0.28840779999999999</v>
      </c>
      <c r="O22">
        <f>IF(Backend!P49="", "", Backend!P49)</f>
        <v>0.13387391000000001</v>
      </c>
      <c r="P22">
        <f>IF(Backend!Q49="", "", Backend!Q49)</f>
        <v>4.8805914999999998E-2</v>
      </c>
      <c r="Q22">
        <f>IF(Backend!R49="", "", Backend!R49)</f>
        <v>0.28096628000000001</v>
      </c>
      <c r="R22">
        <f>IF(Backend!S49="", "", Backend!S49)</f>
        <v>0.39339897000000001</v>
      </c>
      <c r="S22">
        <f>IF(Backend!T49="", "", Backend!T49)</f>
        <v>0.19782185999999999</v>
      </c>
      <c r="T22">
        <f>IF(Backend!U49="", "", Backend!U49)</f>
        <v>1</v>
      </c>
      <c r="U22">
        <f>IF(Backend!V49="", "", Backend!V49)</f>
        <v>0.34693485000000002</v>
      </c>
      <c r="V22">
        <f>IF(Backend!W49="", "", Backend!W49)</f>
        <v>0.15949664999999999</v>
      </c>
      <c r="W22">
        <f>IF(Backend!X49="", "", Backend!X49)</f>
        <v>0.37543369999999998</v>
      </c>
      <c r="X22">
        <f>IF(Backend!Y49="", "", Backend!Y49)</f>
        <v>0.45536422999999998</v>
      </c>
      <c r="Y22">
        <f>IF(Backend!Z49="", "", Backend!Z49)</f>
        <v>0.20926523</v>
      </c>
      <c r="Z22">
        <f>IF(Backend!AA49="", "", Backend!AA49)</f>
        <v>3.1968568000000003E-2</v>
      </c>
      <c r="AA22">
        <f>IF(Backend!AB49="", "", Backend!AB49)</f>
        <v>0.22803198</v>
      </c>
      <c r="AB22">
        <f>IF(Backend!AC49="", "", Backend!AC49)</f>
        <v>0.35311883999999999</v>
      </c>
      <c r="AC22">
        <f>IF(Backend!AD49="", "", Backend!AD49)</f>
        <v>0.43644047000000002</v>
      </c>
      <c r="AD22">
        <f>IF(Backend!AE49="", "", Backend!AE49)</f>
        <v>0.35342522999999998</v>
      </c>
      <c r="AE22">
        <f>IF(Backend!AF49="", "", Backend!AF49)</f>
        <v>0.19715057</v>
      </c>
      <c r="AF22">
        <f>IF(Backend!AG49="", "", Backend!AG49)</f>
        <v>0.41013709999999998</v>
      </c>
      <c r="AG22">
        <f>IF(Backend!AH49="", "", Backend!AH49)</f>
        <v>0.44597324999999999</v>
      </c>
      <c r="AH22" t="str">
        <f>IF(Backend!AI49="", "", Backend!AI49)</f>
        <v/>
      </c>
      <c r="AI22" t="str">
        <f>IF(Backend!AJ49="", "", Backend!AJ49)</f>
        <v/>
      </c>
      <c r="AJ22" t="str">
        <f>IF(Backend!AK49="", "", Backend!AK49)</f>
        <v/>
      </c>
      <c r="AK22" t="str">
        <f>IF(Backend!AL49="", "", Backend!AL49)</f>
        <v/>
      </c>
      <c r="AL22" t="str">
        <f>IF(Backend!AM49="", "", Backend!AM49)</f>
        <v/>
      </c>
      <c r="AM22" t="str">
        <f>IF(Backend!AN49="", "", Backend!AN49)</f>
        <v/>
      </c>
      <c r="AN22" t="str">
        <f>IF(Backend!AO49="", "", Backend!AO49)</f>
        <v/>
      </c>
      <c r="AO22" t="str">
        <f>IF(Backend!AP49="", "", Backend!AP49)</f>
        <v/>
      </c>
      <c r="AP22" t="str">
        <f>IF(Backend!AQ49="", "", Backend!AQ49)</f>
        <v/>
      </c>
      <c r="AQ22" t="str">
        <f>IF(Backend!AR49="", "", Backend!AR49)</f>
        <v/>
      </c>
      <c r="AR22" t="str">
        <f>IF(Backend!AS49="", "", Backend!AS49)</f>
        <v/>
      </c>
      <c r="AS22" t="str">
        <f>IF(Backend!AT49="", "", Backend!AT49)</f>
        <v/>
      </c>
      <c r="AT22" t="str">
        <f>IF(Backend!AU49="", "", Backend!AU49)</f>
        <v/>
      </c>
      <c r="AU22" t="str">
        <f>IF(Backend!AV49="", "", Backend!AV49)</f>
        <v/>
      </c>
      <c r="AV22" t="str">
        <f>IF(Backend!AW49="", "", Backend!AW49)</f>
        <v/>
      </c>
      <c r="AW22" t="str">
        <f>IF(Backend!AX49="", "", Backend!AX49)</f>
        <v/>
      </c>
      <c r="AX22" t="str">
        <f>IF(Backend!AY49="", "", Backend!AY49)</f>
        <v/>
      </c>
      <c r="AY22" t="str">
        <f>IF(Backend!AZ49="", "", Backend!AZ49)</f>
        <v/>
      </c>
      <c r="AZ22" t="str">
        <f>IF(Backend!BA49="", "", Backend!BA49)</f>
        <v/>
      </c>
      <c r="BA22" t="str">
        <f>IF(Backend!BB49="", "", Backend!BB49)</f>
        <v/>
      </c>
      <c r="BB22" t="str">
        <f>IF(Backend!BC49="", "", Backend!BC49)</f>
        <v/>
      </c>
      <c r="BC22" t="str">
        <f>IF(Backend!BD49="", "", Backend!BD49)</f>
        <v/>
      </c>
      <c r="BD22" t="str">
        <f>IF(Backend!BE49="", "", Backend!BE49)</f>
        <v/>
      </c>
      <c r="BE22" t="str">
        <f>IF(Backend!BF49="", "", Backend!BF49)</f>
        <v/>
      </c>
      <c r="BF22" t="str">
        <f>IF(Backend!BG49="", "", Backend!BG49)</f>
        <v/>
      </c>
      <c r="BG22" t="str">
        <f>IF(Backend!BH49="", "", Backend!BH49)</f>
        <v/>
      </c>
      <c r="BH22" t="str">
        <f>IF(Backend!BI49="", "", Backend!BI49)</f>
        <v/>
      </c>
      <c r="BI22" t="str">
        <f>IF(Backend!BJ49="", "", Backend!BJ49)</f>
        <v/>
      </c>
      <c r="BJ22" t="str">
        <f>IF(Backend!BK49="", "", Backend!BK49)</f>
        <v/>
      </c>
      <c r="BK22" t="str">
        <f>IF(Backend!BL49="", "", Backend!BL49)</f>
        <v/>
      </c>
      <c r="BL22" t="str">
        <f>IF(Backend!BM49="", "", Backend!BM49)</f>
        <v/>
      </c>
      <c r="BM22" t="str">
        <f>IF(Backend!BN49="", "", Backend!BN49)</f>
        <v/>
      </c>
      <c r="BN22" t="str">
        <f>IF(Backend!BO49="", "", Backend!BO49)</f>
        <v/>
      </c>
      <c r="BO22" t="str">
        <f>IF(Backend!BP49="", "", Backend!BP49)</f>
        <v/>
      </c>
      <c r="BP22" t="str">
        <f>IF(Backend!BQ49="", "", Backend!BQ49)</f>
        <v/>
      </c>
      <c r="BQ22" t="str">
        <f>IF(Backend!BR49="", "", Backend!BR49)</f>
        <v/>
      </c>
      <c r="BR22" t="str">
        <f>IF(Backend!BS49="", "", Backend!BS49)</f>
        <v/>
      </c>
      <c r="BS22" t="str">
        <f>IF(Backend!BT49="", "", Backend!BT49)</f>
        <v/>
      </c>
      <c r="BT22" t="str">
        <f>IF(Backend!BU49="", "", Backend!BU49)</f>
        <v/>
      </c>
      <c r="BU22" t="str">
        <f>IF(Backend!BV49="", "", Backend!BV49)</f>
        <v/>
      </c>
      <c r="BV22" t="str">
        <f>IF(Backend!BW49="", "", Backend!BW49)</f>
        <v/>
      </c>
      <c r="BW22" t="str">
        <f>IF(Backend!BX49="", "", Backend!BX49)</f>
        <v/>
      </c>
      <c r="BX22" t="str">
        <f>IF(Backend!BY49="", "", Backend!BY49)</f>
        <v/>
      </c>
      <c r="BY22" t="str">
        <f>IF(Backend!BZ49="", "", Backend!BZ49)</f>
        <v/>
      </c>
      <c r="BZ22" t="str">
        <f>IF(Backend!CA49="", "", Backend!CA49)</f>
        <v/>
      </c>
      <c r="CA22" t="str">
        <f>IF(Backend!CB49="", "", Backend!CB49)</f>
        <v/>
      </c>
      <c r="CB22" t="str">
        <f>IF(Backend!CC49="", "", Backend!CC49)</f>
        <v/>
      </c>
      <c r="CC22" t="str">
        <f>IF(Backend!CD49="", "", Backend!CD49)</f>
        <v/>
      </c>
    </row>
    <row r="23" spans="1:81" x14ac:dyDescent="0.25">
      <c r="A23" s="4" t="str">
        <f>IF(Backend!A50="", "", Backend!A50)</f>
        <v>Zoetis, Inc. Class A</v>
      </c>
      <c r="B23">
        <f>IF(Backend!C50="", "", Backend!C50)</f>
        <v>0.40642412999999999</v>
      </c>
      <c r="C23">
        <f>IF(Backend!D50="", "", Backend!D50)</f>
        <v>0.3569</v>
      </c>
      <c r="D23">
        <f>IF(Backend!E50="", "", Backend!E50)</f>
        <v>0.1726982</v>
      </c>
      <c r="E23">
        <f>IF(Backend!F50="", "", Backend!F50)</f>
        <v>0.41178825000000002</v>
      </c>
      <c r="F23">
        <f>IF(Backend!G50="", "", Backend!G50)</f>
        <v>0.43414059999999999</v>
      </c>
      <c r="G23">
        <f>IF(Backend!H50="", "", Backend!H50)</f>
        <v>0.17518487999999999</v>
      </c>
      <c r="H23">
        <f>IF(Backend!I50="", "", Backend!I50)</f>
        <v>0.38298844999999998</v>
      </c>
      <c r="I23">
        <f>IF(Backend!J50="", "", Backend!J50)</f>
        <v>0.2110136</v>
      </c>
      <c r="J23">
        <f>IF(Backend!K50="", "", Backend!K50)</f>
        <v>0.23793127</v>
      </c>
      <c r="K23">
        <f>IF(Backend!L50="", "", Backend!L50)</f>
        <v>0.25573727000000002</v>
      </c>
      <c r="L23">
        <f>IF(Backend!M50="", "", Backend!M50)</f>
        <v>0.20451726000000001</v>
      </c>
      <c r="M23">
        <f>IF(Backend!N50="", "", Backend!N50)</f>
        <v>0.31517896000000001</v>
      </c>
      <c r="N23">
        <f>IF(Backend!O50="", "", Backend!O50)</f>
        <v>0.10838473</v>
      </c>
      <c r="O23">
        <f>IF(Backend!P50="", "", Backend!P50)</f>
        <v>0.19214120000000001</v>
      </c>
      <c r="P23">
        <f>IF(Backend!Q50="", "", Backend!Q50)</f>
        <v>5.3312283000000002E-2</v>
      </c>
      <c r="Q23">
        <f>IF(Backend!R50="", "", Backend!R50)</f>
        <v>0.26792565000000002</v>
      </c>
      <c r="R23">
        <f>IF(Backend!S50="", "", Backend!S50)</f>
        <v>0.46612179999999998</v>
      </c>
      <c r="S23">
        <f>IF(Backend!T50="", "", Backend!T50)</f>
        <v>0.36334464</v>
      </c>
      <c r="T23">
        <f>IF(Backend!U50="", "", Backend!U50)</f>
        <v>0.34693485000000002</v>
      </c>
      <c r="U23">
        <f>IF(Backend!V50="", "", Backend!V50)</f>
        <v>1</v>
      </c>
      <c r="V23">
        <f>IF(Backend!W50="", "", Backend!W50)</f>
        <v>0.13069317999999999</v>
      </c>
      <c r="W23">
        <f>IF(Backend!X50="", "", Backend!X50)</f>
        <v>0.23051614000000001</v>
      </c>
      <c r="X23">
        <f>IF(Backend!Y50="", "", Backend!Y50)</f>
        <v>0.39521497</v>
      </c>
      <c r="Y23">
        <f>IF(Backend!Z50="", "", Backend!Z50)</f>
        <v>0.27457425000000002</v>
      </c>
      <c r="Z23">
        <f>IF(Backend!AA50="", "", Backend!AA50)</f>
        <v>5.2253239999999999E-2</v>
      </c>
      <c r="AA23">
        <f>IF(Backend!AB50="", "", Backend!AB50)</f>
        <v>0.18845870000000001</v>
      </c>
      <c r="AB23">
        <f>IF(Backend!AC50="", "", Backend!AC50)</f>
        <v>0.38298480000000001</v>
      </c>
      <c r="AC23">
        <f>IF(Backend!AD50="", "", Backend!AD50)</f>
        <v>0.42648733</v>
      </c>
      <c r="AD23">
        <f>IF(Backend!AE50="", "", Backend!AE50)</f>
        <v>0.29217254999999998</v>
      </c>
      <c r="AE23">
        <f>IF(Backend!AF50="", "", Backend!AF50)</f>
        <v>0.14628189999999999</v>
      </c>
      <c r="AF23">
        <f>IF(Backend!AG50="", "", Backend!AG50)</f>
        <v>0.43629213999999999</v>
      </c>
      <c r="AG23">
        <f>IF(Backend!AH50="", "", Backend!AH50)</f>
        <v>0.53689324999999999</v>
      </c>
      <c r="AH23" t="str">
        <f>IF(Backend!AI50="", "", Backend!AI50)</f>
        <v/>
      </c>
      <c r="AI23" t="str">
        <f>IF(Backend!AJ50="", "", Backend!AJ50)</f>
        <v/>
      </c>
      <c r="AJ23" t="str">
        <f>IF(Backend!AK50="", "", Backend!AK50)</f>
        <v/>
      </c>
      <c r="AK23" t="str">
        <f>IF(Backend!AL50="", "", Backend!AL50)</f>
        <v/>
      </c>
      <c r="AL23" t="str">
        <f>IF(Backend!AM50="", "", Backend!AM50)</f>
        <v/>
      </c>
      <c r="AM23" t="str">
        <f>IF(Backend!AN50="", "", Backend!AN50)</f>
        <v/>
      </c>
      <c r="AN23" t="str">
        <f>IF(Backend!AO50="", "", Backend!AO50)</f>
        <v/>
      </c>
      <c r="AO23" t="str">
        <f>IF(Backend!AP50="", "", Backend!AP50)</f>
        <v/>
      </c>
      <c r="AP23" t="str">
        <f>IF(Backend!AQ50="", "", Backend!AQ50)</f>
        <v/>
      </c>
      <c r="AQ23" t="str">
        <f>IF(Backend!AR50="", "", Backend!AR50)</f>
        <v/>
      </c>
      <c r="AR23" t="str">
        <f>IF(Backend!AS50="", "", Backend!AS50)</f>
        <v/>
      </c>
      <c r="AS23" t="str">
        <f>IF(Backend!AT50="", "", Backend!AT50)</f>
        <v/>
      </c>
      <c r="AT23" t="str">
        <f>IF(Backend!AU50="", "", Backend!AU50)</f>
        <v/>
      </c>
      <c r="AU23" t="str">
        <f>IF(Backend!AV50="", "", Backend!AV50)</f>
        <v/>
      </c>
      <c r="AV23" t="str">
        <f>IF(Backend!AW50="", "", Backend!AW50)</f>
        <v/>
      </c>
      <c r="AW23" t="str">
        <f>IF(Backend!AX50="", "", Backend!AX50)</f>
        <v/>
      </c>
      <c r="AX23" t="str">
        <f>IF(Backend!AY50="", "", Backend!AY50)</f>
        <v/>
      </c>
      <c r="AY23" t="str">
        <f>IF(Backend!AZ50="", "", Backend!AZ50)</f>
        <v/>
      </c>
      <c r="AZ23" t="str">
        <f>IF(Backend!BA50="", "", Backend!BA50)</f>
        <v/>
      </c>
      <c r="BA23" t="str">
        <f>IF(Backend!BB50="", "", Backend!BB50)</f>
        <v/>
      </c>
      <c r="BB23" t="str">
        <f>IF(Backend!BC50="", "", Backend!BC50)</f>
        <v/>
      </c>
      <c r="BC23" t="str">
        <f>IF(Backend!BD50="", "", Backend!BD50)</f>
        <v/>
      </c>
      <c r="BD23" t="str">
        <f>IF(Backend!BE50="", "", Backend!BE50)</f>
        <v/>
      </c>
      <c r="BE23" t="str">
        <f>IF(Backend!BF50="", "", Backend!BF50)</f>
        <v/>
      </c>
      <c r="BF23" t="str">
        <f>IF(Backend!BG50="", "", Backend!BG50)</f>
        <v/>
      </c>
      <c r="BG23" t="str">
        <f>IF(Backend!BH50="", "", Backend!BH50)</f>
        <v/>
      </c>
      <c r="BH23" t="str">
        <f>IF(Backend!BI50="", "", Backend!BI50)</f>
        <v/>
      </c>
      <c r="BI23" t="str">
        <f>IF(Backend!BJ50="", "", Backend!BJ50)</f>
        <v/>
      </c>
      <c r="BJ23" t="str">
        <f>IF(Backend!BK50="", "", Backend!BK50)</f>
        <v/>
      </c>
      <c r="BK23" t="str">
        <f>IF(Backend!BL50="", "", Backend!BL50)</f>
        <v/>
      </c>
      <c r="BL23" t="str">
        <f>IF(Backend!BM50="", "", Backend!BM50)</f>
        <v/>
      </c>
      <c r="BM23" t="str">
        <f>IF(Backend!BN50="", "", Backend!BN50)</f>
        <v/>
      </c>
      <c r="BN23" t="str">
        <f>IF(Backend!BO50="", "", Backend!BO50)</f>
        <v/>
      </c>
      <c r="BO23" t="str">
        <f>IF(Backend!BP50="", "", Backend!BP50)</f>
        <v/>
      </c>
      <c r="BP23" t="str">
        <f>IF(Backend!BQ50="", "", Backend!BQ50)</f>
        <v/>
      </c>
      <c r="BQ23" t="str">
        <f>IF(Backend!BR50="", "", Backend!BR50)</f>
        <v/>
      </c>
      <c r="BR23" t="str">
        <f>IF(Backend!BS50="", "", Backend!BS50)</f>
        <v/>
      </c>
      <c r="BS23" t="str">
        <f>IF(Backend!BT50="", "", Backend!BT50)</f>
        <v/>
      </c>
      <c r="BT23" t="str">
        <f>IF(Backend!BU50="", "", Backend!BU50)</f>
        <v/>
      </c>
      <c r="BU23" t="str">
        <f>IF(Backend!BV50="", "", Backend!BV50)</f>
        <v/>
      </c>
      <c r="BV23" t="str">
        <f>IF(Backend!BW50="", "", Backend!BW50)</f>
        <v/>
      </c>
      <c r="BW23" t="str">
        <f>IF(Backend!BX50="", "", Backend!BX50)</f>
        <v/>
      </c>
      <c r="BX23" t="str">
        <f>IF(Backend!BY50="", "", Backend!BY50)</f>
        <v/>
      </c>
      <c r="BY23" t="str">
        <f>IF(Backend!BZ50="", "", Backend!BZ50)</f>
        <v/>
      </c>
      <c r="BZ23" t="str">
        <f>IF(Backend!CA50="", "", Backend!CA50)</f>
        <v/>
      </c>
      <c r="CA23" t="str">
        <f>IF(Backend!CB50="", "", Backend!CB50)</f>
        <v/>
      </c>
      <c r="CB23" t="str">
        <f>IF(Backend!CC50="", "", Backend!CC50)</f>
        <v/>
      </c>
      <c r="CC23" t="str">
        <f>IF(Backend!CD50="", "", Backend!CD50)</f>
        <v/>
      </c>
    </row>
    <row r="24" spans="1:81" x14ac:dyDescent="0.25">
      <c r="A24" s="4" t="str">
        <f>IF(Backend!A51="", "", Backend!A51)</f>
        <v>B3 SA - Brasil, Bolsa, Balcao</v>
      </c>
      <c r="B24">
        <f>IF(Backend!C51="", "", Backend!C51)</f>
        <v>0.18600249999999999</v>
      </c>
      <c r="C24">
        <f>IF(Backend!D51="", "", Backend!D51)</f>
        <v>0.2036618</v>
      </c>
      <c r="D24">
        <f>IF(Backend!E51="", "", Backend!E51)</f>
        <v>0.13807361000000001</v>
      </c>
      <c r="E24">
        <f>IF(Backend!F51="", "", Backend!F51)</f>
        <v>0.14241677999999999</v>
      </c>
      <c r="F24">
        <f>IF(Backend!G51="", "", Backend!G51)</f>
        <v>0.1691443</v>
      </c>
      <c r="G24">
        <f>IF(Backend!H51="", "", Backend!H51)</f>
        <v>4.1053824000000003E-2</v>
      </c>
      <c r="H24">
        <f>IF(Backend!I51="", "", Backend!I51)</f>
        <v>0.18508182000000001</v>
      </c>
      <c r="I24">
        <f>IF(Backend!J51="", "", Backend!J51)</f>
        <v>0.15060683999999999</v>
      </c>
      <c r="J24">
        <f>IF(Backend!K51="", "", Backend!K51)</f>
        <v>0.13513638</v>
      </c>
      <c r="K24">
        <f>IF(Backend!L51="", "", Backend!L51)</f>
        <v>0.16203232000000001</v>
      </c>
      <c r="L24">
        <f>IF(Backend!M51="", "", Backend!M51)</f>
        <v>0.17271893999999999</v>
      </c>
      <c r="M24">
        <f>IF(Backend!N51="", "", Backend!N51)</f>
        <v>0.16125801000000001</v>
      </c>
      <c r="N24">
        <f>IF(Backend!O51="", "", Backend!O51)</f>
        <v>0.17025054000000001</v>
      </c>
      <c r="O24">
        <f>IF(Backend!P51="", "", Backend!P51)</f>
        <v>7.6252689999999998E-2</v>
      </c>
      <c r="P24">
        <f>IF(Backend!Q51="", "", Backend!Q51)</f>
        <v>0.11416633</v>
      </c>
      <c r="Q24">
        <f>IF(Backend!R51="", "", Backend!R51)</f>
        <v>0.16979148999999999</v>
      </c>
      <c r="R24">
        <f>IF(Backend!S51="", "", Backend!S51)</f>
        <v>0.15552998000000001</v>
      </c>
      <c r="S24">
        <f>IF(Backend!T51="", "", Backend!T51)</f>
        <v>0.1316958</v>
      </c>
      <c r="T24">
        <f>IF(Backend!U51="", "", Backend!U51)</f>
        <v>0.15949664999999999</v>
      </c>
      <c r="U24">
        <f>IF(Backend!V51="", "", Backend!V51)</f>
        <v>0.13069317999999999</v>
      </c>
      <c r="V24">
        <f>IF(Backend!W51="", "", Backend!W51)</f>
        <v>1</v>
      </c>
      <c r="W24">
        <f>IF(Backend!X51="", "", Backend!X51)</f>
        <v>0.17160220000000001</v>
      </c>
      <c r="X24">
        <f>IF(Backend!Y51="", "", Backend!Y51)</f>
        <v>0.13749359999999999</v>
      </c>
      <c r="Y24">
        <f>IF(Backend!Z51="", "", Backend!Z51)</f>
        <v>7.8253455E-2</v>
      </c>
      <c r="Z24">
        <f>IF(Backend!AA51="", "", Backend!AA51)</f>
        <v>7.2473880000000004E-2</v>
      </c>
      <c r="AA24">
        <f>IF(Backend!AB51="", "", Backend!AB51)</f>
        <v>9.9965139999999994E-2</v>
      </c>
      <c r="AB24">
        <f>IF(Backend!AC51="", "", Backend!AC51)</f>
        <v>0.17177677</v>
      </c>
      <c r="AC24">
        <f>IF(Backend!AD51="", "", Backend!AD51)</f>
        <v>0.1792791</v>
      </c>
      <c r="AD24">
        <f>IF(Backend!AE51="", "", Backend!AE51)</f>
        <v>0.15277742999999999</v>
      </c>
      <c r="AE24">
        <f>IF(Backend!AF51="", "", Backend!AF51)</f>
        <v>0.122030325</v>
      </c>
      <c r="AF24">
        <f>IF(Backend!AG51="", "", Backend!AG51)</f>
        <v>0.121919975</v>
      </c>
      <c r="AG24">
        <f>IF(Backend!AH51="", "", Backend!AH51)</f>
        <v>0.21730869</v>
      </c>
      <c r="AH24" t="str">
        <f>IF(Backend!AI51="", "", Backend!AI51)</f>
        <v/>
      </c>
      <c r="AI24" t="str">
        <f>IF(Backend!AJ51="", "", Backend!AJ51)</f>
        <v/>
      </c>
      <c r="AJ24" t="str">
        <f>IF(Backend!AK51="", "", Backend!AK51)</f>
        <v/>
      </c>
      <c r="AK24" t="str">
        <f>IF(Backend!AL51="", "", Backend!AL51)</f>
        <v/>
      </c>
      <c r="AL24" t="str">
        <f>IF(Backend!AM51="", "", Backend!AM51)</f>
        <v/>
      </c>
      <c r="AM24" t="str">
        <f>IF(Backend!AN51="", "", Backend!AN51)</f>
        <v/>
      </c>
      <c r="AN24" t="str">
        <f>IF(Backend!AO51="", "", Backend!AO51)</f>
        <v/>
      </c>
      <c r="AO24" t="str">
        <f>IF(Backend!AP51="", "", Backend!AP51)</f>
        <v/>
      </c>
      <c r="AP24" t="str">
        <f>IF(Backend!AQ51="", "", Backend!AQ51)</f>
        <v/>
      </c>
      <c r="AQ24" t="str">
        <f>IF(Backend!AR51="", "", Backend!AR51)</f>
        <v/>
      </c>
      <c r="AR24" t="str">
        <f>IF(Backend!AS51="", "", Backend!AS51)</f>
        <v/>
      </c>
      <c r="AS24" t="str">
        <f>IF(Backend!AT51="", "", Backend!AT51)</f>
        <v/>
      </c>
      <c r="AT24" t="str">
        <f>IF(Backend!AU51="", "", Backend!AU51)</f>
        <v/>
      </c>
      <c r="AU24" t="str">
        <f>IF(Backend!AV51="", "", Backend!AV51)</f>
        <v/>
      </c>
      <c r="AV24" t="str">
        <f>IF(Backend!AW51="", "", Backend!AW51)</f>
        <v/>
      </c>
      <c r="AW24" t="str">
        <f>IF(Backend!AX51="", "", Backend!AX51)</f>
        <v/>
      </c>
      <c r="AX24" t="str">
        <f>IF(Backend!AY51="", "", Backend!AY51)</f>
        <v/>
      </c>
      <c r="AY24" t="str">
        <f>IF(Backend!AZ51="", "", Backend!AZ51)</f>
        <v/>
      </c>
      <c r="AZ24" t="str">
        <f>IF(Backend!BA51="", "", Backend!BA51)</f>
        <v/>
      </c>
      <c r="BA24" t="str">
        <f>IF(Backend!BB51="", "", Backend!BB51)</f>
        <v/>
      </c>
      <c r="BB24" t="str">
        <f>IF(Backend!BC51="", "", Backend!BC51)</f>
        <v/>
      </c>
      <c r="BC24" t="str">
        <f>IF(Backend!BD51="", "", Backend!BD51)</f>
        <v/>
      </c>
      <c r="BD24" t="str">
        <f>IF(Backend!BE51="", "", Backend!BE51)</f>
        <v/>
      </c>
      <c r="BE24" t="str">
        <f>IF(Backend!BF51="", "", Backend!BF51)</f>
        <v/>
      </c>
      <c r="BF24" t="str">
        <f>IF(Backend!BG51="", "", Backend!BG51)</f>
        <v/>
      </c>
      <c r="BG24" t="str">
        <f>IF(Backend!BH51="", "", Backend!BH51)</f>
        <v/>
      </c>
      <c r="BH24" t="str">
        <f>IF(Backend!BI51="", "", Backend!BI51)</f>
        <v/>
      </c>
      <c r="BI24" t="str">
        <f>IF(Backend!BJ51="", "", Backend!BJ51)</f>
        <v/>
      </c>
      <c r="BJ24" t="str">
        <f>IF(Backend!BK51="", "", Backend!BK51)</f>
        <v/>
      </c>
      <c r="BK24" t="str">
        <f>IF(Backend!BL51="", "", Backend!BL51)</f>
        <v/>
      </c>
      <c r="BL24" t="str">
        <f>IF(Backend!BM51="", "", Backend!BM51)</f>
        <v/>
      </c>
      <c r="BM24" t="str">
        <f>IF(Backend!BN51="", "", Backend!BN51)</f>
        <v/>
      </c>
      <c r="BN24" t="str">
        <f>IF(Backend!BO51="", "", Backend!BO51)</f>
        <v/>
      </c>
      <c r="BO24" t="str">
        <f>IF(Backend!BP51="", "", Backend!BP51)</f>
        <v/>
      </c>
      <c r="BP24" t="str">
        <f>IF(Backend!BQ51="", "", Backend!BQ51)</f>
        <v/>
      </c>
      <c r="BQ24" t="str">
        <f>IF(Backend!BR51="", "", Backend!BR51)</f>
        <v/>
      </c>
      <c r="BR24" t="str">
        <f>IF(Backend!BS51="", "", Backend!BS51)</f>
        <v/>
      </c>
      <c r="BS24" t="str">
        <f>IF(Backend!BT51="", "", Backend!BT51)</f>
        <v/>
      </c>
      <c r="BT24" t="str">
        <f>IF(Backend!BU51="", "", Backend!BU51)</f>
        <v/>
      </c>
      <c r="BU24" t="str">
        <f>IF(Backend!BV51="", "", Backend!BV51)</f>
        <v/>
      </c>
      <c r="BV24" t="str">
        <f>IF(Backend!BW51="", "", Backend!BW51)</f>
        <v/>
      </c>
      <c r="BW24" t="str">
        <f>IF(Backend!BX51="", "", Backend!BX51)</f>
        <v/>
      </c>
      <c r="BX24" t="str">
        <f>IF(Backend!BY51="", "", Backend!BY51)</f>
        <v/>
      </c>
      <c r="BY24" t="str">
        <f>IF(Backend!BZ51="", "", Backend!BZ51)</f>
        <v/>
      </c>
      <c r="BZ24" t="str">
        <f>IF(Backend!CA51="", "", Backend!CA51)</f>
        <v/>
      </c>
      <c r="CA24" t="str">
        <f>IF(Backend!CB51="", "", Backend!CB51)</f>
        <v/>
      </c>
      <c r="CB24" t="str">
        <f>IF(Backend!CC51="", "", Backend!CC51)</f>
        <v/>
      </c>
      <c r="CC24" t="str">
        <f>IF(Backend!CD51="", "", Backend!CD51)</f>
        <v/>
      </c>
    </row>
    <row r="25" spans="1:81" x14ac:dyDescent="0.25">
      <c r="A25" s="4" t="str">
        <f>IF(Backend!A52="", "", Backend!A52)</f>
        <v>Atlas Copco AB Class B</v>
      </c>
      <c r="B25">
        <f>IF(Backend!C52="", "", Backend!C52)</f>
        <v>0.26896599999999998</v>
      </c>
      <c r="C25">
        <f>IF(Backend!D52="", "", Backend!D52)</f>
        <v>0.23337437</v>
      </c>
      <c r="D25">
        <f>IF(Backend!E52="", "", Backend!E52)</f>
        <v>0.35244115999999998</v>
      </c>
      <c r="E25">
        <f>IF(Backend!F52="", "", Backend!F52)</f>
        <v>0.26348474999999999</v>
      </c>
      <c r="F25">
        <f>IF(Backend!G52="", "", Backend!G52)</f>
        <v>0.30399925</v>
      </c>
      <c r="G25">
        <f>IF(Backend!H52="", "", Backend!H52)</f>
        <v>0.23730203999999999</v>
      </c>
      <c r="H25">
        <f>IF(Backend!I52="", "", Backend!I52)</f>
        <v>0.44080138000000002</v>
      </c>
      <c r="I25">
        <f>IF(Backend!J52="", "", Backend!J52)</f>
        <v>0.38777850000000003</v>
      </c>
      <c r="J25">
        <f>IF(Backend!K52="", "", Backend!K52)</f>
        <v>0.26889183999999999</v>
      </c>
      <c r="K25">
        <f>IF(Backend!L52="", "", Backend!L52)</f>
        <v>0.32127917</v>
      </c>
      <c r="L25">
        <f>IF(Backend!M52="", "", Backend!M52)</f>
        <v>0.22151203</v>
      </c>
      <c r="M25">
        <f>IF(Backend!N52="", "", Backend!N52)</f>
        <v>0.57328904000000003</v>
      </c>
      <c r="N25">
        <f>IF(Backend!O52="", "", Backend!O52)</f>
        <v>0.49826986000000001</v>
      </c>
      <c r="O25">
        <f>IF(Backend!P52="", "", Backend!P52)</f>
        <v>0.27645283999999998</v>
      </c>
      <c r="P25">
        <f>IF(Backend!Q52="", "", Backend!Q52)</f>
        <v>0.16275034999999999</v>
      </c>
      <c r="Q25">
        <f>IF(Backend!R52="", "", Backend!R52)</f>
        <v>0.26914369999999999</v>
      </c>
      <c r="R25">
        <f>IF(Backend!S52="", "", Backend!S52)</f>
        <v>0.28714323000000003</v>
      </c>
      <c r="S25">
        <f>IF(Backend!T52="", "", Backend!T52)</f>
        <v>0.20185311</v>
      </c>
      <c r="T25">
        <f>IF(Backend!U52="", "", Backend!U52)</f>
        <v>0.37543369999999998</v>
      </c>
      <c r="U25">
        <f>IF(Backend!V52="", "", Backend!V52)</f>
        <v>0.23051614000000001</v>
      </c>
      <c r="V25">
        <f>IF(Backend!W52="", "", Backend!W52)</f>
        <v>0.17160220000000001</v>
      </c>
      <c r="W25">
        <f>IF(Backend!X52="", "", Backend!X52)</f>
        <v>1</v>
      </c>
      <c r="X25">
        <f>IF(Backend!Y52="", "", Backend!Y52)</f>
        <v>0.31981411999999998</v>
      </c>
      <c r="Y25">
        <f>IF(Backend!Z52="", "", Backend!Z52)</f>
        <v>0.12319111000000001</v>
      </c>
      <c r="Z25">
        <f>IF(Backend!AA52="", "", Backend!AA52)</f>
        <v>0.12790614</v>
      </c>
      <c r="AA25">
        <f>IF(Backend!AB52="", "", Backend!AB52)</f>
        <v>0.38952658000000001</v>
      </c>
      <c r="AB25">
        <f>IF(Backend!AC52="", "", Backend!AC52)</f>
        <v>0.20170431</v>
      </c>
      <c r="AC25">
        <f>IF(Backend!AD52="", "", Backend!AD52)</f>
        <v>0.28845963000000002</v>
      </c>
      <c r="AD25">
        <f>IF(Backend!AE52="", "", Backend!AE52)</f>
        <v>0.28768866999999998</v>
      </c>
      <c r="AE25">
        <f>IF(Backend!AF52="", "", Backend!AF52)</f>
        <v>0.44539519999999999</v>
      </c>
      <c r="AF25">
        <f>IF(Backend!AG52="", "", Backend!AG52)</f>
        <v>0.2452502</v>
      </c>
      <c r="AG25">
        <f>IF(Backend!AH52="", "", Backend!AH52)</f>
        <v>0.34701312000000001</v>
      </c>
      <c r="AH25" t="str">
        <f>IF(Backend!AI52="", "", Backend!AI52)</f>
        <v/>
      </c>
      <c r="AI25" t="str">
        <f>IF(Backend!AJ52="", "", Backend!AJ52)</f>
        <v/>
      </c>
      <c r="AJ25" t="str">
        <f>IF(Backend!AK52="", "", Backend!AK52)</f>
        <v/>
      </c>
      <c r="AK25" t="str">
        <f>IF(Backend!AL52="", "", Backend!AL52)</f>
        <v/>
      </c>
      <c r="AL25" t="str">
        <f>IF(Backend!AM52="", "", Backend!AM52)</f>
        <v/>
      </c>
      <c r="AM25" t="str">
        <f>IF(Backend!AN52="", "", Backend!AN52)</f>
        <v/>
      </c>
      <c r="AN25" t="str">
        <f>IF(Backend!AO52="", "", Backend!AO52)</f>
        <v/>
      </c>
      <c r="AO25" t="str">
        <f>IF(Backend!AP52="", "", Backend!AP52)</f>
        <v/>
      </c>
      <c r="AP25" t="str">
        <f>IF(Backend!AQ52="", "", Backend!AQ52)</f>
        <v/>
      </c>
      <c r="AQ25" t="str">
        <f>IF(Backend!AR52="", "", Backend!AR52)</f>
        <v/>
      </c>
      <c r="AR25" t="str">
        <f>IF(Backend!AS52="", "", Backend!AS52)</f>
        <v/>
      </c>
      <c r="AS25" t="str">
        <f>IF(Backend!AT52="", "", Backend!AT52)</f>
        <v/>
      </c>
      <c r="AT25" t="str">
        <f>IF(Backend!AU52="", "", Backend!AU52)</f>
        <v/>
      </c>
      <c r="AU25" t="str">
        <f>IF(Backend!AV52="", "", Backend!AV52)</f>
        <v/>
      </c>
      <c r="AV25" t="str">
        <f>IF(Backend!AW52="", "", Backend!AW52)</f>
        <v/>
      </c>
      <c r="AW25" t="str">
        <f>IF(Backend!AX52="", "", Backend!AX52)</f>
        <v/>
      </c>
      <c r="AX25" t="str">
        <f>IF(Backend!AY52="", "", Backend!AY52)</f>
        <v/>
      </c>
      <c r="AY25" t="str">
        <f>IF(Backend!AZ52="", "", Backend!AZ52)</f>
        <v/>
      </c>
      <c r="AZ25" t="str">
        <f>IF(Backend!BA52="", "", Backend!BA52)</f>
        <v/>
      </c>
      <c r="BA25" t="str">
        <f>IF(Backend!BB52="", "", Backend!BB52)</f>
        <v/>
      </c>
      <c r="BB25" t="str">
        <f>IF(Backend!BC52="", "", Backend!BC52)</f>
        <v/>
      </c>
      <c r="BC25" t="str">
        <f>IF(Backend!BD52="", "", Backend!BD52)</f>
        <v/>
      </c>
      <c r="BD25" t="str">
        <f>IF(Backend!BE52="", "", Backend!BE52)</f>
        <v/>
      </c>
      <c r="BE25" t="str">
        <f>IF(Backend!BF52="", "", Backend!BF52)</f>
        <v/>
      </c>
      <c r="BF25" t="str">
        <f>IF(Backend!BG52="", "", Backend!BG52)</f>
        <v/>
      </c>
      <c r="BG25" t="str">
        <f>IF(Backend!BH52="", "", Backend!BH52)</f>
        <v/>
      </c>
      <c r="BH25" t="str">
        <f>IF(Backend!BI52="", "", Backend!BI52)</f>
        <v/>
      </c>
      <c r="BI25" t="str">
        <f>IF(Backend!BJ52="", "", Backend!BJ52)</f>
        <v/>
      </c>
      <c r="BJ25" t="str">
        <f>IF(Backend!BK52="", "", Backend!BK52)</f>
        <v/>
      </c>
      <c r="BK25" t="str">
        <f>IF(Backend!BL52="", "", Backend!BL52)</f>
        <v/>
      </c>
      <c r="BL25" t="str">
        <f>IF(Backend!BM52="", "", Backend!BM52)</f>
        <v/>
      </c>
      <c r="BM25" t="str">
        <f>IF(Backend!BN52="", "", Backend!BN52)</f>
        <v/>
      </c>
      <c r="BN25" t="str">
        <f>IF(Backend!BO52="", "", Backend!BO52)</f>
        <v/>
      </c>
      <c r="BO25" t="str">
        <f>IF(Backend!BP52="", "", Backend!BP52)</f>
        <v/>
      </c>
      <c r="BP25" t="str">
        <f>IF(Backend!BQ52="", "", Backend!BQ52)</f>
        <v/>
      </c>
      <c r="BQ25" t="str">
        <f>IF(Backend!BR52="", "", Backend!BR52)</f>
        <v/>
      </c>
      <c r="BR25" t="str">
        <f>IF(Backend!BS52="", "", Backend!BS52)</f>
        <v/>
      </c>
      <c r="BS25" t="str">
        <f>IF(Backend!BT52="", "", Backend!BT52)</f>
        <v/>
      </c>
      <c r="BT25" t="str">
        <f>IF(Backend!BU52="", "", Backend!BU52)</f>
        <v/>
      </c>
      <c r="BU25" t="str">
        <f>IF(Backend!BV52="", "", Backend!BV52)</f>
        <v/>
      </c>
      <c r="BV25" t="str">
        <f>IF(Backend!BW52="", "", Backend!BW52)</f>
        <v/>
      </c>
      <c r="BW25" t="str">
        <f>IF(Backend!BX52="", "", Backend!BX52)</f>
        <v/>
      </c>
      <c r="BX25" t="str">
        <f>IF(Backend!BY52="", "", Backend!BY52)</f>
        <v/>
      </c>
      <c r="BY25" t="str">
        <f>IF(Backend!BZ52="", "", Backend!BZ52)</f>
        <v/>
      </c>
      <c r="BZ25" t="str">
        <f>IF(Backend!CA52="", "", Backend!CA52)</f>
        <v/>
      </c>
      <c r="CA25" t="str">
        <f>IF(Backend!CB52="", "", Backend!CB52)</f>
        <v/>
      </c>
      <c r="CB25" t="str">
        <f>IF(Backend!CC52="", "", Backend!CC52)</f>
        <v/>
      </c>
      <c r="CC25" t="str">
        <f>IF(Backend!CD52="", "", Backend!CD52)</f>
        <v/>
      </c>
    </row>
    <row r="26" spans="1:81" x14ac:dyDescent="0.25">
      <c r="A26" s="4" t="str">
        <f>IF(Backend!A53="", "", Backend!A53)</f>
        <v>Allegion Public Limited Company</v>
      </c>
      <c r="B26">
        <f>IF(Backend!C53="", "", Backend!C53)</f>
        <v>0.37333167</v>
      </c>
      <c r="C26">
        <f>IF(Backend!D53="", "", Backend!D53)</f>
        <v>0.28092483000000001</v>
      </c>
      <c r="D26">
        <f>IF(Backend!E53="", "", Backend!E53)</f>
        <v>4.0666559999999997E-2</v>
      </c>
      <c r="E26">
        <f>IF(Backend!F53="", "", Backend!F53)</f>
        <v>0.41775014999999999</v>
      </c>
      <c r="F26">
        <f>IF(Backend!G53="", "", Backend!G53)</f>
        <v>0.4461775</v>
      </c>
      <c r="G26">
        <f>IF(Backend!H53="", "", Backend!H53)</f>
        <v>9.8312415E-2</v>
      </c>
      <c r="H26">
        <f>IF(Backend!I53="", "", Backend!I53)</f>
        <v>0.38972097999999999</v>
      </c>
      <c r="I26">
        <f>IF(Backend!J53="", "", Backend!J53)</f>
        <v>0.110066496</v>
      </c>
      <c r="J26">
        <f>IF(Backend!K53="", "", Backend!K53)</f>
        <v>0.41050642999999998</v>
      </c>
      <c r="K26">
        <f>IF(Backend!L53="", "", Backend!L53)</f>
        <v>0.30762087999999999</v>
      </c>
      <c r="L26">
        <f>IF(Backend!M53="", "", Backend!M53)</f>
        <v>0.3963527</v>
      </c>
      <c r="M26">
        <f>IF(Backend!N53="", "", Backend!N53)</f>
        <v>0.25776263999999999</v>
      </c>
      <c r="N26">
        <f>IF(Backend!O53="", "", Backend!O53)</f>
        <v>0.24358142999999999</v>
      </c>
      <c r="O26">
        <f>IF(Backend!P53="", "", Backend!P53)</f>
        <v>9.0241774999999996E-2</v>
      </c>
      <c r="P26">
        <f>IF(Backend!Q53="", "", Backend!Q53)</f>
        <v>5.2125268000000002E-2</v>
      </c>
      <c r="Q26">
        <f>IF(Backend!R53="", "", Backend!R53)</f>
        <v>0.28594356999999998</v>
      </c>
      <c r="R26">
        <f>IF(Backend!S53="", "", Backend!S53)</f>
        <v>0.38910980000000001</v>
      </c>
      <c r="S26">
        <f>IF(Backend!T53="", "", Backend!T53)</f>
        <v>0.28096130000000002</v>
      </c>
      <c r="T26">
        <f>IF(Backend!U53="", "", Backend!U53)</f>
        <v>0.45536422999999998</v>
      </c>
      <c r="U26">
        <f>IF(Backend!V53="", "", Backend!V53)</f>
        <v>0.39521497</v>
      </c>
      <c r="V26">
        <f>IF(Backend!W53="", "", Backend!W53)</f>
        <v>0.13749359999999999</v>
      </c>
      <c r="W26">
        <f>IF(Backend!X53="", "", Backend!X53)</f>
        <v>0.31981411999999998</v>
      </c>
      <c r="X26">
        <f>IF(Backend!Y53="", "", Backend!Y53)</f>
        <v>1</v>
      </c>
      <c r="Y26">
        <f>IF(Backend!Z53="", "", Backend!Z53)</f>
        <v>0.29209107000000001</v>
      </c>
      <c r="Z26">
        <f>IF(Backend!AA53="", "", Backend!AA53)</f>
        <v>5.9979576999999999E-2</v>
      </c>
      <c r="AA26">
        <f>IF(Backend!AB53="", "", Backend!AB53)</f>
        <v>0.18009501999999999</v>
      </c>
      <c r="AB26">
        <f>IF(Backend!AC53="", "", Backend!AC53)</f>
        <v>0.32953933000000002</v>
      </c>
      <c r="AC26">
        <f>IF(Backend!AD53="", "", Backend!AD53)</f>
        <v>0.43374000000000001</v>
      </c>
      <c r="AD26">
        <f>IF(Backend!AE53="", "", Backend!AE53)</f>
        <v>0.38031825000000002</v>
      </c>
      <c r="AE26">
        <f>IF(Backend!AF53="", "", Backend!AF53)</f>
        <v>0.20712267000000001</v>
      </c>
      <c r="AF26">
        <f>IF(Backend!AG53="", "", Backend!AG53)</f>
        <v>0.51760035999999998</v>
      </c>
      <c r="AG26">
        <f>IF(Backend!AH53="", "", Backend!AH53)</f>
        <v>0.48546549999999999</v>
      </c>
      <c r="AH26" t="str">
        <f>IF(Backend!AI53="", "", Backend!AI53)</f>
        <v/>
      </c>
      <c r="AI26" t="str">
        <f>IF(Backend!AJ53="", "", Backend!AJ53)</f>
        <v/>
      </c>
      <c r="AJ26" t="str">
        <f>IF(Backend!AK53="", "", Backend!AK53)</f>
        <v/>
      </c>
      <c r="AK26" t="str">
        <f>IF(Backend!AL53="", "", Backend!AL53)</f>
        <v/>
      </c>
      <c r="AL26" t="str">
        <f>IF(Backend!AM53="", "", Backend!AM53)</f>
        <v/>
      </c>
      <c r="AM26" t="str">
        <f>IF(Backend!AN53="", "", Backend!AN53)</f>
        <v/>
      </c>
      <c r="AN26" t="str">
        <f>IF(Backend!AO53="", "", Backend!AO53)</f>
        <v/>
      </c>
      <c r="AO26" t="str">
        <f>IF(Backend!AP53="", "", Backend!AP53)</f>
        <v/>
      </c>
      <c r="AP26" t="str">
        <f>IF(Backend!AQ53="", "", Backend!AQ53)</f>
        <v/>
      </c>
      <c r="AQ26" t="str">
        <f>IF(Backend!AR53="", "", Backend!AR53)</f>
        <v/>
      </c>
      <c r="AR26" t="str">
        <f>IF(Backend!AS53="", "", Backend!AS53)</f>
        <v/>
      </c>
      <c r="AS26" t="str">
        <f>IF(Backend!AT53="", "", Backend!AT53)</f>
        <v/>
      </c>
      <c r="AT26" t="str">
        <f>IF(Backend!AU53="", "", Backend!AU53)</f>
        <v/>
      </c>
      <c r="AU26" t="str">
        <f>IF(Backend!AV53="", "", Backend!AV53)</f>
        <v/>
      </c>
      <c r="AV26" t="str">
        <f>IF(Backend!AW53="", "", Backend!AW53)</f>
        <v/>
      </c>
      <c r="AW26" t="str">
        <f>IF(Backend!AX53="", "", Backend!AX53)</f>
        <v/>
      </c>
      <c r="AX26" t="str">
        <f>IF(Backend!AY53="", "", Backend!AY53)</f>
        <v/>
      </c>
      <c r="AY26" t="str">
        <f>IF(Backend!AZ53="", "", Backend!AZ53)</f>
        <v/>
      </c>
      <c r="AZ26" t="str">
        <f>IF(Backend!BA53="", "", Backend!BA53)</f>
        <v/>
      </c>
      <c r="BA26" t="str">
        <f>IF(Backend!BB53="", "", Backend!BB53)</f>
        <v/>
      </c>
      <c r="BB26" t="str">
        <f>IF(Backend!BC53="", "", Backend!BC53)</f>
        <v/>
      </c>
      <c r="BC26" t="str">
        <f>IF(Backend!BD53="", "", Backend!BD53)</f>
        <v/>
      </c>
      <c r="BD26" t="str">
        <f>IF(Backend!BE53="", "", Backend!BE53)</f>
        <v/>
      </c>
      <c r="BE26" t="str">
        <f>IF(Backend!BF53="", "", Backend!BF53)</f>
        <v/>
      </c>
      <c r="BF26" t="str">
        <f>IF(Backend!BG53="", "", Backend!BG53)</f>
        <v/>
      </c>
      <c r="BG26" t="str">
        <f>IF(Backend!BH53="", "", Backend!BH53)</f>
        <v/>
      </c>
      <c r="BH26" t="str">
        <f>IF(Backend!BI53="", "", Backend!BI53)</f>
        <v/>
      </c>
      <c r="BI26" t="str">
        <f>IF(Backend!BJ53="", "", Backend!BJ53)</f>
        <v/>
      </c>
      <c r="BJ26" t="str">
        <f>IF(Backend!BK53="", "", Backend!BK53)</f>
        <v/>
      </c>
      <c r="BK26" t="str">
        <f>IF(Backend!BL53="", "", Backend!BL53)</f>
        <v/>
      </c>
      <c r="BL26" t="str">
        <f>IF(Backend!BM53="", "", Backend!BM53)</f>
        <v/>
      </c>
      <c r="BM26" t="str">
        <f>IF(Backend!BN53="", "", Backend!BN53)</f>
        <v/>
      </c>
      <c r="BN26" t="str">
        <f>IF(Backend!BO53="", "", Backend!BO53)</f>
        <v/>
      </c>
      <c r="BO26" t="str">
        <f>IF(Backend!BP53="", "", Backend!BP53)</f>
        <v/>
      </c>
      <c r="BP26" t="str">
        <f>IF(Backend!BQ53="", "", Backend!BQ53)</f>
        <v/>
      </c>
      <c r="BQ26" t="str">
        <f>IF(Backend!BR53="", "", Backend!BR53)</f>
        <v/>
      </c>
      <c r="BR26" t="str">
        <f>IF(Backend!BS53="", "", Backend!BS53)</f>
        <v/>
      </c>
      <c r="BS26" t="str">
        <f>IF(Backend!BT53="", "", Backend!BT53)</f>
        <v/>
      </c>
      <c r="BT26" t="str">
        <f>IF(Backend!BU53="", "", Backend!BU53)</f>
        <v/>
      </c>
      <c r="BU26" t="str">
        <f>IF(Backend!BV53="", "", Backend!BV53)</f>
        <v/>
      </c>
      <c r="BV26" t="str">
        <f>IF(Backend!BW53="", "", Backend!BW53)</f>
        <v/>
      </c>
      <c r="BW26" t="str">
        <f>IF(Backend!BX53="", "", Backend!BX53)</f>
        <v/>
      </c>
      <c r="BX26" t="str">
        <f>IF(Backend!BY53="", "", Backend!BY53)</f>
        <v/>
      </c>
      <c r="BY26" t="str">
        <f>IF(Backend!BZ53="", "", Backend!BZ53)</f>
        <v/>
      </c>
      <c r="BZ26" t="str">
        <f>IF(Backend!CA53="", "", Backend!CA53)</f>
        <v/>
      </c>
      <c r="CA26" t="str">
        <f>IF(Backend!CB53="", "", Backend!CB53)</f>
        <v/>
      </c>
      <c r="CB26" t="str">
        <f>IF(Backend!CC53="", "", Backend!CC53)</f>
        <v/>
      </c>
      <c r="CC26" t="str">
        <f>IF(Backend!CD53="", "", Backend!CD53)</f>
        <v/>
      </c>
    </row>
    <row r="27" spans="1:81" x14ac:dyDescent="0.25">
      <c r="A27" s="4" t="str">
        <f>IF(Backend!A54="", "", Backend!A54)</f>
        <v>AutoZone, Inc.</v>
      </c>
      <c r="B27">
        <f>IF(Backend!C54="", "", Backend!C54)</f>
        <v>0.21489932</v>
      </c>
      <c r="C27">
        <f>IF(Backend!D54="", "", Backend!D54)</f>
        <v>0.15223610000000001</v>
      </c>
      <c r="D27">
        <f>IF(Backend!E54="", "", Backend!E54)</f>
        <v>6.7865809999999999E-2</v>
      </c>
      <c r="E27">
        <f>IF(Backend!F54="", "", Backend!F54)</f>
        <v>0.29430260000000003</v>
      </c>
      <c r="F27">
        <f>IF(Backend!G54="", "", Backend!G54)</f>
        <v>0.28398522999999998</v>
      </c>
      <c r="G27">
        <f>IF(Backend!H54="", "", Backend!H54)</f>
        <v>0.12150303</v>
      </c>
      <c r="H27">
        <f>IF(Backend!I54="", "", Backend!I54)</f>
        <v>0.15856994999999999</v>
      </c>
      <c r="I27">
        <f>IF(Backend!J54="", "", Backend!J54)</f>
        <v>0.14030321000000001</v>
      </c>
      <c r="J27">
        <f>IF(Backend!K54="", "", Backend!K54)</f>
        <v>0.20242758</v>
      </c>
      <c r="K27">
        <f>IF(Backend!L54="", "", Backend!L54)</f>
        <v>7.6329560000000005E-2</v>
      </c>
      <c r="L27">
        <f>IF(Backend!M54="", "", Backend!M54)</f>
        <v>0.23189103999999999</v>
      </c>
      <c r="M27">
        <f>IF(Backend!N54="", "", Backend!N54)</f>
        <v>0.15172533999999999</v>
      </c>
      <c r="N27">
        <f>IF(Backend!O54="", "", Backend!O54)</f>
        <v>0.12743644000000001</v>
      </c>
      <c r="O27">
        <f>IF(Backend!P54="", "", Backend!P54)</f>
        <v>0.10438309599999999</v>
      </c>
      <c r="P27">
        <f>IF(Backend!Q54="", "", Backend!Q54)</f>
        <v>-1.8566652999999999E-2</v>
      </c>
      <c r="Q27">
        <f>IF(Backend!R54="", "", Backend!R54)</f>
        <v>0.15615770000000001</v>
      </c>
      <c r="R27">
        <f>IF(Backend!S54="", "", Backend!S54)</f>
        <v>0.2171235</v>
      </c>
      <c r="S27">
        <f>IF(Backend!T54="", "", Backend!T54)</f>
        <v>0.15960535000000001</v>
      </c>
      <c r="T27">
        <f>IF(Backend!U54="", "", Backend!U54)</f>
        <v>0.20926523</v>
      </c>
      <c r="U27">
        <f>IF(Backend!V54="", "", Backend!V54)</f>
        <v>0.27457425000000002</v>
      </c>
      <c r="V27">
        <f>IF(Backend!W54="", "", Backend!W54)</f>
        <v>7.8253455E-2</v>
      </c>
      <c r="W27">
        <f>IF(Backend!X54="", "", Backend!X54)</f>
        <v>0.12319111000000001</v>
      </c>
      <c r="X27">
        <f>IF(Backend!Y54="", "", Backend!Y54)</f>
        <v>0.29209107000000001</v>
      </c>
      <c r="Y27">
        <f>IF(Backend!Z54="", "", Backend!Z54)</f>
        <v>1</v>
      </c>
      <c r="Z27">
        <f>IF(Backend!AA54="", "", Backend!AA54)</f>
        <v>2.8859527999999999E-2</v>
      </c>
      <c r="AA27">
        <f>IF(Backend!AB54="", "", Backend!AB54)</f>
        <v>0.10382106000000001</v>
      </c>
      <c r="AB27">
        <f>IF(Backend!AC54="", "", Backend!AC54)</f>
        <v>0.14961902999999999</v>
      </c>
      <c r="AC27">
        <f>IF(Backend!AD54="", "", Backend!AD54)</f>
        <v>0.23638722000000001</v>
      </c>
      <c r="AD27">
        <f>IF(Backend!AE54="", "", Backend!AE54)</f>
        <v>0.1947729</v>
      </c>
      <c r="AE27">
        <f>IF(Backend!AF54="", "", Backend!AF54)</f>
        <v>7.3843729999999996E-2</v>
      </c>
      <c r="AF27">
        <f>IF(Backend!AG54="", "", Backend!AG54)</f>
        <v>0.31779498</v>
      </c>
      <c r="AG27">
        <f>IF(Backend!AH54="", "", Backend!AH54)</f>
        <v>0.29821667000000002</v>
      </c>
      <c r="AH27" t="str">
        <f>IF(Backend!AI54="", "", Backend!AI54)</f>
        <v/>
      </c>
      <c r="AI27" t="str">
        <f>IF(Backend!AJ54="", "", Backend!AJ54)</f>
        <v/>
      </c>
      <c r="AJ27" t="str">
        <f>IF(Backend!AK54="", "", Backend!AK54)</f>
        <v/>
      </c>
      <c r="AK27" t="str">
        <f>IF(Backend!AL54="", "", Backend!AL54)</f>
        <v/>
      </c>
      <c r="AL27" t="str">
        <f>IF(Backend!AM54="", "", Backend!AM54)</f>
        <v/>
      </c>
      <c r="AM27" t="str">
        <f>IF(Backend!AN54="", "", Backend!AN54)</f>
        <v/>
      </c>
      <c r="AN27" t="str">
        <f>IF(Backend!AO54="", "", Backend!AO54)</f>
        <v/>
      </c>
      <c r="AO27" t="str">
        <f>IF(Backend!AP54="", "", Backend!AP54)</f>
        <v/>
      </c>
      <c r="AP27" t="str">
        <f>IF(Backend!AQ54="", "", Backend!AQ54)</f>
        <v/>
      </c>
      <c r="AQ27" t="str">
        <f>IF(Backend!AR54="", "", Backend!AR54)</f>
        <v/>
      </c>
      <c r="AR27" t="str">
        <f>IF(Backend!AS54="", "", Backend!AS54)</f>
        <v/>
      </c>
      <c r="AS27" t="str">
        <f>IF(Backend!AT54="", "", Backend!AT54)</f>
        <v/>
      </c>
      <c r="AT27" t="str">
        <f>IF(Backend!AU54="", "", Backend!AU54)</f>
        <v/>
      </c>
      <c r="AU27" t="str">
        <f>IF(Backend!AV54="", "", Backend!AV54)</f>
        <v/>
      </c>
      <c r="AV27" t="str">
        <f>IF(Backend!AW54="", "", Backend!AW54)</f>
        <v/>
      </c>
      <c r="AW27" t="str">
        <f>IF(Backend!AX54="", "", Backend!AX54)</f>
        <v/>
      </c>
      <c r="AX27" t="str">
        <f>IF(Backend!AY54="", "", Backend!AY54)</f>
        <v/>
      </c>
      <c r="AY27" t="str">
        <f>IF(Backend!AZ54="", "", Backend!AZ54)</f>
        <v/>
      </c>
      <c r="AZ27" t="str">
        <f>IF(Backend!BA54="", "", Backend!BA54)</f>
        <v/>
      </c>
      <c r="BA27" t="str">
        <f>IF(Backend!BB54="", "", Backend!BB54)</f>
        <v/>
      </c>
      <c r="BB27" t="str">
        <f>IF(Backend!BC54="", "", Backend!BC54)</f>
        <v/>
      </c>
      <c r="BC27" t="str">
        <f>IF(Backend!BD54="", "", Backend!BD54)</f>
        <v/>
      </c>
      <c r="BD27" t="str">
        <f>IF(Backend!BE54="", "", Backend!BE54)</f>
        <v/>
      </c>
      <c r="BE27" t="str">
        <f>IF(Backend!BF54="", "", Backend!BF54)</f>
        <v/>
      </c>
      <c r="BF27" t="str">
        <f>IF(Backend!BG54="", "", Backend!BG54)</f>
        <v/>
      </c>
      <c r="BG27" t="str">
        <f>IF(Backend!BH54="", "", Backend!BH54)</f>
        <v/>
      </c>
      <c r="BH27" t="str">
        <f>IF(Backend!BI54="", "", Backend!BI54)</f>
        <v/>
      </c>
      <c r="BI27" t="str">
        <f>IF(Backend!BJ54="", "", Backend!BJ54)</f>
        <v/>
      </c>
      <c r="BJ27" t="str">
        <f>IF(Backend!BK54="", "", Backend!BK54)</f>
        <v/>
      </c>
      <c r="BK27" t="str">
        <f>IF(Backend!BL54="", "", Backend!BL54)</f>
        <v/>
      </c>
      <c r="BL27" t="str">
        <f>IF(Backend!BM54="", "", Backend!BM54)</f>
        <v/>
      </c>
      <c r="BM27" t="str">
        <f>IF(Backend!BN54="", "", Backend!BN54)</f>
        <v/>
      </c>
      <c r="BN27" t="str">
        <f>IF(Backend!BO54="", "", Backend!BO54)</f>
        <v/>
      </c>
      <c r="BO27" t="str">
        <f>IF(Backend!BP54="", "", Backend!BP54)</f>
        <v/>
      </c>
      <c r="BP27" t="str">
        <f>IF(Backend!BQ54="", "", Backend!BQ54)</f>
        <v/>
      </c>
      <c r="BQ27" t="str">
        <f>IF(Backend!BR54="", "", Backend!BR54)</f>
        <v/>
      </c>
      <c r="BR27" t="str">
        <f>IF(Backend!BS54="", "", Backend!BS54)</f>
        <v/>
      </c>
      <c r="BS27" t="str">
        <f>IF(Backend!BT54="", "", Backend!BT54)</f>
        <v/>
      </c>
      <c r="BT27" t="str">
        <f>IF(Backend!BU54="", "", Backend!BU54)</f>
        <v/>
      </c>
      <c r="BU27" t="str">
        <f>IF(Backend!BV54="", "", Backend!BV54)</f>
        <v/>
      </c>
      <c r="BV27" t="str">
        <f>IF(Backend!BW54="", "", Backend!BW54)</f>
        <v/>
      </c>
      <c r="BW27" t="str">
        <f>IF(Backend!BX54="", "", Backend!BX54)</f>
        <v/>
      </c>
      <c r="BX27" t="str">
        <f>IF(Backend!BY54="", "", Backend!BY54)</f>
        <v/>
      </c>
      <c r="BY27" t="str">
        <f>IF(Backend!BZ54="", "", Backend!BZ54)</f>
        <v/>
      </c>
      <c r="BZ27" t="str">
        <f>IF(Backend!CA54="", "", Backend!CA54)</f>
        <v/>
      </c>
      <c r="CA27" t="str">
        <f>IF(Backend!CB54="", "", Backend!CB54)</f>
        <v/>
      </c>
      <c r="CB27" t="str">
        <f>IF(Backend!CC54="", "", Backend!CC54)</f>
        <v/>
      </c>
      <c r="CC27" t="str">
        <f>IF(Backend!CD54="", "", Backend!CD54)</f>
        <v/>
      </c>
    </row>
    <row r="28" spans="1:81" x14ac:dyDescent="0.25">
      <c r="A28" s="4" t="str">
        <f>IF(Backend!A55="", "", Backend!A55)</f>
        <v>PT Bank Central Asia Tbk</v>
      </c>
      <c r="B28">
        <f>IF(Backend!C55="", "", Backend!C55)</f>
        <v>9.8974645E-2</v>
      </c>
      <c r="C28">
        <f>IF(Backend!D55="", "", Backend!D55)</f>
        <v>5.9248312999999997E-2</v>
      </c>
      <c r="D28">
        <f>IF(Backend!E55="", "", Backend!E55)</f>
        <v>5.8418787999999999E-2</v>
      </c>
      <c r="E28">
        <f>IF(Backend!F55="", "", Backend!F55)</f>
        <v>7.0578559999999999E-2</v>
      </c>
      <c r="F28">
        <f>IF(Backend!G55="", "", Backend!G55)</f>
        <v>7.3454364999999994E-2</v>
      </c>
      <c r="G28">
        <f>IF(Backend!H55="", "", Backend!H55)</f>
        <v>6.315047E-2</v>
      </c>
      <c r="H28">
        <f>IF(Backend!I55="", "", Backend!I55)</f>
        <v>7.2625220000000004E-2</v>
      </c>
      <c r="I28">
        <f>IF(Backend!J55="", "", Backend!J55)</f>
        <v>4.4642040000000001E-2</v>
      </c>
      <c r="J28">
        <f>IF(Backend!K55="", "", Backend!K55)</f>
        <v>6.1334420000000001E-2</v>
      </c>
      <c r="K28">
        <f>IF(Backend!L55="", "", Backend!L55)</f>
        <v>9.3668749999999995E-2</v>
      </c>
      <c r="L28">
        <f>IF(Backend!M55="", "", Backend!M55)</f>
        <v>0.10204573</v>
      </c>
      <c r="M28">
        <f>IF(Backend!N55="", "", Backend!N55)</f>
        <v>7.5019130000000003E-2</v>
      </c>
      <c r="N28">
        <f>IF(Backend!O55="", "", Backend!O55)</f>
        <v>0.11091050500000001</v>
      </c>
      <c r="O28">
        <f>IF(Backend!P55="", "", Backend!P55)</f>
        <v>4.397877E-2</v>
      </c>
      <c r="P28">
        <f>IF(Backend!Q55="", "", Backend!Q55)</f>
        <v>0.12656653000000001</v>
      </c>
      <c r="Q28">
        <f>IF(Backend!R55="", "", Backend!R55)</f>
        <v>0.12752318000000001</v>
      </c>
      <c r="R28">
        <f>IF(Backend!S55="", "", Backend!S55)</f>
        <v>5.4165936999999997E-2</v>
      </c>
      <c r="S28">
        <f>IF(Backend!T55="", "", Backend!T55)</f>
        <v>5.175569E-2</v>
      </c>
      <c r="T28">
        <f>IF(Backend!U55="", "", Backend!U55)</f>
        <v>3.1968568000000003E-2</v>
      </c>
      <c r="U28">
        <f>IF(Backend!V55="", "", Backend!V55)</f>
        <v>5.2253239999999999E-2</v>
      </c>
      <c r="V28">
        <f>IF(Backend!W55="", "", Backend!W55)</f>
        <v>7.2473880000000004E-2</v>
      </c>
      <c r="W28">
        <f>IF(Backend!X55="", "", Backend!X55)</f>
        <v>0.12790614</v>
      </c>
      <c r="X28">
        <f>IF(Backend!Y55="", "", Backend!Y55)</f>
        <v>5.9979576999999999E-2</v>
      </c>
      <c r="Y28">
        <f>IF(Backend!Z55="", "", Backend!Z55)</f>
        <v>2.8859527999999999E-2</v>
      </c>
      <c r="Z28">
        <f>IF(Backend!AA55="", "", Backend!AA55)</f>
        <v>1</v>
      </c>
      <c r="AA28">
        <f>IF(Backend!AB55="", "", Backend!AB55)</f>
        <v>7.372455E-2</v>
      </c>
      <c r="AB28">
        <f>IF(Backend!AC55="", "", Backend!AC55)</f>
        <v>5.6289520000000003E-2</v>
      </c>
      <c r="AC28">
        <f>IF(Backend!AD55="", "", Backend!AD55)</f>
        <v>4.8849799999999999E-2</v>
      </c>
      <c r="AD28">
        <f>IF(Backend!AE55="", "", Backend!AE55)</f>
        <v>0.12504547999999999</v>
      </c>
      <c r="AE28">
        <f>IF(Backend!AF55="", "", Backend!AF55)</f>
        <v>0.10357218999999999</v>
      </c>
      <c r="AF28">
        <f>IF(Backend!AG55="", "", Backend!AG55)</f>
        <v>4.9287044000000002E-2</v>
      </c>
      <c r="AG28">
        <f>IF(Backend!AH55="", "", Backend!AH55)</f>
        <v>5.3459376000000003E-2</v>
      </c>
      <c r="AH28" t="str">
        <f>IF(Backend!AI55="", "", Backend!AI55)</f>
        <v/>
      </c>
      <c r="AI28" t="str">
        <f>IF(Backend!AJ55="", "", Backend!AJ55)</f>
        <v/>
      </c>
      <c r="AJ28" t="str">
        <f>IF(Backend!AK55="", "", Backend!AK55)</f>
        <v/>
      </c>
      <c r="AK28" t="str">
        <f>IF(Backend!AL55="", "", Backend!AL55)</f>
        <v/>
      </c>
      <c r="AL28" t="str">
        <f>IF(Backend!AM55="", "", Backend!AM55)</f>
        <v/>
      </c>
      <c r="AM28" t="str">
        <f>IF(Backend!AN55="", "", Backend!AN55)</f>
        <v/>
      </c>
      <c r="AN28" t="str">
        <f>IF(Backend!AO55="", "", Backend!AO55)</f>
        <v/>
      </c>
      <c r="AO28" t="str">
        <f>IF(Backend!AP55="", "", Backend!AP55)</f>
        <v/>
      </c>
      <c r="AP28" t="str">
        <f>IF(Backend!AQ55="", "", Backend!AQ55)</f>
        <v/>
      </c>
      <c r="AQ28" t="str">
        <f>IF(Backend!AR55="", "", Backend!AR55)</f>
        <v/>
      </c>
      <c r="AR28" t="str">
        <f>IF(Backend!AS55="", "", Backend!AS55)</f>
        <v/>
      </c>
      <c r="AS28" t="str">
        <f>IF(Backend!AT55="", "", Backend!AT55)</f>
        <v/>
      </c>
      <c r="AT28" t="str">
        <f>IF(Backend!AU55="", "", Backend!AU55)</f>
        <v/>
      </c>
      <c r="AU28" t="str">
        <f>IF(Backend!AV55="", "", Backend!AV55)</f>
        <v/>
      </c>
      <c r="AV28" t="str">
        <f>IF(Backend!AW55="", "", Backend!AW55)</f>
        <v/>
      </c>
      <c r="AW28" t="str">
        <f>IF(Backend!AX55="", "", Backend!AX55)</f>
        <v/>
      </c>
      <c r="AX28" t="str">
        <f>IF(Backend!AY55="", "", Backend!AY55)</f>
        <v/>
      </c>
      <c r="AY28" t="str">
        <f>IF(Backend!AZ55="", "", Backend!AZ55)</f>
        <v/>
      </c>
      <c r="AZ28" t="str">
        <f>IF(Backend!BA55="", "", Backend!BA55)</f>
        <v/>
      </c>
      <c r="BA28" t="str">
        <f>IF(Backend!BB55="", "", Backend!BB55)</f>
        <v/>
      </c>
      <c r="BB28" t="str">
        <f>IF(Backend!BC55="", "", Backend!BC55)</f>
        <v/>
      </c>
      <c r="BC28" t="str">
        <f>IF(Backend!BD55="", "", Backend!BD55)</f>
        <v/>
      </c>
      <c r="BD28" t="str">
        <f>IF(Backend!BE55="", "", Backend!BE55)</f>
        <v/>
      </c>
      <c r="BE28" t="str">
        <f>IF(Backend!BF55="", "", Backend!BF55)</f>
        <v/>
      </c>
      <c r="BF28" t="str">
        <f>IF(Backend!BG55="", "", Backend!BG55)</f>
        <v/>
      </c>
      <c r="BG28" t="str">
        <f>IF(Backend!BH55="", "", Backend!BH55)</f>
        <v/>
      </c>
      <c r="BH28" t="str">
        <f>IF(Backend!BI55="", "", Backend!BI55)</f>
        <v/>
      </c>
      <c r="BI28" t="str">
        <f>IF(Backend!BJ55="", "", Backend!BJ55)</f>
        <v/>
      </c>
      <c r="BJ28" t="str">
        <f>IF(Backend!BK55="", "", Backend!BK55)</f>
        <v/>
      </c>
      <c r="BK28" t="str">
        <f>IF(Backend!BL55="", "", Backend!BL55)</f>
        <v/>
      </c>
      <c r="BL28" t="str">
        <f>IF(Backend!BM55="", "", Backend!BM55)</f>
        <v/>
      </c>
      <c r="BM28" t="str">
        <f>IF(Backend!BN55="", "", Backend!BN55)</f>
        <v/>
      </c>
      <c r="BN28" t="str">
        <f>IF(Backend!BO55="", "", Backend!BO55)</f>
        <v/>
      </c>
      <c r="BO28" t="str">
        <f>IF(Backend!BP55="", "", Backend!BP55)</f>
        <v/>
      </c>
      <c r="BP28" t="str">
        <f>IF(Backend!BQ55="", "", Backend!BQ55)</f>
        <v/>
      </c>
      <c r="BQ28" t="str">
        <f>IF(Backend!BR55="", "", Backend!BR55)</f>
        <v/>
      </c>
      <c r="BR28" t="str">
        <f>IF(Backend!BS55="", "", Backend!BS55)</f>
        <v/>
      </c>
      <c r="BS28" t="str">
        <f>IF(Backend!BT55="", "", Backend!BT55)</f>
        <v/>
      </c>
      <c r="BT28" t="str">
        <f>IF(Backend!BU55="", "", Backend!BU55)</f>
        <v/>
      </c>
      <c r="BU28" t="str">
        <f>IF(Backend!BV55="", "", Backend!BV55)</f>
        <v/>
      </c>
      <c r="BV28" t="str">
        <f>IF(Backend!BW55="", "", Backend!BW55)</f>
        <v/>
      </c>
      <c r="BW28" t="str">
        <f>IF(Backend!BX55="", "", Backend!BX55)</f>
        <v/>
      </c>
      <c r="BX28" t="str">
        <f>IF(Backend!BY55="", "", Backend!BY55)</f>
        <v/>
      </c>
      <c r="BY28" t="str">
        <f>IF(Backend!BZ55="", "", Backend!BZ55)</f>
        <v/>
      </c>
      <c r="BZ28" t="str">
        <f>IF(Backend!CA55="", "", Backend!CA55)</f>
        <v/>
      </c>
      <c r="CA28" t="str">
        <f>IF(Backend!CB55="", "", Backend!CB55)</f>
        <v/>
      </c>
      <c r="CB28" t="str">
        <f>IF(Backend!CC55="", "", Backend!CC55)</f>
        <v/>
      </c>
      <c r="CC28" t="str">
        <f>IF(Backend!CD55="", "", Backend!CD55)</f>
        <v/>
      </c>
    </row>
    <row r="29" spans="1:81" x14ac:dyDescent="0.25">
      <c r="A29" s="4" t="str">
        <f>IF(Backend!A56="", "", Backend!A56)</f>
        <v>Rentokil Initial plc</v>
      </c>
      <c r="B29">
        <f>IF(Backend!C56="", "", Backend!C56)</f>
        <v>0.19745813000000001</v>
      </c>
      <c r="C29">
        <f>IF(Backend!D56="", "", Backend!D56)</f>
        <v>0.14470749999999999</v>
      </c>
      <c r="D29">
        <f>IF(Backend!E56="", "", Backend!E56)</f>
        <v>0.31271100000000002</v>
      </c>
      <c r="E29">
        <f>IF(Backend!F56="", "", Backend!F56)</f>
        <v>0.16095908</v>
      </c>
      <c r="F29">
        <f>IF(Backend!G56="", "", Backend!G56)</f>
        <v>0.18750892999999999</v>
      </c>
      <c r="G29">
        <f>IF(Backend!H56="", "", Backend!H56)</f>
        <v>0.28705733999999999</v>
      </c>
      <c r="H29">
        <f>IF(Backend!I56="", "", Backend!I56)</f>
        <v>0.21007456999999999</v>
      </c>
      <c r="I29">
        <f>IF(Backend!J56="", "", Backend!J56)</f>
        <v>0.37145242000000001</v>
      </c>
      <c r="J29">
        <f>IF(Backend!K56="", "", Backend!K56)</f>
        <v>0.13718649999999999</v>
      </c>
      <c r="K29">
        <f>IF(Backend!L56="", "", Backend!L56)</f>
        <v>0.14474719999999999</v>
      </c>
      <c r="L29">
        <f>IF(Backend!M56="", "", Backend!M56)</f>
        <v>6.1673869999999999E-2</v>
      </c>
      <c r="M29">
        <f>IF(Backend!N56="", "", Backend!N56)</f>
        <v>0.52231896</v>
      </c>
      <c r="N29">
        <f>IF(Backend!O56="", "", Backend!O56)</f>
        <v>0.28363976000000002</v>
      </c>
      <c r="O29">
        <f>IF(Backend!P56="", "", Backend!P56)</f>
        <v>0.29526287000000001</v>
      </c>
      <c r="P29">
        <f>IF(Backend!Q56="", "", Backend!Q56)</f>
        <v>9.4398590000000004E-2</v>
      </c>
      <c r="Q29">
        <f>IF(Backend!R56="", "", Backend!R56)</f>
        <v>0.17824054</v>
      </c>
      <c r="R29">
        <f>IF(Backend!S56="", "", Backend!S56)</f>
        <v>0.21849826</v>
      </c>
      <c r="S29">
        <f>IF(Backend!T56="", "", Backend!T56)</f>
        <v>0.17746662999999999</v>
      </c>
      <c r="T29">
        <f>IF(Backend!U56="", "", Backend!U56)</f>
        <v>0.22803198</v>
      </c>
      <c r="U29">
        <f>IF(Backend!V56="", "", Backend!V56)</f>
        <v>0.18845870000000001</v>
      </c>
      <c r="V29">
        <f>IF(Backend!W56="", "", Backend!W56)</f>
        <v>9.9965139999999994E-2</v>
      </c>
      <c r="W29">
        <f>IF(Backend!X56="", "", Backend!X56)</f>
        <v>0.38952658000000001</v>
      </c>
      <c r="X29">
        <f>IF(Backend!Y56="", "", Backend!Y56)</f>
        <v>0.18009501999999999</v>
      </c>
      <c r="Y29">
        <f>IF(Backend!Z56="", "", Backend!Z56)</f>
        <v>0.10382106000000001</v>
      </c>
      <c r="Z29">
        <f>IF(Backend!AA56="", "", Backend!AA56)</f>
        <v>7.372455E-2</v>
      </c>
      <c r="AA29">
        <f>IF(Backend!AB56="", "", Backend!AB56)</f>
        <v>1</v>
      </c>
      <c r="AB29">
        <f>IF(Backend!AC56="", "", Backend!AC56)</f>
        <v>0.14129876</v>
      </c>
      <c r="AC29">
        <f>IF(Backend!AD56="", "", Backend!AD56)</f>
        <v>0.23657632000000001</v>
      </c>
      <c r="AD29">
        <f>IF(Backend!AE56="", "", Backend!AE56)</f>
        <v>0.13799842000000001</v>
      </c>
      <c r="AE29">
        <f>IF(Backend!AF56="", "", Backend!AF56)</f>
        <v>0.26178279999999998</v>
      </c>
      <c r="AF29">
        <f>IF(Backend!AG56="", "", Backend!AG56)</f>
        <v>0.19629178999999999</v>
      </c>
      <c r="AG29">
        <f>IF(Backend!AH56="", "", Backend!AH56)</f>
        <v>0.2802365</v>
      </c>
      <c r="AH29" t="str">
        <f>IF(Backend!AI56="", "", Backend!AI56)</f>
        <v/>
      </c>
      <c r="AI29" t="str">
        <f>IF(Backend!AJ56="", "", Backend!AJ56)</f>
        <v/>
      </c>
      <c r="AJ29" t="str">
        <f>IF(Backend!AK56="", "", Backend!AK56)</f>
        <v/>
      </c>
      <c r="AK29" t="str">
        <f>IF(Backend!AL56="", "", Backend!AL56)</f>
        <v/>
      </c>
      <c r="AL29" t="str">
        <f>IF(Backend!AM56="", "", Backend!AM56)</f>
        <v/>
      </c>
      <c r="AM29" t="str">
        <f>IF(Backend!AN56="", "", Backend!AN56)</f>
        <v/>
      </c>
      <c r="AN29" t="str">
        <f>IF(Backend!AO56="", "", Backend!AO56)</f>
        <v/>
      </c>
      <c r="AO29" t="str">
        <f>IF(Backend!AP56="", "", Backend!AP56)</f>
        <v/>
      </c>
      <c r="AP29" t="str">
        <f>IF(Backend!AQ56="", "", Backend!AQ56)</f>
        <v/>
      </c>
      <c r="AQ29" t="str">
        <f>IF(Backend!AR56="", "", Backend!AR56)</f>
        <v/>
      </c>
      <c r="AR29" t="str">
        <f>IF(Backend!AS56="", "", Backend!AS56)</f>
        <v/>
      </c>
      <c r="AS29" t="str">
        <f>IF(Backend!AT56="", "", Backend!AT56)</f>
        <v/>
      </c>
      <c r="AT29" t="str">
        <f>IF(Backend!AU56="", "", Backend!AU56)</f>
        <v/>
      </c>
      <c r="AU29" t="str">
        <f>IF(Backend!AV56="", "", Backend!AV56)</f>
        <v/>
      </c>
      <c r="AV29" t="str">
        <f>IF(Backend!AW56="", "", Backend!AW56)</f>
        <v/>
      </c>
      <c r="AW29" t="str">
        <f>IF(Backend!AX56="", "", Backend!AX56)</f>
        <v/>
      </c>
      <c r="AX29" t="str">
        <f>IF(Backend!AY56="", "", Backend!AY56)</f>
        <v/>
      </c>
      <c r="AY29" t="str">
        <f>IF(Backend!AZ56="", "", Backend!AZ56)</f>
        <v/>
      </c>
      <c r="AZ29" t="str">
        <f>IF(Backend!BA56="", "", Backend!BA56)</f>
        <v/>
      </c>
      <c r="BA29" t="str">
        <f>IF(Backend!BB56="", "", Backend!BB56)</f>
        <v/>
      </c>
      <c r="BB29" t="str">
        <f>IF(Backend!BC56="", "", Backend!BC56)</f>
        <v/>
      </c>
      <c r="BC29" t="str">
        <f>IF(Backend!BD56="", "", Backend!BD56)</f>
        <v/>
      </c>
      <c r="BD29" t="str">
        <f>IF(Backend!BE56="", "", Backend!BE56)</f>
        <v/>
      </c>
      <c r="BE29" t="str">
        <f>IF(Backend!BF56="", "", Backend!BF56)</f>
        <v/>
      </c>
      <c r="BF29" t="str">
        <f>IF(Backend!BG56="", "", Backend!BG56)</f>
        <v/>
      </c>
      <c r="BG29" t="str">
        <f>IF(Backend!BH56="", "", Backend!BH56)</f>
        <v/>
      </c>
      <c r="BH29" t="str">
        <f>IF(Backend!BI56="", "", Backend!BI56)</f>
        <v/>
      </c>
      <c r="BI29" t="str">
        <f>IF(Backend!BJ56="", "", Backend!BJ56)</f>
        <v/>
      </c>
      <c r="BJ29" t="str">
        <f>IF(Backend!BK56="", "", Backend!BK56)</f>
        <v/>
      </c>
      <c r="BK29" t="str">
        <f>IF(Backend!BL56="", "", Backend!BL56)</f>
        <v/>
      </c>
      <c r="BL29" t="str">
        <f>IF(Backend!BM56="", "", Backend!BM56)</f>
        <v/>
      </c>
      <c r="BM29" t="str">
        <f>IF(Backend!BN56="", "", Backend!BN56)</f>
        <v/>
      </c>
      <c r="BN29" t="str">
        <f>IF(Backend!BO56="", "", Backend!BO56)</f>
        <v/>
      </c>
      <c r="BO29" t="str">
        <f>IF(Backend!BP56="", "", Backend!BP56)</f>
        <v/>
      </c>
      <c r="BP29" t="str">
        <f>IF(Backend!BQ56="", "", Backend!BQ56)</f>
        <v/>
      </c>
      <c r="BQ29" t="str">
        <f>IF(Backend!BR56="", "", Backend!BR56)</f>
        <v/>
      </c>
      <c r="BR29" t="str">
        <f>IF(Backend!BS56="", "", Backend!BS56)</f>
        <v/>
      </c>
      <c r="BS29" t="str">
        <f>IF(Backend!BT56="", "", Backend!BT56)</f>
        <v/>
      </c>
      <c r="BT29" t="str">
        <f>IF(Backend!BU56="", "", Backend!BU56)</f>
        <v/>
      </c>
      <c r="BU29" t="str">
        <f>IF(Backend!BV56="", "", Backend!BV56)</f>
        <v/>
      </c>
      <c r="BV29" t="str">
        <f>IF(Backend!BW56="", "", Backend!BW56)</f>
        <v/>
      </c>
      <c r="BW29" t="str">
        <f>IF(Backend!BX56="", "", Backend!BX56)</f>
        <v/>
      </c>
      <c r="BX29" t="str">
        <f>IF(Backend!BY56="", "", Backend!BY56)</f>
        <v/>
      </c>
      <c r="BY29" t="str">
        <f>IF(Backend!BZ56="", "", Backend!BZ56)</f>
        <v/>
      </c>
      <c r="BZ29" t="str">
        <f>IF(Backend!CA56="", "", Backend!CA56)</f>
        <v/>
      </c>
      <c r="CA29" t="str">
        <f>IF(Backend!CB56="", "", Backend!CB56)</f>
        <v/>
      </c>
      <c r="CB29" t="str">
        <f>IF(Backend!CC56="", "", Backend!CC56)</f>
        <v/>
      </c>
      <c r="CC29" t="str">
        <f>IF(Backend!CD56="", "", Backend!CD56)</f>
        <v/>
      </c>
    </row>
    <row r="30" spans="1:81" x14ac:dyDescent="0.25">
      <c r="A30" s="4" t="str">
        <f>IF(Backend!A57="", "", Backend!A57)</f>
        <v>Workday, Inc. Class A</v>
      </c>
      <c r="B30">
        <f>IF(Backend!C57="", "", Backend!C57)</f>
        <v>0.55141306000000001</v>
      </c>
      <c r="C30">
        <f>IF(Backend!D57="", "", Backend!D57)</f>
        <v>0.4320502</v>
      </c>
      <c r="D30">
        <f>IF(Backend!E57="", "", Backend!E57)</f>
        <v>0.14092969999999999</v>
      </c>
      <c r="E30">
        <f>IF(Backend!F57="", "", Backend!F57)</f>
        <v>0.40438141999999999</v>
      </c>
      <c r="F30">
        <f>IF(Backend!G57="", "", Backend!G57)</f>
        <v>0.43069216999999999</v>
      </c>
      <c r="G30">
        <f>IF(Backend!H57="", "", Backend!H57)</f>
        <v>3.5877159999999998E-2</v>
      </c>
      <c r="H30">
        <f>IF(Backend!I57="", "", Backend!I57)</f>
        <v>0.45029160000000001</v>
      </c>
      <c r="I30">
        <f>IF(Backend!J57="", "", Backend!J57)</f>
        <v>0.15192589000000001</v>
      </c>
      <c r="J30">
        <f>IF(Backend!K57="", "", Backend!K57)</f>
        <v>0.21784182999999999</v>
      </c>
      <c r="K30">
        <f>IF(Backend!L57="", "", Backend!L57)</f>
        <v>0.36428177</v>
      </c>
      <c r="L30">
        <f>IF(Backend!M57="", "", Backend!M57)</f>
        <v>0.23859946000000001</v>
      </c>
      <c r="M30">
        <f>IF(Backend!N57="", "", Backend!N57)</f>
        <v>0.23014224</v>
      </c>
      <c r="N30">
        <f>IF(Backend!O57="", "", Backend!O57)</f>
        <v>0.14111636999999999</v>
      </c>
      <c r="O30">
        <f>IF(Backend!P57="", "", Backend!P57)</f>
        <v>0.12870222000000001</v>
      </c>
      <c r="P30">
        <f>IF(Backend!Q57="", "", Backend!Q57)</f>
        <v>2.5650848E-2</v>
      </c>
      <c r="Q30">
        <f>IF(Backend!R57="", "", Backend!R57)</f>
        <v>0.26493755000000002</v>
      </c>
      <c r="R30">
        <f>IF(Backend!S57="", "", Backend!S57)</f>
        <v>0.61061679999999996</v>
      </c>
      <c r="S30">
        <f>IF(Backend!T57="", "", Backend!T57)</f>
        <v>0.2969387</v>
      </c>
      <c r="T30">
        <f>IF(Backend!U57="", "", Backend!U57)</f>
        <v>0.35311883999999999</v>
      </c>
      <c r="U30">
        <f>IF(Backend!V57="", "", Backend!V57)</f>
        <v>0.38298480000000001</v>
      </c>
      <c r="V30">
        <f>IF(Backend!W57="", "", Backend!W57)</f>
        <v>0.17177677</v>
      </c>
      <c r="W30">
        <f>IF(Backend!X57="", "", Backend!X57)</f>
        <v>0.20170431</v>
      </c>
      <c r="X30">
        <f>IF(Backend!Y57="", "", Backend!Y57)</f>
        <v>0.32953933000000002</v>
      </c>
      <c r="Y30">
        <f>IF(Backend!Z57="", "", Backend!Z57)</f>
        <v>0.14961902999999999</v>
      </c>
      <c r="Z30">
        <f>IF(Backend!AA57="", "", Backend!AA57)</f>
        <v>5.6289520000000003E-2</v>
      </c>
      <c r="AA30">
        <f>IF(Backend!AB57="", "", Backend!AB57)</f>
        <v>0.14129876</v>
      </c>
      <c r="AB30">
        <f>IF(Backend!AC57="", "", Backend!AC57)</f>
        <v>1</v>
      </c>
      <c r="AC30">
        <f>IF(Backend!AD57="", "", Backend!AD57)</f>
        <v>0.58626734999999996</v>
      </c>
      <c r="AD30">
        <f>IF(Backend!AE57="", "", Backend!AE57)</f>
        <v>0.36752674000000002</v>
      </c>
      <c r="AE30">
        <f>IF(Backend!AF57="", "", Backend!AF57)</f>
        <v>0.13028925999999999</v>
      </c>
      <c r="AF30">
        <f>IF(Backend!AG57="", "", Backend!AG57)</f>
        <v>0.33166748000000001</v>
      </c>
      <c r="AG30">
        <f>IF(Backend!AH57="", "", Backend!AH57)</f>
        <v>0.48027094999999997</v>
      </c>
      <c r="AH30" t="str">
        <f>IF(Backend!AI57="", "", Backend!AI57)</f>
        <v/>
      </c>
      <c r="AI30" t="str">
        <f>IF(Backend!AJ57="", "", Backend!AJ57)</f>
        <v/>
      </c>
      <c r="AJ30" t="str">
        <f>IF(Backend!AK57="", "", Backend!AK57)</f>
        <v/>
      </c>
      <c r="AK30" t="str">
        <f>IF(Backend!AL57="", "", Backend!AL57)</f>
        <v/>
      </c>
      <c r="AL30" t="str">
        <f>IF(Backend!AM57="", "", Backend!AM57)</f>
        <v/>
      </c>
      <c r="AM30" t="str">
        <f>IF(Backend!AN57="", "", Backend!AN57)</f>
        <v/>
      </c>
      <c r="AN30" t="str">
        <f>IF(Backend!AO57="", "", Backend!AO57)</f>
        <v/>
      </c>
      <c r="AO30" t="str">
        <f>IF(Backend!AP57="", "", Backend!AP57)</f>
        <v/>
      </c>
      <c r="AP30" t="str">
        <f>IF(Backend!AQ57="", "", Backend!AQ57)</f>
        <v/>
      </c>
      <c r="AQ30" t="str">
        <f>IF(Backend!AR57="", "", Backend!AR57)</f>
        <v/>
      </c>
      <c r="AR30" t="str">
        <f>IF(Backend!AS57="", "", Backend!AS57)</f>
        <v/>
      </c>
      <c r="AS30" t="str">
        <f>IF(Backend!AT57="", "", Backend!AT57)</f>
        <v/>
      </c>
      <c r="AT30" t="str">
        <f>IF(Backend!AU57="", "", Backend!AU57)</f>
        <v/>
      </c>
      <c r="AU30" t="str">
        <f>IF(Backend!AV57="", "", Backend!AV57)</f>
        <v/>
      </c>
      <c r="AV30" t="str">
        <f>IF(Backend!AW57="", "", Backend!AW57)</f>
        <v/>
      </c>
      <c r="AW30" t="str">
        <f>IF(Backend!AX57="", "", Backend!AX57)</f>
        <v/>
      </c>
      <c r="AX30" t="str">
        <f>IF(Backend!AY57="", "", Backend!AY57)</f>
        <v/>
      </c>
      <c r="AY30" t="str">
        <f>IF(Backend!AZ57="", "", Backend!AZ57)</f>
        <v/>
      </c>
      <c r="AZ30" t="str">
        <f>IF(Backend!BA57="", "", Backend!BA57)</f>
        <v/>
      </c>
      <c r="BA30" t="str">
        <f>IF(Backend!BB57="", "", Backend!BB57)</f>
        <v/>
      </c>
      <c r="BB30" t="str">
        <f>IF(Backend!BC57="", "", Backend!BC57)</f>
        <v/>
      </c>
      <c r="BC30" t="str">
        <f>IF(Backend!BD57="", "", Backend!BD57)</f>
        <v/>
      </c>
      <c r="BD30" t="str">
        <f>IF(Backend!BE57="", "", Backend!BE57)</f>
        <v/>
      </c>
      <c r="BE30" t="str">
        <f>IF(Backend!BF57="", "", Backend!BF57)</f>
        <v/>
      </c>
      <c r="BF30" t="str">
        <f>IF(Backend!BG57="", "", Backend!BG57)</f>
        <v/>
      </c>
      <c r="BG30" t="str">
        <f>IF(Backend!BH57="", "", Backend!BH57)</f>
        <v/>
      </c>
      <c r="BH30" t="str">
        <f>IF(Backend!BI57="", "", Backend!BI57)</f>
        <v/>
      </c>
      <c r="BI30" t="str">
        <f>IF(Backend!BJ57="", "", Backend!BJ57)</f>
        <v/>
      </c>
      <c r="BJ30" t="str">
        <f>IF(Backend!BK57="", "", Backend!BK57)</f>
        <v/>
      </c>
      <c r="BK30" t="str">
        <f>IF(Backend!BL57="", "", Backend!BL57)</f>
        <v/>
      </c>
      <c r="BL30" t="str">
        <f>IF(Backend!BM57="", "", Backend!BM57)</f>
        <v/>
      </c>
      <c r="BM30" t="str">
        <f>IF(Backend!BN57="", "", Backend!BN57)</f>
        <v/>
      </c>
      <c r="BN30" t="str">
        <f>IF(Backend!BO57="", "", Backend!BO57)</f>
        <v/>
      </c>
      <c r="BO30" t="str">
        <f>IF(Backend!BP57="", "", Backend!BP57)</f>
        <v/>
      </c>
      <c r="BP30" t="str">
        <f>IF(Backend!BQ57="", "", Backend!BQ57)</f>
        <v/>
      </c>
      <c r="BQ30" t="str">
        <f>IF(Backend!BR57="", "", Backend!BR57)</f>
        <v/>
      </c>
      <c r="BR30" t="str">
        <f>IF(Backend!BS57="", "", Backend!BS57)</f>
        <v/>
      </c>
      <c r="BS30" t="str">
        <f>IF(Backend!BT57="", "", Backend!BT57)</f>
        <v/>
      </c>
      <c r="BT30" t="str">
        <f>IF(Backend!BU57="", "", Backend!BU57)</f>
        <v/>
      </c>
      <c r="BU30" t="str">
        <f>IF(Backend!BV57="", "", Backend!BV57)</f>
        <v/>
      </c>
      <c r="BV30" t="str">
        <f>IF(Backend!BW57="", "", Backend!BW57)</f>
        <v/>
      </c>
      <c r="BW30" t="str">
        <f>IF(Backend!BX57="", "", Backend!BX57)</f>
        <v/>
      </c>
      <c r="BX30" t="str">
        <f>IF(Backend!BY57="", "", Backend!BY57)</f>
        <v/>
      </c>
      <c r="BY30" t="str">
        <f>IF(Backend!BZ57="", "", Backend!BZ57)</f>
        <v/>
      </c>
      <c r="BZ30" t="str">
        <f>IF(Backend!CA57="", "", Backend!CA57)</f>
        <v/>
      </c>
      <c r="CA30" t="str">
        <f>IF(Backend!CB57="", "", Backend!CB57)</f>
        <v/>
      </c>
      <c r="CB30" t="str">
        <f>IF(Backend!CC57="", "", Backend!CC57)</f>
        <v/>
      </c>
      <c r="CC30" t="str">
        <f>IF(Backend!CD57="", "", Backend!CD57)</f>
        <v/>
      </c>
    </row>
    <row r="31" spans="1:81" x14ac:dyDescent="0.25">
      <c r="A31" s="4" t="str">
        <f>IF(Backend!A58="", "", Backend!A58)</f>
        <v>Autodesk, Inc.</v>
      </c>
      <c r="B31">
        <f>IF(Backend!C58="", "", Backend!C58)</f>
        <v>0.57000989999999996</v>
      </c>
      <c r="C31">
        <f>IF(Backend!D58="", "", Backend!D58)</f>
        <v>0.49197906000000002</v>
      </c>
      <c r="D31">
        <f>IF(Backend!E58="", "", Backend!E58)</f>
        <v>0.18247983000000001</v>
      </c>
      <c r="E31">
        <f>IF(Backend!F58="", "", Backend!F58)</f>
        <v>0.45402867000000002</v>
      </c>
      <c r="F31">
        <f>IF(Backend!G58="", "", Backend!G58)</f>
        <v>0.500421</v>
      </c>
      <c r="G31">
        <f>IF(Backend!H58="", "", Backend!H58)</f>
        <v>6.9559805000000002E-2</v>
      </c>
      <c r="H31">
        <f>IF(Backend!I58="", "", Backend!I58)</f>
        <v>0.55139740000000004</v>
      </c>
      <c r="I31">
        <f>IF(Backend!J58="", "", Backend!J58)</f>
        <v>0.1776095</v>
      </c>
      <c r="J31">
        <f>IF(Backend!K58="", "", Backend!K58)</f>
        <v>0.34777665000000002</v>
      </c>
      <c r="K31">
        <f>IF(Backend!L58="", "", Backend!L58)</f>
        <v>0.46506130000000001</v>
      </c>
      <c r="L31">
        <f>IF(Backend!M58="", "", Backend!M58)</f>
        <v>0.32080665000000003</v>
      </c>
      <c r="M31">
        <f>IF(Backend!N58="", "", Backend!N58)</f>
        <v>0.30139517999999998</v>
      </c>
      <c r="N31">
        <f>IF(Backend!O58="", "", Backend!O58)</f>
        <v>0.20658293</v>
      </c>
      <c r="O31">
        <f>IF(Backend!P58="", "", Backend!P58)</f>
        <v>9.1970579999999996E-2</v>
      </c>
      <c r="P31">
        <f>IF(Backend!Q58="", "", Backend!Q58)</f>
        <v>4.2687595000000002E-2</v>
      </c>
      <c r="Q31">
        <f>IF(Backend!R58="", "", Backend!R58)</f>
        <v>0.35084157999999999</v>
      </c>
      <c r="R31">
        <f>IF(Backend!S58="", "", Backend!S58)</f>
        <v>0.64434785000000006</v>
      </c>
      <c r="S31">
        <f>IF(Backend!T58="", "", Backend!T58)</f>
        <v>0.37196097</v>
      </c>
      <c r="T31">
        <f>IF(Backend!U58="", "", Backend!U58)</f>
        <v>0.43644047000000002</v>
      </c>
      <c r="U31">
        <f>IF(Backend!V58="", "", Backend!V58)</f>
        <v>0.42648733</v>
      </c>
      <c r="V31">
        <f>IF(Backend!W58="", "", Backend!W58)</f>
        <v>0.1792791</v>
      </c>
      <c r="W31">
        <f>IF(Backend!X58="", "", Backend!X58)</f>
        <v>0.28845963000000002</v>
      </c>
      <c r="X31">
        <f>IF(Backend!Y58="", "", Backend!Y58)</f>
        <v>0.43374000000000001</v>
      </c>
      <c r="Y31">
        <f>IF(Backend!Z58="", "", Backend!Z58)</f>
        <v>0.23638722000000001</v>
      </c>
      <c r="Z31">
        <f>IF(Backend!AA58="", "", Backend!AA58)</f>
        <v>4.8849799999999999E-2</v>
      </c>
      <c r="AA31">
        <f>IF(Backend!AB58="", "", Backend!AB58)</f>
        <v>0.23657632000000001</v>
      </c>
      <c r="AB31">
        <f>IF(Backend!AC58="", "", Backend!AC58)</f>
        <v>0.58626734999999996</v>
      </c>
      <c r="AC31">
        <f>IF(Backend!AD58="", "", Backend!AD58)</f>
        <v>1</v>
      </c>
      <c r="AD31">
        <f>IF(Backend!AE58="", "", Backend!AE58)</f>
        <v>0.45234489999999999</v>
      </c>
      <c r="AE31">
        <f>IF(Backend!AF58="", "", Backend!AF58)</f>
        <v>0.20760762999999999</v>
      </c>
      <c r="AF31">
        <f>IF(Backend!AG58="", "", Backend!AG58)</f>
        <v>0.41024860000000002</v>
      </c>
      <c r="AG31">
        <f>IF(Backend!AH58="", "", Backend!AH58)</f>
        <v>0.55686049999999998</v>
      </c>
      <c r="AH31" t="str">
        <f>IF(Backend!AI58="", "", Backend!AI58)</f>
        <v/>
      </c>
      <c r="AI31" t="str">
        <f>IF(Backend!AJ58="", "", Backend!AJ58)</f>
        <v/>
      </c>
      <c r="AJ31" t="str">
        <f>IF(Backend!AK58="", "", Backend!AK58)</f>
        <v/>
      </c>
      <c r="AK31" t="str">
        <f>IF(Backend!AL58="", "", Backend!AL58)</f>
        <v/>
      </c>
      <c r="AL31" t="str">
        <f>IF(Backend!AM58="", "", Backend!AM58)</f>
        <v/>
      </c>
      <c r="AM31" t="str">
        <f>IF(Backend!AN58="", "", Backend!AN58)</f>
        <v/>
      </c>
      <c r="AN31" t="str">
        <f>IF(Backend!AO58="", "", Backend!AO58)</f>
        <v/>
      </c>
      <c r="AO31" t="str">
        <f>IF(Backend!AP58="", "", Backend!AP58)</f>
        <v/>
      </c>
      <c r="AP31" t="str">
        <f>IF(Backend!AQ58="", "", Backend!AQ58)</f>
        <v/>
      </c>
      <c r="AQ31" t="str">
        <f>IF(Backend!AR58="", "", Backend!AR58)</f>
        <v/>
      </c>
      <c r="AR31" t="str">
        <f>IF(Backend!AS58="", "", Backend!AS58)</f>
        <v/>
      </c>
      <c r="AS31" t="str">
        <f>IF(Backend!AT58="", "", Backend!AT58)</f>
        <v/>
      </c>
      <c r="AT31" t="str">
        <f>IF(Backend!AU58="", "", Backend!AU58)</f>
        <v/>
      </c>
      <c r="AU31" t="str">
        <f>IF(Backend!AV58="", "", Backend!AV58)</f>
        <v/>
      </c>
      <c r="AV31" t="str">
        <f>IF(Backend!AW58="", "", Backend!AW58)</f>
        <v/>
      </c>
      <c r="AW31" t="str">
        <f>IF(Backend!AX58="", "", Backend!AX58)</f>
        <v/>
      </c>
      <c r="AX31" t="str">
        <f>IF(Backend!AY58="", "", Backend!AY58)</f>
        <v/>
      </c>
      <c r="AY31" t="str">
        <f>IF(Backend!AZ58="", "", Backend!AZ58)</f>
        <v/>
      </c>
      <c r="AZ31" t="str">
        <f>IF(Backend!BA58="", "", Backend!BA58)</f>
        <v/>
      </c>
      <c r="BA31" t="str">
        <f>IF(Backend!BB58="", "", Backend!BB58)</f>
        <v/>
      </c>
      <c r="BB31" t="str">
        <f>IF(Backend!BC58="", "", Backend!BC58)</f>
        <v/>
      </c>
      <c r="BC31" t="str">
        <f>IF(Backend!BD58="", "", Backend!BD58)</f>
        <v/>
      </c>
      <c r="BD31" t="str">
        <f>IF(Backend!BE58="", "", Backend!BE58)</f>
        <v/>
      </c>
      <c r="BE31" t="str">
        <f>IF(Backend!BF58="", "", Backend!BF58)</f>
        <v/>
      </c>
      <c r="BF31" t="str">
        <f>IF(Backend!BG58="", "", Backend!BG58)</f>
        <v/>
      </c>
      <c r="BG31" t="str">
        <f>IF(Backend!BH58="", "", Backend!BH58)</f>
        <v/>
      </c>
      <c r="BH31" t="str">
        <f>IF(Backend!BI58="", "", Backend!BI58)</f>
        <v/>
      </c>
      <c r="BI31" t="str">
        <f>IF(Backend!BJ58="", "", Backend!BJ58)</f>
        <v/>
      </c>
      <c r="BJ31" t="str">
        <f>IF(Backend!BK58="", "", Backend!BK58)</f>
        <v/>
      </c>
      <c r="BK31" t="str">
        <f>IF(Backend!BL58="", "", Backend!BL58)</f>
        <v/>
      </c>
      <c r="BL31" t="str">
        <f>IF(Backend!BM58="", "", Backend!BM58)</f>
        <v/>
      </c>
      <c r="BM31" t="str">
        <f>IF(Backend!BN58="", "", Backend!BN58)</f>
        <v/>
      </c>
      <c r="BN31" t="str">
        <f>IF(Backend!BO58="", "", Backend!BO58)</f>
        <v/>
      </c>
      <c r="BO31" t="str">
        <f>IF(Backend!BP58="", "", Backend!BP58)</f>
        <v/>
      </c>
      <c r="BP31" t="str">
        <f>IF(Backend!BQ58="", "", Backend!BQ58)</f>
        <v/>
      </c>
      <c r="BQ31" t="str">
        <f>IF(Backend!BR58="", "", Backend!BR58)</f>
        <v/>
      </c>
      <c r="BR31" t="str">
        <f>IF(Backend!BS58="", "", Backend!BS58)</f>
        <v/>
      </c>
      <c r="BS31" t="str">
        <f>IF(Backend!BT58="", "", Backend!BT58)</f>
        <v/>
      </c>
      <c r="BT31" t="str">
        <f>IF(Backend!BU58="", "", Backend!BU58)</f>
        <v/>
      </c>
      <c r="BU31" t="str">
        <f>IF(Backend!BV58="", "", Backend!BV58)</f>
        <v/>
      </c>
      <c r="BV31" t="str">
        <f>IF(Backend!BW58="", "", Backend!BW58)</f>
        <v/>
      </c>
      <c r="BW31" t="str">
        <f>IF(Backend!BX58="", "", Backend!BX58)</f>
        <v/>
      </c>
      <c r="BX31" t="str">
        <f>IF(Backend!BY58="", "", Backend!BY58)</f>
        <v/>
      </c>
      <c r="BY31" t="str">
        <f>IF(Backend!BZ58="", "", Backend!BZ58)</f>
        <v/>
      </c>
      <c r="BZ31" t="str">
        <f>IF(Backend!CA58="", "", Backend!CA58)</f>
        <v/>
      </c>
      <c r="CA31" t="str">
        <f>IF(Backend!CB58="", "", Backend!CB58)</f>
        <v/>
      </c>
      <c r="CB31" t="str">
        <f>IF(Backend!CC58="", "", Backend!CC58)</f>
        <v/>
      </c>
      <c r="CC31" t="str">
        <f>IF(Backend!CD58="", "", Backend!CD58)</f>
        <v/>
      </c>
    </row>
    <row r="32" spans="1:81" x14ac:dyDescent="0.25">
      <c r="A32" s="4" t="str">
        <f>IF(Backend!A59="", "", Backend!A59)</f>
        <v>Booking Holdings Inc.</v>
      </c>
      <c r="B32">
        <f>IF(Backend!C59="", "", Backend!C59)</f>
        <v>0.39047443999999998</v>
      </c>
      <c r="C32">
        <f>IF(Backend!D59="", "", Backend!D59)</f>
        <v>0.39714432</v>
      </c>
      <c r="D32">
        <f>IF(Backend!E59="", "", Backend!E59)</f>
        <v>9.8445820000000003E-2</v>
      </c>
      <c r="E32">
        <f>IF(Backend!F59="", "", Backend!F59)</f>
        <v>0.51456714000000003</v>
      </c>
      <c r="F32">
        <f>IF(Backend!G59="", "", Backend!G59)</f>
        <v>0.56643220000000005</v>
      </c>
      <c r="G32">
        <f>IF(Backend!H59="", "", Backend!H59)</f>
        <v>6.8910553999999999E-2</v>
      </c>
      <c r="H32">
        <f>IF(Backend!I59="", "", Backend!I59)</f>
        <v>0.45197335</v>
      </c>
      <c r="I32">
        <f>IF(Backend!J59="", "", Backend!J59)</f>
        <v>0.17202592</v>
      </c>
      <c r="J32">
        <f>IF(Backend!K59="", "", Backend!K59)</f>
        <v>0.49389368</v>
      </c>
      <c r="K32">
        <f>IF(Backend!L59="", "", Backend!L59)</f>
        <v>0.3971287</v>
      </c>
      <c r="L32">
        <f>IF(Backend!M59="", "", Backend!M59)</f>
        <v>0.39641567999999999</v>
      </c>
      <c r="M32">
        <f>IF(Backend!N59="", "", Backend!N59)</f>
        <v>0.18981888999999999</v>
      </c>
      <c r="N32">
        <f>IF(Backend!O59="", "", Backend!O59)</f>
        <v>0.40367832999999997</v>
      </c>
      <c r="O32">
        <f>IF(Backend!P59="", "", Backend!P59)</f>
        <v>3.8462575999999998E-2</v>
      </c>
      <c r="P32">
        <f>IF(Backend!Q59="", "", Backend!Q59)</f>
        <v>8.1373189999999998E-2</v>
      </c>
      <c r="Q32">
        <f>IF(Backend!R59="", "", Backend!R59)</f>
        <v>0.33963670000000001</v>
      </c>
      <c r="R32">
        <f>IF(Backend!S59="", "", Backend!S59)</f>
        <v>0.44671327</v>
      </c>
      <c r="S32">
        <f>IF(Backend!T59="", "", Backend!T59)</f>
        <v>0.31826599999999999</v>
      </c>
      <c r="T32">
        <f>IF(Backend!U59="", "", Backend!U59)</f>
        <v>0.35342522999999998</v>
      </c>
      <c r="U32">
        <f>IF(Backend!V59="", "", Backend!V59)</f>
        <v>0.29217254999999998</v>
      </c>
      <c r="V32">
        <f>IF(Backend!W59="", "", Backend!W59)</f>
        <v>0.15277742999999999</v>
      </c>
      <c r="W32">
        <f>IF(Backend!X59="", "", Backend!X59)</f>
        <v>0.28768866999999998</v>
      </c>
      <c r="X32">
        <f>IF(Backend!Y59="", "", Backend!Y59)</f>
        <v>0.38031825000000002</v>
      </c>
      <c r="Y32">
        <f>IF(Backend!Z59="", "", Backend!Z59)</f>
        <v>0.1947729</v>
      </c>
      <c r="Z32">
        <f>IF(Backend!AA59="", "", Backend!AA59)</f>
        <v>0.12504547999999999</v>
      </c>
      <c r="AA32">
        <f>IF(Backend!AB59="", "", Backend!AB59)</f>
        <v>0.13799842000000001</v>
      </c>
      <c r="AB32">
        <f>IF(Backend!AC59="", "", Backend!AC59)</f>
        <v>0.36752674000000002</v>
      </c>
      <c r="AC32">
        <f>IF(Backend!AD59="", "", Backend!AD59)</f>
        <v>0.45234489999999999</v>
      </c>
      <c r="AD32">
        <f>IF(Backend!AE59="", "", Backend!AE59)</f>
        <v>1</v>
      </c>
      <c r="AE32">
        <f>IF(Backend!AF59="", "", Backend!AF59)</f>
        <v>0.36715543</v>
      </c>
      <c r="AF32">
        <f>IF(Backend!AG59="", "", Backend!AG59)</f>
        <v>0.27548655999999999</v>
      </c>
      <c r="AG32">
        <f>IF(Backend!AH59="", "", Backend!AH59)</f>
        <v>0.39787202999999999</v>
      </c>
      <c r="AH32" t="str">
        <f>IF(Backend!AI59="", "", Backend!AI59)</f>
        <v/>
      </c>
      <c r="AI32" t="str">
        <f>IF(Backend!AJ59="", "", Backend!AJ59)</f>
        <v/>
      </c>
      <c r="AJ32" t="str">
        <f>IF(Backend!AK59="", "", Backend!AK59)</f>
        <v/>
      </c>
      <c r="AK32" t="str">
        <f>IF(Backend!AL59="", "", Backend!AL59)</f>
        <v/>
      </c>
      <c r="AL32" t="str">
        <f>IF(Backend!AM59="", "", Backend!AM59)</f>
        <v/>
      </c>
      <c r="AM32" t="str">
        <f>IF(Backend!AN59="", "", Backend!AN59)</f>
        <v/>
      </c>
      <c r="AN32" t="str">
        <f>IF(Backend!AO59="", "", Backend!AO59)</f>
        <v/>
      </c>
      <c r="AO32" t="str">
        <f>IF(Backend!AP59="", "", Backend!AP59)</f>
        <v/>
      </c>
      <c r="AP32" t="str">
        <f>IF(Backend!AQ59="", "", Backend!AQ59)</f>
        <v/>
      </c>
      <c r="AQ32" t="str">
        <f>IF(Backend!AR59="", "", Backend!AR59)</f>
        <v/>
      </c>
      <c r="AR32" t="str">
        <f>IF(Backend!AS59="", "", Backend!AS59)</f>
        <v/>
      </c>
      <c r="AS32" t="str">
        <f>IF(Backend!AT59="", "", Backend!AT59)</f>
        <v/>
      </c>
      <c r="AT32" t="str">
        <f>IF(Backend!AU59="", "", Backend!AU59)</f>
        <v/>
      </c>
      <c r="AU32" t="str">
        <f>IF(Backend!AV59="", "", Backend!AV59)</f>
        <v/>
      </c>
      <c r="AV32" t="str">
        <f>IF(Backend!AW59="", "", Backend!AW59)</f>
        <v/>
      </c>
      <c r="AW32" t="str">
        <f>IF(Backend!AX59="", "", Backend!AX59)</f>
        <v/>
      </c>
      <c r="AX32" t="str">
        <f>IF(Backend!AY59="", "", Backend!AY59)</f>
        <v/>
      </c>
      <c r="AY32" t="str">
        <f>IF(Backend!AZ59="", "", Backend!AZ59)</f>
        <v/>
      </c>
      <c r="AZ32" t="str">
        <f>IF(Backend!BA59="", "", Backend!BA59)</f>
        <v/>
      </c>
      <c r="BA32" t="str">
        <f>IF(Backend!BB59="", "", Backend!BB59)</f>
        <v/>
      </c>
      <c r="BB32" t="str">
        <f>IF(Backend!BC59="", "", Backend!BC59)</f>
        <v/>
      </c>
      <c r="BC32" t="str">
        <f>IF(Backend!BD59="", "", Backend!BD59)</f>
        <v/>
      </c>
      <c r="BD32" t="str">
        <f>IF(Backend!BE59="", "", Backend!BE59)</f>
        <v/>
      </c>
      <c r="BE32" t="str">
        <f>IF(Backend!BF59="", "", Backend!BF59)</f>
        <v/>
      </c>
      <c r="BF32" t="str">
        <f>IF(Backend!BG59="", "", Backend!BG59)</f>
        <v/>
      </c>
      <c r="BG32" t="str">
        <f>IF(Backend!BH59="", "", Backend!BH59)</f>
        <v/>
      </c>
      <c r="BH32" t="str">
        <f>IF(Backend!BI59="", "", Backend!BI59)</f>
        <v/>
      </c>
      <c r="BI32" t="str">
        <f>IF(Backend!BJ59="", "", Backend!BJ59)</f>
        <v/>
      </c>
      <c r="BJ32" t="str">
        <f>IF(Backend!BK59="", "", Backend!BK59)</f>
        <v/>
      </c>
      <c r="BK32" t="str">
        <f>IF(Backend!BL59="", "", Backend!BL59)</f>
        <v/>
      </c>
      <c r="BL32" t="str">
        <f>IF(Backend!BM59="", "", Backend!BM59)</f>
        <v/>
      </c>
      <c r="BM32" t="str">
        <f>IF(Backend!BN59="", "", Backend!BN59)</f>
        <v/>
      </c>
      <c r="BN32" t="str">
        <f>IF(Backend!BO59="", "", Backend!BO59)</f>
        <v/>
      </c>
      <c r="BO32" t="str">
        <f>IF(Backend!BP59="", "", Backend!BP59)</f>
        <v/>
      </c>
      <c r="BP32" t="str">
        <f>IF(Backend!BQ59="", "", Backend!BQ59)</f>
        <v/>
      </c>
      <c r="BQ32" t="str">
        <f>IF(Backend!BR59="", "", Backend!BR59)</f>
        <v/>
      </c>
      <c r="BR32" t="str">
        <f>IF(Backend!BS59="", "", Backend!BS59)</f>
        <v/>
      </c>
      <c r="BS32" t="str">
        <f>IF(Backend!BT59="", "", Backend!BT59)</f>
        <v/>
      </c>
      <c r="BT32" t="str">
        <f>IF(Backend!BU59="", "", Backend!BU59)</f>
        <v/>
      </c>
      <c r="BU32" t="str">
        <f>IF(Backend!BV59="", "", Backend!BV59)</f>
        <v/>
      </c>
      <c r="BV32" t="str">
        <f>IF(Backend!BW59="", "", Backend!BW59)</f>
        <v/>
      </c>
      <c r="BW32" t="str">
        <f>IF(Backend!BX59="", "", Backend!BX59)</f>
        <v/>
      </c>
      <c r="BX32" t="str">
        <f>IF(Backend!BY59="", "", Backend!BY59)</f>
        <v/>
      </c>
      <c r="BY32" t="str">
        <f>IF(Backend!BZ59="", "", Backend!BZ59)</f>
        <v/>
      </c>
      <c r="BZ32" t="str">
        <f>IF(Backend!CA59="", "", Backend!CA59)</f>
        <v/>
      </c>
      <c r="CA32" t="str">
        <f>IF(Backend!CB59="", "", Backend!CB59)</f>
        <v/>
      </c>
      <c r="CB32" t="str">
        <f>IF(Backend!CC59="", "", Backend!CC59)</f>
        <v/>
      </c>
      <c r="CC32" t="str">
        <f>IF(Backend!CD59="", "", Backend!CD59)</f>
        <v/>
      </c>
    </row>
    <row r="33" spans="1:81" x14ac:dyDescent="0.25">
      <c r="A33" s="4" t="str">
        <f>IF(Backend!A60="", "", Backend!A60)</f>
        <v>CTS Eventim AG &amp; Co. KGaA</v>
      </c>
      <c r="B33">
        <f>IF(Backend!C60="", "", Backend!C60)</f>
        <v>0.14743001999999999</v>
      </c>
      <c r="C33">
        <f>IF(Backend!D60="", "", Backend!D60)</f>
        <v>0.14764051</v>
      </c>
      <c r="D33">
        <f>IF(Backend!E60="", "", Backend!E60)</f>
        <v>0.2795783</v>
      </c>
      <c r="E33">
        <f>IF(Backend!F60="", "", Backend!F60)</f>
        <v>0.26409146</v>
      </c>
      <c r="F33">
        <f>IF(Backend!G60="", "", Backend!G60)</f>
        <v>0.29873430000000001</v>
      </c>
      <c r="G33">
        <f>IF(Backend!H60="", "", Backend!H60)</f>
        <v>0.18897522999999999</v>
      </c>
      <c r="H33">
        <f>IF(Backend!I60="", "", Backend!I60)</f>
        <v>0.26285029999999998</v>
      </c>
      <c r="I33">
        <f>IF(Backend!J60="", "", Backend!J60)</f>
        <v>0.36710357999999998</v>
      </c>
      <c r="J33">
        <f>IF(Backend!K60="", "", Backend!K60)</f>
        <v>0.26928530000000001</v>
      </c>
      <c r="K33">
        <f>IF(Backend!L60="", "", Backend!L60)</f>
        <v>0.17484505</v>
      </c>
      <c r="L33">
        <f>IF(Backend!M60="", "", Backend!M60)</f>
        <v>0.20724936999999999</v>
      </c>
      <c r="M33">
        <f>IF(Backend!N60="", "", Backend!N60)</f>
        <v>0.34089434000000002</v>
      </c>
      <c r="N33">
        <f>IF(Backend!O60="", "", Backend!O60)</f>
        <v>0.50677749999999999</v>
      </c>
      <c r="O33">
        <f>IF(Backend!P60="", "", Backend!P60)</f>
        <v>0.1849121</v>
      </c>
      <c r="P33">
        <f>IF(Backend!Q60="", "", Backend!Q60)</f>
        <v>0.12958428</v>
      </c>
      <c r="Q33">
        <f>IF(Backend!R60="", "", Backend!R60)</f>
        <v>0.27277034999999999</v>
      </c>
      <c r="R33">
        <f>IF(Backend!S60="", "", Backend!S60)</f>
        <v>0.21181016999999999</v>
      </c>
      <c r="S33">
        <f>IF(Backend!T60="", "", Backend!T60)</f>
        <v>0.16762278999999999</v>
      </c>
      <c r="T33">
        <f>IF(Backend!U60="", "", Backend!U60)</f>
        <v>0.19715057</v>
      </c>
      <c r="U33">
        <f>IF(Backend!V60="", "", Backend!V60)</f>
        <v>0.14628189999999999</v>
      </c>
      <c r="V33">
        <f>IF(Backend!W60="", "", Backend!W60)</f>
        <v>0.122030325</v>
      </c>
      <c r="W33">
        <f>IF(Backend!X60="", "", Backend!X60)</f>
        <v>0.44539519999999999</v>
      </c>
      <c r="X33">
        <f>IF(Backend!Y60="", "", Backend!Y60)</f>
        <v>0.20712267000000001</v>
      </c>
      <c r="Y33">
        <f>IF(Backend!Z60="", "", Backend!Z60)</f>
        <v>7.3843729999999996E-2</v>
      </c>
      <c r="Z33">
        <f>IF(Backend!AA60="", "", Backend!AA60)</f>
        <v>0.10357218999999999</v>
      </c>
      <c r="AA33">
        <f>IF(Backend!AB60="", "", Backend!AB60)</f>
        <v>0.26178279999999998</v>
      </c>
      <c r="AB33">
        <f>IF(Backend!AC60="", "", Backend!AC60)</f>
        <v>0.13028925999999999</v>
      </c>
      <c r="AC33">
        <f>IF(Backend!AD60="", "", Backend!AD60)</f>
        <v>0.20760762999999999</v>
      </c>
      <c r="AD33">
        <f>IF(Backend!AE60="", "", Backend!AE60)</f>
        <v>0.36715543</v>
      </c>
      <c r="AE33">
        <f>IF(Backend!AF60="", "", Backend!AF60)</f>
        <v>1</v>
      </c>
      <c r="AF33">
        <f>IF(Backend!AG60="", "", Backend!AG60)</f>
        <v>9.8694519999999994E-2</v>
      </c>
      <c r="AG33">
        <f>IF(Backend!AH60="", "", Backend!AH60)</f>
        <v>0.20587154999999999</v>
      </c>
      <c r="AH33" t="str">
        <f>IF(Backend!AI60="", "", Backend!AI60)</f>
        <v/>
      </c>
      <c r="AI33" t="str">
        <f>IF(Backend!AJ60="", "", Backend!AJ60)</f>
        <v/>
      </c>
      <c r="AJ33" t="str">
        <f>IF(Backend!AK60="", "", Backend!AK60)</f>
        <v/>
      </c>
      <c r="AK33" t="str">
        <f>IF(Backend!AL60="", "", Backend!AL60)</f>
        <v/>
      </c>
      <c r="AL33" t="str">
        <f>IF(Backend!AM60="", "", Backend!AM60)</f>
        <v/>
      </c>
      <c r="AM33" t="str">
        <f>IF(Backend!AN60="", "", Backend!AN60)</f>
        <v/>
      </c>
      <c r="AN33" t="str">
        <f>IF(Backend!AO60="", "", Backend!AO60)</f>
        <v/>
      </c>
      <c r="AO33" t="str">
        <f>IF(Backend!AP60="", "", Backend!AP60)</f>
        <v/>
      </c>
      <c r="AP33" t="str">
        <f>IF(Backend!AQ60="", "", Backend!AQ60)</f>
        <v/>
      </c>
      <c r="AQ33" t="str">
        <f>IF(Backend!AR60="", "", Backend!AR60)</f>
        <v/>
      </c>
      <c r="AR33" t="str">
        <f>IF(Backend!AS60="", "", Backend!AS60)</f>
        <v/>
      </c>
      <c r="AS33" t="str">
        <f>IF(Backend!AT60="", "", Backend!AT60)</f>
        <v/>
      </c>
      <c r="AT33" t="str">
        <f>IF(Backend!AU60="", "", Backend!AU60)</f>
        <v/>
      </c>
      <c r="AU33" t="str">
        <f>IF(Backend!AV60="", "", Backend!AV60)</f>
        <v/>
      </c>
      <c r="AV33" t="str">
        <f>IF(Backend!AW60="", "", Backend!AW60)</f>
        <v/>
      </c>
      <c r="AW33" t="str">
        <f>IF(Backend!AX60="", "", Backend!AX60)</f>
        <v/>
      </c>
      <c r="AX33" t="str">
        <f>IF(Backend!AY60="", "", Backend!AY60)</f>
        <v/>
      </c>
      <c r="AY33" t="str">
        <f>IF(Backend!AZ60="", "", Backend!AZ60)</f>
        <v/>
      </c>
      <c r="AZ33" t="str">
        <f>IF(Backend!BA60="", "", Backend!BA60)</f>
        <v/>
      </c>
      <c r="BA33" t="str">
        <f>IF(Backend!BB60="", "", Backend!BB60)</f>
        <v/>
      </c>
      <c r="BB33" t="str">
        <f>IF(Backend!BC60="", "", Backend!BC60)</f>
        <v/>
      </c>
      <c r="BC33" t="str">
        <f>IF(Backend!BD60="", "", Backend!BD60)</f>
        <v/>
      </c>
      <c r="BD33" t="str">
        <f>IF(Backend!BE60="", "", Backend!BE60)</f>
        <v/>
      </c>
      <c r="BE33" t="str">
        <f>IF(Backend!BF60="", "", Backend!BF60)</f>
        <v/>
      </c>
      <c r="BF33" t="str">
        <f>IF(Backend!BG60="", "", Backend!BG60)</f>
        <v/>
      </c>
      <c r="BG33" t="str">
        <f>IF(Backend!BH60="", "", Backend!BH60)</f>
        <v/>
      </c>
      <c r="BH33" t="str">
        <f>IF(Backend!BI60="", "", Backend!BI60)</f>
        <v/>
      </c>
      <c r="BI33" t="str">
        <f>IF(Backend!BJ60="", "", Backend!BJ60)</f>
        <v/>
      </c>
      <c r="BJ33" t="str">
        <f>IF(Backend!BK60="", "", Backend!BK60)</f>
        <v/>
      </c>
      <c r="BK33" t="str">
        <f>IF(Backend!BL60="", "", Backend!BL60)</f>
        <v/>
      </c>
      <c r="BL33" t="str">
        <f>IF(Backend!BM60="", "", Backend!BM60)</f>
        <v/>
      </c>
      <c r="BM33" t="str">
        <f>IF(Backend!BN60="", "", Backend!BN60)</f>
        <v/>
      </c>
      <c r="BN33" t="str">
        <f>IF(Backend!BO60="", "", Backend!BO60)</f>
        <v/>
      </c>
      <c r="BO33" t="str">
        <f>IF(Backend!BP60="", "", Backend!BP60)</f>
        <v/>
      </c>
      <c r="BP33" t="str">
        <f>IF(Backend!BQ60="", "", Backend!BQ60)</f>
        <v/>
      </c>
      <c r="BQ33" t="str">
        <f>IF(Backend!BR60="", "", Backend!BR60)</f>
        <v/>
      </c>
      <c r="BR33" t="str">
        <f>IF(Backend!BS60="", "", Backend!BS60)</f>
        <v/>
      </c>
      <c r="BS33" t="str">
        <f>IF(Backend!BT60="", "", Backend!BT60)</f>
        <v/>
      </c>
      <c r="BT33" t="str">
        <f>IF(Backend!BU60="", "", Backend!BU60)</f>
        <v/>
      </c>
      <c r="BU33" t="str">
        <f>IF(Backend!BV60="", "", Backend!BV60)</f>
        <v/>
      </c>
      <c r="BV33" t="str">
        <f>IF(Backend!BW60="", "", Backend!BW60)</f>
        <v/>
      </c>
      <c r="BW33" t="str">
        <f>IF(Backend!BX60="", "", Backend!BX60)</f>
        <v/>
      </c>
      <c r="BX33" t="str">
        <f>IF(Backend!BY60="", "", Backend!BY60)</f>
        <v/>
      </c>
      <c r="BY33" t="str">
        <f>IF(Backend!BZ60="", "", Backend!BZ60)</f>
        <v/>
      </c>
      <c r="BZ33" t="str">
        <f>IF(Backend!CA60="", "", Backend!CA60)</f>
        <v/>
      </c>
      <c r="CA33" t="str">
        <f>IF(Backend!CB60="", "", Backend!CB60)</f>
        <v/>
      </c>
      <c r="CB33" t="str">
        <f>IF(Backend!CC60="", "", Backend!CC60)</f>
        <v/>
      </c>
      <c r="CC33" t="str">
        <f>IF(Backend!CD60="", "", Backend!CD60)</f>
        <v/>
      </c>
    </row>
    <row r="34" spans="1:81" x14ac:dyDescent="0.25">
      <c r="A34" s="4" t="str">
        <f>IF(Backend!A61="", "", Backend!A61)</f>
        <v>Sherwin-Williams Company</v>
      </c>
      <c r="B34">
        <f>IF(Backend!C61="", "", Backend!C61)</f>
        <v>0.35503154999999997</v>
      </c>
      <c r="C34">
        <f>IF(Backend!D61="", "", Backend!D61)</f>
        <v>0.26885998</v>
      </c>
      <c r="D34">
        <f>IF(Backend!E61="", "", Backend!E61)</f>
        <v>0.1165571</v>
      </c>
      <c r="E34">
        <f>IF(Backend!F61="", "", Backend!F61)</f>
        <v>0.39198723000000002</v>
      </c>
      <c r="F34">
        <f>IF(Backend!G61="", "", Backend!G61)</f>
        <v>0.38738151999999998</v>
      </c>
      <c r="G34">
        <f>IF(Backend!H61="", "", Backend!H61)</f>
        <v>0.13355765999999999</v>
      </c>
      <c r="H34">
        <f>IF(Backend!I61="", "", Backend!I61)</f>
        <v>0.34209198000000002</v>
      </c>
      <c r="I34">
        <f>IF(Backend!J61="", "", Backend!J61)</f>
        <v>0.14558794</v>
      </c>
      <c r="J34">
        <f>IF(Backend!K61="", "", Backend!K61)</f>
        <v>0.28647375000000003</v>
      </c>
      <c r="K34">
        <f>IF(Backend!L61="", "", Backend!L61)</f>
        <v>0.25789430000000002</v>
      </c>
      <c r="L34">
        <f>IF(Backend!M61="", "", Backend!M61)</f>
        <v>0.27418944000000001</v>
      </c>
      <c r="M34">
        <f>IF(Backend!N61="", "", Backend!N61)</f>
        <v>0.31370189999999998</v>
      </c>
      <c r="N34">
        <f>IF(Backend!O61="", "", Backend!O61)</f>
        <v>0.17269012</v>
      </c>
      <c r="O34">
        <f>IF(Backend!P61="", "", Backend!P61)</f>
        <v>0.14701863000000001</v>
      </c>
      <c r="P34">
        <f>IF(Backend!Q61="", "", Backend!Q61)</f>
        <v>9.4929490000000005E-3</v>
      </c>
      <c r="Q34">
        <f>IF(Backend!R61="", "", Backend!R61)</f>
        <v>0.23394033</v>
      </c>
      <c r="R34">
        <f>IF(Backend!S61="", "", Backend!S61)</f>
        <v>0.39583263000000002</v>
      </c>
      <c r="S34">
        <f>IF(Backend!T61="", "", Backend!T61)</f>
        <v>0.25086343</v>
      </c>
      <c r="T34">
        <f>IF(Backend!U61="", "", Backend!U61)</f>
        <v>0.41013709999999998</v>
      </c>
      <c r="U34">
        <f>IF(Backend!V61="", "", Backend!V61)</f>
        <v>0.43629213999999999</v>
      </c>
      <c r="V34">
        <f>IF(Backend!W61="", "", Backend!W61)</f>
        <v>0.121919975</v>
      </c>
      <c r="W34">
        <f>IF(Backend!X61="", "", Backend!X61)</f>
        <v>0.2452502</v>
      </c>
      <c r="X34">
        <f>IF(Backend!Y61="", "", Backend!Y61)</f>
        <v>0.51760035999999998</v>
      </c>
      <c r="Y34">
        <f>IF(Backend!Z61="", "", Backend!Z61)</f>
        <v>0.31779498</v>
      </c>
      <c r="Z34">
        <f>IF(Backend!AA61="", "", Backend!AA61)</f>
        <v>4.9287044000000002E-2</v>
      </c>
      <c r="AA34">
        <f>IF(Backend!AB61="", "", Backend!AB61)</f>
        <v>0.19629178999999999</v>
      </c>
      <c r="AB34">
        <f>IF(Backend!AC61="", "", Backend!AC61)</f>
        <v>0.33166748000000001</v>
      </c>
      <c r="AC34">
        <f>IF(Backend!AD61="", "", Backend!AD61)</f>
        <v>0.41024860000000002</v>
      </c>
      <c r="AD34">
        <f>IF(Backend!AE61="", "", Backend!AE61)</f>
        <v>0.27548655999999999</v>
      </c>
      <c r="AE34">
        <f>IF(Backend!AF61="", "", Backend!AF61)</f>
        <v>9.8694519999999994E-2</v>
      </c>
      <c r="AF34">
        <f>IF(Backend!AG61="", "", Backend!AG61)</f>
        <v>1</v>
      </c>
      <c r="AG34">
        <f>IF(Backend!AH61="", "", Backend!AH61)</f>
        <v>0.56051600000000001</v>
      </c>
      <c r="AH34" t="str">
        <f>IF(Backend!AI61="", "", Backend!AI61)</f>
        <v/>
      </c>
      <c r="AI34" t="str">
        <f>IF(Backend!AJ61="", "", Backend!AJ61)</f>
        <v/>
      </c>
      <c r="AJ34" t="str">
        <f>IF(Backend!AK61="", "", Backend!AK61)</f>
        <v/>
      </c>
      <c r="AK34" t="str">
        <f>IF(Backend!AL61="", "", Backend!AL61)</f>
        <v/>
      </c>
      <c r="AL34" t="str">
        <f>IF(Backend!AM61="", "", Backend!AM61)</f>
        <v/>
      </c>
      <c r="AM34" t="str">
        <f>IF(Backend!AN61="", "", Backend!AN61)</f>
        <v/>
      </c>
      <c r="AN34" t="str">
        <f>IF(Backend!AO61="", "", Backend!AO61)</f>
        <v/>
      </c>
      <c r="AO34" t="str">
        <f>IF(Backend!AP61="", "", Backend!AP61)</f>
        <v/>
      </c>
      <c r="AP34" t="str">
        <f>IF(Backend!AQ61="", "", Backend!AQ61)</f>
        <v/>
      </c>
      <c r="AQ34" t="str">
        <f>IF(Backend!AR61="", "", Backend!AR61)</f>
        <v/>
      </c>
      <c r="AR34" t="str">
        <f>IF(Backend!AS61="", "", Backend!AS61)</f>
        <v/>
      </c>
      <c r="AS34" t="str">
        <f>IF(Backend!AT61="", "", Backend!AT61)</f>
        <v/>
      </c>
      <c r="AT34" t="str">
        <f>IF(Backend!AU61="", "", Backend!AU61)</f>
        <v/>
      </c>
      <c r="AU34" t="str">
        <f>IF(Backend!AV61="", "", Backend!AV61)</f>
        <v/>
      </c>
      <c r="AV34" t="str">
        <f>IF(Backend!AW61="", "", Backend!AW61)</f>
        <v/>
      </c>
      <c r="AW34" t="str">
        <f>IF(Backend!AX61="", "", Backend!AX61)</f>
        <v/>
      </c>
      <c r="AX34" t="str">
        <f>IF(Backend!AY61="", "", Backend!AY61)</f>
        <v/>
      </c>
      <c r="AY34" t="str">
        <f>IF(Backend!AZ61="", "", Backend!AZ61)</f>
        <v/>
      </c>
      <c r="AZ34" t="str">
        <f>IF(Backend!BA61="", "", Backend!BA61)</f>
        <v/>
      </c>
      <c r="BA34" t="str">
        <f>IF(Backend!BB61="", "", Backend!BB61)</f>
        <v/>
      </c>
      <c r="BB34" t="str">
        <f>IF(Backend!BC61="", "", Backend!BC61)</f>
        <v/>
      </c>
      <c r="BC34" t="str">
        <f>IF(Backend!BD61="", "", Backend!BD61)</f>
        <v/>
      </c>
      <c r="BD34" t="str">
        <f>IF(Backend!BE61="", "", Backend!BE61)</f>
        <v/>
      </c>
      <c r="BE34" t="str">
        <f>IF(Backend!BF61="", "", Backend!BF61)</f>
        <v/>
      </c>
      <c r="BF34" t="str">
        <f>IF(Backend!BG61="", "", Backend!BG61)</f>
        <v/>
      </c>
      <c r="BG34" t="str">
        <f>IF(Backend!BH61="", "", Backend!BH61)</f>
        <v/>
      </c>
      <c r="BH34" t="str">
        <f>IF(Backend!BI61="", "", Backend!BI61)</f>
        <v/>
      </c>
      <c r="BI34" t="str">
        <f>IF(Backend!BJ61="", "", Backend!BJ61)</f>
        <v/>
      </c>
      <c r="BJ34" t="str">
        <f>IF(Backend!BK61="", "", Backend!BK61)</f>
        <v/>
      </c>
      <c r="BK34" t="str">
        <f>IF(Backend!BL61="", "", Backend!BL61)</f>
        <v/>
      </c>
      <c r="BL34" t="str">
        <f>IF(Backend!BM61="", "", Backend!BM61)</f>
        <v/>
      </c>
      <c r="BM34" t="str">
        <f>IF(Backend!BN61="", "", Backend!BN61)</f>
        <v/>
      </c>
      <c r="BN34" t="str">
        <f>IF(Backend!BO61="", "", Backend!BO61)</f>
        <v/>
      </c>
      <c r="BO34" t="str">
        <f>IF(Backend!BP61="", "", Backend!BP61)</f>
        <v/>
      </c>
      <c r="BP34" t="str">
        <f>IF(Backend!BQ61="", "", Backend!BQ61)</f>
        <v/>
      </c>
      <c r="BQ34" t="str">
        <f>IF(Backend!BR61="", "", Backend!BR61)</f>
        <v/>
      </c>
      <c r="BR34" t="str">
        <f>IF(Backend!BS61="", "", Backend!BS61)</f>
        <v/>
      </c>
      <c r="BS34" t="str">
        <f>IF(Backend!BT61="", "", Backend!BT61)</f>
        <v/>
      </c>
      <c r="BT34" t="str">
        <f>IF(Backend!BU61="", "", Backend!BU61)</f>
        <v/>
      </c>
      <c r="BU34" t="str">
        <f>IF(Backend!BV61="", "", Backend!BV61)</f>
        <v/>
      </c>
      <c r="BV34" t="str">
        <f>IF(Backend!BW61="", "", Backend!BW61)</f>
        <v/>
      </c>
      <c r="BW34" t="str">
        <f>IF(Backend!BX61="", "", Backend!BX61)</f>
        <v/>
      </c>
      <c r="BX34" t="str">
        <f>IF(Backend!BY61="", "", Backend!BY61)</f>
        <v/>
      </c>
      <c r="BY34" t="str">
        <f>IF(Backend!BZ61="", "", Backend!BZ61)</f>
        <v/>
      </c>
      <c r="BZ34" t="str">
        <f>IF(Backend!CA61="", "", Backend!CA61)</f>
        <v/>
      </c>
      <c r="CA34" t="str">
        <f>IF(Backend!CB61="", "", Backend!CB61)</f>
        <v/>
      </c>
      <c r="CB34" t="str">
        <f>IF(Backend!CC61="", "", Backend!CC61)</f>
        <v/>
      </c>
      <c r="CC34" t="str">
        <f>IF(Backend!CD61="", "", Backend!CD61)</f>
        <v/>
      </c>
    </row>
    <row r="35" spans="1:81" x14ac:dyDescent="0.25">
      <c r="A35" s="4" t="str">
        <f>IF(Backend!A62="", "", Backend!A62)</f>
        <v>Moody's Corporation</v>
      </c>
      <c r="B35">
        <f>IF(Backend!C62="", "", Backend!C62)</f>
        <v>0.5726618</v>
      </c>
      <c r="C35">
        <f>IF(Backend!D62="", "", Backend!D62)</f>
        <v>0.46503523000000002</v>
      </c>
      <c r="D35">
        <f>IF(Backend!E62="", "", Backend!E62)</f>
        <v>0.25265073999999998</v>
      </c>
      <c r="E35">
        <f>IF(Backend!F62="", "", Backend!F62)</f>
        <v>0.53997110000000004</v>
      </c>
      <c r="F35">
        <f>IF(Backend!G62="", "", Backend!G62)</f>
        <v>0.56021670000000001</v>
      </c>
      <c r="G35">
        <f>IF(Backend!H62="", "", Backend!H62)</f>
        <v>0.12608184</v>
      </c>
      <c r="H35">
        <f>IF(Backend!I62="", "", Backend!I62)</f>
        <v>0.48905622999999998</v>
      </c>
      <c r="I35">
        <f>IF(Backend!J62="", "", Backend!J62)</f>
        <v>0.25797441999999998</v>
      </c>
      <c r="J35">
        <f>IF(Backend!K62="", "", Backend!K62)</f>
        <v>0.38403314</v>
      </c>
      <c r="K35">
        <f>IF(Backend!L62="", "", Backend!L62)</f>
        <v>0.38030174</v>
      </c>
      <c r="L35">
        <f>IF(Backend!M62="", "", Backend!M62)</f>
        <v>0.33861277000000001</v>
      </c>
      <c r="M35">
        <f>IF(Backend!N62="", "", Backend!N62)</f>
        <v>0.40515827999999998</v>
      </c>
      <c r="N35">
        <f>IF(Backend!O62="", "", Backend!O62)</f>
        <v>0.24065845</v>
      </c>
      <c r="O35">
        <f>IF(Backend!P62="", "", Backend!P62)</f>
        <v>0.22151061999999999</v>
      </c>
      <c r="P35">
        <f>IF(Backend!Q62="", "", Backend!Q62)</f>
        <v>4.9383110000000001E-2</v>
      </c>
      <c r="Q35">
        <f>IF(Backend!R62="", "", Backend!R62)</f>
        <v>0.31985282999999998</v>
      </c>
      <c r="R35">
        <f>IF(Backend!S62="", "", Backend!S62)</f>
        <v>0.57665264999999999</v>
      </c>
      <c r="S35">
        <f>IF(Backend!T62="", "", Backend!T62)</f>
        <v>0.37441856000000001</v>
      </c>
      <c r="T35">
        <f>IF(Backend!U62="", "", Backend!U62)</f>
        <v>0.44597324999999999</v>
      </c>
      <c r="U35">
        <f>IF(Backend!V62="", "", Backend!V62)</f>
        <v>0.53689324999999999</v>
      </c>
      <c r="V35">
        <f>IF(Backend!W62="", "", Backend!W62)</f>
        <v>0.21730869</v>
      </c>
      <c r="W35">
        <f>IF(Backend!X62="", "", Backend!X62)</f>
        <v>0.34701312000000001</v>
      </c>
      <c r="X35">
        <f>IF(Backend!Y62="", "", Backend!Y62)</f>
        <v>0.48546549999999999</v>
      </c>
      <c r="Y35">
        <f>IF(Backend!Z62="", "", Backend!Z62)</f>
        <v>0.29821667000000002</v>
      </c>
      <c r="Z35">
        <f>IF(Backend!AA62="", "", Backend!AA62)</f>
        <v>5.3459376000000003E-2</v>
      </c>
      <c r="AA35">
        <f>IF(Backend!AB62="", "", Backend!AB62)</f>
        <v>0.2802365</v>
      </c>
      <c r="AB35">
        <f>IF(Backend!AC62="", "", Backend!AC62)</f>
        <v>0.48027094999999997</v>
      </c>
      <c r="AC35">
        <f>IF(Backend!AD62="", "", Backend!AD62)</f>
        <v>0.55686049999999998</v>
      </c>
      <c r="AD35">
        <f>IF(Backend!AE62="", "", Backend!AE62)</f>
        <v>0.39787202999999999</v>
      </c>
      <c r="AE35">
        <f>IF(Backend!AF62="", "", Backend!AF62)</f>
        <v>0.20587154999999999</v>
      </c>
      <c r="AF35">
        <f>IF(Backend!AG62="", "", Backend!AG62)</f>
        <v>0.56051600000000001</v>
      </c>
      <c r="AG35">
        <f>IF(Backend!AH62="", "", Backend!AH62)</f>
        <v>1</v>
      </c>
      <c r="AH35" t="str">
        <f>IF(Backend!AI62="", "", Backend!AI62)</f>
        <v/>
      </c>
      <c r="AI35" t="str">
        <f>IF(Backend!AJ62="", "", Backend!AJ62)</f>
        <v/>
      </c>
      <c r="AJ35" t="str">
        <f>IF(Backend!AK62="", "", Backend!AK62)</f>
        <v/>
      </c>
      <c r="AK35" t="str">
        <f>IF(Backend!AL62="", "", Backend!AL62)</f>
        <v/>
      </c>
      <c r="AL35" t="str">
        <f>IF(Backend!AM62="", "", Backend!AM62)</f>
        <v/>
      </c>
      <c r="AM35" t="str">
        <f>IF(Backend!AN62="", "", Backend!AN62)</f>
        <v/>
      </c>
      <c r="AN35" t="str">
        <f>IF(Backend!AO62="", "", Backend!AO62)</f>
        <v/>
      </c>
      <c r="AO35" t="str">
        <f>IF(Backend!AP62="", "", Backend!AP62)</f>
        <v/>
      </c>
      <c r="AP35" t="str">
        <f>IF(Backend!AQ62="", "", Backend!AQ62)</f>
        <v/>
      </c>
      <c r="AQ35" t="str">
        <f>IF(Backend!AR62="", "", Backend!AR62)</f>
        <v/>
      </c>
      <c r="AR35" t="str">
        <f>IF(Backend!AS62="", "", Backend!AS62)</f>
        <v/>
      </c>
      <c r="AS35" t="str">
        <f>IF(Backend!AT62="", "", Backend!AT62)</f>
        <v/>
      </c>
      <c r="AT35" t="str">
        <f>IF(Backend!AU62="", "", Backend!AU62)</f>
        <v/>
      </c>
      <c r="AU35" t="str">
        <f>IF(Backend!AV62="", "", Backend!AV62)</f>
        <v/>
      </c>
      <c r="AV35" t="str">
        <f>IF(Backend!AW62="", "", Backend!AW62)</f>
        <v/>
      </c>
      <c r="AW35" t="str">
        <f>IF(Backend!AX62="", "", Backend!AX62)</f>
        <v/>
      </c>
      <c r="AX35" t="str">
        <f>IF(Backend!AY62="", "", Backend!AY62)</f>
        <v/>
      </c>
      <c r="AY35" t="str">
        <f>IF(Backend!AZ62="", "", Backend!AZ62)</f>
        <v/>
      </c>
      <c r="AZ35" t="str">
        <f>IF(Backend!BA62="", "", Backend!BA62)</f>
        <v/>
      </c>
      <c r="BA35" t="str">
        <f>IF(Backend!BB62="", "", Backend!BB62)</f>
        <v/>
      </c>
      <c r="BB35" t="str">
        <f>IF(Backend!BC62="", "", Backend!BC62)</f>
        <v/>
      </c>
      <c r="BC35" t="str">
        <f>IF(Backend!BD62="", "", Backend!BD62)</f>
        <v/>
      </c>
      <c r="BD35" t="str">
        <f>IF(Backend!BE62="", "", Backend!BE62)</f>
        <v/>
      </c>
      <c r="BE35" t="str">
        <f>IF(Backend!BF62="", "", Backend!BF62)</f>
        <v/>
      </c>
      <c r="BF35" t="str">
        <f>IF(Backend!BG62="", "", Backend!BG62)</f>
        <v/>
      </c>
      <c r="BG35" t="str">
        <f>IF(Backend!BH62="", "", Backend!BH62)</f>
        <v/>
      </c>
      <c r="BH35" t="str">
        <f>IF(Backend!BI62="", "", Backend!BI62)</f>
        <v/>
      </c>
      <c r="BI35" t="str">
        <f>IF(Backend!BJ62="", "", Backend!BJ62)</f>
        <v/>
      </c>
      <c r="BJ35" t="str">
        <f>IF(Backend!BK62="", "", Backend!BK62)</f>
        <v/>
      </c>
      <c r="BK35" t="str">
        <f>IF(Backend!BL62="", "", Backend!BL62)</f>
        <v/>
      </c>
      <c r="BL35" t="str">
        <f>IF(Backend!BM62="", "", Backend!BM62)</f>
        <v/>
      </c>
      <c r="BM35" t="str">
        <f>IF(Backend!BN62="", "", Backend!BN62)</f>
        <v/>
      </c>
      <c r="BN35" t="str">
        <f>IF(Backend!BO62="", "", Backend!BO62)</f>
        <v/>
      </c>
      <c r="BO35" t="str">
        <f>IF(Backend!BP62="", "", Backend!BP62)</f>
        <v/>
      </c>
      <c r="BP35" t="str">
        <f>IF(Backend!BQ62="", "", Backend!BQ62)</f>
        <v/>
      </c>
      <c r="BQ35" t="str">
        <f>IF(Backend!BR62="", "", Backend!BR62)</f>
        <v/>
      </c>
      <c r="BR35" t="str">
        <f>IF(Backend!BS62="", "", Backend!BS62)</f>
        <v/>
      </c>
      <c r="BS35" t="str">
        <f>IF(Backend!BT62="", "", Backend!BT62)</f>
        <v/>
      </c>
      <c r="BT35" t="str">
        <f>IF(Backend!BU62="", "", Backend!BU62)</f>
        <v/>
      </c>
      <c r="BU35" t="str">
        <f>IF(Backend!BV62="", "", Backend!BV62)</f>
        <v/>
      </c>
      <c r="BV35" t="str">
        <f>IF(Backend!BW62="", "", Backend!BW62)</f>
        <v/>
      </c>
      <c r="BW35" t="str">
        <f>IF(Backend!BX62="", "", Backend!BX62)</f>
        <v/>
      </c>
      <c r="BX35" t="str">
        <f>IF(Backend!BY62="", "", Backend!BY62)</f>
        <v/>
      </c>
      <c r="BY35" t="str">
        <f>IF(Backend!BZ62="", "", Backend!BZ62)</f>
        <v/>
      </c>
      <c r="BZ35" t="str">
        <f>IF(Backend!CA62="", "", Backend!CA62)</f>
        <v/>
      </c>
      <c r="CA35" t="str">
        <f>IF(Backend!CB62="", "", Backend!CB62)</f>
        <v/>
      </c>
      <c r="CB35" t="str">
        <f>IF(Backend!CC62="", "", Backend!CC62)</f>
        <v/>
      </c>
      <c r="CC35" t="str">
        <f>IF(Backend!CD62="", "", Backend!CD62)</f>
        <v/>
      </c>
    </row>
    <row r="36" spans="1:81" x14ac:dyDescent="0.25">
      <c r="A36" s="4" t="str">
        <f>IF(Backend!A63="", "", Backend!A63)</f>
        <v/>
      </c>
      <c r="B36" t="str">
        <f>IF(Backend!C63="", "", Backend!C63)</f>
        <v/>
      </c>
      <c r="C36" t="str">
        <f>IF(Backend!D63="", "", Backend!D63)</f>
        <v/>
      </c>
      <c r="D36" t="str">
        <f>IF(Backend!E63="", "", Backend!E63)</f>
        <v/>
      </c>
      <c r="E36" t="str">
        <f>IF(Backend!F63="", "", Backend!F63)</f>
        <v/>
      </c>
      <c r="F36" t="str">
        <f>IF(Backend!G63="", "", Backend!G63)</f>
        <v/>
      </c>
      <c r="G36" t="str">
        <f>IF(Backend!H63="", "", Backend!H63)</f>
        <v/>
      </c>
      <c r="H36" t="str">
        <f>IF(Backend!I63="", "", Backend!I63)</f>
        <v/>
      </c>
      <c r="I36" t="str">
        <f>IF(Backend!J63="", "", Backend!J63)</f>
        <v/>
      </c>
      <c r="J36" t="str">
        <f>IF(Backend!K63="", "", Backend!K63)</f>
        <v/>
      </c>
      <c r="K36" t="str">
        <f>IF(Backend!L63="", "", Backend!L63)</f>
        <v/>
      </c>
      <c r="L36" t="str">
        <f>IF(Backend!M63="", "", Backend!M63)</f>
        <v/>
      </c>
      <c r="M36" t="str">
        <f>IF(Backend!N63="", "", Backend!N63)</f>
        <v/>
      </c>
      <c r="N36" t="str">
        <f>IF(Backend!O63="", "", Backend!O63)</f>
        <v/>
      </c>
      <c r="O36" t="str">
        <f>IF(Backend!P63="", "", Backend!P63)</f>
        <v/>
      </c>
      <c r="P36" t="str">
        <f>IF(Backend!Q63="", "", Backend!Q63)</f>
        <v/>
      </c>
      <c r="Q36" t="str">
        <f>IF(Backend!R63="", "", Backend!R63)</f>
        <v/>
      </c>
      <c r="R36" t="str">
        <f>IF(Backend!S63="", "", Backend!S63)</f>
        <v/>
      </c>
      <c r="S36" t="str">
        <f>IF(Backend!T63="", "", Backend!T63)</f>
        <v/>
      </c>
      <c r="T36" t="str">
        <f>IF(Backend!U63="", "", Backend!U63)</f>
        <v/>
      </c>
      <c r="U36" t="str">
        <f>IF(Backend!V63="", "", Backend!V63)</f>
        <v/>
      </c>
      <c r="V36" t="str">
        <f>IF(Backend!W63="", "", Backend!W63)</f>
        <v/>
      </c>
      <c r="W36" t="str">
        <f>IF(Backend!X63="", "", Backend!X63)</f>
        <v/>
      </c>
      <c r="X36" t="str">
        <f>IF(Backend!Y63="", "", Backend!Y63)</f>
        <v/>
      </c>
      <c r="Y36" t="str">
        <f>IF(Backend!Z63="", "", Backend!Z63)</f>
        <v/>
      </c>
      <c r="Z36" t="str">
        <f>IF(Backend!AA63="", "", Backend!AA63)</f>
        <v/>
      </c>
      <c r="AA36" t="str">
        <f>IF(Backend!AB63="", "", Backend!AB63)</f>
        <v/>
      </c>
      <c r="AB36" t="str">
        <f>IF(Backend!AC63="", "", Backend!AC63)</f>
        <v/>
      </c>
      <c r="AC36" t="str">
        <f>IF(Backend!AD63="", "", Backend!AD63)</f>
        <v/>
      </c>
      <c r="AD36" t="str">
        <f>IF(Backend!AE63="", "", Backend!AE63)</f>
        <v/>
      </c>
      <c r="AE36" t="str">
        <f>IF(Backend!AF63="", "", Backend!AF63)</f>
        <v/>
      </c>
      <c r="AF36" t="str">
        <f>IF(Backend!AG63="", "", Backend!AG63)</f>
        <v/>
      </c>
      <c r="AG36" t="str">
        <f>IF(Backend!AH63="", "", Backend!AH63)</f>
        <v/>
      </c>
      <c r="AH36" t="str">
        <f>IF(Backend!AI63="", "", Backend!AI63)</f>
        <v/>
      </c>
      <c r="AI36" t="str">
        <f>IF(Backend!AJ63="", "", Backend!AJ63)</f>
        <v/>
      </c>
      <c r="AJ36" t="str">
        <f>IF(Backend!AK63="", "", Backend!AK63)</f>
        <v/>
      </c>
      <c r="AK36" t="str">
        <f>IF(Backend!AL63="", "", Backend!AL63)</f>
        <v/>
      </c>
      <c r="AL36" t="str">
        <f>IF(Backend!AM63="", "", Backend!AM63)</f>
        <v/>
      </c>
      <c r="AM36" t="str">
        <f>IF(Backend!AN63="", "", Backend!AN63)</f>
        <v/>
      </c>
      <c r="AN36" t="str">
        <f>IF(Backend!AO63="", "", Backend!AO63)</f>
        <v/>
      </c>
      <c r="AO36" t="str">
        <f>IF(Backend!AP63="", "", Backend!AP63)</f>
        <v/>
      </c>
      <c r="AP36" t="str">
        <f>IF(Backend!AQ63="", "", Backend!AQ63)</f>
        <v/>
      </c>
      <c r="AQ36" t="str">
        <f>IF(Backend!AR63="", "", Backend!AR63)</f>
        <v/>
      </c>
      <c r="AR36" t="str">
        <f>IF(Backend!AS63="", "", Backend!AS63)</f>
        <v/>
      </c>
      <c r="AS36" t="str">
        <f>IF(Backend!AT63="", "", Backend!AT63)</f>
        <v/>
      </c>
      <c r="AT36" t="str">
        <f>IF(Backend!AU63="", "", Backend!AU63)</f>
        <v/>
      </c>
      <c r="AU36" t="str">
        <f>IF(Backend!AV63="", "", Backend!AV63)</f>
        <v/>
      </c>
      <c r="AV36" t="str">
        <f>IF(Backend!AW63="", "", Backend!AW63)</f>
        <v/>
      </c>
      <c r="AW36" t="str">
        <f>IF(Backend!AX63="", "", Backend!AX63)</f>
        <v/>
      </c>
      <c r="AX36" t="str">
        <f>IF(Backend!AY63="", "", Backend!AY63)</f>
        <v/>
      </c>
      <c r="AY36" t="str">
        <f>IF(Backend!AZ63="", "", Backend!AZ63)</f>
        <v/>
      </c>
      <c r="AZ36" t="str">
        <f>IF(Backend!BA63="", "", Backend!BA63)</f>
        <v/>
      </c>
      <c r="BA36" t="str">
        <f>IF(Backend!BB63="", "", Backend!BB63)</f>
        <v/>
      </c>
      <c r="BB36" t="str">
        <f>IF(Backend!BC63="", "", Backend!BC63)</f>
        <v/>
      </c>
      <c r="BC36" t="str">
        <f>IF(Backend!BD63="", "", Backend!BD63)</f>
        <v/>
      </c>
      <c r="BD36" t="str">
        <f>IF(Backend!BE63="", "", Backend!BE63)</f>
        <v/>
      </c>
      <c r="BE36" t="str">
        <f>IF(Backend!BF63="", "", Backend!BF63)</f>
        <v/>
      </c>
      <c r="BF36" t="str">
        <f>IF(Backend!BG63="", "", Backend!BG63)</f>
        <v/>
      </c>
      <c r="BG36" t="str">
        <f>IF(Backend!BH63="", "", Backend!BH63)</f>
        <v/>
      </c>
      <c r="BH36" t="str">
        <f>IF(Backend!BI63="", "", Backend!BI63)</f>
        <v/>
      </c>
      <c r="BI36" t="str">
        <f>IF(Backend!BJ63="", "", Backend!BJ63)</f>
        <v/>
      </c>
      <c r="BJ36" t="str">
        <f>IF(Backend!BK63="", "", Backend!BK63)</f>
        <v/>
      </c>
      <c r="BK36" t="str">
        <f>IF(Backend!BL63="", "", Backend!BL63)</f>
        <v/>
      </c>
      <c r="BL36" t="str">
        <f>IF(Backend!BM63="", "", Backend!BM63)</f>
        <v/>
      </c>
      <c r="BM36" t="str">
        <f>IF(Backend!BN63="", "", Backend!BN63)</f>
        <v/>
      </c>
      <c r="BN36" t="str">
        <f>IF(Backend!BO63="", "", Backend!BO63)</f>
        <v/>
      </c>
      <c r="BO36" t="str">
        <f>IF(Backend!BP63="", "", Backend!BP63)</f>
        <v/>
      </c>
      <c r="BP36" t="str">
        <f>IF(Backend!BQ63="", "", Backend!BQ63)</f>
        <v/>
      </c>
      <c r="BQ36" t="str">
        <f>IF(Backend!BR63="", "", Backend!BR63)</f>
        <v/>
      </c>
      <c r="BR36" t="str">
        <f>IF(Backend!BS63="", "", Backend!BS63)</f>
        <v/>
      </c>
      <c r="BS36" t="str">
        <f>IF(Backend!BT63="", "", Backend!BT63)</f>
        <v/>
      </c>
      <c r="BT36" t="str">
        <f>IF(Backend!BU63="", "", Backend!BU63)</f>
        <v/>
      </c>
      <c r="BU36" t="str">
        <f>IF(Backend!BV63="", "", Backend!BV63)</f>
        <v/>
      </c>
      <c r="BV36" t="str">
        <f>IF(Backend!BW63="", "", Backend!BW63)</f>
        <v/>
      </c>
      <c r="BW36" t="str">
        <f>IF(Backend!BX63="", "", Backend!BX63)</f>
        <v/>
      </c>
      <c r="BX36" t="str">
        <f>IF(Backend!BY63="", "", Backend!BY63)</f>
        <v/>
      </c>
      <c r="BY36" t="str">
        <f>IF(Backend!BZ63="", "", Backend!BZ63)</f>
        <v/>
      </c>
      <c r="BZ36" t="str">
        <f>IF(Backend!CA63="", "", Backend!CA63)</f>
        <v/>
      </c>
      <c r="CA36" t="str">
        <f>IF(Backend!CB63="", "", Backend!CB63)</f>
        <v/>
      </c>
      <c r="CB36" t="str">
        <f>IF(Backend!CC63="", "", Backend!CC63)</f>
        <v/>
      </c>
      <c r="CC36" t="str">
        <f>IF(Backend!CD63="", "", Backend!CD63)</f>
        <v/>
      </c>
    </row>
    <row r="37" spans="1:81" x14ac:dyDescent="0.25">
      <c r="A37" s="4" t="str">
        <f>IF(Backend!A64="", "", Backend!A64)</f>
        <v/>
      </c>
      <c r="B37" t="str">
        <f>IF(Backend!C64="", "", Backend!C64)</f>
        <v/>
      </c>
      <c r="C37" t="str">
        <f>IF(Backend!D64="", "", Backend!D64)</f>
        <v/>
      </c>
      <c r="D37" t="str">
        <f>IF(Backend!E64="", "", Backend!E64)</f>
        <v/>
      </c>
      <c r="E37" t="str">
        <f>IF(Backend!F64="", "", Backend!F64)</f>
        <v/>
      </c>
      <c r="F37" t="str">
        <f>IF(Backend!G64="", "", Backend!G64)</f>
        <v/>
      </c>
      <c r="G37" t="str">
        <f>IF(Backend!H64="", "", Backend!H64)</f>
        <v/>
      </c>
      <c r="H37" t="str">
        <f>IF(Backend!I64="", "", Backend!I64)</f>
        <v/>
      </c>
      <c r="I37" t="str">
        <f>IF(Backend!J64="", "", Backend!J64)</f>
        <v/>
      </c>
      <c r="J37" t="str">
        <f>IF(Backend!K64="", "", Backend!K64)</f>
        <v/>
      </c>
      <c r="K37" t="str">
        <f>IF(Backend!L64="", "", Backend!L64)</f>
        <v/>
      </c>
      <c r="L37" t="str">
        <f>IF(Backend!M64="", "", Backend!M64)</f>
        <v/>
      </c>
      <c r="M37" t="str">
        <f>IF(Backend!N64="", "", Backend!N64)</f>
        <v/>
      </c>
      <c r="N37" t="str">
        <f>IF(Backend!O64="", "", Backend!O64)</f>
        <v/>
      </c>
      <c r="O37" t="str">
        <f>IF(Backend!P64="", "", Backend!P64)</f>
        <v/>
      </c>
      <c r="P37" t="str">
        <f>IF(Backend!Q64="", "", Backend!Q64)</f>
        <v/>
      </c>
      <c r="Q37" t="str">
        <f>IF(Backend!R64="", "", Backend!R64)</f>
        <v/>
      </c>
      <c r="R37" t="str">
        <f>IF(Backend!S64="", "", Backend!S64)</f>
        <v/>
      </c>
      <c r="S37" t="str">
        <f>IF(Backend!T64="", "", Backend!T64)</f>
        <v/>
      </c>
      <c r="T37" t="str">
        <f>IF(Backend!U64="", "", Backend!U64)</f>
        <v/>
      </c>
      <c r="U37" t="str">
        <f>IF(Backend!V64="", "", Backend!V64)</f>
        <v/>
      </c>
      <c r="V37" t="str">
        <f>IF(Backend!W64="", "", Backend!W64)</f>
        <v/>
      </c>
      <c r="W37" t="str">
        <f>IF(Backend!X64="", "", Backend!X64)</f>
        <v/>
      </c>
      <c r="X37" t="str">
        <f>IF(Backend!Y64="", "", Backend!Y64)</f>
        <v/>
      </c>
      <c r="Y37" t="str">
        <f>IF(Backend!Z64="", "", Backend!Z64)</f>
        <v/>
      </c>
      <c r="Z37" t="str">
        <f>IF(Backend!AA64="", "", Backend!AA64)</f>
        <v/>
      </c>
      <c r="AA37" t="str">
        <f>IF(Backend!AB64="", "", Backend!AB64)</f>
        <v/>
      </c>
      <c r="AB37" t="str">
        <f>IF(Backend!AC64="", "", Backend!AC64)</f>
        <v/>
      </c>
      <c r="AC37" t="str">
        <f>IF(Backend!AD64="", "", Backend!AD64)</f>
        <v/>
      </c>
      <c r="AD37" t="str">
        <f>IF(Backend!AE64="", "", Backend!AE64)</f>
        <v/>
      </c>
      <c r="AE37" t="str">
        <f>IF(Backend!AF64="", "", Backend!AF64)</f>
        <v/>
      </c>
      <c r="AF37" t="str">
        <f>IF(Backend!AG64="", "", Backend!AG64)</f>
        <v/>
      </c>
      <c r="AG37" t="str">
        <f>IF(Backend!AH64="", "", Backend!AH64)</f>
        <v/>
      </c>
      <c r="AH37" t="str">
        <f>IF(Backend!AI64="", "", Backend!AI64)</f>
        <v/>
      </c>
      <c r="AI37" t="str">
        <f>IF(Backend!AJ64="", "", Backend!AJ64)</f>
        <v/>
      </c>
      <c r="AJ37" t="str">
        <f>IF(Backend!AK64="", "", Backend!AK64)</f>
        <v/>
      </c>
      <c r="AK37" t="str">
        <f>IF(Backend!AL64="", "", Backend!AL64)</f>
        <v/>
      </c>
      <c r="AL37" t="str">
        <f>IF(Backend!AM64="", "", Backend!AM64)</f>
        <v/>
      </c>
      <c r="AM37" t="str">
        <f>IF(Backend!AN64="", "", Backend!AN64)</f>
        <v/>
      </c>
      <c r="AN37" t="str">
        <f>IF(Backend!AO64="", "", Backend!AO64)</f>
        <v/>
      </c>
      <c r="AO37" t="str">
        <f>IF(Backend!AP64="", "", Backend!AP64)</f>
        <v/>
      </c>
      <c r="AP37" t="str">
        <f>IF(Backend!AQ64="", "", Backend!AQ64)</f>
        <v/>
      </c>
      <c r="AQ37" t="str">
        <f>IF(Backend!AR64="", "", Backend!AR64)</f>
        <v/>
      </c>
      <c r="AR37" t="str">
        <f>IF(Backend!AS64="", "", Backend!AS64)</f>
        <v/>
      </c>
      <c r="AS37" t="str">
        <f>IF(Backend!AT64="", "", Backend!AT64)</f>
        <v/>
      </c>
      <c r="AT37" t="str">
        <f>IF(Backend!AU64="", "", Backend!AU64)</f>
        <v/>
      </c>
      <c r="AU37" t="str">
        <f>IF(Backend!AV64="", "", Backend!AV64)</f>
        <v/>
      </c>
      <c r="AV37" t="str">
        <f>IF(Backend!AW64="", "", Backend!AW64)</f>
        <v/>
      </c>
      <c r="AW37" t="str">
        <f>IF(Backend!AX64="", "", Backend!AX64)</f>
        <v/>
      </c>
      <c r="AX37" t="str">
        <f>IF(Backend!AY64="", "", Backend!AY64)</f>
        <v/>
      </c>
      <c r="AY37" t="str">
        <f>IF(Backend!AZ64="", "", Backend!AZ64)</f>
        <v/>
      </c>
      <c r="AZ37" t="str">
        <f>IF(Backend!BA64="", "", Backend!BA64)</f>
        <v/>
      </c>
      <c r="BA37" t="str">
        <f>IF(Backend!BB64="", "", Backend!BB64)</f>
        <v/>
      </c>
      <c r="BB37" t="str">
        <f>IF(Backend!BC64="", "", Backend!BC64)</f>
        <v/>
      </c>
      <c r="BC37" t="str">
        <f>IF(Backend!BD64="", "", Backend!BD64)</f>
        <v/>
      </c>
      <c r="BD37" t="str">
        <f>IF(Backend!BE64="", "", Backend!BE64)</f>
        <v/>
      </c>
      <c r="BE37" t="str">
        <f>IF(Backend!BF64="", "", Backend!BF64)</f>
        <v/>
      </c>
      <c r="BF37" t="str">
        <f>IF(Backend!BG64="", "", Backend!BG64)</f>
        <v/>
      </c>
      <c r="BG37" t="str">
        <f>IF(Backend!BH64="", "", Backend!BH64)</f>
        <v/>
      </c>
      <c r="BH37" t="str">
        <f>IF(Backend!BI64="", "", Backend!BI64)</f>
        <v/>
      </c>
      <c r="BI37" t="str">
        <f>IF(Backend!BJ64="", "", Backend!BJ64)</f>
        <v/>
      </c>
      <c r="BJ37" t="str">
        <f>IF(Backend!BK64="", "", Backend!BK64)</f>
        <v/>
      </c>
      <c r="BK37" t="str">
        <f>IF(Backend!BL64="", "", Backend!BL64)</f>
        <v/>
      </c>
      <c r="BL37" t="str">
        <f>IF(Backend!BM64="", "", Backend!BM64)</f>
        <v/>
      </c>
      <c r="BM37" t="str">
        <f>IF(Backend!BN64="", "", Backend!BN64)</f>
        <v/>
      </c>
      <c r="BN37" t="str">
        <f>IF(Backend!BO64="", "", Backend!BO64)</f>
        <v/>
      </c>
      <c r="BO37" t="str">
        <f>IF(Backend!BP64="", "", Backend!BP64)</f>
        <v/>
      </c>
      <c r="BP37" t="str">
        <f>IF(Backend!BQ64="", "", Backend!BQ64)</f>
        <v/>
      </c>
      <c r="BQ37" t="str">
        <f>IF(Backend!BR64="", "", Backend!BR64)</f>
        <v/>
      </c>
      <c r="BR37" t="str">
        <f>IF(Backend!BS64="", "", Backend!BS64)</f>
        <v/>
      </c>
      <c r="BS37" t="str">
        <f>IF(Backend!BT64="", "", Backend!BT64)</f>
        <v/>
      </c>
      <c r="BT37" t="str">
        <f>IF(Backend!BU64="", "", Backend!BU64)</f>
        <v/>
      </c>
      <c r="BU37" t="str">
        <f>IF(Backend!BV64="", "", Backend!BV64)</f>
        <v/>
      </c>
      <c r="BV37" t="str">
        <f>IF(Backend!BW64="", "", Backend!BW64)</f>
        <v/>
      </c>
      <c r="BW37" t="str">
        <f>IF(Backend!BX64="", "", Backend!BX64)</f>
        <v/>
      </c>
      <c r="BX37" t="str">
        <f>IF(Backend!BY64="", "", Backend!BY64)</f>
        <v/>
      </c>
      <c r="BY37" t="str">
        <f>IF(Backend!BZ64="", "", Backend!BZ64)</f>
        <v/>
      </c>
      <c r="BZ37" t="str">
        <f>IF(Backend!CA64="", "", Backend!CA64)</f>
        <v/>
      </c>
      <c r="CA37" t="str">
        <f>IF(Backend!CB64="", "", Backend!CB64)</f>
        <v/>
      </c>
      <c r="CB37" t="str">
        <f>IF(Backend!CC64="", "", Backend!CC64)</f>
        <v/>
      </c>
      <c r="CC37" t="str">
        <f>IF(Backend!CD64="", "", Backend!CD64)</f>
        <v/>
      </c>
    </row>
    <row r="38" spans="1:81" x14ac:dyDescent="0.25">
      <c r="A38" s="4" t="str">
        <f>IF(Backend!A65="", "", Backend!A65)</f>
        <v/>
      </c>
      <c r="B38" t="str">
        <f>IF(Backend!C65="", "", Backend!C65)</f>
        <v/>
      </c>
      <c r="C38" t="str">
        <f>IF(Backend!D65="", "", Backend!D65)</f>
        <v/>
      </c>
      <c r="D38" t="str">
        <f>IF(Backend!E65="", "", Backend!E65)</f>
        <v/>
      </c>
      <c r="E38" t="str">
        <f>IF(Backend!F65="", "", Backend!F65)</f>
        <v/>
      </c>
      <c r="F38" t="str">
        <f>IF(Backend!G65="", "", Backend!G65)</f>
        <v/>
      </c>
      <c r="G38" t="str">
        <f>IF(Backend!H65="", "", Backend!H65)</f>
        <v/>
      </c>
      <c r="H38" t="str">
        <f>IF(Backend!I65="", "", Backend!I65)</f>
        <v/>
      </c>
      <c r="I38" t="str">
        <f>IF(Backend!J65="", "", Backend!J65)</f>
        <v/>
      </c>
      <c r="J38" t="str">
        <f>IF(Backend!K65="", "", Backend!K65)</f>
        <v/>
      </c>
      <c r="K38" t="str">
        <f>IF(Backend!L65="", "", Backend!L65)</f>
        <v/>
      </c>
      <c r="L38" t="str">
        <f>IF(Backend!M65="", "", Backend!M65)</f>
        <v/>
      </c>
      <c r="M38" t="str">
        <f>IF(Backend!N65="", "", Backend!N65)</f>
        <v/>
      </c>
      <c r="N38" t="str">
        <f>IF(Backend!O65="", "", Backend!O65)</f>
        <v/>
      </c>
      <c r="O38" t="str">
        <f>IF(Backend!P65="", "", Backend!P65)</f>
        <v/>
      </c>
      <c r="P38" t="str">
        <f>IF(Backend!Q65="", "", Backend!Q65)</f>
        <v/>
      </c>
      <c r="Q38" t="str">
        <f>IF(Backend!R65="", "", Backend!R65)</f>
        <v/>
      </c>
      <c r="R38" t="str">
        <f>IF(Backend!S65="", "", Backend!S65)</f>
        <v/>
      </c>
      <c r="S38" t="str">
        <f>IF(Backend!T65="", "", Backend!T65)</f>
        <v/>
      </c>
      <c r="T38" t="str">
        <f>IF(Backend!U65="", "", Backend!U65)</f>
        <v/>
      </c>
      <c r="U38" t="str">
        <f>IF(Backend!V65="", "", Backend!V65)</f>
        <v/>
      </c>
      <c r="V38" t="str">
        <f>IF(Backend!W65="", "", Backend!W65)</f>
        <v/>
      </c>
      <c r="W38" t="str">
        <f>IF(Backend!X65="", "", Backend!X65)</f>
        <v/>
      </c>
      <c r="X38" t="str">
        <f>IF(Backend!Y65="", "", Backend!Y65)</f>
        <v/>
      </c>
      <c r="Y38" t="str">
        <f>IF(Backend!Z65="", "", Backend!Z65)</f>
        <v/>
      </c>
      <c r="Z38" t="str">
        <f>IF(Backend!AA65="", "", Backend!AA65)</f>
        <v/>
      </c>
      <c r="AA38" t="str">
        <f>IF(Backend!AB65="", "", Backend!AB65)</f>
        <v/>
      </c>
      <c r="AB38" t="str">
        <f>IF(Backend!AC65="", "", Backend!AC65)</f>
        <v/>
      </c>
      <c r="AC38" t="str">
        <f>IF(Backend!AD65="", "", Backend!AD65)</f>
        <v/>
      </c>
      <c r="AD38" t="str">
        <f>IF(Backend!AE65="", "", Backend!AE65)</f>
        <v/>
      </c>
      <c r="AE38" t="str">
        <f>IF(Backend!AF65="", "", Backend!AF65)</f>
        <v/>
      </c>
      <c r="AF38" t="str">
        <f>IF(Backend!AG65="", "", Backend!AG65)</f>
        <v/>
      </c>
      <c r="AG38" t="str">
        <f>IF(Backend!AH65="", "", Backend!AH65)</f>
        <v/>
      </c>
      <c r="AH38" t="str">
        <f>IF(Backend!AI65="", "", Backend!AI65)</f>
        <v/>
      </c>
      <c r="AI38" t="str">
        <f>IF(Backend!AJ65="", "", Backend!AJ65)</f>
        <v/>
      </c>
      <c r="AJ38" t="str">
        <f>IF(Backend!AK65="", "", Backend!AK65)</f>
        <v/>
      </c>
      <c r="AK38" t="str">
        <f>IF(Backend!AL65="", "", Backend!AL65)</f>
        <v/>
      </c>
      <c r="AL38" t="str">
        <f>IF(Backend!AM65="", "", Backend!AM65)</f>
        <v/>
      </c>
      <c r="AM38" t="str">
        <f>IF(Backend!AN65="", "", Backend!AN65)</f>
        <v/>
      </c>
      <c r="AN38" t="str">
        <f>IF(Backend!AO65="", "", Backend!AO65)</f>
        <v/>
      </c>
      <c r="AO38" t="str">
        <f>IF(Backend!AP65="", "", Backend!AP65)</f>
        <v/>
      </c>
      <c r="AP38" t="str">
        <f>IF(Backend!AQ65="", "", Backend!AQ65)</f>
        <v/>
      </c>
      <c r="AQ38" t="str">
        <f>IF(Backend!AR65="", "", Backend!AR65)</f>
        <v/>
      </c>
      <c r="AR38" t="str">
        <f>IF(Backend!AS65="", "", Backend!AS65)</f>
        <v/>
      </c>
      <c r="AS38" t="str">
        <f>IF(Backend!AT65="", "", Backend!AT65)</f>
        <v/>
      </c>
      <c r="AT38" t="str">
        <f>IF(Backend!AU65="", "", Backend!AU65)</f>
        <v/>
      </c>
      <c r="AU38" t="str">
        <f>IF(Backend!AV65="", "", Backend!AV65)</f>
        <v/>
      </c>
      <c r="AV38" t="str">
        <f>IF(Backend!AW65="", "", Backend!AW65)</f>
        <v/>
      </c>
      <c r="AW38" t="str">
        <f>IF(Backend!AX65="", "", Backend!AX65)</f>
        <v/>
      </c>
      <c r="AX38" t="str">
        <f>IF(Backend!AY65="", "", Backend!AY65)</f>
        <v/>
      </c>
      <c r="AY38" t="str">
        <f>IF(Backend!AZ65="", "", Backend!AZ65)</f>
        <v/>
      </c>
      <c r="AZ38" t="str">
        <f>IF(Backend!BA65="", "", Backend!BA65)</f>
        <v/>
      </c>
      <c r="BA38" t="str">
        <f>IF(Backend!BB65="", "", Backend!BB65)</f>
        <v/>
      </c>
      <c r="BB38" t="str">
        <f>IF(Backend!BC65="", "", Backend!BC65)</f>
        <v/>
      </c>
      <c r="BC38" t="str">
        <f>IF(Backend!BD65="", "", Backend!BD65)</f>
        <v/>
      </c>
      <c r="BD38" t="str">
        <f>IF(Backend!BE65="", "", Backend!BE65)</f>
        <v/>
      </c>
      <c r="BE38" t="str">
        <f>IF(Backend!BF65="", "", Backend!BF65)</f>
        <v/>
      </c>
      <c r="BF38" t="str">
        <f>IF(Backend!BG65="", "", Backend!BG65)</f>
        <v/>
      </c>
      <c r="BG38" t="str">
        <f>IF(Backend!BH65="", "", Backend!BH65)</f>
        <v/>
      </c>
      <c r="BH38" t="str">
        <f>IF(Backend!BI65="", "", Backend!BI65)</f>
        <v/>
      </c>
      <c r="BI38" t="str">
        <f>IF(Backend!BJ65="", "", Backend!BJ65)</f>
        <v/>
      </c>
      <c r="BJ38" t="str">
        <f>IF(Backend!BK65="", "", Backend!BK65)</f>
        <v/>
      </c>
      <c r="BK38" t="str">
        <f>IF(Backend!BL65="", "", Backend!BL65)</f>
        <v/>
      </c>
      <c r="BL38" t="str">
        <f>IF(Backend!BM65="", "", Backend!BM65)</f>
        <v/>
      </c>
      <c r="BM38" t="str">
        <f>IF(Backend!BN65="", "", Backend!BN65)</f>
        <v/>
      </c>
      <c r="BN38" t="str">
        <f>IF(Backend!BO65="", "", Backend!BO65)</f>
        <v/>
      </c>
      <c r="BO38" t="str">
        <f>IF(Backend!BP65="", "", Backend!BP65)</f>
        <v/>
      </c>
      <c r="BP38" t="str">
        <f>IF(Backend!BQ65="", "", Backend!BQ65)</f>
        <v/>
      </c>
      <c r="BQ38" t="str">
        <f>IF(Backend!BR65="", "", Backend!BR65)</f>
        <v/>
      </c>
      <c r="BR38" t="str">
        <f>IF(Backend!BS65="", "", Backend!BS65)</f>
        <v/>
      </c>
      <c r="BS38" t="str">
        <f>IF(Backend!BT65="", "", Backend!BT65)</f>
        <v/>
      </c>
      <c r="BT38" t="str">
        <f>IF(Backend!BU65="", "", Backend!BU65)</f>
        <v/>
      </c>
      <c r="BU38" t="str">
        <f>IF(Backend!BV65="", "", Backend!BV65)</f>
        <v/>
      </c>
      <c r="BV38" t="str">
        <f>IF(Backend!BW65="", "", Backend!BW65)</f>
        <v/>
      </c>
      <c r="BW38" t="str">
        <f>IF(Backend!BX65="", "", Backend!BX65)</f>
        <v/>
      </c>
      <c r="BX38" t="str">
        <f>IF(Backend!BY65="", "", Backend!BY65)</f>
        <v/>
      </c>
      <c r="BY38" t="str">
        <f>IF(Backend!BZ65="", "", Backend!BZ65)</f>
        <v/>
      </c>
      <c r="BZ38" t="str">
        <f>IF(Backend!CA65="", "", Backend!CA65)</f>
        <v/>
      </c>
      <c r="CA38" t="str">
        <f>IF(Backend!CB65="", "", Backend!CB65)</f>
        <v/>
      </c>
      <c r="CB38" t="str">
        <f>IF(Backend!CC65="", "", Backend!CC65)</f>
        <v/>
      </c>
      <c r="CC38" t="str">
        <f>IF(Backend!CD65="", "", Backend!CD65)</f>
        <v/>
      </c>
    </row>
    <row r="39" spans="1:81" x14ac:dyDescent="0.25">
      <c r="A39" s="4"/>
      <c r="B39" t="str">
        <f>IF(Backend!C66="", "", Backend!C66)</f>
        <v/>
      </c>
      <c r="C39" t="str">
        <f>IF(Backend!D66="", "", Backend!D66)</f>
        <v/>
      </c>
      <c r="D39" t="str">
        <f>IF(Backend!E66="", "", Backend!E66)</f>
        <v/>
      </c>
      <c r="E39" t="str">
        <f>IF(Backend!F66="", "", Backend!F66)</f>
        <v/>
      </c>
      <c r="F39" t="str">
        <f>IF(Backend!G66="", "", Backend!G66)</f>
        <v/>
      </c>
      <c r="G39" t="str">
        <f>IF(Backend!H66="", "", Backend!H66)</f>
        <v/>
      </c>
      <c r="H39" t="str">
        <f>IF(Backend!I66="", "", Backend!I66)</f>
        <v/>
      </c>
      <c r="I39" t="str">
        <f>IF(Backend!J66="", "", Backend!J66)</f>
        <v/>
      </c>
      <c r="J39" t="str">
        <f>IF(Backend!K66="", "", Backend!K66)</f>
        <v/>
      </c>
      <c r="K39" t="str">
        <f>IF(Backend!L66="", "", Backend!L66)</f>
        <v/>
      </c>
      <c r="L39" t="str">
        <f>IF(Backend!M66="", "", Backend!M66)</f>
        <v/>
      </c>
      <c r="M39" t="str">
        <f>IF(Backend!N66="", "", Backend!N66)</f>
        <v/>
      </c>
      <c r="N39" t="str">
        <f>IF(Backend!O66="", "", Backend!O66)</f>
        <v/>
      </c>
      <c r="O39" t="str">
        <f>IF(Backend!P66="", "", Backend!P66)</f>
        <v/>
      </c>
      <c r="P39" t="str">
        <f>IF(Backend!Q66="", "", Backend!Q66)</f>
        <v/>
      </c>
      <c r="Q39" t="str">
        <f>IF(Backend!R66="", "", Backend!R66)</f>
        <v/>
      </c>
      <c r="R39" t="str">
        <f>IF(Backend!S66="", "", Backend!S66)</f>
        <v/>
      </c>
      <c r="S39" t="str">
        <f>IF(Backend!T66="", "", Backend!T66)</f>
        <v/>
      </c>
      <c r="T39" t="str">
        <f>IF(Backend!U66="", "", Backend!U66)</f>
        <v/>
      </c>
      <c r="U39" t="str">
        <f>IF(Backend!V66="", "", Backend!V66)</f>
        <v/>
      </c>
      <c r="V39" t="str">
        <f>IF(Backend!W66="", "", Backend!W66)</f>
        <v/>
      </c>
      <c r="W39" t="str">
        <f>IF(Backend!X66="", "", Backend!X66)</f>
        <v/>
      </c>
      <c r="X39" t="str">
        <f>IF(Backend!Y66="", "", Backend!Y66)</f>
        <v/>
      </c>
      <c r="Y39" t="str">
        <f>IF(Backend!Z66="", "", Backend!Z66)</f>
        <v/>
      </c>
      <c r="Z39" t="str">
        <f>IF(Backend!AA66="", "", Backend!AA66)</f>
        <v/>
      </c>
      <c r="AA39" t="str">
        <f>IF(Backend!AB66="", "", Backend!AB66)</f>
        <v/>
      </c>
      <c r="AB39" t="str">
        <f>IF(Backend!AC66="", "", Backend!AC66)</f>
        <v/>
      </c>
      <c r="AC39" t="str">
        <f>IF(Backend!AD66="", "", Backend!AD66)</f>
        <v/>
      </c>
      <c r="AD39" t="str">
        <f>IF(Backend!AE66="", "", Backend!AE66)</f>
        <v/>
      </c>
      <c r="AE39" t="str">
        <f>IF(Backend!AF66="", "", Backend!AF66)</f>
        <v/>
      </c>
      <c r="AF39" t="str">
        <f>IF(Backend!AG66="", "", Backend!AG66)</f>
        <v/>
      </c>
      <c r="AG39" t="str">
        <f>IF(Backend!AH66="", "", Backend!AH66)</f>
        <v/>
      </c>
      <c r="AH39" t="str">
        <f>IF(Backend!AI66="", "", Backend!AI66)</f>
        <v/>
      </c>
      <c r="AI39" t="str">
        <f>IF(Backend!AJ66="", "", Backend!AJ66)</f>
        <v/>
      </c>
      <c r="AJ39" t="str">
        <f>IF(Backend!AK66="", "", Backend!AK66)</f>
        <v/>
      </c>
      <c r="AK39" t="str">
        <f>IF(Backend!AL66="", "", Backend!AL66)</f>
        <v/>
      </c>
      <c r="AL39" t="str">
        <f>IF(Backend!AM66="", "", Backend!AM66)</f>
        <v/>
      </c>
      <c r="AM39" t="str">
        <f>IF(Backend!AN66="", "", Backend!AN66)</f>
        <v/>
      </c>
      <c r="AN39" t="str">
        <f>IF(Backend!AO66="", "", Backend!AO66)</f>
        <v/>
      </c>
      <c r="AO39" t="str">
        <f>IF(Backend!AP66="", "", Backend!AP66)</f>
        <v/>
      </c>
      <c r="AP39" t="str">
        <f>IF(Backend!AQ66="", "", Backend!AQ66)</f>
        <v/>
      </c>
      <c r="AQ39" t="str">
        <f>IF(Backend!AR66="", "", Backend!AR66)</f>
        <v/>
      </c>
      <c r="AR39" t="str">
        <f>IF(Backend!AS66="", "", Backend!AS66)</f>
        <v/>
      </c>
      <c r="AS39" t="str">
        <f>IF(Backend!AT66="", "", Backend!AT66)</f>
        <v/>
      </c>
      <c r="AT39" t="str">
        <f>IF(Backend!AU66="", "", Backend!AU66)</f>
        <v/>
      </c>
      <c r="AU39" t="str">
        <f>IF(Backend!AV66="", "", Backend!AV66)</f>
        <v/>
      </c>
      <c r="AV39" t="str">
        <f>IF(Backend!AW66="", "", Backend!AW66)</f>
        <v/>
      </c>
      <c r="AW39" t="str">
        <f>IF(Backend!AX66="", "", Backend!AX66)</f>
        <v/>
      </c>
      <c r="AX39" t="str">
        <f>IF(Backend!AY66="", "", Backend!AY66)</f>
        <v/>
      </c>
      <c r="AY39" t="str">
        <f>IF(Backend!AZ66="", "", Backend!AZ66)</f>
        <v/>
      </c>
      <c r="AZ39" t="str">
        <f>IF(Backend!BA66="", "", Backend!BA66)</f>
        <v/>
      </c>
      <c r="BA39" t="str">
        <f>IF(Backend!BB66="", "", Backend!BB66)</f>
        <v/>
      </c>
      <c r="BB39" t="str">
        <f>IF(Backend!BC66="", "", Backend!BC66)</f>
        <v/>
      </c>
      <c r="BC39" t="str">
        <f>IF(Backend!BD66="", "", Backend!BD66)</f>
        <v/>
      </c>
      <c r="BD39" t="str">
        <f>IF(Backend!BE66="", "", Backend!BE66)</f>
        <v/>
      </c>
      <c r="BE39" t="str">
        <f>IF(Backend!BF66="", "", Backend!BF66)</f>
        <v/>
      </c>
      <c r="BF39" t="str">
        <f>IF(Backend!BG66="", "", Backend!BG66)</f>
        <v/>
      </c>
      <c r="BG39" t="str">
        <f>IF(Backend!BH66="", "", Backend!BH66)</f>
        <v/>
      </c>
      <c r="BH39" t="str">
        <f>IF(Backend!BI66="", "", Backend!BI66)</f>
        <v/>
      </c>
      <c r="BI39" t="str">
        <f>IF(Backend!BJ66="", "", Backend!BJ66)</f>
        <v/>
      </c>
      <c r="BJ39" t="str">
        <f>IF(Backend!BK66="", "", Backend!BK66)</f>
        <v/>
      </c>
      <c r="BK39" t="str">
        <f>IF(Backend!BL66="", "", Backend!BL66)</f>
        <v/>
      </c>
      <c r="BL39" t="str">
        <f>IF(Backend!BM66="", "", Backend!BM66)</f>
        <v/>
      </c>
      <c r="BM39" t="str">
        <f>IF(Backend!BN66="", "", Backend!BN66)</f>
        <v/>
      </c>
      <c r="BN39" t="str">
        <f>IF(Backend!BO66="", "", Backend!BO66)</f>
        <v/>
      </c>
      <c r="BO39" t="str">
        <f>IF(Backend!BP66="", "", Backend!BP66)</f>
        <v/>
      </c>
      <c r="BP39" t="str">
        <f>IF(Backend!BQ66="", "", Backend!BQ66)</f>
        <v/>
      </c>
      <c r="BQ39" t="str">
        <f>IF(Backend!BR66="", "", Backend!BR66)</f>
        <v/>
      </c>
      <c r="BR39" t="str">
        <f>IF(Backend!BS66="", "", Backend!BS66)</f>
        <v/>
      </c>
      <c r="BS39" t="str">
        <f>IF(Backend!BT66="", "", Backend!BT66)</f>
        <v/>
      </c>
      <c r="BT39" t="str">
        <f>IF(Backend!BU66="", "", Backend!BU66)</f>
        <v/>
      </c>
      <c r="BU39" t="str">
        <f>IF(Backend!BV66="", "", Backend!BV66)</f>
        <v/>
      </c>
      <c r="BV39" t="str">
        <f>IF(Backend!BW66="", "", Backend!BW66)</f>
        <v/>
      </c>
      <c r="BW39" t="str">
        <f>IF(Backend!BX66="", "", Backend!BX66)</f>
        <v/>
      </c>
      <c r="BX39" t="str">
        <f>IF(Backend!BY66="", "", Backend!BY66)</f>
        <v/>
      </c>
      <c r="BY39" t="str">
        <f>IF(Backend!BZ66="", "", Backend!BZ66)</f>
        <v/>
      </c>
      <c r="BZ39" t="str">
        <f>IF(Backend!CA66="", "", Backend!CA66)</f>
        <v/>
      </c>
      <c r="CA39" t="str">
        <f>IF(Backend!CB66="", "", Backend!CB66)</f>
        <v/>
      </c>
      <c r="CB39" t="str">
        <f>IF(Backend!CC66="", "", Backend!CC66)</f>
        <v/>
      </c>
      <c r="CC39" t="str">
        <f>IF(Backend!CD66="", "", Backend!CD66)</f>
        <v/>
      </c>
    </row>
    <row r="40" spans="1:81" x14ac:dyDescent="0.25">
      <c r="A40" s="4"/>
      <c r="B40" t="str">
        <f>IF(Backend!C67="", "", Backend!C67)</f>
        <v/>
      </c>
      <c r="C40" t="str">
        <f>IF(Backend!D67="", "", Backend!D67)</f>
        <v/>
      </c>
      <c r="D40" t="str">
        <f>IF(Backend!E67="", "", Backend!E67)</f>
        <v/>
      </c>
      <c r="E40" t="str">
        <f>IF(Backend!F67="", "", Backend!F67)</f>
        <v/>
      </c>
      <c r="F40" t="str">
        <f>IF(Backend!G67="", "", Backend!G67)</f>
        <v/>
      </c>
      <c r="G40" t="str">
        <f>IF(Backend!H67="", "", Backend!H67)</f>
        <v/>
      </c>
      <c r="H40" t="str">
        <f>IF(Backend!I67="", "", Backend!I67)</f>
        <v/>
      </c>
      <c r="I40" t="str">
        <f>IF(Backend!J67="", "", Backend!J67)</f>
        <v/>
      </c>
      <c r="J40" t="str">
        <f>IF(Backend!K67="", "", Backend!K67)</f>
        <v/>
      </c>
      <c r="K40" t="str">
        <f>IF(Backend!L67="", "", Backend!L67)</f>
        <v/>
      </c>
      <c r="L40" t="str">
        <f>IF(Backend!M67="", "", Backend!M67)</f>
        <v/>
      </c>
      <c r="M40" t="str">
        <f>IF(Backend!N67="", "", Backend!N67)</f>
        <v/>
      </c>
      <c r="N40" t="str">
        <f>IF(Backend!O67="", "", Backend!O67)</f>
        <v/>
      </c>
      <c r="O40" t="str">
        <f>IF(Backend!P67="", "", Backend!P67)</f>
        <v/>
      </c>
      <c r="P40" t="str">
        <f>IF(Backend!Q67="", "", Backend!Q67)</f>
        <v/>
      </c>
      <c r="Q40" t="str">
        <f>IF(Backend!R67="", "", Backend!R67)</f>
        <v/>
      </c>
      <c r="R40" t="str">
        <f>IF(Backend!S67="", "", Backend!S67)</f>
        <v/>
      </c>
      <c r="S40" t="str">
        <f>IF(Backend!T67="", "", Backend!T67)</f>
        <v/>
      </c>
      <c r="T40" t="str">
        <f>IF(Backend!U67="", "", Backend!U67)</f>
        <v/>
      </c>
      <c r="U40" t="str">
        <f>IF(Backend!V67="", "", Backend!V67)</f>
        <v/>
      </c>
      <c r="V40" t="str">
        <f>IF(Backend!W67="", "", Backend!W67)</f>
        <v/>
      </c>
      <c r="W40" t="str">
        <f>IF(Backend!X67="", "", Backend!X67)</f>
        <v/>
      </c>
      <c r="X40" t="str">
        <f>IF(Backend!Y67="", "", Backend!Y67)</f>
        <v/>
      </c>
      <c r="Y40" t="str">
        <f>IF(Backend!Z67="", "", Backend!Z67)</f>
        <v/>
      </c>
      <c r="Z40" t="str">
        <f>IF(Backend!AA67="", "", Backend!AA67)</f>
        <v/>
      </c>
      <c r="AA40" t="str">
        <f>IF(Backend!AB67="", "", Backend!AB67)</f>
        <v/>
      </c>
      <c r="AB40" t="str">
        <f>IF(Backend!AC67="", "", Backend!AC67)</f>
        <v/>
      </c>
      <c r="AC40" t="str">
        <f>IF(Backend!AD67="", "", Backend!AD67)</f>
        <v/>
      </c>
      <c r="AD40" t="str">
        <f>IF(Backend!AE67="", "", Backend!AE67)</f>
        <v/>
      </c>
      <c r="AE40" t="str">
        <f>IF(Backend!AF67="", "", Backend!AF67)</f>
        <v/>
      </c>
      <c r="AF40" t="str">
        <f>IF(Backend!AG67="", "", Backend!AG67)</f>
        <v/>
      </c>
      <c r="AG40" t="str">
        <f>IF(Backend!AH67="", "", Backend!AH67)</f>
        <v/>
      </c>
      <c r="AH40" t="str">
        <f>IF(Backend!AI67="", "", Backend!AI67)</f>
        <v/>
      </c>
      <c r="AI40" t="str">
        <f>IF(Backend!AJ67="", "", Backend!AJ67)</f>
        <v/>
      </c>
      <c r="AJ40" t="str">
        <f>IF(Backend!AK67="", "", Backend!AK67)</f>
        <v/>
      </c>
      <c r="AK40" t="str">
        <f>IF(Backend!AL67="", "", Backend!AL67)</f>
        <v/>
      </c>
      <c r="AL40" t="str">
        <f>IF(Backend!AM67="", "", Backend!AM67)</f>
        <v/>
      </c>
      <c r="AM40" t="str">
        <f>IF(Backend!AN67="", "", Backend!AN67)</f>
        <v/>
      </c>
      <c r="AN40" t="str">
        <f>IF(Backend!AO67="", "", Backend!AO67)</f>
        <v/>
      </c>
      <c r="AO40" t="str">
        <f>IF(Backend!AP67="", "", Backend!AP67)</f>
        <v/>
      </c>
      <c r="AP40" t="str">
        <f>IF(Backend!AQ67="", "", Backend!AQ67)</f>
        <v/>
      </c>
      <c r="AQ40" t="str">
        <f>IF(Backend!AR67="", "", Backend!AR67)</f>
        <v/>
      </c>
      <c r="AR40" t="str">
        <f>IF(Backend!AS67="", "", Backend!AS67)</f>
        <v/>
      </c>
      <c r="AS40" t="str">
        <f>IF(Backend!AT67="", "", Backend!AT67)</f>
        <v/>
      </c>
      <c r="AT40" t="str">
        <f>IF(Backend!AU67="", "", Backend!AU67)</f>
        <v/>
      </c>
      <c r="AU40" t="str">
        <f>IF(Backend!AV67="", "", Backend!AV67)</f>
        <v/>
      </c>
      <c r="AV40" t="str">
        <f>IF(Backend!AW67="", "", Backend!AW67)</f>
        <v/>
      </c>
      <c r="AW40" t="str">
        <f>IF(Backend!AX67="", "", Backend!AX67)</f>
        <v/>
      </c>
      <c r="AX40" t="str">
        <f>IF(Backend!AY67="", "", Backend!AY67)</f>
        <v/>
      </c>
      <c r="AY40" t="str">
        <f>IF(Backend!AZ67="", "", Backend!AZ67)</f>
        <v/>
      </c>
      <c r="AZ40" t="str">
        <f>IF(Backend!BA67="", "", Backend!BA67)</f>
        <v/>
      </c>
      <c r="BA40" t="str">
        <f>IF(Backend!BB67="", "", Backend!BB67)</f>
        <v/>
      </c>
      <c r="BB40" t="str">
        <f>IF(Backend!BC67="", "", Backend!BC67)</f>
        <v/>
      </c>
      <c r="BC40" t="str">
        <f>IF(Backend!BD67="", "", Backend!BD67)</f>
        <v/>
      </c>
      <c r="BD40" t="str">
        <f>IF(Backend!BE67="", "", Backend!BE67)</f>
        <v/>
      </c>
      <c r="BE40" t="str">
        <f>IF(Backend!BF67="", "", Backend!BF67)</f>
        <v/>
      </c>
      <c r="BF40" t="str">
        <f>IF(Backend!BG67="", "", Backend!BG67)</f>
        <v/>
      </c>
      <c r="BG40" t="str">
        <f>IF(Backend!BH67="", "", Backend!BH67)</f>
        <v/>
      </c>
      <c r="BH40" t="str">
        <f>IF(Backend!BI67="", "", Backend!BI67)</f>
        <v/>
      </c>
      <c r="BI40" t="str">
        <f>IF(Backend!BJ67="", "", Backend!BJ67)</f>
        <v/>
      </c>
      <c r="BJ40" t="str">
        <f>IF(Backend!BK67="", "", Backend!BK67)</f>
        <v/>
      </c>
      <c r="BK40" t="str">
        <f>IF(Backend!BL67="", "", Backend!BL67)</f>
        <v/>
      </c>
      <c r="BL40" t="str">
        <f>IF(Backend!BM67="", "", Backend!BM67)</f>
        <v/>
      </c>
      <c r="BM40" t="str">
        <f>IF(Backend!BN67="", "", Backend!BN67)</f>
        <v/>
      </c>
      <c r="BN40" t="str">
        <f>IF(Backend!BO67="", "", Backend!BO67)</f>
        <v/>
      </c>
      <c r="BO40" t="str">
        <f>IF(Backend!BP67="", "", Backend!BP67)</f>
        <v/>
      </c>
      <c r="BP40" t="str">
        <f>IF(Backend!BQ67="", "", Backend!BQ67)</f>
        <v/>
      </c>
      <c r="BQ40" t="str">
        <f>IF(Backend!BR67="", "", Backend!BR67)</f>
        <v/>
      </c>
      <c r="BR40" t="str">
        <f>IF(Backend!BS67="", "", Backend!BS67)</f>
        <v/>
      </c>
      <c r="BS40" t="str">
        <f>IF(Backend!BT67="", "", Backend!BT67)</f>
        <v/>
      </c>
      <c r="BT40" t="str">
        <f>IF(Backend!BU67="", "", Backend!BU67)</f>
        <v/>
      </c>
      <c r="BU40" t="str">
        <f>IF(Backend!BV67="", "", Backend!BV67)</f>
        <v/>
      </c>
      <c r="BV40" t="str">
        <f>IF(Backend!BW67="", "", Backend!BW67)</f>
        <v/>
      </c>
      <c r="BW40" t="str">
        <f>IF(Backend!BX67="", "", Backend!BX67)</f>
        <v/>
      </c>
      <c r="BX40" t="str">
        <f>IF(Backend!BY67="", "", Backend!BY67)</f>
        <v/>
      </c>
      <c r="BY40" t="str">
        <f>IF(Backend!BZ67="", "", Backend!BZ67)</f>
        <v/>
      </c>
      <c r="BZ40" t="str">
        <f>IF(Backend!CA67="", "", Backend!CA67)</f>
        <v/>
      </c>
      <c r="CA40" t="str">
        <f>IF(Backend!CB67="", "", Backend!CB67)</f>
        <v/>
      </c>
      <c r="CB40" t="str">
        <f>IF(Backend!CC67="", "", Backend!CC67)</f>
        <v/>
      </c>
      <c r="CC40" t="str">
        <f>IF(Backend!CD67="", "", Backend!CD67)</f>
        <v/>
      </c>
    </row>
    <row r="41" spans="1:81" x14ac:dyDescent="0.25">
      <c r="A41" s="4"/>
      <c r="B41" t="str">
        <f>IF(Backend!C68="", "", Backend!C68)</f>
        <v/>
      </c>
      <c r="C41" t="str">
        <f>IF(Backend!D68="", "", Backend!D68)</f>
        <v/>
      </c>
      <c r="D41" t="str">
        <f>IF(Backend!E68="", "", Backend!E68)</f>
        <v/>
      </c>
      <c r="E41" t="str">
        <f>IF(Backend!F68="", "", Backend!F68)</f>
        <v/>
      </c>
      <c r="F41" t="str">
        <f>IF(Backend!G68="", "", Backend!G68)</f>
        <v/>
      </c>
      <c r="G41" t="str">
        <f>IF(Backend!H68="", "", Backend!H68)</f>
        <v/>
      </c>
      <c r="H41" t="str">
        <f>IF(Backend!I68="", "", Backend!I68)</f>
        <v/>
      </c>
      <c r="I41" t="str">
        <f>IF(Backend!J68="", "", Backend!J68)</f>
        <v/>
      </c>
      <c r="J41" t="str">
        <f>IF(Backend!K68="", "", Backend!K68)</f>
        <v/>
      </c>
      <c r="K41" t="str">
        <f>IF(Backend!L68="", "", Backend!L68)</f>
        <v/>
      </c>
      <c r="L41" t="str">
        <f>IF(Backend!M68="", "", Backend!M68)</f>
        <v/>
      </c>
      <c r="M41" t="str">
        <f>IF(Backend!N68="", "", Backend!N68)</f>
        <v/>
      </c>
      <c r="N41" t="str">
        <f>IF(Backend!O68="", "", Backend!O68)</f>
        <v/>
      </c>
      <c r="O41" t="str">
        <f>IF(Backend!P68="", "", Backend!P68)</f>
        <v/>
      </c>
      <c r="P41" t="str">
        <f>IF(Backend!Q68="", "", Backend!Q68)</f>
        <v/>
      </c>
      <c r="Q41" t="str">
        <f>IF(Backend!R68="", "", Backend!R68)</f>
        <v/>
      </c>
      <c r="R41" t="str">
        <f>IF(Backend!S68="", "", Backend!S68)</f>
        <v/>
      </c>
      <c r="S41" t="str">
        <f>IF(Backend!T68="", "", Backend!T68)</f>
        <v/>
      </c>
      <c r="T41" t="str">
        <f>IF(Backend!U68="", "", Backend!U68)</f>
        <v/>
      </c>
      <c r="U41" t="str">
        <f>IF(Backend!V68="", "", Backend!V68)</f>
        <v/>
      </c>
      <c r="V41" t="str">
        <f>IF(Backend!W68="", "", Backend!W68)</f>
        <v/>
      </c>
      <c r="W41" t="str">
        <f>IF(Backend!X68="", "", Backend!X68)</f>
        <v/>
      </c>
      <c r="X41" t="str">
        <f>IF(Backend!Y68="", "", Backend!Y68)</f>
        <v/>
      </c>
      <c r="Y41" t="str">
        <f>IF(Backend!Z68="", "", Backend!Z68)</f>
        <v/>
      </c>
      <c r="Z41" t="str">
        <f>IF(Backend!AA68="", "", Backend!AA68)</f>
        <v/>
      </c>
      <c r="AA41" t="str">
        <f>IF(Backend!AB68="", "", Backend!AB68)</f>
        <v/>
      </c>
      <c r="AB41" t="str">
        <f>IF(Backend!AC68="", "", Backend!AC68)</f>
        <v/>
      </c>
      <c r="AC41" t="str">
        <f>IF(Backend!AD68="", "", Backend!AD68)</f>
        <v/>
      </c>
      <c r="AD41" t="str">
        <f>IF(Backend!AE68="", "", Backend!AE68)</f>
        <v/>
      </c>
      <c r="AE41" t="str">
        <f>IF(Backend!AF68="", "", Backend!AF68)</f>
        <v/>
      </c>
      <c r="AF41" t="str">
        <f>IF(Backend!AG68="", "", Backend!AG68)</f>
        <v/>
      </c>
      <c r="AG41" t="str">
        <f>IF(Backend!AH68="", "", Backend!AH68)</f>
        <v/>
      </c>
      <c r="AH41" t="str">
        <f>IF(Backend!AI68="", "", Backend!AI68)</f>
        <v/>
      </c>
      <c r="AI41" t="str">
        <f>IF(Backend!AJ68="", "", Backend!AJ68)</f>
        <v/>
      </c>
      <c r="AJ41" t="str">
        <f>IF(Backend!AK68="", "", Backend!AK68)</f>
        <v/>
      </c>
      <c r="AK41" t="str">
        <f>IF(Backend!AL68="", "", Backend!AL68)</f>
        <v/>
      </c>
      <c r="AL41" t="str">
        <f>IF(Backend!AM68="", "", Backend!AM68)</f>
        <v/>
      </c>
      <c r="AM41" t="str">
        <f>IF(Backend!AN68="", "", Backend!AN68)</f>
        <v/>
      </c>
      <c r="AN41" t="str">
        <f>IF(Backend!AO68="", "", Backend!AO68)</f>
        <v/>
      </c>
      <c r="AO41" t="str">
        <f>IF(Backend!AP68="", "", Backend!AP68)</f>
        <v/>
      </c>
      <c r="AP41" t="str">
        <f>IF(Backend!AQ68="", "", Backend!AQ68)</f>
        <v/>
      </c>
      <c r="AQ41" t="str">
        <f>IF(Backend!AR68="", "", Backend!AR68)</f>
        <v/>
      </c>
      <c r="AR41" t="str">
        <f>IF(Backend!AS68="", "", Backend!AS68)</f>
        <v/>
      </c>
      <c r="AS41" t="str">
        <f>IF(Backend!AT68="", "", Backend!AT68)</f>
        <v/>
      </c>
      <c r="AT41" t="str">
        <f>IF(Backend!AU68="", "", Backend!AU68)</f>
        <v/>
      </c>
      <c r="AU41" t="str">
        <f>IF(Backend!AV68="", "", Backend!AV68)</f>
        <v/>
      </c>
      <c r="AV41" t="str">
        <f>IF(Backend!AW68="", "", Backend!AW68)</f>
        <v/>
      </c>
      <c r="AW41" t="str">
        <f>IF(Backend!AX68="", "", Backend!AX68)</f>
        <v/>
      </c>
      <c r="AX41" t="str">
        <f>IF(Backend!AY68="", "", Backend!AY68)</f>
        <v/>
      </c>
      <c r="AY41" t="str">
        <f>IF(Backend!AZ68="", "", Backend!AZ68)</f>
        <v/>
      </c>
      <c r="AZ41" t="str">
        <f>IF(Backend!BA68="", "", Backend!BA68)</f>
        <v/>
      </c>
      <c r="BA41" t="str">
        <f>IF(Backend!BB68="", "", Backend!BB68)</f>
        <v/>
      </c>
      <c r="BB41" t="str">
        <f>IF(Backend!BC68="", "", Backend!BC68)</f>
        <v/>
      </c>
      <c r="BC41" t="str">
        <f>IF(Backend!BD68="", "", Backend!BD68)</f>
        <v/>
      </c>
      <c r="BD41" t="str">
        <f>IF(Backend!BE68="", "", Backend!BE68)</f>
        <v/>
      </c>
      <c r="BE41" t="str">
        <f>IF(Backend!BF68="", "", Backend!BF68)</f>
        <v/>
      </c>
      <c r="BF41" t="str">
        <f>IF(Backend!BG68="", "", Backend!BG68)</f>
        <v/>
      </c>
      <c r="BG41" t="str">
        <f>IF(Backend!BH68="", "", Backend!BH68)</f>
        <v/>
      </c>
      <c r="BH41" t="str">
        <f>IF(Backend!BI68="", "", Backend!BI68)</f>
        <v/>
      </c>
      <c r="BI41" t="str">
        <f>IF(Backend!BJ68="", "", Backend!BJ68)</f>
        <v/>
      </c>
      <c r="BJ41" t="str">
        <f>IF(Backend!BK68="", "", Backend!BK68)</f>
        <v/>
      </c>
      <c r="BK41" t="str">
        <f>IF(Backend!BL68="", "", Backend!BL68)</f>
        <v/>
      </c>
      <c r="BL41" t="str">
        <f>IF(Backend!BM68="", "", Backend!BM68)</f>
        <v/>
      </c>
      <c r="BM41" t="str">
        <f>IF(Backend!BN68="", "", Backend!BN68)</f>
        <v/>
      </c>
      <c r="BN41" t="str">
        <f>IF(Backend!BO68="", "", Backend!BO68)</f>
        <v/>
      </c>
      <c r="BO41" t="str">
        <f>IF(Backend!BP68="", "", Backend!BP68)</f>
        <v/>
      </c>
      <c r="BP41" t="str">
        <f>IF(Backend!BQ68="", "", Backend!BQ68)</f>
        <v/>
      </c>
      <c r="BQ41" t="str">
        <f>IF(Backend!BR68="", "", Backend!BR68)</f>
        <v/>
      </c>
      <c r="BR41" t="str">
        <f>IF(Backend!BS68="", "", Backend!BS68)</f>
        <v/>
      </c>
      <c r="BS41" t="str">
        <f>IF(Backend!BT68="", "", Backend!BT68)</f>
        <v/>
      </c>
      <c r="BT41" t="str">
        <f>IF(Backend!BU68="", "", Backend!BU68)</f>
        <v/>
      </c>
      <c r="BU41" t="str">
        <f>IF(Backend!BV68="", "", Backend!BV68)</f>
        <v/>
      </c>
      <c r="BV41" t="str">
        <f>IF(Backend!BW68="", "", Backend!BW68)</f>
        <v/>
      </c>
      <c r="BW41" t="str">
        <f>IF(Backend!BX68="", "", Backend!BX68)</f>
        <v/>
      </c>
      <c r="BX41" t="str">
        <f>IF(Backend!BY68="", "", Backend!BY68)</f>
        <v/>
      </c>
      <c r="BY41" t="str">
        <f>IF(Backend!BZ68="", "", Backend!BZ68)</f>
        <v/>
      </c>
      <c r="BZ41" t="str">
        <f>IF(Backend!CA68="", "", Backend!CA68)</f>
        <v/>
      </c>
      <c r="CA41" t="str">
        <f>IF(Backend!CB68="", "", Backend!CB68)</f>
        <v/>
      </c>
      <c r="CB41" t="str">
        <f>IF(Backend!CC68="", "", Backend!CC68)</f>
        <v/>
      </c>
      <c r="CC41" t="str">
        <f>IF(Backend!CD68="", "", Backend!CD68)</f>
        <v/>
      </c>
    </row>
    <row r="42" spans="1:81" x14ac:dyDescent="0.25">
      <c r="A42" s="4" t="str">
        <f>IF(Backend!A69="", "", Backend!A69)</f>
        <v/>
      </c>
      <c r="B42" t="str">
        <f>IF(Backend!C69="", "", Backend!C69)</f>
        <v/>
      </c>
      <c r="C42" t="str">
        <f>IF(Backend!D69="", "", Backend!D69)</f>
        <v/>
      </c>
      <c r="D42" t="str">
        <f>IF(Backend!E69="", "", Backend!E69)</f>
        <v/>
      </c>
      <c r="E42" t="str">
        <f>IF(Backend!F69="", "", Backend!F69)</f>
        <v/>
      </c>
      <c r="F42" t="str">
        <f>IF(Backend!G69="", "", Backend!G69)</f>
        <v/>
      </c>
      <c r="G42" t="str">
        <f>IF(Backend!H69="", "", Backend!H69)</f>
        <v/>
      </c>
      <c r="H42" t="str">
        <f>IF(Backend!I69="", "", Backend!I69)</f>
        <v/>
      </c>
      <c r="I42" t="str">
        <f>IF(Backend!J69="", "", Backend!J69)</f>
        <v/>
      </c>
      <c r="J42" t="str">
        <f>IF(Backend!K69="", "", Backend!K69)</f>
        <v/>
      </c>
      <c r="K42" t="str">
        <f>IF(Backend!L69="", "", Backend!L69)</f>
        <v/>
      </c>
      <c r="L42" t="str">
        <f>IF(Backend!M69="", "", Backend!M69)</f>
        <v/>
      </c>
      <c r="M42" t="str">
        <f>IF(Backend!N69="", "", Backend!N69)</f>
        <v/>
      </c>
      <c r="N42" t="str">
        <f>IF(Backend!O69="", "", Backend!O69)</f>
        <v/>
      </c>
      <c r="O42" t="str">
        <f>IF(Backend!P69="", "", Backend!P69)</f>
        <v/>
      </c>
      <c r="P42" t="str">
        <f>IF(Backend!Q69="", "", Backend!Q69)</f>
        <v/>
      </c>
      <c r="Q42" t="str">
        <f>IF(Backend!R69="", "", Backend!R69)</f>
        <v/>
      </c>
      <c r="R42" t="str">
        <f>IF(Backend!S69="", "", Backend!S69)</f>
        <v/>
      </c>
      <c r="S42" t="str">
        <f>IF(Backend!T69="", "", Backend!T69)</f>
        <v/>
      </c>
      <c r="T42" t="str">
        <f>IF(Backend!U69="", "", Backend!U69)</f>
        <v/>
      </c>
      <c r="U42" t="str">
        <f>IF(Backend!V69="", "", Backend!V69)</f>
        <v/>
      </c>
      <c r="V42" t="str">
        <f>IF(Backend!W69="", "", Backend!W69)</f>
        <v/>
      </c>
      <c r="W42" t="str">
        <f>IF(Backend!X69="", "", Backend!X69)</f>
        <v/>
      </c>
      <c r="X42" t="str">
        <f>IF(Backend!Y69="", "", Backend!Y69)</f>
        <v/>
      </c>
      <c r="Y42" t="str">
        <f>IF(Backend!Z69="", "", Backend!Z69)</f>
        <v/>
      </c>
      <c r="Z42" t="str">
        <f>IF(Backend!AA69="", "", Backend!AA69)</f>
        <v/>
      </c>
      <c r="AA42" t="str">
        <f>IF(Backend!AB69="", "", Backend!AB69)</f>
        <v/>
      </c>
      <c r="AB42" t="str">
        <f>IF(Backend!AC69="", "", Backend!AC69)</f>
        <v/>
      </c>
      <c r="AC42" t="str">
        <f>IF(Backend!AD69="", "", Backend!AD69)</f>
        <v/>
      </c>
      <c r="AD42" t="str">
        <f>IF(Backend!AE69="", "", Backend!AE69)</f>
        <v/>
      </c>
      <c r="AE42" t="str">
        <f>IF(Backend!AF69="", "", Backend!AF69)</f>
        <v/>
      </c>
      <c r="AF42" t="str">
        <f>IF(Backend!AG69="", "", Backend!AG69)</f>
        <v/>
      </c>
      <c r="AG42" t="str">
        <f>IF(Backend!AH69="", "", Backend!AH69)</f>
        <v/>
      </c>
      <c r="AH42" t="str">
        <f>IF(Backend!AI69="", "", Backend!AI69)</f>
        <v/>
      </c>
      <c r="AI42" t="str">
        <f>IF(Backend!AJ69="", "", Backend!AJ69)</f>
        <v/>
      </c>
      <c r="AJ42" t="str">
        <f>IF(Backend!AK69="", "", Backend!AK69)</f>
        <v/>
      </c>
      <c r="AK42" t="str">
        <f>IF(Backend!AL69="", "", Backend!AL69)</f>
        <v/>
      </c>
      <c r="AL42" t="str">
        <f>IF(Backend!AM69="", "", Backend!AM69)</f>
        <v/>
      </c>
      <c r="AM42" t="str">
        <f>IF(Backend!AN69="", "", Backend!AN69)</f>
        <v/>
      </c>
      <c r="AN42" t="str">
        <f>IF(Backend!AO69="", "", Backend!AO69)</f>
        <v/>
      </c>
      <c r="AO42" t="str">
        <f>IF(Backend!AP69="", "", Backend!AP69)</f>
        <v/>
      </c>
      <c r="AP42" t="str">
        <f>IF(Backend!AQ69="", "", Backend!AQ69)</f>
        <v/>
      </c>
      <c r="AQ42" t="str">
        <f>IF(Backend!AR69="", "", Backend!AR69)</f>
        <v/>
      </c>
      <c r="AR42" t="str">
        <f>IF(Backend!AS69="", "", Backend!AS69)</f>
        <v/>
      </c>
      <c r="AS42" t="str">
        <f>IF(Backend!AT69="", "", Backend!AT69)</f>
        <v/>
      </c>
      <c r="AT42" t="str">
        <f>IF(Backend!AU69="", "", Backend!AU69)</f>
        <v/>
      </c>
      <c r="AU42" t="str">
        <f>IF(Backend!AV69="", "", Backend!AV69)</f>
        <v/>
      </c>
      <c r="AV42" t="str">
        <f>IF(Backend!AW69="", "", Backend!AW69)</f>
        <v/>
      </c>
      <c r="AW42" t="str">
        <f>IF(Backend!AX69="", "", Backend!AX69)</f>
        <v/>
      </c>
      <c r="AX42" t="str">
        <f>IF(Backend!AY69="", "", Backend!AY69)</f>
        <v/>
      </c>
      <c r="AY42" t="str">
        <f>IF(Backend!AZ69="", "", Backend!AZ69)</f>
        <v/>
      </c>
      <c r="AZ42" t="str">
        <f>IF(Backend!BA69="", "", Backend!BA69)</f>
        <v/>
      </c>
      <c r="BA42" t="str">
        <f>IF(Backend!BB69="", "", Backend!BB69)</f>
        <v/>
      </c>
      <c r="BB42" t="str">
        <f>IF(Backend!BC69="", "", Backend!BC69)</f>
        <v/>
      </c>
      <c r="BC42" t="str">
        <f>IF(Backend!BD69="", "", Backend!BD69)</f>
        <v/>
      </c>
      <c r="BD42" t="str">
        <f>IF(Backend!BE69="", "", Backend!BE69)</f>
        <v/>
      </c>
      <c r="BE42" t="str">
        <f>IF(Backend!BF69="", "", Backend!BF69)</f>
        <v/>
      </c>
      <c r="BF42" t="str">
        <f>IF(Backend!BG69="", "", Backend!BG69)</f>
        <v/>
      </c>
      <c r="BG42" t="str">
        <f>IF(Backend!BH69="", "", Backend!BH69)</f>
        <v/>
      </c>
      <c r="BH42" t="str">
        <f>IF(Backend!BI69="", "", Backend!BI69)</f>
        <v/>
      </c>
      <c r="BI42" t="str">
        <f>IF(Backend!BJ69="", "", Backend!BJ69)</f>
        <v/>
      </c>
      <c r="BJ42" t="str">
        <f>IF(Backend!BK69="", "", Backend!BK69)</f>
        <v/>
      </c>
      <c r="BK42" t="str">
        <f>IF(Backend!BL69="", "", Backend!BL69)</f>
        <v/>
      </c>
      <c r="BL42" t="str">
        <f>IF(Backend!BM69="", "", Backend!BM69)</f>
        <v/>
      </c>
      <c r="BM42" t="str">
        <f>IF(Backend!BN69="", "", Backend!BN69)</f>
        <v/>
      </c>
      <c r="BN42" t="str">
        <f>IF(Backend!BO69="", "", Backend!BO69)</f>
        <v/>
      </c>
      <c r="BO42" t="str">
        <f>IF(Backend!BP69="", "", Backend!BP69)</f>
        <v/>
      </c>
      <c r="BP42" t="str">
        <f>IF(Backend!BQ69="", "", Backend!BQ69)</f>
        <v/>
      </c>
      <c r="BQ42" t="str">
        <f>IF(Backend!BR69="", "", Backend!BR69)</f>
        <v/>
      </c>
      <c r="BR42" t="str">
        <f>IF(Backend!BS69="", "", Backend!BS69)</f>
        <v/>
      </c>
      <c r="BS42" t="str">
        <f>IF(Backend!BT69="", "", Backend!BT69)</f>
        <v/>
      </c>
      <c r="BT42" t="str">
        <f>IF(Backend!BU69="", "", Backend!BU69)</f>
        <v/>
      </c>
      <c r="BU42" t="str">
        <f>IF(Backend!BV69="", "", Backend!BV69)</f>
        <v/>
      </c>
      <c r="BV42" t="str">
        <f>IF(Backend!BW69="", "", Backend!BW69)</f>
        <v/>
      </c>
      <c r="BW42" t="str">
        <f>IF(Backend!BX69="", "", Backend!BX69)</f>
        <v/>
      </c>
      <c r="BX42" t="str">
        <f>IF(Backend!BY69="", "", Backend!BY69)</f>
        <v/>
      </c>
      <c r="BY42" t="str">
        <f>IF(Backend!BZ69="", "", Backend!BZ69)</f>
        <v/>
      </c>
      <c r="BZ42" t="str">
        <f>IF(Backend!CA69="", "", Backend!CA69)</f>
        <v/>
      </c>
      <c r="CA42" t="str">
        <f>IF(Backend!CB69="", "", Backend!CB69)</f>
        <v/>
      </c>
      <c r="CB42" t="str">
        <f>IF(Backend!CC69="", "", Backend!CC69)</f>
        <v/>
      </c>
      <c r="CC42" t="str">
        <f>IF(Backend!CD69="", "", Backend!CD69)</f>
        <v/>
      </c>
    </row>
    <row r="43" spans="1:81" x14ac:dyDescent="0.25">
      <c r="A43" s="4" t="str">
        <f>IF(Backend!A70="", "", Backend!A70)</f>
        <v/>
      </c>
      <c r="B43" t="str">
        <f>IF(Backend!C70="", "", Backend!C70)</f>
        <v/>
      </c>
      <c r="C43" t="str">
        <f>IF(Backend!D70="", "", Backend!D70)</f>
        <v/>
      </c>
      <c r="D43" t="str">
        <f>IF(Backend!E70="", "", Backend!E70)</f>
        <v/>
      </c>
      <c r="E43" t="str">
        <f>IF(Backend!F70="", "", Backend!F70)</f>
        <v/>
      </c>
      <c r="F43" t="str">
        <f>IF(Backend!G70="", "", Backend!G70)</f>
        <v/>
      </c>
      <c r="G43" t="str">
        <f>IF(Backend!H70="", "", Backend!H70)</f>
        <v/>
      </c>
      <c r="H43" t="str">
        <f>IF(Backend!I70="", "", Backend!I70)</f>
        <v/>
      </c>
      <c r="I43" t="str">
        <f>IF(Backend!J70="", "", Backend!J70)</f>
        <v/>
      </c>
      <c r="J43" t="str">
        <f>IF(Backend!K70="", "", Backend!K70)</f>
        <v/>
      </c>
      <c r="K43" t="str">
        <f>IF(Backend!L70="", "", Backend!L70)</f>
        <v/>
      </c>
      <c r="L43" t="str">
        <f>IF(Backend!M70="", "", Backend!M70)</f>
        <v/>
      </c>
      <c r="M43" t="str">
        <f>IF(Backend!N70="", "", Backend!N70)</f>
        <v/>
      </c>
      <c r="N43" t="str">
        <f>IF(Backend!O70="", "", Backend!O70)</f>
        <v/>
      </c>
      <c r="O43" t="str">
        <f>IF(Backend!P70="", "", Backend!P70)</f>
        <v/>
      </c>
      <c r="P43" t="str">
        <f>IF(Backend!Q70="", "", Backend!Q70)</f>
        <v/>
      </c>
      <c r="Q43" t="str">
        <f>IF(Backend!R70="", "", Backend!R70)</f>
        <v/>
      </c>
      <c r="R43" t="str">
        <f>IF(Backend!S70="", "", Backend!S70)</f>
        <v/>
      </c>
      <c r="S43" t="str">
        <f>IF(Backend!T70="", "", Backend!T70)</f>
        <v/>
      </c>
      <c r="T43" t="str">
        <f>IF(Backend!U70="", "", Backend!U70)</f>
        <v/>
      </c>
      <c r="U43" t="str">
        <f>IF(Backend!V70="", "", Backend!V70)</f>
        <v/>
      </c>
      <c r="V43" t="str">
        <f>IF(Backend!W70="", "", Backend!W70)</f>
        <v/>
      </c>
      <c r="W43" t="str">
        <f>IF(Backend!X70="", "", Backend!X70)</f>
        <v/>
      </c>
      <c r="X43" t="str">
        <f>IF(Backend!Y70="", "", Backend!Y70)</f>
        <v/>
      </c>
      <c r="Y43" t="str">
        <f>IF(Backend!Z70="", "", Backend!Z70)</f>
        <v/>
      </c>
      <c r="Z43" t="str">
        <f>IF(Backend!AA70="", "", Backend!AA70)</f>
        <v/>
      </c>
      <c r="AA43" t="str">
        <f>IF(Backend!AB70="", "", Backend!AB70)</f>
        <v/>
      </c>
      <c r="AB43" t="str">
        <f>IF(Backend!AC70="", "", Backend!AC70)</f>
        <v/>
      </c>
      <c r="AC43" t="str">
        <f>IF(Backend!AD70="", "", Backend!AD70)</f>
        <v/>
      </c>
      <c r="AD43" t="str">
        <f>IF(Backend!AE70="", "", Backend!AE70)</f>
        <v/>
      </c>
      <c r="AE43" t="str">
        <f>IF(Backend!AF70="", "", Backend!AF70)</f>
        <v/>
      </c>
      <c r="AF43" t="str">
        <f>IF(Backend!AG70="", "", Backend!AG70)</f>
        <v/>
      </c>
      <c r="AG43" t="str">
        <f>IF(Backend!AH70="", "", Backend!AH70)</f>
        <v/>
      </c>
      <c r="AH43" t="str">
        <f>IF(Backend!AI70="", "", Backend!AI70)</f>
        <v/>
      </c>
      <c r="AI43" t="str">
        <f>IF(Backend!AJ70="", "", Backend!AJ70)</f>
        <v/>
      </c>
      <c r="AJ43" t="str">
        <f>IF(Backend!AK70="", "", Backend!AK70)</f>
        <v/>
      </c>
      <c r="AK43" t="str">
        <f>IF(Backend!AL70="", "", Backend!AL70)</f>
        <v/>
      </c>
      <c r="AL43" t="str">
        <f>IF(Backend!AM70="", "", Backend!AM70)</f>
        <v/>
      </c>
      <c r="AM43" t="str">
        <f>IF(Backend!AN70="", "", Backend!AN70)</f>
        <v/>
      </c>
      <c r="AN43" t="str">
        <f>IF(Backend!AO70="", "", Backend!AO70)</f>
        <v/>
      </c>
      <c r="AO43" t="str">
        <f>IF(Backend!AP70="", "", Backend!AP70)</f>
        <v/>
      </c>
      <c r="AP43" t="str">
        <f>IF(Backend!AQ70="", "", Backend!AQ70)</f>
        <v/>
      </c>
      <c r="AQ43" t="str">
        <f>IF(Backend!AR70="", "", Backend!AR70)</f>
        <v/>
      </c>
      <c r="AR43" t="str">
        <f>IF(Backend!AS70="", "", Backend!AS70)</f>
        <v/>
      </c>
      <c r="AS43" t="str">
        <f>IF(Backend!AT70="", "", Backend!AT70)</f>
        <v/>
      </c>
      <c r="AT43" t="str">
        <f>IF(Backend!AU70="", "", Backend!AU70)</f>
        <v/>
      </c>
      <c r="AU43" t="str">
        <f>IF(Backend!AV70="", "", Backend!AV70)</f>
        <v/>
      </c>
      <c r="AV43" t="str">
        <f>IF(Backend!AW70="", "", Backend!AW70)</f>
        <v/>
      </c>
      <c r="AW43" t="str">
        <f>IF(Backend!AX70="", "", Backend!AX70)</f>
        <v/>
      </c>
      <c r="AX43" t="str">
        <f>IF(Backend!AY70="", "", Backend!AY70)</f>
        <v/>
      </c>
      <c r="AY43" t="str">
        <f>IF(Backend!AZ70="", "", Backend!AZ70)</f>
        <v/>
      </c>
      <c r="AZ43" t="str">
        <f>IF(Backend!BA70="", "", Backend!BA70)</f>
        <v/>
      </c>
      <c r="BA43" t="str">
        <f>IF(Backend!BB70="", "", Backend!BB70)</f>
        <v/>
      </c>
      <c r="BB43" t="str">
        <f>IF(Backend!BC70="", "", Backend!BC70)</f>
        <v/>
      </c>
      <c r="BC43" t="str">
        <f>IF(Backend!BD70="", "", Backend!BD70)</f>
        <v/>
      </c>
      <c r="BD43" t="str">
        <f>IF(Backend!BE70="", "", Backend!BE70)</f>
        <v/>
      </c>
      <c r="BE43" t="str">
        <f>IF(Backend!BF70="", "", Backend!BF70)</f>
        <v/>
      </c>
      <c r="BF43" t="str">
        <f>IF(Backend!BG70="", "", Backend!BG70)</f>
        <v/>
      </c>
      <c r="BG43" t="str">
        <f>IF(Backend!BH70="", "", Backend!BH70)</f>
        <v/>
      </c>
      <c r="BH43" t="str">
        <f>IF(Backend!BI70="", "", Backend!BI70)</f>
        <v/>
      </c>
      <c r="BI43" t="str">
        <f>IF(Backend!BJ70="", "", Backend!BJ70)</f>
        <v/>
      </c>
      <c r="BJ43" t="str">
        <f>IF(Backend!BK70="", "", Backend!BK70)</f>
        <v/>
      </c>
      <c r="BK43" t="str">
        <f>IF(Backend!BL70="", "", Backend!BL70)</f>
        <v/>
      </c>
      <c r="BL43" t="str">
        <f>IF(Backend!BM70="", "", Backend!BM70)</f>
        <v/>
      </c>
      <c r="BM43" t="str">
        <f>IF(Backend!BN70="", "", Backend!BN70)</f>
        <v/>
      </c>
      <c r="BN43" t="str">
        <f>IF(Backend!BO70="", "", Backend!BO70)</f>
        <v/>
      </c>
      <c r="BO43" t="str">
        <f>IF(Backend!BP70="", "", Backend!BP70)</f>
        <v/>
      </c>
      <c r="BP43" t="str">
        <f>IF(Backend!BQ70="", "", Backend!BQ70)</f>
        <v/>
      </c>
      <c r="BQ43" t="str">
        <f>IF(Backend!BR70="", "", Backend!BR70)</f>
        <v/>
      </c>
      <c r="BR43" t="str">
        <f>IF(Backend!BS70="", "", Backend!BS70)</f>
        <v/>
      </c>
      <c r="BS43" t="str">
        <f>IF(Backend!BT70="", "", Backend!BT70)</f>
        <v/>
      </c>
      <c r="BT43" t="str">
        <f>IF(Backend!BU70="", "", Backend!BU70)</f>
        <v/>
      </c>
      <c r="BU43" t="str">
        <f>IF(Backend!BV70="", "", Backend!BV70)</f>
        <v/>
      </c>
      <c r="BV43" t="str">
        <f>IF(Backend!BW70="", "", Backend!BW70)</f>
        <v/>
      </c>
      <c r="BW43" t="str">
        <f>IF(Backend!BX70="", "", Backend!BX70)</f>
        <v/>
      </c>
      <c r="BX43" t="str">
        <f>IF(Backend!BY70="", "", Backend!BY70)</f>
        <v/>
      </c>
      <c r="BY43" t="str">
        <f>IF(Backend!BZ70="", "", Backend!BZ70)</f>
        <v/>
      </c>
      <c r="BZ43" t="str">
        <f>IF(Backend!CA70="", "", Backend!CA70)</f>
        <v/>
      </c>
      <c r="CA43" t="str">
        <f>IF(Backend!CB70="", "", Backend!CB70)</f>
        <v/>
      </c>
      <c r="CB43" t="str">
        <f>IF(Backend!CC70="", "", Backend!CC70)</f>
        <v/>
      </c>
      <c r="CC43" t="str">
        <f>IF(Backend!CD70="", "", Backend!CD70)</f>
        <v/>
      </c>
    </row>
    <row r="44" spans="1:81" x14ac:dyDescent="0.25">
      <c r="A44" s="4" t="str">
        <f>IF(Backend!A71="", "", Backend!A71)</f>
        <v/>
      </c>
      <c r="B44" t="str">
        <f>IF(Backend!C71="", "", Backend!C71)</f>
        <v/>
      </c>
      <c r="C44" t="str">
        <f>IF(Backend!D71="", "", Backend!D71)</f>
        <v/>
      </c>
      <c r="D44" t="str">
        <f>IF(Backend!E71="", "", Backend!E71)</f>
        <v/>
      </c>
      <c r="E44" t="str">
        <f>IF(Backend!F71="", "", Backend!F71)</f>
        <v/>
      </c>
      <c r="F44" t="str">
        <f>IF(Backend!G71="", "", Backend!G71)</f>
        <v/>
      </c>
      <c r="G44" t="str">
        <f>IF(Backend!H71="", "", Backend!H71)</f>
        <v/>
      </c>
      <c r="H44" t="str">
        <f>IF(Backend!I71="", "", Backend!I71)</f>
        <v/>
      </c>
      <c r="I44" t="str">
        <f>IF(Backend!J71="", "", Backend!J71)</f>
        <v/>
      </c>
      <c r="J44" t="str">
        <f>IF(Backend!K71="", "", Backend!K71)</f>
        <v/>
      </c>
      <c r="K44" t="str">
        <f>IF(Backend!L71="", "", Backend!L71)</f>
        <v/>
      </c>
      <c r="L44" t="str">
        <f>IF(Backend!M71="", "", Backend!M71)</f>
        <v/>
      </c>
      <c r="M44" t="str">
        <f>IF(Backend!N71="", "", Backend!N71)</f>
        <v/>
      </c>
      <c r="N44" t="str">
        <f>IF(Backend!O71="", "", Backend!O71)</f>
        <v/>
      </c>
      <c r="O44" t="str">
        <f>IF(Backend!P71="", "", Backend!P71)</f>
        <v/>
      </c>
      <c r="P44" t="str">
        <f>IF(Backend!Q71="", "", Backend!Q71)</f>
        <v/>
      </c>
      <c r="Q44" t="str">
        <f>IF(Backend!R71="", "", Backend!R71)</f>
        <v/>
      </c>
      <c r="R44" t="str">
        <f>IF(Backend!S71="", "", Backend!S71)</f>
        <v/>
      </c>
      <c r="S44" t="str">
        <f>IF(Backend!T71="", "", Backend!T71)</f>
        <v/>
      </c>
      <c r="T44" t="str">
        <f>IF(Backend!U71="", "", Backend!U71)</f>
        <v/>
      </c>
      <c r="U44" t="str">
        <f>IF(Backend!V71="", "", Backend!V71)</f>
        <v/>
      </c>
      <c r="V44" t="str">
        <f>IF(Backend!W71="", "", Backend!W71)</f>
        <v/>
      </c>
      <c r="W44" t="str">
        <f>IF(Backend!X71="", "", Backend!X71)</f>
        <v/>
      </c>
      <c r="X44" t="str">
        <f>IF(Backend!Y71="", "", Backend!Y71)</f>
        <v/>
      </c>
      <c r="Y44" t="str">
        <f>IF(Backend!Z71="", "", Backend!Z71)</f>
        <v/>
      </c>
      <c r="Z44" t="str">
        <f>IF(Backend!AA71="", "", Backend!AA71)</f>
        <v/>
      </c>
      <c r="AA44" t="str">
        <f>IF(Backend!AB71="", "", Backend!AB71)</f>
        <v/>
      </c>
      <c r="AB44" t="str">
        <f>IF(Backend!AC71="", "", Backend!AC71)</f>
        <v/>
      </c>
      <c r="AC44" t="str">
        <f>IF(Backend!AD71="", "", Backend!AD71)</f>
        <v/>
      </c>
      <c r="AD44" t="str">
        <f>IF(Backend!AE71="", "", Backend!AE71)</f>
        <v/>
      </c>
      <c r="AE44" t="str">
        <f>IF(Backend!AF71="", "", Backend!AF71)</f>
        <v/>
      </c>
      <c r="AF44" t="str">
        <f>IF(Backend!AG71="", "", Backend!AG71)</f>
        <v/>
      </c>
      <c r="AG44" t="str">
        <f>IF(Backend!AH71="", "", Backend!AH71)</f>
        <v/>
      </c>
      <c r="AH44" t="str">
        <f>IF(Backend!AI71="", "", Backend!AI71)</f>
        <v/>
      </c>
      <c r="AI44" t="str">
        <f>IF(Backend!AJ71="", "", Backend!AJ71)</f>
        <v/>
      </c>
      <c r="AJ44" t="str">
        <f>IF(Backend!AK71="", "", Backend!AK71)</f>
        <v/>
      </c>
      <c r="AK44" t="str">
        <f>IF(Backend!AL71="", "", Backend!AL71)</f>
        <v/>
      </c>
      <c r="AL44" t="str">
        <f>IF(Backend!AM71="", "", Backend!AM71)</f>
        <v/>
      </c>
      <c r="AM44" t="str">
        <f>IF(Backend!AN71="", "", Backend!AN71)</f>
        <v/>
      </c>
      <c r="AN44" t="str">
        <f>IF(Backend!AO71="", "", Backend!AO71)</f>
        <v/>
      </c>
      <c r="AO44" t="str">
        <f>IF(Backend!AP71="", "", Backend!AP71)</f>
        <v/>
      </c>
      <c r="AP44" t="str">
        <f>IF(Backend!AQ71="", "", Backend!AQ71)</f>
        <v/>
      </c>
      <c r="AQ44" t="str">
        <f>IF(Backend!AR71="", "", Backend!AR71)</f>
        <v/>
      </c>
      <c r="AR44" t="str">
        <f>IF(Backend!AS71="", "", Backend!AS71)</f>
        <v/>
      </c>
      <c r="AS44" t="str">
        <f>IF(Backend!AT71="", "", Backend!AT71)</f>
        <v/>
      </c>
      <c r="AT44" t="str">
        <f>IF(Backend!AU71="", "", Backend!AU71)</f>
        <v/>
      </c>
      <c r="AU44" t="str">
        <f>IF(Backend!AV71="", "", Backend!AV71)</f>
        <v/>
      </c>
      <c r="AV44" t="str">
        <f>IF(Backend!AW71="", "", Backend!AW71)</f>
        <v/>
      </c>
      <c r="AW44" t="str">
        <f>IF(Backend!AX71="", "", Backend!AX71)</f>
        <v/>
      </c>
      <c r="AX44" t="str">
        <f>IF(Backend!AY71="", "", Backend!AY71)</f>
        <v/>
      </c>
      <c r="AY44" t="str">
        <f>IF(Backend!AZ71="", "", Backend!AZ71)</f>
        <v/>
      </c>
      <c r="AZ44" t="str">
        <f>IF(Backend!BA71="", "", Backend!BA71)</f>
        <v/>
      </c>
      <c r="BA44" t="str">
        <f>IF(Backend!BB71="", "", Backend!BB71)</f>
        <v/>
      </c>
      <c r="BB44" t="str">
        <f>IF(Backend!BC71="", "", Backend!BC71)</f>
        <v/>
      </c>
      <c r="BC44" t="str">
        <f>IF(Backend!BD71="", "", Backend!BD71)</f>
        <v/>
      </c>
      <c r="BD44" t="str">
        <f>IF(Backend!BE71="", "", Backend!BE71)</f>
        <v/>
      </c>
      <c r="BE44" t="str">
        <f>IF(Backend!BF71="", "", Backend!BF71)</f>
        <v/>
      </c>
      <c r="BF44" t="str">
        <f>IF(Backend!BG71="", "", Backend!BG71)</f>
        <v/>
      </c>
      <c r="BG44" t="str">
        <f>IF(Backend!BH71="", "", Backend!BH71)</f>
        <v/>
      </c>
      <c r="BH44" t="str">
        <f>IF(Backend!BI71="", "", Backend!BI71)</f>
        <v/>
      </c>
      <c r="BI44" t="str">
        <f>IF(Backend!BJ71="", "", Backend!BJ71)</f>
        <v/>
      </c>
      <c r="BJ44" t="str">
        <f>IF(Backend!BK71="", "", Backend!BK71)</f>
        <v/>
      </c>
      <c r="BK44" t="str">
        <f>IF(Backend!BL71="", "", Backend!BL71)</f>
        <v/>
      </c>
      <c r="BL44" t="str">
        <f>IF(Backend!BM71="", "", Backend!BM71)</f>
        <v/>
      </c>
      <c r="BM44" t="str">
        <f>IF(Backend!BN71="", "", Backend!BN71)</f>
        <v/>
      </c>
      <c r="BN44" t="str">
        <f>IF(Backend!BO71="", "", Backend!BO71)</f>
        <v/>
      </c>
      <c r="BO44" t="str">
        <f>IF(Backend!BP71="", "", Backend!BP71)</f>
        <v/>
      </c>
      <c r="BP44" t="str">
        <f>IF(Backend!BQ71="", "", Backend!BQ71)</f>
        <v/>
      </c>
      <c r="BQ44" t="str">
        <f>IF(Backend!BR71="", "", Backend!BR71)</f>
        <v/>
      </c>
      <c r="BR44" t="str">
        <f>IF(Backend!BS71="", "", Backend!BS71)</f>
        <v/>
      </c>
      <c r="BS44" t="str">
        <f>IF(Backend!BT71="", "", Backend!BT71)</f>
        <v/>
      </c>
      <c r="BT44" t="str">
        <f>IF(Backend!BU71="", "", Backend!BU71)</f>
        <v/>
      </c>
      <c r="BU44" t="str">
        <f>IF(Backend!BV71="", "", Backend!BV71)</f>
        <v/>
      </c>
      <c r="BV44" t="str">
        <f>IF(Backend!BW71="", "", Backend!BW71)</f>
        <v/>
      </c>
      <c r="BW44" t="str">
        <f>IF(Backend!BX71="", "", Backend!BX71)</f>
        <v/>
      </c>
      <c r="BX44" t="str">
        <f>IF(Backend!BY71="", "", Backend!BY71)</f>
        <v/>
      </c>
      <c r="BY44" t="str">
        <f>IF(Backend!BZ71="", "", Backend!BZ71)</f>
        <v/>
      </c>
      <c r="BZ44" t="str">
        <f>IF(Backend!CA71="", "", Backend!CA71)</f>
        <v/>
      </c>
      <c r="CA44" t="str">
        <f>IF(Backend!CB71="", "", Backend!CB71)</f>
        <v/>
      </c>
      <c r="CB44" t="str">
        <f>IF(Backend!CC71="", "", Backend!CC71)</f>
        <v/>
      </c>
      <c r="CC44" t="str">
        <f>IF(Backend!CD71="", "", Backend!CD71)</f>
        <v/>
      </c>
    </row>
    <row r="45" spans="1:81" x14ac:dyDescent="0.25">
      <c r="A45" s="4" t="str">
        <f>IF(Backend!A72="", "", Backend!A72)</f>
        <v/>
      </c>
      <c r="B45" t="str">
        <f>IF(Backend!C72="", "", Backend!C72)</f>
        <v/>
      </c>
      <c r="C45" t="str">
        <f>IF(Backend!D72="", "", Backend!D72)</f>
        <v/>
      </c>
      <c r="D45" t="str">
        <f>IF(Backend!E72="", "", Backend!E72)</f>
        <v/>
      </c>
      <c r="E45" t="str">
        <f>IF(Backend!F72="", "", Backend!F72)</f>
        <v/>
      </c>
      <c r="F45" t="str">
        <f>IF(Backend!G72="", "", Backend!G72)</f>
        <v/>
      </c>
      <c r="G45" t="str">
        <f>IF(Backend!H72="", "", Backend!H72)</f>
        <v/>
      </c>
      <c r="H45" t="str">
        <f>IF(Backend!I72="", "", Backend!I72)</f>
        <v/>
      </c>
      <c r="I45" t="str">
        <f>IF(Backend!J72="", "", Backend!J72)</f>
        <v/>
      </c>
      <c r="J45" t="str">
        <f>IF(Backend!K72="", "", Backend!K72)</f>
        <v/>
      </c>
      <c r="K45" t="str">
        <f>IF(Backend!L72="", "", Backend!L72)</f>
        <v/>
      </c>
      <c r="L45" t="str">
        <f>IF(Backend!M72="", "", Backend!M72)</f>
        <v/>
      </c>
      <c r="M45" t="str">
        <f>IF(Backend!N72="", "", Backend!N72)</f>
        <v/>
      </c>
      <c r="N45" t="str">
        <f>IF(Backend!O72="", "", Backend!O72)</f>
        <v/>
      </c>
      <c r="O45" t="str">
        <f>IF(Backend!P72="", "", Backend!P72)</f>
        <v/>
      </c>
      <c r="P45" t="str">
        <f>IF(Backend!Q72="", "", Backend!Q72)</f>
        <v/>
      </c>
      <c r="Q45" t="str">
        <f>IF(Backend!R72="", "", Backend!R72)</f>
        <v/>
      </c>
      <c r="R45" t="str">
        <f>IF(Backend!S72="", "", Backend!S72)</f>
        <v/>
      </c>
      <c r="S45" t="str">
        <f>IF(Backend!T72="", "", Backend!T72)</f>
        <v/>
      </c>
      <c r="T45" t="str">
        <f>IF(Backend!U72="", "", Backend!U72)</f>
        <v/>
      </c>
      <c r="U45" t="str">
        <f>IF(Backend!V72="", "", Backend!V72)</f>
        <v/>
      </c>
      <c r="V45" t="str">
        <f>IF(Backend!W72="", "", Backend!W72)</f>
        <v/>
      </c>
      <c r="W45" t="str">
        <f>IF(Backend!X72="", "", Backend!X72)</f>
        <v/>
      </c>
      <c r="X45" t="str">
        <f>IF(Backend!Y72="", "", Backend!Y72)</f>
        <v/>
      </c>
      <c r="Y45" t="str">
        <f>IF(Backend!Z72="", "", Backend!Z72)</f>
        <v/>
      </c>
      <c r="Z45" t="str">
        <f>IF(Backend!AA72="", "", Backend!AA72)</f>
        <v/>
      </c>
      <c r="AA45" t="str">
        <f>IF(Backend!AB72="", "", Backend!AB72)</f>
        <v/>
      </c>
      <c r="AB45" t="str">
        <f>IF(Backend!AC72="", "", Backend!AC72)</f>
        <v/>
      </c>
      <c r="AC45" t="str">
        <f>IF(Backend!AD72="", "", Backend!AD72)</f>
        <v/>
      </c>
      <c r="AD45" t="str">
        <f>IF(Backend!AE72="", "", Backend!AE72)</f>
        <v/>
      </c>
      <c r="AE45" t="str">
        <f>IF(Backend!AF72="", "", Backend!AF72)</f>
        <v/>
      </c>
      <c r="AF45" t="str">
        <f>IF(Backend!AG72="", "", Backend!AG72)</f>
        <v/>
      </c>
      <c r="AG45" t="str">
        <f>IF(Backend!AH72="", "", Backend!AH72)</f>
        <v/>
      </c>
      <c r="AH45" t="str">
        <f>IF(Backend!AI72="", "", Backend!AI72)</f>
        <v/>
      </c>
      <c r="AI45" t="str">
        <f>IF(Backend!AJ72="", "", Backend!AJ72)</f>
        <v/>
      </c>
      <c r="AJ45" t="str">
        <f>IF(Backend!AK72="", "", Backend!AK72)</f>
        <v/>
      </c>
      <c r="AK45" t="str">
        <f>IF(Backend!AL72="", "", Backend!AL72)</f>
        <v/>
      </c>
      <c r="AL45" t="str">
        <f>IF(Backend!AM72="", "", Backend!AM72)</f>
        <v/>
      </c>
      <c r="AM45" t="str">
        <f>IF(Backend!AN72="", "", Backend!AN72)</f>
        <v/>
      </c>
      <c r="AN45" t="str">
        <f>IF(Backend!AO72="", "", Backend!AO72)</f>
        <v/>
      </c>
      <c r="AO45" t="str">
        <f>IF(Backend!AP72="", "", Backend!AP72)</f>
        <v/>
      </c>
      <c r="AP45" t="str">
        <f>IF(Backend!AQ72="", "", Backend!AQ72)</f>
        <v/>
      </c>
      <c r="AQ45" t="str">
        <f>IF(Backend!AR72="", "", Backend!AR72)</f>
        <v/>
      </c>
      <c r="AR45" t="str">
        <f>IF(Backend!AS72="", "", Backend!AS72)</f>
        <v/>
      </c>
      <c r="AS45" t="str">
        <f>IF(Backend!AT72="", "", Backend!AT72)</f>
        <v/>
      </c>
      <c r="AT45" t="str">
        <f>IF(Backend!AU72="", "", Backend!AU72)</f>
        <v/>
      </c>
      <c r="AU45" t="str">
        <f>IF(Backend!AV72="", "", Backend!AV72)</f>
        <v/>
      </c>
      <c r="AV45" t="str">
        <f>IF(Backend!AW72="", "", Backend!AW72)</f>
        <v/>
      </c>
      <c r="AW45" t="str">
        <f>IF(Backend!AX72="", "", Backend!AX72)</f>
        <v/>
      </c>
      <c r="AX45" t="str">
        <f>IF(Backend!AY72="", "", Backend!AY72)</f>
        <v/>
      </c>
      <c r="AY45" t="str">
        <f>IF(Backend!AZ72="", "", Backend!AZ72)</f>
        <v/>
      </c>
      <c r="AZ45" t="str">
        <f>IF(Backend!BA72="", "", Backend!BA72)</f>
        <v/>
      </c>
      <c r="BA45" t="str">
        <f>IF(Backend!BB72="", "", Backend!BB72)</f>
        <v/>
      </c>
      <c r="BB45" t="str">
        <f>IF(Backend!BC72="", "", Backend!BC72)</f>
        <v/>
      </c>
      <c r="BC45" t="str">
        <f>IF(Backend!BD72="", "", Backend!BD72)</f>
        <v/>
      </c>
      <c r="BD45" t="str">
        <f>IF(Backend!BE72="", "", Backend!BE72)</f>
        <v/>
      </c>
      <c r="BE45" t="str">
        <f>IF(Backend!BF72="", "", Backend!BF72)</f>
        <v/>
      </c>
      <c r="BF45" t="str">
        <f>IF(Backend!BG72="", "", Backend!BG72)</f>
        <v/>
      </c>
      <c r="BG45" t="str">
        <f>IF(Backend!BH72="", "", Backend!BH72)</f>
        <v/>
      </c>
      <c r="BH45" t="str">
        <f>IF(Backend!BI72="", "", Backend!BI72)</f>
        <v/>
      </c>
      <c r="BI45" t="str">
        <f>IF(Backend!BJ72="", "", Backend!BJ72)</f>
        <v/>
      </c>
      <c r="BJ45" t="str">
        <f>IF(Backend!BK72="", "", Backend!BK72)</f>
        <v/>
      </c>
      <c r="BK45" t="str">
        <f>IF(Backend!BL72="", "", Backend!BL72)</f>
        <v/>
      </c>
      <c r="BL45" t="str">
        <f>IF(Backend!BM72="", "", Backend!BM72)</f>
        <v/>
      </c>
      <c r="BM45" t="str">
        <f>IF(Backend!BN72="", "", Backend!BN72)</f>
        <v/>
      </c>
      <c r="BN45" t="str">
        <f>IF(Backend!BO72="", "", Backend!BO72)</f>
        <v/>
      </c>
      <c r="BO45" t="str">
        <f>IF(Backend!BP72="", "", Backend!BP72)</f>
        <v/>
      </c>
      <c r="BP45" t="str">
        <f>IF(Backend!BQ72="", "", Backend!BQ72)</f>
        <v/>
      </c>
      <c r="BQ45" t="str">
        <f>IF(Backend!BR72="", "", Backend!BR72)</f>
        <v/>
      </c>
      <c r="BR45" t="str">
        <f>IF(Backend!BS72="", "", Backend!BS72)</f>
        <v/>
      </c>
      <c r="BS45" t="str">
        <f>IF(Backend!BT72="", "", Backend!BT72)</f>
        <v/>
      </c>
      <c r="BT45" t="str">
        <f>IF(Backend!BU72="", "", Backend!BU72)</f>
        <v/>
      </c>
      <c r="BU45" t="str">
        <f>IF(Backend!BV72="", "", Backend!BV72)</f>
        <v/>
      </c>
      <c r="BV45" t="str">
        <f>IF(Backend!BW72="", "", Backend!BW72)</f>
        <v/>
      </c>
      <c r="BW45" t="str">
        <f>IF(Backend!BX72="", "", Backend!BX72)</f>
        <v/>
      </c>
      <c r="BX45" t="str">
        <f>IF(Backend!BY72="", "", Backend!BY72)</f>
        <v/>
      </c>
      <c r="BY45" t="str">
        <f>IF(Backend!BZ72="", "", Backend!BZ72)</f>
        <v/>
      </c>
      <c r="BZ45" t="str">
        <f>IF(Backend!CA72="", "", Backend!CA72)</f>
        <v/>
      </c>
      <c r="CA45" t="str">
        <f>IF(Backend!CB72="", "", Backend!CB72)</f>
        <v/>
      </c>
      <c r="CB45" t="str">
        <f>IF(Backend!CC72="", "", Backend!CC72)</f>
        <v/>
      </c>
      <c r="CC45" t="str">
        <f>IF(Backend!CD72="", "", Backend!CD72)</f>
        <v/>
      </c>
    </row>
    <row r="46" spans="1:81" x14ac:dyDescent="0.25">
      <c r="A46" s="4" t="str">
        <f>IF(Backend!A73="", "", Backend!A73)</f>
        <v/>
      </c>
      <c r="B46" t="str">
        <f>IF(Backend!C73="", "", Backend!C73)</f>
        <v/>
      </c>
      <c r="C46" t="str">
        <f>IF(Backend!D73="", "", Backend!D73)</f>
        <v/>
      </c>
      <c r="D46" t="str">
        <f>IF(Backend!E73="", "", Backend!E73)</f>
        <v/>
      </c>
      <c r="E46" t="str">
        <f>IF(Backend!F73="", "", Backend!F73)</f>
        <v/>
      </c>
      <c r="F46" t="str">
        <f>IF(Backend!G73="", "", Backend!G73)</f>
        <v/>
      </c>
      <c r="G46" t="str">
        <f>IF(Backend!H73="", "", Backend!H73)</f>
        <v/>
      </c>
      <c r="H46" t="str">
        <f>IF(Backend!I73="", "", Backend!I73)</f>
        <v/>
      </c>
      <c r="I46" t="str">
        <f>IF(Backend!J73="", "", Backend!J73)</f>
        <v/>
      </c>
      <c r="J46" t="str">
        <f>IF(Backend!K73="", "", Backend!K73)</f>
        <v/>
      </c>
      <c r="K46" t="str">
        <f>IF(Backend!L73="", "", Backend!L73)</f>
        <v/>
      </c>
      <c r="L46" t="str">
        <f>IF(Backend!M73="", "", Backend!M73)</f>
        <v/>
      </c>
      <c r="M46" t="str">
        <f>IF(Backend!N73="", "", Backend!N73)</f>
        <v/>
      </c>
      <c r="N46" t="str">
        <f>IF(Backend!O73="", "", Backend!O73)</f>
        <v/>
      </c>
      <c r="O46" t="str">
        <f>IF(Backend!P73="", "", Backend!P73)</f>
        <v/>
      </c>
      <c r="P46" t="str">
        <f>IF(Backend!Q73="", "", Backend!Q73)</f>
        <v/>
      </c>
      <c r="Q46" t="str">
        <f>IF(Backend!R73="", "", Backend!R73)</f>
        <v/>
      </c>
      <c r="R46" t="str">
        <f>IF(Backend!S73="", "", Backend!S73)</f>
        <v/>
      </c>
      <c r="S46" t="str">
        <f>IF(Backend!T73="", "", Backend!T73)</f>
        <v/>
      </c>
      <c r="T46" t="str">
        <f>IF(Backend!U73="", "", Backend!U73)</f>
        <v/>
      </c>
      <c r="U46" t="str">
        <f>IF(Backend!V73="", "", Backend!V73)</f>
        <v/>
      </c>
      <c r="V46" t="str">
        <f>IF(Backend!W73="", "", Backend!W73)</f>
        <v/>
      </c>
      <c r="W46" t="str">
        <f>IF(Backend!X73="", "", Backend!X73)</f>
        <v/>
      </c>
      <c r="X46" t="str">
        <f>IF(Backend!Y73="", "", Backend!Y73)</f>
        <v/>
      </c>
      <c r="Y46" t="str">
        <f>IF(Backend!Z73="", "", Backend!Z73)</f>
        <v/>
      </c>
      <c r="Z46" t="str">
        <f>IF(Backend!AA73="", "", Backend!AA73)</f>
        <v/>
      </c>
      <c r="AA46" t="str">
        <f>IF(Backend!AB73="", "", Backend!AB73)</f>
        <v/>
      </c>
      <c r="AB46" t="str">
        <f>IF(Backend!AC73="", "", Backend!AC73)</f>
        <v/>
      </c>
      <c r="AC46" t="str">
        <f>IF(Backend!AD73="", "", Backend!AD73)</f>
        <v/>
      </c>
      <c r="AD46" t="str">
        <f>IF(Backend!AE73="", "", Backend!AE73)</f>
        <v/>
      </c>
      <c r="AE46" t="str">
        <f>IF(Backend!AF73="", "", Backend!AF73)</f>
        <v/>
      </c>
      <c r="AF46" t="str">
        <f>IF(Backend!AG73="", "", Backend!AG73)</f>
        <v/>
      </c>
      <c r="AG46" t="str">
        <f>IF(Backend!AH73="", "", Backend!AH73)</f>
        <v/>
      </c>
      <c r="AH46" t="str">
        <f>IF(Backend!AI73="", "", Backend!AI73)</f>
        <v/>
      </c>
      <c r="AI46" t="str">
        <f>IF(Backend!AJ73="", "", Backend!AJ73)</f>
        <v/>
      </c>
      <c r="AJ46" t="str">
        <f>IF(Backend!AK73="", "", Backend!AK73)</f>
        <v/>
      </c>
      <c r="AK46" t="str">
        <f>IF(Backend!AL73="", "", Backend!AL73)</f>
        <v/>
      </c>
      <c r="AL46" t="str">
        <f>IF(Backend!AM73="", "", Backend!AM73)</f>
        <v/>
      </c>
      <c r="AM46" t="str">
        <f>IF(Backend!AN73="", "", Backend!AN73)</f>
        <v/>
      </c>
      <c r="AN46" t="str">
        <f>IF(Backend!AO73="", "", Backend!AO73)</f>
        <v/>
      </c>
      <c r="AO46" t="str">
        <f>IF(Backend!AP73="", "", Backend!AP73)</f>
        <v/>
      </c>
      <c r="AP46" t="str">
        <f>IF(Backend!AQ73="", "", Backend!AQ73)</f>
        <v/>
      </c>
      <c r="AQ46" t="str">
        <f>IF(Backend!AR73="", "", Backend!AR73)</f>
        <v/>
      </c>
      <c r="AR46" t="str">
        <f>IF(Backend!AS73="", "", Backend!AS73)</f>
        <v/>
      </c>
      <c r="AS46" t="str">
        <f>IF(Backend!AT73="", "", Backend!AT73)</f>
        <v/>
      </c>
      <c r="AT46" t="str">
        <f>IF(Backend!AU73="", "", Backend!AU73)</f>
        <v/>
      </c>
      <c r="AU46" t="str">
        <f>IF(Backend!AV73="", "", Backend!AV73)</f>
        <v/>
      </c>
      <c r="AV46" t="str">
        <f>IF(Backend!AW73="", "", Backend!AW73)</f>
        <v/>
      </c>
      <c r="AW46" t="str">
        <f>IF(Backend!AX73="", "", Backend!AX73)</f>
        <v/>
      </c>
      <c r="AX46" t="str">
        <f>IF(Backend!AY73="", "", Backend!AY73)</f>
        <v/>
      </c>
      <c r="AY46" t="str">
        <f>IF(Backend!AZ73="", "", Backend!AZ73)</f>
        <v/>
      </c>
      <c r="AZ46" t="str">
        <f>IF(Backend!BA73="", "", Backend!BA73)</f>
        <v/>
      </c>
      <c r="BA46" t="str">
        <f>IF(Backend!BB73="", "", Backend!BB73)</f>
        <v/>
      </c>
      <c r="BB46" t="str">
        <f>IF(Backend!BC73="", "", Backend!BC73)</f>
        <v/>
      </c>
      <c r="BC46" t="str">
        <f>IF(Backend!BD73="", "", Backend!BD73)</f>
        <v/>
      </c>
      <c r="BD46" t="str">
        <f>IF(Backend!BE73="", "", Backend!BE73)</f>
        <v/>
      </c>
      <c r="BE46" t="str">
        <f>IF(Backend!BF73="", "", Backend!BF73)</f>
        <v/>
      </c>
      <c r="BF46" t="str">
        <f>IF(Backend!BG73="", "", Backend!BG73)</f>
        <v/>
      </c>
      <c r="BG46" t="str">
        <f>IF(Backend!BH73="", "", Backend!BH73)</f>
        <v/>
      </c>
      <c r="BH46" t="str">
        <f>IF(Backend!BI73="", "", Backend!BI73)</f>
        <v/>
      </c>
      <c r="BI46" t="str">
        <f>IF(Backend!BJ73="", "", Backend!BJ73)</f>
        <v/>
      </c>
      <c r="BJ46" t="str">
        <f>IF(Backend!BK73="", "", Backend!BK73)</f>
        <v/>
      </c>
      <c r="BK46" t="str">
        <f>IF(Backend!BL73="", "", Backend!BL73)</f>
        <v/>
      </c>
      <c r="BL46" t="str">
        <f>IF(Backend!BM73="", "", Backend!BM73)</f>
        <v/>
      </c>
      <c r="BM46" t="str">
        <f>IF(Backend!BN73="", "", Backend!BN73)</f>
        <v/>
      </c>
      <c r="BN46" t="str">
        <f>IF(Backend!BO73="", "", Backend!BO73)</f>
        <v/>
      </c>
      <c r="BO46" t="str">
        <f>IF(Backend!BP73="", "", Backend!BP73)</f>
        <v/>
      </c>
      <c r="BP46" t="str">
        <f>IF(Backend!BQ73="", "", Backend!BQ73)</f>
        <v/>
      </c>
      <c r="BQ46" t="str">
        <f>IF(Backend!BR73="", "", Backend!BR73)</f>
        <v/>
      </c>
      <c r="BR46" t="str">
        <f>IF(Backend!BS73="", "", Backend!BS73)</f>
        <v/>
      </c>
      <c r="BS46" t="str">
        <f>IF(Backend!BT73="", "", Backend!BT73)</f>
        <v/>
      </c>
      <c r="BT46" t="str">
        <f>IF(Backend!BU73="", "", Backend!BU73)</f>
        <v/>
      </c>
      <c r="BU46" t="str">
        <f>IF(Backend!BV73="", "", Backend!BV73)</f>
        <v/>
      </c>
      <c r="BV46" t="str">
        <f>IF(Backend!BW73="", "", Backend!BW73)</f>
        <v/>
      </c>
      <c r="BW46" t="str">
        <f>IF(Backend!BX73="", "", Backend!BX73)</f>
        <v/>
      </c>
      <c r="BX46" t="str">
        <f>IF(Backend!BY73="", "", Backend!BY73)</f>
        <v/>
      </c>
      <c r="BY46" t="str">
        <f>IF(Backend!BZ73="", "", Backend!BZ73)</f>
        <v/>
      </c>
      <c r="BZ46" t="str">
        <f>IF(Backend!CA73="", "", Backend!CA73)</f>
        <v/>
      </c>
      <c r="CA46" t="str">
        <f>IF(Backend!CB73="", "", Backend!CB73)</f>
        <v/>
      </c>
      <c r="CB46" t="str">
        <f>IF(Backend!CC73="", "", Backend!CC73)</f>
        <v/>
      </c>
      <c r="CC46" t="str">
        <f>IF(Backend!CD73="", "", Backend!CD73)</f>
        <v/>
      </c>
    </row>
    <row r="47" spans="1:81" x14ac:dyDescent="0.25">
      <c r="A47" s="4" t="str">
        <f>IF(Backend!A74="", "", Backend!A74)</f>
        <v/>
      </c>
      <c r="B47" t="str">
        <f>IF(Backend!C74="", "", Backend!C74)</f>
        <v/>
      </c>
      <c r="C47" t="str">
        <f>IF(Backend!D74="", "", Backend!D74)</f>
        <v/>
      </c>
      <c r="D47" t="str">
        <f>IF(Backend!E74="", "", Backend!E74)</f>
        <v/>
      </c>
      <c r="E47" t="str">
        <f>IF(Backend!F74="", "", Backend!F74)</f>
        <v/>
      </c>
      <c r="F47" t="str">
        <f>IF(Backend!G74="", "", Backend!G74)</f>
        <v/>
      </c>
      <c r="G47" t="str">
        <f>IF(Backend!H74="", "", Backend!H74)</f>
        <v/>
      </c>
      <c r="H47" t="str">
        <f>IF(Backend!I74="", "", Backend!I74)</f>
        <v/>
      </c>
      <c r="I47" t="str">
        <f>IF(Backend!J74="", "", Backend!J74)</f>
        <v/>
      </c>
      <c r="J47" t="str">
        <f>IF(Backend!K74="", "", Backend!K74)</f>
        <v/>
      </c>
      <c r="K47" t="str">
        <f>IF(Backend!L74="", "", Backend!L74)</f>
        <v/>
      </c>
      <c r="L47" t="str">
        <f>IF(Backend!M74="", "", Backend!M74)</f>
        <v/>
      </c>
      <c r="M47" t="str">
        <f>IF(Backend!N74="", "", Backend!N74)</f>
        <v/>
      </c>
      <c r="N47" t="str">
        <f>IF(Backend!O74="", "", Backend!O74)</f>
        <v/>
      </c>
      <c r="O47" t="str">
        <f>IF(Backend!P74="", "", Backend!P74)</f>
        <v/>
      </c>
      <c r="P47" t="str">
        <f>IF(Backend!Q74="", "", Backend!Q74)</f>
        <v/>
      </c>
      <c r="Q47" t="str">
        <f>IF(Backend!R74="", "", Backend!R74)</f>
        <v/>
      </c>
      <c r="R47" t="str">
        <f>IF(Backend!S74="", "", Backend!S74)</f>
        <v/>
      </c>
      <c r="S47" t="str">
        <f>IF(Backend!T74="", "", Backend!T74)</f>
        <v/>
      </c>
      <c r="T47" t="str">
        <f>IF(Backend!U74="", "", Backend!U74)</f>
        <v/>
      </c>
      <c r="U47" t="str">
        <f>IF(Backend!V74="", "", Backend!V74)</f>
        <v/>
      </c>
      <c r="V47" t="str">
        <f>IF(Backend!W74="", "", Backend!W74)</f>
        <v/>
      </c>
      <c r="W47" t="str">
        <f>IF(Backend!X74="", "", Backend!X74)</f>
        <v/>
      </c>
      <c r="X47" t="str">
        <f>IF(Backend!Y74="", "", Backend!Y74)</f>
        <v/>
      </c>
      <c r="Y47" t="str">
        <f>IF(Backend!Z74="", "", Backend!Z74)</f>
        <v/>
      </c>
      <c r="Z47" t="str">
        <f>IF(Backend!AA74="", "", Backend!AA74)</f>
        <v/>
      </c>
      <c r="AA47" t="str">
        <f>IF(Backend!AB74="", "", Backend!AB74)</f>
        <v/>
      </c>
      <c r="AB47" t="str">
        <f>IF(Backend!AC74="", "", Backend!AC74)</f>
        <v/>
      </c>
      <c r="AC47" t="str">
        <f>IF(Backend!AD74="", "", Backend!AD74)</f>
        <v/>
      </c>
      <c r="AD47" t="str">
        <f>IF(Backend!AE74="", "", Backend!AE74)</f>
        <v/>
      </c>
      <c r="AE47" t="str">
        <f>IF(Backend!AF74="", "", Backend!AF74)</f>
        <v/>
      </c>
      <c r="AF47" t="str">
        <f>IF(Backend!AG74="", "", Backend!AG74)</f>
        <v/>
      </c>
      <c r="AG47" t="str">
        <f>IF(Backend!AH74="", "", Backend!AH74)</f>
        <v/>
      </c>
      <c r="AH47" t="str">
        <f>IF(Backend!AI74="", "", Backend!AI74)</f>
        <v/>
      </c>
      <c r="AI47" t="str">
        <f>IF(Backend!AJ74="", "", Backend!AJ74)</f>
        <v/>
      </c>
      <c r="AJ47" t="str">
        <f>IF(Backend!AK74="", "", Backend!AK74)</f>
        <v/>
      </c>
      <c r="AK47" t="str">
        <f>IF(Backend!AL74="", "", Backend!AL74)</f>
        <v/>
      </c>
      <c r="AL47" t="str">
        <f>IF(Backend!AM74="", "", Backend!AM74)</f>
        <v/>
      </c>
      <c r="AM47" t="str">
        <f>IF(Backend!AN74="", "", Backend!AN74)</f>
        <v/>
      </c>
      <c r="AN47" t="str">
        <f>IF(Backend!AO74="", "", Backend!AO74)</f>
        <v/>
      </c>
      <c r="AO47" t="str">
        <f>IF(Backend!AP74="", "", Backend!AP74)</f>
        <v/>
      </c>
      <c r="AP47" t="str">
        <f>IF(Backend!AQ74="", "", Backend!AQ74)</f>
        <v/>
      </c>
      <c r="AQ47" t="str">
        <f>IF(Backend!AR74="", "", Backend!AR74)</f>
        <v/>
      </c>
      <c r="AR47" t="str">
        <f>IF(Backend!AS74="", "", Backend!AS74)</f>
        <v/>
      </c>
      <c r="AS47" t="str">
        <f>IF(Backend!AT74="", "", Backend!AT74)</f>
        <v/>
      </c>
      <c r="AT47" t="str">
        <f>IF(Backend!AU74="", "", Backend!AU74)</f>
        <v/>
      </c>
      <c r="AU47" t="str">
        <f>IF(Backend!AV74="", "", Backend!AV74)</f>
        <v/>
      </c>
      <c r="AV47" t="str">
        <f>IF(Backend!AW74="", "", Backend!AW74)</f>
        <v/>
      </c>
      <c r="AW47" t="str">
        <f>IF(Backend!AX74="", "", Backend!AX74)</f>
        <v/>
      </c>
      <c r="AX47" t="str">
        <f>IF(Backend!AY74="", "", Backend!AY74)</f>
        <v/>
      </c>
      <c r="AY47" t="str">
        <f>IF(Backend!AZ74="", "", Backend!AZ74)</f>
        <v/>
      </c>
      <c r="AZ47" t="str">
        <f>IF(Backend!BA74="", "", Backend!BA74)</f>
        <v/>
      </c>
      <c r="BA47" t="str">
        <f>IF(Backend!BB74="", "", Backend!BB74)</f>
        <v/>
      </c>
      <c r="BB47" t="str">
        <f>IF(Backend!BC74="", "", Backend!BC74)</f>
        <v/>
      </c>
      <c r="BC47" t="str">
        <f>IF(Backend!BD74="", "", Backend!BD74)</f>
        <v/>
      </c>
      <c r="BD47" t="str">
        <f>IF(Backend!BE74="", "", Backend!BE74)</f>
        <v/>
      </c>
      <c r="BE47" t="str">
        <f>IF(Backend!BF74="", "", Backend!BF74)</f>
        <v/>
      </c>
      <c r="BF47" t="str">
        <f>IF(Backend!BG74="", "", Backend!BG74)</f>
        <v/>
      </c>
      <c r="BG47" t="str">
        <f>IF(Backend!BH74="", "", Backend!BH74)</f>
        <v/>
      </c>
      <c r="BH47" t="str">
        <f>IF(Backend!BI74="", "", Backend!BI74)</f>
        <v/>
      </c>
      <c r="BI47" t="str">
        <f>IF(Backend!BJ74="", "", Backend!BJ74)</f>
        <v/>
      </c>
      <c r="BJ47" t="str">
        <f>IF(Backend!BK74="", "", Backend!BK74)</f>
        <v/>
      </c>
      <c r="BK47" t="str">
        <f>IF(Backend!BL74="", "", Backend!BL74)</f>
        <v/>
      </c>
      <c r="BL47" t="str">
        <f>IF(Backend!BM74="", "", Backend!BM74)</f>
        <v/>
      </c>
      <c r="BM47" t="str">
        <f>IF(Backend!BN74="", "", Backend!BN74)</f>
        <v/>
      </c>
      <c r="BN47" t="str">
        <f>IF(Backend!BO74="", "", Backend!BO74)</f>
        <v/>
      </c>
      <c r="BO47" t="str">
        <f>IF(Backend!BP74="", "", Backend!BP74)</f>
        <v/>
      </c>
      <c r="BP47" t="str">
        <f>IF(Backend!BQ74="", "", Backend!BQ74)</f>
        <v/>
      </c>
      <c r="BQ47" t="str">
        <f>IF(Backend!BR74="", "", Backend!BR74)</f>
        <v/>
      </c>
      <c r="BR47" t="str">
        <f>IF(Backend!BS74="", "", Backend!BS74)</f>
        <v/>
      </c>
      <c r="BS47" t="str">
        <f>IF(Backend!BT74="", "", Backend!BT74)</f>
        <v/>
      </c>
      <c r="BT47" t="str">
        <f>IF(Backend!BU74="", "", Backend!BU74)</f>
        <v/>
      </c>
      <c r="BU47" t="str">
        <f>IF(Backend!BV74="", "", Backend!BV74)</f>
        <v/>
      </c>
      <c r="BV47" t="str">
        <f>IF(Backend!BW74="", "", Backend!BW74)</f>
        <v/>
      </c>
      <c r="BW47" t="str">
        <f>IF(Backend!BX74="", "", Backend!BX74)</f>
        <v/>
      </c>
      <c r="BX47" t="str">
        <f>IF(Backend!BY74="", "", Backend!BY74)</f>
        <v/>
      </c>
      <c r="BY47" t="str">
        <f>IF(Backend!BZ74="", "", Backend!BZ74)</f>
        <v/>
      </c>
      <c r="BZ47" t="str">
        <f>IF(Backend!CA74="", "", Backend!CA74)</f>
        <v/>
      </c>
      <c r="CA47" t="str">
        <f>IF(Backend!CB74="", "", Backend!CB74)</f>
        <v/>
      </c>
      <c r="CB47" t="str">
        <f>IF(Backend!CC74="", "", Backend!CC74)</f>
        <v/>
      </c>
      <c r="CC47" t="str">
        <f>IF(Backend!CD74="", "", Backend!CD74)</f>
        <v/>
      </c>
    </row>
    <row r="48" spans="1:81" x14ac:dyDescent="0.25">
      <c r="A48" s="4" t="str">
        <f>IF(Backend!A75="", "", Backend!A75)</f>
        <v/>
      </c>
      <c r="B48" t="str">
        <f>IF(Backend!C75="", "", Backend!C75)</f>
        <v/>
      </c>
      <c r="C48" t="str">
        <f>IF(Backend!D75="", "", Backend!D75)</f>
        <v/>
      </c>
      <c r="D48" t="str">
        <f>IF(Backend!E75="", "", Backend!E75)</f>
        <v/>
      </c>
      <c r="E48" t="str">
        <f>IF(Backend!F75="", "", Backend!F75)</f>
        <v/>
      </c>
      <c r="F48" t="str">
        <f>IF(Backend!G75="", "", Backend!G75)</f>
        <v/>
      </c>
      <c r="G48" t="str">
        <f>IF(Backend!H75="", "", Backend!H75)</f>
        <v/>
      </c>
      <c r="H48" t="str">
        <f>IF(Backend!I75="", "", Backend!I75)</f>
        <v/>
      </c>
      <c r="I48" t="str">
        <f>IF(Backend!J75="", "", Backend!J75)</f>
        <v/>
      </c>
      <c r="J48" t="str">
        <f>IF(Backend!K75="", "", Backend!K75)</f>
        <v/>
      </c>
      <c r="K48" t="str">
        <f>IF(Backend!L75="", "", Backend!L75)</f>
        <v/>
      </c>
      <c r="L48" t="str">
        <f>IF(Backend!M75="", "", Backend!M75)</f>
        <v/>
      </c>
      <c r="M48" t="str">
        <f>IF(Backend!N75="", "", Backend!N75)</f>
        <v/>
      </c>
      <c r="N48" t="str">
        <f>IF(Backend!O75="", "", Backend!O75)</f>
        <v/>
      </c>
      <c r="O48" t="str">
        <f>IF(Backend!P75="", "", Backend!P75)</f>
        <v/>
      </c>
      <c r="P48" t="str">
        <f>IF(Backend!Q75="", "", Backend!Q75)</f>
        <v/>
      </c>
      <c r="Q48" t="str">
        <f>IF(Backend!R75="", "", Backend!R75)</f>
        <v/>
      </c>
      <c r="R48" t="str">
        <f>IF(Backend!S75="", "", Backend!S75)</f>
        <v/>
      </c>
      <c r="S48" t="str">
        <f>IF(Backend!T75="", "", Backend!T75)</f>
        <v/>
      </c>
      <c r="T48" t="str">
        <f>IF(Backend!U75="", "", Backend!U75)</f>
        <v/>
      </c>
      <c r="U48" t="str">
        <f>IF(Backend!V75="", "", Backend!V75)</f>
        <v/>
      </c>
      <c r="V48" t="str">
        <f>IF(Backend!W75="", "", Backend!W75)</f>
        <v/>
      </c>
      <c r="W48" t="str">
        <f>IF(Backend!X75="", "", Backend!X75)</f>
        <v/>
      </c>
      <c r="X48" t="str">
        <f>IF(Backend!Y75="", "", Backend!Y75)</f>
        <v/>
      </c>
      <c r="Y48" t="str">
        <f>IF(Backend!Z75="", "", Backend!Z75)</f>
        <v/>
      </c>
      <c r="Z48" t="str">
        <f>IF(Backend!AA75="", "", Backend!AA75)</f>
        <v/>
      </c>
      <c r="AA48" t="str">
        <f>IF(Backend!AB75="", "", Backend!AB75)</f>
        <v/>
      </c>
      <c r="AB48" t="str">
        <f>IF(Backend!AC75="", "", Backend!AC75)</f>
        <v/>
      </c>
      <c r="AC48" t="str">
        <f>IF(Backend!AD75="", "", Backend!AD75)</f>
        <v/>
      </c>
      <c r="AD48" t="str">
        <f>IF(Backend!AE75="", "", Backend!AE75)</f>
        <v/>
      </c>
      <c r="AE48" t="str">
        <f>IF(Backend!AF75="", "", Backend!AF75)</f>
        <v/>
      </c>
      <c r="AF48" t="str">
        <f>IF(Backend!AG75="", "", Backend!AG75)</f>
        <v/>
      </c>
      <c r="AG48" t="str">
        <f>IF(Backend!AH75="", "", Backend!AH75)</f>
        <v/>
      </c>
      <c r="AH48" t="str">
        <f>IF(Backend!AI75="", "", Backend!AI75)</f>
        <v/>
      </c>
      <c r="AI48" t="str">
        <f>IF(Backend!AJ75="", "", Backend!AJ75)</f>
        <v/>
      </c>
      <c r="AJ48" t="str">
        <f>IF(Backend!AK75="", "", Backend!AK75)</f>
        <v/>
      </c>
      <c r="AK48" t="str">
        <f>IF(Backend!AL75="", "", Backend!AL75)</f>
        <v/>
      </c>
      <c r="AL48" t="str">
        <f>IF(Backend!AM75="", "", Backend!AM75)</f>
        <v/>
      </c>
      <c r="AM48" t="str">
        <f>IF(Backend!AN75="", "", Backend!AN75)</f>
        <v/>
      </c>
      <c r="AN48" t="str">
        <f>IF(Backend!AO75="", "", Backend!AO75)</f>
        <v/>
      </c>
      <c r="AO48" t="str">
        <f>IF(Backend!AP75="", "", Backend!AP75)</f>
        <v/>
      </c>
      <c r="AP48" t="str">
        <f>IF(Backend!AQ75="", "", Backend!AQ75)</f>
        <v/>
      </c>
      <c r="AQ48" t="str">
        <f>IF(Backend!AR75="", "", Backend!AR75)</f>
        <v/>
      </c>
      <c r="AR48" t="str">
        <f>IF(Backend!AS75="", "", Backend!AS75)</f>
        <v/>
      </c>
      <c r="AS48" t="str">
        <f>IF(Backend!AT75="", "", Backend!AT75)</f>
        <v/>
      </c>
      <c r="AT48" t="str">
        <f>IF(Backend!AU75="", "", Backend!AU75)</f>
        <v/>
      </c>
      <c r="AU48" t="str">
        <f>IF(Backend!AV75="", "", Backend!AV75)</f>
        <v/>
      </c>
      <c r="AV48" t="str">
        <f>IF(Backend!AW75="", "", Backend!AW75)</f>
        <v/>
      </c>
      <c r="AW48" t="str">
        <f>IF(Backend!AX75="", "", Backend!AX75)</f>
        <v/>
      </c>
      <c r="AX48" t="str">
        <f>IF(Backend!AY75="", "", Backend!AY75)</f>
        <v/>
      </c>
      <c r="AY48" t="str">
        <f>IF(Backend!AZ75="", "", Backend!AZ75)</f>
        <v/>
      </c>
      <c r="AZ48" t="str">
        <f>IF(Backend!BA75="", "", Backend!BA75)</f>
        <v/>
      </c>
      <c r="BA48" t="str">
        <f>IF(Backend!BB75="", "", Backend!BB75)</f>
        <v/>
      </c>
      <c r="BB48" t="str">
        <f>IF(Backend!BC75="", "", Backend!BC75)</f>
        <v/>
      </c>
      <c r="BC48" t="str">
        <f>IF(Backend!BD75="", "", Backend!BD75)</f>
        <v/>
      </c>
      <c r="BD48" t="str">
        <f>IF(Backend!BE75="", "", Backend!BE75)</f>
        <v/>
      </c>
      <c r="BE48" t="str">
        <f>IF(Backend!BF75="", "", Backend!BF75)</f>
        <v/>
      </c>
      <c r="BF48" t="str">
        <f>IF(Backend!BG75="", "", Backend!BG75)</f>
        <v/>
      </c>
      <c r="BG48" t="str">
        <f>IF(Backend!BH75="", "", Backend!BH75)</f>
        <v/>
      </c>
      <c r="BH48" t="str">
        <f>IF(Backend!BI75="", "", Backend!BI75)</f>
        <v/>
      </c>
      <c r="BI48" t="str">
        <f>IF(Backend!BJ75="", "", Backend!BJ75)</f>
        <v/>
      </c>
      <c r="BJ48" t="str">
        <f>IF(Backend!BK75="", "", Backend!BK75)</f>
        <v/>
      </c>
      <c r="BK48" t="str">
        <f>IF(Backend!BL75="", "", Backend!BL75)</f>
        <v/>
      </c>
      <c r="BL48" t="str">
        <f>IF(Backend!BM75="", "", Backend!BM75)</f>
        <v/>
      </c>
      <c r="BM48" t="str">
        <f>IF(Backend!BN75="", "", Backend!BN75)</f>
        <v/>
      </c>
      <c r="BN48" t="str">
        <f>IF(Backend!BO75="", "", Backend!BO75)</f>
        <v/>
      </c>
      <c r="BO48" t="str">
        <f>IF(Backend!BP75="", "", Backend!BP75)</f>
        <v/>
      </c>
      <c r="BP48" t="str">
        <f>IF(Backend!BQ75="", "", Backend!BQ75)</f>
        <v/>
      </c>
      <c r="BQ48" t="str">
        <f>IF(Backend!BR75="", "", Backend!BR75)</f>
        <v/>
      </c>
      <c r="BR48" t="str">
        <f>IF(Backend!BS75="", "", Backend!BS75)</f>
        <v/>
      </c>
      <c r="BS48" t="str">
        <f>IF(Backend!BT75="", "", Backend!BT75)</f>
        <v/>
      </c>
      <c r="BT48" t="str">
        <f>IF(Backend!BU75="", "", Backend!BU75)</f>
        <v/>
      </c>
      <c r="BU48" t="str">
        <f>IF(Backend!BV75="", "", Backend!BV75)</f>
        <v/>
      </c>
      <c r="BV48" t="str">
        <f>IF(Backend!BW75="", "", Backend!BW75)</f>
        <v/>
      </c>
      <c r="BW48" t="str">
        <f>IF(Backend!BX75="", "", Backend!BX75)</f>
        <v/>
      </c>
      <c r="BX48" t="str">
        <f>IF(Backend!BY75="", "", Backend!BY75)</f>
        <v/>
      </c>
      <c r="BY48" t="str">
        <f>IF(Backend!BZ75="", "", Backend!BZ75)</f>
        <v/>
      </c>
      <c r="BZ48" t="str">
        <f>IF(Backend!CA75="", "", Backend!CA75)</f>
        <v/>
      </c>
      <c r="CA48" t="str">
        <f>IF(Backend!CB75="", "", Backend!CB75)</f>
        <v/>
      </c>
      <c r="CB48" t="str">
        <f>IF(Backend!CC75="", "", Backend!CC75)</f>
        <v/>
      </c>
      <c r="CC48" t="str">
        <f>IF(Backend!CD75="", "", Backend!CD75)</f>
        <v/>
      </c>
    </row>
    <row r="49" spans="1:81" x14ac:dyDescent="0.25">
      <c r="A49" s="4" t="str">
        <f>IF(Backend!A76="", "", Backend!A76)</f>
        <v/>
      </c>
      <c r="B49" t="str">
        <f>IF(Backend!C76="", "", Backend!C76)</f>
        <v/>
      </c>
      <c r="C49" t="str">
        <f>IF(Backend!D76="", "", Backend!D76)</f>
        <v/>
      </c>
      <c r="D49" t="str">
        <f>IF(Backend!E76="", "", Backend!E76)</f>
        <v/>
      </c>
      <c r="E49" t="str">
        <f>IF(Backend!F76="", "", Backend!F76)</f>
        <v/>
      </c>
      <c r="F49" t="str">
        <f>IF(Backend!G76="", "", Backend!G76)</f>
        <v/>
      </c>
      <c r="G49" t="str">
        <f>IF(Backend!H76="", "", Backend!H76)</f>
        <v/>
      </c>
      <c r="H49" t="str">
        <f>IF(Backend!I76="", "", Backend!I76)</f>
        <v/>
      </c>
      <c r="I49" t="str">
        <f>IF(Backend!J76="", "", Backend!J76)</f>
        <v/>
      </c>
      <c r="J49" t="str">
        <f>IF(Backend!K76="", "", Backend!K76)</f>
        <v/>
      </c>
      <c r="K49" t="str">
        <f>IF(Backend!L76="", "", Backend!L76)</f>
        <v/>
      </c>
      <c r="L49" t="str">
        <f>IF(Backend!M76="", "", Backend!M76)</f>
        <v/>
      </c>
      <c r="M49" t="str">
        <f>IF(Backend!N76="", "", Backend!N76)</f>
        <v/>
      </c>
      <c r="N49" t="str">
        <f>IF(Backend!O76="", "", Backend!O76)</f>
        <v/>
      </c>
      <c r="O49" t="str">
        <f>IF(Backend!P76="", "", Backend!P76)</f>
        <v/>
      </c>
      <c r="P49" t="str">
        <f>IF(Backend!Q76="", "", Backend!Q76)</f>
        <v/>
      </c>
      <c r="Q49" t="str">
        <f>IF(Backend!R76="", "", Backend!R76)</f>
        <v/>
      </c>
      <c r="R49" t="str">
        <f>IF(Backend!S76="", "", Backend!S76)</f>
        <v/>
      </c>
      <c r="S49" t="str">
        <f>IF(Backend!T76="", "", Backend!T76)</f>
        <v/>
      </c>
      <c r="T49" t="str">
        <f>IF(Backend!U76="", "", Backend!U76)</f>
        <v/>
      </c>
      <c r="U49" t="str">
        <f>IF(Backend!V76="", "", Backend!V76)</f>
        <v/>
      </c>
      <c r="V49" t="str">
        <f>IF(Backend!W76="", "", Backend!W76)</f>
        <v/>
      </c>
      <c r="W49" t="str">
        <f>IF(Backend!X76="", "", Backend!X76)</f>
        <v/>
      </c>
      <c r="X49" t="str">
        <f>IF(Backend!Y76="", "", Backend!Y76)</f>
        <v/>
      </c>
      <c r="Y49" t="str">
        <f>IF(Backend!Z76="", "", Backend!Z76)</f>
        <v/>
      </c>
      <c r="Z49" t="str">
        <f>IF(Backend!AA76="", "", Backend!AA76)</f>
        <v/>
      </c>
      <c r="AA49" t="str">
        <f>IF(Backend!AB76="", "", Backend!AB76)</f>
        <v/>
      </c>
      <c r="AB49" t="str">
        <f>IF(Backend!AC76="", "", Backend!AC76)</f>
        <v/>
      </c>
      <c r="AC49" t="str">
        <f>IF(Backend!AD76="", "", Backend!AD76)</f>
        <v/>
      </c>
      <c r="AD49" t="str">
        <f>IF(Backend!AE76="", "", Backend!AE76)</f>
        <v/>
      </c>
      <c r="AE49" t="str">
        <f>IF(Backend!AF76="", "", Backend!AF76)</f>
        <v/>
      </c>
      <c r="AF49" t="str">
        <f>IF(Backend!AG76="", "", Backend!AG76)</f>
        <v/>
      </c>
      <c r="AG49" t="str">
        <f>IF(Backend!AH76="", "", Backend!AH76)</f>
        <v/>
      </c>
      <c r="AH49" t="str">
        <f>IF(Backend!AI76="", "", Backend!AI76)</f>
        <v/>
      </c>
      <c r="AI49" t="str">
        <f>IF(Backend!AJ76="", "", Backend!AJ76)</f>
        <v/>
      </c>
      <c r="AJ49" t="str">
        <f>IF(Backend!AK76="", "", Backend!AK76)</f>
        <v/>
      </c>
      <c r="AK49" t="str">
        <f>IF(Backend!AL76="", "", Backend!AL76)</f>
        <v/>
      </c>
      <c r="AL49" t="str">
        <f>IF(Backend!AM76="", "", Backend!AM76)</f>
        <v/>
      </c>
      <c r="AM49" t="str">
        <f>IF(Backend!AN76="", "", Backend!AN76)</f>
        <v/>
      </c>
      <c r="AN49" t="str">
        <f>IF(Backend!AO76="", "", Backend!AO76)</f>
        <v/>
      </c>
      <c r="AO49" t="str">
        <f>IF(Backend!AP76="", "", Backend!AP76)</f>
        <v/>
      </c>
      <c r="AP49" t="str">
        <f>IF(Backend!AQ76="", "", Backend!AQ76)</f>
        <v/>
      </c>
      <c r="AQ49" t="str">
        <f>IF(Backend!AR76="", "", Backend!AR76)</f>
        <v/>
      </c>
      <c r="AR49" t="str">
        <f>IF(Backend!AS76="", "", Backend!AS76)</f>
        <v/>
      </c>
      <c r="AS49" t="str">
        <f>IF(Backend!AT76="", "", Backend!AT76)</f>
        <v/>
      </c>
      <c r="AT49" t="str">
        <f>IF(Backend!AU76="", "", Backend!AU76)</f>
        <v/>
      </c>
      <c r="AU49" t="str">
        <f>IF(Backend!AV76="", "", Backend!AV76)</f>
        <v/>
      </c>
      <c r="AV49" t="str">
        <f>IF(Backend!AW76="", "", Backend!AW76)</f>
        <v/>
      </c>
      <c r="AW49" t="str">
        <f>IF(Backend!AX76="", "", Backend!AX76)</f>
        <v/>
      </c>
      <c r="AX49" t="str">
        <f>IF(Backend!AY76="", "", Backend!AY76)</f>
        <v/>
      </c>
      <c r="AY49" t="str">
        <f>IF(Backend!AZ76="", "", Backend!AZ76)</f>
        <v/>
      </c>
      <c r="AZ49" t="str">
        <f>IF(Backend!BA76="", "", Backend!BA76)</f>
        <v/>
      </c>
      <c r="BA49" t="str">
        <f>IF(Backend!BB76="", "", Backend!BB76)</f>
        <v/>
      </c>
      <c r="BB49" t="str">
        <f>IF(Backend!BC76="", "", Backend!BC76)</f>
        <v/>
      </c>
      <c r="BC49" t="str">
        <f>IF(Backend!BD76="", "", Backend!BD76)</f>
        <v/>
      </c>
      <c r="BD49" t="str">
        <f>IF(Backend!BE76="", "", Backend!BE76)</f>
        <v/>
      </c>
      <c r="BE49" t="str">
        <f>IF(Backend!BF76="", "", Backend!BF76)</f>
        <v/>
      </c>
      <c r="BF49" t="str">
        <f>IF(Backend!BG76="", "", Backend!BG76)</f>
        <v/>
      </c>
      <c r="BG49" t="str">
        <f>IF(Backend!BH76="", "", Backend!BH76)</f>
        <v/>
      </c>
      <c r="BH49" t="str">
        <f>IF(Backend!BI76="", "", Backend!BI76)</f>
        <v/>
      </c>
      <c r="BI49" t="str">
        <f>IF(Backend!BJ76="", "", Backend!BJ76)</f>
        <v/>
      </c>
      <c r="BJ49" t="str">
        <f>IF(Backend!BK76="", "", Backend!BK76)</f>
        <v/>
      </c>
      <c r="BK49" t="str">
        <f>IF(Backend!BL76="", "", Backend!BL76)</f>
        <v/>
      </c>
      <c r="BL49" t="str">
        <f>IF(Backend!BM76="", "", Backend!BM76)</f>
        <v/>
      </c>
      <c r="BM49" t="str">
        <f>IF(Backend!BN76="", "", Backend!BN76)</f>
        <v/>
      </c>
      <c r="BN49" t="str">
        <f>IF(Backend!BO76="", "", Backend!BO76)</f>
        <v/>
      </c>
      <c r="BO49" t="str">
        <f>IF(Backend!BP76="", "", Backend!BP76)</f>
        <v/>
      </c>
      <c r="BP49" t="str">
        <f>IF(Backend!BQ76="", "", Backend!BQ76)</f>
        <v/>
      </c>
      <c r="BQ49" t="str">
        <f>IF(Backend!BR76="", "", Backend!BR76)</f>
        <v/>
      </c>
      <c r="BR49" t="str">
        <f>IF(Backend!BS76="", "", Backend!BS76)</f>
        <v/>
      </c>
      <c r="BS49" t="str">
        <f>IF(Backend!BT76="", "", Backend!BT76)</f>
        <v/>
      </c>
      <c r="BT49" t="str">
        <f>IF(Backend!BU76="", "", Backend!BU76)</f>
        <v/>
      </c>
      <c r="BU49" t="str">
        <f>IF(Backend!BV76="", "", Backend!BV76)</f>
        <v/>
      </c>
      <c r="BV49" t="str">
        <f>IF(Backend!BW76="", "", Backend!BW76)</f>
        <v/>
      </c>
      <c r="BW49" t="str">
        <f>IF(Backend!BX76="", "", Backend!BX76)</f>
        <v/>
      </c>
      <c r="BX49" t="str">
        <f>IF(Backend!BY76="", "", Backend!BY76)</f>
        <v/>
      </c>
      <c r="BY49" t="str">
        <f>IF(Backend!BZ76="", "", Backend!BZ76)</f>
        <v/>
      </c>
      <c r="BZ49" t="str">
        <f>IF(Backend!CA76="", "", Backend!CA76)</f>
        <v/>
      </c>
      <c r="CA49" t="str">
        <f>IF(Backend!CB76="", "", Backend!CB76)</f>
        <v/>
      </c>
      <c r="CB49" t="str">
        <f>IF(Backend!CC76="", "", Backend!CC76)</f>
        <v/>
      </c>
      <c r="CC49" t="str">
        <f>IF(Backend!CD76="", "", Backend!CD76)</f>
        <v/>
      </c>
    </row>
    <row r="50" spans="1:81" x14ac:dyDescent="0.25">
      <c r="A50" s="4" t="str">
        <f>IF(Backend!A77="", "", Backend!A77)</f>
        <v/>
      </c>
      <c r="B50" t="str">
        <f>IF(Backend!C77="", "", Backend!C77)</f>
        <v/>
      </c>
      <c r="C50" t="str">
        <f>IF(Backend!D77="", "", Backend!D77)</f>
        <v/>
      </c>
      <c r="D50" t="str">
        <f>IF(Backend!E77="", "", Backend!E77)</f>
        <v/>
      </c>
      <c r="E50" t="str">
        <f>IF(Backend!F77="", "", Backend!F77)</f>
        <v/>
      </c>
      <c r="F50" t="str">
        <f>IF(Backend!G77="", "", Backend!G77)</f>
        <v/>
      </c>
      <c r="G50" t="str">
        <f>IF(Backend!H77="", "", Backend!H77)</f>
        <v/>
      </c>
      <c r="H50" t="str">
        <f>IF(Backend!I77="", "", Backend!I77)</f>
        <v/>
      </c>
      <c r="I50" t="str">
        <f>IF(Backend!J77="", "", Backend!J77)</f>
        <v/>
      </c>
      <c r="J50" t="str">
        <f>IF(Backend!K77="", "", Backend!K77)</f>
        <v/>
      </c>
      <c r="K50" t="str">
        <f>IF(Backend!L77="", "", Backend!L77)</f>
        <v/>
      </c>
      <c r="L50" t="str">
        <f>IF(Backend!M77="", "", Backend!M77)</f>
        <v/>
      </c>
      <c r="M50" t="str">
        <f>IF(Backend!N77="", "", Backend!N77)</f>
        <v/>
      </c>
      <c r="N50" t="str">
        <f>IF(Backend!O77="", "", Backend!O77)</f>
        <v/>
      </c>
      <c r="O50" t="str">
        <f>IF(Backend!P77="", "", Backend!P77)</f>
        <v/>
      </c>
      <c r="P50" t="str">
        <f>IF(Backend!Q77="", "", Backend!Q77)</f>
        <v/>
      </c>
      <c r="Q50" t="str">
        <f>IF(Backend!R77="", "", Backend!R77)</f>
        <v/>
      </c>
      <c r="R50" t="str">
        <f>IF(Backend!S77="", "", Backend!S77)</f>
        <v/>
      </c>
      <c r="S50" t="str">
        <f>IF(Backend!T77="", "", Backend!T77)</f>
        <v/>
      </c>
      <c r="T50" t="str">
        <f>IF(Backend!U77="", "", Backend!U77)</f>
        <v/>
      </c>
      <c r="U50" t="str">
        <f>IF(Backend!V77="", "", Backend!V77)</f>
        <v/>
      </c>
      <c r="V50" t="str">
        <f>IF(Backend!W77="", "", Backend!W77)</f>
        <v/>
      </c>
      <c r="W50" t="str">
        <f>IF(Backend!X77="", "", Backend!X77)</f>
        <v/>
      </c>
      <c r="X50" t="str">
        <f>IF(Backend!Y77="", "", Backend!Y77)</f>
        <v/>
      </c>
      <c r="Y50" t="str">
        <f>IF(Backend!Z77="", "", Backend!Z77)</f>
        <v/>
      </c>
      <c r="Z50" t="str">
        <f>IF(Backend!AA77="", "", Backend!AA77)</f>
        <v/>
      </c>
      <c r="AA50" t="str">
        <f>IF(Backend!AB77="", "", Backend!AB77)</f>
        <v/>
      </c>
      <c r="AB50" t="str">
        <f>IF(Backend!AC77="", "", Backend!AC77)</f>
        <v/>
      </c>
      <c r="AC50" t="str">
        <f>IF(Backend!AD77="", "", Backend!AD77)</f>
        <v/>
      </c>
      <c r="AD50" t="str">
        <f>IF(Backend!AE77="", "", Backend!AE77)</f>
        <v/>
      </c>
      <c r="AE50" t="str">
        <f>IF(Backend!AF77="", "", Backend!AF77)</f>
        <v/>
      </c>
      <c r="AF50" t="str">
        <f>IF(Backend!AG77="", "", Backend!AG77)</f>
        <v/>
      </c>
      <c r="AG50" t="str">
        <f>IF(Backend!AH77="", "", Backend!AH77)</f>
        <v/>
      </c>
      <c r="AH50" t="str">
        <f>IF(Backend!AI77="", "", Backend!AI77)</f>
        <v/>
      </c>
      <c r="AI50" t="str">
        <f>IF(Backend!AJ77="", "", Backend!AJ77)</f>
        <v/>
      </c>
      <c r="AJ50" t="str">
        <f>IF(Backend!AK77="", "", Backend!AK77)</f>
        <v/>
      </c>
      <c r="AK50" t="str">
        <f>IF(Backend!AL77="", "", Backend!AL77)</f>
        <v/>
      </c>
      <c r="AL50" t="str">
        <f>IF(Backend!AM77="", "", Backend!AM77)</f>
        <v/>
      </c>
      <c r="AM50" t="str">
        <f>IF(Backend!AN77="", "", Backend!AN77)</f>
        <v/>
      </c>
      <c r="AN50" t="str">
        <f>IF(Backend!AO77="", "", Backend!AO77)</f>
        <v/>
      </c>
      <c r="AO50" t="str">
        <f>IF(Backend!AP77="", "", Backend!AP77)</f>
        <v/>
      </c>
      <c r="AP50" t="str">
        <f>IF(Backend!AQ77="", "", Backend!AQ77)</f>
        <v/>
      </c>
      <c r="AQ50" t="str">
        <f>IF(Backend!AR77="", "", Backend!AR77)</f>
        <v/>
      </c>
      <c r="AR50" t="str">
        <f>IF(Backend!AS77="", "", Backend!AS77)</f>
        <v/>
      </c>
      <c r="AS50" t="str">
        <f>IF(Backend!AT77="", "", Backend!AT77)</f>
        <v/>
      </c>
      <c r="AT50" t="str">
        <f>IF(Backend!AU77="", "", Backend!AU77)</f>
        <v/>
      </c>
      <c r="AU50" t="str">
        <f>IF(Backend!AV77="", "", Backend!AV77)</f>
        <v/>
      </c>
      <c r="AV50" t="str">
        <f>IF(Backend!AW77="", "", Backend!AW77)</f>
        <v/>
      </c>
      <c r="AW50" t="str">
        <f>IF(Backend!AX77="", "", Backend!AX77)</f>
        <v/>
      </c>
      <c r="AX50" t="str">
        <f>IF(Backend!AY77="", "", Backend!AY77)</f>
        <v/>
      </c>
      <c r="AY50" t="str">
        <f>IF(Backend!AZ77="", "", Backend!AZ77)</f>
        <v/>
      </c>
      <c r="AZ50" t="str">
        <f>IF(Backend!BA77="", "", Backend!BA77)</f>
        <v/>
      </c>
      <c r="BA50" t="str">
        <f>IF(Backend!BB77="", "", Backend!BB77)</f>
        <v/>
      </c>
      <c r="BB50" t="str">
        <f>IF(Backend!BC77="", "", Backend!BC77)</f>
        <v/>
      </c>
      <c r="BC50" t="str">
        <f>IF(Backend!BD77="", "", Backend!BD77)</f>
        <v/>
      </c>
      <c r="BD50" t="str">
        <f>IF(Backend!BE77="", "", Backend!BE77)</f>
        <v/>
      </c>
      <c r="BE50" t="str">
        <f>IF(Backend!BF77="", "", Backend!BF77)</f>
        <v/>
      </c>
      <c r="BF50" t="str">
        <f>IF(Backend!BG77="", "", Backend!BG77)</f>
        <v/>
      </c>
      <c r="BG50" t="str">
        <f>IF(Backend!BH77="", "", Backend!BH77)</f>
        <v/>
      </c>
      <c r="BH50" t="str">
        <f>IF(Backend!BI77="", "", Backend!BI77)</f>
        <v/>
      </c>
      <c r="BI50" t="str">
        <f>IF(Backend!BJ77="", "", Backend!BJ77)</f>
        <v/>
      </c>
      <c r="BJ50" t="str">
        <f>IF(Backend!BK77="", "", Backend!BK77)</f>
        <v/>
      </c>
      <c r="BK50" t="str">
        <f>IF(Backend!BL77="", "", Backend!BL77)</f>
        <v/>
      </c>
      <c r="BL50" t="str">
        <f>IF(Backend!BM77="", "", Backend!BM77)</f>
        <v/>
      </c>
      <c r="BM50" t="str">
        <f>IF(Backend!BN77="", "", Backend!BN77)</f>
        <v/>
      </c>
      <c r="BN50" t="str">
        <f>IF(Backend!BO77="", "", Backend!BO77)</f>
        <v/>
      </c>
      <c r="BO50" t="str">
        <f>IF(Backend!BP77="", "", Backend!BP77)</f>
        <v/>
      </c>
      <c r="BP50" t="str">
        <f>IF(Backend!BQ77="", "", Backend!BQ77)</f>
        <v/>
      </c>
      <c r="BQ50" t="str">
        <f>IF(Backend!BR77="", "", Backend!BR77)</f>
        <v/>
      </c>
      <c r="BR50" t="str">
        <f>IF(Backend!BS77="", "", Backend!BS77)</f>
        <v/>
      </c>
      <c r="BS50" t="str">
        <f>IF(Backend!BT77="", "", Backend!BT77)</f>
        <v/>
      </c>
      <c r="BT50" t="str">
        <f>IF(Backend!BU77="", "", Backend!BU77)</f>
        <v/>
      </c>
      <c r="BU50" t="str">
        <f>IF(Backend!BV77="", "", Backend!BV77)</f>
        <v/>
      </c>
      <c r="BV50" t="str">
        <f>IF(Backend!BW77="", "", Backend!BW77)</f>
        <v/>
      </c>
      <c r="BW50" t="str">
        <f>IF(Backend!BX77="", "", Backend!BX77)</f>
        <v/>
      </c>
      <c r="BX50" t="str">
        <f>IF(Backend!BY77="", "", Backend!BY77)</f>
        <v/>
      </c>
      <c r="BY50" t="str">
        <f>IF(Backend!BZ77="", "", Backend!BZ77)</f>
        <v/>
      </c>
      <c r="BZ50" t="str">
        <f>IF(Backend!CA77="", "", Backend!CA77)</f>
        <v/>
      </c>
      <c r="CA50" t="str">
        <f>IF(Backend!CB77="", "", Backend!CB77)</f>
        <v/>
      </c>
      <c r="CB50" t="str">
        <f>IF(Backend!CC77="", "", Backend!CC77)</f>
        <v/>
      </c>
      <c r="CC50" t="str">
        <f>IF(Backend!CD77="", "", Backend!CD77)</f>
        <v/>
      </c>
    </row>
    <row r="51" spans="1:81" x14ac:dyDescent="0.25">
      <c r="A51" s="4" t="str">
        <f>IF(Backend!A78="", "", Backend!A78)</f>
        <v/>
      </c>
      <c r="B51" t="str">
        <f>IF(Backend!C78="", "", Backend!C78)</f>
        <v/>
      </c>
      <c r="C51" t="str">
        <f>IF(Backend!D78="", "", Backend!D78)</f>
        <v/>
      </c>
      <c r="D51" t="str">
        <f>IF(Backend!E78="", "", Backend!E78)</f>
        <v/>
      </c>
      <c r="E51" t="str">
        <f>IF(Backend!F78="", "", Backend!F78)</f>
        <v/>
      </c>
      <c r="F51" t="str">
        <f>IF(Backend!G78="", "", Backend!G78)</f>
        <v/>
      </c>
      <c r="G51" t="str">
        <f>IF(Backend!H78="", "", Backend!H78)</f>
        <v/>
      </c>
      <c r="H51" t="str">
        <f>IF(Backend!I78="", "", Backend!I78)</f>
        <v/>
      </c>
      <c r="I51" t="str">
        <f>IF(Backend!J78="", "", Backend!J78)</f>
        <v/>
      </c>
      <c r="J51" t="str">
        <f>IF(Backend!K78="", "", Backend!K78)</f>
        <v/>
      </c>
      <c r="K51" t="str">
        <f>IF(Backend!L78="", "", Backend!L78)</f>
        <v/>
      </c>
      <c r="L51" t="str">
        <f>IF(Backend!M78="", "", Backend!M78)</f>
        <v/>
      </c>
      <c r="M51" t="str">
        <f>IF(Backend!N78="", "", Backend!N78)</f>
        <v/>
      </c>
      <c r="N51" t="str">
        <f>IF(Backend!O78="", "", Backend!O78)</f>
        <v/>
      </c>
      <c r="O51" t="str">
        <f>IF(Backend!P78="", "", Backend!P78)</f>
        <v/>
      </c>
      <c r="P51" t="str">
        <f>IF(Backend!Q78="", "", Backend!Q78)</f>
        <v/>
      </c>
      <c r="Q51" t="str">
        <f>IF(Backend!R78="", "", Backend!R78)</f>
        <v/>
      </c>
      <c r="R51" t="str">
        <f>IF(Backend!S78="", "", Backend!S78)</f>
        <v/>
      </c>
      <c r="S51" t="str">
        <f>IF(Backend!T78="", "", Backend!T78)</f>
        <v/>
      </c>
      <c r="T51" t="str">
        <f>IF(Backend!U78="", "", Backend!U78)</f>
        <v/>
      </c>
      <c r="U51" t="str">
        <f>IF(Backend!V78="", "", Backend!V78)</f>
        <v/>
      </c>
      <c r="V51" t="str">
        <f>IF(Backend!W78="", "", Backend!W78)</f>
        <v/>
      </c>
      <c r="W51" t="str">
        <f>IF(Backend!X78="", "", Backend!X78)</f>
        <v/>
      </c>
      <c r="X51" t="str">
        <f>IF(Backend!Y78="", "", Backend!Y78)</f>
        <v/>
      </c>
      <c r="Y51" t="str">
        <f>IF(Backend!Z78="", "", Backend!Z78)</f>
        <v/>
      </c>
      <c r="Z51" t="str">
        <f>IF(Backend!AA78="", "", Backend!AA78)</f>
        <v/>
      </c>
      <c r="AA51" t="str">
        <f>IF(Backend!AB78="", "", Backend!AB78)</f>
        <v/>
      </c>
      <c r="AB51" t="str">
        <f>IF(Backend!AC78="", "", Backend!AC78)</f>
        <v/>
      </c>
      <c r="AC51" t="str">
        <f>IF(Backend!AD78="", "", Backend!AD78)</f>
        <v/>
      </c>
      <c r="AD51" t="str">
        <f>IF(Backend!AE78="", "", Backend!AE78)</f>
        <v/>
      </c>
      <c r="AE51" t="str">
        <f>IF(Backend!AF78="", "", Backend!AF78)</f>
        <v/>
      </c>
      <c r="AF51" t="str">
        <f>IF(Backend!AG78="", "", Backend!AG78)</f>
        <v/>
      </c>
      <c r="AG51" t="str">
        <f>IF(Backend!AH78="", "", Backend!AH78)</f>
        <v/>
      </c>
      <c r="AH51" t="str">
        <f>IF(Backend!AI78="", "", Backend!AI78)</f>
        <v/>
      </c>
      <c r="AI51" t="str">
        <f>IF(Backend!AJ78="", "", Backend!AJ78)</f>
        <v/>
      </c>
      <c r="AJ51" t="str">
        <f>IF(Backend!AK78="", "", Backend!AK78)</f>
        <v/>
      </c>
      <c r="AK51" t="str">
        <f>IF(Backend!AL78="", "", Backend!AL78)</f>
        <v/>
      </c>
      <c r="AL51" t="str">
        <f>IF(Backend!AM78="", "", Backend!AM78)</f>
        <v/>
      </c>
      <c r="AM51" t="str">
        <f>IF(Backend!AN78="", "", Backend!AN78)</f>
        <v/>
      </c>
      <c r="AN51" t="str">
        <f>IF(Backend!AO78="", "", Backend!AO78)</f>
        <v/>
      </c>
      <c r="AO51" t="str">
        <f>IF(Backend!AP78="", "", Backend!AP78)</f>
        <v/>
      </c>
      <c r="AP51" t="str">
        <f>IF(Backend!AQ78="", "", Backend!AQ78)</f>
        <v/>
      </c>
      <c r="AQ51" t="str">
        <f>IF(Backend!AR78="", "", Backend!AR78)</f>
        <v/>
      </c>
      <c r="AR51" t="str">
        <f>IF(Backend!AS78="", "", Backend!AS78)</f>
        <v/>
      </c>
      <c r="AS51" t="str">
        <f>IF(Backend!AT78="", "", Backend!AT78)</f>
        <v/>
      </c>
      <c r="AT51" t="str">
        <f>IF(Backend!AU78="", "", Backend!AU78)</f>
        <v/>
      </c>
      <c r="AU51" t="str">
        <f>IF(Backend!AV78="", "", Backend!AV78)</f>
        <v/>
      </c>
      <c r="AV51" t="str">
        <f>IF(Backend!AW78="", "", Backend!AW78)</f>
        <v/>
      </c>
      <c r="AW51" t="str">
        <f>IF(Backend!AX78="", "", Backend!AX78)</f>
        <v/>
      </c>
      <c r="AX51" t="str">
        <f>IF(Backend!AY78="", "", Backend!AY78)</f>
        <v/>
      </c>
      <c r="AY51" t="str">
        <f>IF(Backend!AZ78="", "", Backend!AZ78)</f>
        <v/>
      </c>
      <c r="AZ51" t="str">
        <f>IF(Backend!BA78="", "", Backend!BA78)</f>
        <v/>
      </c>
      <c r="BA51" t="str">
        <f>IF(Backend!BB78="", "", Backend!BB78)</f>
        <v/>
      </c>
      <c r="BB51" t="str">
        <f>IF(Backend!BC78="", "", Backend!BC78)</f>
        <v/>
      </c>
      <c r="BC51" t="str">
        <f>IF(Backend!BD78="", "", Backend!BD78)</f>
        <v/>
      </c>
      <c r="BD51" t="str">
        <f>IF(Backend!BE78="", "", Backend!BE78)</f>
        <v/>
      </c>
      <c r="BE51" t="str">
        <f>IF(Backend!BF78="", "", Backend!BF78)</f>
        <v/>
      </c>
      <c r="BF51" t="str">
        <f>IF(Backend!BG78="", "", Backend!BG78)</f>
        <v/>
      </c>
      <c r="BG51" t="str">
        <f>IF(Backend!BH78="", "", Backend!BH78)</f>
        <v/>
      </c>
      <c r="BH51" t="str">
        <f>IF(Backend!BI78="", "", Backend!BI78)</f>
        <v/>
      </c>
      <c r="BI51" t="str">
        <f>IF(Backend!BJ78="", "", Backend!BJ78)</f>
        <v/>
      </c>
      <c r="BJ51" t="str">
        <f>IF(Backend!BK78="", "", Backend!BK78)</f>
        <v/>
      </c>
      <c r="BK51" t="str">
        <f>IF(Backend!BL78="", "", Backend!BL78)</f>
        <v/>
      </c>
      <c r="BL51" t="str">
        <f>IF(Backend!BM78="", "", Backend!BM78)</f>
        <v/>
      </c>
      <c r="BM51" t="str">
        <f>IF(Backend!BN78="", "", Backend!BN78)</f>
        <v/>
      </c>
      <c r="BN51" t="str">
        <f>IF(Backend!BO78="", "", Backend!BO78)</f>
        <v/>
      </c>
      <c r="BO51" t="str">
        <f>IF(Backend!BP78="", "", Backend!BP78)</f>
        <v/>
      </c>
      <c r="BP51" t="str">
        <f>IF(Backend!BQ78="", "", Backend!BQ78)</f>
        <v/>
      </c>
      <c r="BQ51" t="str">
        <f>IF(Backend!BR78="", "", Backend!BR78)</f>
        <v/>
      </c>
      <c r="BR51" t="str">
        <f>IF(Backend!BS78="", "", Backend!BS78)</f>
        <v/>
      </c>
      <c r="BS51" t="str">
        <f>IF(Backend!BT78="", "", Backend!BT78)</f>
        <v/>
      </c>
      <c r="BT51" t="str">
        <f>IF(Backend!BU78="", "", Backend!BU78)</f>
        <v/>
      </c>
      <c r="BU51" t="str">
        <f>IF(Backend!BV78="", "", Backend!BV78)</f>
        <v/>
      </c>
      <c r="BV51" t="str">
        <f>IF(Backend!BW78="", "", Backend!BW78)</f>
        <v/>
      </c>
      <c r="BW51" t="str">
        <f>IF(Backend!BX78="", "", Backend!BX78)</f>
        <v/>
      </c>
      <c r="BX51" t="str">
        <f>IF(Backend!BY78="", "", Backend!BY78)</f>
        <v/>
      </c>
      <c r="BY51" t="str">
        <f>IF(Backend!BZ78="", "", Backend!BZ78)</f>
        <v/>
      </c>
      <c r="BZ51" t="str">
        <f>IF(Backend!CA78="", "", Backend!CA78)</f>
        <v/>
      </c>
      <c r="CA51" t="str">
        <f>IF(Backend!CB78="", "", Backend!CB78)</f>
        <v/>
      </c>
      <c r="CB51" t="str">
        <f>IF(Backend!CC78="", "", Backend!CC78)</f>
        <v/>
      </c>
      <c r="CC51" t="str">
        <f>IF(Backend!CD78="", "", Backend!CD78)</f>
        <v/>
      </c>
    </row>
    <row r="52" spans="1:81" x14ac:dyDescent="0.25">
      <c r="A52" s="4" t="str">
        <f>IF(Backend!A79="", "", Backend!A79)</f>
        <v/>
      </c>
      <c r="B52" t="str">
        <f>IF(Backend!C79="", "", Backend!C79)</f>
        <v/>
      </c>
      <c r="C52" t="str">
        <f>IF(Backend!D79="", "", Backend!D79)</f>
        <v/>
      </c>
      <c r="D52" t="str">
        <f>IF(Backend!E79="", "", Backend!E79)</f>
        <v/>
      </c>
      <c r="E52" t="str">
        <f>IF(Backend!F79="", "", Backend!F79)</f>
        <v/>
      </c>
      <c r="F52" t="str">
        <f>IF(Backend!G79="", "", Backend!G79)</f>
        <v/>
      </c>
      <c r="G52" t="str">
        <f>IF(Backend!H79="", "", Backend!H79)</f>
        <v/>
      </c>
      <c r="H52" t="str">
        <f>IF(Backend!I79="", "", Backend!I79)</f>
        <v/>
      </c>
      <c r="I52" t="str">
        <f>IF(Backend!J79="", "", Backend!J79)</f>
        <v/>
      </c>
      <c r="J52" t="str">
        <f>IF(Backend!K79="", "", Backend!K79)</f>
        <v/>
      </c>
      <c r="K52" t="str">
        <f>IF(Backend!L79="", "", Backend!L79)</f>
        <v/>
      </c>
      <c r="L52" t="str">
        <f>IF(Backend!M79="", "", Backend!M79)</f>
        <v/>
      </c>
      <c r="M52" t="str">
        <f>IF(Backend!N79="", "", Backend!N79)</f>
        <v/>
      </c>
      <c r="N52" t="str">
        <f>IF(Backend!O79="", "", Backend!O79)</f>
        <v/>
      </c>
      <c r="O52" t="str">
        <f>IF(Backend!P79="", "", Backend!P79)</f>
        <v/>
      </c>
      <c r="P52" t="str">
        <f>IF(Backend!Q79="", "", Backend!Q79)</f>
        <v/>
      </c>
      <c r="Q52" t="str">
        <f>IF(Backend!R79="", "", Backend!R79)</f>
        <v/>
      </c>
      <c r="R52" t="str">
        <f>IF(Backend!S79="", "", Backend!S79)</f>
        <v/>
      </c>
      <c r="S52" t="str">
        <f>IF(Backend!T79="", "", Backend!T79)</f>
        <v/>
      </c>
      <c r="T52" t="str">
        <f>IF(Backend!U79="", "", Backend!U79)</f>
        <v/>
      </c>
      <c r="U52" t="str">
        <f>IF(Backend!V79="", "", Backend!V79)</f>
        <v/>
      </c>
      <c r="V52" t="str">
        <f>IF(Backend!W79="", "", Backend!W79)</f>
        <v/>
      </c>
      <c r="W52" t="str">
        <f>IF(Backend!X79="", "", Backend!X79)</f>
        <v/>
      </c>
      <c r="X52" t="str">
        <f>IF(Backend!Y79="", "", Backend!Y79)</f>
        <v/>
      </c>
      <c r="Y52" t="str">
        <f>IF(Backend!Z79="", "", Backend!Z79)</f>
        <v/>
      </c>
      <c r="Z52" t="str">
        <f>IF(Backend!AA79="", "", Backend!AA79)</f>
        <v/>
      </c>
      <c r="AA52" t="str">
        <f>IF(Backend!AB79="", "", Backend!AB79)</f>
        <v/>
      </c>
      <c r="AB52" t="str">
        <f>IF(Backend!AC79="", "", Backend!AC79)</f>
        <v/>
      </c>
      <c r="AC52" t="str">
        <f>IF(Backend!AD79="", "", Backend!AD79)</f>
        <v/>
      </c>
      <c r="AD52" t="str">
        <f>IF(Backend!AE79="", "", Backend!AE79)</f>
        <v/>
      </c>
      <c r="AE52" t="str">
        <f>IF(Backend!AF79="", "", Backend!AF79)</f>
        <v/>
      </c>
      <c r="AF52" t="str">
        <f>IF(Backend!AG79="", "", Backend!AG79)</f>
        <v/>
      </c>
      <c r="AG52" t="str">
        <f>IF(Backend!AH79="", "", Backend!AH79)</f>
        <v/>
      </c>
      <c r="AH52" t="str">
        <f>IF(Backend!AI79="", "", Backend!AI79)</f>
        <v/>
      </c>
      <c r="AI52" t="str">
        <f>IF(Backend!AJ79="", "", Backend!AJ79)</f>
        <v/>
      </c>
      <c r="AJ52" t="str">
        <f>IF(Backend!AK79="", "", Backend!AK79)</f>
        <v/>
      </c>
      <c r="AK52" t="str">
        <f>IF(Backend!AL79="", "", Backend!AL79)</f>
        <v/>
      </c>
      <c r="AL52" t="str">
        <f>IF(Backend!AM79="", "", Backend!AM79)</f>
        <v/>
      </c>
      <c r="AM52" t="str">
        <f>IF(Backend!AN79="", "", Backend!AN79)</f>
        <v/>
      </c>
      <c r="AN52" t="str">
        <f>IF(Backend!AO79="", "", Backend!AO79)</f>
        <v/>
      </c>
      <c r="AO52" t="str">
        <f>IF(Backend!AP79="", "", Backend!AP79)</f>
        <v/>
      </c>
      <c r="AP52" t="str">
        <f>IF(Backend!AQ79="", "", Backend!AQ79)</f>
        <v/>
      </c>
      <c r="AQ52" t="str">
        <f>IF(Backend!AR79="", "", Backend!AR79)</f>
        <v/>
      </c>
      <c r="AR52" t="str">
        <f>IF(Backend!AS79="", "", Backend!AS79)</f>
        <v/>
      </c>
      <c r="AS52" t="str">
        <f>IF(Backend!AT79="", "", Backend!AT79)</f>
        <v/>
      </c>
      <c r="AT52" t="str">
        <f>IF(Backend!AU79="", "", Backend!AU79)</f>
        <v/>
      </c>
      <c r="AU52" t="str">
        <f>IF(Backend!AV79="", "", Backend!AV79)</f>
        <v/>
      </c>
      <c r="AV52" t="str">
        <f>IF(Backend!AW79="", "", Backend!AW79)</f>
        <v/>
      </c>
      <c r="AW52" t="str">
        <f>IF(Backend!AX79="", "", Backend!AX79)</f>
        <v/>
      </c>
      <c r="AX52" t="str">
        <f>IF(Backend!AY79="", "", Backend!AY79)</f>
        <v/>
      </c>
      <c r="AY52" t="str">
        <f>IF(Backend!AZ79="", "", Backend!AZ79)</f>
        <v/>
      </c>
      <c r="AZ52" t="str">
        <f>IF(Backend!BA79="", "", Backend!BA79)</f>
        <v/>
      </c>
      <c r="BA52" t="str">
        <f>IF(Backend!BB79="", "", Backend!BB79)</f>
        <v/>
      </c>
      <c r="BB52" t="str">
        <f>IF(Backend!BC79="", "", Backend!BC79)</f>
        <v/>
      </c>
      <c r="BC52" t="str">
        <f>IF(Backend!BD79="", "", Backend!BD79)</f>
        <v/>
      </c>
      <c r="BD52" t="str">
        <f>IF(Backend!BE79="", "", Backend!BE79)</f>
        <v/>
      </c>
      <c r="BE52" t="str">
        <f>IF(Backend!BF79="", "", Backend!BF79)</f>
        <v/>
      </c>
      <c r="BF52" t="str">
        <f>IF(Backend!BG79="", "", Backend!BG79)</f>
        <v/>
      </c>
      <c r="BG52" t="str">
        <f>IF(Backend!BH79="", "", Backend!BH79)</f>
        <v/>
      </c>
      <c r="BH52" t="str">
        <f>IF(Backend!BI79="", "", Backend!BI79)</f>
        <v/>
      </c>
      <c r="BI52" t="str">
        <f>IF(Backend!BJ79="", "", Backend!BJ79)</f>
        <v/>
      </c>
      <c r="BJ52" t="str">
        <f>IF(Backend!BK79="", "", Backend!BK79)</f>
        <v/>
      </c>
      <c r="BK52" t="str">
        <f>IF(Backend!BL79="", "", Backend!BL79)</f>
        <v/>
      </c>
      <c r="BL52" t="str">
        <f>IF(Backend!BM79="", "", Backend!BM79)</f>
        <v/>
      </c>
      <c r="BM52" t="str">
        <f>IF(Backend!BN79="", "", Backend!BN79)</f>
        <v/>
      </c>
      <c r="BN52" t="str">
        <f>IF(Backend!BO79="", "", Backend!BO79)</f>
        <v/>
      </c>
      <c r="BO52" t="str">
        <f>IF(Backend!BP79="", "", Backend!BP79)</f>
        <v/>
      </c>
      <c r="BP52" t="str">
        <f>IF(Backend!BQ79="", "", Backend!BQ79)</f>
        <v/>
      </c>
      <c r="BQ52" t="str">
        <f>IF(Backend!BR79="", "", Backend!BR79)</f>
        <v/>
      </c>
      <c r="BR52" t="str">
        <f>IF(Backend!BS79="", "", Backend!BS79)</f>
        <v/>
      </c>
      <c r="BS52" t="str">
        <f>IF(Backend!BT79="", "", Backend!BT79)</f>
        <v/>
      </c>
      <c r="BT52" t="str">
        <f>IF(Backend!BU79="", "", Backend!BU79)</f>
        <v/>
      </c>
      <c r="BU52" t="str">
        <f>IF(Backend!BV79="", "", Backend!BV79)</f>
        <v/>
      </c>
      <c r="BV52" t="str">
        <f>IF(Backend!BW79="", "", Backend!BW79)</f>
        <v/>
      </c>
      <c r="BW52" t="str">
        <f>IF(Backend!BX79="", "", Backend!BX79)</f>
        <v/>
      </c>
      <c r="BX52" t="str">
        <f>IF(Backend!BY79="", "", Backend!BY79)</f>
        <v/>
      </c>
      <c r="BY52" t="str">
        <f>IF(Backend!BZ79="", "", Backend!BZ79)</f>
        <v/>
      </c>
      <c r="BZ52" t="str">
        <f>IF(Backend!CA79="", "", Backend!CA79)</f>
        <v/>
      </c>
      <c r="CA52" t="str">
        <f>IF(Backend!CB79="", "", Backend!CB79)</f>
        <v/>
      </c>
      <c r="CB52" t="str">
        <f>IF(Backend!CC79="", "", Backend!CC79)</f>
        <v/>
      </c>
      <c r="CC52" t="str">
        <f>IF(Backend!CD79="", "", Backend!CD79)</f>
        <v/>
      </c>
    </row>
    <row r="53" spans="1:81" x14ac:dyDescent="0.25">
      <c r="A53" s="4" t="str">
        <f>IF(Backend!A80="", "", Backend!A80)</f>
        <v/>
      </c>
      <c r="B53" t="str">
        <f>IF(Backend!C80="", "", Backend!C80)</f>
        <v/>
      </c>
      <c r="C53" t="str">
        <f>IF(Backend!D80="", "", Backend!D80)</f>
        <v/>
      </c>
      <c r="D53" t="str">
        <f>IF(Backend!E80="", "", Backend!E80)</f>
        <v/>
      </c>
      <c r="E53" t="str">
        <f>IF(Backend!F80="", "", Backend!F80)</f>
        <v/>
      </c>
      <c r="F53" t="str">
        <f>IF(Backend!G80="", "", Backend!G80)</f>
        <v/>
      </c>
      <c r="G53" t="str">
        <f>IF(Backend!H80="", "", Backend!H80)</f>
        <v/>
      </c>
      <c r="H53" t="str">
        <f>IF(Backend!I80="", "", Backend!I80)</f>
        <v/>
      </c>
      <c r="I53" t="str">
        <f>IF(Backend!J80="", "", Backend!J80)</f>
        <v/>
      </c>
      <c r="J53" t="str">
        <f>IF(Backend!K80="", "", Backend!K80)</f>
        <v/>
      </c>
      <c r="K53" t="str">
        <f>IF(Backend!L80="", "", Backend!L80)</f>
        <v/>
      </c>
      <c r="L53" t="str">
        <f>IF(Backend!M80="", "", Backend!M80)</f>
        <v/>
      </c>
      <c r="M53" t="str">
        <f>IF(Backend!N80="", "", Backend!N80)</f>
        <v/>
      </c>
      <c r="N53" t="str">
        <f>IF(Backend!O80="", "", Backend!O80)</f>
        <v/>
      </c>
      <c r="O53" t="str">
        <f>IF(Backend!P80="", "", Backend!P80)</f>
        <v/>
      </c>
      <c r="P53" t="str">
        <f>IF(Backend!Q80="", "", Backend!Q80)</f>
        <v/>
      </c>
      <c r="Q53" t="str">
        <f>IF(Backend!R80="", "", Backend!R80)</f>
        <v/>
      </c>
      <c r="R53" t="str">
        <f>IF(Backend!S80="", "", Backend!S80)</f>
        <v/>
      </c>
      <c r="S53" t="str">
        <f>IF(Backend!T80="", "", Backend!T80)</f>
        <v/>
      </c>
      <c r="T53" t="str">
        <f>IF(Backend!U80="", "", Backend!U80)</f>
        <v/>
      </c>
      <c r="U53" t="str">
        <f>IF(Backend!V80="", "", Backend!V80)</f>
        <v/>
      </c>
      <c r="V53" t="str">
        <f>IF(Backend!W80="", "", Backend!W80)</f>
        <v/>
      </c>
      <c r="W53" t="str">
        <f>IF(Backend!X80="", "", Backend!X80)</f>
        <v/>
      </c>
      <c r="X53" t="str">
        <f>IF(Backend!Y80="", "", Backend!Y80)</f>
        <v/>
      </c>
      <c r="Y53" t="str">
        <f>IF(Backend!Z80="", "", Backend!Z80)</f>
        <v/>
      </c>
      <c r="Z53" t="str">
        <f>IF(Backend!AA80="", "", Backend!AA80)</f>
        <v/>
      </c>
      <c r="AA53" t="str">
        <f>IF(Backend!AB80="", "", Backend!AB80)</f>
        <v/>
      </c>
      <c r="AB53" t="str">
        <f>IF(Backend!AC80="", "", Backend!AC80)</f>
        <v/>
      </c>
      <c r="AC53" t="str">
        <f>IF(Backend!AD80="", "", Backend!AD80)</f>
        <v/>
      </c>
      <c r="AD53" t="str">
        <f>IF(Backend!AE80="", "", Backend!AE80)</f>
        <v/>
      </c>
      <c r="AE53" t="str">
        <f>IF(Backend!AF80="", "", Backend!AF80)</f>
        <v/>
      </c>
      <c r="AF53" t="str">
        <f>IF(Backend!AG80="", "", Backend!AG80)</f>
        <v/>
      </c>
      <c r="AG53" t="str">
        <f>IF(Backend!AH80="", "", Backend!AH80)</f>
        <v/>
      </c>
      <c r="AH53" t="str">
        <f>IF(Backend!AI80="", "", Backend!AI80)</f>
        <v/>
      </c>
      <c r="AI53" t="str">
        <f>IF(Backend!AJ80="", "", Backend!AJ80)</f>
        <v/>
      </c>
      <c r="AJ53" t="str">
        <f>IF(Backend!AK80="", "", Backend!AK80)</f>
        <v/>
      </c>
      <c r="AK53" t="str">
        <f>IF(Backend!AL80="", "", Backend!AL80)</f>
        <v/>
      </c>
      <c r="AL53" t="str">
        <f>IF(Backend!AM80="", "", Backend!AM80)</f>
        <v/>
      </c>
      <c r="AM53" t="str">
        <f>IF(Backend!AN80="", "", Backend!AN80)</f>
        <v/>
      </c>
      <c r="AN53" t="str">
        <f>IF(Backend!AO80="", "", Backend!AO80)</f>
        <v/>
      </c>
      <c r="AO53" t="str">
        <f>IF(Backend!AP80="", "", Backend!AP80)</f>
        <v/>
      </c>
      <c r="AP53" t="str">
        <f>IF(Backend!AQ80="", "", Backend!AQ80)</f>
        <v/>
      </c>
      <c r="AQ53" t="str">
        <f>IF(Backend!AR80="", "", Backend!AR80)</f>
        <v/>
      </c>
      <c r="AR53" t="str">
        <f>IF(Backend!AS80="", "", Backend!AS80)</f>
        <v/>
      </c>
      <c r="AS53" t="str">
        <f>IF(Backend!AT80="", "", Backend!AT80)</f>
        <v/>
      </c>
      <c r="AT53" t="str">
        <f>IF(Backend!AU80="", "", Backend!AU80)</f>
        <v/>
      </c>
      <c r="AU53" t="str">
        <f>IF(Backend!AV80="", "", Backend!AV80)</f>
        <v/>
      </c>
      <c r="AV53" t="str">
        <f>IF(Backend!AW80="", "", Backend!AW80)</f>
        <v/>
      </c>
      <c r="AW53" t="str">
        <f>IF(Backend!AX80="", "", Backend!AX80)</f>
        <v/>
      </c>
      <c r="AX53" t="str">
        <f>IF(Backend!AY80="", "", Backend!AY80)</f>
        <v/>
      </c>
      <c r="AY53" t="str">
        <f>IF(Backend!AZ80="", "", Backend!AZ80)</f>
        <v/>
      </c>
      <c r="AZ53" t="str">
        <f>IF(Backend!BA80="", "", Backend!BA80)</f>
        <v/>
      </c>
      <c r="BA53" t="str">
        <f>IF(Backend!BB80="", "", Backend!BB80)</f>
        <v/>
      </c>
      <c r="BB53" t="str">
        <f>IF(Backend!BC80="", "", Backend!BC80)</f>
        <v/>
      </c>
      <c r="BC53" t="str">
        <f>IF(Backend!BD80="", "", Backend!BD80)</f>
        <v/>
      </c>
      <c r="BD53" t="str">
        <f>IF(Backend!BE80="", "", Backend!BE80)</f>
        <v/>
      </c>
      <c r="BE53" t="str">
        <f>IF(Backend!BF80="", "", Backend!BF80)</f>
        <v/>
      </c>
      <c r="BF53" t="str">
        <f>IF(Backend!BG80="", "", Backend!BG80)</f>
        <v/>
      </c>
      <c r="BG53" t="str">
        <f>IF(Backend!BH80="", "", Backend!BH80)</f>
        <v/>
      </c>
      <c r="BH53" t="str">
        <f>IF(Backend!BI80="", "", Backend!BI80)</f>
        <v/>
      </c>
      <c r="BI53" t="str">
        <f>IF(Backend!BJ80="", "", Backend!BJ80)</f>
        <v/>
      </c>
      <c r="BJ53" t="str">
        <f>IF(Backend!BK80="", "", Backend!BK80)</f>
        <v/>
      </c>
      <c r="BK53" t="str">
        <f>IF(Backend!BL80="", "", Backend!BL80)</f>
        <v/>
      </c>
      <c r="BL53" t="str">
        <f>IF(Backend!BM80="", "", Backend!BM80)</f>
        <v/>
      </c>
      <c r="BM53" t="str">
        <f>IF(Backend!BN80="", "", Backend!BN80)</f>
        <v/>
      </c>
      <c r="BN53" t="str">
        <f>IF(Backend!BO80="", "", Backend!BO80)</f>
        <v/>
      </c>
      <c r="BO53" t="str">
        <f>IF(Backend!BP80="", "", Backend!BP80)</f>
        <v/>
      </c>
      <c r="BP53" t="str">
        <f>IF(Backend!BQ80="", "", Backend!BQ80)</f>
        <v/>
      </c>
      <c r="BQ53" t="str">
        <f>IF(Backend!BR80="", "", Backend!BR80)</f>
        <v/>
      </c>
      <c r="BR53" t="str">
        <f>IF(Backend!BS80="", "", Backend!BS80)</f>
        <v/>
      </c>
      <c r="BS53" t="str">
        <f>IF(Backend!BT80="", "", Backend!BT80)</f>
        <v/>
      </c>
      <c r="BT53" t="str">
        <f>IF(Backend!BU80="", "", Backend!BU80)</f>
        <v/>
      </c>
      <c r="BU53" t="str">
        <f>IF(Backend!BV80="", "", Backend!BV80)</f>
        <v/>
      </c>
      <c r="BV53" t="str">
        <f>IF(Backend!BW80="", "", Backend!BW80)</f>
        <v/>
      </c>
      <c r="BW53" t="str">
        <f>IF(Backend!BX80="", "", Backend!BX80)</f>
        <v/>
      </c>
      <c r="BX53" t="str">
        <f>IF(Backend!BY80="", "", Backend!BY80)</f>
        <v/>
      </c>
      <c r="BY53" t="str">
        <f>IF(Backend!BZ80="", "", Backend!BZ80)</f>
        <v/>
      </c>
      <c r="BZ53" t="str">
        <f>IF(Backend!CA80="", "", Backend!CA80)</f>
        <v/>
      </c>
      <c r="CA53" t="str">
        <f>IF(Backend!CB80="", "", Backend!CB80)</f>
        <v/>
      </c>
      <c r="CB53" t="str">
        <f>IF(Backend!CC80="", "", Backend!CC80)</f>
        <v/>
      </c>
      <c r="CC53" t="str">
        <f>IF(Backend!CD80="", "", Backend!CD80)</f>
        <v/>
      </c>
    </row>
    <row r="54" spans="1:81" x14ac:dyDescent="0.25">
      <c r="A54" s="4" t="str">
        <f>IF(Backend!A81="", "", Backend!A81)</f>
        <v/>
      </c>
      <c r="B54" t="str">
        <f>IF(Backend!C81="", "", Backend!C81)</f>
        <v/>
      </c>
      <c r="C54" t="str">
        <f>IF(Backend!D81="", "", Backend!D81)</f>
        <v/>
      </c>
      <c r="D54" t="str">
        <f>IF(Backend!E81="", "", Backend!E81)</f>
        <v/>
      </c>
      <c r="E54" t="str">
        <f>IF(Backend!F81="", "", Backend!F81)</f>
        <v/>
      </c>
      <c r="F54" t="str">
        <f>IF(Backend!G81="", "", Backend!G81)</f>
        <v/>
      </c>
      <c r="G54" t="str">
        <f>IF(Backend!H81="", "", Backend!H81)</f>
        <v/>
      </c>
      <c r="H54" t="str">
        <f>IF(Backend!I81="", "", Backend!I81)</f>
        <v/>
      </c>
      <c r="I54" t="str">
        <f>IF(Backend!J81="", "", Backend!J81)</f>
        <v/>
      </c>
      <c r="J54" t="str">
        <f>IF(Backend!K81="", "", Backend!K81)</f>
        <v/>
      </c>
      <c r="K54" t="str">
        <f>IF(Backend!L81="", "", Backend!L81)</f>
        <v/>
      </c>
      <c r="L54" t="str">
        <f>IF(Backend!M81="", "", Backend!M81)</f>
        <v/>
      </c>
      <c r="M54" t="str">
        <f>IF(Backend!N81="", "", Backend!N81)</f>
        <v/>
      </c>
      <c r="N54" t="str">
        <f>IF(Backend!O81="", "", Backend!O81)</f>
        <v/>
      </c>
      <c r="O54" t="str">
        <f>IF(Backend!P81="", "", Backend!P81)</f>
        <v/>
      </c>
      <c r="P54" t="str">
        <f>IF(Backend!Q81="", "", Backend!Q81)</f>
        <v/>
      </c>
      <c r="Q54" t="str">
        <f>IF(Backend!R81="", "", Backend!R81)</f>
        <v/>
      </c>
      <c r="R54" t="str">
        <f>IF(Backend!S81="", "", Backend!S81)</f>
        <v/>
      </c>
      <c r="S54" t="str">
        <f>IF(Backend!T81="", "", Backend!T81)</f>
        <v/>
      </c>
      <c r="T54" t="str">
        <f>IF(Backend!U81="", "", Backend!U81)</f>
        <v/>
      </c>
      <c r="U54" t="str">
        <f>IF(Backend!V81="", "", Backend!V81)</f>
        <v/>
      </c>
      <c r="V54" t="str">
        <f>IF(Backend!W81="", "", Backend!W81)</f>
        <v/>
      </c>
      <c r="W54" t="str">
        <f>IF(Backend!X81="", "", Backend!X81)</f>
        <v/>
      </c>
      <c r="X54" t="str">
        <f>IF(Backend!Y81="", "", Backend!Y81)</f>
        <v/>
      </c>
      <c r="Y54" t="str">
        <f>IF(Backend!Z81="", "", Backend!Z81)</f>
        <v/>
      </c>
      <c r="Z54" t="str">
        <f>IF(Backend!AA81="", "", Backend!AA81)</f>
        <v/>
      </c>
      <c r="AA54" t="str">
        <f>IF(Backend!AB81="", "", Backend!AB81)</f>
        <v/>
      </c>
      <c r="AB54" t="str">
        <f>IF(Backend!AC81="", "", Backend!AC81)</f>
        <v/>
      </c>
      <c r="AC54" t="str">
        <f>IF(Backend!AD81="", "", Backend!AD81)</f>
        <v/>
      </c>
      <c r="AD54" t="str">
        <f>IF(Backend!AE81="", "", Backend!AE81)</f>
        <v/>
      </c>
      <c r="AE54" t="str">
        <f>IF(Backend!AF81="", "", Backend!AF81)</f>
        <v/>
      </c>
      <c r="AF54" t="str">
        <f>IF(Backend!AG81="", "", Backend!AG81)</f>
        <v/>
      </c>
      <c r="AG54" t="str">
        <f>IF(Backend!AH81="", "", Backend!AH81)</f>
        <v/>
      </c>
      <c r="AH54" t="str">
        <f>IF(Backend!AI81="", "", Backend!AI81)</f>
        <v/>
      </c>
      <c r="AI54" t="str">
        <f>IF(Backend!AJ81="", "", Backend!AJ81)</f>
        <v/>
      </c>
      <c r="AJ54" t="str">
        <f>IF(Backend!AK81="", "", Backend!AK81)</f>
        <v/>
      </c>
      <c r="AK54" t="str">
        <f>IF(Backend!AL81="", "", Backend!AL81)</f>
        <v/>
      </c>
      <c r="AL54" t="str">
        <f>IF(Backend!AM81="", "", Backend!AM81)</f>
        <v/>
      </c>
      <c r="AM54" t="str">
        <f>IF(Backend!AN81="", "", Backend!AN81)</f>
        <v/>
      </c>
      <c r="AN54" t="str">
        <f>IF(Backend!AO81="", "", Backend!AO81)</f>
        <v/>
      </c>
      <c r="AO54" t="str">
        <f>IF(Backend!AP81="", "", Backend!AP81)</f>
        <v/>
      </c>
      <c r="AP54" t="str">
        <f>IF(Backend!AQ81="", "", Backend!AQ81)</f>
        <v/>
      </c>
      <c r="AQ54" t="str">
        <f>IF(Backend!AR81="", "", Backend!AR81)</f>
        <v/>
      </c>
      <c r="AR54" t="str">
        <f>IF(Backend!AS81="", "", Backend!AS81)</f>
        <v/>
      </c>
      <c r="AS54" t="str">
        <f>IF(Backend!AT81="", "", Backend!AT81)</f>
        <v/>
      </c>
      <c r="AT54" t="str">
        <f>IF(Backend!AU81="", "", Backend!AU81)</f>
        <v/>
      </c>
      <c r="AU54" t="str">
        <f>IF(Backend!AV81="", "", Backend!AV81)</f>
        <v/>
      </c>
      <c r="AV54" t="str">
        <f>IF(Backend!AW81="", "", Backend!AW81)</f>
        <v/>
      </c>
      <c r="AW54" t="str">
        <f>IF(Backend!AX81="", "", Backend!AX81)</f>
        <v/>
      </c>
      <c r="AX54" t="str">
        <f>IF(Backend!AY81="", "", Backend!AY81)</f>
        <v/>
      </c>
      <c r="AY54" t="str">
        <f>IF(Backend!AZ81="", "", Backend!AZ81)</f>
        <v/>
      </c>
      <c r="AZ54" t="str">
        <f>IF(Backend!BA81="", "", Backend!BA81)</f>
        <v/>
      </c>
      <c r="BA54" t="str">
        <f>IF(Backend!BB81="", "", Backend!BB81)</f>
        <v/>
      </c>
      <c r="BB54" t="str">
        <f>IF(Backend!BC81="", "", Backend!BC81)</f>
        <v/>
      </c>
      <c r="BC54" t="str">
        <f>IF(Backend!BD81="", "", Backend!BD81)</f>
        <v/>
      </c>
      <c r="BD54" t="str">
        <f>IF(Backend!BE81="", "", Backend!BE81)</f>
        <v/>
      </c>
      <c r="BE54" t="str">
        <f>IF(Backend!BF81="", "", Backend!BF81)</f>
        <v/>
      </c>
      <c r="BF54" t="str">
        <f>IF(Backend!BG81="", "", Backend!BG81)</f>
        <v/>
      </c>
      <c r="BG54" t="str">
        <f>IF(Backend!BH81="", "", Backend!BH81)</f>
        <v/>
      </c>
      <c r="BH54" t="str">
        <f>IF(Backend!BI81="", "", Backend!BI81)</f>
        <v/>
      </c>
      <c r="BI54" t="str">
        <f>IF(Backend!BJ81="", "", Backend!BJ81)</f>
        <v/>
      </c>
      <c r="BJ54" t="str">
        <f>IF(Backend!BK81="", "", Backend!BK81)</f>
        <v/>
      </c>
      <c r="BK54" t="str">
        <f>IF(Backend!BL81="", "", Backend!BL81)</f>
        <v/>
      </c>
      <c r="BL54" t="str">
        <f>IF(Backend!BM81="", "", Backend!BM81)</f>
        <v/>
      </c>
      <c r="BM54" t="str">
        <f>IF(Backend!BN81="", "", Backend!BN81)</f>
        <v/>
      </c>
      <c r="BN54" t="str">
        <f>IF(Backend!BO81="", "", Backend!BO81)</f>
        <v/>
      </c>
      <c r="BO54" t="str">
        <f>IF(Backend!BP81="", "", Backend!BP81)</f>
        <v/>
      </c>
      <c r="BP54" t="str">
        <f>IF(Backend!BQ81="", "", Backend!BQ81)</f>
        <v/>
      </c>
      <c r="BQ54" t="str">
        <f>IF(Backend!BR81="", "", Backend!BR81)</f>
        <v/>
      </c>
      <c r="BR54" t="str">
        <f>IF(Backend!BS81="", "", Backend!BS81)</f>
        <v/>
      </c>
      <c r="BS54" t="str">
        <f>IF(Backend!BT81="", "", Backend!BT81)</f>
        <v/>
      </c>
      <c r="BT54" t="str">
        <f>IF(Backend!BU81="", "", Backend!BU81)</f>
        <v/>
      </c>
      <c r="BU54" t="str">
        <f>IF(Backend!BV81="", "", Backend!BV81)</f>
        <v/>
      </c>
      <c r="BV54" t="str">
        <f>IF(Backend!BW81="", "", Backend!BW81)</f>
        <v/>
      </c>
      <c r="BW54" t="str">
        <f>IF(Backend!BX81="", "", Backend!BX81)</f>
        <v/>
      </c>
      <c r="BX54" t="str">
        <f>IF(Backend!BY81="", "", Backend!BY81)</f>
        <v/>
      </c>
      <c r="BY54" t="str">
        <f>IF(Backend!BZ81="", "", Backend!BZ81)</f>
        <v/>
      </c>
      <c r="BZ54" t="str">
        <f>IF(Backend!CA81="", "", Backend!CA81)</f>
        <v/>
      </c>
      <c r="CA54" t="str">
        <f>IF(Backend!CB81="", "", Backend!CB81)</f>
        <v/>
      </c>
      <c r="CB54" t="str">
        <f>IF(Backend!CC81="", "", Backend!CC81)</f>
        <v/>
      </c>
      <c r="CC54" t="str">
        <f>IF(Backend!CD81="", "", Backend!CD81)</f>
        <v/>
      </c>
    </row>
    <row r="55" spans="1:81" x14ac:dyDescent="0.25">
      <c r="A55" s="4" t="str">
        <f>IF(Backend!A82="", "", Backend!A82)</f>
        <v/>
      </c>
      <c r="B55" t="str">
        <f>IF(Backend!C82="", "", Backend!C82)</f>
        <v/>
      </c>
      <c r="C55" t="str">
        <f>IF(Backend!D82="", "", Backend!D82)</f>
        <v/>
      </c>
      <c r="D55" t="str">
        <f>IF(Backend!E82="", "", Backend!E82)</f>
        <v/>
      </c>
      <c r="E55" t="str">
        <f>IF(Backend!F82="", "", Backend!F82)</f>
        <v/>
      </c>
      <c r="F55" t="str">
        <f>IF(Backend!G82="", "", Backend!G82)</f>
        <v/>
      </c>
      <c r="G55" t="str">
        <f>IF(Backend!H82="", "", Backend!H82)</f>
        <v/>
      </c>
      <c r="H55" t="str">
        <f>IF(Backend!I82="", "", Backend!I82)</f>
        <v/>
      </c>
      <c r="I55" t="str">
        <f>IF(Backend!J82="", "", Backend!J82)</f>
        <v/>
      </c>
      <c r="J55" t="str">
        <f>IF(Backend!K82="", "", Backend!K82)</f>
        <v/>
      </c>
      <c r="K55" t="str">
        <f>IF(Backend!L82="", "", Backend!L82)</f>
        <v/>
      </c>
      <c r="L55" t="str">
        <f>IF(Backend!M82="", "", Backend!M82)</f>
        <v/>
      </c>
      <c r="M55" t="str">
        <f>IF(Backend!N82="", "", Backend!N82)</f>
        <v/>
      </c>
      <c r="N55" t="str">
        <f>IF(Backend!O82="", "", Backend!O82)</f>
        <v/>
      </c>
      <c r="O55" t="str">
        <f>IF(Backend!P82="", "", Backend!P82)</f>
        <v/>
      </c>
      <c r="P55" t="str">
        <f>IF(Backend!Q82="", "", Backend!Q82)</f>
        <v/>
      </c>
      <c r="Q55" t="str">
        <f>IF(Backend!R82="", "", Backend!R82)</f>
        <v/>
      </c>
      <c r="R55" t="str">
        <f>IF(Backend!S82="", "", Backend!S82)</f>
        <v/>
      </c>
      <c r="S55" t="str">
        <f>IF(Backend!T82="", "", Backend!T82)</f>
        <v/>
      </c>
      <c r="T55" t="str">
        <f>IF(Backend!U82="", "", Backend!U82)</f>
        <v/>
      </c>
      <c r="U55" t="str">
        <f>IF(Backend!V82="", "", Backend!V82)</f>
        <v/>
      </c>
      <c r="V55" t="str">
        <f>IF(Backend!W82="", "", Backend!W82)</f>
        <v/>
      </c>
      <c r="W55" t="str">
        <f>IF(Backend!X82="", "", Backend!X82)</f>
        <v/>
      </c>
      <c r="X55" t="str">
        <f>IF(Backend!Y82="", "", Backend!Y82)</f>
        <v/>
      </c>
      <c r="Y55" t="str">
        <f>IF(Backend!Z82="", "", Backend!Z82)</f>
        <v/>
      </c>
      <c r="Z55" t="str">
        <f>IF(Backend!AA82="", "", Backend!AA82)</f>
        <v/>
      </c>
      <c r="AA55" t="str">
        <f>IF(Backend!AB82="", "", Backend!AB82)</f>
        <v/>
      </c>
      <c r="AB55" t="str">
        <f>IF(Backend!AC82="", "", Backend!AC82)</f>
        <v/>
      </c>
      <c r="AC55" t="str">
        <f>IF(Backend!AD82="", "", Backend!AD82)</f>
        <v/>
      </c>
      <c r="AD55" t="str">
        <f>IF(Backend!AE82="", "", Backend!AE82)</f>
        <v/>
      </c>
      <c r="AE55" t="str">
        <f>IF(Backend!AF82="", "", Backend!AF82)</f>
        <v/>
      </c>
      <c r="AF55" t="str">
        <f>IF(Backend!AG82="", "", Backend!AG82)</f>
        <v/>
      </c>
      <c r="AG55" t="str">
        <f>IF(Backend!AH82="", "", Backend!AH82)</f>
        <v/>
      </c>
      <c r="AH55" t="str">
        <f>IF(Backend!AI82="", "", Backend!AI82)</f>
        <v/>
      </c>
      <c r="AI55" t="str">
        <f>IF(Backend!AJ82="", "", Backend!AJ82)</f>
        <v/>
      </c>
      <c r="AJ55" t="str">
        <f>IF(Backend!AK82="", "", Backend!AK82)</f>
        <v/>
      </c>
      <c r="AK55" t="str">
        <f>IF(Backend!AL82="", "", Backend!AL82)</f>
        <v/>
      </c>
      <c r="AL55" t="str">
        <f>IF(Backend!AM82="", "", Backend!AM82)</f>
        <v/>
      </c>
      <c r="AM55" t="str">
        <f>IF(Backend!AN82="", "", Backend!AN82)</f>
        <v/>
      </c>
      <c r="AN55" t="str">
        <f>IF(Backend!AO82="", "", Backend!AO82)</f>
        <v/>
      </c>
      <c r="AO55" t="str">
        <f>IF(Backend!AP82="", "", Backend!AP82)</f>
        <v/>
      </c>
      <c r="AP55" t="str">
        <f>IF(Backend!AQ82="", "", Backend!AQ82)</f>
        <v/>
      </c>
      <c r="AQ55" t="str">
        <f>IF(Backend!AR82="", "", Backend!AR82)</f>
        <v/>
      </c>
      <c r="AR55" t="str">
        <f>IF(Backend!AS82="", "", Backend!AS82)</f>
        <v/>
      </c>
      <c r="AS55" t="str">
        <f>IF(Backend!AT82="", "", Backend!AT82)</f>
        <v/>
      </c>
      <c r="AT55" t="str">
        <f>IF(Backend!AU82="", "", Backend!AU82)</f>
        <v/>
      </c>
      <c r="AU55" t="str">
        <f>IF(Backend!AV82="", "", Backend!AV82)</f>
        <v/>
      </c>
      <c r="AV55" t="str">
        <f>IF(Backend!AW82="", "", Backend!AW82)</f>
        <v/>
      </c>
      <c r="AW55" t="str">
        <f>IF(Backend!AX82="", "", Backend!AX82)</f>
        <v/>
      </c>
      <c r="AX55" t="str">
        <f>IF(Backend!AY82="", "", Backend!AY82)</f>
        <v/>
      </c>
      <c r="AY55" t="str">
        <f>IF(Backend!AZ82="", "", Backend!AZ82)</f>
        <v/>
      </c>
      <c r="AZ55" t="str">
        <f>IF(Backend!BA82="", "", Backend!BA82)</f>
        <v/>
      </c>
      <c r="BA55" t="str">
        <f>IF(Backend!BB82="", "", Backend!BB82)</f>
        <v/>
      </c>
      <c r="BB55" t="str">
        <f>IF(Backend!BC82="", "", Backend!BC82)</f>
        <v/>
      </c>
      <c r="BC55" t="str">
        <f>IF(Backend!BD82="", "", Backend!BD82)</f>
        <v/>
      </c>
      <c r="BD55" t="str">
        <f>IF(Backend!BE82="", "", Backend!BE82)</f>
        <v/>
      </c>
      <c r="BE55" t="str">
        <f>IF(Backend!BF82="", "", Backend!BF82)</f>
        <v/>
      </c>
      <c r="BF55" t="str">
        <f>IF(Backend!BG82="", "", Backend!BG82)</f>
        <v/>
      </c>
      <c r="BG55" t="str">
        <f>IF(Backend!BH82="", "", Backend!BH82)</f>
        <v/>
      </c>
      <c r="BH55" t="str">
        <f>IF(Backend!BI82="", "", Backend!BI82)</f>
        <v/>
      </c>
      <c r="BI55" t="str">
        <f>IF(Backend!BJ82="", "", Backend!BJ82)</f>
        <v/>
      </c>
      <c r="BJ55" t="str">
        <f>IF(Backend!BK82="", "", Backend!BK82)</f>
        <v/>
      </c>
      <c r="BK55" t="str">
        <f>IF(Backend!BL82="", "", Backend!BL82)</f>
        <v/>
      </c>
      <c r="BL55" t="str">
        <f>IF(Backend!BM82="", "", Backend!BM82)</f>
        <v/>
      </c>
      <c r="BM55" t="str">
        <f>IF(Backend!BN82="", "", Backend!BN82)</f>
        <v/>
      </c>
      <c r="BN55" t="str">
        <f>IF(Backend!BO82="", "", Backend!BO82)</f>
        <v/>
      </c>
      <c r="BO55" t="str">
        <f>IF(Backend!BP82="", "", Backend!BP82)</f>
        <v/>
      </c>
      <c r="BP55" t="str">
        <f>IF(Backend!BQ82="", "", Backend!BQ82)</f>
        <v/>
      </c>
      <c r="BQ55" t="str">
        <f>IF(Backend!BR82="", "", Backend!BR82)</f>
        <v/>
      </c>
      <c r="BR55" t="str">
        <f>IF(Backend!BS82="", "", Backend!BS82)</f>
        <v/>
      </c>
      <c r="BS55" t="str">
        <f>IF(Backend!BT82="", "", Backend!BT82)</f>
        <v/>
      </c>
      <c r="BT55" t="str">
        <f>IF(Backend!BU82="", "", Backend!BU82)</f>
        <v/>
      </c>
      <c r="BU55" t="str">
        <f>IF(Backend!BV82="", "", Backend!BV82)</f>
        <v/>
      </c>
      <c r="BV55" t="str">
        <f>IF(Backend!BW82="", "", Backend!BW82)</f>
        <v/>
      </c>
      <c r="BW55" t="str">
        <f>IF(Backend!BX82="", "", Backend!BX82)</f>
        <v/>
      </c>
      <c r="BX55" t="str">
        <f>IF(Backend!BY82="", "", Backend!BY82)</f>
        <v/>
      </c>
      <c r="BY55" t="str">
        <f>IF(Backend!BZ82="", "", Backend!BZ82)</f>
        <v/>
      </c>
      <c r="BZ55" t="str">
        <f>IF(Backend!CA82="", "", Backend!CA82)</f>
        <v/>
      </c>
      <c r="CA55" t="str">
        <f>IF(Backend!CB82="", "", Backend!CB82)</f>
        <v/>
      </c>
      <c r="CB55" t="str">
        <f>IF(Backend!CC82="", "", Backend!CC82)</f>
        <v/>
      </c>
      <c r="CC55" t="str">
        <f>IF(Backend!CD82="", "", Backend!CD82)</f>
        <v/>
      </c>
    </row>
    <row r="56" spans="1:81" x14ac:dyDescent="0.25">
      <c r="A56" s="4" t="str">
        <f>IF(Backend!A83="", "", Backend!A83)</f>
        <v/>
      </c>
      <c r="B56" t="str">
        <f>IF(Backend!C83="", "", Backend!C83)</f>
        <v/>
      </c>
      <c r="C56" t="str">
        <f>IF(Backend!D83="", "", Backend!D83)</f>
        <v/>
      </c>
      <c r="D56" t="str">
        <f>IF(Backend!E83="", "", Backend!E83)</f>
        <v/>
      </c>
      <c r="E56" t="str">
        <f>IF(Backend!F83="", "", Backend!F83)</f>
        <v/>
      </c>
      <c r="F56" t="str">
        <f>IF(Backend!G83="", "", Backend!G83)</f>
        <v/>
      </c>
      <c r="G56" t="str">
        <f>IF(Backend!H83="", "", Backend!H83)</f>
        <v/>
      </c>
      <c r="H56" t="str">
        <f>IF(Backend!I83="", "", Backend!I83)</f>
        <v/>
      </c>
      <c r="I56" t="str">
        <f>IF(Backend!J83="", "", Backend!J83)</f>
        <v/>
      </c>
      <c r="J56" t="str">
        <f>IF(Backend!K83="", "", Backend!K83)</f>
        <v/>
      </c>
      <c r="K56" t="str">
        <f>IF(Backend!L83="", "", Backend!L83)</f>
        <v/>
      </c>
      <c r="L56" t="str">
        <f>IF(Backend!M83="", "", Backend!M83)</f>
        <v/>
      </c>
      <c r="M56" t="str">
        <f>IF(Backend!N83="", "", Backend!N83)</f>
        <v/>
      </c>
      <c r="N56" t="str">
        <f>IF(Backend!O83="", "", Backend!O83)</f>
        <v/>
      </c>
      <c r="O56" t="str">
        <f>IF(Backend!P83="", "", Backend!P83)</f>
        <v/>
      </c>
      <c r="P56" t="str">
        <f>IF(Backend!Q83="", "", Backend!Q83)</f>
        <v/>
      </c>
      <c r="Q56" t="str">
        <f>IF(Backend!R83="", "", Backend!R83)</f>
        <v/>
      </c>
      <c r="R56" t="str">
        <f>IF(Backend!S83="", "", Backend!S83)</f>
        <v/>
      </c>
      <c r="S56" t="str">
        <f>IF(Backend!T83="", "", Backend!T83)</f>
        <v/>
      </c>
      <c r="T56" t="str">
        <f>IF(Backend!U83="", "", Backend!U83)</f>
        <v/>
      </c>
      <c r="U56" t="str">
        <f>IF(Backend!V83="", "", Backend!V83)</f>
        <v/>
      </c>
      <c r="V56" t="str">
        <f>IF(Backend!W83="", "", Backend!W83)</f>
        <v/>
      </c>
      <c r="W56" t="str">
        <f>IF(Backend!X83="", "", Backend!X83)</f>
        <v/>
      </c>
      <c r="X56" t="str">
        <f>IF(Backend!Y83="", "", Backend!Y83)</f>
        <v/>
      </c>
      <c r="Y56" t="str">
        <f>IF(Backend!Z83="", "", Backend!Z83)</f>
        <v/>
      </c>
      <c r="Z56" t="str">
        <f>IF(Backend!AA83="", "", Backend!AA83)</f>
        <v/>
      </c>
      <c r="AA56" t="str">
        <f>IF(Backend!AB83="", "", Backend!AB83)</f>
        <v/>
      </c>
      <c r="AB56" t="str">
        <f>IF(Backend!AC83="", "", Backend!AC83)</f>
        <v/>
      </c>
      <c r="AC56" t="str">
        <f>IF(Backend!AD83="", "", Backend!AD83)</f>
        <v/>
      </c>
      <c r="AD56" t="str">
        <f>IF(Backend!AE83="", "", Backend!AE83)</f>
        <v/>
      </c>
      <c r="AE56" t="str">
        <f>IF(Backend!AF83="", "", Backend!AF83)</f>
        <v/>
      </c>
      <c r="AF56" t="str">
        <f>IF(Backend!AG83="", "", Backend!AG83)</f>
        <v/>
      </c>
      <c r="AG56" t="str">
        <f>IF(Backend!AH83="", "", Backend!AH83)</f>
        <v/>
      </c>
      <c r="AH56" t="str">
        <f>IF(Backend!AI83="", "", Backend!AI83)</f>
        <v/>
      </c>
      <c r="AI56" t="str">
        <f>IF(Backend!AJ83="", "", Backend!AJ83)</f>
        <v/>
      </c>
      <c r="AJ56" t="str">
        <f>IF(Backend!AK83="", "", Backend!AK83)</f>
        <v/>
      </c>
      <c r="AK56" t="str">
        <f>IF(Backend!AL83="", "", Backend!AL83)</f>
        <v/>
      </c>
      <c r="AL56" t="str">
        <f>IF(Backend!AM83="", "", Backend!AM83)</f>
        <v/>
      </c>
      <c r="AM56" t="str">
        <f>IF(Backend!AN83="", "", Backend!AN83)</f>
        <v/>
      </c>
      <c r="AN56" t="str">
        <f>IF(Backend!AO83="", "", Backend!AO83)</f>
        <v/>
      </c>
      <c r="AO56" t="str">
        <f>IF(Backend!AP83="", "", Backend!AP83)</f>
        <v/>
      </c>
      <c r="AP56" t="str">
        <f>IF(Backend!AQ83="", "", Backend!AQ83)</f>
        <v/>
      </c>
      <c r="AQ56" t="str">
        <f>IF(Backend!AR83="", "", Backend!AR83)</f>
        <v/>
      </c>
      <c r="AR56" t="str">
        <f>IF(Backend!AS83="", "", Backend!AS83)</f>
        <v/>
      </c>
      <c r="AS56" t="str">
        <f>IF(Backend!AT83="", "", Backend!AT83)</f>
        <v/>
      </c>
      <c r="AT56" t="str">
        <f>IF(Backend!AU83="", "", Backend!AU83)</f>
        <v/>
      </c>
      <c r="AU56" t="str">
        <f>IF(Backend!AV83="", "", Backend!AV83)</f>
        <v/>
      </c>
      <c r="AV56" t="str">
        <f>IF(Backend!AW83="", "", Backend!AW83)</f>
        <v/>
      </c>
      <c r="AW56" t="str">
        <f>IF(Backend!AX83="", "", Backend!AX83)</f>
        <v/>
      </c>
      <c r="AX56" t="str">
        <f>IF(Backend!AY83="", "", Backend!AY83)</f>
        <v/>
      </c>
      <c r="AY56" t="str">
        <f>IF(Backend!AZ83="", "", Backend!AZ83)</f>
        <v/>
      </c>
      <c r="AZ56" t="str">
        <f>IF(Backend!BA83="", "", Backend!BA83)</f>
        <v/>
      </c>
      <c r="BA56" t="str">
        <f>IF(Backend!BB83="", "", Backend!BB83)</f>
        <v/>
      </c>
      <c r="BB56" t="str">
        <f>IF(Backend!BC83="", "", Backend!BC83)</f>
        <v/>
      </c>
      <c r="BC56" t="str">
        <f>IF(Backend!BD83="", "", Backend!BD83)</f>
        <v/>
      </c>
      <c r="BD56" t="str">
        <f>IF(Backend!BE83="", "", Backend!BE83)</f>
        <v/>
      </c>
      <c r="BE56" t="str">
        <f>IF(Backend!BF83="", "", Backend!BF83)</f>
        <v/>
      </c>
      <c r="BF56" t="str">
        <f>IF(Backend!BG83="", "", Backend!BG83)</f>
        <v/>
      </c>
      <c r="BG56" t="str">
        <f>IF(Backend!BH83="", "", Backend!BH83)</f>
        <v/>
      </c>
      <c r="BH56" t="str">
        <f>IF(Backend!BI83="", "", Backend!BI83)</f>
        <v/>
      </c>
      <c r="BI56" t="str">
        <f>IF(Backend!BJ83="", "", Backend!BJ83)</f>
        <v/>
      </c>
      <c r="BJ56" t="str">
        <f>IF(Backend!BK83="", "", Backend!BK83)</f>
        <v/>
      </c>
      <c r="BK56" t="str">
        <f>IF(Backend!BL83="", "", Backend!BL83)</f>
        <v/>
      </c>
      <c r="BL56" t="str">
        <f>IF(Backend!BM83="", "", Backend!BM83)</f>
        <v/>
      </c>
      <c r="BM56" t="str">
        <f>IF(Backend!BN83="", "", Backend!BN83)</f>
        <v/>
      </c>
      <c r="BN56" t="str">
        <f>IF(Backend!BO83="", "", Backend!BO83)</f>
        <v/>
      </c>
      <c r="BO56" t="str">
        <f>IF(Backend!BP83="", "", Backend!BP83)</f>
        <v/>
      </c>
      <c r="BP56" t="str">
        <f>IF(Backend!BQ83="", "", Backend!BQ83)</f>
        <v/>
      </c>
      <c r="BQ56" t="str">
        <f>IF(Backend!BR83="", "", Backend!BR83)</f>
        <v/>
      </c>
      <c r="BR56" t="str">
        <f>IF(Backend!BS83="", "", Backend!BS83)</f>
        <v/>
      </c>
      <c r="BS56" t="str">
        <f>IF(Backend!BT83="", "", Backend!BT83)</f>
        <v/>
      </c>
      <c r="BT56" t="str">
        <f>IF(Backend!BU83="", "", Backend!BU83)</f>
        <v/>
      </c>
      <c r="BU56" t="str">
        <f>IF(Backend!BV83="", "", Backend!BV83)</f>
        <v/>
      </c>
      <c r="BV56" t="str">
        <f>IF(Backend!BW83="", "", Backend!BW83)</f>
        <v/>
      </c>
      <c r="BW56" t="str">
        <f>IF(Backend!BX83="", "", Backend!BX83)</f>
        <v/>
      </c>
      <c r="BX56" t="str">
        <f>IF(Backend!BY83="", "", Backend!BY83)</f>
        <v/>
      </c>
      <c r="BY56" t="str">
        <f>IF(Backend!BZ83="", "", Backend!BZ83)</f>
        <v/>
      </c>
      <c r="BZ56" t="str">
        <f>IF(Backend!CA83="", "", Backend!CA83)</f>
        <v/>
      </c>
      <c r="CA56" t="str">
        <f>IF(Backend!CB83="", "", Backend!CB83)</f>
        <v/>
      </c>
      <c r="CB56" t="str">
        <f>IF(Backend!CC83="", "", Backend!CC83)</f>
        <v/>
      </c>
      <c r="CC56" t="str">
        <f>IF(Backend!CD83="", "", Backend!CD83)</f>
        <v/>
      </c>
    </row>
    <row r="57" spans="1:81" x14ac:dyDescent="0.25">
      <c r="A57" s="4" t="str">
        <f>IF(Backend!A84="", "", Backend!A84)</f>
        <v/>
      </c>
      <c r="B57" t="str">
        <f>IF(Backend!C84="", "", Backend!C84)</f>
        <v/>
      </c>
      <c r="C57" t="str">
        <f>IF(Backend!D84="", "", Backend!D84)</f>
        <v/>
      </c>
      <c r="D57" t="str">
        <f>IF(Backend!E84="", "", Backend!E84)</f>
        <v/>
      </c>
      <c r="E57" t="str">
        <f>IF(Backend!F84="", "", Backend!F84)</f>
        <v/>
      </c>
      <c r="F57" t="str">
        <f>IF(Backend!G84="", "", Backend!G84)</f>
        <v/>
      </c>
      <c r="G57" t="str">
        <f>IF(Backend!H84="", "", Backend!H84)</f>
        <v/>
      </c>
      <c r="H57" t="str">
        <f>IF(Backend!I84="", "", Backend!I84)</f>
        <v/>
      </c>
      <c r="I57" t="str">
        <f>IF(Backend!J84="", "", Backend!J84)</f>
        <v/>
      </c>
      <c r="J57" t="str">
        <f>IF(Backend!K84="", "", Backend!K84)</f>
        <v/>
      </c>
      <c r="K57" t="str">
        <f>IF(Backend!L84="", "", Backend!L84)</f>
        <v/>
      </c>
      <c r="L57" t="str">
        <f>IF(Backend!M84="", "", Backend!M84)</f>
        <v/>
      </c>
      <c r="M57" t="str">
        <f>IF(Backend!N84="", "", Backend!N84)</f>
        <v/>
      </c>
      <c r="N57" t="str">
        <f>IF(Backend!O84="", "", Backend!O84)</f>
        <v/>
      </c>
      <c r="O57" t="str">
        <f>IF(Backend!P84="", "", Backend!P84)</f>
        <v/>
      </c>
      <c r="P57" t="str">
        <f>IF(Backend!Q84="", "", Backend!Q84)</f>
        <v/>
      </c>
      <c r="Q57" t="str">
        <f>IF(Backend!R84="", "", Backend!R84)</f>
        <v/>
      </c>
      <c r="R57" t="str">
        <f>IF(Backend!S84="", "", Backend!S84)</f>
        <v/>
      </c>
      <c r="S57" t="str">
        <f>IF(Backend!T84="", "", Backend!T84)</f>
        <v/>
      </c>
      <c r="T57" t="str">
        <f>IF(Backend!U84="", "", Backend!U84)</f>
        <v/>
      </c>
      <c r="U57" t="str">
        <f>IF(Backend!V84="", "", Backend!V84)</f>
        <v/>
      </c>
      <c r="V57" t="str">
        <f>IF(Backend!W84="", "", Backend!W84)</f>
        <v/>
      </c>
      <c r="W57" t="str">
        <f>IF(Backend!X84="", "", Backend!X84)</f>
        <v/>
      </c>
      <c r="X57" t="str">
        <f>IF(Backend!Y84="", "", Backend!Y84)</f>
        <v/>
      </c>
      <c r="Y57" t="str">
        <f>IF(Backend!Z84="", "", Backend!Z84)</f>
        <v/>
      </c>
      <c r="Z57" t="str">
        <f>IF(Backend!AA84="", "", Backend!AA84)</f>
        <v/>
      </c>
      <c r="AA57" t="str">
        <f>IF(Backend!AB84="", "", Backend!AB84)</f>
        <v/>
      </c>
      <c r="AB57" t="str">
        <f>IF(Backend!AC84="", "", Backend!AC84)</f>
        <v/>
      </c>
      <c r="AC57" t="str">
        <f>IF(Backend!AD84="", "", Backend!AD84)</f>
        <v/>
      </c>
      <c r="AD57" t="str">
        <f>IF(Backend!AE84="", "", Backend!AE84)</f>
        <v/>
      </c>
      <c r="AE57" t="str">
        <f>IF(Backend!AF84="", "", Backend!AF84)</f>
        <v/>
      </c>
      <c r="AF57" t="str">
        <f>IF(Backend!AG84="", "", Backend!AG84)</f>
        <v/>
      </c>
      <c r="AG57" t="str">
        <f>IF(Backend!AH84="", "", Backend!AH84)</f>
        <v/>
      </c>
      <c r="AH57" t="str">
        <f>IF(Backend!AI84="", "", Backend!AI84)</f>
        <v/>
      </c>
      <c r="AI57" t="str">
        <f>IF(Backend!AJ84="", "", Backend!AJ84)</f>
        <v/>
      </c>
      <c r="AJ57" t="str">
        <f>IF(Backend!AK84="", "", Backend!AK84)</f>
        <v/>
      </c>
      <c r="AK57" t="str">
        <f>IF(Backend!AL84="", "", Backend!AL84)</f>
        <v/>
      </c>
      <c r="AL57" t="str">
        <f>IF(Backend!AM84="", "", Backend!AM84)</f>
        <v/>
      </c>
      <c r="AM57" t="str">
        <f>IF(Backend!AN84="", "", Backend!AN84)</f>
        <v/>
      </c>
      <c r="AN57" t="str">
        <f>IF(Backend!AO84="", "", Backend!AO84)</f>
        <v/>
      </c>
      <c r="AO57" t="str">
        <f>IF(Backend!AP84="", "", Backend!AP84)</f>
        <v/>
      </c>
      <c r="AP57" t="str">
        <f>IF(Backend!AQ84="", "", Backend!AQ84)</f>
        <v/>
      </c>
      <c r="AQ57" t="str">
        <f>IF(Backend!AR84="", "", Backend!AR84)</f>
        <v/>
      </c>
      <c r="AR57" t="str">
        <f>IF(Backend!AS84="", "", Backend!AS84)</f>
        <v/>
      </c>
      <c r="AS57" t="str">
        <f>IF(Backend!AT84="", "", Backend!AT84)</f>
        <v/>
      </c>
      <c r="AT57" t="str">
        <f>IF(Backend!AU84="", "", Backend!AU84)</f>
        <v/>
      </c>
      <c r="AU57" t="str">
        <f>IF(Backend!AV84="", "", Backend!AV84)</f>
        <v/>
      </c>
      <c r="AV57" t="str">
        <f>IF(Backend!AW84="", "", Backend!AW84)</f>
        <v/>
      </c>
      <c r="AW57" t="str">
        <f>IF(Backend!AX84="", "", Backend!AX84)</f>
        <v/>
      </c>
      <c r="AX57" t="str">
        <f>IF(Backend!AY84="", "", Backend!AY84)</f>
        <v/>
      </c>
      <c r="AY57" t="str">
        <f>IF(Backend!AZ84="", "", Backend!AZ84)</f>
        <v/>
      </c>
      <c r="AZ57" t="str">
        <f>IF(Backend!BA84="", "", Backend!BA84)</f>
        <v/>
      </c>
      <c r="BA57" t="str">
        <f>IF(Backend!BB84="", "", Backend!BB84)</f>
        <v/>
      </c>
      <c r="BB57" t="str">
        <f>IF(Backend!BC84="", "", Backend!BC84)</f>
        <v/>
      </c>
      <c r="BC57" t="str">
        <f>IF(Backend!BD84="", "", Backend!BD84)</f>
        <v/>
      </c>
      <c r="BD57" t="str">
        <f>IF(Backend!BE84="", "", Backend!BE84)</f>
        <v/>
      </c>
      <c r="BE57" t="str">
        <f>IF(Backend!BF84="", "", Backend!BF84)</f>
        <v/>
      </c>
      <c r="BF57" t="str">
        <f>IF(Backend!BG84="", "", Backend!BG84)</f>
        <v/>
      </c>
      <c r="BG57" t="str">
        <f>IF(Backend!BH84="", "", Backend!BH84)</f>
        <v/>
      </c>
      <c r="BH57" t="str">
        <f>IF(Backend!BI84="", "", Backend!BI84)</f>
        <v/>
      </c>
      <c r="BI57" t="str">
        <f>IF(Backend!BJ84="", "", Backend!BJ84)</f>
        <v/>
      </c>
      <c r="BJ57" t="str">
        <f>IF(Backend!BK84="", "", Backend!BK84)</f>
        <v/>
      </c>
      <c r="BK57" t="str">
        <f>IF(Backend!BL84="", "", Backend!BL84)</f>
        <v/>
      </c>
      <c r="BL57" t="str">
        <f>IF(Backend!BM84="", "", Backend!BM84)</f>
        <v/>
      </c>
      <c r="BM57" t="str">
        <f>IF(Backend!BN84="", "", Backend!BN84)</f>
        <v/>
      </c>
      <c r="BN57" t="str">
        <f>IF(Backend!BO84="", "", Backend!BO84)</f>
        <v/>
      </c>
      <c r="BO57" t="str">
        <f>IF(Backend!BP84="", "", Backend!BP84)</f>
        <v/>
      </c>
      <c r="BP57" t="str">
        <f>IF(Backend!BQ84="", "", Backend!BQ84)</f>
        <v/>
      </c>
      <c r="BQ57" t="str">
        <f>IF(Backend!BR84="", "", Backend!BR84)</f>
        <v/>
      </c>
      <c r="BR57" t="str">
        <f>IF(Backend!BS84="", "", Backend!BS84)</f>
        <v/>
      </c>
      <c r="BS57" t="str">
        <f>IF(Backend!BT84="", "", Backend!BT84)</f>
        <v/>
      </c>
      <c r="BT57" t="str">
        <f>IF(Backend!BU84="", "", Backend!BU84)</f>
        <v/>
      </c>
      <c r="BU57" t="str">
        <f>IF(Backend!BV84="", "", Backend!BV84)</f>
        <v/>
      </c>
      <c r="BV57" t="str">
        <f>IF(Backend!BW84="", "", Backend!BW84)</f>
        <v/>
      </c>
      <c r="BW57" t="str">
        <f>IF(Backend!BX84="", "", Backend!BX84)</f>
        <v/>
      </c>
      <c r="BX57" t="str">
        <f>IF(Backend!BY84="", "", Backend!BY84)</f>
        <v/>
      </c>
      <c r="BY57" t="str">
        <f>IF(Backend!BZ84="", "", Backend!BZ84)</f>
        <v/>
      </c>
      <c r="BZ57" t="str">
        <f>IF(Backend!CA84="", "", Backend!CA84)</f>
        <v/>
      </c>
      <c r="CA57" t="str">
        <f>IF(Backend!CB84="", "", Backend!CB84)</f>
        <v/>
      </c>
      <c r="CB57" t="str">
        <f>IF(Backend!CC84="", "", Backend!CC84)</f>
        <v/>
      </c>
      <c r="CC57" t="str">
        <f>IF(Backend!CD84="", "", Backend!CD84)</f>
        <v/>
      </c>
    </row>
    <row r="58" spans="1:81" x14ac:dyDescent="0.25">
      <c r="A58" s="4" t="str">
        <f>IF(Backend!A85="", "", Backend!A85)</f>
        <v/>
      </c>
      <c r="B58" t="str">
        <f>IF(Backend!C85="", "", Backend!C85)</f>
        <v/>
      </c>
      <c r="C58" t="str">
        <f>IF(Backend!D85="", "", Backend!D85)</f>
        <v/>
      </c>
      <c r="D58" t="str">
        <f>IF(Backend!E85="", "", Backend!E85)</f>
        <v/>
      </c>
      <c r="E58" t="str">
        <f>IF(Backend!F85="", "", Backend!F85)</f>
        <v/>
      </c>
      <c r="F58" t="str">
        <f>IF(Backend!G85="", "", Backend!G85)</f>
        <v/>
      </c>
      <c r="G58" t="str">
        <f>IF(Backend!H85="", "", Backend!H85)</f>
        <v/>
      </c>
      <c r="H58" t="str">
        <f>IF(Backend!I85="", "", Backend!I85)</f>
        <v/>
      </c>
      <c r="I58" t="str">
        <f>IF(Backend!J85="", "", Backend!J85)</f>
        <v/>
      </c>
      <c r="J58" t="str">
        <f>IF(Backend!K85="", "", Backend!K85)</f>
        <v/>
      </c>
      <c r="K58" t="str">
        <f>IF(Backend!L85="", "", Backend!L85)</f>
        <v/>
      </c>
      <c r="L58" t="str">
        <f>IF(Backend!M85="", "", Backend!M85)</f>
        <v/>
      </c>
      <c r="M58" t="str">
        <f>IF(Backend!N85="", "", Backend!N85)</f>
        <v/>
      </c>
      <c r="N58" t="str">
        <f>IF(Backend!O85="", "", Backend!O85)</f>
        <v/>
      </c>
      <c r="O58" t="str">
        <f>IF(Backend!P85="", "", Backend!P85)</f>
        <v/>
      </c>
      <c r="P58" t="str">
        <f>IF(Backend!Q85="", "", Backend!Q85)</f>
        <v/>
      </c>
      <c r="Q58" t="str">
        <f>IF(Backend!R85="", "", Backend!R85)</f>
        <v/>
      </c>
      <c r="R58" t="str">
        <f>IF(Backend!S85="", "", Backend!S85)</f>
        <v/>
      </c>
      <c r="S58" t="str">
        <f>IF(Backend!T85="", "", Backend!T85)</f>
        <v/>
      </c>
      <c r="T58" t="str">
        <f>IF(Backend!U85="", "", Backend!U85)</f>
        <v/>
      </c>
      <c r="U58" t="str">
        <f>IF(Backend!V85="", "", Backend!V85)</f>
        <v/>
      </c>
      <c r="V58" t="str">
        <f>IF(Backend!W85="", "", Backend!W85)</f>
        <v/>
      </c>
      <c r="W58" t="str">
        <f>IF(Backend!X85="", "", Backend!X85)</f>
        <v/>
      </c>
      <c r="X58" t="str">
        <f>IF(Backend!Y85="", "", Backend!Y85)</f>
        <v/>
      </c>
      <c r="Y58" t="str">
        <f>IF(Backend!Z85="", "", Backend!Z85)</f>
        <v/>
      </c>
      <c r="Z58" t="str">
        <f>IF(Backend!AA85="", "", Backend!AA85)</f>
        <v/>
      </c>
      <c r="AA58" t="str">
        <f>IF(Backend!AB85="", "", Backend!AB85)</f>
        <v/>
      </c>
      <c r="AB58" t="str">
        <f>IF(Backend!AC85="", "", Backend!AC85)</f>
        <v/>
      </c>
      <c r="AC58" t="str">
        <f>IF(Backend!AD85="", "", Backend!AD85)</f>
        <v/>
      </c>
      <c r="AD58" t="str">
        <f>IF(Backend!AE85="", "", Backend!AE85)</f>
        <v/>
      </c>
      <c r="AE58" t="str">
        <f>IF(Backend!AF85="", "", Backend!AF85)</f>
        <v/>
      </c>
      <c r="AF58" t="str">
        <f>IF(Backend!AG85="", "", Backend!AG85)</f>
        <v/>
      </c>
      <c r="AG58" t="str">
        <f>IF(Backend!AH85="", "", Backend!AH85)</f>
        <v/>
      </c>
      <c r="AH58" t="str">
        <f>IF(Backend!AI85="", "", Backend!AI85)</f>
        <v/>
      </c>
      <c r="AI58" t="str">
        <f>IF(Backend!AJ85="", "", Backend!AJ85)</f>
        <v/>
      </c>
      <c r="AJ58" t="str">
        <f>IF(Backend!AK85="", "", Backend!AK85)</f>
        <v/>
      </c>
      <c r="AK58" t="str">
        <f>IF(Backend!AL85="", "", Backend!AL85)</f>
        <v/>
      </c>
      <c r="AL58" t="str">
        <f>IF(Backend!AM85="", "", Backend!AM85)</f>
        <v/>
      </c>
      <c r="AM58" t="str">
        <f>IF(Backend!AN85="", "", Backend!AN85)</f>
        <v/>
      </c>
      <c r="AN58" t="str">
        <f>IF(Backend!AO85="", "", Backend!AO85)</f>
        <v/>
      </c>
      <c r="AO58" t="str">
        <f>IF(Backend!AP85="", "", Backend!AP85)</f>
        <v/>
      </c>
      <c r="AP58" t="str">
        <f>IF(Backend!AQ85="", "", Backend!AQ85)</f>
        <v/>
      </c>
      <c r="AQ58" t="str">
        <f>IF(Backend!AR85="", "", Backend!AR85)</f>
        <v/>
      </c>
      <c r="AR58" t="str">
        <f>IF(Backend!AS85="", "", Backend!AS85)</f>
        <v/>
      </c>
      <c r="AS58" t="str">
        <f>IF(Backend!AT85="", "", Backend!AT85)</f>
        <v/>
      </c>
      <c r="AT58" t="str">
        <f>IF(Backend!AU85="", "", Backend!AU85)</f>
        <v/>
      </c>
      <c r="AU58" t="str">
        <f>IF(Backend!AV85="", "", Backend!AV85)</f>
        <v/>
      </c>
      <c r="AV58" t="str">
        <f>IF(Backend!AW85="", "", Backend!AW85)</f>
        <v/>
      </c>
      <c r="AW58" t="str">
        <f>IF(Backend!AX85="", "", Backend!AX85)</f>
        <v/>
      </c>
      <c r="AX58" t="str">
        <f>IF(Backend!AY85="", "", Backend!AY85)</f>
        <v/>
      </c>
      <c r="AY58" t="str">
        <f>IF(Backend!AZ85="", "", Backend!AZ85)</f>
        <v/>
      </c>
      <c r="AZ58" t="str">
        <f>IF(Backend!BA85="", "", Backend!BA85)</f>
        <v/>
      </c>
      <c r="BA58" t="str">
        <f>IF(Backend!BB85="", "", Backend!BB85)</f>
        <v/>
      </c>
      <c r="BB58" t="str">
        <f>IF(Backend!BC85="", "", Backend!BC85)</f>
        <v/>
      </c>
      <c r="BC58" t="str">
        <f>IF(Backend!BD85="", "", Backend!BD85)</f>
        <v/>
      </c>
      <c r="BD58" t="str">
        <f>IF(Backend!BE85="", "", Backend!BE85)</f>
        <v/>
      </c>
      <c r="BE58" t="str">
        <f>IF(Backend!BF85="", "", Backend!BF85)</f>
        <v/>
      </c>
      <c r="BF58" t="str">
        <f>IF(Backend!BG85="", "", Backend!BG85)</f>
        <v/>
      </c>
      <c r="BG58" t="str">
        <f>IF(Backend!BH85="", "", Backend!BH85)</f>
        <v/>
      </c>
      <c r="BH58" t="str">
        <f>IF(Backend!BI85="", "", Backend!BI85)</f>
        <v/>
      </c>
      <c r="BI58" t="str">
        <f>IF(Backend!BJ85="", "", Backend!BJ85)</f>
        <v/>
      </c>
      <c r="BJ58" t="str">
        <f>IF(Backend!BK85="", "", Backend!BK85)</f>
        <v/>
      </c>
      <c r="BK58" t="str">
        <f>IF(Backend!BL85="", "", Backend!BL85)</f>
        <v/>
      </c>
      <c r="BL58" t="str">
        <f>IF(Backend!BM85="", "", Backend!BM85)</f>
        <v/>
      </c>
      <c r="BM58" t="str">
        <f>IF(Backend!BN85="", "", Backend!BN85)</f>
        <v/>
      </c>
      <c r="BN58" t="str">
        <f>IF(Backend!BO85="", "", Backend!BO85)</f>
        <v/>
      </c>
      <c r="BO58" t="str">
        <f>IF(Backend!BP85="", "", Backend!BP85)</f>
        <v/>
      </c>
      <c r="BP58" t="str">
        <f>IF(Backend!BQ85="", "", Backend!BQ85)</f>
        <v/>
      </c>
      <c r="BQ58" t="str">
        <f>IF(Backend!BR85="", "", Backend!BR85)</f>
        <v/>
      </c>
      <c r="BR58" t="str">
        <f>IF(Backend!BS85="", "", Backend!BS85)</f>
        <v/>
      </c>
      <c r="BS58" t="str">
        <f>IF(Backend!BT85="", "", Backend!BT85)</f>
        <v/>
      </c>
      <c r="BT58" t="str">
        <f>IF(Backend!BU85="", "", Backend!BU85)</f>
        <v/>
      </c>
      <c r="BU58" t="str">
        <f>IF(Backend!BV85="", "", Backend!BV85)</f>
        <v/>
      </c>
      <c r="BV58" t="str">
        <f>IF(Backend!BW85="", "", Backend!BW85)</f>
        <v/>
      </c>
      <c r="BW58" t="str">
        <f>IF(Backend!BX85="", "", Backend!BX85)</f>
        <v/>
      </c>
      <c r="BX58" t="str">
        <f>IF(Backend!BY85="", "", Backend!BY85)</f>
        <v/>
      </c>
      <c r="BY58" t="str">
        <f>IF(Backend!BZ85="", "", Backend!BZ85)</f>
        <v/>
      </c>
      <c r="BZ58" t="str">
        <f>IF(Backend!CA85="", "", Backend!CA85)</f>
        <v/>
      </c>
      <c r="CA58" t="str">
        <f>IF(Backend!CB85="", "", Backend!CB85)</f>
        <v/>
      </c>
      <c r="CB58" t="str">
        <f>IF(Backend!CC85="", "", Backend!CC85)</f>
        <v/>
      </c>
      <c r="CC58" t="str">
        <f>IF(Backend!CD85="", "", Backend!CD85)</f>
        <v/>
      </c>
    </row>
    <row r="59" spans="1:81" x14ac:dyDescent="0.25">
      <c r="A59" s="4" t="str">
        <f>IF(Backend!A86="", "", Backend!A86)</f>
        <v/>
      </c>
      <c r="B59" t="str">
        <f>IF(Backend!C86="", "", Backend!C86)</f>
        <v/>
      </c>
      <c r="C59" t="str">
        <f>IF(Backend!D86="", "", Backend!D86)</f>
        <v/>
      </c>
      <c r="D59" t="str">
        <f>IF(Backend!E86="", "", Backend!E86)</f>
        <v/>
      </c>
      <c r="E59" t="str">
        <f>IF(Backend!F86="", "", Backend!F86)</f>
        <v/>
      </c>
      <c r="F59" t="str">
        <f>IF(Backend!G86="", "", Backend!G86)</f>
        <v/>
      </c>
      <c r="G59" t="str">
        <f>IF(Backend!H86="", "", Backend!H86)</f>
        <v/>
      </c>
      <c r="H59" t="str">
        <f>IF(Backend!I86="", "", Backend!I86)</f>
        <v/>
      </c>
      <c r="I59" t="str">
        <f>IF(Backend!J86="", "", Backend!J86)</f>
        <v/>
      </c>
      <c r="J59" t="str">
        <f>IF(Backend!K86="", "", Backend!K86)</f>
        <v/>
      </c>
      <c r="K59" t="str">
        <f>IF(Backend!L86="", "", Backend!L86)</f>
        <v/>
      </c>
      <c r="L59" t="str">
        <f>IF(Backend!M86="", "", Backend!M86)</f>
        <v/>
      </c>
      <c r="M59" t="str">
        <f>IF(Backend!N86="", "", Backend!N86)</f>
        <v/>
      </c>
      <c r="N59" t="str">
        <f>IF(Backend!O86="", "", Backend!O86)</f>
        <v/>
      </c>
      <c r="O59" t="str">
        <f>IF(Backend!P86="", "", Backend!P86)</f>
        <v/>
      </c>
      <c r="P59" t="str">
        <f>IF(Backend!Q86="", "", Backend!Q86)</f>
        <v/>
      </c>
      <c r="Q59" t="str">
        <f>IF(Backend!R86="", "", Backend!R86)</f>
        <v/>
      </c>
      <c r="R59" t="str">
        <f>IF(Backend!S86="", "", Backend!S86)</f>
        <v/>
      </c>
      <c r="S59" t="str">
        <f>IF(Backend!T86="", "", Backend!T86)</f>
        <v/>
      </c>
      <c r="T59" t="str">
        <f>IF(Backend!U86="", "", Backend!U86)</f>
        <v/>
      </c>
      <c r="U59" t="str">
        <f>IF(Backend!V86="", "", Backend!V86)</f>
        <v/>
      </c>
      <c r="V59" t="str">
        <f>IF(Backend!W86="", "", Backend!W86)</f>
        <v/>
      </c>
      <c r="W59" t="str">
        <f>IF(Backend!X86="", "", Backend!X86)</f>
        <v/>
      </c>
      <c r="X59" t="str">
        <f>IF(Backend!Y86="", "", Backend!Y86)</f>
        <v/>
      </c>
      <c r="Y59" t="str">
        <f>IF(Backend!Z86="", "", Backend!Z86)</f>
        <v/>
      </c>
      <c r="Z59" t="str">
        <f>IF(Backend!AA86="", "", Backend!AA86)</f>
        <v/>
      </c>
      <c r="AA59" t="str">
        <f>IF(Backend!AB86="", "", Backend!AB86)</f>
        <v/>
      </c>
      <c r="AB59" t="str">
        <f>IF(Backend!AC86="", "", Backend!AC86)</f>
        <v/>
      </c>
      <c r="AC59" t="str">
        <f>IF(Backend!AD86="", "", Backend!AD86)</f>
        <v/>
      </c>
      <c r="AD59" t="str">
        <f>IF(Backend!AE86="", "", Backend!AE86)</f>
        <v/>
      </c>
      <c r="AE59" t="str">
        <f>IF(Backend!AF86="", "", Backend!AF86)</f>
        <v/>
      </c>
      <c r="AF59" t="str">
        <f>IF(Backend!AG86="", "", Backend!AG86)</f>
        <v/>
      </c>
      <c r="AG59" t="str">
        <f>IF(Backend!AH86="", "", Backend!AH86)</f>
        <v/>
      </c>
      <c r="AH59" t="str">
        <f>IF(Backend!AI86="", "", Backend!AI86)</f>
        <v/>
      </c>
      <c r="AI59" t="str">
        <f>IF(Backend!AJ86="", "", Backend!AJ86)</f>
        <v/>
      </c>
      <c r="AJ59" t="str">
        <f>IF(Backend!AK86="", "", Backend!AK86)</f>
        <v/>
      </c>
      <c r="AK59" t="str">
        <f>IF(Backend!AL86="", "", Backend!AL86)</f>
        <v/>
      </c>
      <c r="AL59" t="str">
        <f>IF(Backend!AM86="", "", Backend!AM86)</f>
        <v/>
      </c>
      <c r="AM59" t="str">
        <f>IF(Backend!AN86="", "", Backend!AN86)</f>
        <v/>
      </c>
      <c r="AN59" t="str">
        <f>IF(Backend!AO86="", "", Backend!AO86)</f>
        <v/>
      </c>
      <c r="AO59" t="str">
        <f>IF(Backend!AP86="", "", Backend!AP86)</f>
        <v/>
      </c>
      <c r="AP59" t="str">
        <f>IF(Backend!AQ86="", "", Backend!AQ86)</f>
        <v/>
      </c>
      <c r="AQ59" t="str">
        <f>IF(Backend!AR86="", "", Backend!AR86)</f>
        <v/>
      </c>
      <c r="AR59" t="str">
        <f>IF(Backend!AS86="", "", Backend!AS86)</f>
        <v/>
      </c>
      <c r="AS59" t="str">
        <f>IF(Backend!AT86="", "", Backend!AT86)</f>
        <v/>
      </c>
      <c r="AT59" t="str">
        <f>IF(Backend!AU86="", "", Backend!AU86)</f>
        <v/>
      </c>
      <c r="AU59" t="str">
        <f>IF(Backend!AV86="", "", Backend!AV86)</f>
        <v/>
      </c>
      <c r="AV59" t="str">
        <f>IF(Backend!AW86="", "", Backend!AW86)</f>
        <v/>
      </c>
      <c r="AW59" t="str">
        <f>IF(Backend!AX86="", "", Backend!AX86)</f>
        <v/>
      </c>
      <c r="AX59" t="str">
        <f>IF(Backend!AY86="", "", Backend!AY86)</f>
        <v/>
      </c>
      <c r="AY59" t="str">
        <f>IF(Backend!AZ86="", "", Backend!AZ86)</f>
        <v/>
      </c>
      <c r="AZ59" t="str">
        <f>IF(Backend!BA86="", "", Backend!BA86)</f>
        <v/>
      </c>
      <c r="BA59" t="str">
        <f>IF(Backend!BB86="", "", Backend!BB86)</f>
        <v/>
      </c>
      <c r="BB59" t="str">
        <f>IF(Backend!BC86="", "", Backend!BC86)</f>
        <v/>
      </c>
      <c r="BC59" t="str">
        <f>IF(Backend!BD86="", "", Backend!BD86)</f>
        <v/>
      </c>
      <c r="BD59" t="str">
        <f>IF(Backend!BE86="", "", Backend!BE86)</f>
        <v/>
      </c>
      <c r="BE59" t="str">
        <f>IF(Backend!BF86="", "", Backend!BF86)</f>
        <v/>
      </c>
      <c r="BF59" t="str">
        <f>IF(Backend!BG86="", "", Backend!BG86)</f>
        <v/>
      </c>
      <c r="BG59" t="str">
        <f>IF(Backend!BH86="", "", Backend!BH86)</f>
        <v/>
      </c>
      <c r="BH59" t="str">
        <f>IF(Backend!BI86="", "", Backend!BI86)</f>
        <v/>
      </c>
      <c r="BI59" t="str">
        <f>IF(Backend!BJ86="", "", Backend!BJ86)</f>
        <v/>
      </c>
      <c r="BJ59" t="str">
        <f>IF(Backend!BK86="", "", Backend!BK86)</f>
        <v/>
      </c>
      <c r="BK59" t="str">
        <f>IF(Backend!BL86="", "", Backend!BL86)</f>
        <v/>
      </c>
      <c r="BL59" t="str">
        <f>IF(Backend!BM86="", "", Backend!BM86)</f>
        <v/>
      </c>
      <c r="BM59" t="str">
        <f>IF(Backend!BN86="", "", Backend!BN86)</f>
        <v/>
      </c>
      <c r="BN59" t="str">
        <f>IF(Backend!BO86="", "", Backend!BO86)</f>
        <v/>
      </c>
      <c r="BO59" t="str">
        <f>IF(Backend!BP86="", "", Backend!BP86)</f>
        <v/>
      </c>
      <c r="BP59" t="str">
        <f>IF(Backend!BQ86="", "", Backend!BQ86)</f>
        <v/>
      </c>
      <c r="BQ59" t="str">
        <f>IF(Backend!BR86="", "", Backend!BR86)</f>
        <v/>
      </c>
      <c r="BR59" t="str">
        <f>IF(Backend!BS86="", "", Backend!BS86)</f>
        <v/>
      </c>
      <c r="BS59" t="str">
        <f>IF(Backend!BT86="", "", Backend!BT86)</f>
        <v/>
      </c>
      <c r="BT59" t="str">
        <f>IF(Backend!BU86="", "", Backend!BU86)</f>
        <v/>
      </c>
      <c r="BU59" t="str">
        <f>IF(Backend!BV86="", "", Backend!BV86)</f>
        <v/>
      </c>
      <c r="BV59" t="str">
        <f>IF(Backend!BW86="", "", Backend!BW86)</f>
        <v/>
      </c>
      <c r="BW59" t="str">
        <f>IF(Backend!BX86="", "", Backend!BX86)</f>
        <v/>
      </c>
      <c r="BX59" t="str">
        <f>IF(Backend!BY86="", "", Backend!BY86)</f>
        <v/>
      </c>
      <c r="BY59" t="str">
        <f>IF(Backend!BZ86="", "", Backend!BZ86)</f>
        <v/>
      </c>
      <c r="BZ59" t="str">
        <f>IF(Backend!CA86="", "", Backend!CA86)</f>
        <v/>
      </c>
      <c r="CA59" t="str">
        <f>IF(Backend!CB86="", "", Backend!CB86)</f>
        <v/>
      </c>
      <c r="CB59" t="str">
        <f>IF(Backend!CC86="", "", Backend!CC86)</f>
        <v/>
      </c>
      <c r="CC59" t="str">
        <f>IF(Backend!CD86="", "", Backend!CD86)</f>
        <v/>
      </c>
    </row>
    <row r="60" spans="1:81" x14ac:dyDescent="0.25">
      <c r="A60" s="4" t="str">
        <f>IF(Backend!A87="", "", Backend!A87)</f>
        <v/>
      </c>
      <c r="B60" t="str">
        <f>IF(Backend!C87="", "", Backend!C87)</f>
        <v/>
      </c>
      <c r="C60" t="str">
        <f>IF(Backend!D87="", "", Backend!D87)</f>
        <v/>
      </c>
      <c r="D60" t="str">
        <f>IF(Backend!E87="", "", Backend!E87)</f>
        <v/>
      </c>
      <c r="E60" t="str">
        <f>IF(Backend!F87="", "", Backend!F87)</f>
        <v/>
      </c>
      <c r="F60" t="str">
        <f>IF(Backend!G87="", "", Backend!G87)</f>
        <v/>
      </c>
      <c r="G60" t="str">
        <f>IF(Backend!H87="", "", Backend!H87)</f>
        <v/>
      </c>
      <c r="H60" t="str">
        <f>IF(Backend!I87="", "", Backend!I87)</f>
        <v/>
      </c>
      <c r="I60" t="str">
        <f>IF(Backend!J87="", "", Backend!J87)</f>
        <v/>
      </c>
      <c r="J60" t="str">
        <f>IF(Backend!K87="", "", Backend!K87)</f>
        <v/>
      </c>
      <c r="K60" t="str">
        <f>IF(Backend!L87="", "", Backend!L87)</f>
        <v/>
      </c>
      <c r="L60" t="str">
        <f>IF(Backend!M87="", "", Backend!M87)</f>
        <v/>
      </c>
      <c r="M60" t="str">
        <f>IF(Backend!N87="", "", Backend!N87)</f>
        <v/>
      </c>
      <c r="N60" t="str">
        <f>IF(Backend!O87="", "", Backend!O87)</f>
        <v/>
      </c>
      <c r="O60" t="str">
        <f>IF(Backend!P87="", "", Backend!P87)</f>
        <v/>
      </c>
      <c r="P60" t="str">
        <f>IF(Backend!Q87="", "", Backend!Q87)</f>
        <v/>
      </c>
      <c r="Q60" t="str">
        <f>IF(Backend!R87="", "", Backend!R87)</f>
        <v/>
      </c>
      <c r="R60" t="str">
        <f>IF(Backend!S87="", "", Backend!S87)</f>
        <v/>
      </c>
      <c r="S60" t="str">
        <f>IF(Backend!T87="", "", Backend!T87)</f>
        <v/>
      </c>
      <c r="T60" t="str">
        <f>IF(Backend!U87="", "", Backend!U87)</f>
        <v/>
      </c>
      <c r="U60" t="str">
        <f>IF(Backend!V87="", "", Backend!V87)</f>
        <v/>
      </c>
      <c r="V60" t="str">
        <f>IF(Backend!W87="", "", Backend!W87)</f>
        <v/>
      </c>
      <c r="W60" t="str">
        <f>IF(Backend!X87="", "", Backend!X87)</f>
        <v/>
      </c>
      <c r="X60" t="str">
        <f>IF(Backend!Y87="", "", Backend!Y87)</f>
        <v/>
      </c>
      <c r="Y60" t="str">
        <f>IF(Backend!Z87="", "", Backend!Z87)</f>
        <v/>
      </c>
      <c r="Z60" t="str">
        <f>IF(Backend!AA87="", "", Backend!AA87)</f>
        <v/>
      </c>
      <c r="AA60" t="str">
        <f>IF(Backend!AB87="", "", Backend!AB87)</f>
        <v/>
      </c>
      <c r="AB60" t="str">
        <f>IF(Backend!AC87="", "", Backend!AC87)</f>
        <v/>
      </c>
      <c r="AC60" t="str">
        <f>IF(Backend!AD87="", "", Backend!AD87)</f>
        <v/>
      </c>
      <c r="AD60" t="str">
        <f>IF(Backend!AE87="", "", Backend!AE87)</f>
        <v/>
      </c>
      <c r="AE60" t="str">
        <f>IF(Backend!AF87="", "", Backend!AF87)</f>
        <v/>
      </c>
      <c r="AF60" t="str">
        <f>IF(Backend!AG87="", "", Backend!AG87)</f>
        <v/>
      </c>
      <c r="AG60" t="str">
        <f>IF(Backend!AH87="", "", Backend!AH87)</f>
        <v/>
      </c>
      <c r="AH60" t="str">
        <f>IF(Backend!AI87="", "", Backend!AI87)</f>
        <v/>
      </c>
      <c r="AI60" t="str">
        <f>IF(Backend!AJ87="", "", Backend!AJ87)</f>
        <v/>
      </c>
      <c r="AJ60" t="str">
        <f>IF(Backend!AK87="", "", Backend!AK87)</f>
        <v/>
      </c>
      <c r="AK60" t="str">
        <f>IF(Backend!AL87="", "", Backend!AL87)</f>
        <v/>
      </c>
      <c r="AL60" t="str">
        <f>IF(Backend!AM87="", "", Backend!AM87)</f>
        <v/>
      </c>
      <c r="AM60" t="str">
        <f>IF(Backend!AN87="", "", Backend!AN87)</f>
        <v/>
      </c>
      <c r="AN60" t="str">
        <f>IF(Backend!AO87="", "", Backend!AO87)</f>
        <v/>
      </c>
      <c r="AO60" t="str">
        <f>IF(Backend!AP87="", "", Backend!AP87)</f>
        <v/>
      </c>
      <c r="AP60" t="str">
        <f>IF(Backend!AQ87="", "", Backend!AQ87)</f>
        <v/>
      </c>
      <c r="AQ60" t="str">
        <f>IF(Backend!AR87="", "", Backend!AR87)</f>
        <v/>
      </c>
      <c r="AR60" t="str">
        <f>IF(Backend!AS87="", "", Backend!AS87)</f>
        <v/>
      </c>
      <c r="AS60" t="str">
        <f>IF(Backend!AT87="", "", Backend!AT87)</f>
        <v/>
      </c>
      <c r="AT60" t="str">
        <f>IF(Backend!AU87="", "", Backend!AU87)</f>
        <v/>
      </c>
      <c r="AU60" t="str">
        <f>IF(Backend!AV87="", "", Backend!AV87)</f>
        <v/>
      </c>
      <c r="AV60" t="str">
        <f>IF(Backend!AW87="", "", Backend!AW87)</f>
        <v/>
      </c>
      <c r="AW60" t="str">
        <f>IF(Backend!AX87="", "", Backend!AX87)</f>
        <v/>
      </c>
      <c r="AX60" t="str">
        <f>IF(Backend!AY87="", "", Backend!AY87)</f>
        <v/>
      </c>
      <c r="AY60" t="str">
        <f>IF(Backend!AZ87="", "", Backend!AZ87)</f>
        <v/>
      </c>
      <c r="AZ60" t="str">
        <f>IF(Backend!BA87="", "", Backend!BA87)</f>
        <v/>
      </c>
      <c r="BA60" t="str">
        <f>IF(Backend!BB87="", "", Backend!BB87)</f>
        <v/>
      </c>
      <c r="BB60" t="str">
        <f>IF(Backend!BC87="", "", Backend!BC87)</f>
        <v/>
      </c>
      <c r="BC60" t="str">
        <f>IF(Backend!BD87="", "", Backend!BD87)</f>
        <v/>
      </c>
      <c r="BD60" t="str">
        <f>IF(Backend!BE87="", "", Backend!BE87)</f>
        <v/>
      </c>
      <c r="BE60" t="str">
        <f>IF(Backend!BF87="", "", Backend!BF87)</f>
        <v/>
      </c>
      <c r="BF60" t="str">
        <f>IF(Backend!BG87="", "", Backend!BG87)</f>
        <v/>
      </c>
      <c r="BG60" t="str">
        <f>IF(Backend!BH87="", "", Backend!BH87)</f>
        <v/>
      </c>
      <c r="BH60" t="str">
        <f>IF(Backend!BI87="", "", Backend!BI87)</f>
        <v/>
      </c>
      <c r="BI60" t="str">
        <f>IF(Backend!BJ87="", "", Backend!BJ87)</f>
        <v/>
      </c>
      <c r="BJ60" t="str">
        <f>IF(Backend!BK87="", "", Backend!BK87)</f>
        <v/>
      </c>
      <c r="BK60" t="str">
        <f>IF(Backend!BL87="", "", Backend!BL87)</f>
        <v/>
      </c>
      <c r="BL60" t="str">
        <f>IF(Backend!BM87="", "", Backend!BM87)</f>
        <v/>
      </c>
      <c r="BM60" t="str">
        <f>IF(Backend!BN87="", "", Backend!BN87)</f>
        <v/>
      </c>
      <c r="BN60" t="str">
        <f>IF(Backend!BO87="", "", Backend!BO87)</f>
        <v/>
      </c>
      <c r="BO60" t="str">
        <f>IF(Backend!BP87="", "", Backend!BP87)</f>
        <v/>
      </c>
      <c r="BP60" t="str">
        <f>IF(Backend!BQ87="", "", Backend!BQ87)</f>
        <v/>
      </c>
      <c r="BQ60" t="str">
        <f>IF(Backend!BR87="", "", Backend!BR87)</f>
        <v/>
      </c>
      <c r="BR60" t="str">
        <f>IF(Backend!BS87="", "", Backend!BS87)</f>
        <v/>
      </c>
      <c r="BS60" t="str">
        <f>IF(Backend!BT87="", "", Backend!BT87)</f>
        <v/>
      </c>
      <c r="BT60" t="str">
        <f>IF(Backend!BU87="", "", Backend!BU87)</f>
        <v/>
      </c>
      <c r="BU60" t="str">
        <f>IF(Backend!BV87="", "", Backend!BV87)</f>
        <v/>
      </c>
      <c r="BV60" t="str">
        <f>IF(Backend!BW87="", "", Backend!BW87)</f>
        <v/>
      </c>
      <c r="BW60" t="str">
        <f>IF(Backend!BX87="", "", Backend!BX87)</f>
        <v/>
      </c>
      <c r="BX60" t="str">
        <f>IF(Backend!BY87="", "", Backend!BY87)</f>
        <v/>
      </c>
      <c r="BY60" t="str">
        <f>IF(Backend!BZ87="", "", Backend!BZ87)</f>
        <v/>
      </c>
      <c r="BZ60" t="str">
        <f>IF(Backend!CA87="", "", Backend!CA87)</f>
        <v/>
      </c>
      <c r="CA60" t="str">
        <f>IF(Backend!CB87="", "", Backend!CB87)</f>
        <v/>
      </c>
      <c r="CB60" t="str">
        <f>IF(Backend!CC87="", "", Backend!CC87)</f>
        <v/>
      </c>
      <c r="CC60" t="str">
        <f>IF(Backend!CD87="", "", Backend!CD87)</f>
        <v/>
      </c>
    </row>
    <row r="61" spans="1:81" x14ac:dyDescent="0.25">
      <c r="A61" s="4" t="str">
        <f>IF(Backend!A88="", "", Backend!A88)</f>
        <v/>
      </c>
      <c r="B61" t="str">
        <f>IF(Backend!C88="", "", Backend!C88)</f>
        <v/>
      </c>
      <c r="C61" t="str">
        <f>IF(Backend!D88="", "", Backend!D88)</f>
        <v/>
      </c>
      <c r="D61" t="str">
        <f>IF(Backend!E88="", "", Backend!E88)</f>
        <v/>
      </c>
      <c r="E61" t="str">
        <f>IF(Backend!F88="", "", Backend!F88)</f>
        <v/>
      </c>
      <c r="F61" t="str">
        <f>IF(Backend!G88="", "", Backend!G88)</f>
        <v/>
      </c>
      <c r="G61" t="str">
        <f>IF(Backend!H88="", "", Backend!H88)</f>
        <v/>
      </c>
      <c r="H61" t="str">
        <f>IF(Backend!I88="", "", Backend!I88)</f>
        <v/>
      </c>
      <c r="I61" t="str">
        <f>IF(Backend!J88="", "", Backend!J88)</f>
        <v/>
      </c>
      <c r="J61" t="str">
        <f>IF(Backend!K88="", "", Backend!K88)</f>
        <v/>
      </c>
      <c r="K61" t="str">
        <f>IF(Backend!L88="", "", Backend!L88)</f>
        <v/>
      </c>
      <c r="L61" t="str">
        <f>IF(Backend!M88="", "", Backend!M88)</f>
        <v/>
      </c>
      <c r="M61" t="str">
        <f>IF(Backend!N88="", "", Backend!N88)</f>
        <v/>
      </c>
      <c r="N61" t="str">
        <f>IF(Backend!O88="", "", Backend!O88)</f>
        <v/>
      </c>
      <c r="O61" t="str">
        <f>IF(Backend!P88="", "", Backend!P88)</f>
        <v/>
      </c>
      <c r="P61" t="str">
        <f>IF(Backend!Q88="", "", Backend!Q88)</f>
        <v/>
      </c>
      <c r="Q61" t="str">
        <f>IF(Backend!R88="", "", Backend!R88)</f>
        <v/>
      </c>
      <c r="R61" t="str">
        <f>IF(Backend!S88="", "", Backend!S88)</f>
        <v/>
      </c>
      <c r="S61" t="str">
        <f>IF(Backend!T88="", "", Backend!T88)</f>
        <v/>
      </c>
      <c r="T61" t="str">
        <f>IF(Backend!U88="", "", Backend!U88)</f>
        <v/>
      </c>
      <c r="U61" t="str">
        <f>IF(Backend!V88="", "", Backend!V88)</f>
        <v/>
      </c>
      <c r="V61" t="str">
        <f>IF(Backend!W88="", "", Backend!W88)</f>
        <v/>
      </c>
      <c r="W61" t="str">
        <f>IF(Backend!X88="", "", Backend!X88)</f>
        <v/>
      </c>
      <c r="X61" t="str">
        <f>IF(Backend!Y88="", "", Backend!Y88)</f>
        <v/>
      </c>
      <c r="Y61" t="str">
        <f>IF(Backend!Z88="", "", Backend!Z88)</f>
        <v/>
      </c>
      <c r="Z61" t="str">
        <f>IF(Backend!AA88="", "", Backend!AA88)</f>
        <v/>
      </c>
      <c r="AA61" t="str">
        <f>IF(Backend!AB88="", "", Backend!AB88)</f>
        <v/>
      </c>
      <c r="AB61" t="str">
        <f>IF(Backend!AC88="", "", Backend!AC88)</f>
        <v/>
      </c>
      <c r="AC61" t="str">
        <f>IF(Backend!AD88="", "", Backend!AD88)</f>
        <v/>
      </c>
      <c r="AD61" t="str">
        <f>IF(Backend!AE88="", "", Backend!AE88)</f>
        <v/>
      </c>
      <c r="AE61" t="str">
        <f>IF(Backend!AF88="", "", Backend!AF88)</f>
        <v/>
      </c>
      <c r="AF61" t="str">
        <f>IF(Backend!AG88="", "", Backend!AG88)</f>
        <v/>
      </c>
      <c r="AG61" t="str">
        <f>IF(Backend!AH88="", "", Backend!AH88)</f>
        <v/>
      </c>
      <c r="AH61" t="str">
        <f>IF(Backend!AI88="", "", Backend!AI88)</f>
        <v/>
      </c>
      <c r="AI61" t="str">
        <f>IF(Backend!AJ88="", "", Backend!AJ88)</f>
        <v/>
      </c>
      <c r="AJ61" t="str">
        <f>IF(Backend!AK88="", "", Backend!AK88)</f>
        <v/>
      </c>
      <c r="AK61" t="str">
        <f>IF(Backend!AL88="", "", Backend!AL88)</f>
        <v/>
      </c>
      <c r="AL61" t="str">
        <f>IF(Backend!AM88="", "", Backend!AM88)</f>
        <v/>
      </c>
      <c r="AM61" t="str">
        <f>IF(Backend!AN88="", "", Backend!AN88)</f>
        <v/>
      </c>
      <c r="AN61" t="str">
        <f>IF(Backend!AO88="", "", Backend!AO88)</f>
        <v/>
      </c>
      <c r="AO61" t="str">
        <f>IF(Backend!AP88="", "", Backend!AP88)</f>
        <v/>
      </c>
      <c r="AP61" t="str">
        <f>IF(Backend!AQ88="", "", Backend!AQ88)</f>
        <v/>
      </c>
      <c r="AQ61" t="str">
        <f>IF(Backend!AR88="", "", Backend!AR88)</f>
        <v/>
      </c>
      <c r="AR61" t="str">
        <f>IF(Backend!AS88="", "", Backend!AS88)</f>
        <v/>
      </c>
      <c r="AS61" t="str">
        <f>IF(Backend!AT88="", "", Backend!AT88)</f>
        <v/>
      </c>
      <c r="AT61" t="str">
        <f>IF(Backend!AU88="", "", Backend!AU88)</f>
        <v/>
      </c>
      <c r="AU61" t="str">
        <f>IF(Backend!AV88="", "", Backend!AV88)</f>
        <v/>
      </c>
      <c r="AV61" t="str">
        <f>IF(Backend!AW88="", "", Backend!AW88)</f>
        <v/>
      </c>
      <c r="AW61" t="str">
        <f>IF(Backend!AX88="", "", Backend!AX88)</f>
        <v/>
      </c>
      <c r="AX61" t="str">
        <f>IF(Backend!AY88="", "", Backend!AY88)</f>
        <v/>
      </c>
      <c r="AY61" t="str">
        <f>IF(Backend!AZ88="", "", Backend!AZ88)</f>
        <v/>
      </c>
      <c r="AZ61" t="str">
        <f>IF(Backend!BA88="", "", Backend!BA88)</f>
        <v/>
      </c>
      <c r="BA61" t="str">
        <f>IF(Backend!BB88="", "", Backend!BB88)</f>
        <v/>
      </c>
      <c r="BB61" t="str">
        <f>IF(Backend!BC88="", "", Backend!BC88)</f>
        <v/>
      </c>
      <c r="BC61" t="str">
        <f>IF(Backend!BD88="", "", Backend!BD88)</f>
        <v/>
      </c>
      <c r="BD61" t="str">
        <f>IF(Backend!BE88="", "", Backend!BE88)</f>
        <v/>
      </c>
      <c r="BE61" t="str">
        <f>IF(Backend!BF88="", "", Backend!BF88)</f>
        <v/>
      </c>
      <c r="BF61" t="str">
        <f>IF(Backend!BG88="", "", Backend!BG88)</f>
        <v/>
      </c>
      <c r="BG61" t="str">
        <f>IF(Backend!BH88="", "", Backend!BH88)</f>
        <v/>
      </c>
      <c r="BH61" t="str">
        <f>IF(Backend!BI88="", "", Backend!BI88)</f>
        <v/>
      </c>
      <c r="BI61" t="str">
        <f>IF(Backend!BJ88="", "", Backend!BJ88)</f>
        <v/>
      </c>
      <c r="BJ61" t="str">
        <f>IF(Backend!BK88="", "", Backend!BK88)</f>
        <v/>
      </c>
      <c r="BK61" t="str">
        <f>IF(Backend!BL88="", "", Backend!BL88)</f>
        <v/>
      </c>
      <c r="BL61" t="str">
        <f>IF(Backend!BM88="", "", Backend!BM88)</f>
        <v/>
      </c>
      <c r="BM61" t="str">
        <f>IF(Backend!BN88="", "", Backend!BN88)</f>
        <v/>
      </c>
      <c r="BN61" t="str">
        <f>IF(Backend!BO88="", "", Backend!BO88)</f>
        <v/>
      </c>
      <c r="BO61" t="str">
        <f>IF(Backend!BP88="", "", Backend!BP88)</f>
        <v/>
      </c>
      <c r="BP61" t="str">
        <f>IF(Backend!BQ88="", "", Backend!BQ88)</f>
        <v/>
      </c>
      <c r="BQ61" t="str">
        <f>IF(Backend!BR88="", "", Backend!BR88)</f>
        <v/>
      </c>
      <c r="BR61" t="str">
        <f>IF(Backend!BS88="", "", Backend!BS88)</f>
        <v/>
      </c>
      <c r="BS61" t="str">
        <f>IF(Backend!BT88="", "", Backend!BT88)</f>
        <v/>
      </c>
      <c r="BT61" t="str">
        <f>IF(Backend!BU88="", "", Backend!BU88)</f>
        <v/>
      </c>
      <c r="BU61" t="str">
        <f>IF(Backend!BV88="", "", Backend!BV88)</f>
        <v/>
      </c>
      <c r="BV61" t="str">
        <f>IF(Backend!BW88="", "", Backend!BW88)</f>
        <v/>
      </c>
      <c r="BW61" t="str">
        <f>IF(Backend!BX88="", "", Backend!BX88)</f>
        <v/>
      </c>
      <c r="BX61" t="str">
        <f>IF(Backend!BY88="", "", Backend!BY88)</f>
        <v/>
      </c>
      <c r="BY61" t="str">
        <f>IF(Backend!BZ88="", "", Backend!BZ88)</f>
        <v/>
      </c>
      <c r="BZ61" t="str">
        <f>IF(Backend!CA88="", "", Backend!CA88)</f>
        <v/>
      </c>
      <c r="CA61" t="str">
        <f>IF(Backend!CB88="", "", Backend!CB88)</f>
        <v/>
      </c>
      <c r="CB61" t="str">
        <f>IF(Backend!CC88="", "", Backend!CC88)</f>
        <v/>
      </c>
      <c r="CC61" t="str">
        <f>IF(Backend!CD88="", "", Backend!CD88)</f>
        <v/>
      </c>
    </row>
    <row r="62" spans="1:81" x14ac:dyDescent="0.25">
      <c r="A62" s="4" t="str">
        <f>IF(Backend!A89="", "", Backend!A89)</f>
        <v/>
      </c>
      <c r="B62" t="str">
        <f>IF(Backend!C89="", "", Backend!C89)</f>
        <v/>
      </c>
      <c r="C62" t="str">
        <f>IF(Backend!D89="", "", Backend!D89)</f>
        <v/>
      </c>
      <c r="D62" t="str">
        <f>IF(Backend!E89="", "", Backend!E89)</f>
        <v/>
      </c>
      <c r="E62" t="str">
        <f>IF(Backend!F89="", "", Backend!F89)</f>
        <v/>
      </c>
      <c r="F62" t="str">
        <f>IF(Backend!G89="", "", Backend!G89)</f>
        <v/>
      </c>
      <c r="G62" t="str">
        <f>IF(Backend!H89="", "", Backend!H89)</f>
        <v/>
      </c>
      <c r="H62" t="str">
        <f>IF(Backend!I89="", "", Backend!I89)</f>
        <v/>
      </c>
      <c r="I62" t="str">
        <f>IF(Backend!J89="", "", Backend!J89)</f>
        <v/>
      </c>
      <c r="J62" t="str">
        <f>IF(Backend!K89="", "", Backend!K89)</f>
        <v/>
      </c>
      <c r="K62" t="str">
        <f>IF(Backend!L89="", "", Backend!L89)</f>
        <v/>
      </c>
      <c r="L62" t="str">
        <f>IF(Backend!M89="", "", Backend!M89)</f>
        <v/>
      </c>
      <c r="M62" t="str">
        <f>IF(Backend!N89="", "", Backend!N89)</f>
        <v/>
      </c>
      <c r="N62" t="str">
        <f>IF(Backend!O89="", "", Backend!O89)</f>
        <v/>
      </c>
      <c r="O62" t="str">
        <f>IF(Backend!P89="", "", Backend!P89)</f>
        <v/>
      </c>
      <c r="P62" t="str">
        <f>IF(Backend!Q89="", "", Backend!Q89)</f>
        <v/>
      </c>
      <c r="Q62" t="str">
        <f>IF(Backend!R89="", "", Backend!R89)</f>
        <v/>
      </c>
      <c r="R62" t="str">
        <f>IF(Backend!S89="", "", Backend!S89)</f>
        <v/>
      </c>
      <c r="S62" t="str">
        <f>IF(Backend!T89="", "", Backend!T89)</f>
        <v/>
      </c>
      <c r="T62" t="str">
        <f>IF(Backend!U89="", "", Backend!U89)</f>
        <v/>
      </c>
      <c r="U62" t="str">
        <f>IF(Backend!V89="", "", Backend!V89)</f>
        <v/>
      </c>
      <c r="V62" t="str">
        <f>IF(Backend!W89="", "", Backend!W89)</f>
        <v/>
      </c>
      <c r="W62" t="str">
        <f>IF(Backend!X89="", "", Backend!X89)</f>
        <v/>
      </c>
      <c r="X62" t="str">
        <f>IF(Backend!Y89="", "", Backend!Y89)</f>
        <v/>
      </c>
      <c r="Y62" t="str">
        <f>IF(Backend!Z89="", "", Backend!Z89)</f>
        <v/>
      </c>
      <c r="Z62" t="str">
        <f>IF(Backend!AA89="", "", Backend!AA89)</f>
        <v/>
      </c>
      <c r="AA62" t="str">
        <f>IF(Backend!AB89="", "", Backend!AB89)</f>
        <v/>
      </c>
      <c r="AB62" t="str">
        <f>IF(Backend!AC89="", "", Backend!AC89)</f>
        <v/>
      </c>
      <c r="AC62" t="str">
        <f>IF(Backend!AD89="", "", Backend!AD89)</f>
        <v/>
      </c>
      <c r="AD62" t="str">
        <f>IF(Backend!AE89="", "", Backend!AE89)</f>
        <v/>
      </c>
      <c r="AE62" t="str">
        <f>IF(Backend!AF89="", "", Backend!AF89)</f>
        <v/>
      </c>
      <c r="AF62" t="str">
        <f>IF(Backend!AG89="", "", Backend!AG89)</f>
        <v/>
      </c>
      <c r="AG62" t="str">
        <f>IF(Backend!AH89="", "", Backend!AH89)</f>
        <v/>
      </c>
      <c r="AH62" t="str">
        <f>IF(Backend!AI89="", "", Backend!AI89)</f>
        <v/>
      </c>
      <c r="AI62" t="str">
        <f>IF(Backend!AJ89="", "", Backend!AJ89)</f>
        <v/>
      </c>
      <c r="AJ62" t="str">
        <f>IF(Backend!AK89="", "", Backend!AK89)</f>
        <v/>
      </c>
      <c r="AK62" t="str">
        <f>IF(Backend!AL89="", "", Backend!AL89)</f>
        <v/>
      </c>
      <c r="AL62" t="str">
        <f>IF(Backend!AM89="", "", Backend!AM89)</f>
        <v/>
      </c>
      <c r="AM62" t="str">
        <f>IF(Backend!AN89="", "", Backend!AN89)</f>
        <v/>
      </c>
      <c r="AN62" t="str">
        <f>IF(Backend!AO89="", "", Backend!AO89)</f>
        <v/>
      </c>
      <c r="AO62" t="str">
        <f>IF(Backend!AP89="", "", Backend!AP89)</f>
        <v/>
      </c>
      <c r="AP62" t="str">
        <f>IF(Backend!AQ89="", "", Backend!AQ89)</f>
        <v/>
      </c>
      <c r="AQ62" t="str">
        <f>IF(Backend!AR89="", "", Backend!AR89)</f>
        <v/>
      </c>
      <c r="AR62" t="str">
        <f>IF(Backend!AS89="", "", Backend!AS89)</f>
        <v/>
      </c>
      <c r="AS62" t="str">
        <f>IF(Backend!AT89="", "", Backend!AT89)</f>
        <v/>
      </c>
      <c r="AT62" t="str">
        <f>IF(Backend!AU89="", "", Backend!AU89)</f>
        <v/>
      </c>
      <c r="AU62" t="str">
        <f>IF(Backend!AV89="", "", Backend!AV89)</f>
        <v/>
      </c>
      <c r="AV62" t="str">
        <f>IF(Backend!AW89="", "", Backend!AW89)</f>
        <v/>
      </c>
      <c r="AW62" t="str">
        <f>IF(Backend!AX89="", "", Backend!AX89)</f>
        <v/>
      </c>
      <c r="AX62" t="str">
        <f>IF(Backend!AY89="", "", Backend!AY89)</f>
        <v/>
      </c>
      <c r="AY62" t="str">
        <f>IF(Backend!AZ89="", "", Backend!AZ89)</f>
        <v/>
      </c>
      <c r="AZ62" t="str">
        <f>IF(Backend!BA89="", "", Backend!BA89)</f>
        <v/>
      </c>
      <c r="BA62" t="str">
        <f>IF(Backend!BB89="", "", Backend!BB89)</f>
        <v/>
      </c>
      <c r="BB62" t="str">
        <f>IF(Backend!BC89="", "", Backend!BC89)</f>
        <v/>
      </c>
      <c r="BC62" t="str">
        <f>IF(Backend!BD89="", "", Backend!BD89)</f>
        <v/>
      </c>
      <c r="BD62" t="str">
        <f>IF(Backend!BE89="", "", Backend!BE89)</f>
        <v/>
      </c>
      <c r="BE62" t="str">
        <f>IF(Backend!BF89="", "", Backend!BF89)</f>
        <v/>
      </c>
      <c r="BF62" t="str">
        <f>IF(Backend!BG89="", "", Backend!BG89)</f>
        <v/>
      </c>
      <c r="BG62" t="str">
        <f>IF(Backend!BH89="", "", Backend!BH89)</f>
        <v/>
      </c>
      <c r="BH62" t="str">
        <f>IF(Backend!BI89="", "", Backend!BI89)</f>
        <v/>
      </c>
      <c r="BI62" t="str">
        <f>IF(Backend!BJ89="", "", Backend!BJ89)</f>
        <v/>
      </c>
      <c r="BJ62" t="str">
        <f>IF(Backend!BK89="", "", Backend!BK89)</f>
        <v/>
      </c>
      <c r="BK62" t="str">
        <f>IF(Backend!BL89="", "", Backend!BL89)</f>
        <v/>
      </c>
      <c r="BL62" t="str">
        <f>IF(Backend!BM89="", "", Backend!BM89)</f>
        <v/>
      </c>
      <c r="BM62" t="str">
        <f>IF(Backend!BN89="", "", Backend!BN89)</f>
        <v/>
      </c>
      <c r="BN62" t="str">
        <f>IF(Backend!BO89="", "", Backend!BO89)</f>
        <v/>
      </c>
      <c r="BO62" t="str">
        <f>IF(Backend!BP89="", "", Backend!BP89)</f>
        <v/>
      </c>
      <c r="BP62" t="str">
        <f>IF(Backend!BQ89="", "", Backend!BQ89)</f>
        <v/>
      </c>
      <c r="BQ62" t="str">
        <f>IF(Backend!BR89="", "", Backend!BR89)</f>
        <v/>
      </c>
      <c r="BR62" t="str">
        <f>IF(Backend!BS89="", "", Backend!BS89)</f>
        <v/>
      </c>
      <c r="BS62" t="str">
        <f>IF(Backend!BT89="", "", Backend!BT89)</f>
        <v/>
      </c>
      <c r="BT62" t="str">
        <f>IF(Backend!BU89="", "", Backend!BU89)</f>
        <v/>
      </c>
      <c r="BU62" t="str">
        <f>IF(Backend!BV89="", "", Backend!BV89)</f>
        <v/>
      </c>
      <c r="BV62" t="str">
        <f>IF(Backend!BW89="", "", Backend!BW89)</f>
        <v/>
      </c>
      <c r="BW62" t="str">
        <f>IF(Backend!BX89="", "", Backend!BX89)</f>
        <v/>
      </c>
      <c r="BX62" t="str">
        <f>IF(Backend!BY89="", "", Backend!BY89)</f>
        <v/>
      </c>
      <c r="BY62" t="str">
        <f>IF(Backend!BZ89="", "", Backend!BZ89)</f>
        <v/>
      </c>
      <c r="BZ62" t="str">
        <f>IF(Backend!CA89="", "", Backend!CA89)</f>
        <v/>
      </c>
      <c r="CA62" t="str">
        <f>IF(Backend!CB89="", "", Backend!CB89)</f>
        <v/>
      </c>
      <c r="CB62" t="str">
        <f>IF(Backend!CC89="", "", Backend!CC89)</f>
        <v/>
      </c>
      <c r="CC62" t="str">
        <f>IF(Backend!CD89="", "", Backend!CD89)</f>
        <v/>
      </c>
    </row>
    <row r="63" spans="1:81" x14ac:dyDescent="0.25">
      <c r="A63" s="4" t="str">
        <f>IF(Backend!A90="", "", Backend!A90)</f>
        <v/>
      </c>
      <c r="B63" t="str">
        <f>IF(Backend!C90="", "", Backend!C90)</f>
        <v/>
      </c>
      <c r="C63" t="str">
        <f>IF(Backend!D90="", "", Backend!D90)</f>
        <v/>
      </c>
      <c r="D63" t="str">
        <f>IF(Backend!E90="", "", Backend!E90)</f>
        <v/>
      </c>
      <c r="E63" t="str">
        <f>IF(Backend!F90="", "", Backend!F90)</f>
        <v/>
      </c>
      <c r="F63" t="str">
        <f>IF(Backend!G90="", "", Backend!G90)</f>
        <v/>
      </c>
      <c r="G63" t="str">
        <f>IF(Backend!H90="", "", Backend!H90)</f>
        <v/>
      </c>
      <c r="H63" t="str">
        <f>IF(Backend!I90="", "", Backend!I90)</f>
        <v/>
      </c>
      <c r="I63" t="str">
        <f>IF(Backend!J90="", "", Backend!J90)</f>
        <v/>
      </c>
      <c r="J63" t="str">
        <f>IF(Backend!K90="", "", Backend!K90)</f>
        <v/>
      </c>
      <c r="K63" t="str">
        <f>IF(Backend!L90="", "", Backend!L90)</f>
        <v/>
      </c>
      <c r="L63" t="str">
        <f>IF(Backend!M90="", "", Backend!M90)</f>
        <v/>
      </c>
      <c r="M63" t="str">
        <f>IF(Backend!N90="", "", Backend!N90)</f>
        <v/>
      </c>
      <c r="N63" t="str">
        <f>IF(Backend!O90="", "", Backend!O90)</f>
        <v/>
      </c>
      <c r="O63" t="str">
        <f>IF(Backend!P90="", "", Backend!P90)</f>
        <v/>
      </c>
      <c r="P63" t="str">
        <f>IF(Backend!Q90="", "", Backend!Q90)</f>
        <v/>
      </c>
      <c r="Q63" t="str">
        <f>IF(Backend!R90="", "", Backend!R90)</f>
        <v/>
      </c>
      <c r="R63" t="str">
        <f>IF(Backend!S90="", "", Backend!S90)</f>
        <v/>
      </c>
      <c r="S63" t="str">
        <f>IF(Backend!T90="", "", Backend!T90)</f>
        <v/>
      </c>
      <c r="T63" t="str">
        <f>IF(Backend!U90="", "", Backend!U90)</f>
        <v/>
      </c>
      <c r="U63" t="str">
        <f>IF(Backend!V90="", "", Backend!V90)</f>
        <v/>
      </c>
      <c r="V63" t="str">
        <f>IF(Backend!W90="", "", Backend!W90)</f>
        <v/>
      </c>
      <c r="W63" t="str">
        <f>IF(Backend!X90="", "", Backend!X90)</f>
        <v/>
      </c>
      <c r="X63" t="str">
        <f>IF(Backend!Y90="", "", Backend!Y90)</f>
        <v/>
      </c>
      <c r="Y63" t="str">
        <f>IF(Backend!Z90="", "", Backend!Z90)</f>
        <v/>
      </c>
      <c r="Z63" t="str">
        <f>IF(Backend!AA90="", "", Backend!AA90)</f>
        <v/>
      </c>
      <c r="AA63" t="str">
        <f>IF(Backend!AB90="", "", Backend!AB90)</f>
        <v/>
      </c>
      <c r="AB63" t="str">
        <f>IF(Backend!AC90="", "", Backend!AC90)</f>
        <v/>
      </c>
      <c r="AC63" t="str">
        <f>IF(Backend!AD90="", "", Backend!AD90)</f>
        <v/>
      </c>
      <c r="AD63" t="str">
        <f>IF(Backend!AE90="", "", Backend!AE90)</f>
        <v/>
      </c>
      <c r="AE63" t="str">
        <f>IF(Backend!AF90="", "", Backend!AF90)</f>
        <v/>
      </c>
      <c r="AF63" t="str">
        <f>IF(Backend!AG90="", "", Backend!AG90)</f>
        <v/>
      </c>
      <c r="AG63" t="str">
        <f>IF(Backend!AH90="", "", Backend!AH90)</f>
        <v/>
      </c>
      <c r="AH63" t="str">
        <f>IF(Backend!AI90="", "", Backend!AI90)</f>
        <v/>
      </c>
      <c r="AI63" t="str">
        <f>IF(Backend!AJ90="", "", Backend!AJ90)</f>
        <v/>
      </c>
      <c r="AJ63" t="str">
        <f>IF(Backend!AK90="", "", Backend!AK90)</f>
        <v/>
      </c>
      <c r="AK63" t="str">
        <f>IF(Backend!AL90="", "", Backend!AL90)</f>
        <v/>
      </c>
      <c r="AL63" t="str">
        <f>IF(Backend!AM90="", "", Backend!AM90)</f>
        <v/>
      </c>
      <c r="AM63" t="str">
        <f>IF(Backend!AN90="", "", Backend!AN90)</f>
        <v/>
      </c>
      <c r="AN63" t="str">
        <f>IF(Backend!AO90="", "", Backend!AO90)</f>
        <v/>
      </c>
      <c r="AO63" t="str">
        <f>IF(Backend!AP90="", "", Backend!AP90)</f>
        <v/>
      </c>
      <c r="AP63" t="str">
        <f>IF(Backend!AQ90="", "", Backend!AQ90)</f>
        <v/>
      </c>
      <c r="AQ63" t="str">
        <f>IF(Backend!AR90="", "", Backend!AR90)</f>
        <v/>
      </c>
      <c r="AR63" t="str">
        <f>IF(Backend!AS90="", "", Backend!AS90)</f>
        <v/>
      </c>
      <c r="AS63" t="str">
        <f>IF(Backend!AT90="", "", Backend!AT90)</f>
        <v/>
      </c>
      <c r="AT63" t="str">
        <f>IF(Backend!AU90="", "", Backend!AU90)</f>
        <v/>
      </c>
      <c r="AU63" t="str">
        <f>IF(Backend!AV90="", "", Backend!AV90)</f>
        <v/>
      </c>
      <c r="AV63" t="str">
        <f>IF(Backend!AW90="", "", Backend!AW90)</f>
        <v/>
      </c>
      <c r="AW63" t="str">
        <f>IF(Backend!AX90="", "", Backend!AX90)</f>
        <v/>
      </c>
      <c r="AX63" t="str">
        <f>IF(Backend!AY90="", "", Backend!AY90)</f>
        <v/>
      </c>
      <c r="AY63" t="str">
        <f>IF(Backend!AZ90="", "", Backend!AZ90)</f>
        <v/>
      </c>
      <c r="AZ63" t="str">
        <f>IF(Backend!BA90="", "", Backend!BA90)</f>
        <v/>
      </c>
      <c r="BA63" t="str">
        <f>IF(Backend!BB90="", "", Backend!BB90)</f>
        <v/>
      </c>
      <c r="BB63" t="str">
        <f>IF(Backend!BC90="", "", Backend!BC90)</f>
        <v/>
      </c>
      <c r="BC63" t="str">
        <f>IF(Backend!BD90="", "", Backend!BD90)</f>
        <v/>
      </c>
      <c r="BD63" t="str">
        <f>IF(Backend!BE90="", "", Backend!BE90)</f>
        <v/>
      </c>
      <c r="BE63" t="str">
        <f>IF(Backend!BF90="", "", Backend!BF90)</f>
        <v/>
      </c>
      <c r="BF63" t="str">
        <f>IF(Backend!BG90="", "", Backend!BG90)</f>
        <v/>
      </c>
      <c r="BG63" t="str">
        <f>IF(Backend!BH90="", "", Backend!BH90)</f>
        <v/>
      </c>
      <c r="BH63" t="str">
        <f>IF(Backend!BI90="", "", Backend!BI90)</f>
        <v/>
      </c>
      <c r="BI63" t="str">
        <f>IF(Backend!BJ90="", "", Backend!BJ90)</f>
        <v/>
      </c>
      <c r="BJ63" t="str">
        <f>IF(Backend!BK90="", "", Backend!BK90)</f>
        <v/>
      </c>
      <c r="BK63" t="str">
        <f>IF(Backend!BL90="", "", Backend!BL90)</f>
        <v/>
      </c>
      <c r="BL63" t="str">
        <f>IF(Backend!BM90="", "", Backend!BM90)</f>
        <v/>
      </c>
      <c r="BM63" t="str">
        <f>IF(Backend!BN90="", "", Backend!BN90)</f>
        <v/>
      </c>
      <c r="BN63" t="str">
        <f>IF(Backend!BO90="", "", Backend!BO90)</f>
        <v/>
      </c>
      <c r="BO63" t="str">
        <f>IF(Backend!BP90="", "", Backend!BP90)</f>
        <v/>
      </c>
      <c r="BP63" t="str">
        <f>IF(Backend!BQ90="", "", Backend!BQ90)</f>
        <v/>
      </c>
      <c r="BQ63" t="str">
        <f>IF(Backend!BR90="", "", Backend!BR90)</f>
        <v/>
      </c>
      <c r="BR63" t="str">
        <f>IF(Backend!BS90="", "", Backend!BS90)</f>
        <v/>
      </c>
      <c r="BS63" t="str">
        <f>IF(Backend!BT90="", "", Backend!BT90)</f>
        <v/>
      </c>
      <c r="BT63" t="str">
        <f>IF(Backend!BU90="", "", Backend!BU90)</f>
        <v/>
      </c>
      <c r="BU63" t="str">
        <f>IF(Backend!BV90="", "", Backend!BV90)</f>
        <v/>
      </c>
      <c r="BV63" t="str">
        <f>IF(Backend!BW90="", "", Backend!BW90)</f>
        <v/>
      </c>
      <c r="BW63" t="str">
        <f>IF(Backend!BX90="", "", Backend!BX90)</f>
        <v/>
      </c>
      <c r="BX63" t="str">
        <f>IF(Backend!BY90="", "", Backend!BY90)</f>
        <v/>
      </c>
      <c r="BY63" t="str">
        <f>IF(Backend!BZ90="", "", Backend!BZ90)</f>
        <v/>
      </c>
      <c r="BZ63" t="str">
        <f>IF(Backend!CA90="", "", Backend!CA90)</f>
        <v/>
      </c>
      <c r="CA63" t="str">
        <f>IF(Backend!CB90="", "", Backend!CB90)</f>
        <v/>
      </c>
      <c r="CB63" t="str">
        <f>IF(Backend!CC90="", "", Backend!CC90)</f>
        <v/>
      </c>
      <c r="CC63" t="str">
        <f>IF(Backend!CD90="", "", Backend!CD90)</f>
        <v/>
      </c>
    </row>
    <row r="64" spans="1:81" x14ac:dyDescent="0.25">
      <c r="A64" s="4" t="str">
        <f>IF(Backend!A91="", "", Backend!A91)</f>
        <v/>
      </c>
      <c r="B64" t="str">
        <f>IF(Backend!C91="", "", Backend!C91)</f>
        <v/>
      </c>
      <c r="C64" t="str">
        <f>IF(Backend!D91="", "", Backend!D91)</f>
        <v/>
      </c>
      <c r="D64" t="str">
        <f>IF(Backend!E91="", "", Backend!E91)</f>
        <v/>
      </c>
      <c r="E64" t="str">
        <f>IF(Backend!F91="", "", Backend!F91)</f>
        <v/>
      </c>
      <c r="F64" t="str">
        <f>IF(Backend!G91="", "", Backend!G91)</f>
        <v/>
      </c>
      <c r="G64" t="str">
        <f>IF(Backend!H91="", "", Backend!H91)</f>
        <v/>
      </c>
      <c r="H64" t="str">
        <f>IF(Backend!I91="", "", Backend!I91)</f>
        <v/>
      </c>
      <c r="I64" t="str">
        <f>IF(Backend!J91="", "", Backend!J91)</f>
        <v/>
      </c>
      <c r="J64" t="str">
        <f>IF(Backend!K91="", "", Backend!K91)</f>
        <v/>
      </c>
      <c r="K64" t="str">
        <f>IF(Backend!L91="", "", Backend!L91)</f>
        <v/>
      </c>
      <c r="L64" t="str">
        <f>IF(Backend!M91="", "", Backend!M91)</f>
        <v/>
      </c>
      <c r="M64" t="str">
        <f>IF(Backend!N91="", "", Backend!N91)</f>
        <v/>
      </c>
      <c r="N64" t="str">
        <f>IF(Backend!O91="", "", Backend!O91)</f>
        <v/>
      </c>
      <c r="O64" t="str">
        <f>IF(Backend!P91="", "", Backend!P91)</f>
        <v/>
      </c>
      <c r="P64" t="str">
        <f>IF(Backend!Q91="", "", Backend!Q91)</f>
        <v/>
      </c>
      <c r="Q64" t="str">
        <f>IF(Backend!R91="", "", Backend!R91)</f>
        <v/>
      </c>
      <c r="R64" t="str">
        <f>IF(Backend!S91="", "", Backend!S91)</f>
        <v/>
      </c>
      <c r="S64" t="str">
        <f>IF(Backend!T91="", "", Backend!T91)</f>
        <v/>
      </c>
      <c r="T64" t="str">
        <f>IF(Backend!U91="", "", Backend!U91)</f>
        <v/>
      </c>
      <c r="U64" t="str">
        <f>IF(Backend!V91="", "", Backend!V91)</f>
        <v/>
      </c>
      <c r="V64" t="str">
        <f>IF(Backend!W91="", "", Backend!W91)</f>
        <v/>
      </c>
      <c r="W64" t="str">
        <f>IF(Backend!X91="", "", Backend!X91)</f>
        <v/>
      </c>
      <c r="X64" t="str">
        <f>IF(Backend!Y91="", "", Backend!Y91)</f>
        <v/>
      </c>
      <c r="Y64" t="str">
        <f>IF(Backend!Z91="", "", Backend!Z91)</f>
        <v/>
      </c>
      <c r="Z64" t="str">
        <f>IF(Backend!AA91="", "", Backend!AA91)</f>
        <v/>
      </c>
      <c r="AA64" t="str">
        <f>IF(Backend!AB91="", "", Backend!AB91)</f>
        <v/>
      </c>
      <c r="AB64" t="str">
        <f>IF(Backend!AC91="", "", Backend!AC91)</f>
        <v/>
      </c>
      <c r="AC64" t="str">
        <f>IF(Backend!AD91="", "", Backend!AD91)</f>
        <v/>
      </c>
      <c r="AD64" t="str">
        <f>IF(Backend!AE91="", "", Backend!AE91)</f>
        <v/>
      </c>
      <c r="AE64" t="str">
        <f>IF(Backend!AF91="", "", Backend!AF91)</f>
        <v/>
      </c>
      <c r="AF64" t="str">
        <f>IF(Backend!AG91="", "", Backend!AG91)</f>
        <v/>
      </c>
      <c r="AG64" t="str">
        <f>IF(Backend!AH91="", "", Backend!AH91)</f>
        <v/>
      </c>
      <c r="AH64" t="str">
        <f>IF(Backend!AI91="", "", Backend!AI91)</f>
        <v/>
      </c>
      <c r="AI64" t="str">
        <f>IF(Backend!AJ91="", "", Backend!AJ91)</f>
        <v/>
      </c>
      <c r="AJ64" t="str">
        <f>IF(Backend!AK91="", "", Backend!AK91)</f>
        <v/>
      </c>
      <c r="AK64" t="str">
        <f>IF(Backend!AL91="", "", Backend!AL91)</f>
        <v/>
      </c>
      <c r="AL64" t="str">
        <f>IF(Backend!AM91="", "", Backend!AM91)</f>
        <v/>
      </c>
      <c r="AM64" t="str">
        <f>IF(Backend!AN91="", "", Backend!AN91)</f>
        <v/>
      </c>
      <c r="AN64" t="str">
        <f>IF(Backend!AO91="", "", Backend!AO91)</f>
        <v/>
      </c>
      <c r="AO64" t="str">
        <f>IF(Backend!AP91="", "", Backend!AP91)</f>
        <v/>
      </c>
      <c r="AP64" t="str">
        <f>IF(Backend!AQ91="", "", Backend!AQ91)</f>
        <v/>
      </c>
      <c r="AQ64" t="str">
        <f>IF(Backend!AR91="", "", Backend!AR91)</f>
        <v/>
      </c>
      <c r="AR64" t="str">
        <f>IF(Backend!AS91="", "", Backend!AS91)</f>
        <v/>
      </c>
      <c r="AS64" t="str">
        <f>IF(Backend!AT91="", "", Backend!AT91)</f>
        <v/>
      </c>
      <c r="AT64" t="str">
        <f>IF(Backend!AU91="", "", Backend!AU91)</f>
        <v/>
      </c>
      <c r="AU64" t="str">
        <f>IF(Backend!AV91="", "", Backend!AV91)</f>
        <v/>
      </c>
      <c r="AV64" t="str">
        <f>IF(Backend!AW91="", "", Backend!AW91)</f>
        <v/>
      </c>
      <c r="AW64" t="str">
        <f>IF(Backend!AX91="", "", Backend!AX91)</f>
        <v/>
      </c>
      <c r="AX64" t="str">
        <f>IF(Backend!AY91="", "", Backend!AY91)</f>
        <v/>
      </c>
      <c r="AY64" t="str">
        <f>IF(Backend!AZ91="", "", Backend!AZ91)</f>
        <v/>
      </c>
      <c r="AZ64" t="str">
        <f>IF(Backend!BA91="", "", Backend!BA91)</f>
        <v/>
      </c>
      <c r="BA64" t="str">
        <f>IF(Backend!BB91="", "", Backend!BB91)</f>
        <v/>
      </c>
      <c r="BB64" t="str">
        <f>IF(Backend!BC91="", "", Backend!BC91)</f>
        <v/>
      </c>
      <c r="BC64" t="str">
        <f>IF(Backend!BD91="", "", Backend!BD91)</f>
        <v/>
      </c>
      <c r="BD64" t="str">
        <f>IF(Backend!BE91="", "", Backend!BE91)</f>
        <v/>
      </c>
      <c r="BE64" t="str">
        <f>IF(Backend!BF91="", "", Backend!BF91)</f>
        <v/>
      </c>
      <c r="BF64" t="str">
        <f>IF(Backend!BG91="", "", Backend!BG91)</f>
        <v/>
      </c>
      <c r="BG64" t="str">
        <f>IF(Backend!BH91="", "", Backend!BH91)</f>
        <v/>
      </c>
      <c r="BH64" t="str">
        <f>IF(Backend!BI91="", "", Backend!BI91)</f>
        <v/>
      </c>
      <c r="BI64" t="str">
        <f>IF(Backend!BJ91="", "", Backend!BJ91)</f>
        <v/>
      </c>
      <c r="BJ64" t="str">
        <f>IF(Backend!BK91="", "", Backend!BK91)</f>
        <v/>
      </c>
      <c r="BK64" t="str">
        <f>IF(Backend!BL91="", "", Backend!BL91)</f>
        <v/>
      </c>
      <c r="BL64" t="str">
        <f>IF(Backend!BM91="", "", Backend!BM91)</f>
        <v/>
      </c>
      <c r="BM64" t="str">
        <f>IF(Backend!BN91="", "", Backend!BN91)</f>
        <v/>
      </c>
      <c r="BN64" t="str">
        <f>IF(Backend!BO91="", "", Backend!BO91)</f>
        <v/>
      </c>
      <c r="BO64" t="str">
        <f>IF(Backend!BP91="", "", Backend!BP91)</f>
        <v/>
      </c>
      <c r="BP64" t="str">
        <f>IF(Backend!BQ91="", "", Backend!BQ91)</f>
        <v/>
      </c>
      <c r="BQ64" t="str">
        <f>IF(Backend!BR91="", "", Backend!BR91)</f>
        <v/>
      </c>
      <c r="BR64" t="str">
        <f>IF(Backend!BS91="", "", Backend!BS91)</f>
        <v/>
      </c>
      <c r="BS64" t="str">
        <f>IF(Backend!BT91="", "", Backend!BT91)</f>
        <v/>
      </c>
      <c r="BT64" t="str">
        <f>IF(Backend!BU91="", "", Backend!BU91)</f>
        <v/>
      </c>
      <c r="BU64" t="str">
        <f>IF(Backend!BV91="", "", Backend!BV91)</f>
        <v/>
      </c>
      <c r="BV64" t="str">
        <f>IF(Backend!BW91="", "", Backend!BW91)</f>
        <v/>
      </c>
      <c r="BW64" t="str">
        <f>IF(Backend!BX91="", "", Backend!BX91)</f>
        <v/>
      </c>
      <c r="BX64" t="str">
        <f>IF(Backend!BY91="", "", Backend!BY91)</f>
        <v/>
      </c>
      <c r="BY64" t="str">
        <f>IF(Backend!BZ91="", "", Backend!BZ91)</f>
        <v/>
      </c>
      <c r="BZ64" t="str">
        <f>IF(Backend!CA91="", "", Backend!CA91)</f>
        <v/>
      </c>
      <c r="CA64" t="str">
        <f>IF(Backend!CB91="", "", Backend!CB91)</f>
        <v/>
      </c>
      <c r="CB64" t="str">
        <f>IF(Backend!CC91="", "", Backend!CC91)</f>
        <v/>
      </c>
      <c r="CC64" t="str">
        <f>IF(Backend!CD91="", "", Backend!CD91)</f>
        <v/>
      </c>
    </row>
    <row r="65" spans="1:81" x14ac:dyDescent="0.25">
      <c r="A65" s="4" t="str">
        <f>IF(Backend!A92="", "", Backend!A92)</f>
        <v/>
      </c>
      <c r="B65" t="str">
        <f>IF(Backend!C92="", "", Backend!C92)</f>
        <v/>
      </c>
      <c r="C65" t="str">
        <f>IF(Backend!D92="", "", Backend!D92)</f>
        <v/>
      </c>
      <c r="D65" t="str">
        <f>IF(Backend!E92="", "", Backend!E92)</f>
        <v/>
      </c>
      <c r="E65" t="str">
        <f>IF(Backend!F92="", "", Backend!F92)</f>
        <v/>
      </c>
      <c r="F65" t="str">
        <f>IF(Backend!G92="", "", Backend!G92)</f>
        <v/>
      </c>
      <c r="G65" t="str">
        <f>IF(Backend!H92="", "", Backend!H92)</f>
        <v/>
      </c>
      <c r="H65" t="str">
        <f>IF(Backend!I92="", "", Backend!I92)</f>
        <v/>
      </c>
      <c r="I65" t="str">
        <f>IF(Backend!J92="", "", Backend!J92)</f>
        <v/>
      </c>
      <c r="J65" t="str">
        <f>IF(Backend!K92="", "", Backend!K92)</f>
        <v/>
      </c>
      <c r="K65" t="str">
        <f>IF(Backend!L92="", "", Backend!L92)</f>
        <v/>
      </c>
      <c r="L65" t="str">
        <f>IF(Backend!M92="", "", Backend!M92)</f>
        <v/>
      </c>
      <c r="M65" t="str">
        <f>IF(Backend!N92="", "", Backend!N92)</f>
        <v/>
      </c>
      <c r="N65" t="str">
        <f>IF(Backend!O92="", "", Backend!O92)</f>
        <v/>
      </c>
      <c r="O65" t="str">
        <f>IF(Backend!P92="", "", Backend!P92)</f>
        <v/>
      </c>
      <c r="P65" t="str">
        <f>IF(Backend!Q92="", "", Backend!Q92)</f>
        <v/>
      </c>
      <c r="Q65" t="str">
        <f>IF(Backend!R92="", "", Backend!R92)</f>
        <v/>
      </c>
      <c r="R65" t="str">
        <f>IF(Backend!S92="", "", Backend!S92)</f>
        <v/>
      </c>
      <c r="S65" t="str">
        <f>IF(Backend!T92="", "", Backend!T92)</f>
        <v/>
      </c>
      <c r="T65" t="str">
        <f>IF(Backend!U92="", "", Backend!U92)</f>
        <v/>
      </c>
      <c r="U65" t="str">
        <f>IF(Backend!V92="", "", Backend!V92)</f>
        <v/>
      </c>
      <c r="V65" t="str">
        <f>IF(Backend!W92="", "", Backend!W92)</f>
        <v/>
      </c>
      <c r="W65" t="str">
        <f>IF(Backend!X92="", "", Backend!X92)</f>
        <v/>
      </c>
      <c r="X65" t="str">
        <f>IF(Backend!Y92="", "", Backend!Y92)</f>
        <v/>
      </c>
      <c r="Y65" t="str">
        <f>IF(Backend!Z92="", "", Backend!Z92)</f>
        <v/>
      </c>
      <c r="Z65" t="str">
        <f>IF(Backend!AA92="", "", Backend!AA92)</f>
        <v/>
      </c>
      <c r="AA65" t="str">
        <f>IF(Backend!AB92="", "", Backend!AB92)</f>
        <v/>
      </c>
      <c r="AB65" t="str">
        <f>IF(Backend!AC92="", "", Backend!AC92)</f>
        <v/>
      </c>
      <c r="AC65" t="str">
        <f>IF(Backend!AD92="", "", Backend!AD92)</f>
        <v/>
      </c>
      <c r="AD65" t="str">
        <f>IF(Backend!AE92="", "", Backend!AE92)</f>
        <v/>
      </c>
      <c r="AE65" t="str">
        <f>IF(Backend!AF92="", "", Backend!AF92)</f>
        <v/>
      </c>
      <c r="AF65" t="str">
        <f>IF(Backend!AG92="", "", Backend!AG92)</f>
        <v/>
      </c>
      <c r="AG65" t="str">
        <f>IF(Backend!AH92="", "", Backend!AH92)</f>
        <v/>
      </c>
      <c r="AH65" t="str">
        <f>IF(Backend!AI92="", "", Backend!AI92)</f>
        <v/>
      </c>
      <c r="AI65" t="str">
        <f>IF(Backend!AJ92="", "", Backend!AJ92)</f>
        <v/>
      </c>
      <c r="AJ65" t="str">
        <f>IF(Backend!AK92="", "", Backend!AK92)</f>
        <v/>
      </c>
      <c r="AK65" t="str">
        <f>IF(Backend!AL92="", "", Backend!AL92)</f>
        <v/>
      </c>
      <c r="AL65" t="str">
        <f>IF(Backend!AM92="", "", Backend!AM92)</f>
        <v/>
      </c>
      <c r="AM65" t="str">
        <f>IF(Backend!AN92="", "", Backend!AN92)</f>
        <v/>
      </c>
      <c r="AN65" t="str">
        <f>IF(Backend!AO92="", "", Backend!AO92)</f>
        <v/>
      </c>
      <c r="AO65" t="str">
        <f>IF(Backend!AP92="", "", Backend!AP92)</f>
        <v/>
      </c>
      <c r="AP65" t="str">
        <f>IF(Backend!AQ92="", "", Backend!AQ92)</f>
        <v/>
      </c>
      <c r="AQ65" t="str">
        <f>IF(Backend!AR92="", "", Backend!AR92)</f>
        <v/>
      </c>
      <c r="AR65" t="str">
        <f>IF(Backend!AS92="", "", Backend!AS92)</f>
        <v/>
      </c>
      <c r="AS65" t="str">
        <f>IF(Backend!AT92="", "", Backend!AT92)</f>
        <v/>
      </c>
      <c r="AT65" t="str">
        <f>IF(Backend!AU92="", "", Backend!AU92)</f>
        <v/>
      </c>
      <c r="AU65" t="str">
        <f>IF(Backend!AV92="", "", Backend!AV92)</f>
        <v/>
      </c>
      <c r="AV65" t="str">
        <f>IF(Backend!AW92="", "", Backend!AW92)</f>
        <v/>
      </c>
      <c r="AW65" t="str">
        <f>IF(Backend!AX92="", "", Backend!AX92)</f>
        <v/>
      </c>
      <c r="AX65" t="str">
        <f>IF(Backend!AY92="", "", Backend!AY92)</f>
        <v/>
      </c>
      <c r="AY65" t="str">
        <f>IF(Backend!AZ92="", "", Backend!AZ92)</f>
        <v/>
      </c>
      <c r="AZ65" t="str">
        <f>IF(Backend!BA92="", "", Backend!BA92)</f>
        <v/>
      </c>
      <c r="BA65" t="str">
        <f>IF(Backend!BB92="", "", Backend!BB92)</f>
        <v/>
      </c>
      <c r="BB65" t="str">
        <f>IF(Backend!BC92="", "", Backend!BC92)</f>
        <v/>
      </c>
      <c r="BC65" t="str">
        <f>IF(Backend!BD92="", "", Backend!BD92)</f>
        <v/>
      </c>
      <c r="BD65" t="str">
        <f>IF(Backend!BE92="", "", Backend!BE92)</f>
        <v/>
      </c>
      <c r="BE65" t="str">
        <f>IF(Backend!BF92="", "", Backend!BF92)</f>
        <v/>
      </c>
      <c r="BF65" t="str">
        <f>IF(Backend!BG92="", "", Backend!BG92)</f>
        <v/>
      </c>
      <c r="BG65" t="str">
        <f>IF(Backend!BH92="", "", Backend!BH92)</f>
        <v/>
      </c>
      <c r="BH65" t="str">
        <f>IF(Backend!BI92="", "", Backend!BI92)</f>
        <v/>
      </c>
      <c r="BI65" t="str">
        <f>IF(Backend!BJ92="", "", Backend!BJ92)</f>
        <v/>
      </c>
      <c r="BJ65" t="str">
        <f>IF(Backend!BK92="", "", Backend!BK92)</f>
        <v/>
      </c>
      <c r="BK65" t="str">
        <f>IF(Backend!BL92="", "", Backend!BL92)</f>
        <v/>
      </c>
      <c r="BL65" t="str">
        <f>IF(Backend!BM92="", "", Backend!BM92)</f>
        <v/>
      </c>
      <c r="BM65" t="str">
        <f>IF(Backend!BN92="", "", Backend!BN92)</f>
        <v/>
      </c>
      <c r="BN65" t="str">
        <f>IF(Backend!BO92="", "", Backend!BO92)</f>
        <v/>
      </c>
      <c r="BO65" t="str">
        <f>IF(Backend!BP92="", "", Backend!BP92)</f>
        <v/>
      </c>
      <c r="BP65" t="str">
        <f>IF(Backend!BQ92="", "", Backend!BQ92)</f>
        <v/>
      </c>
      <c r="BQ65" t="str">
        <f>IF(Backend!BR92="", "", Backend!BR92)</f>
        <v/>
      </c>
      <c r="BR65" t="str">
        <f>IF(Backend!BS92="", "", Backend!BS92)</f>
        <v/>
      </c>
      <c r="BS65" t="str">
        <f>IF(Backend!BT92="", "", Backend!BT92)</f>
        <v/>
      </c>
      <c r="BT65" t="str">
        <f>IF(Backend!BU92="", "", Backend!BU92)</f>
        <v/>
      </c>
      <c r="BU65" t="str">
        <f>IF(Backend!BV92="", "", Backend!BV92)</f>
        <v/>
      </c>
      <c r="BV65" t="str">
        <f>IF(Backend!BW92="", "", Backend!BW92)</f>
        <v/>
      </c>
      <c r="BW65" t="str">
        <f>IF(Backend!BX92="", "", Backend!BX92)</f>
        <v/>
      </c>
      <c r="BX65" t="str">
        <f>IF(Backend!BY92="", "", Backend!BY92)</f>
        <v/>
      </c>
      <c r="BY65" t="str">
        <f>IF(Backend!BZ92="", "", Backend!BZ92)</f>
        <v/>
      </c>
      <c r="BZ65" t="str">
        <f>IF(Backend!CA92="", "", Backend!CA92)</f>
        <v/>
      </c>
      <c r="CA65" t="str">
        <f>IF(Backend!CB92="", "", Backend!CB92)</f>
        <v/>
      </c>
      <c r="CB65" t="str">
        <f>IF(Backend!CC92="", "", Backend!CC92)</f>
        <v/>
      </c>
      <c r="CC65" t="str">
        <f>IF(Backend!CD92="", "", Backend!CD92)</f>
        <v/>
      </c>
    </row>
    <row r="66" spans="1:81" x14ac:dyDescent="0.25">
      <c r="A66" s="4" t="str">
        <f>IF(Backend!A93="", "", Backend!A93)</f>
        <v/>
      </c>
      <c r="B66" t="str">
        <f>IF(Backend!C93="", "", Backend!C93)</f>
        <v/>
      </c>
      <c r="C66" t="str">
        <f>IF(Backend!D93="", "", Backend!D93)</f>
        <v/>
      </c>
      <c r="D66" t="str">
        <f>IF(Backend!E93="", "", Backend!E93)</f>
        <v/>
      </c>
      <c r="E66" t="str">
        <f>IF(Backend!F93="", "", Backend!F93)</f>
        <v/>
      </c>
      <c r="F66" t="str">
        <f>IF(Backend!G93="", "", Backend!G93)</f>
        <v/>
      </c>
      <c r="G66" t="str">
        <f>IF(Backend!H93="", "", Backend!H93)</f>
        <v/>
      </c>
      <c r="H66" t="str">
        <f>IF(Backend!I93="", "", Backend!I93)</f>
        <v/>
      </c>
      <c r="I66" t="str">
        <f>IF(Backend!J93="", "", Backend!J93)</f>
        <v/>
      </c>
      <c r="J66" t="str">
        <f>IF(Backend!K93="", "", Backend!K93)</f>
        <v/>
      </c>
      <c r="K66" t="str">
        <f>IF(Backend!L93="", "", Backend!L93)</f>
        <v/>
      </c>
      <c r="L66" t="str">
        <f>IF(Backend!M93="", "", Backend!M93)</f>
        <v/>
      </c>
      <c r="M66" t="str">
        <f>IF(Backend!N93="", "", Backend!N93)</f>
        <v/>
      </c>
      <c r="N66" t="str">
        <f>IF(Backend!O93="", "", Backend!O93)</f>
        <v/>
      </c>
      <c r="O66" t="str">
        <f>IF(Backend!P93="", "", Backend!P93)</f>
        <v/>
      </c>
      <c r="P66" t="str">
        <f>IF(Backend!Q93="", "", Backend!Q93)</f>
        <v/>
      </c>
      <c r="Q66" t="str">
        <f>IF(Backend!R93="", "", Backend!R93)</f>
        <v/>
      </c>
      <c r="R66" t="str">
        <f>IF(Backend!S93="", "", Backend!S93)</f>
        <v/>
      </c>
      <c r="S66" t="str">
        <f>IF(Backend!T93="", "", Backend!T93)</f>
        <v/>
      </c>
      <c r="T66" t="str">
        <f>IF(Backend!U93="", "", Backend!U93)</f>
        <v/>
      </c>
      <c r="U66" t="str">
        <f>IF(Backend!V93="", "", Backend!V93)</f>
        <v/>
      </c>
      <c r="V66" t="str">
        <f>IF(Backend!W93="", "", Backend!W93)</f>
        <v/>
      </c>
      <c r="W66" t="str">
        <f>IF(Backend!X93="", "", Backend!X93)</f>
        <v/>
      </c>
      <c r="X66" t="str">
        <f>IF(Backend!Y93="", "", Backend!Y93)</f>
        <v/>
      </c>
      <c r="Y66" t="str">
        <f>IF(Backend!Z93="", "", Backend!Z93)</f>
        <v/>
      </c>
      <c r="Z66" t="str">
        <f>IF(Backend!AA93="", "", Backend!AA93)</f>
        <v/>
      </c>
      <c r="AA66" t="str">
        <f>IF(Backend!AB93="", "", Backend!AB93)</f>
        <v/>
      </c>
      <c r="AB66" t="str">
        <f>IF(Backend!AC93="", "", Backend!AC93)</f>
        <v/>
      </c>
      <c r="AC66" t="str">
        <f>IF(Backend!AD93="", "", Backend!AD93)</f>
        <v/>
      </c>
      <c r="AD66" t="str">
        <f>IF(Backend!AE93="", "", Backend!AE93)</f>
        <v/>
      </c>
      <c r="AE66" t="str">
        <f>IF(Backend!AF93="", "", Backend!AF93)</f>
        <v/>
      </c>
      <c r="AF66" t="str">
        <f>IF(Backend!AG93="", "", Backend!AG93)</f>
        <v/>
      </c>
      <c r="AG66" t="str">
        <f>IF(Backend!AH93="", "", Backend!AH93)</f>
        <v/>
      </c>
      <c r="AH66" t="str">
        <f>IF(Backend!AI93="", "", Backend!AI93)</f>
        <v/>
      </c>
      <c r="AI66" t="str">
        <f>IF(Backend!AJ93="", "", Backend!AJ93)</f>
        <v/>
      </c>
      <c r="AJ66" t="str">
        <f>IF(Backend!AK93="", "", Backend!AK93)</f>
        <v/>
      </c>
      <c r="AK66" t="str">
        <f>IF(Backend!AL93="", "", Backend!AL93)</f>
        <v/>
      </c>
      <c r="AL66" t="str">
        <f>IF(Backend!AM93="", "", Backend!AM93)</f>
        <v/>
      </c>
      <c r="AM66" t="str">
        <f>IF(Backend!AN93="", "", Backend!AN93)</f>
        <v/>
      </c>
      <c r="AN66" t="str">
        <f>IF(Backend!AO93="", "", Backend!AO93)</f>
        <v/>
      </c>
      <c r="AO66" t="str">
        <f>IF(Backend!AP93="", "", Backend!AP93)</f>
        <v/>
      </c>
      <c r="AP66" t="str">
        <f>IF(Backend!AQ93="", "", Backend!AQ93)</f>
        <v/>
      </c>
      <c r="AQ66" t="str">
        <f>IF(Backend!AR93="", "", Backend!AR93)</f>
        <v/>
      </c>
      <c r="AR66" t="str">
        <f>IF(Backend!AS93="", "", Backend!AS93)</f>
        <v/>
      </c>
      <c r="AS66" t="str">
        <f>IF(Backend!AT93="", "", Backend!AT93)</f>
        <v/>
      </c>
      <c r="AT66" t="str">
        <f>IF(Backend!AU93="", "", Backend!AU93)</f>
        <v/>
      </c>
      <c r="AU66" t="str">
        <f>IF(Backend!AV93="", "", Backend!AV93)</f>
        <v/>
      </c>
      <c r="AV66" t="str">
        <f>IF(Backend!AW93="", "", Backend!AW93)</f>
        <v/>
      </c>
      <c r="AW66" t="str">
        <f>IF(Backend!AX93="", "", Backend!AX93)</f>
        <v/>
      </c>
      <c r="AX66" t="str">
        <f>IF(Backend!AY93="", "", Backend!AY93)</f>
        <v/>
      </c>
      <c r="AY66" t="str">
        <f>IF(Backend!AZ93="", "", Backend!AZ93)</f>
        <v/>
      </c>
      <c r="AZ66" t="str">
        <f>IF(Backend!BA93="", "", Backend!BA93)</f>
        <v/>
      </c>
      <c r="BA66" t="str">
        <f>IF(Backend!BB93="", "", Backend!BB93)</f>
        <v/>
      </c>
      <c r="BB66" t="str">
        <f>IF(Backend!BC93="", "", Backend!BC93)</f>
        <v/>
      </c>
      <c r="BC66" t="str">
        <f>IF(Backend!BD93="", "", Backend!BD93)</f>
        <v/>
      </c>
      <c r="BD66" t="str">
        <f>IF(Backend!BE93="", "", Backend!BE93)</f>
        <v/>
      </c>
      <c r="BE66" t="str">
        <f>IF(Backend!BF93="", "", Backend!BF93)</f>
        <v/>
      </c>
      <c r="BF66" t="str">
        <f>IF(Backend!BG93="", "", Backend!BG93)</f>
        <v/>
      </c>
      <c r="BG66" t="str">
        <f>IF(Backend!BH93="", "", Backend!BH93)</f>
        <v/>
      </c>
      <c r="BH66" t="str">
        <f>IF(Backend!BI93="", "", Backend!BI93)</f>
        <v/>
      </c>
      <c r="BI66" t="str">
        <f>IF(Backend!BJ93="", "", Backend!BJ93)</f>
        <v/>
      </c>
      <c r="BJ66" t="str">
        <f>IF(Backend!BK93="", "", Backend!BK93)</f>
        <v/>
      </c>
      <c r="BK66" t="str">
        <f>IF(Backend!BL93="", "", Backend!BL93)</f>
        <v/>
      </c>
      <c r="BL66" t="str">
        <f>IF(Backend!BM93="", "", Backend!BM93)</f>
        <v/>
      </c>
      <c r="BM66" t="str">
        <f>IF(Backend!BN93="", "", Backend!BN93)</f>
        <v/>
      </c>
      <c r="BN66" t="str">
        <f>IF(Backend!BO93="", "", Backend!BO93)</f>
        <v/>
      </c>
      <c r="BO66" t="str">
        <f>IF(Backend!BP93="", "", Backend!BP93)</f>
        <v/>
      </c>
      <c r="BP66" t="str">
        <f>IF(Backend!BQ93="", "", Backend!BQ93)</f>
        <v/>
      </c>
      <c r="BQ66" t="str">
        <f>IF(Backend!BR93="", "", Backend!BR93)</f>
        <v/>
      </c>
      <c r="BR66" t="str">
        <f>IF(Backend!BS93="", "", Backend!BS93)</f>
        <v/>
      </c>
      <c r="BS66" t="str">
        <f>IF(Backend!BT93="", "", Backend!BT93)</f>
        <v/>
      </c>
      <c r="BT66" t="str">
        <f>IF(Backend!BU93="", "", Backend!BU93)</f>
        <v/>
      </c>
      <c r="BU66" t="str">
        <f>IF(Backend!BV93="", "", Backend!BV93)</f>
        <v/>
      </c>
      <c r="BV66" t="str">
        <f>IF(Backend!BW93="", "", Backend!BW93)</f>
        <v/>
      </c>
      <c r="BW66" t="str">
        <f>IF(Backend!BX93="", "", Backend!BX93)</f>
        <v/>
      </c>
      <c r="BX66" t="str">
        <f>IF(Backend!BY93="", "", Backend!BY93)</f>
        <v/>
      </c>
      <c r="BY66" t="str">
        <f>IF(Backend!BZ93="", "", Backend!BZ93)</f>
        <v/>
      </c>
      <c r="BZ66" t="str">
        <f>IF(Backend!CA93="", "", Backend!CA93)</f>
        <v/>
      </c>
      <c r="CA66" t="str">
        <f>IF(Backend!CB93="", "", Backend!CB93)</f>
        <v/>
      </c>
      <c r="CB66" t="str">
        <f>IF(Backend!CC93="", "", Backend!CC93)</f>
        <v/>
      </c>
      <c r="CC66" t="str">
        <f>IF(Backend!CD93="", "", Backend!CD93)</f>
        <v/>
      </c>
    </row>
    <row r="67" spans="1:81" x14ac:dyDescent="0.25">
      <c r="A67" s="4" t="str">
        <f>IF(Backend!A94="", "", Backend!A94)</f>
        <v/>
      </c>
      <c r="B67" t="str">
        <f>IF(Backend!C94="", "", Backend!C94)</f>
        <v/>
      </c>
      <c r="C67" t="str">
        <f>IF(Backend!D94="", "", Backend!D94)</f>
        <v/>
      </c>
      <c r="D67" t="str">
        <f>IF(Backend!E94="", "", Backend!E94)</f>
        <v/>
      </c>
      <c r="E67" t="str">
        <f>IF(Backend!F94="", "", Backend!F94)</f>
        <v/>
      </c>
      <c r="F67" t="str">
        <f>IF(Backend!G94="", "", Backend!G94)</f>
        <v/>
      </c>
      <c r="G67" t="str">
        <f>IF(Backend!H94="", "", Backend!H94)</f>
        <v/>
      </c>
      <c r="H67" t="str">
        <f>IF(Backend!I94="", "", Backend!I94)</f>
        <v/>
      </c>
      <c r="I67" t="str">
        <f>IF(Backend!J94="", "", Backend!J94)</f>
        <v/>
      </c>
      <c r="J67" t="str">
        <f>IF(Backend!K94="", "", Backend!K94)</f>
        <v/>
      </c>
      <c r="K67" t="str">
        <f>IF(Backend!L94="", "", Backend!L94)</f>
        <v/>
      </c>
      <c r="L67" t="str">
        <f>IF(Backend!M94="", "", Backend!M94)</f>
        <v/>
      </c>
      <c r="M67" t="str">
        <f>IF(Backend!N94="", "", Backend!N94)</f>
        <v/>
      </c>
      <c r="N67" t="str">
        <f>IF(Backend!O94="", "", Backend!O94)</f>
        <v/>
      </c>
      <c r="O67" t="str">
        <f>IF(Backend!P94="", "", Backend!P94)</f>
        <v/>
      </c>
      <c r="P67" t="str">
        <f>IF(Backend!Q94="", "", Backend!Q94)</f>
        <v/>
      </c>
      <c r="Q67" t="str">
        <f>IF(Backend!R94="", "", Backend!R94)</f>
        <v/>
      </c>
      <c r="R67" t="str">
        <f>IF(Backend!S94="", "", Backend!S94)</f>
        <v/>
      </c>
      <c r="S67" t="str">
        <f>IF(Backend!T94="", "", Backend!T94)</f>
        <v/>
      </c>
      <c r="T67" t="str">
        <f>IF(Backend!U94="", "", Backend!U94)</f>
        <v/>
      </c>
      <c r="U67" t="str">
        <f>IF(Backend!V94="", "", Backend!V94)</f>
        <v/>
      </c>
      <c r="V67" t="str">
        <f>IF(Backend!W94="", "", Backend!W94)</f>
        <v/>
      </c>
      <c r="W67" t="str">
        <f>IF(Backend!X94="", "", Backend!X94)</f>
        <v/>
      </c>
      <c r="X67" t="str">
        <f>IF(Backend!Y94="", "", Backend!Y94)</f>
        <v/>
      </c>
      <c r="Y67" t="str">
        <f>IF(Backend!Z94="", "", Backend!Z94)</f>
        <v/>
      </c>
      <c r="Z67" t="str">
        <f>IF(Backend!AA94="", "", Backend!AA94)</f>
        <v/>
      </c>
      <c r="AA67" t="str">
        <f>IF(Backend!AB94="", "", Backend!AB94)</f>
        <v/>
      </c>
      <c r="AB67" t="str">
        <f>IF(Backend!AC94="", "", Backend!AC94)</f>
        <v/>
      </c>
      <c r="AC67" t="str">
        <f>IF(Backend!AD94="", "", Backend!AD94)</f>
        <v/>
      </c>
      <c r="AD67" t="str">
        <f>IF(Backend!AE94="", "", Backend!AE94)</f>
        <v/>
      </c>
      <c r="AE67" t="str">
        <f>IF(Backend!AF94="", "", Backend!AF94)</f>
        <v/>
      </c>
      <c r="AF67" t="str">
        <f>IF(Backend!AG94="", "", Backend!AG94)</f>
        <v/>
      </c>
      <c r="AG67" t="str">
        <f>IF(Backend!AH94="", "", Backend!AH94)</f>
        <v/>
      </c>
      <c r="AH67" t="str">
        <f>IF(Backend!AI94="", "", Backend!AI94)</f>
        <v/>
      </c>
      <c r="AI67" t="str">
        <f>IF(Backend!AJ94="", "", Backend!AJ94)</f>
        <v/>
      </c>
      <c r="AJ67" t="str">
        <f>IF(Backend!AK94="", "", Backend!AK94)</f>
        <v/>
      </c>
      <c r="AK67" t="str">
        <f>IF(Backend!AL94="", "", Backend!AL94)</f>
        <v/>
      </c>
      <c r="AL67" t="str">
        <f>IF(Backend!AM94="", "", Backend!AM94)</f>
        <v/>
      </c>
      <c r="AM67" t="str">
        <f>IF(Backend!AN94="", "", Backend!AN94)</f>
        <v/>
      </c>
      <c r="AN67" t="str">
        <f>IF(Backend!AO94="", "", Backend!AO94)</f>
        <v/>
      </c>
      <c r="AO67" t="str">
        <f>IF(Backend!AP94="", "", Backend!AP94)</f>
        <v/>
      </c>
      <c r="AP67" t="str">
        <f>IF(Backend!AQ94="", "", Backend!AQ94)</f>
        <v/>
      </c>
      <c r="AQ67" t="str">
        <f>IF(Backend!AR94="", "", Backend!AR94)</f>
        <v/>
      </c>
      <c r="AR67" t="str">
        <f>IF(Backend!AS94="", "", Backend!AS94)</f>
        <v/>
      </c>
      <c r="AS67" t="str">
        <f>IF(Backend!AT94="", "", Backend!AT94)</f>
        <v/>
      </c>
      <c r="AT67" t="str">
        <f>IF(Backend!AU94="", "", Backend!AU94)</f>
        <v/>
      </c>
      <c r="AU67" t="str">
        <f>IF(Backend!AV94="", "", Backend!AV94)</f>
        <v/>
      </c>
      <c r="AV67" t="str">
        <f>IF(Backend!AW94="", "", Backend!AW94)</f>
        <v/>
      </c>
      <c r="AW67" t="str">
        <f>IF(Backend!AX94="", "", Backend!AX94)</f>
        <v/>
      </c>
      <c r="AX67" t="str">
        <f>IF(Backend!AY94="", "", Backend!AY94)</f>
        <v/>
      </c>
      <c r="AY67" t="str">
        <f>IF(Backend!AZ94="", "", Backend!AZ94)</f>
        <v/>
      </c>
      <c r="AZ67" t="str">
        <f>IF(Backend!BA94="", "", Backend!BA94)</f>
        <v/>
      </c>
      <c r="BA67" t="str">
        <f>IF(Backend!BB94="", "", Backend!BB94)</f>
        <v/>
      </c>
      <c r="BB67" t="str">
        <f>IF(Backend!BC94="", "", Backend!BC94)</f>
        <v/>
      </c>
      <c r="BC67" t="str">
        <f>IF(Backend!BD94="", "", Backend!BD94)</f>
        <v/>
      </c>
      <c r="BD67" t="str">
        <f>IF(Backend!BE94="", "", Backend!BE94)</f>
        <v/>
      </c>
      <c r="BE67" t="str">
        <f>IF(Backend!BF94="", "", Backend!BF94)</f>
        <v/>
      </c>
      <c r="BF67" t="str">
        <f>IF(Backend!BG94="", "", Backend!BG94)</f>
        <v/>
      </c>
      <c r="BG67" t="str">
        <f>IF(Backend!BH94="", "", Backend!BH94)</f>
        <v/>
      </c>
      <c r="BH67" t="str">
        <f>IF(Backend!BI94="", "", Backend!BI94)</f>
        <v/>
      </c>
      <c r="BI67" t="str">
        <f>IF(Backend!BJ94="", "", Backend!BJ94)</f>
        <v/>
      </c>
      <c r="BJ67" t="str">
        <f>IF(Backend!BK94="", "", Backend!BK94)</f>
        <v/>
      </c>
      <c r="BK67" t="str">
        <f>IF(Backend!BL94="", "", Backend!BL94)</f>
        <v/>
      </c>
      <c r="BL67" t="str">
        <f>IF(Backend!BM94="", "", Backend!BM94)</f>
        <v/>
      </c>
      <c r="BM67" t="str">
        <f>IF(Backend!BN94="", "", Backend!BN94)</f>
        <v/>
      </c>
      <c r="BN67" t="str">
        <f>IF(Backend!BO94="", "", Backend!BO94)</f>
        <v/>
      </c>
      <c r="BO67" t="str">
        <f>IF(Backend!BP94="", "", Backend!BP94)</f>
        <v/>
      </c>
      <c r="BP67" t="str">
        <f>IF(Backend!BQ94="", "", Backend!BQ94)</f>
        <v/>
      </c>
      <c r="BQ67" t="str">
        <f>IF(Backend!BR94="", "", Backend!BR94)</f>
        <v/>
      </c>
      <c r="BR67" t="str">
        <f>IF(Backend!BS94="", "", Backend!BS94)</f>
        <v/>
      </c>
      <c r="BS67" t="str">
        <f>IF(Backend!BT94="", "", Backend!BT94)</f>
        <v/>
      </c>
      <c r="BT67" t="str">
        <f>IF(Backend!BU94="", "", Backend!BU94)</f>
        <v/>
      </c>
      <c r="BU67" t="str">
        <f>IF(Backend!BV94="", "", Backend!BV94)</f>
        <v/>
      </c>
      <c r="BV67" t="str">
        <f>IF(Backend!BW94="", "", Backend!BW94)</f>
        <v/>
      </c>
      <c r="BW67" t="str">
        <f>IF(Backend!BX94="", "", Backend!BX94)</f>
        <v/>
      </c>
      <c r="BX67" t="str">
        <f>IF(Backend!BY94="", "", Backend!BY94)</f>
        <v/>
      </c>
      <c r="BY67" t="str">
        <f>IF(Backend!BZ94="", "", Backend!BZ94)</f>
        <v/>
      </c>
      <c r="BZ67" t="str">
        <f>IF(Backend!CA94="", "", Backend!CA94)</f>
        <v/>
      </c>
      <c r="CA67" t="str">
        <f>IF(Backend!CB94="", "", Backend!CB94)</f>
        <v/>
      </c>
      <c r="CB67" t="str">
        <f>IF(Backend!CC94="", "", Backend!CC94)</f>
        <v/>
      </c>
      <c r="CC67" t="str">
        <f>IF(Backend!CD94="", "", Backend!CD94)</f>
        <v/>
      </c>
    </row>
    <row r="68" spans="1:81" x14ac:dyDescent="0.25">
      <c r="A68" s="4" t="str">
        <f>IF(Backend!A95="", "", Backend!A95)</f>
        <v/>
      </c>
      <c r="B68" t="str">
        <f>IF(Backend!C95="", "", Backend!C95)</f>
        <v/>
      </c>
      <c r="C68" t="str">
        <f>IF(Backend!D95="", "", Backend!D95)</f>
        <v/>
      </c>
      <c r="D68" t="str">
        <f>IF(Backend!E95="", "", Backend!E95)</f>
        <v/>
      </c>
      <c r="E68" t="str">
        <f>IF(Backend!F95="", "", Backend!F95)</f>
        <v/>
      </c>
      <c r="F68" t="str">
        <f>IF(Backend!G95="", "", Backend!G95)</f>
        <v/>
      </c>
      <c r="G68" t="str">
        <f>IF(Backend!H95="", "", Backend!H95)</f>
        <v/>
      </c>
      <c r="H68" t="str">
        <f>IF(Backend!I95="", "", Backend!I95)</f>
        <v/>
      </c>
      <c r="I68" t="str">
        <f>IF(Backend!J95="", "", Backend!J95)</f>
        <v/>
      </c>
      <c r="J68" t="str">
        <f>IF(Backend!K95="", "", Backend!K95)</f>
        <v/>
      </c>
      <c r="K68" t="str">
        <f>IF(Backend!L95="", "", Backend!L95)</f>
        <v/>
      </c>
      <c r="L68" t="str">
        <f>IF(Backend!M95="", "", Backend!M95)</f>
        <v/>
      </c>
      <c r="M68" t="str">
        <f>IF(Backend!N95="", "", Backend!N95)</f>
        <v/>
      </c>
      <c r="N68" t="str">
        <f>IF(Backend!O95="", "", Backend!O95)</f>
        <v/>
      </c>
      <c r="O68" t="str">
        <f>IF(Backend!P95="", "", Backend!P95)</f>
        <v/>
      </c>
      <c r="P68" t="str">
        <f>IF(Backend!Q95="", "", Backend!Q95)</f>
        <v/>
      </c>
      <c r="Q68" t="str">
        <f>IF(Backend!R95="", "", Backend!R95)</f>
        <v/>
      </c>
      <c r="R68" t="str">
        <f>IF(Backend!S95="", "", Backend!S95)</f>
        <v/>
      </c>
      <c r="S68" t="str">
        <f>IF(Backend!T95="", "", Backend!T95)</f>
        <v/>
      </c>
      <c r="T68" t="str">
        <f>IF(Backend!U95="", "", Backend!U95)</f>
        <v/>
      </c>
      <c r="U68" t="str">
        <f>IF(Backend!V95="", "", Backend!V95)</f>
        <v/>
      </c>
      <c r="V68" t="str">
        <f>IF(Backend!W95="", "", Backend!W95)</f>
        <v/>
      </c>
      <c r="W68" t="str">
        <f>IF(Backend!X95="", "", Backend!X95)</f>
        <v/>
      </c>
      <c r="X68" t="str">
        <f>IF(Backend!Y95="", "", Backend!Y95)</f>
        <v/>
      </c>
      <c r="Y68" t="str">
        <f>IF(Backend!Z95="", "", Backend!Z95)</f>
        <v/>
      </c>
      <c r="Z68" t="str">
        <f>IF(Backend!AA95="", "", Backend!AA95)</f>
        <v/>
      </c>
      <c r="AA68" t="str">
        <f>IF(Backend!AB95="", "", Backend!AB95)</f>
        <v/>
      </c>
      <c r="AB68" t="str">
        <f>IF(Backend!AC95="", "", Backend!AC95)</f>
        <v/>
      </c>
      <c r="AC68" t="str">
        <f>IF(Backend!AD95="", "", Backend!AD95)</f>
        <v/>
      </c>
      <c r="AD68" t="str">
        <f>IF(Backend!AE95="", "", Backend!AE95)</f>
        <v/>
      </c>
      <c r="AE68" t="str">
        <f>IF(Backend!AF95="", "", Backend!AF95)</f>
        <v/>
      </c>
      <c r="AF68" t="str">
        <f>IF(Backend!AG95="", "", Backend!AG95)</f>
        <v/>
      </c>
      <c r="AG68" t="str">
        <f>IF(Backend!AH95="", "", Backend!AH95)</f>
        <v/>
      </c>
      <c r="AH68" t="str">
        <f>IF(Backend!AI95="", "", Backend!AI95)</f>
        <v/>
      </c>
      <c r="AI68" t="str">
        <f>IF(Backend!AJ95="", "", Backend!AJ95)</f>
        <v/>
      </c>
      <c r="AJ68" t="str">
        <f>IF(Backend!AK95="", "", Backend!AK95)</f>
        <v/>
      </c>
      <c r="AK68" t="str">
        <f>IF(Backend!AL95="", "", Backend!AL95)</f>
        <v/>
      </c>
      <c r="AL68" t="str">
        <f>IF(Backend!AM95="", "", Backend!AM95)</f>
        <v/>
      </c>
      <c r="AM68" t="str">
        <f>IF(Backend!AN95="", "", Backend!AN95)</f>
        <v/>
      </c>
      <c r="AN68" t="str">
        <f>IF(Backend!AO95="", "", Backend!AO95)</f>
        <v/>
      </c>
      <c r="AO68" t="str">
        <f>IF(Backend!AP95="", "", Backend!AP95)</f>
        <v/>
      </c>
      <c r="AP68" t="str">
        <f>IF(Backend!AQ95="", "", Backend!AQ95)</f>
        <v/>
      </c>
      <c r="AQ68" t="str">
        <f>IF(Backend!AR95="", "", Backend!AR95)</f>
        <v/>
      </c>
      <c r="AR68" t="str">
        <f>IF(Backend!AS95="", "", Backend!AS95)</f>
        <v/>
      </c>
      <c r="AS68" t="str">
        <f>IF(Backend!AT95="", "", Backend!AT95)</f>
        <v/>
      </c>
      <c r="AT68" t="str">
        <f>IF(Backend!AU95="", "", Backend!AU95)</f>
        <v/>
      </c>
      <c r="AU68" t="str">
        <f>IF(Backend!AV95="", "", Backend!AV95)</f>
        <v/>
      </c>
      <c r="AV68" t="str">
        <f>IF(Backend!AW95="", "", Backend!AW95)</f>
        <v/>
      </c>
      <c r="AW68" t="str">
        <f>IF(Backend!AX95="", "", Backend!AX95)</f>
        <v/>
      </c>
      <c r="AX68" t="str">
        <f>IF(Backend!AY95="", "", Backend!AY95)</f>
        <v/>
      </c>
      <c r="AY68" t="str">
        <f>IF(Backend!AZ95="", "", Backend!AZ95)</f>
        <v/>
      </c>
      <c r="AZ68" t="str">
        <f>IF(Backend!BA95="", "", Backend!BA95)</f>
        <v/>
      </c>
      <c r="BA68" t="str">
        <f>IF(Backend!BB95="", "", Backend!BB95)</f>
        <v/>
      </c>
      <c r="BB68" t="str">
        <f>IF(Backend!BC95="", "", Backend!BC95)</f>
        <v/>
      </c>
      <c r="BC68" t="str">
        <f>IF(Backend!BD95="", "", Backend!BD95)</f>
        <v/>
      </c>
      <c r="BD68" t="str">
        <f>IF(Backend!BE95="", "", Backend!BE95)</f>
        <v/>
      </c>
      <c r="BE68" t="str">
        <f>IF(Backend!BF95="", "", Backend!BF95)</f>
        <v/>
      </c>
      <c r="BF68" t="str">
        <f>IF(Backend!BG95="", "", Backend!BG95)</f>
        <v/>
      </c>
      <c r="BG68" t="str">
        <f>IF(Backend!BH95="", "", Backend!BH95)</f>
        <v/>
      </c>
      <c r="BH68" t="str">
        <f>IF(Backend!BI95="", "", Backend!BI95)</f>
        <v/>
      </c>
      <c r="BI68" t="str">
        <f>IF(Backend!BJ95="", "", Backend!BJ95)</f>
        <v/>
      </c>
      <c r="BJ68" t="str">
        <f>IF(Backend!BK95="", "", Backend!BK95)</f>
        <v/>
      </c>
      <c r="BK68" t="str">
        <f>IF(Backend!BL95="", "", Backend!BL95)</f>
        <v/>
      </c>
      <c r="BL68" t="str">
        <f>IF(Backend!BM95="", "", Backend!BM95)</f>
        <v/>
      </c>
      <c r="BM68" t="str">
        <f>IF(Backend!BN95="", "", Backend!BN95)</f>
        <v/>
      </c>
      <c r="BN68" t="str">
        <f>IF(Backend!BO95="", "", Backend!BO95)</f>
        <v/>
      </c>
      <c r="BO68" t="str">
        <f>IF(Backend!BP95="", "", Backend!BP95)</f>
        <v/>
      </c>
      <c r="BP68" t="str">
        <f>IF(Backend!BQ95="", "", Backend!BQ95)</f>
        <v/>
      </c>
      <c r="BQ68" t="str">
        <f>IF(Backend!BR95="", "", Backend!BR95)</f>
        <v/>
      </c>
      <c r="BR68" t="str">
        <f>IF(Backend!BS95="", "", Backend!BS95)</f>
        <v/>
      </c>
      <c r="BS68" t="str">
        <f>IF(Backend!BT95="", "", Backend!BT95)</f>
        <v/>
      </c>
      <c r="BT68" t="str">
        <f>IF(Backend!BU95="", "", Backend!BU95)</f>
        <v/>
      </c>
      <c r="BU68" t="str">
        <f>IF(Backend!BV95="", "", Backend!BV95)</f>
        <v/>
      </c>
      <c r="BV68" t="str">
        <f>IF(Backend!BW95="", "", Backend!BW95)</f>
        <v/>
      </c>
      <c r="BW68" t="str">
        <f>IF(Backend!BX95="", "", Backend!BX95)</f>
        <v/>
      </c>
      <c r="BX68" t="str">
        <f>IF(Backend!BY95="", "", Backend!BY95)</f>
        <v/>
      </c>
      <c r="BY68" t="str">
        <f>IF(Backend!BZ95="", "", Backend!BZ95)</f>
        <v/>
      </c>
      <c r="BZ68" t="str">
        <f>IF(Backend!CA95="", "", Backend!CA95)</f>
        <v/>
      </c>
      <c r="CA68" t="str">
        <f>IF(Backend!CB95="", "", Backend!CB95)</f>
        <v/>
      </c>
      <c r="CB68" t="str">
        <f>IF(Backend!CC95="", "", Backend!CC95)</f>
        <v/>
      </c>
      <c r="CC68" t="str">
        <f>IF(Backend!CD95="", "", Backend!CD95)</f>
        <v/>
      </c>
    </row>
    <row r="69" spans="1:81" x14ac:dyDescent="0.25">
      <c r="A69" s="4" t="str">
        <f>IF(Backend!A96="", "", Backend!A96)</f>
        <v/>
      </c>
      <c r="B69" t="str">
        <f>IF(Backend!C96="", "", Backend!C96)</f>
        <v/>
      </c>
      <c r="C69" t="str">
        <f>IF(Backend!D96="", "", Backend!D96)</f>
        <v/>
      </c>
      <c r="D69" t="str">
        <f>IF(Backend!E96="", "", Backend!E96)</f>
        <v/>
      </c>
      <c r="E69" t="str">
        <f>IF(Backend!F96="", "", Backend!F96)</f>
        <v/>
      </c>
      <c r="F69" t="str">
        <f>IF(Backend!G96="", "", Backend!G96)</f>
        <v/>
      </c>
      <c r="G69" t="str">
        <f>IF(Backend!H96="", "", Backend!H96)</f>
        <v/>
      </c>
      <c r="H69" t="str">
        <f>IF(Backend!I96="", "", Backend!I96)</f>
        <v/>
      </c>
      <c r="I69" t="str">
        <f>IF(Backend!J96="", "", Backend!J96)</f>
        <v/>
      </c>
      <c r="J69" t="str">
        <f>IF(Backend!K96="", "", Backend!K96)</f>
        <v/>
      </c>
      <c r="K69" t="str">
        <f>IF(Backend!L96="", "", Backend!L96)</f>
        <v/>
      </c>
      <c r="L69" t="str">
        <f>IF(Backend!M96="", "", Backend!M96)</f>
        <v/>
      </c>
      <c r="M69" t="str">
        <f>IF(Backend!N96="", "", Backend!N96)</f>
        <v/>
      </c>
      <c r="N69" t="str">
        <f>IF(Backend!O96="", "", Backend!O96)</f>
        <v/>
      </c>
      <c r="O69" t="str">
        <f>IF(Backend!P96="", "", Backend!P96)</f>
        <v/>
      </c>
      <c r="P69" t="str">
        <f>IF(Backend!Q96="", "", Backend!Q96)</f>
        <v/>
      </c>
      <c r="Q69" t="str">
        <f>IF(Backend!R96="", "", Backend!R96)</f>
        <v/>
      </c>
      <c r="R69" t="str">
        <f>IF(Backend!S96="", "", Backend!S96)</f>
        <v/>
      </c>
      <c r="S69" t="str">
        <f>IF(Backend!T96="", "", Backend!T96)</f>
        <v/>
      </c>
      <c r="T69" t="str">
        <f>IF(Backend!U96="", "", Backend!U96)</f>
        <v/>
      </c>
      <c r="U69" t="str">
        <f>IF(Backend!V96="", "", Backend!V96)</f>
        <v/>
      </c>
      <c r="V69" t="str">
        <f>IF(Backend!W96="", "", Backend!W96)</f>
        <v/>
      </c>
      <c r="W69" t="str">
        <f>IF(Backend!X96="", "", Backend!X96)</f>
        <v/>
      </c>
      <c r="X69" t="str">
        <f>IF(Backend!Y96="", "", Backend!Y96)</f>
        <v/>
      </c>
      <c r="Y69" t="str">
        <f>IF(Backend!Z96="", "", Backend!Z96)</f>
        <v/>
      </c>
      <c r="Z69" t="str">
        <f>IF(Backend!AA96="", "", Backend!AA96)</f>
        <v/>
      </c>
      <c r="AA69" t="str">
        <f>IF(Backend!AB96="", "", Backend!AB96)</f>
        <v/>
      </c>
      <c r="AB69" t="str">
        <f>IF(Backend!AC96="", "", Backend!AC96)</f>
        <v/>
      </c>
      <c r="AC69" t="str">
        <f>IF(Backend!AD96="", "", Backend!AD96)</f>
        <v/>
      </c>
      <c r="AD69" t="str">
        <f>IF(Backend!AE96="", "", Backend!AE96)</f>
        <v/>
      </c>
      <c r="AE69" t="str">
        <f>IF(Backend!AF96="", "", Backend!AF96)</f>
        <v/>
      </c>
      <c r="AF69" t="str">
        <f>IF(Backend!AG96="", "", Backend!AG96)</f>
        <v/>
      </c>
      <c r="AG69" t="str">
        <f>IF(Backend!AH96="", "", Backend!AH96)</f>
        <v/>
      </c>
      <c r="AH69" t="str">
        <f>IF(Backend!AI96="", "", Backend!AI96)</f>
        <v/>
      </c>
      <c r="AI69" t="str">
        <f>IF(Backend!AJ96="", "", Backend!AJ96)</f>
        <v/>
      </c>
      <c r="AJ69" t="str">
        <f>IF(Backend!AK96="", "", Backend!AK96)</f>
        <v/>
      </c>
      <c r="AK69" t="str">
        <f>IF(Backend!AL96="", "", Backend!AL96)</f>
        <v/>
      </c>
      <c r="AL69" t="str">
        <f>IF(Backend!AM96="", "", Backend!AM96)</f>
        <v/>
      </c>
      <c r="AM69" t="str">
        <f>IF(Backend!AN96="", "", Backend!AN96)</f>
        <v/>
      </c>
      <c r="AN69" t="str">
        <f>IF(Backend!AO96="", "", Backend!AO96)</f>
        <v/>
      </c>
      <c r="AO69" t="str">
        <f>IF(Backend!AP96="", "", Backend!AP96)</f>
        <v/>
      </c>
      <c r="AP69" t="str">
        <f>IF(Backend!AQ96="", "", Backend!AQ96)</f>
        <v/>
      </c>
      <c r="AQ69" t="str">
        <f>IF(Backend!AR96="", "", Backend!AR96)</f>
        <v/>
      </c>
      <c r="AR69" t="str">
        <f>IF(Backend!AS96="", "", Backend!AS96)</f>
        <v/>
      </c>
      <c r="AS69" t="str">
        <f>IF(Backend!AT96="", "", Backend!AT96)</f>
        <v/>
      </c>
      <c r="AT69" t="str">
        <f>IF(Backend!AU96="", "", Backend!AU96)</f>
        <v/>
      </c>
      <c r="AU69" t="str">
        <f>IF(Backend!AV96="", "", Backend!AV96)</f>
        <v/>
      </c>
      <c r="AV69" t="str">
        <f>IF(Backend!AW96="", "", Backend!AW96)</f>
        <v/>
      </c>
      <c r="AW69" t="str">
        <f>IF(Backend!AX96="", "", Backend!AX96)</f>
        <v/>
      </c>
      <c r="AX69" t="str">
        <f>IF(Backend!AY96="", "", Backend!AY96)</f>
        <v/>
      </c>
      <c r="AY69" t="str">
        <f>IF(Backend!AZ96="", "", Backend!AZ96)</f>
        <v/>
      </c>
      <c r="AZ69" t="str">
        <f>IF(Backend!BA96="", "", Backend!BA96)</f>
        <v/>
      </c>
      <c r="BA69" t="str">
        <f>IF(Backend!BB96="", "", Backend!BB96)</f>
        <v/>
      </c>
      <c r="BB69" t="str">
        <f>IF(Backend!BC96="", "", Backend!BC96)</f>
        <v/>
      </c>
      <c r="BC69" t="str">
        <f>IF(Backend!BD96="", "", Backend!BD96)</f>
        <v/>
      </c>
      <c r="BD69" t="str">
        <f>IF(Backend!BE96="", "", Backend!BE96)</f>
        <v/>
      </c>
      <c r="BE69" t="str">
        <f>IF(Backend!BF96="", "", Backend!BF96)</f>
        <v/>
      </c>
      <c r="BF69" t="str">
        <f>IF(Backend!BG96="", "", Backend!BG96)</f>
        <v/>
      </c>
      <c r="BG69" t="str">
        <f>IF(Backend!BH96="", "", Backend!BH96)</f>
        <v/>
      </c>
      <c r="BH69" t="str">
        <f>IF(Backend!BI96="", "", Backend!BI96)</f>
        <v/>
      </c>
      <c r="BI69" t="str">
        <f>IF(Backend!BJ96="", "", Backend!BJ96)</f>
        <v/>
      </c>
      <c r="BJ69" t="str">
        <f>IF(Backend!BK96="", "", Backend!BK96)</f>
        <v/>
      </c>
      <c r="BK69" t="str">
        <f>IF(Backend!BL96="", "", Backend!BL96)</f>
        <v/>
      </c>
      <c r="BL69" t="str">
        <f>IF(Backend!BM96="", "", Backend!BM96)</f>
        <v/>
      </c>
      <c r="BM69" t="str">
        <f>IF(Backend!BN96="", "", Backend!BN96)</f>
        <v/>
      </c>
      <c r="BN69" t="str">
        <f>IF(Backend!BO96="", "", Backend!BO96)</f>
        <v/>
      </c>
      <c r="BO69" t="str">
        <f>IF(Backend!BP96="", "", Backend!BP96)</f>
        <v/>
      </c>
      <c r="BP69" t="str">
        <f>IF(Backend!BQ96="", "", Backend!BQ96)</f>
        <v/>
      </c>
      <c r="BQ69" t="str">
        <f>IF(Backend!BR96="", "", Backend!BR96)</f>
        <v/>
      </c>
      <c r="BR69" t="str">
        <f>IF(Backend!BS96="", "", Backend!BS96)</f>
        <v/>
      </c>
      <c r="BS69" t="str">
        <f>IF(Backend!BT96="", "", Backend!BT96)</f>
        <v/>
      </c>
      <c r="BT69" t="str">
        <f>IF(Backend!BU96="", "", Backend!BU96)</f>
        <v/>
      </c>
      <c r="BU69" t="str">
        <f>IF(Backend!BV96="", "", Backend!BV96)</f>
        <v/>
      </c>
      <c r="BV69" t="str">
        <f>IF(Backend!BW96="", "", Backend!BW96)</f>
        <v/>
      </c>
      <c r="BW69" t="str">
        <f>IF(Backend!BX96="", "", Backend!BX96)</f>
        <v/>
      </c>
      <c r="BX69" t="str">
        <f>IF(Backend!BY96="", "", Backend!BY96)</f>
        <v/>
      </c>
      <c r="BY69" t="str">
        <f>IF(Backend!BZ96="", "", Backend!BZ96)</f>
        <v/>
      </c>
      <c r="BZ69" t="str">
        <f>IF(Backend!CA96="", "", Backend!CA96)</f>
        <v/>
      </c>
      <c r="CA69" t="str">
        <f>IF(Backend!CB96="", "", Backend!CB96)</f>
        <v/>
      </c>
      <c r="CB69" t="str">
        <f>IF(Backend!CC96="", "", Backend!CC96)</f>
        <v/>
      </c>
      <c r="CC69" t="str">
        <f>IF(Backend!CD96="", "", Backend!CD96)</f>
        <v/>
      </c>
    </row>
    <row r="70" spans="1:81" x14ac:dyDescent="0.25">
      <c r="A70" s="4" t="str">
        <f>IF(Backend!A97="", "", Backend!A97)</f>
        <v/>
      </c>
      <c r="B70" t="str">
        <f>IF(Backend!C97="", "", Backend!C97)</f>
        <v/>
      </c>
      <c r="C70" t="str">
        <f>IF(Backend!D97="", "", Backend!D97)</f>
        <v/>
      </c>
      <c r="D70" t="str">
        <f>IF(Backend!E97="", "", Backend!E97)</f>
        <v/>
      </c>
      <c r="E70" t="str">
        <f>IF(Backend!F97="", "", Backend!F97)</f>
        <v/>
      </c>
      <c r="F70" t="str">
        <f>IF(Backend!G97="", "", Backend!G97)</f>
        <v/>
      </c>
      <c r="G70" t="str">
        <f>IF(Backend!H97="", "", Backend!H97)</f>
        <v/>
      </c>
      <c r="H70" t="str">
        <f>IF(Backend!I97="", "", Backend!I97)</f>
        <v/>
      </c>
      <c r="I70" t="str">
        <f>IF(Backend!J97="", "", Backend!J97)</f>
        <v/>
      </c>
      <c r="J70" t="str">
        <f>IF(Backend!K97="", "", Backend!K97)</f>
        <v/>
      </c>
      <c r="K70" t="str">
        <f>IF(Backend!L97="", "", Backend!L97)</f>
        <v/>
      </c>
      <c r="L70" t="str">
        <f>IF(Backend!M97="", "", Backend!M97)</f>
        <v/>
      </c>
      <c r="M70" t="str">
        <f>IF(Backend!N97="", "", Backend!N97)</f>
        <v/>
      </c>
      <c r="N70" t="str">
        <f>IF(Backend!O97="", "", Backend!O97)</f>
        <v/>
      </c>
      <c r="O70" t="str">
        <f>IF(Backend!P97="", "", Backend!P97)</f>
        <v/>
      </c>
      <c r="P70" t="str">
        <f>IF(Backend!Q97="", "", Backend!Q97)</f>
        <v/>
      </c>
      <c r="Q70" t="str">
        <f>IF(Backend!R97="", "", Backend!R97)</f>
        <v/>
      </c>
      <c r="R70" t="str">
        <f>IF(Backend!S97="", "", Backend!S97)</f>
        <v/>
      </c>
      <c r="S70" t="str">
        <f>IF(Backend!T97="", "", Backend!T97)</f>
        <v/>
      </c>
      <c r="T70" t="str">
        <f>IF(Backend!U97="", "", Backend!U97)</f>
        <v/>
      </c>
      <c r="U70" t="str">
        <f>IF(Backend!V97="", "", Backend!V97)</f>
        <v/>
      </c>
      <c r="V70" t="str">
        <f>IF(Backend!W97="", "", Backend!W97)</f>
        <v/>
      </c>
      <c r="W70" t="str">
        <f>IF(Backend!X97="", "", Backend!X97)</f>
        <v/>
      </c>
      <c r="X70" t="str">
        <f>IF(Backend!Y97="", "", Backend!Y97)</f>
        <v/>
      </c>
      <c r="Y70" t="str">
        <f>IF(Backend!Z97="", "", Backend!Z97)</f>
        <v/>
      </c>
      <c r="Z70" t="str">
        <f>IF(Backend!AA97="", "", Backend!AA97)</f>
        <v/>
      </c>
      <c r="AA70" t="str">
        <f>IF(Backend!AB97="", "", Backend!AB97)</f>
        <v/>
      </c>
      <c r="AB70" t="str">
        <f>IF(Backend!AC97="", "", Backend!AC97)</f>
        <v/>
      </c>
      <c r="AC70" t="str">
        <f>IF(Backend!AD97="", "", Backend!AD97)</f>
        <v/>
      </c>
      <c r="AD70" t="str">
        <f>IF(Backend!AE97="", "", Backend!AE97)</f>
        <v/>
      </c>
      <c r="AE70" t="str">
        <f>IF(Backend!AF97="", "", Backend!AF97)</f>
        <v/>
      </c>
      <c r="AF70" t="str">
        <f>IF(Backend!AG97="", "", Backend!AG97)</f>
        <v/>
      </c>
      <c r="AG70" t="str">
        <f>IF(Backend!AH97="", "", Backend!AH97)</f>
        <v/>
      </c>
      <c r="AH70" t="str">
        <f>IF(Backend!AI97="", "", Backend!AI97)</f>
        <v/>
      </c>
      <c r="AI70" t="str">
        <f>IF(Backend!AJ97="", "", Backend!AJ97)</f>
        <v/>
      </c>
      <c r="AJ70" t="str">
        <f>IF(Backend!AK97="", "", Backend!AK97)</f>
        <v/>
      </c>
      <c r="AK70" t="str">
        <f>IF(Backend!AL97="", "", Backend!AL97)</f>
        <v/>
      </c>
      <c r="AL70" t="str">
        <f>IF(Backend!AM97="", "", Backend!AM97)</f>
        <v/>
      </c>
      <c r="AM70" t="str">
        <f>IF(Backend!AN97="", "", Backend!AN97)</f>
        <v/>
      </c>
      <c r="AN70" t="str">
        <f>IF(Backend!AO97="", "", Backend!AO97)</f>
        <v/>
      </c>
      <c r="AO70" t="str">
        <f>IF(Backend!AP97="", "", Backend!AP97)</f>
        <v/>
      </c>
      <c r="AP70" t="str">
        <f>IF(Backend!AQ97="", "", Backend!AQ97)</f>
        <v/>
      </c>
      <c r="AQ70" t="str">
        <f>IF(Backend!AR97="", "", Backend!AR97)</f>
        <v/>
      </c>
      <c r="AR70" t="str">
        <f>IF(Backend!AS97="", "", Backend!AS97)</f>
        <v/>
      </c>
      <c r="AS70" t="str">
        <f>IF(Backend!AT97="", "", Backend!AT97)</f>
        <v/>
      </c>
      <c r="AT70" t="str">
        <f>IF(Backend!AU97="", "", Backend!AU97)</f>
        <v/>
      </c>
      <c r="AU70" t="str">
        <f>IF(Backend!AV97="", "", Backend!AV97)</f>
        <v/>
      </c>
      <c r="AV70" t="str">
        <f>IF(Backend!AW97="", "", Backend!AW97)</f>
        <v/>
      </c>
      <c r="AW70" t="str">
        <f>IF(Backend!AX97="", "", Backend!AX97)</f>
        <v/>
      </c>
      <c r="AX70" t="str">
        <f>IF(Backend!AY97="", "", Backend!AY97)</f>
        <v/>
      </c>
      <c r="AY70" t="str">
        <f>IF(Backend!AZ97="", "", Backend!AZ97)</f>
        <v/>
      </c>
      <c r="AZ70" t="str">
        <f>IF(Backend!BA97="", "", Backend!BA97)</f>
        <v/>
      </c>
      <c r="BA70" t="str">
        <f>IF(Backend!BB97="", "", Backend!BB97)</f>
        <v/>
      </c>
      <c r="BB70" t="str">
        <f>IF(Backend!BC97="", "", Backend!BC97)</f>
        <v/>
      </c>
      <c r="BC70" t="str">
        <f>IF(Backend!BD97="", "", Backend!BD97)</f>
        <v/>
      </c>
      <c r="BD70" t="str">
        <f>IF(Backend!BE97="", "", Backend!BE97)</f>
        <v/>
      </c>
      <c r="BE70" t="str">
        <f>IF(Backend!BF97="", "", Backend!BF97)</f>
        <v/>
      </c>
      <c r="BF70" t="str">
        <f>IF(Backend!BG97="", "", Backend!BG97)</f>
        <v/>
      </c>
      <c r="BG70" t="str">
        <f>IF(Backend!BH97="", "", Backend!BH97)</f>
        <v/>
      </c>
      <c r="BH70" t="str">
        <f>IF(Backend!BI97="", "", Backend!BI97)</f>
        <v/>
      </c>
      <c r="BI70" t="str">
        <f>IF(Backend!BJ97="", "", Backend!BJ97)</f>
        <v/>
      </c>
      <c r="BJ70" t="str">
        <f>IF(Backend!BK97="", "", Backend!BK97)</f>
        <v/>
      </c>
      <c r="BK70" t="str">
        <f>IF(Backend!BL97="", "", Backend!BL97)</f>
        <v/>
      </c>
      <c r="BL70" t="str">
        <f>IF(Backend!BM97="", "", Backend!BM97)</f>
        <v/>
      </c>
      <c r="BM70" t="str">
        <f>IF(Backend!BN97="", "", Backend!BN97)</f>
        <v/>
      </c>
      <c r="BN70" t="str">
        <f>IF(Backend!BO97="", "", Backend!BO97)</f>
        <v/>
      </c>
      <c r="BO70" t="str">
        <f>IF(Backend!BP97="", "", Backend!BP97)</f>
        <v/>
      </c>
      <c r="BP70" t="str">
        <f>IF(Backend!BQ97="", "", Backend!BQ97)</f>
        <v/>
      </c>
      <c r="BQ70" t="str">
        <f>IF(Backend!BR97="", "", Backend!BR97)</f>
        <v/>
      </c>
      <c r="BR70" t="str">
        <f>IF(Backend!BS97="", "", Backend!BS97)</f>
        <v/>
      </c>
      <c r="BS70" t="str">
        <f>IF(Backend!BT97="", "", Backend!BT97)</f>
        <v/>
      </c>
      <c r="BT70" t="str">
        <f>IF(Backend!BU97="", "", Backend!BU97)</f>
        <v/>
      </c>
      <c r="BU70" t="str">
        <f>IF(Backend!BV97="", "", Backend!BV97)</f>
        <v/>
      </c>
      <c r="BV70" t="str">
        <f>IF(Backend!BW97="", "", Backend!BW97)</f>
        <v/>
      </c>
      <c r="BW70" t="str">
        <f>IF(Backend!BX97="", "", Backend!BX97)</f>
        <v/>
      </c>
      <c r="BX70" t="str">
        <f>IF(Backend!BY97="", "", Backend!BY97)</f>
        <v/>
      </c>
      <c r="BY70" t="str">
        <f>IF(Backend!BZ97="", "", Backend!BZ97)</f>
        <v/>
      </c>
      <c r="BZ70" t="str">
        <f>IF(Backend!CA97="", "", Backend!CA97)</f>
        <v/>
      </c>
      <c r="CA70" t="str">
        <f>IF(Backend!CB97="", "", Backend!CB97)</f>
        <v/>
      </c>
      <c r="CB70" t="str">
        <f>IF(Backend!CC97="", "", Backend!CC97)</f>
        <v/>
      </c>
      <c r="CC70" t="str">
        <f>IF(Backend!CD97="", "", Backend!CD97)</f>
        <v/>
      </c>
    </row>
    <row r="71" spans="1:81" x14ac:dyDescent="0.25">
      <c r="A71" s="4" t="str">
        <f>IF(Backend!A98="", "", Backend!A98)</f>
        <v/>
      </c>
      <c r="B71" t="str">
        <f>IF(Backend!C98="", "", Backend!C98)</f>
        <v/>
      </c>
      <c r="C71" t="str">
        <f>IF(Backend!D98="", "", Backend!D98)</f>
        <v/>
      </c>
      <c r="D71" t="str">
        <f>IF(Backend!E98="", "", Backend!E98)</f>
        <v/>
      </c>
      <c r="E71" t="str">
        <f>IF(Backend!F98="", "", Backend!F98)</f>
        <v/>
      </c>
      <c r="F71" t="str">
        <f>IF(Backend!G98="", "", Backend!G98)</f>
        <v/>
      </c>
      <c r="G71" t="str">
        <f>IF(Backend!H98="", "", Backend!H98)</f>
        <v/>
      </c>
      <c r="H71" t="str">
        <f>IF(Backend!I98="", "", Backend!I98)</f>
        <v/>
      </c>
      <c r="I71" t="str">
        <f>IF(Backend!J98="", "", Backend!J98)</f>
        <v/>
      </c>
      <c r="J71" t="str">
        <f>IF(Backend!K98="", "", Backend!K98)</f>
        <v/>
      </c>
      <c r="K71" t="str">
        <f>IF(Backend!L98="", "", Backend!L98)</f>
        <v/>
      </c>
      <c r="L71" t="str">
        <f>IF(Backend!M98="", "", Backend!M98)</f>
        <v/>
      </c>
      <c r="M71" t="str">
        <f>IF(Backend!N98="", "", Backend!N98)</f>
        <v/>
      </c>
      <c r="N71" t="str">
        <f>IF(Backend!O98="", "", Backend!O98)</f>
        <v/>
      </c>
      <c r="O71" t="str">
        <f>IF(Backend!P98="", "", Backend!P98)</f>
        <v/>
      </c>
      <c r="P71" t="str">
        <f>IF(Backend!Q98="", "", Backend!Q98)</f>
        <v/>
      </c>
      <c r="Q71" t="str">
        <f>IF(Backend!R98="", "", Backend!R98)</f>
        <v/>
      </c>
      <c r="R71" t="str">
        <f>IF(Backend!S98="", "", Backend!S98)</f>
        <v/>
      </c>
      <c r="S71" t="str">
        <f>IF(Backend!T98="", "", Backend!T98)</f>
        <v/>
      </c>
      <c r="T71" t="str">
        <f>IF(Backend!U98="", "", Backend!U98)</f>
        <v/>
      </c>
      <c r="U71" t="str">
        <f>IF(Backend!V98="", "", Backend!V98)</f>
        <v/>
      </c>
      <c r="V71" t="str">
        <f>IF(Backend!W98="", "", Backend!W98)</f>
        <v/>
      </c>
      <c r="W71" t="str">
        <f>IF(Backend!X98="", "", Backend!X98)</f>
        <v/>
      </c>
      <c r="X71" t="str">
        <f>IF(Backend!Y98="", "", Backend!Y98)</f>
        <v/>
      </c>
      <c r="Y71" t="str">
        <f>IF(Backend!Z98="", "", Backend!Z98)</f>
        <v/>
      </c>
      <c r="Z71" t="str">
        <f>IF(Backend!AA98="", "", Backend!AA98)</f>
        <v/>
      </c>
      <c r="AA71" t="str">
        <f>IF(Backend!AB98="", "", Backend!AB98)</f>
        <v/>
      </c>
      <c r="AB71" t="str">
        <f>IF(Backend!AC98="", "", Backend!AC98)</f>
        <v/>
      </c>
      <c r="AC71" t="str">
        <f>IF(Backend!AD98="", "", Backend!AD98)</f>
        <v/>
      </c>
      <c r="AD71" t="str">
        <f>IF(Backend!AE98="", "", Backend!AE98)</f>
        <v/>
      </c>
      <c r="AE71" t="str">
        <f>IF(Backend!AF98="", "", Backend!AF98)</f>
        <v/>
      </c>
      <c r="AF71" t="str">
        <f>IF(Backend!AG98="", "", Backend!AG98)</f>
        <v/>
      </c>
      <c r="AG71" t="str">
        <f>IF(Backend!AH98="", "", Backend!AH98)</f>
        <v/>
      </c>
      <c r="AH71" t="str">
        <f>IF(Backend!AI98="", "", Backend!AI98)</f>
        <v/>
      </c>
      <c r="AI71" t="str">
        <f>IF(Backend!AJ98="", "", Backend!AJ98)</f>
        <v/>
      </c>
      <c r="AJ71" t="str">
        <f>IF(Backend!AK98="", "", Backend!AK98)</f>
        <v/>
      </c>
      <c r="AK71" t="str">
        <f>IF(Backend!AL98="", "", Backend!AL98)</f>
        <v/>
      </c>
      <c r="AL71" t="str">
        <f>IF(Backend!AM98="", "", Backend!AM98)</f>
        <v/>
      </c>
      <c r="AM71" t="str">
        <f>IF(Backend!AN98="", "", Backend!AN98)</f>
        <v/>
      </c>
      <c r="AN71" t="str">
        <f>IF(Backend!AO98="", "", Backend!AO98)</f>
        <v/>
      </c>
      <c r="AO71" t="str">
        <f>IF(Backend!AP98="", "", Backend!AP98)</f>
        <v/>
      </c>
      <c r="AP71" t="str">
        <f>IF(Backend!AQ98="", "", Backend!AQ98)</f>
        <v/>
      </c>
      <c r="AQ71" t="str">
        <f>IF(Backend!AR98="", "", Backend!AR98)</f>
        <v/>
      </c>
      <c r="AR71" t="str">
        <f>IF(Backend!AS98="", "", Backend!AS98)</f>
        <v/>
      </c>
      <c r="AS71" t="str">
        <f>IF(Backend!AT98="", "", Backend!AT98)</f>
        <v/>
      </c>
      <c r="AT71" t="str">
        <f>IF(Backend!AU98="", "", Backend!AU98)</f>
        <v/>
      </c>
      <c r="AU71" t="str">
        <f>IF(Backend!AV98="", "", Backend!AV98)</f>
        <v/>
      </c>
      <c r="AV71" t="str">
        <f>IF(Backend!AW98="", "", Backend!AW98)</f>
        <v/>
      </c>
      <c r="AW71" t="str">
        <f>IF(Backend!AX98="", "", Backend!AX98)</f>
        <v/>
      </c>
      <c r="AX71" t="str">
        <f>IF(Backend!AY98="", "", Backend!AY98)</f>
        <v/>
      </c>
      <c r="AY71" t="str">
        <f>IF(Backend!AZ98="", "", Backend!AZ98)</f>
        <v/>
      </c>
      <c r="AZ71" t="str">
        <f>IF(Backend!BA98="", "", Backend!BA98)</f>
        <v/>
      </c>
      <c r="BA71" t="str">
        <f>IF(Backend!BB98="", "", Backend!BB98)</f>
        <v/>
      </c>
      <c r="BB71" t="str">
        <f>IF(Backend!BC98="", "", Backend!BC98)</f>
        <v/>
      </c>
      <c r="BC71" t="str">
        <f>IF(Backend!BD98="", "", Backend!BD98)</f>
        <v/>
      </c>
      <c r="BD71" t="str">
        <f>IF(Backend!BE98="", "", Backend!BE98)</f>
        <v/>
      </c>
      <c r="BE71" t="str">
        <f>IF(Backend!BF98="", "", Backend!BF98)</f>
        <v/>
      </c>
      <c r="BF71" t="str">
        <f>IF(Backend!BG98="", "", Backend!BG98)</f>
        <v/>
      </c>
      <c r="BG71" t="str">
        <f>IF(Backend!BH98="", "", Backend!BH98)</f>
        <v/>
      </c>
      <c r="BH71" t="str">
        <f>IF(Backend!BI98="", "", Backend!BI98)</f>
        <v/>
      </c>
      <c r="BI71" t="str">
        <f>IF(Backend!BJ98="", "", Backend!BJ98)</f>
        <v/>
      </c>
      <c r="BJ71" t="str">
        <f>IF(Backend!BK98="", "", Backend!BK98)</f>
        <v/>
      </c>
      <c r="BK71" t="str">
        <f>IF(Backend!BL98="", "", Backend!BL98)</f>
        <v/>
      </c>
      <c r="BL71" t="str">
        <f>IF(Backend!BM98="", "", Backend!BM98)</f>
        <v/>
      </c>
      <c r="BM71" t="str">
        <f>IF(Backend!BN98="", "", Backend!BN98)</f>
        <v/>
      </c>
      <c r="BN71" t="str">
        <f>IF(Backend!BO98="", "", Backend!BO98)</f>
        <v/>
      </c>
      <c r="BO71" t="str">
        <f>IF(Backend!BP98="", "", Backend!BP98)</f>
        <v/>
      </c>
      <c r="BP71" t="str">
        <f>IF(Backend!BQ98="", "", Backend!BQ98)</f>
        <v/>
      </c>
      <c r="BQ71" t="str">
        <f>IF(Backend!BR98="", "", Backend!BR98)</f>
        <v/>
      </c>
      <c r="BR71" t="str">
        <f>IF(Backend!BS98="", "", Backend!BS98)</f>
        <v/>
      </c>
      <c r="BS71" t="str">
        <f>IF(Backend!BT98="", "", Backend!BT98)</f>
        <v/>
      </c>
      <c r="BT71" t="str">
        <f>IF(Backend!BU98="", "", Backend!BU98)</f>
        <v/>
      </c>
      <c r="BU71" t="str">
        <f>IF(Backend!BV98="", "", Backend!BV98)</f>
        <v/>
      </c>
      <c r="BV71" t="str">
        <f>IF(Backend!BW98="", "", Backend!BW98)</f>
        <v/>
      </c>
      <c r="BW71" t="str">
        <f>IF(Backend!BX98="", "", Backend!BX98)</f>
        <v/>
      </c>
      <c r="BX71" t="str">
        <f>IF(Backend!BY98="", "", Backend!BY98)</f>
        <v/>
      </c>
      <c r="BY71" t="str">
        <f>IF(Backend!BZ98="", "", Backend!BZ98)</f>
        <v/>
      </c>
      <c r="BZ71" t="str">
        <f>IF(Backend!CA98="", "", Backend!CA98)</f>
        <v/>
      </c>
      <c r="CA71" t="str">
        <f>IF(Backend!CB98="", "", Backend!CB98)</f>
        <v/>
      </c>
      <c r="CB71" t="str">
        <f>IF(Backend!CC98="", "", Backend!CC98)</f>
        <v/>
      </c>
      <c r="CC71" t="str">
        <f>IF(Backend!CD98="", "", Backend!CD98)</f>
        <v/>
      </c>
    </row>
    <row r="72" spans="1:81" x14ac:dyDescent="0.25">
      <c r="A72" s="4" t="str">
        <f>IF(Backend!A99="", "", Backend!A99)</f>
        <v/>
      </c>
      <c r="B72" t="str">
        <f>IF(Backend!C99="", "", Backend!C99)</f>
        <v/>
      </c>
      <c r="C72" t="str">
        <f>IF(Backend!D99="", "", Backend!D99)</f>
        <v/>
      </c>
      <c r="D72" t="str">
        <f>IF(Backend!E99="", "", Backend!E99)</f>
        <v/>
      </c>
      <c r="E72" t="str">
        <f>IF(Backend!F99="", "", Backend!F99)</f>
        <v/>
      </c>
      <c r="F72" t="str">
        <f>IF(Backend!G99="", "", Backend!G99)</f>
        <v/>
      </c>
      <c r="G72" t="str">
        <f>IF(Backend!H99="", "", Backend!H99)</f>
        <v/>
      </c>
      <c r="H72" t="str">
        <f>IF(Backend!I99="", "", Backend!I99)</f>
        <v/>
      </c>
      <c r="I72" t="str">
        <f>IF(Backend!J99="", "", Backend!J99)</f>
        <v/>
      </c>
      <c r="J72" t="str">
        <f>IF(Backend!K99="", "", Backend!K99)</f>
        <v/>
      </c>
      <c r="K72" t="str">
        <f>IF(Backend!L99="", "", Backend!L99)</f>
        <v/>
      </c>
      <c r="L72" t="str">
        <f>IF(Backend!M99="", "", Backend!M99)</f>
        <v/>
      </c>
      <c r="M72" t="str">
        <f>IF(Backend!N99="", "", Backend!N99)</f>
        <v/>
      </c>
      <c r="N72" t="str">
        <f>IF(Backend!O99="", "", Backend!O99)</f>
        <v/>
      </c>
      <c r="O72" t="str">
        <f>IF(Backend!P99="", "", Backend!P99)</f>
        <v/>
      </c>
      <c r="P72" t="str">
        <f>IF(Backend!Q99="", "", Backend!Q99)</f>
        <v/>
      </c>
      <c r="Q72" t="str">
        <f>IF(Backend!R99="", "", Backend!R99)</f>
        <v/>
      </c>
      <c r="R72" t="str">
        <f>IF(Backend!S99="", "", Backend!S99)</f>
        <v/>
      </c>
      <c r="S72" t="str">
        <f>IF(Backend!T99="", "", Backend!T99)</f>
        <v/>
      </c>
      <c r="T72" t="str">
        <f>IF(Backend!U99="", "", Backend!U99)</f>
        <v/>
      </c>
      <c r="U72" t="str">
        <f>IF(Backend!V99="", "", Backend!V99)</f>
        <v/>
      </c>
      <c r="V72" t="str">
        <f>IF(Backend!W99="", "", Backend!W99)</f>
        <v/>
      </c>
      <c r="W72" t="str">
        <f>IF(Backend!X99="", "", Backend!X99)</f>
        <v/>
      </c>
      <c r="X72" t="str">
        <f>IF(Backend!Y99="", "", Backend!Y99)</f>
        <v/>
      </c>
      <c r="Y72" t="str">
        <f>IF(Backend!Z99="", "", Backend!Z99)</f>
        <v/>
      </c>
      <c r="Z72" t="str">
        <f>IF(Backend!AA99="", "", Backend!AA99)</f>
        <v/>
      </c>
      <c r="AA72" t="str">
        <f>IF(Backend!AB99="", "", Backend!AB99)</f>
        <v/>
      </c>
      <c r="AB72" t="str">
        <f>IF(Backend!AC99="", "", Backend!AC99)</f>
        <v/>
      </c>
      <c r="AC72" t="str">
        <f>IF(Backend!AD99="", "", Backend!AD99)</f>
        <v/>
      </c>
      <c r="AD72" t="str">
        <f>IF(Backend!AE99="", "", Backend!AE99)</f>
        <v/>
      </c>
      <c r="AE72" t="str">
        <f>IF(Backend!AF99="", "", Backend!AF99)</f>
        <v/>
      </c>
      <c r="AF72" t="str">
        <f>IF(Backend!AG99="", "", Backend!AG99)</f>
        <v/>
      </c>
      <c r="AG72" t="str">
        <f>IF(Backend!AH99="", "", Backend!AH99)</f>
        <v/>
      </c>
      <c r="AH72" t="str">
        <f>IF(Backend!AI99="", "", Backend!AI99)</f>
        <v/>
      </c>
      <c r="AI72" t="str">
        <f>IF(Backend!AJ99="", "", Backend!AJ99)</f>
        <v/>
      </c>
      <c r="AJ72" t="str">
        <f>IF(Backend!AK99="", "", Backend!AK99)</f>
        <v/>
      </c>
      <c r="AK72" t="str">
        <f>IF(Backend!AL99="", "", Backend!AL99)</f>
        <v/>
      </c>
      <c r="AL72" t="str">
        <f>IF(Backend!AM99="", "", Backend!AM99)</f>
        <v/>
      </c>
      <c r="AM72" t="str">
        <f>IF(Backend!AN99="", "", Backend!AN99)</f>
        <v/>
      </c>
      <c r="AN72" t="str">
        <f>IF(Backend!AO99="", "", Backend!AO99)</f>
        <v/>
      </c>
      <c r="AO72" t="str">
        <f>IF(Backend!AP99="", "", Backend!AP99)</f>
        <v/>
      </c>
      <c r="AP72" t="str">
        <f>IF(Backend!AQ99="", "", Backend!AQ99)</f>
        <v/>
      </c>
      <c r="AQ72" t="str">
        <f>IF(Backend!AR99="", "", Backend!AR99)</f>
        <v/>
      </c>
      <c r="AR72" t="str">
        <f>IF(Backend!AS99="", "", Backend!AS99)</f>
        <v/>
      </c>
      <c r="AS72" t="str">
        <f>IF(Backend!AT99="", "", Backend!AT99)</f>
        <v/>
      </c>
      <c r="AT72" t="str">
        <f>IF(Backend!AU99="", "", Backend!AU99)</f>
        <v/>
      </c>
      <c r="AU72" t="str">
        <f>IF(Backend!AV99="", "", Backend!AV99)</f>
        <v/>
      </c>
      <c r="AV72" t="str">
        <f>IF(Backend!AW99="", "", Backend!AW99)</f>
        <v/>
      </c>
      <c r="AW72" t="str">
        <f>IF(Backend!AX99="", "", Backend!AX99)</f>
        <v/>
      </c>
      <c r="AX72" t="str">
        <f>IF(Backend!AY99="", "", Backend!AY99)</f>
        <v/>
      </c>
      <c r="AY72" t="str">
        <f>IF(Backend!AZ99="", "", Backend!AZ99)</f>
        <v/>
      </c>
      <c r="AZ72" t="str">
        <f>IF(Backend!BA99="", "", Backend!BA99)</f>
        <v/>
      </c>
      <c r="BA72" t="str">
        <f>IF(Backend!BB99="", "", Backend!BB99)</f>
        <v/>
      </c>
      <c r="BB72" t="str">
        <f>IF(Backend!BC99="", "", Backend!BC99)</f>
        <v/>
      </c>
      <c r="BC72" t="str">
        <f>IF(Backend!BD99="", "", Backend!BD99)</f>
        <v/>
      </c>
      <c r="BD72" t="str">
        <f>IF(Backend!BE99="", "", Backend!BE99)</f>
        <v/>
      </c>
      <c r="BE72" t="str">
        <f>IF(Backend!BF99="", "", Backend!BF99)</f>
        <v/>
      </c>
      <c r="BF72" t="str">
        <f>IF(Backend!BG99="", "", Backend!BG99)</f>
        <v/>
      </c>
      <c r="BG72" t="str">
        <f>IF(Backend!BH99="", "", Backend!BH99)</f>
        <v/>
      </c>
      <c r="BH72" t="str">
        <f>IF(Backend!BI99="", "", Backend!BI99)</f>
        <v/>
      </c>
      <c r="BI72" t="str">
        <f>IF(Backend!BJ99="", "", Backend!BJ99)</f>
        <v/>
      </c>
      <c r="BJ72" t="str">
        <f>IF(Backend!BK99="", "", Backend!BK99)</f>
        <v/>
      </c>
      <c r="BK72" t="str">
        <f>IF(Backend!BL99="", "", Backend!BL99)</f>
        <v/>
      </c>
      <c r="BL72" t="str">
        <f>IF(Backend!BM99="", "", Backend!BM99)</f>
        <v/>
      </c>
      <c r="BM72" t="str">
        <f>IF(Backend!BN99="", "", Backend!BN99)</f>
        <v/>
      </c>
      <c r="BN72" t="str">
        <f>IF(Backend!BO99="", "", Backend!BO99)</f>
        <v/>
      </c>
      <c r="BO72" t="str">
        <f>IF(Backend!BP99="", "", Backend!BP99)</f>
        <v/>
      </c>
      <c r="BP72" t="str">
        <f>IF(Backend!BQ99="", "", Backend!BQ99)</f>
        <v/>
      </c>
      <c r="BQ72" t="str">
        <f>IF(Backend!BR99="", "", Backend!BR99)</f>
        <v/>
      </c>
      <c r="BR72" t="str">
        <f>IF(Backend!BS99="", "", Backend!BS99)</f>
        <v/>
      </c>
      <c r="BS72" t="str">
        <f>IF(Backend!BT99="", "", Backend!BT99)</f>
        <v/>
      </c>
      <c r="BT72" t="str">
        <f>IF(Backend!BU99="", "", Backend!BU99)</f>
        <v/>
      </c>
      <c r="BU72" t="str">
        <f>IF(Backend!BV99="", "", Backend!BV99)</f>
        <v/>
      </c>
      <c r="BV72" t="str">
        <f>IF(Backend!BW99="", "", Backend!BW99)</f>
        <v/>
      </c>
      <c r="BW72" t="str">
        <f>IF(Backend!BX99="", "", Backend!BX99)</f>
        <v/>
      </c>
      <c r="BX72" t="str">
        <f>IF(Backend!BY99="", "", Backend!BY99)</f>
        <v/>
      </c>
      <c r="BY72" t="str">
        <f>IF(Backend!BZ99="", "", Backend!BZ99)</f>
        <v/>
      </c>
      <c r="BZ72" t="str">
        <f>IF(Backend!CA99="", "", Backend!CA99)</f>
        <v/>
      </c>
      <c r="CA72" t="str">
        <f>IF(Backend!CB99="", "", Backend!CB99)</f>
        <v/>
      </c>
      <c r="CB72" t="str">
        <f>IF(Backend!CC99="", "", Backend!CC99)</f>
        <v/>
      </c>
      <c r="CC72" t="str">
        <f>IF(Backend!CD99="", "", Backend!CD99)</f>
        <v/>
      </c>
    </row>
    <row r="73" spans="1:81" x14ac:dyDescent="0.25">
      <c r="A73" s="4" t="str">
        <f>IF(Backend!A100="", "", Backend!A100)</f>
        <v/>
      </c>
      <c r="B73" t="str">
        <f>IF(Backend!C100="", "", Backend!C100)</f>
        <v/>
      </c>
      <c r="C73" t="str">
        <f>IF(Backend!D100="", "", Backend!D100)</f>
        <v/>
      </c>
      <c r="D73" t="str">
        <f>IF(Backend!E100="", "", Backend!E100)</f>
        <v/>
      </c>
      <c r="E73" t="str">
        <f>IF(Backend!F100="", "", Backend!F100)</f>
        <v/>
      </c>
      <c r="F73" t="str">
        <f>IF(Backend!G100="", "", Backend!G100)</f>
        <v/>
      </c>
      <c r="G73" t="str">
        <f>IF(Backend!H100="", "", Backend!H100)</f>
        <v/>
      </c>
      <c r="H73" t="str">
        <f>IF(Backend!I100="", "", Backend!I100)</f>
        <v/>
      </c>
      <c r="I73" t="str">
        <f>IF(Backend!J100="", "", Backend!J100)</f>
        <v/>
      </c>
      <c r="J73" t="str">
        <f>IF(Backend!K100="", "", Backend!K100)</f>
        <v/>
      </c>
      <c r="K73" t="str">
        <f>IF(Backend!L100="", "", Backend!L100)</f>
        <v/>
      </c>
      <c r="L73" t="str">
        <f>IF(Backend!M100="", "", Backend!M100)</f>
        <v/>
      </c>
      <c r="M73" t="str">
        <f>IF(Backend!N100="", "", Backend!N100)</f>
        <v/>
      </c>
      <c r="N73" t="str">
        <f>IF(Backend!O100="", "", Backend!O100)</f>
        <v/>
      </c>
      <c r="O73" t="str">
        <f>IF(Backend!P100="", "", Backend!P100)</f>
        <v/>
      </c>
      <c r="P73" t="str">
        <f>IF(Backend!Q100="", "", Backend!Q100)</f>
        <v/>
      </c>
      <c r="Q73" t="str">
        <f>IF(Backend!R100="", "", Backend!R100)</f>
        <v/>
      </c>
      <c r="R73" t="str">
        <f>IF(Backend!S100="", "", Backend!S100)</f>
        <v/>
      </c>
      <c r="S73" t="str">
        <f>IF(Backend!T100="", "", Backend!T100)</f>
        <v/>
      </c>
      <c r="T73" t="str">
        <f>IF(Backend!U100="", "", Backend!U100)</f>
        <v/>
      </c>
      <c r="U73" t="str">
        <f>IF(Backend!V100="", "", Backend!V100)</f>
        <v/>
      </c>
      <c r="V73" t="str">
        <f>IF(Backend!W100="", "", Backend!W100)</f>
        <v/>
      </c>
      <c r="W73" t="str">
        <f>IF(Backend!X100="", "", Backend!X100)</f>
        <v/>
      </c>
      <c r="X73" t="str">
        <f>IF(Backend!Y100="", "", Backend!Y100)</f>
        <v/>
      </c>
      <c r="Y73" t="str">
        <f>IF(Backend!Z100="", "", Backend!Z100)</f>
        <v/>
      </c>
      <c r="Z73" t="str">
        <f>IF(Backend!AA100="", "", Backend!AA100)</f>
        <v/>
      </c>
      <c r="AA73" t="str">
        <f>IF(Backend!AB100="", "", Backend!AB100)</f>
        <v/>
      </c>
      <c r="AB73" t="str">
        <f>IF(Backend!AC100="", "", Backend!AC100)</f>
        <v/>
      </c>
      <c r="AC73" t="str">
        <f>IF(Backend!AD100="", "", Backend!AD100)</f>
        <v/>
      </c>
      <c r="AD73" t="str">
        <f>IF(Backend!AE100="", "", Backend!AE100)</f>
        <v/>
      </c>
      <c r="AE73" t="str">
        <f>IF(Backend!AF100="", "", Backend!AF100)</f>
        <v/>
      </c>
      <c r="AF73" t="str">
        <f>IF(Backend!AG100="", "", Backend!AG100)</f>
        <v/>
      </c>
      <c r="AG73" t="str">
        <f>IF(Backend!AH100="", "", Backend!AH100)</f>
        <v/>
      </c>
      <c r="AH73" t="str">
        <f>IF(Backend!AI100="", "", Backend!AI100)</f>
        <v/>
      </c>
      <c r="AI73" t="str">
        <f>IF(Backend!AJ100="", "", Backend!AJ100)</f>
        <v/>
      </c>
      <c r="AJ73" t="str">
        <f>IF(Backend!AK100="", "", Backend!AK100)</f>
        <v/>
      </c>
      <c r="AK73" t="str">
        <f>IF(Backend!AL100="", "", Backend!AL100)</f>
        <v/>
      </c>
      <c r="AL73" t="str">
        <f>IF(Backend!AM100="", "", Backend!AM100)</f>
        <v/>
      </c>
      <c r="AM73" t="str">
        <f>IF(Backend!AN100="", "", Backend!AN100)</f>
        <v/>
      </c>
      <c r="AN73" t="str">
        <f>IF(Backend!AO100="", "", Backend!AO100)</f>
        <v/>
      </c>
      <c r="AO73" t="str">
        <f>IF(Backend!AP100="", "", Backend!AP100)</f>
        <v/>
      </c>
      <c r="AP73" t="str">
        <f>IF(Backend!AQ100="", "", Backend!AQ100)</f>
        <v/>
      </c>
      <c r="AQ73" t="str">
        <f>IF(Backend!AR100="", "", Backend!AR100)</f>
        <v/>
      </c>
      <c r="AR73" t="str">
        <f>IF(Backend!AS100="", "", Backend!AS100)</f>
        <v/>
      </c>
      <c r="AS73" t="str">
        <f>IF(Backend!AT100="", "", Backend!AT100)</f>
        <v/>
      </c>
      <c r="AT73" t="str">
        <f>IF(Backend!AU100="", "", Backend!AU100)</f>
        <v/>
      </c>
      <c r="AU73" t="str">
        <f>IF(Backend!AV100="", "", Backend!AV100)</f>
        <v/>
      </c>
      <c r="AV73" t="str">
        <f>IF(Backend!AW100="", "", Backend!AW100)</f>
        <v/>
      </c>
      <c r="AW73" t="str">
        <f>IF(Backend!AX100="", "", Backend!AX100)</f>
        <v/>
      </c>
      <c r="AX73" t="str">
        <f>IF(Backend!AY100="", "", Backend!AY100)</f>
        <v/>
      </c>
      <c r="AY73" t="str">
        <f>IF(Backend!AZ100="", "", Backend!AZ100)</f>
        <v/>
      </c>
      <c r="AZ73" t="str">
        <f>IF(Backend!BA100="", "", Backend!BA100)</f>
        <v/>
      </c>
      <c r="BA73" t="str">
        <f>IF(Backend!BB100="", "", Backend!BB100)</f>
        <v/>
      </c>
      <c r="BB73" t="str">
        <f>IF(Backend!BC100="", "", Backend!BC100)</f>
        <v/>
      </c>
      <c r="BC73" t="str">
        <f>IF(Backend!BD100="", "", Backend!BD100)</f>
        <v/>
      </c>
      <c r="BD73" t="str">
        <f>IF(Backend!BE100="", "", Backend!BE100)</f>
        <v/>
      </c>
      <c r="BE73" t="str">
        <f>IF(Backend!BF100="", "", Backend!BF100)</f>
        <v/>
      </c>
      <c r="BF73" t="str">
        <f>IF(Backend!BG100="", "", Backend!BG100)</f>
        <v/>
      </c>
      <c r="BG73" t="str">
        <f>IF(Backend!BH100="", "", Backend!BH100)</f>
        <v/>
      </c>
      <c r="BH73" t="str">
        <f>IF(Backend!BI100="", "", Backend!BI100)</f>
        <v/>
      </c>
      <c r="BI73" t="str">
        <f>IF(Backend!BJ100="", "", Backend!BJ100)</f>
        <v/>
      </c>
      <c r="BJ73" t="str">
        <f>IF(Backend!BK100="", "", Backend!BK100)</f>
        <v/>
      </c>
      <c r="BK73" t="str">
        <f>IF(Backend!BL100="", "", Backend!BL100)</f>
        <v/>
      </c>
      <c r="BL73" t="str">
        <f>IF(Backend!BM100="", "", Backend!BM100)</f>
        <v/>
      </c>
      <c r="BM73" t="str">
        <f>IF(Backend!BN100="", "", Backend!BN100)</f>
        <v/>
      </c>
      <c r="BN73" t="str">
        <f>IF(Backend!BO100="", "", Backend!BO100)</f>
        <v/>
      </c>
      <c r="BO73" t="str">
        <f>IF(Backend!BP100="", "", Backend!BP100)</f>
        <v/>
      </c>
      <c r="BP73" t="str">
        <f>IF(Backend!BQ100="", "", Backend!BQ100)</f>
        <v/>
      </c>
      <c r="BQ73" t="str">
        <f>IF(Backend!BR100="", "", Backend!BR100)</f>
        <v/>
      </c>
      <c r="BR73" t="str">
        <f>IF(Backend!BS100="", "", Backend!BS100)</f>
        <v/>
      </c>
      <c r="BS73" t="str">
        <f>IF(Backend!BT100="", "", Backend!BT100)</f>
        <v/>
      </c>
      <c r="BT73" t="str">
        <f>IF(Backend!BU100="", "", Backend!BU100)</f>
        <v/>
      </c>
      <c r="BU73" t="str">
        <f>IF(Backend!BV100="", "", Backend!BV100)</f>
        <v/>
      </c>
      <c r="BV73" t="str">
        <f>IF(Backend!BW100="", "", Backend!BW100)</f>
        <v/>
      </c>
      <c r="BW73" t="str">
        <f>IF(Backend!BX100="", "", Backend!BX100)</f>
        <v/>
      </c>
      <c r="BX73" t="str">
        <f>IF(Backend!BY100="", "", Backend!BY100)</f>
        <v/>
      </c>
      <c r="BY73" t="str">
        <f>IF(Backend!BZ100="", "", Backend!BZ100)</f>
        <v/>
      </c>
      <c r="BZ73" t="str">
        <f>IF(Backend!CA100="", "", Backend!CA100)</f>
        <v/>
      </c>
      <c r="CA73" t="str">
        <f>IF(Backend!CB100="", "", Backend!CB100)</f>
        <v/>
      </c>
      <c r="CB73" t="str">
        <f>IF(Backend!CC100="", "", Backend!CC100)</f>
        <v/>
      </c>
      <c r="CC73" t="str">
        <f>IF(Backend!CD100="", "", Backend!CD100)</f>
        <v/>
      </c>
    </row>
    <row r="74" spans="1:81" x14ac:dyDescent="0.25">
      <c r="A74" s="4" t="str">
        <f>IF(Backend!A101="", "", Backend!A101)</f>
        <v/>
      </c>
      <c r="B74" t="str">
        <f>IF(Backend!C101="", "", Backend!C101)</f>
        <v/>
      </c>
      <c r="C74" t="str">
        <f>IF(Backend!D101="", "", Backend!D101)</f>
        <v/>
      </c>
      <c r="D74" t="str">
        <f>IF(Backend!E101="", "", Backend!E101)</f>
        <v/>
      </c>
      <c r="E74" t="str">
        <f>IF(Backend!F101="", "", Backend!F101)</f>
        <v/>
      </c>
      <c r="F74" t="str">
        <f>IF(Backend!G101="", "", Backend!G101)</f>
        <v/>
      </c>
      <c r="G74" t="str">
        <f>IF(Backend!H101="", "", Backend!H101)</f>
        <v/>
      </c>
      <c r="H74" t="str">
        <f>IF(Backend!I101="", "", Backend!I101)</f>
        <v/>
      </c>
      <c r="I74" t="str">
        <f>IF(Backend!J101="", "", Backend!J101)</f>
        <v/>
      </c>
      <c r="J74" t="str">
        <f>IF(Backend!K101="", "", Backend!K101)</f>
        <v/>
      </c>
      <c r="K74" t="str">
        <f>IF(Backend!L101="", "", Backend!L101)</f>
        <v/>
      </c>
      <c r="L74" t="str">
        <f>IF(Backend!M101="", "", Backend!M101)</f>
        <v/>
      </c>
      <c r="M74" t="str">
        <f>IF(Backend!N101="", "", Backend!N101)</f>
        <v/>
      </c>
      <c r="N74" t="str">
        <f>IF(Backend!O101="", "", Backend!O101)</f>
        <v/>
      </c>
      <c r="O74" t="str">
        <f>IF(Backend!P101="", "", Backend!P101)</f>
        <v/>
      </c>
      <c r="P74" t="str">
        <f>IF(Backend!Q101="", "", Backend!Q101)</f>
        <v/>
      </c>
      <c r="Q74" t="str">
        <f>IF(Backend!R101="", "", Backend!R101)</f>
        <v/>
      </c>
      <c r="R74" t="str">
        <f>IF(Backend!S101="", "", Backend!S101)</f>
        <v/>
      </c>
      <c r="S74" t="str">
        <f>IF(Backend!T101="", "", Backend!T101)</f>
        <v/>
      </c>
      <c r="T74" t="str">
        <f>IF(Backend!U101="", "", Backend!U101)</f>
        <v/>
      </c>
      <c r="U74" t="str">
        <f>IF(Backend!V101="", "", Backend!V101)</f>
        <v/>
      </c>
      <c r="V74" t="str">
        <f>IF(Backend!W101="", "", Backend!W101)</f>
        <v/>
      </c>
      <c r="W74" t="str">
        <f>IF(Backend!X101="", "", Backend!X101)</f>
        <v/>
      </c>
      <c r="X74" t="str">
        <f>IF(Backend!Y101="", "", Backend!Y101)</f>
        <v/>
      </c>
      <c r="Y74" t="str">
        <f>IF(Backend!Z101="", "", Backend!Z101)</f>
        <v/>
      </c>
      <c r="Z74" t="str">
        <f>IF(Backend!AA101="", "", Backend!AA101)</f>
        <v/>
      </c>
      <c r="AA74" t="str">
        <f>IF(Backend!AB101="", "", Backend!AB101)</f>
        <v/>
      </c>
      <c r="AB74" t="str">
        <f>IF(Backend!AC101="", "", Backend!AC101)</f>
        <v/>
      </c>
      <c r="AC74" t="str">
        <f>IF(Backend!AD101="", "", Backend!AD101)</f>
        <v/>
      </c>
      <c r="AD74" t="str">
        <f>IF(Backend!AE101="", "", Backend!AE101)</f>
        <v/>
      </c>
      <c r="AE74" t="str">
        <f>IF(Backend!AF101="", "", Backend!AF101)</f>
        <v/>
      </c>
      <c r="AF74" t="str">
        <f>IF(Backend!AG101="", "", Backend!AG101)</f>
        <v/>
      </c>
      <c r="AG74" t="str">
        <f>IF(Backend!AH101="", "", Backend!AH101)</f>
        <v/>
      </c>
      <c r="AH74" t="str">
        <f>IF(Backend!AI101="", "", Backend!AI101)</f>
        <v/>
      </c>
      <c r="AI74" t="str">
        <f>IF(Backend!AJ101="", "", Backend!AJ101)</f>
        <v/>
      </c>
      <c r="AJ74" t="str">
        <f>IF(Backend!AK101="", "", Backend!AK101)</f>
        <v/>
      </c>
      <c r="AK74" t="str">
        <f>IF(Backend!AL101="", "", Backend!AL101)</f>
        <v/>
      </c>
      <c r="AL74" t="str">
        <f>IF(Backend!AM101="", "", Backend!AM101)</f>
        <v/>
      </c>
      <c r="AM74" t="str">
        <f>IF(Backend!AN101="", "", Backend!AN101)</f>
        <v/>
      </c>
      <c r="AN74" t="str">
        <f>IF(Backend!AO101="", "", Backend!AO101)</f>
        <v/>
      </c>
      <c r="AO74" t="str">
        <f>IF(Backend!AP101="", "", Backend!AP101)</f>
        <v/>
      </c>
      <c r="AP74" t="str">
        <f>IF(Backend!AQ101="", "", Backend!AQ101)</f>
        <v/>
      </c>
      <c r="AQ74" t="str">
        <f>IF(Backend!AR101="", "", Backend!AR101)</f>
        <v/>
      </c>
      <c r="AR74" t="str">
        <f>IF(Backend!AS101="", "", Backend!AS101)</f>
        <v/>
      </c>
      <c r="AS74" t="str">
        <f>IF(Backend!AT101="", "", Backend!AT101)</f>
        <v/>
      </c>
      <c r="AT74" t="str">
        <f>IF(Backend!AU101="", "", Backend!AU101)</f>
        <v/>
      </c>
      <c r="AU74" t="str">
        <f>IF(Backend!AV101="", "", Backend!AV101)</f>
        <v/>
      </c>
      <c r="AV74" t="str">
        <f>IF(Backend!AW101="", "", Backend!AW101)</f>
        <v/>
      </c>
      <c r="AW74" t="str">
        <f>IF(Backend!AX101="", "", Backend!AX101)</f>
        <v/>
      </c>
      <c r="AX74" t="str">
        <f>IF(Backend!AY101="", "", Backend!AY101)</f>
        <v/>
      </c>
      <c r="AY74" t="str">
        <f>IF(Backend!AZ101="", "", Backend!AZ101)</f>
        <v/>
      </c>
      <c r="AZ74" t="str">
        <f>IF(Backend!BA101="", "", Backend!BA101)</f>
        <v/>
      </c>
      <c r="BA74" t="str">
        <f>IF(Backend!BB101="", "", Backend!BB101)</f>
        <v/>
      </c>
      <c r="BB74" t="str">
        <f>IF(Backend!BC101="", "", Backend!BC101)</f>
        <v/>
      </c>
      <c r="BC74" t="str">
        <f>IF(Backend!BD101="", "", Backend!BD101)</f>
        <v/>
      </c>
      <c r="BD74" t="str">
        <f>IF(Backend!BE101="", "", Backend!BE101)</f>
        <v/>
      </c>
      <c r="BE74" t="str">
        <f>IF(Backend!BF101="", "", Backend!BF101)</f>
        <v/>
      </c>
      <c r="BF74" t="str">
        <f>IF(Backend!BG101="", "", Backend!BG101)</f>
        <v/>
      </c>
      <c r="BG74" t="str">
        <f>IF(Backend!BH101="", "", Backend!BH101)</f>
        <v/>
      </c>
      <c r="BH74" t="str">
        <f>IF(Backend!BI101="", "", Backend!BI101)</f>
        <v/>
      </c>
      <c r="BI74" t="str">
        <f>IF(Backend!BJ101="", "", Backend!BJ101)</f>
        <v/>
      </c>
      <c r="BJ74" t="str">
        <f>IF(Backend!BK101="", "", Backend!BK101)</f>
        <v/>
      </c>
      <c r="BK74" t="str">
        <f>IF(Backend!BL101="", "", Backend!BL101)</f>
        <v/>
      </c>
      <c r="BL74" t="str">
        <f>IF(Backend!BM101="", "", Backend!BM101)</f>
        <v/>
      </c>
      <c r="BM74" t="str">
        <f>IF(Backend!BN101="", "", Backend!BN101)</f>
        <v/>
      </c>
      <c r="BN74" t="str">
        <f>IF(Backend!BO101="", "", Backend!BO101)</f>
        <v/>
      </c>
      <c r="BO74" t="str">
        <f>IF(Backend!BP101="", "", Backend!BP101)</f>
        <v/>
      </c>
      <c r="BP74" t="str">
        <f>IF(Backend!BQ101="", "", Backend!BQ101)</f>
        <v/>
      </c>
      <c r="BQ74" t="str">
        <f>IF(Backend!BR101="", "", Backend!BR101)</f>
        <v/>
      </c>
      <c r="BR74" t="str">
        <f>IF(Backend!BS101="", "", Backend!BS101)</f>
        <v/>
      </c>
      <c r="BS74" t="str">
        <f>IF(Backend!BT101="", "", Backend!BT101)</f>
        <v/>
      </c>
      <c r="BT74" t="str">
        <f>IF(Backend!BU101="", "", Backend!BU101)</f>
        <v/>
      </c>
      <c r="BU74" t="str">
        <f>IF(Backend!BV101="", "", Backend!BV101)</f>
        <v/>
      </c>
      <c r="BV74" t="str">
        <f>IF(Backend!BW101="", "", Backend!BW101)</f>
        <v/>
      </c>
      <c r="BW74" t="str">
        <f>IF(Backend!BX101="", "", Backend!BX101)</f>
        <v/>
      </c>
      <c r="BX74" t="str">
        <f>IF(Backend!BY101="", "", Backend!BY101)</f>
        <v/>
      </c>
      <c r="BY74" t="str">
        <f>IF(Backend!BZ101="", "", Backend!BZ101)</f>
        <v/>
      </c>
      <c r="BZ74" t="str">
        <f>IF(Backend!CA101="", "", Backend!CA101)</f>
        <v/>
      </c>
      <c r="CA74" t="str">
        <f>IF(Backend!CB101="", "", Backend!CB101)</f>
        <v/>
      </c>
      <c r="CB74" t="str">
        <f>IF(Backend!CC101="", "", Backend!CC101)</f>
        <v/>
      </c>
      <c r="CC74" t="str">
        <f>IF(Backend!CD101="", "", Backend!CD101)</f>
        <v/>
      </c>
    </row>
    <row r="75" spans="1:81" x14ac:dyDescent="0.25">
      <c r="A75" s="4" t="str">
        <f>IF(Backend!A102="", "", Backend!A102)</f>
        <v/>
      </c>
      <c r="B75" t="str">
        <f>IF(Backend!C102="", "", Backend!C102)</f>
        <v/>
      </c>
      <c r="C75" t="str">
        <f>IF(Backend!D102="", "", Backend!D102)</f>
        <v/>
      </c>
      <c r="D75" t="str">
        <f>IF(Backend!E102="", "", Backend!E102)</f>
        <v/>
      </c>
      <c r="E75" t="str">
        <f>IF(Backend!F102="", "", Backend!F102)</f>
        <v/>
      </c>
      <c r="F75" t="str">
        <f>IF(Backend!G102="", "", Backend!G102)</f>
        <v/>
      </c>
      <c r="G75" t="str">
        <f>IF(Backend!H102="", "", Backend!H102)</f>
        <v/>
      </c>
      <c r="H75" t="str">
        <f>IF(Backend!I102="", "", Backend!I102)</f>
        <v/>
      </c>
      <c r="I75" t="str">
        <f>IF(Backend!J102="", "", Backend!J102)</f>
        <v/>
      </c>
      <c r="J75" t="str">
        <f>IF(Backend!K102="", "", Backend!K102)</f>
        <v/>
      </c>
      <c r="K75" t="str">
        <f>IF(Backend!L102="", "", Backend!L102)</f>
        <v/>
      </c>
      <c r="L75" t="str">
        <f>IF(Backend!M102="", "", Backend!M102)</f>
        <v/>
      </c>
      <c r="M75" t="str">
        <f>IF(Backend!N102="", "", Backend!N102)</f>
        <v/>
      </c>
      <c r="N75" t="str">
        <f>IF(Backend!O102="", "", Backend!O102)</f>
        <v/>
      </c>
      <c r="O75" t="str">
        <f>IF(Backend!P102="", "", Backend!P102)</f>
        <v/>
      </c>
      <c r="P75" t="str">
        <f>IF(Backend!Q102="", "", Backend!Q102)</f>
        <v/>
      </c>
      <c r="Q75" t="str">
        <f>IF(Backend!R102="", "", Backend!R102)</f>
        <v/>
      </c>
      <c r="R75" t="str">
        <f>IF(Backend!S102="", "", Backend!S102)</f>
        <v/>
      </c>
      <c r="S75" t="str">
        <f>IF(Backend!T102="", "", Backend!T102)</f>
        <v/>
      </c>
      <c r="T75" t="str">
        <f>IF(Backend!U102="", "", Backend!U102)</f>
        <v/>
      </c>
      <c r="U75" t="str">
        <f>IF(Backend!V102="", "", Backend!V102)</f>
        <v/>
      </c>
      <c r="V75" t="str">
        <f>IF(Backend!W102="", "", Backend!W102)</f>
        <v/>
      </c>
      <c r="W75" t="str">
        <f>IF(Backend!X102="", "", Backend!X102)</f>
        <v/>
      </c>
      <c r="X75" t="str">
        <f>IF(Backend!Y102="", "", Backend!Y102)</f>
        <v/>
      </c>
      <c r="Y75" t="str">
        <f>IF(Backend!Z102="", "", Backend!Z102)</f>
        <v/>
      </c>
      <c r="Z75" t="str">
        <f>IF(Backend!AA102="", "", Backend!AA102)</f>
        <v/>
      </c>
      <c r="AA75" t="str">
        <f>IF(Backend!AB102="", "", Backend!AB102)</f>
        <v/>
      </c>
      <c r="AB75" t="str">
        <f>IF(Backend!AC102="", "", Backend!AC102)</f>
        <v/>
      </c>
      <c r="AC75" t="str">
        <f>IF(Backend!AD102="", "", Backend!AD102)</f>
        <v/>
      </c>
      <c r="AD75" t="str">
        <f>IF(Backend!AE102="", "", Backend!AE102)</f>
        <v/>
      </c>
      <c r="AE75" t="str">
        <f>IF(Backend!AF102="", "", Backend!AF102)</f>
        <v/>
      </c>
      <c r="AF75" t="str">
        <f>IF(Backend!AG102="", "", Backend!AG102)</f>
        <v/>
      </c>
      <c r="AG75" t="str">
        <f>IF(Backend!AH102="", "", Backend!AH102)</f>
        <v/>
      </c>
      <c r="AH75" t="str">
        <f>IF(Backend!AI102="", "", Backend!AI102)</f>
        <v/>
      </c>
      <c r="AI75" t="str">
        <f>IF(Backend!AJ102="", "", Backend!AJ102)</f>
        <v/>
      </c>
      <c r="AJ75" t="str">
        <f>IF(Backend!AK102="", "", Backend!AK102)</f>
        <v/>
      </c>
      <c r="AK75" t="str">
        <f>IF(Backend!AL102="", "", Backend!AL102)</f>
        <v/>
      </c>
      <c r="AL75" t="str">
        <f>IF(Backend!AM102="", "", Backend!AM102)</f>
        <v/>
      </c>
      <c r="AM75" t="str">
        <f>IF(Backend!AN102="", "", Backend!AN102)</f>
        <v/>
      </c>
      <c r="AN75" t="str">
        <f>IF(Backend!AO102="", "", Backend!AO102)</f>
        <v/>
      </c>
      <c r="AO75" t="str">
        <f>IF(Backend!AP102="", "", Backend!AP102)</f>
        <v/>
      </c>
      <c r="AP75" t="str">
        <f>IF(Backend!AQ102="", "", Backend!AQ102)</f>
        <v/>
      </c>
      <c r="AQ75" t="str">
        <f>IF(Backend!AR102="", "", Backend!AR102)</f>
        <v/>
      </c>
      <c r="AR75" t="str">
        <f>IF(Backend!AS102="", "", Backend!AS102)</f>
        <v/>
      </c>
      <c r="AS75" t="str">
        <f>IF(Backend!AT102="", "", Backend!AT102)</f>
        <v/>
      </c>
      <c r="AT75" t="str">
        <f>IF(Backend!AU102="", "", Backend!AU102)</f>
        <v/>
      </c>
      <c r="AU75" t="str">
        <f>IF(Backend!AV102="", "", Backend!AV102)</f>
        <v/>
      </c>
      <c r="AV75" t="str">
        <f>IF(Backend!AW102="", "", Backend!AW102)</f>
        <v/>
      </c>
      <c r="AW75" t="str">
        <f>IF(Backend!AX102="", "", Backend!AX102)</f>
        <v/>
      </c>
      <c r="AX75" t="str">
        <f>IF(Backend!AY102="", "", Backend!AY102)</f>
        <v/>
      </c>
      <c r="AY75" t="str">
        <f>IF(Backend!AZ102="", "", Backend!AZ102)</f>
        <v/>
      </c>
      <c r="AZ75" t="str">
        <f>IF(Backend!BA102="", "", Backend!BA102)</f>
        <v/>
      </c>
      <c r="BA75" t="str">
        <f>IF(Backend!BB102="", "", Backend!BB102)</f>
        <v/>
      </c>
      <c r="BB75" t="str">
        <f>IF(Backend!BC102="", "", Backend!BC102)</f>
        <v/>
      </c>
      <c r="BC75" t="str">
        <f>IF(Backend!BD102="", "", Backend!BD102)</f>
        <v/>
      </c>
      <c r="BD75" t="str">
        <f>IF(Backend!BE102="", "", Backend!BE102)</f>
        <v/>
      </c>
      <c r="BE75" t="str">
        <f>IF(Backend!BF102="", "", Backend!BF102)</f>
        <v/>
      </c>
      <c r="BF75" t="str">
        <f>IF(Backend!BG102="", "", Backend!BG102)</f>
        <v/>
      </c>
      <c r="BG75" t="str">
        <f>IF(Backend!BH102="", "", Backend!BH102)</f>
        <v/>
      </c>
      <c r="BH75" t="str">
        <f>IF(Backend!BI102="", "", Backend!BI102)</f>
        <v/>
      </c>
      <c r="BI75" t="str">
        <f>IF(Backend!BJ102="", "", Backend!BJ102)</f>
        <v/>
      </c>
      <c r="BJ75" t="str">
        <f>IF(Backend!BK102="", "", Backend!BK102)</f>
        <v/>
      </c>
      <c r="BK75" t="str">
        <f>IF(Backend!BL102="", "", Backend!BL102)</f>
        <v/>
      </c>
      <c r="BL75" t="str">
        <f>IF(Backend!BM102="", "", Backend!BM102)</f>
        <v/>
      </c>
      <c r="BM75" t="str">
        <f>IF(Backend!BN102="", "", Backend!BN102)</f>
        <v/>
      </c>
      <c r="BN75" t="str">
        <f>IF(Backend!BO102="", "", Backend!BO102)</f>
        <v/>
      </c>
      <c r="BO75" t="str">
        <f>IF(Backend!BP102="", "", Backend!BP102)</f>
        <v/>
      </c>
      <c r="BP75" t="str">
        <f>IF(Backend!BQ102="", "", Backend!BQ102)</f>
        <v/>
      </c>
      <c r="BQ75" t="str">
        <f>IF(Backend!BR102="", "", Backend!BR102)</f>
        <v/>
      </c>
      <c r="BR75" t="str">
        <f>IF(Backend!BS102="", "", Backend!BS102)</f>
        <v/>
      </c>
      <c r="BS75" t="str">
        <f>IF(Backend!BT102="", "", Backend!BT102)</f>
        <v/>
      </c>
      <c r="BT75" t="str">
        <f>IF(Backend!BU102="", "", Backend!BU102)</f>
        <v/>
      </c>
      <c r="BU75" t="str">
        <f>IF(Backend!BV102="", "", Backend!BV102)</f>
        <v/>
      </c>
      <c r="BV75" t="str">
        <f>IF(Backend!BW102="", "", Backend!BW102)</f>
        <v/>
      </c>
      <c r="BW75" t="str">
        <f>IF(Backend!BX102="", "", Backend!BX102)</f>
        <v/>
      </c>
      <c r="BX75" t="str">
        <f>IF(Backend!BY102="", "", Backend!BY102)</f>
        <v/>
      </c>
      <c r="BY75" t="str">
        <f>IF(Backend!BZ102="", "", Backend!BZ102)</f>
        <v/>
      </c>
      <c r="BZ75" t="str">
        <f>IF(Backend!CA102="", "", Backend!CA102)</f>
        <v/>
      </c>
      <c r="CA75" t="str">
        <f>IF(Backend!CB102="", "", Backend!CB102)</f>
        <v/>
      </c>
      <c r="CB75" t="str">
        <f>IF(Backend!CC102="", "", Backend!CC102)</f>
        <v/>
      </c>
      <c r="CC75" t="str">
        <f>IF(Backend!CD102="", "", Backend!CD102)</f>
        <v/>
      </c>
    </row>
    <row r="76" spans="1:81" x14ac:dyDescent="0.25">
      <c r="A76" s="4" t="str">
        <f>IF(Backend!A103="", "", Backend!A103)</f>
        <v/>
      </c>
      <c r="B76" t="str">
        <f>IF(Backend!C103="", "", Backend!C103)</f>
        <v/>
      </c>
      <c r="C76" t="str">
        <f>IF(Backend!D103="", "", Backend!D103)</f>
        <v/>
      </c>
      <c r="D76" t="str">
        <f>IF(Backend!E103="", "", Backend!E103)</f>
        <v/>
      </c>
      <c r="E76" t="str">
        <f>IF(Backend!F103="", "", Backend!F103)</f>
        <v/>
      </c>
      <c r="F76" t="str">
        <f>IF(Backend!G103="", "", Backend!G103)</f>
        <v/>
      </c>
      <c r="G76" t="str">
        <f>IF(Backend!H103="", "", Backend!H103)</f>
        <v/>
      </c>
      <c r="H76" t="str">
        <f>IF(Backend!I103="", "", Backend!I103)</f>
        <v/>
      </c>
      <c r="I76" t="str">
        <f>IF(Backend!J103="", "", Backend!J103)</f>
        <v/>
      </c>
      <c r="J76" t="str">
        <f>IF(Backend!K103="", "", Backend!K103)</f>
        <v/>
      </c>
      <c r="K76" t="str">
        <f>IF(Backend!L103="", "", Backend!L103)</f>
        <v/>
      </c>
      <c r="L76" t="str">
        <f>IF(Backend!M103="", "", Backend!M103)</f>
        <v/>
      </c>
      <c r="M76" t="str">
        <f>IF(Backend!N103="", "", Backend!N103)</f>
        <v/>
      </c>
      <c r="N76" t="str">
        <f>IF(Backend!O103="", "", Backend!O103)</f>
        <v/>
      </c>
      <c r="O76" t="str">
        <f>IF(Backend!P103="", "", Backend!P103)</f>
        <v/>
      </c>
      <c r="P76" t="str">
        <f>IF(Backend!Q103="", "", Backend!Q103)</f>
        <v/>
      </c>
      <c r="Q76" t="str">
        <f>IF(Backend!R103="", "", Backend!R103)</f>
        <v/>
      </c>
      <c r="R76" t="str">
        <f>IF(Backend!S103="", "", Backend!S103)</f>
        <v/>
      </c>
      <c r="S76" t="str">
        <f>IF(Backend!T103="", "", Backend!T103)</f>
        <v/>
      </c>
      <c r="T76" t="str">
        <f>IF(Backend!U103="", "", Backend!U103)</f>
        <v/>
      </c>
      <c r="U76" t="str">
        <f>IF(Backend!V103="", "", Backend!V103)</f>
        <v/>
      </c>
      <c r="V76" t="str">
        <f>IF(Backend!W103="", "", Backend!W103)</f>
        <v/>
      </c>
      <c r="W76" t="str">
        <f>IF(Backend!X103="", "", Backend!X103)</f>
        <v/>
      </c>
      <c r="X76" t="str">
        <f>IF(Backend!Y103="", "", Backend!Y103)</f>
        <v/>
      </c>
      <c r="Y76" t="str">
        <f>IF(Backend!Z103="", "", Backend!Z103)</f>
        <v/>
      </c>
      <c r="Z76" t="str">
        <f>IF(Backend!AA103="", "", Backend!AA103)</f>
        <v/>
      </c>
      <c r="AA76" t="str">
        <f>IF(Backend!AB103="", "", Backend!AB103)</f>
        <v/>
      </c>
      <c r="AB76" t="str">
        <f>IF(Backend!AC103="", "", Backend!AC103)</f>
        <v/>
      </c>
      <c r="AC76" t="str">
        <f>IF(Backend!AD103="", "", Backend!AD103)</f>
        <v/>
      </c>
      <c r="AD76" t="str">
        <f>IF(Backend!AE103="", "", Backend!AE103)</f>
        <v/>
      </c>
      <c r="AE76" t="str">
        <f>IF(Backend!AF103="", "", Backend!AF103)</f>
        <v/>
      </c>
      <c r="AF76" t="str">
        <f>IF(Backend!AG103="", "", Backend!AG103)</f>
        <v/>
      </c>
      <c r="AG76" t="str">
        <f>IF(Backend!AH103="", "", Backend!AH103)</f>
        <v/>
      </c>
      <c r="AH76" t="str">
        <f>IF(Backend!AI103="", "", Backend!AI103)</f>
        <v/>
      </c>
      <c r="AI76" t="str">
        <f>IF(Backend!AJ103="", "", Backend!AJ103)</f>
        <v/>
      </c>
      <c r="AJ76" t="str">
        <f>IF(Backend!AK103="", "", Backend!AK103)</f>
        <v/>
      </c>
      <c r="AK76" t="str">
        <f>IF(Backend!AL103="", "", Backend!AL103)</f>
        <v/>
      </c>
      <c r="AL76" t="str">
        <f>IF(Backend!AM103="", "", Backend!AM103)</f>
        <v/>
      </c>
      <c r="AM76" t="str">
        <f>IF(Backend!AN103="", "", Backend!AN103)</f>
        <v/>
      </c>
      <c r="AN76" t="str">
        <f>IF(Backend!AO103="", "", Backend!AO103)</f>
        <v/>
      </c>
      <c r="AO76" t="str">
        <f>IF(Backend!AP103="", "", Backend!AP103)</f>
        <v/>
      </c>
      <c r="AP76" t="str">
        <f>IF(Backend!AQ103="", "", Backend!AQ103)</f>
        <v/>
      </c>
      <c r="AQ76" t="str">
        <f>IF(Backend!AR103="", "", Backend!AR103)</f>
        <v/>
      </c>
      <c r="AR76" t="str">
        <f>IF(Backend!AS103="", "", Backend!AS103)</f>
        <v/>
      </c>
      <c r="AS76" t="str">
        <f>IF(Backend!AT103="", "", Backend!AT103)</f>
        <v/>
      </c>
      <c r="AT76" t="str">
        <f>IF(Backend!AU103="", "", Backend!AU103)</f>
        <v/>
      </c>
      <c r="AU76" t="str">
        <f>IF(Backend!AV103="", "", Backend!AV103)</f>
        <v/>
      </c>
      <c r="AV76" t="str">
        <f>IF(Backend!AW103="", "", Backend!AW103)</f>
        <v/>
      </c>
      <c r="AW76" t="str">
        <f>IF(Backend!AX103="", "", Backend!AX103)</f>
        <v/>
      </c>
      <c r="AX76" t="str">
        <f>IF(Backend!AY103="", "", Backend!AY103)</f>
        <v/>
      </c>
      <c r="AY76" t="str">
        <f>IF(Backend!AZ103="", "", Backend!AZ103)</f>
        <v/>
      </c>
      <c r="AZ76" t="str">
        <f>IF(Backend!BA103="", "", Backend!BA103)</f>
        <v/>
      </c>
      <c r="BA76" t="str">
        <f>IF(Backend!BB103="", "", Backend!BB103)</f>
        <v/>
      </c>
      <c r="BB76" t="str">
        <f>IF(Backend!BC103="", "", Backend!BC103)</f>
        <v/>
      </c>
      <c r="BC76" t="str">
        <f>IF(Backend!BD103="", "", Backend!BD103)</f>
        <v/>
      </c>
      <c r="BD76" t="str">
        <f>IF(Backend!BE103="", "", Backend!BE103)</f>
        <v/>
      </c>
      <c r="BE76" t="str">
        <f>IF(Backend!BF103="", "", Backend!BF103)</f>
        <v/>
      </c>
      <c r="BF76" t="str">
        <f>IF(Backend!BG103="", "", Backend!BG103)</f>
        <v/>
      </c>
      <c r="BG76" t="str">
        <f>IF(Backend!BH103="", "", Backend!BH103)</f>
        <v/>
      </c>
      <c r="BH76" t="str">
        <f>IF(Backend!BI103="", "", Backend!BI103)</f>
        <v/>
      </c>
      <c r="BI76" t="str">
        <f>IF(Backend!BJ103="", "", Backend!BJ103)</f>
        <v/>
      </c>
      <c r="BJ76" t="str">
        <f>IF(Backend!BK103="", "", Backend!BK103)</f>
        <v/>
      </c>
      <c r="BK76" t="str">
        <f>IF(Backend!BL103="", "", Backend!BL103)</f>
        <v/>
      </c>
      <c r="BL76" t="str">
        <f>IF(Backend!BM103="", "", Backend!BM103)</f>
        <v/>
      </c>
      <c r="BM76" t="str">
        <f>IF(Backend!BN103="", "", Backend!BN103)</f>
        <v/>
      </c>
      <c r="BN76" t="str">
        <f>IF(Backend!BO103="", "", Backend!BO103)</f>
        <v/>
      </c>
      <c r="BO76" t="str">
        <f>IF(Backend!BP103="", "", Backend!BP103)</f>
        <v/>
      </c>
      <c r="BP76" t="str">
        <f>IF(Backend!BQ103="", "", Backend!BQ103)</f>
        <v/>
      </c>
      <c r="BQ76" t="str">
        <f>IF(Backend!BR103="", "", Backend!BR103)</f>
        <v/>
      </c>
      <c r="BR76" t="str">
        <f>IF(Backend!BS103="", "", Backend!BS103)</f>
        <v/>
      </c>
      <c r="BS76" t="str">
        <f>IF(Backend!BT103="", "", Backend!BT103)</f>
        <v/>
      </c>
      <c r="BT76" t="str">
        <f>IF(Backend!BU103="", "", Backend!BU103)</f>
        <v/>
      </c>
      <c r="BU76" t="str">
        <f>IF(Backend!BV103="", "", Backend!BV103)</f>
        <v/>
      </c>
      <c r="BV76" t="str">
        <f>IF(Backend!BW103="", "", Backend!BW103)</f>
        <v/>
      </c>
      <c r="BW76" t="str">
        <f>IF(Backend!BX103="", "", Backend!BX103)</f>
        <v/>
      </c>
      <c r="BX76" t="str">
        <f>IF(Backend!BY103="", "", Backend!BY103)</f>
        <v/>
      </c>
      <c r="BY76" t="str">
        <f>IF(Backend!BZ103="", "", Backend!BZ103)</f>
        <v/>
      </c>
      <c r="BZ76" t="str">
        <f>IF(Backend!CA103="", "", Backend!CA103)</f>
        <v/>
      </c>
      <c r="CA76" t="str">
        <f>IF(Backend!CB103="", "", Backend!CB103)</f>
        <v/>
      </c>
      <c r="CB76" t="str">
        <f>IF(Backend!CC103="", "", Backend!CC103)</f>
        <v/>
      </c>
      <c r="CC76" t="str">
        <f>IF(Backend!CD103="", "", Backend!CD103)</f>
        <v/>
      </c>
    </row>
    <row r="77" spans="1:81" x14ac:dyDescent="0.25">
      <c r="A77" s="4" t="str">
        <f>IF(Backend!A104="", "", Backend!A104)</f>
        <v/>
      </c>
      <c r="B77" t="str">
        <f>IF(Backend!C104="", "", Backend!C104)</f>
        <v/>
      </c>
      <c r="C77" t="str">
        <f>IF(Backend!D104="", "", Backend!D104)</f>
        <v/>
      </c>
      <c r="D77" t="str">
        <f>IF(Backend!E104="", "", Backend!E104)</f>
        <v/>
      </c>
      <c r="E77" t="str">
        <f>IF(Backend!F104="", "", Backend!F104)</f>
        <v/>
      </c>
      <c r="F77" t="str">
        <f>IF(Backend!G104="", "", Backend!G104)</f>
        <v/>
      </c>
      <c r="G77" t="str">
        <f>IF(Backend!H104="", "", Backend!H104)</f>
        <v/>
      </c>
      <c r="H77" t="str">
        <f>IF(Backend!I104="", "", Backend!I104)</f>
        <v/>
      </c>
      <c r="I77" t="str">
        <f>IF(Backend!J104="", "", Backend!J104)</f>
        <v/>
      </c>
      <c r="J77" t="str">
        <f>IF(Backend!K104="", "", Backend!K104)</f>
        <v/>
      </c>
      <c r="K77" t="str">
        <f>IF(Backend!L104="", "", Backend!L104)</f>
        <v/>
      </c>
      <c r="L77" t="str">
        <f>IF(Backend!M104="", "", Backend!M104)</f>
        <v/>
      </c>
      <c r="M77" t="str">
        <f>IF(Backend!N104="", "", Backend!N104)</f>
        <v/>
      </c>
      <c r="N77" t="str">
        <f>IF(Backend!O104="", "", Backend!O104)</f>
        <v/>
      </c>
      <c r="O77" t="str">
        <f>IF(Backend!P104="", "", Backend!P104)</f>
        <v/>
      </c>
      <c r="P77" t="str">
        <f>IF(Backend!Q104="", "", Backend!Q104)</f>
        <v/>
      </c>
      <c r="Q77" t="str">
        <f>IF(Backend!R104="", "", Backend!R104)</f>
        <v/>
      </c>
      <c r="R77" t="str">
        <f>IF(Backend!S104="", "", Backend!S104)</f>
        <v/>
      </c>
      <c r="S77" t="str">
        <f>IF(Backend!T104="", "", Backend!T104)</f>
        <v/>
      </c>
      <c r="T77" t="str">
        <f>IF(Backend!U104="", "", Backend!U104)</f>
        <v/>
      </c>
      <c r="U77" t="str">
        <f>IF(Backend!V104="", "", Backend!V104)</f>
        <v/>
      </c>
      <c r="V77" t="str">
        <f>IF(Backend!W104="", "", Backend!W104)</f>
        <v/>
      </c>
      <c r="W77" t="str">
        <f>IF(Backend!X104="", "", Backend!X104)</f>
        <v/>
      </c>
      <c r="X77" t="str">
        <f>IF(Backend!Y104="", "", Backend!Y104)</f>
        <v/>
      </c>
      <c r="Y77" t="str">
        <f>IF(Backend!Z104="", "", Backend!Z104)</f>
        <v/>
      </c>
      <c r="Z77" t="str">
        <f>IF(Backend!AA104="", "", Backend!AA104)</f>
        <v/>
      </c>
      <c r="AA77" t="str">
        <f>IF(Backend!AB104="", "", Backend!AB104)</f>
        <v/>
      </c>
      <c r="AB77" t="str">
        <f>IF(Backend!AC104="", "", Backend!AC104)</f>
        <v/>
      </c>
      <c r="AC77" t="str">
        <f>IF(Backend!AD104="", "", Backend!AD104)</f>
        <v/>
      </c>
      <c r="AD77" t="str">
        <f>IF(Backend!AE104="", "", Backend!AE104)</f>
        <v/>
      </c>
      <c r="AE77" t="str">
        <f>IF(Backend!AF104="", "", Backend!AF104)</f>
        <v/>
      </c>
      <c r="AF77" t="str">
        <f>IF(Backend!AG104="", "", Backend!AG104)</f>
        <v/>
      </c>
      <c r="AG77" t="str">
        <f>IF(Backend!AH104="", "", Backend!AH104)</f>
        <v/>
      </c>
      <c r="AH77" t="str">
        <f>IF(Backend!AI104="", "", Backend!AI104)</f>
        <v/>
      </c>
      <c r="AI77" t="str">
        <f>IF(Backend!AJ104="", "", Backend!AJ104)</f>
        <v/>
      </c>
      <c r="AJ77" t="str">
        <f>IF(Backend!AK104="", "", Backend!AK104)</f>
        <v/>
      </c>
      <c r="AK77" t="str">
        <f>IF(Backend!AL104="", "", Backend!AL104)</f>
        <v/>
      </c>
      <c r="AL77" t="str">
        <f>IF(Backend!AM104="", "", Backend!AM104)</f>
        <v/>
      </c>
      <c r="AM77" t="str">
        <f>IF(Backend!AN104="", "", Backend!AN104)</f>
        <v/>
      </c>
      <c r="AN77" t="str">
        <f>IF(Backend!AO104="", "", Backend!AO104)</f>
        <v/>
      </c>
      <c r="AO77" t="str">
        <f>IF(Backend!AP104="", "", Backend!AP104)</f>
        <v/>
      </c>
      <c r="AP77" t="str">
        <f>IF(Backend!AQ104="", "", Backend!AQ104)</f>
        <v/>
      </c>
      <c r="AQ77" t="str">
        <f>IF(Backend!AR104="", "", Backend!AR104)</f>
        <v/>
      </c>
      <c r="AR77" t="str">
        <f>IF(Backend!AS104="", "", Backend!AS104)</f>
        <v/>
      </c>
      <c r="AS77" t="str">
        <f>IF(Backend!AT104="", "", Backend!AT104)</f>
        <v/>
      </c>
      <c r="AT77" t="str">
        <f>IF(Backend!AU104="", "", Backend!AU104)</f>
        <v/>
      </c>
      <c r="AU77" t="str">
        <f>IF(Backend!AV104="", "", Backend!AV104)</f>
        <v/>
      </c>
      <c r="AV77" t="str">
        <f>IF(Backend!AW104="", "", Backend!AW104)</f>
        <v/>
      </c>
      <c r="AW77" t="str">
        <f>IF(Backend!AX104="", "", Backend!AX104)</f>
        <v/>
      </c>
      <c r="AX77" t="str">
        <f>IF(Backend!AY104="", "", Backend!AY104)</f>
        <v/>
      </c>
      <c r="AY77" t="str">
        <f>IF(Backend!AZ104="", "", Backend!AZ104)</f>
        <v/>
      </c>
      <c r="AZ77" t="str">
        <f>IF(Backend!BA104="", "", Backend!BA104)</f>
        <v/>
      </c>
      <c r="BA77" t="str">
        <f>IF(Backend!BB104="", "", Backend!BB104)</f>
        <v/>
      </c>
      <c r="BB77" t="str">
        <f>IF(Backend!BC104="", "", Backend!BC104)</f>
        <v/>
      </c>
      <c r="BC77" t="str">
        <f>IF(Backend!BD104="", "", Backend!BD104)</f>
        <v/>
      </c>
      <c r="BD77" t="str">
        <f>IF(Backend!BE104="", "", Backend!BE104)</f>
        <v/>
      </c>
      <c r="BE77" t="str">
        <f>IF(Backend!BF104="", "", Backend!BF104)</f>
        <v/>
      </c>
      <c r="BF77" t="str">
        <f>IF(Backend!BG104="", "", Backend!BG104)</f>
        <v/>
      </c>
      <c r="BG77" t="str">
        <f>IF(Backend!BH104="", "", Backend!BH104)</f>
        <v/>
      </c>
      <c r="BH77" t="str">
        <f>IF(Backend!BI104="", "", Backend!BI104)</f>
        <v/>
      </c>
      <c r="BI77" t="str">
        <f>IF(Backend!BJ104="", "", Backend!BJ104)</f>
        <v/>
      </c>
      <c r="BJ77" t="str">
        <f>IF(Backend!BK104="", "", Backend!BK104)</f>
        <v/>
      </c>
      <c r="BK77" t="str">
        <f>IF(Backend!BL104="", "", Backend!BL104)</f>
        <v/>
      </c>
      <c r="BL77" t="str">
        <f>IF(Backend!BM104="", "", Backend!BM104)</f>
        <v/>
      </c>
      <c r="BM77" t="str">
        <f>IF(Backend!BN104="", "", Backend!BN104)</f>
        <v/>
      </c>
      <c r="BN77" t="str">
        <f>IF(Backend!BO104="", "", Backend!BO104)</f>
        <v/>
      </c>
      <c r="BO77" t="str">
        <f>IF(Backend!BP104="", "", Backend!BP104)</f>
        <v/>
      </c>
      <c r="BP77" t="str">
        <f>IF(Backend!BQ104="", "", Backend!BQ104)</f>
        <v/>
      </c>
      <c r="BQ77" t="str">
        <f>IF(Backend!BR104="", "", Backend!BR104)</f>
        <v/>
      </c>
      <c r="BR77" t="str">
        <f>IF(Backend!BS104="", "", Backend!BS104)</f>
        <v/>
      </c>
      <c r="BS77" t="str">
        <f>IF(Backend!BT104="", "", Backend!BT104)</f>
        <v/>
      </c>
      <c r="BT77" t="str">
        <f>IF(Backend!BU104="", "", Backend!BU104)</f>
        <v/>
      </c>
      <c r="BU77" t="str">
        <f>IF(Backend!BV104="", "", Backend!BV104)</f>
        <v/>
      </c>
      <c r="BV77" t="str">
        <f>IF(Backend!BW104="", "", Backend!BW104)</f>
        <v/>
      </c>
      <c r="BW77" t="str">
        <f>IF(Backend!BX104="", "", Backend!BX104)</f>
        <v/>
      </c>
      <c r="BX77" t="str">
        <f>IF(Backend!BY104="", "", Backend!BY104)</f>
        <v/>
      </c>
      <c r="BY77" t="str">
        <f>IF(Backend!BZ104="", "", Backend!BZ104)</f>
        <v/>
      </c>
      <c r="BZ77" t="str">
        <f>IF(Backend!CA104="", "", Backend!CA104)</f>
        <v/>
      </c>
      <c r="CA77" t="str">
        <f>IF(Backend!CB104="", "", Backend!CB104)</f>
        <v/>
      </c>
      <c r="CB77" t="str">
        <f>IF(Backend!CC104="", "", Backend!CC104)</f>
        <v/>
      </c>
      <c r="CC77" t="str">
        <f>IF(Backend!CD104="", "", Backend!CD104)</f>
        <v/>
      </c>
    </row>
    <row r="78" spans="1:81" x14ac:dyDescent="0.25">
      <c r="A78" s="4" t="str">
        <f>IF(Backend!A105="", "", Backend!A105)</f>
        <v/>
      </c>
      <c r="B78" t="str">
        <f>IF(Backend!C105="", "", Backend!C105)</f>
        <v/>
      </c>
      <c r="C78" t="str">
        <f>IF(Backend!D105="", "", Backend!D105)</f>
        <v/>
      </c>
      <c r="D78" t="str">
        <f>IF(Backend!E105="", "", Backend!E105)</f>
        <v/>
      </c>
      <c r="E78" t="str">
        <f>IF(Backend!F105="", "", Backend!F105)</f>
        <v/>
      </c>
      <c r="F78" t="str">
        <f>IF(Backend!G105="", "", Backend!G105)</f>
        <v/>
      </c>
      <c r="G78" t="str">
        <f>IF(Backend!H105="", "", Backend!H105)</f>
        <v/>
      </c>
      <c r="H78" t="str">
        <f>IF(Backend!I105="", "", Backend!I105)</f>
        <v/>
      </c>
      <c r="I78" t="str">
        <f>IF(Backend!J105="", "", Backend!J105)</f>
        <v/>
      </c>
      <c r="J78" t="str">
        <f>IF(Backend!K105="", "", Backend!K105)</f>
        <v/>
      </c>
      <c r="K78" t="str">
        <f>IF(Backend!L105="", "", Backend!L105)</f>
        <v/>
      </c>
      <c r="L78" t="str">
        <f>IF(Backend!M105="", "", Backend!M105)</f>
        <v/>
      </c>
      <c r="M78" t="str">
        <f>IF(Backend!N105="", "", Backend!N105)</f>
        <v/>
      </c>
      <c r="N78" t="str">
        <f>IF(Backend!O105="", "", Backend!O105)</f>
        <v/>
      </c>
      <c r="O78" t="str">
        <f>IF(Backend!P105="", "", Backend!P105)</f>
        <v/>
      </c>
      <c r="P78" t="str">
        <f>IF(Backend!Q105="", "", Backend!Q105)</f>
        <v/>
      </c>
      <c r="Q78" t="str">
        <f>IF(Backend!R105="", "", Backend!R105)</f>
        <v/>
      </c>
      <c r="R78" t="str">
        <f>IF(Backend!S105="", "", Backend!S105)</f>
        <v/>
      </c>
      <c r="S78" t="str">
        <f>IF(Backend!T105="", "", Backend!T105)</f>
        <v/>
      </c>
      <c r="T78" t="str">
        <f>IF(Backend!U105="", "", Backend!U105)</f>
        <v/>
      </c>
      <c r="U78" t="str">
        <f>IF(Backend!V105="", "", Backend!V105)</f>
        <v/>
      </c>
      <c r="V78" t="str">
        <f>IF(Backend!W105="", "", Backend!W105)</f>
        <v/>
      </c>
      <c r="W78" t="str">
        <f>IF(Backend!X105="", "", Backend!X105)</f>
        <v/>
      </c>
      <c r="X78" t="str">
        <f>IF(Backend!Y105="", "", Backend!Y105)</f>
        <v/>
      </c>
      <c r="Y78" t="str">
        <f>IF(Backend!Z105="", "", Backend!Z105)</f>
        <v/>
      </c>
      <c r="Z78" t="str">
        <f>IF(Backend!AA105="", "", Backend!AA105)</f>
        <v/>
      </c>
      <c r="AA78" t="str">
        <f>IF(Backend!AB105="", "", Backend!AB105)</f>
        <v/>
      </c>
      <c r="AB78" t="str">
        <f>IF(Backend!AC105="", "", Backend!AC105)</f>
        <v/>
      </c>
      <c r="AC78" t="str">
        <f>IF(Backend!AD105="", "", Backend!AD105)</f>
        <v/>
      </c>
      <c r="AD78" t="str">
        <f>IF(Backend!AE105="", "", Backend!AE105)</f>
        <v/>
      </c>
      <c r="AE78" t="str">
        <f>IF(Backend!AF105="", "", Backend!AF105)</f>
        <v/>
      </c>
      <c r="AF78" t="str">
        <f>IF(Backend!AG105="", "", Backend!AG105)</f>
        <v/>
      </c>
      <c r="AG78" t="str">
        <f>IF(Backend!AH105="", "", Backend!AH105)</f>
        <v/>
      </c>
      <c r="AH78" t="str">
        <f>IF(Backend!AI105="", "", Backend!AI105)</f>
        <v/>
      </c>
      <c r="AI78" t="str">
        <f>IF(Backend!AJ105="", "", Backend!AJ105)</f>
        <v/>
      </c>
      <c r="AJ78" t="str">
        <f>IF(Backend!AK105="", "", Backend!AK105)</f>
        <v/>
      </c>
      <c r="AK78" t="str">
        <f>IF(Backend!AL105="", "", Backend!AL105)</f>
        <v/>
      </c>
      <c r="AL78" t="str">
        <f>IF(Backend!AM105="", "", Backend!AM105)</f>
        <v/>
      </c>
      <c r="AM78" t="str">
        <f>IF(Backend!AN105="", "", Backend!AN105)</f>
        <v/>
      </c>
      <c r="AN78" t="str">
        <f>IF(Backend!AO105="", "", Backend!AO105)</f>
        <v/>
      </c>
      <c r="AO78" t="str">
        <f>IF(Backend!AP105="", "", Backend!AP105)</f>
        <v/>
      </c>
      <c r="AP78" t="str">
        <f>IF(Backend!AQ105="", "", Backend!AQ105)</f>
        <v/>
      </c>
      <c r="AQ78" t="str">
        <f>IF(Backend!AR105="", "", Backend!AR105)</f>
        <v/>
      </c>
      <c r="AR78" t="str">
        <f>IF(Backend!AS105="", "", Backend!AS105)</f>
        <v/>
      </c>
      <c r="AS78" t="str">
        <f>IF(Backend!AT105="", "", Backend!AT105)</f>
        <v/>
      </c>
      <c r="AT78" t="str">
        <f>IF(Backend!AU105="", "", Backend!AU105)</f>
        <v/>
      </c>
      <c r="AU78" t="str">
        <f>IF(Backend!AV105="", "", Backend!AV105)</f>
        <v/>
      </c>
      <c r="AV78" t="str">
        <f>IF(Backend!AW105="", "", Backend!AW105)</f>
        <v/>
      </c>
      <c r="AW78" t="str">
        <f>IF(Backend!AX105="", "", Backend!AX105)</f>
        <v/>
      </c>
      <c r="AX78" t="str">
        <f>IF(Backend!AY105="", "", Backend!AY105)</f>
        <v/>
      </c>
      <c r="AY78" t="str">
        <f>IF(Backend!AZ105="", "", Backend!AZ105)</f>
        <v/>
      </c>
      <c r="AZ78" t="str">
        <f>IF(Backend!BA105="", "", Backend!BA105)</f>
        <v/>
      </c>
      <c r="BA78" t="str">
        <f>IF(Backend!BB105="", "", Backend!BB105)</f>
        <v/>
      </c>
      <c r="BB78" t="str">
        <f>IF(Backend!BC105="", "", Backend!BC105)</f>
        <v/>
      </c>
      <c r="BC78" t="str">
        <f>IF(Backend!BD105="", "", Backend!BD105)</f>
        <v/>
      </c>
      <c r="BD78" t="str">
        <f>IF(Backend!BE105="", "", Backend!BE105)</f>
        <v/>
      </c>
      <c r="BE78" t="str">
        <f>IF(Backend!BF105="", "", Backend!BF105)</f>
        <v/>
      </c>
      <c r="BF78" t="str">
        <f>IF(Backend!BG105="", "", Backend!BG105)</f>
        <v/>
      </c>
      <c r="BG78" t="str">
        <f>IF(Backend!BH105="", "", Backend!BH105)</f>
        <v/>
      </c>
      <c r="BH78" t="str">
        <f>IF(Backend!BI105="", "", Backend!BI105)</f>
        <v/>
      </c>
      <c r="BI78" t="str">
        <f>IF(Backend!BJ105="", "", Backend!BJ105)</f>
        <v/>
      </c>
      <c r="BJ78" t="str">
        <f>IF(Backend!BK105="", "", Backend!BK105)</f>
        <v/>
      </c>
      <c r="BK78" t="str">
        <f>IF(Backend!BL105="", "", Backend!BL105)</f>
        <v/>
      </c>
      <c r="BL78" t="str">
        <f>IF(Backend!BM105="", "", Backend!BM105)</f>
        <v/>
      </c>
      <c r="BM78" t="str">
        <f>IF(Backend!BN105="", "", Backend!BN105)</f>
        <v/>
      </c>
      <c r="BN78" t="str">
        <f>IF(Backend!BO105="", "", Backend!BO105)</f>
        <v/>
      </c>
      <c r="BO78" t="str">
        <f>IF(Backend!BP105="", "", Backend!BP105)</f>
        <v/>
      </c>
      <c r="BP78" t="str">
        <f>IF(Backend!BQ105="", "", Backend!BQ105)</f>
        <v/>
      </c>
      <c r="BQ78" t="str">
        <f>IF(Backend!BR105="", "", Backend!BR105)</f>
        <v/>
      </c>
      <c r="BR78" t="str">
        <f>IF(Backend!BS105="", "", Backend!BS105)</f>
        <v/>
      </c>
      <c r="BS78" t="str">
        <f>IF(Backend!BT105="", "", Backend!BT105)</f>
        <v/>
      </c>
      <c r="BT78" t="str">
        <f>IF(Backend!BU105="", "", Backend!BU105)</f>
        <v/>
      </c>
      <c r="BU78" t="str">
        <f>IF(Backend!BV105="", "", Backend!BV105)</f>
        <v/>
      </c>
      <c r="BV78" t="str">
        <f>IF(Backend!BW105="", "", Backend!BW105)</f>
        <v/>
      </c>
      <c r="BW78" t="str">
        <f>IF(Backend!BX105="", "", Backend!BX105)</f>
        <v/>
      </c>
      <c r="BX78" t="str">
        <f>IF(Backend!BY105="", "", Backend!BY105)</f>
        <v/>
      </c>
      <c r="BY78" t="str">
        <f>IF(Backend!BZ105="", "", Backend!BZ105)</f>
        <v/>
      </c>
      <c r="BZ78" t="str">
        <f>IF(Backend!CA105="", "", Backend!CA105)</f>
        <v/>
      </c>
      <c r="CA78" t="str">
        <f>IF(Backend!CB105="", "", Backend!CB105)</f>
        <v/>
      </c>
      <c r="CB78" t="str">
        <f>IF(Backend!CC105="", "", Backend!CC105)</f>
        <v/>
      </c>
      <c r="CC78" t="str">
        <f>IF(Backend!CD105="", "", Backend!CD105)</f>
        <v/>
      </c>
    </row>
    <row r="79" spans="1:81" x14ac:dyDescent="0.25">
      <c r="A79" s="4" t="str">
        <f>IF(Backend!A106="", "", Backend!A106)</f>
        <v/>
      </c>
      <c r="B79" t="str">
        <f>IF(Backend!C106="", "", Backend!C106)</f>
        <v/>
      </c>
      <c r="C79" t="str">
        <f>IF(Backend!D106="", "", Backend!D106)</f>
        <v/>
      </c>
      <c r="D79" t="str">
        <f>IF(Backend!E106="", "", Backend!E106)</f>
        <v/>
      </c>
      <c r="E79" t="str">
        <f>IF(Backend!F106="", "", Backend!F106)</f>
        <v/>
      </c>
      <c r="F79" t="str">
        <f>IF(Backend!G106="", "", Backend!G106)</f>
        <v/>
      </c>
      <c r="G79" t="str">
        <f>IF(Backend!H106="", "", Backend!H106)</f>
        <v/>
      </c>
      <c r="H79" t="str">
        <f>IF(Backend!I106="", "", Backend!I106)</f>
        <v/>
      </c>
      <c r="I79" t="str">
        <f>IF(Backend!J106="", "", Backend!J106)</f>
        <v/>
      </c>
      <c r="J79" t="str">
        <f>IF(Backend!K106="", "", Backend!K106)</f>
        <v/>
      </c>
      <c r="K79" t="str">
        <f>IF(Backend!L106="", "", Backend!L106)</f>
        <v/>
      </c>
      <c r="L79" t="str">
        <f>IF(Backend!M106="", "", Backend!M106)</f>
        <v/>
      </c>
      <c r="M79" t="str">
        <f>IF(Backend!N106="", "", Backend!N106)</f>
        <v/>
      </c>
      <c r="N79" t="str">
        <f>IF(Backend!O106="", "", Backend!O106)</f>
        <v/>
      </c>
      <c r="O79" t="str">
        <f>IF(Backend!P106="", "", Backend!P106)</f>
        <v/>
      </c>
      <c r="P79" t="str">
        <f>IF(Backend!Q106="", "", Backend!Q106)</f>
        <v/>
      </c>
      <c r="Q79" t="str">
        <f>IF(Backend!R106="", "", Backend!R106)</f>
        <v/>
      </c>
      <c r="R79" t="str">
        <f>IF(Backend!S106="", "", Backend!S106)</f>
        <v/>
      </c>
      <c r="S79" t="str">
        <f>IF(Backend!T106="", "", Backend!T106)</f>
        <v/>
      </c>
      <c r="T79" t="str">
        <f>IF(Backend!U106="", "", Backend!U106)</f>
        <v/>
      </c>
      <c r="U79" t="str">
        <f>IF(Backend!V106="", "", Backend!V106)</f>
        <v/>
      </c>
      <c r="V79" t="str">
        <f>IF(Backend!W106="", "", Backend!W106)</f>
        <v/>
      </c>
      <c r="W79" t="str">
        <f>IF(Backend!X106="", "", Backend!X106)</f>
        <v/>
      </c>
      <c r="X79" t="str">
        <f>IF(Backend!Y106="", "", Backend!Y106)</f>
        <v/>
      </c>
      <c r="Y79" t="str">
        <f>IF(Backend!Z106="", "", Backend!Z106)</f>
        <v/>
      </c>
      <c r="Z79" t="str">
        <f>IF(Backend!AA106="", "", Backend!AA106)</f>
        <v/>
      </c>
      <c r="AA79" t="str">
        <f>IF(Backend!AB106="", "", Backend!AB106)</f>
        <v/>
      </c>
      <c r="AB79" t="str">
        <f>IF(Backend!AC106="", "", Backend!AC106)</f>
        <v/>
      </c>
      <c r="AC79" t="str">
        <f>IF(Backend!AD106="", "", Backend!AD106)</f>
        <v/>
      </c>
      <c r="AD79" t="str">
        <f>IF(Backend!AE106="", "", Backend!AE106)</f>
        <v/>
      </c>
      <c r="AE79" t="str">
        <f>IF(Backend!AF106="", "", Backend!AF106)</f>
        <v/>
      </c>
      <c r="AF79" t="str">
        <f>IF(Backend!AG106="", "", Backend!AG106)</f>
        <v/>
      </c>
      <c r="AG79" t="str">
        <f>IF(Backend!AH106="", "", Backend!AH106)</f>
        <v/>
      </c>
      <c r="AH79" t="str">
        <f>IF(Backend!AI106="", "", Backend!AI106)</f>
        <v/>
      </c>
      <c r="AI79" t="str">
        <f>IF(Backend!AJ106="", "", Backend!AJ106)</f>
        <v/>
      </c>
      <c r="AJ79" t="str">
        <f>IF(Backend!AK106="", "", Backend!AK106)</f>
        <v/>
      </c>
      <c r="AK79" t="str">
        <f>IF(Backend!AL106="", "", Backend!AL106)</f>
        <v/>
      </c>
      <c r="AL79" t="str">
        <f>IF(Backend!AM106="", "", Backend!AM106)</f>
        <v/>
      </c>
      <c r="AM79" t="str">
        <f>IF(Backend!AN106="", "", Backend!AN106)</f>
        <v/>
      </c>
      <c r="AN79" t="str">
        <f>IF(Backend!AO106="", "", Backend!AO106)</f>
        <v/>
      </c>
      <c r="AO79" t="str">
        <f>IF(Backend!AP106="", "", Backend!AP106)</f>
        <v/>
      </c>
      <c r="AP79" t="str">
        <f>IF(Backend!AQ106="", "", Backend!AQ106)</f>
        <v/>
      </c>
      <c r="AQ79" t="str">
        <f>IF(Backend!AR106="", "", Backend!AR106)</f>
        <v/>
      </c>
      <c r="AR79" t="str">
        <f>IF(Backend!AS106="", "", Backend!AS106)</f>
        <v/>
      </c>
      <c r="AS79" t="str">
        <f>IF(Backend!AT106="", "", Backend!AT106)</f>
        <v/>
      </c>
      <c r="AT79" t="str">
        <f>IF(Backend!AU106="", "", Backend!AU106)</f>
        <v/>
      </c>
      <c r="AU79" t="str">
        <f>IF(Backend!AV106="", "", Backend!AV106)</f>
        <v/>
      </c>
      <c r="AV79" t="str">
        <f>IF(Backend!AW106="", "", Backend!AW106)</f>
        <v/>
      </c>
      <c r="AW79" t="str">
        <f>IF(Backend!AX106="", "", Backend!AX106)</f>
        <v/>
      </c>
      <c r="AX79" t="str">
        <f>IF(Backend!AY106="", "", Backend!AY106)</f>
        <v/>
      </c>
      <c r="AY79" t="str">
        <f>IF(Backend!AZ106="", "", Backend!AZ106)</f>
        <v/>
      </c>
      <c r="AZ79" t="str">
        <f>IF(Backend!BA106="", "", Backend!BA106)</f>
        <v/>
      </c>
      <c r="BA79" t="str">
        <f>IF(Backend!BB106="", "", Backend!BB106)</f>
        <v/>
      </c>
      <c r="BB79" t="str">
        <f>IF(Backend!BC106="", "", Backend!BC106)</f>
        <v/>
      </c>
      <c r="BC79" t="str">
        <f>IF(Backend!BD106="", "", Backend!BD106)</f>
        <v/>
      </c>
      <c r="BD79" t="str">
        <f>IF(Backend!BE106="", "", Backend!BE106)</f>
        <v/>
      </c>
      <c r="BE79" t="str">
        <f>IF(Backend!BF106="", "", Backend!BF106)</f>
        <v/>
      </c>
      <c r="BF79" t="str">
        <f>IF(Backend!BG106="", "", Backend!BG106)</f>
        <v/>
      </c>
      <c r="BG79" t="str">
        <f>IF(Backend!BH106="", "", Backend!BH106)</f>
        <v/>
      </c>
      <c r="BH79" t="str">
        <f>IF(Backend!BI106="", "", Backend!BI106)</f>
        <v/>
      </c>
      <c r="BI79" t="str">
        <f>IF(Backend!BJ106="", "", Backend!BJ106)</f>
        <v/>
      </c>
      <c r="BJ79" t="str">
        <f>IF(Backend!BK106="", "", Backend!BK106)</f>
        <v/>
      </c>
      <c r="BK79" t="str">
        <f>IF(Backend!BL106="", "", Backend!BL106)</f>
        <v/>
      </c>
      <c r="BL79" t="str">
        <f>IF(Backend!BM106="", "", Backend!BM106)</f>
        <v/>
      </c>
      <c r="BM79" t="str">
        <f>IF(Backend!BN106="", "", Backend!BN106)</f>
        <v/>
      </c>
      <c r="BN79" t="str">
        <f>IF(Backend!BO106="", "", Backend!BO106)</f>
        <v/>
      </c>
      <c r="BO79" t="str">
        <f>IF(Backend!BP106="", "", Backend!BP106)</f>
        <v/>
      </c>
      <c r="BP79" t="str">
        <f>IF(Backend!BQ106="", "", Backend!BQ106)</f>
        <v/>
      </c>
      <c r="BQ79" t="str">
        <f>IF(Backend!BR106="", "", Backend!BR106)</f>
        <v/>
      </c>
      <c r="BR79" t="str">
        <f>IF(Backend!BS106="", "", Backend!BS106)</f>
        <v/>
      </c>
      <c r="BS79" t="str">
        <f>IF(Backend!BT106="", "", Backend!BT106)</f>
        <v/>
      </c>
      <c r="BT79" t="str">
        <f>IF(Backend!BU106="", "", Backend!BU106)</f>
        <v/>
      </c>
      <c r="BU79" t="str">
        <f>IF(Backend!BV106="", "", Backend!BV106)</f>
        <v/>
      </c>
      <c r="BV79" t="str">
        <f>IF(Backend!BW106="", "", Backend!BW106)</f>
        <v/>
      </c>
      <c r="BW79" t="str">
        <f>IF(Backend!BX106="", "", Backend!BX106)</f>
        <v/>
      </c>
      <c r="BX79" t="str">
        <f>IF(Backend!BY106="", "", Backend!BY106)</f>
        <v/>
      </c>
      <c r="BY79" t="str">
        <f>IF(Backend!BZ106="", "", Backend!BZ106)</f>
        <v/>
      </c>
      <c r="BZ79" t="str">
        <f>IF(Backend!CA106="", "", Backend!CA106)</f>
        <v/>
      </c>
      <c r="CA79" t="str">
        <f>IF(Backend!CB106="", "", Backend!CB106)</f>
        <v/>
      </c>
      <c r="CB79" t="str">
        <f>IF(Backend!CC106="", "", Backend!CC106)</f>
        <v/>
      </c>
      <c r="CC79" t="str">
        <f>IF(Backend!CD106="", "", Backend!CD106)</f>
        <v/>
      </c>
    </row>
    <row r="80" spans="1:81" x14ac:dyDescent="0.25">
      <c r="A80" s="4" t="str">
        <f>IF(Backend!A107="", "", Backend!A107)</f>
        <v/>
      </c>
      <c r="B80" t="str">
        <f>IF(Backend!C107="", "", Backend!C107)</f>
        <v/>
      </c>
      <c r="C80" t="str">
        <f>IF(Backend!D107="", "", Backend!D107)</f>
        <v/>
      </c>
      <c r="D80" t="str">
        <f>IF(Backend!E107="", "", Backend!E107)</f>
        <v/>
      </c>
      <c r="E80" t="str">
        <f>IF(Backend!F107="", "", Backend!F107)</f>
        <v/>
      </c>
      <c r="F80" t="str">
        <f>IF(Backend!G107="", "", Backend!G107)</f>
        <v/>
      </c>
      <c r="G80" t="str">
        <f>IF(Backend!H107="", "", Backend!H107)</f>
        <v/>
      </c>
      <c r="H80" t="str">
        <f>IF(Backend!I107="", "", Backend!I107)</f>
        <v/>
      </c>
      <c r="I80" t="str">
        <f>IF(Backend!J107="", "", Backend!J107)</f>
        <v/>
      </c>
      <c r="J80" t="str">
        <f>IF(Backend!K107="", "", Backend!K107)</f>
        <v/>
      </c>
      <c r="K80" t="str">
        <f>IF(Backend!L107="", "", Backend!L107)</f>
        <v/>
      </c>
      <c r="L80" t="str">
        <f>IF(Backend!M107="", "", Backend!M107)</f>
        <v/>
      </c>
      <c r="M80" t="str">
        <f>IF(Backend!N107="", "", Backend!N107)</f>
        <v/>
      </c>
      <c r="N80" t="str">
        <f>IF(Backend!O107="", "", Backend!O107)</f>
        <v/>
      </c>
      <c r="O80" t="str">
        <f>IF(Backend!P107="", "", Backend!P107)</f>
        <v/>
      </c>
      <c r="P80" t="str">
        <f>IF(Backend!Q107="", "", Backend!Q107)</f>
        <v/>
      </c>
      <c r="Q80" t="str">
        <f>IF(Backend!R107="", "", Backend!R107)</f>
        <v/>
      </c>
      <c r="R80" t="str">
        <f>IF(Backend!S107="", "", Backend!S107)</f>
        <v/>
      </c>
      <c r="S80" t="str">
        <f>IF(Backend!T107="", "", Backend!T107)</f>
        <v/>
      </c>
      <c r="T80" t="str">
        <f>IF(Backend!U107="", "", Backend!U107)</f>
        <v/>
      </c>
      <c r="U80" t="str">
        <f>IF(Backend!V107="", "", Backend!V107)</f>
        <v/>
      </c>
      <c r="V80" t="str">
        <f>IF(Backend!W107="", "", Backend!W107)</f>
        <v/>
      </c>
      <c r="W80" t="str">
        <f>IF(Backend!X107="", "", Backend!X107)</f>
        <v/>
      </c>
      <c r="X80" t="str">
        <f>IF(Backend!Y107="", "", Backend!Y107)</f>
        <v/>
      </c>
      <c r="Y80" t="str">
        <f>IF(Backend!Z107="", "", Backend!Z107)</f>
        <v/>
      </c>
      <c r="Z80" t="str">
        <f>IF(Backend!AA107="", "", Backend!AA107)</f>
        <v/>
      </c>
      <c r="AA80" t="str">
        <f>IF(Backend!AB107="", "", Backend!AB107)</f>
        <v/>
      </c>
      <c r="AB80" t="str">
        <f>IF(Backend!AC107="", "", Backend!AC107)</f>
        <v/>
      </c>
      <c r="AC80" t="str">
        <f>IF(Backend!AD107="", "", Backend!AD107)</f>
        <v/>
      </c>
      <c r="AD80" t="str">
        <f>IF(Backend!AE107="", "", Backend!AE107)</f>
        <v/>
      </c>
      <c r="AE80" t="str">
        <f>IF(Backend!AF107="", "", Backend!AF107)</f>
        <v/>
      </c>
      <c r="AF80" t="str">
        <f>IF(Backend!AG107="", "", Backend!AG107)</f>
        <v/>
      </c>
      <c r="AG80" t="str">
        <f>IF(Backend!AH107="", "", Backend!AH107)</f>
        <v/>
      </c>
      <c r="AH80" t="str">
        <f>IF(Backend!AI107="", "", Backend!AI107)</f>
        <v/>
      </c>
      <c r="AI80" t="str">
        <f>IF(Backend!AJ107="", "", Backend!AJ107)</f>
        <v/>
      </c>
      <c r="AJ80" t="str">
        <f>IF(Backend!AK107="", "", Backend!AK107)</f>
        <v/>
      </c>
      <c r="AK80" t="str">
        <f>IF(Backend!AL107="", "", Backend!AL107)</f>
        <v/>
      </c>
      <c r="AL80" t="str">
        <f>IF(Backend!AM107="", "", Backend!AM107)</f>
        <v/>
      </c>
      <c r="AM80" t="str">
        <f>IF(Backend!AN107="", "", Backend!AN107)</f>
        <v/>
      </c>
      <c r="AN80" t="str">
        <f>IF(Backend!AO107="", "", Backend!AO107)</f>
        <v/>
      </c>
      <c r="AO80" t="str">
        <f>IF(Backend!AP107="", "", Backend!AP107)</f>
        <v/>
      </c>
      <c r="AP80" t="str">
        <f>IF(Backend!AQ107="", "", Backend!AQ107)</f>
        <v/>
      </c>
      <c r="AQ80" t="str">
        <f>IF(Backend!AR107="", "", Backend!AR107)</f>
        <v/>
      </c>
      <c r="AR80" t="str">
        <f>IF(Backend!AS107="", "", Backend!AS107)</f>
        <v/>
      </c>
      <c r="AS80" t="str">
        <f>IF(Backend!AT107="", "", Backend!AT107)</f>
        <v/>
      </c>
      <c r="AT80" t="str">
        <f>IF(Backend!AU107="", "", Backend!AU107)</f>
        <v/>
      </c>
      <c r="AU80" t="str">
        <f>IF(Backend!AV107="", "", Backend!AV107)</f>
        <v/>
      </c>
      <c r="AV80" t="str">
        <f>IF(Backend!AW107="", "", Backend!AW107)</f>
        <v/>
      </c>
      <c r="AW80" t="str">
        <f>IF(Backend!AX107="", "", Backend!AX107)</f>
        <v/>
      </c>
      <c r="AX80" t="str">
        <f>IF(Backend!AY107="", "", Backend!AY107)</f>
        <v/>
      </c>
      <c r="AY80" t="str">
        <f>IF(Backend!AZ107="", "", Backend!AZ107)</f>
        <v/>
      </c>
      <c r="AZ80" t="str">
        <f>IF(Backend!BA107="", "", Backend!BA107)</f>
        <v/>
      </c>
      <c r="BA80" t="str">
        <f>IF(Backend!BB107="", "", Backend!BB107)</f>
        <v/>
      </c>
      <c r="BB80" t="str">
        <f>IF(Backend!BC107="", "", Backend!BC107)</f>
        <v/>
      </c>
      <c r="BC80" t="str">
        <f>IF(Backend!BD107="", "", Backend!BD107)</f>
        <v/>
      </c>
      <c r="BD80" t="str">
        <f>IF(Backend!BE107="", "", Backend!BE107)</f>
        <v/>
      </c>
      <c r="BE80" t="str">
        <f>IF(Backend!BF107="", "", Backend!BF107)</f>
        <v/>
      </c>
      <c r="BF80" t="str">
        <f>IF(Backend!BG107="", "", Backend!BG107)</f>
        <v/>
      </c>
      <c r="BG80" t="str">
        <f>IF(Backend!BH107="", "", Backend!BH107)</f>
        <v/>
      </c>
      <c r="BH80" t="str">
        <f>IF(Backend!BI107="", "", Backend!BI107)</f>
        <v/>
      </c>
      <c r="BI80" t="str">
        <f>IF(Backend!BJ107="", "", Backend!BJ107)</f>
        <v/>
      </c>
      <c r="BJ80" t="str">
        <f>IF(Backend!BK107="", "", Backend!BK107)</f>
        <v/>
      </c>
      <c r="BK80" t="str">
        <f>IF(Backend!BL107="", "", Backend!BL107)</f>
        <v/>
      </c>
      <c r="BL80" t="str">
        <f>IF(Backend!BM107="", "", Backend!BM107)</f>
        <v/>
      </c>
      <c r="BM80" t="str">
        <f>IF(Backend!BN107="", "", Backend!BN107)</f>
        <v/>
      </c>
      <c r="BN80" t="str">
        <f>IF(Backend!BO107="", "", Backend!BO107)</f>
        <v/>
      </c>
      <c r="BO80" t="str">
        <f>IF(Backend!BP107="", "", Backend!BP107)</f>
        <v/>
      </c>
      <c r="BP80" t="str">
        <f>IF(Backend!BQ107="", "", Backend!BQ107)</f>
        <v/>
      </c>
      <c r="BQ80" t="str">
        <f>IF(Backend!BR107="", "", Backend!BR107)</f>
        <v/>
      </c>
      <c r="BR80" t="str">
        <f>IF(Backend!BS107="", "", Backend!BS107)</f>
        <v/>
      </c>
      <c r="BS80" t="str">
        <f>IF(Backend!BT107="", "", Backend!BT107)</f>
        <v/>
      </c>
      <c r="BT80" t="str">
        <f>IF(Backend!BU107="", "", Backend!BU107)</f>
        <v/>
      </c>
      <c r="BU80" t="str">
        <f>IF(Backend!BV107="", "", Backend!BV107)</f>
        <v/>
      </c>
      <c r="BV80" t="str">
        <f>IF(Backend!BW107="", "", Backend!BW107)</f>
        <v/>
      </c>
      <c r="BW80" t="str">
        <f>IF(Backend!BX107="", "", Backend!BX107)</f>
        <v/>
      </c>
      <c r="BX80" t="str">
        <f>IF(Backend!BY107="", "", Backend!BY107)</f>
        <v/>
      </c>
      <c r="BY80" t="str">
        <f>IF(Backend!BZ107="", "", Backend!BZ107)</f>
        <v/>
      </c>
      <c r="BZ80" t="str">
        <f>IF(Backend!CA107="", "", Backend!CA107)</f>
        <v/>
      </c>
      <c r="CA80" t="str">
        <f>IF(Backend!CB107="", "", Backend!CB107)</f>
        <v/>
      </c>
      <c r="CB80" t="str">
        <f>IF(Backend!CC107="", "", Backend!CC107)</f>
        <v/>
      </c>
      <c r="CC80" t="str">
        <f>IF(Backend!CD107="", "", Backend!CD107)</f>
        <v/>
      </c>
    </row>
    <row r="81" spans="1:81" x14ac:dyDescent="0.25">
      <c r="A81" s="4" t="str">
        <f>IF(Backend!A108="", "", Backend!A108)</f>
        <v/>
      </c>
      <c r="B81" t="str">
        <f>IF(Backend!C108="", "", Backend!C108)</f>
        <v/>
      </c>
      <c r="C81" t="str">
        <f>IF(Backend!D108="", "", Backend!D108)</f>
        <v/>
      </c>
      <c r="D81" t="str">
        <f>IF(Backend!E108="", "", Backend!E108)</f>
        <v/>
      </c>
      <c r="E81" t="str">
        <f>IF(Backend!F108="", "", Backend!F108)</f>
        <v/>
      </c>
      <c r="F81" t="str">
        <f>IF(Backend!G108="", "", Backend!G108)</f>
        <v/>
      </c>
      <c r="G81" t="str">
        <f>IF(Backend!H108="", "", Backend!H108)</f>
        <v/>
      </c>
      <c r="H81" t="str">
        <f>IF(Backend!I108="", "", Backend!I108)</f>
        <v/>
      </c>
      <c r="I81" t="str">
        <f>IF(Backend!J108="", "", Backend!J108)</f>
        <v/>
      </c>
      <c r="J81" t="str">
        <f>IF(Backend!K108="", "", Backend!K108)</f>
        <v/>
      </c>
      <c r="K81" t="str">
        <f>IF(Backend!L108="", "", Backend!L108)</f>
        <v/>
      </c>
      <c r="L81" t="str">
        <f>IF(Backend!M108="", "", Backend!M108)</f>
        <v/>
      </c>
      <c r="M81" t="str">
        <f>IF(Backend!N108="", "", Backend!N108)</f>
        <v/>
      </c>
      <c r="N81" t="str">
        <f>IF(Backend!O108="", "", Backend!O108)</f>
        <v/>
      </c>
      <c r="O81" t="str">
        <f>IF(Backend!P108="", "", Backend!P108)</f>
        <v/>
      </c>
      <c r="P81" t="str">
        <f>IF(Backend!Q108="", "", Backend!Q108)</f>
        <v/>
      </c>
      <c r="Q81" t="str">
        <f>IF(Backend!R108="", "", Backend!R108)</f>
        <v/>
      </c>
      <c r="R81" t="str">
        <f>IF(Backend!S108="", "", Backend!S108)</f>
        <v/>
      </c>
      <c r="S81" t="str">
        <f>IF(Backend!T108="", "", Backend!T108)</f>
        <v/>
      </c>
      <c r="T81" t="str">
        <f>IF(Backend!U108="", "", Backend!U108)</f>
        <v/>
      </c>
      <c r="U81" t="str">
        <f>IF(Backend!V108="", "", Backend!V108)</f>
        <v/>
      </c>
      <c r="V81" t="str">
        <f>IF(Backend!W108="", "", Backend!W108)</f>
        <v/>
      </c>
      <c r="W81" t="str">
        <f>IF(Backend!X108="", "", Backend!X108)</f>
        <v/>
      </c>
      <c r="X81" t="str">
        <f>IF(Backend!Y108="", "", Backend!Y108)</f>
        <v/>
      </c>
      <c r="Y81" t="str">
        <f>IF(Backend!Z108="", "", Backend!Z108)</f>
        <v/>
      </c>
      <c r="Z81" t="str">
        <f>IF(Backend!AA108="", "", Backend!AA108)</f>
        <v/>
      </c>
      <c r="AA81" t="str">
        <f>IF(Backend!AB108="", "", Backend!AB108)</f>
        <v/>
      </c>
      <c r="AB81" t="str">
        <f>IF(Backend!AC108="", "", Backend!AC108)</f>
        <v/>
      </c>
      <c r="AC81" t="str">
        <f>IF(Backend!AD108="", "", Backend!AD108)</f>
        <v/>
      </c>
      <c r="AD81" t="str">
        <f>IF(Backend!AE108="", "", Backend!AE108)</f>
        <v/>
      </c>
      <c r="AE81" t="str">
        <f>IF(Backend!AF108="", "", Backend!AF108)</f>
        <v/>
      </c>
      <c r="AF81" t="str">
        <f>IF(Backend!AG108="", "", Backend!AG108)</f>
        <v/>
      </c>
      <c r="AG81" t="str">
        <f>IF(Backend!AH108="", "", Backend!AH108)</f>
        <v/>
      </c>
      <c r="AH81" t="str">
        <f>IF(Backend!AI108="", "", Backend!AI108)</f>
        <v/>
      </c>
      <c r="AI81" t="str">
        <f>IF(Backend!AJ108="", "", Backend!AJ108)</f>
        <v/>
      </c>
      <c r="AJ81" t="str">
        <f>IF(Backend!AK108="", "", Backend!AK108)</f>
        <v/>
      </c>
      <c r="AK81" t="str">
        <f>IF(Backend!AL108="", "", Backend!AL108)</f>
        <v/>
      </c>
      <c r="AL81" t="str">
        <f>IF(Backend!AM108="", "", Backend!AM108)</f>
        <v/>
      </c>
      <c r="AM81" t="str">
        <f>IF(Backend!AN108="", "", Backend!AN108)</f>
        <v/>
      </c>
      <c r="AN81" t="str">
        <f>IF(Backend!AO108="", "", Backend!AO108)</f>
        <v/>
      </c>
      <c r="AO81" t="str">
        <f>IF(Backend!AP108="", "", Backend!AP108)</f>
        <v/>
      </c>
      <c r="AP81" t="str">
        <f>IF(Backend!AQ108="", "", Backend!AQ108)</f>
        <v/>
      </c>
      <c r="AQ81" t="str">
        <f>IF(Backend!AR108="", "", Backend!AR108)</f>
        <v/>
      </c>
      <c r="AR81" t="str">
        <f>IF(Backend!AS108="", "", Backend!AS108)</f>
        <v/>
      </c>
      <c r="AS81" t="str">
        <f>IF(Backend!AT108="", "", Backend!AT108)</f>
        <v/>
      </c>
      <c r="AT81" t="str">
        <f>IF(Backend!AU108="", "", Backend!AU108)</f>
        <v/>
      </c>
      <c r="AU81" t="str">
        <f>IF(Backend!AV108="", "", Backend!AV108)</f>
        <v/>
      </c>
      <c r="AV81" t="str">
        <f>IF(Backend!AW108="", "", Backend!AW108)</f>
        <v/>
      </c>
      <c r="AW81" t="str">
        <f>IF(Backend!AX108="", "", Backend!AX108)</f>
        <v/>
      </c>
      <c r="AX81" t="str">
        <f>IF(Backend!AY108="", "", Backend!AY108)</f>
        <v/>
      </c>
      <c r="AY81" t="str">
        <f>IF(Backend!AZ108="", "", Backend!AZ108)</f>
        <v/>
      </c>
      <c r="AZ81" t="str">
        <f>IF(Backend!BA108="", "", Backend!BA108)</f>
        <v/>
      </c>
      <c r="BA81" t="str">
        <f>IF(Backend!BB108="", "", Backend!BB108)</f>
        <v/>
      </c>
      <c r="BB81" t="str">
        <f>IF(Backend!BC108="", "", Backend!BC108)</f>
        <v/>
      </c>
      <c r="BC81" t="str">
        <f>IF(Backend!BD108="", "", Backend!BD108)</f>
        <v/>
      </c>
      <c r="BD81" t="str">
        <f>IF(Backend!BE108="", "", Backend!BE108)</f>
        <v/>
      </c>
      <c r="BE81" t="str">
        <f>IF(Backend!BF108="", "", Backend!BF108)</f>
        <v/>
      </c>
      <c r="BF81" t="str">
        <f>IF(Backend!BG108="", "", Backend!BG108)</f>
        <v/>
      </c>
      <c r="BG81" t="str">
        <f>IF(Backend!BH108="", "", Backend!BH108)</f>
        <v/>
      </c>
      <c r="BH81" t="str">
        <f>IF(Backend!BI108="", "", Backend!BI108)</f>
        <v/>
      </c>
      <c r="BI81" t="str">
        <f>IF(Backend!BJ108="", "", Backend!BJ108)</f>
        <v/>
      </c>
      <c r="BJ81" t="str">
        <f>IF(Backend!BK108="", "", Backend!BK108)</f>
        <v/>
      </c>
      <c r="BK81" t="str">
        <f>IF(Backend!BL108="", "", Backend!BL108)</f>
        <v/>
      </c>
      <c r="BL81" t="str">
        <f>IF(Backend!BM108="", "", Backend!BM108)</f>
        <v/>
      </c>
      <c r="BM81" t="str">
        <f>IF(Backend!BN108="", "", Backend!BN108)</f>
        <v/>
      </c>
      <c r="BN81" t="str">
        <f>IF(Backend!BO108="", "", Backend!BO108)</f>
        <v/>
      </c>
      <c r="BO81" t="str">
        <f>IF(Backend!BP108="", "", Backend!BP108)</f>
        <v/>
      </c>
      <c r="BP81" t="str">
        <f>IF(Backend!BQ108="", "", Backend!BQ108)</f>
        <v/>
      </c>
      <c r="BQ81" t="str">
        <f>IF(Backend!BR108="", "", Backend!BR108)</f>
        <v/>
      </c>
      <c r="BR81" t="str">
        <f>IF(Backend!BS108="", "", Backend!BS108)</f>
        <v/>
      </c>
      <c r="BS81" t="str">
        <f>IF(Backend!BT108="", "", Backend!BT108)</f>
        <v/>
      </c>
      <c r="BT81" t="str">
        <f>IF(Backend!BU108="", "", Backend!BU108)</f>
        <v/>
      </c>
      <c r="BU81" t="str">
        <f>IF(Backend!BV108="", "", Backend!BV108)</f>
        <v/>
      </c>
      <c r="BV81" t="str">
        <f>IF(Backend!BW108="", "", Backend!BW108)</f>
        <v/>
      </c>
      <c r="BW81" t="str">
        <f>IF(Backend!BX108="", "", Backend!BX108)</f>
        <v/>
      </c>
      <c r="BX81" t="str">
        <f>IF(Backend!BY108="", "", Backend!BY108)</f>
        <v/>
      </c>
      <c r="BY81" t="str">
        <f>IF(Backend!BZ108="", "", Backend!BZ108)</f>
        <v/>
      </c>
      <c r="BZ81" t="str">
        <f>IF(Backend!CA108="", "", Backend!CA108)</f>
        <v/>
      </c>
      <c r="CA81" t="str">
        <f>IF(Backend!CB108="", "", Backend!CB108)</f>
        <v/>
      </c>
      <c r="CB81" t="str">
        <f>IF(Backend!CC108="", "", Backend!CC108)</f>
        <v/>
      </c>
      <c r="CC81" t="str">
        <f>IF(Backend!CD108="", "", Backend!CD108)</f>
        <v/>
      </c>
    </row>
    <row r="82" spans="1:81" x14ac:dyDescent="0.25">
      <c r="A82" s="4" t="str">
        <f>IF(Backend!A109="", "", Backend!A109)</f>
        <v/>
      </c>
      <c r="B82" t="str">
        <f>IF(Backend!C109="", "", Backend!C109)</f>
        <v/>
      </c>
      <c r="C82" t="str">
        <f>IF(Backend!D109="", "", Backend!D109)</f>
        <v/>
      </c>
      <c r="D82" t="str">
        <f>IF(Backend!E109="", "", Backend!E109)</f>
        <v/>
      </c>
      <c r="E82" t="str">
        <f>IF(Backend!F109="", "", Backend!F109)</f>
        <v/>
      </c>
      <c r="F82" t="str">
        <f>IF(Backend!G109="", "", Backend!G109)</f>
        <v/>
      </c>
      <c r="G82" t="str">
        <f>IF(Backend!H109="", "", Backend!H109)</f>
        <v/>
      </c>
      <c r="H82" t="str">
        <f>IF(Backend!I109="", "", Backend!I109)</f>
        <v/>
      </c>
      <c r="I82" t="str">
        <f>IF(Backend!J109="", "", Backend!J109)</f>
        <v/>
      </c>
      <c r="J82" t="str">
        <f>IF(Backend!K109="", "", Backend!K109)</f>
        <v/>
      </c>
      <c r="K82" t="str">
        <f>IF(Backend!L109="", "", Backend!L109)</f>
        <v/>
      </c>
      <c r="L82" t="str">
        <f>IF(Backend!M109="", "", Backend!M109)</f>
        <v/>
      </c>
      <c r="M82" t="str">
        <f>IF(Backend!N109="", "", Backend!N109)</f>
        <v/>
      </c>
      <c r="N82" t="str">
        <f>IF(Backend!O109="", "", Backend!O109)</f>
        <v/>
      </c>
      <c r="O82" t="str">
        <f>IF(Backend!P109="", "", Backend!P109)</f>
        <v/>
      </c>
      <c r="P82" t="str">
        <f>IF(Backend!Q109="", "", Backend!Q109)</f>
        <v/>
      </c>
      <c r="Q82" t="str">
        <f>IF(Backend!R109="", "", Backend!R109)</f>
        <v/>
      </c>
      <c r="R82" t="str">
        <f>IF(Backend!S109="", "", Backend!S109)</f>
        <v/>
      </c>
      <c r="S82" t="str">
        <f>IF(Backend!T109="", "", Backend!T109)</f>
        <v/>
      </c>
      <c r="T82" t="str">
        <f>IF(Backend!U109="", "", Backend!U109)</f>
        <v/>
      </c>
      <c r="U82" t="str">
        <f>IF(Backend!V109="", "", Backend!V109)</f>
        <v/>
      </c>
      <c r="V82" t="str">
        <f>IF(Backend!W109="", "", Backend!W109)</f>
        <v/>
      </c>
      <c r="W82" t="str">
        <f>IF(Backend!X109="", "", Backend!X109)</f>
        <v/>
      </c>
      <c r="X82" t="str">
        <f>IF(Backend!Y109="", "", Backend!Y109)</f>
        <v/>
      </c>
      <c r="Y82" t="str">
        <f>IF(Backend!Z109="", "", Backend!Z109)</f>
        <v/>
      </c>
      <c r="Z82" t="str">
        <f>IF(Backend!AA109="", "", Backend!AA109)</f>
        <v/>
      </c>
      <c r="AA82" t="str">
        <f>IF(Backend!AB109="", "", Backend!AB109)</f>
        <v/>
      </c>
      <c r="AB82" t="str">
        <f>IF(Backend!AC109="", "", Backend!AC109)</f>
        <v/>
      </c>
      <c r="AC82" t="str">
        <f>IF(Backend!AD109="", "", Backend!AD109)</f>
        <v/>
      </c>
      <c r="AD82" t="str">
        <f>IF(Backend!AE109="", "", Backend!AE109)</f>
        <v/>
      </c>
      <c r="AE82" t="str">
        <f>IF(Backend!AF109="", "", Backend!AF109)</f>
        <v/>
      </c>
      <c r="AF82" t="str">
        <f>IF(Backend!AG109="", "", Backend!AG109)</f>
        <v/>
      </c>
      <c r="AG82" t="str">
        <f>IF(Backend!AH109="", "", Backend!AH109)</f>
        <v/>
      </c>
      <c r="AH82" t="str">
        <f>IF(Backend!AI109="", "", Backend!AI109)</f>
        <v/>
      </c>
      <c r="AI82" t="str">
        <f>IF(Backend!AJ109="", "", Backend!AJ109)</f>
        <v/>
      </c>
      <c r="AJ82" t="str">
        <f>IF(Backend!AK109="", "", Backend!AK109)</f>
        <v/>
      </c>
      <c r="AK82" t="str">
        <f>IF(Backend!AL109="", "", Backend!AL109)</f>
        <v/>
      </c>
      <c r="AL82" t="str">
        <f>IF(Backend!AM109="", "", Backend!AM109)</f>
        <v/>
      </c>
      <c r="AM82" t="str">
        <f>IF(Backend!AN109="", "", Backend!AN109)</f>
        <v/>
      </c>
      <c r="AN82" t="str">
        <f>IF(Backend!AO109="", "", Backend!AO109)</f>
        <v/>
      </c>
      <c r="AO82" t="str">
        <f>IF(Backend!AP109="", "", Backend!AP109)</f>
        <v/>
      </c>
      <c r="AP82" t="str">
        <f>IF(Backend!AQ109="", "", Backend!AQ109)</f>
        <v/>
      </c>
      <c r="AQ82" t="str">
        <f>IF(Backend!AR109="", "", Backend!AR109)</f>
        <v/>
      </c>
      <c r="AR82" t="str">
        <f>IF(Backend!AS109="", "", Backend!AS109)</f>
        <v/>
      </c>
      <c r="AS82" t="str">
        <f>IF(Backend!AT109="", "", Backend!AT109)</f>
        <v/>
      </c>
      <c r="AT82" t="str">
        <f>IF(Backend!AU109="", "", Backend!AU109)</f>
        <v/>
      </c>
      <c r="AU82" t="str">
        <f>IF(Backend!AV109="", "", Backend!AV109)</f>
        <v/>
      </c>
      <c r="AV82" t="str">
        <f>IF(Backend!AW109="", "", Backend!AW109)</f>
        <v/>
      </c>
      <c r="AW82" t="str">
        <f>IF(Backend!AX109="", "", Backend!AX109)</f>
        <v/>
      </c>
      <c r="AX82" t="str">
        <f>IF(Backend!AY109="", "", Backend!AY109)</f>
        <v/>
      </c>
      <c r="AY82" t="str">
        <f>IF(Backend!AZ109="", "", Backend!AZ109)</f>
        <v/>
      </c>
      <c r="AZ82" t="str">
        <f>IF(Backend!BA109="", "", Backend!BA109)</f>
        <v/>
      </c>
      <c r="BA82" t="str">
        <f>IF(Backend!BB109="", "", Backend!BB109)</f>
        <v/>
      </c>
      <c r="BB82" t="str">
        <f>IF(Backend!BC109="", "", Backend!BC109)</f>
        <v/>
      </c>
      <c r="BC82" t="str">
        <f>IF(Backend!BD109="", "", Backend!BD109)</f>
        <v/>
      </c>
      <c r="BD82" t="str">
        <f>IF(Backend!BE109="", "", Backend!BE109)</f>
        <v/>
      </c>
      <c r="BE82" t="str">
        <f>IF(Backend!BF109="", "", Backend!BF109)</f>
        <v/>
      </c>
      <c r="BF82" t="str">
        <f>IF(Backend!BG109="", "", Backend!BG109)</f>
        <v/>
      </c>
      <c r="BG82" t="str">
        <f>IF(Backend!BH109="", "", Backend!BH109)</f>
        <v/>
      </c>
      <c r="BH82" t="str">
        <f>IF(Backend!BI109="", "", Backend!BI109)</f>
        <v/>
      </c>
      <c r="BI82" t="str">
        <f>IF(Backend!BJ109="", "", Backend!BJ109)</f>
        <v/>
      </c>
      <c r="BJ82" t="str">
        <f>IF(Backend!BK109="", "", Backend!BK109)</f>
        <v/>
      </c>
      <c r="BK82" t="str">
        <f>IF(Backend!BL109="", "", Backend!BL109)</f>
        <v/>
      </c>
      <c r="BL82" t="str">
        <f>IF(Backend!BM109="", "", Backend!BM109)</f>
        <v/>
      </c>
      <c r="BM82" t="str">
        <f>IF(Backend!BN109="", "", Backend!BN109)</f>
        <v/>
      </c>
      <c r="BN82" t="str">
        <f>IF(Backend!BO109="", "", Backend!BO109)</f>
        <v/>
      </c>
      <c r="BO82" t="str">
        <f>IF(Backend!BP109="", "", Backend!BP109)</f>
        <v/>
      </c>
      <c r="BP82" t="str">
        <f>IF(Backend!BQ109="", "", Backend!BQ109)</f>
        <v/>
      </c>
      <c r="BQ82" t="str">
        <f>IF(Backend!BR109="", "", Backend!BR109)</f>
        <v/>
      </c>
      <c r="BR82" t="str">
        <f>IF(Backend!BS109="", "", Backend!BS109)</f>
        <v/>
      </c>
      <c r="BS82" t="str">
        <f>IF(Backend!BT109="", "", Backend!BT109)</f>
        <v/>
      </c>
      <c r="BT82" t="str">
        <f>IF(Backend!BU109="", "", Backend!BU109)</f>
        <v/>
      </c>
      <c r="BU82" t="str">
        <f>IF(Backend!BV109="", "", Backend!BV109)</f>
        <v/>
      </c>
      <c r="BV82" t="str">
        <f>IF(Backend!BW109="", "", Backend!BW109)</f>
        <v/>
      </c>
      <c r="BW82" t="str">
        <f>IF(Backend!BX109="", "", Backend!BX109)</f>
        <v/>
      </c>
      <c r="BX82" t="str">
        <f>IF(Backend!BY109="", "", Backend!BY109)</f>
        <v/>
      </c>
      <c r="BY82" t="str">
        <f>IF(Backend!BZ109="", "", Backend!BZ109)</f>
        <v/>
      </c>
      <c r="BZ82" t="str">
        <f>IF(Backend!CA109="", "", Backend!CA109)</f>
        <v/>
      </c>
      <c r="CA82" t="str">
        <f>IF(Backend!CB109="", "", Backend!CB109)</f>
        <v/>
      </c>
      <c r="CB82" t="str">
        <f>IF(Backend!CC109="", "", Backend!CC109)</f>
        <v/>
      </c>
      <c r="CC82" t="str">
        <f>IF(Backend!CD109="", "", Backend!CD109)</f>
        <v/>
      </c>
    </row>
  </sheetData>
  <conditionalFormatting sqref="B4:CC82">
    <cfRule type="colorScale" priority="1">
      <colorScale>
        <cfvo type="min"/>
        <cfvo type="max"/>
        <color theme="4"/>
        <color theme="4" tint="0.79998168889431442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Y107"/>
  <sheetViews>
    <sheetView tabSelected="1" topLeftCell="B1" workbookViewId="0">
      <selection activeCell="B1" sqref="B1"/>
    </sheetView>
  </sheetViews>
  <sheetFormatPr defaultRowHeight="15" x14ac:dyDescent="0.25"/>
  <cols>
    <col min="2" max="2" width="15.7109375" customWidth="1"/>
    <col min="3" max="3" width="13" customWidth="1"/>
    <col min="4" max="9" width="11.140625" customWidth="1"/>
    <col min="10" max="10" width="38.28515625" bestFit="1" customWidth="1"/>
    <col min="11" max="75" width="11.140625" customWidth="1"/>
  </cols>
  <sheetData>
    <row r="1" spans="2:13" x14ac:dyDescent="0.25">
      <c r="B1" t="s">
        <v>2</v>
      </c>
      <c r="C1" s="7">
        <v>45961</v>
      </c>
    </row>
    <row r="2" spans="2:13" x14ac:dyDescent="0.25">
      <c r="B2" t="s">
        <v>3</v>
      </c>
      <c r="C2" s="7" t="s">
        <v>41</v>
      </c>
    </row>
    <row r="4" spans="2:13" x14ac:dyDescent="0.25">
      <c r="B4" t="s">
        <v>0</v>
      </c>
    </row>
    <row r="5" spans="2:13" x14ac:dyDescent="0.25">
      <c r="C5" s="8" t="s">
        <v>17</v>
      </c>
      <c r="D5" t="str" cm="1">
        <f t="array" ref="D5">_xll.FDSC("-",C5,"PROPER_NAME")</f>
        <v>Microsoft Corporation</v>
      </c>
      <c r="E5" s="8" t="s">
        <v>19</v>
      </c>
      <c r="F5" t="str" cm="1">
        <f t="array" ref="F5">_xll.FDSC("-",E5,"PROPER_NAME")</f>
        <v>HDFC Bank Limited Sponsored ADR</v>
      </c>
      <c r="G5" s="8" t="s">
        <v>20</v>
      </c>
      <c r="H5" t="str" cm="1">
        <f t="array" ref="H5">_xll.FDSC("-",G5,"PROPER_NAME")</f>
        <v>Sherwin-Williams Company</v>
      </c>
      <c r="I5" s="8"/>
      <c r="J5" t="str" cm="1">
        <f t="array" ref="J5">_xll.FDSC("-",I5,"PROPER_NAME")</f>
        <v>-</v>
      </c>
      <c r="K5" s="8"/>
    </row>
    <row r="6" spans="2:13" x14ac:dyDescent="0.25">
      <c r="C6" s="8" t="s">
        <v>13</v>
      </c>
      <c r="D6" t="str" cm="1">
        <f t="array" ref="D6">_xll.FDSC("-",C6,"PROPER_NAME")</f>
        <v>Alphabet Inc. Class C</v>
      </c>
      <c r="E6" s="8" t="s">
        <v>16</v>
      </c>
      <c r="F6" t="str" cm="1">
        <f t="array" ref="F6">_xll.FDSC("-",E6,"PROPER_NAME")</f>
        <v>Intuit Inc.</v>
      </c>
      <c r="G6" s="8" t="s">
        <v>21</v>
      </c>
      <c r="H6" t="str" cm="1">
        <f t="array" ref="H6">_xll.FDSC("-",G6,"PROPER_NAME")</f>
        <v>Moody's Corporation</v>
      </c>
      <c r="I6" s="8"/>
      <c r="J6" t="str" cm="1">
        <f t="array" ref="J6">_xll.FDSC("-",I6,"PROPER_NAME")</f>
        <v>-</v>
      </c>
      <c r="K6" s="8"/>
      <c r="M6" s="5"/>
    </row>
    <row r="7" spans="2:13" x14ac:dyDescent="0.25">
      <c r="C7" s="8" t="s">
        <v>9</v>
      </c>
      <c r="D7" t="str" cm="1">
        <f t="array" ref="D7">_xll.FDSC("-",C7,"PROPER_NAME")</f>
        <v>London Stock Exchange Group plc</v>
      </c>
      <c r="E7" s="8" t="s">
        <v>22</v>
      </c>
      <c r="F7" t="str" cm="1">
        <f t="array" ref="F7">_xll.FDSC("-",E7,"PROPER_NAME")</f>
        <v>Edwards Lifesciences Corporation</v>
      </c>
      <c r="G7" s="8"/>
      <c r="H7" t="str" cm="1">
        <f t="array" ref="H7">_xll.FDSC("-",G7,"PROPER_NAME")</f>
        <v>-</v>
      </c>
      <c r="I7" s="8"/>
      <c r="J7" t="str" cm="1">
        <f t="array" ref="J7">_xll.FDSC("-",I7,"PROPER_NAME")</f>
        <v>-</v>
      </c>
      <c r="K7" s="8"/>
    </row>
    <row r="8" spans="2:13" x14ac:dyDescent="0.25">
      <c r="C8" s="8" t="s">
        <v>18</v>
      </c>
      <c r="D8" t="str" cm="1">
        <f t="array" ref="D8">_xll.FDSC("-",C8,"PROPER_NAME")</f>
        <v>Visa Inc. Class A</v>
      </c>
      <c r="E8" s="8" t="s">
        <v>23</v>
      </c>
      <c r="F8" t="str" cm="1">
        <f t="array" ref="F8">_xll.FDSC("-",E8,"PROPER_NAME")</f>
        <v>Ferguson Enterprises Inc.</v>
      </c>
      <c r="G8" s="8"/>
      <c r="H8" t="str" cm="1">
        <f t="array" ref="H8">_xll.FDSC("-",G8,"PROPER_NAME")</f>
        <v>-</v>
      </c>
      <c r="I8" s="8"/>
      <c r="J8" t="str" cm="1">
        <f t="array" ref="J8">_xll.FDSC("-",I8,"PROPER_NAME")</f>
        <v>-</v>
      </c>
      <c r="K8" s="8"/>
    </row>
    <row r="9" spans="2:13" x14ac:dyDescent="0.25">
      <c r="C9" s="8" t="s">
        <v>24</v>
      </c>
      <c r="D9" t="str" cm="1">
        <f t="array" ref="D9">_xll.FDSC("-",C9,"PROPER_NAME")</f>
        <v>Mastercard Incorporated Class A</v>
      </c>
      <c r="E9" s="8" t="s">
        <v>25</v>
      </c>
      <c r="F9" t="str" cm="1">
        <f t="array" ref="F9">_xll.FDSC("-",E9,"PROPER_NAME")</f>
        <v>Zoetis, Inc. Class A</v>
      </c>
      <c r="G9" s="8"/>
      <c r="H9" t="str" cm="1">
        <f t="array" ref="H9">_xll.FDSC("-",G9,"PROPER_NAME")</f>
        <v>-</v>
      </c>
      <c r="I9" s="8"/>
      <c r="J9" t="str" cm="1">
        <f t="array" ref="J9">_xll.FDSC("-",I9,"PROPER_NAME")</f>
        <v>-</v>
      </c>
      <c r="K9" s="8"/>
    </row>
    <row r="10" spans="2:13" x14ac:dyDescent="0.25">
      <c r="C10" s="8" t="s">
        <v>26</v>
      </c>
      <c r="D10" t="str" cm="1">
        <f t="array" ref="D10">_xll.FDSC("-",C10,"PROPER_NAME")</f>
        <v>Unilever PLC</v>
      </c>
      <c r="E10" s="8" t="s">
        <v>27</v>
      </c>
      <c r="F10" t="str" cm="1">
        <f t="array" ref="F10">_xll.FDSC("-",E10,"PROPER_NAME")</f>
        <v>B3 SA - Brasil, Bolsa, Balcao</v>
      </c>
      <c r="G10" s="8"/>
      <c r="H10" t="str" cm="1">
        <f t="array" ref="H10">_xll.FDSC("-",G10,"PROPER_NAME")</f>
        <v>-</v>
      </c>
      <c r="I10" s="8"/>
      <c r="J10" t="str" cm="1">
        <f t="array" ref="J10">_xll.FDSC("-",I10,"PROPER_NAME")</f>
        <v>-</v>
      </c>
      <c r="K10" s="8"/>
    </row>
    <row r="11" spans="2:13" x14ac:dyDescent="0.25">
      <c r="C11" s="8" t="s">
        <v>28</v>
      </c>
      <c r="D11" t="str" cm="1">
        <f t="array" ref="D11">_xll.FDSC("-",C11,"PROPER_NAME")</f>
        <v>ASML Holding NV Sponsored ADR</v>
      </c>
      <c r="E11" s="8" t="s">
        <v>29</v>
      </c>
      <c r="F11" t="str" cm="1">
        <f t="array" ref="F11">_xll.FDSC("-",E11,"PROPER_NAME")</f>
        <v>Atlas Copco AB Class B</v>
      </c>
      <c r="G11" s="8"/>
      <c r="H11" t="str" cm="1">
        <f t="array" ref="H11">_xll.FDSC("-",G11,"PROPER_NAME")</f>
        <v>-</v>
      </c>
      <c r="I11" s="8"/>
      <c r="J11" t="str" cm="1">
        <f t="array" ref="J11">_xll.FDSC("-",I11,"PROPER_NAME")</f>
        <v>-</v>
      </c>
      <c r="K11" s="8"/>
    </row>
    <row r="12" spans="2:13" x14ac:dyDescent="0.25">
      <c r="C12" s="8" t="s">
        <v>10</v>
      </c>
      <c r="D12" t="str" cm="1">
        <f t="array" ref="D12">_xll.FDSC("-",C12,"PROPER_NAME")</f>
        <v>Deutsche Boerse AG</v>
      </c>
      <c r="E12" s="8" t="s">
        <v>30</v>
      </c>
      <c r="F12" t="str" cm="1">
        <f t="array" ref="F12">_xll.FDSC("-",E12,"PROPER_NAME")</f>
        <v>Allegion Public Limited Company</v>
      </c>
      <c r="G12" s="8"/>
      <c r="H12" t="str" cm="1">
        <f t="array" ref="H12">_xll.FDSC("-",G12,"PROPER_NAME")</f>
        <v>-</v>
      </c>
      <c r="I12" s="8"/>
      <c r="J12" t="str" cm="1">
        <f t="array" ref="J12">_xll.FDSC("-",I12,"PROPER_NAME")</f>
        <v>-</v>
      </c>
      <c r="K12" s="8"/>
    </row>
    <row r="13" spans="2:13" x14ac:dyDescent="0.25">
      <c r="C13" s="8" t="s">
        <v>15</v>
      </c>
      <c r="D13" t="str" cm="1">
        <f t="array" ref="D13">_xll.FDSC("-",C13,"PROPER_NAME")</f>
        <v>GE Aerospace</v>
      </c>
      <c r="E13" s="8" t="s">
        <v>31</v>
      </c>
      <c r="F13" t="str" cm="1">
        <f t="array" ref="F13">_xll.FDSC("-",E13,"PROPER_NAME")</f>
        <v>AutoZone, Inc.</v>
      </c>
      <c r="G13" s="8"/>
      <c r="H13" t="str" cm="1">
        <f t="array" ref="H13">_xll.FDSC("-",G13,"PROPER_NAME")</f>
        <v>-</v>
      </c>
      <c r="I13" s="8"/>
      <c r="J13" t="str" cm="1">
        <f t="array" ref="J13">_xll.FDSC("-",I13,"PROPER_NAME")</f>
        <v>-</v>
      </c>
      <c r="K13" s="8"/>
    </row>
    <row r="14" spans="2:13" x14ac:dyDescent="0.25">
      <c r="C14" s="8" t="s">
        <v>32</v>
      </c>
      <c r="D14" t="str" cm="1">
        <f t="array" ref="D14">_xll.FDSC("-",C14,"PROPER_NAME")</f>
        <v>Taiwan Semiconductor Manufacturing Co., Ltd. Sponsored ADR</v>
      </c>
      <c r="E14" s="8" t="s">
        <v>33</v>
      </c>
      <c r="F14" t="str" cm="1">
        <f t="array" ref="F14">_xll.FDSC("-",E14,"PROPER_NAME")</f>
        <v>PT Bank Central Asia Tbk</v>
      </c>
      <c r="G14" s="8"/>
      <c r="H14" t="str" cm="1">
        <f t="array" ref="H14">_xll.FDSC("-",G14,"PROPER_NAME")</f>
        <v>-</v>
      </c>
      <c r="I14" s="8"/>
      <c r="J14" t="str" cm="1">
        <f t="array" ref="J14">_xll.FDSC("-",I14,"PROPER_NAME")</f>
        <v>-</v>
      </c>
      <c r="K14" s="8"/>
    </row>
    <row r="15" spans="2:13" x14ac:dyDescent="0.25">
      <c r="C15" s="8" t="s">
        <v>34</v>
      </c>
      <c r="D15" t="str" cm="1">
        <f t="array" ref="D15">_xll.FDSC("-",C15,"PROPER_NAME")</f>
        <v>Charles Schwab Corp</v>
      </c>
      <c r="E15" s="8" t="s">
        <v>35</v>
      </c>
      <c r="F15" t="str" cm="1">
        <f t="array" ref="F15">_xll.FDSC("-",E15,"PROPER_NAME")</f>
        <v>Rentokil Initial plc</v>
      </c>
      <c r="G15" s="8"/>
      <c r="H15" t="str" cm="1">
        <f t="array" ref="H15">_xll.FDSC("-",G15,"PROPER_NAME")</f>
        <v>-</v>
      </c>
      <c r="I15" s="8"/>
      <c r="J15" t="str" cm="1">
        <f t="array" ref="J15">_xll.FDSC("-",I15,"PROPER_NAME")</f>
        <v>-</v>
      </c>
      <c r="K15" s="8"/>
    </row>
    <row r="16" spans="2:13" x14ac:dyDescent="0.25">
      <c r="C16" s="8" t="s">
        <v>36</v>
      </c>
      <c r="D16" t="str" cm="1">
        <f t="array" ref="D16">_xll.FDSC("-",C16,"PROPER_NAME")</f>
        <v>Experian PLC</v>
      </c>
      <c r="E16" s="8" t="s">
        <v>37</v>
      </c>
      <c r="F16" t="str" cm="1">
        <f t="array" ref="F16">_xll.FDSC("-",E16,"PROPER_NAME")</f>
        <v>Workday, Inc. Class A</v>
      </c>
      <c r="G16" s="8"/>
      <c r="H16" t="str" cm="1">
        <f t="array" ref="H16">_xll.FDSC("-",G16,"PROPER_NAME")</f>
        <v>-</v>
      </c>
      <c r="I16" s="8"/>
      <c r="J16" t="str" cm="1">
        <f t="array" ref="J16">_xll.FDSC("-",I16,"PROPER_NAME")</f>
        <v>-</v>
      </c>
      <c r="K16" s="8"/>
    </row>
    <row r="17" spans="1:77" x14ac:dyDescent="0.25">
      <c r="C17" s="8" t="s">
        <v>11</v>
      </c>
      <c r="D17" t="str" cm="1">
        <f t="array" ref="D17">_xll.FDSC("-",C17,"PROPER_NAME")</f>
        <v>Safran SA</v>
      </c>
      <c r="E17" s="8" t="s">
        <v>14</v>
      </c>
      <c r="F17" t="str" cm="1">
        <f t="array" ref="F17">_xll.FDSC("-",E17,"PROPER_NAME")</f>
        <v>Autodesk, Inc.</v>
      </c>
      <c r="G17" s="8"/>
      <c r="H17" t="str" cm="1">
        <f t="array" ref="H17">_xll.FDSC("-",G17,"PROPER_NAME")</f>
        <v>-</v>
      </c>
      <c r="I17" s="8"/>
      <c r="J17" t="str" cm="1">
        <f t="array" ref="J17">_xll.FDSC("-",I17,"PROPER_NAME")</f>
        <v>-</v>
      </c>
      <c r="K17" s="8"/>
    </row>
    <row r="18" spans="1:77" x14ac:dyDescent="0.25">
      <c r="C18" s="8" t="s">
        <v>38</v>
      </c>
      <c r="D18" t="str" cm="1">
        <f t="array" ref="D18">_xll.FDSC("-",C18,"PROPER_NAME")</f>
        <v>Roche Holding Ltd Dividend Right Cert.</v>
      </c>
      <c r="E18" s="8" t="s">
        <v>39</v>
      </c>
      <c r="F18" t="str" cm="1">
        <f t="array" ref="F18">_xll.FDSC("-",E18,"PROPER_NAME")</f>
        <v>Booking Holdings Inc.</v>
      </c>
      <c r="G18" s="8"/>
      <c r="H18" t="str" cm="1">
        <f t="array" ref="H18">_xll.FDSC("-",G18,"PROPER_NAME")</f>
        <v>-</v>
      </c>
      <c r="I18" s="8"/>
      <c r="J18" t="str" cm="1">
        <f t="array" ref="J18">_xll.FDSC("-",I18,"PROPER_NAME")</f>
        <v>-</v>
      </c>
      <c r="K18" s="8"/>
    </row>
    <row r="19" spans="1:77" x14ac:dyDescent="0.25">
      <c r="C19" s="8" t="s">
        <v>40</v>
      </c>
      <c r="D19" t="str" cm="1">
        <f t="array" ref="D19">_xll.FDSC("-",C19,"PROPER_NAME")</f>
        <v>AIA Group Limited</v>
      </c>
      <c r="E19" s="8" t="s">
        <v>12</v>
      </c>
      <c r="F19" t="str" cm="1">
        <f t="array" ref="F19">_xll.FDSC("-",E19,"PROPER_NAME")</f>
        <v>CTS Eventim AG &amp; Co. KGaA</v>
      </c>
      <c r="G19" s="8"/>
      <c r="H19" t="str" cm="1">
        <f t="array" ref="H19">_xll.FDSC("-",G19,"PROPER_NAME")</f>
        <v>-</v>
      </c>
      <c r="I19" s="8"/>
      <c r="J19" t="str" cm="1">
        <f t="array" ref="J19">_xll.FDSC("-",I19,"PROPER_NAME")</f>
        <v>-</v>
      </c>
    </row>
    <row r="20" spans="1:77" x14ac:dyDescent="0.25">
      <c r="C20" s="8"/>
      <c r="D20" t="str" cm="1">
        <f t="array" ref="D20">_xll.FDSC("-",C20,"PROPER_NAME")</f>
        <v>-</v>
      </c>
      <c r="E20" s="14"/>
    </row>
    <row r="21" spans="1:77" x14ac:dyDescent="0.25">
      <c r="C21" s="8"/>
      <c r="D21" t="str" cm="1">
        <f t="array" ref="D21">_xll.FDSC("-",C21,"PROPER_NAME")</f>
        <v>-</v>
      </c>
    </row>
    <row r="22" spans="1:77" x14ac:dyDescent="0.25">
      <c r="C22" s="8"/>
      <c r="D22" t="str" cm="1">
        <f t="array" ref="D22">_xll.FDSC("-",C22,"PROPER_NAME")</f>
        <v>-</v>
      </c>
    </row>
    <row r="23" spans="1:77" x14ac:dyDescent="0.25">
      <c r="C23" s="8"/>
      <c r="D23" t="str" cm="1">
        <f t="array" ref="D23">_xll.FDSC("-",C23,"PROPER_NAME")</f>
        <v>-</v>
      </c>
    </row>
    <row r="26" spans="1:77" x14ac:dyDescent="0.25">
      <c r="B26" t="str" cm="1">
        <f t="array" ref="B26">_xll.FDS("DUMMY","PROPER(""Correlation of Daily Data Between "") + FG_DATE("&amp;$C$1&amp;"-"&amp;$C$2&amp;") + LOWERCASE("" and "") + FG_DATE("&amp;$C$1&amp;") + LOWERCASE("":"")")</f>
        <v>Correlation Of Daily Data Between 10/30/2020 and 10/31/2025:</v>
      </c>
    </row>
    <row r="27" spans="1:77" x14ac:dyDescent="0.25">
      <c r="B27" t="str" cm="1">
        <f t="array" ref="B27">_xll.FDSB("DUMMY","STRING_ARRAY IDS=TICKER_LIST('"&amp;_xlfn.TEXTJOIN(" ",TRUE,C5:C23,E5:E23,G5:G23)&amp;"');""FDS Code - Do Not Delete""")</f>
        <v>FDS CODE - DO NOT DELETE</v>
      </c>
      <c r="C27" t="str" cm="1">
        <f t="array" ref="C27">_xll.FDSB("DUMMY","FLOAT_ARRAY CORRELMATRIX=GET_FQL_ARRAY(IDS,'P_PRICE_RETURNS(0,"&amp;$C1&amp;","&amp;$C1&amp;"-"&amp;$C$2&amp;",D,USD)');'FDS Code - Do Not Delete'")</f>
        <v>FDS CODE - DO NOT DELETE</v>
      </c>
    </row>
    <row r="29" spans="1:77" x14ac:dyDescent="0.25">
      <c r="C29" t="str" cm="1">
        <f t="array" ref="C29">_xll.FDS(C30,"FG_COMPANY_NAME")</f>
        <v>Microsoft Corporation</v>
      </c>
      <c r="D29" t="str" cm="1">
        <f t="array" ref="D29">_xll.FDS(D30,"FG_COMPANY_NAME")</f>
        <v>Alphabet Inc. Class C</v>
      </c>
      <c r="E29" t="str" cm="1">
        <f t="array" ref="E29">_xll.FDS(E30,"FG_COMPANY_NAME")</f>
        <v>London Stock Exchange Group plc</v>
      </c>
      <c r="F29" t="str" cm="1">
        <f t="array" ref="F29">_xll.FDS(F30,"FG_COMPANY_NAME")</f>
        <v>Visa Inc. Class A</v>
      </c>
      <c r="G29" t="str" cm="1">
        <f t="array" ref="G29">_xll.FDS(G30,"FG_COMPANY_NAME")</f>
        <v>Mastercard Incorporated Class A</v>
      </c>
      <c r="H29" t="str" cm="1">
        <f t="array" ref="H29">_xll.FDS(H30,"FG_COMPANY_NAME")</f>
        <v>Unilever PLC</v>
      </c>
      <c r="I29" t="str" cm="1">
        <f t="array" ref="I29">_xll.FDS(I30,"FG_COMPANY_NAME")</f>
        <v>ASML Holding NV Sponsored ADR</v>
      </c>
      <c r="J29" t="str" cm="1">
        <f t="array" ref="J29">_xll.FDS(J30,"FG_COMPANY_NAME")</f>
        <v>Deutsche Boerse AG</v>
      </c>
      <c r="K29" t="str" cm="1">
        <f t="array" ref="K29">_xll.FDS(K30,"FG_COMPANY_NAME")</f>
        <v>GE Aerospace</v>
      </c>
      <c r="L29" t="str" cm="1">
        <f t="array" ref="L29">_xll.FDS(L30,"FG_COMPANY_NAME")</f>
        <v>Taiwan Semiconductor Manufacturing Co., Ltd. Sponsored ADR</v>
      </c>
      <c r="M29" t="str" cm="1">
        <f t="array" ref="M29">_xll.FDS(M30,"FG_COMPANY_NAME")</f>
        <v>Charles Schwab Corp</v>
      </c>
      <c r="N29" t="str" cm="1">
        <f t="array" ref="N29">_xll.FDS(N30,"FG_COMPANY_NAME")</f>
        <v>Experian PLC</v>
      </c>
      <c r="O29" t="str" cm="1">
        <f t="array" ref="O29">_xll.FDS(O30,"FG_COMPANY_NAME")</f>
        <v>Safran SA</v>
      </c>
      <c r="P29" t="str" cm="1">
        <f t="array" ref="P29">_xll.FDS(P30,"FG_COMPANY_NAME")</f>
        <v>Roche Holding Ltd Dividend Right Cert.</v>
      </c>
      <c r="Q29" t="str" cm="1">
        <f t="array" ref="Q29">_xll.FDS(Q30,"FG_COMPANY_NAME")</f>
        <v>AIA Group Limited</v>
      </c>
      <c r="R29" t="str" cm="1">
        <f t="array" ref="R29">_xll.FDS(R30,"FG_COMPANY_NAME")</f>
        <v>HDFC Bank Limited Sponsored ADR</v>
      </c>
      <c r="S29" t="str" cm="1">
        <f t="array" ref="S29">_xll.FDS(S30,"FG_COMPANY_NAME")</f>
        <v>Intuit Inc.</v>
      </c>
      <c r="T29" t="str" cm="1">
        <f t="array" ref="T29">_xll.FDS(T30,"FG_COMPANY_NAME")</f>
        <v>Edwards Lifesciences Corporation</v>
      </c>
      <c r="U29" t="str" cm="1">
        <f t="array" ref="U29">_xll.FDS(U30,"FG_COMPANY_NAME")</f>
        <v>Ferguson Enterprises Inc.</v>
      </c>
      <c r="V29" t="str" cm="1">
        <f t="array" ref="V29">_xll.FDS(V30,"FG_COMPANY_NAME")</f>
        <v>Zoetis, Inc. Class A</v>
      </c>
      <c r="W29" t="str" cm="1">
        <f t="array" ref="W29">_xll.FDS(W30,"FG_COMPANY_NAME")</f>
        <v>B3 SA - Brasil, Bolsa, Balcao</v>
      </c>
      <c r="X29" t="str" cm="1">
        <f t="array" ref="X29">_xll.FDS(X30,"FG_COMPANY_NAME")</f>
        <v>Atlas Copco AB Class B</v>
      </c>
      <c r="Y29" t="str" cm="1">
        <f t="array" ref="Y29">_xll.FDS(Y30,"FG_COMPANY_NAME")</f>
        <v>Allegion Public Limited Company</v>
      </c>
      <c r="Z29" t="str" cm="1">
        <f t="array" ref="Z29">_xll.FDS(Z30,"FG_COMPANY_NAME")</f>
        <v>AutoZone, Inc.</v>
      </c>
      <c r="AA29" t="str" cm="1">
        <f t="array" ref="AA29">_xll.FDS(AA30,"FG_COMPANY_NAME")</f>
        <v>PT Bank Central Asia Tbk</v>
      </c>
      <c r="AB29" t="str" cm="1">
        <f t="array" ref="AB29">_xll.FDS(AB30,"FG_COMPANY_NAME")</f>
        <v>Rentokil Initial plc</v>
      </c>
      <c r="AC29" t="str" cm="1">
        <f t="array" ref="AC29">_xll.FDS(AC30,"FG_COMPANY_NAME")</f>
        <v>Workday, Inc. Class A</v>
      </c>
      <c r="AD29" t="str" cm="1">
        <f t="array" ref="AD29">_xll.FDS(AD30,"FG_COMPANY_NAME")</f>
        <v>Autodesk, Inc.</v>
      </c>
      <c r="AE29" t="str" cm="1">
        <f t="array" ref="AE29">_xll.FDS(AE30,"FG_COMPANY_NAME")</f>
        <v>Booking Holdings Inc.</v>
      </c>
      <c r="AF29" t="str" cm="1">
        <f t="array" ref="AF29">_xll.FDS(AF30,"FG_COMPANY_NAME")</f>
        <v>CTS Eventim AG &amp; Co. KGaA</v>
      </c>
      <c r="AG29" t="str" cm="1">
        <f t="array" ref="AG29">_xll.FDS(AG30,"FG_COMPANY_NAME")</f>
        <v>Sherwin-Williams Company</v>
      </c>
      <c r="AH29" t="str" cm="1">
        <f t="array" ref="AH29">_xll.FDS(AH30,"FG_COMPANY_NAME")</f>
        <v>Moody's Corporation</v>
      </c>
    </row>
    <row r="30" spans="1:77" ht="15" customHeight="1" x14ac:dyDescent="0.25">
      <c r="C30" s="3" t="str" cm="1">
        <f t="array" ref="C30:AH30">_xll.FDSR(V27,"IDS")</f>
        <v>MSFT-US</v>
      </c>
      <c r="D30" s="6" t="str">
        <v>GOOG-US</v>
      </c>
      <c r="E30" s="6" t="str">
        <v>LSEG-GB</v>
      </c>
      <c r="F30" s="6" t="str">
        <v>V-US</v>
      </c>
      <c r="G30" s="6" t="str">
        <v>MA-US</v>
      </c>
      <c r="H30" s="6" t="str">
        <v>ULVR-GB</v>
      </c>
      <c r="I30" s="6" t="str">
        <v>ASML-US</v>
      </c>
      <c r="J30" s="6" t="str">
        <v>DB1-DE</v>
      </c>
      <c r="K30" s="6" t="str">
        <v>GE-US</v>
      </c>
      <c r="L30" s="6" t="str">
        <v>TSM-US</v>
      </c>
      <c r="M30" s="6" t="str">
        <v>SCHW-US</v>
      </c>
      <c r="N30" s="6" t="str">
        <v>EXPN-GB</v>
      </c>
      <c r="O30" s="6" t="str">
        <v>SAF-FR</v>
      </c>
      <c r="P30" s="6" t="str">
        <v>ROG-CH</v>
      </c>
      <c r="Q30" s="4" t="str">
        <v>1299-HK</v>
      </c>
      <c r="R30" s="4" t="str">
        <v>HDB-US</v>
      </c>
      <c r="S30" s="4" t="str">
        <v>INTU-US</v>
      </c>
      <c r="T30" s="4" t="str">
        <v>EW-US</v>
      </c>
      <c r="U30" s="4" t="str">
        <v>FERG-US</v>
      </c>
      <c r="V30" s="4" t="str">
        <v>ZTS-US</v>
      </c>
      <c r="W30" s="4" t="str">
        <v>B3SA3-BR</v>
      </c>
      <c r="X30" s="4" t="str">
        <v>ATCO.B-SE</v>
      </c>
      <c r="Y30" s="4" t="str">
        <v>ALLE-US</v>
      </c>
      <c r="Z30" s="4" t="str">
        <v>AZO-US</v>
      </c>
      <c r="AA30" s="4" t="str">
        <v>BBCA-ID</v>
      </c>
      <c r="AB30" s="4" t="str">
        <v>RTO-GB</v>
      </c>
      <c r="AC30" s="4" t="str">
        <v>WDAY-US</v>
      </c>
      <c r="AD30" s="4" t="str">
        <v>ADSK-US</v>
      </c>
      <c r="AE30" s="4" t="str">
        <v>BKNG-US</v>
      </c>
      <c r="AF30" s="4" t="str">
        <v>EVD-DE</v>
      </c>
      <c r="AG30" s="4" t="str">
        <v>SHW-US</v>
      </c>
      <c r="AH30" s="4" t="str">
        <v>MCO-US</v>
      </c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</row>
    <row r="31" spans="1:77" x14ac:dyDescent="0.25">
      <c r="A31" t="str" cm="1">
        <f t="array" ref="A31">_xll.FDS(B31,"FG_COMPANY_NAME")</f>
        <v>Microsoft Corporation</v>
      </c>
      <c r="B31" s="4" t="str" cm="1">
        <f t="array" ref="B31:B62">_xll.FDSB(V23,"IDS")</f>
        <v>MSFT-US</v>
      </c>
      <c r="C31" s="2" cm="1">
        <f t="array" ref="C31:AH62">_xll.FDSB("DUMMY","CORREL_MATRIX(CORRELMATRIX)")</f>
        <v>1</v>
      </c>
      <c r="D31" s="2">
        <v>0.66021719999999995</v>
      </c>
      <c r="E31" s="2">
        <v>0.11480432</v>
      </c>
      <c r="F31" s="2">
        <v>0.44737275999999998</v>
      </c>
      <c r="G31" s="2">
        <v>0.48085630000000001</v>
      </c>
      <c r="H31" s="2">
        <v>1.6145427E-2</v>
      </c>
      <c r="I31" s="2">
        <v>0.58226610000000001</v>
      </c>
      <c r="J31" s="2">
        <v>0.14425503000000001</v>
      </c>
      <c r="K31" s="2">
        <v>0.3014616</v>
      </c>
      <c r="L31" s="2">
        <v>0.49037930000000002</v>
      </c>
      <c r="M31" s="2">
        <v>0.26716699999999999</v>
      </c>
      <c r="N31" s="2">
        <v>0.27763397000000001</v>
      </c>
      <c r="O31" s="2">
        <v>0.17271675</v>
      </c>
      <c r="P31" s="2">
        <v>8.9628235000000001E-2</v>
      </c>
      <c r="Q31" s="2">
        <v>8.3109329999999995E-3</v>
      </c>
      <c r="R31" s="2">
        <v>0.28786197000000002</v>
      </c>
      <c r="S31" s="2">
        <v>0.62596165999999998</v>
      </c>
      <c r="T31" s="2">
        <v>0.35392687</v>
      </c>
      <c r="U31" s="2">
        <v>0.35875580000000001</v>
      </c>
      <c r="V31" s="2">
        <v>0.40642412999999999</v>
      </c>
      <c r="W31" s="2">
        <v>0.18600249999999999</v>
      </c>
      <c r="X31" s="2">
        <v>0.26896599999999998</v>
      </c>
      <c r="Y31" s="2">
        <v>0.37333167</v>
      </c>
      <c r="Z31" s="2">
        <v>0.21489932</v>
      </c>
      <c r="AA31" s="2">
        <v>9.8974645E-2</v>
      </c>
      <c r="AB31" s="2">
        <v>0.19745813000000001</v>
      </c>
      <c r="AC31" s="2">
        <v>0.55141306000000001</v>
      </c>
      <c r="AD31" s="2">
        <v>0.57000989999999996</v>
      </c>
      <c r="AE31" s="2">
        <v>0.39047443999999998</v>
      </c>
      <c r="AF31" s="2">
        <v>0.14743001999999999</v>
      </c>
      <c r="AG31" s="2">
        <v>0.35503154999999997</v>
      </c>
      <c r="AH31" s="2">
        <v>0.5726618</v>
      </c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</row>
    <row r="32" spans="1:77" x14ac:dyDescent="0.25">
      <c r="A32" t="str" cm="1">
        <f t="array" ref="A32">_xll.FDS(B32,"FG_COMPANY_NAME")</f>
        <v>Alphabet Inc. Class C</v>
      </c>
      <c r="B32" s="4" t="str">
        <v>GOOG-US</v>
      </c>
      <c r="C32" s="2">
        <v>0.66021719999999995</v>
      </c>
      <c r="D32" s="2">
        <v>1</v>
      </c>
      <c r="E32" s="2">
        <v>0.12889439999999999</v>
      </c>
      <c r="F32" s="2">
        <v>0.39927265000000001</v>
      </c>
      <c r="G32" s="2">
        <v>0.42491433000000001</v>
      </c>
      <c r="H32" s="2">
        <v>2.683493E-2</v>
      </c>
      <c r="I32" s="2">
        <v>0.50340264999999995</v>
      </c>
      <c r="J32" s="2">
        <v>9.8878204999999997E-2</v>
      </c>
      <c r="K32" s="2">
        <v>0.29815143</v>
      </c>
      <c r="L32" s="2">
        <v>0.45100883000000003</v>
      </c>
      <c r="M32" s="2">
        <v>0.24902625</v>
      </c>
      <c r="N32" s="2">
        <v>0.21984063000000001</v>
      </c>
      <c r="O32" s="2">
        <v>0.18892059</v>
      </c>
      <c r="P32" s="2">
        <v>6.1816532E-2</v>
      </c>
      <c r="Q32" s="2">
        <v>4.4050697E-2</v>
      </c>
      <c r="R32" s="2">
        <v>0.26997408000000001</v>
      </c>
      <c r="S32" s="2">
        <v>0.54476254999999996</v>
      </c>
      <c r="T32" s="2">
        <v>0.32421997000000002</v>
      </c>
      <c r="U32" s="2">
        <v>0.29966530000000002</v>
      </c>
      <c r="V32" s="2">
        <v>0.3569</v>
      </c>
      <c r="W32" s="2">
        <v>0.2036618</v>
      </c>
      <c r="X32" s="2">
        <v>0.23337437</v>
      </c>
      <c r="Y32" s="2">
        <v>0.28092483000000001</v>
      </c>
      <c r="Z32" s="2">
        <v>0.15223610000000001</v>
      </c>
      <c r="AA32" s="2">
        <v>5.9248312999999997E-2</v>
      </c>
      <c r="AB32" s="2">
        <v>0.14470749999999999</v>
      </c>
      <c r="AC32" s="2">
        <v>0.4320502</v>
      </c>
      <c r="AD32" s="2">
        <v>0.49197906000000002</v>
      </c>
      <c r="AE32" s="2">
        <v>0.39714432</v>
      </c>
      <c r="AF32" s="2">
        <v>0.14764051</v>
      </c>
      <c r="AG32" s="2">
        <v>0.26885998</v>
      </c>
      <c r="AH32" s="2">
        <v>0.46503523000000002</v>
      </c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</row>
    <row r="33" spans="1:77" x14ac:dyDescent="0.25">
      <c r="A33" t="str" cm="1">
        <f t="array" ref="A33">_xll.FDS(B33,"FG_COMPANY_NAME")</f>
        <v>London Stock Exchange Group plc</v>
      </c>
      <c r="B33" s="4" t="str">
        <v>LSEG-GB</v>
      </c>
      <c r="C33" s="2">
        <v>0.11480432</v>
      </c>
      <c r="D33" s="2">
        <v>0.12889439999999999</v>
      </c>
      <c r="E33" s="2">
        <v>1</v>
      </c>
      <c r="F33" s="2">
        <v>0.17274241000000001</v>
      </c>
      <c r="G33" s="2">
        <v>0.15690845</v>
      </c>
      <c r="H33" s="2">
        <v>0.27212468000000001</v>
      </c>
      <c r="I33" s="2">
        <v>0.19154289999999999</v>
      </c>
      <c r="J33" s="2">
        <v>0.54103785999999998</v>
      </c>
      <c r="K33" s="2">
        <v>9.4351864999999993E-2</v>
      </c>
      <c r="L33" s="2">
        <v>0.13669819</v>
      </c>
      <c r="M33" s="2">
        <v>9.8517289999999993E-2</v>
      </c>
      <c r="N33" s="2">
        <v>0.45928076000000001</v>
      </c>
      <c r="O33" s="2">
        <v>0.28440186000000001</v>
      </c>
      <c r="P33" s="2">
        <v>0.29977077000000002</v>
      </c>
      <c r="Q33" s="2">
        <v>0.12050735999999999</v>
      </c>
      <c r="R33" s="2">
        <v>0.19495246999999999</v>
      </c>
      <c r="S33" s="2">
        <v>0.18303665999999999</v>
      </c>
      <c r="T33" s="2">
        <v>0.18619199</v>
      </c>
      <c r="U33" s="2">
        <v>0.15717058</v>
      </c>
      <c r="V33" s="2">
        <v>0.1726982</v>
      </c>
      <c r="W33" s="2">
        <v>0.13807361000000001</v>
      </c>
      <c r="X33" s="2">
        <v>0.35244115999999998</v>
      </c>
      <c r="Y33" s="2">
        <v>4.0666559999999997E-2</v>
      </c>
      <c r="Z33" s="2">
        <v>6.7865809999999999E-2</v>
      </c>
      <c r="AA33" s="2">
        <v>5.8418787999999999E-2</v>
      </c>
      <c r="AB33" s="2">
        <v>0.31271100000000002</v>
      </c>
      <c r="AC33" s="2">
        <v>0.14092969999999999</v>
      </c>
      <c r="AD33" s="2">
        <v>0.18247983000000001</v>
      </c>
      <c r="AE33" s="2">
        <v>9.8445820000000003E-2</v>
      </c>
      <c r="AF33" s="2">
        <v>0.2795783</v>
      </c>
      <c r="AG33" s="2">
        <v>0.1165571</v>
      </c>
      <c r="AH33" s="2">
        <v>0.25265073999999998</v>
      </c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</row>
    <row r="34" spans="1:77" x14ac:dyDescent="0.25">
      <c r="A34" t="str" cm="1">
        <f t="array" ref="A34">_xll.FDS(B34,"FG_COMPANY_NAME")</f>
        <v>Visa Inc. Class A</v>
      </c>
      <c r="B34" s="4" t="str">
        <v>V-US</v>
      </c>
      <c r="C34" s="2">
        <v>0.44737275999999998</v>
      </c>
      <c r="D34" s="2">
        <v>0.39927265000000001</v>
      </c>
      <c r="E34" s="2">
        <v>0.17274241000000001</v>
      </c>
      <c r="F34" s="2">
        <v>1</v>
      </c>
      <c r="G34" s="2">
        <v>0.88173734999999998</v>
      </c>
      <c r="H34" s="2">
        <v>0.1128113</v>
      </c>
      <c r="I34" s="2">
        <v>0.39051622000000002</v>
      </c>
      <c r="J34" s="2">
        <v>0.21412763000000001</v>
      </c>
      <c r="K34" s="2">
        <v>0.418707</v>
      </c>
      <c r="L34" s="2">
        <v>0.30322325</v>
      </c>
      <c r="M34" s="2">
        <v>0.37733322000000002</v>
      </c>
      <c r="N34" s="2">
        <v>0.27664654999999999</v>
      </c>
      <c r="O34" s="2">
        <v>0.30226920000000002</v>
      </c>
      <c r="P34" s="2">
        <v>0.12770870000000001</v>
      </c>
      <c r="Q34" s="2">
        <v>5.2469287000000003E-2</v>
      </c>
      <c r="R34" s="2">
        <v>0.33338684000000002</v>
      </c>
      <c r="S34" s="2">
        <v>0.48231420000000003</v>
      </c>
      <c r="T34" s="2">
        <v>0.3527749</v>
      </c>
      <c r="U34" s="2">
        <v>0.37868067999999999</v>
      </c>
      <c r="V34" s="2">
        <v>0.41178825000000002</v>
      </c>
      <c r="W34" s="2">
        <v>0.14241677999999999</v>
      </c>
      <c r="X34" s="2">
        <v>0.26348474999999999</v>
      </c>
      <c r="Y34" s="2">
        <v>0.41775014999999999</v>
      </c>
      <c r="Z34" s="2">
        <v>0.29430260000000003</v>
      </c>
      <c r="AA34" s="2">
        <v>7.0578559999999999E-2</v>
      </c>
      <c r="AB34" s="2">
        <v>0.16095908</v>
      </c>
      <c r="AC34" s="2">
        <v>0.40438141999999999</v>
      </c>
      <c r="AD34" s="2">
        <v>0.45402867000000002</v>
      </c>
      <c r="AE34" s="2">
        <v>0.51456714000000003</v>
      </c>
      <c r="AF34" s="2">
        <v>0.26409146</v>
      </c>
      <c r="AG34" s="2">
        <v>0.39198723000000002</v>
      </c>
      <c r="AH34" s="2">
        <v>0.53997110000000004</v>
      </c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</row>
    <row r="35" spans="1:77" x14ac:dyDescent="0.25">
      <c r="A35" t="str" cm="1">
        <f t="array" ref="A35">_xll.FDS(B35,"FG_COMPANY_NAME")</f>
        <v>Mastercard Incorporated Class A</v>
      </c>
      <c r="B35" s="4" t="str">
        <v>MA-US</v>
      </c>
      <c r="C35" s="2">
        <v>0.48085630000000001</v>
      </c>
      <c r="D35" s="2">
        <v>0.42491433000000001</v>
      </c>
      <c r="E35" s="2">
        <v>0.15690845</v>
      </c>
      <c r="F35" s="2">
        <v>0.88173734999999998</v>
      </c>
      <c r="G35" s="2">
        <v>1</v>
      </c>
      <c r="H35" s="2">
        <v>0.121826276</v>
      </c>
      <c r="I35" s="2">
        <v>0.42422022999999998</v>
      </c>
      <c r="J35" s="2">
        <v>0.22820488</v>
      </c>
      <c r="K35" s="2">
        <v>0.44700685000000001</v>
      </c>
      <c r="L35" s="2">
        <v>0.32116454999999999</v>
      </c>
      <c r="M35" s="2">
        <v>0.39673947999999998</v>
      </c>
      <c r="N35" s="2">
        <v>0.27700459999999999</v>
      </c>
      <c r="O35" s="2">
        <v>0.33722252000000003</v>
      </c>
      <c r="P35" s="2">
        <v>0.12520835</v>
      </c>
      <c r="Q35" s="2">
        <v>5.7950254999999999E-2</v>
      </c>
      <c r="R35" s="2">
        <v>0.38355610000000001</v>
      </c>
      <c r="S35" s="2">
        <v>0.52362330000000001</v>
      </c>
      <c r="T35" s="2">
        <v>0.38375455000000003</v>
      </c>
      <c r="U35" s="2">
        <v>0.38851005</v>
      </c>
      <c r="V35" s="2">
        <v>0.43414059999999999</v>
      </c>
      <c r="W35" s="2">
        <v>0.1691443</v>
      </c>
      <c r="X35" s="2">
        <v>0.30399925</v>
      </c>
      <c r="Y35" s="2">
        <v>0.4461775</v>
      </c>
      <c r="Z35" s="2">
        <v>0.28398522999999998</v>
      </c>
      <c r="AA35" s="2">
        <v>7.3454364999999994E-2</v>
      </c>
      <c r="AB35" s="2">
        <v>0.18750892999999999</v>
      </c>
      <c r="AC35" s="2">
        <v>0.43069216999999999</v>
      </c>
      <c r="AD35" s="2">
        <v>0.500421</v>
      </c>
      <c r="AE35" s="2">
        <v>0.56643220000000005</v>
      </c>
      <c r="AF35" s="2">
        <v>0.29873430000000001</v>
      </c>
      <c r="AG35" s="2">
        <v>0.38738151999999998</v>
      </c>
      <c r="AH35" s="2">
        <v>0.56021670000000001</v>
      </c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</row>
    <row r="36" spans="1:77" x14ac:dyDescent="0.25">
      <c r="A36" t="str" cm="1">
        <f t="array" ref="A36">_xll.FDS(B36,"FG_COMPANY_NAME")</f>
        <v>Unilever PLC</v>
      </c>
      <c r="B36" s="4" t="str">
        <v>ULVR-GB</v>
      </c>
      <c r="C36" s="2">
        <v>1.6145427E-2</v>
      </c>
      <c r="D36" s="2">
        <v>2.683493E-2</v>
      </c>
      <c r="E36" s="2">
        <v>0.27212468000000001</v>
      </c>
      <c r="F36" s="2">
        <v>0.1128113</v>
      </c>
      <c r="G36" s="2">
        <v>0.121826276</v>
      </c>
      <c r="H36" s="2">
        <v>1</v>
      </c>
      <c r="I36" s="2">
        <v>3.9971970000000002E-2</v>
      </c>
      <c r="J36" s="2">
        <v>0.34389009999999998</v>
      </c>
      <c r="K36" s="2">
        <v>5.4020529999999997E-2</v>
      </c>
      <c r="L36" s="2">
        <v>2.5981035E-2</v>
      </c>
      <c r="M36" s="2">
        <v>3.5275526000000001E-2</v>
      </c>
      <c r="N36" s="2">
        <v>0.3355551</v>
      </c>
      <c r="O36" s="2">
        <v>0.22893472000000001</v>
      </c>
      <c r="P36" s="2">
        <v>0.28797138</v>
      </c>
      <c r="Q36" s="2">
        <v>0.13305753000000001</v>
      </c>
      <c r="R36" s="2">
        <v>0.13162139</v>
      </c>
      <c r="S36" s="2">
        <v>4.6338905E-2</v>
      </c>
      <c r="T36" s="2">
        <v>2.0011266999999999E-2</v>
      </c>
      <c r="U36" s="2">
        <v>0.12381701000000001</v>
      </c>
      <c r="V36" s="2">
        <v>0.17518487999999999</v>
      </c>
      <c r="W36" s="2">
        <v>4.1053824000000003E-2</v>
      </c>
      <c r="X36" s="2">
        <v>0.23730203999999999</v>
      </c>
      <c r="Y36" s="2">
        <v>9.8312415E-2</v>
      </c>
      <c r="Z36" s="2">
        <v>0.12150303</v>
      </c>
      <c r="AA36" s="2">
        <v>6.315047E-2</v>
      </c>
      <c r="AB36" s="2">
        <v>0.28705733999999999</v>
      </c>
      <c r="AC36" s="2">
        <v>3.5877159999999998E-2</v>
      </c>
      <c r="AD36" s="2">
        <v>6.9559805000000002E-2</v>
      </c>
      <c r="AE36" s="2">
        <v>6.8910553999999999E-2</v>
      </c>
      <c r="AF36" s="2">
        <v>0.18897522999999999</v>
      </c>
      <c r="AG36" s="2">
        <v>0.13355765999999999</v>
      </c>
      <c r="AH36" s="2">
        <v>0.12608184</v>
      </c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</row>
    <row r="37" spans="1:77" x14ac:dyDescent="0.25">
      <c r="A37" t="str" cm="1">
        <f t="array" ref="A37">_xll.FDS(B37,"FG_COMPANY_NAME")</f>
        <v>ASML Holding NV Sponsored ADR</v>
      </c>
      <c r="B37" s="4" t="str">
        <v>ASML-US</v>
      </c>
      <c r="C37" s="2">
        <v>0.58226610000000001</v>
      </c>
      <c r="D37" s="2">
        <v>0.50340264999999995</v>
      </c>
      <c r="E37" s="2">
        <v>0.19154289999999999</v>
      </c>
      <c r="F37" s="2">
        <v>0.39051622000000002</v>
      </c>
      <c r="G37" s="2">
        <v>0.42422022999999998</v>
      </c>
      <c r="H37" s="2">
        <v>3.9971970000000002E-2</v>
      </c>
      <c r="I37" s="2">
        <v>1</v>
      </c>
      <c r="J37" s="2">
        <v>0.19588377000000001</v>
      </c>
      <c r="K37" s="2">
        <v>0.38918861999999999</v>
      </c>
      <c r="L37" s="2">
        <v>0.70035239999999999</v>
      </c>
      <c r="M37" s="2">
        <v>0.30205592999999997</v>
      </c>
      <c r="N37" s="2">
        <v>0.35104869999999999</v>
      </c>
      <c r="O37" s="2">
        <v>0.27095344999999998</v>
      </c>
      <c r="P37" s="2">
        <v>0.10183631</v>
      </c>
      <c r="Q37" s="2">
        <v>8.6207493999999996E-2</v>
      </c>
      <c r="R37" s="2">
        <v>0.31032412999999998</v>
      </c>
      <c r="S37" s="2">
        <v>0.55336730000000001</v>
      </c>
      <c r="T37" s="2">
        <v>0.32355430000000002</v>
      </c>
      <c r="U37" s="2">
        <v>0.45693109999999998</v>
      </c>
      <c r="V37" s="2">
        <v>0.38298844999999998</v>
      </c>
      <c r="W37" s="2">
        <v>0.18508182000000001</v>
      </c>
      <c r="X37" s="2">
        <v>0.44080138000000002</v>
      </c>
      <c r="Y37" s="2">
        <v>0.38972097999999999</v>
      </c>
      <c r="Z37" s="2">
        <v>0.15856994999999999</v>
      </c>
      <c r="AA37" s="2">
        <v>7.2625220000000004E-2</v>
      </c>
      <c r="AB37" s="2">
        <v>0.21007456999999999</v>
      </c>
      <c r="AC37" s="2">
        <v>0.45029160000000001</v>
      </c>
      <c r="AD37" s="2">
        <v>0.55139740000000004</v>
      </c>
      <c r="AE37" s="2">
        <v>0.45197335</v>
      </c>
      <c r="AF37" s="2">
        <v>0.26285029999999998</v>
      </c>
      <c r="AG37" s="2">
        <v>0.34209198000000002</v>
      </c>
      <c r="AH37" s="2">
        <v>0.48905622999999998</v>
      </c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</row>
    <row r="38" spans="1:77" x14ac:dyDescent="0.25">
      <c r="A38" t="str" cm="1">
        <f t="array" ref="A38">_xll.FDS(B38,"FG_COMPANY_NAME")</f>
        <v>Deutsche Boerse AG</v>
      </c>
      <c r="B38" s="4" t="str">
        <v>DB1-DE</v>
      </c>
      <c r="C38" s="2">
        <v>0.14425503000000001</v>
      </c>
      <c r="D38" s="2">
        <v>9.8878204999999997E-2</v>
      </c>
      <c r="E38" s="2">
        <v>0.54103785999999998</v>
      </c>
      <c r="F38" s="2">
        <v>0.21412763000000001</v>
      </c>
      <c r="G38" s="2">
        <v>0.22820488</v>
      </c>
      <c r="H38" s="2">
        <v>0.34389009999999998</v>
      </c>
      <c r="I38" s="2">
        <v>0.19588377000000001</v>
      </c>
      <c r="J38" s="2">
        <v>1</v>
      </c>
      <c r="K38" s="2">
        <v>0.122936726</v>
      </c>
      <c r="L38" s="2">
        <v>0.10890806</v>
      </c>
      <c r="M38" s="2">
        <v>9.5722600000000005E-2</v>
      </c>
      <c r="N38" s="2">
        <v>0.44998568</v>
      </c>
      <c r="O38" s="2">
        <v>0.39820796000000003</v>
      </c>
      <c r="P38" s="2">
        <v>0.34489009999999998</v>
      </c>
      <c r="Q38" s="2">
        <v>8.6693359999999997E-2</v>
      </c>
      <c r="R38" s="2">
        <v>0.22101165</v>
      </c>
      <c r="S38" s="2">
        <v>0.19934581000000001</v>
      </c>
      <c r="T38" s="2">
        <v>0.1659841</v>
      </c>
      <c r="U38" s="2">
        <v>0.14290443</v>
      </c>
      <c r="V38" s="2">
        <v>0.2110136</v>
      </c>
      <c r="W38" s="2">
        <v>0.15060683999999999</v>
      </c>
      <c r="X38" s="2">
        <v>0.38777850000000003</v>
      </c>
      <c r="Y38" s="2">
        <v>0.110066496</v>
      </c>
      <c r="Z38" s="2">
        <v>0.14030321000000001</v>
      </c>
      <c r="AA38" s="2">
        <v>4.4642040000000001E-2</v>
      </c>
      <c r="AB38" s="2">
        <v>0.37145242000000001</v>
      </c>
      <c r="AC38" s="2">
        <v>0.15192589000000001</v>
      </c>
      <c r="AD38" s="2">
        <v>0.1776095</v>
      </c>
      <c r="AE38" s="2">
        <v>0.17202592</v>
      </c>
      <c r="AF38" s="2">
        <v>0.36710357999999998</v>
      </c>
      <c r="AG38" s="2">
        <v>0.14558794</v>
      </c>
      <c r="AH38" s="2">
        <v>0.25797441999999998</v>
      </c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</row>
    <row r="39" spans="1:77" x14ac:dyDescent="0.25">
      <c r="A39" t="str" cm="1">
        <f t="array" ref="A39">_xll.FDS(B39,"FG_COMPANY_NAME")</f>
        <v>GE Aerospace</v>
      </c>
      <c r="B39" s="4" t="str">
        <v>GE-US</v>
      </c>
      <c r="C39" s="2">
        <v>0.3014616</v>
      </c>
      <c r="D39" s="2">
        <v>0.29815143</v>
      </c>
      <c r="E39" s="2">
        <v>9.4351864999999993E-2</v>
      </c>
      <c r="F39" s="2">
        <v>0.418707</v>
      </c>
      <c r="G39" s="2">
        <v>0.44700685000000001</v>
      </c>
      <c r="H39" s="2">
        <v>5.4020529999999997E-2</v>
      </c>
      <c r="I39" s="2">
        <v>0.38918861999999999</v>
      </c>
      <c r="J39" s="2">
        <v>0.122936726</v>
      </c>
      <c r="K39" s="2">
        <v>1</v>
      </c>
      <c r="L39" s="2">
        <v>0.36634833</v>
      </c>
      <c r="M39" s="2">
        <v>0.41518443999999999</v>
      </c>
      <c r="N39" s="2">
        <v>0.16636049999999999</v>
      </c>
      <c r="O39" s="2">
        <v>0.41727880000000001</v>
      </c>
      <c r="P39" s="2">
        <v>3.7413750000000003E-2</v>
      </c>
      <c r="Q39" s="2">
        <v>3.4025840000000002E-2</v>
      </c>
      <c r="R39" s="2">
        <v>0.25862768000000003</v>
      </c>
      <c r="S39" s="2">
        <v>0.33655694000000003</v>
      </c>
      <c r="T39" s="2">
        <v>0.24646682</v>
      </c>
      <c r="U39" s="2">
        <v>0.37180993000000001</v>
      </c>
      <c r="V39" s="2">
        <v>0.23793127</v>
      </c>
      <c r="W39" s="2">
        <v>0.13513638</v>
      </c>
      <c r="X39" s="2">
        <v>0.26889183999999999</v>
      </c>
      <c r="Y39" s="2">
        <v>0.41050642999999998</v>
      </c>
      <c r="Z39" s="2">
        <v>0.20242758</v>
      </c>
      <c r="AA39" s="2">
        <v>6.1334420000000001E-2</v>
      </c>
      <c r="AB39" s="2">
        <v>0.13718649999999999</v>
      </c>
      <c r="AC39" s="2">
        <v>0.21784182999999999</v>
      </c>
      <c r="AD39" s="2">
        <v>0.34777665000000002</v>
      </c>
      <c r="AE39" s="2">
        <v>0.49389368</v>
      </c>
      <c r="AF39" s="2">
        <v>0.26928530000000001</v>
      </c>
      <c r="AG39" s="2">
        <v>0.28647375000000003</v>
      </c>
      <c r="AH39" s="2">
        <v>0.38403314</v>
      </c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</row>
    <row r="40" spans="1:77" x14ac:dyDescent="0.25">
      <c r="A40" t="str" cm="1">
        <f t="array" ref="A40">_xll.FDS(B40,"FG_COMPANY_NAME")</f>
        <v>Taiwan Semiconductor Manufacturing Co., Ltd. Sponsored ADR</v>
      </c>
      <c r="B40" s="4" t="str">
        <v>TSM-US</v>
      </c>
      <c r="C40" s="2">
        <v>0.49037930000000002</v>
      </c>
      <c r="D40" s="2">
        <v>0.45100883000000003</v>
      </c>
      <c r="E40" s="2">
        <v>0.13669819</v>
      </c>
      <c r="F40" s="2">
        <v>0.30322325</v>
      </c>
      <c r="G40" s="2">
        <v>0.32116454999999999</v>
      </c>
      <c r="H40" s="2">
        <v>2.5981035E-2</v>
      </c>
      <c r="I40" s="2">
        <v>0.70035239999999999</v>
      </c>
      <c r="J40" s="2">
        <v>0.10890806</v>
      </c>
      <c r="K40" s="2">
        <v>0.36634833</v>
      </c>
      <c r="L40" s="2">
        <v>1</v>
      </c>
      <c r="M40" s="2">
        <v>0.26972643000000002</v>
      </c>
      <c r="N40" s="2">
        <v>0.2576659</v>
      </c>
      <c r="O40" s="2">
        <v>0.22681462999999999</v>
      </c>
      <c r="P40" s="2">
        <v>4.7630403000000002E-2</v>
      </c>
      <c r="Q40" s="2">
        <v>0.12007378</v>
      </c>
      <c r="R40" s="2">
        <v>0.26383512999999997</v>
      </c>
      <c r="S40" s="2">
        <v>0.44004235000000003</v>
      </c>
      <c r="T40" s="2">
        <v>0.22611692999999999</v>
      </c>
      <c r="U40" s="2">
        <v>0.36989662000000001</v>
      </c>
      <c r="V40" s="2">
        <v>0.25573727000000002</v>
      </c>
      <c r="W40" s="2">
        <v>0.16203232000000001</v>
      </c>
      <c r="X40" s="2">
        <v>0.32127917</v>
      </c>
      <c r="Y40" s="2">
        <v>0.30762087999999999</v>
      </c>
      <c r="Z40" s="2">
        <v>7.6329560000000005E-2</v>
      </c>
      <c r="AA40" s="2">
        <v>9.3668749999999995E-2</v>
      </c>
      <c r="AB40" s="2">
        <v>0.14474719999999999</v>
      </c>
      <c r="AC40" s="2">
        <v>0.36428177</v>
      </c>
      <c r="AD40" s="2">
        <v>0.46506130000000001</v>
      </c>
      <c r="AE40" s="2">
        <v>0.3971287</v>
      </c>
      <c r="AF40" s="2">
        <v>0.17484505</v>
      </c>
      <c r="AG40" s="2">
        <v>0.25789430000000002</v>
      </c>
      <c r="AH40" s="2">
        <v>0.38030174</v>
      </c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</row>
    <row r="41" spans="1:77" x14ac:dyDescent="0.25">
      <c r="A41" t="str" cm="1">
        <f t="array" ref="A41">_xll.FDS(B41,"FG_COMPANY_NAME")</f>
        <v>Charles Schwab Corp</v>
      </c>
      <c r="B41" s="4" t="str">
        <v>SCHW-US</v>
      </c>
      <c r="C41" s="2">
        <v>0.26716699999999999</v>
      </c>
      <c r="D41" s="2">
        <v>0.24902625</v>
      </c>
      <c r="E41" s="2">
        <v>9.8517289999999993E-2</v>
      </c>
      <c r="F41" s="2">
        <v>0.37733322000000002</v>
      </c>
      <c r="G41" s="2">
        <v>0.39673947999999998</v>
      </c>
      <c r="H41" s="2">
        <v>3.5275526000000001E-2</v>
      </c>
      <c r="I41" s="2">
        <v>0.30205592999999997</v>
      </c>
      <c r="J41" s="2">
        <v>9.5722600000000005E-2</v>
      </c>
      <c r="K41" s="2">
        <v>0.41518443999999999</v>
      </c>
      <c r="L41" s="2">
        <v>0.26972643000000002</v>
      </c>
      <c r="M41" s="2">
        <v>1</v>
      </c>
      <c r="N41" s="2">
        <v>0.15361369</v>
      </c>
      <c r="O41" s="2">
        <v>0.29598545999999998</v>
      </c>
      <c r="P41" s="2">
        <v>5.6033220000000004E-4</v>
      </c>
      <c r="Q41" s="2">
        <v>3.4178800000000002E-2</v>
      </c>
      <c r="R41" s="2">
        <v>0.30701790000000001</v>
      </c>
      <c r="S41" s="2">
        <v>0.317386</v>
      </c>
      <c r="T41" s="2">
        <v>0.18734102</v>
      </c>
      <c r="U41" s="2">
        <v>0.29130425999999998</v>
      </c>
      <c r="V41" s="2">
        <v>0.20451726000000001</v>
      </c>
      <c r="W41" s="2">
        <v>0.17271893999999999</v>
      </c>
      <c r="X41" s="2">
        <v>0.22151203</v>
      </c>
      <c r="Y41" s="2">
        <v>0.3963527</v>
      </c>
      <c r="Z41" s="2">
        <v>0.23189103999999999</v>
      </c>
      <c r="AA41" s="2">
        <v>0.10204573</v>
      </c>
      <c r="AB41" s="2">
        <v>6.1673869999999999E-2</v>
      </c>
      <c r="AC41" s="2">
        <v>0.23859946000000001</v>
      </c>
      <c r="AD41" s="2">
        <v>0.32080665000000003</v>
      </c>
      <c r="AE41" s="2">
        <v>0.39641567999999999</v>
      </c>
      <c r="AF41" s="2">
        <v>0.20724936999999999</v>
      </c>
      <c r="AG41" s="2">
        <v>0.27418944000000001</v>
      </c>
      <c r="AH41" s="2">
        <v>0.33861277000000001</v>
      </c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</row>
    <row r="42" spans="1:77" x14ac:dyDescent="0.25">
      <c r="A42" t="str" cm="1">
        <f t="array" ref="A42">_xll.FDS(B42,"FG_COMPANY_NAME")</f>
        <v>Experian PLC</v>
      </c>
      <c r="B42" s="4" t="str">
        <v>EXPN-GB</v>
      </c>
      <c r="C42" s="2">
        <v>0.27763397000000001</v>
      </c>
      <c r="D42" s="2">
        <v>0.21984063000000001</v>
      </c>
      <c r="E42" s="2">
        <v>0.45928076000000001</v>
      </c>
      <c r="F42" s="2">
        <v>0.27664654999999999</v>
      </c>
      <c r="G42" s="2">
        <v>0.27700459999999999</v>
      </c>
      <c r="H42" s="2">
        <v>0.3355551</v>
      </c>
      <c r="I42" s="2">
        <v>0.35104869999999999</v>
      </c>
      <c r="J42" s="2">
        <v>0.44998568</v>
      </c>
      <c r="K42" s="2">
        <v>0.16636049999999999</v>
      </c>
      <c r="L42" s="2">
        <v>0.2576659</v>
      </c>
      <c r="M42" s="2">
        <v>0.15361369</v>
      </c>
      <c r="N42" s="2">
        <v>1</v>
      </c>
      <c r="O42" s="2">
        <v>0.42458129999999999</v>
      </c>
      <c r="P42" s="2">
        <v>0.35048857</v>
      </c>
      <c r="Q42" s="2">
        <v>0.12665023</v>
      </c>
      <c r="R42" s="2">
        <v>0.23366344</v>
      </c>
      <c r="S42" s="2">
        <v>0.30833653</v>
      </c>
      <c r="T42" s="2">
        <v>0.22989279000000001</v>
      </c>
      <c r="U42" s="2">
        <v>0.32436532000000001</v>
      </c>
      <c r="V42" s="2">
        <v>0.31517896000000001</v>
      </c>
      <c r="W42" s="2">
        <v>0.16125801000000001</v>
      </c>
      <c r="X42" s="2">
        <v>0.57328904000000003</v>
      </c>
      <c r="Y42" s="2">
        <v>0.25776263999999999</v>
      </c>
      <c r="Z42" s="2">
        <v>0.15172533999999999</v>
      </c>
      <c r="AA42" s="2">
        <v>7.5019130000000003E-2</v>
      </c>
      <c r="AB42" s="2">
        <v>0.52231896</v>
      </c>
      <c r="AC42" s="2">
        <v>0.23014224</v>
      </c>
      <c r="AD42" s="2">
        <v>0.30139517999999998</v>
      </c>
      <c r="AE42" s="2">
        <v>0.18981888999999999</v>
      </c>
      <c r="AF42" s="2">
        <v>0.34089434000000002</v>
      </c>
      <c r="AG42" s="2">
        <v>0.31370189999999998</v>
      </c>
      <c r="AH42" s="2">
        <v>0.40515827999999998</v>
      </c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</row>
    <row r="43" spans="1:77" x14ac:dyDescent="0.25">
      <c r="A43" t="str" cm="1">
        <f t="array" ref="A43">_xll.FDS(B43,"FG_COMPANY_NAME")</f>
        <v>Safran SA</v>
      </c>
      <c r="B43" s="4" t="str">
        <v>SAF-FR</v>
      </c>
      <c r="C43" s="2">
        <v>0.17271675</v>
      </c>
      <c r="D43" s="2">
        <v>0.18892059</v>
      </c>
      <c r="E43" s="2">
        <v>0.28440186000000001</v>
      </c>
      <c r="F43" s="2">
        <v>0.30226920000000002</v>
      </c>
      <c r="G43" s="2">
        <v>0.33722252000000003</v>
      </c>
      <c r="H43" s="2">
        <v>0.22893472000000001</v>
      </c>
      <c r="I43" s="2">
        <v>0.27095344999999998</v>
      </c>
      <c r="J43" s="2">
        <v>0.39820796000000003</v>
      </c>
      <c r="K43" s="2">
        <v>0.41727880000000001</v>
      </c>
      <c r="L43" s="2">
        <v>0.22681462999999999</v>
      </c>
      <c r="M43" s="2">
        <v>0.29598545999999998</v>
      </c>
      <c r="N43" s="2">
        <v>0.42458129999999999</v>
      </c>
      <c r="O43" s="2">
        <v>1</v>
      </c>
      <c r="P43" s="2">
        <v>0.21131512999999999</v>
      </c>
      <c r="Q43" s="2">
        <v>0.14178161</v>
      </c>
      <c r="R43" s="2">
        <v>0.29576715999999997</v>
      </c>
      <c r="S43" s="2">
        <v>0.21018147000000001</v>
      </c>
      <c r="T43" s="2">
        <v>0.17405881000000001</v>
      </c>
      <c r="U43" s="2">
        <v>0.28840779999999999</v>
      </c>
      <c r="V43" s="2">
        <v>0.10838473</v>
      </c>
      <c r="W43" s="2">
        <v>0.17025054000000001</v>
      </c>
      <c r="X43" s="2">
        <v>0.49826986000000001</v>
      </c>
      <c r="Y43" s="2">
        <v>0.24358142999999999</v>
      </c>
      <c r="Z43" s="2">
        <v>0.12743644000000001</v>
      </c>
      <c r="AA43" s="2">
        <v>0.11091050500000001</v>
      </c>
      <c r="AB43" s="2">
        <v>0.28363976000000002</v>
      </c>
      <c r="AC43" s="2">
        <v>0.14111636999999999</v>
      </c>
      <c r="AD43" s="2">
        <v>0.20658293</v>
      </c>
      <c r="AE43" s="2">
        <v>0.40367832999999997</v>
      </c>
      <c r="AF43" s="2">
        <v>0.50677749999999999</v>
      </c>
      <c r="AG43" s="2">
        <v>0.17269012</v>
      </c>
      <c r="AH43" s="2">
        <v>0.24065845</v>
      </c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</row>
    <row r="44" spans="1:77" x14ac:dyDescent="0.25">
      <c r="A44" t="str" cm="1">
        <f t="array" ref="A44">_xll.FDS(B44,"FG_COMPANY_NAME")</f>
        <v>Roche Holding Ltd Dividend Right Cert.</v>
      </c>
      <c r="B44" s="4" t="str">
        <v>ROG-CH</v>
      </c>
      <c r="C44" s="2">
        <v>8.9628235000000001E-2</v>
      </c>
      <c r="D44" s="2">
        <v>6.1816532E-2</v>
      </c>
      <c r="E44" s="2">
        <v>0.29977077000000002</v>
      </c>
      <c r="F44" s="2">
        <v>0.12770870000000001</v>
      </c>
      <c r="G44" s="2">
        <v>0.12520835</v>
      </c>
      <c r="H44" s="2">
        <v>0.28797138</v>
      </c>
      <c r="I44" s="2">
        <v>0.10183631</v>
      </c>
      <c r="J44" s="2">
        <v>0.34489009999999998</v>
      </c>
      <c r="K44" s="2">
        <v>3.7413750000000003E-2</v>
      </c>
      <c r="L44" s="2">
        <v>4.7630403000000002E-2</v>
      </c>
      <c r="M44" s="2">
        <v>5.6033220000000004E-4</v>
      </c>
      <c r="N44" s="2">
        <v>0.35048857</v>
      </c>
      <c r="O44" s="2">
        <v>0.21131512999999999</v>
      </c>
      <c r="P44" s="2">
        <v>1</v>
      </c>
      <c r="Q44" s="2">
        <v>7.5355370000000005E-2</v>
      </c>
      <c r="R44" s="2">
        <v>0.16362783</v>
      </c>
      <c r="S44" s="2">
        <v>0.13735244999999999</v>
      </c>
      <c r="T44" s="2">
        <v>7.1826340000000002E-2</v>
      </c>
      <c r="U44" s="2">
        <v>0.13387391000000001</v>
      </c>
      <c r="V44" s="2">
        <v>0.19214120000000001</v>
      </c>
      <c r="W44" s="2">
        <v>7.6252689999999998E-2</v>
      </c>
      <c r="X44" s="2">
        <v>0.27645283999999998</v>
      </c>
      <c r="Y44" s="2">
        <v>9.0241774999999996E-2</v>
      </c>
      <c r="Z44" s="2">
        <v>0.10438309599999999</v>
      </c>
      <c r="AA44" s="2">
        <v>4.397877E-2</v>
      </c>
      <c r="AB44" s="2">
        <v>0.29526287000000001</v>
      </c>
      <c r="AC44" s="2">
        <v>0.12870222000000001</v>
      </c>
      <c r="AD44" s="2">
        <v>9.1970579999999996E-2</v>
      </c>
      <c r="AE44" s="2">
        <v>3.8462575999999998E-2</v>
      </c>
      <c r="AF44" s="2">
        <v>0.1849121</v>
      </c>
      <c r="AG44" s="2">
        <v>0.14701863000000001</v>
      </c>
      <c r="AH44" s="2">
        <v>0.22151061999999999</v>
      </c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</row>
    <row r="45" spans="1:77" x14ac:dyDescent="0.25">
      <c r="A45" t="str" cm="1">
        <f t="array" ref="A45">_xll.FDS(B45,"FG_COMPANY_NAME")</f>
        <v>AIA Group Limited</v>
      </c>
      <c r="B45" s="4" t="str">
        <v>1299-HK</v>
      </c>
      <c r="C45" s="2">
        <v>8.3109329999999995E-3</v>
      </c>
      <c r="D45" s="2">
        <v>4.4050697E-2</v>
      </c>
      <c r="E45" s="2">
        <v>0.12050735999999999</v>
      </c>
      <c r="F45" s="2">
        <v>5.2469287000000003E-2</v>
      </c>
      <c r="G45" s="2">
        <v>5.7950254999999999E-2</v>
      </c>
      <c r="H45" s="2">
        <v>0.13305753000000001</v>
      </c>
      <c r="I45" s="2">
        <v>8.6207493999999996E-2</v>
      </c>
      <c r="J45" s="2">
        <v>8.6693359999999997E-2</v>
      </c>
      <c r="K45" s="2">
        <v>3.4025840000000002E-2</v>
      </c>
      <c r="L45" s="2">
        <v>0.12007378</v>
      </c>
      <c r="M45" s="2">
        <v>3.4178800000000002E-2</v>
      </c>
      <c r="N45" s="2">
        <v>0.12665023</v>
      </c>
      <c r="O45" s="2">
        <v>0.14178161</v>
      </c>
      <c r="P45" s="2">
        <v>7.5355370000000005E-2</v>
      </c>
      <c r="Q45" s="2">
        <v>1</v>
      </c>
      <c r="R45" s="2">
        <v>0.10757822</v>
      </c>
      <c r="S45" s="2">
        <v>3.9035229999999997E-2</v>
      </c>
      <c r="T45" s="2">
        <v>3.7537425999999999E-2</v>
      </c>
      <c r="U45" s="2">
        <v>4.8805914999999998E-2</v>
      </c>
      <c r="V45" s="2">
        <v>5.3312283000000002E-2</v>
      </c>
      <c r="W45" s="2">
        <v>0.11416633</v>
      </c>
      <c r="X45" s="2">
        <v>0.16275034999999999</v>
      </c>
      <c r="Y45" s="2">
        <v>5.2125268000000002E-2</v>
      </c>
      <c r="Z45" s="2">
        <v>-1.8566652999999999E-2</v>
      </c>
      <c r="AA45" s="2">
        <v>0.12656653000000001</v>
      </c>
      <c r="AB45" s="2">
        <v>9.4398590000000004E-2</v>
      </c>
      <c r="AC45" s="2">
        <v>2.5650848E-2</v>
      </c>
      <c r="AD45" s="2">
        <v>4.2687595000000002E-2</v>
      </c>
      <c r="AE45" s="2">
        <v>8.1373189999999998E-2</v>
      </c>
      <c r="AF45" s="2">
        <v>0.12958428</v>
      </c>
      <c r="AG45" s="2">
        <v>9.4929490000000005E-3</v>
      </c>
      <c r="AH45" s="2">
        <v>4.9383110000000001E-2</v>
      </c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</row>
    <row r="46" spans="1:77" x14ac:dyDescent="0.25">
      <c r="A46" t="str" cm="1">
        <f t="array" ref="A46">_xll.FDS(B46,"FG_COMPANY_NAME")</f>
        <v>HDFC Bank Limited Sponsored ADR</v>
      </c>
      <c r="B46" s="4" t="str">
        <v>HDB-US</v>
      </c>
      <c r="C46" s="2">
        <v>0.28786197000000002</v>
      </c>
      <c r="D46" s="2">
        <v>0.26997408000000001</v>
      </c>
      <c r="E46" s="2">
        <v>0.19495246999999999</v>
      </c>
      <c r="F46" s="2">
        <v>0.33338684000000002</v>
      </c>
      <c r="G46" s="2">
        <v>0.38355610000000001</v>
      </c>
      <c r="H46" s="2">
        <v>0.13162139</v>
      </c>
      <c r="I46" s="2">
        <v>0.31032412999999998</v>
      </c>
      <c r="J46" s="2">
        <v>0.22101165</v>
      </c>
      <c r="K46" s="2">
        <v>0.25862768000000003</v>
      </c>
      <c r="L46" s="2">
        <v>0.26383512999999997</v>
      </c>
      <c r="M46" s="2">
        <v>0.30701790000000001</v>
      </c>
      <c r="N46" s="2">
        <v>0.23366344</v>
      </c>
      <c r="O46" s="2">
        <v>0.29576715999999997</v>
      </c>
      <c r="P46" s="2">
        <v>0.16362783</v>
      </c>
      <c r="Q46" s="2">
        <v>0.10757822</v>
      </c>
      <c r="R46" s="2">
        <v>1</v>
      </c>
      <c r="S46" s="2">
        <v>0.31683584999999997</v>
      </c>
      <c r="T46" s="2">
        <v>0.22424337</v>
      </c>
      <c r="U46" s="2">
        <v>0.28096628000000001</v>
      </c>
      <c r="V46" s="2">
        <v>0.26792565000000002</v>
      </c>
      <c r="W46" s="2">
        <v>0.16979148999999999</v>
      </c>
      <c r="X46" s="2">
        <v>0.26914369999999999</v>
      </c>
      <c r="Y46" s="2">
        <v>0.28594356999999998</v>
      </c>
      <c r="Z46" s="2">
        <v>0.15615770000000001</v>
      </c>
      <c r="AA46" s="2">
        <v>0.12752318000000001</v>
      </c>
      <c r="AB46" s="2">
        <v>0.17824054</v>
      </c>
      <c r="AC46" s="2">
        <v>0.26493755000000002</v>
      </c>
      <c r="AD46" s="2">
        <v>0.35084157999999999</v>
      </c>
      <c r="AE46" s="2">
        <v>0.33963670000000001</v>
      </c>
      <c r="AF46" s="2">
        <v>0.27277034999999999</v>
      </c>
      <c r="AG46" s="2">
        <v>0.23394033</v>
      </c>
      <c r="AH46" s="2">
        <v>0.31985282999999998</v>
      </c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</row>
    <row r="47" spans="1:77" x14ac:dyDescent="0.25">
      <c r="A47" t="str" cm="1">
        <f t="array" ref="A47">_xll.FDS(B47,"FG_COMPANY_NAME")</f>
        <v>Intuit Inc.</v>
      </c>
      <c r="B47" s="4" t="str">
        <v>INTU-US</v>
      </c>
      <c r="C47" s="2">
        <v>0.62596165999999998</v>
      </c>
      <c r="D47" s="2">
        <v>0.54476254999999996</v>
      </c>
      <c r="E47" s="2">
        <v>0.18303665999999999</v>
      </c>
      <c r="F47" s="2">
        <v>0.48231420000000003</v>
      </c>
      <c r="G47" s="2">
        <v>0.52362330000000001</v>
      </c>
      <c r="H47" s="2">
        <v>4.6338905E-2</v>
      </c>
      <c r="I47" s="2">
        <v>0.55336730000000001</v>
      </c>
      <c r="J47" s="2">
        <v>0.19934581000000001</v>
      </c>
      <c r="K47" s="2">
        <v>0.33655694000000003</v>
      </c>
      <c r="L47" s="2">
        <v>0.44004235000000003</v>
      </c>
      <c r="M47" s="2">
        <v>0.317386</v>
      </c>
      <c r="N47" s="2">
        <v>0.30833653</v>
      </c>
      <c r="O47" s="2">
        <v>0.21018147000000001</v>
      </c>
      <c r="P47" s="2">
        <v>0.13735244999999999</v>
      </c>
      <c r="Q47" s="2">
        <v>3.9035229999999997E-2</v>
      </c>
      <c r="R47" s="2">
        <v>0.31683584999999997</v>
      </c>
      <c r="S47" s="2">
        <v>1</v>
      </c>
      <c r="T47" s="2">
        <v>0.39256020000000003</v>
      </c>
      <c r="U47" s="2">
        <v>0.39339897000000001</v>
      </c>
      <c r="V47" s="2">
        <v>0.46612179999999998</v>
      </c>
      <c r="W47" s="2">
        <v>0.15552998000000001</v>
      </c>
      <c r="X47" s="2">
        <v>0.28714323000000003</v>
      </c>
      <c r="Y47" s="2">
        <v>0.38910980000000001</v>
      </c>
      <c r="Z47" s="2">
        <v>0.2171235</v>
      </c>
      <c r="AA47" s="2">
        <v>5.4165936999999997E-2</v>
      </c>
      <c r="AB47" s="2">
        <v>0.21849826</v>
      </c>
      <c r="AC47" s="2">
        <v>0.61061679999999996</v>
      </c>
      <c r="AD47" s="2">
        <v>0.64434785000000006</v>
      </c>
      <c r="AE47" s="2">
        <v>0.44671327</v>
      </c>
      <c r="AF47" s="2">
        <v>0.21181016999999999</v>
      </c>
      <c r="AG47" s="2">
        <v>0.39583263000000002</v>
      </c>
      <c r="AH47" s="2">
        <v>0.57665264999999999</v>
      </c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</row>
    <row r="48" spans="1:77" x14ac:dyDescent="0.25">
      <c r="A48" t="str" cm="1">
        <f t="array" ref="A48">_xll.FDS(B48,"FG_COMPANY_NAME")</f>
        <v>Edwards Lifesciences Corporation</v>
      </c>
      <c r="B48" s="4" t="str">
        <v>EW-US</v>
      </c>
      <c r="C48" s="2">
        <v>0.35392687</v>
      </c>
      <c r="D48" s="2">
        <v>0.32421997000000002</v>
      </c>
      <c r="E48" s="2">
        <v>0.18619199</v>
      </c>
      <c r="F48" s="2">
        <v>0.3527749</v>
      </c>
      <c r="G48" s="2">
        <v>0.38375455000000003</v>
      </c>
      <c r="H48" s="2">
        <v>2.0011266999999999E-2</v>
      </c>
      <c r="I48" s="2">
        <v>0.32355430000000002</v>
      </c>
      <c r="J48" s="2">
        <v>0.1659841</v>
      </c>
      <c r="K48" s="2">
        <v>0.24646682</v>
      </c>
      <c r="L48" s="2">
        <v>0.22611692999999999</v>
      </c>
      <c r="M48" s="2">
        <v>0.18734102</v>
      </c>
      <c r="N48" s="2">
        <v>0.22989279000000001</v>
      </c>
      <c r="O48" s="2">
        <v>0.17405881000000001</v>
      </c>
      <c r="P48" s="2">
        <v>7.1826340000000002E-2</v>
      </c>
      <c r="Q48" s="2">
        <v>3.7537425999999999E-2</v>
      </c>
      <c r="R48" s="2">
        <v>0.22424337</v>
      </c>
      <c r="S48" s="2">
        <v>0.39256020000000003</v>
      </c>
      <c r="T48" s="2">
        <v>1</v>
      </c>
      <c r="U48" s="2">
        <v>0.19782185999999999</v>
      </c>
      <c r="V48" s="2">
        <v>0.36334464</v>
      </c>
      <c r="W48" s="2">
        <v>0.1316958</v>
      </c>
      <c r="X48" s="2">
        <v>0.20185311</v>
      </c>
      <c r="Y48" s="2">
        <v>0.28096130000000002</v>
      </c>
      <c r="Z48" s="2">
        <v>0.15960535000000001</v>
      </c>
      <c r="AA48" s="2">
        <v>5.175569E-2</v>
      </c>
      <c r="AB48" s="2">
        <v>0.17746662999999999</v>
      </c>
      <c r="AC48" s="2">
        <v>0.2969387</v>
      </c>
      <c r="AD48" s="2">
        <v>0.37196097</v>
      </c>
      <c r="AE48" s="2">
        <v>0.31826599999999999</v>
      </c>
      <c r="AF48" s="2">
        <v>0.16762278999999999</v>
      </c>
      <c r="AG48" s="2">
        <v>0.25086343</v>
      </c>
      <c r="AH48" s="2">
        <v>0.37441856000000001</v>
      </c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</row>
    <row r="49" spans="1:77" x14ac:dyDescent="0.25">
      <c r="A49" t="str" cm="1">
        <f t="array" ref="A49">_xll.FDS(B49,"FG_COMPANY_NAME")</f>
        <v>Ferguson Enterprises Inc.</v>
      </c>
      <c r="B49" s="4" t="str">
        <v>FERG-US</v>
      </c>
      <c r="C49" s="2">
        <v>0.35875580000000001</v>
      </c>
      <c r="D49" s="2">
        <v>0.29966530000000002</v>
      </c>
      <c r="E49" s="2">
        <v>0.15717058</v>
      </c>
      <c r="F49" s="2">
        <v>0.37868067999999999</v>
      </c>
      <c r="G49" s="2">
        <v>0.38851005</v>
      </c>
      <c r="H49" s="2">
        <v>0.12381701000000001</v>
      </c>
      <c r="I49" s="2">
        <v>0.45693109999999998</v>
      </c>
      <c r="J49" s="2">
        <v>0.14290443</v>
      </c>
      <c r="K49" s="2">
        <v>0.37180993000000001</v>
      </c>
      <c r="L49" s="2">
        <v>0.36989662000000001</v>
      </c>
      <c r="M49" s="2">
        <v>0.29130425999999998</v>
      </c>
      <c r="N49" s="2">
        <v>0.32436532000000001</v>
      </c>
      <c r="O49" s="2">
        <v>0.28840779999999999</v>
      </c>
      <c r="P49" s="2">
        <v>0.13387391000000001</v>
      </c>
      <c r="Q49" s="2">
        <v>4.8805914999999998E-2</v>
      </c>
      <c r="R49" s="2">
        <v>0.28096628000000001</v>
      </c>
      <c r="S49" s="2">
        <v>0.39339897000000001</v>
      </c>
      <c r="T49" s="2">
        <v>0.19782185999999999</v>
      </c>
      <c r="U49" s="2">
        <v>1</v>
      </c>
      <c r="V49" s="2">
        <v>0.34693485000000002</v>
      </c>
      <c r="W49" s="2">
        <v>0.15949664999999999</v>
      </c>
      <c r="X49" s="2">
        <v>0.37543369999999998</v>
      </c>
      <c r="Y49" s="2">
        <v>0.45536422999999998</v>
      </c>
      <c r="Z49" s="2">
        <v>0.20926523</v>
      </c>
      <c r="AA49" s="2">
        <v>3.1968568000000003E-2</v>
      </c>
      <c r="AB49" s="2">
        <v>0.22803198</v>
      </c>
      <c r="AC49" s="2">
        <v>0.35311883999999999</v>
      </c>
      <c r="AD49" s="2">
        <v>0.43644047000000002</v>
      </c>
      <c r="AE49" s="2">
        <v>0.35342522999999998</v>
      </c>
      <c r="AF49" s="2">
        <v>0.19715057</v>
      </c>
      <c r="AG49" s="2">
        <v>0.41013709999999998</v>
      </c>
      <c r="AH49" s="2">
        <v>0.44597324999999999</v>
      </c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</row>
    <row r="50" spans="1:77" x14ac:dyDescent="0.25">
      <c r="A50" t="str" cm="1">
        <f t="array" ref="A50">_xll.FDS(B50,"FG_COMPANY_NAME")</f>
        <v>Zoetis, Inc. Class A</v>
      </c>
      <c r="B50" s="4" t="str">
        <v>ZTS-US</v>
      </c>
      <c r="C50" s="2">
        <v>0.40642412999999999</v>
      </c>
      <c r="D50" s="2">
        <v>0.3569</v>
      </c>
      <c r="E50" s="2">
        <v>0.1726982</v>
      </c>
      <c r="F50" s="2">
        <v>0.41178825000000002</v>
      </c>
      <c r="G50" s="2">
        <v>0.43414059999999999</v>
      </c>
      <c r="H50" s="2">
        <v>0.17518487999999999</v>
      </c>
      <c r="I50" s="2">
        <v>0.38298844999999998</v>
      </c>
      <c r="J50" s="2">
        <v>0.2110136</v>
      </c>
      <c r="K50" s="2">
        <v>0.23793127</v>
      </c>
      <c r="L50" s="2">
        <v>0.25573727000000002</v>
      </c>
      <c r="M50" s="2">
        <v>0.20451726000000001</v>
      </c>
      <c r="N50" s="2">
        <v>0.31517896000000001</v>
      </c>
      <c r="O50" s="2">
        <v>0.10838473</v>
      </c>
      <c r="P50" s="2">
        <v>0.19214120000000001</v>
      </c>
      <c r="Q50" s="2">
        <v>5.3312283000000002E-2</v>
      </c>
      <c r="R50" s="2">
        <v>0.26792565000000002</v>
      </c>
      <c r="S50" s="2">
        <v>0.46612179999999998</v>
      </c>
      <c r="T50" s="2">
        <v>0.36334464</v>
      </c>
      <c r="U50" s="2">
        <v>0.34693485000000002</v>
      </c>
      <c r="V50" s="2">
        <v>1</v>
      </c>
      <c r="W50" s="2">
        <v>0.13069317999999999</v>
      </c>
      <c r="X50" s="2">
        <v>0.23051614000000001</v>
      </c>
      <c r="Y50" s="2">
        <v>0.39521497</v>
      </c>
      <c r="Z50" s="2">
        <v>0.27457425000000002</v>
      </c>
      <c r="AA50" s="2">
        <v>5.2253239999999999E-2</v>
      </c>
      <c r="AB50" s="2">
        <v>0.18845870000000001</v>
      </c>
      <c r="AC50" s="2">
        <v>0.38298480000000001</v>
      </c>
      <c r="AD50" s="2">
        <v>0.42648733</v>
      </c>
      <c r="AE50" s="2">
        <v>0.29217254999999998</v>
      </c>
      <c r="AF50" s="2">
        <v>0.14628189999999999</v>
      </c>
      <c r="AG50" s="2">
        <v>0.43629213999999999</v>
      </c>
      <c r="AH50" s="2">
        <v>0.53689324999999999</v>
      </c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</row>
    <row r="51" spans="1:77" x14ac:dyDescent="0.25">
      <c r="A51" t="str" cm="1">
        <f t="array" ref="A51">_xll.FDS(B51,"FG_COMPANY_NAME")</f>
        <v>B3 SA - Brasil, Bolsa, Balcao</v>
      </c>
      <c r="B51" s="4" t="str">
        <v>B3SA3-BR</v>
      </c>
      <c r="C51" s="2">
        <v>0.18600249999999999</v>
      </c>
      <c r="D51" s="2">
        <v>0.2036618</v>
      </c>
      <c r="E51" s="2">
        <v>0.13807361000000001</v>
      </c>
      <c r="F51" s="2">
        <v>0.14241677999999999</v>
      </c>
      <c r="G51" s="2">
        <v>0.1691443</v>
      </c>
      <c r="H51" s="2">
        <v>4.1053824000000003E-2</v>
      </c>
      <c r="I51" s="2">
        <v>0.18508182000000001</v>
      </c>
      <c r="J51" s="2">
        <v>0.15060683999999999</v>
      </c>
      <c r="K51" s="2">
        <v>0.13513638</v>
      </c>
      <c r="L51" s="2">
        <v>0.16203232000000001</v>
      </c>
      <c r="M51" s="2">
        <v>0.17271893999999999</v>
      </c>
      <c r="N51" s="2">
        <v>0.16125801000000001</v>
      </c>
      <c r="O51" s="2">
        <v>0.17025054000000001</v>
      </c>
      <c r="P51" s="2">
        <v>7.6252689999999998E-2</v>
      </c>
      <c r="Q51" s="2">
        <v>0.11416633</v>
      </c>
      <c r="R51" s="2">
        <v>0.16979148999999999</v>
      </c>
      <c r="S51" s="2">
        <v>0.15552998000000001</v>
      </c>
      <c r="T51" s="2">
        <v>0.1316958</v>
      </c>
      <c r="U51" s="2">
        <v>0.15949664999999999</v>
      </c>
      <c r="V51" s="2">
        <v>0.13069317999999999</v>
      </c>
      <c r="W51" s="2">
        <v>1</v>
      </c>
      <c r="X51" s="2">
        <v>0.17160220000000001</v>
      </c>
      <c r="Y51" s="2">
        <v>0.13749359999999999</v>
      </c>
      <c r="Z51" s="2">
        <v>7.8253455E-2</v>
      </c>
      <c r="AA51" s="2">
        <v>7.2473880000000004E-2</v>
      </c>
      <c r="AB51" s="2">
        <v>9.9965139999999994E-2</v>
      </c>
      <c r="AC51" s="2">
        <v>0.17177677</v>
      </c>
      <c r="AD51" s="2">
        <v>0.1792791</v>
      </c>
      <c r="AE51" s="2">
        <v>0.15277742999999999</v>
      </c>
      <c r="AF51" s="2">
        <v>0.122030325</v>
      </c>
      <c r="AG51" s="2">
        <v>0.121919975</v>
      </c>
      <c r="AH51" s="2">
        <v>0.21730869</v>
      </c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</row>
    <row r="52" spans="1:77" x14ac:dyDescent="0.25">
      <c r="A52" t="str" cm="1">
        <f t="array" ref="A52">_xll.FDS(B52,"FG_COMPANY_NAME")</f>
        <v>Atlas Copco AB Class B</v>
      </c>
      <c r="B52" s="4" t="str">
        <v>ATCO.B-SE</v>
      </c>
      <c r="C52" s="2">
        <v>0.26896599999999998</v>
      </c>
      <c r="D52" s="2">
        <v>0.23337437</v>
      </c>
      <c r="E52" s="2">
        <v>0.35244115999999998</v>
      </c>
      <c r="F52" s="2">
        <v>0.26348474999999999</v>
      </c>
      <c r="G52" s="2">
        <v>0.30399925</v>
      </c>
      <c r="H52" s="2">
        <v>0.23730203999999999</v>
      </c>
      <c r="I52" s="2">
        <v>0.44080138000000002</v>
      </c>
      <c r="J52" s="2">
        <v>0.38777850000000003</v>
      </c>
      <c r="K52" s="2">
        <v>0.26889183999999999</v>
      </c>
      <c r="L52" s="2">
        <v>0.32127917</v>
      </c>
      <c r="M52" s="2">
        <v>0.22151203</v>
      </c>
      <c r="N52" s="2">
        <v>0.57328904000000003</v>
      </c>
      <c r="O52" s="2">
        <v>0.49826986000000001</v>
      </c>
      <c r="P52" s="2">
        <v>0.27645283999999998</v>
      </c>
      <c r="Q52" s="2">
        <v>0.16275034999999999</v>
      </c>
      <c r="R52" s="2">
        <v>0.26914369999999999</v>
      </c>
      <c r="S52" s="2">
        <v>0.28714323000000003</v>
      </c>
      <c r="T52" s="2">
        <v>0.20185311</v>
      </c>
      <c r="U52" s="2">
        <v>0.37543369999999998</v>
      </c>
      <c r="V52" s="2">
        <v>0.23051614000000001</v>
      </c>
      <c r="W52" s="2">
        <v>0.17160220000000001</v>
      </c>
      <c r="X52" s="2">
        <v>1</v>
      </c>
      <c r="Y52" s="2">
        <v>0.31981411999999998</v>
      </c>
      <c r="Z52" s="2">
        <v>0.12319111000000001</v>
      </c>
      <c r="AA52" s="2">
        <v>0.12790614</v>
      </c>
      <c r="AB52" s="2">
        <v>0.38952658000000001</v>
      </c>
      <c r="AC52" s="2">
        <v>0.20170431</v>
      </c>
      <c r="AD52" s="2">
        <v>0.28845963000000002</v>
      </c>
      <c r="AE52" s="2">
        <v>0.28768866999999998</v>
      </c>
      <c r="AF52" s="2">
        <v>0.44539519999999999</v>
      </c>
      <c r="AG52" s="2">
        <v>0.2452502</v>
      </c>
      <c r="AH52" s="2">
        <v>0.34701312000000001</v>
      </c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</row>
    <row r="53" spans="1:77" x14ac:dyDescent="0.25">
      <c r="A53" t="str" cm="1">
        <f t="array" ref="A53">_xll.FDS(B53,"FG_COMPANY_NAME")</f>
        <v>Allegion Public Limited Company</v>
      </c>
      <c r="B53" s="4" t="str">
        <v>ALLE-US</v>
      </c>
      <c r="C53" s="2">
        <v>0.37333167</v>
      </c>
      <c r="D53" s="2">
        <v>0.28092483000000001</v>
      </c>
      <c r="E53" s="2">
        <v>4.0666559999999997E-2</v>
      </c>
      <c r="F53" s="2">
        <v>0.41775014999999999</v>
      </c>
      <c r="G53" s="2">
        <v>0.4461775</v>
      </c>
      <c r="H53" s="2">
        <v>9.8312415E-2</v>
      </c>
      <c r="I53" s="2">
        <v>0.38972097999999999</v>
      </c>
      <c r="J53" s="2">
        <v>0.110066496</v>
      </c>
      <c r="K53" s="2">
        <v>0.41050642999999998</v>
      </c>
      <c r="L53" s="2">
        <v>0.30762087999999999</v>
      </c>
      <c r="M53" s="2">
        <v>0.3963527</v>
      </c>
      <c r="N53" s="2">
        <v>0.25776263999999999</v>
      </c>
      <c r="O53" s="2">
        <v>0.24358142999999999</v>
      </c>
      <c r="P53" s="2">
        <v>9.0241774999999996E-2</v>
      </c>
      <c r="Q53" s="2">
        <v>5.2125268000000002E-2</v>
      </c>
      <c r="R53" s="2">
        <v>0.28594356999999998</v>
      </c>
      <c r="S53" s="2">
        <v>0.38910980000000001</v>
      </c>
      <c r="T53" s="2">
        <v>0.28096130000000002</v>
      </c>
      <c r="U53" s="2">
        <v>0.45536422999999998</v>
      </c>
      <c r="V53" s="2">
        <v>0.39521497</v>
      </c>
      <c r="W53" s="2">
        <v>0.13749359999999999</v>
      </c>
      <c r="X53" s="2">
        <v>0.31981411999999998</v>
      </c>
      <c r="Y53" s="2">
        <v>1</v>
      </c>
      <c r="Z53" s="2">
        <v>0.29209107000000001</v>
      </c>
      <c r="AA53" s="2">
        <v>5.9979576999999999E-2</v>
      </c>
      <c r="AB53" s="2">
        <v>0.18009501999999999</v>
      </c>
      <c r="AC53" s="2">
        <v>0.32953933000000002</v>
      </c>
      <c r="AD53" s="2">
        <v>0.43374000000000001</v>
      </c>
      <c r="AE53" s="2">
        <v>0.38031825000000002</v>
      </c>
      <c r="AF53" s="2">
        <v>0.20712267000000001</v>
      </c>
      <c r="AG53" s="2">
        <v>0.51760035999999998</v>
      </c>
      <c r="AH53" s="2">
        <v>0.48546549999999999</v>
      </c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</row>
    <row r="54" spans="1:77" x14ac:dyDescent="0.25">
      <c r="A54" t="str" cm="1">
        <f t="array" ref="A54">_xll.FDS(B54,"FG_COMPANY_NAME")</f>
        <v>AutoZone, Inc.</v>
      </c>
      <c r="B54" s="4" t="str">
        <v>AZO-US</v>
      </c>
      <c r="C54" s="2">
        <v>0.21489932</v>
      </c>
      <c r="D54" s="2">
        <v>0.15223610000000001</v>
      </c>
      <c r="E54" s="2">
        <v>6.7865809999999999E-2</v>
      </c>
      <c r="F54" s="2">
        <v>0.29430260000000003</v>
      </c>
      <c r="G54" s="2">
        <v>0.28398522999999998</v>
      </c>
      <c r="H54" s="2">
        <v>0.12150303</v>
      </c>
      <c r="I54" s="2">
        <v>0.15856994999999999</v>
      </c>
      <c r="J54" s="2">
        <v>0.14030321000000001</v>
      </c>
      <c r="K54" s="2">
        <v>0.20242758</v>
      </c>
      <c r="L54" s="2">
        <v>7.6329560000000005E-2</v>
      </c>
      <c r="M54" s="2">
        <v>0.23189103999999999</v>
      </c>
      <c r="N54" s="2">
        <v>0.15172533999999999</v>
      </c>
      <c r="O54" s="2">
        <v>0.12743644000000001</v>
      </c>
      <c r="P54" s="2">
        <v>0.10438309599999999</v>
      </c>
      <c r="Q54" s="2">
        <v>-1.8566652999999999E-2</v>
      </c>
      <c r="R54" s="2">
        <v>0.15615770000000001</v>
      </c>
      <c r="S54" s="2">
        <v>0.2171235</v>
      </c>
      <c r="T54" s="2">
        <v>0.15960535000000001</v>
      </c>
      <c r="U54" s="2">
        <v>0.20926523</v>
      </c>
      <c r="V54" s="2">
        <v>0.27457425000000002</v>
      </c>
      <c r="W54" s="2">
        <v>7.8253455E-2</v>
      </c>
      <c r="X54" s="2">
        <v>0.12319111000000001</v>
      </c>
      <c r="Y54" s="2">
        <v>0.29209107000000001</v>
      </c>
      <c r="Z54" s="2">
        <v>1</v>
      </c>
      <c r="AA54" s="2">
        <v>2.8859527999999999E-2</v>
      </c>
      <c r="AB54" s="2">
        <v>0.10382106000000001</v>
      </c>
      <c r="AC54" s="2">
        <v>0.14961902999999999</v>
      </c>
      <c r="AD54" s="2">
        <v>0.23638722000000001</v>
      </c>
      <c r="AE54" s="2">
        <v>0.1947729</v>
      </c>
      <c r="AF54" s="2">
        <v>7.3843729999999996E-2</v>
      </c>
      <c r="AG54" s="2">
        <v>0.31779498</v>
      </c>
      <c r="AH54" s="2">
        <v>0.29821667000000002</v>
      </c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</row>
    <row r="55" spans="1:77" x14ac:dyDescent="0.25">
      <c r="A55" t="str" cm="1">
        <f t="array" ref="A55">_xll.FDS(B55,"FG_COMPANY_NAME")</f>
        <v>PT Bank Central Asia Tbk</v>
      </c>
      <c r="B55" s="4" t="str">
        <v>BBCA-ID</v>
      </c>
      <c r="C55" s="2">
        <v>9.8974645E-2</v>
      </c>
      <c r="D55" s="2">
        <v>5.9248312999999997E-2</v>
      </c>
      <c r="E55" s="2">
        <v>5.8418787999999999E-2</v>
      </c>
      <c r="F55" s="2">
        <v>7.0578559999999999E-2</v>
      </c>
      <c r="G55" s="2">
        <v>7.3454364999999994E-2</v>
      </c>
      <c r="H55" s="2">
        <v>6.315047E-2</v>
      </c>
      <c r="I55" s="2">
        <v>7.2625220000000004E-2</v>
      </c>
      <c r="J55" s="2">
        <v>4.4642040000000001E-2</v>
      </c>
      <c r="K55" s="2">
        <v>6.1334420000000001E-2</v>
      </c>
      <c r="L55" s="2">
        <v>9.3668749999999995E-2</v>
      </c>
      <c r="M55" s="2">
        <v>0.10204573</v>
      </c>
      <c r="N55" s="2">
        <v>7.5019130000000003E-2</v>
      </c>
      <c r="O55" s="2">
        <v>0.11091050500000001</v>
      </c>
      <c r="P55" s="2">
        <v>4.397877E-2</v>
      </c>
      <c r="Q55" s="2">
        <v>0.12656653000000001</v>
      </c>
      <c r="R55" s="2">
        <v>0.12752318000000001</v>
      </c>
      <c r="S55" s="2">
        <v>5.4165936999999997E-2</v>
      </c>
      <c r="T55" s="2">
        <v>5.175569E-2</v>
      </c>
      <c r="U55" s="2">
        <v>3.1968568000000003E-2</v>
      </c>
      <c r="V55" s="2">
        <v>5.2253239999999999E-2</v>
      </c>
      <c r="W55" s="2">
        <v>7.2473880000000004E-2</v>
      </c>
      <c r="X55" s="2">
        <v>0.12790614</v>
      </c>
      <c r="Y55" s="2">
        <v>5.9979576999999999E-2</v>
      </c>
      <c r="Z55" s="2">
        <v>2.8859527999999999E-2</v>
      </c>
      <c r="AA55" s="2">
        <v>1</v>
      </c>
      <c r="AB55" s="2">
        <v>7.372455E-2</v>
      </c>
      <c r="AC55" s="2">
        <v>5.6289520000000003E-2</v>
      </c>
      <c r="AD55" s="2">
        <v>4.8849799999999999E-2</v>
      </c>
      <c r="AE55" s="2">
        <v>0.12504547999999999</v>
      </c>
      <c r="AF55" s="2">
        <v>0.10357218999999999</v>
      </c>
      <c r="AG55" s="2">
        <v>4.9287044000000002E-2</v>
      </c>
      <c r="AH55" s="2">
        <v>5.3459376000000003E-2</v>
      </c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</row>
    <row r="56" spans="1:77" x14ac:dyDescent="0.25">
      <c r="A56" t="str" cm="1">
        <f t="array" ref="A56">_xll.FDS(B56,"FG_COMPANY_NAME")</f>
        <v>Rentokil Initial plc</v>
      </c>
      <c r="B56" s="4" t="str">
        <v>RTO-GB</v>
      </c>
      <c r="C56" s="2">
        <v>0.19745813000000001</v>
      </c>
      <c r="D56" s="2">
        <v>0.14470749999999999</v>
      </c>
      <c r="E56" s="2">
        <v>0.31271100000000002</v>
      </c>
      <c r="F56" s="2">
        <v>0.16095908</v>
      </c>
      <c r="G56" s="2">
        <v>0.18750892999999999</v>
      </c>
      <c r="H56" s="2">
        <v>0.28705733999999999</v>
      </c>
      <c r="I56" s="2">
        <v>0.21007456999999999</v>
      </c>
      <c r="J56" s="2">
        <v>0.37145242000000001</v>
      </c>
      <c r="K56" s="2">
        <v>0.13718649999999999</v>
      </c>
      <c r="L56" s="2">
        <v>0.14474719999999999</v>
      </c>
      <c r="M56" s="2">
        <v>6.1673869999999999E-2</v>
      </c>
      <c r="N56" s="2">
        <v>0.52231896</v>
      </c>
      <c r="O56" s="2">
        <v>0.28363976000000002</v>
      </c>
      <c r="P56" s="2">
        <v>0.29526287000000001</v>
      </c>
      <c r="Q56" s="2">
        <v>9.4398590000000004E-2</v>
      </c>
      <c r="R56" s="2">
        <v>0.17824054</v>
      </c>
      <c r="S56" s="2">
        <v>0.21849826</v>
      </c>
      <c r="T56" s="2">
        <v>0.17746662999999999</v>
      </c>
      <c r="U56" s="2">
        <v>0.22803198</v>
      </c>
      <c r="V56" s="2">
        <v>0.18845870000000001</v>
      </c>
      <c r="W56" s="2">
        <v>9.9965139999999994E-2</v>
      </c>
      <c r="X56" s="2">
        <v>0.38952658000000001</v>
      </c>
      <c r="Y56" s="2">
        <v>0.18009501999999999</v>
      </c>
      <c r="Z56" s="2">
        <v>0.10382106000000001</v>
      </c>
      <c r="AA56" s="2">
        <v>7.372455E-2</v>
      </c>
      <c r="AB56" s="2">
        <v>1</v>
      </c>
      <c r="AC56" s="2">
        <v>0.14129876</v>
      </c>
      <c r="AD56" s="2">
        <v>0.23657632000000001</v>
      </c>
      <c r="AE56" s="2">
        <v>0.13799842000000001</v>
      </c>
      <c r="AF56" s="2">
        <v>0.26178279999999998</v>
      </c>
      <c r="AG56" s="2">
        <v>0.19629178999999999</v>
      </c>
      <c r="AH56" s="2">
        <v>0.2802365</v>
      </c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</row>
    <row r="57" spans="1:77" x14ac:dyDescent="0.25">
      <c r="A57" t="str" cm="1">
        <f t="array" ref="A57">_xll.FDS(B57,"FG_COMPANY_NAME")</f>
        <v>Workday, Inc. Class A</v>
      </c>
      <c r="B57" s="4" t="str">
        <v>WDAY-US</v>
      </c>
      <c r="C57" s="2">
        <v>0.55141306000000001</v>
      </c>
      <c r="D57" s="2">
        <v>0.4320502</v>
      </c>
      <c r="E57" s="2">
        <v>0.14092969999999999</v>
      </c>
      <c r="F57" s="2">
        <v>0.40438141999999999</v>
      </c>
      <c r="G57" s="2">
        <v>0.43069216999999999</v>
      </c>
      <c r="H57" s="2">
        <v>3.5877159999999998E-2</v>
      </c>
      <c r="I57" s="2">
        <v>0.45029160000000001</v>
      </c>
      <c r="J57" s="2">
        <v>0.15192589000000001</v>
      </c>
      <c r="K57" s="2">
        <v>0.21784182999999999</v>
      </c>
      <c r="L57" s="2">
        <v>0.36428177</v>
      </c>
      <c r="M57" s="2">
        <v>0.23859946000000001</v>
      </c>
      <c r="N57" s="2">
        <v>0.23014224</v>
      </c>
      <c r="O57" s="2">
        <v>0.14111636999999999</v>
      </c>
      <c r="P57" s="2">
        <v>0.12870222000000001</v>
      </c>
      <c r="Q57" s="2">
        <v>2.5650848E-2</v>
      </c>
      <c r="R57" s="2">
        <v>0.26493755000000002</v>
      </c>
      <c r="S57" s="2">
        <v>0.61061679999999996</v>
      </c>
      <c r="T57" s="2">
        <v>0.2969387</v>
      </c>
      <c r="U57" s="2">
        <v>0.35311883999999999</v>
      </c>
      <c r="V57" s="2">
        <v>0.38298480000000001</v>
      </c>
      <c r="W57" s="2">
        <v>0.17177677</v>
      </c>
      <c r="X57" s="2">
        <v>0.20170431</v>
      </c>
      <c r="Y57" s="2">
        <v>0.32953933000000002</v>
      </c>
      <c r="Z57" s="2">
        <v>0.14961902999999999</v>
      </c>
      <c r="AA57" s="2">
        <v>5.6289520000000003E-2</v>
      </c>
      <c r="AB57" s="2">
        <v>0.14129876</v>
      </c>
      <c r="AC57" s="2">
        <v>1</v>
      </c>
      <c r="AD57" s="2">
        <v>0.58626734999999996</v>
      </c>
      <c r="AE57" s="2">
        <v>0.36752674000000002</v>
      </c>
      <c r="AF57" s="2">
        <v>0.13028925999999999</v>
      </c>
      <c r="AG57" s="2">
        <v>0.33166748000000001</v>
      </c>
      <c r="AH57" s="2">
        <v>0.48027094999999997</v>
      </c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</row>
    <row r="58" spans="1:77" x14ac:dyDescent="0.25">
      <c r="A58" t="str" cm="1">
        <f t="array" ref="A58">_xll.FDS(B58,"FG_COMPANY_NAME")</f>
        <v>Autodesk, Inc.</v>
      </c>
      <c r="B58" s="4" t="str">
        <v>ADSK-US</v>
      </c>
      <c r="C58" s="2">
        <v>0.57000989999999996</v>
      </c>
      <c r="D58" s="2">
        <v>0.49197906000000002</v>
      </c>
      <c r="E58" s="2">
        <v>0.18247983000000001</v>
      </c>
      <c r="F58" s="2">
        <v>0.45402867000000002</v>
      </c>
      <c r="G58" s="2">
        <v>0.500421</v>
      </c>
      <c r="H58" s="2">
        <v>6.9559805000000002E-2</v>
      </c>
      <c r="I58" s="2">
        <v>0.55139740000000004</v>
      </c>
      <c r="J58" s="2">
        <v>0.1776095</v>
      </c>
      <c r="K58" s="2">
        <v>0.34777665000000002</v>
      </c>
      <c r="L58" s="2">
        <v>0.46506130000000001</v>
      </c>
      <c r="M58" s="2">
        <v>0.32080665000000003</v>
      </c>
      <c r="N58" s="2">
        <v>0.30139517999999998</v>
      </c>
      <c r="O58" s="2">
        <v>0.20658293</v>
      </c>
      <c r="P58" s="2">
        <v>9.1970579999999996E-2</v>
      </c>
      <c r="Q58" s="2">
        <v>4.2687595000000002E-2</v>
      </c>
      <c r="R58" s="2">
        <v>0.35084157999999999</v>
      </c>
      <c r="S58" s="2">
        <v>0.64434785000000006</v>
      </c>
      <c r="T58" s="2">
        <v>0.37196097</v>
      </c>
      <c r="U58" s="2">
        <v>0.43644047000000002</v>
      </c>
      <c r="V58" s="2">
        <v>0.42648733</v>
      </c>
      <c r="W58" s="2">
        <v>0.1792791</v>
      </c>
      <c r="X58" s="2">
        <v>0.28845963000000002</v>
      </c>
      <c r="Y58" s="2">
        <v>0.43374000000000001</v>
      </c>
      <c r="Z58" s="2">
        <v>0.23638722000000001</v>
      </c>
      <c r="AA58" s="2">
        <v>4.8849799999999999E-2</v>
      </c>
      <c r="AB58" s="2">
        <v>0.23657632000000001</v>
      </c>
      <c r="AC58" s="2">
        <v>0.58626734999999996</v>
      </c>
      <c r="AD58" s="2">
        <v>1</v>
      </c>
      <c r="AE58" s="2">
        <v>0.45234489999999999</v>
      </c>
      <c r="AF58" s="2">
        <v>0.20760762999999999</v>
      </c>
      <c r="AG58" s="2">
        <v>0.41024860000000002</v>
      </c>
      <c r="AH58" s="2">
        <v>0.55686049999999998</v>
      </c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</row>
    <row r="59" spans="1:77" x14ac:dyDescent="0.25">
      <c r="A59" t="str" cm="1">
        <f t="array" ref="A59">_xll.FDS(B59,"FG_COMPANY_NAME")</f>
        <v>Booking Holdings Inc.</v>
      </c>
      <c r="B59" s="4" t="str">
        <v>BKNG-US</v>
      </c>
      <c r="C59" s="2">
        <v>0.39047443999999998</v>
      </c>
      <c r="D59" s="2">
        <v>0.39714432</v>
      </c>
      <c r="E59" s="2">
        <v>9.8445820000000003E-2</v>
      </c>
      <c r="F59" s="2">
        <v>0.51456714000000003</v>
      </c>
      <c r="G59" s="2">
        <v>0.56643220000000005</v>
      </c>
      <c r="H59" s="2">
        <v>6.8910553999999999E-2</v>
      </c>
      <c r="I59" s="2">
        <v>0.45197335</v>
      </c>
      <c r="J59" s="2">
        <v>0.17202592</v>
      </c>
      <c r="K59" s="2">
        <v>0.49389368</v>
      </c>
      <c r="L59" s="2">
        <v>0.3971287</v>
      </c>
      <c r="M59" s="2">
        <v>0.39641567999999999</v>
      </c>
      <c r="N59" s="2">
        <v>0.18981888999999999</v>
      </c>
      <c r="O59" s="2">
        <v>0.40367832999999997</v>
      </c>
      <c r="P59" s="2">
        <v>3.8462575999999998E-2</v>
      </c>
      <c r="Q59" s="2">
        <v>8.1373189999999998E-2</v>
      </c>
      <c r="R59" s="2">
        <v>0.33963670000000001</v>
      </c>
      <c r="S59" s="2">
        <v>0.44671327</v>
      </c>
      <c r="T59" s="2">
        <v>0.31826599999999999</v>
      </c>
      <c r="U59" s="2">
        <v>0.35342522999999998</v>
      </c>
      <c r="V59" s="2">
        <v>0.29217254999999998</v>
      </c>
      <c r="W59" s="2">
        <v>0.15277742999999999</v>
      </c>
      <c r="X59" s="2">
        <v>0.28768866999999998</v>
      </c>
      <c r="Y59" s="2">
        <v>0.38031825000000002</v>
      </c>
      <c r="Z59" s="2">
        <v>0.1947729</v>
      </c>
      <c r="AA59" s="2">
        <v>0.12504547999999999</v>
      </c>
      <c r="AB59" s="2">
        <v>0.13799842000000001</v>
      </c>
      <c r="AC59" s="2">
        <v>0.36752674000000002</v>
      </c>
      <c r="AD59" s="2">
        <v>0.45234489999999999</v>
      </c>
      <c r="AE59" s="2">
        <v>1</v>
      </c>
      <c r="AF59" s="2">
        <v>0.36715543</v>
      </c>
      <c r="AG59" s="2">
        <v>0.27548655999999999</v>
      </c>
      <c r="AH59" s="2">
        <v>0.39787202999999999</v>
      </c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</row>
    <row r="60" spans="1:77" x14ac:dyDescent="0.25">
      <c r="A60" t="str" cm="1">
        <f t="array" ref="A60">_xll.FDS(B60,"FG_COMPANY_NAME")</f>
        <v>CTS Eventim AG &amp; Co. KGaA</v>
      </c>
      <c r="B60" s="4" t="str">
        <v>EVD-DE</v>
      </c>
      <c r="C60" s="2">
        <v>0.14743001999999999</v>
      </c>
      <c r="D60" s="2">
        <v>0.14764051</v>
      </c>
      <c r="E60" s="2">
        <v>0.2795783</v>
      </c>
      <c r="F60" s="2">
        <v>0.26409146</v>
      </c>
      <c r="G60" s="2">
        <v>0.29873430000000001</v>
      </c>
      <c r="H60" s="2">
        <v>0.18897522999999999</v>
      </c>
      <c r="I60" s="2">
        <v>0.26285029999999998</v>
      </c>
      <c r="J60" s="2">
        <v>0.36710357999999998</v>
      </c>
      <c r="K60" s="2">
        <v>0.26928530000000001</v>
      </c>
      <c r="L60" s="2">
        <v>0.17484505</v>
      </c>
      <c r="M60" s="2">
        <v>0.20724936999999999</v>
      </c>
      <c r="N60" s="2">
        <v>0.34089434000000002</v>
      </c>
      <c r="O60" s="2">
        <v>0.50677749999999999</v>
      </c>
      <c r="P60" s="2">
        <v>0.1849121</v>
      </c>
      <c r="Q60" s="2">
        <v>0.12958428</v>
      </c>
      <c r="R60" s="2">
        <v>0.27277034999999999</v>
      </c>
      <c r="S60" s="2">
        <v>0.21181016999999999</v>
      </c>
      <c r="T60" s="2">
        <v>0.16762278999999999</v>
      </c>
      <c r="U60" s="2">
        <v>0.19715057</v>
      </c>
      <c r="V60" s="2">
        <v>0.14628189999999999</v>
      </c>
      <c r="W60" s="2">
        <v>0.122030325</v>
      </c>
      <c r="X60" s="2">
        <v>0.44539519999999999</v>
      </c>
      <c r="Y60" s="2">
        <v>0.20712267000000001</v>
      </c>
      <c r="Z60" s="2">
        <v>7.3843729999999996E-2</v>
      </c>
      <c r="AA60" s="2">
        <v>0.10357218999999999</v>
      </c>
      <c r="AB60" s="2">
        <v>0.26178279999999998</v>
      </c>
      <c r="AC60" s="2">
        <v>0.13028925999999999</v>
      </c>
      <c r="AD60" s="2">
        <v>0.20760762999999999</v>
      </c>
      <c r="AE60" s="2">
        <v>0.36715543</v>
      </c>
      <c r="AF60" s="2">
        <v>1</v>
      </c>
      <c r="AG60" s="2">
        <v>9.8694519999999994E-2</v>
      </c>
      <c r="AH60" s="2">
        <v>0.20587154999999999</v>
      </c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</row>
    <row r="61" spans="1:77" x14ac:dyDescent="0.25">
      <c r="A61" t="str" cm="1">
        <f t="array" ref="A61">_xll.FDS(B61,"FG_COMPANY_NAME")</f>
        <v>Sherwin-Williams Company</v>
      </c>
      <c r="B61" s="4" t="str">
        <v>SHW-US</v>
      </c>
      <c r="C61" s="2">
        <v>0.35503154999999997</v>
      </c>
      <c r="D61" s="2">
        <v>0.26885998</v>
      </c>
      <c r="E61" s="2">
        <v>0.1165571</v>
      </c>
      <c r="F61" s="2">
        <v>0.39198723000000002</v>
      </c>
      <c r="G61" s="2">
        <v>0.38738151999999998</v>
      </c>
      <c r="H61" s="2">
        <v>0.13355765999999999</v>
      </c>
      <c r="I61" s="2">
        <v>0.34209198000000002</v>
      </c>
      <c r="J61" s="2">
        <v>0.14558794</v>
      </c>
      <c r="K61" s="2">
        <v>0.28647375000000003</v>
      </c>
      <c r="L61" s="2">
        <v>0.25789430000000002</v>
      </c>
      <c r="M61" s="2">
        <v>0.27418944000000001</v>
      </c>
      <c r="N61" s="2">
        <v>0.31370189999999998</v>
      </c>
      <c r="O61" s="2">
        <v>0.17269012</v>
      </c>
      <c r="P61" s="2">
        <v>0.14701863000000001</v>
      </c>
      <c r="Q61" s="2">
        <v>9.4929490000000005E-3</v>
      </c>
      <c r="R61" s="2">
        <v>0.23394033</v>
      </c>
      <c r="S61" s="2">
        <v>0.39583263000000002</v>
      </c>
      <c r="T61" s="2">
        <v>0.25086343</v>
      </c>
      <c r="U61" s="2">
        <v>0.41013709999999998</v>
      </c>
      <c r="V61" s="2">
        <v>0.43629213999999999</v>
      </c>
      <c r="W61" s="2">
        <v>0.121919975</v>
      </c>
      <c r="X61" s="2">
        <v>0.2452502</v>
      </c>
      <c r="Y61" s="2">
        <v>0.51760035999999998</v>
      </c>
      <c r="Z61" s="2">
        <v>0.31779498</v>
      </c>
      <c r="AA61" s="2">
        <v>4.9287044000000002E-2</v>
      </c>
      <c r="AB61" s="2">
        <v>0.19629178999999999</v>
      </c>
      <c r="AC61" s="2">
        <v>0.33166748000000001</v>
      </c>
      <c r="AD61" s="2">
        <v>0.41024860000000002</v>
      </c>
      <c r="AE61" s="2">
        <v>0.27548655999999999</v>
      </c>
      <c r="AF61" s="2">
        <v>9.8694519999999994E-2</v>
      </c>
      <c r="AG61" s="2">
        <v>1</v>
      </c>
      <c r="AH61" s="2">
        <v>0.56051600000000001</v>
      </c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</row>
    <row r="62" spans="1:77" x14ac:dyDescent="0.25">
      <c r="A62" t="str" cm="1">
        <f t="array" ref="A62">_xll.FDS(B62,"FG_COMPANY_NAME")</f>
        <v>Moody's Corporation</v>
      </c>
      <c r="B62" s="4" t="str">
        <v>MCO-US</v>
      </c>
      <c r="C62" s="2">
        <v>0.5726618</v>
      </c>
      <c r="D62" s="2">
        <v>0.46503523000000002</v>
      </c>
      <c r="E62" s="2">
        <v>0.25265073999999998</v>
      </c>
      <c r="F62" s="2">
        <v>0.53997110000000004</v>
      </c>
      <c r="G62" s="2">
        <v>0.56021670000000001</v>
      </c>
      <c r="H62" s="2">
        <v>0.12608184</v>
      </c>
      <c r="I62" s="2">
        <v>0.48905622999999998</v>
      </c>
      <c r="J62" s="2">
        <v>0.25797441999999998</v>
      </c>
      <c r="K62" s="2">
        <v>0.38403314</v>
      </c>
      <c r="L62" s="2">
        <v>0.38030174</v>
      </c>
      <c r="M62" s="2">
        <v>0.33861277000000001</v>
      </c>
      <c r="N62" s="2">
        <v>0.40515827999999998</v>
      </c>
      <c r="O62" s="2">
        <v>0.24065845</v>
      </c>
      <c r="P62" s="2">
        <v>0.22151061999999999</v>
      </c>
      <c r="Q62" s="2">
        <v>4.9383110000000001E-2</v>
      </c>
      <c r="R62" s="2">
        <v>0.31985282999999998</v>
      </c>
      <c r="S62" s="2">
        <v>0.57665264999999999</v>
      </c>
      <c r="T62" s="2">
        <v>0.37441856000000001</v>
      </c>
      <c r="U62" s="2">
        <v>0.44597324999999999</v>
      </c>
      <c r="V62" s="2">
        <v>0.53689324999999999</v>
      </c>
      <c r="W62" s="2">
        <v>0.21730869</v>
      </c>
      <c r="X62" s="2">
        <v>0.34701312000000001</v>
      </c>
      <c r="Y62" s="2">
        <v>0.48546549999999999</v>
      </c>
      <c r="Z62" s="2">
        <v>0.29821667000000002</v>
      </c>
      <c r="AA62" s="2">
        <v>5.3459376000000003E-2</v>
      </c>
      <c r="AB62" s="2">
        <v>0.2802365</v>
      </c>
      <c r="AC62" s="2">
        <v>0.48027094999999997</v>
      </c>
      <c r="AD62" s="2">
        <v>0.55686049999999998</v>
      </c>
      <c r="AE62" s="2">
        <v>0.39787202999999999</v>
      </c>
      <c r="AF62" s="2">
        <v>0.20587154999999999</v>
      </c>
      <c r="AG62" s="2">
        <v>0.56051600000000001</v>
      </c>
      <c r="AH62" s="2">
        <v>1</v>
      </c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</row>
    <row r="63" spans="1:77" x14ac:dyDescent="0.25">
      <c r="B63" s="4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</row>
    <row r="64" spans="1:77" x14ac:dyDescent="0.25">
      <c r="B64" s="4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</row>
    <row r="65" spans="2:77" x14ac:dyDescent="0.25">
      <c r="B65" s="4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</row>
    <row r="66" spans="2:77" x14ac:dyDescent="0.25">
      <c r="B66" s="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</row>
    <row r="67" spans="2:77" x14ac:dyDescent="0.25">
      <c r="B67" s="4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</row>
    <row r="68" spans="2:77" x14ac:dyDescent="0.25">
      <c r="B68" s="4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</row>
    <row r="69" spans="2:77" x14ac:dyDescent="0.25">
      <c r="B69" s="4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</row>
    <row r="70" spans="2:77" x14ac:dyDescent="0.25">
      <c r="B70" s="4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</row>
    <row r="71" spans="2:77" x14ac:dyDescent="0.25">
      <c r="B71" s="4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</row>
    <row r="72" spans="2:77" x14ac:dyDescent="0.25">
      <c r="B72" s="4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</row>
    <row r="73" spans="2:77" x14ac:dyDescent="0.25">
      <c r="B73" s="4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</row>
    <row r="74" spans="2:77" x14ac:dyDescent="0.25">
      <c r="B74" s="4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</row>
    <row r="75" spans="2:77" x14ac:dyDescent="0.25">
      <c r="B75" s="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</row>
    <row r="76" spans="2:77" x14ac:dyDescent="0.25">
      <c r="B76" s="4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</row>
    <row r="77" spans="2:77" x14ac:dyDescent="0.25">
      <c r="B77" s="4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</row>
    <row r="78" spans="2:77" x14ac:dyDescent="0.25">
      <c r="B78" s="4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</row>
    <row r="79" spans="2:77" x14ac:dyDescent="0.25">
      <c r="B79" s="4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</row>
    <row r="80" spans="2:77" x14ac:dyDescent="0.25">
      <c r="B80" s="4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</row>
    <row r="81" spans="2:77" x14ac:dyDescent="0.25">
      <c r="B81" s="4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</row>
    <row r="82" spans="2:77" x14ac:dyDescent="0.25">
      <c r="B82" s="4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</row>
    <row r="83" spans="2:77" x14ac:dyDescent="0.25">
      <c r="B83" s="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</row>
    <row r="84" spans="2:77" x14ac:dyDescent="0.25">
      <c r="B84" s="4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</row>
    <row r="85" spans="2:77" x14ac:dyDescent="0.25">
      <c r="B85" s="4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</row>
    <row r="86" spans="2:77" x14ac:dyDescent="0.25">
      <c r="B86" s="4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</row>
    <row r="87" spans="2:77" x14ac:dyDescent="0.25">
      <c r="B87" s="4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</row>
    <row r="88" spans="2:77" x14ac:dyDescent="0.25">
      <c r="B88" s="4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</row>
    <row r="89" spans="2:77" x14ac:dyDescent="0.25">
      <c r="B89" s="4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</row>
    <row r="90" spans="2:77" x14ac:dyDescent="0.25">
      <c r="B90" s="4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</row>
    <row r="91" spans="2:77" x14ac:dyDescent="0.25">
      <c r="B91" s="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</row>
    <row r="92" spans="2:77" x14ac:dyDescent="0.25">
      <c r="B92" s="4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</row>
    <row r="93" spans="2:77" x14ac:dyDescent="0.25">
      <c r="B93" s="4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</row>
    <row r="94" spans="2:77" x14ac:dyDescent="0.25">
      <c r="B94" s="4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</row>
    <row r="95" spans="2:77" x14ac:dyDescent="0.25">
      <c r="B95" s="4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</row>
    <row r="96" spans="2:77" x14ac:dyDescent="0.25">
      <c r="B96" s="4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</row>
    <row r="97" spans="2:77" x14ac:dyDescent="0.25"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</row>
    <row r="98" spans="2:77" x14ac:dyDescent="0.25">
      <c r="B98" s="4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</row>
    <row r="99" spans="2:77" x14ac:dyDescent="0.25"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</row>
    <row r="100" spans="2:77" x14ac:dyDescent="0.25"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</row>
    <row r="101" spans="2:77" x14ac:dyDescent="0.25"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</row>
    <row r="102" spans="2:77" x14ac:dyDescent="0.25"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</row>
    <row r="103" spans="2:77" x14ac:dyDescent="0.25"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</row>
    <row r="104" spans="2:77" x14ac:dyDescent="0.25"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</row>
    <row r="105" spans="2:77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</row>
    <row r="106" spans="2:77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</row>
    <row r="107" spans="2:77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82F21-4EB4-441F-8F7E-42971DFD2E06}">
  <dimension ref="A1:H1263"/>
  <sheetViews>
    <sheetView workbookViewId="0"/>
  </sheetViews>
  <sheetFormatPr defaultRowHeight="15" x14ac:dyDescent="0.25"/>
  <cols>
    <col min="1" max="1" width="10.5703125" customWidth="1"/>
    <col min="2" max="2" width="13.42578125" customWidth="1"/>
    <col min="8" max="8" width="7.7109375" bestFit="1" customWidth="1"/>
  </cols>
  <sheetData>
    <row r="1" spans="1:8" x14ac:dyDescent="0.25">
      <c r="A1" s="13" t="str" cm="1">
        <f t="array" ref="A1">_xll.FDS("","PSETCAL(""NAY"",,""NAME"")")</f>
        <v>calendar: United States</v>
      </c>
    </row>
    <row r="2" spans="1:8" x14ac:dyDescent="0.25">
      <c r="A2" t="s">
        <v>2</v>
      </c>
      <c r="B2" s="7">
        <v>45961</v>
      </c>
    </row>
    <row r="3" spans="1:8" x14ac:dyDescent="0.25">
      <c r="A3" t="s">
        <v>3</v>
      </c>
      <c r="B3" s="7" t="s">
        <v>41</v>
      </c>
    </row>
    <row r="6" spans="1:8" x14ac:dyDescent="0.25">
      <c r="B6" s="4" t="s">
        <v>4</v>
      </c>
      <c r="C6" s="4" t="s">
        <v>17</v>
      </c>
      <c r="D6" s="4" t="s">
        <v>10</v>
      </c>
    </row>
    <row r="7" spans="1:8" x14ac:dyDescent="0.25">
      <c r="B7" s="5" cm="1">
        <f t="array" ref="B7:B1263">_xll.FDS(C6,"JULIAN(FG_PRICE("&amp;$B$2&amp;","&amp;$B$2&amp;"-"&amp;$B$3&amp;",,USD).dates)")</f>
        <v>45961</v>
      </c>
      <c r="C7">
        <f t="array" ref="C7:C1263">_xll.FDS($C$6,"P_PRICE_RETURNS(0,"&amp;$B2&amp;","&amp;$B2&amp;"-"&amp;$B$3&amp;",D,USD)")</f>
        <v>-1.5120982999999999</v>
      </c>
      <c r="D7">
        <f t="array" ref="D7:D1263">_xll.FDS($D$6,"P_PRICE_RETURNS(0,"&amp;$B2&amp;","&amp;$B2&amp;"-"&amp;$B$3&amp;",D,USD)")</f>
        <v>-0.59781074999999995</v>
      </c>
      <c r="G7" s="9" t="s">
        <v>5</v>
      </c>
      <c r="H7" s="10">
        <f t="array" ref="H7">_xll.FDS($C$6,"CORREL(P_PRICE_RETURNS(0,"&amp;$B2&amp;","&amp;$B2&amp;"-"&amp;$B$3&amp;",D,USD),VALUE('"&amp;D6&amp;"',P_PRICE_RETURNS(0,"&amp;$B2&amp;","&amp;$B2&amp;"-"&amp;$B$3&amp;",D,USD)))")</f>
        <v>0.14425503293835401</v>
      </c>
    </row>
    <row r="8" spans="1:8" x14ac:dyDescent="0.25">
      <c r="B8" s="5">
        <v>45960</v>
      </c>
      <c r="C8">
        <v>-2.9156982999999999</v>
      </c>
      <c r="D8">
        <v>-0.72221756000000004</v>
      </c>
      <c r="G8" t="s">
        <v>6</v>
      </c>
      <c r="H8" s="11">
        <f>CORREL(_xlfn.ANCHORARRAY(C7),_xlfn.ANCHORARRAY(D7))</f>
        <v>0.1442550329383544</v>
      </c>
    </row>
    <row r="9" spans="1:8" x14ac:dyDescent="0.25">
      <c r="B9" s="5">
        <v>45959</v>
      </c>
      <c r="C9">
        <v>-9.5933675999999996E-2</v>
      </c>
      <c r="D9">
        <v>-1.3865529999999999</v>
      </c>
      <c r="G9" t="s">
        <v>7</v>
      </c>
      <c r="H9" s="11">
        <f>PEARSON(_xlfn.ANCHORARRAY(C7),_xlfn.ANCHORARRAY(D7))</f>
        <v>0.1442550329383544</v>
      </c>
    </row>
    <row r="10" spans="1:8" x14ac:dyDescent="0.25">
      <c r="B10" s="5">
        <v>45958</v>
      </c>
      <c r="C10">
        <v>1.9848703999999999</v>
      </c>
      <c r="D10">
        <v>-1.4789104</v>
      </c>
    </row>
    <row r="11" spans="1:8" x14ac:dyDescent="0.25">
      <c r="B11" s="5">
        <v>45957</v>
      </c>
      <c r="C11">
        <v>1.5106678</v>
      </c>
      <c r="D11">
        <v>-0.61846970000000001</v>
      </c>
    </row>
    <row r="12" spans="1:8" x14ac:dyDescent="0.25">
      <c r="B12" s="5">
        <v>45954</v>
      </c>
      <c r="C12">
        <v>0.58590173999999995</v>
      </c>
      <c r="D12">
        <v>1.1202931</v>
      </c>
    </row>
    <row r="13" spans="1:8" x14ac:dyDescent="0.25">
      <c r="B13" s="5">
        <v>45953</v>
      </c>
      <c r="C13">
        <v>3.85046E-3</v>
      </c>
      <c r="D13">
        <v>1.1383414000000001</v>
      </c>
    </row>
    <row r="14" spans="1:8" x14ac:dyDescent="0.25">
      <c r="B14" s="5">
        <v>45952</v>
      </c>
      <c r="C14">
        <v>0.55634974999999998</v>
      </c>
      <c r="D14">
        <v>-0.34028291999999999</v>
      </c>
    </row>
    <row r="15" spans="1:8" x14ac:dyDescent="0.25">
      <c r="B15" s="5">
        <v>45951</v>
      </c>
      <c r="C15">
        <v>0.16834736</v>
      </c>
      <c r="D15">
        <v>2.0182133000000001E-2</v>
      </c>
    </row>
    <row r="16" spans="1:8" x14ac:dyDescent="0.25">
      <c r="B16" s="5">
        <v>45950</v>
      </c>
      <c r="C16">
        <v>0.62501430000000002</v>
      </c>
      <c r="D16">
        <v>0.55828093999999995</v>
      </c>
    </row>
    <row r="17" spans="2:4" x14ac:dyDescent="0.25">
      <c r="B17" s="5">
        <v>45947</v>
      </c>
      <c r="C17">
        <v>0.38506984999999999</v>
      </c>
      <c r="D17">
        <v>0.18906592999999999</v>
      </c>
    </row>
    <row r="18" spans="2:4" x14ac:dyDescent="0.25">
      <c r="B18" s="5">
        <v>45946</v>
      </c>
      <c r="C18">
        <v>-0.35448074000000002</v>
      </c>
      <c r="D18">
        <v>-1.1930585</v>
      </c>
    </row>
    <row r="19" spans="2:4" x14ac:dyDescent="0.25">
      <c r="B19" s="5">
        <v>45945</v>
      </c>
      <c r="C19">
        <v>-2.7263164999999999E-2</v>
      </c>
      <c r="D19">
        <v>-1.4507293999999999</v>
      </c>
    </row>
    <row r="20" spans="2:4" x14ac:dyDescent="0.25">
      <c r="B20" s="5">
        <v>45944</v>
      </c>
      <c r="C20">
        <v>-9.3370676E-2</v>
      </c>
      <c r="D20">
        <v>0.68496466</v>
      </c>
    </row>
    <row r="21" spans="2:4" x14ac:dyDescent="0.25">
      <c r="B21" s="5">
        <v>45943</v>
      </c>
      <c r="C21">
        <v>0.60474870000000003</v>
      </c>
      <c r="D21">
        <v>0.40740967</v>
      </c>
    </row>
    <row r="22" spans="2:4" x14ac:dyDescent="0.25">
      <c r="B22" s="5">
        <v>45940</v>
      </c>
      <c r="C22">
        <v>-2.1898985</v>
      </c>
      <c r="D22">
        <v>-0.49492120000000001</v>
      </c>
    </row>
    <row r="23" spans="2:4" x14ac:dyDescent="0.25">
      <c r="B23" s="5">
        <v>45939</v>
      </c>
      <c r="C23">
        <v>-0.46678782000000002</v>
      </c>
      <c r="D23">
        <v>-0.16490220999999999</v>
      </c>
    </row>
    <row r="24" spans="2:4" x14ac:dyDescent="0.25">
      <c r="B24" s="5">
        <v>45938</v>
      </c>
      <c r="C24">
        <v>0.16603470000000001</v>
      </c>
      <c r="D24">
        <v>0.33608674999999999</v>
      </c>
    </row>
    <row r="25" spans="2:4" x14ac:dyDescent="0.25">
      <c r="B25" s="5">
        <v>45937</v>
      </c>
      <c r="C25">
        <v>-0.86838603000000003</v>
      </c>
      <c r="D25">
        <v>-9.4759464000000002E-2</v>
      </c>
    </row>
    <row r="26" spans="2:4" x14ac:dyDescent="0.25">
      <c r="B26" s="5">
        <v>45936</v>
      </c>
      <c r="C26">
        <v>2.1687508000000002</v>
      </c>
      <c r="D26">
        <v>-0.73291660000000003</v>
      </c>
    </row>
    <row r="27" spans="2:4" x14ac:dyDescent="0.25">
      <c r="B27" s="5">
        <v>45933</v>
      </c>
      <c r="C27">
        <v>0.31217337000000001</v>
      </c>
      <c r="D27">
        <v>-1.636064</v>
      </c>
    </row>
    <row r="28" spans="2:4" x14ac:dyDescent="0.25">
      <c r="B28" s="5">
        <v>45932</v>
      </c>
      <c r="C28">
        <v>-0.76389309999999999</v>
      </c>
      <c r="D28">
        <v>1.4899610999999999</v>
      </c>
    </row>
    <row r="29" spans="2:4" x14ac:dyDescent="0.25">
      <c r="B29" s="5">
        <v>45931</v>
      </c>
      <c r="C29">
        <v>0.33980608000000001</v>
      </c>
      <c r="D29">
        <v>-0.56840780000000002</v>
      </c>
    </row>
    <row r="30" spans="2:4" x14ac:dyDescent="0.25">
      <c r="B30" s="5">
        <v>45930</v>
      </c>
      <c r="C30">
        <v>0.65100192999999995</v>
      </c>
      <c r="D30">
        <v>0.96725225000000004</v>
      </c>
    </row>
    <row r="31" spans="2:4" x14ac:dyDescent="0.25">
      <c r="B31" s="5">
        <v>45929</v>
      </c>
      <c r="C31">
        <v>0.61392784</v>
      </c>
      <c r="D31">
        <v>1.3098955000000001</v>
      </c>
    </row>
    <row r="32" spans="2:4" x14ac:dyDescent="0.25">
      <c r="B32" s="5">
        <v>45926</v>
      </c>
      <c r="C32">
        <v>0.8737087</v>
      </c>
      <c r="D32">
        <v>-1.1146069000000001E-3</v>
      </c>
    </row>
    <row r="33" spans="2:4" x14ac:dyDescent="0.25">
      <c r="B33" s="5">
        <v>45925</v>
      </c>
      <c r="C33">
        <v>-0.61158539999999995</v>
      </c>
      <c r="D33">
        <v>0.82228184000000004</v>
      </c>
    </row>
    <row r="34" spans="2:4" x14ac:dyDescent="0.25">
      <c r="B34" s="5">
        <v>45924</v>
      </c>
      <c r="C34">
        <v>0.18066167999999999</v>
      </c>
      <c r="D34">
        <v>-0.30992627</v>
      </c>
    </row>
    <row r="35" spans="2:4" x14ac:dyDescent="0.25">
      <c r="B35" s="5">
        <v>45923</v>
      </c>
      <c r="C35">
        <v>-1.0146736999999999</v>
      </c>
      <c r="D35">
        <v>-1.4461219000000001</v>
      </c>
    </row>
    <row r="36" spans="2:4" x14ac:dyDescent="0.25">
      <c r="B36" s="5">
        <v>45922</v>
      </c>
      <c r="C36">
        <v>-0.67189929999999998</v>
      </c>
      <c r="D36">
        <v>-0.67657230000000002</v>
      </c>
    </row>
    <row r="37" spans="2:4" x14ac:dyDescent="0.25">
      <c r="B37" s="5">
        <v>45919</v>
      </c>
      <c r="C37">
        <v>1.8644810000000001</v>
      </c>
      <c r="D37">
        <v>-1.9706129999999999</v>
      </c>
    </row>
    <row r="38" spans="2:4" x14ac:dyDescent="0.25">
      <c r="B38" s="5">
        <v>45918</v>
      </c>
      <c r="C38">
        <v>-0.3078282</v>
      </c>
      <c r="D38">
        <v>-0.66754219999999997</v>
      </c>
    </row>
    <row r="39" spans="2:4" x14ac:dyDescent="0.25">
      <c r="B39" s="5">
        <v>45917</v>
      </c>
      <c r="C39">
        <v>0.19251108</v>
      </c>
      <c r="D39">
        <v>-0.61970353</v>
      </c>
    </row>
    <row r="40" spans="2:4" x14ac:dyDescent="0.25">
      <c r="B40" s="5">
        <v>45916</v>
      </c>
      <c r="C40">
        <v>-1.2263238000000001</v>
      </c>
      <c r="D40">
        <v>-1.8220067</v>
      </c>
    </row>
    <row r="41" spans="2:4" x14ac:dyDescent="0.25">
      <c r="B41" s="5">
        <v>45915</v>
      </c>
      <c r="C41">
        <v>1.0707974</v>
      </c>
      <c r="D41">
        <v>-0.27943849999999998</v>
      </c>
    </row>
    <row r="42" spans="2:4" x14ac:dyDescent="0.25">
      <c r="B42" s="5">
        <v>45912</v>
      </c>
      <c r="C42">
        <v>1.7744184000000001</v>
      </c>
      <c r="D42">
        <v>-0.38256645</v>
      </c>
    </row>
    <row r="43" spans="2:4" x14ac:dyDescent="0.25">
      <c r="B43" s="5">
        <v>45911</v>
      </c>
      <c r="C43">
        <v>0.12791157</v>
      </c>
      <c r="D43">
        <v>-0.53316355000000004</v>
      </c>
    </row>
    <row r="44" spans="2:4" x14ac:dyDescent="0.25">
      <c r="B44" s="5">
        <v>45910</v>
      </c>
      <c r="C44">
        <v>0.39324759999999997</v>
      </c>
      <c r="D44">
        <v>-1.0971367000000001</v>
      </c>
    </row>
    <row r="45" spans="2:4" x14ac:dyDescent="0.25">
      <c r="B45" s="5">
        <v>45909</v>
      </c>
      <c r="C45">
        <v>4.2152404999999997E-2</v>
      </c>
      <c r="D45">
        <v>-1.2857854</v>
      </c>
    </row>
    <row r="46" spans="2:4" x14ac:dyDescent="0.25">
      <c r="B46" s="5">
        <v>45908</v>
      </c>
      <c r="C46">
        <v>0.64647200000000005</v>
      </c>
      <c r="D46">
        <v>0.7238388</v>
      </c>
    </row>
    <row r="47" spans="2:4" x14ac:dyDescent="0.25">
      <c r="B47" s="5">
        <v>45905</v>
      </c>
      <c r="C47">
        <v>-2.553302</v>
      </c>
      <c r="D47">
        <v>0.46364070000000002</v>
      </c>
    </row>
    <row r="48" spans="2:4" x14ac:dyDescent="0.25">
      <c r="B48" s="5">
        <v>45904</v>
      </c>
      <c r="C48">
        <v>0.5184531</v>
      </c>
      <c r="D48">
        <v>-0.32513142</v>
      </c>
    </row>
    <row r="49" spans="2:4" x14ac:dyDescent="0.25">
      <c r="B49" s="5">
        <v>45903</v>
      </c>
      <c r="C49">
        <v>4.5537950000000001E-2</v>
      </c>
      <c r="D49">
        <v>1.1509418</v>
      </c>
    </row>
    <row r="50" spans="2:4" x14ac:dyDescent="0.25">
      <c r="B50" s="5">
        <v>45902</v>
      </c>
      <c r="C50">
        <v>-0.30985475000000001</v>
      </c>
      <c r="D50">
        <v>-3.2894432999999998</v>
      </c>
    </row>
    <row r="51" spans="2:4" x14ac:dyDescent="0.25">
      <c r="B51" s="5">
        <v>45898</v>
      </c>
      <c r="C51">
        <v>-0.57884455000000001</v>
      </c>
      <c r="D51">
        <v>-0.5345702</v>
      </c>
    </row>
    <row r="52" spans="2:4" x14ac:dyDescent="0.25">
      <c r="B52" s="5">
        <v>45897</v>
      </c>
      <c r="C52">
        <v>0.57228804</v>
      </c>
      <c r="D52">
        <v>-0.118893385</v>
      </c>
    </row>
    <row r="53" spans="2:4" x14ac:dyDescent="0.25">
      <c r="B53" s="5">
        <v>45896</v>
      </c>
      <c r="C53">
        <v>0.93617439999999996</v>
      </c>
      <c r="D53">
        <v>-0.83368419999999999</v>
      </c>
    </row>
    <row r="54" spans="2:4" x14ac:dyDescent="0.25">
      <c r="B54" s="5">
        <v>45895</v>
      </c>
      <c r="C54">
        <v>-0.44025183000000001</v>
      </c>
      <c r="D54">
        <v>-0.77217820000000004</v>
      </c>
    </row>
    <row r="55" spans="2:4" x14ac:dyDescent="0.25">
      <c r="B55" s="5">
        <v>45894</v>
      </c>
      <c r="C55">
        <v>-0.58553219999999995</v>
      </c>
      <c r="D55">
        <v>7.1728230000000004E-2</v>
      </c>
    </row>
    <row r="56" spans="2:4" x14ac:dyDescent="0.25">
      <c r="B56" s="5">
        <v>45891</v>
      </c>
      <c r="C56">
        <v>0.59297085000000005</v>
      </c>
      <c r="D56">
        <v>0.36586522999999999</v>
      </c>
    </row>
    <row r="57" spans="2:4" x14ac:dyDescent="0.25">
      <c r="B57" s="5">
        <v>45890</v>
      </c>
      <c r="C57">
        <v>-0.29265285000000002</v>
      </c>
      <c r="D57">
        <v>-1.0120868999999999</v>
      </c>
    </row>
    <row r="58" spans="2:4" x14ac:dyDescent="0.25">
      <c r="B58" s="5">
        <v>45889</v>
      </c>
      <c r="C58">
        <v>-0.79447630000000002</v>
      </c>
      <c r="D58">
        <v>1.8393755000000001</v>
      </c>
    </row>
    <row r="59" spans="2:4" x14ac:dyDescent="0.25">
      <c r="B59" s="5">
        <v>45888</v>
      </c>
      <c r="C59">
        <v>-1.4175177000000001</v>
      </c>
      <c r="D59">
        <v>-0.20548105</v>
      </c>
    </row>
    <row r="60" spans="2:4" x14ac:dyDescent="0.25">
      <c r="B60" s="5">
        <v>45887</v>
      </c>
      <c r="C60">
        <v>-0.59019330000000003</v>
      </c>
      <c r="D60">
        <v>-0.63880680000000001</v>
      </c>
    </row>
    <row r="61" spans="2:4" x14ac:dyDescent="0.25">
      <c r="B61" s="5">
        <v>45884</v>
      </c>
      <c r="C61">
        <v>-0.4421234</v>
      </c>
      <c r="D61">
        <v>0.12471676</v>
      </c>
    </row>
    <row r="62" spans="2:4" x14ac:dyDescent="0.25">
      <c r="B62" s="5">
        <v>45883</v>
      </c>
      <c r="C62">
        <v>0.36497116000000002</v>
      </c>
      <c r="D62">
        <v>0.47824382999999998</v>
      </c>
    </row>
    <row r="63" spans="2:4" x14ac:dyDescent="0.25">
      <c r="B63" s="5">
        <v>45882</v>
      </c>
      <c r="C63">
        <v>-1.6363025</v>
      </c>
      <c r="D63">
        <v>1.2793303</v>
      </c>
    </row>
    <row r="64" spans="2:4" x14ac:dyDescent="0.25">
      <c r="B64" s="5">
        <v>45881</v>
      </c>
      <c r="C64">
        <v>1.4316559</v>
      </c>
      <c r="D64">
        <v>-2.6678443000000001</v>
      </c>
    </row>
    <row r="65" spans="2:4" x14ac:dyDescent="0.25">
      <c r="B65" s="5">
        <v>45880</v>
      </c>
      <c r="C65">
        <v>-5.171299E-2</v>
      </c>
      <c r="D65">
        <v>0.45641660000000001</v>
      </c>
    </row>
    <row r="66" spans="2:4" x14ac:dyDescent="0.25">
      <c r="B66" s="5">
        <v>45877</v>
      </c>
      <c r="C66">
        <v>0.23038386999999999</v>
      </c>
      <c r="D66">
        <v>5.5885314999999998E-2</v>
      </c>
    </row>
    <row r="67" spans="2:4" x14ac:dyDescent="0.25">
      <c r="B67" s="5">
        <v>45876</v>
      </c>
      <c r="C67">
        <v>-0.78103540000000005</v>
      </c>
      <c r="D67">
        <v>1.2557267999999999</v>
      </c>
    </row>
    <row r="68" spans="2:4" x14ac:dyDescent="0.25">
      <c r="B68" s="5">
        <v>45875</v>
      </c>
      <c r="C68">
        <v>-0.53244829999999999</v>
      </c>
      <c r="D68">
        <v>0.75950620000000002</v>
      </c>
    </row>
    <row r="69" spans="2:4" x14ac:dyDescent="0.25">
      <c r="B69" s="5">
        <v>45874</v>
      </c>
      <c r="C69">
        <v>-1.4730095999999999</v>
      </c>
      <c r="D69">
        <v>-0.7264197</v>
      </c>
    </row>
    <row r="70" spans="2:4" x14ac:dyDescent="0.25">
      <c r="B70" s="5">
        <v>45873</v>
      </c>
      <c r="C70">
        <v>2.1999240000000002</v>
      </c>
      <c r="D70">
        <v>1.0300039999999999</v>
      </c>
    </row>
    <row r="71" spans="2:4" x14ac:dyDescent="0.25">
      <c r="B71" s="5">
        <v>45870</v>
      </c>
      <c r="C71">
        <v>-1.7600775</v>
      </c>
      <c r="D71">
        <v>1.1509776</v>
      </c>
    </row>
    <row r="72" spans="2:4" x14ac:dyDescent="0.25">
      <c r="B72" s="5">
        <v>45869</v>
      </c>
      <c r="C72">
        <v>3.9474726000000002</v>
      </c>
      <c r="D72">
        <v>0.25185347000000002</v>
      </c>
    </row>
    <row r="73" spans="2:4" x14ac:dyDescent="0.25">
      <c r="B73" s="5">
        <v>45868</v>
      </c>
      <c r="C73">
        <v>0.13071299</v>
      </c>
      <c r="D73">
        <v>-0.91778040000000005</v>
      </c>
    </row>
    <row r="74" spans="2:4" x14ac:dyDescent="0.25">
      <c r="B74" s="5">
        <v>45867</v>
      </c>
      <c r="C74">
        <v>1.3661385E-2</v>
      </c>
      <c r="D74">
        <v>0.6356001</v>
      </c>
    </row>
    <row r="75" spans="2:4" x14ac:dyDescent="0.25">
      <c r="B75" s="5">
        <v>45866</v>
      </c>
      <c r="C75">
        <v>-0.23554564</v>
      </c>
      <c r="D75">
        <v>-2.661705</v>
      </c>
    </row>
    <row r="76" spans="2:4" x14ac:dyDescent="0.25">
      <c r="B76" s="5">
        <v>45863</v>
      </c>
      <c r="C76">
        <v>0.55395364999999996</v>
      </c>
      <c r="D76">
        <v>-1.9604623000000001</v>
      </c>
    </row>
    <row r="77" spans="2:4" x14ac:dyDescent="0.25">
      <c r="B77" s="5">
        <v>45862</v>
      </c>
      <c r="C77">
        <v>0.99037885999999997</v>
      </c>
      <c r="D77">
        <v>-0.1085639</v>
      </c>
    </row>
    <row r="78" spans="2:4" x14ac:dyDescent="0.25">
      <c r="B78" s="5">
        <v>45861</v>
      </c>
      <c r="C78">
        <v>0.11874437</v>
      </c>
      <c r="D78">
        <v>-2.5743246000000001E-2</v>
      </c>
    </row>
    <row r="79" spans="2:4" x14ac:dyDescent="0.25">
      <c r="B79" s="5">
        <v>45860</v>
      </c>
      <c r="C79">
        <v>-0.93910693999999995</v>
      </c>
      <c r="D79">
        <v>-0.46576857999999999</v>
      </c>
    </row>
    <row r="80" spans="2:4" x14ac:dyDescent="0.25">
      <c r="B80" s="5">
        <v>45859</v>
      </c>
      <c r="C80">
        <v>1.9669533000000001E-3</v>
      </c>
      <c r="D80">
        <v>-0.3309667</v>
      </c>
    </row>
    <row r="81" spans="2:4" x14ac:dyDescent="0.25">
      <c r="B81" s="5">
        <v>45856</v>
      </c>
      <c r="C81">
        <v>-0.32246112999999998</v>
      </c>
      <c r="D81">
        <v>0.74658393999999995</v>
      </c>
    </row>
    <row r="82" spans="2:4" x14ac:dyDescent="0.25">
      <c r="B82" s="5">
        <v>45855</v>
      </c>
      <c r="C82">
        <v>1.202488</v>
      </c>
      <c r="D82">
        <v>-0.64299107</v>
      </c>
    </row>
    <row r="83" spans="2:4" x14ac:dyDescent="0.25">
      <c r="B83" s="5">
        <v>45854</v>
      </c>
      <c r="C83">
        <v>-3.9541720000000002E-2</v>
      </c>
      <c r="D83">
        <v>0.4210353</v>
      </c>
    </row>
    <row r="84" spans="2:4" x14ac:dyDescent="0.25">
      <c r="B84" s="5">
        <v>45853</v>
      </c>
      <c r="C84">
        <v>0.55663585999999998</v>
      </c>
      <c r="D84">
        <v>-1.5692115</v>
      </c>
    </row>
    <row r="85" spans="2:4" x14ac:dyDescent="0.25">
      <c r="B85" s="5">
        <v>45852</v>
      </c>
      <c r="C85">
        <v>-5.9610604999999997E-2</v>
      </c>
      <c r="D85">
        <v>-0.45944452000000002</v>
      </c>
    </row>
    <row r="86" spans="2:4" x14ac:dyDescent="0.25">
      <c r="B86" s="5">
        <v>45849</v>
      </c>
      <c r="C86">
        <v>0.36691426999999999</v>
      </c>
      <c r="D86">
        <v>-0.8166909</v>
      </c>
    </row>
    <row r="87" spans="2:4" x14ac:dyDescent="0.25">
      <c r="B87" s="5">
        <v>45848</v>
      </c>
      <c r="C87">
        <v>-0.40317177999999998</v>
      </c>
      <c r="D87">
        <v>-1.0690630000000001</v>
      </c>
    </row>
    <row r="88" spans="2:4" x14ac:dyDescent="0.25">
      <c r="B88" s="5">
        <v>45847</v>
      </c>
      <c r="C88">
        <v>1.3873816000000001</v>
      </c>
      <c r="D88">
        <v>0.82303285999999998</v>
      </c>
    </row>
    <row r="89" spans="2:4" x14ac:dyDescent="0.25">
      <c r="B89" s="5">
        <v>45846</v>
      </c>
      <c r="C89">
        <v>-0.22100806000000001</v>
      </c>
      <c r="D89">
        <v>-2.1625160000000001</v>
      </c>
    </row>
    <row r="90" spans="2:4" x14ac:dyDescent="0.25">
      <c r="B90" s="5">
        <v>45845</v>
      </c>
      <c r="C90">
        <v>-0.22451878</v>
      </c>
      <c r="D90">
        <v>1.0196567000000001</v>
      </c>
    </row>
    <row r="91" spans="2:4" x14ac:dyDescent="0.25">
      <c r="B91" s="5">
        <v>45841</v>
      </c>
      <c r="C91">
        <v>1.5781164000000001</v>
      </c>
      <c r="D91">
        <v>0.98676680000000005</v>
      </c>
    </row>
    <row r="92" spans="2:4" x14ac:dyDescent="0.25">
      <c r="B92" s="5">
        <v>45840</v>
      </c>
      <c r="C92">
        <v>-0.19509792000000001</v>
      </c>
      <c r="D92">
        <v>-2.2384048000000001</v>
      </c>
    </row>
    <row r="93" spans="2:4" x14ac:dyDescent="0.25">
      <c r="B93" s="5">
        <v>45839</v>
      </c>
      <c r="C93">
        <v>-1.0775863999999999</v>
      </c>
      <c r="D93">
        <v>-0.42022467000000002</v>
      </c>
    </row>
    <row r="94" spans="2:4" x14ac:dyDescent="0.25">
      <c r="B94" s="5">
        <v>45838</v>
      </c>
      <c r="C94">
        <v>0.29640198000000001</v>
      </c>
      <c r="D94">
        <v>-5.6207180000000002E-3</v>
      </c>
    </row>
    <row r="95" spans="2:4" x14ac:dyDescent="0.25">
      <c r="B95" s="5">
        <v>45835</v>
      </c>
      <c r="C95">
        <v>-0.30354857000000002</v>
      </c>
      <c r="D95">
        <v>0.44753549999999997</v>
      </c>
    </row>
    <row r="96" spans="2:4" x14ac:dyDescent="0.25">
      <c r="B96" s="5">
        <v>45834</v>
      </c>
      <c r="C96">
        <v>1.0522723</v>
      </c>
      <c r="D96">
        <v>2.1905421999999999</v>
      </c>
    </row>
    <row r="97" spans="2:4" x14ac:dyDescent="0.25">
      <c r="B97" s="5">
        <v>45833</v>
      </c>
      <c r="C97">
        <v>0.44071674</v>
      </c>
      <c r="D97">
        <v>0.58811902999999999</v>
      </c>
    </row>
    <row r="98" spans="2:4" x14ac:dyDescent="0.25">
      <c r="B98" s="5">
        <v>45832</v>
      </c>
      <c r="C98">
        <v>0.8456707</v>
      </c>
      <c r="D98">
        <v>0.34290552000000002</v>
      </c>
    </row>
    <row r="99" spans="2:4" x14ac:dyDescent="0.25">
      <c r="B99" s="5">
        <v>45831</v>
      </c>
      <c r="C99">
        <v>1.8014311999999999</v>
      </c>
      <c r="D99">
        <v>0.17141103999999999</v>
      </c>
    </row>
    <row r="100" spans="2:4" x14ac:dyDescent="0.25">
      <c r="B100" s="5">
        <v>45828</v>
      </c>
      <c r="C100">
        <v>-0.59136750000000005</v>
      </c>
      <c r="D100">
        <v>1.0971785000000001</v>
      </c>
    </row>
    <row r="101" spans="2:4" x14ac:dyDescent="0.25">
      <c r="B101" s="5">
        <v>45826</v>
      </c>
      <c r="C101">
        <v>0.46020746000000001</v>
      </c>
      <c r="D101">
        <v>-0.52999260000000004</v>
      </c>
    </row>
    <row r="102" spans="2:4" x14ac:dyDescent="0.25">
      <c r="B102" s="5">
        <v>45825</v>
      </c>
      <c r="C102">
        <v>-0.22957921000000001</v>
      </c>
      <c r="D102">
        <v>-1.7605424000000001</v>
      </c>
    </row>
    <row r="103" spans="2:4" x14ac:dyDescent="0.25">
      <c r="B103" s="5">
        <v>45824</v>
      </c>
      <c r="C103">
        <v>0.88007449999999998</v>
      </c>
      <c r="D103">
        <v>2.5192618000000002</v>
      </c>
    </row>
    <row r="104" spans="2:4" x14ac:dyDescent="0.25">
      <c r="B104" s="5">
        <v>45821</v>
      </c>
      <c r="C104">
        <v>-0.81650615000000004</v>
      </c>
      <c r="D104">
        <v>-1.8389880999999999</v>
      </c>
    </row>
    <row r="105" spans="2:4" x14ac:dyDescent="0.25">
      <c r="B105" s="5">
        <v>45820</v>
      </c>
      <c r="C105">
        <v>1.3224125</v>
      </c>
      <c r="D105">
        <v>-0.120568275</v>
      </c>
    </row>
    <row r="106" spans="2:4" x14ac:dyDescent="0.25">
      <c r="B106" s="5">
        <v>45819</v>
      </c>
      <c r="C106">
        <v>0.36098956999999998</v>
      </c>
      <c r="D106">
        <v>-0.66268444000000004</v>
      </c>
    </row>
    <row r="107" spans="2:4" x14ac:dyDescent="0.25">
      <c r="B107" s="5">
        <v>45818</v>
      </c>
      <c r="C107">
        <v>-0.38709640000000001</v>
      </c>
      <c r="D107">
        <v>-1.1976420999999999</v>
      </c>
    </row>
    <row r="108" spans="2:4" x14ac:dyDescent="0.25">
      <c r="B108" s="5">
        <v>45817</v>
      </c>
      <c r="C108">
        <v>0.50385000000000002</v>
      </c>
      <c r="D108">
        <v>-1.1274158999999999</v>
      </c>
    </row>
    <row r="109" spans="2:4" x14ac:dyDescent="0.25">
      <c r="B109" s="5">
        <v>45814</v>
      </c>
      <c r="C109">
        <v>0.57731867000000003</v>
      </c>
      <c r="D109">
        <v>0.45812130000000001</v>
      </c>
    </row>
    <row r="110" spans="2:4" x14ac:dyDescent="0.25">
      <c r="B110" s="5">
        <v>45813</v>
      </c>
      <c r="C110">
        <v>0.82135199999999997</v>
      </c>
      <c r="D110">
        <v>0.28092859999999997</v>
      </c>
    </row>
    <row r="111" spans="2:4" x14ac:dyDescent="0.25">
      <c r="B111" s="5">
        <v>45812</v>
      </c>
      <c r="C111">
        <v>0.19439459000000001</v>
      </c>
      <c r="D111">
        <v>0.71676969999999995</v>
      </c>
    </row>
    <row r="112" spans="2:4" x14ac:dyDescent="0.25">
      <c r="B112" s="5">
        <v>45811</v>
      </c>
      <c r="C112">
        <v>0.21646023</v>
      </c>
      <c r="D112">
        <v>-1.8764913000000001</v>
      </c>
    </row>
    <row r="113" spans="2:4" x14ac:dyDescent="0.25">
      <c r="B113" s="5">
        <v>45810</v>
      </c>
      <c r="C113">
        <v>0.34972429999999999</v>
      </c>
      <c r="D113">
        <v>1.4417529</v>
      </c>
    </row>
    <row r="114" spans="2:4" x14ac:dyDescent="0.25">
      <c r="B114" s="5">
        <v>45807</v>
      </c>
      <c r="C114">
        <v>0.36627053999999998</v>
      </c>
      <c r="D114">
        <v>-5.2893160000000002E-2</v>
      </c>
    </row>
    <row r="115" spans="2:4" x14ac:dyDescent="0.25">
      <c r="B115" s="5">
        <v>45806</v>
      </c>
      <c r="C115">
        <v>0.28861759999999997</v>
      </c>
      <c r="D115">
        <v>-0.37852525999999997</v>
      </c>
    </row>
    <row r="116" spans="2:4" x14ac:dyDescent="0.25">
      <c r="B116" s="5">
        <v>45805</v>
      </c>
      <c r="C116">
        <v>-0.72283149999999996</v>
      </c>
      <c r="D116">
        <v>-1.3144195000000001</v>
      </c>
    </row>
    <row r="117" spans="2:4" x14ac:dyDescent="0.25">
      <c r="B117" s="5">
        <v>45804</v>
      </c>
      <c r="C117">
        <v>2.3346186000000002</v>
      </c>
      <c r="D117">
        <v>0.49550533000000002</v>
      </c>
    </row>
    <row r="118" spans="2:4" x14ac:dyDescent="0.25">
      <c r="B118" s="5">
        <v>45800</v>
      </c>
      <c r="C118">
        <v>-1.0288835000000001</v>
      </c>
      <c r="D118">
        <v>0.51522254999999995</v>
      </c>
    </row>
    <row r="119" spans="2:4" x14ac:dyDescent="0.25">
      <c r="B119" s="5">
        <v>45799</v>
      </c>
      <c r="C119">
        <v>0.50599574999999997</v>
      </c>
      <c r="D119">
        <v>-0.99875329999999996</v>
      </c>
    </row>
    <row r="120" spans="2:4" x14ac:dyDescent="0.25">
      <c r="B120" s="5">
        <v>45798</v>
      </c>
      <c r="C120">
        <v>-1.2222527999999999</v>
      </c>
      <c r="D120">
        <v>1.6286849999999999</v>
      </c>
    </row>
    <row r="121" spans="2:4" x14ac:dyDescent="0.25">
      <c r="B121" s="5">
        <v>45797</v>
      </c>
      <c r="C121">
        <v>-0.15254617000000001</v>
      </c>
      <c r="D121">
        <v>0.51991940000000003</v>
      </c>
    </row>
    <row r="122" spans="2:4" x14ac:dyDescent="0.25">
      <c r="B122" s="5">
        <v>45796</v>
      </c>
      <c r="C122">
        <v>1.0126113999999999</v>
      </c>
      <c r="D122">
        <v>1.0913968000000001</v>
      </c>
    </row>
    <row r="123" spans="2:4" x14ac:dyDescent="0.25">
      <c r="B123" s="5">
        <v>45793</v>
      </c>
      <c r="C123">
        <v>0.25157928000000002</v>
      </c>
      <c r="D123">
        <v>1.2136458999999999</v>
      </c>
    </row>
    <row r="124" spans="2:4" x14ac:dyDescent="0.25">
      <c r="B124" s="5">
        <v>45792</v>
      </c>
      <c r="C124">
        <v>4.1949750000000001E-2</v>
      </c>
      <c r="D124">
        <v>-0.76772569999999996</v>
      </c>
    </row>
    <row r="125" spans="2:4" x14ac:dyDescent="0.25">
      <c r="B125" s="5">
        <v>45791</v>
      </c>
      <c r="C125">
        <v>0.84606409999999999</v>
      </c>
      <c r="D125">
        <v>1.1031508000000001</v>
      </c>
    </row>
    <row r="126" spans="2:4" x14ac:dyDescent="0.25">
      <c r="B126" s="5">
        <v>45790</v>
      </c>
      <c r="C126">
        <v>-2.6708841000000001E-2</v>
      </c>
      <c r="D126">
        <v>0.20376443999999999</v>
      </c>
    </row>
    <row r="127" spans="2:4" x14ac:dyDescent="0.25">
      <c r="B127" s="5">
        <v>45789</v>
      </c>
      <c r="C127">
        <v>2.4001122000000001</v>
      </c>
      <c r="D127">
        <v>-4.3222665999999998</v>
      </c>
    </row>
    <row r="128" spans="2:4" x14ac:dyDescent="0.25">
      <c r="B128" s="5">
        <v>45786</v>
      </c>
      <c r="C128">
        <v>0.12780427999999999</v>
      </c>
      <c r="D128">
        <v>0.65133569999999996</v>
      </c>
    </row>
    <row r="129" spans="2:4" x14ac:dyDescent="0.25">
      <c r="B129" s="5">
        <v>45785</v>
      </c>
      <c r="C129">
        <v>1.1122704000000001</v>
      </c>
      <c r="D129">
        <v>-2.1890342</v>
      </c>
    </row>
    <row r="130" spans="2:4" x14ac:dyDescent="0.25">
      <c r="B130" s="5">
        <v>45784</v>
      </c>
      <c r="C130">
        <v>9.2387200000000006E-3</v>
      </c>
      <c r="D130">
        <v>1.4257430999999999E-2</v>
      </c>
    </row>
    <row r="131" spans="2:4" x14ac:dyDescent="0.25">
      <c r="B131" s="5">
        <v>45783</v>
      </c>
      <c r="C131">
        <v>-0.65571069999999998</v>
      </c>
      <c r="D131">
        <v>-0.41734576000000001</v>
      </c>
    </row>
    <row r="132" spans="2:4" x14ac:dyDescent="0.25">
      <c r="B132" s="5">
        <v>45782</v>
      </c>
      <c r="C132">
        <v>0.20446776999999999</v>
      </c>
      <c r="D132">
        <v>0.98125934999999997</v>
      </c>
    </row>
    <row r="133" spans="2:4" x14ac:dyDescent="0.25">
      <c r="B133" s="5">
        <v>45779</v>
      </c>
      <c r="C133">
        <v>2.3225188000000001</v>
      </c>
      <c r="D133">
        <v>2.8728842999999999</v>
      </c>
    </row>
    <row r="134" spans="2:4" x14ac:dyDescent="0.25">
      <c r="B134" s="5">
        <v>45778</v>
      </c>
      <c r="C134">
        <v>7.6253533000000004</v>
      </c>
      <c r="D134">
        <v>-0.75653789999999999</v>
      </c>
    </row>
    <row r="135" spans="2:4" x14ac:dyDescent="0.25">
      <c r="B135" s="5">
        <v>45777</v>
      </c>
      <c r="C135">
        <v>0.30961037000000002</v>
      </c>
      <c r="D135">
        <v>3.5863638</v>
      </c>
    </row>
    <row r="136" spans="2:4" x14ac:dyDescent="0.25">
      <c r="B136" s="5">
        <v>45776</v>
      </c>
      <c r="C136">
        <v>0.73627233999999997</v>
      </c>
      <c r="D136">
        <v>-1.5455365000000001</v>
      </c>
    </row>
    <row r="137" spans="2:4" x14ac:dyDescent="0.25">
      <c r="B137" s="5">
        <v>45775</v>
      </c>
      <c r="C137">
        <v>-0.17609</v>
      </c>
      <c r="D137">
        <v>-1.7126858</v>
      </c>
    </row>
    <row r="138" spans="2:4" x14ac:dyDescent="0.25">
      <c r="B138" s="5">
        <v>45772</v>
      </c>
      <c r="C138">
        <v>1.1748075</v>
      </c>
      <c r="D138">
        <v>0.63213109999999995</v>
      </c>
    </row>
    <row r="139" spans="2:4" x14ac:dyDescent="0.25">
      <c r="B139" s="5">
        <v>45771</v>
      </c>
      <c r="C139">
        <v>3.4482718000000001</v>
      </c>
      <c r="D139">
        <v>0.45737028000000002</v>
      </c>
    </row>
    <row r="140" spans="2:4" x14ac:dyDescent="0.25">
      <c r="B140" s="5">
        <v>45770</v>
      </c>
      <c r="C140">
        <v>2.0636796999999998</v>
      </c>
      <c r="D140">
        <v>-0.11705160000000001</v>
      </c>
    </row>
    <row r="141" spans="2:4" x14ac:dyDescent="0.25">
      <c r="B141" s="5">
        <v>45769</v>
      </c>
      <c r="C141">
        <v>2.1441340000000002</v>
      </c>
      <c r="D141">
        <v>2.0285367999999999</v>
      </c>
    </row>
    <row r="142" spans="2:4" x14ac:dyDescent="0.25">
      <c r="B142" s="5">
        <v>45768</v>
      </c>
      <c r="C142">
        <v>-2.3546695999999998</v>
      </c>
      <c r="D142">
        <v>1.3039111999999999</v>
      </c>
    </row>
    <row r="143" spans="2:4" x14ac:dyDescent="0.25">
      <c r="B143" s="5">
        <v>45764</v>
      </c>
      <c r="C143">
        <v>-1.0306477999999999</v>
      </c>
      <c r="D143">
        <v>0.49648284999999998</v>
      </c>
    </row>
    <row r="144" spans="2:4" x14ac:dyDescent="0.25">
      <c r="B144" s="5">
        <v>45763</v>
      </c>
      <c r="C144">
        <v>-3.6605954000000001</v>
      </c>
      <c r="D144">
        <v>-0.18606781999999999</v>
      </c>
    </row>
    <row r="145" spans="2:4" x14ac:dyDescent="0.25">
      <c r="B145" s="5">
        <v>45762</v>
      </c>
      <c r="C145">
        <v>-0.5363405</v>
      </c>
      <c r="D145">
        <v>0.80523489999999998</v>
      </c>
    </row>
    <row r="146" spans="2:4" x14ac:dyDescent="0.25">
      <c r="B146" s="5">
        <v>45761</v>
      </c>
      <c r="C146">
        <v>-0.16475915999999999</v>
      </c>
      <c r="D146">
        <v>1.2379169999999999</v>
      </c>
    </row>
    <row r="147" spans="2:4" x14ac:dyDescent="0.25">
      <c r="B147" s="5">
        <v>45758</v>
      </c>
      <c r="C147">
        <v>1.8618106999999999</v>
      </c>
      <c r="D147">
        <v>3.0044198</v>
      </c>
    </row>
    <row r="148" spans="2:4" x14ac:dyDescent="0.25">
      <c r="B148" s="5">
        <v>45757</v>
      </c>
      <c r="C148">
        <v>-2.3406446000000001</v>
      </c>
      <c r="D148">
        <v>5.3588389999999997</v>
      </c>
    </row>
    <row r="149" spans="2:4" x14ac:dyDescent="0.25">
      <c r="B149" s="5">
        <v>45756</v>
      </c>
      <c r="C149">
        <v>10.133684000000001</v>
      </c>
      <c r="D149">
        <v>-2.1427095</v>
      </c>
    </row>
    <row r="150" spans="2:4" x14ac:dyDescent="0.25">
      <c r="B150" s="5">
        <v>45755</v>
      </c>
      <c r="C150">
        <v>-0.92214346000000003</v>
      </c>
      <c r="D150">
        <v>4.8188089999999999</v>
      </c>
    </row>
    <row r="151" spans="2:4" x14ac:dyDescent="0.25">
      <c r="B151" s="5">
        <v>45754</v>
      </c>
      <c r="C151">
        <v>-0.55024624</v>
      </c>
      <c r="D151">
        <v>-5.4521740000000003</v>
      </c>
    </row>
    <row r="152" spans="2:4" x14ac:dyDescent="0.25">
      <c r="B152" s="5">
        <v>45751</v>
      </c>
      <c r="C152">
        <v>-3.5565913</v>
      </c>
      <c r="D152">
        <v>-8.2889800000000005</v>
      </c>
    </row>
    <row r="153" spans="2:4" x14ac:dyDescent="0.25">
      <c r="B153" s="5">
        <v>45750</v>
      </c>
      <c r="C153">
        <v>-2.3630141999999998</v>
      </c>
      <c r="D153">
        <v>3.7827492</v>
      </c>
    </row>
    <row r="154" spans="2:4" x14ac:dyDescent="0.25">
      <c r="B154" s="5">
        <v>45749</v>
      </c>
      <c r="C154">
        <v>-1.3077259000000001E-2</v>
      </c>
      <c r="D154">
        <v>0.75323580000000001</v>
      </c>
    </row>
    <row r="155" spans="2:4" x14ac:dyDescent="0.25">
      <c r="B155" s="5">
        <v>45748</v>
      </c>
      <c r="C155">
        <v>1.8114448000000001</v>
      </c>
      <c r="D155">
        <v>1.4395475</v>
      </c>
    </row>
    <row r="156" spans="2:4" x14ac:dyDescent="0.25">
      <c r="B156" s="5">
        <v>45747</v>
      </c>
      <c r="C156">
        <v>-0.90020299999999998</v>
      </c>
      <c r="D156">
        <v>-1.0293722E-2</v>
      </c>
    </row>
    <row r="157" spans="2:4" x14ac:dyDescent="0.25">
      <c r="B157" s="5">
        <v>45744</v>
      </c>
      <c r="C157">
        <v>-3.0160247999999998</v>
      </c>
      <c r="D157">
        <v>1.4265536999999999</v>
      </c>
    </row>
    <row r="158" spans="2:4" x14ac:dyDescent="0.25">
      <c r="B158" s="5">
        <v>45743</v>
      </c>
      <c r="C158">
        <v>0.15641451000000001</v>
      </c>
      <c r="D158">
        <v>1.5482663999999999</v>
      </c>
    </row>
    <row r="159" spans="2:4" x14ac:dyDescent="0.25">
      <c r="B159" s="5">
        <v>45742</v>
      </c>
      <c r="C159">
        <v>-1.3133942999999999</v>
      </c>
      <c r="D159">
        <v>-0.84555745000000004</v>
      </c>
    </row>
    <row r="160" spans="2:4" x14ac:dyDescent="0.25">
      <c r="B160" s="5">
        <v>45741</v>
      </c>
      <c r="C160">
        <v>0.52915809999999996</v>
      </c>
      <c r="D160">
        <v>1.3532758</v>
      </c>
    </row>
    <row r="161" spans="2:4" x14ac:dyDescent="0.25">
      <c r="B161" s="5">
        <v>45740</v>
      </c>
      <c r="C161">
        <v>0.46515465</v>
      </c>
      <c r="D161">
        <v>-1.6710758000000001</v>
      </c>
    </row>
    <row r="162" spans="2:4" x14ac:dyDescent="0.25">
      <c r="B162" s="5">
        <v>45737</v>
      </c>
      <c r="C162">
        <v>1.1425972</v>
      </c>
      <c r="D162">
        <v>-1.3536215000000001E-2</v>
      </c>
    </row>
    <row r="163" spans="2:4" x14ac:dyDescent="0.25">
      <c r="B163" s="5">
        <v>45736</v>
      </c>
      <c r="C163">
        <v>-0.25269985</v>
      </c>
      <c r="D163">
        <v>-2.3656309000000002</v>
      </c>
    </row>
    <row r="164" spans="2:4" x14ac:dyDescent="0.25">
      <c r="B164" s="5">
        <v>45735</v>
      </c>
      <c r="C164">
        <v>1.1211990999999999</v>
      </c>
      <c r="D164">
        <v>-1.6468763000000001E-2</v>
      </c>
    </row>
    <row r="165" spans="2:4" x14ac:dyDescent="0.25">
      <c r="B165" s="5">
        <v>45734</v>
      </c>
      <c r="C165">
        <v>-1.3326526000000001</v>
      </c>
      <c r="D165">
        <v>0.27252436000000002</v>
      </c>
    </row>
    <row r="166" spans="2:4" x14ac:dyDescent="0.25">
      <c r="B166" s="5">
        <v>45733</v>
      </c>
      <c r="C166">
        <v>3.6036970000000002E-2</v>
      </c>
      <c r="D166">
        <v>0.52508116000000005</v>
      </c>
    </row>
    <row r="167" spans="2:4" x14ac:dyDescent="0.25">
      <c r="B167" s="5">
        <v>45730</v>
      </c>
      <c r="C167">
        <v>2.5846840000000002</v>
      </c>
      <c r="D167">
        <v>2.4481058</v>
      </c>
    </row>
    <row r="168" spans="2:4" x14ac:dyDescent="0.25">
      <c r="B168" s="5">
        <v>45729</v>
      </c>
      <c r="C168">
        <v>-1.1741041999999999</v>
      </c>
      <c r="D168">
        <v>-0.39724112</v>
      </c>
    </row>
    <row r="169" spans="2:4" x14ac:dyDescent="0.25">
      <c r="B169" s="5">
        <v>45728</v>
      </c>
      <c r="C169">
        <v>0.74121950000000003</v>
      </c>
      <c r="D169">
        <v>1.0669588999999999</v>
      </c>
    </row>
    <row r="170" spans="2:4" x14ac:dyDescent="0.25">
      <c r="B170" s="5">
        <v>45727</v>
      </c>
      <c r="C170">
        <v>7.6282024000000004E-2</v>
      </c>
      <c r="D170">
        <v>-0.20846128</v>
      </c>
    </row>
    <row r="171" spans="2:4" x14ac:dyDescent="0.25">
      <c r="B171" s="5">
        <v>45726</v>
      </c>
      <c r="C171">
        <v>-3.3434153000000002</v>
      </c>
      <c r="D171">
        <v>1.9872069000000001</v>
      </c>
    </row>
    <row r="172" spans="2:4" x14ac:dyDescent="0.25">
      <c r="B172" s="5">
        <v>45723</v>
      </c>
      <c r="C172">
        <v>-0.90201500000000001</v>
      </c>
      <c r="D172">
        <v>1.0303974</v>
      </c>
    </row>
    <row r="173" spans="2:4" x14ac:dyDescent="0.25">
      <c r="B173" s="5">
        <v>45722</v>
      </c>
      <c r="C173">
        <v>-1.0298669</v>
      </c>
      <c r="D173">
        <v>0.50166845000000004</v>
      </c>
    </row>
    <row r="174" spans="2:4" x14ac:dyDescent="0.25">
      <c r="B174" s="5">
        <v>45721</v>
      </c>
      <c r="C174">
        <v>3.193438</v>
      </c>
      <c r="D174">
        <v>2.6073694000000001</v>
      </c>
    </row>
    <row r="175" spans="2:4" x14ac:dyDescent="0.25">
      <c r="B175" s="5">
        <v>45720</v>
      </c>
      <c r="C175">
        <v>3.0887127E-2</v>
      </c>
      <c r="D175">
        <v>-0.49691795999999999</v>
      </c>
    </row>
    <row r="176" spans="2:4" x14ac:dyDescent="0.25">
      <c r="B176" s="5">
        <v>45719</v>
      </c>
      <c r="C176">
        <v>-2.1411120000000001</v>
      </c>
      <c r="D176">
        <v>3.2704233999999999</v>
      </c>
    </row>
    <row r="177" spans="2:4" x14ac:dyDescent="0.25">
      <c r="B177" s="5">
        <v>45716</v>
      </c>
      <c r="C177">
        <v>1.1362194999999999</v>
      </c>
      <c r="D177">
        <v>-0.71768759999999998</v>
      </c>
    </row>
    <row r="178" spans="2:4" x14ac:dyDescent="0.25">
      <c r="B178" s="5">
        <v>45715</v>
      </c>
      <c r="C178">
        <v>-1.8012166000000001</v>
      </c>
      <c r="D178">
        <v>-0.61460733000000001</v>
      </c>
    </row>
    <row r="179" spans="2:4" x14ac:dyDescent="0.25">
      <c r="B179" s="5">
        <v>45714</v>
      </c>
      <c r="C179">
        <v>0.45992136</v>
      </c>
      <c r="D179">
        <v>2.3970842000000001</v>
      </c>
    </row>
    <row r="180" spans="2:4" x14ac:dyDescent="0.25">
      <c r="B180" s="5">
        <v>45713</v>
      </c>
      <c r="C180">
        <v>-1.5099049</v>
      </c>
      <c r="D180">
        <v>0.89144707000000001</v>
      </c>
    </row>
    <row r="181" spans="2:4" x14ac:dyDescent="0.25">
      <c r="B181" s="5">
        <v>45712</v>
      </c>
      <c r="C181">
        <v>-1.0313272</v>
      </c>
      <c r="D181">
        <v>-0.51630735000000005</v>
      </c>
    </row>
    <row r="182" spans="2:4" x14ac:dyDescent="0.25">
      <c r="B182" s="5">
        <v>45709</v>
      </c>
      <c r="C182">
        <v>-1.9032538000000001</v>
      </c>
      <c r="D182">
        <v>-0.54941773000000005</v>
      </c>
    </row>
    <row r="183" spans="2:4" x14ac:dyDescent="0.25">
      <c r="B183" s="5">
        <v>45708</v>
      </c>
      <c r="C183">
        <v>0.32789707000000001</v>
      </c>
      <c r="D183">
        <v>0.12009143999999999</v>
      </c>
    </row>
    <row r="184" spans="2:4" x14ac:dyDescent="0.25">
      <c r="B184" s="5">
        <v>45707</v>
      </c>
      <c r="C184">
        <v>1.2523173999999999</v>
      </c>
      <c r="D184">
        <v>-0.49099325999999999</v>
      </c>
    </row>
    <row r="185" spans="2:4" x14ac:dyDescent="0.25">
      <c r="B185" s="5">
        <v>45706</v>
      </c>
      <c r="C185">
        <v>0.29625892999999998</v>
      </c>
      <c r="D185">
        <v>1.1111617</v>
      </c>
    </row>
    <row r="186" spans="2:4" x14ac:dyDescent="0.25">
      <c r="B186" s="5">
        <v>45702</v>
      </c>
      <c r="C186">
        <v>-0.51395893000000004</v>
      </c>
      <c r="D186">
        <v>-0.94092489999999995</v>
      </c>
    </row>
    <row r="187" spans="2:4" x14ac:dyDescent="0.25">
      <c r="B187" s="5">
        <v>45701</v>
      </c>
      <c r="C187">
        <v>0.36671162000000002</v>
      </c>
      <c r="D187">
        <v>2.0550728</v>
      </c>
    </row>
    <row r="188" spans="2:4" x14ac:dyDescent="0.25">
      <c r="B188" s="5">
        <v>45700</v>
      </c>
      <c r="C188">
        <v>-0.58331489999999997</v>
      </c>
      <c r="D188">
        <v>1.7669082</v>
      </c>
    </row>
    <row r="189" spans="2:4" x14ac:dyDescent="0.25">
      <c r="B189" s="5">
        <v>45699</v>
      </c>
      <c r="C189">
        <v>-0.1892209</v>
      </c>
      <c r="D189">
        <v>0.58012010000000003</v>
      </c>
    </row>
    <row r="190" spans="2:4" x14ac:dyDescent="0.25">
      <c r="B190" s="5">
        <v>45698</v>
      </c>
      <c r="C190">
        <v>0.60280560000000005</v>
      </c>
      <c r="D190">
        <v>-0.15600919999999999</v>
      </c>
    </row>
    <row r="191" spans="2:4" x14ac:dyDescent="0.25">
      <c r="B191" s="5">
        <v>45695</v>
      </c>
      <c r="C191">
        <v>-1.4597654</v>
      </c>
      <c r="D191">
        <v>-0.36531687000000002</v>
      </c>
    </row>
    <row r="192" spans="2:4" x14ac:dyDescent="0.25">
      <c r="B192" s="5">
        <v>45694</v>
      </c>
      <c r="C192">
        <v>0.61216353999999995</v>
      </c>
      <c r="D192">
        <v>-0.62272550000000004</v>
      </c>
    </row>
    <row r="193" spans="2:4" x14ac:dyDescent="0.25">
      <c r="B193" s="5">
        <v>45693</v>
      </c>
      <c r="C193">
        <v>0.22310019</v>
      </c>
      <c r="D193">
        <v>0.77098610000000001</v>
      </c>
    </row>
    <row r="194" spans="2:4" x14ac:dyDescent="0.25">
      <c r="B194" s="5">
        <v>45692</v>
      </c>
      <c r="C194">
        <v>0.35285949999999999</v>
      </c>
      <c r="D194">
        <v>0.80767869999999997</v>
      </c>
    </row>
    <row r="195" spans="2:4" x14ac:dyDescent="0.25">
      <c r="B195" s="5">
        <v>45691</v>
      </c>
      <c r="C195">
        <v>-0.99744200000000005</v>
      </c>
      <c r="D195">
        <v>-0.15488863</v>
      </c>
    </row>
    <row r="196" spans="2:4" x14ac:dyDescent="0.25">
      <c r="B196" s="5">
        <v>45688</v>
      </c>
      <c r="C196">
        <v>1.6868114E-2</v>
      </c>
      <c r="D196">
        <v>-1.2973607</v>
      </c>
    </row>
    <row r="197" spans="2:4" x14ac:dyDescent="0.25">
      <c r="B197" s="5">
        <v>45687</v>
      </c>
      <c r="C197">
        <v>-6.1809063000000002</v>
      </c>
      <c r="D197">
        <v>1.3312101000000001</v>
      </c>
    </row>
    <row r="198" spans="2:4" x14ac:dyDescent="0.25">
      <c r="B198" s="5">
        <v>45686</v>
      </c>
      <c r="C198">
        <v>-1.0890067000000001</v>
      </c>
      <c r="D198">
        <v>-0.33653975000000003</v>
      </c>
    </row>
    <row r="199" spans="2:4" x14ac:dyDescent="0.25">
      <c r="B199" s="5">
        <v>45685</v>
      </c>
      <c r="C199">
        <v>2.9086946999999999</v>
      </c>
      <c r="D199">
        <v>-0.41731000000000001</v>
      </c>
    </row>
    <row r="200" spans="2:4" x14ac:dyDescent="0.25">
      <c r="B200" s="5">
        <v>45684</v>
      </c>
      <c r="C200">
        <v>-2.1393477999999999</v>
      </c>
      <c r="D200">
        <v>1.0516882000000001</v>
      </c>
    </row>
    <row r="201" spans="2:4" x14ac:dyDescent="0.25">
      <c r="B201" s="5">
        <v>45681</v>
      </c>
      <c r="C201">
        <v>-0.59322715000000004</v>
      </c>
      <c r="D201">
        <v>1.2020111</v>
      </c>
    </row>
    <row r="202" spans="2:4" x14ac:dyDescent="0.25">
      <c r="B202" s="5">
        <v>45680</v>
      </c>
      <c r="C202">
        <v>0.11429787</v>
      </c>
      <c r="D202">
        <v>-0.2536118</v>
      </c>
    </row>
    <row r="203" spans="2:4" x14ac:dyDescent="0.25">
      <c r="B203" s="5">
        <v>45679</v>
      </c>
      <c r="C203">
        <v>4.1306972999999996</v>
      </c>
      <c r="D203">
        <v>1.5224694999999999</v>
      </c>
    </row>
    <row r="204" spans="2:4" x14ac:dyDescent="0.25">
      <c r="B204" s="5">
        <v>45678</v>
      </c>
      <c r="C204">
        <v>-0.12353659</v>
      </c>
      <c r="D204">
        <v>1.6235470999999999</v>
      </c>
    </row>
    <row r="205" spans="2:4" x14ac:dyDescent="0.25">
      <c r="B205" s="5">
        <v>45674</v>
      </c>
      <c r="C205">
        <v>1.0481</v>
      </c>
      <c r="D205">
        <v>0.52866935999999998</v>
      </c>
    </row>
    <row r="206" spans="2:4" x14ac:dyDescent="0.25">
      <c r="B206" s="5">
        <v>45673</v>
      </c>
      <c r="C206">
        <v>-0.40581225999999998</v>
      </c>
      <c r="D206">
        <v>-9.2130900000000002E-2</v>
      </c>
    </row>
    <row r="207" spans="2:4" x14ac:dyDescent="0.25">
      <c r="B207" s="5">
        <v>45672</v>
      </c>
      <c r="C207">
        <v>2.5597215000000002</v>
      </c>
      <c r="D207">
        <v>0.32572746000000002</v>
      </c>
    </row>
    <row r="208" spans="2:4" x14ac:dyDescent="0.25">
      <c r="B208" s="5">
        <v>45671</v>
      </c>
      <c r="C208">
        <v>-0.36433935000000001</v>
      </c>
      <c r="D208">
        <v>2.2075057</v>
      </c>
    </row>
    <row r="209" spans="2:4" x14ac:dyDescent="0.25">
      <c r="B209" s="5">
        <v>45670</v>
      </c>
      <c r="C209">
        <v>-0.42009950000000001</v>
      </c>
      <c r="D209">
        <v>-0.33574700000000002</v>
      </c>
    </row>
    <row r="210" spans="2:4" x14ac:dyDescent="0.25">
      <c r="B210" s="5">
        <v>45667</v>
      </c>
      <c r="C210">
        <v>-1.3213634000000001</v>
      </c>
      <c r="D210">
        <v>-0.67130330000000005</v>
      </c>
    </row>
    <row r="211" spans="2:4" x14ac:dyDescent="0.25">
      <c r="B211" s="5">
        <v>45665</v>
      </c>
      <c r="C211">
        <v>0.51850079999999998</v>
      </c>
      <c r="D211">
        <v>0.68756340000000005</v>
      </c>
    </row>
    <row r="212" spans="2:4" x14ac:dyDescent="0.25">
      <c r="B212" s="5">
        <v>45664</v>
      </c>
      <c r="C212">
        <v>-1.2808263</v>
      </c>
      <c r="D212">
        <v>0.92561245000000003</v>
      </c>
    </row>
    <row r="213" spans="2:4" x14ac:dyDescent="0.25">
      <c r="B213" s="5">
        <v>45663</v>
      </c>
      <c r="C213">
        <v>1.0629535000000001</v>
      </c>
      <c r="D213">
        <v>0.24693012</v>
      </c>
    </row>
    <row r="214" spans="2:4" x14ac:dyDescent="0.25">
      <c r="B214" s="5">
        <v>45660</v>
      </c>
      <c r="C214">
        <v>1.1395693</v>
      </c>
      <c r="D214">
        <v>-0.66914560000000001</v>
      </c>
    </row>
    <row r="215" spans="2:4" x14ac:dyDescent="0.25">
      <c r="B215" s="5">
        <v>45659</v>
      </c>
      <c r="C215">
        <v>-0.69276689999999996</v>
      </c>
      <c r="D215">
        <v>-0.14793872999999999</v>
      </c>
    </row>
    <row r="216" spans="2:4" x14ac:dyDescent="0.25">
      <c r="B216" s="5">
        <v>45657</v>
      </c>
      <c r="C216">
        <v>-0.78383683999999998</v>
      </c>
      <c r="D216">
        <v>-0.24565458000000001</v>
      </c>
    </row>
    <row r="217" spans="2:4" x14ac:dyDescent="0.25">
      <c r="B217" s="5">
        <v>45656</v>
      </c>
      <c r="C217">
        <v>-1.3239502999999999</v>
      </c>
      <c r="D217">
        <v>-0.93749165999999995</v>
      </c>
    </row>
    <row r="218" spans="2:4" x14ac:dyDescent="0.25">
      <c r="B218" s="5">
        <v>45653</v>
      </c>
      <c r="C218">
        <v>-1.730156</v>
      </c>
      <c r="D218">
        <v>1.2063622000000001</v>
      </c>
    </row>
    <row r="219" spans="2:4" x14ac:dyDescent="0.25">
      <c r="B219" s="5">
        <v>45652</v>
      </c>
      <c r="C219">
        <v>-0.27769803999999998</v>
      </c>
      <c r="D219">
        <v>0.16839504</v>
      </c>
    </row>
    <row r="220" spans="2:4" x14ac:dyDescent="0.25">
      <c r="B220" s="5">
        <v>45650</v>
      </c>
      <c r="C220">
        <v>0.93739030000000001</v>
      </c>
      <c r="D220">
        <v>1.4436245E-2</v>
      </c>
    </row>
    <row r="221" spans="2:4" x14ac:dyDescent="0.25">
      <c r="B221" s="5">
        <v>45649</v>
      </c>
      <c r="C221">
        <v>-0.30921102</v>
      </c>
      <c r="D221">
        <v>-1.2330353000000001</v>
      </c>
    </row>
    <row r="222" spans="2:4" x14ac:dyDescent="0.25">
      <c r="B222" s="5">
        <v>45646</v>
      </c>
      <c r="C222">
        <v>-9.8389389999999993E-2</v>
      </c>
      <c r="D222">
        <v>-0.16899705000000001</v>
      </c>
    </row>
    <row r="223" spans="2:4" x14ac:dyDescent="0.25">
      <c r="B223" s="5">
        <v>45645</v>
      </c>
      <c r="C223">
        <v>-8.2308054000000005E-2</v>
      </c>
      <c r="D223">
        <v>-0.79973340000000004</v>
      </c>
    </row>
    <row r="224" spans="2:4" x14ac:dyDescent="0.25">
      <c r="B224" s="5">
        <v>45644</v>
      </c>
      <c r="C224">
        <v>-3.7561</v>
      </c>
      <c r="D224">
        <v>-0.65561530000000001</v>
      </c>
    </row>
    <row r="225" spans="2:4" x14ac:dyDescent="0.25">
      <c r="B225" s="5">
        <v>45643</v>
      </c>
      <c r="C225">
        <v>0.63552856000000002</v>
      </c>
      <c r="D225">
        <v>0.32461881999999997</v>
      </c>
    </row>
    <row r="226" spans="2:4" x14ac:dyDescent="0.25">
      <c r="B226" s="5">
        <v>45642</v>
      </c>
      <c r="C226">
        <v>0.96585750000000004</v>
      </c>
      <c r="D226">
        <v>0.84571839999999998</v>
      </c>
    </row>
    <row r="227" spans="2:4" x14ac:dyDescent="0.25">
      <c r="B227" s="5">
        <v>45639</v>
      </c>
      <c r="C227">
        <v>-0.50938724999999996</v>
      </c>
      <c r="D227">
        <v>0.32322406999999997</v>
      </c>
    </row>
    <row r="228" spans="2:4" x14ac:dyDescent="0.25">
      <c r="B228" s="5">
        <v>45638</v>
      </c>
      <c r="C228">
        <v>0.12695790000000001</v>
      </c>
      <c r="D228">
        <v>-0.37163496000000001</v>
      </c>
    </row>
    <row r="229" spans="2:4" x14ac:dyDescent="0.25">
      <c r="B229" s="5">
        <v>45637</v>
      </c>
      <c r="C229">
        <v>1.2767075999999999</v>
      </c>
      <c r="D229">
        <v>0.53343770000000001</v>
      </c>
    </row>
    <row r="230" spans="2:4" x14ac:dyDescent="0.25">
      <c r="B230" s="5">
        <v>45636</v>
      </c>
      <c r="C230">
        <v>-0.60310960000000002</v>
      </c>
      <c r="D230">
        <v>-0.37632585000000002</v>
      </c>
    </row>
    <row r="231" spans="2:4" x14ac:dyDescent="0.25">
      <c r="B231" s="5">
        <v>45635</v>
      </c>
      <c r="C231">
        <v>0.55233239999999995</v>
      </c>
      <c r="D231">
        <v>-0.72074530000000003</v>
      </c>
    </row>
    <row r="232" spans="2:4" x14ac:dyDescent="0.25">
      <c r="B232" s="5">
        <v>45632</v>
      </c>
      <c r="C232">
        <v>0.21463632999999999</v>
      </c>
      <c r="D232">
        <v>-0.71870685000000001</v>
      </c>
    </row>
    <row r="233" spans="2:4" x14ac:dyDescent="0.25">
      <c r="B233" s="5">
        <v>45631</v>
      </c>
      <c r="C233">
        <v>1.1887789</v>
      </c>
      <c r="D233">
        <v>1.6424894000000001</v>
      </c>
    </row>
    <row r="234" spans="2:4" x14ac:dyDescent="0.25">
      <c r="B234" s="5">
        <v>45630</v>
      </c>
      <c r="C234">
        <v>1.4424920000000001</v>
      </c>
      <c r="D234">
        <v>0.47714709999999999</v>
      </c>
    </row>
    <row r="235" spans="2:4" x14ac:dyDescent="0.25">
      <c r="B235" s="5">
        <v>45629</v>
      </c>
      <c r="C235">
        <v>5.1045418000000002E-2</v>
      </c>
      <c r="D235">
        <v>-0.13005137</v>
      </c>
    </row>
    <row r="236" spans="2:4" x14ac:dyDescent="0.25">
      <c r="B236" s="5">
        <v>45628</v>
      </c>
      <c r="C236">
        <v>1.7758489</v>
      </c>
      <c r="D236">
        <v>-0.69678426000000004</v>
      </c>
    </row>
    <row r="237" spans="2:4" x14ac:dyDescent="0.25">
      <c r="B237" s="5">
        <v>45625</v>
      </c>
      <c r="C237">
        <v>0.11111498</v>
      </c>
      <c r="D237">
        <v>1.1892796000000001</v>
      </c>
    </row>
    <row r="238" spans="2:4" x14ac:dyDescent="0.25">
      <c r="B238" s="5">
        <v>45623</v>
      </c>
      <c r="C238">
        <v>-1.1682509999999999</v>
      </c>
      <c r="D238">
        <v>2.3039580000000002</v>
      </c>
    </row>
    <row r="239" spans="2:4" x14ac:dyDescent="0.25">
      <c r="B239" s="5">
        <v>45622</v>
      </c>
      <c r="C239">
        <v>2.1968006999999998</v>
      </c>
      <c r="D239">
        <v>-0.10830164</v>
      </c>
    </row>
    <row r="240" spans="2:4" x14ac:dyDescent="0.25">
      <c r="B240" s="5">
        <v>45621</v>
      </c>
      <c r="C240">
        <v>0.42926072999999998</v>
      </c>
      <c r="D240">
        <v>0.98817350000000004</v>
      </c>
    </row>
    <row r="241" spans="2:4" x14ac:dyDescent="0.25">
      <c r="B241" s="5">
        <v>45618</v>
      </c>
      <c r="C241">
        <v>1.0003209</v>
      </c>
      <c r="D241">
        <v>-3.1822919999999998E-2</v>
      </c>
    </row>
    <row r="242" spans="2:4" x14ac:dyDescent="0.25">
      <c r="B242" s="5">
        <v>45617</v>
      </c>
      <c r="C242">
        <v>-0.63058139999999996</v>
      </c>
      <c r="D242">
        <v>0.71275233999999998</v>
      </c>
    </row>
    <row r="243" spans="2:4" x14ac:dyDescent="0.25">
      <c r="B243" s="5">
        <v>45616</v>
      </c>
      <c r="C243">
        <v>-0.55052040000000002</v>
      </c>
      <c r="D243">
        <v>-0.62343479999999996</v>
      </c>
    </row>
    <row r="244" spans="2:4" x14ac:dyDescent="0.25">
      <c r="B244" s="5">
        <v>45615</v>
      </c>
      <c r="C244">
        <v>0.48825740000000001</v>
      </c>
      <c r="D244">
        <v>-0.53545237000000001</v>
      </c>
    </row>
    <row r="245" spans="2:4" x14ac:dyDescent="0.25">
      <c r="B245" s="5">
        <v>45614</v>
      </c>
      <c r="C245">
        <v>0.18312930999999999</v>
      </c>
      <c r="D245">
        <v>1.7999172000000001</v>
      </c>
    </row>
    <row r="246" spans="2:4" x14ac:dyDescent="0.25">
      <c r="B246" s="5">
        <v>45611</v>
      </c>
      <c r="C246">
        <v>-2.7852654000000001</v>
      </c>
      <c r="D246">
        <v>-1.0476707999999999</v>
      </c>
    </row>
    <row r="247" spans="2:4" x14ac:dyDescent="0.25">
      <c r="B247" s="5">
        <v>45610</v>
      </c>
      <c r="C247">
        <v>0.39745570000000002</v>
      </c>
      <c r="D247">
        <v>1.3595820000000001</v>
      </c>
    </row>
    <row r="248" spans="2:4" x14ac:dyDescent="0.25">
      <c r="B248" s="5">
        <v>45609</v>
      </c>
      <c r="C248">
        <v>0.51296949999999997</v>
      </c>
      <c r="D248">
        <v>-0.85520149999999995</v>
      </c>
    </row>
    <row r="249" spans="2:4" x14ac:dyDescent="0.25">
      <c r="B249" s="5">
        <v>45608</v>
      </c>
      <c r="C249">
        <v>1.2009262999999999</v>
      </c>
      <c r="D249">
        <v>-2.4557829999999998</v>
      </c>
    </row>
    <row r="250" spans="2:4" x14ac:dyDescent="0.25">
      <c r="B250" s="5">
        <v>45607</v>
      </c>
      <c r="C250">
        <v>-1.0720848999999999</v>
      </c>
      <c r="D250">
        <v>-5.2666664000000002E-2</v>
      </c>
    </row>
    <row r="251" spans="2:4" x14ac:dyDescent="0.25">
      <c r="B251" s="5">
        <v>45604</v>
      </c>
      <c r="C251">
        <v>-0.67930820000000003</v>
      </c>
      <c r="D251">
        <v>-0.48888325999999999</v>
      </c>
    </row>
    <row r="252" spans="2:4" x14ac:dyDescent="0.25">
      <c r="B252" s="5">
        <v>45603</v>
      </c>
      <c r="C252">
        <v>1.2494683</v>
      </c>
      <c r="D252">
        <v>-0.20989179999999999</v>
      </c>
    </row>
    <row r="253" spans="2:4" x14ac:dyDescent="0.25">
      <c r="B253" s="5">
        <v>45602</v>
      </c>
      <c r="C253">
        <v>2.1192790000000001</v>
      </c>
      <c r="D253">
        <v>-3.0855237999999998</v>
      </c>
    </row>
    <row r="254" spans="2:4" x14ac:dyDescent="0.25">
      <c r="B254" s="5">
        <v>45601</v>
      </c>
      <c r="C254">
        <v>0.73446034999999998</v>
      </c>
      <c r="D254">
        <v>0.90944767000000004</v>
      </c>
    </row>
    <row r="255" spans="2:4" x14ac:dyDescent="0.25">
      <c r="B255" s="5">
        <v>45600</v>
      </c>
      <c r="C255">
        <v>-0.46543479999999998</v>
      </c>
      <c r="D255">
        <v>-3.1590462000000001E-3</v>
      </c>
    </row>
    <row r="256" spans="2:4" x14ac:dyDescent="0.25">
      <c r="B256" s="5">
        <v>45597</v>
      </c>
      <c r="C256">
        <v>0.98929405000000004</v>
      </c>
      <c r="D256">
        <v>1.2402654</v>
      </c>
    </row>
    <row r="257" spans="2:4" x14ac:dyDescent="0.25">
      <c r="B257" s="5">
        <v>45596</v>
      </c>
      <c r="C257">
        <v>-6.0527563000000004</v>
      </c>
      <c r="D257">
        <v>-0.3442347</v>
      </c>
    </row>
    <row r="258" spans="2:4" x14ac:dyDescent="0.25">
      <c r="B258" s="5">
        <v>45595</v>
      </c>
      <c r="C258">
        <v>0.13427734</v>
      </c>
      <c r="D258">
        <v>-0.60398580000000002</v>
      </c>
    </row>
    <row r="259" spans="2:4" x14ac:dyDescent="0.25">
      <c r="B259" s="5">
        <v>45594</v>
      </c>
      <c r="C259">
        <v>1.2564778000000001</v>
      </c>
      <c r="D259">
        <v>-0.87041259999999998</v>
      </c>
    </row>
    <row r="260" spans="2:4" x14ac:dyDescent="0.25">
      <c r="B260" s="5">
        <v>45593</v>
      </c>
      <c r="C260">
        <v>-0.36435722999999998</v>
      </c>
      <c r="D260">
        <v>0.98975897000000002</v>
      </c>
    </row>
    <row r="261" spans="2:4" x14ac:dyDescent="0.25">
      <c r="B261" s="5">
        <v>45590</v>
      </c>
      <c r="C261">
        <v>0.80521107000000003</v>
      </c>
      <c r="D261">
        <v>0.45441389999999998</v>
      </c>
    </row>
    <row r="262" spans="2:4" x14ac:dyDescent="0.25">
      <c r="B262" s="5">
        <v>45589</v>
      </c>
      <c r="C262">
        <v>3.0612945999999999E-2</v>
      </c>
      <c r="D262">
        <v>1.5744328000000001</v>
      </c>
    </row>
    <row r="263" spans="2:4" x14ac:dyDescent="0.25">
      <c r="B263" s="5">
        <v>45588</v>
      </c>
      <c r="C263">
        <v>-0.68068503999999996</v>
      </c>
      <c r="D263">
        <v>-2.2980154000000002</v>
      </c>
    </row>
    <row r="264" spans="2:4" x14ac:dyDescent="0.25">
      <c r="B264" s="5">
        <v>45587</v>
      </c>
      <c r="C264">
        <v>2.0846247999999998</v>
      </c>
      <c r="D264">
        <v>-0.27666091999999998</v>
      </c>
    </row>
    <row r="265" spans="2:4" x14ac:dyDescent="0.25">
      <c r="B265" s="5">
        <v>45586</v>
      </c>
      <c r="C265">
        <v>0.14827251</v>
      </c>
      <c r="D265">
        <v>-0.57344437000000004</v>
      </c>
    </row>
    <row r="266" spans="2:4" x14ac:dyDescent="0.25">
      <c r="B266" s="5">
        <v>45583</v>
      </c>
      <c r="C266">
        <v>0.34555196999999999</v>
      </c>
      <c r="D266">
        <v>0.18054247000000001</v>
      </c>
    </row>
    <row r="267" spans="2:4" x14ac:dyDescent="0.25">
      <c r="B267" s="5">
        <v>45582</v>
      </c>
      <c r="C267">
        <v>0.14419556</v>
      </c>
      <c r="D267">
        <v>0.58690310000000001</v>
      </c>
    </row>
    <row r="268" spans="2:4" x14ac:dyDescent="0.25">
      <c r="B268" s="5">
        <v>45581</v>
      </c>
      <c r="C268">
        <v>-0.62568784</v>
      </c>
      <c r="D268">
        <v>-3.0320883E-2</v>
      </c>
    </row>
    <row r="269" spans="2:4" x14ac:dyDescent="0.25">
      <c r="B269" s="5">
        <v>45580</v>
      </c>
      <c r="C269">
        <v>-9.5438960000000003E-2</v>
      </c>
      <c r="D269">
        <v>0.44939518000000001</v>
      </c>
    </row>
    <row r="270" spans="2:4" x14ac:dyDescent="0.25">
      <c r="B270" s="5">
        <v>45579</v>
      </c>
      <c r="C270">
        <v>0.67737099999999995</v>
      </c>
      <c r="D270">
        <v>0.76949595999999998</v>
      </c>
    </row>
    <row r="271" spans="2:4" x14ac:dyDescent="0.25">
      <c r="B271" s="5">
        <v>45576</v>
      </c>
      <c r="C271">
        <v>0.115430355</v>
      </c>
      <c r="D271">
        <v>1.1941790000000001</v>
      </c>
    </row>
    <row r="272" spans="2:4" x14ac:dyDescent="0.25">
      <c r="B272" s="5">
        <v>45575</v>
      </c>
      <c r="C272">
        <v>-0.38806200000000002</v>
      </c>
      <c r="D272">
        <v>-1.5411376999999999</v>
      </c>
    </row>
    <row r="273" spans="2:4" x14ac:dyDescent="0.25">
      <c r="B273" s="5">
        <v>45574</v>
      </c>
      <c r="C273">
        <v>0.66311359999999997</v>
      </c>
      <c r="D273">
        <v>2.9921532000000001E-2</v>
      </c>
    </row>
    <row r="274" spans="2:4" x14ac:dyDescent="0.25">
      <c r="B274" s="5">
        <v>45573</v>
      </c>
      <c r="C274">
        <v>1.2623906</v>
      </c>
      <c r="D274">
        <v>1.0491847999999999</v>
      </c>
    </row>
    <row r="275" spans="2:4" x14ac:dyDescent="0.25">
      <c r="B275" s="5">
        <v>45572</v>
      </c>
      <c r="C275">
        <v>-1.5670776</v>
      </c>
      <c r="D275">
        <v>0.48536062000000002</v>
      </c>
    </row>
    <row r="276" spans="2:4" x14ac:dyDescent="0.25">
      <c r="B276" s="5">
        <v>45569</v>
      </c>
      <c r="C276">
        <v>-0.11523962</v>
      </c>
      <c r="D276">
        <v>-2.0331442000000002</v>
      </c>
    </row>
    <row r="277" spans="2:4" x14ac:dyDescent="0.25">
      <c r="B277" s="5">
        <v>45568</v>
      </c>
      <c r="C277">
        <v>-0.14144182</v>
      </c>
      <c r="D277">
        <v>-0.21007060999999999</v>
      </c>
    </row>
    <row r="278" spans="2:4" x14ac:dyDescent="0.25">
      <c r="B278" s="5">
        <v>45567</v>
      </c>
      <c r="C278">
        <v>-0.84623099999999996</v>
      </c>
      <c r="D278">
        <v>0.67616699999999996</v>
      </c>
    </row>
    <row r="279" spans="2:4" x14ac:dyDescent="0.25">
      <c r="B279" s="5">
        <v>45566</v>
      </c>
      <c r="C279">
        <v>-2.2333205</v>
      </c>
      <c r="D279">
        <v>-0.89396834000000003</v>
      </c>
    </row>
    <row r="280" spans="2:4" x14ac:dyDescent="0.25">
      <c r="B280" s="5">
        <v>45565</v>
      </c>
      <c r="C280">
        <v>0.53268669999999996</v>
      </c>
      <c r="D280">
        <v>7.1990490000000004E-2</v>
      </c>
    </row>
    <row r="281" spans="2:4" x14ac:dyDescent="0.25">
      <c r="B281" s="5">
        <v>45562</v>
      </c>
      <c r="C281">
        <v>-0.76279640000000004</v>
      </c>
      <c r="D281">
        <v>0.73494910000000002</v>
      </c>
    </row>
    <row r="282" spans="2:4" x14ac:dyDescent="0.25">
      <c r="B282" s="5">
        <v>45561</v>
      </c>
      <c r="C282">
        <v>-0.18513799</v>
      </c>
      <c r="D282">
        <v>-0.71462389999999998</v>
      </c>
    </row>
    <row r="283" spans="2:4" x14ac:dyDescent="0.25">
      <c r="B283" s="5">
        <v>45560</v>
      </c>
      <c r="C283">
        <v>0.68503619999999998</v>
      </c>
      <c r="D283">
        <v>0.76329709999999995</v>
      </c>
    </row>
    <row r="284" spans="2:4" x14ac:dyDescent="0.25">
      <c r="B284" s="5">
        <v>45559</v>
      </c>
      <c r="C284">
        <v>-1.0011315000000001</v>
      </c>
      <c r="D284">
        <v>-0.73133709999999996</v>
      </c>
    </row>
    <row r="285" spans="2:4" x14ac:dyDescent="0.25">
      <c r="B285" s="5">
        <v>45558</v>
      </c>
      <c r="C285">
        <v>-0.40434003000000002</v>
      </c>
      <c r="D285">
        <v>1.2448192</v>
      </c>
    </row>
    <row r="286" spans="2:4" x14ac:dyDescent="0.25">
      <c r="B286" s="5">
        <v>45555</v>
      </c>
      <c r="C286">
        <v>-0.77959895000000001</v>
      </c>
      <c r="D286">
        <v>1.6391397000000001</v>
      </c>
    </row>
    <row r="287" spans="2:4" x14ac:dyDescent="0.25">
      <c r="B287" s="5">
        <v>45554</v>
      </c>
      <c r="C287">
        <v>1.8291116000000001</v>
      </c>
      <c r="D287">
        <v>0.44175386</v>
      </c>
    </row>
    <row r="288" spans="2:4" x14ac:dyDescent="0.25">
      <c r="B288" s="5">
        <v>45553</v>
      </c>
      <c r="C288">
        <v>-0.99735856000000001</v>
      </c>
      <c r="D288">
        <v>-0.69004893</v>
      </c>
    </row>
    <row r="289" spans="2:4" x14ac:dyDescent="0.25">
      <c r="B289" s="5">
        <v>45552</v>
      </c>
      <c r="C289">
        <v>0.88329314999999997</v>
      </c>
      <c r="D289">
        <v>-1.1963307999999999</v>
      </c>
    </row>
    <row r="290" spans="2:4" x14ac:dyDescent="0.25">
      <c r="B290" s="5">
        <v>45551</v>
      </c>
      <c r="C290">
        <v>0.17417669999999999</v>
      </c>
      <c r="D290">
        <v>2.7370452999999999E-2</v>
      </c>
    </row>
    <row r="291" spans="2:4" x14ac:dyDescent="0.25">
      <c r="B291" s="5">
        <v>45548</v>
      </c>
      <c r="C291">
        <v>0.84074736000000005</v>
      </c>
      <c r="D291">
        <v>0.78170300000000004</v>
      </c>
    </row>
    <row r="292" spans="2:4" x14ac:dyDescent="0.25">
      <c r="B292" s="5">
        <v>45547</v>
      </c>
      <c r="C292">
        <v>0.93607899999999999</v>
      </c>
      <c r="D292">
        <v>1.3931036000000001</v>
      </c>
    </row>
    <row r="293" spans="2:4" x14ac:dyDescent="0.25">
      <c r="B293" s="5">
        <v>45546</v>
      </c>
      <c r="C293">
        <v>2.1342397000000002</v>
      </c>
      <c r="D293">
        <v>-0.74778794999999998</v>
      </c>
    </row>
    <row r="294" spans="2:4" x14ac:dyDescent="0.25">
      <c r="B294" s="5">
        <v>45545</v>
      </c>
      <c r="C294">
        <v>2.0901084000000001</v>
      </c>
      <c r="D294">
        <v>-1.4158607000000001</v>
      </c>
    </row>
    <row r="295" spans="2:4" x14ac:dyDescent="0.25">
      <c r="B295" s="5">
        <v>45544</v>
      </c>
      <c r="C295">
        <v>1.0007381</v>
      </c>
      <c r="D295">
        <v>1.0866761</v>
      </c>
    </row>
    <row r="296" spans="2:4" x14ac:dyDescent="0.25">
      <c r="B296" s="5">
        <v>45541</v>
      </c>
      <c r="C296">
        <v>-1.6381383</v>
      </c>
      <c r="D296">
        <v>1.7076373</v>
      </c>
    </row>
    <row r="297" spans="2:4" x14ac:dyDescent="0.25">
      <c r="B297" s="5">
        <v>45540</v>
      </c>
      <c r="C297">
        <v>-0.12472272</v>
      </c>
      <c r="D297">
        <v>-0.30433536</v>
      </c>
    </row>
    <row r="298" spans="2:4" x14ac:dyDescent="0.25">
      <c r="B298" s="5">
        <v>45539</v>
      </c>
      <c r="C298">
        <v>-0.13188720000000001</v>
      </c>
      <c r="D298">
        <v>1.284492</v>
      </c>
    </row>
    <row r="299" spans="2:4" x14ac:dyDescent="0.25">
      <c r="B299" s="5">
        <v>45538</v>
      </c>
      <c r="C299">
        <v>-1.8459082</v>
      </c>
      <c r="D299">
        <v>-0.68191290000000004</v>
      </c>
    </row>
    <row r="300" spans="2:4" x14ac:dyDescent="0.25">
      <c r="B300" s="5">
        <v>45534</v>
      </c>
      <c r="C300">
        <v>0.97309349999999994</v>
      </c>
      <c r="D300">
        <v>-6.2811375000000003E-2</v>
      </c>
    </row>
    <row r="301" spans="2:4" x14ac:dyDescent="0.25">
      <c r="B301" s="5">
        <v>45533</v>
      </c>
      <c r="C301">
        <v>0.61373710000000004</v>
      </c>
      <c r="D301">
        <v>7.3194504000000001E-3</v>
      </c>
    </row>
    <row r="302" spans="2:4" x14ac:dyDescent="0.25">
      <c r="B302" s="5">
        <v>45532</v>
      </c>
      <c r="C302">
        <v>-0.78290700000000002</v>
      </c>
      <c r="D302">
        <v>1.1256455999999999</v>
      </c>
    </row>
    <row r="303" spans="2:4" x14ac:dyDescent="0.25">
      <c r="B303" s="5">
        <v>45531</v>
      </c>
      <c r="C303">
        <v>8.4650520000000007E-2</v>
      </c>
      <c r="D303">
        <v>0.41960478000000001</v>
      </c>
    </row>
    <row r="304" spans="2:4" x14ac:dyDescent="0.25">
      <c r="B304" s="5">
        <v>45530</v>
      </c>
      <c r="C304">
        <v>-0.79177019999999998</v>
      </c>
      <c r="D304">
        <v>5.3441524999999997E-2</v>
      </c>
    </row>
    <row r="305" spans="2:4" x14ac:dyDescent="0.25">
      <c r="B305" s="5">
        <v>45527</v>
      </c>
      <c r="C305">
        <v>0.29840470000000002</v>
      </c>
      <c r="D305">
        <v>0.84711312999999999</v>
      </c>
    </row>
    <row r="306" spans="2:4" x14ac:dyDescent="0.25">
      <c r="B306" s="5">
        <v>45526</v>
      </c>
      <c r="C306">
        <v>-2.0252824</v>
      </c>
      <c r="D306">
        <v>0.33340454000000003</v>
      </c>
    </row>
    <row r="307" spans="2:4" x14ac:dyDescent="0.25">
      <c r="B307" s="5">
        <v>45525</v>
      </c>
      <c r="C307">
        <v>-0.15535950000000001</v>
      </c>
      <c r="D307">
        <v>0.77623129999999996</v>
      </c>
    </row>
    <row r="308" spans="2:4" x14ac:dyDescent="0.25">
      <c r="B308" s="5">
        <v>45524</v>
      </c>
      <c r="C308">
        <v>0.77574253000000004</v>
      </c>
      <c r="D308">
        <v>0.42024850000000002</v>
      </c>
    </row>
    <row r="309" spans="2:4" x14ac:dyDescent="0.25">
      <c r="B309" s="5">
        <v>45523</v>
      </c>
      <c r="C309">
        <v>0.73122980000000004</v>
      </c>
      <c r="D309">
        <v>1.1656165000000001</v>
      </c>
    </row>
    <row r="310" spans="2:4" x14ac:dyDescent="0.25">
      <c r="B310" s="5">
        <v>45520</v>
      </c>
      <c r="C310">
        <v>-0.60803293999999997</v>
      </c>
      <c r="D310">
        <v>1.0521531</v>
      </c>
    </row>
    <row r="311" spans="2:4" x14ac:dyDescent="0.25">
      <c r="B311" s="5">
        <v>45519</v>
      </c>
      <c r="C311">
        <v>1.0003447999999999</v>
      </c>
      <c r="D311">
        <v>1.4631748</v>
      </c>
    </row>
    <row r="312" spans="2:4" x14ac:dyDescent="0.25">
      <c r="B312" s="5">
        <v>45518</v>
      </c>
      <c r="C312">
        <v>0.68838595999999996</v>
      </c>
      <c r="D312">
        <v>1.7455339999999999</v>
      </c>
    </row>
    <row r="313" spans="2:4" x14ac:dyDescent="0.25">
      <c r="B313" s="5">
        <v>45517</v>
      </c>
      <c r="C313">
        <v>1.7698765000000001</v>
      </c>
      <c r="D313">
        <v>1.1173010000000001</v>
      </c>
    </row>
    <row r="314" spans="2:4" x14ac:dyDescent="0.25">
      <c r="B314" s="5">
        <v>45516</v>
      </c>
      <c r="C314">
        <v>0.19457340000000001</v>
      </c>
      <c r="D314">
        <v>0.62125920000000001</v>
      </c>
    </row>
    <row r="315" spans="2:4" x14ac:dyDescent="0.25">
      <c r="B315" s="5">
        <v>45513</v>
      </c>
      <c r="C315">
        <v>0.82693099999999997</v>
      </c>
      <c r="D315">
        <v>0.79895260000000001</v>
      </c>
    </row>
    <row r="316" spans="2:4" x14ac:dyDescent="0.25">
      <c r="B316" s="5">
        <v>45512</v>
      </c>
      <c r="C316">
        <v>1.0691999999999999</v>
      </c>
      <c r="D316">
        <v>-0.66306589999999999</v>
      </c>
    </row>
    <row r="317" spans="2:4" x14ac:dyDescent="0.25">
      <c r="B317" s="5">
        <v>45511</v>
      </c>
      <c r="C317">
        <v>-0.29528736999999999</v>
      </c>
      <c r="D317">
        <v>2.5249958000000001</v>
      </c>
    </row>
    <row r="318" spans="2:4" x14ac:dyDescent="0.25">
      <c r="B318" s="5">
        <v>45510</v>
      </c>
      <c r="C318">
        <v>1.1286855</v>
      </c>
      <c r="D318">
        <v>-1.9195496999999999</v>
      </c>
    </row>
    <row r="319" spans="2:4" x14ac:dyDescent="0.25">
      <c r="B319" s="5">
        <v>45509</v>
      </c>
      <c r="C319">
        <v>-3.2656847999999998</v>
      </c>
      <c r="D319">
        <v>-1.0819197</v>
      </c>
    </row>
    <row r="320" spans="2:4" x14ac:dyDescent="0.25">
      <c r="B320" s="5">
        <v>45506</v>
      </c>
      <c r="C320">
        <v>-2.0666003000000002</v>
      </c>
      <c r="D320">
        <v>0.2019763</v>
      </c>
    </row>
    <row r="321" spans="2:4" x14ac:dyDescent="0.25">
      <c r="B321" s="5">
        <v>45505</v>
      </c>
      <c r="C321">
        <v>-0.29640793999999998</v>
      </c>
      <c r="D321">
        <v>-1.6588509</v>
      </c>
    </row>
    <row r="322" spans="2:4" x14ac:dyDescent="0.25">
      <c r="B322" s="5">
        <v>45504</v>
      </c>
      <c r="C322">
        <v>-1.0805845000000001</v>
      </c>
      <c r="D322">
        <v>6.8831444000000006E-2</v>
      </c>
    </row>
    <row r="323" spans="2:4" x14ac:dyDescent="0.25">
      <c r="B323" s="5">
        <v>45503</v>
      </c>
      <c r="C323">
        <v>-0.89283586000000004</v>
      </c>
      <c r="D323">
        <v>0.99052189999999996</v>
      </c>
    </row>
    <row r="324" spans="2:4" x14ac:dyDescent="0.25">
      <c r="B324" s="5">
        <v>45502</v>
      </c>
      <c r="C324">
        <v>0.34331083000000001</v>
      </c>
      <c r="D324">
        <v>-1.1330306999999999</v>
      </c>
    </row>
    <row r="325" spans="2:4" x14ac:dyDescent="0.25">
      <c r="B325" s="5">
        <v>45499</v>
      </c>
      <c r="C325">
        <v>1.6419649000000001</v>
      </c>
      <c r="D325">
        <v>0.42982100000000001</v>
      </c>
    </row>
    <row r="326" spans="2:4" x14ac:dyDescent="0.25">
      <c r="B326" s="5">
        <v>45498</v>
      </c>
      <c r="C326">
        <v>-2.4481237</v>
      </c>
      <c r="D326">
        <v>4.0388106999999999E-2</v>
      </c>
    </row>
    <row r="327" spans="2:4" x14ac:dyDescent="0.25">
      <c r="B327" s="5">
        <v>45497</v>
      </c>
      <c r="C327">
        <v>-3.5854816</v>
      </c>
      <c r="D327">
        <v>0.13160706</v>
      </c>
    </row>
    <row r="328" spans="2:4" x14ac:dyDescent="0.25">
      <c r="B328" s="5">
        <v>45496</v>
      </c>
      <c r="C328">
        <v>0.43121576</v>
      </c>
      <c r="D328">
        <v>-1.1776388</v>
      </c>
    </row>
    <row r="329" spans="2:4" x14ac:dyDescent="0.25">
      <c r="B329" s="5">
        <v>45495</v>
      </c>
      <c r="C329">
        <v>1.3337612000000001</v>
      </c>
      <c r="D329">
        <v>1.4798998999999999</v>
      </c>
    </row>
    <row r="330" spans="2:4" x14ac:dyDescent="0.25">
      <c r="B330" s="5">
        <v>45492</v>
      </c>
      <c r="C330">
        <v>-0.74028970000000005</v>
      </c>
      <c r="D330">
        <v>-1.5473664</v>
      </c>
    </row>
    <row r="331" spans="2:4" x14ac:dyDescent="0.25">
      <c r="B331" s="5">
        <v>45491</v>
      </c>
      <c r="C331">
        <v>-0.71022510000000005</v>
      </c>
      <c r="D331">
        <v>-0.80629589999999995</v>
      </c>
    </row>
    <row r="332" spans="2:4" x14ac:dyDescent="0.25">
      <c r="B332" s="5">
        <v>45490</v>
      </c>
      <c r="C332">
        <v>-1.3347566</v>
      </c>
      <c r="D332">
        <v>0.66758393999999999</v>
      </c>
    </row>
    <row r="333" spans="2:4" x14ac:dyDescent="0.25">
      <c r="B333" s="5">
        <v>45489</v>
      </c>
      <c r="C333">
        <v>-0.9780586</v>
      </c>
      <c r="D333">
        <v>-0.76568720000000001</v>
      </c>
    </row>
    <row r="334" spans="2:4" x14ac:dyDescent="0.25">
      <c r="B334" s="5">
        <v>45488</v>
      </c>
      <c r="C334">
        <v>9.0396404E-2</v>
      </c>
      <c r="D334">
        <v>-0.55636169999999996</v>
      </c>
    </row>
    <row r="335" spans="2:4" x14ac:dyDescent="0.25">
      <c r="B335" s="5">
        <v>45485</v>
      </c>
      <c r="C335">
        <v>-0.25292039999999999</v>
      </c>
      <c r="D335">
        <v>2.4128436999999998</v>
      </c>
    </row>
    <row r="336" spans="2:4" x14ac:dyDescent="0.25">
      <c r="B336" s="5">
        <v>45484</v>
      </c>
      <c r="C336">
        <v>-2.4772107999999999</v>
      </c>
      <c r="D336">
        <v>1.3160825</v>
      </c>
    </row>
    <row r="337" spans="2:4" x14ac:dyDescent="0.25">
      <c r="B337" s="5">
        <v>45483</v>
      </c>
      <c r="C337">
        <v>1.4601588000000001</v>
      </c>
      <c r="D337">
        <v>0.20821095000000001</v>
      </c>
    </row>
    <row r="338" spans="2:4" x14ac:dyDescent="0.25">
      <c r="B338" s="5">
        <v>45482</v>
      </c>
      <c r="C338">
        <v>-1.4370263000000001</v>
      </c>
      <c r="D338">
        <v>-0.38457512999999999</v>
      </c>
    </row>
    <row r="339" spans="2:4" x14ac:dyDescent="0.25">
      <c r="B339" s="5">
        <v>45481</v>
      </c>
      <c r="C339">
        <v>-0.2823174</v>
      </c>
      <c r="D339">
        <v>-0.17026663</v>
      </c>
    </row>
    <row r="340" spans="2:4" x14ac:dyDescent="0.25">
      <c r="B340" s="5">
        <v>45478</v>
      </c>
      <c r="C340">
        <v>1.4736176000000001</v>
      </c>
      <c r="D340">
        <v>-1.6576945999999999</v>
      </c>
    </row>
    <row r="341" spans="2:4" x14ac:dyDescent="0.25">
      <c r="B341" s="5">
        <v>45476</v>
      </c>
      <c r="C341">
        <v>0.32441616000000001</v>
      </c>
      <c r="D341">
        <v>0.57246684999999997</v>
      </c>
    </row>
    <row r="342" spans="2:4" x14ac:dyDescent="0.25">
      <c r="B342" s="5">
        <v>45475</v>
      </c>
      <c r="C342">
        <v>0.5583167</v>
      </c>
      <c r="D342">
        <v>0.25721788000000001</v>
      </c>
    </row>
    <row r="343" spans="2:4" x14ac:dyDescent="0.25">
      <c r="B343" s="5">
        <v>45474</v>
      </c>
      <c r="C343">
        <v>2.188158</v>
      </c>
      <c r="D343">
        <v>-0.20233988999999999</v>
      </c>
    </row>
    <row r="344" spans="2:4" x14ac:dyDescent="0.25">
      <c r="B344" s="5">
        <v>45471</v>
      </c>
      <c r="C344">
        <v>-1.3028561999999999</v>
      </c>
      <c r="D344">
        <v>-1.3934432999999999</v>
      </c>
    </row>
    <row r="345" spans="2:4" x14ac:dyDescent="0.25">
      <c r="B345" s="5">
        <v>45470</v>
      </c>
      <c r="C345">
        <v>0.15259981</v>
      </c>
      <c r="D345">
        <v>1.2252212</v>
      </c>
    </row>
    <row r="346" spans="2:4" x14ac:dyDescent="0.25">
      <c r="B346" s="5">
        <v>45469</v>
      </c>
      <c r="C346">
        <v>0.26831627000000002</v>
      </c>
      <c r="D346">
        <v>-0.51882863000000001</v>
      </c>
    </row>
    <row r="347" spans="2:4" x14ac:dyDescent="0.25">
      <c r="B347" s="5">
        <v>45468</v>
      </c>
      <c r="C347">
        <v>0.73268414000000004</v>
      </c>
      <c r="D347">
        <v>-0.91286900000000004</v>
      </c>
    </row>
    <row r="348" spans="2:4" x14ac:dyDescent="0.25">
      <c r="B348" s="5">
        <v>45467</v>
      </c>
      <c r="C348">
        <v>-0.46911239999999998</v>
      </c>
      <c r="D348">
        <v>1.2847066</v>
      </c>
    </row>
    <row r="349" spans="2:4" x14ac:dyDescent="0.25">
      <c r="B349" s="5">
        <v>45464</v>
      </c>
      <c r="C349">
        <v>0.91540812999999999</v>
      </c>
      <c r="D349">
        <v>0.72634220000000005</v>
      </c>
    </row>
    <row r="350" spans="2:4" x14ac:dyDescent="0.25">
      <c r="B350" s="5">
        <v>45463</v>
      </c>
      <c r="C350">
        <v>-0.14338492999999999</v>
      </c>
      <c r="D350">
        <v>0.21029711000000001</v>
      </c>
    </row>
    <row r="351" spans="2:4" x14ac:dyDescent="0.25">
      <c r="B351" s="5">
        <v>45461</v>
      </c>
      <c r="C351">
        <v>-0.45275092</v>
      </c>
      <c r="D351">
        <v>2.0946026</v>
      </c>
    </row>
    <row r="352" spans="2:4" x14ac:dyDescent="0.25">
      <c r="B352" s="5">
        <v>45460</v>
      </c>
      <c r="C352">
        <v>1.3105273</v>
      </c>
      <c r="D352">
        <v>2.3895621</v>
      </c>
    </row>
    <row r="353" spans="2:4" x14ac:dyDescent="0.25">
      <c r="B353" s="5">
        <v>45457</v>
      </c>
      <c r="C353">
        <v>0.22419691</v>
      </c>
      <c r="D353">
        <v>0.3489256</v>
      </c>
    </row>
    <row r="354" spans="2:4" x14ac:dyDescent="0.25">
      <c r="B354" s="5">
        <v>45456</v>
      </c>
      <c r="C354">
        <v>0.11789798999999999</v>
      </c>
      <c r="D354">
        <v>-3.7711858999999999</v>
      </c>
    </row>
    <row r="355" spans="2:4" x14ac:dyDescent="0.25">
      <c r="B355" s="5">
        <v>45455</v>
      </c>
      <c r="C355">
        <v>1.9367695</v>
      </c>
      <c r="D355">
        <v>0.88977814</v>
      </c>
    </row>
    <row r="356" spans="2:4" x14ac:dyDescent="0.25">
      <c r="B356" s="5">
        <v>45454</v>
      </c>
      <c r="C356">
        <v>1.1241673999999999</v>
      </c>
      <c r="D356">
        <v>8.0728530000000007E-2</v>
      </c>
    </row>
    <row r="357" spans="2:4" x14ac:dyDescent="0.25">
      <c r="B357" s="5">
        <v>45453</v>
      </c>
      <c r="C357">
        <v>0.94844099999999998</v>
      </c>
      <c r="D357">
        <v>-1.6940415</v>
      </c>
    </row>
    <row r="358" spans="2:4" x14ac:dyDescent="0.25">
      <c r="B358" s="5">
        <v>45450</v>
      </c>
      <c r="C358">
        <v>-0.15782118000000001</v>
      </c>
      <c r="D358">
        <v>-0.90129375</v>
      </c>
    </row>
    <row r="359" spans="2:4" x14ac:dyDescent="0.25">
      <c r="B359" s="5">
        <v>45449</v>
      </c>
      <c r="C359">
        <v>0.12027025</v>
      </c>
      <c r="D359">
        <v>0.16356707000000001</v>
      </c>
    </row>
    <row r="360" spans="2:4" x14ac:dyDescent="0.25">
      <c r="B360" s="5">
        <v>45448</v>
      </c>
      <c r="C360">
        <v>1.9083380999999999</v>
      </c>
      <c r="D360">
        <v>1.164639</v>
      </c>
    </row>
    <row r="361" spans="2:4" x14ac:dyDescent="0.25">
      <c r="B361" s="5">
        <v>45447</v>
      </c>
      <c r="C361">
        <v>0.61665773000000002</v>
      </c>
      <c r="D361">
        <v>1.4832973</v>
      </c>
    </row>
    <row r="362" spans="2:4" x14ac:dyDescent="0.25">
      <c r="B362" s="5">
        <v>45446</v>
      </c>
      <c r="C362">
        <v>-0.3878355</v>
      </c>
      <c r="D362">
        <v>0.43007135000000002</v>
      </c>
    </row>
    <row r="363" spans="2:4" x14ac:dyDescent="0.25">
      <c r="B363" s="5">
        <v>45443</v>
      </c>
      <c r="C363">
        <v>0.11092424400000001</v>
      </c>
      <c r="D363">
        <v>1.9215822</v>
      </c>
    </row>
    <row r="364" spans="2:4" x14ac:dyDescent="0.25">
      <c r="B364" s="5">
        <v>45442</v>
      </c>
      <c r="C364">
        <v>-3.3786117999999998</v>
      </c>
      <c r="D364">
        <v>1.2924789999999999</v>
      </c>
    </row>
    <row r="365" spans="2:4" x14ac:dyDescent="0.25">
      <c r="B365" s="5">
        <v>45441</v>
      </c>
      <c r="C365">
        <v>-0.26724340000000002</v>
      </c>
      <c r="D365">
        <v>-0.75165630000000005</v>
      </c>
    </row>
    <row r="366" spans="2:4" x14ac:dyDescent="0.25">
      <c r="B366" s="5">
        <v>45440</v>
      </c>
      <c r="C366">
        <v>3.7193299999999999E-2</v>
      </c>
      <c r="D366">
        <v>-3.1083167</v>
      </c>
    </row>
    <row r="367" spans="2:4" x14ac:dyDescent="0.25">
      <c r="B367" s="5">
        <v>45436</v>
      </c>
      <c r="C367">
        <v>0.74005127000000004</v>
      </c>
      <c r="D367">
        <v>1.7392635E-2</v>
      </c>
    </row>
    <row r="368" spans="2:4" x14ac:dyDescent="0.25">
      <c r="B368" s="5">
        <v>45435</v>
      </c>
      <c r="C368">
        <v>-0.81761479999999997</v>
      </c>
      <c r="D368">
        <v>-0.15032887</v>
      </c>
    </row>
    <row r="369" spans="2:4" x14ac:dyDescent="0.25">
      <c r="B369" s="5">
        <v>45434</v>
      </c>
      <c r="C369">
        <v>0.34495592000000003</v>
      </c>
      <c r="D369">
        <v>-0.15839338</v>
      </c>
    </row>
    <row r="370" spans="2:4" x14ac:dyDescent="0.25">
      <c r="B370" s="5">
        <v>45433</v>
      </c>
      <c r="C370">
        <v>0.86989399999999995</v>
      </c>
      <c r="D370">
        <v>0.44342280000000001</v>
      </c>
    </row>
    <row r="371" spans="2:4" x14ac:dyDescent="0.25">
      <c r="B371" s="5">
        <v>45432</v>
      </c>
      <c r="C371">
        <v>1.2208223</v>
      </c>
      <c r="D371">
        <v>-0.50712824000000001</v>
      </c>
    </row>
    <row r="372" spans="2:4" x14ac:dyDescent="0.25">
      <c r="B372" s="5">
        <v>45429</v>
      </c>
      <c r="C372">
        <v>-0.18527508000000001</v>
      </c>
      <c r="D372">
        <v>1.7365694</v>
      </c>
    </row>
    <row r="373" spans="2:4" x14ac:dyDescent="0.25">
      <c r="B373" s="5">
        <v>45428</v>
      </c>
      <c r="C373">
        <v>-0.49399734000000001</v>
      </c>
      <c r="D373">
        <v>0.84666014000000001</v>
      </c>
    </row>
    <row r="374" spans="2:4" x14ac:dyDescent="0.25">
      <c r="B374" s="5">
        <v>45427</v>
      </c>
      <c r="C374">
        <v>1.5651941</v>
      </c>
      <c r="D374">
        <v>0.26316643000000001</v>
      </c>
    </row>
    <row r="375" spans="2:4" x14ac:dyDescent="0.25">
      <c r="B375" s="5">
        <v>45426</v>
      </c>
      <c r="C375">
        <v>0.68645480000000003</v>
      </c>
      <c r="D375">
        <v>-1.2527524999999999</v>
      </c>
    </row>
    <row r="376" spans="2:4" x14ac:dyDescent="0.25">
      <c r="B376" s="5">
        <v>45425</v>
      </c>
      <c r="C376">
        <v>-0.24593472</v>
      </c>
      <c r="D376">
        <v>-2.0692586999999998</v>
      </c>
    </row>
    <row r="377" spans="2:4" x14ac:dyDescent="0.25">
      <c r="B377" s="5">
        <v>45422</v>
      </c>
      <c r="C377">
        <v>0.58691499999999996</v>
      </c>
      <c r="D377">
        <v>-0.48759580000000002</v>
      </c>
    </row>
    <row r="378" spans="2:4" x14ac:dyDescent="0.25">
      <c r="B378" s="5">
        <v>45421</v>
      </c>
      <c r="C378">
        <v>0.43357610000000002</v>
      </c>
      <c r="D378">
        <v>0.94865560000000004</v>
      </c>
    </row>
    <row r="379" spans="2:4" x14ac:dyDescent="0.25">
      <c r="B379" s="5">
        <v>45420</v>
      </c>
      <c r="C379">
        <v>0.29315947999999997</v>
      </c>
      <c r="D379">
        <v>-0.37106275999999999</v>
      </c>
    </row>
    <row r="380" spans="2:4" x14ac:dyDescent="0.25">
      <c r="B380" s="5">
        <v>45419</v>
      </c>
      <c r="C380">
        <v>-1.0156213999999999</v>
      </c>
      <c r="D380">
        <v>1.4961243</v>
      </c>
    </row>
    <row r="381" spans="2:4" x14ac:dyDescent="0.25">
      <c r="B381" s="5">
        <v>45418</v>
      </c>
      <c r="C381">
        <v>1.6918302000000001</v>
      </c>
      <c r="D381">
        <v>-0.23122429999999999</v>
      </c>
    </row>
    <row r="382" spans="2:4" x14ac:dyDescent="0.25">
      <c r="B382" s="5">
        <v>45415</v>
      </c>
      <c r="C382">
        <v>2.216971</v>
      </c>
      <c r="D382">
        <v>1.8964052</v>
      </c>
    </row>
    <row r="383" spans="2:4" x14ac:dyDescent="0.25">
      <c r="B383" s="5">
        <v>45414</v>
      </c>
      <c r="C383">
        <v>0.73428154000000001</v>
      </c>
      <c r="D383">
        <v>0.95807313999999999</v>
      </c>
    </row>
    <row r="384" spans="2:4" x14ac:dyDescent="0.25">
      <c r="B384" s="5">
        <v>45413</v>
      </c>
      <c r="C384">
        <v>1.4409422999999999</v>
      </c>
      <c r="D384">
        <v>-8.4167720000000001E-2</v>
      </c>
    </row>
    <row r="385" spans="2:4" x14ac:dyDescent="0.25">
      <c r="B385" s="5">
        <v>45412</v>
      </c>
      <c r="C385">
        <v>-3.2119333999999999</v>
      </c>
      <c r="D385">
        <v>-0.73930620000000002</v>
      </c>
    </row>
    <row r="386" spans="2:4" x14ac:dyDescent="0.25">
      <c r="B386" s="5">
        <v>45411</v>
      </c>
      <c r="C386">
        <v>-1.0016738999999999</v>
      </c>
      <c r="D386">
        <v>3.4403799999999998E-2</v>
      </c>
    </row>
    <row r="387" spans="2:4" x14ac:dyDescent="0.25">
      <c r="B387" s="5">
        <v>45408</v>
      </c>
      <c r="C387">
        <v>1.824379</v>
      </c>
      <c r="D387">
        <v>0.35126210000000002</v>
      </c>
    </row>
    <row r="388" spans="2:4" x14ac:dyDescent="0.25">
      <c r="B388" s="5">
        <v>45407</v>
      </c>
      <c r="C388">
        <v>-2.4495184000000001</v>
      </c>
      <c r="D388">
        <v>0.64523220000000003</v>
      </c>
    </row>
    <row r="389" spans="2:4" x14ac:dyDescent="0.25">
      <c r="B389" s="5">
        <v>45406</v>
      </c>
      <c r="C389">
        <v>0.36557912999999997</v>
      </c>
      <c r="D389">
        <v>-4.0958699999999997</v>
      </c>
    </row>
    <row r="390" spans="2:4" x14ac:dyDescent="0.25">
      <c r="B390" s="5">
        <v>45405</v>
      </c>
      <c r="C390">
        <v>1.6485453000000001</v>
      </c>
      <c r="D390">
        <v>0.71188209999999996</v>
      </c>
    </row>
    <row r="391" spans="2:4" x14ac:dyDescent="0.25">
      <c r="B391" s="5">
        <v>45404</v>
      </c>
      <c r="C391">
        <v>0.46101809999999999</v>
      </c>
      <c r="D391">
        <v>0.59574839999999996</v>
      </c>
    </row>
    <row r="392" spans="2:4" x14ac:dyDescent="0.25">
      <c r="B392" s="5">
        <v>45401</v>
      </c>
      <c r="C392">
        <v>-1.2739003</v>
      </c>
      <c r="D392">
        <v>-0.21207929</v>
      </c>
    </row>
    <row r="393" spans="2:4" x14ac:dyDescent="0.25">
      <c r="B393" s="5">
        <v>45400</v>
      </c>
      <c r="C393">
        <v>-1.8380939999999999</v>
      </c>
      <c r="D393">
        <v>0.15184880000000001</v>
      </c>
    </row>
    <row r="394" spans="2:4" x14ac:dyDescent="0.25">
      <c r="B394" s="5">
        <v>45399</v>
      </c>
      <c r="C394">
        <v>-0.66090819999999995</v>
      </c>
      <c r="D394">
        <v>0.42294263999999998</v>
      </c>
    </row>
    <row r="395" spans="2:4" x14ac:dyDescent="0.25">
      <c r="B395" s="5">
        <v>45398</v>
      </c>
      <c r="C395">
        <v>0.22724867000000001</v>
      </c>
      <c r="D395">
        <v>-2.1889984999999998</v>
      </c>
    </row>
    <row r="396" spans="2:4" x14ac:dyDescent="0.25">
      <c r="B396" s="5">
        <v>45397</v>
      </c>
      <c r="C396">
        <v>-1.9578040000000001</v>
      </c>
      <c r="D396">
        <v>0.41501522000000002</v>
      </c>
    </row>
    <row r="397" spans="2:4" x14ac:dyDescent="0.25">
      <c r="B397" s="5">
        <v>45394</v>
      </c>
      <c r="C397">
        <v>-1.4091073999999999</v>
      </c>
      <c r="D397">
        <v>-4.1913986E-2</v>
      </c>
    </row>
    <row r="398" spans="2:4" x14ac:dyDescent="0.25">
      <c r="B398" s="5">
        <v>45393</v>
      </c>
      <c r="C398">
        <v>1.1033416</v>
      </c>
      <c r="D398">
        <v>-0.34060478</v>
      </c>
    </row>
    <row r="399" spans="2:4" x14ac:dyDescent="0.25">
      <c r="B399" s="5">
        <v>45392</v>
      </c>
      <c r="C399">
        <v>-0.70845484999999997</v>
      </c>
      <c r="D399">
        <v>-2.8520823000000001E-2</v>
      </c>
    </row>
    <row r="400" spans="2:4" x14ac:dyDescent="0.25">
      <c r="B400" s="5">
        <v>45391</v>
      </c>
      <c r="C400">
        <v>0.39802789999999999</v>
      </c>
      <c r="D400">
        <v>-0.6245792</v>
      </c>
    </row>
    <row r="401" spans="2:4" x14ac:dyDescent="0.25">
      <c r="B401" s="5">
        <v>45390</v>
      </c>
      <c r="C401">
        <v>-0.21855235000000001</v>
      </c>
      <c r="D401">
        <v>0.69898366999999995</v>
      </c>
    </row>
    <row r="402" spans="2:4" x14ac:dyDescent="0.25">
      <c r="B402" s="5">
        <v>45387</v>
      </c>
      <c r="C402">
        <v>1.8282771</v>
      </c>
      <c r="D402">
        <v>0.10185242</v>
      </c>
    </row>
    <row r="403" spans="2:4" x14ac:dyDescent="0.25">
      <c r="B403" s="5">
        <v>45386</v>
      </c>
      <c r="C403">
        <v>-0.61125160000000001</v>
      </c>
      <c r="D403">
        <v>0.50145390000000001</v>
      </c>
    </row>
    <row r="404" spans="2:4" x14ac:dyDescent="0.25">
      <c r="B404" s="5">
        <v>45385</v>
      </c>
      <c r="C404">
        <v>-0.23490786999999999</v>
      </c>
      <c r="D404">
        <v>6.7138669999999998E-2</v>
      </c>
    </row>
    <row r="405" spans="2:4" x14ac:dyDescent="0.25">
      <c r="B405" s="5">
        <v>45384</v>
      </c>
      <c r="C405">
        <v>-0.73722005000000002</v>
      </c>
      <c r="D405">
        <v>-1.3585031000000001</v>
      </c>
    </row>
    <row r="406" spans="2:4" x14ac:dyDescent="0.25">
      <c r="B406" s="5">
        <v>45383</v>
      </c>
      <c r="C406">
        <v>0.91509819999999997</v>
      </c>
      <c r="D406">
        <v>-0.51388739999999999</v>
      </c>
    </row>
    <row r="407" spans="2:4" x14ac:dyDescent="0.25">
      <c r="B407" s="5">
        <v>45379</v>
      </c>
      <c r="C407">
        <v>-0.16847253000000001</v>
      </c>
      <c r="D407">
        <v>0.55282116000000003</v>
      </c>
    </row>
    <row r="408" spans="2:4" x14ac:dyDescent="0.25">
      <c r="B408" s="5">
        <v>45378</v>
      </c>
      <c r="C408">
        <v>-5.2177906000000003E-2</v>
      </c>
      <c r="D408">
        <v>8.5616109999999995E-2</v>
      </c>
    </row>
    <row r="409" spans="2:4" x14ac:dyDescent="0.25">
      <c r="B409" s="5">
        <v>45377</v>
      </c>
      <c r="C409">
        <v>-0.28614402</v>
      </c>
      <c r="D409">
        <v>0.88313819999999998</v>
      </c>
    </row>
    <row r="410" spans="2:4" x14ac:dyDescent="0.25">
      <c r="B410" s="5">
        <v>45376</v>
      </c>
      <c r="C410">
        <v>-1.3714611999999999</v>
      </c>
      <c r="D410">
        <v>0.49568414999999999</v>
      </c>
    </row>
    <row r="411" spans="2:4" x14ac:dyDescent="0.25">
      <c r="B411" s="5">
        <v>45373</v>
      </c>
      <c r="C411">
        <v>-0.14672874999999999</v>
      </c>
      <c r="D411">
        <v>-0.62848329999999997</v>
      </c>
    </row>
    <row r="412" spans="2:4" x14ac:dyDescent="0.25">
      <c r="B412" s="5">
        <v>45372</v>
      </c>
      <c r="C412">
        <v>0.97358226999999997</v>
      </c>
      <c r="D412">
        <v>0.55100919999999998</v>
      </c>
    </row>
    <row r="413" spans="2:4" x14ac:dyDescent="0.25">
      <c r="B413" s="5">
        <v>45371</v>
      </c>
      <c r="C413">
        <v>0.90647935999999996</v>
      </c>
      <c r="D413">
        <v>-0.31530259999999999</v>
      </c>
    </row>
    <row r="414" spans="2:4" x14ac:dyDescent="0.25">
      <c r="B414" s="5">
        <v>45370</v>
      </c>
      <c r="C414">
        <v>0.98006724999999995</v>
      </c>
      <c r="D414">
        <v>5.3060055000000002E-2</v>
      </c>
    </row>
    <row r="415" spans="2:4" x14ac:dyDescent="0.25">
      <c r="B415" s="5">
        <v>45369</v>
      </c>
      <c r="C415">
        <v>0.21612644</v>
      </c>
      <c r="D415">
        <v>-0.13090372</v>
      </c>
    </row>
    <row r="416" spans="2:4" x14ac:dyDescent="0.25">
      <c r="B416" s="5">
        <v>45366</v>
      </c>
      <c r="C416">
        <v>-2.069515</v>
      </c>
      <c r="D416">
        <v>-0.75006485000000001</v>
      </c>
    </row>
    <row r="417" spans="2:4" x14ac:dyDescent="0.25">
      <c r="B417" s="5">
        <v>45365</v>
      </c>
      <c r="C417">
        <v>2.437961</v>
      </c>
      <c r="D417">
        <v>0.32597779999999998</v>
      </c>
    </row>
    <row r="418" spans="2:4" x14ac:dyDescent="0.25">
      <c r="B418" s="5">
        <v>45364</v>
      </c>
      <c r="C418">
        <v>-4.3344498000000002E-2</v>
      </c>
      <c r="D418">
        <v>-2.6588082000000002</v>
      </c>
    </row>
    <row r="419" spans="2:4" x14ac:dyDescent="0.25">
      <c r="B419" s="5">
        <v>45363</v>
      </c>
      <c r="C419">
        <v>2.6599406999999999</v>
      </c>
      <c r="D419">
        <v>0.44003724999999999</v>
      </c>
    </row>
    <row r="420" spans="2:4" x14ac:dyDescent="0.25">
      <c r="B420" s="5">
        <v>45362</v>
      </c>
      <c r="C420">
        <v>-0.41849613000000002</v>
      </c>
      <c r="D420">
        <v>-0.21758079999999999</v>
      </c>
    </row>
    <row r="421" spans="2:4" x14ac:dyDescent="0.25">
      <c r="B421" s="5">
        <v>45359</v>
      </c>
      <c r="C421">
        <v>-0.7136941</v>
      </c>
      <c r="D421">
        <v>-1.2584983999999999</v>
      </c>
    </row>
    <row r="422" spans="2:4" x14ac:dyDescent="0.25">
      <c r="B422" s="5">
        <v>45358</v>
      </c>
      <c r="C422">
        <v>1.7533422000000001</v>
      </c>
      <c r="D422">
        <v>0.98905562999999996</v>
      </c>
    </row>
    <row r="423" spans="2:4" x14ac:dyDescent="0.25">
      <c r="B423" s="5">
        <v>45357</v>
      </c>
      <c r="C423">
        <v>-0.13907552000000001</v>
      </c>
      <c r="D423">
        <v>-0.55446030000000002</v>
      </c>
    </row>
    <row r="424" spans="2:4" x14ac:dyDescent="0.25">
      <c r="B424" s="5">
        <v>45356</v>
      </c>
      <c r="C424">
        <v>-2.957201</v>
      </c>
      <c r="D424">
        <v>0.12563467</v>
      </c>
    </row>
    <row r="425" spans="2:4" x14ac:dyDescent="0.25">
      <c r="B425" s="5">
        <v>45355</v>
      </c>
      <c r="C425">
        <v>-0.13958812000000001</v>
      </c>
      <c r="D425">
        <v>7.6437000000000005E-2</v>
      </c>
    </row>
    <row r="426" spans="2:4" x14ac:dyDescent="0.25">
      <c r="B426" s="5">
        <v>45352</v>
      </c>
      <c r="C426">
        <v>0.44965744000000002</v>
      </c>
      <c r="D426">
        <v>-0.25851727000000002</v>
      </c>
    </row>
    <row r="427" spans="2:4" x14ac:dyDescent="0.25">
      <c r="B427" s="5">
        <v>45351</v>
      </c>
      <c r="C427">
        <v>1.4519811</v>
      </c>
      <c r="D427">
        <v>0.42467116999999999</v>
      </c>
    </row>
    <row r="428" spans="2:4" x14ac:dyDescent="0.25">
      <c r="B428" s="5">
        <v>45350</v>
      </c>
      <c r="C428">
        <v>5.8901309999999998E-2</v>
      </c>
      <c r="D428">
        <v>-0.22807121</v>
      </c>
    </row>
    <row r="429" spans="2:4" x14ac:dyDescent="0.25">
      <c r="B429" s="5">
        <v>45349</v>
      </c>
      <c r="C429">
        <v>-1.4722347E-2</v>
      </c>
      <c r="D429">
        <v>7.157326E-2</v>
      </c>
    </row>
    <row r="430" spans="2:4" x14ac:dyDescent="0.25">
      <c r="B430" s="5">
        <v>45348</v>
      </c>
      <c r="C430">
        <v>-0.68235992999999995</v>
      </c>
      <c r="D430">
        <v>0.93246700000000005</v>
      </c>
    </row>
    <row r="431" spans="2:4" x14ac:dyDescent="0.25">
      <c r="B431" s="5">
        <v>45345</v>
      </c>
      <c r="C431">
        <v>-0.31822919999999999</v>
      </c>
      <c r="D431">
        <v>1.8588662</v>
      </c>
    </row>
    <row r="432" spans="2:4" x14ac:dyDescent="0.25">
      <c r="B432" s="5">
        <v>45344</v>
      </c>
      <c r="C432">
        <v>2.3546695999999998</v>
      </c>
      <c r="D432">
        <v>0.87796450000000004</v>
      </c>
    </row>
    <row r="433" spans="2:4" x14ac:dyDescent="0.25">
      <c r="B433" s="5">
        <v>45343</v>
      </c>
      <c r="C433">
        <v>-0.15144943999999999</v>
      </c>
      <c r="D433">
        <v>-1.4350354999999999</v>
      </c>
    </row>
    <row r="434" spans="2:4" x14ac:dyDescent="0.25">
      <c r="B434" s="5">
        <v>45342</v>
      </c>
      <c r="C434">
        <v>-0.31430720000000001</v>
      </c>
      <c r="D434">
        <v>1.1253476</v>
      </c>
    </row>
    <row r="435" spans="2:4" x14ac:dyDescent="0.25">
      <c r="B435" s="5">
        <v>45338</v>
      </c>
      <c r="C435">
        <v>-0.6149173</v>
      </c>
      <c r="D435">
        <v>1.0848403</v>
      </c>
    </row>
    <row r="436" spans="2:4" x14ac:dyDescent="0.25">
      <c r="B436" s="5">
        <v>45337</v>
      </c>
      <c r="C436">
        <v>-0.71552395999999996</v>
      </c>
      <c r="D436">
        <v>-0.28840303</v>
      </c>
    </row>
    <row r="437" spans="2:4" x14ac:dyDescent="0.25">
      <c r="B437" s="5">
        <v>45336</v>
      </c>
      <c r="C437">
        <v>0.7801652</v>
      </c>
      <c r="D437">
        <v>5.941391E-2</v>
      </c>
    </row>
    <row r="438" spans="2:4" x14ac:dyDescent="0.25">
      <c r="B438" s="5">
        <v>45335</v>
      </c>
      <c r="C438">
        <v>-2.1528660999999998</v>
      </c>
      <c r="D438">
        <v>-0.78271630000000003</v>
      </c>
    </row>
    <row r="439" spans="2:4" x14ac:dyDescent="0.25">
      <c r="B439" s="5">
        <v>45334</v>
      </c>
      <c r="C439">
        <v>-1.2578726</v>
      </c>
      <c r="D439">
        <v>0.25137662999999999</v>
      </c>
    </row>
    <row r="440" spans="2:4" x14ac:dyDescent="0.25">
      <c r="B440" s="5">
        <v>45331</v>
      </c>
      <c r="C440">
        <v>1.5551448000000001</v>
      </c>
      <c r="D440">
        <v>-0.43857694000000003</v>
      </c>
    </row>
    <row r="441" spans="2:4" x14ac:dyDescent="0.25">
      <c r="B441" s="5">
        <v>45330</v>
      </c>
      <c r="C441">
        <v>1.4495849999999999E-2</v>
      </c>
      <c r="D441">
        <v>0.98156929999999998</v>
      </c>
    </row>
    <row r="442" spans="2:4" x14ac:dyDescent="0.25">
      <c r="B442" s="5">
        <v>45329</v>
      </c>
      <c r="C442">
        <v>2.1110296000000002</v>
      </c>
      <c r="D442">
        <v>-6.2102079999999997E-2</v>
      </c>
    </row>
    <row r="443" spans="2:4" x14ac:dyDescent="0.25">
      <c r="B443" s="5">
        <v>45328</v>
      </c>
      <c r="C443">
        <v>-3.9446354000000003E-2</v>
      </c>
      <c r="D443">
        <v>0.49554110000000001</v>
      </c>
    </row>
    <row r="444" spans="2:4" x14ac:dyDescent="0.25">
      <c r="B444" s="5">
        <v>45327</v>
      </c>
      <c r="C444">
        <v>-1.3545096000000001</v>
      </c>
      <c r="D444">
        <v>-0.17162561000000001</v>
      </c>
    </row>
    <row r="445" spans="2:4" x14ac:dyDescent="0.25">
      <c r="B445" s="5">
        <v>45324</v>
      </c>
      <c r="C445">
        <v>1.8425822000000001</v>
      </c>
      <c r="D445">
        <v>-0.67871809999999999</v>
      </c>
    </row>
    <row r="446" spans="2:4" x14ac:dyDescent="0.25">
      <c r="B446" s="5">
        <v>45323</v>
      </c>
      <c r="C446">
        <v>1.5594363</v>
      </c>
      <c r="D446">
        <v>0.28516054000000002</v>
      </c>
    </row>
    <row r="447" spans="2:4" x14ac:dyDescent="0.25">
      <c r="B447" s="5">
        <v>45322</v>
      </c>
      <c r="C447">
        <v>-2.6946365999999999</v>
      </c>
      <c r="D447">
        <v>0.15861987999999999</v>
      </c>
    </row>
    <row r="448" spans="2:4" x14ac:dyDescent="0.25">
      <c r="B448" s="5">
        <v>45321</v>
      </c>
      <c r="C448">
        <v>-0.27579664999999998</v>
      </c>
      <c r="D448">
        <v>0.81535579999999996</v>
      </c>
    </row>
    <row r="449" spans="2:4" x14ac:dyDescent="0.25">
      <c r="B449" s="5">
        <v>45320</v>
      </c>
      <c r="C449">
        <v>1.4334202</v>
      </c>
      <c r="D449">
        <v>-0.45396686000000003</v>
      </c>
    </row>
    <row r="450" spans="2:4" x14ac:dyDescent="0.25">
      <c r="B450" s="5">
        <v>45317</v>
      </c>
      <c r="C450">
        <v>-0.23217201000000001</v>
      </c>
      <c r="D450">
        <v>-0.54327250000000005</v>
      </c>
    </row>
    <row r="451" spans="2:4" x14ac:dyDescent="0.25">
      <c r="B451" s="5">
        <v>45316</v>
      </c>
      <c r="C451">
        <v>0.57382584000000003</v>
      </c>
      <c r="D451">
        <v>-1.3960600000000001</v>
      </c>
    </row>
    <row r="452" spans="2:4" x14ac:dyDescent="0.25">
      <c r="B452" s="5">
        <v>45315</v>
      </c>
      <c r="C452">
        <v>0.91753006000000004</v>
      </c>
      <c r="D452">
        <v>0.34145117000000003</v>
      </c>
    </row>
    <row r="453" spans="2:4" x14ac:dyDescent="0.25">
      <c r="B453" s="5">
        <v>45314</v>
      </c>
      <c r="C453">
        <v>0.60275793</v>
      </c>
      <c r="D453">
        <v>-1.4862299000000001</v>
      </c>
    </row>
    <row r="454" spans="2:4" x14ac:dyDescent="0.25">
      <c r="B454" s="5">
        <v>45313</v>
      </c>
      <c r="C454">
        <v>-0.54180026000000003</v>
      </c>
      <c r="D454">
        <v>-0.16171932</v>
      </c>
    </row>
    <row r="455" spans="2:4" x14ac:dyDescent="0.25">
      <c r="B455" s="5">
        <v>45310</v>
      </c>
      <c r="C455">
        <v>1.2186766</v>
      </c>
      <c r="D455">
        <v>0.84892509999999999</v>
      </c>
    </row>
    <row r="456" spans="2:4" x14ac:dyDescent="0.25">
      <c r="B456" s="5">
        <v>45309</v>
      </c>
      <c r="C456">
        <v>1.1297345000000001</v>
      </c>
      <c r="D456">
        <v>4.4977665E-2</v>
      </c>
    </row>
    <row r="457" spans="2:4" x14ac:dyDescent="0.25">
      <c r="B457" s="5">
        <v>45308</v>
      </c>
      <c r="C457">
        <v>-0.20498037</v>
      </c>
      <c r="D457">
        <v>-0.14226437</v>
      </c>
    </row>
    <row r="458" spans="2:4" x14ac:dyDescent="0.25">
      <c r="B458" s="5">
        <v>45307</v>
      </c>
      <c r="C458">
        <v>0.46335460000000001</v>
      </c>
      <c r="D458">
        <v>-0.33516288</v>
      </c>
    </row>
    <row r="459" spans="2:4" x14ac:dyDescent="0.25">
      <c r="B459" s="5">
        <v>45303</v>
      </c>
      <c r="C459">
        <v>0.99836590000000003</v>
      </c>
      <c r="D459">
        <v>1.6658782999999999</v>
      </c>
    </row>
    <row r="460" spans="2:4" x14ac:dyDescent="0.25">
      <c r="B460" s="5">
        <v>45302</v>
      </c>
      <c r="C460">
        <v>0.48593282999999998</v>
      </c>
      <c r="D460">
        <v>-1.155287</v>
      </c>
    </row>
    <row r="461" spans="2:4" x14ac:dyDescent="0.25">
      <c r="B461" s="5">
        <v>45301</v>
      </c>
      <c r="C461">
        <v>1.8574119</v>
      </c>
      <c r="D461">
        <v>0.72355270000000005</v>
      </c>
    </row>
    <row r="462" spans="2:4" x14ac:dyDescent="0.25">
      <c r="B462" s="5">
        <v>45300</v>
      </c>
      <c r="C462">
        <v>0.29357672000000001</v>
      </c>
      <c r="D462">
        <v>-1.0465324</v>
      </c>
    </row>
    <row r="463" spans="2:4" x14ac:dyDescent="0.25">
      <c r="B463" s="5">
        <v>45299</v>
      </c>
      <c r="C463">
        <v>1.8871545999999999</v>
      </c>
      <c r="D463">
        <v>0.25801659999999998</v>
      </c>
    </row>
    <row r="464" spans="2:4" x14ac:dyDescent="0.25">
      <c r="B464" s="5">
        <v>45296</v>
      </c>
      <c r="C464">
        <v>-5.1641463999999998E-2</v>
      </c>
      <c r="D464">
        <v>0.88666679999999998</v>
      </c>
    </row>
    <row r="465" spans="2:4" x14ac:dyDescent="0.25">
      <c r="B465" s="5">
        <v>45295</v>
      </c>
      <c r="C465">
        <v>-0.71775319999999998</v>
      </c>
      <c r="D465">
        <v>1.9176006000000001</v>
      </c>
    </row>
    <row r="466" spans="2:4" x14ac:dyDescent="0.25">
      <c r="B466" s="5">
        <v>45294</v>
      </c>
      <c r="C466">
        <v>-7.2801110000000002E-2</v>
      </c>
      <c r="D466">
        <v>-1.6676842999999999</v>
      </c>
    </row>
    <row r="467" spans="2:4" x14ac:dyDescent="0.25">
      <c r="B467" s="5">
        <v>45293</v>
      </c>
      <c r="C467">
        <v>-1.3748586</v>
      </c>
      <c r="D467">
        <v>-1.7823397999999999</v>
      </c>
    </row>
    <row r="468" spans="2:4" x14ac:dyDescent="0.25">
      <c r="B468" s="5">
        <v>45289</v>
      </c>
      <c r="C468">
        <v>0.20251274</v>
      </c>
      <c r="D468">
        <v>0.43810606000000002</v>
      </c>
    </row>
    <row r="469" spans="2:4" x14ac:dyDescent="0.25">
      <c r="B469" s="5">
        <v>45288</v>
      </c>
      <c r="C469">
        <v>0.32346249999999999</v>
      </c>
      <c r="D469">
        <v>-0.29239058000000001</v>
      </c>
    </row>
    <row r="470" spans="2:4" x14ac:dyDescent="0.25">
      <c r="B470" s="5">
        <v>45287</v>
      </c>
      <c r="C470">
        <v>-0.15747547000000001</v>
      </c>
      <c r="D470">
        <v>1.3685465000000001</v>
      </c>
    </row>
    <row r="471" spans="2:4" x14ac:dyDescent="0.25">
      <c r="B471" s="5">
        <v>45286</v>
      </c>
      <c r="C471">
        <v>2.1362305000000002E-2</v>
      </c>
      <c r="D471">
        <v>0.12713669999999999</v>
      </c>
    </row>
    <row r="472" spans="2:4" x14ac:dyDescent="0.25">
      <c r="B472" s="5">
        <v>45282</v>
      </c>
      <c r="C472">
        <v>0.27841329999999997</v>
      </c>
      <c r="D472">
        <v>0.72462559999999998</v>
      </c>
    </row>
    <row r="473" spans="2:4" x14ac:dyDescent="0.25">
      <c r="B473" s="5">
        <v>45281</v>
      </c>
      <c r="C473">
        <v>0.78787803999999995</v>
      </c>
      <c r="D473">
        <v>0.15035867999999999</v>
      </c>
    </row>
    <row r="474" spans="2:4" x14ac:dyDescent="0.25">
      <c r="B474" s="5">
        <v>45280</v>
      </c>
      <c r="C474">
        <v>-0.70728659999999999</v>
      </c>
      <c r="D474">
        <v>0.90115069999999997</v>
      </c>
    </row>
    <row r="475" spans="2:4" x14ac:dyDescent="0.25">
      <c r="B475" s="5">
        <v>45279</v>
      </c>
      <c r="C475">
        <v>0.16369819999999999</v>
      </c>
      <c r="D475">
        <v>0.96143484000000001</v>
      </c>
    </row>
    <row r="476" spans="2:4" x14ac:dyDescent="0.25">
      <c r="B476" s="5">
        <v>45278</v>
      </c>
      <c r="C476">
        <v>0.51789284000000002</v>
      </c>
      <c r="D476">
        <v>1.6835808999999999</v>
      </c>
    </row>
    <row r="477" spans="2:4" x14ac:dyDescent="0.25">
      <c r="B477" s="5">
        <v>45275</v>
      </c>
      <c r="C477">
        <v>1.3117312999999999</v>
      </c>
      <c r="D477">
        <v>-0.12841820000000001</v>
      </c>
    </row>
    <row r="478" spans="2:4" x14ac:dyDescent="0.25">
      <c r="B478" s="5">
        <v>45274</v>
      </c>
      <c r="C478">
        <v>-2.2544563000000002</v>
      </c>
      <c r="D478">
        <v>4.0566919999999999E-2</v>
      </c>
    </row>
    <row r="479" spans="2:4" x14ac:dyDescent="0.25">
      <c r="B479" s="5">
        <v>45273</v>
      </c>
      <c r="C479">
        <v>-2.6762486000000002E-3</v>
      </c>
      <c r="D479">
        <v>-0.73490739999999999</v>
      </c>
    </row>
    <row r="480" spans="2:4" x14ac:dyDescent="0.25">
      <c r="B480" s="5">
        <v>45272</v>
      </c>
      <c r="C480">
        <v>0.82951783999999995</v>
      </c>
      <c r="D480">
        <v>0.45510529999999999</v>
      </c>
    </row>
    <row r="481" spans="2:4" x14ac:dyDescent="0.25">
      <c r="B481" s="5">
        <v>45271</v>
      </c>
      <c r="C481">
        <v>-0.78294872999999998</v>
      </c>
      <c r="D481">
        <v>0.16407967000000001</v>
      </c>
    </row>
    <row r="482" spans="2:4" x14ac:dyDescent="0.25">
      <c r="B482" s="5">
        <v>45268</v>
      </c>
      <c r="C482">
        <v>0.88421106000000005</v>
      </c>
      <c r="D482">
        <v>1.0836840000000001</v>
      </c>
    </row>
    <row r="483" spans="2:4" x14ac:dyDescent="0.25">
      <c r="B483" s="5">
        <v>45267</v>
      </c>
      <c r="C483">
        <v>0.58298110000000003</v>
      </c>
      <c r="D483">
        <v>-0.67301390000000005</v>
      </c>
    </row>
    <row r="484" spans="2:4" x14ac:dyDescent="0.25">
      <c r="B484" s="5">
        <v>45266</v>
      </c>
      <c r="C484">
        <v>-0.9986043</v>
      </c>
      <c r="D484">
        <v>-0.18982291000000001</v>
      </c>
    </row>
    <row r="485" spans="2:4" x14ac:dyDescent="0.25">
      <c r="B485" s="5">
        <v>45265</v>
      </c>
      <c r="C485">
        <v>0.91563463</v>
      </c>
      <c r="D485">
        <v>1.4332771</v>
      </c>
    </row>
    <row r="486" spans="2:4" x14ac:dyDescent="0.25">
      <c r="B486" s="5">
        <v>45264</v>
      </c>
      <c r="C486">
        <v>-1.4338732000000001</v>
      </c>
      <c r="D486">
        <v>9.8514560000000001E-2</v>
      </c>
    </row>
    <row r="487" spans="2:4" x14ac:dyDescent="0.25">
      <c r="B487" s="5">
        <v>45261</v>
      </c>
      <c r="C487">
        <v>-1.1612236</v>
      </c>
      <c r="D487">
        <v>0.44754744000000002</v>
      </c>
    </row>
    <row r="488" spans="2:4" x14ac:dyDescent="0.25">
      <c r="B488" s="5">
        <v>45260</v>
      </c>
      <c r="C488">
        <v>1.5830994000000001E-2</v>
      </c>
      <c r="D488">
        <v>-0.44035316000000002</v>
      </c>
    </row>
    <row r="489" spans="2:4" x14ac:dyDescent="0.25">
      <c r="B489" s="5">
        <v>45259</v>
      </c>
      <c r="C489">
        <v>-1.0060131999999999</v>
      </c>
      <c r="D489">
        <v>0.58104990000000001</v>
      </c>
    </row>
    <row r="490" spans="2:4" x14ac:dyDescent="0.25">
      <c r="B490" s="5">
        <v>45258</v>
      </c>
      <c r="C490">
        <v>1.0802746000000001</v>
      </c>
      <c r="D490">
        <v>0.17838477999999999</v>
      </c>
    </row>
    <row r="491" spans="2:4" x14ac:dyDescent="0.25">
      <c r="B491" s="5">
        <v>45257</v>
      </c>
      <c r="C491">
        <v>0.31263827999999999</v>
      </c>
      <c r="D491">
        <v>0.16708374000000001</v>
      </c>
    </row>
    <row r="492" spans="2:4" x14ac:dyDescent="0.25">
      <c r="B492" s="5">
        <v>45254</v>
      </c>
      <c r="C492">
        <v>-0.1111567</v>
      </c>
      <c r="D492">
        <v>0.968194</v>
      </c>
    </row>
    <row r="493" spans="2:4" x14ac:dyDescent="0.25">
      <c r="B493" s="5">
        <v>45252</v>
      </c>
      <c r="C493">
        <v>1.2812614</v>
      </c>
      <c r="D493">
        <v>4.5084952999999997E-2</v>
      </c>
    </row>
    <row r="494" spans="2:4" x14ac:dyDescent="0.25">
      <c r="B494" s="5">
        <v>45251</v>
      </c>
      <c r="C494">
        <v>-1.1577964000000001</v>
      </c>
      <c r="D494">
        <v>1.1646152000000001</v>
      </c>
    </row>
    <row r="495" spans="2:4" x14ac:dyDescent="0.25">
      <c r="B495" s="5">
        <v>45250</v>
      </c>
      <c r="C495">
        <v>2.0521880000000001</v>
      </c>
      <c r="D495">
        <v>0.80510380000000004</v>
      </c>
    </row>
    <row r="496" spans="2:4" x14ac:dyDescent="0.25">
      <c r="B496" s="5">
        <v>45247</v>
      </c>
      <c r="C496">
        <v>-1.680094</v>
      </c>
      <c r="D496">
        <v>0.95942019999999995</v>
      </c>
    </row>
    <row r="497" spans="2:4" x14ac:dyDescent="0.25">
      <c r="B497" s="5">
        <v>45246</v>
      </c>
      <c r="C497">
        <v>1.7583251</v>
      </c>
      <c r="D497">
        <v>0.59148073000000001</v>
      </c>
    </row>
    <row r="498" spans="2:4" x14ac:dyDescent="0.25">
      <c r="B498" s="5">
        <v>45245</v>
      </c>
      <c r="C498">
        <v>-0.16203523</v>
      </c>
      <c r="D498">
        <v>0.10803938</v>
      </c>
    </row>
    <row r="499" spans="2:4" x14ac:dyDescent="0.25">
      <c r="B499" s="5">
        <v>45244</v>
      </c>
      <c r="C499">
        <v>0.97905399999999998</v>
      </c>
      <c r="D499">
        <v>1.4054537</v>
      </c>
    </row>
    <row r="500" spans="2:4" x14ac:dyDescent="0.25">
      <c r="B500" s="5">
        <v>45243</v>
      </c>
      <c r="C500">
        <v>-0.80883499999999997</v>
      </c>
      <c r="D500">
        <v>0.70091486000000003</v>
      </c>
    </row>
    <row r="501" spans="2:4" x14ac:dyDescent="0.25">
      <c r="B501" s="5">
        <v>45240</v>
      </c>
      <c r="C501">
        <v>2.4896739999999999</v>
      </c>
      <c r="D501">
        <v>-1.0760725</v>
      </c>
    </row>
    <row r="502" spans="2:4" x14ac:dyDescent="0.25">
      <c r="B502" s="5">
        <v>45239</v>
      </c>
      <c r="C502">
        <v>-0.69108009999999997</v>
      </c>
      <c r="D502">
        <v>1.2361884000000001</v>
      </c>
    </row>
    <row r="503" spans="2:4" x14ac:dyDescent="0.25">
      <c r="B503" s="5">
        <v>45238</v>
      </c>
      <c r="C503">
        <v>0.74057580000000001</v>
      </c>
      <c r="D503">
        <v>0.32277106999999999</v>
      </c>
    </row>
    <row r="504" spans="2:4" x14ac:dyDescent="0.25">
      <c r="B504" s="5">
        <v>45237</v>
      </c>
      <c r="C504">
        <v>1.1219262999999999</v>
      </c>
      <c r="D504">
        <v>2.9432296999999998</v>
      </c>
    </row>
    <row r="505" spans="2:4" x14ac:dyDescent="0.25">
      <c r="B505" s="5">
        <v>45236</v>
      </c>
      <c r="C505">
        <v>1.0572553</v>
      </c>
      <c r="D505">
        <v>0.57617426000000005</v>
      </c>
    </row>
    <row r="506" spans="2:4" x14ac:dyDescent="0.25">
      <c r="B506" s="5">
        <v>45233</v>
      </c>
      <c r="C506">
        <v>1.2861729</v>
      </c>
      <c r="D506">
        <v>0.92381239999999998</v>
      </c>
    </row>
    <row r="507" spans="2:4" x14ac:dyDescent="0.25">
      <c r="B507" s="5">
        <v>45232</v>
      </c>
      <c r="C507">
        <v>0.65015553999999998</v>
      </c>
      <c r="D507">
        <v>1.3432264</v>
      </c>
    </row>
    <row r="508" spans="2:4" x14ac:dyDescent="0.25">
      <c r="B508" s="5">
        <v>45231</v>
      </c>
      <c r="C508">
        <v>2.3542643000000001</v>
      </c>
      <c r="D508">
        <v>1.3947605999999999</v>
      </c>
    </row>
    <row r="509" spans="2:4" x14ac:dyDescent="0.25">
      <c r="B509" s="5">
        <v>45230</v>
      </c>
      <c r="C509">
        <v>0.23716688</v>
      </c>
      <c r="D509">
        <v>-0.94480514999999998</v>
      </c>
    </row>
    <row r="510" spans="2:4" x14ac:dyDescent="0.25">
      <c r="B510" s="5">
        <v>45229</v>
      </c>
      <c r="C510">
        <v>2.2740364</v>
      </c>
      <c r="D510">
        <v>0.93295574000000003</v>
      </c>
    </row>
    <row r="511" spans="2:4" x14ac:dyDescent="0.25">
      <c r="B511" s="5">
        <v>45226</v>
      </c>
      <c r="C511">
        <v>0.58555603000000001</v>
      </c>
      <c r="D511">
        <v>-0.30133724000000001</v>
      </c>
    </row>
    <row r="512" spans="2:4" x14ac:dyDescent="0.25">
      <c r="B512" s="5">
        <v>45225</v>
      </c>
      <c r="C512">
        <v>-3.751433</v>
      </c>
      <c r="D512">
        <v>-0.21913052</v>
      </c>
    </row>
    <row r="513" spans="2:4" x14ac:dyDescent="0.25">
      <c r="B513" s="5">
        <v>45224</v>
      </c>
      <c r="C513">
        <v>3.0678033999999998</v>
      </c>
      <c r="D513">
        <v>0.17138719999999999</v>
      </c>
    </row>
    <row r="514" spans="2:4" x14ac:dyDescent="0.25">
      <c r="B514" s="5">
        <v>45223</v>
      </c>
      <c r="C514">
        <v>0.36742687000000002</v>
      </c>
      <c r="D514">
        <v>-1.3034344</v>
      </c>
    </row>
    <row r="515" spans="2:4" x14ac:dyDescent="0.25">
      <c r="B515" s="5">
        <v>45222</v>
      </c>
      <c r="C515">
        <v>0.81121920000000003</v>
      </c>
      <c r="D515">
        <v>-9.0211630000000001E-2</v>
      </c>
    </row>
    <row r="516" spans="2:4" x14ac:dyDescent="0.25">
      <c r="B516" s="5">
        <v>45219</v>
      </c>
      <c r="C516">
        <v>-1.4034747999999999</v>
      </c>
      <c r="D516">
        <v>0.22102594</v>
      </c>
    </row>
    <row r="517" spans="2:4" x14ac:dyDescent="0.25">
      <c r="B517" s="5">
        <v>45218</v>
      </c>
      <c r="C517">
        <v>0.36655663999999999</v>
      </c>
      <c r="D517">
        <v>0.57173969999999996</v>
      </c>
    </row>
    <row r="518" spans="2:4" x14ac:dyDescent="0.25">
      <c r="B518" s="5">
        <v>45217</v>
      </c>
      <c r="C518">
        <v>-0.58724880000000002</v>
      </c>
      <c r="D518">
        <v>-0.89515449999999996</v>
      </c>
    </row>
    <row r="519" spans="2:4" x14ac:dyDescent="0.25">
      <c r="B519" s="5">
        <v>45216</v>
      </c>
      <c r="C519">
        <v>-0.17436742999999999</v>
      </c>
      <c r="D519">
        <v>-1.1512697000000001</v>
      </c>
    </row>
    <row r="520" spans="2:4" x14ac:dyDescent="0.25">
      <c r="B520" s="5">
        <v>45215</v>
      </c>
      <c r="C520">
        <v>1.4981865999999999</v>
      </c>
      <c r="D520">
        <v>1.3866662999999999</v>
      </c>
    </row>
    <row r="521" spans="2:4" x14ac:dyDescent="0.25">
      <c r="B521" s="5">
        <v>45212</v>
      </c>
      <c r="C521">
        <v>-1.0357498999999999</v>
      </c>
      <c r="D521">
        <v>-2.3979604000000001</v>
      </c>
    </row>
    <row r="522" spans="2:4" x14ac:dyDescent="0.25">
      <c r="B522" s="5">
        <v>45211</v>
      </c>
      <c r="C522">
        <v>-0.37904381999999998</v>
      </c>
      <c r="D522">
        <v>-0.94600320000000004</v>
      </c>
    </row>
    <row r="523" spans="2:4" x14ac:dyDescent="0.25">
      <c r="B523" s="5">
        <v>45210</v>
      </c>
      <c r="C523">
        <v>1.2272000000000001</v>
      </c>
      <c r="D523">
        <v>-1.51335</v>
      </c>
    </row>
    <row r="524" spans="2:4" x14ac:dyDescent="0.25">
      <c r="B524" s="5">
        <v>45209</v>
      </c>
      <c r="C524">
        <v>-0.43357014999999999</v>
      </c>
      <c r="D524">
        <v>1.9111037</v>
      </c>
    </row>
    <row r="525" spans="2:4" x14ac:dyDescent="0.25">
      <c r="B525" s="5">
        <v>45208</v>
      </c>
      <c r="C525">
        <v>0.78225135999999995</v>
      </c>
      <c r="D525">
        <v>0.25092363000000001</v>
      </c>
    </row>
    <row r="526" spans="2:4" x14ac:dyDescent="0.25">
      <c r="B526" s="5">
        <v>45205</v>
      </c>
      <c r="C526">
        <v>2.4737</v>
      </c>
      <c r="D526">
        <v>1.3530016</v>
      </c>
    </row>
    <row r="527" spans="2:4" x14ac:dyDescent="0.25">
      <c r="B527" s="5">
        <v>45204</v>
      </c>
      <c r="C527">
        <v>0.12698174000000001</v>
      </c>
      <c r="D527">
        <v>1.1809229999999999</v>
      </c>
    </row>
    <row r="528" spans="2:4" x14ac:dyDescent="0.25">
      <c r="B528" s="5">
        <v>45203</v>
      </c>
      <c r="C528">
        <v>1.7757297000000001</v>
      </c>
      <c r="D528">
        <v>-0.18222331999999999</v>
      </c>
    </row>
    <row r="529" spans="2:4" x14ac:dyDescent="0.25">
      <c r="B529" s="5">
        <v>45202</v>
      </c>
      <c r="C529">
        <v>-2.6134132999999999</v>
      </c>
      <c r="D529">
        <v>-0.76338649999999997</v>
      </c>
    </row>
    <row r="530" spans="2:4" x14ac:dyDescent="0.25">
      <c r="B530" s="5">
        <v>45201</v>
      </c>
      <c r="C530">
        <v>1.9160748000000001</v>
      </c>
      <c r="D530">
        <v>-2.6111602999999999</v>
      </c>
    </row>
    <row r="531" spans="2:4" x14ac:dyDescent="0.25">
      <c r="B531" s="5">
        <v>45198</v>
      </c>
      <c r="C531">
        <v>0.6727457</v>
      </c>
      <c r="D531">
        <v>0.10962486</v>
      </c>
    </row>
    <row r="532" spans="2:4" x14ac:dyDescent="0.25">
      <c r="B532" s="5">
        <v>45197</v>
      </c>
      <c r="C532">
        <v>0.27174949999999998</v>
      </c>
      <c r="D532">
        <v>2.9072165000000001</v>
      </c>
    </row>
    <row r="533" spans="2:4" x14ac:dyDescent="0.25">
      <c r="B533" s="5">
        <v>45196</v>
      </c>
      <c r="C533">
        <v>0.20823479</v>
      </c>
      <c r="D533">
        <v>-1.1482178999999999</v>
      </c>
    </row>
    <row r="534" spans="2:4" x14ac:dyDescent="0.25">
      <c r="B534" s="5">
        <v>45195</v>
      </c>
      <c r="C534">
        <v>-1.7005741999999999</v>
      </c>
      <c r="D534">
        <v>-0.40308832999999999</v>
      </c>
    </row>
    <row r="535" spans="2:4" x14ac:dyDescent="0.25">
      <c r="B535" s="5">
        <v>45194</v>
      </c>
      <c r="C535">
        <v>0.16719102999999999</v>
      </c>
      <c r="D535">
        <v>-2.0886659999999999</v>
      </c>
    </row>
    <row r="536" spans="2:4" x14ac:dyDescent="0.25">
      <c r="B536" s="5">
        <v>45191</v>
      </c>
      <c r="C536">
        <v>-0.78865289999999999</v>
      </c>
      <c r="D536">
        <v>0.13412236999999999</v>
      </c>
    </row>
    <row r="537" spans="2:4" x14ac:dyDescent="0.25">
      <c r="B537" s="5">
        <v>45190</v>
      </c>
      <c r="C537">
        <v>-0.38656592000000001</v>
      </c>
      <c r="D537">
        <v>-1.9050001999999999</v>
      </c>
    </row>
    <row r="538" spans="2:4" x14ac:dyDescent="0.25">
      <c r="B538" s="5">
        <v>45189</v>
      </c>
      <c r="C538">
        <v>-2.3976861999999999</v>
      </c>
      <c r="D538">
        <v>-0.50439835</v>
      </c>
    </row>
    <row r="539" spans="2:4" x14ac:dyDescent="0.25">
      <c r="B539" s="5">
        <v>45188</v>
      </c>
      <c r="C539">
        <v>-0.12459755</v>
      </c>
      <c r="D539">
        <v>1.9049048</v>
      </c>
    </row>
    <row r="540" spans="2:4" x14ac:dyDescent="0.25">
      <c r="B540" s="5">
        <v>45187</v>
      </c>
      <c r="C540">
        <v>-0.35127997</v>
      </c>
      <c r="D540">
        <v>-0.55174230000000002</v>
      </c>
    </row>
    <row r="541" spans="2:4" x14ac:dyDescent="0.25">
      <c r="B541" s="5">
        <v>45184</v>
      </c>
      <c r="C541">
        <v>-2.5036930000000002</v>
      </c>
      <c r="D541">
        <v>1.1420131</v>
      </c>
    </row>
    <row r="542" spans="2:4" x14ac:dyDescent="0.25">
      <c r="B542" s="5">
        <v>45183</v>
      </c>
      <c r="C542">
        <v>0.78557730000000003</v>
      </c>
      <c r="D542">
        <v>-0.71017739999999996</v>
      </c>
    </row>
    <row r="543" spans="2:4" x14ac:dyDescent="0.25">
      <c r="B543" s="5">
        <v>45182</v>
      </c>
      <c r="C543">
        <v>1.2930632</v>
      </c>
      <c r="D543">
        <v>-0.13337135</v>
      </c>
    </row>
    <row r="544" spans="2:4" x14ac:dyDescent="0.25">
      <c r="B544" s="5">
        <v>45181</v>
      </c>
      <c r="C544">
        <v>-1.8257737000000001</v>
      </c>
      <c r="D544">
        <v>-0.11972189</v>
      </c>
    </row>
    <row r="545" spans="2:4" x14ac:dyDescent="0.25">
      <c r="B545" s="5">
        <v>45180</v>
      </c>
      <c r="C545">
        <v>1.0979175999999999</v>
      </c>
      <c r="D545">
        <v>0.65823792999999997</v>
      </c>
    </row>
    <row r="546" spans="2:4" x14ac:dyDescent="0.25">
      <c r="B546" s="5">
        <v>45177</v>
      </c>
      <c r="C546">
        <v>1.3215661000000001</v>
      </c>
      <c r="D546">
        <v>1.1163592</v>
      </c>
    </row>
    <row r="547" spans="2:4" x14ac:dyDescent="0.25">
      <c r="B547" s="5">
        <v>45176</v>
      </c>
      <c r="C547">
        <v>-0.89221596999999997</v>
      </c>
      <c r="D547">
        <v>-8.9901685999999995E-2</v>
      </c>
    </row>
    <row r="548" spans="2:4" x14ac:dyDescent="0.25">
      <c r="B548" s="5">
        <v>45175</v>
      </c>
      <c r="C548">
        <v>-0.20086169000000001</v>
      </c>
      <c r="D548">
        <v>-0.61984660000000003</v>
      </c>
    </row>
    <row r="549" spans="2:4" x14ac:dyDescent="0.25">
      <c r="B549" s="5">
        <v>45174</v>
      </c>
      <c r="C549">
        <v>1.4878511000000001</v>
      </c>
      <c r="D549">
        <v>-2.0608008</v>
      </c>
    </row>
    <row r="550" spans="2:4" x14ac:dyDescent="0.25">
      <c r="B550" s="5">
        <v>45170</v>
      </c>
      <c r="C550">
        <v>0.27458668000000003</v>
      </c>
      <c r="D550">
        <v>-5.9187412000000002E-2</v>
      </c>
    </row>
    <row r="551" spans="2:4" x14ac:dyDescent="0.25">
      <c r="B551" s="5">
        <v>45169</v>
      </c>
      <c r="C551">
        <v>-0.3132701</v>
      </c>
      <c r="D551">
        <v>-0.92814565000000004</v>
      </c>
    </row>
    <row r="552" spans="2:4" x14ac:dyDescent="0.25">
      <c r="B552" s="5">
        <v>45168</v>
      </c>
      <c r="C552">
        <v>0.11571645999999999</v>
      </c>
      <c r="D552">
        <v>0.85742474000000002</v>
      </c>
    </row>
    <row r="553" spans="2:4" x14ac:dyDescent="0.25">
      <c r="B553" s="5">
        <v>45167</v>
      </c>
      <c r="C553">
        <v>1.4550447</v>
      </c>
      <c r="D553">
        <v>0.30903816000000001</v>
      </c>
    </row>
    <row r="554" spans="2:4" x14ac:dyDescent="0.25">
      <c r="B554" s="5">
        <v>45166</v>
      </c>
      <c r="C554">
        <v>0.22292137000000001</v>
      </c>
      <c r="D554">
        <v>1.0635494999999999</v>
      </c>
    </row>
    <row r="555" spans="2:4" x14ac:dyDescent="0.25">
      <c r="B555" s="5">
        <v>45163</v>
      </c>
      <c r="C555">
        <v>0.94071627000000002</v>
      </c>
      <c r="D555">
        <v>-1.0916650000000001</v>
      </c>
    </row>
    <row r="556" spans="2:4" x14ac:dyDescent="0.25">
      <c r="B556" s="5">
        <v>45162</v>
      </c>
      <c r="C556">
        <v>-2.1498442</v>
      </c>
      <c r="D556">
        <v>0.27226210000000001</v>
      </c>
    </row>
    <row r="557" spans="2:4" x14ac:dyDescent="0.25">
      <c r="B557" s="5">
        <v>45161</v>
      </c>
      <c r="C557">
        <v>1.4079332</v>
      </c>
      <c r="D557">
        <v>0.70360900000000004</v>
      </c>
    </row>
    <row r="558" spans="2:4" x14ac:dyDescent="0.25">
      <c r="B558" s="5">
        <v>45160</v>
      </c>
      <c r="C558">
        <v>0.18018484000000001</v>
      </c>
      <c r="D558">
        <v>-3.1286478E-2</v>
      </c>
    </row>
    <row r="559" spans="2:4" x14ac:dyDescent="0.25">
      <c r="B559" s="5">
        <v>45159</v>
      </c>
      <c r="C559">
        <v>1.7062664000000001</v>
      </c>
      <c r="D559">
        <v>-0.76224210000000003</v>
      </c>
    </row>
    <row r="560" spans="2:4" x14ac:dyDescent="0.25">
      <c r="B560" s="5">
        <v>45156</v>
      </c>
      <c r="C560">
        <v>-0.12623071999999999</v>
      </c>
      <c r="D560">
        <v>-0.69541335000000004</v>
      </c>
    </row>
    <row r="561" spans="2:4" x14ac:dyDescent="0.25">
      <c r="B561" s="5">
        <v>45155</v>
      </c>
      <c r="C561">
        <v>-1.0986209</v>
      </c>
      <c r="D561">
        <v>-2.2777080000000001</v>
      </c>
    </row>
    <row r="562" spans="2:4" x14ac:dyDescent="0.25">
      <c r="B562" s="5">
        <v>45154</v>
      </c>
      <c r="C562">
        <v>-0.45360922999999997</v>
      </c>
      <c r="D562">
        <v>-0.94796420000000003</v>
      </c>
    </row>
    <row r="563" spans="2:4" x14ac:dyDescent="0.25">
      <c r="B563" s="5">
        <v>45153</v>
      </c>
      <c r="C563">
        <v>-0.67276360000000002</v>
      </c>
      <c r="D563">
        <v>-0.50569770000000003</v>
      </c>
    </row>
    <row r="564" spans="2:4" x14ac:dyDescent="0.25">
      <c r="B564" s="5">
        <v>45152</v>
      </c>
      <c r="C564">
        <v>0.94389915000000002</v>
      </c>
      <c r="D564">
        <v>-0.23350715999999999</v>
      </c>
    </row>
    <row r="565" spans="2:4" x14ac:dyDescent="0.25">
      <c r="B565" s="5">
        <v>45149</v>
      </c>
      <c r="C565">
        <v>-0.59455040000000003</v>
      </c>
      <c r="D565">
        <v>-1.6710997000000001</v>
      </c>
    </row>
    <row r="566" spans="2:4" x14ac:dyDescent="0.25">
      <c r="B566" s="5">
        <v>45148</v>
      </c>
      <c r="C566">
        <v>0.21723508999999999</v>
      </c>
      <c r="D566">
        <v>1.4132619</v>
      </c>
    </row>
    <row r="567" spans="2:4" x14ac:dyDescent="0.25">
      <c r="B567" s="5">
        <v>45147</v>
      </c>
      <c r="C567">
        <v>-1.1715949000000001</v>
      </c>
      <c r="D567">
        <v>0.96325874</v>
      </c>
    </row>
    <row r="568" spans="2:4" x14ac:dyDescent="0.25">
      <c r="B568" s="5">
        <v>45146</v>
      </c>
      <c r="C568">
        <v>-1.2298941999999999</v>
      </c>
      <c r="D568">
        <v>-0.69482920000000004</v>
      </c>
    </row>
    <row r="569" spans="2:4" x14ac:dyDescent="0.25">
      <c r="B569" s="5">
        <v>45145</v>
      </c>
      <c r="C569">
        <v>0.7108331</v>
      </c>
      <c r="D569">
        <v>-0.73555709999999996</v>
      </c>
    </row>
    <row r="570" spans="2:4" x14ac:dyDescent="0.25">
      <c r="B570" s="5">
        <v>45142</v>
      </c>
      <c r="C570">
        <v>0.34285784000000002</v>
      </c>
      <c r="D570">
        <v>1.2453079</v>
      </c>
    </row>
    <row r="571" spans="2:4" x14ac:dyDescent="0.25">
      <c r="B571" s="5">
        <v>45141</v>
      </c>
      <c r="C571">
        <v>-0.25648474999999998</v>
      </c>
      <c r="D571">
        <v>0.13918876999999999</v>
      </c>
    </row>
    <row r="572" spans="2:4" x14ac:dyDescent="0.25">
      <c r="B572" s="5">
        <v>45140</v>
      </c>
      <c r="C572">
        <v>-2.6282907</v>
      </c>
      <c r="D572">
        <v>-1.5276073999999999</v>
      </c>
    </row>
    <row r="573" spans="2:4" x14ac:dyDescent="0.25">
      <c r="B573" s="5">
        <v>45139</v>
      </c>
      <c r="C573">
        <v>0.12502669999999999</v>
      </c>
      <c r="D573">
        <v>-2.4740039999999999</v>
      </c>
    </row>
    <row r="574" spans="2:4" x14ac:dyDescent="0.25">
      <c r="B574" s="5">
        <v>45138</v>
      </c>
      <c r="C574">
        <v>-0.72405339999999996</v>
      </c>
      <c r="D574">
        <v>-1.2240230999999999</v>
      </c>
    </row>
    <row r="575" spans="2:4" x14ac:dyDescent="0.25">
      <c r="B575" s="5">
        <v>45135</v>
      </c>
      <c r="C575">
        <v>2.3131370000000002</v>
      </c>
      <c r="D575">
        <v>1.6106606000000001</v>
      </c>
    </row>
    <row r="576" spans="2:4" x14ac:dyDescent="0.25">
      <c r="B576" s="5">
        <v>45134</v>
      </c>
      <c r="C576">
        <v>-2.0872175999999998</v>
      </c>
      <c r="D576">
        <v>2.0692944999999998</v>
      </c>
    </row>
    <row r="577" spans="2:4" x14ac:dyDescent="0.25">
      <c r="B577" s="5">
        <v>45133</v>
      </c>
      <c r="C577">
        <v>-3.7637532</v>
      </c>
      <c r="D577">
        <v>1.2514829999999999</v>
      </c>
    </row>
    <row r="578" spans="2:4" x14ac:dyDescent="0.25">
      <c r="B578" s="5">
        <v>45132</v>
      </c>
      <c r="C578">
        <v>1.7009139</v>
      </c>
      <c r="D578">
        <v>0.27737616999999998</v>
      </c>
    </row>
    <row r="579" spans="2:4" x14ac:dyDescent="0.25">
      <c r="B579" s="5">
        <v>45131</v>
      </c>
      <c r="C579">
        <v>0.38979053000000002</v>
      </c>
      <c r="D579">
        <v>-0.59949160000000001</v>
      </c>
    </row>
    <row r="580" spans="2:4" x14ac:dyDescent="0.25">
      <c r="B580" s="5">
        <v>45128</v>
      </c>
      <c r="C580">
        <v>-0.89370609999999995</v>
      </c>
      <c r="D580">
        <v>-0.18563867000000001</v>
      </c>
    </row>
    <row r="581" spans="2:4" x14ac:dyDescent="0.25">
      <c r="B581" s="5">
        <v>45127</v>
      </c>
      <c r="C581">
        <v>-2.3121535999999998</v>
      </c>
      <c r="D581">
        <v>0.69631339999999997</v>
      </c>
    </row>
    <row r="582" spans="2:4" x14ac:dyDescent="0.25">
      <c r="B582" s="5">
        <v>45126</v>
      </c>
      <c r="C582">
        <v>-1.2267410999999999</v>
      </c>
      <c r="D582">
        <v>1.8751621E-2</v>
      </c>
    </row>
    <row r="583" spans="2:4" x14ac:dyDescent="0.25">
      <c r="B583" s="5">
        <v>45125</v>
      </c>
      <c r="C583">
        <v>3.979981</v>
      </c>
      <c r="D583">
        <v>6.6018104999999994E-2</v>
      </c>
    </row>
    <row r="584" spans="2:4" x14ac:dyDescent="0.25">
      <c r="B584" s="5">
        <v>45124</v>
      </c>
      <c r="C584">
        <v>0.14193058</v>
      </c>
      <c r="D584">
        <v>-5.8555602999999998E-2</v>
      </c>
    </row>
    <row r="585" spans="2:4" x14ac:dyDescent="0.25">
      <c r="B585" s="5">
        <v>45121</v>
      </c>
      <c r="C585">
        <v>0.75292590000000004</v>
      </c>
      <c r="D585">
        <v>1.7278074999999999</v>
      </c>
    </row>
    <row r="586" spans="2:4" x14ac:dyDescent="0.25">
      <c r="B586" s="5">
        <v>45120</v>
      </c>
      <c r="C586">
        <v>1.6192198</v>
      </c>
      <c r="D586">
        <v>0.56800839999999997</v>
      </c>
    </row>
    <row r="587" spans="2:4" x14ac:dyDescent="0.25">
      <c r="B587" s="5">
        <v>45119</v>
      </c>
      <c r="C587">
        <v>1.4226913000000001</v>
      </c>
      <c r="D587">
        <v>2.8648614999999999</v>
      </c>
    </row>
    <row r="588" spans="2:4" x14ac:dyDescent="0.25">
      <c r="B588" s="5">
        <v>45118</v>
      </c>
      <c r="C588">
        <v>0.19286871</v>
      </c>
      <c r="D588">
        <v>-0.77253579999999999</v>
      </c>
    </row>
    <row r="589" spans="2:4" x14ac:dyDescent="0.25">
      <c r="B589" s="5">
        <v>45117</v>
      </c>
      <c r="C589">
        <v>-1.5983700999999999</v>
      </c>
      <c r="D589">
        <v>0.30877589999999999</v>
      </c>
    </row>
    <row r="590" spans="2:4" x14ac:dyDescent="0.25">
      <c r="B590" s="5">
        <v>45114</v>
      </c>
      <c r="C590">
        <v>-1.1867403999999999</v>
      </c>
      <c r="D590">
        <v>-0.23568273000000001</v>
      </c>
    </row>
    <row r="591" spans="2:4" x14ac:dyDescent="0.25">
      <c r="B591" s="5">
        <v>45113</v>
      </c>
      <c r="C591">
        <v>0.92266800000000004</v>
      </c>
      <c r="D591">
        <v>-3.0088186000000001</v>
      </c>
    </row>
    <row r="592" spans="2:4" x14ac:dyDescent="0.25">
      <c r="B592" s="5">
        <v>45112</v>
      </c>
      <c r="C592">
        <v>4.733801E-2</v>
      </c>
      <c r="D592">
        <v>-0.80064535000000003</v>
      </c>
    </row>
    <row r="593" spans="2:4" x14ac:dyDescent="0.25">
      <c r="B593" s="5">
        <v>45110</v>
      </c>
      <c r="C593">
        <v>-0.74881315000000004</v>
      </c>
      <c r="D593">
        <v>-0.32766459999999997</v>
      </c>
    </row>
    <row r="594" spans="2:4" x14ac:dyDescent="0.25">
      <c r="B594" s="5">
        <v>45107</v>
      </c>
      <c r="C594">
        <v>1.6385673999999999</v>
      </c>
      <c r="D594">
        <v>1.2150049000000001</v>
      </c>
    </row>
    <row r="595" spans="2:4" x14ac:dyDescent="0.25">
      <c r="B595" s="5">
        <v>45106</v>
      </c>
      <c r="C595">
        <v>-0.23820996</v>
      </c>
      <c r="D595">
        <v>0.27928352000000001</v>
      </c>
    </row>
    <row r="596" spans="2:4" x14ac:dyDescent="0.25">
      <c r="B596" s="5">
        <v>45105</v>
      </c>
      <c r="C596">
        <v>0.38257837</v>
      </c>
      <c r="D596">
        <v>-0.60108304000000001</v>
      </c>
    </row>
    <row r="597" spans="2:4" x14ac:dyDescent="0.25">
      <c r="B597" s="5">
        <v>45104</v>
      </c>
      <c r="C597">
        <v>1.8167972999999999</v>
      </c>
      <c r="D597">
        <v>-0.28100609999999998</v>
      </c>
    </row>
    <row r="598" spans="2:4" x14ac:dyDescent="0.25">
      <c r="B598" s="5">
        <v>45103</v>
      </c>
      <c r="C598">
        <v>-1.9163013</v>
      </c>
      <c r="D598">
        <v>0.48261880000000001</v>
      </c>
    </row>
    <row r="599" spans="2:4" x14ac:dyDescent="0.25">
      <c r="B599" s="5">
        <v>45100</v>
      </c>
      <c r="C599">
        <v>-1.3805925999999999</v>
      </c>
      <c r="D599">
        <v>0.25391580000000002</v>
      </c>
    </row>
    <row r="600" spans="2:4" x14ac:dyDescent="0.25">
      <c r="B600" s="5">
        <v>45099</v>
      </c>
      <c r="C600">
        <v>1.8437386</v>
      </c>
      <c r="D600">
        <v>-0.49806236999999998</v>
      </c>
    </row>
    <row r="601" spans="2:4" x14ac:dyDescent="0.25">
      <c r="B601" s="5">
        <v>45098</v>
      </c>
      <c r="C601">
        <v>-1.3282001000000001</v>
      </c>
      <c r="D601">
        <v>6.6709519999999994E-2</v>
      </c>
    </row>
    <row r="602" spans="2:4" x14ac:dyDescent="0.25">
      <c r="B602" s="5">
        <v>45097</v>
      </c>
      <c r="C602">
        <v>-1.2502551</v>
      </c>
      <c r="D602">
        <v>-3.3000349999999998</v>
      </c>
    </row>
    <row r="603" spans="2:4" x14ac:dyDescent="0.25">
      <c r="B603" s="5">
        <v>45093</v>
      </c>
      <c r="C603">
        <v>-1.6575754</v>
      </c>
      <c r="D603">
        <v>2.3763895000000002</v>
      </c>
    </row>
    <row r="604" spans="2:4" x14ac:dyDescent="0.25">
      <c r="B604" s="5">
        <v>45092</v>
      </c>
      <c r="C604">
        <v>3.1896589999999998</v>
      </c>
      <c r="D604">
        <v>1.8795132999999999</v>
      </c>
    </row>
    <row r="605" spans="2:4" x14ac:dyDescent="0.25">
      <c r="B605" s="5">
        <v>45091</v>
      </c>
      <c r="C605">
        <v>0.91238019999999997</v>
      </c>
      <c r="D605">
        <v>0.51145554000000004</v>
      </c>
    </row>
    <row r="606" spans="2:4" x14ac:dyDescent="0.25">
      <c r="B606" s="5">
        <v>45090</v>
      </c>
      <c r="C606">
        <v>0.73527100000000001</v>
      </c>
      <c r="D606">
        <v>1.7304301</v>
      </c>
    </row>
    <row r="607" spans="2:4" x14ac:dyDescent="0.25">
      <c r="B607" s="5">
        <v>45089</v>
      </c>
      <c r="C607">
        <v>1.5483975000000001</v>
      </c>
      <c r="D607">
        <v>2.6226043999999999E-3</v>
      </c>
    </row>
    <row r="608" spans="2:4" x14ac:dyDescent="0.25">
      <c r="B608" s="5">
        <v>45086</v>
      </c>
      <c r="C608">
        <v>0.47038794</v>
      </c>
      <c r="D608">
        <v>0.39246081999999999</v>
      </c>
    </row>
    <row r="609" spans="2:4" x14ac:dyDescent="0.25">
      <c r="B609" s="5">
        <v>45085</v>
      </c>
      <c r="C609">
        <v>0.58135985999999995</v>
      </c>
      <c r="D609">
        <v>1.1746287</v>
      </c>
    </row>
    <row r="610" spans="2:4" x14ac:dyDescent="0.25">
      <c r="B610" s="5">
        <v>45084</v>
      </c>
      <c r="C610">
        <v>-3.0867874999999998</v>
      </c>
      <c r="D610">
        <v>-0.26926398000000001</v>
      </c>
    </row>
    <row r="611" spans="2:4" x14ac:dyDescent="0.25">
      <c r="B611" s="5">
        <v>45083</v>
      </c>
      <c r="C611">
        <v>-0.67273974000000003</v>
      </c>
      <c r="D611">
        <v>0.17110110000000001</v>
      </c>
    </row>
    <row r="612" spans="2:4" x14ac:dyDescent="0.25">
      <c r="B612" s="5">
        <v>45082</v>
      </c>
      <c r="C612">
        <v>0.16100407</v>
      </c>
      <c r="D612">
        <v>-1.6382158</v>
      </c>
    </row>
    <row r="613" spans="2:4" x14ac:dyDescent="0.25">
      <c r="B613" s="5">
        <v>45079</v>
      </c>
      <c r="C613">
        <v>0.84792376000000003</v>
      </c>
      <c r="D613">
        <v>1.1968255000000001</v>
      </c>
    </row>
    <row r="614" spans="2:4" x14ac:dyDescent="0.25">
      <c r="B614" s="5">
        <v>45078</v>
      </c>
      <c r="C614">
        <v>1.275909</v>
      </c>
      <c r="D614">
        <v>1.9390345</v>
      </c>
    </row>
    <row r="615" spans="2:4" x14ac:dyDescent="0.25">
      <c r="B615" s="5">
        <v>45077</v>
      </c>
      <c r="C615">
        <v>-0.85141659999999997</v>
      </c>
      <c r="D615">
        <v>-1.9554853000000001</v>
      </c>
    </row>
    <row r="616" spans="2:4" x14ac:dyDescent="0.25">
      <c r="B616" s="5">
        <v>45076</v>
      </c>
      <c r="C616">
        <v>-0.50467850000000003</v>
      </c>
      <c r="D616">
        <v>-0.46334267000000001</v>
      </c>
    </row>
    <row r="617" spans="2:4" x14ac:dyDescent="0.25">
      <c r="B617" s="5">
        <v>45072</v>
      </c>
      <c r="C617">
        <v>2.1385670000000001</v>
      </c>
      <c r="D617">
        <v>0.79480410000000001</v>
      </c>
    </row>
    <row r="618" spans="2:4" x14ac:dyDescent="0.25">
      <c r="B618" s="5">
        <v>45071</v>
      </c>
      <c r="C618">
        <v>3.8457870000000001</v>
      </c>
      <c r="D618">
        <v>-1.8203556999999999</v>
      </c>
    </row>
    <row r="619" spans="2:4" x14ac:dyDescent="0.25">
      <c r="B619" s="5">
        <v>45070</v>
      </c>
      <c r="C619">
        <v>-0.44724940000000002</v>
      </c>
      <c r="D619">
        <v>-0.95563529999999997</v>
      </c>
    </row>
    <row r="620" spans="2:4" x14ac:dyDescent="0.25">
      <c r="B620" s="5">
        <v>45069</v>
      </c>
      <c r="C620">
        <v>-1.8431962</v>
      </c>
      <c r="D620">
        <v>-1.1663318</v>
      </c>
    </row>
    <row r="621" spans="2:4" x14ac:dyDescent="0.25">
      <c r="B621" s="5">
        <v>45068</v>
      </c>
      <c r="C621">
        <v>0.89212656000000001</v>
      </c>
      <c r="D621">
        <v>-6.651878E-2</v>
      </c>
    </row>
    <row r="622" spans="2:4" x14ac:dyDescent="0.25">
      <c r="B622" s="5">
        <v>45065</v>
      </c>
      <c r="C622">
        <v>-5.6511164000000003E-2</v>
      </c>
      <c r="D622">
        <v>1.3320684</v>
      </c>
    </row>
    <row r="623" spans="2:4" x14ac:dyDescent="0.25">
      <c r="B623" s="5">
        <v>45064</v>
      </c>
      <c r="C623">
        <v>1.4394879</v>
      </c>
      <c r="D623">
        <v>0.64358709999999997</v>
      </c>
    </row>
    <row r="624" spans="2:4" x14ac:dyDescent="0.25">
      <c r="B624" s="5">
        <v>45063</v>
      </c>
      <c r="C624">
        <v>0.72497129999999999</v>
      </c>
      <c r="D624">
        <v>-4.1102705000000004</v>
      </c>
    </row>
    <row r="625" spans="2:4" x14ac:dyDescent="0.25">
      <c r="B625" s="5">
        <v>45062</v>
      </c>
      <c r="C625">
        <v>0.73676109999999995</v>
      </c>
      <c r="D625">
        <v>-0.16542672999999999</v>
      </c>
    </row>
    <row r="626" spans="2:4" x14ac:dyDescent="0.25">
      <c r="B626" s="5">
        <v>45061</v>
      </c>
      <c r="C626">
        <v>0.15858412</v>
      </c>
      <c r="D626">
        <v>-1.2371182000000001</v>
      </c>
    </row>
    <row r="627" spans="2:4" x14ac:dyDescent="0.25">
      <c r="B627" s="5">
        <v>45058</v>
      </c>
      <c r="C627">
        <v>-0.36760569999999998</v>
      </c>
      <c r="D627">
        <v>0.35680531999999998</v>
      </c>
    </row>
    <row r="628" spans="2:4" x14ac:dyDescent="0.25">
      <c r="B628" s="5">
        <v>45057</v>
      </c>
      <c r="C628">
        <v>-0.70443153000000003</v>
      </c>
      <c r="D628">
        <v>-0.69364904999999999</v>
      </c>
    </row>
    <row r="629" spans="2:4" x14ac:dyDescent="0.25">
      <c r="B629" s="5">
        <v>45056</v>
      </c>
      <c r="C629">
        <v>1.7296433</v>
      </c>
      <c r="D629">
        <v>-1.1645257</v>
      </c>
    </row>
    <row r="630" spans="2:4" x14ac:dyDescent="0.25">
      <c r="B630" s="5">
        <v>45055</v>
      </c>
      <c r="C630">
        <v>-0.53458214000000004</v>
      </c>
      <c r="D630">
        <v>-0.41743517000000002</v>
      </c>
    </row>
    <row r="631" spans="2:4" x14ac:dyDescent="0.25">
      <c r="B631" s="5">
        <v>45054</v>
      </c>
      <c r="C631">
        <v>-0.64381359999999999</v>
      </c>
      <c r="D631">
        <v>-0.38736462999999999</v>
      </c>
    </row>
    <row r="632" spans="2:4" x14ac:dyDescent="0.25">
      <c r="B632" s="5">
        <v>45051</v>
      </c>
      <c r="C632">
        <v>1.7157197</v>
      </c>
      <c r="D632">
        <v>-0.17265080999999999</v>
      </c>
    </row>
    <row r="633" spans="2:4" x14ac:dyDescent="0.25">
      <c r="B633" s="5">
        <v>45050</v>
      </c>
      <c r="C633">
        <v>0.33180714</v>
      </c>
      <c r="D633">
        <v>1.2493848999999999</v>
      </c>
    </row>
    <row r="634" spans="2:4" x14ac:dyDescent="0.25">
      <c r="B634" s="5">
        <v>45049</v>
      </c>
      <c r="C634">
        <v>-0.33070444999999998</v>
      </c>
      <c r="D634">
        <v>1.4060855000000001</v>
      </c>
    </row>
    <row r="635" spans="2:4" x14ac:dyDescent="0.25">
      <c r="B635" s="5">
        <v>45048</v>
      </c>
      <c r="C635">
        <v>-4.9090385E-2</v>
      </c>
      <c r="D635">
        <v>-0.59195160000000002</v>
      </c>
    </row>
    <row r="636" spans="2:4" x14ac:dyDescent="0.25">
      <c r="B636" s="5">
        <v>45047</v>
      </c>
      <c r="C636">
        <v>-0.55328010000000005</v>
      </c>
      <c r="D636">
        <v>-0.53894520000000001</v>
      </c>
    </row>
    <row r="637" spans="2:4" x14ac:dyDescent="0.25">
      <c r="B637" s="5">
        <v>45044</v>
      </c>
      <c r="C637">
        <v>0.79717636000000003</v>
      </c>
      <c r="D637">
        <v>2.5817990000000002</v>
      </c>
    </row>
    <row r="638" spans="2:4" x14ac:dyDescent="0.25">
      <c r="B638" s="5">
        <v>45043</v>
      </c>
      <c r="C638">
        <v>3.2027602000000002</v>
      </c>
      <c r="D638">
        <v>-8.0016429999999996</v>
      </c>
    </row>
    <row r="639" spans="2:4" x14ac:dyDescent="0.25">
      <c r="B639" s="5">
        <v>45042</v>
      </c>
      <c r="C639">
        <v>7.2434782999999996</v>
      </c>
      <c r="D639">
        <v>-1.0997534</v>
      </c>
    </row>
    <row r="640" spans="2:4" x14ac:dyDescent="0.25">
      <c r="B640" s="5">
        <v>45041</v>
      </c>
      <c r="C640">
        <v>-2.2536040000000002</v>
      </c>
      <c r="D640">
        <v>1.3509989</v>
      </c>
    </row>
    <row r="641" spans="2:4" x14ac:dyDescent="0.25">
      <c r="B641" s="5">
        <v>45040</v>
      </c>
      <c r="C641">
        <v>-1.3962865</v>
      </c>
      <c r="D641">
        <v>-0.44199228000000002</v>
      </c>
    </row>
    <row r="642" spans="2:4" x14ac:dyDescent="0.25">
      <c r="B642" s="5">
        <v>45037</v>
      </c>
      <c r="C642">
        <v>-0.12232065</v>
      </c>
      <c r="D642">
        <v>1.2148619000000001</v>
      </c>
    </row>
    <row r="643" spans="2:4" x14ac:dyDescent="0.25">
      <c r="B643" s="5">
        <v>45036</v>
      </c>
      <c r="C643">
        <v>-0.81124306000000002</v>
      </c>
      <c r="D643">
        <v>1.3493419</v>
      </c>
    </row>
    <row r="644" spans="2:4" x14ac:dyDescent="0.25">
      <c r="B644" s="5">
        <v>45035</v>
      </c>
      <c r="C644">
        <v>2.7751923000000001E-2</v>
      </c>
      <c r="D644">
        <v>0.88677406000000003</v>
      </c>
    </row>
    <row r="645" spans="2:4" x14ac:dyDescent="0.25">
      <c r="B645" s="5">
        <v>45034</v>
      </c>
      <c r="C645">
        <v>-0.14889240000000001</v>
      </c>
      <c r="D645">
        <v>0.42598248</v>
      </c>
    </row>
    <row r="646" spans="2:4" x14ac:dyDescent="0.25">
      <c r="B646" s="5">
        <v>45033</v>
      </c>
      <c r="C646">
        <v>0.92960595999999995</v>
      </c>
      <c r="D646">
        <v>-1.9563018999999999</v>
      </c>
    </row>
    <row r="647" spans="2:4" x14ac:dyDescent="0.25">
      <c r="B647" s="5">
        <v>45030</v>
      </c>
      <c r="C647">
        <v>-1.2765586</v>
      </c>
      <c r="D647">
        <v>-1.8556832999999999</v>
      </c>
    </row>
    <row r="648" spans="2:4" x14ac:dyDescent="0.25">
      <c r="B648" s="5">
        <v>45029</v>
      </c>
      <c r="C648">
        <v>2.2399426</v>
      </c>
      <c r="D648">
        <v>0.91270209999999996</v>
      </c>
    </row>
    <row r="649" spans="2:4" x14ac:dyDescent="0.25">
      <c r="B649" s="5">
        <v>45028</v>
      </c>
      <c r="C649">
        <v>0.23335217999999999</v>
      </c>
      <c r="D649">
        <v>1.1485219</v>
      </c>
    </row>
    <row r="650" spans="2:4" x14ac:dyDescent="0.25">
      <c r="B650" s="5">
        <v>45027</v>
      </c>
      <c r="C650">
        <v>-2.266848</v>
      </c>
      <c r="D650">
        <v>0.50774810000000004</v>
      </c>
    </row>
    <row r="651" spans="2:4" x14ac:dyDescent="0.25">
      <c r="B651" s="5">
        <v>45026</v>
      </c>
      <c r="C651">
        <v>-0.75788500000000003</v>
      </c>
      <c r="D651">
        <v>-0.76898929999999999</v>
      </c>
    </row>
    <row r="652" spans="2:4" x14ac:dyDescent="0.25">
      <c r="B652" s="5">
        <v>45022</v>
      </c>
      <c r="C652">
        <v>2.5532841999999998</v>
      </c>
      <c r="D652">
        <v>1.4458895</v>
      </c>
    </row>
    <row r="653" spans="2:4" x14ac:dyDescent="0.25">
      <c r="B653" s="5">
        <v>45021</v>
      </c>
      <c r="C653">
        <v>-0.98892449999999998</v>
      </c>
      <c r="D653">
        <v>0.16746521</v>
      </c>
    </row>
    <row r="654" spans="2:4" x14ac:dyDescent="0.25">
      <c r="B654" s="5">
        <v>45020</v>
      </c>
      <c r="C654">
        <v>-1.7416477E-2</v>
      </c>
      <c r="D654">
        <v>2.2031307</v>
      </c>
    </row>
    <row r="655" spans="2:4" x14ac:dyDescent="0.25">
      <c r="B655" s="5">
        <v>45019</v>
      </c>
      <c r="C655">
        <v>-0.37113427999999998</v>
      </c>
      <c r="D655">
        <v>-1.6779660999999999</v>
      </c>
    </row>
    <row r="656" spans="2:4" x14ac:dyDescent="0.25">
      <c r="B656" s="5">
        <v>45016</v>
      </c>
      <c r="C656">
        <v>1.4962196000000001</v>
      </c>
      <c r="D656">
        <v>0.39474964000000001</v>
      </c>
    </row>
    <row r="657" spans="2:4" x14ac:dyDescent="0.25">
      <c r="B657" s="5">
        <v>45015</v>
      </c>
      <c r="C657">
        <v>1.2619734</v>
      </c>
      <c r="D657">
        <v>-1.0500908</v>
      </c>
    </row>
    <row r="658" spans="2:4" x14ac:dyDescent="0.25">
      <c r="B658" s="5">
        <v>45014</v>
      </c>
      <c r="C658">
        <v>1.9183992999999999</v>
      </c>
      <c r="D658">
        <v>0.42028427000000002</v>
      </c>
    </row>
    <row r="659" spans="2:4" x14ac:dyDescent="0.25">
      <c r="B659" s="5">
        <v>45013</v>
      </c>
      <c r="C659">
        <v>-0.41609405999999999</v>
      </c>
      <c r="D659">
        <v>0.42663813</v>
      </c>
    </row>
    <row r="660" spans="2:4" x14ac:dyDescent="0.25">
      <c r="B660" s="5">
        <v>45012</v>
      </c>
      <c r="C660">
        <v>-1.4933883999999999</v>
      </c>
      <c r="D660">
        <v>0.95959899999999998</v>
      </c>
    </row>
    <row r="661" spans="2:4" x14ac:dyDescent="0.25">
      <c r="B661" s="5">
        <v>45009</v>
      </c>
      <c r="C661">
        <v>1.0480404000000001</v>
      </c>
      <c r="D661">
        <v>-0.69952009999999998</v>
      </c>
    </row>
    <row r="662" spans="2:4" x14ac:dyDescent="0.25">
      <c r="B662" s="5">
        <v>45008</v>
      </c>
      <c r="C662">
        <v>1.9721626999999999</v>
      </c>
      <c r="D662">
        <v>0.79965589999999998</v>
      </c>
    </row>
    <row r="663" spans="2:4" x14ac:dyDescent="0.25">
      <c r="B663" s="5">
        <v>45007</v>
      </c>
      <c r="C663">
        <v>-0.54422616999999995</v>
      </c>
      <c r="D663">
        <v>0.67452190000000001</v>
      </c>
    </row>
    <row r="664" spans="2:4" x14ac:dyDescent="0.25">
      <c r="B664" s="5">
        <v>45006</v>
      </c>
      <c r="C664">
        <v>0.56936739999999997</v>
      </c>
      <c r="D664">
        <v>2.0078301000000001</v>
      </c>
    </row>
    <row r="665" spans="2:4" x14ac:dyDescent="0.25">
      <c r="B665" s="5">
        <v>45005</v>
      </c>
      <c r="C665">
        <v>-2.576667</v>
      </c>
      <c r="D665">
        <v>3.7083387000000001</v>
      </c>
    </row>
    <row r="666" spans="2:4" x14ac:dyDescent="0.25">
      <c r="B666" s="5">
        <v>45002</v>
      </c>
      <c r="C666">
        <v>1.1694312</v>
      </c>
      <c r="D666">
        <v>-0.98876359999999996</v>
      </c>
    </row>
    <row r="667" spans="2:4" x14ac:dyDescent="0.25">
      <c r="B667" s="5">
        <v>45001</v>
      </c>
      <c r="C667">
        <v>4.0536523000000004</v>
      </c>
      <c r="D667">
        <v>5.0947190000000004</v>
      </c>
    </row>
    <row r="668" spans="2:4" x14ac:dyDescent="0.25">
      <c r="B668" s="5">
        <v>45000</v>
      </c>
      <c r="C668">
        <v>1.7830372000000001</v>
      </c>
      <c r="D668">
        <v>-3.6606550000000002</v>
      </c>
    </row>
    <row r="669" spans="2:4" x14ac:dyDescent="0.25">
      <c r="B669" s="5">
        <v>44999</v>
      </c>
      <c r="C669">
        <v>2.7055859999999998</v>
      </c>
      <c r="D669">
        <v>1.4236331</v>
      </c>
    </row>
    <row r="670" spans="2:4" x14ac:dyDescent="0.25">
      <c r="B670" s="5">
        <v>44998</v>
      </c>
      <c r="C670">
        <v>2.1440983</v>
      </c>
      <c r="D670">
        <v>-1.1596858999999999</v>
      </c>
    </row>
    <row r="671" spans="2:4" x14ac:dyDescent="0.25">
      <c r="B671" s="5">
        <v>44995</v>
      </c>
      <c r="C671">
        <v>-1.4782846000000001</v>
      </c>
      <c r="D671">
        <v>1.9691825000000001</v>
      </c>
    </row>
    <row r="672" spans="2:4" x14ac:dyDescent="0.25">
      <c r="B672" s="5">
        <v>44994</v>
      </c>
      <c r="C672">
        <v>-0.54394600000000004</v>
      </c>
      <c r="D672">
        <v>1.926887</v>
      </c>
    </row>
    <row r="673" spans="2:4" x14ac:dyDescent="0.25">
      <c r="B673" s="5">
        <v>44993</v>
      </c>
      <c r="C673">
        <v>-0.17706156000000001</v>
      </c>
      <c r="D673">
        <v>-1.2448192</v>
      </c>
    </row>
    <row r="674" spans="2:4" x14ac:dyDescent="0.25">
      <c r="B674" s="5">
        <v>44992</v>
      </c>
      <c r="C674">
        <v>-1.0589004</v>
      </c>
      <c r="D674">
        <v>-1.0547757</v>
      </c>
    </row>
    <row r="675" spans="2:4" x14ac:dyDescent="0.25">
      <c r="B675" s="5">
        <v>44991</v>
      </c>
      <c r="C675">
        <v>0.61889886999999999</v>
      </c>
      <c r="D675">
        <v>0.31553506999999997</v>
      </c>
    </row>
    <row r="676" spans="2:4" x14ac:dyDescent="0.25">
      <c r="B676" s="5">
        <v>44988</v>
      </c>
      <c r="C676">
        <v>1.6646027999999999</v>
      </c>
      <c r="D676">
        <v>-3.2544136000000001E-2</v>
      </c>
    </row>
    <row r="677" spans="2:4" x14ac:dyDescent="0.25">
      <c r="B677" s="5">
        <v>44987</v>
      </c>
      <c r="C677">
        <v>1.9653201</v>
      </c>
      <c r="D677">
        <v>-0.24209618999999999</v>
      </c>
    </row>
    <row r="678" spans="2:4" x14ac:dyDescent="0.25">
      <c r="B678" s="5">
        <v>44986</v>
      </c>
      <c r="C678">
        <v>-1.2629269999999999</v>
      </c>
      <c r="D678">
        <v>1.2064337999999999</v>
      </c>
    </row>
    <row r="679" spans="2:4" x14ac:dyDescent="0.25">
      <c r="B679" s="5">
        <v>44985</v>
      </c>
      <c r="C679">
        <v>-0.29581190000000002</v>
      </c>
      <c r="D679">
        <v>-0.47966241999999998</v>
      </c>
    </row>
    <row r="680" spans="2:4" x14ac:dyDescent="0.25">
      <c r="B680" s="5">
        <v>44984</v>
      </c>
      <c r="C680">
        <v>0.37717820000000002</v>
      </c>
      <c r="D680">
        <v>1.0566354</v>
      </c>
    </row>
    <row r="681" spans="2:4" x14ac:dyDescent="0.25">
      <c r="B681" s="5">
        <v>44981</v>
      </c>
      <c r="C681">
        <v>-2.1784365000000001</v>
      </c>
      <c r="D681">
        <v>0.36267041999999999</v>
      </c>
    </row>
    <row r="682" spans="2:4" x14ac:dyDescent="0.25">
      <c r="B682" s="5">
        <v>44980</v>
      </c>
      <c r="C682">
        <v>1.2961745</v>
      </c>
      <c r="D682">
        <v>-0.90212225999999995</v>
      </c>
    </row>
    <row r="683" spans="2:4" x14ac:dyDescent="0.25">
      <c r="B683" s="5">
        <v>44979</v>
      </c>
      <c r="C683">
        <v>-0.45909882000000002</v>
      </c>
      <c r="D683">
        <v>-3.2812119000000002</v>
      </c>
    </row>
    <row r="684" spans="2:4" x14ac:dyDescent="0.25">
      <c r="B684" s="5">
        <v>44978</v>
      </c>
      <c r="C684">
        <v>-2.08866</v>
      </c>
      <c r="D684">
        <v>-1.0687947</v>
      </c>
    </row>
    <row r="685" spans="2:4" x14ac:dyDescent="0.25">
      <c r="B685" s="5">
        <v>44974</v>
      </c>
      <c r="C685">
        <v>-1.5601754000000001</v>
      </c>
      <c r="D685">
        <v>8.6116789999999999E-2</v>
      </c>
    </row>
    <row r="686" spans="2:4" x14ac:dyDescent="0.25">
      <c r="B686" s="5">
        <v>44973</v>
      </c>
      <c r="C686">
        <v>-2.6622653000000001</v>
      </c>
      <c r="D686">
        <v>-1.4957488000000001</v>
      </c>
    </row>
    <row r="687" spans="2:4" x14ac:dyDescent="0.25">
      <c r="B687" s="5">
        <v>44972</v>
      </c>
      <c r="C687">
        <v>-1.0471404</v>
      </c>
      <c r="D687">
        <v>1.0579704999999999</v>
      </c>
    </row>
    <row r="688" spans="2:4" x14ac:dyDescent="0.25">
      <c r="B688" s="5">
        <v>44971</v>
      </c>
      <c r="C688">
        <v>0.313282</v>
      </c>
      <c r="D688">
        <v>0.54863689999999998</v>
      </c>
    </row>
    <row r="689" spans="2:4" x14ac:dyDescent="0.25">
      <c r="B689" s="5">
        <v>44970</v>
      </c>
      <c r="C689">
        <v>3.1242847</v>
      </c>
      <c r="D689">
        <v>0.87678429999999996</v>
      </c>
    </row>
    <row r="690" spans="2:4" x14ac:dyDescent="0.25">
      <c r="B690" s="5">
        <v>44967</v>
      </c>
      <c r="C690">
        <v>-0.19724965</v>
      </c>
      <c r="D690">
        <v>-0.73589680000000002</v>
      </c>
    </row>
    <row r="691" spans="2:4" x14ac:dyDescent="0.25">
      <c r="B691" s="5">
        <v>44966</v>
      </c>
      <c r="C691">
        <v>-1.1659801000000001</v>
      </c>
      <c r="D691">
        <v>2.1901130000000002</v>
      </c>
    </row>
    <row r="692" spans="2:4" x14ac:dyDescent="0.25">
      <c r="B692" s="5">
        <v>44965</v>
      </c>
      <c r="C692">
        <v>-0.31020639999999999</v>
      </c>
      <c r="D692">
        <v>0.20889044000000001</v>
      </c>
    </row>
    <row r="693" spans="2:4" x14ac:dyDescent="0.25">
      <c r="B693" s="5">
        <v>44964</v>
      </c>
      <c r="C693">
        <v>4.2022110000000001</v>
      </c>
      <c r="D693">
        <v>-0.92884900000000004</v>
      </c>
    </row>
    <row r="694" spans="2:4" x14ac:dyDescent="0.25">
      <c r="B694" s="5">
        <v>44963</v>
      </c>
      <c r="C694">
        <v>-0.6115794</v>
      </c>
      <c r="D694">
        <v>-0.92375874999999996</v>
      </c>
    </row>
    <row r="695" spans="2:4" x14ac:dyDescent="0.25">
      <c r="B695" s="5">
        <v>44960</v>
      </c>
      <c r="C695">
        <v>-2.3620546</v>
      </c>
      <c r="D695">
        <v>-2.1935283999999999</v>
      </c>
    </row>
    <row r="696" spans="2:4" x14ac:dyDescent="0.25">
      <c r="B696" s="5">
        <v>44959</v>
      </c>
      <c r="C696">
        <v>4.6884300000000003</v>
      </c>
      <c r="D696">
        <v>2.0407438</v>
      </c>
    </row>
    <row r="697" spans="2:4" x14ac:dyDescent="0.25">
      <c r="B697" s="5">
        <v>44958</v>
      </c>
      <c r="C697">
        <v>1.9934654000000001</v>
      </c>
      <c r="D697">
        <v>1.8473864</v>
      </c>
    </row>
    <row r="698" spans="2:4" x14ac:dyDescent="0.25">
      <c r="B698" s="5">
        <v>44957</v>
      </c>
      <c r="C698">
        <v>2.1012664000000001</v>
      </c>
      <c r="D698">
        <v>0.79784392999999998</v>
      </c>
    </row>
    <row r="699" spans="2:4" x14ac:dyDescent="0.25">
      <c r="B699" s="5">
        <v>44956</v>
      </c>
      <c r="C699">
        <v>-2.1961629999999999</v>
      </c>
      <c r="D699">
        <v>-0.18309950999999999</v>
      </c>
    </row>
    <row r="700" spans="2:4" x14ac:dyDescent="0.25">
      <c r="B700" s="5">
        <v>44953</v>
      </c>
      <c r="C700">
        <v>6.4516069999999995E-2</v>
      </c>
      <c r="D700">
        <v>0.89350940000000001</v>
      </c>
    </row>
    <row r="701" spans="2:4" x14ac:dyDescent="0.25">
      <c r="B701" s="5">
        <v>44952</v>
      </c>
      <c r="C701">
        <v>3.0713558000000001</v>
      </c>
      <c r="D701">
        <v>-0.81243514999999999</v>
      </c>
    </row>
    <row r="702" spans="2:4" x14ac:dyDescent="0.25">
      <c r="B702" s="5">
        <v>44951</v>
      </c>
      <c r="C702">
        <v>-0.59080719999999998</v>
      </c>
      <c r="D702">
        <v>0.40272474000000003</v>
      </c>
    </row>
    <row r="703" spans="2:4" x14ac:dyDescent="0.25">
      <c r="B703" s="5">
        <v>44950</v>
      </c>
      <c r="C703">
        <v>-0.22261143</v>
      </c>
      <c r="D703">
        <v>0.22017956</v>
      </c>
    </row>
    <row r="704" spans="2:4" x14ac:dyDescent="0.25">
      <c r="B704" s="5">
        <v>44949</v>
      </c>
      <c r="C704">
        <v>0.98242759999999996</v>
      </c>
      <c r="D704">
        <v>-0.9694159</v>
      </c>
    </row>
    <row r="705" spans="2:4" x14ac:dyDescent="0.25">
      <c r="B705" s="5">
        <v>44946</v>
      </c>
      <c r="C705">
        <v>3.5743594000000001</v>
      </c>
      <c r="D705">
        <v>-0.70419909999999997</v>
      </c>
    </row>
    <row r="706" spans="2:4" x14ac:dyDescent="0.25">
      <c r="B706" s="5">
        <v>44945</v>
      </c>
      <c r="C706">
        <v>-1.6453922000000001</v>
      </c>
      <c r="D706">
        <v>-5.6523085000000001E-2</v>
      </c>
    </row>
    <row r="707" spans="2:4" x14ac:dyDescent="0.25">
      <c r="B707" s="5">
        <v>44944</v>
      </c>
      <c r="C707">
        <v>-1.8889129</v>
      </c>
      <c r="D707">
        <v>1.2881756</v>
      </c>
    </row>
    <row r="708" spans="2:4" x14ac:dyDescent="0.25">
      <c r="B708" s="5">
        <v>44943</v>
      </c>
      <c r="C708">
        <v>0.46817064000000003</v>
      </c>
      <c r="D708">
        <v>0.23112297000000001</v>
      </c>
    </row>
    <row r="709" spans="2:4" x14ac:dyDescent="0.25">
      <c r="B709" s="5">
        <v>44939</v>
      </c>
      <c r="C709">
        <v>0.30187367999999998</v>
      </c>
      <c r="D709">
        <v>0.64517259999999998</v>
      </c>
    </row>
    <row r="710" spans="2:4" x14ac:dyDescent="0.25">
      <c r="B710" s="5">
        <v>44938</v>
      </c>
      <c r="C710">
        <v>1.1621475000000001</v>
      </c>
      <c r="D710">
        <v>0.122618675</v>
      </c>
    </row>
    <row r="711" spans="2:4" x14ac:dyDescent="0.25">
      <c r="B711" s="5">
        <v>44937</v>
      </c>
      <c r="C711">
        <v>3.0238152</v>
      </c>
      <c r="D711">
        <v>0.26848316</v>
      </c>
    </row>
    <row r="712" spans="2:4" x14ac:dyDescent="0.25">
      <c r="B712" s="5">
        <v>44936</v>
      </c>
      <c r="C712">
        <v>0.76171160000000004</v>
      </c>
      <c r="D712">
        <v>1.6538978</v>
      </c>
    </row>
    <row r="713" spans="2:4" x14ac:dyDescent="0.25">
      <c r="B713" s="5">
        <v>44935</v>
      </c>
      <c r="C713">
        <v>0.97364189999999995</v>
      </c>
      <c r="D713">
        <v>3.116107</v>
      </c>
    </row>
    <row r="714" spans="2:4" x14ac:dyDescent="0.25">
      <c r="B714" s="5">
        <v>44932</v>
      </c>
      <c r="C714">
        <v>1.1785269</v>
      </c>
      <c r="D714">
        <v>0.62892437000000001</v>
      </c>
    </row>
    <row r="715" spans="2:4" x14ac:dyDescent="0.25">
      <c r="B715" s="5">
        <v>44931</v>
      </c>
      <c r="C715">
        <v>-2.9637753999999998</v>
      </c>
      <c r="D715">
        <v>-2.0062327</v>
      </c>
    </row>
    <row r="716" spans="2:4" x14ac:dyDescent="0.25">
      <c r="B716" s="5">
        <v>44930</v>
      </c>
      <c r="C716">
        <v>-4.3743189999999998</v>
      </c>
      <c r="D716">
        <v>-0.63647629999999999</v>
      </c>
    </row>
    <row r="717" spans="2:4" x14ac:dyDescent="0.25">
      <c r="B717" s="5">
        <v>44929</v>
      </c>
      <c r="C717">
        <v>-0.1000762</v>
      </c>
      <c r="D717">
        <v>-1.2800992</v>
      </c>
    </row>
    <row r="718" spans="2:4" x14ac:dyDescent="0.25">
      <c r="B718" s="5">
        <v>44925</v>
      </c>
      <c r="C718">
        <v>-0.49375296000000002</v>
      </c>
      <c r="D718">
        <v>-1.4398633999999999</v>
      </c>
    </row>
    <row r="719" spans="2:4" x14ac:dyDescent="0.25">
      <c r="B719" s="5">
        <v>44924</v>
      </c>
      <c r="C719">
        <v>2.7629733000000001</v>
      </c>
      <c r="D719">
        <v>1.4426231</v>
      </c>
    </row>
    <row r="720" spans="2:4" x14ac:dyDescent="0.25">
      <c r="B720" s="5">
        <v>44923</v>
      </c>
      <c r="C720">
        <v>-1.0254920000000001</v>
      </c>
      <c r="D720">
        <v>-0.62794684999999995</v>
      </c>
    </row>
    <row r="721" spans="2:4" x14ac:dyDescent="0.25">
      <c r="B721" s="5">
        <v>44922</v>
      </c>
      <c r="C721">
        <v>-0.74141619999999997</v>
      </c>
      <c r="D721">
        <v>-5.9831141999999997E-2</v>
      </c>
    </row>
    <row r="722" spans="2:4" x14ac:dyDescent="0.25">
      <c r="B722" s="5">
        <v>44918</v>
      </c>
      <c r="C722">
        <v>0.22671222999999999</v>
      </c>
      <c r="D722">
        <v>6.1416626000000002E-2</v>
      </c>
    </row>
    <row r="723" spans="2:4" x14ac:dyDescent="0.25">
      <c r="B723" s="5">
        <v>44917</v>
      </c>
      <c r="C723">
        <v>-2.5528729999999999</v>
      </c>
      <c r="D723">
        <v>-1.0395228999999999</v>
      </c>
    </row>
    <row r="724" spans="2:4" x14ac:dyDescent="0.25">
      <c r="B724" s="5">
        <v>44916</v>
      </c>
      <c r="C724">
        <v>1.0876656</v>
      </c>
      <c r="D724">
        <v>1.5806079</v>
      </c>
    </row>
    <row r="725" spans="2:4" x14ac:dyDescent="0.25">
      <c r="B725" s="5">
        <v>44915</v>
      </c>
      <c r="C725">
        <v>0.5614519</v>
      </c>
      <c r="D725">
        <v>-0.96032023</v>
      </c>
    </row>
    <row r="726" spans="2:4" x14ac:dyDescent="0.25">
      <c r="B726" s="5">
        <v>44914</v>
      </c>
      <c r="C726">
        <v>-1.7328083999999999</v>
      </c>
      <c r="D726">
        <v>-1.0902524</v>
      </c>
    </row>
    <row r="727" spans="2:4" x14ac:dyDescent="0.25">
      <c r="B727" s="5">
        <v>44911</v>
      </c>
      <c r="C727">
        <v>-1.7348646999999999</v>
      </c>
      <c r="D727">
        <v>-0.74753760000000002</v>
      </c>
    </row>
    <row r="728" spans="2:4" x14ac:dyDescent="0.25">
      <c r="B728" s="5">
        <v>44910</v>
      </c>
      <c r="C728">
        <v>-3.1918228000000002</v>
      </c>
      <c r="D728">
        <v>-1.3635634999999999</v>
      </c>
    </row>
    <row r="729" spans="2:4" x14ac:dyDescent="0.25">
      <c r="B729" s="5">
        <v>44909</v>
      </c>
      <c r="C729">
        <v>0.11676549999999999</v>
      </c>
      <c r="D729">
        <v>0.35194160000000002</v>
      </c>
    </row>
    <row r="730" spans="2:4" x14ac:dyDescent="0.25">
      <c r="B730" s="5">
        <v>44908</v>
      </c>
      <c r="C730">
        <v>1.7464757</v>
      </c>
      <c r="D730">
        <v>1.11202</v>
      </c>
    </row>
    <row r="731" spans="2:4" x14ac:dyDescent="0.25">
      <c r="B731" s="5">
        <v>44907</v>
      </c>
      <c r="C731">
        <v>2.8889179999999999</v>
      </c>
      <c r="D731">
        <v>-2.325666</v>
      </c>
    </row>
    <row r="732" spans="2:4" x14ac:dyDescent="0.25">
      <c r="B732" s="5">
        <v>44904</v>
      </c>
      <c r="C732">
        <v>-0.80032349999999997</v>
      </c>
      <c r="D732">
        <v>9.7954269999999996E-2</v>
      </c>
    </row>
    <row r="733" spans="2:4" x14ac:dyDescent="0.25">
      <c r="B733" s="5">
        <v>44903</v>
      </c>
      <c r="C733">
        <v>1.2399197</v>
      </c>
      <c r="D733">
        <v>-9.414554E-2</v>
      </c>
    </row>
    <row r="734" spans="2:4" x14ac:dyDescent="0.25">
      <c r="B734" s="5">
        <v>44902</v>
      </c>
      <c r="C734">
        <v>-0.30597447999999999</v>
      </c>
      <c r="D734">
        <v>-0.36536455000000001</v>
      </c>
    </row>
    <row r="735" spans="2:4" x14ac:dyDescent="0.25">
      <c r="B735" s="5">
        <v>44901</v>
      </c>
      <c r="C735">
        <v>-2.0303786000000001</v>
      </c>
      <c r="D735">
        <v>-0.92313886000000001</v>
      </c>
    </row>
    <row r="736" spans="2:4" x14ac:dyDescent="0.25">
      <c r="B736" s="5">
        <v>44900</v>
      </c>
      <c r="C736">
        <v>-1.8900513999999999</v>
      </c>
      <c r="D736">
        <v>-1.7356098</v>
      </c>
    </row>
    <row r="737" spans="2:4" x14ac:dyDescent="0.25">
      <c r="B737" s="5">
        <v>44897</v>
      </c>
      <c r="C737">
        <v>0.12956857999999999</v>
      </c>
      <c r="D737">
        <v>4.4083595000000003E-2</v>
      </c>
    </row>
    <row r="738" spans="2:4" x14ac:dyDescent="0.25">
      <c r="B738" s="5">
        <v>44896</v>
      </c>
      <c r="C738">
        <v>-0.17637014000000001</v>
      </c>
      <c r="D738">
        <v>3.2348870999999999</v>
      </c>
    </row>
    <row r="739" spans="2:4" x14ac:dyDescent="0.25">
      <c r="B739" s="5">
        <v>44895</v>
      </c>
      <c r="C739">
        <v>6.1623573</v>
      </c>
      <c r="D739">
        <v>1.3802409</v>
      </c>
    </row>
    <row r="740" spans="2:4" x14ac:dyDescent="0.25">
      <c r="B740" s="5">
        <v>44894</v>
      </c>
      <c r="C740">
        <v>-0.59149264999999995</v>
      </c>
      <c r="D740">
        <v>-1.1962056000000001</v>
      </c>
    </row>
    <row r="741" spans="2:4" x14ac:dyDescent="0.25">
      <c r="B741" s="5">
        <v>44893</v>
      </c>
      <c r="C741">
        <v>-2.3152469999999998</v>
      </c>
      <c r="D741">
        <v>0.37527083999999999</v>
      </c>
    </row>
    <row r="742" spans="2:4" x14ac:dyDescent="0.25">
      <c r="B742" s="5">
        <v>44890</v>
      </c>
      <c r="C742">
        <v>-3.6352873000000001E-2</v>
      </c>
      <c r="D742">
        <v>-0.2963364</v>
      </c>
    </row>
    <row r="743" spans="2:4" x14ac:dyDescent="0.25">
      <c r="B743" s="5">
        <v>44888</v>
      </c>
      <c r="C743">
        <v>1.0406852</v>
      </c>
      <c r="D743">
        <v>2.0766854000000001</v>
      </c>
    </row>
    <row r="744" spans="2:4" x14ac:dyDescent="0.25">
      <c r="B744" s="5">
        <v>44887</v>
      </c>
      <c r="C744">
        <v>1.2311459</v>
      </c>
      <c r="D744">
        <v>0.86925030000000003</v>
      </c>
    </row>
    <row r="745" spans="2:4" x14ac:dyDescent="0.25">
      <c r="B745" s="5">
        <v>44886</v>
      </c>
      <c r="C745">
        <v>0.34408569999999999</v>
      </c>
      <c r="D745">
        <v>-0.61677099999999996</v>
      </c>
    </row>
    <row r="746" spans="2:4" x14ac:dyDescent="0.25">
      <c r="B746" s="5">
        <v>44883</v>
      </c>
      <c r="C746">
        <v>-0.19032954999999999</v>
      </c>
      <c r="D746">
        <v>0.93171596999999995</v>
      </c>
    </row>
    <row r="747" spans="2:4" x14ac:dyDescent="0.25">
      <c r="B747" s="5">
        <v>44882</v>
      </c>
      <c r="C747">
        <v>-2.0682811999999998E-2</v>
      </c>
      <c r="D747">
        <v>-0.96429586</v>
      </c>
    </row>
    <row r="748" spans="2:4" x14ac:dyDescent="0.25">
      <c r="B748" s="5">
        <v>44881</v>
      </c>
      <c r="C748">
        <v>-9.9188090000000007E-2</v>
      </c>
      <c r="D748">
        <v>3.2971263</v>
      </c>
    </row>
    <row r="749" spans="2:4" x14ac:dyDescent="0.25">
      <c r="B749" s="5">
        <v>44880</v>
      </c>
      <c r="C749">
        <v>0.17387867000000001</v>
      </c>
      <c r="D749">
        <v>2.1974683000000002</v>
      </c>
    </row>
    <row r="750" spans="2:4" x14ac:dyDescent="0.25">
      <c r="B750" s="5">
        <v>44879</v>
      </c>
      <c r="C750">
        <v>-2.2500097999999999</v>
      </c>
      <c r="D750">
        <v>-7.4976680000000004E-2</v>
      </c>
    </row>
    <row r="751" spans="2:4" x14ac:dyDescent="0.25">
      <c r="B751" s="5">
        <v>44876</v>
      </c>
      <c r="C751">
        <v>1.6997336999999999</v>
      </c>
      <c r="D751">
        <v>0.70990324000000005</v>
      </c>
    </row>
    <row r="752" spans="2:4" x14ac:dyDescent="0.25">
      <c r="B752" s="5">
        <v>44875</v>
      </c>
      <c r="C752">
        <v>8.2268000000000008</v>
      </c>
      <c r="D752">
        <v>1.9000649999999999</v>
      </c>
    </row>
    <row r="753" spans="2:4" x14ac:dyDescent="0.25">
      <c r="B753" s="5">
        <v>44874</v>
      </c>
      <c r="C753">
        <v>-1.9050121</v>
      </c>
      <c r="D753">
        <v>0.51834583000000001</v>
      </c>
    </row>
    <row r="754" spans="2:4" x14ac:dyDescent="0.25">
      <c r="B754" s="5">
        <v>44873</v>
      </c>
      <c r="C754">
        <v>0.43884516000000001</v>
      </c>
      <c r="D754">
        <v>0.45199393999999998</v>
      </c>
    </row>
    <row r="755" spans="2:4" x14ac:dyDescent="0.25">
      <c r="B755" s="5">
        <v>44872</v>
      </c>
      <c r="C755">
        <v>2.9269576000000002</v>
      </c>
      <c r="D755">
        <v>2.9299854999999999</v>
      </c>
    </row>
    <row r="756" spans="2:4" x14ac:dyDescent="0.25">
      <c r="B756" s="5">
        <v>44869</v>
      </c>
      <c r="C756">
        <v>3.3325553000000001</v>
      </c>
      <c r="D756">
        <v>0.64264536000000005</v>
      </c>
    </row>
    <row r="757" spans="2:4" x14ac:dyDescent="0.25">
      <c r="B757" s="5">
        <v>44868</v>
      </c>
      <c r="C757">
        <v>-2.6578843999999999</v>
      </c>
      <c r="D757">
        <v>-2.5518477000000002</v>
      </c>
    </row>
    <row r="758" spans="2:4" x14ac:dyDescent="0.25">
      <c r="B758" s="5">
        <v>44867</v>
      </c>
      <c r="C758">
        <v>-3.5368322999999999</v>
      </c>
      <c r="D758">
        <v>5.6648254000000002E-2</v>
      </c>
    </row>
    <row r="759" spans="2:4" x14ac:dyDescent="0.25">
      <c r="B759" s="5">
        <v>44866</v>
      </c>
      <c r="C759">
        <v>-1.7059445</v>
      </c>
      <c r="D759">
        <v>-1.6886413</v>
      </c>
    </row>
    <row r="760" spans="2:4" x14ac:dyDescent="0.25">
      <c r="B760" s="5">
        <v>44865</v>
      </c>
      <c r="C760">
        <v>-1.5856147</v>
      </c>
      <c r="D760">
        <v>-1.3523578999999999</v>
      </c>
    </row>
    <row r="761" spans="2:4" x14ac:dyDescent="0.25">
      <c r="B761" s="5">
        <v>44862</v>
      </c>
      <c r="C761">
        <v>4.0220500000000001</v>
      </c>
      <c r="D761">
        <v>0.58151483999999998</v>
      </c>
    </row>
    <row r="762" spans="2:4" x14ac:dyDescent="0.25">
      <c r="B762" s="5">
        <v>44861</v>
      </c>
      <c r="C762">
        <v>-1.9756198</v>
      </c>
      <c r="D762">
        <v>-1.4090180000000001</v>
      </c>
    </row>
    <row r="763" spans="2:4" x14ac:dyDescent="0.25">
      <c r="B763" s="5">
        <v>44860</v>
      </c>
      <c r="C763">
        <v>-7.7156304999999996</v>
      </c>
      <c r="D763">
        <v>2.6712894</v>
      </c>
    </row>
    <row r="764" spans="2:4" x14ac:dyDescent="0.25">
      <c r="B764" s="5">
        <v>44859</v>
      </c>
      <c r="C764">
        <v>1.3791679999999999</v>
      </c>
      <c r="D764">
        <v>1.3090491</v>
      </c>
    </row>
    <row r="765" spans="2:4" x14ac:dyDescent="0.25">
      <c r="B765" s="5">
        <v>44858</v>
      </c>
      <c r="C765">
        <v>2.1187901</v>
      </c>
      <c r="D765">
        <v>1.5573262999999999</v>
      </c>
    </row>
    <row r="766" spans="2:4" x14ac:dyDescent="0.25">
      <c r="B766" s="5">
        <v>44855</v>
      </c>
      <c r="C766">
        <v>2.5280594999999999</v>
      </c>
      <c r="D766">
        <v>1.7700195000000001</v>
      </c>
    </row>
    <row r="767" spans="2:4" x14ac:dyDescent="0.25">
      <c r="B767" s="5">
        <v>44854</v>
      </c>
      <c r="C767">
        <v>-0.13954639999999999</v>
      </c>
      <c r="D767">
        <v>-3.2143413999999999</v>
      </c>
    </row>
    <row r="768" spans="2:4" x14ac:dyDescent="0.25">
      <c r="B768" s="5">
        <v>44853</v>
      </c>
      <c r="C768">
        <v>-0.8469641</v>
      </c>
      <c r="D768">
        <v>-1.4838636000000001</v>
      </c>
    </row>
    <row r="769" spans="2:4" x14ac:dyDescent="0.25">
      <c r="B769" s="5">
        <v>44852</v>
      </c>
      <c r="C769">
        <v>0.40837526000000002</v>
      </c>
      <c r="D769">
        <v>1.3304472000000001</v>
      </c>
    </row>
    <row r="770" spans="2:4" x14ac:dyDescent="0.25">
      <c r="B770" s="5">
        <v>44851</v>
      </c>
      <c r="C770">
        <v>3.9245725</v>
      </c>
      <c r="D770">
        <v>1.0795950999999999</v>
      </c>
    </row>
    <row r="771" spans="2:4" x14ac:dyDescent="0.25">
      <c r="B771" s="5">
        <v>44848</v>
      </c>
      <c r="C771">
        <v>-2.4248660000000002</v>
      </c>
      <c r="D771">
        <v>0.22655724999999999</v>
      </c>
    </row>
    <row r="772" spans="2:4" x14ac:dyDescent="0.25">
      <c r="B772" s="5">
        <v>44847</v>
      </c>
      <c r="C772">
        <v>3.7608027000000002</v>
      </c>
      <c r="D772">
        <v>7.2681904000000006E-2</v>
      </c>
    </row>
    <row r="773" spans="2:4" x14ac:dyDescent="0.25">
      <c r="B773" s="5">
        <v>44846</v>
      </c>
      <c r="C773">
        <v>0.15083551000000001</v>
      </c>
      <c r="D773">
        <v>-1.9834757000000001</v>
      </c>
    </row>
    <row r="774" spans="2:4" x14ac:dyDescent="0.25">
      <c r="B774" s="5">
        <v>44845</v>
      </c>
      <c r="C774">
        <v>-1.6750275999999999</v>
      </c>
      <c r="D774">
        <v>-0.20353198</v>
      </c>
    </row>
    <row r="775" spans="2:4" x14ac:dyDescent="0.25">
      <c r="B775" s="5">
        <v>44844</v>
      </c>
      <c r="C775">
        <v>-2.1302938</v>
      </c>
      <c r="D775">
        <v>-1.4697433</v>
      </c>
    </row>
    <row r="776" spans="2:4" x14ac:dyDescent="0.25">
      <c r="B776" s="5">
        <v>44841</v>
      </c>
      <c r="C776">
        <v>-5.0852895</v>
      </c>
      <c r="D776">
        <v>-2.4615526000000001</v>
      </c>
    </row>
    <row r="777" spans="2:4" x14ac:dyDescent="0.25">
      <c r="B777" s="5">
        <v>44840</v>
      </c>
      <c r="C777">
        <v>-0.96709730000000005</v>
      </c>
      <c r="D777">
        <v>-1.8379629</v>
      </c>
    </row>
    <row r="778" spans="2:4" x14ac:dyDescent="0.25">
      <c r="B778" s="5">
        <v>44839</v>
      </c>
      <c r="C778">
        <v>0.12856722000000001</v>
      </c>
      <c r="D778">
        <v>0.25537014000000002</v>
      </c>
    </row>
    <row r="779" spans="2:4" x14ac:dyDescent="0.25">
      <c r="B779" s="5">
        <v>44838</v>
      </c>
      <c r="C779">
        <v>3.3812403999999998</v>
      </c>
      <c r="D779">
        <v>2.6427627</v>
      </c>
    </row>
    <row r="780" spans="2:4" x14ac:dyDescent="0.25">
      <c r="B780" s="5">
        <v>44837</v>
      </c>
      <c r="C780">
        <v>3.3662557999999998</v>
      </c>
      <c r="D780">
        <v>0.92910530000000002</v>
      </c>
    </row>
    <row r="781" spans="2:4" x14ac:dyDescent="0.25">
      <c r="B781" s="5">
        <v>44834</v>
      </c>
      <c r="C781">
        <v>-1.936847</v>
      </c>
      <c r="D781">
        <v>0.51627160000000005</v>
      </c>
    </row>
    <row r="782" spans="2:4" x14ac:dyDescent="0.25">
      <c r="B782" s="5">
        <v>44833</v>
      </c>
      <c r="C782">
        <v>-1.4809011999999999</v>
      </c>
      <c r="D782">
        <v>2.050376</v>
      </c>
    </row>
    <row r="783" spans="2:4" x14ac:dyDescent="0.25">
      <c r="B783" s="5">
        <v>44832</v>
      </c>
      <c r="C783">
        <v>1.9711494000000001</v>
      </c>
      <c r="D783">
        <v>0.33929347999999998</v>
      </c>
    </row>
    <row r="784" spans="2:4" x14ac:dyDescent="0.25">
      <c r="B784" s="5">
        <v>44831</v>
      </c>
      <c r="C784">
        <v>-0.43798684999999998</v>
      </c>
      <c r="D784">
        <v>4.5549869999999999E-2</v>
      </c>
    </row>
    <row r="785" spans="2:4" x14ac:dyDescent="0.25">
      <c r="B785" s="5">
        <v>44830</v>
      </c>
      <c r="C785">
        <v>-0.19754767000000001</v>
      </c>
      <c r="D785">
        <v>-0.46729444999999997</v>
      </c>
    </row>
    <row r="786" spans="2:4" x14ac:dyDescent="0.25">
      <c r="B786" s="5">
        <v>44827</v>
      </c>
      <c r="C786">
        <v>-1.2698114</v>
      </c>
      <c r="D786">
        <v>-2.4743795</v>
      </c>
    </row>
    <row r="787" spans="2:4" x14ac:dyDescent="0.25">
      <c r="B787" s="5">
        <v>44826</v>
      </c>
      <c r="C787">
        <v>0.84954499999999999</v>
      </c>
      <c r="D787">
        <v>-2.0946739999999999</v>
      </c>
    </row>
    <row r="788" spans="2:4" x14ac:dyDescent="0.25">
      <c r="B788" s="5">
        <v>44825</v>
      </c>
      <c r="C788">
        <v>-1.4435947</v>
      </c>
      <c r="D788">
        <v>-0.75318220000000002</v>
      </c>
    </row>
    <row r="789" spans="2:4" x14ac:dyDescent="0.25">
      <c r="B789" s="5">
        <v>44824</v>
      </c>
      <c r="C789">
        <v>-0.84655879999999994</v>
      </c>
      <c r="D789">
        <v>-1.2556016000000001</v>
      </c>
    </row>
    <row r="790" spans="2:4" x14ac:dyDescent="0.25">
      <c r="B790" s="5">
        <v>44823</v>
      </c>
      <c r="C790">
        <v>-8.9889764999999996E-2</v>
      </c>
      <c r="D790">
        <v>0.6118536</v>
      </c>
    </row>
    <row r="791" spans="2:4" x14ac:dyDescent="0.25">
      <c r="B791" s="5">
        <v>44820</v>
      </c>
      <c r="C791">
        <v>-0.26081799999999999</v>
      </c>
      <c r="D791">
        <v>-0.75707435999999995</v>
      </c>
    </row>
    <row r="792" spans="2:4" x14ac:dyDescent="0.25">
      <c r="B792" s="5">
        <v>44819</v>
      </c>
      <c r="C792">
        <v>-2.711916</v>
      </c>
      <c r="D792">
        <v>-0.10701418</v>
      </c>
    </row>
    <row r="793" spans="2:4" x14ac:dyDescent="0.25">
      <c r="B793" s="5">
        <v>44818</v>
      </c>
      <c r="C793">
        <v>9.1266630000000001E-2</v>
      </c>
      <c r="D793">
        <v>0.25655030000000001</v>
      </c>
    </row>
    <row r="794" spans="2:4" x14ac:dyDescent="0.25">
      <c r="B794" s="5">
        <v>44817</v>
      </c>
      <c r="C794">
        <v>-5.4978369999999996</v>
      </c>
      <c r="D794">
        <v>-1.369971</v>
      </c>
    </row>
    <row r="795" spans="2:4" x14ac:dyDescent="0.25">
      <c r="B795" s="5">
        <v>44816</v>
      </c>
      <c r="C795">
        <v>0.82809924999999995</v>
      </c>
      <c r="D795">
        <v>1.9781232</v>
      </c>
    </row>
    <row r="796" spans="2:4" x14ac:dyDescent="0.25">
      <c r="B796" s="5">
        <v>44813</v>
      </c>
      <c r="C796">
        <v>2.2976994999999998</v>
      </c>
      <c r="D796">
        <v>1.1014341999999999</v>
      </c>
    </row>
    <row r="797" spans="2:4" x14ac:dyDescent="0.25">
      <c r="B797" s="5">
        <v>44812</v>
      </c>
      <c r="C797">
        <v>0.1666069</v>
      </c>
      <c r="D797">
        <v>0.55431129999999995</v>
      </c>
    </row>
    <row r="798" spans="2:4" x14ac:dyDescent="0.25">
      <c r="B798" s="5">
        <v>44811</v>
      </c>
      <c r="C798">
        <v>1.9111514000000001</v>
      </c>
      <c r="D798">
        <v>1.4045596</v>
      </c>
    </row>
    <row r="799" spans="2:4" x14ac:dyDescent="0.25">
      <c r="B799" s="5">
        <v>44810</v>
      </c>
      <c r="C799">
        <v>-1.097399</v>
      </c>
      <c r="D799">
        <v>-2.9091239999999998</v>
      </c>
    </row>
    <row r="800" spans="2:4" x14ac:dyDescent="0.25">
      <c r="B800" s="5">
        <v>44806</v>
      </c>
      <c r="C800">
        <v>-1.6666650999999999</v>
      </c>
      <c r="D800">
        <v>3.5983204999999998</v>
      </c>
    </row>
    <row r="801" spans="2:4" x14ac:dyDescent="0.25">
      <c r="B801" s="5">
        <v>44805</v>
      </c>
      <c r="C801">
        <v>-0.40922760000000002</v>
      </c>
      <c r="D801">
        <v>-2.7135609999999999</v>
      </c>
    </row>
    <row r="802" spans="2:4" x14ac:dyDescent="0.25">
      <c r="B802" s="5">
        <v>44804</v>
      </c>
      <c r="C802">
        <v>-0.57040449999999998</v>
      </c>
      <c r="D802">
        <v>0.70067643999999996</v>
      </c>
    </row>
    <row r="803" spans="2:4" x14ac:dyDescent="0.25">
      <c r="B803" s="5">
        <v>44803</v>
      </c>
      <c r="C803">
        <v>-0.85209610000000002</v>
      </c>
      <c r="D803">
        <v>-0.56989789999999996</v>
      </c>
    </row>
    <row r="804" spans="2:4" x14ac:dyDescent="0.25">
      <c r="B804" s="5">
        <v>44802</v>
      </c>
      <c r="C804">
        <v>-1.0667979999999999</v>
      </c>
      <c r="D804">
        <v>-0.38823485000000002</v>
      </c>
    </row>
    <row r="805" spans="2:4" x14ac:dyDescent="0.25">
      <c r="B805" s="5">
        <v>44799</v>
      </c>
      <c r="C805">
        <v>-3.8587093000000001</v>
      </c>
      <c r="D805">
        <v>-0.93477964000000002</v>
      </c>
    </row>
    <row r="806" spans="2:4" x14ac:dyDescent="0.25">
      <c r="B806" s="5">
        <v>44798</v>
      </c>
      <c r="C806">
        <v>1.1095405</v>
      </c>
      <c r="D806">
        <v>0.18657446</v>
      </c>
    </row>
    <row r="807" spans="2:4" x14ac:dyDescent="0.25">
      <c r="B807" s="5">
        <v>44797</v>
      </c>
      <c r="C807">
        <v>-0.23512839999999999</v>
      </c>
      <c r="D807">
        <v>1.3571739</v>
      </c>
    </row>
    <row r="808" spans="2:4" x14ac:dyDescent="0.25">
      <c r="B808" s="5">
        <v>44796</v>
      </c>
      <c r="C808">
        <v>-0.4716456</v>
      </c>
      <c r="D808">
        <v>-0.91298219999999997</v>
      </c>
    </row>
    <row r="809" spans="2:4" x14ac:dyDescent="0.25">
      <c r="B809" s="5">
        <v>44795</v>
      </c>
      <c r="C809">
        <v>-2.9355228000000002</v>
      </c>
      <c r="D809">
        <v>-0.65972805000000001</v>
      </c>
    </row>
    <row r="810" spans="2:4" x14ac:dyDescent="0.25">
      <c r="B810" s="5">
        <v>44792</v>
      </c>
      <c r="C810">
        <v>-1.3854027</v>
      </c>
      <c r="D810">
        <v>-0.86874960000000001</v>
      </c>
    </row>
    <row r="811" spans="2:4" x14ac:dyDescent="0.25">
      <c r="B811" s="5">
        <v>44791</v>
      </c>
      <c r="C811">
        <v>-0.39475559999999998</v>
      </c>
      <c r="D811">
        <v>1.0358334</v>
      </c>
    </row>
    <row r="812" spans="2:4" x14ac:dyDescent="0.25">
      <c r="B812" s="5">
        <v>44790</v>
      </c>
      <c r="C812">
        <v>-0.47487020000000002</v>
      </c>
      <c r="D812">
        <v>1.1062621999999999E-2</v>
      </c>
    </row>
    <row r="813" spans="2:4" x14ac:dyDescent="0.25">
      <c r="B813" s="5">
        <v>44789</v>
      </c>
      <c r="C813">
        <v>-0.25897621999999998</v>
      </c>
      <c r="D813">
        <v>-0.59040784999999996</v>
      </c>
    </row>
    <row r="814" spans="2:4" x14ac:dyDescent="0.25">
      <c r="B814" s="5">
        <v>44788</v>
      </c>
      <c r="C814">
        <v>0.53441525000000001</v>
      </c>
      <c r="D814">
        <v>2.2039056000000001</v>
      </c>
    </row>
    <row r="815" spans="2:4" x14ac:dyDescent="0.25">
      <c r="B815" s="5">
        <v>44785</v>
      </c>
      <c r="C815">
        <v>1.7037153</v>
      </c>
      <c r="D815">
        <v>-4.2081474999999999</v>
      </c>
    </row>
    <row r="816" spans="2:4" x14ac:dyDescent="0.25">
      <c r="B816" s="5">
        <v>44784</v>
      </c>
      <c r="C816">
        <v>-0.74008110000000005</v>
      </c>
      <c r="D816">
        <v>-1.6295314000000001</v>
      </c>
    </row>
    <row r="817" spans="2:4" x14ac:dyDescent="0.25">
      <c r="B817" s="5">
        <v>44783</v>
      </c>
      <c r="C817">
        <v>2.4300456000000001</v>
      </c>
      <c r="D817">
        <v>2.1922588E-2</v>
      </c>
    </row>
    <row r="818" spans="2:4" x14ac:dyDescent="0.25">
      <c r="B818" s="5">
        <v>44782</v>
      </c>
      <c r="C818">
        <v>0.70632695999999995</v>
      </c>
      <c r="D818">
        <v>0.13971328999999999</v>
      </c>
    </row>
    <row r="819" spans="2:4" x14ac:dyDescent="0.25">
      <c r="B819" s="5">
        <v>44781</v>
      </c>
      <c r="C819">
        <v>-0.91548560000000001</v>
      </c>
      <c r="D819">
        <v>0.94478130000000005</v>
      </c>
    </row>
    <row r="820" spans="2:4" x14ac:dyDescent="0.25">
      <c r="B820" s="5">
        <v>44778</v>
      </c>
      <c r="C820">
        <v>-0.26088357000000001</v>
      </c>
      <c r="D820">
        <v>-0.39323567999999998</v>
      </c>
    </row>
    <row r="821" spans="2:4" x14ac:dyDescent="0.25">
      <c r="B821" s="5">
        <v>44777</v>
      </c>
      <c r="C821">
        <v>0.41774509999999998</v>
      </c>
      <c r="D821">
        <v>0.42420626</v>
      </c>
    </row>
    <row r="822" spans="2:4" x14ac:dyDescent="0.25">
      <c r="B822" s="5">
        <v>44776</v>
      </c>
      <c r="C822">
        <v>2.7836322999999998</v>
      </c>
      <c r="D822">
        <v>0.56217910000000004</v>
      </c>
    </row>
    <row r="823" spans="2:4" x14ac:dyDescent="0.25">
      <c r="B823" s="5">
        <v>44775</v>
      </c>
      <c r="C823">
        <v>-1.147443</v>
      </c>
      <c r="D823">
        <v>-1.0883986999999999</v>
      </c>
    </row>
    <row r="824" spans="2:4" x14ac:dyDescent="0.25">
      <c r="B824" s="5">
        <v>44774</v>
      </c>
      <c r="C824">
        <v>-0.97242594000000004</v>
      </c>
      <c r="D824">
        <v>2.2570730000000001</v>
      </c>
    </row>
    <row r="825" spans="2:4" x14ac:dyDescent="0.25">
      <c r="B825" s="5">
        <v>44771</v>
      </c>
      <c r="C825">
        <v>1.5665054</v>
      </c>
      <c r="D825">
        <v>1.5051125999999999</v>
      </c>
    </row>
    <row r="826" spans="2:4" x14ac:dyDescent="0.25">
      <c r="B826" s="5">
        <v>44770</v>
      </c>
      <c r="C826">
        <v>2.8540611</v>
      </c>
      <c r="D826">
        <v>2.4104237999999998</v>
      </c>
    </row>
    <row r="827" spans="2:4" x14ac:dyDescent="0.25">
      <c r="B827" s="5">
        <v>44769</v>
      </c>
      <c r="C827">
        <v>6.6851853999999999</v>
      </c>
      <c r="D827">
        <v>2.1907209999999999</v>
      </c>
    </row>
    <row r="828" spans="2:4" x14ac:dyDescent="0.25">
      <c r="B828" s="5">
        <v>44768</v>
      </c>
      <c r="C828">
        <v>-2.6774287000000001</v>
      </c>
      <c r="D828">
        <v>-0.88350176999999996</v>
      </c>
    </row>
    <row r="829" spans="2:4" x14ac:dyDescent="0.25">
      <c r="B829" s="5">
        <v>44767</v>
      </c>
      <c r="C829">
        <v>-0.58764815000000004</v>
      </c>
      <c r="D829">
        <v>0.15181302999999999</v>
      </c>
    </row>
    <row r="830" spans="2:4" x14ac:dyDescent="0.25">
      <c r="B830" s="5">
        <v>44764</v>
      </c>
      <c r="C830">
        <v>-1.6915917</v>
      </c>
      <c r="D830">
        <v>-2.0237802999999999</v>
      </c>
    </row>
    <row r="831" spans="2:4" x14ac:dyDescent="0.25">
      <c r="B831" s="5">
        <v>44763</v>
      </c>
      <c r="C831">
        <v>0.97991229999999996</v>
      </c>
      <c r="D831">
        <v>0.71430205999999996</v>
      </c>
    </row>
    <row r="832" spans="2:4" x14ac:dyDescent="0.25">
      <c r="B832" s="5">
        <v>44762</v>
      </c>
      <c r="C832">
        <v>1.0557532000000001</v>
      </c>
      <c r="D832">
        <v>0.30220746999999998</v>
      </c>
    </row>
    <row r="833" spans="2:4" x14ac:dyDescent="0.25">
      <c r="B833" s="5">
        <v>44761</v>
      </c>
      <c r="C833">
        <v>2.0766973000000002</v>
      </c>
      <c r="D833">
        <v>1.4776707</v>
      </c>
    </row>
    <row r="834" spans="2:4" x14ac:dyDescent="0.25">
      <c r="B834" s="5">
        <v>44760</v>
      </c>
      <c r="C834">
        <v>-0.96213820000000005</v>
      </c>
      <c r="D834">
        <v>2.0381331</v>
      </c>
    </row>
    <row r="835" spans="2:4" x14ac:dyDescent="0.25">
      <c r="B835" s="5">
        <v>44757</v>
      </c>
      <c r="C835">
        <v>1.0390401</v>
      </c>
      <c r="D835">
        <v>0.45266149999999999</v>
      </c>
    </row>
    <row r="836" spans="2:4" x14ac:dyDescent="0.25">
      <c r="B836" s="5">
        <v>44756</v>
      </c>
      <c r="C836">
        <v>0.53814649999999997</v>
      </c>
      <c r="D836">
        <v>-4.110563</v>
      </c>
    </row>
    <row r="837" spans="2:4" x14ac:dyDescent="0.25">
      <c r="B837" s="5">
        <v>44755</v>
      </c>
      <c r="C837">
        <v>-0.37450193999999998</v>
      </c>
      <c r="D837">
        <v>0.99440812999999995</v>
      </c>
    </row>
    <row r="838" spans="2:4" x14ac:dyDescent="0.25">
      <c r="B838" s="5">
        <v>44754</v>
      </c>
      <c r="C838">
        <v>-4.0981474000000002</v>
      </c>
      <c r="D838">
        <v>1.8920064000000001</v>
      </c>
    </row>
    <row r="839" spans="2:4" x14ac:dyDescent="0.25">
      <c r="B839" s="5">
        <v>44753</v>
      </c>
      <c r="C839">
        <v>-1.1768639000000001</v>
      </c>
      <c r="D839">
        <v>-0.26499630000000002</v>
      </c>
    </row>
    <row r="840" spans="2:4" x14ac:dyDescent="0.25">
      <c r="B840" s="5">
        <v>44750</v>
      </c>
      <c r="C840">
        <v>-0.27570724000000002</v>
      </c>
      <c r="D840">
        <v>0.79059599999999997</v>
      </c>
    </row>
    <row r="841" spans="2:4" x14ac:dyDescent="0.25">
      <c r="B841" s="5">
        <v>44749</v>
      </c>
      <c r="C841">
        <v>0.82266329999999999</v>
      </c>
      <c r="D841">
        <v>-1.3894975000000001</v>
      </c>
    </row>
    <row r="842" spans="2:4" x14ac:dyDescent="0.25">
      <c r="B842" s="5">
        <v>44748</v>
      </c>
      <c r="C842">
        <v>1.2782931</v>
      </c>
      <c r="D842">
        <v>2.9331564999999999</v>
      </c>
    </row>
    <row r="843" spans="2:4" x14ac:dyDescent="0.25">
      <c r="B843" s="5">
        <v>44747</v>
      </c>
      <c r="C843">
        <v>1.2597322</v>
      </c>
      <c r="D843">
        <v>-0.89625120000000003</v>
      </c>
    </row>
    <row r="844" spans="2:4" x14ac:dyDescent="0.25">
      <c r="B844" s="5">
        <v>44743</v>
      </c>
      <c r="C844">
        <v>1.0707498</v>
      </c>
      <c r="D844">
        <v>-3.8099945000000002</v>
      </c>
    </row>
    <row r="845" spans="2:4" x14ac:dyDescent="0.25">
      <c r="B845" s="5">
        <v>44742</v>
      </c>
      <c r="C845">
        <v>-1.3179243</v>
      </c>
      <c r="D845">
        <v>-0.2602756</v>
      </c>
    </row>
    <row r="846" spans="2:4" x14ac:dyDescent="0.25">
      <c r="B846" s="5">
        <v>44741</v>
      </c>
      <c r="C846">
        <v>1.4737963999999999</v>
      </c>
      <c r="D846">
        <v>0.69833993999999999</v>
      </c>
    </row>
    <row r="847" spans="2:4" x14ac:dyDescent="0.25">
      <c r="B847" s="5">
        <v>44740</v>
      </c>
      <c r="C847">
        <v>-3.1749070000000001</v>
      </c>
      <c r="D847">
        <v>-1.3761938</v>
      </c>
    </row>
    <row r="848" spans="2:4" x14ac:dyDescent="0.25">
      <c r="B848" s="5">
        <v>44739</v>
      </c>
      <c r="C848">
        <v>-1.0496795000000001</v>
      </c>
      <c r="D848">
        <v>1.5568375999999999</v>
      </c>
    </row>
    <row r="849" spans="2:4" x14ac:dyDescent="0.25">
      <c r="B849" s="5">
        <v>44736</v>
      </c>
      <c r="C849">
        <v>3.4149885000000002</v>
      </c>
      <c r="D849">
        <v>0.85726975999999999</v>
      </c>
    </row>
    <row r="850" spans="2:4" x14ac:dyDescent="0.25">
      <c r="B850" s="5">
        <v>44735</v>
      </c>
      <c r="C850">
        <v>2.2636533000000001</v>
      </c>
      <c r="D850">
        <v>-0.48243403000000001</v>
      </c>
    </row>
    <row r="851" spans="2:4" x14ac:dyDescent="0.25">
      <c r="B851" s="5">
        <v>44734</v>
      </c>
      <c r="C851">
        <v>-0.24040341000000001</v>
      </c>
      <c r="D851">
        <v>1.0806918000000001</v>
      </c>
    </row>
    <row r="852" spans="2:4" x14ac:dyDescent="0.25">
      <c r="B852" s="5">
        <v>44733</v>
      </c>
      <c r="C852">
        <v>2.4591208</v>
      </c>
      <c r="D852">
        <v>1.5151858</v>
      </c>
    </row>
    <row r="853" spans="2:4" x14ac:dyDescent="0.25">
      <c r="B853" s="5">
        <v>44729</v>
      </c>
      <c r="C853">
        <v>1.0940075</v>
      </c>
      <c r="D853">
        <v>-0.56052804000000001</v>
      </c>
    </row>
    <row r="854" spans="2:4" x14ac:dyDescent="0.25">
      <c r="B854" s="5">
        <v>44728</v>
      </c>
      <c r="C854">
        <v>-2.6970087999999999</v>
      </c>
      <c r="D854">
        <v>0.78861713</v>
      </c>
    </row>
    <row r="855" spans="2:4" x14ac:dyDescent="0.25">
      <c r="B855" s="5">
        <v>44727</v>
      </c>
      <c r="C855">
        <v>2.9735326999999998</v>
      </c>
      <c r="D855">
        <v>1.6463637</v>
      </c>
    </row>
    <row r="856" spans="2:4" x14ac:dyDescent="0.25">
      <c r="B856" s="5">
        <v>44726</v>
      </c>
      <c r="C856">
        <v>0.92049840000000005</v>
      </c>
      <c r="D856">
        <v>1.0494231999999999</v>
      </c>
    </row>
    <row r="857" spans="2:4" x14ac:dyDescent="0.25">
      <c r="B857" s="5">
        <v>44725</v>
      </c>
      <c r="C857">
        <v>-4.241276</v>
      </c>
      <c r="D857">
        <v>-2.2306085000000002</v>
      </c>
    </row>
    <row r="858" spans="2:4" x14ac:dyDescent="0.25">
      <c r="B858" s="5">
        <v>44722</v>
      </c>
      <c r="C858">
        <v>-4.4563649999999999</v>
      </c>
      <c r="D858">
        <v>-0.20727514999999999</v>
      </c>
    </row>
    <row r="859" spans="2:4" x14ac:dyDescent="0.25">
      <c r="B859" s="5">
        <v>44721</v>
      </c>
      <c r="C859">
        <v>-2.0783246000000002</v>
      </c>
      <c r="D859">
        <v>-0.98496675</v>
      </c>
    </row>
    <row r="860" spans="2:4" x14ac:dyDescent="0.25">
      <c r="B860" s="5">
        <v>44720</v>
      </c>
      <c r="C860">
        <v>-0.76696869999999995</v>
      </c>
      <c r="D860">
        <v>-1.7111837999999999</v>
      </c>
    </row>
    <row r="861" spans="2:4" x14ac:dyDescent="0.25">
      <c r="B861" s="5">
        <v>44719</v>
      </c>
      <c r="C861">
        <v>1.3953447000000001</v>
      </c>
      <c r="D861">
        <v>-1.7361462000000001</v>
      </c>
    </row>
    <row r="862" spans="2:4" x14ac:dyDescent="0.25">
      <c r="B862" s="5">
        <v>44718</v>
      </c>
      <c r="C862">
        <v>-0.47033429999999998</v>
      </c>
      <c r="D862">
        <v>0.53238870000000005</v>
      </c>
    </row>
    <row r="863" spans="2:4" x14ac:dyDescent="0.25">
      <c r="B863" s="5">
        <v>44715</v>
      </c>
      <c r="C863">
        <v>-1.6607164999999999</v>
      </c>
      <c r="D863">
        <v>8.3470345000000001E-2</v>
      </c>
    </row>
    <row r="864" spans="2:4" x14ac:dyDescent="0.25">
      <c r="B864" s="5">
        <v>44714</v>
      </c>
      <c r="C864">
        <v>0.79288479999999995</v>
      </c>
      <c r="D864">
        <v>1.2078165999999999</v>
      </c>
    </row>
    <row r="865" spans="2:4" x14ac:dyDescent="0.25">
      <c r="B865" s="5">
        <v>44713</v>
      </c>
      <c r="C865">
        <v>0.20231009</v>
      </c>
      <c r="D865">
        <v>-1.6309559</v>
      </c>
    </row>
    <row r="866" spans="2:4" x14ac:dyDescent="0.25">
      <c r="B866" s="5">
        <v>44712</v>
      </c>
      <c r="C866">
        <v>-0.50138830000000001</v>
      </c>
      <c r="D866">
        <v>-4.5578659999999998</v>
      </c>
    </row>
    <row r="867" spans="2:4" x14ac:dyDescent="0.25">
      <c r="B867" s="5">
        <v>44708</v>
      </c>
      <c r="C867">
        <v>2.7604342000000002</v>
      </c>
      <c r="D867">
        <v>-6.9975850000000006E-2</v>
      </c>
    </row>
    <row r="868" spans="2:4" x14ac:dyDescent="0.25">
      <c r="B868" s="5">
        <v>44707</v>
      </c>
      <c r="C868">
        <v>1.2875198999999999</v>
      </c>
      <c r="D868">
        <v>0.66318509999999997</v>
      </c>
    </row>
    <row r="869" spans="2:4" x14ac:dyDescent="0.25">
      <c r="B869" s="5">
        <v>44706</v>
      </c>
      <c r="C869">
        <v>1.1170149</v>
      </c>
      <c r="D869">
        <v>-1.9989908000000001</v>
      </c>
    </row>
    <row r="870" spans="2:4" x14ac:dyDescent="0.25">
      <c r="B870" s="5">
        <v>44705</v>
      </c>
      <c r="C870">
        <v>-0.39516687</v>
      </c>
      <c r="D870">
        <v>2.4902701</v>
      </c>
    </row>
    <row r="871" spans="2:4" x14ac:dyDescent="0.25">
      <c r="B871" s="5">
        <v>44704</v>
      </c>
      <c r="C871">
        <v>3.2032012999999999</v>
      </c>
      <c r="D871">
        <v>1.2332677999999999</v>
      </c>
    </row>
    <row r="872" spans="2:4" x14ac:dyDescent="0.25">
      <c r="B872" s="5">
        <v>44701</v>
      </c>
      <c r="C872">
        <v>-0.22912025</v>
      </c>
      <c r="D872">
        <v>1.7385602</v>
      </c>
    </row>
    <row r="873" spans="2:4" x14ac:dyDescent="0.25">
      <c r="B873" s="5">
        <v>44700</v>
      </c>
      <c r="C873">
        <v>-0.36996603</v>
      </c>
      <c r="D873">
        <v>-2.3655891000000002</v>
      </c>
    </row>
    <row r="874" spans="2:4" x14ac:dyDescent="0.25">
      <c r="B874" s="5">
        <v>44699</v>
      </c>
      <c r="C874">
        <v>-4.7747555000000004</v>
      </c>
      <c r="D874">
        <v>-0.24869442</v>
      </c>
    </row>
    <row r="875" spans="2:4" x14ac:dyDescent="0.25">
      <c r="B875" s="5">
        <v>44698</v>
      </c>
      <c r="C875">
        <v>2.0344137999999998</v>
      </c>
      <c r="D875">
        <v>2.6070237000000001</v>
      </c>
    </row>
    <row r="876" spans="2:4" x14ac:dyDescent="0.25">
      <c r="B876" s="5">
        <v>44697</v>
      </c>
      <c r="C876">
        <v>0.14553070000000001</v>
      </c>
      <c r="D876">
        <v>-0.36957264000000001</v>
      </c>
    </row>
    <row r="877" spans="2:4" x14ac:dyDescent="0.25">
      <c r="B877" s="5">
        <v>44694</v>
      </c>
      <c r="C877">
        <v>2.259636</v>
      </c>
      <c r="D877">
        <v>0.35092830000000003</v>
      </c>
    </row>
    <row r="878" spans="2:4" x14ac:dyDescent="0.25">
      <c r="B878" s="5">
        <v>44693</v>
      </c>
      <c r="C878">
        <v>-1.9957720999999999</v>
      </c>
      <c r="D878">
        <v>-1.3314724</v>
      </c>
    </row>
    <row r="879" spans="2:4" x14ac:dyDescent="0.25">
      <c r="B879" s="5">
        <v>44692</v>
      </c>
      <c r="C879">
        <v>-3.3209681999999998</v>
      </c>
      <c r="D879">
        <v>0.5293369</v>
      </c>
    </row>
    <row r="880" spans="2:4" x14ac:dyDescent="0.25">
      <c r="B880" s="5">
        <v>44691</v>
      </c>
      <c r="C880">
        <v>1.8595576</v>
      </c>
      <c r="D880">
        <v>1.795876</v>
      </c>
    </row>
    <row r="881" spans="2:4" x14ac:dyDescent="0.25">
      <c r="B881" s="5">
        <v>44690</v>
      </c>
      <c r="C881">
        <v>-3.6945462</v>
      </c>
      <c r="D881">
        <v>-2.1354853999999999</v>
      </c>
    </row>
    <row r="882" spans="2:4" x14ac:dyDescent="0.25">
      <c r="B882" s="5">
        <v>44687</v>
      </c>
      <c r="C882">
        <v>-0.9446502</v>
      </c>
      <c r="D882">
        <v>-0.97484590000000004</v>
      </c>
    </row>
    <row r="883" spans="2:4" x14ac:dyDescent="0.25">
      <c r="B883" s="5">
        <v>44686</v>
      </c>
      <c r="C883">
        <v>-4.3554725999999997</v>
      </c>
      <c r="D883">
        <v>-1.8199623</v>
      </c>
    </row>
    <row r="884" spans="2:4" x14ac:dyDescent="0.25">
      <c r="B884" s="5">
        <v>44685</v>
      </c>
      <c r="C884">
        <v>2.9100776000000002</v>
      </c>
      <c r="D884">
        <v>4.7564507000000004E-3</v>
      </c>
    </row>
    <row r="885" spans="2:4" x14ac:dyDescent="0.25">
      <c r="B885" s="5">
        <v>44684</v>
      </c>
      <c r="C885">
        <v>-0.94562170000000001</v>
      </c>
      <c r="D885">
        <v>0.2327919</v>
      </c>
    </row>
    <row r="886" spans="2:4" x14ac:dyDescent="0.25">
      <c r="B886" s="5">
        <v>44683</v>
      </c>
      <c r="C886">
        <v>2.5043250000000001</v>
      </c>
      <c r="D886">
        <v>-9.6398590000000006E-2</v>
      </c>
    </row>
    <row r="887" spans="2:4" x14ac:dyDescent="0.25">
      <c r="B887" s="5">
        <v>44680</v>
      </c>
      <c r="C887">
        <v>-4.1811999999999996</v>
      </c>
      <c r="D887">
        <v>2.0327449999999998</v>
      </c>
    </row>
    <row r="888" spans="2:4" x14ac:dyDescent="0.25">
      <c r="B888" s="5">
        <v>44679</v>
      </c>
      <c r="C888">
        <v>2.2632599999999998</v>
      </c>
      <c r="D888">
        <v>5.171299E-2</v>
      </c>
    </row>
    <row r="889" spans="2:4" x14ac:dyDescent="0.25">
      <c r="B889" s="5">
        <v>44678</v>
      </c>
      <c r="C889">
        <v>4.8108934999999997</v>
      </c>
      <c r="D889">
        <v>-2.4730802000000001</v>
      </c>
    </row>
    <row r="890" spans="2:4" x14ac:dyDescent="0.25">
      <c r="B890" s="5">
        <v>44677</v>
      </c>
      <c r="C890">
        <v>-3.7403822</v>
      </c>
      <c r="D890">
        <v>0.31703710000000002</v>
      </c>
    </row>
    <row r="891" spans="2:4" x14ac:dyDescent="0.25">
      <c r="B891" s="5">
        <v>44676</v>
      </c>
      <c r="C891">
        <v>2.4413347000000001</v>
      </c>
      <c r="D891">
        <v>9.4413759999999996E-3</v>
      </c>
    </row>
    <row r="892" spans="2:4" x14ac:dyDescent="0.25">
      <c r="B892" s="5">
        <v>44673</v>
      </c>
      <c r="C892">
        <v>-2.4144410000000001</v>
      </c>
      <c r="D892">
        <v>-1.0311842</v>
      </c>
    </row>
    <row r="893" spans="2:4" x14ac:dyDescent="0.25">
      <c r="B893" s="5">
        <v>44672</v>
      </c>
      <c r="C893">
        <v>-1.9381166000000001</v>
      </c>
      <c r="D893">
        <v>-1.3990222999999999</v>
      </c>
    </row>
    <row r="894" spans="2:4" x14ac:dyDescent="0.25">
      <c r="B894" s="5">
        <v>44671</v>
      </c>
      <c r="C894">
        <v>0.37153960000000003</v>
      </c>
      <c r="D894">
        <v>1.8085837</v>
      </c>
    </row>
    <row r="895" spans="2:4" x14ac:dyDescent="0.25">
      <c r="B895" s="5">
        <v>44670</v>
      </c>
      <c r="C895">
        <v>1.7039776</v>
      </c>
      <c r="D895">
        <v>-2.7658105000000002</v>
      </c>
    </row>
    <row r="896" spans="2:4" x14ac:dyDescent="0.25">
      <c r="B896" s="5">
        <v>44669</v>
      </c>
      <c r="C896">
        <v>0.24658442</v>
      </c>
      <c r="D896">
        <v>0.15774964999999999</v>
      </c>
    </row>
    <row r="897" spans="2:4" x14ac:dyDescent="0.25">
      <c r="B897" s="5">
        <v>44665</v>
      </c>
      <c r="C897">
        <v>-2.7084350000000001</v>
      </c>
      <c r="D897">
        <v>0.75187683000000005</v>
      </c>
    </row>
    <row r="898" spans="2:4" x14ac:dyDescent="0.25">
      <c r="B898" s="5">
        <v>44664</v>
      </c>
      <c r="C898">
        <v>1.971209</v>
      </c>
      <c r="D898">
        <v>-0.50882099999999997</v>
      </c>
    </row>
    <row r="899" spans="2:4" x14ac:dyDescent="0.25">
      <c r="B899" s="5">
        <v>44663</v>
      </c>
      <c r="C899">
        <v>-1.1217892</v>
      </c>
      <c r="D899">
        <v>-0.69295764000000004</v>
      </c>
    </row>
    <row r="900" spans="2:4" x14ac:dyDescent="0.25">
      <c r="B900" s="5">
        <v>44662</v>
      </c>
      <c r="C900">
        <v>-3.9431571999999999</v>
      </c>
      <c r="D900">
        <v>-0.40910839999999998</v>
      </c>
    </row>
    <row r="901" spans="2:4" x14ac:dyDescent="0.25">
      <c r="B901" s="5">
        <v>44659</v>
      </c>
      <c r="C901">
        <v>-1.4599979000000001</v>
      </c>
      <c r="D901">
        <v>1.3376950999999999</v>
      </c>
    </row>
    <row r="902" spans="2:4" x14ac:dyDescent="0.25">
      <c r="B902" s="5">
        <v>44658</v>
      </c>
      <c r="C902">
        <v>0.6243706</v>
      </c>
      <c r="D902">
        <v>-0.34424067000000003</v>
      </c>
    </row>
    <row r="903" spans="2:4" x14ac:dyDescent="0.25">
      <c r="B903" s="5">
        <v>44657</v>
      </c>
      <c r="C903">
        <v>-3.6605775</v>
      </c>
      <c r="D903">
        <v>-1.5090644</v>
      </c>
    </row>
    <row r="904" spans="2:4" x14ac:dyDescent="0.25">
      <c r="B904" s="5">
        <v>44656</v>
      </c>
      <c r="C904">
        <v>-1.2985348999999999</v>
      </c>
      <c r="D904">
        <v>2.5515555999999999</v>
      </c>
    </row>
    <row r="905" spans="2:4" x14ac:dyDescent="0.25">
      <c r="B905" s="5">
        <v>44655</v>
      </c>
      <c r="C905">
        <v>1.7936707000000001</v>
      </c>
      <c r="D905">
        <v>-1.2401819000000001</v>
      </c>
    </row>
    <row r="906" spans="2:4" x14ac:dyDescent="0.25">
      <c r="B906" s="5">
        <v>44652</v>
      </c>
      <c r="C906">
        <v>0.36003590000000002</v>
      </c>
      <c r="D906">
        <v>0.16477107999999999</v>
      </c>
    </row>
    <row r="907" spans="2:4" x14ac:dyDescent="0.25">
      <c r="B907" s="5">
        <v>44651</v>
      </c>
      <c r="C907">
        <v>-1.7683028999999999</v>
      </c>
      <c r="D907">
        <v>-1.6377807</v>
      </c>
    </row>
    <row r="908" spans="2:4" x14ac:dyDescent="0.25">
      <c r="B908" s="5">
        <v>44650</v>
      </c>
      <c r="C908">
        <v>-0.49142838</v>
      </c>
      <c r="D908">
        <v>1.0479092999999999</v>
      </c>
    </row>
    <row r="909" spans="2:4" x14ac:dyDescent="0.25">
      <c r="B909" s="5">
        <v>44649</v>
      </c>
      <c r="C909">
        <v>1.5159248999999999</v>
      </c>
      <c r="D909">
        <v>1.6764521999999999</v>
      </c>
    </row>
    <row r="910" spans="2:4" x14ac:dyDescent="0.25">
      <c r="B910" s="5">
        <v>44648</v>
      </c>
      <c r="C910">
        <v>2.3116469999999998</v>
      </c>
      <c r="D910">
        <v>0.72538849999999999</v>
      </c>
    </row>
    <row r="911" spans="2:4" x14ac:dyDescent="0.25">
      <c r="B911" s="5">
        <v>44645</v>
      </c>
      <c r="C911">
        <v>-0.13811588</v>
      </c>
      <c r="D911">
        <v>1.8955588000000001</v>
      </c>
    </row>
    <row r="912" spans="2:4" x14ac:dyDescent="0.25">
      <c r="B912" s="5">
        <v>44644</v>
      </c>
      <c r="C912">
        <v>1.53929</v>
      </c>
      <c r="D912">
        <v>-0.29069780000000001</v>
      </c>
    </row>
    <row r="913" spans="2:4" x14ac:dyDescent="0.25">
      <c r="B913" s="5">
        <v>44643</v>
      </c>
      <c r="C913">
        <v>-1.5029967</v>
      </c>
      <c r="D913">
        <v>-2.7781546000000001</v>
      </c>
    </row>
    <row r="914" spans="2:4" x14ac:dyDescent="0.25">
      <c r="B914" s="5">
        <v>44642</v>
      </c>
      <c r="C914">
        <v>1.6379117999999999</v>
      </c>
      <c r="D914">
        <v>1.5506625000000001</v>
      </c>
    </row>
    <row r="915" spans="2:4" x14ac:dyDescent="0.25">
      <c r="B915" s="5">
        <v>44641</v>
      </c>
      <c r="C915">
        <v>-0.42272209999999999</v>
      </c>
      <c r="D915">
        <v>-0.1772523</v>
      </c>
    </row>
    <row r="916" spans="2:4" x14ac:dyDescent="0.25">
      <c r="B916" s="5">
        <v>44638</v>
      </c>
      <c r="C916">
        <v>1.7647862000000001</v>
      </c>
      <c r="D916">
        <v>0.60659647000000005</v>
      </c>
    </row>
    <row r="917" spans="2:4" x14ac:dyDescent="0.25">
      <c r="B917" s="5">
        <v>44637</v>
      </c>
      <c r="C917">
        <v>0.28192996999999997</v>
      </c>
      <c r="D917">
        <v>-0.78333019999999998</v>
      </c>
    </row>
    <row r="918" spans="2:4" x14ac:dyDescent="0.25">
      <c r="B918" s="5">
        <v>44636</v>
      </c>
      <c r="C918">
        <v>2.5213359999999998</v>
      </c>
      <c r="D918">
        <v>5.0747274999999998</v>
      </c>
    </row>
    <row r="919" spans="2:4" x14ac:dyDescent="0.25">
      <c r="B919" s="5">
        <v>44635</v>
      </c>
      <c r="C919">
        <v>3.8742542000000002</v>
      </c>
      <c r="D919">
        <v>1.2174845000000001</v>
      </c>
    </row>
    <row r="920" spans="2:4" x14ac:dyDescent="0.25">
      <c r="B920" s="5">
        <v>44634</v>
      </c>
      <c r="C920">
        <v>-1.296109</v>
      </c>
      <c r="D920">
        <v>4.7552466000000004</v>
      </c>
    </row>
    <row r="921" spans="2:4" x14ac:dyDescent="0.25">
      <c r="B921" s="5">
        <v>44631</v>
      </c>
      <c r="C921">
        <v>-1.9328356</v>
      </c>
      <c r="D921">
        <v>0.80627203000000003</v>
      </c>
    </row>
    <row r="922" spans="2:4" x14ac:dyDescent="0.25">
      <c r="B922" s="5">
        <v>44630</v>
      </c>
      <c r="C922">
        <v>-1.0086656000000001</v>
      </c>
      <c r="D922">
        <v>-0.65822004999999995</v>
      </c>
    </row>
    <row r="923" spans="2:4" x14ac:dyDescent="0.25">
      <c r="B923" s="5">
        <v>44629</v>
      </c>
      <c r="C923">
        <v>4.5858264000000002</v>
      </c>
      <c r="D923">
        <v>7.2929620000000002</v>
      </c>
    </row>
    <row r="924" spans="2:4" x14ac:dyDescent="0.25">
      <c r="B924" s="5">
        <v>44628</v>
      </c>
      <c r="C924">
        <v>-1.0971248</v>
      </c>
      <c r="D924">
        <v>-2.5443614000000001</v>
      </c>
    </row>
    <row r="925" spans="2:4" x14ac:dyDescent="0.25">
      <c r="B925" s="5">
        <v>44627</v>
      </c>
      <c r="C925">
        <v>-3.7776768000000001</v>
      </c>
      <c r="D925">
        <v>-0.68569780000000002</v>
      </c>
    </row>
    <row r="926" spans="2:4" x14ac:dyDescent="0.25">
      <c r="B926" s="5">
        <v>44624</v>
      </c>
      <c r="C926">
        <v>-2.0478605999999999</v>
      </c>
      <c r="D926">
        <v>-4.5117380000000002</v>
      </c>
    </row>
    <row r="927" spans="2:4" x14ac:dyDescent="0.25">
      <c r="B927" s="5">
        <v>44623</v>
      </c>
      <c r="C927">
        <v>-1.4224291</v>
      </c>
      <c r="D927">
        <v>-0.45524836000000002</v>
      </c>
    </row>
    <row r="928" spans="2:4" x14ac:dyDescent="0.25">
      <c r="B928" s="5">
        <v>44622</v>
      </c>
      <c r="C928">
        <v>1.7765641000000001</v>
      </c>
      <c r="D928">
        <v>-1.4726043</v>
      </c>
    </row>
    <row r="929" spans="2:4" x14ac:dyDescent="0.25">
      <c r="B929" s="5">
        <v>44621</v>
      </c>
      <c r="C929">
        <v>-1.2851834</v>
      </c>
      <c r="D929">
        <v>-4.2161520000000001</v>
      </c>
    </row>
    <row r="930" spans="2:4" x14ac:dyDescent="0.25">
      <c r="B930" s="5">
        <v>44620</v>
      </c>
      <c r="C930">
        <v>0.49780606999999999</v>
      </c>
      <c r="D930">
        <v>0.20807981</v>
      </c>
    </row>
    <row r="931" spans="2:4" x14ac:dyDescent="0.25">
      <c r="B931" s="5">
        <v>44617</v>
      </c>
      <c r="C931">
        <v>0.92331169999999996</v>
      </c>
      <c r="D931">
        <v>1.1831879999999999</v>
      </c>
    </row>
    <row r="932" spans="2:4" x14ac:dyDescent="0.25">
      <c r="B932" s="5">
        <v>44616</v>
      </c>
      <c r="C932">
        <v>5.1093580000000003</v>
      </c>
      <c r="D932">
        <v>-2.0518719999999999</v>
      </c>
    </row>
    <row r="933" spans="2:4" x14ac:dyDescent="0.25">
      <c r="B933" s="5">
        <v>44615</v>
      </c>
      <c r="C933">
        <v>-2.5893269999999999</v>
      </c>
      <c r="D933">
        <v>-1.4453769000000001</v>
      </c>
    </row>
    <row r="934" spans="2:4" x14ac:dyDescent="0.25">
      <c r="B934" s="5">
        <v>44614</v>
      </c>
      <c r="C934">
        <v>-7.2932239999999995E-2</v>
      </c>
      <c r="D934">
        <v>-1.1803090000000001</v>
      </c>
    </row>
    <row r="935" spans="2:4" x14ac:dyDescent="0.25">
      <c r="B935" s="5">
        <v>44610</v>
      </c>
      <c r="C935">
        <v>-0.9630978</v>
      </c>
      <c r="D935">
        <v>-1.1228681</v>
      </c>
    </row>
    <row r="936" spans="2:4" x14ac:dyDescent="0.25">
      <c r="B936" s="5">
        <v>44609</v>
      </c>
      <c r="C936">
        <v>-2.9282092999999998</v>
      </c>
      <c r="D936">
        <v>-0.78244804999999995</v>
      </c>
    </row>
    <row r="937" spans="2:4" x14ac:dyDescent="0.25">
      <c r="B937" s="5">
        <v>44608</v>
      </c>
      <c r="C937">
        <v>-0.32283067999999998</v>
      </c>
      <c r="D937">
        <v>-5.5223702999999999E-2</v>
      </c>
    </row>
    <row r="938" spans="2:4" x14ac:dyDescent="0.25">
      <c r="B938" s="5">
        <v>44607</v>
      </c>
      <c r="C938">
        <v>1.8542409</v>
      </c>
      <c r="D938">
        <v>1.4115095</v>
      </c>
    </row>
    <row r="939" spans="2:4" x14ac:dyDescent="0.25">
      <c r="B939" s="5">
        <v>44606</v>
      </c>
      <c r="C939">
        <v>-1.3560057E-2</v>
      </c>
      <c r="D939">
        <v>-0.83307030000000004</v>
      </c>
    </row>
    <row r="940" spans="2:4" x14ac:dyDescent="0.25">
      <c r="B940" s="5">
        <v>44603</v>
      </c>
      <c r="C940">
        <v>-2.4274049999999998</v>
      </c>
      <c r="D940">
        <v>4.4572353000000002E-2</v>
      </c>
    </row>
    <row r="941" spans="2:4" x14ac:dyDescent="0.25">
      <c r="B941" s="5">
        <v>44602</v>
      </c>
      <c r="C941">
        <v>-2.8373062999999998</v>
      </c>
      <c r="D941">
        <v>-0.73528886000000004</v>
      </c>
    </row>
    <row r="942" spans="2:4" x14ac:dyDescent="0.25">
      <c r="B942" s="5">
        <v>44601</v>
      </c>
      <c r="C942">
        <v>2.1834730000000002</v>
      </c>
      <c r="D942">
        <v>0.93438624999999997</v>
      </c>
    </row>
    <row r="943" spans="2:4" x14ac:dyDescent="0.25">
      <c r="B943" s="5">
        <v>44600</v>
      </c>
      <c r="C943">
        <v>1.1995316</v>
      </c>
      <c r="D943">
        <v>-0.5077779</v>
      </c>
    </row>
    <row r="944" spans="2:4" x14ac:dyDescent="0.25">
      <c r="B944" s="5">
        <v>44599</v>
      </c>
      <c r="C944">
        <v>-1.6310334</v>
      </c>
      <c r="D944">
        <v>1.0480642</v>
      </c>
    </row>
    <row r="945" spans="2:4" x14ac:dyDescent="0.25">
      <c r="B945" s="5">
        <v>44596</v>
      </c>
      <c r="C945">
        <v>1.5568495</v>
      </c>
      <c r="D945">
        <v>1.2622355999999999</v>
      </c>
    </row>
    <row r="946" spans="2:4" x14ac:dyDescent="0.25">
      <c r="B946" s="5">
        <v>44595</v>
      </c>
      <c r="C946">
        <v>-3.8952290000000001</v>
      </c>
      <c r="D946">
        <v>0.29140709999999997</v>
      </c>
    </row>
    <row r="947" spans="2:4" x14ac:dyDescent="0.25">
      <c r="B947" s="5">
        <v>44594</v>
      </c>
      <c r="C947">
        <v>1.5222073</v>
      </c>
      <c r="D947">
        <v>-5.9610604999999997E-2</v>
      </c>
    </row>
    <row r="948" spans="2:4" x14ac:dyDescent="0.25">
      <c r="B948" s="5">
        <v>44593</v>
      </c>
      <c r="C948">
        <v>-0.71387290000000003</v>
      </c>
      <c r="D948">
        <v>-0.22660494</v>
      </c>
    </row>
    <row r="949" spans="2:4" x14ac:dyDescent="0.25">
      <c r="B949" s="5">
        <v>44592</v>
      </c>
      <c r="C949">
        <v>0.88237524000000001</v>
      </c>
      <c r="D949">
        <v>2.0210146999999998</v>
      </c>
    </row>
    <row r="950" spans="2:4" x14ac:dyDescent="0.25">
      <c r="B950" s="5">
        <v>44589</v>
      </c>
      <c r="C950">
        <v>2.8081656000000002</v>
      </c>
      <c r="D950">
        <v>-0.7183969</v>
      </c>
    </row>
    <row r="951" spans="2:4" x14ac:dyDescent="0.25">
      <c r="B951" s="5">
        <v>44588</v>
      </c>
      <c r="C951">
        <v>1.0549067999999999</v>
      </c>
      <c r="D951">
        <v>-0.54591893999999996</v>
      </c>
    </row>
    <row r="952" spans="2:4" x14ac:dyDescent="0.25">
      <c r="B952" s="5">
        <v>44587</v>
      </c>
      <c r="C952">
        <v>2.8493165999999999</v>
      </c>
      <c r="D952">
        <v>-0.34238099999999999</v>
      </c>
    </row>
    <row r="953" spans="2:4" x14ac:dyDescent="0.25">
      <c r="B953" s="5">
        <v>44586</v>
      </c>
      <c r="C953">
        <v>-2.6588379999999998</v>
      </c>
      <c r="D953">
        <v>-3.0795395000000001</v>
      </c>
    </row>
    <row r="954" spans="2:4" x14ac:dyDescent="0.25">
      <c r="B954" s="5">
        <v>44585</v>
      </c>
      <c r="C954">
        <v>0.11484622999999999</v>
      </c>
      <c r="D954">
        <v>-1.9270778</v>
      </c>
    </row>
    <row r="955" spans="2:4" x14ac:dyDescent="0.25">
      <c r="B955" s="5">
        <v>44582</v>
      </c>
      <c r="C955">
        <v>-1.8468201</v>
      </c>
      <c r="D955">
        <v>0.85878370000000004</v>
      </c>
    </row>
    <row r="956" spans="2:4" x14ac:dyDescent="0.25">
      <c r="B956" s="5">
        <v>44581</v>
      </c>
      <c r="C956">
        <v>-0.57032704000000001</v>
      </c>
      <c r="D956">
        <v>2.0503879</v>
      </c>
    </row>
    <row r="957" spans="2:4" x14ac:dyDescent="0.25">
      <c r="B957" s="5">
        <v>44580</v>
      </c>
      <c r="C957">
        <v>0.22467375000000001</v>
      </c>
      <c r="D957">
        <v>1.2662411</v>
      </c>
    </row>
    <row r="958" spans="2:4" x14ac:dyDescent="0.25">
      <c r="B958" s="5">
        <v>44579</v>
      </c>
      <c r="C958">
        <v>-2.4339200000000001</v>
      </c>
      <c r="D958">
        <v>0.62572956000000002</v>
      </c>
    </row>
    <row r="959" spans="2:4" x14ac:dyDescent="0.25">
      <c r="B959" s="5">
        <v>44575</v>
      </c>
      <c r="C959">
        <v>1.7716646</v>
      </c>
      <c r="D959">
        <v>-0.62278509999999998</v>
      </c>
    </row>
    <row r="960" spans="2:4" x14ac:dyDescent="0.25">
      <c r="B960" s="5">
        <v>44574</v>
      </c>
      <c r="C960">
        <v>-4.2322579999999999</v>
      </c>
      <c r="D960">
        <v>2.6068091</v>
      </c>
    </row>
    <row r="961" spans="2:4" x14ac:dyDescent="0.25">
      <c r="B961" s="5">
        <v>44573</v>
      </c>
      <c r="C961">
        <v>1.0444998999999999</v>
      </c>
      <c r="D961">
        <v>2.2266745999999999</v>
      </c>
    </row>
    <row r="962" spans="2:4" x14ac:dyDescent="0.25">
      <c r="B962" s="5">
        <v>44572</v>
      </c>
      <c r="C962">
        <v>0.22592545</v>
      </c>
      <c r="D962">
        <v>1.6528130000000001</v>
      </c>
    </row>
    <row r="963" spans="2:4" x14ac:dyDescent="0.25">
      <c r="B963" s="5">
        <v>44571</v>
      </c>
      <c r="C963">
        <v>7.323027E-2</v>
      </c>
      <c r="D963">
        <v>0.60549973999999995</v>
      </c>
    </row>
    <row r="964" spans="2:4" x14ac:dyDescent="0.25">
      <c r="B964" s="5">
        <v>44568</v>
      </c>
      <c r="C964">
        <v>5.0973892E-2</v>
      </c>
      <c r="D964">
        <v>-0.42899847000000002</v>
      </c>
    </row>
    <row r="965" spans="2:4" x14ac:dyDescent="0.25">
      <c r="B965" s="5">
        <v>44567</v>
      </c>
      <c r="C965">
        <v>-0.79019070000000002</v>
      </c>
      <c r="D965">
        <v>-0.45892596000000002</v>
      </c>
    </row>
    <row r="966" spans="2:4" x14ac:dyDescent="0.25">
      <c r="B966" s="5">
        <v>44566</v>
      </c>
      <c r="C966">
        <v>-3.8387894999999999</v>
      </c>
      <c r="D966">
        <v>0.54651499999999997</v>
      </c>
    </row>
    <row r="967" spans="2:4" x14ac:dyDescent="0.25">
      <c r="B967" s="5">
        <v>44565</v>
      </c>
      <c r="C967">
        <v>-1.7147124</v>
      </c>
      <c r="D967">
        <v>-0.28727055000000001</v>
      </c>
    </row>
    <row r="968" spans="2:4" x14ac:dyDescent="0.25">
      <c r="B968" s="5">
        <v>44564</v>
      </c>
      <c r="C968">
        <v>-0.46681761999999999</v>
      </c>
      <c r="D968">
        <v>-0.63598155999999995</v>
      </c>
    </row>
    <row r="969" spans="2:4" x14ac:dyDescent="0.25">
      <c r="B969" s="5">
        <v>44561</v>
      </c>
      <c r="C969">
        <v>-0.88412166000000003</v>
      </c>
      <c r="D969">
        <v>0.36182404000000001</v>
      </c>
    </row>
    <row r="970" spans="2:4" x14ac:dyDescent="0.25">
      <c r="B970" s="5">
        <v>44560</v>
      </c>
      <c r="C970">
        <v>-0.76912044999999996</v>
      </c>
      <c r="D970">
        <v>0.23705960000000001</v>
      </c>
    </row>
    <row r="971" spans="2:4" x14ac:dyDescent="0.25">
      <c r="B971" s="5">
        <v>44559</v>
      </c>
      <c r="C971">
        <v>0.20513534999999999</v>
      </c>
      <c r="D971">
        <v>-0.30457377000000002</v>
      </c>
    </row>
    <row r="972" spans="2:4" x14ac:dyDescent="0.25">
      <c r="B972" s="5">
        <v>44558</v>
      </c>
      <c r="C972">
        <v>-0.35042167000000002</v>
      </c>
      <c r="D972">
        <v>0.82551240000000004</v>
      </c>
    </row>
    <row r="973" spans="2:4" x14ac:dyDescent="0.25">
      <c r="B973" s="5">
        <v>44557</v>
      </c>
      <c r="C973">
        <v>2.3185609999999999</v>
      </c>
      <c r="D973">
        <v>0.33313036000000001</v>
      </c>
    </row>
    <row r="974" spans="2:4" x14ac:dyDescent="0.25">
      <c r="B974" s="5">
        <v>44553</v>
      </c>
      <c r="C974">
        <v>0.44717790000000002</v>
      </c>
      <c r="D974">
        <v>1.0807872000000001</v>
      </c>
    </row>
    <row r="975" spans="2:4" x14ac:dyDescent="0.25">
      <c r="B975" s="5">
        <v>44552</v>
      </c>
      <c r="C975">
        <v>1.8057346000000001</v>
      </c>
      <c r="D975">
        <v>0.26321410000000001</v>
      </c>
    </row>
    <row r="976" spans="2:4" x14ac:dyDescent="0.25">
      <c r="B976" s="5">
        <v>44551</v>
      </c>
      <c r="C976">
        <v>2.3069023999999998</v>
      </c>
      <c r="D976">
        <v>2.8950572000000001</v>
      </c>
    </row>
    <row r="977" spans="2:4" x14ac:dyDescent="0.25">
      <c r="B977" s="5">
        <v>44550</v>
      </c>
      <c r="C977">
        <v>-1.2013555</v>
      </c>
      <c r="D977">
        <v>-1.6230643</v>
      </c>
    </row>
    <row r="978" spans="2:4" x14ac:dyDescent="0.25">
      <c r="B978" s="5">
        <v>44547</v>
      </c>
      <c r="C978">
        <v>-0.33856629999999999</v>
      </c>
      <c r="D978">
        <v>0.95189809999999997</v>
      </c>
    </row>
    <row r="979" spans="2:4" x14ac:dyDescent="0.25">
      <c r="B979" s="5">
        <v>44546</v>
      </c>
      <c r="C979">
        <v>-2.9134929999999999</v>
      </c>
      <c r="D979">
        <v>2.1252513</v>
      </c>
    </row>
    <row r="980" spans="2:4" x14ac:dyDescent="0.25">
      <c r="B980" s="5">
        <v>44545</v>
      </c>
      <c r="C980">
        <v>1.9217849</v>
      </c>
      <c r="D980">
        <v>0.56698320000000002</v>
      </c>
    </row>
    <row r="981" spans="2:4" x14ac:dyDescent="0.25">
      <c r="B981" s="5">
        <v>44544</v>
      </c>
      <c r="C981">
        <v>-3.2586932000000002</v>
      </c>
      <c r="D981">
        <v>-0.63202380000000002</v>
      </c>
    </row>
    <row r="982" spans="2:4" x14ac:dyDescent="0.25">
      <c r="B982" s="5">
        <v>44543</v>
      </c>
      <c r="C982">
        <v>-0.91668369999999999</v>
      </c>
      <c r="D982">
        <v>-0.54407715999999995</v>
      </c>
    </row>
    <row r="983" spans="2:4" x14ac:dyDescent="0.25">
      <c r="B983" s="5">
        <v>44540</v>
      </c>
      <c r="C983">
        <v>2.8339862999999998</v>
      </c>
      <c r="D983">
        <v>0.45796632999999998</v>
      </c>
    </row>
    <row r="984" spans="2:4" x14ac:dyDescent="0.25">
      <c r="B984" s="5">
        <v>44539</v>
      </c>
      <c r="C984">
        <v>-0.55825709999999995</v>
      </c>
      <c r="D984">
        <v>1.9025803000000001E-2</v>
      </c>
    </row>
    <row r="985" spans="2:4" x14ac:dyDescent="0.25">
      <c r="B985" s="5">
        <v>44538</v>
      </c>
      <c r="C985">
        <v>1.4925002999999999E-2</v>
      </c>
      <c r="D985">
        <v>-0.14589429000000001</v>
      </c>
    </row>
    <row r="986" spans="2:4" x14ac:dyDescent="0.25">
      <c r="B986" s="5">
        <v>44537</v>
      </c>
      <c r="C986">
        <v>2.6763558000000001</v>
      </c>
      <c r="D986">
        <v>0.47820806999999999</v>
      </c>
    </row>
    <row r="987" spans="2:4" x14ac:dyDescent="0.25">
      <c r="B987" s="5">
        <v>44536</v>
      </c>
      <c r="C987">
        <v>0.98448990000000003</v>
      </c>
      <c r="D987">
        <v>0.20613670000000001</v>
      </c>
    </row>
    <row r="988" spans="2:4" x14ac:dyDescent="0.25">
      <c r="B988" s="5">
        <v>44533</v>
      </c>
      <c r="C988">
        <v>-1.9666672000000001</v>
      </c>
      <c r="D988">
        <v>-1.0858715000000001</v>
      </c>
    </row>
    <row r="989" spans="2:4" x14ac:dyDescent="0.25">
      <c r="B989" s="5">
        <v>44532</v>
      </c>
      <c r="C989">
        <v>-0.17874240999999999</v>
      </c>
      <c r="D989">
        <v>-1.4949739</v>
      </c>
    </row>
    <row r="990" spans="2:4" x14ac:dyDescent="0.25">
      <c r="B990" s="5">
        <v>44531</v>
      </c>
      <c r="C990">
        <v>-0.15427469999999999</v>
      </c>
      <c r="D990">
        <v>2.1459698999999999</v>
      </c>
    </row>
    <row r="991" spans="2:4" x14ac:dyDescent="0.25">
      <c r="B991" s="5">
        <v>44530</v>
      </c>
      <c r="C991">
        <v>-1.7942548</v>
      </c>
      <c r="D991">
        <v>-2.6397645000000001</v>
      </c>
    </row>
    <row r="992" spans="2:4" x14ac:dyDescent="0.25">
      <c r="B992" s="5">
        <v>44529</v>
      </c>
      <c r="C992">
        <v>2.1081089999999998</v>
      </c>
      <c r="D992">
        <v>-1.007098</v>
      </c>
    </row>
    <row r="993" spans="2:4" x14ac:dyDescent="0.25">
      <c r="B993" s="5">
        <v>44526</v>
      </c>
      <c r="C993">
        <v>-2.435565</v>
      </c>
      <c r="D993">
        <v>-5.5021048000000003E-2</v>
      </c>
    </row>
    <row r="994" spans="2:4" x14ac:dyDescent="0.25">
      <c r="B994" s="5">
        <v>44524</v>
      </c>
      <c r="C994">
        <v>6.8116189999999993E-2</v>
      </c>
      <c r="D994">
        <v>-0.62919855000000002</v>
      </c>
    </row>
    <row r="995" spans="2:4" x14ac:dyDescent="0.25">
      <c r="B995" s="5">
        <v>44523</v>
      </c>
      <c r="C995">
        <v>-0.63266754000000003</v>
      </c>
      <c r="D995">
        <v>-0.46792625999999998</v>
      </c>
    </row>
    <row r="996" spans="2:4" x14ac:dyDescent="0.25">
      <c r="B996" s="5">
        <v>44522</v>
      </c>
      <c r="C996">
        <v>-0.95596312999999999</v>
      </c>
      <c r="D996">
        <v>-2.0070492999999998</v>
      </c>
    </row>
    <row r="997" spans="2:4" x14ac:dyDescent="0.25">
      <c r="B997" s="5">
        <v>44519</v>
      </c>
      <c r="C997">
        <v>0.53915979999999997</v>
      </c>
      <c r="D997">
        <v>0.37264824000000002</v>
      </c>
    </row>
    <row r="998" spans="2:4" x14ac:dyDescent="0.25">
      <c r="B998" s="5">
        <v>44518</v>
      </c>
      <c r="C998">
        <v>0.63399075999999999</v>
      </c>
      <c r="D998">
        <v>0.46087503000000002</v>
      </c>
    </row>
    <row r="999" spans="2:4" x14ac:dyDescent="0.25">
      <c r="B999" s="5">
        <v>44517</v>
      </c>
      <c r="C999">
        <v>-0.11487603</v>
      </c>
      <c r="D999">
        <v>-2.0782888000000002</v>
      </c>
    </row>
    <row r="1000" spans="2:4" x14ac:dyDescent="0.25">
      <c r="B1000" s="5">
        <v>44516</v>
      </c>
      <c r="C1000">
        <v>1.0236025</v>
      </c>
      <c r="D1000">
        <v>-0.77930690000000002</v>
      </c>
    </row>
    <row r="1001" spans="2:4" x14ac:dyDescent="0.25">
      <c r="B1001" s="5">
        <v>44515</v>
      </c>
      <c r="C1001">
        <v>-0.1930356</v>
      </c>
      <c r="D1001">
        <v>1.0761738000000001</v>
      </c>
    </row>
    <row r="1002" spans="2:4" x14ac:dyDescent="0.25">
      <c r="B1002" s="5">
        <v>44512</v>
      </c>
      <c r="C1002">
        <v>1.2905002000000001</v>
      </c>
      <c r="D1002">
        <v>-0.60178640000000005</v>
      </c>
    </row>
    <row r="1003" spans="2:4" x14ac:dyDescent="0.25">
      <c r="B1003" s="5">
        <v>44511</v>
      </c>
      <c r="C1003">
        <v>0.49275160000000001</v>
      </c>
      <c r="D1003">
        <v>-1.3786018</v>
      </c>
    </row>
    <row r="1004" spans="2:4" x14ac:dyDescent="0.25">
      <c r="B1004" s="5">
        <v>44510</v>
      </c>
      <c r="C1004">
        <v>-1.5329718999999999</v>
      </c>
      <c r="D1004">
        <v>-0.56972504000000002</v>
      </c>
    </row>
    <row r="1005" spans="2:4" x14ac:dyDescent="0.25">
      <c r="B1005" s="5">
        <v>44509</v>
      </c>
      <c r="C1005">
        <v>-0.30860900000000002</v>
      </c>
      <c r="D1005">
        <v>0.70236920000000003</v>
      </c>
    </row>
    <row r="1006" spans="2:4" x14ac:dyDescent="0.25">
      <c r="B1006" s="5">
        <v>44508</v>
      </c>
      <c r="C1006">
        <v>0.27673244000000002</v>
      </c>
      <c r="D1006">
        <v>0.2310276</v>
      </c>
    </row>
    <row r="1007" spans="2:4" x14ac:dyDescent="0.25">
      <c r="B1007" s="5">
        <v>44505</v>
      </c>
      <c r="C1007">
        <v>-0.1129508</v>
      </c>
      <c r="D1007">
        <v>-0.62494280000000002</v>
      </c>
    </row>
    <row r="1008" spans="2:4" x14ac:dyDescent="0.25">
      <c r="B1008" s="5">
        <v>44504</v>
      </c>
      <c r="C1008">
        <v>0.73053836999999999</v>
      </c>
      <c r="D1008">
        <v>1.3238311</v>
      </c>
    </row>
    <row r="1009" spans="2:4" x14ac:dyDescent="0.25">
      <c r="B1009" s="5">
        <v>44503</v>
      </c>
      <c r="C1009">
        <v>0.2611637</v>
      </c>
      <c r="D1009">
        <v>7.2884560000000001E-2</v>
      </c>
    </row>
    <row r="1010" spans="2:4" x14ac:dyDescent="0.25">
      <c r="B1010" s="5">
        <v>44502</v>
      </c>
      <c r="C1010">
        <v>1.141572</v>
      </c>
      <c r="D1010">
        <v>1.2525439</v>
      </c>
    </row>
    <row r="1011" spans="2:4" x14ac:dyDescent="0.25">
      <c r="B1011" s="5">
        <v>44501</v>
      </c>
      <c r="C1011">
        <v>-0.67848562999999995</v>
      </c>
      <c r="D1011">
        <v>1.1668563000000001</v>
      </c>
    </row>
    <row r="1012" spans="2:4" x14ac:dyDescent="0.25">
      <c r="B1012" s="5">
        <v>44498</v>
      </c>
      <c r="C1012">
        <v>2.2413970000000001</v>
      </c>
      <c r="D1012">
        <v>-1.3030470000000001</v>
      </c>
    </row>
    <row r="1013" spans="2:4" x14ac:dyDescent="0.25">
      <c r="B1013" s="5">
        <v>44497</v>
      </c>
      <c r="C1013">
        <v>0.36512612999999999</v>
      </c>
      <c r="D1013">
        <v>0.27695893999999999</v>
      </c>
    </row>
    <row r="1014" spans="2:4" x14ac:dyDescent="0.25">
      <c r="B1014" s="5">
        <v>44496</v>
      </c>
      <c r="C1014">
        <v>4.2114140000000004</v>
      </c>
      <c r="D1014">
        <v>-0.15513300999999999</v>
      </c>
    </row>
    <row r="1015" spans="2:4" x14ac:dyDescent="0.25">
      <c r="B1015" s="5">
        <v>44495</v>
      </c>
      <c r="C1015">
        <v>0.64257383000000001</v>
      </c>
      <c r="D1015">
        <v>0.39007663999999997</v>
      </c>
    </row>
    <row r="1016" spans="2:4" x14ac:dyDescent="0.25">
      <c r="B1016" s="5">
        <v>44494</v>
      </c>
      <c r="C1016">
        <v>-0.33316015999999998</v>
      </c>
      <c r="D1016">
        <v>-1.3476908000000001</v>
      </c>
    </row>
    <row r="1017" spans="2:4" x14ac:dyDescent="0.25">
      <c r="B1017" s="5">
        <v>44491</v>
      </c>
      <c r="C1017">
        <v>-0.51487090000000002</v>
      </c>
      <c r="D1017">
        <v>-0.43956040000000002</v>
      </c>
    </row>
    <row r="1018" spans="2:4" x14ac:dyDescent="0.25">
      <c r="B1018" s="5">
        <v>44490</v>
      </c>
      <c r="C1018">
        <v>1.0897517000000001</v>
      </c>
      <c r="D1018">
        <v>0.29530525000000002</v>
      </c>
    </row>
    <row r="1019" spans="2:4" x14ac:dyDescent="0.25">
      <c r="B1019" s="5">
        <v>44489</v>
      </c>
      <c r="C1019">
        <v>-0.26603937</v>
      </c>
      <c r="D1019">
        <v>-2.4790584999999998</v>
      </c>
    </row>
    <row r="1020" spans="2:4" x14ac:dyDescent="0.25">
      <c r="B1020" s="5">
        <v>44488</v>
      </c>
      <c r="C1020">
        <v>0.30590296</v>
      </c>
      <c r="D1020">
        <v>2.0054340000000002</v>
      </c>
    </row>
    <row r="1021" spans="2:4" x14ac:dyDescent="0.25">
      <c r="B1021" s="5">
        <v>44487</v>
      </c>
      <c r="C1021">
        <v>1.0124683000000001</v>
      </c>
      <c r="D1021">
        <v>-3.4463406000000002E-2</v>
      </c>
    </row>
    <row r="1022" spans="2:4" x14ac:dyDescent="0.25">
      <c r="B1022" s="5">
        <v>44484</v>
      </c>
      <c r="C1022">
        <v>0.48223734000000001</v>
      </c>
      <c r="D1022">
        <v>1.2720823000000001</v>
      </c>
    </row>
    <row r="1023" spans="2:4" x14ac:dyDescent="0.25">
      <c r="B1023" s="5">
        <v>44483</v>
      </c>
      <c r="C1023">
        <v>2.1734</v>
      </c>
      <c r="D1023">
        <v>-0.89074969999999998</v>
      </c>
    </row>
    <row r="1024" spans="2:4" x14ac:dyDescent="0.25">
      <c r="B1024" s="5">
        <v>44482</v>
      </c>
      <c r="C1024">
        <v>1.1711240000000001</v>
      </c>
      <c r="D1024">
        <v>1.6963481999999998E-2</v>
      </c>
    </row>
    <row r="1025" spans="2:4" x14ac:dyDescent="0.25">
      <c r="B1025" s="5">
        <v>44481</v>
      </c>
      <c r="C1025">
        <v>-0.45882463000000001</v>
      </c>
      <c r="D1025">
        <v>0.64989330000000001</v>
      </c>
    </row>
    <row r="1026" spans="2:4" x14ac:dyDescent="0.25">
      <c r="B1026" s="5">
        <v>44480</v>
      </c>
      <c r="C1026">
        <v>-0.21027327000000001</v>
      </c>
      <c r="D1026">
        <v>-0.31965969999999999</v>
      </c>
    </row>
    <row r="1027" spans="2:4" x14ac:dyDescent="0.25">
      <c r="B1027" s="5">
        <v>44477</v>
      </c>
      <c r="C1027">
        <v>0</v>
      </c>
      <c r="D1027">
        <v>1.1162281000000001</v>
      </c>
    </row>
    <row r="1028" spans="2:4" x14ac:dyDescent="0.25">
      <c r="B1028" s="5">
        <v>44476</v>
      </c>
      <c r="C1028">
        <v>0.59363840000000001</v>
      </c>
      <c r="D1028">
        <v>2.1963357999999999</v>
      </c>
    </row>
    <row r="1029" spans="2:4" x14ac:dyDescent="0.25">
      <c r="B1029" s="5">
        <v>44475</v>
      </c>
      <c r="C1029">
        <v>1.5064359</v>
      </c>
      <c r="D1029">
        <v>-1.0611474999999999</v>
      </c>
    </row>
    <row r="1030" spans="2:4" x14ac:dyDescent="0.25">
      <c r="B1030" s="5">
        <v>44474</v>
      </c>
      <c r="C1030">
        <v>1.9956946</v>
      </c>
      <c r="D1030">
        <v>8.2647799999999993E-2</v>
      </c>
    </row>
    <row r="1031" spans="2:4" x14ac:dyDescent="0.25">
      <c r="B1031" s="5">
        <v>44473</v>
      </c>
      <c r="C1031">
        <v>-2.0719528</v>
      </c>
      <c r="D1031">
        <v>0.23713112</v>
      </c>
    </row>
    <row r="1032" spans="2:4" x14ac:dyDescent="0.25">
      <c r="B1032" s="5">
        <v>44470</v>
      </c>
      <c r="C1032">
        <v>2.5468229999999998</v>
      </c>
      <c r="D1032">
        <v>1.6627908</v>
      </c>
    </row>
    <row r="1033" spans="2:4" x14ac:dyDescent="0.25">
      <c r="B1033" s="5">
        <v>44469</v>
      </c>
      <c r="C1033">
        <v>-0.73239209999999999</v>
      </c>
      <c r="D1033">
        <v>2.5331974E-2</v>
      </c>
    </row>
    <row r="1034" spans="2:4" x14ac:dyDescent="0.25">
      <c r="B1034" s="5">
        <v>44468</v>
      </c>
      <c r="C1034">
        <v>0.16930102999999999</v>
      </c>
      <c r="D1034">
        <v>-0.17634034000000001</v>
      </c>
    </row>
    <row r="1035" spans="2:4" x14ac:dyDescent="0.25">
      <c r="B1035" s="5">
        <v>44467</v>
      </c>
      <c r="C1035">
        <v>-3.6203623</v>
      </c>
      <c r="D1035">
        <v>-1.9158124999999999</v>
      </c>
    </row>
    <row r="1036" spans="2:4" x14ac:dyDescent="0.25">
      <c r="B1036" s="5">
        <v>44466</v>
      </c>
      <c r="C1036">
        <v>-1.7304122</v>
      </c>
      <c r="D1036">
        <v>-1.3261795000000001</v>
      </c>
    </row>
    <row r="1037" spans="2:4" x14ac:dyDescent="0.25">
      <c r="B1037" s="5">
        <v>44463</v>
      </c>
      <c r="C1037">
        <v>-7.010102E-2</v>
      </c>
      <c r="D1037">
        <v>-1.131165</v>
      </c>
    </row>
    <row r="1038" spans="2:4" x14ac:dyDescent="0.25">
      <c r="B1038" s="5">
        <v>44462</v>
      </c>
      <c r="C1038">
        <v>0.32821894000000001</v>
      </c>
      <c r="D1038">
        <v>1.0419369000000001</v>
      </c>
    </row>
    <row r="1039" spans="2:4" x14ac:dyDescent="0.25">
      <c r="B1039" s="5">
        <v>44461</v>
      </c>
      <c r="C1039">
        <v>1.282227</v>
      </c>
      <c r="D1039">
        <v>-0.54590700000000003</v>
      </c>
    </row>
    <row r="1040" spans="2:4" x14ac:dyDescent="0.25">
      <c r="B1040" s="5">
        <v>44460</v>
      </c>
      <c r="C1040">
        <v>0.16989708000000001</v>
      </c>
      <c r="D1040">
        <v>3.7617207000000001</v>
      </c>
    </row>
    <row r="1041" spans="2:4" x14ac:dyDescent="0.25">
      <c r="B1041" s="5">
        <v>44459</v>
      </c>
      <c r="C1041">
        <v>-1.8574714999999999</v>
      </c>
      <c r="D1041">
        <v>-0.53036810000000001</v>
      </c>
    </row>
    <row r="1042" spans="2:4" x14ac:dyDescent="0.25">
      <c r="B1042" s="5">
        <v>44456</v>
      </c>
      <c r="C1042">
        <v>-1.7528355</v>
      </c>
      <c r="D1042">
        <v>-2.1473825</v>
      </c>
    </row>
    <row r="1043" spans="2:4" x14ac:dyDescent="0.25">
      <c r="B1043" s="5">
        <v>44455</v>
      </c>
      <c r="C1043">
        <v>0.13122559</v>
      </c>
      <c r="D1043">
        <v>-0.22495388999999999</v>
      </c>
    </row>
    <row r="1044" spans="2:4" x14ac:dyDescent="0.25">
      <c r="B1044" s="5">
        <v>44454</v>
      </c>
      <c r="C1044">
        <v>1.677835</v>
      </c>
      <c r="D1044">
        <v>0.18991232</v>
      </c>
    </row>
    <row r="1045" spans="2:4" x14ac:dyDescent="0.25">
      <c r="B1045" s="5">
        <v>44453</v>
      </c>
      <c r="C1045">
        <v>0.94280240000000004</v>
      </c>
      <c r="D1045">
        <v>2.7000903999999999E-2</v>
      </c>
    </row>
    <row r="1046" spans="2:4" x14ac:dyDescent="0.25">
      <c r="B1046" s="5">
        <v>44452</v>
      </c>
      <c r="C1046">
        <v>0.43286085000000002</v>
      </c>
      <c r="D1046">
        <v>-0.76531769999999999</v>
      </c>
    </row>
    <row r="1047" spans="2:4" x14ac:dyDescent="0.25">
      <c r="B1047" s="5">
        <v>44449</v>
      </c>
      <c r="C1047">
        <v>-0.51808359999999998</v>
      </c>
      <c r="D1047">
        <v>-0.86138844000000003</v>
      </c>
    </row>
    <row r="1048" spans="2:4" x14ac:dyDescent="0.25">
      <c r="B1048" s="5">
        <v>44448</v>
      </c>
      <c r="C1048">
        <v>-0.98597409999999996</v>
      </c>
      <c r="D1048">
        <v>-0.22972226000000001</v>
      </c>
    </row>
    <row r="1049" spans="2:4" x14ac:dyDescent="0.25">
      <c r="B1049" s="5">
        <v>44447</v>
      </c>
      <c r="C1049">
        <v>9.9897379999999997E-3</v>
      </c>
      <c r="D1049">
        <v>-1.0682404000000001</v>
      </c>
    </row>
    <row r="1050" spans="2:4" x14ac:dyDescent="0.25">
      <c r="B1050" s="5">
        <v>44446</v>
      </c>
      <c r="C1050">
        <v>-0.31879543999999999</v>
      </c>
      <c r="D1050">
        <v>4.3821335000000003E-2</v>
      </c>
    </row>
    <row r="1051" spans="2:4" x14ac:dyDescent="0.25">
      <c r="B1051" s="5">
        <v>44442</v>
      </c>
      <c r="C1051">
        <v>-3.3140181999999998E-3</v>
      </c>
      <c r="D1051">
        <v>-9.2244149999999997E-2</v>
      </c>
    </row>
    <row r="1052" spans="2:4" x14ac:dyDescent="0.25">
      <c r="B1052" s="5">
        <v>44441</v>
      </c>
      <c r="C1052">
        <v>-0.22528767999999999</v>
      </c>
      <c r="D1052">
        <v>-0.60195326999999998</v>
      </c>
    </row>
    <row r="1053" spans="2:4" x14ac:dyDescent="0.25">
      <c r="B1053" s="5">
        <v>44440</v>
      </c>
      <c r="C1053">
        <v>-1.6570090999999999E-2</v>
      </c>
      <c r="D1053">
        <v>0.93485116999999995</v>
      </c>
    </row>
    <row r="1054" spans="2:4" x14ac:dyDescent="0.25">
      <c r="B1054" s="5">
        <v>44439</v>
      </c>
      <c r="C1054">
        <v>-0.56325793000000002</v>
      </c>
      <c r="D1054">
        <v>-2.0320952000000001</v>
      </c>
    </row>
    <row r="1055" spans="2:4" x14ac:dyDescent="0.25">
      <c r="B1055" s="5">
        <v>44438</v>
      </c>
      <c r="C1055">
        <v>1.2912034999999999</v>
      </c>
      <c r="D1055">
        <v>0.37940740000000001</v>
      </c>
    </row>
    <row r="1056" spans="2:4" x14ac:dyDescent="0.25">
      <c r="B1056" s="5">
        <v>44435</v>
      </c>
      <c r="C1056">
        <v>0.21064281000000001</v>
      </c>
      <c r="D1056">
        <v>0.70790050000000004</v>
      </c>
    </row>
    <row r="1057" spans="2:4" x14ac:dyDescent="0.25">
      <c r="B1057" s="5">
        <v>44434</v>
      </c>
      <c r="C1057">
        <v>-0.96685885999999999</v>
      </c>
      <c r="D1057">
        <v>-0.21021962</v>
      </c>
    </row>
    <row r="1058" spans="2:4" x14ac:dyDescent="0.25">
      <c r="B1058" s="5">
        <v>44433</v>
      </c>
      <c r="C1058">
        <v>-0.20157099000000001</v>
      </c>
      <c r="D1058">
        <v>-0.91061590000000003</v>
      </c>
    </row>
    <row r="1059" spans="2:4" x14ac:dyDescent="0.25">
      <c r="B1059" s="5">
        <v>44432</v>
      </c>
      <c r="C1059">
        <v>-0.66633819999999999</v>
      </c>
      <c r="D1059">
        <v>-0.55586100000000005</v>
      </c>
    </row>
    <row r="1060" spans="2:4" x14ac:dyDescent="0.25">
      <c r="B1060" s="5">
        <v>44431</v>
      </c>
      <c r="C1060">
        <v>9.5283985000000002E-2</v>
      </c>
      <c r="D1060">
        <v>0.21903515000000001</v>
      </c>
    </row>
    <row r="1061" spans="2:4" x14ac:dyDescent="0.25">
      <c r="B1061" s="5">
        <v>44428</v>
      </c>
      <c r="C1061">
        <v>2.5575399999999999</v>
      </c>
      <c r="D1061">
        <v>0.60601234000000004</v>
      </c>
    </row>
    <row r="1062" spans="2:4" x14ac:dyDescent="0.25">
      <c r="B1062" s="5">
        <v>44427</v>
      </c>
      <c r="C1062">
        <v>2.0775199999999998</v>
      </c>
      <c r="D1062">
        <v>-8.1479549999999998E-2</v>
      </c>
    </row>
    <row r="1063" spans="2:4" x14ac:dyDescent="0.25">
      <c r="B1063" s="5">
        <v>44426</v>
      </c>
      <c r="C1063">
        <v>-0.80181955999999999</v>
      </c>
      <c r="D1063">
        <v>0.79674719999999999</v>
      </c>
    </row>
    <row r="1064" spans="2:4" x14ac:dyDescent="0.25">
      <c r="B1064" s="5">
        <v>44425</v>
      </c>
      <c r="C1064">
        <v>-0.51596165000000005</v>
      </c>
      <c r="D1064">
        <v>0.36695003999999998</v>
      </c>
    </row>
    <row r="1065" spans="2:4" x14ac:dyDescent="0.25">
      <c r="B1065" s="5">
        <v>44424</v>
      </c>
      <c r="C1065">
        <v>0.59757229999999995</v>
      </c>
      <c r="D1065">
        <v>2.9695033999999999E-2</v>
      </c>
    </row>
    <row r="1066" spans="2:4" x14ac:dyDescent="0.25">
      <c r="B1066" s="5">
        <v>44421</v>
      </c>
      <c r="C1066">
        <v>1.0489702000000001</v>
      </c>
      <c r="D1066">
        <v>0.30305386000000001</v>
      </c>
    </row>
    <row r="1067" spans="2:4" x14ac:dyDescent="0.25">
      <c r="B1067" s="5">
        <v>44420</v>
      </c>
      <c r="C1067">
        <v>0.99668500000000004</v>
      </c>
      <c r="D1067">
        <v>1.0828971999999999</v>
      </c>
    </row>
    <row r="1068" spans="2:4" x14ac:dyDescent="0.25">
      <c r="B1068" s="5">
        <v>44419</v>
      </c>
      <c r="C1068">
        <v>0.17805099999999999</v>
      </c>
      <c r="D1068">
        <v>1.276648</v>
      </c>
    </row>
    <row r="1069" spans="2:4" x14ac:dyDescent="0.25">
      <c r="B1069" s="5">
        <v>44418</v>
      </c>
      <c r="C1069">
        <v>-0.65549610000000003</v>
      </c>
      <c r="D1069">
        <v>-0.31644702000000002</v>
      </c>
    </row>
    <row r="1070" spans="2:4" x14ac:dyDescent="0.25">
      <c r="B1070" s="5">
        <v>44417</v>
      </c>
      <c r="C1070">
        <v>-0.39038657999999998</v>
      </c>
      <c r="D1070">
        <v>0.84522960000000003</v>
      </c>
    </row>
    <row r="1071" spans="2:4" x14ac:dyDescent="0.25">
      <c r="B1071" s="5">
        <v>44414</v>
      </c>
      <c r="C1071">
        <v>-2.0724534999999999E-2</v>
      </c>
      <c r="D1071">
        <v>-0.13971924999999999</v>
      </c>
    </row>
    <row r="1072" spans="2:4" x14ac:dyDescent="0.25">
      <c r="B1072" s="5">
        <v>44413</v>
      </c>
      <c r="C1072">
        <v>1.0505675999999999</v>
      </c>
      <c r="D1072">
        <v>0.3951192</v>
      </c>
    </row>
    <row r="1073" spans="2:4" x14ac:dyDescent="0.25">
      <c r="B1073" s="5">
        <v>44412</v>
      </c>
      <c r="C1073">
        <v>-0.21244884</v>
      </c>
      <c r="D1073">
        <v>1.0629653999999999</v>
      </c>
    </row>
    <row r="1074" spans="2:4" x14ac:dyDescent="0.25">
      <c r="B1074" s="5">
        <v>44411</v>
      </c>
      <c r="C1074">
        <v>0.80752369999999996</v>
      </c>
      <c r="D1074">
        <v>-1.2428939000000001</v>
      </c>
    </row>
    <row r="1075" spans="2:4" x14ac:dyDescent="0.25">
      <c r="B1075" s="5">
        <v>44410</v>
      </c>
      <c r="C1075">
        <v>-3.1590460000000001E-2</v>
      </c>
      <c r="D1075">
        <v>0.76768400000000003</v>
      </c>
    </row>
    <row r="1076" spans="2:4" x14ac:dyDescent="0.25">
      <c r="B1076" s="5">
        <v>44407</v>
      </c>
      <c r="C1076">
        <v>-0.55497289999999999</v>
      </c>
      <c r="D1076">
        <v>-1.4483154</v>
      </c>
    </row>
    <row r="1077" spans="2:4" x14ac:dyDescent="0.25">
      <c r="B1077" s="5">
        <v>44406</v>
      </c>
      <c r="C1077">
        <v>9.7823140000000003E-2</v>
      </c>
      <c r="D1077">
        <v>2.4457692999999998</v>
      </c>
    </row>
    <row r="1078" spans="2:4" x14ac:dyDescent="0.25">
      <c r="B1078" s="5">
        <v>44405</v>
      </c>
      <c r="C1078">
        <v>-0.11168122</v>
      </c>
      <c r="D1078">
        <v>-2.3458003999999999</v>
      </c>
    </row>
    <row r="1079" spans="2:4" x14ac:dyDescent="0.25">
      <c r="B1079" s="5">
        <v>44404</v>
      </c>
      <c r="C1079">
        <v>-0.86835620000000002</v>
      </c>
      <c r="D1079">
        <v>-1.0954379999999999</v>
      </c>
    </row>
    <row r="1080" spans="2:4" x14ac:dyDescent="0.25">
      <c r="B1080" s="5">
        <v>44403</v>
      </c>
      <c r="C1080">
        <v>-0.21404624</v>
      </c>
      <c r="D1080">
        <v>-1.5072285999999999</v>
      </c>
    </row>
    <row r="1081" spans="2:4" x14ac:dyDescent="0.25">
      <c r="B1081" s="5">
        <v>44400</v>
      </c>
      <c r="C1081">
        <v>1.2336612</v>
      </c>
      <c r="D1081">
        <v>0.9671807</v>
      </c>
    </row>
    <row r="1082" spans="2:4" x14ac:dyDescent="0.25">
      <c r="B1082" s="5">
        <v>44399</v>
      </c>
      <c r="C1082">
        <v>1.6844391999999999</v>
      </c>
      <c r="D1082">
        <v>1.4590263000000001</v>
      </c>
    </row>
    <row r="1083" spans="2:4" x14ac:dyDescent="0.25">
      <c r="B1083" s="5">
        <v>44398</v>
      </c>
      <c r="C1083">
        <v>0.74466467000000003</v>
      </c>
      <c r="D1083">
        <v>1.1346817</v>
      </c>
    </row>
    <row r="1084" spans="2:4" x14ac:dyDescent="0.25">
      <c r="B1084" s="5">
        <v>44397</v>
      </c>
      <c r="C1084">
        <v>0.83390474000000003</v>
      </c>
      <c r="D1084">
        <v>-0.39915442000000001</v>
      </c>
    </row>
    <row r="1085" spans="2:4" x14ac:dyDescent="0.25">
      <c r="B1085" s="5">
        <v>44396</v>
      </c>
      <c r="C1085">
        <v>-1.3321400000000001</v>
      </c>
      <c r="D1085">
        <v>-0.69100857000000004</v>
      </c>
    </row>
    <row r="1086" spans="2:4" x14ac:dyDescent="0.25">
      <c r="B1086" s="5">
        <v>44393</v>
      </c>
      <c r="C1086">
        <v>-9.9635124000000005E-2</v>
      </c>
      <c r="D1086">
        <v>-0.25404095999999998</v>
      </c>
    </row>
    <row r="1087" spans="2:4" x14ac:dyDescent="0.25">
      <c r="B1087" s="5">
        <v>44392</v>
      </c>
      <c r="C1087">
        <v>-0.52387713999999996</v>
      </c>
      <c r="D1087">
        <v>-0.83148480000000002</v>
      </c>
    </row>
    <row r="1088" spans="2:4" x14ac:dyDescent="0.25">
      <c r="B1088" s="5">
        <v>44391</v>
      </c>
      <c r="C1088">
        <v>0.54452420000000001</v>
      </c>
      <c r="D1088">
        <v>-1.1707306</v>
      </c>
    </row>
    <row r="1089" spans="2:4" x14ac:dyDescent="0.25">
      <c r="B1089" s="5">
        <v>44390</v>
      </c>
      <c r="C1089">
        <v>1.3197779999999999</v>
      </c>
      <c r="D1089">
        <v>-0.23052096</v>
      </c>
    </row>
    <row r="1090" spans="2:4" x14ac:dyDescent="0.25">
      <c r="B1090" s="5">
        <v>44389</v>
      </c>
      <c r="C1090">
        <v>-0.22307038000000001</v>
      </c>
      <c r="D1090">
        <v>1.4490843</v>
      </c>
    </row>
    <row r="1091" spans="2:4" x14ac:dyDescent="0.25">
      <c r="B1091" s="5">
        <v>44386</v>
      </c>
      <c r="C1091">
        <v>0.18743277</v>
      </c>
      <c r="D1091">
        <v>-0.29526950000000002</v>
      </c>
    </row>
    <row r="1092" spans="2:4" x14ac:dyDescent="0.25">
      <c r="B1092" s="5">
        <v>44385</v>
      </c>
      <c r="C1092">
        <v>-0.89664460000000001</v>
      </c>
      <c r="D1092">
        <v>-2.0007489999999999</v>
      </c>
    </row>
    <row r="1093" spans="2:4" x14ac:dyDescent="0.25">
      <c r="B1093" s="5">
        <v>44384</v>
      </c>
      <c r="C1093">
        <v>0.81753730000000002</v>
      </c>
      <c r="D1093">
        <v>0.58802365999999995</v>
      </c>
    </row>
    <row r="1094" spans="2:4" x14ac:dyDescent="0.25">
      <c r="B1094" s="5">
        <v>44383</v>
      </c>
      <c r="C1094">
        <v>3.6001204999999998E-3</v>
      </c>
      <c r="D1094">
        <v>-0.38011669999999997</v>
      </c>
    </row>
    <row r="1095" spans="2:4" x14ac:dyDescent="0.25">
      <c r="B1095" s="5">
        <v>44379</v>
      </c>
      <c r="C1095">
        <v>2.2275328999999999</v>
      </c>
      <c r="D1095">
        <v>0.57188269999999997</v>
      </c>
    </row>
    <row r="1096" spans="2:4" x14ac:dyDescent="0.25">
      <c r="B1096" s="5">
        <v>44378</v>
      </c>
      <c r="C1096">
        <v>0.25839805999999998</v>
      </c>
      <c r="D1096">
        <v>-0.2980411</v>
      </c>
    </row>
    <row r="1097" spans="2:4" x14ac:dyDescent="0.25">
      <c r="B1097" s="5">
        <v>44377</v>
      </c>
      <c r="C1097">
        <v>-0.18423200000000001</v>
      </c>
      <c r="D1097">
        <v>-1.5567422</v>
      </c>
    </row>
    <row r="1098" spans="2:4" x14ac:dyDescent="0.25">
      <c r="B1098" s="5">
        <v>44376</v>
      </c>
      <c r="C1098">
        <v>0.99731683999999998</v>
      </c>
      <c r="D1098">
        <v>0.46045779999999997</v>
      </c>
    </row>
    <row r="1099" spans="2:4" x14ac:dyDescent="0.25">
      <c r="B1099" s="5">
        <v>44375</v>
      </c>
      <c r="C1099">
        <v>1.3961315000000001</v>
      </c>
      <c r="D1099">
        <v>-0.23870468</v>
      </c>
    </row>
    <row r="1100" spans="2:4" x14ac:dyDescent="0.25">
      <c r="B1100" s="5">
        <v>44372</v>
      </c>
      <c r="C1100">
        <v>-0.62620043999999997</v>
      </c>
      <c r="D1100">
        <v>0.30704736999999999</v>
      </c>
    </row>
    <row r="1101" spans="2:4" x14ac:dyDescent="0.25">
      <c r="B1101" s="5">
        <v>44371</v>
      </c>
      <c r="C1101">
        <v>0.5334139</v>
      </c>
      <c r="D1101">
        <v>1.0152935999999999</v>
      </c>
    </row>
    <row r="1102" spans="2:4" x14ac:dyDescent="0.25">
      <c r="B1102" s="5">
        <v>44370</v>
      </c>
      <c r="C1102">
        <v>-8.8512900000000005E-2</v>
      </c>
      <c r="D1102">
        <v>-1.0439335999999999</v>
      </c>
    </row>
    <row r="1103" spans="2:4" x14ac:dyDescent="0.25">
      <c r="B1103" s="5">
        <v>44369</v>
      </c>
      <c r="C1103">
        <v>1.0966062999999999</v>
      </c>
      <c r="D1103">
        <v>0.169456</v>
      </c>
    </row>
    <row r="1104" spans="2:4" x14ac:dyDescent="0.25">
      <c r="B1104" s="5">
        <v>44368</v>
      </c>
      <c r="C1104">
        <v>1.2334824</v>
      </c>
      <c r="D1104">
        <v>2.508521</v>
      </c>
    </row>
    <row r="1105" spans="2:4" x14ac:dyDescent="0.25">
      <c r="B1105" s="5">
        <v>44365</v>
      </c>
      <c r="C1105">
        <v>-0.56343675000000004</v>
      </c>
      <c r="D1105">
        <v>-9.9879499999999996E-2</v>
      </c>
    </row>
    <row r="1106" spans="2:4" x14ac:dyDescent="0.25">
      <c r="B1106" s="5">
        <v>44364</v>
      </c>
      <c r="C1106">
        <v>1.3676286</v>
      </c>
      <c r="D1106">
        <v>1.2454628999999999</v>
      </c>
    </row>
    <row r="1107" spans="2:4" x14ac:dyDescent="0.25">
      <c r="B1107" s="5">
        <v>44363</v>
      </c>
      <c r="C1107">
        <v>-0.37930607999999999</v>
      </c>
      <c r="D1107">
        <v>0.54774283999999995</v>
      </c>
    </row>
    <row r="1108" spans="2:4" x14ac:dyDescent="0.25">
      <c r="B1108" s="5">
        <v>44362</v>
      </c>
      <c r="C1108">
        <v>-0.58872104000000003</v>
      </c>
      <c r="D1108">
        <v>1.3621806999999999</v>
      </c>
    </row>
    <row r="1109" spans="2:4" x14ac:dyDescent="0.25">
      <c r="B1109" s="5">
        <v>44361</v>
      </c>
      <c r="C1109">
        <v>0.77552794999999997</v>
      </c>
      <c r="D1109">
        <v>2.0830153999999999</v>
      </c>
    </row>
    <row r="1110" spans="2:4" x14ac:dyDescent="0.25">
      <c r="B1110" s="5">
        <v>44358</v>
      </c>
      <c r="C1110">
        <v>0.25268793000000001</v>
      </c>
      <c r="D1110">
        <v>0.46323537999999997</v>
      </c>
    </row>
    <row r="1111" spans="2:4" x14ac:dyDescent="0.25">
      <c r="B1111" s="5">
        <v>44357</v>
      </c>
      <c r="C1111">
        <v>1.439333</v>
      </c>
      <c r="D1111">
        <v>3.902912E-2</v>
      </c>
    </row>
    <row r="1112" spans="2:4" x14ac:dyDescent="0.25">
      <c r="B1112" s="5">
        <v>44356</v>
      </c>
      <c r="C1112">
        <v>0.40384530000000002</v>
      </c>
      <c r="D1112">
        <v>-1.3034344</v>
      </c>
    </row>
    <row r="1113" spans="2:4" x14ac:dyDescent="0.25">
      <c r="B1113" s="5">
        <v>44355</v>
      </c>
      <c r="C1113">
        <v>-0.48854946999999999</v>
      </c>
      <c r="D1113">
        <v>0.40465593</v>
      </c>
    </row>
    <row r="1114" spans="2:4" x14ac:dyDescent="0.25">
      <c r="B1114" s="5">
        <v>44354</v>
      </c>
      <c r="C1114">
        <v>1.2041926000000001</v>
      </c>
      <c r="D1114">
        <v>-2.9700994000000001E-2</v>
      </c>
    </row>
    <row r="1115" spans="2:4" x14ac:dyDescent="0.25">
      <c r="B1115" s="5">
        <v>44351</v>
      </c>
      <c r="C1115">
        <v>2.0674706</v>
      </c>
      <c r="D1115">
        <v>1.0803579999999999</v>
      </c>
    </row>
    <row r="1116" spans="2:4" x14ac:dyDescent="0.25">
      <c r="B1116" s="5">
        <v>44350</v>
      </c>
      <c r="C1116">
        <v>-0.64294340000000005</v>
      </c>
      <c r="D1116">
        <v>-0.42040348</v>
      </c>
    </row>
    <row r="1117" spans="2:4" x14ac:dyDescent="0.25">
      <c r="B1117" s="5">
        <v>44349</v>
      </c>
      <c r="C1117">
        <v>-4.0417910000000001E-2</v>
      </c>
      <c r="D1117">
        <v>-0.46353339999999998</v>
      </c>
    </row>
    <row r="1118" spans="2:4" x14ac:dyDescent="0.25">
      <c r="B1118" s="5">
        <v>44348</v>
      </c>
      <c r="C1118">
        <v>-0.91316699999999995</v>
      </c>
      <c r="D1118">
        <v>0.18409490000000001</v>
      </c>
    </row>
    <row r="1119" spans="2:4" x14ac:dyDescent="0.25">
      <c r="B1119" s="5">
        <v>44344</v>
      </c>
      <c r="C1119">
        <v>0.14840364</v>
      </c>
      <c r="D1119">
        <v>0.24707317000000001</v>
      </c>
    </row>
    <row r="1120" spans="2:4" x14ac:dyDescent="0.25">
      <c r="B1120" s="5">
        <v>44343</v>
      </c>
      <c r="C1120">
        <v>-0.8668363</v>
      </c>
      <c r="D1120">
        <v>-2.3242772</v>
      </c>
    </row>
    <row r="1121" spans="2:4" x14ac:dyDescent="0.25">
      <c r="B1121" s="5">
        <v>44342</v>
      </c>
      <c r="C1121">
        <v>-9.1367959999999998E-2</v>
      </c>
      <c r="D1121">
        <v>-0.6206393</v>
      </c>
    </row>
    <row r="1122" spans="2:4" x14ac:dyDescent="0.25">
      <c r="B1122" s="5">
        <v>44341</v>
      </c>
      <c r="C1122">
        <v>0.37482977000000001</v>
      </c>
      <c r="D1122">
        <v>0.31839610000000002</v>
      </c>
    </row>
    <row r="1123" spans="2:4" x14ac:dyDescent="0.25">
      <c r="B1123" s="5">
        <v>44340</v>
      </c>
      <c r="C1123">
        <v>2.2882104000000001</v>
      </c>
      <c r="D1123">
        <v>0.25023222000000001</v>
      </c>
    </row>
    <row r="1124" spans="2:4" x14ac:dyDescent="0.25">
      <c r="B1124" s="5">
        <v>44337</v>
      </c>
      <c r="C1124">
        <v>-0.53148269999999997</v>
      </c>
      <c r="D1124">
        <v>-1.1946559000000001</v>
      </c>
    </row>
    <row r="1125" spans="2:4" x14ac:dyDescent="0.25">
      <c r="B1125" s="5">
        <v>44336</v>
      </c>
      <c r="C1125">
        <v>1.382029</v>
      </c>
      <c r="D1125">
        <v>0.18103122999999999</v>
      </c>
    </row>
    <row r="1126" spans="2:4" x14ac:dyDescent="0.25">
      <c r="B1126" s="5">
        <v>44335</v>
      </c>
      <c r="C1126">
        <v>1.6450882E-2</v>
      </c>
      <c r="D1126">
        <v>-1.0633528000000001</v>
      </c>
    </row>
    <row r="1127" spans="2:4" x14ac:dyDescent="0.25">
      <c r="B1127" s="5">
        <v>44334</v>
      </c>
      <c r="C1127">
        <v>-0.85651279999999996</v>
      </c>
      <c r="D1127">
        <v>0.6412506</v>
      </c>
    </row>
    <row r="1128" spans="2:4" x14ac:dyDescent="0.25">
      <c r="B1128" s="5">
        <v>44333</v>
      </c>
      <c r="C1128">
        <v>-1.1968553</v>
      </c>
      <c r="D1128">
        <v>-0.3338933</v>
      </c>
    </row>
    <row r="1129" spans="2:4" x14ac:dyDescent="0.25">
      <c r="B1129" s="5">
        <v>44330</v>
      </c>
      <c r="C1129">
        <v>2.106738</v>
      </c>
      <c r="D1129">
        <v>1.9850730999999999</v>
      </c>
    </row>
    <row r="1130" spans="2:4" x14ac:dyDescent="0.25">
      <c r="B1130" s="5">
        <v>44329</v>
      </c>
      <c r="C1130">
        <v>1.6861915999999999</v>
      </c>
      <c r="D1130">
        <v>0.23757220000000001</v>
      </c>
    </row>
    <row r="1131" spans="2:4" x14ac:dyDescent="0.25">
      <c r="B1131" s="5">
        <v>44328</v>
      </c>
      <c r="C1131">
        <v>-2.9362797999999999</v>
      </c>
      <c r="D1131">
        <v>-1.2765944</v>
      </c>
    </row>
    <row r="1132" spans="2:4" x14ac:dyDescent="0.25">
      <c r="B1132" s="5">
        <v>44327</v>
      </c>
      <c r="C1132">
        <v>-0.38433669999999998</v>
      </c>
      <c r="D1132">
        <v>-2.0042002000000001</v>
      </c>
    </row>
    <row r="1133" spans="2:4" x14ac:dyDescent="0.25">
      <c r="B1133" s="5">
        <v>44326</v>
      </c>
      <c r="C1133">
        <v>-2.0914256999999998</v>
      </c>
      <c r="D1133">
        <v>0.32567977999999997</v>
      </c>
    </row>
    <row r="1134" spans="2:4" x14ac:dyDescent="0.25">
      <c r="B1134" s="5">
        <v>44323</v>
      </c>
      <c r="C1134">
        <v>1.0931850000000001</v>
      </c>
      <c r="D1134">
        <v>2.5784729999999998</v>
      </c>
    </row>
    <row r="1135" spans="2:4" x14ac:dyDescent="0.25">
      <c r="B1135" s="5">
        <v>44322</v>
      </c>
      <c r="C1135">
        <v>1.3226747999999999</v>
      </c>
      <c r="D1135">
        <v>-0.2344966</v>
      </c>
    </row>
    <row r="1136" spans="2:4" x14ac:dyDescent="0.25">
      <c r="B1136" s="5">
        <v>44321</v>
      </c>
      <c r="C1136">
        <v>-0.53270459999999997</v>
      </c>
      <c r="D1136">
        <v>-0.40295123999999999</v>
      </c>
    </row>
    <row r="1137" spans="2:4" x14ac:dyDescent="0.25">
      <c r="B1137" s="5">
        <v>44320</v>
      </c>
      <c r="C1137">
        <v>-1.6159772999999999</v>
      </c>
      <c r="D1137">
        <v>-2.8553665000000001</v>
      </c>
    </row>
    <row r="1138" spans="2:4" x14ac:dyDescent="0.25">
      <c r="B1138" s="5">
        <v>44319</v>
      </c>
      <c r="C1138">
        <v>-0.12689233</v>
      </c>
      <c r="D1138">
        <v>0.30320882999999998</v>
      </c>
    </row>
    <row r="1139" spans="2:4" x14ac:dyDescent="0.25">
      <c r="B1139" s="5">
        <v>44316</v>
      </c>
      <c r="C1139">
        <v>-0.13068914000000001</v>
      </c>
      <c r="D1139">
        <v>-0.12307762999999999</v>
      </c>
    </row>
    <row r="1140" spans="2:4" x14ac:dyDescent="0.25">
      <c r="B1140" s="5">
        <v>44315</v>
      </c>
      <c r="C1140">
        <v>-0.80531240000000004</v>
      </c>
      <c r="D1140">
        <v>1.0006428000000001</v>
      </c>
    </row>
    <row r="1141" spans="2:4" x14ac:dyDescent="0.25">
      <c r="B1141" s="5">
        <v>44314</v>
      </c>
      <c r="C1141">
        <v>-2.8285681999999999</v>
      </c>
      <c r="D1141">
        <v>-1.7740130000000001</v>
      </c>
    </row>
    <row r="1142" spans="2:4" x14ac:dyDescent="0.25">
      <c r="B1142" s="5">
        <v>44313</v>
      </c>
      <c r="C1142">
        <v>0.16058683000000001</v>
      </c>
      <c r="D1142">
        <v>-0.4916489</v>
      </c>
    </row>
    <row r="1143" spans="2:4" x14ac:dyDescent="0.25">
      <c r="B1143" s="5">
        <v>44312</v>
      </c>
      <c r="C1143">
        <v>0.15317201999999999</v>
      </c>
      <c r="D1143">
        <v>-0.85587500000000005</v>
      </c>
    </row>
    <row r="1144" spans="2:4" x14ac:dyDescent="0.25">
      <c r="B1144" s="5">
        <v>44309</v>
      </c>
      <c r="C1144">
        <v>1.5476108</v>
      </c>
      <c r="D1144">
        <v>8.7881089999999995E-2</v>
      </c>
    </row>
    <row r="1145" spans="2:4" x14ac:dyDescent="0.25">
      <c r="B1145" s="5">
        <v>44308</v>
      </c>
      <c r="C1145">
        <v>-1.308608</v>
      </c>
      <c r="D1145">
        <v>0.39509535000000001</v>
      </c>
    </row>
    <row r="1146" spans="2:4" x14ac:dyDescent="0.25">
      <c r="B1146" s="5">
        <v>44307</v>
      </c>
      <c r="C1146">
        <v>0.89831349999999999</v>
      </c>
      <c r="D1146">
        <v>-1.080662</v>
      </c>
    </row>
    <row r="1147" spans="2:4" x14ac:dyDescent="0.25">
      <c r="B1147" s="5">
        <v>44306</v>
      </c>
      <c r="C1147">
        <v>-0.18550754</v>
      </c>
      <c r="D1147">
        <v>3.7598609999999998E-2</v>
      </c>
    </row>
    <row r="1148" spans="2:4" x14ac:dyDescent="0.25">
      <c r="B1148" s="5">
        <v>44305</v>
      </c>
      <c r="C1148">
        <v>-0.76704620000000001</v>
      </c>
      <c r="D1148">
        <v>0.36789179999999999</v>
      </c>
    </row>
    <row r="1149" spans="2:4" x14ac:dyDescent="0.25">
      <c r="B1149" s="5">
        <v>44302</v>
      </c>
      <c r="C1149">
        <v>0.47783851999999999</v>
      </c>
      <c r="D1149">
        <v>-0.49367547000000001</v>
      </c>
    </row>
    <row r="1150" spans="2:4" x14ac:dyDescent="0.25">
      <c r="B1150" s="5">
        <v>44301</v>
      </c>
      <c r="C1150">
        <v>1.5298008999999999</v>
      </c>
      <c r="D1150">
        <v>2.0897387999999999E-2</v>
      </c>
    </row>
    <row r="1151" spans="2:4" x14ac:dyDescent="0.25">
      <c r="B1151" s="5">
        <v>44300</v>
      </c>
      <c r="C1151">
        <v>-1.1218965000000001</v>
      </c>
      <c r="D1151">
        <v>0.52148103999999995</v>
      </c>
    </row>
    <row r="1152" spans="2:4" x14ac:dyDescent="0.25">
      <c r="B1152" s="5">
        <v>44299</v>
      </c>
      <c r="C1152">
        <v>1.0081648999999999</v>
      </c>
      <c r="D1152">
        <v>0.62645673999999996</v>
      </c>
    </row>
    <row r="1153" spans="2:4" x14ac:dyDescent="0.25">
      <c r="B1153" s="5">
        <v>44298</v>
      </c>
      <c r="C1153">
        <v>2.3448467000000001E-2</v>
      </c>
      <c r="D1153">
        <v>-8.5693599999999995E-2</v>
      </c>
    </row>
    <row r="1154" spans="2:4" x14ac:dyDescent="0.25">
      <c r="B1154" s="5">
        <v>44295</v>
      </c>
      <c r="C1154">
        <v>1.0266542000000001</v>
      </c>
      <c r="D1154">
        <v>1.5118957</v>
      </c>
    </row>
    <row r="1155" spans="2:4" x14ac:dyDescent="0.25">
      <c r="B1155" s="5">
        <v>44294</v>
      </c>
      <c r="C1155">
        <v>1.3405442000000001</v>
      </c>
      <c r="D1155">
        <v>1.6864418999999999</v>
      </c>
    </row>
    <row r="1156" spans="2:4" x14ac:dyDescent="0.25">
      <c r="B1156" s="5">
        <v>44293</v>
      </c>
      <c r="C1156">
        <v>0.82304480000000002</v>
      </c>
      <c r="D1156">
        <v>-7.4082609999999993E-2</v>
      </c>
    </row>
    <row r="1157" spans="2:4" x14ac:dyDescent="0.25">
      <c r="B1157" s="5">
        <v>44292</v>
      </c>
      <c r="C1157">
        <v>-0.48580765999999997</v>
      </c>
      <c r="D1157">
        <v>0.83359479999999997</v>
      </c>
    </row>
    <row r="1158" spans="2:4" x14ac:dyDescent="0.25">
      <c r="B1158" s="5">
        <v>44291</v>
      </c>
      <c r="C1158">
        <v>2.7728438</v>
      </c>
      <c r="D1158">
        <v>0.32311677999999999</v>
      </c>
    </row>
    <row r="1159" spans="2:4" x14ac:dyDescent="0.25">
      <c r="B1159" s="5">
        <v>44287</v>
      </c>
      <c r="C1159">
        <v>2.7908564</v>
      </c>
      <c r="D1159">
        <v>1.1583805</v>
      </c>
    </row>
    <row r="1160" spans="2:4" x14ac:dyDescent="0.25">
      <c r="B1160" s="5">
        <v>44286</v>
      </c>
      <c r="C1160">
        <v>1.6907454</v>
      </c>
      <c r="D1160">
        <v>0.35909414000000001</v>
      </c>
    </row>
    <row r="1161" spans="2:4" x14ac:dyDescent="0.25">
      <c r="B1161" s="5">
        <v>44285</v>
      </c>
      <c r="C1161">
        <v>-1.4410794</v>
      </c>
      <c r="D1161">
        <v>0.54664610000000002</v>
      </c>
    </row>
    <row r="1162" spans="2:4" x14ac:dyDescent="0.25">
      <c r="B1162" s="5">
        <v>44284</v>
      </c>
      <c r="C1162">
        <v>-0.52435399999999999</v>
      </c>
      <c r="D1162">
        <v>-0.53210259999999998</v>
      </c>
    </row>
    <row r="1163" spans="2:4" x14ac:dyDescent="0.25">
      <c r="B1163" s="5">
        <v>44281</v>
      </c>
      <c r="C1163">
        <v>1.7818689000000001</v>
      </c>
      <c r="D1163">
        <v>2.143383</v>
      </c>
    </row>
    <row r="1164" spans="2:4" x14ac:dyDescent="0.25">
      <c r="B1164" s="5">
        <v>44280</v>
      </c>
      <c r="C1164">
        <v>-1.3250709000000001</v>
      </c>
      <c r="D1164">
        <v>0.7400274</v>
      </c>
    </row>
    <row r="1165" spans="2:4" x14ac:dyDescent="0.25">
      <c r="B1165" s="5">
        <v>44279</v>
      </c>
      <c r="C1165">
        <v>-0.89232920000000004</v>
      </c>
      <c r="D1165">
        <v>-1.1473358</v>
      </c>
    </row>
    <row r="1166" spans="2:4" x14ac:dyDescent="0.25">
      <c r="B1166" s="5">
        <v>44278</v>
      </c>
      <c r="C1166">
        <v>0.673759</v>
      </c>
      <c r="D1166">
        <v>0.59534310000000001</v>
      </c>
    </row>
    <row r="1167" spans="2:4" x14ac:dyDescent="0.25">
      <c r="B1167" s="5">
        <v>44277</v>
      </c>
      <c r="C1167">
        <v>2.4484515</v>
      </c>
      <c r="D1167">
        <v>-0.36095977000000001</v>
      </c>
    </row>
    <row r="1168" spans="2:4" x14ac:dyDescent="0.25">
      <c r="B1168" s="5">
        <v>44274</v>
      </c>
      <c r="C1168">
        <v>-0.16036629999999999</v>
      </c>
      <c r="D1168">
        <v>-1.4639914000000001</v>
      </c>
    </row>
    <row r="1169" spans="2:4" x14ac:dyDescent="0.25">
      <c r="B1169" s="5">
        <v>44273</v>
      </c>
      <c r="C1169">
        <v>-2.6662110999999999</v>
      </c>
      <c r="D1169">
        <v>9.992123E-2</v>
      </c>
    </row>
    <row r="1170" spans="2:4" x14ac:dyDescent="0.25">
      <c r="B1170" s="5">
        <v>44272</v>
      </c>
      <c r="C1170">
        <v>-0.28186440000000001</v>
      </c>
      <c r="D1170">
        <v>-2.0363449999999998</v>
      </c>
    </row>
    <row r="1171" spans="2:4" x14ac:dyDescent="0.25">
      <c r="B1171" s="5">
        <v>44271</v>
      </c>
      <c r="C1171">
        <v>1.235044</v>
      </c>
      <c r="D1171">
        <v>0.70437190000000005</v>
      </c>
    </row>
    <row r="1172" spans="2:4" x14ac:dyDescent="0.25">
      <c r="B1172" s="5">
        <v>44270</v>
      </c>
      <c r="C1172">
        <v>-0.39873122999999999</v>
      </c>
      <c r="D1172">
        <v>0.68073269999999997</v>
      </c>
    </row>
    <row r="1173" spans="2:4" x14ac:dyDescent="0.25">
      <c r="B1173" s="5">
        <v>44267</v>
      </c>
      <c r="C1173">
        <v>-0.58196186999999999</v>
      </c>
      <c r="D1173">
        <v>-0.29560924</v>
      </c>
    </row>
    <row r="1174" spans="2:4" x14ac:dyDescent="0.25">
      <c r="B1174" s="5">
        <v>44266</v>
      </c>
      <c r="C1174">
        <v>2.0265102000000002</v>
      </c>
      <c r="D1174">
        <v>2.4876833</v>
      </c>
    </row>
    <row r="1175" spans="2:4" x14ac:dyDescent="0.25">
      <c r="B1175" s="5">
        <v>44265</v>
      </c>
      <c r="C1175">
        <v>-0.58174132999999995</v>
      </c>
      <c r="D1175">
        <v>-3.8743019999999998E-4</v>
      </c>
    </row>
    <row r="1176" spans="2:4" x14ac:dyDescent="0.25">
      <c r="B1176" s="5">
        <v>44264</v>
      </c>
      <c r="C1176">
        <v>2.8101444</v>
      </c>
      <c r="D1176">
        <v>3.5454512</v>
      </c>
    </row>
    <row r="1177" spans="2:4" x14ac:dyDescent="0.25">
      <c r="B1177" s="5">
        <v>44263</v>
      </c>
      <c r="C1177">
        <v>-1.8177927</v>
      </c>
      <c r="D1177">
        <v>6.300211E-2</v>
      </c>
    </row>
    <row r="1178" spans="2:4" x14ac:dyDescent="0.25">
      <c r="B1178" s="5">
        <v>44260</v>
      </c>
      <c r="C1178">
        <v>2.1479368000000001</v>
      </c>
      <c r="D1178">
        <v>-1.7302512999999999</v>
      </c>
    </row>
    <row r="1179" spans="2:4" x14ac:dyDescent="0.25">
      <c r="B1179" s="5">
        <v>44259</v>
      </c>
      <c r="C1179">
        <v>-0.36473870000000003</v>
      </c>
      <c r="D1179">
        <v>-0.83831549999999999</v>
      </c>
    </row>
    <row r="1180" spans="2:4" x14ac:dyDescent="0.25">
      <c r="B1180" s="5">
        <v>44258</v>
      </c>
      <c r="C1180">
        <v>-2.6980816999999999</v>
      </c>
      <c r="D1180">
        <v>-0.71947574999999997</v>
      </c>
    </row>
    <row r="1181" spans="2:4" x14ac:dyDescent="0.25">
      <c r="B1181" s="5">
        <v>44257</v>
      </c>
      <c r="C1181">
        <v>-1.2956916999999999</v>
      </c>
      <c r="D1181">
        <v>-1.0494709</v>
      </c>
    </row>
    <row r="1182" spans="2:4" x14ac:dyDescent="0.25">
      <c r="B1182" s="5">
        <v>44256</v>
      </c>
      <c r="C1182">
        <v>1.9623041000000001</v>
      </c>
      <c r="D1182">
        <v>-0.38303136999999998</v>
      </c>
    </row>
    <row r="1183" spans="2:4" x14ac:dyDescent="0.25">
      <c r="B1183" s="5">
        <v>44253</v>
      </c>
      <c r="C1183">
        <v>1.4804124999999999</v>
      </c>
      <c r="D1183">
        <v>-0.33591986000000001</v>
      </c>
    </row>
    <row r="1184" spans="2:4" x14ac:dyDescent="0.25">
      <c r="B1184" s="5">
        <v>44252</v>
      </c>
      <c r="C1184">
        <v>-2.3704945999999998</v>
      </c>
      <c r="D1184">
        <v>1.0617733</v>
      </c>
    </row>
    <row r="1185" spans="2:4" x14ac:dyDescent="0.25">
      <c r="B1185" s="5">
        <v>44251</v>
      </c>
      <c r="C1185">
        <v>0.54872036000000002</v>
      </c>
      <c r="D1185">
        <v>-1.4018476</v>
      </c>
    </row>
    <row r="1186" spans="2:4" x14ac:dyDescent="0.25">
      <c r="B1186" s="5">
        <v>44250</v>
      </c>
      <c r="C1186">
        <v>-0.52875875999999999</v>
      </c>
      <c r="D1186">
        <v>-3.8856267999999999E-2</v>
      </c>
    </row>
    <row r="1187" spans="2:4" x14ac:dyDescent="0.25">
      <c r="B1187" s="5">
        <v>44249</v>
      </c>
      <c r="C1187">
        <v>-2.6808320999999999</v>
      </c>
      <c r="D1187">
        <v>-2.3239850999999999E-2</v>
      </c>
    </row>
    <row r="1188" spans="2:4" x14ac:dyDescent="0.25">
      <c r="B1188" s="5">
        <v>44246</v>
      </c>
      <c r="C1188">
        <v>-1.1567295</v>
      </c>
      <c r="D1188">
        <v>0.96427200000000002</v>
      </c>
    </row>
    <row r="1189" spans="2:4" x14ac:dyDescent="0.25">
      <c r="B1189" s="5">
        <v>44245</v>
      </c>
      <c r="C1189">
        <v>-0.16789435999999999</v>
      </c>
      <c r="D1189">
        <v>-0.104123354</v>
      </c>
    </row>
    <row r="1190" spans="2:4" x14ac:dyDescent="0.25">
      <c r="B1190" s="5">
        <v>44244</v>
      </c>
      <c r="C1190">
        <v>0.20517110999999999</v>
      </c>
      <c r="D1190">
        <v>-2.8126060000000002</v>
      </c>
    </row>
    <row r="1191" spans="2:4" x14ac:dyDescent="0.25">
      <c r="B1191" s="5">
        <v>44243</v>
      </c>
      <c r="C1191">
        <v>-0.52655339999999995</v>
      </c>
      <c r="D1191">
        <v>2.1637917</v>
      </c>
    </row>
    <row r="1192" spans="2:4" x14ac:dyDescent="0.25">
      <c r="B1192" s="5">
        <v>44239</v>
      </c>
      <c r="C1192">
        <v>0.20450354000000001</v>
      </c>
      <c r="D1192">
        <v>0.88576080000000001</v>
      </c>
    </row>
    <row r="1193" spans="2:4" x14ac:dyDescent="0.25">
      <c r="B1193" s="5">
        <v>44238</v>
      </c>
      <c r="C1193">
        <v>0.68775414999999995</v>
      </c>
      <c r="D1193">
        <v>0.42073727</v>
      </c>
    </row>
    <row r="1194" spans="2:4" x14ac:dyDescent="0.25">
      <c r="B1194" s="5">
        <v>44237</v>
      </c>
      <c r="C1194">
        <v>-0.38971305000000001</v>
      </c>
      <c r="D1194">
        <v>-0.35600066000000002</v>
      </c>
    </row>
    <row r="1195" spans="2:4" x14ac:dyDescent="0.25">
      <c r="B1195" s="5">
        <v>44236</v>
      </c>
      <c r="C1195">
        <v>0.53615570000000001</v>
      </c>
      <c r="D1195">
        <v>0.45208930000000003</v>
      </c>
    </row>
    <row r="1196" spans="2:4" x14ac:dyDescent="0.25">
      <c r="B1196" s="5">
        <v>44235</v>
      </c>
      <c r="C1196">
        <v>0.11148453</v>
      </c>
      <c r="D1196">
        <v>-0.29533504999999999</v>
      </c>
    </row>
    <row r="1197" spans="2:4" x14ac:dyDescent="0.25">
      <c r="B1197" s="5">
        <v>44232</v>
      </c>
      <c r="C1197">
        <v>7.8511239999999996E-2</v>
      </c>
      <c r="D1197">
        <v>-1.3110459000000001</v>
      </c>
    </row>
    <row r="1198" spans="2:4" x14ac:dyDescent="0.25">
      <c r="B1198" s="5">
        <v>44231</v>
      </c>
      <c r="C1198">
        <v>-0.40740967</v>
      </c>
      <c r="D1198">
        <v>0.55187940000000002</v>
      </c>
    </row>
    <row r="1199" spans="2:4" x14ac:dyDescent="0.25">
      <c r="B1199" s="5">
        <v>44230</v>
      </c>
      <c r="C1199">
        <v>1.4571428</v>
      </c>
      <c r="D1199">
        <v>-2.0233629999999998</v>
      </c>
    </row>
    <row r="1200" spans="2:4" x14ac:dyDescent="0.25">
      <c r="B1200" s="5">
        <v>44229</v>
      </c>
      <c r="C1200">
        <v>-5.8418511999999999E-2</v>
      </c>
      <c r="D1200">
        <v>1.8073916000000001</v>
      </c>
    </row>
    <row r="1201" spans="2:4" x14ac:dyDescent="0.25">
      <c r="B1201" s="5">
        <v>44228</v>
      </c>
      <c r="C1201">
        <v>3.3152222999999998</v>
      </c>
      <c r="D1201">
        <v>2.6777148</v>
      </c>
    </row>
    <row r="1202" spans="2:4" x14ac:dyDescent="0.25">
      <c r="B1202" s="5">
        <v>44225</v>
      </c>
      <c r="C1202">
        <v>-2.9171646</v>
      </c>
      <c r="D1202">
        <v>-1.1971295</v>
      </c>
    </row>
    <row r="1203" spans="2:4" x14ac:dyDescent="0.25">
      <c r="B1203" s="5">
        <v>44224</v>
      </c>
      <c r="C1203">
        <v>2.5890946000000001</v>
      </c>
      <c r="D1203">
        <v>1.5439868000000001</v>
      </c>
    </row>
    <row r="1204" spans="2:4" x14ac:dyDescent="0.25">
      <c r="B1204" s="5">
        <v>44223</v>
      </c>
      <c r="C1204">
        <v>0.24533272</v>
      </c>
      <c r="D1204">
        <v>-1.8401563000000001</v>
      </c>
    </row>
    <row r="1205" spans="2:4" x14ac:dyDescent="0.25">
      <c r="B1205" s="5">
        <v>44222</v>
      </c>
      <c r="C1205">
        <v>1.2198806</v>
      </c>
      <c r="D1205">
        <v>1.3944030000000001</v>
      </c>
    </row>
    <row r="1206" spans="2:4" x14ac:dyDescent="0.25">
      <c r="B1206" s="5">
        <v>44221</v>
      </c>
      <c r="C1206">
        <v>1.5844225999999999</v>
      </c>
      <c r="D1206">
        <v>-0.27416944999999998</v>
      </c>
    </row>
    <row r="1207" spans="2:4" x14ac:dyDescent="0.25">
      <c r="B1207" s="5">
        <v>44218</v>
      </c>
      <c r="C1207">
        <v>0.43561460000000002</v>
      </c>
      <c r="D1207">
        <v>-1.8136977999999999</v>
      </c>
    </row>
    <row r="1208" spans="2:4" x14ac:dyDescent="0.25">
      <c r="B1208" s="5">
        <v>44217</v>
      </c>
      <c r="C1208">
        <v>0.28082131999999999</v>
      </c>
      <c r="D1208">
        <v>0.44996737999999997</v>
      </c>
    </row>
    <row r="1209" spans="2:4" x14ac:dyDescent="0.25">
      <c r="B1209" s="5">
        <v>44216</v>
      </c>
      <c r="C1209">
        <v>3.6499739</v>
      </c>
      <c r="D1209">
        <v>-0.44269562000000001</v>
      </c>
    </row>
    <row r="1210" spans="2:4" x14ac:dyDescent="0.25">
      <c r="B1210" s="5">
        <v>44215</v>
      </c>
      <c r="C1210">
        <v>1.7822742</v>
      </c>
      <c r="D1210">
        <v>2.0166159000000001</v>
      </c>
    </row>
    <row r="1211" spans="2:4" x14ac:dyDescent="0.25">
      <c r="B1211" s="5">
        <v>44211</v>
      </c>
      <c r="C1211">
        <v>-0.17369986000000001</v>
      </c>
      <c r="D1211">
        <v>-1.4570236000000001</v>
      </c>
    </row>
    <row r="1212" spans="2:4" x14ac:dyDescent="0.25">
      <c r="B1212" s="5">
        <v>44210</v>
      </c>
      <c r="C1212">
        <v>-1.5346169999999999</v>
      </c>
      <c r="D1212">
        <v>-1.1611282999999999</v>
      </c>
    </row>
    <row r="1213" spans="2:4" x14ac:dyDescent="0.25">
      <c r="B1213" s="5">
        <v>44209</v>
      </c>
      <c r="C1213">
        <v>0.65603255999999999</v>
      </c>
      <c r="D1213">
        <v>0.31071900000000002</v>
      </c>
    </row>
    <row r="1214" spans="2:4" x14ac:dyDescent="0.25">
      <c r="B1214" s="5">
        <v>44208</v>
      </c>
      <c r="C1214">
        <v>-1.1770725</v>
      </c>
      <c r="D1214">
        <v>-0.73730945999999997</v>
      </c>
    </row>
    <row r="1215" spans="2:4" x14ac:dyDescent="0.25">
      <c r="B1215" s="5">
        <v>44207</v>
      </c>
      <c r="C1215">
        <v>-0.96985100000000002</v>
      </c>
      <c r="D1215">
        <v>-1.5075921999999999</v>
      </c>
    </row>
    <row r="1216" spans="2:4" x14ac:dyDescent="0.25">
      <c r="B1216" s="5">
        <v>44204</v>
      </c>
      <c r="C1216">
        <v>0.60927869999999995</v>
      </c>
      <c r="D1216">
        <v>0.73820350000000001</v>
      </c>
    </row>
    <row r="1217" spans="2:4" x14ac:dyDescent="0.25">
      <c r="B1217" s="5">
        <v>44203</v>
      </c>
      <c r="C1217">
        <v>2.8456926</v>
      </c>
      <c r="D1217">
        <v>-2.4899423000000001</v>
      </c>
    </row>
    <row r="1218" spans="2:4" x14ac:dyDescent="0.25">
      <c r="B1218" s="5">
        <v>44202</v>
      </c>
      <c r="C1218">
        <v>-2.5929272000000001</v>
      </c>
      <c r="D1218">
        <v>0.93691349999999995</v>
      </c>
    </row>
    <row r="1219" spans="2:4" x14ac:dyDescent="0.25">
      <c r="B1219" s="5">
        <v>44201</v>
      </c>
      <c r="C1219">
        <v>9.6464159999999993E-2</v>
      </c>
      <c r="D1219">
        <v>-1.032114</v>
      </c>
    </row>
    <row r="1220" spans="2:4" x14ac:dyDescent="0.25">
      <c r="B1220" s="5">
        <v>44200</v>
      </c>
      <c r="C1220">
        <v>-2.1266042999999999</v>
      </c>
      <c r="D1220">
        <v>1.1266232</v>
      </c>
    </row>
    <row r="1221" spans="2:4" x14ac:dyDescent="0.25">
      <c r="B1221" s="5">
        <v>44196</v>
      </c>
      <c r="C1221">
        <v>0.33382177000000002</v>
      </c>
      <c r="D1221">
        <v>-0.52841899999999997</v>
      </c>
    </row>
    <row r="1222" spans="2:4" x14ac:dyDescent="0.25">
      <c r="B1222" s="5">
        <v>44195</v>
      </c>
      <c r="C1222">
        <v>-1.1019409</v>
      </c>
      <c r="D1222">
        <v>-9.2017650000000006E-2</v>
      </c>
    </row>
    <row r="1223" spans="2:4" x14ac:dyDescent="0.25">
      <c r="B1223" s="5">
        <v>44194</v>
      </c>
      <c r="C1223">
        <v>-0.36007166000000002</v>
      </c>
      <c r="D1223">
        <v>0.72447059999999996</v>
      </c>
    </row>
    <row r="1224" spans="2:4" x14ac:dyDescent="0.25">
      <c r="B1224" s="5">
        <v>44193</v>
      </c>
      <c r="C1224">
        <v>0.99214314999999997</v>
      </c>
      <c r="D1224">
        <v>1.0886908</v>
      </c>
    </row>
    <row r="1225" spans="2:4" x14ac:dyDescent="0.25">
      <c r="B1225" s="5">
        <v>44189</v>
      </c>
      <c r="C1225">
        <v>0.78272819999999999</v>
      </c>
      <c r="D1225">
        <v>-2.4610758E-2</v>
      </c>
    </row>
    <row r="1226" spans="2:4" x14ac:dyDescent="0.25">
      <c r="B1226" s="5">
        <v>44188</v>
      </c>
      <c r="C1226">
        <v>-1.3039172000000001</v>
      </c>
      <c r="D1226">
        <v>0.65776109999999999</v>
      </c>
    </row>
    <row r="1227" spans="2:4" x14ac:dyDescent="0.25">
      <c r="B1227" s="5">
        <v>44187</v>
      </c>
      <c r="C1227">
        <v>0.60650110000000002</v>
      </c>
      <c r="D1227">
        <v>1.1103988</v>
      </c>
    </row>
    <row r="1228" spans="2:4" x14ac:dyDescent="0.25">
      <c r="B1228" s="5">
        <v>44186</v>
      </c>
      <c r="C1228">
        <v>1.8299103000000001</v>
      </c>
      <c r="D1228">
        <v>-3.5949051000000001</v>
      </c>
    </row>
    <row r="1229" spans="2:4" x14ac:dyDescent="0.25">
      <c r="B1229" s="5">
        <v>44183</v>
      </c>
      <c r="C1229">
        <v>-0.37826895999999999</v>
      </c>
      <c r="D1229">
        <v>-0.40519833999999999</v>
      </c>
    </row>
    <row r="1230" spans="2:4" x14ac:dyDescent="0.25">
      <c r="B1230" s="5">
        <v>44182</v>
      </c>
      <c r="C1230">
        <v>6.3848495000000005E-2</v>
      </c>
      <c r="D1230">
        <v>1.6354084</v>
      </c>
    </row>
    <row r="1231" spans="2:4" x14ac:dyDescent="0.25">
      <c r="B1231" s="5">
        <v>44181</v>
      </c>
      <c r="C1231">
        <v>2.4050832</v>
      </c>
      <c r="D1231">
        <v>-7.6651573000000002E-3</v>
      </c>
    </row>
    <row r="1232" spans="2:4" x14ac:dyDescent="0.25">
      <c r="B1232" s="5">
        <v>44180</v>
      </c>
      <c r="C1232">
        <v>-3.2675266000000001E-2</v>
      </c>
      <c r="D1232">
        <v>0.95019339999999997</v>
      </c>
    </row>
    <row r="1233" spans="2:4" x14ac:dyDescent="0.25">
      <c r="B1233" s="5">
        <v>44179</v>
      </c>
      <c r="C1233">
        <v>0.44077634999999998</v>
      </c>
      <c r="D1233">
        <v>1.8350601</v>
      </c>
    </row>
    <row r="1234" spans="2:4" x14ac:dyDescent="0.25">
      <c r="B1234" s="5">
        <v>44176</v>
      </c>
      <c r="C1234">
        <v>1.301539</v>
      </c>
      <c r="D1234">
        <v>-0.72782636000000001</v>
      </c>
    </row>
    <row r="1235" spans="2:4" x14ac:dyDescent="0.25">
      <c r="B1235" s="5">
        <v>44175</v>
      </c>
      <c r="C1235">
        <v>-0.60434339999999998</v>
      </c>
      <c r="D1235">
        <v>0.14146565999999999</v>
      </c>
    </row>
    <row r="1236" spans="2:4" x14ac:dyDescent="0.25">
      <c r="B1236" s="5">
        <v>44174</v>
      </c>
      <c r="C1236">
        <v>-1.9489825000000001</v>
      </c>
      <c r="D1236">
        <v>-0.40918589999999999</v>
      </c>
    </row>
    <row r="1237" spans="2:4" x14ac:dyDescent="0.25">
      <c r="B1237" s="5">
        <v>44173</v>
      </c>
      <c r="C1237">
        <v>0.80264807000000005</v>
      </c>
      <c r="D1237">
        <v>1.0473132000000001</v>
      </c>
    </row>
    <row r="1238" spans="2:4" x14ac:dyDescent="0.25">
      <c r="B1238" s="5">
        <v>44172</v>
      </c>
      <c r="C1238">
        <v>-3.2657384999999997E-2</v>
      </c>
      <c r="D1238">
        <v>-0.54159760000000001</v>
      </c>
    </row>
    <row r="1239" spans="2:4" x14ac:dyDescent="0.25">
      <c r="B1239" s="5">
        <v>44169</v>
      </c>
      <c r="C1239">
        <v>5.6004524E-2</v>
      </c>
      <c r="D1239">
        <v>-1.1654496000000001</v>
      </c>
    </row>
    <row r="1240" spans="2:4" x14ac:dyDescent="0.25">
      <c r="B1240" s="5">
        <v>44168</v>
      </c>
      <c r="C1240">
        <v>-0.52467585000000005</v>
      </c>
      <c r="D1240">
        <v>-0.43973922999999998</v>
      </c>
    </row>
    <row r="1241" spans="2:4" x14ac:dyDescent="0.25">
      <c r="B1241" s="5">
        <v>44167</v>
      </c>
      <c r="C1241">
        <v>-0.388515</v>
      </c>
      <c r="D1241">
        <v>1.2857198999999999</v>
      </c>
    </row>
    <row r="1242" spans="2:4" x14ac:dyDescent="0.25">
      <c r="B1242" s="5">
        <v>44166</v>
      </c>
      <c r="C1242">
        <v>0.99967720000000004</v>
      </c>
      <c r="D1242">
        <v>-0.49030780000000002</v>
      </c>
    </row>
    <row r="1243" spans="2:4" x14ac:dyDescent="0.25">
      <c r="B1243" s="5">
        <v>44165</v>
      </c>
      <c r="C1243">
        <v>-0.53895115999999998</v>
      </c>
      <c r="D1243">
        <v>2.0852922999999999</v>
      </c>
    </row>
    <row r="1244" spans="2:4" x14ac:dyDescent="0.25">
      <c r="B1244" s="5">
        <v>44162</v>
      </c>
      <c r="C1244">
        <v>0.63589810000000002</v>
      </c>
      <c r="D1244">
        <v>2.6503325000000002</v>
      </c>
    </row>
    <row r="1245" spans="2:4" x14ac:dyDescent="0.25">
      <c r="B1245" s="5">
        <v>44160</v>
      </c>
      <c r="C1245">
        <v>4.6730039999999997E-3</v>
      </c>
      <c r="D1245">
        <v>1.6001105</v>
      </c>
    </row>
    <row r="1246" spans="2:4" x14ac:dyDescent="0.25">
      <c r="B1246" s="5">
        <v>44159</v>
      </c>
      <c r="C1246">
        <v>1.7847776</v>
      </c>
      <c r="D1246">
        <v>-0.10957718</v>
      </c>
    </row>
    <row r="1247" spans="2:4" x14ac:dyDescent="0.25">
      <c r="B1247" s="5">
        <v>44158</v>
      </c>
      <c r="C1247">
        <v>-0.13308524999999999</v>
      </c>
      <c r="D1247">
        <v>-1.4113784</v>
      </c>
    </row>
    <row r="1248" spans="2:4" x14ac:dyDescent="0.25">
      <c r="B1248" s="5">
        <v>44155</v>
      </c>
      <c r="C1248">
        <v>-0.95565319999999998</v>
      </c>
      <c r="D1248">
        <v>-0.10455847</v>
      </c>
    </row>
    <row r="1249" spans="2:4" x14ac:dyDescent="0.25">
      <c r="B1249" s="5">
        <v>44154</v>
      </c>
      <c r="C1249">
        <v>0.63482519999999998</v>
      </c>
      <c r="D1249">
        <v>-1.7247796</v>
      </c>
    </row>
    <row r="1250" spans="2:4" x14ac:dyDescent="0.25">
      <c r="B1250" s="5">
        <v>44153</v>
      </c>
      <c r="C1250">
        <v>-1.5760540999999999</v>
      </c>
      <c r="D1250">
        <v>2.4004102</v>
      </c>
    </row>
    <row r="1251" spans="2:4" x14ac:dyDescent="0.25">
      <c r="B1251" s="5">
        <v>44152</v>
      </c>
      <c r="C1251">
        <v>-1.2751399999999999</v>
      </c>
      <c r="D1251">
        <v>-1.1872887999999999</v>
      </c>
    </row>
    <row r="1252" spans="2:4" x14ac:dyDescent="0.25">
      <c r="B1252" s="5">
        <v>44151</v>
      </c>
      <c r="C1252">
        <v>0.33254623</v>
      </c>
      <c r="D1252">
        <v>-0.81133246000000003</v>
      </c>
    </row>
    <row r="1253" spans="2:4" x14ac:dyDescent="0.25">
      <c r="B1253" s="5">
        <v>44148</v>
      </c>
      <c r="C1253">
        <v>0.49664974000000001</v>
      </c>
      <c r="D1253">
        <v>2.7447461999999998</v>
      </c>
    </row>
    <row r="1254" spans="2:4" x14ac:dyDescent="0.25">
      <c r="B1254" s="5">
        <v>44147</v>
      </c>
      <c r="C1254">
        <v>-0.51258205999999995</v>
      </c>
      <c r="D1254">
        <v>0.90050699999999995</v>
      </c>
    </row>
    <row r="1255" spans="2:4" x14ac:dyDescent="0.25">
      <c r="B1255" s="5">
        <v>44146</v>
      </c>
      <c r="C1255">
        <v>2.6254773</v>
      </c>
      <c r="D1255">
        <v>2.3628591999999999</v>
      </c>
    </row>
    <row r="1256" spans="2:4" x14ac:dyDescent="0.25">
      <c r="B1256" s="5">
        <v>44145</v>
      </c>
      <c r="C1256">
        <v>-3.3792794000000002</v>
      </c>
      <c r="D1256">
        <v>-4.4373392999999997</v>
      </c>
    </row>
    <row r="1257" spans="2:4" x14ac:dyDescent="0.25">
      <c r="B1257" s="5">
        <v>44144</v>
      </c>
      <c r="C1257">
        <v>-2.3824453000000001</v>
      </c>
      <c r="D1257">
        <v>0.31811</v>
      </c>
    </row>
    <row r="1258" spans="2:4" x14ac:dyDescent="0.25">
      <c r="B1258" s="5">
        <v>44141</v>
      </c>
      <c r="C1258">
        <v>0.19258259999999999</v>
      </c>
      <c r="D1258">
        <v>0.18148422</v>
      </c>
    </row>
    <row r="1259" spans="2:4" x14ac:dyDescent="0.25">
      <c r="B1259" s="5">
        <v>44140</v>
      </c>
      <c r="C1259">
        <v>3.1886815999999998</v>
      </c>
      <c r="D1259">
        <v>2.535355</v>
      </c>
    </row>
    <row r="1260" spans="2:4" x14ac:dyDescent="0.25">
      <c r="B1260" s="5">
        <v>44139</v>
      </c>
      <c r="C1260">
        <v>4.8248886999999998</v>
      </c>
      <c r="D1260">
        <v>4.3493750000000002</v>
      </c>
    </row>
    <row r="1261" spans="2:4" x14ac:dyDescent="0.25">
      <c r="B1261" s="5">
        <v>44138</v>
      </c>
      <c r="C1261">
        <v>2.0263909999999998</v>
      </c>
      <c r="D1261">
        <v>1.7732501000000001</v>
      </c>
    </row>
    <row r="1262" spans="2:4" x14ac:dyDescent="0.25">
      <c r="B1262" s="5">
        <v>44137</v>
      </c>
      <c r="C1262">
        <v>-6.9147349999999996E-2</v>
      </c>
      <c r="D1262">
        <v>-0.93318224000000005</v>
      </c>
    </row>
    <row r="1263" spans="2:4" x14ac:dyDescent="0.25">
      <c r="B1263" s="5">
        <v>44134</v>
      </c>
      <c r="C1263">
        <v>-1.099062</v>
      </c>
      <c r="D1263">
        <v>-2.3946999999999998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"/>
  <sheetViews>
    <sheetView workbookViewId="0">
      <selection sqref="A1:C1"/>
    </sheetView>
  </sheetViews>
  <sheetFormatPr defaultRowHeight="15" x14ac:dyDescent="0.25"/>
  <sheetData>
    <row r="1" spans="1:3" x14ac:dyDescent="0.25">
      <c r="A1" s="1"/>
      <c r="B1" s="1"/>
      <c r="C1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5272931"><![CDATA[{"MSFT-US^CORREL(P_PRICE_RETURNS(0,45961,45961-5AY,D,USD),VALUE('DB1-DE',P_PRICE_RETURNS(0,45961,45961-5AY,D,USD)))":0.144255032938354,"DB1-DE^P_PRICE_RETURNS(0,45961,45961-5AY,D,USD)":[-0.59781075,-0.72221756,-1.386553,-1.4789104,-0.6184697,1.1202931,1.1383414,-0.34028292,0.020182133,0.55828094,0.18906593,-1.1930585,-1.4507294,0.68496466,0.40740967,-0.4949212,-0.16490221,0.33608675,-0.094759464,-0.7329166,-1.636064,1.4899611,-0.5684078,0.96725225,1.3098955,-0.0011146069,0.82228184,-0.30992627,-1.4461219,-0.6765723,-1.970613,-0.6675422,-0.61970353,-1.8220067,-0.2794385,-0.38256645,-0.53316355,-1.0971367,-1.2857854,0.7238388,0.4636407,-0.32513142,1.1509418,-3.2894433,-0.5345702,-0.118893385,-0.8336842,-0.7721782,0.07172823,0.36586523,-1.0120869,1.8393755,-0.20548105,-0.6388068,0.12471676,0.47824383,1.2793303,-2.6678443,0.4564166,0.055885315,1.2557268,0.7595062,-0.7264197,1.030004,1.1509776,0.25185347,-0.9177804,0.6356001,-2.661705,-1.9604623,-0.1085639,-0.025743246,-0.46576858,-0.3309667,0.74658394,-0.64299107,0.4210353,-1.5692115,-0.45944452,-0.8166909,-1.069063,0.82303286,-2.162516,1.0196567,0.9867668,-2.2384048,-0.42022467,-0.005620718,0.4475355,2.1905422,0.58811903,0.34290552,0.17141104,1.0971785,-0.5299926,-1.7605424,2.5192618,-1.8389881,-0.120568275,-0.66268444,-1.1976421,-1.1274159,0.4581213,0.2809286,0.7167697,-1.8764913,1.4417529,-0.05289316,-0.37852526,-1.3144195,0.49550533,0.51522255,-0.9987533,1.628685,0.5199194,1.0913968,1.2136459,-0.7677257,1.1031508,0.20376444,-4.3222666,0.6513357,-2.1890342,0.014257431,-0.41734576,0.98125935,2.8728843,-0.7565379,3.5863638,-1.5455365,-1.7126858,0.6321311,0.45737028,-0.1170516,2.0285368,1.3039112,0.49648285,-0.18606782,0.8052349,1.237917,3.0044198,5.358839,-2.1427095,4.818809,-5.452174,-8.28898,3.7827492,0.7532358,1.4395475,-0.010293722,1.4265537,1.5482664,-0.84555745,1.3532758,-1.6710758,-0.013536215,-2.3656309,-0.016468763,0.27252436,0.52508116,2.4481058,-0.39724112,1.0669589,-0.20846128,1.9872069,1.0303974,0.50166845,2.6073694,-0.49691796,3.2704234,-0.7176876,-0.61460733,2.3970842,0.89144707,-0.51630735,-0.54941773,0.12009144,-0.49099326,1.1111617,-0.9409249,2.0550728,1.7669082,0.5801201,-0.1560092,-0.36531687,-0.6227255,0.7709861,0.8076787,-0.15488863,-1.2973607,1.3312101,-0.33653975,-0.41731,1.0516882,1.2020111,-0.2536118,1.5224695,1.6235471,0.52866936,-0.0921309,0.32572746,2.2075057,-0.335747,-0.6713033,0.6875634,0.92561245,0.24693012,-0.6691456,-0.14793873,-0.24565458,-0.93749166,1.2063622,0.16839504,0.014436245,-1.2330353,-0.16899705,-0.7997334,-0.6556153,0.32461882,0.8457184,0.32322407,-0.37163496,0.5334377,-0.37632585,-0.7207453,-0.71870685,1.6424894,0.4771471,-0.13005137,-0.69678426,1.1892796,2.303958,-0.10830164,0.9881735,-0.03182292,0.71275234,-0.6234348,-0.53545237,1.7999172,-1.0476708,1.359582,-0.8552015,-2.455783,-0.052666664,-0.48888326,-0.2098918,-3.0855238,0.90944767,-0.0031590462,1.2402654,-0.3442347,-0.6039858,-0.8704126,0.98975897,0.4544139,1.5744328,-2.2980154,-0.27666092,-0.57344437,0.18054247,0.5869031,-0.030320883,0.44939518,0.76949596,1.194179,-1.5411377,0.029921532,1.0491848,0.48536062,-2.0331442,-0.21007061,0.676167,-0.89396834,0.07199049,0.7349491,-0.7146239,0.7632971,-0.7313371,1.2448192,1.6391397,0.44175386,-0.69004893,-1.1963308,0.027370453,0.781703,1.3931036,-0.74778795,-1.4158607,1.0866761,1.7076373,-0.30433536,1.284492,-0.6819129,-0.062811375,0.0073194504,1.1256456,0.41960478,0.053441525,0.84711313,0.33340454,0.7762313,0.4202485,1.1656165,1.0521531,1.4631748,1.745534,1.117301,0.6212592,0.7989526,-0.6630659,2.5249958,-1.9195497,-1.0819197,0.2019763,-1.6588509,0.068831444,0.9905219,-1.1330307,0.429821,0.040388107,0.13160706,-1.1776388,1.4798999,-1.5473664,-0.8062959,0.66758394,-0.7656872,-0.5563617,2.4128437,1.3160825,0.20821095,-0.38457513,-0.17026663,-1.6576946,0.57246685,0.25721788,-0.20233989,-1.3934433,1.2252212,-0.51882863,-0.912869,1.2847066,0.7263422,0.21029711,2.0946026,2.3895621,0.3489256,-3.7711859,0.88977814,0.08072853,-1.6940415,-0.90129375,0.16356707,1.164639,1.4832973,0.43007135,1.9215822,1.292479,-0.7516563,-3.1083167,0.017392635,-0.15032887,-0.15839338,0.4434228,-0.50712824,1.7365694,0.84666014,0.26316643,-1.2527525,-2.0692587,-0.4875958,0.9486556,-0.37106276,1.4961243,-0.2312243,1.8964052,0.95807314,-0.08416772,-0.7393062,0.0344038,0.3512621,0.6452322,-4.09587,0.7118821,0.5957484,-0.21207929,0.1518488,0.42294264,-2.1889985,0.41501522,-0.041913986,-0.34060478,-0.028520823,-0.6245792,0.69898367,0.10185242,0.5014539,0.06713867,-1.3585031,-0.5138874,0.55282116,0.08561611,0.8831382,0.49568415,-0.6284833,0.5510092,-0.3153026,0.053060055,-0.13090372,-0.75006485,0.3259778,-2.6588082,0.44003725,-0.2175808,-1.2584984,0.98905563,-0.5544603,0.12563467,0.076437,-0.25851727,0.42467117,-0.22807121,0.07157326,0.932467,1.8588662,0.8779645,-1.4350355,1.1253476,1.0848403,-0.28840303,0.05941391,-0.7827163,0.25137663,-0.43857694,0.9815693,-0.06210208,0.4955411,-0.17162561,-0.6787181,0.28516054,0.15861988,0.8153558,-0.45396686,-0.5432725,-1.39606,0.34145117,-1.4862299,-0.16171932,0.8489251,0.044977665,-0.14226437,-0.33516288,1.6658783,-1.155287,0.7235527,-1.0465324,0.2580166,0.8866668,1.9176006,-1.6676843,-1.7823398,0.43810606,-0.29239058,1.3685465,0.1271367,0.7246256,0.15035868,0.9011507,0.96143484,1.6835809,-0.1284182,0.04056692,-0.7349074,0.4551053,0.16407967,1.083684,-0.6730139,-0.18982291,1.4332771,0.09851456,0.44754744,-0.44035316,0.5810499,0.17838478,0.16708374,0.968194,0.045084953,1.1646152,0.8051038,0.9594202,0.59148073,0.10803938,1.4054537,0.70091486,-1.0760725,1.2361884,0.32277107,2.9432297,0.57617426,0.9238124,1.3432264,1.3947606,-0.94480515,0.93295574,-0.30133724,-0.21913052,0.1713872,-1.3034344,-0.09021163,0.22102594,0.5717397,-0.8951545,-1.1512697,1.3866663,-2.3979604,-0.9460032,-1.51335,1.9111037,0.25092363,1.3530016,1.180923,-0.18222332,-0.7633865,-2.6111603,0.10962486,2.9072165,-1.1482179,-0.40308833,-2.088666,0.13412237,-1.9050002,-0.50439835,1.9049048,-0.5517423,1.1420131,-0.7101774,-0.13337135,-0.11972189,0.65823793,1.1163592,-0.089901686,-0.6198466,-2.0608008,-0.059187412,-0.92814565,0.85742474,0.30903816,1.0635495,-1.091665,0.2722621,0.703609,-0.031286478,-0.7622421,-0.69541335,-2.277708,-0.9479642,-0.5056977,-0.23350716,-1.6710997,1.4132619,0.96325874,-0.6948292,-0.7355571,1.2453079,0.13918877,-1.5276074,-2.474004,-1.2240231,1.6106606,2.0692945,1.251483,0.27737617,-0.5994916,-0.18563867,0.6963134,0.018751621,0.066018105,-0.058555603,1.7278075,0.5680084,2.8648615,-0.7725358,0.3087759,-0.23568273,-3.0088186,-0.80064535,-0.3276646,1.2150049,0.27928352,-0.60108304,-0.2810061,0.4826188,0.2539158,-0.49806237,0.06670952,-3.300035,2.3763895,1.8795133,0.51145554,1.7304301,0.0026226044,0.39246082,1.1746287,-0.26926398,0.1711011,-1.6382158,1.1968255,1.9390345,-1.9554853,-0.46334267,0.7948041,-1.8203557,-0.9556353,-1.1663318,-0.06651878,1.3320684,0.6435871,-4.1102705,-0.16542673,-1.2371182,0.35680532,-0.69364905,-1.1645257,-0.41743517,-0.38736463,-0.17265081,1.2493849,1.4060855,-0.5919516,-0.5389452,2.581799,-8.001643,-1.0997534,1.3509989,-0.44199228,1.2148619,1.3493419,0.88677406,0.42598248,-1.9563019,-1.8556833,0.9127021,1.1485219,0.5077481,-0.7689893,1.4458895,0.16746521,2.2031307,-1.6779661,0.39474964,-1.0500908,0.42028427,0.42663813,0.959599,-0.6995201,0.7996559,0.6745219,2.0078301,3.7083387,-0.9887636,5.094719,-3.660655,1.4236331,-1.1596859,1.9691825,1.926887,-1.2448192,-1.0547757,0.31553507,-0.032544136,-0.24209619,1.2064338,-0.47966242,1.0566354,0.36267042,-0.90212226,-3.2812119,-1.0687947,0.08611679,-1.4957488,1.0579705,0.5486369,0.8767843,-0.7358968,2.190113,0.20889044,-0.928849,-0.92375875,-2.1935284,2.0407438,1.8473864,0.79784393,-0.18309951,0.8935094,-0.81243515,0.40272474,0.22017956,-0.9694159,-0.7041991,-0.056523085,1.2881756,0.23112297,0.6451726,0.122618675,0.26848316,1.6538978,3.116107,0.62892437,-2.0062327,-0.6364763,-1.2800992,-1.4398634,1.4426231,-0.62794685,-0.059831142,0.061416626,-1.0395229,1.5806079,-0.96032023,-1.0902524,-0.7475376,-1.3635635,0.3519416,1.11202,-2.325666,0.09795427,-0.09414554,-0.36536455,-0.92313886,-1.7356098,0.044083595,3.2348871,1.3802409,-1.1962056,0.37527084,-0.2963364,2.0766854,0.8692503,-0.616771,0.93171597,-0.96429586,3.2971263,2.1974683,-0.07497668,0.70990324,1.900065,0.51834583,0.45199394,2.9299855,0.64264536,-2.5518477,0.056648254,-1.6886413,-1.3523579,0.58151484,-1.409018,2.6712894,1.3090491,1.5573263,1.7700195,-3.2143414,-1.4838636,1.3304472,1.0795951,0.22655725,0.072681904,-1.9834757,-0.20353198,-1.4697433,-2.4615526,-1.8379629,0.25537014,2.6427627,0.9291053,0.5162716,2.050376,0.33929348,0.04554987,-0.46729444999999997,-2.4743795,-2.094674,-0.7531822,-1.2556016,0.6118536,-0.75707436,-0.10701418,0.2565503,-1.369971,1.9781232,1.1014342,0.5543113,1.4045596,-2.909124,3.5983205,-2.713561,0.70067644,-0.5698979,-0.38823485,-0.93477964,0.18657446,1.3571739,-0.9129822,-0.65972805,-0.8687496,1.0358334,0.011062622,-0.59040785,2.2039056,-4.2081475,-1.6295314,0.021922588,0.13971329,0.9447813,-0.39323568,0.42420626,0.5621791,-1.0883987,2.257073,1.5051126,2.4104238,2.190721,-0.88350177,0.15181303,-2.0237803,0.71430206,0.30220747,1.4776707,2.0381331,0.4526615,-4.110563,0.99440813,1.8920064,-0.2649963,0.790596,-1.3894975,2.9331565,-0.8962512,-3.8099945,-0.2602756,0.69833994,-1.3761938,1.5568376,0.85726976,-0.48243403,1.0806918,1.5151858,-0.56052804,0.78861713,1.6463637,1.0494232,-2.2306085,-0.20727515,-0.98496675,-1.7111838,-1.7361462,0.5323887,0.083470345,1.2078166,-1.6309559,-4.557866,-0.06997585,0.6631851,-1.9989908,2.4902701,1.2332678,1.7385602,-2.3655891,-0.24869442,2.6070237,-0.36957264,0.3509283,-1.3314724,0.5293369,1.795876,-2.1354854,-0.9748459,-1.8199623,0.0047564507,0.2327919,-0.09639859,2.032745,0.05171299,-2.4730802,0.3170371,0.009441376,-1.0311842,-1.3990223,1.8085837,-2.7658105,0.15774965,0.75187683,-0.508821,-0.69295764,-0.4091084,1.3376951,-0.34424067,-1.5090644,2.5515556,-1.2401819,0.16477108,-1.6377807,1.0479093,1.6764522,0.7253885,1.8955588,-0.2906978,-2.7781546,1.5506625,-0.1772523,0.60659647,-0.7833302,5.0747275,1.2174845,4.7552466,0.80627203,-0.65822005,7.292962,-2.5443614,-0.6856978,-4.511738,-0.45524836,-1.4726043,-4.216152,0.20807981,1.183188,-2.051872,-1.4453769,-1.180309,-1.1228681,-0.78244805,-0.055223703,1.4115095,-0.8330703,0.044572353,-0.73528886,0.93438625,-0.5077779,1.0480642,1.2622356,0.2914071,-0.059610605,-0.22660494,2.0210147,-0.7183969,-0.54591894,-0.342381,-3.0795395,-1.9270778,0.8587837,2.0503879,1.2662411,0.62572956,-0.6227851,2.6068091,2.2266746,1.652813,0.60549974,-0.42899847,-0.45892596,0.546515,-0.28727055,-0.63598156,0.36182404,0.2370596,-0.30457377,0.8255124,0.33313036,1.0807872,0.2632141,2.8950572,-1.6230643,0.9518981,2.1252513,0.5669832,-0.6320238,-0.54407716,0.45796633,0.019025803,-0.14589429,0.47820807,0.2061367,-1.0858715,-1.4949739,2.1459699,-2.6397645,-1.007098,-0.055021048,-0.62919855,-0.46792626,-2.0070493,0.37264824,0.46087503,-2.0782888,-0.7793069,1.0761738,-0.6017864,-1.3786018,-0.56972504,0.7023692,0.2310276,-0.6249428,1.3238311,0.07288456,1.2525439,1.1668563,-1.303047,0.27695894,-0.15513301,0.39007664,-1.3476908,-0.4395604,0.29530525,-2.4790585,2.005434,-0.034463406,1.2720823,-0.8907497,0.016963482,0.6498933,-0.3196597,1.1162281,2.1963358,-1.0611475,0.0826478,0.23713112,1.6627908,0.025331974,-0.17634034,-1.9158125,-1.3261795,-1.131165,1.0419369,-0.545907,3.7617207,-0.5303681,-2.1473825,-0.22495389,0.18991232,0.027000904,-0.7653177,-0.86138844,-0.22972226,-1.0682404,0.043821335,-0.09224415,-0.60195327,0.93485117,-2.0320952,0.3794074,0.7079005,-0.21021962,-0.9106159,-0.555861,0.21903515,0.60601234,-0.08147955,0.7967472,0.36695004,0.029695034,0.30305386,1.0828972,1.276648,-0.31644702,0.8452296,-0.13971925,0.3951192,1.0629654,-1.2428939,0.767684,-1.4483154,2.4457693,-2.3458004,-1.095438,-1.5072286,0.9671807,1.4590263,1.1346817,-0.39915442,-0.69100857,-0.25404096,-0.8314848,-1.1707306,-0.23052096,1.4490843,-0.2952695,-2.000749,0.58802366,-0.3801167,0.5718827,-0.2980411,-1.5567422,0.4604578,-0.23870468,0.30704737,1.0152936,-1.0439336,0.169456,2.508521,-0.0998795,1.2454629,0.54774284,1.3621807,2.0830154,0.46323538,0.03902912,-1.3034344,0.40465593,-0.029700994,1.080358,-0.42040348,-0.4635334,0.1840949,0.24707317,-2.3242772,-0.6206393,0.3183961,0.25023222,-1.1946559,0.18103123,-1.0633528,0.6412506,-0.3338933,1.9850731,0.2375722,-1.2765944,-2.0042002,0.32567978,2.578473,-0.2344966,-0.40295124,-2.8553665,0.30320883,-0.12307763,1.0006428,-1.774013,-0.4916489,-0.855875,0.08788109,0.39509535,-1.080662,0.03759861,0.3678918,-0.49367547,0.020897388,0.52148104,0.62645674,-0.0856936,1.5118957,1.6864419,-0.07408261,0.8335948,0.32311678,1.1583805,0.35909414,0.5466461,-0.5321026,2.143383,0.7400274,-1.1473358,0.5953431,-0.36095977,-1.4639914,0.09992123,-2.036345,0.7043719,0.6807327,-0.29560924,2.4876833,-0.0003874302,3.5454512,0.06300211,-1.7302513,-0.8383155,-0.71947575,-1.0494709,-0.38303137,-0.33591986,1.0617733,-1.4018476,-0.038856268,-0.023239851,0.964272,-0.104123354,-2.812606,2.1637917,0.8857608,0.42073727,-0.35600066,0.4520893,-0.29533505,-1.3110459,0.5518794,-2.023363,1.8073916,2.6777148,-1.1971295,1.5439868,-1.8401563,1.394403,-0.27416945,-1.8136978,0.44996738,-0.44269562,2.0166159,-1.4570236,-1.1611283,0.310719,-0.73730946,-1.5075922,0.7382035,-2.4899423,0.9369135,-1.032114,1.1266232,-0.528419,-0.09201765,0.7244706,1.0886908,-0.024610758,0.6577611,1.1103988,-3.5949051,-0.40519834,1.6354084,-0.0076651573,0.9501934,1.8350601,-0.72782636,0.14146566,-0.4091859,1.0473132,-0.5415976,-1.1654496,-0.43973923,1.2857199,-0.4903078,2.0852923,2.6503325,1.6001105,-0.10957718,-1.4113784,-0.10455847,-1.7247796,2.4004102,-1.1872888,-0.81133246,2.7447462,0.900507,2.3628592,-4.4373393,0.31811,0.18148422,2.535355,4.349375,1.7732501,-0.93318224,-2.3947],"MSFT-US^P_PRICE_RETURNS(0,45961,45961-5AY,D,USD)":[-1.5120983,-2.9156983,-0.095933676,1.9848704,1.5106678,0.58590174,0.00385046,0.55634975,0.16834736,0.6250143,0.38506985,-0.35448074,-0.027263165,-0.093370676,0.6047487,-2.1898985,-0.46678782,0.1660347,-0.86838603,2.1687508,0.31217337,-0.7638931,0.33980608,0.65100193,0.61392784,0.8737087,-0.6115854,0.18066168,-1.0146737,-0.6718993,1.864481,-0.3078282,0.19251108,-1.2263238,1.0707974,1.7744184,0.12791157,0.3932476,0.042152405,0.646472,-2.553302,0.5184531,0.04553795,-0.30985475,-0.57884455,0.57228804,0.9361744,-0.44025183,-0.5855322,0.59297085,-0.29265285,-0.7944763,-1.4175177,-0.5901933,-0.4421234,0.36497116,-1.6363025,1.4316559,-0.05171299,0.23038387,-0.7810354,-0.5324483,-1.4730096,2.199924,-1.7600775,3.9474726,0.13071299,0.013661385,-0.23554564,0.55395365,0.99037886,0.11874437,-0.93910694,0.0019669533,-0.32246113,1.202488,-0.03954172,0.55663586,-0.059610605,0.36691427,-0.40317178,1.3873816,-0.22100806,-0.22451878,1.5781164,-0.19509792,-1.0775864,0.29640198,-0.30354857,1.0522723,0.44071674,0.8456707,1.8014312,-0.5913675,0.46020746,-0.22957921,0.8800745,-0.81650615,1.3224125,0.36098957,-0.3870964,0.50385,0.57731867,0.821352,0.19439459,0.21646023,0.3497243,0.36627054,0.2886176,-0.7228315,2.3346186,-1.0288835,0.50599575,-1.2222528,-0.15254617,1.0126114,0.25157928,0.04194975,0.8460641,-0.026708841,2.4001122,0.12780428,1.1122704,0.00923872,-0.6557107,0.20446777,2.3225188,7.6253533,0.30961037,0.73627234,-0.17609,1.1748075,3.4482718,2.0636797,2.144134,-2.3546696,-1.0306478,-3.6605954,-0.5363405,-0.16475916,1.8618107,-2.3406446,10.133684,-0.92214346,-0.55024624,-3.5565913,-2.3630142,-0.013077259,1.8114448,-0.900203,-3.0160248,0.15641451,-1.3133943,0.5291581,0.46515465,1.1425972,-0.25269985,1.1211991,-1.3326526,0.03603697,2.584684,-1.1741042,0.7412195,0.076282024,-3.3434153,-0.902015,-1.0298669,3.193438,0.030887127,-2.141112,1.1362195,-1.8012166,0.45992136,-1.5099049,-1.0313272,-1.9032538,0.32789707,1.2523174,0.29625893,-0.51395893,0.36671162,-0.5833149,-0.1892209,0.6028056,-1.4597654,0.61216354,0.22310019,0.3528595,-0.997442,0.016868114,-6.1809063,-1.0890067,2.9086947,-2.1393478,-0.59322715,0.11429787,4.1306973,-0.12353659,1.0481,-0.40581226,2.5597215,-0.36433935,-0.4200995,-1.3213634,0.5185008,-1.2808263,1.0629535,1.1395693,-0.6927669,-0.78383684,-1.3239503,-1.730156,-0.27769804,0.9373903,-0.30921102,-0.09838939,-0.082308054,-3.7561,0.63552856,0.9658575,-0.50938725,0.1269579,1.2767076,-0.6031096,0.5523324,0.21463633,1.1887789,1.442492,0.051045418,1.7758489,0.11111498,-1.168251,2.1968007,0.42926073,1.0003209,-0.6305814,-0.5505204,0.4882574,0.18312931,-2.7852654,0.3974557,0.5129695,1.2009263,-1.0720849,-0.6793082,1.2494683,2.119279,0.73446035,-0.4654348,0.98929405,-6.0527563,0.13427734,1.2564778,-0.36435723,0.80521107,0.030612946,-0.68068504,2.0846248,0.14827251,0.34555197,0.14419556,-0.62568784,-0.09543896,0.677371,0.115430355,-0.388062,0.6631136,1.2623906,-1.5670776,-0.11523962,-0.14144182,-0.846231,-2.2333205,0.5326867,-0.7627964,-0.18513799,0.6850362,-1.0011315,-0.40434003,-0.77959895,1.8291116,-0.99735856,0.88329315,0.1741767,0.84074736,0.936079,2.1342397,2.0901084,1.0007381,-1.6381383,-0.12472272,-0.1318872,-1.8459082,0.97309349999999994,0.6137371,-0.782907,0.08465052,-0.7917702,0.2984047,-2.0252824,-0.1553595,0.77574253,0.7312298,-0.60803294,1.0003448,0.68838596,1.7698765,0.1945734,0.826931,1.0692,-0.29528737,1.1286855,-3.2656848,-2.0666003,-0.29640794,-1.0805845,-0.89283586,0.34331083,1.6419649,-2.4481237,-3.5854816,0.43121576,1.3337612,-0.7402897,-0.7102251,-1.3347566,-0.9780586,0.090396404,-0.2529204,-2.4772108,1.4601588,-1.4370263,-0.2823174,1.4736176,0.32441616,0.5583167,2.188158,-1.3028562,0.15259981,0.26831627,0.73268414,-0.4691124,0.91540813,-0.14338493,-0.45275092,1.3105273,0.22419691,0.11789799,1.9367695,1.1241674,0.948441,-0.15782118,0.12027025,1.9083381,0.61665773,-0.3878355,0.110924244,-3.3786118,-0.2672434,0.0371933,0.74005127,-0.8176148,0.34495592,0.869894,1.2208223,-0.18527508,-0.49399734,1.5651941,0.6864548,-0.24593472,0.586915,0.4335761,0.29315948,-1.0156214,1.6918302,2.216971,0.73428154,1.4409423,-3.2119334,-1.0016739,1.824379,-2.4495184,0.36557913,1.6485453,0.4610181,-1.2739003,-1.838094,-0.6609082,0.22724867,-1.957804,-1.4091074,1.1033416,-0.70845485,0.3980279,-0.21855235,1.8282771,-0.6112516,-0.23490787,-0.73722005,0.9150982,-0.16847253,-0.052177906,-0.28614402,-1.3714612,-0.14672875,0.97358227,0.90647936,0.98006725,0.21612644,-2.069515,2.437961,-0.043344498,2.6599407,-0.41849613,-0.7136941,1.7533422,-0.13907552,-2.957201,-0.13958812,0.44965744,1.4519811,0.05890131,-0.014722347,-0.68235993,-0.3182292,2.3546696,-0.15144944,-0.3143072,-0.6149173,-0.71552396,0.7801652,-2.1528661,-1.2578726,1.5551448,0.01449585,2.1110296,-0.039446354,-1.3545096,1.8425822,1.5594363,-2.6946366,-0.27579665,1.4334202,-0.23217201,0.57382584,0.91753006,0.60275793,-0.54180026,1.2186766,1.1297345,-0.20498037,0.4633546,0.9983659,0.48593283,1.8574119,0.29357672,1.8871546,-0.051641464,-0.7177532,-0.07280111,-1.3748586,0.20251274,0.3234625,-0.15747547,0.021362305,0.2784133,0.78787804,-0.7072866,0.1636982,0.51789284,1.3117313,-2.2544563,-0.0026762486,0.82951784,-0.78294873,0.88421106,0.5829811,-0.9986043,0.91563463,-1.4338732,-1.1612236,0.015830994,-1.0060132,1.0802746,0.31263828,-0.1111567,1.2812614,-1.1577964,2.052188,-1.680094,1.7583251,-0.16203523,0.979054,-0.808835,2.489674,-0.6910801,0.7405758,1.1219263,1.0572553,1.2861729,0.65015554,2.3542643,0.23716688,2.2740364,0.58555603,-3.751433,3.0678034,0.36742687,0.8112192,-1.4034748,0.36655664,-0.5872488,-0.17436743,1.4981866,-1.0357499,-0.37904382,1.2272,-0.43357015,0.78225136,2.4737,0.12698174,1.7757297,-2.6134133,1.9160748,0.6727457,0.2717495,0.20823479,-1.7005742,0.16719103,-0.7886529,-0.38656592,-2.3976862,-0.12459755,-0.35127997,-2.503693,0.7855773,1.2930632,-1.8257737,1.0979176,1.3215661,-0.89221597,-0.20086169,1.4878511,0.27458668,-0.3132701,0.11571646,1.4550447,0.22292137,0.94071627,-2.1498442,1.4079332,0.18018484,1.7062664,-0.12623072,-1.0986209,-0.45360923,-0.6727636,0.94389915,-0.5945504,0.21723509,-1.1715949,-1.2298942,0.7108331,0.34285784,-0.25648475,-2.6282907,0.1250267,-0.7240534,2.313137,-2.0872176,-3.7637532,1.7009139,0.38979053,-0.8937061,-2.3121536,-1.2267411,3.979981,0.14193058,0.7529259,1.6192198,1.4226913,0.19286871,-1.5983701,-1.1867404,0.922668,0.04733801,-0.74881315,1.6385674,-0.23820996,0.38257837,1.8167973,-1.9163013,-1.3805926,1.8437386,-1.3282001,-1.2502551,-1.6575754,3.189659,0.9123802,0.735271,1.5483975,0.47038794,0.58135986,-3.0867875,-0.67273974,0.16100407,0.84792376,1.275909,-0.8514166,-0.5046785,2.138567,3.845787,-0.4472494,-1.8431962,0.89212656,-0.056511164,1.4394879,0.7249713,0.7367611,0.15858412,-0.3676057,-0.70443153,1.7296433,-0.53458214,-0.6438136,1.7157197,0.33180714,-0.33070445,-0.049090385,-0.5532801,0.79717636,3.2027602,7.2434783,-2.253604,-1.3962865,-0.12232065,-0.81124306,0.027751923,-0.1488924,0.92960596,-1.2765586,2.2399426,0.23335218,-2.266848,-0.757885,2.5532842,-0.9889245,-0.017416477,-0.37113428,1.4962196,1.2619734,1.9183993,-0.41609406,-1.4933884,1.0480404,1.9721627,-0.54422617,0.5693674,-2.576667,1.1694312,4.0536523,1.7830372,2.705586,2.1440983,-1.4782846,-0.543946,-0.17706156,-1.0589004,0.61889887,1.6646028,1.9653201,-1.262927,-0.2958119,0.3771782,-2.1784365,1.2961745,-0.45909882,-2.08866,-1.5601754,-2.6622653,-1.0471404,0.313282,3.1242847,-0.19724965,-1.1659801,-0.3102064,4.202211,-0.6115794,-2.3620546,4.68843,1.9934654,2.1012664,-2.196163,0.06451607,3.0713558,-0.5908072,-0.22261143,0.9824276,3.5743594,-1.6453922,-1.8889129,0.46817064,0.30187368,1.1621475,3.0238152,0.7617116,0.9736419,1.1785269,-2.9637754,-4.374319,-0.1000762,-0.49375296,2.7629733,-1.025492,-0.7414162,0.22671223,-2.552873,1.0876656,0.5614519,-1.7328084,-1.7348647,-3.1918228,0.1167655,1.7464757,2.888918,-0.8003235,1.2399197,-0.30597448,-2.0303786,-1.8900514,0.12956858,-0.17637014,6.1623573,-0.59149265,-2.315247,-0.036352873,1.0406852,1.2311459,0.3440857,-0.19032955,-0.020682812,-0.09918809,0.17387867,-2.2500098,1.6997337,8.2268,-1.9050121,0.43884516,2.9269576,3.3325553,-2.6578844,-3.5368323,-1.7059445,-1.5856147,4.02205,-1.9756198,-7.7156305,1.379168,2.1187901,2.5280595,-0.1395464,-0.8469641,0.40837526,3.9245725,-2.424866,3.7608027,0.15083551,-1.6750276,-2.1302938,-5.0852895,-0.9670973,0.12856722,3.3812404,3.3662558,-1.936847,-1.4809012,1.9711494,-0.43798685,-0.19754767,-1.2698114,0.849545,-1.4435947,-0.8465588,-0.089889765,-0.260818,-2.711916,0.09126663,-5.497837,0.82809925,2.2976995,0.1666069,1.9111514,-1.097399,-1.6666651,-0.4092276,-0.5704045,-0.8520961,-1.066798,-3.8587093,1.1095405,-0.2351284,-0.4716456,-2.9355228,-1.3854027,-0.3947556,-0.4748702,-0.25897622,0.53441525,1.7037153,-0.7400811,2.4300456,0.70632696,-0.9154856,-0.26088357,0.4177451,2.7836323,-1.147443,-0.97242594,1.5665054,2.8540611,6.6851854,-2.6774287,-0.58764815,-1.6915917,0.9799123,1.0557532,2.0766973,-0.9621382,1.0390401,0.5381465,-0.37450194,-4.0981474,-1.1768639,-0.27570724,0.8226633,1.2782931,1.2597322,1.0707498,-1.3179243,1.4737964,-3.174907,-1.0496795,3.4149885,2.2636533,-0.24040341,2.4591208,1.0940075,-2.6970088,2.9735327,0.9204984,-4.241276,-4.456365,-2.0783246,-0.7669687,1.3953447,-0.4703343,-1.6607165,0.7928848,0.20231009,-0.5013883,2.7604342,1.2875199,1.1170149,-0.39516687,3.2032013,-0.22912025,-0.36996603,-4.7747555,2.0344138,0.1455307,2.259636,-1.9957721,-3.3209682,1.8595576,-3.6945462,-0.9446502,-4.3554726,2.9100776,-0.9456217,2.504325,-4.1812,2.26326,4.8108935,-3.7403822,2.4413347,-2.414441,-1.9381166,0.3715396,1.7039776,0.24658442,-2.708435,1.971209,-1.1217892,-3.9431572,-1.4599979,0.6243706,-3.6605775,-1.2985349,1.7936707,0.3600359,-1.7683029,-0.49142838,1.5159249,2.311647,-0.13811588,1.53929,-1.5029967,1.6379118,-0.4227221,1.7647862,0.28192997,2.521336,3.8742542,-1.296109,-1.9328356,-1.0086656,4.5858264,-1.0971248,-3.7776768,-2.0478606,-1.4224291,1.7765641,-1.2851834,0.49780607,0.9233117,5.109358,-2.589327,-0.07293224,-0.9630978,-2.9282093,-0.32283068,1.8542409,-0.013560057,-2.427405,-2.8373063,2.183473,1.1995316,-1.6310334,1.5568495,-3.895229,1.5222073,-0.7138729,0.88237524,2.8081656,1.0549068,2.8493166,-2.658838,0.11484623,-1.8468201,-0.57032704,0.22467375,-2.43392,1.7716646,-4.232258,1.0444999,0.22592545,0.07323027,0.050973892,-0.7901907,-3.8387895,-1.7147124,-0.46681762,-0.88412166,-0.76912045,0.20513535,-0.35042167,2.318561,0.4471779,1.8057346,2.3069024,-1.2013555,-0.3385663,-2.913493,1.9217849,-3.2586932,-0.9166837,2.8339863,-0.5582571,0.014925003,2.6763558,0.9844899,-1.9666672,-0.17874241,-0.1542747,-1.7942548,2.108109,-2.435565,0.06811619,-0.63266754,-0.95596313,0.5391598,0.63399076,-0.11487603,1.0236025,-0.1930356,1.2905002,0.4927516,-1.5329719,-0.308609,0.27673244,-0.1129508,0.73053837,0.2611637,1.141572,-0.67848563,2.241397,0.36512613,4.211414,0.64257383,-0.33316016,-0.5148709,1.0897517,-0.26603937,0.30590296,1.0124683,0.48223734,2.1734,1.171124,-0.45882463,-0.21027327,0.0,0.5936384,1.5064359,1.9956946,-2.0719528,2.546823,-0.7323921,0.16930103,-3.6203623,-1.7304122,-0.07010102,0.32821894,1.282227,0.16989708,-1.8574715,-1.7528355,0.13122559,1.677835,0.9428024,0.43286085,-0.5180836,-0.9859741,0.009989738,-0.31879544,-0.0033140182,-0.22528768,-0.016570091,-0.56325793,1.2912035,0.21064281,-0.96685886,-0.20157099,-0.6663382,0.095283985,2.55754,2.07752,-0.80181956,-0.51596165,0.5975723,1.0489702,0.996685,0.178051,-0.6554961,-0.39038658,-0.020724535,1.0505676,-0.21244884,0.8075237,-0.03159046,-0.5549729,0.09782314,-0.11168122,-0.8683562,-0.21404624,1.2336612,1.6844392,0.74466467,0.83390474,-1.33214,-0.099635124,-0.52387714,0.5445242,1.319778,-0.22307038,0.18743277,-0.8966446,0.8175373,0.0036001205,2.2275329,0.25839806,-0.184232,0.99731684,1.3961315,-0.62620044,0.5334139,-0.0885129,1.0966063,1.2334824,-0.56343675,1.3676286,-0.37930608,-0.58872104,0.77552795,0.25268793,1.439333,0.4038453,-0.48854947,1.2041926,2.0674706,-0.6429434,-0.04041791,-0.913167,0.14840364,-0.8668363,-0.09136796,0.37482977,2.2882104,-0.5314827,1.382029,0.016450882,-0.8565128,-1.1968553,2.106738,1.6861916,-2.9362798,-0.3843367,-2.0914257,1.093185,1.3226748,-0.5327046,-1.6159773,-0.12689233,-0.13068914,-0.8053124,-2.8285682,0.16058683,0.15317202,1.5476108,-1.308608,0.8983135,-0.18550754,-0.7670462,0.47783852,1.5298009,-1.1218965,1.0081649,0.023448467,1.0266542,1.3405442,0.8230448,-0.48580766,2.7728438,2.7908564,1.6907454,-1.4410794,-0.524354,1.7818689,-1.3250709,-0.8923292,0.673759,2.4484515,-0.1603663,-2.6662111,-0.2818644,1.235044,-0.39873123,-0.58196187,2.0265102,-0.58174133,2.8101444,-1.8177927,2.1479368,-0.3647387,-2.6980817,-1.2956917,1.9623041,1.4804125,-2.3704946,0.54872036,-0.52875876,-2.6808321,-1.1567295,-0.16789436,0.20517111,-0.5265534,0.20450354,0.68775415,-0.38971305,0.5361557,0.11148453,0.07851124,-0.40740967,1.4571428,-0.058418512,3.3152223,-2.9171646,2.5890946,0.24533272,1.2198806,1.5844226,0.4356146,0.28082132,3.6499739,1.7822742,-0.17369986,-1.534617,0.65603256,-1.1770725,-0.969851,0.6092787,2.8456926,-2.5929272,0.09646416,-2.1266043,0.33382177,-1.1019409,-0.36007166,0.99214315,0.7827282,-1.3039172,0.6065011,1.8299103,-0.37826896,0.063848495,2.4050832,-0.032675266,0.44077635,1.301539,-0.6043434,-1.9489825,0.80264807,-0.032657385,0.056004524,-0.52467585,-0.388515,0.9996772,-0.53895116,0.6358981,0.004673004,1.7847776,-0.13308525,-0.9556532,0.6348252,-1.5760541,-1.27514,0.33254623,0.49664974,-0.51258206,2.6254773,-3.3792794,-2.3824453,0.1925826,3.1886816,4.8248887,2.026391,-0.06914735,-1.099062],"MSFT-US^JULIAN(FG_PRICE(45961,45961-5AY,,USD).DATES)":[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,45778,45777,45776,45775,45772,45771,45770,45769,45768,45764,45763,45762,45761,45758,45757,45756,45755,45754,45751,45750,45749,45748,45747,45744,45743,45742,45741,45740,45737,45736,45735,45734,45733,45730,45729,45728,45727,45726,45723,45722,45721,45720,45719,45716,45715,45714,45713,45712,45709,45708,45707,45706,45702,45701,45700,45699,45698,45695,45694,45693,45692,45691,45688,45687,45686,45685,45684,45681,45680,45679,45678,45674,45673,45672,45671,45670,45667,45665,45664,45663,45660,45659,45657,45656,45653,45652,45650,45649,45646,45645,45644,45643,45642,45639,45638,45637,45636,45635,45632,45631,45630,45629,45628,45625,45623,45622,45621,45618,45617,45616,45615,45614,45611,45610,45609,45608,45607,45604,45603,45602,45601,45600,45597,45596,45595,45594,45593,45590,45589,45588,45587,45586,45583,45582,45581,45580,45579,45576,45575,45574,45573,45572,45569,45568,45567,45566,45565,45562,45561,45560,45559,45558,45555,45554,45553,45552,45551,45548,45547,45546,45545,45544,45541,45540,45539,45538,45534,45533,45532,45531,45530,45527,45526,45525,45524,45523,45520,45519,45518,45517,45516,45513,45512,45511,45510,45509,45506,45505,45504,45503,45502,45499,45498,45497,45496,45495,45492,45491,45490,45489,45488,45485,45484,45483,45482,45481,45478,45476,45475,45474,45471,45470,45469,45468,45467,45464,45463,45461,45460,45457,45456,45455,45454,45453,45450,45449,45448,45447,45446,45443,45442,45441,45440,45436,45435,45434,45433,45432,45429,45428,45427,45426,45425,45422,45421,45420,45419,45418,45415,45414,45413,45412,45411,45408,45407,45406,45405,45404,45401,45400,45399,45398,45397,45394,45393,45392,45391,45390,45387,45386,45385,45384,45383,45379,45378,45377,45376,45373,45372,45371,45370,45369,45366,45365,45364,45363,45362,45359,45358,45357,45356,45355,45352,45351,45350,45349,45348,45345,45344,45343,45342,45338,45337,45336,45335,45334,45331,45330,45329,45328,45327,45324,45323,45322,45321,45320,45317,45316,45315,45314,45313,45310,45309,45308,45307,45303,45302,45301,45300,45299,45296,45295,45294,45293,45289,45288,45287,45286,45282,45281,45280,45279,45278,45275,45274,45273,45272,45271,45268,45267,45266,45265,45264,45261,45260,45259,45258,45257,45254,45252,45251,45250,45247,45246,45245,45244,45243,45240,45239,45238,45237,45236,45233,45232,45231,45230,45229,45226,45225,45224,45223,45222,45219,45218,45217,45216,45215,45212,45211,45210,45209,45208,45205,45204,45203,45202,45201,45198,45197,45196,45195,45194,45191,45190,45189,45188,45187,45184,45183,45182,45181,45180,45177,45176,45175,45174,45170,45169,45168,45167,45166,45163,45162,45161,45160,45159,45156,45155,45154,45153,45152,45149,45148,45147,45146,45145,45142,45141,45140,45139,45138,45135,45134,45133,45132,45131,45128,45127,45126,45125,45124,45121,45120,45119,45118,45117,45114,45113,45112,45110,45107,45106,45105,45104,45103,45100,45099,45098,45097,45093,45092,45091,45090,45089,45086,45085,45084,45083,45082,45079,45078,45077,45076,45072,45071,45070,45069,45068,45065,45064,45063,45062,45061,45058,45057,45056,45055,45054,45051,45050,45049,45048,45047,45044,45043,45042,45041,45040,45037,45036,45035,45034,45033,45030,45029,45028,45027,45026,45022,45021,45020,45019,45016,45015,45014,45013,45012,45009,45008,45007,45006,45005,45002,45001,45000,44999,44998,44995,44994,44993,44992,44991,44988,44987,44986,44985,44984,44981,44980,44979,44978,44974,44973,44972,44971,44970,44967,44966,44965,44964,44963,44960,44959,44958,44957,44956,44953,44952,44951,44950,44949,44946,44945,44944,44943,44939,44938,44937,44936,44935,44932,44931,44930,44929,44925,44924,44923,44922,44918,44917,44916,44915,44914,44911,44910,44909,44908,44907,44904,44903,44902,44901,44900,44897,44896,44895,44894,44893,44890,44888,44887,44886,44883,44882,44881,44880,44879,44876,44875,44874,44873,44872,44869,44868,44867,44866,44865,44862,44861,44860,44859,44858,44855,44854,44853,44852,44851,44848,44847,44846,44845,44844,44841,44840,44839,44838,44837,44834,44833,44832,44831,44830,44827,44826,44825,44824,44823,44820,44819,44818,44817,44816,44813,44812,44811,44810,44806,44805,44804,44803,44802,44799,44798,44797,44796,44795,44792,44791,44790,44789,44788,44785,44784,44783,44782,44781,44778,44777,44776,44775,44774,44771,44770,44769,44768,44767,44764,44763,44762,44761,44760,44757,44756,44755,44754,44753,44750,44749,44748,44747,44743,44742,44741,44740,44739,44736,44735,44734,44733,44729,44728,44727,44726,44725,44722,44721,44720,44719,44718,44715,44714,44713,44712,44708,44707,44706,44705,44704,44701,44700,44699,44698,44697,44694,44693,44692,44691,44690,44687,44686,44685,44684,44683,44680,44679,44678,44677,44676,44673,44672,44671,44670,44669,44665,44664,44663,44662,44659,44658,44657,44656,44655,44652,44651,44650,44649,44648,44645,44644,44643,44642,44641,44638,44637,44636,44635,44634,44631,44630,44629,44628,44627,44624,44623,44622,44621,44620,44617,44616,44615,44614,44610,44609,44608,44607,44606,44603,44602,44601,44600,44599,44596,44595,44594,44593,44592,44589,44588,44587,44586,44585,44582,44581,44580,44579,44575,44574,44573,44572,44571,44568,44567,44566,44565,44564,44561,44560,44559,44558,44557,44553,44552,44551,44550,44547,44546,44545,44544,44543,44540,44539,44538,44537,44536,44533,44532,44531,44530,44529,44526,44524,44523,44522,44519,44518,44517,44516,44515,44512,44511,44510,44509,44508,44505,44504,44503,44502,44501,44498,44497,44496,44495,44494,44491,44490,44489,44488,44487,44484,44483,44482,44481,44480,44477,44476,44475,44474,44473,44470,44469,44468,44467,44466,44463,44462,44461,44460,44459,44456,44455,44454,44453,44452,44449,44448,44447,44446,44442,44441,44440,44439,44438,44435,44434,44433,44432,44431,44428,44427,44426,44425,44424,44421,44420,44419,44418,44417,44414,44413,44412,44411,44410,44407,44406,44405,44404,44403,44400,44399,44398,44397,44396,44393,44392,44391,44390,44389,44386,44385,44384,44383,44379,44378,44377,44376,44375,44372,44371,44370,44369,44368,44365,44364,44363,44362,44361,44358,44357,44356,44355,44354,44351,44350,44349,44348,44344,44343,44342,44341,44340,44337,44336,44335,44334,44333,44330,44329,44328,44327,44326,44323,44322,44321,44320,44319,44316,44315,44314,44313,44312,44309,44308,44307,44306,44305,44302,44301,44300,44299,44298,44295,44294,44293,44292,44291,44287,44286,44285,44284,44281,44280,44279,44278,44277,44274,44273,44272,44271,44270,44267,44266,44265,44264,44263,44260,44259,44258,44257,44256,44253,44252,44251,44250,44249,44246,44245,44244,44243,44239,44238,44237,44236,44235,44232,44231,44230,44229,44228,44225,44224,44223,44222,44221,44218,44217,44216,44215,44211,44210,44209,44208,44207,44204,44203,44202,44201,44200,44196,44195,44194,44193,44189,44188,44187,44186,44183,44182,44181,44180,44179,44176,44175,44174,44173,44172,44169,44168,44167,44166,44165,44162,44160,44159,44158,44155,44154,44153,44152,44151,44148,44147,44146,44145,44144,44141,44140,44139,44138,44137,44134],"^PSETCAL(\"NAY\",,\"NAME\")":"calendar: United States","^FG_COMPANY_NAME":null,"^PROPER_NAME":null,"MCO-US^PROPER_NAME":"Moody's Corporation","SHW-US^PROPER_NAME":"Sherwin-Williams Company","EVD-DE^PROPER_NAME":"CTS Eventim AG & Co. KGaA","BKNG-US^PROPER_NAME":"Booking Holdings Inc.","ADSK-US^PROPER_NAME":"Autodesk, Inc.","WDAY-US^PROPER_NAME":"Workday, Inc. Class A","RTO-GB^PROPER_NAME":"Rentokil Initial plc","BBCA-ID^PROPER_NAME":"PT Bank Central Asia Tbk","AZO-US^PROPER_NAME":"AutoZone, Inc.","ALLE-US^PROPER_NAME":"Allegion Public Limited Company","ATCO.B-SE^PROPER_NAME":"Atlas Copco AB Class B","B3SA3-BR^PROPER_NAME":"B3 SA - Brasil, Bolsa, Balcao","ZTS-US^PROPER_NAME":"Zoetis, Inc. Class A","FERG-US^PROPER_NAME":"Ferguson Enterprises Inc.","EW-US^PROPER_NAME":"Edwards Lifesciences Corporation","INTU-US^PROPER_NAME":"Intuit Inc.","HDB-US^PROPER_NAME":"HDFC Bank Limited Sponsored ADR","1299-HK^PROPER_NAME":"AIA Group Limited","ROG-CH^PROPER_NAME":"Roche Holding Ltd Dividend Right Cert.","SAF-FR^PROPER_NAME":"Safran SA","EXPN-GB^PROPER_NAME":"Experian PLC","SCHW-US^PROPER_NAME":"Charles Schwab Corp","TSM-US^PROPER_NAME":"Taiwan Semiconductor Manufacturing Co., Ltd. Sponsored ADR","GE-US^PROPER_NAME":"GE Aerospace","DB1-DE^PROPER_NAME":"Deutsche Boerse AG","ASML-US^PROPER_NAME":"ASML Holding NV Sponsored ADR","ULVR-GB^PROPER_NAME":"Unilever PLC","MA-US^PROPER_NAME":"Mastercard Incorporated Class A","V-US^PROPER_NAME":"Visa Inc. Class A","LSEG-GB^PROPER_NAME":"London Stock Exchange Group plc","GOOG-US^PROPER_NAME":"Alphabet Inc. Class C","MSFT-US^PROPER_NAME":"Microsoft Corporation","DUMMY^CORREL_MATRIX(CORRELMATRIX)":[[1.0,0.6602172,0.11480432,0.44737276,0.4808563,0.016145427,0.5822661,0.14425503,0.3014616,0.4903793,0.267167,0.27763397,0.17271675,0.089628235,0.008310933,0.28786197,0.62596166,0.35392687,0.3587558,0.40642413,0.1860025,0.268966,0.37333167,0.21489932,0.098974645,0.19745813,0.55141306,0.5700099,0.39047444,0.14743002,0.35503155,0.5726618],[0.6602172,1.0,0.1288944,0.39927265,0.42491433,0.02683493,0.50340265,0.098878205,0.29815143,0.45100883,0.24902625,0.21984063,0.18892059,0.061816532,0.044050697,0.26997408,0.54476255,0.32421997,0.2996653,0.3569,0.2036618,0.23337437,0.28092483,0.1522361,0.059248313,0.1447075,0.4320502,0.49197906,0.39714432,0.14764051,0.26885998,0.46503523],[0.11480432,0.1288944,1.0,0.17274241,0.15690845,0.27212468,0.1915429,0.54103786,0.094351865,0.13669819,0.09851729,0.45928076,0.28440186,0.29977077,0.12050736,0.19495247,0.18303666,0.18619199,0.15717058,0.1726982,0.13807361,0.35244116,0.04066656,0.06786581,0.058418788,0.312711,0.1409297,0.18247983,0.09844582,0.2795783,0.1165571,0.25265074],[0.44737276,0.39927265,0.17274241,1.0,0.88173735,0.1128113,0.39051622,0.21412763,0.418707,0.30322325,0.37733322,0.27664655,0.3022692,0.1277087,0.052469287,0.33338684,0.4823142,0.3527749,0.37868068,0.41178825,0.14241678,0.26348475,0.41775015,0.2943026,0.07057856,0.16095908,0.40438142,0.45402867,0.51456714,0.26409146,0.39198723,0.5399711],[0.4808563,0.42491433,0.15690845,0.88173735,1.0,0.121826276,0.42422023,0.22820488,0.44700685,0.32116455,0.39673948,0.2770046,0.33722252,0.12520835,0.057950255,0.3835561,0.5236233,0.38375455,0.38851005,0.4341406,0.1691443,0.30399925,0.4461775,0.28398523,0.073454365,0.18750893,0.43069217,0.500421,0.5664322,0.2987343,0.38738152,0.5602167],[0.016145427,0.02683493,0.27212468,0.1128113,0.121826276,1.0,0.03997197,0.3438901,0.05402053,0.025981035,0.035275526,0.3355551,0.22893472,0.28797138,0.13305753,0.13162139,0.046338905,0.020011267,0.12381701,0.17518488,0.041053824,0.23730204,0.098312415,0.12150303,0.06315047,0.28705734,0.03587716,0.069559805,0.068910554,0.18897523,0.13355766,0.12608184],[0.5822661,0.50340265,0.1915429,0.39051622,0.42422023,0.03997197,1.0,0.19588377,0.38918862,0.7003524,0.30205593,0.3510487,0.27095345,0.10183631,0.086207494,0.31032413,0.5533673,0.3235543,0.4569311,0.38298845,0.18508182,0.44080138,0.38972098,0.15856995,0.07262522,0.21007457,0.4502916,0.5513974,0.45197335,0.2628503,0.34209198,0.48905623],[0.14425503,0.098878205,0.54103786,0.21412763,0.22820488,0.3438901,0.19588377,1.0,0.122936726,0.10890806,0.0957226,0.44998568,0.39820796,0.3448901,0.08669336,0.22101165,0.19934581,0.1659841,0.14290443,0.2110136,0.15060684,0.3877785,0.110066496,0.14030321,0.04464204,0.37145242,0.15192589,0.1776095,0.17202592,0.36710358,0.14558794,0.25797442],[0.3014616,0.29815143,0.094351865,0.418707,0.44700685,0.05402053,0.38918862,0.122936726,1.0,0.36634833,0.41518444,0.1663605,0.4172788,0.03741375,0.03402584,0.25862768,0.33655694,0.24646682,0.37180993,0.23793127,0.13513638,0.26889184,0.41050643,0.20242758,0.06133442,0.1371865,0.21784183,0.34777665,0.49389368,0.2692853,0.28647375,0.38403314],[0.4903793,0.45100883,0.13669819,0.30322325,0.32116455,0.025981035,0.7003524,0.10890806,0.36634833,1.0,0.26972643,0.2576659,0.22681463,0.047630403,0.12007378,0.26383513,0.44004235,0.22611693,0.36989662,0.25573727,0.16203232,0.32127917,0.30762088,0.07632956,0.09366875,0.1447472,0.36428177,0.4650613,0.3971287,0.17484505,0.2578943,0.38030174],[0.267167,0.24902625,0.09851729,0.37733322,0.39673948,0.035275526,0.30205593,0.0957226,0.41518444,0.26972643,1.0,0.15361369,0.29598546,0.0005603322,0.0341788,0.3070179,0.317386,0.18734102,0.29130426,0.20451726,0.17271894,0.22151203,0.3963527,0.23189104,0.10204573,0.06167387,0.23859946,0.32080665,0.39641568,0.20724937,0.27418944,0.33861277],[0.27763397,0.21984063,0.45928076,0.27664655,0.2770046,0.3355551,0.3510487,0.44998568,0.1663605,0.2576659,0.15361369,1.0,0.4245813,0.35048857,0.12665023,0.23366344,0.30833653,0.22989279,0.32436532,0.31517896,0.16125801,0.57328904,0.25776264,0.15172534,0.07501913,0.52231896,0.23014224,0.30139518,0.18981889,0.34089434,0.3137019,0.40515828],[0.17271675,0.18892059,0.28440186,0.3022692,0.33722252,0.22893472,0.27095345,0.39820796,0.4172788,0.22681463,0.29598546,0.4245813,1.0,0.21131513,0.14178161,0.29576716,0.21018147,0.17405881,0.2884078,0.10838473,0.17025054,0.49826986,0.24358143,0.12743644,0.110910505,0.28363976,0.14111637,0.20658293,0.40367833,0.5067775,0.17269012,0.24065845],[0.089628235,0.061816532,0.29977077,0.1277087,0.12520835,0.28797138,0.10183631,0.3448901,0.03741375,0.047630403,0.0005603322,0.35048857,0.21131513,1.0,0.07535537,0.16362783,0.13735245,0.07182634,0.13387391,0.1921412,0.07625269,0.27645284,0.090241775,0.104383096,0.04397877,0.29526287,0.12870222,0.09197058,0.038462576,0.1849121,0.14701863,0.22151062],[0.008310933,0.044050697,0.12050736,0.052469287,0.057950255,0.13305753,0.086207494,0.08669336,0.03402584,0.12007378,0.0341788,0.12665023,0.14178161,0.07535537,1.0,0.10757822,0.03903523,0.037537426,0.048805915,0.053312283,0.11416633,0.16275035,0.052125268,-0.018566653,0.12656653,0.09439859,0.025650848,0.042687595,0.08137319,0.12958428,0.009492949,0.04938311],[0.28786197,0.26997408,0.19495247,0.33338684,0.3835561,0.13162139,0.31032413,0.22101165,0.25862768,0.26383513,0.3070179,0.23366344,0.29576716,0.16362783,0.10757822,1.0,0.31683585,0.22424337,0.28096628,0.26792565,0.16979149,0.2691437,0.28594357,0.1561577,0.12752318,0.17824054,0.26493755,0.35084158,0.3396367,0.27277035,0.23394033,0.31985283],[0.62596166,0.54476255,0.18303666,0.4823142,0.5236233,0.046338905,0.5533673,0.19934581,0.33655694,0.44004235,0.317386,0.30833653,0.21018147,0.13735245,0.03903523,0.31683585,1.0,0.3925602,0.39339897,0.4661218,0.15552998,0.28714323,0.3891098,0.2171235,0.054165937,0.21849826,0.6106168,0.64434785,0.44671327,0.21181017,0.39583263,0.57665265],[0.35392687,0.32421997,0.18619199,0.3527749,0.38375455,0.020011267,0.3235543,0.1659841,0.24646682,0.22611693,0.18734102,0.22989279,0.17405881,0.07182634,0.037537426,0.22424337,0.3925602,1.0,0.19782186,0.36334464,0.1316958,0.20185311,0.2809613,0.15960535,0.05175569,0.17746663,0.2969387,0.37196097,0.318266,0.16762279,0.25086343,0.37441856],[0.3587558,0.2996653,0.15717058,0.37868068,0.38851005,0.12381701,0.4569311,0.14290443,0.37180993,0.36989662,0.29130426,0.32436532,0.2884078,0.13387391,0.048805915,0.28096628,0.39339897,0.19782186,1.0,0.34693485,0.15949665,0.3754337,0.45536423,0.20926523,0.031968568,0.22803198,0.35311884,0.43644047,0.35342523,0.19715057,0.4101371,0.44597325],[0.40642413,0.3569,0.1726982,0.41178825,0.4341406,0.17518488,0.38298845,0.2110136,0.23793127,0.25573727,0.20451726,0.31517896,0.10838473,0.1921412,0.053312283,0.26792565,0.4661218,0.36334464,0.34693485,1.0,0.13069318,0.23051614,0.39521497,0.27457425,0.05225324,0.1884587,0.3829848,0.42648733,0.29217255,0.1462819,0.43629214,0.53689325],[0.1860025,0.2036618,0.13807361,0.14241678,0.1691443,0.041053824,0.18508182,0.15060684,0.13513638,0.16203232,0.17271894,0.16125801,0.17025054,0.07625269,0.11416633,0.16979149,0.15552998,0.1316958,0.15949665,0.13069318,1.0,0.1716022,0.1374936,0.078253455,0.07247388,0.09996514,0.17177677,0.1792791,0.15277743,0.122030325,0.121919975,0.21730869],[0.268966,0.23337437,0.35244116,0.26348475,0.30399925,0.23730204,0.44080138,0.3877785,0.26889184,0.32127917,0.22151203,0.57328904,0.49826986,0.27645284,0.16275035,0.2691437,0.28714323,0.20185311,0.3754337,0.23051614,0.1716022,1.0,0.31981412,0.12319111,0.12790614,0.38952658,0.20170431,0.28845963,0.28768867,0.4453952,0.2452502,0.34701312],[0.37333167,0.28092483,0.04066656,0.41775015,0.4461775,0.098312415,0.38972098,0.110066496,0.41050643,0.30762088,0.3963527,0.25776264,0.24358143,0.090241775,0.052125268,0.28594357,0.3891098,0.2809613,0.45536423,0.39521497,0.1374936,0.31981412,1.0,0.29209107,0.059979577,0.18009502,0.32953933,0.43374,0.38031825,0.20712267,0.51760036,0.4854655],[0.21489932,0.1522361,0.06786581,0.2943026,0.28398523,0.12150303,0.15856995,0.14030321,0.20242758,0.07632956,0.23189104,0.15172534,0.12743644,0.104383096,-0.018566653,0.1561577,0.2171235,0.15960535,0.20926523,0.27457425,0.078253455,0.12319111,0.29209107,1.0,0.028859528,0.10382106,0.14961903,0.23638722,0.1947729,0.07384373,0.31779498,0.29821667],[0.098974645,0.059248313,0.058418788,0.07057856,0.073454365,0.06315047,0.07262522,0.04464204,0.06133442,0.09366875,0.10204573,0.07501913,0.110910505,0.04397877,0.12656653,0.12752318,0.054165937,0.05175569,0.031968568,0.05225324,0.07247388,0.12790614,0.059979577,0.028859528,1.0,0.07372455,0.05628952,0.0488498,0.12504548,0.10357219,0.049287044,0.053459376],[0.19745813,0.1447075,0.312711,0.16095908,0.18750893,0.28705734,0.21007457,0.37145242,0.1371865,0.1447472,0.06167387,0.52231896,0.28363976,0.29526287,0.09439859,0.17824054,0.21849826,0.17746663,0.22803198,0.1884587,0.09996514,0.38952658,0.18009502,0.10382106,0.07372455,1.0,0.14129876,0.23657632,0.13799842,0.2617828,0.19629179,0.2802365],[0.55141306,0.4320502,0.1409297,0.40438142,0.43069217,0.03587716,0.4502916,0.15192589,0.21784183,0.36428177,0.23859946,0.23014224,0.14111637,0.12870222,0.025650848,0.26493755,0.6106168,0.2969387,0.35311884,0.3829848,0.17177677,0.20170431,0.32953933,0.14961903,0.05628952,0.14129876,1.0,0.58626735,0.36752674,0.13028926,0.33166748,0.48027095],[0.5700099,0.49197906,0.18247983,0.45402867,0.500421,0.069559805,0.5513974,0.1776095,0.34777665,0.4650613,0.32080665,0.30139518,0.20658293,0.09197058,0.042687595,0.35084158,0.64434785,0.37196097,0.43644047,0.42648733,0.1792791,0.28845963,0.43374,0.23638722,0.0488498,0.23657632,0.58626735,1.0,0.4523449,0.20760763,0.4102486,0.5568605],[0.39047444,0.39714432,0.09844582,0.51456714,0.5664322,0.068910554,0.45197335,0.17202592,0.49389368,0.3971287,0.39641568,0.18981889,0.40367833,0.038462576,0.08137319,0.3396367,0.44671327,0.318266,0.35342523,0.29217255,0.15277743,0.28768867,0.38031825,0.1947729,0.12504548,0.13799842,0.36752674,0.4523449,1.0,0.36715543,0.27548656,0.39787203],[0.14743002,0.14764051,0.2795783,0.26409146,0.2987343,0.18897523,0.2628503,0.36710358,0.2692853,0.17484505,0.20724937,0.34089434,0.5067775,0.1849121,0.12958428,0.27277035,0.21181017,0.16762279,0.19715057,0.1462819,0.122030325,0.4453952,0.20712267,0.07384373,0.10357219,0.2617828,0.13028926,0.20760763,0.36715543,1.0,0.09869452,0.20587155],[0.35503155,0.26885998,0.1165571,0.39198723,0.38738152,0.13355766,0.34209198,0.14558794,0.28647375,0.2578943,0.27418944,0.3137019,0.17269012,0.14701863,0.009492949,0.23394033,0.39583263,0.25086343,0.4101371,0.43629214,0.121919975,0.2452502,0.51760036,0.31779498,0.049287044,0.19629179,0.33166748,0.4102486,0.27548656,0.09869452,1.0,0.560516],[0.5726618,0.46503523,0.25265074,0.5399711,0.5602167,0.12608184,0.48905623,0.25797442,0.38403314,0.38030174,0.33861277,0.40515828,0.24065845,0.22151062,0.04938311,0.31985283,0.57665265,0.37441856,0.44597325,0.53689325,0.21730869,0.34701312,0.4854655,0.29821667,0.053459376,0.2802365,0.48027095,0.5568605,0.39787203,0.20587155,0.560516,1.0]],"^IDS":["MSFT-US","GOOG-US","LSEG-GB","V-US","MA-US","ULVR-GB","ASML-US","DB1-DE","GE-US","TSM-US","SCHW-US","EXPN-GB","SAF-FR","ROG-CH","1299-HK","HDB-US","INTU-US","EW-US","FERG-US","ZTS-US","B3SA3-BR","ATCO.B-SE","ALLE-US","AZO-US","BBCA-ID","RTO-GB","WDAY-US","ADSK-US","BKNG-US","EVD-DE","SHW-US","MCO-US"],"DUMMY^FLOAT_ARRAY CORRELMATRIX=GET_FQL_ARRAY(IDS,'P_PRICE_RETURNS(0,45961,45961-5AY,D,USD)');'FDS CODE - DO NOT DELETE'":"FDS CODE - DO NOT DELETE","DUMMY^STRING_ARRAY IDS=TICKER_LIST('MSFT-US GOOG-US LSEG-GB V-US MA-US ULVR-GB ASML-US DB1-DE GE-US TSM-US SCHW-US EXPN-GB SAF-FR ROG-CH 1299-HK HDB-US INTU-US EW-US FERG-US ZTS-US B3SA3-BR ATCO.B-SE ALLE-US AZO-US BBCA-ID RTO-GB WDAY-US ADSK-US BKNG-US EVD-DE SHW-US MCO-US');\"FDS CODE - DO NOT DELETE\"":"FDS CODE - DO NOT DELETE","DUMMY^PROPER(\"CORRELATION OF DAILY DATA BETWEEN \") + FG_DATE(45961-5AY) + LOWERCASE(\" AND \") + FG_DATE(45961) + LOWERCASE(\":\")":"Correlation Of Daily Data Between 10/30/2020 and 10/31/2025:","MSFT-US^FG_COMPANY_NAME":"Microsoft Corporation","GOOG-US^FG_COMPANY_NAME":"Alphabet Inc. Class C","LSEG-GB^FG_COMPANY_NAME":"London Stock Exchange Group plc","V-US^FG_COMPANY_NAME":"Visa Inc. Class A","MA-US^FG_COMPANY_NAME":"Mastercard Incorporated Class A","ULVR-GB^FG_COMPANY_NAME":"Unilever PLC","ASML-US^FG_COMPANY_NAME":"ASML Holding NV Sponsored ADR","DB1-DE^FG_COMPANY_NAME":"Deutsche Boerse AG","GE-US^FG_COMPANY_NAME":"GE Aerospace","TSM-US^FG_COMPANY_NAME":"Taiwan Semiconductor Manufacturing Co., Ltd. Sponsored ADR","SCHW-US^FG_COMPANY_NAME":"Charles Schwab Corp","EXPN-GB^FG_COMPANY_NAME":"Experian PLC","SAF-FR^FG_COMPANY_NAME":"Safran SA","ROG-CH^FG_COMPANY_NAME":"Roche Holding Ltd Dividend Right Cert.","1299-HK^FG_COMPANY_NAME":"AIA Group Limited","HDB-US^FG_COMPANY_NAME":"HDFC Bank Limited Sponsored ADR","INTU-US^FG_COMPANY_NAME":"Intuit Inc.","EW-US^FG_COMPANY_NAME":"Edwards Lifesciences Corporation","FERG-US^FG_COMPANY_NAME":"Ferguson Enterprises Inc.","ZTS-US^FG_COMPANY_NAME":"Zoetis, Inc. Class A","B3SA3-BR^FG_COMPANY_NAME":"B3 SA - Brasil, Bolsa, Balcao","ATCO.B-SE^FG_COMPANY_NAME":"Atlas Copco AB Class B","ALLE-US^FG_COMPANY_NAME":"Allegion Public Limited Company","AZO-US^FG_COMPANY_NAME":"AutoZone, Inc.","BBCA-ID^FG_COMPANY_NAME":"PT Bank Central Asia Tbk","RTO-GB^FG_COMPANY_NAME":"Rentokil Initial plc","WDAY-US^FG_COMPANY_NAME":"Workday, Inc. Class A","ADSK-US^FG_COMPANY_NAME":"Autodesk, Inc.","BKNG-US^FG_COMPANY_NAME":"Booking Holdings Inc.","EVD-DE^FG_COMPANY_NAME":"CTS Eventim AG & Co. KGaA","SHW-US^FG_COMPANY_NAME":"Sherwin-Williams Company","MCO-US^FG_COMPANY_NAME":"Moody's Corporation"}]]></FdsFormulaCache>
</file>

<file path=customXml/itemProps1.xml><?xml version="1.0" encoding="utf-8"?>
<ds:datastoreItem xmlns:ds="http://schemas.openxmlformats.org/officeDocument/2006/customXml" ds:itemID="{D653DE2C-CB6F-4685-8C9E-24E606914373}">
  <ds:schemaRefs>
    <ds:schemaRef ds:uri="urn:fdsformulacache"/>
  </ds:schemaRefs>
</ds:datastoreItem>
</file>

<file path=docMetadata/LabelInfo.xml><?xml version="1.0" encoding="utf-8"?>
<clbl:labelList xmlns:clbl="http://schemas.microsoft.com/office/2020/mipLabelMetadata">
  <clbl:label id="{ce06a806-128a-42b3-9b50-2719b8746adb}" enabled="1" method="Standard" siteId="{ff9b87e3-c548-4b3d-8782-7cf47b86c0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Correlation Matrix</vt:lpstr>
      <vt:lpstr>Backend</vt:lpstr>
      <vt:lpstr>Proof</vt:lpstr>
    </vt:vector>
  </TitlesOfParts>
  <Company>FactSet Research Systems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Fortuna</dc:creator>
  <cp:lastModifiedBy>Ward, Meghan</cp:lastModifiedBy>
  <dcterms:created xsi:type="dcterms:W3CDTF">2017-11-20T14:02:05Z</dcterms:created>
  <dcterms:modified xsi:type="dcterms:W3CDTF">2025-12-09T09:35:33Z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_AdHocReviewCycleID">
    <vt:i4>-528403289</vt:i4>
  </property>
  <property fmtid="{D5CDD505-2E9C-101B-9397-08002B2CF9AE}" pid="4" name="_NewReviewCycle">
    <vt:lpwstr/>
  </property>
  <property fmtid="{D5CDD505-2E9C-101B-9397-08002B2CF9AE}" pid="5" name="_EmailSubject">
    <vt:lpwstr>Correlation matrix due today - please hand over if you cannot finish</vt:lpwstr>
  </property>
  <property fmtid="{D5CDD505-2E9C-101B-9397-08002B2CF9AE}" pid="6" name="_AuthorEmail">
    <vt:lpwstr>mward@brownadvisory.com</vt:lpwstr>
  </property>
  <property fmtid="{D5CDD505-2E9C-101B-9397-08002B2CF9AE}" pid="7" name="_AuthorEmailDisplayName">
    <vt:lpwstr>Ward, Meghan</vt:lpwstr>
  </property>
  <property fmtid="{D5CDD505-2E9C-101B-9397-08002B2CF9AE}" pid="8" name="_PreviousAdHocReviewCycleID">
    <vt:i4>-616084431</vt:i4>
  </property>
  <property fmtid="{D5CDD505-2E9C-101B-9397-08002B2CF9AE}" pid="9" name="_ReviewingToolsShownOnce">
    <vt:lpwstr/>
  </property>
</Properties>
</file>