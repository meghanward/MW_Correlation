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L:\Meghan Ward\Nick Kirrage\Correlations - Early Iteration\"/>
    </mc:Choice>
  </mc:AlternateContent>
  <xr:revisionPtr revIDLastSave="0" documentId="13_ncr:1_{7A4D29F7-4738-4B5D-9F68-67E10D531065}" xr6:coauthVersionLast="47" xr6:coauthVersionMax="47" xr10:uidLastSave="{00000000-0000-0000-0000-000000000000}"/>
  <bookViews>
    <workbookView xWindow="38280" yWindow="-120" windowWidth="38640" windowHeight="21120" firstSheet="1" activeTab="1" xr2:uid="{00000000-000D-0000-FFFF-FFFF00000000}"/>
  </bookViews>
  <sheets>
    <sheet name="__FDSCACHE__" sheetId="2" state="veryHidden" r:id="rId1"/>
    <sheet name="Correlation Matrix" sheetId="5" r:id="rId2"/>
    <sheet name="Backend" sheetId="1" r:id="rId3"/>
    <sheet name="Proof" sheetId="4" r:id="rId4"/>
    <sheet name="__APW_ACTIVE_FIELD_RESTORE__" sheetId="3" state="veryHidden" r:id="rId5"/>
  </sheets>
  <definedNames>
    <definedName name="__APW_RESTORE_DATA0__" hidden="1">Backend!#REF!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29" i="1" l="1" a="1"/>
  <c r="BI29" i="1" l="1"/>
  <c r="BH29" i="1" a="1"/>
  <c r="BH29" i="1" l="1"/>
  <c r="BG29" i="1" a="1"/>
  <c r="BG29" i="1" l="1"/>
  <c r="BF29" i="1" a="1"/>
  <c r="BF29" i="1" l="1"/>
  <c r="BE29" i="1" a="1"/>
  <c r="BE29" i="1" l="1"/>
  <c r="BD29" i="1" a="1"/>
  <c r="BD29" i="1" l="1"/>
  <c r="BC29" i="1" a="1"/>
  <c r="BC29" i="1" l="1"/>
  <c r="BB29" i="1" a="1"/>
  <c r="BB29" i="1" l="1"/>
  <c r="BA29" i="1" a="1"/>
  <c r="BA29" i="1" l="1"/>
  <c r="AZ29" i="1" a="1"/>
  <c r="AZ29" i="1" l="1"/>
  <c r="AY29" i="1" a="1"/>
  <c r="AY29" i="1" l="1"/>
  <c r="AX29" i="1" a="1"/>
  <c r="AX29" i="1" l="1"/>
  <c r="AW29" i="1" a="1"/>
  <c r="AW29" i="1" l="1"/>
  <c r="AV29" i="1" a="1"/>
  <c r="AV29" i="1" l="1"/>
  <c r="AU29" i="1" a="1"/>
  <c r="AU29" i="1" l="1"/>
  <c r="AT29" i="1" a="1"/>
  <c r="AT29" i="1" l="1"/>
  <c r="AS29" i="1" a="1"/>
  <c r="AS29" i="1" l="1"/>
  <c r="AR29" i="1" a="1"/>
  <c r="AR29" i="1" l="1"/>
  <c r="AQ29" i="1" a="1"/>
  <c r="AQ29" i="1" l="1"/>
  <c r="AP29" i="1" a="1"/>
  <c r="AP29" i="1" l="1"/>
  <c r="AO29" i="1" a="1"/>
  <c r="AO29" i="1" l="1"/>
  <c r="AN29" i="1" a="1"/>
  <c r="AN29" i="1" l="1"/>
  <c r="AM29" i="1" a="1"/>
  <c r="AM29" i="1" l="1"/>
  <c r="AL29" i="1" a="1"/>
  <c r="AL29" i="1" l="1"/>
  <c r="AK29" i="1" a="1"/>
  <c r="AK29" i="1" l="1"/>
  <c r="AJ29" i="1" a="1"/>
  <c r="AJ29" i="1" l="1"/>
  <c r="AI29" i="1" a="1"/>
  <c r="AI29" i="1" l="1"/>
  <c r="AH29" i="1" a="1"/>
  <c r="AH29" i="1" l="1"/>
  <c r="AG29" i="1" a="1"/>
  <c r="AG29" i="1" l="1"/>
  <c r="AF29" i="1" a="1"/>
  <c r="AF29" i="1" l="1"/>
  <c r="AE29" i="1" a="1"/>
  <c r="AE29" i="1" l="1"/>
  <c r="AD29" i="1" a="1"/>
  <c r="AD29" i="1" l="1"/>
  <c r="AC29" i="1" a="1"/>
  <c r="AC29" i="1" l="1"/>
  <c r="AB29" i="1" a="1"/>
  <c r="AB29" i="1" l="1"/>
  <c r="AA29" i="1" a="1"/>
  <c r="AA29" i="1" l="1"/>
  <c r="Z29" i="1" a="1"/>
  <c r="Z29" i="1" l="1"/>
  <c r="Y29" i="1" a="1"/>
  <c r="Y29" i="1" l="1"/>
  <c r="X29" i="1" a="1"/>
  <c r="X29" i="1" l="1"/>
  <c r="W29" i="1" a="1"/>
  <c r="W29" i="1" l="1"/>
  <c r="V29" i="1" a="1"/>
  <c r="V29" i="1" l="1"/>
  <c r="U29" i="1" a="1"/>
  <c r="U29" i="1" l="1"/>
  <c r="T29" i="1" a="1"/>
  <c r="T29" i="1" l="1"/>
  <c r="S29" i="1" a="1"/>
  <c r="S29" i="1" l="1"/>
  <c r="R29" i="1" a="1"/>
  <c r="R29" i="1" l="1"/>
  <c r="Q29" i="1" a="1"/>
  <c r="Q29" i="1" l="1"/>
  <c r="P29" i="1" a="1"/>
  <c r="P29" i="1" l="1"/>
  <c r="O29" i="1" a="1"/>
  <c r="O29" i="1" l="1"/>
  <c r="N29" i="1" a="1"/>
  <c r="N29" i="1" l="1"/>
  <c r="M29" i="1" a="1"/>
  <c r="M29" i="1" l="1"/>
  <c r="L29" i="1" a="1"/>
  <c r="L29" i="1" l="1"/>
  <c r="K29" i="1" a="1"/>
  <c r="K29" i="1" l="1"/>
  <c r="J29" i="1" a="1"/>
  <c r="J29" i="1" l="1"/>
  <c r="I29" i="1" a="1"/>
  <c r="I29" i="1" l="1"/>
  <c r="H29" i="1" a="1"/>
  <c r="H29" i="1" l="1"/>
  <c r="G29" i="1" a="1"/>
  <c r="G29" i="1" l="1"/>
  <c r="F29" i="1" a="1"/>
  <c r="F29" i="1" l="1"/>
  <c r="E29" i="1" a="1"/>
  <c r="E29" i="1" l="1"/>
  <c r="D29" i="1" a="1"/>
  <c r="D29" i="1" l="1"/>
  <c r="C29" i="1" a="1"/>
  <c r="C29" i="1" l="1"/>
  <c r="A89" i="1" a="1"/>
  <c r="A89" i="1" l="1"/>
  <c r="A88" i="1" a="1"/>
  <c r="A88" i="1" l="1"/>
  <c r="A87" i="1" a="1"/>
  <c r="A87" i="1" l="1"/>
  <c r="A86" i="1" a="1"/>
  <c r="A86" i="1" l="1"/>
  <c r="A85" i="1" a="1"/>
  <c r="A85" i="1" l="1"/>
  <c r="A84" i="1" a="1"/>
  <c r="A84" i="1" l="1"/>
  <c r="A83" i="1" a="1"/>
  <c r="A83" i="1" l="1"/>
  <c r="A82" i="1" a="1"/>
  <c r="A82" i="1" l="1"/>
  <c r="A81" i="1" a="1"/>
  <c r="A81" i="1" l="1"/>
  <c r="A80" i="1" a="1"/>
  <c r="A80" i="1" l="1"/>
  <c r="A79" i="1" a="1"/>
  <c r="A79" i="1" l="1"/>
  <c r="A78" i="1" a="1"/>
  <c r="A78" i="1" l="1"/>
  <c r="A77" i="1" a="1"/>
  <c r="A77" i="1" l="1"/>
  <c r="A76" i="1" a="1"/>
  <c r="A76" i="1" l="1"/>
  <c r="A75" i="1" a="1"/>
  <c r="A75" i="1" l="1"/>
  <c r="A74" i="1" a="1"/>
  <c r="A74" i="1" l="1"/>
  <c r="A73" i="1" a="1"/>
  <c r="A73" i="1" l="1"/>
  <c r="A72" i="1" a="1"/>
  <c r="A72" i="1" l="1"/>
  <c r="A71" i="1" a="1"/>
  <c r="A71" i="1" l="1"/>
  <c r="A70" i="1" a="1"/>
  <c r="A70" i="1" l="1"/>
  <c r="A69" i="1" a="1"/>
  <c r="A69" i="1" l="1"/>
  <c r="A68" i="1" a="1"/>
  <c r="A68" i="1" l="1"/>
  <c r="A67" i="1" a="1"/>
  <c r="A67" i="1" l="1"/>
  <c r="A66" i="1" a="1"/>
  <c r="A66" i="1" l="1"/>
  <c r="A65" i="1" a="1"/>
  <c r="A65" i="1" l="1"/>
  <c r="A64" i="1" a="1"/>
  <c r="A64" i="1" l="1"/>
  <c r="A63" i="1" a="1"/>
  <c r="A63" i="1" l="1"/>
  <c r="A62" i="1" a="1"/>
  <c r="A62" i="1" l="1"/>
  <c r="A61" i="1" a="1"/>
  <c r="A61" i="1" l="1"/>
  <c r="A60" i="1" a="1"/>
  <c r="A60" i="1" l="1"/>
  <c r="A59" i="1" a="1"/>
  <c r="A59" i="1" l="1"/>
  <c r="A58" i="1" a="1"/>
  <c r="A58" i="1" l="1"/>
  <c r="A57" i="1" a="1"/>
  <c r="A57" i="1" l="1"/>
  <c r="A56" i="1" a="1"/>
  <c r="A56" i="1" l="1"/>
  <c r="A55" i="1" a="1"/>
  <c r="A55" i="1" l="1"/>
  <c r="A54" i="1" a="1"/>
  <c r="A54" i="1" l="1"/>
  <c r="A53" i="1" a="1"/>
  <c r="A53" i="1" l="1"/>
  <c r="A52" i="1" a="1"/>
  <c r="A52" i="1" l="1"/>
  <c r="A51" i="1" a="1"/>
  <c r="A51" i="1" l="1"/>
  <c r="A50" i="1" a="1"/>
  <c r="A50" i="1" l="1"/>
  <c r="A49" i="1" a="1"/>
  <c r="A49" i="1" l="1"/>
  <c r="A48" i="1" a="1"/>
  <c r="A48" i="1" l="1"/>
  <c r="A47" i="1" a="1"/>
  <c r="A47" i="1" l="1"/>
  <c r="A46" i="1" a="1"/>
  <c r="A46" i="1" l="1"/>
  <c r="A45" i="1" a="1"/>
  <c r="A45" i="1" l="1"/>
  <c r="A44" i="1" a="1"/>
  <c r="A44" i="1" l="1"/>
  <c r="A43" i="1" a="1"/>
  <c r="A43" i="1" l="1"/>
  <c r="A42" i="1" a="1"/>
  <c r="A42" i="1" l="1"/>
  <c r="A41" i="1" a="1"/>
  <c r="A41" i="1" l="1"/>
  <c r="A40" i="1" a="1"/>
  <c r="A40" i="1" l="1"/>
  <c r="A39" i="1" a="1"/>
  <c r="A39" i="1" l="1"/>
  <c r="A38" i="1" a="1"/>
  <c r="A38" i="1" l="1"/>
  <c r="A37" i="1" a="1"/>
  <c r="A37" i="1" l="1"/>
  <c r="A36" i="1" a="1"/>
  <c r="A36" i="1" l="1"/>
  <c r="A35" i="1" a="1"/>
  <c r="A35" i="1" l="1"/>
  <c r="A34" i="1" a="1"/>
  <c r="A34" i="1" l="1"/>
  <c r="A33" i="1" a="1"/>
  <c r="A33" i="1" l="1"/>
  <c r="A32" i="1" a="1"/>
  <c r="A32" i="1" l="1"/>
  <c r="A31" i="1" a="1"/>
  <c r="D7" i="4" a="1"/>
  <c r="A31" i="1" l="1"/>
  <c r="D7" i="4"/>
  <c r="C7" i="4" a="1"/>
  <c r="C7" i="4" l="1"/>
  <c r="B7" i="4" a="1"/>
  <c r="B7" i="4" l="1"/>
  <c r="O19" i="1" a="1"/>
  <c r="O19" i="1" l="1"/>
  <c r="O18" i="1" a="1"/>
  <c r="O18" i="1" l="1"/>
  <c r="O17" i="1" a="1"/>
  <c r="O17" i="1" l="1"/>
  <c r="O16" i="1" a="1"/>
  <c r="O16" i="1" l="1"/>
  <c r="O15" i="1" a="1"/>
  <c r="O15" i="1" l="1"/>
  <c r="O14" i="1" a="1"/>
  <c r="O14" i="1" l="1"/>
  <c r="O13" i="1" a="1"/>
  <c r="O13" i="1" l="1"/>
  <c r="O12" i="1" a="1"/>
  <c r="O12" i="1" l="1"/>
  <c r="O11" i="1" a="1"/>
  <c r="O11" i="1" l="1"/>
  <c r="O10" i="1" a="1"/>
  <c r="O10" i="1" l="1"/>
  <c r="O9" i="1" a="1"/>
  <c r="O9" i="1" l="1"/>
  <c r="O8" i="1" a="1"/>
  <c r="O8" i="1" l="1"/>
  <c r="L18" i="1" a="1"/>
  <c r="L18" i="1" l="1"/>
  <c r="L17" i="1" a="1"/>
  <c r="L17" i="1" l="1"/>
  <c r="L16" i="1" a="1"/>
  <c r="L16" i="1" l="1"/>
  <c r="L15" i="1" a="1"/>
  <c r="L15" i="1" l="1"/>
  <c r="L14" i="1" a="1"/>
  <c r="L14" i="1" l="1"/>
  <c r="L13" i="1" a="1"/>
  <c r="L13" i="1" l="1"/>
  <c r="L12" i="1" a="1"/>
  <c r="L12" i="1" l="1"/>
  <c r="L11" i="1" a="1"/>
  <c r="L11" i="1" l="1"/>
  <c r="L10" i="1" a="1"/>
  <c r="L10" i="1" l="1"/>
  <c r="L9" i="1" a="1"/>
  <c r="L9" i="1" l="1"/>
  <c r="L8" i="1" a="1"/>
  <c r="L8" i="1" l="1"/>
  <c r="L7" i="1" a="1"/>
  <c r="L7" i="1" l="1"/>
  <c r="L6" i="1" a="1"/>
  <c r="L6" i="1" l="1"/>
  <c r="L5" i="1" a="1"/>
  <c r="L5" i="1" l="1"/>
  <c r="J19" i="1" a="1"/>
  <c r="J19" i="1" l="1"/>
  <c r="J18" i="1" a="1"/>
  <c r="J18" i="1" l="1"/>
  <c r="J17" i="1" a="1"/>
  <c r="J17" i="1" l="1"/>
  <c r="J16" i="1" a="1"/>
  <c r="J16" i="1" l="1"/>
  <c r="J15" i="1" a="1"/>
  <c r="J15" i="1" l="1"/>
  <c r="J14" i="1" a="1"/>
  <c r="J14" i="1" l="1"/>
  <c r="J13" i="1" a="1"/>
  <c r="J13" i="1" l="1"/>
  <c r="J12" i="1" a="1"/>
  <c r="J12" i="1" l="1"/>
  <c r="J11" i="1" a="1"/>
  <c r="J11" i="1" l="1"/>
  <c r="J10" i="1" a="1"/>
  <c r="J10" i="1" l="1"/>
  <c r="J9" i="1" a="1"/>
  <c r="J9" i="1" l="1"/>
  <c r="J8" i="1" a="1"/>
  <c r="J8" i="1" l="1"/>
  <c r="J7" i="1" a="1"/>
  <c r="J7" i="1" l="1"/>
  <c r="J6" i="1" a="1"/>
  <c r="J6" i="1" l="1"/>
  <c r="J5" i="1" a="1"/>
  <c r="J5" i="1" l="1"/>
  <c r="H19" i="1" a="1"/>
  <c r="H19" i="1" l="1"/>
  <c r="H18" i="1" a="1"/>
  <c r="H18" i="1" l="1"/>
  <c r="H17" i="1" a="1"/>
  <c r="H17" i="1" l="1"/>
  <c r="H16" i="1" a="1"/>
  <c r="H16" i="1" l="1"/>
  <c r="H15" i="1" a="1"/>
  <c r="H15" i="1" l="1"/>
  <c r="H14" i="1" a="1"/>
  <c r="H14" i="1" l="1"/>
  <c r="H13" i="1" a="1"/>
  <c r="H13" i="1" l="1"/>
  <c r="H12" i="1" a="1"/>
  <c r="H12" i="1" l="1"/>
  <c r="H11" i="1" a="1"/>
  <c r="H11" i="1" l="1"/>
  <c r="H10" i="1" a="1"/>
  <c r="H10" i="1" l="1"/>
  <c r="H9" i="1" a="1"/>
  <c r="H9" i="1" l="1"/>
  <c r="H8" i="1" a="1"/>
  <c r="H8" i="1" l="1"/>
  <c r="H7" i="1" a="1"/>
  <c r="H7" i="1" l="1"/>
  <c r="H6" i="1" a="1"/>
  <c r="H6" i="1" l="1"/>
  <c r="H5" i="1" a="1"/>
  <c r="H5" i="1" l="1"/>
  <c r="F19" i="1" a="1"/>
  <c r="F19" i="1" l="1"/>
  <c r="F18" i="1" a="1"/>
  <c r="F18" i="1" l="1"/>
  <c r="F17" i="1" a="1"/>
  <c r="F17" i="1" l="1"/>
  <c r="F16" i="1" a="1"/>
  <c r="F16" i="1" l="1"/>
  <c r="F15" i="1" a="1"/>
  <c r="F15" i="1" l="1"/>
  <c r="F14" i="1" a="1"/>
  <c r="F14" i="1" l="1"/>
  <c r="F13" i="1" a="1"/>
  <c r="F13" i="1" l="1"/>
  <c r="F12" i="1" a="1"/>
  <c r="F12" i="1" l="1"/>
  <c r="F11" i="1" a="1"/>
  <c r="F11" i="1" l="1"/>
  <c r="F10" i="1" a="1"/>
  <c r="F10" i="1" l="1"/>
  <c r="F9" i="1" a="1"/>
  <c r="F9" i="1" l="1"/>
  <c r="F8" i="1" a="1"/>
  <c r="F8" i="1" l="1"/>
  <c r="F7" i="1" a="1"/>
  <c r="F7" i="1" l="1"/>
  <c r="F6" i="1" a="1"/>
  <c r="F6" i="1" l="1"/>
  <c r="F5" i="1" a="1"/>
  <c r="F5" i="1" l="1"/>
  <c r="D23" i="1" a="1"/>
  <c r="D23" i="1" l="1"/>
  <c r="D22" i="1" a="1"/>
  <c r="D22" i="1" l="1"/>
  <c r="D21" i="1" a="1"/>
  <c r="D21" i="1" l="1"/>
  <c r="D20" i="1" a="1"/>
  <c r="D20" i="1" l="1"/>
  <c r="D19" i="1" a="1"/>
  <c r="D19" i="1" l="1"/>
  <c r="D18" i="1" a="1"/>
  <c r="D18" i="1" l="1"/>
  <c r="D17" i="1" a="1"/>
  <c r="D17" i="1" l="1"/>
  <c r="D16" i="1" a="1"/>
  <c r="D16" i="1" l="1"/>
  <c r="D15" i="1" a="1"/>
  <c r="D15" i="1" l="1"/>
  <c r="D14" i="1" a="1"/>
  <c r="D14" i="1" l="1"/>
  <c r="D13" i="1" a="1"/>
  <c r="D13" i="1" l="1"/>
  <c r="D12" i="1" a="1"/>
  <c r="D12" i="1" l="1"/>
  <c r="D11" i="1" a="1"/>
  <c r="D11" i="1" l="1"/>
  <c r="D10" i="1" a="1"/>
  <c r="D10" i="1" l="1"/>
  <c r="D9" i="1" a="1"/>
  <c r="D9" i="1" l="1"/>
  <c r="D8" i="1" a="1"/>
  <c r="D8" i="1" l="1"/>
  <c r="D7" i="1" a="1"/>
  <c r="D7" i="1" l="1"/>
  <c r="D6" i="1" a="1"/>
  <c r="D6" i="1" l="1"/>
  <c r="D5" i="1" a="1"/>
  <c r="D5" i="1" l="1"/>
  <c r="C31" i="1" a="1"/>
  <c r="C31" i="1" l="1"/>
  <c r="C30" i="1" a="1"/>
  <c r="C30" i="1" l="1"/>
  <c r="C27" i="1" a="1"/>
  <c r="C27" i="1" l="1"/>
  <c r="B27" i="1" a="1"/>
  <c r="B27" i="1" l="1"/>
  <c r="B31" i="1" a="1"/>
  <c r="B31" i="1" l="1"/>
  <c r="B26" i="1" a="1"/>
  <c r="B26" i="1" l="1"/>
  <c r="A63" i="5" l="1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K3" i="5" l="1"/>
  <c r="V3" i="5"/>
  <c r="A11" i="5"/>
  <c r="W3" i="5"/>
  <c r="C3" i="5"/>
  <c r="A13" i="5"/>
  <c r="A32" i="5"/>
  <c r="AC3" i="5"/>
  <c r="AS3" i="5"/>
  <c r="BE3" i="5"/>
  <c r="A6" i="5"/>
  <c r="A25" i="5"/>
  <c r="A40" i="5"/>
  <c r="Q3" i="5"/>
  <c r="AL3" i="5"/>
  <c r="A26" i="5"/>
  <c r="A46" i="5"/>
  <c r="AR3" i="5"/>
  <c r="H3" i="5"/>
  <c r="AX3" i="5"/>
  <c r="AD3" i="5"/>
  <c r="J3" i="5"/>
  <c r="AY3" i="5"/>
  <c r="B4" i="5"/>
  <c r="O3" i="5"/>
  <c r="AE3" i="5"/>
  <c r="AJ3" i="5"/>
  <c r="AZ3" i="5"/>
  <c r="BF3" i="5"/>
  <c r="A60" i="5"/>
  <c r="AQ3" i="5"/>
  <c r="BG3" i="5"/>
  <c r="X3" i="5"/>
  <c r="I3" i="5"/>
  <c r="A18" i="5"/>
  <c r="A5" i="5"/>
  <c r="A20" i="5"/>
  <c r="A39" i="5"/>
  <c r="P3" i="5"/>
  <c r="A42" i="5"/>
  <c r="A49" i="5"/>
  <c r="A56" i="5"/>
  <c r="D3" i="5"/>
  <c r="K3" i="5"/>
  <c r="R3" i="5"/>
  <c r="Y3" i="5"/>
  <c r="AF3" i="5"/>
  <c r="AM3" i="5"/>
  <c r="AT3" i="5"/>
  <c r="BA3" i="5"/>
  <c r="BH3" i="5"/>
  <c r="A15" i="5"/>
  <c r="A22" i="5"/>
  <c r="A29" i="5"/>
  <c r="A36" i="5"/>
  <c r="E3" i="5"/>
  <c r="L3" i="5"/>
  <c r="S3" i="5"/>
  <c r="Z3" i="5"/>
  <c r="AG3" i="5"/>
  <c r="AN3" i="5"/>
  <c r="AU3" i="5"/>
  <c r="BB3" i="5"/>
  <c r="A7" i="5"/>
  <c r="A9" i="5"/>
  <c r="A30" i="5"/>
  <c r="A37" i="5"/>
  <c r="A44" i="5"/>
  <c r="F3" i="5"/>
  <c r="M3" i="5"/>
  <c r="T3" i="5"/>
  <c r="AA3" i="5"/>
  <c r="AH3" i="5"/>
  <c r="AO3" i="5"/>
  <c r="AV3" i="5"/>
  <c r="BC3" i="5"/>
  <c r="A10" i="5"/>
  <c r="A31" i="5"/>
  <c r="A38" i="5"/>
  <c r="G3" i="5"/>
  <c r="N3" i="5"/>
  <c r="U3" i="5"/>
  <c r="AB3" i="5"/>
  <c r="AI3" i="5"/>
  <c r="AP3" i="5"/>
  <c r="AW3" i="5"/>
  <c r="BD3" i="5"/>
  <c r="H9" i="4"/>
  <c r="A17" i="5"/>
  <c r="A52" i="5"/>
  <c r="A23" i="5"/>
  <c r="A58" i="5"/>
  <c r="A53" i="5"/>
  <c r="A12" i="5"/>
  <c r="A33" i="5"/>
  <c r="A61" i="5"/>
  <c r="A27" i="5"/>
  <c r="A41" i="5"/>
  <c r="A55" i="5"/>
  <c r="A14" i="5"/>
  <c r="A21" i="5"/>
  <c r="A28" i="5"/>
  <c r="A35" i="5"/>
  <c r="A45" i="5"/>
  <c r="A19" i="5"/>
  <c r="A48" i="5"/>
  <c r="A51" i="5"/>
  <c r="A59" i="5"/>
  <c r="A54" i="5"/>
  <c r="A34" i="5"/>
  <c r="A8" i="5"/>
  <c r="A43" i="5"/>
  <c r="A50" i="5"/>
  <c r="A57" i="5"/>
  <c r="A16" i="5"/>
  <c r="A24" i="5"/>
  <c r="A47" i="5"/>
  <c r="A62" i="5"/>
  <c r="A3" i="5"/>
  <c r="C4" i="5"/>
  <c r="D4" i="5"/>
  <c r="E4" i="5"/>
  <c r="F4" i="5"/>
  <c r="G4" i="5"/>
  <c r="H4" i="5"/>
  <c r="I4" i="5"/>
  <c r="J4" i="5"/>
  <c r="K4" i="5"/>
  <c r="L4" i="5"/>
  <c r="M4" i="5"/>
  <c r="N4" i="5"/>
  <c r="O4" i="5"/>
  <c r="P4" i="5"/>
  <c r="Q4" i="5"/>
  <c r="R4" i="5"/>
  <c r="S4" i="5"/>
  <c r="T4" i="5"/>
  <c r="U4" i="5"/>
  <c r="V4" i="5"/>
  <c r="W4" i="5"/>
  <c r="X4" i="5"/>
  <c r="Y4" i="5"/>
  <c r="Z4" i="5"/>
  <c r="AA4" i="5"/>
  <c r="AB4" i="5"/>
  <c r="AC4" i="5"/>
  <c r="AD4" i="5"/>
  <c r="AE4" i="5"/>
  <c r="AF4" i="5"/>
  <c r="AG4" i="5"/>
  <c r="AH4" i="5"/>
  <c r="AI4" i="5"/>
  <c r="AJ4" i="5"/>
  <c r="AK4" i="5"/>
  <c r="AL4" i="5"/>
  <c r="AM4" i="5"/>
  <c r="AN4" i="5"/>
  <c r="AO4" i="5"/>
  <c r="AP4" i="5"/>
  <c r="AQ4" i="5"/>
  <c r="AR4" i="5"/>
  <c r="AS4" i="5"/>
  <c r="AT4" i="5"/>
  <c r="AU4" i="5"/>
  <c r="AV4" i="5"/>
  <c r="AW4" i="5"/>
  <c r="AX4" i="5"/>
  <c r="AY4" i="5"/>
  <c r="AZ4" i="5"/>
  <c r="BA4" i="5"/>
  <c r="BB4" i="5"/>
  <c r="BC4" i="5"/>
  <c r="BD4" i="5"/>
  <c r="BE4" i="5"/>
  <c r="BF4" i="5"/>
  <c r="BG4" i="5"/>
  <c r="BH4" i="5"/>
  <c r="BI4" i="5"/>
  <c r="BJ4" i="5"/>
  <c r="BK4" i="5"/>
  <c r="BL4" i="5"/>
  <c r="BM4" i="5"/>
  <c r="BN4" i="5"/>
  <c r="BO4" i="5"/>
  <c r="BP4" i="5"/>
  <c r="BQ4" i="5"/>
  <c r="BR4" i="5"/>
  <c r="BS4" i="5"/>
  <c r="BT4" i="5"/>
  <c r="BU4" i="5"/>
  <c r="BV4" i="5"/>
  <c r="BW4" i="5"/>
  <c r="BX4" i="5"/>
  <c r="BY4" i="5"/>
  <c r="BZ4" i="5"/>
  <c r="CA4" i="5"/>
  <c r="CB4" i="5"/>
  <c r="CC4" i="5"/>
  <c r="B5" i="5"/>
  <c r="C5" i="5"/>
  <c r="D5" i="5"/>
  <c r="E5" i="5"/>
  <c r="F5" i="5"/>
  <c r="G5" i="5"/>
  <c r="H5" i="5"/>
  <c r="I5" i="5"/>
  <c r="J5" i="5"/>
  <c r="K5" i="5"/>
  <c r="L5" i="5"/>
  <c r="M5" i="5"/>
  <c r="N5" i="5"/>
  <c r="O5" i="5"/>
  <c r="P5" i="5"/>
  <c r="Q5" i="5"/>
  <c r="R5" i="5"/>
  <c r="S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AJ5" i="5"/>
  <c r="AK5" i="5"/>
  <c r="AL5" i="5"/>
  <c r="AM5" i="5"/>
  <c r="AN5" i="5"/>
  <c r="AO5" i="5"/>
  <c r="AP5" i="5"/>
  <c r="AQ5" i="5"/>
  <c r="AR5" i="5"/>
  <c r="AS5" i="5"/>
  <c r="AT5" i="5"/>
  <c r="AU5" i="5"/>
  <c r="AV5" i="5"/>
  <c r="AW5" i="5"/>
  <c r="AX5" i="5"/>
  <c r="AY5" i="5"/>
  <c r="AZ5" i="5"/>
  <c r="BA5" i="5"/>
  <c r="BB5" i="5"/>
  <c r="BC5" i="5"/>
  <c r="BD5" i="5"/>
  <c r="BE5" i="5"/>
  <c r="BF5" i="5"/>
  <c r="BG5" i="5"/>
  <c r="BH5" i="5"/>
  <c r="BI5" i="5"/>
  <c r="BJ5" i="5"/>
  <c r="BK5" i="5"/>
  <c r="BL5" i="5"/>
  <c r="BM5" i="5"/>
  <c r="BN5" i="5"/>
  <c r="BO5" i="5"/>
  <c r="BP5" i="5"/>
  <c r="BQ5" i="5"/>
  <c r="BR5" i="5"/>
  <c r="BS5" i="5"/>
  <c r="BT5" i="5"/>
  <c r="BU5" i="5"/>
  <c r="BV5" i="5"/>
  <c r="BW5" i="5"/>
  <c r="BX5" i="5"/>
  <c r="BY5" i="5"/>
  <c r="BZ5" i="5"/>
  <c r="CA5" i="5"/>
  <c r="CB5" i="5"/>
  <c r="CC5" i="5"/>
  <c r="B6" i="5"/>
  <c r="C6" i="5"/>
  <c r="D6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AJ6" i="5"/>
  <c r="AK6" i="5"/>
  <c r="AL6" i="5"/>
  <c r="AM6" i="5"/>
  <c r="AN6" i="5"/>
  <c r="AO6" i="5"/>
  <c r="AP6" i="5"/>
  <c r="AQ6" i="5"/>
  <c r="AR6" i="5"/>
  <c r="AS6" i="5"/>
  <c r="AT6" i="5"/>
  <c r="AU6" i="5"/>
  <c r="AV6" i="5"/>
  <c r="AW6" i="5"/>
  <c r="AX6" i="5"/>
  <c r="AY6" i="5"/>
  <c r="AZ6" i="5"/>
  <c r="BA6" i="5"/>
  <c r="BB6" i="5"/>
  <c r="BC6" i="5"/>
  <c r="BD6" i="5"/>
  <c r="BE6" i="5"/>
  <c r="BF6" i="5"/>
  <c r="BG6" i="5"/>
  <c r="BH6" i="5"/>
  <c r="BI6" i="5"/>
  <c r="BJ6" i="5"/>
  <c r="BK6" i="5"/>
  <c r="BL6" i="5"/>
  <c r="BM6" i="5"/>
  <c r="BN6" i="5"/>
  <c r="BO6" i="5"/>
  <c r="BP6" i="5"/>
  <c r="BQ6" i="5"/>
  <c r="BR6" i="5"/>
  <c r="BS6" i="5"/>
  <c r="BT6" i="5"/>
  <c r="BU6" i="5"/>
  <c r="BV6" i="5"/>
  <c r="BW6" i="5"/>
  <c r="BX6" i="5"/>
  <c r="BY6" i="5"/>
  <c r="BZ6" i="5"/>
  <c r="CA6" i="5"/>
  <c r="CB6" i="5"/>
  <c r="CC6" i="5"/>
  <c r="B7" i="5"/>
  <c r="C7" i="5"/>
  <c r="D7" i="5"/>
  <c r="E7" i="5"/>
  <c r="F7" i="5"/>
  <c r="G7" i="5"/>
  <c r="H7" i="5"/>
  <c r="I7" i="5"/>
  <c r="J7" i="5"/>
  <c r="K7" i="5"/>
  <c r="L7" i="5"/>
  <c r="M7" i="5"/>
  <c r="N7" i="5"/>
  <c r="O7" i="5"/>
  <c r="P7" i="5"/>
  <c r="Q7" i="5"/>
  <c r="R7" i="5"/>
  <c r="S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AJ7" i="5"/>
  <c r="AK7" i="5"/>
  <c r="AL7" i="5"/>
  <c r="AM7" i="5"/>
  <c r="AN7" i="5"/>
  <c r="AO7" i="5"/>
  <c r="AP7" i="5"/>
  <c r="AQ7" i="5"/>
  <c r="AR7" i="5"/>
  <c r="AS7" i="5"/>
  <c r="AT7" i="5"/>
  <c r="AU7" i="5"/>
  <c r="AV7" i="5"/>
  <c r="AW7" i="5"/>
  <c r="AX7" i="5"/>
  <c r="AY7" i="5"/>
  <c r="AZ7" i="5"/>
  <c r="BA7" i="5"/>
  <c r="BB7" i="5"/>
  <c r="BC7" i="5"/>
  <c r="BD7" i="5"/>
  <c r="BE7" i="5"/>
  <c r="BF7" i="5"/>
  <c r="BG7" i="5"/>
  <c r="BH7" i="5"/>
  <c r="BI7" i="5"/>
  <c r="BJ7" i="5"/>
  <c r="BK7" i="5"/>
  <c r="BL7" i="5"/>
  <c r="BM7" i="5"/>
  <c r="BN7" i="5"/>
  <c r="BO7" i="5"/>
  <c r="BP7" i="5"/>
  <c r="BQ7" i="5"/>
  <c r="BR7" i="5"/>
  <c r="BS7" i="5"/>
  <c r="BT7" i="5"/>
  <c r="BU7" i="5"/>
  <c r="BV7" i="5"/>
  <c r="BW7" i="5"/>
  <c r="BX7" i="5"/>
  <c r="BY7" i="5"/>
  <c r="BZ7" i="5"/>
  <c r="CA7" i="5"/>
  <c r="CB7" i="5"/>
  <c r="CC7" i="5"/>
  <c r="B8" i="5"/>
  <c r="C8" i="5"/>
  <c r="D8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AJ8" i="5"/>
  <c r="AK8" i="5"/>
  <c r="AL8" i="5"/>
  <c r="AM8" i="5"/>
  <c r="AN8" i="5"/>
  <c r="AO8" i="5"/>
  <c r="AP8" i="5"/>
  <c r="AQ8" i="5"/>
  <c r="AR8" i="5"/>
  <c r="AS8" i="5"/>
  <c r="AT8" i="5"/>
  <c r="AU8" i="5"/>
  <c r="AV8" i="5"/>
  <c r="AW8" i="5"/>
  <c r="AX8" i="5"/>
  <c r="AY8" i="5"/>
  <c r="AZ8" i="5"/>
  <c r="BA8" i="5"/>
  <c r="BB8" i="5"/>
  <c r="BC8" i="5"/>
  <c r="BD8" i="5"/>
  <c r="BE8" i="5"/>
  <c r="BF8" i="5"/>
  <c r="BG8" i="5"/>
  <c r="BH8" i="5"/>
  <c r="BI8" i="5"/>
  <c r="BJ8" i="5"/>
  <c r="BK8" i="5"/>
  <c r="BL8" i="5"/>
  <c r="BM8" i="5"/>
  <c r="BN8" i="5"/>
  <c r="BO8" i="5"/>
  <c r="BP8" i="5"/>
  <c r="BQ8" i="5"/>
  <c r="BR8" i="5"/>
  <c r="BS8" i="5"/>
  <c r="BT8" i="5"/>
  <c r="BU8" i="5"/>
  <c r="BV8" i="5"/>
  <c r="BW8" i="5"/>
  <c r="BX8" i="5"/>
  <c r="BY8" i="5"/>
  <c r="BZ8" i="5"/>
  <c r="CA8" i="5"/>
  <c r="CB8" i="5"/>
  <c r="CC8" i="5"/>
  <c r="B9" i="5"/>
  <c r="C9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AJ9" i="5"/>
  <c r="AK9" i="5"/>
  <c r="AL9" i="5"/>
  <c r="AM9" i="5"/>
  <c r="AN9" i="5"/>
  <c r="AO9" i="5"/>
  <c r="AP9" i="5"/>
  <c r="AQ9" i="5"/>
  <c r="AR9" i="5"/>
  <c r="AS9" i="5"/>
  <c r="AT9" i="5"/>
  <c r="AU9" i="5"/>
  <c r="AV9" i="5"/>
  <c r="AW9" i="5"/>
  <c r="AX9" i="5"/>
  <c r="AY9" i="5"/>
  <c r="AZ9" i="5"/>
  <c r="BA9" i="5"/>
  <c r="BB9" i="5"/>
  <c r="BC9" i="5"/>
  <c r="BD9" i="5"/>
  <c r="BE9" i="5"/>
  <c r="BF9" i="5"/>
  <c r="BG9" i="5"/>
  <c r="BH9" i="5"/>
  <c r="BI9" i="5"/>
  <c r="BJ9" i="5"/>
  <c r="BK9" i="5"/>
  <c r="BL9" i="5"/>
  <c r="BM9" i="5"/>
  <c r="BN9" i="5"/>
  <c r="BO9" i="5"/>
  <c r="BP9" i="5"/>
  <c r="BQ9" i="5"/>
  <c r="BR9" i="5"/>
  <c r="BS9" i="5"/>
  <c r="BT9" i="5"/>
  <c r="BU9" i="5"/>
  <c r="BV9" i="5"/>
  <c r="BW9" i="5"/>
  <c r="BX9" i="5"/>
  <c r="BY9" i="5"/>
  <c r="BZ9" i="5"/>
  <c r="CA9" i="5"/>
  <c r="CB9" i="5"/>
  <c r="CC9" i="5"/>
  <c r="B10" i="5"/>
  <c r="C10" i="5"/>
  <c r="D10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AJ10" i="5"/>
  <c r="AK10" i="5"/>
  <c r="AL10" i="5"/>
  <c r="AM10" i="5"/>
  <c r="AN10" i="5"/>
  <c r="AO10" i="5"/>
  <c r="AP10" i="5"/>
  <c r="AQ10" i="5"/>
  <c r="AR10" i="5"/>
  <c r="AS10" i="5"/>
  <c r="AT10" i="5"/>
  <c r="AU10" i="5"/>
  <c r="AV10" i="5"/>
  <c r="AW10" i="5"/>
  <c r="AX10" i="5"/>
  <c r="AY10" i="5"/>
  <c r="AZ10" i="5"/>
  <c r="BA10" i="5"/>
  <c r="BB10" i="5"/>
  <c r="BC10" i="5"/>
  <c r="BD10" i="5"/>
  <c r="BE10" i="5"/>
  <c r="BF10" i="5"/>
  <c r="BG10" i="5"/>
  <c r="BH10" i="5"/>
  <c r="BI10" i="5"/>
  <c r="BJ10" i="5"/>
  <c r="BK10" i="5"/>
  <c r="BL10" i="5"/>
  <c r="BM10" i="5"/>
  <c r="BN10" i="5"/>
  <c r="BO10" i="5"/>
  <c r="BP10" i="5"/>
  <c r="BQ10" i="5"/>
  <c r="BR10" i="5"/>
  <c r="BS10" i="5"/>
  <c r="BT10" i="5"/>
  <c r="BU10" i="5"/>
  <c r="BV10" i="5"/>
  <c r="BW10" i="5"/>
  <c r="BX10" i="5"/>
  <c r="BY10" i="5"/>
  <c r="BZ10" i="5"/>
  <c r="CA10" i="5"/>
  <c r="CB10" i="5"/>
  <c r="CC10" i="5"/>
  <c r="B11" i="5"/>
  <c r="C11" i="5"/>
  <c r="D11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AJ11" i="5"/>
  <c r="AK11" i="5"/>
  <c r="AL11" i="5"/>
  <c r="AM11" i="5"/>
  <c r="AN11" i="5"/>
  <c r="AO11" i="5"/>
  <c r="AP11" i="5"/>
  <c r="AQ11" i="5"/>
  <c r="AR11" i="5"/>
  <c r="AS11" i="5"/>
  <c r="AT11" i="5"/>
  <c r="AU11" i="5"/>
  <c r="AV11" i="5"/>
  <c r="AW11" i="5"/>
  <c r="AX11" i="5"/>
  <c r="AY11" i="5"/>
  <c r="AZ11" i="5"/>
  <c r="BA11" i="5"/>
  <c r="BB11" i="5"/>
  <c r="BC11" i="5"/>
  <c r="BD11" i="5"/>
  <c r="BE11" i="5"/>
  <c r="BF11" i="5"/>
  <c r="BG11" i="5"/>
  <c r="BH11" i="5"/>
  <c r="BI11" i="5"/>
  <c r="BJ11" i="5"/>
  <c r="BK11" i="5"/>
  <c r="BL11" i="5"/>
  <c r="BM11" i="5"/>
  <c r="BN11" i="5"/>
  <c r="BO11" i="5"/>
  <c r="BP11" i="5"/>
  <c r="BQ11" i="5"/>
  <c r="BR11" i="5"/>
  <c r="BS11" i="5"/>
  <c r="BT11" i="5"/>
  <c r="BU11" i="5"/>
  <c r="BV11" i="5"/>
  <c r="BW11" i="5"/>
  <c r="BX11" i="5"/>
  <c r="BY11" i="5"/>
  <c r="BZ11" i="5"/>
  <c r="CA11" i="5"/>
  <c r="CB11" i="5"/>
  <c r="CC11" i="5"/>
  <c r="B12" i="5"/>
  <c r="C12" i="5"/>
  <c r="D12" i="5"/>
  <c r="E12" i="5"/>
  <c r="F12" i="5"/>
  <c r="G12" i="5"/>
  <c r="H12" i="5"/>
  <c r="I12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AJ12" i="5"/>
  <c r="AK12" i="5"/>
  <c r="AL12" i="5"/>
  <c r="AM12" i="5"/>
  <c r="AN12" i="5"/>
  <c r="AO12" i="5"/>
  <c r="AP12" i="5"/>
  <c r="AQ12" i="5"/>
  <c r="AR12" i="5"/>
  <c r="AS12" i="5"/>
  <c r="AT12" i="5"/>
  <c r="AU12" i="5"/>
  <c r="AV12" i="5"/>
  <c r="AW12" i="5"/>
  <c r="AX12" i="5"/>
  <c r="AY12" i="5"/>
  <c r="AZ12" i="5"/>
  <c r="BA12" i="5"/>
  <c r="BB12" i="5"/>
  <c r="BC12" i="5"/>
  <c r="BD12" i="5"/>
  <c r="BE12" i="5"/>
  <c r="BF12" i="5"/>
  <c r="BG12" i="5"/>
  <c r="BH12" i="5"/>
  <c r="BI12" i="5"/>
  <c r="BJ12" i="5"/>
  <c r="BK12" i="5"/>
  <c r="BL12" i="5"/>
  <c r="BM12" i="5"/>
  <c r="BN12" i="5"/>
  <c r="BO12" i="5"/>
  <c r="BP12" i="5"/>
  <c r="BQ12" i="5"/>
  <c r="BR12" i="5"/>
  <c r="BS12" i="5"/>
  <c r="BT12" i="5"/>
  <c r="BU12" i="5"/>
  <c r="BV12" i="5"/>
  <c r="BW12" i="5"/>
  <c r="BX12" i="5"/>
  <c r="BY12" i="5"/>
  <c r="BZ12" i="5"/>
  <c r="CA12" i="5"/>
  <c r="CB12" i="5"/>
  <c r="CC12" i="5"/>
  <c r="B13" i="5"/>
  <c r="C13" i="5"/>
  <c r="D13" i="5"/>
  <c r="E13" i="5"/>
  <c r="F13" i="5"/>
  <c r="G13" i="5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AJ13" i="5"/>
  <c r="AK13" i="5"/>
  <c r="AL13" i="5"/>
  <c r="AM13" i="5"/>
  <c r="AN13" i="5"/>
  <c r="AO13" i="5"/>
  <c r="AP13" i="5"/>
  <c r="AQ13" i="5"/>
  <c r="AR13" i="5"/>
  <c r="AS13" i="5"/>
  <c r="AT13" i="5"/>
  <c r="AU13" i="5"/>
  <c r="AV13" i="5"/>
  <c r="AW13" i="5"/>
  <c r="AX13" i="5"/>
  <c r="AY13" i="5"/>
  <c r="AZ13" i="5"/>
  <c r="BA13" i="5"/>
  <c r="BB13" i="5"/>
  <c r="BC13" i="5"/>
  <c r="BD13" i="5"/>
  <c r="BE13" i="5"/>
  <c r="BF13" i="5"/>
  <c r="BG13" i="5"/>
  <c r="BH13" i="5"/>
  <c r="BI13" i="5"/>
  <c r="BJ13" i="5"/>
  <c r="BK13" i="5"/>
  <c r="BL13" i="5"/>
  <c r="BM13" i="5"/>
  <c r="BN13" i="5"/>
  <c r="BO13" i="5"/>
  <c r="BP13" i="5"/>
  <c r="BQ13" i="5"/>
  <c r="BR13" i="5"/>
  <c r="BS13" i="5"/>
  <c r="BT13" i="5"/>
  <c r="BU13" i="5"/>
  <c r="BV13" i="5"/>
  <c r="BW13" i="5"/>
  <c r="BX13" i="5"/>
  <c r="BY13" i="5"/>
  <c r="BZ13" i="5"/>
  <c r="CA13" i="5"/>
  <c r="CB13" i="5"/>
  <c r="CC13" i="5"/>
  <c r="B14" i="5"/>
  <c r="C14" i="5"/>
  <c r="D14" i="5"/>
  <c r="E14" i="5"/>
  <c r="F14" i="5"/>
  <c r="G14" i="5"/>
  <c r="H14" i="5"/>
  <c r="I14" i="5"/>
  <c r="J14" i="5"/>
  <c r="K14" i="5"/>
  <c r="L14" i="5"/>
  <c r="M14" i="5"/>
  <c r="N14" i="5"/>
  <c r="O14" i="5"/>
  <c r="P14" i="5"/>
  <c r="Q14" i="5"/>
  <c r="R14" i="5"/>
  <c r="S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AJ14" i="5"/>
  <c r="AK14" i="5"/>
  <c r="AL14" i="5"/>
  <c r="AM14" i="5"/>
  <c r="AN14" i="5"/>
  <c r="AO14" i="5"/>
  <c r="AP14" i="5"/>
  <c r="AQ14" i="5"/>
  <c r="AR14" i="5"/>
  <c r="AS14" i="5"/>
  <c r="AT14" i="5"/>
  <c r="AU14" i="5"/>
  <c r="AV14" i="5"/>
  <c r="AW14" i="5"/>
  <c r="AX14" i="5"/>
  <c r="AY14" i="5"/>
  <c r="AZ14" i="5"/>
  <c r="BA14" i="5"/>
  <c r="BB14" i="5"/>
  <c r="BC14" i="5"/>
  <c r="BD14" i="5"/>
  <c r="BE14" i="5"/>
  <c r="BF14" i="5"/>
  <c r="BG14" i="5"/>
  <c r="BH14" i="5"/>
  <c r="BI14" i="5"/>
  <c r="BJ14" i="5"/>
  <c r="BK14" i="5"/>
  <c r="BL14" i="5"/>
  <c r="BM14" i="5"/>
  <c r="BN14" i="5"/>
  <c r="BO14" i="5"/>
  <c r="BP14" i="5"/>
  <c r="BQ14" i="5"/>
  <c r="BR14" i="5"/>
  <c r="BS14" i="5"/>
  <c r="BT14" i="5"/>
  <c r="BU14" i="5"/>
  <c r="BV14" i="5"/>
  <c r="BW14" i="5"/>
  <c r="BX14" i="5"/>
  <c r="BY14" i="5"/>
  <c r="BZ14" i="5"/>
  <c r="CA14" i="5"/>
  <c r="CB14" i="5"/>
  <c r="CC14" i="5"/>
  <c r="B15" i="5"/>
  <c r="C15" i="5"/>
  <c r="D15" i="5"/>
  <c r="E15" i="5"/>
  <c r="F15" i="5"/>
  <c r="G15" i="5"/>
  <c r="H15" i="5"/>
  <c r="I15" i="5"/>
  <c r="J15" i="5"/>
  <c r="K15" i="5"/>
  <c r="L15" i="5"/>
  <c r="M15" i="5"/>
  <c r="N15" i="5"/>
  <c r="O15" i="5"/>
  <c r="P15" i="5"/>
  <c r="Q15" i="5"/>
  <c r="R15" i="5"/>
  <c r="S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AJ15" i="5"/>
  <c r="AK15" i="5"/>
  <c r="AL15" i="5"/>
  <c r="AM15" i="5"/>
  <c r="AN15" i="5"/>
  <c r="AO15" i="5"/>
  <c r="AP15" i="5"/>
  <c r="AQ15" i="5"/>
  <c r="AR15" i="5"/>
  <c r="AS15" i="5"/>
  <c r="AT15" i="5"/>
  <c r="AU15" i="5"/>
  <c r="AV15" i="5"/>
  <c r="AW15" i="5"/>
  <c r="AX15" i="5"/>
  <c r="AY15" i="5"/>
  <c r="AZ15" i="5"/>
  <c r="BA15" i="5"/>
  <c r="BB15" i="5"/>
  <c r="BC15" i="5"/>
  <c r="BD15" i="5"/>
  <c r="BE15" i="5"/>
  <c r="BF15" i="5"/>
  <c r="BG15" i="5"/>
  <c r="BH15" i="5"/>
  <c r="BI15" i="5"/>
  <c r="BJ15" i="5"/>
  <c r="BK15" i="5"/>
  <c r="BL15" i="5"/>
  <c r="BM15" i="5"/>
  <c r="BN15" i="5"/>
  <c r="BO15" i="5"/>
  <c r="BP15" i="5"/>
  <c r="BQ15" i="5"/>
  <c r="BR15" i="5"/>
  <c r="BS15" i="5"/>
  <c r="BT15" i="5"/>
  <c r="BU15" i="5"/>
  <c r="BV15" i="5"/>
  <c r="BW15" i="5"/>
  <c r="BX15" i="5"/>
  <c r="BY15" i="5"/>
  <c r="BZ15" i="5"/>
  <c r="CA15" i="5"/>
  <c r="CB15" i="5"/>
  <c r="CC15" i="5"/>
  <c r="B16" i="5"/>
  <c r="C16" i="5"/>
  <c r="D16" i="5"/>
  <c r="E16" i="5"/>
  <c r="F16" i="5"/>
  <c r="G16" i="5"/>
  <c r="H16" i="5"/>
  <c r="I16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AJ16" i="5"/>
  <c r="AK16" i="5"/>
  <c r="AL16" i="5"/>
  <c r="AM16" i="5"/>
  <c r="AN16" i="5"/>
  <c r="AO16" i="5"/>
  <c r="AP16" i="5"/>
  <c r="AQ16" i="5"/>
  <c r="AR16" i="5"/>
  <c r="AS16" i="5"/>
  <c r="AT16" i="5"/>
  <c r="AU16" i="5"/>
  <c r="AV16" i="5"/>
  <c r="AW16" i="5"/>
  <c r="AX16" i="5"/>
  <c r="AY16" i="5"/>
  <c r="AZ16" i="5"/>
  <c r="BA16" i="5"/>
  <c r="BB16" i="5"/>
  <c r="BC16" i="5"/>
  <c r="BD16" i="5"/>
  <c r="BE16" i="5"/>
  <c r="BF16" i="5"/>
  <c r="BG16" i="5"/>
  <c r="BH16" i="5"/>
  <c r="BI16" i="5"/>
  <c r="BJ16" i="5"/>
  <c r="BK16" i="5"/>
  <c r="BL16" i="5"/>
  <c r="BM16" i="5"/>
  <c r="BN16" i="5"/>
  <c r="BO16" i="5"/>
  <c r="BP16" i="5"/>
  <c r="BQ16" i="5"/>
  <c r="BR16" i="5"/>
  <c r="BS16" i="5"/>
  <c r="BT16" i="5"/>
  <c r="BU16" i="5"/>
  <c r="BV16" i="5"/>
  <c r="BW16" i="5"/>
  <c r="BX16" i="5"/>
  <c r="BY16" i="5"/>
  <c r="BZ16" i="5"/>
  <c r="CA16" i="5"/>
  <c r="CB16" i="5"/>
  <c r="CC16" i="5"/>
  <c r="B17" i="5"/>
  <c r="C17" i="5"/>
  <c r="D17" i="5"/>
  <c r="E17" i="5"/>
  <c r="F17" i="5"/>
  <c r="G17" i="5"/>
  <c r="H17" i="5"/>
  <c r="I17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AJ17" i="5"/>
  <c r="AK17" i="5"/>
  <c r="AL17" i="5"/>
  <c r="AM17" i="5"/>
  <c r="AN17" i="5"/>
  <c r="AO17" i="5"/>
  <c r="AP17" i="5"/>
  <c r="AQ17" i="5"/>
  <c r="AR17" i="5"/>
  <c r="AS17" i="5"/>
  <c r="AT17" i="5"/>
  <c r="AU17" i="5"/>
  <c r="AV17" i="5"/>
  <c r="AW17" i="5"/>
  <c r="AX17" i="5"/>
  <c r="AY17" i="5"/>
  <c r="AZ17" i="5"/>
  <c r="BA17" i="5"/>
  <c r="BB17" i="5"/>
  <c r="BC17" i="5"/>
  <c r="BD17" i="5"/>
  <c r="BE17" i="5"/>
  <c r="BF17" i="5"/>
  <c r="BG17" i="5"/>
  <c r="BH17" i="5"/>
  <c r="BI17" i="5"/>
  <c r="BJ17" i="5"/>
  <c r="BK17" i="5"/>
  <c r="BL17" i="5"/>
  <c r="BM17" i="5"/>
  <c r="BN17" i="5"/>
  <c r="BO17" i="5"/>
  <c r="BP17" i="5"/>
  <c r="BQ17" i="5"/>
  <c r="BR17" i="5"/>
  <c r="BS17" i="5"/>
  <c r="BT17" i="5"/>
  <c r="BU17" i="5"/>
  <c r="BV17" i="5"/>
  <c r="BW17" i="5"/>
  <c r="BX17" i="5"/>
  <c r="BY17" i="5"/>
  <c r="BZ17" i="5"/>
  <c r="CA17" i="5"/>
  <c r="CB17" i="5"/>
  <c r="CC17" i="5"/>
  <c r="B18" i="5"/>
  <c r="C18" i="5"/>
  <c r="D18" i="5"/>
  <c r="E18" i="5"/>
  <c r="F18" i="5"/>
  <c r="G18" i="5"/>
  <c r="H18" i="5"/>
  <c r="I18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AJ18" i="5"/>
  <c r="AK18" i="5"/>
  <c r="AL18" i="5"/>
  <c r="AM18" i="5"/>
  <c r="AN18" i="5"/>
  <c r="AO18" i="5"/>
  <c r="AP18" i="5"/>
  <c r="AQ18" i="5"/>
  <c r="AR18" i="5"/>
  <c r="AS18" i="5"/>
  <c r="AT18" i="5"/>
  <c r="AU18" i="5"/>
  <c r="AV18" i="5"/>
  <c r="AW18" i="5"/>
  <c r="AX18" i="5"/>
  <c r="AY18" i="5"/>
  <c r="AZ18" i="5"/>
  <c r="BA18" i="5"/>
  <c r="BB18" i="5"/>
  <c r="BC18" i="5"/>
  <c r="BD18" i="5"/>
  <c r="BE18" i="5"/>
  <c r="BF18" i="5"/>
  <c r="BG18" i="5"/>
  <c r="BH18" i="5"/>
  <c r="BI18" i="5"/>
  <c r="BJ18" i="5"/>
  <c r="BK18" i="5"/>
  <c r="BL18" i="5"/>
  <c r="BM18" i="5"/>
  <c r="BN18" i="5"/>
  <c r="BO18" i="5"/>
  <c r="BP18" i="5"/>
  <c r="BQ18" i="5"/>
  <c r="BR18" i="5"/>
  <c r="BS18" i="5"/>
  <c r="BT18" i="5"/>
  <c r="BU18" i="5"/>
  <c r="BV18" i="5"/>
  <c r="BW18" i="5"/>
  <c r="BX18" i="5"/>
  <c r="BY18" i="5"/>
  <c r="BZ18" i="5"/>
  <c r="CA18" i="5"/>
  <c r="CB18" i="5"/>
  <c r="CC18" i="5"/>
  <c r="B19" i="5"/>
  <c r="C19" i="5"/>
  <c r="D19" i="5"/>
  <c r="E19" i="5"/>
  <c r="F19" i="5"/>
  <c r="G19" i="5"/>
  <c r="H19" i="5"/>
  <c r="I19" i="5"/>
  <c r="J19" i="5"/>
  <c r="K19" i="5"/>
  <c r="L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AJ19" i="5"/>
  <c r="AK19" i="5"/>
  <c r="AL19" i="5"/>
  <c r="AM19" i="5"/>
  <c r="AN19" i="5"/>
  <c r="AO19" i="5"/>
  <c r="AP19" i="5"/>
  <c r="AQ19" i="5"/>
  <c r="AR19" i="5"/>
  <c r="AS19" i="5"/>
  <c r="AT19" i="5"/>
  <c r="AU19" i="5"/>
  <c r="AV19" i="5"/>
  <c r="AW19" i="5"/>
  <c r="AX19" i="5"/>
  <c r="AY19" i="5"/>
  <c r="AZ19" i="5"/>
  <c r="BA19" i="5"/>
  <c r="BB19" i="5"/>
  <c r="BC19" i="5"/>
  <c r="BD19" i="5"/>
  <c r="BE19" i="5"/>
  <c r="BF19" i="5"/>
  <c r="BG19" i="5"/>
  <c r="BH19" i="5"/>
  <c r="BI19" i="5"/>
  <c r="BJ19" i="5"/>
  <c r="BK19" i="5"/>
  <c r="BL19" i="5"/>
  <c r="BM19" i="5"/>
  <c r="BN19" i="5"/>
  <c r="BO19" i="5"/>
  <c r="BP19" i="5"/>
  <c r="BQ19" i="5"/>
  <c r="BR19" i="5"/>
  <c r="BS19" i="5"/>
  <c r="BT19" i="5"/>
  <c r="BU19" i="5"/>
  <c r="BV19" i="5"/>
  <c r="BW19" i="5"/>
  <c r="BX19" i="5"/>
  <c r="BY19" i="5"/>
  <c r="BZ19" i="5"/>
  <c r="CA19" i="5"/>
  <c r="CB19" i="5"/>
  <c r="CC19" i="5"/>
  <c r="B20" i="5"/>
  <c r="C20" i="5"/>
  <c r="D20" i="5"/>
  <c r="E20" i="5"/>
  <c r="F20" i="5"/>
  <c r="G20" i="5"/>
  <c r="H20" i="5"/>
  <c r="I20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AJ20" i="5"/>
  <c r="AK20" i="5"/>
  <c r="AL20" i="5"/>
  <c r="AM20" i="5"/>
  <c r="AN20" i="5"/>
  <c r="AO20" i="5"/>
  <c r="AP20" i="5"/>
  <c r="AQ20" i="5"/>
  <c r="AR20" i="5"/>
  <c r="AS20" i="5"/>
  <c r="AT20" i="5"/>
  <c r="AU20" i="5"/>
  <c r="AV20" i="5"/>
  <c r="AW20" i="5"/>
  <c r="AX20" i="5"/>
  <c r="AY20" i="5"/>
  <c r="AZ20" i="5"/>
  <c r="BA20" i="5"/>
  <c r="BB20" i="5"/>
  <c r="BC20" i="5"/>
  <c r="BD20" i="5"/>
  <c r="BE20" i="5"/>
  <c r="BF20" i="5"/>
  <c r="BG20" i="5"/>
  <c r="BH20" i="5"/>
  <c r="BI20" i="5"/>
  <c r="BJ20" i="5"/>
  <c r="BK20" i="5"/>
  <c r="BL20" i="5"/>
  <c r="BM20" i="5"/>
  <c r="BN20" i="5"/>
  <c r="BO20" i="5"/>
  <c r="BP20" i="5"/>
  <c r="BQ20" i="5"/>
  <c r="BR20" i="5"/>
  <c r="BS20" i="5"/>
  <c r="BT20" i="5"/>
  <c r="BU20" i="5"/>
  <c r="BV20" i="5"/>
  <c r="BW20" i="5"/>
  <c r="BX20" i="5"/>
  <c r="BY20" i="5"/>
  <c r="BZ20" i="5"/>
  <c r="CA20" i="5"/>
  <c r="CB20" i="5"/>
  <c r="CC20" i="5"/>
  <c r="B21" i="5"/>
  <c r="C21" i="5"/>
  <c r="D21" i="5"/>
  <c r="E21" i="5"/>
  <c r="F21" i="5"/>
  <c r="G21" i="5"/>
  <c r="H21" i="5"/>
  <c r="I21" i="5"/>
  <c r="J21" i="5"/>
  <c r="K21" i="5"/>
  <c r="L21" i="5"/>
  <c r="M21" i="5"/>
  <c r="N21" i="5"/>
  <c r="O21" i="5"/>
  <c r="P21" i="5"/>
  <c r="Q21" i="5"/>
  <c r="R21" i="5"/>
  <c r="S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AJ21" i="5"/>
  <c r="AK21" i="5"/>
  <c r="AL21" i="5"/>
  <c r="AM21" i="5"/>
  <c r="AN21" i="5"/>
  <c r="AO21" i="5"/>
  <c r="AP21" i="5"/>
  <c r="AQ21" i="5"/>
  <c r="AR21" i="5"/>
  <c r="AS21" i="5"/>
  <c r="AT21" i="5"/>
  <c r="AU21" i="5"/>
  <c r="AV21" i="5"/>
  <c r="AW21" i="5"/>
  <c r="AX21" i="5"/>
  <c r="AY21" i="5"/>
  <c r="AZ21" i="5"/>
  <c r="BA21" i="5"/>
  <c r="BB21" i="5"/>
  <c r="BC21" i="5"/>
  <c r="BD21" i="5"/>
  <c r="BE21" i="5"/>
  <c r="BF21" i="5"/>
  <c r="BG21" i="5"/>
  <c r="BH21" i="5"/>
  <c r="BI21" i="5"/>
  <c r="BJ21" i="5"/>
  <c r="BK21" i="5"/>
  <c r="BL21" i="5"/>
  <c r="BM21" i="5"/>
  <c r="BN21" i="5"/>
  <c r="BO21" i="5"/>
  <c r="BP21" i="5"/>
  <c r="BQ21" i="5"/>
  <c r="BR21" i="5"/>
  <c r="BS21" i="5"/>
  <c r="BT21" i="5"/>
  <c r="BU21" i="5"/>
  <c r="BV21" i="5"/>
  <c r="BW21" i="5"/>
  <c r="BX21" i="5"/>
  <c r="BY21" i="5"/>
  <c r="BZ21" i="5"/>
  <c r="CA21" i="5"/>
  <c r="CB21" i="5"/>
  <c r="CC21" i="5"/>
  <c r="B22" i="5"/>
  <c r="C22" i="5"/>
  <c r="D22" i="5"/>
  <c r="E22" i="5"/>
  <c r="F22" i="5"/>
  <c r="G22" i="5"/>
  <c r="H22" i="5"/>
  <c r="I22" i="5"/>
  <c r="J22" i="5"/>
  <c r="K22" i="5"/>
  <c r="L22" i="5"/>
  <c r="M22" i="5"/>
  <c r="N22" i="5"/>
  <c r="O22" i="5"/>
  <c r="P22" i="5"/>
  <c r="Q22" i="5"/>
  <c r="R22" i="5"/>
  <c r="S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AJ22" i="5"/>
  <c r="AK22" i="5"/>
  <c r="AL22" i="5"/>
  <c r="AM22" i="5"/>
  <c r="AN22" i="5"/>
  <c r="AO22" i="5"/>
  <c r="AP22" i="5"/>
  <c r="AQ22" i="5"/>
  <c r="AR22" i="5"/>
  <c r="AS22" i="5"/>
  <c r="AT22" i="5"/>
  <c r="AU22" i="5"/>
  <c r="AV22" i="5"/>
  <c r="AW22" i="5"/>
  <c r="AX22" i="5"/>
  <c r="AY22" i="5"/>
  <c r="AZ22" i="5"/>
  <c r="BA22" i="5"/>
  <c r="BB22" i="5"/>
  <c r="BC22" i="5"/>
  <c r="BD22" i="5"/>
  <c r="BE22" i="5"/>
  <c r="BF22" i="5"/>
  <c r="BG22" i="5"/>
  <c r="BH22" i="5"/>
  <c r="BI22" i="5"/>
  <c r="BJ22" i="5"/>
  <c r="BK22" i="5"/>
  <c r="BL22" i="5"/>
  <c r="BM22" i="5"/>
  <c r="BN22" i="5"/>
  <c r="BO22" i="5"/>
  <c r="BP22" i="5"/>
  <c r="BQ22" i="5"/>
  <c r="BR22" i="5"/>
  <c r="BS22" i="5"/>
  <c r="BT22" i="5"/>
  <c r="BU22" i="5"/>
  <c r="BV22" i="5"/>
  <c r="BW22" i="5"/>
  <c r="BX22" i="5"/>
  <c r="BY22" i="5"/>
  <c r="BZ22" i="5"/>
  <c r="CA22" i="5"/>
  <c r="CB22" i="5"/>
  <c r="CC22" i="5"/>
  <c r="B23" i="5"/>
  <c r="C23" i="5"/>
  <c r="D23" i="5"/>
  <c r="E23" i="5"/>
  <c r="F23" i="5"/>
  <c r="G23" i="5"/>
  <c r="H23" i="5"/>
  <c r="I23" i="5"/>
  <c r="J23" i="5"/>
  <c r="K23" i="5"/>
  <c r="L23" i="5"/>
  <c r="M23" i="5"/>
  <c r="N23" i="5"/>
  <c r="O23" i="5"/>
  <c r="P23" i="5"/>
  <c r="Q23" i="5"/>
  <c r="R23" i="5"/>
  <c r="S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AJ23" i="5"/>
  <c r="AK23" i="5"/>
  <c r="AL23" i="5"/>
  <c r="AM23" i="5"/>
  <c r="AN23" i="5"/>
  <c r="AO23" i="5"/>
  <c r="AP23" i="5"/>
  <c r="AQ23" i="5"/>
  <c r="AR23" i="5"/>
  <c r="AS23" i="5"/>
  <c r="AT23" i="5"/>
  <c r="AU23" i="5"/>
  <c r="AV23" i="5"/>
  <c r="AW23" i="5"/>
  <c r="AX23" i="5"/>
  <c r="AY23" i="5"/>
  <c r="AZ23" i="5"/>
  <c r="BA23" i="5"/>
  <c r="BB23" i="5"/>
  <c r="BC23" i="5"/>
  <c r="BD23" i="5"/>
  <c r="BE23" i="5"/>
  <c r="BF23" i="5"/>
  <c r="BG23" i="5"/>
  <c r="BH23" i="5"/>
  <c r="BI23" i="5"/>
  <c r="BJ23" i="5"/>
  <c r="BK23" i="5"/>
  <c r="BL23" i="5"/>
  <c r="BM23" i="5"/>
  <c r="BN23" i="5"/>
  <c r="BO23" i="5"/>
  <c r="BP23" i="5"/>
  <c r="BQ23" i="5"/>
  <c r="BR23" i="5"/>
  <c r="BS23" i="5"/>
  <c r="BT23" i="5"/>
  <c r="BU23" i="5"/>
  <c r="BV23" i="5"/>
  <c r="BW23" i="5"/>
  <c r="BX23" i="5"/>
  <c r="BY23" i="5"/>
  <c r="BZ23" i="5"/>
  <c r="CA23" i="5"/>
  <c r="CB23" i="5"/>
  <c r="CC23" i="5"/>
  <c r="B24" i="5"/>
  <c r="C24" i="5"/>
  <c r="D24" i="5"/>
  <c r="E24" i="5"/>
  <c r="F24" i="5"/>
  <c r="G24" i="5"/>
  <c r="H24" i="5"/>
  <c r="I24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AJ24" i="5"/>
  <c r="AK24" i="5"/>
  <c r="AL24" i="5"/>
  <c r="AM24" i="5"/>
  <c r="AN24" i="5"/>
  <c r="AO24" i="5"/>
  <c r="AP24" i="5"/>
  <c r="AQ24" i="5"/>
  <c r="AR24" i="5"/>
  <c r="AS24" i="5"/>
  <c r="AT24" i="5"/>
  <c r="AU24" i="5"/>
  <c r="AV24" i="5"/>
  <c r="AW24" i="5"/>
  <c r="AX24" i="5"/>
  <c r="AY24" i="5"/>
  <c r="AZ24" i="5"/>
  <c r="BA24" i="5"/>
  <c r="BB24" i="5"/>
  <c r="BC24" i="5"/>
  <c r="BD24" i="5"/>
  <c r="BE24" i="5"/>
  <c r="BF24" i="5"/>
  <c r="BG24" i="5"/>
  <c r="BH24" i="5"/>
  <c r="BI24" i="5"/>
  <c r="BJ24" i="5"/>
  <c r="BK24" i="5"/>
  <c r="BL24" i="5"/>
  <c r="BM24" i="5"/>
  <c r="BN24" i="5"/>
  <c r="BO24" i="5"/>
  <c r="BP24" i="5"/>
  <c r="BQ24" i="5"/>
  <c r="BR24" i="5"/>
  <c r="BS24" i="5"/>
  <c r="BT24" i="5"/>
  <c r="BU24" i="5"/>
  <c r="BV24" i="5"/>
  <c r="BW24" i="5"/>
  <c r="BX24" i="5"/>
  <c r="BY24" i="5"/>
  <c r="BZ24" i="5"/>
  <c r="CA24" i="5"/>
  <c r="CB24" i="5"/>
  <c r="CC24" i="5"/>
  <c r="B25" i="5"/>
  <c r="C25" i="5"/>
  <c r="D25" i="5"/>
  <c r="E25" i="5"/>
  <c r="F25" i="5"/>
  <c r="G25" i="5"/>
  <c r="H25" i="5"/>
  <c r="I25" i="5"/>
  <c r="J25" i="5"/>
  <c r="K25" i="5"/>
  <c r="L25" i="5"/>
  <c r="M25" i="5"/>
  <c r="N25" i="5"/>
  <c r="O25" i="5"/>
  <c r="P25" i="5"/>
  <c r="Q25" i="5"/>
  <c r="R25" i="5"/>
  <c r="S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AJ25" i="5"/>
  <c r="AK25" i="5"/>
  <c r="AL25" i="5"/>
  <c r="AM25" i="5"/>
  <c r="AN25" i="5"/>
  <c r="AO25" i="5"/>
  <c r="AP25" i="5"/>
  <c r="AQ25" i="5"/>
  <c r="AR25" i="5"/>
  <c r="AS25" i="5"/>
  <c r="AT25" i="5"/>
  <c r="AU25" i="5"/>
  <c r="AV25" i="5"/>
  <c r="AW25" i="5"/>
  <c r="AX25" i="5"/>
  <c r="AY25" i="5"/>
  <c r="AZ25" i="5"/>
  <c r="BA25" i="5"/>
  <c r="BB25" i="5"/>
  <c r="BC25" i="5"/>
  <c r="BD25" i="5"/>
  <c r="BE25" i="5"/>
  <c r="BF25" i="5"/>
  <c r="BG25" i="5"/>
  <c r="BH25" i="5"/>
  <c r="BI25" i="5"/>
  <c r="BJ25" i="5"/>
  <c r="BK25" i="5"/>
  <c r="BL25" i="5"/>
  <c r="BM25" i="5"/>
  <c r="BN25" i="5"/>
  <c r="BO25" i="5"/>
  <c r="BP25" i="5"/>
  <c r="BQ25" i="5"/>
  <c r="BR25" i="5"/>
  <c r="BS25" i="5"/>
  <c r="BT25" i="5"/>
  <c r="BU25" i="5"/>
  <c r="BV25" i="5"/>
  <c r="BW25" i="5"/>
  <c r="BX25" i="5"/>
  <c r="BY25" i="5"/>
  <c r="BZ25" i="5"/>
  <c r="CA25" i="5"/>
  <c r="CB25" i="5"/>
  <c r="CC25" i="5"/>
  <c r="B26" i="5"/>
  <c r="C26" i="5"/>
  <c r="D26" i="5"/>
  <c r="E26" i="5"/>
  <c r="F26" i="5"/>
  <c r="G26" i="5"/>
  <c r="H26" i="5"/>
  <c r="I26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AJ26" i="5"/>
  <c r="AK26" i="5"/>
  <c r="AL26" i="5"/>
  <c r="AM26" i="5"/>
  <c r="AN26" i="5"/>
  <c r="AO26" i="5"/>
  <c r="AP26" i="5"/>
  <c r="AQ26" i="5"/>
  <c r="AR26" i="5"/>
  <c r="AS26" i="5"/>
  <c r="AT26" i="5"/>
  <c r="AU26" i="5"/>
  <c r="AV26" i="5"/>
  <c r="AW26" i="5"/>
  <c r="AX26" i="5"/>
  <c r="AY26" i="5"/>
  <c r="AZ26" i="5"/>
  <c r="BA26" i="5"/>
  <c r="BB26" i="5"/>
  <c r="BC26" i="5"/>
  <c r="BD26" i="5"/>
  <c r="BE26" i="5"/>
  <c r="BF26" i="5"/>
  <c r="BG26" i="5"/>
  <c r="BH26" i="5"/>
  <c r="BI26" i="5"/>
  <c r="BJ26" i="5"/>
  <c r="BK26" i="5"/>
  <c r="BL26" i="5"/>
  <c r="BM26" i="5"/>
  <c r="BN26" i="5"/>
  <c r="BO26" i="5"/>
  <c r="BP26" i="5"/>
  <c r="BQ26" i="5"/>
  <c r="BR26" i="5"/>
  <c r="BS26" i="5"/>
  <c r="BT26" i="5"/>
  <c r="BU26" i="5"/>
  <c r="BV26" i="5"/>
  <c r="BW26" i="5"/>
  <c r="BX26" i="5"/>
  <c r="BY26" i="5"/>
  <c r="BZ26" i="5"/>
  <c r="CA26" i="5"/>
  <c r="CB26" i="5"/>
  <c r="CC26" i="5"/>
  <c r="B27" i="5"/>
  <c r="C27" i="5"/>
  <c r="D27" i="5"/>
  <c r="E27" i="5"/>
  <c r="F27" i="5"/>
  <c r="G27" i="5"/>
  <c r="H27" i="5"/>
  <c r="I27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AJ27" i="5"/>
  <c r="AK27" i="5"/>
  <c r="AL27" i="5"/>
  <c r="AM27" i="5"/>
  <c r="AN27" i="5"/>
  <c r="AO27" i="5"/>
  <c r="AP27" i="5"/>
  <c r="AQ27" i="5"/>
  <c r="AR27" i="5"/>
  <c r="AS27" i="5"/>
  <c r="AT27" i="5"/>
  <c r="AU27" i="5"/>
  <c r="AV27" i="5"/>
  <c r="AW27" i="5"/>
  <c r="AX27" i="5"/>
  <c r="AY27" i="5"/>
  <c r="AZ27" i="5"/>
  <c r="BA27" i="5"/>
  <c r="BB27" i="5"/>
  <c r="BC27" i="5"/>
  <c r="BD27" i="5"/>
  <c r="BE27" i="5"/>
  <c r="BF27" i="5"/>
  <c r="BG27" i="5"/>
  <c r="BH27" i="5"/>
  <c r="BI27" i="5"/>
  <c r="BJ27" i="5"/>
  <c r="BK27" i="5"/>
  <c r="BL27" i="5"/>
  <c r="BM27" i="5"/>
  <c r="BN27" i="5"/>
  <c r="BO27" i="5"/>
  <c r="BP27" i="5"/>
  <c r="BQ27" i="5"/>
  <c r="BR27" i="5"/>
  <c r="BS27" i="5"/>
  <c r="BT27" i="5"/>
  <c r="BU27" i="5"/>
  <c r="BV27" i="5"/>
  <c r="BW27" i="5"/>
  <c r="BX27" i="5"/>
  <c r="BY27" i="5"/>
  <c r="BZ27" i="5"/>
  <c r="CA27" i="5"/>
  <c r="CB27" i="5"/>
  <c r="CC27" i="5"/>
  <c r="B28" i="5"/>
  <c r="C28" i="5"/>
  <c r="D28" i="5"/>
  <c r="E28" i="5"/>
  <c r="F28" i="5"/>
  <c r="G28" i="5"/>
  <c r="H28" i="5"/>
  <c r="I28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AJ28" i="5"/>
  <c r="AK28" i="5"/>
  <c r="AL28" i="5"/>
  <c r="AM28" i="5"/>
  <c r="AN28" i="5"/>
  <c r="AO28" i="5"/>
  <c r="AP28" i="5"/>
  <c r="AQ28" i="5"/>
  <c r="AR28" i="5"/>
  <c r="AS28" i="5"/>
  <c r="AT28" i="5"/>
  <c r="AU28" i="5"/>
  <c r="AV28" i="5"/>
  <c r="AW28" i="5"/>
  <c r="AX28" i="5"/>
  <c r="AY28" i="5"/>
  <c r="AZ28" i="5"/>
  <c r="BA28" i="5"/>
  <c r="BB28" i="5"/>
  <c r="BC28" i="5"/>
  <c r="BD28" i="5"/>
  <c r="BE28" i="5"/>
  <c r="BF28" i="5"/>
  <c r="BG28" i="5"/>
  <c r="BH28" i="5"/>
  <c r="BI28" i="5"/>
  <c r="BJ28" i="5"/>
  <c r="BK28" i="5"/>
  <c r="BL28" i="5"/>
  <c r="BM28" i="5"/>
  <c r="BN28" i="5"/>
  <c r="BO28" i="5"/>
  <c r="BP28" i="5"/>
  <c r="BQ28" i="5"/>
  <c r="BR28" i="5"/>
  <c r="BS28" i="5"/>
  <c r="BT28" i="5"/>
  <c r="BU28" i="5"/>
  <c r="BV28" i="5"/>
  <c r="BW28" i="5"/>
  <c r="BX28" i="5"/>
  <c r="BY28" i="5"/>
  <c r="BZ28" i="5"/>
  <c r="CA28" i="5"/>
  <c r="CB28" i="5"/>
  <c r="CC28" i="5"/>
  <c r="B29" i="5"/>
  <c r="C29" i="5"/>
  <c r="D29" i="5"/>
  <c r="E29" i="5"/>
  <c r="F29" i="5"/>
  <c r="G29" i="5"/>
  <c r="H29" i="5"/>
  <c r="I29" i="5"/>
  <c r="J29" i="5"/>
  <c r="K29" i="5"/>
  <c r="L29" i="5"/>
  <c r="M29" i="5"/>
  <c r="N29" i="5"/>
  <c r="O29" i="5"/>
  <c r="P29" i="5"/>
  <c r="Q29" i="5"/>
  <c r="R29" i="5"/>
  <c r="S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AJ29" i="5"/>
  <c r="AK29" i="5"/>
  <c r="AL29" i="5"/>
  <c r="AM29" i="5"/>
  <c r="AN29" i="5"/>
  <c r="AO29" i="5"/>
  <c r="AP29" i="5"/>
  <c r="AQ29" i="5"/>
  <c r="AR29" i="5"/>
  <c r="AS29" i="5"/>
  <c r="AT29" i="5"/>
  <c r="AU29" i="5"/>
  <c r="AV29" i="5"/>
  <c r="AW29" i="5"/>
  <c r="AX29" i="5"/>
  <c r="AY29" i="5"/>
  <c r="AZ29" i="5"/>
  <c r="BA29" i="5"/>
  <c r="BB29" i="5"/>
  <c r="BC29" i="5"/>
  <c r="BD29" i="5"/>
  <c r="BE29" i="5"/>
  <c r="BF29" i="5"/>
  <c r="BG29" i="5"/>
  <c r="BH29" i="5"/>
  <c r="BI29" i="5"/>
  <c r="BJ29" i="5"/>
  <c r="BK29" i="5"/>
  <c r="BL29" i="5"/>
  <c r="BM29" i="5"/>
  <c r="BN29" i="5"/>
  <c r="BO29" i="5"/>
  <c r="BP29" i="5"/>
  <c r="BQ29" i="5"/>
  <c r="BR29" i="5"/>
  <c r="BS29" i="5"/>
  <c r="BT29" i="5"/>
  <c r="BU29" i="5"/>
  <c r="BV29" i="5"/>
  <c r="BW29" i="5"/>
  <c r="BX29" i="5"/>
  <c r="BY29" i="5"/>
  <c r="BZ29" i="5"/>
  <c r="CA29" i="5"/>
  <c r="CB29" i="5"/>
  <c r="CC29" i="5"/>
  <c r="B30" i="5"/>
  <c r="C30" i="5"/>
  <c r="D30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AJ30" i="5"/>
  <c r="AK30" i="5"/>
  <c r="AL30" i="5"/>
  <c r="AM30" i="5"/>
  <c r="AN30" i="5"/>
  <c r="AO30" i="5"/>
  <c r="AP30" i="5"/>
  <c r="AQ30" i="5"/>
  <c r="AR30" i="5"/>
  <c r="AS30" i="5"/>
  <c r="AT30" i="5"/>
  <c r="AU30" i="5"/>
  <c r="AV30" i="5"/>
  <c r="AW30" i="5"/>
  <c r="AX30" i="5"/>
  <c r="AY30" i="5"/>
  <c r="AZ30" i="5"/>
  <c r="BA30" i="5"/>
  <c r="BB30" i="5"/>
  <c r="BC30" i="5"/>
  <c r="BD30" i="5"/>
  <c r="BE30" i="5"/>
  <c r="BF30" i="5"/>
  <c r="BG30" i="5"/>
  <c r="BH30" i="5"/>
  <c r="BI30" i="5"/>
  <c r="BJ30" i="5"/>
  <c r="BK30" i="5"/>
  <c r="BL30" i="5"/>
  <c r="BM30" i="5"/>
  <c r="BN30" i="5"/>
  <c r="BO30" i="5"/>
  <c r="BP30" i="5"/>
  <c r="BQ30" i="5"/>
  <c r="BR30" i="5"/>
  <c r="BS30" i="5"/>
  <c r="BT30" i="5"/>
  <c r="BU30" i="5"/>
  <c r="BV30" i="5"/>
  <c r="BW30" i="5"/>
  <c r="BX30" i="5"/>
  <c r="BY30" i="5"/>
  <c r="BZ30" i="5"/>
  <c r="CA30" i="5"/>
  <c r="CB30" i="5"/>
  <c r="CC30" i="5"/>
  <c r="B31" i="5"/>
  <c r="C31" i="5"/>
  <c r="D31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AJ31" i="5"/>
  <c r="AK31" i="5"/>
  <c r="AL31" i="5"/>
  <c r="AM31" i="5"/>
  <c r="AN31" i="5"/>
  <c r="AO31" i="5"/>
  <c r="AP31" i="5"/>
  <c r="AQ31" i="5"/>
  <c r="AR31" i="5"/>
  <c r="AS31" i="5"/>
  <c r="AT31" i="5"/>
  <c r="AU31" i="5"/>
  <c r="AV31" i="5"/>
  <c r="AW31" i="5"/>
  <c r="AX31" i="5"/>
  <c r="AY31" i="5"/>
  <c r="AZ31" i="5"/>
  <c r="BA31" i="5"/>
  <c r="BB31" i="5"/>
  <c r="BC31" i="5"/>
  <c r="BD31" i="5"/>
  <c r="BE31" i="5"/>
  <c r="BF31" i="5"/>
  <c r="BG31" i="5"/>
  <c r="BH31" i="5"/>
  <c r="BI31" i="5"/>
  <c r="BJ31" i="5"/>
  <c r="BK31" i="5"/>
  <c r="BL31" i="5"/>
  <c r="BM31" i="5"/>
  <c r="BN31" i="5"/>
  <c r="BO31" i="5"/>
  <c r="BP31" i="5"/>
  <c r="BQ31" i="5"/>
  <c r="BR31" i="5"/>
  <c r="BS31" i="5"/>
  <c r="BT31" i="5"/>
  <c r="BU31" i="5"/>
  <c r="BV31" i="5"/>
  <c r="BW31" i="5"/>
  <c r="BX31" i="5"/>
  <c r="BY31" i="5"/>
  <c r="BZ31" i="5"/>
  <c r="CA31" i="5"/>
  <c r="CB31" i="5"/>
  <c r="CC31" i="5"/>
  <c r="B32" i="5"/>
  <c r="C32" i="5"/>
  <c r="D32" i="5"/>
  <c r="E32" i="5"/>
  <c r="F32" i="5"/>
  <c r="G32" i="5"/>
  <c r="H32" i="5"/>
  <c r="I32" i="5"/>
  <c r="J32" i="5"/>
  <c r="K32" i="5"/>
  <c r="L32" i="5"/>
  <c r="M32" i="5"/>
  <c r="N32" i="5"/>
  <c r="O32" i="5"/>
  <c r="P32" i="5"/>
  <c r="Q32" i="5"/>
  <c r="R32" i="5"/>
  <c r="S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AJ32" i="5"/>
  <c r="AK32" i="5"/>
  <c r="AL32" i="5"/>
  <c r="AM32" i="5"/>
  <c r="AN32" i="5"/>
  <c r="AO32" i="5"/>
  <c r="AP32" i="5"/>
  <c r="AQ32" i="5"/>
  <c r="AR32" i="5"/>
  <c r="AS32" i="5"/>
  <c r="AT32" i="5"/>
  <c r="AU32" i="5"/>
  <c r="AV32" i="5"/>
  <c r="AW32" i="5"/>
  <c r="AX32" i="5"/>
  <c r="AY32" i="5"/>
  <c r="AZ32" i="5"/>
  <c r="BA32" i="5"/>
  <c r="BB32" i="5"/>
  <c r="BC32" i="5"/>
  <c r="BD32" i="5"/>
  <c r="BE32" i="5"/>
  <c r="BF32" i="5"/>
  <c r="BG32" i="5"/>
  <c r="BH32" i="5"/>
  <c r="BI32" i="5"/>
  <c r="BJ32" i="5"/>
  <c r="BK32" i="5"/>
  <c r="BL32" i="5"/>
  <c r="BM32" i="5"/>
  <c r="BN32" i="5"/>
  <c r="BO32" i="5"/>
  <c r="BP32" i="5"/>
  <c r="BQ32" i="5"/>
  <c r="BR32" i="5"/>
  <c r="BS32" i="5"/>
  <c r="BT32" i="5"/>
  <c r="BU32" i="5"/>
  <c r="BV32" i="5"/>
  <c r="BW32" i="5"/>
  <c r="BX32" i="5"/>
  <c r="BY32" i="5"/>
  <c r="BZ32" i="5"/>
  <c r="CA32" i="5"/>
  <c r="CB32" i="5"/>
  <c r="CC32" i="5"/>
  <c r="B33" i="5"/>
  <c r="C33" i="5"/>
  <c r="D33" i="5"/>
  <c r="E33" i="5"/>
  <c r="F33" i="5"/>
  <c r="G33" i="5"/>
  <c r="H33" i="5"/>
  <c r="I33" i="5"/>
  <c r="J33" i="5"/>
  <c r="K33" i="5"/>
  <c r="L33" i="5"/>
  <c r="M33" i="5"/>
  <c r="N33" i="5"/>
  <c r="O33" i="5"/>
  <c r="P33" i="5"/>
  <c r="Q33" i="5"/>
  <c r="R33" i="5"/>
  <c r="S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AJ33" i="5"/>
  <c r="AK33" i="5"/>
  <c r="AL33" i="5"/>
  <c r="AM33" i="5"/>
  <c r="AN33" i="5"/>
  <c r="AO33" i="5"/>
  <c r="AP33" i="5"/>
  <c r="AQ33" i="5"/>
  <c r="AR33" i="5"/>
  <c r="AS33" i="5"/>
  <c r="AT33" i="5"/>
  <c r="AU33" i="5"/>
  <c r="AV33" i="5"/>
  <c r="AW33" i="5"/>
  <c r="AX33" i="5"/>
  <c r="AY33" i="5"/>
  <c r="AZ33" i="5"/>
  <c r="BA33" i="5"/>
  <c r="BB33" i="5"/>
  <c r="BC33" i="5"/>
  <c r="BD33" i="5"/>
  <c r="BE33" i="5"/>
  <c r="BF33" i="5"/>
  <c r="BG33" i="5"/>
  <c r="BH33" i="5"/>
  <c r="BI33" i="5"/>
  <c r="BJ33" i="5"/>
  <c r="BK33" i="5"/>
  <c r="BL33" i="5"/>
  <c r="BM33" i="5"/>
  <c r="BN33" i="5"/>
  <c r="BO33" i="5"/>
  <c r="BP33" i="5"/>
  <c r="BQ33" i="5"/>
  <c r="BR33" i="5"/>
  <c r="BS33" i="5"/>
  <c r="BT33" i="5"/>
  <c r="BU33" i="5"/>
  <c r="BV33" i="5"/>
  <c r="BW33" i="5"/>
  <c r="BX33" i="5"/>
  <c r="BY33" i="5"/>
  <c r="BZ33" i="5"/>
  <c r="CA33" i="5"/>
  <c r="CB33" i="5"/>
  <c r="CC33" i="5"/>
  <c r="B34" i="5"/>
  <c r="C34" i="5"/>
  <c r="D34" i="5"/>
  <c r="E34" i="5"/>
  <c r="F34" i="5"/>
  <c r="G34" i="5"/>
  <c r="H34" i="5"/>
  <c r="I34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AJ34" i="5"/>
  <c r="AK34" i="5"/>
  <c r="AL34" i="5"/>
  <c r="AM34" i="5"/>
  <c r="AN34" i="5"/>
  <c r="AO34" i="5"/>
  <c r="AP34" i="5"/>
  <c r="AQ34" i="5"/>
  <c r="AR34" i="5"/>
  <c r="AS34" i="5"/>
  <c r="AT34" i="5"/>
  <c r="AU34" i="5"/>
  <c r="AV34" i="5"/>
  <c r="AW34" i="5"/>
  <c r="AX34" i="5"/>
  <c r="AY34" i="5"/>
  <c r="AZ34" i="5"/>
  <c r="BA34" i="5"/>
  <c r="BB34" i="5"/>
  <c r="BC34" i="5"/>
  <c r="BD34" i="5"/>
  <c r="BE34" i="5"/>
  <c r="BF34" i="5"/>
  <c r="BG34" i="5"/>
  <c r="BH34" i="5"/>
  <c r="BI34" i="5"/>
  <c r="BJ34" i="5"/>
  <c r="BK34" i="5"/>
  <c r="BL34" i="5"/>
  <c r="BM34" i="5"/>
  <c r="BN34" i="5"/>
  <c r="BO34" i="5"/>
  <c r="BP34" i="5"/>
  <c r="BQ34" i="5"/>
  <c r="BR34" i="5"/>
  <c r="BS34" i="5"/>
  <c r="BT34" i="5"/>
  <c r="BU34" i="5"/>
  <c r="BV34" i="5"/>
  <c r="BW34" i="5"/>
  <c r="BX34" i="5"/>
  <c r="BY34" i="5"/>
  <c r="BZ34" i="5"/>
  <c r="CA34" i="5"/>
  <c r="CB34" i="5"/>
  <c r="CC34" i="5"/>
  <c r="B35" i="5"/>
  <c r="C35" i="5"/>
  <c r="D35" i="5"/>
  <c r="E35" i="5"/>
  <c r="F35" i="5"/>
  <c r="G35" i="5"/>
  <c r="H35" i="5"/>
  <c r="I35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AJ35" i="5"/>
  <c r="AK35" i="5"/>
  <c r="AL35" i="5"/>
  <c r="AM35" i="5"/>
  <c r="AN35" i="5"/>
  <c r="AO35" i="5"/>
  <c r="AP35" i="5"/>
  <c r="AQ35" i="5"/>
  <c r="AR35" i="5"/>
  <c r="AS35" i="5"/>
  <c r="AT35" i="5"/>
  <c r="AU35" i="5"/>
  <c r="AV35" i="5"/>
  <c r="AW35" i="5"/>
  <c r="AX35" i="5"/>
  <c r="AY35" i="5"/>
  <c r="AZ35" i="5"/>
  <c r="BA35" i="5"/>
  <c r="BB35" i="5"/>
  <c r="BC35" i="5"/>
  <c r="BD35" i="5"/>
  <c r="BE35" i="5"/>
  <c r="BF35" i="5"/>
  <c r="BG35" i="5"/>
  <c r="BH35" i="5"/>
  <c r="BI35" i="5"/>
  <c r="BJ35" i="5"/>
  <c r="BK35" i="5"/>
  <c r="BL35" i="5"/>
  <c r="BM35" i="5"/>
  <c r="BN35" i="5"/>
  <c r="BO35" i="5"/>
  <c r="BP35" i="5"/>
  <c r="BQ35" i="5"/>
  <c r="BR35" i="5"/>
  <c r="BS35" i="5"/>
  <c r="BT35" i="5"/>
  <c r="BU35" i="5"/>
  <c r="BV35" i="5"/>
  <c r="BW35" i="5"/>
  <c r="BX35" i="5"/>
  <c r="BY35" i="5"/>
  <c r="BZ35" i="5"/>
  <c r="CA35" i="5"/>
  <c r="CB35" i="5"/>
  <c r="CC35" i="5"/>
  <c r="B36" i="5"/>
  <c r="C36" i="5"/>
  <c r="D36" i="5"/>
  <c r="E36" i="5"/>
  <c r="F36" i="5"/>
  <c r="G36" i="5"/>
  <c r="H36" i="5"/>
  <c r="I36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AJ36" i="5"/>
  <c r="AK36" i="5"/>
  <c r="AL36" i="5"/>
  <c r="AM36" i="5"/>
  <c r="AN36" i="5"/>
  <c r="AO36" i="5"/>
  <c r="AP36" i="5"/>
  <c r="AQ36" i="5"/>
  <c r="AR36" i="5"/>
  <c r="AS36" i="5"/>
  <c r="AT36" i="5"/>
  <c r="AU36" i="5"/>
  <c r="AV36" i="5"/>
  <c r="AW36" i="5"/>
  <c r="AX36" i="5"/>
  <c r="AY36" i="5"/>
  <c r="AZ36" i="5"/>
  <c r="BA36" i="5"/>
  <c r="BB36" i="5"/>
  <c r="BC36" i="5"/>
  <c r="BD36" i="5"/>
  <c r="BE36" i="5"/>
  <c r="BF36" i="5"/>
  <c r="BG36" i="5"/>
  <c r="BH36" i="5"/>
  <c r="BI36" i="5"/>
  <c r="BJ36" i="5"/>
  <c r="BK36" i="5"/>
  <c r="BL36" i="5"/>
  <c r="BM36" i="5"/>
  <c r="BN36" i="5"/>
  <c r="BO36" i="5"/>
  <c r="BP36" i="5"/>
  <c r="BQ36" i="5"/>
  <c r="BR36" i="5"/>
  <c r="BS36" i="5"/>
  <c r="BT36" i="5"/>
  <c r="BU36" i="5"/>
  <c r="BV36" i="5"/>
  <c r="BW36" i="5"/>
  <c r="BX36" i="5"/>
  <c r="BY36" i="5"/>
  <c r="BZ36" i="5"/>
  <c r="CA36" i="5"/>
  <c r="CB36" i="5"/>
  <c r="CC36" i="5"/>
  <c r="B37" i="5"/>
  <c r="C37" i="5"/>
  <c r="D37" i="5"/>
  <c r="E37" i="5"/>
  <c r="F37" i="5"/>
  <c r="G37" i="5"/>
  <c r="H37" i="5"/>
  <c r="I37" i="5"/>
  <c r="J37" i="5"/>
  <c r="K37" i="5"/>
  <c r="L37" i="5"/>
  <c r="M37" i="5"/>
  <c r="N37" i="5"/>
  <c r="O37" i="5"/>
  <c r="P37" i="5"/>
  <c r="Q37" i="5"/>
  <c r="R37" i="5"/>
  <c r="S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AJ37" i="5"/>
  <c r="AK37" i="5"/>
  <c r="AL37" i="5"/>
  <c r="AM37" i="5"/>
  <c r="AN37" i="5"/>
  <c r="AO37" i="5"/>
  <c r="AP37" i="5"/>
  <c r="AQ37" i="5"/>
  <c r="AR37" i="5"/>
  <c r="AS37" i="5"/>
  <c r="AT37" i="5"/>
  <c r="AU37" i="5"/>
  <c r="AV37" i="5"/>
  <c r="AW37" i="5"/>
  <c r="AX37" i="5"/>
  <c r="AY37" i="5"/>
  <c r="AZ37" i="5"/>
  <c r="BA37" i="5"/>
  <c r="BB37" i="5"/>
  <c r="BC37" i="5"/>
  <c r="BD37" i="5"/>
  <c r="BE37" i="5"/>
  <c r="BF37" i="5"/>
  <c r="BG37" i="5"/>
  <c r="BH37" i="5"/>
  <c r="BI37" i="5"/>
  <c r="BJ37" i="5"/>
  <c r="BK37" i="5"/>
  <c r="BL37" i="5"/>
  <c r="BM37" i="5"/>
  <c r="BN37" i="5"/>
  <c r="BO37" i="5"/>
  <c r="BP37" i="5"/>
  <c r="BQ37" i="5"/>
  <c r="BR37" i="5"/>
  <c r="BS37" i="5"/>
  <c r="BT37" i="5"/>
  <c r="BU37" i="5"/>
  <c r="BV37" i="5"/>
  <c r="BW37" i="5"/>
  <c r="BX37" i="5"/>
  <c r="BY37" i="5"/>
  <c r="BZ37" i="5"/>
  <c r="CA37" i="5"/>
  <c r="CB37" i="5"/>
  <c r="CC37" i="5"/>
  <c r="B38" i="5"/>
  <c r="C38" i="5"/>
  <c r="D38" i="5"/>
  <c r="E38" i="5"/>
  <c r="F38" i="5"/>
  <c r="G38" i="5"/>
  <c r="H38" i="5"/>
  <c r="I38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AJ38" i="5"/>
  <c r="AK38" i="5"/>
  <c r="AL38" i="5"/>
  <c r="AM38" i="5"/>
  <c r="AN38" i="5"/>
  <c r="AO38" i="5"/>
  <c r="AP38" i="5"/>
  <c r="AQ38" i="5"/>
  <c r="AR38" i="5"/>
  <c r="AS38" i="5"/>
  <c r="AT38" i="5"/>
  <c r="AU38" i="5"/>
  <c r="AV38" i="5"/>
  <c r="AW38" i="5"/>
  <c r="AX38" i="5"/>
  <c r="AY38" i="5"/>
  <c r="AZ38" i="5"/>
  <c r="BA38" i="5"/>
  <c r="BB38" i="5"/>
  <c r="BC38" i="5"/>
  <c r="BD38" i="5"/>
  <c r="BE38" i="5"/>
  <c r="BF38" i="5"/>
  <c r="BG38" i="5"/>
  <c r="BH38" i="5"/>
  <c r="BI38" i="5"/>
  <c r="BJ38" i="5"/>
  <c r="BK38" i="5"/>
  <c r="BL38" i="5"/>
  <c r="BM38" i="5"/>
  <c r="BN38" i="5"/>
  <c r="BO38" i="5"/>
  <c r="BP38" i="5"/>
  <c r="BQ38" i="5"/>
  <c r="BR38" i="5"/>
  <c r="BS38" i="5"/>
  <c r="BT38" i="5"/>
  <c r="BU38" i="5"/>
  <c r="BV38" i="5"/>
  <c r="BW38" i="5"/>
  <c r="BX38" i="5"/>
  <c r="BY38" i="5"/>
  <c r="BZ38" i="5"/>
  <c r="CA38" i="5"/>
  <c r="CB38" i="5"/>
  <c r="CC38" i="5"/>
  <c r="B39" i="5"/>
  <c r="C39" i="5"/>
  <c r="D39" i="5"/>
  <c r="E39" i="5"/>
  <c r="F39" i="5"/>
  <c r="G39" i="5"/>
  <c r="H39" i="5"/>
  <c r="I39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AJ39" i="5"/>
  <c r="AK39" i="5"/>
  <c r="AL39" i="5"/>
  <c r="AM39" i="5"/>
  <c r="AN39" i="5"/>
  <c r="AO39" i="5"/>
  <c r="AP39" i="5"/>
  <c r="AQ39" i="5"/>
  <c r="AR39" i="5"/>
  <c r="AS39" i="5"/>
  <c r="AT39" i="5"/>
  <c r="AU39" i="5"/>
  <c r="AV39" i="5"/>
  <c r="AW39" i="5"/>
  <c r="AX39" i="5"/>
  <c r="AY39" i="5"/>
  <c r="AZ39" i="5"/>
  <c r="BA39" i="5"/>
  <c r="BB39" i="5"/>
  <c r="BC39" i="5"/>
  <c r="BD39" i="5"/>
  <c r="BE39" i="5"/>
  <c r="BF39" i="5"/>
  <c r="BG39" i="5"/>
  <c r="BH39" i="5"/>
  <c r="BI39" i="5"/>
  <c r="BJ39" i="5"/>
  <c r="BK39" i="5"/>
  <c r="BL39" i="5"/>
  <c r="BM39" i="5"/>
  <c r="BN39" i="5"/>
  <c r="BO39" i="5"/>
  <c r="BP39" i="5"/>
  <c r="BQ39" i="5"/>
  <c r="BR39" i="5"/>
  <c r="BS39" i="5"/>
  <c r="BT39" i="5"/>
  <c r="BU39" i="5"/>
  <c r="BV39" i="5"/>
  <c r="BW39" i="5"/>
  <c r="BX39" i="5"/>
  <c r="BY39" i="5"/>
  <c r="BZ39" i="5"/>
  <c r="CA39" i="5"/>
  <c r="CB39" i="5"/>
  <c r="CC39" i="5"/>
  <c r="B40" i="5"/>
  <c r="C40" i="5"/>
  <c r="D40" i="5"/>
  <c r="E40" i="5"/>
  <c r="F40" i="5"/>
  <c r="G40" i="5"/>
  <c r="H40" i="5"/>
  <c r="I40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AJ40" i="5"/>
  <c r="AK40" i="5"/>
  <c r="AL40" i="5"/>
  <c r="AM40" i="5"/>
  <c r="AN40" i="5"/>
  <c r="AO40" i="5"/>
  <c r="AP40" i="5"/>
  <c r="AQ40" i="5"/>
  <c r="AR40" i="5"/>
  <c r="AS40" i="5"/>
  <c r="AT40" i="5"/>
  <c r="AU40" i="5"/>
  <c r="AV40" i="5"/>
  <c r="AW40" i="5"/>
  <c r="AX40" i="5"/>
  <c r="AY40" i="5"/>
  <c r="AZ40" i="5"/>
  <c r="BA40" i="5"/>
  <c r="BB40" i="5"/>
  <c r="BC40" i="5"/>
  <c r="BD40" i="5"/>
  <c r="BE40" i="5"/>
  <c r="BF40" i="5"/>
  <c r="BG40" i="5"/>
  <c r="BH40" i="5"/>
  <c r="BI40" i="5"/>
  <c r="BJ40" i="5"/>
  <c r="BK40" i="5"/>
  <c r="BL40" i="5"/>
  <c r="BM40" i="5"/>
  <c r="BN40" i="5"/>
  <c r="BO40" i="5"/>
  <c r="BP40" i="5"/>
  <c r="BQ40" i="5"/>
  <c r="BR40" i="5"/>
  <c r="BS40" i="5"/>
  <c r="BT40" i="5"/>
  <c r="BU40" i="5"/>
  <c r="BV40" i="5"/>
  <c r="BW40" i="5"/>
  <c r="BX40" i="5"/>
  <c r="BY40" i="5"/>
  <c r="BZ40" i="5"/>
  <c r="CA40" i="5"/>
  <c r="CB40" i="5"/>
  <c r="CC40" i="5"/>
  <c r="B41" i="5"/>
  <c r="C41" i="5"/>
  <c r="D41" i="5"/>
  <c r="E41" i="5"/>
  <c r="F41" i="5"/>
  <c r="G41" i="5"/>
  <c r="H41" i="5"/>
  <c r="I41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AJ41" i="5"/>
  <c r="AK41" i="5"/>
  <c r="AL41" i="5"/>
  <c r="AM41" i="5"/>
  <c r="AN41" i="5"/>
  <c r="AO41" i="5"/>
  <c r="AP41" i="5"/>
  <c r="AQ41" i="5"/>
  <c r="AR41" i="5"/>
  <c r="AS41" i="5"/>
  <c r="AT41" i="5"/>
  <c r="AU41" i="5"/>
  <c r="AV41" i="5"/>
  <c r="AW41" i="5"/>
  <c r="AX41" i="5"/>
  <c r="AY41" i="5"/>
  <c r="AZ41" i="5"/>
  <c r="BA41" i="5"/>
  <c r="BB41" i="5"/>
  <c r="BC41" i="5"/>
  <c r="BD41" i="5"/>
  <c r="BE41" i="5"/>
  <c r="BF41" i="5"/>
  <c r="BG41" i="5"/>
  <c r="BH41" i="5"/>
  <c r="BI41" i="5"/>
  <c r="BJ41" i="5"/>
  <c r="BK41" i="5"/>
  <c r="BL41" i="5"/>
  <c r="BM41" i="5"/>
  <c r="BN41" i="5"/>
  <c r="BO41" i="5"/>
  <c r="BP41" i="5"/>
  <c r="BQ41" i="5"/>
  <c r="BR41" i="5"/>
  <c r="BS41" i="5"/>
  <c r="BT41" i="5"/>
  <c r="BU41" i="5"/>
  <c r="BV41" i="5"/>
  <c r="BW41" i="5"/>
  <c r="BX41" i="5"/>
  <c r="BY41" i="5"/>
  <c r="BZ41" i="5"/>
  <c r="CA41" i="5"/>
  <c r="CB41" i="5"/>
  <c r="CC41" i="5"/>
  <c r="B42" i="5"/>
  <c r="C42" i="5"/>
  <c r="D42" i="5"/>
  <c r="E42" i="5"/>
  <c r="F42" i="5"/>
  <c r="G42" i="5"/>
  <c r="H42" i="5"/>
  <c r="I42" i="5"/>
  <c r="J42" i="5"/>
  <c r="K42" i="5"/>
  <c r="L42" i="5"/>
  <c r="M42" i="5"/>
  <c r="N42" i="5"/>
  <c r="O42" i="5"/>
  <c r="P42" i="5"/>
  <c r="Q42" i="5"/>
  <c r="R42" i="5"/>
  <c r="S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AJ42" i="5"/>
  <c r="AK42" i="5"/>
  <c r="AL42" i="5"/>
  <c r="AM42" i="5"/>
  <c r="AN42" i="5"/>
  <c r="AO42" i="5"/>
  <c r="AP42" i="5"/>
  <c r="AQ42" i="5"/>
  <c r="AR42" i="5"/>
  <c r="AS42" i="5"/>
  <c r="AT42" i="5"/>
  <c r="AU42" i="5"/>
  <c r="AV42" i="5"/>
  <c r="AW42" i="5"/>
  <c r="AX42" i="5"/>
  <c r="AY42" i="5"/>
  <c r="AZ42" i="5"/>
  <c r="BA42" i="5"/>
  <c r="BB42" i="5"/>
  <c r="BC42" i="5"/>
  <c r="BD42" i="5"/>
  <c r="BE42" i="5"/>
  <c r="BF42" i="5"/>
  <c r="BG42" i="5"/>
  <c r="BH42" i="5"/>
  <c r="BI42" i="5"/>
  <c r="BJ42" i="5"/>
  <c r="BK42" i="5"/>
  <c r="BL42" i="5"/>
  <c r="BM42" i="5"/>
  <c r="BN42" i="5"/>
  <c r="BO42" i="5"/>
  <c r="BP42" i="5"/>
  <c r="BQ42" i="5"/>
  <c r="BR42" i="5"/>
  <c r="BS42" i="5"/>
  <c r="BT42" i="5"/>
  <c r="BU42" i="5"/>
  <c r="BV42" i="5"/>
  <c r="BW42" i="5"/>
  <c r="BX42" i="5"/>
  <c r="BY42" i="5"/>
  <c r="BZ42" i="5"/>
  <c r="CA42" i="5"/>
  <c r="CB42" i="5"/>
  <c r="CC42" i="5"/>
  <c r="B43" i="5"/>
  <c r="C43" i="5"/>
  <c r="D43" i="5"/>
  <c r="E43" i="5"/>
  <c r="F43" i="5"/>
  <c r="G43" i="5"/>
  <c r="H43" i="5"/>
  <c r="I43" i="5"/>
  <c r="J43" i="5"/>
  <c r="K43" i="5"/>
  <c r="L43" i="5"/>
  <c r="M43" i="5"/>
  <c r="N43" i="5"/>
  <c r="O43" i="5"/>
  <c r="P43" i="5"/>
  <c r="Q43" i="5"/>
  <c r="R43" i="5"/>
  <c r="S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AJ43" i="5"/>
  <c r="AK43" i="5"/>
  <c r="AL43" i="5"/>
  <c r="AM43" i="5"/>
  <c r="AN43" i="5"/>
  <c r="AO43" i="5"/>
  <c r="AP43" i="5"/>
  <c r="AQ43" i="5"/>
  <c r="AR43" i="5"/>
  <c r="AS43" i="5"/>
  <c r="AT43" i="5"/>
  <c r="AU43" i="5"/>
  <c r="AV43" i="5"/>
  <c r="AW43" i="5"/>
  <c r="AX43" i="5"/>
  <c r="AY43" i="5"/>
  <c r="AZ43" i="5"/>
  <c r="BA43" i="5"/>
  <c r="BB43" i="5"/>
  <c r="BC43" i="5"/>
  <c r="BD43" i="5"/>
  <c r="BE43" i="5"/>
  <c r="BF43" i="5"/>
  <c r="BG43" i="5"/>
  <c r="BH43" i="5"/>
  <c r="BI43" i="5"/>
  <c r="BJ43" i="5"/>
  <c r="BK43" i="5"/>
  <c r="BL43" i="5"/>
  <c r="BM43" i="5"/>
  <c r="BN43" i="5"/>
  <c r="BO43" i="5"/>
  <c r="BP43" i="5"/>
  <c r="BQ43" i="5"/>
  <c r="BR43" i="5"/>
  <c r="BS43" i="5"/>
  <c r="BT43" i="5"/>
  <c r="BU43" i="5"/>
  <c r="BV43" i="5"/>
  <c r="BW43" i="5"/>
  <c r="BX43" i="5"/>
  <c r="BY43" i="5"/>
  <c r="BZ43" i="5"/>
  <c r="CA43" i="5"/>
  <c r="CB43" i="5"/>
  <c r="CC43" i="5"/>
  <c r="B44" i="5"/>
  <c r="C44" i="5"/>
  <c r="D44" i="5"/>
  <c r="E44" i="5"/>
  <c r="F44" i="5"/>
  <c r="G44" i="5"/>
  <c r="H44" i="5"/>
  <c r="I44" i="5"/>
  <c r="J44" i="5"/>
  <c r="K44" i="5"/>
  <c r="L44" i="5"/>
  <c r="M44" i="5"/>
  <c r="N44" i="5"/>
  <c r="O44" i="5"/>
  <c r="P44" i="5"/>
  <c r="Q44" i="5"/>
  <c r="R44" i="5"/>
  <c r="S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AJ44" i="5"/>
  <c r="AK44" i="5"/>
  <c r="AL44" i="5"/>
  <c r="AM44" i="5"/>
  <c r="AN44" i="5"/>
  <c r="AO44" i="5"/>
  <c r="AP44" i="5"/>
  <c r="AQ44" i="5"/>
  <c r="AR44" i="5"/>
  <c r="AS44" i="5"/>
  <c r="AT44" i="5"/>
  <c r="AU44" i="5"/>
  <c r="AV44" i="5"/>
  <c r="AW44" i="5"/>
  <c r="AX44" i="5"/>
  <c r="AY44" i="5"/>
  <c r="AZ44" i="5"/>
  <c r="BA44" i="5"/>
  <c r="BB44" i="5"/>
  <c r="BC44" i="5"/>
  <c r="BD44" i="5"/>
  <c r="BE44" i="5"/>
  <c r="BF44" i="5"/>
  <c r="BG44" i="5"/>
  <c r="BH44" i="5"/>
  <c r="BI44" i="5"/>
  <c r="BJ44" i="5"/>
  <c r="BK44" i="5"/>
  <c r="BL44" i="5"/>
  <c r="BM44" i="5"/>
  <c r="BN44" i="5"/>
  <c r="BO44" i="5"/>
  <c r="BP44" i="5"/>
  <c r="BQ44" i="5"/>
  <c r="BR44" i="5"/>
  <c r="BS44" i="5"/>
  <c r="BT44" i="5"/>
  <c r="BU44" i="5"/>
  <c r="BV44" i="5"/>
  <c r="BW44" i="5"/>
  <c r="BX44" i="5"/>
  <c r="BY44" i="5"/>
  <c r="BZ44" i="5"/>
  <c r="CA44" i="5"/>
  <c r="CB44" i="5"/>
  <c r="CC44" i="5"/>
  <c r="B45" i="5"/>
  <c r="C45" i="5"/>
  <c r="D45" i="5"/>
  <c r="E45" i="5"/>
  <c r="F45" i="5"/>
  <c r="G45" i="5"/>
  <c r="H45" i="5"/>
  <c r="I45" i="5"/>
  <c r="J45" i="5"/>
  <c r="K45" i="5"/>
  <c r="L45" i="5"/>
  <c r="M45" i="5"/>
  <c r="N45" i="5"/>
  <c r="O45" i="5"/>
  <c r="P45" i="5"/>
  <c r="Q45" i="5"/>
  <c r="R45" i="5"/>
  <c r="S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AG45" i="5"/>
  <c r="AH45" i="5"/>
  <c r="AI45" i="5"/>
  <c r="AJ45" i="5"/>
  <c r="AK45" i="5"/>
  <c r="AL45" i="5"/>
  <c r="AM45" i="5"/>
  <c r="AN45" i="5"/>
  <c r="AO45" i="5"/>
  <c r="AP45" i="5"/>
  <c r="AQ45" i="5"/>
  <c r="AR45" i="5"/>
  <c r="AS45" i="5"/>
  <c r="AT45" i="5"/>
  <c r="AU45" i="5"/>
  <c r="AV45" i="5"/>
  <c r="AW45" i="5"/>
  <c r="AX45" i="5"/>
  <c r="AY45" i="5"/>
  <c r="AZ45" i="5"/>
  <c r="BA45" i="5"/>
  <c r="BB45" i="5"/>
  <c r="BC45" i="5"/>
  <c r="BD45" i="5"/>
  <c r="BE45" i="5"/>
  <c r="BF45" i="5"/>
  <c r="BG45" i="5"/>
  <c r="BH45" i="5"/>
  <c r="BI45" i="5"/>
  <c r="BJ45" i="5"/>
  <c r="BK45" i="5"/>
  <c r="BL45" i="5"/>
  <c r="BM45" i="5"/>
  <c r="BN45" i="5"/>
  <c r="BO45" i="5"/>
  <c r="BP45" i="5"/>
  <c r="BQ45" i="5"/>
  <c r="BR45" i="5"/>
  <c r="BS45" i="5"/>
  <c r="BT45" i="5"/>
  <c r="BU45" i="5"/>
  <c r="BV45" i="5"/>
  <c r="BW45" i="5"/>
  <c r="BX45" i="5"/>
  <c r="BY45" i="5"/>
  <c r="BZ45" i="5"/>
  <c r="CA45" i="5"/>
  <c r="CB45" i="5"/>
  <c r="CC45" i="5"/>
  <c r="B46" i="5"/>
  <c r="C46" i="5"/>
  <c r="D46" i="5"/>
  <c r="E46" i="5"/>
  <c r="F46" i="5"/>
  <c r="G46" i="5"/>
  <c r="H46" i="5"/>
  <c r="I46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W46" i="5"/>
  <c r="X46" i="5"/>
  <c r="Y46" i="5"/>
  <c r="Z46" i="5"/>
  <c r="AA46" i="5"/>
  <c r="AB46" i="5"/>
  <c r="AC46" i="5"/>
  <c r="AD46" i="5"/>
  <c r="AE46" i="5"/>
  <c r="AF46" i="5"/>
  <c r="AG46" i="5"/>
  <c r="AH46" i="5"/>
  <c r="AI46" i="5"/>
  <c r="AJ46" i="5"/>
  <c r="AK46" i="5"/>
  <c r="AL46" i="5"/>
  <c r="AM46" i="5"/>
  <c r="AN46" i="5"/>
  <c r="AO46" i="5"/>
  <c r="AP46" i="5"/>
  <c r="AQ46" i="5"/>
  <c r="AR46" i="5"/>
  <c r="AS46" i="5"/>
  <c r="AT46" i="5"/>
  <c r="AU46" i="5"/>
  <c r="AV46" i="5"/>
  <c r="AW46" i="5"/>
  <c r="AX46" i="5"/>
  <c r="AY46" i="5"/>
  <c r="AZ46" i="5"/>
  <c r="BA46" i="5"/>
  <c r="BB46" i="5"/>
  <c r="BC46" i="5"/>
  <c r="BD46" i="5"/>
  <c r="BE46" i="5"/>
  <c r="BF46" i="5"/>
  <c r="BG46" i="5"/>
  <c r="BH46" i="5"/>
  <c r="BI46" i="5"/>
  <c r="BJ46" i="5"/>
  <c r="BK46" i="5"/>
  <c r="BL46" i="5"/>
  <c r="BM46" i="5"/>
  <c r="BN46" i="5"/>
  <c r="BO46" i="5"/>
  <c r="BP46" i="5"/>
  <c r="BQ46" i="5"/>
  <c r="BR46" i="5"/>
  <c r="BS46" i="5"/>
  <c r="BT46" i="5"/>
  <c r="BU46" i="5"/>
  <c r="BV46" i="5"/>
  <c r="BW46" i="5"/>
  <c r="BX46" i="5"/>
  <c r="BY46" i="5"/>
  <c r="BZ46" i="5"/>
  <c r="CA46" i="5"/>
  <c r="CB46" i="5"/>
  <c r="CC46" i="5"/>
  <c r="B47" i="5"/>
  <c r="C47" i="5"/>
  <c r="D47" i="5"/>
  <c r="E47" i="5"/>
  <c r="F47" i="5"/>
  <c r="G47" i="5"/>
  <c r="H47" i="5"/>
  <c r="I47" i="5"/>
  <c r="J47" i="5"/>
  <c r="K47" i="5"/>
  <c r="L47" i="5"/>
  <c r="M47" i="5"/>
  <c r="N47" i="5"/>
  <c r="O47" i="5"/>
  <c r="P47" i="5"/>
  <c r="Q47" i="5"/>
  <c r="R47" i="5"/>
  <c r="S47" i="5"/>
  <c r="T47" i="5"/>
  <c r="U47" i="5"/>
  <c r="V47" i="5"/>
  <c r="W47" i="5"/>
  <c r="X47" i="5"/>
  <c r="Y47" i="5"/>
  <c r="Z47" i="5"/>
  <c r="AA47" i="5"/>
  <c r="AB47" i="5"/>
  <c r="AC47" i="5"/>
  <c r="AD47" i="5"/>
  <c r="AE47" i="5"/>
  <c r="AF47" i="5"/>
  <c r="AG47" i="5"/>
  <c r="AH47" i="5"/>
  <c r="AI47" i="5"/>
  <c r="AJ47" i="5"/>
  <c r="AK47" i="5"/>
  <c r="AL47" i="5"/>
  <c r="AM47" i="5"/>
  <c r="AN47" i="5"/>
  <c r="AO47" i="5"/>
  <c r="AP47" i="5"/>
  <c r="AQ47" i="5"/>
  <c r="AR47" i="5"/>
  <c r="AS47" i="5"/>
  <c r="AT47" i="5"/>
  <c r="AU47" i="5"/>
  <c r="AV47" i="5"/>
  <c r="AW47" i="5"/>
  <c r="AX47" i="5"/>
  <c r="AY47" i="5"/>
  <c r="AZ47" i="5"/>
  <c r="BA47" i="5"/>
  <c r="BB47" i="5"/>
  <c r="BC47" i="5"/>
  <c r="BD47" i="5"/>
  <c r="BE47" i="5"/>
  <c r="BF47" i="5"/>
  <c r="BG47" i="5"/>
  <c r="BH47" i="5"/>
  <c r="BI47" i="5"/>
  <c r="BJ47" i="5"/>
  <c r="BK47" i="5"/>
  <c r="BL47" i="5"/>
  <c r="BM47" i="5"/>
  <c r="BN47" i="5"/>
  <c r="BO47" i="5"/>
  <c r="BP47" i="5"/>
  <c r="BQ47" i="5"/>
  <c r="BR47" i="5"/>
  <c r="BS47" i="5"/>
  <c r="BT47" i="5"/>
  <c r="BU47" i="5"/>
  <c r="BV47" i="5"/>
  <c r="BW47" i="5"/>
  <c r="BX47" i="5"/>
  <c r="BY47" i="5"/>
  <c r="BZ47" i="5"/>
  <c r="CA47" i="5"/>
  <c r="CB47" i="5"/>
  <c r="CC47" i="5"/>
  <c r="B48" i="5"/>
  <c r="C48" i="5"/>
  <c r="D48" i="5"/>
  <c r="E48" i="5"/>
  <c r="F48" i="5"/>
  <c r="G48" i="5"/>
  <c r="H48" i="5"/>
  <c r="I48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W48" i="5"/>
  <c r="X48" i="5"/>
  <c r="Y48" i="5"/>
  <c r="Z48" i="5"/>
  <c r="AA48" i="5"/>
  <c r="AB48" i="5"/>
  <c r="AC48" i="5"/>
  <c r="AD48" i="5"/>
  <c r="AE48" i="5"/>
  <c r="AF48" i="5"/>
  <c r="AG48" i="5"/>
  <c r="AH48" i="5"/>
  <c r="AI48" i="5"/>
  <c r="AJ48" i="5"/>
  <c r="AK48" i="5"/>
  <c r="AL48" i="5"/>
  <c r="AM48" i="5"/>
  <c r="AN48" i="5"/>
  <c r="AO48" i="5"/>
  <c r="AP48" i="5"/>
  <c r="AQ48" i="5"/>
  <c r="AR48" i="5"/>
  <c r="AS48" i="5"/>
  <c r="AT48" i="5"/>
  <c r="AU48" i="5"/>
  <c r="AV48" i="5"/>
  <c r="AW48" i="5"/>
  <c r="AX48" i="5"/>
  <c r="AY48" i="5"/>
  <c r="AZ48" i="5"/>
  <c r="BA48" i="5"/>
  <c r="BB48" i="5"/>
  <c r="BC48" i="5"/>
  <c r="BD48" i="5"/>
  <c r="BE48" i="5"/>
  <c r="BF48" i="5"/>
  <c r="BG48" i="5"/>
  <c r="BH48" i="5"/>
  <c r="BI48" i="5"/>
  <c r="BJ48" i="5"/>
  <c r="BK48" i="5"/>
  <c r="BL48" i="5"/>
  <c r="BM48" i="5"/>
  <c r="BN48" i="5"/>
  <c r="BO48" i="5"/>
  <c r="BP48" i="5"/>
  <c r="BQ48" i="5"/>
  <c r="BR48" i="5"/>
  <c r="BS48" i="5"/>
  <c r="BT48" i="5"/>
  <c r="BU48" i="5"/>
  <c r="BV48" i="5"/>
  <c r="BW48" i="5"/>
  <c r="BX48" i="5"/>
  <c r="BY48" i="5"/>
  <c r="BZ48" i="5"/>
  <c r="CA48" i="5"/>
  <c r="CB48" i="5"/>
  <c r="CC48" i="5"/>
  <c r="B49" i="5"/>
  <c r="C49" i="5"/>
  <c r="D49" i="5"/>
  <c r="E49" i="5"/>
  <c r="F49" i="5"/>
  <c r="G49" i="5"/>
  <c r="H49" i="5"/>
  <c r="I49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W49" i="5"/>
  <c r="X49" i="5"/>
  <c r="Y49" i="5"/>
  <c r="Z49" i="5"/>
  <c r="AA49" i="5"/>
  <c r="AB49" i="5"/>
  <c r="AC49" i="5"/>
  <c r="AD49" i="5"/>
  <c r="AE49" i="5"/>
  <c r="AF49" i="5"/>
  <c r="AG49" i="5"/>
  <c r="AH49" i="5"/>
  <c r="AI49" i="5"/>
  <c r="AJ49" i="5"/>
  <c r="AK49" i="5"/>
  <c r="AL49" i="5"/>
  <c r="AM49" i="5"/>
  <c r="AN49" i="5"/>
  <c r="AO49" i="5"/>
  <c r="AP49" i="5"/>
  <c r="AQ49" i="5"/>
  <c r="AR49" i="5"/>
  <c r="AS49" i="5"/>
  <c r="AT49" i="5"/>
  <c r="AU49" i="5"/>
  <c r="AV49" i="5"/>
  <c r="AW49" i="5"/>
  <c r="AX49" i="5"/>
  <c r="AY49" i="5"/>
  <c r="AZ49" i="5"/>
  <c r="BA49" i="5"/>
  <c r="BB49" i="5"/>
  <c r="BC49" i="5"/>
  <c r="BD49" i="5"/>
  <c r="BE49" i="5"/>
  <c r="BF49" i="5"/>
  <c r="BG49" i="5"/>
  <c r="BH49" i="5"/>
  <c r="BI49" i="5"/>
  <c r="BJ49" i="5"/>
  <c r="BK49" i="5"/>
  <c r="BL49" i="5"/>
  <c r="BM49" i="5"/>
  <c r="BN49" i="5"/>
  <c r="BO49" i="5"/>
  <c r="BP49" i="5"/>
  <c r="BQ49" i="5"/>
  <c r="BR49" i="5"/>
  <c r="BS49" i="5"/>
  <c r="BT49" i="5"/>
  <c r="BU49" i="5"/>
  <c r="BV49" i="5"/>
  <c r="BW49" i="5"/>
  <c r="BX49" i="5"/>
  <c r="BY49" i="5"/>
  <c r="BZ49" i="5"/>
  <c r="CA49" i="5"/>
  <c r="CB49" i="5"/>
  <c r="CC49" i="5"/>
  <c r="B50" i="5"/>
  <c r="C50" i="5"/>
  <c r="D50" i="5"/>
  <c r="E50" i="5"/>
  <c r="F50" i="5"/>
  <c r="G50" i="5"/>
  <c r="H50" i="5"/>
  <c r="I50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AG50" i="5"/>
  <c r="AH50" i="5"/>
  <c r="AI50" i="5"/>
  <c r="AJ50" i="5"/>
  <c r="AK50" i="5"/>
  <c r="AL50" i="5"/>
  <c r="AM50" i="5"/>
  <c r="AN50" i="5"/>
  <c r="AO50" i="5"/>
  <c r="AP50" i="5"/>
  <c r="AQ50" i="5"/>
  <c r="AR50" i="5"/>
  <c r="AS50" i="5"/>
  <c r="AT50" i="5"/>
  <c r="AU50" i="5"/>
  <c r="AV50" i="5"/>
  <c r="AW50" i="5"/>
  <c r="AX50" i="5"/>
  <c r="AY50" i="5"/>
  <c r="AZ50" i="5"/>
  <c r="BA50" i="5"/>
  <c r="BB50" i="5"/>
  <c r="BC50" i="5"/>
  <c r="BD50" i="5"/>
  <c r="BE50" i="5"/>
  <c r="BF50" i="5"/>
  <c r="BG50" i="5"/>
  <c r="BH50" i="5"/>
  <c r="BI50" i="5"/>
  <c r="BJ50" i="5"/>
  <c r="BK50" i="5"/>
  <c r="BL50" i="5"/>
  <c r="BM50" i="5"/>
  <c r="BN50" i="5"/>
  <c r="BO50" i="5"/>
  <c r="BP50" i="5"/>
  <c r="BQ50" i="5"/>
  <c r="BR50" i="5"/>
  <c r="BS50" i="5"/>
  <c r="BT50" i="5"/>
  <c r="BU50" i="5"/>
  <c r="BV50" i="5"/>
  <c r="BW50" i="5"/>
  <c r="BX50" i="5"/>
  <c r="BY50" i="5"/>
  <c r="BZ50" i="5"/>
  <c r="CA50" i="5"/>
  <c r="CB50" i="5"/>
  <c r="CC50" i="5"/>
  <c r="B51" i="5"/>
  <c r="C51" i="5"/>
  <c r="D51" i="5"/>
  <c r="E51" i="5"/>
  <c r="F51" i="5"/>
  <c r="G51" i="5"/>
  <c r="H51" i="5"/>
  <c r="I51" i="5"/>
  <c r="J51" i="5"/>
  <c r="K51" i="5"/>
  <c r="L51" i="5"/>
  <c r="M51" i="5"/>
  <c r="N51" i="5"/>
  <c r="O51" i="5"/>
  <c r="P51" i="5"/>
  <c r="Q51" i="5"/>
  <c r="R51" i="5"/>
  <c r="S51" i="5"/>
  <c r="T51" i="5"/>
  <c r="U51" i="5"/>
  <c r="V51" i="5"/>
  <c r="W51" i="5"/>
  <c r="X51" i="5"/>
  <c r="Y51" i="5"/>
  <c r="Z51" i="5"/>
  <c r="AA51" i="5"/>
  <c r="AB51" i="5"/>
  <c r="AC51" i="5"/>
  <c r="AD51" i="5"/>
  <c r="AE51" i="5"/>
  <c r="AF51" i="5"/>
  <c r="AG51" i="5"/>
  <c r="AH51" i="5"/>
  <c r="AI51" i="5"/>
  <c r="AJ51" i="5"/>
  <c r="AK51" i="5"/>
  <c r="AL51" i="5"/>
  <c r="AM51" i="5"/>
  <c r="AN51" i="5"/>
  <c r="AO51" i="5"/>
  <c r="AP51" i="5"/>
  <c r="AQ51" i="5"/>
  <c r="AR51" i="5"/>
  <c r="AS51" i="5"/>
  <c r="AT51" i="5"/>
  <c r="AU51" i="5"/>
  <c r="AV51" i="5"/>
  <c r="AW51" i="5"/>
  <c r="AX51" i="5"/>
  <c r="AY51" i="5"/>
  <c r="AZ51" i="5"/>
  <c r="BA51" i="5"/>
  <c r="BB51" i="5"/>
  <c r="BC51" i="5"/>
  <c r="BD51" i="5"/>
  <c r="BE51" i="5"/>
  <c r="BF51" i="5"/>
  <c r="BG51" i="5"/>
  <c r="BH51" i="5"/>
  <c r="BI51" i="5"/>
  <c r="BJ51" i="5"/>
  <c r="BK51" i="5"/>
  <c r="BL51" i="5"/>
  <c r="BM51" i="5"/>
  <c r="BN51" i="5"/>
  <c r="BO51" i="5"/>
  <c r="BP51" i="5"/>
  <c r="BQ51" i="5"/>
  <c r="BR51" i="5"/>
  <c r="BS51" i="5"/>
  <c r="BT51" i="5"/>
  <c r="BU51" i="5"/>
  <c r="BV51" i="5"/>
  <c r="BW51" i="5"/>
  <c r="BX51" i="5"/>
  <c r="BY51" i="5"/>
  <c r="BZ51" i="5"/>
  <c r="CA51" i="5"/>
  <c r="CB51" i="5"/>
  <c r="CC51" i="5"/>
  <c r="B52" i="5"/>
  <c r="C52" i="5"/>
  <c r="D52" i="5"/>
  <c r="E52" i="5"/>
  <c r="F52" i="5"/>
  <c r="G52" i="5"/>
  <c r="H52" i="5"/>
  <c r="I52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W52" i="5"/>
  <c r="X52" i="5"/>
  <c r="Y52" i="5"/>
  <c r="Z52" i="5"/>
  <c r="AA52" i="5"/>
  <c r="AB52" i="5"/>
  <c r="AC52" i="5"/>
  <c r="AD52" i="5"/>
  <c r="AE52" i="5"/>
  <c r="AF52" i="5"/>
  <c r="AG52" i="5"/>
  <c r="AH52" i="5"/>
  <c r="AI52" i="5"/>
  <c r="AJ52" i="5"/>
  <c r="AK52" i="5"/>
  <c r="AL52" i="5"/>
  <c r="AM52" i="5"/>
  <c r="AN52" i="5"/>
  <c r="AO52" i="5"/>
  <c r="AP52" i="5"/>
  <c r="AQ52" i="5"/>
  <c r="AR52" i="5"/>
  <c r="AS52" i="5"/>
  <c r="AT52" i="5"/>
  <c r="AU52" i="5"/>
  <c r="AV52" i="5"/>
  <c r="AW52" i="5"/>
  <c r="AX52" i="5"/>
  <c r="AY52" i="5"/>
  <c r="AZ52" i="5"/>
  <c r="BA52" i="5"/>
  <c r="BB52" i="5"/>
  <c r="BC52" i="5"/>
  <c r="BD52" i="5"/>
  <c r="BE52" i="5"/>
  <c r="BF52" i="5"/>
  <c r="BG52" i="5"/>
  <c r="BH52" i="5"/>
  <c r="BI52" i="5"/>
  <c r="BJ52" i="5"/>
  <c r="BK52" i="5"/>
  <c r="BL52" i="5"/>
  <c r="BM52" i="5"/>
  <c r="BN52" i="5"/>
  <c r="BO52" i="5"/>
  <c r="BP52" i="5"/>
  <c r="BQ52" i="5"/>
  <c r="BR52" i="5"/>
  <c r="BS52" i="5"/>
  <c r="BT52" i="5"/>
  <c r="BU52" i="5"/>
  <c r="BV52" i="5"/>
  <c r="BW52" i="5"/>
  <c r="BX52" i="5"/>
  <c r="BY52" i="5"/>
  <c r="BZ52" i="5"/>
  <c r="CA52" i="5"/>
  <c r="CB52" i="5"/>
  <c r="CC52" i="5"/>
  <c r="B53" i="5"/>
  <c r="C53" i="5"/>
  <c r="D53" i="5"/>
  <c r="E53" i="5"/>
  <c r="F53" i="5"/>
  <c r="G53" i="5"/>
  <c r="H53" i="5"/>
  <c r="I53" i="5"/>
  <c r="J53" i="5"/>
  <c r="K53" i="5"/>
  <c r="L53" i="5"/>
  <c r="M53" i="5"/>
  <c r="N53" i="5"/>
  <c r="O53" i="5"/>
  <c r="P53" i="5"/>
  <c r="Q53" i="5"/>
  <c r="R53" i="5"/>
  <c r="S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AG53" i="5"/>
  <c r="AH53" i="5"/>
  <c r="AI53" i="5"/>
  <c r="AJ53" i="5"/>
  <c r="AK53" i="5"/>
  <c r="AL53" i="5"/>
  <c r="AM53" i="5"/>
  <c r="AN53" i="5"/>
  <c r="AO53" i="5"/>
  <c r="AP53" i="5"/>
  <c r="AQ53" i="5"/>
  <c r="AR53" i="5"/>
  <c r="AS53" i="5"/>
  <c r="AT53" i="5"/>
  <c r="AU53" i="5"/>
  <c r="AV53" i="5"/>
  <c r="AW53" i="5"/>
  <c r="AX53" i="5"/>
  <c r="AY53" i="5"/>
  <c r="AZ53" i="5"/>
  <c r="BA53" i="5"/>
  <c r="BB53" i="5"/>
  <c r="BC53" i="5"/>
  <c r="BD53" i="5"/>
  <c r="BE53" i="5"/>
  <c r="BF53" i="5"/>
  <c r="BG53" i="5"/>
  <c r="BH53" i="5"/>
  <c r="BI53" i="5"/>
  <c r="BJ53" i="5"/>
  <c r="BK53" i="5"/>
  <c r="BL53" i="5"/>
  <c r="BM53" i="5"/>
  <c r="BN53" i="5"/>
  <c r="BO53" i="5"/>
  <c r="BP53" i="5"/>
  <c r="BQ53" i="5"/>
  <c r="BR53" i="5"/>
  <c r="BS53" i="5"/>
  <c r="BT53" i="5"/>
  <c r="BU53" i="5"/>
  <c r="BV53" i="5"/>
  <c r="BW53" i="5"/>
  <c r="BX53" i="5"/>
  <c r="BY53" i="5"/>
  <c r="BZ53" i="5"/>
  <c r="CA53" i="5"/>
  <c r="CB53" i="5"/>
  <c r="CC53" i="5"/>
  <c r="B54" i="5"/>
  <c r="C54" i="5"/>
  <c r="D54" i="5"/>
  <c r="E54" i="5"/>
  <c r="F54" i="5"/>
  <c r="G54" i="5"/>
  <c r="H54" i="5"/>
  <c r="I54" i="5"/>
  <c r="J54" i="5"/>
  <c r="K54" i="5"/>
  <c r="L54" i="5"/>
  <c r="M54" i="5"/>
  <c r="N54" i="5"/>
  <c r="O54" i="5"/>
  <c r="P54" i="5"/>
  <c r="Q54" i="5"/>
  <c r="R54" i="5"/>
  <c r="S54" i="5"/>
  <c r="T54" i="5"/>
  <c r="U54" i="5"/>
  <c r="V54" i="5"/>
  <c r="W54" i="5"/>
  <c r="X54" i="5"/>
  <c r="Y54" i="5"/>
  <c r="Z54" i="5"/>
  <c r="AA54" i="5"/>
  <c r="AB54" i="5"/>
  <c r="AC54" i="5"/>
  <c r="AD54" i="5"/>
  <c r="AE54" i="5"/>
  <c r="AF54" i="5"/>
  <c r="AG54" i="5"/>
  <c r="AH54" i="5"/>
  <c r="AI54" i="5"/>
  <c r="AJ54" i="5"/>
  <c r="AK54" i="5"/>
  <c r="AL54" i="5"/>
  <c r="AM54" i="5"/>
  <c r="AN54" i="5"/>
  <c r="AO54" i="5"/>
  <c r="AP54" i="5"/>
  <c r="AQ54" i="5"/>
  <c r="AR54" i="5"/>
  <c r="AS54" i="5"/>
  <c r="AT54" i="5"/>
  <c r="AU54" i="5"/>
  <c r="AV54" i="5"/>
  <c r="AW54" i="5"/>
  <c r="AX54" i="5"/>
  <c r="AY54" i="5"/>
  <c r="AZ54" i="5"/>
  <c r="BA54" i="5"/>
  <c r="BB54" i="5"/>
  <c r="BC54" i="5"/>
  <c r="BD54" i="5"/>
  <c r="BE54" i="5"/>
  <c r="BF54" i="5"/>
  <c r="BG54" i="5"/>
  <c r="BH54" i="5"/>
  <c r="BI54" i="5"/>
  <c r="BJ54" i="5"/>
  <c r="BK54" i="5"/>
  <c r="BL54" i="5"/>
  <c r="BM54" i="5"/>
  <c r="BN54" i="5"/>
  <c r="BO54" i="5"/>
  <c r="BP54" i="5"/>
  <c r="BQ54" i="5"/>
  <c r="BR54" i="5"/>
  <c r="BS54" i="5"/>
  <c r="BT54" i="5"/>
  <c r="BU54" i="5"/>
  <c r="BV54" i="5"/>
  <c r="BW54" i="5"/>
  <c r="BX54" i="5"/>
  <c r="BY54" i="5"/>
  <c r="BZ54" i="5"/>
  <c r="CA54" i="5"/>
  <c r="CB54" i="5"/>
  <c r="CC54" i="5"/>
  <c r="B55" i="5"/>
  <c r="C55" i="5"/>
  <c r="D55" i="5"/>
  <c r="E55" i="5"/>
  <c r="F55" i="5"/>
  <c r="G55" i="5"/>
  <c r="H55" i="5"/>
  <c r="I55" i="5"/>
  <c r="J55" i="5"/>
  <c r="K55" i="5"/>
  <c r="L55" i="5"/>
  <c r="M55" i="5"/>
  <c r="N55" i="5"/>
  <c r="O55" i="5"/>
  <c r="P55" i="5"/>
  <c r="Q55" i="5"/>
  <c r="R55" i="5"/>
  <c r="S55" i="5"/>
  <c r="T55" i="5"/>
  <c r="U55" i="5"/>
  <c r="V55" i="5"/>
  <c r="W55" i="5"/>
  <c r="X55" i="5"/>
  <c r="Y55" i="5"/>
  <c r="Z55" i="5"/>
  <c r="AA55" i="5"/>
  <c r="AB55" i="5"/>
  <c r="AC55" i="5"/>
  <c r="AD55" i="5"/>
  <c r="AE55" i="5"/>
  <c r="AF55" i="5"/>
  <c r="AG55" i="5"/>
  <c r="AH55" i="5"/>
  <c r="AI55" i="5"/>
  <c r="AJ55" i="5"/>
  <c r="AK55" i="5"/>
  <c r="AL55" i="5"/>
  <c r="AM55" i="5"/>
  <c r="AN55" i="5"/>
  <c r="AO55" i="5"/>
  <c r="AP55" i="5"/>
  <c r="AQ55" i="5"/>
  <c r="AR55" i="5"/>
  <c r="AS55" i="5"/>
  <c r="AT55" i="5"/>
  <c r="AU55" i="5"/>
  <c r="AV55" i="5"/>
  <c r="AW55" i="5"/>
  <c r="AX55" i="5"/>
  <c r="AY55" i="5"/>
  <c r="AZ55" i="5"/>
  <c r="BA55" i="5"/>
  <c r="BB55" i="5"/>
  <c r="BC55" i="5"/>
  <c r="BD55" i="5"/>
  <c r="BE55" i="5"/>
  <c r="BF55" i="5"/>
  <c r="BG55" i="5"/>
  <c r="BH55" i="5"/>
  <c r="BI55" i="5"/>
  <c r="BJ55" i="5"/>
  <c r="BK55" i="5"/>
  <c r="BL55" i="5"/>
  <c r="BM55" i="5"/>
  <c r="BN55" i="5"/>
  <c r="BO55" i="5"/>
  <c r="BP55" i="5"/>
  <c r="BQ55" i="5"/>
  <c r="BR55" i="5"/>
  <c r="BS55" i="5"/>
  <c r="BT55" i="5"/>
  <c r="BU55" i="5"/>
  <c r="BV55" i="5"/>
  <c r="BW55" i="5"/>
  <c r="BX55" i="5"/>
  <c r="BY55" i="5"/>
  <c r="BZ55" i="5"/>
  <c r="CA55" i="5"/>
  <c r="CB55" i="5"/>
  <c r="CC55" i="5"/>
  <c r="B56" i="5"/>
  <c r="C56" i="5"/>
  <c r="D56" i="5"/>
  <c r="E56" i="5"/>
  <c r="F56" i="5"/>
  <c r="G56" i="5"/>
  <c r="H56" i="5"/>
  <c r="I56" i="5"/>
  <c r="J56" i="5"/>
  <c r="K56" i="5"/>
  <c r="L56" i="5"/>
  <c r="M56" i="5"/>
  <c r="N56" i="5"/>
  <c r="O56" i="5"/>
  <c r="P56" i="5"/>
  <c r="Q56" i="5"/>
  <c r="R56" i="5"/>
  <c r="S56" i="5"/>
  <c r="T56" i="5"/>
  <c r="U56" i="5"/>
  <c r="V56" i="5"/>
  <c r="W56" i="5"/>
  <c r="X56" i="5"/>
  <c r="Y56" i="5"/>
  <c r="Z56" i="5"/>
  <c r="AA56" i="5"/>
  <c r="AB56" i="5"/>
  <c r="AC56" i="5"/>
  <c r="AD56" i="5"/>
  <c r="AE56" i="5"/>
  <c r="AF56" i="5"/>
  <c r="AG56" i="5"/>
  <c r="AH56" i="5"/>
  <c r="AI56" i="5"/>
  <c r="AJ56" i="5"/>
  <c r="AK56" i="5"/>
  <c r="AL56" i="5"/>
  <c r="AM56" i="5"/>
  <c r="AN56" i="5"/>
  <c r="AO56" i="5"/>
  <c r="AP56" i="5"/>
  <c r="AQ56" i="5"/>
  <c r="AR56" i="5"/>
  <c r="AS56" i="5"/>
  <c r="AT56" i="5"/>
  <c r="AU56" i="5"/>
  <c r="AV56" i="5"/>
  <c r="AW56" i="5"/>
  <c r="AX56" i="5"/>
  <c r="AY56" i="5"/>
  <c r="AZ56" i="5"/>
  <c r="BA56" i="5"/>
  <c r="BB56" i="5"/>
  <c r="BC56" i="5"/>
  <c r="BD56" i="5"/>
  <c r="BE56" i="5"/>
  <c r="BF56" i="5"/>
  <c r="BG56" i="5"/>
  <c r="BH56" i="5"/>
  <c r="BI56" i="5"/>
  <c r="BJ56" i="5"/>
  <c r="BK56" i="5"/>
  <c r="BL56" i="5"/>
  <c r="BM56" i="5"/>
  <c r="BN56" i="5"/>
  <c r="BO56" i="5"/>
  <c r="BP56" i="5"/>
  <c r="BQ56" i="5"/>
  <c r="BR56" i="5"/>
  <c r="BS56" i="5"/>
  <c r="BT56" i="5"/>
  <c r="BU56" i="5"/>
  <c r="BV56" i="5"/>
  <c r="BW56" i="5"/>
  <c r="BX56" i="5"/>
  <c r="BY56" i="5"/>
  <c r="BZ56" i="5"/>
  <c r="CA56" i="5"/>
  <c r="CB56" i="5"/>
  <c r="CC56" i="5"/>
  <c r="B57" i="5"/>
  <c r="C57" i="5"/>
  <c r="D57" i="5"/>
  <c r="E57" i="5"/>
  <c r="F57" i="5"/>
  <c r="G57" i="5"/>
  <c r="H57" i="5"/>
  <c r="I57" i="5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AG57" i="5"/>
  <c r="AH57" i="5"/>
  <c r="AI57" i="5"/>
  <c r="AJ57" i="5"/>
  <c r="AK57" i="5"/>
  <c r="AL57" i="5"/>
  <c r="AM57" i="5"/>
  <c r="AN57" i="5"/>
  <c r="AO57" i="5"/>
  <c r="AP57" i="5"/>
  <c r="AQ57" i="5"/>
  <c r="AR57" i="5"/>
  <c r="AS57" i="5"/>
  <c r="AT57" i="5"/>
  <c r="AU57" i="5"/>
  <c r="AV57" i="5"/>
  <c r="AW57" i="5"/>
  <c r="AX57" i="5"/>
  <c r="AY57" i="5"/>
  <c r="AZ57" i="5"/>
  <c r="BA57" i="5"/>
  <c r="BB57" i="5"/>
  <c r="BC57" i="5"/>
  <c r="BD57" i="5"/>
  <c r="BE57" i="5"/>
  <c r="BF57" i="5"/>
  <c r="BG57" i="5"/>
  <c r="BH57" i="5"/>
  <c r="BI57" i="5"/>
  <c r="BJ57" i="5"/>
  <c r="BK57" i="5"/>
  <c r="BL57" i="5"/>
  <c r="BM57" i="5"/>
  <c r="BN57" i="5"/>
  <c r="BO57" i="5"/>
  <c r="BP57" i="5"/>
  <c r="BQ57" i="5"/>
  <c r="BR57" i="5"/>
  <c r="BS57" i="5"/>
  <c r="BT57" i="5"/>
  <c r="BU57" i="5"/>
  <c r="BV57" i="5"/>
  <c r="BW57" i="5"/>
  <c r="BX57" i="5"/>
  <c r="BY57" i="5"/>
  <c r="BZ57" i="5"/>
  <c r="CA57" i="5"/>
  <c r="CB57" i="5"/>
  <c r="CC57" i="5"/>
  <c r="B58" i="5"/>
  <c r="C58" i="5"/>
  <c r="D58" i="5"/>
  <c r="E58" i="5"/>
  <c r="F58" i="5"/>
  <c r="G58" i="5"/>
  <c r="H58" i="5"/>
  <c r="I58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AG58" i="5"/>
  <c r="AH58" i="5"/>
  <c r="AI58" i="5"/>
  <c r="AJ58" i="5"/>
  <c r="AK58" i="5"/>
  <c r="AL58" i="5"/>
  <c r="AM58" i="5"/>
  <c r="AN58" i="5"/>
  <c r="AO58" i="5"/>
  <c r="AP58" i="5"/>
  <c r="AQ58" i="5"/>
  <c r="AR58" i="5"/>
  <c r="AS58" i="5"/>
  <c r="AT58" i="5"/>
  <c r="AU58" i="5"/>
  <c r="AV58" i="5"/>
  <c r="AW58" i="5"/>
  <c r="AX58" i="5"/>
  <c r="AY58" i="5"/>
  <c r="AZ58" i="5"/>
  <c r="BA58" i="5"/>
  <c r="BB58" i="5"/>
  <c r="BC58" i="5"/>
  <c r="BD58" i="5"/>
  <c r="BE58" i="5"/>
  <c r="BF58" i="5"/>
  <c r="BG58" i="5"/>
  <c r="BH58" i="5"/>
  <c r="BI58" i="5"/>
  <c r="BJ58" i="5"/>
  <c r="BK58" i="5"/>
  <c r="BL58" i="5"/>
  <c r="BM58" i="5"/>
  <c r="BN58" i="5"/>
  <c r="BO58" i="5"/>
  <c r="BP58" i="5"/>
  <c r="BQ58" i="5"/>
  <c r="BR58" i="5"/>
  <c r="BS58" i="5"/>
  <c r="BT58" i="5"/>
  <c r="BU58" i="5"/>
  <c r="BV58" i="5"/>
  <c r="BW58" i="5"/>
  <c r="BX58" i="5"/>
  <c r="BY58" i="5"/>
  <c r="BZ58" i="5"/>
  <c r="CA58" i="5"/>
  <c r="CB58" i="5"/>
  <c r="CC58" i="5"/>
  <c r="B59" i="5"/>
  <c r="C59" i="5"/>
  <c r="D59" i="5"/>
  <c r="E59" i="5"/>
  <c r="F59" i="5"/>
  <c r="G59" i="5"/>
  <c r="H59" i="5"/>
  <c r="I59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AG59" i="5"/>
  <c r="AH59" i="5"/>
  <c r="AI59" i="5"/>
  <c r="AJ59" i="5"/>
  <c r="AK59" i="5"/>
  <c r="AL59" i="5"/>
  <c r="AM59" i="5"/>
  <c r="AN59" i="5"/>
  <c r="AO59" i="5"/>
  <c r="AP59" i="5"/>
  <c r="AQ59" i="5"/>
  <c r="AR59" i="5"/>
  <c r="AS59" i="5"/>
  <c r="AT59" i="5"/>
  <c r="AU59" i="5"/>
  <c r="AV59" i="5"/>
  <c r="AW59" i="5"/>
  <c r="AX59" i="5"/>
  <c r="AY59" i="5"/>
  <c r="AZ59" i="5"/>
  <c r="BA59" i="5"/>
  <c r="BB59" i="5"/>
  <c r="BC59" i="5"/>
  <c r="BD59" i="5"/>
  <c r="BE59" i="5"/>
  <c r="BF59" i="5"/>
  <c r="BG59" i="5"/>
  <c r="BH59" i="5"/>
  <c r="BI59" i="5"/>
  <c r="BJ59" i="5"/>
  <c r="BK59" i="5"/>
  <c r="BL59" i="5"/>
  <c r="BM59" i="5"/>
  <c r="BN59" i="5"/>
  <c r="BO59" i="5"/>
  <c r="BP59" i="5"/>
  <c r="BQ59" i="5"/>
  <c r="BR59" i="5"/>
  <c r="BS59" i="5"/>
  <c r="BT59" i="5"/>
  <c r="BU59" i="5"/>
  <c r="BV59" i="5"/>
  <c r="BW59" i="5"/>
  <c r="BX59" i="5"/>
  <c r="BY59" i="5"/>
  <c r="BZ59" i="5"/>
  <c r="CA59" i="5"/>
  <c r="CB59" i="5"/>
  <c r="CC59" i="5"/>
  <c r="B60" i="5"/>
  <c r="C60" i="5"/>
  <c r="D60" i="5"/>
  <c r="E60" i="5"/>
  <c r="F60" i="5"/>
  <c r="G60" i="5"/>
  <c r="H60" i="5"/>
  <c r="I60" i="5"/>
  <c r="J60" i="5"/>
  <c r="K60" i="5"/>
  <c r="L60" i="5"/>
  <c r="M60" i="5"/>
  <c r="N60" i="5"/>
  <c r="O60" i="5"/>
  <c r="P60" i="5"/>
  <c r="Q60" i="5"/>
  <c r="R60" i="5"/>
  <c r="S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AG60" i="5"/>
  <c r="AH60" i="5"/>
  <c r="AI60" i="5"/>
  <c r="AJ60" i="5"/>
  <c r="AK60" i="5"/>
  <c r="AL60" i="5"/>
  <c r="AM60" i="5"/>
  <c r="AN60" i="5"/>
  <c r="AO60" i="5"/>
  <c r="AP60" i="5"/>
  <c r="AQ60" i="5"/>
  <c r="AR60" i="5"/>
  <c r="AS60" i="5"/>
  <c r="AT60" i="5"/>
  <c r="AU60" i="5"/>
  <c r="AV60" i="5"/>
  <c r="AW60" i="5"/>
  <c r="AX60" i="5"/>
  <c r="AY60" i="5"/>
  <c r="AZ60" i="5"/>
  <c r="BA60" i="5"/>
  <c r="BB60" i="5"/>
  <c r="BC60" i="5"/>
  <c r="BD60" i="5"/>
  <c r="BE60" i="5"/>
  <c r="BF60" i="5"/>
  <c r="BG60" i="5"/>
  <c r="BH60" i="5"/>
  <c r="BI60" i="5"/>
  <c r="BJ60" i="5"/>
  <c r="BK60" i="5"/>
  <c r="BL60" i="5"/>
  <c r="BM60" i="5"/>
  <c r="BN60" i="5"/>
  <c r="BO60" i="5"/>
  <c r="BP60" i="5"/>
  <c r="BQ60" i="5"/>
  <c r="BR60" i="5"/>
  <c r="BS60" i="5"/>
  <c r="BT60" i="5"/>
  <c r="BU60" i="5"/>
  <c r="BV60" i="5"/>
  <c r="BW60" i="5"/>
  <c r="BX60" i="5"/>
  <c r="BY60" i="5"/>
  <c r="BZ60" i="5"/>
  <c r="CA60" i="5"/>
  <c r="CB60" i="5"/>
  <c r="CC60" i="5"/>
  <c r="B61" i="5"/>
  <c r="C61" i="5"/>
  <c r="D61" i="5"/>
  <c r="E61" i="5"/>
  <c r="F61" i="5"/>
  <c r="G61" i="5"/>
  <c r="H61" i="5"/>
  <c r="I61" i="5"/>
  <c r="J61" i="5"/>
  <c r="K61" i="5"/>
  <c r="L61" i="5"/>
  <c r="M61" i="5"/>
  <c r="N61" i="5"/>
  <c r="O61" i="5"/>
  <c r="P61" i="5"/>
  <c r="Q61" i="5"/>
  <c r="R61" i="5"/>
  <c r="S61" i="5"/>
  <c r="T61" i="5"/>
  <c r="U61" i="5"/>
  <c r="V61" i="5"/>
  <c r="W61" i="5"/>
  <c r="X61" i="5"/>
  <c r="Y61" i="5"/>
  <c r="Z61" i="5"/>
  <c r="AA61" i="5"/>
  <c r="AB61" i="5"/>
  <c r="AC61" i="5"/>
  <c r="AD61" i="5"/>
  <c r="AE61" i="5"/>
  <c r="AF61" i="5"/>
  <c r="AG61" i="5"/>
  <c r="AH61" i="5"/>
  <c r="AI61" i="5"/>
  <c r="AJ61" i="5"/>
  <c r="AK61" i="5"/>
  <c r="AL61" i="5"/>
  <c r="AM61" i="5"/>
  <c r="AN61" i="5"/>
  <c r="AO61" i="5"/>
  <c r="AP61" i="5"/>
  <c r="AQ61" i="5"/>
  <c r="AR61" i="5"/>
  <c r="AS61" i="5"/>
  <c r="AT61" i="5"/>
  <c r="AU61" i="5"/>
  <c r="AV61" i="5"/>
  <c r="AW61" i="5"/>
  <c r="AX61" i="5"/>
  <c r="AY61" i="5"/>
  <c r="AZ61" i="5"/>
  <c r="BA61" i="5"/>
  <c r="BB61" i="5"/>
  <c r="BC61" i="5"/>
  <c r="BD61" i="5"/>
  <c r="BE61" i="5"/>
  <c r="BF61" i="5"/>
  <c r="BG61" i="5"/>
  <c r="BH61" i="5"/>
  <c r="BI61" i="5"/>
  <c r="BJ61" i="5"/>
  <c r="BK61" i="5"/>
  <c r="BL61" i="5"/>
  <c r="BM61" i="5"/>
  <c r="BN61" i="5"/>
  <c r="BO61" i="5"/>
  <c r="BP61" i="5"/>
  <c r="BQ61" i="5"/>
  <c r="BR61" i="5"/>
  <c r="BS61" i="5"/>
  <c r="BT61" i="5"/>
  <c r="BU61" i="5"/>
  <c r="BV61" i="5"/>
  <c r="BW61" i="5"/>
  <c r="BX61" i="5"/>
  <c r="BY61" i="5"/>
  <c r="BZ61" i="5"/>
  <c r="CA61" i="5"/>
  <c r="CB61" i="5"/>
  <c r="CC61" i="5"/>
  <c r="B62" i="5"/>
  <c r="C62" i="5"/>
  <c r="D62" i="5"/>
  <c r="E62" i="5"/>
  <c r="F62" i="5"/>
  <c r="G62" i="5"/>
  <c r="H62" i="5"/>
  <c r="I62" i="5"/>
  <c r="J62" i="5"/>
  <c r="K62" i="5"/>
  <c r="L62" i="5"/>
  <c r="M62" i="5"/>
  <c r="N62" i="5"/>
  <c r="O62" i="5"/>
  <c r="P62" i="5"/>
  <c r="Q62" i="5"/>
  <c r="R62" i="5"/>
  <c r="S62" i="5"/>
  <c r="T62" i="5"/>
  <c r="U62" i="5"/>
  <c r="V62" i="5"/>
  <c r="W62" i="5"/>
  <c r="X62" i="5"/>
  <c r="Y62" i="5"/>
  <c r="Z62" i="5"/>
  <c r="AA62" i="5"/>
  <c r="AB62" i="5"/>
  <c r="AC62" i="5"/>
  <c r="AD62" i="5"/>
  <c r="AE62" i="5"/>
  <c r="AF62" i="5"/>
  <c r="AG62" i="5"/>
  <c r="AH62" i="5"/>
  <c r="AI62" i="5"/>
  <c r="AJ62" i="5"/>
  <c r="AK62" i="5"/>
  <c r="AL62" i="5"/>
  <c r="AM62" i="5"/>
  <c r="AN62" i="5"/>
  <c r="AO62" i="5"/>
  <c r="AP62" i="5"/>
  <c r="AQ62" i="5"/>
  <c r="AR62" i="5"/>
  <c r="AS62" i="5"/>
  <c r="AT62" i="5"/>
  <c r="AU62" i="5"/>
  <c r="AV62" i="5"/>
  <c r="AW62" i="5"/>
  <c r="AX62" i="5"/>
  <c r="AY62" i="5"/>
  <c r="AZ62" i="5"/>
  <c r="BA62" i="5"/>
  <c r="BB62" i="5"/>
  <c r="BC62" i="5"/>
  <c r="BD62" i="5"/>
  <c r="BE62" i="5"/>
  <c r="BF62" i="5"/>
  <c r="BG62" i="5"/>
  <c r="BH62" i="5"/>
  <c r="BI62" i="5"/>
  <c r="BJ62" i="5"/>
  <c r="BK62" i="5"/>
  <c r="BL62" i="5"/>
  <c r="BM62" i="5"/>
  <c r="BN62" i="5"/>
  <c r="BO62" i="5"/>
  <c r="BP62" i="5"/>
  <c r="BQ62" i="5"/>
  <c r="BR62" i="5"/>
  <c r="BS62" i="5"/>
  <c r="BT62" i="5"/>
  <c r="BU62" i="5"/>
  <c r="BV62" i="5"/>
  <c r="BW62" i="5"/>
  <c r="BX62" i="5"/>
  <c r="BY62" i="5"/>
  <c r="BZ62" i="5"/>
  <c r="CA62" i="5"/>
  <c r="CB62" i="5"/>
  <c r="CC62" i="5"/>
  <c r="B63" i="5"/>
  <c r="C63" i="5"/>
  <c r="D63" i="5"/>
  <c r="E63" i="5"/>
  <c r="F63" i="5"/>
  <c r="G63" i="5"/>
  <c r="H63" i="5"/>
  <c r="I63" i="5"/>
  <c r="J63" i="5"/>
  <c r="K63" i="5"/>
  <c r="L63" i="5"/>
  <c r="M63" i="5"/>
  <c r="N63" i="5"/>
  <c r="O63" i="5"/>
  <c r="P63" i="5"/>
  <c r="Q63" i="5"/>
  <c r="R63" i="5"/>
  <c r="S63" i="5"/>
  <c r="T63" i="5"/>
  <c r="U63" i="5"/>
  <c r="V63" i="5"/>
  <c r="W63" i="5"/>
  <c r="X63" i="5"/>
  <c r="Y63" i="5"/>
  <c r="Z63" i="5"/>
  <c r="AA63" i="5"/>
  <c r="AB63" i="5"/>
  <c r="AC63" i="5"/>
  <c r="AD63" i="5"/>
  <c r="AE63" i="5"/>
  <c r="AF63" i="5"/>
  <c r="AG63" i="5"/>
  <c r="AH63" i="5"/>
  <c r="AI63" i="5"/>
  <c r="AJ63" i="5"/>
  <c r="AK63" i="5"/>
  <c r="AL63" i="5"/>
  <c r="AM63" i="5"/>
  <c r="AN63" i="5"/>
  <c r="AO63" i="5"/>
  <c r="AP63" i="5"/>
  <c r="AQ63" i="5"/>
  <c r="AR63" i="5"/>
  <c r="AS63" i="5"/>
  <c r="AT63" i="5"/>
  <c r="AU63" i="5"/>
  <c r="AV63" i="5"/>
  <c r="AW63" i="5"/>
  <c r="AX63" i="5"/>
  <c r="AY63" i="5"/>
  <c r="AZ63" i="5"/>
  <c r="BA63" i="5"/>
  <c r="BB63" i="5"/>
  <c r="BC63" i="5"/>
  <c r="BD63" i="5"/>
  <c r="BE63" i="5"/>
  <c r="BF63" i="5"/>
  <c r="BG63" i="5"/>
  <c r="BH63" i="5"/>
  <c r="BI63" i="5"/>
  <c r="BJ63" i="5"/>
  <c r="BK63" i="5"/>
  <c r="BL63" i="5"/>
  <c r="BM63" i="5"/>
  <c r="BN63" i="5"/>
  <c r="BO63" i="5"/>
  <c r="BP63" i="5"/>
  <c r="BQ63" i="5"/>
  <c r="BR63" i="5"/>
  <c r="BS63" i="5"/>
  <c r="BT63" i="5"/>
  <c r="BU63" i="5"/>
  <c r="BV63" i="5"/>
  <c r="BW63" i="5"/>
  <c r="BX63" i="5"/>
  <c r="BY63" i="5"/>
  <c r="BZ63" i="5"/>
  <c r="CA63" i="5"/>
  <c r="CB63" i="5"/>
  <c r="CC63" i="5"/>
  <c r="B64" i="5"/>
  <c r="C64" i="5"/>
  <c r="D64" i="5"/>
  <c r="E64" i="5"/>
  <c r="F64" i="5"/>
  <c r="G64" i="5"/>
  <c r="H64" i="5"/>
  <c r="I64" i="5"/>
  <c r="J64" i="5"/>
  <c r="K64" i="5"/>
  <c r="L64" i="5"/>
  <c r="M64" i="5"/>
  <c r="N64" i="5"/>
  <c r="O64" i="5"/>
  <c r="P64" i="5"/>
  <c r="Q64" i="5"/>
  <c r="R64" i="5"/>
  <c r="S64" i="5"/>
  <c r="T64" i="5"/>
  <c r="U64" i="5"/>
  <c r="V64" i="5"/>
  <c r="W64" i="5"/>
  <c r="X64" i="5"/>
  <c r="Y64" i="5"/>
  <c r="Z64" i="5"/>
  <c r="AA64" i="5"/>
  <c r="AB64" i="5"/>
  <c r="AC64" i="5"/>
  <c r="AD64" i="5"/>
  <c r="AE64" i="5"/>
  <c r="AF64" i="5"/>
  <c r="AG64" i="5"/>
  <c r="AH64" i="5"/>
  <c r="AI64" i="5"/>
  <c r="AJ64" i="5"/>
  <c r="AK64" i="5"/>
  <c r="AL64" i="5"/>
  <c r="AM64" i="5"/>
  <c r="AN64" i="5"/>
  <c r="AO64" i="5"/>
  <c r="AP64" i="5"/>
  <c r="AQ64" i="5"/>
  <c r="AR64" i="5"/>
  <c r="AS64" i="5"/>
  <c r="AT64" i="5"/>
  <c r="AU64" i="5"/>
  <c r="AV64" i="5"/>
  <c r="AW64" i="5"/>
  <c r="AX64" i="5"/>
  <c r="AY64" i="5"/>
  <c r="AZ64" i="5"/>
  <c r="BA64" i="5"/>
  <c r="BB64" i="5"/>
  <c r="BC64" i="5"/>
  <c r="BD64" i="5"/>
  <c r="BE64" i="5"/>
  <c r="BF64" i="5"/>
  <c r="BG64" i="5"/>
  <c r="BH64" i="5"/>
  <c r="BI64" i="5"/>
  <c r="BJ64" i="5"/>
  <c r="BK64" i="5"/>
  <c r="BL64" i="5"/>
  <c r="BM64" i="5"/>
  <c r="BN64" i="5"/>
  <c r="BO64" i="5"/>
  <c r="BP64" i="5"/>
  <c r="BQ64" i="5"/>
  <c r="BR64" i="5"/>
  <c r="BS64" i="5"/>
  <c r="BT64" i="5"/>
  <c r="BU64" i="5"/>
  <c r="BV64" i="5"/>
  <c r="BW64" i="5"/>
  <c r="BX64" i="5"/>
  <c r="BY64" i="5"/>
  <c r="BZ64" i="5"/>
  <c r="CA64" i="5"/>
  <c r="CB64" i="5"/>
  <c r="CC64" i="5"/>
  <c r="B65" i="5"/>
  <c r="C65" i="5"/>
  <c r="D65" i="5"/>
  <c r="E65" i="5"/>
  <c r="F65" i="5"/>
  <c r="G65" i="5"/>
  <c r="H65" i="5"/>
  <c r="I65" i="5"/>
  <c r="J65" i="5"/>
  <c r="K65" i="5"/>
  <c r="L65" i="5"/>
  <c r="M65" i="5"/>
  <c r="N65" i="5"/>
  <c r="O65" i="5"/>
  <c r="P65" i="5"/>
  <c r="Q65" i="5"/>
  <c r="R65" i="5"/>
  <c r="S65" i="5"/>
  <c r="T65" i="5"/>
  <c r="U65" i="5"/>
  <c r="V65" i="5"/>
  <c r="W65" i="5"/>
  <c r="X65" i="5"/>
  <c r="Y65" i="5"/>
  <c r="Z65" i="5"/>
  <c r="AA65" i="5"/>
  <c r="AB65" i="5"/>
  <c r="AC65" i="5"/>
  <c r="AD65" i="5"/>
  <c r="AE65" i="5"/>
  <c r="AF65" i="5"/>
  <c r="AG65" i="5"/>
  <c r="AH65" i="5"/>
  <c r="AI65" i="5"/>
  <c r="AJ65" i="5"/>
  <c r="AK65" i="5"/>
  <c r="AL65" i="5"/>
  <c r="AM65" i="5"/>
  <c r="AN65" i="5"/>
  <c r="AO65" i="5"/>
  <c r="AP65" i="5"/>
  <c r="AQ65" i="5"/>
  <c r="AR65" i="5"/>
  <c r="AS65" i="5"/>
  <c r="AT65" i="5"/>
  <c r="AU65" i="5"/>
  <c r="AV65" i="5"/>
  <c r="AW65" i="5"/>
  <c r="AX65" i="5"/>
  <c r="AY65" i="5"/>
  <c r="AZ65" i="5"/>
  <c r="BA65" i="5"/>
  <c r="BB65" i="5"/>
  <c r="BC65" i="5"/>
  <c r="BD65" i="5"/>
  <c r="BE65" i="5"/>
  <c r="BF65" i="5"/>
  <c r="BG65" i="5"/>
  <c r="BH65" i="5"/>
  <c r="BI65" i="5"/>
  <c r="BJ65" i="5"/>
  <c r="BK65" i="5"/>
  <c r="BL65" i="5"/>
  <c r="BM65" i="5"/>
  <c r="BN65" i="5"/>
  <c r="BO65" i="5"/>
  <c r="BP65" i="5"/>
  <c r="BQ65" i="5"/>
  <c r="BR65" i="5"/>
  <c r="BS65" i="5"/>
  <c r="BT65" i="5"/>
  <c r="BU65" i="5"/>
  <c r="BV65" i="5"/>
  <c r="BW65" i="5"/>
  <c r="BX65" i="5"/>
  <c r="BY65" i="5"/>
  <c r="BZ65" i="5"/>
  <c r="CA65" i="5"/>
  <c r="CB65" i="5"/>
  <c r="CC65" i="5"/>
  <c r="B66" i="5"/>
  <c r="C66" i="5"/>
  <c r="D66" i="5"/>
  <c r="E66" i="5"/>
  <c r="F66" i="5"/>
  <c r="G66" i="5"/>
  <c r="H66" i="5"/>
  <c r="I66" i="5"/>
  <c r="J66" i="5"/>
  <c r="K66" i="5"/>
  <c r="L66" i="5"/>
  <c r="M66" i="5"/>
  <c r="N66" i="5"/>
  <c r="O66" i="5"/>
  <c r="P66" i="5"/>
  <c r="Q66" i="5"/>
  <c r="R66" i="5"/>
  <c r="S66" i="5"/>
  <c r="T66" i="5"/>
  <c r="U66" i="5"/>
  <c r="V66" i="5"/>
  <c r="W66" i="5"/>
  <c r="X66" i="5"/>
  <c r="Y66" i="5"/>
  <c r="Z66" i="5"/>
  <c r="AA66" i="5"/>
  <c r="AB66" i="5"/>
  <c r="AC66" i="5"/>
  <c r="AD66" i="5"/>
  <c r="AE66" i="5"/>
  <c r="AF66" i="5"/>
  <c r="AG66" i="5"/>
  <c r="AH66" i="5"/>
  <c r="AI66" i="5"/>
  <c r="AJ66" i="5"/>
  <c r="AK66" i="5"/>
  <c r="AL66" i="5"/>
  <c r="AM66" i="5"/>
  <c r="AN66" i="5"/>
  <c r="AO66" i="5"/>
  <c r="AP66" i="5"/>
  <c r="AQ66" i="5"/>
  <c r="AR66" i="5"/>
  <c r="AS66" i="5"/>
  <c r="AT66" i="5"/>
  <c r="AU66" i="5"/>
  <c r="AV66" i="5"/>
  <c r="AW66" i="5"/>
  <c r="AX66" i="5"/>
  <c r="AY66" i="5"/>
  <c r="AZ66" i="5"/>
  <c r="BA66" i="5"/>
  <c r="BB66" i="5"/>
  <c r="BC66" i="5"/>
  <c r="BD66" i="5"/>
  <c r="BE66" i="5"/>
  <c r="BF66" i="5"/>
  <c r="BG66" i="5"/>
  <c r="BH66" i="5"/>
  <c r="BI66" i="5"/>
  <c r="BJ66" i="5"/>
  <c r="BK66" i="5"/>
  <c r="BL66" i="5"/>
  <c r="BM66" i="5"/>
  <c r="BN66" i="5"/>
  <c r="BO66" i="5"/>
  <c r="BP66" i="5"/>
  <c r="BQ66" i="5"/>
  <c r="BR66" i="5"/>
  <c r="BS66" i="5"/>
  <c r="BT66" i="5"/>
  <c r="BU66" i="5"/>
  <c r="BV66" i="5"/>
  <c r="BW66" i="5"/>
  <c r="BX66" i="5"/>
  <c r="BY66" i="5"/>
  <c r="BZ66" i="5"/>
  <c r="CA66" i="5"/>
  <c r="CB66" i="5"/>
  <c r="CC66" i="5"/>
  <c r="B67" i="5"/>
  <c r="C67" i="5"/>
  <c r="D67" i="5"/>
  <c r="E67" i="5"/>
  <c r="F67" i="5"/>
  <c r="G67" i="5"/>
  <c r="H67" i="5"/>
  <c r="I67" i="5"/>
  <c r="J67" i="5"/>
  <c r="K67" i="5"/>
  <c r="L67" i="5"/>
  <c r="M67" i="5"/>
  <c r="N67" i="5"/>
  <c r="O67" i="5"/>
  <c r="P67" i="5"/>
  <c r="Q67" i="5"/>
  <c r="R67" i="5"/>
  <c r="S67" i="5"/>
  <c r="T67" i="5"/>
  <c r="U67" i="5"/>
  <c r="V67" i="5"/>
  <c r="W67" i="5"/>
  <c r="X67" i="5"/>
  <c r="Y67" i="5"/>
  <c r="Z67" i="5"/>
  <c r="AA67" i="5"/>
  <c r="AB67" i="5"/>
  <c r="AC67" i="5"/>
  <c r="AD67" i="5"/>
  <c r="AE67" i="5"/>
  <c r="AF67" i="5"/>
  <c r="AG67" i="5"/>
  <c r="AH67" i="5"/>
  <c r="AI67" i="5"/>
  <c r="AJ67" i="5"/>
  <c r="AK67" i="5"/>
  <c r="AL67" i="5"/>
  <c r="AM67" i="5"/>
  <c r="AN67" i="5"/>
  <c r="AO67" i="5"/>
  <c r="AP67" i="5"/>
  <c r="AQ67" i="5"/>
  <c r="AR67" i="5"/>
  <c r="AS67" i="5"/>
  <c r="AT67" i="5"/>
  <c r="AU67" i="5"/>
  <c r="AV67" i="5"/>
  <c r="AW67" i="5"/>
  <c r="AX67" i="5"/>
  <c r="AY67" i="5"/>
  <c r="AZ67" i="5"/>
  <c r="BA67" i="5"/>
  <c r="BB67" i="5"/>
  <c r="BC67" i="5"/>
  <c r="BD67" i="5"/>
  <c r="BE67" i="5"/>
  <c r="BF67" i="5"/>
  <c r="BG67" i="5"/>
  <c r="BH67" i="5"/>
  <c r="BI67" i="5"/>
  <c r="BJ67" i="5"/>
  <c r="BK67" i="5"/>
  <c r="BL67" i="5"/>
  <c r="BM67" i="5"/>
  <c r="BN67" i="5"/>
  <c r="BO67" i="5"/>
  <c r="BP67" i="5"/>
  <c r="BQ67" i="5"/>
  <c r="BR67" i="5"/>
  <c r="BS67" i="5"/>
  <c r="BT67" i="5"/>
  <c r="BU67" i="5"/>
  <c r="BV67" i="5"/>
  <c r="BW67" i="5"/>
  <c r="BX67" i="5"/>
  <c r="BY67" i="5"/>
  <c r="BZ67" i="5"/>
  <c r="CA67" i="5"/>
  <c r="CB67" i="5"/>
  <c r="CC67" i="5"/>
  <c r="B68" i="5"/>
  <c r="C68" i="5"/>
  <c r="D68" i="5"/>
  <c r="E68" i="5"/>
  <c r="F68" i="5"/>
  <c r="G68" i="5"/>
  <c r="H68" i="5"/>
  <c r="I68" i="5"/>
  <c r="J68" i="5"/>
  <c r="K68" i="5"/>
  <c r="L68" i="5"/>
  <c r="M68" i="5"/>
  <c r="N68" i="5"/>
  <c r="O68" i="5"/>
  <c r="P68" i="5"/>
  <c r="Q68" i="5"/>
  <c r="R68" i="5"/>
  <c r="S68" i="5"/>
  <c r="T68" i="5"/>
  <c r="U68" i="5"/>
  <c r="V68" i="5"/>
  <c r="W68" i="5"/>
  <c r="X68" i="5"/>
  <c r="Y68" i="5"/>
  <c r="Z68" i="5"/>
  <c r="AA68" i="5"/>
  <c r="AB68" i="5"/>
  <c r="AC68" i="5"/>
  <c r="AD68" i="5"/>
  <c r="AE68" i="5"/>
  <c r="AF68" i="5"/>
  <c r="AG68" i="5"/>
  <c r="AH68" i="5"/>
  <c r="AI68" i="5"/>
  <c r="AJ68" i="5"/>
  <c r="AK68" i="5"/>
  <c r="AL68" i="5"/>
  <c r="AM68" i="5"/>
  <c r="AN68" i="5"/>
  <c r="AO68" i="5"/>
  <c r="AP68" i="5"/>
  <c r="AQ68" i="5"/>
  <c r="AR68" i="5"/>
  <c r="AS68" i="5"/>
  <c r="AT68" i="5"/>
  <c r="AU68" i="5"/>
  <c r="AV68" i="5"/>
  <c r="AW68" i="5"/>
  <c r="AX68" i="5"/>
  <c r="AY68" i="5"/>
  <c r="AZ68" i="5"/>
  <c r="BA68" i="5"/>
  <c r="BB68" i="5"/>
  <c r="BC68" i="5"/>
  <c r="BD68" i="5"/>
  <c r="BE68" i="5"/>
  <c r="BF68" i="5"/>
  <c r="BG68" i="5"/>
  <c r="BH68" i="5"/>
  <c r="BI68" i="5"/>
  <c r="BJ68" i="5"/>
  <c r="BK68" i="5"/>
  <c r="BL68" i="5"/>
  <c r="BM68" i="5"/>
  <c r="BN68" i="5"/>
  <c r="BO68" i="5"/>
  <c r="BP68" i="5"/>
  <c r="BQ68" i="5"/>
  <c r="BR68" i="5"/>
  <c r="BS68" i="5"/>
  <c r="BT68" i="5"/>
  <c r="BU68" i="5"/>
  <c r="BV68" i="5"/>
  <c r="BW68" i="5"/>
  <c r="BX68" i="5"/>
  <c r="BY68" i="5"/>
  <c r="BZ68" i="5"/>
  <c r="CA68" i="5"/>
  <c r="CB68" i="5"/>
  <c r="CC68" i="5"/>
  <c r="B69" i="5"/>
  <c r="C69" i="5"/>
  <c r="D69" i="5"/>
  <c r="E69" i="5"/>
  <c r="F69" i="5"/>
  <c r="G69" i="5"/>
  <c r="H69" i="5"/>
  <c r="I69" i="5"/>
  <c r="J69" i="5"/>
  <c r="K69" i="5"/>
  <c r="L69" i="5"/>
  <c r="M69" i="5"/>
  <c r="N69" i="5"/>
  <c r="O69" i="5"/>
  <c r="P69" i="5"/>
  <c r="Q69" i="5"/>
  <c r="R69" i="5"/>
  <c r="S69" i="5"/>
  <c r="T69" i="5"/>
  <c r="U69" i="5"/>
  <c r="V69" i="5"/>
  <c r="W69" i="5"/>
  <c r="X69" i="5"/>
  <c r="Y69" i="5"/>
  <c r="Z69" i="5"/>
  <c r="AA69" i="5"/>
  <c r="AB69" i="5"/>
  <c r="AC69" i="5"/>
  <c r="AD69" i="5"/>
  <c r="AE69" i="5"/>
  <c r="AF69" i="5"/>
  <c r="AG69" i="5"/>
  <c r="AH69" i="5"/>
  <c r="AI69" i="5"/>
  <c r="AJ69" i="5"/>
  <c r="AK69" i="5"/>
  <c r="AL69" i="5"/>
  <c r="AM69" i="5"/>
  <c r="AN69" i="5"/>
  <c r="AO69" i="5"/>
  <c r="AP69" i="5"/>
  <c r="AQ69" i="5"/>
  <c r="AR69" i="5"/>
  <c r="AS69" i="5"/>
  <c r="AT69" i="5"/>
  <c r="AU69" i="5"/>
  <c r="AV69" i="5"/>
  <c r="AW69" i="5"/>
  <c r="AX69" i="5"/>
  <c r="AY69" i="5"/>
  <c r="AZ69" i="5"/>
  <c r="BA69" i="5"/>
  <c r="BB69" i="5"/>
  <c r="BC69" i="5"/>
  <c r="BD69" i="5"/>
  <c r="BE69" i="5"/>
  <c r="BF69" i="5"/>
  <c r="BG69" i="5"/>
  <c r="BH69" i="5"/>
  <c r="BI69" i="5"/>
  <c r="BJ69" i="5"/>
  <c r="BK69" i="5"/>
  <c r="BL69" i="5"/>
  <c r="BM69" i="5"/>
  <c r="BN69" i="5"/>
  <c r="BO69" i="5"/>
  <c r="BP69" i="5"/>
  <c r="BQ69" i="5"/>
  <c r="BR69" i="5"/>
  <c r="BS69" i="5"/>
  <c r="BT69" i="5"/>
  <c r="BU69" i="5"/>
  <c r="BV69" i="5"/>
  <c r="BW69" i="5"/>
  <c r="BX69" i="5"/>
  <c r="BY69" i="5"/>
  <c r="BZ69" i="5"/>
  <c r="CA69" i="5"/>
  <c r="CB69" i="5"/>
  <c r="CC69" i="5"/>
  <c r="B70" i="5"/>
  <c r="C70" i="5"/>
  <c r="D70" i="5"/>
  <c r="E70" i="5"/>
  <c r="F70" i="5"/>
  <c r="G70" i="5"/>
  <c r="H70" i="5"/>
  <c r="I70" i="5"/>
  <c r="J70" i="5"/>
  <c r="K70" i="5"/>
  <c r="L70" i="5"/>
  <c r="M70" i="5"/>
  <c r="N70" i="5"/>
  <c r="O70" i="5"/>
  <c r="P70" i="5"/>
  <c r="Q70" i="5"/>
  <c r="R70" i="5"/>
  <c r="S70" i="5"/>
  <c r="T70" i="5"/>
  <c r="U70" i="5"/>
  <c r="V70" i="5"/>
  <c r="W70" i="5"/>
  <c r="X70" i="5"/>
  <c r="Y70" i="5"/>
  <c r="Z70" i="5"/>
  <c r="AA70" i="5"/>
  <c r="AB70" i="5"/>
  <c r="AC70" i="5"/>
  <c r="AD70" i="5"/>
  <c r="AE70" i="5"/>
  <c r="AF70" i="5"/>
  <c r="AG70" i="5"/>
  <c r="AH70" i="5"/>
  <c r="AI70" i="5"/>
  <c r="AJ70" i="5"/>
  <c r="AK70" i="5"/>
  <c r="AL70" i="5"/>
  <c r="AM70" i="5"/>
  <c r="AN70" i="5"/>
  <c r="AO70" i="5"/>
  <c r="AP70" i="5"/>
  <c r="AQ70" i="5"/>
  <c r="AR70" i="5"/>
  <c r="AS70" i="5"/>
  <c r="AT70" i="5"/>
  <c r="AU70" i="5"/>
  <c r="AV70" i="5"/>
  <c r="AW70" i="5"/>
  <c r="AX70" i="5"/>
  <c r="AY70" i="5"/>
  <c r="AZ70" i="5"/>
  <c r="BA70" i="5"/>
  <c r="BB70" i="5"/>
  <c r="BC70" i="5"/>
  <c r="BD70" i="5"/>
  <c r="BE70" i="5"/>
  <c r="BF70" i="5"/>
  <c r="BG70" i="5"/>
  <c r="BH70" i="5"/>
  <c r="BI70" i="5"/>
  <c r="BJ70" i="5"/>
  <c r="BK70" i="5"/>
  <c r="BL70" i="5"/>
  <c r="BM70" i="5"/>
  <c r="BN70" i="5"/>
  <c r="BO70" i="5"/>
  <c r="BP70" i="5"/>
  <c r="BQ70" i="5"/>
  <c r="BR70" i="5"/>
  <c r="BS70" i="5"/>
  <c r="BT70" i="5"/>
  <c r="BU70" i="5"/>
  <c r="BV70" i="5"/>
  <c r="BW70" i="5"/>
  <c r="BX70" i="5"/>
  <c r="BY70" i="5"/>
  <c r="BZ70" i="5"/>
  <c r="CA70" i="5"/>
  <c r="CB70" i="5"/>
  <c r="CC70" i="5"/>
  <c r="B71" i="5"/>
  <c r="C71" i="5"/>
  <c r="D71" i="5"/>
  <c r="E71" i="5"/>
  <c r="F71" i="5"/>
  <c r="G71" i="5"/>
  <c r="H71" i="5"/>
  <c r="I71" i="5"/>
  <c r="J71" i="5"/>
  <c r="K71" i="5"/>
  <c r="L71" i="5"/>
  <c r="M71" i="5"/>
  <c r="N71" i="5"/>
  <c r="O71" i="5"/>
  <c r="P71" i="5"/>
  <c r="Q71" i="5"/>
  <c r="R71" i="5"/>
  <c r="S71" i="5"/>
  <c r="T71" i="5"/>
  <c r="U71" i="5"/>
  <c r="V71" i="5"/>
  <c r="W71" i="5"/>
  <c r="X71" i="5"/>
  <c r="Y71" i="5"/>
  <c r="Z71" i="5"/>
  <c r="AA71" i="5"/>
  <c r="AB71" i="5"/>
  <c r="AC71" i="5"/>
  <c r="AD71" i="5"/>
  <c r="AE71" i="5"/>
  <c r="AF71" i="5"/>
  <c r="AG71" i="5"/>
  <c r="AH71" i="5"/>
  <c r="AI71" i="5"/>
  <c r="AJ71" i="5"/>
  <c r="AK71" i="5"/>
  <c r="AL71" i="5"/>
  <c r="AM71" i="5"/>
  <c r="AN71" i="5"/>
  <c r="AO71" i="5"/>
  <c r="AP71" i="5"/>
  <c r="AQ71" i="5"/>
  <c r="AR71" i="5"/>
  <c r="AS71" i="5"/>
  <c r="AT71" i="5"/>
  <c r="AU71" i="5"/>
  <c r="AV71" i="5"/>
  <c r="AW71" i="5"/>
  <c r="AX71" i="5"/>
  <c r="AY71" i="5"/>
  <c r="AZ71" i="5"/>
  <c r="BA71" i="5"/>
  <c r="BB71" i="5"/>
  <c r="BC71" i="5"/>
  <c r="BD71" i="5"/>
  <c r="BE71" i="5"/>
  <c r="BF71" i="5"/>
  <c r="BG71" i="5"/>
  <c r="BH71" i="5"/>
  <c r="BI71" i="5"/>
  <c r="BJ71" i="5"/>
  <c r="BK71" i="5"/>
  <c r="BL71" i="5"/>
  <c r="BM71" i="5"/>
  <c r="BN71" i="5"/>
  <c r="BO71" i="5"/>
  <c r="BP71" i="5"/>
  <c r="BQ71" i="5"/>
  <c r="BR71" i="5"/>
  <c r="BS71" i="5"/>
  <c r="BT71" i="5"/>
  <c r="BU71" i="5"/>
  <c r="BV71" i="5"/>
  <c r="BW71" i="5"/>
  <c r="BX71" i="5"/>
  <c r="BY71" i="5"/>
  <c r="BZ71" i="5"/>
  <c r="CA71" i="5"/>
  <c r="CB71" i="5"/>
  <c r="CC71" i="5"/>
  <c r="B72" i="5"/>
  <c r="C72" i="5"/>
  <c r="D72" i="5"/>
  <c r="E72" i="5"/>
  <c r="F72" i="5"/>
  <c r="G72" i="5"/>
  <c r="H72" i="5"/>
  <c r="I72" i="5"/>
  <c r="J72" i="5"/>
  <c r="K72" i="5"/>
  <c r="L72" i="5"/>
  <c r="M72" i="5"/>
  <c r="N72" i="5"/>
  <c r="O72" i="5"/>
  <c r="P72" i="5"/>
  <c r="Q72" i="5"/>
  <c r="R72" i="5"/>
  <c r="S72" i="5"/>
  <c r="T72" i="5"/>
  <c r="U72" i="5"/>
  <c r="V72" i="5"/>
  <c r="W72" i="5"/>
  <c r="X72" i="5"/>
  <c r="Y72" i="5"/>
  <c r="Z72" i="5"/>
  <c r="AA72" i="5"/>
  <c r="AB72" i="5"/>
  <c r="AC72" i="5"/>
  <c r="AD72" i="5"/>
  <c r="AE72" i="5"/>
  <c r="AF72" i="5"/>
  <c r="AG72" i="5"/>
  <c r="AH72" i="5"/>
  <c r="AI72" i="5"/>
  <c r="AJ72" i="5"/>
  <c r="AK72" i="5"/>
  <c r="AL72" i="5"/>
  <c r="AM72" i="5"/>
  <c r="AN72" i="5"/>
  <c r="AO72" i="5"/>
  <c r="AP72" i="5"/>
  <c r="AQ72" i="5"/>
  <c r="AR72" i="5"/>
  <c r="AS72" i="5"/>
  <c r="AT72" i="5"/>
  <c r="AU72" i="5"/>
  <c r="AV72" i="5"/>
  <c r="AW72" i="5"/>
  <c r="AX72" i="5"/>
  <c r="AY72" i="5"/>
  <c r="AZ72" i="5"/>
  <c r="BA72" i="5"/>
  <c r="BB72" i="5"/>
  <c r="BC72" i="5"/>
  <c r="BD72" i="5"/>
  <c r="BE72" i="5"/>
  <c r="BF72" i="5"/>
  <c r="BG72" i="5"/>
  <c r="BH72" i="5"/>
  <c r="BI72" i="5"/>
  <c r="BJ72" i="5"/>
  <c r="BK72" i="5"/>
  <c r="BL72" i="5"/>
  <c r="BM72" i="5"/>
  <c r="BN72" i="5"/>
  <c r="BO72" i="5"/>
  <c r="BP72" i="5"/>
  <c r="BQ72" i="5"/>
  <c r="BR72" i="5"/>
  <c r="BS72" i="5"/>
  <c r="BT72" i="5"/>
  <c r="BU72" i="5"/>
  <c r="BV72" i="5"/>
  <c r="BW72" i="5"/>
  <c r="BX72" i="5"/>
  <c r="BY72" i="5"/>
  <c r="BZ72" i="5"/>
  <c r="CA72" i="5"/>
  <c r="CB72" i="5"/>
  <c r="CC72" i="5"/>
  <c r="B73" i="5"/>
  <c r="C73" i="5"/>
  <c r="D73" i="5"/>
  <c r="E73" i="5"/>
  <c r="F73" i="5"/>
  <c r="G73" i="5"/>
  <c r="H73" i="5"/>
  <c r="I73" i="5"/>
  <c r="J73" i="5"/>
  <c r="K73" i="5"/>
  <c r="L73" i="5"/>
  <c r="M73" i="5"/>
  <c r="N73" i="5"/>
  <c r="O73" i="5"/>
  <c r="P73" i="5"/>
  <c r="Q73" i="5"/>
  <c r="R73" i="5"/>
  <c r="S73" i="5"/>
  <c r="T73" i="5"/>
  <c r="U73" i="5"/>
  <c r="V73" i="5"/>
  <c r="W73" i="5"/>
  <c r="X73" i="5"/>
  <c r="Y73" i="5"/>
  <c r="Z73" i="5"/>
  <c r="AA73" i="5"/>
  <c r="AB73" i="5"/>
  <c r="AC73" i="5"/>
  <c r="AD73" i="5"/>
  <c r="AE73" i="5"/>
  <c r="AF73" i="5"/>
  <c r="AG73" i="5"/>
  <c r="AH73" i="5"/>
  <c r="AI73" i="5"/>
  <c r="AJ73" i="5"/>
  <c r="AK73" i="5"/>
  <c r="AL73" i="5"/>
  <c r="AM73" i="5"/>
  <c r="AN73" i="5"/>
  <c r="AO73" i="5"/>
  <c r="AP73" i="5"/>
  <c r="AQ73" i="5"/>
  <c r="AR73" i="5"/>
  <c r="AS73" i="5"/>
  <c r="AT73" i="5"/>
  <c r="AU73" i="5"/>
  <c r="AV73" i="5"/>
  <c r="AW73" i="5"/>
  <c r="AX73" i="5"/>
  <c r="AY73" i="5"/>
  <c r="AZ73" i="5"/>
  <c r="BA73" i="5"/>
  <c r="BB73" i="5"/>
  <c r="BC73" i="5"/>
  <c r="BD73" i="5"/>
  <c r="BE73" i="5"/>
  <c r="BF73" i="5"/>
  <c r="BG73" i="5"/>
  <c r="BH73" i="5"/>
  <c r="BI73" i="5"/>
  <c r="BJ73" i="5"/>
  <c r="BK73" i="5"/>
  <c r="BL73" i="5"/>
  <c r="BM73" i="5"/>
  <c r="BN73" i="5"/>
  <c r="BO73" i="5"/>
  <c r="BP73" i="5"/>
  <c r="BQ73" i="5"/>
  <c r="BR73" i="5"/>
  <c r="BS73" i="5"/>
  <c r="BT73" i="5"/>
  <c r="BU73" i="5"/>
  <c r="BV73" i="5"/>
  <c r="BW73" i="5"/>
  <c r="BX73" i="5"/>
  <c r="BY73" i="5"/>
  <c r="BZ73" i="5"/>
  <c r="CA73" i="5"/>
  <c r="CB73" i="5"/>
  <c r="CC73" i="5"/>
  <c r="B74" i="5"/>
  <c r="C74" i="5"/>
  <c r="D74" i="5"/>
  <c r="E74" i="5"/>
  <c r="F74" i="5"/>
  <c r="G74" i="5"/>
  <c r="H74" i="5"/>
  <c r="I74" i="5"/>
  <c r="J74" i="5"/>
  <c r="K74" i="5"/>
  <c r="L74" i="5"/>
  <c r="M74" i="5"/>
  <c r="N74" i="5"/>
  <c r="O74" i="5"/>
  <c r="P74" i="5"/>
  <c r="Q74" i="5"/>
  <c r="R74" i="5"/>
  <c r="S74" i="5"/>
  <c r="T74" i="5"/>
  <c r="U74" i="5"/>
  <c r="V74" i="5"/>
  <c r="W74" i="5"/>
  <c r="X74" i="5"/>
  <c r="Y74" i="5"/>
  <c r="Z74" i="5"/>
  <c r="AA74" i="5"/>
  <c r="AB74" i="5"/>
  <c r="AC74" i="5"/>
  <c r="AD74" i="5"/>
  <c r="AE74" i="5"/>
  <c r="AF74" i="5"/>
  <c r="AG74" i="5"/>
  <c r="AH74" i="5"/>
  <c r="AI74" i="5"/>
  <c r="AJ74" i="5"/>
  <c r="AK74" i="5"/>
  <c r="AL74" i="5"/>
  <c r="AM74" i="5"/>
  <c r="AN74" i="5"/>
  <c r="AO74" i="5"/>
  <c r="AP74" i="5"/>
  <c r="AQ74" i="5"/>
  <c r="AR74" i="5"/>
  <c r="AS74" i="5"/>
  <c r="AT74" i="5"/>
  <c r="AU74" i="5"/>
  <c r="AV74" i="5"/>
  <c r="AW74" i="5"/>
  <c r="AX74" i="5"/>
  <c r="AY74" i="5"/>
  <c r="AZ74" i="5"/>
  <c r="BA74" i="5"/>
  <c r="BB74" i="5"/>
  <c r="BC74" i="5"/>
  <c r="BD74" i="5"/>
  <c r="BE74" i="5"/>
  <c r="BF74" i="5"/>
  <c r="BG74" i="5"/>
  <c r="BH74" i="5"/>
  <c r="BI74" i="5"/>
  <c r="BJ74" i="5"/>
  <c r="BK74" i="5"/>
  <c r="BL74" i="5"/>
  <c r="BM74" i="5"/>
  <c r="BN74" i="5"/>
  <c r="BO74" i="5"/>
  <c r="BP74" i="5"/>
  <c r="BQ74" i="5"/>
  <c r="BR74" i="5"/>
  <c r="BS74" i="5"/>
  <c r="BT74" i="5"/>
  <c r="BU74" i="5"/>
  <c r="BV74" i="5"/>
  <c r="BW74" i="5"/>
  <c r="BX74" i="5"/>
  <c r="BY74" i="5"/>
  <c r="BZ74" i="5"/>
  <c r="CA74" i="5"/>
  <c r="CB74" i="5"/>
  <c r="CC74" i="5"/>
  <c r="B75" i="5"/>
  <c r="C75" i="5"/>
  <c r="D75" i="5"/>
  <c r="E75" i="5"/>
  <c r="F75" i="5"/>
  <c r="G75" i="5"/>
  <c r="H75" i="5"/>
  <c r="I75" i="5"/>
  <c r="J75" i="5"/>
  <c r="K75" i="5"/>
  <c r="L75" i="5"/>
  <c r="M75" i="5"/>
  <c r="N75" i="5"/>
  <c r="O75" i="5"/>
  <c r="P75" i="5"/>
  <c r="Q75" i="5"/>
  <c r="R75" i="5"/>
  <c r="S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AG75" i="5"/>
  <c r="AH75" i="5"/>
  <c r="AI75" i="5"/>
  <c r="AJ75" i="5"/>
  <c r="AK75" i="5"/>
  <c r="AL75" i="5"/>
  <c r="AM75" i="5"/>
  <c r="AN75" i="5"/>
  <c r="AO75" i="5"/>
  <c r="AP75" i="5"/>
  <c r="AQ75" i="5"/>
  <c r="AR75" i="5"/>
  <c r="AS75" i="5"/>
  <c r="AT75" i="5"/>
  <c r="AU75" i="5"/>
  <c r="AV75" i="5"/>
  <c r="AW75" i="5"/>
  <c r="AX75" i="5"/>
  <c r="AY75" i="5"/>
  <c r="AZ75" i="5"/>
  <c r="BA75" i="5"/>
  <c r="BB75" i="5"/>
  <c r="BC75" i="5"/>
  <c r="BD75" i="5"/>
  <c r="BE75" i="5"/>
  <c r="BF75" i="5"/>
  <c r="BG75" i="5"/>
  <c r="BH75" i="5"/>
  <c r="BI75" i="5"/>
  <c r="BJ75" i="5"/>
  <c r="BK75" i="5"/>
  <c r="BL75" i="5"/>
  <c r="BM75" i="5"/>
  <c r="BN75" i="5"/>
  <c r="BO75" i="5"/>
  <c r="BP75" i="5"/>
  <c r="BQ75" i="5"/>
  <c r="BR75" i="5"/>
  <c r="BS75" i="5"/>
  <c r="BT75" i="5"/>
  <c r="BU75" i="5"/>
  <c r="BV75" i="5"/>
  <c r="BW75" i="5"/>
  <c r="BX75" i="5"/>
  <c r="BY75" i="5"/>
  <c r="BZ75" i="5"/>
  <c r="CA75" i="5"/>
  <c r="CB75" i="5"/>
  <c r="CC75" i="5"/>
  <c r="B76" i="5"/>
  <c r="C76" i="5"/>
  <c r="D76" i="5"/>
  <c r="E76" i="5"/>
  <c r="F76" i="5"/>
  <c r="G76" i="5"/>
  <c r="H76" i="5"/>
  <c r="I76" i="5"/>
  <c r="J76" i="5"/>
  <c r="K76" i="5"/>
  <c r="L76" i="5"/>
  <c r="M76" i="5"/>
  <c r="N76" i="5"/>
  <c r="O76" i="5"/>
  <c r="P76" i="5"/>
  <c r="Q76" i="5"/>
  <c r="R76" i="5"/>
  <c r="S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AG76" i="5"/>
  <c r="AH76" i="5"/>
  <c r="AI76" i="5"/>
  <c r="AJ76" i="5"/>
  <c r="AK76" i="5"/>
  <c r="AL76" i="5"/>
  <c r="AM76" i="5"/>
  <c r="AN76" i="5"/>
  <c r="AO76" i="5"/>
  <c r="AP76" i="5"/>
  <c r="AQ76" i="5"/>
  <c r="AR76" i="5"/>
  <c r="AS76" i="5"/>
  <c r="AT76" i="5"/>
  <c r="AU76" i="5"/>
  <c r="AV76" i="5"/>
  <c r="AW76" i="5"/>
  <c r="AX76" i="5"/>
  <c r="AY76" i="5"/>
  <c r="AZ76" i="5"/>
  <c r="BA76" i="5"/>
  <c r="BB76" i="5"/>
  <c r="BC76" i="5"/>
  <c r="BD76" i="5"/>
  <c r="BE76" i="5"/>
  <c r="BF76" i="5"/>
  <c r="BG76" i="5"/>
  <c r="BH76" i="5"/>
  <c r="BI76" i="5"/>
  <c r="BJ76" i="5"/>
  <c r="BK76" i="5"/>
  <c r="BL76" i="5"/>
  <c r="BM76" i="5"/>
  <c r="BN76" i="5"/>
  <c r="BO76" i="5"/>
  <c r="BP76" i="5"/>
  <c r="BQ76" i="5"/>
  <c r="BR76" i="5"/>
  <c r="BS76" i="5"/>
  <c r="BT76" i="5"/>
  <c r="BU76" i="5"/>
  <c r="BV76" i="5"/>
  <c r="BW76" i="5"/>
  <c r="BX76" i="5"/>
  <c r="BY76" i="5"/>
  <c r="BZ76" i="5"/>
  <c r="CA76" i="5"/>
  <c r="CB76" i="5"/>
  <c r="CC76" i="5"/>
  <c r="B77" i="5"/>
  <c r="C77" i="5"/>
  <c r="D77" i="5"/>
  <c r="E77" i="5"/>
  <c r="F77" i="5"/>
  <c r="G77" i="5"/>
  <c r="H77" i="5"/>
  <c r="I77" i="5"/>
  <c r="J77" i="5"/>
  <c r="K77" i="5"/>
  <c r="L77" i="5"/>
  <c r="M77" i="5"/>
  <c r="N77" i="5"/>
  <c r="O77" i="5"/>
  <c r="P77" i="5"/>
  <c r="Q77" i="5"/>
  <c r="R77" i="5"/>
  <c r="S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AG77" i="5"/>
  <c r="AH77" i="5"/>
  <c r="AI77" i="5"/>
  <c r="AJ77" i="5"/>
  <c r="AK77" i="5"/>
  <c r="AL77" i="5"/>
  <c r="AM77" i="5"/>
  <c r="AN77" i="5"/>
  <c r="AO77" i="5"/>
  <c r="AP77" i="5"/>
  <c r="AQ77" i="5"/>
  <c r="AR77" i="5"/>
  <c r="AS77" i="5"/>
  <c r="AT77" i="5"/>
  <c r="AU77" i="5"/>
  <c r="AV77" i="5"/>
  <c r="AW77" i="5"/>
  <c r="AX77" i="5"/>
  <c r="AY77" i="5"/>
  <c r="AZ77" i="5"/>
  <c r="BA77" i="5"/>
  <c r="BB77" i="5"/>
  <c r="BC77" i="5"/>
  <c r="BD77" i="5"/>
  <c r="BE77" i="5"/>
  <c r="BF77" i="5"/>
  <c r="BG77" i="5"/>
  <c r="BH77" i="5"/>
  <c r="BI77" i="5"/>
  <c r="BJ77" i="5"/>
  <c r="BK77" i="5"/>
  <c r="BL77" i="5"/>
  <c r="BM77" i="5"/>
  <c r="BN77" i="5"/>
  <c r="BO77" i="5"/>
  <c r="BP77" i="5"/>
  <c r="BQ77" i="5"/>
  <c r="BR77" i="5"/>
  <c r="BS77" i="5"/>
  <c r="BT77" i="5"/>
  <c r="BU77" i="5"/>
  <c r="BV77" i="5"/>
  <c r="BW77" i="5"/>
  <c r="BX77" i="5"/>
  <c r="BY77" i="5"/>
  <c r="BZ77" i="5"/>
  <c r="CA77" i="5"/>
  <c r="CB77" i="5"/>
  <c r="CC77" i="5"/>
  <c r="B78" i="5"/>
  <c r="C78" i="5"/>
  <c r="D78" i="5"/>
  <c r="E78" i="5"/>
  <c r="F78" i="5"/>
  <c r="G78" i="5"/>
  <c r="H78" i="5"/>
  <c r="I78" i="5"/>
  <c r="J78" i="5"/>
  <c r="K78" i="5"/>
  <c r="L78" i="5"/>
  <c r="M78" i="5"/>
  <c r="N78" i="5"/>
  <c r="O78" i="5"/>
  <c r="P78" i="5"/>
  <c r="Q78" i="5"/>
  <c r="R78" i="5"/>
  <c r="S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AG78" i="5"/>
  <c r="AH78" i="5"/>
  <c r="AI78" i="5"/>
  <c r="AJ78" i="5"/>
  <c r="AK78" i="5"/>
  <c r="AL78" i="5"/>
  <c r="AM78" i="5"/>
  <c r="AN78" i="5"/>
  <c r="AO78" i="5"/>
  <c r="AP78" i="5"/>
  <c r="AQ78" i="5"/>
  <c r="AR78" i="5"/>
  <c r="AS78" i="5"/>
  <c r="AT78" i="5"/>
  <c r="AU78" i="5"/>
  <c r="AV78" i="5"/>
  <c r="AW78" i="5"/>
  <c r="AX78" i="5"/>
  <c r="AY78" i="5"/>
  <c r="AZ78" i="5"/>
  <c r="BA78" i="5"/>
  <c r="BB78" i="5"/>
  <c r="BC78" i="5"/>
  <c r="BD78" i="5"/>
  <c r="BE78" i="5"/>
  <c r="BF78" i="5"/>
  <c r="BG78" i="5"/>
  <c r="BH78" i="5"/>
  <c r="BI78" i="5"/>
  <c r="BJ78" i="5"/>
  <c r="BK78" i="5"/>
  <c r="BL78" i="5"/>
  <c r="BM78" i="5"/>
  <c r="BN78" i="5"/>
  <c r="BO78" i="5"/>
  <c r="BP78" i="5"/>
  <c r="BQ78" i="5"/>
  <c r="BR78" i="5"/>
  <c r="BS78" i="5"/>
  <c r="BT78" i="5"/>
  <c r="BU78" i="5"/>
  <c r="BV78" i="5"/>
  <c r="BW78" i="5"/>
  <c r="BX78" i="5"/>
  <c r="BY78" i="5"/>
  <c r="BZ78" i="5"/>
  <c r="CA78" i="5"/>
  <c r="CB78" i="5"/>
  <c r="CC78" i="5"/>
  <c r="B79" i="5"/>
  <c r="C79" i="5"/>
  <c r="D79" i="5"/>
  <c r="E79" i="5"/>
  <c r="F79" i="5"/>
  <c r="G79" i="5"/>
  <c r="H79" i="5"/>
  <c r="I79" i="5"/>
  <c r="J79" i="5"/>
  <c r="K79" i="5"/>
  <c r="L79" i="5"/>
  <c r="M79" i="5"/>
  <c r="N79" i="5"/>
  <c r="O79" i="5"/>
  <c r="P79" i="5"/>
  <c r="Q79" i="5"/>
  <c r="R79" i="5"/>
  <c r="S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AG79" i="5"/>
  <c r="AH79" i="5"/>
  <c r="AI79" i="5"/>
  <c r="AJ79" i="5"/>
  <c r="AK79" i="5"/>
  <c r="AL79" i="5"/>
  <c r="AM79" i="5"/>
  <c r="AN79" i="5"/>
  <c r="AO79" i="5"/>
  <c r="AP79" i="5"/>
  <c r="AQ79" i="5"/>
  <c r="AR79" i="5"/>
  <c r="AS79" i="5"/>
  <c r="AT79" i="5"/>
  <c r="AU79" i="5"/>
  <c r="AV79" i="5"/>
  <c r="AW79" i="5"/>
  <c r="AX79" i="5"/>
  <c r="AY79" i="5"/>
  <c r="AZ79" i="5"/>
  <c r="BA79" i="5"/>
  <c r="BB79" i="5"/>
  <c r="BC79" i="5"/>
  <c r="BD79" i="5"/>
  <c r="BE79" i="5"/>
  <c r="BF79" i="5"/>
  <c r="BG79" i="5"/>
  <c r="BH79" i="5"/>
  <c r="BI79" i="5"/>
  <c r="BJ79" i="5"/>
  <c r="BK79" i="5"/>
  <c r="BL79" i="5"/>
  <c r="BM79" i="5"/>
  <c r="BN79" i="5"/>
  <c r="BO79" i="5"/>
  <c r="BP79" i="5"/>
  <c r="BQ79" i="5"/>
  <c r="BR79" i="5"/>
  <c r="BS79" i="5"/>
  <c r="BT79" i="5"/>
  <c r="BU79" i="5"/>
  <c r="BV79" i="5"/>
  <c r="BW79" i="5"/>
  <c r="BX79" i="5"/>
  <c r="BY79" i="5"/>
  <c r="BZ79" i="5"/>
  <c r="CA79" i="5"/>
  <c r="CB79" i="5"/>
  <c r="CC79" i="5"/>
  <c r="B80" i="5"/>
  <c r="C80" i="5"/>
  <c r="D80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AG80" i="5"/>
  <c r="AH80" i="5"/>
  <c r="AI80" i="5"/>
  <c r="AJ80" i="5"/>
  <c r="AK80" i="5"/>
  <c r="AL80" i="5"/>
  <c r="AM80" i="5"/>
  <c r="AN80" i="5"/>
  <c r="AO80" i="5"/>
  <c r="AP80" i="5"/>
  <c r="AQ80" i="5"/>
  <c r="AR80" i="5"/>
  <c r="AS80" i="5"/>
  <c r="AT80" i="5"/>
  <c r="AU80" i="5"/>
  <c r="AV80" i="5"/>
  <c r="AW80" i="5"/>
  <c r="AX80" i="5"/>
  <c r="AY80" i="5"/>
  <c r="AZ80" i="5"/>
  <c r="BA80" i="5"/>
  <c r="BB80" i="5"/>
  <c r="BC80" i="5"/>
  <c r="BD80" i="5"/>
  <c r="BE80" i="5"/>
  <c r="BF80" i="5"/>
  <c r="BG80" i="5"/>
  <c r="BH80" i="5"/>
  <c r="BI80" i="5"/>
  <c r="BJ80" i="5"/>
  <c r="BK80" i="5"/>
  <c r="BL80" i="5"/>
  <c r="BM80" i="5"/>
  <c r="BN80" i="5"/>
  <c r="BO80" i="5"/>
  <c r="BP80" i="5"/>
  <c r="BQ80" i="5"/>
  <c r="BR80" i="5"/>
  <c r="BS80" i="5"/>
  <c r="BT80" i="5"/>
  <c r="BU80" i="5"/>
  <c r="BV80" i="5"/>
  <c r="BW80" i="5"/>
  <c r="BX80" i="5"/>
  <c r="BY80" i="5"/>
  <c r="BZ80" i="5"/>
  <c r="CA80" i="5"/>
  <c r="CB80" i="5"/>
  <c r="CC80" i="5"/>
  <c r="B81" i="5"/>
  <c r="C81" i="5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Q81" i="5"/>
  <c r="R81" i="5"/>
  <c r="S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AG81" i="5"/>
  <c r="AH81" i="5"/>
  <c r="AI81" i="5"/>
  <c r="AJ81" i="5"/>
  <c r="AK81" i="5"/>
  <c r="AL81" i="5"/>
  <c r="AM81" i="5"/>
  <c r="AN81" i="5"/>
  <c r="AO81" i="5"/>
  <c r="AP81" i="5"/>
  <c r="AQ81" i="5"/>
  <c r="AR81" i="5"/>
  <c r="AS81" i="5"/>
  <c r="AT81" i="5"/>
  <c r="AU81" i="5"/>
  <c r="AV81" i="5"/>
  <c r="AW81" i="5"/>
  <c r="AX81" i="5"/>
  <c r="AY81" i="5"/>
  <c r="AZ81" i="5"/>
  <c r="BA81" i="5"/>
  <c r="BB81" i="5"/>
  <c r="BC81" i="5"/>
  <c r="BD81" i="5"/>
  <c r="BE81" i="5"/>
  <c r="BF81" i="5"/>
  <c r="BG81" i="5"/>
  <c r="BH81" i="5"/>
  <c r="BI81" i="5"/>
  <c r="BJ81" i="5"/>
  <c r="BK81" i="5"/>
  <c r="BL81" i="5"/>
  <c r="BM81" i="5"/>
  <c r="BN81" i="5"/>
  <c r="BO81" i="5"/>
  <c r="BP81" i="5"/>
  <c r="BQ81" i="5"/>
  <c r="BR81" i="5"/>
  <c r="BS81" i="5"/>
  <c r="BT81" i="5"/>
  <c r="BU81" i="5"/>
  <c r="BV81" i="5"/>
  <c r="BW81" i="5"/>
  <c r="BX81" i="5"/>
  <c r="BY81" i="5"/>
  <c r="BZ81" i="5"/>
  <c r="CA81" i="5"/>
  <c r="CB81" i="5"/>
  <c r="CC81" i="5"/>
  <c r="B82" i="5"/>
  <c r="C82" i="5"/>
  <c r="D82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AG82" i="5"/>
  <c r="AH82" i="5"/>
  <c r="AI82" i="5"/>
  <c r="AJ82" i="5"/>
  <c r="AK82" i="5"/>
  <c r="AL82" i="5"/>
  <c r="AM82" i="5"/>
  <c r="AN82" i="5"/>
  <c r="AO82" i="5"/>
  <c r="AP82" i="5"/>
  <c r="AQ82" i="5"/>
  <c r="AR82" i="5"/>
  <c r="AS82" i="5"/>
  <c r="AT82" i="5"/>
  <c r="AU82" i="5"/>
  <c r="AV82" i="5"/>
  <c r="AW82" i="5"/>
  <c r="AX82" i="5"/>
  <c r="AY82" i="5"/>
  <c r="AZ82" i="5"/>
  <c r="BA82" i="5"/>
  <c r="BB82" i="5"/>
  <c r="BC82" i="5"/>
  <c r="BD82" i="5"/>
  <c r="BE82" i="5"/>
  <c r="BF82" i="5"/>
  <c r="BG82" i="5"/>
  <c r="BH82" i="5"/>
  <c r="BI82" i="5"/>
  <c r="BJ82" i="5"/>
  <c r="BK82" i="5"/>
  <c r="BL82" i="5"/>
  <c r="BM82" i="5"/>
  <c r="BN82" i="5"/>
  <c r="BO82" i="5"/>
  <c r="BP82" i="5"/>
  <c r="BQ82" i="5"/>
  <c r="BR82" i="5"/>
  <c r="BS82" i="5"/>
  <c r="BT82" i="5"/>
  <c r="BU82" i="5"/>
  <c r="BV82" i="5"/>
  <c r="BW82" i="5"/>
  <c r="BX82" i="5"/>
  <c r="BY82" i="5"/>
  <c r="BZ82" i="5"/>
  <c r="CA82" i="5"/>
  <c r="CB82" i="5"/>
  <c r="CC82" i="5"/>
  <c r="BI3" i="5"/>
  <c r="BJ3" i="5"/>
  <c r="BK3" i="5"/>
  <c r="BL3" i="5"/>
  <c r="BM3" i="5"/>
  <c r="BN3" i="5"/>
  <c r="BO3" i="5"/>
  <c r="BP3" i="5"/>
  <c r="BQ3" i="5"/>
  <c r="BR3" i="5"/>
  <c r="BS3" i="5"/>
  <c r="BT3" i="5"/>
  <c r="BU3" i="5"/>
  <c r="BV3" i="5"/>
  <c r="BW3" i="5"/>
  <c r="BX3" i="5"/>
  <c r="BY3" i="5"/>
  <c r="BZ3" i="5"/>
  <c r="CA3" i="5"/>
  <c r="CB3" i="5"/>
  <c r="CC3" i="5"/>
  <c r="H7" i="4"/>
  <c r="H8" i="4"/>
  <c r="B3" i="5" l="1"/>
  <c r="A4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Ward, Meghan</author>
  </authors>
  <commentList>
    <comment ref="A1" authorId="0" shapeId="0" xr:uid="{BA2BBA1C-75AE-4A06-8CD3-A9F0C5B96582}">
      <text>
        <r>
          <rPr>
            <b/>
            <sz val="9"/>
            <color indexed="81"/>
            <rFont val="Tahoma"/>
            <charset val="1"/>
          </rPr>
          <t>&lt;?xml version="1.0" encoding="utf-8"?&gt;&lt;Schema xmlns:xsd="http://www.w3.org/2001/XMLSchema" xmlns:xsi="http://www.w3.org/2001/XMLSchema-instance" Version="2" Timestamp="1764538777"&gt;&lt;FQL&gt;&lt;Q&gt;AMZN-US^FG_PRICE(45657,45657-1AY,,USD)&lt;/Q&gt;&lt;R&gt;253&lt;/R&gt;&lt;C&gt;1&lt;/C&gt;&lt;D xsi:type="xsd:double"&gt;219.39&lt;/D&gt;&lt;D xsi:type="xsd:double"&gt;221.3&lt;/D&gt;&lt;D xsi:type="xsd:double"&gt;223.75&lt;/D&gt;&lt;D xsi:type="xsd:double"&gt;227.05&lt;/D&gt;&lt;D xsi:type="xsd:double"&gt;229.05&lt;/D&gt;&lt;D xsi:type="xsd:double"&gt;225.06&lt;/D&gt;&lt;D xsi:type="xsd:double"&gt;224.92&lt;/D&gt;&lt;D xsi:type="xsd:double"&gt;223.29&lt;/D&gt;&lt;D xsi:type="xsd:double"&gt;220.52&lt;/D&gt;&lt;D xsi:type="xsd:double"&gt;231.15&lt;/D&gt;&lt;D xsi:type="xsd:double"&gt;232.93&lt;/D&gt;&lt;D xsi:type="xsd:double"&gt;227.46&lt;/D&gt;&lt;D xsi:type="xsd:double"&gt;228.97&lt;/D&gt;&lt;D xsi:type="xsd:double"&gt;230.26&lt;/D&gt;&lt;D xsi:type="xsd:double"&gt;225.04&lt;/D&gt;&lt;D xsi:type="xsd:double"&gt;226.09&lt;/D&gt;&lt;D xsi:type="xsd:double"&gt;227.03&lt;/D&gt;&lt;D xsi:type="xsd:double"&gt;220.55&lt;/D&gt;&lt;D xsi:type="xsd:double"&gt;218.16&lt;/D&gt;&lt;D xsi:type="xsd:double"&gt;213.44&lt;/D&gt;&lt;D xsi:type="xsd:double"&gt;210.71&lt;/D&gt;&lt;D xsi:type="xsd:double"&gt;207.89&lt;/D&gt;&lt;D xsi:type="xsd:double"&gt;205.74&lt;/D&gt;&lt;D xsi:type="xsd:double"&gt;207.86&lt;/D&gt;&lt;D xsi:type="xsd:double"&gt;201.45&lt;/D&gt;&lt;D xsi:type="xsd:double"&gt;197.12&lt;/D&gt;&lt;D xsi:type="xsd:double"&gt;198.38&lt;/D&gt;&lt;D xsi:type="xsd:double"&gt;202.88&lt;/D&gt;&lt;D xsi:type="xsd:double"&gt;204.61&lt;/D&gt;&lt;D xsi:type="xsd:double"&gt;201.7&lt;/D&gt;&lt;D xsi:type="xsd:double"&gt;202.61&lt;/D&gt;&lt;D xsi:type="xsd:double"&gt;211.48&lt;/D&gt;&lt;D xsi:type="xsd:double"&gt;214.1&lt;/D&gt;&lt;D xsi:type="xsd:double"&gt;208.91&lt;/D&gt;&lt;D xsi:type="xsd:double"&gt;206.84&lt;/D&gt;&lt;D xsi:type="xsd:double"&gt;208.18&lt;/D&gt;&lt;D xsi:type="xsd:double"&gt;210.05&lt;/D&gt;&lt;D xsi:type="xsd:double"&gt;207.09&lt;/D&gt;&lt;D xsi:type="xsd:double"&gt;199.5&lt;/D&gt;&lt;D xsi:type="xsd:double"&gt;195.78&lt;/D&gt;&lt;D xsi:type="xsd:double"&gt;197.93&lt;/D&gt;&lt;D xsi:type="xsd:double"&gt;186.4&lt;/D&gt;&lt;D xsi:type="xsd:double"&gt;192.73&lt;/D&gt;&lt;D xsi:type="xsd:double"&gt;190.83&lt;/D&gt;&lt;D xsi:type="xsd:double"&gt;188.39&lt;/D&gt;&lt;D xsi:type="xsd:double"&gt;187.83&lt;/D&gt;&lt;D xsi:type="xsd:double"&gt;186.38&lt;/D&gt;&lt;D xsi:type="xsd:double"&gt;184.71&lt;/D&gt;&lt;D xsi:type="xsd:double"&gt;189.7&lt;/D&gt;&lt;D xsi:type="xsd:double"&gt;189.07&lt;/D&gt;&lt;D xsi:type="xsd:double"&gt;188.99&lt;/D&gt;&lt;D xsi:type="xsd:double"&gt;187.53&lt;/D&gt;&lt;D xsi:type="xsd:double"&gt;186.89&lt;/D&gt;&lt;D xsi:type="xsd:double"&gt;187.69&lt;/D&gt;&lt;D xsi:type="xsd:double"&gt;187.54&lt;/D&gt;&lt;D xsi:type="xsd:double"&gt;188.82&lt;/D&gt;&lt;D xsi:type="xsd:double"&gt;186.65&lt;/D&gt;&lt;D xsi:type="xsd:double"&gt;185.17&lt;/D&gt;&lt;D xsi:type="xsd:double"&gt;182.72&lt;/D&gt;&lt;D xsi:type="xsd:double"&gt;180.8&lt;/D&gt;&lt;D xsi:type="xsd:double"&gt;186.51&lt;/D&gt;&lt;D xsi:type="xsd:double"&gt;181.96&lt;/D&gt;&lt;D xsi:type="xsd:double"&gt;184.76&lt;/D&gt;&lt;D xsi:type="xsd:double"&gt;185.13&lt;/D&gt;&lt;D xsi:type="xsd:double"&gt;186.33&lt;/D&gt;&lt;D xsi:type="xsd:double"&gt;187.97&lt;/D&gt;&lt;D xsi:type="xsd:double"&gt;191.16&lt;/D&gt;&lt;D xsi:type="xsd:double"&gt;192.53&lt;/D&gt;&lt;D xsi:type="xsd:double"&gt;193.96&lt;/D&gt;&lt;D xsi:type="xsd:double"&gt;193.88&lt;/D&gt;&lt;D xsi:type="xsd:double"&gt;191.6&lt;/D&gt;&lt;D xsi:type="xsd:double"&gt;189.87&lt;/D&gt;&lt;D xsi:type="xsd:double"&gt;186.43&lt;/D&gt;&lt;D xsi:type="xsd:double"&gt;186.88&lt;/D&gt;&lt;D xsi:type="xsd:double"&gt;184.89&lt;/D&gt;&lt;D xsi:type="xsd:double"&gt;186.49&lt;/D&gt;&lt;D xsi:type="xsd:double"&gt;187&lt;/D&gt;&lt;D xsi:type="xsd:double"&gt;184.52&lt;/D&gt;&lt;D xsi:type="xsd:double"&gt;179.55&lt;/D&gt;&lt;D xsi:type="xsd:double"&gt;175.4&lt;/D&gt;&lt;D xsi:type="xsd:double"&gt;171.39&lt;/D&gt;&lt;D xsi:type="xsd:double"&gt;177.89&lt;/D&gt;&lt;D xsi:type="xsd:double"&gt;173.33&lt;/D&gt;&lt;D xsi:type="xsd:double"&gt;176.25&lt;/D&gt;&lt;D xsi:type="xsd:double"&gt;178.5&lt;/D&gt;&lt;D xsi:type="xsd:double"&gt;172.12&lt;/D&gt;&lt;D xsi:type="xsd:double"&gt;170.8&lt;/D&gt;&lt;D xsi:type="xsd:double"&gt;173.12&lt;/D&gt;&lt;D xsi:type="xsd:double"&gt;175.5&lt;/D&gt;&lt;D xsi:type="xsd:double"&gt;177.04&lt;/D&gt;&lt;D xsi:type="xsd:double"&gt;176.13&lt;/D&gt;&lt;D xsi:type="xsd:double"&gt;180.11&lt;/D&gt;&lt;D xsi:type="xsd:double"&gt;178.88&lt;/D&gt;&lt;D xsi:type="xsd:double"&gt;178.22&lt;/D&gt;&lt;D xsi:type="xsd:double"&gt;177.06&lt;/D&gt;&lt;D xsi:type="xsd:double"&gt;177.59&lt;/D&gt;&lt;D xsi:type="xsd:double"&gt;170.1&lt;/D&gt;&lt;D xsi:type="xsd:double"&gt;170.23&lt;/D&gt;&lt;D xsi:type="xsd:double"&gt;166.8&lt;/D&gt;&lt;D xsi:type="xsd:double"&gt;166.94&lt;/D&gt;&lt;D xsi:type="xsd:double"&gt;165.8&lt;/D&gt;&lt;D xsi:type="xsd:double"&gt;162.77&lt;/D&gt;&lt;D xsi:type="xsd:double"&gt;161.93&lt;/D&gt;&lt;D xsi:type="xsd:double"&gt;161.02&lt;/D&gt;&lt;D xsi:type="xsd:double"&gt;167.9&lt;/D&gt;&lt;D xsi:type="xsd:double"&gt;184.07&lt;/D&gt;&lt;D xsi:type="xsd:double"&gt;186.98&lt;/D&gt;&lt;D xsi:type="xsd:double"&gt;181.71&lt;/D&gt;&lt;D xsi:type="xsd:double"&gt;183.2&lt;/D&gt;&lt;D xsi:type="xsd:double"&gt;182.5&lt;/D&gt;&lt;D xsi:type="xsd:double"&gt;179.85&lt;/D&gt;&lt;D xsi:type="xsd:double"&gt;180.83&lt;/D&gt;&lt;D xsi:type="xsd:double"&gt;186.41&lt;/D&gt;&lt;D xsi:type="xsd:double"&gt;182.55&lt;/D&gt;&lt;D xsi:type="xsd:double"&gt;183.13&lt;/D&gt;&lt;D xsi:type="xsd:double"&gt;183.75&lt;/D&gt;&lt;D xsi:type="xsd:double"&gt;187.93&lt;/D&gt;&lt;D xsi:type="xsd:double"&gt;193.02&lt;/D&gt;&lt;D xsi:type="xsd:double"&gt;192.72&lt;/D&gt;&lt;D xsi:type="xsd:double"&gt;194.49&lt;/D&gt;&lt;D xsi:type="xsd:double"&gt;195.05&lt;/D&gt;&lt;D xsi:type="xsd:double"&gt;199.79&lt;/D&gt;&lt;D xsi:type="xsd:double"&gt;199.34&lt;/D&gt;&lt;D xsi:type="xsd:double"&gt;199.29&lt;/D&gt;&lt;D xsi:type="xsd:double"&gt;200&lt;/D&gt;&lt;D xsi:type="xsd:double"&gt;197.59&lt;/D&gt;&lt;D xsi:type="xsd:double"&gt;200&lt;/D&gt;&lt;D xsi:type="xsd:double"&gt;197.2&lt;/D&gt;&lt;D xsi:type="xsd:double"&gt;193.25&lt;/D&gt;&lt;D xsi:type="xsd:double"&gt;197.85&lt;/D&gt;&lt;D xsi:type="xsd:double"&gt;193.61&lt;/D&gt;&lt;D xsi:type="xsd:double"&gt;186.34&lt;/D&gt;&lt;D xsi:type="xsd:double"&gt;185.57&lt;/D&gt;&lt;D xsi:type="xsd:double"&gt;189.08&lt;/D&gt;&lt;D xsi:type="xsd:double"&gt;186.1&lt;/D&gt;&lt;D xsi:type="xsd:double"&gt;182.81&lt;/D&gt;&lt;D xsi:type="xsd:double"&gt;184.06&lt;/D&gt;&lt;D xsi:type="xsd:double"&gt;183.66&lt;/D&gt;&lt;D xsi:type="xsd:double"&gt;183.83&lt;/D&gt;&lt;D xsi:type="xsd:double"&gt;186.89&lt;/D&gt;&lt;D xsi:type="xsd:double"&gt;187.23&lt;/D&gt;&lt;D xsi:type="xsd:double"&gt;187.06&lt;/D&gt;&lt;D xsi:type="xsd:double"&gt;184.3&lt;/D&gt;&lt;D xsi:type="xsd:double"&gt;185&lt;/D&gt;&lt;D xsi:type="xsd:double"&gt;181.28&lt;/D&gt;&lt;D xsi:type="xsd:double"&gt;179.34&lt;/D&gt;&lt;D xsi:type="xsd:double"&gt;178.34&lt;/D&gt;&lt;D xsi:type="xsd:double"&gt;176.44&lt;/D&gt;&lt;D xsi:type="xsd:double"&gt;179.32&lt;/D&gt;&lt;D xsi:type="xsd:double"&gt;182.02&lt;/D&gt;&lt;D xsi:type="xsd:double"&gt;182.15&lt;/D&gt;&lt;D xsi:type="xsd:double"&gt;180.75&lt;/D&gt;&lt;D xsi:type="xsd:double"&gt;181.05&lt;/D&gt;&lt;D xsi:type="xsd:double"&gt;183.13&lt;/D&gt;&lt;D xsi:type="xsd:double"&gt;183.15&lt;/D&gt;&lt;D xsi:type="xsd:double"&gt;183.54&lt;/D&gt;&lt;D xsi:type="xsd:double"&gt;184.7&lt;/D&gt;&lt;D xsi:type="xsd:double"&gt;183.63&lt;/D&gt;&lt;D xsi:type="xsd:double"&gt;185.99&lt;/D&gt;&lt;D xsi:type="xsd:double"&gt;187.07&lt;/D&gt;&lt;D xsi:type="xsd:double"&gt;186.57&lt;/D&gt;&lt;D xsi:type="xsd:double"&gt;187.48&lt;/D&gt;&lt;D xsi:type="xsd:double"&gt;189.5&lt;/D&gt;&lt;D xsi:type="xsd:double"&gt;188&lt;/D&gt;&lt;D xsi:type="xsd:double"&gt;188.76&lt;/D&gt;&lt;D xsi:type="xsd:double"&gt;188.7&lt;/D&gt;&lt;D xsi:type="xsd:double"&gt;186.21&lt;/D&gt;&lt;D xsi:type="xsd:double"&gt;184.72&lt;/D&gt;&lt;D xsi:type="xsd:double"&gt;179&lt;/D&gt;&lt;D xsi:type="xsd:double"&gt;175&lt;/D&gt;&lt;D xsi:type="xsd:double"&gt;180.96&lt;/D&gt;&lt;D xsi:type="xsd:double"&gt;179.62&lt;/D&gt;&lt;D xsi:type="xsd:double"&gt;173.67&lt;/D&gt;&lt;D xsi:type="xsd:double"&gt;176.59&lt;/D&gt;&lt;D xsi:type="xsd:double"&gt;179.54&lt;/D&gt;&lt;D xsi:type="xsd:double"&gt;177.23&lt;/D&gt;&lt;D xsi:type="xsd:double"&gt;174.63&lt;/D&gt;&lt;D xsi:type="xsd:double"&gt;179.22&lt;/D&gt;&lt;D xsi:type="xsd:double"&gt;181.28&lt;/D&gt;&lt;D xsi:type="xsd:double"&gt;183.32&lt;/D&gt;&lt;D xsi:type="xsd:double"&gt;183.62&lt;/D&gt;&lt;D xsi:type="xsd:double"&gt;186.13&lt;/D&gt;&lt;D xsi:type="xsd:double"&gt;189.05&lt;/D&gt;&lt;D xsi:type="xsd:double"&gt;185.95&lt;/D&gt;&lt;D xsi:type="xsd:double"&gt;185.67&lt;/D&gt;&lt;D xsi:type="xsd:double"&gt;185.19&lt;/D&gt;&lt;D xsi:type="xsd:double"&gt;185.07&lt;/D&gt;&lt;D xsi:type="xsd:double"&gt;180&lt;/D&gt;&lt;D xsi:type="xsd:double"&gt;182.41&lt;/D&gt;&lt;D xsi:type="xsd:double"&gt;180.69&lt;/D&gt;&lt;D xsi:type="xsd:double"&gt;180.97&lt;/D&gt;&lt;D xsi:type="xsd:double"&gt;180.38&lt;/D&gt;&lt;D xsi:type="xsd:double"&gt;179.83&lt;/D&gt;&lt;D xsi:type="xsd:double"&gt;178.3&lt;/D&gt;&lt;D xsi:type="xsd:double"&gt;179.71&lt;/D&gt;&lt;D xsi:type="xsd:double"&gt;178.87&lt;/D&gt;&lt;D xsi:type="xsd:double"&gt;178.15&lt;/D&gt;&lt;D xsi:type="xsd:double"&gt;178.15&lt;/D&gt;&lt;D xsi:type="xsd:double"&gt;175.9&lt;/D&gt;&lt;D xsi:type="xsd:double"&gt;174.48&lt;/D&gt;&lt;D xsi:type="xsd:double"&gt;174.42&lt;/D&gt;&lt;D xsi:type="xsd:double"&gt;178.75&lt;/D&gt;&lt;D xsi:type="xsd:double"&gt;176.555&lt;/D&gt;&lt;D xsi:type="xsd:double"&gt;175.39&lt;/D&gt;&lt;D xsi:type="xsd:double"&gt;171.96&lt;/D&gt;&lt;D xsi:type="xsd:double"&gt;175.35&lt;/D&gt;&lt;D xsi:type="xsd:double"&gt;176.82&lt;/D&gt;&lt;D xsi:type="xsd:double"&gt;173.51&lt;/D&gt;&lt;D xsi:type="xsd:double"&gt;174.12&lt;/D&gt;&lt;D xsi:type="xsd:double"&gt;177.58&lt;/D&gt;&lt;D xsi:type="xsd:double"&gt;178.22&lt;/D&gt;&lt;D xsi:type="xsd:double"&gt;176.76&lt;/D&gt;&lt;D xsi:type="xsd:double"&gt;173.16&lt;/D&gt;&lt;D xsi:type="xsd:double"&gt;173.54&lt;/D&gt;&lt;D xsi:type="xsd:double"&gt;174.73&lt;/D&gt;&lt;D xsi:type="xsd:double"&gt;174.99&lt;/D&gt;&lt;D xsi:type="xsd:double"&gt;174.58&lt;/D&gt;&lt;D xsi:type="xsd:double"&gt;168.59&lt;/D&gt;&lt;D xsi:type="xsd:double"&gt;167.08&lt;/D&gt;&lt;D xsi:type="xsd:double"&gt;169.51&lt;/D&gt;&lt;D xsi:type="xsd:double"&gt;169.8&lt;/D&gt;&lt;D xsi:type="xsd:double"&gt;170.98&lt;/D&gt;&lt;D xsi:type="xsd:double"&gt;168.64&lt;/D&gt;&lt;D xsi:type="xsd:double"&gt;172.34&lt;/D&gt;&lt;D xsi:type="xsd:double"&gt;174.45&lt;/D&gt;&lt;D xsi:type="xsd:double"&gt;169.84&lt;/D&gt;&lt;D xsi:type="xsd:double"&gt;170.53&lt;/D&gt;&lt;D xsi:type="xsd:double"&gt;169.15&lt;/D&gt;&lt;D xsi:type="xsd:double"&gt;170.31&lt;/D&gt;&lt;D xsi:type="xsd:double"&gt;171.81&lt;/D&gt;&lt;D xsi:type="xsd:double"&gt;159.28&lt;/D&gt;&lt;D xsi:type="xsd:double"&gt;155.2&lt;/D&gt;&lt;D xsi:type="xsd:double"&gt;159&lt;/D&gt;&lt;D xsi:type="xsd:double"&gt;161.26&lt;/D&gt;&lt;D xsi:type="xsd:double"&gt;159.12&lt;/D&gt;&lt;D xsi:type="xsd:double"&gt;157.75&lt;/D&gt;&lt;D xsi:type="xsd:double"&gt;156.87&lt;/D&gt;&lt;D xsi:type="xsd:double"&gt;156.02&lt;/D&gt;&lt;D xsi:type="xsd:double"&gt;154.78&lt;/D&gt;&lt;D xsi:type="xsd:double"&gt;155.34&lt;/D&gt;&lt;D xsi:type="xsd:double"&gt;153.5&lt;/D&gt;&lt;D xsi:type="xsd:double"&gt;151.71&lt;/D&gt;&lt;D xsi:type="xsd:double"&gt;153.16&lt;/D&gt;&lt;D xsi:type="xsd:double"&gt;154.62&lt;/D&gt;&lt;D xsi:type="xsd:double"&gt;155.18&lt;/D&gt;&lt;D xsi:type="xsd:double"&gt;153.73&lt;/D&gt;&lt;D xsi:type="xsd:double"&gt;151.37&lt;/D&gt;&lt;D xsi:type="xsd:double"&gt;149.1&lt;/D&gt;&lt;D xsi:type="xsd:double"&gt;145.24&lt;/D&gt;&lt;D xsi:type="xsd:double"&gt;144.57&lt;/D&gt;&lt;D xsi:type="xsd:double"&gt;148.47&lt;/D&gt;&lt;D xsi:type="xsd:double"&gt;149.93&lt;/D&gt;&lt;D xsi:type="xsd:double"&gt;151.94&lt;/D&gt;&lt;/FQL&gt;&lt;FQL&gt;&lt;Q&gt;META-US^FG_PRICE(45657,45657-1AY,,USD)&lt;/Q&gt;&lt;R&gt;253&lt;/R&gt;&lt;C&gt;1&lt;/C&gt;&lt;D xsi:type="xsd:double"&gt;585.51&lt;/D&gt;&lt;D xsi:type="xsd:double"&gt;591.24&lt;/D&gt;&lt;D xsi:type="xsd:double"&gt;599.81&lt;/D&gt;&lt;D xsi:type="xsd:double"&gt;603.35&lt;/D&gt;&lt;D xsi:type="xsd:double"&gt;607.75&lt;/D&gt;&lt;D xsi:type="xsd:double"&gt;599.85&lt;/D&gt;&lt;D xsi:type="xsd:double"&gt;585.25&lt;/D&gt;&lt;D xsi:type="xsd:double"&gt;595.57&lt;/D&gt;&lt;D xsi:type="xsd:double"&gt;597.19&lt;/D&gt;&lt;D xsi:type="xsd:double"&gt;619.44&lt;/D&gt;&lt;D xsi:type="xsd:double"&gt;624.24&lt;/D&gt;&lt;D xsi:type="xsd:double"&gt;620.35&lt;/D&gt;&lt;D xsi:type="xsd:double"&gt;630.79&lt;/D&gt;&lt;D xsi:type="xsd:double"&gt;632.68&lt;/D&gt;&lt;D xsi:type="xsd:double"&gt;619.32&lt;/D&gt;&lt;D xsi:type="xsd:double"&gt;613.57&lt;/D&gt;&lt;D xsi:type="xsd:double"&gt;623.77&lt;/D&gt;&lt;D xsi:type="xsd:double"&gt;608.93&lt;/D&gt;&lt;D xsi:type="xsd:double"&gt;613.78&lt;/D&gt;&lt;D xsi:type="xsd:double"&gt;613.65&lt;/D&gt;&lt;D xsi:type="xsd:double"&gt;592.83&lt;/D&gt;&lt;D xsi:type="xsd:double"&gt;574.32&lt;/D&gt;&lt;D xsi:type="xsd:double"&gt;569.2&lt;/D&gt;&lt;D xsi:type="xsd:double"&gt;573.54&lt;/D&gt;&lt;D xsi:type="xsd:double"&gt;565.11&lt;/D&gt;&lt;D xsi:type="xsd:double"&gt;559.14&lt;/D&gt;&lt;D xsi:type="xsd:double"&gt;563.09&lt;/D&gt;&lt;D xsi:type="xsd:double"&gt;565.52&lt;/D&gt;&lt;D xsi:type="xsd:double"&gt;561.09&lt;/D&gt;&lt;D xsi:type="xsd:double"&gt;554.4&lt;/D&gt;&lt;D xsi:type="xsd:double"&gt;554.08&lt;/D&gt;&lt;D xsi:type="xsd:double"&gt;577.16&lt;/D&gt;&lt;D xsi:type="xsd:double"&gt;580&lt;/D&gt;&lt;D xsi:type="xsd:double"&gt;584.82&lt;/D&gt;&lt;D xsi:type="xsd:double"&gt;583.17&lt;/D&gt;&lt;D xsi:type="xsd:double"&gt;589.34&lt;/D&gt;&lt;D xsi:type="xsd:double"&gt;591.7&lt;/D&gt;&lt;D xsi:type="xsd:double"&gt;572.05&lt;/D&gt;&lt;D xsi:type="xsd:double"&gt;572.43&lt;/D&gt;&lt;D xsi:type="xsd:double"&gt;560.68&lt;/D&gt;&lt;D xsi:type="xsd:double"&gt;567.16&lt;/D&gt;&lt;D xsi:type="xsd:double"&gt;567.58&lt;/D&gt;&lt;D xsi:type="xsd:double"&gt;591.8&lt;/D&gt;&lt;D xsi:type="xsd:double"&gt;593.28&lt;/D&gt;&lt;D xsi:type="xsd:double"&gt;578.16&lt;/D&gt;&lt;D xsi:type="xsd:double"&gt;573.25&lt;/D&gt;&lt;D xsi:type="xsd:double"&gt;567.78&lt;/D&gt;&lt;D xsi:type="xsd:double"&gt;563.69&lt;/D&gt;&lt;D xsi:type="xsd:double"&gt;582.01&lt;/D&gt;&lt;D xsi:type="xsd:double"&gt;575.16&lt;/D&gt;&lt;D xsi:type="xsd:double"&gt;576.47&lt;/D&gt;&lt;D xsi:type="xsd:double"&gt;576.93&lt;/D&gt;&lt;D xsi:type="xsd:double"&gt;576.79&lt;/D&gt;&lt;D xsi:type="xsd:double"&gt;586.27&lt;/D&gt;&lt;D xsi:type="xsd:double"&gt;590.42&lt;/D&gt;&lt;D xsi:type="xsd:double"&gt;589.95&lt;/D&gt;&lt;D xsi:type="xsd:double"&gt;583.83&lt;/D&gt;&lt;D xsi:type="xsd:double"&gt;590.51&lt;/D&gt;&lt;D xsi:type="xsd:double"&gt;592.89&lt;/D&gt;&lt;D xsi:type="xsd:double"&gt;584.78&lt;/D&gt;&lt;D xsi:type="xsd:double"&gt;595.94&lt;/D&gt;&lt;D xsi:type="xsd:double"&gt;582.77&lt;/D&gt;&lt;D xsi:type="xsd:double"&gt;572.81&lt;/D&gt;&lt;D xsi:type="xsd:double"&gt;576.47&lt;/D&gt;&lt;D xsi:type="xsd:double"&gt;572.44&lt;/D&gt;&lt;D xsi:type="xsd:double"&gt;567.36&lt;/D&gt;&lt;D xsi:type="xsd:double"&gt;567.84&lt;/D&gt;&lt;D xsi:type="xsd:double"&gt;568.31&lt;/D&gt;&lt;D xsi:type="xsd:double"&gt;563.33&lt;/D&gt;&lt;D xsi:type="xsd:double"&gt;564.41&lt;/D&gt;&lt;D xsi:type="xsd:double"&gt;561.35&lt;/D&gt;&lt;D xsi:type="xsd:double"&gt;559.1&lt;/D&gt;&lt;D xsi:type="xsd:double"&gt;537.95&lt;/D&gt;&lt;D xsi:type="xsd:double"&gt;536.315&lt;/D&gt;&lt;D xsi:type="xsd:double"&gt;533.28&lt;/D&gt;&lt;D xsi:type="xsd:double"&gt;524.62&lt;/D&gt;&lt;D xsi:type="xsd:double"&gt;525.6&lt;/D&gt;&lt;D xsi:type="xsd:double"&gt;511.83&lt;/D&gt;&lt;D xsi:type="xsd:double"&gt;504.79&lt;/D&gt;&lt;D xsi:type="xsd:double"&gt;504.79&lt;/D&gt;&lt;D xsi:type="xsd:double"&gt;500.27&lt;/D&gt;&lt;D xsi:type="xsd:double"&gt;516.86&lt;/D&gt;&lt;D xsi:type="xsd:double"&gt;512.74&lt;/D&gt;&lt;D xsi:type="xsd:double"&gt;511.76&lt;/D&gt;&lt;D xsi:type="xsd:double"&gt;521.31&lt;/D&gt;&lt;D xsi:type="xsd:double"&gt;518.22&lt;/D&gt;&lt;D xsi:type="xsd:double"&gt;516.78&lt;/D&gt;&lt;D xsi:type="xsd:double"&gt;519.1&lt;/D&gt;&lt;D xsi:type="xsd:double"&gt;521.12&lt;/D&gt;&lt;D xsi:type="xsd:double"&gt;528&lt;/D&gt;&lt;D xsi:type="xsd:double"&gt;531.93&lt;/D&gt;&lt;D xsi:type="xsd:double"&gt;535.16&lt;/D&gt;&lt;D xsi:type="xsd:double"&gt;526.73&lt;/D&gt;&lt;D xsi:type="xsd:double"&gt;529.28&lt;/D&gt;&lt;D xsi:type="xsd:double"&gt;527.42&lt;/D&gt;&lt;D xsi:type="xsd:double"&gt;537.33&lt;/D&gt;&lt;D xsi:type="xsd:double"&gt;526.76&lt;/D&gt;&lt;D xsi:type="xsd:double"&gt;528.54&lt;/D&gt;&lt;D xsi:type="xsd:double"&gt;515.95&lt;/D&gt;&lt;D xsi:type="xsd:double"&gt;517.77&lt;/D&gt;&lt;D xsi:type="xsd:double"&gt;509.63&lt;/D&gt;&lt;D xsi:type="xsd:double"&gt;488.92&lt;/D&gt;&lt;D xsi:type="xsd:double"&gt;494.09&lt;/D&gt;&lt;D xsi:type="xsd:double"&gt;475.73&lt;/D&gt;&lt;D xsi:type="xsd:double"&gt;488.14&lt;/D&gt;&lt;D xsi:type="xsd:double"&gt;497.74&lt;/D&gt;&lt;D xsi:type="xsd:double"&gt;474.83&lt;/D&gt;&lt;D xsi:type="xsd:double"&gt;463.19&lt;/D&gt;&lt;D xsi:type="xsd:double"&gt;465.71&lt;/D&gt;&lt;D xsi:type="xsd:double"&gt;465.7&lt;/D&gt;&lt;D xsi:type="xsd:double"&gt;453.41&lt;/D&gt;&lt;D xsi:type="xsd:double"&gt;461.27&lt;/D&gt;&lt;D xsi:type="xsd:double"&gt;488.69&lt;/D&gt;&lt;D xsi:type="xsd:double"&gt;487.4&lt;/D&gt;&lt;D xsi:type="xsd:double"&gt;476.79&lt;/D&gt;&lt;D xsi:type="xsd:double"&gt;475.85&lt;/D&gt;&lt;D xsi:type="xsd:double"&gt;461.99&lt;/D&gt;&lt;D xsi:type="xsd:double"&gt;489.79&lt;/D&gt;&lt;D xsi:type="xsd:double"&gt;496.16&lt;/D&gt;&lt;D xsi:type="xsd:double"&gt;498.87&lt;/D&gt;&lt;D xsi:type="xsd:double"&gt;512.7&lt;/D&gt;&lt;D xsi:type="xsd:double"&gt;534.69&lt;/D&gt;&lt;D xsi:type="xsd:double"&gt;530&lt;/D&gt;&lt;D xsi:type="xsd:double"&gt;529.32&lt;/D&gt;&lt;D xsi:type="xsd:double"&gt;539.91&lt;/D&gt;&lt;D xsi:type="xsd:double"&gt;509.96&lt;/D&gt;&lt;D xsi:type="xsd:double"&gt;509.5&lt;/D&gt;&lt;D xsi:type="xsd:double"&gt;504.68&lt;/D&gt;&lt;D xsi:type="xsd:double"&gt;504.22&lt;/D&gt;&lt;D xsi:type="xsd:double"&gt;519.56&lt;/D&gt;&lt;D xsi:type="xsd:double"&gt;513.12&lt;/D&gt;&lt;D xsi:type="xsd:double"&gt;510.6&lt;/D&gt;&lt;D xsi:type="xsd:double"&gt;498.91&lt;/D&gt;&lt;D xsi:type="xsd:double"&gt;494.78&lt;/D&gt;&lt;D xsi:type="xsd:double"&gt;501.7&lt;/D&gt;&lt;D xsi:type="xsd:double"&gt;499.49&lt;/D&gt;&lt;D xsi:type="xsd:double"&gt;506.63&lt;/D&gt;&lt;D xsi:type="xsd:double"&gt;504.16&lt;/D&gt;&lt;D xsi:type="xsd:double"&gt;504.1&lt;/D&gt;&lt;D xsi:type="xsd:double"&gt;508.84&lt;/D&gt;&lt;D xsi:type="xsd:double"&gt;507.47&lt;/D&gt;&lt;D xsi:type="xsd:double"&gt;502.6&lt;/D&gt;&lt;D xsi:type="xsd:double"&gt;492.96&lt;/D&gt;&lt;D xsi:type="xsd:double"&gt;493.76&lt;/D&gt;&lt;D xsi:type="xsd:double"&gt;495.06&lt;/D&gt;&lt;D xsi:type="xsd:double"&gt;476.99&lt;/D&gt;&lt;D xsi:type="xsd:double"&gt;477.49&lt;/D&gt;&lt;D xsi:type="xsd:double"&gt;466.83&lt;/D&gt;&lt;D xsi:type="xsd:double"&gt;467.05&lt;/D&gt;&lt;D xsi:type="xsd:double"&gt;474.36&lt;/D&gt;&lt;D xsi:type="xsd:double"&gt;479.92&lt;/D&gt;&lt;D xsi:type="xsd:double"&gt;478.22&lt;/D&gt;&lt;D xsi:type="xsd:double"&gt;465.78&lt;/D&gt;&lt;D xsi:type="xsd:double"&gt;467.78&lt;/D&gt;&lt;D xsi:type="xsd:double"&gt;464.63&lt;/D&gt;&lt;D xsi:type="xsd:double"&gt;468.84&lt;/D&gt;&lt;D xsi:type="xsd:double"&gt;471.91&lt;/D&gt;&lt;D xsi:type="xsd:double"&gt;473.23&lt;/D&gt;&lt;D xsi:type="xsd:double"&gt;481.54&lt;/D&gt;&lt;D xsi:type="xsd:double"&gt;471.85&lt;/D&gt;&lt;D xsi:type="xsd:double"&gt;468.01&lt;/D&gt;&lt;D xsi:type="xsd:double"&gt;476.2&lt;/D&gt;&lt;D xsi:type="xsd:double"&gt;475.42&lt;/D&gt;&lt;D xsi:type="xsd:double"&gt;472.6&lt;/D&gt;&lt;D xsi:type="xsd:double"&gt;468.24&lt;/D&gt;&lt;D xsi:type="xsd:double"&gt;465.68&lt;/D&gt;&lt;D xsi:type="xsd:double"&gt;451.96&lt;/D&gt;&lt;D xsi:type="xsd:double"&gt;441.68&lt;/D&gt;&lt;D xsi:type="xsd:double"&gt;439.19&lt;/D&gt;&lt;D xsi:type="xsd:double"&gt;430.17&lt;/D&gt;&lt;D xsi:type="xsd:double"&gt;432.62&lt;/D&gt;&lt;D xsi:type="xsd:double"&gt;443.29&lt;/D&gt;&lt;D xsi:type="xsd:double"&gt;441.38&lt;/D&gt;&lt;D xsi:type="xsd:double"&gt;493.5&lt;/D&gt;&lt;D xsi:type="xsd:double"&gt;496.1&lt;/D&gt;&lt;D xsi:type="xsd:double"&gt;481.73&lt;/D&gt;&lt;D xsi:type="xsd:double"&gt;481.07&lt;/D&gt;&lt;D xsi:type="xsd:double"&gt;501.8&lt;/D&gt;&lt;D xsi:type="xsd:double"&gt;494.17&lt;/D&gt;&lt;D xsi:type="xsd:double"&gt;499.76&lt;/D&gt;&lt;D xsi:type="xsd:double"&gt;500.23&lt;/D&gt;&lt;D xsi:type="xsd:double"&gt;511.9&lt;/D&gt;&lt;D xsi:type="xsd:double"&gt;523.16&lt;/D&gt;&lt;D xsi:type="xsd:double"&gt;519.83&lt;/D&gt;&lt;D xsi:type="xsd:double"&gt;516.9&lt;/D&gt;&lt;D xsi:type="xsd:double"&gt;519.25&lt;/D&gt;&lt;D xsi:type="xsd:double"&gt;527.34&lt;/D&gt;&lt;D xsi:type="xsd:double"&gt;510.92&lt;/D&gt;&lt;D xsi:type="xsd:double"&gt;506.74&lt;/D&gt;&lt;D xsi:type="xsd:double"&gt;497.37&lt;/D&gt;&lt;D xsi:type="xsd:double"&gt;491.35&lt;/D&gt;&lt;D xsi:type="xsd:double"&gt;485.58&lt;/D&gt;&lt;D xsi:type="xsd:double"&gt;493.86&lt;/D&gt;&lt;D xsi:type="xsd:double"&gt;495.89&lt;/D&gt;&lt;D xsi:type="xsd:double"&gt;503.02&lt;/D&gt;&lt;D xsi:type="xsd:double"&gt;509.58&lt;/D&gt;&lt;D xsi:type="xsd:double"&gt;507.76&lt;/D&gt;&lt;D xsi:type="xsd:double"&gt;505.52&lt;/D&gt;&lt;D xsi:type="xsd:double"&gt;496.24&lt;/D&gt;&lt;D xsi:type="xsd:double"&gt;496.98&lt;/D&gt;&lt;D xsi:type="xsd:double"&gt;484.1&lt;/D&gt;&lt;D xsi:type="xsd:double"&gt;491.83&lt;/D&gt;&lt;D xsi:type="xsd:double"&gt;495.57&lt;/D&gt;&lt;D xsi:type="xsd:double"&gt;499.75&lt;/D&gt;&lt;D xsi:type="xsd:double"&gt;483.59&lt;/D&gt;&lt;D xsi:type="xsd:double"&gt;505.95&lt;/D&gt;&lt;D xsi:type="xsd:double"&gt;512.19&lt;/D&gt;&lt;D xsi:type="xsd:double"&gt;496.09&lt;/D&gt;&lt;D xsi:type="xsd:double"&gt;490.22&lt;/D&gt;&lt;D xsi:type="xsd:double"&gt;498.19&lt;/D&gt;&lt;D xsi:type="xsd:double"&gt;502.3&lt;/D&gt;&lt;D xsi:type="xsd:double"&gt;490.13&lt;/D&gt;&lt;D xsi:type="xsd:double"&gt;484.02&lt;/D&gt;&lt;D xsi:type="xsd:double"&gt;487.05&lt;/D&gt;&lt;D xsi:type="xsd:double"&gt;481.74&lt;/D&gt;&lt;D xsi:type="xsd:double"&gt;484.03&lt;/D&gt;&lt;D xsi:type="xsd:double"&gt;486.13&lt;/D&gt;&lt;D xsi:type="xsd:double"&gt;468.03&lt;/D&gt;&lt;D xsi:type="xsd:double"&gt;471.75&lt;/D&gt;&lt;D xsi:type="xsd:double"&gt;473.32&lt;/D&gt;&lt;D xsi:type="xsd:double"&gt;484.03&lt;/D&gt;&lt;D xsi:type="xsd:double"&gt;473.28&lt;/D&gt;&lt;D xsi:type="xsd:double"&gt;460.12&lt;/D&gt;&lt;D xsi:type="xsd:double"&gt;468.9&lt;/D&gt;&lt;D xsi:type="xsd:double"&gt;468.11&lt;/D&gt;&lt;D xsi:type="xsd:double"&gt;470&lt;/D&gt;&lt;D xsi:type="xsd:double"&gt;469.59&lt;/D&gt;&lt;D xsi:type="xsd:double"&gt;454.72&lt;/D&gt;&lt;D xsi:type="xsd:double"&gt;459.41&lt;/D&gt;&lt;D xsi:type="xsd:double"&gt;474.99&lt;/D&gt;&lt;D xsi:type="xsd:double"&gt;394.78&lt;/D&gt;&lt;D xsi:type="xsd:double"&gt;390.14&lt;/D&gt;&lt;D xsi:type="xsd:double"&gt;400.06&lt;/D&gt;&lt;D xsi:type="xsd:double"&gt;401.02&lt;/D&gt;&lt;D xsi:type="xsd:double"&gt;394.14&lt;/D&gt;&lt;D xsi:type="xsd:double"&gt;393.18&lt;/D&gt;&lt;D xsi:type="xsd:double"&gt;390.7&lt;/D&gt;&lt;D xsi:type="xsd:double"&gt;385.2&lt;/D&gt;&lt;D xsi:type="xsd:double"&gt;381.78&lt;/D&gt;&lt;D xsi:type="xsd:double"&gt;383.45&lt;/D&gt;&lt;D xsi:type="xsd:double"&gt;376.13&lt;/D&gt;&lt;D xsi:type="xsd:double"&gt;368.37&lt;/D&gt;&lt;D xsi:type="xsd:double"&gt;367.46&lt;/D&gt;&lt;D xsi:type="xsd:double"&gt;374.49&lt;/D&gt;&lt;D xsi:type="xsd:double"&gt;369.67&lt;/D&gt;&lt;D xsi:type="xsd:double"&gt;370.47&lt;/D&gt;&lt;D xsi:type="xsd:double"&gt;357.43&lt;/D&gt;&lt;D xsi:type="xsd:double"&gt;358.66&lt;/D&gt;&lt;D xsi:type="xsd:double"&gt;351.95&lt;/D&gt;&lt;D xsi:type="xsd:double"&gt;347.12&lt;/D&gt;&lt;D xsi:type="xsd:double"&gt;344.47&lt;/D&gt;&lt;D xsi:type="xsd:double"&gt;346.29&lt;/D&gt;&lt;D xsi:type="xsd:double"&gt;353.96&lt;/D&gt;&lt;/FQL&gt;&lt;FQL&gt;&lt;Q&gt;META-US^JULIAN(FG_PRICE(45657,45657-1AY,,USD).DATES)&lt;/Q&gt;&lt;R&gt;253&lt;/R&gt;&lt;C&gt;1&lt;/C&gt;&lt;D xsi:type="xsd:long"&gt;45657&lt;/D&gt;&lt;D xsi:type="xsd:long"&gt;45656&lt;/D&gt;&lt;D xsi:type="xsd:long"&gt;45653&lt;/D&gt;&lt;D xsi:type="xsd:long"&gt;45652&lt;/D&gt;&lt;D xsi:type="xsd:long"&gt;45650&lt;/D&gt;&lt;D xsi:type="xsd:long"&gt;45649&lt;/D&gt;&lt;D xsi:type="xsd:long"&gt;45646&lt;/D&gt;&lt;D xsi:type="xsd:long"&gt;45645&lt;/D&gt;&lt;D xsi:type="xsd:long"&gt;45644&lt;/D&gt;&lt;D xsi:type="xsd:long"&gt;45643&lt;/D&gt;&lt;D xsi:type="xsd:long"&gt;45642&lt;/D&gt;&lt;D xsi:type="xsd:long"&gt;45639&lt;/D&gt;&lt;D xsi:type="xsd:long"&gt;45638&lt;/D&gt;&lt;D xsi:type="xsd:long"&gt;45637&lt;/D&gt;&lt;D xsi:type="xsd:long"&gt;45636&lt;/D&gt;&lt;D xsi:type="xsd:long"&gt;45635&lt;/D&gt;&lt;D xsi:type="xsd:long"&gt;45632&lt;/D&gt;&lt;D xsi:type="xsd:long"&gt;45631&lt;/D&gt;&lt;D xsi:type="xsd:long"&gt;45630&lt;/D&gt;&lt;D xsi:type="xsd:long"&gt;45629&lt;/D&gt;&lt;D xsi:type="xsd:long"&gt;45628&lt;/D&gt;&lt;D xsi:type="xsd:long"&gt;45625&lt;/D&gt;&lt;D xsi:type="xsd:long"&gt;45623&lt;/D&gt;&lt;D xsi:type="xsd:long"&gt;45622&lt;/D&gt;&lt;D xsi:type="xsd:long"&gt;45621&lt;/D&gt;&lt;D xsi:type="xsd:long"&gt;45618&lt;/D&gt;&lt;D xsi:type="xsd:long"&gt;45617&lt;/D&gt;&lt;D xsi:type="xsd:long"&gt;45616&lt;/D&gt;&lt;D xsi:type="xsd:long"&gt;45615&lt;/D&gt;&lt;D xsi:type="xsd:long"&gt;45614&lt;/D&gt;&lt;D xsi:type="xsd:long"&gt;45611&lt;/D&gt;&lt;D xsi:type="xsd:long"&gt;45610&lt;/D&gt;&lt;D xsi:type="xsd:long"&gt;45609&lt;/D&gt;&lt;D xsi:type="xsd:long"&gt;45608&lt;/D&gt;&lt;D xsi:type="xsd:long"&gt;45607&lt;/D&gt;&lt;D xsi:type="xsd:long"&gt;45604&lt;/D&gt;&lt;D xsi:type="xsd:long"&gt;45603&lt;/D&gt;&lt;D xsi:type="xsd:long"&gt;45602&lt;/D&gt;&lt;D xsi:type="xsd:long"&gt;45601&lt;/D&gt;&lt;D xsi:type="xsd:long"&gt;45600&lt;/D&gt;&lt;D xsi:type="xsd:long"&gt;45597&lt;/D&gt;&lt;D xsi:type="xsd:long"&gt;45596&lt;/D&gt;&lt;D xsi:type="xsd:long"&gt;45595&lt;/D&gt;&lt;D xsi:type="xsd:long"&gt;45594&lt;/D&gt;&lt;D xsi:type="xsd:long"&gt;45593&lt;/D&gt;&lt;D xsi:type="xsd:long"&gt;45590&lt;/D&gt;&lt;D xsi:type="xsd:long"&gt;45589&lt;/D&gt;&lt;D xsi:type="xsd:long"&gt;45588&lt;/D&gt;&lt;D xsi:type="xsd:long"&gt;45587&lt;/D&gt;&lt;D xsi:type="xsd:long"&gt;45586&lt;/D&gt;&lt;D xsi:type="xsd:long"&gt;45583&lt;/D&gt;&lt;D xsi:type="xsd:long"&gt;45582&lt;/D&gt;&lt;D xsi:type="xsd:long"&gt;45581&lt;/D&gt;&lt;D xsi:type="xsd:long"&gt;45580&lt;/D&gt;&lt;D xsi:type="xsd:long"&gt;45579&lt;/D&gt;&lt;D xsi:type="xsd:long"&gt;45576&lt;/D&gt;&lt;D xsi:type="xsd:long"&gt;45575&lt;/D&gt;&lt;D xsi:type="xsd:long"&gt;45574&lt;/D&gt;&lt;D xsi:type="xsd:long"&gt;45573&lt;/D&gt;&lt;D xsi:type="xsd:long"&gt;45572&lt;/D&gt;&lt;D xsi:type="xsd:long"&gt;45569&lt;/D&gt;&lt;D xsi:type="xsd:long"&gt;45568&lt;/D&gt;&lt;D xsi:type="xsd:long"&gt;45567&lt;/D&gt;&lt;D xsi:type="xsd:long"&gt;45566&lt;/D&gt;&lt;D xsi:type="xsd:long"&gt;45565&lt;/D&gt;&lt;D xsi:type="xsd:long"&gt;45562&lt;/D&gt;&lt;D xsi:type="xsd:long"&gt;45561&lt;/D&gt;&lt;D xsi:type="xsd:long"&gt;45560&lt;/D&gt;&lt;D xsi:type="xsd:long"&gt;45559&lt;/D&gt;&lt;D xsi:type="xsd:long"&gt;45558&lt;/D&gt;&lt;D xsi:type="xsd:long"&gt;45555&lt;/D&gt;&lt;D xsi:type="xsd:long"&gt;45554&lt;/D&gt;&lt;D xsi:type="xsd:long"&gt;45553&lt;/D&gt;&lt;D xsi:type="xsd:long"&gt;45552&lt;/D&gt;&lt;D xsi:type="xsd:long"&gt;45551&lt;/D&gt;&lt;D xsi:type="xsd:long"&gt;45548&lt;/D&gt;&lt;D xsi:type="xsd:long"&gt;45547&lt;/D&gt;&lt;D xsi:type="xsd:long"&gt;45546&lt;/D&gt;&lt;D xsi:type="xsd:long"&gt;45545&lt;/D&gt;&lt;D xsi:type="xsd:long"&gt;45544&lt;/D&gt;&lt;D xsi:type="xsd:long"&gt;45541&lt;/D&gt;&lt;D xsi:type="xsd:long"&gt;45540&lt;/D&gt;&lt;D xsi:type="xsd:long"&gt;45539&lt;/D&gt;&lt;D xsi:type="xsd:long"&gt;45538&lt;/D&gt;&lt;D xsi:type="xsd:long"&gt;45534&lt;/D&gt;&lt;D xsi:type="xsd:long"&gt;45533&lt;/D&gt;&lt;D xsi:type="xsd:long"&gt;45532&lt;/D&gt;&lt;D xsi:type="xsd:long"&gt;45531&lt;/D&gt;&lt;D xsi:type="xsd:long"&gt;45530&lt;/D&gt;&lt;D xsi:type="xsd:long"&gt;45527&lt;/D&gt;&lt;D xsi:type="xsd:long"&gt;45526&lt;/D&gt;&lt;D xsi:type="xsd:long"&gt;45525&lt;/D&gt;&lt;D xsi:type="xsd:long"&gt;45524&lt;/D&gt;&lt;D xsi:type="xsd:long"&gt;45523&lt;/D&gt;&lt;D xsi:type="xsd:long"&gt;45520&lt;/D&gt;&lt;D xsi:type="xsd:long"&gt;45519&lt;/D&gt;&lt;D xsi:type="xsd:long"&gt;45518&lt;/D&gt;&lt;D xsi:type="xsd:long"&gt;45517&lt;/D&gt;&lt;D xsi:type="xsd:long"&gt;45516&lt;/D&gt;&lt;D xsi:type="xsd:long"&gt;45513&lt;/D&gt;&lt;D xsi:type="xsd:long"&gt;45512&lt;/D&gt;&lt;D xsi:type="xsd:long"&gt;45511&lt;/D&gt;&lt;D xsi:type="xsd:long"&gt;45510&lt;/D&gt;&lt;D xsi:type="xsd:long"&gt;45509&lt;/D&gt;&lt;D xsi:type="xsd:long"&gt;45506&lt;/D&gt;&lt;D xsi:type="xsd:long"&gt;45505&lt;/D&gt;&lt;D xsi:type="xsd:long"&gt;45504&lt;/D&gt;&lt;D xsi:type="xsd:long"&gt;45503&lt;/D&gt;&lt;D xsi:type="xsd:long"&gt;45502&lt;/D&gt;&lt;D xsi:type="xsd:long"&gt;45499&lt;/D&gt;&lt;D xsi:type="xsd:long"&gt;45498&lt;/D&gt;&lt;D xsi:type="xsd:long"&gt;45497&lt;/D&gt;&lt;D xsi:type="xsd:long"&gt;45496&lt;/D&gt;&lt;D xsi:type="xsd:long"&gt;45495&lt;/D&gt;&lt;D xsi:type="xsd:long"&gt;45492&lt;/D&gt;&lt;D xsi:type="xsd:long"&gt;45491&lt;/D&gt;&lt;D xsi:type="xsd:long"&gt;45490&lt;/D&gt;&lt;D xsi:type="xsd:long"&gt;45489&lt;/D&gt;&lt;D xsi:type="xsd:long"&gt;45488&lt;/D&gt;&lt;D xsi:type="xsd:long"&gt;45485&lt;/D&gt;&lt;D xsi:type="xsd:long"&gt;45484&lt;/D&gt;&lt;D xsi:type="xsd:long"&gt;45483&lt;/D&gt;&lt;D xsi:type="xsd:long"&gt;45482&lt;/D&gt;&lt;D xsi:type="xsd:long"&gt;45481&lt;/D&gt;&lt;D xsi:type="xsd:long"&gt;45478&lt;/D&gt;&lt;D xsi:type="xsd:long"&gt;45476&lt;/D&gt;&lt;D xsi:type="xsd:long"&gt;45475&lt;/D&gt;&lt;D xsi:type="xsd:long"&gt;45474&lt;/D&gt;&lt;D xsi:type="xsd:long"&gt;45471&lt;/D&gt;&lt;D xsi:type="xsd:long"&gt;45470&lt;/D&gt;&lt;D xsi:type="xsd:long"&gt;45469&lt;/D&gt;&lt;D xsi:type="xsd:long"&gt;45468&lt;/D&gt;&lt;D xsi:type="xsd:long"&gt;45467&lt;/D&gt;&lt;D xsi:type="xsd:long"&gt;45464&lt;/D&gt;&lt;D xsi:type="xsd:long"&gt;45463&lt;/D&gt;&lt;D xsi:type="xsd:long"&gt;45461&lt;/D&gt;&lt;D xsi:type="xsd:long"&gt;45460&lt;/D&gt;&lt;D xsi:type="xsd:long"&gt;45457&lt;/D&gt;&lt;D xsi:type="xsd:long"&gt;45456&lt;/D&gt;&lt;D xsi:type="xsd:long"&gt;45455&lt;/D&gt;&lt;D xsi:type="xsd:long"&gt;45454&lt;/D&gt;&lt;D xsi:type="xsd:long"&gt;45453&lt;/D&gt;&lt;D xsi:type="xsd:long"&gt;45450&lt;/D&gt;&lt;D xsi:type="xsd:long"&gt;45449&lt;/D&gt;&lt;D xsi:type="xsd:long"&gt;45448&lt;/D&gt;&lt;D xsi:type="xsd:long"&gt;45447&lt;/D&gt;&lt;D xsi:type="xsd:long"&gt;45446&lt;/D&gt;&lt;D xsi:type="xsd:long"&gt;45443&lt;/D&gt;&lt;D xsi:type="xsd:long"&gt;45442&lt;/D&gt;&lt;D xsi:type="xsd:long"&gt;45441&lt;/D&gt;&lt;D xsi:type="xsd:long"&gt;45440&lt;/D&gt;&lt;D xsi:type="xsd:long"&gt;45436&lt;/D&gt;&lt;D xsi:type="xsd:long"&gt;45435&lt;/D&gt;&lt;D xsi:type="xsd:long"&gt;45434&lt;/D&gt;&lt;D xsi:type="xsd:long"&gt;45433&lt;/D&gt;&lt;D xsi:type="xsd:long"&gt;45432&lt;/D&gt;&lt;D xsi:type="xsd:long"&gt;45429&lt;/D&gt;&lt;D xsi:type="xsd:long"&gt;45428&lt;/D&gt;&lt;D xsi:type="xsd:long"&gt;45427&lt;/D&gt;&lt;D xsi:type="xsd:long"&gt;45426&lt;/D&gt;&lt;D xsi:type="xsd:long"&gt;45425&lt;/D&gt;&lt;D xsi:type="xsd:long"&gt;45422&lt;/D&gt;&lt;D xsi:type="xsd:long"&gt;45421&lt;/D&gt;&lt;D xsi:type="xsd:long"&gt;45420&lt;/D&gt;&lt;D xsi:type="xsd:long"&gt;45419&lt;/D&gt;&lt;D xsi:type="xsd:long"&gt;45418&lt;/D&gt;&lt;D xsi:type="xsd:long"&gt;45415&lt;/D&gt;&lt;D xsi:type="xsd:long"&gt;45414&lt;/D&gt;&lt;D xsi:type="xsd:long"&gt;45413&lt;/D&gt;&lt;D xsi:type="xsd:long"&gt;45412&lt;/D&gt;&lt;D xsi:type="xsd:long"&gt;45411&lt;/D&gt;&lt;D xsi:type="xsd:long"&gt;45408&lt;/D&gt;&lt;D xsi:type="xsd:long"&gt;45407&lt;/D&gt;&lt;D xsi:type="xsd:long"&gt;45406&lt;/D&gt;&lt;D xsi:type="xsd:long"&gt;45405&lt;/D&gt;&lt;D xsi:type="xsd:long"&gt;45404&lt;/D&gt;&lt;D xsi:type="xsd:long"&gt;45401&lt;/D&gt;&lt;D xsi:type="xsd:long"&gt;45400&lt;/D&gt;&lt;D xsi:type="xsd:long"&gt;45399&lt;/D&gt;&lt;D xsi:type="xsd:long"&gt;45398&lt;/D&gt;&lt;D xsi:type="xsd:long"&gt;45397&lt;/D&gt;&lt;D xsi:type="xsd:long"&gt;45394&lt;/D&gt;&lt;D xsi:type="xsd:long"&gt;45393&lt;/D&gt;&lt;D xsi:type="xsd:long"&gt;45392&lt;/D&gt;&lt;D xsi:type="xsd:long"&gt;45391&lt;/D&gt;&lt;D xsi:type="xsd:long"&gt;45390&lt;/D&gt;&lt;D xsi:type="xsd:long"&gt;45387&lt;/D&gt;&lt;D xsi:type="xsd:long"&gt;45386&lt;/D&gt;&lt;D xsi:type="xsd:long"&gt;45385&lt;/D&gt;&lt;D xsi:type="xsd:long"&gt;45384&lt;/D&gt;&lt;D xsi:type="xsd:long"&gt;45383&lt;/D&gt;&lt;D xsi:type="xsd:long"&gt;45379&lt;/D&gt;&lt;D xsi:type="xsd:long"&gt;45378&lt;/D&gt;&lt;D xsi:type="xsd:long"&gt;45377&lt;/D&gt;&lt;D xsi:type="xsd:long"&gt;45376&lt;/D&gt;&lt;D xsi:type="xsd:long"&gt;45373&lt;/D&gt;&lt;D xsi:type="xsd:long"&gt;45372&lt;/D&gt;&lt;D xsi:type="xsd:long"&gt;45371&lt;/D&gt;&lt;D xsi:type="xsd:long"&gt;45370&lt;/D&gt;&lt;D xsi:type="xsd:long"&gt;45369&lt;/D&gt;&lt;D xsi:type="xsd:long"&gt;45366&lt;/D&gt;&lt;D xsi:type="xsd:long"&gt;45365&lt;/D&gt;&lt;D xsi:type="xsd:long"&gt;45364&lt;/D&gt;&lt;D xsi:type="xsd:long"&gt;45363&lt;/D&gt;&lt;D xsi:type="xsd:long"&gt;45362&lt;/D&gt;&lt;D xsi:type="xsd:long"&gt;45359&lt;/D&gt;&lt;D xsi:type="xsd:long"&gt;45358&lt;/D&gt;&lt;D xsi:type="xsd:long"&gt;45357&lt;/D&gt;&lt;D xsi:type="xsd:long"&gt;45356&lt;/D&gt;&lt;D xsi:type="xsd:long"&gt;45355&lt;/D&gt;&lt;D xsi:type="xsd:long"&gt;45352&lt;/D&gt;&lt;D xsi:type="xsd:long"&gt;45351&lt;/D&gt;&lt;D xsi:type="xsd:long"&gt;45350&lt;/D&gt;&lt;D xsi:type="xsd:long"&gt;45349&lt;/D&gt;&lt;D xsi:type="xsd:long"&gt;45348&lt;/D&gt;&lt;D xsi:type="xsd:long"&gt;45345&lt;/D&gt;&lt;D xsi:type="xsd:long"&gt;45344&lt;/D&gt;&lt;D xsi:type="xsd:long"&gt;45343&lt;/D&gt;&lt;D xsi:type="xsd:long"&gt;45342&lt;/D&gt;&lt;D xsi:type="xsd:long"&gt;45338&lt;/D&gt;&lt;D xsi:type="xsd:long"&gt;45337&lt;/D&gt;&lt;D xsi:type="xsd:long"&gt;45336&lt;/D&gt;&lt;D xsi:type="xsd:long"&gt;45335&lt;/D&gt;&lt;D xsi:type="xsd:long"&gt;45334&lt;/D&gt;&lt;D xsi:type="xsd:long"&gt;45331&lt;/D&gt;&lt;D xsi:type="xsd:long"&gt;45330&lt;/D&gt;&lt;D xsi:type="xsd:long"&gt;45329&lt;/D&gt;&lt;D xsi:type="xsd:long"&gt;45328&lt;/D&gt;&lt;D xsi:type="xsd:long"&gt;45327&lt;/D&gt;&lt;D xsi:type="xsd:long"&gt;45324&lt;/D&gt;&lt;D xsi:type="xsd:long"&gt;45323&lt;/D&gt;&lt;D xsi:type="xsd:long"&gt;45322&lt;/D&gt;&lt;D xsi:type="xsd:long"&gt;45321&lt;/D&gt;&lt;D xsi:type="xsd:long"&gt;45320&lt;/D&gt;&lt;D xsi:type="xsd:long"&gt;45317&lt;/D&gt;&lt;D xsi:type="xsd:long"&gt;45316&lt;/D&gt;&lt;D xsi:type="xsd:long"&gt;45315&lt;/D&gt;&lt;D xsi:type="xsd:long"&gt;45314&lt;/D&gt;&lt;D xsi:type="xsd:long"&gt;45313&lt;/D&gt;&lt;D xsi:type="xsd:long"&gt;45310&lt;/D&gt;&lt;D xsi:type="xsd:long"&gt;45309&lt;/D&gt;&lt;D xsi:type="xsd:long"&gt;45308&lt;/D&gt;&lt;D xsi:type="xsd:long"&gt;45307&lt;/D&gt;&lt;D xsi:type="xsd:long"&gt;45303&lt;/D&gt;&lt;D xsi:type="xsd:long"&gt;45302&lt;/D&gt;&lt;D xsi:type="xsd:long"&gt;45301&lt;/D&gt;&lt;D xsi:type="xsd:long"&gt;45300&lt;/D&gt;&lt;D xsi:type="xsd:long"&gt;45299&lt;/D&gt;&lt;D xsi:type="xsd:long"&gt;45296&lt;/D&gt;&lt;D xsi:type="xsd:long"&gt;45295&lt;/D&gt;&lt;D xsi:type="xsd:long"&gt;45294&lt;/D&gt;&lt;D xsi:type="xsd:long"&gt;45293&lt;/D&gt;&lt;D xsi:type="xsd:long"&gt;45289&lt;/D&gt;&lt;/FQL&gt;&lt;FQL&gt;&lt;Q&gt;^FG_COMPANY_NAME&lt;/Q&gt;&lt;R&gt;0&lt;/R&gt;&lt;C&gt;0&lt;/C&gt;&lt;/FQL&gt;&lt;FQL&gt;&lt;Q&gt;^PROPER_NAME&lt;/Q&gt;&lt;R&gt;0&lt;/R&gt;&lt;C&gt;0&lt;/C&gt;&lt;/FQL&gt;&lt;FQL&gt;&lt;Q&gt;WPP-GB^PROPER_NAME&lt;/Q&gt;&lt;R&gt;1&lt;/R&gt;&lt;C&gt;1&lt;/C&gt;&lt;D xsi:type="xsd:string"&gt;WPP Plc&lt;/D&gt;&lt;/FQL&gt;&lt;FQL&gt;&lt;Q&gt;WLY-US^PROPER_NAME&lt;/Q&gt;&lt;R&gt;1&lt;/R&gt;&lt;C&gt;1&lt;/C&gt;&lt;D xsi:type="xsd:string"&gt;John Wiley &amp;amp; Sons, Inc. Class A&lt;/D&gt;&lt;/FQL&gt;&lt;FQL&gt;&lt;Q&gt;WU-US^PROPER_NAME&lt;/Q&gt;&lt;R&gt;1&lt;/R&gt;&lt;C&gt;1&lt;/C&gt;&lt;D xsi:type="xsd:string"&gt;Western Union Company&lt;/D&gt;&lt;/FQL&gt;&lt;FQL&gt;&lt;Q&gt;WBA-US^PROPER_NAME&lt;/Q&gt;&lt;R&gt;1&lt;/R&gt;&lt;C&gt;1&lt;/C&gt;&lt;D xsi:type="xsd:string"&gt;Walgreens Boots Alliance, Inc.&lt;/D&gt;&lt;/FQL&gt;&lt;FQL&gt;&lt;Q&gt;VOW3-DE^PROPER_NAME&lt;/Q&gt;&lt;R&gt;1&lt;/R&gt;&lt;C&gt;1&lt;/C&gt;&lt;D xsi:type="xsd:string"&gt;Volkswagen AG Pref&lt;/D&gt;&lt;/FQL&gt;&lt;FQL&gt;&lt;Q&gt;VOD-GB^PROPER_NAME&lt;/Q&gt;&lt;R&gt;1&lt;/R&gt;&lt;C&gt;1&lt;/C&gt;&lt;D xsi:type="xsd:string"&gt;Vodafone Group Public Limited Company&lt;/D&gt;&lt;/FQL&gt;&lt;FQL&gt;&lt;Q&gt;VTRS-US^PROPER_NAME&lt;/Q&gt;&lt;R&gt;1&lt;/R&gt;&lt;C&gt;1&lt;/C&gt;&lt;D xsi:type="xsd:string"&gt;Viatris, Inc.&lt;/D&gt;&lt;/FQL&gt;&lt;FQL&gt;&lt;Q&gt;VZ-US^PROPER_NAME&lt;/Q&gt;&lt;R&gt;1&lt;/R&gt;&lt;C&gt;1&lt;/C&gt;&lt;D xsi:type="xsd:string"&gt;Verizon Communications Inc.&lt;/D&gt;&lt;/FQL&gt;&lt;FQL&gt;&lt;Q&gt;VAL-ZA^PROPER_NAME&lt;/Q&gt;&lt;R&gt;1&lt;/R&gt;&lt;C&gt;1&lt;/C&gt;&lt;D xsi:type="xsd:string"&gt;Valterra Platinum Limited&lt;/D&gt;&lt;/FQL&gt;&lt;FQL&gt;&lt;Q&gt;6995-JP^PROPER_NAME&lt;/Q&gt;&lt;R&gt;1&lt;/R&gt;&lt;C&gt;1&lt;/C&gt;&lt;D xsi:type="xsd:string"&gt;TOKAI RIKA CO., LTD.&lt;/D&gt;&lt;/FQL&gt;&lt;FQL&gt;&lt;Q&gt;TX-US^PROPER_NAME&lt;/Q&gt;&lt;R&gt;1&lt;/R&gt;&lt;C&gt;1&lt;/C&gt;&lt;D xsi:type="xsd:string"&gt;Ternium S.A. Sponsored ADR&lt;/D&gt;&lt;/FQL&gt;&lt;FQL&gt;&lt;Q&gt;UHR-CH^PROPER_NAME&lt;/Q&gt;&lt;R&gt;1&lt;/R&gt;&lt;C&gt;1&lt;/C&gt;&lt;D xsi:type="xsd:string"&gt;Swatch Group Ltd. Bearer&lt;/D&gt;&lt;/FQL&gt;&lt;FQL&gt;&lt;Q&gt;SWK-US^PROPER_NAME&lt;/Q&gt;&lt;R&gt;1&lt;/R&gt;&lt;C&gt;1&lt;/C&gt;&lt;D xsi:type="xsd:string"&gt;Stanley Black &amp;amp; Decker, Inc.&lt;/D&gt;&lt;/FQL&gt;&lt;FQL&gt;&lt;Q&gt;STAN-GB^PROPER_NAME&lt;/Q&gt;&lt;R&gt;1&lt;/R&gt;&lt;C&gt;1&lt;/C&gt;&lt;D xsi:type="xsd:string"&gt;Standard Chartered PLC&lt;/D&gt;&lt;/FQL&gt;&lt;FQL&gt;&lt;Q&gt;GLE-FR^PROPER_NAME&lt;/Q&gt;&lt;R&gt;1&lt;/R&gt;&lt;C&gt;1&lt;/C&gt;&lt;D xsi:type="xsd:string"&gt;Societe Generale S.A. Class A&lt;/D&gt;&lt;/FQL&gt;&lt;FQL&gt;&lt;Q&gt;055550-KR^PROPER_NAME&lt;/Q&gt;&lt;R&gt;1&lt;/R&gt;&lt;C&gt;1&lt;/C&gt;&lt;D xsi:type="xsd:string"&gt;Shinhan Financial Group Co., Ltd.&lt;/D&gt;&lt;/FQL&gt;&lt;FQL&gt;&lt;Q&gt;SESG-FR^PROPER_NAME&lt;/Q&gt;&lt;R&gt;1&lt;/R&gt;&lt;C&gt;1&lt;/C&gt;&lt;D xsi:type="xsd:string"&gt;SES SA FDR (Class A)&lt;/D&gt;&lt;/FQL&gt;&lt;FQL&gt;&lt;Q&gt;SAN-FR^PROPER_NAME&lt;/Q&gt;&lt;R&gt;1&lt;/R&gt;&lt;C&gt;1&lt;/C&gt;&lt;D xsi:type="xsd:string"&gt;Sanofi SA&lt;/D&gt;&lt;/FQL&gt;&lt;FQL&gt;&lt;Q&gt;005935-KR^PROPER_NAME&lt;/Q&gt;&lt;R&gt;1&lt;/R&gt;&lt;C&gt;1&lt;/C&gt;&lt;D xsi:type="xsd:string"&gt;Samsung Electronics Co Ltd Pfd  Non-Voting&lt;/D&gt;&lt;/FQL&gt;&lt;FQL&gt;&lt;Q&gt;SBH-US^PROPER_NAME&lt;/Q&gt;&lt;R&gt;1&lt;/R&gt;&lt;C&gt;1&lt;/C&gt;&lt;D xsi:type="xsd:string"&gt;Sally Beauty Holdings, Inc.&lt;/D&gt;&lt;/FQL&gt;&lt;FQL&gt;&lt;Q&gt;6963-JP^PROPER_NAME&lt;/Q&gt;&lt;R&gt;1&lt;/R&gt;&lt;C&gt;1&lt;/C&gt;&lt;D xsi:type="xsd:string"&gt;ROHM Company Limited&lt;/D&gt;&lt;/FQL&gt;&lt;FQL&gt;&lt;Q&gt;REP-ES^PROPER_NAME&lt;/Q&gt;&lt;R&gt;1&lt;/R&gt;&lt;C&gt;1&lt;/C&gt;&lt;D xsi:type="xsd:string"&gt;Repsol SA&lt;/D&gt;&lt;/FQL&gt;&lt;FQL&gt;&lt;Q&gt;PUM-DE^PROPER_NAME&lt;/Q&gt;&lt;R&gt;1&lt;/R&gt;&lt;C&gt;1&lt;/C&gt;&lt;D xsi:type="xsd:string"&gt;PUMA SE&lt;/D&gt;&lt;/FQL&gt;&lt;FQL&gt;&lt;Q&gt;PFE-US^PROPER_NAME&lt;/Q&gt;&lt;R&gt;1&lt;/R&gt;&lt;C&gt;1&lt;/C&gt;&lt;D xsi:type="xsd:string"&gt;Pfizer Inc.&lt;/D&gt;&lt;/FQL&gt;&lt;FQL&gt;&lt;Q&gt;9404-JP^PROPER_NAME&lt;/Q&gt;&lt;R&gt;1&lt;/R&gt;&lt;C&gt;1&lt;/C&gt;&lt;D xsi:type="xsd:string"&gt;Nippon Television Holdings, Inc.&lt;/D&gt;&lt;/FQL&gt;&lt;FQL&gt;&lt;Q&gt;7731-JP^PROPER_NAME&lt;/Q&gt;&lt;R&gt;1&lt;/R&gt;&lt;C&gt;1&lt;/C&gt;&lt;D xsi:type="xsd:string"&gt;Nikon Corp.&lt;/D&gt;&lt;/FQL&gt;&lt;FQL&gt;&lt;Q&gt;NWG-GB^PROPER_NAME&lt;/Q&gt;&lt;R&gt;1&lt;/R&gt;&lt;C&gt;1&lt;/C&gt;&lt;D xsi:type="xsd:string"&gt;NatWest Group Plc&lt;/D&gt;&lt;/FQL&gt;&lt;FQL&gt;&lt;Q&gt;TAP-US^PROPER_NAME&lt;/Q&gt;&lt;R&gt;1&lt;/R&gt;&lt;C&gt;1&lt;/C&gt;&lt;D xsi:type="xsd:string"&gt;Molson Coors Beverage Company Class B&lt;/D&gt;&lt;/FQL&gt;&lt;FQL&gt;&lt;Q&gt;MHK-US^PROPER_NAME&lt;/Q&gt;&lt;R&gt;1&lt;/R&gt;&lt;C&gt;1&lt;/C&gt;&lt;D xsi:type="xsd:string"&gt;Mohawk Industries, Inc.&lt;/D&gt;&lt;/FQL&gt;&lt;FQL&gt;&lt;Q&gt;7459-JP^PROPER_NAME&lt;/Q&gt;&lt;R&gt;1&lt;/R&gt;&lt;C&gt;1&lt;/C&gt;&lt;D xsi:type="xsd:string"&gt;MEDIPAL HOLDINGS Corporation&lt;/D&gt;&lt;/FQL&gt;&lt;FQL&gt;&lt;Q&gt;MAN-US^PROPER_NAME&lt;/Q&gt;&lt;R&gt;1&lt;/R&gt;&lt;C&gt;1&lt;/C&gt;&lt;D xsi:type="xsd:string"&gt;ManpowerGroup Inc.&lt;/D&gt;&lt;/FQL&gt;&lt;FQL&gt;&lt;Q&gt;M-US^PROPER_NAME&lt;/Q&gt;&lt;R&gt;1&lt;/R&gt;&lt;C&gt;1&lt;/C&gt;&lt;D xsi:type="xsd:string"&gt;Macy's, Inc.&lt;/D&gt;&lt;/FQL&gt;&lt;FQL&gt;&lt;Q&gt;LYB-US^PROPER_NAME&lt;/Q&gt;&lt;R&gt;1&lt;/R&gt;&lt;C&gt;1&lt;/C&gt;&lt;D xsi:type="xsd:string"&gt;LyondellBasell Industries NV&lt;/D&gt;&lt;/FQL&gt;&lt;FQL&gt;&lt;Q&gt;LEA-US^PROPER_NAME&lt;/Q&gt;&lt;R&gt;1&lt;/R&gt;&lt;C&gt;1&lt;/C&gt;&lt;D xsi:type="xsd:string"&gt;Lear Corporation&lt;/D&gt;&lt;/FQL&gt;&lt;FQL&gt;&lt;Q&gt;KHC-US^PROPER_NAME&lt;/Q&gt;&lt;R&gt;1&lt;/R&gt;&lt;C&gt;1&lt;/C&gt;&lt;D xsi:type="xsd:string"&gt;Kraft Heinz Company&lt;/D&gt;&lt;/FQL&gt;&lt;FQL&gt;&lt;Q&gt;AD-NL^PROPER_NAME&lt;/Q&gt;&lt;R&gt;1&lt;/R&gt;&lt;C&gt;1&lt;/C&gt;&lt;D xsi:type="xsd:string"&gt;Koninklijke Ahold Delhaize N.V.&lt;/D&gt;&lt;/FQL&gt;&lt;FQL&gt;&lt;Q&gt;KER-FR^PROPER_NAME&lt;/Q&gt;&lt;R&gt;1&lt;/R&gt;&lt;C&gt;1&lt;/C&gt;&lt;D xsi:type="xsd:string"&gt;Kering SA&lt;/D&gt;&lt;/FQL&gt;&lt;FQL&gt;&lt;Q&gt;105560-KR^PROPER_NAME&lt;/Q&gt;&lt;R&gt;1&lt;/R&gt;&lt;C&gt;1&lt;/C&gt;&lt;D xsi:type="xsd:string"&gt;KB Financial Group Inc.&lt;/D&gt;&lt;/FQL&gt;&lt;FQL&gt;&lt;Q&gt;INTC-US^PROPER_NAME&lt;/Q&gt;&lt;R&gt;1&lt;/R&gt;&lt;C&gt;1&lt;/C&gt;&lt;D xsi:type="xsd:string"&gt;Intel Corporation&lt;/D&gt;&lt;/FQL&gt;&lt;FQL&gt;&lt;Q&gt;HPE-US^PROPER_NAME&lt;/Q&gt;&lt;R&gt;1&lt;/R&gt;&lt;C&gt;1&lt;/C&gt;&lt;D xsi:type="xsd:string"&gt;Hewlett Packard Enterprise Co.&lt;/D&gt;&lt;/FQL&gt;&lt;FQL&gt;&lt;Q&gt;161390-KR^PROPER_NAME&lt;/Q&gt;&lt;R&gt;1&lt;/R&gt;&lt;C&gt;1&lt;/C&gt;&lt;D xsi:type="xsd:string"&gt;HANKOOK TIRE &amp;amp; TECHNOLOGY Co., Ltd.&lt;/D&gt;&lt;/FQL&gt;&lt;FQL&gt;&lt;Q&gt;HAL-US^PROPER_NAME&lt;/Q&gt;&lt;R&gt;1&lt;/R&gt;&lt;C&gt;1&lt;/C&gt;&lt;D xsi:type="xsd:string"&gt;Halliburton Company&lt;/D&gt;&lt;/FQL&gt;&lt;FQL&gt;&lt;Q&gt;4544-JP^PROPER_NAME&lt;/Q&gt;&lt;R&gt;1&lt;/R&gt;&lt;C&gt;1&lt;/C&gt;&lt;D xsi:type="xsd:string"&gt;H.U.Group Holdings, Inc.&lt;/D&gt;&lt;/FQL&gt;&lt;FQL&gt;&lt;Q&gt;GSK-GB^PROPER_NAME&lt;/Q&gt;&lt;R&gt;1&lt;/R&gt;&lt;C&gt;1&lt;/C&gt;&lt;D xsi:type="xsd:string"&gt;GSK plc&lt;/D&gt;&lt;/FQL&gt;&lt;FQL&gt;&lt;Q&gt;ENI-IT^PROPER_NAME&lt;/Q&gt;&lt;R&gt;1&lt;/R&gt;&lt;C&gt;1&lt;/C&gt;&lt;D xsi:type="xsd:string"&gt;Eni S.p.A.&lt;/D&gt;&lt;/FQL&gt;&lt;FQL&gt;&lt;Q&gt;4324-JP^PROPER_NAME&lt;/Q&gt;&lt;R&gt;1&lt;/R&gt;&lt;C&gt;1&lt;/C&gt;&lt;D xsi:type="xsd:string"&gt;Dentsu Group Inc.&lt;/D&gt;&lt;/FQL&gt;&lt;FQL&gt;&lt;Q&gt;CON-DE^PROPER_NAME&lt;/Q&gt;&lt;R&gt;1&lt;/R&gt;&lt;C&gt;1&lt;/C&gt;&lt;D xsi:type="xsd:string"&gt;Continental AG&lt;/D&gt;&lt;/FQL&gt;&lt;FQL&gt;&lt;Q&gt;CA-FR^PROPER_NAME&lt;/Q&gt;&lt;R&gt;1&lt;/R&gt;&lt;C&gt;1&lt;/C&gt;&lt;D xsi:type="xsd:string"&gt;Carrefour SA&lt;/D&gt;&lt;/FQL&gt;&lt;FQL&gt;&lt;Q&gt;BRBY-GB^PROPER_NAME&lt;/Q&gt;&lt;R&gt;1&lt;/R&gt;&lt;C&gt;1&lt;/C&gt;&lt;D xsi:type="xsd:string"&gt;Burberry Group plc&lt;/D&gt;&lt;/FQL&gt;&lt;FQL&gt;&lt;Q&gt;BT.A-GB^PROPER_NAME&lt;/Q&gt;&lt;R&gt;1&lt;/R&gt;&lt;C&gt;1&lt;/C&gt;&lt;D xsi:type="xsd:string"&gt;BT Group plc&lt;/D&gt;&lt;/FQL&gt;&lt;FQL&gt;&lt;Q&gt;BMY-US^PROPER_NAME&lt;/Q&gt;&lt;R&gt;1&lt;/R&gt;&lt;C&gt;1&lt;/C&gt;&lt;D xsi:type="xsd:string"&gt;Bristol-Myers Squibb Company&lt;/D&gt;&lt;/FQL&gt;&lt;FQL&gt;&lt;Q&gt;BAYN-DE^PROPER_NAME&lt;/Q&gt;&lt;R&gt;1&lt;/R&gt;&lt;C&gt;1&lt;/C&gt;&lt;D xsi:type="xsd:string"&gt;Bayer AG&lt;/D&gt;&lt;/FQL&gt;&lt;FQL&gt;&lt;Q&gt;BAS-DE^PROPER_NAME&lt;/Q&gt;&lt;R&gt;1&lt;/R&gt;&lt;C&gt;1&lt;/C&gt;&lt;D xsi:type="xsd:string"&gt;BASF SE&lt;/D&gt;&lt;/FQL&gt;&lt;FQL&gt;&lt;Q&gt;9888-HK^PROPER_NAME&lt;/Q&gt;&lt;R&gt;1&lt;/R&gt;&lt;C&gt;1&lt;/C&gt;&lt;D xsi:type="xsd:string"&gt;Baidu, Inc. Class A&lt;/D&gt;&lt;/FQL&gt;&lt;FQL&gt;&lt;Q&gt;ATHM-US^PROPER_NAME&lt;/Q&gt;&lt;R&gt;1&lt;/R&gt;&lt;C&gt;1&lt;/C&gt;&lt;D xsi:type="xsd:string"&gt;Autohome Inc. Sponsored ADR Class A&lt;/D&gt;&lt;/FQL&gt;&lt;FQL&gt;&lt;Q&gt;APTV-US^PROPER_NAME&lt;/Q&gt;&lt;R&gt;1&lt;/R&gt;&lt;C&gt;1&lt;/C&gt;&lt;D xsi:type="xsd:string"&gt;Aptiv PLC&lt;/D&gt;&lt;/FQL&gt;&lt;FQL&gt;&lt;Q&gt;914-HK^PROPER_NAME&lt;/Q&gt;&lt;R&gt;1&lt;/R&gt;&lt;C&gt;1&lt;/C&gt;&lt;D xsi:type="xsd:string"&gt;Anhui Conch Cement Company Limited Class H&lt;/D&gt;&lt;/FQL&gt;&lt;FQL&gt;&lt;Q&gt;AAL-GB^PROPER_NAME&lt;/Q&gt;&lt;R&gt;1&lt;/R&gt;&lt;C&gt;1&lt;/C&gt;&lt;D xsi:type="xsd:string"&gt;Anglo American plc&lt;/D&gt;&lt;/FQL&gt;&lt;FQL&gt;&lt;Q&gt;ADEN-CH^PROPER_NAME&lt;/Q&gt;&lt;R&gt;1&lt;/R&gt;&lt;C&gt;1&lt;/C&gt;&lt;D xsi:type="xsd:string"&gt;Adecco Group AG&lt;/D&gt;&lt;/FQL&gt;&lt;FQL&gt;&lt;Q&gt;DUMMY^CORREL_MATRIX(CORRELMATRIX)&lt;/Q&gt;&lt;R&gt;59&lt;/R&gt;&lt;C&gt;59&lt;/C&gt;&lt;D xsi:type="xsd:double"&gt;1&lt;/D&gt;&lt;D xsi:type="xsd:double"&gt;0.43017772&lt;/D&gt;&lt;D xsi:type="xsd:double"&gt;0.77609205&lt;/D&gt;&lt;D xsi:type="xsd:double"&gt;0.80492955&lt;/D&gt;&lt;D xsi:type="xsd:double"&gt;0.79193985&lt;/D&gt;&lt;D xsi:type="xsd:double"&gt;0.78763&lt;/D&gt;&lt;D xsi:type="xsd:double"&gt;0.88990086&lt;/D&gt;&lt;D xsi:type="xsd:double"&gt;0.5973161&lt;/D&gt;&lt;D xsi:type="xsd:double"&gt;0.20736398&lt;/D&gt;&lt;D xsi:type="xsd:double"&gt;0.18147016&lt;/D&gt;&lt;D xsi:type="xsd:double"&gt;0.57532066&lt;/D&gt;&lt;D xsi:type=</t>
        </r>
      </text>
    </comment>
    <comment ref="A2" authorId="0" shapeId="0" xr:uid="{A2AEEEA2-7C85-4CC4-ADA6-ACA0B5D21365}">
      <text>
        <r>
          <rPr>
            <b/>
            <sz val="9"/>
            <color indexed="81"/>
            <rFont val="Tahoma"/>
            <charset val="1"/>
          </rPr>
          <t>"xsd:double"&gt;0.5728268&lt;/D&gt;&lt;D xsi:type="xsd:double"&gt;0.83669865&lt;/D&gt;&lt;D xsi:type="xsd:double"&gt;0.48854488&lt;/D&gt;&lt;D xsi:type="xsd:double"&gt;-0.5058399&lt;/D&gt;&lt;D xsi:type="xsd:double"&gt;0.17822501&lt;/D&gt;&lt;D xsi:type="xsd:double"&gt;0.74109805&lt;/D&gt;&lt;D xsi:type="xsd:double"&gt;-0.35265177&lt;/D&gt;&lt;D xsi:type="xsd:double"&gt;0.7174476&lt;/D&gt;&lt;D xsi:type="xsd:double"&gt;-0.5007658&lt;/D&gt;&lt;D xsi:type="xsd:double"&gt;0.8979742&lt;/D&gt;&lt;D xsi:type="xsd:double"&gt;-0.3607314&lt;/D&gt;&lt;D xsi:type="xsd:double"&gt;0.81038696&lt;/D&gt;&lt;D xsi:type="xsd:double"&gt;-0.42778265&lt;/D&gt;&lt;D xsi:type="xsd:double"&gt;0.46023917&lt;/D&gt;&lt;D xsi:type="xsd:double"&gt;0.8368366&lt;/D&gt;&lt;D xsi:type="xsd:double"&gt;0.5677713&lt;/D&gt;&lt;D xsi:type="xsd:double"&gt;0.13612095&lt;/D&gt;&lt;D xsi:type="xsd:double"&gt;0.7922843&lt;/D&gt;&lt;D xsi:type="xsd:double"&gt;0.7109757&lt;/D&gt;&lt;D xsi:type="xsd:double"&gt;0.6728439&lt;/D&gt;&lt;D xsi:type="xsd:double"&gt;-0.27890518&lt;/D&gt;&lt;D xsi:type="xsd:double"&gt;-0.5908524&lt;/D&gt;&lt;D xsi:type="xsd:double"&gt;-0.48069793&lt;/D&gt;&lt;D xsi:type="xsd:double"&gt;-0.3272944&lt;/D&gt;&lt;D xsi:type="xsd:double"&gt;0.31876028&lt;/D&gt;&lt;D xsi:type="xsd:double"&gt;0.8667819&lt;/D&gt;&lt;D xsi:type="xsd:double"&gt;-0.40704164&lt;/D&gt;&lt;D xsi:type="xsd:double"&gt;0.7712623&lt;/D&gt;&lt;D xsi:type="xsd:double"&gt;0.6386494&lt;/D&gt;&lt;D xsi:type="xsd:double"&gt;0.86330825&lt;/D&gt;&lt;D xsi:type="xsd:double"&gt;0.023852183&lt;/D&gt;&lt;D xsi:type="xsd:double"&gt;0.63711774&lt;/D&gt;&lt;D xsi:type="xsd:double"&gt;-0.22294824&lt;/D&gt;&lt;D xsi:type="xsd:double"&gt;-0.26054552&lt;/D&gt;&lt;D xsi:type="xsd:double"&gt;-0.58098215&lt;/D&gt;&lt;D xsi:type="xsd:double"&gt;0.8950257&lt;/D&gt;&lt;D xsi:type="xsd:double"&gt;0.63410795&lt;/D&gt;&lt;D xsi:type="xsd:double"&gt;0.28778666&lt;/D&gt;&lt;D xsi:type="xsd:double"&gt;0.42899653&lt;/D&gt;&lt;D xsi:type="xsd:double"&gt;0.64714676&lt;/D&gt;&lt;D xsi:type="xsd:double"&gt;0.745528&lt;/D&gt;&lt;D xsi:type="xsd:double"&gt;0.78674096&lt;/D&gt;&lt;D xsi:type="xsd:double"&gt;0.7657164&lt;/D&gt;&lt;D xsi:type="xsd:double"&gt;0.8877556&lt;/D&gt;&lt;D xsi:type="xsd:double"&gt;0.73371565&lt;/D&gt;&lt;D xsi:type="xsd:double"&gt;0.89298344&lt;/D&gt;&lt;D xsi:type="xsd:double"&gt;0.47744948&lt;/D&gt;&lt;D xsi:type="xsd:double"&gt;0.61937004&lt;/D&gt;&lt;D xsi:type="xsd:double"&gt;0.43017772&lt;/D&gt;&lt;D xsi:type="xsd:double"&gt;1&lt;/D&gt;&lt;D xsi:type="xsd:double"&gt;0.7447202&lt;/D&gt;&lt;D xsi:type="xsd:double"&gt;0.6345409&lt;/D&gt;&lt;D xsi:type="xsd:double"&gt;0.29381114&lt;/D&gt;&lt;D xsi:type="xsd:double"&gt;0.5485343&lt;/D&gt;&lt;D xsi:type="xsd:double"&gt;0.49213067&lt;/D&gt;&lt;D xsi:type="xsd:double"&gt;0.63155955&lt;/D&gt;&lt;D xsi:type="xsd:double"&gt;0.5299916&lt;/D&gt;&lt;D xsi:type="xsd:double"&gt;0.5310932&lt;/D&gt;&lt;D xsi:type="xsd:double"&gt;0.48273054&lt;/D&gt;&lt;D xsi:type="xsd:double"&gt;0.53702223&lt;/D&gt;&lt;D xsi:type="xsd:double"&gt;0.34783396&lt;/D&gt;&lt;D xsi:type="xsd:double"&gt;0.55299056&lt;/D&gt;&lt;D xsi:type="xsd:double"&gt;-0.2659905&lt;/D&gt;&lt;D xsi:type="xsd:double"&gt;0.33920607&lt;/D&gt;&lt;D xsi:type="xsd:double"&gt;0.6865512&lt;/D&gt;&lt;D xsi:type="xsd:double"&gt;-0.13606845&lt;/D&gt;&lt;D xsi:type="xsd:double"&gt;0.23573127&lt;/D&gt;&lt;D xsi:type="xsd:double"&gt;-0.13774544&lt;/D&gt;&lt;D xsi:type="xsd:double"&gt;0.50895375&lt;/D&gt;&lt;D xsi:type="xsd:double"&gt;-0.08844843&lt;/D&gt;&lt;D xsi:type="xsd:double"&gt;0.58211005&lt;/D&gt;&lt;D xsi:type="xsd:double"&gt;-0.16400461&lt;/D&gt;&lt;D xsi:type="xsd:double"&gt;0.45975858&lt;/D&gt;&lt;D xsi:type="xsd:double"&gt;0.51846033&lt;/D&gt;&lt;D xsi:type="xsd:double"&gt;0.3221216&lt;/D&gt;&lt;D xsi:type="xsd:double"&gt;0.5688148&lt;/D&gt;&lt;D xsi:type="xsd:double"&gt;0.602229&lt;/D&gt;&lt;D xsi:type="xsd:double"&gt;0.36770487&lt;/D&gt;&lt;D xsi:type="xsd:double"&gt;0.5829566&lt;/D&gt;&lt;D xsi:type="xsd:double"&gt;-0.49338424&lt;/D&gt;&lt;D xsi:type="xsd:double"&gt;-0.20173553&lt;/D&gt;&lt;D xsi:type="xsd:double"&gt;-0.12501176&lt;/D&gt;&lt;D xsi:type="xsd:double"&gt;-0.20652765&lt;/D&gt;&lt;D xsi:type="xsd:double"&gt;0.6715618&lt;/D&gt;&lt;D xsi:type="xsd:double"&gt;0.5650124&lt;/D&gt;&lt;D xsi:type="xsd:double"&gt;-0.13105497&lt;/D&gt;&lt;D xsi:type="xsd:double"&gt;0.47373363&lt;/D&gt;&lt;D xsi:type="xsd:double"&gt;0.71456057&lt;/D&gt;&lt;D xsi:type="xsd:double"&gt;0.6113809&lt;/D&gt;&lt;D xsi:type="xsd:double"&gt;0.060988363&lt;/D&gt;&lt;D xsi:type="xsd:double"&gt;0.58684564&lt;/D&gt;&lt;D xsi:type="xsd:double"&gt;0.020560918&lt;/D&gt;&lt;D xsi:type="xsd:double"&gt;-0.0047591836&lt;/D&gt;&lt;D xsi:type="xsd:double"&gt;-0.28652075&lt;/D&gt;&lt;D xsi:type="xsd:double"&gt;0.60599446&lt;/D&gt;&lt;D xsi:type="xsd:double"&gt;0.4662761&lt;/D&gt;&lt;D xsi:type="xsd:double"&gt;0.3373604&lt;/D&gt;&lt;D xsi:type="xsd:double"&gt;-0.11696875&lt;/D&gt;&lt;D xsi:type="xsd:double"&gt;0.8733794&lt;/D&gt;&lt;D xsi:type="xsd:double"&gt;0.62304384&lt;/D&gt;&lt;D xsi:type="xsd:double"&gt;0.40130612&lt;/D&gt;&lt;D xsi:type="xsd:double"&gt;0.7587812&lt;/D&gt;&lt;D xsi:type="xsd:double"&gt;0.5647331&lt;/D&gt;&lt;D xsi:type="xsd:double"&gt;0.7351123&lt;/D&gt;&lt;D xsi:type="xsd:double"&gt;0.6208725&lt;/D&gt;&lt;D xsi:type="xsd:double"&gt;0.72922456&lt;/D&gt;&lt;D xsi:type="xsd:double"&gt;0.62539&lt;/D&gt;&lt;D xsi:type="xsd:double"&gt;0.77609205&lt;/D&gt;&lt;D xsi:type="xsd:double"&gt;0.7447202&lt;/D&gt;&lt;D xsi:type="xsd:double"&gt;1&lt;/D&gt;&lt;D xsi:type="xsd:double"&gt;0.8288117&lt;/D&gt;&lt;D xsi:type="xsd:double"&gt;0.74423015&lt;/D&gt;&lt;D xsi:type="xsd:double"&gt;0.8060311&lt;/D&gt;&lt;D xsi:type="xsd:double"&gt;0.788393&lt;/D&gt;&lt;D xsi:type="xsd:double"&gt;0.76124495&lt;/D&gt;&lt;D xsi:type="xsd:double"&gt;0.5218711&lt;/D&gt;&lt;D xsi:type="xsd:double"&gt;0.4448576&lt;/D&gt;&lt;D xsi:type="xsd:double"&gt;0.6068174&lt;/D&gt;&lt;D xsi:type="xsd:double"&gt;0.5336331&lt;/D&gt;&lt;D xsi:type="xsd:double"&gt;0.72749186&lt;/D&gt;&lt;D xsi:type="xsd:double"&gt;0.63082814&lt;/D&gt;&lt;D xsi:type="xsd:double"&gt;-0.6847535&lt;/D&gt;&lt;D xsi:type="xsd:double"&gt;0.15726557&lt;/D&gt;&lt;D xsi:type="xsd:double"&gt;0.8855419&lt;/D&gt;&lt;D xsi:type="xsd:double"&gt;-0.4472052&lt;/D&gt;&lt;D xsi:type="xsd:double"&gt;0.42522532&lt;/D&gt;&lt;D xsi:type="xsd:double"&gt;-0.51164126&lt;/D&gt;&lt;D xsi:type="xsd:double"&gt;0.766833&lt;/D&gt;&lt;D xsi:type="xsd:double"&gt;-0.28168723&lt;/D&gt;&lt;D xsi:type="xsd:double"&gt;0.8069803&lt;/D&gt;&lt;D xsi:type="xsd:double"&gt;-0.34861964&lt;/D&gt;&lt;D xsi:type="xsd:double"&gt;0.47882834&lt;/D&gt;&lt;D xsi:type="xsd:double"&gt;0.7277019&lt;/D&gt;&lt;D xsi:type="xsd:double"&gt;0.4064675&lt;/D&gt;&lt;D xsi:type="xsd:double"&gt;0.35675654&lt;/D&gt;&lt;D xsi:type="xsd:double"&gt;0.7370436&lt;/D&gt;&lt;D xsi:type="xsd:double"&gt;0.5793522&lt;/D&gt;&lt;D xsi:type="xsd:double"&gt;0.7150799&lt;/D&gt;&lt;D xsi:type="xsd:double"&gt;-0.52933437&lt;/D&gt;&lt;D xsi:type="xsd:double"&gt;-0.46347&lt;/D&gt;&lt;D xsi:type="xsd:double"&gt;-0.34267378&lt;/D&gt;&lt;D xsi:type="xsd:double"&gt;-0.30231485&lt;/D&gt;&lt;D xsi:type="xsd:double"&gt;0.607646&lt;/D&gt;&lt;D xsi:type="xsd:double"&gt;0.8398653&lt;/D&gt;&lt;D xsi:type="xsd:double"&gt;-0.5003868&lt;/D&gt;&lt;D xsi:type="xsd:double"&gt;0.69489026&lt;/D&gt;&lt;D xsi:type="xsd:double"&gt;0.7582799&lt;/D&gt;&lt;D xsi:type="xsd:double"&gt;0.77139217&lt;/D&gt;&lt;D xsi:type="xsd:double"&gt;-0.034701288&lt;/D&gt;&lt;D xsi:type="xsd:double"&gt;0.73365474&lt;/D&gt;&lt;D xsi:type="xsd:double"&gt;-0.13267864&lt;/D&gt;&lt;D xsi:type="xsd:double"&gt;-0.15041003&lt;/D&gt;&lt;D xsi:type="xsd:double"&gt;-0.50973254&lt;/D&gt;&lt;D xsi:type="xsd:double"&gt;0.86349046&lt;/D&gt;&lt;D xsi:type="xsd:double"&gt;0.57088286&lt;/D&gt;&lt;D xsi:type="xsd:double"&gt;0.22135694&lt;/D&gt;&lt;D xsi:type="xsd:double"&gt;0.08242869&lt;/D&gt;&lt;D xsi:type="xsd:double"&gt;0.87604743&lt;/D&gt;&lt;D xsi:type="xsd:double"&gt;0.8725082&lt;/D&gt;&lt;D xsi:type="xsd:double"&gt;0.67870986&lt;/D&gt;&lt;D xsi:type="xsd:double"&gt;0.9538096&lt;/D&gt;&lt;D xsi:type="xsd:double"&gt;0.8160902&lt;/D&gt;&lt;D xsi:type="xsd:double"&gt;0.8664086&lt;/D&gt;&lt;D xsi:type="xsd:double"&gt;0.8953482&lt;/D&gt;&lt;D xsi:type="xsd:double"&gt;0.76085335&lt;/D&gt;&lt;D xsi:type="xsd:double"&gt;0.6617986&lt;/D&gt;&lt;D xsi:type="xsd:double"&gt;0.80492955&lt;/D&gt;&lt;D xsi:type="xsd:double"&gt;0.6345409&lt;/D&gt;&lt;D xsi:type="xsd:double"&gt;0.8288117&lt;/D&gt;&lt;D xsi:type="xsd:double"&gt;1&lt;/D&gt;&lt;D xsi:type="xsd:double"&gt;0.5547321&lt;/D&gt;&lt;D xsi:type="xsd:double"&gt;0.8475509&lt;/D&gt;&lt;D xsi:type="xsd:double"&gt;0.7933849&lt;/D&gt;&lt;D xsi:type="xsd:double"&gt;0.7655083&lt;/D&gt;&lt;D xsi:type="xsd:double"&gt;0.44430274&lt;/D&gt;&lt;D xsi:type="xsd:double"&gt;0.27215293&lt;/D&gt;&lt;D xsi:type="xsd:double"&gt;0.76713663&lt;/D&gt;&lt;D xsi:type="xsd:double"&gt;0.63800937&lt;/D&gt;&lt;D xsi:type="xsd:double"&gt;0.7097383&lt;/D&gt;&lt;D xsi:type="xsd:double"&gt;0.70033646&lt;/D&gt;&lt;D xsi:type="xsd:double"&gt;-0.48546228&lt;/D&gt;&lt;D xsi:type="xsd:double"&gt;0.19362265&lt;/D&gt;&lt;D xsi:type="xsd:double"&gt;0.7911433&lt;/D&gt;&lt;D xsi:type="xsd:double"&gt;-0.29487333&lt;/D&gt;&lt;D xsi:type="xsd:double"&gt;0.5557173&lt;/D&gt;&lt;D xsi:type="xsd:double"&gt;-0.50037867&lt;/D&gt;&lt;D xsi:type="xsd:double"&gt;0.8275785&lt;/D&gt;&lt;D xsi:type="xsd:double"&gt;-0.42558205&lt;/D&gt;&lt;D xsi:type="xsd:double"&gt;0.9271202&lt;/D&gt;&lt;D xsi:type="xsd:double"&gt;-0.3085307&lt;/D&gt;&lt;D xsi:type="xsd:double"&gt;0.52026325&lt;/D&gt;&lt;D xsi:type="xsd:double"&gt;0.9125321&lt;/D&gt;&lt;D xsi:type="xsd:double"&gt;0.5042332&lt;/D&gt;&lt;D xsi:type="xsd:double"&gt;0.49254277&lt;/D&gt;&lt;D xsi:type="xsd:double"&gt;0.8450607&lt;/D&gt;&lt;D xsi:type="xsd:double"&gt;0.5732402&lt;/D&gt;&lt;D xsi:type="xsd:double"&gt;0.6860235&lt;/D&gt;&lt;D xsi:type="xsd:double"&gt;-0.42726395&lt;/D&gt;&lt;D xsi:type="xsd:double"&gt;-0.5718177&lt;/D&gt;&lt;D xsi:type="xsd:double"&gt;-0.24689697&lt;/D&gt;&lt;D xsi:type="xsd:double"&gt;-0.4560046&lt;/D&gt;&lt;D xsi:type="xsd:double"&gt;0.6598529&lt;/D&gt;&lt;D xsi:type="xsd:double"&gt;0.922044&lt;/D&gt;&lt;D xsi:type="xsd:double"&gt;-0.35416156&lt;/D&gt;&lt;D xsi:type="xsd:double"&gt;0.86934286&lt;/D&gt;&lt;D xsi:type="xsd:double"&gt;0.78993833&lt;/D&gt;&lt;D xsi:type="xsd:double"&gt;0.83573896&lt;/D&gt;&lt;D xsi:type="xsd:double"&gt;-0.026843132&lt;/D&gt;&lt;D xsi:type="xsd:double"&gt;0.71926343&lt;/D&gt;&lt;D xsi:type="xsd:double"&gt;-0.25334388&lt;/D&gt;&lt;D xsi:type="xsd:double"&gt;-0.19119304&lt;/D&gt;&lt;D xsi:type="xsd:double"&gt;-0.61894804&lt;/D&gt;&lt;D xsi:type="xsd:double"&gt;0.86803406&lt;/D&gt;&lt;D xsi:type="xsd:double"&gt;0.7733551&lt;/D&gt;&lt;D xsi:type="xsd:double"&gt;0.46931216&lt;/D&gt;&lt;D xsi:type="xsd:double"&gt;0.13725437&lt;/D&gt;&lt;D xsi:type="xsd:double"&gt;0.79699796&lt;/D&gt;&lt;D xsi:type="xsd:double"&gt;0.66885847&lt;/D&gt;&lt;D xsi:type="xsd:double"&gt;0.65668225&lt;/D&gt;&lt;D xsi:type="xsd:double"&gt;0.8088129&lt;/D&gt;&lt;D xsi:type="xsd:double"&gt;0.869785&lt;/D&gt;&lt;D xsi:type="xsd:double"&gt;0.90416986&lt;/D&gt;&lt;D xsi:type="xsd:double"&gt;0.8255578&lt;/D&gt;&lt;D xsi:type="xsd:double"&gt;0.6111455&lt;/D&gt;&lt;D xsi:type="xsd:double"&gt;0.7730746&lt;/D&gt;&lt;D xsi:type="xsd:double"&gt;0.79193985&lt;/D&gt;&lt;D xsi:type="xsd:double"&gt;0.29381114&lt;/D&gt;&lt;D xsi:type="xsd:double"&gt;0.74423015&lt;/D&gt;&lt;D xsi:type="xsd:double"&gt;0.5547321&lt;/D&gt;&lt;D xsi:type="xsd:double"&gt;1&lt;/D&gt;&lt;D xsi:type="xsd:double"&gt;0.736471&lt;/D&gt;&lt;D xsi:type="xsd:double"&gt;0.7976979&lt;/D&gt;&lt;D xsi:type="xsd:double"&gt;0.48768866&lt;/D&gt;&lt;D xsi:type="xsd:double"&gt;0.19829366&lt;/D&gt;&lt;D xsi:type="xsd:double"&gt;0.09311539&lt;/D&gt;&lt;D xsi:type="xsd:double"&gt;0.41632628&lt;/D&gt;&lt;D xsi:type="xsd:double"&gt;0.2651757&lt;/D&gt;&lt;D xsi:type="xsd:double"&gt;0.7822376&lt;/D&gt;&lt;D xsi:type="xsd:double"&gt;0.25793424&lt;/D&gt;&lt;D xsi:type="xsd:double"&gt;-0.66020566&lt;/D&gt;&lt;D xsi:type="xsd:double"&gt;-0.11421185&lt;/D&gt;&lt;D xsi:type="xsd:double"&gt;0.67904264&lt;/D&gt;&lt;D xsi:type="xsd:double"&gt;-0.5331896&lt;/D&gt;&lt;D xsi:type="xsd:double"&gt;0.4326272&lt;/D&gt;&lt;D xsi:type="xsd:double"&gt;-0.45088857&lt;/D&gt;&lt;D xsi:type="xsd:double"&gt;0.64021236&lt;/D&gt;&lt;D xsi:type="xsd:double"&gt;-0.24727322&lt;/D&gt;&lt;D xsi:type="xsd:double"&gt;0.5876954&lt;/D&gt;&lt;D xsi:type="xsd:double"&gt;-0.36220983&lt;/D&gt;&lt;D xsi:type="xsd:double"&gt;0.22123832&lt;/D&gt;&lt;D xsi:type="xsd:double"&gt;0.5375467&lt;/D&gt;&lt;D xsi:type="xsd:double"&gt;0.2693117&lt;/D&gt;&lt;D xsi:type="xsd:double"&gt;-0.19684651&lt;/D&gt;&lt;D xsi:type="xsd:double"&gt;0.48267743&lt;/D&gt;&lt;D xsi:type="xsd:double"&gt;0.54796565&lt;/D&gt;&lt;D xsi:type="xsd:double"&gt;0.51379484&lt;/D&gt;&lt;D xsi:type="xsd:double"&gt;-0.36379445&lt;/D&gt;&lt;D xsi:type="xsd:double"&gt;-0.39347166&lt;/D&gt;&lt;D xsi:type="xsd:double"&gt;-0.63473874&lt;/D&gt;&lt;D xsi:type="xsd:double"&gt;-0.14733903&lt;/D&gt;&lt;D xsi:type="xsd:double"&gt;0.1179318&lt;/D&gt;&lt;D xsi:type="xsd:double"&gt;0.63875383&lt;/D&gt;&lt;D xsi:type="xsd:double"&gt;-0.47151273&lt;/D&gt;&lt;D xsi:type="xsd:double"&gt;0.5351077&lt;/D&gt;&lt;D xsi:type="xsd:double"&gt;0.40757695&lt;/D&gt;&lt;D xsi:type="xsd:double"&gt;0.63376576&lt;/D&gt;&lt;D xsi:type="xsd:double"&gt;-0.07355219&lt;/D&gt;&lt;D xsi:type="xsd:double"&gt;0.46410656&lt;/D&gt;&lt;D xsi:type="xsd:double"&gt;-0.14415324&lt;/D&gt;&lt;D xsi:type="xsd:double"&gt;-0.18541507&lt;/D&gt;&lt;D xsi:type="xsd:double"&gt;-0.35834232&lt;/D&gt;&lt;D xsi:type="xsd:double"&gt;0.68995327&lt;/D&gt;&lt;D xsi:type="xsd:double"&gt;0.3841998&lt;/D&gt;&lt;D xsi:type="xsd:double"&gt;-0.18205702&lt;/D&gt;&lt;D xsi:type="xsd:double"&gt;0.36368793&lt;/D&gt;&lt;D xsi:type="xsd:double"&gt;0.47626945&lt;/D&gt;&lt;D xsi:type="xsd:double"&gt;0.7019157&lt;/D&gt;&lt;D xsi:type="xsd:double"&gt;0.75054604&lt;/D&gt;&lt;D xsi:type="xsd:double"&gt;0.69247115&lt;/D&gt;&lt;D xsi:type="xsd:double"&gt;0.71858037&lt;/D&gt;&lt;D xsi:type="xsd:double"&gt;0.5469275&lt;/D&gt;&lt;D xsi:type="xsd:double"&gt;0.76728976&lt;/D&gt;&lt;D xsi:type="xsd:double"&gt;0.3580441&lt;/D&gt;&lt;D xsi:type="xsd:double"&gt;0.3263615&lt;/D&gt;&lt;D xsi:type="xsd:double"&gt;0.78763&lt;/D&gt;&lt;D xsi:type="xsd:double"&gt;0.5485343&lt;/D&gt;&lt;D xsi:type="xsd:double"&gt;0.8060311&lt;/D&gt;&lt;D xsi:type="xsd:double"&gt;0.8475509&lt;/D&gt;&lt;D xsi:type="xsd:double"&gt;0.736471&lt;/D&gt;&lt;D xsi:type="xsd:double"&gt;1&lt;/D&gt;&lt;D xsi:type="xsd:double"&gt;0.67182004&lt;/D&gt;&lt;D xsi:type="xsd:double"&gt;0.73960155&lt;/D&gt;&lt;D xsi:type="xsd:double"&gt;0.4743555&lt;/D&gt;&lt;D xsi:type="xsd:double"&gt;0.27844945&lt;/D&gt;&lt;D xsi:type="xsd:double"&gt;0.745344&lt;/D&gt;&lt;D xsi:type="xsd:double"&gt;0.66543293&lt;/D&gt;&lt;D xsi:type="xsd:double"&gt;0.6317522&lt;/D&gt;&lt;D xsi:type="xsd:double"&gt;0.6629412&lt;/D&gt;&lt;D xsi:type="xsd:double"&gt;-0.4998567&lt;/D&gt;&lt;D xsi:type="xsd:double"&gt;0.16542336&lt;/D&gt;&lt;D xsi:type="xsd:double"&gt;0.7590262&lt;/D&gt;&lt;D xsi:type="xsd:double"&gt;-0.15762259&lt;/D&gt;&lt;D xsi:type="xsd:double"&gt;0.4898092&lt;/D&gt;&lt;D xsi:type="xsd:double"&gt;-0.4822332&lt;/D&gt;&lt;D xsi:type="xsd:double"&gt;0.7768351&lt;/D&gt;&lt;D xsi:type="xsd:double"&gt;-0.39735517&lt;/D&gt;&lt;D xsi:type="xsd:double"&gt;0.8809818&lt;/D&gt;&lt;D xsi:type="xsd:double"&gt;-0.2981793&lt;/D&gt;&lt;D xsi:type="xsd:double"&gt;0.56519127&lt;/D&gt;&lt;D xsi:type="xsd:double"&gt;0.8208575&lt;/D&gt;&lt;D xsi:type="xsd:double"&gt;0.48543274&lt;/D&gt;&lt;D xsi:type="xsd:double"&gt;0.42313325&lt;/D&gt;&lt;D xsi:type="xsd:double"&gt;0.76555&lt;/D&gt;&lt;D xsi:type="xsd:double"&gt;0.47875035&lt;/D&gt;&lt;D xsi:type="xsd:double"&gt;0.56548744&lt;/D&gt;&lt;D xsi:type="xsd:double"&gt;-0.18228927&lt;/D&gt;&lt;D xsi:type="xsd:double"&gt;-0.5583775&lt;/D&gt;&lt;D xsi:type="xsd:double"&gt;0.08698284&lt;/D&gt;&lt;D xsi:type="xsd:double"&gt;-0.43559098&lt;/D&gt;&lt;D xsi:type="xsd:double"&gt;0.60272574&lt;/D&gt;&lt;D xsi:type="xsd:double"&gt;0.82444644&lt;/D&gt;&lt;D xsi:type="xsd:double"&gt;-0.2620285&lt;/D&gt;&lt;D xsi:type="xsd:double"&gt;0.84306777&lt;/D&gt;&lt;D xsi:type="xsd:double"&gt;0.7727215&lt;/D&gt;&lt;D xsi:type="xsd:double"&gt;0.7849468&lt;/D&gt;&lt;D xsi:type="xsd:double"&gt;-0.007906964&lt;/D&gt;&lt;D xsi:type="xsd:double"&gt;0.657126&lt;/D&gt;&lt;D xsi:type="xsd:double"&gt;-0.23566069&lt;/D&gt;&lt;D xsi:type="xsd:double"&gt;-0.20946822&lt;/D&gt;&lt;D xsi:type="xsd:double"&gt;-0.5580074&lt;/D&gt;&lt;D xsi:type="xsd:double"&gt;0.77850574&lt;/D&gt;&lt;D xsi:type="xsd:double"&gt;0.76734096&lt;/D&gt;&lt;D xsi:type="xsd:double"&gt;0.56419957&lt;/D&gt;&lt;D xsi:type="xsd:double"&gt;0.093999155&lt;/D&gt;&lt;D xsi:type="xsd:double"&gt;0.7143968&lt;/D&gt;&lt;D xsi:type="xsd:double"&gt;0.56459993&lt;/D&gt;&lt;D xsi:type="xsd:double"&gt;0.50267226&lt;/D&gt;&lt;D xsi:type="xsd:double"&gt;0.7635903&lt;/D&gt;&lt;D xsi:type="xsd:double"&gt;0.83127373&lt;/D&gt;&lt;D xsi:type="xsd:double"&gt;0.83703613&lt;/D&gt;&lt;D xsi:type="xsd:double"&gt;0.802315&lt;/D&gt;&lt;D xsi:type="xsd:double"&gt;0.52318305&lt;/D&gt;&lt;D xsi:type="xsd:double"&gt;0.6386252&lt;/D&gt;&lt;D xsi:type="xsd:double"&gt;0.88990086&lt;/D&gt;&lt;D xsi:type="xsd:double"&gt;0.49213067&lt;/D&gt;&lt;D xsi:type="xsd:double"&gt;0.788393&lt;/D&gt;&lt;D xsi:type="xsd:double"&gt;0.7933849&lt;/D&gt;&lt;D xsi:type="xsd:double"&gt;0.7976979&lt;/D&gt;&lt;D xsi:type="xsd:double"&gt;0.67182004&lt;/D&gt;&lt;D xsi:type="xsd:double"&gt;1&lt;/D&gt;&lt;D xsi:type="xsd:double"&gt;0.5268104&lt;/D&gt;&lt;D xsi:type="xsd:double"&gt;0.16062754&lt;/D&gt;&lt;D xsi:type="xsd:double"&gt;0.30924416&lt;/D&gt;&lt;D xsi:type="xsd:double"&gt;0.5092608&lt;/D&gt;&lt;D xsi:type="xsd:double"&gt;0.4492147&lt;/D&gt;&lt;D xsi:type="xsd:double"&gt;0.9136647&lt;/D&gt;&lt;D xsi:type="xsd:double"&gt;0.38986033&lt;/D&gt;&lt;D xsi:type="xsd:double"&gt;-0.47637805&lt;/D&gt;&lt;D xsi:type="xsd:double"&gt;0.18785088&lt;/D&gt;&lt;D xsi:type="xsd:double"&gt;0.7809716&lt;/D&gt;&lt;D xsi:type="xsd:double"&gt;-0.5724997&lt;/D&gt;&lt;D xsi:type="xsd:double"&gt;0.7000561&lt;/D&gt;&lt;D xsi:type="xsd:double"&gt;-0.3876727&lt;/D&gt;&lt;D xsi:type="xsd:double"&gt;0.7880724&lt;/D&gt;&lt;D xsi:type="xsd:double"&gt;-0.17297414&lt;/D&gt;&lt;D xsi:type="xsd:double"&gt;0.76261675&lt;/D&gt;&lt;D xsi:type="xsd:double"&gt;-0.18459657&lt;/D&gt;&lt;D xsi:type="xsd:double"&gt;0.30998418&lt;/D&gt;&lt;D xsi:type="xsd:double"&gt;0.72448653&lt;/D&gt;&lt;D xsi:type="xsd:double"&gt;0.35893476&lt;/D&gt;&lt;D xsi:type="xsd:double"&gt;0.14919218&lt;/D&gt;&lt;D xsi:type="xsd:double"&gt;0.6949818&lt;/D&gt;&lt;D xsi:type="xsd:double"&gt;0.7194356&lt;/D&gt;&lt;D xsi:type="xsd:double"&gt;0.7666081&lt;/D&gt;&lt;D xsi:type="xsd:double"&gt;-0.4434528&lt;/D&gt;&lt;D xsi:type="xsd:double"&gt;-0.36439145&lt;/D&gt;&lt;D xsi:type="xsd:double"&gt;-0.51402575&lt;/D&gt;&lt;D xsi:type="xsd:double"&gt;-0.117844604&lt;/D&gt;&lt;D xsi:type="xsd:double"&gt;0.27819714&lt;/D&gt;&lt;D xsi:type="xsd:double"&gt;0.83422804&lt;/D&gt;&lt;D xsi:type="xsd:double"&gt;-0.44983944&lt;/D&gt;&lt;D xsi:type="xsd:double"&gt;0.6495457&lt;/D&gt;&lt;D xsi:type="xsd:double"&gt;0.6631053&lt;/D&gt;&lt;D xsi:type="xsd:double"&gt;0.8149771&lt;/D&gt;&lt;D xsi:type="xsd:double"&gt;0.09512762&lt;/D&gt;&lt;D xsi:type="xsd:double"&gt;0.6035105&lt;/D&gt;&lt;D xsi:type="xsd:double"&gt;-0.044960655&lt;/D&gt;&lt;D xsi:type="xsd:double"&gt;-0.036272977&lt;/D&gt;&lt;D xsi:type="xsd:double"&gt;-0.40635458&lt;/D&gt;&lt;D xsi:type="xsd:double"&gt;0.8968732&lt;/D&gt;&lt;D xsi:type="xsd:double"&gt;0.5165988&lt;/D&gt;&lt;D xsi:type="xsd:double"&gt;0.1880023&lt;/D&gt;&lt;D xsi:type="xsd:double"&gt;0.4467803&lt;/D&gt;&lt;D xsi:type="xsd:double"&gt;0.6557071&lt;/D&gt;&lt;D xsi:type="xsd:double"&gt;0.8147652&lt;/D&gt;&lt;D xsi:type="xsd:double"&gt;0.8130613&lt;/D&gt;&lt;D xsi:type="xsd:double"&gt;0.7725559&lt;/D&gt;&lt;D xsi:type="xsd:double"&gt;0.9066645&lt;/D&gt;&lt;D xsi:type="xsd:double"&gt;0.687803&lt;/D&gt;&lt;D xsi:type="xsd:double"&gt;0.83577585&lt;/D&gt;&lt;D xsi:type="xsd:double"&gt;0.55648744&lt;/D&gt;&lt;D xsi:type="xsd:double"&gt;0.6025029&lt;/D&gt;&lt;D xsi:type="xsd:double"&gt;0.5973161&lt;/D&gt;&lt;D xsi:type="xsd:double"&gt;0.63155955&lt;/D&gt;&lt;D xsi:type="xsd:double"&gt;0.76124495&lt;/D&gt;&lt;D xsi:type="xsd:double"&gt;0.7655083&lt;/D&gt;&lt;D xsi:type="xsd:double"&gt;0.48768866&lt;/D&gt;&lt;D xsi:type="xsd:double"&gt;0.73960155&lt;/D&gt;&lt;D xsi:type="xsd:double"&gt;0.5268104&lt;/D&gt;&lt;D xsi:type="xsd:double"&gt;1&lt;/D&gt;&lt;D xsi:type="xsd:double"&gt;0.76446164&lt;/D&gt;&lt;D xsi:type="xsd:double"&gt;0.107145995&lt;/D&gt;&lt;D xsi:type="xsd:double"&gt;0.858878&lt;/D&gt;&lt;D xsi:type="xsd:double"&gt;0.78623253&lt;/D&gt;&lt;D xsi:type="xsd:double"&gt;0.41899955&lt;/D&gt;&lt;D xsi:type="xsd:double"&gt;0.7965882&lt;/D&gt;&lt;D xsi:type="xsd:double"&gt;-0.50984114&lt;/D&gt;&lt;D xsi:type="xsd:double"&gt;0.007983621&lt;/D&gt;&lt;D xsi:type="xsd:double"&gt;0.64931744&lt;/D&gt;&lt;D xsi:type="xsd:double"&gt;-0.00042341131&lt;/D&gt;&lt;D xsi:type="xsd:double"&gt;0.13245368&lt;/D&gt;&lt;D xsi:type="xsd:double"&gt;-0.6437131&lt;/D&gt;&lt;D xsi:type="xsd:double"&gt;0.6284061&lt;/D&gt;&lt;D xsi:type="xsd:double"&gt;-0.61578697&lt;/D&gt;&lt;D xsi:type="xsd:double"&gt;0.8429594&lt;/D&gt;&lt;D xsi:type="xsd:double"&gt;-0.5037021&lt;/D&gt;&lt;D xsi:type="xsd:double"&gt;0.6825136&lt;/D&gt;&lt;D xsi:type="xsd:double"&gt;0.7435631&lt;/D&gt;&lt;D xsi:type="xsd:double"&gt;0.51730293&lt;/D&gt;&lt;D xsi:type="xsd:double"&gt;0.35586062&lt;/D&gt;&lt;D xsi:type="xsd:double"&gt;0.72333103&lt;/D&gt;&lt;D xsi:type="xsd:double"&gt;0.22212377&lt;/D&gt;&lt;D xsi:type="xsd:double"&gt;0.31395212&lt;/D&gt;&lt;D xsi:type="xsd:double"&gt;-0.29055592&lt;/D&gt;&lt;D xsi:type="xsd:double"&gt;-0.68637794&lt;/D&gt;&lt;D xsi:type="xsd:double"&gt;-0.23092127&lt;/D&gt;&lt;D xsi:type="xsd:double"&gt;-0.6746307&lt;/D&gt;&lt;D xsi:type="xsd:double"&gt;0.8035969&lt;/D&gt;&lt;D xsi:type="xsd:double"&gt;0.7197195&lt;/D&gt;&lt;D xsi:type="xsd:double"&gt;-0.16211614&lt;/D&gt;&lt;D xsi:type="xsd:double"&gt;0.83370215&lt;/D&gt;&lt;D xsi:type="xsd:double"&gt;0.58213615&lt;/D&gt;&lt;D xsi:type="xsd:double"&gt;0.6013306&lt;/D&gt;&lt;D xsi:type="xsd:double"&gt;-0.004262732&lt;/D&gt;&lt;D xsi:type="xsd:double"&gt;0.7573768&lt;/D&gt;&lt;D xsi:type="xsd:double"&gt;-0.465283&lt;/D&gt;&lt;D xsi:type="xsd:double"&gt;-0.3910075&lt;/D&gt;&lt;D xsi:type="xsd:double"&gt;-0.6771737&lt;/D&gt;&lt;D xsi:type="xsd:double"&gt;0.59248024&lt;/D&gt;&lt;D xsi:type="xsd:double"&gt;0.81160754&lt;/D&gt;&lt;D xsi:type="xsd:double"&gt;0.324602&lt;/D&gt;&lt;D xsi:type="xsd:double"&gt;-0.24686599&lt;/D&gt;&lt;D xsi:type="xsd:double"&gt;0.77659255&lt;/D&gt;&lt;D xsi:type="xsd:double"&gt;0.47023204&lt;/D&gt;&lt;D xsi:type="xsd:double"&gt;0.39361027&lt;/D&gt;&lt;D xsi:type="xsd:double"&gt;0.74762505&lt;/D&gt;&lt;D xsi:type="xsd:double"&gt;0.66064066&lt;/D&gt;&lt;D xsi:type="xsd:double"&gt;0.8993837&lt;/D&gt;&lt;D xsi:type="xsd:double"&gt;0.6987835&lt;/D&gt;&lt;D xsi:type="xsd:double"&gt;0.39217022&lt;/D&gt;&lt;D xsi:type="xsd:double"&gt;0.6334217&lt;/D&gt;&lt;D xsi:type="xsd:double"&gt;0.20736398&lt;/D&gt;&lt;D xsi:type="xsd:double"&gt;0.5299916&lt;/D&gt;&lt;D xsi:type="xsd:double"&gt;0.5218711&lt;/D&gt;&lt;D xsi:type="xsd:double"&gt;0.44430274&lt;/D&gt;&lt;D xsi:type="xsd:double"&gt;0.19829366&lt;/D&gt;&lt;D xsi:type="xsd:double"&gt;0.4743555&lt;/D&gt;&lt;D xsi:type="xsd:double"&gt;0.16062754&lt;/D&gt;&lt;D xsi:type="xsd:double"&gt;0.76446164&lt;/D&gt;&lt;D xsi:type="xsd:double"&gt;1&lt;/D&gt;&lt;D xsi:type="xsd:double"&gt;-0.023182433&lt;/D&gt;&lt;D xsi:type="xsd:double"&gt;0.6476803&lt;/D&gt;&lt;D xsi:type="xsd:double"&gt;0.5153011&lt;/D&gt;&lt;D xsi:type="xsd:double"&gt;0.021786638&lt;/D&gt;&lt;D xsi:type="xsd:double"&gt;0.68108755&lt;/D&gt;&lt;D xsi:type="xsd:double"&gt;-0.5692062&lt;/D&gt;&lt;D xsi:type="xsd:double"&gt;-0.2038451&lt;/D&gt;&lt;D xsi:type="xsd:double"&gt;0.34573498&lt;/D&gt;&lt;D xsi:type="xsd:double"&gt;0.14016518&lt;/D&gt;&lt;D xsi:type="xsd:double"&gt;-0.17246796&lt;/D&gt;&lt;D xsi:type="xsd:double"&gt;-0.5705844&lt;/D&gt;&lt;D xsi:type="xsd:double"&gt;0.26757902&lt;/D&gt;&lt;D xsi:type="xsd:double"&gt;-0.61799145&lt;/D&gt;&lt;D xsi:type="xsd:double"&gt;0.56039196&lt;/D&gt;&lt;D xsi:type="xsd:double"&gt;-0.51955026&lt;/D&gt;&lt;D xsi:type="xsd:double"&gt;0.6513995&lt;/D&gt;&lt;D xsi:type="xsd:double"&gt;0.42787617&lt;/D&gt;&lt;D xsi:type="xsd:double"&gt;0.3697973&lt;/D&gt;&lt;D xsi:type="xsd:double"&gt;0.33681774&lt;/D&gt;&lt;D xsi:type="xsd:double"&gt;0.5396871&lt;/D&gt;&lt;D xsi:type="xsd:double"&gt;-0.16582873&lt;/D&gt;&lt;D xsi:type="xsd:double"&gt;0.10837081&lt;/D&gt;&lt;D xsi:type="xsd:double"&gt;-0.08025028&lt;/D&gt;&lt;D xsi:type="xsd:double"&gt;-0.5697208&lt;/D&gt;&lt;D xsi:type="xsd:double"&gt;-0.039499886&lt;/D&gt;&lt;D xsi:type="xsd:double"&gt;-0.6778522&lt;/D&gt;&lt;D xsi:type="xsd:double"&gt;0.8163222&lt;/D&gt;&lt;D xsi:type="xsd:double"&gt;0.42936906&lt;/D&gt;&lt;D xsi:type="xsd:double"&gt;-0.21892478&lt;/D&gt;&lt;D xsi:type="xsd:double"&gt;0.4934924&lt;/D&gt;&lt;D xsi:type="xsd:double"&gt;0.37927043&lt;/D&gt;&lt;D xsi:type="xsd:double"&gt;0.18764962&lt;/D&gt;&lt;D xsi:type="xsd:double"&gt;-0.110164985&lt;/D&gt;&lt;D xsi:type="xsd:double"&gt;0.4416958&lt;/D&gt;&lt;D xsi:type="xsd:double"&gt;-0.5221104&lt;/D&gt;&lt;D xsi:type="xsd:double"&gt;-0.4667748&lt;/D&gt;&lt;D xsi:type="xsd:double"&gt;-0.5787073&lt;/D&gt;&lt;D xsi:type="xsd:double"&gt;0.29755083&lt;/D&gt;&lt;D xsi:type="xsd:double"&gt;0.57832944&lt;/D&gt;&lt;D xsi:type="xsd:double"&gt;0.13142863&lt;/D&gt;&lt;D xsi:type="xsd:double"&gt;-0.5769739&lt;/D&gt;&lt;D xsi:type="xsd:double"&gt;0.59897554&lt;/D&gt;&lt;D xsi:type="xsd:double"&gt;0.25326467&lt;/D&gt;&lt;D xsi:type="xsd:double"&gt;0.16644451&lt;/D&gt;&lt;D xsi:type="xsd:double"&gt;0.4927377&lt;/D&gt;&lt;D xsi:type="xsd:double"&gt;0.31304353&lt;/D&gt;&lt;D xsi:type="xsd:double"&gt;0.6822758&lt;/D&gt;&lt;D xsi:type="xsd:double"&gt;0.46844104&lt;/D&gt;&lt;D xsi:type="xsd:double"&gt;0.37899664&lt;/D&gt;&lt;D xsi:type="xsd:double"&gt;0.49117452&lt;/D&gt;&lt;D xsi:type="xsd:double"&gt;0.18147016&lt;/D&gt;&lt;D xsi:type="xsd:double"&gt;0.5310932&lt;/D&gt;&lt;D xsi:type="xsd:double"&gt;0.4448576&lt;/D&gt;&lt;D xsi:type="xsd:double"&gt;0.27215293&lt;/D&gt;&lt;D xsi:type="xsd:double"&gt;0.09311539&lt;/D&gt;&lt;D xsi:type="xsd:double"&gt;0.27844945&lt;/D&gt;&lt;D xsi:type="xsd:double"&gt;0.30924416&lt;/D&gt;&lt;D xsi:type="xsd:double"&gt;0.107145995&lt;/D&gt;&lt;D xsi:type="xsd:double"&gt;-0.023182433&lt;/D&gt;&lt;D xsi:type="xsd:double"&gt;1&lt;/D&gt;&lt;D xsi:type="xsd:double"&gt;0.056229953&lt;/D&gt;&lt;D xsi:type="xsd:double"&gt;0.060745697&lt;/D&gt;&lt;D xsi:type="xsd:double"&gt;0.39426202&lt;/D&gt;&lt;D xsi:type="xsd:double"&gt;-0.021939317&lt;/D&gt;&lt;D xsi:type="xsd:double"&gt;0.0047804876&lt;/D&gt;&lt;D xsi:type="xsd:double"&gt;0.4570626&lt;/D&gt;&lt;D xsi:type="xsd:double"&gt;0.58891153&lt;/D&gt;&lt;D xsi:type="xsd:double"&gt;-0.5503132&lt;/D&gt;&lt;D xsi:type="xsd:double"&gt;0.22529335&lt;/D&gt;&lt;D xsi:type="xsd:double"&gt;0.22885661&lt;/D&gt;&lt;D xsi:type="xsd:double"&gt;0.18526404&lt;/D&gt;&lt;D xsi:type="xsd:double"&gt;0.5558708&lt;/D&gt;&lt;D xsi:type="xsd:double"&gt;0.12809812&lt;/D&gt;&lt;D xsi:type="xsd:double"&gt;0.4677539&lt;/D&gt;&lt;D xsi:type="xsd:double"&gt;-0.15248558&lt;/D&gt;&lt;D xsi:type="xsd:double"&gt;0.066873245&lt;/D&gt;&lt;D xsi:type="xsd:double"&gt;-0.23671009&lt;/D&gt;&lt;D xsi:type="xsd:double"&gt;0.14157228&lt;/D&gt;&lt;D xsi:type="xsd:double"&gt;0.06454092&lt;/D&gt;&lt;D xsi:type="xsd:double"&gt;0.49108905&lt;/D&gt;&lt;D xsi:type="xsd:double"&gt;0.5213428&lt;/D&gt;&lt;D xsi:type="xsd:double"&gt;-0.42037743&lt;/D&gt;&lt;D xsi:type="xsd:double"&gt;0.42920846&lt;/D&gt;&lt;D xsi:type="xsd:double"&gt;0.041436795&lt;/D&gt;&lt;D xsi:type="xsd:double"&gt;0.49208346&lt;/D&gt;&lt;D xsi:type="xsd:double"&gt;0.10776427&lt;/D&gt;&lt;D xsi:type="xsd:double"&gt;0.16960604&lt;/D&gt;&lt;D xsi:type="xsd:double"&gt;-0.17826337&lt;/D&gt;&lt;D xsi:type="xsd:double"&gt;0.039322667&lt;/D&gt;&lt;D xsi:type="xsd:double"&gt;0.45235908&lt;/D&gt;&lt;D xsi:type="xsd:double"&gt;0.33295754&lt;/D&gt;&lt;D xsi:type="xsd:double"&gt;0.2098327&lt;/D&gt;&lt;D xsi:type="xsd:double"&gt;0.34377027&lt;/D&gt;&lt;D xsi:type="xsd:double"&gt;0.6141234&lt;/D&gt;&lt;D xsi:type="xsd:double"&gt;0.61081237&lt;/D&gt;&lt;D xsi:type="xsd:double"&gt;0.3467613&lt;/D&gt;&lt;D xsi:type="xsd:double"&gt;0.361518&lt;/D&gt;&lt;D xsi:type="xsd:double"&gt;-0.025120905&lt;/D&gt;&lt;D xsi:type="xsd:double"&gt;0.10643344&lt;/D&gt;&lt;D xsi:type="xsd:double"&gt;0.27583408&lt;/D&gt;&lt;D xsi:type="xsd:double"&gt;0.46951726&lt;/D&gt;&lt;D xsi:type="xsd:double"&gt;0.55034125&lt;/D&gt;&lt;D xsi:type="xsd:double"&gt;0.1298122&lt;/D&gt;&lt;D xsi:type="xsd:double"&gt;0.51482254&lt;/D&gt;&lt;D xsi:type="xsd:double"&gt;0.27538273&lt;/D&gt;&lt;D xsi:type="xsd:double"&gt;0.27007833&lt;/D&gt;&lt;D xsi:type="xsd:double"&gt;0.2000826&lt;/D&gt;&lt;D xsi:type="xsd:double"&gt;0.5611594&lt;/D&gt;&lt;D xsi:type="xsd:double"&gt;0.1313603&lt;/D&gt;&lt;D xsi:type="xsd:double"&gt;0.57532066&lt;/D&gt;&lt;D xsi:type="xsd:double"&gt;0.48273054&lt;/D&gt;&lt;D xsi:type="xsd:double"&gt;0.6068174&lt;/D&gt;&lt;D xsi:type="xsd:double"&gt;0.76713663&lt;/D&gt;&lt;D xsi:type="xsd:double"&gt;0.41632628&lt;/D&gt;&lt;D xsi:type="xsd:double"&gt;0.745344&lt;/D&gt;&lt;D xsi:type="xsd:double"&gt;0.5092608&lt;/D&gt;&lt;D xsi:type="xsd:double"&gt;0.858878&lt;/D&gt;&lt;D xsi:type="xsd:double"&gt;0.6476803&lt;/D&gt;&lt;D xsi:type="xsd:double"&gt;0.056229953&lt;/D&gt;&lt;D xsi:type="xsd:double"&gt;1&lt;/D&gt;&lt;D xsi:type="xsd:double"&gt;0.7052981&lt;/D&gt;&lt;D xsi:type="xsd:double"&gt;0.45508018&lt;/D&gt;&lt;D xsi:type="xsd:double"&gt;0.6422323&lt;/D&gt;&lt;D xsi:type="xsd:double"&gt;-0.38537017&lt;/D&gt;&lt;D xsi:type="xsd:double"&gt;-0.15621121&lt;/D&gt;&lt;D xsi:type="xsd:double"&gt;0.59262514&lt;/D&gt;&lt;D xsi:type="xsd:double"&gt;-0.012500919&lt;/D&gt;&lt;D xsi:type="xsd:double"&gt;0.21769834&lt;/D&gt;&lt;D xsi:type="xsd:double"&gt;-0.52413154&lt;/D&gt;&lt;D xsi:type="xsd:double"&gt;0.56874245&lt;/D&gt;&lt;D xsi:type="xsd:double"&gt;-0.61038214&lt;/D&gt;&lt;D xsi:type="xsd:double"&gt;0.84900993&lt;/D&gt;&lt;D xsi:type="xsd:double"&gt;-0.3320845&lt;/D&gt;&lt;D xsi:type="xsd:double"&gt;0.5924001&lt;/D&gt;&lt;D xsi:type="xsd:double"&gt;0.7546035&lt;/D&gt;&lt;D xsi:type="xsd:double"&gt;0.41956005&lt;/D&gt;&lt;D xsi:type="xsd:double"&gt;0.28294924&lt;/D&gt;&lt;D xsi:type="xsd:double"&gt;0.67038137&lt;/D&gt;&lt;D xsi:type="xsd:double"&gt;0.17302242&lt;/D&gt;&lt;D xsi:type="xsd:double"&gt;0.24884547&lt;/D&gt;&lt;D xsi:type="xsd:double"&gt;-0.14356431&lt;/D&gt;&lt;D xsi:type="xsd:double"&gt;-0.57712185&lt;/D&gt;&lt;D xsi:type="xsd:double"&gt;-0.20563552&lt;/D&gt;&lt;D xsi:type="xsd:double"&gt;-0.6215191&lt;/D&gt;&lt;D xsi:type="xsd:double"&gt;0.63285690000000006&lt;/D&gt;&lt;D xsi:type="xsd:double"&gt;0.6701738&lt;/D&gt;&lt;D xsi:type="xsd:double"&gt;-0.066215195&lt;/D&gt;&lt;D xsi:type="xsd:double"&gt;0.85553306&lt;/D&gt;&lt;D xsi:type="xsd:double"&gt;0.5607042&lt;/D&gt;&lt;D xsi:type="xsd:double"&gt;0.532044&lt;/D&gt;&lt;D xsi:type="xsd:double"&gt;-0.04034785&lt;/D&gt;&lt;D xsi:type="xsd:double"&gt;0.597751&lt;/D&gt;&lt;D xsi:type="xsd:double"&gt;-0.4789946&lt;/D&gt;&lt;D xsi:type="xsd:double"&gt;-0.260506&lt;/D&gt;&lt;D xsi:type="xsd:double"&gt;-0.54459685&lt;/D&gt;&lt;D xsi:type="xsd:double"&gt;0.5082418&lt;/D&gt;&lt;D xsi:type="xsd:double"&gt;0.90112925&lt;/D&gt;&lt;D xsi:type="xsd:double"&gt;0.36926&lt;/D&gt;&lt;D xsi:type="xsd:double"&gt;-0.06770301&lt;/D&gt;&lt;D xsi:type="xsd:double"&gt;0.61610323&lt;/D&gt;&lt;D xsi:type="xsd:double"&gt;0.28456765&lt;/D&gt;&lt;D xsi:type="xsd:double"&gt;0.34441787&lt;/D&gt;&lt;D xsi:type="xsd:double"&gt;0.5712483&lt;/D&gt;&lt;D xsi:type="xsd:double"&gt;0.6710171&lt;/D&gt;&lt;D xsi:type="xsd:double"&gt;0.8091734&lt;/D&gt;&lt;D xsi:type="xsd:double"&gt;0.5707059&lt;/D&gt;&lt;D xsi:type="xsd:double"&gt;0.24681993&lt;/D&gt;&lt;D xsi:type="xsd:double"&gt;0.5879455&lt;/D&gt;&lt;D xsi:type="xsd:double"&gt;0.5728268&lt;/D&gt;&lt;D xsi:type="xsd:double"&gt;0.53702223&lt;/D&gt;&lt;D xsi:type="xsd:double"&gt;0.5336331&lt;/D&gt;&lt;D xsi:type="xsd:double"&gt;0.63800937&lt;/D&gt;&lt;D xsi:type="xsd:double"&gt;0.2651757&lt;/D&gt;&lt;D xsi:type="xsd:double"&gt;0.66543293&lt;/D&gt;&lt;D xsi:type="xsd:double"&gt;0.4492147&lt;/D&gt;&lt;D xsi:type="xsd:double"&gt;0.78623253&lt;/D&gt;&lt;D xsi:type="xsd:double"&gt;0.5153011&lt;/D&gt;&lt;D xsi:type="xsd:double"&gt;0.060745697&lt;/D&gt;&lt;D xsi:type="xsd:double"&gt;0.7052981&lt;/D&gt;&lt;D xsi:type="xsd:double"&gt;1&lt;/D&gt;&lt;D xsi:type="xsd:double"&gt;0.3167326&lt;/D&gt;&lt;D xsi:type="xsd:double"&gt;0.75121504&lt;/D&gt;&lt;D xsi:type="xsd:double"&gt;-0.1818526&lt;/D&gt;&lt;D xsi:type="xsd:double"&gt;0.21885234&lt;/D&gt;&lt;D xsi:type="xsd:double"&gt;0.45704457&lt;/D&gt;&lt;D xsi:type="xsd:double"&gt;0.2115556&lt;/D&gt;&lt;D xsi:type="xsd:double"&gt;0.27703848&lt;/D&gt;&lt;D xsi:type="xsd:double"&gt;-0.46115792&lt;/D&gt;&lt;D xsi:type="xsd:double"&gt;0.62372863&lt;/D&gt;&lt;D xsi:type="xsd:double"&gt;-0.5493959&lt;/D&gt;&lt;D xsi:type="xsd:double"&gt;0.71268433&lt;/D&gt;&lt;D xsi:type="xsd:double"&gt;-0.3832463&lt;/D&gt;&lt;D xsi:type="xsd:double"&gt;0.7354053&lt;/D&gt;&lt;D xsi:type="xsd:double"&gt;0.7045081&lt;/D&gt;&lt;D xsi:type="xsd:double"&gt;0.6765474&lt;/D&gt;&lt;D xsi:type="xsd:double"&gt;0.41962013&lt;/D&gt;&lt;D xsi:type="xsd:double"&gt;0.72418237&lt;/D&gt;&lt;D xsi:type="xsd:double"&gt;0.30819982&lt;/D&gt;&lt;D xsi:type="xsd:double"&gt;0.30774167&lt;/D&gt;&lt;D xsi:type="xsd:double"&gt;0.01868658&lt;/D&gt;&lt;D xsi:type="xsd:double"&gt;-0.64696544&lt;/D&gt;&lt;D xsi:type="xsd:double"&gt;-0.14008239&lt;/D&gt;&lt;D xsi:type="xsd:double"&gt;-0.6097257&lt;/D&gt;&lt;D xsi:type="xsd:double"&gt;0.61346525&lt;/D&gt;&lt;D xsi:type="xsd:double"&gt;0.6272166&lt;/D&gt;&lt;D xsi:type="xsd:double"&gt;0.027950231&lt;/D&gt;&lt;D xsi:type="xsd:double"&gt;0.7346611&lt;/D&gt;&lt;D xsi:type="xsd:double"&gt;0.5591183&lt;/D&gt;&lt;D xsi:type="xsd:double"&gt;0.5905794&lt;/D&gt;&lt;D xsi:type="xsd:double"&gt;0.2580133&lt;/D&gt;&lt;D xsi:type="xsd:double"&gt;0.55222905&lt;/D&gt;&lt;D xsi:type="xsd:double"&gt;-0.43396318&lt;/D&gt;&lt;D xsi:type="xsd:double"&gt;-0.3889228&lt;/D&gt;&lt;D xsi:type="xsd:double"&gt;-0.6449661&lt;/D&gt;&lt;D xsi:type="xsd:double"&gt;0.5455432&lt;/D&gt;&lt;D xsi:type="xsd:double"&gt;0.8020115&lt;/D&gt;&lt;D xsi:type="xsd:double"&gt;0.57999974&lt;/D&gt;&lt;D xsi:type="xsd:double"&gt;-0.08529386&lt;/D&gt;&lt;D xsi:type="xsd:double"&gt;0.6222675&lt;/D&gt;&lt;D xsi:type="xsd:double"&gt;0.33347034&lt;/D&gt;&lt;D xsi:type="xsd:double"&gt;0.30512357&lt;/D&gt;&lt;D xsi:type="xsd:double"&gt;0.5323781&lt;/D&gt;&lt;D xsi:type="xsd:double"&gt;0.59127516&lt;/D&gt;&lt;D xsi:type="xsd:double"&gt;0.71312034&lt;/D&gt;&lt;D xsi:type="xsd:double"&gt;0.57521576&lt;/D&gt;&lt;D xsi:type="xsd:double"&gt;0.29735145&lt;/D&gt;&lt;D xsi:type="xsd:double"&gt;0.7109743&lt;/D&gt;&lt;D xsi:type="xsd:double"&gt;0.83669865&lt;/D&gt;&lt;D xsi:type="xsd:double"&gt;0.34783396&lt;/D&gt;&lt;D xsi:type="xsd:double"&gt;0.72749186&lt;/D&gt;&lt;D xsi:type="xsd:double"&gt;0.7097383&lt;/D&gt;&lt;D xsi:type="xsd:double"&gt;0.7822376&lt;/D&gt;&lt;D xsi:type="xsd:double"&gt;0.6317522&lt;/D&gt;&lt;D xsi:type="xsd:double"&gt;0.9136647&lt;/D&gt;&lt;D xsi:type="xsd:double"&gt;0.41899955&lt;/D&gt;&lt;D xsi:type="xsd:double"&gt;0.021786638&lt;/D&gt;&lt;D xsi:type="xsd:double"&gt;0.39426202&lt;/D&gt;&lt;D xsi:type="xsd:double"&gt;0.45508018&lt;/D&gt;&lt;D xsi:type="xsd:double"&gt;0.3167326&lt;/D&gt;&lt;D xsi:type="xsd:double"&gt;1&lt;/D&gt;&lt;D xsi:type="xsd:double"&gt;0.22474833&lt;/D&gt;&lt;D xsi:type="xsd:double"&gt;-0.4435981&lt;/D&gt;&lt;D xsi:type="xsd:double"&gt;0.1851585&lt;/D&gt;&lt;D xsi:type="xsd:double"&gt;0.8044206&lt;/D&gt;&lt;D xsi:type="xsd:double"&gt;-0.6744499&lt;/D&gt;&lt;D xsi:type="xsd:double"&gt;0.6643301&lt;/D&gt;&lt;D xsi:type="xsd:double"&gt;-0.30883348&lt;/D&gt;&lt;D xsi:type="xsd:double"&gt;0.7333379&lt;/D&gt;&lt;D xsi:type="xsd:double"&gt;-0.017451923&lt;/D&gt;&lt;D xsi:type="xsd:double"&gt;0.6745071&lt;/D&gt;&lt;D xsi:type="xsd:double"&gt;-0.026797779&lt;/D&gt;&lt;D xsi:type="xsd:double"&gt;0.12063544&lt;/D&gt;&lt;D xsi:type="xsd:double"&gt;0.6065602&lt;/D&gt;&lt;D xsi:type="xsd:double"&gt;0.16917206&lt;/D&gt;&lt;D xsi:type="xsd:double"&gt;-0.011176639&lt;/D&gt;&lt;D xsi:type="xsd:double"&gt;0.5265245&lt;/D&gt;&lt;D xsi:type="xsd:double"&gt;0.7625956&lt;/D&gt;&lt;D xsi:type="xsd:double"&gt;0.7009826&lt;/D&gt;&lt;D xsi:type="xsd:double"&gt;-0.40884006&lt;/D&gt;&lt;D xsi:type="xsd:double"&gt;-0.21507537&lt;/D&gt;&lt;D xsi:type="xsd:double"&gt;-0.44010872&lt;/D&gt;&lt;D xsi:type="xsd:double"&gt;0.065621&lt;/D&gt;&lt;D xsi:type="xsd:double"&gt;0.1088164&lt;/D&gt;&lt;D xsi:type="xsd:double"&gt;0.74674755&lt;/D&gt;&lt;D xsi:type="xsd:double"&gt;-0.44570497&lt;/D&gt;&lt;D xsi:type="xsd:double"&gt;0.57618946&lt;/D&gt;&lt;D xsi:type="xsd:double"&gt;0.5656736&lt;/D&gt;&lt;D xsi:type="xsd:double"&gt;0.73859024&lt;/D&gt;&lt;D xsi:type="xsd:double"&gt;0.071051985&lt;/D&gt;&lt;D xsi:type="xsd:double"&gt;0.59848046&lt;/D&gt;&lt;D xsi:type="xsd:double"&gt;0.10443663&lt;/D&gt;&lt;D xsi:type="xsd:double"&gt;0.13463041&lt;/D&gt;&lt;D xsi:type="xsd:double"&gt;-0.21913248&lt;/D&gt;&lt;D xsi:type="xsd:double"&gt;0.81394225&lt;/D&gt;&lt;D xsi:type="xsd:double"&gt;0.40688202&lt;/D&gt;&lt;D xsi:type="xsd:double"&gt;0.11304308&lt;/D&gt;&lt;D xsi:type="xsd:double"&gt;0.601784&lt;/D&gt;&lt;D xsi:type="xsd:double"&gt;0.54511577&lt;/D&gt;&lt;D xsi:type="xsd:double"&gt;0.77343655&lt;/D&gt;&lt;D xsi:type="xsd:double"&gt;0.73421395&lt;/D&gt;&lt;D xsi:type="xsd:double"&gt;0.7060647&lt;/D&gt;&lt;D xsi:type="xsd:double"&gt;0.82040584&lt;/D&gt;&lt;D xsi:type="xsd:double"&gt;0.5909737&lt;/D&gt;&lt;D xsi:type="xsd:double"&gt;0.7217976&lt;/D&gt;&lt;D xsi:type="xsd:double"&gt;0.45147568&lt;/D&gt;&lt;D xsi:type="xsd:double"&gt;0.4033771&lt;/D&gt;&lt;D xsi:type="xsd:double"&gt;0.48854488&lt;/D&gt;&lt;D xsi:type="xsd:double"&gt;0.55299056&lt;/D&gt;&lt;D xsi:type="xsd:double"&gt;0.63082814&lt;/D&gt;&lt;D xsi:type="xsd:double"&gt;0.70033646&lt;/D&gt;&lt;D xsi:type="xsd:double"&gt;0.25793424&lt;/D&gt;&lt;D xsi:type="xsd:double"&gt;0.6629412&lt;/D&gt;&lt;D xsi:type="xsd:double"&gt;0.38986033&lt;/D&gt;&lt;D xsi:type="xsd:double"&gt;0.7965882&lt;/D&gt;&lt;D xsi:type="xsd:double"&gt;0.68108755&lt;/D&gt;&lt;D xsi:type="xsd:double"&gt;-0.021939317&lt;/D&gt;&lt;D xsi:type="xsd:double"&gt;0.6422323&lt;/D&gt;&lt;D xsi:type="xsd:double"&gt;0.75121504&lt;/D&gt;&lt;D xsi:type="xsd:double"&gt;0.22474833&lt;/D&gt;&lt;D xsi:type="xsd:double"&gt;1&lt;/D&gt;&lt;D xsi:type="xsd:double"&gt;-0.48810634&lt;/D&gt;&lt;D xsi:type="xsd:double"&gt;0.107561834&lt;/D&gt;&lt;D xsi:type="xsd:double"&gt;0.4685021&lt;/D&gt;&lt;D xsi:type="xsd:double"&gt;0.14800718&lt;/D&gt;&lt;D xsi:type="xsd:double"&gt;0.22077666&lt;/D&gt;&lt;D xsi:type="xsd:double"&gt;-0.593742&lt;/D&gt;&lt;D xsi:type="xsd:double"&gt;0.5801739&lt;/D&gt;&lt;D xsi:type="xsd:double"&gt;-0.6132668&lt;/D&gt;&lt;D xsi:type="xsd:double"&gt;0.74853843&lt;/D&gt;&lt;D xsi:type="xsd:double"&gt;-0.57678926&lt;/D&gt;&lt;D xsi:type="xsd:double"&gt;0.75374323&lt;/D&gt;&lt;D xsi:type="xsd:double"&gt;0.703399&lt;/D&gt;&lt;D xsi:type="xsd:double"&gt;0.7024969&lt;/D&gt;&lt;D xsi:type="xsd:double"&gt;0.57418203&lt;/D&gt;&lt;D xsi:type="xsd:double"&gt;0.7909317&lt;/D&gt;&lt;D xsi:type="xsd:double"&gt;0.2721855&lt;/D&gt;&lt;D xsi:type="xsd:double"&gt;0.3970575&lt;/D&gt;&lt;D xsi:type="xsd:double"&gt;-0.14011756&lt;/D&gt;&lt;D xsi:type="xsd:double"&gt;-0.7735975&lt;/D&gt;&lt;D xsi:type="xsd:double"&gt;0.045279175&lt;/D&gt;&lt;D xsi:type="xsd:double"&gt;-0.743953&lt;/D&gt;&lt;D xsi:type="xsd:double"&gt;0.80949146&lt;/D&gt;&lt;D xsi:type="xsd:double"&gt;0.74200064&lt;/D&gt;&lt;D xsi:type="xsd:double"&gt;-0.25426295&lt;/D&gt;&lt;D xsi:type="xsd:double"&gt;0.7244427&lt;/D&gt;&lt;D xsi:type="xsd:double"&gt;0.577158&lt;/D&gt;&lt;D xsi:type="xsd:double"&gt;0.56439525&lt;/D&gt;&lt;D xsi:type="xsd:double"&gt;0.025835892&lt;/D&gt;&lt;D xsi:type="xsd:double"&gt;0.5306706&lt;/D&gt;&lt;D xsi:type="xsd:double"&gt;-0.47367373&lt;/D&gt;&lt;D xsi:type="xsd:double"&gt;-0.5917519&lt;/D&gt;&lt;D xsi:type="xsd:double"&gt;-0.80919653&lt;/D&gt;&lt;D xsi:type="xsd:double"&gt;0.6113191&lt;/D&gt;&lt;D xsi:type="xsd:double"&gt;0.7025389&lt;/D&gt;&lt;D xsi:type="xsd:double"&gt;0.56231177&lt;/D&gt;&lt;D xsi:type="xsd:double"&gt;-0.30643168&lt;/D&gt;&lt;D xsi:type="xsd:double"&gt;0.6661307&lt;/D&gt;&lt;D xsi:type="xsd:double"&gt;0.40540025&lt;/D&gt;&lt;D xsi:type="xsd:double"&gt;0.38572758&lt;/D&gt;&lt;D xsi:type="xsd:double"&gt;0.5927705&lt;/D&gt;&lt;D xsi:type="xsd:double"&gt;0.53155684&lt;/D&gt;&lt;D xsi:type="xsd:double"&gt;0.78983235&lt;/D&gt;&lt;D xsi:type="xsd:double"&gt;0.6589832&lt;/D&gt;&lt;D xsi:type="xsd:double"&gt;0.4818474&lt;/D&gt;&lt;D xsi:type="xsd:double"&gt;0.7887759&lt;/D&gt;&lt;D xsi:type="xsd:double"&gt;-0.5058399&lt;/D&gt;&lt;D xsi:type="xsd:double"&gt;-0.2659905&lt;/D&gt;&lt;D xsi:type="xsd:double"&gt;-0.6847535&lt;/D&gt;&lt;D xsi:type="xsd:double"&gt;-0.48546228&lt;/D&gt;&lt;D xsi:type="xsd:double"&gt;-0.66020566&lt;/D&gt;&lt;D xsi:type="xsd:double"&gt;-0.4998567&lt;/D&gt;&lt;D xsi:type="xsd:double"&gt;-0.47637805&lt;/D&gt;&lt;D xsi:type="xsd:double"&gt;-0.50984114&lt;/D&gt;&lt;D xsi:type="xsd:double"&gt;-0.5692062&lt;/D&gt;&lt;D xsi:type="xsd:double"&gt;0.0047804876&lt;/D&gt;&lt;D xsi:type="xsd:double"&gt;-0.38537017&lt;/D&gt;&lt;D xsi:type="xsd:double"&gt;-0.1818526&lt;/D&gt;&lt;D xsi:type="xsd:double"&gt;-0.4435981&lt;/D&gt;&lt;D xsi:type="xsd:double"&gt;-0.48810634&lt;/D&gt;&lt;D xsi:type="xsd:double"&gt;1&lt;/D&gt;&lt;D xsi:type="xsd:double"&gt;0.23806562&lt;/D&gt;&lt;D xsi:type="xsd:double"&gt;-0.47223932&lt;/D&gt;&lt;D xsi:type="xsd:double"&gt;0.43156084&lt;/D&gt;&lt;D xsi:type="xsd:double"&gt;-0.19257605&lt;/D&gt;&lt;D xsi:type="xsd:double"&gt;0.6882119&lt;/D&gt;&lt;D xsi:type="xsd:double"&gt;-0.42975956&lt;/D&gt;&lt;D xsi:type="xsd:double"&gt;0.46846408&lt;/D&gt;&lt;D xsi:type="xsd:double"&gt;-0.56914693&lt;/D&gt;&lt;D xsi:type="xsd:double"&gt;0.50516456&lt;/D&gt;&lt;D xsi:type="xsd:double"&gt;-0.3714907&lt;/D&gt;&lt;D xsi:type="xsd:double"&gt;-0.45400992&lt;/D&gt;&lt;D xsi:type="xsd:double"&gt;-0.27645478&lt;/D&gt;&lt;D xsi:type="xsd:double"&gt;0.026233664&lt;/D&gt;&lt;D xsi:type="xsd:double"&gt;-0.5235979&lt;/D&gt;&lt;D xsi:type="xsd:double"&gt;-0.15649466&lt;/D&gt;&lt;D xsi:type="xsd:double"&gt;-0.37480733&lt;/D&gt;&lt;D xsi:type="xsd:doubl</t>
        </r>
      </text>
    </comment>
    <comment ref="A3" authorId="0" shapeId="0" xr:uid="{D0B2E50F-CFB6-4131-8DC1-85D9FEDC2316}">
      <text>
        <r>
          <rPr>
            <b/>
            <sz val="9"/>
            <color indexed="81"/>
            <rFont val="Tahoma"/>
            <charset val="1"/>
          </rPr>
          <t>e"&gt;0.28003383&lt;/D&gt;&lt;D xsi:type="xsd:double"&gt;0.55073273&lt;/D&gt;&lt;D xsi:type="xsd:double"&gt;0.26831916&lt;/D&gt;&lt;D xsi:type="xsd:double"&gt;0.43240887&lt;/D&gt;&lt;D xsi:type="xsd:double"&gt;-0.45737863&lt;/D&gt;&lt;D xsi:type="xsd:double"&gt;-0.60375893&lt;/D&gt;&lt;D xsi:type="xsd:double"&gt;0.7573286&lt;/D&gt;&lt;D xsi:type="xsd:double"&gt;-0.41875497&lt;/D&gt;&lt;D xsi:type="xsd:double"&gt;-0.36482513&lt;/D&gt;&lt;D xsi:type="xsd:double"&gt;-0.3748171&lt;/D&gt;&lt;D xsi:type="xsd:double"&gt;0.23525842&lt;/D&gt;&lt;D xsi:type="xsd:double"&gt;-0.38682312&lt;/D&gt;&lt;D xsi:type="xsd:double"&gt;0.37921432&lt;/D&gt;&lt;D xsi:type="xsd:double"&gt;0.46287292&lt;/D&gt;&lt;D xsi:type="xsd:double"&gt;0.59028333&lt;/D&gt;&lt;D xsi:type="xsd:double"&gt;-0.5720431&lt;/D&gt;&lt;D xsi:type="xsd:double"&gt;-0.35422182&lt;/D&gt;&lt;D xsi:type="xsd:double"&gt;0.16042666&lt;/D&gt;&lt;D xsi:type="xsd:double"&gt;0.22415851&lt;/D&gt;&lt;D xsi:type="xsd:double"&gt;-0.4788325&lt;/D&gt;&lt;D xsi:type="xsd:double"&gt;-0.61225843&lt;/D&gt;&lt;D xsi:type="xsd:double"&gt;-0.5175591&lt;/D&gt;&lt;D xsi:type="xsd:double"&gt;-0.61492884&lt;/D&gt;&lt;D xsi:type="xsd:double"&gt;-0.48433304&lt;/D&gt;&lt;D xsi:type="xsd:double"&gt;-0.58539957&lt;/D&gt;&lt;D xsi:type="xsd:double"&gt;-0.70447683&lt;/D&gt;&lt;D xsi:type="xsd:double"&gt;-0.44943044&lt;/D&gt;&lt;D xsi:type="xsd:double"&gt;-0.40725163&lt;/D&gt;&lt;D xsi:type="xsd:double"&gt;0.17822501&lt;/D&gt;&lt;D xsi:type="xsd:double"&gt;0.33920607&lt;/D&gt;&lt;D xsi:type="xsd:double"&gt;0.15726557&lt;/D&gt;&lt;D xsi:type="xsd:double"&gt;0.19362265&lt;/D&gt;&lt;D xsi:type="xsd:double"&gt;-0.11421185&lt;/D&gt;&lt;D xsi:type="xsd:double"&gt;0.16542336&lt;/D&gt;&lt;D xsi:type="xsd:double"&gt;0.18785088&lt;/D&gt;&lt;D xsi:type="xsd:double"&gt;0.007983621&lt;/D&gt;&lt;D xsi:type="xsd:double"&gt;-0.2038451&lt;/D&gt;&lt;D xsi:type="xsd:double"&gt;0.4570626&lt;/D&gt;&lt;D xsi:type="xsd:double"&gt;-0.15621121&lt;/D&gt;&lt;D xsi:type="xsd:double"&gt;0.21885234&lt;/D&gt;&lt;D xsi:type="xsd:double"&gt;0.1851585&lt;/D&gt;&lt;D xsi:type="xsd:double"&gt;0.107561834&lt;/D&gt;&lt;D xsi:type="xsd:double"&gt;0.23806562&lt;/D&gt;&lt;D xsi:type="xsd:double"&gt;1&lt;/D&gt;&lt;D xsi:type="xsd:double"&gt;0.19771591&lt;/D&gt;&lt;D xsi:type="xsd:double"&gt;-0.019413667&lt;/D&gt;&lt;D xsi:type="xsd:double"&gt;0.3757388&lt;/D&gt;&lt;D xsi:type="xsd:double"&gt;0.12346871&lt;/D&gt;&lt;D xsi:type="xsd:double"&gt;0.3188586&lt;/D&gt;&lt;D xsi:type="xsd:double"&gt;0.29619613&lt;/D&gt;&lt;D xsi:type="xsd:double"&gt;0.07645264&lt;/D&gt;&lt;D xsi:type="xsd:double"&gt;0.10814845&lt;/D&gt;&lt;D xsi:type="xsd:double"&gt;0.06066252&lt;/D&gt;&lt;D xsi:type="xsd:double"&gt;0.1568458&lt;/D&gt;&lt;D xsi:type="xsd:double"&gt;0.19572209&lt;/D&gt;&lt;D xsi:type="xsd:double"&gt;0.41055056&lt;/D&gt;&lt;D xsi:type="xsd:double"&gt;0.16327083&lt;/D&gt;&lt;D xsi:type="xsd:double"&gt;0.35644087&lt;/D&gt;&lt;D xsi:type="xsd:double"&gt;0.36715943&lt;/D&gt;&lt;D xsi:type="xsd:double"&gt;-0.1524091&lt;/D&gt;&lt;D xsi:type="xsd:double"&gt;0.07997221&lt;/D&gt;&lt;D xsi:type="xsd:double"&gt;0.13711494&lt;/D&gt;&lt;D xsi:type="xsd:double"&gt;0.22090693&lt;/D&gt;&lt;D xsi:type="xsd:double"&gt;0.12761389&lt;/D&gt;&lt;D xsi:type="xsd:double"&gt;0.15902773&lt;/D&gt;&lt;D xsi:type="xsd:double"&gt;0.12876515&lt;/D&gt;&lt;D xsi:type="xsd:double"&gt;0.05858523&lt;/D&gt;&lt;D xsi:type="xsd:double"&gt;0.24879283&lt;/D&gt;&lt;D xsi:type="xsd:double"&gt;0.3959534&lt;/D&gt;&lt;D xsi:type="xsd:double"&gt;0.30659932&lt;/D&gt;&lt;D xsi:type="xsd:double"&gt;0.35962406&lt;/D&gt;&lt;D xsi:type="xsd:double"&gt;0.36644801&lt;/D&gt;&lt;D xsi:type="xsd:double"&gt;0.19078758&lt;/D&gt;&lt;D xsi:type="xsd:double"&gt;0.02167207&lt;/D&gt;&lt;D xsi:type="xsd:double"&gt;0.2972075&lt;/D&gt;&lt;D xsi:type="xsd:double"&gt;-0.04060822&lt;/D&gt;&lt;D xsi:type="xsd:double"&gt;0.45103708&lt;/D&gt;&lt;D xsi:type="xsd:double"&gt;0.21435426&lt;/D&gt;&lt;D xsi:type="xsd:double"&gt;0.27927712&lt;/D&gt;&lt;D xsi:type="xsd:double"&gt;0.36978966&lt;/D&gt;&lt;D xsi:type="xsd:double"&gt;0.18282084&lt;/D&gt;&lt;D xsi:type="xsd:double"&gt;0.27217218&lt;/D&gt;&lt;D xsi:type="xsd:double"&gt;0.1470195&lt;/D&gt;&lt;D xsi:type="xsd:double"&gt;0.16126084&lt;/D&gt;&lt;D xsi:type="xsd:double"&gt;0.17113961&lt;/D&gt;&lt;D xsi:type="xsd:double"&gt;0.2606407&lt;/D&gt;&lt;D xsi:type="xsd:double"&gt;0.22353986&lt;/D&gt;&lt;D xsi:type="xsd:double"&gt;0.74109805&lt;/D&gt;&lt;D xsi:type="xsd:double"&gt;0.6865512&lt;/D&gt;&lt;D xsi:type="xsd:double"&gt;0.8855419&lt;/D&gt;&lt;D xsi:type="xsd:double"&gt;0.7911433&lt;/D&gt;&lt;D xsi:type="xsd:double"&gt;0.67904264&lt;/D&gt;&lt;D xsi:type="xsd:double"&gt;0.7590262&lt;/D&gt;&lt;D xsi:type="xsd:double"&gt;0.7809716&lt;/D&gt;&lt;D xsi:type="xsd:double"&gt;0.64931744&lt;/D&gt;&lt;D xsi:type="xsd:double"&gt;0.34573498&lt;/D&gt;&lt;D xsi:type="xsd:double"&gt;0.58891153&lt;/D&gt;&lt;D xsi:type="xsd:double"&gt;0.59262514&lt;/D&gt;&lt;D xsi:type="xsd:double"&gt;0.45704457&lt;/D&gt;&lt;D xsi:type="xsd:double"&gt;0.8044206&lt;/D&gt;&lt;D xsi:type="xsd:double"&gt;0.4685021&lt;/D&gt;&lt;D xsi:type="xsd:double"&gt;-0.47223932&lt;/D&gt;&lt;D xsi:type="xsd:double"&gt;0.19771591&lt;/D&gt;&lt;D xsi:type="xsd:double"&gt;1&lt;/D&gt;&lt;D xsi:type="xsd:double"&gt;-0.5503546&lt;/D&gt;&lt;D xsi:type="xsd:double"&gt;0.49788964&lt;/D&gt;&lt;D xsi:type="xsd:double"&gt;-0.31839174&lt;/D&gt;&lt;D xsi:type="xsd:double"&gt;0.7281266&lt;/D&gt;&lt;D xsi:type="xsd:double"&gt;-0.08672668&lt;/D&gt;&lt;D xsi:type="xsd:double"&gt;0.74530476&lt;/D&gt;&lt;D xsi:type="xsd:double"&gt;-0.101294674&lt;/D&gt;&lt;D xsi:type="xsd:double"&gt;0.3467842&lt;/D&gt;&lt;D xsi:type="xsd:double"&gt;0.67285633&lt;/D&gt;&lt;D xsi:type="xsd:double"&gt;0.22688776&lt;/D&gt;&lt;D xsi:type="xsd:double"&gt;0.30635595&lt;/D&gt;&lt;D xsi:type="xsd:double"&gt;0.60791814&lt;/D&gt;&lt;D xsi:type="xsd:double"&gt;0.68486345&lt;/D&gt;&lt;D xsi:type="xsd:double"&gt;0.7371331&lt;/D&gt;&lt;D xsi:type="xsd:double"&gt;-0.5011827&lt;/D&gt;&lt;D xsi:type="xsd:double"&gt;-0.23163015&lt;/D&gt;&lt;D xsi:type="xsd:double"&gt;-0.2734492&lt;/D&gt;&lt;D xsi:type="xsd:double"&gt;-0.05726486&lt;/D&gt;&lt;D xsi:type="xsd:double"&gt;0.4356132&lt;/D&gt;&lt;D xsi:type="xsd:double"&gt;0.73067987&lt;/D&gt;&lt;D xsi:type="xsd:double"&gt;-0.3372814&lt;/D&gt;&lt;D xsi:type="xsd:double"&gt;0.6790939&lt;/D&gt;&lt;D xsi:type="xsd:double"&gt;0.7995594&lt;/D&gt;&lt;D xsi:type="xsd:double"&gt;0.7836069&lt;/D&gt;&lt;D xsi:type="xsd:double"&gt;-0.020861488&lt;/D&gt;&lt;D xsi:type="xsd:double"&gt;0.7350981&lt;/D&gt;&lt;D xsi:type="xsd:double"&gt;0.075179316&lt;/D&gt;&lt;D xsi:type="xsd:double"&gt;0.14611904&lt;/D&gt;&lt;D xsi:type="xsd:double"&gt;-0.27152&lt;/D&gt;&lt;D xsi:type="xsd:double"&gt;0.8051152&lt;/D&gt;&lt;D xsi:type="xsd:double"&gt;0.5151653&lt;/D&gt;&lt;D xsi:type="xsd:double"&gt;0.22220345&lt;/D&gt;&lt;D xsi:type="xsd:double"&gt;0.30823344&lt;/D&gt;&lt;D xsi:type="xsd:double"&gt;0.8376209&lt;/D&gt;&lt;D xsi:type="xsd:double"&gt;0.81440437&lt;/D&gt;&lt;D xsi:type="xsd:double"&gt;0.5814817&lt;/D&gt;&lt;D xsi:type="xsd:double"&gt;0.8908815&lt;/D&gt;&lt;D xsi:type="xsd:double"&gt;0.8217458&lt;/D&gt;&lt;D xsi:type="xsd:double"&gt;0.8194901&lt;/D&gt;&lt;D xsi:type="xsd:double"&gt;0.77878255&lt;/D&gt;&lt;D xsi:type="xsd:double"&gt;0.6991858&lt;/D&gt;&lt;D xsi:type="xsd:double"&gt;0.5036932&lt;/D&gt;&lt;D xsi:type="xsd:double"&gt;-0.35265177&lt;/D&gt;&lt;D xsi:type="xsd:double"&gt;-0.13606845&lt;/D&gt;&lt;D xsi:type="xsd:double"&gt;-0.4472052&lt;/D&gt;&lt;D xsi:type="xsd:double"&gt;-0.29487333&lt;/D&gt;&lt;D xsi:type="xsd:double"&gt;-0.5331896&lt;/D&gt;&lt;D xsi:type="xsd:double"&gt;-0.15762259&lt;/D&gt;&lt;D xsi:type="xsd:double"&gt;-0.5724997&lt;/D&gt;&lt;D xsi:type="xsd:double"&gt;-0.00042341131&lt;/D&gt;&lt;D xsi:type="xsd:double"&gt;0.14016518&lt;/D&gt;&lt;D xsi:type="xsd:double"&gt;-0.5503132&lt;/D&gt;&lt;D xsi:type="xsd:double"&gt;-0.012500919&lt;/D&gt;&lt;D xsi:type="xsd:double"&gt;0.2115556&lt;/D&gt;&lt;D xsi:type="xsd:double"&gt;-0.6744499&lt;/D&gt;&lt;D xsi:type="xsd:double"&gt;0.14800718&lt;/D&gt;&lt;D xsi:type="xsd:double"&gt;0.43156084&lt;/D&gt;&lt;D xsi:type="xsd:double"&gt;-0.019413667&lt;/D&gt;&lt;D xsi:type="xsd:double"&gt;-0.5503546&lt;/D&gt;&lt;D xsi:type="xsd:double"&gt;1&lt;/D&gt;&lt;D xsi:type="xsd:double"&gt;-0.3484937&lt;/D&gt;&lt;D xsi:type="xsd:double"&gt;0.107888795&lt;/D&gt;&lt;D xsi:type="xsd:double"&gt;-0.2262641&lt;/D&gt;&lt;D xsi:type="xsd:double"&gt;-0.3662517&lt;/D&gt;&lt;D xsi:type="xsd:double"&gt;-0.19977029&lt;/D&gt;&lt;D xsi:type="xsd:double"&gt;-0.35947698&lt;/D&gt;&lt;D xsi:type="xsd:double"&gt;0.31682047&lt;/D&gt;&lt;D xsi:type="xsd:double"&gt;-0.081682935&lt;/D&gt;&lt;D xsi:type="xsd:double"&gt;0.3831532&lt;/D&gt;&lt;D xsi:type="xsd:double"&gt;0.25565353&lt;/D&gt;&lt;D xsi:type="xsd:double"&gt;-0.043767177&lt;/D&gt;&lt;D xsi:type="xsd:double"&gt;-0.5117651&lt;/D&gt;&lt;D xsi:type="xsd:double"&gt;-0.5281634&lt;/D&gt;&lt;D xsi:type="xsd:double"&gt;0.53530383&lt;/D&gt;&lt;D xsi:type="xsd:double"&gt;-0.26532&lt;/D&gt;&lt;D xsi:type="xsd:double"&gt;0.2605388&lt;/D&gt;&lt;D xsi:type="xsd:double"&gt;-0.48323694&lt;/D&gt;&lt;D xsi:type="xsd:double"&gt;0.115869254&lt;/D&gt;&lt;D xsi:type="xsd:double"&gt;-0.30738455&lt;/D&gt;&lt;D xsi:type="xsd:double"&gt;0.60042113&lt;/D&gt;&lt;D xsi:type="xsd:double"&gt;-0.029094782&lt;/D&gt;&lt;D xsi:type="xsd:double"&gt;-0.29000917&lt;/D&gt;&lt;D xsi:type="xsd:double"&gt;-0.28566948&lt;/D&gt;&lt;D xsi:type="xsd:double"&gt;0.029999442&lt;/D&gt;&lt;D xsi:type="xsd:double"&gt;-0.2202841&lt;/D&gt;&lt;D xsi:type="xsd:double"&gt;-0.41763678&lt;/D&gt;&lt;D xsi:type="xsd:double"&gt;-0.44418594&lt;/D&gt;&lt;D xsi:type="xsd:double"&gt;-0.18559399&lt;/D&gt;&lt;D xsi:type="xsd:double"&gt;-0.4687196&lt;/D&gt;&lt;D xsi:type="xsd:double"&gt;0.10474938&lt;/D&gt;&lt;D xsi:type="xsd:double"&gt;0.30955178&lt;/D&gt;&lt;D xsi:type="xsd:double"&gt;-0.4218115&lt;/D&gt;&lt;D xsi:type="xsd:double"&gt;-0.2598565&lt;/D&gt;&lt;D xsi:type="xsd:double"&gt;-0.63249755&lt;/D&gt;&lt;D xsi:type="xsd:double"&gt;-0.3974988&lt;/D&gt;&lt;D xsi:type="xsd:double"&gt;-0.46438867&lt;/D&gt;&lt;D xsi:type="xsd:double"&gt;-0.4060657&lt;/D&gt;&lt;D xsi:type="xsd:double"&gt;-0.19770119&lt;/D&gt;&lt;D xsi:type="xsd:double"&gt;-0.33873802&lt;/D&gt;&lt;D xsi:type="xsd:double"&gt;-0.38607877&lt;/D&gt;&lt;D xsi:type="xsd:double"&gt;-0.03288105&lt;/D&gt;&lt;D xsi:type="xsd:double"&gt;0.7174476&lt;/D&gt;&lt;D xsi:type="xsd:double"&gt;0.23573127&lt;/D&gt;&lt;D xsi:type="xsd:double"&gt;0.42522532&lt;/D&gt;&lt;D xsi:type="xsd:double"&gt;0.5557173&lt;/D&gt;&lt;D xsi:type="xsd:double"&gt;0.4326272&lt;/D&gt;&lt;D xsi:type="xsd:double"&gt;0.4898092&lt;/D&gt;&lt;D xsi:type="xsd:double"&gt;0.7000561&lt;/D&gt;&lt;D xsi:type="xsd:double"&gt;0.13245368&lt;/D&gt;&lt;D xsi:type="xsd:double"&gt;-0.17246796&lt;/D&gt;&lt;D xsi:type="xsd:double"&gt;0.22529335&lt;/D&gt;&lt;D xsi:type="xsd:double"&gt;0.21769834&lt;/D&gt;&lt;D xsi:type="xsd:double"&gt;0.27703848&lt;/D&gt;&lt;D xsi:type="xsd:double"&gt;0.6643301&lt;/D&gt;&lt;D xsi:type="xsd:double"&gt;0.22077666&lt;/D&gt;&lt;D xsi:type="xsd:double"&gt;-0.19257605&lt;/D&gt;&lt;D xsi:type="xsd:double"&gt;0.3757388&lt;/D&gt;&lt;D xsi:type="xsd:double"&gt;0.49788964&lt;/D&gt;&lt;D xsi:type="xsd:double"&gt;-0.3484937&lt;/D&gt;&lt;D xsi:type="xsd:double"&gt;1&lt;/D&gt;&lt;D xsi:type="xsd:double"&gt;-0.17813426&lt;/D&gt;&lt;D xsi:type="xsd:double"&gt;0.6795951&lt;/D&gt;&lt;D xsi:type="xsd:double"&gt;-0.020788323&lt;/D&gt;&lt;D xsi:type="xsd:double"&gt;0.51526725&lt;/D&gt;&lt;D xsi:type="xsd:double"&gt;-0.13492969&lt;/D&gt;&lt;D xsi:type="xsd:double"&gt;0.27446392&lt;/D&gt;&lt;D xsi:type="xsd:double"&gt;0.593043&lt;/D&gt;&lt;D xsi:type="xsd:double"&gt;0.43436226&lt;/D&gt;&lt;D xsi:type="xsd:double"&gt;0.22615498&lt;/D&gt;&lt;D xsi:type="xsd:double"&gt;0.58248526&lt;/D&gt;&lt;D xsi:type="xsd:double"&gt;0.64851373&lt;/D&gt;&lt;D xsi:type="xsd:double"&gt;0.70323324&lt;/D&gt;&lt;D xsi:type="xsd:double"&gt;-0.15659939&lt;/D&gt;&lt;D xsi:type="xsd:double"&gt;-0.26463658&lt;/D&gt;&lt;D xsi:type="xsd:double"&gt;-0.23089789&lt;/D&gt;&lt;D xsi:type="xsd:double"&gt;0.0043481593&lt;/D&gt;&lt;D xsi:type="xsd:double"&gt;0.021097997&lt;/D&gt;&lt;D xsi:type="xsd:double"&gt;0.61487687&lt;/D&gt;&lt;D xsi:type="xsd:double"&gt;-0.22224216&lt;/D&gt;&lt;D xsi:type="xsd:double"&gt;0.4694725&lt;/D&gt;&lt;D xsi:type="xsd:double"&gt;0.5631175&lt;/D&gt;&lt;D xsi:type="xsd:double"&gt;0.7601857&lt;/D&gt;&lt;D xsi:type="xsd:double"&gt;0.036522113&lt;/D&gt;&lt;D xsi:type="xsd:double"&gt;0.34641865&lt;/D&gt;&lt;D xsi:type="xsd:double"&gt;0.10660843&lt;/D&gt;&lt;D xsi:type="xsd:double"&gt;-0.014284187&lt;/D&gt;&lt;D xsi:type="xsd:double"&gt;-0.32208413&lt;/D&gt;&lt;D xsi:type="xsd:double"&gt;0.6994739&lt;/D&gt;&lt;D xsi:type="xsd:double"&gt;0.30337286&lt;/D&gt;&lt;D xsi:type="xsd:double"&gt;0.46816716&lt;/D&gt;&lt;D xsi:type="xsd:double"&gt;0.5677416&lt;/D&gt;&lt;D xsi:type="xsd:double"&gt;0.38306105&lt;/D&gt;&lt;D xsi:type="xsd:double"&gt;0.5647642&lt;/D&gt;&lt;D xsi:type="xsd:double"&gt;0.5745069&lt;/D&gt;&lt;D xsi:type="xsd:double"&gt;0.44807172&lt;/D&gt;&lt;D xsi:type="xsd:double"&gt;0.70306927&lt;/D&gt;&lt;D xsi:type="xsd:double"&gt;0.3891138&lt;/D&gt;&lt;D xsi:type="xsd:double"&gt;0.62497693&lt;/D&gt;&lt;D xsi:type="xsd:double"&gt;0.43250883&lt;/D&gt;&lt;D xsi:type="xsd:double"&gt;0.43977407&lt;/D&gt;&lt;D xsi:type="xsd:double"&gt;-0.5007658&lt;/D&gt;&lt;D xsi:type="xsd:double"&gt;-0.13774544&lt;/D&gt;&lt;D xsi:type="xsd:double"&gt;-0.51164126&lt;/D&gt;&lt;D xsi:type="xsd:double"&gt;-0.50037867&lt;/D&gt;&lt;D xsi:type="xsd:double"&gt;-0.45088857&lt;/D&gt;&lt;D xsi:type="xsd:double"&gt;-0.4822332&lt;/D&gt;&lt;D xsi:type="xsd:double"&gt;-0.3876727&lt;/D&gt;&lt;D xsi:type="xsd:double"&gt;-0.6437131&lt;/D&gt;&lt;D xsi:type="xsd:double"&gt;-0.5705844&lt;/D&gt;&lt;D xsi:type="xsd:double"&gt;0.22885661&lt;/D&gt;&lt;D xsi:type="xsd:double"&gt;-0.52413154&lt;/D&gt;&lt;D xsi:type="xsd:double"&gt;-0.46115792&lt;/D&gt;&lt;D xsi:type="xsd:double"&gt;-0.30883348&lt;/D&gt;&lt;D xsi:type="xsd:double"&gt;-0.593742&lt;/D&gt;&lt;D xsi:type="xsd:double"&gt;0.6882119&lt;/D&gt;&lt;D xsi:type="xsd:double"&gt;0.12346871&lt;/D&gt;&lt;D xsi:type="xsd:double"&gt;-0.31839174&lt;/D&gt;&lt;D xsi:type="xsd:double"&gt;0.107888795&lt;/D&gt;&lt;D xsi:type="xsd:double"&gt;-0.17813426&lt;/D&gt;&lt;D xsi:type="xsd:double"&gt;1&lt;/D&gt;&lt;D xsi:type="xsd:double"&gt;-0.46177885&lt;/D&gt;&lt;D xsi:type="xsd:double"&gt;0.7647491&lt;/D&gt;&lt;D xsi:type="xsd:double"&gt;-0.6050174&lt;/D&gt;&lt;D xsi:type="xsd:double"&gt;0.58747554&lt;/D&gt;&lt;D xsi:type="xsd:double"&gt;-0.5231798&lt;/D&gt;&lt;D xsi:type="xsd:double"&gt;-0.52851915&lt;/D&gt;&lt;D xsi:type="xsd:double"&gt;-0.39631253&lt;/D&gt;&lt;D xsi:type="xsd:double"&gt;-0.059946407&lt;/D&gt;&lt;D xsi:type="xsd:double"&gt;-0.55493456&lt;/D&gt;&lt;D xsi:type="xsd:double"&gt;-0.031517927&lt;/D&gt;&lt;D xsi:type="xsd:double"&gt;-0.08782814&lt;/D&gt;&lt;D xsi:type="xsd:double"&gt;0.13384417&lt;/D&gt;&lt;D xsi:type="xsd:double"&gt;0.74276257&lt;/D&gt;&lt;D xsi:type="xsd:double"&gt;0.3284975&lt;/D&gt;&lt;D xsi:type="xsd:double"&gt;0.68683773&lt;/D&gt;&lt;D xsi:type="xsd:double"&gt;-0.55062747&lt;/D&gt;&lt;D xsi:type="xsd:double"&gt;-0.56624407&lt;/D&gt;&lt;D xsi:type="xsd:double"&gt;0.4237526&lt;/D&gt;&lt;D xsi:type="xsd:double"&gt;-0.5809325&lt;/D&gt;&lt;D xsi:type="xsd:double"&gt;-0.18694285&lt;/D&gt;&lt;D xsi:type="xsd:double"&gt;-0.34546328&lt;/D&gt;&lt;D xsi:type="xsd:double"&gt;0.22094826&lt;/D&gt;&lt;D xsi:type="xsd:double"&gt;-0.52422273&lt;/D&gt;&lt;D xsi:type="xsd:double"&gt;0.66496646&lt;/D&gt;&lt;D xsi:type="xsd:double"&gt;0.54313695&lt;/D&gt;&lt;D xsi:type="xsd:double"&gt;0.76342994&lt;/D&gt;&lt;D xsi:type="xsd:double"&gt;-0.436767&lt;/D&gt;&lt;D xsi:type="xsd:double"&gt;-0.52138764&lt;/D&gt;&lt;D xsi:type="xsd:double"&gt;-0.042002127&lt;/D&gt;&lt;D xsi:type="xsd:double"&gt;0.30469328&lt;/D&gt;&lt;D xsi:type="xsd:double"&gt;-0.40779045&lt;/D&gt;&lt;D xsi:type="xsd:double"&gt;-0.37961903&lt;/D&gt;&lt;D xsi:type="xsd:double"&gt;-0.31086713&lt;/D&gt;&lt;D xsi:type="xsd:double"&gt;-0.475316&lt;/D&gt;&lt;D xsi:type="xsd:double"&gt;-0.459958&lt;/D&gt;&lt;D xsi:type="xsd:double"&gt;-0.64805746&lt;/D&gt;&lt;D xsi:type="xsd:double"&gt;-0.5875509&lt;/D&gt;&lt;D xsi:type="xsd:double"&gt;-0.1337413&lt;/D&gt;&lt;D xsi:type="xsd:double"&gt;-0.4306494&lt;/D&gt;&lt;D xsi:type="xsd:double"&gt;0.8979742&lt;/D&gt;&lt;D xsi:type="xsd:double"&gt;0.50895375&lt;/D&gt;&lt;D xsi:type="xsd:double"&gt;0.766833&lt;/D&gt;&lt;D xsi:type="xsd:double"&gt;0.8275785&lt;/D&gt;&lt;D xsi:type="xsd:double"&gt;0.64021236&lt;/D&gt;&lt;D xsi:type="xsd:double"&gt;0.7768351&lt;/D&gt;&lt;D xsi:type="xsd:double"&gt;0.7880724&lt;/D&gt;&lt;D xsi:type="xsd:double"&gt;0.6284061&lt;/D&gt;&lt;D xsi:type="xsd:double"&gt;0.26757902&lt;/D&gt;&lt;D xsi:type="xsd:double"&gt;0.18526404&lt;/D&gt;&lt;D xsi:type="xsd:double"&gt;0.56874245&lt;/D&gt;&lt;D xsi:type="xsd:double"&gt;0.62372863&lt;/D&gt;&lt;D xsi:type="xsd:double"&gt;0.7333379&lt;/D&gt;&lt;D xsi:type="xsd:double"&gt;0.5801739&lt;/D&gt;&lt;D xsi:type="xsd:double"&gt;-0.42975956&lt;/D&gt;&lt;D xsi:type="xsd:double"&gt;0.3188586&lt;/D&gt;&lt;D xsi:type="xsd:double"&gt;0.7281266&lt;/D&gt;&lt;D xsi:type="xsd:double"&gt;-0.2262641&lt;/D&gt;&lt;D xsi:type="xsd:double"&gt;0.6795951&lt;/D&gt;&lt;D xsi:type="xsd:double"&gt;-0.46177885&lt;/D&gt;&lt;D xsi:type="xsd:double"&gt;1&lt;/D&gt;&lt;D xsi:type="xsd:double"&gt;-0.40635997&lt;/D&gt;&lt;D xsi:type="xsd:double"&gt;0.82171875&lt;/D&gt;&lt;D xsi:type="xsd:double"&gt;-0.4856052&lt;/D&gt;&lt;D xsi:type="xsd:double"&gt;0.49708882&lt;/D&gt;&lt;D xsi:type="xsd:double"&gt;0.85992986&lt;/D&gt;&lt;D xsi:type="xsd:double"&gt;0.5910918&lt;/D&gt;&lt;D xsi:type="xsd:double"&gt;0.36420682&lt;/D&gt;&lt;D xsi:type="xsd:double"&gt;0.78719914&lt;/D&gt;&lt;D xsi:type="xsd:double"&gt;0.6630419&lt;/D&gt;&lt;D xsi:type="xsd:double"&gt;0.6421144&lt;/D&gt;&lt;D xsi:type="xsd:double"&gt;-0.25186878&lt;/D&gt;&lt;D xsi:type="xsd:double"&gt;-0.6329097&lt;/D&gt;&lt;D xsi:type="xsd:double"&gt;-0.31706643&lt;/D&gt;&lt;D xsi:type="xsd:double"&gt;-0.37913665&lt;/D&gt;&lt;D xsi:type="xsd:double"&gt;0.45123816&lt;/D&gt;&lt;D xsi:type="xsd:double"&gt;0.84922206&lt;/D&gt;&lt;D xsi:type="xsd:double"&gt;-0.27522334&lt;/D&gt;&lt;D xsi:type="xsd:double"&gt;0.8184266&lt;/D&gt;&lt;D xsi:type="xsd:double"&gt;0.6888138&lt;/D&gt;&lt;D xsi:type="xsd:double"&gt;0.89092404&lt;/D&gt;&lt;D xsi:type="xsd:double"&gt;-0.042749774&lt;/D&gt;&lt;D xsi:type="xsd:double"&gt;0.7105625&lt;/D&gt;&lt;D xsi:type="xsd:double"&gt;-0.26493597&lt;/D&gt;&lt;D xsi:type="xsd:double"&gt;-0.25590238&lt;/D&gt;&lt;D xsi:type="xsd:double"&gt;-0.622553&lt;/D&gt;&lt;D xsi:type="xsd:double"&gt;0.8628188&lt;/D&gt;&lt;D xsi:type="xsd:double"&gt;0.62020284&lt;/D&gt;&lt;D xsi:type="xsd:double"&gt;0.45274282&lt;/D&gt;&lt;D xsi:type="xsd:double"&gt;0.36295483&lt;/D&gt;&lt;D xsi:type="xsd:double"&gt;0.73512244&lt;/D&gt;&lt;D xsi:type="xsd:double"&gt;0.7096189&lt;/D&gt;&lt;D xsi:type="xsd:double"&gt;0.6842787&lt;/D&gt;&lt;D xsi:type="xsd:double"&gt;0.7708339&lt;/D&gt;&lt;D xsi:type="xsd:double"&gt;0.854459&lt;/D&gt;&lt;D xsi:type="xsd:double"&gt;0.8170181&lt;/D&gt;&lt;D xsi:type="xsd:double"&gt;0.86639076&lt;/D&gt;&lt;D xsi:type="xsd:double"&gt;0.47875616&lt;/D&gt;&lt;D xsi:type="xsd:double"&gt;0.6453414&lt;/D&gt;&lt;D xsi:type="xsd:double"&gt;-0.3607314&lt;/D&gt;&lt;D xsi:type="xsd:double"&gt;-0.08844843&lt;/D&gt;&lt;D xsi:type="xsd:double"&gt;-0.28168723&lt;/D&gt;&lt;D xsi:type="xsd:double"&gt;-0.42558205&lt;/D&gt;&lt;D xsi:type="xsd:double"&gt;-0.24727322&lt;/D&gt;&lt;D xsi:type="xsd:double"&gt;-0.39735517&lt;/D&gt;&lt;D xsi:type="xsd:double"&gt;-0.17297414&lt;/D&gt;&lt;D xsi:type="xsd:double"&gt;-0.61578697&lt;/D&gt;&lt;D xsi:type="xsd:double"&gt;-0.61799145&lt;/D&gt;&lt;D xsi:type="xsd:double"&gt;0.5558708&lt;/D&gt;&lt;D xsi:type="xsd:double"&gt;-0.61038214&lt;/D&gt;&lt;D xsi:type="xsd:double"&gt;-0.5493959&lt;/D&gt;&lt;D xsi:type="xsd:double"&gt;-0.017451923&lt;/D&gt;&lt;D xsi:type="xsd:double"&gt;-0.6132668&lt;/D&gt;&lt;D xsi:type="xsd:double"&gt;0.46846408&lt;/D&gt;&lt;D xsi:type="xsd:double"&gt;0.29619613&lt;/D&gt;&lt;D xsi:type="xsd:double"&gt;-0.08672668&lt;/D&gt;&lt;D xsi:type="xsd:double"&gt;-0.3662517&lt;/D&gt;&lt;D xsi:type="xsd:double"&gt;-0.020788323&lt;/D&gt;&lt;D xsi:type="xsd:double"&gt;0.7647491&lt;/D&gt;&lt;D xsi:type="xsd:double"&gt;-0.40635997&lt;/D&gt;&lt;D xsi:type="xsd:double"&gt;1&lt;/D&gt;&lt;D xsi:type="xsd:double"&gt;-0.5783722&lt;/D&gt;&lt;D xsi:type="xsd:double"&gt;0.7354019&lt;/D&gt;&lt;D xsi:type="xsd:double"&gt;-0.68980163&lt;/D&gt;&lt;D xsi:type="xsd:double"&gt;-0.57666695&lt;/D&gt;&lt;D xsi:type="xsd:double"&gt;-0.6037804&lt;/D&gt;&lt;D xsi:type="xsd:double"&gt;-0.242498&lt;/D&gt;&lt;D xsi:type="xsd:double"&gt;-0.58211833&lt;/D&gt;&lt;D xsi:type="xsd:double"&gt;0.13641784&lt;/D&gt;&lt;D xsi:type="xsd:double"&gt;0.07737523&lt;/D&gt;&lt;D xsi:type="xsd:double"&gt;-0.2157889&lt;/D&gt;&lt;D xsi:type="xsd:double"&gt;0.86571467&lt;/D&gt;&lt;D xsi:type="xsd:double"&gt;0.2040174&lt;/D&gt;&lt;D xsi:type="xsd:double"&gt;0.88529867&lt;/D&gt;&lt;D xsi:type="xsd:double"&gt;-0.56514883&lt;/D&gt;&lt;D xsi:type="xsd:double"&gt;-0.46160457&lt;/D&gt;&lt;D xsi:type="xsd:double"&gt;0.12538414&lt;/D&gt;&lt;D xsi:type="xsd:double"&gt;-0.61744297&lt;/D&gt;&lt;D xsi:type="xsd:double"&gt;-0.15975733&lt;/D&gt;&lt;D xsi:type="xsd:double"&gt;-0.2173262&lt;/D&gt;&lt;D xsi:type="xsd:double"&gt;0.14774276&lt;/D&gt;&lt;D xsi:type="xsd:double"&gt;-0.26123455&lt;/D&gt;&lt;D xsi:type="xsd:double"&gt;0.94876224&lt;/D&gt;&lt;D xsi:type="xsd:double"&gt;0.7502659&lt;/D&gt;&lt;D xsi:type="xsd:double"&gt;0.82526535&lt;/D&gt;&lt;D xsi:type="xsd:double"&gt;-0.2464597&lt;/D&gt;&lt;D xsi:type="xsd:double"&gt;-0.65457565&lt;/D&gt;&lt;D xsi:type="xsd:double"&gt;-0.2521042&lt;/D&gt;&lt;D xsi:type="xsd:double"&gt;0.3622784&lt;/D&gt;&lt;D xsi:type="xsd:double"&gt;-0.2756399&lt;/D&gt;&lt;D xsi:type="xsd:double"&gt;0.0076930714&lt;/D&gt;&lt;D xsi:type="xsd:double"&gt;-0.17240639&lt;/D&gt;&lt;D xsi:type="xsd:double"&gt;-0.20652287&lt;/D&gt;&lt;D xsi:type="xsd:double"&gt;-0.3602485&lt;/D&gt;&lt;D xsi:type="xsd:double"&gt;-0.57995343&lt;/D&gt;&lt;D xsi:type="xsd:double"&gt;-0.4360067&lt;/D&gt;&lt;D xsi:type="xsd:double"&gt;0.010292069&lt;/D&gt;&lt;D xsi:type="xsd:double"&gt;-0.48778394&lt;/D&gt;&lt;D xsi:type="xsd:double"&gt;0.81038696&lt;/D&gt;&lt;D xsi:type="xsd:double"&gt;0.58211005&lt;/D&gt;&lt;D xsi:type="xsd:double"&gt;0.8069803&lt;/D&gt;&lt;D xsi:type="xsd:double"&gt;0.9271202&lt;/D&gt;&lt;D xsi:type="xsd:double"&gt;0.5876954&lt;/D&gt;&lt;D xsi:type="xsd:double"&gt;0.8809818&lt;/D&gt;&lt;D xsi:type="xsd:double"&gt;0.76261675&lt;/D&gt;&lt;D xsi:type="xsd:double"&gt;0.8429594&lt;/D&gt;&lt;D xsi:type="xsd:double"&gt;0.56039196&lt;/D&gt;&lt;D xsi:type="xsd:double"&gt;0.12809812&lt;/D&gt;&lt;D xsi:type="xsd:double"&gt;0.84900993&lt;/D&gt;&lt;D xsi:type="xsd:double"&gt;0.71268433&lt;/D&gt;&lt;D xsi:type="xsd:double"&gt;0.6745071&lt;/D&gt;&lt;D xsi:type="xsd:double"&gt;0.74853843&lt;/D&gt;&lt;D xsi:type="xsd:double"&gt;-0.56914693&lt;/D&gt;&lt;D xsi:type="xsd:double"&gt;0.07645264&lt;/D&gt;&lt;D xsi:type="xsd:double"&gt;0.74530476&lt;/D&gt;&lt;D xsi:type="xsd:double"&gt;-0.19977029&lt;/D&gt;&lt;D xsi:type="xsd:double"&gt;0.51526725&lt;/D&gt;&lt;D xsi:type="xsd:double"&gt;-0.6050174&lt;/D&gt;&lt;D xsi:type="xsd:double"&gt;0.82171875&lt;/D&gt;&lt;D xsi:type="xsd:double"&gt;-0.5783722&lt;/D&gt;&lt;D xsi:type="xsd:double"&gt;1&lt;/D&gt;&lt;D xsi:type="xsd:double"&gt;-0.47184712&lt;/D&gt;&lt;D xsi:type="xsd:double"&gt;0.6693045&lt;/D&gt;&lt;D xsi:type="xsd:double"&gt;0.91988844&lt;/D&gt;&lt;D xsi:type="xsd:double"&gt;0.5773194&lt;/D&gt;&lt;D xsi:type="xsd:double"&gt;0.4254039&lt;/D&gt;&lt;D xsi:type="xsd:double"&gt;0.8815989&lt;/D&gt;&lt;D xsi:type="xsd:double"&gt;0.4357252&lt;/D&gt;&lt;D xsi:type="xsd:double"&gt;0.59406966&lt;/D&gt;&lt;D xsi:type="xsd:double"&gt;-0.31685635&lt;/D&gt;&lt;D xsi:type="xsd:double"&gt;-0.7054368&lt;/D&gt;&lt;D xsi:type="xsd:double"&gt;-0.2508164&lt;/D&gt;&lt;D xsi:type="xsd:double"&gt;-0.5944705&lt;/D&gt;&lt;D xsi:type="xsd:double"&gt;0.68842506&lt;/D&gt;&lt;D xsi:type="xsd:double"&gt;0.92062354&lt;/D&gt;&lt;D xsi:type="xsd:double"&gt;-0.33956912&lt;/D&gt;&lt;D xsi:type="xsd:double"&gt;0.9148307&lt;/D&gt;&lt;D xsi:type="xsd:double"&gt;0.7665873&lt;/D&gt;&lt;D xsi:type="xsd:double"&gt;0.7988364&lt;/D&gt;&lt;D xsi:type="xsd:double"&gt;-0.043271035&lt;/D&gt;&lt;D xsi:type="xsd:double"&gt;0.7165605&lt;/D&gt;&lt;D xsi:type="xsd:double"&gt;-0.40439585&lt;/D&gt;&lt;D xsi:type="xsd:double"&gt;-0.35884032&lt;/D&gt;&lt;D xsi:type="xsd:double"&gt;-0.7287842&lt;/D&gt;&lt;D xsi:type="xsd:double"&gt;0.8253249&lt;/D&gt;&lt;D xsi:type="xsd:double"&gt;0.8552793&lt;/D&gt;&lt;D xsi:type="xsd:double"&gt;0.41056362&lt;/D&gt;&lt;D xsi:type="xsd:double"&gt;0.037115566&lt;/D&gt;&lt;D xsi:type="xsd:double"&gt;0.78449905&lt;/D&gt;&lt;D xsi:type="xsd:double"&gt;0.6130658&lt;/D&gt;&lt;D xsi:type="xsd:double"&gt;0.61398566&lt;/D&gt;&lt;D xsi:type="xsd:double"&gt;0.77975976&lt;/D&gt;&lt;D xsi:type="xsd:double"&gt;0.8756379&lt;/D&gt;&lt;D xsi:type="xsd:double"&gt;0.9367645&lt;/D&gt;&lt;D xsi:type="xsd:double"&gt;0.8474536&lt;/D&gt;&lt;D xsi:type="xsd:double"&gt;0.512672&lt;/D&gt;&lt;D xsi:type="xsd:double"&gt;0.76342577&lt;/D&gt;&lt;D xsi:type="xsd:double"&gt;-0.42778265&lt;/D&gt;&lt;D xsi:type="xsd:double"&gt;-0.16400461&lt;/D&gt;&lt;D xsi:type="xsd:double"&gt;-0.34861964&lt;/D&gt;&lt;D xsi:type="xsd:double"&gt;-0.3085307&lt;/D&gt;&lt;D xsi:type="xsd:double"&gt;-0.36220983&lt;/D&gt;&lt;D xsi:type="xsd:double"&gt;-0.2981793&lt;/D&gt;&lt;D xsi:type="xsd:double"&gt;-0.18459657&lt;/D&gt;&lt;D xsi:type="xsd:double"&gt;-0.5037021&lt;/D&gt;&lt;D xsi:type="xsd:double"&gt;-0.51955026&lt;/D&gt;&lt;D xsi:type="xsd:double"&gt;0.4677539&lt;/D&gt;&lt;D xsi:type="xsd:double"&gt;-0.3320845&lt;/D&gt;&lt;D xsi:type="xsd:double"&gt;-0.3832463&lt;/D&gt;&lt;D xsi:type="xsd:double"&gt;-0.026797779&lt;/D&gt;&lt;D xsi:type="xsd:double"&gt;-0.57678926&lt;/D&gt;&lt;D xsi:type="xsd:double"&gt;0.50516456&lt;/D&gt;&lt;D xsi:type="xsd:double"&gt;0.10814845&lt;/D&gt;&lt;D xsi:type="xsd:double"&gt;-0.101294674&lt;/D&gt;&lt;D xsi:type="xsd:double"&gt;-0.35947698&lt;/D&gt;&lt;D xsi:type="xsd:double"&gt;-0.13492969&lt;/D&gt;&lt;D xsi:type="xsd:double"&gt;0.58747554&lt;/D&gt;&lt;D xsi:type="xsd:double"&gt;-0.4856052&lt;/D&gt;&lt;D xsi:type="xsd:double"&gt;0.7354019&lt;/D&gt;&lt;D xsi:type="xsd:double"&gt;-0.47184712&lt;/D&gt;&lt;D xsi:type="xsd:double"&gt;1&lt;/D&gt;&lt;D xsi:type="xsd:double"&gt;-0.6798749&lt;/D&gt;&lt;D xsi:type="xsd:double"&gt;-0.5260184&lt;/D&gt;&lt;D xsi:type="xsd:double"&gt;-0.7126808&lt;/D&gt;&lt;D xsi:type="xsd:double"&gt;-0.2245725&lt;/D&gt;&lt;D xsi:type="xsd:double"&gt;-0.57735753&lt;/D&gt;&lt;D xsi:type="xsd:double"&gt;0.055579327&lt;/D&gt;&lt;D xsi:type="xsd:double"&gt;-0.06167668&lt;/D&gt;&lt;D xsi:type="xsd:double"&gt;-0.07939277&lt;/D&gt;&lt;D xsi:type="xsd:double"&gt;0.86894155&lt;/D&gt;&lt;D xsi:type="xsd:double"&gt;0.22747284&lt;/D&gt;&lt;D xsi:type="xsd:double"&gt;0.7839183&lt;/D&gt;&lt;D xsi:type="xsd:double"&gt;-0.5001142&lt;/D&gt;&lt;D xsi:type="xsd:double"&gt;-0.4466592&lt;/D&gt;&lt;D xsi:type="xsd:double"&gt;0.17886323&lt;/D&gt;&lt;D xsi:type="xsd:double"&gt;-0.48990962&lt;/D&gt;&lt;D xsi:type="xsd:double"&gt;-0.20115279&lt;/D&gt;&lt;D xsi:type="xsd:double"&gt;-0.33126&lt;/D&gt;&lt;D xsi:type="xsd:double"&gt;0.31289127&lt;/D&gt;&lt;D xsi:type="xsd:double"&gt;-0.2887251&lt;/D&gt;&lt;D xsi:type="xsd:double"&gt;0.667399&lt;/D&gt;&lt;D xsi:type="xsd:double"&gt;0.8394232&lt;/D&gt;&lt;D xsi:type="xsd:double"&gt;0.8132365&lt;/D&gt;&lt;D xsi:type="xsd:double"&gt;-0.33014768&lt;/D&gt;&lt;D xsi:type="xsd:double"&gt;-0.4384787&lt;/D&gt;&lt;D xsi:type="xsd:double"&gt;-0.13164048&lt;/D&gt;&lt;D xsi:type="xsd:double"&gt;0.3078645&lt;/D&gt;&lt;D xsi:type="xsd:double"&gt;-0.32674855&lt;/D&gt;&lt;D xsi:type="xsd:double"&gt;-0.19851953&lt;/D&gt;&lt;D xsi:type="xsd:double"&gt;-0.36001346&lt;/D&gt;&lt;D xsi:type="xsd:double"&gt;-0.3315268&lt;/D&gt;&lt;D xsi:type="xsd:double"&gt;-0.31524345&lt;/D&gt;&lt;D xsi:type="xsd:double"&gt;-0.50624406&lt;/D&gt;&lt;D xsi:type="xsd:double"&gt;-0.5560694&lt;/D&gt;&lt;D xsi:type="xsd:double"&gt;-0.11102861&lt;/D&gt;&lt;D xsi:type="xsd:double"&gt;-0.4170805&lt;/D&gt;&lt;D xsi:type="xsd:double"&gt;0.46023917&lt;/D&gt;&lt;D xsi:type="xsd:double"&gt;0.45975858&lt;/D&gt;&lt;D xsi:type="xsd:double"&gt;0.47882834&lt;/D&gt;&lt;D xsi:type="xsd:double"&gt;0.52026325&lt;/D&gt;&lt;D xsi:type="xsd:double"&gt;0.22123832&lt;/D&gt;&lt;D xsi:type="xsd:double"&gt;0.56519127&lt;/D&gt;&lt;D xsi:type="xsd:double"&gt;0.30998418&lt;/D&gt;&lt;D xsi:type="xsd:double"&gt;0.6825136&lt;/D&gt;&lt;D xsi:type="xsd:double"&gt;0.6513995&lt;/D&gt;&lt;D xsi:type="xsd:double"&gt;-0.15248558&lt;/D&gt;&lt;D xsi:type="xsd:double"&gt;0.5924001&lt;/D&gt;&lt;D xsi:type="xsd:double"&gt;0.7354053&lt;/D&gt;&lt;D xsi:type="xsd:double"&gt;0.12063544&lt;/D&gt;&lt;D xsi:type="xsd:double"&gt;0.75374323&lt;/D&gt;&lt;D xsi:type="xsd:double"&gt;-0.3714907&lt;/D&gt;&lt;D xsi:type="xsd:double"&gt;0.06066252&lt;/D&gt;&lt;D xsi:type="xsd:double"&gt;0.3467842&lt;/D&gt;&lt;D xsi:type="xsd:double"&gt;0.31682047&lt;/D&gt;&lt;D xsi:type="xsd:double"&gt;0.27446392&lt;/D&gt;&lt;D xsi:type="xsd:double"&gt;-0.5231798&lt;/D&gt;&lt;D xsi:type="xsd:double"&gt;0.49708882&lt;/D&gt;&lt;D xsi:type="xsd:double"&gt;-0.68980163&lt;/D&gt;&lt;D xsi:type="xsd:double"&gt;0.6693045&lt;/D&gt;&lt;D xsi:type="xsd:double"&gt;-0.6798749&lt;/D&gt;&lt;D xsi:type="xsd:double"&gt;1&lt;/D&gt;&lt;D xsi:type="xsd:double"&gt;0.6604481&lt;/D&gt;&lt;D xsi:type="xsd:double"&gt;0.81036806&lt;/D&gt;&lt;D xsi:type="xsd:double"&gt;0.50156087&lt;/D&gt;&lt;D xsi:type="xsd:double"&gt;0.7812437&lt;/D&gt;&lt;D xsi:type="xsd:double"&gt;0.05175036&lt;/D&gt;&lt;D xsi:type="xsd:double"&gt;0.32507592&lt;/D&gt;&lt;D xsi:type="xsd:double"&gt;0.124204546&lt;/D&gt;&lt;D xsi:type="xsd:double"&gt;-0.74487764&lt;/D&gt;&lt;D xsi:type="xsd:double"&gt;-0.17388873&lt;/D&gt;&lt;D xsi:type="xsd:double"&gt;-0.7617281&lt;/D&gt;&lt;D xsi:type="xsd:double"&gt;0.6527751&lt;/D&gt;&lt;D xsi:type="xsd:double"&gt;0.5649127&lt;/D&gt;&lt;D xsi:type="xsd:double"&gt;-0.06924668&lt;/D&gt;&lt;D xsi:type="xsd:double"&gt;0.63365567&lt;/D&gt;&lt;D xsi:type="xsd:double"&gt;0.54918116&lt;/D&gt;&lt;D xsi:type="xsd:double"&gt;0.4993955&lt;/D&gt;&lt;D xsi:type="xsd:double"&gt;0.052855805&lt;/D&gt;&lt;D xsi:type="xsd:double"&gt;0.3676204&lt;/D&gt;&lt;D xsi:type="xsd:double"&gt;-0.54576594&lt;/D&gt;&lt;D xsi:type="xsd:double"&gt;-0.65477395&lt;/D&gt;&lt;D xsi:type="xsd:double"&gt;-0.78435355&lt;/D&gt;&lt;D xsi:type="xsd:double"&gt;0.4536123&lt;/D&gt;&lt;D xsi:type="xsd:double"&gt;0.7369917&lt;/D&gt;&lt;D xsi:type="xsd:double"&gt;0.4650657&lt;/D&gt;&lt;D xsi:type="xsd:double"&gt;-0.3405012&lt;/D&gt;&lt;D xsi:type="xsd:double"&gt;0.55373913&lt;/D&gt;&lt;D xsi:type="xsd:double"&gt;0.2651171&lt;/D&gt;&lt;D xsi:type="xsd:double"&gt;0.29135168&lt;/D&gt;&lt;D xsi:type="xsd:double"&gt;0.42343318&lt;/D&gt;&lt;D xsi:type="xsd:double"&gt;0.5400769&lt;/D&gt;&lt;D xsi:type="xsd:double"&gt;0.6871155&lt;/D&gt;&lt;D xsi:type="xsd:double"&gt;0.59382087&lt;/D&gt;&lt;D xsi:type="xsd:double"&gt;0.39985222&lt;/D&gt;&lt;D xsi:type="xsd:double"&gt;0.70407116&lt;/D&gt;&lt;D xsi:type="xsd:double"&gt;0.8368366&lt;/D&gt;&lt;D xsi:type="xsd:double"&gt;0.51846033&lt;/D&gt;&lt;D xsi:type="xsd:double"&gt;0.7277019&lt;/D&gt;&lt;D xsi:type="xsd:double"&gt;0.9125321&lt;/D&gt;&lt;D xsi:type="xsd:double"&gt;0.5375467&lt;/D&gt;&lt;D xsi:type="xsd:double"&gt;0.8208575&lt;/D&gt;&lt;D xsi:type="xsd:double"&gt;0.72448653&lt;/D&gt;&lt;D xsi:type="xsd:double"&gt;0.7435631&lt;/D&gt;&lt;D xsi:type="xsd:double"&gt;0.42787617&lt;/D&gt;&lt;D xsi:type="xsd:double"&gt;0.066873245&lt;/D&gt;&lt;D xsi:type="xsd:double"&gt;0.7546035&lt;/D&gt;&lt;D xsi:type="xsd:double"&gt;0.7045081&lt;/D&gt;&lt;D xsi:type="xsd:double"&gt;0.6065602&lt;/D&gt;&lt;D xsi:type="xsd:double"&gt;0.703399&lt;/D&gt;&lt;D xsi:type="xsd:double"&gt;-0.45400992&lt;/D&gt;&lt;D xsi:type="xsd:double"&gt;0.1568458&lt;/D&gt;&lt;D xsi:type="xsd:double"&gt;0.67285633&lt;/D&gt;&lt;D xsi:type="xsd:double"&gt;-0.081682935&lt;/D&gt;&lt;D xsi:type="xsd:double"&gt;0.593043&lt;/D&gt;&lt;D xsi:type="xsd:double"&gt;-0.52851915&lt;/D&gt;&lt;D xsi:type="xsd:double"&gt;0.85992986&lt;/D&gt;&lt;D xsi:type="xsd:double"&gt;-0.57666695&lt;/D&gt;&lt;D xsi:type="xsd:double"&gt;0.91988844&lt;/D&gt;&lt;D xsi:type="xsd:double"&gt;-0.5260184&lt;/D&gt;&lt;D xsi:type="xsd:double"&gt;0.6604481&lt;/D&gt;&lt;D xsi:type="xsd:double"&gt;1&lt;/D&gt;&lt;D xsi:type="xsd:double"&gt;0.69263566&lt;/D&gt;&lt;D xsi:type="xsd:double"&gt;0.472081&lt;/D&gt;&lt;D xsi:type="xsd:double"&gt;0.8890746&lt;/D&gt;&lt;D xsi:type="xsd:double"&gt;0.49480748&lt;/D&gt;&lt;D xsi:type="xsd:double"&gt;0.60337955&lt;/D&gt;&lt;D xsi:type="xsd:double"&gt;-0.18981612&lt;/D&gt;&lt;D xsi:type="xsd:double"&gt;-0.73058695&lt;/D&gt;&lt;D xsi:type="xsd:double"&gt;-0.24582274&lt;/D&gt;&lt;D xsi:type="xsd:double"&gt;-0.58959556&lt;/D&gt;&lt;D xsi:type="xsd:double"&gt;0.62770265&lt;/D&gt;&lt;D xsi:type="xsd:double"&gt;0.8817496&lt;/D&gt;&lt;D xsi:type="xsd:double"&gt;-0.25687203&lt;/D&gt;&lt;D xsi:type="xsd:double"&gt;0.91006905&lt;/D&gt;&lt;D xsi:type="xsd:double"&gt;0.7403863&lt;/D&gt;&lt;D xsi:type="xsd:double"&gt;0.81975186&lt;/D&gt;&lt;D xsi:type="xsd:double"&gt;-0.08211663&lt;/D&gt;&lt;D xsi:type="xsd:double"&gt;0.6353994&lt;/D&gt;&lt;D xsi:type="xsd:double"&gt;-0.4217524&lt;/D&gt;&lt;D xsi:type="xsd:double"&gt;-0.38802302&lt;/D&gt;&lt;D xsi:type="xsd:double"&gt;-0.7428472&lt;/D&gt;&lt;D xsi:type="xsd:double"&gt;0.81914884&lt;/D&gt;&lt;D xsi:type="xsd:double"&gt;0.8117707&lt;/D&gt;&lt;D xsi:type="xsd:double"&gt;0.49007583&lt;/D&gt;&lt;D xsi:type="xsd:double"&gt;0.1313109&lt;/D&gt;&lt;D xsi:type="xsd:double"&gt;0.71342415&lt;/D&gt;&lt;D xsi:type="xsd:double"&gt;0.5582189&lt;/D&gt;&lt;D xsi:type="xsd:double"&gt;0.6439204&lt;/D&gt;&lt;D xsi:type="xsd:double"&gt;0.71768224&lt;/D&gt;&lt;D xsi:type="xsd:double"&gt;0.8529206&lt;/D&gt;&lt;D xsi:type="xsd:double"&gt;0.87586296&lt;/D&gt;&lt;D xsi:type="xsd:double"&gt;0.8304064&lt;/D&gt;&lt;D xsi:type="xsd:double"&gt;0.49996868&lt;/D&gt;&lt;D xsi:type="xsd:double"&gt;0.77254057&lt;/D&gt;&lt;D xsi:type="xsd:double"&gt;0.5677713&lt;/D&gt;&lt;D xsi:type="xsd:double"&gt;0.3221216&lt;/D&gt;&lt;D xsi:type="xsd:double"&gt;0.4064675&lt;/D&gt;&lt;D xsi:type="xsd:double"&gt;0.5042332&lt;/D&gt;&lt;D xsi:type="xsd:double"&gt;0.2693117&lt;/D&gt;&lt;D xsi:type="xsd:double"&gt;0.48543274&lt;/D&gt;&lt;D xsi:type="xsd:double"&gt;0.35893476&lt;/D&gt;&lt;D xsi:type="xsd:double"&gt;0.51730293&lt;/D&gt;&lt;D xsi:type="xsd:double"&gt;0.3697973&lt;/D&gt;&lt;D xsi:type="xsd:double"&gt;-0.23671009&lt;/D&gt;&lt;D xsi:type="xsd:double"&gt;0.41956005&lt;/D&gt;&lt;D xsi:type="xsd:double"&gt;0.6765474&lt;/D&gt;&lt;D xsi:type="xsd:double"&gt;0.16917206&lt;/D&gt;&lt;D xsi:type="xsd:double"&gt;0.7024969&lt;/D&gt;&lt;D xsi:type="xsd:double"&gt;-0.27645478&lt;/D&gt;&lt;D xsi:type="xsd:double"&gt;0.19572209&lt;/D&gt;&lt;D xsi:type="xsd:double"&gt;0.22688776&lt;/D&gt;&lt;D xsi:type="xsd:double"&gt;0.3831532&lt;/D&gt;&lt;D xsi:type="xsd:double"&gt;0.43436226&lt;/D&gt;&lt;D xsi:type="xsd:double"&gt;-0.39631253&lt;/D&gt;&lt;D xsi:type="xsd:double"&gt;0.5910918&lt;/D&gt;&lt;D xsi:type="xsd:double"&gt;-0.6037804&lt;/D&gt;&lt;D xsi:type="xsd:double"&gt;0.5773194&lt;/D&gt;&lt;D xsi:type="xsd:double"&gt;-0.7126808&lt;/D&gt;&lt;D xsi:type="xsd:double"&gt;0.81036806&lt;/D&gt;&lt;D xsi:type="xsd:double"&gt;0.69263566&lt;/D&gt;&lt;D xsi:type="xsd:double"&gt;1&lt;/D&gt;&lt;D xsi:type="xsd:double"&gt;0.40817115&lt;/D&gt;&lt;D xsi:type="xsd:double"&gt;0.80185014&lt;/D&gt;&lt;D xsi:type="xsd:double"&gt;0.2685753&lt;/D&gt;&lt;D xsi:type="xsd:double"&gt;0.39293468&lt;/D&gt;&lt;D xsi:type="xsd:double"&gt;0.19738291&lt;/D&gt;&lt;D xsi:type="xsd:double"&gt;-0.7872718&lt;/D&gt;&lt;D xsi:type="xsd:double"&gt;-0.15878253&lt;/D&gt;&lt;D xsi:type="xsd:double"&gt;-0.70549697&lt;/D&gt;&lt;D xsi:type="xsd:double"&gt;0.45461726&lt;/D&gt;&lt;D xsi:type="xsd:double"&gt;0.60164076&lt;/D&gt;&lt;D xsi:type="xsd:double"&gt;-0.09883643&lt;/D&gt;&lt;D xsi:type="xsd:double"&gt;0.592622&lt;/D&gt;&lt;D xsi:type="xsd:double"&gt;0.43948123&lt;/D&gt;&lt;D xsi:type="xsd:double"&gt;0.571006&lt;/D&gt;&lt;D xsi:type="xsd:double"&gt;0.16843158&lt;/D&gt;&lt;D xsi:type="xsd:double"&gt;0.2749548&lt;/D&gt;&lt;D xsi:type="xsd:double"&gt;-0.50848454&lt;/D&gt;&lt;D xsi:type="xsd:double"&gt;-0.7456524&lt;/D&gt;&lt;D xsi:type="xsd:double"&gt;-0.7910519&lt;/D&gt;&lt;D xsi:type="xsd:double"&gt;0.5342216&lt;/D&gt;&lt;D xsi:type="xsd:double"&gt;0.6270244&lt;/D&gt;&lt;D xsi:type="xsd:double"&gt;0.5865011&lt;/D&gt;&lt;D xsi:type="xsd:double"&gt;-0.0999042&lt;/D&gt;&lt;D xsi:type="xsd:double"&gt;0.3923285&lt;/D&gt;&lt;D xsi:type="xsd:double"&gt;0.27512106&lt;/D&gt;&lt;D xsi:type="xsd:double"&gt;0.4437748&lt;/D&gt;&lt;D xsi:type="xsd:double"&gt;0.36231497&lt;/D&gt;&lt;D xsi:type="xsd:double"&gt;0.52126163&lt;/D&gt;&lt;D xsi:type="xsd:double"&gt;0.54250973&lt;/D&gt;&lt;D xsi:type="xsd:double"&gt;0.62082815&lt;/D&gt;&lt;D xsi:type="xsd:double"&gt;0.35741648&lt;/D&gt;&lt;D xsi:type="xsd:double"&gt;0.7284775&lt;/D&gt;&lt;D xsi:type="xsd:double"&gt;0.13612095&lt;/D&gt;&lt;D xsi:type="xsd:double"&gt;0.5688148&lt;/D&gt;&lt;D xsi:type="xsd:double"&gt;0.35675654&lt;/D&gt;&lt;D xsi:type="xsd:double"&gt;0.49254277&lt;/D&gt;&lt;D xsi:type="xsd:double"&gt;-0.19684651&lt;/D&gt;&lt;D xsi:type="xsd:double"&gt;0.42313325&lt;/D&gt;&lt;D xsi:type="xsd:double"&gt;0.14919218&lt;/D&gt;&lt;D xsi:type="xsd:double"&gt;0.35586062&lt;/D&gt;&lt;D xsi:type="xsd:double"&gt;0.33681774&lt;/D&gt;&lt;D xsi:type="xsd:double"&gt;0.14157228&lt;/D&gt;&lt;D xsi:type="xsd:double"&gt;0.28294924&lt;/D&gt;&lt;D xsi:type="xsd:double"&gt;0.41962013&lt;/D&gt;&lt;D xsi:type="xsd:double"&gt;-0.011176639&lt;/D&gt;&lt;D xsi:type="xsd:double"&gt;0.57418203&lt;/D&gt;&lt;D xsi:type="xsd:double"&gt;0.026233664&lt;/D&gt;&lt;D xsi:type="xsd:double"&gt;0.41055056&lt;/D&gt;&lt;D xsi:type="xsd:double"&gt;0.30635595&lt;/D&gt;&lt;D xsi:type="xsd:double"&gt;0.25565353&lt;/D&gt;&lt;D xsi:type="xsd:double"&gt;0.22615498&lt;/D&gt;&lt;D xsi:type="xsd:double"&gt;-0.059946407&lt;/D&gt;&lt;D xsi:type="xsd:double"&gt;0.36420682&lt;/D&gt;&lt;D xsi:type="xsd:double"&gt;-0.242498&lt;/D&gt;&lt;D xsi:type="xsd:double"&gt;0.4254039&lt;/D&gt;&lt;D xsi:type="xsd:double"&gt;-0.2245725&lt;/D&gt;&lt;D xsi:type="xsd:double"&gt;0.50156087&lt;/D&gt;&lt;D xsi:type="xsd:double"&gt;0.472081&lt;/D&gt;&lt;D xsi:type="xsd:double"&gt;0.40817115&lt;/D&gt;&lt;D xsi:type="xsd:double"&gt;1&lt;/D&gt;&lt;D xsi:type="xsd:double"&gt;0.49832928&lt;/D&gt;&lt;D xsi:type="xsd:double"&gt;0.06357893&lt;/D&gt;&lt;D xsi:type="xsd:double"&gt;0.35369202&lt;/D&gt;&lt;D xsi:type="xsd:double"&gt;-0.21471515&lt;/D&gt;&lt;D xsi:type="xsd:double"&gt;-0.29174507&lt;/D&gt;&lt;D xsi:type="xsd:double"&gt;0.1267824&lt;/D&gt;&lt;D xsi:type="xsd:double"&gt;-0.39070034&lt;/D&gt;&lt;D xsi:type="xsd:double"&gt;0.6416927&lt;/D&gt;&lt;D xsi:type="xsd:double"&gt;0.37909806&lt;/D&gt;&lt;D xsi:type="xsd:double"&gt;0.0898514&lt;/D&gt;&lt;D xsi:type="xsd:double"&gt;0.41349578&lt;/D&gt;&lt;D xsi:type="xsd:double"&gt;0.59296376&lt;/D&gt;&lt;D xsi:type="xsd:double"&gt;0.42793915&lt;/D&gt;&lt;D xsi:type="xsd:double"&gt;-0.059979063&lt;/D&gt;&lt;D xsi:type="xsd:double"&gt;0.3450868&lt;/D&gt;&lt;D xsi:type="xsd:double"&gt;-0.13430445&lt;/D&gt;&lt;D xsi:type="xsd:double"&gt;-0.15824205&lt;/D&gt;&lt;D xsi:type="xsd:double"&gt;-0.40218344&lt;/D&gt;&lt;D xsi:type="xsd:double"&gt;0.3311012&lt;/D&gt;&lt;D xsi:type="xsd:double"&gt;0.39135617&lt;/D&gt;&lt;D xsi:type="xsd:double"&gt;0.5565841&lt;/D&gt;&lt;D xsi:type="xsd:double"&gt;-0.29481098&lt;/D&gt;&lt;D xsi:type="xsd:double"&gt;0.5671245&lt;/D&gt;&lt;D xsi:type="xsd:double"&gt;0.21568754&lt;/D&gt;&lt;D xsi:type="xsd:double"&gt;0.17354833&lt;/D&gt;&lt;D xsi:type="xsd:double"&gt;0.31690857&lt;/D&gt;&lt;D xsi:type="xsd:double"&gt;0.2892241&lt;/D&gt;&lt;D xsi:type="xsd:double"&gt;0.5204065&lt;/D&gt;&lt;D xsi:type="xsd:double"&gt;0.27927503&lt;/D&gt;&lt;D xsi:type="xsd:double"&gt;0.45657817&lt;/D&gt;&lt;D xsi:type="xsd:double"&gt;0.60045195&lt;/D&gt;&lt;D xsi:type="xsd:double"&gt;0.7922843&lt;/D&gt;&lt;D xsi:type="xsd:double"&gt;0.602229&lt;/D&gt;&lt;D xsi:type="xsd:double"&gt;0.7370436&lt;/D&gt;&lt;D xsi:type="xsd:double"&gt;0.8450607&lt;/D&gt;&lt;D xsi:type="xsd:double"&gt;0.48267743&lt;/D&gt;&lt;D xsi:type="xsd:double"&gt;0.76555&lt;/D&gt;&lt;D xsi:type="xsd:double"&gt;0.6949818&lt;/D&gt;&lt;D xsi:type="xsd:double"&gt;0.72333103&lt;/D&gt;&lt;D xsi:type="xsd:double"&gt;0.5396871&lt;/D&gt;&lt;D xsi:type="xsd:double"&gt;0.06454092&lt;/D&gt;&lt;D xsi:type="xsd:double"&gt;0.67038137&lt;/D&gt;&lt;D xsi:type="xsd:double"&gt;0.72418237&lt;/D&gt;&lt;D xsi:type="xsd:double"&gt;0.5265245&lt;/D&gt;&lt;D xsi:type="xsd:double"&gt;0.7909317&lt;/D&gt;&lt;D xsi:type="xsd:double"&gt;-0.5235979&lt;/D&gt;&lt;D xsi:type="xsd:double"&gt;0.16327083&lt;/D&gt;&lt;D xsi:type="xsd:double"&gt;0.60791814&lt;/D&gt;&lt;D xsi:type="xsd:double"&gt;-0.043767177&lt;/D&gt;&lt;D xsi:type="xsd:double"&gt;0.58248526&lt;/D&gt;&lt;D xsi:type="xsd:double"&gt;-0.55493456&lt;/D&gt;&lt;D xsi:type="xsd:double"&gt;0.78719914&lt;/D&gt;&lt;D xsi:type="xsd:double"&gt;-0.58211833&lt;/D&gt;&lt;D xsi:type="xsd:double"&gt;0.8815989&lt;/D&gt;&lt;D xsi:type="xsd:double"&gt;-0.57735753&lt;/D&gt;&lt;D xsi:type="xsd:double"&gt;0.7812437&lt;/D&gt;&lt;D xsi:type="xsd:double"&gt;0.8890746&lt;/D&gt;&lt;D xsi:type="xsd:double"&gt;0.80185014&lt;/D&gt;&lt;D xsi:type="xsd:double"&gt;0.49832928&lt;/D&gt;&lt;D xsi:type="xsd:double"&gt;1&lt;/D&gt;&lt;D xsi:type="xsd:double"&gt;0.45988268&lt;/D&gt;&lt;D xsi:type="xsd:double"&gt;0.66500294&lt;/D&gt;&lt;D xsi:type="xsd:double"&gt;-0.17414786&lt;/D&gt;&lt;D xsi:type="xsd:double"&gt;-0.76308924&lt;/D&gt;&lt;D xsi:type="xsd:double"&gt;-0.24418378&lt;/D&gt;&lt;D xsi:type="xsd:double"&gt;-0.64923537&lt;/D&gt;&lt;D xsi:type="xsd:double"&gt;0.67006737&lt;/D&gt;&lt;D xsi:type="xsd:double"&gt;0.9020003&lt;/D&gt;&lt;D xsi:type="xsd:double"&gt;-0.36287674&lt;/D&gt;&lt;D xsi:type="xsd:double"&gt;0.79411715&lt;/D&gt;&lt;D xsi:type="xsd:double"&gt;0.7261593&lt;/D&gt;&lt;D xsi:type="xsd:double"&gt;0.7887979&lt;/D&gt;&lt;D xsi:type="xsd:double"&gt;0.04678117&lt;/D&gt;&lt;D xsi:type="xsd:double"&gt;0.57149005&lt;/D&gt;&lt;D xsi:type="xsd:double"&gt;-0.42928165&lt;/D&gt;&lt;D xsi:type="xsd:double"&gt;-0.5324386&lt;/D&gt;&lt;D xsi:type="xsd:double"&gt;-0.81871015&lt;/D&gt;&lt;D xsi:type="xsd:double"&gt;0.84028834&lt;/D&gt;&lt;D xsi:type="xsd:double"&gt;0.7746924&lt;/D&gt;&lt;D xsi:type="xsd:doub</t>
        </r>
      </text>
    </comment>
    <comment ref="A4" authorId="0" shapeId="0" xr:uid="{FF5CFBD2-1228-4313-AEEC-C93234E8460C}">
      <text>
        <r>
          <rPr>
            <b/>
            <sz val="9"/>
            <color indexed="81"/>
            <rFont val="Tahoma"/>
            <charset val="1"/>
          </rPr>
          <t>le"&gt;0.5363349&lt;/D&gt;&lt;D xsi:type="xsd:double"&gt;-0.019934148&lt;/D&gt;&lt;D xsi:type="xsd:double"&gt;0.7271848&lt;/D&gt;&lt;D xsi:type="xsd:double"&gt;0.61001&lt;/D&gt;&lt;D xsi:type="xsd:double"&gt;0.66125566&lt;/D&gt;&lt;D xsi:type="xsd:double"&gt;0.7094861&lt;/D&gt;&lt;D xsi:type="xsd:double"&gt;0.8148663&lt;/D&gt;&lt;D xsi:type="xsd:double"&gt;0.86998147&lt;/D&gt;&lt;D xsi:type="xsd:double"&gt;0.8753159&lt;/D&gt;&lt;D xsi:type="xsd:double"&gt;0.6233496&lt;/D&gt;&lt;D xsi:type="xsd:double"&gt;0.88121253&lt;/D&gt;&lt;D xsi:type="xsd:double"&gt;0.7109757&lt;/D&gt;&lt;D xsi:type="xsd:double"&gt;0.36770487&lt;/D&gt;&lt;D xsi:type="xsd:double"&gt;0.5793522&lt;/D&gt;&lt;D xsi:type="xsd:double"&gt;0.5732402&lt;/D&gt;&lt;D xsi:type="xsd:double"&gt;0.54796565&lt;/D&gt;&lt;D xsi:type="xsd:double"&gt;0.47875035&lt;/D&gt;&lt;D xsi:type="xsd:double"&gt;0.7194356&lt;/D&gt;&lt;D xsi:type="xsd:double"&gt;0.22212377&lt;/D&gt;&lt;D xsi:type="xsd:double"&gt;-0.16582873&lt;/D&gt;&lt;D xsi:type="xsd:double"&gt;0.49108905&lt;/D&gt;&lt;D xsi:type="xsd:double"&gt;0.17302242&lt;/D&gt;&lt;D xsi:type="xsd:double"&gt;0.30819982&lt;/D&gt;&lt;D xsi:type="xsd:double"&gt;0.7625956&lt;/D&gt;&lt;D xsi:type="xsd:double"&gt;0.2721855&lt;/D&gt;&lt;D xsi:type="xsd:double"&gt;-0.15649466&lt;/D&gt;&lt;D xsi:type="xsd:double"&gt;0.35644087&lt;/D&gt;&lt;D xsi:type="xsd:double"&gt;0.68486345&lt;/D&gt;&lt;D xsi:type="xsd:double"&gt;-0.5117651&lt;/D&gt;&lt;D xsi:type="xsd:double"&gt;0.64851373&lt;/D&gt;&lt;D xsi:type="xsd:double"&gt;-0.031517927&lt;/D&gt;&lt;D xsi:type="xsd:double"&gt;0.6630419&lt;/D&gt;&lt;D xsi:type="xsd:double"&gt;0.13641784&lt;/D&gt;&lt;D xsi:type="xsd:double"&gt;0.4357252&lt;/D&gt;&lt;D xsi:type="xsd:double"&gt;0.055579327&lt;/D&gt;&lt;D xsi:type="xsd:double"&gt;0.05175036&lt;/D&gt;&lt;D xsi:type="xsd:double"&gt;0.49480748&lt;/D&gt;&lt;D xsi:type="xsd:double"&gt;0.2685753&lt;/D&gt;&lt;D xsi:type="xsd:double"&gt;0.06357893&lt;/D&gt;&lt;D xsi:type="xsd:double"&gt;0.45988268&lt;/D&gt;&lt;D xsi:type="xsd:double"&gt;1&lt;/D&gt;&lt;D xsi:type="xsd:double"&gt;0.75307894&lt;/D&gt;&lt;D xsi:type="xsd:double"&gt;-0.25458482&lt;/D&gt;&lt;D xsi:type="xsd:double"&gt;-0.110641904&lt;/D&gt;&lt;D xsi:type="xsd:double"&gt;-0.15615442&lt;/D&gt;&lt;D xsi:type="xsd:double"&gt;0.18151794&lt;/D&gt;&lt;D xsi:type="xsd:double"&gt;0.017962372&lt;/D&gt;&lt;D xsi:type="xsd:double"&gt;0.60993385&lt;/D&gt;&lt;D xsi:type="xsd:double"&gt;-0.35880432&lt;/D&gt;&lt;D xsi:type="xsd:double"&gt;0.4435232&lt;/D&gt;&lt;D xsi:type="xsd:double"&gt;0.5379047&lt;/D&gt;&lt;D xsi:type="xsd:double"&gt;0.72690284&lt;/D&gt;&lt;D xsi:type="xsd:double"&gt;0.24925908&lt;/D&gt;&lt;D xsi:type="xsd:double"&gt;0.41158542&lt;/D&gt;&lt;D xsi:type="xsd:double"&gt;0.22484699&lt;/D&gt;&lt;D xsi:type="xsd:double"&gt;0.16621858&lt;/D&gt;&lt;D xsi:type="xsd:double"&gt;-0.12363889&lt;/D&gt;&lt;D xsi:type="xsd:double"&gt;0.767827&lt;/D&gt;&lt;D xsi:type="xsd:double"&gt;0.2074233&lt;/D&gt;&lt;D xsi:type="xsd:double"&gt;0.32972363&lt;/D&gt;&lt;D xsi:type="xsd:double"&gt;0.6820075&lt;/D&gt;&lt;D xsi:type="xsd:double"&gt;0.48139858&lt;/D&gt;&lt;D xsi:type="xsd:double"&gt;0.68455875&lt;/D&gt;&lt;D xsi:type="xsd:double"&gt;0.5891308&lt;/D&gt;&lt;D xsi:type="xsd:double"&gt;0.5978697&lt;/D&gt;&lt;D xsi:type="xsd:double"&gt;0.6525143&lt;/D&gt;&lt;D xsi:type="xsd:double"&gt;0.40706792&lt;/D&gt;&lt;D xsi:type="xsd:double"&gt;0.60685027&lt;/D&gt;&lt;D xsi:type="xsd:double"&gt;0.5330623&lt;/D&gt;&lt;D xsi:type="xsd:double"&gt;0.40351817&lt;/D&gt;&lt;D xsi:type="xsd:double"&gt;0.6728439&lt;/D&gt;&lt;D xsi:type="xsd:double"&gt;0.5829566&lt;/D&gt;&lt;D xsi:type="xsd:double"&gt;0.7150799&lt;/D&gt;&lt;D xsi:type="xsd:double"&gt;0.6860235&lt;/D&gt;&lt;D xsi:type="xsd:double"&gt;0.51379484&lt;/D&gt;&lt;D xsi:type="xsd:double"&gt;0.56548744&lt;/D&gt;&lt;D xsi:type="xsd:double"&gt;0.7666081&lt;/D&gt;&lt;D xsi:type="xsd:double"&gt;0.31395212&lt;/D&gt;&lt;D xsi:type="xsd:double"&gt;0.10837081&lt;/D&gt;&lt;D xsi:type="xsd:double"&gt;0.5213428&lt;/D&gt;&lt;D xsi:type="xsd:double"&gt;0.24884547&lt;/D&gt;&lt;D xsi:type="xsd:double"&gt;0.30774167&lt;/D&gt;&lt;D xsi:type="xsd:double"&gt;0.7009826&lt;/D&gt;&lt;D xsi:type="xsd:double"&gt;0.3970575&lt;/D&gt;&lt;D xsi:type="xsd:double"&gt;-0.37480733&lt;/D&gt;&lt;D xsi:type="xsd:double"&gt;0.36715943&lt;/D&gt;&lt;D xsi:type="xsd:double"&gt;0.7371331&lt;/D&gt;&lt;D xsi:type="xsd:double"&gt;-0.5281634&lt;/D&gt;&lt;D xsi:type="xsd:double"&gt;0.70323324&lt;/D&gt;&lt;D xsi:type="xsd:double"&gt;-0.08782814&lt;/D&gt;&lt;D xsi:type="xsd:double"&gt;0.6421144&lt;/D&gt;&lt;D xsi:type="xsd:double"&gt;0.07737523&lt;/D&gt;&lt;D xsi:type="xsd:double"&gt;0.59406966&lt;/D&gt;&lt;D xsi:type="xsd:double"&gt;-0.06167668&lt;/D&gt;&lt;D xsi:type="xsd:double"&gt;0.32507592&lt;/D&gt;&lt;D xsi:type="xsd:double"&gt;0.60337955&lt;/D&gt;&lt;D xsi:type="xsd:double"&gt;0.39293468&lt;/D&gt;&lt;D xsi:type="xsd:double"&gt;0.35369202&lt;/D&gt;&lt;D xsi:type="xsd:double"&gt;0.66500294&lt;/D&gt;&lt;D xsi:type="xsd:double"&gt;0.75307894&lt;/D&gt;&lt;D xsi:type="xsd:double"&gt;1&lt;/D&gt;&lt;D xsi:type="xsd:double"&gt;-0.39588892&lt;/D&gt;&lt;D xsi:type="xsd:double"&gt;-0.1674457&lt;/D&gt;&lt;D xsi:type="xsd:double"&gt;-0.15376507&lt;/D&gt;&lt;D xsi:type="xsd:double"&gt;0.036616154&lt;/D&gt;&lt;D xsi:type="xsd:double"&gt;0.28478914&lt;/D&gt;&lt;D xsi:type="xsd:double"&gt;0.71987253&lt;/D&gt;&lt;D xsi:type="xsd:double"&gt;-0.46850047&lt;/D&gt;&lt;D xsi:type="xsd:double"&gt;0.45078406&lt;/D&gt;&lt;D xsi:type="xsd:double"&gt;0.8011495&lt;/D&gt;&lt;D xsi:type="xsd:double"&gt;0.7743002&lt;/D&gt;&lt;D xsi:type="xsd:double"&gt;0.15488255&lt;/D&gt;&lt;D xsi:type="xsd:double"&gt;0.4104199&lt;/D&gt;&lt;D xsi:type="xsd:double"&gt;0.23523693&lt;/D&gt;&lt;D xsi:type="xsd:double"&gt;0.032997508&lt;/D&gt;&lt;D xsi:type="xsd:double"&gt;-0.27745155&lt;/D&gt;&lt;D xsi:type="xsd:double"&gt;0.85645217&lt;/D&gt;&lt;D xsi:type="xsd:double"&gt;0.32321253&lt;/D&gt;&lt;D xsi:type="xsd:double"&gt;0.33431432&lt;/D&gt;&lt;D xsi:type="xsd:double"&gt;0.34336707&lt;/D&gt;&lt;D xsi:type="xsd:double"&gt;0.6495233&lt;/D&gt;&lt;D xsi:type="xsd:double"&gt;0.7962281&lt;/D&gt;&lt;D xsi:type="xsd:double"&gt;0.6858062&lt;/D&gt;&lt;D xsi:type="xsd:double"&gt;0.7143718&lt;/D&gt;&lt;D xsi:type="xsd:double"&gt;0.7634444&lt;/D&gt;&lt;D xsi:type="xsd:double"&gt;0.558725&lt;/D&gt;&lt;D xsi:type="xsd:double"&gt;0.73993355&lt;/D&gt;&lt;D xsi:type="xsd:double"&gt;0.8476324&lt;/D&gt;&lt;D xsi:type="xsd:double"&gt;0.62035805&lt;/D&gt;&lt;D xsi:type="xsd:double"&gt;-0.27890518&lt;/D&gt;&lt;D xsi:type="xsd:double"&gt;-0.49338424&lt;/D&gt;&lt;D xsi:type="xsd:double"&gt;-0.52933437&lt;/D&gt;&lt;D xsi:type="xsd:double"&gt;-0.42726395&lt;/D&gt;&lt;D xsi:type="xsd:double"&gt;-0.36379445&lt;/D&gt;&lt;D xsi:type="xsd:double"&gt;-0.18228927&lt;/D&gt;&lt;D xsi:type="xsd:double"&gt;-0.4434528&lt;/D&gt;&lt;D xsi:type="xsd:double"&gt;-0.29055592&lt;/D&gt;&lt;D xsi:type="xsd:double"&gt;-0.08025028&lt;/D&gt;&lt;D xsi:type="xsd:double"&gt;-0.42037743&lt;/D&gt;&lt;D xsi:type="xsd:double"&gt;-0.14356431&lt;/D&gt;&lt;D xsi:type="xsd:double"&gt;0.01868658&lt;/D&gt;&lt;D xsi:type="xsd:double"&gt;-0.40884006&lt;/D&gt;&lt;D xsi:type="xsd:double"&gt;-0.14011756&lt;/D&gt;&lt;D xsi:type="xsd:double"&gt;0.28003383&lt;/D&gt;&lt;D xsi:type="xsd:double"&gt;-0.1524091&lt;/D&gt;&lt;D xsi:type="xsd:double"&gt;-0.5011827&lt;/D&gt;&lt;D xsi:type="xsd:double"&gt;0.53530383&lt;/D&gt;&lt;D xsi:type="xsd:double"&gt;-0.15659939&lt;/D&gt;&lt;D xsi:type="xsd:double"&gt;0.13384417&lt;/D&gt;&lt;D xsi:type="xsd:double"&gt;-0.25186878&lt;/D&gt;&lt;D xsi:type="xsd:double"&gt;-0.2157889&lt;/D&gt;&lt;D xsi:type="xsd:double"&gt;-0.31685635&lt;/D&gt;&lt;D xsi:type="xsd:double"&gt;-0.07939277&lt;/D&gt;&lt;D xsi:type="xsd:double"&gt;0.124204546&lt;/D&gt;&lt;D xsi:type="xsd:double"&gt;-0.18981612&lt;/D&gt;&lt;D xsi:type="xsd:double"&gt;0.19738291&lt;/D&gt;&lt;D xsi:type="xsd:double"&gt;-0.21471515&lt;/D&gt;&lt;D xsi:type="xsd:double"&gt;-0.17414786&lt;/D&gt;&lt;D xsi:type="xsd:double"&gt;-0.25458482&lt;/D&gt;&lt;D xsi:type="xsd:double"&gt;-0.39588892&lt;/D&gt;&lt;D xsi:type="xsd:double"&gt;1&lt;/D&gt;&lt;D xsi:type="xsd:double"&gt;-0.04690076&lt;/D&gt;&lt;D xsi:type="xsd:double"&gt;0.24654925&lt;/D&gt;&lt;D xsi:type="xsd:double"&gt;-0.11103971&lt;/D&gt;&lt;D xsi:type="xsd:double"&gt;-0.31873047&lt;/D&gt;&lt;D xsi:type="xsd:double"&gt;-0.36999226&lt;/D&gt;&lt;D xsi:type="xsd:double"&gt;0.2823692&lt;/D&gt;&lt;D xsi:type="xsd:double"&gt;-0.17845486&lt;/D&gt;&lt;D xsi:type="xsd:double"&gt;-0.38028458&lt;/D&gt;&lt;D xsi:type="xsd:double"&gt;-0.37121713&lt;/D&gt;&lt;D xsi:type="xsd:double"&gt;0.21998787&lt;/D&gt;&lt;D xsi:type="xsd:double"&gt;-0.4770694&lt;/D&gt;&lt;D xsi:type="xsd:double"&gt;-0.31432295&lt;/D&gt;&lt;D xsi:type="xsd:double"&gt;-0.22625269&lt;/D&gt;&lt;D xsi:type="xsd:double"&gt;0.04834739&lt;/D&gt;&lt;D xsi:type="xsd:double"&gt;-0.4126027&lt;/D&gt;&lt;D xsi:type="xsd:double"&gt;-0.039815243&lt;/D&gt;&lt;D xsi:type="xsd:double"&gt;0.13598149&lt;/D&gt;&lt;D xsi:type="xsd:double"&gt;0.047709778&lt;/D&gt;&lt;D xsi:type="xsd:double"&gt;-0.4995095&lt;/D&gt;&lt;D xsi:type="xsd:double"&gt;-0.552209&lt;/D&gt;&lt;D xsi:type="xsd:double"&gt;-0.3665417&lt;/D&gt;&lt;D xsi:type="xsd:double"&gt;-0.56716734&lt;/D&gt;&lt;D xsi:type="xsd:double"&gt;-0.327873&lt;/D&gt;&lt;D xsi:type="xsd:double"&gt;-0.42751363&lt;/D&gt;&lt;D xsi:type="xsd:double"&gt;-0.35740337&lt;/D&gt;&lt;D xsi:type="xsd:double"&gt;-0.39656878&lt;/D&gt;&lt;D xsi:type="xsd:double"&gt;-0.17039502&lt;/D&gt;&lt;D xsi:type="xsd:double"&gt;-0.5908524&lt;/D&gt;&lt;D xsi:type="xsd:double"&gt;-0.20173553&lt;/D&gt;&lt;D xsi:type="xsd:double"&gt;-0.46347&lt;/D&gt;&lt;D xsi:type="xsd:double"&gt;-0.5718177&lt;/D&gt;&lt;D xsi:type="xsd:double"&gt;-0.39347166&lt;/D&gt;&lt;D xsi:type="xsd:double"&gt;-0.5583775&lt;/D&gt;&lt;D xsi:type="xsd:double"&gt;-0.36439145&lt;/D&gt;&lt;D xsi:type="xsd:double"&gt;-0.68637794&lt;/D&gt;&lt;D xsi:type="xsd:double"&gt;-0.5697208&lt;/D&gt;&lt;D xsi:type="xsd:double"&gt;0.42920846&lt;/D&gt;&lt;D xsi:type="xsd:double"&gt;-0.57712185&lt;/D&gt;&lt;D xsi:type="xsd:double"&gt;-0.64696544&lt;/D&gt;&lt;D xsi:type="xsd:double"&gt;-0.21507537&lt;/D&gt;&lt;D xsi:type="xsd:double"&gt;-0.7735975&lt;/D&gt;&lt;D xsi:type="xsd:double"&gt;0.55073273&lt;/D&gt;&lt;D xsi:type="xsd:double"&gt;0.07997221&lt;/D&gt;&lt;D xsi:type="xsd:double"&gt;-0.23163015&lt;/D&gt;&lt;D xsi:type="xsd:double"&gt;-0.26532&lt;/D&gt;&lt;D xsi:type="xsd:double"&gt;-0.26463658&lt;/D&gt;&lt;D xsi:type="xsd:double"&gt;0.74276257&lt;/D&gt;&lt;D xsi:type="xsd:double"&gt;-0.6329097&lt;/D&gt;&lt;D xsi:type="xsd:double"&gt;0.86571467&lt;/D&gt;&lt;D xsi:type="xsd:double"&gt;-0.7054368&lt;/D&gt;&lt;D xsi:type="xsd:double"&gt;0.86894155&lt;/D&gt;&lt;D xsi:type="xsd:double"&gt;-0.74487764&lt;/D&gt;&lt;D xsi:type="xsd:double"&gt;-0.73058695&lt;/D&gt;&lt;D xsi:type="xsd:double"&gt;-0.7872718&lt;/D&gt;&lt;D xsi:type="xsd:double"&gt;-0.29174507&lt;/D&gt;&lt;D xsi:type="xsd:double"&gt;-0.76308924&lt;/D&gt;&lt;D xsi:type="xsd:double"&gt;-0.110641904&lt;/D&gt;&lt;D xsi:type="xsd:double"&gt;-0.1674457&lt;/D&gt;&lt;D xsi:type="xsd:double"&gt;-0.04690076&lt;/D&gt;&lt;D xsi:type="xsd:double"&gt;1&lt;/D&gt;&lt;D xsi:type="xsd:double"&gt;0.19683601&lt;/D&gt;&lt;D xsi:type="xsd:double"&gt;0.9063573&lt;/D&gt;&lt;D xsi:type="xsd:double"&gt;-0.62140256&lt;/D&gt;&lt;D xsi:type="xsd:double"&gt;-0.67853373&lt;/D&gt;&lt;D xsi:type="xsd:double"&gt;0.25249824&lt;/D&gt;&lt;D xsi:type="xsd:double"&gt;-0.7280934&lt;/D&gt;&lt;D xsi:type="xsd:double"&gt;-0.3331579&lt;/D&gt;&lt;D xsi:type="xsd:double"&gt;-0.4894448&lt;/D&gt;&lt;D xsi:type="xsd:double"&gt;0.15725018&lt;/D&gt;&lt;D xsi:type="xsd:double"&gt;-0.43417367&lt;/D&gt;&lt;D xsi:type="xsd:double"&gt;0.7621812&lt;/D&gt;&lt;D xsi:type="xsd:double"&gt;0.8445706&lt;/D&gt;&lt;D xsi:type="xsd:double"&gt;0.9588209&lt;/D&gt;&lt;D xsi:type="xsd:double"&gt;-0.51673573&lt;/D&gt;&lt;D xsi:type="xsd:double"&gt;-0.68134636&lt;/D&gt;&lt;D xsi:type="xsd:double"&gt;-0.34036368&lt;/D&gt;&lt;D xsi:type="xsd:double"&gt;0.24084134&lt;/D&gt;&lt;D xsi:type="xsd:double"&gt;-0.43264586&lt;/D&gt;&lt;D xsi:type="xsd:double"&gt;-0.26578456&lt;/D&gt;&lt;D xsi:type="xsd:double"&gt;-0.43264288&lt;/D&gt;&lt;D xsi:type="xsd:double"&gt;-0.42317188&lt;/D&gt;&lt;D xsi:type="xsd:double"&gt;-0.49881518&lt;/D&gt;&lt;D xsi:type="xsd:double"&gt;-0.71092635&lt;/D&gt;&lt;D xsi:type="xsd:double"&gt;-0.657949&lt;/D&gt;&lt;D xsi:type="xsd:double"&gt;-0.14959693&lt;/D&gt;&lt;D xsi:type="xsd:double"&gt;-0.61691576&lt;/D&gt;&lt;D xsi:type="xsd:double"&gt;-0.48069793&lt;/D&gt;&lt;D xsi:type="xsd:double"&gt;-0.12501176&lt;/D&gt;&lt;D xsi:type="xsd:double"&gt;-0.34267378&lt;/D&gt;&lt;D xsi:type="xsd:double"&gt;-0.24689697&lt;/D&gt;&lt;D xsi:type="xsd:double"&gt;-0.63473874&lt;/D&gt;&lt;D xsi:type="xsd:double"&gt;0.08698284&lt;/D&gt;&lt;D xsi:type="xsd:double"&gt;-0.51402575&lt;/D&gt;&lt;D xsi:type="xsd:double"&gt;-0.23092127&lt;/D&gt;&lt;D xsi:type="xsd:double"&gt;-0.039499886&lt;/D&gt;&lt;D xsi:type="xsd:double"&gt;0.041436795&lt;/D&gt;&lt;D xsi:type="xsd:double"&gt;-0.20563552&lt;/D&gt;&lt;D xsi:type="xsd:double"&gt;-0.14008239&lt;/D&gt;&lt;D xsi:type="xsd:double"&gt;-0.44010872&lt;/D&gt;&lt;D xsi:type="xsd:double"&gt;0.045279175&lt;/D&gt;&lt;D xsi:type="xsd:double"&gt;0.26831916&lt;/D&gt;&lt;D xsi:type="xsd:double"&gt;0.13711494&lt;/D&gt;&lt;D xsi:type="xsd:double"&gt;-0.2734492&lt;/D&gt;&lt;D xsi:type="xsd:double"&gt;0.2605388&lt;/D&gt;&lt;D xsi:type="xsd:double"&gt;-0.23089789&lt;/D&gt;&lt;D xsi:type="xsd:double"&gt;0.3284975&lt;/D&gt;&lt;D xsi:type="xsd:double"&gt;-0.31706643&lt;/D&gt;&lt;D xsi:type="xsd:double"&gt;0.2040174&lt;/D&gt;&lt;D xsi:type="xsd:double"&gt;-0.2508164&lt;/D&gt;&lt;D xsi:type="xsd:double"&gt;0.22747284&lt;/D&gt;&lt;D xsi:type="xsd:double"&gt;-0.17388873&lt;/D&gt;&lt;D xsi:type="xsd:double"&gt;-0.24582274&lt;/D&gt;&lt;D xsi:type="xsd:double"&gt;-0.15878253&lt;/D&gt;&lt;D xsi:type="xsd:double"&gt;0.1267824&lt;/D&gt;&lt;D xsi:type="xsd:double"&gt;-0.24418378&lt;/D&gt;&lt;D xsi:type="xsd:double"&gt;-0.15615442&lt;/D&gt;&lt;D xsi:type="xsd:double"&gt;-0.15376507&lt;/D&gt;&lt;D xsi:type="xsd:double"&gt;0.24654925&lt;/D&gt;&lt;D xsi:type="xsd:double"&gt;0.19683601&lt;/D&gt;&lt;D xsi:type="xsd:double"&gt;1&lt;/D&gt;&lt;D xsi:type="xsd:double"&gt;0.10137766&lt;/D&gt;&lt;D xsi:type="xsd:double"&gt;0.035229336&lt;/D&gt;&lt;D xsi:type="xsd:double"&gt;-0.24454273&lt;/D&gt;&lt;D xsi:type="xsd:double"&gt;0.12563263&lt;/D&gt;&lt;D xsi:type="xsd:double"&gt;-0.17217436&lt;/D&gt;&lt;D xsi:type="xsd:double"&gt;-0.14041445&lt;/D&gt;&lt;D xsi:type="xsd:double"&gt;-0.24980374&lt;/D&gt;&lt;D xsi:type="xsd:double"&gt;0.085136555&lt;/D&gt;&lt;D xsi:type="xsd:double"&gt;-0.21289292&lt;/D&gt;&lt;D xsi:type="xsd:double"&gt;0.1761912&lt;/D&gt;&lt;D xsi:type="xsd:double"&gt;0.09120365&lt;/D&gt;&lt;D xsi:type="xsd:double"&gt;0.21173285&lt;/D&gt;&lt;D xsi:type="xsd:double"&gt;-0.28117013&lt;/D&gt;&lt;D xsi:type="xsd:double"&gt;-0.23129117&lt;/D&gt;&lt;D xsi:type="xsd:double"&gt;0.17904265&lt;/D&gt;&lt;D xsi:type="xsd:double"&gt;-0.15841791&lt;/D&gt;&lt;D xsi:type="xsd:double"&gt;-0.21986666&lt;/D&gt;&lt;D xsi:type="xsd:double"&gt;-0.34016058&lt;/D&gt;&lt;D xsi:type="xsd:double"&gt;-0.42963845&lt;/D&gt;&lt;D xsi:type="xsd:double"&gt;-0.30855742&lt;/D&gt;&lt;D xsi:type="xsd:double"&gt;-0.42851216&lt;/D&gt;&lt;D xsi:type="xsd:double"&gt;-0.23260532&lt;/D&gt;&lt;D xsi:type="xsd:double"&gt;-0.38893273&lt;/D&gt;&lt;D xsi:type="xsd:double"&gt;-0.118990615&lt;/D&gt;&lt;D xsi:type="xsd:double"&gt;-0.15150033&lt;/D&gt;&lt;D xsi:type="xsd:double"&gt;-0.3272944&lt;/D&gt;&lt;D xsi:type="xsd:double"&gt;-0.20652765&lt;/D&gt;&lt;D xsi:type="xsd:double"&gt;-0.30231485&lt;/D&gt;&lt;D xsi:type="xsd:double"&gt;-0.4560046&lt;/D&gt;&lt;D xsi:type="xsd:double"&gt;-0.14733903&lt;/D&gt;&lt;D xsi:type="xsd:double"&gt;-0.43559098&lt;/D&gt;&lt;D xsi:type="xsd:double"&gt;-0.117844604&lt;/D&gt;&lt;D xsi:type="xsd:double"&gt;-0.6746307&lt;/D&gt;&lt;D xsi:type="xsd:double"&gt;-0.6778522&lt;/D&gt;&lt;D xsi:type="xsd:double"&gt;0.49208346&lt;/D&gt;&lt;D xsi:type="xsd:double"&gt;-0.6215191&lt;/D&gt;&lt;D xsi:type="xsd:double"&gt;-0.6097257&lt;/D&gt;&lt;D xsi:type="xsd:double"&gt;0.065621&lt;/D&gt;&lt;D xsi:type="xsd:double"&gt;-0.743953&lt;/D&gt;&lt;D xsi:type="xsd:double"&gt;0.43240887&lt;/D&gt;&lt;D xsi:type="xsd:double"&gt;0.22090693&lt;/D&gt;&lt;D xsi:type="xsd:double"&gt;-0.05726486&lt;/D&gt;&lt;D xsi:type="xsd:double"&gt;-0.48323694&lt;/D&gt;&lt;D xsi:type="xsd:double"&gt;0.0043481593&lt;/D&gt;&lt;D xsi:type="xsd:double"&gt;0.68683773&lt;/D&gt;&lt;D xsi:type="xsd:double"&gt;-0.37913665&lt;/D&gt;&lt;D xsi:type="xsd:double"&gt;0.88529867&lt;/D&gt;&lt;D xsi:type="xsd:double"&gt;-0.5944705&lt;/D&gt;&lt;D xsi:type="xsd:double"&gt;0.7839183&lt;/D&gt;&lt;D xsi:type="xsd:double"&gt;-0.7617281&lt;/D&gt;&lt;D xsi:type="xsd:double"&gt;-0.58959556&lt;/D&gt;&lt;D xsi:type="xsd:double"&gt;-0.70549697&lt;/D&gt;&lt;D xsi:type="xsd:double"&gt;-0.39070034&lt;/D&gt;&lt;D xsi:type="xsd:double"&gt;-0.64923537&lt;/D&gt;&lt;D xsi:type="xsd:double"&gt;0.18151794&lt;/D&gt;&lt;D xsi:type="xsd:double"&gt;0.036616154&lt;/D&gt;&lt;D xsi:type="xsd:double"&gt;-0.11103971&lt;/D&gt;&lt;D xsi:type="xsd:double"&gt;0.9063573&lt;/D&gt;&lt;D xsi:type="xsd:double"&gt;0.10137766&lt;/D&gt;&lt;D xsi:type="xsd:double"&gt;1&lt;/D&gt;&lt;D xsi:type="xsd:double"&gt;-0.69807476&lt;/D&gt;&lt;D xsi:type="xsd:double"&gt;-0.51087654&lt;/D&gt;&lt;D xsi:type="xsd:double"&gt;0.09922775&lt;/D&gt;&lt;D xsi:type="xsd:double"&gt;-0.620776&lt;/D&gt;&lt;D xsi:type="xsd:double"&gt;-0.2376782&lt;/D&gt;&lt;D xsi:type="xsd:double"&gt;-0.2612342&lt;/D&gt;&lt;D xsi:type="xsd:double"&gt;0.15498973&lt;/D&gt;&lt;D xsi:type="xsd:double"&gt;-0.28667328&lt;/D&gt;&lt;D xsi:type="xsd:double"&gt;0.80268466&lt;/D&gt;&lt;D xsi:type="xsd:double"&gt;0.8434987&lt;/D&gt;&lt;D xsi:type="xsd:double"&gt;0.8834649&lt;/D&gt;&lt;D xsi:type="xsd:double"&gt;-0.27088246&lt;/D&gt;&lt;D xsi:type="xsd:double"&gt;-0.7064939&lt;/D&gt;&lt;D xsi:type="xsd:double"&gt;-0.3627416&lt;/D&gt;&lt;D xsi:type="xsd:double"&gt;0.5226352&lt;/D&gt;&lt;D xsi:type="xsd:double"&gt;-0.3249345&lt;/D&gt;&lt;D xsi:type="xsd:double"&gt;0.0023599432&lt;/D&gt;&lt;D xsi:type="xsd:double"&gt;-0.21473409&lt;/D&gt;&lt;D xsi:type="xsd:double"&gt;-0.24167964&lt;/D&gt;&lt;D xsi:type="xsd:double"&gt;-0.30173042&lt;/D&gt;&lt;D xsi:type="xsd:double"&gt;-0.6162641&lt;/D&gt;&lt;D xsi:type="xsd:double"&gt;-0.43211213&lt;/D&gt;&lt;D xsi:type="xsd:double"&gt;-0.07763109&lt;/D&gt;&lt;D xsi:type="xsd:double"&gt;-0.5954102&lt;/D&gt;&lt;D xsi:type="xsd:double"&gt;0.31876028&lt;/D&gt;&lt;D xsi:type="xsd:double"&gt;0.6715618&lt;/D&gt;&lt;D xsi:type="xsd:double"&gt;0.607646&lt;/D&gt;&lt;D xsi:type="xsd:double"&gt;0.6598529&lt;/D&gt;&lt;D xsi:type="xsd:double"&gt;0.1179318&lt;/D&gt;&lt;D xsi:type="xsd:double"&gt;0.60272574&lt;/D&gt;&lt;D xsi:type="xsd:double"&gt;0.27819714&lt;/D&gt;&lt;D xsi:type="xsd:double"&gt;0.8035969&lt;/D&gt;&lt;D xsi:type="xsd:double"&gt;0.8163222&lt;/D&gt;&lt;D xsi:type="xsd:double"&gt;0.10776427&lt;/D&gt;&lt;D xsi:type="xsd:double"&gt;0.63285690000000006&lt;/D&gt;&lt;D xsi:type="xsd:double"&gt;0.61346525&lt;/D&gt;&lt;D xsi:type="xsd:double"&gt;0.1088164&lt;/D&gt;&lt;D xsi:type="xsd:double"&gt;0.80949146&lt;/D&gt;&lt;D xsi:type="xsd:double"&gt;-0.45737863&lt;/D&gt;&lt;D xsi:type="xsd:double"&gt;0.12761389&lt;/D&gt;&lt;D xsi:type="xsd:double"&gt;0.4356132&lt;/D&gt;&lt;D xsi:type="xsd:double"&gt;0.115869254&lt;/D&gt;&lt;D xsi:type="xsd:double"&gt;0.021097997&lt;/D&gt;&lt;D xsi:type="xsd:double"&gt;-0.55062747&lt;/D&gt;&lt;D xsi:type="xsd:double"&gt;0.45123816&lt;/D&gt;&lt;D xsi:type="xsd:double"&gt;-0.56514883&lt;/D&gt;&lt;D xsi:type="xsd:double"&gt;0.68842506&lt;/D&gt;&lt;D xsi:type="xsd:double"&gt;-0.5001142&lt;/D&gt;&lt;D xsi:type="xsd:double"&gt;0.6527751&lt;/D&gt;&lt;D xsi:type="xsd:double"&gt;0.62770265&lt;/D&gt;&lt;D xsi:type="xsd:double"&gt;0.45461726&lt;/D&gt;&lt;D xsi:type="xsd:double"&gt;0.6416927&lt;/D&gt;&lt;D xsi:type="xsd:double"&gt;0.67006737&lt;/D&gt;&lt;D xsi:type="xsd:double"&gt;0.017962372&lt;/D&gt;&lt;D xsi:type="xsd:double"&gt;0.28478914&lt;/D&gt;&lt;D xsi:type="xsd:double"&gt;-0.31873047&lt;/D&gt;&lt;D xsi:type="xsd:double"&gt;-0.62140256&lt;/D&gt;&lt;D xsi:type="xsd:double"&gt;0.035229336&lt;/D&gt;&lt;D xsi:type="xsd:double"&gt;-0.69807476&lt;/D&gt;&lt;D xsi:type="xsd:double"&gt;1&lt;/D&gt;&lt;D xsi:type="xsd:double"&gt;0.6114749&lt;/D&gt;&lt;D xsi:type="xsd:double"&gt;-0.1934565&lt;/D&gt;&lt;D xsi:type="xsd:double"&gt;0.6362856&lt;/D&gt;&lt;D xsi:type="xsd:double"&gt;0.5389412&lt;/D&gt;&lt;D xsi:type="xsd:double"&gt;0.42209867&lt;/D&gt;&lt;D xsi:type="xsd:double"&gt;-0.14236756&lt;/D&gt;&lt;D xsi:type="xsd:double"&gt;0.6114579&lt;/D&gt;&lt;D xsi:type="xsd:double"&gt;-0.43899357&lt;/D&gt;&lt;D xsi:type="xsd:double"&gt;-0.41359305&lt;/D&gt;&lt;D xsi:type="xsd:double"&gt;-0.6875357&lt;/D&gt;&lt;D xsi:type="xsd:double"&gt;0.47974554&lt;/D&gt;&lt;D xsi:type="xsd:double"&gt;0.6227561&lt;/D&gt;&lt;D xsi:type="xsd:double"&gt;0.36481157&lt;/D&gt;&lt;D xsi:type="xsd:double"&gt;-0.5302692&lt;/D&gt;&lt;D xsi:type="xsd:double"&gt;0.7411114&lt;/D&gt;&lt;D xsi:type="xsd:double"&gt;0.38009&lt;/D&gt;&lt;D xsi:type="xsd:double"&gt;0.26369488&lt;/D&gt;&lt;D xsi:type="xsd:double"&gt;0.6186886&lt;/D&gt;&lt;D xsi:type="xsd:double"&gt;0.4288702&lt;/D&gt;&lt;D xsi:type="xsd:double"&gt;0.8098631&lt;/D&gt;&lt;D xsi:type="xsd:double"&gt;0.5513036&lt;/D&gt;&lt;D xsi:type="xsd:double"&gt;0.49391216&lt;/D&gt;&lt;D xsi:type="xsd:double"&gt;0.67131567&lt;/D&gt;&lt;D xsi:type="xsd:double"&gt;0.8667819&lt;/D&gt;&lt;D xsi:type="xsd:double"&gt;0.5650124&lt;/D&gt;&lt;D xsi:type="xsd:double"&gt;0.8398653&lt;/D&gt;&lt;D xsi:type="xsd:double"&gt;0.922044&lt;/D&gt;&lt;D xsi:type="xsd:double"&gt;0.63875383&lt;/D&gt;&lt;D xsi:type="xsd:double"&gt;0.82444644&lt;/D&gt;&lt;D xsi:type="xsd:double"&gt;0.83422804&lt;/D&gt;&lt;D xsi:type="xsd:double"&gt;0.7197195&lt;/D&gt;&lt;D xsi:type="xsd:double"&gt;0.42936906&lt;/D&gt;&lt;D xsi:type="xsd:double"&gt;0.16960604&lt;/D&gt;&lt;D xsi:type="xsd:double"&gt;0.6701738&lt;/D&gt;&lt;D xsi:type="xsd:double"&gt;0.6272166&lt;/D&gt;&lt;D xsi:type="xsd:double"&gt;0.74674755&lt;/D&gt;&lt;D xsi:type="xsd:double"&gt;0.74200064&lt;/D&gt;&lt;D xsi:type="xsd:double"&gt;-0.60375893&lt;/D&gt;&lt;D xsi:type="xsd:double"&gt;0.15902773&lt;/D&gt;&lt;D xsi:type="xsd:double"&gt;0.73067987&lt;/D&gt;&lt;D xsi:type="xsd:double"&gt;-0.30738455&lt;/D&gt;&lt;D xsi:type="xsd:double"&gt;0.61487687&lt;/D&gt;&lt;D xsi:type="xsd:double"&gt;-0.56624407&lt;/D&gt;&lt;D xsi:type="xsd:double"&gt;0.84922206&lt;/D&gt;&lt;D xsi:type="xsd:double"&gt;-0.46160457&lt;/D&gt;&lt;D xsi:type="xsd:double"&gt;0.92062354&lt;/D&gt;&lt;D xsi:type="xsd:double"&gt;-0.4466592&lt;/D&gt;&lt;D xsi:type="xsd:double"&gt;0.5649127&lt;/D&gt;&lt;D xsi:type="xsd:double"&gt;0.8817496&lt;/D&gt;&lt;D xsi:type="xsd:double"&gt;0.60164076&lt;/D&gt;&lt;D xsi:type="xsd:double"&gt;0.37909806&lt;/D&gt;&lt;D xsi:type="xsd:double"&gt;0.9020003&lt;/D&gt;&lt;D xsi:type="xsd:double"&gt;0.60993385&lt;/D&gt;&lt;D xsi:type="xsd:double"&gt;0.71987253&lt;/D&gt;&lt;D xsi:type="xsd:double"&gt;-0.36999226&lt;/D&gt;&lt;D xsi:type="xsd:double"&gt;-0.67853373&lt;/D&gt;&lt;D xsi:type="xsd:double"&gt;-0.24454273&lt;/D&gt;&lt;D xsi:type="xsd:double"&gt;-0.51087654&lt;/D&gt;&lt;D xsi:type="xsd:double"&gt;0.6114749&lt;/D&gt;&lt;D xsi:type="xsd:double"&gt;1&lt;/D&gt;&lt;D xsi:type="xsd:double"&gt;-0.510518&lt;/D&gt;&lt;D xsi:type="xsd:double"&gt;0.82213765&lt;/D&gt;&lt;D xsi:type="xsd:double"&gt;0.72112453&lt;/D&gt;&lt;D xsi:type="xsd:double"&gt;0.8381377&lt;/D&gt;&lt;D xsi:type="xsd:double"&gt;-0.01458762&lt;/D&gt;&lt;D xsi:type="xsd:double"&gt;0.66117257&lt;/D&gt;&lt;D xsi:type="xsd:double"&gt;-0.3074003&lt;/D&gt;&lt;D xsi:type="xsd:double"&gt;-0.36935985&lt;/D&gt;&lt;D xsi:type="xsd:double"&gt;-0.72542405&lt;/D&gt;&lt;D xsi:type="xsd:double"&gt;0.9324706&lt;/D&gt;&lt;D xsi:type="xsd:double"&gt;0.70601445&lt;/D&gt;&lt;D xsi:type="xsd:double"&gt;0.39853072&lt;/D&gt;&lt;D xsi:type="xsd:double"&gt;0.13237643&lt;/D&gt;&lt;D xsi:type="xsd:double"&gt;0.74582446&lt;/D&gt;&lt;D xsi:type="xsd:double"&gt;0.74041754&lt;/D&gt;&lt;D xsi:type="xsd:double"&gt;0.7501621&lt;/D&gt;&lt;D xsi:type="xsd:double"&gt;0.8025865&lt;/D&gt;&lt;D xsi:type="xsd:double"&gt;0.8692896&lt;/D&gt;&lt;D xsi:type="xsd:double"&gt;0.86536413&lt;/D&gt;&lt;D xsi:type="xsd:double"&gt;0.9098887&lt;/D&gt;&lt;D xsi:type="xsd:double"&gt;0.61835265&lt;/D&gt;&lt;D xsi:type="xsd:double"&gt;0.8066182&lt;/D&gt;&lt;D xsi:type="xsd:double"&gt;-0.40704164&lt;/D&gt;&lt;D xsi:type="xsd:double"&gt;-0.13105497&lt;/D&gt;&lt;D xsi:type="xsd:double"&gt;-0.5003868&lt;/D&gt;&lt;D xsi:type="xsd:double"&gt;-0.35416156&lt;/D&gt;&lt;D xsi:type="xsd:double"&gt;-0.47151273&lt;/D&gt;&lt;D xsi:type="xsd:double"&gt;-0.2620285&lt;/D&gt;&lt;D xsi:type="xsd:double"&gt;-0.44983944&lt;/D&gt;&lt;D xsi:type="xsd:double"&gt;-0.16211614&lt;/D&gt;&lt;D xsi:type="xsd:double"&gt;-0.21892478&lt;/D&gt;&lt;D xsi:type="xsd:double"&gt;-0.17826337&lt;/D&gt;&lt;D xsi:type="xsd:double"&gt;-0.066215195&lt;/D&gt;&lt;D xsi:type="xsd:double"&gt;0.027950231&lt;/D&gt;&lt;D xsi:type="xsd:double"&gt;-0.44570497&lt;/D&gt;&lt;D xsi:type="xsd:double"&gt;-0.25426295&lt;/D&gt;&lt;D xsi:type="xsd:double"&gt;0.7573286&lt;/D&gt;&lt;D xsi:type="xsd:double"&gt;0.12876515&lt;/D&gt;&lt;D xsi:type="xsd:double"&gt;-0.3372814&lt;/D&gt;&lt;D xsi:type="xsd:double"&gt;0.60042113&lt;/D&gt;&lt;D xsi:type="xsd:double"&gt;-0.22224216&lt;/D&gt;&lt;D xsi:type="xsd:double"&gt;0.4237526&lt;/D&gt;&lt;D xsi:type="xsd:double"&gt;-0.27522334&lt;/D&gt;&lt;D xsi:type="xsd:double"&gt;0.12538414&lt;/D&gt;&lt;D xsi:type="xsd:double"&gt;-0.33956912&lt;/D&gt;&lt;D xsi:type="xsd:double"&gt;0.17886323&lt;/D&gt;&lt;D xsi:type="xsd:double"&gt;-0.06924668&lt;/D&gt;&lt;D xsi:type="xsd:double"&gt;-0.25687203&lt;/D&gt;&lt;D xsi:type="xsd:double"&gt;-0.09883643&lt;/D&gt;&lt;D xsi:type="xsd:double"&gt;0.0898514&lt;/D&gt;&lt;D xsi:type="xsd:double"&gt;-0.36287674&lt;/D&gt;&lt;D xsi:type="xsd:double"&gt;-0.35880432&lt;/D&gt;&lt;D xsi:type="xsd:double"&gt;-0.46850047&lt;/D&gt;&lt;D xsi:type="xsd:double"&gt;0.2823692&lt;/D&gt;&lt;D xsi:type="xsd:double"&gt;0.25249824&lt;/D&gt;&lt;D xsi:type="xsd:double"&gt;0.12563263&lt;/D&gt;&lt;D xsi:type="xsd:double"&gt;0.09922775&lt;/D&gt;&lt;D xsi:type="xsd:double"&gt;-0.1934565&lt;/D&gt;&lt;D xsi:type="xsd:double"&gt;-0.510518&lt;/D&gt;&lt;D xsi:type="xsd:double"&gt;1&lt;/D&gt;&lt;D xsi:type="xsd:double"&gt;-0.12734504&lt;/D&gt;&lt;D xsi:type="xsd:double"&gt;-0.26053584&lt;/D&gt;&lt;D xsi:type="xsd:double"&gt;-0.23194529&lt;/D&gt;&lt;D xsi:type="xsd:double"&gt;0.01977645&lt;/D&gt;&lt;D xsi:type="xsd:double"&gt;-0.14630409&lt;/D&gt;&lt;D xsi:type="xsd:double"&gt;0.100486435&lt;/D&gt;&lt;D xsi:type="xsd:double"&gt;0.27308035&lt;/D&gt;&lt;D xsi:type="xsd:double"&gt;0.34478676&lt;/D&gt;&lt;D xsi:type="xsd:double"&gt;-0.5666536&lt;/D&gt;&lt;D xsi:type="xsd:double"&gt;-0.07953437&lt;/D&gt;&lt;D xsi:type="xsd:double"&gt;0.21741779&lt;/D&gt;&lt;D xsi:type="xsd:double"&gt;0.024925219&lt;/D&gt;&lt;D xsi:type="xsd:double"&gt;-0.28013775&lt;/D&gt;&lt;D xsi:type="xsd:double"&gt;-0.610513&lt;/D&gt;&lt;D xsi:type="xsd:double"&gt;-0.50277823&lt;/D&gt;&lt;D xsi:type="xsd:double"&gt;-0.4538242&lt;/D&gt;&lt;D xsi:type="xsd:double"&gt;-0.33934227&lt;/D&gt;&lt;D xsi:type="xsd:double"&gt;-0.2669844&lt;/D&gt;&lt;D xsi:type="xsd:double"&gt;-0.5113128&lt;/D&gt;&lt;D xsi:type="xsd:double"&gt;-0.48228297&lt;/D&gt;&lt;D xsi:type="xsd:double"&gt;-0.39267606&lt;/D&gt;&lt;D xsi:type="xsd:double"&gt;0.7712623&lt;/D&gt;&lt;D xsi:type="xsd:double"&gt;0.47373363&lt;/D&gt;&lt;D xsi:type="xsd:double"&gt;0.69489026&lt;/D&gt;&lt;D xsi:type="xsd:double"&gt;0.86934286&lt;/D&gt;&lt;D xsi:type="xsd:double"&gt;0.5351077&lt;/D&gt;&lt;D xsi:type="xsd:double"&gt;0.84306777&lt;/D&gt;&lt;D xsi:type="xsd:double"&gt;0.6495457&lt;/D&gt;&lt;D xsi:type="xsd:double"&gt;0.83370215&lt;/D&gt;&lt;D xsi:type="xsd:double"&gt;0.4934924&lt;/D&gt;&lt;D xsi:type="xsd:double"&gt;0.039322667&lt;/D&gt;&lt;D xsi:type="xsd:double"&gt;0.85553306&lt;/D&gt;&lt;D xsi:type="xsd:double"&gt;0.7346611&lt;/D&gt;&lt;D xsi:type="xsd:double"&gt;0.57618946&lt;/D&gt;&lt;D xsi:type="xsd:double"&gt;0.7244427&lt;/D&gt;&lt;D xsi:type="xsd:double"&gt;-0.41875497&lt;/D&gt;&lt;D xsi:type="xsd:double"&gt;0.05858523&lt;/D&gt;&lt;D xsi:type="xsd:double"&gt;0.6790939&lt;/D&gt;&lt;D xsi:type="xsd:double"&gt;-0.029094782&lt;/D&gt;&lt;D xsi:type="xsd:double"&gt;0.4694725&lt;/D&gt;&lt;D xsi:type="xsd:double"&gt;-0.5809325&lt;/D&gt;&lt;D xsi:type="xsd:double"&gt;0.8184266&lt;/D&gt;&lt;D xsi:type="xsd:double"&gt;-0.61744297&lt;/D&gt;&lt;D xsi:type="xsd:double"&gt;0.9148307&lt;/D&gt;&lt;D xsi:type="xsd:double"&gt;-0.48990962&lt;/D&gt;&lt;D xsi:type="xsd:double"&gt;0.63365567&lt;/D&gt;&lt;D xsi:type="xsd:double"&gt;0.91006905&lt;/D&gt;&lt;D xsi:type="xsd:double"&gt;0.592622&lt;/D&gt;&lt;D xsi:type="xsd:double"&gt;0.41349578&lt;/D&gt;&lt;D xsi:type="xsd:double"&gt;0.79411715&lt;/D&gt;&lt;D xsi:type="xsd:double"&gt;0.4435232&lt;/D&gt;&lt;D xsi:type="xsd:double"&gt;0.45078406&lt;/D&gt;&lt;D xsi:type="xsd:double"&gt;-0.17845486&lt;/D&gt;&lt;D xsi:type="xsd:double"&gt;-0.7280934&lt;/D&gt;&lt;D xsi:type="xsd:double"&gt;-0.17217436&lt;/D&gt;&lt;D xsi:type="xsd:double"&gt;-0.620776&lt;/D&gt;&lt;D xsi:type="xsd:double"&gt;0.6362856&lt;/D&gt;&lt;D xsi:type="xsd:double"&gt;0.82213765&lt;/D&gt;&lt;D xsi:type="xsd:double"&gt;-0.12734504&lt;/D&gt;&lt;D xsi:type="xsd:double"&gt;1&lt;/D&gt;&lt;D xsi:type="xsd:double"&gt;0.6672435&lt;/D&gt;&lt;D xsi:type="xsd:double"&gt;0.790999&lt;/D&gt;&lt;D xsi:type="xsd:double"&gt;-0.05204745&lt;/D&gt;&lt;D xsi:type="xsd:double"&gt;0.71553594&lt;/D&gt;&lt;D xsi:type="xsd:double"&gt;-0.4539487&lt;/D&gt;&lt;D xsi:type="xsd:double"&gt;-0.3384004&lt;/D&gt;&lt;D xsi:type="xsd:double"&gt;-0.69353557&lt;/D&gt;&lt;D xsi:type="xsd:double"&gt;0.7136377&lt;/D&gt;&lt;D xsi:type="xsd:double"&gt;0.84664226&lt;/D&gt;&lt;D xsi:type="xsd:double"&gt;0.52172536&lt;/D&gt;&lt;D xsi:type="xsd:double"&gt;0.12062522&lt;/D&gt;&lt;D xsi:type="xsd:double"&gt;0.7047078&lt;/D&gt;&lt;D xsi:type="xsd:double"&gt;0.45045874&lt;/D&gt;&lt;D xsi:type="xsd:double"&gt;0.5147752&lt;/D&gt;&lt;D xsi:type="xsd:double"&gt;0.681253&lt;/D&gt;&lt;D xsi:type="xsd:double"&gt;0.7996004&lt;/D&gt;&lt;D xsi:type="xsd:double"&gt;0.8807669&lt;/D&gt;&lt;D xsi:type="xsd:double"&gt;0.7485782&lt;/D&gt;&lt;D xsi:type="xsd:double"&gt;0.35518655&lt;/D&gt;&lt;D xsi:type="xsd:double"&gt;0.6594419&lt;/D&gt;&lt;D xsi:type="xsd:double"&gt;0.6386494&lt;/D&gt;&lt;D xsi:type="xsd:double"&gt;0.71456057&lt;/D&gt;&lt;D xsi:type="xsd:double"&gt;0.7582799&lt;/D&gt;&lt;D xsi:type="xsd:double"&gt;0.78993833&lt;/D&gt;&lt;D xsi:type="xsd:double"&gt;0.40757695&lt;/D&gt;&lt;D xsi:type="xsd:double"&gt;0.7727215&lt;/D&gt;&lt;D xsi:type="xsd:double"&gt;0.6631053&lt;/D&gt;&lt;D xsi:type="xsd:double"&gt;0.58213615&lt;/D&gt;&lt;D xsi:type="xsd:double"&gt;0.37927043&lt;/D&gt;&lt;D xsi:type="xsd:double"&gt;0.45235908&lt;/D&gt;&lt;D xsi:type="xsd:double"&gt;0.5607042&lt;/D&gt;&lt;D xsi:type="xsd:double"&gt;0.5591183&lt;/D&gt;&lt;D xsi:type="xsd:double"&gt;0.5656736&lt;/D&gt;&lt;D xsi:type="xsd:double"&gt;0.577158&lt;/D&gt;&lt;D xsi:type="xsd:double"&gt;-0.36482513&lt;/D&gt;&lt;D xsi:type="xsd:double"&gt;0.24879283&lt;/D&gt;&lt;D xsi:type="xsd:double"&gt;0.7995594&lt;/D&gt;&lt;D xsi:type="xsd:double"&gt;-0.29000917&lt;/D&gt;&lt;D xsi:type="xsd:double"&gt;0.5631175&lt;/D&gt;&lt;D xsi:type="xsd:double"&gt;-0.18694285&lt;/D&gt;&lt;D xsi:type="xsd:double"&gt;0.6888138&lt;/D&gt;&lt;D xsi:type="xsd:double"&gt;-0.15975733&lt;/D&gt;&lt;D xsi:type="xsd:double"&gt;0.7665873&lt;/D&gt;&lt;D xsi:type="xsd:double"&gt;-0.20115279&lt;/D&gt;&lt;D xsi:type="xsd:double"&gt;0.54918116&lt;/D&gt;&lt;D xsi:type="xsd:double"&gt;0.7403863&lt;/D&gt;&lt;D xsi:type="xsd:double"&gt;0.43948123&lt;/D&gt;&lt;D xsi:type="xsd:double"&gt;0.59296376&lt;/D&gt;&lt;D xsi:type="xsd:double"&gt;0.7261593&lt;/D&gt;&lt;D xsi:type="xsd:double"&gt;0.5379047&lt;/D&gt;&lt;D xsi:type="xsd:double"&gt;0.8011495&lt;/D&gt;&lt;D xsi:type="xsd:double"&gt;-0.38028458&lt;/D&gt;&lt;D xsi:type="xsd:double"&gt;-0.3331579&lt;/D&gt;&lt;D xsi:type="xsd:double"&gt;-0.14041445&lt;/D&gt;&lt;D xsi:type="xsd:double"&gt;-0.2376782&lt;/D&gt;&lt;D xsi:type="xsd:double"&gt;0.5389412&lt;/D&gt;&lt;D xsi:type="xsd:double"&gt;0.72112453&lt;/D&gt;&lt;D xsi:type="xsd:double"&gt;-0.26053584&lt;/D&gt;&lt;D xsi:type="xsd:double"&gt;0.6672435&lt;/D&gt;&lt;D xsi:type="xsd:double"&gt;1&lt;/D&gt;&lt;D xsi:type="xsd:double"&gt;0.7914869&lt;/D&gt;&lt;D xsi:type="xsd:double"&gt;0.0061449907&lt;/D&gt;&lt;D xsi:type="xsd:double"&gt;0.5325005&lt;/D&gt;&lt;D xsi:type="xsd:double"&gt;0.033797495&lt;/D&gt;&lt;D xsi:type="xsd:double"&gt;-0.06164864&lt;/D&gt;&lt;D xsi:type="xsd:double"&gt;-0.41582844&lt;/D&gt;&lt;D xsi:type="xsd:double"&gt;0.76825756&lt;/D&gt;&lt;D xsi:type="xsd:double"&gt;0.63331044&lt;/D&gt;&lt;D xsi:type="xsd:double"&gt;0.44774115&lt;/D&gt;&lt;D xsi:type="xsd:double"&gt;0.12923783&lt;/D&gt;&lt;D xsi:type="xsd:double"&gt;0.8028626&lt;/D&gt;&lt;D xsi:type="xsd:double"&gt;0.6513614&lt;/D&gt;&lt;D xsi:type="xsd:double"&gt;0.55109966&lt;/D&gt;&lt;D xsi:type="xsd:double"&gt;0.74515575&lt;/D&gt;&lt;D xsi:type="xsd:double"&gt;0.7816804&lt;/D&gt;&lt;D xsi:type="xsd:double"&gt;0.7823335&lt;/D&gt;&lt;D xsi:type="xsd:double"&gt;0.7051194&lt;/D&gt;&lt;D xsi:type="xsd:double"&gt;0.7528023&lt;/D&gt;&lt;D xsi:type="xsd:double"&gt;0.6927458&lt;/D&gt;&lt;D xsi:type="xsd:double"&gt;0.86330825&lt;/D&gt;&lt;D xsi:type="xsd:double"&gt;0.6113809&lt;/D&gt;&lt;D xsi:type="xsd:double"&gt;0.77139217&lt;/D&gt;&lt;D xsi:type="xsd:double"&gt;0.83573896&lt;/D&gt;&lt;D xsi:type="xsd:double"&gt;0.63376576&lt;/D&gt;&lt;D xsi:type="xsd:double"&gt;0.7849468&lt;/D&gt;&lt;D xsi:type="xsd:double"&gt;0.8149771&lt;/D&gt;&lt;D xsi:type="xsd:double"&gt;0.6013306&lt;/D&gt;&lt;D xsi:type="xsd:double"&gt;0.18764962&lt;/D&gt;&lt;D xsi:type="xsd:double"&gt;0.33295754&lt;/D&gt;&lt;D xsi:type="xsd:double"&gt;0.532044&lt;/D&gt;&lt;D xsi:type="xsd:double"&gt;0.5905794&lt;/D&gt;&lt;D xsi:type="xsd:double"&gt;0.73859024&lt;/D&gt;&lt;D xsi:type="xsd:double"&gt;0.56439525&lt;/D&gt;&lt;D xsi:type="xsd:double"&gt;-0.3748171&lt;/D&gt;&lt;D xsi:type="xsd:double"&gt;0.3959534&lt;/D&gt;&lt;D xsi:type="xsd:double"&gt;0.7836069&lt;/D&gt;&lt;D xsi:type="xsd:double"&gt;-0.28566948&lt;/D&gt;&lt;D xsi:type="xsd:double"&gt;0.7601857&lt;/D&gt;&lt;D xsi:type="xsd:double"&gt;-0.34546328&lt;/D&gt;&lt;D xsi:type="xsd:double"&gt;0.89092404&lt;/D&gt;&lt;D xsi:type="xsd:double"&gt;-0.2173262&lt;/D&gt;&lt;D xsi:type="xsd:double"&gt;0.7988364&lt;/D&gt;&lt;D xsi:type="xsd:double"&gt;-0.33126&lt;/D&gt;&lt;D xsi:type="xsd:double"&gt;0.4993955&lt;/D&gt;&lt;D xsi:type="xsd:double"&gt;0.81975186&lt;/D&gt;&lt;D xsi:type="xsd:double"&gt;0.571006&lt;/D&gt;&lt;D xsi:type="xsd:double"&gt;0.42793915&lt;/D&gt;&lt;D xsi:type="xsd:double"&gt;0.7887979&lt;/D&gt;&lt;D xsi:type="xsd:double"&gt;0.72690284&lt;/D&gt;&lt;D xsi:type="xsd:double"&gt;0.7743002&lt;/D&gt;&lt;D xsi:type="xsd:double"&gt;-0.37121713&lt;/D&gt;&lt;D xsi:type="xsd:double"&gt;-0.4894448&lt;/D&gt;&lt;D xsi:type="xsd:double"&gt;-0.24980374&lt;/D&gt;&lt;D xsi:type="xsd:double"&gt;-0.2612342&lt;/D&gt;&lt;D xsi:type="xsd:double"&gt;0.42209867&lt;/D&gt;&lt;D xsi:type="xsd:double"&gt;0.8381377&lt;/D&gt;&lt;D xsi:type="xsd:double"&gt;-0.23194529&lt;/D&gt;&lt;D xsi:type="xsd:double"&gt;0.790999&lt;/D&gt;&lt;D xsi:type="xsd:double"&gt;0.7914869&lt;/D&gt;&lt;D xsi:type="xsd:double"&gt;1&lt;/D&gt;&lt;D xsi:type="xsd:double"&gt;0.052511506&lt;/D&gt;&lt;D xsi:type="xsd:double"&gt;0.69897234&lt;/D&gt;&lt;D xsi:type="xsd:double"&gt;-0.030524535&lt;/D&gt;&lt;D xsi:type="xsd:double"&gt;-0.15427886&lt;/D&gt;&lt;D xsi:type="xsd:double"&gt;-0.5237634&lt;/D&gt;&lt;D xsi:type="xsd:double"&gt;0.8802455&lt;/D&gt;&lt;D xsi:type="xsd:double"&gt;0.60778195&lt;/D&gt;&lt;D xsi:type="xsd:double"&gt;0.5323925&lt;/D&gt;&lt;D xsi:type="xsd:double"&gt;0.37255424&lt;/D&gt;&lt;D xsi:type="xsd:double"&gt;0.7539341&lt;/D&gt;&lt;D xsi:type="xsd:double"&gt;0.7439307&lt;/D&gt;&lt;D xsi:type="xsd:double"&gt;0.7062707&lt;/D&gt;&lt;D xsi:type="xsd:double"&gt;0.80047756&lt;/D&gt;&lt;D xsi:type="xsd:double"&gt;0.8721507&lt;/D&gt;&lt;D xsi:type="xsd:double"&gt;0.7829184&lt;/D&gt;&lt;D xsi:type="xsd:double"&gt;0.85312265&lt;/D&gt;&lt;D xsi:type="xsd:double"&gt;0.6073813&lt;/D&gt;&lt;D xsi:type="xsd:double"&gt;0.65262634&lt;/D&gt;&lt;D xsi:type="xsd:double"&gt;0.023852183&lt;/D&gt;&lt;D xsi:type="xsd:double"&gt;0.060988363&lt;/D&gt;&lt;D xsi:type="xsd:double"&gt;-0.034701288&lt;/D&gt;&lt;D xsi:type="xsd:double"&gt;-0.026843132&lt;/D&gt;&lt;D xsi:type="xsd:double"&gt;-0.07355219&lt;/D&gt;&lt;D xsi:type="xsd:double"&gt;-0.007906964&lt;/D&gt;&lt;D xsi:type="xsd:double"&gt;0.09512762&lt;/D&gt;&lt;D xsi:type="xsd:double"&gt;-0.004262732&lt;/D&gt;&lt;D xsi:type="xsd:double"&gt;-0.110164985&lt;/D&gt;&lt;D xsi:type="xsd:double"&gt;0.2098327&lt;/D&gt;&lt;D xsi:type="xsd:double"&gt;-0.04034785&lt;/D&gt;&lt;D xsi:type="xsd:double"&gt;0.2580133&lt;/D&gt;&lt;D xsi:type="xsd:double"&gt;0.071051985&lt;/D&gt;&lt;D xsi:type="xsd:double"&gt;0.025835892&lt;/D&gt;&lt;D xsi:type="xsd:double"&gt;0.23525842&lt;/D&gt;&lt;D xsi:type="xsd:double"&gt;0.30659932&lt;/D&gt;&lt;D xsi:type="xsd:double"&gt;-0.020861488&lt;/D&gt;&lt;D xsi:type="xsd:double"&gt;0.029999442&lt;/D&gt;&lt;D xsi:type="xsd:double"&gt;0.036522113&lt;/D&gt;&lt;D xsi:type="xsd:double"&gt;0.22094826&lt;/D&gt;&lt;D xsi:type="xsd:double"&gt;-0.042749774&lt;/D&gt;&lt;D xsi:type="xsd:double"&gt;0.14774276&lt;/D&gt;&lt;D xsi:type="xsd:double"&gt;-0.043271035&lt;/D&gt;&lt;D xsi:type="xsd:double"&gt;0.31289127&lt;/D&gt;&lt;D xsi:type="xsd:double"&gt;0.052855805&lt;/D&gt;&lt;D xsi:type="xsd:double"&gt;-0.08211663&lt;/D&gt;&lt;D xsi:type="xsd:double"&gt;0.16843158&lt;/D&gt;&lt;D xsi:type="xsd:double"&gt;-0.059979063&lt;/D&gt;&lt;D xsi:type="xsd:double"&gt;0.04678117&lt;/D&gt;&lt;D xsi:type="xsd:double"&gt;0.24925908&lt;/D&gt;&lt;D xsi:type="xsd:double"&gt;0.15488255&lt;/D&gt;&lt;D xsi:type="xsd:double"&gt;0.21998787&lt;/D&gt;&lt;D xsi:type="xsd:double"&gt;0.15725018&lt;/D&gt;&lt;D xsi:type="xsd:double"&gt;0.085136555&lt;/D&gt;&lt;D xsi:type="xsd:double"&gt;0.15498973&lt;/D&gt;&lt;D xsi:type="xsd:double"&gt;-0.14236756&lt;/D&gt;&lt;D xsi:type="xsd:double"&gt;-0.01458762&lt;/D&gt;&lt;D xsi:type="xsd:double"&gt;0.01977645&lt;/D&gt;&lt;D xsi:type="xsd:double"&gt;-0.05204745&lt;/D&gt;&lt;D xsi:type="xsd:double"&gt;0.0061449907&lt;/D&gt;&lt;D xsi:type="xsd:double"&gt;0.052511506&lt;/D&gt;&lt;D xsi:type="xsd:double"&gt;1&lt;/D&gt;&lt;D xsi:type="xsd:double"&gt;-0.07671152&lt;/D&gt;&lt;D xsi:type="xsd:double"&gt;0.12523401&lt;/D&gt;&lt;D xsi:type="xsd:double"&gt;0.07977635&lt;/D&gt;&lt;D xsi:type="xsd:double"&gt;0.14740054&lt;/D&gt;&lt;D xsi:type="xsd:double"&gt;0.072359845&lt;/D&gt;&lt;D xsi:type="xsd:double"&gt;0.065582775&lt;/D&gt;&lt;D xsi:type="xsd:double"&gt;0.21646288&lt;/D&gt;&lt;D xsi:type="xsd:double"&gt;0.16449331&lt;/D&gt;&lt;D xsi:type="xsd:double"&gt;-0.04380743&lt;/D&gt;&lt;D xsi:type="xsd:double"&gt;0.0054263724&lt;/D&gt;&lt;D xsi:type="xsd:double"&gt;-0.042555623&lt;/D&gt;&lt;D xsi:type="xsd:double"&gt;-0.058529127&lt;/D&gt;&lt;D xsi:type="xsd:double"&gt;0.04299249&lt;/D&gt;&lt;D xsi:type="xsd:double"&gt;-0.14042124&lt;/D&gt;&lt;D xsi:type="xsd:double"&gt;-0.06220045&lt;/D&gt;&lt;D xsi:type="xsd:double"&gt;0.07427881&lt;/D&gt;&lt;D xsi:type="xsd:double"&gt;0.17205271&lt;/D&gt;&lt;D xsi:type="xsd:double"&gt;0.63711774&lt;/D&gt;&lt;D xsi:type="xsd:double"&gt;0.58684564&lt;/D&gt;&lt;D xsi:type="xsd:double"&gt;0.73365474&lt;/D&gt;&lt;D xsi:type="xsd:double"&gt;0.71926343&lt;/D&gt;&lt;D xsi:type="xsd:double"&gt;0.46410656&lt;/D&gt;&lt;D xsi:type="xsd:double"&gt;0.657126&lt;/D&gt;&lt;D xsi:type="xsd:double"&gt;0.6035105&lt;/D&gt;&lt;D xsi:type="xsd:double"&gt;0.7573768&lt;/D&gt;&lt;D xsi:type="xsd:double"&gt;0.4416958&lt;/D&gt;&lt;D xsi:type="xsd:double"&gt;0.34377027&lt;/D&gt;&lt;D xsi:type="xsd:double"&gt;0.597751&lt;/D&gt;&lt;D xsi:type="xsd:double"&gt;0.55222905&lt;/D&gt;&lt;D xsi:type="xsd:double"&gt;0.59848046&lt;/D&gt;&lt;D xsi:type="xsd:double"&gt;0.5306706&lt;/D&gt;&lt;D xsi:type="xsd:double"&gt;-0.38682312&lt;/D&gt;&lt;D xsi:type="xsd:double"&gt;0.35962406&lt;/D&gt;&lt;D xsi:type="xsd:double"&gt;0.7350981&lt;/D&gt;&lt;D xsi:type="xsd:double"&gt;-0.2202841&lt;/D&gt;&lt;D xsi:type="xsd:double"&gt;0.34641865&lt;/D&gt;&lt;D xsi:type="xsd:double"&gt;-0.52422273&lt;/D&gt;&lt;D xsi:type="xsd:double"&gt;0.7105625&lt;/D&gt;&lt;D xsi:type="xsd:double"&gt;-0.26123455&lt;/D&gt;&lt;D xsi:type="xsd:double"&gt;0.7165605&lt;/D&gt;&lt;D xsi:type="xsd:double"&gt;-0.2887251&lt;/D&gt;&lt;D xsi:type="xsd:double"&gt;0.3676204&lt;/D&gt;&lt;D xsi:type="xsd:double"&gt;0.6353994&lt;/D&gt;&lt;D xsi:type="xsd:double"&gt;0.2749548&lt;/D&gt;&lt;D xsi:type="xsd:double"&gt;0.3450868&lt;/D&gt;&lt;D xsi:type="xsd:double"&gt;0.57149005&lt;/D&gt;&lt;D xsi:type="xsd:double"&gt;0.41158542&lt;/D&gt;&lt;D xsi:type="xsd:double"&gt;0.4104199&lt;/D&gt;&lt;D xsi:type="xsd:double"&gt;-0.4770694&lt;/D&gt;&lt;D xsi:type="xsd:double"&gt;-0.43417367&lt;/D&gt;&lt;D xsi:type="xsd:double"&gt;-0.21289292&lt;/D&gt;&lt;D xsi:type="xsd:double"&gt;-0.28667328&lt;/D&gt;&lt;D xsi:type="xsd:double"&gt;0.6114579&lt;/D&gt;&lt;D xsi:type="xsd:double"&gt;0.66117257&lt;/D&gt;&lt;D xsi:type="xsd:double"&gt;-0.14630409&lt;/D&gt;&lt;D xsi:type="xsd:double"&gt;0.71553594&lt;/D&gt;&lt;D xsi:type="xsd:double"&gt;0.5325005&lt;/D&gt;&lt;D xsi:type="xsd:double"&gt;0.69897234&lt;/D&gt;&lt;D xsi:type="xsd:double"&gt;-0.07671152&lt;/D&gt;&lt;D xsi:type="xsd:double"&gt;1&lt;/D&gt;&lt;D xsi:type="xsd:double"&gt;-0.09589787&lt;/D&gt;&lt;D xsi:type="xsd:double"&gt;-0.037722636&lt;/D&gt;&lt;D xsi:type="xsd:double"&gt;-0.4222377&lt;/D&gt;&lt;D xsi:type="xsd:double"&gt;0.63651663&lt;/D&gt;&lt;D xsi:type="xsd:double"&gt;0.51287633&lt;/D&gt;&lt;D xsi:type="xsd:double"&gt;0.3157627&lt;/D&gt;&lt;D xsi:type="xsd:double"&gt;0.07591742&lt;/D&gt;&lt;D xsi:type="xsd:double"&gt;0.77763546&lt;/D&gt;&lt;D xsi:type="xsd:double"&gt;0.64691275&lt;/D&gt;&lt;D xsi:type="xsd:double"&gt;0.43615785&lt;/D&gt;&lt;D xsi:type="xsd:double"&gt;0.7833701&lt;/D&gt;&lt;D xsi:type="xsd:double"&gt;0.6264107&lt;/D&gt;&lt;D xsi:type="xsd:double"&gt;0.81032354&lt;/D&gt;&lt;D xsi:type="xsd:double"&gt;0.6671735&lt;/D&gt;&lt;D xsi:type="xsd:double"&gt;0.37268642&lt;/D&gt;&lt;D xsi:type="xsd:double"&gt;0.39151216&lt;/D&gt;&lt;D xsi:type="xsd:double"&gt;-0.22294824&lt;/D&gt;&lt;D xsi:type="xsd:double"&gt;0.020560918&lt;/D&gt;&lt;D xsi:type="xsd:double"&gt;-0.13267864&lt;/D&gt;&lt;D xsi:type="xsd:double"&gt;-0.25334388&lt;/D&gt;&lt;D xsi:type="xsd:double"</t>
        </r>
      </text>
    </comment>
    <comment ref="A5" authorId="0" shapeId="0" xr:uid="{83C50CB1-A9A4-4FAF-9F4A-842E8ACC97C2}">
      <text>
        <r>
          <rPr>
            <b/>
            <sz val="9"/>
            <color indexed="81"/>
            <rFont val="Tahoma"/>
            <charset val="1"/>
          </rPr>
          <t>&gt;-0.14415324&lt;/D&gt;&lt;D xsi:type="xsd:double"&gt;-0.23566069&lt;/D&gt;&lt;D xsi:type="xsd:double"&gt;-0.044960655&lt;/D&gt;&lt;D xsi:type="xsd:double"&gt;-0.465283&lt;/D&gt;&lt;D xsi:type="xsd:double"&gt;-0.5221104&lt;/D&gt;&lt;D xsi:type="xsd:double"&gt;0.6141234&lt;/D&gt;&lt;D xsi:type="xsd:double"&gt;-0.4789946&lt;/D&gt;&lt;D xsi:type="xsd:double"&gt;-0.43396318&lt;/D&gt;&lt;D xsi:type="xsd:double"&gt;0.10443663&lt;/D&gt;&lt;D xsi:type="xsd:double"&gt;-0.47367373&lt;/D&gt;&lt;D xsi:type="xsd:double"&gt;0.37921432&lt;/D&gt;&lt;D xsi:type="xsd:double"&gt;0.36644801&lt;/D&gt;&lt;D xsi:type="xsd:double"&gt;0.075179316&lt;/D&gt;&lt;D xsi:type="xsd:double"&gt;-0.41763678&lt;/D&gt;&lt;D xsi:type="xsd:double"&gt;0.10660843&lt;/D&gt;&lt;D xsi:type="xsd:double"&gt;0.66496646&lt;/D&gt;&lt;D xsi:type="xsd:double"&gt;-0.26493597&lt;/D&gt;&lt;D xsi:type="xsd:double"&gt;0.94876224&lt;/D&gt;&lt;D xsi:type="xsd:double"&gt;-0.40439585&lt;/D&gt;&lt;D xsi:type="xsd:double"&gt;0.667399&lt;/D&gt;&lt;D xsi:type="xsd:double"&gt;-0.54576594&lt;/D&gt;&lt;D xsi:type="xsd:double"&gt;-0.4217524&lt;/D&gt;&lt;D xsi:type="xsd:double"&gt;-0.50848454&lt;/D&gt;&lt;D xsi:type="xsd:double"&gt;-0.13430445&lt;/D&gt;&lt;D xsi:type="xsd:double"&gt;-0.42928165&lt;/D&gt;&lt;D xsi:type="xsd:double"&gt;0.22484699&lt;/D&gt;&lt;D xsi:type="xsd:double"&gt;0.23523693&lt;/D&gt;&lt;D xsi:type="xsd:double"&gt;-0.31432295&lt;/D&gt;&lt;D xsi:type="xsd:double"&gt;0.7621812&lt;/D&gt;&lt;D xsi:type="xsd:double"&gt;0.1761912&lt;/D&gt;&lt;D xsi:type="xsd:double"&gt;0.80268466&lt;/D&gt;&lt;D xsi:type="xsd:double"&gt;-0.43899357&lt;/D&gt;&lt;D xsi:type="xsd:double"&gt;-0.3074003&lt;/D&gt;&lt;D xsi:type="xsd:double"&gt;0.100486435&lt;/D&gt;&lt;D xsi:type="xsd:double"&gt;-0.4539487&lt;/D&gt;&lt;D xsi:type="xsd:double"&gt;0.033797495&lt;/D&gt;&lt;D xsi:type="xsd:double"&gt;-0.030524535&lt;/D&gt;&lt;D xsi:type="xsd:double"&gt;0.12523401&lt;/D&gt;&lt;D xsi:type="xsd:double"&gt;-0.09589787&lt;/D&gt;&lt;D xsi:type="xsd:double"&gt;1&lt;/D&gt;&lt;D xsi:type="xsd:double"&gt;0.70387787&lt;/D&gt;&lt;D xsi:type="xsd:double"&gt;0.71367073&lt;/D&gt;&lt;D xsi:type="xsd:double"&gt;-0.09936584&lt;/D&gt;&lt;D xsi:type="xsd:double"&gt;-0.50498223&lt;/D&gt;&lt;D xsi:type="xsd:double"&gt;-0.13727887&lt;/D&gt;&lt;D xsi:type="xsd:double"&gt;0.36337984&lt;/D&gt;&lt;D xsi:type="xsd:double"&gt;-0.12808387&lt;/D&gt;&lt;D xsi:type="xsd:double"&gt;0.1378292&lt;/D&gt;&lt;D xsi:type="xsd:double"&gt;-0.040916525&lt;/D&gt;&lt;D xsi:type="xsd:double"&gt;-0.04739165&lt;/D&gt;&lt;D xsi:type="xsd:double"&gt;-0.21135876&lt;/D&gt;&lt;D xsi:type="xsd:double"&gt;-0.39658162&lt;/D&gt;&lt;D xsi:type="xsd:double"&gt;-0.28787377&lt;/D&gt;&lt;D xsi:type="xsd:double"&gt;0.13402939&lt;/D&gt;&lt;D xsi:type="xsd:double"&gt;-0.38900283&lt;/D&gt;&lt;D xsi:type="xsd:double"&gt;-0.26054552&lt;/D&gt;&lt;D xsi:type="xsd:double"&gt;-0.0047591836&lt;/D&gt;&lt;D xsi:type="xsd:double"&gt;-0.15041003&lt;/D&gt;&lt;D xsi:type="xsd:double"&gt;-0.19119304&lt;/D&gt;&lt;D xsi:type="xsd:double"&gt;-0.18541507&lt;/D&gt;&lt;D xsi:type="xsd:double"&gt;-0.20946822&lt;/D&gt;&lt;D xsi:type="xsd:double"&gt;-0.036272977&lt;/D&gt;&lt;D xsi:type="xsd:double"&gt;-0.3910075&lt;/D&gt;&lt;D xsi:type="xsd:double"&gt;-0.4667748&lt;/D&gt;&lt;D xsi:type="xsd:double"&gt;0.61081237&lt;/D&gt;&lt;D xsi:type="xsd:double"&gt;-0.260506&lt;/D&gt;&lt;D xsi:type="xsd:double"&gt;-0.3889228&lt;/D&gt;&lt;D xsi:type="xsd:double"&gt;0.13463041&lt;/D&gt;&lt;D xsi:type="xsd:double"&gt;-0.5917519&lt;/D&gt;&lt;D xsi:type="xsd:double"&gt;0.46287292&lt;/D&gt;&lt;D xsi:type="xsd:double"&gt;0.19078758&lt;/D&gt;&lt;D xsi:type="xsd:double"&gt;0.14611904&lt;/D&gt;&lt;D xsi:type="xsd:double"&gt;-0.44418594&lt;/D&gt;&lt;D xsi:type="xsd:double"&gt;-0.014284187&lt;/D&gt;&lt;D xsi:type="xsd:double"&gt;0.54313695&lt;/D&gt;&lt;D xsi:type="xsd:double"&gt;-0.25590238&lt;/D&gt;&lt;D xsi:type="xsd:double"&gt;0.7502659&lt;/D&gt;&lt;D xsi:type="xsd:double"&gt;-0.35884032&lt;/D&gt;&lt;D xsi:type="xsd:double"&gt;0.8394232&lt;/D&gt;&lt;D xsi:type="xsd:double"&gt;-0.65477395&lt;/D&gt;&lt;D xsi:type="xsd:double"&gt;-0.38802302&lt;/D&gt;&lt;D xsi:type="xsd:double"&gt;-0.7456524&lt;/D&gt;&lt;D xsi:type="xsd:double"&gt;-0.15824205&lt;/D&gt;&lt;D xsi:type="xsd:double"&gt;-0.5324386&lt;/D&gt;&lt;D xsi:type="xsd:double"&gt;0.16621858&lt;/D&gt;&lt;D xsi:type="xsd:double"&gt;0.032997508&lt;/D&gt;&lt;D xsi:type="xsd:double"&gt;-0.22625269&lt;/D&gt;&lt;D xsi:type="xsd:double"&gt;0.8445706&lt;/D&gt;&lt;D xsi:type="xsd:double"&gt;0.09120365&lt;/D&gt;&lt;D xsi:type="xsd:double"&gt;0.8434987&lt;/D&gt;&lt;D xsi:type="xsd:double"&gt;-0.41359305&lt;/D&gt;&lt;D xsi:type="xsd:double"&gt;-0.36935985&lt;/D&gt;&lt;D xsi:type="xsd:double"&gt;0.27308035&lt;/D&gt;&lt;D xsi:type="xsd:double"&gt;-0.3384004&lt;/D&gt;&lt;D xsi:type="xsd:double"&gt;-0.06164864&lt;/D&gt;&lt;D xsi:type="xsd:double"&gt;-0.15427886&lt;/D&gt;&lt;D xsi:type="xsd:double"&gt;0.07977635&lt;/D&gt;&lt;D xsi:type="xsd:double"&gt;-0.037722636&lt;/D&gt;&lt;D xsi:type="xsd:double"&gt;0.70387787&lt;/D&gt;&lt;D xsi:type="xsd:double"&gt;1&lt;/D&gt;&lt;D xsi:type="xsd:double"&gt;0.8304295&lt;/D&gt;&lt;D xsi:type="xsd:double"&gt;-0.20787595&lt;/D&gt;&lt;D xsi:type="xsd:double"&gt;-0.43156895&lt;/D&gt;&lt;D xsi:type="xsd:double"&gt;-0.17465422&lt;/D&gt;&lt;D xsi:type="xsd:double"&gt;0.4577855&lt;/D&gt;&lt;D xsi:type="xsd:double"&gt;-0.09325623&lt;/D&gt;&lt;D xsi:type="xsd:double"&gt;-0.012836514&lt;/D&gt;&lt;D xsi:type="xsd:double"&gt;-0.27498764&lt;/D&gt;&lt;D xsi:type="xsd:double"&gt;-0.10394677&lt;/D&gt;&lt;D xsi:type="xsd:double"&gt;-0.14096986&lt;/D&gt;&lt;D xsi:type="xsd:double"&gt;-0.2972398&lt;/D&gt;&lt;D xsi:type="xsd:double"&gt;-0.38197145&lt;/D&gt;&lt;D xsi:type="xsd:double"&gt;-0.025296168&lt;/D&gt;&lt;D xsi:type="xsd:double"&gt;-0.47569084&lt;/D&gt;&lt;D xsi:type="xsd:double"&gt;-0.58098215&lt;/D&gt;&lt;D xsi:type="xsd:double"&gt;-0.28652075&lt;/D&gt;&lt;D xsi:type="xsd:double"&gt;-0.50973254&lt;/D&gt;&lt;D xsi:type="xsd:double"&gt;-0.61894804&lt;/D&gt;&lt;D xsi:type="xsd:double"&gt;-0.35834232&lt;/D&gt;&lt;D xsi:type="xsd:double"&gt;-0.5580074&lt;/D&gt;&lt;D xsi:type="xsd:double"&gt;-0.40635458&lt;/D&gt;&lt;D xsi:type="xsd:double"&gt;-0.6771737&lt;/D&gt;&lt;D xsi:type="xsd:double"&gt;-0.5787073&lt;/D&gt;&lt;D xsi:type="xsd:double"&gt;0.3467613&lt;/D&gt;&lt;D xsi:type="xsd:double"&gt;-0.54459685&lt;/D&gt;&lt;D xsi:type="xsd:double"&gt;-0.6449661&lt;/D&gt;&lt;D xsi:type="xsd:double"&gt;-0.21913248&lt;/D&gt;&lt;D xsi:type="xsd:double"&gt;-0.80919653&lt;/D&gt;&lt;D xsi:type="xsd:double"&gt;0.59028333&lt;/D&gt;&lt;D xsi:type="xsd:double"&gt;0.02167207&lt;/D&gt;&lt;D xsi:type="xsd:double"&gt;-0.27152&lt;/D&gt;&lt;D xsi:type="xsd:double"&gt;-0.18559399&lt;/D&gt;&lt;D xsi:type="xsd:double"&gt;-0.32208413&lt;/D&gt;&lt;D xsi:type="xsd:double"&gt;0.76342994&lt;/D&gt;&lt;D xsi:type="xsd:double"&gt;-0.622553&lt;/D&gt;&lt;D xsi:type="xsd:double"&gt;0.82526535&lt;/D&gt;&lt;D xsi:type="xsd:double"&gt;-0.7287842&lt;/D&gt;&lt;D xsi:type="xsd:double"&gt;0.8132365&lt;/D&gt;&lt;D xsi:type="xsd:double"&gt;-0.78435355&lt;/D&gt;&lt;D xsi:type="xsd:double"&gt;-0.7428472&lt;/D&gt;&lt;D xsi:type="xsd:double"&gt;-0.7910519&lt;/D&gt;&lt;D xsi:type="xsd:double"&gt;-0.40218344&lt;/D&gt;&lt;D xsi:type="xsd:double"&gt;-0.81871015&lt;/D&gt;&lt;D xsi:type="xsd:double"&gt;-0.12363889&lt;/D&gt;&lt;D xsi:type="xsd:double"&gt;-0.27745155&lt;/D&gt;&lt;D xsi:type="xsd:double"&gt;0.04834739&lt;/D&gt;&lt;D xsi:type="xsd:double"&gt;0.9588209&lt;/D&gt;&lt;D xsi:type="xsd:double"&gt;0.21173285&lt;/D&gt;&lt;D xsi:type="xsd:double"&gt;0.8834649&lt;/D&gt;&lt;D xsi:type="xsd:double"&gt;-0.6875357&lt;/D&gt;&lt;D xsi:type="xsd:double"&gt;-0.72542405&lt;/D&gt;&lt;D xsi:type="xsd:double"&gt;0.34478676&lt;/D&gt;&lt;D xsi:type="xsd:double"&gt;-0.69353557&lt;/D&gt;&lt;D xsi:type="xsd:double"&gt;-0.41582844&lt;/D&gt;&lt;D xsi:type="xsd:double"&gt;-0.5237634&lt;/D&gt;&lt;D xsi:type="xsd:double"&gt;0.14740054&lt;/D&gt;&lt;D xsi:type="xsd:double"&gt;-0.4222377&lt;/D&gt;&lt;D xsi:type="xsd:double"&gt;0.71367073&lt;/D&gt;&lt;D xsi:type="xsd:double"&gt;0.8304295&lt;/D&gt;&lt;D xsi:type="xsd:double"&gt;1&lt;/D&gt;&lt;D xsi:type="xsd:double"&gt;-0.57494134&lt;/D&gt;&lt;D xsi:type="xsd:double"&gt;-0.67247546&lt;/D&gt;&lt;D xsi:type="xsd:double"&gt;-0.36101687&lt;/D&gt;&lt;D xsi:type="xsd:double"&gt;0.3229696&lt;/D&gt;&lt;D xsi:type="xsd:double"&gt;-0.4991385&lt;/D&gt;&lt;D xsi:type="xsd:double"&gt;-0.34688324&lt;/D&gt;&lt;D xsi:type="xsd:double"&gt;-0.45502225&lt;/D&gt;&lt;D xsi:type="xsd:double"&gt;-0.4703914&lt;/D&gt;&lt;D xsi:type="xsd:double"&gt;-0.5420374&lt;/D&gt;&lt;D xsi:type="xsd:double"&gt;-0.7724576&lt;/D&gt;&lt;D xsi:type="xsd:double"&gt;-0.6980843&lt;/D&gt;&lt;D xsi:type="xsd:double"&gt;-0.3003498&lt;/D&gt;&lt;D xsi:type="xsd:double"&gt;-0.7232359&lt;/D&gt;&lt;D xsi:type="xsd:double"&gt;0.8950257&lt;/D&gt;&lt;D xsi:type="xsd:double"&gt;0.60599446&lt;/D&gt;&lt;D xsi:type="xsd:double"&gt;0.86349046&lt;/D&gt;&lt;D xsi:type="xsd:double"&gt;0.86803406&lt;/D&gt;&lt;D xsi:type="xsd:double"&gt;0.68995327&lt;/D&gt;&lt;D xsi:type="xsd:double"&gt;0.77850574&lt;/D&gt;&lt;D xsi:type="xsd:double"&gt;0.8968732&lt;/D&gt;&lt;D xsi:type="xsd:double"&gt;0.59248024&lt;/D&gt;&lt;D xsi:type="xsd:double"&gt;0.29755083&lt;/D&gt;&lt;D xsi:type="xsd:double"&gt;0.361518&lt;/D&gt;&lt;D xsi:type="xsd:double"&gt;0.5082418&lt;/D&gt;&lt;D xsi:type="xsd:double"&gt;0.5455432&lt;/D&gt;&lt;D xsi:type="xsd:double"&gt;0.81394225&lt;/D&gt;&lt;D xsi:type="xsd:double"&gt;0.6113191&lt;/D&gt;&lt;D xsi:type="xsd:double"&gt;-0.5720431&lt;/D&gt;&lt;D xsi:type="xsd:double"&gt;0.2972075&lt;/D&gt;&lt;D xsi:type="xsd:double"&gt;0.8051152&lt;/D&gt;&lt;D xsi:type="xsd:double"&gt;-0.4687196&lt;/D&gt;&lt;D xsi:type="xsd:double"&gt;0.6994739&lt;/D&gt;&lt;D xsi:type="xsd:double"&gt;-0.436767&lt;/D&gt;&lt;D xsi:type="xsd:double"&gt;0.8628188&lt;/D&gt;&lt;D xsi:type="xsd:double"&gt;-0.2464597&lt;/D&gt;&lt;D xsi:type="xsd:double"&gt;0.8253249&lt;/D&gt;&lt;D xsi:type="xsd:double"&gt;-0.33014768&lt;/D&gt;&lt;D xsi:type="xsd:double"&gt;0.4536123&lt;/D&gt;&lt;D xsi:type="xsd:double"&gt;0.81914884&lt;/D&gt;&lt;D xsi:type="xsd:double"&gt;0.5342216&lt;/D&gt;&lt;D xsi:type="xsd:double"&gt;0.3311012&lt;/D&gt;&lt;D xsi:type="xsd:double"&gt;0.84028834&lt;/D&gt;&lt;D xsi:type="xsd:double"&gt;0.767827&lt;/D&gt;&lt;D xsi:type="xsd:double"&gt;0.85645217&lt;/D&gt;&lt;D xsi:type="xsd:double"&gt;-0.4126027&lt;/D&gt;&lt;D xsi:type="xsd:double"&gt;-0.51673573&lt;/D&gt;&lt;D xsi:type="xsd:double"&gt;-0.28117013&lt;/D&gt;&lt;D xsi:type="xsd:double"&gt;-0.27088246&lt;/D&gt;&lt;D xsi:type="xsd:double"&gt;0.47974554&lt;/D&gt;&lt;D xsi:type="xsd:double"&gt;0.9324706&lt;/D&gt;&lt;D xsi:type="xsd:double"&gt;-0.5666536&lt;/D&gt;&lt;D xsi:type="xsd:double"&gt;0.7136377&lt;/D&gt;&lt;D xsi:type="xsd:double"&gt;0.76825756&lt;/D&gt;&lt;D xsi:type="xsd:double"&gt;0.8802455&lt;/D&gt;&lt;D xsi:type="xsd:double"&gt;0.072359845&lt;/D&gt;&lt;D xsi:type="xsd:double"&gt;0.63651663&lt;/D&gt;&lt;D xsi:type="xsd:double"&gt;-0.09936584&lt;/D&gt;&lt;D xsi:type="xsd:double"&gt;-0.20787595&lt;/D&gt;&lt;D xsi:type="xsd:double"&gt;-0.57494134&lt;/D&gt;&lt;D xsi:type="xsd:double"&gt;1&lt;/D&gt;&lt;D xsi:type="xsd:double"&gt;0.5630683&lt;/D&gt;&lt;D xsi:type="xsd:double"&gt;0.34070662&lt;/D&gt;&lt;D xsi:type="xsd:double"&gt;0.3001401&lt;/D&gt;&lt;D xsi:type="xsd:double"&gt;0.77260524&lt;/D&gt;&lt;D xsi:type="xsd:double"&gt;0.87696403&lt;/D&gt;&lt;D xsi:type="xsd:double"&gt;0.8096533&lt;/D&gt;&lt;D xsi:type="xsd:double"&gt;0.86098504&lt;/D&gt;&lt;D xsi:type="xsd:double"&gt;0.8834208&lt;/D&gt;&lt;D xsi:type="xsd:double"&gt;0.78659064&lt;/D&gt;&lt;D xsi:type="xsd:double"&gt;0.92721075&lt;/D&gt;&lt;D xsi:type="xsd:double"&gt;0.7126494&lt;/D&gt;&lt;D xsi:type="xsd:double"&gt;0.7644373&lt;/D&gt;&lt;D xsi:type="xsd:double"&gt;0.63410795&lt;/D&gt;&lt;D xsi:type="xsd:double"&gt;0.4662761&lt;/D&gt;&lt;D xsi:type="xsd:double"&gt;0.57088286&lt;/D&gt;&lt;D xsi:type="xsd:double"&gt;0.7733551&lt;/D&gt;&lt;D xsi:type="xsd:double"&gt;0.3841998&lt;/D&gt;&lt;D xsi:type="xsd:double"&gt;0.76734096&lt;/D&gt;&lt;D xsi:type="xsd:double"&gt;0.5165988&lt;/D&gt;&lt;D xsi:type="xsd:double"&gt;0.81160754&lt;/D&gt;&lt;D xsi:type="xsd:double"&gt;0.57832944&lt;/D&gt;&lt;D xsi:type="xsd:double"&gt;-0.025120905&lt;/D&gt;&lt;D xsi:type="xsd:double"&gt;0.90112925&lt;/D&gt;&lt;D xsi:type="xsd:double"&gt;0.8020115&lt;/D&gt;&lt;D xsi:type="xsd:double"&gt;0.40688202&lt;/D&gt;&lt;D xsi:type="xsd:double"&gt;0.7025389&lt;/D&gt;&lt;D xsi:type="xsd:double"&gt;-0.35422182&lt;/D&gt;&lt;D xsi:type="xsd:double"&gt;-0.04060822&lt;/D&gt;&lt;D xsi:type="xsd:double"&gt;0.5151653&lt;/D&gt;&lt;D xsi:type="xsd:double"&gt;0.10474938&lt;/D&gt;&lt;D xsi:type="xsd:double"&gt;0.30337286&lt;/D&gt;&lt;D xsi:type="xsd:double"&gt;-0.52138764&lt;/D&gt;&lt;D xsi:type="xsd:double"&gt;0.62020284&lt;/D&gt;&lt;D xsi:type="xsd:double"&gt;-0.65457565&lt;/D&gt;&lt;D xsi:type="xsd:double"&gt;0.8552793&lt;/D&gt;&lt;D xsi:type="xsd:double"&gt;-0.4384787&lt;/D&gt;&lt;D xsi:type="xsd:double"&gt;0.7369917&lt;/D&gt;&lt;D xsi:type="xsd:double"&gt;0.8117707&lt;/D&gt;&lt;D xsi:type="xsd:double"&gt;0.6270244&lt;/D&gt;&lt;D xsi:type="xsd:double"&gt;0.39135617&lt;/D&gt;&lt;D xsi:type="xsd:double"&gt;0.7746924&lt;/D&gt;&lt;D xsi:type="xsd:double"&gt;0.2074233&lt;/D&gt;&lt;D xsi:type="xsd:double"&gt;0.32321253&lt;/D&gt;&lt;D xsi:type="xsd:double"&gt;-0.039815243&lt;/D&gt;&lt;D xsi:type="xsd:double"&gt;-0.68134636&lt;/D&gt;&lt;D xsi:type="xsd:double"&gt;-0.23129117&lt;/D&gt;&lt;D xsi:type="xsd:double"&gt;-0.7064939&lt;/D&gt;&lt;D xsi:type="xsd:double"&gt;0.6227561&lt;/D&gt;&lt;D xsi:type="xsd:double"&gt;0.70601445&lt;/D&gt;&lt;D xsi:type="xsd:double"&gt;-0.07953437&lt;/D&gt;&lt;D xsi:type="xsd:double"&gt;0.84664226&lt;/D&gt;&lt;D xsi:type="xsd:double"&gt;0.63331044&lt;/D&gt;&lt;D xsi:type="xsd:double"&gt;0.60778195&lt;/D&gt;&lt;D xsi:type="xsd:double"&gt;0.065582775&lt;/D&gt;&lt;D xsi:type="xsd:double"&gt;0.51287633&lt;/D&gt;&lt;D xsi:type="xsd:double"&gt;-0.50498223&lt;/D&gt;&lt;D xsi:type="xsd:double"&gt;-0.43156895&lt;/D&gt;&lt;D xsi:type="xsd:double"&gt;-0.67247546&lt;/D&gt;&lt;D xsi:type="xsd:double"&gt;0.5630683&lt;/D&gt;&lt;D xsi:type="xsd:double"&gt;1&lt;/D&gt;&lt;D xsi:type="xsd:double"&gt;0.49615073&lt;/D&gt;&lt;D xsi:type="xsd:double"&gt;-0.08637983&lt;/D&gt;&lt;D xsi:type="xsd:double"&gt;0.57892656&lt;/D&gt;&lt;D xsi:type="xsd:double"&gt;0.28237978&lt;/D&gt;&lt;D xsi:type="xsd:double"&gt;0.41234142&lt;/D&gt;&lt;D xsi:type="xsd:double"&gt;0.5234964&lt;/D&gt;&lt;D xsi:type="xsd:double"&gt;0.6827003&lt;/D&gt;&lt;D xsi:type="xsd:double"&gt;0.78458786&lt;/D&gt;&lt;D xsi:type="xsd:double"&gt;0.6048779&lt;/D&gt;&lt;D xsi:type="xsd:double"&gt;0.30140465&lt;/D&gt;&lt;D xsi:type="xsd:double"&gt;0.7146052&lt;/D&gt;&lt;D xsi:type="xsd:double"&gt;0.28778666&lt;/D&gt;&lt;D xsi:type="xsd:double"&gt;0.3373604&lt;/D&gt;&lt;D xsi:type="xsd:double"&gt;0.22135694&lt;/D&gt;&lt;D xsi:type="xsd:double"&gt;0.46931216&lt;/D&gt;&lt;D xsi:type="xsd:double"&gt;-0.18205702&lt;/D&gt;&lt;D xsi:type="xsd:double"&gt;0.56419957&lt;/D&gt;&lt;D xsi:type="xsd:double"&gt;0.1880023&lt;/D&gt;&lt;D xsi:type="xsd:double"&gt;0.324602&lt;/D&gt;&lt;D xsi:type="xsd:double"&gt;0.13142863&lt;/D&gt;&lt;D xsi:type="xsd:double"&gt;0.10643344&lt;/D&gt;&lt;D xsi:type="xsd:double"&gt;0.36926&lt;/D&gt;&lt;D xsi:type="xsd:double"&gt;0.57999974&lt;/D&gt;&lt;D xsi:type="xsd:double"&gt;0.11304308&lt;/D&gt;&lt;D xsi:type="xsd:double"&gt;0.56231177&lt;/D&gt;&lt;D xsi:type="xsd:double"&gt;0.16042666&lt;/D&gt;&lt;D xsi:type="xsd:double"&gt;0.45103708&lt;/D&gt;&lt;D xsi:type="xsd:double"&gt;0.22220345&lt;/D&gt;&lt;D xsi:type="xsd:double"&gt;0.30955178&lt;/D&gt;&lt;D xsi:type="xsd:double"&gt;0.46816716&lt;/D&gt;&lt;D xsi:type="xsd:double"&gt;-0.042002127&lt;/D&gt;&lt;D xsi:type="xsd:double"&gt;0.45274282&lt;/D&gt;&lt;D xsi:type="xsd:double"&gt;-0.2521042&lt;/D&gt;&lt;D xsi:type="xsd:double"&gt;0.41056362&lt;/D&gt;&lt;D xsi:type="xsd:double"&gt;-0.13164048&lt;/D&gt;&lt;D xsi:type="xsd:double"&gt;0.4650657&lt;/D&gt;&lt;D xsi:type="xsd:double"&gt;0.49007583&lt;/D&gt;&lt;D xsi:type="xsd:double"&gt;0.5865011&lt;/D&gt;&lt;D xsi:type="xsd:double"&gt;0.5565841&lt;/D&gt;&lt;D xsi:type="xsd:double"&gt;0.5363349&lt;/D&gt;&lt;D xsi:type="xsd:double"&gt;0.32972363&lt;/D&gt;&lt;D xsi:type="xsd:double"&gt;0.33431432&lt;/D&gt;&lt;D xsi:type="xsd:double"&gt;0.13598149&lt;/D&gt;&lt;D xsi:type="xsd:double"&gt;-0.34036368&lt;/D&gt;&lt;D xsi:type="xsd:double"&gt;0.17904265&lt;/D&gt;&lt;D xsi:type="xsd:double"&gt;-0.3627416&lt;/D&gt;&lt;D xsi:type="xsd:double"&gt;0.36481157&lt;/D&gt;&lt;D xsi:type="xsd:double"&gt;0.39853072&lt;/D&gt;&lt;D xsi:type="xsd:double"&gt;0.21741779&lt;/D&gt;&lt;D xsi:type="xsd:double"&gt;0.52172536&lt;/D&gt;&lt;D xsi:type="xsd:double"&gt;0.44774115&lt;/D&gt;&lt;D xsi:type="xsd:double"&gt;0.5323925&lt;/D&gt;&lt;D xsi:type="xsd:double"&gt;0.21646288&lt;/D&gt;&lt;D xsi:type="xsd:double"&gt;0.3157627&lt;/D&gt;&lt;D xsi:type="xsd:double"&gt;-0.13727887&lt;/D&gt;&lt;D xsi:type="xsd:double"&gt;-0.17465422&lt;/D&gt;&lt;D xsi:type="xsd:double"&gt;-0.36101687&lt;/D&gt;&lt;D xsi:type="xsd:double"&gt;0.34070662&lt;/D&gt;&lt;D xsi:type="xsd:double"&gt;0.49615073&lt;/D&gt;&lt;D xsi:type="xsd:double"&gt;1&lt;/D&gt;&lt;D xsi:type="xsd:double"&gt;0.11424966&lt;/D&gt;&lt;D xsi:type="xsd:double"&gt;0.3401558&lt;/D&gt;&lt;D xsi:type="xsd:double"&gt;0.10060946&lt;/D&gt;&lt;D xsi:type="xsd:double"&gt;0.11136108&lt;/D&gt;&lt;D xsi:type="xsd:double"&gt;0.1972037&lt;/D&gt;&lt;D xsi:type="xsd:double"&gt;0.3534967&lt;/D&gt;&lt;D xsi:type="xsd:double"&gt;0.37759402&lt;/D&gt;&lt;D xsi:type="xsd:double"&gt;0.26573092&lt;/D&gt;&lt;D xsi:type="xsd:double"&gt;0.2609661&lt;/D&gt;&lt;D xsi:type="xsd:double"&gt;0.52931464&lt;/D&gt;&lt;D xsi:type="xsd:double"&gt;0.42899653&lt;/D&gt;&lt;D xsi:type="xsd:double"&gt;-0.11696875&lt;/D&gt;&lt;D xsi:type="xsd:double"&gt;0.08242869&lt;/D&gt;&lt;D xsi:type="xsd:double"&gt;0.13725437&lt;/D&gt;&lt;D xsi:type="xsd:double"&gt;0.36368793&lt;/D&gt;&lt;D xsi:type="xsd:double"&gt;0.093999155&lt;/D&gt;&lt;D xsi:type="xsd:double"&gt;0.4467803&lt;/D&gt;&lt;D xsi:type="xsd:double"&gt;-0.24686599&lt;/D&gt;&lt;D xsi:type="xsd:double"&gt;-0.5769739&lt;/D&gt;&lt;D xsi:type="xsd:double"&gt;0.27583408&lt;/D&gt;&lt;D xsi:type="xsd:double"&gt;-0.06770301&lt;/D&gt;&lt;D xsi:type="xsd:double"&gt;-0.08529386&lt;/D&gt;&lt;D xsi:type="xsd:double"&gt;0.601784&lt;/D&gt;&lt;D xsi:type="xsd:double"&gt;-0.30643168&lt;/D&gt;&lt;D xsi:type="xsd:double"&gt;0.22415851&lt;/D&gt;&lt;D xsi:type="xsd:double"&gt;0.21435426&lt;/D&gt;&lt;D xsi:type="xsd:double"&gt;0.30823344&lt;/D&gt;&lt;D xsi:type="xsd:double"&gt;-0.4218115&lt;/D&gt;&lt;D xsi:type="xsd:double"&gt;0.5677416&lt;/D&gt;&lt;D xsi:type="xsd:double"&gt;0.30469328&lt;/D&gt;&lt;D xsi:type="xsd:double"&gt;0.36295483&lt;/D&gt;&lt;D xsi:type="xsd:double"&gt;0.3622784&lt;/D&gt;&lt;D xsi:type="xsd:double"&gt;0.037115566&lt;/D&gt;&lt;D xsi:type="xsd:double"&gt;0.3078645&lt;/D&gt;&lt;D xsi:type="xsd:double"&gt;-0.3405012&lt;/D&gt;&lt;D xsi:type="xsd:double"&gt;0.1313109&lt;/D&gt;&lt;D xsi:type="xsd:double"&gt;-0.0999042&lt;/D&gt;&lt;D xsi:type="xsd:double"&gt;-0.29481098&lt;/D&gt;&lt;D xsi:type="xsd:double"&gt;-0.019934148&lt;/D&gt;&lt;D xsi:type="xsd:double"&gt;0.6820075&lt;/D&gt;&lt;D xsi:type="xsd:double"&gt;0.34336707&lt;/D&gt;&lt;D xsi:type="xsd:double"&gt;0.047709778&lt;/D&gt;&lt;D xsi:type="xsd:double"&gt;0.24084134&lt;/D&gt;&lt;D xsi:type="xsd:double"&gt;-0.15841791&lt;/D&gt;&lt;D xsi:type="xsd:double"&gt;0.5226352&lt;/D&gt;&lt;D xsi:type="xsd:double"&gt;-0.5302692&lt;/D&gt;&lt;D xsi:type="xsd:double"&gt;0.13237643&lt;/D&gt;&lt;D xsi:type="xsd:double"&gt;0.024925219&lt;/D&gt;&lt;D xsi:type="xsd:double"&gt;0.12062522&lt;/D&gt;&lt;D xsi:type="xsd:double"&gt;0.12923783&lt;/D&gt;&lt;D xsi:type="xsd:double"&gt;0.37255424&lt;/D&gt;&lt;D xsi:type="xsd:double"&gt;0.16449331&lt;/D&gt;&lt;D xsi:type="xsd:double"&gt;0.07591742&lt;/D&gt;&lt;D xsi:type="xsd:double"&gt;0.36337984&lt;/D&gt;&lt;D xsi:type="xsd:double"&gt;0.4577855&lt;/D&gt;&lt;D xsi:type="xsd:double"&gt;0.3229696&lt;/D&gt;&lt;D xsi:type="xsd:double"&gt;0.3001401&lt;/D&gt;&lt;D xsi:type="xsd:double"&gt;-0.08637983&lt;/D&gt;&lt;D xsi:type="xsd:double"&gt;0.11424966&lt;/D&gt;&lt;D xsi:type="xsd:double"&gt;1&lt;/D&gt;&lt;D xsi:type="xsd:double"&gt;-0.019390803&lt;/D&gt;&lt;D xsi:type="xsd:double"&gt;0.24734156&lt;/D&gt;&lt;D xsi:type="xsd:double"&gt;0.2971524&lt;/D&gt;&lt;D xsi:type="xsd:double"&gt;0.09302973&lt;/D&gt;&lt;D xsi:type="xsd:double"&gt;0.33139184&lt;/D&gt;&lt;D xsi:type="xsd:double"&gt;-0.03520349&lt;/D&gt;&lt;D xsi:type="xsd:double"&gt;0.14710154&lt;/D&gt;&lt;D xsi:type="xsd:double"&gt;-0.008269395&lt;/D&gt;&lt;D xsi:type="xsd:double"&gt;-0.13407253&lt;/D&gt;&lt;D xsi:type="xsd:double"&gt;0.64714676&lt;/D&gt;&lt;D xsi:type="xsd:double"&gt;0.8733794&lt;/D&gt;&lt;D xsi:type="xsd:double"&gt;0.87604743&lt;/D&gt;&lt;D xsi:type="xsd:double"&gt;0.79699796&lt;/D&gt;&lt;D xsi:type="xsd:double"&gt;0.47626945&lt;/D&gt;&lt;D xsi:type="xsd:double"&gt;0.7143968&lt;/D&gt;&lt;D xsi:type="xsd:double"&gt;0.6557071&lt;/D&gt;&lt;D xsi:type="xsd:double"&gt;0.77659255&lt;/D&gt;&lt;D xsi:type="xsd:double"&gt;0.59897554&lt;/D&gt;&lt;D xsi:type="xsd:double"&gt;0.46951726&lt;/D&gt;&lt;D xsi:type="xsd:double"&gt;0.61610323&lt;/D&gt;&lt;D xsi:type="xsd:double"&gt;0.6222675&lt;/D&gt;&lt;D xsi:type="xsd:double"&gt;0.54511577&lt;/D&gt;&lt;D xsi:type="xsd:double"&gt;0.6661307&lt;/D&gt;&lt;D xsi:type="xsd:double"&gt;-0.4788325&lt;/D&gt;&lt;D xsi:type="xsd:double"&gt;0.27927712&lt;/D&gt;&lt;D xsi:type="xsd:double"&gt;0.8376209&lt;/D&gt;&lt;D xsi:type="xsd:double"&gt;-0.2598565&lt;/D&gt;&lt;D xsi:type="xsd:double"&gt;0.38306105&lt;/D&gt;&lt;D xsi:type="xsd:double"&gt;-0.40779045&lt;/D&gt;&lt;D xsi:type="xsd:double"&gt;0.73512244&lt;/D&gt;&lt;D xsi:type="xsd:double"&gt;-0.2756399&lt;/D&gt;&lt;D xsi:type="xsd:double"&gt;0.78449905&lt;/D&gt;&lt;D xsi:type="xsd:double"&gt;-0.32674855&lt;/D&gt;&lt;D xsi:type="xsd:double"&gt;0.55373913&lt;/D&gt;&lt;D xsi:type="xsd:double"&gt;0.71342415&lt;/D&gt;&lt;D xsi:type="xsd:double"&gt;0.3923285&lt;/D&gt;&lt;D xsi:type="xsd:double"&gt;0.5671245&lt;/D&gt;&lt;D xsi:type="xsd:double"&gt;0.7271848&lt;/D&gt;&lt;D xsi:type="xsd:double"&gt;0.48139858&lt;/D&gt;&lt;D xsi:type="xsd:double"&gt;0.6495233&lt;/D&gt;&lt;D xsi:type="xsd:double"&gt;-0.4995095&lt;/D&gt;&lt;D xsi:type="xsd:double"&gt;-0.43264586&lt;/D&gt;&lt;D xsi:type="xsd:double"&gt;-0.21986666&lt;/D&gt;&lt;D xsi:type="xsd:double"&gt;-0.3249345&lt;/D&gt;&lt;D xsi:type="xsd:double"&gt;0.7411114&lt;/D&gt;&lt;D xsi:type="xsd:double"&gt;0.74582446&lt;/D&gt;&lt;D xsi:type="xsd:double"&gt;-0.28013775&lt;/D&gt;&lt;D xsi:type="xsd:double"&gt;0.7047078&lt;/D&gt;&lt;D xsi:type="xsd:double"&gt;0.8028626&lt;/D&gt;&lt;D xsi:type="xsd:double"&gt;0.7539341&lt;/D&gt;&lt;D xsi:type="xsd:double"&gt;-0.04380743&lt;/D&gt;&lt;D xsi:type="xsd:double"&gt;0.77763546&lt;/D&gt;&lt;D xsi:type="xsd:double"&gt;-0.12808387&lt;/D&gt;&lt;D xsi:type="xsd:double"&gt;-0.09325623&lt;/D&gt;&lt;D xsi:type="xsd:double"&gt;-0.4991385&lt;/D&gt;&lt;D xsi:type="xsd:double"&gt;0.77260524&lt;/D&gt;&lt;D xsi:type="xsd:double"&gt;0.57892656&lt;/D&gt;&lt;D xsi:type="xsd:double"&gt;0.3401558&lt;/D&gt;&lt;D xsi:type="xsd:double"&gt;-0.019390803&lt;/D&gt;&lt;D xsi:type="xsd:double"&gt;1&lt;/D&gt;&lt;D xsi:type="xsd:double"&gt;0.747822&lt;/D&gt;&lt;D xsi:type="xsd:double"&gt;0.4960184&lt;/D&gt;&lt;D xsi:type="xsd:double"&gt;0.89631444&lt;/D&gt;&lt;D xsi:type="xsd:double"&gt;0.7552005&lt;/D&gt;&lt;D xsi:type="xsd:double"&gt;0.90704215&lt;/D&gt;&lt;D xsi:type="xsd:double"&gt;0.798917&lt;/D&gt;&lt;D xsi:type="xsd:double"&gt;0.7280073&lt;/D&gt;&lt;D xsi:type="xsd:double"&gt;0.6716306&lt;/D&gt;&lt;D xsi:type="xsd:double"&gt;0.745528&lt;/D&gt;&lt;D xsi:type="xsd:double"&gt;0.62304384&lt;/D&gt;&lt;D xsi:type="xsd:double"&gt;0.8725082&lt;/D&gt;&lt;D xsi:type="xsd:double"&gt;0.66885847&lt;/D&gt;&lt;D xsi:type="xsd:double"&gt;0.7019157&lt;/D&gt;&lt;D xsi:type="xsd:double"&gt;0.56459993&lt;/D&gt;&lt;D xsi:type="xsd:double"&gt;0.8147652&lt;/D&gt;&lt;D xsi:type="xsd:double"&gt;0.47023204&lt;/D&gt;&lt;D xsi:type="xsd:double"&gt;0.25326467&lt;/D&gt;&lt;D xsi:type="xsd:double"&gt;0.55034125&lt;/D&gt;&lt;D xsi:type="xsd:double"&gt;0.28456765&lt;/D&gt;&lt;D xsi:type="xsd:double"&gt;0.33347034&lt;/D&gt;&lt;D xsi:type="xsd:double"&gt;0.77343655&lt;/D&gt;&lt;D xsi:type="xsd:double"&gt;0.40540025&lt;/D&gt;&lt;D xsi:type="xsd:double"&gt;-0.61225843&lt;/D&gt;&lt;D xsi:type="xsd:double"&gt;0.36978966&lt;/D&gt;&lt;D xsi:type="xsd:double"&gt;0.81440437&lt;/D&gt;&lt;D xsi:type="xsd:double"&gt;-0.63249755&lt;/D&gt;&lt;D xsi:type="xsd:double"&gt;0.5647642&lt;/D&gt;&lt;D xsi:type="xsd:double"&gt;-0.37961903&lt;/D&gt;&lt;D xsi:type="xsd:double"&gt;0.7096189&lt;/D&gt;&lt;D xsi:type="xsd:double"&gt;0.0076930714&lt;/D&gt;&lt;D xsi:type="xsd:double"&gt;0.6130658&lt;/D&gt;&lt;D xsi:type="xsd:double"&gt;-0.19851953&lt;/D&gt;&lt;D xsi:type="xsd:double"&gt;0.2651171&lt;/D&gt;&lt;D xsi:type="xsd:double"&gt;0.5582189&lt;/D&gt;&lt;D xsi:type="xsd:double"&gt;0.27512106&lt;/D&gt;&lt;D xsi:type="xsd:double"&gt;0.21568754&lt;/D&gt;&lt;D xsi:type="xsd:double"&gt;0.61001&lt;/D&gt;&lt;D xsi:type="xsd:double"&gt;0.68455875&lt;/D&gt;&lt;D xsi:type="xsd:double"&gt;0.7962281&lt;/D&gt;&lt;D xsi:type="xsd:double"&gt;-0.552209&lt;/D&gt;&lt;D xsi:type="xsd:double"&gt;-0.26578456&lt;/D&gt;&lt;D xsi:type="xsd:double"&gt;-0.34016058&lt;/D&gt;&lt;D xsi:type="xsd:double"&gt;0.0023599432&lt;/D&gt;&lt;D xsi:type="xsd:double"&gt;0.38009&lt;/D&gt;&lt;D xsi:type="xsd:double"&gt;0.74041754&lt;/D&gt;&lt;D xsi:type="xsd:double"&gt;-0.610513&lt;/D&gt;&lt;D xsi:type="xsd:double"&gt;0.45045874&lt;/D&gt;&lt;D xsi:type="xsd:double"&gt;0.6513614&lt;/D&gt;&lt;D xsi:type="xsd:double"&gt;0.7439307&lt;/D&gt;&lt;D xsi:type="xsd:double"&gt;0.0054263724&lt;/D&gt;&lt;D xsi:type="xsd:double"&gt;0.64691275&lt;/D&gt;&lt;D xsi:type="xsd:double"&gt;0.1378292&lt;/D&gt;&lt;D xsi:type="xsd:double"&gt;-0.012836514&lt;/D&gt;&lt;D xsi:type="xsd:double"&gt;-0.34688324&lt;/D&gt;&lt;D xsi:type="xsd:double"&gt;0.87696403&lt;/D&gt;&lt;D xsi:type="xsd:double"&gt;0.28237978&lt;/D&gt;&lt;D xsi:type="xsd:double"&gt;0.10060946&lt;/D&gt;&lt;D xsi:type="xsd:double"&gt;0.24734156&lt;/D&gt;&lt;D xsi:type="xsd:double"&gt;0.747822&lt;/D&gt;&lt;D xsi:type="xsd:double"&gt;1&lt;/D&gt;&lt;D xsi:type="xsd:double"&gt;0.7477569&lt;/D&gt;&lt;D xsi:type="xsd:double"&gt;0.88867956&lt;/D&gt;&lt;D xsi:type="xsd:double"&gt;0.734252&lt;/D&gt;&lt;D xsi:type="xsd:double"&gt;0.65862733&lt;/D&gt;&lt;D xsi:type="xsd:double"&gt;0.83739495&lt;/D&gt;&lt;D xsi:type="xsd:double"&gt;0.72928035&lt;/D&gt;&lt;D xsi:type="xsd:double"&gt;0.54967403&lt;/D&gt;&lt;D xsi:type="xsd:double"&gt;0.78674096&lt;/D&gt;&lt;D xsi:type="xsd:double"&gt;0.40130612&lt;/D&gt;&lt;D xsi:type="xsd:double"&gt;0.67870986&lt;/D&gt;&lt;D xsi:type="xsd:double"&gt;0.65668225&lt;/D&gt;&lt;D xsi:type="xsd:double"&gt;0.75054604&lt;/D&gt;&lt;D xsi:type="xsd:double"&gt;0.50267226&lt;/D&gt;&lt;D xsi:type="xsd:double"&gt;0.8130613&lt;/D&gt;&lt;D xsi:type="xsd:double"&gt;0.39361027&lt;/D&gt;&lt;D xsi:type="xsd:double"&gt;0.16644451&lt;/D&gt;&lt;D xsi:type="xsd:double"&gt;0.1298122&lt;/D&gt;&lt;D xsi:type="xsd:double"&gt;0.34441787&lt;/D&gt;&lt;D xsi:type="xsd:double"&gt;0.30512357&lt;/D&gt;&lt;D xsi:type="xsd:double"&gt;0.73421395&lt;/D&gt;&lt;D xsi:type="xsd:double"&gt;0.38572758&lt;/D&gt;&lt;D xsi:type="xsd:double"&gt;-0.5175591&lt;/D&gt;&lt;D xsi:type="xsd:double"&gt;0.18282084&lt;/D&gt;&lt;D xsi:type="xsd:double"&gt;0.5814817&lt;/D&gt;&lt;D xsi:type="xsd:double"&gt;-0.3974988&lt;/D&gt;&lt;D xsi:type="xsd:double"&gt;0.5745069&lt;/D&gt;&lt;D xsi:type="xsd:double"&gt;-0.31086713&lt;/D&gt;&lt;D xsi:type="xsd:double"&gt;0.6842787&lt;/D&gt;&lt;D xsi:type="xsd:double"&gt;-0.17240639&lt;/D&gt;&lt;D xsi:type="xsd:double"&gt;0.61398566&lt;/D&gt;&lt;D xsi:type="xsd:double"&gt;-0.36001346&lt;/D&gt;&lt;D xsi:type="xsd:double"&gt;0.29135168&lt;/D&gt;&lt;D xsi:type="xsd:double"&gt;0.6439204&lt;/D&gt;&lt;D xsi:type="xsd:double"&gt;0.4437748&lt;/D&gt;&lt;D xsi:type="xsd:double"&gt;0.17354833&lt;/D&gt;&lt;D xsi:type="xsd:double"&gt;0.66125566&lt;/D&gt;&lt;D xsi:type="xsd:double"&gt;0.5891308&lt;/D&gt;&lt;D xsi:type="xsd:double"&gt;0.6858062&lt;/D&gt;&lt;D xsi:type="xsd:double"&gt;-0.3665417&lt;/D&gt;&lt;D xsi:type="xsd:double"&gt;-0.43264288&lt;/D&gt;&lt;D xsi:type="xsd:double"&gt;-0.42963845&lt;/D&gt;&lt;D xsi:type="xsd:double"&gt;-0.21473409&lt;/D&gt;&lt;D xsi:type="xsd:double"&gt;0.26369488&lt;/D&gt;&lt;D xsi:type="xsd:double"&gt;0.7501621&lt;/D&gt;&lt;D xsi:type="xsd:double"&gt;-0.50277823&lt;/D&gt;&lt;D xsi:type="xsd:double"&gt;0.5147752&lt;/D&gt;&lt;D xsi:type="xsd:double"&gt;0.55109966&lt;/D&gt;&lt;D xsi:type="xsd:double"&gt;0.7062707&lt;/D&gt;&lt;D xsi:type="xsd:double"&gt;-0.042555623&lt;/D&gt;&lt;D xsi:type="xsd:double"&gt;0.43615785&lt;/D&gt;&lt;D xsi:type="xsd:double"&gt;-0.040916525&lt;/D&gt;&lt;D xsi:type="xsd:double"&gt;-0.27498764&lt;/D&gt;&lt;D xsi:type="xsd:double"&gt;-0.45502225&lt;/D&gt;&lt;D xsi:type="xsd:double"&gt;0.8096533&lt;/D&gt;&lt;D xsi:type="xsd:double"&gt;0.41234142&lt;/D&gt;&lt;D xsi:type="xsd:double"&gt;0.11136108&lt;/D&gt;&lt;D xsi:type="xsd:double"&gt;0.2971524&lt;/D&gt;&lt;D xsi:type="xsd:double"&gt;0.4960184&lt;/D&gt;&lt;D xsi:type="xsd:double"&gt;0.7477569&lt;/D&gt;&lt;D xsi:type="xsd:double"&gt;1&lt;/D&gt;&lt;D xsi:type="xsd:double"&gt;0.66860235&lt;/D&gt;&lt;D xsi:type="xsd:double"&gt;0.6772649&lt;/D&gt;&lt;D xsi:type="xsd:double"&gt;0.56095165&lt;/D&gt;&lt;D xsi:type="xsd:double"&gt;0.7757571&lt;/D&gt;&lt;D xsi:type="xsd:double"&gt;0.51513946&lt;/D&gt;&lt;D xsi:type="xsd:double"&gt;0.58873296&lt;/D&gt;&lt;D xsi:type="xsd:double"&gt;0.7657164&lt;/D&gt;&lt;D xsi:type="xsd:double"&gt;0.7587812&lt;/D&gt;&lt;D xsi:type="xsd:double"&gt;0.9538096&lt;/D&gt;&lt;D xsi:type="xsd:double"&gt;0.8088129&lt;/D&gt;&lt;D xsi:type="xsd:double"&gt;0.69247115&lt;/D&gt;&lt;D xsi:type="xsd:double"&gt;0.7635903&lt;/D&gt;&lt;D xsi:type="xsd:double"&gt;0.7725559&lt;/D&gt;&lt;D xsi:type="xsd:double"&gt;0.74762505&lt;/D&gt;&lt;D xsi:type="xsd:double"&gt;0.4927377&lt;/D&gt;&lt;D xsi:type="xsd:double"&gt;0.51482254&lt;/D&gt;&lt;D xsi:type="xsd:double"&gt;0.5712483&lt;/D&gt;&lt;D xsi:type="xsd:double"&gt;0.5323781&lt;/D&gt;&lt;D xsi:type="xsd:double"&gt;0.7060647&lt;/D&gt;&lt;D xsi:type="xsd:double"&gt;0.5927705&lt;/D&gt;&lt;D xsi:type="xsd:double"&gt;-0.61492884&lt;/D&gt;&lt;D xsi:type="xsd:double"&gt;0.27217218&lt;/D&gt;&lt;D xsi:type="xsd:double"&gt;0.8908815&lt;/D&gt;&lt;D xsi:type="xsd:double"&gt;-0.46438867&lt;/D&gt;&lt;D xsi:type="xsd:double"&gt;0.44807172&lt;/D&gt;&lt;D xsi:type="xsd:double"&gt;-0.475316&lt;/D&gt;&lt;D xsi:type="xsd:double"&gt;0.7708339&lt;/D&gt;&lt;D xsi:type="xsd:double"&gt;-0.20652287&lt;/D&gt;&lt;D xsi:type="xsd:double"&gt;0.77975976&lt;/D&gt;&lt;D xsi:type="xsd:double"&gt;-0.3315268&lt;/D&gt;&lt;D xsi:type="xsd:double"&gt;0.42343318&lt;/D&gt;&lt;D xsi:type="xsd:double"&gt;0.71768224&lt;/D&gt;&lt;D xsi:type="xsd:double"&gt;0.36231497&lt;/D&gt;&lt;D xsi:type="xsd:double"&gt;0.31690857&lt;/D&gt;&lt;D xsi:type="xsd:double"&gt;0.7094861&lt;/D&gt;&lt;D xsi:type="xsd:double"&gt;0.5978697&lt;/D&gt;&lt;D xsi:type="xsd:double"&gt;0.7143718&lt;/D&gt;&lt;D xsi:type="xsd:double"&gt;-0.56716734&lt;/D&gt;&lt;D xsi:type="xsd:double"&gt;-0.42317188&lt;/D&gt;&lt;D xsi:type="xsd:double"&gt;-0.30855742&lt;/D&gt;&lt;D xsi:type="xsd:double"&gt;-0.24167964&lt;/D&gt;&lt;D xsi:type="xsd:double"&gt;0.6186886&lt;/D&gt;&lt;D xsi:type="xsd:double"&gt;0.8025865&lt;/D&gt;&lt;D xsi:type="xsd:double"&gt;-0.4538242&lt;/D&gt;&lt;D xsi:type="xsd:double"&gt;0.681253&lt;/D&gt;&lt;D xsi:type="xsd:double"&gt;0.74515575&lt;/D&gt;&lt;D xsi:type="xsd:double"&gt;0.80047756&lt;/D&gt;&lt;D xsi:type="xsd:double"&gt;-0.058529127&lt;/D&gt;&lt;D xsi:type="xsd:double"&gt;0.7833701&lt;/D&gt;&lt;D xsi:type="xsd:double"&gt;-0.04739165&lt;/D&gt;&lt;D xsi:type="xsd:double"&gt;-0.10394677&lt;/D&gt;&lt;D xsi:type="xsd:double"&gt;-0.4703914&lt;/D&gt;&lt;D xsi:type="xsd:double"&gt;0.86098504&lt;/D&gt;&lt;D xsi:type="xsd:double"&gt;0.5234964&lt;/D&gt;&lt;D xsi:type="xsd:double"&gt;0.1972037&lt;/D&gt;&lt;D xsi:type="xsd:double"&gt;0.09302973&lt;/D&gt;&lt;D xsi:type="xsd:double"&gt;0.89631444&lt;/D&gt;&lt;D xsi:type="xsd:double"&gt;0.88867956&lt;/D&gt;&lt;D xsi:type="xsd:double"&gt;0.66860235&lt;/D&gt;&lt;D xsi:type="xsd:double"&gt;1&lt;/D&gt;&lt;D xsi:type="xsd:double"&gt;0.7981468&lt;/D&gt;&lt;D xsi:type="xsd:double"&gt;0.8646371&lt;/D&gt;&lt;D xsi:type="xsd:double"&gt;0.88205796&lt;/D&gt;&lt;D xsi:type="xsd:double"&gt;0.7187602&lt;/D&gt;&lt;D xsi:type="xsd:double"&gt;0.6197323&lt;/D&gt;&lt;D xsi:type="xsd:double"&gt;0.8877556&lt;/D&gt;&lt;D xsi:type="xsd:double"&gt;0.5647331&lt;/D&gt;&lt;D xsi:type="xsd:double"&gt;0.8160902&lt;/D&gt;&lt;D xsi:type="xsd:double"&gt;0.869785&lt;/D&gt;&lt;D xsi:type="xsd:double"&gt;0.71858037&lt;/D&gt;&lt;D xsi:type="xsd:double"&gt;0.83127373&lt;/D&gt;&lt;D xsi:type="xsd:double"&gt;0.9066645&lt;/D&gt;&lt;D xsi:type="xsd:double"&gt;0.66064066&lt;/D&gt;&lt;D xsi:type="xsd:double"&gt;0.31304353&lt;/D&gt;&lt;D xsi:type="xsd:double"&gt;0.27538273&lt;/D&gt;&lt;D xsi:type="xsd:double"&gt;0.6710171&lt;/D&gt;&lt;D xsi:type="xsd:double"&gt;0.59127516&lt;/D&gt;&lt;D xsi:type="xsd:double"&gt;0.82040584&lt;/D&gt;&lt;D xsi:type="xsd:double"&gt;0.53155684&lt;/D&gt;&lt;D xsi:type="xsd:double"&gt;-0.48433304&lt;/D&gt;&lt;D xsi:type="xsd:double"&gt;0.1470195&lt;/D&gt;&lt;D xsi:type="xsd:double"&gt;0.8217458&lt;/D&gt;&lt;D xsi:type="xsd:double"&gt;-0.4060657&lt;/D&gt;&lt;D xsi:type="xsd:double"&gt;0.70306927&lt;/D&gt;&lt;D xsi:type="xsd:double"&gt;-0.459958&lt;/D&gt;&lt;D xsi:type="xsd:double"&gt;0.854459&lt;/D&gt;&lt;D xsi:type="xsd:double"&gt;-0.3602485&lt;/D&gt;&lt;D xsi:type="xsd:double"&gt;0.8756379&lt;/D&gt;&lt;D xsi:type="xsd:double"&gt;-0.31524345&lt;/D&gt;&lt;D xsi:type="xsd:double"&gt;0.5400769&lt;/D&gt;&lt;D xsi:type="xsd:double"&gt;0.8529206&lt;/D&gt;&lt;D xsi:type="xsd:double"&gt;0.52126163&lt;/D&gt;&lt;D xsi:type="xsd:double"&gt;0.2892241&lt;/D&gt;&lt;D xsi:type="xsd:double"&gt;0.8148663&lt;/D&gt;&lt;D xsi:type="xsd:double"&gt;0.6525143&lt;/D&gt;&lt;D xsi:type="xsd:double"&gt;0.7634444&lt;/D&gt;&lt;D xsi:type="xsd:double"&gt;-0.327873&lt;/D&gt;&lt;D xsi:type="xsd:double"&gt;-0.49881518&lt;/D&gt;&lt;D xsi:type="xsd:double"&gt;-0.42851216&lt;/D&gt;&lt;D xsi:type="xsd:double"&gt;-0.30173042&lt;/D&gt;&lt;D xsi:type="xsd:double"&gt;0.4288702&lt;/D&gt;&lt;D xsi:type="xsd:double"&gt;0.8692896&lt;/D&gt;&lt;D xsi:type="xsd:double"&gt;-0.33934227&lt;/D&gt;&lt;D xsi:type="xsd:double"&gt;0.7996004&lt;/D&gt;&lt;D xsi:type="xsd:double"&gt;0.7816804&lt;/D&gt;&lt;D xsi:type="xsd:double"&gt;0.8721507&lt;/D&gt;&lt;D xsi:type="xsd:double"&gt;0.04299249&lt;/D&gt;&lt;D xsi:type="xsd:double"&gt;0.6264107&lt;/D&gt;&lt;D xsi:type="xsd:double"&gt;-0.21135876&lt;/D&gt;&lt;D xsi:type="xsd:double"&gt;-0.14096986&lt;/D&gt;&lt;D xsi:type="xsd:double"&gt;-0.5420374&lt;/D&gt;&lt;D xsi:type="xsd:double"&gt;0.8834208&lt;/D&gt;&lt;D xsi:type="xsd:double"&gt;0.6827003&lt;/D&gt;&lt;D xsi:type="xsd:double"&gt;0.3534967&lt;/D&gt;&lt;D xsi:type="xsd:double"&gt;0.33139184&lt;/D&gt;&lt;D xsi:type="xsd:double"&gt;0.7552005&lt;/D&gt;&lt;D xsi:type="xsd:double"&gt;0.734252&lt;/D&gt;&lt;D xsi:type="xsd:double"&gt;0.6772649&lt;/D&gt;&lt;D xsi:type="xsd:double"&gt;0.7981468&lt;/D&gt;&lt;D xsi:type="xsd:double"&gt;1&lt;/D&gt;&lt;D xsi:type="xsd:double"&gt;0.81885105&lt;/D&gt;&lt;D xsi:type="xsd:double"&gt;0.883546&lt;/D&gt;&lt;D xsi:type="xsd:double"&gt;0.61167586&lt;/D&gt;&lt;D xsi:type="xsd:double"&gt;0.69447464&lt;/D&gt;&lt;D xsi:type="xsd:double"&gt;0.73371565&lt;/D&gt;&lt;D xsi:type="xsd:double"&gt;0.7351123&lt;/D&gt;&lt;D xsi:type="xsd:double"&gt;0.8664086&lt;/D&gt;&lt;D xsi:type="xsd:double"&gt;0.90416986&lt;/D&gt;&lt;D xsi:type="xsd:double"&gt;0.5469275&lt;/D&gt;&lt;D xsi:type="xsd:double"&gt;0.83703613&lt;/D&gt;&lt;D xsi:type="xsd:double"&gt;0.687803&lt;/D&gt;&lt;D xsi:type="xsd:double"&gt;0.8993837&lt;/D&gt;&lt;D xsi:type="xsd:double"&gt;0.6822758&lt;/D&gt;&lt;D xsi:type="xsd:double"&gt;0.27007833&lt;/D&gt;&lt;D xsi:type="xsd:double"&gt;0.8091734&lt;/D&gt;&lt;D xsi:type="xsd:double"&gt;0.71312034&lt;/D&gt;&lt;D xsi:type="xsd:double"&gt;0.5909737&lt;/D&gt;&lt;D xsi:type="xsd:double"&gt;0.78983235&lt;/D&gt;&lt;D xsi:type="xsd:double"&gt;-0.58539957&lt;/D&gt;&lt;D xsi:type="xsd:double"&gt;0.16126084&lt;/D&gt;&lt;D xsi:type="xsd:double"&gt;0.8194901&lt;/D&gt;&lt;D xsi:type="xsd:double"&gt;-0.19770119&lt;/D&gt;&lt;D xsi:type="xsd:double"&gt;0.3891138&lt;/D&gt;&lt;D xsi:type="xsd:double"&gt;-0.64805746&lt;/D&gt;&lt;D xsi:type="xsd:double"&gt;0.8170181&lt;/D&gt;&lt;D xsi:type="xsd:double"&gt;-0.57995343&lt;/D&gt;&lt;D xsi:type="xsd:double"&gt;0.9367645&lt;/D&gt;&lt;D xsi:type="xsd:double"&gt;-0.50624406&lt;/D&gt;&lt;D xsi:type="xsd:double"&gt;0.6871155&lt;/D&gt;&lt;D xsi:type="xsd:double"&gt;0.87586296&lt;/D&gt;&lt;D xsi:type="xsd:double"&gt;0.54250973&lt;/D&gt;&lt;D xsi:type="xsd:double"&gt;0.5204065&lt;/D&gt;&lt;D xsi:type="xsd:double"&gt;0.86998147&lt;/D&gt;&lt;D xsi:type="xsd:double"&gt;0.40706792&lt;/D&gt;&lt;D xsi:type="xsd:double"&gt;0.558725&lt;/D&gt;&lt;D xsi:type="xsd:double"&gt;-0.42751363&lt;/D&gt;&lt;D xsi:type="xsd:double"&gt;-0.71092635&lt;/D&gt;&lt;D xsi:type="xsd:double"&gt;-0.23260532&lt;/D&gt;&lt;D xsi:type="xsd:double"&gt;-0.6162641&lt;/D&gt;&lt;D xsi:type="xsd:double"&gt;0.8098631&lt;/D&gt;&lt;D xsi:type="xsd:double"&gt;0.86536413&lt;/D&gt;&lt;D xsi:type="xsd:double"&gt;-0.2669844&lt;/D&gt;&lt;D xsi:type="xsd:double"&gt;0.8807669&lt;/D&gt;&lt;D xsi:type="xsd:double"&gt;0.7823335&lt;/D&gt;&lt;D xsi:type="xsd:double"&gt;0.7829184&lt;/D&gt;&lt;D xsi:type="xsd:double"&gt;-0.14042124&lt;/D&gt;&lt;D xsi:type="xsd:double"&gt;0.81032354&lt;/D&gt;&lt;D xsi:type="xsd:double"&gt;-0.39658162&lt;/D&gt;&lt;D xsi:type="xsd:double"&gt;-0.2972398&lt;/D&gt;&lt;D xsi:type="xsd:double"&gt;-0.7724576&lt;/D&gt;&lt;D xsi:type="xsd:double"&gt;0.78659064&lt;/D&gt;&lt;D xsi:type="xsd:double"&gt;0.78458786&lt;/D&gt;&lt;D xsi:type="xsd:double"&gt;0.37759402&lt;/D&gt;&lt;D xsi:type="xsd:double"&gt;-0.03520349&lt;/D&gt;&lt;D xsi:type="xsd:double"&gt;0.90704215&lt;/D&gt;&lt;D xsi:type="xsd:double"&gt;0.65862733&lt;/D&gt;&lt;D xsi:type="xsd:double"&gt;0.56095165&lt;/D&gt;&lt;D xsi:type="xsd:double"&gt;0.8646371&lt;/D&gt;&lt;D xsi:type="xsd:double"&gt;0.81885105&lt;/D&gt;&lt;D xsi:type="xsd:double"&gt;1&lt;/D&gt;&lt;D xsi:type="xsd:double"&gt;0.85537136&lt;/D&gt;&lt;D xsi:type="xsd:double"&gt;0.5744853&lt;/D&gt;&lt;D xsi:type="xsd:double"&gt;0.7738363&lt;/D&gt;&lt;D xsi:type="xsd:double"&gt;0.89298344&lt;/D&gt;&lt;D xsi:type="xsd:double"&gt;0.6208725&lt;/D&gt;&lt;D xsi:type="xsd:double"&gt;0.8953482&lt;/D&gt;&lt;D xsi:type="xsd:double"&gt;0.8255578&lt;/D&gt;&lt;D xsi:type="xsd:double"&gt;0.76728976&lt;/D&gt;&lt;D xsi:type="xsd:double"&gt;0.802315&lt;/D&gt;&lt;D xsi:type="xsd:double"&gt;0.83577585&lt;/D&gt;&lt;D xsi:type="xsd:double"&gt;0.6987835&lt;/D&gt;&lt;D xsi:type="xsd:double"&gt;0.46844104&lt;/D&gt;&lt;D xsi:type="xsd:double"&gt;0.2000826&lt;/D&gt;&lt;D xsi:type="xsd:double"&gt;0.5707059&lt;/D&gt;&lt;D xsi:type="xsd:double"&gt;0.57521576&lt;/D&gt;&lt;D xsi:type="xsd:double"&gt;0.7217976&lt;/D&gt;&lt;D xsi:type="xsd:double"&gt;0.6589832&lt;/D&gt;&lt;D xsi:type="xsd:double"&gt;-0.70447683&lt;/D&gt;&lt;D xsi:type="xsd:double"&gt;0.17113961&lt;/D&gt;&lt;D xsi:type="xsd:double"&gt;0.77878255&lt;/D&gt;&lt;D xsi:type="xsd:double"&gt;-0.33873802&lt;/D&gt;&lt;D xsi:type="xsd:double"&gt;0.62497693&lt;/D&gt;&lt;D xsi:type="xsd:double"&gt;-0.5875509&lt;/D&gt;&lt;D xsi:type="xsd:double"&gt;0.86639076&lt;/D&gt;&lt;D xsi:type="xsd:double"&gt;-0.4360067&lt;/D&gt;&lt;D xsi:type="xsd:double"&gt;0.8474536&lt;/D&gt;&lt;D xsi:type="xsd:double"&gt;-0.5560694&lt;/D&gt;&lt;D xsi:type="xsd:double"&gt;0.59382087&lt;/D&gt;&lt;D xsi:type="xsd:double"&gt;0.8304064&lt;/D&gt;&lt;D xsi:type="xsd:double"&gt;0.62082815&lt;/D&gt;&lt;D xsi:type="xsd:double"&gt;0.27927503&lt;/D&gt;&lt;D xsi:type="xsd:double"&gt;0.8753159&lt;/D&gt;&lt;D xsi:type="xsd:double"&gt;0.60685027&lt;/D&gt;&lt;D xsi:type="xsd:double"&gt;0.73993355&lt;/D&gt;&lt;D xsi:type="xsd:double"&gt;-0.35740337&lt;/D&gt;&lt;D xsi:type="xsd:double"&gt;-0.657949&lt;/D&gt;&lt;D xsi:type="xsd:double"&gt;-0.38893273&lt;/D&gt;&lt;D xsi:type="xsd:double"&gt;-0.43211213&lt;/D&gt;&lt;D xsi:type="xsd:double"&gt;0.5513036&lt;/D&gt;&lt;D xsi:type="xsd:double"&gt;0.9098887&lt;/D&gt;&lt;D xsi:type="xsd:double"&gt;-0.5113128&lt;/D&gt;&lt;D xsi:type="xsd:double"&gt;0.7485782&lt;/D&gt;&lt;D xsi:type="xsd:double"&gt;0.7051194&lt;/D&gt;&lt;D xsi:type="xsd:double"&gt;0.85312265&lt;/D&gt;&lt;D xsi:type="xsd:double"&gt;-0.06220045&lt;/D&gt;&lt;D xsi:type="xsd:double"&gt;0.6671735&lt;/D&gt;&lt;D xsi:type="xsd:double"&gt;-0.28787377&lt;/D&gt;&lt;D xsi:type="xsd:double"&gt;-0.38197145&lt;/D&gt;&lt;D xsi:type="xsd:double"&gt;-0.6980843&lt;/D&gt;&lt;D xsi:type="xsd:double"&gt;0.92721075&lt;/D&gt;&lt;D xsi:type="xsd:double"&gt;0.6048779&lt;/D&gt;&lt;D xsi:type="xsd:double"&gt;0.26573092&lt;/D&gt;&lt;D xsi:type="xsd:double"&gt;0.14710154&lt;/D&gt;&lt;D xsi:type="xsd:double"&gt;0.798917&lt;/D&gt;&lt;D xsi:type="xsd:double"&gt;0.83739495&lt;/D&gt;&lt;D xsi:type="xsd:double"&gt;0.7757571&lt;/D&gt;&lt;D xsi:type="xsd:double"&gt;0.88205796&lt;/D&gt;&lt;D xsi:type="xsd:double"&gt;0.883546&lt;/D&gt;&lt;D xsi:type="xsd:double"&gt;0.85537136&lt;/D&gt;&lt;D xsi:type="xsd:double"&gt;1&lt;/D&gt;&lt;D xsi:type="xsd:double"&gt;0.6760717&lt;/D&gt;&lt;D xsi:type="xsd:double"&gt;0.7269305&lt;/D&gt;&lt;D xsi:type="xsd:double"&gt;0.47744948&lt;/D&gt;&lt;D xsi:type="xsd:double"&gt;0.72922456&lt;/D&gt;&lt;D xsi:type="xsd:double"&gt;0.76085335&lt;/D&gt;&lt;D xsi:type="xsd:double"&gt;0.6111455&lt;/D&gt;&lt;D xsi:type="xsd:double"&gt;0.3580441&lt;/D&gt;&lt;D xsi:type="xsd:double"&gt;0.52318305&lt;/D&gt;&lt;D xsi:type="xsd:double"&gt;0.55648744&lt;/D&gt;&lt;D xsi:type="xsd:double"&gt;0.39217022&lt;/D&gt;&lt;D xsi:type="xsd:double"&gt;0.37899664&lt;/D&gt;&lt;D xsi:type="xsd:double"&gt;0.5611594&lt;/D&gt;&lt;D xsi:type="xsd:double"&gt;0.24681993&lt;/D&gt;&lt;D xsi:type="xsd:double"&gt;0.29735145&lt;/D&gt;&lt;D xsi:type="xsd:double"&gt;0.45147568&lt;/D&gt;&lt;D xsi:type="xsd:double"&gt;0.4818474&lt;/D&gt;&lt;D xsi:type="xsd:double"&gt;-0.44943044&lt;/D&gt;&lt;D xsi:type="xsd:double"&gt;0.2606407&lt;/D&gt;&lt;D xsi:type="xsd:double"&gt;0.6991858&lt;/D&gt;&lt;D xsi:type="xsd:double"&gt;-0.38607877&lt;/D&gt;&lt;D xsi:type="xsd:double"&gt;0.43250883&lt;/D&gt;&lt;D xsi:type="xsd:double"&gt;-0.1337413&lt;/D&gt;&lt;D xsi:type="xsd:double"&gt;0.47875616&lt;/D&gt;&lt;D xsi:type="xsd:double"&gt;0.010292069&lt;/D&gt;&lt;D xsi:type="xsd:double"&gt;0.512672&lt;/D&gt;&lt;D xsi:type="xsd:double"&gt;</t>
        </r>
      </text>
    </comment>
    <comment ref="A6" authorId="0" shapeId="0" xr:uid="{7E5B7FDC-D023-4BE4-81A1-453D323890B8}">
      <text>
        <r>
          <rPr>
            <b/>
            <sz val="9"/>
            <color indexed="81"/>
            <rFont val="Tahoma"/>
            <charset val="1"/>
          </rPr>
          <t>-0.11102861&lt;/D&gt;&lt;D xsi:type="xsd:double"&gt;0.39985222&lt;/D&gt;&lt;D xsi:type="xsd:double"&gt;0.49996868&lt;/D&gt;&lt;D xsi:type="xsd:double"&gt;0.35741648&lt;/D&gt;&lt;D xsi:type="xsd:double"&gt;0.45657817&lt;/D&gt;&lt;D xsi:type="xsd:double"&gt;0.6233496&lt;/D&gt;&lt;D xsi:type="xsd:double"&gt;0.5330623&lt;/D&gt;&lt;D xsi:type="xsd:double"&gt;0.8476324&lt;/D&gt;&lt;D xsi:type="xsd:double"&gt;-0.39656878&lt;/D&gt;&lt;D xsi:type="xsd:double"&gt;-0.14959693&lt;/D&gt;&lt;D xsi:type="xsd:double"&gt;-0.118990615&lt;/D&gt;&lt;D xsi:type="xsd:double"&gt;-0.07763109&lt;/D&gt;&lt;D xsi:type="xsd:double"&gt;0.49391216&lt;/D&gt;&lt;D xsi:type="xsd:double"&gt;0.61835265&lt;/D&gt;&lt;D xsi:type="xsd:double"&gt;-0.48228297&lt;/D&gt;&lt;D xsi:type="xsd:double"&gt;0.35518655&lt;/D&gt;&lt;D xsi:type="xsd:double"&gt;0.7528023&lt;/D&gt;&lt;D xsi:type="xsd:double"&gt;0.6073813&lt;/D&gt;&lt;D xsi:type="xsd:double"&gt;0.07427881&lt;/D&gt;&lt;D xsi:type="xsd:double"&gt;0.37268642&lt;/D&gt;&lt;D xsi:type="xsd:double"&gt;0.13402939&lt;/D&gt;&lt;D xsi:type="xsd:double"&gt;-0.025296168&lt;/D&gt;&lt;D xsi:type="xsd:double"&gt;-0.3003498&lt;/D&gt;&lt;D xsi:type="xsd:double"&gt;0.7126494&lt;/D&gt;&lt;D xsi:type="xsd:double"&gt;0.30140465&lt;/D&gt;&lt;D xsi:type="xsd:double"&gt;0.2609661&lt;/D&gt;&lt;D xsi:type="xsd:double"&gt;-0.008269395&lt;/D&gt;&lt;D xsi:type="xsd:double"&gt;0.7280073&lt;/D&gt;&lt;D xsi:type="xsd:double"&gt;0.72928035&lt;/D&gt;&lt;D xsi:type="xsd:double"&gt;0.51513946&lt;/D&gt;&lt;D xsi:type="xsd:double"&gt;0.7187602&lt;/D&gt;&lt;D xsi:type="xsd:double"&gt;0.61167586&lt;/D&gt;&lt;D xsi:type="xsd:double"&gt;0.5744853&lt;/D&gt;&lt;D xsi:type="xsd:double"&gt;0.6760717&lt;/D&gt;&lt;D xsi:type="xsd:double"&gt;1&lt;/D&gt;&lt;D xsi:type="xsd:double"&gt;0.64245105&lt;/D&gt;&lt;D xsi:type="xsd:double"&gt;0.61937004&lt;/D&gt;&lt;D xsi:type="xsd:double"&gt;0.62539&lt;/D&gt;&lt;D xsi:type="xsd:double"&gt;0.6617986&lt;/D&gt;&lt;D xsi:type="xsd:double"&gt;0.7730746&lt;/D&gt;&lt;D xsi:type="xsd:double"&gt;0.3263615&lt;/D&gt;&lt;D xsi:type="xsd:double"&gt;0.6386252&lt;/D&gt;&lt;D xsi:type="xsd:double"&gt;0.6025029&lt;/D&gt;&lt;D xsi:type="xsd:double"&gt;0.6334217&lt;/D&gt;&lt;D xsi:type="xsd:double"&gt;0.49117452&lt;/D&gt;&lt;D xsi:type="xsd:double"&gt;0.1313603&lt;/D&gt;&lt;D xsi:type="xsd:double"&gt;0.5879455&lt;/D&gt;&lt;D xsi:type="xsd:double"&gt;0.7109743&lt;/D&gt;&lt;D xsi:type="xsd:double"&gt;0.4033771&lt;/D&gt;&lt;D xsi:type="xsd:double"&gt;0.7887759&lt;/D&gt;&lt;D xsi:type="xsd:double"&gt;-0.40725163&lt;/D&gt;&lt;D xsi:type="xsd:double"&gt;0.22353986&lt;/D&gt;&lt;D xsi:type="xsd:double"&gt;0.5036932&lt;/D&gt;&lt;D xsi:type="xsd:double"&gt;-0.03288105&lt;/D&gt;&lt;D xsi:type="xsd:double"&gt;0.43977407&lt;/D&gt;&lt;D xsi:type="xsd:double"&gt;-0.4306494&lt;/D&gt;&lt;D xsi:type="xsd:double"&gt;0.6453414&lt;/D&gt;&lt;D xsi:type="xsd:double"&gt;-0.48778394&lt;/D&gt;&lt;D xsi:type="xsd:double"&gt;0.76342577&lt;/D&gt;&lt;D xsi:type="xsd:double"&gt;-0.4170805&lt;/D&gt;&lt;D xsi:type="xsd:double"&gt;0.70407116&lt;/D&gt;&lt;D xsi:type="xsd:double"&gt;0.77254057&lt;/D&gt;&lt;D xsi:type="xsd:double"&gt;0.7284775&lt;/D&gt;&lt;D xsi:type="xsd:double"&gt;0.60045195&lt;/D&gt;&lt;D xsi:type="xsd:double"&gt;0.88121253&lt;/D&gt;&lt;D xsi:type="xsd:double"&gt;0.40351817&lt;/D&gt;&lt;D xsi:type="xsd:double"&gt;0.62035805&lt;/D&gt;&lt;D xsi:type="xsd:double"&gt;-0.17039502&lt;/D&gt;&lt;D xsi:type="xsd:double"&gt;-0.61691576&lt;/D&gt;&lt;D xsi:type="xsd:double"&gt;-0.15150033&lt;/D&gt;&lt;D xsi:type="xsd:double"&gt;-0.5954102&lt;/D&gt;&lt;D xsi:type="xsd:double"&gt;0.67131567&lt;/D&gt;&lt;D xsi:type="xsd:double"&gt;0.8066182&lt;/D&gt;&lt;D xsi:type="xsd:double"&gt;-0.39267606&lt;/D&gt;&lt;D xsi:type="xsd:double"&gt;0.6594419&lt;/D&gt;&lt;D xsi:type="xsd:double"&gt;0.6927458&lt;/D&gt;&lt;D xsi:type="xsd:double"&gt;0.65262634&lt;/D&gt;&lt;D xsi:type="xsd:double"&gt;0.17205271&lt;/D&gt;&lt;D xsi:type="xsd:double"&gt;0.39151216&lt;/D&gt;&lt;D xsi:type="xsd:double"&gt;-0.38900283&lt;/D&gt;&lt;D xsi:type="xsd:double"&gt;-0.47569084&lt;/D&gt;&lt;D xsi:type="xsd:double"&gt;-0.7232359&lt;/D&gt;&lt;D xsi:type="xsd:double"&gt;0.7644373&lt;/D&gt;&lt;D xsi:type="xsd:double"&gt;0.7146052&lt;/D&gt;&lt;D xsi:type="xsd:double"&gt;0.52931464&lt;/D&gt;&lt;D xsi:type="xsd:double"&gt;-0.13407253&lt;/D&gt;&lt;D xsi:type="xsd:double"&gt;0.6716306&lt;/D&gt;&lt;D xsi:type="xsd:double"&gt;0.54967403&lt;/D&gt;&lt;D xsi:type="xsd:double"&gt;0.58873296&lt;/D&gt;&lt;D xsi:type="xsd:double"&gt;0.6197323&lt;/D&gt;&lt;D xsi:type="xsd:double"&gt;0.69447464&lt;/D&gt;&lt;D xsi:type="xsd:double"&gt;0.7738363&lt;/D&gt;&lt;D xsi:type="xsd:double"&gt;0.7269305&lt;/D&gt;&lt;D xsi:type="xsd:double"&gt;0.64245105&lt;/D&gt;&lt;D xsi:type="xsd:double"&gt;1&lt;/D&gt;&lt;/FQL&gt;&lt;FQL&gt;&lt;Q&gt;^IDS&lt;/Q&gt;&lt;R&gt;59&lt;/R&gt;&lt;C&gt;1&lt;/C&gt;&lt;D xsi:type="xsd:string"&gt;ADEN-CH&lt;/D&gt;&lt;D xsi:type="xsd:string"&gt;AAL-GB&lt;/D&gt;&lt;D xsi:type="xsd:string"&gt;914-HK&lt;/D&gt;&lt;D xsi:type="xsd:string"&gt;APTV-US&lt;/D&gt;&lt;D xsi:type="xsd:string"&gt;ATHM-US&lt;/D&gt;&lt;D xsi:type="xsd:string"&gt;9888-HK&lt;/D&gt;&lt;D xsi:type="xsd:string"&gt;BAS-DE&lt;/D&gt;&lt;D xsi:type="xsd:string"&gt;BAYN-DE&lt;/D&gt;&lt;D xsi:type="xsd:string"&gt;BMY-US&lt;/D&gt;&lt;D xsi:type="xsd:string"&gt;BT.A-GB&lt;/D&gt;&lt;D xsi:type="xsd:string"&gt;BRBY-GB&lt;/D&gt;&lt;D xsi:type="xsd:string"&gt;CA-FR&lt;/D&gt;&lt;D xsi:type="xsd:string"&gt;CON-DE&lt;/D&gt;&lt;D xsi:type="xsd:string"&gt;4324-JP&lt;/D&gt;&lt;D xsi:type="xsd:string"&gt;ENI-IT&lt;/D&gt;&lt;D xsi:type="xsd:string"&gt;GSK-GB&lt;/D&gt;&lt;D xsi:type="xsd:string"&gt;4544-JP&lt;/D&gt;&lt;D xsi:type="xsd:string"&gt;HAL-US&lt;/D&gt;&lt;D xsi:type="xsd:string"&gt;161390-KR&lt;/D&gt;&lt;D xsi:type="xsd:string"&gt;HPE-US&lt;/D&gt;&lt;D xsi:type="xsd:string"&gt;INTC-US&lt;/D&gt;&lt;D xsi:type="xsd:string"&gt;105560-KR&lt;/D&gt;&lt;D xsi:type="xsd:string"&gt;KER-FR&lt;/D&gt;&lt;D xsi:type="xsd:string"&gt;AD-NL&lt;/D&gt;&lt;D xsi:type="xsd:string"&gt;KHC-US&lt;/D&gt;&lt;D xsi:type="xsd:string"&gt;LEA-US&lt;/D&gt;&lt;D xsi:type="xsd:string"&gt;LYB-US&lt;/D&gt;&lt;D xsi:type="xsd:string"&gt;M-US&lt;/D&gt;&lt;D xsi:type="xsd:string"&gt;MAN-US&lt;/D&gt;&lt;D xsi:type="xsd:string"&gt;7459-JP&lt;/D&gt;&lt;D xsi:type="xsd:string"&gt;MHK-US&lt;/D&gt;&lt;D xsi:type="xsd:string"&gt;TAP-US&lt;/D&gt;&lt;D xsi:type="xsd:string"&gt;NWG-GB&lt;/D&gt;&lt;D xsi:type="xsd:string"&gt;7731-JP&lt;/D&gt;&lt;D xsi:type="xsd:string"&gt;9404-JP&lt;/D&gt;&lt;D xsi:type="xsd:string"&gt;PFE-US&lt;/D&gt;&lt;D xsi:type="xsd:string"&gt;PUM-DE&lt;/D&gt;&lt;D xsi:type="xsd:string"&gt;REP-ES&lt;/D&gt;&lt;D xsi:type="xsd:string"&gt;6963-JP&lt;/D&gt;&lt;D xsi:type="xsd:string"&gt;SBH-US&lt;/D&gt;&lt;D xsi:type="xsd:string"&gt;005935-KR&lt;/D&gt;&lt;D xsi:type="xsd:string"&gt;SAN-FR&lt;/D&gt;&lt;D xsi:type="xsd:string"&gt;SESG-FR&lt;/D&gt;&lt;D xsi:type="xsd:string"&gt;055550-KR&lt;/D&gt;&lt;D xsi:type="xsd:string"&gt;GLE-FR&lt;/D&gt;&lt;D xsi:type="xsd:string"&gt;STAN-GB&lt;/D&gt;&lt;D xsi:type="xsd:string"&gt;SWK-US&lt;/D&gt;&lt;D xsi:type="xsd:string"&gt;UHR-CH&lt;/D&gt;&lt;D xsi:type="xsd:string"&gt;TX-US&lt;/D&gt;&lt;D xsi:type="xsd:string"&gt;6995-JP&lt;/D&gt;&lt;D xsi:type="xsd:string"&gt;VAL-ZA&lt;/D&gt;&lt;D xsi:type="xsd:string"&gt;VZ-US&lt;/D&gt;&lt;D xsi:type="xsd:string"&gt;VTRS-US&lt;/D&gt;&lt;D xsi:type="xsd:string"&gt;VOD-GB&lt;/D&gt;&lt;D xsi:type="xsd:string"&gt;VOW3-DE&lt;/D&gt;&lt;D xsi:type="xsd:string"&gt;WBA-US&lt;/D&gt;&lt;D xsi:type="xsd:string"&gt;WU-US&lt;/D&gt;&lt;D xsi:type="xsd:string"&gt;WLY-US&lt;/D&gt;&lt;D xsi:type="xsd:string"&gt;WPP-GB&lt;/D&gt;&lt;/FQL&gt;&lt;FQL&gt;&lt;Q&gt;DUMMY^FLOAT_ARRAY CORRELMATRIX=GET_FQL_ARRAY(IDS,'FG_PRICE(45961,45961-5AY,D,USD)');'FDS CODE - DO NOT DELETE'&lt;/Q&gt;&lt;R&gt;1&lt;/R&gt;&lt;C&gt;1&lt;/C&gt;&lt;D xsi:type="xsd:string"&gt;FDS CODE - DO NOT DELETE&lt;/D&gt;&lt;/FQL&gt;&lt;FQL&gt;&lt;Q&gt;DUMMY^STRING_ARRAY IDS=TICKER_LIST('ADEN-CH AAL-GB 914-HK APTV-US ATHM-US 9888-HK BAS-DE BAYN-DE BMY-US BT.A-GB BRBY-GB CA-FR CON-DE 4324-JP ENI-IT GSK-GB 4544-JP HAL-US 161390-KR HPE-US INTC-US 105560-KR KER-FR AD-NL KHC-US LEA-US LYB-US M-US MAN-US 7459-JP MHK-US TAP-US NWG-GB 7731-JP 9404-JP PFE-US PUM-DE REP-ES 6963-JP SBH-US 005935-KR SAN-FR SESG-FR 055550-KR GLE-FR STAN-GB SWK-US UHR-CH TX-US 6995-JP VAL-ZA VZ-US VTRS-US VOD-GB VOW3-DE WBA-US WU-US WLY-US WPP-GB');"FDS CODE - DO NOT DELETE"&lt;/Q&gt;&lt;R&gt;1&lt;/R&gt;&lt;C&gt;1&lt;/C&gt;&lt;D xsi:type="xsd:string"&gt;FDS CODE - DO NOT DELETE&lt;/D&gt;&lt;/FQL&gt;&lt;FQL&gt;&lt;Q&gt;DUMMY^PROPER("CORRELATION OF DAILY DATA BETWEEN ") + FG_DATE(45961-5AY) + LOWERCASE(" AND ") + FG_DATE(45961) + LOWERCASE(":")&lt;/Q&gt;&lt;R&gt;1&lt;/R&gt;&lt;C&gt;1&lt;/C&gt;&lt;D xsi:type="xsd:string"&gt;Correlation Of Daily Data Between 10/30/2020 and 10/31/2025:&lt;/D&gt;&lt;/FQL&gt;&lt;FQL&gt;&lt;Q&gt;ADEN-CH^FG_COMPANY_NAME&lt;/Q&gt;&lt;R&gt;1&lt;/R&gt;&lt;C&gt;1&lt;/C&gt;&lt;D xsi:type="xsd:string"&gt;Adecco Group AG&lt;/D&gt;&lt;/FQL&gt;&lt;FQL&gt;&lt;Q&gt;AAL-GB^FG_COMPANY_NAME&lt;/Q&gt;&lt;R&gt;1&lt;/R&gt;&lt;C&gt;1&lt;/C&gt;&lt;D xsi:type="xsd:string"&gt;Anglo American plc&lt;/D&gt;&lt;/FQL&gt;&lt;FQL&gt;&lt;Q&gt;914-HK^FG_COMPANY_NAME&lt;/Q&gt;&lt;R&gt;1&lt;/R&gt;&lt;C&gt;1&lt;/C&gt;&lt;D xsi:type="xsd:string"&gt;Anhui Conch Cement Company Limited Class H&lt;/D&gt;&lt;/FQL&gt;&lt;FQL&gt;&lt;Q&gt;APTV-US^FG_COMPANY_NAME&lt;/Q&gt;&lt;R&gt;1&lt;/R&gt;&lt;C&gt;1&lt;/C&gt;&lt;D xsi:type="xsd:string"&gt;Aptiv PLC&lt;/D&gt;&lt;/FQL&gt;&lt;FQL&gt;&lt;Q&gt;ATHM-US^FG_COMPANY_NAME&lt;/Q&gt;&lt;R&gt;1&lt;/R&gt;&lt;C&gt;1&lt;/C&gt;&lt;D xsi:type="xsd:string"&gt;Autohome Inc. Sponsored ADR Class A&lt;/D&gt;&lt;/FQL&gt;&lt;FQL&gt;&lt;Q&gt;9888-HK^FG_COMPANY_NAME&lt;/Q&gt;&lt;R&gt;1&lt;/R&gt;&lt;C&gt;1&lt;/C&gt;&lt;D xsi:type="xsd:string"&gt;Baidu, Inc. Class A&lt;/D&gt;&lt;/FQL&gt;&lt;FQL&gt;&lt;Q&gt;BAS-DE^FG_COMPANY_NAME&lt;/Q&gt;&lt;R&gt;1&lt;/R&gt;&lt;C&gt;1&lt;/C&gt;&lt;D xsi:type="xsd:string"&gt;BASF SE&lt;/D&gt;&lt;/FQL&gt;&lt;FQL&gt;&lt;Q&gt;BAYN-DE^FG_COMPANY_NAME&lt;/Q&gt;&lt;R&gt;1&lt;/R&gt;&lt;C&gt;1&lt;/C&gt;&lt;D xsi:type="xsd:string"&gt;Bayer AG&lt;/D&gt;&lt;/FQL&gt;&lt;FQL&gt;&lt;Q&gt;BMY-US^FG_COMPANY_NAME&lt;/Q&gt;&lt;R&gt;1&lt;/R&gt;&lt;C&gt;1&lt;/C&gt;&lt;D xsi:type="xsd:string"&gt;Bristol-Myers Squibb Company&lt;/D&gt;&lt;/FQL&gt;&lt;FQL&gt;&lt;Q&gt;BT.A-GB^FG_COMPANY_NAME&lt;/Q&gt;&lt;R&gt;1&lt;/R&gt;&lt;C&gt;1&lt;/C&gt;&lt;D xsi:type="xsd:string"&gt;BT Group plc&lt;/D&gt;&lt;/FQL&gt;&lt;FQL&gt;&lt;Q&gt;BRBY-GB^FG_COMPANY_NAME&lt;/Q&gt;&lt;R&gt;1&lt;/R&gt;&lt;C&gt;1&lt;/C&gt;&lt;D xsi:type="xsd:string"&gt;Burberry Group plc&lt;/D&gt;&lt;/FQL&gt;&lt;FQL&gt;&lt;Q&gt;CA-FR^FG_COMPANY_NAME&lt;/Q&gt;&lt;R&gt;1&lt;/R&gt;&lt;C&gt;1&lt;/C&gt;&lt;D xsi:type="xsd:string"&gt;Carrefour SA&lt;/D&gt;&lt;/FQL&gt;&lt;FQL&gt;&lt;Q&gt;CON-DE^FG_COMPANY_NAME&lt;/Q&gt;&lt;R&gt;1&lt;/R&gt;&lt;C&gt;1&lt;/C&gt;&lt;D xsi:type="xsd:string"&gt;Continental AG&lt;/D&gt;&lt;/FQL&gt;&lt;FQL&gt;&lt;Q&gt;4324-JP^FG_COMPANY_NAME&lt;/Q&gt;&lt;R&gt;1&lt;/R&gt;&lt;C&gt;1&lt;/C&gt;&lt;D xsi:type="xsd:string"&gt;Dentsu Group Inc.&lt;/D&gt;&lt;/FQL&gt;&lt;FQL&gt;&lt;Q&gt;ENI-IT^FG_COMPANY_NAME&lt;/Q&gt;&lt;R&gt;1&lt;/R&gt;&lt;C&gt;1&lt;/C&gt;&lt;D xsi:type="xsd:string"&gt;Eni S.p.A.&lt;/D&gt;&lt;/FQL&gt;&lt;FQL&gt;&lt;Q&gt;GSK-GB^FG_COMPANY_NAME&lt;/Q&gt;&lt;R&gt;1&lt;/R&gt;&lt;C&gt;1&lt;/C&gt;&lt;D xsi:type="xsd:string"&gt;GSK plc&lt;/D&gt;&lt;/FQL&gt;&lt;FQL&gt;&lt;Q&gt;4544-JP^FG_COMPANY_NAME&lt;/Q&gt;&lt;R&gt;1&lt;/R&gt;&lt;C&gt;1&lt;/C&gt;&lt;D xsi:type="xsd:string"&gt;H.U.Group Holdings, Inc.&lt;/D&gt;&lt;/FQL&gt;&lt;FQL&gt;&lt;Q&gt;HAL-US^FG_COMPANY_NAME&lt;/Q&gt;&lt;R&gt;1&lt;/R&gt;&lt;C&gt;1&lt;/C&gt;&lt;D xsi:type="xsd:string"&gt;Halliburton Company&lt;/D&gt;&lt;/FQL&gt;&lt;FQL&gt;&lt;Q&gt;161390-KR^FG_COMPANY_NAME&lt;/Q&gt;&lt;R&gt;1&lt;/R&gt;&lt;C&gt;1&lt;/C&gt;&lt;D xsi:type="xsd:string"&gt;HANKOOK TIRE &amp;amp; TECHNOLOGY Co., Ltd.&lt;/D&gt;&lt;/FQL&gt;&lt;FQL&gt;&lt;Q&gt;HPE-US^FG_COMPANY_NAME&lt;/Q&gt;&lt;R&gt;1&lt;/R&gt;&lt;C&gt;1&lt;/C&gt;&lt;D xsi:type="xsd:string"&gt;Hewlett Packard Enterprise Co.&lt;/D&gt;&lt;/FQL&gt;&lt;FQL&gt;&lt;Q&gt;INTC-US^FG_COMPANY_NAME&lt;/Q&gt;&lt;R&gt;1&lt;/R&gt;&lt;C&gt;1&lt;/C&gt;&lt;D xsi:type="xsd:string"&gt;Intel Corporation&lt;/D&gt;&lt;/FQL&gt;&lt;FQL&gt;&lt;Q&gt;105560-KR^FG_COMPANY_NAME&lt;/Q&gt;&lt;R&gt;1&lt;/R&gt;&lt;C&gt;1&lt;/C&gt;&lt;D xsi:type="xsd:string"&gt;KB Financial Group Inc.&lt;/D&gt;&lt;/FQL&gt;&lt;FQL&gt;&lt;Q&gt;KER-FR^FG_COMPANY_NAME&lt;/Q&gt;&lt;R&gt;1&lt;/R&gt;&lt;C&gt;1&lt;/C&gt;&lt;D xsi:type="xsd:string"&gt;Kering SA&lt;/D&gt;&lt;/FQL&gt;&lt;FQL&gt;&lt;Q&gt;AD-NL^FG_COMPANY_NAME&lt;/Q&gt;&lt;R&gt;1&lt;/R&gt;&lt;C&gt;1&lt;/C&gt;&lt;D xsi:type="xsd:string"&gt;Koninklijke Ahold Delhaize N.V.&lt;/D&gt;&lt;/FQL&gt;&lt;FQL&gt;&lt;Q&gt;KHC-US^FG_COMPANY_NAME&lt;/Q&gt;&lt;R&gt;1&lt;/R&gt;&lt;C&gt;1&lt;/C&gt;&lt;D xsi:type="xsd:string"&gt;Kraft Heinz Company&lt;/D&gt;&lt;/FQL&gt;&lt;FQL&gt;&lt;Q&gt;LEA-US^FG_COMPANY_NAME&lt;/Q&gt;&lt;R&gt;1&lt;/R&gt;&lt;C&gt;1&lt;/C&gt;&lt;D xsi:type="xsd:string"&gt;Lear Corporation&lt;/D&gt;&lt;/FQL&gt;&lt;FQL&gt;&lt;Q&gt;LYB-US^FG_COMPANY_NAME&lt;/Q&gt;&lt;R&gt;1&lt;/R&gt;&lt;C&gt;1&lt;/C&gt;&lt;D xsi:type="xsd:string"&gt;LyondellBasell Industries NV&lt;/D&gt;&lt;/FQL&gt;&lt;FQL&gt;&lt;Q&gt;M-US^FG_COMPANY_NAME&lt;/Q&gt;&lt;R&gt;1&lt;/R&gt;&lt;C&gt;1&lt;/C&gt;&lt;D xsi:type="xsd:string"&gt;Macy's, Inc.&lt;/D&gt;&lt;/FQL&gt;&lt;FQL&gt;&lt;Q&gt;MAN-US^FG_COMPANY_NAME&lt;/Q&gt;&lt;R&gt;1&lt;/R&gt;&lt;C&gt;1&lt;/C&gt;&lt;D xsi:type="xsd:string"&gt;ManpowerGroup Inc.&lt;/D&gt;&lt;/FQL&gt;&lt;FQL&gt;&lt;Q&gt;7459-JP^FG_COMPANY_NAME&lt;/Q&gt;&lt;R&gt;1&lt;/R&gt;&lt;C&gt;1&lt;/C&gt;&lt;D xsi:type="xsd:string"&gt;MEDIPAL HOLDINGS Corporation&lt;/D&gt;&lt;/FQL&gt;&lt;FQL&gt;&lt;Q&gt;MHK-US^FG_COMPANY_NAME&lt;/Q&gt;&lt;R&gt;1&lt;/R&gt;&lt;C&gt;1&lt;/C&gt;&lt;D xsi:type="xsd:string"&gt;Mohawk Industries, Inc.&lt;/D&gt;&lt;/FQL&gt;&lt;FQL&gt;&lt;Q&gt;TAP-US^FG_COMPANY_NAME&lt;/Q&gt;&lt;R&gt;1&lt;/R&gt;&lt;C&gt;1&lt;/C&gt;&lt;D xsi:type="xsd:string"&gt;Molson Coors Beverage Company Class B&lt;/D&gt;&lt;/FQL&gt;&lt;FQL&gt;&lt;Q&gt;NWG-GB^FG_COMPANY_NAME&lt;/Q&gt;&lt;R&gt;1&lt;/R&gt;&lt;C&gt;1&lt;/C&gt;&lt;D xsi:type="xsd:string"&gt;NatWest Group Plc&lt;/D&gt;&lt;/FQL&gt;&lt;FQL&gt;&lt;Q&gt;7731-JP^FG_COMPANY_NAME&lt;/Q&gt;&lt;R&gt;1&lt;/R&gt;&lt;C&gt;1&lt;/C&gt;&lt;D xsi:type="xsd:string"&gt;Nikon Corp.&lt;/D&gt;&lt;/FQL&gt;&lt;FQL&gt;&lt;Q&gt;9404-JP^FG_COMPANY_NAME&lt;/Q&gt;&lt;R&gt;1&lt;/R&gt;&lt;C&gt;1&lt;/C&gt;&lt;D xsi:type="xsd:string"&gt;Nippon Television Holdings, Inc.&lt;/D&gt;&lt;/FQL&gt;&lt;FQL&gt;&lt;Q&gt;PFE-US^FG_COMPANY_NAME&lt;/Q&gt;&lt;R&gt;1&lt;/R&gt;&lt;C&gt;1&lt;/C&gt;&lt;D xsi:type="xsd:string"&gt;Pfizer Inc.&lt;/D&gt;&lt;/FQL&gt;&lt;FQL&gt;&lt;Q&gt;PUM-DE^FG_COMPANY_NAME&lt;/Q&gt;&lt;R&gt;1&lt;/R&gt;&lt;C&gt;1&lt;/C&gt;&lt;D xsi:type="xsd:string"&gt;PUMA SE&lt;/D&gt;&lt;/FQL&gt;&lt;FQL&gt;&lt;Q&gt;REP-ES^FG_COMPANY_NAME&lt;/Q&gt;&lt;R&gt;1&lt;/R&gt;&lt;C&gt;1&lt;/C&gt;&lt;D xsi:type="xsd:string"&gt;Repsol SA&lt;/D&gt;&lt;/FQL&gt;&lt;FQL&gt;&lt;Q&gt;6963-JP^FG_COMPANY_NAME&lt;/Q&gt;&lt;R&gt;1&lt;/R&gt;&lt;C&gt;1&lt;/C&gt;&lt;D xsi:type="xsd:string"&gt;ROHM Company Limited&lt;/D&gt;&lt;/FQL&gt;&lt;FQL&gt;&lt;Q&gt;SBH-US^FG_COMPANY_NAME&lt;/Q&gt;&lt;R&gt;1&lt;/R&gt;&lt;C&gt;1&lt;/C&gt;&lt;D xsi:type="xsd:string"&gt;Sally Beauty Holdings, Inc.&lt;/D&gt;&lt;/FQL&gt;&lt;FQL&gt;&lt;Q&gt;005935-KR^FG_COMPANY_NAME&lt;/Q&gt;&lt;R&gt;1&lt;/R&gt;&lt;C&gt;1&lt;/C&gt;&lt;D xsi:type="xsd:string"&gt;Samsung Electronics Co Ltd Pfd  Non-Voting&lt;/D&gt;&lt;/FQL&gt;&lt;FQL&gt;&lt;Q&gt;SAN-FR^FG_COMPANY_NAME&lt;/Q&gt;&lt;R&gt;1&lt;/R&gt;&lt;C&gt;1&lt;/C&gt;&lt;D xsi:type="xsd:string"&gt;Sanofi SA&lt;/D&gt;&lt;/FQL&gt;&lt;FQL&gt;&lt;Q&gt;SESG-FR^FG_COMPANY_NAME&lt;/Q&gt;&lt;R&gt;1&lt;/R&gt;&lt;C&gt;1&lt;/C&gt;&lt;D xsi:type="xsd:string"&gt;SES SA FDR (Class A)&lt;/D&gt;&lt;/FQL&gt;&lt;FQL&gt;&lt;Q&gt;055550-KR^FG_COMPANY_NAME&lt;/Q&gt;&lt;R&gt;1&lt;/R&gt;&lt;C&gt;1&lt;/C&gt;&lt;D xsi:type="xsd:string"&gt;Shinhan Financial Group Co., Ltd.&lt;/D&gt;&lt;/FQL&gt;&lt;FQL&gt;&lt;Q&gt;GLE-FR^FG_COMPANY_NAME&lt;/Q&gt;&lt;R&gt;1&lt;/R&gt;&lt;C&gt;1&lt;/C&gt;&lt;D xsi:type="xsd:string"&gt;Societe Generale S.A. Class A&lt;/D&gt;&lt;/FQL&gt;&lt;FQL&gt;&lt;Q&gt;STAN-GB^FG_COMPANY_NAME&lt;/Q&gt;&lt;R&gt;1&lt;/R&gt;&lt;C&gt;1&lt;/C&gt;&lt;D xsi:type="xsd:string"&gt;Standard Chartered PLC&lt;/D&gt;&lt;/FQL&gt;&lt;FQL&gt;&lt;Q&gt;SWK-US^FG_COMPANY_NAME&lt;/Q&gt;&lt;R&gt;1&lt;/R&gt;&lt;C&gt;1&lt;/C&gt;&lt;D xsi:type="xsd:string"&gt;Stanley Black &amp;amp; Decker, Inc.&lt;/D&gt;&lt;/FQL&gt;&lt;FQL&gt;&lt;Q&gt;UHR-CH^FG_COMPANY_NAME&lt;/Q&gt;&lt;R&gt;1&lt;/R&gt;&lt;C&gt;1&lt;/C&gt;&lt;D xsi:type="xsd:string"&gt;Swatch Group Ltd. Bearer&lt;/D&gt;&lt;/FQL&gt;&lt;FQL&gt;&lt;Q&gt;TX-US^FG_COMPANY_NAME&lt;/Q&gt;&lt;R&gt;1&lt;/R&gt;&lt;C&gt;1&lt;/C&gt;&lt;D xsi:type="xsd:string"&gt;Ternium S.A. Sponsored ADR&lt;/D&gt;&lt;/FQL&gt;&lt;FQL&gt;&lt;Q&gt;6995-JP^FG_COMPANY_NAME&lt;/Q&gt;&lt;R&gt;1&lt;/R&gt;&lt;C&gt;1&lt;/C&gt;&lt;D xsi:type="xsd:string"&gt;TOKAI RIKA CO., LTD.&lt;/D&gt;&lt;/FQL&gt;&lt;FQL&gt;&lt;Q&gt;VAL-ZA^FG_COMPANY_NAME&lt;/Q&gt;&lt;R&gt;1&lt;/R&gt;&lt;C&gt;1&lt;/C&gt;&lt;D xsi:type="xsd:string"&gt;Valterra Platinum Limited&lt;/D&gt;&lt;/FQL&gt;&lt;FQL&gt;&lt;Q&gt;VZ-US^FG_COMPANY_NAME&lt;/Q&gt;&lt;R&gt;1&lt;/R&gt;&lt;C&gt;1&lt;/C&gt;&lt;D xsi:type="xsd:string"&gt;Verizon Communications Inc.&lt;/D&gt;&lt;/FQL&gt;&lt;FQL&gt;&lt;Q&gt;VTRS-US^FG_COMPANY_NAME&lt;/Q&gt;&lt;R&gt;1&lt;/R&gt;&lt;C&gt;1&lt;/C&gt;&lt;D xsi:type="xsd:string"&gt;Viatris, Inc.&lt;/D&gt;&lt;/FQL&gt;&lt;FQL&gt;&lt;Q&gt;VOD-GB^FG_COMPANY_NAME&lt;/Q&gt;&lt;R&gt;1&lt;/R&gt;&lt;C&gt;1&lt;/C&gt;&lt;D xsi:type="xsd:string"&gt;Vodafone Group Public Limited Company&lt;/D&gt;&lt;/FQL&gt;&lt;FQL&gt;&lt;Q&gt;VOW3-DE^FG_COMPANY_NAME&lt;/Q&gt;&lt;R&gt;1&lt;/R&gt;&lt;C&gt;1&lt;/C&gt;&lt;D xsi:type="xsd:string"&gt;Volkswagen AG Pref&lt;/D&gt;&lt;/FQL&gt;&lt;FQL&gt;&lt;Q&gt;WBA-US^FG_COMPANY_NAME&lt;/Q&gt;&lt;R&gt;1&lt;/R&gt;&lt;C&gt;1&lt;/C&gt;&lt;D xsi:type="xsd:string"&gt;Walgreens Boots Alliance, Inc.&lt;/D&gt;&lt;/FQL&gt;&lt;FQL&gt;&lt;Q&gt;WU-US^FG_COMPANY_NAME&lt;/Q&gt;&lt;R&gt;1&lt;/R&gt;&lt;C&gt;1&lt;/C&gt;&lt;D xsi:type="xsd:string"&gt;Western Union Company&lt;/D&gt;&lt;/FQL&gt;&lt;FQL&gt;&lt;Q&gt;WLY-US^FG_COMPANY_NAME&lt;/Q&gt;&lt;R&gt;1&lt;/R&gt;&lt;C&gt;1&lt;/C&gt;&lt;D xsi:type="xsd:string"&gt;John Wiley &amp;amp; Sons, Inc. Class A&lt;/D&gt;&lt;/FQL&gt;&lt;FQL&gt;&lt;Q&gt;WPP-GB^FG_COMPANY_NAME&lt;/Q&gt;&lt;R&gt;1&lt;/R&gt;&lt;C&gt;1&lt;/C&gt;&lt;D xsi:type="xsd:string"&gt;WPP Plc&lt;/D&gt;&lt;/FQL&gt;&lt;/Schema&gt;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<sst xmlns="http://schemas.openxmlformats.org/spreadsheetml/2006/main" count="74" uniqueCount="72">
  <si>
    <t>Legend:</t>
  </si>
  <si>
    <t>This sheet contains FactSet XML data for use with this workbook's =FDS codes.  Modifying the worksheet's contents may damage the workbook's =FDS functionality.</t>
  </si>
  <si>
    <t>As of Date:</t>
  </si>
  <si>
    <t>Range:</t>
  </si>
  <si>
    <t>1AY</t>
  </si>
  <si>
    <t>META-US</t>
  </si>
  <si>
    <t>AMZN-US</t>
  </si>
  <si>
    <t>M-US</t>
  </si>
  <si>
    <t>914-HK</t>
  </si>
  <si>
    <t>APTV-US</t>
  </si>
  <si>
    <t>ATHM-US</t>
  </si>
  <si>
    <t>9888-HK</t>
  </si>
  <si>
    <t>BMY-US</t>
  </si>
  <si>
    <t>BT.A-GB</t>
  </si>
  <si>
    <t>ADEN-CH</t>
  </si>
  <si>
    <t>AAL-GB</t>
  </si>
  <si>
    <t>BAS-DE</t>
  </si>
  <si>
    <t>BAYN-DE</t>
  </si>
  <si>
    <t>BRBY-GB</t>
  </si>
  <si>
    <t>CA-FR</t>
  </si>
  <si>
    <t>CON-DE</t>
  </si>
  <si>
    <t>4324-JP</t>
  </si>
  <si>
    <t>ENI-IT</t>
  </si>
  <si>
    <t>GSK-GB</t>
  </si>
  <si>
    <t>4544-JP</t>
  </si>
  <si>
    <t>HAL-US</t>
  </si>
  <si>
    <t>161390-KR</t>
  </si>
  <si>
    <t>HPE-US</t>
  </si>
  <si>
    <t>INTC-US</t>
  </si>
  <si>
    <t>105560-KR</t>
  </si>
  <si>
    <t>KER-FR</t>
  </si>
  <si>
    <t>AD-NL</t>
  </si>
  <si>
    <t>KHC-US</t>
  </si>
  <si>
    <t>LEA-US</t>
  </si>
  <si>
    <t>LYB-US</t>
  </si>
  <si>
    <t>MAN-US</t>
  </si>
  <si>
    <t>7459-JP</t>
  </si>
  <si>
    <t>MHK-US</t>
  </si>
  <si>
    <t>TAP-US</t>
  </si>
  <si>
    <t>NWG-GB</t>
  </si>
  <si>
    <t>7731-JP</t>
  </si>
  <si>
    <t>9404-JP</t>
  </si>
  <si>
    <t>PFE-US</t>
  </si>
  <si>
    <t>PUM-DE</t>
  </si>
  <si>
    <t>REP-ES</t>
  </si>
  <si>
    <t>6963-JP</t>
  </si>
  <si>
    <t>SBH-US</t>
  </si>
  <si>
    <t>005935-KR</t>
  </si>
  <si>
    <t>SAN-FR</t>
  </si>
  <si>
    <t>SESG-FR</t>
  </si>
  <si>
    <t>055550-KR</t>
  </si>
  <si>
    <t>GLE-FR</t>
  </si>
  <si>
    <t>STAN-GB</t>
  </si>
  <si>
    <t>SWK-US</t>
  </si>
  <si>
    <t>UHR-CH</t>
  </si>
  <si>
    <t>TX-US</t>
  </si>
  <si>
    <t>6995-JP</t>
  </si>
  <si>
    <t>VAL-ZA</t>
  </si>
  <si>
    <t>VZ-US</t>
  </si>
  <si>
    <t>VTRS-US</t>
  </si>
  <si>
    <t>VOD-GB</t>
  </si>
  <si>
    <t>VOW3-DE</t>
  </si>
  <si>
    <t>WBA-US</t>
  </si>
  <si>
    <t>WU-US</t>
  </si>
  <si>
    <t>WLY-US</t>
  </si>
  <si>
    <t>WPP-GB</t>
  </si>
  <si>
    <t>Date</t>
  </si>
  <si>
    <t>FactSet</t>
  </si>
  <si>
    <t>Excel</t>
  </si>
  <si>
    <t>Pearson</t>
  </si>
  <si>
    <t xml:space="preserve">Correlation Matrix </t>
  </si>
  <si>
    <t>5AY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</si>
</sst>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9"/>
      <color indexed="81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2" borderId="1" applyNumberFormat="0" applyAlignment="0" applyProtection="0"/>
    <xf numFmtId="0" fontId="4" fillId="3" borderId="0" applyNumberFormat="0" applyBorder="0" applyAlignment="0" applyProtection="0"/>
  </cellStyleXfs>
  <cellXfs count="14">
    <xf numFmtId="0" fontId="0" fillId="0" borderId="0" xfId="0"/>
    <xf numFmtId="0" fontId="0" fillId="0" borderId="0" xfId="0" applyAlignment="1">
      <alignment vertical="center"/>
    </xf>
    <xf numFmtId="2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14" fontId="0" fillId="0" borderId="0" xfId="0" applyNumberFormat="1"/>
    <xf numFmtId="0" fontId="2" fillId="0" borderId="0" xfId="0" applyFont="1" applyAlignment="1">
      <alignment horizontal="center"/>
    </xf>
    <xf numFmtId="14" fontId="3" fillId="2" borderId="1" xfId="1" applyNumberFormat="1" applyAlignment="1">
      <alignment horizontal="right" indent="2"/>
    </xf>
    <xf numFmtId="0" fontId="3" fillId="2" borderId="1" xfId="1"/>
    <xf numFmtId="2" fontId="0" fillId="0" borderId="0" xfId="0" applyNumberFormat="1"/>
    <xf numFmtId="2" fontId="0" fillId="4" borderId="0" xfId="0" applyNumberFormat="1" applyFill="1"/>
    <xf numFmtId="2" fontId="4" fillId="3" borderId="0" xfId="2" applyNumberFormat="1"/>
    <xf numFmtId="0" fontId="5" fillId="0" borderId="0" xfId="0" applyFont="1"/>
    <xf numFmtId="0" fontId="0" fillId="0" borderId="0" xfId="0" applyNumberFormat="1" applyFill="1"/>
  </cellXfs>
  <cellStyles count="3">
    <cellStyle name="Calculation" xfId="1" builtinId="22"/>
    <cellStyle name="Good" xfId="2" builtinId="26"/>
    <cellStyle name="Normal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"/>
  <sheetViews>
    <sheetView workbookViewId="0"/>
  </sheetViews>
  <sheetFormatPr defaultRowHeight="15" x14ac:dyDescent="0.25"/>
  <sheetData>
    <row r="1" spans="1:2" x14ac:dyDescent="0.25">
      <c r="B1" t="s">
        <v>1</v>
      </c>
    </row>
    <row r="2" spans="1:2" x14ac:dyDescent="0.25"/>
    <row r="3" spans="1:2" x14ac:dyDescent="0.25"/>
    <row r="4" spans="1:2" x14ac:dyDescent="0.25"/>
    <row r="5" spans="1:2" x14ac:dyDescent="0.25"/>
    <row r="6" spans="1:2" x14ac:dyDescent="0.25"/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E2CA7-98CE-41BE-8F0C-E3EEF9BC19C6}">
  <dimension ref="A1:CC82"/>
  <sheetViews>
    <sheetView showGridLines="0" tabSelected="1" zoomScale="70" zoomScaleNormal="70" workbookViewId="0"/>
  </sheetViews>
  <sheetFormatPr defaultColWidth="11" defaultRowHeight="15" x14ac:dyDescent="0.25"/>
  <sheetData>
    <row r="1" spans="1:81" ht="21" x14ac:dyDescent="0.35">
      <c r="A1" s="12" t="s">
        <v>70</v>
      </c>
      <c r="B1" s="12"/>
    </row>
    <row r="2" spans="1:81" ht="21" x14ac:dyDescent="0.35">
      <c r="A2" s="12"/>
    </row>
    <row r="3" spans="1:81" x14ac:dyDescent="0.25">
      <c r="A3" t="str">
        <f>IF(Backend!B30="", "", Backend!B30)</f>
        <v/>
      </c>
      <c r="B3" s="4" t="str">
        <f>IF(Backend!C29="", "", Backend!C29)</f>
        <v>Adecco Group AG</v>
      </c>
      <c r="C3" s="4" t="str">
        <f>IF(Backend!D29="", "", Backend!D29)</f>
        <v>Anglo American plc</v>
      </c>
      <c r="D3" s="4" t="str">
        <f>IF(Backend!E29="", "", Backend!E29)</f>
        <v>Anhui Conch Cement Company Limited Class H</v>
      </c>
      <c r="E3" s="4" t="str">
        <f>IF(Backend!F29="", "", Backend!F29)</f>
        <v>Aptiv PLC</v>
      </c>
      <c r="F3" s="4" t="str">
        <f>IF(Backend!G29="", "", Backend!G29)</f>
        <v>Autohome Inc. Sponsored ADR Class A</v>
      </c>
      <c r="G3" s="4" t="str">
        <f>IF(Backend!H29="", "", Backend!H29)</f>
        <v>Baidu, Inc. Class A</v>
      </c>
      <c r="H3" s="4" t="str">
        <f>IF(Backend!I29="", "", Backend!I29)</f>
        <v>BASF SE</v>
      </c>
      <c r="I3" s="4" t="str">
        <f>IF(Backend!J29="", "", Backend!J29)</f>
        <v>Bayer AG</v>
      </c>
      <c r="J3" s="4" t="str">
        <f>IF(Backend!K29="", "", Backend!K29)</f>
        <v>Bristol-Myers Squibb Company</v>
      </c>
      <c r="K3" s="4" t="str">
        <f>IF(Backend!L29="", "", Backend!L29)</f>
        <v>BT Group plc</v>
      </c>
      <c r="L3" s="4" t="str">
        <f>IF(Backend!M29="", "", Backend!M29)</f>
        <v>Burberry Group plc</v>
      </c>
      <c r="M3" s="4" t="str">
        <f>IF(Backend!N29="", "", Backend!N29)</f>
        <v>Carrefour SA</v>
      </c>
      <c r="N3" s="4" t="str">
        <f>IF(Backend!O29="", "", Backend!O29)</f>
        <v>Continental AG</v>
      </c>
      <c r="O3" s="4" t="str">
        <f>IF(Backend!P29="", "", Backend!P29)</f>
        <v>Dentsu Group Inc.</v>
      </c>
      <c r="P3" s="4" t="str">
        <f>IF(Backend!Q29="", "", Backend!Q29)</f>
        <v>Eni S.p.A.</v>
      </c>
      <c r="Q3" s="4" t="str">
        <f>IF(Backend!R29="", "", Backend!R29)</f>
        <v>GSK plc</v>
      </c>
      <c r="R3" s="4" t="str">
        <f>IF(Backend!S29="", "", Backend!S29)</f>
        <v>H.U.Group Holdings, Inc.</v>
      </c>
      <c r="S3" s="4" t="str">
        <f>IF(Backend!T29="", "", Backend!T29)</f>
        <v>Halliburton Company</v>
      </c>
      <c r="T3" s="4" t="str">
        <f>IF(Backend!U29="", "", Backend!U29)</f>
        <v>HANKOOK TIRE &amp; TECHNOLOGY Co., Ltd.</v>
      </c>
      <c r="U3" s="4" t="str">
        <f>IF(Backend!V29="", "", Backend!V29)</f>
        <v>Hewlett Packard Enterprise Co.</v>
      </c>
      <c r="V3" s="4" t="str">
        <f>IF(Backend!W29="", "", Backend!W29)</f>
        <v>Intel Corporation</v>
      </c>
      <c r="W3" s="4" t="str">
        <f>IF(Backend!X29="", "", Backend!X29)</f>
        <v>KB Financial Group Inc.</v>
      </c>
      <c r="X3" s="4" t="str">
        <f>IF(Backend!Y29="", "", Backend!Y29)</f>
        <v>Kering SA</v>
      </c>
      <c r="Y3" s="4" t="str">
        <f>IF(Backend!Z29="", "", Backend!Z29)</f>
        <v>Koninklijke Ahold Delhaize N.V.</v>
      </c>
      <c r="Z3" s="4" t="str">
        <f>IF(Backend!AA29="", "", Backend!AA29)</f>
        <v>Kraft Heinz Company</v>
      </c>
      <c r="AA3" s="4" t="str">
        <f>IF(Backend!AB29="", "", Backend!AB29)</f>
        <v>Lear Corporation</v>
      </c>
      <c r="AB3" s="4" t="str">
        <f>IF(Backend!AC29="", "", Backend!AC29)</f>
        <v>LyondellBasell Industries NV</v>
      </c>
      <c r="AC3" s="4" t="str">
        <f>IF(Backend!AD29="", "", Backend!AD29)</f>
        <v>Macy's, Inc.</v>
      </c>
      <c r="AD3" s="4" t="str">
        <f>IF(Backend!AE29="", "", Backend!AE29)</f>
        <v>ManpowerGroup Inc.</v>
      </c>
      <c r="AE3" s="4" t="str">
        <f>IF(Backend!AF29="", "", Backend!AF29)</f>
        <v>MEDIPAL HOLDINGS Corporation</v>
      </c>
      <c r="AF3" s="4" t="str">
        <f>IF(Backend!AG29="", "", Backend!AG29)</f>
        <v>Mohawk Industries, Inc.</v>
      </c>
      <c r="AG3" s="4" t="str">
        <f>IF(Backend!AH29="", "", Backend!AH29)</f>
        <v>Molson Coors Beverage Company Class B</v>
      </c>
      <c r="AH3" s="4" t="str">
        <f>IF(Backend!AI29="", "", Backend!AI29)</f>
        <v>NatWest Group Plc</v>
      </c>
      <c r="AI3" s="4" t="str">
        <f>IF(Backend!AJ29="", "", Backend!AJ29)</f>
        <v>Nikon Corp.</v>
      </c>
      <c r="AJ3" s="4" t="str">
        <f>IF(Backend!AK29="", "", Backend!AK29)</f>
        <v>Nippon Television Holdings, Inc.</v>
      </c>
      <c r="AK3" s="4" t="str">
        <f>IF(Backend!AL29="", "", Backend!AL29)</f>
        <v>Pfizer Inc.</v>
      </c>
      <c r="AL3" s="4" t="str">
        <f>IF(Backend!AM29="", "", Backend!AM29)</f>
        <v>PUMA SE</v>
      </c>
      <c r="AM3" s="4" t="str">
        <f>IF(Backend!AN29="", "", Backend!AN29)</f>
        <v>Repsol SA</v>
      </c>
      <c r="AN3" s="4" t="str">
        <f>IF(Backend!AO29="", "", Backend!AO29)</f>
        <v>ROHM Company Limited</v>
      </c>
      <c r="AO3" s="4" t="str">
        <f>IF(Backend!AP29="", "", Backend!AP29)</f>
        <v>Sally Beauty Holdings, Inc.</v>
      </c>
      <c r="AP3" s="4" t="str">
        <f>IF(Backend!AQ29="", "", Backend!AQ29)</f>
        <v>Samsung Electronics Co Ltd Pfd  Non-Voting</v>
      </c>
      <c r="AQ3" s="4" t="str">
        <f>IF(Backend!AR29="", "", Backend!AR29)</f>
        <v>Sanofi SA</v>
      </c>
      <c r="AR3" s="4" t="str">
        <f>IF(Backend!AS29="", "", Backend!AS29)</f>
        <v>SES SA FDR (Class A)</v>
      </c>
      <c r="AS3" s="4" t="str">
        <f>IF(Backend!AT29="", "", Backend!AT29)</f>
        <v>Shinhan Financial Group Co., Ltd.</v>
      </c>
      <c r="AT3" s="4" t="str">
        <f>IF(Backend!AU29="", "", Backend!AU29)</f>
        <v>Societe Generale S.A. Class A</v>
      </c>
      <c r="AU3" s="4" t="str">
        <f>IF(Backend!AV29="", "", Backend!AV29)</f>
        <v>Standard Chartered PLC</v>
      </c>
      <c r="AV3" s="4" t="str">
        <f>IF(Backend!AW29="", "", Backend!AW29)</f>
        <v>Stanley Black &amp; Decker, Inc.</v>
      </c>
      <c r="AW3" s="4" t="str">
        <f>IF(Backend!AX29="", "", Backend!AX29)</f>
        <v>Swatch Group Ltd. Bearer</v>
      </c>
      <c r="AX3" s="4" t="str">
        <f>IF(Backend!AY29="", "", Backend!AY29)</f>
        <v>Ternium S.A. Sponsored ADR</v>
      </c>
      <c r="AY3" s="4" t="str">
        <f>IF(Backend!AZ29="", "", Backend!AZ29)</f>
        <v>TOKAI RIKA CO., LTD.</v>
      </c>
      <c r="AZ3" s="4" t="str">
        <f>IF(Backend!BA29="", "", Backend!BA29)</f>
        <v>Valterra Platinum Limited</v>
      </c>
      <c r="BA3" s="4" t="str">
        <f>IF(Backend!BB29="", "", Backend!BB29)</f>
        <v>Verizon Communications Inc.</v>
      </c>
      <c r="BB3" s="4" t="str">
        <f>IF(Backend!BC29="", "", Backend!BC29)</f>
        <v>Viatris, Inc.</v>
      </c>
      <c r="BC3" s="4" t="str">
        <f>IF(Backend!BD29="", "", Backend!BD29)</f>
        <v>Vodafone Group Public Limited Company</v>
      </c>
      <c r="BD3" s="4" t="str">
        <f>IF(Backend!BE29="", "", Backend!BE29)</f>
        <v>Volkswagen AG Pref</v>
      </c>
      <c r="BE3" s="4" t="str">
        <f>IF(Backend!BF29="", "", Backend!BF29)</f>
        <v>Walgreens Boots Alliance, Inc.</v>
      </c>
      <c r="BF3" s="4" t="str">
        <f>IF(Backend!BG29="", "", Backend!BG29)</f>
        <v>Western Union Company</v>
      </c>
      <c r="BG3" s="4" t="str">
        <f>IF(Backend!BH29="", "", Backend!BH29)</f>
        <v>John Wiley &amp; Sons, Inc. Class A</v>
      </c>
      <c r="BH3" s="4" t="str">
        <f>IF(Backend!BI29="", "", Backend!BI29)</f>
        <v>WPP Plc</v>
      </c>
      <c r="BI3" s="4" t="str">
        <f>IF(Backend!BJ30="", "", Backend!BJ30)</f>
        <v/>
      </c>
      <c r="BJ3" s="4" t="str">
        <f>IF(Backend!BK30="", "", Backend!BK30)</f>
        <v/>
      </c>
      <c r="BK3" s="4" t="str">
        <f>IF(Backend!BL30="", "", Backend!BL30)</f>
        <v/>
      </c>
      <c r="BL3" s="4" t="str">
        <f>IF(Backend!BM30="", "", Backend!BM30)</f>
        <v/>
      </c>
      <c r="BM3" s="4" t="str">
        <f>IF(Backend!BN30="", "", Backend!BN30)</f>
        <v/>
      </c>
      <c r="BN3" s="4" t="str">
        <f>IF(Backend!BO30="", "", Backend!BO30)</f>
        <v/>
      </c>
      <c r="BO3" s="4" t="str">
        <f>IF(Backend!BP30="", "", Backend!BP30)</f>
        <v/>
      </c>
      <c r="BP3" s="4" t="str">
        <f>IF(Backend!BQ30="", "", Backend!BQ30)</f>
        <v/>
      </c>
      <c r="BQ3" s="4" t="str">
        <f>IF(Backend!BR30="", "", Backend!BR30)</f>
        <v/>
      </c>
      <c r="BR3" s="4" t="str">
        <f>IF(Backend!BS30="", "", Backend!BS30)</f>
        <v/>
      </c>
      <c r="BS3" s="4" t="str">
        <f>IF(Backend!BT30="", "", Backend!BT30)</f>
        <v/>
      </c>
      <c r="BT3" s="4" t="str">
        <f>IF(Backend!BU30="", "", Backend!BU30)</f>
        <v/>
      </c>
      <c r="BU3" s="4" t="str">
        <f>IF(Backend!BV30="", "", Backend!BV30)</f>
        <v/>
      </c>
      <c r="BV3" s="4" t="str">
        <f>IF(Backend!BW30="", "", Backend!BW30)</f>
        <v/>
      </c>
      <c r="BW3" s="4" t="str">
        <f>IF(Backend!BX30="", "", Backend!BX30)</f>
        <v/>
      </c>
      <c r="BX3" s="4" t="str">
        <f>IF(Backend!BY30="", "", Backend!BY30)</f>
        <v/>
      </c>
      <c r="BY3" s="4" t="str">
        <f>IF(Backend!BZ30="", "", Backend!BZ30)</f>
        <v/>
      </c>
      <c r="BZ3" s="4" t="str">
        <f>IF(Backend!CA30="", "", Backend!CA30)</f>
        <v/>
      </c>
      <c r="CA3" s="4" t="str">
        <f>IF(Backend!CB30="", "", Backend!CB30)</f>
        <v/>
      </c>
      <c r="CB3" s="4" t="str">
        <f>IF(Backend!CC30="", "", Backend!CC30)</f>
        <v/>
      </c>
      <c r="CC3" s="4" t="str">
        <f>IF(Backend!CD30="", "", Backend!CD30)</f>
        <v/>
      </c>
    </row>
    <row r="4" spans="1:81" x14ac:dyDescent="0.25">
      <c r="A4" s="4" t="str">
        <f>IF(Backend!A31="", "", Backend!A31)</f>
        <v>Adecco Group AG</v>
      </c>
      <c r="B4">
        <f>IF(Backend!C31="", "", Backend!C31)</f>
        <v>1</v>
      </c>
      <c r="C4">
        <f>IF(Backend!D31="", "", Backend!D31)</f>
        <v>0.43017771999999999</v>
      </c>
      <c r="D4">
        <f>IF(Backend!E31="", "", Backend!E31)</f>
        <v>0.77609205000000003</v>
      </c>
      <c r="E4">
        <f>IF(Backend!F31="", "", Backend!F31)</f>
        <v>0.80492954999999999</v>
      </c>
      <c r="F4">
        <f>IF(Backend!G31="", "", Backend!G31)</f>
        <v>0.79193985</v>
      </c>
      <c r="G4">
        <f>IF(Backend!H31="", "", Backend!H31)</f>
        <v>0.78763000000000005</v>
      </c>
      <c r="H4">
        <f>IF(Backend!I31="", "", Backend!I31)</f>
        <v>0.88990086000000002</v>
      </c>
      <c r="I4">
        <f>IF(Backend!J31="", "", Backend!J31)</f>
        <v>0.59731610000000002</v>
      </c>
      <c r="J4">
        <f>IF(Backend!K31="", "", Backend!K31)</f>
        <v>0.20736398</v>
      </c>
      <c r="K4">
        <f>IF(Backend!L31="", "", Backend!L31)</f>
        <v>0.18147015999999999</v>
      </c>
      <c r="L4">
        <f>IF(Backend!M31="", "", Backend!M31)</f>
        <v>0.57532066000000004</v>
      </c>
      <c r="M4">
        <f>IF(Backend!N31="", "", Backend!N31)</f>
        <v>0.57282679999999997</v>
      </c>
      <c r="N4">
        <f>IF(Backend!O31="", "", Backend!O31)</f>
        <v>0.83669864999999999</v>
      </c>
      <c r="O4">
        <f>IF(Backend!P31="", "", Backend!P31)</f>
        <v>0.48854488000000001</v>
      </c>
      <c r="P4">
        <f>IF(Backend!Q31="", "", Backend!Q31)</f>
        <v>-0.50583990000000001</v>
      </c>
      <c r="Q4">
        <f>IF(Backend!R31="", "", Backend!R31)</f>
        <v>0.17822500999999999</v>
      </c>
      <c r="R4">
        <f>IF(Backend!S31="", "", Backend!S31)</f>
        <v>0.74109804999999995</v>
      </c>
      <c r="S4">
        <f>IF(Backend!T31="", "", Backend!T31)</f>
        <v>-0.35265176999999998</v>
      </c>
      <c r="T4">
        <f>IF(Backend!U31="", "", Backend!U31)</f>
        <v>0.71744759999999996</v>
      </c>
      <c r="U4">
        <f>IF(Backend!V31="", "", Backend!V31)</f>
        <v>-0.50076580000000004</v>
      </c>
      <c r="V4">
        <f>IF(Backend!W31="", "", Backend!W31)</f>
        <v>0.89797419999999994</v>
      </c>
      <c r="W4">
        <f>IF(Backend!X31="", "", Backend!X31)</f>
        <v>-0.36073139999999998</v>
      </c>
      <c r="X4">
        <f>IF(Backend!Y31="", "", Backend!Y31)</f>
        <v>0.81038695999999999</v>
      </c>
      <c r="Y4">
        <f>IF(Backend!Z31="", "", Backend!Z31)</f>
        <v>-0.42778264999999999</v>
      </c>
      <c r="Z4">
        <f>IF(Backend!AA31="", "", Backend!AA31)</f>
        <v>0.46023916999999998</v>
      </c>
      <c r="AA4">
        <f>IF(Backend!AB31="", "", Backend!AB31)</f>
        <v>0.83683660000000004</v>
      </c>
      <c r="AB4">
        <f>IF(Backend!AC31="", "", Backend!AC31)</f>
        <v>0.56777129999999998</v>
      </c>
      <c r="AC4">
        <f>IF(Backend!AD31="", "", Backend!AD31)</f>
        <v>0.13612094999999999</v>
      </c>
      <c r="AD4">
        <f>IF(Backend!AE31="", "", Backend!AE31)</f>
        <v>0.79228430000000005</v>
      </c>
      <c r="AE4">
        <f>IF(Backend!AF31="", "", Backend!AF31)</f>
        <v>0.71097569999999999</v>
      </c>
      <c r="AF4">
        <f>IF(Backend!AG31="", "", Backend!AG31)</f>
        <v>0.67284390000000005</v>
      </c>
      <c r="AG4">
        <f>IF(Backend!AH31="", "", Backend!AH31)</f>
        <v>-0.27890517999999997</v>
      </c>
      <c r="AH4">
        <f>IF(Backend!AI31="", "", Backend!AI31)</f>
        <v>-0.59085240000000006</v>
      </c>
      <c r="AI4">
        <f>IF(Backend!AJ31="", "", Backend!AJ31)</f>
        <v>-0.48069793</v>
      </c>
      <c r="AJ4">
        <f>IF(Backend!AK31="", "", Backend!AK31)</f>
        <v>-0.32729439999999999</v>
      </c>
      <c r="AK4">
        <f>IF(Backend!AL31="", "", Backend!AL31)</f>
        <v>0.31876028000000001</v>
      </c>
      <c r="AL4">
        <f>IF(Backend!AM31="", "", Backend!AM31)</f>
        <v>0.86678189999999999</v>
      </c>
      <c r="AM4">
        <f>IF(Backend!AN31="", "", Backend!AN31)</f>
        <v>-0.40704163999999998</v>
      </c>
      <c r="AN4">
        <f>IF(Backend!AO31="", "", Backend!AO31)</f>
        <v>0.77126229999999996</v>
      </c>
      <c r="AO4">
        <f>IF(Backend!AP31="", "", Backend!AP31)</f>
        <v>0.63864940000000003</v>
      </c>
      <c r="AP4">
        <f>IF(Backend!AQ31="", "", Backend!AQ31)</f>
        <v>0.86330825</v>
      </c>
      <c r="AQ4">
        <f>IF(Backend!AR31="", "", Backend!AR31)</f>
        <v>2.3852182999999999E-2</v>
      </c>
      <c r="AR4">
        <f>IF(Backend!AS31="", "", Backend!AS31)</f>
        <v>0.63711773999999999</v>
      </c>
      <c r="AS4">
        <f>IF(Backend!AT31="", "", Backend!AT31)</f>
        <v>-0.22294823999999999</v>
      </c>
      <c r="AT4">
        <f>IF(Backend!AU31="", "", Backend!AU31)</f>
        <v>-0.26054551999999997</v>
      </c>
      <c r="AU4">
        <f>IF(Backend!AV31="", "", Backend!AV31)</f>
        <v>-0.58098214999999997</v>
      </c>
      <c r="AV4">
        <f>IF(Backend!AW31="", "", Backend!AW31)</f>
        <v>0.89502570000000004</v>
      </c>
      <c r="AW4">
        <f>IF(Backend!AX31="", "", Backend!AX31)</f>
        <v>0.63410794999999998</v>
      </c>
      <c r="AX4">
        <f>IF(Backend!AY31="", "", Backend!AY31)</f>
        <v>0.28778666000000003</v>
      </c>
      <c r="AY4">
        <f>IF(Backend!AZ31="", "", Backend!AZ31)</f>
        <v>0.42899652999999999</v>
      </c>
      <c r="AZ4">
        <f>IF(Backend!BA31="", "", Backend!BA31)</f>
        <v>0.64714676000000004</v>
      </c>
      <c r="BA4">
        <f>IF(Backend!BB31="", "", Backend!BB31)</f>
        <v>0.74552799999999997</v>
      </c>
      <c r="BB4">
        <f>IF(Backend!BC31="", "", Backend!BC31)</f>
        <v>0.78674096000000004</v>
      </c>
      <c r="BC4">
        <f>IF(Backend!BD31="", "", Backend!BD31)</f>
        <v>0.76571639999999996</v>
      </c>
      <c r="BD4">
        <f>IF(Backend!BE31="", "", Backend!BE31)</f>
        <v>0.88775559999999998</v>
      </c>
      <c r="BE4">
        <f>IF(Backend!BF31="", "", Backend!BF31)</f>
        <v>0.73371565000000005</v>
      </c>
      <c r="BF4">
        <f>IF(Backend!BG31="", "", Backend!BG31)</f>
        <v>0.89298343999999996</v>
      </c>
      <c r="BG4">
        <f>IF(Backend!BH31="", "", Backend!BH31)</f>
        <v>0.47744947999999998</v>
      </c>
      <c r="BH4">
        <f>IF(Backend!BI31="", "", Backend!BI31)</f>
        <v>0.61937003999999996</v>
      </c>
      <c r="BI4" t="str">
        <f>IF(Backend!BJ31="", "", Backend!BJ31)</f>
        <v/>
      </c>
      <c r="BJ4" t="str">
        <f>IF(Backend!BK31="", "", Backend!BK31)</f>
        <v/>
      </c>
      <c r="BK4" t="str">
        <f>IF(Backend!BL31="", "", Backend!BL31)</f>
        <v/>
      </c>
      <c r="BL4" t="str">
        <f>IF(Backend!BM31="", "", Backend!BM31)</f>
        <v/>
      </c>
      <c r="BM4" t="str">
        <f>IF(Backend!BN31="", "", Backend!BN31)</f>
        <v/>
      </c>
      <c r="BN4" t="str">
        <f>IF(Backend!BO31="", "", Backend!BO31)</f>
        <v/>
      </c>
      <c r="BO4" t="str">
        <f>IF(Backend!BP31="", "", Backend!BP31)</f>
        <v/>
      </c>
      <c r="BP4" t="str">
        <f>IF(Backend!BQ31="", "", Backend!BQ31)</f>
        <v/>
      </c>
      <c r="BQ4" t="str">
        <f>IF(Backend!BR31="", "", Backend!BR31)</f>
        <v/>
      </c>
      <c r="BR4" t="str">
        <f>IF(Backend!BS31="", "", Backend!BS31)</f>
        <v/>
      </c>
      <c r="BS4" t="str">
        <f>IF(Backend!BT31="", "", Backend!BT31)</f>
        <v/>
      </c>
      <c r="BT4" t="str">
        <f>IF(Backend!BU31="", "", Backend!BU31)</f>
        <v/>
      </c>
      <c r="BU4" t="str">
        <f>IF(Backend!BV31="", "", Backend!BV31)</f>
        <v/>
      </c>
      <c r="BV4" t="str">
        <f>IF(Backend!BW31="", "", Backend!BW31)</f>
        <v/>
      </c>
      <c r="BW4" t="str">
        <f>IF(Backend!BX31="", "", Backend!BX31)</f>
        <v/>
      </c>
      <c r="BX4" t="str">
        <f>IF(Backend!BY31="", "", Backend!BY31)</f>
        <v/>
      </c>
      <c r="BY4" t="str">
        <f>IF(Backend!BZ31="", "", Backend!BZ31)</f>
        <v/>
      </c>
      <c r="BZ4" t="str">
        <f>IF(Backend!CA31="", "", Backend!CA31)</f>
        <v/>
      </c>
      <c r="CA4" t="str">
        <f>IF(Backend!CB31="", "", Backend!CB31)</f>
        <v/>
      </c>
      <c r="CB4" t="str">
        <f>IF(Backend!CC31="", "", Backend!CC31)</f>
        <v/>
      </c>
      <c r="CC4" t="str">
        <f>IF(Backend!CD31="", "", Backend!CD31)</f>
        <v/>
      </c>
    </row>
    <row r="5" spans="1:81" x14ac:dyDescent="0.25">
      <c r="A5" s="4" t="str">
        <f>IF(Backend!A32="", "", Backend!A32)</f>
        <v>Anglo American plc</v>
      </c>
      <c r="B5">
        <f>IF(Backend!C32="", "", Backend!C32)</f>
        <v>0.43017771999999999</v>
      </c>
      <c r="C5">
        <f>IF(Backend!D32="", "", Backend!D32)</f>
        <v>1</v>
      </c>
      <c r="D5">
        <f>IF(Backend!E32="", "", Backend!E32)</f>
        <v>0.74472020000000005</v>
      </c>
      <c r="E5">
        <f>IF(Backend!F32="", "", Backend!F32)</f>
        <v>0.63454089999999996</v>
      </c>
      <c r="F5">
        <f>IF(Backend!G32="", "", Backend!G32)</f>
        <v>0.29381114000000003</v>
      </c>
      <c r="G5">
        <f>IF(Backend!H32="", "", Backend!H32)</f>
        <v>0.54853430000000003</v>
      </c>
      <c r="H5">
        <f>IF(Backend!I32="", "", Backend!I32)</f>
        <v>0.49213066999999999</v>
      </c>
      <c r="I5">
        <f>IF(Backend!J32="", "", Backend!J32)</f>
        <v>0.63155954999999997</v>
      </c>
      <c r="J5">
        <f>IF(Backend!K32="", "", Backend!K32)</f>
        <v>0.52999160000000001</v>
      </c>
      <c r="K5">
        <f>IF(Backend!L32="", "", Backend!L32)</f>
        <v>0.53109320000000004</v>
      </c>
      <c r="L5">
        <f>IF(Backend!M32="", "", Backend!M32)</f>
        <v>0.48273053999999999</v>
      </c>
      <c r="M5">
        <f>IF(Backend!N32="", "", Backend!N32)</f>
        <v>0.53702223000000004</v>
      </c>
      <c r="N5">
        <f>IF(Backend!O32="", "", Backend!O32)</f>
        <v>0.34783396</v>
      </c>
      <c r="O5">
        <f>IF(Backend!P32="", "", Backend!P32)</f>
        <v>0.55299056000000002</v>
      </c>
      <c r="P5">
        <f>IF(Backend!Q32="", "", Backend!Q32)</f>
        <v>-0.26599050000000002</v>
      </c>
      <c r="Q5">
        <f>IF(Backend!R32="", "", Backend!R32)</f>
        <v>0.33920607000000003</v>
      </c>
      <c r="R5">
        <f>IF(Backend!S32="", "", Backend!S32)</f>
        <v>0.68655120000000003</v>
      </c>
      <c r="S5">
        <f>IF(Backend!T32="", "", Backend!T32)</f>
        <v>-0.13606845000000001</v>
      </c>
      <c r="T5">
        <f>IF(Backend!U32="", "", Backend!U32)</f>
        <v>0.23573126999999999</v>
      </c>
      <c r="U5">
        <f>IF(Backend!V32="", "", Backend!V32)</f>
        <v>-0.13774544</v>
      </c>
      <c r="V5">
        <f>IF(Backend!W32="", "", Backend!W32)</f>
        <v>0.50895374999999998</v>
      </c>
      <c r="W5">
        <f>IF(Backend!X32="", "", Backend!X32)</f>
        <v>-8.8448429999999995E-2</v>
      </c>
      <c r="X5">
        <f>IF(Backend!Y32="", "", Backend!Y32)</f>
        <v>0.58211005000000005</v>
      </c>
      <c r="Y5">
        <f>IF(Backend!Z32="", "", Backend!Z32)</f>
        <v>-0.16400461</v>
      </c>
      <c r="Z5">
        <f>IF(Backend!AA32="", "", Backend!AA32)</f>
        <v>0.45975858000000003</v>
      </c>
      <c r="AA5">
        <f>IF(Backend!AB32="", "", Backend!AB32)</f>
        <v>0.51846033000000002</v>
      </c>
      <c r="AB5">
        <f>IF(Backend!AC32="", "", Backend!AC32)</f>
        <v>0.32212160000000001</v>
      </c>
      <c r="AC5">
        <f>IF(Backend!AD32="", "", Backend!AD32)</f>
        <v>0.56881479999999995</v>
      </c>
      <c r="AD5">
        <f>IF(Backend!AE32="", "", Backend!AE32)</f>
        <v>0.60222900000000001</v>
      </c>
      <c r="AE5">
        <f>IF(Backend!AF32="", "", Backend!AF32)</f>
        <v>0.36770487000000002</v>
      </c>
      <c r="AF5">
        <f>IF(Backend!AG32="", "", Backend!AG32)</f>
        <v>0.58295660000000005</v>
      </c>
      <c r="AG5">
        <f>IF(Backend!AH32="", "", Backend!AH32)</f>
        <v>-0.49338423999999997</v>
      </c>
      <c r="AH5">
        <f>IF(Backend!AI32="", "", Backend!AI32)</f>
        <v>-0.20173553</v>
      </c>
      <c r="AI5">
        <f>IF(Backend!AJ32="", "", Backend!AJ32)</f>
        <v>-0.12501176</v>
      </c>
      <c r="AJ5">
        <f>IF(Backend!AK32="", "", Backend!AK32)</f>
        <v>-0.20652765000000001</v>
      </c>
      <c r="AK5">
        <f>IF(Backend!AL32="", "", Backend!AL32)</f>
        <v>0.67156179999999999</v>
      </c>
      <c r="AL5">
        <f>IF(Backend!AM32="", "", Backend!AM32)</f>
        <v>0.56501239999999997</v>
      </c>
      <c r="AM5">
        <f>IF(Backend!AN32="", "", Backend!AN32)</f>
        <v>-0.13105496999999999</v>
      </c>
      <c r="AN5">
        <f>IF(Backend!AO32="", "", Backend!AO32)</f>
        <v>0.47373363000000002</v>
      </c>
      <c r="AO5">
        <f>IF(Backend!AP32="", "", Backend!AP32)</f>
        <v>0.71456056999999995</v>
      </c>
      <c r="AP5">
        <f>IF(Backend!AQ32="", "", Backend!AQ32)</f>
        <v>0.6113809</v>
      </c>
      <c r="AQ5">
        <f>IF(Backend!AR32="", "", Backend!AR32)</f>
        <v>6.0988362999999997E-2</v>
      </c>
      <c r="AR5">
        <f>IF(Backend!AS32="", "", Backend!AS32)</f>
        <v>0.58684563999999995</v>
      </c>
      <c r="AS5">
        <f>IF(Backend!AT32="", "", Backend!AT32)</f>
        <v>2.0560918000000001E-2</v>
      </c>
      <c r="AT5">
        <f>IF(Backend!AU32="", "", Backend!AU32)</f>
        <v>-4.7591836000000004E-3</v>
      </c>
      <c r="AU5">
        <f>IF(Backend!AV32="", "", Backend!AV32)</f>
        <v>-0.28652074999999999</v>
      </c>
      <c r="AV5">
        <f>IF(Backend!AW32="", "", Backend!AW32)</f>
        <v>0.60599446000000001</v>
      </c>
      <c r="AW5">
        <f>IF(Backend!AX32="", "", Backend!AX32)</f>
        <v>0.46627610000000003</v>
      </c>
      <c r="AX5">
        <f>IF(Backend!AY32="", "", Backend!AY32)</f>
        <v>0.3373604</v>
      </c>
      <c r="AY5">
        <f>IF(Backend!AZ32="", "", Backend!AZ32)</f>
        <v>-0.11696875</v>
      </c>
      <c r="AZ5">
        <f>IF(Backend!BA32="", "", Backend!BA32)</f>
        <v>0.87337940000000003</v>
      </c>
      <c r="BA5">
        <f>IF(Backend!BB32="", "", Backend!BB32)</f>
        <v>0.62304384000000002</v>
      </c>
      <c r="BB5">
        <f>IF(Backend!BC32="", "", Backend!BC32)</f>
        <v>0.40130611999999999</v>
      </c>
      <c r="BC5">
        <f>IF(Backend!BD32="", "", Backend!BD32)</f>
        <v>0.75878120000000004</v>
      </c>
      <c r="BD5">
        <f>IF(Backend!BE32="", "", Backend!BE32)</f>
        <v>0.56473309999999999</v>
      </c>
      <c r="BE5">
        <f>IF(Backend!BF32="", "", Backend!BF32)</f>
        <v>0.73511230000000005</v>
      </c>
      <c r="BF5">
        <f>IF(Backend!BG32="", "", Backend!BG32)</f>
        <v>0.62087250000000005</v>
      </c>
      <c r="BG5">
        <f>IF(Backend!BH32="", "", Backend!BH32)</f>
        <v>0.72922456000000002</v>
      </c>
      <c r="BH5">
        <f>IF(Backend!BI32="", "", Backend!BI32)</f>
        <v>0.62539</v>
      </c>
      <c r="BI5" t="str">
        <f>IF(Backend!BJ32="", "", Backend!BJ32)</f>
        <v/>
      </c>
      <c r="BJ5" t="str">
        <f>IF(Backend!BK32="", "", Backend!BK32)</f>
        <v/>
      </c>
      <c r="BK5" t="str">
        <f>IF(Backend!BL32="", "", Backend!BL32)</f>
        <v/>
      </c>
      <c r="BL5" t="str">
        <f>IF(Backend!BM32="", "", Backend!BM32)</f>
        <v/>
      </c>
      <c r="BM5" t="str">
        <f>IF(Backend!BN32="", "", Backend!BN32)</f>
        <v/>
      </c>
      <c r="BN5" t="str">
        <f>IF(Backend!BO32="", "", Backend!BO32)</f>
        <v/>
      </c>
      <c r="BO5" t="str">
        <f>IF(Backend!BP32="", "", Backend!BP32)</f>
        <v/>
      </c>
      <c r="BP5" t="str">
        <f>IF(Backend!BQ32="", "", Backend!BQ32)</f>
        <v/>
      </c>
      <c r="BQ5" t="str">
        <f>IF(Backend!BR32="", "", Backend!BR32)</f>
        <v/>
      </c>
      <c r="BR5" t="str">
        <f>IF(Backend!BS32="", "", Backend!BS32)</f>
        <v/>
      </c>
      <c r="BS5" t="str">
        <f>IF(Backend!BT32="", "", Backend!BT32)</f>
        <v/>
      </c>
      <c r="BT5" t="str">
        <f>IF(Backend!BU32="", "", Backend!BU32)</f>
        <v/>
      </c>
      <c r="BU5" t="str">
        <f>IF(Backend!BV32="", "", Backend!BV32)</f>
        <v/>
      </c>
      <c r="BV5" t="str">
        <f>IF(Backend!BW32="", "", Backend!BW32)</f>
        <v/>
      </c>
      <c r="BW5" t="str">
        <f>IF(Backend!BX32="", "", Backend!BX32)</f>
        <v/>
      </c>
      <c r="BX5" t="str">
        <f>IF(Backend!BY32="", "", Backend!BY32)</f>
        <v/>
      </c>
      <c r="BY5" t="str">
        <f>IF(Backend!BZ32="", "", Backend!BZ32)</f>
        <v/>
      </c>
      <c r="BZ5" t="str">
        <f>IF(Backend!CA32="", "", Backend!CA32)</f>
        <v/>
      </c>
      <c r="CA5" t="str">
        <f>IF(Backend!CB32="", "", Backend!CB32)</f>
        <v/>
      </c>
      <c r="CB5" t="str">
        <f>IF(Backend!CC32="", "", Backend!CC32)</f>
        <v/>
      </c>
      <c r="CC5" t="str">
        <f>IF(Backend!CD32="", "", Backend!CD32)</f>
        <v/>
      </c>
    </row>
    <row r="6" spans="1:81" x14ac:dyDescent="0.25">
      <c r="A6" s="4" t="str">
        <f>IF(Backend!A33="", "", Backend!A33)</f>
        <v>Anhui Conch Cement Company Limited Class H</v>
      </c>
      <c r="B6">
        <f>IF(Backend!C33="", "", Backend!C33)</f>
        <v>0.77609205000000003</v>
      </c>
      <c r="C6">
        <f>IF(Backend!D33="", "", Backend!D33)</f>
        <v>0.74472020000000005</v>
      </c>
      <c r="D6">
        <f>IF(Backend!E33="", "", Backend!E33)</f>
        <v>1</v>
      </c>
      <c r="E6">
        <f>IF(Backend!F33="", "", Backend!F33)</f>
        <v>0.82881170000000004</v>
      </c>
      <c r="F6">
        <f>IF(Backend!G33="", "", Backend!G33)</f>
        <v>0.74423015000000003</v>
      </c>
      <c r="G6">
        <f>IF(Backend!H33="", "", Backend!H33)</f>
        <v>0.8060311</v>
      </c>
      <c r="H6">
        <f>IF(Backend!I33="", "", Backend!I33)</f>
        <v>0.78839300000000001</v>
      </c>
      <c r="I6">
        <f>IF(Backend!J33="", "", Backend!J33)</f>
        <v>0.76124495000000003</v>
      </c>
      <c r="J6">
        <f>IF(Backend!K33="", "", Backend!K33)</f>
        <v>0.52187110000000003</v>
      </c>
      <c r="K6">
        <f>IF(Backend!L33="", "", Backend!L33)</f>
        <v>0.44485760000000002</v>
      </c>
      <c r="L6">
        <f>IF(Backend!M33="", "", Backend!M33)</f>
        <v>0.60681739999999995</v>
      </c>
      <c r="M6">
        <f>IF(Backend!N33="", "", Backend!N33)</f>
        <v>0.53363309999999997</v>
      </c>
      <c r="N6">
        <f>IF(Backend!O33="", "", Backend!O33)</f>
        <v>0.72749185999999999</v>
      </c>
      <c r="O6">
        <f>IF(Backend!P33="", "", Backend!P33)</f>
        <v>0.63082813999999998</v>
      </c>
      <c r="P6">
        <f>IF(Backend!Q33="", "", Backend!Q33)</f>
        <v>-0.68475350000000001</v>
      </c>
      <c r="Q6">
        <f>IF(Backend!R33="", "", Backend!R33)</f>
        <v>0.15726556999999999</v>
      </c>
      <c r="R6">
        <f>IF(Backend!S33="", "", Backend!S33)</f>
        <v>0.88554189999999999</v>
      </c>
      <c r="S6">
        <f>IF(Backend!T33="", "", Backend!T33)</f>
        <v>-0.44720520000000002</v>
      </c>
      <c r="T6">
        <f>IF(Backend!U33="", "", Backend!U33)</f>
        <v>0.42522532000000002</v>
      </c>
      <c r="U6">
        <f>IF(Backend!V33="", "", Backend!V33)</f>
        <v>-0.51164125999999999</v>
      </c>
      <c r="V6">
        <f>IF(Backend!W33="", "", Backend!W33)</f>
        <v>0.76683299999999999</v>
      </c>
      <c r="W6">
        <f>IF(Backend!X33="", "", Backend!X33)</f>
        <v>-0.28168723000000001</v>
      </c>
      <c r="X6">
        <f>IF(Backend!Y33="", "", Backend!Y33)</f>
        <v>0.80698029999999998</v>
      </c>
      <c r="Y6">
        <f>IF(Backend!Z33="", "", Backend!Z33)</f>
        <v>-0.34861964000000001</v>
      </c>
      <c r="Z6">
        <f>IF(Backend!AA33="", "", Backend!AA33)</f>
        <v>0.47882834000000002</v>
      </c>
      <c r="AA6">
        <f>IF(Backend!AB33="", "", Backend!AB33)</f>
        <v>0.72770190000000001</v>
      </c>
      <c r="AB6">
        <f>IF(Backend!AC33="", "", Backend!AC33)</f>
        <v>0.40646749999999998</v>
      </c>
      <c r="AC6">
        <f>IF(Backend!AD33="", "", Backend!AD33)</f>
        <v>0.35675654000000001</v>
      </c>
      <c r="AD6">
        <f>IF(Backend!AE33="", "", Backend!AE33)</f>
        <v>0.73704360000000002</v>
      </c>
      <c r="AE6">
        <f>IF(Backend!AF33="", "", Backend!AF33)</f>
        <v>0.57935219999999998</v>
      </c>
      <c r="AF6">
        <f>IF(Backend!AG33="", "", Backend!AG33)</f>
        <v>0.71507989999999999</v>
      </c>
      <c r="AG6">
        <f>IF(Backend!AH33="", "", Backend!AH33)</f>
        <v>-0.52933437000000005</v>
      </c>
      <c r="AH6">
        <f>IF(Backend!AI33="", "", Backend!AI33)</f>
        <v>-0.46346999999999999</v>
      </c>
      <c r="AI6">
        <f>IF(Backend!AJ33="", "", Backend!AJ33)</f>
        <v>-0.34267377999999998</v>
      </c>
      <c r="AJ6">
        <f>IF(Backend!AK33="", "", Backend!AK33)</f>
        <v>-0.30231485000000002</v>
      </c>
      <c r="AK6">
        <f>IF(Backend!AL33="", "", Backend!AL33)</f>
        <v>0.60764600000000002</v>
      </c>
      <c r="AL6">
        <f>IF(Backend!AM33="", "", Backend!AM33)</f>
        <v>0.83986530000000004</v>
      </c>
      <c r="AM6">
        <f>IF(Backend!AN33="", "", Backend!AN33)</f>
        <v>-0.50038680000000002</v>
      </c>
      <c r="AN6">
        <f>IF(Backend!AO33="", "", Backend!AO33)</f>
        <v>0.69489025999999998</v>
      </c>
      <c r="AO6">
        <f>IF(Backend!AP33="", "", Backend!AP33)</f>
        <v>0.75827990000000001</v>
      </c>
      <c r="AP6">
        <f>IF(Backend!AQ33="", "", Backend!AQ33)</f>
        <v>0.77139217000000004</v>
      </c>
      <c r="AQ6">
        <f>IF(Backend!AR33="", "", Backend!AR33)</f>
        <v>-3.4701287999999997E-2</v>
      </c>
      <c r="AR6">
        <f>IF(Backend!AS33="", "", Backend!AS33)</f>
        <v>0.73365473999999997</v>
      </c>
      <c r="AS6">
        <f>IF(Backend!AT33="", "", Backend!AT33)</f>
        <v>-0.13267863999999999</v>
      </c>
      <c r="AT6">
        <f>IF(Backend!AU33="", "", Backend!AU33)</f>
        <v>-0.15041003</v>
      </c>
      <c r="AU6">
        <f>IF(Backend!AV33="", "", Backend!AV33)</f>
        <v>-0.50973254000000001</v>
      </c>
      <c r="AV6">
        <f>IF(Backend!AW33="", "", Backend!AW33)</f>
        <v>0.86349045999999996</v>
      </c>
      <c r="AW6">
        <f>IF(Backend!AX33="", "", Backend!AX33)</f>
        <v>0.57088285999999999</v>
      </c>
      <c r="AX6">
        <f>IF(Backend!AY33="", "", Backend!AY33)</f>
        <v>0.22135694</v>
      </c>
      <c r="AY6">
        <f>IF(Backend!AZ33="", "", Backend!AZ33)</f>
        <v>8.2428689999999999E-2</v>
      </c>
      <c r="AZ6">
        <f>IF(Backend!BA33="", "", Backend!BA33)</f>
        <v>0.87604742999999996</v>
      </c>
      <c r="BA6">
        <f>IF(Backend!BB33="", "", Backend!BB33)</f>
        <v>0.87250819999999996</v>
      </c>
      <c r="BB6">
        <f>IF(Backend!BC33="", "", Backend!BC33)</f>
        <v>0.67870986</v>
      </c>
      <c r="BC6">
        <f>IF(Backend!BD33="", "", Backend!BD33)</f>
        <v>0.95380960000000004</v>
      </c>
      <c r="BD6">
        <f>IF(Backend!BE33="", "", Backend!BE33)</f>
        <v>0.81609019999999999</v>
      </c>
      <c r="BE6">
        <f>IF(Backend!BF33="", "", Backend!BF33)</f>
        <v>0.86640859999999997</v>
      </c>
      <c r="BF6">
        <f>IF(Backend!BG33="", "", Backend!BG33)</f>
        <v>0.89534820000000004</v>
      </c>
      <c r="BG6">
        <f>IF(Backend!BH33="", "", Backend!BH33)</f>
        <v>0.76085334999999998</v>
      </c>
      <c r="BH6">
        <f>IF(Backend!BI33="", "", Backend!BI33)</f>
        <v>0.66179860000000001</v>
      </c>
      <c r="BI6" t="str">
        <f>IF(Backend!BJ33="", "", Backend!BJ33)</f>
        <v/>
      </c>
      <c r="BJ6" t="str">
        <f>IF(Backend!BK33="", "", Backend!BK33)</f>
        <v/>
      </c>
      <c r="BK6" t="str">
        <f>IF(Backend!BL33="", "", Backend!BL33)</f>
        <v/>
      </c>
      <c r="BL6" t="str">
        <f>IF(Backend!BM33="", "", Backend!BM33)</f>
        <v/>
      </c>
      <c r="BM6" t="str">
        <f>IF(Backend!BN33="", "", Backend!BN33)</f>
        <v/>
      </c>
      <c r="BN6" t="str">
        <f>IF(Backend!BO33="", "", Backend!BO33)</f>
        <v/>
      </c>
      <c r="BO6" t="str">
        <f>IF(Backend!BP33="", "", Backend!BP33)</f>
        <v/>
      </c>
      <c r="BP6" t="str">
        <f>IF(Backend!BQ33="", "", Backend!BQ33)</f>
        <v/>
      </c>
      <c r="BQ6" t="str">
        <f>IF(Backend!BR33="", "", Backend!BR33)</f>
        <v/>
      </c>
      <c r="BR6" t="str">
        <f>IF(Backend!BS33="", "", Backend!BS33)</f>
        <v/>
      </c>
      <c r="BS6" t="str">
        <f>IF(Backend!BT33="", "", Backend!BT33)</f>
        <v/>
      </c>
      <c r="BT6" t="str">
        <f>IF(Backend!BU33="", "", Backend!BU33)</f>
        <v/>
      </c>
      <c r="BU6" t="str">
        <f>IF(Backend!BV33="", "", Backend!BV33)</f>
        <v/>
      </c>
      <c r="BV6" t="str">
        <f>IF(Backend!BW33="", "", Backend!BW33)</f>
        <v/>
      </c>
      <c r="BW6" t="str">
        <f>IF(Backend!BX33="", "", Backend!BX33)</f>
        <v/>
      </c>
      <c r="BX6" t="str">
        <f>IF(Backend!BY33="", "", Backend!BY33)</f>
        <v/>
      </c>
      <c r="BY6" t="str">
        <f>IF(Backend!BZ33="", "", Backend!BZ33)</f>
        <v/>
      </c>
      <c r="BZ6" t="str">
        <f>IF(Backend!CA33="", "", Backend!CA33)</f>
        <v/>
      </c>
      <c r="CA6" t="str">
        <f>IF(Backend!CB33="", "", Backend!CB33)</f>
        <v/>
      </c>
      <c r="CB6" t="str">
        <f>IF(Backend!CC33="", "", Backend!CC33)</f>
        <v/>
      </c>
      <c r="CC6" t="str">
        <f>IF(Backend!CD33="", "", Backend!CD33)</f>
        <v/>
      </c>
    </row>
    <row r="7" spans="1:81" x14ac:dyDescent="0.25">
      <c r="A7" s="4" t="str">
        <f>IF(Backend!A34="", "", Backend!A34)</f>
        <v>Aptiv PLC</v>
      </c>
      <c r="B7">
        <f>IF(Backend!C34="", "", Backend!C34)</f>
        <v>0.80492954999999999</v>
      </c>
      <c r="C7">
        <f>IF(Backend!D34="", "", Backend!D34)</f>
        <v>0.63454089999999996</v>
      </c>
      <c r="D7">
        <f>IF(Backend!E34="", "", Backend!E34)</f>
        <v>0.82881170000000004</v>
      </c>
      <c r="E7">
        <f>IF(Backend!F34="", "", Backend!F34)</f>
        <v>1</v>
      </c>
      <c r="F7">
        <f>IF(Backend!G34="", "", Backend!G34)</f>
        <v>0.55473209999999995</v>
      </c>
      <c r="G7">
        <f>IF(Backend!H34="", "", Backend!H34)</f>
        <v>0.8475509</v>
      </c>
      <c r="H7">
        <f>IF(Backend!I34="", "", Backend!I34)</f>
        <v>0.79338489999999995</v>
      </c>
      <c r="I7">
        <f>IF(Backend!J34="", "", Backend!J34)</f>
        <v>0.76550830000000003</v>
      </c>
      <c r="J7">
        <f>IF(Backend!K34="", "", Backend!K34)</f>
        <v>0.44430273999999997</v>
      </c>
      <c r="K7">
        <f>IF(Backend!L34="", "", Backend!L34)</f>
        <v>0.27215293000000002</v>
      </c>
      <c r="L7">
        <f>IF(Backend!M34="", "", Backend!M34)</f>
        <v>0.76713662999999999</v>
      </c>
      <c r="M7">
        <f>IF(Backend!N34="", "", Backend!N34)</f>
        <v>0.63800937000000002</v>
      </c>
      <c r="N7">
        <f>IF(Backend!O34="", "", Backend!O34)</f>
        <v>0.70973830000000004</v>
      </c>
      <c r="O7">
        <f>IF(Backend!P34="", "", Backend!P34)</f>
        <v>0.70033646000000005</v>
      </c>
      <c r="P7">
        <f>IF(Backend!Q34="", "", Backend!Q34)</f>
        <v>-0.48546228000000002</v>
      </c>
      <c r="Q7">
        <f>IF(Backend!R34="", "", Backend!R34)</f>
        <v>0.19362265000000001</v>
      </c>
      <c r="R7">
        <f>IF(Backend!S34="", "", Backend!S34)</f>
        <v>0.79114329999999999</v>
      </c>
      <c r="S7">
        <f>IF(Backend!T34="", "", Backend!T34)</f>
        <v>-0.29487332999999999</v>
      </c>
      <c r="T7">
        <f>IF(Backend!U34="", "", Backend!U34)</f>
        <v>0.55571729999999997</v>
      </c>
      <c r="U7">
        <f>IF(Backend!V34="", "", Backend!V34)</f>
        <v>-0.50037867000000003</v>
      </c>
      <c r="V7">
        <f>IF(Backend!W34="", "", Backend!W34)</f>
        <v>0.82757849999999999</v>
      </c>
      <c r="W7">
        <f>IF(Backend!X34="", "", Backend!X34)</f>
        <v>-0.42558204999999999</v>
      </c>
      <c r="X7">
        <f>IF(Backend!Y34="", "", Backend!Y34)</f>
        <v>0.92712019999999995</v>
      </c>
      <c r="Y7">
        <f>IF(Backend!Z34="", "", Backend!Z34)</f>
        <v>-0.30853069999999999</v>
      </c>
      <c r="Z7">
        <f>IF(Backend!AA34="", "", Backend!AA34)</f>
        <v>0.52026324999999995</v>
      </c>
      <c r="AA7">
        <f>IF(Backend!AB34="", "", Backend!AB34)</f>
        <v>0.91253209999999996</v>
      </c>
      <c r="AB7">
        <f>IF(Backend!AC34="", "", Backend!AC34)</f>
        <v>0.50423320000000005</v>
      </c>
      <c r="AC7">
        <f>IF(Backend!AD34="", "", Backend!AD34)</f>
        <v>0.49254277000000002</v>
      </c>
      <c r="AD7">
        <f>IF(Backend!AE34="", "", Backend!AE34)</f>
        <v>0.8450607</v>
      </c>
      <c r="AE7">
        <f>IF(Backend!AF34="", "", Backend!AF34)</f>
        <v>0.57324019999999998</v>
      </c>
      <c r="AF7">
        <f>IF(Backend!AG34="", "", Backend!AG34)</f>
        <v>0.68602350000000001</v>
      </c>
      <c r="AG7">
        <f>IF(Backend!AH34="", "", Backend!AH34)</f>
        <v>-0.42726395</v>
      </c>
      <c r="AH7">
        <f>IF(Backend!AI34="", "", Backend!AI34)</f>
        <v>-0.57181769999999998</v>
      </c>
      <c r="AI7">
        <f>IF(Backend!AJ34="", "", Backend!AJ34)</f>
        <v>-0.24689696999999999</v>
      </c>
      <c r="AJ7">
        <f>IF(Backend!AK34="", "", Backend!AK34)</f>
        <v>-0.45600459999999998</v>
      </c>
      <c r="AK7">
        <f>IF(Backend!AL34="", "", Backend!AL34)</f>
        <v>0.65985289999999996</v>
      </c>
      <c r="AL7">
        <f>IF(Backend!AM34="", "", Backend!AM34)</f>
        <v>0.92204399999999997</v>
      </c>
      <c r="AM7">
        <f>IF(Backend!AN34="", "", Backend!AN34)</f>
        <v>-0.35416155999999999</v>
      </c>
      <c r="AN7">
        <f>IF(Backend!AO34="", "", Backend!AO34)</f>
        <v>0.86934286000000005</v>
      </c>
      <c r="AO7">
        <f>IF(Backend!AP34="", "", Backend!AP34)</f>
        <v>0.78993833000000002</v>
      </c>
      <c r="AP7">
        <f>IF(Backend!AQ34="", "", Backend!AQ34)</f>
        <v>0.83573896000000003</v>
      </c>
      <c r="AQ7">
        <f>IF(Backend!AR34="", "", Backend!AR34)</f>
        <v>-2.6843131999999999E-2</v>
      </c>
      <c r="AR7">
        <f>IF(Backend!AS34="", "", Backend!AS34)</f>
        <v>0.71926343000000004</v>
      </c>
      <c r="AS7">
        <f>IF(Backend!AT34="", "", Backend!AT34)</f>
        <v>-0.25334388000000002</v>
      </c>
      <c r="AT7">
        <f>IF(Backend!AU34="", "", Backend!AU34)</f>
        <v>-0.19119304000000001</v>
      </c>
      <c r="AU7">
        <f>IF(Backend!AV34="", "", Backend!AV34)</f>
        <v>-0.61894804000000003</v>
      </c>
      <c r="AV7">
        <f>IF(Backend!AW34="", "", Backend!AW34)</f>
        <v>0.86803406000000005</v>
      </c>
      <c r="AW7">
        <f>IF(Backend!AX34="", "", Backend!AX34)</f>
        <v>0.77335509999999996</v>
      </c>
      <c r="AX7">
        <f>IF(Backend!AY34="", "", Backend!AY34)</f>
        <v>0.46931215999999998</v>
      </c>
      <c r="AY7">
        <f>IF(Backend!AZ34="", "", Backend!AZ34)</f>
        <v>0.13725436999999999</v>
      </c>
      <c r="AZ7">
        <f>IF(Backend!BA34="", "", Backend!BA34)</f>
        <v>0.79699796000000001</v>
      </c>
      <c r="BA7">
        <f>IF(Backend!BB34="", "", Backend!BB34)</f>
        <v>0.66885846999999998</v>
      </c>
      <c r="BB7">
        <f>IF(Backend!BC34="", "", Backend!BC34)</f>
        <v>0.65668225000000002</v>
      </c>
      <c r="BC7">
        <f>IF(Backend!BD34="", "", Backend!BD34)</f>
        <v>0.80881289999999995</v>
      </c>
      <c r="BD7">
        <f>IF(Backend!BE34="", "", Backend!BE34)</f>
        <v>0.86978500000000003</v>
      </c>
      <c r="BE7">
        <f>IF(Backend!BF34="", "", Backend!BF34)</f>
        <v>0.90416985999999999</v>
      </c>
      <c r="BF7">
        <f>IF(Backend!BG34="", "", Backend!BG34)</f>
        <v>0.82555780000000001</v>
      </c>
      <c r="BG7">
        <f>IF(Backend!BH34="", "", Backend!BH34)</f>
        <v>0.61114550000000001</v>
      </c>
      <c r="BH7">
        <f>IF(Backend!BI34="", "", Backend!BI34)</f>
        <v>0.77307459999999995</v>
      </c>
      <c r="BI7" t="str">
        <f>IF(Backend!BJ34="", "", Backend!BJ34)</f>
        <v/>
      </c>
      <c r="BJ7" t="str">
        <f>IF(Backend!BK34="", "", Backend!BK34)</f>
        <v/>
      </c>
      <c r="BK7" t="str">
        <f>IF(Backend!BL34="", "", Backend!BL34)</f>
        <v/>
      </c>
      <c r="BL7" t="str">
        <f>IF(Backend!BM34="", "", Backend!BM34)</f>
        <v/>
      </c>
      <c r="BM7" t="str">
        <f>IF(Backend!BN34="", "", Backend!BN34)</f>
        <v/>
      </c>
      <c r="BN7" t="str">
        <f>IF(Backend!BO34="", "", Backend!BO34)</f>
        <v/>
      </c>
      <c r="BO7" t="str">
        <f>IF(Backend!BP34="", "", Backend!BP34)</f>
        <v/>
      </c>
      <c r="BP7" t="str">
        <f>IF(Backend!BQ34="", "", Backend!BQ34)</f>
        <v/>
      </c>
      <c r="BQ7" t="str">
        <f>IF(Backend!BR34="", "", Backend!BR34)</f>
        <v/>
      </c>
      <c r="BR7" t="str">
        <f>IF(Backend!BS34="", "", Backend!BS34)</f>
        <v/>
      </c>
      <c r="BS7" t="str">
        <f>IF(Backend!BT34="", "", Backend!BT34)</f>
        <v/>
      </c>
      <c r="BT7" t="str">
        <f>IF(Backend!BU34="", "", Backend!BU34)</f>
        <v/>
      </c>
      <c r="BU7" t="str">
        <f>IF(Backend!BV34="", "", Backend!BV34)</f>
        <v/>
      </c>
      <c r="BV7" t="str">
        <f>IF(Backend!BW34="", "", Backend!BW34)</f>
        <v/>
      </c>
      <c r="BW7" t="str">
        <f>IF(Backend!BX34="", "", Backend!BX34)</f>
        <v/>
      </c>
      <c r="BX7" t="str">
        <f>IF(Backend!BY34="", "", Backend!BY34)</f>
        <v/>
      </c>
      <c r="BY7" t="str">
        <f>IF(Backend!BZ34="", "", Backend!BZ34)</f>
        <v/>
      </c>
      <c r="BZ7" t="str">
        <f>IF(Backend!CA34="", "", Backend!CA34)</f>
        <v/>
      </c>
      <c r="CA7" t="str">
        <f>IF(Backend!CB34="", "", Backend!CB34)</f>
        <v/>
      </c>
      <c r="CB7" t="str">
        <f>IF(Backend!CC34="", "", Backend!CC34)</f>
        <v/>
      </c>
      <c r="CC7" t="str">
        <f>IF(Backend!CD34="", "", Backend!CD34)</f>
        <v/>
      </c>
    </row>
    <row r="8" spans="1:81" x14ac:dyDescent="0.25">
      <c r="A8" s="4" t="str">
        <f>IF(Backend!A35="", "", Backend!A35)</f>
        <v>Autohome Inc. Sponsored ADR Class A</v>
      </c>
      <c r="B8">
        <f>IF(Backend!C35="", "", Backend!C35)</f>
        <v>0.79193985</v>
      </c>
      <c r="C8">
        <f>IF(Backend!D35="", "", Backend!D35)</f>
        <v>0.29381114000000003</v>
      </c>
      <c r="D8">
        <f>IF(Backend!E35="", "", Backend!E35)</f>
        <v>0.74423015000000003</v>
      </c>
      <c r="E8">
        <f>IF(Backend!F35="", "", Backend!F35)</f>
        <v>0.55473209999999995</v>
      </c>
      <c r="F8">
        <f>IF(Backend!G35="", "", Backend!G35)</f>
        <v>1</v>
      </c>
      <c r="G8">
        <f>IF(Backend!H35="", "", Backend!H35)</f>
        <v>0.73647099999999999</v>
      </c>
      <c r="H8">
        <f>IF(Backend!I35="", "", Backend!I35)</f>
        <v>0.79769789999999996</v>
      </c>
      <c r="I8">
        <f>IF(Backend!J35="", "", Backend!J35)</f>
        <v>0.48768866</v>
      </c>
      <c r="J8">
        <f>IF(Backend!K35="", "", Backend!K35)</f>
        <v>0.19829366000000001</v>
      </c>
      <c r="K8">
        <f>IF(Backend!L35="", "", Backend!L35)</f>
        <v>9.3115390000000006E-2</v>
      </c>
      <c r="L8">
        <f>IF(Backend!M35="", "", Backend!M35)</f>
        <v>0.41632627999999999</v>
      </c>
      <c r="M8">
        <f>IF(Backend!N35="", "", Backend!N35)</f>
        <v>0.26517570000000001</v>
      </c>
      <c r="N8">
        <f>IF(Backend!O35="", "", Backend!O35)</f>
        <v>0.78223759999999998</v>
      </c>
      <c r="O8">
        <f>IF(Backend!P35="", "", Backend!P35)</f>
        <v>0.25793423999999998</v>
      </c>
      <c r="P8">
        <f>IF(Backend!Q35="", "", Backend!Q35)</f>
        <v>-0.66020566000000003</v>
      </c>
      <c r="Q8">
        <f>IF(Backend!R35="", "", Backend!R35)</f>
        <v>-0.11421185</v>
      </c>
      <c r="R8">
        <f>IF(Backend!S35="", "", Backend!S35)</f>
        <v>0.67904264000000003</v>
      </c>
      <c r="S8">
        <f>IF(Backend!T35="", "", Backend!T35)</f>
        <v>-0.53318960000000004</v>
      </c>
      <c r="T8">
        <f>IF(Backend!U35="", "", Backend!U35)</f>
        <v>0.43262719999999999</v>
      </c>
      <c r="U8">
        <f>IF(Backend!V35="", "", Backend!V35)</f>
        <v>-0.45088856999999999</v>
      </c>
      <c r="V8">
        <f>IF(Backend!W35="", "", Backend!W35)</f>
        <v>0.64021236000000004</v>
      </c>
      <c r="W8">
        <f>IF(Backend!X35="", "", Backend!X35)</f>
        <v>-0.24727321999999999</v>
      </c>
      <c r="X8">
        <f>IF(Backend!Y35="", "", Backend!Y35)</f>
        <v>0.58769539999999998</v>
      </c>
      <c r="Y8">
        <f>IF(Backend!Z35="", "", Backend!Z35)</f>
        <v>-0.36220983000000001</v>
      </c>
      <c r="Z8">
        <f>IF(Backend!AA35="", "", Backend!AA35)</f>
        <v>0.22123831999999999</v>
      </c>
      <c r="AA8">
        <f>IF(Backend!AB35="", "", Backend!AB35)</f>
        <v>0.53754670000000004</v>
      </c>
      <c r="AB8">
        <f>IF(Backend!AC35="", "", Backend!AC35)</f>
        <v>0.26931169999999999</v>
      </c>
      <c r="AC8">
        <f>IF(Backend!AD35="", "", Backend!AD35)</f>
        <v>-0.19684651</v>
      </c>
      <c r="AD8">
        <f>IF(Backend!AE35="", "", Backend!AE35)</f>
        <v>0.48267743000000002</v>
      </c>
      <c r="AE8">
        <f>IF(Backend!AF35="", "", Backend!AF35)</f>
        <v>0.54796564999999997</v>
      </c>
      <c r="AF8">
        <f>IF(Backend!AG35="", "", Backend!AG35)</f>
        <v>0.51379483999999997</v>
      </c>
      <c r="AG8">
        <f>IF(Backend!AH35="", "", Backend!AH35)</f>
        <v>-0.36379444999999999</v>
      </c>
      <c r="AH8">
        <f>IF(Backend!AI35="", "", Backend!AI35)</f>
        <v>-0.39347166</v>
      </c>
      <c r="AI8">
        <f>IF(Backend!AJ35="", "", Backend!AJ35)</f>
        <v>-0.63473873999999997</v>
      </c>
      <c r="AJ8">
        <f>IF(Backend!AK35="", "", Backend!AK35)</f>
        <v>-0.14733903000000001</v>
      </c>
      <c r="AK8">
        <f>IF(Backend!AL35="", "", Backend!AL35)</f>
        <v>0.1179318</v>
      </c>
      <c r="AL8">
        <f>IF(Backend!AM35="", "", Backend!AM35)</f>
        <v>0.63875382999999997</v>
      </c>
      <c r="AM8">
        <f>IF(Backend!AN35="", "", Backend!AN35)</f>
        <v>-0.47151272999999999</v>
      </c>
      <c r="AN8">
        <f>IF(Backend!AO35="", "", Backend!AO35)</f>
        <v>0.53510769999999996</v>
      </c>
      <c r="AO8">
        <f>IF(Backend!AP35="", "", Backend!AP35)</f>
        <v>0.40757694999999999</v>
      </c>
      <c r="AP8">
        <f>IF(Backend!AQ35="", "", Backend!AQ35)</f>
        <v>0.63376575999999996</v>
      </c>
      <c r="AQ8">
        <f>IF(Backend!AR35="", "", Backend!AR35)</f>
        <v>-7.3552190000000003E-2</v>
      </c>
      <c r="AR8">
        <f>IF(Backend!AS35="", "", Backend!AS35)</f>
        <v>0.46410656</v>
      </c>
      <c r="AS8">
        <f>IF(Backend!AT35="", "", Backend!AT35)</f>
        <v>-0.14415323999999999</v>
      </c>
      <c r="AT8">
        <f>IF(Backend!AU35="", "", Backend!AU35)</f>
        <v>-0.18541506999999999</v>
      </c>
      <c r="AU8">
        <f>IF(Backend!AV35="", "", Backend!AV35)</f>
        <v>-0.35834231999999999</v>
      </c>
      <c r="AV8">
        <f>IF(Backend!AW35="", "", Backend!AW35)</f>
        <v>0.68995326999999995</v>
      </c>
      <c r="AW8">
        <f>IF(Backend!AX35="", "", Backend!AX35)</f>
        <v>0.38419979999999998</v>
      </c>
      <c r="AX8">
        <f>IF(Backend!AY35="", "", Backend!AY35)</f>
        <v>-0.18205702000000001</v>
      </c>
      <c r="AY8">
        <f>IF(Backend!AZ35="", "", Backend!AZ35)</f>
        <v>0.36368792999999999</v>
      </c>
      <c r="AZ8">
        <f>IF(Backend!BA35="", "", Backend!BA35)</f>
        <v>0.47626944999999998</v>
      </c>
      <c r="BA8">
        <f>IF(Backend!BB35="", "", Backend!BB35)</f>
        <v>0.70191570000000003</v>
      </c>
      <c r="BB8">
        <f>IF(Backend!BC35="", "", Backend!BC35)</f>
        <v>0.75054604000000003</v>
      </c>
      <c r="BC8">
        <f>IF(Backend!BD35="", "", Backend!BD35)</f>
        <v>0.69247115000000004</v>
      </c>
      <c r="BD8">
        <f>IF(Backend!BE35="", "", Backend!BE35)</f>
        <v>0.71858036999999997</v>
      </c>
      <c r="BE8">
        <f>IF(Backend!BF35="", "", Backend!BF35)</f>
        <v>0.54692750000000001</v>
      </c>
      <c r="BF8">
        <f>IF(Backend!BG35="", "", Backend!BG35)</f>
        <v>0.76728976000000004</v>
      </c>
      <c r="BG8">
        <f>IF(Backend!BH35="", "", Backend!BH35)</f>
        <v>0.35804409999999998</v>
      </c>
      <c r="BH8">
        <f>IF(Backend!BI35="", "", Backend!BI35)</f>
        <v>0.32636150000000003</v>
      </c>
      <c r="BI8" t="str">
        <f>IF(Backend!BJ35="", "", Backend!BJ35)</f>
        <v/>
      </c>
      <c r="BJ8" t="str">
        <f>IF(Backend!BK35="", "", Backend!BK35)</f>
        <v/>
      </c>
      <c r="BK8" t="str">
        <f>IF(Backend!BL35="", "", Backend!BL35)</f>
        <v/>
      </c>
      <c r="BL8" t="str">
        <f>IF(Backend!BM35="", "", Backend!BM35)</f>
        <v/>
      </c>
      <c r="BM8" t="str">
        <f>IF(Backend!BN35="", "", Backend!BN35)</f>
        <v/>
      </c>
      <c r="BN8" t="str">
        <f>IF(Backend!BO35="", "", Backend!BO35)</f>
        <v/>
      </c>
      <c r="BO8" t="str">
        <f>IF(Backend!BP35="", "", Backend!BP35)</f>
        <v/>
      </c>
      <c r="BP8" t="str">
        <f>IF(Backend!BQ35="", "", Backend!BQ35)</f>
        <v/>
      </c>
      <c r="BQ8" t="str">
        <f>IF(Backend!BR35="", "", Backend!BR35)</f>
        <v/>
      </c>
      <c r="BR8" t="str">
        <f>IF(Backend!BS35="", "", Backend!BS35)</f>
        <v/>
      </c>
      <c r="BS8" t="str">
        <f>IF(Backend!BT35="", "", Backend!BT35)</f>
        <v/>
      </c>
      <c r="BT8" t="str">
        <f>IF(Backend!BU35="", "", Backend!BU35)</f>
        <v/>
      </c>
      <c r="BU8" t="str">
        <f>IF(Backend!BV35="", "", Backend!BV35)</f>
        <v/>
      </c>
      <c r="BV8" t="str">
        <f>IF(Backend!BW35="", "", Backend!BW35)</f>
        <v/>
      </c>
      <c r="BW8" t="str">
        <f>IF(Backend!BX35="", "", Backend!BX35)</f>
        <v/>
      </c>
      <c r="BX8" t="str">
        <f>IF(Backend!BY35="", "", Backend!BY35)</f>
        <v/>
      </c>
      <c r="BY8" t="str">
        <f>IF(Backend!BZ35="", "", Backend!BZ35)</f>
        <v/>
      </c>
      <c r="BZ8" t="str">
        <f>IF(Backend!CA35="", "", Backend!CA35)</f>
        <v/>
      </c>
      <c r="CA8" t="str">
        <f>IF(Backend!CB35="", "", Backend!CB35)</f>
        <v/>
      </c>
      <c r="CB8" t="str">
        <f>IF(Backend!CC35="", "", Backend!CC35)</f>
        <v/>
      </c>
      <c r="CC8" t="str">
        <f>IF(Backend!CD35="", "", Backend!CD35)</f>
        <v/>
      </c>
    </row>
    <row r="9" spans="1:81" x14ac:dyDescent="0.25">
      <c r="A9" s="4" t="str">
        <f>IF(Backend!A36="", "", Backend!A36)</f>
        <v>Baidu, Inc. Class A</v>
      </c>
      <c r="B9">
        <f>IF(Backend!C36="", "", Backend!C36)</f>
        <v>0.78763000000000005</v>
      </c>
      <c r="C9">
        <f>IF(Backend!D36="", "", Backend!D36)</f>
        <v>0.54853430000000003</v>
      </c>
      <c r="D9">
        <f>IF(Backend!E36="", "", Backend!E36)</f>
        <v>0.8060311</v>
      </c>
      <c r="E9">
        <f>IF(Backend!F36="", "", Backend!F36)</f>
        <v>0.8475509</v>
      </c>
      <c r="F9">
        <f>IF(Backend!G36="", "", Backend!G36)</f>
        <v>0.73647099999999999</v>
      </c>
      <c r="G9">
        <f>IF(Backend!H36="", "", Backend!H36)</f>
        <v>1</v>
      </c>
      <c r="H9">
        <f>IF(Backend!I36="", "", Backend!I36)</f>
        <v>0.67182003999999995</v>
      </c>
      <c r="I9">
        <f>IF(Backend!J36="", "", Backend!J36)</f>
        <v>0.73960155000000005</v>
      </c>
      <c r="J9">
        <f>IF(Backend!K36="", "", Backend!K36)</f>
        <v>0.47435549999999999</v>
      </c>
      <c r="K9">
        <f>IF(Backend!L36="", "", Backend!L36)</f>
        <v>0.27844944999999999</v>
      </c>
      <c r="L9">
        <f>IF(Backend!M36="", "", Backend!M36)</f>
        <v>0.74534400000000001</v>
      </c>
      <c r="M9">
        <f>IF(Backend!N36="", "", Backend!N36)</f>
        <v>0.66543293000000003</v>
      </c>
      <c r="N9">
        <f>IF(Backend!O36="", "", Backend!O36)</f>
        <v>0.63175219999999999</v>
      </c>
      <c r="O9">
        <f>IF(Backend!P36="", "", Backend!P36)</f>
        <v>0.66294120000000001</v>
      </c>
      <c r="P9">
        <f>IF(Backend!Q36="", "", Backend!Q36)</f>
        <v>-0.49985669999999999</v>
      </c>
      <c r="Q9">
        <f>IF(Backend!R36="", "", Backend!R36)</f>
        <v>0.16542335999999999</v>
      </c>
      <c r="R9">
        <f>IF(Backend!S36="", "", Backend!S36)</f>
        <v>0.75902619999999998</v>
      </c>
      <c r="S9">
        <f>IF(Backend!T36="", "", Backend!T36)</f>
        <v>-0.15762259000000001</v>
      </c>
      <c r="T9">
        <f>IF(Backend!U36="", "", Backend!U36)</f>
        <v>0.4898092</v>
      </c>
      <c r="U9">
        <f>IF(Backend!V36="", "", Backend!V36)</f>
        <v>-0.48223319999999997</v>
      </c>
      <c r="V9">
        <f>IF(Backend!W36="", "", Backend!W36)</f>
        <v>0.7768351</v>
      </c>
      <c r="W9">
        <f>IF(Backend!X36="", "", Backend!X36)</f>
        <v>-0.39735516999999998</v>
      </c>
      <c r="X9">
        <f>IF(Backend!Y36="", "", Backend!Y36)</f>
        <v>0.88098180000000004</v>
      </c>
      <c r="Y9">
        <f>IF(Backend!Z36="", "", Backend!Z36)</f>
        <v>-0.29817929999999998</v>
      </c>
      <c r="Z9">
        <f>IF(Backend!AA36="", "", Backend!AA36)</f>
        <v>0.56519127000000002</v>
      </c>
      <c r="AA9">
        <f>IF(Backend!AB36="", "", Backend!AB36)</f>
        <v>0.82085750000000002</v>
      </c>
      <c r="AB9">
        <f>IF(Backend!AC36="", "", Backend!AC36)</f>
        <v>0.48543273999999997</v>
      </c>
      <c r="AC9">
        <f>IF(Backend!AD36="", "", Backend!AD36)</f>
        <v>0.42313325000000002</v>
      </c>
      <c r="AD9">
        <f>IF(Backend!AE36="", "", Backend!AE36)</f>
        <v>0.76554999999999995</v>
      </c>
      <c r="AE9">
        <f>IF(Backend!AF36="", "", Backend!AF36)</f>
        <v>0.47875034999999999</v>
      </c>
      <c r="AF9">
        <f>IF(Backend!AG36="", "", Backend!AG36)</f>
        <v>0.56548743999999995</v>
      </c>
      <c r="AG9">
        <f>IF(Backend!AH36="", "", Backend!AH36)</f>
        <v>-0.18228927</v>
      </c>
      <c r="AH9">
        <f>IF(Backend!AI36="", "", Backend!AI36)</f>
        <v>-0.55837749999999997</v>
      </c>
      <c r="AI9">
        <f>IF(Backend!AJ36="", "", Backend!AJ36)</f>
        <v>8.6982840000000006E-2</v>
      </c>
      <c r="AJ9">
        <f>IF(Backend!AK36="", "", Backend!AK36)</f>
        <v>-0.43559098000000002</v>
      </c>
      <c r="AK9">
        <f>IF(Backend!AL36="", "", Backend!AL36)</f>
        <v>0.60272574000000001</v>
      </c>
      <c r="AL9">
        <f>IF(Backend!AM36="", "", Backend!AM36)</f>
        <v>0.82444644</v>
      </c>
      <c r="AM9">
        <f>IF(Backend!AN36="", "", Backend!AN36)</f>
        <v>-0.2620285</v>
      </c>
      <c r="AN9">
        <f>IF(Backend!AO36="", "", Backend!AO36)</f>
        <v>0.84306776999999999</v>
      </c>
      <c r="AO9">
        <f>IF(Backend!AP36="", "", Backend!AP36)</f>
        <v>0.77272149999999995</v>
      </c>
      <c r="AP9">
        <f>IF(Backend!AQ36="", "", Backend!AQ36)</f>
        <v>0.78494679999999994</v>
      </c>
      <c r="AQ9">
        <f>IF(Backend!AR36="", "", Backend!AR36)</f>
        <v>-7.9069640000000007E-3</v>
      </c>
      <c r="AR9">
        <f>IF(Backend!AS36="", "", Backend!AS36)</f>
        <v>0.65712599999999999</v>
      </c>
      <c r="AS9">
        <f>IF(Backend!AT36="", "", Backend!AT36)</f>
        <v>-0.23566069000000001</v>
      </c>
      <c r="AT9">
        <f>IF(Backend!AU36="", "", Backend!AU36)</f>
        <v>-0.20946822000000001</v>
      </c>
      <c r="AU9">
        <f>IF(Backend!AV36="", "", Backend!AV36)</f>
        <v>-0.55800740000000004</v>
      </c>
      <c r="AV9">
        <f>IF(Backend!AW36="", "", Backend!AW36)</f>
        <v>0.77850573999999995</v>
      </c>
      <c r="AW9">
        <f>IF(Backend!AX36="", "", Backend!AX36)</f>
        <v>0.76734095999999996</v>
      </c>
      <c r="AX9">
        <f>IF(Backend!AY36="", "", Backend!AY36)</f>
        <v>0.56419956999999998</v>
      </c>
      <c r="AY9">
        <f>IF(Backend!AZ36="", "", Backend!AZ36)</f>
        <v>9.3999155000000001E-2</v>
      </c>
      <c r="AZ9">
        <f>IF(Backend!BA36="", "", Backend!BA36)</f>
        <v>0.71439680000000005</v>
      </c>
      <c r="BA9">
        <f>IF(Backend!BB36="", "", Backend!BB36)</f>
        <v>0.56459992999999997</v>
      </c>
      <c r="BB9">
        <f>IF(Backend!BC36="", "", Backend!BC36)</f>
        <v>0.50267225999999998</v>
      </c>
      <c r="BC9">
        <f>IF(Backend!BD36="", "", Backend!BD36)</f>
        <v>0.76359030000000006</v>
      </c>
      <c r="BD9">
        <f>IF(Backend!BE36="", "", Backend!BE36)</f>
        <v>0.83127373000000004</v>
      </c>
      <c r="BE9">
        <f>IF(Backend!BF36="", "", Backend!BF36)</f>
        <v>0.83703612999999999</v>
      </c>
      <c r="BF9">
        <f>IF(Backend!BG36="", "", Backend!BG36)</f>
        <v>0.802315</v>
      </c>
      <c r="BG9">
        <f>IF(Backend!BH36="", "", Backend!BH36)</f>
        <v>0.52318304999999998</v>
      </c>
      <c r="BH9">
        <f>IF(Backend!BI36="", "", Backend!BI36)</f>
        <v>0.6386252</v>
      </c>
      <c r="BI9" t="str">
        <f>IF(Backend!BJ36="", "", Backend!BJ36)</f>
        <v/>
      </c>
      <c r="BJ9" t="str">
        <f>IF(Backend!BK36="", "", Backend!BK36)</f>
        <v/>
      </c>
      <c r="BK9" t="str">
        <f>IF(Backend!BL36="", "", Backend!BL36)</f>
        <v/>
      </c>
      <c r="BL9" t="str">
        <f>IF(Backend!BM36="", "", Backend!BM36)</f>
        <v/>
      </c>
      <c r="BM9" t="str">
        <f>IF(Backend!BN36="", "", Backend!BN36)</f>
        <v/>
      </c>
      <c r="BN9" t="str">
        <f>IF(Backend!BO36="", "", Backend!BO36)</f>
        <v/>
      </c>
      <c r="BO9" t="str">
        <f>IF(Backend!BP36="", "", Backend!BP36)</f>
        <v/>
      </c>
      <c r="BP9" t="str">
        <f>IF(Backend!BQ36="", "", Backend!BQ36)</f>
        <v/>
      </c>
      <c r="BQ9" t="str">
        <f>IF(Backend!BR36="", "", Backend!BR36)</f>
        <v/>
      </c>
      <c r="BR9" t="str">
        <f>IF(Backend!BS36="", "", Backend!BS36)</f>
        <v/>
      </c>
      <c r="BS9" t="str">
        <f>IF(Backend!BT36="", "", Backend!BT36)</f>
        <v/>
      </c>
      <c r="BT9" t="str">
        <f>IF(Backend!BU36="", "", Backend!BU36)</f>
        <v/>
      </c>
      <c r="BU9" t="str">
        <f>IF(Backend!BV36="", "", Backend!BV36)</f>
        <v/>
      </c>
      <c r="BV9" t="str">
        <f>IF(Backend!BW36="", "", Backend!BW36)</f>
        <v/>
      </c>
      <c r="BW9" t="str">
        <f>IF(Backend!BX36="", "", Backend!BX36)</f>
        <v/>
      </c>
      <c r="BX9" t="str">
        <f>IF(Backend!BY36="", "", Backend!BY36)</f>
        <v/>
      </c>
      <c r="BY9" t="str">
        <f>IF(Backend!BZ36="", "", Backend!BZ36)</f>
        <v/>
      </c>
      <c r="BZ9" t="str">
        <f>IF(Backend!CA36="", "", Backend!CA36)</f>
        <v/>
      </c>
      <c r="CA9" t="str">
        <f>IF(Backend!CB36="", "", Backend!CB36)</f>
        <v/>
      </c>
      <c r="CB9" t="str">
        <f>IF(Backend!CC36="", "", Backend!CC36)</f>
        <v/>
      </c>
      <c r="CC9" t="str">
        <f>IF(Backend!CD36="", "", Backend!CD36)</f>
        <v/>
      </c>
    </row>
    <row r="10" spans="1:81" x14ac:dyDescent="0.25">
      <c r="A10" s="4" t="str">
        <f>IF(Backend!A37="", "", Backend!A37)</f>
        <v>BASF SE</v>
      </c>
      <c r="B10">
        <f>IF(Backend!C37="", "", Backend!C37)</f>
        <v>0.88990086000000002</v>
      </c>
      <c r="C10">
        <f>IF(Backend!D37="", "", Backend!D37)</f>
        <v>0.49213066999999999</v>
      </c>
      <c r="D10">
        <f>IF(Backend!E37="", "", Backend!E37)</f>
        <v>0.78839300000000001</v>
      </c>
      <c r="E10">
        <f>IF(Backend!F37="", "", Backend!F37)</f>
        <v>0.79338489999999995</v>
      </c>
      <c r="F10">
        <f>IF(Backend!G37="", "", Backend!G37)</f>
        <v>0.79769789999999996</v>
      </c>
      <c r="G10">
        <f>IF(Backend!H37="", "", Backend!H37)</f>
        <v>0.67182003999999995</v>
      </c>
      <c r="H10">
        <f>IF(Backend!I37="", "", Backend!I37)</f>
        <v>1</v>
      </c>
      <c r="I10">
        <f>IF(Backend!J37="", "", Backend!J37)</f>
        <v>0.52681040000000001</v>
      </c>
      <c r="J10">
        <f>IF(Backend!K37="", "", Backend!K37)</f>
        <v>0.16062754000000001</v>
      </c>
      <c r="K10">
        <f>IF(Backend!L37="", "", Backend!L37)</f>
        <v>0.30924415999999999</v>
      </c>
      <c r="L10">
        <f>IF(Backend!M37="", "", Backend!M37)</f>
        <v>0.50926079999999996</v>
      </c>
      <c r="M10">
        <f>IF(Backend!N37="", "", Backend!N37)</f>
        <v>0.44921470000000002</v>
      </c>
      <c r="N10">
        <f>IF(Backend!O37="", "", Backend!O37)</f>
        <v>0.9136647</v>
      </c>
      <c r="O10">
        <f>IF(Backend!P37="", "", Backend!P37)</f>
        <v>0.38986032999999998</v>
      </c>
      <c r="P10">
        <f>IF(Backend!Q37="", "", Backend!Q37)</f>
        <v>-0.47637805</v>
      </c>
      <c r="Q10">
        <f>IF(Backend!R37="", "", Backend!R37)</f>
        <v>0.18785088</v>
      </c>
      <c r="R10">
        <f>IF(Backend!S37="", "", Backend!S37)</f>
        <v>0.78097159999999999</v>
      </c>
      <c r="S10">
        <f>IF(Backend!T37="", "", Backend!T37)</f>
        <v>-0.57249969999999994</v>
      </c>
      <c r="T10">
        <f>IF(Backend!U37="", "", Backend!U37)</f>
        <v>0.70005609999999996</v>
      </c>
      <c r="U10">
        <f>IF(Backend!V37="", "", Backend!V37)</f>
        <v>-0.38767269999999998</v>
      </c>
      <c r="V10">
        <f>IF(Backend!W37="", "", Backend!W37)</f>
        <v>0.78807240000000001</v>
      </c>
      <c r="W10">
        <f>IF(Backend!X37="", "", Backend!X37)</f>
        <v>-0.17297414</v>
      </c>
      <c r="X10">
        <f>IF(Backend!Y37="", "", Backend!Y37)</f>
        <v>0.76261674999999995</v>
      </c>
      <c r="Y10">
        <f>IF(Backend!Z37="", "", Backend!Z37)</f>
        <v>-0.18459656999999999</v>
      </c>
      <c r="Z10">
        <f>IF(Backend!AA37="", "", Backend!AA37)</f>
        <v>0.30998418</v>
      </c>
      <c r="AA10">
        <f>IF(Backend!AB37="", "", Backend!AB37)</f>
        <v>0.72448652999999996</v>
      </c>
      <c r="AB10">
        <f>IF(Backend!AC37="", "", Backend!AC37)</f>
        <v>0.35893476000000002</v>
      </c>
      <c r="AC10">
        <f>IF(Backend!AD37="", "", Backend!AD37)</f>
        <v>0.14919218000000001</v>
      </c>
      <c r="AD10">
        <f>IF(Backend!AE37="", "", Backend!AE37)</f>
        <v>0.69498179999999998</v>
      </c>
      <c r="AE10">
        <f>IF(Backend!AF37="", "", Backend!AF37)</f>
        <v>0.71943559999999995</v>
      </c>
      <c r="AF10">
        <f>IF(Backend!AG37="", "", Backend!AG37)</f>
        <v>0.76660810000000001</v>
      </c>
      <c r="AG10">
        <f>IF(Backend!AH37="", "", Backend!AH37)</f>
        <v>-0.44345279999999998</v>
      </c>
      <c r="AH10">
        <f>IF(Backend!AI37="", "", Backend!AI37)</f>
        <v>-0.36439145000000001</v>
      </c>
      <c r="AI10">
        <f>IF(Backend!AJ37="", "", Backend!AJ37)</f>
        <v>-0.51402574999999995</v>
      </c>
      <c r="AJ10">
        <f>IF(Backend!AK37="", "", Backend!AK37)</f>
        <v>-0.11784460400000001</v>
      </c>
      <c r="AK10">
        <f>IF(Backend!AL37="", "", Backend!AL37)</f>
        <v>0.27819714000000001</v>
      </c>
      <c r="AL10">
        <f>IF(Backend!AM37="", "", Backend!AM37)</f>
        <v>0.83422803999999995</v>
      </c>
      <c r="AM10">
        <f>IF(Backend!AN37="", "", Backend!AN37)</f>
        <v>-0.44983943999999998</v>
      </c>
      <c r="AN10">
        <f>IF(Backend!AO37="", "", Backend!AO37)</f>
        <v>0.6495457</v>
      </c>
      <c r="AO10">
        <f>IF(Backend!AP37="", "", Backend!AP37)</f>
        <v>0.66310530000000001</v>
      </c>
      <c r="AP10">
        <f>IF(Backend!AQ37="", "", Backend!AQ37)</f>
        <v>0.81497710000000001</v>
      </c>
      <c r="AQ10">
        <f>IF(Backend!AR37="", "", Backend!AR37)</f>
        <v>9.5127619999999996E-2</v>
      </c>
      <c r="AR10">
        <f>IF(Backend!AS37="", "", Backend!AS37)</f>
        <v>0.60351049999999995</v>
      </c>
      <c r="AS10">
        <f>IF(Backend!AT37="", "", Backend!AT37)</f>
        <v>-4.4960655000000002E-2</v>
      </c>
      <c r="AT10">
        <f>IF(Backend!AU37="", "", Backend!AU37)</f>
        <v>-3.6272976999999998E-2</v>
      </c>
      <c r="AU10">
        <f>IF(Backend!AV37="", "", Backend!AV37)</f>
        <v>-0.40635458000000002</v>
      </c>
      <c r="AV10">
        <f>IF(Backend!AW37="", "", Backend!AW37)</f>
        <v>0.89687320000000004</v>
      </c>
      <c r="AW10">
        <f>IF(Backend!AX37="", "", Backend!AX37)</f>
        <v>0.51659880000000002</v>
      </c>
      <c r="AX10">
        <f>IF(Backend!AY37="", "", Backend!AY37)</f>
        <v>0.18800230000000001</v>
      </c>
      <c r="AY10">
        <f>IF(Backend!AZ37="", "", Backend!AZ37)</f>
        <v>0.44678030000000002</v>
      </c>
      <c r="AZ10">
        <f>IF(Backend!BA37="", "", Backend!BA37)</f>
        <v>0.65570709999999999</v>
      </c>
      <c r="BA10">
        <f>IF(Backend!BB37="", "", Backend!BB37)</f>
        <v>0.81476519999999997</v>
      </c>
      <c r="BB10">
        <f>IF(Backend!BC37="", "", Backend!BC37)</f>
        <v>0.81306129999999999</v>
      </c>
      <c r="BC10">
        <f>IF(Backend!BD37="", "", Backend!BD37)</f>
        <v>0.77255589999999996</v>
      </c>
      <c r="BD10">
        <f>IF(Backend!BE37="", "", Backend!BE37)</f>
        <v>0.90666449999999998</v>
      </c>
      <c r="BE10">
        <f>IF(Backend!BF37="", "", Backend!BF37)</f>
        <v>0.68780300000000005</v>
      </c>
      <c r="BF10">
        <f>IF(Backend!BG37="", "", Backend!BG37)</f>
        <v>0.83577584999999999</v>
      </c>
      <c r="BG10">
        <f>IF(Backend!BH37="", "", Backend!BH37)</f>
        <v>0.55648744000000006</v>
      </c>
      <c r="BH10">
        <f>IF(Backend!BI37="", "", Backend!BI37)</f>
        <v>0.60250289999999995</v>
      </c>
      <c r="BI10" t="str">
        <f>IF(Backend!BJ37="", "", Backend!BJ37)</f>
        <v/>
      </c>
      <c r="BJ10" t="str">
        <f>IF(Backend!BK37="", "", Backend!BK37)</f>
        <v/>
      </c>
      <c r="BK10" t="str">
        <f>IF(Backend!BL37="", "", Backend!BL37)</f>
        <v/>
      </c>
      <c r="BL10" t="str">
        <f>IF(Backend!BM37="", "", Backend!BM37)</f>
        <v/>
      </c>
      <c r="BM10" t="str">
        <f>IF(Backend!BN37="", "", Backend!BN37)</f>
        <v/>
      </c>
      <c r="BN10" t="str">
        <f>IF(Backend!BO37="", "", Backend!BO37)</f>
        <v/>
      </c>
      <c r="BO10" t="str">
        <f>IF(Backend!BP37="", "", Backend!BP37)</f>
        <v/>
      </c>
      <c r="BP10" t="str">
        <f>IF(Backend!BQ37="", "", Backend!BQ37)</f>
        <v/>
      </c>
      <c r="BQ10" t="str">
        <f>IF(Backend!BR37="", "", Backend!BR37)</f>
        <v/>
      </c>
      <c r="BR10" t="str">
        <f>IF(Backend!BS37="", "", Backend!BS37)</f>
        <v/>
      </c>
      <c r="BS10" t="str">
        <f>IF(Backend!BT37="", "", Backend!BT37)</f>
        <v/>
      </c>
      <c r="BT10" t="str">
        <f>IF(Backend!BU37="", "", Backend!BU37)</f>
        <v/>
      </c>
      <c r="BU10" t="str">
        <f>IF(Backend!BV37="", "", Backend!BV37)</f>
        <v/>
      </c>
      <c r="BV10" t="str">
        <f>IF(Backend!BW37="", "", Backend!BW37)</f>
        <v/>
      </c>
      <c r="BW10" t="str">
        <f>IF(Backend!BX37="", "", Backend!BX37)</f>
        <v/>
      </c>
      <c r="BX10" t="str">
        <f>IF(Backend!BY37="", "", Backend!BY37)</f>
        <v/>
      </c>
      <c r="BY10" t="str">
        <f>IF(Backend!BZ37="", "", Backend!BZ37)</f>
        <v/>
      </c>
      <c r="BZ10" t="str">
        <f>IF(Backend!CA37="", "", Backend!CA37)</f>
        <v/>
      </c>
      <c r="CA10" t="str">
        <f>IF(Backend!CB37="", "", Backend!CB37)</f>
        <v/>
      </c>
      <c r="CB10" t="str">
        <f>IF(Backend!CC37="", "", Backend!CC37)</f>
        <v/>
      </c>
      <c r="CC10" t="str">
        <f>IF(Backend!CD37="", "", Backend!CD37)</f>
        <v/>
      </c>
    </row>
    <row r="11" spans="1:81" x14ac:dyDescent="0.25">
      <c r="A11" s="4" t="str">
        <f>IF(Backend!A38="", "", Backend!A38)</f>
        <v>Bayer AG</v>
      </c>
      <c r="B11">
        <f>IF(Backend!C38="", "", Backend!C38)</f>
        <v>0.59731610000000002</v>
      </c>
      <c r="C11">
        <f>IF(Backend!D38="", "", Backend!D38)</f>
        <v>0.63155954999999997</v>
      </c>
      <c r="D11">
        <f>IF(Backend!E38="", "", Backend!E38)</f>
        <v>0.76124495000000003</v>
      </c>
      <c r="E11">
        <f>IF(Backend!F38="", "", Backend!F38)</f>
        <v>0.76550830000000003</v>
      </c>
      <c r="F11">
        <f>IF(Backend!G38="", "", Backend!G38)</f>
        <v>0.48768866</v>
      </c>
      <c r="G11">
        <f>IF(Backend!H38="", "", Backend!H38)</f>
        <v>0.73960155000000005</v>
      </c>
      <c r="H11">
        <f>IF(Backend!I38="", "", Backend!I38)</f>
        <v>0.52681040000000001</v>
      </c>
      <c r="I11">
        <f>IF(Backend!J38="", "", Backend!J38)</f>
        <v>1</v>
      </c>
      <c r="J11">
        <f>IF(Backend!K38="", "", Backend!K38)</f>
        <v>0.76446164000000005</v>
      </c>
      <c r="K11">
        <f>IF(Backend!L38="", "", Backend!L38)</f>
        <v>0.10714599499999999</v>
      </c>
      <c r="L11">
        <f>IF(Backend!M38="", "", Backend!M38)</f>
        <v>0.85887800000000003</v>
      </c>
      <c r="M11">
        <f>IF(Backend!N38="", "", Backend!N38)</f>
        <v>0.78623253000000004</v>
      </c>
      <c r="N11">
        <f>IF(Backend!O38="", "", Backend!O38)</f>
        <v>0.41899955</v>
      </c>
      <c r="O11">
        <f>IF(Backend!P38="", "", Backend!P38)</f>
        <v>0.79658819999999997</v>
      </c>
      <c r="P11">
        <f>IF(Backend!Q38="", "", Backend!Q38)</f>
        <v>-0.50984114000000003</v>
      </c>
      <c r="Q11">
        <f>IF(Backend!R38="", "", Backend!R38)</f>
        <v>7.9836209999999998E-3</v>
      </c>
      <c r="R11">
        <f>IF(Backend!S38="", "", Backend!S38)</f>
        <v>0.64931744000000002</v>
      </c>
      <c r="S11">
        <f>IF(Backend!T38="", "", Backend!T38)</f>
        <v>-4.2341131000000001E-4</v>
      </c>
      <c r="T11">
        <f>IF(Backend!U38="", "", Backend!U38)</f>
        <v>0.13245367999999999</v>
      </c>
      <c r="U11">
        <f>IF(Backend!V38="", "", Backend!V38)</f>
        <v>-0.64371310000000004</v>
      </c>
      <c r="V11">
        <f>IF(Backend!W38="", "", Backend!W38)</f>
        <v>0.62840609999999997</v>
      </c>
      <c r="W11">
        <f>IF(Backend!X38="", "", Backend!X38)</f>
        <v>-0.61578697000000004</v>
      </c>
      <c r="X11">
        <f>IF(Backend!Y38="", "", Backend!Y38)</f>
        <v>0.84295940000000003</v>
      </c>
      <c r="Y11">
        <f>IF(Backend!Z38="", "", Backend!Z38)</f>
        <v>-0.50370210000000004</v>
      </c>
      <c r="Z11">
        <f>IF(Backend!AA38="", "", Backend!AA38)</f>
        <v>0.68251360000000005</v>
      </c>
      <c r="AA11">
        <f>IF(Backend!AB38="", "", Backend!AB38)</f>
        <v>0.74356310000000003</v>
      </c>
      <c r="AB11">
        <f>IF(Backend!AC38="", "", Backend!AC38)</f>
        <v>0.51730293000000005</v>
      </c>
      <c r="AC11">
        <f>IF(Backend!AD38="", "", Backend!AD38)</f>
        <v>0.35586062000000002</v>
      </c>
      <c r="AD11">
        <f>IF(Backend!AE38="", "", Backend!AE38)</f>
        <v>0.72333102999999999</v>
      </c>
      <c r="AE11">
        <f>IF(Backend!AF38="", "", Backend!AF38)</f>
        <v>0.22212377</v>
      </c>
      <c r="AF11">
        <f>IF(Backend!AG38="", "", Backend!AG38)</f>
        <v>0.31395212</v>
      </c>
      <c r="AG11">
        <f>IF(Backend!AH38="", "", Backend!AH38)</f>
        <v>-0.29055592000000002</v>
      </c>
      <c r="AH11">
        <f>IF(Backend!AI38="", "", Backend!AI38)</f>
        <v>-0.68637793999999996</v>
      </c>
      <c r="AI11">
        <f>IF(Backend!AJ38="", "", Backend!AJ38)</f>
        <v>-0.23092127000000001</v>
      </c>
      <c r="AJ11">
        <f>IF(Backend!AK38="", "", Backend!AK38)</f>
        <v>-0.67463070000000003</v>
      </c>
      <c r="AK11">
        <f>IF(Backend!AL38="", "", Backend!AL38)</f>
        <v>0.80359689999999995</v>
      </c>
      <c r="AL11">
        <f>IF(Backend!AM38="", "", Backend!AM38)</f>
        <v>0.71971949999999996</v>
      </c>
      <c r="AM11">
        <f>IF(Backend!AN38="", "", Backend!AN38)</f>
        <v>-0.16211613999999999</v>
      </c>
      <c r="AN11">
        <f>IF(Backend!AO38="", "", Backend!AO38)</f>
        <v>0.83370215000000003</v>
      </c>
      <c r="AO11">
        <f>IF(Backend!AP38="", "", Backend!AP38)</f>
        <v>0.58213614999999996</v>
      </c>
      <c r="AP11">
        <f>IF(Backend!AQ38="", "", Backend!AQ38)</f>
        <v>0.60133060000000005</v>
      </c>
      <c r="AQ11">
        <f>IF(Backend!AR38="", "", Backend!AR38)</f>
        <v>-4.262732E-3</v>
      </c>
      <c r="AR11">
        <f>IF(Backend!AS38="", "", Backend!AS38)</f>
        <v>0.75737679999999996</v>
      </c>
      <c r="AS11">
        <f>IF(Backend!AT38="", "", Backend!AT38)</f>
        <v>-0.465283</v>
      </c>
      <c r="AT11">
        <f>IF(Backend!AU38="", "", Backend!AU38)</f>
        <v>-0.39100750000000001</v>
      </c>
      <c r="AU11">
        <f>IF(Backend!AV38="", "", Backend!AV38)</f>
        <v>-0.67717369999999999</v>
      </c>
      <c r="AV11">
        <f>IF(Backend!AW38="", "", Backend!AW38)</f>
        <v>0.59248023999999999</v>
      </c>
      <c r="AW11">
        <f>IF(Backend!AX38="", "", Backend!AX38)</f>
        <v>0.81160754000000002</v>
      </c>
      <c r="AX11">
        <f>IF(Backend!AY38="", "", Backend!AY38)</f>
        <v>0.324602</v>
      </c>
      <c r="AY11">
        <f>IF(Backend!AZ38="", "", Backend!AZ38)</f>
        <v>-0.24686599000000001</v>
      </c>
      <c r="AZ11">
        <f>IF(Backend!BA38="", "", Backend!BA38)</f>
        <v>0.77659255000000005</v>
      </c>
      <c r="BA11">
        <f>IF(Backend!BB38="", "", Backend!BB38)</f>
        <v>0.47023204000000002</v>
      </c>
      <c r="BB11">
        <f>IF(Backend!BC38="", "", Backend!BC38)</f>
        <v>0.39361026999999998</v>
      </c>
      <c r="BC11">
        <f>IF(Backend!BD38="", "", Backend!BD38)</f>
        <v>0.74762505000000001</v>
      </c>
      <c r="BD11">
        <f>IF(Backend!BE38="", "", Backend!BE38)</f>
        <v>0.66064065999999999</v>
      </c>
      <c r="BE11">
        <f>IF(Backend!BF38="", "", Backend!BF38)</f>
        <v>0.89938370000000001</v>
      </c>
      <c r="BF11">
        <f>IF(Backend!BG38="", "", Backend!BG38)</f>
        <v>0.6987835</v>
      </c>
      <c r="BG11">
        <f>IF(Backend!BH38="", "", Backend!BH38)</f>
        <v>0.39217022000000001</v>
      </c>
      <c r="BH11">
        <f>IF(Backend!BI38="", "", Backend!BI38)</f>
        <v>0.63342169999999998</v>
      </c>
      <c r="BI11" t="str">
        <f>IF(Backend!BJ38="", "", Backend!BJ38)</f>
        <v/>
      </c>
      <c r="BJ11" t="str">
        <f>IF(Backend!BK38="", "", Backend!BK38)</f>
        <v/>
      </c>
      <c r="BK11" t="str">
        <f>IF(Backend!BL38="", "", Backend!BL38)</f>
        <v/>
      </c>
      <c r="BL11" t="str">
        <f>IF(Backend!BM38="", "", Backend!BM38)</f>
        <v/>
      </c>
      <c r="BM11" t="str">
        <f>IF(Backend!BN38="", "", Backend!BN38)</f>
        <v/>
      </c>
      <c r="BN11" t="str">
        <f>IF(Backend!BO38="", "", Backend!BO38)</f>
        <v/>
      </c>
      <c r="BO11" t="str">
        <f>IF(Backend!BP38="", "", Backend!BP38)</f>
        <v/>
      </c>
      <c r="BP11" t="str">
        <f>IF(Backend!BQ38="", "", Backend!BQ38)</f>
        <v/>
      </c>
      <c r="BQ11" t="str">
        <f>IF(Backend!BR38="", "", Backend!BR38)</f>
        <v/>
      </c>
      <c r="BR11" t="str">
        <f>IF(Backend!BS38="", "", Backend!BS38)</f>
        <v/>
      </c>
      <c r="BS11" t="str">
        <f>IF(Backend!BT38="", "", Backend!BT38)</f>
        <v/>
      </c>
      <c r="BT11" t="str">
        <f>IF(Backend!BU38="", "", Backend!BU38)</f>
        <v/>
      </c>
      <c r="BU11" t="str">
        <f>IF(Backend!BV38="", "", Backend!BV38)</f>
        <v/>
      </c>
      <c r="BV11" t="str">
        <f>IF(Backend!BW38="", "", Backend!BW38)</f>
        <v/>
      </c>
      <c r="BW11" t="str">
        <f>IF(Backend!BX38="", "", Backend!BX38)</f>
        <v/>
      </c>
      <c r="BX11" t="str">
        <f>IF(Backend!BY38="", "", Backend!BY38)</f>
        <v/>
      </c>
      <c r="BY11" t="str">
        <f>IF(Backend!BZ38="", "", Backend!BZ38)</f>
        <v/>
      </c>
      <c r="BZ11" t="str">
        <f>IF(Backend!CA38="", "", Backend!CA38)</f>
        <v/>
      </c>
      <c r="CA11" t="str">
        <f>IF(Backend!CB38="", "", Backend!CB38)</f>
        <v/>
      </c>
      <c r="CB11" t="str">
        <f>IF(Backend!CC38="", "", Backend!CC38)</f>
        <v/>
      </c>
      <c r="CC11" t="str">
        <f>IF(Backend!CD38="", "", Backend!CD38)</f>
        <v/>
      </c>
    </row>
    <row r="12" spans="1:81" x14ac:dyDescent="0.25">
      <c r="A12" s="4" t="str">
        <f>IF(Backend!A39="", "", Backend!A39)</f>
        <v>Bristol-Myers Squibb Company</v>
      </c>
      <c r="B12">
        <f>IF(Backend!C39="", "", Backend!C39)</f>
        <v>0.20736398</v>
      </c>
      <c r="C12">
        <f>IF(Backend!D39="", "", Backend!D39)</f>
        <v>0.52999160000000001</v>
      </c>
      <c r="D12">
        <f>IF(Backend!E39="", "", Backend!E39)</f>
        <v>0.52187110000000003</v>
      </c>
      <c r="E12">
        <f>IF(Backend!F39="", "", Backend!F39)</f>
        <v>0.44430273999999997</v>
      </c>
      <c r="F12">
        <f>IF(Backend!G39="", "", Backend!G39)</f>
        <v>0.19829366000000001</v>
      </c>
      <c r="G12">
        <f>IF(Backend!H39="", "", Backend!H39)</f>
        <v>0.47435549999999999</v>
      </c>
      <c r="H12">
        <f>IF(Backend!I39="", "", Backend!I39)</f>
        <v>0.16062754000000001</v>
      </c>
      <c r="I12">
        <f>IF(Backend!J39="", "", Backend!J39)</f>
        <v>0.76446164000000005</v>
      </c>
      <c r="J12">
        <f>IF(Backend!K39="", "", Backend!K39)</f>
        <v>1</v>
      </c>
      <c r="K12">
        <f>IF(Backend!L39="", "", Backend!L39)</f>
        <v>-2.3182432999999999E-2</v>
      </c>
      <c r="L12">
        <f>IF(Backend!M39="", "", Backend!M39)</f>
        <v>0.64768029999999999</v>
      </c>
      <c r="M12">
        <f>IF(Backend!N39="", "", Backend!N39)</f>
        <v>0.51530109999999996</v>
      </c>
      <c r="N12">
        <f>IF(Backend!O39="", "", Backend!O39)</f>
        <v>2.1786638000000001E-2</v>
      </c>
      <c r="O12">
        <f>IF(Backend!P39="", "", Backend!P39)</f>
        <v>0.68108754999999999</v>
      </c>
      <c r="P12">
        <f>IF(Backend!Q39="", "", Backend!Q39)</f>
        <v>-0.5692062</v>
      </c>
      <c r="Q12">
        <f>IF(Backend!R39="", "", Backend!R39)</f>
        <v>-0.2038451</v>
      </c>
      <c r="R12">
        <f>IF(Backend!S39="", "", Backend!S39)</f>
        <v>0.34573498000000003</v>
      </c>
      <c r="S12">
        <f>IF(Backend!T39="", "", Backend!T39)</f>
        <v>0.14016518</v>
      </c>
      <c r="T12">
        <f>IF(Backend!U39="", "", Backend!U39)</f>
        <v>-0.17246796</v>
      </c>
      <c r="U12">
        <f>IF(Backend!V39="", "", Backend!V39)</f>
        <v>-0.57058439999999999</v>
      </c>
      <c r="V12">
        <f>IF(Backend!W39="", "", Backend!W39)</f>
        <v>0.26757902</v>
      </c>
      <c r="W12">
        <f>IF(Backend!X39="", "", Backend!X39)</f>
        <v>-0.61799145</v>
      </c>
      <c r="X12">
        <f>IF(Backend!Y39="", "", Backend!Y39)</f>
        <v>0.56039196000000002</v>
      </c>
      <c r="Y12">
        <f>IF(Backend!Z39="", "", Backend!Z39)</f>
        <v>-0.51955026000000004</v>
      </c>
      <c r="Z12">
        <f>IF(Backend!AA39="", "", Backend!AA39)</f>
        <v>0.65139950000000002</v>
      </c>
      <c r="AA12">
        <f>IF(Backend!AB39="", "", Backend!AB39)</f>
        <v>0.42787617</v>
      </c>
      <c r="AB12">
        <f>IF(Backend!AC39="", "", Backend!AC39)</f>
        <v>0.3697973</v>
      </c>
      <c r="AC12">
        <f>IF(Backend!AD39="", "", Backend!AD39)</f>
        <v>0.33681773999999998</v>
      </c>
      <c r="AD12">
        <f>IF(Backend!AE39="", "", Backend!AE39)</f>
        <v>0.53968709999999998</v>
      </c>
      <c r="AE12">
        <f>IF(Backend!AF39="", "", Backend!AF39)</f>
        <v>-0.16582873000000001</v>
      </c>
      <c r="AF12">
        <f>IF(Backend!AG39="", "", Backend!AG39)</f>
        <v>0.10837081</v>
      </c>
      <c r="AG12">
        <f>IF(Backend!AH39="", "", Backend!AH39)</f>
        <v>-8.0250279999999993E-2</v>
      </c>
      <c r="AH12">
        <f>IF(Backend!AI39="", "", Backend!AI39)</f>
        <v>-0.56972080000000003</v>
      </c>
      <c r="AI12">
        <f>IF(Backend!AJ39="", "", Backend!AJ39)</f>
        <v>-3.9499885999999998E-2</v>
      </c>
      <c r="AJ12">
        <f>IF(Backend!AK39="", "", Backend!AK39)</f>
        <v>-0.67785220000000002</v>
      </c>
      <c r="AK12">
        <f>IF(Backend!AL39="", "", Backend!AL39)</f>
        <v>0.8163222</v>
      </c>
      <c r="AL12">
        <f>IF(Backend!AM39="", "", Backend!AM39)</f>
        <v>0.42936906000000002</v>
      </c>
      <c r="AM12">
        <f>IF(Backend!AN39="", "", Backend!AN39)</f>
        <v>-0.21892478000000001</v>
      </c>
      <c r="AN12">
        <f>IF(Backend!AO39="", "", Backend!AO39)</f>
        <v>0.4934924</v>
      </c>
      <c r="AO12">
        <f>IF(Backend!AP39="", "", Backend!AP39)</f>
        <v>0.37927042999999999</v>
      </c>
      <c r="AP12">
        <f>IF(Backend!AQ39="", "", Backend!AQ39)</f>
        <v>0.18764961999999999</v>
      </c>
      <c r="AQ12">
        <f>IF(Backend!AR39="", "", Backend!AR39)</f>
        <v>-0.11016498500000001</v>
      </c>
      <c r="AR12">
        <f>IF(Backend!AS39="", "", Backend!AS39)</f>
        <v>0.44169580000000003</v>
      </c>
      <c r="AS12">
        <f>IF(Backend!AT39="", "", Backend!AT39)</f>
        <v>-0.52211039999999997</v>
      </c>
      <c r="AT12">
        <f>IF(Backend!AU39="", "", Backend!AU39)</f>
        <v>-0.46677479999999999</v>
      </c>
      <c r="AU12">
        <f>IF(Backend!AV39="", "", Backend!AV39)</f>
        <v>-0.57870730000000004</v>
      </c>
      <c r="AV12">
        <f>IF(Backend!AW39="", "", Backend!AW39)</f>
        <v>0.29755082999999999</v>
      </c>
      <c r="AW12">
        <f>IF(Backend!AX39="", "", Backend!AX39)</f>
        <v>0.57832943999999997</v>
      </c>
      <c r="AX12">
        <f>IF(Backend!AY39="", "", Backend!AY39)</f>
        <v>0.13142862999999999</v>
      </c>
      <c r="AY12">
        <f>IF(Backend!AZ39="", "", Backend!AZ39)</f>
        <v>-0.57697390000000004</v>
      </c>
      <c r="AZ12">
        <f>IF(Backend!BA39="", "", Backend!BA39)</f>
        <v>0.59897553999999997</v>
      </c>
      <c r="BA12">
        <f>IF(Backend!BB39="", "", Backend!BB39)</f>
        <v>0.25326467000000003</v>
      </c>
      <c r="BB12">
        <f>IF(Backend!BC39="", "", Backend!BC39)</f>
        <v>0.16644450999999999</v>
      </c>
      <c r="BC12">
        <f>IF(Backend!BD39="", "", Backend!BD39)</f>
        <v>0.4927377</v>
      </c>
      <c r="BD12">
        <f>IF(Backend!BE39="", "", Backend!BE39)</f>
        <v>0.31304353000000001</v>
      </c>
      <c r="BE12">
        <f>IF(Backend!BF39="", "", Backend!BF39)</f>
        <v>0.68227579999999999</v>
      </c>
      <c r="BF12">
        <f>IF(Backend!BG39="", "", Backend!BG39)</f>
        <v>0.46844103999999998</v>
      </c>
      <c r="BG12">
        <f>IF(Backend!BH39="", "", Backend!BH39)</f>
        <v>0.37899664</v>
      </c>
      <c r="BH12">
        <f>IF(Backend!BI39="", "", Backend!BI39)</f>
        <v>0.49117452</v>
      </c>
      <c r="BI12" t="str">
        <f>IF(Backend!BJ39="", "", Backend!BJ39)</f>
        <v/>
      </c>
      <c r="BJ12" t="str">
        <f>IF(Backend!BK39="", "", Backend!BK39)</f>
        <v/>
      </c>
      <c r="BK12" t="str">
        <f>IF(Backend!BL39="", "", Backend!BL39)</f>
        <v/>
      </c>
      <c r="BL12" t="str">
        <f>IF(Backend!BM39="", "", Backend!BM39)</f>
        <v/>
      </c>
      <c r="BM12" t="str">
        <f>IF(Backend!BN39="", "", Backend!BN39)</f>
        <v/>
      </c>
      <c r="BN12" t="str">
        <f>IF(Backend!BO39="", "", Backend!BO39)</f>
        <v/>
      </c>
      <c r="BO12" t="str">
        <f>IF(Backend!BP39="", "", Backend!BP39)</f>
        <v/>
      </c>
      <c r="BP12" t="str">
        <f>IF(Backend!BQ39="", "", Backend!BQ39)</f>
        <v/>
      </c>
      <c r="BQ12" t="str">
        <f>IF(Backend!BR39="", "", Backend!BR39)</f>
        <v/>
      </c>
      <c r="BR12" t="str">
        <f>IF(Backend!BS39="", "", Backend!BS39)</f>
        <v/>
      </c>
      <c r="BS12" t="str">
        <f>IF(Backend!BT39="", "", Backend!BT39)</f>
        <v/>
      </c>
      <c r="BT12" t="str">
        <f>IF(Backend!BU39="", "", Backend!BU39)</f>
        <v/>
      </c>
      <c r="BU12" t="str">
        <f>IF(Backend!BV39="", "", Backend!BV39)</f>
        <v/>
      </c>
      <c r="BV12" t="str">
        <f>IF(Backend!BW39="", "", Backend!BW39)</f>
        <v/>
      </c>
      <c r="BW12" t="str">
        <f>IF(Backend!BX39="", "", Backend!BX39)</f>
        <v/>
      </c>
      <c r="BX12" t="str">
        <f>IF(Backend!BY39="", "", Backend!BY39)</f>
        <v/>
      </c>
      <c r="BY12" t="str">
        <f>IF(Backend!BZ39="", "", Backend!BZ39)</f>
        <v/>
      </c>
      <c r="BZ12" t="str">
        <f>IF(Backend!CA39="", "", Backend!CA39)</f>
        <v/>
      </c>
      <c r="CA12" t="str">
        <f>IF(Backend!CB39="", "", Backend!CB39)</f>
        <v/>
      </c>
      <c r="CB12" t="str">
        <f>IF(Backend!CC39="", "", Backend!CC39)</f>
        <v/>
      </c>
      <c r="CC12" t="str">
        <f>IF(Backend!CD39="", "", Backend!CD39)</f>
        <v/>
      </c>
    </row>
    <row r="13" spans="1:81" x14ac:dyDescent="0.25">
      <c r="A13" s="4" t="str">
        <f>IF(Backend!A40="", "", Backend!A40)</f>
        <v>BT Group plc</v>
      </c>
      <c r="B13">
        <f>IF(Backend!C40="", "", Backend!C40)</f>
        <v>0.18147015999999999</v>
      </c>
      <c r="C13">
        <f>IF(Backend!D40="", "", Backend!D40)</f>
        <v>0.53109320000000004</v>
      </c>
      <c r="D13">
        <f>IF(Backend!E40="", "", Backend!E40)</f>
        <v>0.44485760000000002</v>
      </c>
      <c r="E13">
        <f>IF(Backend!F40="", "", Backend!F40)</f>
        <v>0.27215293000000002</v>
      </c>
      <c r="F13">
        <f>IF(Backend!G40="", "", Backend!G40)</f>
        <v>9.3115390000000006E-2</v>
      </c>
      <c r="G13">
        <f>IF(Backend!H40="", "", Backend!H40)</f>
        <v>0.27844944999999999</v>
      </c>
      <c r="H13">
        <f>IF(Backend!I40="", "", Backend!I40)</f>
        <v>0.30924415999999999</v>
      </c>
      <c r="I13">
        <f>IF(Backend!J40="", "", Backend!J40)</f>
        <v>0.10714599499999999</v>
      </c>
      <c r="J13">
        <f>IF(Backend!K40="", "", Backend!K40)</f>
        <v>-2.3182432999999999E-2</v>
      </c>
      <c r="K13">
        <f>IF(Backend!L40="", "", Backend!L40)</f>
        <v>1</v>
      </c>
      <c r="L13">
        <f>IF(Backend!M40="", "", Backend!M40)</f>
        <v>5.6229952999999999E-2</v>
      </c>
      <c r="M13">
        <f>IF(Backend!N40="", "", Backend!N40)</f>
        <v>6.0745697000000001E-2</v>
      </c>
      <c r="N13">
        <f>IF(Backend!O40="", "", Backend!O40)</f>
        <v>0.39426201999999999</v>
      </c>
      <c r="O13">
        <f>IF(Backend!P40="", "", Backend!P40)</f>
        <v>-2.1939317E-2</v>
      </c>
      <c r="P13">
        <f>IF(Backend!Q40="", "", Backend!Q40)</f>
        <v>4.7804876000000001E-3</v>
      </c>
      <c r="Q13">
        <f>IF(Backend!R40="", "", Backend!R40)</f>
        <v>0.45706259999999999</v>
      </c>
      <c r="R13">
        <f>IF(Backend!S40="", "", Backend!S40)</f>
        <v>0.58891152999999996</v>
      </c>
      <c r="S13">
        <f>IF(Backend!T40="", "", Backend!T40)</f>
        <v>-0.55031319999999995</v>
      </c>
      <c r="T13">
        <f>IF(Backend!U40="", "", Backend!U40)</f>
        <v>0.22529335</v>
      </c>
      <c r="U13">
        <f>IF(Backend!V40="", "", Backend!V40)</f>
        <v>0.22885660999999999</v>
      </c>
      <c r="V13">
        <f>IF(Backend!W40="", "", Backend!W40)</f>
        <v>0.18526403999999999</v>
      </c>
      <c r="W13">
        <f>IF(Backend!X40="", "", Backend!X40)</f>
        <v>0.5558708</v>
      </c>
      <c r="X13">
        <f>IF(Backend!Y40="", "", Backend!Y40)</f>
        <v>0.12809812000000001</v>
      </c>
      <c r="Y13">
        <f>IF(Backend!Z40="", "", Backend!Z40)</f>
        <v>0.4677539</v>
      </c>
      <c r="Z13">
        <f>IF(Backend!AA40="", "", Backend!AA40)</f>
        <v>-0.15248558000000001</v>
      </c>
      <c r="AA13">
        <f>IF(Backend!AB40="", "", Backend!AB40)</f>
        <v>6.6873244999999998E-2</v>
      </c>
      <c r="AB13">
        <f>IF(Backend!AC40="", "", Backend!AC40)</f>
        <v>-0.23671009000000001</v>
      </c>
      <c r="AC13">
        <f>IF(Backend!AD40="", "", Backend!AD40)</f>
        <v>0.14157227999999999</v>
      </c>
      <c r="AD13">
        <f>IF(Backend!AE40="", "", Backend!AE40)</f>
        <v>6.4540920000000002E-2</v>
      </c>
      <c r="AE13">
        <f>IF(Backend!AF40="", "", Backend!AF40)</f>
        <v>0.49108905000000003</v>
      </c>
      <c r="AF13">
        <f>IF(Backend!AG40="", "", Backend!AG40)</f>
        <v>0.5213428</v>
      </c>
      <c r="AG13">
        <f>IF(Backend!AH40="", "", Backend!AH40)</f>
        <v>-0.42037743</v>
      </c>
      <c r="AH13">
        <f>IF(Backend!AI40="", "", Backend!AI40)</f>
        <v>0.42920846000000001</v>
      </c>
      <c r="AI13">
        <f>IF(Backend!AJ40="", "", Backend!AJ40)</f>
        <v>4.1436794999999998E-2</v>
      </c>
      <c r="AJ13">
        <f>IF(Backend!AK40="", "", Backend!AK40)</f>
        <v>0.49208345999999997</v>
      </c>
      <c r="AK13">
        <f>IF(Backend!AL40="", "", Backend!AL40)</f>
        <v>0.10776427</v>
      </c>
      <c r="AL13">
        <f>IF(Backend!AM40="", "", Backend!AM40)</f>
        <v>0.16960604000000001</v>
      </c>
      <c r="AM13">
        <f>IF(Backend!AN40="", "", Backend!AN40)</f>
        <v>-0.17826337</v>
      </c>
      <c r="AN13">
        <f>IF(Backend!AO40="", "", Backend!AO40)</f>
        <v>3.9322666999999999E-2</v>
      </c>
      <c r="AO13">
        <f>IF(Backend!AP40="", "", Backend!AP40)</f>
        <v>0.45235908000000002</v>
      </c>
      <c r="AP13">
        <f>IF(Backend!AQ40="", "", Backend!AQ40)</f>
        <v>0.33295754</v>
      </c>
      <c r="AQ13">
        <f>IF(Backend!AR40="", "", Backend!AR40)</f>
        <v>0.20983270000000001</v>
      </c>
      <c r="AR13">
        <f>IF(Backend!AS40="", "", Backend!AS40)</f>
        <v>0.34377026999999999</v>
      </c>
      <c r="AS13">
        <f>IF(Backend!AT40="", "", Backend!AT40)</f>
        <v>0.61412339999999999</v>
      </c>
      <c r="AT13">
        <f>IF(Backend!AU40="", "", Backend!AU40)</f>
        <v>0.61081236999999999</v>
      </c>
      <c r="AU13">
        <f>IF(Backend!AV40="", "", Backend!AV40)</f>
        <v>0.34676129999999999</v>
      </c>
      <c r="AV13">
        <f>IF(Backend!AW40="", "", Backend!AW40)</f>
        <v>0.36151800000000001</v>
      </c>
      <c r="AW13">
        <f>IF(Backend!AX40="", "", Backend!AX40)</f>
        <v>-2.5120904999999999E-2</v>
      </c>
      <c r="AX13">
        <f>IF(Backend!AY40="", "", Backend!AY40)</f>
        <v>0.10643344</v>
      </c>
      <c r="AY13">
        <f>IF(Backend!AZ40="", "", Backend!AZ40)</f>
        <v>0.27583407999999998</v>
      </c>
      <c r="AZ13">
        <f>IF(Backend!BA40="", "", Backend!BA40)</f>
        <v>0.46951725999999999</v>
      </c>
      <c r="BA13">
        <f>IF(Backend!BB40="", "", Backend!BB40)</f>
        <v>0.55034125</v>
      </c>
      <c r="BB13">
        <f>IF(Backend!BC40="", "", Backend!BC40)</f>
        <v>0.12981219999999999</v>
      </c>
      <c r="BC13">
        <f>IF(Backend!BD40="", "", Backend!BD40)</f>
        <v>0.51482254000000005</v>
      </c>
      <c r="BD13">
        <f>IF(Backend!BE40="", "", Backend!BE40)</f>
        <v>0.27538273000000002</v>
      </c>
      <c r="BE13">
        <f>IF(Backend!BF40="", "", Backend!BF40)</f>
        <v>0.27007832999999998</v>
      </c>
      <c r="BF13">
        <f>IF(Backend!BG40="", "", Backend!BG40)</f>
        <v>0.2000826</v>
      </c>
      <c r="BG13">
        <f>IF(Backend!BH40="", "", Backend!BH40)</f>
        <v>0.56115939999999997</v>
      </c>
      <c r="BH13">
        <f>IF(Backend!BI40="", "", Backend!BI40)</f>
        <v>0.13136030000000001</v>
      </c>
      <c r="BI13" t="str">
        <f>IF(Backend!BJ40="", "", Backend!BJ40)</f>
        <v/>
      </c>
      <c r="BJ13" t="str">
        <f>IF(Backend!BK40="", "", Backend!BK40)</f>
        <v/>
      </c>
      <c r="BK13" t="str">
        <f>IF(Backend!BL40="", "", Backend!BL40)</f>
        <v/>
      </c>
      <c r="BL13" t="str">
        <f>IF(Backend!BM40="", "", Backend!BM40)</f>
        <v/>
      </c>
      <c r="BM13" t="str">
        <f>IF(Backend!BN40="", "", Backend!BN40)</f>
        <v/>
      </c>
      <c r="BN13" t="str">
        <f>IF(Backend!BO40="", "", Backend!BO40)</f>
        <v/>
      </c>
      <c r="BO13" t="str">
        <f>IF(Backend!BP40="", "", Backend!BP40)</f>
        <v/>
      </c>
      <c r="BP13" t="str">
        <f>IF(Backend!BQ40="", "", Backend!BQ40)</f>
        <v/>
      </c>
      <c r="BQ13" t="str">
        <f>IF(Backend!BR40="", "", Backend!BR40)</f>
        <v/>
      </c>
      <c r="BR13" t="str">
        <f>IF(Backend!BS40="", "", Backend!BS40)</f>
        <v/>
      </c>
      <c r="BS13" t="str">
        <f>IF(Backend!BT40="", "", Backend!BT40)</f>
        <v/>
      </c>
      <c r="BT13" t="str">
        <f>IF(Backend!BU40="", "", Backend!BU40)</f>
        <v/>
      </c>
      <c r="BU13" t="str">
        <f>IF(Backend!BV40="", "", Backend!BV40)</f>
        <v/>
      </c>
      <c r="BV13" t="str">
        <f>IF(Backend!BW40="", "", Backend!BW40)</f>
        <v/>
      </c>
      <c r="BW13" t="str">
        <f>IF(Backend!BX40="", "", Backend!BX40)</f>
        <v/>
      </c>
      <c r="BX13" t="str">
        <f>IF(Backend!BY40="", "", Backend!BY40)</f>
        <v/>
      </c>
      <c r="BY13" t="str">
        <f>IF(Backend!BZ40="", "", Backend!BZ40)</f>
        <v/>
      </c>
      <c r="BZ13" t="str">
        <f>IF(Backend!CA40="", "", Backend!CA40)</f>
        <v/>
      </c>
      <c r="CA13" t="str">
        <f>IF(Backend!CB40="", "", Backend!CB40)</f>
        <v/>
      </c>
      <c r="CB13" t="str">
        <f>IF(Backend!CC40="", "", Backend!CC40)</f>
        <v/>
      </c>
      <c r="CC13" t="str">
        <f>IF(Backend!CD40="", "", Backend!CD40)</f>
        <v/>
      </c>
    </row>
    <row r="14" spans="1:81" x14ac:dyDescent="0.25">
      <c r="A14" s="4" t="str">
        <f>IF(Backend!A41="", "", Backend!A41)</f>
        <v>Burberry Group plc</v>
      </c>
      <c r="B14">
        <f>IF(Backend!C41="", "", Backend!C41)</f>
        <v>0.57532066000000004</v>
      </c>
      <c r="C14">
        <f>IF(Backend!D41="", "", Backend!D41)</f>
        <v>0.48273053999999999</v>
      </c>
      <c r="D14">
        <f>IF(Backend!E41="", "", Backend!E41)</f>
        <v>0.60681739999999995</v>
      </c>
      <c r="E14">
        <f>IF(Backend!F41="", "", Backend!F41)</f>
        <v>0.76713662999999999</v>
      </c>
      <c r="F14">
        <f>IF(Backend!G41="", "", Backend!G41)</f>
        <v>0.41632627999999999</v>
      </c>
      <c r="G14">
        <f>IF(Backend!H41="", "", Backend!H41)</f>
        <v>0.74534400000000001</v>
      </c>
      <c r="H14">
        <f>IF(Backend!I41="", "", Backend!I41)</f>
        <v>0.50926079999999996</v>
      </c>
      <c r="I14">
        <f>IF(Backend!J41="", "", Backend!J41)</f>
        <v>0.85887800000000003</v>
      </c>
      <c r="J14">
        <f>IF(Backend!K41="", "", Backend!K41)</f>
        <v>0.64768029999999999</v>
      </c>
      <c r="K14">
        <f>IF(Backend!L41="", "", Backend!L41)</f>
        <v>5.6229952999999999E-2</v>
      </c>
      <c r="L14">
        <f>IF(Backend!M41="", "", Backend!M41)</f>
        <v>1</v>
      </c>
      <c r="M14">
        <f>IF(Backend!N41="", "", Backend!N41)</f>
        <v>0.70529810000000004</v>
      </c>
      <c r="N14">
        <f>IF(Backend!O41="", "", Backend!O41)</f>
        <v>0.45508018</v>
      </c>
      <c r="O14">
        <f>IF(Backend!P41="", "", Backend!P41)</f>
        <v>0.64223229999999998</v>
      </c>
      <c r="P14">
        <f>IF(Backend!Q41="", "", Backend!Q41)</f>
        <v>-0.38537017000000001</v>
      </c>
      <c r="Q14">
        <f>IF(Backend!R41="", "", Backend!R41)</f>
        <v>-0.15621120999999999</v>
      </c>
      <c r="R14">
        <f>IF(Backend!S41="", "", Backend!S41)</f>
        <v>0.59262513999999999</v>
      </c>
      <c r="S14">
        <f>IF(Backend!T41="", "", Backend!T41)</f>
        <v>-1.2500918999999999E-2</v>
      </c>
      <c r="T14">
        <f>IF(Backend!U41="", "", Backend!U41)</f>
        <v>0.21769833999999999</v>
      </c>
      <c r="U14">
        <f>IF(Backend!V41="", "", Backend!V41)</f>
        <v>-0.52413153999999995</v>
      </c>
      <c r="V14">
        <f>IF(Backend!W41="", "", Backend!W41)</f>
        <v>0.56874245000000001</v>
      </c>
      <c r="W14">
        <f>IF(Backend!X41="", "", Backend!X41)</f>
        <v>-0.61038214000000002</v>
      </c>
      <c r="X14">
        <f>IF(Backend!Y41="", "", Backend!Y41)</f>
        <v>0.84900993000000002</v>
      </c>
      <c r="Y14">
        <f>IF(Backend!Z41="", "", Backend!Z41)</f>
        <v>-0.3320845</v>
      </c>
      <c r="Z14">
        <f>IF(Backend!AA41="", "", Backend!AA41)</f>
        <v>0.59240009999999999</v>
      </c>
      <c r="AA14">
        <f>IF(Backend!AB41="", "", Backend!AB41)</f>
        <v>0.75460349999999998</v>
      </c>
      <c r="AB14">
        <f>IF(Backend!AC41="", "", Backend!AC41)</f>
        <v>0.41956005000000002</v>
      </c>
      <c r="AC14">
        <f>IF(Backend!AD41="", "", Backend!AD41)</f>
        <v>0.28294923999999999</v>
      </c>
      <c r="AD14">
        <f>IF(Backend!AE41="", "", Backend!AE41)</f>
        <v>0.67038136999999998</v>
      </c>
      <c r="AE14">
        <f>IF(Backend!AF41="", "", Backend!AF41)</f>
        <v>0.17302242000000001</v>
      </c>
      <c r="AF14">
        <f>IF(Backend!AG41="", "", Backend!AG41)</f>
        <v>0.24884547000000001</v>
      </c>
      <c r="AG14">
        <f>IF(Backend!AH41="", "", Backend!AH41)</f>
        <v>-0.14356431</v>
      </c>
      <c r="AH14">
        <f>IF(Backend!AI41="", "", Backend!AI41)</f>
        <v>-0.57712185000000005</v>
      </c>
      <c r="AI14">
        <f>IF(Backend!AJ41="", "", Backend!AJ41)</f>
        <v>-0.20563551999999999</v>
      </c>
      <c r="AJ14">
        <f>IF(Backend!AK41="", "", Backend!AK41)</f>
        <v>-0.62151909999999999</v>
      </c>
      <c r="AK14">
        <f>IF(Backend!AL41="", "", Backend!AL41)</f>
        <v>0.63285690000000006</v>
      </c>
      <c r="AL14">
        <f>IF(Backend!AM41="", "", Backend!AM41)</f>
        <v>0.67017380000000004</v>
      </c>
      <c r="AM14">
        <f>IF(Backend!AN41="", "", Backend!AN41)</f>
        <v>-6.6215195000000004E-2</v>
      </c>
      <c r="AN14">
        <f>IF(Backend!AO41="", "", Backend!AO41)</f>
        <v>0.85553305999999996</v>
      </c>
      <c r="AO14">
        <f>IF(Backend!AP41="", "", Backend!AP41)</f>
        <v>0.56070419999999999</v>
      </c>
      <c r="AP14">
        <f>IF(Backend!AQ41="", "", Backend!AQ41)</f>
        <v>0.53204399999999996</v>
      </c>
      <c r="AQ14">
        <f>IF(Backend!AR41="", "", Backend!AR41)</f>
        <v>-4.0347849999999998E-2</v>
      </c>
      <c r="AR14">
        <f>IF(Backend!AS41="", "", Backend!AS41)</f>
        <v>0.59775100000000003</v>
      </c>
      <c r="AS14">
        <f>IF(Backend!AT41="", "", Backend!AT41)</f>
        <v>-0.47899459999999999</v>
      </c>
      <c r="AT14">
        <f>IF(Backend!AU41="", "", Backend!AU41)</f>
        <v>-0.26050600000000002</v>
      </c>
      <c r="AU14">
        <f>IF(Backend!AV41="", "", Backend!AV41)</f>
        <v>-0.54459685000000002</v>
      </c>
      <c r="AV14">
        <f>IF(Backend!AW41="", "", Backend!AW41)</f>
        <v>0.50824179999999997</v>
      </c>
      <c r="AW14">
        <f>IF(Backend!AX41="", "", Backend!AX41)</f>
        <v>0.90112924999999999</v>
      </c>
      <c r="AX14">
        <f>IF(Backend!AY41="", "", Backend!AY41)</f>
        <v>0.36925999999999998</v>
      </c>
      <c r="AY14">
        <f>IF(Backend!AZ41="", "", Backend!AZ41)</f>
        <v>-6.7703009999999994E-2</v>
      </c>
      <c r="AZ14">
        <f>IF(Backend!BA41="", "", Backend!BA41)</f>
        <v>0.61610323</v>
      </c>
      <c r="BA14">
        <f>IF(Backend!BB41="", "", Backend!BB41)</f>
        <v>0.28456765000000001</v>
      </c>
      <c r="BB14">
        <f>IF(Backend!BC41="", "", Backend!BC41)</f>
        <v>0.34441787000000001</v>
      </c>
      <c r="BC14">
        <f>IF(Backend!BD41="", "", Backend!BD41)</f>
        <v>0.57124830000000004</v>
      </c>
      <c r="BD14">
        <f>IF(Backend!BE41="", "", Backend!BE41)</f>
        <v>0.67101710000000003</v>
      </c>
      <c r="BE14">
        <f>IF(Backend!BF41="", "", Backend!BF41)</f>
        <v>0.80917340000000004</v>
      </c>
      <c r="BF14">
        <f>IF(Backend!BG41="", "", Backend!BG41)</f>
        <v>0.57070589999999999</v>
      </c>
      <c r="BG14">
        <f>IF(Backend!BH41="", "", Backend!BH41)</f>
        <v>0.24681992999999999</v>
      </c>
      <c r="BH14">
        <f>IF(Backend!BI41="", "", Backend!BI41)</f>
        <v>0.58794550000000001</v>
      </c>
      <c r="BI14" t="str">
        <f>IF(Backend!BJ41="", "", Backend!BJ41)</f>
        <v/>
      </c>
      <c r="BJ14" t="str">
        <f>IF(Backend!BK41="", "", Backend!BK41)</f>
        <v/>
      </c>
      <c r="BK14" t="str">
        <f>IF(Backend!BL41="", "", Backend!BL41)</f>
        <v/>
      </c>
      <c r="BL14" t="str">
        <f>IF(Backend!BM41="", "", Backend!BM41)</f>
        <v/>
      </c>
      <c r="BM14" t="str">
        <f>IF(Backend!BN41="", "", Backend!BN41)</f>
        <v/>
      </c>
      <c r="BN14" t="str">
        <f>IF(Backend!BO41="", "", Backend!BO41)</f>
        <v/>
      </c>
      <c r="BO14" t="str">
        <f>IF(Backend!BP41="", "", Backend!BP41)</f>
        <v/>
      </c>
      <c r="BP14" t="str">
        <f>IF(Backend!BQ41="", "", Backend!BQ41)</f>
        <v/>
      </c>
      <c r="BQ14" t="str">
        <f>IF(Backend!BR41="", "", Backend!BR41)</f>
        <v/>
      </c>
      <c r="BR14" t="str">
        <f>IF(Backend!BS41="", "", Backend!BS41)</f>
        <v/>
      </c>
      <c r="BS14" t="str">
        <f>IF(Backend!BT41="", "", Backend!BT41)</f>
        <v/>
      </c>
      <c r="BT14" t="str">
        <f>IF(Backend!BU41="", "", Backend!BU41)</f>
        <v/>
      </c>
      <c r="BU14" t="str">
        <f>IF(Backend!BV41="", "", Backend!BV41)</f>
        <v/>
      </c>
      <c r="BV14" t="str">
        <f>IF(Backend!BW41="", "", Backend!BW41)</f>
        <v/>
      </c>
      <c r="BW14" t="str">
        <f>IF(Backend!BX41="", "", Backend!BX41)</f>
        <v/>
      </c>
      <c r="BX14" t="str">
        <f>IF(Backend!BY41="", "", Backend!BY41)</f>
        <v/>
      </c>
      <c r="BY14" t="str">
        <f>IF(Backend!BZ41="", "", Backend!BZ41)</f>
        <v/>
      </c>
      <c r="BZ14" t="str">
        <f>IF(Backend!CA41="", "", Backend!CA41)</f>
        <v/>
      </c>
      <c r="CA14" t="str">
        <f>IF(Backend!CB41="", "", Backend!CB41)</f>
        <v/>
      </c>
      <c r="CB14" t="str">
        <f>IF(Backend!CC41="", "", Backend!CC41)</f>
        <v/>
      </c>
      <c r="CC14" t="str">
        <f>IF(Backend!CD41="", "", Backend!CD41)</f>
        <v/>
      </c>
    </row>
    <row r="15" spans="1:81" x14ac:dyDescent="0.25">
      <c r="A15" s="4" t="str">
        <f>IF(Backend!A42="", "", Backend!A42)</f>
        <v>Carrefour SA</v>
      </c>
      <c r="B15">
        <f>IF(Backend!C42="", "", Backend!C42)</f>
        <v>0.57282679999999997</v>
      </c>
      <c r="C15">
        <f>IF(Backend!D42="", "", Backend!D42)</f>
        <v>0.53702223000000004</v>
      </c>
      <c r="D15">
        <f>IF(Backend!E42="", "", Backend!E42)</f>
        <v>0.53363309999999997</v>
      </c>
      <c r="E15">
        <f>IF(Backend!F42="", "", Backend!F42)</f>
        <v>0.63800937000000002</v>
      </c>
      <c r="F15">
        <f>IF(Backend!G42="", "", Backend!G42)</f>
        <v>0.26517570000000001</v>
      </c>
      <c r="G15">
        <f>IF(Backend!H42="", "", Backend!H42)</f>
        <v>0.66543293000000003</v>
      </c>
      <c r="H15">
        <f>IF(Backend!I42="", "", Backend!I42)</f>
        <v>0.44921470000000002</v>
      </c>
      <c r="I15">
        <f>IF(Backend!J42="", "", Backend!J42)</f>
        <v>0.78623253000000004</v>
      </c>
      <c r="J15">
        <f>IF(Backend!K42="", "", Backend!K42)</f>
        <v>0.51530109999999996</v>
      </c>
      <c r="K15">
        <f>IF(Backend!L42="", "", Backend!L42)</f>
        <v>6.0745697000000001E-2</v>
      </c>
      <c r="L15">
        <f>IF(Backend!M42="", "", Backend!M42)</f>
        <v>0.70529810000000004</v>
      </c>
      <c r="M15">
        <f>IF(Backend!N42="", "", Backend!N42)</f>
        <v>1</v>
      </c>
      <c r="N15">
        <f>IF(Backend!O42="", "", Backend!O42)</f>
        <v>0.31673259999999998</v>
      </c>
      <c r="O15">
        <f>IF(Backend!P42="", "", Backend!P42)</f>
        <v>0.75121503999999995</v>
      </c>
      <c r="P15">
        <f>IF(Backend!Q42="", "", Backend!Q42)</f>
        <v>-0.1818526</v>
      </c>
      <c r="Q15">
        <f>IF(Backend!R42="", "", Backend!R42)</f>
        <v>0.21885234000000001</v>
      </c>
      <c r="R15">
        <f>IF(Backend!S42="", "", Backend!S42)</f>
        <v>0.45704456999999998</v>
      </c>
      <c r="S15">
        <f>IF(Backend!T42="", "", Backend!T42)</f>
        <v>0.21155560000000001</v>
      </c>
      <c r="T15">
        <f>IF(Backend!U42="", "", Backend!U42)</f>
        <v>0.27703847999999998</v>
      </c>
      <c r="U15">
        <f>IF(Backend!V42="", "", Backend!V42)</f>
        <v>-0.46115792</v>
      </c>
      <c r="V15">
        <f>IF(Backend!W42="", "", Backend!W42)</f>
        <v>0.62372863000000001</v>
      </c>
      <c r="W15">
        <f>IF(Backend!X42="", "", Backend!X42)</f>
        <v>-0.54939590000000005</v>
      </c>
      <c r="X15">
        <f>IF(Backend!Y42="", "", Backend!Y42)</f>
        <v>0.71268432999999998</v>
      </c>
      <c r="Y15">
        <f>IF(Backend!Z42="", "", Backend!Z42)</f>
        <v>-0.38324629999999998</v>
      </c>
      <c r="Z15">
        <f>IF(Backend!AA42="", "", Backend!AA42)</f>
        <v>0.73540530000000004</v>
      </c>
      <c r="AA15">
        <f>IF(Backend!AB42="", "", Backend!AB42)</f>
        <v>0.70450809999999997</v>
      </c>
      <c r="AB15">
        <f>IF(Backend!AC42="", "", Backend!AC42)</f>
        <v>0.67654740000000002</v>
      </c>
      <c r="AC15">
        <f>IF(Backend!AD42="", "", Backend!AD42)</f>
        <v>0.41962012999999998</v>
      </c>
      <c r="AD15">
        <f>IF(Backend!AE42="", "", Backend!AE42)</f>
        <v>0.72418236999999996</v>
      </c>
      <c r="AE15">
        <f>IF(Backend!AF42="", "", Backend!AF42)</f>
        <v>0.30819982000000001</v>
      </c>
      <c r="AF15">
        <f>IF(Backend!AG42="", "", Backend!AG42)</f>
        <v>0.30774167000000002</v>
      </c>
      <c r="AG15">
        <f>IF(Backend!AH42="", "", Backend!AH42)</f>
        <v>1.8686580000000001E-2</v>
      </c>
      <c r="AH15">
        <f>IF(Backend!AI42="", "", Backend!AI42)</f>
        <v>-0.64696544</v>
      </c>
      <c r="AI15">
        <f>IF(Backend!AJ42="", "", Backend!AJ42)</f>
        <v>-0.14008239</v>
      </c>
      <c r="AJ15">
        <f>IF(Backend!AK42="", "", Backend!AK42)</f>
        <v>-0.60972570000000004</v>
      </c>
      <c r="AK15">
        <f>IF(Backend!AL42="", "", Backend!AL42)</f>
        <v>0.61346524999999996</v>
      </c>
      <c r="AL15">
        <f>IF(Backend!AM42="", "", Backend!AM42)</f>
        <v>0.62721660000000001</v>
      </c>
      <c r="AM15">
        <f>IF(Backend!AN42="", "", Backend!AN42)</f>
        <v>2.7950230999999999E-2</v>
      </c>
      <c r="AN15">
        <f>IF(Backend!AO42="", "", Backend!AO42)</f>
        <v>0.73466109999999996</v>
      </c>
      <c r="AO15">
        <f>IF(Backend!AP42="", "", Backend!AP42)</f>
        <v>0.55911829999999996</v>
      </c>
      <c r="AP15">
        <f>IF(Backend!AQ42="", "", Backend!AQ42)</f>
        <v>0.59057939999999998</v>
      </c>
      <c r="AQ15">
        <f>IF(Backend!AR42="", "", Backend!AR42)</f>
        <v>0.2580133</v>
      </c>
      <c r="AR15">
        <f>IF(Backend!AS42="", "", Backend!AS42)</f>
        <v>0.55222905</v>
      </c>
      <c r="AS15">
        <f>IF(Backend!AT42="", "", Backend!AT42)</f>
        <v>-0.43396318</v>
      </c>
      <c r="AT15">
        <f>IF(Backend!AU42="", "", Backend!AU42)</f>
        <v>-0.38892280000000001</v>
      </c>
      <c r="AU15">
        <f>IF(Backend!AV42="", "", Backend!AV42)</f>
        <v>-0.64496609999999999</v>
      </c>
      <c r="AV15">
        <f>IF(Backend!AW42="", "", Backend!AW42)</f>
        <v>0.54554320000000001</v>
      </c>
      <c r="AW15">
        <f>IF(Backend!AX42="", "", Backend!AX42)</f>
        <v>0.80201149999999999</v>
      </c>
      <c r="AX15">
        <f>IF(Backend!AY42="", "", Backend!AY42)</f>
        <v>0.57999973999999999</v>
      </c>
      <c r="AY15">
        <f>IF(Backend!AZ42="", "", Backend!AZ42)</f>
        <v>-8.5293859999999999E-2</v>
      </c>
      <c r="AZ15">
        <f>IF(Backend!BA42="", "", Backend!BA42)</f>
        <v>0.62226749999999997</v>
      </c>
      <c r="BA15">
        <f>IF(Backend!BB42="", "", Backend!BB42)</f>
        <v>0.33347033999999998</v>
      </c>
      <c r="BB15">
        <f>IF(Backend!BC42="", "", Backend!BC42)</f>
        <v>0.30512357000000001</v>
      </c>
      <c r="BC15">
        <f>IF(Backend!BD42="", "", Backend!BD42)</f>
        <v>0.53237809999999997</v>
      </c>
      <c r="BD15">
        <f>IF(Backend!BE42="", "", Backend!BE42)</f>
        <v>0.59127516000000002</v>
      </c>
      <c r="BE15">
        <f>IF(Backend!BF42="", "", Backend!BF42)</f>
        <v>0.71312034000000002</v>
      </c>
      <c r="BF15">
        <f>IF(Backend!BG42="", "", Backend!BG42)</f>
        <v>0.57521575999999996</v>
      </c>
      <c r="BG15">
        <f>IF(Backend!BH42="", "", Backend!BH42)</f>
        <v>0.29735145000000002</v>
      </c>
      <c r="BH15">
        <f>IF(Backend!BI42="", "", Backend!BI42)</f>
        <v>0.71097429999999995</v>
      </c>
      <c r="BI15" t="str">
        <f>IF(Backend!BJ42="", "", Backend!BJ42)</f>
        <v/>
      </c>
      <c r="BJ15" t="str">
        <f>IF(Backend!BK42="", "", Backend!BK42)</f>
        <v/>
      </c>
      <c r="BK15" t="str">
        <f>IF(Backend!BL42="", "", Backend!BL42)</f>
        <v/>
      </c>
      <c r="BL15" t="str">
        <f>IF(Backend!BM42="", "", Backend!BM42)</f>
        <v/>
      </c>
      <c r="BM15" t="str">
        <f>IF(Backend!BN42="", "", Backend!BN42)</f>
        <v/>
      </c>
      <c r="BN15" t="str">
        <f>IF(Backend!BO42="", "", Backend!BO42)</f>
        <v/>
      </c>
      <c r="BO15" t="str">
        <f>IF(Backend!BP42="", "", Backend!BP42)</f>
        <v/>
      </c>
      <c r="BP15" t="str">
        <f>IF(Backend!BQ42="", "", Backend!BQ42)</f>
        <v/>
      </c>
      <c r="BQ15" t="str">
        <f>IF(Backend!BR42="", "", Backend!BR42)</f>
        <v/>
      </c>
      <c r="BR15" t="str">
        <f>IF(Backend!BS42="", "", Backend!BS42)</f>
        <v/>
      </c>
      <c r="BS15" t="str">
        <f>IF(Backend!BT42="", "", Backend!BT42)</f>
        <v/>
      </c>
      <c r="BT15" t="str">
        <f>IF(Backend!BU42="", "", Backend!BU42)</f>
        <v/>
      </c>
      <c r="BU15" t="str">
        <f>IF(Backend!BV42="", "", Backend!BV42)</f>
        <v/>
      </c>
      <c r="BV15" t="str">
        <f>IF(Backend!BW42="", "", Backend!BW42)</f>
        <v/>
      </c>
      <c r="BW15" t="str">
        <f>IF(Backend!BX42="", "", Backend!BX42)</f>
        <v/>
      </c>
      <c r="BX15" t="str">
        <f>IF(Backend!BY42="", "", Backend!BY42)</f>
        <v/>
      </c>
      <c r="BY15" t="str">
        <f>IF(Backend!BZ42="", "", Backend!BZ42)</f>
        <v/>
      </c>
      <c r="BZ15" t="str">
        <f>IF(Backend!CA42="", "", Backend!CA42)</f>
        <v/>
      </c>
      <c r="CA15" t="str">
        <f>IF(Backend!CB42="", "", Backend!CB42)</f>
        <v/>
      </c>
      <c r="CB15" t="str">
        <f>IF(Backend!CC42="", "", Backend!CC42)</f>
        <v/>
      </c>
      <c r="CC15" t="str">
        <f>IF(Backend!CD42="", "", Backend!CD42)</f>
        <v/>
      </c>
    </row>
    <row r="16" spans="1:81" x14ac:dyDescent="0.25">
      <c r="A16" s="4" t="str">
        <f>IF(Backend!A43="", "", Backend!A43)</f>
        <v>Continental AG</v>
      </c>
      <c r="B16">
        <f>IF(Backend!C43="", "", Backend!C43)</f>
        <v>0.83669864999999999</v>
      </c>
      <c r="C16">
        <f>IF(Backend!D43="", "", Backend!D43)</f>
        <v>0.34783396</v>
      </c>
      <c r="D16">
        <f>IF(Backend!E43="", "", Backend!E43)</f>
        <v>0.72749185999999999</v>
      </c>
      <c r="E16">
        <f>IF(Backend!F43="", "", Backend!F43)</f>
        <v>0.70973830000000004</v>
      </c>
      <c r="F16">
        <f>IF(Backend!G43="", "", Backend!G43)</f>
        <v>0.78223759999999998</v>
      </c>
      <c r="G16">
        <f>IF(Backend!H43="", "", Backend!H43)</f>
        <v>0.63175219999999999</v>
      </c>
      <c r="H16">
        <f>IF(Backend!I43="", "", Backend!I43)</f>
        <v>0.9136647</v>
      </c>
      <c r="I16">
        <f>IF(Backend!J43="", "", Backend!J43)</f>
        <v>0.41899955</v>
      </c>
      <c r="J16">
        <f>IF(Backend!K43="", "", Backend!K43)</f>
        <v>2.1786638000000001E-2</v>
      </c>
      <c r="K16">
        <f>IF(Backend!L43="", "", Backend!L43)</f>
        <v>0.39426201999999999</v>
      </c>
      <c r="L16">
        <f>IF(Backend!M43="", "", Backend!M43)</f>
        <v>0.45508018</v>
      </c>
      <c r="M16">
        <f>IF(Backend!N43="", "", Backend!N43)</f>
        <v>0.31673259999999998</v>
      </c>
      <c r="N16">
        <f>IF(Backend!O43="", "", Backend!O43)</f>
        <v>1</v>
      </c>
      <c r="O16">
        <f>IF(Backend!P43="", "", Backend!P43)</f>
        <v>0.22474833</v>
      </c>
      <c r="P16">
        <f>IF(Backend!Q43="", "", Backend!Q43)</f>
        <v>-0.4435981</v>
      </c>
      <c r="Q16">
        <f>IF(Backend!R43="", "", Backend!R43)</f>
        <v>0.1851585</v>
      </c>
      <c r="R16">
        <f>IF(Backend!S43="", "", Backend!S43)</f>
        <v>0.80442060000000004</v>
      </c>
      <c r="S16">
        <f>IF(Backend!T43="", "", Backend!T43)</f>
        <v>-0.67444990000000005</v>
      </c>
      <c r="T16">
        <f>IF(Backend!U43="", "", Backend!U43)</f>
        <v>0.66433010000000003</v>
      </c>
      <c r="U16">
        <f>IF(Backend!V43="", "", Backend!V43)</f>
        <v>-0.30883347999999999</v>
      </c>
      <c r="V16">
        <f>IF(Backend!W43="", "", Backend!W43)</f>
        <v>0.73333789999999999</v>
      </c>
      <c r="W16">
        <f>IF(Backend!X43="", "", Backend!X43)</f>
        <v>-1.7451923000000001E-2</v>
      </c>
      <c r="X16">
        <f>IF(Backend!Y43="", "", Backend!Y43)</f>
        <v>0.67450710000000003</v>
      </c>
      <c r="Y16">
        <f>IF(Backend!Z43="", "", Backend!Z43)</f>
        <v>-2.6797779000000001E-2</v>
      </c>
      <c r="Z16">
        <f>IF(Backend!AA43="", "", Backend!AA43)</f>
        <v>0.12063544</v>
      </c>
      <c r="AA16">
        <f>IF(Backend!AB43="", "", Backend!AB43)</f>
        <v>0.60656019999999999</v>
      </c>
      <c r="AB16">
        <f>IF(Backend!AC43="", "", Backend!AC43)</f>
        <v>0.16917206000000001</v>
      </c>
      <c r="AC16">
        <f>IF(Backend!AD43="", "", Backend!AD43)</f>
        <v>-1.1176639E-2</v>
      </c>
      <c r="AD16">
        <f>IF(Backend!AE43="", "", Backend!AE43)</f>
        <v>0.52652449999999995</v>
      </c>
      <c r="AE16">
        <f>IF(Backend!AF43="", "", Backend!AF43)</f>
        <v>0.76259560000000004</v>
      </c>
      <c r="AF16">
        <f>IF(Backend!AG43="", "", Backend!AG43)</f>
        <v>0.70098260000000001</v>
      </c>
      <c r="AG16">
        <f>IF(Backend!AH43="", "", Backend!AH43)</f>
        <v>-0.40884006000000001</v>
      </c>
      <c r="AH16">
        <f>IF(Backend!AI43="", "", Backend!AI43)</f>
        <v>-0.21507536999999999</v>
      </c>
      <c r="AI16">
        <f>IF(Backend!AJ43="", "", Backend!AJ43)</f>
        <v>-0.44010872000000001</v>
      </c>
      <c r="AJ16">
        <f>IF(Backend!AK43="", "", Backend!AK43)</f>
        <v>6.5620999999999999E-2</v>
      </c>
      <c r="AK16">
        <f>IF(Backend!AL43="", "", Backend!AL43)</f>
        <v>0.10881639999999999</v>
      </c>
      <c r="AL16">
        <f>IF(Backend!AM43="", "", Backend!AM43)</f>
        <v>0.74674755000000004</v>
      </c>
      <c r="AM16">
        <f>IF(Backend!AN43="", "", Backend!AN43)</f>
        <v>-0.44570496999999998</v>
      </c>
      <c r="AN16">
        <f>IF(Backend!AO43="", "", Backend!AO43)</f>
        <v>0.57618946000000004</v>
      </c>
      <c r="AO16">
        <f>IF(Backend!AP43="", "", Backend!AP43)</f>
        <v>0.5656736</v>
      </c>
      <c r="AP16">
        <f>IF(Backend!AQ43="", "", Backend!AQ43)</f>
        <v>0.73859023999999995</v>
      </c>
      <c r="AQ16">
        <f>IF(Backend!AR43="", "", Backend!AR43)</f>
        <v>7.1051984999999998E-2</v>
      </c>
      <c r="AR16">
        <f>IF(Backend!AS43="", "", Backend!AS43)</f>
        <v>0.59848045999999999</v>
      </c>
      <c r="AS16">
        <f>IF(Backend!AT43="", "", Backend!AT43)</f>
        <v>0.10443663</v>
      </c>
      <c r="AT16">
        <f>IF(Backend!AU43="", "", Backend!AU43)</f>
        <v>0.13463041000000001</v>
      </c>
      <c r="AU16">
        <f>IF(Backend!AV43="", "", Backend!AV43)</f>
        <v>-0.21913247999999999</v>
      </c>
      <c r="AV16">
        <f>IF(Backend!AW43="", "", Backend!AW43)</f>
        <v>0.81394224999999998</v>
      </c>
      <c r="AW16">
        <f>IF(Backend!AX43="", "", Backend!AX43)</f>
        <v>0.40688202000000001</v>
      </c>
      <c r="AX16">
        <f>IF(Backend!AY43="", "", Backend!AY43)</f>
        <v>0.11304308</v>
      </c>
      <c r="AY16">
        <f>IF(Backend!AZ43="", "", Backend!AZ43)</f>
        <v>0.60178399999999999</v>
      </c>
      <c r="AZ16">
        <f>IF(Backend!BA43="", "", Backend!BA43)</f>
        <v>0.54511577</v>
      </c>
      <c r="BA16">
        <f>IF(Backend!BB43="", "", Backend!BB43)</f>
        <v>0.77343655</v>
      </c>
      <c r="BB16">
        <f>IF(Backend!BC43="", "", Backend!BC43)</f>
        <v>0.73421395</v>
      </c>
      <c r="BC16">
        <f>IF(Backend!BD43="", "", Backend!BD43)</f>
        <v>0.70606469999999999</v>
      </c>
      <c r="BD16">
        <f>IF(Backend!BE43="", "", Backend!BE43)</f>
        <v>0.82040584000000005</v>
      </c>
      <c r="BE16">
        <f>IF(Backend!BF43="", "", Backend!BF43)</f>
        <v>0.59097370000000005</v>
      </c>
      <c r="BF16">
        <f>IF(Backend!BG43="", "", Backend!BG43)</f>
        <v>0.72179760000000004</v>
      </c>
      <c r="BG16">
        <f>IF(Backend!BH43="", "", Backend!BH43)</f>
        <v>0.45147567999999999</v>
      </c>
      <c r="BH16">
        <f>IF(Backend!BI43="", "", Backend!BI43)</f>
        <v>0.40337709999999999</v>
      </c>
      <c r="BI16" t="str">
        <f>IF(Backend!BJ43="", "", Backend!BJ43)</f>
        <v/>
      </c>
      <c r="BJ16" t="str">
        <f>IF(Backend!BK43="", "", Backend!BK43)</f>
        <v/>
      </c>
      <c r="BK16" t="str">
        <f>IF(Backend!BL43="", "", Backend!BL43)</f>
        <v/>
      </c>
      <c r="BL16" t="str">
        <f>IF(Backend!BM43="", "", Backend!BM43)</f>
        <v/>
      </c>
      <c r="BM16" t="str">
        <f>IF(Backend!BN43="", "", Backend!BN43)</f>
        <v/>
      </c>
      <c r="BN16" t="str">
        <f>IF(Backend!BO43="", "", Backend!BO43)</f>
        <v/>
      </c>
      <c r="BO16" t="str">
        <f>IF(Backend!BP43="", "", Backend!BP43)</f>
        <v/>
      </c>
      <c r="BP16" t="str">
        <f>IF(Backend!BQ43="", "", Backend!BQ43)</f>
        <v/>
      </c>
      <c r="BQ16" t="str">
        <f>IF(Backend!BR43="", "", Backend!BR43)</f>
        <v/>
      </c>
      <c r="BR16" t="str">
        <f>IF(Backend!BS43="", "", Backend!BS43)</f>
        <v/>
      </c>
      <c r="BS16" t="str">
        <f>IF(Backend!BT43="", "", Backend!BT43)</f>
        <v/>
      </c>
      <c r="BT16" t="str">
        <f>IF(Backend!BU43="", "", Backend!BU43)</f>
        <v/>
      </c>
      <c r="BU16" t="str">
        <f>IF(Backend!BV43="", "", Backend!BV43)</f>
        <v/>
      </c>
      <c r="BV16" t="str">
        <f>IF(Backend!BW43="", "", Backend!BW43)</f>
        <v/>
      </c>
      <c r="BW16" t="str">
        <f>IF(Backend!BX43="", "", Backend!BX43)</f>
        <v/>
      </c>
      <c r="BX16" t="str">
        <f>IF(Backend!BY43="", "", Backend!BY43)</f>
        <v/>
      </c>
      <c r="BY16" t="str">
        <f>IF(Backend!BZ43="", "", Backend!BZ43)</f>
        <v/>
      </c>
      <c r="BZ16" t="str">
        <f>IF(Backend!CA43="", "", Backend!CA43)</f>
        <v/>
      </c>
      <c r="CA16" t="str">
        <f>IF(Backend!CB43="", "", Backend!CB43)</f>
        <v/>
      </c>
      <c r="CB16" t="str">
        <f>IF(Backend!CC43="", "", Backend!CC43)</f>
        <v/>
      </c>
      <c r="CC16" t="str">
        <f>IF(Backend!CD43="", "", Backend!CD43)</f>
        <v/>
      </c>
    </row>
    <row r="17" spans="1:81" x14ac:dyDescent="0.25">
      <c r="A17" s="4" t="str">
        <f>IF(Backend!A44="", "", Backend!A44)</f>
        <v>Dentsu Group Inc.</v>
      </c>
      <c r="B17">
        <f>IF(Backend!C44="", "", Backend!C44)</f>
        <v>0.48854488000000001</v>
      </c>
      <c r="C17">
        <f>IF(Backend!D44="", "", Backend!D44)</f>
        <v>0.55299056000000002</v>
      </c>
      <c r="D17">
        <f>IF(Backend!E44="", "", Backend!E44)</f>
        <v>0.63082813999999998</v>
      </c>
      <c r="E17">
        <f>IF(Backend!F44="", "", Backend!F44)</f>
        <v>0.70033646000000005</v>
      </c>
      <c r="F17">
        <f>IF(Backend!G44="", "", Backend!G44)</f>
        <v>0.25793423999999998</v>
      </c>
      <c r="G17">
        <f>IF(Backend!H44="", "", Backend!H44)</f>
        <v>0.66294120000000001</v>
      </c>
      <c r="H17">
        <f>IF(Backend!I44="", "", Backend!I44)</f>
        <v>0.38986032999999998</v>
      </c>
      <c r="I17">
        <f>IF(Backend!J44="", "", Backend!J44)</f>
        <v>0.79658819999999997</v>
      </c>
      <c r="J17">
        <f>IF(Backend!K44="", "", Backend!K44)</f>
        <v>0.68108754999999999</v>
      </c>
      <c r="K17">
        <f>IF(Backend!L44="", "", Backend!L44)</f>
        <v>-2.1939317E-2</v>
      </c>
      <c r="L17">
        <f>IF(Backend!M44="", "", Backend!M44)</f>
        <v>0.64223229999999998</v>
      </c>
      <c r="M17">
        <f>IF(Backend!N44="", "", Backend!N44)</f>
        <v>0.75121503999999995</v>
      </c>
      <c r="N17">
        <f>IF(Backend!O44="", "", Backend!O44)</f>
        <v>0.22474833</v>
      </c>
      <c r="O17">
        <f>IF(Backend!P44="", "", Backend!P44)</f>
        <v>1</v>
      </c>
      <c r="P17">
        <f>IF(Backend!Q44="", "", Backend!Q44)</f>
        <v>-0.48810634000000003</v>
      </c>
      <c r="Q17">
        <f>IF(Backend!R44="", "", Backend!R44)</f>
        <v>0.107561834</v>
      </c>
      <c r="R17">
        <f>IF(Backend!S44="", "", Backend!S44)</f>
        <v>0.46850209999999998</v>
      </c>
      <c r="S17">
        <f>IF(Backend!T44="", "", Backend!T44)</f>
        <v>0.14800717999999999</v>
      </c>
      <c r="T17">
        <f>IF(Backend!U44="", "", Backend!U44)</f>
        <v>0.22077666000000001</v>
      </c>
      <c r="U17">
        <f>IF(Backend!V44="", "", Backend!V44)</f>
        <v>-0.59374199999999999</v>
      </c>
      <c r="V17">
        <f>IF(Backend!W44="", "", Backend!W44)</f>
        <v>0.58017390000000002</v>
      </c>
      <c r="W17">
        <f>IF(Backend!X44="", "", Backend!X44)</f>
        <v>-0.6132668</v>
      </c>
      <c r="X17">
        <f>IF(Backend!Y44="", "", Backend!Y44)</f>
        <v>0.74853842999999998</v>
      </c>
      <c r="Y17">
        <f>IF(Backend!Z44="", "", Backend!Z44)</f>
        <v>-0.57678925999999997</v>
      </c>
      <c r="Z17">
        <f>IF(Backend!AA44="", "", Backend!AA44)</f>
        <v>0.75374322999999999</v>
      </c>
      <c r="AA17">
        <f>IF(Backend!AB44="", "", Backend!AB44)</f>
        <v>0.703399</v>
      </c>
      <c r="AB17">
        <f>IF(Backend!AC44="", "", Backend!AC44)</f>
        <v>0.70249689999999998</v>
      </c>
      <c r="AC17">
        <f>IF(Backend!AD44="", "", Backend!AD44)</f>
        <v>0.57418203000000001</v>
      </c>
      <c r="AD17">
        <f>IF(Backend!AE44="", "", Backend!AE44)</f>
        <v>0.79093170000000002</v>
      </c>
      <c r="AE17">
        <f>IF(Backend!AF44="", "", Backend!AF44)</f>
        <v>0.27218550000000002</v>
      </c>
      <c r="AF17">
        <f>IF(Backend!AG44="", "", Backend!AG44)</f>
        <v>0.39705750000000001</v>
      </c>
      <c r="AG17">
        <f>IF(Backend!AH44="", "", Backend!AH44)</f>
        <v>-0.14011756</v>
      </c>
      <c r="AH17">
        <f>IF(Backend!AI44="", "", Backend!AI44)</f>
        <v>-0.77359750000000005</v>
      </c>
      <c r="AI17">
        <f>IF(Backend!AJ44="", "", Backend!AJ44)</f>
        <v>4.5279174999999998E-2</v>
      </c>
      <c r="AJ17">
        <f>IF(Backend!AK44="", "", Backend!AK44)</f>
        <v>-0.74395299999999998</v>
      </c>
      <c r="AK17">
        <f>IF(Backend!AL44="", "", Backend!AL44)</f>
        <v>0.80949146000000005</v>
      </c>
      <c r="AL17">
        <f>IF(Backend!AM44="", "", Backend!AM44)</f>
        <v>0.74200063999999999</v>
      </c>
      <c r="AM17">
        <f>IF(Backend!AN44="", "", Backend!AN44)</f>
        <v>-0.25426294999999999</v>
      </c>
      <c r="AN17">
        <f>IF(Backend!AO44="", "", Backend!AO44)</f>
        <v>0.72444269999999999</v>
      </c>
      <c r="AO17">
        <f>IF(Backend!AP44="", "", Backend!AP44)</f>
        <v>0.57715799999999995</v>
      </c>
      <c r="AP17">
        <f>IF(Backend!AQ44="", "", Backend!AQ44)</f>
        <v>0.56439525000000001</v>
      </c>
      <c r="AQ17">
        <f>IF(Backend!AR44="", "", Backend!AR44)</f>
        <v>2.5835891999999999E-2</v>
      </c>
      <c r="AR17">
        <f>IF(Backend!AS44="", "", Backend!AS44)</f>
        <v>0.53067059999999999</v>
      </c>
      <c r="AS17">
        <f>IF(Backend!AT44="", "", Backend!AT44)</f>
        <v>-0.47367373000000002</v>
      </c>
      <c r="AT17">
        <f>IF(Backend!AU44="", "", Backend!AU44)</f>
        <v>-0.5917519</v>
      </c>
      <c r="AU17">
        <f>IF(Backend!AV44="", "", Backend!AV44)</f>
        <v>-0.80919653000000002</v>
      </c>
      <c r="AV17">
        <f>IF(Backend!AW44="", "", Backend!AW44)</f>
        <v>0.6113191</v>
      </c>
      <c r="AW17">
        <f>IF(Backend!AX44="", "", Backend!AX44)</f>
        <v>0.70253889999999997</v>
      </c>
      <c r="AX17">
        <f>IF(Backend!AY44="", "", Backend!AY44)</f>
        <v>0.56231176999999999</v>
      </c>
      <c r="AY17">
        <f>IF(Backend!AZ44="", "", Backend!AZ44)</f>
        <v>-0.30643167999999998</v>
      </c>
      <c r="AZ17">
        <f>IF(Backend!BA44="", "", Backend!BA44)</f>
        <v>0.66613069999999996</v>
      </c>
      <c r="BA17">
        <f>IF(Backend!BB44="", "", Backend!BB44)</f>
        <v>0.40540025000000002</v>
      </c>
      <c r="BB17">
        <f>IF(Backend!BC44="", "", Backend!BC44)</f>
        <v>0.38572758000000001</v>
      </c>
      <c r="BC17">
        <f>IF(Backend!BD44="", "", Backend!BD44)</f>
        <v>0.59277049999999998</v>
      </c>
      <c r="BD17">
        <f>IF(Backend!BE44="", "", Backend!BE44)</f>
        <v>0.53155684000000003</v>
      </c>
      <c r="BE17">
        <f>IF(Backend!BF44="", "", Backend!BF44)</f>
        <v>0.78983234999999996</v>
      </c>
      <c r="BF17">
        <f>IF(Backend!BG44="", "", Backend!BG44)</f>
        <v>0.65898319999999999</v>
      </c>
      <c r="BG17">
        <f>IF(Backend!BH44="", "", Backend!BH44)</f>
        <v>0.48184739999999998</v>
      </c>
      <c r="BH17">
        <f>IF(Backend!BI44="", "", Backend!BI44)</f>
        <v>0.78877589999999997</v>
      </c>
      <c r="BI17" t="str">
        <f>IF(Backend!BJ44="", "", Backend!BJ44)</f>
        <v/>
      </c>
      <c r="BJ17" t="str">
        <f>IF(Backend!BK44="", "", Backend!BK44)</f>
        <v/>
      </c>
      <c r="BK17" t="str">
        <f>IF(Backend!BL44="", "", Backend!BL44)</f>
        <v/>
      </c>
      <c r="BL17" t="str">
        <f>IF(Backend!BM44="", "", Backend!BM44)</f>
        <v/>
      </c>
      <c r="BM17" t="str">
        <f>IF(Backend!BN44="", "", Backend!BN44)</f>
        <v/>
      </c>
      <c r="BN17" t="str">
        <f>IF(Backend!BO44="", "", Backend!BO44)</f>
        <v/>
      </c>
      <c r="BO17" t="str">
        <f>IF(Backend!BP44="", "", Backend!BP44)</f>
        <v/>
      </c>
      <c r="BP17" t="str">
        <f>IF(Backend!BQ44="", "", Backend!BQ44)</f>
        <v/>
      </c>
      <c r="BQ17" t="str">
        <f>IF(Backend!BR44="", "", Backend!BR44)</f>
        <v/>
      </c>
      <c r="BR17" t="str">
        <f>IF(Backend!BS44="", "", Backend!BS44)</f>
        <v/>
      </c>
      <c r="BS17" t="str">
        <f>IF(Backend!BT44="", "", Backend!BT44)</f>
        <v/>
      </c>
      <c r="BT17" t="str">
        <f>IF(Backend!BU44="", "", Backend!BU44)</f>
        <v/>
      </c>
      <c r="BU17" t="str">
        <f>IF(Backend!BV44="", "", Backend!BV44)</f>
        <v/>
      </c>
      <c r="BV17" t="str">
        <f>IF(Backend!BW44="", "", Backend!BW44)</f>
        <v/>
      </c>
      <c r="BW17" t="str">
        <f>IF(Backend!BX44="", "", Backend!BX44)</f>
        <v/>
      </c>
      <c r="BX17" t="str">
        <f>IF(Backend!BY44="", "", Backend!BY44)</f>
        <v/>
      </c>
      <c r="BY17" t="str">
        <f>IF(Backend!BZ44="", "", Backend!BZ44)</f>
        <v/>
      </c>
      <c r="BZ17" t="str">
        <f>IF(Backend!CA44="", "", Backend!CA44)</f>
        <v/>
      </c>
      <c r="CA17" t="str">
        <f>IF(Backend!CB44="", "", Backend!CB44)</f>
        <v/>
      </c>
      <c r="CB17" t="str">
        <f>IF(Backend!CC44="", "", Backend!CC44)</f>
        <v/>
      </c>
      <c r="CC17" t="str">
        <f>IF(Backend!CD44="", "", Backend!CD44)</f>
        <v/>
      </c>
    </row>
    <row r="18" spans="1:81" x14ac:dyDescent="0.25">
      <c r="A18" s="4" t="str">
        <f>IF(Backend!A45="", "", Backend!A45)</f>
        <v>Eni S.p.A.</v>
      </c>
      <c r="B18">
        <f>IF(Backend!C45="", "", Backend!C45)</f>
        <v>-0.50583990000000001</v>
      </c>
      <c r="C18">
        <f>IF(Backend!D45="", "", Backend!D45)</f>
        <v>-0.26599050000000002</v>
      </c>
      <c r="D18">
        <f>IF(Backend!E45="", "", Backend!E45)</f>
        <v>-0.68475350000000001</v>
      </c>
      <c r="E18">
        <f>IF(Backend!F45="", "", Backend!F45)</f>
        <v>-0.48546228000000002</v>
      </c>
      <c r="F18">
        <f>IF(Backend!G45="", "", Backend!G45)</f>
        <v>-0.66020566000000003</v>
      </c>
      <c r="G18">
        <f>IF(Backend!H45="", "", Backend!H45)</f>
        <v>-0.49985669999999999</v>
      </c>
      <c r="H18">
        <f>IF(Backend!I45="", "", Backend!I45)</f>
        <v>-0.47637805</v>
      </c>
      <c r="I18">
        <f>IF(Backend!J45="", "", Backend!J45)</f>
        <v>-0.50984114000000003</v>
      </c>
      <c r="J18">
        <f>IF(Backend!K45="", "", Backend!K45)</f>
        <v>-0.5692062</v>
      </c>
      <c r="K18">
        <f>IF(Backend!L45="", "", Backend!L45)</f>
        <v>4.7804876000000001E-3</v>
      </c>
      <c r="L18">
        <f>IF(Backend!M45="", "", Backend!M45)</f>
        <v>-0.38537017000000001</v>
      </c>
      <c r="M18">
        <f>IF(Backend!N45="", "", Backend!N45)</f>
        <v>-0.1818526</v>
      </c>
      <c r="N18">
        <f>IF(Backend!O45="", "", Backend!O45)</f>
        <v>-0.4435981</v>
      </c>
      <c r="O18">
        <f>IF(Backend!P45="", "", Backend!P45)</f>
        <v>-0.48810634000000003</v>
      </c>
      <c r="P18">
        <f>IF(Backend!Q45="", "", Backend!Q45)</f>
        <v>1</v>
      </c>
      <c r="Q18">
        <f>IF(Backend!R45="", "", Backend!R45)</f>
        <v>0.23806562000000001</v>
      </c>
      <c r="R18">
        <f>IF(Backend!S45="", "", Backend!S45)</f>
        <v>-0.47223932000000002</v>
      </c>
      <c r="S18">
        <f>IF(Backend!T45="", "", Backend!T45)</f>
        <v>0.43156084</v>
      </c>
      <c r="T18">
        <f>IF(Backend!U45="", "", Backend!U45)</f>
        <v>-0.19257605</v>
      </c>
      <c r="U18">
        <f>IF(Backend!V45="", "", Backend!V45)</f>
        <v>0.68821189999999999</v>
      </c>
      <c r="V18">
        <f>IF(Backend!W45="", "", Backend!W45)</f>
        <v>-0.42975955999999998</v>
      </c>
      <c r="W18">
        <f>IF(Backend!X45="", "", Backend!X45)</f>
        <v>0.46846408</v>
      </c>
      <c r="X18">
        <f>IF(Backend!Y45="", "", Backend!Y45)</f>
        <v>-0.56914693000000005</v>
      </c>
      <c r="Y18">
        <f>IF(Backend!Z45="", "", Backend!Z45)</f>
        <v>0.50516455999999998</v>
      </c>
      <c r="Z18">
        <f>IF(Backend!AA45="", "", Backend!AA45)</f>
        <v>-0.37149070000000001</v>
      </c>
      <c r="AA18">
        <f>IF(Backend!AB45="", "", Backend!AB45)</f>
        <v>-0.45400992000000001</v>
      </c>
      <c r="AB18">
        <f>IF(Backend!AC45="", "", Backend!AC45)</f>
        <v>-0.27645478000000001</v>
      </c>
      <c r="AC18">
        <f>IF(Backend!AD45="", "", Backend!AD45)</f>
        <v>2.6233664E-2</v>
      </c>
      <c r="AD18">
        <f>IF(Backend!AE45="", "", Backend!AE45)</f>
        <v>-0.52359789999999995</v>
      </c>
      <c r="AE18">
        <f>IF(Backend!AF45="", "", Backend!AF45)</f>
        <v>-0.15649466000000001</v>
      </c>
      <c r="AF18">
        <f>IF(Backend!AG45="", "", Backend!AG45)</f>
        <v>-0.37480732999999999</v>
      </c>
      <c r="AG18">
        <f>IF(Backend!AH45="", "", Backend!AH45)</f>
        <v>0.28003382999999998</v>
      </c>
      <c r="AH18">
        <f>IF(Backend!AI45="", "", Backend!AI45)</f>
        <v>0.55073273</v>
      </c>
      <c r="AI18">
        <f>IF(Backend!AJ45="", "", Backend!AJ45)</f>
        <v>0.26831916</v>
      </c>
      <c r="AJ18">
        <f>IF(Backend!AK45="", "", Backend!AK45)</f>
        <v>0.43240887</v>
      </c>
      <c r="AK18">
        <f>IF(Backend!AL45="", "", Backend!AL45)</f>
        <v>-0.45737863000000001</v>
      </c>
      <c r="AL18">
        <f>IF(Backend!AM45="", "", Backend!AM45)</f>
        <v>-0.60375893000000003</v>
      </c>
      <c r="AM18">
        <f>IF(Backend!AN45="", "", Backend!AN45)</f>
        <v>0.75732860000000002</v>
      </c>
      <c r="AN18">
        <f>IF(Backend!AO45="", "", Backend!AO45)</f>
        <v>-0.41875497</v>
      </c>
      <c r="AO18">
        <f>IF(Backend!AP45="", "", Backend!AP45)</f>
        <v>-0.36482513</v>
      </c>
      <c r="AP18">
        <f>IF(Backend!AQ45="", "", Backend!AQ45)</f>
        <v>-0.37481710000000001</v>
      </c>
      <c r="AQ18">
        <f>IF(Backend!AR45="", "", Backend!AR45)</f>
        <v>0.23525842</v>
      </c>
      <c r="AR18">
        <f>IF(Backend!AS45="", "", Backend!AS45)</f>
        <v>-0.38682312000000002</v>
      </c>
      <c r="AS18">
        <f>IF(Backend!AT45="", "", Backend!AT45)</f>
        <v>0.37921431999999999</v>
      </c>
      <c r="AT18">
        <f>IF(Backend!AU45="", "", Backend!AU45)</f>
        <v>0.46287292000000002</v>
      </c>
      <c r="AU18">
        <f>IF(Backend!AV45="", "", Backend!AV45)</f>
        <v>0.59028332999999999</v>
      </c>
      <c r="AV18">
        <f>IF(Backend!AW45="", "", Backend!AW45)</f>
        <v>-0.57204310000000003</v>
      </c>
      <c r="AW18">
        <f>IF(Backend!AX45="", "", Backend!AX45)</f>
        <v>-0.35422182000000002</v>
      </c>
      <c r="AX18">
        <f>IF(Backend!AY45="", "", Backend!AY45)</f>
        <v>0.16042666</v>
      </c>
      <c r="AY18">
        <f>IF(Backend!AZ45="", "", Backend!AZ45)</f>
        <v>0.22415851000000001</v>
      </c>
      <c r="AZ18">
        <f>IF(Backend!BA45="", "", Backend!BA45)</f>
        <v>-0.47883249999999999</v>
      </c>
      <c r="BA18">
        <f>IF(Backend!BB45="", "", Backend!BB45)</f>
        <v>-0.61225843000000002</v>
      </c>
      <c r="BB18">
        <f>IF(Backend!BC45="", "", Backend!BC45)</f>
        <v>-0.51755910000000005</v>
      </c>
      <c r="BC18">
        <f>IF(Backend!BD45="", "", Backend!BD45)</f>
        <v>-0.61492884000000003</v>
      </c>
      <c r="BD18">
        <f>IF(Backend!BE45="", "", Backend!BE45)</f>
        <v>-0.48433303999999999</v>
      </c>
      <c r="BE18">
        <f>IF(Backend!BF45="", "", Backend!BF45)</f>
        <v>-0.58539956999999998</v>
      </c>
      <c r="BF18">
        <f>IF(Backend!BG45="", "", Backend!BG45)</f>
        <v>-0.70447683000000005</v>
      </c>
      <c r="BG18">
        <f>IF(Backend!BH45="", "", Backend!BH45)</f>
        <v>-0.44943043999999999</v>
      </c>
      <c r="BH18">
        <f>IF(Backend!BI45="", "", Backend!BI45)</f>
        <v>-0.40725162999999998</v>
      </c>
      <c r="BI18" t="str">
        <f>IF(Backend!BJ45="", "", Backend!BJ45)</f>
        <v/>
      </c>
      <c r="BJ18" t="str">
        <f>IF(Backend!BK45="", "", Backend!BK45)</f>
        <v/>
      </c>
      <c r="BK18" t="str">
        <f>IF(Backend!BL45="", "", Backend!BL45)</f>
        <v/>
      </c>
      <c r="BL18" t="str">
        <f>IF(Backend!BM45="", "", Backend!BM45)</f>
        <v/>
      </c>
      <c r="BM18" t="str">
        <f>IF(Backend!BN45="", "", Backend!BN45)</f>
        <v/>
      </c>
      <c r="BN18" t="str">
        <f>IF(Backend!BO45="", "", Backend!BO45)</f>
        <v/>
      </c>
      <c r="BO18" t="str">
        <f>IF(Backend!BP45="", "", Backend!BP45)</f>
        <v/>
      </c>
      <c r="BP18" t="str">
        <f>IF(Backend!BQ45="", "", Backend!BQ45)</f>
        <v/>
      </c>
      <c r="BQ18" t="str">
        <f>IF(Backend!BR45="", "", Backend!BR45)</f>
        <v/>
      </c>
      <c r="BR18" t="str">
        <f>IF(Backend!BS45="", "", Backend!BS45)</f>
        <v/>
      </c>
      <c r="BS18" t="str">
        <f>IF(Backend!BT45="", "", Backend!BT45)</f>
        <v/>
      </c>
      <c r="BT18" t="str">
        <f>IF(Backend!BU45="", "", Backend!BU45)</f>
        <v/>
      </c>
      <c r="BU18" t="str">
        <f>IF(Backend!BV45="", "", Backend!BV45)</f>
        <v/>
      </c>
      <c r="BV18" t="str">
        <f>IF(Backend!BW45="", "", Backend!BW45)</f>
        <v/>
      </c>
      <c r="BW18" t="str">
        <f>IF(Backend!BX45="", "", Backend!BX45)</f>
        <v/>
      </c>
      <c r="BX18" t="str">
        <f>IF(Backend!BY45="", "", Backend!BY45)</f>
        <v/>
      </c>
      <c r="BY18" t="str">
        <f>IF(Backend!BZ45="", "", Backend!BZ45)</f>
        <v/>
      </c>
      <c r="BZ18" t="str">
        <f>IF(Backend!CA45="", "", Backend!CA45)</f>
        <v/>
      </c>
      <c r="CA18" t="str">
        <f>IF(Backend!CB45="", "", Backend!CB45)</f>
        <v/>
      </c>
      <c r="CB18" t="str">
        <f>IF(Backend!CC45="", "", Backend!CC45)</f>
        <v/>
      </c>
      <c r="CC18" t="str">
        <f>IF(Backend!CD45="", "", Backend!CD45)</f>
        <v/>
      </c>
    </row>
    <row r="19" spans="1:81" x14ac:dyDescent="0.25">
      <c r="A19" s="4" t="str">
        <f>IF(Backend!A46="", "", Backend!A46)</f>
        <v>GSK plc</v>
      </c>
      <c r="B19">
        <f>IF(Backend!C46="", "", Backend!C46)</f>
        <v>0.17822500999999999</v>
      </c>
      <c r="C19">
        <f>IF(Backend!D46="", "", Backend!D46)</f>
        <v>0.33920607000000003</v>
      </c>
      <c r="D19">
        <f>IF(Backend!E46="", "", Backend!E46)</f>
        <v>0.15726556999999999</v>
      </c>
      <c r="E19">
        <f>IF(Backend!F46="", "", Backend!F46)</f>
        <v>0.19362265000000001</v>
      </c>
      <c r="F19">
        <f>IF(Backend!G46="", "", Backend!G46)</f>
        <v>-0.11421185</v>
      </c>
      <c r="G19">
        <f>IF(Backend!H46="", "", Backend!H46)</f>
        <v>0.16542335999999999</v>
      </c>
      <c r="H19">
        <f>IF(Backend!I46="", "", Backend!I46)</f>
        <v>0.18785088</v>
      </c>
      <c r="I19">
        <f>IF(Backend!J46="", "", Backend!J46)</f>
        <v>7.9836209999999998E-3</v>
      </c>
      <c r="J19">
        <f>IF(Backend!K46="", "", Backend!K46)</f>
        <v>-0.2038451</v>
      </c>
      <c r="K19">
        <f>IF(Backend!L46="", "", Backend!L46)</f>
        <v>0.45706259999999999</v>
      </c>
      <c r="L19">
        <f>IF(Backend!M46="", "", Backend!M46)</f>
        <v>-0.15621120999999999</v>
      </c>
      <c r="M19">
        <f>IF(Backend!N46="", "", Backend!N46)</f>
        <v>0.21885234000000001</v>
      </c>
      <c r="N19">
        <f>IF(Backend!O46="", "", Backend!O46)</f>
        <v>0.1851585</v>
      </c>
      <c r="O19">
        <f>IF(Backend!P46="", "", Backend!P46)</f>
        <v>0.107561834</v>
      </c>
      <c r="P19">
        <f>IF(Backend!Q46="", "", Backend!Q46)</f>
        <v>0.23806562000000001</v>
      </c>
      <c r="Q19">
        <f>IF(Backend!R46="", "", Backend!R46)</f>
        <v>1</v>
      </c>
      <c r="R19">
        <f>IF(Backend!S46="", "", Backend!S46)</f>
        <v>0.19771590999999999</v>
      </c>
      <c r="S19">
        <f>IF(Backend!T46="", "", Backend!T46)</f>
        <v>-1.9413666999999999E-2</v>
      </c>
      <c r="T19">
        <f>IF(Backend!U46="", "", Backend!U46)</f>
        <v>0.37573879999999998</v>
      </c>
      <c r="U19">
        <f>IF(Backend!V46="", "", Backend!V46)</f>
        <v>0.12346871</v>
      </c>
      <c r="V19">
        <f>IF(Backend!W46="", "", Backend!W46)</f>
        <v>0.31885859999999999</v>
      </c>
      <c r="W19">
        <f>IF(Backend!X46="", "", Backend!X46)</f>
        <v>0.29619613</v>
      </c>
      <c r="X19">
        <f>IF(Backend!Y46="", "", Backend!Y46)</f>
        <v>7.6452640000000002E-2</v>
      </c>
      <c r="Y19">
        <f>IF(Backend!Z46="", "", Backend!Z46)</f>
        <v>0.10814844999999999</v>
      </c>
      <c r="Z19">
        <f>IF(Backend!AA46="", "", Backend!AA46)</f>
        <v>6.0662519999999998E-2</v>
      </c>
      <c r="AA19">
        <f>IF(Backend!AB46="", "", Backend!AB46)</f>
        <v>0.15684580000000001</v>
      </c>
      <c r="AB19">
        <f>IF(Backend!AC46="", "", Backend!AC46)</f>
        <v>0.19572208999999999</v>
      </c>
      <c r="AC19">
        <f>IF(Backend!AD46="", "", Backend!AD46)</f>
        <v>0.41055056000000001</v>
      </c>
      <c r="AD19">
        <f>IF(Backend!AE46="", "", Backend!AE46)</f>
        <v>0.16327083000000001</v>
      </c>
      <c r="AE19">
        <f>IF(Backend!AF46="", "", Backend!AF46)</f>
        <v>0.35644087000000002</v>
      </c>
      <c r="AF19">
        <f>IF(Backend!AG46="", "", Backend!AG46)</f>
        <v>0.36715943000000001</v>
      </c>
      <c r="AG19">
        <f>IF(Backend!AH46="", "", Backend!AH46)</f>
        <v>-0.15240909999999999</v>
      </c>
      <c r="AH19">
        <f>IF(Backend!AI46="", "", Backend!AI46)</f>
        <v>7.9972210000000002E-2</v>
      </c>
      <c r="AI19">
        <f>IF(Backend!AJ46="", "", Backend!AJ46)</f>
        <v>0.13711493999999999</v>
      </c>
      <c r="AJ19">
        <f>IF(Backend!AK46="", "", Backend!AK46)</f>
        <v>0.22090693</v>
      </c>
      <c r="AK19">
        <f>IF(Backend!AL46="", "", Backend!AL46)</f>
        <v>0.12761389000000001</v>
      </c>
      <c r="AL19">
        <f>IF(Backend!AM46="", "", Backend!AM46)</f>
        <v>0.15902773000000001</v>
      </c>
      <c r="AM19">
        <f>IF(Backend!AN46="", "", Backend!AN46)</f>
        <v>0.12876514999999999</v>
      </c>
      <c r="AN19">
        <f>IF(Backend!AO46="", "", Backend!AO46)</f>
        <v>5.8585230000000002E-2</v>
      </c>
      <c r="AO19">
        <f>IF(Backend!AP46="", "", Backend!AP46)</f>
        <v>0.24879282999999999</v>
      </c>
      <c r="AP19">
        <f>IF(Backend!AQ46="", "", Backend!AQ46)</f>
        <v>0.39595340000000001</v>
      </c>
      <c r="AQ19">
        <f>IF(Backend!AR46="", "", Backend!AR46)</f>
        <v>0.30659932000000001</v>
      </c>
      <c r="AR19">
        <f>IF(Backend!AS46="", "", Backend!AS46)</f>
        <v>0.35962406000000002</v>
      </c>
      <c r="AS19">
        <f>IF(Backend!AT46="", "", Backend!AT46)</f>
        <v>0.36644800999999999</v>
      </c>
      <c r="AT19">
        <f>IF(Backend!AU46="", "", Backend!AU46)</f>
        <v>0.19078758000000001</v>
      </c>
      <c r="AU19">
        <f>IF(Backend!AV46="", "", Backend!AV46)</f>
        <v>2.1672070000000002E-2</v>
      </c>
      <c r="AV19">
        <f>IF(Backend!AW46="", "", Backend!AW46)</f>
        <v>0.29720750000000001</v>
      </c>
      <c r="AW19">
        <f>IF(Backend!AX46="", "", Backend!AX46)</f>
        <v>-4.060822E-2</v>
      </c>
      <c r="AX19">
        <f>IF(Backend!AY46="", "", Backend!AY46)</f>
        <v>0.45103707999999998</v>
      </c>
      <c r="AY19">
        <f>IF(Backend!AZ46="", "", Backend!AZ46)</f>
        <v>0.21435425999999999</v>
      </c>
      <c r="AZ19">
        <f>IF(Backend!BA46="", "", Backend!BA46)</f>
        <v>0.27927711999999999</v>
      </c>
      <c r="BA19">
        <f>IF(Backend!BB46="", "", Backend!BB46)</f>
        <v>0.36978966000000002</v>
      </c>
      <c r="BB19">
        <f>IF(Backend!BC46="", "", Backend!BC46)</f>
        <v>0.18282084000000001</v>
      </c>
      <c r="BC19">
        <f>IF(Backend!BD46="", "", Backend!BD46)</f>
        <v>0.27217217999999999</v>
      </c>
      <c r="BD19">
        <f>IF(Backend!BE46="", "", Backend!BE46)</f>
        <v>0.1470195</v>
      </c>
      <c r="BE19">
        <f>IF(Backend!BF46="", "", Backend!BF46)</f>
        <v>0.16126083999999999</v>
      </c>
      <c r="BF19">
        <f>IF(Backend!BG46="", "", Backend!BG46)</f>
        <v>0.17113961</v>
      </c>
      <c r="BG19">
        <f>IF(Backend!BH46="", "", Backend!BH46)</f>
        <v>0.2606407</v>
      </c>
      <c r="BH19">
        <f>IF(Backend!BI46="", "", Backend!BI46)</f>
        <v>0.22353986000000001</v>
      </c>
      <c r="BI19" t="str">
        <f>IF(Backend!BJ46="", "", Backend!BJ46)</f>
        <v/>
      </c>
      <c r="BJ19" t="str">
        <f>IF(Backend!BK46="", "", Backend!BK46)</f>
        <v/>
      </c>
      <c r="BK19" t="str">
        <f>IF(Backend!BL46="", "", Backend!BL46)</f>
        <v/>
      </c>
      <c r="BL19" t="str">
        <f>IF(Backend!BM46="", "", Backend!BM46)</f>
        <v/>
      </c>
      <c r="BM19" t="str">
        <f>IF(Backend!BN46="", "", Backend!BN46)</f>
        <v/>
      </c>
      <c r="BN19" t="str">
        <f>IF(Backend!BO46="", "", Backend!BO46)</f>
        <v/>
      </c>
      <c r="BO19" t="str">
        <f>IF(Backend!BP46="", "", Backend!BP46)</f>
        <v/>
      </c>
      <c r="BP19" t="str">
        <f>IF(Backend!BQ46="", "", Backend!BQ46)</f>
        <v/>
      </c>
      <c r="BQ19" t="str">
        <f>IF(Backend!BR46="", "", Backend!BR46)</f>
        <v/>
      </c>
      <c r="BR19" t="str">
        <f>IF(Backend!BS46="", "", Backend!BS46)</f>
        <v/>
      </c>
      <c r="BS19" t="str">
        <f>IF(Backend!BT46="", "", Backend!BT46)</f>
        <v/>
      </c>
      <c r="BT19" t="str">
        <f>IF(Backend!BU46="", "", Backend!BU46)</f>
        <v/>
      </c>
      <c r="BU19" t="str">
        <f>IF(Backend!BV46="", "", Backend!BV46)</f>
        <v/>
      </c>
      <c r="BV19" t="str">
        <f>IF(Backend!BW46="", "", Backend!BW46)</f>
        <v/>
      </c>
      <c r="BW19" t="str">
        <f>IF(Backend!BX46="", "", Backend!BX46)</f>
        <v/>
      </c>
      <c r="BX19" t="str">
        <f>IF(Backend!BY46="", "", Backend!BY46)</f>
        <v/>
      </c>
      <c r="BY19" t="str">
        <f>IF(Backend!BZ46="", "", Backend!BZ46)</f>
        <v/>
      </c>
      <c r="BZ19" t="str">
        <f>IF(Backend!CA46="", "", Backend!CA46)</f>
        <v/>
      </c>
      <c r="CA19" t="str">
        <f>IF(Backend!CB46="", "", Backend!CB46)</f>
        <v/>
      </c>
      <c r="CB19" t="str">
        <f>IF(Backend!CC46="", "", Backend!CC46)</f>
        <v/>
      </c>
      <c r="CC19" t="str">
        <f>IF(Backend!CD46="", "", Backend!CD46)</f>
        <v/>
      </c>
    </row>
    <row r="20" spans="1:81" x14ac:dyDescent="0.25">
      <c r="A20" s="4" t="str">
        <f>IF(Backend!A47="", "", Backend!A47)</f>
        <v>H.U.Group Holdings, Inc.</v>
      </c>
      <c r="B20">
        <f>IF(Backend!C47="", "", Backend!C47)</f>
        <v>0.74109804999999995</v>
      </c>
      <c r="C20">
        <f>IF(Backend!D47="", "", Backend!D47)</f>
        <v>0.68655120000000003</v>
      </c>
      <c r="D20">
        <f>IF(Backend!E47="", "", Backend!E47)</f>
        <v>0.88554189999999999</v>
      </c>
      <c r="E20">
        <f>IF(Backend!F47="", "", Backend!F47)</f>
        <v>0.79114329999999999</v>
      </c>
      <c r="F20">
        <f>IF(Backend!G47="", "", Backend!G47)</f>
        <v>0.67904264000000003</v>
      </c>
      <c r="G20">
        <f>IF(Backend!H47="", "", Backend!H47)</f>
        <v>0.75902619999999998</v>
      </c>
      <c r="H20">
        <f>IF(Backend!I47="", "", Backend!I47)</f>
        <v>0.78097159999999999</v>
      </c>
      <c r="I20">
        <f>IF(Backend!J47="", "", Backend!J47)</f>
        <v>0.64931744000000002</v>
      </c>
      <c r="J20">
        <f>IF(Backend!K47="", "", Backend!K47)</f>
        <v>0.34573498000000003</v>
      </c>
      <c r="K20">
        <f>IF(Backend!L47="", "", Backend!L47)</f>
        <v>0.58891152999999996</v>
      </c>
      <c r="L20">
        <f>IF(Backend!M47="", "", Backend!M47)</f>
        <v>0.59262513999999999</v>
      </c>
      <c r="M20">
        <f>IF(Backend!N47="", "", Backend!N47)</f>
        <v>0.45704456999999998</v>
      </c>
      <c r="N20">
        <f>IF(Backend!O47="", "", Backend!O47)</f>
        <v>0.80442060000000004</v>
      </c>
      <c r="O20">
        <f>IF(Backend!P47="", "", Backend!P47)</f>
        <v>0.46850209999999998</v>
      </c>
      <c r="P20">
        <f>IF(Backend!Q47="", "", Backend!Q47)</f>
        <v>-0.47223932000000002</v>
      </c>
      <c r="Q20">
        <f>IF(Backend!R47="", "", Backend!R47)</f>
        <v>0.19771590999999999</v>
      </c>
      <c r="R20">
        <f>IF(Backend!S47="", "", Backend!S47)</f>
        <v>1</v>
      </c>
      <c r="S20">
        <f>IF(Backend!T47="", "", Backend!T47)</f>
        <v>-0.55035460000000003</v>
      </c>
      <c r="T20">
        <f>IF(Backend!U47="", "", Backend!U47)</f>
        <v>0.49788964000000002</v>
      </c>
      <c r="U20">
        <f>IF(Backend!V47="", "", Backend!V47)</f>
        <v>-0.31839173999999998</v>
      </c>
      <c r="V20">
        <f>IF(Backend!W47="", "", Backend!W47)</f>
        <v>0.72812659999999996</v>
      </c>
      <c r="W20">
        <f>IF(Backend!X47="", "", Backend!X47)</f>
        <v>-8.672668E-2</v>
      </c>
      <c r="X20">
        <f>IF(Backend!Y47="", "", Backend!Y47)</f>
        <v>0.74530476000000001</v>
      </c>
      <c r="Y20">
        <f>IF(Backend!Z47="", "", Backend!Z47)</f>
        <v>-0.101294674</v>
      </c>
      <c r="Z20">
        <f>IF(Backend!AA47="", "", Backend!AA47)</f>
        <v>0.34678419999999999</v>
      </c>
      <c r="AA20">
        <f>IF(Backend!AB47="", "", Backend!AB47)</f>
        <v>0.67285633</v>
      </c>
      <c r="AB20">
        <f>IF(Backend!AC47="", "", Backend!AC47)</f>
        <v>0.22688775999999999</v>
      </c>
      <c r="AC20">
        <f>IF(Backend!AD47="", "", Backend!AD47)</f>
        <v>0.30635594999999999</v>
      </c>
      <c r="AD20">
        <f>IF(Backend!AE47="", "", Backend!AE47)</f>
        <v>0.60791814</v>
      </c>
      <c r="AE20">
        <f>IF(Backend!AF47="", "", Backend!AF47)</f>
        <v>0.68486345000000004</v>
      </c>
      <c r="AF20">
        <f>IF(Backend!AG47="", "", Backend!AG47)</f>
        <v>0.73713309999999999</v>
      </c>
      <c r="AG20">
        <f>IF(Backend!AH47="", "", Backend!AH47)</f>
        <v>-0.50118269999999998</v>
      </c>
      <c r="AH20">
        <f>IF(Backend!AI47="", "", Backend!AI47)</f>
        <v>-0.23163015000000001</v>
      </c>
      <c r="AI20">
        <f>IF(Backend!AJ47="", "", Backend!AJ47)</f>
        <v>-0.2734492</v>
      </c>
      <c r="AJ20">
        <f>IF(Backend!AK47="", "", Backend!AK47)</f>
        <v>-5.7264860000000001E-2</v>
      </c>
      <c r="AK20">
        <f>IF(Backend!AL47="", "", Backend!AL47)</f>
        <v>0.43561319999999998</v>
      </c>
      <c r="AL20">
        <f>IF(Backend!AM47="", "", Backend!AM47)</f>
        <v>0.73067987000000001</v>
      </c>
      <c r="AM20">
        <f>IF(Backend!AN47="", "", Backend!AN47)</f>
        <v>-0.33728140000000001</v>
      </c>
      <c r="AN20">
        <f>IF(Backend!AO47="", "", Backend!AO47)</f>
        <v>0.67909390000000003</v>
      </c>
      <c r="AO20">
        <f>IF(Backend!AP47="", "", Backend!AP47)</f>
        <v>0.79955940000000003</v>
      </c>
      <c r="AP20">
        <f>IF(Backend!AQ47="", "", Backend!AQ47)</f>
        <v>0.7836069</v>
      </c>
      <c r="AQ20">
        <f>IF(Backend!AR47="", "", Backend!AR47)</f>
        <v>-2.0861488000000001E-2</v>
      </c>
      <c r="AR20">
        <f>IF(Backend!AS47="", "", Backend!AS47)</f>
        <v>0.73509809999999998</v>
      </c>
      <c r="AS20">
        <f>IF(Backend!AT47="", "", Backend!AT47)</f>
        <v>7.5179315999999996E-2</v>
      </c>
      <c r="AT20">
        <f>IF(Backend!AU47="", "", Backend!AU47)</f>
        <v>0.14611904000000001</v>
      </c>
      <c r="AU20">
        <f>IF(Backend!AV47="", "", Backend!AV47)</f>
        <v>-0.27151999999999998</v>
      </c>
      <c r="AV20">
        <f>IF(Backend!AW47="", "", Backend!AW47)</f>
        <v>0.80511520000000003</v>
      </c>
      <c r="AW20">
        <f>IF(Backend!AX47="", "", Backend!AX47)</f>
        <v>0.51516530000000005</v>
      </c>
      <c r="AX20">
        <f>IF(Backend!AY47="", "", Backend!AY47)</f>
        <v>0.22220345</v>
      </c>
      <c r="AY20">
        <f>IF(Backend!AZ47="", "", Backend!AZ47)</f>
        <v>0.30823344000000003</v>
      </c>
      <c r="AZ20">
        <f>IF(Backend!BA47="", "", Backend!BA47)</f>
        <v>0.8376209</v>
      </c>
      <c r="BA20">
        <f>IF(Backend!BB47="", "", Backend!BB47)</f>
        <v>0.81440436999999999</v>
      </c>
      <c r="BB20">
        <f>IF(Backend!BC47="", "", Backend!BC47)</f>
        <v>0.58148169999999999</v>
      </c>
      <c r="BC20">
        <f>IF(Backend!BD47="", "", Backend!BD47)</f>
        <v>0.89088149999999999</v>
      </c>
      <c r="BD20">
        <f>IF(Backend!BE47="", "", Backend!BE47)</f>
        <v>0.82174579999999997</v>
      </c>
      <c r="BE20">
        <f>IF(Backend!BF47="", "", Backend!BF47)</f>
        <v>0.8194901</v>
      </c>
      <c r="BF20">
        <f>IF(Backend!BG47="", "", Backend!BG47)</f>
        <v>0.77878254999999996</v>
      </c>
      <c r="BG20">
        <f>IF(Backend!BH47="", "", Backend!BH47)</f>
        <v>0.69918579999999997</v>
      </c>
      <c r="BH20">
        <f>IF(Backend!BI47="", "", Backend!BI47)</f>
        <v>0.50369319999999995</v>
      </c>
      <c r="BI20" t="str">
        <f>IF(Backend!BJ47="", "", Backend!BJ47)</f>
        <v/>
      </c>
      <c r="BJ20" t="str">
        <f>IF(Backend!BK47="", "", Backend!BK47)</f>
        <v/>
      </c>
      <c r="BK20" t="str">
        <f>IF(Backend!BL47="", "", Backend!BL47)</f>
        <v/>
      </c>
      <c r="BL20" t="str">
        <f>IF(Backend!BM47="", "", Backend!BM47)</f>
        <v/>
      </c>
      <c r="BM20" t="str">
        <f>IF(Backend!BN47="", "", Backend!BN47)</f>
        <v/>
      </c>
      <c r="BN20" t="str">
        <f>IF(Backend!BO47="", "", Backend!BO47)</f>
        <v/>
      </c>
      <c r="BO20" t="str">
        <f>IF(Backend!BP47="", "", Backend!BP47)</f>
        <v/>
      </c>
      <c r="BP20" t="str">
        <f>IF(Backend!BQ47="", "", Backend!BQ47)</f>
        <v/>
      </c>
      <c r="BQ20" t="str">
        <f>IF(Backend!BR47="", "", Backend!BR47)</f>
        <v/>
      </c>
      <c r="BR20" t="str">
        <f>IF(Backend!BS47="", "", Backend!BS47)</f>
        <v/>
      </c>
      <c r="BS20" t="str">
        <f>IF(Backend!BT47="", "", Backend!BT47)</f>
        <v/>
      </c>
      <c r="BT20" t="str">
        <f>IF(Backend!BU47="", "", Backend!BU47)</f>
        <v/>
      </c>
      <c r="BU20" t="str">
        <f>IF(Backend!BV47="", "", Backend!BV47)</f>
        <v/>
      </c>
      <c r="BV20" t="str">
        <f>IF(Backend!BW47="", "", Backend!BW47)</f>
        <v/>
      </c>
      <c r="BW20" t="str">
        <f>IF(Backend!BX47="", "", Backend!BX47)</f>
        <v/>
      </c>
      <c r="BX20" t="str">
        <f>IF(Backend!BY47="", "", Backend!BY47)</f>
        <v/>
      </c>
      <c r="BY20" t="str">
        <f>IF(Backend!BZ47="", "", Backend!BZ47)</f>
        <v/>
      </c>
      <c r="BZ20" t="str">
        <f>IF(Backend!CA47="", "", Backend!CA47)</f>
        <v/>
      </c>
      <c r="CA20" t="str">
        <f>IF(Backend!CB47="", "", Backend!CB47)</f>
        <v/>
      </c>
      <c r="CB20" t="str">
        <f>IF(Backend!CC47="", "", Backend!CC47)</f>
        <v/>
      </c>
      <c r="CC20" t="str">
        <f>IF(Backend!CD47="", "", Backend!CD47)</f>
        <v/>
      </c>
    </row>
    <row r="21" spans="1:81" x14ac:dyDescent="0.25">
      <c r="A21" s="4" t="str">
        <f>IF(Backend!A48="", "", Backend!A48)</f>
        <v>Halliburton Company</v>
      </c>
      <c r="B21">
        <f>IF(Backend!C48="", "", Backend!C48)</f>
        <v>-0.35265176999999998</v>
      </c>
      <c r="C21">
        <f>IF(Backend!D48="", "", Backend!D48)</f>
        <v>-0.13606845000000001</v>
      </c>
      <c r="D21">
        <f>IF(Backend!E48="", "", Backend!E48)</f>
        <v>-0.44720520000000002</v>
      </c>
      <c r="E21">
        <f>IF(Backend!F48="", "", Backend!F48)</f>
        <v>-0.29487332999999999</v>
      </c>
      <c r="F21">
        <f>IF(Backend!G48="", "", Backend!G48)</f>
        <v>-0.53318960000000004</v>
      </c>
      <c r="G21">
        <f>IF(Backend!H48="", "", Backend!H48)</f>
        <v>-0.15762259000000001</v>
      </c>
      <c r="H21">
        <f>IF(Backend!I48="", "", Backend!I48)</f>
        <v>-0.57249969999999994</v>
      </c>
      <c r="I21">
        <f>IF(Backend!J48="", "", Backend!J48)</f>
        <v>-4.2341131000000001E-4</v>
      </c>
      <c r="J21">
        <f>IF(Backend!K48="", "", Backend!K48)</f>
        <v>0.14016518</v>
      </c>
      <c r="K21">
        <f>IF(Backend!L48="", "", Backend!L48)</f>
        <v>-0.55031319999999995</v>
      </c>
      <c r="L21">
        <f>IF(Backend!M48="", "", Backend!M48)</f>
        <v>-1.2500918999999999E-2</v>
      </c>
      <c r="M21">
        <f>IF(Backend!N48="", "", Backend!N48)</f>
        <v>0.21155560000000001</v>
      </c>
      <c r="N21">
        <f>IF(Backend!O48="", "", Backend!O48)</f>
        <v>-0.67444990000000005</v>
      </c>
      <c r="O21">
        <f>IF(Backend!P48="", "", Backend!P48)</f>
        <v>0.14800717999999999</v>
      </c>
      <c r="P21">
        <f>IF(Backend!Q48="", "", Backend!Q48)</f>
        <v>0.43156084</v>
      </c>
      <c r="Q21">
        <f>IF(Backend!R48="", "", Backend!R48)</f>
        <v>-1.9413666999999999E-2</v>
      </c>
      <c r="R21">
        <f>IF(Backend!S48="", "", Backend!S48)</f>
        <v>-0.55035460000000003</v>
      </c>
      <c r="S21">
        <f>IF(Backend!T48="", "", Backend!T48)</f>
        <v>1</v>
      </c>
      <c r="T21">
        <f>IF(Backend!U48="", "", Backend!U48)</f>
        <v>-0.34849370000000002</v>
      </c>
      <c r="U21">
        <f>IF(Backend!V48="", "", Backend!V48)</f>
        <v>0.107888795</v>
      </c>
      <c r="V21">
        <f>IF(Backend!W48="", "", Backend!W48)</f>
        <v>-0.2262641</v>
      </c>
      <c r="W21">
        <f>IF(Backend!X48="", "", Backend!X48)</f>
        <v>-0.36625170000000001</v>
      </c>
      <c r="X21">
        <f>IF(Backend!Y48="", "", Backend!Y48)</f>
        <v>-0.19977028999999999</v>
      </c>
      <c r="Y21">
        <f>IF(Backend!Z48="", "", Backend!Z48)</f>
        <v>-0.35947698</v>
      </c>
      <c r="Z21">
        <f>IF(Backend!AA48="", "", Backend!AA48)</f>
        <v>0.31682047000000002</v>
      </c>
      <c r="AA21">
        <f>IF(Backend!AB48="", "", Backend!AB48)</f>
        <v>-8.1682934999999998E-2</v>
      </c>
      <c r="AB21">
        <f>IF(Backend!AC48="", "", Backend!AC48)</f>
        <v>0.38315320000000003</v>
      </c>
      <c r="AC21">
        <f>IF(Backend!AD48="", "", Backend!AD48)</f>
        <v>0.25565353000000002</v>
      </c>
      <c r="AD21">
        <f>IF(Backend!AE48="", "", Backend!AE48)</f>
        <v>-4.3767176999999997E-2</v>
      </c>
      <c r="AE21">
        <f>IF(Backend!AF48="", "", Backend!AF48)</f>
        <v>-0.51176509999999997</v>
      </c>
      <c r="AF21">
        <f>IF(Backend!AG48="", "", Backend!AG48)</f>
        <v>-0.52816339999999995</v>
      </c>
      <c r="AG21">
        <f>IF(Backend!AH48="", "", Backend!AH48)</f>
        <v>0.53530383000000004</v>
      </c>
      <c r="AH21">
        <f>IF(Backend!AI48="", "", Backend!AI48)</f>
        <v>-0.26532</v>
      </c>
      <c r="AI21">
        <f>IF(Backend!AJ48="", "", Backend!AJ48)</f>
        <v>0.26053880000000001</v>
      </c>
      <c r="AJ21">
        <f>IF(Backend!AK48="", "", Backend!AK48)</f>
        <v>-0.48323694</v>
      </c>
      <c r="AK21">
        <f>IF(Backend!AL48="", "", Backend!AL48)</f>
        <v>0.115869254</v>
      </c>
      <c r="AL21">
        <f>IF(Backend!AM48="", "", Backend!AM48)</f>
        <v>-0.30738454999999998</v>
      </c>
      <c r="AM21">
        <f>IF(Backend!AN48="", "", Backend!AN48)</f>
        <v>0.60042112999999997</v>
      </c>
      <c r="AN21">
        <f>IF(Backend!AO48="", "", Backend!AO48)</f>
        <v>-2.9094782E-2</v>
      </c>
      <c r="AO21">
        <f>IF(Backend!AP48="", "", Backend!AP48)</f>
        <v>-0.29000916999999998</v>
      </c>
      <c r="AP21">
        <f>IF(Backend!AQ48="", "", Backend!AQ48)</f>
        <v>-0.28566947999999998</v>
      </c>
      <c r="AQ21">
        <f>IF(Backend!AR48="", "", Backend!AR48)</f>
        <v>2.9999442000000001E-2</v>
      </c>
      <c r="AR21">
        <f>IF(Backend!AS48="", "", Backend!AS48)</f>
        <v>-0.22028410000000001</v>
      </c>
      <c r="AS21">
        <f>IF(Backend!AT48="", "", Backend!AT48)</f>
        <v>-0.41763677999999999</v>
      </c>
      <c r="AT21">
        <f>IF(Backend!AU48="", "", Backend!AU48)</f>
        <v>-0.44418594</v>
      </c>
      <c r="AU21">
        <f>IF(Backend!AV48="", "", Backend!AV48)</f>
        <v>-0.18559398999999999</v>
      </c>
      <c r="AV21">
        <f>IF(Backend!AW48="", "", Backend!AW48)</f>
        <v>-0.46871960000000001</v>
      </c>
      <c r="AW21">
        <f>IF(Backend!AX48="", "", Backend!AX48)</f>
        <v>0.10474938</v>
      </c>
      <c r="AX21">
        <f>IF(Backend!AY48="", "", Backend!AY48)</f>
        <v>0.30955178</v>
      </c>
      <c r="AY21">
        <f>IF(Backend!AZ48="", "", Backend!AZ48)</f>
        <v>-0.42181150000000001</v>
      </c>
      <c r="AZ21">
        <f>IF(Backend!BA48="", "", Backend!BA48)</f>
        <v>-0.25985649999999999</v>
      </c>
      <c r="BA21">
        <f>IF(Backend!BB48="", "", Backend!BB48)</f>
        <v>-0.63249754999999996</v>
      </c>
      <c r="BB21">
        <f>IF(Backend!BC48="", "", Backend!BC48)</f>
        <v>-0.39749879999999999</v>
      </c>
      <c r="BC21">
        <f>IF(Backend!BD48="", "", Backend!BD48)</f>
        <v>-0.46438867</v>
      </c>
      <c r="BD21">
        <f>IF(Backend!BE48="", "", Backend!BE48)</f>
        <v>-0.40606569999999997</v>
      </c>
      <c r="BE21">
        <f>IF(Backend!BF48="", "", Backend!BF48)</f>
        <v>-0.19770119</v>
      </c>
      <c r="BF21">
        <f>IF(Backend!BG48="", "", Backend!BG48)</f>
        <v>-0.33873801999999997</v>
      </c>
      <c r="BG21">
        <f>IF(Backend!BH48="", "", Backend!BH48)</f>
        <v>-0.38607877000000002</v>
      </c>
      <c r="BH21">
        <f>IF(Backend!BI48="", "", Backend!BI48)</f>
        <v>-3.2881050000000002E-2</v>
      </c>
      <c r="BI21" t="str">
        <f>IF(Backend!BJ48="", "", Backend!BJ48)</f>
        <v/>
      </c>
      <c r="BJ21" t="str">
        <f>IF(Backend!BK48="", "", Backend!BK48)</f>
        <v/>
      </c>
      <c r="BK21" t="str">
        <f>IF(Backend!BL48="", "", Backend!BL48)</f>
        <v/>
      </c>
      <c r="BL21" t="str">
        <f>IF(Backend!BM48="", "", Backend!BM48)</f>
        <v/>
      </c>
      <c r="BM21" t="str">
        <f>IF(Backend!BN48="", "", Backend!BN48)</f>
        <v/>
      </c>
      <c r="BN21" t="str">
        <f>IF(Backend!BO48="", "", Backend!BO48)</f>
        <v/>
      </c>
      <c r="BO21" t="str">
        <f>IF(Backend!BP48="", "", Backend!BP48)</f>
        <v/>
      </c>
      <c r="BP21" t="str">
        <f>IF(Backend!BQ48="", "", Backend!BQ48)</f>
        <v/>
      </c>
      <c r="BQ21" t="str">
        <f>IF(Backend!BR48="", "", Backend!BR48)</f>
        <v/>
      </c>
      <c r="BR21" t="str">
        <f>IF(Backend!BS48="", "", Backend!BS48)</f>
        <v/>
      </c>
      <c r="BS21" t="str">
        <f>IF(Backend!BT48="", "", Backend!BT48)</f>
        <v/>
      </c>
      <c r="BT21" t="str">
        <f>IF(Backend!BU48="", "", Backend!BU48)</f>
        <v/>
      </c>
      <c r="BU21" t="str">
        <f>IF(Backend!BV48="", "", Backend!BV48)</f>
        <v/>
      </c>
      <c r="BV21" t="str">
        <f>IF(Backend!BW48="", "", Backend!BW48)</f>
        <v/>
      </c>
      <c r="BW21" t="str">
        <f>IF(Backend!BX48="", "", Backend!BX48)</f>
        <v/>
      </c>
      <c r="BX21" t="str">
        <f>IF(Backend!BY48="", "", Backend!BY48)</f>
        <v/>
      </c>
      <c r="BY21" t="str">
        <f>IF(Backend!BZ48="", "", Backend!BZ48)</f>
        <v/>
      </c>
      <c r="BZ21" t="str">
        <f>IF(Backend!CA48="", "", Backend!CA48)</f>
        <v/>
      </c>
      <c r="CA21" t="str">
        <f>IF(Backend!CB48="", "", Backend!CB48)</f>
        <v/>
      </c>
      <c r="CB21" t="str">
        <f>IF(Backend!CC48="", "", Backend!CC48)</f>
        <v/>
      </c>
      <c r="CC21" t="str">
        <f>IF(Backend!CD48="", "", Backend!CD48)</f>
        <v/>
      </c>
    </row>
    <row r="22" spans="1:81" x14ac:dyDescent="0.25">
      <c r="A22" s="4" t="str">
        <f>IF(Backend!A49="", "", Backend!A49)</f>
        <v>HANKOOK TIRE &amp; TECHNOLOGY Co., Ltd.</v>
      </c>
      <c r="B22">
        <f>IF(Backend!C49="", "", Backend!C49)</f>
        <v>0.71744759999999996</v>
      </c>
      <c r="C22">
        <f>IF(Backend!D49="", "", Backend!D49)</f>
        <v>0.23573126999999999</v>
      </c>
      <c r="D22">
        <f>IF(Backend!E49="", "", Backend!E49)</f>
        <v>0.42522532000000002</v>
      </c>
      <c r="E22">
        <f>IF(Backend!F49="", "", Backend!F49)</f>
        <v>0.55571729999999997</v>
      </c>
      <c r="F22">
        <f>IF(Backend!G49="", "", Backend!G49)</f>
        <v>0.43262719999999999</v>
      </c>
      <c r="G22">
        <f>IF(Backend!H49="", "", Backend!H49)</f>
        <v>0.4898092</v>
      </c>
      <c r="H22">
        <f>IF(Backend!I49="", "", Backend!I49)</f>
        <v>0.70005609999999996</v>
      </c>
      <c r="I22">
        <f>IF(Backend!J49="", "", Backend!J49)</f>
        <v>0.13245367999999999</v>
      </c>
      <c r="J22">
        <f>IF(Backend!K49="", "", Backend!K49)</f>
        <v>-0.17246796</v>
      </c>
      <c r="K22">
        <f>IF(Backend!L49="", "", Backend!L49)</f>
        <v>0.22529335</v>
      </c>
      <c r="L22">
        <f>IF(Backend!M49="", "", Backend!M49)</f>
        <v>0.21769833999999999</v>
      </c>
      <c r="M22">
        <f>IF(Backend!N49="", "", Backend!N49)</f>
        <v>0.27703847999999998</v>
      </c>
      <c r="N22">
        <f>IF(Backend!O49="", "", Backend!O49)</f>
        <v>0.66433010000000003</v>
      </c>
      <c r="O22">
        <f>IF(Backend!P49="", "", Backend!P49)</f>
        <v>0.22077666000000001</v>
      </c>
      <c r="P22">
        <f>IF(Backend!Q49="", "", Backend!Q49)</f>
        <v>-0.19257605</v>
      </c>
      <c r="Q22">
        <f>IF(Backend!R49="", "", Backend!R49)</f>
        <v>0.37573879999999998</v>
      </c>
      <c r="R22">
        <f>IF(Backend!S49="", "", Backend!S49)</f>
        <v>0.49788964000000002</v>
      </c>
      <c r="S22">
        <f>IF(Backend!T49="", "", Backend!T49)</f>
        <v>-0.34849370000000002</v>
      </c>
      <c r="T22">
        <f>IF(Backend!U49="", "", Backend!U49)</f>
        <v>1</v>
      </c>
      <c r="U22">
        <f>IF(Backend!V49="", "", Backend!V49)</f>
        <v>-0.17813425999999999</v>
      </c>
      <c r="V22">
        <f>IF(Backend!W49="", "", Backend!W49)</f>
        <v>0.67959510000000001</v>
      </c>
      <c r="W22">
        <f>IF(Backend!X49="", "", Backend!X49)</f>
        <v>-2.0788323000000001E-2</v>
      </c>
      <c r="X22">
        <f>IF(Backend!Y49="", "", Backend!Y49)</f>
        <v>0.51526724999999995</v>
      </c>
      <c r="Y22">
        <f>IF(Backend!Z49="", "", Backend!Z49)</f>
        <v>-0.13492968999999999</v>
      </c>
      <c r="Z22">
        <f>IF(Backend!AA49="", "", Backend!AA49)</f>
        <v>0.27446391999999997</v>
      </c>
      <c r="AA22">
        <f>IF(Backend!AB49="", "", Backend!AB49)</f>
        <v>0.59304299999999999</v>
      </c>
      <c r="AB22">
        <f>IF(Backend!AC49="", "", Backend!AC49)</f>
        <v>0.43436226</v>
      </c>
      <c r="AC22">
        <f>IF(Backend!AD49="", "", Backend!AD49)</f>
        <v>0.22615498000000001</v>
      </c>
      <c r="AD22">
        <f>IF(Backend!AE49="", "", Backend!AE49)</f>
        <v>0.58248526</v>
      </c>
      <c r="AE22">
        <f>IF(Backend!AF49="", "", Backend!AF49)</f>
        <v>0.64851373000000001</v>
      </c>
      <c r="AF22">
        <f>IF(Backend!AG49="", "", Backend!AG49)</f>
        <v>0.70323323999999998</v>
      </c>
      <c r="AG22">
        <f>IF(Backend!AH49="", "", Backend!AH49)</f>
        <v>-0.15659939</v>
      </c>
      <c r="AH22">
        <f>IF(Backend!AI49="", "", Backend!AI49)</f>
        <v>-0.26463658000000001</v>
      </c>
      <c r="AI22">
        <f>IF(Backend!AJ49="", "", Backend!AJ49)</f>
        <v>-0.23089788999999999</v>
      </c>
      <c r="AJ22">
        <f>IF(Backend!AK49="", "", Backend!AK49)</f>
        <v>4.3481593000000004E-3</v>
      </c>
      <c r="AK22">
        <f>IF(Backend!AL49="", "", Backend!AL49)</f>
        <v>2.1097997E-2</v>
      </c>
      <c r="AL22">
        <f>IF(Backend!AM49="", "", Backend!AM49)</f>
        <v>0.61487687000000002</v>
      </c>
      <c r="AM22">
        <f>IF(Backend!AN49="", "", Backend!AN49)</f>
        <v>-0.22224215999999999</v>
      </c>
      <c r="AN22">
        <f>IF(Backend!AO49="", "", Backend!AO49)</f>
        <v>0.46947250000000001</v>
      </c>
      <c r="AO22">
        <f>IF(Backend!AP49="", "", Backend!AP49)</f>
        <v>0.56311750000000005</v>
      </c>
      <c r="AP22">
        <f>IF(Backend!AQ49="", "", Backend!AQ49)</f>
        <v>0.76018569999999996</v>
      </c>
      <c r="AQ22">
        <f>IF(Backend!AR49="", "", Backend!AR49)</f>
        <v>3.6522113000000002E-2</v>
      </c>
      <c r="AR22">
        <f>IF(Backend!AS49="", "", Backend!AS49)</f>
        <v>0.34641864999999999</v>
      </c>
      <c r="AS22">
        <f>IF(Backend!AT49="", "", Backend!AT49)</f>
        <v>0.10660843</v>
      </c>
      <c r="AT22">
        <f>IF(Backend!AU49="", "", Backend!AU49)</f>
        <v>-1.4284187E-2</v>
      </c>
      <c r="AU22">
        <f>IF(Backend!AV49="", "", Backend!AV49)</f>
        <v>-0.32208413000000002</v>
      </c>
      <c r="AV22">
        <f>IF(Backend!AW49="", "", Backend!AW49)</f>
        <v>0.69947389999999998</v>
      </c>
      <c r="AW22">
        <f>IF(Backend!AX49="", "", Backend!AX49)</f>
        <v>0.30337286000000002</v>
      </c>
      <c r="AX22">
        <f>IF(Backend!AY49="", "", Backend!AY49)</f>
        <v>0.46816716000000003</v>
      </c>
      <c r="AY22">
        <f>IF(Backend!AZ49="", "", Backend!AZ49)</f>
        <v>0.56774159999999996</v>
      </c>
      <c r="AZ22">
        <f>IF(Backend!BA49="", "", Backend!BA49)</f>
        <v>0.38306105000000001</v>
      </c>
      <c r="BA22">
        <f>IF(Backend!BB49="", "", Backend!BB49)</f>
        <v>0.56476420000000005</v>
      </c>
      <c r="BB22">
        <f>IF(Backend!BC49="", "", Backend!BC49)</f>
        <v>0.57450690000000004</v>
      </c>
      <c r="BC22">
        <f>IF(Backend!BD49="", "", Backend!BD49)</f>
        <v>0.44807172000000001</v>
      </c>
      <c r="BD22">
        <f>IF(Backend!BE49="", "", Backend!BE49)</f>
        <v>0.70306926999999997</v>
      </c>
      <c r="BE22">
        <f>IF(Backend!BF49="", "", Backend!BF49)</f>
        <v>0.38911380000000001</v>
      </c>
      <c r="BF22">
        <f>IF(Backend!BG49="", "", Backend!BG49)</f>
        <v>0.62497692999999999</v>
      </c>
      <c r="BG22">
        <f>IF(Backend!BH49="", "", Backend!BH49)</f>
        <v>0.43250883000000001</v>
      </c>
      <c r="BH22">
        <f>IF(Backend!BI49="", "", Backend!BI49)</f>
        <v>0.43977407000000002</v>
      </c>
      <c r="BI22" t="str">
        <f>IF(Backend!BJ49="", "", Backend!BJ49)</f>
        <v/>
      </c>
      <c r="BJ22" t="str">
        <f>IF(Backend!BK49="", "", Backend!BK49)</f>
        <v/>
      </c>
      <c r="BK22" t="str">
        <f>IF(Backend!BL49="", "", Backend!BL49)</f>
        <v/>
      </c>
      <c r="BL22" t="str">
        <f>IF(Backend!BM49="", "", Backend!BM49)</f>
        <v/>
      </c>
      <c r="BM22" t="str">
        <f>IF(Backend!BN49="", "", Backend!BN49)</f>
        <v/>
      </c>
      <c r="BN22" t="str">
        <f>IF(Backend!BO49="", "", Backend!BO49)</f>
        <v/>
      </c>
      <c r="BO22" t="str">
        <f>IF(Backend!BP49="", "", Backend!BP49)</f>
        <v/>
      </c>
      <c r="BP22" t="str">
        <f>IF(Backend!BQ49="", "", Backend!BQ49)</f>
        <v/>
      </c>
      <c r="BQ22" t="str">
        <f>IF(Backend!BR49="", "", Backend!BR49)</f>
        <v/>
      </c>
      <c r="BR22" t="str">
        <f>IF(Backend!BS49="", "", Backend!BS49)</f>
        <v/>
      </c>
      <c r="BS22" t="str">
        <f>IF(Backend!BT49="", "", Backend!BT49)</f>
        <v/>
      </c>
      <c r="BT22" t="str">
        <f>IF(Backend!BU49="", "", Backend!BU49)</f>
        <v/>
      </c>
      <c r="BU22" t="str">
        <f>IF(Backend!BV49="", "", Backend!BV49)</f>
        <v/>
      </c>
      <c r="BV22" t="str">
        <f>IF(Backend!BW49="", "", Backend!BW49)</f>
        <v/>
      </c>
      <c r="BW22" t="str">
        <f>IF(Backend!BX49="", "", Backend!BX49)</f>
        <v/>
      </c>
      <c r="BX22" t="str">
        <f>IF(Backend!BY49="", "", Backend!BY49)</f>
        <v/>
      </c>
      <c r="BY22" t="str">
        <f>IF(Backend!BZ49="", "", Backend!BZ49)</f>
        <v/>
      </c>
      <c r="BZ22" t="str">
        <f>IF(Backend!CA49="", "", Backend!CA49)</f>
        <v/>
      </c>
      <c r="CA22" t="str">
        <f>IF(Backend!CB49="", "", Backend!CB49)</f>
        <v/>
      </c>
      <c r="CB22" t="str">
        <f>IF(Backend!CC49="", "", Backend!CC49)</f>
        <v/>
      </c>
      <c r="CC22" t="str">
        <f>IF(Backend!CD49="", "", Backend!CD49)</f>
        <v/>
      </c>
    </row>
    <row r="23" spans="1:81" x14ac:dyDescent="0.25">
      <c r="A23" s="4" t="str">
        <f>IF(Backend!A50="", "", Backend!A50)</f>
        <v>Hewlett Packard Enterprise Co.</v>
      </c>
      <c r="B23">
        <f>IF(Backend!C50="", "", Backend!C50)</f>
        <v>-0.50076580000000004</v>
      </c>
      <c r="C23">
        <f>IF(Backend!D50="", "", Backend!D50)</f>
        <v>-0.13774544</v>
      </c>
      <c r="D23">
        <f>IF(Backend!E50="", "", Backend!E50)</f>
        <v>-0.51164125999999999</v>
      </c>
      <c r="E23">
        <f>IF(Backend!F50="", "", Backend!F50)</f>
        <v>-0.50037867000000003</v>
      </c>
      <c r="F23">
        <f>IF(Backend!G50="", "", Backend!G50)</f>
        <v>-0.45088856999999999</v>
      </c>
      <c r="G23">
        <f>IF(Backend!H50="", "", Backend!H50)</f>
        <v>-0.48223319999999997</v>
      </c>
      <c r="H23">
        <f>IF(Backend!I50="", "", Backend!I50)</f>
        <v>-0.38767269999999998</v>
      </c>
      <c r="I23">
        <f>IF(Backend!J50="", "", Backend!J50)</f>
        <v>-0.64371310000000004</v>
      </c>
      <c r="J23">
        <f>IF(Backend!K50="", "", Backend!K50)</f>
        <v>-0.57058439999999999</v>
      </c>
      <c r="K23">
        <f>IF(Backend!L50="", "", Backend!L50)</f>
        <v>0.22885660999999999</v>
      </c>
      <c r="L23">
        <f>IF(Backend!M50="", "", Backend!M50)</f>
        <v>-0.52413153999999995</v>
      </c>
      <c r="M23">
        <f>IF(Backend!N50="", "", Backend!N50)</f>
        <v>-0.46115792</v>
      </c>
      <c r="N23">
        <f>IF(Backend!O50="", "", Backend!O50)</f>
        <v>-0.30883347999999999</v>
      </c>
      <c r="O23">
        <f>IF(Backend!P50="", "", Backend!P50)</f>
        <v>-0.59374199999999999</v>
      </c>
      <c r="P23">
        <f>IF(Backend!Q50="", "", Backend!Q50)</f>
        <v>0.68821189999999999</v>
      </c>
      <c r="Q23">
        <f>IF(Backend!R50="", "", Backend!R50)</f>
        <v>0.12346871</v>
      </c>
      <c r="R23">
        <f>IF(Backend!S50="", "", Backend!S50)</f>
        <v>-0.31839173999999998</v>
      </c>
      <c r="S23">
        <f>IF(Backend!T50="", "", Backend!T50)</f>
        <v>0.107888795</v>
      </c>
      <c r="T23">
        <f>IF(Backend!U50="", "", Backend!U50)</f>
        <v>-0.17813425999999999</v>
      </c>
      <c r="U23">
        <f>IF(Backend!V50="", "", Backend!V50)</f>
        <v>1</v>
      </c>
      <c r="V23">
        <f>IF(Backend!W50="", "", Backend!W50)</f>
        <v>-0.46177885000000002</v>
      </c>
      <c r="W23">
        <f>IF(Backend!X50="", "", Backend!X50)</f>
        <v>0.76474909999999996</v>
      </c>
      <c r="X23">
        <f>IF(Backend!Y50="", "", Backend!Y50)</f>
        <v>-0.60501740000000004</v>
      </c>
      <c r="Y23">
        <f>IF(Backend!Z50="", "", Backend!Z50)</f>
        <v>0.58747554000000002</v>
      </c>
      <c r="Z23">
        <f>IF(Backend!AA50="", "", Backend!AA50)</f>
        <v>-0.52317979999999997</v>
      </c>
      <c r="AA23">
        <f>IF(Backend!AB50="", "", Backend!AB50)</f>
        <v>-0.52851915000000005</v>
      </c>
      <c r="AB23">
        <f>IF(Backend!AC50="", "", Backend!AC50)</f>
        <v>-0.39631253</v>
      </c>
      <c r="AC23">
        <f>IF(Backend!AD50="", "", Backend!AD50)</f>
        <v>-5.9946407E-2</v>
      </c>
      <c r="AD23">
        <f>IF(Backend!AE50="", "", Backend!AE50)</f>
        <v>-0.55493455999999997</v>
      </c>
      <c r="AE23">
        <f>IF(Backend!AF50="", "", Backend!AF50)</f>
        <v>-3.1517927000000001E-2</v>
      </c>
      <c r="AF23">
        <f>IF(Backend!AG50="", "", Backend!AG50)</f>
        <v>-8.7828139999999999E-2</v>
      </c>
      <c r="AG23">
        <f>IF(Backend!AH50="", "", Backend!AH50)</f>
        <v>0.13384417000000001</v>
      </c>
      <c r="AH23">
        <f>IF(Backend!AI50="", "", Backend!AI50)</f>
        <v>0.74276257000000001</v>
      </c>
      <c r="AI23">
        <f>IF(Backend!AJ50="", "", Backend!AJ50)</f>
        <v>0.3284975</v>
      </c>
      <c r="AJ23">
        <f>IF(Backend!AK50="", "", Backend!AK50)</f>
        <v>0.68683773000000004</v>
      </c>
      <c r="AK23">
        <f>IF(Backend!AL50="", "", Backend!AL50)</f>
        <v>-0.55062747000000001</v>
      </c>
      <c r="AL23">
        <f>IF(Backend!AM50="", "", Backend!AM50)</f>
        <v>-0.56624406999999999</v>
      </c>
      <c r="AM23">
        <f>IF(Backend!AN50="", "", Backend!AN50)</f>
        <v>0.42375259999999998</v>
      </c>
      <c r="AN23">
        <f>IF(Backend!AO50="", "", Backend!AO50)</f>
        <v>-0.58093249999999996</v>
      </c>
      <c r="AO23">
        <f>IF(Backend!AP50="", "", Backend!AP50)</f>
        <v>-0.18694284999999999</v>
      </c>
      <c r="AP23">
        <f>IF(Backend!AQ50="", "", Backend!AQ50)</f>
        <v>-0.34546327999999998</v>
      </c>
      <c r="AQ23">
        <f>IF(Backend!AR50="", "", Backend!AR50)</f>
        <v>0.22094826000000001</v>
      </c>
      <c r="AR23">
        <f>IF(Backend!AS50="", "", Backend!AS50)</f>
        <v>-0.52422272999999997</v>
      </c>
      <c r="AS23">
        <f>IF(Backend!AT50="", "", Backend!AT50)</f>
        <v>0.66496646000000004</v>
      </c>
      <c r="AT23">
        <f>IF(Backend!AU50="", "", Backend!AU50)</f>
        <v>0.54313694999999995</v>
      </c>
      <c r="AU23">
        <f>IF(Backend!AV50="", "", Backend!AV50)</f>
        <v>0.76342993999999997</v>
      </c>
      <c r="AV23">
        <f>IF(Backend!AW50="", "", Backend!AW50)</f>
        <v>-0.43676700000000002</v>
      </c>
      <c r="AW23">
        <f>IF(Backend!AX50="", "", Backend!AX50)</f>
        <v>-0.52138764000000004</v>
      </c>
      <c r="AX23">
        <f>IF(Backend!AY50="", "", Backend!AY50)</f>
        <v>-4.2002127E-2</v>
      </c>
      <c r="AY23">
        <f>IF(Backend!AZ50="", "", Backend!AZ50)</f>
        <v>0.30469328000000001</v>
      </c>
      <c r="AZ23">
        <f>IF(Backend!BA50="", "", Backend!BA50)</f>
        <v>-0.40779045000000003</v>
      </c>
      <c r="BA23">
        <f>IF(Backend!BB50="", "", Backend!BB50)</f>
        <v>-0.37961903000000002</v>
      </c>
      <c r="BB23">
        <f>IF(Backend!BC50="", "", Backend!BC50)</f>
        <v>-0.31086712999999999</v>
      </c>
      <c r="BC23">
        <f>IF(Backend!BD50="", "", Backend!BD50)</f>
        <v>-0.47531600000000002</v>
      </c>
      <c r="BD23">
        <f>IF(Backend!BE50="", "", Backend!BE50)</f>
        <v>-0.45995799999999998</v>
      </c>
      <c r="BE23">
        <f>IF(Backend!BF50="", "", Backend!BF50)</f>
        <v>-0.64805745999999997</v>
      </c>
      <c r="BF23">
        <f>IF(Backend!BG50="", "", Backend!BG50)</f>
        <v>-0.58755089999999999</v>
      </c>
      <c r="BG23">
        <f>IF(Backend!BH50="", "", Backend!BH50)</f>
        <v>-0.13374130000000001</v>
      </c>
      <c r="BH23">
        <f>IF(Backend!BI50="", "", Backend!BI50)</f>
        <v>-0.43064940000000002</v>
      </c>
      <c r="BI23" t="str">
        <f>IF(Backend!BJ50="", "", Backend!BJ50)</f>
        <v/>
      </c>
      <c r="BJ23" t="str">
        <f>IF(Backend!BK50="", "", Backend!BK50)</f>
        <v/>
      </c>
      <c r="BK23" t="str">
        <f>IF(Backend!BL50="", "", Backend!BL50)</f>
        <v/>
      </c>
      <c r="BL23" t="str">
        <f>IF(Backend!BM50="", "", Backend!BM50)</f>
        <v/>
      </c>
      <c r="BM23" t="str">
        <f>IF(Backend!BN50="", "", Backend!BN50)</f>
        <v/>
      </c>
      <c r="BN23" t="str">
        <f>IF(Backend!BO50="", "", Backend!BO50)</f>
        <v/>
      </c>
      <c r="BO23" t="str">
        <f>IF(Backend!BP50="", "", Backend!BP50)</f>
        <v/>
      </c>
      <c r="BP23" t="str">
        <f>IF(Backend!BQ50="", "", Backend!BQ50)</f>
        <v/>
      </c>
      <c r="BQ23" t="str">
        <f>IF(Backend!BR50="", "", Backend!BR50)</f>
        <v/>
      </c>
      <c r="BR23" t="str">
        <f>IF(Backend!BS50="", "", Backend!BS50)</f>
        <v/>
      </c>
      <c r="BS23" t="str">
        <f>IF(Backend!BT50="", "", Backend!BT50)</f>
        <v/>
      </c>
      <c r="BT23" t="str">
        <f>IF(Backend!BU50="", "", Backend!BU50)</f>
        <v/>
      </c>
      <c r="BU23" t="str">
        <f>IF(Backend!BV50="", "", Backend!BV50)</f>
        <v/>
      </c>
      <c r="BV23" t="str">
        <f>IF(Backend!BW50="", "", Backend!BW50)</f>
        <v/>
      </c>
      <c r="BW23" t="str">
        <f>IF(Backend!BX50="", "", Backend!BX50)</f>
        <v/>
      </c>
      <c r="BX23" t="str">
        <f>IF(Backend!BY50="", "", Backend!BY50)</f>
        <v/>
      </c>
      <c r="BY23" t="str">
        <f>IF(Backend!BZ50="", "", Backend!BZ50)</f>
        <v/>
      </c>
      <c r="BZ23" t="str">
        <f>IF(Backend!CA50="", "", Backend!CA50)</f>
        <v/>
      </c>
      <c r="CA23" t="str">
        <f>IF(Backend!CB50="", "", Backend!CB50)</f>
        <v/>
      </c>
      <c r="CB23" t="str">
        <f>IF(Backend!CC50="", "", Backend!CC50)</f>
        <v/>
      </c>
      <c r="CC23" t="str">
        <f>IF(Backend!CD50="", "", Backend!CD50)</f>
        <v/>
      </c>
    </row>
    <row r="24" spans="1:81" x14ac:dyDescent="0.25">
      <c r="A24" s="4" t="str">
        <f>IF(Backend!A51="", "", Backend!A51)</f>
        <v>Intel Corporation</v>
      </c>
      <c r="B24">
        <f>IF(Backend!C51="", "", Backend!C51)</f>
        <v>0.89797419999999994</v>
      </c>
      <c r="C24">
        <f>IF(Backend!D51="", "", Backend!D51)</f>
        <v>0.50895374999999998</v>
      </c>
      <c r="D24">
        <f>IF(Backend!E51="", "", Backend!E51)</f>
        <v>0.76683299999999999</v>
      </c>
      <c r="E24">
        <f>IF(Backend!F51="", "", Backend!F51)</f>
        <v>0.82757849999999999</v>
      </c>
      <c r="F24">
        <f>IF(Backend!G51="", "", Backend!G51)</f>
        <v>0.64021236000000004</v>
      </c>
      <c r="G24">
        <f>IF(Backend!H51="", "", Backend!H51)</f>
        <v>0.7768351</v>
      </c>
      <c r="H24">
        <f>IF(Backend!I51="", "", Backend!I51)</f>
        <v>0.78807240000000001</v>
      </c>
      <c r="I24">
        <f>IF(Backend!J51="", "", Backend!J51)</f>
        <v>0.62840609999999997</v>
      </c>
      <c r="J24">
        <f>IF(Backend!K51="", "", Backend!K51)</f>
        <v>0.26757902</v>
      </c>
      <c r="K24">
        <f>IF(Backend!L51="", "", Backend!L51)</f>
        <v>0.18526403999999999</v>
      </c>
      <c r="L24">
        <f>IF(Backend!M51="", "", Backend!M51)</f>
        <v>0.56874245000000001</v>
      </c>
      <c r="M24">
        <f>IF(Backend!N51="", "", Backend!N51)</f>
        <v>0.62372863000000001</v>
      </c>
      <c r="N24">
        <f>IF(Backend!O51="", "", Backend!O51)</f>
        <v>0.73333789999999999</v>
      </c>
      <c r="O24">
        <f>IF(Backend!P51="", "", Backend!P51)</f>
        <v>0.58017390000000002</v>
      </c>
      <c r="P24">
        <f>IF(Backend!Q51="", "", Backend!Q51)</f>
        <v>-0.42975955999999998</v>
      </c>
      <c r="Q24">
        <f>IF(Backend!R51="", "", Backend!R51)</f>
        <v>0.31885859999999999</v>
      </c>
      <c r="R24">
        <f>IF(Backend!S51="", "", Backend!S51)</f>
        <v>0.72812659999999996</v>
      </c>
      <c r="S24">
        <f>IF(Backend!T51="", "", Backend!T51)</f>
        <v>-0.2262641</v>
      </c>
      <c r="T24">
        <f>IF(Backend!U51="", "", Backend!U51)</f>
        <v>0.67959510000000001</v>
      </c>
      <c r="U24">
        <f>IF(Backend!V51="", "", Backend!V51)</f>
        <v>-0.46177885000000002</v>
      </c>
      <c r="V24">
        <f>IF(Backend!W51="", "", Backend!W51)</f>
        <v>1</v>
      </c>
      <c r="W24">
        <f>IF(Backend!X51="", "", Backend!X51)</f>
        <v>-0.40635997000000001</v>
      </c>
      <c r="X24">
        <f>IF(Backend!Y51="", "", Backend!Y51)</f>
        <v>0.82171875000000005</v>
      </c>
      <c r="Y24">
        <f>IF(Backend!Z51="", "", Backend!Z51)</f>
        <v>-0.48560520000000001</v>
      </c>
      <c r="Z24">
        <f>IF(Backend!AA51="", "", Backend!AA51)</f>
        <v>0.49708881999999999</v>
      </c>
      <c r="AA24">
        <f>IF(Backend!AB51="", "", Backend!AB51)</f>
        <v>0.85992986000000005</v>
      </c>
      <c r="AB24">
        <f>IF(Backend!AC51="", "", Backend!AC51)</f>
        <v>0.59109179999999995</v>
      </c>
      <c r="AC24">
        <f>IF(Backend!AD51="", "", Backend!AD51)</f>
        <v>0.36420681999999999</v>
      </c>
      <c r="AD24">
        <f>IF(Backend!AE51="", "", Backend!AE51)</f>
        <v>0.78719914000000002</v>
      </c>
      <c r="AE24">
        <f>IF(Backend!AF51="", "", Backend!AF51)</f>
        <v>0.66304189999999996</v>
      </c>
      <c r="AF24">
        <f>IF(Backend!AG51="", "", Backend!AG51)</f>
        <v>0.64211439999999997</v>
      </c>
      <c r="AG24">
        <f>IF(Backend!AH51="", "", Backend!AH51)</f>
        <v>-0.25186878000000001</v>
      </c>
      <c r="AH24">
        <f>IF(Backend!AI51="", "", Backend!AI51)</f>
        <v>-0.63290970000000002</v>
      </c>
      <c r="AI24">
        <f>IF(Backend!AJ51="", "", Backend!AJ51)</f>
        <v>-0.31706643000000001</v>
      </c>
      <c r="AJ24">
        <f>IF(Backend!AK51="", "", Backend!AK51)</f>
        <v>-0.37913665000000002</v>
      </c>
      <c r="AK24">
        <f>IF(Backend!AL51="", "", Backend!AL51)</f>
        <v>0.45123816</v>
      </c>
      <c r="AL24">
        <f>IF(Backend!AM51="", "", Backend!AM51)</f>
        <v>0.84922206</v>
      </c>
      <c r="AM24">
        <f>IF(Backend!AN51="", "", Backend!AN51)</f>
        <v>-0.27522333999999998</v>
      </c>
      <c r="AN24">
        <f>IF(Backend!AO51="", "", Backend!AO51)</f>
        <v>0.8184266</v>
      </c>
      <c r="AO24">
        <f>IF(Backend!AP51="", "", Backend!AP51)</f>
        <v>0.68881380000000003</v>
      </c>
      <c r="AP24">
        <f>IF(Backend!AQ51="", "", Backend!AQ51)</f>
        <v>0.89092404000000003</v>
      </c>
      <c r="AQ24">
        <f>IF(Backend!AR51="", "", Backend!AR51)</f>
        <v>-4.2749773999999997E-2</v>
      </c>
      <c r="AR24">
        <f>IF(Backend!AS51="", "", Backend!AS51)</f>
        <v>0.71056249999999999</v>
      </c>
      <c r="AS24">
        <f>IF(Backend!AT51="", "", Backend!AT51)</f>
        <v>-0.26493597000000002</v>
      </c>
      <c r="AT24">
        <f>IF(Backend!AU51="", "", Backend!AU51)</f>
        <v>-0.25590237999999998</v>
      </c>
      <c r="AU24">
        <f>IF(Backend!AV51="", "", Backend!AV51)</f>
        <v>-0.62255300000000002</v>
      </c>
      <c r="AV24">
        <f>IF(Backend!AW51="", "", Backend!AW51)</f>
        <v>0.8628188</v>
      </c>
      <c r="AW24">
        <f>IF(Backend!AX51="", "", Backend!AX51)</f>
        <v>0.62020284000000003</v>
      </c>
      <c r="AX24">
        <f>IF(Backend!AY51="", "", Backend!AY51)</f>
        <v>0.45274281999999999</v>
      </c>
      <c r="AY24">
        <f>IF(Backend!AZ51="", "", Backend!AZ51)</f>
        <v>0.36295483000000001</v>
      </c>
      <c r="AZ24">
        <f>IF(Backend!BA51="", "", Backend!BA51)</f>
        <v>0.73512244000000004</v>
      </c>
      <c r="BA24">
        <f>IF(Backend!BB51="", "", Backend!BB51)</f>
        <v>0.70961890000000005</v>
      </c>
      <c r="BB24">
        <f>IF(Backend!BC51="", "", Backend!BC51)</f>
        <v>0.68427870000000002</v>
      </c>
      <c r="BC24">
        <f>IF(Backend!BD51="", "", Backend!BD51)</f>
        <v>0.77083389999999996</v>
      </c>
      <c r="BD24">
        <f>IF(Backend!BE51="", "", Backend!BE51)</f>
        <v>0.85445899999999997</v>
      </c>
      <c r="BE24">
        <f>IF(Backend!BF51="", "", Backend!BF51)</f>
        <v>0.81701809999999997</v>
      </c>
      <c r="BF24">
        <f>IF(Backend!BG51="", "", Backend!BG51)</f>
        <v>0.86639076000000004</v>
      </c>
      <c r="BG24">
        <f>IF(Backend!BH51="", "", Backend!BH51)</f>
        <v>0.47875615999999999</v>
      </c>
      <c r="BH24">
        <f>IF(Backend!BI51="", "", Backend!BI51)</f>
        <v>0.64534139999999995</v>
      </c>
      <c r="BI24" t="str">
        <f>IF(Backend!BJ51="", "", Backend!BJ51)</f>
        <v/>
      </c>
      <c r="BJ24" t="str">
        <f>IF(Backend!BK51="", "", Backend!BK51)</f>
        <v/>
      </c>
      <c r="BK24" t="str">
        <f>IF(Backend!BL51="", "", Backend!BL51)</f>
        <v/>
      </c>
      <c r="BL24" t="str">
        <f>IF(Backend!BM51="", "", Backend!BM51)</f>
        <v/>
      </c>
      <c r="BM24" t="str">
        <f>IF(Backend!BN51="", "", Backend!BN51)</f>
        <v/>
      </c>
      <c r="BN24" t="str">
        <f>IF(Backend!BO51="", "", Backend!BO51)</f>
        <v/>
      </c>
      <c r="BO24" t="str">
        <f>IF(Backend!BP51="", "", Backend!BP51)</f>
        <v/>
      </c>
      <c r="BP24" t="str">
        <f>IF(Backend!BQ51="", "", Backend!BQ51)</f>
        <v/>
      </c>
      <c r="BQ24" t="str">
        <f>IF(Backend!BR51="", "", Backend!BR51)</f>
        <v/>
      </c>
      <c r="BR24" t="str">
        <f>IF(Backend!BS51="", "", Backend!BS51)</f>
        <v/>
      </c>
      <c r="BS24" t="str">
        <f>IF(Backend!BT51="", "", Backend!BT51)</f>
        <v/>
      </c>
      <c r="BT24" t="str">
        <f>IF(Backend!BU51="", "", Backend!BU51)</f>
        <v/>
      </c>
      <c r="BU24" t="str">
        <f>IF(Backend!BV51="", "", Backend!BV51)</f>
        <v/>
      </c>
      <c r="BV24" t="str">
        <f>IF(Backend!BW51="", "", Backend!BW51)</f>
        <v/>
      </c>
      <c r="BW24" t="str">
        <f>IF(Backend!BX51="", "", Backend!BX51)</f>
        <v/>
      </c>
      <c r="BX24" t="str">
        <f>IF(Backend!BY51="", "", Backend!BY51)</f>
        <v/>
      </c>
      <c r="BY24" t="str">
        <f>IF(Backend!BZ51="", "", Backend!BZ51)</f>
        <v/>
      </c>
      <c r="BZ24" t="str">
        <f>IF(Backend!CA51="", "", Backend!CA51)</f>
        <v/>
      </c>
      <c r="CA24" t="str">
        <f>IF(Backend!CB51="", "", Backend!CB51)</f>
        <v/>
      </c>
      <c r="CB24" t="str">
        <f>IF(Backend!CC51="", "", Backend!CC51)</f>
        <v/>
      </c>
      <c r="CC24" t="str">
        <f>IF(Backend!CD51="", "", Backend!CD51)</f>
        <v/>
      </c>
    </row>
    <row r="25" spans="1:81" x14ac:dyDescent="0.25">
      <c r="A25" s="4" t="str">
        <f>IF(Backend!A52="", "", Backend!A52)</f>
        <v>KB Financial Group Inc.</v>
      </c>
      <c r="B25">
        <f>IF(Backend!C52="", "", Backend!C52)</f>
        <v>-0.36073139999999998</v>
      </c>
      <c r="C25">
        <f>IF(Backend!D52="", "", Backend!D52)</f>
        <v>-8.8448429999999995E-2</v>
      </c>
      <c r="D25">
        <f>IF(Backend!E52="", "", Backend!E52)</f>
        <v>-0.28168723000000001</v>
      </c>
      <c r="E25">
        <f>IF(Backend!F52="", "", Backend!F52)</f>
        <v>-0.42558204999999999</v>
      </c>
      <c r="F25">
        <f>IF(Backend!G52="", "", Backend!G52)</f>
        <v>-0.24727321999999999</v>
      </c>
      <c r="G25">
        <f>IF(Backend!H52="", "", Backend!H52)</f>
        <v>-0.39735516999999998</v>
      </c>
      <c r="H25">
        <f>IF(Backend!I52="", "", Backend!I52)</f>
        <v>-0.17297414</v>
      </c>
      <c r="I25">
        <f>IF(Backend!J52="", "", Backend!J52)</f>
        <v>-0.61578697000000004</v>
      </c>
      <c r="J25">
        <f>IF(Backend!K52="", "", Backend!K52)</f>
        <v>-0.61799145</v>
      </c>
      <c r="K25">
        <f>IF(Backend!L52="", "", Backend!L52)</f>
        <v>0.5558708</v>
      </c>
      <c r="L25">
        <f>IF(Backend!M52="", "", Backend!M52)</f>
        <v>-0.61038214000000002</v>
      </c>
      <c r="M25">
        <f>IF(Backend!N52="", "", Backend!N52)</f>
        <v>-0.54939590000000005</v>
      </c>
      <c r="N25">
        <f>IF(Backend!O52="", "", Backend!O52)</f>
        <v>-1.7451923000000001E-2</v>
      </c>
      <c r="O25">
        <f>IF(Backend!P52="", "", Backend!P52)</f>
        <v>-0.6132668</v>
      </c>
      <c r="P25">
        <f>IF(Backend!Q52="", "", Backend!Q52)</f>
        <v>0.46846408</v>
      </c>
      <c r="Q25">
        <f>IF(Backend!R52="", "", Backend!R52)</f>
        <v>0.29619613</v>
      </c>
      <c r="R25">
        <f>IF(Backend!S52="", "", Backend!S52)</f>
        <v>-8.672668E-2</v>
      </c>
      <c r="S25">
        <f>IF(Backend!T52="", "", Backend!T52)</f>
        <v>-0.36625170000000001</v>
      </c>
      <c r="T25">
        <f>IF(Backend!U52="", "", Backend!U52)</f>
        <v>-2.0788323000000001E-2</v>
      </c>
      <c r="U25">
        <f>IF(Backend!V52="", "", Backend!V52)</f>
        <v>0.76474909999999996</v>
      </c>
      <c r="V25">
        <f>IF(Backend!W52="", "", Backend!W52)</f>
        <v>-0.40635997000000001</v>
      </c>
      <c r="W25">
        <f>IF(Backend!X52="", "", Backend!X52)</f>
        <v>1</v>
      </c>
      <c r="X25">
        <f>IF(Backend!Y52="", "", Backend!Y52)</f>
        <v>-0.5783722</v>
      </c>
      <c r="Y25">
        <f>IF(Backend!Z52="", "", Backend!Z52)</f>
        <v>0.73540190000000005</v>
      </c>
      <c r="Z25">
        <f>IF(Backend!AA52="", "", Backend!AA52)</f>
        <v>-0.68980163000000005</v>
      </c>
      <c r="AA25">
        <f>IF(Backend!AB52="", "", Backend!AB52)</f>
        <v>-0.57666695000000001</v>
      </c>
      <c r="AB25">
        <f>IF(Backend!AC52="", "", Backend!AC52)</f>
        <v>-0.60378039999999999</v>
      </c>
      <c r="AC25">
        <f>IF(Backend!AD52="", "", Backend!AD52)</f>
        <v>-0.24249799999999999</v>
      </c>
      <c r="AD25">
        <f>IF(Backend!AE52="", "", Backend!AE52)</f>
        <v>-0.58211833000000002</v>
      </c>
      <c r="AE25">
        <f>IF(Backend!AF52="", "", Backend!AF52)</f>
        <v>0.13641784000000001</v>
      </c>
      <c r="AF25">
        <f>IF(Backend!AG52="", "", Backend!AG52)</f>
        <v>7.7375230000000003E-2</v>
      </c>
      <c r="AG25">
        <f>IF(Backend!AH52="", "", Backend!AH52)</f>
        <v>-0.21578890000000001</v>
      </c>
      <c r="AH25">
        <f>IF(Backend!AI52="", "", Backend!AI52)</f>
        <v>0.86571467000000002</v>
      </c>
      <c r="AI25">
        <f>IF(Backend!AJ52="", "", Backend!AJ52)</f>
        <v>0.20401739999999999</v>
      </c>
      <c r="AJ25">
        <f>IF(Backend!AK52="", "", Backend!AK52)</f>
        <v>0.88529866999999995</v>
      </c>
      <c r="AK25">
        <f>IF(Backend!AL52="", "", Backend!AL52)</f>
        <v>-0.56514883000000005</v>
      </c>
      <c r="AL25">
        <f>IF(Backend!AM52="", "", Backend!AM52)</f>
        <v>-0.46160456999999999</v>
      </c>
      <c r="AM25">
        <f>IF(Backend!AN52="", "", Backend!AN52)</f>
        <v>0.12538414000000001</v>
      </c>
      <c r="AN25">
        <f>IF(Backend!AO52="", "", Backend!AO52)</f>
        <v>-0.61744297000000004</v>
      </c>
      <c r="AO25">
        <f>IF(Backend!AP52="", "", Backend!AP52)</f>
        <v>-0.15975733</v>
      </c>
      <c r="AP25">
        <f>IF(Backend!AQ52="", "", Backend!AQ52)</f>
        <v>-0.2173262</v>
      </c>
      <c r="AQ25">
        <f>IF(Backend!AR52="", "", Backend!AR52)</f>
        <v>0.14774276</v>
      </c>
      <c r="AR25">
        <f>IF(Backend!AS52="", "", Backend!AS52)</f>
        <v>-0.26123455000000001</v>
      </c>
      <c r="AS25">
        <f>IF(Backend!AT52="", "", Backend!AT52)</f>
        <v>0.94876223999999998</v>
      </c>
      <c r="AT25">
        <f>IF(Backend!AU52="", "", Backend!AU52)</f>
        <v>0.75026590000000004</v>
      </c>
      <c r="AU25">
        <f>IF(Backend!AV52="", "", Backend!AV52)</f>
        <v>0.82526535000000001</v>
      </c>
      <c r="AV25">
        <f>IF(Backend!AW52="", "", Backend!AW52)</f>
        <v>-0.2464597</v>
      </c>
      <c r="AW25">
        <f>IF(Backend!AX52="", "", Backend!AX52)</f>
        <v>-0.65457564999999995</v>
      </c>
      <c r="AX25">
        <f>IF(Backend!AY52="", "", Backend!AY52)</f>
        <v>-0.2521042</v>
      </c>
      <c r="AY25">
        <f>IF(Backend!AZ52="", "", Backend!AZ52)</f>
        <v>0.3622784</v>
      </c>
      <c r="AZ25">
        <f>IF(Backend!BA52="", "", Backend!BA52)</f>
        <v>-0.27563989999999999</v>
      </c>
      <c r="BA25">
        <f>IF(Backend!BB52="", "", Backend!BB52)</f>
        <v>7.6930714000000002E-3</v>
      </c>
      <c r="BB25">
        <f>IF(Backend!BC52="", "", Backend!BC52)</f>
        <v>-0.17240638999999999</v>
      </c>
      <c r="BC25">
        <f>IF(Backend!BD52="", "", Backend!BD52)</f>
        <v>-0.20652287</v>
      </c>
      <c r="BD25">
        <f>IF(Backend!BE52="", "", Backend!BE52)</f>
        <v>-0.36024850000000003</v>
      </c>
      <c r="BE25">
        <f>IF(Backend!BF52="", "", Backend!BF52)</f>
        <v>-0.57995342999999999</v>
      </c>
      <c r="BF25">
        <f>IF(Backend!BG52="", "", Backend!BG52)</f>
        <v>-0.43600670000000002</v>
      </c>
      <c r="BG25">
        <f>IF(Backend!BH52="", "", Backend!BH52)</f>
        <v>1.0292068999999999E-2</v>
      </c>
      <c r="BH25">
        <f>IF(Backend!BI52="", "", Backend!BI52)</f>
        <v>-0.48778394000000003</v>
      </c>
      <c r="BI25" t="str">
        <f>IF(Backend!BJ52="", "", Backend!BJ52)</f>
        <v/>
      </c>
      <c r="BJ25" t="str">
        <f>IF(Backend!BK52="", "", Backend!BK52)</f>
        <v/>
      </c>
      <c r="BK25" t="str">
        <f>IF(Backend!BL52="", "", Backend!BL52)</f>
        <v/>
      </c>
      <c r="BL25" t="str">
        <f>IF(Backend!BM52="", "", Backend!BM52)</f>
        <v/>
      </c>
      <c r="BM25" t="str">
        <f>IF(Backend!BN52="", "", Backend!BN52)</f>
        <v/>
      </c>
      <c r="BN25" t="str">
        <f>IF(Backend!BO52="", "", Backend!BO52)</f>
        <v/>
      </c>
      <c r="BO25" t="str">
        <f>IF(Backend!BP52="", "", Backend!BP52)</f>
        <v/>
      </c>
      <c r="BP25" t="str">
        <f>IF(Backend!BQ52="", "", Backend!BQ52)</f>
        <v/>
      </c>
      <c r="BQ25" t="str">
        <f>IF(Backend!BR52="", "", Backend!BR52)</f>
        <v/>
      </c>
      <c r="BR25" t="str">
        <f>IF(Backend!BS52="", "", Backend!BS52)</f>
        <v/>
      </c>
      <c r="BS25" t="str">
        <f>IF(Backend!BT52="", "", Backend!BT52)</f>
        <v/>
      </c>
      <c r="BT25" t="str">
        <f>IF(Backend!BU52="", "", Backend!BU52)</f>
        <v/>
      </c>
      <c r="BU25" t="str">
        <f>IF(Backend!BV52="", "", Backend!BV52)</f>
        <v/>
      </c>
      <c r="BV25" t="str">
        <f>IF(Backend!BW52="", "", Backend!BW52)</f>
        <v/>
      </c>
      <c r="BW25" t="str">
        <f>IF(Backend!BX52="", "", Backend!BX52)</f>
        <v/>
      </c>
      <c r="BX25" t="str">
        <f>IF(Backend!BY52="", "", Backend!BY52)</f>
        <v/>
      </c>
      <c r="BY25" t="str">
        <f>IF(Backend!BZ52="", "", Backend!BZ52)</f>
        <v/>
      </c>
      <c r="BZ25" t="str">
        <f>IF(Backend!CA52="", "", Backend!CA52)</f>
        <v/>
      </c>
      <c r="CA25" t="str">
        <f>IF(Backend!CB52="", "", Backend!CB52)</f>
        <v/>
      </c>
      <c r="CB25" t="str">
        <f>IF(Backend!CC52="", "", Backend!CC52)</f>
        <v/>
      </c>
      <c r="CC25" t="str">
        <f>IF(Backend!CD52="", "", Backend!CD52)</f>
        <v/>
      </c>
    </row>
    <row r="26" spans="1:81" x14ac:dyDescent="0.25">
      <c r="A26" s="4" t="str">
        <f>IF(Backend!A53="", "", Backend!A53)</f>
        <v>Kering SA</v>
      </c>
      <c r="B26">
        <f>IF(Backend!C53="", "", Backend!C53)</f>
        <v>0.81038695999999999</v>
      </c>
      <c r="C26">
        <f>IF(Backend!D53="", "", Backend!D53)</f>
        <v>0.58211005000000005</v>
      </c>
      <c r="D26">
        <f>IF(Backend!E53="", "", Backend!E53)</f>
        <v>0.80698029999999998</v>
      </c>
      <c r="E26">
        <f>IF(Backend!F53="", "", Backend!F53)</f>
        <v>0.92712019999999995</v>
      </c>
      <c r="F26">
        <f>IF(Backend!G53="", "", Backend!G53)</f>
        <v>0.58769539999999998</v>
      </c>
      <c r="G26">
        <f>IF(Backend!H53="", "", Backend!H53)</f>
        <v>0.88098180000000004</v>
      </c>
      <c r="H26">
        <f>IF(Backend!I53="", "", Backend!I53)</f>
        <v>0.76261674999999995</v>
      </c>
      <c r="I26">
        <f>IF(Backend!J53="", "", Backend!J53)</f>
        <v>0.84295940000000003</v>
      </c>
      <c r="J26">
        <f>IF(Backend!K53="", "", Backend!K53)</f>
        <v>0.56039196000000002</v>
      </c>
      <c r="K26">
        <f>IF(Backend!L53="", "", Backend!L53)</f>
        <v>0.12809812000000001</v>
      </c>
      <c r="L26">
        <f>IF(Backend!M53="", "", Backend!M53)</f>
        <v>0.84900993000000002</v>
      </c>
      <c r="M26">
        <f>IF(Backend!N53="", "", Backend!N53)</f>
        <v>0.71268432999999998</v>
      </c>
      <c r="N26">
        <f>IF(Backend!O53="", "", Backend!O53)</f>
        <v>0.67450710000000003</v>
      </c>
      <c r="O26">
        <f>IF(Backend!P53="", "", Backend!P53)</f>
        <v>0.74853842999999998</v>
      </c>
      <c r="P26">
        <f>IF(Backend!Q53="", "", Backend!Q53)</f>
        <v>-0.56914693000000005</v>
      </c>
      <c r="Q26">
        <f>IF(Backend!R53="", "", Backend!R53)</f>
        <v>7.6452640000000002E-2</v>
      </c>
      <c r="R26">
        <f>IF(Backend!S53="", "", Backend!S53)</f>
        <v>0.74530476000000001</v>
      </c>
      <c r="S26">
        <f>IF(Backend!T53="", "", Backend!T53)</f>
        <v>-0.19977028999999999</v>
      </c>
      <c r="T26">
        <f>IF(Backend!U53="", "", Backend!U53)</f>
        <v>0.51526724999999995</v>
      </c>
      <c r="U26">
        <f>IF(Backend!V53="", "", Backend!V53)</f>
        <v>-0.60501740000000004</v>
      </c>
      <c r="V26">
        <f>IF(Backend!W53="", "", Backend!W53)</f>
        <v>0.82171875000000005</v>
      </c>
      <c r="W26">
        <f>IF(Backend!X53="", "", Backend!X53)</f>
        <v>-0.5783722</v>
      </c>
      <c r="X26">
        <f>IF(Backend!Y53="", "", Backend!Y53)</f>
        <v>1</v>
      </c>
      <c r="Y26">
        <f>IF(Backend!Z53="", "", Backend!Z53)</f>
        <v>-0.47184712000000001</v>
      </c>
      <c r="Z26">
        <f>IF(Backend!AA53="", "", Backend!AA53)</f>
        <v>0.66930449999999997</v>
      </c>
      <c r="AA26">
        <f>IF(Backend!AB53="", "", Backend!AB53)</f>
        <v>0.91988844000000003</v>
      </c>
      <c r="AB26">
        <f>IF(Backend!AC53="", "", Backend!AC53)</f>
        <v>0.57731940000000004</v>
      </c>
      <c r="AC26">
        <f>IF(Backend!AD53="", "", Backend!AD53)</f>
        <v>0.4254039</v>
      </c>
      <c r="AD26">
        <f>IF(Backend!AE53="", "", Backend!AE53)</f>
        <v>0.88159889999999996</v>
      </c>
      <c r="AE26">
        <f>IF(Backend!AF53="", "", Backend!AF53)</f>
        <v>0.43572519999999998</v>
      </c>
      <c r="AF26">
        <f>IF(Backend!AG53="", "", Backend!AG53)</f>
        <v>0.59406966000000005</v>
      </c>
      <c r="AG26">
        <f>IF(Backend!AH53="", "", Backend!AH53)</f>
        <v>-0.31685635000000001</v>
      </c>
      <c r="AH26">
        <f>IF(Backend!AI53="", "", Backend!AI53)</f>
        <v>-0.70543679999999997</v>
      </c>
      <c r="AI26">
        <f>IF(Backend!AJ53="", "", Backend!AJ53)</f>
        <v>-0.25081639999999999</v>
      </c>
      <c r="AJ26">
        <f>IF(Backend!AK53="", "", Backend!AK53)</f>
        <v>-0.59447050000000001</v>
      </c>
      <c r="AK26">
        <f>IF(Backend!AL53="", "", Backend!AL53)</f>
        <v>0.68842506000000003</v>
      </c>
      <c r="AL26">
        <f>IF(Backend!AM53="", "", Backend!AM53)</f>
        <v>0.92062354000000002</v>
      </c>
      <c r="AM26">
        <f>IF(Backend!AN53="", "", Backend!AN53)</f>
        <v>-0.33956912</v>
      </c>
      <c r="AN26">
        <f>IF(Backend!AO53="", "", Backend!AO53)</f>
        <v>0.9148307</v>
      </c>
      <c r="AO26">
        <f>IF(Backend!AP53="", "", Backend!AP53)</f>
        <v>0.76658729999999997</v>
      </c>
      <c r="AP26">
        <f>IF(Backend!AQ53="", "", Backend!AQ53)</f>
        <v>0.7988364</v>
      </c>
      <c r="AQ26">
        <f>IF(Backend!AR53="", "", Backend!AR53)</f>
        <v>-4.3271034999999999E-2</v>
      </c>
      <c r="AR26">
        <f>IF(Backend!AS53="", "", Backend!AS53)</f>
        <v>0.71656050000000004</v>
      </c>
      <c r="AS26">
        <f>IF(Backend!AT53="", "", Backend!AT53)</f>
        <v>-0.40439585</v>
      </c>
      <c r="AT26">
        <f>IF(Backend!AU53="", "", Backend!AU53)</f>
        <v>-0.35884031999999999</v>
      </c>
      <c r="AU26">
        <f>IF(Backend!AV53="", "", Backend!AV53)</f>
        <v>-0.72878419999999999</v>
      </c>
      <c r="AV26">
        <f>IF(Backend!AW53="", "", Backend!AW53)</f>
        <v>0.82532490000000003</v>
      </c>
      <c r="AW26">
        <f>IF(Backend!AX53="", "", Backend!AX53)</f>
        <v>0.85527929999999996</v>
      </c>
      <c r="AX26">
        <f>IF(Backend!AY53="", "", Backend!AY53)</f>
        <v>0.41056362000000002</v>
      </c>
      <c r="AY26">
        <f>IF(Backend!AZ53="", "", Backend!AZ53)</f>
        <v>3.7115566000000003E-2</v>
      </c>
      <c r="AZ26">
        <f>IF(Backend!BA53="", "", Backend!BA53)</f>
        <v>0.78449904999999998</v>
      </c>
      <c r="BA26">
        <f>IF(Backend!BB53="", "", Backend!BB53)</f>
        <v>0.61306579999999999</v>
      </c>
      <c r="BB26">
        <f>IF(Backend!BC53="", "", Backend!BC53)</f>
        <v>0.61398565999999999</v>
      </c>
      <c r="BC26">
        <f>IF(Backend!BD53="", "", Backend!BD53)</f>
        <v>0.77975976000000002</v>
      </c>
      <c r="BD26">
        <f>IF(Backend!BE53="", "", Backend!BE53)</f>
        <v>0.87563789999999997</v>
      </c>
      <c r="BE26">
        <f>IF(Backend!BF53="", "", Backend!BF53)</f>
        <v>0.9367645</v>
      </c>
      <c r="BF26">
        <f>IF(Backend!BG53="", "", Backend!BG53)</f>
        <v>0.84745360000000003</v>
      </c>
      <c r="BG26">
        <f>IF(Backend!BH53="", "", Backend!BH53)</f>
        <v>0.51267200000000002</v>
      </c>
      <c r="BH26">
        <f>IF(Backend!BI53="", "", Backend!BI53)</f>
        <v>0.76342577</v>
      </c>
      <c r="BI26" t="str">
        <f>IF(Backend!BJ53="", "", Backend!BJ53)</f>
        <v/>
      </c>
      <c r="BJ26" t="str">
        <f>IF(Backend!BK53="", "", Backend!BK53)</f>
        <v/>
      </c>
      <c r="BK26" t="str">
        <f>IF(Backend!BL53="", "", Backend!BL53)</f>
        <v/>
      </c>
      <c r="BL26" t="str">
        <f>IF(Backend!BM53="", "", Backend!BM53)</f>
        <v/>
      </c>
      <c r="BM26" t="str">
        <f>IF(Backend!BN53="", "", Backend!BN53)</f>
        <v/>
      </c>
      <c r="BN26" t="str">
        <f>IF(Backend!BO53="", "", Backend!BO53)</f>
        <v/>
      </c>
      <c r="BO26" t="str">
        <f>IF(Backend!BP53="", "", Backend!BP53)</f>
        <v/>
      </c>
      <c r="BP26" t="str">
        <f>IF(Backend!BQ53="", "", Backend!BQ53)</f>
        <v/>
      </c>
      <c r="BQ26" t="str">
        <f>IF(Backend!BR53="", "", Backend!BR53)</f>
        <v/>
      </c>
      <c r="BR26" t="str">
        <f>IF(Backend!BS53="", "", Backend!BS53)</f>
        <v/>
      </c>
      <c r="BS26" t="str">
        <f>IF(Backend!BT53="", "", Backend!BT53)</f>
        <v/>
      </c>
      <c r="BT26" t="str">
        <f>IF(Backend!BU53="", "", Backend!BU53)</f>
        <v/>
      </c>
      <c r="BU26" t="str">
        <f>IF(Backend!BV53="", "", Backend!BV53)</f>
        <v/>
      </c>
      <c r="BV26" t="str">
        <f>IF(Backend!BW53="", "", Backend!BW53)</f>
        <v/>
      </c>
      <c r="BW26" t="str">
        <f>IF(Backend!BX53="", "", Backend!BX53)</f>
        <v/>
      </c>
      <c r="BX26" t="str">
        <f>IF(Backend!BY53="", "", Backend!BY53)</f>
        <v/>
      </c>
      <c r="BY26" t="str">
        <f>IF(Backend!BZ53="", "", Backend!BZ53)</f>
        <v/>
      </c>
      <c r="BZ26" t="str">
        <f>IF(Backend!CA53="", "", Backend!CA53)</f>
        <v/>
      </c>
      <c r="CA26" t="str">
        <f>IF(Backend!CB53="", "", Backend!CB53)</f>
        <v/>
      </c>
      <c r="CB26" t="str">
        <f>IF(Backend!CC53="", "", Backend!CC53)</f>
        <v/>
      </c>
      <c r="CC26" t="str">
        <f>IF(Backend!CD53="", "", Backend!CD53)</f>
        <v/>
      </c>
    </row>
    <row r="27" spans="1:81" x14ac:dyDescent="0.25">
      <c r="A27" s="4" t="str">
        <f>IF(Backend!A54="", "", Backend!A54)</f>
        <v>Koninklijke Ahold Delhaize N.V.</v>
      </c>
      <c r="B27">
        <f>IF(Backend!C54="", "", Backend!C54)</f>
        <v>-0.42778264999999999</v>
      </c>
      <c r="C27">
        <f>IF(Backend!D54="", "", Backend!D54)</f>
        <v>-0.16400461</v>
      </c>
      <c r="D27">
        <f>IF(Backend!E54="", "", Backend!E54)</f>
        <v>-0.34861964000000001</v>
      </c>
      <c r="E27">
        <f>IF(Backend!F54="", "", Backend!F54)</f>
        <v>-0.30853069999999999</v>
      </c>
      <c r="F27">
        <f>IF(Backend!G54="", "", Backend!G54)</f>
        <v>-0.36220983000000001</v>
      </c>
      <c r="G27">
        <f>IF(Backend!H54="", "", Backend!H54)</f>
        <v>-0.29817929999999998</v>
      </c>
      <c r="H27">
        <f>IF(Backend!I54="", "", Backend!I54)</f>
        <v>-0.18459656999999999</v>
      </c>
      <c r="I27">
        <f>IF(Backend!J54="", "", Backend!J54)</f>
        <v>-0.50370210000000004</v>
      </c>
      <c r="J27">
        <f>IF(Backend!K54="", "", Backend!K54)</f>
        <v>-0.51955026000000004</v>
      </c>
      <c r="K27">
        <f>IF(Backend!L54="", "", Backend!L54)</f>
        <v>0.4677539</v>
      </c>
      <c r="L27">
        <f>IF(Backend!M54="", "", Backend!M54)</f>
        <v>-0.3320845</v>
      </c>
      <c r="M27">
        <f>IF(Backend!N54="", "", Backend!N54)</f>
        <v>-0.38324629999999998</v>
      </c>
      <c r="N27">
        <f>IF(Backend!O54="", "", Backend!O54)</f>
        <v>-2.6797779000000001E-2</v>
      </c>
      <c r="O27">
        <f>IF(Backend!P54="", "", Backend!P54)</f>
        <v>-0.57678925999999997</v>
      </c>
      <c r="P27">
        <f>IF(Backend!Q54="", "", Backend!Q54)</f>
        <v>0.50516455999999998</v>
      </c>
      <c r="Q27">
        <f>IF(Backend!R54="", "", Backend!R54)</f>
        <v>0.10814844999999999</v>
      </c>
      <c r="R27">
        <f>IF(Backend!S54="", "", Backend!S54)</f>
        <v>-0.101294674</v>
      </c>
      <c r="S27">
        <f>IF(Backend!T54="", "", Backend!T54)</f>
        <v>-0.35947698</v>
      </c>
      <c r="T27">
        <f>IF(Backend!U54="", "", Backend!U54)</f>
        <v>-0.13492968999999999</v>
      </c>
      <c r="U27">
        <f>IF(Backend!V54="", "", Backend!V54)</f>
        <v>0.58747554000000002</v>
      </c>
      <c r="V27">
        <f>IF(Backend!W54="", "", Backend!W54)</f>
        <v>-0.48560520000000001</v>
      </c>
      <c r="W27">
        <f>IF(Backend!X54="", "", Backend!X54)</f>
        <v>0.73540190000000005</v>
      </c>
      <c r="X27">
        <f>IF(Backend!Y54="", "", Backend!Y54)</f>
        <v>-0.47184712000000001</v>
      </c>
      <c r="Y27">
        <f>IF(Backend!Z54="", "", Backend!Z54)</f>
        <v>1</v>
      </c>
      <c r="Z27">
        <f>IF(Backend!AA54="", "", Backend!AA54)</f>
        <v>-0.67987489999999995</v>
      </c>
      <c r="AA27">
        <f>IF(Backend!AB54="", "", Backend!AB54)</f>
        <v>-0.5260184</v>
      </c>
      <c r="AB27">
        <f>IF(Backend!AC54="", "", Backend!AC54)</f>
        <v>-0.7126808</v>
      </c>
      <c r="AC27">
        <f>IF(Backend!AD54="", "", Backend!AD54)</f>
        <v>-0.22457250000000001</v>
      </c>
      <c r="AD27">
        <f>IF(Backend!AE54="", "", Backend!AE54)</f>
        <v>-0.57735753000000001</v>
      </c>
      <c r="AE27">
        <f>IF(Backend!AF54="", "", Backend!AF54)</f>
        <v>5.5579326999999998E-2</v>
      </c>
      <c r="AF27">
        <f>IF(Backend!AG54="", "", Backend!AG54)</f>
        <v>-6.1676679999999998E-2</v>
      </c>
      <c r="AG27">
        <f>IF(Backend!AH54="", "", Backend!AH54)</f>
        <v>-7.9392770000000001E-2</v>
      </c>
      <c r="AH27">
        <f>IF(Backend!AI54="", "", Backend!AI54)</f>
        <v>0.86894154999999995</v>
      </c>
      <c r="AI27">
        <f>IF(Backend!AJ54="", "", Backend!AJ54)</f>
        <v>0.22747284000000001</v>
      </c>
      <c r="AJ27">
        <f>IF(Backend!AK54="", "", Backend!AK54)</f>
        <v>0.78391829999999996</v>
      </c>
      <c r="AK27">
        <f>IF(Backend!AL54="", "", Backend!AL54)</f>
        <v>-0.50011419999999995</v>
      </c>
      <c r="AL27">
        <f>IF(Backend!AM54="", "", Backend!AM54)</f>
        <v>-0.44665919999999998</v>
      </c>
      <c r="AM27">
        <f>IF(Backend!AN54="", "", Backend!AN54)</f>
        <v>0.17886323000000001</v>
      </c>
      <c r="AN27">
        <f>IF(Backend!AO54="", "", Backend!AO54)</f>
        <v>-0.48990961999999999</v>
      </c>
      <c r="AO27">
        <f>IF(Backend!AP54="", "", Backend!AP54)</f>
        <v>-0.20115279</v>
      </c>
      <c r="AP27">
        <f>IF(Backend!AQ54="", "", Backend!AQ54)</f>
        <v>-0.33126</v>
      </c>
      <c r="AQ27">
        <f>IF(Backend!AR54="", "", Backend!AR54)</f>
        <v>0.31289127</v>
      </c>
      <c r="AR27">
        <f>IF(Backend!AS54="", "", Backend!AS54)</f>
        <v>-0.28872510000000001</v>
      </c>
      <c r="AS27">
        <f>IF(Backend!AT54="", "", Backend!AT54)</f>
        <v>0.66739899999999996</v>
      </c>
      <c r="AT27">
        <f>IF(Backend!AU54="", "", Backend!AU54)</f>
        <v>0.83942320000000004</v>
      </c>
      <c r="AU27">
        <f>IF(Backend!AV54="", "", Backend!AV54)</f>
        <v>0.81323650000000003</v>
      </c>
      <c r="AV27">
        <f>IF(Backend!AW54="", "", Backend!AW54)</f>
        <v>-0.33014768</v>
      </c>
      <c r="AW27">
        <f>IF(Backend!AX54="", "", Backend!AX54)</f>
        <v>-0.4384787</v>
      </c>
      <c r="AX27">
        <f>IF(Backend!AY54="", "", Backend!AY54)</f>
        <v>-0.13164048</v>
      </c>
      <c r="AY27">
        <f>IF(Backend!AZ54="", "", Backend!AZ54)</f>
        <v>0.30786449999999999</v>
      </c>
      <c r="AZ27">
        <f>IF(Backend!BA54="", "", Backend!BA54)</f>
        <v>-0.32674855000000003</v>
      </c>
      <c r="BA27">
        <f>IF(Backend!BB54="", "", Backend!BB54)</f>
        <v>-0.19851953</v>
      </c>
      <c r="BB27">
        <f>IF(Backend!BC54="", "", Backend!BC54)</f>
        <v>-0.36001346000000001</v>
      </c>
      <c r="BC27">
        <f>IF(Backend!BD54="", "", Backend!BD54)</f>
        <v>-0.33152680000000001</v>
      </c>
      <c r="BD27">
        <f>IF(Backend!BE54="", "", Backend!BE54)</f>
        <v>-0.31524344999999998</v>
      </c>
      <c r="BE27">
        <f>IF(Backend!BF54="", "", Backend!BF54)</f>
        <v>-0.50624406</v>
      </c>
      <c r="BF27">
        <f>IF(Backend!BG54="", "", Backend!BG54)</f>
        <v>-0.55606940000000005</v>
      </c>
      <c r="BG27">
        <f>IF(Backend!BH54="", "", Backend!BH54)</f>
        <v>-0.11102861</v>
      </c>
      <c r="BH27">
        <f>IF(Backend!BI54="", "", Backend!BI54)</f>
        <v>-0.41708050000000002</v>
      </c>
      <c r="BI27" t="str">
        <f>IF(Backend!BJ54="", "", Backend!BJ54)</f>
        <v/>
      </c>
      <c r="BJ27" t="str">
        <f>IF(Backend!BK54="", "", Backend!BK54)</f>
        <v/>
      </c>
      <c r="BK27" t="str">
        <f>IF(Backend!BL54="", "", Backend!BL54)</f>
        <v/>
      </c>
      <c r="BL27" t="str">
        <f>IF(Backend!BM54="", "", Backend!BM54)</f>
        <v/>
      </c>
      <c r="BM27" t="str">
        <f>IF(Backend!BN54="", "", Backend!BN54)</f>
        <v/>
      </c>
      <c r="BN27" t="str">
        <f>IF(Backend!BO54="", "", Backend!BO54)</f>
        <v/>
      </c>
      <c r="BO27" t="str">
        <f>IF(Backend!BP54="", "", Backend!BP54)</f>
        <v/>
      </c>
      <c r="BP27" t="str">
        <f>IF(Backend!BQ54="", "", Backend!BQ54)</f>
        <v/>
      </c>
      <c r="BQ27" t="str">
        <f>IF(Backend!BR54="", "", Backend!BR54)</f>
        <v/>
      </c>
      <c r="BR27" t="str">
        <f>IF(Backend!BS54="", "", Backend!BS54)</f>
        <v/>
      </c>
      <c r="BS27" t="str">
        <f>IF(Backend!BT54="", "", Backend!BT54)</f>
        <v/>
      </c>
      <c r="BT27" t="str">
        <f>IF(Backend!BU54="", "", Backend!BU54)</f>
        <v/>
      </c>
      <c r="BU27" t="str">
        <f>IF(Backend!BV54="", "", Backend!BV54)</f>
        <v/>
      </c>
      <c r="BV27" t="str">
        <f>IF(Backend!BW54="", "", Backend!BW54)</f>
        <v/>
      </c>
      <c r="BW27" t="str">
        <f>IF(Backend!BX54="", "", Backend!BX54)</f>
        <v/>
      </c>
      <c r="BX27" t="str">
        <f>IF(Backend!BY54="", "", Backend!BY54)</f>
        <v/>
      </c>
      <c r="BY27" t="str">
        <f>IF(Backend!BZ54="", "", Backend!BZ54)</f>
        <v/>
      </c>
      <c r="BZ27" t="str">
        <f>IF(Backend!CA54="", "", Backend!CA54)</f>
        <v/>
      </c>
      <c r="CA27" t="str">
        <f>IF(Backend!CB54="", "", Backend!CB54)</f>
        <v/>
      </c>
      <c r="CB27" t="str">
        <f>IF(Backend!CC54="", "", Backend!CC54)</f>
        <v/>
      </c>
      <c r="CC27" t="str">
        <f>IF(Backend!CD54="", "", Backend!CD54)</f>
        <v/>
      </c>
    </row>
    <row r="28" spans="1:81" x14ac:dyDescent="0.25">
      <c r="A28" s="4" t="str">
        <f>IF(Backend!A55="", "", Backend!A55)</f>
        <v>Kraft Heinz Company</v>
      </c>
      <c r="B28">
        <f>IF(Backend!C55="", "", Backend!C55)</f>
        <v>0.46023916999999998</v>
      </c>
      <c r="C28">
        <f>IF(Backend!D55="", "", Backend!D55)</f>
        <v>0.45975858000000003</v>
      </c>
      <c r="D28">
        <f>IF(Backend!E55="", "", Backend!E55)</f>
        <v>0.47882834000000002</v>
      </c>
      <c r="E28">
        <f>IF(Backend!F55="", "", Backend!F55)</f>
        <v>0.52026324999999995</v>
      </c>
      <c r="F28">
        <f>IF(Backend!G55="", "", Backend!G55)</f>
        <v>0.22123831999999999</v>
      </c>
      <c r="G28">
        <f>IF(Backend!H55="", "", Backend!H55)</f>
        <v>0.56519127000000002</v>
      </c>
      <c r="H28">
        <f>IF(Backend!I55="", "", Backend!I55)</f>
        <v>0.30998418</v>
      </c>
      <c r="I28">
        <f>IF(Backend!J55="", "", Backend!J55)</f>
        <v>0.68251360000000005</v>
      </c>
      <c r="J28">
        <f>IF(Backend!K55="", "", Backend!K55)</f>
        <v>0.65139950000000002</v>
      </c>
      <c r="K28">
        <f>IF(Backend!L55="", "", Backend!L55)</f>
        <v>-0.15248558000000001</v>
      </c>
      <c r="L28">
        <f>IF(Backend!M55="", "", Backend!M55)</f>
        <v>0.59240009999999999</v>
      </c>
      <c r="M28">
        <f>IF(Backend!N55="", "", Backend!N55)</f>
        <v>0.73540530000000004</v>
      </c>
      <c r="N28">
        <f>IF(Backend!O55="", "", Backend!O55)</f>
        <v>0.12063544</v>
      </c>
      <c r="O28">
        <f>IF(Backend!P55="", "", Backend!P55)</f>
        <v>0.75374322999999999</v>
      </c>
      <c r="P28">
        <f>IF(Backend!Q55="", "", Backend!Q55)</f>
        <v>-0.37149070000000001</v>
      </c>
      <c r="Q28">
        <f>IF(Backend!R55="", "", Backend!R55)</f>
        <v>6.0662519999999998E-2</v>
      </c>
      <c r="R28">
        <f>IF(Backend!S55="", "", Backend!S55)</f>
        <v>0.34678419999999999</v>
      </c>
      <c r="S28">
        <f>IF(Backend!T55="", "", Backend!T55)</f>
        <v>0.31682047000000002</v>
      </c>
      <c r="T28">
        <f>IF(Backend!U55="", "", Backend!U55)</f>
        <v>0.27446391999999997</v>
      </c>
      <c r="U28">
        <f>IF(Backend!V55="", "", Backend!V55)</f>
        <v>-0.52317979999999997</v>
      </c>
      <c r="V28">
        <f>IF(Backend!W55="", "", Backend!W55)</f>
        <v>0.49708881999999999</v>
      </c>
      <c r="W28">
        <f>IF(Backend!X55="", "", Backend!X55)</f>
        <v>-0.68980163000000005</v>
      </c>
      <c r="X28">
        <f>IF(Backend!Y55="", "", Backend!Y55)</f>
        <v>0.66930449999999997</v>
      </c>
      <c r="Y28">
        <f>IF(Backend!Z55="", "", Backend!Z55)</f>
        <v>-0.67987489999999995</v>
      </c>
      <c r="Z28">
        <f>IF(Backend!AA55="", "", Backend!AA55)</f>
        <v>1</v>
      </c>
      <c r="AA28">
        <f>IF(Backend!AB55="", "", Backend!AB55)</f>
        <v>0.66044809999999998</v>
      </c>
      <c r="AB28">
        <f>IF(Backend!AC55="", "", Backend!AC55)</f>
        <v>0.81036805999999995</v>
      </c>
      <c r="AC28">
        <f>IF(Backend!AD55="", "", Backend!AD55)</f>
        <v>0.50156087000000005</v>
      </c>
      <c r="AD28">
        <f>IF(Backend!AE55="", "", Backend!AE55)</f>
        <v>0.78124369999999999</v>
      </c>
      <c r="AE28">
        <f>IF(Backend!AF55="", "", Backend!AF55)</f>
        <v>5.1750360000000002E-2</v>
      </c>
      <c r="AF28">
        <f>IF(Backend!AG55="", "", Backend!AG55)</f>
        <v>0.32507592000000002</v>
      </c>
      <c r="AG28">
        <f>IF(Backend!AH55="", "", Backend!AH55)</f>
        <v>0.124204546</v>
      </c>
      <c r="AH28">
        <f>IF(Backend!AI55="", "", Backend!AI55)</f>
        <v>-0.74487764000000001</v>
      </c>
      <c r="AI28">
        <f>IF(Backend!AJ55="", "", Backend!AJ55)</f>
        <v>-0.17388872999999999</v>
      </c>
      <c r="AJ28">
        <f>IF(Backend!AK55="", "", Backend!AK55)</f>
        <v>-0.76172810000000002</v>
      </c>
      <c r="AK28">
        <f>IF(Backend!AL55="", "", Backend!AL55)</f>
        <v>0.65277510000000005</v>
      </c>
      <c r="AL28">
        <f>IF(Backend!AM55="", "", Backend!AM55)</f>
        <v>0.56491270000000005</v>
      </c>
      <c r="AM28">
        <f>IF(Backend!AN55="", "", Backend!AN55)</f>
        <v>-6.9246680000000005E-2</v>
      </c>
      <c r="AN28">
        <f>IF(Backend!AO55="", "", Backend!AO55)</f>
        <v>0.63365567</v>
      </c>
      <c r="AO28">
        <f>IF(Backend!AP55="", "", Backend!AP55)</f>
        <v>0.54918115999999995</v>
      </c>
      <c r="AP28">
        <f>IF(Backend!AQ55="", "", Backend!AQ55)</f>
        <v>0.49939549999999999</v>
      </c>
      <c r="AQ28">
        <f>IF(Backend!AR55="", "", Backend!AR55)</f>
        <v>5.2855804999999999E-2</v>
      </c>
      <c r="AR28">
        <f>IF(Backend!AS55="", "", Backend!AS55)</f>
        <v>0.36762040000000001</v>
      </c>
      <c r="AS28">
        <f>IF(Backend!AT55="", "", Backend!AT55)</f>
        <v>-0.54576594</v>
      </c>
      <c r="AT28">
        <f>IF(Backend!AU55="", "", Backend!AU55)</f>
        <v>-0.65477395000000005</v>
      </c>
      <c r="AU28">
        <f>IF(Backend!AV55="", "", Backend!AV55)</f>
        <v>-0.78435354999999995</v>
      </c>
      <c r="AV28">
        <f>IF(Backend!AW55="", "", Backend!AW55)</f>
        <v>0.45361230000000002</v>
      </c>
      <c r="AW28">
        <f>IF(Backend!AX55="", "", Backend!AX55)</f>
        <v>0.73699170000000003</v>
      </c>
      <c r="AX28">
        <f>IF(Backend!AY55="", "", Backend!AY55)</f>
        <v>0.46506570000000003</v>
      </c>
      <c r="AY28">
        <f>IF(Backend!AZ55="", "", Backend!AZ55)</f>
        <v>-0.3405012</v>
      </c>
      <c r="AZ28">
        <f>IF(Backend!BA55="", "", Backend!BA55)</f>
        <v>0.55373912999999997</v>
      </c>
      <c r="BA28">
        <f>IF(Backend!BB55="", "", Backend!BB55)</f>
        <v>0.26511709999999999</v>
      </c>
      <c r="BB28">
        <f>IF(Backend!BC55="", "", Backend!BC55)</f>
        <v>0.29135168</v>
      </c>
      <c r="BC28">
        <f>IF(Backend!BD55="", "", Backend!BD55)</f>
        <v>0.42343318000000002</v>
      </c>
      <c r="BD28">
        <f>IF(Backend!BE55="", "", Backend!BE55)</f>
        <v>0.54007689999999997</v>
      </c>
      <c r="BE28">
        <f>IF(Backend!BF55="", "", Backend!BF55)</f>
        <v>0.68711549999999999</v>
      </c>
      <c r="BF28">
        <f>IF(Backend!BG55="", "", Backend!BG55)</f>
        <v>0.59382086999999995</v>
      </c>
      <c r="BG28">
        <f>IF(Backend!BH55="", "", Backend!BH55)</f>
        <v>0.39985221999999998</v>
      </c>
      <c r="BH28">
        <f>IF(Backend!BI55="", "", Backend!BI55)</f>
        <v>0.70407116000000003</v>
      </c>
      <c r="BI28" t="str">
        <f>IF(Backend!BJ55="", "", Backend!BJ55)</f>
        <v/>
      </c>
      <c r="BJ28" t="str">
        <f>IF(Backend!BK55="", "", Backend!BK55)</f>
        <v/>
      </c>
      <c r="BK28" t="str">
        <f>IF(Backend!BL55="", "", Backend!BL55)</f>
        <v/>
      </c>
      <c r="BL28" t="str">
        <f>IF(Backend!BM55="", "", Backend!BM55)</f>
        <v/>
      </c>
      <c r="BM28" t="str">
        <f>IF(Backend!BN55="", "", Backend!BN55)</f>
        <v/>
      </c>
      <c r="BN28" t="str">
        <f>IF(Backend!BO55="", "", Backend!BO55)</f>
        <v/>
      </c>
      <c r="BO28" t="str">
        <f>IF(Backend!BP55="", "", Backend!BP55)</f>
        <v/>
      </c>
      <c r="BP28" t="str">
        <f>IF(Backend!BQ55="", "", Backend!BQ55)</f>
        <v/>
      </c>
      <c r="BQ28" t="str">
        <f>IF(Backend!BR55="", "", Backend!BR55)</f>
        <v/>
      </c>
      <c r="BR28" t="str">
        <f>IF(Backend!BS55="", "", Backend!BS55)</f>
        <v/>
      </c>
      <c r="BS28" t="str">
        <f>IF(Backend!BT55="", "", Backend!BT55)</f>
        <v/>
      </c>
      <c r="BT28" t="str">
        <f>IF(Backend!BU55="", "", Backend!BU55)</f>
        <v/>
      </c>
      <c r="BU28" t="str">
        <f>IF(Backend!BV55="", "", Backend!BV55)</f>
        <v/>
      </c>
      <c r="BV28" t="str">
        <f>IF(Backend!BW55="", "", Backend!BW55)</f>
        <v/>
      </c>
      <c r="BW28" t="str">
        <f>IF(Backend!BX55="", "", Backend!BX55)</f>
        <v/>
      </c>
      <c r="BX28" t="str">
        <f>IF(Backend!BY55="", "", Backend!BY55)</f>
        <v/>
      </c>
      <c r="BY28" t="str">
        <f>IF(Backend!BZ55="", "", Backend!BZ55)</f>
        <v/>
      </c>
      <c r="BZ28" t="str">
        <f>IF(Backend!CA55="", "", Backend!CA55)</f>
        <v/>
      </c>
      <c r="CA28" t="str">
        <f>IF(Backend!CB55="", "", Backend!CB55)</f>
        <v/>
      </c>
      <c r="CB28" t="str">
        <f>IF(Backend!CC55="", "", Backend!CC55)</f>
        <v/>
      </c>
      <c r="CC28" t="str">
        <f>IF(Backend!CD55="", "", Backend!CD55)</f>
        <v/>
      </c>
    </row>
    <row r="29" spans="1:81" x14ac:dyDescent="0.25">
      <c r="A29" s="4" t="str">
        <f>IF(Backend!A56="", "", Backend!A56)</f>
        <v>Lear Corporation</v>
      </c>
      <c r="B29">
        <f>IF(Backend!C56="", "", Backend!C56)</f>
        <v>0.83683660000000004</v>
      </c>
      <c r="C29">
        <f>IF(Backend!D56="", "", Backend!D56)</f>
        <v>0.51846033000000002</v>
      </c>
      <c r="D29">
        <f>IF(Backend!E56="", "", Backend!E56)</f>
        <v>0.72770190000000001</v>
      </c>
      <c r="E29">
        <f>IF(Backend!F56="", "", Backend!F56)</f>
        <v>0.91253209999999996</v>
      </c>
      <c r="F29">
        <f>IF(Backend!G56="", "", Backend!G56)</f>
        <v>0.53754670000000004</v>
      </c>
      <c r="G29">
        <f>IF(Backend!H56="", "", Backend!H56)</f>
        <v>0.82085750000000002</v>
      </c>
      <c r="H29">
        <f>IF(Backend!I56="", "", Backend!I56)</f>
        <v>0.72448652999999996</v>
      </c>
      <c r="I29">
        <f>IF(Backend!J56="", "", Backend!J56)</f>
        <v>0.74356310000000003</v>
      </c>
      <c r="J29">
        <f>IF(Backend!K56="", "", Backend!K56)</f>
        <v>0.42787617</v>
      </c>
      <c r="K29">
        <f>IF(Backend!L56="", "", Backend!L56)</f>
        <v>6.6873244999999998E-2</v>
      </c>
      <c r="L29">
        <f>IF(Backend!M56="", "", Backend!M56)</f>
        <v>0.75460349999999998</v>
      </c>
      <c r="M29">
        <f>IF(Backend!N56="", "", Backend!N56)</f>
        <v>0.70450809999999997</v>
      </c>
      <c r="N29">
        <f>IF(Backend!O56="", "", Backend!O56)</f>
        <v>0.60656019999999999</v>
      </c>
      <c r="O29">
        <f>IF(Backend!P56="", "", Backend!P56)</f>
        <v>0.703399</v>
      </c>
      <c r="P29">
        <f>IF(Backend!Q56="", "", Backend!Q56)</f>
        <v>-0.45400992000000001</v>
      </c>
      <c r="Q29">
        <f>IF(Backend!R56="", "", Backend!R56)</f>
        <v>0.15684580000000001</v>
      </c>
      <c r="R29">
        <f>IF(Backend!S56="", "", Backend!S56)</f>
        <v>0.67285633</v>
      </c>
      <c r="S29">
        <f>IF(Backend!T56="", "", Backend!T56)</f>
        <v>-8.1682934999999998E-2</v>
      </c>
      <c r="T29">
        <f>IF(Backend!U56="", "", Backend!U56)</f>
        <v>0.59304299999999999</v>
      </c>
      <c r="U29">
        <f>IF(Backend!V56="", "", Backend!V56)</f>
        <v>-0.52851915000000005</v>
      </c>
      <c r="V29">
        <f>IF(Backend!W56="", "", Backend!W56)</f>
        <v>0.85992986000000005</v>
      </c>
      <c r="W29">
        <f>IF(Backend!X56="", "", Backend!X56)</f>
        <v>-0.57666695000000001</v>
      </c>
      <c r="X29">
        <f>IF(Backend!Y56="", "", Backend!Y56)</f>
        <v>0.91988844000000003</v>
      </c>
      <c r="Y29">
        <f>IF(Backend!Z56="", "", Backend!Z56)</f>
        <v>-0.5260184</v>
      </c>
      <c r="Z29">
        <f>IF(Backend!AA56="", "", Backend!AA56)</f>
        <v>0.66044809999999998</v>
      </c>
      <c r="AA29">
        <f>IF(Backend!AB56="", "", Backend!AB56)</f>
        <v>1</v>
      </c>
      <c r="AB29">
        <f>IF(Backend!AC56="", "", Backend!AC56)</f>
        <v>0.69263565999999999</v>
      </c>
      <c r="AC29">
        <f>IF(Backend!AD56="", "", Backend!AD56)</f>
        <v>0.47208099999999997</v>
      </c>
      <c r="AD29">
        <f>IF(Backend!AE56="", "", Backend!AE56)</f>
        <v>0.88907460000000005</v>
      </c>
      <c r="AE29">
        <f>IF(Backend!AF56="", "", Backend!AF56)</f>
        <v>0.49480748000000002</v>
      </c>
      <c r="AF29">
        <f>IF(Backend!AG56="", "", Backend!AG56)</f>
        <v>0.60337954999999999</v>
      </c>
      <c r="AG29">
        <f>IF(Backend!AH56="", "", Backend!AH56)</f>
        <v>-0.18981612</v>
      </c>
      <c r="AH29">
        <f>IF(Backend!AI56="", "", Backend!AI56)</f>
        <v>-0.73058694999999996</v>
      </c>
      <c r="AI29">
        <f>IF(Backend!AJ56="", "", Backend!AJ56)</f>
        <v>-0.24582274000000001</v>
      </c>
      <c r="AJ29">
        <f>IF(Backend!AK56="", "", Backend!AK56)</f>
        <v>-0.58959556000000002</v>
      </c>
      <c r="AK29">
        <f>IF(Backend!AL56="", "", Backend!AL56)</f>
        <v>0.62770265000000003</v>
      </c>
      <c r="AL29">
        <f>IF(Backend!AM56="", "", Backend!AM56)</f>
        <v>0.88174960000000002</v>
      </c>
      <c r="AM29">
        <f>IF(Backend!AN56="", "", Backend!AN56)</f>
        <v>-0.25687202999999997</v>
      </c>
      <c r="AN29">
        <f>IF(Backend!AO56="", "", Backend!AO56)</f>
        <v>0.91006905000000005</v>
      </c>
      <c r="AO29">
        <f>IF(Backend!AP56="", "", Backend!AP56)</f>
        <v>0.74038630000000005</v>
      </c>
      <c r="AP29">
        <f>IF(Backend!AQ56="", "", Backend!AQ56)</f>
        <v>0.81975186</v>
      </c>
      <c r="AQ29">
        <f>IF(Backend!AR56="", "", Backend!AR56)</f>
        <v>-8.2116629999999996E-2</v>
      </c>
      <c r="AR29">
        <f>IF(Backend!AS56="", "", Backend!AS56)</f>
        <v>0.63539939999999995</v>
      </c>
      <c r="AS29">
        <f>IF(Backend!AT56="", "", Backend!AT56)</f>
        <v>-0.42175240000000003</v>
      </c>
      <c r="AT29">
        <f>IF(Backend!AU56="", "", Backend!AU56)</f>
        <v>-0.38802302</v>
      </c>
      <c r="AU29">
        <f>IF(Backend!AV56="", "", Backend!AV56)</f>
        <v>-0.74284720000000004</v>
      </c>
      <c r="AV29">
        <f>IF(Backend!AW56="", "", Backend!AW56)</f>
        <v>0.81914883999999999</v>
      </c>
      <c r="AW29">
        <f>IF(Backend!AX56="", "", Backend!AX56)</f>
        <v>0.81177069999999996</v>
      </c>
      <c r="AX29">
        <f>IF(Backend!AY56="", "", Backend!AY56)</f>
        <v>0.49007582999999999</v>
      </c>
      <c r="AY29">
        <f>IF(Backend!AZ56="", "", Backend!AZ56)</f>
        <v>0.13131090000000001</v>
      </c>
      <c r="AZ29">
        <f>IF(Backend!BA56="", "", Backend!BA56)</f>
        <v>0.71342415000000003</v>
      </c>
      <c r="BA29">
        <f>IF(Backend!BB56="", "", Backend!BB56)</f>
        <v>0.55821889999999996</v>
      </c>
      <c r="BB29">
        <f>IF(Backend!BC56="", "", Backend!BC56)</f>
        <v>0.64392039999999995</v>
      </c>
      <c r="BC29">
        <f>IF(Backend!BD56="", "", Backend!BD56)</f>
        <v>0.71768224000000003</v>
      </c>
      <c r="BD29">
        <f>IF(Backend!BE56="", "", Backend!BE56)</f>
        <v>0.85292060000000003</v>
      </c>
      <c r="BE29">
        <f>IF(Backend!BF56="", "", Backend!BF56)</f>
        <v>0.87586295999999997</v>
      </c>
      <c r="BF29">
        <f>IF(Backend!BG56="", "", Backend!BG56)</f>
        <v>0.83040639999999999</v>
      </c>
      <c r="BG29">
        <f>IF(Backend!BH56="", "", Backend!BH56)</f>
        <v>0.49996868</v>
      </c>
      <c r="BH29">
        <f>IF(Backend!BI56="", "", Backend!BI56)</f>
        <v>0.77254056999999998</v>
      </c>
      <c r="BI29" t="str">
        <f>IF(Backend!BJ56="", "", Backend!BJ56)</f>
        <v/>
      </c>
      <c r="BJ29" t="str">
        <f>IF(Backend!BK56="", "", Backend!BK56)</f>
        <v/>
      </c>
      <c r="BK29" t="str">
        <f>IF(Backend!BL56="", "", Backend!BL56)</f>
        <v/>
      </c>
      <c r="BL29" t="str">
        <f>IF(Backend!BM56="", "", Backend!BM56)</f>
        <v/>
      </c>
      <c r="BM29" t="str">
        <f>IF(Backend!BN56="", "", Backend!BN56)</f>
        <v/>
      </c>
      <c r="BN29" t="str">
        <f>IF(Backend!BO56="", "", Backend!BO56)</f>
        <v/>
      </c>
      <c r="BO29" t="str">
        <f>IF(Backend!BP56="", "", Backend!BP56)</f>
        <v/>
      </c>
      <c r="BP29" t="str">
        <f>IF(Backend!BQ56="", "", Backend!BQ56)</f>
        <v/>
      </c>
      <c r="BQ29" t="str">
        <f>IF(Backend!BR56="", "", Backend!BR56)</f>
        <v/>
      </c>
      <c r="BR29" t="str">
        <f>IF(Backend!BS56="", "", Backend!BS56)</f>
        <v/>
      </c>
      <c r="BS29" t="str">
        <f>IF(Backend!BT56="", "", Backend!BT56)</f>
        <v/>
      </c>
      <c r="BT29" t="str">
        <f>IF(Backend!BU56="", "", Backend!BU56)</f>
        <v/>
      </c>
      <c r="BU29" t="str">
        <f>IF(Backend!BV56="", "", Backend!BV56)</f>
        <v/>
      </c>
      <c r="BV29" t="str">
        <f>IF(Backend!BW56="", "", Backend!BW56)</f>
        <v/>
      </c>
      <c r="BW29" t="str">
        <f>IF(Backend!BX56="", "", Backend!BX56)</f>
        <v/>
      </c>
      <c r="BX29" t="str">
        <f>IF(Backend!BY56="", "", Backend!BY56)</f>
        <v/>
      </c>
      <c r="BY29" t="str">
        <f>IF(Backend!BZ56="", "", Backend!BZ56)</f>
        <v/>
      </c>
      <c r="BZ29" t="str">
        <f>IF(Backend!CA56="", "", Backend!CA56)</f>
        <v/>
      </c>
      <c r="CA29" t="str">
        <f>IF(Backend!CB56="", "", Backend!CB56)</f>
        <v/>
      </c>
      <c r="CB29" t="str">
        <f>IF(Backend!CC56="", "", Backend!CC56)</f>
        <v/>
      </c>
      <c r="CC29" t="str">
        <f>IF(Backend!CD56="", "", Backend!CD56)</f>
        <v/>
      </c>
    </row>
    <row r="30" spans="1:81" x14ac:dyDescent="0.25">
      <c r="A30" s="4" t="str">
        <f>IF(Backend!A57="", "", Backend!A57)</f>
        <v>LyondellBasell Industries NV</v>
      </c>
      <c r="B30">
        <f>IF(Backend!C57="", "", Backend!C57)</f>
        <v>0.56777129999999998</v>
      </c>
      <c r="C30">
        <f>IF(Backend!D57="", "", Backend!D57)</f>
        <v>0.32212160000000001</v>
      </c>
      <c r="D30">
        <f>IF(Backend!E57="", "", Backend!E57)</f>
        <v>0.40646749999999998</v>
      </c>
      <c r="E30">
        <f>IF(Backend!F57="", "", Backend!F57)</f>
        <v>0.50423320000000005</v>
      </c>
      <c r="F30">
        <f>IF(Backend!G57="", "", Backend!G57)</f>
        <v>0.26931169999999999</v>
      </c>
      <c r="G30">
        <f>IF(Backend!H57="", "", Backend!H57)</f>
        <v>0.48543273999999997</v>
      </c>
      <c r="H30">
        <f>IF(Backend!I57="", "", Backend!I57)</f>
        <v>0.35893476000000002</v>
      </c>
      <c r="I30">
        <f>IF(Backend!J57="", "", Backend!J57)</f>
        <v>0.51730293000000005</v>
      </c>
      <c r="J30">
        <f>IF(Backend!K57="", "", Backend!K57)</f>
        <v>0.3697973</v>
      </c>
      <c r="K30">
        <f>IF(Backend!L57="", "", Backend!L57)</f>
        <v>-0.23671009000000001</v>
      </c>
      <c r="L30">
        <f>IF(Backend!M57="", "", Backend!M57)</f>
        <v>0.41956005000000002</v>
      </c>
      <c r="M30">
        <f>IF(Backend!N57="", "", Backend!N57)</f>
        <v>0.67654740000000002</v>
      </c>
      <c r="N30">
        <f>IF(Backend!O57="", "", Backend!O57)</f>
        <v>0.16917206000000001</v>
      </c>
      <c r="O30">
        <f>IF(Backend!P57="", "", Backend!P57)</f>
        <v>0.70249689999999998</v>
      </c>
      <c r="P30">
        <f>IF(Backend!Q57="", "", Backend!Q57)</f>
        <v>-0.27645478000000001</v>
      </c>
      <c r="Q30">
        <f>IF(Backend!R57="", "", Backend!R57)</f>
        <v>0.19572208999999999</v>
      </c>
      <c r="R30">
        <f>IF(Backend!S57="", "", Backend!S57)</f>
        <v>0.22688775999999999</v>
      </c>
      <c r="S30">
        <f>IF(Backend!T57="", "", Backend!T57)</f>
        <v>0.38315320000000003</v>
      </c>
      <c r="T30">
        <f>IF(Backend!U57="", "", Backend!U57)</f>
        <v>0.43436226</v>
      </c>
      <c r="U30">
        <f>IF(Backend!V57="", "", Backend!V57)</f>
        <v>-0.39631253</v>
      </c>
      <c r="V30">
        <f>IF(Backend!W57="", "", Backend!W57)</f>
        <v>0.59109179999999995</v>
      </c>
      <c r="W30">
        <f>IF(Backend!X57="", "", Backend!X57)</f>
        <v>-0.60378039999999999</v>
      </c>
      <c r="X30">
        <f>IF(Backend!Y57="", "", Backend!Y57)</f>
        <v>0.57731940000000004</v>
      </c>
      <c r="Y30">
        <f>IF(Backend!Z57="", "", Backend!Z57)</f>
        <v>-0.7126808</v>
      </c>
      <c r="Z30">
        <f>IF(Backend!AA57="", "", Backend!AA57)</f>
        <v>0.81036805999999995</v>
      </c>
      <c r="AA30">
        <f>IF(Backend!AB57="", "", Backend!AB57)</f>
        <v>0.69263565999999999</v>
      </c>
      <c r="AB30">
        <f>IF(Backend!AC57="", "", Backend!AC57)</f>
        <v>1</v>
      </c>
      <c r="AC30">
        <f>IF(Backend!AD57="", "", Backend!AD57)</f>
        <v>0.40817114999999998</v>
      </c>
      <c r="AD30">
        <f>IF(Backend!AE57="", "", Backend!AE57)</f>
        <v>0.80185013999999999</v>
      </c>
      <c r="AE30">
        <f>IF(Backend!AF57="", "", Backend!AF57)</f>
        <v>0.26857530000000002</v>
      </c>
      <c r="AF30">
        <f>IF(Backend!AG57="", "", Backend!AG57)</f>
        <v>0.39293467999999998</v>
      </c>
      <c r="AG30">
        <f>IF(Backend!AH57="", "", Backend!AH57)</f>
        <v>0.19738290999999999</v>
      </c>
      <c r="AH30">
        <f>IF(Backend!AI57="", "", Backend!AI57)</f>
        <v>-0.78727179999999997</v>
      </c>
      <c r="AI30">
        <f>IF(Backend!AJ57="", "", Backend!AJ57)</f>
        <v>-0.15878253000000001</v>
      </c>
      <c r="AJ30">
        <f>IF(Backend!AK57="", "", Backend!AK57)</f>
        <v>-0.70549697</v>
      </c>
      <c r="AK30">
        <f>IF(Backend!AL57="", "", Backend!AL57)</f>
        <v>0.45461726000000002</v>
      </c>
      <c r="AL30">
        <f>IF(Backend!AM57="", "", Backend!AM57)</f>
        <v>0.60164076</v>
      </c>
      <c r="AM30">
        <f>IF(Backend!AN57="", "", Backend!AN57)</f>
        <v>-9.8836430000000003E-2</v>
      </c>
      <c r="AN30">
        <f>IF(Backend!AO57="", "", Backend!AO57)</f>
        <v>0.59262199999999998</v>
      </c>
      <c r="AO30">
        <f>IF(Backend!AP57="", "", Backend!AP57)</f>
        <v>0.43948123</v>
      </c>
      <c r="AP30">
        <f>IF(Backend!AQ57="", "", Backend!AQ57)</f>
        <v>0.57100600000000001</v>
      </c>
      <c r="AQ30">
        <f>IF(Backend!AR57="", "", Backend!AR57)</f>
        <v>0.16843158</v>
      </c>
      <c r="AR30">
        <f>IF(Backend!AS57="", "", Backend!AS57)</f>
        <v>0.2749548</v>
      </c>
      <c r="AS30">
        <f>IF(Backend!AT57="", "", Backend!AT57)</f>
        <v>-0.50848453999999998</v>
      </c>
      <c r="AT30">
        <f>IF(Backend!AU57="", "", Backend!AU57)</f>
        <v>-0.74565239999999999</v>
      </c>
      <c r="AU30">
        <f>IF(Backend!AV57="", "", Backend!AV57)</f>
        <v>-0.79105190000000003</v>
      </c>
      <c r="AV30">
        <f>IF(Backend!AW57="", "", Backend!AW57)</f>
        <v>0.53422159999999996</v>
      </c>
      <c r="AW30">
        <f>IF(Backend!AX57="", "", Backend!AX57)</f>
        <v>0.62702440000000004</v>
      </c>
      <c r="AX30">
        <f>IF(Backend!AY57="", "", Backend!AY57)</f>
        <v>0.5865011</v>
      </c>
      <c r="AY30">
        <f>IF(Backend!AZ57="", "", Backend!AZ57)</f>
        <v>-9.9904199999999999E-2</v>
      </c>
      <c r="AZ30">
        <f>IF(Backend!BA57="", "", Backend!BA57)</f>
        <v>0.39232850000000002</v>
      </c>
      <c r="BA30">
        <f>IF(Backend!BB57="", "", Backend!BB57)</f>
        <v>0.27512105999999997</v>
      </c>
      <c r="BB30">
        <f>IF(Backend!BC57="", "", Backend!BC57)</f>
        <v>0.44377480000000002</v>
      </c>
      <c r="BC30">
        <f>IF(Backend!BD57="", "", Backend!BD57)</f>
        <v>0.36231497000000001</v>
      </c>
      <c r="BD30">
        <f>IF(Backend!BE57="", "", Backend!BE57)</f>
        <v>0.52126163000000003</v>
      </c>
      <c r="BE30">
        <f>IF(Backend!BF57="", "", Backend!BF57)</f>
        <v>0.54250973000000002</v>
      </c>
      <c r="BF30">
        <f>IF(Backend!BG57="", "", Backend!BG57)</f>
        <v>0.62082815000000002</v>
      </c>
      <c r="BG30">
        <f>IF(Backend!BH57="", "", Backend!BH57)</f>
        <v>0.35741647999999998</v>
      </c>
      <c r="BH30">
        <f>IF(Backend!BI57="", "", Backend!BI57)</f>
        <v>0.7284775</v>
      </c>
      <c r="BI30" t="str">
        <f>IF(Backend!BJ57="", "", Backend!BJ57)</f>
        <v/>
      </c>
      <c r="BJ30" t="str">
        <f>IF(Backend!BK57="", "", Backend!BK57)</f>
        <v/>
      </c>
      <c r="BK30" t="str">
        <f>IF(Backend!BL57="", "", Backend!BL57)</f>
        <v/>
      </c>
      <c r="BL30" t="str">
        <f>IF(Backend!BM57="", "", Backend!BM57)</f>
        <v/>
      </c>
      <c r="BM30" t="str">
        <f>IF(Backend!BN57="", "", Backend!BN57)</f>
        <v/>
      </c>
      <c r="BN30" t="str">
        <f>IF(Backend!BO57="", "", Backend!BO57)</f>
        <v/>
      </c>
      <c r="BO30" t="str">
        <f>IF(Backend!BP57="", "", Backend!BP57)</f>
        <v/>
      </c>
      <c r="BP30" t="str">
        <f>IF(Backend!BQ57="", "", Backend!BQ57)</f>
        <v/>
      </c>
      <c r="BQ30" t="str">
        <f>IF(Backend!BR57="", "", Backend!BR57)</f>
        <v/>
      </c>
      <c r="BR30" t="str">
        <f>IF(Backend!BS57="", "", Backend!BS57)</f>
        <v/>
      </c>
      <c r="BS30" t="str">
        <f>IF(Backend!BT57="", "", Backend!BT57)</f>
        <v/>
      </c>
      <c r="BT30" t="str">
        <f>IF(Backend!BU57="", "", Backend!BU57)</f>
        <v/>
      </c>
      <c r="BU30" t="str">
        <f>IF(Backend!BV57="", "", Backend!BV57)</f>
        <v/>
      </c>
      <c r="BV30" t="str">
        <f>IF(Backend!BW57="", "", Backend!BW57)</f>
        <v/>
      </c>
      <c r="BW30" t="str">
        <f>IF(Backend!BX57="", "", Backend!BX57)</f>
        <v/>
      </c>
      <c r="BX30" t="str">
        <f>IF(Backend!BY57="", "", Backend!BY57)</f>
        <v/>
      </c>
      <c r="BY30" t="str">
        <f>IF(Backend!BZ57="", "", Backend!BZ57)</f>
        <v/>
      </c>
      <c r="BZ30" t="str">
        <f>IF(Backend!CA57="", "", Backend!CA57)</f>
        <v/>
      </c>
      <c r="CA30" t="str">
        <f>IF(Backend!CB57="", "", Backend!CB57)</f>
        <v/>
      </c>
      <c r="CB30" t="str">
        <f>IF(Backend!CC57="", "", Backend!CC57)</f>
        <v/>
      </c>
      <c r="CC30" t="str">
        <f>IF(Backend!CD57="", "", Backend!CD57)</f>
        <v/>
      </c>
    </row>
    <row r="31" spans="1:81" x14ac:dyDescent="0.25">
      <c r="A31" s="4" t="str">
        <f>IF(Backend!A58="", "", Backend!A58)</f>
        <v>Macy's, Inc.</v>
      </c>
      <c r="B31">
        <f>IF(Backend!C58="", "", Backend!C58)</f>
        <v>0.13612094999999999</v>
      </c>
      <c r="C31">
        <f>IF(Backend!D58="", "", Backend!D58)</f>
        <v>0.56881479999999995</v>
      </c>
      <c r="D31">
        <f>IF(Backend!E58="", "", Backend!E58)</f>
        <v>0.35675654000000001</v>
      </c>
      <c r="E31">
        <f>IF(Backend!F58="", "", Backend!F58)</f>
        <v>0.49254277000000002</v>
      </c>
      <c r="F31">
        <f>IF(Backend!G58="", "", Backend!G58)</f>
        <v>-0.19684651</v>
      </c>
      <c r="G31">
        <f>IF(Backend!H58="", "", Backend!H58)</f>
        <v>0.42313325000000002</v>
      </c>
      <c r="H31">
        <f>IF(Backend!I58="", "", Backend!I58)</f>
        <v>0.14919218000000001</v>
      </c>
      <c r="I31">
        <f>IF(Backend!J58="", "", Backend!J58)</f>
        <v>0.35586062000000002</v>
      </c>
      <c r="J31">
        <f>IF(Backend!K58="", "", Backend!K58)</f>
        <v>0.33681773999999998</v>
      </c>
      <c r="K31">
        <f>IF(Backend!L58="", "", Backend!L58)</f>
        <v>0.14157227999999999</v>
      </c>
      <c r="L31">
        <f>IF(Backend!M58="", "", Backend!M58)</f>
        <v>0.28294923999999999</v>
      </c>
      <c r="M31">
        <f>IF(Backend!N58="", "", Backend!N58)</f>
        <v>0.41962012999999998</v>
      </c>
      <c r="N31">
        <f>IF(Backend!O58="", "", Backend!O58)</f>
        <v>-1.1176639E-2</v>
      </c>
      <c r="O31">
        <f>IF(Backend!P58="", "", Backend!P58)</f>
        <v>0.57418203000000001</v>
      </c>
      <c r="P31">
        <f>IF(Backend!Q58="", "", Backend!Q58)</f>
        <v>2.6233664E-2</v>
      </c>
      <c r="Q31">
        <f>IF(Backend!R58="", "", Backend!R58)</f>
        <v>0.41055056000000001</v>
      </c>
      <c r="R31">
        <f>IF(Backend!S58="", "", Backend!S58)</f>
        <v>0.30635594999999999</v>
      </c>
      <c r="S31">
        <f>IF(Backend!T58="", "", Backend!T58)</f>
        <v>0.25565353000000002</v>
      </c>
      <c r="T31">
        <f>IF(Backend!U58="", "", Backend!U58)</f>
        <v>0.22615498000000001</v>
      </c>
      <c r="U31">
        <f>IF(Backend!V58="", "", Backend!V58)</f>
        <v>-5.9946407E-2</v>
      </c>
      <c r="V31">
        <f>IF(Backend!W58="", "", Backend!W58)</f>
        <v>0.36420681999999999</v>
      </c>
      <c r="W31">
        <f>IF(Backend!X58="", "", Backend!X58)</f>
        <v>-0.24249799999999999</v>
      </c>
      <c r="X31">
        <f>IF(Backend!Y58="", "", Backend!Y58)</f>
        <v>0.4254039</v>
      </c>
      <c r="Y31">
        <f>IF(Backend!Z58="", "", Backend!Z58)</f>
        <v>-0.22457250000000001</v>
      </c>
      <c r="Z31">
        <f>IF(Backend!AA58="", "", Backend!AA58)</f>
        <v>0.50156087000000005</v>
      </c>
      <c r="AA31">
        <f>IF(Backend!AB58="", "", Backend!AB58)</f>
        <v>0.47208099999999997</v>
      </c>
      <c r="AB31">
        <f>IF(Backend!AC58="", "", Backend!AC58)</f>
        <v>0.40817114999999998</v>
      </c>
      <c r="AC31">
        <f>IF(Backend!AD58="", "", Backend!AD58)</f>
        <v>1</v>
      </c>
      <c r="AD31">
        <f>IF(Backend!AE58="", "", Backend!AE58)</f>
        <v>0.49832927999999999</v>
      </c>
      <c r="AE31">
        <f>IF(Backend!AF58="", "", Backend!AF58)</f>
        <v>6.3578930000000006E-2</v>
      </c>
      <c r="AF31">
        <f>IF(Backend!AG58="", "", Backend!AG58)</f>
        <v>0.35369202</v>
      </c>
      <c r="AG31">
        <f>IF(Backend!AH58="", "", Backend!AH58)</f>
        <v>-0.21471514999999999</v>
      </c>
      <c r="AH31">
        <f>IF(Backend!AI58="", "", Backend!AI58)</f>
        <v>-0.29174507</v>
      </c>
      <c r="AI31">
        <f>IF(Backend!AJ58="", "", Backend!AJ58)</f>
        <v>0.12678239999999999</v>
      </c>
      <c r="AJ31">
        <f>IF(Backend!AK58="", "", Backend!AK58)</f>
        <v>-0.39070033999999998</v>
      </c>
      <c r="AK31">
        <f>IF(Backend!AL58="", "", Backend!AL58)</f>
        <v>0.6416927</v>
      </c>
      <c r="AL31">
        <f>IF(Backend!AM58="", "", Backend!AM58)</f>
        <v>0.37909806000000001</v>
      </c>
      <c r="AM31">
        <f>IF(Backend!AN58="", "", Backend!AN58)</f>
        <v>8.9851399999999998E-2</v>
      </c>
      <c r="AN31">
        <f>IF(Backend!AO58="", "", Backend!AO58)</f>
        <v>0.41349577999999998</v>
      </c>
      <c r="AO31">
        <f>IF(Backend!AP58="", "", Backend!AP58)</f>
        <v>0.59296375999999995</v>
      </c>
      <c r="AP31">
        <f>IF(Backend!AQ58="", "", Backend!AQ58)</f>
        <v>0.42793914999999999</v>
      </c>
      <c r="AQ31">
        <f>IF(Backend!AR58="", "", Backend!AR58)</f>
        <v>-5.9979062999999999E-2</v>
      </c>
      <c r="AR31">
        <f>IF(Backend!AS58="", "", Backend!AS58)</f>
        <v>0.34508680000000003</v>
      </c>
      <c r="AS31">
        <f>IF(Backend!AT58="", "", Backend!AT58)</f>
        <v>-0.13430444999999999</v>
      </c>
      <c r="AT31">
        <f>IF(Backend!AU58="", "", Backend!AU58)</f>
        <v>-0.15824205</v>
      </c>
      <c r="AU31">
        <f>IF(Backend!AV58="", "", Backend!AV58)</f>
        <v>-0.40218344</v>
      </c>
      <c r="AV31">
        <f>IF(Backend!AW58="", "", Backend!AW58)</f>
        <v>0.33110119999999998</v>
      </c>
      <c r="AW31">
        <f>IF(Backend!AX58="", "", Backend!AX58)</f>
        <v>0.39135617</v>
      </c>
      <c r="AX31">
        <f>IF(Backend!AY58="", "", Backend!AY58)</f>
        <v>0.55658410000000003</v>
      </c>
      <c r="AY31">
        <f>IF(Backend!AZ58="", "", Backend!AZ58)</f>
        <v>-0.29481098</v>
      </c>
      <c r="AZ31">
        <f>IF(Backend!BA58="", "", Backend!BA58)</f>
        <v>0.56712450000000003</v>
      </c>
      <c r="BA31">
        <f>IF(Backend!BB58="", "", Backend!BB58)</f>
        <v>0.21568754000000001</v>
      </c>
      <c r="BB31">
        <f>IF(Backend!BC58="", "", Backend!BC58)</f>
        <v>0.17354833</v>
      </c>
      <c r="BC31">
        <f>IF(Backend!BD58="", "", Backend!BD58)</f>
        <v>0.31690857</v>
      </c>
      <c r="BD31">
        <f>IF(Backend!BE58="", "", Backend!BE58)</f>
        <v>0.28922409999999998</v>
      </c>
      <c r="BE31">
        <f>IF(Backend!BF58="", "", Backend!BF58)</f>
        <v>0.52040649999999999</v>
      </c>
      <c r="BF31">
        <f>IF(Backend!BG58="", "", Backend!BG58)</f>
        <v>0.27927502999999998</v>
      </c>
      <c r="BG31">
        <f>IF(Backend!BH58="", "", Backend!BH58)</f>
        <v>0.45657817000000001</v>
      </c>
      <c r="BH31">
        <f>IF(Backend!BI58="", "", Backend!BI58)</f>
        <v>0.60045194999999996</v>
      </c>
      <c r="BI31" t="str">
        <f>IF(Backend!BJ58="", "", Backend!BJ58)</f>
        <v/>
      </c>
      <c r="BJ31" t="str">
        <f>IF(Backend!BK58="", "", Backend!BK58)</f>
        <v/>
      </c>
      <c r="BK31" t="str">
        <f>IF(Backend!BL58="", "", Backend!BL58)</f>
        <v/>
      </c>
      <c r="BL31" t="str">
        <f>IF(Backend!BM58="", "", Backend!BM58)</f>
        <v/>
      </c>
      <c r="BM31" t="str">
        <f>IF(Backend!BN58="", "", Backend!BN58)</f>
        <v/>
      </c>
      <c r="BN31" t="str">
        <f>IF(Backend!BO58="", "", Backend!BO58)</f>
        <v/>
      </c>
      <c r="BO31" t="str">
        <f>IF(Backend!BP58="", "", Backend!BP58)</f>
        <v/>
      </c>
      <c r="BP31" t="str">
        <f>IF(Backend!BQ58="", "", Backend!BQ58)</f>
        <v/>
      </c>
      <c r="BQ31" t="str">
        <f>IF(Backend!BR58="", "", Backend!BR58)</f>
        <v/>
      </c>
      <c r="BR31" t="str">
        <f>IF(Backend!BS58="", "", Backend!BS58)</f>
        <v/>
      </c>
      <c r="BS31" t="str">
        <f>IF(Backend!BT58="", "", Backend!BT58)</f>
        <v/>
      </c>
      <c r="BT31" t="str">
        <f>IF(Backend!BU58="", "", Backend!BU58)</f>
        <v/>
      </c>
      <c r="BU31" t="str">
        <f>IF(Backend!BV58="", "", Backend!BV58)</f>
        <v/>
      </c>
      <c r="BV31" t="str">
        <f>IF(Backend!BW58="", "", Backend!BW58)</f>
        <v/>
      </c>
      <c r="BW31" t="str">
        <f>IF(Backend!BX58="", "", Backend!BX58)</f>
        <v/>
      </c>
      <c r="BX31" t="str">
        <f>IF(Backend!BY58="", "", Backend!BY58)</f>
        <v/>
      </c>
      <c r="BY31" t="str">
        <f>IF(Backend!BZ58="", "", Backend!BZ58)</f>
        <v/>
      </c>
      <c r="BZ31" t="str">
        <f>IF(Backend!CA58="", "", Backend!CA58)</f>
        <v/>
      </c>
      <c r="CA31" t="str">
        <f>IF(Backend!CB58="", "", Backend!CB58)</f>
        <v/>
      </c>
      <c r="CB31" t="str">
        <f>IF(Backend!CC58="", "", Backend!CC58)</f>
        <v/>
      </c>
      <c r="CC31" t="str">
        <f>IF(Backend!CD58="", "", Backend!CD58)</f>
        <v/>
      </c>
    </row>
    <row r="32" spans="1:81" x14ac:dyDescent="0.25">
      <c r="A32" s="4" t="str">
        <f>IF(Backend!A59="", "", Backend!A59)</f>
        <v>ManpowerGroup Inc.</v>
      </c>
      <c r="B32">
        <f>IF(Backend!C59="", "", Backend!C59)</f>
        <v>0.79228430000000005</v>
      </c>
      <c r="C32">
        <f>IF(Backend!D59="", "", Backend!D59)</f>
        <v>0.60222900000000001</v>
      </c>
      <c r="D32">
        <f>IF(Backend!E59="", "", Backend!E59)</f>
        <v>0.73704360000000002</v>
      </c>
      <c r="E32">
        <f>IF(Backend!F59="", "", Backend!F59)</f>
        <v>0.8450607</v>
      </c>
      <c r="F32">
        <f>IF(Backend!G59="", "", Backend!G59)</f>
        <v>0.48267743000000002</v>
      </c>
      <c r="G32">
        <f>IF(Backend!H59="", "", Backend!H59)</f>
        <v>0.76554999999999995</v>
      </c>
      <c r="H32">
        <f>IF(Backend!I59="", "", Backend!I59)</f>
        <v>0.69498179999999998</v>
      </c>
      <c r="I32">
        <f>IF(Backend!J59="", "", Backend!J59)</f>
        <v>0.72333102999999999</v>
      </c>
      <c r="J32">
        <f>IF(Backend!K59="", "", Backend!K59)</f>
        <v>0.53968709999999998</v>
      </c>
      <c r="K32">
        <f>IF(Backend!L59="", "", Backend!L59)</f>
        <v>6.4540920000000002E-2</v>
      </c>
      <c r="L32">
        <f>IF(Backend!M59="", "", Backend!M59)</f>
        <v>0.67038136999999998</v>
      </c>
      <c r="M32">
        <f>IF(Backend!N59="", "", Backend!N59)</f>
        <v>0.72418236999999996</v>
      </c>
      <c r="N32">
        <f>IF(Backend!O59="", "", Backend!O59)</f>
        <v>0.52652449999999995</v>
      </c>
      <c r="O32">
        <f>IF(Backend!P59="", "", Backend!P59)</f>
        <v>0.79093170000000002</v>
      </c>
      <c r="P32">
        <f>IF(Backend!Q59="", "", Backend!Q59)</f>
        <v>-0.52359789999999995</v>
      </c>
      <c r="Q32">
        <f>IF(Backend!R59="", "", Backend!R59)</f>
        <v>0.16327083000000001</v>
      </c>
      <c r="R32">
        <f>IF(Backend!S59="", "", Backend!S59)</f>
        <v>0.60791814</v>
      </c>
      <c r="S32">
        <f>IF(Backend!T59="", "", Backend!T59)</f>
        <v>-4.3767176999999997E-2</v>
      </c>
      <c r="T32">
        <f>IF(Backend!U59="", "", Backend!U59)</f>
        <v>0.58248526</v>
      </c>
      <c r="U32">
        <f>IF(Backend!V59="", "", Backend!V59)</f>
        <v>-0.55493455999999997</v>
      </c>
      <c r="V32">
        <f>IF(Backend!W59="", "", Backend!W59)</f>
        <v>0.78719914000000002</v>
      </c>
      <c r="W32">
        <f>IF(Backend!X59="", "", Backend!X59)</f>
        <v>-0.58211833000000002</v>
      </c>
      <c r="X32">
        <f>IF(Backend!Y59="", "", Backend!Y59)</f>
        <v>0.88159889999999996</v>
      </c>
      <c r="Y32">
        <f>IF(Backend!Z59="", "", Backend!Z59)</f>
        <v>-0.57735753000000001</v>
      </c>
      <c r="Z32">
        <f>IF(Backend!AA59="", "", Backend!AA59)</f>
        <v>0.78124369999999999</v>
      </c>
      <c r="AA32">
        <f>IF(Backend!AB59="", "", Backend!AB59)</f>
        <v>0.88907460000000005</v>
      </c>
      <c r="AB32">
        <f>IF(Backend!AC59="", "", Backend!AC59)</f>
        <v>0.80185013999999999</v>
      </c>
      <c r="AC32">
        <f>IF(Backend!AD59="", "", Backend!AD59)</f>
        <v>0.49832927999999999</v>
      </c>
      <c r="AD32">
        <f>IF(Backend!AE59="", "", Backend!AE59)</f>
        <v>1</v>
      </c>
      <c r="AE32">
        <f>IF(Backend!AF59="", "", Backend!AF59)</f>
        <v>0.45988267999999999</v>
      </c>
      <c r="AF32">
        <f>IF(Backend!AG59="", "", Backend!AG59)</f>
        <v>0.66500294000000004</v>
      </c>
      <c r="AG32">
        <f>IF(Backend!AH59="", "", Backend!AH59)</f>
        <v>-0.17414785999999999</v>
      </c>
      <c r="AH32">
        <f>IF(Backend!AI59="", "", Backend!AI59)</f>
        <v>-0.76308924</v>
      </c>
      <c r="AI32">
        <f>IF(Backend!AJ59="", "", Backend!AJ59)</f>
        <v>-0.24418377999999999</v>
      </c>
      <c r="AJ32">
        <f>IF(Backend!AK59="", "", Backend!AK59)</f>
        <v>-0.64923536999999998</v>
      </c>
      <c r="AK32">
        <f>IF(Backend!AL59="", "", Backend!AL59)</f>
        <v>0.67006737000000005</v>
      </c>
      <c r="AL32">
        <f>IF(Backend!AM59="", "", Backend!AM59)</f>
        <v>0.90200029999999998</v>
      </c>
      <c r="AM32">
        <f>IF(Backend!AN59="", "", Backend!AN59)</f>
        <v>-0.36287673999999998</v>
      </c>
      <c r="AN32">
        <f>IF(Backend!AO59="", "", Backend!AO59)</f>
        <v>0.79411715000000005</v>
      </c>
      <c r="AO32">
        <f>IF(Backend!AP59="", "", Backend!AP59)</f>
        <v>0.72615929999999995</v>
      </c>
      <c r="AP32">
        <f>IF(Backend!AQ59="", "", Backend!AQ59)</f>
        <v>0.78879790000000005</v>
      </c>
      <c r="AQ32">
        <f>IF(Backend!AR59="", "", Backend!AR59)</f>
        <v>4.6781169999999997E-2</v>
      </c>
      <c r="AR32">
        <f>IF(Backend!AS59="", "", Backend!AS59)</f>
        <v>0.57149004999999997</v>
      </c>
      <c r="AS32">
        <f>IF(Backend!AT59="", "", Backend!AT59)</f>
        <v>-0.42928165000000001</v>
      </c>
      <c r="AT32">
        <f>IF(Backend!AU59="", "", Backend!AU59)</f>
        <v>-0.53243859999999998</v>
      </c>
      <c r="AU32">
        <f>IF(Backend!AV59="", "", Backend!AV59)</f>
        <v>-0.81871015000000003</v>
      </c>
      <c r="AV32">
        <f>IF(Backend!AW59="", "", Backend!AW59)</f>
        <v>0.84028833999999997</v>
      </c>
      <c r="AW32">
        <f>IF(Backend!AX59="", "", Backend!AX59)</f>
        <v>0.77469239999999995</v>
      </c>
      <c r="AX32">
        <f>IF(Backend!AY59="", "", Backend!AY59)</f>
        <v>0.53633489999999995</v>
      </c>
      <c r="AY32">
        <f>IF(Backend!AZ59="", "", Backend!AZ59)</f>
        <v>-1.9934147999999999E-2</v>
      </c>
      <c r="AZ32">
        <f>IF(Backend!BA59="", "", Backend!BA59)</f>
        <v>0.72718479999999996</v>
      </c>
      <c r="BA32">
        <f>IF(Backend!BB59="", "", Backend!BB59)</f>
        <v>0.61001000000000005</v>
      </c>
      <c r="BB32">
        <f>IF(Backend!BC59="", "", Backend!BC59)</f>
        <v>0.66125566000000002</v>
      </c>
      <c r="BC32">
        <f>IF(Backend!BD59="", "", Backend!BD59)</f>
        <v>0.70948610000000001</v>
      </c>
      <c r="BD32">
        <f>IF(Backend!BE59="", "", Backend!BE59)</f>
        <v>0.81486630000000004</v>
      </c>
      <c r="BE32">
        <f>IF(Backend!BF59="", "", Backend!BF59)</f>
        <v>0.86998147000000003</v>
      </c>
      <c r="BF32">
        <f>IF(Backend!BG59="", "", Backend!BG59)</f>
        <v>0.87531590000000004</v>
      </c>
      <c r="BG32">
        <f>IF(Backend!BH59="", "", Backend!BH59)</f>
        <v>0.62334959999999995</v>
      </c>
      <c r="BH32">
        <f>IF(Backend!BI59="", "", Backend!BI59)</f>
        <v>0.88121252999999999</v>
      </c>
      <c r="BI32" t="str">
        <f>IF(Backend!BJ59="", "", Backend!BJ59)</f>
        <v/>
      </c>
      <c r="BJ32" t="str">
        <f>IF(Backend!BK59="", "", Backend!BK59)</f>
        <v/>
      </c>
      <c r="BK32" t="str">
        <f>IF(Backend!BL59="", "", Backend!BL59)</f>
        <v/>
      </c>
      <c r="BL32" t="str">
        <f>IF(Backend!BM59="", "", Backend!BM59)</f>
        <v/>
      </c>
      <c r="BM32" t="str">
        <f>IF(Backend!BN59="", "", Backend!BN59)</f>
        <v/>
      </c>
      <c r="BN32" t="str">
        <f>IF(Backend!BO59="", "", Backend!BO59)</f>
        <v/>
      </c>
      <c r="BO32" t="str">
        <f>IF(Backend!BP59="", "", Backend!BP59)</f>
        <v/>
      </c>
      <c r="BP32" t="str">
        <f>IF(Backend!BQ59="", "", Backend!BQ59)</f>
        <v/>
      </c>
      <c r="BQ32" t="str">
        <f>IF(Backend!BR59="", "", Backend!BR59)</f>
        <v/>
      </c>
      <c r="BR32" t="str">
        <f>IF(Backend!BS59="", "", Backend!BS59)</f>
        <v/>
      </c>
      <c r="BS32" t="str">
        <f>IF(Backend!BT59="", "", Backend!BT59)</f>
        <v/>
      </c>
      <c r="BT32" t="str">
        <f>IF(Backend!BU59="", "", Backend!BU59)</f>
        <v/>
      </c>
      <c r="BU32" t="str">
        <f>IF(Backend!BV59="", "", Backend!BV59)</f>
        <v/>
      </c>
      <c r="BV32" t="str">
        <f>IF(Backend!BW59="", "", Backend!BW59)</f>
        <v/>
      </c>
      <c r="BW32" t="str">
        <f>IF(Backend!BX59="", "", Backend!BX59)</f>
        <v/>
      </c>
      <c r="BX32" t="str">
        <f>IF(Backend!BY59="", "", Backend!BY59)</f>
        <v/>
      </c>
      <c r="BY32" t="str">
        <f>IF(Backend!BZ59="", "", Backend!BZ59)</f>
        <v/>
      </c>
      <c r="BZ32" t="str">
        <f>IF(Backend!CA59="", "", Backend!CA59)</f>
        <v/>
      </c>
      <c r="CA32" t="str">
        <f>IF(Backend!CB59="", "", Backend!CB59)</f>
        <v/>
      </c>
      <c r="CB32" t="str">
        <f>IF(Backend!CC59="", "", Backend!CC59)</f>
        <v/>
      </c>
      <c r="CC32" t="str">
        <f>IF(Backend!CD59="", "", Backend!CD59)</f>
        <v/>
      </c>
    </row>
    <row r="33" spans="1:81" x14ac:dyDescent="0.25">
      <c r="A33" s="4" t="str">
        <f>IF(Backend!A60="", "", Backend!A60)</f>
        <v>MEDIPAL HOLDINGS Corporation</v>
      </c>
      <c r="B33">
        <f>IF(Backend!C60="", "", Backend!C60)</f>
        <v>0.71097569999999999</v>
      </c>
      <c r="C33">
        <f>IF(Backend!D60="", "", Backend!D60)</f>
        <v>0.36770487000000002</v>
      </c>
      <c r="D33">
        <f>IF(Backend!E60="", "", Backend!E60)</f>
        <v>0.57935219999999998</v>
      </c>
      <c r="E33">
        <f>IF(Backend!F60="", "", Backend!F60)</f>
        <v>0.57324019999999998</v>
      </c>
      <c r="F33">
        <f>IF(Backend!G60="", "", Backend!G60)</f>
        <v>0.54796564999999997</v>
      </c>
      <c r="G33">
        <f>IF(Backend!H60="", "", Backend!H60)</f>
        <v>0.47875034999999999</v>
      </c>
      <c r="H33">
        <f>IF(Backend!I60="", "", Backend!I60)</f>
        <v>0.71943559999999995</v>
      </c>
      <c r="I33">
        <f>IF(Backend!J60="", "", Backend!J60)</f>
        <v>0.22212377</v>
      </c>
      <c r="J33">
        <f>IF(Backend!K60="", "", Backend!K60)</f>
        <v>-0.16582873000000001</v>
      </c>
      <c r="K33">
        <f>IF(Backend!L60="", "", Backend!L60)</f>
        <v>0.49108905000000003</v>
      </c>
      <c r="L33">
        <f>IF(Backend!M60="", "", Backend!M60)</f>
        <v>0.17302242000000001</v>
      </c>
      <c r="M33">
        <f>IF(Backend!N60="", "", Backend!N60)</f>
        <v>0.30819982000000001</v>
      </c>
      <c r="N33">
        <f>IF(Backend!O60="", "", Backend!O60)</f>
        <v>0.76259560000000004</v>
      </c>
      <c r="O33">
        <f>IF(Backend!P60="", "", Backend!P60)</f>
        <v>0.27218550000000002</v>
      </c>
      <c r="P33">
        <f>IF(Backend!Q60="", "", Backend!Q60)</f>
        <v>-0.15649466000000001</v>
      </c>
      <c r="Q33">
        <f>IF(Backend!R60="", "", Backend!R60)</f>
        <v>0.35644087000000002</v>
      </c>
      <c r="R33">
        <f>IF(Backend!S60="", "", Backend!S60)</f>
        <v>0.68486345000000004</v>
      </c>
      <c r="S33">
        <f>IF(Backend!T60="", "", Backend!T60)</f>
        <v>-0.51176509999999997</v>
      </c>
      <c r="T33">
        <f>IF(Backend!U60="", "", Backend!U60)</f>
        <v>0.64851373000000001</v>
      </c>
      <c r="U33">
        <f>IF(Backend!V60="", "", Backend!V60)</f>
        <v>-3.1517927000000001E-2</v>
      </c>
      <c r="V33">
        <f>IF(Backend!W60="", "", Backend!W60)</f>
        <v>0.66304189999999996</v>
      </c>
      <c r="W33">
        <f>IF(Backend!X60="", "", Backend!X60)</f>
        <v>0.13641784000000001</v>
      </c>
      <c r="X33">
        <f>IF(Backend!Y60="", "", Backend!Y60)</f>
        <v>0.43572519999999998</v>
      </c>
      <c r="Y33">
        <f>IF(Backend!Z60="", "", Backend!Z60)</f>
        <v>5.5579326999999998E-2</v>
      </c>
      <c r="Z33">
        <f>IF(Backend!AA60="", "", Backend!AA60)</f>
        <v>5.1750360000000002E-2</v>
      </c>
      <c r="AA33">
        <f>IF(Backend!AB60="", "", Backend!AB60)</f>
        <v>0.49480748000000002</v>
      </c>
      <c r="AB33">
        <f>IF(Backend!AC60="", "", Backend!AC60)</f>
        <v>0.26857530000000002</v>
      </c>
      <c r="AC33">
        <f>IF(Backend!AD60="", "", Backend!AD60)</f>
        <v>6.3578930000000006E-2</v>
      </c>
      <c r="AD33">
        <f>IF(Backend!AE60="", "", Backend!AE60)</f>
        <v>0.45988267999999999</v>
      </c>
      <c r="AE33">
        <f>IF(Backend!AF60="", "", Backend!AF60)</f>
        <v>1</v>
      </c>
      <c r="AF33">
        <f>IF(Backend!AG60="", "", Backend!AG60)</f>
        <v>0.75307893999999997</v>
      </c>
      <c r="AG33">
        <f>IF(Backend!AH60="", "", Backend!AH60)</f>
        <v>-0.25458481999999999</v>
      </c>
      <c r="AH33">
        <f>IF(Backend!AI60="", "", Backend!AI60)</f>
        <v>-0.110641904</v>
      </c>
      <c r="AI33">
        <f>IF(Backend!AJ60="", "", Backend!AJ60)</f>
        <v>-0.15615441999999999</v>
      </c>
      <c r="AJ33">
        <f>IF(Backend!AK60="", "", Backend!AK60)</f>
        <v>0.18151793999999999</v>
      </c>
      <c r="AK33">
        <f>IF(Backend!AL60="", "", Backend!AL60)</f>
        <v>1.7962372000000001E-2</v>
      </c>
      <c r="AL33">
        <f>IF(Backend!AM60="", "", Backend!AM60)</f>
        <v>0.60993385</v>
      </c>
      <c r="AM33">
        <f>IF(Backend!AN60="", "", Backend!AN60)</f>
        <v>-0.35880432000000001</v>
      </c>
      <c r="AN33">
        <f>IF(Backend!AO60="", "", Backend!AO60)</f>
        <v>0.44352320000000001</v>
      </c>
      <c r="AO33">
        <f>IF(Backend!AP60="", "", Backend!AP60)</f>
        <v>0.53790470000000001</v>
      </c>
      <c r="AP33">
        <f>IF(Backend!AQ60="", "", Backend!AQ60)</f>
        <v>0.72690284000000005</v>
      </c>
      <c r="AQ33">
        <f>IF(Backend!AR60="", "", Backend!AR60)</f>
        <v>0.24925907999999999</v>
      </c>
      <c r="AR33">
        <f>IF(Backend!AS60="", "", Backend!AS60)</f>
        <v>0.41158541999999998</v>
      </c>
      <c r="AS33">
        <f>IF(Backend!AT60="", "", Backend!AT60)</f>
        <v>0.22484699</v>
      </c>
      <c r="AT33">
        <f>IF(Backend!AU60="", "", Backend!AU60)</f>
        <v>0.16621858</v>
      </c>
      <c r="AU33">
        <f>IF(Backend!AV60="", "", Backend!AV60)</f>
        <v>-0.12363889</v>
      </c>
      <c r="AV33">
        <f>IF(Backend!AW60="", "", Backend!AW60)</f>
        <v>0.76782700000000004</v>
      </c>
      <c r="AW33">
        <f>IF(Backend!AX60="", "", Backend!AX60)</f>
        <v>0.2074233</v>
      </c>
      <c r="AX33">
        <f>IF(Backend!AY60="", "", Backend!AY60)</f>
        <v>0.32972362999999999</v>
      </c>
      <c r="AY33">
        <f>IF(Backend!AZ60="", "", Backend!AZ60)</f>
        <v>0.68200749999999999</v>
      </c>
      <c r="AZ33">
        <f>IF(Backend!BA60="", "", Backend!BA60)</f>
        <v>0.48139858000000002</v>
      </c>
      <c r="BA33">
        <f>IF(Backend!BB60="", "", Backend!BB60)</f>
        <v>0.68455874999999999</v>
      </c>
      <c r="BB33">
        <f>IF(Backend!BC60="", "", Backend!BC60)</f>
        <v>0.58913079999999995</v>
      </c>
      <c r="BC33">
        <f>IF(Backend!BD60="", "", Backend!BD60)</f>
        <v>0.59786969999999995</v>
      </c>
      <c r="BD33">
        <f>IF(Backend!BE60="", "", Backend!BE60)</f>
        <v>0.65251429999999999</v>
      </c>
      <c r="BE33">
        <f>IF(Backend!BF60="", "", Backend!BF60)</f>
        <v>0.40706792000000003</v>
      </c>
      <c r="BF33">
        <f>IF(Backend!BG60="", "", Backend!BG60)</f>
        <v>0.60685027000000002</v>
      </c>
      <c r="BG33">
        <f>IF(Backend!BH60="", "", Backend!BH60)</f>
        <v>0.53306229999999999</v>
      </c>
      <c r="BH33">
        <f>IF(Backend!BI60="", "", Backend!BI60)</f>
        <v>0.40351817000000001</v>
      </c>
      <c r="BI33" t="str">
        <f>IF(Backend!BJ60="", "", Backend!BJ60)</f>
        <v/>
      </c>
      <c r="BJ33" t="str">
        <f>IF(Backend!BK60="", "", Backend!BK60)</f>
        <v/>
      </c>
      <c r="BK33" t="str">
        <f>IF(Backend!BL60="", "", Backend!BL60)</f>
        <v/>
      </c>
      <c r="BL33" t="str">
        <f>IF(Backend!BM60="", "", Backend!BM60)</f>
        <v/>
      </c>
      <c r="BM33" t="str">
        <f>IF(Backend!BN60="", "", Backend!BN60)</f>
        <v/>
      </c>
      <c r="BN33" t="str">
        <f>IF(Backend!BO60="", "", Backend!BO60)</f>
        <v/>
      </c>
      <c r="BO33" t="str">
        <f>IF(Backend!BP60="", "", Backend!BP60)</f>
        <v/>
      </c>
      <c r="BP33" t="str">
        <f>IF(Backend!BQ60="", "", Backend!BQ60)</f>
        <v/>
      </c>
      <c r="BQ33" t="str">
        <f>IF(Backend!BR60="", "", Backend!BR60)</f>
        <v/>
      </c>
      <c r="BR33" t="str">
        <f>IF(Backend!BS60="", "", Backend!BS60)</f>
        <v/>
      </c>
      <c r="BS33" t="str">
        <f>IF(Backend!BT60="", "", Backend!BT60)</f>
        <v/>
      </c>
      <c r="BT33" t="str">
        <f>IF(Backend!BU60="", "", Backend!BU60)</f>
        <v/>
      </c>
      <c r="BU33" t="str">
        <f>IF(Backend!BV60="", "", Backend!BV60)</f>
        <v/>
      </c>
      <c r="BV33" t="str">
        <f>IF(Backend!BW60="", "", Backend!BW60)</f>
        <v/>
      </c>
      <c r="BW33" t="str">
        <f>IF(Backend!BX60="", "", Backend!BX60)</f>
        <v/>
      </c>
      <c r="BX33" t="str">
        <f>IF(Backend!BY60="", "", Backend!BY60)</f>
        <v/>
      </c>
      <c r="BY33" t="str">
        <f>IF(Backend!BZ60="", "", Backend!BZ60)</f>
        <v/>
      </c>
      <c r="BZ33" t="str">
        <f>IF(Backend!CA60="", "", Backend!CA60)</f>
        <v/>
      </c>
      <c r="CA33" t="str">
        <f>IF(Backend!CB60="", "", Backend!CB60)</f>
        <v/>
      </c>
      <c r="CB33" t="str">
        <f>IF(Backend!CC60="", "", Backend!CC60)</f>
        <v/>
      </c>
      <c r="CC33" t="str">
        <f>IF(Backend!CD60="", "", Backend!CD60)</f>
        <v/>
      </c>
    </row>
    <row r="34" spans="1:81" x14ac:dyDescent="0.25">
      <c r="A34" s="4" t="str">
        <f>IF(Backend!A61="", "", Backend!A61)</f>
        <v>Mohawk Industries, Inc.</v>
      </c>
      <c r="B34">
        <f>IF(Backend!C61="", "", Backend!C61)</f>
        <v>0.67284390000000005</v>
      </c>
      <c r="C34">
        <f>IF(Backend!D61="", "", Backend!D61)</f>
        <v>0.58295660000000005</v>
      </c>
      <c r="D34">
        <f>IF(Backend!E61="", "", Backend!E61)</f>
        <v>0.71507989999999999</v>
      </c>
      <c r="E34">
        <f>IF(Backend!F61="", "", Backend!F61)</f>
        <v>0.68602350000000001</v>
      </c>
      <c r="F34">
        <f>IF(Backend!G61="", "", Backend!G61)</f>
        <v>0.51379483999999997</v>
      </c>
      <c r="G34">
        <f>IF(Backend!H61="", "", Backend!H61)</f>
        <v>0.56548743999999995</v>
      </c>
      <c r="H34">
        <f>IF(Backend!I61="", "", Backend!I61)</f>
        <v>0.76660810000000001</v>
      </c>
      <c r="I34">
        <f>IF(Backend!J61="", "", Backend!J61)</f>
        <v>0.31395212</v>
      </c>
      <c r="J34">
        <f>IF(Backend!K61="", "", Backend!K61)</f>
        <v>0.10837081</v>
      </c>
      <c r="K34">
        <f>IF(Backend!L61="", "", Backend!L61)</f>
        <v>0.5213428</v>
      </c>
      <c r="L34">
        <f>IF(Backend!M61="", "", Backend!M61)</f>
        <v>0.24884547000000001</v>
      </c>
      <c r="M34">
        <f>IF(Backend!N61="", "", Backend!N61)</f>
        <v>0.30774167000000002</v>
      </c>
      <c r="N34">
        <f>IF(Backend!O61="", "", Backend!O61)</f>
        <v>0.70098260000000001</v>
      </c>
      <c r="O34">
        <f>IF(Backend!P61="", "", Backend!P61)</f>
        <v>0.39705750000000001</v>
      </c>
      <c r="P34">
        <f>IF(Backend!Q61="", "", Backend!Q61)</f>
        <v>-0.37480732999999999</v>
      </c>
      <c r="Q34">
        <f>IF(Backend!R61="", "", Backend!R61)</f>
        <v>0.36715943000000001</v>
      </c>
      <c r="R34">
        <f>IF(Backend!S61="", "", Backend!S61)</f>
        <v>0.73713309999999999</v>
      </c>
      <c r="S34">
        <f>IF(Backend!T61="", "", Backend!T61)</f>
        <v>-0.52816339999999995</v>
      </c>
      <c r="T34">
        <f>IF(Backend!U61="", "", Backend!U61)</f>
        <v>0.70323323999999998</v>
      </c>
      <c r="U34">
        <f>IF(Backend!V61="", "", Backend!V61)</f>
        <v>-8.7828139999999999E-2</v>
      </c>
      <c r="V34">
        <f>IF(Backend!W61="", "", Backend!W61)</f>
        <v>0.64211439999999997</v>
      </c>
      <c r="W34">
        <f>IF(Backend!X61="", "", Backend!X61)</f>
        <v>7.7375230000000003E-2</v>
      </c>
      <c r="X34">
        <f>IF(Backend!Y61="", "", Backend!Y61)</f>
        <v>0.59406966000000005</v>
      </c>
      <c r="Y34">
        <f>IF(Backend!Z61="", "", Backend!Z61)</f>
        <v>-6.1676679999999998E-2</v>
      </c>
      <c r="Z34">
        <f>IF(Backend!AA61="", "", Backend!AA61)</f>
        <v>0.32507592000000002</v>
      </c>
      <c r="AA34">
        <f>IF(Backend!AB61="", "", Backend!AB61)</f>
        <v>0.60337954999999999</v>
      </c>
      <c r="AB34">
        <f>IF(Backend!AC61="", "", Backend!AC61)</f>
        <v>0.39293467999999998</v>
      </c>
      <c r="AC34">
        <f>IF(Backend!AD61="", "", Backend!AD61)</f>
        <v>0.35369202</v>
      </c>
      <c r="AD34">
        <f>IF(Backend!AE61="", "", Backend!AE61)</f>
        <v>0.66500294000000004</v>
      </c>
      <c r="AE34">
        <f>IF(Backend!AF61="", "", Backend!AF61)</f>
        <v>0.75307893999999997</v>
      </c>
      <c r="AF34">
        <f>IF(Backend!AG61="", "", Backend!AG61)</f>
        <v>1</v>
      </c>
      <c r="AG34">
        <f>IF(Backend!AH61="", "", Backend!AH61)</f>
        <v>-0.39588891999999998</v>
      </c>
      <c r="AH34">
        <f>IF(Backend!AI61="", "", Backend!AI61)</f>
        <v>-0.1674457</v>
      </c>
      <c r="AI34">
        <f>IF(Backend!AJ61="", "", Backend!AJ61)</f>
        <v>-0.15376507</v>
      </c>
      <c r="AJ34">
        <f>IF(Backend!AK61="", "", Backend!AK61)</f>
        <v>3.6616153999999998E-2</v>
      </c>
      <c r="AK34">
        <f>IF(Backend!AL61="", "", Backend!AL61)</f>
        <v>0.28478914</v>
      </c>
      <c r="AL34">
        <f>IF(Backend!AM61="", "", Backend!AM61)</f>
        <v>0.71987252999999995</v>
      </c>
      <c r="AM34">
        <f>IF(Backend!AN61="", "", Backend!AN61)</f>
        <v>-0.46850047</v>
      </c>
      <c r="AN34">
        <f>IF(Backend!AO61="", "", Backend!AO61)</f>
        <v>0.45078405999999999</v>
      </c>
      <c r="AO34">
        <f>IF(Backend!AP61="", "", Backend!AP61)</f>
        <v>0.80114949999999996</v>
      </c>
      <c r="AP34">
        <f>IF(Backend!AQ61="", "", Backend!AQ61)</f>
        <v>0.77430019999999999</v>
      </c>
      <c r="AQ34">
        <f>IF(Backend!AR61="", "", Backend!AR61)</f>
        <v>0.15488255000000001</v>
      </c>
      <c r="AR34">
        <f>IF(Backend!AS61="", "", Backend!AS61)</f>
        <v>0.4104199</v>
      </c>
      <c r="AS34">
        <f>IF(Backend!AT61="", "", Backend!AT61)</f>
        <v>0.23523693000000001</v>
      </c>
      <c r="AT34">
        <f>IF(Backend!AU61="", "", Backend!AU61)</f>
        <v>3.2997508000000002E-2</v>
      </c>
      <c r="AU34">
        <f>IF(Backend!AV61="", "", Backend!AV61)</f>
        <v>-0.27745154999999999</v>
      </c>
      <c r="AV34">
        <f>IF(Backend!AW61="", "", Backend!AW61)</f>
        <v>0.85645216999999996</v>
      </c>
      <c r="AW34">
        <f>IF(Backend!AX61="", "", Backend!AX61)</f>
        <v>0.32321253</v>
      </c>
      <c r="AX34">
        <f>IF(Backend!AY61="", "", Backend!AY61)</f>
        <v>0.33431432</v>
      </c>
      <c r="AY34">
        <f>IF(Backend!AZ61="", "", Backend!AZ61)</f>
        <v>0.34336707</v>
      </c>
      <c r="AZ34">
        <f>IF(Backend!BA61="", "", Backend!BA61)</f>
        <v>0.64952330000000003</v>
      </c>
      <c r="BA34">
        <f>IF(Backend!BB61="", "", Backend!BB61)</f>
        <v>0.79622809999999999</v>
      </c>
      <c r="BB34">
        <f>IF(Backend!BC61="", "", Backend!BC61)</f>
        <v>0.68580620000000003</v>
      </c>
      <c r="BC34">
        <f>IF(Backend!BD61="", "", Backend!BD61)</f>
        <v>0.7143718</v>
      </c>
      <c r="BD34">
        <f>IF(Backend!BE61="", "", Backend!BE61)</f>
        <v>0.76344440000000002</v>
      </c>
      <c r="BE34">
        <f>IF(Backend!BF61="", "", Backend!BF61)</f>
        <v>0.55872500000000003</v>
      </c>
      <c r="BF34">
        <f>IF(Backend!BG61="", "", Backend!BG61)</f>
        <v>0.73993355000000005</v>
      </c>
      <c r="BG34">
        <f>IF(Backend!BH61="", "", Backend!BH61)</f>
        <v>0.84763239999999995</v>
      </c>
      <c r="BH34">
        <f>IF(Backend!BI61="", "", Backend!BI61)</f>
        <v>0.62035804999999999</v>
      </c>
      <c r="BI34" t="str">
        <f>IF(Backend!BJ61="", "", Backend!BJ61)</f>
        <v/>
      </c>
      <c r="BJ34" t="str">
        <f>IF(Backend!BK61="", "", Backend!BK61)</f>
        <v/>
      </c>
      <c r="BK34" t="str">
        <f>IF(Backend!BL61="", "", Backend!BL61)</f>
        <v/>
      </c>
      <c r="BL34" t="str">
        <f>IF(Backend!BM61="", "", Backend!BM61)</f>
        <v/>
      </c>
      <c r="BM34" t="str">
        <f>IF(Backend!BN61="", "", Backend!BN61)</f>
        <v/>
      </c>
      <c r="BN34" t="str">
        <f>IF(Backend!BO61="", "", Backend!BO61)</f>
        <v/>
      </c>
      <c r="BO34" t="str">
        <f>IF(Backend!BP61="", "", Backend!BP61)</f>
        <v/>
      </c>
      <c r="BP34" t="str">
        <f>IF(Backend!BQ61="", "", Backend!BQ61)</f>
        <v/>
      </c>
      <c r="BQ34" t="str">
        <f>IF(Backend!BR61="", "", Backend!BR61)</f>
        <v/>
      </c>
      <c r="BR34" t="str">
        <f>IF(Backend!BS61="", "", Backend!BS61)</f>
        <v/>
      </c>
      <c r="BS34" t="str">
        <f>IF(Backend!BT61="", "", Backend!BT61)</f>
        <v/>
      </c>
      <c r="BT34" t="str">
        <f>IF(Backend!BU61="", "", Backend!BU61)</f>
        <v/>
      </c>
      <c r="BU34" t="str">
        <f>IF(Backend!BV61="", "", Backend!BV61)</f>
        <v/>
      </c>
      <c r="BV34" t="str">
        <f>IF(Backend!BW61="", "", Backend!BW61)</f>
        <v/>
      </c>
      <c r="BW34" t="str">
        <f>IF(Backend!BX61="", "", Backend!BX61)</f>
        <v/>
      </c>
      <c r="BX34" t="str">
        <f>IF(Backend!BY61="", "", Backend!BY61)</f>
        <v/>
      </c>
      <c r="BY34" t="str">
        <f>IF(Backend!BZ61="", "", Backend!BZ61)</f>
        <v/>
      </c>
      <c r="BZ34" t="str">
        <f>IF(Backend!CA61="", "", Backend!CA61)</f>
        <v/>
      </c>
      <c r="CA34" t="str">
        <f>IF(Backend!CB61="", "", Backend!CB61)</f>
        <v/>
      </c>
      <c r="CB34" t="str">
        <f>IF(Backend!CC61="", "", Backend!CC61)</f>
        <v/>
      </c>
      <c r="CC34" t="str">
        <f>IF(Backend!CD61="", "", Backend!CD61)</f>
        <v/>
      </c>
    </row>
    <row r="35" spans="1:81" x14ac:dyDescent="0.25">
      <c r="A35" s="4" t="str">
        <f>IF(Backend!A62="", "", Backend!A62)</f>
        <v>Molson Coors Beverage Company Class B</v>
      </c>
      <c r="B35">
        <f>IF(Backend!C62="", "", Backend!C62)</f>
        <v>-0.27890517999999997</v>
      </c>
      <c r="C35">
        <f>IF(Backend!D62="", "", Backend!D62)</f>
        <v>-0.49338423999999997</v>
      </c>
      <c r="D35">
        <f>IF(Backend!E62="", "", Backend!E62)</f>
        <v>-0.52933437000000005</v>
      </c>
      <c r="E35">
        <f>IF(Backend!F62="", "", Backend!F62)</f>
        <v>-0.42726395</v>
      </c>
      <c r="F35">
        <f>IF(Backend!G62="", "", Backend!G62)</f>
        <v>-0.36379444999999999</v>
      </c>
      <c r="G35">
        <f>IF(Backend!H62="", "", Backend!H62)</f>
        <v>-0.18228927</v>
      </c>
      <c r="H35">
        <f>IF(Backend!I62="", "", Backend!I62)</f>
        <v>-0.44345279999999998</v>
      </c>
      <c r="I35">
        <f>IF(Backend!J62="", "", Backend!J62)</f>
        <v>-0.29055592000000002</v>
      </c>
      <c r="J35">
        <f>IF(Backend!K62="", "", Backend!K62)</f>
        <v>-8.0250279999999993E-2</v>
      </c>
      <c r="K35">
        <f>IF(Backend!L62="", "", Backend!L62)</f>
        <v>-0.42037743</v>
      </c>
      <c r="L35">
        <f>IF(Backend!M62="", "", Backend!M62)</f>
        <v>-0.14356431</v>
      </c>
      <c r="M35">
        <f>IF(Backend!N62="", "", Backend!N62)</f>
        <v>1.8686580000000001E-2</v>
      </c>
      <c r="N35">
        <f>IF(Backend!O62="", "", Backend!O62)</f>
        <v>-0.40884006000000001</v>
      </c>
      <c r="O35">
        <f>IF(Backend!P62="", "", Backend!P62)</f>
        <v>-0.14011756</v>
      </c>
      <c r="P35">
        <f>IF(Backend!Q62="", "", Backend!Q62)</f>
        <v>0.28003382999999998</v>
      </c>
      <c r="Q35">
        <f>IF(Backend!R62="", "", Backend!R62)</f>
        <v>-0.15240909999999999</v>
      </c>
      <c r="R35">
        <f>IF(Backend!S62="", "", Backend!S62)</f>
        <v>-0.50118269999999998</v>
      </c>
      <c r="S35">
        <f>IF(Backend!T62="", "", Backend!T62)</f>
        <v>0.53530383000000004</v>
      </c>
      <c r="T35">
        <f>IF(Backend!U62="", "", Backend!U62)</f>
        <v>-0.15659939</v>
      </c>
      <c r="U35">
        <f>IF(Backend!V62="", "", Backend!V62)</f>
        <v>0.13384417000000001</v>
      </c>
      <c r="V35">
        <f>IF(Backend!W62="", "", Backend!W62)</f>
        <v>-0.25186878000000001</v>
      </c>
      <c r="W35">
        <f>IF(Backend!X62="", "", Backend!X62)</f>
        <v>-0.21578890000000001</v>
      </c>
      <c r="X35">
        <f>IF(Backend!Y62="", "", Backend!Y62)</f>
        <v>-0.31685635000000001</v>
      </c>
      <c r="Y35">
        <f>IF(Backend!Z62="", "", Backend!Z62)</f>
        <v>-7.9392770000000001E-2</v>
      </c>
      <c r="Z35">
        <f>IF(Backend!AA62="", "", Backend!AA62)</f>
        <v>0.124204546</v>
      </c>
      <c r="AA35">
        <f>IF(Backend!AB62="", "", Backend!AB62)</f>
        <v>-0.18981612</v>
      </c>
      <c r="AB35">
        <f>IF(Backend!AC62="", "", Backend!AC62)</f>
        <v>0.19738290999999999</v>
      </c>
      <c r="AC35">
        <f>IF(Backend!AD62="", "", Backend!AD62)</f>
        <v>-0.21471514999999999</v>
      </c>
      <c r="AD35">
        <f>IF(Backend!AE62="", "", Backend!AE62)</f>
        <v>-0.17414785999999999</v>
      </c>
      <c r="AE35">
        <f>IF(Backend!AF62="", "", Backend!AF62)</f>
        <v>-0.25458481999999999</v>
      </c>
      <c r="AF35">
        <f>IF(Backend!AG62="", "", Backend!AG62)</f>
        <v>-0.39588891999999998</v>
      </c>
      <c r="AG35">
        <f>IF(Backend!AH62="", "", Backend!AH62)</f>
        <v>1</v>
      </c>
      <c r="AH35">
        <f>IF(Backend!AI62="", "", Backend!AI62)</f>
        <v>-4.690076E-2</v>
      </c>
      <c r="AI35">
        <f>IF(Backend!AJ62="", "", Backend!AJ62)</f>
        <v>0.24654925</v>
      </c>
      <c r="AJ35">
        <f>IF(Backend!AK62="", "", Backend!AK62)</f>
        <v>-0.11103971</v>
      </c>
      <c r="AK35">
        <f>IF(Backend!AL62="", "", Backend!AL62)</f>
        <v>-0.31873046999999999</v>
      </c>
      <c r="AL35">
        <f>IF(Backend!AM62="", "", Backend!AM62)</f>
        <v>-0.36999226000000002</v>
      </c>
      <c r="AM35">
        <f>IF(Backend!AN62="", "", Backend!AN62)</f>
        <v>0.28236919999999999</v>
      </c>
      <c r="AN35">
        <f>IF(Backend!AO62="", "", Backend!AO62)</f>
        <v>-0.17845485999999999</v>
      </c>
      <c r="AO35">
        <f>IF(Backend!AP62="", "", Backend!AP62)</f>
        <v>-0.38028457999999998</v>
      </c>
      <c r="AP35">
        <f>IF(Backend!AQ62="", "", Backend!AQ62)</f>
        <v>-0.37121713000000001</v>
      </c>
      <c r="AQ35">
        <f>IF(Backend!AR62="", "", Backend!AR62)</f>
        <v>0.21998787</v>
      </c>
      <c r="AR35">
        <f>IF(Backend!AS62="", "", Backend!AS62)</f>
        <v>-0.47706939999999998</v>
      </c>
      <c r="AS35">
        <f>IF(Backend!AT62="", "", Backend!AT62)</f>
        <v>-0.31432294999999999</v>
      </c>
      <c r="AT35">
        <f>IF(Backend!AU62="", "", Backend!AU62)</f>
        <v>-0.22625269000000001</v>
      </c>
      <c r="AU35">
        <f>IF(Backend!AV62="", "", Backend!AV62)</f>
        <v>4.8347389999999997E-2</v>
      </c>
      <c r="AV35">
        <f>IF(Backend!AW62="", "", Backend!AW62)</f>
        <v>-0.41260269999999999</v>
      </c>
      <c r="AW35">
        <f>IF(Backend!AX62="", "", Backend!AX62)</f>
        <v>-3.9815243E-2</v>
      </c>
      <c r="AX35">
        <f>IF(Backend!AY62="", "", Backend!AY62)</f>
        <v>0.13598149000000001</v>
      </c>
      <c r="AY35">
        <f>IF(Backend!AZ62="", "", Backend!AZ62)</f>
        <v>4.7709778000000001E-2</v>
      </c>
      <c r="AZ35">
        <f>IF(Backend!BA62="", "", Backend!BA62)</f>
        <v>-0.4995095</v>
      </c>
      <c r="BA35">
        <f>IF(Backend!BB62="", "", Backend!BB62)</f>
        <v>-0.55220899999999995</v>
      </c>
      <c r="BB35">
        <f>IF(Backend!BC62="", "", Backend!BC62)</f>
        <v>-0.36654170000000003</v>
      </c>
      <c r="BC35">
        <f>IF(Backend!BD62="", "", Backend!BD62)</f>
        <v>-0.56716734000000002</v>
      </c>
      <c r="BD35">
        <f>IF(Backend!BE62="", "", Backend!BE62)</f>
        <v>-0.32787300000000003</v>
      </c>
      <c r="BE35">
        <f>IF(Backend!BF62="", "", Backend!BF62)</f>
        <v>-0.42751362999999998</v>
      </c>
      <c r="BF35">
        <f>IF(Backend!BG62="", "", Backend!BG62)</f>
        <v>-0.35740337</v>
      </c>
      <c r="BG35">
        <f>IF(Backend!BH62="", "", Backend!BH62)</f>
        <v>-0.39656878000000001</v>
      </c>
      <c r="BH35">
        <f>IF(Backend!BI62="", "", Backend!BI62)</f>
        <v>-0.17039502000000001</v>
      </c>
      <c r="BI35" t="str">
        <f>IF(Backend!BJ62="", "", Backend!BJ62)</f>
        <v/>
      </c>
      <c r="BJ35" t="str">
        <f>IF(Backend!BK62="", "", Backend!BK62)</f>
        <v/>
      </c>
      <c r="BK35" t="str">
        <f>IF(Backend!BL62="", "", Backend!BL62)</f>
        <v/>
      </c>
      <c r="BL35" t="str">
        <f>IF(Backend!BM62="", "", Backend!BM62)</f>
        <v/>
      </c>
      <c r="BM35" t="str">
        <f>IF(Backend!BN62="", "", Backend!BN62)</f>
        <v/>
      </c>
      <c r="BN35" t="str">
        <f>IF(Backend!BO62="", "", Backend!BO62)</f>
        <v/>
      </c>
      <c r="BO35" t="str">
        <f>IF(Backend!BP62="", "", Backend!BP62)</f>
        <v/>
      </c>
      <c r="BP35" t="str">
        <f>IF(Backend!BQ62="", "", Backend!BQ62)</f>
        <v/>
      </c>
      <c r="BQ35" t="str">
        <f>IF(Backend!BR62="", "", Backend!BR62)</f>
        <v/>
      </c>
      <c r="BR35" t="str">
        <f>IF(Backend!BS62="", "", Backend!BS62)</f>
        <v/>
      </c>
      <c r="BS35" t="str">
        <f>IF(Backend!BT62="", "", Backend!BT62)</f>
        <v/>
      </c>
      <c r="BT35" t="str">
        <f>IF(Backend!BU62="", "", Backend!BU62)</f>
        <v/>
      </c>
      <c r="BU35" t="str">
        <f>IF(Backend!BV62="", "", Backend!BV62)</f>
        <v/>
      </c>
      <c r="BV35" t="str">
        <f>IF(Backend!BW62="", "", Backend!BW62)</f>
        <v/>
      </c>
      <c r="BW35" t="str">
        <f>IF(Backend!BX62="", "", Backend!BX62)</f>
        <v/>
      </c>
      <c r="BX35" t="str">
        <f>IF(Backend!BY62="", "", Backend!BY62)</f>
        <v/>
      </c>
      <c r="BY35" t="str">
        <f>IF(Backend!BZ62="", "", Backend!BZ62)</f>
        <v/>
      </c>
      <c r="BZ35" t="str">
        <f>IF(Backend!CA62="", "", Backend!CA62)</f>
        <v/>
      </c>
      <c r="CA35" t="str">
        <f>IF(Backend!CB62="", "", Backend!CB62)</f>
        <v/>
      </c>
      <c r="CB35" t="str">
        <f>IF(Backend!CC62="", "", Backend!CC62)</f>
        <v/>
      </c>
      <c r="CC35" t="str">
        <f>IF(Backend!CD62="", "", Backend!CD62)</f>
        <v/>
      </c>
    </row>
    <row r="36" spans="1:81" x14ac:dyDescent="0.25">
      <c r="A36" s="4" t="str">
        <f>IF(Backend!A63="", "", Backend!A63)</f>
        <v>NatWest Group Plc</v>
      </c>
      <c r="B36">
        <f>IF(Backend!C63="", "", Backend!C63)</f>
        <v>-0.59085240000000006</v>
      </c>
      <c r="C36">
        <f>IF(Backend!D63="", "", Backend!D63)</f>
        <v>-0.20173553</v>
      </c>
      <c r="D36">
        <f>IF(Backend!E63="", "", Backend!E63)</f>
        <v>-0.46346999999999999</v>
      </c>
      <c r="E36">
        <f>IF(Backend!F63="", "", Backend!F63)</f>
        <v>-0.57181769999999998</v>
      </c>
      <c r="F36">
        <f>IF(Backend!G63="", "", Backend!G63)</f>
        <v>-0.39347166</v>
      </c>
      <c r="G36">
        <f>IF(Backend!H63="", "", Backend!H63)</f>
        <v>-0.55837749999999997</v>
      </c>
      <c r="H36">
        <f>IF(Backend!I63="", "", Backend!I63)</f>
        <v>-0.36439145000000001</v>
      </c>
      <c r="I36">
        <f>IF(Backend!J63="", "", Backend!J63)</f>
        <v>-0.68637793999999996</v>
      </c>
      <c r="J36">
        <f>IF(Backend!K63="", "", Backend!K63)</f>
        <v>-0.56972080000000003</v>
      </c>
      <c r="K36">
        <f>IF(Backend!L63="", "", Backend!L63)</f>
        <v>0.42920846000000001</v>
      </c>
      <c r="L36">
        <f>IF(Backend!M63="", "", Backend!M63)</f>
        <v>-0.57712185000000005</v>
      </c>
      <c r="M36">
        <f>IF(Backend!N63="", "", Backend!N63)</f>
        <v>-0.64696544</v>
      </c>
      <c r="N36">
        <f>IF(Backend!O63="", "", Backend!O63)</f>
        <v>-0.21507536999999999</v>
      </c>
      <c r="O36">
        <f>IF(Backend!P63="", "", Backend!P63)</f>
        <v>-0.77359750000000005</v>
      </c>
      <c r="P36">
        <f>IF(Backend!Q63="", "", Backend!Q63)</f>
        <v>0.55073273</v>
      </c>
      <c r="Q36">
        <f>IF(Backend!R63="", "", Backend!R63)</f>
        <v>7.9972210000000002E-2</v>
      </c>
      <c r="R36">
        <f>IF(Backend!S63="", "", Backend!S63)</f>
        <v>-0.23163015000000001</v>
      </c>
      <c r="S36">
        <f>IF(Backend!T63="", "", Backend!T63)</f>
        <v>-0.26532</v>
      </c>
      <c r="T36">
        <f>IF(Backend!U63="", "", Backend!U63)</f>
        <v>-0.26463658000000001</v>
      </c>
      <c r="U36">
        <f>IF(Backend!V63="", "", Backend!V63)</f>
        <v>0.74276257000000001</v>
      </c>
      <c r="V36">
        <f>IF(Backend!W63="", "", Backend!W63)</f>
        <v>-0.63290970000000002</v>
      </c>
      <c r="W36">
        <f>IF(Backend!X63="", "", Backend!X63)</f>
        <v>0.86571467000000002</v>
      </c>
      <c r="X36">
        <f>IF(Backend!Y63="", "", Backend!Y63)</f>
        <v>-0.70543679999999997</v>
      </c>
      <c r="Y36">
        <f>IF(Backend!Z63="", "", Backend!Z63)</f>
        <v>0.86894154999999995</v>
      </c>
      <c r="Z36">
        <f>IF(Backend!AA63="", "", Backend!AA63)</f>
        <v>-0.74487764000000001</v>
      </c>
      <c r="AA36">
        <f>IF(Backend!AB63="", "", Backend!AB63)</f>
        <v>-0.73058694999999996</v>
      </c>
      <c r="AB36">
        <f>IF(Backend!AC63="", "", Backend!AC63)</f>
        <v>-0.78727179999999997</v>
      </c>
      <c r="AC36">
        <f>IF(Backend!AD63="", "", Backend!AD63)</f>
        <v>-0.29174507</v>
      </c>
      <c r="AD36">
        <f>IF(Backend!AE63="", "", Backend!AE63)</f>
        <v>-0.76308924</v>
      </c>
      <c r="AE36">
        <f>IF(Backend!AF63="", "", Backend!AF63)</f>
        <v>-0.110641904</v>
      </c>
      <c r="AF36">
        <f>IF(Backend!AG63="", "", Backend!AG63)</f>
        <v>-0.1674457</v>
      </c>
      <c r="AG36">
        <f>IF(Backend!AH63="", "", Backend!AH63)</f>
        <v>-4.690076E-2</v>
      </c>
      <c r="AH36">
        <f>IF(Backend!AI63="", "", Backend!AI63)</f>
        <v>1</v>
      </c>
      <c r="AI36">
        <f>IF(Backend!AJ63="", "", Backend!AJ63)</f>
        <v>0.19683601000000001</v>
      </c>
      <c r="AJ36">
        <f>IF(Backend!AK63="", "", Backend!AK63)</f>
        <v>0.90635730000000003</v>
      </c>
      <c r="AK36">
        <f>IF(Backend!AL63="", "", Backend!AL63)</f>
        <v>-0.62140256000000005</v>
      </c>
      <c r="AL36">
        <f>IF(Backend!AM63="", "", Backend!AM63)</f>
        <v>-0.67853372999999995</v>
      </c>
      <c r="AM36">
        <f>IF(Backend!AN63="", "", Backend!AN63)</f>
        <v>0.25249823999999998</v>
      </c>
      <c r="AN36">
        <f>IF(Backend!AO63="", "", Backend!AO63)</f>
        <v>-0.7280934</v>
      </c>
      <c r="AO36">
        <f>IF(Backend!AP63="", "", Backend!AP63)</f>
        <v>-0.33315790000000001</v>
      </c>
      <c r="AP36">
        <f>IF(Backend!AQ63="", "", Backend!AQ63)</f>
        <v>-0.48944480000000001</v>
      </c>
      <c r="AQ36">
        <f>IF(Backend!AR63="", "", Backend!AR63)</f>
        <v>0.15725017999999999</v>
      </c>
      <c r="AR36">
        <f>IF(Backend!AS63="", "", Backend!AS63)</f>
        <v>-0.43417367000000001</v>
      </c>
      <c r="AS36">
        <f>IF(Backend!AT63="", "", Backend!AT63)</f>
        <v>0.7621812</v>
      </c>
      <c r="AT36">
        <f>IF(Backend!AU63="", "", Backend!AU63)</f>
        <v>0.84457059999999995</v>
      </c>
      <c r="AU36">
        <f>IF(Backend!AV63="", "", Backend!AV63)</f>
        <v>0.95882089999999998</v>
      </c>
      <c r="AV36">
        <f>IF(Backend!AW63="", "", Backend!AW63)</f>
        <v>-0.51673572999999995</v>
      </c>
      <c r="AW36">
        <f>IF(Backend!AX63="", "", Backend!AX63)</f>
        <v>-0.68134636000000004</v>
      </c>
      <c r="AX36">
        <f>IF(Backend!AY63="", "", Backend!AY63)</f>
        <v>-0.34036368</v>
      </c>
      <c r="AY36">
        <f>IF(Backend!AZ63="", "", Backend!AZ63)</f>
        <v>0.24084133999999999</v>
      </c>
      <c r="AZ36">
        <f>IF(Backend!BA63="", "", Backend!BA63)</f>
        <v>-0.43264585999999999</v>
      </c>
      <c r="BA36">
        <f>IF(Backend!BB63="", "", Backend!BB63)</f>
        <v>-0.26578456</v>
      </c>
      <c r="BB36">
        <f>IF(Backend!BC63="", "", Backend!BC63)</f>
        <v>-0.43264288000000001</v>
      </c>
      <c r="BC36">
        <f>IF(Backend!BD63="", "", Backend!BD63)</f>
        <v>-0.42317188</v>
      </c>
      <c r="BD36">
        <f>IF(Backend!BE63="", "", Backend!BE63)</f>
        <v>-0.49881518000000002</v>
      </c>
      <c r="BE36">
        <f>IF(Backend!BF63="", "", Backend!BF63)</f>
        <v>-0.71092635000000004</v>
      </c>
      <c r="BF36">
        <f>IF(Backend!BG63="", "", Backend!BG63)</f>
        <v>-0.65794900000000001</v>
      </c>
      <c r="BG36">
        <f>IF(Backend!BH63="", "", Backend!BH63)</f>
        <v>-0.14959692999999999</v>
      </c>
      <c r="BH36">
        <f>IF(Backend!BI63="", "", Backend!BI63)</f>
        <v>-0.61691576000000004</v>
      </c>
      <c r="BI36" t="str">
        <f>IF(Backend!BJ63="", "", Backend!BJ63)</f>
        <v/>
      </c>
      <c r="BJ36" t="str">
        <f>IF(Backend!BK63="", "", Backend!BK63)</f>
        <v/>
      </c>
      <c r="BK36" t="str">
        <f>IF(Backend!BL63="", "", Backend!BL63)</f>
        <v/>
      </c>
      <c r="BL36" t="str">
        <f>IF(Backend!BM63="", "", Backend!BM63)</f>
        <v/>
      </c>
      <c r="BM36" t="str">
        <f>IF(Backend!BN63="", "", Backend!BN63)</f>
        <v/>
      </c>
      <c r="BN36" t="str">
        <f>IF(Backend!BO63="", "", Backend!BO63)</f>
        <v/>
      </c>
      <c r="BO36" t="str">
        <f>IF(Backend!BP63="", "", Backend!BP63)</f>
        <v/>
      </c>
      <c r="BP36" t="str">
        <f>IF(Backend!BQ63="", "", Backend!BQ63)</f>
        <v/>
      </c>
      <c r="BQ36" t="str">
        <f>IF(Backend!BR63="", "", Backend!BR63)</f>
        <v/>
      </c>
      <c r="BR36" t="str">
        <f>IF(Backend!BS63="", "", Backend!BS63)</f>
        <v/>
      </c>
      <c r="BS36" t="str">
        <f>IF(Backend!BT63="", "", Backend!BT63)</f>
        <v/>
      </c>
      <c r="BT36" t="str">
        <f>IF(Backend!BU63="", "", Backend!BU63)</f>
        <v/>
      </c>
      <c r="BU36" t="str">
        <f>IF(Backend!BV63="", "", Backend!BV63)</f>
        <v/>
      </c>
      <c r="BV36" t="str">
        <f>IF(Backend!BW63="", "", Backend!BW63)</f>
        <v/>
      </c>
      <c r="BW36" t="str">
        <f>IF(Backend!BX63="", "", Backend!BX63)</f>
        <v/>
      </c>
      <c r="BX36" t="str">
        <f>IF(Backend!BY63="", "", Backend!BY63)</f>
        <v/>
      </c>
      <c r="BY36" t="str">
        <f>IF(Backend!BZ63="", "", Backend!BZ63)</f>
        <v/>
      </c>
      <c r="BZ36" t="str">
        <f>IF(Backend!CA63="", "", Backend!CA63)</f>
        <v/>
      </c>
      <c r="CA36" t="str">
        <f>IF(Backend!CB63="", "", Backend!CB63)</f>
        <v/>
      </c>
      <c r="CB36" t="str">
        <f>IF(Backend!CC63="", "", Backend!CC63)</f>
        <v/>
      </c>
      <c r="CC36" t="str">
        <f>IF(Backend!CD63="", "", Backend!CD63)</f>
        <v/>
      </c>
    </row>
    <row r="37" spans="1:81" x14ac:dyDescent="0.25">
      <c r="A37" s="4" t="str">
        <f>IF(Backend!A64="", "", Backend!A64)</f>
        <v>Nikon Corp.</v>
      </c>
      <c r="B37">
        <f>IF(Backend!C64="", "", Backend!C64)</f>
        <v>-0.48069793</v>
      </c>
      <c r="C37">
        <f>IF(Backend!D64="", "", Backend!D64)</f>
        <v>-0.12501176</v>
      </c>
      <c r="D37">
        <f>IF(Backend!E64="", "", Backend!E64)</f>
        <v>-0.34267377999999998</v>
      </c>
      <c r="E37">
        <f>IF(Backend!F64="", "", Backend!F64)</f>
        <v>-0.24689696999999999</v>
      </c>
      <c r="F37">
        <f>IF(Backend!G64="", "", Backend!G64)</f>
        <v>-0.63473873999999997</v>
      </c>
      <c r="G37">
        <f>IF(Backend!H64="", "", Backend!H64)</f>
        <v>8.6982840000000006E-2</v>
      </c>
      <c r="H37">
        <f>IF(Backend!I64="", "", Backend!I64)</f>
        <v>-0.51402574999999995</v>
      </c>
      <c r="I37">
        <f>IF(Backend!J64="", "", Backend!J64)</f>
        <v>-0.23092127000000001</v>
      </c>
      <c r="J37">
        <f>IF(Backend!K64="", "", Backend!K64)</f>
        <v>-3.9499885999999998E-2</v>
      </c>
      <c r="K37">
        <f>IF(Backend!L64="", "", Backend!L64)</f>
        <v>4.1436794999999998E-2</v>
      </c>
      <c r="L37">
        <f>IF(Backend!M64="", "", Backend!M64)</f>
        <v>-0.20563551999999999</v>
      </c>
      <c r="M37">
        <f>IF(Backend!N64="", "", Backend!N64)</f>
        <v>-0.14008239</v>
      </c>
      <c r="N37">
        <f>IF(Backend!O64="", "", Backend!O64)</f>
        <v>-0.44010872000000001</v>
      </c>
      <c r="O37">
        <f>IF(Backend!P64="", "", Backend!P64)</f>
        <v>4.5279174999999998E-2</v>
      </c>
      <c r="P37">
        <f>IF(Backend!Q64="", "", Backend!Q64)</f>
        <v>0.26831916</v>
      </c>
      <c r="Q37">
        <f>IF(Backend!R64="", "", Backend!R64)</f>
        <v>0.13711493999999999</v>
      </c>
      <c r="R37">
        <f>IF(Backend!S64="", "", Backend!S64)</f>
        <v>-0.2734492</v>
      </c>
      <c r="S37">
        <f>IF(Backend!T64="", "", Backend!T64)</f>
        <v>0.26053880000000001</v>
      </c>
      <c r="T37">
        <f>IF(Backend!U64="", "", Backend!U64)</f>
        <v>-0.23089788999999999</v>
      </c>
      <c r="U37">
        <f>IF(Backend!V64="", "", Backend!V64)</f>
        <v>0.3284975</v>
      </c>
      <c r="V37">
        <f>IF(Backend!W64="", "", Backend!W64)</f>
        <v>-0.31706643000000001</v>
      </c>
      <c r="W37">
        <f>IF(Backend!X64="", "", Backend!X64)</f>
        <v>0.20401739999999999</v>
      </c>
      <c r="X37">
        <f>IF(Backend!Y64="", "", Backend!Y64)</f>
        <v>-0.25081639999999999</v>
      </c>
      <c r="Y37">
        <f>IF(Backend!Z64="", "", Backend!Z64)</f>
        <v>0.22747284000000001</v>
      </c>
      <c r="Z37">
        <f>IF(Backend!AA64="", "", Backend!AA64)</f>
        <v>-0.17388872999999999</v>
      </c>
      <c r="AA37">
        <f>IF(Backend!AB64="", "", Backend!AB64)</f>
        <v>-0.24582274000000001</v>
      </c>
      <c r="AB37">
        <f>IF(Backend!AC64="", "", Backend!AC64)</f>
        <v>-0.15878253000000001</v>
      </c>
      <c r="AC37">
        <f>IF(Backend!AD64="", "", Backend!AD64)</f>
        <v>0.12678239999999999</v>
      </c>
      <c r="AD37">
        <f>IF(Backend!AE64="", "", Backend!AE64)</f>
        <v>-0.24418377999999999</v>
      </c>
      <c r="AE37">
        <f>IF(Backend!AF64="", "", Backend!AF64)</f>
        <v>-0.15615441999999999</v>
      </c>
      <c r="AF37">
        <f>IF(Backend!AG64="", "", Backend!AG64)</f>
        <v>-0.15376507</v>
      </c>
      <c r="AG37">
        <f>IF(Backend!AH64="", "", Backend!AH64)</f>
        <v>0.24654925</v>
      </c>
      <c r="AH37">
        <f>IF(Backend!AI64="", "", Backend!AI64)</f>
        <v>0.19683601000000001</v>
      </c>
      <c r="AI37">
        <f>IF(Backend!AJ64="", "", Backend!AJ64)</f>
        <v>1</v>
      </c>
      <c r="AJ37">
        <f>IF(Backend!AK64="", "", Backend!AK64)</f>
        <v>0.10137765999999999</v>
      </c>
      <c r="AK37">
        <f>IF(Backend!AL64="", "", Backend!AL64)</f>
        <v>3.5229336E-2</v>
      </c>
      <c r="AL37">
        <f>IF(Backend!AM64="", "", Backend!AM64)</f>
        <v>-0.24454273000000001</v>
      </c>
      <c r="AM37">
        <f>IF(Backend!AN64="", "", Backend!AN64)</f>
        <v>0.12563263</v>
      </c>
      <c r="AN37">
        <f>IF(Backend!AO64="", "", Backend!AO64)</f>
        <v>-0.17217436</v>
      </c>
      <c r="AO37">
        <f>IF(Backend!AP64="", "", Backend!AP64)</f>
        <v>-0.14041445</v>
      </c>
      <c r="AP37">
        <f>IF(Backend!AQ64="", "", Backend!AQ64)</f>
        <v>-0.24980374</v>
      </c>
      <c r="AQ37">
        <f>IF(Backend!AR64="", "", Backend!AR64)</f>
        <v>8.5136555000000003E-2</v>
      </c>
      <c r="AR37">
        <f>IF(Backend!AS64="", "", Backend!AS64)</f>
        <v>-0.21289292000000001</v>
      </c>
      <c r="AS37">
        <f>IF(Backend!AT64="", "", Backend!AT64)</f>
        <v>0.17619119999999999</v>
      </c>
      <c r="AT37">
        <f>IF(Backend!AU64="", "", Backend!AU64)</f>
        <v>9.1203649999999997E-2</v>
      </c>
      <c r="AU37">
        <f>IF(Backend!AV64="", "", Backend!AV64)</f>
        <v>0.21173285</v>
      </c>
      <c r="AV37">
        <f>IF(Backend!AW64="", "", Backend!AW64)</f>
        <v>-0.28117013000000002</v>
      </c>
      <c r="AW37">
        <f>IF(Backend!AX64="", "", Backend!AX64)</f>
        <v>-0.23129116999999999</v>
      </c>
      <c r="AX37">
        <f>IF(Backend!AY64="", "", Backend!AY64)</f>
        <v>0.17904265</v>
      </c>
      <c r="AY37">
        <f>IF(Backend!AZ64="", "", Backend!AZ64)</f>
        <v>-0.15841791</v>
      </c>
      <c r="AZ37">
        <f>IF(Backend!BA64="", "", Backend!BA64)</f>
        <v>-0.21986665999999999</v>
      </c>
      <c r="BA37">
        <f>IF(Backend!BB64="", "", Backend!BB64)</f>
        <v>-0.34016057999999999</v>
      </c>
      <c r="BB37">
        <f>IF(Backend!BC64="", "", Backend!BC64)</f>
        <v>-0.42963845000000001</v>
      </c>
      <c r="BC37">
        <f>IF(Backend!BD64="", "", Backend!BD64)</f>
        <v>-0.30855742000000003</v>
      </c>
      <c r="BD37">
        <f>IF(Backend!BE64="", "", Backend!BE64)</f>
        <v>-0.42851215999999998</v>
      </c>
      <c r="BE37">
        <f>IF(Backend!BF64="", "", Backend!BF64)</f>
        <v>-0.23260532</v>
      </c>
      <c r="BF37">
        <f>IF(Backend!BG64="", "", Backend!BG64)</f>
        <v>-0.38893273</v>
      </c>
      <c r="BG37">
        <f>IF(Backend!BH64="", "", Backend!BH64)</f>
        <v>-0.11899061499999999</v>
      </c>
      <c r="BH37">
        <f>IF(Backend!BI64="", "", Backend!BI64)</f>
        <v>-0.15150032999999999</v>
      </c>
      <c r="BI37" t="str">
        <f>IF(Backend!BJ64="", "", Backend!BJ64)</f>
        <v/>
      </c>
      <c r="BJ37" t="str">
        <f>IF(Backend!BK64="", "", Backend!BK64)</f>
        <v/>
      </c>
      <c r="BK37" t="str">
        <f>IF(Backend!BL64="", "", Backend!BL64)</f>
        <v/>
      </c>
      <c r="BL37" t="str">
        <f>IF(Backend!BM64="", "", Backend!BM64)</f>
        <v/>
      </c>
      <c r="BM37" t="str">
        <f>IF(Backend!BN64="", "", Backend!BN64)</f>
        <v/>
      </c>
      <c r="BN37" t="str">
        <f>IF(Backend!BO64="", "", Backend!BO64)</f>
        <v/>
      </c>
      <c r="BO37" t="str">
        <f>IF(Backend!BP64="", "", Backend!BP64)</f>
        <v/>
      </c>
      <c r="BP37" t="str">
        <f>IF(Backend!BQ64="", "", Backend!BQ64)</f>
        <v/>
      </c>
      <c r="BQ37" t="str">
        <f>IF(Backend!BR64="", "", Backend!BR64)</f>
        <v/>
      </c>
      <c r="BR37" t="str">
        <f>IF(Backend!BS64="", "", Backend!BS64)</f>
        <v/>
      </c>
      <c r="BS37" t="str">
        <f>IF(Backend!BT64="", "", Backend!BT64)</f>
        <v/>
      </c>
      <c r="BT37" t="str">
        <f>IF(Backend!BU64="", "", Backend!BU64)</f>
        <v/>
      </c>
      <c r="BU37" t="str">
        <f>IF(Backend!BV64="", "", Backend!BV64)</f>
        <v/>
      </c>
      <c r="BV37" t="str">
        <f>IF(Backend!BW64="", "", Backend!BW64)</f>
        <v/>
      </c>
      <c r="BW37" t="str">
        <f>IF(Backend!BX64="", "", Backend!BX64)</f>
        <v/>
      </c>
      <c r="BX37" t="str">
        <f>IF(Backend!BY64="", "", Backend!BY64)</f>
        <v/>
      </c>
      <c r="BY37" t="str">
        <f>IF(Backend!BZ64="", "", Backend!BZ64)</f>
        <v/>
      </c>
      <c r="BZ37" t="str">
        <f>IF(Backend!CA64="", "", Backend!CA64)</f>
        <v/>
      </c>
      <c r="CA37" t="str">
        <f>IF(Backend!CB64="", "", Backend!CB64)</f>
        <v/>
      </c>
      <c r="CB37" t="str">
        <f>IF(Backend!CC64="", "", Backend!CC64)</f>
        <v/>
      </c>
      <c r="CC37" t="str">
        <f>IF(Backend!CD64="", "", Backend!CD64)</f>
        <v/>
      </c>
    </row>
    <row r="38" spans="1:81" x14ac:dyDescent="0.25">
      <c r="A38" s="4" t="str">
        <f>IF(Backend!A65="", "", Backend!A65)</f>
        <v>Nippon Television Holdings, Inc.</v>
      </c>
      <c r="B38">
        <f>IF(Backend!C65="", "", Backend!C65)</f>
        <v>-0.32729439999999999</v>
      </c>
      <c r="C38">
        <f>IF(Backend!D65="", "", Backend!D65)</f>
        <v>-0.20652765000000001</v>
      </c>
      <c r="D38">
        <f>IF(Backend!E65="", "", Backend!E65)</f>
        <v>-0.30231485000000002</v>
      </c>
      <c r="E38">
        <f>IF(Backend!F65="", "", Backend!F65)</f>
        <v>-0.45600459999999998</v>
      </c>
      <c r="F38">
        <f>IF(Backend!G65="", "", Backend!G65)</f>
        <v>-0.14733903000000001</v>
      </c>
      <c r="G38">
        <f>IF(Backend!H65="", "", Backend!H65)</f>
        <v>-0.43559098000000002</v>
      </c>
      <c r="H38">
        <f>IF(Backend!I65="", "", Backend!I65)</f>
        <v>-0.11784460400000001</v>
      </c>
      <c r="I38">
        <f>IF(Backend!J65="", "", Backend!J65)</f>
        <v>-0.67463070000000003</v>
      </c>
      <c r="J38">
        <f>IF(Backend!K65="", "", Backend!K65)</f>
        <v>-0.67785220000000002</v>
      </c>
      <c r="K38">
        <f>IF(Backend!L65="", "", Backend!L65)</f>
        <v>0.49208345999999997</v>
      </c>
      <c r="L38">
        <f>IF(Backend!M65="", "", Backend!M65)</f>
        <v>-0.62151909999999999</v>
      </c>
      <c r="M38">
        <f>IF(Backend!N65="", "", Backend!N65)</f>
        <v>-0.60972570000000004</v>
      </c>
      <c r="N38">
        <f>IF(Backend!O65="", "", Backend!O65)</f>
        <v>6.5620999999999999E-2</v>
      </c>
      <c r="O38">
        <f>IF(Backend!P65="", "", Backend!P65)</f>
        <v>-0.74395299999999998</v>
      </c>
      <c r="P38">
        <f>IF(Backend!Q65="", "", Backend!Q65)</f>
        <v>0.43240887</v>
      </c>
      <c r="Q38">
        <f>IF(Backend!R65="", "", Backend!R65)</f>
        <v>0.22090693</v>
      </c>
      <c r="R38">
        <f>IF(Backend!S65="", "", Backend!S65)</f>
        <v>-5.7264860000000001E-2</v>
      </c>
      <c r="S38">
        <f>IF(Backend!T65="", "", Backend!T65)</f>
        <v>-0.48323694</v>
      </c>
      <c r="T38">
        <f>IF(Backend!U65="", "", Backend!U65)</f>
        <v>4.3481593000000004E-3</v>
      </c>
      <c r="U38">
        <f>IF(Backend!V65="", "", Backend!V65)</f>
        <v>0.68683773000000004</v>
      </c>
      <c r="V38">
        <f>IF(Backend!W65="", "", Backend!W65)</f>
        <v>-0.37913665000000002</v>
      </c>
      <c r="W38">
        <f>IF(Backend!X65="", "", Backend!X65)</f>
        <v>0.88529866999999995</v>
      </c>
      <c r="X38">
        <f>IF(Backend!Y65="", "", Backend!Y65)</f>
        <v>-0.59447050000000001</v>
      </c>
      <c r="Y38">
        <f>IF(Backend!Z65="", "", Backend!Z65)</f>
        <v>0.78391829999999996</v>
      </c>
      <c r="Z38">
        <f>IF(Backend!AA65="", "", Backend!AA65)</f>
        <v>-0.76172810000000002</v>
      </c>
      <c r="AA38">
        <f>IF(Backend!AB65="", "", Backend!AB65)</f>
        <v>-0.58959556000000002</v>
      </c>
      <c r="AB38">
        <f>IF(Backend!AC65="", "", Backend!AC65)</f>
        <v>-0.70549697</v>
      </c>
      <c r="AC38">
        <f>IF(Backend!AD65="", "", Backend!AD65)</f>
        <v>-0.39070033999999998</v>
      </c>
      <c r="AD38">
        <f>IF(Backend!AE65="", "", Backend!AE65)</f>
        <v>-0.64923536999999998</v>
      </c>
      <c r="AE38">
        <f>IF(Backend!AF65="", "", Backend!AF65)</f>
        <v>0.18151793999999999</v>
      </c>
      <c r="AF38">
        <f>IF(Backend!AG65="", "", Backend!AG65)</f>
        <v>3.6616153999999998E-2</v>
      </c>
      <c r="AG38">
        <f>IF(Backend!AH65="", "", Backend!AH65)</f>
        <v>-0.11103971</v>
      </c>
      <c r="AH38">
        <f>IF(Backend!AI65="", "", Backend!AI65)</f>
        <v>0.90635730000000003</v>
      </c>
      <c r="AI38">
        <f>IF(Backend!AJ65="", "", Backend!AJ65)</f>
        <v>0.10137765999999999</v>
      </c>
      <c r="AJ38">
        <f>IF(Backend!AK65="", "", Backend!AK65)</f>
        <v>1</v>
      </c>
      <c r="AK38">
        <f>IF(Backend!AL65="", "", Backend!AL65)</f>
        <v>-0.69807476000000002</v>
      </c>
      <c r="AL38">
        <f>IF(Backend!AM65="", "", Backend!AM65)</f>
        <v>-0.51087654000000005</v>
      </c>
      <c r="AM38">
        <f>IF(Backend!AN65="", "", Backend!AN65)</f>
        <v>9.9227750000000003E-2</v>
      </c>
      <c r="AN38">
        <f>IF(Backend!AO65="", "", Backend!AO65)</f>
        <v>-0.62077599999999999</v>
      </c>
      <c r="AO38">
        <f>IF(Backend!AP65="", "", Backend!AP65)</f>
        <v>-0.23767820000000001</v>
      </c>
      <c r="AP38">
        <f>IF(Backend!AQ65="", "", Backend!AQ65)</f>
        <v>-0.26123420000000003</v>
      </c>
      <c r="AQ38">
        <f>IF(Backend!AR65="", "", Backend!AR65)</f>
        <v>0.15498972999999999</v>
      </c>
      <c r="AR38">
        <f>IF(Backend!AS65="", "", Backend!AS65)</f>
        <v>-0.28667327999999997</v>
      </c>
      <c r="AS38">
        <f>IF(Backend!AT65="", "", Backend!AT65)</f>
        <v>0.80268466000000005</v>
      </c>
      <c r="AT38">
        <f>IF(Backend!AU65="", "", Backend!AU65)</f>
        <v>0.84349870000000005</v>
      </c>
      <c r="AU38">
        <f>IF(Backend!AV65="", "", Backend!AV65)</f>
        <v>0.8834649</v>
      </c>
      <c r="AV38">
        <f>IF(Backend!AW65="", "", Backend!AW65)</f>
        <v>-0.27088245999999999</v>
      </c>
      <c r="AW38">
        <f>IF(Backend!AX65="", "", Backend!AX65)</f>
        <v>-0.70649390000000001</v>
      </c>
      <c r="AX38">
        <f>IF(Backend!AY65="", "", Backend!AY65)</f>
        <v>-0.3627416</v>
      </c>
      <c r="AY38">
        <f>IF(Backend!AZ65="", "", Backend!AZ65)</f>
        <v>0.52263519999999997</v>
      </c>
      <c r="AZ38">
        <f>IF(Backend!BA65="", "", Backend!BA65)</f>
        <v>-0.32493450000000001</v>
      </c>
      <c r="BA38">
        <f>IF(Backend!BB65="", "", Backend!BB65)</f>
        <v>2.3599431999999998E-3</v>
      </c>
      <c r="BB38">
        <f>IF(Backend!BC65="", "", Backend!BC65)</f>
        <v>-0.21473408999999999</v>
      </c>
      <c r="BC38">
        <f>IF(Backend!BD65="", "", Backend!BD65)</f>
        <v>-0.24167964</v>
      </c>
      <c r="BD38">
        <f>IF(Backend!BE65="", "", Backend!BE65)</f>
        <v>-0.30173042</v>
      </c>
      <c r="BE38">
        <f>IF(Backend!BF65="", "", Backend!BF65)</f>
        <v>-0.61626409999999998</v>
      </c>
      <c r="BF38">
        <f>IF(Backend!BG65="", "", Backend!BG65)</f>
        <v>-0.43211212999999998</v>
      </c>
      <c r="BG38">
        <f>IF(Backend!BH65="", "", Backend!BH65)</f>
        <v>-7.763109E-2</v>
      </c>
      <c r="BH38">
        <f>IF(Backend!BI65="", "", Backend!BI65)</f>
        <v>-0.5954102</v>
      </c>
      <c r="BI38" t="str">
        <f>IF(Backend!BJ65="", "", Backend!BJ65)</f>
        <v/>
      </c>
      <c r="BJ38" t="str">
        <f>IF(Backend!BK65="", "", Backend!BK65)</f>
        <v/>
      </c>
      <c r="BK38" t="str">
        <f>IF(Backend!BL65="", "", Backend!BL65)</f>
        <v/>
      </c>
      <c r="BL38" t="str">
        <f>IF(Backend!BM65="", "", Backend!BM65)</f>
        <v/>
      </c>
      <c r="BM38" t="str">
        <f>IF(Backend!BN65="", "", Backend!BN65)</f>
        <v/>
      </c>
      <c r="BN38" t="str">
        <f>IF(Backend!BO65="", "", Backend!BO65)</f>
        <v/>
      </c>
      <c r="BO38" t="str">
        <f>IF(Backend!BP65="", "", Backend!BP65)</f>
        <v/>
      </c>
      <c r="BP38" t="str">
        <f>IF(Backend!BQ65="", "", Backend!BQ65)</f>
        <v/>
      </c>
      <c r="BQ38" t="str">
        <f>IF(Backend!BR65="", "", Backend!BR65)</f>
        <v/>
      </c>
      <c r="BR38" t="str">
        <f>IF(Backend!BS65="", "", Backend!BS65)</f>
        <v/>
      </c>
      <c r="BS38" t="str">
        <f>IF(Backend!BT65="", "", Backend!BT65)</f>
        <v/>
      </c>
      <c r="BT38" t="str">
        <f>IF(Backend!BU65="", "", Backend!BU65)</f>
        <v/>
      </c>
      <c r="BU38" t="str">
        <f>IF(Backend!BV65="", "", Backend!BV65)</f>
        <v/>
      </c>
      <c r="BV38" t="str">
        <f>IF(Backend!BW65="", "", Backend!BW65)</f>
        <v/>
      </c>
      <c r="BW38" t="str">
        <f>IF(Backend!BX65="", "", Backend!BX65)</f>
        <v/>
      </c>
      <c r="BX38" t="str">
        <f>IF(Backend!BY65="", "", Backend!BY65)</f>
        <v/>
      </c>
      <c r="BY38" t="str">
        <f>IF(Backend!BZ65="", "", Backend!BZ65)</f>
        <v/>
      </c>
      <c r="BZ38" t="str">
        <f>IF(Backend!CA65="", "", Backend!CA65)</f>
        <v/>
      </c>
      <c r="CA38" t="str">
        <f>IF(Backend!CB65="", "", Backend!CB65)</f>
        <v/>
      </c>
      <c r="CB38" t="str">
        <f>IF(Backend!CC65="", "", Backend!CC65)</f>
        <v/>
      </c>
      <c r="CC38" t="str">
        <f>IF(Backend!CD65="", "", Backend!CD65)</f>
        <v/>
      </c>
    </row>
    <row r="39" spans="1:81" x14ac:dyDescent="0.25">
      <c r="A39" s="4" t="str">
        <f>IF(Backend!A66="", "", Backend!A66)</f>
        <v>Pfizer Inc.</v>
      </c>
      <c r="B39">
        <f>IF(Backend!C66="", "", Backend!C66)</f>
        <v>0.31876028000000001</v>
      </c>
      <c r="C39">
        <f>IF(Backend!D66="", "", Backend!D66)</f>
        <v>0.67156179999999999</v>
      </c>
      <c r="D39">
        <f>IF(Backend!E66="", "", Backend!E66)</f>
        <v>0.60764600000000002</v>
      </c>
      <c r="E39">
        <f>IF(Backend!F66="", "", Backend!F66)</f>
        <v>0.65985289999999996</v>
      </c>
      <c r="F39">
        <f>IF(Backend!G66="", "", Backend!G66)</f>
        <v>0.1179318</v>
      </c>
      <c r="G39">
        <f>IF(Backend!H66="", "", Backend!H66)</f>
        <v>0.60272574000000001</v>
      </c>
      <c r="H39">
        <f>IF(Backend!I66="", "", Backend!I66)</f>
        <v>0.27819714000000001</v>
      </c>
      <c r="I39">
        <f>IF(Backend!J66="", "", Backend!J66)</f>
        <v>0.80359689999999995</v>
      </c>
      <c r="J39">
        <f>IF(Backend!K66="", "", Backend!K66)</f>
        <v>0.8163222</v>
      </c>
      <c r="K39">
        <f>IF(Backend!L66="", "", Backend!L66)</f>
        <v>0.10776427</v>
      </c>
      <c r="L39">
        <f>IF(Backend!M66="", "", Backend!M66)</f>
        <v>0.63285690000000006</v>
      </c>
      <c r="M39">
        <f>IF(Backend!N66="", "", Backend!N66)</f>
        <v>0.61346524999999996</v>
      </c>
      <c r="N39">
        <f>IF(Backend!O66="", "", Backend!O66)</f>
        <v>0.10881639999999999</v>
      </c>
      <c r="O39">
        <f>IF(Backend!P66="", "", Backend!P66)</f>
        <v>0.80949146000000005</v>
      </c>
      <c r="P39">
        <f>IF(Backend!Q66="", "", Backend!Q66)</f>
        <v>-0.45737863000000001</v>
      </c>
      <c r="Q39">
        <f>IF(Backend!R66="", "", Backend!R66)</f>
        <v>0.12761389000000001</v>
      </c>
      <c r="R39">
        <f>IF(Backend!S66="", "", Backend!S66)</f>
        <v>0.43561319999999998</v>
      </c>
      <c r="S39">
        <f>IF(Backend!T66="", "", Backend!T66)</f>
        <v>0.115869254</v>
      </c>
      <c r="T39">
        <f>IF(Backend!U66="", "", Backend!U66)</f>
        <v>2.1097997E-2</v>
      </c>
      <c r="U39">
        <f>IF(Backend!V66="", "", Backend!V66)</f>
        <v>-0.55062747000000001</v>
      </c>
      <c r="V39">
        <f>IF(Backend!W66="", "", Backend!W66)</f>
        <v>0.45123816</v>
      </c>
      <c r="W39">
        <f>IF(Backend!X66="", "", Backend!X66)</f>
        <v>-0.56514883000000005</v>
      </c>
      <c r="X39">
        <f>IF(Backend!Y66="", "", Backend!Y66)</f>
        <v>0.68842506000000003</v>
      </c>
      <c r="Y39">
        <f>IF(Backend!Z66="", "", Backend!Z66)</f>
        <v>-0.50011419999999995</v>
      </c>
      <c r="Z39">
        <f>IF(Backend!AA66="", "", Backend!AA66)</f>
        <v>0.65277510000000005</v>
      </c>
      <c r="AA39">
        <f>IF(Backend!AB66="", "", Backend!AB66)</f>
        <v>0.62770265000000003</v>
      </c>
      <c r="AB39">
        <f>IF(Backend!AC66="", "", Backend!AC66)</f>
        <v>0.45461726000000002</v>
      </c>
      <c r="AC39">
        <f>IF(Backend!AD66="", "", Backend!AD66)</f>
        <v>0.6416927</v>
      </c>
      <c r="AD39">
        <f>IF(Backend!AE66="", "", Backend!AE66)</f>
        <v>0.67006737000000005</v>
      </c>
      <c r="AE39">
        <f>IF(Backend!AF66="", "", Backend!AF66)</f>
        <v>1.7962372000000001E-2</v>
      </c>
      <c r="AF39">
        <f>IF(Backend!AG66="", "", Backend!AG66)</f>
        <v>0.28478914</v>
      </c>
      <c r="AG39">
        <f>IF(Backend!AH66="", "", Backend!AH66)</f>
        <v>-0.31873046999999999</v>
      </c>
      <c r="AH39">
        <f>IF(Backend!AI66="", "", Backend!AI66)</f>
        <v>-0.62140256000000005</v>
      </c>
      <c r="AI39">
        <f>IF(Backend!AJ66="", "", Backend!AJ66)</f>
        <v>3.5229336E-2</v>
      </c>
      <c r="AJ39">
        <f>IF(Backend!AK66="", "", Backend!AK66)</f>
        <v>-0.69807476000000002</v>
      </c>
      <c r="AK39">
        <f>IF(Backend!AL66="", "", Backend!AL66)</f>
        <v>1</v>
      </c>
      <c r="AL39">
        <f>IF(Backend!AM66="", "", Backend!AM66)</f>
        <v>0.61147490000000004</v>
      </c>
      <c r="AM39">
        <f>IF(Backend!AN66="", "", Backend!AN66)</f>
        <v>-0.1934565</v>
      </c>
      <c r="AN39">
        <f>IF(Backend!AO66="", "", Backend!AO66)</f>
        <v>0.63628560000000001</v>
      </c>
      <c r="AO39">
        <f>IF(Backend!AP66="", "", Backend!AP66)</f>
        <v>0.53894120000000001</v>
      </c>
      <c r="AP39">
        <f>IF(Backend!AQ66="", "", Backend!AQ66)</f>
        <v>0.42209867000000001</v>
      </c>
      <c r="AQ39">
        <f>IF(Backend!AR66="", "", Backend!AR66)</f>
        <v>-0.14236756</v>
      </c>
      <c r="AR39">
        <f>IF(Backend!AS66="", "", Backend!AS66)</f>
        <v>0.6114579</v>
      </c>
      <c r="AS39">
        <f>IF(Backend!AT66="", "", Backend!AT66)</f>
        <v>-0.43899357</v>
      </c>
      <c r="AT39">
        <f>IF(Backend!AU66="", "", Backend!AU66)</f>
        <v>-0.41359305000000002</v>
      </c>
      <c r="AU39">
        <f>IF(Backend!AV66="", "", Backend!AV66)</f>
        <v>-0.68753569999999997</v>
      </c>
      <c r="AV39">
        <f>IF(Backend!AW66="", "", Backend!AW66)</f>
        <v>0.47974554000000003</v>
      </c>
      <c r="AW39">
        <f>IF(Backend!AX66="", "", Backend!AX66)</f>
        <v>0.62275610000000003</v>
      </c>
      <c r="AX39">
        <f>IF(Backend!AY66="", "", Backend!AY66)</f>
        <v>0.36481156999999997</v>
      </c>
      <c r="AY39">
        <f>IF(Backend!AZ66="", "", Backend!AZ66)</f>
        <v>-0.5302692</v>
      </c>
      <c r="AZ39">
        <f>IF(Backend!BA66="", "", Backend!BA66)</f>
        <v>0.74111139999999998</v>
      </c>
      <c r="BA39">
        <f>IF(Backend!BB66="", "", Backend!BB66)</f>
        <v>0.38008999999999998</v>
      </c>
      <c r="BB39">
        <f>IF(Backend!BC66="", "", Backend!BC66)</f>
        <v>0.26369488000000002</v>
      </c>
      <c r="BC39">
        <f>IF(Backend!BD66="", "", Backend!BD66)</f>
        <v>0.61868860000000003</v>
      </c>
      <c r="BD39">
        <f>IF(Backend!BE66="", "", Backend!BE66)</f>
        <v>0.42887019999999998</v>
      </c>
      <c r="BE39">
        <f>IF(Backend!BF66="", "", Backend!BF66)</f>
        <v>0.80986309999999995</v>
      </c>
      <c r="BF39">
        <f>IF(Backend!BG66="", "", Backend!BG66)</f>
        <v>0.5513036</v>
      </c>
      <c r="BG39">
        <f>IF(Backend!BH66="", "", Backend!BH66)</f>
        <v>0.49391215999999999</v>
      </c>
      <c r="BH39">
        <f>IF(Backend!BI66="", "", Backend!BI66)</f>
        <v>0.67131567000000003</v>
      </c>
      <c r="BI39" t="str">
        <f>IF(Backend!BJ66="", "", Backend!BJ66)</f>
        <v/>
      </c>
      <c r="BJ39" t="str">
        <f>IF(Backend!BK66="", "", Backend!BK66)</f>
        <v/>
      </c>
      <c r="BK39" t="str">
        <f>IF(Backend!BL66="", "", Backend!BL66)</f>
        <v/>
      </c>
      <c r="BL39" t="str">
        <f>IF(Backend!BM66="", "", Backend!BM66)</f>
        <v/>
      </c>
      <c r="BM39" t="str">
        <f>IF(Backend!BN66="", "", Backend!BN66)</f>
        <v/>
      </c>
      <c r="BN39" t="str">
        <f>IF(Backend!BO66="", "", Backend!BO66)</f>
        <v/>
      </c>
      <c r="BO39" t="str">
        <f>IF(Backend!BP66="", "", Backend!BP66)</f>
        <v/>
      </c>
      <c r="BP39" t="str">
        <f>IF(Backend!BQ66="", "", Backend!BQ66)</f>
        <v/>
      </c>
      <c r="BQ39" t="str">
        <f>IF(Backend!BR66="", "", Backend!BR66)</f>
        <v/>
      </c>
      <c r="BR39" t="str">
        <f>IF(Backend!BS66="", "", Backend!BS66)</f>
        <v/>
      </c>
      <c r="BS39" t="str">
        <f>IF(Backend!BT66="", "", Backend!BT66)</f>
        <v/>
      </c>
      <c r="BT39" t="str">
        <f>IF(Backend!BU66="", "", Backend!BU66)</f>
        <v/>
      </c>
      <c r="BU39" t="str">
        <f>IF(Backend!BV66="", "", Backend!BV66)</f>
        <v/>
      </c>
      <c r="BV39" t="str">
        <f>IF(Backend!BW66="", "", Backend!BW66)</f>
        <v/>
      </c>
      <c r="BW39" t="str">
        <f>IF(Backend!BX66="", "", Backend!BX66)</f>
        <v/>
      </c>
      <c r="BX39" t="str">
        <f>IF(Backend!BY66="", "", Backend!BY66)</f>
        <v/>
      </c>
      <c r="BY39" t="str">
        <f>IF(Backend!BZ66="", "", Backend!BZ66)</f>
        <v/>
      </c>
      <c r="BZ39" t="str">
        <f>IF(Backend!CA66="", "", Backend!CA66)</f>
        <v/>
      </c>
      <c r="CA39" t="str">
        <f>IF(Backend!CB66="", "", Backend!CB66)</f>
        <v/>
      </c>
      <c r="CB39" t="str">
        <f>IF(Backend!CC66="", "", Backend!CC66)</f>
        <v/>
      </c>
      <c r="CC39" t="str">
        <f>IF(Backend!CD66="", "", Backend!CD66)</f>
        <v/>
      </c>
    </row>
    <row r="40" spans="1:81" x14ac:dyDescent="0.25">
      <c r="A40" s="4" t="str">
        <f>IF(Backend!A67="", "", Backend!A67)</f>
        <v>PUMA SE</v>
      </c>
      <c r="B40">
        <f>IF(Backend!C67="", "", Backend!C67)</f>
        <v>0.86678189999999999</v>
      </c>
      <c r="C40">
        <f>IF(Backend!D67="", "", Backend!D67)</f>
        <v>0.56501239999999997</v>
      </c>
      <c r="D40">
        <f>IF(Backend!E67="", "", Backend!E67)</f>
        <v>0.83986530000000004</v>
      </c>
      <c r="E40">
        <f>IF(Backend!F67="", "", Backend!F67)</f>
        <v>0.92204399999999997</v>
      </c>
      <c r="F40">
        <f>IF(Backend!G67="", "", Backend!G67)</f>
        <v>0.63875382999999997</v>
      </c>
      <c r="G40">
        <f>IF(Backend!H67="", "", Backend!H67)</f>
        <v>0.82444644</v>
      </c>
      <c r="H40">
        <f>IF(Backend!I67="", "", Backend!I67)</f>
        <v>0.83422803999999995</v>
      </c>
      <c r="I40">
        <f>IF(Backend!J67="", "", Backend!J67)</f>
        <v>0.71971949999999996</v>
      </c>
      <c r="J40">
        <f>IF(Backend!K67="", "", Backend!K67)</f>
        <v>0.42936906000000002</v>
      </c>
      <c r="K40">
        <f>IF(Backend!L67="", "", Backend!L67)</f>
        <v>0.16960604000000001</v>
      </c>
      <c r="L40">
        <f>IF(Backend!M67="", "", Backend!M67)</f>
        <v>0.67017380000000004</v>
      </c>
      <c r="M40">
        <f>IF(Backend!N67="", "", Backend!N67)</f>
        <v>0.62721660000000001</v>
      </c>
      <c r="N40">
        <f>IF(Backend!O67="", "", Backend!O67)</f>
        <v>0.74674755000000004</v>
      </c>
      <c r="O40">
        <f>IF(Backend!P67="", "", Backend!P67)</f>
        <v>0.74200063999999999</v>
      </c>
      <c r="P40">
        <f>IF(Backend!Q67="", "", Backend!Q67)</f>
        <v>-0.60375893000000003</v>
      </c>
      <c r="Q40">
        <f>IF(Backend!R67="", "", Backend!R67)</f>
        <v>0.15902773000000001</v>
      </c>
      <c r="R40">
        <f>IF(Backend!S67="", "", Backend!S67)</f>
        <v>0.73067987000000001</v>
      </c>
      <c r="S40">
        <f>IF(Backend!T67="", "", Backend!T67)</f>
        <v>-0.30738454999999998</v>
      </c>
      <c r="T40">
        <f>IF(Backend!U67="", "", Backend!U67)</f>
        <v>0.61487687000000002</v>
      </c>
      <c r="U40">
        <f>IF(Backend!V67="", "", Backend!V67)</f>
        <v>-0.56624406999999999</v>
      </c>
      <c r="V40">
        <f>IF(Backend!W67="", "", Backend!W67)</f>
        <v>0.84922206</v>
      </c>
      <c r="W40">
        <f>IF(Backend!X67="", "", Backend!X67)</f>
        <v>-0.46160456999999999</v>
      </c>
      <c r="X40">
        <f>IF(Backend!Y67="", "", Backend!Y67)</f>
        <v>0.92062354000000002</v>
      </c>
      <c r="Y40">
        <f>IF(Backend!Z67="", "", Backend!Z67)</f>
        <v>-0.44665919999999998</v>
      </c>
      <c r="Z40">
        <f>IF(Backend!AA67="", "", Backend!AA67)</f>
        <v>0.56491270000000005</v>
      </c>
      <c r="AA40">
        <f>IF(Backend!AB67="", "", Backend!AB67)</f>
        <v>0.88174960000000002</v>
      </c>
      <c r="AB40">
        <f>IF(Backend!AC67="", "", Backend!AC67)</f>
        <v>0.60164076</v>
      </c>
      <c r="AC40">
        <f>IF(Backend!AD67="", "", Backend!AD67)</f>
        <v>0.37909806000000001</v>
      </c>
      <c r="AD40">
        <f>IF(Backend!AE67="", "", Backend!AE67)</f>
        <v>0.90200029999999998</v>
      </c>
      <c r="AE40">
        <f>IF(Backend!AF67="", "", Backend!AF67)</f>
        <v>0.60993385</v>
      </c>
      <c r="AF40">
        <f>IF(Backend!AG67="", "", Backend!AG67)</f>
        <v>0.71987252999999995</v>
      </c>
      <c r="AG40">
        <f>IF(Backend!AH67="", "", Backend!AH67)</f>
        <v>-0.36999226000000002</v>
      </c>
      <c r="AH40">
        <f>IF(Backend!AI67="", "", Backend!AI67)</f>
        <v>-0.67853372999999995</v>
      </c>
      <c r="AI40">
        <f>IF(Backend!AJ67="", "", Backend!AJ67)</f>
        <v>-0.24454273000000001</v>
      </c>
      <c r="AJ40">
        <f>IF(Backend!AK67="", "", Backend!AK67)</f>
        <v>-0.51087654000000005</v>
      </c>
      <c r="AK40">
        <f>IF(Backend!AL67="", "", Backend!AL67)</f>
        <v>0.61147490000000004</v>
      </c>
      <c r="AL40">
        <f>IF(Backend!AM67="", "", Backend!AM67)</f>
        <v>1</v>
      </c>
      <c r="AM40">
        <f>IF(Backend!AN67="", "", Backend!AN67)</f>
        <v>-0.51051800000000003</v>
      </c>
      <c r="AN40">
        <f>IF(Backend!AO67="", "", Backend!AO67)</f>
        <v>0.82213765000000005</v>
      </c>
      <c r="AO40">
        <f>IF(Backend!AP67="", "", Backend!AP67)</f>
        <v>0.72112452999999999</v>
      </c>
      <c r="AP40">
        <f>IF(Backend!AQ67="", "", Backend!AQ67)</f>
        <v>0.83813769999999999</v>
      </c>
      <c r="AQ40">
        <f>IF(Backend!AR67="", "", Backend!AR67)</f>
        <v>-1.4587620000000001E-2</v>
      </c>
      <c r="AR40">
        <f>IF(Backend!AS67="", "", Backend!AS67)</f>
        <v>0.66117256999999996</v>
      </c>
      <c r="AS40">
        <f>IF(Backend!AT67="", "", Backend!AT67)</f>
        <v>-0.30740030000000002</v>
      </c>
      <c r="AT40">
        <f>IF(Backend!AU67="", "", Backend!AU67)</f>
        <v>-0.36935984999999999</v>
      </c>
      <c r="AU40">
        <f>IF(Backend!AV67="", "", Backend!AV67)</f>
        <v>-0.72542404999999999</v>
      </c>
      <c r="AV40">
        <f>IF(Backend!AW67="", "", Backend!AW67)</f>
        <v>0.93247060000000004</v>
      </c>
      <c r="AW40">
        <f>IF(Backend!AX67="", "", Backend!AX67)</f>
        <v>0.70601444999999996</v>
      </c>
      <c r="AX40">
        <f>IF(Backend!AY67="", "", Backend!AY67)</f>
        <v>0.39853072</v>
      </c>
      <c r="AY40">
        <f>IF(Backend!AZ67="", "", Backend!AZ67)</f>
        <v>0.13237642999999999</v>
      </c>
      <c r="AZ40">
        <f>IF(Backend!BA67="", "", Backend!BA67)</f>
        <v>0.74582446000000002</v>
      </c>
      <c r="BA40">
        <f>IF(Backend!BB67="", "", Backend!BB67)</f>
        <v>0.74041754000000004</v>
      </c>
      <c r="BB40">
        <f>IF(Backend!BC67="", "", Backend!BC67)</f>
        <v>0.75016210000000005</v>
      </c>
      <c r="BC40">
        <f>IF(Backend!BD67="", "", Backend!BD67)</f>
        <v>0.80258649999999998</v>
      </c>
      <c r="BD40">
        <f>IF(Backend!BE67="", "", Backend!BE67)</f>
        <v>0.8692896</v>
      </c>
      <c r="BE40">
        <f>IF(Backend!BF67="", "", Backend!BF67)</f>
        <v>0.86536413000000001</v>
      </c>
      <c r="BF40">
        <f>IF(Backend!BG67="", "", Backend!BG67)</f>
        <v>0.90988869999999999</v>
      </c>
      <c r="BG40">
        <f>IF(Backend!BH67="", "", Backend!BH67)</f>
        <v>0.61835264999999995</v>
      </c>
      <c r="BH40">
        <f>IF(Backend!BI67="", "", Backend!BI67)</f>
        <v>0.80661819999999995</v>
      </c>
      <c r="BI40" t="str">
        <f>IF(Backend!BJ67="", "", Backend!BJ67)</f>
        <v/>
      </c>
      <c r="BJ40" t="str">
        <f>IF(Backend!BK67="", "", Backend!BK67)</f>
        <v/>
      </c>
      <c r="BK40" t="str">
        <f>IF(Backend!BL67="", "", Backend!BL67)</f>
        <v/>
      </c>
      <c r="BL40" t="str">
        <f>IF(Backend!BM67="", "", Backend!BM67)</f>
        <v/>
      </c>
      <c r="BM40" t="str">
        <f>IF(Backend!BN67="", "", Backend!BN67)</f>
        <v/>
      </c>
      <c r="BN40" t="str">
        <f>IF(Backend!BO67="", "", Backend!BO67)</f>
        <v/>
      </c>
      <c r="BO40" t="str">
        <f>IF(Backend!BP67="", "", Backend!BP67)</f>
        <v/>
      </c>
      <c r="BP40" t="str">
        <f>IF(Backend!BQ67="", "", Backend!BQ67)</f>
        <v/>
      </c>
      <c r="BQ40" t="str">
        <f>IF(Backend!BR67="", "", Backend!BR67)</f>
        <v/>
      </c>
      <c r="BR40" t="str">
        <f>IF(Backend!BS67="", "", Backend!BS67)</f>
        <v/>
      </c>
      <c r="BS40" t="str">
        <f>IF(Backend!BT67="", "", Backend!BT67)</f>
        <v/>
      </c>
      <c r="BT40" t="str">
        <f>IF(Backend!BU67="", "", Backend!BU67)</f>
        <v/>
      </c>
      <c r="BU40" t="str">
        <f>IF(Backend!BV67="", "", Backend!BV67)</f>
        <v/>
      </c>
      <c r="BV40" t="str">
        <f>IF(Backend!BW67="", "", Backend!BW67)</f>
        <v/>
      </c>
      <c r="BW40" t="str">
        <f>IF(Backend!BX67="", "", Backend!BX67)</f>
        <v/>
      </c>
      <c r="BX40" t="str">
        <f>IF(Backend!BY67="", "", Backend!BY67)</f>
        <v/>
      </c>
      <c r="BY40" t="str">
        <f>IF(Backend!BZ67="", "", Backend!BZ67)</f>
        <v/>
      </c>
      <c r="BZ40" t="str">
        <f>IF(Backend!CA67="", "", Backend!CA67)</f>
        <v/>
      </c>
      <c r="CA40" t="str">
        <f>IF(Backend!CB67="", "", Backend!CB67)</f>
        <v/>
      </c>
      <c r="CB40" t="str">
        <f>IF(Backend!CC67="", "", Backend!CC67)</f>
        <v/>
      </c>
      <c r="CC40" t="str">
        <f>IF(Backend!CD67="", "", Backend!CD67)</f>
        <v/>
      </c>
    </row>
    <row r="41" spans="1:81" x14ac:dyDescent="0.25">
      <c r="A41" s="4" t="str">
        <f>IF(Backend!A68="", "", Backend!A68)</f>
        <v>Repsol SA</v>
      </c>
      <c r="B41">
        <f>IF(Backend!C68="", "", Backend!C68)</f>
        <v>-0.40704163999999998</v>
      </c>
      <c r="C41">
        <f>IF(Backend!D68="", "", Backend!D68)</f>
        <v>-0.13105496999999999</v>
      </c>
      <c r="D41">
        <f>IF(Backend!E68="", "", Backend!E68)</f>
        <v>-0.50038680000000002</v>
      </c>
      <c r="E41">
        <f>IF(Backend!F68="", "", Backend!F68)</f>
        <v>-0.35416155999999999</v>
      </c>
      <c r="F41">
        <f>IF(Backend!G68="", "", Backend!G68)</f>
        <v>-0.47151272999999999</v>
      </c>
      <c r="G41">
        <f>IF(Backend!H68="", "", Backend!H68)</f>
        <v>-0.2620285</v>
      </c>
      <c r="H41">
        <f>IF(Backend!I68="", "", Backend!I68)</f>
        <v>-0.44983943999999998</v>
      </c>
      <c r="I41">
        <f>IF(Backend!J68="", "", Backend!J68)</f>
        <v>-0.16211613999999999</v>
      </c>
      <c r="J41">
        <f>IF(Backend!K68="", "", Backend!K68)</f>
        <v>-0.21892478000000001</v>
      </c>
      <c r="K41">
        <f>IF(Backend!L68="", "", Backend!L68)</f>
        <v>-0.17826337</v>
      </c>
      <c r="L41">
        <f>IF(Backend!M68="", "", Backend!M68)</f>
        <v>-6.6215195000000004E-2</v>
      </c>
      <c r="M41">
        <f>IF(Backend!N68="", "", Backend!N68)</f>
        <v>2.7950230999999999E-2</v>
      </c>
      <c r="N41">
        <f>IF(Backend!O68="", "", Backend!O68)</f>
        <v>-0.44570496999999998</v>
      </c>
      <c r="O41">
        <f>IF(Backend!P68="", "", Backend!P68)</f>
        <v>-0.25426294999999999</v>
      </c>
      <c r="P41">
        <f>IF(Backend!Q68="", "", Backend!Q68)</f>
        <v>0.75732860000000002</v>
      </c>
      <c r="Q41">
        <f>IF(Backend!R68="", "", Backend!R68)</f>
        <v>0.12876514999999999</v>
      </c>
      <c r="R41">
        <f>IF(Backend!S68="", "", Backend!S68)</f>
        <v>-0.33728140000000001</v>
      </c>
      <c r="S41">
        <f>IF(Backend!T68="", "", Backend!T68)</f>
        <v>0.60042112999999997</v>
      </c>
      <c r="T41">
        <f>IF(Backend!U68="", "", Backend!U68)</f>
        <v>-0.22224215999999999</v>
      </c>
      <c r="U41">
        <f>IF(Backend!V68="", "", Backend!V68)</f>
        <v>0.42375259999999998</v>
      </c>
      <c r="V41">
        <f>IF(Backend!W68="", "", Backend!W68)</f>
        <v>-0.27522333999999998</v>
      </c>
      <c r="W41">
        <f>IF(Backend!X68="", "", Backend!X68)</f>
        <v>0.12538414000000001</v>
      </c>
      <c r="X41">
        <f>IF(Backend!Y68="", "", Backend!Y68)</f>
        <v>-0.33956912</v>
      </c>
      <c r="Y41">
        <f>IF(Backend!Z68="", "", Backend!Z68)</f>
        <v>0.17886323000000001</v>
      </c>
      <c r="Z41">
        <f>IF(Backend!AA68="", "", Backend!AA68)</f>
        <v>-6.9246680000000005E-2</v>
      </c>
      <c r="AA41">
        <f>IF(Backend!AB68="", "", Backend!AB68)</f>
        <v>-0.25687202999999997</v>
      </c>
      <c r="AB41">
        <f>IF(Backend!AC68="", "", Backend!AC68)</f>
        <v>-9.8836430000000003E-2</v>
      </c>
      <c r="AC41">
        <f>IF(Backend!AD68="", "", Backend!AD68)</f>
        <v>8.9851399999999998E-2</v>
      </c>
      <c r="AD41">
        <f>IF(Backend!AE68="", "", Backend!AE68)</f>
        <v>-0.36287673999999998</v>
      </c>
      <c r="AE41">
        <f>IF(Backend!AF68="", "", Backend!AF68)</f>
        <v>-0.35880432000000001</v>
      </c>
      <c r="AF41">
        <f>IF(Backend!AG68="", "", Backend!AG68)</f>
        <v>-0.46850047</v>
      </c>
      <c r="AG41">
        <f>IF(Backend!AH68="", "", Backend!AH68)</f>
        <v>0.28236919999999999</v>
      </c>
      <c r="AH41">
        <f>IF(Backend!AI68="", "", Backend!AI68)</f>
        <v>0.25249823999999998</v>
      </c>
      <c r="AI41">
        <f>IF(Backend!AJ68="", "", Backend!AJ68)</f>
        <v>0.12563263</v>
      </c>
      <c r="AJ41">
        <f>IF(Backend!AK68="", "", Backend!AK68)</f>
        <v>9.9227750000000003E-2</v>
      </c>
      <c r="AK41">
        <f>IF(Backend!AL68="", "", Backend!AL68)</f>
        <v>-0.1934565</v>
      </c>
      <c r="AL41">
        <f>IF(Backend!AM68="", "", Backend!AM68)</f>
        <v>-0.51051800000000003</v>
      </c>
      <c r="AM41">
        <f>IF(Backend!AN68="", "", Backend!AN68)</f>
        <v>1</v>
      </c>
      <c r="AN41">
        <f>IF(Backend!AO68="", "", Backend!AO68)</f>
        <v>-0.12734503999999999</v>
      </c>
      <c r="AO41">
        <f>IF(Backend!AP68="", "", Backend!AP68)</f>
        <v>-0.26053584000000002</v>
      </c>
      <c r="AP41">
        <f>IF(Backend!AQ68="", "", Backend!AQ68)</f>
        <v>-0.23194529</v>
      </c>
      <c r="AQ41">
        <f>IF(Backend!AR68="", "", Backend!AR68)</f>
        <v>1.9776450000000001E-2</v>
      </c>
      <c r="AR41">
        <f>IF(Backend!AS68="", "", Backend!AS68)</f>
        <v>-0.14630409</v>
      </c>
      <c r="AS41">
        <f>IF(Backend!AT68="", "", Backend!AT68)</f>
        <v>0.100486435</v>
      </c>
      <c r="AT41">
        <f>IF(Backend!AU68="", "", Backend!AU68)</f>
        <v>0.27308035000000003</v>
      </c>
      <c r="AU41">
        <f>IF(Backend!AV68="", "", Backend!AV68)</f>
        <v>0.34478676000000003</v>
      </c>
      <c r="AV41">
        <f>IF(Backend!AW68="", "", Backend!AW68)</f>
        <v>-0.56665359999999998</v>
      </c>
      <c r="AW41">
        <f>IF(Backend!AX68="", "", Backend!AX68)</f>
        <v>-7.9534369999999993E-2</v>
      </c>
      <c r="AX41">
        <f>IF(Backend!AY68="", "", Backend!AY68)</f>
        <v>0.21741779</v>
      </c>
      <c r="AY41">
        <f>IF(Backend!AZ68="", "", Backend!AZ68)</f>
        <v>2.4925218999999998E-2</v>
      </c>
      <c r="AZ41">
        <f>IF(Backend!BA68="", "", Backend!BA68)</f>
        <v>-0.28013775000000002</v>
      </c>
      <c r="BA41">
        <f>IF(Backend!BB68="", "", Backend!BB68)</f>
        <v>-0.61051299999999997</v>
      </c>
      <c r="BB41">
        <f>IF(Backend!BC68="", "", Backend!BC68)</f>
        <v>-0.50277822999999999</v>
      </c>
      <c r="BC41">
        <f>IF(Backend!BD68="", "", Backend!BD68)</f>
        <v>-0.45382420000000001</v>
      </c>
      <c r="BD41">
        <f>IF(Backend!BE68="", "", Backend!BE68)</f>
        <v>-0.33934227</v>
      </c>
      <c r="BE41">
        <f>IF(Backend!BF68="", "", Backend!BF68)</f>
        <v>-0.26698440000000001</v>
      </c>
      <c r="BF41">
        <f>IF(Backend!BG68="", "", Backend!BG68)</f>
        <v>-0.51131280000000001</v>
      </c>
      <c r="BG41">
        <f>IF(Backend!BH68="", "", Backend!BH68)</f>
        <v>-0.48228296999999998</v>
      </c>
      <c r="BH41">
        <f>IF(Backend!BI68="", "", Backend!BI68)</f>
        <v>-0.39267605999999999</v>
      </c>
      <c r="BI41" t="str">
        <f>IF(Backend!BJ68="", "", Backend!BJ68)</f>
        <v/>
      </c>
      <c r="BJ41" t="str">
        <f>IF(Backend!BK68="", "", Backend!BK68)</f>
        <v/>
      </c>
      <c r="BK41" t="str">
        <f>IF(Backend!BL68="", "", Backend!BL68)</f>
        <v/>
      </c>
      <c r="BL41" t="str">
        <f>IF(Backend!BM68="", "", Backend!BM68)</f>
        <v/>
      </c>
      <c r="BM41" t="str">
        <f>IF(Backend!BN68="", "", Backend!BN68)</f>
        <v/>
      </c>
      <c r="BN41" t="str">
        <f>IF(Backend!BO68="", "", Backend!BO68)</f>
        <v/>
      </c>
      <c r="BO41" t="str">
        <f>IF(Backend!BP68="", "", Backend!BP68)</f>
        <v/>
      </c>
      <c r="BP41" t="str">
        <f>IF(Backend!BQ68="", "", Backend!BQ68)</f>
        <v/>
      </c>
      <c r="BQ41" t="str">
        <f>IF(Backend!BR68="", "", Backend!BR68)</f>
        <v/>
      </c>
      <c r="BR41" t="str">
        <f>IF(Backend!BS68="", "", Backend!BS68)</f>
        <v/>
      </c>
      <c r="BS41" t="str">
        <f>IF(Backend!BT68="", "", Backend!BT68)</f>
        <v/>
      </c>
      <c r="BT41" t="str">
        <f>IF(Backend!BU68="", "", Backend!BU68)</f>
        <v/>
      </c>
      <c r="BU41" t="str">
        <f>IF(Backend!BV68="", "", Backend!BV68)</f>
        <v/>
      </c>
      <c r="BV41" t="str">
        <f>IF(Backend!BW68="", "", Backend!BW68)</f>
        <v/>
      </c>
      <c r="BW41" t="str">
        <f>IF(Backend!BX68="", "", Backend!BX68)</f>
        <v/>
      </c>
      <c r="BX41" t="str">
        <f>IF(Backend!BY68="", "", Backend!BY68)</f>
        <v/>
      </c>
      <c r="BY41" t="str">
        <f>IF(Backend!BZ68="", "", Backend!BZ68)</f>
        <v/>
      </c>
      <c r="BZ41" t="str">
        <f>IF(Backend!CA68="", "", Backend!CA68)</f>
        <v/>
      </c>
      <c r="CA41" t="str">
        <f>IF(Backend!CB68="", "", Backend!CB68)</f>
        <v/>
      </c>
      <c r="CB41" t="str">
        <f>IF(Backend!CC68="", "", Backend!CC68)</f>
        <v/>
      </c>
      <c r="CC41" t="str">
        <f>IF(Backend!CD68="", "", Backend!CD68)</f>
        <v/>
      </c>
    </row>
    <row r="42" spans="1:81" x14ac:dyDescent="0.25">
      <c r="A42" s="4" t="str">
        <f>IF(Backend!A69="", "", Backend!A69)</f>
        <v>ROHM Company Limited</v>
      </c>
      <c r="B42">
        <f>IF(Backend!C69="", "", Backend!C69)</f>
        <v>0.77126229999999996</v>
      </c>
      <c r="C42">
        <f>IF(Backend!D69="", "", Backend!D69)</f>
        <v>0.47373363000000002</v>
      </c>
      <c r="D42">
        <f>IF(Backend!E69="", "", Backend!E69)</f>
        <v>0.69489025999999998</v>
      </c>
      <c r="E42">
        <f>IF(Backend!F69="", "", Backend!F69)</f>
        <v>0.86934286000000005</v>
      </c>
      <c r="F42">
        <f>IF(Backend!G69="", "", Backend!G69)</f>
        <v>0.53510769999999996</v>
      </c>
      <c r="G42">
        <f>IF(Backend!H69="", "", Backend!H69)</f>
        <v>0.84306776999999999</v>
      </c>
      <c r="H42">
        <f>IF(Backend!I69="", "", Backend!I69)</f>
        <v>0.6495457</v>
      </c>
      <c r="I42">
        <f>IF(Backend!J69="", "", Backend!J69)</f>
        <v>0.83370215000000003</v>
      </c>
      <c r="J42">
        <f>IF(Backend!K69="", "", Backend!K69)</f>
        <v>0.4934924</v>
      </c>
      <c r="K42">
        <f>IF(Backend!L69="", "", Backend!L69)</f>
        <v>3.9322666999999999E-2</v>
      </c>
      <c r="L42">
        <f>IF(Backend!M69="", "", Backend!M69)</f>
        <v>0.85553305999999996</v>
      </c>
      <c r="M42">
        <f>IF(Backend!N69="", "", Backend!N69)</f>
        <v>0.73466109999999996</v>
      </c>
      <c r="N42">
        <f>IF(Backend!O69="", "", Backend!O69)</f>
        <v>0.57618946000000004</v>
      </c>
      <c r="O42">
        <f>IF(Backend!P69="", "", Backend!P69)</f>
        <v>0.72444269999999999</v>
      </c>
      <c r="P42">
        <f>IF(Backend!Q69="", "", Backend!Q69)</f>
        <v>-0.41875497</v>
      </c>
      <c r="Q42">
        <f>IF(Backend!R69="", "", Backend!R69)</f>
        <v>5.8585230000000002E-2</v>
      </c>
      <c r="R42">
        <f>IF(Backend!S69="", "", Backend!S69)</f>
        <v>0.67909390000000003</v>
      </c>
      <c r="S42">
        <f>IF(Backend!T69="", "", Backend!T69)</f>
        <v>-2.9094782E-2</v>
      </c>
      <c r="T42">
        <f>IF(Backend!U69="", "", Backend!U69)</f>
        <v>0.46947250000000001</v>
      </c>
      <c r="U42">
        <f>IF(Backend!V69="", "", Backend!V69)</f>
        <v>-0.58093249999999996</v>
      </c>
      <c r="V42">
        <f>IF(Backend!W69="", "", Backend!W69)</f>
        <v>0.8184266</v>
      </c>
      <c r="W42">
        <f>IF(Backend!X69="", "", Backend!X69)</f>
        <v>-0.61744297000000004</v>
      </c>
      <c r="X42">
        <f>IF(Backend!Y69="", "", Backend!Y69)</f>
        <v>0.9148307</v>
      </c>
      <c r="Y42">
        <f>IF(Backend!Z69="", "", Backend!Z69)</f>
        <v>-0.48990961999999999</v>
      </c>
      <c r="Z42">
        <f>IF(Backend!AA69="", "", Backend!AA69)</f>
        <v>0.63365567</v>
      </c>
      <c r="AA42">
        <f>IF(Backend!AB69="", "", Backend!AB69)</f>
        <v>0.91006905000000005</v>
      </c>
      <c r="AB42">
        <f>IF(Backend!AC69="", "", Backend!AC69)</f>
        <v>0.59262199999999998</v>
      </c>
      <c r="AC42">
        <f>IF(Backend!AD69="", "", Backend!AD69)</f>
        <v>0.41349577999999998</v>
      </c>
      <c r="AD42">
        <f>IF(Backend!AE69="", "", Backend!AE69)</f>
        <v>0.79411715000000005</v>
      </c>
      <c r="AE42">
        <f>IF(Backend!AF69="", "", Backend!AF69)</f>
        <v>0.44352320000000001</v>
      </c>
      <c r="AF42">
        <f>IF(Backend!AG69="", "", Backend!AG69)</f>
        <v>0.45078405999999999</v>
      </c>
      <c r="AG42">
        <f>IF(Backend!AH69="", "", Backend!AH69)</f>
        <v>-0.17845485999999999</v>
      </c>
      <c r="AH42">
        <f>IF(Backend!AI69="", "", Backend!AI69)</f>
        <v>-0.7280934</v>
      </c>
      <c r="AI42">
        <f>IF(Backend!AJ69="", "", Backend!AJ69)</f>
        <v>-0.17217436</v>
      </c>
      <c r="AJ42">
        <f>IF(Backend!AK69="", "", Backend!AK69)</f>
        <v>-0.62077599999999999</v>
      </c>
      <c r="AK42">
        <f>IF(Backend!AL69="", "", Backend!AL69)</f>
        <v>0.63628560000000001</v>
      </c>
      <c r="AL42">
        <f>IF(Backend!AM69="", "", Backend!AM69)</f>
        <v>0.82213765000000005</v>
      </c>
      <c r="AM42">
        <f>IF(Backend!AN69="", "", Backend!AN69)</f>
        <v>-0.12734503999999999</v>
      </c>
      <c r="AN42">
        <f>IF(Backend!AO69="", "", Backend!AO69)</f>
        <v>1</v>
      </c>
      <c r="AO42">
        <f>IF(Backend!AP69="", "", Backend!AP69)</f>
        <v>0.66724349999999999</v>
      </c>
      <c r="AP42">
        <f>IF(Backend!AQ69="", "", Backend!AQ69)</f>
        <v>0.79099900000000001</v>
      </c>
      <c r="AQ42">
        <f>IF(Backend!AR69="", "", Backend!AR69)</f>
        <v>-5.2047450000000002E-2</v>
      </c>
      <c r="AR42">
        <f>IF(Backend!AS69="", "", Backend!AS69)</f>
        <v>0.71553593999999998</v>
      </c>
      <c r="AS42">
        <f>IF(Backend!AT69="", "", Backend!AT69)</f>
        <v>-0.45394869999999998</v>
      </c>
      <c r="AT42">
        <f>IF(Backend!AU69="", "", Backend!AU69)</f>
        <v>-0.33840039999999999</v>
      </c>
      <c r="AU42">
        <f>IF(Backend!AV69="", "", Backend!AV69)</f>
        <v>-0.69353556999999999</v>
      </c>
      <c r="AV42">
        <f>IF(Backend!AW69="", "", Backend!AW69)</f>
        <v>0.71363770000000004</v>
      </c>
      <c r="AW42">
        <f>IF(Backend!AX69="", "", Backend!AX69)</f>
        <v>0.84664225999999998</v>
      </c>
      <c r="AX42">
        <f>IF(Backend!AY69="", "", Backend!AY69)</f>
        <v>0.52172536000000003</v>
      </c>
      <c r="AY42">
        <f>IF(Backend!AZ69="", "", Backend!AZ69)</f>
        <v>0.12062522000000001</v>
      </c>
      <c r="AZ42">
        <f>IF(Backend!BA69="", "", Backend!BA69)</f>
        <v>0.7047078</v>
      </c>
      <c r="BA42">
        <f>IF(Backend!BB69="", "", Backend!BB69)</f>
        <v>0.45045874000000002</v>
      </c>
      <c r="BB42">
        <f>IF(Backend!BC69="", "", Backend!BC69)</f>
        <v>0.51477519999999999</v>
      </c>
      <c r="BC42">
        <f>IF(Backend!BD69="", "", Backend!BD69)</f>
        <v>0.681253</v>
      </c>
      <c r="BD42">
        <f>IF(Backend!BE69="", "", Backend!BE69)</f>
        <v>0.79960039999999999</v>
      </c>
      <c r="BE42">
        <f>IF(Backend!BF69="", "", Backend!BF69)</f>
        <v>0.88076690000000002</v>
      </c>
      <c r="BF42">
        <f>IF(Backend!BG69="", "", Backend!BG69)</f>
        <v>0.74857819999999997</v>
      </c>
      <c r="BG42">
        <f>IF(Backend!BH69="", "", Backend!BH69)</f>
        <v>0.35518654999999999</v>
      </c>
      <c r="BH42">
        <f>IF(Backend!BI69="", "", Backend!BI69)</f>
        <v>0.65944190000000003</v>
      </c>
      <c r="BI42" t="str">
        <f>IF(Backend!BJ69="", "", Backend!BJ69)</f>
        <v/>
      </c>
      <c r="BJ42" t="str">
        <f>IF(Backend!BK69="", "", Backend!BK69)</f>
        <v/>
      </c>
      <c r="BK42" t="str">
        <f>IF(Backend!BL69="", "", Backend!BL69)</f>
        <v/>
      </c>
      <c r="BL42" t="str">
        <f>IF(Backend!BM69="", "", Backend!BM69)</f>
        <v/>
      </c>
      <c r="BM42" t="str">
        <f>IF(Backend!BN69="", "", Backend!BN69)</f>
        <v/>
      </c>
      <c r="BN42" t="str">
        <f>IF(Backend!BO69="", "", Backend!BO69)</f>
        <v/>
      </c>
      <c r="BO42" t="str">
        <f>IF(Backend!BP69="", "", Backend!BP69)</f>
        <v/>
      </c>
      <c r="BP42" t="str">
        <f>IF(Backend!BQ69="", "", Backend!BQ69)</f>
        <v/>
      </c>
      <c r="BQ42" t="str">
        <f>IF(Backend!BR69="", "", Backend!BR69)</f>
        <v/>
      </c>
      <c r="BR42" t="str">
        <f>IF(Backend!BS69="", "", Backend!BS69)</f>
        <v/>
      </c>
      <c r="BS42" t="str">
        <f>IF(Backend!BT69="", "", Backend!BT69)</f>
        <v/>
      </c>
      <c r="BT42" t="str">
        <f>IF(Backend!BU69="", "", Backend!BU69)</f>
        <v/>
      </c>
      <c r="BU42" t="str">
        <f>IF(Backend!BV69="", "", Backend!BV69)</f>
        <v/>
      </c>
      <c r="BV42" t="str">
        <f>IF(Backend!BW69="", "", Backend!BW69)</f>
        <v/>
      </c>
      <c r="BW42" t="str">
        <f>IF(Backend!BX69="", "", Backend!BX69)</f>
        <v/>
      </c>
      <c r="BX42" t="str">
        <f>IF(Backend!BY69="", "", Backend!BY69)</f>
        <v/>
      </c>
      <c r="BY42" t="str">
        <f>IF(Backend!BZ69="", "", Backend!BZ69)</f>
        <v/>
      </c>
      <c r="BZ42" t="str">
        <f>IF(Backend!CA69="", "", Backend!CA69)</f>
        <v/>
      </c>
      <c r="CA42" t="str">
        <f>IF(Backend!CB69="", "", Backend!CB69)</f>
        <v/>
      </c>
      <c r="CB42" t="str">
        <f>IF(Backend!CC69="", "", Backend!CC69)</f>
        <v/>
      </c>
      <c r="CC42" t="str">
        <f>IF(Backend!CD69="", "", Backend!CD69)</f>
        <v/>
      </c>
    </row>
    <row r="43" spans="1:81" x14ac:dyDescent="0.25">
      <c r="A43" s="4" t="str">
        <f>IF(Backend!A70="", "", Backend!A70)</f>
        <v>Sally Beauty Holdings, Inc.</v>
      </c>
      <c r="B43">
        <f>IF(Backend!C70="", "", Backend!C70)</f>
        <v>0.63864940000000003</v>
      </c>
      <c r="C43">
        <f>IF(Backend!D70="", "", Backend!D70)</f>
        <v>0.71456056999999995</v>
      </c>
      <c r="D43">
        <f>IF(Backend!E70="", "", Backend!E70)</f>
        <v>0.75827990000000001</v>
      </c>
      <c r="E43">
        <f>IF(Backend!F70="", "", Backend!F70)</f>
        <v>0.78993833000000002</v>
      </c>
      <c r="F43">
        <f>IF(Backend!G70="", "", Backend!G70)</f>
        <v>0.40757694999999999</v>
      </c>
      <c r="G43">
        <f>IF(Backend!H70="", "", Backend!H70)</f>
        <v>0.77272149999999995</v>
      </c>
      <c r="H43">
        <f>IF(Backend!I70="", "", Backend!I70)</f>
        <v>0.66310530000000001</v>
      </c>
      <c r="I43">
        <f>IF(Backend!J70="", "", Backend!J70)</f>
        <v>0.58213614999999996</v>
      </c>
      <c r="J43">
        <f>IF(Backend!K70="", "", Backend!K70)</f>
        <v>0.37927042999999999</v>
      </c>
      <c r="K43">
        <f>IF(Backend!L70="", "", Backend!L70)</f>
        <v>0.45235908000000002</v>
      </c>
      <c r="L43">
        <f>IF(Backend!M70="", "", Backend!M70)</f>
        <v>0.56070419999999999</v>
      </c>
      <c r="M43">
        <f>IF(Backend!N70="", "", Backend!N70)</f>
        <v>0.55911829999999996</v>
      </c>
      <c r="N43">
        <f>IF(Backend!O70="", "", Backend!O70)</f>
        <v>0.5656736</v>
      </c>
      <c r="O43">
        <f>IF(Backend!P70="", "", Backend!P70)</f>
        <v>0.57715799999999995</v>
      </c>
      <c r="P43">
        <f>IF(Backend!Q70="", "", Backend!Q70)</f>
        <v>-0.36482513</v>
      </c>
      <c r="Q43">
        <f>IF(Backend!R70="", "", Backend!R70)</f>
        <v>0.24879282999999999</v>
      </c>
      <c r="R43">
        <f>IF(Backend!S70="", "", Backend!S70)</f>
        <v>0.79955940000000003</v>
      </c>
      <c r="S43">
        <f>IF(Backend!T70="", "", Backend!T70)</f>
        <v>-0.29000916999999998</v>
      </c>
      <c r="T43">
        <f>IF(Backend!U70="", "", Backend!U70)</f>
        <v>0.56311750000000005</v>
      </c>
      <c r="U43">
        <f>IF(Backend!V70="", "", Backend!V70)</f>
        <v>-0.18694284999999999</v>
      </c>
      <c r="V43">
        <f>IF(Backend!W70="", "", Backend!W70)</f>
        <v>0.68881380000000003</v>
      </c>
      <c r="W43">
        <f>IF(Backend!X70="", "", Backend!X70)</f>
        <v>-0.15975733</v>
      </c>
      <c r="X43">
        <f>IF(Backend!Y70="", "", Backend!Y70)</f>
        <v>0.76658729999999997</v>
      </c>
      <c r="Y43">
        <f>IF(Backend!Z70="", "", Backend!Z70)</f>
        <v>-0.20115279</v>
      </c>
      <c r="Z43">
        <f>IF(Backend!AA70="", "", Backend!AA70)</f>
        <v>0.54918115999999995</v>
      </c>
      <c r="AA43">
        <f>IF(Backend!AB70="", "", Backend!AB70)</f>
        <v>0.74038630000000005</v>
      </c>
      <c r="AB43">
        <f>IF(Backend!AC70="", "", Backend!AC70)</f>
        <v>0.43948123</v>
      </c>
      <c r="AC43">
        <f>IF(Backend!AD70="", "", Backend!AD70)</f>
        <v>0.59296375999999995</v>
      </c>
      <c r="AD43">
        <f>IF(Backend!AE70="", "", Backend!AE70)</f>
        <v>0.72615929999999995</v>
      </c>
      <c r="AE43">
        <f>IF(Backend!AF70="", "", Backend!AF70)</f>
        <v>0.53790470000000001</v>
      </c>
      <c r="AF43">
        <f>IF(Backend!AG70="", "", Backend!AG70)</f>
        <v>0.80114949999999996</v>
      </c>
      <c r="AG43">
        <f>IF(Backend!AH70="", "", Backend!AH70)</f>
        <v>-0.38028457999999998</v>
      </c>
      <c r="AH43">
        <f>IF(Backend!AI70="", "", Backend!AI70)</f>
        <v>-0.33315790000000001</v>
      </c>
      <c r="AI43">
        <f>IF(Backend!AJ70="", "", Backend!AJ70)</f>
        <v>-0.14041445</v>
      </c>
      <c r="AJ43">
        <f>IF(Backend!AK70="", "", Backend!AK70)</f>
        <v>-0.23767820000000001</v>
      </c>
      <c r="AK43">
        <f>IF(Backend!AL70="", "", Backend!AL70)</f>
        <v>0.53894120000000001</v>
      </c>
      <c r="AL43">
        <f>IF(Backend!AM70="", "", Backend!AM70)</f>
        <v>0.72112452999999999</v>
      </c>
      <c r="AM43">
        <f>IF(Backend!AN70="", "", Backend!AN70)</f>
        <v>-0.26053584000000002</v>
      </c>
      <c r="AN43">
        <f>IF(Backend!AO70="", "", Backend!AO70)</f>
        <v>0.66724349999999999</v>
      </c>
      <c r="AO43">
        <f>IF(Backend!AP70="", "", Backend!AP70)</f>
        <v>1</v>
      </c>
      <c r="AP43">
        <f>IF(Backend!AQ70="", "", Backend!AQ70)</f>
        <v>0.79148689999999999</v>
      </c>
      <c r="AQ43">
        <f>IF(Backend!AR70="", "", Backend!AR70)</f>
        <v>6.1449907000000002E-3</v>
      </c>
      <c r="AR43">
        <f>IF(Backend!AS70="", "", Backend!AS70)</f>
        <v>0.53250050000000004</v>
      </c>
      <c r="AS43">
        <f>IF(Backend!AT70="", "", Backend!AT70)</f>
        <v>3.3797494999999997E-2</v>
      </c>
      <c r="AT43">
        <f>IF(Backend!AU70="", "", Backend!AU70)</f>
        <v>-6.1648639999999998E-2</v>
      </c>
      <c r="AU43">
        <f>IF(Backend!AV70="", "", Backend!AV70)</f>
        <v>-0.41582844000000002</v>
      </c>
      <c r="AV43">
        <f>IF(Backend!AW70="", "", Backend!AW70)</f>
        <v>0.76825756000000001</v>
      </c>
      <c r="AW43">
        <f>IF(Backend!AX70="", "", Backend!AX70)</f>
        <v>0.63331044000000003</v>
      </c>
      <c r="AX43">
        <f>IF(Backend!AY70="", "", Backend!AY70)</f>
        <v>0.44774114999999998</v>
      </c>
      <c r="AY43">
        <f>IF(Backend!AZ70="", "", Backend!AZ70)</f>
        <v>0.12923783</v>
      </c>
      <c r="AZ43">
        <f>IF(Backend!BA70="", "", Backend!BA70)</f>
        <v>0.80286259999999998</v>
      </c>
      <c r="BA43">
        <f>IF(Backend!BB70="", "", Backend!BB70)</f>
        <v>0.65136139999999998</v>
      </c>
      <c r="BB43">
        <f>IF(Backend!BC70="", "", Backend!BC70)</f>
        <v>0.55109965999999999</v>
      </c>
      <c r="BC43">
        <f>IF(Backend!BD70="", "", Backend!BD70)</f>
        <v>0.74515575000000001</v>
      </c>
      <c r="BD43">
        <f>IF(Backend!BE70="", "", Backend!BE70)</f>
        <v>0.78168040000000005</v>
      </c>
      <c r="BE43">
        <f>IF(Backend!BF70="", "", Backend!BF70)</f>
        <v>0.78233350000000002</v>
      </c>
      <c r="BF43">
        <f>IF(Backend!BG70="", "", Backend!BG70)</f>
        <v>0.70511939999999995</v>
      </c>
      <c r="BG43">
        <f>IF(Backend!BH70="", "", Backend!BH70)</f>
        <v>0.75280230000000004</v>
      </c>
      <c r="BH43">
        <f>IF(Backend!BI70="", "", Backend!BI70)</f>
        <v>0.69274579999999997</v>
      </c>
      <c r="BI43" t="str">
        <f>IF(Backend!BJ70="", "", Backend!BJ70)</f>
        <v/>
      </c>
      <c r="BJ43" t="str">
        <f>IF(Backend!BK70="", "", Backend!BK70)</f>
        <v/>
      </c>
      <c r="BK43" t="str">
        <f>IF(Backend!BL70="", "", Backend!BL70)</f>
        <v/>
      </c>
      <c r="BL43" t="str">
        <f>IF(Backend!BM70="", "", Backend!BM70)</f>
        <v/>
      </c>
      <c r="BM43" t="str">
        <f>IF(Backend!BN70="", "", Backend!BN70)</f>
        <v/>
      </c>
      <c r="BN43" t="str">
        <f>IF(Backend!BO70="", "", Backend!BO70)</f>
        <v/>
      </c>
      <c r="BO43" t="str">
        <f>IF(Backend!BP70="", "", Backend!BP70)</f>
        <v/>
      </c>
      <c r="BP43" t="str">
        <f>IF(Backend!BQ70="", "", Backend!BQ70)</f>
        <v/>
      </c>
      <c r="BQ43" t="str">
        <f>IF(Backend!BR70="", "", Backend!BR70)</f>
        <v/>
      </c>
      <c r="BR43" t="str">
        <f>IF(Backend!BS70="", "", Backend!BS70)</f>
        <v/>
      </c>
      <c r="BS43" t="str">
        <f>IF(Backend!BT70="", "", Backend!BT70)</f>
        <v/>
      </c>
      <c r="BT43" t="str">
        <f>IF(Backend!BU70="", "", Backend!BU70)</f>
        <v/>
      </c>
      <c r="BU43" t="str">
        <f>IF(Backend!BV70="", "", Backend!BV70)</f>
        <v/>
      </c>
      <c r="BV43" t="str">
        <f>IF(Backend!BW70="", "", Backend!BW70)</f>
        <v/>
      </c>
      <c r="BW43" t="str">
        <f>IF(Backend!BX70="", "", Backend!BX70)</f>
        <v/>
      </c>
      <c r="BX43" t="str">
        <f>IF(Backend!BY70="", "", Backend!BY70)</f>
        <v/>
      </c>
      <c r="BY43" t="str">
        <f>IF(Backend!BZ70="", "", Backend!BZ70)</f>
        <v/>
      </c>
      <c r="BZ43" t="str">
        <f>IF(Backend!CA70="", "", Backend!CA70)</f>
        <v/>
      </c>
      <c r="CA43" t="str">
        <f>IF(Backend!CB70="", "", Backend!CB70)</f>
        <v/>
      </c>
      <c r="CB43" t="str">
        <f>IF(Backend!CC70="", "", Backend!CC70)</f>
        <v/>
      </c>
      <c r="CC43" t="str">
        <f>IF(Backend!CD70="", "", Backend!CD70)</f>
        <v/>
      </c>
    </row>
    <row r="44" spans="1:81" x14ac:dyDescent="0.25">
      <c r="A44" s="4" t="str">
        <f>IF(Backend!A71="", "", Backend!A71)</f>
        <v>Samsung Electronics Co Ltd Pfd  Non-Voting</v>
      </c>
      <c r="B44">
        <f>IF(Backend!C71="", "", Backend!C71)</f>
        <v>0.86330825</v>
      </c>
      <c r="C44">
        <f>IF(Backend!D71="", "", Backend!D71)</f>
        <v>0.6113809</v>
      </c>
      <c r="D44">
        <f>IF(Backend!E71="", "", Backend!E71)</f>
        <v>0.77139217000000004</v>
      </c>
      <c r="E44">
        <f>IF(Backend!F71="", "", Backend!F71)</f>
        <v>0.83573896000000003</v>
      </c>
      <c r="F44">
        <f>IF(Backend!G71="", "", Backend!G71)</f>
        <v>0.63376575999999996</v>
      </c>
      <c r="G44">
        <f>IF(Backend!H71="", "", Backend!H71)</f>
        <v>0.78494679999999994</v>
      </c>
      <c r="H44">
        <f>IF(Backend!I71="", "", Backend!I71)</f>
        <v>0.81497710000000001</v>
      </c>
      <c r="I44">
        <f>IF(Backend!J71="", "", Backend!J71)</f>
        <v>0.60133060000000005</v>
      </c>
      <c r="J44">
        <f>IF(Backend!K71="", "", Backend!K71)</f>
        <v>0.18764961999999999</v>
      </c>
      <c r="K44">
        <f>IF(Backend!L71="", "", Backend!L71)</f>
        <v>0.33295754</v>
      </c>
      <c r="L44">
        <f>IF(Backend!M71="", "", Backend!M71)</f>
        <v>0.53204399999999996</v>
      </c>
      <c r="M44">
        <f>IF(Backend!N71="", "", Backend!N71)</f>
        <v>0.59057939999999998</v>
      </c>
      <c r="N44">
        <f>IF(Backend!O71="", "", Backend!O71)</f>
        <v>0.73859023999999995</v>
      </c>
      <c r="O44">
        <f>IF(Backend!P71="", "", Backend!P71)</f>
        <v>0.56439525000000001</v>
      </c>
      <c r="P44">
        <f>IF(Backend!Q71="", "", Backend!Q71)</f>
        <v>-0.37481710000000001</v>
      </c>
      <c r="Q44">
        <f>IF(Backend!R71="", "", Backend!R71)</f>
        <v>0.39595340000000001</v>
      </c>
      <c r="R44">
        <f>IF(Backend!S71="", "", Backend!S71)</f>
        <v>0.7836069</v>
      </c>
      <c r="S44">
        <f>IF(Backend!T71="", "", Backend!T71)</f>
        <v>-0.28566947999999998</v>
      </c>
      <c r="T44">
        <f>IF(Backend!U71="", "", Backend!U71)</f>
        <v>0.76018569999999996</v>
      </c>
      <c r="U44">
        <f>IF(Backend!V71="", "", Backend!V71)</f>
        <v>-0.34546327999999998</v>
      </c>
      <c r="V44">
        <f>IF(Backend!W71="", "", Backend!W71)</f>
        <v>0.89092404000000003</v>
      </c>
      <c r="W44">
        <f>IF(Backend!X71="", "", Backend!X71)</f>
        <v>-0.2173262</v>
      </c>
      <c r="X44">
        <f>IF(Backend!Y71="", "", Backend!Y71)</f>
        <v>0.7988364</v>
      </c>
      <c r="Y44">
        <f>IF(Backend!Z71="", "", Backend!Z71)</f>
        <v>-0.33126</v>
      </c>
      <c r="Z44">
        <f>IF(Backend!AA71="", "", Backend!AA71)</f>
        <v>0.49939549999999999</v>
      </c>
      <c r="AA44">
        <f>IF(Backend!AB71="", "", Backend!AB71)</f>
        <v>0.81975186</v>
      </c>
      <c r="AB44">
        <f>IF(Backend!AC71="", "", Backend!AC71)</f>
        <v>0.57100600000000001</v>
      </c>
      <c r="AC44">
        <f>IF(Backend!AD71="", "", Backend!AD71)</f>
        <v>0.42793914999999999</v>
      </c>
      <c r="AD44">
        <f>IF(Backend!AE71="", "", Backend!AE71)</f>
        <v>0.78879790000000005</v>
      </c>
      <c r="AE44">
        <f>IF(Backend!AF71="", "", Backend!AF71)</f>
        <v>0.72690284000000005</v>
      </c>
      <c r="AF44">
        <f>IF(Backend!AG71="", "", Backend!AG71)</f>
        <v>0.77430019999999999</v>
      </c>
      <c r="AG44">
        <f>IF(Backend!AH71="", "", Backend!AH71)</f>
        <v>-0.37121713000000001</v>
      </c>
      <c r="AH44">
        <f>IF(Backend!AI71="", "", Backend!AI71)</f>
        <v>-0.48944480000000001</v>
      </c>
      <c r="AI44">
        <f>IF(Backend!AJ71="", "", Backend!AJ71)</f>
        <v>-0.24980374</v>
      </c>
      <c r="AJ44">
        <f>IF(Backend!AK71="", "", Backend!AK71)</f>
        <v>-0.26123420000000003</v>
      </c>
      <c r="AK44">
        <f>IF(Backend!AL71="", "", Backend!AL71)</f>
        <v>0.42209867000000001</v>
      </c>
      <c r="AL44">
        <f>IF(Backend!AM71="", "", Backend!AM71)</f>
        <v>0.83813769999999999</v>
      </c>
      <c r="AM44">
        <f>IF(Backend!AN71="", "", Backend!AN71)</f>
        <v>-0.23194529</v>
      </c>
      <c r="AN44">
        <f>IF(Backend!AO71="", "", Backend!AO71)</f>
        <v>0.79099900000000001</v>
      </c>
      <c r="AO44">
        <f>IF(Backend!AP71="", "", Backend!AP71)</f>
        <v>0.79148689999999999</v>
      </c>
      <c r="AP44">
        <f>IF(Backend!AQ71="", "", Backend!AQ71)</f>
        <v>1</v>
      </c>
      <c r="AQ44">
        <f>IF(Backend!AR71="", "", Backend!AR71)</f>
        <v>5.2511505999999999E-2</v>
      </c>
      <c r="AR44">
        <f>IF(Backend!AS71="", "", Backend!AS71)</f>
        <v>0.69897233999999997</v>
      </c>
      <c r="AS44">
        <f>IF(Backend!AT71="", "", Backend!AT71)</f>
        <v>-3.0524534999999998E-2</v>
      </c>
      <c r="AT44">
        <f>IF(Backend!AU71="", "", Backend!AU71)</f>
        <v>-0.15427885999999999</v>
      </c>
      <c r="AU44">
        <f>IF(Backend!AV71="", "", Backend!AV71)</f>
        <v>-0.52376339999999999</v>
      </c>
      <c r="AV44">
        <f>IF(Backend!AW71="", "", Backend!AW71)</f>
        <v>0.88024550000000001</v>
      </c>
      <c r="AW44">
        <f>IF(Backend!AX71="", "", Backend!AX71)</f>
        <v>0.60778195000000002</v>
      </c>
      <c r="AX44">
        <f>IF(Backend!AY71="", "", Backend!AY71)</f>
        <v>0.53239250000000005</v>
      </c>
      <c r="AY44">
        <f>IF(Backend!AZ71="", "", Backend!AZ71)</f>
        <v>0.37255423999999998</v>
      </c>
      <c r="AZ44">
        <f>IF(Backend!BA71="", "", Backend!BA71)</f>
        <v>0.75393410000000005</v>
      </c>
      <c r="BA44">
        <f>IF(Backend!BB71="", "", Backend!BB71)</f>
        <v>0.74393069999999994</v>
      </c>
      <c r="BB44">
        <f>IF(Backend!BC71="", "", Backend!BC71)</f>
        <v>0.70627070000000003</v>
      </c>
      <c r="BC44">
        <f>IF(Backend!BD71="", "", Backend!BD71)</f>
        <v>0.80047756000000003</v>
      </c>
      <c r="BD44">
        <f>IF(Backend!BE71="", "", Backend!BE71)</f>
        <v>0.87215069999999995</v>
      </c>
      <c r="BE44">
        <f>IF(Backend!BF71="", "", Backend!BF71)</f>
        <v>0.78291840000000001</v>
      </c>
      <c r="BF44">
        <f>IF(Backend!BG71="", "", Backend!BG71)</f>
        <v>0.85312264999999998</v>
      </c>
      <c r="BG44">
        <f>IF(Backend!BH71="", "", Backend!BH71)</f>
        <v>0.60738130000000001</v>
      </c>
      <c r="BH44">
        <f>IF(Backend!BI71="", "", Backend!BI71)</f>
        <v>0.65262633999999997</v>
      </c>
      <c r="BI44" t="str">
        <f>IF(Backend!BJ71="", "", Backend!BJ71)</f>
        <v/>
      </c>
      <c r="BJ44" t="str">
        <f>IF(Backend!BK71="", "", Backend!BK71)</f>
        <v/>
      </c>
      <c r="BK44" t="str">
        <f>IF(Backend!BL71="", "", Backend!BL71)</f>
        <v/>
      </c>
      <c r="BL44" t="str">
        <f>IF(Backend!BM71="", "", Backend!BM71)</f>
        <v/>
      </c>
      <c r="BM44" t="str">
        <f>IF(Backend!BN71="", "", Backend!BN71)</f>
        <v/>
      </c>
      <c r="BN44" t="str">
        <f>IF(Backend!BO71="", "", Backend!BO71)</f>
        <v/>
      </c>
      <c r="BO44" t="str">
        <f>IF(Backend!BP71="", "", Backend!BP71)</f>
        <v/>
      </c>
      <c r="BP44" t="str">
        <f>IF(Backend!BQ71="", "", Backend!BQ71)</f>
        <v/>
      </c>
      <c r="BQ44" t="str">
        <f>IF(Backend!BR71="", "", Backend!BR71)</f>
        <v/>
      </c>
      <c r="BR44" t="str">
        <f>IF(Backend!BS71="", "", Backend!BS71)</f>
        <v/>
      </c>
      <c r="BS44" t="str">
        <f>IF(Backend!BT71="", "", Backend!BT71)</f>
        <v/>
      </c>
      <c r="BT44" t="str">
        <f>IF(Backend!BU71="", "", Backend!BU71)</f>
        <v/>
      </c>
      <c r="BU44" t="str">
        <f>IF(Backend!BV71="", "", Backend!BV71)</f>
        <v/>
      </c>
      <c r="BV44" t="str">
        <f>IF(Backend!BW71="", "", Backend!BW71)</f>
        <v/>
      </c>
      <c r="BW44" t="str">
        <f>IF(Backend!BX71="", "", Backend!BX71)</f>
        <v/>
      </c>
      <c r="BX44" t="str">
        <f>IF(Backend!BY71="", "", Backend!BY71)</f>
        <v/>
      </c>
      <c r="BY44" t="str">
        <f>IF(Backend!BZ71="", "", Backend!BZ71)</f>
        <v/>
      </c>
      <c r="BZ44" t="str">
        <f>IF(Backend!CA71="", "", Backend!CA71)</f>
        <v/>
      </c>
      <c r="CA44" t="str">
        <f>IF(Backend!CB71="", "", Backend!CB71)</f>
        <v/>
      </c>
      <c r="CB44" t="str">
        <f>IF(Backend!CC71="", "", Backend!CC71)</f>
        <v/>
      </c>
      <c r="CC44" t="str">
        <f>IF(Backend!CD71="", "", Backend!CD71)</f>
        <v/>
      </c>
    </row>
    <row r="45" spans="1:81" x14ac:dyDescent="0.25">
      <c r="A45" s="4" t="str">
        <f>IF(Backend!A72="", "", Backend!A72)</f>
        <v>Sanofi SA</v>
      </c>
      <c r="B45">
        <f>IF(Backend!C72="", "", Backend!C72)</f>
        <v>2.3852182999999999E-2</v>
      </c>
      <c r="C45">
        <f>IF(Backend!D72="", "", Backend!D72)</f>
        <v>6.0988362999999997E-2</v>
      </c>
      <c r="D45">
        <f>IF(Backend!E72="", "", Backend!E72)</f>
        <v>-3.4701287999999997E-2</v>
      </c>
      <c r="E45">
        <f>IF(Backend!F72="", "", Backend!F72)</f>
        <v>-2.6843131999999999E-2</v>
      </c>
      <c r="F45">
        <f>IF(Backend!G72="", "", Backend!G72)</f>
        <v>-7.3552190000000003E-2</v>
      </c>
      <c r="G45">
        <f>IF(Backend!H72="", "", Backend!H72)</f>
        <v>-7.9069640000000007E-3</v>
      </c>
      <c r="H45">
        <f>IF(Backend!I72="", "", Backend!I72)</f>
        <v>9.5127619999999996E-2</v>
      </c>
      <c r="I45">
        <f>IF(Backend!J72="", "", Backend!J72)</f>
        <v>-4.262732E-3</v>
      </c>
      <c r="J45">
        <f>IF(Backend!K72="", "", Backend!K72)</f>
        <v>-0.11016498500000001</v>
      </c>
      <c r="K45">
        <f>IF(Backend!L72="", "", Backend!L72)</f>
        <v>0.20983270000000001</v>
      </c>
      <c r="L45">
        <f>IF(Backend!M72="", "", Backend!M72)</f>
        <v>-4.0347849999999998E-2</v>
      </c>
      <c r="M45">
        <f>IF(Backend!N72="", "", Backend!N72)</f>
        <v>0.2580133</v>
      </c>
      <c r="N45">
        <f>IF(Backend!O72="", "", Backend!O72)</f>
        <v>7.1051984999999998E-2</v>
      </c>
      <c r="O45">
        <f>IF(Backend!P72="", "", Backend!P72)</f>
        <v>2.5835891999999999E-2</v>
      </c>
      <c r="P45">
        <f>IF(Backend!Q72="", "", Backend!Q72)</f>
        <v>0.23525842</v>
      </c>
      <c r="Q45">
        <f>IF(Backend!R72="", "", Backend!R72)</f>
        <v>0.30659932000000001</v>
      </c>
      <c r="R45">
        <f>IF(Backend!S72="", "", Backend!S72)</f>
        <v>-2.0861488000000001E-2</v>
      </c>
      <c r="S45">
        <f>IF(Backend!T72="", "", Backend!T72)</f>
        <v>2.9999442000000001E-2</v>
      </c>
      <c r="T45">
        <f>IF(Backend!U72="", "", Backend!U72)</f>
        <v>3.6522113000000002E-2</v>
      </c>
      <c r="U45">
        <f>IF(Backend!V72="", "", Backend!V72)</f>
        <v>0.22094826000000001</v>
      </c>
      <c r="V45">
        <f>IF(Backend!W72="", "", Backend!W72)</f>
        <v>-4.2749773999999997E-2</v>
      </c>
      <c r="W45">
        <f>IF(Backend!X72="", "", Backend!X72)</f>
        <v>0.14774276</v>
      </c>
      <c r="X45">
        <f>IF(Backend!Y72="", "", Backend!Y72)</f>
        <v>-4.3271034999999999E-2</v>
      </c>
      <c r="Y45">
        <f>IF(Backend!Z72="", "", Backend!Z72)</f>
        <v>0.31289127</v>
      </c>
      <c r="Z45">
        <f>IF(Backend!AA72="", "", Backend!AA72)</f>
        <v>5.2855804999999999E-2</v>
      </c>
      <c r="AA45">
        <f>IF(Backend!AB72="", "", Backend!AB72)</f>
        <v>-8.2116629999999996E-2</v>
      </c>
      <c r="AB45">
        <f>IF(Backend!AC72="", "", Backend!AC72)</f>
        <v>0.16843158</v>
      </c>
      <c r="AC45">
        <f>IF(Backend!AD72="", "", Backend!AD72)</f>
        <v>-5.9979062999999999E-2</v>
      </c>
      <c r="AD45">
        <f>IF(Backend!AE72="", "", Backend!AE72)</f>
        <v>4.6781169999999997E-2</v>
      </c>
      <c r="AE45">
        <f>IF(Backend!AF72="", "", Backend!AF72)</f>
        <v>0.24925907999999999</v>
      </c>
      <c r="AF45">
        <f>IF(Backend!AG72="", "", Backend!AG72)</f>
        <v>0.15488255000000001</v>
      </c>
      <c r="AG45">
        <f>IF(Backend!AH72="", "", Backend!AH72)</f>
        <v>0.21998787</v>
      </c>
      <c r="AH45">
        <f>IF(Backend!AI72="", "", Backend!AI72)</f>
        <v>0.15725017999999999</v>
      </c>
      <c r="AI45">
        <f>IF(Backend!AJ72="", "", Backend!AJ72)</f>
        <v>8.5136555000000003E-2</v>
      </c>
      <c r="AJ45">
        <f>IF(Backend!AK72="", "", Backend!AK72)</f>
        <v>0.15498972999999999</v>
      </c>
      <c r="AK45">
        <f>IF(Backend!AL72="", "", Backend!AL72)</f>
        <v>-0.14236756</v>
      </c>
      <c r="AL45">
        <f>IF(Backend!AM72="", "", Backend!AM72)</f>
        <v>-1.4587620000000001E-2</v>
      </c>
      <c r="AM45">
        <f>IF(Backend!AN72="", "", Backend!AN72)</f>
        <v>1.9776450000000001E-2</v>
      </c>
      <c r="AN45">
        <f>IF(Backend!AO72="", "", Backend!AO72)</f>
        <v>-5.2047450000000002E-2</v>
      </c>
      <c r="AO45">
        <f>IF(Backend!AP72="", "", Backend!AP72)</f>
        <v>6.1449907000000002E-3</v>
      </c>
      <c r="AP45">
        <f>IF(Backend!AQ72="", "", Backend!AQ72)</f>
        <v>5.2511505999999999E-2</v>
      </c>
      <c r="AQ45">
        <f>IF(Backend!AR72="", "", Backend!AR72)</f>
        <v>1</v>
      </c>
      <c r="AR45">
        <f>IF(Backend!AS72="", "", Backend!AS72)</f>
        <v>-7.6711520000000005E-2</v>
      </c>
      <c r="AS45">
        <f>IF(Backend!AT72="", "", Backend!AT72)</f>
        <v>0.12523401000000001</v>
      </c>
      <c r="AT45">
        <f>IF(Backend!AU72="", "", Backend!AU72)</f>
        <v>7.9776349999999996E-2</v>
      </c>
      <c r="AU45">
        <f>IF(Backend!AV72="", "", Backend!AV72)</f>
        <v>0.14740054</v>
      </c>
      <c r="AV45">
        <f>IF(Backend!AW72="", "", Backend!AW72)</f>
        <v>7.2359845000000006E-2</v>
      </c>
      <c r="AW45">
        <f>IF(Backend!AX72="", "", Backend!AX72)</f>
        <v>6.5582774999999996E-2</v>
      </c>
      <c r="AX45">
        <f>IF(Backend!AY72="", "", Backend!AY72)</f>
        <v>0.21646288</v>
      </c>
      <c r="AY45">
        <f>IF(Backend!AZ72="", "", Backend!AZ72)</f>
        <v>0.16449331</v>
      </c>
      <c r="AZ45">
        <f>IF(Backend!BA72="", "", Backend!BA72)</f>
        <v>-4.3807430000000001E-2</v>
      </c>
      <c r="BA45">
        <f>IF(Backend!BB72="", "", Backend!BB72)</f>
        <v>5.4263723999999998E-3</v>
      </c>
      <c r="BB45">
        <f>IF(Backend!BC72="", "", Backend!BC72)</f>
        <v>-4.2555623000000001E-2</v>
      </c>
      <c r="BC45">
        <f>IF(Backend!BD72="", "", Backend!BD72)</f>
        <v>-5.8529127E-2</v>
      </c>
      <c r="BD45">
        <f>IF(Backend!BE72="", "", Backend!BE72)</f>
        <v>4.2992490000000001E-2</v>
      </c>
      <c r="BE45">
        <f>IF(Backend!BF72="", "", Backend!BF72)</f>
        <v>-0.14042124</v>
      </c>
      <c r="BF45">
        <f>IF(Backend!BG72="", "", Backend!BG72)</f>
        <v>-6.2200449999999997E-2</v>
      </c>
      <c r="BG45">
        <f>IF(Backend!BH72="", "", Backend!BH72)</f>
        <v>7.4278810000000001E-2</v>
      </c>
      <c r="BH45">
        <f>IF(Backend!BI72="", "", Backend!BI72)</f>
        <v>0.17205271</v>
      </c>
      <c r="BI45" t="str">
        <f>IF(Backend!BJ72="", "", Backend!BJ72)</f>
        <v/>
      </c>
      <c r="BJ45" t="str">
        <f>IF(Backend!BK72="", "", Backend!BK72)</f>
        <v/>
      </c>
      <c r="BK45" t="str">
        <f>IF(Backend!BL72="", "", Backend!BL72)</f>
        <v/>
      </c>
      <c r="BL45" t="str">
        <f>IF(Backend!BM72="", "", Backend!BM72)</f>
        <v/>
      </c>
      <c r="BM45" t="str">
        <f>IF(Backend!BN72="", "", Backend!BN72)</f>
        <v/>
      </c>
      <c r="BN45" t="str">
        <f>IF(Backend!BO72="", "", Backend!BO72)</f>
        <v/>
      </c>
      <c r="BO45" t="str">
        <f>IF(Backend!BP72="", "", Backend!BP72)</f>
        <v/>
      </c>
      <c r="BP45" t="str">
        <f>IF(Backend!BQ72="", "", Backend!BQ72)</f>
        <v/>
      </c>
      <c r="BQ45" t="str">
        <f>IF(Backend!BR72="", "", Backend!BR72)</f>
        <v/>
      </c>
      <c r="BR45" t="str">
        <f>IF(Backend!BS72="", "", Backend!BS72)</f>
        <v/>
      </c>
      <c r="BS45" t="str">
        <f>IF(Backend!BT72="", "", Backend!BT72)</f>
        <v/>
      </c>
      <c r="BT45" t="str">
        <f>IF(Backend!BU72="", "", Backend!BU72)</f>
        <v/>
      </c>
      <c r="BU45" t="str">
        <f>IF(Backend!BV72="", "", Backend!BV72)</f>
        <v/>
      </c>
      <c r="BV45" t="str">
        <f>IF(Backend!BW72="", "", Backend!BW72)</f>
        <v/>
      </c>
      <c r="BW45" t="str">
        <f>IF(Backend!BX72="", "", Backend!BX72)</f>
        <v/>
      </c>
      <c r="BX45" t="str">
        <f>IF(Backend!BY72="", "", Backend!BY72)</f>
        <v/>
      </c>
      <c r="BY45" t="str">
        <f>IF(Backend!BZ72="", "", Backend!BZ72)</f>
        <v/>
      </c>
      <c r="BZ45" t="str">
        <f>IF(Backend!CA72="", "", Backend!CA72)</f>
        <v/>
      </c>
      <c r="CA45" t="str">
        <f>IF(Backend!CB72="", "", Backend!CB72)</f>
        <v/>
      </c>
      <c r="CB45" t="str">
        <f>IF(Backend!CC72="", "", Backend!CC72)</f>
        <v/>
      </c>
      <c r="CC45" t="str">
        <f>IF(Backend!CD72="", "", Backend!CD72)</f>
        <v/>
      </c>
    </row>
    <row r="46" spans="1:81" x14ac:dyDescent="0.25">
      <c r="A46" s="4" t="str">
        <f>IF(Backend!A73="", "", Backend!A73)</f>
        <v>SES SA FDR (Class A)</v>
      </c>
      <c r="B46">
        <f>IF(Backend!C73="", "", Backend!C73)</f>
        <v>0.63711773999999999</v>
      </c>
      <c r="C46">
        <f>IF(Backend!D73="", "", Backend!D73)</f>
        <v>0.58684563999999995</v>
      </c>
      <c r="D46">
        <f>IF(Backend!E73="", "", Backend!E73)</f>
        <v>0.73365473999999997</v>
      </c>
      <c r="E46">
        <f>IF(Backend!F73="", "", Backend!F73)</f>
        <v>0.71926343000000004</v>
      </c>
      <c r="F46">
        <f>IF(Backend!G73="", "", Backend!G73)</f>
        <v>0.46410656</v>
      </c>
      <c r="G46">
        <f>IF(Backend!H73="", "", Backend!H73)</f>
        <v>0.65712599999999999</v>
      </c>
      <c r="H46">
        <f>IF(Backend!I73="", "", Backend!I73)</f>
        <v>0.60351049999999995</v>
      </c>
      <c r="I46">
        <f>IF(Backend!J73="", "", Backend!J73)</f>
        <v>0.75737679999999996</v>
      </c>
      <c r="J46">
        <f>IF(Backend!K73="", "", Backend!K73)</f>
        <v>0.44169580000000003</v>
      </c>
      <c r="K46">
        <f>IF(Backend!L73="", "", Backend!L73)</f>
        <v>0.34377026999999999</v>
      </c>
      <c r="L46">
        <f>IF(Backend!M73="", "", Backend!M73)</f>
        <v>0.59775100000000003</v>
      </c>
      <c r="M46">
        <f>IF(Backend!N73="", "", Backend!N73)</f>
        <v>0.55222905</v>
      </c>
      <c r="N46">
        <f>IF(Backend!O73="", "", Backend!O73)</f>
        <v>0.59848045999999999</v>
      </c>
      <c r="O46">
        <f>IF(Backend!P73="", "", Backend!P73)</f>
        <v>0.53067059999999999</v>
      </c>
      <c r="P46">
        <f>IF(Backend!Q73="", "", Backend!Q73)</f>
        <v>-0.38682312000000002</v>
      </c>
      <c r="Q46">
        <f>IF(Backend!R73="", "", Backend!R73)</f>
        <v>0.35962406000000002</v>
      </c>
      <c r="R46">
        <f>IF(Backend!S73="", "", Backend!S73)</f>
        <v>0.73509809999999998</v>
      </c>
      <c r="S46">
        <f>IF(Backend!T73="", "", Backend!T73)</f>
        <v>-0.22028410000000001</v>
      </c>
      <c r="T46">
        <f>IF(Backend!U73="", "", Backend!U73)</f>
        <v>0.34641864999999999</v>
      </c>
      <c r="U46">
        <f>IF(Backend!V73="", "", Backend!V73)</f>
        <v>-0.52422272999999997</v>
      </c>
      <c r="V46">
        <f>IF(Backend!W73="", "", Backend!W73)</f>
        <v>0.71056249999999999</v>
      </c>
      <c r="W46">
        <f>IF(Backend!X73="", "", Backend!X73)</f>
        <v>-0.26123455000000001</v>
      </c>
      <c r="X46">
        <f>IF(Backend!Y73="", "", Backend!Y73)</f>
        <v>0.71656050000000004</v>
      </c>
      <c r="Y46">
        <f>IF(Backend!Z73="", "", Backend!Z73)</f>
        <v>-0.28872510000000001</v>
      </c>
      <c r="Z46">
        <f>IF(Backend!AA73="", "", Backend!AA73)</f>
        <v>0.36762040000000001</v>
      </c>
      <c r="AA46">
        <f>IF(Backend!AB73="", "", Backend!AB73)</f>
        <v>0.63539939999999995</v>
      </c>
      <c r="AB46">
        <f>IF(Backend!AC73="", "", Backend!AC73)</f>
        <v>0.2749548</v>
      </c>
      <c r="AC46">
        <f>IF(Backend!AD73="", "", Backend!AD73)</f>
        <v>0.34508680000000003</v>
      </c>
      <c r="AD46">
        <f>IF(Backend!AE73="", "", Backend!AE73)</f>
        <v>0.57149004999999997</v>
      </c>
      <c r="AE46">
        <f>IF(Backend!AF73="", "", Backend!AF73)</f>
        <v>0.41158541999999998</v>
      </c>
      <c r="AF46">
        <f>IF(Backend!AG73="", "", Backend!AG73)</f>
        <v>0.4104199</v>
      </c>
      <c r="AG46">
        <f>IF(Backend!AH73="", "", Backend!AH73)</f>
        <v>-0.47706939999999998</v>
      </c>
      <c r="AH46">
        <f>IF(Backend!AI73="", "", Backend!AI73)</f>
        <v>-0.43417367000000001</v>
      </c>
      <c r="AI46">
        <f>IF(Backend!AJ73="", "", Backend!AJ73)</f>
        <v>-0.21289292000000001</v>
      </c>
      <c r="AJ46">
        <f>IF(Backend!AK73="", "", Backend!AK73)</f>
        <v>-0.28667327999999997</v>
      </c>
      <c r="AK46">
        <f>IF(Backend!AL73="", "", Backend!AL73)</f>
        <v>0.6114579</v>
      </c>
      <c r="AL46">
        <f>IF(Backend!AM73="", "", Backend!AM73)</f>
        <v>0.66117256999999996</v>
      </c>
      <c r="AM46">
        <f>IF(Backend!AN73="", "", Backend!AN73)</f>
        <v>-0.14630409</v>
      </c>
      <c r="AN46">
        <f>IF(Backend!AO73="", "", Backend!AO73)</f>
        <v>0.71553593999999998</v>
      </c>
      <c r="AO46">
        <f>IF(Backend!AP73="", "", Backend!AP73)</f>
        <v>0.53250050000000004</v>
      </c>
      <c r="AP46">
        <f>IF(Backend!AQ73="", "", Backend!AQ73)</f>
        <v>0.69897233999999997</v>
      </c>
      <c r="AQ46">
        <f>IF(Backend!AR73="", "", Backend!AR73)</f>
        <v>-7.6711520000000005E-2</v>
      </c>
      <c r="AR46">
        <f>IF(Backend!AS73="", "", Backend!AS73)</f>
        <v>1</v>
      </c>
      <c r="AS46">
        <f>IF(Backend!AT73="", "", Backend!AT73)</f>
        <v>-9.5897869999999996E-2</v>
      </c>
      <c r="AT46">
        <f>IF(Backend!AU73="", "", Backend!AU73)</f>
        <v>-3.7722635999999997E-2</v>
      </c>
      <c r="AU46">
        <f>IF(Backend!AV73="", "", Backend!AV73)</f>
        <v>-0.42223769999999999</v>
      </c>
      <c r="AV46">
        <f>IF(Backend!AW73="", "", Backend!AW73)</f>
        <v>0.63651663000000003</v>
      </c>
      <c r="AW46">
        <f>IF(Backend!AX73="", "", Backend!AX73)</f>
        <v>0.51287632999999999</v>
      </c>
      <c r="AX46">
        <f>IF(Backend!AY73="", "", Backend!AY73)</f>
        <v>0.31576270000000001</v>
      </c>
      <c r="AY46">
        <f>IF(Backend!AZ73="", "", Backend!AZ73)</f>
        <v>7.5917419999999999E-2</v>
      </c>
      <c r="AZ46">
        <f>IF(Backend!BA73="", "", Backend!BA73)</f>
        <v>0.77763545999999995</v>
      </c>
      <c r="BA46">
        <f>IF(Backend!BB73="", "", Backend!BB73)</f>
        <v>0.64691275000000004</v>
      </c>
      <c r="BB46">
        <f>IF(Backend!BC73="", "", Backend!BC73)</f>
        <v>0.43615785000000001</v>
      </c>
      <c r="BC46">
        <f>IF(Backend!BD73="", "", Backend!BD73)</f>
        <v>0.78337009999999996</v>
      </c>
      <c r="BD46">
        <f>IF(Backend!BE73="", "", Backend!BE73)</f>
        <v>0.62641069999999999</v>
      </c>
      <c r="BE46">
        <f>IF(Backend!BF73="", "", Backend!BF73)</f>
        <v>0.81032353999999995</v>
      </c>
      <c r="BF46">
        <f>IF(Backend!BG73="", "", Backend!BG73)</f>
        <v>0.66717349999999997</v>
      </c>
      <c r="BG46">
        <f>IF(Backend!BH73="", "", Backend!BH73)</f>
        <v>0.37268642000000002</v>
      </c>
      <c r="BH46">
        <f>IF(Backend!BI73="", "", Backend!BI73)</f>
        <v>0.39151216</v>
      </c>
      <c r="BI46" t="str">
        <f>IF(Backend!BJ73="", "", Backend!BJ73)</f>
        <v/>
      </c>
      <c r="BJ46" t="str">
        <f>IF(Backend!BK73="", "", Backend!BK73)</f>
        <v/>
      </c>
      <c r="BK46" t="str">
        <f>IF(Backend!BL73="", "", Backend!BL73)</f>
        <v/>
      </c>
      <c r="BL46" t="str">
        <f>IF(Backend!BM73="", "", Backend!BM73)</f>
        <v/>
      </c>
      <c r="BM46" t="str">
        <f>IF(Backend!BN73="", "", Backend!BN73)</f>
        <v/>
      </c>
      <c r="BN46" t="str">
        <f>IF(Backend!BO73="", "", Backend!BO73)</f>
        <v/>
      </c>
      <c r="BO46" t="str">
        <f>IF(Backend!BP73="", "", Backend!BP73)</f>
        <v/>
      </c>
      <c r="BP46" t="str">
        <f>IF(Backend!BQ73="", "", Backend!BQ73)</f>
        <v/>
      </c>
      <c r="BQ46" t="str">
        <f>IF(Backend!BR73="", "", Backend!BR73)</f>
        <v/>
      </c>
      <c r="BR46" t="str">
        <f>IF(Backend!BS73="", "", Backend!BS73)</f>
        <v/>
      </c>
      <c r="BS46" t="str">
        <f>IF(Backend!BT73="", "", Backend!BT73)</f>
        <v/>
      </c>
      <c r="BT46" t="str">
        <f>IF(Backend!BU73="", "", Backend!BU73)</f>
        <v/>
      </c>
      <c r="BU46" t="str">
        <f>IF(Backend!BV73="", "", Backend!BV73)</f>
        <v/>
      </c>
      <c r="BV46" t="str">
        <f>IF(Backend!BW73="", "", Backend!BW73)</f>
        <v/>
      </c>
      <c r="BW46" t="str">
        <f>IF(Backend!BX73="", "", Backend!BX73)</f>
        <v/>
      </c>
      <c r="BX46" t="str">
        <f>IF(Backend!BY73="", "", Backend!BY73)</f>
        <v/>
      </c>
      <c r="BY46" t="str">
        <f>IF(Backend!BZ73="", "", Backend!BZ73)</f>
        <v/>
      </c>
      <c r="BZ46" t="str">
        <f>IF(Backend!CA73="", "", Backend!CA73)</f>
        <v/>
      </c>
      <c r="CA46" t="str">
        <f>IF(Backend!CB73="", "", Backend!CB73)</f>
        <v/>
      </c>
      <c r="CB46" t="str">
        <f>IF(Backend!CC73="", "", Backend!CC73)</f>
        <v/>
      </c>
      <c r="CC46" t="str">
        <f>IF(Backend!CD73="", "", Backend!CD73)</f>
        <v/>
      </c>
    </row>
    <row r="47" spans="1:81" x14ac:dyDescent="0.25">
      <c r="A47" s="4" t="str">
        <f>IF(Backend!A74="", "", Backend!A74)</f>
        <v>Shinhan Financial Group Co., Ltd.</v>
      </c>
      <c r="B47">
        <f>IF(Backend!C74="", "", Backend!C74)</f>
        <v>-0.22294823999999999</v>
      </c>
      <c r="C47">
        <f>IF(Backend!D74="", "", Backend!D74)</f>
        <v>2.0560918000000001E-2</v>
      </c>
      <c r="D47">
        <f>IF(Backend!E74="", "", Backend!E74)</f>
        <v>-0.13267863999999999</v>
      </c>
      <c r="E47">
        <f>IF(Backend!F74="", "", Backend!F74)</f>
        <v>-0.25334388000000002</v>
      </c>
      <c r="F47">
        <f>IF(Backend!G74="", "", Backend!G74)</f>
        <v>-0.14415323999999999</v>
      </c>
      <c r="G47">
        <f>IF(Backend!H74="", "", Backend!H74)</f>
        <v>-0.23566069000000001</v>
      </c>
      <c r="H47">
        <f>IF(Backend!I74="", "", Backend!I74)</f>
        <v>-4.4960655000000002E-2</v>
      </c>
      <c r="I47">
        <f>IF(Backend!J74="", "", Backend!J74)</f>
        <v>-0.465283</v>
      </c>
      <c r="J47">
        <f>IF(Backend!K74="", "", Backend!K74)</f>
        <v>-0.52211039999999997</v>
      </c>
      <c r="K47">
        <f>IF(Backend!L74="", "", Backend!L74)</f>
        <v>0.61412339999999999</v>
      </c>
      <c r="L47">
        <f>IF(Backend!M74="", "", Backend!M74)</f>
        <v>-0.47899459999999999</v>
      </c>
      <c r="M47">
        <f>IF(Backend!N74="", "", Backend!N74)</f>
        <v>-0.43396318</v>
      </c>
      <c r="N47">
        <f>IF(Backend!O74="", "", Backend!O74)</f>
        <v>0.10443663</v>
      </c>
      <c r="O47">
        <f>IF(Backend!P74="", "", Backend!P74)</f>
        <v>-0.47367373000000002</v>
      </c>
      <c r="P47">
        <f>IF(Backend!Q74="", "", Backend!Q74)</f>
        <v>0.37921431999999999</v>
      </c>
      <c r="Q47">
        <f>IF(Backend!R74="", "", Backend!R74)</f>
        <v>0.36644800999999999</v>
      </c>
      <c r="R47">
        <f>IF(Backend!S74="", "", Backend!S74)</f>
        <v>7.5179315999999996E-2</v>
      </c>
      <c r="S47">
        <f>IF(Backend!T74="", "", Backend!T74)</f>
        <v>-0.41763677999999999</v>
      </c>
      <c r="T47">
        <f>IF(Backend!U74="", "", Backend!U74)</f>
        <v>0.10660843</v>
      </c>
      <c r="U47">
        <f>IF(Backend!V74="", "", Backend!V74)</f>
        <v>0.66496646000000004</v>
      </c>
      <c r="V47">
        <f>IF(Backend!W74="", "", Backend!W74)</f>
        <v>-0.26493597000000002</v>
      </c>
      <c r="W47">
        <f>IF(Backend!X74="", "", Backend!X74)</f>
        <v>0.94876223999999998</v>
      </c>
      <c r="X47">
        <f>IF(Backend!Y74="", "", Backend!Y74)</f>
        <v>-0.40439585</v>
      </c>
      <c r="Y47">
        <f>IF(Backend!Z74="", "", Backend!Z74)</f>
        <v>0.66739899999999996</v>
      </c>
      <c r="Z47">
        <f>IF(Backend!AA74="", "", Backend!AA74)</f>
        <v>-0.54576594</v>
      </c>
      <c r="AA47">
        <f>IF(Backend!AB74="", "", Backend!AB74)</f>
        <v>-0.42175240000000003</v>
      </c>
      <c r="AB47">
        <f>IF(Backend!AC74="", "", Backend!AC74)</f>
        <v>-0.50848453999999998</v>
      </c>
      <c r="AC47">
        <f>IF(Backend!AD74="", "", Backend!AD74)</f>
        <v>-0.13430444999999999</v>
      </c>
      <c r="AD47">
        <f>IF(Backend!AE74="", "", Backend!AE74)</f>
        <v>-0.42928165000000001</v>
      </c>
      <c r="AE47">
        <f>IF(Backend!AF74="", "", Backend!AF74)</f>
        <v>0.22484699</v>
      </c>
      <c r="AF47">
        <f>IF(Backend!AG74="", "", Backend!AG74)</f>
        <v>0.23523693000000001</v>
      </c>
      <c r="AG47">
        <f>IF(Backend!AH74="", "", Backend!AH74)</f>
        <v>-0.31432294999999999</v>
      </c>
      <c r="AH47">
        <f>IF(Backend!AI74="", "", Backend!AI74)</f>
        <v>0.7621812</v>
      </c>
      <c r="AI47">
        <f>IF(Backend!AJ74="", "", Backend!AJ74)</f>
        <v>0.17619119999999999</v>
      </c>
      <c r="AJ47">
        <f>IF(Backend!AK74="", "", Backend!AK74)</f>
        <v>0.80268466000000005</v>
      </c>
      <c r="AK47">
        <f>IF(Backend!AL74="", "", Backend!AL74)</f>
        <v>-0.43899357</v>
      </c>
      <c r="AL47">
        <f>IF(Backend!AM74="", "", Backend!AM74)</f>
        <v>-0.30740030000000002</v>
      </c>
      <c r="AM47">
        <f>IF(Backend!AN74="", "", Backend!AN74)</f>
        <v>0.100486435</v>
      </c>
      <c r="AN47">
        <f>IF(Backend!AO74="", "", Backend!AO74)</f>
        <v>-0.45394869999999998</v>
      </c>
      <c r="AO47">
        <f>IF(Backend!AP74="", "", Backend!AP74)</f>
        <v>3.3797494999999997E-2</v>
      </c>
      <c r="AP47">
        <f>IF(Backend!AQ74="", "", Backend!AQ74)</f>
        <v>-3.0524534999999998E-2</v>
      </c>
      <c r="AQ47">
        <f>IF(Backend!AR74="", "", Backend!AR74)</f>
        <v>0.12523401000000001</v>
      </c>
      <c r="AR47">
        <f>IF(Backend!AS74="", "", Backend!AS74)</f>
        <v>-9.5897869999999996E-2</v>
      </c>
      <c r="AS47">
        <f>IF(Backend!AT74="", "", Backend!AT74)</f>
        <v>1</v>
      </c>
      <c r="AT47">
        <f>IF(Backend!AU74="", "", Backend!AU74)</f>
        <v>0.70387787000000002</v>
      </c>
      <c r="AU47">
        <f>IF(Backend!AV74="", "", Backend!AV74)</f>
        <v>0.71367073000000003</v>
      </c>
      <c r="AV47">
        <f>IF(Backend!AW74="", "", Backend!AW74)</f>
        <v>-9.9365839999999997E-2</v>
      </c>
      <c r="AW47">
        <f>IF(Backend!AX74="", "", Backend!AX74)</f>
        <v>-0.50498222999999998</v>
      </c>
      <c r="AX47">
        <f>IF(Backend!AY74="", "", Backend!AY74)</f>
        <v>-0.13727887</v>
      </c>
      <c r="AY47">
        <f>IF(Backend!AZ74="", "", Backend!AZ74)</f>
        <v>0.36337984000000001</v>
      </c>
      <c r="AZ47">
        <f>IF(Backend!BA74="", "", Backend!BA74)</f>
        <v>-0.12808386999999999</v>
      </c>
      <c r="BA47">
        <f>IF(Backend!BB74="", "", Backend!BB74)</f>
        <v>0.13782920000000001</v>
      </c>
      <c r="BB47">
        <f>IF(Backend!BC74="", "", Backend!BC74)</f>
        <v>-4.0916525000000002E-2</v>
      </c>
      <c r="BC47">
        <f>IF(Backend!BD74="", "", Backend!BD74)</f>
        <v>-4.739165E-2</v>
      </c>
      <c r="BD47">
        <f>IF(Backend!BE74="", "", Backend!BE74)</f>
        <v>-0.21135876000000001</v>
      </c>
      <c r="BE47">
        <f>IF(Backend!BF74="", "", Backend!BF74)</f>
        <v>-0.39658162000000002</v>
      </c>
      <c r="BF47">
        <f>IF(Backend!BG74="", "", Backend!BG74)</f>
        <v>-0.28787376999999997</v>
      </c>
      <c r="BG47">
        <f>IF(Backend!BH74="", "", Backend!BH74)</f>
        <v>0.13402939</v>
      </c>
      <c r="BH47">
        <f>IF(Backend!BI74="", "", Backend!BI74)</f>
        <v>-0.38900283000000002</v>
      </c>
      <c r="BI47" t="str">
        <f>IF(Backend!BJ74="", "", Backend!BJ74)</f>
        <v/>
      </c>
      <c r="BJ47" t="str">
        <f>IF(Backend!BK74="", "", Backend!BK74)</f>
        <v/>
      </c>
      <c r="BK47" t="str">
        <f>IF(Backend!BL74="", "", Backend!BL74)</f>
        <v/>
      </c>
      <c r="BL47" t="str">
        <f>IF(Backend!BM74="", "", Backend!BM74)</f>
        <v/>
      </c>
      <c r="BM47" t="str">
        <f>IF(Backend!BN74="", "", Backend!BN74)</f>
        <v/>
      </c>
      <c r="BN47" t="str">
        <f>IF(Backend!BO74="", "", Backend!BO74)</f>
        <v/>
      </c>
      <c r="BO47" t="str">
        <f>IF(Backend!BP74="", "", Backend!BP74)</f>
        <v/>
      </c>
      <c r="BP47" t="str">
        <f>IF(Backend!BQ74="", "", Backend!BQ74)</f>
        <v/>
      </c>
      <c r="BQ47" t="str">
        <f>IF(Backend!BR74="", "", Backend!BR74)</f>
        <v/>
      </c>
      <c r="BR47" t="str">
        <f>IF(Backend!BS74="", "", Backend!BS74)</f>
        <v/>
      </c>
      <c r="BS47" t="str">
        <f>IF(Backend!BT74="", "", Backend!BT74)</f>
        <v/>
      </c>
      <c r="BT47" t="str">
        <f>IF(Backend!BU74="", "", Backend!BU74)</f>
        <v/>
      </c>
      <c r="BU47" t="str">
        <f>IF(Backend!BV74="", "", Backend!BV74)</f>
        <v/>
      </c>
      <c r="BV47" t="str">
        <f>IF(Backend!BW74="", "", Backend!BW74)</f>
        <v/>
      </c>
      <c r="BW47" t="str">
        <f>IF(Backend!BX74="", "", Backend!BX74)</f>
        <v/>
      </c>
      <c r="BX47" t="str">
        <f>IF(Backend!BY74="", "", Backend!BY74)</f>
        <v/>
      </c>
      <c r="BY47" t="str">
        <f>IF(Backend!BZ74="", "", Backend!BZ74)</f>
        <v/>
      </c>
      <c r="BZ47" t="str">
        <f>IF(Backend!CA74="", "", Backend!CA74)</f>
        <v/>
      </c>
      <c r="CA47" t="str">
        <f>IF(Backend!CB74="", "", Backend!CB74)</f>
        <v/>
      </c>
      <c r="CB47" t="str">
        <f>IF(Backend!CC74="", "", Backend!CC74)</f>
        <v/>
      </c>
      <c r="CC47" t="str">
        <f>IF(Backend!CD74="", "", Backend!CD74)</f>
        <v/>
      </c>
    </row>
    <row r="48" spans="1:81" x14ac:dyDescent="0.25">
      <c r="A48" s="4" t="str">
        <f>IF(Backend!A75="", "", Backend!A75)</f>
        <v>Societe Generale S.A. Class A</v>
      </c>
      <c r="B48">
        <f>IF(Backend!C75="", "", Backend!C75)</f>
        <v>-0.26054551999999997</v>
      </c>
      <c r="C48">
        <f>IF(Backend!D75="", "", Backend!D75)</f>
        <v>-4.7591836000000004E-3</v>
      </c>
      <c r="D48">
        <f>IF(Backend!E75="", "", Backend!E75)</f>
        <v>-0.15041003</v>
      </c>
      <c r="E48">
        <f>IF(Backend!F75="", "", Backend!F75)</f>
        <v>-0.19119304000000001</v>
      </c>
      <c r="F48">
        <f>IF(Backend!G75="", "", Backend!G75)</f>
        <v>-0.18541506999999999</v>
      </c>
      <c r="G48">
        <f>IF(Backend!H75="", "", Backend!H75)</f>
        <v>-0.20946822000000001</v>
      </c>
      <c r="H48">
        <f>IF(Backend!I75="", "", Backend!I75)</f>
        <v>-3.6272976999999998E-2</v>
      </c>
      <c r="I48">
        <f>IF(Backend!J75="", "", Backend!J75)</f>
        <v>-0.39100750000000001</v>
      </c>
      <c r="J48">
        <f>IF(Backend!K75="", "", Backend!K75)</f>
        <v>-0.46677479999999999</v>
      </c>
      <c r="K48">
        <f>IF(Backend!L75="", "", Backend!L75)</f>
        <v>0.61081236999999999</v>
      </c>
      <c r="L48">
        <f>IF(Backend!M75="", "", Backend!M75)</f>
        <v>-0.26050600000000002</v>
      </c>
      <c r="M48">
        <f>IF(Backend!N75="", "", Backend!N75)</f>
        <v>-0.38892280000000001</v>
      </c>
      <c r="N48">
        <f>IF(Backend!O75="", "", Backend!O75)</f>
        <v>0.13463041000000001</v>
      </c>
      <c r="O48">
        <f>IF(Backend!P75="", "", Backend!P75)</f>
        <v>-0.5917519</v>
      </c>
      <c r="P48">
        <f>IF(Backend!Q75="", "", Backend!Q75)</f>
        <v>0.46287292000000002</v>
      </c>
      <c r="Q48">
        <f>IF(Backend!R75="", "", Backend!R75)</f>
        <v>0.19078758000000001</v>
      </c>
      <c r="R48">
        <f>IF(Backend!S75="", "", Backend!S75)</f>
        <v>0.14611904000000001</v>
      </c>
      <c r="S48">
        <f>IF(Backend!T75="", "", Backend!T75)</f>
        <v>-0.44418594</v>
      </c>
      <c r="T48">
        <f>IF(Backend!U75="", "", Backend!U75)</f>
        <v>-1.4284187E-2</v>
      </c>
      <c r="U48">
        <f>IF(Backend!V75="", "", Backend!V75)</f>
        <v>0.54313694999999995</v>
      </c>
      <c r="V48">
        <f>IF(Backend!W75="", "", Backend!W75)</f>
        <v>-0.25590237999999998</v>
      </c>
      <c r="W48">
        <f>IF(Backend!X75="", "", Backend!X75)</f>
        <v>0.75026590000000004</v>
      </c>
      <c r="X48">
        <f>IF(Backend!Y75="", "", Backend!Y75)</f>
        <v>-0.35884031999999999</v>
      </c>
      <c r="Y48">
        <f>IF(Backend!Z75="", "", Backend!Z75)</f>
        <v>0.83942320000000004</v>
      </c>
      <c r="Z48">
        <f>IF(Backend!AA75="", "", Backend!AA75)</f>
        <v>-0.65477395000000005</v>
      </c>
      <c r="AA48">
        <f>IF(Backend!AB75="", "", Backend!AB75)</f>
        <v>-0.38802302</v>
      </c>
      <c r="AB48">
        <f>IF(Backend!AC75="", "", Backend!AC75)</f>
        <v>-0.74565239999999999</v>
      </c>
      <c r="AC48">
        <f>IF(Backend!AD75="", "", Backend!AD75)</f>
        <v>-0.15824205</v>
      </c>
      <c r="AD48">
        <f>IF(Backend!AE75="", "", Backend!AE75)</f>
        <v>-0.53243859999999998</v>
      </c>
      <c r="AE48">
        <f>IF(Backend!AF75="", "", Backend!AF75)</f>
        <v>0.16621858</v>
      </c>
      <c r="AF48">
        <f>IF(Backend!AG75="", "", Backend!AG75)</f>
        <v>3.2997508000000002E-2</v>
      </c>
      <c r="AG48">
        <f>IF(Backend!AH75="", "", Backend!AH75)</f>
        <v>-0.22625269000000001</v>
      </c>
      <c r="AH48">
        <f>IF(Backend!AI75="", "", Backend!AI75)</f>
        <v>0.84457059999999995</v>
      </c>
      <c r="AI48">
        <f>IF(Backend!AJ75="", "", Backend!AJ75)</f>
        <v>9.1203649999999997E-2</v>
      </c>
      <c r="AJ48">
        <f>IF(Backend!AK75="", "", Backend!AK75)</f>
        <v>0.84349870000000005</v>
      </c>
      <c r="AK48">
        <f>IF(Backend!AL75="", "", Backend!AL75)</f>
        <v>-0.41359305000000002</v>
      </c>
      <c r="AL48">
        <f>IF(Backend!AM75="", "", Backend!AM75)</f>
        <v>-0.36935984999999999</v>
      </c>
      <c r="AM48">
        <f>IF(Backend!AN75="", "", Backend!AN75)</f>
        <v>0.27308035000000003</v>
      </c>
      <c r="AN48">
        <f>IF(Backend!AO75="", "", Backend!AO75)</f>
        <v>-0.33840039999999999</v>
      </c>
      <c r="AO48">
        <f>IF(Backend!AP75="", "", Backend!AP75)</f>
        <v>-6.1648639999999998E-2</v>
      </c>
      <c r="AP48">
        <f>IF(Backend!AQ75="", "", Backend!AQ75)</f>
        <v>-0.15427885999999999</v>
      </c>
      <c r="AQ48">
        <f>IF(Backend!AR75="", "", Backend!AR75)</f>
        <v>7.9776349999999996E-2</v>
      </c>
      <c r="AR48">
        <f>IF(Backend!AS75="", "", Backend!AS75)</f>
        <v>-3.7722635999999997E-2</v>
      </c>
      <c r="AS48">
        <f>IF(Backend!AT75="", "", Backend!AT75)</f>
        <v>0.70387787000000002</v>
      </c>
      <c r="AT48">
        <f>IF(Backend!AU75="", "", Backend!AU75)</f>
        <v>1</v>
      </c>
      <c r="AU48">
        <f>IF(Backend!AV75="", "", Backend!AV75)</f>
        <v>0.83042950000000004</v>
      </c>
      <c r="AV48">
        <f>IF(Backend!AW75="", "", Backend!AW75)</f>
        <v>-0.20787595</v>
      </c>
      <c r="AW48">
        <f>IF(Backend!AX75="", "", Backend!AX75)</f>
        <v>-0.43156895000000001</v>
      </c>
      <c r="AX48">
        <f>IF(Backend!AY75="", "", Backend!AY75)</f>
        <v>-0.17465422</v>
      </c>
      <c r="AY48">
        <f>IF(Backend!AZ75="", "", Backend!AZ75)</f>
        <v>0.45778550000000001</v>
      </c>
      <c r="AZ48">
        <f>IF(Backend!BA75="", "", Backend!BA75)</f>
        <v>-9.3256229999999996E-2</v>
      </c>
      <c r="BA48">
        <f>IF(Backend!BB75="", "", Backend!BB75)</f>
        <v>-1.2836514E-2</v>
      </c>
      <c r="BB48">
        <f>IF(Backend!BC75="", "", Backend!BC75)</f>
        <v>-0.27498763999999998</v>
      </c>
      <c r="BC48">
        <f>IF(Backend!BD75="", "", Backend!BD75)</f>
        <v>-0.10394676999999999</v>
      </c>
      <c r="BD48">
        <f>IF(Backend!BE75="", "", Backend!BE75)</f>
        <v>-0.14096986</v>
      </c>
      <c r="BE48">
        <f>IF(Backend!BF75="", "", Backend!BF75)</f>
        <v>-0.2972398</v>
      </c>
      <c r="BF48">
        <f>IF(Backend!BG75="", "", Backend!BG75)</f>
        <v>-0.38197144999999999</v>
      </c>
      <c r="BG48">
        <f>IF(Backend!BH75="", "", Backend!BH75)</f>
        <v>-2.5296168000000001E-2</v>
      </c>
      <c r="BH48">
        <f>IF(Backend!BI75="", "", Backend!BI75)</f>
        <v>-0.47569084</v>
      </c>
      <c r="BI48" t="str">
        <f>IF(Backend!BJ75="", "", Backend!BJ75)</f>
        <v/>
      </c>
      <c r="BJ48" t="str">
        <f>IF(Backend!BK75="", "", Backend!BK75)</f>
        <v/>
      </c>
      <c r="BK48" t="str">
        <f>IF(Backend!BL75="", "", Backend!BL75)</f>
        <v/>
      </c>
      <c r="BL48" t="str">
        <f>IF(Backend!BM75="", "", Backend!BM75)</f>
        <v/>
      </c>
      <c r="BM48" t="str">
        <f>IF(Backend!BN75="", "", Backend!BN75)</f>
        <v/>
      </c>
      <c r="BN48" t="str">
        <f>IF(Backend!BO75="", "", Backend!BO75)</f>
        <v/>
      </c>
      <c r="BO48" t="str">
        <f>IF(Backend!BP75="", "", Backend!BP75)</f>
        <v/>
      </c>
      <c r="BP48" t="str">
        <f>IF(Backend!BQ75="", "", Backend!BQ75)</f>
        <v/>
      </c>
      <c r="BQ48" t="str">
        <f>IF(Backend!BR75="", "", Backend!BR75)</f>
        <v/>
      </c>
      <c r="BR48" t="str">
        <f>IF(Backend!BS75="", "", Backend!BS75)</f>
        <v/>
      </c>
      <c r="BS48" t="str">
        <f>IF(Backend!BT75="", "", Backend!BT75)</f>
        <v/>
      </c>
      <c r="BT48" t="str">
        <f>IF(Backend!BU75="", "", Backend!BU75)</f>
        <v/>
      </c>
      <c r="BU48" t="str">
        <f>IF(Backend!BV75="", "", Backend!BV75)</f>
        <v/>
      </c>
      <c r="BV48" t="str">
        <f>IF(Backend!BW75="", "", Backend!BW75)</f>
        <v/>
      </c>
      <c r="BW48" t="str">
        <f>IF(Backend!BX75="", "", Backend!BX75)</f>
        <v/>
      </c>
      <c r="BX48" t="str">
        <f>IF(Backend!BY75="", "", Backend!BY75)</f>
        <v/>
      </c>
      <c r="BY48" t="str">
        <f>IF(Backend!BZ75="", "", Backend!BZ75)</f>
        <v/>
      </c>
      <c r="BZ48" t="str">
        <f>IF(Backend!CA75="", "", Backend!CA75)</f>
        <v/>
      </c>
      <c r="CA48" t="str">
        <f>IF(Backend!CB75="", "", Backend!CB75)</f>
        <v/>
      </c>
      <c r="CB48" t="str">
        <f>IF(Backend!CC75="", "", Backend!CC75)</f>
        <v/>
      </c>
      <c r="CC48" t="str">
        <f>IF(Backend!CD75="", "", Backend!CD75)</f>
        <v/>
      </c>
    </row>
    <row r="49" spans="1:81" x14ac:dyDescent="0.25">
      <c r="A49" s="4" t="str">
        <f>IF(Backend!A76="", "", Backend!A76)</f>
        <v>Standard Chartered PLC</v>
      </c>
      <c r="B49">
        <f>IF(Backend!C76="", "", Backend!C76)</f>
        <v>-0.58098214999999997</v>
      </c>
      <c r="C49">
        <f>IF(Backend!D76="", "", Backend!D76)</f>
        <v>-0.28652074999999999</v>
      </c>
      <c r="D49">
        <f>IF(Backend!E76="", "", Backend!E76)</f>
        <v>-0.50973254000000001</v>
      </c>
      <c r="E49">
        <f>IF(Backend!F76="", "", Backend!F76)</f>
        <v>-0.61894804000000003</v>
      </c>
      <c r="F49">
        <f>IF(Backend!G76="", "", Backend!G76)</f>
        <v>-0.35834231999999999</v>
      </c>
      <c r="G49">
        <f>IF(Backend!H76="", "", Backend!H76)</f>
        <v>-0.55800740000000004</v>
      </c>
      <c r="H49">
        <f>IF(Backend!I76="", "", Backend!I76)</f>
        <v>-0.40635458000000002</v>
      </c>
      <c r="I49">
        <f>IF(Backend!J76="", "", Backend!J76)</f>
        <v>-0.67717369999999999</v>
      </c>
      <c r="J49">
        <f>IF(Backend!K76="", "", Backend!K76)</f>
        <v>-0.57870730000000004</v>
      </c>
      <c r="K49">
        <f>IF(Backend!L76="", "", Backend!L76)</f>
        <v>0.34676129999999999</v>
      </c>
      <c r="L49">
        <f>IF(Backend!M76="", "", Backend!M76)</f>
        <v>-0.54459685000000002</v>
      </c>
      <c r="M49">
        <f>IF(Backend!N76="", "", Backend!N76)</f>
        <v>-0.64496609999999999</v>
      </c>
      <c r="N49">
        <f>IF(Backend!O76="", "", Backend!O76)</f>
        <v>-0.21913247999999999</v>
      </c>
      <c r="O49">
        <f>IF(Backend!P76="", "", Backend!P76)</f>
        <v>-0.80919653000000002</v>
      </c>
      <c r="P49">
        <f>IF(Backend!Q76="", "", Backend!Q76)</f>
        <v>0.59028332999999999</v>
      </c>
      <c r="Q49">
        <f>IF(Backend!R76="", "", Backend!R76)</f>
        <v>2.1672070000000002E-2</v>
      </c>
      <c r="R49">
        <f>IF(Backend!S76="", "", Backend!S76)</f>
        <v>-0.27151999999999998</v>
      </c>
      <c r="S49">
        <f>IF(Backend!T76="", "", Backend!T76)</f>
        <v>-0.18559398999999999</v>
      </c>
      <c r="T49">
        <f>IF(Backend!U76="", "", Backend!U76)</f>
        <v>-0.32208413000000002</v>
      </c>
      <c r="U49">
        <f>IF(Backend!V76="", "", Backend!V76)</f>
        <v>0.76342993999999997</v>
      </c>
      <c r="V49">
        <f>IF(Backend!W76="", "", Backend!W76)</f>
        <v>-0.62255300000000002</v>
      </c>
      <c r="W49">
        <f>IF(Backend!X76="", "", Backend!X76)</f>
        <v>0.82526535000000001</v>
      </c>
      <c r="X49">
        <f>IF(Backend!Y76="", "", Backend!Y76)</f>
        <v>-0.72878419999999999</v>
      </c>
      <c r="Y49">
        <f>IF(Backend!Z76="", "", Backend!Z76)</f>
        <v>0.81323650000000003</v>
      </c>
      <c r="Z49">
        <f>IF(Backend!AA76="", "", Backend!AA76)</f>
        <v>-0.78435354999999995</v>
      </c>
      <c r="AA49">
        <f>IF(Backend!AB76="", "", Backend!AB76)</f>
        <v>-0.74284720000000004</v>
      </c>
      <c r="AB49">
        <f>IF(Backend!AC76="", "", Backend!AC76)</f>
        <v>-0.79105190000000003</v>
      </c>
      <c r="AC49">
        <f>IF(Backend!AD76="", "", Backend!AD76)</f>
        <v>-0.40218344</v>
      </c>
      <c r="AD49">
        <f>IF(Backend!AE76="", "", Backend!AE76)</f>
        <v>-0.81871015000000003</v>
      </c>
      <c r="AE49">
        <f>IF(Backend!AF76="", "", Backend!AF76)</f>
        <v>-0.12363889</v>
      </c>
      <c r="AF49">
        <f>IF(Backend!AG76="", "", Backend!AG76)</f>
        <v>-0.27745154999999999</v>
      </c>
      <c r="AG49">
        <f>IF(Backend!AH76="", "", Backend!AH76)</f>
        <v>4.8347389999999997E-2</v>
      </c>
      <c r="AH49">
        <f>IF(Backend!AI76="", "", Backend!AI76)</f>
        <v>0.95882089999999998</v>
      </c>
      <c r="AI49">
        <f>IF(Backend!AJ76="", "", Backend!AJ76)</f>
        <v>0.21173285</v>
      </c>
      <c r="AJ49">
        <f>IF(Backend!AK76="", "", Backend!AK76)</f>
        <v>0.8834649</v>
      </c>
      <c r="AK49">
        <f>IF(Backend!AL76="", "", Backend!AL76)</f>
        <v>-0.68753569999999997</v>
      </c>
      <c r="AL49">
        <f>IF(Backend!AM76="", "", Backend!AM76)</f>
        <v>-0.72542404999999999</v>
      </c>
      <c r="AM49">
        <f>IF(Backend!AN76="", "", Backend!AN76)</f>
        <v>0.34478676000000003</v>
      </c>
      <c r="AN49">
        <f>IF(Backend!AO76="", "", Backend!AO76)</f>
        <v>-0.69353556999999999</v>
      </c>
      <c r="AO49">
        <f>IF(Backend!AP76="", "", Backend!AP76)</f>
        <v>-0.41582844000000002</v>
      </c>
      <c r="AP49">
        <f>IF(Backend!AQ76="", "", Backend!AQ76)</f>
        <v>-0.52376339999999999</v>
      </c>
      <c r="AQ49">
        <f>IF(Backend!AR76="", "", Backend!AR76)</f>
        <v>0.14740054</v>
      </c>
      <c r="AR49">
        <f>IF(Backend!AS76="", "", Backend!AS76)</f>
        <v>-0.42223769999999999</v>
      </c>
      <c r="AS49">
        <f>IF(Backend!AT76="", "", Backend!AT76)</f>
        <v>0.71367073000000003</v>
      </c>
      <c r="AT49">
        <f>IF(Backend!AU76="", "", Backend!AU76)</f>
        <v>0.83042950000000004</v>
      </c>
      <c r="AU49">
        <f>IF(Backend!AV76="", "", Backend!AV76)</f>
        <v>1</v>
      </c>
      <c r="AV49">
        <f>IF(Backend!AW76="", "", Backend!AW76)</f>
        <v>-0.57494133999999997</v>
      </c>
      <c r="AW49">
        <f>IF(Backend!AX76="", "", Backend!AX76)</f>
        <v>-0.67247546000000002</v>
      </c>
      <c r="AX49">
        <f>IF(Backend!AY76="", "", Backend!AY76)</f>
        <v>-0.36101686999999999</v>
      </c>
      <c r="AY49">
        <f>IF(Backend!AZ76="", "", Backend!AZ76)</f>
        <v>0.32296960000000002</v>
      </c>
      <c r="AZ49">
        <f>IF(Backend!BA76="", "", Backend!BA76)</f>
        <v>-0.49913849999999998</v>
      </c>
      <c r="BA49">
        <f>IF(Backend!BB76="", "", Backend!BB76)</f>
        <v>-0.34688323999999998</v>
      </c>
      <c r="BB49">
        <f>IF(Backend!BC76="", "", Backend!BC76)</f>
        <v>-0.45502225000000002</v>
      </c>
      <c r="BC49">
        <f>IF(Backend!BD76="", "", Backend!BD76)</f>
        <v>-0.47039140000000002</v>
      </c>
      <c r="BD49">
        <f>IF(Backend!BE76="", "", Backend!BE76)</f>
        <v>-0.5420374</v>
      </c>
      <c r="BE49">
        <f>IF(Backend!BF76="", "", Backend!BF76)</f>
        <v>-0.77245759999999997</v>
      </c>
      <c r="BF49">
        <f>IF(Backend!BG76="", "", Backend!BG76)</f>
        <v>-0.69808429999999999</v>
      </c>
      <c r="BG49">
        <f>IF(Backend!BH76="", "", Backend!BH76)</f>
        <v>-0.3003498</v>
      </c>
      <c r="BH49">
        <f>IF(Backend!BI76="", "", Backend!BI76)</f>
        <v>-0.72323590000000004</v>
      </c>
      <c r="BI49" t="str">
        <f>IF(Backend!BJ76="", "", Backend!BJ76)</f>
        <v/>
      </c>
      <c r="BJ49" t="str">
        <f>IF(Backend!BK76="", "", Backend!BK76)</f>
        <v/>
      </c>
      <c r="BK49" t="str">
        <f>IF(Backend!BL76="", "", Backend!BL76)</f>
        <v/>
      </c>
      <c r="BL49" t="str">
        <f>IF(Backend!BM76="", "", Backend!BM76)</f>
        <v/>
      </c>
      <c r="BM49" t="str">
        <f>IF(Backend!BN76="", "", Backend!BN76)</f>
        <v/>
      </c>
      <c r="BN49" t="str">
        <f>IF(Backend!BO76="", "", Backend!BO76)</f>
        <v/>
      </c>
      <c r="BO49" t="str">
        <f>IF(Backend!BP76="", "", Backend!BP76)</f>
        <v/>
      </c>
      <c r="BP49" t="str">
        <f>IF(Backend!BQ76="", "", Backend!BQ76)</f>
        <v/>
      </c>
      <c r="BQ49" t="str">
        <f>IF(Backend!BR76="", "", Backend!BR76)</f>
        <v/>
      </c>
      <c r="BR49" t="str">
        <f>IF(Backend!BS76="", "", Backend!BS76)</f>
        <v/>
      </c>
      <c r="BS49" t="str">
        <f>IF(Backend!BT76="", "", Backend!BT76)</f>
        <v/>
      </c>
      <c r="BT49" t="str">
        <f>IF(Backend!BU76="", "", Backend!BU76)</f>
        <v/>
      </c>
      <c r="BU49" t="str">
        <f>IF(Backend!BV76="", "", Backend!BV76)</f>
        <v/>
      </c>
      <c r="BV49" t="str">
        <f>IF(Backend!BW76="", "", Backend!BW76)</f>
        <v/>
      </c>
      <c r="BW49" t="str">
        <f>IF(Backend!BX76="", "", Backend!BX76)</f>
        <v/>
      </c>
      <c r="BX49" t="str">
        <f>IF(Backend!BY76="", "", Backend!BY76)</f>
        <v/>
      </c>
      <c r="BY49" t="str">
        <f>IF(Backend!BZ76="", "", Backend!BZ76)</f>
        <v/>
      </c>
      <c r="BZ49" t="str">
        <f>IF(Backend!CA76="", "", Backend!CA76)</f>
        <v/>
      </c>
      <c r="CA49" t="str">
        <f>IF(Backend!CB76="", "", Backend!CB76)</f>
        <v/>
      </c>
      <c r="CB49" t="str">
        <f>IF(Backend!CC76="", "", Backend!CC76)</f>
        <v/>
      </c>
      <c r="CC49" t="str">
        <f>IF(Backend!CD76="", "", Backend!CD76)</f>
        <v/>
      </c>
    </row>
    <row r="50" spans="1:81" x14ac:dyDescent="0.25">
      <c r="A50" s="4" t="str">
        <f>IF(Backend!A77="", "", Backend!A77)</f>
        <v>Stanley Black &amp; Decker, Inc.</v>
      </c>
      <c r="B50">
        <f>IF(Backend!C77="", "", Backend!C77)</f>
        <v>0.89502570000000004</v>
      </c>
      <c r="C50">
        <f>IF(Backend!D77="", "", Backend!D77)</f>
        <v>0.60599446000000001</v>
      </c>
      <c r="D50">
        <f>IF(Backend!E77="", "", Backend!E77)</f>
        <v>0.86349045999999996</v>
      </c>
      <c r="E50">
        <f>IF(Backend!F77="", "", Backend!F77)</f>
        <v>0.86803406000000005</v>
      </c>
      <c r="F50">
        <f>IF(Backend!G77="", "", Backend!G77)</f>
        <v>0.68995326999999995</v>
      </c>
      <c r="G50">
        <f>IF(Backend!H77="", "", Backend!H77)</f>
        <v>0.77850573999999995</v>
      </c>
      <c r="H50">
        <f>IF(Backend!I77="", "", Backend!I77)</f>
        <v>0.89687320000000004</v>
      </c>
      <c r="I50">
        <f>IF(Backend!J77="", "", Backend!J77)</f>
        <v>0.59248023999999999</v>
      </c>
      <c r="J50">
        <f>IF(Backend!K77="", "", Backend!K77)</f>
        <v>0.29755082999999999</v>
      </c>
      <c r="K50">
        <f>IF(Backend!L77="", "", Backend!L77)</f>
        <v>0.36151800000000001</v>
      </c>
      <c r="L50">
        <f>IF(Backend!M77="", "", Backend!M77)</f>
        <v>0.50824179999999997</v>
      </c>
      <c r="M50">
        <f>IF(Backend!N77="", "", Backend!N77)</f>
        <v>0.54554320000000001</v>
      </c>
      <c r="N50">
        <f>IF(Backend!O77="", "", Backend!O77)</f>
        <v>0.81394224999999998</v>
      </c>
      <c r="O50">
        <f>IF(Backend!P77="", "", Backend!P77)</f>
        <v>0.6113191</v>
      </c>
      <c r="P50">
        <f>IF(Backend!Q77="", "", Backend!Q77)</f>
        <v>-0.57204310000000003</v>
      </c>
      <c r="Q50">
        <f>IF(Backend!R77="", "", Backend!R77)</f>
        <v>0.29720750000000001</v>
      </c>
      <c r="R50">
        <f>IF(Backend!S77="", "", Backend!S77)</f>
        <v>0.80511520000000003</v>
      </c>
      <c r="S50">
        <f>IF(Backend!T77="", "", Backend!T77)</f>
        <v>-0.46871960000000001</v>
      </c>
      <c r="T50">
        <f>IF(Backend!U77="", "", Backend!U77)</f>
        <v>0.69947389999999998</v>
      </c>
      <c r="U50">
        <f>IF(Backend!V77="", "", Backend!V77)</f>
        <v>-0.43676700000000002</v>
      </c>
      <c r="V50">
        <f>IF(Backend!W77="", "", Backend!W77)</f>
        <v>0.8628188</v>
      </c>
      <c r="W50">
        <f>IF(Backend!X77="", "", Backend!X77)</f>
        <v>-0.2464597</v>
      </c>
      <c r="X50">
        <f>IF(Backend!Y77="", "", Backend!Y77)</f>
        <v>0.82532490000000003</v>
      </c>
      <c r="Y50">
        <f>IF(Backend!Z77="", "", Backend!Z77)</f>
        <v>-0.33014768</v>
      </c>
      <c r="Z50">
        <f>IF(Backend!AA77="", "", Backend!AA77)</f>
        <v>0.45361230000000002</v>
      </c>
      <c r="AA50">
        <f>IF(Backend!AB77="", "", Backend!AB77)</f>
        <v>0.81914883999999999</v>
      </c>
      <c r="AB50">
        <f>IF(Backend!AC77="", "", Backend!AC77)</f>
        <v>0.53422159999999996</v>
      </c>
      <c r="AC50">
        <f>IF(Backend!AD77="", "", Backend!AD77)</f>
        <v>0.33110119999999998</v>
      </c>
      <c r="AD50">
        <f>IF(Backend!AE77="", "", Backend!AE77)</f>
        <v>0.84028833999999997</v>
      </c>
      <c r="AE50">
        <f>IF(Backend!AF77="", "", Backend!AF77)</f>
        <v>0.76782700000000004</v>
      </c>
      <c r="AF50">
        <f>IF(Backend!AG77="", "", Backend!AG77)</f>
        <v>0.85645216999999996</v>
      </c>
      <c r="AG50">
        <f>IF(Backend!AH77="", "", Backend!AH77)</f>
        <v>-0.41260269999999999</v>
      </c>
      <c r="AH50">
        <f>IF(Backend!AI77="", "", Backend!AI77)</f>
        <v>-0.51673572999999995</v>
      </c>
      <c r="AI50">
        <f>IF(Backend!AJ77="", "", Backend!AJ77)</f>
        <v>-0.28117013000000002</v>
      </c>
      <c r="AJ50">
        <f>IF(Backend!AK77="", "", Backend!AK77)</f>
        <v>-0.27088245999999999</v>
      </c>
      <c r="AK50">
        <f>IF(Backend!AL77="", "", Backend!AL77)</f>
        <v>0.47974554000000003</v>
      </c>
      <c r="AL50">
        <f>IF(Backend!AM77="", "", Backend!AM77)</f>
        <v>0.93247060000000004</v>
      </c>
      <c r="AM50">
        <f>IF(Backend!AN77="", "", Backend!AN77)</f>
        <v>-0.56665359999999998</v>
      </c>
      <c r="AN50">
        <f>IF(Backend!AO77="", "", Backend!AO77)</f>
        <v>0.71363770000000004</v>
      </c>
      <c r="AO50">
        <f>IF(Backend!AP77="", "", Backend!AP77)</f>
        <v>0.76825756000000001</v>
      </c>
      <c r="AP50">
        <f>IF(Backend!AQ77="", "", Backend!AQ77)</f>
        <v>0.88024550000000001</v>
      </c>
      <c r="AQ50">
        <f>IF(Backend!AR77="", "", Backend!AR77)</f>
        <v>7.2359845000000006E-2</v>
      </c>
      <c r="AR50">
        <f>IF(Backend!AS77="", "", Backend!AS77)</f>
        <v>0.63651663000000003</v>
      </c>
      <c r="AS50">
        <f>IF(Backend!AT77="", "", Backend!AT77)</f>
        <v>-9.9365839999999997E-2</v>
      </c>
      <c r="AT50">
        <f>IF(Backend!AU77="", "", Backend!AU77)</f>
        <v>-0.20787595</v>
      </c>
      <c r="AU50">
        <f>IF(Backend!AV77="", "", Backend!AV77)</f>
        <v>-0.57494133999999997</v>
      </c>
      <c r="AV50">
        <f>IF(Backend!AW77="", "", Backend!AW77)</f>
        <v>1</v>
      </c>
      <c r="AW50">
        <f>IF(Backend!AX77="", "", Backend!AX77)</f>
        <v>0.56306829999999997</v>
      </c>
      <c r="AX50">
        <f>IF(Backend!AY77="", "", Backend!AY77)</f>
        <v>0.34070662000000002</v>
      </c>
      <c r="AY50">
        <f>IF(Backend!AZ77="", "", Backend!AZ77)</f>
        <v>0.30014010000000002</v>
      </c>
      <c r="AZ50">
        <f>IF(Backend!BA77="", "", Backend!BA77)</f>
        <v>0.77260523999999997</v>
      </c>
      <c r="BA50">
        <f>IF(Backend!BB77="", "", Backend!BB77)</f>
        <v>0.87696403000000001</v>
      </c>
      <c r="BB50">
        <f>IF(Backend!BC77="", "", Backend!BC77)</f>
        <v>0.80965330000000002</v>
      </c>
      <c r="BC50">
        <f>IF(Backend!BD77="", "", Backend!BD77)</f>
        <v>0.86098503999999998</v>
      </c>
      <c r="BD50">
        <f>IF(Backend!BE77="", "", Backend!BE77)</f>
        <v>0.88342080000000001</v>
      </c>
      <c r="BE50">
        <f>IF(Backend!BF77="", "", Backend!BF77)</f>
        <v>0.78659064000000001</v>
      </c>
      <c r="BF50">
        <f>IF(Backend!BG77="", "", Backend!BG77)</f>
        <v>0.92721074999999997</v>
      </c>
      <c r="BG50">
        <f>IF(Backend!BH77="", "", Backend!BH77)</f>
        <v>0.71264939999999999</v>
      </c>
      <c r="BH50">
        <f>IF(Backend!BI77="", "", Backend!BI77)</f>
        <v>0.76443729999999999</v>
      </c>
      <c r="BI50" t="str">
        <f>IF(Backend!BJ77="", "", Backend!BJ77)</f>
        <v/>
      </c>
      <c r="BJ50" t="str">
        <f>IF(Backend!BK77="", "", Backend!BK77)</f>
        <v/>
      </c>
      <c r="BK50" t="str">
        <f>IF(Backend!BL77="", "", Backend!BL77)</f>
        <v/>
      </c>
      <c r="BL50" t="str">
        <f>IF(Backend!BM77="", "", Backend!BM77)</f>
        <v/>
      </c>
      <c r="BM50" t="str">
        <f>IF(Backend!BN77="", "", Backend!BN77)</f>
        <v/>
      </c>
      <c r="BN50" t="str">
        <f>IF(Backend!BO77="", "", Backend!BO77)</f>
        <v/>
      </c>
      <c r="BO50" t="str">
        <f>IF(Backend!BP77="", "", Backend!BP77)</f>
        <v/>
      </c>
      <c r="BP50" t="str">
        <f>IF(Backend!BQ77="", "", Backend!BQ77)</f>
        <v/>
      </c>
      <c r="BQ50" t="str">
        <f>IF(Backend!BR77="", "", Backend!BR77)</f>
        <v/>
      </c>
      <c r="BR50" t="str">
        <f>IF(Backend!BS77="", "", Backend!BS77)</f>
        <v/>
      </c>
      <c r="BS50" t="str">
        <f>IF(Backend!BT77="", "", Backend!BT77)</f>
        <v/>
      </c>
      <c r="BT50" t="str">
        <f>IF(Backend!BU77="", "", Backend!BU77)</f>
        <v/>
      </c>
      <c r="BU50" t="str">
        <f>IF(Backend!BV77="", "", Backend!BV77)</f>
        <v/>
      </c>
      <c r="BV50" t="str">
        <f>IF(Backend!BW77="", "", Backend!BW77)</f>
        <v/>
      </c>
      <c r="BW50" t="str">
        <f>IF(Backend!BX77="", "", Backend!BX77)</f>
        <v/>
      </c>
      <c r="BX50" t="str">
        <f>IF(Backend!BY77="", "", Backend!BY77)</f>
        <v/>
      </c>
      <c r="BY50" t="str">
        <f>IF(Backend!BZ77="", "", Backend!BZ77)</f>
        <v/>
      </c>
      <c r="BZ50" t="str">
        <f>IF(Backend!CA77="", "", Backend!CA77)</f>
        <v/>
      </c>
      <c r="CA50" t="str">
        <f>IF(Backend!CB77="", "", Backend!CB77)</f>
        <v/>
      </c>
      <c r="CB50" t="str">
        <f>IF(Backend!CC77="", "", Backend!CC77)</f>
        <v/>
      </c>
      <c r="CC50" t="str">
        <f>IF(Backend!CD77="", "", Backend!CD77)</f>
        <v/>
      </c>
    </row>
    <row r="51" spans="1:81" x14ac:dyDescent="0.25">
      <c r="A51" s="4" t="str">
        <f>IF(Backend!A78="", "", Backend!A78)</f>
        <v>Swatch Group Ltd. Bearer</v>
      </c>
      <c r="B51">
        <f>IF(Backend!C78="", "", Backend!C78)</f>
        <v>0.63410794999999998</v>
      </c>
      <c r="C51">
        <f>IF(Backend!D78="", "", Backend!D78)</f>
        <v>0.46627610000000003</v>
      </c>
      <c r="D51">
        <f>IF(Backend!E78="", "", Backend!E78)</f>
        <v>0.57088285999999999</v>
      </c>
      <c r="E51">
        <f>IF(Backend!F78="", "", Backend!F78)</f>
        <v>0.77335509999999996</v>
      </c>
      <c r="F51">
        <f>IF(Backend!G78="", "", Backend!G78)</f>
        <v>0.38419979999999998</v>
      </c>
      <c r="G51">
        <f>IF(Backend!H78="", "", Backend!H78)</f>
        <v>0.76734095999999996</v>
      </c>
      <c r="H51">
        <f>IF(Backend!I78="", "", Backend!I78)</f>
        <v>0.51659880000000002</v>
      </c>
      <c r="I51">
        <f>IF(Backend!J78="", "", Backend!J78)</f>
        <v>0.81160754000000002</v>
      </c>
      <c r="J51">
        <f>IF(Backend!K78="", "", Backend!K78)</f>
        <v>0.57832943999999997</v>
      </c>
      <c r="K51">
        <f>IF(Backend!L78="", "", Backend!L78)</f>
        <v>-2.5120904999999999E-2</v>
      </c>
      <c r="L51">
        <f>IF(Backend!M78="", "", Backend!M78)</f>
        <v>0.90112924999999999</v>
      </c>
      <c r="M51">
        <f>IF(Backend!N78="", "", Backend!N78)</f>
        <v>0.80201149999999999</v>
      </c>
      <c r="N51">
        <f>IF(Backend!O78="", "", Backend!O78)</f>
        <v>0.40688202000000001</v>
      </c>
      <c r="O51">
        <f>IF(Backend!P78="", "", Backend!P78)</f>
        <v>0.70253889999999997</v>
      </c>
      <c r="P51">
        <f>IF(Backend!Q78="", "", Backend!Q78)</f>
        <v>-0.35422182000000002</v>
      </c>
      <c r="Q51">
        <f>IF(Backend!R78="", "", Backend!R78)</f>
        <v>-4.060822E-2</v>
      </c>
      <c r="R51">
        <f>IF(Backend!S78="", "", Backend!S78)</f>
        <v>0.51516530000000005</v>
      </c>
      <c r="S51">
        <f>IF(Backend!T78="", "", Backend!T78)</f>
        <v>0.10474938</v>
      </c>
      <c r="T51">
        <f>IF(Backend!U78="", "", Backend!U78)</f>
        <v>0.30337286000000002</v>
      </c>
      <c r="U51">
        <f>IF(Backend!V78="", "", Backend!V78)</f>
        <v>-0.52138764000000004</v>
      </c>
      <c r="V51">
        <f>IF(Backend!W78="", "", Backend!W78)</f>
        <v>0.62020284000000003</v>
      </c>
      <c r="W51">
        <f>IF(Backend!X78="", "", Backend!X78)</f>
        <v>-0.65457564999999995</v>
      </c>
      <c r="X51">
        <f>IF(Backend!Y78="", "", Backend!Y78)</f>
        <v>0.85527929999999996</v>
      </c>
      <c r="Y51">
        <f>IF(Backend!Z78="", "", Backend!Z78)</f>
        <v>-0.4384787</v>
      </c>
      <c r="Z51">
        <f>IF(Backend!AA78="", "", Backend!AA78)</f>
        <v>0.73699170000000003</v>
      </c>
      <c r="AA51">
        <f>IF(Backend!AB78="", "", Backend!AB78)</f>
        <v>0.81177069999999996</v>
      </c>
      <c r="AB51">
        <f>IF(Backend!AC78="", "", Backend!AC78)</f>
        <v>0.62702440000000004</v>
      </c>
      <c r="AC51">
        <f>IF(Backend!AD78="", "", Backend!AD78)</f>
        <v>0.39135617</v>
      </c>
      <c r="AD51">
        <f>IF(Backend!AE78="", "", Backend!AE78)</f>
        <v>0.77469239999999995</v>
      </c>
      <c r="AE51">
        <f>IF(Backend!AF78="", "", Backend!AF78)</f>
        <v>0.2074233</v>
      </c>
      <c r="AF51">
        <f>IF(Backend!AG78="", "", Backend!AG78)</f>
        <v>0.32321253</v>
      </c>
      <c r="AG51">
        <f>IF(Backend!AH78="", "", Backend!AH78)</f>
        <v>-3.9815243E-2</v>
      </c>
      <c r="AH51">
        <f>IF(Backend!AI78="", "", Backend!AI78)</f>
        <v>-0.68134636000000004</v>
      </c>
      <c r="AI51">
        <f>IF(Backend!AJ78="", "", Backend!AJ78)</f>
        <v>-0.23129116999999999</v>
      </c>
      <c r="AJ51">
        <f>IF(Backend!AK78="", "", Backend!AK78)</f>
        <v>-0.70649390000000001</v>
      </c>
      <c r="AK51">
        <f>IF(Backend!AL78="", "", Backend!AL78)</f>
        <v>0.62275610000000003</v>
      </c>
      <c r="AL51">
        <f>IF(Backend!AM78="", "", Backend!AM78)</f>
        <v>0.70601444999999996</v>
      </c>
      <c r="AM51">
        <f>IF(Backend!AN78="", "", Backend!AN78)</f>
        <v>-7.9534369999999993E-2</v>
      </c>
      <c r="AN51">
        <f>IF(Backend!AO78="", "", Backend!AO78)</f>
        <v>0.84664225999999998</v>
      </c>
      <c r="AO51">
        <f>IF(Backend!AP78="", "", Backend!AP78)</f>
        <v>0.63331044000000003</v>
      </c>
      <c r="AP51">
        <f>IF(Backend!AQ78="", "", Backend!AQ78)</f>
        <v>0.60778195000000002</v>
      </c>
      <c r="AQ51">
        <f>IF(Backend!AR78="", "", Backend!AR78)</f>
        <v>6.5582774999999996E-2</v>
      </c>
      <c r="AR51">
        <f>IF(Backend!AS78="", "", Backend!AS78)</f>
        <v>0.51287632999999999</v>
      </c>
      <c r="AS51">
        <f>IF(Backend!AT78="", "", Backend!AT78)</f>
        <v>-0.50498222999999998</v>
      </c>
      <c r="AT51">
        <f>IF(Backend!AU78="", "", Backend!AU78)</f>
        <v>-0.43156895000000001</v>
      </c>
      <c r="AU51">
        <f>IF(Backend!AV78="", "", Backend!AV78)</f>
        <v>-0.67247546000000002</v>
      </c>
      <c r="AV51">
        <f>IF(Backend!AW78="", "", Backend!AW78)</f>
        <v>0.56306829999999997</v>
      </c>
      <c r="AW51">
        <f>IF(Backend!AX78="", "", Backend!AX78)</f>
        <v>1</v>
      </c>
      <c r="AX51">
        <f>IF(Backend!AY78="", "", Backend!AY78)</f>
        <v>0.49615072999999998</v>
      </c>
      <c r="AY51">
        <f>IF(Backend!AZ78="", "", Backend!AZ78)</f>
        <v>-8.6379830000000005E-2</v>
      </c>
      <c r="AZ51">
        <f>IF(Backend!BA78="", "", Backend!BA78)</f>
        <v>0.57892655999999998</v>
      </c>
      <c r="BA51">
        <f>IF(Backend!BB78="", "", Backend!BB78)</f>
        <v>0.28237978000000002</v>
      </c>
      <c r="BB51">
        <f>IF(Backend!BC78="", "", Backend!BC78)</f>
        <v>0.41234142000000001</v>
      </c>
      <c r="BC51">
        <f>IF(Backend!BD78="", "", Backend!BD78)</f>
        <v>0.52349639999999997</v>
      </c>
      <c r="BD51">
        <f>IF(Backend!BE78="", "", Backend!BE78)</f>
        <v>0.68270030000000004</v>
      </c>
      <c r="BE51">
        <f>IF(Backend!BF78="", "", Backend!BF78)</f>
        <v>0.78458786000000003</v>
      </c>
      <c r="BF51">
        <f>IF(Backend!BG78="", "", Backend!BG78)</f>
        <v>0.60487789999999997</v>
      </c>
      <c r="BG51">
        <f>IF(Backend!BH78="", "", Backend!BH78)</f>
        <v>0.30140465</v>
      </c>
      <c r="BH51">
        <f>IF(Backend!BI78="", "", Backend!BI78)</f>
        <v>0.71460520000000005</v>
      </c>
      <c r="BI51" t="str">
        <f>IF(Backend!BJ78="", "", Backend!BJ78)</f>
        <v/>
      </c>
      <c r="BJ51" t="str">
        <f>IF(Backend!BK78="", "", Backend!BK78)</f>
        <v/>
      </c>
      <c r="BK51" t="str">
        <f>IF(Backend!BL78="", "", Backend!BL78)</f>
        <v/>
      </c>
      <c r="BL51" t="str">
        <f>IF(Backend!BM78="", "", Backend!BM78)</f>
        <v/>
      </c>
      <c r="BM51" t="str">
        <f>IF(Backend!BN78="", "", Backend!BN78)</f>
        <v/>
      </c>
      <c r="BN51" t="str">
        <f>IF(Backend!BO78="", "", Backend!BO78)</f>
        <v/>
      </c>
      <c r="BO51" t="str">
        <f>IF(Backend!BP78="", "", Backend!BP78)</f>
        <v/>
      </c>
      <c r="BP51" t="str">
        <f>IF(Backend!BQ78="", "", Backend!BQ78)</f>
        <v/>
      </c>
      <c r="BQ51" t="str">
        <f>IF(Backend!BR78="", "", Backend!BR78)</f>
        <v/>
      </c>
      <c r="BR51" t="str">
        <f>IF(Backend!BS78="", "", Backend!BS78)</f>
        <v/>
      </c>
      <c r="BS51" t="str">
        <f>IF(Backend!BT78="", "", Backend!BT78)</f>
        <v/>
      </c>
      <c r="BT51" t="str">
        <f>IF(Backend!BU78="", "", Backend!BU78)</f>
        <v/>
      </c>
      <c r="BU51" t="str">
        <f>IF(Backend!BV78="", "", Backend!BV78)</f>
        <v/>
      </c>
      <c r="BV51" t="str">
        <f>IF(Backend!BW78="", "", Backend!BW78)</f>
        <v/>
      </c>
      <c r="BW51" t="str">
        <f>IF(Backend!BX78="", "", Backend!BX78)</f>
        <v/>
      </c>
      <c r="BX51" t="str">
        <f>IF(Backend!BY78="", "", Backend!BY78)</f>
        <v/>
      </c>
      <c r="BY51" t="str">
        <f>IF(Backend!BZ78="", "", Backend!BZ78)</f>
        <v/>
      </c>
      <c r="BZ51" t="str">
        <f>IF(Backend!CA78="", "", Backend!CA78)</f>
        <v/>
      </c>
      <c r="CA51" t="str">
        <f>IF(Backend!CB78="", "", Backend!CB78)</f>
        <v/>
      </c>
      <c r="CB51" t="str">
        <f>IF(Backend!CC78="", "", Backend!CC78)</f>
        <v/>
      </c>
      <c r="CC51" t="str">
        <f>IF(Backend!CD78="", "", Backend!CD78)</f>
        <v/>
      </c>
    </row>
    <row r="52" spans="1:81" x14ac:dyDescent="0.25">
      <c r="A52" s="4" t="str">
        <f>IF(Backend!A79="", "", Backend!A79)</f>
        <v>Ternium S.A. Sponsored ADR</v>
      </c>
      <c r="B52">
        <f>IF(Backend!C79="", "", Backend!C79)</f>
        <v>0.28778666000000003</v>
      </c>
      <c r="C52">
        <f>IF(Backend!D79="", "", Backend!D79)</f>
        <v>0.3373604</v>
      </c>
      <c r="D52">
        <f>IF(Backend!E79="", "", Backend!E79)</f>
        <v>0.22135694</v>
      </c>
      <c r="E52">
        <f>IF(Backend!F79="", "", Backend!F79)</f>
        <v>0.46931215999999998</v>
      </c>
      <c r="F52">
        <f>IF(Backend!G79="", "", Backend!G79)</f>
        <v>-0.18205702000000001</v>
      </c>
      <c r="G52">
        <f>IF(Backend!H79="", "", Backend!H79)</f>
        <v>0.56419956999999998</v>
      </c>
      <c r="H52">
        <f>IF(Backend!I79="", "", Backend!I79)</f>
        <v>0.18800230000000001</v>
      </c>
      <c r="I52">
        <f>IF(Backend!J79="", "", Backend!J79)</f>
        <v>0.324602</v>
      </c>
      <c r="J52">
        <f>IF(Backend!K79="", "", Backend!K79)</f>
        <v>0.13142862999999999</v>
      </c>
      <c r="K52">
        <f>IF(Backend!L79="", "", Backend!L79)</f>
        <v>0.10643344</v>
      </c>
      <c r="L52">
        <f>IF(Backend!M79="", "", Backend!M79)</f>
        <v>0.36925999999999998</v>
      </c>
      <c r="M52">
        <f>IF(Backend!N79="", "", Backend!N79)</f>
        <v>0.57999973999999999</v>
      </c>
      <c r="N52">
        <f>IF(Backend!O79="", "", Backend!O79)</f>
        <v>0.11304308</v>
      </c>
      <c r="O52">
        <f>IF(Backend!P79="", "", Backend!P79)</f>
        <v>0.56231176999999999</v>
      </c>
      <c r="P52">
        <f>IF(Backend!Q79="", "", Backend!Q79)</f>
        <v>0.16042666</v>
      </c>
      <c r="Q52">
        <f>IF(Backend!R79="", "", Backend!R79)</f>
        <v>0.45103707999999998</v>
      </c>
      <c r="R52">
        <f>IF(Backend!S79="", "", Backend!S79)</f>
        <v>0.22220345</v>
      </c>
      <c r="S52">
        <f>IF(Backend!T79="", "", Backend!T79)</f>
        <v>0.30955178</v>
      </c>
      <c r="T52">
        <f>IF(Backend!U79="", "", Backend!U79)</f>
        <v>0.46816716000000003</v>
      </c>
      <c r="U52">
        <f>IF(Backend!V79="", "", Backend!V79)</f>
        <v>-4.2002127E-2</v>
      </c>
      <c r="V52">
        <f>IF(Backend!W79="", "", Backend!W79)</f>
        <v>0.45274281999999999</v>
      </c>
      <c r="W52">
        <f>IF(Backend!X79="", "", Backend!X79)</f>
        <v>-0.2521042</v>
      </c>
      <c r="X52">
        <f>IF(Backend!Y79="", "", Backend!Y79)</f>
        <v>0.41056362000000002</v>
      </c>
      <c r="Y52">
        <f>IF(Backend!Z79="", "", Backend!Z79)</f>
        <v>-0.13164048</v>
      </c>
      <c r="Z52">
        <f>IF(Backend!AA79="", "", Backend!AA79)</f>
        <v>0.46506570000000003</v>
      </c>
      <c r="AA52">
        <f>IF(Backend!AB79="", "", Backend!AB79)</f>
        <v>0.49007582999999999</v>
      </c>
      <c r="AB52">
        <f>IF(Backend!AC79="", "", Backend!AC79)</f>
        <v>0.5865011</v>
      </c>
      <c r="AC52">
        <f>IF(Backend!AD79="", "", Backend!AD79)</f>
        <v>0.55658410000000003</v>
      </c>
      <c r="AD52">
        <f>IF(Backend!AE79="", "", Backend!AE79)</f>
        <v>0.53633489999999995</v>
      </c>
      <c r="AE52">
        <f>IF(Backend!AF79="", "", Backend!AF79)</f>
        <v>0.32972362999999999</v>
      </c>
      <c r="AF52">
        <f>IF(Backend!AG79="", "", Backend!AG79)</f>
        <v>0.33431432</v>
      </c>
      <c r="AG52">
        <f>IF(Backend!AH79="", "", Backend!AH79)</f>
        <v>0.13598149000000001</v>
      </c>
      <c r="AH52">
        <f>IF(Backend!AI79="", "", Backend!AI79)</f>
        <v>-0.34036368</v>
      </c>
      <c r="AI52">
        <f>IF(Backend!AJ79="", "", Backend!AJ79)</f>
        <v>0.17904265</v>
      </c>
      <c r="AJ52">
        <f>IF(Backend!AK79="", "", Backend!AK79)</f>
        <v>-0.3627416</v>
      </c>
      <c r="AK52">
        <f>IF(Backend!AL79="", "", Backend!AL79)</f>
        <v>0.36481156999999997</v>
      </c>
      <c r="AL52">
        <f>IF(Backend!AM79="", "", Backend!AM79)</f>
        <v>0.39853072</v>
      </c>
      <c r="AM52">
        <f>IF(Backend!AN79="", "", Backend!AN79)</f>
        <v>0.21741779</v>
      </c>
      <c r="AN52">
        <f>IF(Backend!AO79="", "", Backend!AO79)</f>
        <v>0.52172536000000003</v>
      </c>
      <c r="AO52">
        <f>IF(Backend!AP79="", "", Backend!AP79)</f>
        <v>0.44774114999999998</v>
      </c>
      <c r="AP52">
        <f>IF(Backend!AQ79="", "", Backend!AQ79)</f>
        <v>0.53239250000000005</v>
      </c>
      <c r="AQ52">
        <f>IF(Backend!AR79="", "", Backend!AR79)</f>
        <v>0.21646288</v>
      </c>
      <c r="AR52">
        <f>IF(Backend!AS79="", "", Backend!AS79)</f>
        <v>0.31576270000000001</v>
      </c>
      <c r="AS52">
        <f>IF(Backend!AT79="", "", Backend!AT79)</f>
        <v>-0.13727887</v>
      </c>
      <c r="AT52">
        <f>IF(Backend!AU79="", "", Backend!AU79)</f>
        <v>-0.17465422</v>
      </c>
      <c r="AU52">
        <f>IF(Backend!AV79="", "", Backend!AV79)</f>
        <v>-0.36101686999999999</v>
      </c>
      <c r="AV52">
        <f>IF(Backend!AW79="", "", Backend!AW79)</f>
        <v>0.34070662000000002</v>
      </c>
      <c r="AW52">
        <f>IF(Backend!AX79="", "", Backend!AX79)</f>
        <v>0.49615072999999998</v>
      </c>
      <c r="AX52">
        <f>IF(Backend!AY79="", "", Backend!AY79)</f>
        <v>1</v>
      </c>
      <c r="AY52">
        <f>IF(Backend!AZ79="", "", Backend!AZ79)</f>
        <v>0.11424966</v>
      </c>
      <c r="AZ52">
        <f>IF(Backend!BA79="", "", Backend!BA79)</f>
        <v>0.34015580000000001</v>
      </c>
      <c r="BA52">
        <f>IF(Backend!BB79="", "", Backend!BB79)</f>
        <v>0.10060946</v>
      </c>
      <c r="BB52">
        <f>IF(Backend!BC79="", "", Backend!BC79)</f>
        <v>0.11136108</v>
      </c>
      <c r="BC52">
        <f>IF(Backend!BD79="", "", Backend!BD79)</f>
        <v>0.19720370000000001</v>
      </c>
      <c r="BD52">
        <f>IF(Backend!BE79="", "", Backend!BE79)</f>
        <v>0.3534967</v>
      </c>
      <c r="BE52">
        <f>IF(Backend!BF79="", "", Backend!BF79)</f>
        <v>0.37759401999999997</v>
      </c>
      <c r="BF52">
        <f>IF(Backend!BG79="", "", Backend!BG79)</f>
        <v>0.26573091999999998</v>
      </c>
      <c r="BG52">
        <f>IF(Backend!BH79="", "", Backend!BH79)</f>
        <v>0.26096609999999998</v>
      </c>
      <c r="BH52">
        <f>IF(Backend!BI79="", "", Backend!BI79)</f>
        <v>0.52931463999999995</v>
      </c>
      <c r="BI52" t="str">
        <f>IF(Backend!BJ79="", "", Backend!BJ79)</f>
        <v/>
      </c>
      <c r="BJ52" t="str">
        <f>IF(Backend!BK79="", "", Backend!BK79)</f>
        <v/>
      </c>
      <c r="BK52" t="str">
        <f>IF(Backend!BL79="", "", Backend!BL79)</f>
        <v/>
      </c>
      <c r="BL52" t="str">
        <f>IF(Backend!BM79="", "", Backend!BM79)</f>
        <v/>
      </c>
      <c r="BM52" t="str">
        <f>IF(Backend!BN79="", "", Backend!BN79)</f>
        <v/>
      </c>
      <c r="BN52" t="str">
        <f>IF(Backend!BO79="", "", Backend!BO79)</f>
        <v/>
      </c>
      <c r="BO52" t="str">
        <f>IF(Backend!BP79="", "", Backend!BP79)</f>
        <v/>
      </c>
      <c r="BP52" t="str">
        <f>IF(Backend!BQ79="", "", Backend!BQ79)</f>
        <v/>
      </c>
      <c r="BQ52" t="str">
        <f>IF(Backend!BR79="", "", Backend!BR79)</f>
        <v/>
      </c>
      <c r="BR52" t="str">
        <f>IF(Backend!BS79="", "", Backend!BS79)</f>
        <v/>
      </c>
      <c r="BS52" t="str">
        <f>IF(Backend!BT79="", "", Backend!BT79)</f>
        <v/>
      </c>
      <c r="BT52" t="str">
        <f>IF(Backend!BU79="", "", Backend!BU79)</f>
        <v/>
      </c>
      <c r="BU52" t="str">
        <f>IF(Backend!BV79="", "", Backend!BV79)</f>
        <v/>
      </c>
      <c r="BV52" t="str">
        <f>IF(Backend!BW79="", "", Backend!BW79)</f>
        <v/>
      </c>
      <c r="BW52" t="str">
        <f>IF(Backend!BX79="", "", Backend!BX79)</f>
        <v/>
      </c>
      <c r="BX52" t="str">
        <f>IF(Backend!BY79="", "", Backend!BY79)</f>
        <v/>
      </c>
      <c r="BY52" t="str">
        <f>IF(Backend!BZ79="", "", Backend!BZ79)</f>
        <v/>
      </c>
      <c r="BZ52" t="str">
        <f>IF(Backend!CA79="", "", Backend!CA79)</f>
        <v/>
      </c>
      <c r="CA52" t="str">
        <f>IF(Backend!CB79="", "", Backend!CB79)</f>
        <v/>
      </c>
      <c r="CB52" t="str">
        <f>IF(Backend!CC79="", "", Backend!CC79)</f>
        <v/>
      </c>
      <c r="CC52" t="str">
        <f>IF(Backend!CD79="", "", Backend!CD79)</f>
        <v/>
      </c>
    </row>
    <row r="53" spans="1:81" x14ac:dyDescent="0.25">
      <c r="A53" s="4" t="str">
        <f>IF(Backend!A80="", "", Backend!A80)</f>
        <v>TOKAI RIKA CO., LTD.</v>
      </c>
      <c r="B53">
        <f>IF(Backend!C80="", "", Backend!C80)</f>
        <v>0.42899652999999999</v>
      </c>
      <c r="C53">
        <f>IF(Backend!D80="", "", Backend!D80)</f>
        <v>-0.11696875</v>
      </c>
      <c r="D53">
        <f>IF(Backend!E80="", "", Backend!E80)</f>
        <v>8.2428689999999999E-2</v>
      </c>
      <c r="E53">
        <f>IF(Backend!F80="", "", Backend!F80)</f>
        <v>0.13725436999999999</v>
      </c>
      <c r="F53">
        <f>IF(Backend!G80="", "", Backend!G80)</f>
        <v>0.36368792999999999</v>
      </c>
      <c r="G53">
        <f>IF(Backend!H80="", "", Backend!H80)</f>
        <v>9.3999155000000001E-2</v>
      </c>
      <c r="H53">
        <f>IF(Backend!I80="", "", Backend!I80)</f>
        <v>0.44678030000000002</v>
      </c>
      <c r="I53">
        <f>IF(Backend!J80="", "", Backend!J80)</f>
        <v>-0.24686599000000001</v>
      </c>
      <c r="J53">
        <f>IF(Backend!K80="", "", Backend!K80)</f>
        <v>-0.57697390000000004</v>
      </c>
      <c r="K53">
        <f>IF(Backend!L80="", "", Backend!L80)</f>
        <v>0.27583407999999998</v>
      </c>
      <c r="L53">
        <f>IF(Backend!M80="", "", Backend!M80)</f>
        <v>-6.7703009999999994E-2</v>
      </c>
      <c r="M53">
        <f>IF(Backend!N80="", "", Backend!N80)</f>
        <v>-8.5293859999999999E-2</v>
      </c>
      <c r="N53">
        <f>IF(Backend!O80="", "", Backend!O80)</f>
        <v>0.60178399999999999</v>
      </c>
      <c r="O53">
        <f>IF(Backend!P80="", "", Backend!P80)</f>
        <v>-0.30643167999999998</v>
      </c>
      <c r="P53">
        <f>IF(Backend!Q80="", "", Backend!Q80)</f>
        <v>0.22415851000000001</v>
      </c>
      <c r="Q53">
        <f>IF(Backend!R80="", "", Backend!R80)</f>
        <v>0.21435425999999999</v>
      </c>
      <c r="R53">
        <f>IF(Backend!S80="", "", Backend!S80)</f>
        <v>0.30823344000000003</v>
      </c>
      <c r="S53">
        <f>IF(Backend!T80="", "", Backend!T80)</f>
        <v>-0.42181150000000001</v>
      </c>
      <c r="T53">
        <f>IF(Backend!U80="", "", Backend!U80)</f>
        <v>0.56774159999999996</v>
      </c>
      <c r="U53">
        <f>IF(Backend!V80="", "", Backend!V80)</f>
        <v>0.30469328000000001</v>
      </c>
      <c r="V53">
        <f>IF(Backend!W80="", "", Backend!W80)</f>
        <v>0.36295483000000001</v>
      </c>
      <c r="W53">
        <f>IF(Backend!X80="", "", Backend!X80)</f>
        <v>0.3622784</v>
      </c>
      <c r="X53">
        <f>IF(Backend!Y80="", "", Backend!Y80)</f>
        <v>3.7115566000000003E-2</v>
      </c>
      <c r="Y53">
        <f>IF(Backend!Z80="", "", Backend!Z80)</f>
        <v>0.30786449999999999</v>
      </c>
      <c r="Z53">
        <f>IF(Backend!AA80="", "", Backend!AA80)</f>
        <v>-0.3405012</v>
      </c>
      <c r="AA53">
        <f>IF(Backend!AB80="", "", Backend!AB80)</f>
        <v>0.13131090000000001</v>
      </c>
      <c r="AB53">
        <f>IF(Backend!AC80="", "", Backend!AC80)</f>
        <v>-9.9904199999999999E-2</v>
      </c>
      <c r="AC53">
        <f>IF(Backend!AD80="", "", Backend!AD80)</f>
        <v>-0.29481098</v>
      </c>
      <c r="AD53">
        <f>IF(Backend!AE80="", "", Backend!AE80)</f>
        <v>-1.9934147999999999E-2</v>
      </c>
      <c r="AE53">
        <f>IF(Backend!AF80="", "", Backend!AF80)</f>
        <v>0.68200749999999999</v>
      </c>
      <c r="AF53">
        <f>IF(Backend!AG80="", "", Backend!AG80)</f>
        <v>0.34336707</v>
      </c>
      <c r="AG53">
        <f>IF(Backend!AH80="", "", Backend!AH80)</f>
        <v>4.7709778000000001E-2</v>
      </c>
      <c r="AH53">
        <f>IF(Backend!AI80="", "", Backend!AI80)</f>
        <v>0.24084133999999999</v>
      </c>
      <c r="AI53">
        <f>IF(Backend!AJ80="", "", Backend!AJ80)</f>
        <v>-0.15841791</v>
      </c>
      <c r="AJ53">
        <f>IF(Backend!AK80="", "", Backend!AK80)</f>
        <v>0.52263519999999997</v>
      </c>
      <c r="AK53">
        <f>IF(Backend!AL80="", "", Backend!AL80)</f>
        <v>-0.5302692</v>
      </c>
      <c r="AL53">
        <f>IF(Backend!AM80="", "", Backend!AM80)</f>
        <v>0.13237642999999999</v>
      </c>
      <c r="AM53">
        <f>IF(Backend!AN80="", "", Backend!AN80)</f>
        <v>2.4925218999999998E-2</v>
      </c>
      <c r="AN53">
        <f>IF(Backend!AO80="", "", Backend!AO80)</f>
        <v>0.12062522000000001</v>
      </c>
      <c r="AO53">
        <f>IF(Backend!AP80="", "", Backend!AP80)</f>
        <v>0.12923783</v>
      </c>
      <c r="AP53">
        <f>IF(Backend!AQ80="", "", Backend!AQ80)</f>
        <v>0.37255423999999998</v>
      </c>
      <c r="AQ53">
        <f>IF(Backend!AR80="", "", Backend!AR80)</f>
        <v>0.16449331</v>
      </c>
      <c r="AR53">
        <f>IF(Backend!AS80="", "", Backend!AS80)</f>
        <v>7.5917419999999999E-2</v>
      </c>
      <c r="AS53">
        <f>IF(Backend!AT80="", "", Backend!AT80)</f>
        <v>0.36337984000000001</v>
      </c>
      <c r="AT53">
        <f>IF(Backend!AU80="", "", Backend!AU80)</f>
        <v>0.45778550000000001</v>
      </c>
      <c r="AU53">
        <f>IF(Backend!AV80="", "", Backend!AV80)</f>
        <v>0.32296960000000002</v>
      </c>
      <c r="AV53">
        <f>IF(Backend!AW80="", "", Backend!AW80)</f>
        <v>0.30014010000000002</v>
      </c>
      <c r="AW53">
        <f>IF(Backend!AX80="", "", Backend!AX80)</f>
        <v>-8.6379830000000005E-2</v>
      </c>
      <c r="AX53">
        <f>IF(Backend!AY80="", "", Backend!AY80)</f>
        <v>0.11424966</v>
      </c>
      <c r="AY53">
        <f>IF(Backend!AZ80="", "", Backend!AZ80)</f>
        <v>1</v>
      </c>
      <c r="AZ53">
        <f>IF(Backend!BA80="", "", Backend!BA80)</f>
        <v>-1.9390803000000002E-2</v>
      </c>
      <c r="BA53">
        <f>IF(Backend!BB80="", "", Backend!BB80)</f>
        <v>0.24734155999999999</v>
      </c>
      <c r="BB53">
        <f>IF(Backend!BC80="", "", Backend!BC80)</f>
        <v>0.29715239999999998</v>
      </c>
      <c r="BC53">
        <f>IF(Backend!BD80="", "", Backend!BD80)</f>
        <v>9.3029730000000005E-2</v>
      </c>
      <c r="BD53">
        <f>IF(Backend!BE80="", "", Backend!BE80)</f>
        <v>0.33139183999999999</v>
      </c>
      <c r="BE53">
        <f>IF(Backend!BF80="", "", Backend!BF80)</f>
        <v>-3.5203489999999997E-2</v>
      </c>
      <c r="BF53">
        <f>IF(Backend!BG80="", "", Backend!BG80)</f>
        <v>0.14710154</v>
      </c>
      <c r="BG53">
        <f>IF(Backend!BH80="", "", Backend!BH80)</f>
        <v>-8.2693950000000006E-3</v>
      </c>
      <c r="BH53">
        <f>IF(Backend!BI80="", "", Backend!BI80)</f>
        <v>-0.13407253</v>
      </c>
      <c r="BI53" t="str">
        <f>IF(Backend!BJ80="", "", Backend!BJ80)</f>
        <v/>
      </c>
      <c r="BJ53" t="str">
        <f>IF(Backend!BK80="", "", Backend!BK80)</f>
        <v/>
      </c>
      <c r="BK53" t="str">
        <f>IF(Backend!BL80="", "", Backend!BL80)</f>
        <v/>
      </c>
      <c r="BL53" t="str">
        <f>IF(Backend!BM80="", "", Backend!BM80)</f>
        <v/>
      </c>
      <c r="BM53" t="str">
        <f>IF(Backend!BN80="", "", Backend!BN80)</f>
        <v/>
      </c>
      <c r="BN53" t="str">
        <f>IF(Backend!BO80="", "", Backend!BO80)</f>
        <v/>
      </c>
      <c r="BO53" t="str">
        <f>IF(Backend!BP80="", "", Backend!BP80)</f>
        <v/>
      </c>
      <c r="BP53" t="str">
        <f>IF(Backend!BQ80="", "", Backend!BQ80)</f>
        <v/>
      </c>
      <c r="BQ53" t="str">
        <f>IF(Backend!BR80="", "", Backend!BR80)</f>
        <v/>
      </c>
      <c r="BR53" t="str">
        <f>IF(Backend!BS80="", "", Backend!BS80)</f>
        <v/>
      </c>
      <c r="BS53" t="str">
        <f>IF(Backend!BT80="", "", Backend!BT80)</f>
        <v/>
      </c>
      <c r="BT53" t="str">
        <f>IF(Backend!BU80="", "", Backend!BU80)</f>
        <v/>
      </c>
      <c r="BU53" t="str">
        <f>IF(Backend!BV80="", "", Backend!BV80)</f>
        <v/>
      </c>
      <c r="BV53" t="str">
        <f>IF(Backend!BW80="", "", Backend!BW80)</f>
        <v/>
      </c>
      <c r="BW53" t="str">
        <f>IF(Backend!BX80="", "", Backend!BX80)</f>
        <v/>
      </c>
      <c r="BX53" t="str">
        <f>IF(Backend!BY80="", "", Backend!BY80)</f>
        <v/>
      </c>
      <c r="BY53" t="str">
        <f>IF(Backend!BZ80="", "", Backend!BZ80)</f>
        <v/>
      </c>
      <c r="BZ53" t="str">
        <f>IF(Backend!CA80="", "", Backend!CA80)</f>
        <v/>
      </c>
      <c r="CA53" t="str">
        <f>IF(Backend!CB80="", "", Backend!CB80)</f>
        <v/>
      </c>
      <c r="CB53" t="str">
        <f>IF(Backend!CC80="", "", Backend!CC80)</f>
        <v/>
      </c>
      <c r="CC53" t="str">
        <f>IF(Backend!CD80="", "", Backend!CD80)</f>
        <v/>
      </c>
    </row>
    <row r="54" spans="1:81" x14ac:dyDescent="0.25">
      <c r="A54" s="4" t="str">
        <f>IF(Backend!A81="", "", Backend!A81)</f>
        <v>Valterra Platinum Limited</v>
      </c>
      <c r="B54">
        <f>IF(Backend!C81="", "", Backend!C81)</f>
        <v>0.64714676000000004</v>
      </c>
      <c r="C54">
        <f>IF(Backend!D81="", "", Backend!D81)</f>
        <v>0.87337940000000003</v>
      </c>
      <c r="D54">
        <f>IF(Backend!E81="", "", Backend!E81)</f>
        <v>0.87604742999999996</v>
      </c>
      <c r="E54">
        <f>IF(Backend!F81="", "", Backend!F81)</f>
        <v>0.79699796000000001</v>
      </c>
      <c r="F54">
        <f>IF(Backend!G81="", "", Backend!G81)</f>
        <v>0.47626944999999998</v>
      </c>
      <c r="G54">
        <f>IF(Backend!H81="", "", Backend!H81)</f>
        <v>0.71439680000000005</v>
      </c>
      <c r="H54">
        <f>IF(Backend!I81="", "", Backend!I81)</f>
        <v>0.65570709999999999</v>
      </c>
      <c r="I54">
        <f>IF(Backend!J81="", "", Backend!J81)</f>
        <v>0.77659255000000005</v>
      </c>
      <c r="J54">
        <f>IF(Backend!K81="", "", Backend!K81)</f>
        <v>0.59897553999999997</v>
      </c>
      <c r="K54">
        <f>IF(Backend!L81="", "", Backend!L81)</f>
        <v>0.46951725999999999</v>
      </c>
      <c r="L54">
        <f>IF(Backend!M81="", "", Backend!M81)</f>
        <v>0.61610323</v>
      </c>
      <c r="M54">
        <f>IF(Backend!N81="", "", Backend!N81)</f>
        <v>0.62226749999999997</v>
      </c>
      <c r="N54">
        <f>IF(Backend!O81="", "", Backend!O81)</f>
        <v>0.54511577</v>
      </c>
      <c r="O54">
        <f>IF(Backend!P81="", "", Backend!P81)</f>
        <v>0.66613069999999996</v>
      </c>
      <c r="P54">
        <f>IF(Backend!Q81="", "", Backend!Q81)</f>
        <v>-0.47883249999999999</v>
      </c>
      <c r="Q54">
        <f>IF(Backend!R81="", "", Backend!R81)</f>
        <v>0.27927711999999999</v>
      </c>
      <c r="R54">
        <f>IF(Backend!S81="", "", Backend!S81)</f>
        <v>0.8376209</v>
      </c>
      <c r="S54">
        <f>IF(Backend!T81="", "", Backend!T81)</f>
        <v>-0.25985649999999999</v>
      </c>
      <c r="T54">
        <f>IF(Backend!U81="", "", Backend!U81)</f>
        <v>0.38306105000000001</v>
      </c>
      <c r="U54">
        <f>IF(Backend!V81="", "", Backend!V81)</f>
        <v>-0.40779045000000003</v>
      </c>
      <c r="V54">
        <f>IF(Backend!W81="", "", Backend!W81)</f>
        <v>0.73512244000000004</v>
      </c>
      <c r="W54">
        <f>IF(Backend!X81="", "", Backend!X81)</f>
        <v>-0.27563989999999999</v>
      </c>
      <c r="X54">
        <f>IF(Backend!Y81="", "", Backend!Y81)</f>
        <v>0.78449904999999998</v>
      </c>
      <c r="Y54">
        <f>IF(Backend!Z81="", "", Backend!Z81)</f>
        <v>-0.32674855000000003</v>
      </c>
      <c r="Z54">
        <f>IF(Backend!AA81="", "", Backend!AA81)</f>
        <v>0.55373912999999997</v>
      </c>
      <c r="AA54">
        <f>IF(Backend!AB81="", "", Backend!AB81)</f>
        <v>0.71342415000000003</v>
      </c>
      <c r="AB54">
        <f>IF(Backend!AC81="", "", Backend!AC81)</f>
        <v>0.39232850000000002</v>
      </c>
      <c r="AC54">
        <f>IF(Backend!AD81="", "", Backend!AD81)</f>
        <v>0.56712450000000003</v>
      </c>
      <c r="AD54">
        <f>IF(Backend!AE81="", "", Backend!AE81)</f>
        <v>0.72718479999999996</v>
      </c>
      <c r="AE54">
        <f>IF(Backend!AF81="", "", Backend!AF81)</f>
        <v>0.48139858000000002</v>
      </c>
      <c r="AF54">
        <f>IF(Backend!AG81="", "", Backend!AG81)</f>
        <v>0.64952330000000003</v>
      </c>
      <c r="AG54">
        <f>IF(Backend!AH81="", "", Backend!AH81)</f>
        <v>-0.4995095</v>
      </c>
      <c r="AH54">
        <f>IF(Backend!AI81="", "", Backend!AI81)</f>
        <v>-0.43264585999999999</v>
      </c>
      <c r="AI54">
        <f>IF(Backend!AJ81="", "", Backend!AJ81)</f>
        <v>-0.21986665999999999</v>
      </c>
      <c r="AJ54">
        <f>IF(Backend!AK81="", "", Backend!AK81)</f>
        <v>-0.32493450000000001</v>
      </c>
      <c r="AK54">
        <f>IF(Backend!AL81="", "", Backend!AL81)</f>
        <v>0.74111139999999998</v>
      </c>
      <c r="AL54">
        <f>IF(Backend!AM81="", "", Backend!AM81)</f>
        <v>0.74582446000000002</v>
      </c>
      <c r="AM54">
        <f>IF(Backend!AN81="", "", Backend!AN81)</f>
        <v>-0.28013775000000002</v>
      </c>
      <c r="AN54">
        <f>IF(Backend!AO81="", "", Backend!AO81)</f>
        <v>0.7047078</v>
      </c>
      <c r="AO54">
        <f>IF(Backend!AP81="", "", Backend!AP81)</f>
        <v>0.80286259999999998</v>
      </c>
      <c r="AP54">
        <f>IF(Backend!AQ81="", "", Backend!AQ81)</f>
        <v>0.75393410000000005</v>
      </c>
      <c r="AQ54">
        <f>IF(Backend!AR81="", "", Backend!AR81)</f>
        <v>-4.3807430000000001E-2</v>
      </c>
      <c r="AR54">
        <f>IF(Backend!AS81="", "", Backend!AS81)</f>
        <v>0.77763545999999995</v>
      </c>
      <c r="AS54">
        <f>IF(Backend!AT81="", "", Backend!AT81)</f>
        <v>-0.12808386999999999</v>
      </c>
      <c r="AT54">
        <f>IF(Backend!AU81="", "", Backend!AU81)</f>
        <v>-9.3256229999999996E-2</v>
      </c>
      <c r="AU54">
        <f>IF(Backend!AV81="", "", Backend!AV81)</f>
        <v>-0.49913849999999998</v>
      </c>
      <c r="AV54">
        <f>IF(Backend!AW81="", "", Backend!AW81)</f>
        <v>0.77260523999999997</v>
      </c>
      <c r="AW54">
        <f>IF(Backend!AX81="", "", Backend!AX81)</f>
        <v>0.57892655999999998</v>
      </c>
      <c r="AX54">
        <f>IF(Backend!AY81="", "", Backend!AY81)</f>
        <v>0.34015580000000001</v>
      </c>
      <c r="AY54">
        <f>IF(Backend!AZ81="", "", Backend!AZ81)</f>
        <v>-1.9390803000000002E-2</v>
      </c>
      <c r="AZ54">
        <f>IF(Backend!BA81="", "", Backend!BA81)</f>
        <v>1</v>
      </c>
      <c r="BA54">
        <f>IF(Backend!BB81="", "", Backend!BB81)</f>
        <v>0.74782199999999999</v>
      </c>
      <c r="BB54">
        <f>IF(Backend!BC81="", "", Backend!BC81)</f>
        <v>0.49601840000000003</v>
      </c>
      <c r="BC54">
        <f>IF(Backend!BD81="", "", Backend!BD81)</f>
        <v>0.89631444000000005</v>
      </c>
      <c r="BD54">
        <f>IF(Backend!BE81="", "", Backend!BE81)</f>
        <v>0.75520050000000005</v>
      </c>
      <c r="BE54">
        <f>IF(Backend!BF81="", "", Backend!BF81)</f>
        <v>0.90704214999999999</v>
      </c>
      <c r="BF54">
        <f>IF(Backend!BG81="", "", Backend!BG81)</f>
        <v>0.79891699999999999</v>
      </c>
      <c r="BG54">
        <f>IF(Backend!BH81="", "", Backend!BH81)</f>
        <v>0.72800730000000002</v>
      </c>
      <c r="BH54">
        <f>IF(Backend!BI81="", "", Backend!BI81)</f>
        <v>0.67163059999999997</v>
      </c>
      <c r="BI54" t="str">
        <f>IF(Backend!BJ81="", "", Backend!BJ81)</f>
        <v/>
      </c>
      <c r="BJ54" t="str">
        <f>IF(Backend!BK81="", "", Backend!BK81)</f>
        <v/>
      </c>
      <c r="BK54" t="str">
        <f>IF(Backend!BL81="", "", Backend!BL81)</f>
        <v/>
      </c>
      <c r="BL54" t="str">
        <f>IF(Backend!BM81="", "", Backend!BM81)</f>
        <v/>
      </c>
      <c r="BM54" t="str">
        <f>IF(Backend!BN81="", "", Backend!BN81)</f>
        <v/>
      </c>
      <c r="BN54" t="str">
        <f>IF(Backend!BO81="", "", Backend!BO81)</f>
        <v/>
      </c>
      <c r="BO54" t="str">
        <f>IF(Backend!BP81="", "", Backend!BP81)</f>
        <v/>
      </c>
      <c r="BP54" t="str">
        <f>IF(Backend!BQ81="", "", Backend!BQ81)</f>
        <v/>
      </c>
      <c r="BQ54" t="str">
        <f>IF(Backend!BR81="", "", Backend!BR81)</f>
        <v/>
      </c>
      <c r="BR54" t="str">
        <f>IF(Backend!BS81="", "", Backend!BS81)</f>
        <v/>
      </c>
      <c r="BS54" t="str">
        <f>IF(Backend!BT81="", "", Backend!BT81)</f>
        <v/>
      </c>
      <c r="BT54" t="str">
        <f>IF(Backend!BU81="", "", Backend!BU81)</f>
        <v/>
      </c>
      <c r="BU54" t="str">
        <f>IF(Backend!BV81="", "", Backend!BV81)</f>
        <v/>
      </c>
      <c r="BV54" t="str">
        <f>IF(Backend!BW81="", "", Backend!BW81)</f>
        <v/>
      </c>
      <c r="BW54" t="str">
        <f>IF(Backend!BX81="", "", Backend!BX81)</f>
        <v/>
      </c>
      <c r="BX54" t="str">
        <f>IF(Backend!BY81="", "", Backend!BY81)</f>
        <v/>
      </c>
      <c r="BY54" t="str">
        <f>IF(Backend!BZ81="", "", Backend!BZ81)</f>
        <v/>
      </c>
      <c r="BZ54" t="str">
        <f>IF(Backend!CA81="", "", Backend!CA81)</f>
        <v/>
      </c>
      <c r="CA54" t="str">
        <f>IF(Backend!CB81="", "", Backend!CB81)</f>
        <v/>
      </c>
      <c r="CB54" t="str">
        <f>IF(Backend!CC81="", "", Backend!CC81)</f>
        <v/>
      </c>
      <c r="CC54" t="str">
        <f>IF(Backend!CD81="", "", Backend!CD81)</f>
        <v/>
      </c>
    </row>
    <row r="55" spans="1:81" x14ac:dyDescent="0.25">
      <c r="A55" s="4" t="str">
        <f>IF(Backend!A82="", "", Backend!A82)</f>
        <v>Verizon Communications Inc.</v>
      </c>
      <c r="B55">
        <f>IF(Backend!C82="", "", Backend!C82)</f>
        <v>0.74552799999999997</v>
      </c>
      <c r="C55">
        <f>IF(Backend!D82="", "", Backend!D82)</f>
        <v>0.62304384000000002</v>
      </c>
      <c r="D55">
        <f>IF(Backend!E82="", "", Backend!E82)</f>
        <v>0.87250819999999996</v>
      </c>
      <c r="E55">
        <f>IF(Backend!F82="", "", Backend!F82)</f>
        <v>0.66885846999999998</v>
      </c>
      <c r="F55">
        <f>IF(Backend!G82="", "", Backend!G82)</f>
        <v>0.70191570000000003</v>
      </c>
      <c r="G55">
        <f>IF(Backend!H82="", "", Backend!H82)</f>
        <v>0.56459992999999997</v>
      </c>
      <c r="H55">
        <f>IF(Backend!I82="", "", Backend!I82)</f>
        <v>0.81476519999999997</v>
      </c>
      <c r="I55">
        <f>IF(Backend!J82="", "", Backend!J82)</f>
        <v>0.47023204000000002</v>
      </c>
      <c r="J55">
        <f>IF(Backend!K82="", "", Backend!K82)</f>
        <v>0.25326467000000003</v>
      </c>
      <c r="K55">
        <f>IF(Backend!L82="", "", Backend!L82)</f>
        <v>0.55034125</v>
      </c>
      <c r="L55">
        <f>IF(Backend!M82="", "", Backend!M82)</f>
        <v>0.28456765000000001</v>
      </c>
      <c r="M55">
        <f>IF(Backend!N82="", "", Backend!N82)</f>
        <v>0.33347033999999998</v>
      </c>
      <c r="N55">
        <f>IF(Backend!O82="", "", Backend!O82)</f>
        <v>0.77343655</v>
      </c>
      <c r="O55">
        <f>IF(Backend!P82="", "", Backend!P82)</f>
        <v>0.40540025000000002</v>
      </c>
      <c r="P55">
        <f>IF(Backend!Q82="", "", Backend!Q82)</f>
        <v>-0.61225843000000002</v>
      </c>
      <c r="Q55">
        <f>IF(Backend!R82="", "", Backend!R82)</f>
        <v>0.36978966000000002</v>
      </c>
      <c r="R55">
        <f>IF(Backend!S82="", "", Backend!S82)</f>
        <v>0.81440436999999999</v>
      </c>
      <c r="S55">
        <f>IF(Backend!T82="", "", Backend!T82)</f>
        <v>-0.63249754999999996</v>
      </c>
      <c r="T55">
        <f>IF(Backend!U82="", "", Backend!U82)</f>
        <v>0.56476420000000005</v>
      </c>
      <c r="U55">
        <f>IF(Backend!V82="", "", Backend!V82)</f>
        <v>-0.37961903000000002</v>
      </c>
      <c r="V55">
        <f>IF(Backend!W82="", "", Backend!W82)</f>
        <v>0.70961890000000005</v>
      </c>
      <c r="W55">
        <f>IF(Backend!X82="", "", Backend!X82)</f>
        <v>7.6930714000000002E-3</v>
      </c>
      <c r="X55">
        <f>IF(Backend!Y82="", "", Backend!Y82)</f>
        <v>0.61306579999999999</v>
      </c>
      <c r="Y55">
        <f>IF(Backend!Z82="", "", Backend!Z82)</f>
        <v>-0.19851953</v>
      </c>
      <c r="Z55">
        <f>IF(Backend!AA82="", "", Backend!AA82)</f>
        <v>0.26511709999999999</v>
      </c>
      <c r="AA55">
        <f>IF(Backend!AB82="", "", Backend!AB82)</f>
        <v>0.55821889999999996</v>
      </c>
      <c r="AB55">
        <f>IF(Backend!AC82="", "", Backend!AC82)</f>
        <v>0.27512105999999997</v>
      </c>
      <c r="AC55">
        <f>IF(Backend!AD82="", "", Backend!AD82)</f>
        <v>0.21568754000000001</v>
      </c>
      <c r="AD55">
        <f>IF(Backend!AE82="", "", Backend!AE82)</f>
        <v>0.61001000000000005</v>
      </c>
      <c r="AE55">
        <f>IF(Backend!AF82="", "", Backend!AF82)</f>
        <v>0.68455874999999999</v>
      </c>
      <c r="AF55">
        <f>IF(Backend!AG82="", "", Backend!AG82)</f>
        <v>0.79622809999999999</v>
      </c>
      <c r="AG55">
        <f>IF(Backend!AH82="", "", Backend!AH82)</f>
        <v>-0.55220899999999995</v>
      </c>
      <c r="AH55">
        <f>IF(Backend!AI82="", "", Backend!AI82)</f>
        <v>-0.26578456</v>
      </c>
      <c r="AI55">
        <f>IF(Backend!AJ82="", "", Backend!AJ82)</f>
        <v>-0.34016057999999999</v>
      </c>
      <c r="AJ55">
        <f>IF(Backend!AK82="", "", Backend!AK82)</f>
        <v>2.3599431999999998E-3</v>
      </c>
      <c r="AK55">
        <f>IF(Backend!AL82="", "", Backend!AL82)</f>
        <v>0.38008999999999998</v>
      </c>
      <c r="AL55">
        <f>IF(Backend!AM82="", "", Backend!AM82)</f>
        <v>0.74041754000000004</v>
      </c>
      <c r="AM55">
        <f>IF(Backend!AN82="", "", Backend!AN82)</f>
        <v>-0.61051299999999997</v>
      </c>
      <c r="AN55">
        <f>IF(Backend!AO82="", "", Backend!AO82)</f>
        <v>0.45045874000000002</v>
      </c>
      <c r="AO55">
        <f>IF(Backend!AP82="", "", Backend!AP82)</f>
        <v>0.65136139999999998</v>
      </c>
      <c r="AP55">
        <f>IF(Backend!AQ82="", "", Backend!AQ82)</f>
        <v>0.74393069999999994</v>
      </c>
      <c r="AQ55">
        <f>IF(Backend!AR82="", "", Backend!AR82)</f>
        <v>5.4263723999999998E-3</v>
      </c>
      <c r="AR55">
        <f>IF(Backend!AS82="", "", Backend!AS82)</f>
        <v>0.64691275000000004</v>
      </c>
      <c r="AS55">
        <f>IF(Backend!AT82="", "", Backend!AT82)</f>
        <v>0.13782920000000001</v>
      </c>
      <c r="AT55">
        <f>IF(Backend!AU82="", "", Backend!AU82)</f>
        <v>-1.2836514E-2</v>
      </c>
      <c r="AU55">
        <f>IF(Backend!AV82="", "", Backend!AV82)</f>
        <v>-0.34688323999999998</v>
      </c>
      <c r="AV55">
        <f>IF(Backend!AW82="", "", Backend!AW82)</f>
        <v>0.87696403000000001</v>
      </c>
      <c r="AW55">
        <f>IF(Backend!AX82="", "", Backend!AX82)</f>
        <v>0.28237978000000002</v>
      </c>
      <c r="AX55">
        <f>IF(Backend!AY82="", "", Backend!AY82)</f>
        <v>0.10060946</v>
      </c>
      <c r="AY55">
        <f>IF(Backend!AZ82="", "", Backend!AZ82)</f>
        <v>0.24734155999999999</v>
      </c>
      <c r="AZ55">
        <f>IF(Backend!BA82="", "", Backend!BA82)</f>
        <v>0.74782199999999999</v>
      </c>
      <c r="BA55">
        <f>IF(Backend!BB82="", "", Backend!BB82)</f>
        <v>1</v>
      </c>
      <c r="BB55">
        <f>IF(Backend!BC82="", "", Backend!BC82)</f>
        <v>0.74775689999999995</v>
      </c>
      <c r="BC55">
        <f>IF(Backend!BD82="", "", Backend!BD82)</f>
        <v>0.88867956000000004</v>
      </c>
      <c r="BD55">
        <f>IF(Backend!BE82="", "", Backend!BE82)</f>
        <v>0.73425200000000002</v>
      </c>
      <c r="BE55">
        <f>IF(Backend!BF82="", "", Backend!BF82)</f>
        <v>0.65862732999999996</v>
      </c>
      <c r="BF55">
        <f>IF(Backend!BG82="", "", Backend!BG82)</f>
        <v>0.83739494999999997</v>
      </c>
      <c r="BG55">
        <f>IF(Backend!BH82="", "", Backend!BH82)</f>
        <v>0.72928035000000002</v>
      </c>
      <c r="BH55">
        <f>IF(Backend!BI82="", "", Backend!BI82)</f>
        <v>0.54967403000000004</v>
      </c>
      <c r="BI55" t="str">
        <f>IF(Backend!BJ82="", "", Backend!BJ82)</f>
        <v/>
      </c>
      <c r="BJ55" t="str">
        <f>IF(Backend!BK82="", "", Backend!BK82)</f>
        <v/>
      </c>
      <c r="BK55" t="str">
        <f>IF(Backend!BL82="", "", Backend!BL82)</f>
        <v/>
      </c>
      <c r="BL55" t="str">
        <f>IF(Backend!BM82="", "", Backend!BM82)</f>
        <v/>
      </c>
      <c r="BM55" t="str">
        <f>IF(Backend!BN82="", "", Backend!BN82)</f>
        <v/>
      </c>
      <c r="BN55" t="str">
        <f>IF(Backend!BO82="", "", Backend!BO82)</f>
        <v/>
      </c>
      <c r="BO55" t="str">
        <f>IF(Backend!BP82="", "", Backend!BP82)</f>
        <v/>
      </c>
      <c r="BP55" t="str">
        <f>IF(Backend!BQ82="", "", Backend!BQ82)</f>
        <v/>
      </c>
      <c r="BQ55" t="str">
        <f>IF(Backend!BR82="", "", Backend!BR82)</f>
        <v/>
      </c>
      <c r="BR55" t="str">
        <f>IF(Backend!BS82="", "", Backend!BS82)</f>
        <v/>
      </c>
      <c r="BS55" t="str">
        <f>IF(Backend!BT82="", "", Backend!BT82)</f>
        <v/>
      </c>
      <c r="BT55" t="str">
        <f>IF(Backend!BU82="", "", Backend!BU82)</f>
        <v/>
      </c>
      <c r="BU55" t="str">
        <f>IF(Backend!BV82="", "", Backend!BV82)</f>
        <v/>
      </c>
      <c r="BV55" t="str">
        <f>IF(Backend!BW82="", "", Backend!BW82)</f>
        <v/>
      </c>
      <c r="BW55" t="str">
        <f>IF(Backend!BX82="", "", Backend!BX82)</f>
        <v/>
      </c>
      <c r="BX55" t="str">
        <f>IF(Backend!BY82="", "", Backend!BY82)</f>
        <v/>
      </c>
      <c r="BY55" t="str">
        <f>IF(Backend!BZ82="", "", Backend!BZ82)</f>
        <v/>
      </c>
      <c r="BZ55" t="str">
        <f>IF(Backend!CA82="", "", Backend!CA82)</f>
        <v/>
      </c>
      <c r="CA55" t="str">
        <f>IF(Backend!CB82="", "", Backend!CB82)</f>
        <v/>
      </c>
      <c r="CB55" t="str">
        <f>IF(Backend!CC82="", "", Backend!CC82)</f>
        <v/>
      </c>
      <c r="CC55" t="str">
        <f>IF(Backend!CD82="", "", Backend!CD82)</f>
        <v/>
      </c>
    </row>
    <row r="56" spans="1:81" x14ac:dyDescent="0.25">
      <c r="A56" s="4" t="str">
        <f>IF(Backend!A83="", "", Backend!A83)</f>
        <v>Viatris, Inc.</v>
      </c>
      <c r="B56">
        <f>IF(Backend!C83="", "", Backend!C83)</f>
        <v>0.78674096000000004</v>
      </c>
      <c r="C56">
        <f>IF(Backend!D83="", "", Backend!D83)</f>
        <v>0.40130611999999999</v>
      </c>
      <c r="D56">
        <f>IF(Backend!E83="", "", Backend!E83)</f>
        <v>0.67870986</v>
      </c>
      <c r="E56">
        <f>IF(Backend!F83="", "", Backend!F83)</f>
        <v>0.65668225000000002</v>
      </c>
      <c r="F56">
        <f>IF(Backend!G83="", "", Backend!G83)</f>
        <v>0.75054604000000003</v>
      </c>
      <c r="G56">
        <f>IF(Backend!H83="", "", Backend!H83)</f>
        <v>0.50267225999999998</v>
      </c>
      <c r="H56">
        <f>IF(Backend!I83="", "", Backend!I83)</f>
        <v>0.81306129999999999</v>
      </c>
      <c r="I56">
        <f>IF(Backend!J83="", "", Backend!J83)</f>
        <v>0.39361026999999998</v>
      </c>
      <c r="J56">
        <f>IF(Backend!K83="", "", Backend!K83)</f>
        <v>0.16644450999999999</v>
      </c>
      <c r="K56">
        <f>IF(Backend!L83="", "", Backend!L83)</f>
        <v>0.12981219999999999</v>
      </c>
      <c r="L56">
        <f>IF(Backend!M83="", "", Backend!M83)</f>
        <v>0.34441787000000001</v>
      </c>
      <c r="M56">
        <f>IF(Backend!N83="", "", Backend!N83)</f>
        <v>0.30512357000000001</v>
      </c>
      <c r="N56">
        <f>IF(Backend!O83="", "", Backend!O83)</f>
        <v>0.73421395</v>
      </c>
      <c r="O56">
        <f>IF(Backend!P83="", "", Backend!P83)</f>
        <v>0.38572758000000001</v>
      </c>
      <c r="P56">
        <f>IF(Backend!Q83="", "", Backend!Q83)</f>
        <v>-0.51755910000000005</v>
      </c>
      <c r="Q56">
        <f>IF(Backend!R83="", "", Backend!R83)</f>
        <v>0.18282084000000001</v>
      </c>
      <c r="R56">
        <f>IF(Backend!S83="", "", Backend!S83)</f>
        <v>0.58148169999999999</v>
      </c>
      <c r="S56">
        <f>IF(Backend!T83="", "", Backend!T83)</f>
        <v>-0.39749879999999999</v>
      </c>
      <c r="T56">
        <f>IF(Backend!U83="", "", Backend!U83)</f>
        <v>0.57450690000000004</v>
      </c>
      <c r="U56">
        <f>IF(Backend!V83="", "", Backend!V83)</f>
        <v>-0.31086712999999999</v>
      </c>
      <c r="V56">
        <f>IF(Backend!W83="", "", Backend!W83)</f>
        <v>0.68427870000000002</v>
      </c>
      <c r="W56">
        <f>IF(Backend!X83="", "", Backend!X83)</f>
        <v>-0.17240638999999999</v>
      </c>
      <c r="X56">
        <f>IF(Backend!Y83="", "", Backend!Y83)</f>
        <v>0.61398565999999999</v>
      </c>
      <c r="Y56">
        <f>IF(Backend!Z83="", "", Backend!Z83)</f>
        <v>-0.36001346000000001</v>
      </c>
      <c r="Z56">
        <f>IF(Backend!AA83="", "", Backend!AA83)</f>
        <v>0.29135168</v>
      </c>
      <c r="AA56">
        <f>IF(Backend!AB83="", "", Backend!AB83)</f>
        <v>0.64392039999999995</v>
      </c>
      <c r="AB56">
        <f>IF(Backend!AC83="", "", Backend!AC83)</f>
        <v>0.44377480000000002</v>
      </c>
      <c r="AC56">
        <f>IF(Backend!AD83="", "", Backend!AD83)</f>
        <v>0.17354833</v>
      </c>
      <c r="AD56">
        <f>IF(Backend!AE83="", "", Backend!AE83)</f>
        <v>0.66125566000000002</v>
      </c>
      <c r="AE56">
        <f>IF(Backend!AF83="", "", Backend!AF83)</f>
        <v>0.58913079999999995</v>
      </c>
      <c r="AF56">
        <f>IF(Backend!AG83="", "", Backend!AG83)</f>
        <v>0.68580620000000003</v>
      </c>
      <c r="AG56">
        <f>IF(Backend!AH83="", "", Backend!AH83)</f>
        <v>-0.36654170000000003</v>
      </c>
      <c r="AH56">
        <f>IF(Backend!AI83="", "", Backend!AI83)</f>
        <v>-0.43264288000000001</v>
      </c>
      <c r="AI56">
        <f>IF(Backend!AJ83="", "", Backend!AJ83)</f>
        <v>-0.42963845000000001</v>
      </c>
      <c r="AJ56">
        <f>IF(Backend!AK83="", "", Backend!AK83)</f>
        <v>-0.21473408999999999</v>
      </c>
      <c r="AK56">
        <f>IF(Backend!AL83="", "", Backend!AL83)</f>
        <v>0.26369488000000002</v>
      </c>
      <c r="AL56">
        <f>IF(Backend!AM83="", "", Backend!AM83)</f>
        <v>0.75016210000000005</v>
      </c>
      <c r="AM56">
        <f>IF(Backend!AN83="", "", Backend!AN83)</f>
        <v>-0.50277822999999999</v>
      </c>
      <c r="AN56">
        <f>IF(Backend!AO83="", "", Backend!AO83)</f>
        <v>0.51477519999999999</v>
      </c>
      <c r="AO56">
        <f>IF(Backend!AP83="", "", Backend!AP83)</f>
        <v>0.55109965999999999</v>
      </c>
      <c r="AP56">
        <f>IF(Backend!AQ83="", "", Backend!AQ83)</f>
        <v>0.70627070000000003</v>
      </c>
      <c r="AQ56">
        <f>IF(Backend!AR83="", "", Backend!AR83)</f>
        <v>-4.2555623000000001E-2</v>
      </c>
      <c r="AR56">
        <f>IF(Backend!AS83="", "", Backend!AS83)</f>
        <v>0.43615785000000001</v>
      </c>
      <c r="AS56">
        <f>IF(Backend!AT83="", "", Backend!AT83)</f>
        <v>-4.0916525000000002E-2</v>
      </c>
      <c r="AT56">
        <f>IF(Backend!AU83="", "", Backend!AU83)</f>
        <v>-0.27498763999999998</v>
      </c>
      <c r="AU56">
        <f>IF(Backend!AV83="", "", Backend!AV83)</f>
        <v>-0.45502225000000002</v>
      </c>
      <c r="AV56">
        <f>IF(Backend!AW83="", "", Backend!AW83)</f>
        <v>0.80965330000000002</v>
      </c>
      <c r="AW56">
        <f>IF(Backend!AX83="", "", Backend!AX83)</f>
        <v>0.41234142000000001</v>
      </c>
      <c r="AX56">
        <f>IF(Backend!AY83="", "", Backend!AY83)</f>
        <v>0.11136108</v>
      </c>
      <c r="AY56">
        <f>IF(Backend!AZ83="", "", Backend!AZ83)</f>
        <v>0.29715239999999998</v>
      </c>
      <c r="AZ56">
        <f>IF(Backend!BA83="", "", Backend!BA83)</f>
        <v>0.49601840000000003</v>
      </c>
      <c r="BA56">
        <f>IF(Backend!BB83="", "", Backend!BB83)</f>
        <v>0.74775689999999995</v>
      </c>
      <c r="BB56">
        <f>IF(Backend!BC83="", "", Backend!BC83)</f>
        <v>1</v>
      </c>
      <c r="BC56">
        <f>IF(Backend!BD83="", "", Backend!BD83)</f>
        <v>0.66860235000000001</v>
      </c>
      <c r="BD56">
        <f>IF(Backend!BE83="", "", Backend!BE83)</f>
        <v>0.67726489999999995</v>
      </c>
      <c r="BE56">
        <f>IF(Backend!BF83="", "", Backend!BF83)</f>
        <v>0.56095165000000002</v>
      </c>
      <c r="BF56">
        <f>IF(Backend!BG83="", "", Backend!BG83)</f>
        <v>0.77575709999999998</v>
      </c>
      <c r="BG56">
        <f>IF(Backend!BH83="", "", Backend!BH83)</f>
        <v>0.51513945999999999</v>
      </c>
      <c r="BH56">
        <f>IF(Backend!BI83="", "", Backend!BI83)</f>
        <v>0.58873295999999997</v>
      </c>
      <c r="BI56" t="str">
        <f>IF(Backend!BJ83="", "", Backend!BJ83)</f>
        <v/>
      </c>
      <c r="BJ56" t="str">
        <f>IF(Backend!BK83="", "", Backend!BK83)</f>
        <v/>
      </c>
      <c r="BK56" t="str">
        <f>IF(Backend!BL83="", "", Backend!BL83)</f>
        <v/>
      </c>
      <c r="BL56" t="str">
        <f>IF(Backend!BM83="", "", Backend!BM83)</f>
        <v/>
      </c>
      <c r="BM56" t="str">
        <f>IF(Backend!BN83="", "", Backend!BN83)</f>
        <v/>
      </c>
      <c r="BN56" t="str">
        <f>IF(Backend!BO83="", "", Backend!BO83)</f>
        <v/>
      </c>
      <c r="BO56" t="str">
        <f>IF(Backend!BP83="", "", Backend!BP83)</f>
        <v/>
      </c>
      <c r="BP56" t="str">
        <f>IF(Backend!BQ83="", "", Backend!BQ83)</f>
        <v/>
      </c>
      <c r="BQ56" t="str">
        <f>IF(Backend!BR83="", "", Backend!BR83)</f>
        <v/>
      </c>
      <c r="BR56" t="str">
        <f>IF(Backend!BS83="", "", Backend!BS83)</f>
        <v/>
      </c>
      <c r="BS56" t="str">
        <f>IF(Backend!BT83="", "", Backend!BT83)</f>
        <v/>
      </c>
      <c r="BT56" t="str">
        <f>IF(Backend!BU83="", "", Backend!BU83)</f>
        <v/>
      </c>
      <c r="BU56" t="str">
        <f>IF(Backend!BV83="", "", Backend!BV83)</f>
        <v/>
      </c>
      <c r="BV56" t="str">
        <f>IF(Backend!BW83="", "", Backend!BW83)</f>
        <v/>
      </c>
      <c r="BW56" t="str">
        <f>IF(Backend!BX83="", "", Backend!BX83)</f>
        <v/>
      </c>
      <c r="BX56" t="str">
        <f>IF(Backend!BY83="", "", Backend!BY83)</f>
        <v/>
      </c>
      <c r="BY56" t="str">
        <f>IF(Backend!BZ83="", "", Backend!BZ83)</f>
        <v/>
      </c>
      <c r="BZ56" t="str">
        <f>IF(Backend!CA83="", "", Backend!CA83)</f>
        <v/>
      </c>
      <c r="CA56" t="str">
        <f>IF(Backend!CB83="", "", Backend!CB83)</f>
        <v/>
      </c>
      <c r="CB56" t="str">
        <f>IF(Backend!CC83="", "", Backend!CC83)</f>
        <v/>
      </c>
      <c r="CC56" t="str">
        <f>IF(Backend!CD83="", "", Backend!CD83)</f>
        <v/>
      </c>
    </row>
    <row r="57" spans="1:81" x14ac:dyDescent="0.25">
      <c r="A57" s="4" t="str">
        <f>IF(Backend!A84="", "", Backend!A84)</f>
        <v>Vodafone Group Public Limited Company</v>
      </c>
      <c r="B57">
        <f>IF(Backend!C84="", "", Backend!C84)</f>
        <v>0.76571639999999996</v>
      </c>
      <c r="C57">
        <f>IF(Backend!D84="", "", Backend!D84)</f>
        <v>0.75878120000000004</v>
      </c>
      <c r="D57">
        <f>IF(Backend!E84="", "", Backend!E84)</f>
        <v>0.95380960000000004</v>
      </c>
      <c r="E57">
        <f>IF(Backend!F84="", "", Backend!F84)</f>
        <v>0.80881289999999995</v>
      </c>
      <c r="F57">
        <f>IF(Backend!G84="", "", Backend!G84)</f>
        <v>0.69247115000000004</v>
      </c>
      <c r="G57">
        <f>IF(Backend!H84="", "", Backend!H84)</f>
        <v>0.76359030000000006</v>
      </c>
      <c r="H57">
        <f>IF(Backend!I84="", "", Backend!I84)</f>
        <v>0.77255589999999996</v>
      </c>
      <c r="I57">
        <f>IF(Backend!J84="", "", Backend!J84)</f>
        <v>0.74762505000000001</v>
      </c>
      <c r="J57">
        <f>IF(Backend!K84="", "", Backend!K84)</f>
        <v>0.4927377</v>
      </c>
      <c r="K57">
        <f>IF(Backend!L84="", "", Backend!L84)</f>
        <v>0.51482254000000005</v>
      </c>
      <c r="L57">
        <f>IF(Backend!M84="", "", Backend!M84)</f>
        <v>0.57124830000000004</v>
      </c>
      <c r="M57">
        <f>IF(Backend!N84="", "", Backend!N84)</f>
        <v>0.53237809999999997</v>
      </c>
      <c r="N57">
        <f>IF(Backend!O84="", "", Backend!O84)</f>
        <v>0.70606469999999999</v>
      </c>
      <c r="O57">
        <f>IF(Backend!P84="", "", Backend!P84)</f>
        <v>0.59277049999999998</v>
      </c>
      <c r="P57">
        <f>IF(Backend!Q84="", "", Backend!Q84)</f>
        <v>-0.61492884000000003</v>
      </c>
      <c r="Q57">
        <f>IF(Backend!R84="", "", Backend!R84)</f>
        <v>0.27217217999999999</v>
      </c>
      <c r="R57">
        <f>IF(Backend!S84="", "", Backend!S84)</f>
        <v>0.89088149999999999</v>
      </c>
      <c r="S57">
        <f>IF(Backend!T84="", "", Backend!T84)</f>
        <v>-0.46438867</v>
      </c>
      <c r="T57">
        <f>IF(Backend!U84="", "", Backend!U84)</f>
        <v>0.44807172000000001</v>
      </c>
      <c r="U57">
        <f>IF(Backend!V84="", "", Backend!V84)</f>
        <v>-0.47531600000000002</v>
      </c>
      <c r="V57">
        <f>IF(Backend!W84="", "", Backend!W84)</f>
        <v>0.77083389999999996</v>
      </c>
      <c r="W57">
        <f>IF(Backend!X84="", "", Backend!X84)</f>
        <v>-0.20652287</v>
      </c>
      <c r="X57">
        <f>IF(Backend!Y84="", "", Backend!Y84)</f>
        <v>0.77975976000000002</v>
      </c>
      <c r="Y57">
        <f>IF(Backend!Z84="", "", Backend!Z84)</f>
        <v>-0.33152680000000001</v>
      </c>
      <c r="Z57">
        <f>IF(Backend!AA84="", "", Backend!AA84)</f>
        <v>0.42343318000000002</v>
      </c>
      <c r="AA57">
        <f>IF(Backend!AB84="", "", Backend!AB84)</f>
        <v>0.71768224000000003</v>
      </c>
      <c r="AB57">
        <f>IF(Backend!AC84="", "", Backend!AC84)</f>
        <v>0.36231497000000001</v>
      </c>
      <c r="AC57">
        <f>IF(Backend!AD84="", "", Backend!AD84)</f>
        <v>0.31690857</v>
      </c>
      <c r="AD57">
        <f>IF(Backend!AE84="", "", Backend!AE84)</f>
        <v>0.70948610000000001</v>
      </c>
      <c r="AE57">
        <f>IF(Backend!AF84="", "", Backend!AF84)</f>
        <v>0.59786969999999995</v>
      </c>
      <c r="AF57">
        <f>IF(Backend!AG84="", "", Backend!AG84)</f>
        <v>0.7143718</v>
      </c>
      <c r="AG57">
        <f>IF(Backend!AH84="", "", Backend!AH84)</f>
        <v>-0.56716734000000002</v>
      </c>
      <c r="AH57">
        <f>IF(Backend!AI84="", "", Backend!AI84)</f>
        <v>-0.42317188</v>
      </c>
      <c r="AI57">
        <f>IF(Backend!AJ84="", "", Backend!AJ84)</f>
        <v>-0.30855742000000003</v>
      </c>
      <c r="AJ57">
        <f>IF(Backend!AK84="", "", Backend!AK84)</f>
        <v>-0.24167964</v>
      </c>
      <c r="AK57">
        <f>IF(Backend!AL84="", "", Backend!AL84)</f>
        <v>0.61868860000000003</v>
      </c>
      <c r="AL57">
        <f>IF(Backend!AM84="", "", Backend!AM84)</f>
        <v>0.80258649999999998</v>
      </c>
      <c r="AM57">
        <f>IF(Backend!AN84="", "", Backend!AN84)</f>
        <v>-0.45382420000000001</v>
      </c>
      <c r="AN57">
        <f>IF(Backend!AO84="", "", Backend!AO84)</f>
        <v>0.681253</v>
      </c>
      <c r="AO57">
        <f>IF(Backend!AP84="", "", Backend!AP84)</f>
        <v>0.74515575000000001</v>
      </c>
      <c r="AP57">
        <f>IF(Backend!AQ84="", "", Backend!AQ84)</f>
        <v>0.80047756000000003</v>
      </c>
      <c r="AQ57">
        <f>IF(Backend!AR84="", "", Backend!AR84)</f>
        <v>-5.8529127E-2</v>
      </c>
      <c r="AR57">
        <f>IF(Backend!AS84="", "", Backend!AS84)</f>
        <v>0.78337009999999996</v>
      </c>
      <c r="AS57">
        <f>IF(Backend!AT84="", "", Backend!AT84)</f>
        <v>-4.739165E-2</v>
      </c>
      <c r="AT57">
        <f>IF(Backend!AU84="", "", Backend!AU84)</f>
        <v>-0.10394676999999999</v>
      </c>
      <c r="AU57">
        <f>IF(Backend!AV84="", "", Backend!AV84)</f>
        <v>-0.47039140000000002</v>
      </c>
      <c r="AV57">
        <f>IF(Backend!AW84="", "", Backend!AW84)</f>
        <v>0.86098503999999998</v>
      </c>
      <c r="AW57">
        <f>IF(Backend!AX84="", "", Backend!AX84)</f>
        <v>0.52349639999999997</v>
      </c>
      <c r="AX57">
        <f>IF(Backend!AY84="", "", Backend!AY84)</f>
        <v>0.19720370000000001</v>
      </c>
      <c r="AY57">
        <f>IF(Backend!AZ84="", "", Backend!AZ84)</f>
        <v>9.3029730000000005E-2</v>
      </c>
      <c r="AZ57">
        <f>IF(Backend!BA84="", "", Backend!BA84)</f>
        <v>0.89631444000000005</v>
      </c>
      <c r="BA57">
        <f>IF(Backend!BB84="", "", Backend!BB84)</f>
        <v>0.88867956000000004</v>
      </c>
      <c r="BB57">
        <f>IF(Backend!BC84="", "", Backend!BC84)</f>
        <v>0.66860235000000001</v>
      </c>
      <c r="BC57">
        <f>IF(Backend!BD84="", "", Backend!BD84)</f>
        <v>1</v>
      </c>
      <c r="BD57">
        <f>IF(Backend!BE84="", "", Backend!BE84)</f>
        <v>0.79814680000000005</v>
      </c>
      <c r="BE57">
        <f>IF(Backend!BF84="", "", Backend!BF84)</f>
        <v>0.86463710000000005</v>
      </c>
      <c r="BF57">
        <f>IF(Backend!BG84="", "", Backend!BG84)</f>
        <v>0.88205796000000003</v>
      </c>
      <c r="BG57">
        <f>IF(Backend!BH84="", "", Backend!BH84)</f>
        <v>0.71876019999999996</v>
      </c>
      <c r="BH57">
        <f>IF(Backend!BI84="", "", Backend!BI84)</f>
        <v>0.61973230000000001</v>
      </c>
      <c r="BI57" t="str">
        <f>IF(Backend!BJ84="", "", Backend!BJ84)</f>
        <v/>
      </c>
      <c r="BJ57" t="str">
        <f>IF(Backend!BK84="", "", Backend!BK84)</f>
        <v/>
      </c>
      <c r="BK57" t="str">
        <f>IF(Backend!BL84="", "", Backend!BL84)</f>
        <v/>
      </c>
      <c r="BL57" t="str">
        <f>IF(Backend!BM84="", "", Backend!BM84)</f>
        <v/>
      </c>
      <c r="BM57" t="str">
        <f>IF(Backend!BN84="", "", Backend!BN84)</f>
        <v/>
      </c>
      <c r="BN57" t="str">
        <f>IF(Backend!BO84="", "", Backend!BO84)</f>
        <v/>
      </c>
      <c r="BO57" t="str">
        <f>IF(Backend!BP84="", "", Backend!BP84)</f>
        <v/>
      </c>
      <c r="BP57" t="str">
        <f>IF(Backend!BQ84="", "", Backend!BQ84)</f>
        <v/>
      </c>
      <c r="BQ57" t="str">
        <f>IF(Backend!BR84="", "", Backend!BR84)</f>
        <v/>
      </c>
      <c r="BR57" t="str">
        <f>IF(Backend!BS84="", "", Backend!BS84)</f>
        <v/>
      </c>
      <c r="BS57" t="str">
        <f>IF(Backend!BT84="", "", Backend!BT84)</f>
        <v/>
      </c>
      <c r="BT57" t="str">
        <f>IF(Backend!BU84="", "", Backend!BU84)</f>
        <v/>
      </c>
      <c r="BU57" t="str">
        <f>IF(Backend!BV84="", "", Backend!BV84)</f>
        <v/>
      </c>
      <c r="BV57" t="str">
        <f>IF(Backend!BW84="", "", Backend!BW84)</f>
        <v/>
      </c>
      <c r="BW57" t="str">
        <f>IF(Backend!BX84="", "", Backend!BX84)</f>
        <v/>
      </c>
      <c r="BX57" t="str">
        <f>IF(Backend!BY84="", "", Backend!BY84)</f>
        <v/>
      </c>
      <c r="BY57" t="str">
        <f>IF(Backend!BZ84="", "", Backend!BZ84)</f>
        <v/>
      </c>
      <c r="BZ57" t="str">
        <f>IF(Backend!CA84="", "", Backend!CA84)</f>
        <v/>
      </c>
      <c r="CA57" t="str">
        <f>IF(Backend!CB84="", "", Backend!CB84)</f>
        <v/>
      </c>
      <c r="CB57" t="str">
        <f>IF(Backend!CC84="", "", Backend!CC84)</f>
        <v/>
      </c>
      <c r="CC57" t="str">
        <f>IF(Backend!CD84="", "", Backend!CD84)</f>
        <v/>
      </c>
    </row>
    <row r="58" spans="1:81" x14ac:dyDescent="0.25">
      <c r="A58" s="4" t="str">
        <f>IF(Backend!A85="", "", Backend!A85)</f>
        <v>Volkswagen AG Pref</v>
      </c>
      <c r="B58">
        <f>IF(Backend!C85="", "", Backend!C85)</f>
        <v>0.88775559999999998</v>
      </c>
      <c r="C58">
        <f>IF(Backend!D85="", "", Backend!D85)</f>
        <v>0.56473309999999999</v>
      </c>
      <c r="D58">
        <f>IF(Backend!E85="", "", Backend!E85)</f>
        <v>0.81609019999999999</v>
      </c>
      <c r="E58">
        <f>IF(Backend!F85="", "", Backend!F85)</f>
        <v>0.86978500000000003</v>
      </c>
      <c r="F58">
        <f>IF(Backend!G85="", "", Backend!G85)</f>
        <v>0.71858036999999997</v>
      </c>
      <c r="G58">
        <f>IF(Backend!H85="", "", Backend!H85)</f>
        <v>0.83127373000000004</v>
      </c>
      <c r="H58">
        <f>IF(Backend!I85="", "", Backend!I85)</f>
        <v>0.90666449999999998</v>
      </c>
      <c r="I58">
        <f>IF(Backend!J85="", "", Backend!J85)</f>
        <v>0.66064065999999999</v>
      </c>
      <c r="J58">
        <f>IF(Backend!K85="", "", Backend!K85)</f>
        <v>0.31304353000000001</v>
      </c>
      <c r="K58">
        <f>IF(Backend!L85="", "", Backend!L85)</f>
        <v>0.27538273000000002</v>
      </c>
      <c r="L58">
        <f>IF(Backend!M85="", "", Backend!M85)</f>
        <v>0.67101710000000003</v>
      </c>
      <c r="M58">
        <f>IF(Backend!N85="", "", Backend!N85)</f>
        <v>0.59127516000000002</v>
      </c>
      <c r="N58">
        <f>IF(Backend!O85="", "", Backend!O85)</f>
        <v>0.82040584000000005</v>
      </c>
      <c r="O58">
        <f>IF(Backend!P85="", "", Backend!P85)</f>
        <v>0.53155684000000003</v>
      </c>
      <c r="P58">
        <f>IF(Backend!Q85="", "", Backend!Q85)</f>
        <v>-0.48433303999999999</v>
      </c>
      <c r="Q58">
        <f>IF(Backend!R85="", "", Backend!R85)</f>
        <v>0.1470195</v>
      </c>
      <c r="R58">
        <f>IF(Backend!S85="", "", Backend!S85)</f>
        <v>0.82174579999999997</v>
      </c>
      <c r="S58">
        <f>IF(Backend!T85="", "", Backend!T85)</f>
        <v>-0.40606569999999997</v>
      </c>
      <c r="T58">
        <f>IF(Backend!U85="", "", Backend!U85)</f>
        <v>0.70306926999999997</v>
      </c>
      <c r="U58">
        <f>IF(Backend!V85="", "", Backend!V85)</f>
        <v>-0.45995799999999998</v>
      </c>
      <c r="V58">
        <f>IF(Backend!W85="", "", Backend!W85)</f>
        <v>0.85445899999999997</v>
      </c>
      <c r="W58">
        <f>IF(Backend!X85="", "", Backend!X85)</f>
        <v>-0.36024850000000003</v>
      </c>
      <c r="X58">
        <f>IF(Backend!Y85="", "", Backend!Y85)</f>
        <v>0.87563789999999997</v>
      </c>
      <c r="Y58">
        <f>IF(Backend!Z85="", "", Backend!Z85)</f>
        <v>-0.31524344999999998</v>
      </c>
      <c r="Z58">
        <f>IF(Backend!AA85="", "", Backend!AA85)</f>
        <v>0.54007689999999997</v>
      </c>
      <c r="AA58">
        <f>IF(Backend!AB85="", "", Backend!AB85)</f>
        <v>0.85292060000000003</v>
      </c>
      <c r="AB58">
        <f>IF(Backend!AC85="", "", Backend!AC85)</f>
        <v>0.52126163000000003</v>
      </c>
      <c r="AC58">
        <f>IF(Backend!AD85="", "", Backend!AD85)</f>
        <v>0.28922409999999998</v>
      </c>
      <c r="AD58">
        <f>IF(Backend!AE85="", "", Backend!AE85)</f>
        <v>0.81486630000000004</v>
      </c>
      <c r="AE58">
        <f>IF(Backend!AF85="", "", Backend!AF85)</f>
        <v>0.65251429999999999</v>
      </c>
      <c r="AF58">
        <f>IF(Backend!AG85="", "", Backend!AG85)</f>
        <v>0.76344440000000002</v>
      </c>
      <c r="AG58">
        <f>IF(Backend!AH85="", "", Backend!AH85)</f>
        <v>-0.32787300000000003</v>
      </c>
      <c r="AH58">
        <f>IF(Backend!AI85="", "", Backend!AI85)</f>
        <v>-0.49881518000000002</v>
      </c>
      <c r="AI58">
        <f>IF(Backend!AJ85="", "", Backend!AJ85)</f>
        <v>-0.42851215999999998</v>
      </c>
      <c r="AJ58">
        <f>IF(Backend!AK85="", "", Backend!AK85)</f>
        <v>-0.30173042</v>
      </c>
      <c r="AK58">
        <f>IF(Backend!AL85="", "", Backend!AL85)</f>
        <v>0.42887019999999998</v>
      </c>
      <c r="AL58">
        <f>IF(Backend!AM85="", "", Backend!AM85)</f>
        <v>0.8692896</v>
      </c>
      <c r="AM58">
        <f>IF(Backend!AN85="", "", Backend!AN85)</f>
        <v>-0.33934227</v>
      </c>
      <c r="AN58">
        <f>IF(Backend!AO85="", "", Backend!AO85)</f>
        <v>0.79960039999999999</v>
      </c>
      <c r="AO58">
        <f>IF(Backend!AP85="", "", Backend!AP85)</f>
        <v>0.78168040000000005</v>
      </c>
      <c r="AP58">
        <f>IF(Backend!AQ85="", "", Backend!AQ85)</f>
        <v>0.87215069999999995</v>
      </c>
      <c r="AQ58">
        <f>IF(Backend!AR85="", "", Backend!AR85)</f>
        <v>4.2992490000000001E-2</v>
      </c>
      <c r="AR58">
        <f>IF(Backend!AS85="", "", Backend!AS85)</f>
        <v>0.62641069999999999</v>
      </c>
      <c r="AS58">
        <f>IF(Backend!AT85="", "", Backend!AT85)</f>
        <v>-0.21135876000000001</v>
      </c>
      <c r="AT58">
        <f>IF(Backend!AU85="", "", Backend!AU85)</f>
        <v>-0.14096986</v>
      </c>
      <c r="AU58">
        <f>IF(Backend!AV85="", "", Backend!AV85)</f>
        <v>-0.5420374</v>
      </c>
      <c r="AV58">
        <f>IF(Backend!AW85="", "", Backend!AW85)</f>
        <v>0.88342080000000001</v>
      </c>
      <c r="AW58">
        <f>IF(Backend!AX85="", "", Backend!AX85)</f>
        <v>0.68270030000000004</v>
      </c>
      <c r="AX58">
        <f>IF(Backend!AY85="", "", Backend!AY85)</f>
        <v>0.3534967</v>
      </c>
      <c r="AY58">
        <f>IF(Backend!AZ85="", "", Backend!AZ85)</f>
        <v>0.33139183999999999</v>
      </c>
      <c r="AZ58">
        <f>IF(Backend!BA85="", "", Backend!BA85)</f>
        <v>0.75520050000000005</v>
      </c>
      <c r="BA58">
        <f>IF(Backend!BB85="", "", Backend!BB85)</f>
        <v>0.73425200000000002</v>
      </c>
      <c r="BB58">
        <f>IF(Backend!BC85="", "", Backend!BC85)</f>
        <v>0.67726489999999995</v>
      </c>
      <c r="BC58">
        <f>IF(Backend!BD85="", "", Backend!BD85)</f>
        <v>0.79814680000000005</v>
      </c>
      <c r="BD58">
        <f>IF(Backend!BE85="", "", Backend!BE85)</f>
        <v>1</v>
      </c>
      <c r="BE58">
        <f>IF(Backend!BF85="", "", Backend!BF85)</f>
        <v>0.81885105000000002</v>
      </c>
      <c r="BF58">
        <f>IF(Backend!BG85="", "", Backend!BG85)</f>
        <v>0.88354600000000005</v>
      </c>
      <c r="BG58">
        <f>IF(Backend!BH85="", "", Backend!BH85)</f>
        <v>0.61167585999999996</v>
      </c>
      <c r="BH58">
        <f>IF(Backend!BI85="", "", Backend!BI85)</f>
        <v>0.69447464000000003</v>
      </c>
      <c r="BI58" t="str">
        <f>IF(Backend!BJ85="", "", Backend!BJ85)</f>
        <v/>
      </c>
      <c r="BJ58" t="str">
        <f>IF(Backend!BK85="", "", Backend!BK85)</f>
        <v/>
      </c>
      <c r="BK58" t="str">
        <f>IF(Backend!BL85="", "", Backend!BL85)</f>
        <v/>
      </c>
      <c r="BL58" t="str">
        <f>IF(Backend!BM85="", "", Backend!BM85)</f>
        <v/>
      </c>
      <c r="BM58" t="str">
        <f>IF(Backend!BN85="", "", Backend!BN85)</f>
        <v/>
      </c>
      <c r="BN58" t="str">
        <f>IF(Backend!BO85="", "", Backend!BO85)</f>
        <v/>
      </c>
      <c r="BO58" t="str">
        <f>IF(Backend!BP85="", "", Backend!BP85)</f>
        <v/>
      </c>
      <c r="BP58" t="str">
        <f>IF(Backend!BQ85="", "", Backend!BQ85)</f>
        <v/>
      </c>
      <c r="BQ58" t="str">
        <f>IF(Backend!BR85="", "", Backend!BR85)</f>
        <v/>
      </c>
      <c r="BR58" t="str">
        <f>IF(Backend!BS85="", "", Backend!BS85)</f>
        <v/>
      </c>
      <c r="BS58" t="str">
        <f>IF(Backend!BT85="", "", Backend!BT85)</f>
        <v/>
      </c>
      <c r="BT58" t="str">
        <f>IF(Backend!BU85="", "", Backend!BU85)</f>
        <v/>
      </c>
      <c r="BU58" t="str">
        <f>IF(Backend!BV85="", "", Backend!BV85)</f>
        <v/>
      </c>
      <c r="BV58" t="str">
        <f>IF(Backend!BW85="", "", Backend!BW85)</f>
        <v/>
      </c>
      <c r="BW58" t="str">
        <f>IF(Backend!BX85="", "", Backend!BX85)</f>
        <v/>
      </c>
      <c r="BX58" t="str">
        <f>IF(Backend!BY85="", "", Backend!BY85)</f>
        <v/>
      </c>
      <c r="BY58" t="str">
        <f>IF(Backend!BZ85="", "", Backend!BZ85)</f>
        <v/>
      </c>
      <c r="BZ58" t="str">
        <f>IF(Backend!CA85="", "", Backend!CA85)</f>
        <v/>
      </c>
      <c r="CA58" t="str">
        <f>IF(Backend!CB85="", "", Backend!CB85)</f>
        <v/>
      </c>
      <c r="CB58" t="str">
        <f>IF(Backend!CC85="", "", Backend!CC85)</f>
        <v/>
      </c>
      <c r="CC58" t="str">
        <f>IF(Backend!CD85="", "", Backend!CD85)</f>
        <v/>
      </c>
    </row>
    <row r="59" spans="1:81" x14ac:dyDescent="0.25">
      <c r="A59" s="4" t="str">
        <f>IF(Backend!A86="", "", Backend!A86)</f>
        <v>Walgreens Boots Alliance, Inc.</v>
      </c>
      <c r="B59">
        <f>IF(Backend!C86="", "", Backend!C86)</f>
        <v>0.73371565000000005</v>
      </c>
      <c r="C59">
        <f>IF(Backend!D86="", "", Backend!D86)</f>
        <v>0.73511230000000005</v>
      </c>
      <c r="D59">
        <f>IF(Backend!E86="", "", Backend!E86)</f>
        <v>0.86640859999999997</v>
      </c>
      <c r="E59">
        <f>IF(Backend!F86="", "", Backend!F86)</f>
        <v>0.90416985999999999</v>
      </c>
      <c r="F59">
        <f>IF(Backend!G86="", "", Backend!G86)</f>
        <v>0.54692750000000001</v>
      </c>
      <c r="G59">
        <f>IF(Backend!H86="", "", Backend!H86)</f>
        <v>0.83703612999999999</v>
      </c>
      <c r="H59">
        <f>IF(Backend!I86="", "", Backend!I86)</f>
        <v>0.68780300000000005</v>
      </c>
      <c r="I59">
        <f>IF(Backend!J86="", "", Backend!J86)</f>
        <v>0.89938370000000001</v>
      </c>
      <c r="J59">
        <f>IF(Backend!K86="", "", Backend!K86)</f>
        <v>0.68227579999999999</v>
      </c>
      <c r="K59">
        <f>IF(Backend!L86="", "", Backend!L86)</f>
        <v>0.27007832999999998</v>
      </c>
      <c r="L59">
        <f>IF(Backend!M86="", "", Backend!M86)</f>
        <v>0.80917340000000004</v>
      </c>
      <c r="M59">
        <f>IF(Backend!N86="", "", Backend!N86)</f>
        <v>0.71312034000000002</v>
      </c>
      <c r="N59">
        <f>IF(Backend!O86="", "", Backend!O86)</f>
        <v>0.59097370000000005</v>
      </c>
      <c r="O59">
        <f>IF(Backend!P86="", "", Backend!P86)</f>
        <v>0.78983234999999996</v>
      </c>
      <c r="P59">
        <f>IF(Backend!Q86="", "", Backend!Q86)</f>
        <v>-0.58539956999999998</v>
      </c>
      <c r="Q59">
        <f>IF(Backend!R86="", "", Backend!R86)</f>
        <v>0.16126083999999999</v>
      </c>
      <c r="R59">
        <f>IF(Backend!S86="", "", Backend!S86)</f>
        <v>0.8194901</v>
      </c>
      <c r="S59">
        <f>IF(Backend!T86="", "", Backend!T86)</f>
        <v>-0.19770119</v>
      </c>
      <c r="T59">
        <f>IF(Backend!U86="", "", Backend!U86)</f>
        <v>0.38911380000000001</v>
      </c>
      <c r="U59">
        <f>IF(Backend!V86="", "", Backend!V86)</f>
        <v>-0.64805745999999997</v>
      </c>
      <c r="V59">
        <f>IF(Backend!W86="", "", Backend!W86)</f>
        <v>0.81701809999999997</v>
      </c>
      <c r="W59">
        <f>IF(Backend!X86="", "", Backend!X86)</f>
        <v>-0.57995342999999999</v>
      </c>
      <c r="X59">
        <f>IF(Backend!Y86="", "", Backend!Y86)</f>
        <v>0.9367645</v>
      </c>
      <c r="Y59">
        <f>IF(Backend!Z86="", "", Backend!Z86)</f>
        <v>-0.50624406</v>
      </c>
      <c r="Z59">
        <f>IF(Backend!AA86="", "", Backend!AA86)</f>
        <v>0.68711549999999999</v>
      </c>
      <c r="AA59">
        <f>IF(Backend!AB86="", "", Backend!AB86)</f>
        <v>0.87586295999999997</v>
      </c>
      <c r="AB59">
        <f>IF(Backend!AC86="", "", Backend!AC86)</f>
        <v>0.54250973000000002</v>
      </c>
      <c r="AC59">
        <f>IF(Backend!AD86="", "", Backend!AD86)</f>
        <v>0.52040649999999999</v>
      </c>
      <c r="AD59">
        <f>IF(Backend!AE86="", "", Backend!AE86)</f>
        <v>0.86998147000000003</v>
      </c>
      <c r="AE59">
        <f>IF(Backend!AF86="", "", Backend!AF86)</f>
        <v>0.40706792000000003</v>
      </c>
      <c r="AF59">
        <f>IF(Backend!AG86="", "", Backend!AG86)</f>
        <v>0.55872500000000003</v>
      </c>
      <c r="AG59">
        <f>IF(Backend!AH86="", "", Backend!AH86)</f>
        <v>-0.42751362999999998</v>
      </c>
      <c r="AH59">
        <f>IF(Backend!AI86="", "", Backend!AI86)</f>
        <v>-0.71092635000000004</v>
      </c>
      <c r="AI59">
        <f>IF(Backend!AJ86="", "", Backend!AJ86)</f>
        <v>-0.23260532</v>
      </c>
      <c r="AJ59">
        <f>IF(Backend!AK86="", "", Backend!AK86)</f>
        <v>-0.61626409999999998</v>
      </c>
      <c r="AK59">
        <f>IF(Backend!AL86="", "", Backend!AL86)</f>
        <v>0.80986309999999995</v>
      </c>
      <c r="AL59">
        <f>IF(Backend!AM86="", "", Backend!AM86)</f>
        <v>0.86536413000000001</v>
      </c>
      <c r="AM59">
        <f>IF(Backend!AN86="", "", Backend!AN86)</f>
        <v>-0.26698440000000001</v>
      </c>
      <c r="AN59">
        <f>IF(Backend!AO86="", "", Backend!AO86)</f>
        <v>0.88076690000000002</v>
      </c>
      <c r="AO59">
        <f>IF(Backend!AP86="", "", Backend!AP86)</f>
        <v>0.78233350000000002</v>
      </c>
      <c r="AP59">
        <f>IF(Backend!AQ86="", "", Backend!AQ86)</f>
        <v>0.78291840000000001</v>
      </c>
      <c r="AQ59">
        <f>IF(Backend!AR86="", "", Backend!AR86)</f>
        <v>-0.14042124</v>
      </c>
      <c r="AR59">
        <f>IF(Backend!AS86="", "", Backend!AS86)</f>
        <v>0.81032353999999995</v>
      </c>
      <c r="AS59">
        <f>IF(Backend!AT86="", "", Backend!AT86)</f>
        <v>-0.39658162000000002</v>
      </c>
      <c r="AT59">
        <f>IF(Backend!AU86="", "", Backend!AU86)</f>
        <v>-0.2972398</v>
      </c>
      <c r="AU59">
        <f>IF(Backend!AV86="", "", Backend!AV86)</f>
        <v>-0.77245759999999997</v>
      </c>
      <c r="AV59">
        <f>IF(Backend!AW86="", "", Backend!AW86)</f>
        <v>0.78659064000000001</v>
      </c>
      <c r="AW59">
        <f>IF(Backend!AX86="", "", Backend!AX86)</f>
        <v>0.78458786000000003</v>
      </c>
      <c r="AX59">
        <f>IF(Backend!AY86="", "", Backend!AY86)</f>
        <v>0.37759401999999997</v>
      </c>
      <c r="AY59">
        <f>IF(Backend!AZ86="", "", Backend!AZ86)</f>
        <v>-3.5203489999999997E-2</v>
      </c>
      <c r="AZ59">
        <f>IF(Backend!BA86="", "", Backend!BA86)</f>
        <v>0.90704214999999999</v>
      </c>
      <c r="BA59">
        <f>IF(Backend!BB86="", "", Backend!BB86)</f>
        <v>0.65862732999999996</v>
      </c>
      <c r="BB59">
        <f>IF(Backend!BC86="", "", Backend!BC86)</f>
        <v>0.56095165000000002</v>
      </c>
      <c r="BC59">
        <f>IF(Backend!BD86="", "", Backend!BD86)</f>
        <v>0.86463710000000005</v>
      </c>
      <c r="BD59">
        <f>IF(Backend!BE86="", "", Backend!BE86)</f>
        <v>0.81885105000000002</v>
      </c>
      <c r="BE59">
        <f>IF(Backend!BF86="", "", Backend!BF86)</f>
        <v>1</v>
      </c>
      <c r="BF59">
        <f>IF(Backend!BG86="", "", Backend!BG86)</f>
        <v>0.85537136000000003</v>
      </c>
      <c r="BG59">
        <f>IF(Backend!BH86="", "", Backend!BH86)</f>
        <v>0.57448529999999998</v>
      </c>
      <c r="BH59">
        <f>IF(Backend!BI86="", "", Backend!BI86)</f>
        <v>0.77383630000000003</v>
      </c>
      <c r="BI59" t="str">
        <f>IF(Backend!BJ86="", "", Backend!BJ86)</f>
        <v/>
      </c>
      <c r="BJ59" t="str">
        <f>IF(Backend!BK86="", "", Backend!BK86)</f>
        <v/>
      </c>
      <c r="BK59" t="str">
        <f>IF(Backend!BL86="", "", Backend!BL86)</f>
        <v/>
      </c>
      <c r="BL59" t="str">
        <f>IF(Backend!BM86="", "", Backend!BM86)</f>
        <v/>
      </c>
      <c r="BM59" t="str">
        <f>IF(Backend!BN86="", "", Backend!BN86)</f>
        <v/>
      </c>
      <c r="BN59" t="str">
        <f>IF(Backend!BO86="", "", Backend!BO86)</f>
        <v/>
      </c>
      <c r="BO59" t="str">
        <f>IF(Backend!BP86="", "", Backend!BP86)</f>
        <v/>
      </c>
      <c r="BP59" t="str">
        <f>IF(Backend!BQ86="", "", Backend!BQ86)</f>
        <v/>
      </c>
      <c r="BQ59" t="str">
        <f>IF(Backend!BR86="", "", Backend!BR86)</f>
        <v/>
      </c>
      <c r="BR59" t="str">
        <f>IF(Backend!BS86="", "", Backend!BS86)</f>
        <v/>
      </c>
      <c r="BS59" t="str">
        <f>IF(Backend!BT86="", "", Backend!BT86)</f>
        <v/>
      </c>
      <c r="BT59" t="str">
        <f>IF(Backend!BU86="", "", Backend!BU86)</f>
        <v/>
      </c>
      <c r="BU59" t="str">
        <f>IF(Backend!BV86="", "", Backend!BV86)</f>
        <v/>
      </c>
      <c r="BV59" t="str">
        <f>IF(Backend!BW86="", "", Backend!BW86)</f>
        <v/>
      </c>
      <c r="BW59" t="str">
        <f>IF(Backend!BX86="", "", Backend!BX86)</f>
        <v/>
      </c>
      <c r="BX59" t="str">
        <f>IF(Backend!BY86="", "", Backend!BY86)</f>
        <v/>
      </c>
      <c r="BY59" t="str">
        <f>IF(Backend!BZ86="", "", Backend!BZ86)</f>
        <v/>
      </c>
      <c r="BZ59" t="str">
        <f>IF(Backend!CA86="", "", Backend!CA86)</f>
        <v/>
      </c>
      <c r="CA59" t="str">
        <f>IF(Backend!CB86="", "", Backend!CB86)</f>
        <v/>
      </c>
      <c r="CB59" t="str">
        <f>IF(Backend!CC86="", "", Backend!CC86)</f>
        <v/>
      </c>
      <c r="CC59" t="str">
        <f>IF(Backend!CD86="", "", Backend!CD86)</f>
        <v/>
      </c>
    </row>
    <row r="60" spans="1:81" x14ac:dyDescent="0.25">
      <c r="A60" s="4" t="str">
        <f>IF(Backend!A87="", "", Backend!A87)</f>
        <v>Western Union Company</v>
      </c>
      <c r="B60">
        <f>IF(Backend!C87="", "", Backend!C87)</f>
        <v>0.89298343999999996</v>
      </c>
      <c r="C60">
        <f>IF(Backend!D87="", "", Backend!D87)</f>
        <v>0.62087250000000005</v>
      </c>
      <c r="D60">
        <f>IF(Backend!E87="", "", Backend!E87)</f>
        <v>0.89534820000000004</v>
      </c>
      <c r="E60">
        <f>IF(Backend!F87="", "", Backend!F87)</f>
        <v>0.82555780000000001</v>
      </c>
      <c r="F60">
        <f>IF(Backend!G87="", "", Backend!G87)</f>
        <v>0.76728976000000004</v>
      </c>
      <c r="G60">
        <f>IF(Backend!H87="", "", Backend!H87)</f>
        <v>0.802315</v>
      </c>
      <c r="H60">
        <f>IF(Backend!I87="", "", Backend!I87)</f>
        <v>0.83577584999999999</v>
      </c>
      <c r="I60">
        <f>IF(Backend!J87="", "", Backend!J87)</f>
        <v>0.6987835</v>
      </c>
      <c r="J60">
        <f>IF(Backend!K87="", "", Backend!K87)</f>
        <v>0.46844103999999998</v>
      </c>
      <c r="K60">
        <f>IF(Backend!L87="", "", Backend!L87)</f>
        <v>0.2000826</v>
      </c>
      <c r="L60">
        <f>IF(Backend!M87="", "", Backend!M87)</f>
        <v>0.57070589999999999</v>
      </c>
      <c r="M60">
        <f>IF(Backend!N87="", "", Backend!N87)</f>
        <v>0.57521575999999996</v>
      </c>
      <c r="N60">
        <f>IF(Backend!O87="", "", Backend!O87)</f>
        <v>0.72179760000000004</v>
      </c>
      <c r="O60">
        <f>IF(Backend!P87="", "", Backend!P87)</f>
        <v>0.65898319999999999</v>
      </c>
      <c r="P60">
        <f>IF(Backend!Q87="", "", Backend!Q87)</f>
        <v>-0.70447683000000005</v>
      </c>
      <c r="Q60">
        <f>IF(Backend!R87="", "", Backend!R87)</f>
        <v>0.17113961</v>
      </c>
      <c r="R60">
        <f>IF(Backend!S87="", "", Backend!S87)</f>
        <v>0.77878254999999996</v>
      </c>
      <c r="S60">
        <f>IF(Backend!T87="", "", Backend!T87)</f>
        <v>-0.33873801999999997</v>
      </c>
      <c r="T60">
        <f>IF(Backend!U87="", "", Backend!U87)</f>
        <v>0.62497692999999999</v>
      </c>
      <c r="U60">
        <f>IF(Backend!V87="", "", Backend!V87)</f>
        <v>-0.58755089999999999</v>
      </c>
      <c r="V60">
        <f>IF(Backend!W87="", "", Backend!W87)</f>
        <v>0.86639076000000004</v>
      </c>
      <c r="W60">
        <f>IF(Backend!X87="", "", Backend!X87)</f>
        <v>-0.43600670000000002</v>
      </c>
      <c r="X60">
        <f>IF(Backend!Y87="", "", Backend!Y87)</f>
        <v>0.84745360000000003</v>
      </c>
      <c r="Y60">
        <f>IF(Backend!Z87="", "", Backend!Z87)</f>
        <v>-0.55606940000000005</v>
      </c>
      <c r="Z60">
        <f>IF(Backend!AA87="", "", Backend!AA87)</f>
        <v>0.59382086999999995</v>
      </c>
      <c r="AA60">
        <f>IF(Backend!AB87="", "", Backend!AB87)</f>
        <v>0.83040639999999999</v>
      </c>
      <c r="AB60">
        <f>IF(Backend!AC87="", "", Backend!AC87)</f>
        <v>0.62082815000000002</v>
      </c>
      <c r="AC60">
        <f>IF(Backend!AD87="", "", Backend!AD87)</f>
        <v>0.27927502999999998</v>
      </c>
      <c r="AD60">
        <f>IF(Backend!AE87="", "", Backend!AE87)</f>
        <v>0.87531590000000004</v>
      </c>
      <c r="AE60">
        <f>IF(Backend!AF87="", "", Backend!AF87)</f>
        <v>0.60685027000000002</v>
      </c>
      <c r="AF60">
        <f>IF(Backend!AG87="", "", Backend!AG87)</f>
        <v>0.73993355000000005</v>
      </c>
      <c r="AG60">
        <f>IF(Backend!AH87="", "", Backend!AH87)</f>
        <v>-0.35740337</v>
      </c>
      <c r="AH60">
        <f>IF(Backend!AI87="", "", Backend!AI87)</f>
        <v>-0.65794900000000001</v>
      </c>
      <c r="AI60">
        <f>IF(Backend!AJ87="", "", Backend!AJ87)</f>
        <v>-0.38893273</v>
      </c>
      <c r="AJ60">
        <f>IF(Backend!AK87="", "", Backend!AK87)</f>
        <v>-0.43211212999999998</v>
      </c>
      <c r="AK60">
        <f>IF(Backend!AL87="", "", Backend!AL87)</f>
        <v>0.5513036</v>
      </c>
      <c r="AL60">
        <f>IF(Backend!AM87="", "", Backend!AM87)</f>
        <v>0.90988869999999999</v>
      </c>
      <c r="AM60">
        <f>IF(Backend!AN87="", "", Backend!AN87)</f>
        <v>-0.51131280000000001</v>
      </c>
      <c r="AN60">
        <f>IF(Backend!AO87="", "", Backend!AO87)</f>
        <v>0.74857819999999997</v>
      </c>
      <c r="AO60">
        <f>IF(Backend!AP87="", "", Backend!AP87)</f>
        <v>0.70511939999999995</v>
      </c>
      <c r="AP60">
        <f>IF(Backend!AQ87="", "", Backend!AQ87)</f>
        <v>0.85312264999999998</v>
      </c>
      <c r="AQ60">
        <f>IF(Backend!AR87="", "", Backend!AR87)</f>
        <v>-6.2200449999999997E-2</v>
      </c>
      <c r="AR60">
        <f>IF(Backend!AS87="", "", Backend!AS87)</f>
        <v>0.66717349999999997</v>
      </c>
      <c r="AS60">
        <f>IF(Backend!AT87="", "", Backend!AT87)</f>
        <v>-0.28787376999999997</v>
      </c>
      <c r="AT60">
        <f>IF(Backend!AU87="", "", Backend!AU87)</f>
        <v>-0.38197144999999999</v>
      </c>
      <c r="AU60">
        <f>IF(Backend!AV87="", "", Backend!AV87)</f>
        <v>-0.69808429999999999</v>
      </c>
      <c r="AV60">
        <f>IF(Backend!AW87="", "", Backend!AW87)</f>
        <v>0.92721074999999997</v>
      </c>
      <c r="AW60">
        <f>IF(Backend!AX87="", "", Backend!AX87)</f>
        <v>0.60487789999999997</v>
      </c>
      <c r="AX60">
        <f>IF(Backend!AY87="", "", Backend!AY87)</f>
        <v>0.26573091999999998</v>
      </c>
      <c r="AY60">
        <f>IF(Backend!AZ87="", "", Backend!AZ87)</f>
        <v>0.14710154</v>
      </c>
      <c r="AZ60">
        <f>IF(Backend!BA87="", "", Backend!BA87)</f>
        <v>0.79891699999999999</v>
      </c>
      <c r="BA60">
        <f>IF(Backend!BB87="", "", Backend!BB87)</f>
        <v>0.83739494999999997</v>
      </c>
      <c r="BB60">
        <f>IF(Backend!BC87="", "", Backend!BC87)</f>
        <v>0.77575709999999998</v>
      </c>
      <c r="BC60">
        <f>IF(Backend!BD87="", "", Backend!BD87)</f>
        <v>0.88205796000000003</v>
      </c>
      <c r="BD60">
        <f>IF(Backend!BE87="", "", Backend!BE87)</f>
        <v>0.88354600000000005</v>
      </c>
      <c r="BE60">
        <f>IF(Backend!BF87="", "", Backend!BF87)</f>
        <v>0.85537136000000003</v>
      </c>
      <c r="BF60">
        <f>IF(Backend!BG87="", "", Backend!BG87)</f>
        <v>1</v>
      </c>
      <c r="BG60">
        <f>IF(Backend!BH87="", "", Backend!BH87)</f>
        <v>0.67607170000000005</v>
      </c>
      <c r="BH60">
        <f>IF(Backend!BI87="", "", Backend!BI87)</f>
        <v>0.72693050000000003</v>
      </c>
      <c r="BI60" t="str">
        <f>IF(Backend!BJ87="", "", Backend!BJ87)</f>
        <v/>
      </c>
      <c r="BJ60" t="str">
        <f>IF(Backend!BK87="", "", Backend!BK87)</f>
        <v/>
      </c>
      <c r="BK60" t="str">
        <f>IF(Backend!BL87="", "", Backend!BL87)</f>
        <v/>
      </c>
      <c r="BL60" t="str">
        <f>IF(Backend!BM87="", "", Backend!BM87)</f>
        <v/>
      </c>
      <c r="BM60" t="str">
        <f>IF(Backend!BN87="", "", Backend!BN87)</f>
        <v/>
      </c>
      <c r="BN60" t="str">
        <f>IF(Backend!BO87="", "", Backend!BO87)</f>
        <v/>
      </c>
      <c r="BO60" t="str">
        <f>IF(Backend!BP87="", "", Backend!BP87)</f>
        <v/>
      </c>
      <c r="BP60" t="str">
        <f>IF(Backend!BQ87="", "", Backend!BQ87)</f>
        <v/>
      </c>
      <c r="BQ60" t="str">
        <f>IF(Backend!BR87="", "", Backend!BR87)</f>
        <v/>
      </c>
      <c r="BR60" t="str">
        <f>IF(Backend!BS87="", "", Backend!BS87)</f>
        <v/>
      </c>
      <c r="BS60" t="str">
        <f>IF(Backend!BT87="", "", Backend!BT87)</f>
        <v/>
      </c>
      <c r="BT60" t="str">
        <f>IF(Backend!BU87="", "", Backend!BU87)</f>
        <v/>
      </c>
      <c r="BU60" t="str">
        <f>IF(Backend!BV87="", "", Backend!BV87)</f>
        <v/>
      </c>
      <c r="BV60" t="str">
        <f>IF(Backend!BW87="", "", Backend!BW87)</f>
        <v/>
      </c>
      <c r="BW60" t="str">
        <f>IF(Backend!BX87="", "", Backend!BX87)</f>
        <v/>
      </c>
      <c r="BX60" t="str">
        <f>IF(Backend!BY87="", "", Backend!BY87)</f>
        <v/>
      </c>
      <c r="BY60" t="str">
        <f>IF(Backend!BZ87="", "", Backend!BZ87)</f>
        <v/>
      </c>
      <c r="BZ60" t="str">
        <f>IF(Backend!CA87="", "", Backend!CA87)</f>
        <v/>
      </c>
      <c r="CA60" t="str">
        <f>IF(Backend!CB87="", "", Backend!CB87)</f>
        <v/>
      </c>
      <c r="CB60" t="str">
        <f>IF(Backend!CC87="", "", Backend!CC87)</f>
        <v/>
      </c>
      <c r="CC60" t="str">
        <f>IF(Backend!CD87="", "", Backend!CD87)</f>
        <v/>
      </c>
    </row>
    <row r="61" spans="1:81" x14ac:dyDescent="0.25">
      <c r="A61" s="4" t="str">
        <f>IF(Backend!A88="", "", Backend!A88)</f>
        <v>John Wiley &amp; Sons, Inc. Class A</v>
      </c>
      <c r="B61">
        <f>IF(Backend!C88="", "", Backend!C88)</f>
        <v>0.47744947999999998</v>
      </c>
      <c r="C61">
        <f>IF(Backend!D88="", "", Backend!D88)</f>
        <v>0.72922456000000002</v>
      </c>
      <c r="D61">
        <f>IF(Backend!E88="", "", Backend!E88)</f>
        <v>0.76085334999999998</v>
      </c>
      <c r="E61">
        <f>IF(Backend!F88="", "", Backend!F88)</f>
        <v>0.61114550000000001</v>
      </c>
      <c r="F61">
        <f>IF(Backend!G88="", "", Backend!G88)</f>
        <v>0.35804409999999998</v>
      </c>
      <c r="G61">
        <f>IF(Backend!H88="", "", Backend!H88)</f>
        <v>0.52318304999999998</v>
      </c>
      <c r="H61">
        <f>IF(Backend!I88="", "", Backend!I88)</f>
        <v>0.55648744000000006</v>
      </c>
      <c r="I61">
        <f>IF(Backend!J88="", "", Backend!J88)</f>
        <v>0.39217022000000001</v>
      </c>
      <c r="J61">
        <f>IF(Backend!K88="", "", Backend!K88)</f>
        <v>0.37899664</v>
      </c>
      <c r="K61">
        <f>IF(Backend!L88="", "", Backend!L88)</f>
        <v>0.56115939999999997</v>
      </c>
      <c r="L61">
        <f>IF(Backend!M88="", "", Backend!M88)</f>
        <v>0.24681992999999999</v>
      </c>
      <c r="M61">
        <f>IF(Backend!N88="", "", Backend!N88)</f>
        <v>0.29735145000000002</v>
      </c>
      <c r="N61">
        <f>IF(Backend!O88="", "", Backend!O88)</f>
        <v>0.45147567999999999</v>
      </c>
      <c r="O61">
        <f>IF(Backend!P88="", "", Backend!P88)</f>
        <v>0.48184739999999998</v>
      </c>
      <c r="P61">
        <f>IF(Backend!Q88="", "", Backend!Q88)</f>
        <v>-0.44943043999999999</v>
      </c>
      <c r="Q61">
        <f>IF(Backend!R88="", "", Backend!R88)</f>
        <v>0.2606407</v>
      </c>
      <c r="R61">
        <f>IF(Backend!S88="", "", Backend!S88)</f>
        <v>0.69918579999999997</v>
      </c>
      <c r="S61">
        <f>IF(Backend!T88="", "", Backend!T88)</f>
        <v>-0.38607877000000002</v>
      </c>
      <c r="T61">
        <f>IF(Backend!U88="", "", Backend!U88)</f>
        <v>0.43250883000000001</v>
      </c>
      <c r="U61">
        <f>IF(Backend!V88="", "", Backend!V88)</f>
        <v>-0.13374130000000001</v>
      </c>
      <c r="V61">
        <f>IF(Backend!W88="", "", Backend!W88)</f>
        <v>0.47875615999999999</v>
      </c>
      <c r="W61">
        <f>IF(Backend!X88="", "", Backend!X88)</f>
        <v>1.0292068999999999E-2</v>
      </c>
      <c r="X61">
        <f>IF(Backend!Y88="", "", Backend!Y88)</f>
        <v>0.51267200000000002</v>
      </c>
      <c r="Y61">
        <f>IF(Backend!Z88="", "", Backend!Z88)</f>
        <v>-0.11102861</v>
      </c>
      <c r="Z61">
        <f>IF(Backend!AA88="", "", Backend!AA88)</f>
        <v>0.39985221999999998</v>
      </c>
      <c r="AA61">
        <f>IF(Backend!AB88="", "", Backend!AB88)</f>
        <v>0.49996868</v>
      </c>
      <c r="AB61">
        <f>IF(Backend!AC88="", "", Backend!AC88)</f>
        <v>0.35741647999999998</v>
      </c>
      <c r="AC61">
        <f>IF(Backend!AD88="", "", Backend!AD88)</f>
        <v>0.45657817000000001</v>
      </c>
      <c r="AD61">
        <f>IF(Backend!AE88="", "", Backend!AE88)</f>
        <v>0.62334959999999995</v>
      </c>
      <c r="AE61">
        <f>IF(Backend!AF88="", "", Backend!AF88)</f>
        <v>0.53306229999999999</v>
      </c>
      <c r="AF61">
        <f>IF(Backend!AG88="", "", Backend!AG88)</f>
        <v>0.84763239999999995</v>
      </c>
      <c r="AG61">
        <f>IF(Backend!AH88="", "", Backend!AH88)</f>
        <v>-0.39656878000000001</v>
      </c>
      <c r="AH61">
        <f>IF(Backend!AI88="", "", Backend!AI88)</f>
        <v>-0.14959692999999999</v>
      </c>
      <c r="AI61">
        <f>IF(Backend!AJ88="", "", Backend!AJ88)</f>
        <v>-0.11899061499999999</v>
      </c>
      <c r="AJ61">
        <f>IF(Backend!AK88="", "", Backend!AK88)</f>
        <v>-7.763109E-2</v>
      </c>
      <c r="AK61">
        <f>IF(Backend!AL88="", "", Backend!AL88)</f>
        <v>0.49391215999999999</v>
      </c>
      <c r="AL61">
        <f>IF(Backend!AM88="", "", Backend!AM88)</f>
        <v>0.61835264999999995</v>
      </c>
      <c r="AM61">
        <f>IF(Backend!AN88="", "", Backend!AN88)</f>
        <v>-0.48228296999999998</v>
      </c>
      <c r="AN61">
        <f>IF(Backend!AO88="", "", Backend!AO88)</f>
        <v>0.35518654999999999</v>
      </c>
      <c r="AO61">
        <f>IF(Backend!AP88="", "", Backend!AP88)</f>
        <v>0.75280230000000004</v>
      </c>
      <c r="AP61">
        <f>IF(Backend!AQ88="", "", Backend!AQ88)</f>
        <v>0.60738130000000001</v>
      </c>
      <c r="AQ61">
        <f>IF(Backend!AR88="", "", Backend!AR88)</f>
        <v>7.4278810000000001E-2</v>
      </c>
      <c r="AR61">
        <f>IF(Backend!AS88="", "", Backend!AS88)</f>
        <v>0.37268642000000002</v>
      </c>
      <c r="AS61">
        <f>IF(Backend!AT88="", "", Backend!AT88)</f>
        <v>0.13402939</v>
      </c>
      <c r="AT61">
        <f>IF(Backend!AU88="", "", Backend!AU88)</f>
        <v>-2.5296168000000001E-2</v>
      </c>
      <c r="AU61">
        <f>IF(Backend!AV88="", "", Backend!AV88)</f>
        <v>-0.3003498</v>
      </c>
      <c r="AV61">
        <f>IF(Backend!AW88="", "", Backend!AW88)</f>
        <v>0.71264939999999999</v>
      </c>
      <c r="AW61">
        <f>IF(Backend!AX88="", "", Backend!AX88)</f>
        <v>0.30140465</v>
      </c>
      <c r="AX61">
        <f>IF(Backend!AY88="", "", Backend!AY88)</f>
        <v>0.26096609999999998</v>
      </c>
      <c r="AY61">
        <f>IF(Backend!AZ88="", "", Backend!AZ88)</f>
        <v>-8.2693950000000006E-3</v>
      </c>
      <c r="AZ61">
        <f>IF(Backend!BA88="", "", Backend!BA88)</f>
        <v>0.72800730000000002</v>
      </c>
      <c r="BA61">
        <f>IF(Backend!BB88="", "", Backend!BB88)</f>
        <v>0.72928035000000002</v>
      </c>
      <c r="BB61">
        <f>IF(Backend!BC88="", "", Backend!BC88)</f>
        <v>0.51513945999999999</v>
      </c>
      <c r="BC61">
        <f>IF(Backend!BD88="", "", Backend!BD88)</f>
        <v>0.71876019999999996</v>
      </c>
      <c r="BD61">
        <f>IF(Backend!BE88="", "", Backend!BE88)</f>
        <v>0.61167585999999996</v>
      </c>
      <c r="BE61">
        <f>IF(Backend!BF88="", "", Backend!BF88)</f>
        <v>0.57448529999999998</v>
      </c>
      <c r="BF61">
        <f>IF(Backend!BG88="", "", Backend!BG88)</f>
        <v>0.67607170000000005</v>
      </c>
      <c r="BG61">
        <f>IF(Backend!BH88="", "", Backend!BH88)</f>
        <v>1</v>
      </c>
      <c r="BH61">
        <f>IF(Backend!BI88="", "", Backend!BI88)</f>
        <v>0.64245105000000002</v>
      </c>
      <c r="BI61" t="str">
        <f>IF(Backend!BJ88="", "", Backend!BJ88)</f>
        <v/>
      </c>
      <c r="BJ61" t="str">
        <f>IF(Backend!BK88="", "", Backend!BK88)</f>
        <v/>
      </c>
      <c r="BK61" t="str">
        <f>IF(Backend!BL88="", "", Backend!BL88)</f>
        <v/>
      </c>
      <c r="BL61" t="str">
        <f>IF(Backend!BM88="", "", Backend!BM88)</f>
        <v/>
      </c>
      <c r="BM61" t="str">
        <f>IF(Backend!BN88="", "", Backend!BN88)</f>
        <v/>
      </c>
      <c r="BN61" t="str">
        <f>IF(Backend!BO88="", "", Backend!BO88)</f>
        <v/>
      </c>
      <c r="BO61" t="str">
        <f>IF(Backend!BP88="", "", Backend!BP88)</f>
        <v/>
      </c>
      <c r="BP61" t="str">
        <f>IF(Backend!BQ88="", "", Backend!BQ88)</f>
        <v/>
      </c>
      <c r="BQ61" t="str">
        <f>IF(Backend!BR88="", "", Backend!BR88)</f>
        <v/>
      </c>
      <c r="BR61" t="str">
        <f>IF(Backend!BS88="", "", Backend!BS88)</f>
        <v/>
      </c>
      <c r="BS61" t="str">
        <f>IF(Backend!BT88="", "", Backend!BT88)</f>
        <v/>
      </c>
      <c r="BT61" t="str">
        <f>IF(Backend!BU88="", "", Backend!BU88)</f>
        <v/>
      </c>
      <c r="BU61" t="str">
        <f>IF(Backend!BV88="", "", Backend!BV88)</f>
        <v/>
      </c>
      <c r="BV61" t="str">
        <f>IF(Backend!BW88="", "", Backend!BW88)</f>
        <v/>
      </c>
      <c r="BW61" t="str">
        <f>IF(Backend!BX88="", "", Backend!BX88)</f>
        <v/>
      </c>
      <c r="BX61" t="str">
        <f>IF(Backend!BY88="", "", Backend!BY88)</f>
        <v/>
      </c>
      <c r="BY61" t="str">
        <f>IF(Backend!BZ88="", "", Backend!BZ88)</f>
        <v/>
      </c>
      <c r="BZ61" t="str">
        <f>IF(Backend!CA88="", "", Backend!CA88)</f>
        <v/>
      </c>
      <c r="CA61" t="str">
        <f>IF(Backend!CB88="", "", Backend!CB88)</f>
        <v/>
      </c>
      <c r="CB61" t="str">
        <f>IF(Backend!CC88="", "", Backend!CC88)</f>
        <v/>
      </c>
      <c r="CC61" t="str">
        <f>IF(Backend!CD88="", "", Backend!CD88)</f>
        <v/>
      </c>
    </row>
    <row r="62" spans="1:81" x14ac:dyDescent="0.25">
      <c r="A62" s="4" t="str">
        <f>IF(Backend!A89="", "", Backend!A89)</f>
        <v>WPP Plc</v>
      </c>
      <c r="B62">
        <f>IF(Backend!C89="", "", Backend!C89)</f>
        <v>0.61937003999999996</v>
      </c>
      <c r="C62">
        <f>IF(Backend!D89="", "", Backend!D89)</f>
        <v>0.62539</v>
      </c>
      <c r="D62">
        <f>IF(Backend!E89="", "", Backend!E89)</f>
        <v>0.66179860000000001</v>
      </c>
      <c r="E62">
        <f>IF(Backend!F89="", "", Backend!F89)</f>
        <v>0.77307459999999995</v>
      </c>
      <c r="F62">
        <f>IF(Backend!G89="", "", Backend!G89)</f>
        <v>0.32636150000000003</v>
      </c>
      <c r="G62">
        <f>IF(Backend!H89="", "", Backend!H89)</f>
        <v>0.6386252</v>
      </c>
      <c r="H62">
        <f>IF(Backend!I89="", "", Backend!I89)</f>
        <v>0.60250289999999995</v>
      </c>
      <c r="I62">
        <f>IF(Backend!J89="", "", Backend!J89)</f>
        <v>0.63342169999999998</v>
      </c>
      <c r="J62">
        <f>IF(Backend!K89="", "", Backend!K89)</f>
        <v>0.49117452</v>
      </c>
      <c r="K62">
        <f>IF(Backend!L89="", "", Backend!L89)</f>
        <v>0.13136030000000001</v>
      </c>
      <c r="L62">
        <f>IF(Backend!M89="", "", Backend!M89)</f>
        <v>0.58794550000000001</v>
      </c>
      <c r="M62">
        <f>IF(Backend!N89="", "", Backend!N89)</f>
        <v>0.71097429999999995</v>
      </c>
      <c r="N62">
        <f>IF(Backend!O89="", "", Backend!O89)</f>
        <v>0.40337709999999999</v>
      </c>
      <c r="O62">
        <f>IF(Backend!P89="", "", Backend!P89)</f>
        <v>0.78877589999999997</v>
      </c>
      <c r="P62">
        <f>IF(Backend!Q89="", "", Backend!Q89)</f>
        <v>-0.40725162999999998</v>
      </c>
      <c r="Q62">
        <f>IF(Backend!R89="", "", Backend!R89)</f>
        <v>0.22353986000000001</v>
      </c>
      <c r="R62">
        <f>IF(Backend!S89="", "", Backend!S89)</f>
        <v>0.50369319999999995</v>
      </c>
      <c r="S62">
        <f>IF(Backend!T89="", "", Backend!T89)</f>
        <v>-3.2881050000000002E-2</v>
      </c>
      <c r="T62">
        <f>IF(Backend!U89="", "", Backend!U89)</f>
        <v>0.43977407000000002</v>
      </c>
      <c r="U62">
        <f>IF(Backend!V89="", "", Backend!V89)</f>
        <v>-0.43064940000000002</v>
      </c>
      <c r="V62">
        <f>IF(Backend!W89="", "", Backend!W89)</f>
        <v>0.64534139999999995</v>
      </c>
      <c r="W62">
        <f>IF(Backend!X89="", "", Backend!X89)</f>
        <v>-0.48778394000000003</v>
      </c>
      <c r="X62">
        <f>IF(Backend!Y89="", "", Backend!Y89)</f>
        <v>0.76342577</v>
      </c>
      <c r="Y62">
        <f>IF(Backend!Z89="", "", Backend!Z89)</f>
        <v>-0.41708050000000002</v>
      </c>
      <c r="Z62">
        <f>IF(Backend!AA89="", "", Backend!AA89)</f>
        <v>0.70407116000000003</v>
      </c>
      <c r="AA62">
        <f>IF(Backend!AB89="", "", Backend!AB89)</f>
        <v>0.77254056999999998</v>
      </c>
      <c r="AB62">
        <f>IF(Backend!AC89="", "", Backend!AC89)</f>
        <v>0.7284775</v>
      </c>
      <c r="AC62">
        <f>IF(Backend!AD89="", "", Backend!AD89)</f>
        <v>0.60045194999999996</v>
      </c>
      <c r="AD62">
        <f>IF(Backend!AE89="", "", Backend!AE89)</f>
        <v>0.88121252999999999</v>
      </c>
      <c r="AE62">
        <f>IF(Backend!AF89="", "", Backend!AF89)</f>
        <v>0.40351817000000001</v>
      </c>
      <c r="AF62">
        <f>IF(Backend!AG89="", "", Backend!AG89)</f>
        <v>0.62035804999999999</v>
      </c>
      <c r="AG62">
        <f>IF(Backend!AH89="", "", Backend!AH89)</f>
        <v>-0.17039502000000001</v>
      </c>
      <c r="AH62">
        <f>IF(Backend!AI89="", "", Backend!AI89)</f>
        <v>-0.61691576000000004</v>
      </c>
      <c r="AI62">
        <f>IF(Backend!AJ89="", "", Backend!AJ89)</f>
        <v>-0.15150032999999999</v>
      </c>
      <c r="AJ62">
        <f>IF(Backend!AK89="", "", Backend!AK89)</f>
        <v>-0.5954102</v>
      </c>
      <c r="AK62">
        <f>IF(Backend!AL89="", "", Backend!AL89)</f>
        <v>0.67131567000000003</v>
      </c>
      <c r="AL62">
        <f>IF(Backend!AM89="", "", Backend!AM89)</f>
        <v>0.80661819999999995</v>
      </c>
      <c r="AM62">
        <f>IF(Backend!AN89="", "", Backend!AN89)</f>
        <v>-0.39267605999999999</v>
      </c>
      <c r="AN62">
        <f>IF(Backend!AO89="", "", Backend!AO89)</f>
        <v>0.65944190000000003</v>
      </c>
      <c r="AO62">
        <f>IF(Backend!AP89="", "", Backend!AP89)</f>
        <v>0.69274579999999997</v>
      </c>
      <c r="AP62">
        <f>IF(Backend!AQ89="", "", Backend!AQ89)</f>
        <v>0.65262633999999997</v>
      </c>
      <c r="AQ62">
        <f>IF(Backend!AR89="", "", Backend!AR89)</f>
        <v>0.17205271</v>
      </c>
      <c r="AR62">
        <f>IF(Backend!AS89="", "", Backend!AS89)</f>
        <v>0.39151216</v>
      </c>
      <c r="AS62">
        <f>IF(Backend!AT89="", "", Backend!AT89)</f>
        <v>-0.38900283000000002</v>
      </c>
      <c r="AT62">
        <f>IF(Backend!AU89="", "", Backend!AU89)</f>
        <v>-0.47569084</v>
      </c>
      <c r="AU62">
        <f>IF(Backend!AV89="", "", Backend!AV89)</f>
        <v>-0.72323590000000004</v>
      </c>
      <c r="AV62">
        <f>IF(Backend!AW89="", "", Backend!AW89)</f>
        <v>0.76443729999999999</v>
      </c>
      <c r="AW62">
        <f>IF(Backend!AX89="", "", Backend!AX89)</f>
        <v>0.71460520000000005</v>
      </c>
      <c r="AX62">
        <f>IF(Backend!AY89="", "", Backend!AY89)</f>
        <v>0.52931463999999995</v>
      </c>
      <c r="AY62">
        <f>IF(Backend!AZ89="", "", Backend!AZ89)</f>
        <v>-0.13407253</v>
      </c>
      <c r="AZ62">
        <f>IF(Backend!BA89="", "", Backend!BA89)</f>
        <v>0.67163059999999997</v>
      </c>
      <c r="BA62">
        <f>IF(Backend!BB89="", "", Backend!BB89)</f>
        <v>0.54967403000000004</v>
      </c>
      <c r="BB62">
        <f>IF(Backend!BC89="", "", Backend!BC89)</f>
        <v>0.58873295999999997</v>
      </c>
      <c r="BC62">
        <f>IF(Backend!BD89="", "", Backend!BD89)</f>
        <v>0.61973230000000001</v>
      </c>
      <c r="BD62">
        <f>IF(Backend!BE89="", "", Backend!BE89)</f>
        <v>0.69447464000000003</v>
      </c>
      <c r="BE62">
        <f>IF(Backend!BF89="", "", Backend!BF89)</f>
        <v>0.77383630000000003</v>
      </c>
      <c r="BF62">
        <f>IF(Backend!BG89="", "", Backend!BG89)</f>
        <v>0.72693050000000003</v>
      </c>
      <c r="BG62">
        <f>IF(Backend!BH89="", "", Backend!BH89)</f>
        <v>0.64245105000000002</v>
      </c>
      <c r="BH62">
        <f>IF(Backend!BI89="", "", Backend!BI89)</f>
        <v>1</v>
      </c>
      <c r="BI62" t="str">
        <f>IF(Backend!BJ89="", "", Backend!BJ89)</f>
        <v/>
      </c>
      <c r="BJ62" t="str">
        <f>IF(Backend!BK89="", "", Backend!BK89)</f>
        <v/>
      </c>
      <c r="BK62" t="str">
        <f>IF(Backend!BL89="", "", Backend!BL89)</f>
        <v/>
      </c>
      <c r="BL62" t="str">
        <f>IF(Backend!BM89="", "", Backend!BM89)</f>
        <v/>
      </c>
      <c r="BM62" t="str">
        <f>IF(Backend!BN89="", "", Backend!BN89)</f>
        <v/>
      </c>
      <c r="BN62" t="str">
        <f>IF(Backend!BO89="", "", Backend!BO89)</f>
        <v/>
      </c>
      <c r="BO62" t="str">
        <f>IF(Backend!BP89="", "", Backend!BP89)</f>
        <v/>
      </c>
      <c r="BP62" t="str">
        <f>IF(Backend!BQ89="", "", Backend!BQ89)</f>
        <v/>
      </c>
      <c r="BQ62" t="str">
        <f>IF(Backend!BR89="", "", Backend!BR89)</f>
        <v/>
      </c>
      <c r="BR62" t="str">
        <f>IF(Backend!BS89="", "", Backend!BS89)</f>
        <v/>
      </c>
      <c r="BS62" t="str">
        <f>IF(Backend!BT89="", "", Backend!BT89)</f>
        <v/>
      </c>
      <c r="BT62" t="str">
        <f>IF(Backend!BU89="", "", Backend!BU89)</f>
        <v/>
      </c>
      <c r="BU62" t="str">
        <f>IF(Backend!BV89="", "", Backend!BV89)</f>
        <v/>
      </c>
      <c r="BV62" t="str">
        <f>IF(Backend!BW89="", "", Backend!BW89)</f>
        <v/>
      </c>
      <c r="BW62" t="str">
        <f>IF(Backend!BX89="", "", Backend!BX89)</f>
        <v/>
      </c>
      <c r="BX62" t="str">
        <f>IF(Backend!BY89="", "", Backend!BY89)</f>
        <v/>
      </c>
      <c r="BY62" t="str">
        <f>IF(Backend!BZ89="", "", Backend!BZ89)</f>
        <v/>
      </c>
      <c r="BZ62" t="str">
        <f>IF(Backend!CA89="", "", Backend!CA89)</f>
        <v/>
      </c>
      <c r="CA62" t="str">
        <f>IF(Backend!CB89="", "", Backend!CB89)</f>
        <v/>
      </c>
      <c r="CB62" t="str">
        <f>IF(Backend!CC89="", "", Backend!CC89)</f>
        <v/>
      </c>
      <c r="CC62" t="str">
        <f>IF(Backend!CD89="", "", Backend!CD89)</f>
        <v/>
      </c>
    </row>
    <row r="63" spans="1:81" x14ac:dyDescent="0.25">
      <c r="A63" s="4" t="str">
        <f>IF(Backend!A90="", "", Backend!A90)</f>
        <v/>
      </c>
      <c r="B63" t="str">
        <f>IF(Backend!C90="", "", Backend!C90)</f>
        <v/>
      </c>
      <c r="C63" t="str">
        <f>IF(Backend!D90="", "", Backend!D90)</f>
        <v/>
      </c>
      <c r="D63" t="str">
        <f>IF(Backend!E90="", "", Backend!E90)</f>
        <v/>
      </c>
      <c r="E63" t="str">
        <f>IF(Backend!F90="", "", Backend!F90)</f>
        <v/>
      </c>
      <c r="F63" t="str">
        <f>IF(Backend!G90="", "", Backend!G90)</f>
        <v/>
      </c>
      <c r="G63" t="str">
        <f>IF(Backend!H90="", "", Backend!H90)</f>
        <v/>
      </c>
      <c r="H63" t="str">
        <f>IF(Backend!I90="", "", Backend!I90)</f>
        <v/>
      </c>
      <c r="I63" t="str">
        <f>IF(Backend!J90="", "", Backend!J90)</f>
        <v/>
      </c>
      <c r="J63" t="str">
        <f>IF(Backend!K90="", "", Backend!K90)</f>
        <v/>
      </c>
      <c r="K63" t="str">
        <f>IF(Backend!L90="", "", Backend!L90)</f>
        <v/>
      </c>
      <c r="L63" t="str">
        <f>IF(Backend!M90="", "", Backend!M90)</f>
        <v/>
      </c>
      <c r="M63" t="str">
        <f>IF(Backend!N90="", "", Backend!N90)</f>
        <v/>
      </c>
      <c r="N63" t="str">
        <f>IF(Backend!O90="", "", Backend!O90)</f>
        <v/>
      </c>
      <c r="O63" t="str">
        <f>IF(Backend!P90="", "", Backend!P90)</f>
        <v/>
      </c>
      <c r="P63" t="str">
        <f>IF(Backend!Q90="", "", Backend!Q90)</f>
        <v/>
      </c>
      <c r="Q63" t="str">
        <f>IF(Backend!R90="", "", Backend!R90)</f>
        <v/>
      </c>
      <c r="R63" t="str">
        <f>IF(Backend!S90="", "", Backend!S90)</f>
        <v/>
      </c>
      <c r="S63" t="str">
        <f>IF(Backend!T90="", "", Backend!T90)</f>
        <v/>
      </c>
      <c r="T63" t="str">
        <f>IF(Backend!U90="", "", Backend!U90)</f>
        <v/>
      </c>
      <c r="U63" t="str">
        <f>IF(Backend!V90="", "", Backend!V90)</f>
        <v/>
      </c>
      <c r="V63" t="str">
        <f>IF(Backend!W90="", "", Backend!W90)</f>
        <v/>
      </c>
      <c r="W63" t="str">
        <f>IF(Backend!X90="", "", Backend!X90)</f>
        <v/>
      </c>
      <c r="X63" t="str">
        <f>IF(Backend!Y90="", "", Backend!Y90)</f>
        <v/>
      </c>
      <c r="Y63" t="str">
        <f>IF(Backend!Z90="", "", Backend!Z90)</f>
        <v/>
      </c>
      <c r="Z63" t="str">
        <f>IF(Backend!AA90="", "", Backend!AA90)</f>
        <v/>
      </c>
      <c r="AA63" t="str">
        <f>IF(Backend!AB90="", "", Backend!AB90)</f>
        <v/>
      </c>
      <c r="AB63" t="str">
        <f>IF(Backend!AC90="", "", Backend!AC90)</f>
        <v/>
      </c>
      <c r="AC63" t="str">
        <f>IF(Backend!AD90="", "", Backend!AD90)</f>
        <v/>
      </c>
      <c r="AD63" t="str">
        <f>IF(Backend!AE90="", "", Backend!AE90)</f>
        <v/>
      </c>
      <c r="AE63" t="str">
        <f>IF(Backend!AF90="", "", Backend!AF90)</f>
        <v/>
      </c>
      <c r="AF63" t="str">
        <f>IF(Backend!AG90="", "", Backend!AG90)</f>
        <v/>
      </c>
      <c r="AG63" t="str">
        <f>IF(Backend!AH90="", "", Backend!AH90)</f>
        <v/>
      </c>
      <c r="AH63" t="str">
        <f>IF(Backend!AI90="", "", Backend!AI90)</f>
        <v/>
      </c>
      <c r="AI63" t="str">
        <f>IF(Backend!AJ90="", "", Backend!AJ90)</f>
        <v/>
      </c>
      <c r="AJ63" t="str">
        <f>IF(Backend!AK90="", "", Backend!AK90)</f>
        <v/>
      </c>
      <c r="AK63" t="str">
        <f>IF(Backend!AL90="", "", Backend!AL90)</f>
        <v/>
      </c>
      <c r="AL63" t="str">
        <f>IF(Backend!AM90="", "", Backend!AM90)</f>
        <v/>
      </c>
      <c r="AM63" t="str">
        <f>IF(Backend!AN90="", "", Backend!AN90)</f>
        <v/>
      </c>
      <c r="AN63" t="str">
        <f>IF(Backend!AO90="", "", Backend!AO90)</f>
        <v/>
      </c>
      <c r="AO63" t="str">
        <f>IF(Backend!AP90="", "", Backend!AP90)</f>
        <v/>
      </c>
      <c r="AP63" t="str">
        <f>IF(Backend!AQ90="", "", Backend!AQ90)</f>
        <v/>
      </c>
      <c r="AQ63" t="str">
        <f>IF(Backend!AR90="", "", Backend!AR90)</f>
        <v/>
      </c>
      <c r="AR63" t="str">
        <f>IF(Backend!AS90="", "", Backend!AS90)</f>
        <v/>
      </c>
      <c r="AS63" t="str">
        <f>IF(Backend!AT90="", "", Backend!AT90)</f>
        <v/>
      </c>
      <c r="AT63" t="str">
        <f>IF(Backend!AU90="", "", Backend!AU90)</f>
        <v/>
      </c>
      <c r="AU63" t="str">
        <f>IF(Backend!AV90="", "", Backend!AV90)</f>
        <v/>
      </c>
      <c r="AV63" t="str">
        <f>IF(Backend!AW90="", "", Backend!AW90)</f>
        <v/>
      </c>
      <c r="AW63" t="str">
        <f>IF(Backend!AX90="", "", Backend!AX90)</f>
        <v/>
      </c>
      <c r="AX63" t="str">
        <f>IF(Backend!AY90="", "", Backend!AY90)</f>
        <v/>
      </c>
      <c r="AY63" t="str">
        <f>IF(Backend!AZ90="", "", Backend!AZ90)</f>
        <v/>
      </c>
      <c r="AZ63" t="str">
        <f>IF(Backend!BA90="", "", Backend!BA90)</f>
        <v/>
      </c>
      <c r="BA63" t="str">
        <f>IF(Backend!BB90="", "", Backend!BB90)</f>
        <v/>
      </c>
      <c r="BB63" t="str">
        <f>IF(Backend!BC90="", "", Backend!BC90)</f>
        <v/>
      </c>
      <c r="BC63" t="str">
        <f>IF(Backend!BD90="", "", Backend!BD90)</f>
        <v/>
      </c>
      <c r="BD63" t="str">
        <f>IF(Backend!BE90="", "", Backend!BE90)</f>
        <v/>
      </c>
      <c r="BE63" t="str">
        <f>IF(Backend!BF90="", "", Backend!BF90)</f>
        <v/>
      </c>
      <c r="BF63" t="str">
        <f>IF(Backend!BG90="", "", Backend!BG90)</f>
        <v/>
      </c>
      <c r="BG63" t="str">
        <f>IF(Backend!BH90="", "", Backend!BH90)</f>
        <v/>
      </c>
      <c r="BH63" t="str">
        <f>IF(Backend!BI90="", "", Backend!BI90)</f>
        <v/>
      </c>
      <c r="BI63" t="str">
        <f>IF(Backend!BJ90="", "", Backend!BJ90)</f>
        <v/>
      </c>
      <c r="BJ63" t="str">
        <f>IF(Backend!BK90="", "", Backend!BK90)</f>
        <v/>
      </c>
      <c r="BK63" t="str">
        <f>IF(Backend!BL90="", "", Backend!BL90)</f>
        <v/>
      </c>
      <c r="BL63" t="str">
        <f>IF(Backend!BM90="", "", Backend!BM90)</f>
        <v/>
      </c>
      <c r="BM63" t="str">
        <f>IF(Backend!BN90="", "", Backend!BN90)</f>
        <v/>
      </c>
      <c r="BN63" t="str">
        <f>IF(Backend!BO90="", "", Backend!BO90)</f>
        <v/>
      </c>
      <c r="BO63" t="str">
        <f>IF(Backend!BP90="", "", Backend!BP90)</f>
        <v/>
      </c>
      <c r="BP63" t="str">
        <f>IF(Backend!BQ90="", "", Backend!BQ90)</f>
        <v/>
      </c>
      <c r="BQ63" t="str">
        <f>IF(Backend!BR90="", "", Backend!BR90)</f>
        <v/>
      </c>
      <c r="BR63" t="str">
        <f>IF(Backend!BS90="", "", Backend!BS90)</f>
        <v/>
      </c>
      <c r="BS63" t="str">
        <f>IF(Backend!BT90="", "", Backend!BT90)</f>
        <v/>
      </c>
      <c r="BT63" t="str">
        <f>IF(Backend!BU90="", "", Backend!BU90)</f>
        <v/>
      </c>
      <c r="BU63" t="str">
        <f>IF(Backend!BV90="", "", Backend!BV90)</f>
        <v/>
      </c>
      <c r="BV63" t="str">
        <f>IF(Backend!BW90="", "", Backend!BW90)</f>
        <v/>
      </c>
      <c r="BW63" t="str">
        <f>IF(Backend!BX90="", "", Backend!BX90)</f>
        <v/>
      </c>
      <c r="BX63" t="str">
        <f>IF(Backend!BY90="", "", Backend!BY90)</f>
        <v/>
      </c>
      <c r="BY63" t="str">
        <f>IF(Backend!BZ90="", "", Backend!BZ90)</f>
        <v/>
      </c>
      <c r="BZ63" t="str">
        <f>IF(Backend!CA90="", "", Backend!CA90)</f>
        <v/>
      </c>
      <c r="CA63" t="str">
        <f>IF(Backend!CB90="", "", Backend!CB90)</f>
        <v/>
      </c>
      <c r="CB63" t="str">
        <f>IF(Backend!CC90="", "", Backend!CC90)</f>
        <v/>
      </c>
      <c r="CC63" t="str">
        <f>IF(Backend!CD90="", "", Backend!CD90)</f>
        <v/>
      </c>
    </row>
    <row r="64" spans="1:81" x14ac:dyDescent="0.25">
      <c r="A64" s="4" t="str">
        <f>IF(Backend!A91="", "", Backend!A91)</f>
        <v/>
      </c>
      <c r="B64" t="str">
        <f>IF(Backend!C91="", "", Backend!C91)</f>
        <v/>
      </c>
      <c r="C64" t="str">
        <f>IF(Backend!D91="", "", Backend!D91)</f>
        <v/>
      </c>
      <c r="D64" t="str">
        <f>IF(Backend!E91="", "", Backend!E91)</f>
        <v/>
      </c>
      <c r="E64" t="str">
        <f>IF(Backend!F91="", "", Backend!F91)</f>
        <v/>
      </c>
      <c r="F64" t="str">
        <f>IF(Backend!G91="", "", Backend!G91)</f>
        <v/>
      </c>
      <c r="G64" t="str">
        <f>IF(Backend!H91="", "", Backend!H91)</f>
        <v/>
      </c>
      <c r="H64" t="str">
        <f>IF(Backend!I91="", "", Backend!I91)</f>
        <v/>
      </c>
      <c r="I64" t="str">
        <f>IF(Backend!J91="", "", Backend!J91)</f>
        <v/>
      </c>
      <c r="J64" t="str">
        <f>IF(Backend!K91="", "", Backend!K91)</f>
        <v/>
      </c>
      <c r="K64" t="str">
        <f>IF(Backend!L91="", "", Backend!L91)</f>
        <v/>
      </c>
      <c r="L64" t="str">
        <f>IF(Backend!M91="", "", Backend!M91)</f>
        <v/>
      </c>
      <c r="M64" t="str">
        <f>IF(Backend!N91="", "", Backend!N91)</f>
        <v/>
      </c>
      <c r="N64" t="str">
        <f>IF(Backend!O91="", "", Backend!O91)</f>
        <v/>
      </c>
      <c r="O64" t="str">
        <f>IF(Backend!P91="", "", Backend!P91)</f>
        <v/>
      </c>
      <c r="P64" t="str">
        <f>IF(Backend!Q91="", "", Backend!Q91)</f>
        <v/>
      </c>
      <c r="Q64" t="str">
        <f>IF(Backend!R91="", "", Backend!R91)</f>
        <v/>
      </c>
      <c r="R64" t="str">
        <f>IF(Backend!S91="", "", Backend!S91)</f>
        <v/>
      </c>
      <c r="S64" t="str">
        <f>IF(Backend!T91="", "", Backend!T91)</f>
        <v/>
      </c>
      <c r="T64" t="str">
        <f>IF(Backend!U91="", "", Backend!U91)</f>
        <v/>
      </c>
      <c r="U64" t="str">
        <f>IF(Backend!V91="", "", Backend!V91)</f>
        <v/>
      </c>
      <c r="V64" t="str">
        <f>IF(Backend!W91="", "", Backend!W91)</f>
        <v/>
      </c>
      <c r="W64" t="str">
        <f>IF(Backend!X91="", "", Backend!X91)</f>
        <v/>
      </c>
      <c r="X64" t="str">
        <f>IF(Backend!Y91="", "", Backend!Y91)</f>
        <v/>
      </c>
      <c r="Y64" t="str">
        <f>IF(Backend!Z91="", "", Backend!Z91)</f>
        <v/>
      </c>
      <c r="Z64" t="str">
        <f>IF(Backend!AA91="", "", Backend!AA91)</f>
        <v/>
      </c>
      <c r="AA64" t="str">
        <f>IF(Backend!AB91="", "", Backend!AB91)</f>
        <v/>
      </c>
      <c r="AB64" t="str">
        <f>IF(Backend!AC91="", "", Backend!AC91)</f>
        <v/>
      </c>
      <c r="AC64" t="str">
        <f>IF(Backend!AD91="", "", Backend!AD91)</f>
        <v/>
      </c>
      <c r="AD64" t="str">
        <f>IF(Backend!AE91="", "", Backend!AE91)</f>
        <v/>
      </c>
      <c r="AE64" t="str">
        <f>IF(Backend!AF91="", "", Backend!AF91)</f>
        <v/>
      </c>
      <c r="AF64" t="str">
        <f>IF(Backend!AG91="", "", Backend!AG91)</f>
        <v/>
      </c>
      <c r="AG64" t="str">
        <f>IF(Backend!AH91="", "", Backend!AH91)</f>
        <v/>
      </c>
      <c r="AH64" t="str">
        <f>IF(Backend!AI91="", "", Backend!AI91)</f>
        <v/>
      </c>
      <c r="AI64" t="str">
        <f>IF(Backend!AJ91="", "", Backend!AJ91)</f>
        <v/>
      </c>
      <c r="AJ64" t="str">
        <f>IF(Backend!AK91="", "", Backend!AK91)</f>
        <v/>
      </c>
      <c r="AK64" t="str">
        <f>IF(Backend!AL91="", "", Backend!AL91)</f>
        <v/>
      </c>
      <c r="AL64" t="str">
        <f>IF(Backend!AM91="", "", Backend!AM91)</f>
        <v/>
      </c>
      <c r="AM64" t="str">
        <f>IF(Backend!AN91="", "", Backend!AN91)</f>
        <v/>
      </c>
      <c r="AN64" t="str">
        <f>IF(Backend!AO91="", "", Backend!AO91)</f>
        <v/>
      </c>
      <c r="AO64" t="str">
        <f>IF(Backend!AP91="", "", Backend!AP91)</f>
        <v/>
      </c>
      <c r="AP64" t="str">
        <f>IF(Backend!AQ91="", "", Backend!AQ91)</f>
        <v/>
      </c>
      <c r="AQ64" t="str">
        <f>IF(Backend!AR91="", "", Backend!AR91)</f>
        <v/>
      </c>
      <c r="AR64" t="str">
        <f>IF(Backend!AS91="", "", Backend!AS91)</f>
        <v/>
      </c>
      <c r="AS64" t="str">
        <f>IF(Backend!AT91="", "", Backend!AT91)</f>
        <v/>
      </c>
      <c r="AT64" t="str">
        <f>IF(Backend!AU91="", "", Backend!AU91)</f>
        <v/>
      </c>
      <c r="AU64" t="str">
        <f>IF(Backend!AV91="", "", Backend!AV91)</f>
        <v/>
      </c>
      <c r="AV64" t="str">
        <f>IF(Backend!AW91="", "", Backend!AW91)</f>
        <v/>
      </c>
      <c r="AW64" t="str">
        <f>IF(Backend!AX91="", "", Backend!AX91)</f>
        <v/>
      </c>
      <c r="AX64" t="str">
        <f>IF(Backend!AY91="", "", Backend!AY91)</f>
        <v/>
      </c>
      <c r="AY64" t="str">
        <f>IF(Backend!AZ91="", "", Backend!AZ91)</f>
        <v/>
      </c>
      <c r="AZ64" t="str">
        <f>IF(Backend!BA91="", "", Backend!BA91)</f>
        <v/>
      </c>
      <c r="BA64" t="str">
        <f>IF(Backend!BB91="", "", Backend!BB91)</f>
        <v/>
      </c>
      <c r="BB64" t="str">
        <f>IF(Backend!BC91="", "", Backend!BC91)</f>
        <v/>
      </c>
      <c r="BC64" t="str">
        <f>IF(Backend!BD91="", "", Backend!BD91)</f>
        <v/>
      </c>
      <c r="BD64" t="str">
        <f>IF(Backend!BE91="", "", Backend!BE91)</f>
        <v/>
      </c>
      <c r="BE64" t="str">
        <f>IF(Backend!BF91="", "", Backend!BF91)</f>
        <v/>
      </c>
      <c r="BF64" t="str">
        <f>IF(Backend!BG91="", "", Backend!BG91)</f>
        <v/>
      </c>
      <c r="BG64" t="str">
        <f>IF(Backend!BH91="", "", Backend!BH91)</f>
        <v/>
      </c>
      <c r="BH64" t="str">
        <f>IF(Backend!BI91="", "", Backend!BI91)</f>
        <v/>
      </c>
      <c r="BI64" t="str">
        <f>IF(Backend!BJ91="", "", Backend!BJ91)</f>
        <v/>
      </c>
      <c r="BJ64" t="str">
        <f>IF(Backend!BK91="", "", Backend!BK91)</f>
        <v/>
      </c>
      <c r="BK64" t="str">
        <f>IF(Backend!BL91="", "", Backend!BL91)</f>
        <v/>
      </c>
      <c r="BL64" t="str">
        <f>IF(Backend!BM91="", "", Backend!BM91)</f>
        <v/>
      </c>
      <c r="BM64" t="str">
        <f>IF(Backend!BN91="", "", Backend!BN91)</f>
        <v/>
      </c>
      <c r="BN64" t="str">
        <f>IF(Backend!BO91="", "", Backend!BO91)</f>
        <v/>
      </c>
      <c r="BO64" t="str">
        <f>IF(Backend!BP91="", "", Backend!BP91)</f>
        <v/>
      </c>
      <c r="BP64" t="str">
        <f>IF(Backend!BQ91="", "", Backend!BQ91)</f>
        <v/>
      </c>
      <c r="BQ64" t="str">
        <f>IF(Backend!BR91="", "", Backend!BR91)</f>
        <v/>
      </c>
      <c r="BR64" t="str">
        <f>IF(Backend!BS91="", "", Backend!BS91)</f>
        <v/>
      </c>
      <c r="BS64" t="str">
        <f>IF(Backend!BT91="", "", Backend!BT91)</f>
        <v/>
      </c>
      <c r="BT64" t="str">
        <f>IF(Backend!BU91="", "", Backend!BU91)</f>
        <v/>
      </c>
      <c r="BU64" t="str">
        <f>IF(Backend!BV91="", "", Backend!BV91)</f>
        <v/>
      </c>
      <c r="BV64" t="str">
        <f>IF(Backend!BW91="", "", Backend!BW91)</f>
        <v/>
      </c>
      <c r="BW64" t="str">
        <f>IF(Backend!BX91="", "", Backend!BX91)</f>
        <v/>
      </c>
      <c r="BX64" t="str">
        <f>IF(Backend!BY91="", "", Backend!BY91)</f>
        <v/>
      </c>
      <c r="BY64" t="str">
        <f>IF(Backend!BZ91="", "", Backend!BZ91)</f>
        <v/>
      </c>
      <c r="BZ64" t="str">
        <f>IF(Backend!CA91="", "", Backend!CA91)</f>
        <v/>
      </c>
      <c r="CA64" t="str">
        <f>IF(Backend!CB91="", "", Backend!CB91)</f>
        <v/>
      </c>
      <c r="CB64" t="str">
        <f>IF(Backend!CC91="", "", Backend!CC91)</f>
        <v/>
      </c>
      <c r="CC64" t="str">
        <f>IF(Backend!CD91="", "", Backend!CD91)</f>
        <v/>
      </c>
    </row>
    <row r="65" spans="1:81" x14ac:dyDescent="0.25">
      <c r="A65" s="4" t="str">
        <f>IF(Backend!A92="", "", Backend!A92)</f>
        <v/>
      </c>
      <c r="B65" t="str">
        <f>IF(Backend!C92="", "", Backend!C92)</f>
        <v/>
      </c>
      <c r="C65" t="str">
        <f>IF(Backend!D92="", "", Backend!D92)</f>
        <v/>
      </c>
      <c r="D65" t="str">
        <f>IF(Backend!E92="", "", Backend!E92)</f>
        <v/>
      </c>
      <c r="E65" t="str">
        <f>IF(Backend!F92="", "", Backend!F92)</f>
        <v/>
      </c>
      <c r="F65" t="str">
        <f>IF(Backend!G92="", "", Backend!G92)</f>
        <v/>
      </c>
      <c r="G65" t="str">
        <f>IF(Backend!H92="", "", Backend!H92)</f>
        <v/>
      </c>
      <c r="H65" t="str">
        <f>IF(Backend!I92="", "", Backend!I92)</f>
        <v/>
      </c>
      <c r="I65" t="str">
        <f>IF(Backend!J92="", "", Backend!J92)</f>
        <v/>
      </c>
      <c r="J65" t="str">
        <f>IF(Backend!K92="", "", Backend!K92)</f>
        <v/>
      </c>
      <c r="K65" t="str">
        <f>IF(Backend!L92="", "", Backend!L92)</f>
        <v/>
      </c>
      <c r="L65" t="str">
        <f>IF(Backend!M92="", "", Backend!M92)</f>
        <v/>
      </c>
      <c r="M65" t="str">
        <f>IF(Backend!N92="", "", Backend!N92)</f>
        <v/>
      </c>
      <c r="N65" t="str">
        <f>IF(Backend!O92="", "", Backend!O92)</f>
        <v/>
      </c>
      <c r="O65" t="str">
        <f>IF(Backend!P92="", "", Backend!P92)</f>
        <v/>
      </c>
      <c r="P65" t="str">
        <f>IF(Backend!Q92="", "", Backend!Q92)</f>
        <v/>
      </c>
      <c r="Q65" t="str">
        <f>IF(Backend!R92="", "", Backend!R92)</f>
        <v/>
      </c>
      <c r="R65" t="str">
        <f>IF(Backend!S92="", "", Backend!S92)</f>
        <v/>
      </c>
      <c r="S65" t="str">
        <f>IF(Backend!T92="", "", Backend!T92)</f>
        <v/>
      </c>
      <c r="T65" t="str">
        <f>IF(Backend!U92="", "", Backend!U92)</f>
        <v/>
      </c>
      <c r="U65" t="str">
        <f>IF(Backend!V92="", "", Backend!V92)</f>
        <v/>
      </c>
      <c r="V65" t="str">
        <f>IF(Backend!W92="", "", Backend!W92)</f>
        <v/>
      </c>
      <c r="W65" t="str">
        <f>IF(Backend!X92="", "", Backend!X92)</f>
        <v/>
      </c>
      <c r="X65" t="str">
        <f>IF(Backend!Y92="", "", Backend!Y92)</f>
        <v/>
      </c>
      <c r="Y65" t="str">
        <f>IF(Backend!Z92="", "", Backend!Z92)</f>
        <v/>
      </c>
      <c r="Z65" t="str">
        <f>IF(Backend!AA92="", "", Backend!AA92)</f>
        <v/>
      </c>
      <c r="AA65" t="str">
        <f>IF(Backend!AB92="", "", Backend!AB92)</f>
        <v/>
      </c>
      <c r="AB65" t="str">
        <f>IF(Backend!AC92="", "", Backend!AC92)</f>
        <v/>
      </c>
      <c r="AC65" t="str">
        <f>IF(Backend!AD92="", "", Backend!AD92)</f>
        <v/>
      </c>
      <c r="AD65" t="str">
        <f>IF(Backend!AE92="", "", Backend!AE92)</f>
        <v/>
      </c>
      <c r="AE65" t="str">
        <f>IF(Backend!AF92="", "", Backend!AF92)</f>
        <v/>
      </c>
      <c r="AF65" t="str">
        <f>IF(Backend!AG92="", "", Backend!AG92)</f>
        <v/>
      </c>
      <c r="AG65" t="str">
        <f>IF(Backend!AH92="", "", Backend!AH92)</f>
        <v/>
      </c>
      <c r="AH65" t="str">
        <f>IF(Backend!AI92="", "", Backend!AI92)</f>
        <v/>
      </c>
      <c r="AI65" t="str">
        <f>IF(Backend!AJ92="", "", Backend!AJ92)</f>
        <v/>
      </c>
      <c r="AJ65" t="str">
        <f>IF(Backend!AK92="", "", Backend!AK92)</f>
        <v/>
      </c>
      <c r="AK65" t="str">
        <f>IF(Backend!AL92="", "", Backend!AL92)</f>
        <v/>
      </c>
      <c r="AL65" t="str">
        <f>IF(Backend!AM92="", "", Backend!AM92)</f>
        <v/>
      </c>
      <c r="AM65" t="str">
        <f>IF(Backend!AN92="", "", Backend!AN92)</f>
        <v/>
      </c>
      <c r="AN65" t="str">
        <f>IF(Backend!AO92="", "", Backend!AO92)</f>
        <v/>
      </c>
      <c r="AO65" t="str">
        <f>IF(Backend!AP92="", "", Backend!AP92)</f>
        <v/>
      </c>
      <c r="AP65" t="str">
        <f>IF(Backend!AQ92="", "", Backend!AQ92)</f>
        <v/>
      </c>
      <c r="AQ65" t="str">
        <f>IF(Backend!AR92="", "", Backend!AR92)</f>
        <v/>
      </c>
      <c r="AR65" t="str">
        <f>IF(Backend!AS92="", "", Backend!AS92)</f>
        <v/>
      </c>
      <c r="AS65" t="str">
        <f>IF(Backend!AT92="", "", Backend!AT92)</f>
        <v/>
      </c>
      <c r="AT65" t="str">
        <f>IF(Backend!AU92="", "", Backend!AU92)</f>
        <v/>
      </c>
      <c r="AU65" t="str">
        <f>IF(Backend!AV92="", "", Backend!AV92)</f>
        <v/>
      </c>
      <c r="AV65" t="str">
        <f>IF(Backend!AW92="", "", Backend!AW92)</f>
        <v/>
      </c>
      <c r="AW65" t="str">
        <f>IF(Backend!AX92="", "", Backend!AX92)</f>
        <v/>
      </c>
      <c r="AX65" t="str">
        <f>IF(Backend!AY92="", "", Backend!AY92)</f>
        <v/>
      </c>
      <c r="AY65" t="str">
        <f>IF(Backend!AZ92="", "", Backend!AZ92)</f>
        <v/>
      </c>
      <c r="AZ65" t="str">
        <f>IF(Backend!BA92="", "", Backend!BA92)</f>
        <v/>
      </c>
      <c r="BA65" t="str">
        <f>IF(Backend!BB92="", "", Backend!BB92)</f>
        <v/>
      </c>
      <c r="BB65" t="str">
        <f>IF(Backend!BC92="", "", Backend!BC92)</f>
        <v/>
      </c>
      <c r="BC65" t="str">
        <f>IF(Backend!BD92="", "", Backend!BD92)</f>
        <v/>
      </c>
      <c r="BD65" t="str">
        <f>IF(Backend!BE92="", "", Backend!BE92)</f>
        <v/>
      </c>
      <c r="BE65" t="str">
        <f>IF(Backend!BF92="", "", Backend!BF92)</f>
        <v/>
      </c>
      <c r="BF65" t="str">
        <f>IF(Backend!BG92="", "", Backend!BG92)</f>
        <v/>
      </c>
      <c r="BG65" t="str">
        <f>IF(Backend!BH92="", "", Backend!BH92)</f>
        <v/>
      </c>
      <c r="BH65" t="str">
        <f>IF(Backend!BI92="", "", Backend!BI92)</f>
        <v/>
      </c>
      <c r="BI65" t="str">
        <f>IF(Backend!BJ92="", "", Backend!BJ92)</f>
        <v/>
      </c>
      <c r="BJ65" t="str">
        <f>IF(Backend!BK92="", "", Backend!BK92)</f>
        <v/>
      </c>
      <c r="BK65" t="str">
        <f>IF(Backend!BL92="", "", Backend!BL92)</f>
        <v/>
      </c>
      <c r="BL65" t="str">
        <f>IF(Backend!BM92="", "", Backend!BM92)</f>
        <v/>
      </c>
      <c r="BM65" t="str">
        <f>IF(Backend!BN92="", "", Backend!BN92)</f>
        <v/>
      </c>
      <c r="BN65" t="str">
        <f>IF(Backend!BO92="", "", Backend!BO92)</f>
        <v/>
      </c>
      <c r="BO65" t="str">
        <f>IF(Backend!BP92="", "", Backend!BP92)</f>
        <v/>
      </c>
      <c r="BP65" t="str">
        <f>IF(Backend!BQ92="", "", Backend!BQ92)</f>
        <v/>
      </c>
      <c r="BQ65" t="str">
        <f>IF(Backend!BR92="", "", Backend!BR92)</f>
        <v/>
      </c>
      <c r="BR65" t="str">
        <f>IF(Backend!BS92="", "", Backend!BS92)</f>
        <v/>
      </c>
      <c r="BS65" t="str">
        <f>IF(Backend!BT92="", "", Backend!BT92)</f>
        <v/>
      </c>
      <c r="BT65" t="str">
        <f>IF(Backend!BU92="", "", Backend!BU92)</f>
        <v/>
      </c>
      <c r="BU65" t="str">
        <f>IF(Backend!BV92="", "", Backend!BV92)</f>
        <v/>
      </c>
      <c r="BV65" t="str">
        <f>IF(Backend!BW92="", "", Backend!BW92)</f>
        <v/>
      </c>
      <c r="BW65" t="str">
        <f>IF(Backend!BX92="", "", Backend!BX92)</f>
        <v/>
      </c>
      <c r="BX65" t="str">
        <f>IF(Backend!BY92="", "", Backend!BY92)</f>
        <v/>
      </c>
      <c r="BY65" t="str">
        <f>IF(Backend!BZ92="", "", Backend!BZ92)</f>
        <v/>
      </c>
      <c r="BZ65" t="str">
        <f>IF(Backend!CA92="", "", Backend!CA92)</f>
        <v/>
      </c>
      <c r="CA65" t="str">
        <f>IF(Backend!CB92="", "", Backend!CB92)</f>
        <v/>
      </c>
      <c r="CB65" t="str">
        <f>IF(Backend!CC92="", "", Backend!CC92)</f>
        <v/>
      </c>
      <c r="CC65" t="str">
        <f>IF(Backend!CD92="", "", Backend!CD92)</f>
        <v/>
      </c>
    </row>
    <row r="66" spans="1:81" x14ac:dyDescent="0.25">
      <c r="A66" s="4" t="str">
        <f>IF(Backend!A93="", "", Backend!A93)</f>
        <v/>
      </c>
      <c r="B66" t="str">
        <f>IF(Backend!C93="", "", Backend!C93)</f>
        <v/>
      </c>
      <c r="C66" t="str">
        <f>IF(Backend!D93="", "", Backend!D93)</f>
        <v/>
      </c>
      <c r="D66" t="str">
        <f>IF(Backend!E93="", "", Backend!E93)</f>
        <v/>
      </c>
      <c r="E66" t="str">
        <f>IF(Backend!F93="", "", Backend!F93)</f>
        <v/>
      </c>
      <c r="F66" t="str">
        <f>IF(Backend!G93="", "", Backend!G93)</f>
        <v/>
      </c>
      <c r="G66" t="str">
        <f>IF(Backend!H93="", "", Backend!H93)</f>
        <v/>
      </c>
      <c r="H66" t="str">
        <f>IF(Backend!I93="", "", Backend!I93)</f>
        <v/>
      </c>
      <c r="I66" t="str">
        <f>IF(Backend!J93="", "", Backend!J93)</f>
        <v/>
      </c>
      <c r="J66" t="str">
        <f>IF(Backend!K93="", "", Backend!K93)</f>
        <v/>
      </c>
      <c r="K66" t="str">
        <f>IF(Backend!L93="", "", Backend!L93)</f>
        <v/>
      </c>
      <c r="L66" t="str">
        <f>IF(Backend!M93="", "", Backend!M93)</f>
        <v/>
      </c>
      <c r="M66" t="str">
        <f>IF(Backend!N93="", "", Backend!N93)</f>
        <v/>
      </c>
      <c r="N66" t="str">
        <f>IF(Backend!O93="", "", Backend!O93)</f>
        <v/>
      </c>
      <c r="O66" t="str">
        <f>IF(Backend!P93="", "", Backend!P93)</f>
        <v/>
      </c>
      <c r="P66" t="str">
        <f>IF(Backend!Q93="", "", Backend!Q93)</f>
        <v/>
      </c>
      <c r="Q66" t="str">
        <f>IF(Backend!R93="", "", Backend!R93)</f>
        <v/>
      </c>
      <c r="R66" t="str">
        <f>IF(Backend!S93="", "", Backend!S93)</f>
        <v/>
      </c>
      <c r="S66" t="str">
        <f>IF(Backend!T93="", "", Backend!T93)</f>
        <v/>
      </c>
      <c r="T66" t="str">
        <f>IF(Backend!U93="", "", Backend!U93)</f>
        <v/>
      </c>
      <c r="U66" t="str">
        <f>IF(Backend!V93="", "", Backend!V93)</f>
        <v/>
      </c>
      <c r="V66" t="str">
        <f>IF(Backend!W93="", "", Backend!W93)</f>
        <v/>
      </c>
      <c r="W66" t="str">
        <f>IF(Backend!X93="", "", Backend!X93)</f>
        <v/>
      </c>
      <c r="X66" t="str">
        <f>IF(Backend!Y93="", "", Backend!Y93)</f>
        <v/>
      </c>
      <c r="Y66" t="str">
        <f>IF(Backend!Z93="", "", Backend!Z93)</f>
        <v/>
      </c>
      <c r="Z66" t="str">
        <f>IF(Backend!AA93="", "", Backend!AA93)</f>
        <v/>
      </c>
      <c r="AA66" t="str">
        <f>IF(Backend!AB93="", "", Backend!AB93)</f>
        <v/>
      </c>
      <c r="AB66" t="str">
        <f>IF(Backend!AC93="", "", Backend!AC93)</f>
        <v/>
      </c>
      <c r="AC66" t="str">
        <f>IF(Backend!AD93="", "", Backend!AD93)</f>
        <v/>
      </c>
      <c r="AD66" t="str">
        <f>IF(Backend!AE93="", "", Backend!AE93)</f>
        <v/>
      </c>
      <c r="AE66" t="str">
        <f>IF(Backend!AF93="", "", Backend!AF93)</f>
        <v/>
      </c>
      <c r="AF66" t="str">
        <f>IF(Backend!AG93="", "", Backend!AG93)</f>
        <v/>
      </c>
      <c r="AG66" t="str">
        <f>IF(Backend!AH93="", "", Backend!AH93)</f>
        <v/>
      </c>
      <c r="AH66" t="str">
        <f>IF(Backend!AI93="", "", Backend!AI93)</f>
        <v/>
      </c>
      <c r="AI66" t="str">
        <f>IF(Backend!AJ93="", "", Backend!AJ93)</f>
        <v/>
      </c>
      <c r="AJ66" t="str">
        <f>IF(Backend!AK93="", "", Backend!AK93)</f>
        <v/>
      </c>
      <c r="AK66" t="str">
        <f>IF(Backend!AL93="", "", Backend!AL93)</f>
        <v/>
      </c>
      <c r="AL66" t="str">
        <f>IF(Backend!AM93="", "", Backend!AM93)</f>
        <v/>
      </c>
      <c r="AM66" t="str">
        <f>IF(Backend!AN93="", "", Backend!AN93)</f>
        <v/>
      </c>
      <c r="AN66" t="str">
        <f>IF(Backend!AO93="", "", Backend!AO93)</f>
        <v/>
      </c>
      <c r="AO66" t="str">
        <f>IF(Backend!AP93="", "", Backend!AP93)</f>
        <v/>
      </c>
      <c r="AP66" t="str">
        <f>IF(Backend!AQ93="", "", Backend!AQ93)</f>
        <v/>
      </c>
      <c r="AQ66" t="str">
        <f>IF(Backend!AR93="", "", Backend!AR93)</f>
        <v/>
      </c>
      <c r="AR66" t="str">
        <f>IF(Backend!AS93="", "", Backend!AS93)</f>
        <v/>
      </c>
      <c r="AS66" t="str">
        <f>IF(Backend!AT93="", "", Backend!AT93)</f>
        <v/>
      </c>
      <c r="AT66" t="str">
        <f>IF(Backend!AU93="", "", Backend!AU93)</f>
        <v/>
      </c>
      <c r="AU66" t="str">
        <f>IF(Backend!AV93="", "", Backend!AV93)</f>
        <v/>
      </c>
      <c r="AV66" t="str">
        <f>IF(Backend!AW93="", "", Backend!AW93)</f>
        <v/>
      </c>
      <c r="AW66" t="str">
        <f>IF(Backend!AX93="", "", Backend!AX93)</f>
        <v/>
      </c>
      <c r="AX66" t="str">
        <f>IF(Backend!AY93="", "", Backend!AY93)</f>
        <v/>
      </c>
      <c r="AY66" t="str">
        <f>IF(Backend!AZ93="", "", Backend!AZ93)</f>
        <v/>
      </c>
      <c r="AZ66" t="str">
        <f>IF(Backend!BA93="", "", Backend!BA93)</f>
        <v/>
      </c>
      <c r="BA66" t="str">
        <f>IF(Backend!BB93="", "", Backend!BB93)</f>
        <v/>
      </c>
      <c r="BB66" t="str">
        <f>IF(Backend!BC93="", "", Backend!BC93)</f>
        <v/>
      </c>
      <c r="BC66" t="str">
        <f>IF(Backend!BD93="", "", Backend!BD93)</f>
        <v/>
      </c>
      <c r="BD66" t="str">
        <f>IF(Backend!BE93="", "", Backend!BE93)</f>
        <v/>
      </c>
      <c r="BE66" t="str">
        <f>IF(Backend!BF93="", "", Backend!BF93)</f>
        <v/>
      </c>
      <c r="BF66" t="str">
        <f>IF(Backend!BG93="", "", Backend!BG93)</f>
        <v/>
      </c>
      <c r="BG66" t="str">
        <f>IF(Backend!BH93="", "", Backend!BH93)</f>
        <v/>
      </c>
      <c r="BH66" t="str">
        <f>IF(Backend!BI93="", "", Backend!BI93)</f>
        <v/>
      </c>
      <c r="BI66" t="str">
        <f>IF(Backend!BJ93="", "", Backend!BJ93)</f>
        <v/>
      </c>
      <c r="BJ66" t="str">
        <f>IF(Backend!BK93="", "", Backend!BK93)</f>
        <v/>
      </c>
      <c r="BK66" t="str">
        <f>IF(Backend!BL93="", "", Backend!BL93)</f>
        <v/>
      </c>
      <c r="BL66" t="str">
        <f>IF(Backend!BM93="", "", Backend!BM93)</f>
        <v/>
      </c>
      <c r="BM66" t="str">
        <f>IF(Backend!BN93="", "", Backend!BN93)</f>
        <v/>
      </c>
      <c r="BN66" t="str">
        <f>IF(Backend!BO93="", "", Backend!BO93)</f>
        <v/>
      </c>
      <c r="BO66" t="str">
        <f>IF(Backend!BP93="", "", Backend!BP93)</f>
        <v/>
      </c>
      <c r="BP66" t="str">
        <f>IF(Backend!BQ93="", "", Backend!BQ93)</f>
        <v/>
      </c>
      <c r="BQ66" t="str">
        <f>IF(Backend!BR93="", "", Backend!BR93)</f>
        <v/>
      </c>
      <c r="BR66" t="str">
        <f>IF(Backend!BS93="", "", Backend!BS93)</f>
        <v/>
      </c>
      <c r="BS66" t="str">
        <f>IF(Backend!BT93="", "", Backend!BT93)</f>
        <v/>
      </c>
      <c r="BT66" t="str">
        <f>IF(Backend!BU93="", "", Backend!BU93)</f>
        <v/>
      </c>
      <c r="BU66" t="str">
        <f>IF(Backend!BV93="", "", Backend!BV93)</f>
        <v/>
      </c>
      <c r="BV66" t="str">
        <f>IF(Backend!BW93="", "", Backend!BW93)</f>
        <v/>
      </c>
      <c r="BW66" t="str">
        <f>IF(Backend!BX93="", "", Backend!BX93)</f>
        <v/>
      </c>
      <c r="BX66" t="str">
        <f>IF(Backend!BY93="", "", Backend!BY93)</f>
        <v/>
      </c>
      <c r="BY66" t="str">
        <f>IF(Backend!BZ93="", "", Backend!BZ93)</f>
        <v/>
      </c>
      <c r="BZ66" t="str">
        <f>IF(Backend!CA93="", "", Backend!CA93)</f>
        <v/>
      </c>
      <c r="CA66" t="str">
        <f>IF(Backend!CB93="", "", Backend!CB93)</f>
        <v/>
      </c>
      <c r="CB66" t="str">
        <f>IF(Backend!CC93="", "", Backend!CC93)</f>
        <v/>
      </c>
      <c r="CC66" t="str">
        <f>IF(Backend!CD93="", "", Backend!CD93)</f>
        <v/>
      </c>
    </row>
    <row r="67" spans="1:81" x14ac:dyDescent="0.25">
      <c r="A67" s="4" t="str">
        <f>IF(Backend!A94="", "", Backend!A94)</f>
        <v/>
      </c>
      <c r="B67" t="str">
        <f>IF(Backend!C94="", "", Backend!C94)</f>
        <v/>
      </c>
      <c r="C67" t="str">
        <f>IF(Backend!D94="", "", Backend!D94)</f>
        <v/>
      </c>
      <c r="D67" t="str">
        <f>IF(Backend!E94="", "", Backend!E94)</f>
        <v/>
      </c>
      <c r="E67" t="str">
        <f>IF(Backend!F94="", "", Backend!F94)</f>
        <v/>
      </c>
      <c r="F67" t="str">
        <f>IF(Backend!G94="", "", Backend!G94)</f>
        <v/>
      </c>
      <c r="G67" t="str">
        <f>IF(Backend!H94="", "", Backend!H94)</f>
        <v/>
      </c>
      <c r="H67" t="str">
        <f>IF(Backend!I94="", "", Backend!I94)</f>
        <v/>
      </c>
      <c r="I67" t="str">
        <f>IF(Backend!J94="", "", Backend!J94)</f>
        <v/>
      </c>
      <c r="J67" t="str">
        <f>IF(Backend!K94="", "", Backend!K94)</f>
        <v/>
      </c>
      <c r="K67" t="str">
        <f>IF(Backend!L94="", "", Backend!L94)</f>
        <v/>
      </c>
      <c r="L67" t="str">
        <f>IF(Backend!M94="", "", Backend!M94)</f>
        <v/>
      </c>
      <c r="M67" t="str">
        <f>IF(Backend!N94="", "", Backend!N94)</f>
        <v/>
      </c>
      <c r="N67" t="str">
        <f>IF(Backend!O94="", "", Backend!O94)</f>
        <v/>
      </c>
      <c r="O67" t="str">
        <f>IF(Backend!P94="", "", Backend!P94)</f>
        <v/>
      </c>
      <c r="P67" t="str">
        <f>IF(Backend!Q94="", "", Backend!Q94)</f>
        <v/>
      </c>
      <c r="Q67" t="str">
        <f>IF(Backend!R94="", "", Backend!R94)</f>
        <v/>
      </c>
      <c r="R67" t="str">
        <f>IF(Backend!S94="", "", Backend!S94)</f>
        <v/>
      </c>
      <c r="S67" t="str">
        <f>IF(Backend!T94="", "", Backend!T94)</f>
        <v/>
      </c>
      <c r="T67" t="str">
        <f>IF(Backend!U94="", "", Backend!U94)</f>
        <v/>
      </c>
      <c r="U67" t="str">
        <f>IF(Backend!V94="", "", Backend!V94)</f>
        <v/>
      </c>
      <c r="V67" t="str">
        <f>IF(Backend!W94="", "", Backend!W94)</f>
        <v/>
      </c>
      <c r="W67" t="str">
        <f>IF(Backend!X94="", "", Backend!X94)</f>
        <v/>
      </c>
      <c r="X67" t="str">
        <f>IF(Backend!Y94="", "", Backend!Y94)</f>
        <v/>
      </c>
      <c r="Y67" t="str">
        <f>IF(Backend!Z94="", "", Backend!Z94)</f>
        <v/>
      </c>
      <c r="Z67" t="str">
        <f>IF(Backend!AA94="", "", Backend!AA94)</f>
        <v/>
      </c>
      <c r="AA67" t="str">
        <f>IF(Backend!AB94="", "", Backend!AB94)</f>
        <v/>
      </c>
      <c r="AB67" t="str">
        <f>IF(Backend!AC94="", "", Backend!AC94)</f>
        <v/>
      </c>
      <c r="AC67" t="str">
        <f>IF(Backend!AD94="", "", Backend!AD94)</f>
        <v/>
      </c>
      <c r="AD67" t="str">
        <f>IF(Backend!AE94="", "", Backend!AE94)</f>
        <v/>
      </c>
      <c r="AE67" t="str">
        <f>IF(Backend!AF94="", "", Backend!AF94)</f>
        <v/>
      </c>
      <c r="AF67" t="str">
        <f>IF(Backend!AG94="", "", Backend!AG94)</f>
        <v/>
      </c>
      <c r="AG67" t="str">
        <f>IF(Backend!AH94="", "", Backend!AH94)</f>
        <v/>
      </c>
      <c r="AH67" t="str">
        <f>IF(Backend!AI94="", "", Backend!AI94)</f>
        <v/>
      </c>
      <c r="AI67" t="str">
        <f>IF(Backend!AJ94="", "", Backend!AJ94)</f>
        <v/>
      </c>
      <c r="AJ67" t="str">
        <f>IF(Backend!AK94="", "", Backend!AK94)</f>
        <v/>
      </c>
      <c r="AK67" t="str">
        <f>IF(Backend!AL94="", "", Backend!AL94)</f>
        <v/>
      </c>
      <c r="AL67" t="str">
        <f>IF(Backend!AM94="", "", Backend!AM94)</f>
        <v/>
      </c>
      <c r="AM67" t="str">
        <f>IF(Backend!AN94="", "", Backend!AN94)</f>
        <v/>
      </c>
      <c r="AN67" t="str">
        <f>IF(Backend!AO94="", "", Backend!AO94)</f>
        <v/>
      </c>
      <c r="AO67" t="str">
        <f>IF(Backend!AP94="", "", Backend!AP94)</f>
        <v/>
      </c>
      <c r="AP67" t="str">
        <f>IF(Backend!AQ94="", "", Backend!AQ94)</f>
        <v/>
      </c>
      <c r="AQ67" t="str">
        <f>IF(Backend!AR94="", "", Backend!AR94)</f>
        <v/>
      </c>
      <c r="AR67" t="str">
        <f>IF(Backend!AS94="", "", Backend!AS94)</f>
        <v/>
      </c>
      <c r="AS67" t="str">
        <f>IF(Backend!AT94="", "", Backend!AT94)</f>
        <v/>
      </c>
      <c r="AT67" t="str">
        <f>IF(Backend!AU94="", "", Backend!AU94)</f>
        <v/>
      </c>
      <c r="AU67" t="str">
        <f>IF(Backend!AV94="", "", Backend!AV94)</f>
        <v/>
      </c>
      <c r="AV67" t="str">
        <f>IF(Backend!AW94="", "", Backend!AW94)</f>
        <v/>
      </c>
      <c r="AW67" t="str">
        <f>IF(Backend!AX94="", "", Backend!AX94)</f>
        <v/>
      </c>
      <c r="AX67" t="str">
        <f>IF(Backend!AY94="", "", Backend!AY94)</f>
        <v/>
      </c>
      <c r="AY67" t="str">
        <f>IF(Backend!AZ94="", "", Backend!AZ94)</f>
        <v/>
      </c>
      <c r="AZ67" t="str">
        <f>IF(Backend!BA94="", "", Backend!BA94)</f>
        <v/>
      </c>
      <c r="BA67" t="str">
        <f>IF(Backend!BB94="", "", Backend!BB94)</f>
        <v/>
      </c>
      <c r="BB67" t="str">
        <f>IF(Backend!BC94="", "", Backend!BC94)</f>
        <v/>
      </c>
      <c r="BC67" t="str">
        <f>IF(Backend!BD94="", "", Backend!BD94)</f>
        <v/>
      </c>
      <c r="BD67" t="str">
        <f>IF(Backend!BE94="", "", Backend!BE94)</f>
        <v/>
      </c>
      <c r="BE67" t="str">
        <f>IF(Backend!BF94="", "", Backend!BF94)</f>
        <v/>
      </c>
      <c r="BF67" t="str">
        <f>IF(Backend!BG94="", "", Backend!BG94)</f>
        <v/>
      </c>
      <c r="BG67" t="str">
        <f>IF(Backend!BH94="", "", Backend!BH94)</f>
        <v/>
      </c>
      <c r="BH67" t="str">
        <f>IF(Backend!BI94="", "", Backend!BI94)</f>
        <v/>
      </c>
      <c r="BI67" t="str">
        <f>IF(Backend!BJ94="", "", Backend!BJ94)</f>
        <v/>
      </c>
      <c r="BJ67" t="str">
        <f>IF(Backend!BK94="", "", Backend!BK94)</f>
        <v/>
      </c>
      <c r="BK67" t="str">
        <f>IF(Backend!BL94="", "", Backend!BL94)</f>
        <v/>
      </c>
      <c r="BL67" t="str">
        <f>IF(Backend!BM94="", "", Backend!BM94)</f>
        <v/>
      </c>
      <c r="BM67" t="str">
        <f>IF(Backend!BN94="", "", Backend!BN94)</f>
        <v/>
      </c>
      <c r="BN67" t="str">
        <f>IF(Backend!BO94="", "", Backend!BO94)</f>
        <v/>
      </c>
      <c r="BO67" t="str">
        <f>IF(Backend!BP94="", "", Backend!BP94)</f>
        <v/>
      </c>
      <c r="BP67" t="str">
        <f>IF(Backend!BQ94="", "", Backend!BQ94)</f>
        <v/>
      </c>
      <c r="BQ67" t="str">
        <f>IF(Backend!BR94="", "", Backend!BR94)</f>
        <v/>
      </c>
      <c r="BR67" t="str">
        <f>IF(Backend!BS94="", "", Backend!BS94)</f>
        <v/>
      </c>
      <c r="BS67" t="str">
        <f>IF(Backend!BT94="", "", Backend!BT94)</f>
        <v/>
      </c>
      <c r="BT67" t="str">
        <f>IF(Backend!BU94="", "", Backend!BU94)</f>
        <v/>
      </c>
      <c r="BU67" t="str">
        <f>IF(Backend!BV94="", "", Backend!BV94)</f>
        <v/>
      </c>
      <c r="BV67" t="str">
        <f>IF(Backend!BW94="", "", Backend!BW94)</f>
        <v/>
      </c>
      <c r="BW67" t="str">
        <f>IF(Backend!BX94="", "", Backend!BX94)</f>
        <v/>
      </c>
      <c r="BX67" t="str">
        <f>IF(Backend!BY94="", "", Backend!BY94)</f>
        <v/>
      </c>
      <c r="BY67" t="str">
        <f>IF(Backend!BZ94="", "", Backend!BZ94)</f>
        <v/>
      </c>
      <c r="BZ67" t="str">
        <f>IF(Backend!CA94="", "", Backend!CA94)</f>
        <v/>
      </c>
      <c r="CA67" t="str">
        <f>IF(Backend!CB94="", "", Backend!CB94)</f>
        <v/>
      </c>
      <c r="CB67" t="str">
        <f>IF(Backend!CC94="", "", Backend!CC94)</f>
        <v/>
      </c>
      <c r="CC67" t="str">
        <f>IF(Backend!CD94="", "", Backend!CD94)</f>
        <v/>
      </c>
    </row>
    <row r="68" spans="1:81" x14ac:dyDescent="0.25">
      <c r="A68" s="4" t="str">
        <f>IF(Backend!A95="", "", Backend!A95)</f>
        <v/>
      </c>
      <c r="B68" t="str">
        <f>IF(Backend!C95="", "", Backend!C95)</f>
        <v/>
      </c>
      <c r="C68" t="str">
        <f>IF(Backend!D95="", "", Backend!D95)</f>
        <v/>
      </c>
      <c r="D68" t="str">
        <f>IF(Backend!E95="", "", Backend!E95)</f>
        <v/>
      </c>
      <c r="E68" t="str">
        <f>IF(Backend!F95="", "", Backend!F95)</f>
        <v/>
      </c>
      <c r="F68" t="str">
        <f>IF(Backend!G95="", "", Backend!G95)</f>
        <v/>
      </c>
      <c r="G68" t="str">
        <f>IF(Backend!H95="", "", Backend!H95)</f>
        <v/>
      </c>
      <c r="H68" t="str">
        <f>IF(Backend!I95="", "", Backend!I95)</f>
        <v/>
      </c>
      <c r="I68" t="str">
        <f>IF(Backend!J95="", "", Backend!J95)</f>
        <v/>
      </c>
      <c r="J68" t="str">
        <f>IF(Backend!K95="", "", Backend!K95)</f>
        <v/>
      </c>
      <c r="K68" t="str">
        <f>IF(Backend!L95="", "", Backend!L95)</f>
        <v/>
      </c>
      <c r="L68" t="str">
        <f>IF(Backend!M95="", "", Backend!M95)</f>
        <v/>
      </c>
      <c r="M68" t="str">
        <f>IF(Backend!N95="", "", Backend!N95)</f>
        <v/>
      </c>
      <c r="N68" t="str">
        <f>IF(Backend!O95="", "", Backend!O95)</f>
        <v/>
      </c>
      <c r="O68" t="str">
        <f>IF(Backend!P95="", "", Backend!P95)</f>
        <v/>
      </c>
      <c r="P68" t="str">
        <f>IF(Backend!Q95="", "", Backend!Q95)</f>
        <v/>
      </c>
      <c r="Q68" t="str">
        <f>IF(Backend!R95="", "", Backend!R95)</f>
        <v/>
      </c>
      <c r="R68" t="str">
        <f>IF(Backend!S95="", "", Backend!S95)</f>
        <v/>
      </c>
      <c r="S68" t="str">
        <f>IF(Backend!T95="", "", Backend!T95)</f>
        <v/>
      </c>
      <c r="T68" t="str">
        <f>IF(Backend!U95="", "", Backend!U95)</f>
        <v/>
      </c>
      <c r="U68" t="str">
        <f>IF(Backend!V95="", "", Backend!V95)</f>
        <v/>
      </c>
      <c r="V68" t="str">
        <f>IF(Backend!W95="", "", Backend!W95)</f>
        <v/>
      </c>
      <c r="W68" t="str">
        <f>IF(Backend!X95="", "", Backend!X95)</f>
        <v/>
      </c>
      <c r="X68" t="str">
        <f>IF(Backend!Y95="", "", Backend!Y95)</f>
        <v/>
      </c>
      <c r="Y68" t="str">
        <f>IF(Backend!Z95="", "", Backend!Z95)</f>
        <v/>
      </c>
      <c r="Z68" t="str">
        <f>IF(Backend!AA95="", "", Backend!AA95)</f>
        <v/>
      </c>
      <c r="AA68" t="str">
        <f>IF(Backend!AB95="", "", Backend!AB95)</f>
        <v/>
      </c>
      <c r="AB68" t="str">
        <f>IF(Backend!AC95="", "", Backend!AC95)</f>
        <v/>
      </c>
      <c r="AC68" t="str">
        <f>IF(Backend!AD95="", "", Backend!AD95)</f>
        <v/>
      </c>
      <c r="AD68" t="str">
        <f>IF(Backend!AE95="", "", Backend!AE95)</f>
        <v/>
      </c>
      <c r="AE68" t="str">
        <f>IF(Backend!AF95="", "", Backend!AF95)</f>
        <v/>
      </c>
      <c r="AF68" t="str">
        <f>IF(Backend!AG95="", "", Backend!AG95)</f>
        <v/>
      </c>
      <c r="AG68" t="str">
        <f>IF(Backend!AH95="", "", Backend!AH95)</f>
        <v/>
      </c>
      <c r="AH68" t="str">
        <f>IF(Backend!AI95="", "", Backend!AI95)</f>
        <v/>
      </c>
      <c r="AI68" t="str">
        <f>IF(Backend!AJ95="", "", Backend!AJ95)</f>
        <v/>
      </c>
      <c r="AJ68" t="str">
        <f>IF(Backend!AK95="", "", Backend!AK95)</f>
        <v/>
      </c>
      <c r="AK68" t="str">
        <f>IF(Backend!AL95="", "", Backend!AL95)</f>
        <v/>
      </c>
      <c r="AL68" t="str">
        <f>IF(Backend!AM95="", "", Backend!AM95)</f>
        <v/>
      </c>
      <c r="AM68" t="str">
        <f>IF(Backend!AN95="", "", Backend!AN95)</f>
        <v/>
      </c>
      <c r="AN68" t="str">
        <f>IF(Backend!AO95="", "", Backend!AO95)</f>
        <v/>
      </c>
      <c r="AO68" t="str">
        <f>IF(Backend!AP95="", "", Backend!AP95)</f>
        <v/>
      </c>
      <c r="AP68" t="str">
        <f>IF(Backend!AQ95="", "", Backend!AQ95)</f>
        <v/>
      </c>
      <c r="AQ68" t="str">
        <f>IF(Backend!AR95="", "", Backend!AR95)</f>
        <v/>
      </c>
      <c r="AR68" t="str">
        <f>IF(Backend!AS95="", "", Backend!AS95)</f>
        <v/>
      </c>
      <c r="AS68" t="str">
        <f>IF(Backend!AT95="", "", Backend!AT95)</f>
        <v/>
      </c>
      <c r="AT68" t="str">
        <f>IF(Backend!AU95="", "", Backend!AU95)</f>
        <v/>
      </c>
      <c r="AU68" t="str">
        <f>IF(Backend!AV95="", "", Backend!AV95)</f>
        <v/>
      </c>
      <c r="AV68" t="str">
        <f>IF(Backend!AW95="", "", Backend!AW95)</f>
        <v/>
      </c>
      <c r="AW68" t="str">
        <f>IF(Backend!AX95="", "", Backend!AX95)</f>
        <v/>
      </c>
      <c r="AX68" t="str">
        <f>IF(Backend!AY95="", "", Backend!AY95)</f>
        <v/>
      </c>
      <c r="AY68" t="str">
        <f>IF(Backend!AZ95="", "", Backend!AZ95)</f>
        <v/>
      </c>
      <c r="AZ68" t="str">
        <f>IF(Backend!BA95="", "", Backend!BA95)</f>
        <v/>
      </c>
      <c r="BA68" t="str">
        <f>IF(Backend!BB95="", "", Backend!BB95)</f>
        <v/>
      </c>
      <c r="BB68" t="str">
        <f>IF(Backend!BC95="", "", Backend!BC95)</f>
        <v/>
      </c>
      <c r="BC68" t="str">
        <f>IF(Backend!BD95="", "", Backend!BD95)</f>
        <v/>
      </c>
      <c r="BD68" t="str">
        <f>IF(Backend!BE95="", "", Backend!BE95)</f>
        <v/>
      </c>
      <c r="BE68" t="str">
        <f>IF(Backend!BF95="", "", Backend!BF95)</f>
        <v/>
      </c>
      <c r="BF68" t="str">
        <f>IF(Backend!BG95="", "", Backend!BG95)</f>
        <v/>
      </c>
      <c r="BG68" t="str">
        <f>IF(Backend!BH95="", "", Backend!BH95)</f>
        <v/>
      </c>
      <c r="BH68" t="str">
        <f>IF(Backend!BI95="", "", Backend!BI95)</f>
        <v/>
      </c>
      <c r="BI68" t="str">
        <f>IF(Backend!BJ95="", "", Backend!BJ95)</f>
        <v/>
      </c>
      <c r="BJ68" t="str">
        <f>IF(Backend!BK95="", "", Backend!BK95)</f>
        <v/>
      </c>
      <c r="BK68" t="str">
        <f>IF(Backend!BL95="", "", Backend!BL95)</f>
        <v/>
      </c>
      <c r="BL68" t="str">
        <f>IF(Backend!BM95="", "", Backend!BM95)</f>
        <v/>
      </c>
      <c r="BM68" t="str">
        <f>IF(Backend!BN95="", "", Backend!BN95)</f>
        <v/>
      </c>
      <c r="BN68" t="str">
        <f>IF(Backend!BO95="", "", Backend!BO95)</f>
        <v/>
      </c>
      <c r="BO68" t="str">
        <f>IF(Backend!BP95="", "", Backend!BP95)</f>
        <v/>
      </c>
      <c r="BP68" t="str">
        <f>IF(Backend!BQ95="", "", Backend!BQ95)</f>
        <v/>
      </c>
      <c r="BQ68" t="str">
        <f>IF(Backend!BR95="", "", Backend!BR95)</f>
        <v/>
      </c>
      <c r="BR68" t="str">
        <f>IF(Backend!BS95="", "", Backend!BS95)</f>
        <v/>
      </c>
      <c r="BS68" t="str">
        <f>IF(Backend!BT95="", "", Backend!BT95)</f>
        <v/>
      </c>
      <c r="BT68" t="str">
        <f>IF(Backend!BU95="", "", Backend!BU95)</f>
        <v/>
      </c>
      <c r="BU68" t="str">
        <f>IF(Backend!BV95="", "", Backend!BV95)</f>
        <v/>
      </c>
      <c r="BV68" t="str">
        <f>IF(Backend!BW95="", "", Backend!BW95)</f>
        <v/>
      </c>
      <c r="BW68" t="str">
        <f>IF(Backend!BX95="", "", Backend!BX95)</f>
        <v/>
      </c>
      <c r="BX68" t="str">
        <f>IF(Backend!BY95="", "", Backend!BY95)</f>
        <v/>
      </c>
      <c r="BY68" t="str">
        <f>IF(Backend!BZ95="", "", Backend!BZ95)</f>
        <v/>
      </c>
      <c r="BZ68" t="str">
        <f>IF(Backend!CA95="", "", Backend!CA95)</f>
        <v/>
      </c>
      <c r="CA68" t="str">
        <f>IF(Backend!CB95="", "", Backend!CB95)</f>
        <v/>
      </c>
      <c r="CB68" t="str">
        <f>IF(Backend!CC95="", "", Backend!CC95)</f>
        <v/>
      </c>
      <c r="CC68" t="str">
        <f>IF(Backend!CD95="", "", Backend!CD95)</f>
        <v/>
      </c>
    </row>
    <row r="69" spans="1:81" x14ac:dyDescent="0.25">
      <c r="A69" s="4" t="str">
        <f>IF(Backend!A96="", "", Backend!A96)</f>
        <v/>
      </c>
      <c r="B69" t="str">
        <f>IF(Backend!C96="", "", Backend!C96)</f>
        <v/>
      </c>
      <c r="C69" t="str">
        <f>IF(Backend!D96="", "", Backend!D96)</f>
        <v/>
      </c>
      <c r="D69" t="str">
        <f>IF(Backend!E96="", "", Backend!E96)</f>
        <v/>
      </c>
      <c r="E69" t="str">
        <f>IF(Backend!F96="", "", Backend!F96)</f>
        <v/>
      </c>
      <c r="F69" t="str">
        <f>IF(Backend!G96="", "", Backend!G96)</f>
        <v/>
      </c>
      <c r="G69" t="str">
        <f>IF(Backend!H96="", "", Backend!H96)</f>
        <v/>
      </c>
      <c r="H69" t="str">
        <f>IF(Backend!I96="", "", Backend!I96)</f>
        <v/>
      </c>
      <c r="I69" t="str">
        <f>IF(Backend!J96="", "", Backend!J96)</f>
        <v/>
      </c>
      <c r="J69" t="str">
        <f>IF(Backend!K96="", "", Backend!K96)</f>
        <v/>
      </c>
      <c r="K69" t="str">
        <f>IF(Backend!L96="", "", Backend!L96)</f>
        <v/>
      </c>
      <c r="L69" t="str">
        <f>IF(Backend!M96="", "", Backend!M96)</f>
        <v/>
      </c>
      <c r="M69" t="str">
        <f>IF(Backend!N96="", "", Backend!N96)</f>
        <v/>
      </c>
      <c r="N69" t="str">
        <f>IF(Backend!O96="", "", Backend!O96)</f>
        <v/>
      </c>
      <c r="O69" t="str">
        <f>IF(Backend!P96="", "", Backend!P96)</f>
        <v/>
      </c>
      <c r="P69" t="str">
        <f>IF(Backend!Q96="", "", Backend!Q96)</f>
        <v/>
      </c>
      <c r="Q69" t="str">
        <f>IF(Backend!R96="", "", Backend!R96)</f>
        <v/>
      </c>
      <c r="R69" t="str">
        <f>IF(Backend!S96="", "", Backend!S96)</f>
        <v/>
      </c>
      <c r="S69" t="str">
        <f>IF(Backend!T96="", "", Backend!T96)</f>
        <v/>
      </c>
      <c r="T69" t="str">
        <f>IF(Backend!U96="", "", Backend!U96)</f>
        <v/>
      </c>
      <c r="U69" t="str">
        <f>IF(Backend!V96="", "", Backend!V96)</f>
        <v/>
      </c>
      <c r="V69" t="str">
        <f>IF(Backend!W96="", "", Backend!W96)</f>
        <v/>
      </c>
      <c r="W69" t="str">
        <f>IF(Backend!X96="", "", Backend!X96)</f>
        <v/>
      </c>
      <c r="X69" t="str">
        <f>IF(Backend!Y96="", "", Backend!Y96)</f>
        <v/>
      </c>
      <c r="Y69" t="str">
        <f>IF(Backend!Z96="", "", Backend!Z96)</f>
        <v/>
      </c>
      <c r="Z69" t="str">
        <f>IF(Backend!AA96="", "", Backend!AA96)</f>
        <v/>
      </c>
      <c r="AA69" t="str">
        <f>IF(Backend!AB96="", "", Backend!AB96)</f>
        <v/>
      </c>
      <c r="AB69" t="str">
        <f>IF(Backend!AC96="", "", Backend!AC96)</f>
        <v/>
      </c>
      <c r="AC69" t="str">
        <f>IF(Backend!AD96="", "", Backend!AD96)</f>
        <v/>
      </c>
      <c r="AD69" t="str">
        <f>IF(Backend!AE96="", "", Backend!AE96)</f>
        <v/>
      </c>
      <c r="AE69" t="str">
        <f>IF(Backend!AF96="", "", Backend!AF96)</f>
        <v/>
      </c>
      <c r="AF69" t="str">
        <f>IF(Backend!AG96="", "", Backend!AG96)</f>
        <v/>
      </c>
      <c r="AG69" t="str">
        <f>IF(Backend!AH96="", "", Backend!AH96)</f>
        <v/>
      </c>
      <c r="AH69" t="str">
        <f>IF(Backend!AI96="", "", Backend!AI96)</f>
        <v/>
      </c>
      <c r="AI69" t="str">
        <f>IF(Backend!AJ96="", "", Backend!AJ96)</f>
        <v/>
      </c>
      <c r="AJ69" t="str">
        <f>IF(Backend!AK96="", "", Backend!AK96)</f>
        <v/>
      </c>
      <c r="AK69" t="str">
        <f>IF(Backend!AL96="", "", Backend!AL96)</f>
        <v/>
      </c>
      <c r="AL69" t="str">
        <f>IF(Backend!AM96="", "", Backend!AM96)</f>
        <v/>
      </c>
      <c r="AM69" t="str">
        <f>IF(Backend!AN96="", "", Backend!AN96)</f>
        <v/>
      </c>
      <c r="AN69" t="str">
        <f>IF(Backend!AO96="", "", Backend!AO96)</f>
        <v/>
      </c>
      <c r="AO69" t="str">
        <f>IF(Backend!AP96="", "", Backend!AP96)</f>
        <v/>
      </c>
      <c r="AP69" t="str">
        <f>IF(Backend!AQ96="", "", Backend!AQ96)</f>
        <v/>
      </c>
      <c r="AQ69" t="str">
        <f>IF(Backend!AR96="", "", Backend!AR96)</f>
        <v/>
      </c>
      <c r="AR69" t="str">
        <f>IF(Backend!AS96="", "", Backend!AS96)</f>
        <v/>
      </c>
      <c r="AS69" t="str">
        <f>IF(Backend!AT96="", "", Backend!AT96)</f>
        <v/>
      </c>
      <c r="AT69" t="str">
        <f>IF(Backend!AU96="", "", Backend!AU96)</f>
        <v/>
      </c>
      <c r="AU69" t="str">
        <f>IF(Backend!AV96="", "", Backend!AV96)</f>
        <v/>
      </c>
      <c r="AV69" t="str">
        <f>IF(Backend!AW96="", "", Backend!AW96)</f>
        <v/>
      </c>
      <c r="AW69" t="str">
        <f>IF(Backend!AX96="", "", Backend!AX96)</f>
        <v/>
      </c>
      <c r="AX69" t="str">
        <f>IF(Backend!AY96="", "", Backend!AY96)</f>
        <v/>
      </c>
      <c r="AY69" t="str">
        <f>IF(Backend!AZ96="", "", Backend!AZ96)</f>
        <v/>
      </c>
      <c r="AZ69" t="str">
        <f>IF(Backend!BA96="", "", Backend!BA96)</f>
        <v/>
      </c>
      <c r="BA69" t="str">
        <f>IF(Backend!BB96="", "", Backend!BB96)</f>
        <v/>
      </c>
      <c r="BB69" t="str">
        <f>IF(Backend!BC96="", "", Backend!BC96)</f>
        <v/>
      </c>
      <c r="BC69" t="str">
        <f>IF(Backend!BD96="", "", Backend!BD96)</f>
        <v/>
      </c>
      <c r="BD69" t="str">
        <f>IF(Backend!BE96="", "", Backend!BE96)</f>
        <v/>
      </c>
      <c r="BE69" t="str">
        <f>IF(Backend!BF96="", "", Backend!BF96)</f>
        <v/>
      </c>
      <c r="BF69" t="str">
        <f>IF(Backend!BG96="", "", Backend!BG96)</f>
        <v/>
      </c>
      <c r="BG69" t="str">
        <f>IF(Backend!BH96="", "", Backend!BH96)</f>
        <v/>
      </c>
      <c r="BH69" t="str">
        <f>IF(Backend!BI96="", "", Backend!BI96)</f>
        <v/>
      </c>
      <c r="BI69" t="str">
        <f>IF(Backend!BJ96="", "", Backend!BJ96)</f>
        <v/>
      </c>
      <c r="BJ69" t="str">
        <f>IF(Backend!BK96="", "", Backend!BK96)</f>
        <v/>
      </c>
      <c r="BK69" t="str">
        <f>IF(Backend!BL96="", "", Backend!BL96)</f>
        <v/>
      </c>
      <c r="BL69" t="str">
        <f>IF(Backend!BM96="", "", Backend!BM96)</f>
        <v/>
      </c>
      <c r="BM69" t="str">
        <f>IF(Backend!BN96="", "", Backend!BN96)</f>
        <v/>
      </c>
      <c r="BN69" t="str">
        <f>IF(Backend!BO96="", "", Backend!BO96)</f>
        <v/>
      </c>
      <c r="BO69" t="str">
        <f>IF(Backend!BP96="", "", Backend!BP96)</f>
        <v/>
      </c>
      <c r="BP69" t="str">
        <f>IF(Backend!BQ96="", "", Backend!BQ96)</f>
        <v/>
      </c>
      <c r="BQ69" t="str">
        <f>IF(Backend!BR96="", "", Backend!BR96)</f>
        <v/>
      </c>
      <c r="BR69" t="str">
        <f>IF(Backend!BS96="", "", Backend!BS96)</f>
        <v/>
      </c>
      <c r="BS69" t="str">
        <f>IF(Backend!BT96="", "", Backend!BT96)</f>
        <v/>
      </c>
      <c r="BT69" t="str">
        <f>IF(Backend!BU96="", "", Backend!BU96)</f>
        <v/>
      </c>
      <c r="BU69" t="str">
        <f>IF(Backend!BV96="", "", Backend!BV96)</f>
        <v/>
      </c>
      <c r="BV69" t="str">
        <f>IF(Backend!BW96="", "", Backend!BW96)</f>
        <v/>
      </c>
      <c r="BW69" t="str">
        <f>IF(Backend!BX96="", "", Backend!BX96)</f>
        <v/>
      </c>
      <c r="BX69" t="str">
        <f>IF(Backend!BY96="", "", Backend!BY96)</f>
        <v/>
      </c>
      <c r="BY69" t="str">
        <f>IF(Backend!BZ96="", "", Backend!BZ96)</f>
        <v/>
      </c>
      <c r="BZ69" t="str">
        <f>IF(Backend!CA96="", "", Backend!CA96)</f>
        <v/>
      </c>
      <c r="CA69" t="str">
        <f>IF(Backend!CB96="", "", Backend!CB96)</f>
        <v/>
      </c>
      <c r="CB69" t="str">
        <f>IF(Backend!CC96="", "", Backend!CC96)</f>
        <v/>
      </c>
      <c r="CC69" t="str">
        <f>IF(Backend!CD96="", "", Backend!CD96)</f>
        <v/>
      </c>
    </row>
    <row r="70" spans="1:81" x14ac:dyDescent="0.25">
      <c r="A70" s="4" t="str">
        <f>IF(Backend!A97="", "", Backend!A97)</f>
        <v/>
      </c>
      <c r="B70" t="str">
        <f>IF(Backend!C97="", "", Backend!C97)</f>
        <v/>
      </c>
      <c r="C70" t="str">
        <f>IF(Backend!D97="", "", Backend!D97)</f>
        <v/>
      </c>
      <c r="D70" t="str">
        <f>IF(Backend!E97="", "", Backend!E97)</f>
        <v/>
      </c>
      <c r="E70" t="str">
        <f>IF(Backend!F97="", "", Backend!F97)</f>
        <v/>
      </c>
      <c r="F70" t="str">
        <f>IF(Backend!G97="", "", Backend!G97)</f>
        <v/>
      </c>
      <c r="G70" t="str">
        <f>IF(Backend!H97="", "", Backend!H97)</f>
        <v/>
      </c>
      <c r="H70" t="str">
        <f>IF(Backend!I97="", "", Backend!I97)</f>
        <v/>
      </c>
      <c r="I70" t="str">
        <f>IF(Backend!J97="", "", Backend!J97)</f>
        <v/>
      </c>
      <c r="J70" t="str">
        <f>IF(Backend!K97="", "", Backend!K97)</f>
        <v/>
      </c>
      <c r="K70" t="str">
        <f>IF(Backend!L97="", "", Backend!L97)</f>
        <v/>
      </c>
      <c r="L70" t="str">
        <f>IF(Backend!M97="", "", Backend!M97)</f>
        <v/>
      </c>
      <c r="M70" t="str">
        <f>IF(Backend!N97="", "", Backend!N97)</f>
        <v/>
      </c>
      <c r="N70" t="str">
        <f>IF(Backend!O97="", "", Backend!O97)</f>
        <v/>
      </c>
      <c r="O70" t="str">
        <f>IF(Backend!P97="", "", Backend!P97)</f>
        <v/>
      </c>
      <c r="P70" t="str">
        <f>IF(Backend!Q97="", "", Backend!Q97)</f>
        <v/>
      </c>
      <c r="Q70" t="str">
        <f>IF(Backend!R97="", "", Backend!R97)</f>
        <v/>
      </c>
      <c r="R70" t="str">
        <f>IF(Backend!S97="", "", Backend!S97)</f>
        <v/>
      </c>
      <c r="S70" t="str">
        <f>IF(Backend!T97="", "", Backend!T97)</f>
        <v/>
      </c>
      <c r="T70" t="str">
        <f>IF(Backend!U97="", "", Backend!U97)</f>
        <v/>
      </c>
      <c r="U70" t="str">
        <f>IF(Backend!V97="", "", Backend!V97)</f>
        <v/>
      </c>
      <c r="V70" t="str">
        <f>IF(Backend!W97="", "", Backend!W97)</f>
        <v/>
      </c>
      <c r="W70" t="str">
        <f>IF(Backend!X97="", "", Backend!X97)</f>
        <v/>
      </c>
      <c r="X70" t="str">
        <f>IF(Backend!Y97="", "", Backend!Y97)</f>
        <v/>
      </c>
      <c r="Y70" t="str">
        <f>IF(Backend!Z97="", "", Backend!Z97)</f>
        <v/>
      </c>
      <c r="Z70" t="str">
        <f>IF(Backend!AA97="", "", Backend!AA97)</f>
        <v/>
      </c>
      <c r="AA70" t="str">
        <f>IF(Backend!AB97="", "", Backend!AB97)</f>
        <v/>
      </c>
      <c r="AB70" t="str">
        <f>IF(Backend!AC97="", "", Backend!AC97)</f>
        <v/>
      </c>
      <c r="AC70" t="str">
        <f>IF(Backend!AD97="", "", Backend!AD97)</f>
        <v/>
      </c>
      <c r="AD70" t="str">
        <f>IF(Backend!AE97="", "", Backend!AE97)</f>
        <v/>
      </c>
      <c r="AE70" t="str">
        <f>IF(Backend!AF97="", "", Backend!AF97)</f>
        <v/>
      </c>
      <c r="AF70" t="str">
        <f>IF(Backend!AG97="", "", Backend!AG97)</f>
        <v/>
      </c>
      <c r="AG70" t="str">
        <f>IF(Backend!AH97="", "", Backend!AH97)</f>
        <v/>
      </c>
      <c r="AH70" t="str">
        <f>IF(Backend!AI97="", "", Backend!AI97)</f>
        <v/>
      </c>
      <c r="AI70" t="str">
        <f>IF(Backend!AJ97="", "", Backend!AJ97)</f>
        <v/>
      </c>
      <c r="AJ70" t="str">
        <f>IF(Backend!AK97="", "", Backend!AK97)</f>
        <v/>
      </c>
      <c r="AK70" t="str">
        <f>IF(Backend!AL97="", "", Backend!AL97)</f>
        <v/>
      </c>
      <c r="AL70" t="str">
        <f>IF(Backend!AM97="", "", Backend!AM97)</f>
        <v/>
      </c>
      <c r="AM70" t="str">
        <f>IF(Backend!AN97="", "", Backend!AN97)</f>
        <v/>
      </c>
      <c r="AN70" t="str">
        <f>IF(Backend!AO97="", "", Backend!AO97)</f>
        <v/>
      </c>
      <c r="AO70" t="str">
        <f>IF(Backend!AP97="", "", Backend!AP97)</f>
        <v/>
      </c>
      <c r="AP70" t="str">
        <f>IF(Backend!AQ97="", "", Backend!AQ97)</f>
        <v/>
      </c>
      <c r="AQ70" t="str">
        <f>IF(Backend!AR97="", "", Backend!AR97)</f>
        <v/>
      </c>
      <c r="AR70" t="str">
        <f>IF(Backend!AS97="", "", Backend!AS97)</f>
        <v/>
      </c>
      <c r="AS70" t="str">
        <f>IF(Backend!AT97="", "", Backend!AT97)</f>
        <v/>
      </c>
      <c r="AT70" t="str">
        <f>IF(Backend!AU97="", "", Backend!AU97)</f>
        <v/>
      </c>
      <c r="AU70" t="str">
        <f>IF(Backend!AV97="", "", Backend!AV97)</f>
        <v/>
      </c>
      <c r="AV70" t="str">
        <f>IF(Backend!AW97="", "", Backend!AW97)</f>
        <v/>
      </c>
      <c r="AW70" t="str">
        <f>IF(Backend!AX97="", "", Backend!AX97)</f>
        <v/>
      </c>
      <c r="AX70" t="str">
        <f>IF(Backend!AY97="", "", Backend!AY97)</f>
        <v/>
      </c>
      <c r="AY70" t="str">
        <f>IF(Backend!AZ97="", "", Backend!AZ97)</f>
        <v/>
      </c>
      <c r="AZ70" t="str">
        <f>IF(Backend!BA97="", "", Backend!BA97)</f>
        <v/>
      </c>
      <c r="BA70" t="str">
        <f>IF(Backend!BB97="", "", Backend!BB97)</f>
        <v/>
      </c>
      <c r="BB70" t="str">
        <f>IF(Backend!BC97="", "", Backend!BC97)</f>
        <v/>
      </c>
      <c r="BC70" t="str">
        <f>IF(Backend!BD97="", "", Backend!BD97)</f>
        <v/>
      </c>
      <c r="BD70" t="str">
        <f>IF(Backend!BE97="", "", Backend!BE97)</f>
        <v/>
      </c>
      <c r="BE70" t="str">
        <f>IF(Backend!BF97="", "", Backend!BF97)</f>
        <v/>
      </c>
      <c r="BF70" t="str">
        <f>IF(Backend!BG97="", "", Backend!BG97)</f>
        <v/>
      </c>
      <c r="BG70" t="str">
        <f>IF(Backend!BH97="", "", Backend!BH97)</f>
        <v/>
      </c>
      <c r="BH70" t="str">
        <f>IF(Backend!BI97="", "", Backend!BI97)</f>
        <v/>
      </c>
      <c r="BI70" t="str">
        <f>IF(Backend!BJ97="", "", Backend!BJ97)</f>
        <v/>
      </c>
      <c r="BJ70" t="str">
        <f>IF(Backend!BK97="", "", Backend!BK97)</f>
        <v/>
      </c>
      <c r="BK70" t="str">
        <f>IF(Backend!BL97="", "", Backend!BL97)</f>
        <v/>
      </c>
      <c r="BL70" t="str">
        <f>IF(Backend!BM97="", "", Backend!BM97)</f>
        <v/>
      </c>
      <c r="BM70" t="str">
        <f>IF(Backend!BN97="", "", Backend!BN97)</f>
        <v/>
      </c>
      <c r="BN70" t="str">
        <f>IF(Backend!BO97="", "", Backend!BO97)</f>
        <v/>
      </c>
      <c r="BO70" t="str">
        <f>IF(Backend!BP97="", "", Backend!BP97)</f>
        <v/>
      </c>
      <c r="BP70" t="str">
        <f>IF(Backend!BQ97="", "", Backend!BQ97)</f>
        <v/>
      </c>
      <c r="BQ70" t="str">
        <f>IF(Backend!BR97="", "", Backend!BR97)</f>
        <v/>
      </c>
      <c r="BR70" t="str">
        <f>IF(Backend!BS97="", "", Backend!BS97)</f>
        <v/>
      </c>
      <c r="BS70" t="str">
        <f>IF(Backend!BT97="", "", Backend!BT97)</f>
        <v/>
      </c>
      <c r="BT70" t="str">
        <f>IF(Backend!BU97="", "", Backend!BU97)</f>
        <v/>
      </c>
      <c r="BU70" t="str">
        <f>IF(Backend!BV97="", "", Backend!BV97)</f>
        <v/>
      </c>
      <c r="BV70" t="str">
        <f>IF(Backend!BW97="", "", Backend!BW97)</f>
        <v/>
      </c>
      <c r="BW70" t="str">
        <f>IF(Backend!BX97="", "", Backend!BX97)</f>
        <v/>
      </c>
      <c r="BX70" t="str">
        <f>IF(Backend!BY97="", "", Backend!BY97)</f>
        <v/>
      </c>
      <c r="BY70" t="str">
        <f>IF(Backend!BZ97="", "", Backend!BZ97)</f>
        <v/>
      </c>
      <c r="BZ70" t="str">
        <f>IF(Backend!CA97="", "", Backend!CA97)</f>
        <v/>
      </c>
      <c r="CA70" t="str">
        <f>IF(Backend!CB97="", "", Backend!CB97)</f>
        <v/>
      </c>
      <c r="CB70" t="str">
        <f>IF(Backend!CC97="", "", Backend!CC97)</f>
        <v/>
      </c>
      <c r="CC70" t="str">
        <f>IF(Backend!CD97="", "", Backend!CD97)</f>
        <v/>
      </c>
    </row>
    <row r="71" spans="1:81" x14ac:dyDescent="0.25">
      <c r="A71" s="4" t="str">
        <f>IF(Backend!A98="", "", Backend!A98)</f>
        <v/>
      </c>
      <c r="B71" t="str">
        <f>IF(Backend!C98="", "", Backend!C98)</f>
        <v/>
      </c>
      <c r="C71" t="str">
        <f>IF(Backend!D98="", "", Backend!D98)</f>
        <v/>
      </c>
      <c r="D71" t="str">
        <f>IF(Backend!E98="", "", Backend!E98)</f>
        <v/>
      </c>
      <c r="E71" t="str">
        <f>IF(Backend!F98="", "", Backend!F98)</f>
        <v/>
      </c>
      <c r="F71" t="str">
        <f>IF(Backend!G98="", "", Backend!G98)</f>
        <v/>
      </c>
      <c r="G71" t="str">
        <f>IF(Backend!H98="", "", Backend!H98)</f>
        <v/>
      </c>
      <c r="H71" t="str">
        <f>IF(Backend!I98="", "", Backend!I98)</f>
        <v/>
      </c>
      <c r="I71" t="str">
        <f>IF(Backend!J98="", "", Backend!J98)</f>
        <v/>
      </c>
      <c r="J71" t="str">
        <f>IF(Backend!K98="", "", Backend!K98)</f>
        <v/>
      </c>
      <c r="K71" t="str">
        <f>IF(Backend!L98="", "", Backend!L98)</f>
        <v/>
      </c>
      <c r="L71" t="str">
        <f>IF(Backend!M98="", "", Backend!M98)</f>
        <v/>
      </c>
      <c r="M71" t="str">
        <f>IF(Backend!N98="", "", Backend!N98)</f>
        <v/>
      </c>
      <c r="N71" t="str">
        <f>IF(Backend!O98="", "", Backend!O98)</f>
        <v/>
      </c>
      <c r="O71" t="str">
        <f>IF(Backend!P98="", "", Backend!P98)</f>
        <v/>
      </c>
      <c r="P71" t="str">
        <f>IF(Backend!Q98="", "", Backend!Q98)</f>
        <v/>
      </c>
      <c r="Q71" t="str">
        <f>IF(Backend!R98="", "", Backend!R98)</f>
        <v/>
      </c>
      <c r="R71" t="str">
        <f>IF(Backend!S98="", "", Backend!S98)</f>
        <v/>
      </c>
      <c r="S71" t="str">
        <f>IF(Backend!T98="", "", Backend!T98)</f>
        <v/>
      </c>
      <c r="T71" t="str">
        <f>IF(Backend!U98="", "", Backend!U98)</f>
        <v/>
      </c>
      <c r="U71" t="str">
        <f>IF(Backend!V98="", "", Backend!V98)</f>
        <v/>
      </c>
      <c r="V71" t="str">
        <f>IF(Backend!W98="", "", Backend!W98)</f>
        <v/>
      </c>
      <c r="W71" t="str">
        <f>IF(Backend!X98="", "", Backend!X98)</f>
        <v/>
      </c>
      <c r="X71" t="str">
        <f>IF(Backend!Y98="", "", Backend!Y98)</f>
        <v/>
      </c>
      <c r="Y71" t="str">
        <f>IF(Backend!Z98="", "", Backend!Z98)</f>
        <v/>
      </c>
      <c r="Z71" t="str">
        <f>IF(Backend!AA98="", "", Backend!AA98)</f>
        <v/>
      </c>
      <c r="AA71" t="str">
        <f>IF(Backend!AB98="", "", Backend!AB98)</f>
        <v/>
      </c>
      <c r="AB71" t="str">
        <f>IF(Backend!AC98="", "", Backend!AC98)</f>
        <v/>
      </c>
      <c r="AC71" t="str">
        <f>IF(Backend!AD98="", "", Backend!AD98)</f>
        <v/>
      </c>
      <c r="AD71" t="str">
        <f>IF(Backend!AE98="", "", Backend!AE98)</f>
        <v/>
      </c>
      <c r="AE71" t="str">
        <f>IF(Backend!AF98="", "", Backend!AF98)</f>
        <v/>
      </c>
      <c r="AF71" t="str">
        <f>IF(Backend!AG98="", "", Backend!AG98)</f>
        <v/>
      </c>
      <c r="AG71" t="str">
        <f>IF(Backend!AH98="", "", Backend!AH98)</f>
        <v/>
      </c>
      <c r="AH71" t="str">
        <f>IF(Backend!AI98="", "", Backend!AI98)</f>
        <v/>
      </c>
      <c r="AI71" t="str">
        <f>IF(Backend!AJ98="", "", Backend!AJ98)</f>
        <v/>
      </c>
      <c r="AJ71" t="str">
        <f>IF(Backend!AK98="", "", Backend!AK98)</f>
        <v/>
      </c>
      <c r="AK71" t="str">
        <f>IF(Backend!AL98="", "", Backend!AL98)</f>
        <v/>
      </c>
      <c r="AL71" t="str">
        <f>IF(Backend!AM98="", "", Backend!AM98)</f>
        <v/>
      </c>
      <c r="AM71" t="str">
        <f>IF(Backend!AN98="", "", Backend!AN98)</f>
        <v/>
      </c>
      <c r="AN71" t="str">
        <f>IF(Backend!AO98="", "", Backend!AO98)</f>
        <v/>
      </c>
      <c r="AO71" t="str">
        <f>IF(Backend!AP98="", "", Backend!AP98)</f>
        <v/>
      </c>
      <c r="AP71" t="str">
        <f>IF(Backend!AQ98="", "", Backend!AQ98)</f>
        <v/>
      </c>
      <c r="AQ71" t="str">
        <f>IF(Backend!AR98="", "", Backend!AR98)</f>
        <v/>
      </c>
      <c r="AR71" t="str">
        <f>IF(Backend!AS98="", "", Backend!AS98)</f>
        <v/>
      </c>
      <c r="AS71" t="str">
        <f>IF(Backend!AT98="", "", Backend!AT98)</f>
        <v/>
      </c>
      <c r="AT71" t="str">
        <f>IF(Backend!AU98="", "", Backend!AU98)</f>
        <v/>
      </c>
      <c r="AU71" t="str">
        <f>IF(Backend!AV98="", "", Backend!AV98)</f>
        <v/>
      </c>
      <c r="AV71" t="str">
        <f>IF(Backend!AW98="", "", Backend!AW98)</f>
        <v/>
      </c>
      <c r="AW71" t="str">
        <f>IF(Backend!AX98="", "", Backend!AX98)</f>
        <v/>
      </c>
      <c r="AX71" t="str">
        <f>IF(Backend!AY98="", "", Backend!AY98)</f>
        <v/>
      </c>
      <c r="AY71" t="str">
        <f>IF(Backend!AZ98="", "", Backend!AZ98)</f>
        <v/>
      </c>
      <c r="AZ71" t="str">
        <f>IF(Backend!BA98="", "", Backend!BA98)</f>
        <v/>
      </c>
      <c r="BA71" t="str">
        <f>IF(Backend!BB98="", "", Backend!BB98)</f>
        <v/>
      </c>
      <c r="BB71" t="str">
        <f>IF(Backend!BC98="", "", Backend!BC98)</f>
        <v/>
      </c>
      <c r="BC71" t="str">
        <f>IF(Backend!BD98="", "", Backend!BD98)</f>
        <v/>
      </c>
      <c r="BD71" t="str">
        <f>IF(Backend!BE98="", "", Backend!BE98)</f>
        <v/>
      </c>
      <c r="BE71" t="str">
        <f>IF(Backend!BF98="", "", Backend!BF98)</f>
        <v/>
      </c>
      <c r="BF71" t="str">
        <f>IF(Backend!BG98="", "", Backend!BG98)</f>
        <v/>
      </c>
      <c r="BG71" t="str">
        <f>IF(Backend!BH98="", "", Backend!BH98)</f>
        <v/>
      </c>
      <c r="BH71" t="str">
        <f>IF(Backend!BI98="", "", Backend!BI98)</f>
        <v/>
      </c>
      <c r="BI71" t="str">
        <f>IF(Backend!BJ98="", "", Backend!BJ98)</f>
        <v/>
      </c>
      <c r="BJ71" t="str">
        <f>IF(Backend!BK98="", "", Backend!BK98)</f>
        <v/>
      </c>
      <c r="BK71" t="str">
        <f>IF(Backend!BL98="", "", Backend!BL98)</f>
        <v/>
      </c>
      <c r="BL71" t="str">
        <f>IF(Backend!BM98="", "", Backend!BM98)</f>
        <v/>
      </c>
      <c r="BM71" t="str">
        <f>IF(Backend!BN98="", "", Backend!BN98)</f>
        <v/>
      </c>
      <c r="BN71" t="str">
        <f>IF(Backend!BO98="", "", Backend!BO98)</f>
        <v/>
      </c>
      <c r="BO71" t="str">
        <f>IF(Backend!BP98="", "", Backend!BP98)</f>
        <v/>
      </c>
      <c r="BP71" t="str">
        <f>IF(Backend!BQ98="", "", Backend!BQ98)</f>
        <v/>
      </c>
      <c r="BQ71" t="str">
        <f>IF(Backend!BR98="", "", Backend!BR98)</f>
        <v/>
      </c>
      <c r="BR71" t="str">
        <f>IF(Backend!BS98="", "", Backend!BS98)</f>
        <v/>
      </c>
      <c r="BS71" t="str">
        <f>IF(Backend!BT98="", "", Backend!BT98)</f>
        <v/>
      </c>
      <c r="BT71" t="str">
        <f>IF(Backend!BU98="", "", Backend!BU98)</f>
        <v/>
      </c>
      <c r="BU71" t="str">
        <f>IF(Backend!BV98="", "", Backend!BV98)</f>
        <v/>
      </c>
      <c r="BV71" t="str">
        <f>IF(Backend!BW98="", "", Backend!BW98)</f>
        <v/>
      </c>
      <c r="BW71" t="str">
        <f>IF(Backend!BX98="", "", Backend!BX98)</f>
        <v/>
      </c>
      <c r="BX71" t="str">
        <f>IF(Backend!BY98="", "", Backend!BY98)</f>
        <v/>
      </c>
      <c r="BY71" t="str">
        <f>IF(Backend!BZ98="", "", Backend!BZ98)</f>
        <v/>
      </c>
      <c r="BZ71" t="str">
        <f>IF(Backend!CA98="", "", Backend!CA98)</f>
        <v/>
      </c>
      <c r="CA71" t="str">
        <f>IF(Backend!CB98="", "", Backend!CB98)</f>
        <v/>
      </c>
      <c r="CB71" t="str">
        <f>IF(Backend!CC98="", "", Backend!CC98)</f>
        <v/>
      </c>
      <c r="CC71" t="str">
        <f>IF(Backend!CD98="", "", Backend!CD98)</f>
        <v/>
      </c>
    </row>
    <row r="72" spans="1:81" x14ac:dyDescent="0.25">
      <c r="A72" s="4" t="str">
        <f>IF(Backend!A99="", "", Backend!A99)</f>
        <v/>
      </c>
      <c r="B72" t="str">
        <f>IF(Backend!C99="", "", Backend!C99)</f>
        <v/>
      </c>
      <c r="C72" t="str">
        <f>IF(Backend!D99="", "", Backend!D99)</f>
        <v/>
      </c>
      <c r="D72" t="str">
        <f>IF(Backend!E99="", "", Backend!E99)</f>
        <v/>
      </c>
      <c r="E72" t="str">
        <f>IF(Backend!F99="", "", Backend!F99)</f>
        <v/>
      </c>
      <c r="F72" t="str">
        <f>IF(Backend!G99="", "", Backend!G99)</f>
        <v/>
      </c>
      <c r="G72" t="str">
        <f>IF(Backend!H99="", "", Backend!H99)</f>
        <v/>
      </c>
      <c r="H72" t="str">
        <f>IF(Backend!I99="", "", Backend!I99)</f>
        <v/>
      </c>
      <c r="I72" t="str">
        <f>IF(Backend!J99="", "", Backend!J99)</f>
        <v/>
      </c>
      <c r="J72" t="str">
        <f>IF(Backend!K99="", "", Backend!K99)</f>
        <v/>
      </c>
      <c r="K72" t="str">
        <f>IF(Backend!L99="", "", Backend!L99)</f>
        <v/>
      </c>
      <c r="L72" t="str">
        <f>IF(Backend!M99="", "", Backend!M99)</f>
        <v/>
      </c>
      <c r="M72" t="str">
        <f>IF(Backend!N99="", "", Backend!N99)</f>
        <v/>
      </c>
      <c r="N72" t="str">
        <f>IF(Backend!O99="", "", Backend!O99)</f>
        <v/>
      </c>
      <c r="O72" t="str">
        <f>IF(Backend!P99="", "", Backend!P99)</f>
        <v/>
      </c>
      <c r="P72" t="str">
        <f>IF(Backend!Q99="", "", Backend!Q99)</f>
        <v/>
      </c>
      <c r="Q72" t="str">
        <f>IF(Backend!R99="", "", Backend!R99)</f>
        <v/>
      </c>
      <c r="R72" t="str">
        <f>IF(Backend!S99="", "", Backend!S99)</f>
        <v/>
      </c>
      <c r="S72" t="str">
        <f>IF(Backend!T99="", "", Backend!T99)</f>
        <v/>
      </c>
      <c r="T72" t="str">
        <f>IF(Backend!U99="", "", Backend!U99)</f>
        <v/>
      </c>
      <c r="U72" t="str">
        <f>IF(Backend!V99="", "", Backend!V99)</f>
        <v/>
      </c>
      <c r="V72" t="str">
        <f>IF(Backend!W99="", "", Backend!W99)</f>
        <v/>
      </c>
      <c r="W72" t="str">
        <f>IF(Backend!X99="", "", Backend!X99)</f>
        <v/>
      </c>
      <c r="X72" t="str">
        <f>IF(Backend!Y99="", "", Backend!Y99)</f>
        <v/>
      </c>
      <c r="Y72" t="str">
        <f>IF(Backend!Z99="", "", Backend!Z99)</f>
        <v/>
      </c>
      <c r="Z72" t="str">
        <f>IF(Backend!AA99="", "", Backend!AA99)</f>
        <v/>
      </c>
      <c r="AA72" t="str">
        <f>IF(Backend!AB99="", "", Backend!AB99)</f>
        <v/>
      </c>
      <c r="AB72" t="str">
        <f>IF(Backend!AC99="", "", Backend!AC99)</f>
        <v/>
      </c>
      <c r="AC72" t="str">
        <f>IF(Backend!AD99="", "", Backend!AD99)</f>
        <v/>
      </c>
      <c r="AD72" t="str">
        <f>IF(Backend!AE99="", "", Backend!AE99)</f>
        <v/>
      </c>
      <c r="AE72" t="str">
        <f>IF(Backend!AF99="", "", Backend!AF99)</f>
        <v/>
      </c>
      <c r="AF72" t="str">
        <f>IF(Backend!AG99="", "", Backend!AG99)</f>
        <v/>
      </c>
      <c r="AG72" t="str">
        <f>IF(Backend!AH99="", "", Backend!AH99)</f>
        <v/>
      </c>
      <c r="AH72" t="str">
        <f>IF(Backend!AI99="", "", Backend!AI99)</f>
        <v/>
      </c>
      <c r="AI72" t="str">
        <f>IF(Backend!AJ99="", "", Backend!AJ99)</f>
        <v/>
      </c>
      <c r="AJ72" t="str">
        <f>IF(Backend!AK99="", "", Backend!AK99)</f>
        <v/>
      </c>
      <c r="AK72" t="str">
        <f>IF(Backend!AL99="", "", Backend!AL99)</f>
        <v/>
      </c>
      <c r="AL72" t="str">
        <f>IF(Backend!AM99="", "", Backend!AM99)</f>
        <v/>
      </c>
      <c r="AM72" t="str">
        <f>IF(Backend!AN99="", "", Backend!AN99)</f>
        <v/>
      </c>
      <c r="AN72" t="str">
        <f>IF(Backend!AO99="", "", Backend!AO99)</f>
        <v/>
      </c>
      <c r="AO72" t="str">
        <f>IF(Backend!AP99="", "", Backend!AP99)</f>
        <v/>
      </c>
      <c r="AP72" t="str">
        <f>IF(Backend!AQ99="", "", Backend!AQ99)</f>
        <v/>
      </c>
      <c r="AQ72" t="str">
        <f>IF(Backend!AR99="", "", Backend!AR99)</f>
        <v/>
      </c>
      <c r="AR72" t="str">
        <f>IF(Backend!AS99="", "", Backend!AS99)</f>
        <v/>
      </c>
      <c r="AS72" t="str">
        <f>IF(Backend!AT99="", "", Backend!AT99)</f>
        <v/>
      </c>
      <c r="AT72" t="str">
        <f>IF(Backend!AU99="", "", Backend!AU99)</f>
        <v/>
      </c>
      <c r="AU72" t="str">
        <f>IF(Backend!AV99="", "", Backend!AV99)</f>
        <v/>
      </c>
      <c r="AV72" t="str">
        <f>IF(Backend!AW99="", "", Backend!AW99)</f>
        <v/>
      </c>
      <c r="AW72" t="str">
        <f>IF(Backend!AX99="", "", Backend!AX99)</f>
        <v/>
      </c>
      <c r="AX72" t="str">
        <f>IF(Backend!AY99="", "", Backend!AY99)</f>
        <v/>
      </c>
      <c r="AY72" t="str">
        <f>IF(Backend!AZ99="", "", Backend!AZ99)</f>
        <v/>
      </c>
      <c r="AZ72" t="str">
        <f>IF(Backend!BA99="", "", Backend!BA99)</f>
        <v/>
      </c>
      <c r="BA72" t="str">
        <f>IF(Backend!BB99="", "", Backend!BB99)</f>
        <v/>
      </c>
      <c r="BB72" t="str">
        <f>IF(Backend!BC99="", "", Backend!BC99)</f>
        <v/>
      </c>
      <c r="BC72" t="str">
        <f>IF(Backend!BD99="", "", Backend!BD99)</f>
        <v/>
      </c>
      <c r="BD72" t="str">
        <f>IF(Backend!BE99="", "", Backend!BE99)</f>
        <v/>
      </c>
      <c r="BE72" t="str">
        <f>IF(Backend!BF99="", "", Backend!BF99)</f>
        <v/>
      </c>
      <c r="BF72" t="str">
        <f>IF(Backend!BG99="", "", Backend!BG99)</f>
        <v/>
      </c>
      <c r="BG72" t="str">
        <f>IF(Backend!BH99="", "", Backend!BH99)</f>
        <v/>
      </c>
      <c r="BH72" t="str">
        <f>IF(Backend!BI99="", "", Backend!BI99)</f>
        <v/>
      </c>
      <c r="BI72" t="str">
        <f>IF(Backend!BJ99="", "", Backend!BJ99)</f>
        <v/>
      </c>
      <c r="BJ72" t="str">
        <f>IF(Backend!BK99="", "", Backend!BK99)</f>
        <v/>
      </c>
      <c r="BK72" t="str">
        <f>IF(Backend!BL99="", "", Backend!BL99)</f>
        <v/>
      </c>
      <c r="BL72" t="str">
        <f>IF(Backend!BM99="", "", Backend!BM99)</f>
        <v/>
      </c>
      <c r="BM72" t="str">
        <f>IF(Backend!BN99="", "", Backend!BN99)</f>
        <v/>
      </c>
      <c r="BN72" t="str">
        <f>IF(Backend!BO99="", "", Backend!BO99)</f>
        <v/>
      </c>
      <c r="BO72" t="str">
        <f>IF(Backend!BP99="", "", Backend!BP99)</f>
        <v/>
      </c>
      <c r="BP72" t="str">
        <f>IF(Backend!BQ99="", "", Backend!BQ99)</f>
        <v/>
      </c>
      <c r="BQ72" t="str">
        <f>IF(Backend!BR99="", "", Backend!BR99)</f>
        <v/>
      </c>
      <c r="BR72" t="str">
        <f>IF(Backend!BS99="", "", Backend!BS99)</f>
        <v/>
      </c>
      <c r="BS72" t="str">
        <f>IF(Backend!BT99="", "", Backend!BT99)</f>
        <v/>
      </c>
      <c r="BT72" t="str">
        <f>IF(Backend!BU99="", "", Backend!BU99)</f>
        <v/>
      </c>
      <c r="BU72" t="str">
        <f>IF(Backend!BV99="", "", Backend!BV99)</f>
        <v/>
      </c>
      <c r="BV72" t="str">
        <f>IF(Backend!BW99="", "", Backend!BW99)</f>
        <v/>
      </c>
      <c r="BW72" t="str">
        <f>IF(Backend!BX99="", "", Backend!BX99)</f>
        <v/>
      </c>
      <c r="BX72" t="str">
        <f>IF(Backend!BY99="", "", Backend!BY99)</f>
        <v/>
      </c>
      <c r="BY72" t="str">
        <f>IF(Backend!BZ99="", "", Backend!BZ99)</f>
        <v/>
      </c>
      <c r="BZ72" t="str">
        <f>IF(Backend!CA99="", "", Backend!CA99)</f>
        <v/>
      </c>
      <c r="CA72" t="str">
        <f>IF(Backend!CB99="", "", Backend!CB99)</f>
        <v/>
      </c>
      <c r="CB72" t="str">
        <f>IF(Backend!CC99="", "", Backend!CC99)</f>
        <v/>
      </c>
      <c r="CC72" t="str">
        <f>IF(Backend!CD99="", "", Backend!CD99)</f>
        <v/>
      </c>
    </row>
    <row r="73" spans="1:81" x14ac:dyDescent="0.25">
      <c r="A73" s="4" t="str">
        <f>IF(Backend!A100="", "", Backend!A100)</f>
        <v/>
      </c>
      <c r="B73" t="str">
        <f>IF(Backend!C100="", "", Backend!C100)</f>
        <v/>
      </c>
      <c r="C73" t="str">
        <f>IF(Backend!D100="", "", Backend!D100)</f>
        <v/>
      </c>
      <c r="D73" t="str">
        <f>IF(Backend!E100="", "", Backend!E100)</f>
        <v/>
      </c>
      <c r="E73" t="str">
        <f>IF(Backend!F100="", "", Backend!F100)</f>
        <v/>
      </c>
      <c r="F73" t="str">
        <f>IF(Backend!G100="", "", Backend!G100)</f>
        <v/>
      </c>
      <c r="G73" t="str">
        <f>IF(Backend!H100="", "", Backend!H100)</f>
        <v/>
      </c>
      <c r="H73" t="str">
        <f>IF(Backend!I100="", "", Backend!I100)</f>
        <v/>
      </c>
      <c r="I73" t="str">
        <f>IF(Backend!J100="", "", Backend!J100)</f>
        <v/>
      </c>
      <c r="J73" t="str">
        <f>IF(Backend!K100="", "", Backend!K100)</f>
        <v/>
      </c>
      <c r="K73" t="str">
        <f>IF(Backend!L100="", "", Backend!L100)</f>
        <v/>
      </c>
      <c r="L73" t="str">
        <f>IF(Backend!M100="", "", Backend!M100)</f>
        <v/>
      </c>
      <c r="M73" t="str">
        <f>IF(Backend!N100="", "", Backend!N100)</f>
        <v/>
      </c>
      <c r="N73" t="str">
        <f>IF(Backend!O100="", "", Backend!O100)</f>
        <v/>
      </c>
      <c r="O73" t="str">
        <f>IF(Backend!P100="", "", Backend!P100)</f>
        <v/>
      </c>
      <c r="P73" t="str">
        <f>IF(Backend!Q100="", "", Backend!Q100)</f>
        <v/>
      </c>
      <c r="Q73" t="str">
        <f>IF(Backend!R100="", "", Backend!R100)</f>
        <v/>
      </c>
      <c r="R73" t="str">
        <f>IF(Backend!S100="", "", Backend!S100)</f>
        <v/>
      </c>
      <c r="S73" t="str">
        <f>IF(Backend!T100="", "", Backend!T100)</f>
        <v/>
      </c>
      <c r="T73" t="str">
        <f>IF(Backend!U100="", "", Backend!U100)</f>
        <v/>
      </c>
      <c r="U73" t="str">
        <f>IF(Backend!V100="", "", Backend!V100)</f>
        <v/>
      </c>
      <c r="V73" t="str">
        <f>IF(Backend!W100="", "", Backend!W100)</f>
        <v/>
      </c>
      <c r="W73" t="str">
        <f>IF(Backend!X100="", "", Backend!X100)</f>
        <v/>
      </c>
      <c r="X73" t="str">
        <f>IF(Backend!Y100="", "", Backend!Y100)</f>
        <v/>
      </c>
      <c r="Y73" t="str">
        <f>IF(Backend!Z100="", "", Backend!Z100)</f>
        <v/>
      </c>
      <c r="Z73" t="str">
        <f>IF(Backend!AA100="", "", Backend!AA100)</f>
        <v/>
      </c>
      <c r="AA73" t="str">
        <f>IF(Backend!AB100="", "", Backend!AB100)</f>
        <v/>
      </c>
      <c r="AB73" t="str">
        <f>IF(Backend!AC100="", "", Backend!AC100)</f>
        <v/>
      </c>
      <c r="AC73" t="str">
        <f>IF(Backend!AD100="", "", Backend!AD100)</f>
        <v/>
      </c>
      <c r="AD73" t="str">
        <f>IF(Backend!AE100="", "", Backend!AE100)</f>
        <v/>
      </c>
      <c r="AE73" t="str">
        <f>IF(Backend!AF100="", "", Backend!AF100)</f>
        <v/>
      </c>
      <c r="AF73" t="str">
        <f>IF(Backend!AG100="", "", Backend!AG100)</f>
        <v/>
      </c>
      <c r="AG73" t="str">
        <f>IF(Backend!AH100="", "", Backend!AH100)</f>
        <v/>
      </c>
      <c r="AH73" t="str">
        <f>IF(Backend!AI100="", "", Backend!AI100)</f>
        <v/>
      </c>
      <c r="AI73" t="str">
        <f>IF(Backend!AJ100="", "", Backend!AJ100)</f>
        <v/>
      </c>
      <c r="AJ73" t="str">
        <f>IF(Backend!AK100="", "", Backend!AK100)</f>
        <v/>
      </c>
      <c r="AK73" t="str">
        <f>IF(Backend!AL100="", "", Backend!AL100)</f>
        <v/>
      </c>
      <c r="AL73" t="str">
        <f>IF(Backend!AM100="", "", Backend!AM100)</f>
        <v/>
      </c>
      <c r="AM73" t="str">
        <f>IF(Backend!AN100="", "", Backend!AN100)</f>
        <v/>
      </c>
      <c r="AN73" t="str">
        <f>IF(Backend!AO100="", "", Backend!AO100)</f>
        <v/>
      </c>
      <c r="AO73" t="str">
        <f>IF(Backend!AP100="", "", Backend!AP100)</f>
        <v/>
      </c>
      <c r="AP73" t="str">
        <f>IF(Backend!AQ100="", "", Backend!AQ100)</f>
        <v/>
      </c>
      <c r="AQ73" t="str">
        <f>IF(Backend!AR100="", "", Backend!AR100)</f>
        <v/>
      </c>
      <c r="AR73" t="str">
        <f>IF(Backend!AS100="", "", Backend!AS100)</f>
        <v/>
      </c>
      <c r="AS73" t="str">
        <f>IF(Backend!AT100="", "", Backend!AT100)</f>
        <v/>
      </c>
      <c r="AT73" t="str">
        <f>IF(Backend!AU100="", "", Backend!AU100)</f>
        <v/>
      </c>
      <c r="AU73" t="str">
        <f>IF(Backend!AV100="", "", Backend!AV100)</f>
        <v/>
      </c>
      <c r="AV73" t="str">
        <f>IF(Backend!AW100="", "", Backend!AW100)</f>
        <v/>
      </c>
      <c r="AW73" t="str">
        <f>IF(Backend!AX100="", "", Backend!AX100)</f>
        <v/>
      </c>
      <c r="AX73" t="str">
        <f>IF(Backend!AY100="", "", Backend!AY100)</f>
        <v/>
      </c>
      <c r="AY73" t="str">
        <f>IF(Backend!AZ100="", "", Backend!AZ100)</f>
        <v/>
      </c>
      <c r="AZ73" t="str">
        <f>IF(Backend!BA100="", "", Backend!BA100)</f>
        <v/>
      </c>
      <c r="BA73" t="str">
        <f>IF(Backend!BB100="", "", Backend!BB100)</f>
        <v/>
      </c>
      <c r="BB73" t="str">
        <f>IF(Backend!BC100="", "", Backend!BC100)</f>
        <v/>
      </c>
      <c r="BC73" t="str">
        <f>IF(Backend!BD100="", "", Backend!BD100)</f>
        <v/>
      </c>
      <c r="BD73" t="str">
        <f>IF(Backend!BE100="", "", Backend!BE100)</f>
        <v/>
      </c>
      <c r="BE73" t="str">
        <f>IF(Backend!BF100="", "", Backend!BF100)</f>
        <v/>
      </c>
      <c r="BF73" t="str">
        <f>IF(Backend!BG100="", "", Backend!BG100)</f>
        <v/>
      </c>
      <c r="BG73" t="str">
        <f>IF(Backend!BH100="", "", Backend!BH100)</f>
        <v/>
      </c>
      <c r="BH73" t="str">
        <f>IF(Backend!BI100="", "", Backend!BI100)</f>
        <v/>
      </c>
      <c r="BI73" t="str">
        <f>IF(Backend!BJ100="", "", Backend!BJ100)</f>
        <v/>
      </c>
      <c r="BJ73" t="str">
        <f>IF(Backend!BK100="", "", Backend!BK100)</f>
        <v/>
      </c>
      <c r="BK73" t="str">
        <f>IF(Backend!BL100="", "", Backend!BL100)</f>
        <v/>
      </c>
      <c r="BL73" t="str">
        <f>IF(Backend!BM100="", "", Backend!BM100)</f>
        <v/>
      </c>
      <c r="BM73" t="str">
        <f>IF(Backend!BN100="", "", Backend!BN100)</f>
        <v/>
      </c>
      <c r="BN73" t="str">
        <f>IF(Backend!BO100="", "", Backend!BO100)</f>
        <v/>
      </c>
      <c r="BO73" t="str">
        <f>IF(Backend!BP100="", "", Backend!BP100)</f>
        <v/>
      </c>
      <c r="BP73" t="str">
        <f>IF(Backend!BQ100="", "", Backend!BQ100)</f>
        <v/>
      </c>
      <c r="BQ73" t="str">
        <f>IF(Backend!BR100="", "", Backend!BR100)</f>
        <v/>
      </c>
      <c r="BR73" t="str">
        <f>IF(Backend!BS100="", "", Backend!BS100)</f>
        <v/>
      </c>
      <c r="BS73" t="str">
        <f>IF(Backend!BT100="", "", Backend!BT100)</f>
        <v/>
      </c>
      <c r="BT73" t="str">
        <f>IF(Backend!BU100="", "", Backend!BU100)</f>
        <v/>
      </c>
      <c r="BU73" t="str">
        <f>IF(Backend!BV100="", "", Backend!BV100)</f>
        <v/>
      </c>
      <c r="BV73" t="str">
        <f>IF(Backend!BW100="", "", Backend!BW100)</f>
        <v/>
      </c>
      <c r="BW73" t="str">
        <f>IF(Backend!BX100="", "", Backend!BX100)</f>
        <v/>
      </c>
      <c r="BX73" t="str">
        <f>IF(Backend!BY100="", "", Backend!BY100)</f>
        <v/>
      </c>
      <c r="BY73" t="str">
        <f>IF(Backend!BZ100="", "", Backend!BZ100)</f>
        <v/>
      </c>
      <c r="BZ73" t="str">
        <f>IF(Backend!CA100="", "", Backend!CA100)</f>
        <v/>
      </c>
      <c r="CA73" t="str">
        <f>IF(Backend!CB100="", "", Backend!CB100)</f>
        <v/>
      </c>
      <c r="CB73" t="str">
        <f>IF(Backend!CC100="", "", Backend!CC100)</f>
        <v/>
      </c>
      <c r="CC73" t="str">
        <f>IF(Backend!CD100="", "", Backend!CD100)</f>
        <v/>
      </c>
    </row>
    <row r="74" spans="1:81" x14ac:dyDescent="0.25">
      <c r="A74" s="4" t="str">
        <f>IF(Backend!A101="", "", Backend!A101)</f>
        <v/>
      </c>
      <c r="B74" t="str">
        <f>IF(Backend!C101="", "", Backend!C101)</f>
        <v/>
      </c>
      <c r="C74" t="str">
        <f>IF(Backend!D101="", "", Backend!D101)</f>
        <v/>
      </c>
      <c r="D74" t="str">
        <f>IF(Backend!E101="", "", Backend!E101)</f>
        <v/>
      </c>
      <c r="E74" t="str">
        <f>IF(Backend!F101="", "", Backend!F101)</f>
        <v/>
      </c>
      <c r="F74" t="str">
        <f>IF(Backend!G101="", "", Backend!G101)</f>
        <v/>
      </c>
      <c r="G74" t="str">
        <f>IF(Backend!H101="", "", Backend!H101)</f>
        <v/>
      </c>
      <c r="H74" t="str">
        <f>IF(Backend!I101="", "", Backend!I101)</f>
        <v/>
      </c>
      <c r="I74" t="str">
        <f>IF(Backend!J101="", "", Backend!J101)</f>
        <v/>
      </c>
      <c r="J74" t="str">
        <f>IF(Backend!K101="", "", Backend!K101)</f>
        <v/>
      </c>
      <c r="K74" t="str">
        <f>IF(Backend!L101="", "", Backend!L101)</f>
        <v/>
      </c>
      <c r="L74" t="str">
        <f>IF(Backend!M101="", "", Backend!M101)</f>
        <v/>
      </c>
      <c r="M74" t="str">
        <f>IF(Backend!N101="", "", Backend!N101)</f>
        <v/>
      </c>
      <c r="N74" t="str">
        <f>IF(Backend!O101="", "", Backend!O101)</f>
        <v/>
      </c>
      <c r="O74" t="str">
        <f>IF(Backend!P101="", "", Backend!P101)</f>
        <v/>
      </c>
      <c r="P74" t="str">
        <f>IF(Backend!Q101="", "", Backend!Q101)</f>
        <v/>
      </c>
      <c r="Q74" t="str">
        <f>IF(Backend!R101="", "", Backend!R101)</f>
        <v/>
      </c>
      <c r="R74" t="str">
        <f>IF(Backend!S101="", "", Backend!S101)</f>
        <v/>
      </c>
      <c r="S74" t="str">
        <f>IF(Backend!T101="", "", Backend!T101)</f>
        <v/>
      </c>
      <c r="T74" t="str">
        <f>IF(Backend!U101="", "", Backend!U101)</f>
        <v/>
      </c>
      <c r="U74" t="str">
        <f>IF(Backend!V101="", "", Backend!V101)</f>
        <v/>
      </c>
      <c r="V74" t="str">
        <f>IF(Backend!W101="", "", Backend!W101)</f>
        <v/>
      </c>
      <c r="W74" t="str">
        <f>IF(Backend!X101="", "", Backend!X101)</f>
        <v/>
      </c>
      <c r="X74" t="str">
        <f>IF(Backend!Y101="", "", Backend!Y101)</f>
        <v/>
      </c>
      <c r="Y74" t="str">
        <f>IF(Backend!Z101="", "", Backend!Z101)</f>
        <v/>
      </c>
      <c r="Z74" t="str">
        <f>IF(Backend!AA101="", "", Backend!AA101)</f>
        <v/>
      </c>
      <c r="AA74" t="str">
        <f>IF(Backend!AB101="", "", Backend!AB101)</f>
        <v/>
      </c>
      <c r="AB74" t="str">
        <f>IF(Backend!AC101="", "", Backend!AC101)</f>
        <v/>
      </c>
      <c r="AC74" t="str">
        <f>IF(Backend!AD101="", "", Backend!AD101)</f>
        <v/>
      </c>
      <c r="AD74" t="str">
        <f>IF(Backend!AE101="", "", Backend!AE101)</f>
        <v/>
      </c>
      <c r="AE74" t="str">
        <f>IF(Backend!AF101="", "", Backend!AF101)</f>
        <v/>
      </c>
      <c r="AF74" t="str">
        <f>IF(Backend!AG101="", "", Backend!AG101)</f>
        <v/>
      </c>
      <c r="AG74" t="str">
        <f>IF(Backend!AH101="", "", Backend!AH101)</f>
        <v/>
      </c>
      <c r="AH74" t="str">
        <f>IF(Backend!AI101="", "", Backend!AI101)</f>
        <v/>
      </c>
      <c r="AI74" t="str">
        <f>IF(Backend!AJ101="", "", Backend!AJ101)</f>
        <v/>
      </c>
      <c r="AJ74" t="str">
        <f>IF(Backend!AK101="", "", Backend!AK101)</f>
        <v/>
      </c>
      <c r="AK74" t="str">
        <f>IF(Backend!AL101="", "", Backend!AL101)</f>
        <v/>
      </c>
      <c r="AL74" t="str">
        <f>IF(Backend!AM101="", "", Backend!AM101)</f>
        <v/>
      </c>
      <c r="AM74" t="str">
        <f>IF(Backend!AN101="", "", Backend!AN101)</f>
        <v/>
      </c>
      <c r="AN74" t="str">
        <f>IF(Backend!AO101="", "", Backend!AO101)</f>
        <v/>
      </c>
      <c r="AO74" t="str">
        <f>IF(Backend!AP101="", "", Backend!AP101)</f>
        <v/>
      </c>
      <c r="AP74" t="str">
        <f>IF(Backend!AQ101="", "", Backend!AQ101)</f>
        <v/>
      </c>
      <c r="AQ74" t="str">
        <f>IF(Backend!AR101="", "", Backend!AR101)</f>
        <v/>
      </c>
      <c r="AR74" t="str">
        <f>IF(Backend!AS101="", "", Backend!AS101)</f>
        <v/>
      </c>
      <c r="AS74" t="str">
        <f>IF(Backend!AT101="", "", Backend!AT101)</f>
        <v/>
      </c>
      <c r="AT74" t="str">
        <f>IF(Backend!AU101="", "", Backend!AU101)</f>
        <v/>
      </c>
      <c r="AU74" t="str">
        <f>IF(Backend!AV101="", "", Backend!AV101)</f>
        <v/>
      </c>
      <c r="AV74" t="str">
        <f>IF(Backend!AW101="", "", Backend!AW101)</f>
        <v/>
      </c>
      <c r="AW74" t="str">
        <f>IF(Backend!AX101="", "", Backend!AX101)</f>
        <v/>
      </c>
      <c r="AX74" t="str">
        <f>IF(Backend!AY101="", "", Backend!AY101)</f>
        <v/>
      </c>
      <c r="AY74" t="str">
        <f>IF(Backend!AZ101="", "", Backend!AZ101)</f>
        <v/>
      </c>
      <c r="AZ74" t="str">
        <f>IF(Backend!BA101="", "", Backend!BA101)</f>
        <v/>
      </c>
      <c r="BA74" t="str">
        <f>IF(Backend!BB101="", "", Backend!BB101)</f>
        <v/>
      </c>
      <c r="BB74" t="str">
        <f>IF(Backend!BC101="", "", Backend!BC101)</f>
        <v/>
      </c>
      <c r="BC74" t="str">
        <f>IF(Backend!BD101="", "", Backend!BD101)</f>
        <v/>
      </c>
      <c r="BD74" t="str">
        <f>IF(Backend!BE101="", "", Backend!BE101)</f>
        <v/>
      </c>
      <c r="BE74" t="str">
        <f>IF(Backend!BF101="", "", Backend!BF101)</f>
        <v/>
      </c>
      <c r="BF74" t="str">
        <f>IF(Backend!BG101="", "", Backend!BG101)</f>
        <v/>
      </c>
      <c r="BG74" t="str">
        <f>IF(Backend!BH101="", "", Backend!BH101)</f>
        <v/>
      </c>
      <c r="BH74" t="str">
        <f>IF(Backend!BI101="", "", Backend!BI101)</f>
        <v/>
      </c>
      <c r="BI74" t="str">
        <f>IF(Backend!BJ101="", "", Backend!BJ101)</f>
        <v/>
      </c>
      <c r="BJ74" t="str">
        <f>IF(Backend!BK101="", "", Backend!BK101)</f>
        <v/>
      </c>
      <c r="BK74" t="str">
        <f>IF(Backend!BL101="", "", Backend!BL101)</f>
        <v/>
      </c>
      <c r="BL74" t="str">
        <f>IF(Backend!BM101="", "", Backend!BM101)</f>
        <v/>
      </c>
      <c r="BM74" t="str">
        <f>IF(Backend!BN101="", "", Backend!BN101)</f>
        <v/>
      </c>
      <c r="BN74" t="str">
        <f>IF(Backend!BO101="", "", Backend!BO101)</f>
        <v/>
      </c>
      <c r="BO74" t="str">
        <f>IF(Backend!BP101="", "", Backend!BP101)</f>
        <v/>
      </c>
      <c r="BP74" t="str">
        <f>IF(Backend!BQ101="", "", Backend!BQ101)</f>
        <v/>
      </c>
      <c r="BQ74" t="str">
        <f>IF(Backend!BR101="", "", Backend!BR101)</f>
        <v/>
      </c>
      <c r="BR74" t="str">
        <f>IF(Backend!BS101="", "", Backend!BS101)</f>
        <v/>
      </c>
      <c r="BS74" t="str">
        <f>IF(Backend!BT101="", "", Backend!BT101)</f>
        <v/>
      </c>
      <c r="BT74" t="str">
        <f>IF(Backend!BU101="", "", Backend!BU101)</f>
        <v/>
      </c>
      <c r="BU74" t="str">
        <f>IF(Backend!BV101="", "", Backend!BV101)</f>
        <v/>
      </c>
      <c r="BV74" t="str">
        <f>IF(Backend!BW101="", "", Backend!BW101)</f>
        <v/>
      </c>
      <c r="BW74" t="str">
        <f>IF(Backend!BX101="", "", Backend!BX101)</f>
        <v/>
      </c>
      <c r="BX74" t="str">
        <f>IF(Backend!BY101="", "", Backend!BY101)</f>
        <v/>
      </c>
      <c r="BY74" t="str">
        <f>IF(Backend!BZ101="", "", Backend!BZ101)</f>
        <v/>
      </c>
      <c r="BZ74" t="str">
        <f>IF(Backend!CA101="", "", Backend!CA101)</f>
        <v/>
      </c>
      <c r="CA74" t="str">
        <f>IF(Backend!CB101="", "", Backend!CB101)</f>
        <v/>
      </c>
      <c r="CB74" t="str">
        <f>IF(Backend!CC101="", "", Backend!CC101)</f>
        <v/>
      </c>
      <c r="CC74" t="str">
        <f>IF(Backend!CD101="", "", Backend!CD101)</f>
        <v/>
      </c>
    </row>
    <row r="75" spans="1:81" x14ac:dyDescent="0.25">
      <c r="A75" s="4" t="str">
        <f>IF(Backend!A102="", "", Backend!A102)</f>
        <v/>
      </c>
      <c r="B75" t="str">
        <f>IF(Backend!C102="", "", Backend!C102)</f>
        <v/>
      </c>
      <c r="C75" t="str">
        <f>IF(Backend!D102="", "", Backend!D102)</f>
        <v/>
      </c>
      <c r="D75" t="str">
        <f>IF(Backend!E102="", "", Backend!E102)</f>
        <v/>
      </c>
      <c r="E75" t="str">
        <f>IF(Backend!F102="", "", Backend!F102)</f>
        <v/>
      </c>
      <c r="F75" t="str">
        <f>IF(Backend!G102="", "", Backend!G102)</f>
        <v/>
      </c>
      <c r="G75" t="str">
        <f>IF(Backend!H102="", "", Backend!H102)</f>
        <v/>
      </c>
      <c r="H75" t="str">
        <f>IF(Backend!I102="", "", Backend!I102)</f>
        <v/>
      </c>
      <c r="I75" t="str">
        <f>IF(Backend!J102="", "", Backend!J102)</f>
        <v/>
      </c>
      <c r="J75" t="str">
        <f>IF(Backend!K102="", "", Backend!K102)</f>
        <v/>
      </c>
      <c r="K75" t="str">
        <f>IF(Backend!L102="", "", Backend!L102)</f>
        <v/>
      </c>
      <c r="L75" t="str">
        <f>IF(Backend!M102="", "", Backend!M102)</f>
        <v/>
      </c>
      <c r="M75" t="str">
        <f>IF(Backend!N102="", "", Backend!N102)</f>
        <v/>
      </c>
      <c r="N75" t="str">
        <f>IF(Backend!O102="", "", Backend!O102)</f>
        <v/>
      </c>
      <c r="O75" t="str">
        <f>IF(Backend!P102="", "", Backend!P102)</f>
        <v/>
      </c>
      <c r="P75" t="str">
        <f>IF(Backend!Q102="", "", Backend!Q102)</f>
        <v/>
      </c>
      <c r="Q75" t="str">
        <f>IF(Backend!R102="", "", Backend!R102)</f>
        <v/>
      </c>
      <c r="R75" t="str">
        <f>IF(Backend!S102="", "", Backend!S102)</f>
        <v/>
      </c>
      <c r="S75" t="str">
        <f>IF(Backend!T102="", "", Backend!T102)</f>
        <v/>
      </c>
      <c r="T75" t="str">
        <f>IF(Backend!U102="", "", Backend!U102)</f>
        <v/>
      </c>
      <c r="U75" t="str">
        <f>IF(Backend!V102="", "", Backend!V102)</f>
        <v/>
      </c>
      <c r="V75" t="str">
        <f>IF(Backend!W102="", "", Backend!W102)</f>
        <v/>
      </c>
      <c r="W75" t="str">
        <f>IF(Backend!X102="", "", Backend!X102)</f>
        <v/>
      </c>
      <c r="X75" t="str">
        <f>IF(Backend!Y102="", "", Backend!Y102)</f>
        <v/>
      </c>
      <c r="Y75" t="str">
        <f>IF(Backend!Z102="", "", Backend!Z102)</f>
        <v/>
      </c>
      <c r="Z75" t="str">
        <f>IF(Backend!AA102="", "", Backend!AA102)</f>
        <v/>
      </c>
      <c r="AA75" t="str">
        <f>IF(Backend!AB102="", "", Backend!AB102)</f>
        <v/>
      </c>
      <c r="AB75" t="str">
        <f>IF(Backend!AC102="", "", Backend!AC102)</f>
        <v/>
      </c>
      <c r="AC75" t="str">
        <f>IF(Backend!AD102="", "", Backend!AD102)</f>
        <v/>
      </c>
      <c r="AD75" t="str">
        <f>IF(Backend!AE102="", "", Backend!AE102)</f>
        <v/>
      </c>
      <c r="AE75" t="str">
        <f>IF(Backend!AF102="", "", Backend!AF102)</f>
        <v/>
      </c>
      <c r="AF75" t="str">
        <f>IF(Backend!AG102="", "", Backend!AG102)</f>
        <v/>
      </c>
      <c r="AG75" t="str">
        <f>IF(Backend!AH102="", "", Backend!AH102)</f>
        <v/>
      </c>
      <c r="AH75" t="str">
        <f>IF(Backend!AI102="", "", Backend!AI102)</f>
        <v/>
      </c>
      <c r="AI75" t="str">
        <f>IF(Backend!AJ102="", "", Backend!AJ102)</f>
        <v/>
      </c>
      <c r="AJ75" t="str">
        <f>IF(Backend!AK102="", "", Backend!AK102)</f>
        <v/>
      </c>
      <c r="AK75" t="str">
        <f>IF(Backend!AL102="", "", Backend!AL102)</f>
        <v/>
      </c>
      <c r="AL75" t="str">
        <f>IF(Backend!AM102="", "", Backend!AM102)</f>
        <v/>
      </c>
      <c r="AM75" t="str">
        <f>IF(Backend!AN102="", "", Backend!AN102)</f>
        <v/>
      </c>
      <c r="AN75" t="str">
        <f>IF(Backend!AO102="", "", Backend!AO102)</f>
        <v/>
      </c>
      <c r="AO75" t="str">
        <f>IF(Backend!AP102="", "", Backend!AP102)</f>
        <v/>
      </c>
      <c r="AP75" t="str">
        <f>IF(Backend!AQ102="", "", Backend!AQ102)</f>
        <v/>
      </c>
      <c r="AQ75" t="str">
        <f>IF(Backend!AR102="", "", Backend!AR102)</f>
        <v/>
      </c>
      <c r="AR75" t="str">
        <f>IF(Backend!AS102="", "", Backend!AS102)</f>
        <v/>
      </c>
      <c r="AS75" t="str">
        <f>IF(Backend!AT102="", "", Backend!AT102)</f>
        <v/>
      </c>
      <c r="AT75" t="str">
        <f>IF(Backend!AU102="", "", Backend!AU102)</f>
        <v/>
      </c>
      <c r="AU75" t="str">
        <f>IF(Backend!AV102="", "", Backend!AV102)</f>
        <v/>
      </c>
      <c r="AV75" t="str">
        <f>IF(Backend!AW102="", "", Backend!AW102)</f>
        <v/>
      </c>
      <c r="AW75" t="str">
        <f>IF(Backend!AX102="", "", Backend!AX102)</f>
        <v/>
      </c>
      <c r="AX75" t="str">
        <f>IF(Backend!AY102="", "", Backend!AY102)</f>
        <v/>
      </c>
      <c r="AY75" t="str">
        <f>IF(Backend!AZ102="", "", Backend!AZ102)</f>
        <v/>
      </c>
      <c r="AZ75" t="str">
        <f>IF(Backend!BA102="", "", Backend!BA102)</f>
        <v/>
      </c>
      <c r="BA75" t="str">
        <f>IF(Backend!BB102="", "", Backend!BB102)</f>
        <v/>
      </c>
      <c r="BB75" t="str">
        <f>IF(Backend!BC102="", "", Backend!BC102)</f>
        <v/>
      </c>
      <c r="BC75" t="str">
        <f>IF(Backend!BD102="", "", Backend!BD102)</f>
        <v/>
      </c>
      <c r="BD75" t="str">
        <f>IF(Backend!BE102="", "", Backend!BE102)</f>
        <v/>
      </c>
      <c r="BE75" t="str">
        <f>IF(Backend!BF102="", "", Backend!BF102)</f>
        <v/>
      </c>
      <c r="BF75" t="str">
        <f>IF(Backend!BG102="", "", Backend!BG102)</f>
        <v/>
      </c>
      <c r="BG75" t="str">
        <f>IF(Backend!BH102="", "", Backend!BH102)</f>
        <v/>
      </c>
      <c r="BH75" t="str">
        <f>IF(Backend!BI102="", "", Backend!BI102)</f>
        <v/>
      </c>
      <c r="BI75" t="str">
        <f>IF(Backend!BJ102="", "", Backend!BJ102)</f>
        <v/>
      </c>
      <c r="BJ75" t="str">
        <f>IF(Backend!BK102="", "", Backend!BK102)</f>
        <v/>
      </c>
      <c r="BK75" t="str">
        <f>IF(Backend!BL102="", "", Backend!BL102)</f>
        <v/>
      </c>
      <c r="BL75" t="str">
        <f>IF(Backend!BM102="", "", Backend!BM102)</f>
        <v/>
      </c>
      <c r="BM75" t="str">
        <f>IF(Backend!BN102="", "", Backend!BN102)</f>
        <v/>
      </c>
      <c r="BN75" t="str">
        <f>IF(Backend!BO102="", "", Backend!BO102)</f>
        <v/>
      </c>
      <c r="BO75" t="str">
        <f>IF(Backend!BP102="", "", Backend!BP102)</f>
        <v/>
      </c>
      <c r="BP75" t="str">
        <f>IF(Backend!BQ102="", "", Backend!BQ102)</f>
        <v/>
      </c>
      <c r="BQ75" t="str">
        <f>IF(Backend!BR102="", "", Backend!BR102)</f>
        <v/>
      </c>
      <c r="BR75" t="str">
        <f>IF(Backend!BS102="", "", Backend!BS102)</f>
        <v/>
      </c>
      <c r="BS75" t="str">
        <f>IF(Backend!BT102="", "", Backend!BT102)</f>
        <v/>
      </c>
      <c r="BT75" t="str">
        <f>IF(Backend!BU102="", "", Backend!BU102)</f>
        <v/>
      </c>
      <c r="BU75" t="str">
        <f>IF(Backend!BV102="", "", Backend!BV102)</f>
        <v/>
      </c>
      <c r="BV75" t="str">
        <f>IF(Backend!BW102="", "", Backend!BW102)</f>
        <v/>
      </c>
      <c r="BW75" t="str">
        <f>IF(Backend!BX102="", "", Backend!BX102)</f>
        <v/>
      </c>
      <c r="BX75" t="str">
        <f>IF(Backend!BY102="", "", Backend!BY102)</f>
        <v/>
      </c>
      <c r="BY75" t="str">
        <f>IF(Backend!BZ102="", "", Backend!BZ102)</f>
        <v/>
      </c>
      <c r="BZ75" t="str">
        <f>IF(Backend!CA102="", "", Backend!CA102)</f>
        <v/>
      </c>
      <c r="CA75" t="str">
        <f>IF(Backend!CB102="", "", Backend!CB102)</f>
        <v/>
      </c>
      <c r="CB75" t="str">
        <f>IF(Backend!CC102="", "", Backend!CC102)</f>
        <v/>
      </c>
      <c r="CC75" t="str">
        <f>IF(Backend!CD102="", "", Backend!CD102)</f>
        <v/>
      </c>
    </row>
    <row r="76" spans="1:81" x14ac:dyDescent="0.25">
      <c r="A76" s="4" t="str">
        <f>IF(Backend!A103="", "", Backend!A103)</f>
        <v/>
      </c>
      <c r="B76" t="str">
        <f>IF(Backend!C103="", "", Backend!C103)</f>
        <v/>
      </c>
      <c r="C76" t="str">
        <f>IF(Backend!D103="", "", Backend!D103)</f>
        <v/>
      </c>
      <c r="D76" t="str">
        <f>IF(Backend!E103="", "", Backend!E103)</f>
        <v/>
      </c>
      <c r="E76" t="str">
        <f>IF(Backend!F103="", "", Backend!F103)</f>
        <v/>
      </c>
      <c r="F76" t="str">
        <f>IF(Backend!G103="", "", Backend!G103)</f>
        <v/>
      </c>
      <c r="G76" t="str">
        <f>IF(Backend!H103="", "", Backend!H103)</f>
        <v/>
      </c>
      <c r="H76" t="str">
        <f>IF(Backend!I103="", "", Backend!I103)</f>
        <v/>
      </c>
      <c r="I76" t="str">
        <f>IF(Backend!J103="", "", Backend!J103)</f>
        <v/>
      </c>
      <c r="J76" t="str">
        <f>IF(Backend!K103="", "", Backend!K103)</f>
        <v/>
      </c>
      <c r="K76" t="str">
        <f>IF(Backend!L103="", "", Backend!L103)</f>
        <v/>
      </c>
      <c r="L76" t="str">
        <f>IF(Backend!M103="", "", Backend!M103)</f>
        <v/>
      </c>
      <c r="M76" t="str">
        <f>IF(Backend!N103="", "", Backend!N103)</f>
        <v/>
      </c>
      <c r="N76" t="str">
        <f>IF(Backend!O103="", "", Backend!O103)</f>
        <v/>
      </c>
      <c r="O76" t="str">
        <f>IF(Backend!P103="", "", Backend!P103)</f>
        <v/>
      </c>
      <c r="P76" t="str">
        <f>IF(Backend!Q103="", "", Backend!Q103)</f>
        <v/>
      </c>
      <c r="Q76" t="str">
        <f>IF(Backend!R103="", "", Backend!R103)</f>
        <v/>
      </c>
      <c r="R76" t="str">
        <f>IF(Backend!S103="", "", Backend!S103)</f>
        <v/>
      </c>
      <c r="S76" t="str">
        <f>IF(Backend!T103="", "", Backend!T103)</f>
        <v/>
      </c>
      <c r="T76" t="str">
        <f>IF(Backend!U103="", "", Backend!U103)</f>
        <v/>
      </c>
      <c r="U76" t="str">
        <f>IF(Backend!V103="", "", Backend!V103)</f>
        <v/>
      </c>
      <c r="V76" t="str">
        <f>IF(Backend!W103="", "", Backend!W103)</f>
        <v/>
      </c>
      <c r="W76" t="str">
        <f>IF(Backend!X103="", "", Backend!X103)</f>
        <v/>
      </c>
      <c r="X76" t="str">
        <f>IF(Backend!Y103="", "", Backend!Y103)</f>
        <v/>
      </c>
      <c r="Y76" t="str">
        <f>IF(Backend!Z103="", "", Backend!Z103)</f>
        <v/>
      </c>
      <c r="Z76" t="str">
        <f>IF(Backend!AA103="", "", Backend!AA103)</f>
        <v/>
      </c>
      <c r="AA76" t="str">
        <f>IF(Backend!AB103="", "", Backend!AB103)</f>
        <v/>
      </c>
      <c r="AB76" t="str">
        <f>IF(Backend!AC103="", "", Backend!AC103)</f>
        <v/>
      </c>
      <c r="AC76" t="str">
        <f>IF(Backend!AD103="", "", Backend!AD103)</f>
        <v/>
      </c>
      <c r="AD76" t="str">
        <f>IF(Backend!AE103="", "", Backend!AE103)</f>
        <v/>
      </c>
      <c r="AE76" t="str">
        <f>IF(Backend!AF103="", "", Backend!AF103)</f>
        <v/>
      </c>
      <c r="AF76" t="str">
        <f>IF(Backend!AG103="", "", Backend!AG103)</f>
        <v/>
      </c>
      <c r="AG76" t="str">
        <f>IF(Backend!AH103="", "", Backend!AH103)</f>
        <v/>
      </c>
      <c r="AH76" t="str">
        <f>IF(Backend!AI103="", "", Backend!AI103)</f>
        <v/>
      </c>
      <c r="AI76" t="str">
        <f>IF(Backend!AJ103="", "", Backend!AJ103)</f>
        <v/>
      </c>
      <c r="AJ76" t="str">
        <f>IF(Backend!AK103="", "", Backend!AK103)</f>
        <v/>
      </c>
      <c r="AK76" t="str">
        <f>IF(Backend!AL103="", "", Backend!AL103)</f>
        <v/>
      </c>
      <c r="AL76" t="str">
        <f>IF(Backend!AM103="", "", Backend!AM103)</f>
        <v/>
      </c>
      <c r="AM76" t="str">
        <f>IF(Backend!AN103="", "", Backend!AN103)</f>
        <v/>
      </c>
      <c r="AN76" t="str">
        <f>IF(Backend!AO103="", "", Backend!AO103)</f>
        <v/>
      </c>
      <c r="AO76" t="str">
        <f>IF(Backend!AP103="", "", Backend!AP103)</f>
        <v/>
      </c>
      <c r="AP76" t="str">
        <f>IF(Backend!AQ103="", "", Backend!AQ103)</f>
        <v/>
      </c>
      <c r="AQ76" t="str">
        <f>IF(Backend!AR103="", "", Backend!AR103)</f>
        <v/>
      </c>
      <c r="AR76" t="str">
        <f>IF(Backend!AS103="", "", Backend!AS103)</f>
        <v/>
      </c>
      <c r="AS76" t="str">
        <f>IF(Backend!AT103="", "", Backend!AT103)</f>
        <v/>
      </c>
      <c r="AT76" t="str">
        <f>IF(Backend!AU103="", "", Backend!AU103)</f>
        <v/>
      </c>
      <c r="AU76" t="str">
        <f>IF(Backend!AV103="", "", Backend!AV103)</f>
        <v/>
      </c>
      <c r="AV76" t="str">
        <f>IF(Backend!AW103="", "", Backend!AW103)</f>
        <v/>
      </c>
      <c r="AW76" t="str">
        <f>IF(Backend!AX103="", "", Backend!AX103)</f>
        <v/>
      </c>
      <c r="AX76" t="str">
        <f>IF(Backend!AY103="", "", Backend!AY103)</f>
        <v/>
      </c>
      <c r="AY76" t="str">
        <f>IF(Backend!AZ103="", "", Backend!AZ103)</f>
        <v/>
      </c>
      <c r="AZ76" t="str">
        <f>IF(Backend!BA103="", "", Backend!BA103)</f>
        <v/>
      </c>
      <c r="BA76" t="str">
        <f>IF(Backend!BB103="", "", Backend!BB103)</f>
        <v/>
      </c>
      <c r="BB76" t="str">
        <f>IF(Backend!BC103="", "", Backend!BC103)</f>
        <v/>
      </c>
      <c r="BC76" t="str">
        <f>IF(Backend!BD103="", "", Backend!BD103)</f>
        <v/>
      </c>
      <c r="BD76" t="str">
        <f>IF(Backend!BE103="", "", Backend!BE103)</f>
        <v/>
      </c>
      <c r="BE76" t="str">
        <f>IF(Backend!BF103="", "", Backend!BF103)</f>
        <v/>
      </c>
      <c r="BF76" t="str">
        <f>IF(Backend!BG103="", "", Backend!BG103)</f>
        <v/>
      </c>
      <c r="BG76" t="str">
        <f>IF(Backend!BH103="", "", Backend!BH103)</f>
        <v/>
      </c>
      <c r="BH76" t="str">
        <f>IF(Backend!BI103="", "", Backend!BI103)</f>
        <v/>
      </c>
      <c r="BI76" t="str">
        <f>IF(Backend!BJ103="", "", Backend!BJ103)</f>
        <v/>
      </c>
      <c r="BJ76" t="str">
        <f>IF(Backend!BK103="", "", Backend!BK103)</f>
        <v/>
      </c>
      <c r="BK76" t="str">
        <f>IF(Backend!BL103="", "", Backend!BL103)</f>
        <v/>
      </c>
      <c r="BL76" t="str">
        <f>IF(Backend!BM103="", "", Backend!BM103)</f>
        <v/>
      </c>
      <c r="BM76" t="str">
        <f>IF(Backend!BN103="", "", Backend!BN103)</f>
        <v/>
      </c>
      <c r="BN76" t="str">
        <f>IF(Backend!BO103="", "", Backend!BO103)</f>
        <v/>
      </c>
      <c r="BO76" t="str">
        <f>IF(Backend!BP103="", "", Backend!BP103)</f>
        <v/>
      </c>
      <c r="BP76" t="str">
        <f>IF(Backend!BQ103="", "", Backend!BQ103)</f>
        <v/>
      </c>
      <c r="BQ76" t="str">
        <f>IF(Backend!BR103="", "", Backend!BR103)</f>
        <v/>
      </c>
      <c r="BR76" t="str">
        <f>IF(Backend!BS103="", "", Backend!BS103)</f>
        <v/>
      </c>
      <c r="BS76" t="str">
        <f>IF(Backend!BT103="", "", Backend!BT103)</f>
        <v/>
      </c>
      <c r="BT76" t="str">
        <f>IF(Backend!BU103="", "", Backend!BU103)</f>
        <v/>
      </c>
      <c r="BU76" t="str">
        <f>IF(Backend!BV103="", "", Backend!BV103)</f>
        <v/>
      </c>
      <c r="BV76" t="str">
        <f>IF(Backend!BW103="", "", Backend!BW103)</f>
        <v/>
      </c>
      <c r="BW76" t="str">
        <f>IF(Backend!BX103="", "", Backend!BX103)</f>
        <v/>
      </c>
      <c r="BX76" t="str">
        <f>IF(Backend!BY103="", "", Backend!BY103)</f>
        <v/>
      </c>
      <c r="BY76" t="str">
        <f>IF(Backend!BZ103="", "", Backend!BZ103)</f>
        <v/>
      </c>
      <c r="BZ76" t="str">
        <f>IF(Backend!CA103="", "", Backend!CA103)</f>
        <v/>
      </c>
      <c r="CA76" t="str">
        <f>IF(Backend!CB103="", "", Backend!CB103)</f>
        <v/>
      </c>
      <c r="CB76" t="str">
        <f>IF(Backend!CC103="", "", Backend!CC103)</f>
        <v/>
      </c>
      <c r="CC76" t="str">
        <f>IF(Backend!CD103="", "", Backend!CD103)</f>
        <v/>
      </c>
    </row>
    <row r="77" spans="1:81" x14ac:dyDescent="0.25">
      <c r="A77" s="4" t="str">
        <f>IF(Backend!A104="", "", Backend!A104)</f>
        <v/>
      </c>
      <c r="B77" t="str">
        <f>IF(Backend!C104="", "", Backend!C104)</f>
        <v/>
      </c>
      <c r="C77" t="str">
        <f>IF(Backend!D104="", "", Backend!D104)</f>
        <v/>
      </c>
      <c r="D77" t="str">
        <f>IF(Backend!E104="", "", Backend!E104)</f>
        <v/>
      </c>
      <c r="E77" t="str">
        <f>IF(Backend!F104="", "", Backend!F104)</f>
        <v/>
      </c>
      <c r="F77" t="str">
        <f>IF(Backend!G104="", "", Backend!G104)</f>
        <v/>
      </c>
      <c r="G77" t="str">
        <f>IF(Backend!H104="", "", Backend!H104)</f>
        <v/>
      </c>
      <c r="H77" t="str">
        <f>IF(Backend!I104="", "", Backend!I104)</f>
        <v/>
      </c>
      <c r="I77" t="str">
        <f>IF(Backend!J104="", "", Backend!J104)</f>
        <v/>
      </c>
      <c r="J77" t="str">
        <f>IF(Backend!K104="", "", Backend!K104)</f>
        <v/>
      </c>
      <c r="K77" t="str">
        <f>IF(Backend!L104="", "", Backend!L104)</f>
        <v/>
      </c>
      <c r="L77" t="str">
        <f>IF(Backend!M104="", "", Backend!M104)</f>
        <v/>
      </c>
      <c r="M77" t="str">
        <f>IF(Backend!N104="", "", Backend!N104)</f>
        <v/>
      </c>
      <c r="N77" t="str">
        <f>IF(Backend!O104="", "", Backend!O104)</f>
        <v/>
      </c>
      <c r="O77" t="str">
        <f>IF(Backend!P104="", "", Backend!P104)</f>
        <v/>
      </c>
      <c r="P77" t="str">
        <f>IF(Backend!Q104="", "", Backend!Q104)</f>
        <v/>
      </c>
      <c r="Q77" t="str">
        <f>IF(Backend!R104="", "", Backend!R104)</f>
        <v/>
      </c>
      <c r="R77" t="str">
        <f>IF(Backend!S104="", "", Backend!S104)</f>
        <v/>
      </c>
      <c r="S77" t="str">
        <f>IF(Backend!T104="", "", Backend!T104)</f>
        <v/>
      </c>
      <c r="T77" t="str">
        <f>IF(Backend!U104="", "", Backend!U104)</f>
        <v/>
      </c>
      <c r="U77" t="str">
        <f>IF(Backend!V104="", "", Backend!V104)</f>
        <v/>
      </c>
      <c r="V77" t="str">
        <f>IF(Backend!W104="", "", Backend!W104)</f>
        <v/>
      </c>
      <c r="W77" t="str">
        <f>IF(Backend!X104="", "", Backend!X104)</f>
        <v/>
      </c>
      <c r="X77" t="str">
        <f>IF(Backend!Y104="", "", Backend!Y104)</f>
        <v/>
      </c>
      <c r="Y77" t="str">
        <f>IF(Backend!Z104="", "", Backend!Z104)</f>
        <v/>
      </c>
      <c r="Z77" t="str">
        <f>IF(Backend!AA104="", "", Backend!AA104)</f>
        <v/>
      </c>
      <c r="AA77" t="str">
        <f>IF(Backend!AB104="", "", Backend!AB104)</f>
        <v/>
      </c>
      <c r="AB77" t="str">
        <f>IF(Backend!AC104="", "", Backend!AC104)</f>
        <v/>
      </c>
      <c r="AC77" t="str">
        <f>IF(Backend!AD104="", "", Backend!AD104)</f>
        <v/>
      </c>
      <c r="AD77" t="str">
        <f>IF(Backend!AE104="", "", Backend!AE104)</f>
        <v/>
      </c>
      <c r="AE77" t="str">
        <f>IF(Backend!AF104="", "", Backend!AF104)</f>
        <v/>
      </c>
      <c r="AF77" t="str">
        <f>IF(Backend!AG104="", "", Backend!AG104)</f>
        <v/>
      </c>
      <c r="AG77" t="str">
        <f>IF(Backend!AH104="", "", Backend!AH104)</f>
        <v/>
      </c>
      <c r="AH77" t="str">
        <f>IF(Backend!AI104="", "", Backend!AI104)</f>
        <v/>
      </c>
      <c r="AI77" t="str">
        <f>IF(Backend!AJ104="", "", Backend!AJ104)</f>
        <v/>
      </c>
      <c r="AJ77" t="str">
        <f>IF(Backend!AK104="", "", Backend!AK104)</f>
        <v/>
      </c>
      <c r="AK77" t="str">
        <f>IF(Backend!AL104="", "", Backend!AL104)</f>
        <v/>
      </c>
      <c r="AL77" t="str">
        <f>IF(Backend!AM104="", "", Backend!AM104)</f>
        <v/>
      </c>
      <c r="AM77" t="str">
        <f>IF(Backend!AN104="", "", Backend!AN104)</f>
        <v/>
      </c>
      <c r="AN77" t="str">
        <f>IF(Backend!AO104="", "", Backend!AO104)</f>
        <v/>
      </c>
      <c r="AO77" t="str">
        <f>IF(Backend!AP104="", "", Backend!AP104)</f>
        <v/>
      </c>
      <c r="AP77" t="str">
        <f>IF(Backend!AQ104="", "", Backend!AQ104)</f>
        <v/>
      </c>
      <c r="AQ77" t="str">
        <f>IF(Backend!AR104="", "", Backend!AR104)</f>
        <v/>
      </c>
      <c r="AR77" t="str">
        <f>IF(Backend!AS104="", "", Backend!AS104)</f>
        <v/>
      </c>
      <c r="AS77" t="str">
        <f>IF(Backend!AT104="", "", Backend!AT104)</f>
        <v/>
      </c>
      <c r="AT77" t="str">
        <f>IF(Backend!AU104="", "", Backend!AU104)</f>
        <v/>
      </c>
      <c r="AU77" t="str">
        <f>IF(Backend!AV104="", "", Backend!AV104)</f>
        <v/>
      </c>
      <c r="AV77" t="str">
        <f>IF(Backend!AW104="", "", Backend!AW104)</f>
        <v/>
      </c>
      <c r="AW77" t="str">
        <f>IF(Backend!AX104="", "", Backend!AX104)</f>
        <v/>
      </c>
      <c r="AX77" t="str">
        <f>IF(Backend!AY104="", "", Backend!AY104)</f>
        <v/>
      </c>
      <c r="AY77" t="str">
        <f>IF(Backend!AZ104="", "", Backend!AZ104)</f>
        <v/>
      </c>
      <c r="AZ77" t="str">
        <f>IF(Backend!BA104="", "", Backend!BA104)</f>
        <v/>
      </c>
      <c r="BA77" t="str">
        <f>IF(Backend!BB104="", "", Backend!BB104)</f>
        <v/>
      </c>
      <c r="BB77" t="str">
        <f>IF(Backend!BC104="", "", Backend!BC104)</f>
        <v/>
      </c>
      <c r="BC77" t="str">
        <f>IF(Backend!BD104="", "", Backend!BD104)</f>
        <v/>
      </c>
      <c r="BD77" t="str">
        <f>IF(Backend!BE104="", "", Backend!BE104)</f>
        <v/>
      </c>
      <c r="BE77" t="str">
        <f>IF(Backend!BF104="", "", Backend!BF104)</f>
        <v/>
      </c>
      <c r="BF77" t="str">
        <f>IF(Backend!BG104="", "", Backend!BG104)</f>
        <v/>
      </c>
      <c r="BG77" t="str">
        <f>IF(Backend!BH104="", "", Backend!BH104)</f>
        <v/>
      </c>
      <c r="BH77" t="str">
        <f>IF(Backend!BI104="", "", Backend!BI104)</f>
        <v/>
      </c>
      <c r="BI77" t="str">
        <f>IF(Backend!BJ104="", "", Backend!BJ104)</f>
        <v/>
      </c>
      <c r="BJ77" t="str">
        <f>IF(Backend!BK104="", "", Backend!BK104)</f>
        <v/>
      </c>
      <c r="BK77" t="str">
        <f>IF(Backend!BL104="", "", Backend!BL104)</f>
        <v/>
      </c>
      <c r="BL77" t="str">
        <f>IF(Backend!BM104="", "", Backend!BM104)</f>
        <v/>
      </c>
      <c r="BM77" t="str">
        <f>IF(Backend!BN104="", "", Backend!BN104)</f>
        <v/>
      </c>
      <c r="BN77" t="str">
        <f>IF(Backend!BO104="", "", Backend!BO104)</f>
        <v/>
      </c>
      <c r="BO77" t="str">
        <f>IF(Backend!BP104="", "", Backend!BP104)</f>
        <v/>
      </c>
      <c r="BP77" t="str">
        <f>IF(Backend!BQ104="", "", Backend!BQ104)</f>
        <v/>
      </c>
      <c r="BQ77" t="str">
        <f>IF(Backend!BR104="", "", Backend!BR104)</f>
        <v/>
      </c>
      <c r="BR77" t="str">
        <f>IF(Backend!BS104="", "", Backend!BS104)</f>
        <v/>
      </c>
      <c r="BS77" t="str">
        <f>IF(Backend!BT104="", "", Backend!BT104)</f>
        <v/>
      </c>
      <c r="BT77" t="str">
        <f>IF(Backend!BU104="", "", Backend!BU104)</f>
        <v/>
      </c>
      <c r="BU77" t="str">
        <f>IF(Backend!BV104="", "", Backend!BV104)</f>
        <v/>
      </c>
      <c r="BV77" t="str">
        <f>IF(Backend!BW104="", "", Backend!BW104)</f>
        <v/>
      </c>
      <c r="BW77" t="str">
        <f>IF(Backend!BX104="", "", Backend!BX104)</f>
        <v/>
      </c>
      <c r="BX77" t="str">
        <f>IF(Backend!BY104="", "", Backend!BY104)</f>
        <v/>
      </c>
      <c r="BY77" t="str">
        <f>IF(Backend!BZ104="", "", Backend!BZ104)</f>
        <v/>
      </c>
      <c r="BZ77" t="str">
        <f>IF(Backend!CA104="", "", Backend!CA104)</f>
        <v/>
      </c>
      <c r="CA77" t="str">
        <f>IF(Backend!CB104="", "", Backend!CB104)</f>
        <v/>
      </c>
      <c r="CB77" t="str">
        <f>IF(Backend!CC104="", "", Backend!CC104)</f>
        <v/>
      </c>
      <c r="CC77" t="str">
        <f>IF(Backend!CD104="", "", Backend!CD104)</f>
        <v/>
      </c>
    </row>
    <row r="78" spans="1:81" x14ac:dyDescent="0.25">
      <c r="A78" s="4" t="str">
        <f>IF(Backend!A105="", "", Backend!A105)</f>
        <v/>
      </c>
      <c r="B78" t="str">
        <f>IF(Backend!C105="", "", Backend!C105)</f>
        <v/>
      </c>
      <c r="C78" t="str">
        <f>IF(Backend!D105="", "", Backend!D105)</f>
        <v/>
      </c>
      <c r="D78" t="str">
        <f>IF(Backend!E105="", "", Backend!E105)</f>
        <v/>
      </c>
      <c r="E78" t="str">
        <f>IF(Backend!F105="", "", Backend!F105)</f>
        <v/>
      </c>
      <c r="F78" t="str">
        <f>IF(Backend!G105="", "", Backend!G105)</f>
        <v/>
      </c>
      <c r="G78" t="str">
        <f>IF(Backend!H105="", "", Backend!H105)</f>
        <v/>
      </c>
      <c r="H78" t="str">
        <f>IF(Backend!I105="", "", Backend!I105)</f>
        <v/>
      </c>
      <c r="I78" t="str">
        <f>IF(Backend!J105="", "", Backend!J105)</f>
        <v/>
      </c>
      <c r="J78" t="str">
        <f>IF(Backend!K105="", "", Backend!K105)</f>
        <v/>
      </c>
      <c r="K78" t="str">
        <f>IF(Backend!L105="", "", Backend!L105)</f>
        <v/>
      </c>
      <c r="L78" t="str">
        <f>IF(Backend!M105="", "", Backend!M105)</f>
        <v/>
      </c>
      <c r="M78" t="str">
        <f>IF(Backend!N105="", "", Backend!N105)</f>
        <v/>
      </c>
      <c r="N78" t="str">
        <f>IF(Backend!O105="", "", Backend!O105)</f>
        <v/>
      </c>
      <c r="O78" t="str">
        <f>IF(Backend!P105="", "", Backend!P105)</f>
        <v/>
      </c>
      <c r="P78" t="str">
        <f>IF(Backend!Q105="", "", Backend!Q105)</f>
        <v/>
      </c>
      <c r="Q78" t="str">
        <f>IF(Backend!R105="", "", Backend!R105)</f>
        <v/>
      </c>
      <c r="R78" t="str">
        <f>IF(Backend!S105="", "", Backend!S105)</f>
        <v/>
      </c>
      <c r="S78" t="str">
        <f>IF(Backend!T105="", "", Backend!T105)</f>
        <v/>
      </c>
      <c r="T78" t="str">
        <f>IF(Backend!U105="", "", Backend!U105)</f>
        <v/>
      </c>
      <c r="U78" t="str">
        <f>IF(Backend!V105="", "", Backend!V105)</f>
        <v/>
      </c>
      <c r="V78" t="str">
        <f>IF(Backend!W105="", "", Backend!W105)</f>
        <v/>
      </c>
      <c r="W78" t="str">
        <f>IF(Backend!X105="", "", Backend!X105)</f>
        <v/>
      </c>
      <c r="X78" t="str">
        <f>IF(Backend!Y105="", "", Backend!Y105)</f>
        <v/>
      </c>
      <c r="Y78" t="str">
        <f>IF(Backend!Z105="", "", Backend!Z105)</f>
        <v/>
      </c>
      <c r="Z78" t="str">
        <f>IF(Backend!AA105="", "", Backend!AA105)</f>
        <v/>
      </c>
      <c r="AA78" t="str">
        <f>IF(Backend!AB105="", "", Backend!AB105)</f>
        <v/>
      </c>
      <c r="AB78" t="str">
        <f>IF(Backend!AC105="", "", Backend!AC105)</f>
        <v/>
      </c>
      <c r="AC78" t="str">
        <f>IF(Backend!AD105="", "", Backend!AD105)</f>
        <v/>
      </c>
      <c r="AD78" t="str">
        <f>IF(Backend!AE105="", "", Backend!AE105)</f>
        <v/>
      </c>
      <c r="AE78" t="str">
        <f>IF(Backend!AF105="", "", Backend!AF105)</f>
        <v/>
      </c>
      <c r="AF78" t="str">
        <f>IF(Backend!AG105="", "", Backend!AG105)</f>
        <v/>
      </c>
      <c r="AG78" t="str">
        <f>IF(Backend!AH105="", "", Backend!AH105)</f>
        <v/>
      </c>
      <c r="AH78" t="str">
        <f>IF(Backend!AI105="", "", Backend!AI105)</f>
        <v/>
      </c>
      <c r="AI78" t="str">
        <f>IF(Backend!AJ105="", "", Backend!AJ105)</f>
        <v/>
      </c>
      <c r="AJ78" t="str">
        <f>IF(Backend!AK105="", "", Backend!AK105)</f>
        <v/>
      </c>
      <c r="AK78" t="str">
        <f>IF(Backend!AL105="", "", Backend!AL105)</f>
        <v/>
      </c>
      <c r="AL78" t="str">
        <f>IF(Backend!AM105="", "", Backend!AM105)</f>
        <v/>
      </c>
      <c r="AM78" t="str">
        <f>IF(Backend!AN105="", "", Backend!AN105)</f>
        <v/>
      </c>
      <c r="AN78" t="str">
        <f>IF(Backend!AO105="", "", Backend!AO105)</f>
        <v/>
      </c>
      <c r="AO78" t="str">
        <f>IF(Backend!AP105="", "", Backend!AP105)</f>
        <v/>
      </c>
      <c r="AP78" t="str">
        <f>IF(Backend!AQ105="", "", Backend!AQ105)</f>
        <v/>
      </c>
      <c r="AQ78" t="str">
        <f>IF(Backend!AR105="", "", Backend!AR105)</f>
        <v/>
      </c>
      <c r="AR78" t="str">
        <f>IF(Backend!AS105="", "", Backend!AS105)</f>
        <v/>
      </c>
      <c r="AS78" t="str">
        <f>IF(Backend!AT105="", "", Backend!AT105)</f>
        <v/>
      </c>
      <c r="AT78" t="str">
        <f>IF(Backend!AU105="", "", Backend!AU105)</f>
        <v/>
      </c>
      <c r="AU78" t="str">
        <f>IF(Backend!AV105="", "", Backend!AV105)</f>
        <v/>
      </c>
      <c r="AV78" t="str">
        <f>IF(Backend!AW105="", "", Backend!AW105)</f>
        <v/>
      </c>
      <c r="AW78" t="str">
        <f>IF(Backend!AX105="", "", Backend!AX105)</f>
        <v/>
      </c>
      <c r="AX78" t="str">
        <f>IF(Backend!AY105="", "", Backend!AY105)</f>
        <v/>
      </c>
      <c r="AY78" t="str">
        <f>IF(Backend!AZ105="", "", Backend!AZ105)</f>
        <v/>
      </c>
      <c r="AZ78" t="str">
        <f>IF(Backend!BA105="", "", Backend!BA105)</f>
        <v/>
      </c>
      <c r="BA78" t="str">
        <f>IF(Backend!BB105="", "", Backend!BB105)</f>
        <v/>
      </c>
      <c r="BB78" t="str">
        <f>IF(Backend!BC105="", "", Backend!BC105)</f>
        <v/>
      </c>
      <c r="BC78" t="str">
        <f>IF(Backend!BD105="", "", Backend!BD105)</f>
        <v/>
      </c>
      <c r="BD78" t="str">
        <f>IF(Backend!BE105="", "", Backend!BE105)</f>
        <v/>
      </c>
      <c r="BE78" t="str">
        <f>IF(Backend!BF105="", "", Backend!BF105)</f>
        <v/>
      </c>
      <c r="BF78" t="str">
        <f>IF(Backend!BG105="", "", Backend!BG105)</f>
        <v/>
      </c>
      <c r="BG78" t="str">
        <f>IF(Backend!BH105="", "", Backend!BH105)</f>
        <v/>
      </c>
      <c r="BH78" t="str">
        <f>IF(Backend!BI105="", "", Backend!BI105)</f>
        <v/>
      </c>
      <c r="BI78" t="str">
        <f>IF(Backend!BJ105="", "", Backend!BJ105)</f>
        <v/>
      </c>
      <c r="BJ78" t="str">
        <f>IF(Backend!BK105="", "", Backend!BK105)</f>
        <v/>
      </c>
      <c r="BK78" t="str">
        <f>IF(Backend!BL105="", "", Backend!BL105)</f>
        <v/>
      </c>
      <c r="BL78" t="str">
        <f>IF(Backend!BM105="", "", Backend!BM105)</f>
        <v/>
      </c>
      <c r="BM78" t="str">
        <f>IF(Backend!BN105="", "", Backend!BN105)</f>
        <v/>
      </c>
      <c r="BN78" t="str">
        <f>IF(Backend!BO105="", "", Backend!BO105)</f>
        <v/>
      </c>
      <c r="BO78" t="str">
        <f>IF(Backend!BP105="", "", Backend!BP105)</f>
        <v/>
      </c>
      <c r="BP78" t="str">
        <f>IF(Backend!BQ105="", "", Backend!BQ105)</f>
        <v/>
      </c>
      <c r="BQ78" t="str">
        <f>IF(Backend!BR105="", "", Backend!BR105)</f>
        <v/>
      </c>
      <c r="BR78" t="str">
        <f>IF(Backend!BS105="", "", Backend!BS105)</f>
        <v/>
      </c>
      <c r="BS78" t="str">
        <f>IF(Backend!BT105="", "", Backend!BT105)</f>
        <v/>
      </c>
      <c r="BT78" t="str">
        <f>IF(Backend!BU105="", "", Backend!BU105)</f>
        <v/>
      </c>
      <c r="BU78" t="str">
        <f>IF(Backend!BV105="", "", Backend!BV105)</f>
        <v/>
      </c>
      <c r="BV78" t="str">
        <f>IF(Backend!BW105="", "", Backend!BW105)</f>
        <v/>
      </c>
      <c r="BW78" t="str">
        <f>IF(Backend!BX105="", "", Backend!BX105)</f>
        <v/>
      </c>
      <c r="BX78" t="str">
        <f>IF(Backend!BY105="", "", Backend!BY105)</f>
        <v/>
      </c>
      <c r="BY78" t="str">
        <f>IF(Backend!BZ105="", "", Backend!BZ105)</f>
        <v/>
      </c>
      <c r="BZ78" t="str">
        <f>IF(Backend!CA105="", "", Backend!CA105)</f>
        <v/>
      </c>
      <c r="CA78" t="str">
        <f>IF(Backend!CB105="", "", Backend!CB105)</f>
        <v/>
      </c>
      <c r="CB78" t="str">
        <f>IF(Backend!CC105="", "", Backend!CC105)</f>
        <v/>
      </c>
      <c r="CC78" t="str">
        <f>IF(Backend!CD105="", "", Backend!CD105)</f>
        <v/>
      </c>
    </row>
    <row r="79" spans="1:81" x14ac:dyDescent="0.25">
      <c r="A79" s="4" t="str">
        <f>IF(Backend!A106="", "", Backend!A106)</f>
        <v/>
      </c>
      <c r="B79" t="str">
        <f>IF(Backend!C106="", "", Backend!C106)</f>
        <v/>
      </c>
      <c r="C79" t="str">
        <f>IF(Backend!D106="", "", Backend!D106)</f>
        <v/>
      </c>
      <c r="D79" t="str">
        <f>IF(Backend!E106="", "", Backend!E106)</f>
        <v/>
      </c>
      <c r="E79" t="str">
        <f>IF(Backend!F106="", "", Backend!F106)</f>
        <v/>
      </c>
      <c r="F79" t="str">
        <f>IF(Backend!G106="", "", Backend!G106)</f>
        <v/>
      </c>
      <c r="G79" t="str">
        <f>IF(Backend!H106="", "", Backend!H106)</f>
        <v/>
      </c>
      <c r="H79" t="str">
        <f>IF(Backend!I106="", "", Backend!I106)</f>
        <v/>
      </c>
      <c r="I79" t="str">
        <f>IF(Backend!J106="", "", Backend!J106)</f>
        <v/>
      </c>
      <c r="J79" t="str">
        <f>IF(Backend!K106="", "", Backend!K106)</f>
        <v/>
      </c>
      <c r="K79" t="str">
        <f>IF(Backend!L106="", "", Backend!L106)</f>
        <v/>
      </c>
      <c r="L79" t="str">
        <f>IF(Backend!M106="", "", Backend!M106)</f>
        <v/>
      </c>
      <c r="M79" t="str">
        <f>IF(Backend!N106="", "", Backend!N106)</f>
        <v/>
      </c>
      <c r="N79" t="str">
        <f>IF(Backend!O106="", "", Backend!O106)</f>
        <v/>
      </c>
      <c r="O79" t="str">
        <f>IF(Backend!P106="", "", Backend!P106)</f>
        <v/>
      </c>
      <c r="P79" t="str">
        <f>IF(Backend!Q106="", "", Backend!Q106)</f>
        <v/>
      </c>
      <c r="Q79" t="str">
        <f>IF(Backend!R106="", "", Backend!R106)</f>
        <v/>
      </c>
      <c r="R79" t="str">
        <f>IF(Backend!S106="", "", Backend!S106)</f>
        <v/>
      </c>
      <c r="S79" t="str">
        <f>IF(Backend!T106="", "", Backend!T106)</f>
        <v/>
      </c>
      <c r="T79" t="str">
        <f>IF(Backend!U106="", "", Backend!U106)</f>
        <v/>
      </c>
      <c r="U79" t="str">
        <f>IF(Backend!V106="", "", Backend!V106)</f>
        <v/>
      </c>
      <c r="V79" t="str">
        <f>IF(Backend!W106="", "", Backend!W106)</f>
        <v/>
      </c>
      <c r="W79" t="str">
        <f>IF(Backend!X106="", "", Backend!X106)</f>
        <v/>
      </c>
      <c r="X79" t="str">
        <f>IF(Backend!Y106="", "", Backend!Y106)</f>
        <v/>
      </c>
      <c r="Y79" t="str">
        <f>IF(Backend!Z106="", "", Backend!Z106)</f>
        <v/>
      </c>
      <c r="Z79" t="str">
        <f>IF(Backend!AA106="", "", Backend!AA106)</f>
        <v/>
      </c>
      <c r="AA79" t="str">
        <f>IF(Backend!AB106="", "", Backend!AB106)</f>
        <v/>
      </c>
      <c r="AB79" t="str">
        <f>IF(Backend!AC106="", "", Backend!AC106)</f>
        <v/>
      </c>
      <c r="AC79" t="str">
        <f>IF(Backend!AD106="", "", Backend!AD106)</f>
        <v/>
      </c>
      <c r="AD79" t="str">
        <f>IF(Backend!AE106="", "", Backend!AE106)</f>
        <v/>
      </c>
      <c r="AE79" t="str">
        <f>IF(Backend!AF106="", "", Backend!AF106)</f>
        <v/>
      </c>
      <c r="AF79" t="str">
        <f>IF(Backend!AG106="", "", Backend!AG106)</f>
        <v/>
      </c>
      <c r="AG79" t="str">
        <f>IF(Backend!AH106="", "", Backend!AH106)</f>
        <v/>
      </c>
      <c r="AH79" t="str">
        <f>IF(Backend!AI106="", "", Backend!AI106)</f>
        <v/>
      </c>
      <c r="AI79" t="str">
        <f>IF(Backend!AJ106="", "", Backend!AJ106)</f>
        <v/>
      </c>
      <c r="AJ79" t="str">
        <f>IF(Backend!AK106="", "", Backend!AK106)</f>
        <v/>
      </c>
      <c r="AK79" t="str">
        <f>IF(Backend!AL106="", "", Backend!AL106)</f>
        <v/>
      </c>
      <c r="AL79" t="str">
        <f>IF(Backend!AM106="", "", Backend!AM106)</f>
        <v/>
      </c>
      <c r="AM79" t="str">
        <f>IF(Backend!AN106="", "", Backend!AN106)</f>
        <v/>
      </c>
      <c r="AN79" t="str">
        <f>IF(Backend!AO106="", "", Backend!AO106)</f>
        <v/>
      </c>
      <c r="AO79" t="str">
        <f>IF(Backend!AP106="", "", Backend!AP106)</f>
        <v/>
      </c>
      <c r="AP79" t="str">
        <f>IF(Backend!AQ106="", "", Backend!AQ106)</f>
        <v/>
      </c>
      <c r="AQ79" t="str">
        <f>IF(Backend!AR106="", "", Backend!AR106)</f>
        <v/>
      </c>
      <c r="AR79" t="str">
        <f>IF(Backend!AS106="", "", Backend!AS106)</f>
        <v/>
      </c>
      <c r="AS79" t="str">
        <f>IF(Backend!AT106="", "", Backend!AT106)</f>
        <v/>
      </c>
      <c r="AT79" t="str">
        <f>IF(Backend!AU106="", "", Backend!AU106)</f>
        <v/>
      </c>
      <c r="AU79" t="str">
        <f>IF(Backend!AV106="", "", Backend!AV106)</f>
        <v/>
      </c>
      <c r="AV79" t="str">
        <f>IF(Backend!AW106="", "", Backend!AW106)</f>
        <v/>
      </c>
      <c r="AW79" t="str">
        <f>IF(Backend!AX106="", "", Backend!AX106)</f>
        <v/>
      </c>
      <c r="AX79" t="str">
        <f>IF(Backend!AY106="", "", Backend!AY106)</f>
        <v/>
      </c>
      <c r="AY79" t="str">
        <f>IF(Backend!AZ106="", "", Backend!AZ106)</f>
        <v/>
      </c>
      <c r="AZ79" t="str">
        <f>IF(Backend!BA106="", "", Backend!BA106)</f>
        <v/>
      </c>
      <c r="BA79" t="str">
        <f>IF(Backend!BB106="", "", Backend!BB106)</f>
        <v/>
      </c>
      <c r="BB79" t="str">
        <f>IF(Backend!BC106="", "", Backend!BC106)</f>
        <v/>
      </c>
      <c r="BC79" t="str">
        <f>IF(Backend!BD106="", "", Backend!BD106)</f>
        <v/>
      </c>
      <c r="BD79" t="str">
        <f>IF(Backend!BE106="", "", Backend!BE106)</f>
        <v/>
      </c>
      <c r="BE79" t="str">
        <f>IF(Backend!BF106="", "", Backend!BF106)</f>
        <v/>
      </c>
      <c r="BF79" t="str">
        <f>IF(Backend!BG106="", "", Backend!BG106)</f>
        <v/>
      </c>
      <c r="BG79" t="str">
        <f>IF(Backend!BH106="", "", Backend!BH106)</f>
        <v/>
      </c>
      <c r="BH79" t="str">
        <f>IF(Backend!BI106="", "", Backend!BI106)</f>
        <v/>
      </c>
      <c r="BI79" t="str">
        <f>IF(Backend!BJ106="", "", Backend!BJ106)</f>
        <v/>
      </c>
      <c r="BJ79" t="str">
        <f>IF(Backend!BK106="", "", Backend!BK106)</f>
        <v/>
      </c>
      <c r="BK79" t="str">
        <f>IF(Backend!BL106="", "", Backend!BL106)</f>
        <v/>
      </c>
      <c r="BL79" t="str">
        <f>IF(Backend!BM106="", "", Backend!BM106)</f>
        <v/>
      </c>
      <c r="BM79" t="str">
        <f>IF(Backend!BN106="", "", Backend!BN106)</f>
        <v/>
      </c>
      <c r="BN79" t="str">
        <f>IF(Backend!BO106="", "", Backend!BO106)</f>
        <v/>
      </c>
      <c r="BO79" t="str">
        <f>IF(Backend!BP106="", "", Backend!BP106)</f>
        <v/>
      </c>
      <c r="BP79" t="str">
        <f>IF(Backend!BQ106="", "", Backend!BQ106)</f>
        <v/>
      </c>
      <c r="BQ79" t="str">
        <f>IF(Backend!BR106="", "", Backend!BR106)</f>
        <v/>
      </c>
      <c r="BR79" t="str">
        <f>IF(Backend!BS106="", "", Backend!BS106)</f>
        <v/>
      </c>
      <c r="BS79" t="str">
        <f>IF(Backend!BT106="", "", Backend!BT106)</f>
        <v/>
      </c>
      <c r="BT79" t="str">
        <f>IF(Backend!BU106="", "", Backend!BU106)</f>
        <v/>
      </c>
      <c r="BU79" t="str">
        <f>IF(Backend!BV106="", "", Backend!BV106)</f>
        <v/>
      </c>
      <c r="BV79" t="str">
        <f>IF(Backend!BW106="", "", Backend!BW106)</f>
        <v/>
      </c>
      <c r="BW79" t="str">
        <f>IF(Backend!BX106="", "", Backend!BX106)</f>
        <v/>
      </c>
      <c r="BX79" t="str">
        <f>IF(Backend!BY106="", "", Backend!BY106)</f>
        <v/>
      </c>
      <c r="BY79" t="str">
        <f>IF(Backend!BZ106="", "", Backend!BZ106)</f>
        <v/>
      </c>
      <c r="BZ79" t="str">
        <f>IF(Backend!CA106="", "", Backend!CA106)</f>
        <v/>
      </c>
      <c r="CA79" t="str">
        <f>IF(Backend!CB106="", "", Backend!CB106)</f>
        <v/>
      </c>
      <c r="CB79" t="str">
        <f>IF(Backend!CC106="", "", Backend!CC106)</f>
        <v/>
      </c>
      <c r="CC79" t="str">
        <f>IF(Backend!CD106="", "", Backend!CD106)</f>
        <v/>
      </c>
    </row>
    <row r="80" spans="1:81" x14ac:dyDescent="0.25">
      <c r="A80" s="4" t="str">
        <f>IF(Backend!A107="", "", Backend!A107)</f>
        <v/>
      </c>
      <c r="B80" t="str">
        <f>IF(Backend!C107="", "", Backend!C107)</f>
        <v/>
      </c>
      <c r="C80" t="str">
        <f>IF(Backend!D107="", "", Backend!D107)</f>
        <v/>
      </c>
      <c r="D80" t="str">
        <f>IF(Backend!E107="", "", Backend!E107)</f>
        <v/>
      </c>
      <c r="E80" t="str">
        <f>IF(Backend!F107="", "", Backend!F107)</f>
        <v/>
      </c>
      <c r="F80" t="str">
        <f>IF(Backend!G107="", "", Backend!G107)</f>
        <v/>
      </c>
      <c r="G80" t="str">
        <f>IF(Backend!H107="", "", Backend!H107)</f>
        <v/>
      </c>
      <c r="H80" t="str">
        <f>IF(Backend!I107="", "", Backend!I107)</f>
        <v/>
      </c>
      <c r="I80" t="str">
        <f>IF(Backend!J107="", "", Backend!J107)</f>
        <v/>
      </c>
      <c r="J80" t="str">
        <f>IF(Backend!K107="", "", Backend!K107)</f>
        <v/>
      </c>
      <c r="K80" t="str">
        <f>IF(Backend!L107="", "", Backend!L107)</f>
        <v/>
      </c>
      <c r="L80" t="str">
        <f>IF(Backend!M107="", "", Backend!M107)</f>
        <v/>
      </c>
      <c r="M80" t="str">
        <f>IF(Backend!N107="", "", Backend!N107)</f>
        <v/>
      </c>
      <c r="N80" t="str">
        <f>IF(Backend!O107="", "", Backend!O107)</f>
        <v/>
      </c>
      <c r="O80" t="str">
        <f>IF(Backend!P107="", "", Backend!P107)</f>
        <v/>
      </c>
      <c r="P80" t="str">
        <f>IF(Backend!Q107="", "", Backend!Q107)</f>
        <v/>
      </c>
      <c r="Q80" t="str">
        <f>IF(Backend!R107="", "", Backend!R107)</f>
        <v/>
      </c>
      <c r="R80" t="str">
        <f>IF(Backend!S107="", "", Backend!S107)</f>
        <v/>
      </c>
      <c r="S80" t="str">
        <f>IF(Backend!T107="", "", Backend!T107)</f>
        <v/>
      </c>
      <c r="T80" t="str">
        <f>IF(Backend!U107="", "", Backend!U107)</f>
        <v/>
      </c>
      <c r="U80" t="str">
        <f>IF(Backend!V107="", "", Backend!V107)</f>
        <v/>
      </c>
      <c r="V80" t="str">
        <f>IF(Backend!W107="", "", Backend!W107)</f>
        <v/>
      </c>
      <c r="W80" t="str">
        <f>IF(Backend!X107="", "", Backend!X107)</f>
        <v/>
      </c>
      <c r="X80" t="str">
        <f>IF(Backend!Y107="", "", Backend!Y107)</f>
        <v/>
      </c>
      <c r="Y80" t="str">
        <f>IF(Backend!Z107="", "", Backend!Z107)</f>
        <v/>
      </c>
      <c r="Z80" t="str">
        <f>IF(Backend!AA107="", "", Backend!AA107)</f>
        <v/>
      </c>
      <c r="AA80" t="str">
        <f>IF(Backend!AB107="", "", Backend!AB107)</f>
        <v/>
      </c>
      <c r="AB80" t="str">
        <f>IF(Backend!AC107="", "", Backend!AC107)</f>
        <v/>
      </c>
      <c r="AC80" t="str">
        <f>IF(Backend!AD107="", "", Backend!AD107)</f>
        <v/>
      </c>
      <c r="AD80" t="str">
        <f>IF(Backend!AE107="", "", Backend!AE107)</f>
        <v/>
      </c>
      <c r="AE80" t="str">
        <f>IF(Backend!AF107="", "", Backend!AF107)</f>
        <v/>
      </c>
      <c r="AF80" t="str">
        <f>IF(Backend!AG107="", "", Backend!AG107)</f>
        <v/>
      </c>
      <c r="AG80" t="str">
        <f>IF(Backend!AH107="", "", Backend!AH107)</f>
        <v/>
      </c>
      <c r="AH80" t="str">
        <f>IF(Backend!AI107="", "", Backend!AI107)</f>
        <v/>
      </c>
      <c r="AI80" t="str">
        <f>IF(Backend!AJ107="", "", Backend!AJ107)</f>
        <v/>
      </c>
      <c r="AJ80" t="str">
        <f>IF(Backend!AK107="", "", Backend!AK107)</f>
        <v/>
      </c>
      <c r="AK80" t="str">
        <f>IF(Backend!AL107="", "", Backend!AL107)</f>
        <v/>
      </c>
      <c r="AL80" t="str">
        <f>IF(Backend!AM107="", "", Backend!AM107)</f>
        <v/>
      </c>
      <c r="AM80" t="str">
        <f>IF(Backend!AN107="", "", Backend!AN107)</f>
        <v/>
      </c>
      <c r="AN80" t="str">
        <f>IF(Backend!AO107="", "", Backend!AO107)</f>
        <v/>
      </c>
      <c r="AO80" t="str">
        <f>IF(Backend!AP107="", "", Backend!AP107)</f>
        <v/>
      </c>
      <c r="AP80" t="str">
        <f>IF(Backend!AQ107="", "", Backend!AQ107)</f>
        <v/>
      </c>
      <c r="AQ80" t="str">
        <f>IF(Backend!AR107="", "", Backend!AR107)</f>
        <v/>
      </c>
      <c r="AR80" t="str">
        <f>IF(Backend!AS107="", "", Backend!AS107)</f>
        <v/>
      </c>
      <c r="AS80" t="str">
        <f>IF(Backend!AT107="", "", Backend!AT107)</f>
        <v/>
      </c>
      <c r="AT80" t="str">
        <f>IF(Backend!AU107="", "", Backend!AU107)</f>
        <v/>
      </c>
      <c r="AU80" t="str">
        <f>IF(Backend!AV107="", "", Backend!AV107)</f>
        <v/>
      </c>
      <c r="AV80" t="str">
        <f>IF(Backend!AW107="", "", Backend!AW107)</f>
        <v/>
      </c>
      <c r="AW80" t="str">
        <f>IF(Backend!AX107="", "", Backend!AX107)</f>
        <v/>
      </c>
      <c r="AX80" t="str">
        <f>IF(Backend!AY107="", "", Backend!AY107)</f>
        <v/>
      </c>
      <c r="AY80" t="str">
        <f>IF(Backend!AZ107="", "", Backend!AZ107)</f>
        <v/>
      </c>
      <c r="AZ80" t="str">
        <f>IF(Backend!BA107="", "", Backend!BA107)</f>
        <v/>
      </c>
      <c r="BA80" t="str">
        <f>IF(Backend!BB107="", "", Backend!BB107)</f>
        <v/>
      </c>
      <c r="BB80" t="str">
        <f>IF(Backend!BC107="", "", Backend!BC107)</f>
        <v/>
      </c>
      <c r="BC80" t="str">
        <f>IF(Backend!BD107="", "", Backend!BD107)</f>
        <v/>
      </c>
      <c r="BD80" t="str">
        <f>IF(Backend!BE107="", "", Backend!BE107)</f>
        <v/>
      </c>
      <c r="BE80" t="str">
        <f>IF(Backend!BF107="", "", Backend!BF107)</f>
        <v/>
      </c>
      <c r="BF80" t="str">
        <f>IF(Backend!BG107="", "", Backend!BG107)</f>
        <v/>
      </c>
      <c r="BG80" t="str">
        <f>IF(Backend!BH107="", "", Backend!BH107)</f>
        <v/>
      </c>
      <c r="BH80" t="str">
        <f>IF(Backend!BI107="", "", Backend!BI107)</f>
        <v/>
      </c>
      <c r="BI80" t="str">
        <f>IF(Backend!BJ107="", "", Backend!BJ107)</f>
        <v/>
      </c>
      <c r="BJ80" t="str">
        <f>IF(Backend!BK107="", "", Backend!BK107)</f>
        <v/>
      </c>
      <c r="BK80" t="str">
        <f>IF(Backend!BL107="", "", Backend!BL107)</f>
        <v/>
      </c>
      <c r="BL80" t="str">
        <f>IF(Backend!BM107="", "", Backend!BM107)</f>
        <v/>
      </c>
      <c r="BM80" t="str">
        <f>IF(Backend!BN107="", "", Backend!BN107)</f>
        <v/>
      </c>
      <c r="BN80" t="str">
        <f>IF(Backend!BO107="", "", Backend!BO107)</f>
        <v/>
      </c>
      <c r="BO80" t="str">
        <f>IF(Backend!BP107="", "", Backend!BP107)</f>
        <v/>
      </c>
      <c r="BP80" t="str">
        <f>IF(Backend!BQ107="", "", Backend!BQ107)</f>
        <v/>
      </c>
      <c r="BQ80" t="str">
        <f>IF(Backend!BR107="", "", Backend!BR107)</f>
        <v/>
      </c>
      <c r="BR80" t="str">
        <f>IF(Backend!BS107="", "", Backend!BS107)</f>
        <v/>
      </c>
      <c r="BS80" t="str">
        <f>IF(Backend!BT107="", "", Backend!BT107)</f>
        <v/>
      </c>
      <c r="BT80" t="str">
        <f>IF(Backend!BU107="", "", Backend!BU107)</f>
        <v/>
      </c>
      <c r="BU80" t="str">
        <f>IF(Backend!BV107="", "", Backend!BV107)</f>
        <v/>
      </c>
      <c r="BV80" t="str">
        <f>IF(Backend!BW107="", "", Backend!BW107)</f>
        <v/>
      </c>
      <c r="BW80" t="str">
        <f>IF(Backend!BX107="", "", Backend!BX107)</f>
        <v/>
      </c>
      <c r="BX80" t="str">
        <f>IF(Backend!BY107="", "", Backend!BY107)</f>
        <v/>
      </c>
      <c r="BY80" t="str">
        <f>IF(Backend!BZ107="", "", Backend!BZ107)</f>
        <v/>
      </c>
      <c r="BZ80" t="str">
        <f>IF(Backend!CA107="", "", Backend!CA107)</f>
        <v/>
      </c>
      <c r="CA80" t="str">
        <f>IF(Backend!CB107="", "", Backend!CB107)</f>
        <v/>
      </c>
      <c r="CB80" t="str">
        <f>IF(Backend!CC107="", "", Backend!CC107)</f>
        <v/>
      </c>
      <c r="CC80" t="str">
        <f>IF(Backend!CD107="", "", Backend!CD107)</f>
        <v/>
      </c>
    </row>
    <row r="81" spans="1:81" x14ac:dyDescent="0.25">
      <c r="A81" s="4" t="str">
        <f>IF(Backend!A108="", "", Backend!A108)</f>
        <v/>
      </c>
      <c r="B81" t="str">
        <f>IF(Backend!C108="", "", Backend!C108)</f>
        <v/>
      </c>
      <c r="C81" t="str">
        <f>IF(Backend!D108="", "", Backend!D108)</f>
        <v/>
      </c>
      <c r="D81" t="str">
        <f>IF(Backend!E108="", "", Backend!E108)</f>
        <v/>
      </c>
      <c r="E81" t="str">
        <f>IF(Backend!F108="", "", Backend!F108)</f>
        <v/>
      </c>
      <c r="F81" t="str">
        <f>IF(Backend!G108="", "", Backend!G108)</f>
        <v/>
      </c>
      <c r="G81" t="str">
        <f>IF(Backend!H108="", "", Backend!H108)</f>
        <v/>
      </c>
      <c r="H81" t="str">
        <f>IF(Backend!I108="", "", Backend!I108)</f>
        <v/>
      </c>
      <c r="I81" t="str">
        <f>IF(Backend!J108="", "", Backend!J108)</f>
        <v/>
      </c>
      <c r="J81" t="str">
        <f>IF(Backend!K108="", "", Backend!K108)</f>
        <v/>
      </c>
      <c r="K81" t="str">
        <f>IF(Backend!L108="", "", Backend!L108)</f>
        <v/>
      </c>
      <c r="L81" t="str">
        <f>IF(Backend!M108="", "", Backend!M108)</f>
        <v/>
      </c>
      <c r="M81" t="str">
        <f>IF(Backend!N108="", "", Backend!N108)</f>
        <v/>
      </c>
      <c r="N81" t="str">
        <f>IF(Backend!O108="", "", Backend!O108)</f>
        <v/>
      </c>
      <c r="O81" t="str">
        <f>IF(Backend!P108="", "", Backend!P108)</f>
        <v/>
      </c>
      <c r="P81" t="str">
        <f>IF(Backend!Q108="", "", Backend!Q108)</f>
        <v/>
      </c>
      <c r="Q81" t="str">
        <f>IF(Backend!R108="", "", Backend!R108)</f>
        <v/>
      </c>
      <c r="R81" t="str">
        <f>IF(Backend!S108="", "", Backend!S108)</f>
        <v/>
      </c>
      <c r="S81" t="str">
        <f>IF(Backend!T108="", "", Backend!T108)</f>
        <v/>
      </c>
      <c r="T81" t="str">
        <f>IF(Backend!U108="", "", Backend!U108)</f>
        <v/>
      </c>
      <c r="U81" t="str">
        <f>IF(Backend!V108="", "", Backend!V108)</f>
        <v/>
      </c>
      <c r="V81" t="str">
        <f>IF(Backend!W108="", "", Backend!W108)</f>
        <v/>
      </c>
      <c r="W81" t="str">
        <f>IF(Backend!X108="", "", Backend!X108)</f>
        <v/>
      </c>
      <c r="X81" t="str">
        <f>IF(Backend!Y108="", "", Backend!Y108)</f>
        <v/>
      </c>
      <c r="Y81" t="str">
        <f>IF(Backend!Z108="", "", Backend!Z108)</f>
        <v/>
      </c>
      <c r="Z81" t="str">
        <f>IF(Backend!AA108="", "", Backend!AA108)</f>
        <v/>
      </c>
      <c r="AA81" t="str">
        <f>IF(Backend!AB108="", "", Backend!AB108)</f>
        <v/>
      </c>
      <c r="AB81" t="str">
        <f>IF(Backend!AC108="", "", Backend!AC108)</f>
        <v/>
      </c>
      <c r="AC81" t="str">
        <f>IF(Backend!AD108="", "", Backend!AD108)</f>
        <v/>
      </c>
      <c r="AD81" t="str">
        <f>IF(Backend!AE108="", "", Backend!AE108)</f>
        <v/>
      </c>
      <c r="AE81" t="str">
        <f>IF(Backend!AF108="", "", Backend!AF108)</f>
        <v/>
      </c>
      <c r="AF81" t="str">
        <f>IF(Backend!AG108="", "", Backend!AG108)</f>
        <v/>
      </c>
      <c r="AG81" t="str">
        <f>IF(Backend!AH108="", "", Backend!AH108)</f>
        <v/>
      </c>
      <c r="AH81" t="str">
        <f>IF(Backend!AI108="", "", Backend!AI108)</f>
        <v/>
      </c>
      <c r="AI81" t="str">
        <f>IF(Backend!AJ108="", "", Backend!AJ108)</f>
        <v/>
      </c>
      <c r="AJ81" t="str">
        <f>IF(Backend!AK108="", "", Backend!AK108)</f>
        <v/>
      </c>
      <c r="AK81" t="str">
        <f>IF(Backend!AL108="", "", Backend!AL108)</f>
        <v/>
      </c>
      <c r="AL81" t="str">
        <f>IF(Backend!AM108="", "", Backend!AM108)</f>
        <v/>
      </c>
      <c r="AM81" t="str">
        <f>IF(Backend!AN108="", "", Backend!AN108)</f>
        <v/>
      </c>
      <c r="AN81" t="str">
        <f>IF(Backend!AO108="", "", Backend!AO108)</f>
        <v/>
      </c>
      <c r="AO81" t="str">
        <f>IF(Backend!AP108="", "", Backend!AP108)</f>
        <v/>
      </c>
      <c r="AP81" t="str">
        <f>IF(Backend!AQ108="", "", Backend!AQ108)</f>
        <v/>
      </c>
      <c r="AQ81" t="str">
        <f>IF(Backend!AR108="", "", Backend!AR108)</f>
        <v/>
      </c>
      <c r="AR81" t="str">
        <f>IF(Backend!AS108="", "", Backend!AS108)</f>
        <v/>
      </c>
      <c r="AS81" t="str">
        <f>IF(Backend!AT108="", "", Backend!AT108)</f>
        <v/>
      </c>
      <c r="AT81" t="str">
        <f>IF(Backend!AU108="", "", Backend!AU108)</f>
        <v/>
      </c>
      <c r="AU81" t="str">
        <f>IF(Backend!AV108="", "", Backend!AV108)</f>
        <v/>
      </c>
      <c r="AV81" t="str">
        <f>IF(Backend!AW108="", "", Backend!AW108)</f>
        <v/>
      </c>
      <c r="AW81" t="str">
        <f>IF(Backend!AX108="", "", Backend!AX108)</f>
        <v/>
      </c>
      <c r="AX81" t="str">
        <f>IF(Backend!AY108="", "", Backend!AY108)</f>
        <v/>
      </c>
      <c r="AY81" t="str">
        <f>IF(Backend!AZ108="", "", Backend!AZ108)</f>
        <v/>
      </c>
      <c r="AZ81" t="str">
        <f>IF(Backend!BA108="", "", Backend!BA108)</f>
        <v/>
      </c>
      <c r="BA81" t="str">
        <f>IF(Backend!BB108="", "", Backend!BB108)</f>
        <v/>
      </c>
      <c r="BB81" t="str">
        <f>IF(Backend!BC108="", "", Backend!BC108)</f>
        <v/>
      </c>
      <c r="BC81" t="str">
        <f>IF(Backend!BD108="", "", Backend!BD108)</f>
        <v/>
      </c>
      <c r="BD81" t="str">
        <f>IF(Backend!BE108="", "", Backend!BE108)</f>
        <v/>
      </c>
      <c r="BE81" t="str">
        <f>IF(Backend!BF108="", "", Backend!BF108)</f>
        <v/>
      </c>
      <c r="BF81" t="str">
        <f>IF(Backend!BG108="", "", Backend!BG108)</f>
        <v/>
      </c>
      <c r="BG81" t="str">
        <f>IF(Backend!BH108="", "", Backend!BH108)</f>
        <v/>
      </c>
      <c r="BH81" t="str">
        <f>IF(Backend!BI108="", "", Backend!BI108)</f>
        <v/>
      </c>
      <c r="BI81" t="str">
        <f>IF(Backend!BJ108="", "", Backend!BJ108)</f>
        <v/>
      </c>
      <c r="BJ81" t="str">
        <f>IF(Backend!BK108="", "", Backend!BK108)</f>
        <v/>
      </c>
      <c r="BK81" t="str">
        <f>IF(Backend!BL108="", "", Backend!BL108)</f>
        <v/>
      </c>
      <c r="BL81" t="str">
        <f>IF(Backend!BM108="", "", Backend!BM108)</f>
        <v/>
      </c>
      <c r="BM81" t="str">
        <f>IF(Backend!BN108="", "", Backend!BN108)</f>
        <v/>
      </c>
      <c r="BN81" t="str">
        <f>IF(Backend!BO108="", "", Backend!BO108)</f>
        <v/>
      </c>
      <c r="BO81" t="str">
        <f>IF(Backend!BP108="", "", Backend!BP108)</f>
        <v/>
      </c>
      <c r="BP81" t="str">
        <f>IF(Backend!BQ108="", "", Backend!BQ108)</f>
        <v/>
      </c>
      <c r="BQ81" t="str">
        <f>IF(Backend!BR108="", "", Backend!BR108)</f>
        <v/>
      </c>
      <c r="BR81" t="str">
        <f>IF(Backend!BS108="", "", Backend!BS108)</f>
        <v/>
      </c>
      <c r="BS81" t="str">
        <f>IF(Backend!BT108="", "", Backend!BT108)</f>
        <v/>
      </c>
      <c r="BT81" t="str">
        <f>IF(Backend!BU108="", "", Backend!BU108)</f>
        <v/>
      </c>
      <c r="BU81" t="str">
        <f>IF(Backend!BV108="", "", Backend!BV108)</f>
        <v/>
      </c>
      <c r="BV81" t="str">
        <f>IF(Backend!BW108="", "", Backend!BW108)</f>
        <v/>
      </c>
      <c r="BW81" t="str">
        <f>IF(Backend!BX108="", "", Backend!BX108)</f>
        <v/>
      </c>
      <c r="BX81" t="str">
        <f>IF(Backend!BY108="", "", Backend!BY108)</f>
        <v/>
      </c>
      <c r="BY81" t="str">
        <f>IF(Backend!BZ108="", "", Backend!BZ108)</f>
        <v/>
      </c>
      <c r="BZ81" t="str">
        <f>IF(Backend!CA108="", "", Backend!CA108)</f>
        <v/>
      </c>
      <c r="CA81" t="str">
        <f>IF(Backend!CB108="", "", Backend!CB108)</f>
        <v/>
      </c>
      <c r="CB81" t="str">
        <f>IF(Backend!CC108="", "", Backend!CC108)</f>
        <v/>
      </c>
      <c r="CC81" t="str">
        <f>IF(Backend!CD108="", "", Backend!CD108)</f>
        <v/>
      </c>
    </row>
    <row r="82" spans="1:81" x14ac:dyDescent="0.25">
      <c r="A82" s="4" t="str">
        <f>IF(Backend!A109="", "", Backend!A109)</f>
        <v/>
      </c>
      <c r="B82" t="str">
        <f>IF(Backend!C109="", "", Backend!C109)</f>
        <v/>
      </c>
      <c r="C82" t="str">
        <f>IF(Backend!D109="", "", Backend!D109)</f>
        <v/>
      </c>
      <c r="D82" t="str">
        <f>IF(Backend!E109="", "", Backend!E109)</f>
        <v/>
      </c>
      <c r="E82" t="str">
        <f>IF(Backend!F109="", "", Backend!F109)</f>
        <v/>
      </c>
      <c r="F82" t="str">
        <f>IF(Backend!G109="", "", Backend!G109)</f>
        <v/>
      </c>
      <c r="G82" t="str">
        <f>IF(Backend!H109="", "", Backend!H109)</f>
        <v/>
      </c>
      <c r="H82" t="str">
        <f>IF(Backend!I109="", "", Backend!I109)</f>
        <v/>
      </c>
      <c r="I82" t="str">
        <f>IF(Backend!J109="", "", Backend!J109)</f>
        <v/>
      </c>
      <c r="J82" t="str">
        <f>IF(Backend!K109="", "", Backend!K109)</f>
        <v/>
      </c>
      <c r="K82" t="str">
        <f>IF(Backend!L109="", "", Backend!L109)</f>
        <v/>
      </c>
      <c r="L82" t="str">
        <f>IF(Backend!M109="", "", Backend!M109)</f>
        <v/>
      </c>
      <c r="M82" t="str">
        <f>IF(Backend!N109="", "", Backend!N109)</f>
        <v/>
      </c>
      <c r="N82" t="str">
        <f>IF(Backend!O109="", "", Backend!O109)</f>
        <v/>
      </c>
      <c r="O82" t="str">
        <f>IF(Backend!P109="", "", Backend!P109)</f>
        <v/>
      </c>
      <c r="P82" t="str">
        <f>IF(Backend!Q109="", "", Backend!Q109)</f>
        <v/>
      </c>
      <c r="Q82" t="str">
        <f>IF(Backend!R109="", "", Backend!R109)</f>
        <v/>
      </c>
      <c r="R82" t="str">
        <f>IF(Backend!S109="", "", Backend!S109)</f>
        <v/>
      </c>
      <c r="S82" t="str">
        <f>IF(Backend!T109="", "", Backend!T109)</f>
        <v/>
      </c>
      <c r="T82" t="str">
        <f>IF(Backend!U109="", "", Backend!U109)</f>
        <v/>
      </c>
      <c r="U82" t="str">
        <f>IF(Backend!V109="", "", Backend!V109)</f>
        <v/>
      </c>
      <c r="V82" t="str">
        <f>IF(Backend!W109="", "", Backend!W109)</f>
        <v/>
      </c>
      <c r="W82" t="str">
        <f>IF(Backend!X109="", "", Backend!X109)</f>
        <v/>
      </c>
      <c r="X82" t="str">
        <f>IF(Backend!Y109="", "", Backend!Y109)</f>
        <v/>
      </c>
      <c r="Y82" t="str">
        <f>IF(Backend!Z109="", "", Backend!Z109)</f>
        <v/>
      </c>
      <c r="Z82" t="str">
        <f>IF(Backend!AA109="", "", Backend!AA109)</f>
        <v/>
      </c>
      <c r="AA82" t="str">
        <f>IF(Backend!AB109="", "", Backend!AB109)</f>
        <v/>
      </c>
      <c r="AB82" t="str">
        <f>IF(Backend!AC109="", "", Backend!AC109)</f>
        <v/>
      </c>
      <c r="AC82" t="str">
        <f>IF(Backend!AD109="", "", Backend!AD109)</f>
        <v/>
      </c>
      <c r="AD82" t="str">
        <f>IF(Backend!AE109="", "", Backend!AE109)</f>
        <v/>
      </c>
      <c r="AE82" t="str">
        <f>IF(Backend!AF109="", "", Backend!AF109)</f>
        <v/>
      </c>
      <c r="AF82" t="str">
        <f>IF(Backend!AG109="", "", Backend!AG109)</f>
        <v/>
      </c>
      <c r="AG82" t="str">
        <f>IF(Backend!AH109="", "", Backend!AH109)</f>
        <v/>
      </c>
      <c r="AH82" t="str">
        <f>IF(Backend!AI109="", "", Backend!AI109)</f>
        <v/>
      </c>
      <c r="AI82" t="str">
        <f>IF(Backend!AJ109="", "", Backend!AJ109)</f>
        <v/>
      </c>
      <c r="AJ82" t="str">
        <f>IF(Backend!AK109="", "", Backend!AK109)</f>
        <v/>
      </c>
      <c r="AK82" t="str">
        <f>IF(Backend!AL109="", "", Backend!AL109)</f>
        <v/>
      </c>
      <c r="AL82" t="str">
        <f>IF(Backend!AM109="", "", Backend!AM109)</f>
        <v/>
      </c>
      <c r="AM82" t="str">
        <f>IF(Backend!AN109="", "", Backend!AN109)</f>
        <v/>
      </c>
      <c r="AN82" t="str">
        <f>IF(Backend!AO109="", "", Backend!AO109)</f>
        <v/>
      </c>
      <c r="AO82" t="str">
        <f>IF(Backend!AP109="", "", Backend!AP109)</f>
        <v/>
      </c>
      <c r="AP82" t="str">
        <f>IF(Backend!AQ109="", "", Backend!AQ109)</f>
        <v/>
      </c>
      <c r="AQ82" t="str">
        <f>IF(Backend!AR109="", "", Backend!AR109)</f>
        <v/>
      </c>
      <c r="AR82" t="str">
        <f>IF(Backend!AS109="", "", Backend!AS109)</f>
        <v/>
      </c>
      <c r="AS82" t="str">
        <f>IF(Backend!AT109="", "", Backend!AT109)</f>
        <v/>
      </c>
      <c r="AT82" t="str">
        <f>IF(Backend!AU109="", "", Backend!AU109)</f>
        <v/>
      </c>
      <c r="AU82" t="str">
        <f>IF(Backend!AV109="", "", Backend!AV109)</f>
        <v/>
      </c>
      <c r="AV82" t="str">
        <f>IF(Backend!AW109="", "", Backend!AW109)</f>
        <v/>
      </c>
      <c r="AW82" t="str">
        <f>IF(Backend!AX109="", "", Backend!AX109)</f>
        <v/>
      </c>
      <c r="AX82" t="str">
        <f>IF(Backend!AY109="", "", Backend!AY109)</f>
        <v/>
      </c>
      <c r="AY82" t="str">
        <f>IF(Backend!AZ109="", "", Backend!AZ109)</f>
        <v/>
      </c>
      <c r="AZ82" t="str">
        <f>IF(Backend!BA109="", "", Backend!BA109)</f>
        <v/>
      </c>
      <c r="BA82" t="str">
        <f>IF(Backend!BB109="", "", Backend!BB109)</f>
        <v/>
      </c>
      <c r="BB82" t="str">
        <f>IF(Backend!BC109="", "", Backend!BC109)</f>
        <v/>
      </c>
      <c r="BC82" t="str">
        <f>IF(Backend!BD109="", "", Backend!BD109)</f>
        <v/>
      </c>
      <c r="BD82" t="str">
        <f>IF(Backend!BE109="", "", Backend!BE109)</f>
        <v/>
      </c>
      <c r="BE82" t="str">
        <f>IF(Backend!BF109="", "", Backend!BF109)</f>
        <v/>
      </c>
      <c r="BF82" t="str">
        <f>IF(Backend!BG109="", "", Backend!BG109)</f>
        <v/>
      </c>
      <c r="BG82" t="str">
        <f>IF(Backend!BH109="", "", Backend!BH109)</f>
        <v/>
      </c>
      <c r="BH82" t="str">
        <f>IF(Backend!BI109="", "", Backend!BI109)</f>
        <v/>
      </c>
      <c r="BI82" t="str">
        <f>IF(Backend!BJ109="", "", Backend!BJ109)</f>
        <v/>
      </c>
      <c r="BJ82" t="str">
        <f>IF(Backend!BK109="", "", Backend!BK109)</f>
        <v/>
      </c>
      <c r="BK82" t="str">
        <f>IF(Backend!BL109="", "", Backend!BL109)</f>
        <v/>
      </c>
      <c r="BL82" t="str">
        <f>IF(Backend!BM109="", "", Backend!BM109)</f>
        <v/>
      </c>
      <c r="BM82" t="str">
        <f>IF(Backend!BN109="", "", Backend!BN109)</f>
        <v/>
      </c>
      <c r="BN82" t="str">
        <f>IF(Backend!BO109="", "", Backend!BO109)</f>
        <v/>
      </c>
      <c r="BO82" t="str">
        <f>IF(Backend!BP109="", "", Backend!BP109)</f>
        <v/>
      </c>
      <c r="BP82" t="str">
        <f>IF(Backend!BQ109="", "", Backend!BQ109)</f>
        <v/>
      </c>
      <c r="BQ82" t="str">
        <f>IF(Backend!BR109="", "", Backend!BR109)</f>
        <v/>
      </c>
      <c r="BR82" t="str">
        <f>IF(Backend!BS109="", "", Backend!BS109)</f>
        <v/>
      </c>
      <c r="BS82" t="str">
        <f>IF(Backend!BT109="", "", Backend!BT109)</f>
        <v/>
      </c>
      <c r="BT82" t="str">
        <f>IF(Backend!BU109="", "", Backend!BU109)</f>
        <v/>
      </c>
      <c r="BU82" t="str">
        <f>IF(Backend!BV109="", "", Backend!BV109)</f>
        <v/>
      </c>
      <c r="BV82" t="str">
        <f>IF(Backend!BW109="", "", Backend!BW109)</f>
        <v/>
      </c>
      <c r="BW82" t="str">
        <f>IF(Backend!BX109="", "", Backend!BX109)</f>
        <v/>
      </c>
      <c r="BX82" t="str">
        <f>IF(Backend!BY109="", "", Backend!BY109)</f>
        <v/>
      </c>
      <c r="BY82" t="str">
        <f>IF(Backend!BZ109="", "", Backend!BZ109)</f>
        <v/>
      </c>
      <c r="BZ82" t="str">
        <f>IF(Backend!CA109="", "", Backend!CA109)</f>
        <v/>
      </c>
      <c r="CA82" t="str">
        <f>IF(Backend!CB109="", "", Backend!CB109)</f>
        <v/>
      </c>
      <c r="CB82" t="str">
        <f>IF(Backend!CC109="", "", Backend!CC109)</f>
        <v/>
      </c>
      <c r="CC82" t="str">
        <f>IF(Backend!CD109="", "", Backend!CD109)</f>
        <v/>
      </c>
    </row>
  </sheetData>
  <conditionalFormatting sqref="B4:CC82">
    <cfRule type="colorScale" priority="1">
      <colorScale>
        <cfvo type="min"/>
        <cfvo type="max"/>
        <color theme="4"/>
        <color theme="4" tint="0.79998168889431442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BY107"/>
  <sheetViews>
    <sheetView workbookViewId="0"/>
  </sheetViews>
  <sheetFormatPr defaultRowHeight="15" x14ac:dyDescent="0.25"/>
  <cols>
    <col min="2" max="2" width="15.7109375" customWidth="1"/>
    <col min="3" max="3" width="13" customWidth="1"/>
    <col min="4" max="9" width="11.140625" customWidth="1"/>
    <col min="10" max="10" width="38.28515625" bestFit="1" customWidth="1"/>
    <col min="11" max="75" width="11.140625" customWidth="1"/>
  </cols>
  <sheetData>
    <row r="1" spans="2:15" x14ac:dyDescent="0.25">
      <c r="B1" t="s">
        <v>2</v>
      </c>
      <c r="C1" s="7">
        <v>45961</v>
      </c>
    </row>
    <row r="2" spans="2:15" x14ac:dyDescent="0.25">
      <c r="B2" t="s">
        <v>3</v>
      </c>
      <c r="C2" s="7" t="s">
        <v>71</v>
      </c>
    </row>
    <row r="4" spans="2:15" x14ac:dyDescent="0.25">
      <c r="B4" t="s">
        <v>0</v>
      </c>
    </row>
    <row r="5" spans="2:15" x14ac:dyDescent="0.25">
      <c r="C5" s="8" t="s">
        <v>14</v>
      </c>
      <c r="D5" t="str" cm="1">
        <f t="array" ref="D5">_xll.FDSC("-",C5,"PROPER_NAME")</f>
        <v>Adecco Group AG</v>
      </c>
      <c r="E5" s="8" t="s">
        <v>22</v>
      </c>
      <c r="F5" t="str" cm="1">
        <f t="array" ref="F5">_xll.FDSC("-",E5,"PROPER_NAME")</f>
        <v>Eni S.p.A.</v>
      </c>
      <c r="G5" s="8" t="s">
        <v>36</v>
      </c>
      <c r="H5" t="str" cm="1">
        <f t="array" ref="H5">_xll.FDSC("-",G5,"PROPER_NAME")</f>
        <v>MEDIPAL HOLDINGS Corporation</v>
      </c>
      <c r="I5" s="8" t="s">
        <v>51</v>
      </c>
      <c r="J5" t="str" cm="1">
        <f t="array" ref="J5">_xll.FDSC("-",I5,"PROPER_NAME")</f>
        <v>Societe Generale S.A. Class A</v>
      </c>
      <c r="K5" s="8"/>
      <c r="L5" t="str" cm="1">
        <f t="array" ref="L5">_xll.FDSC("-",K5,"PROPER_NAME")</f>
        <v>-</v>
      </c>
    </row>
    <row r="6" spans="2:15" x14ac:dyDescent="0.25">
      <c r="C6" s="8" t="s">
        <v>15</v>
      </c>
      <c r="D6" t="str" cm="1">
        <f t="array" ref="D6">_xll.FDSC("-",C6,"PROPER_NAME")</f>
        <v>Anglo American plc</v>
      </c>
      <c r="E6" s="8" t="s">
        <v>23</v>
      </c>
      <c r="F6" t="str" cm="1">
        <f t="array" ref="F6">_xll.FDSC("-",E6,"PROPER_NAME")</f>
        <v>GSK plc</v>
      </c>
      <c r="G6" s="8" t="s">
        <v>37</v>
      </c>
      <c r="H6" t="str" cm="1">
        <f t="array" ref="H6">_xll.FDSC("-",G6,"PROPER_NAME")</f>
        <v>Mohawk Industries, Inc.</v>
      </c>
      <c r="I6" s="8" t="s">
        <v>52</v>
      </c>
      <c r="J6" t="str" cm="1">
        <f t="array" ref="J6">_xll.FDSC("-",I6,"PROPER_NAME")</f>
        <v>Standard Chartered PLC</v>
      </c>
      <c r="K6" s="8"/>
      <c r="L6" t="str" cm="1">
        <f t="array" ref="L6">_xll.FDSC("-",K6,"PROPER_NAME")</f>
        <v>-</v>
      </c>
      <c r="M6" s="5"/>
    </row>
    <row r="7" spans="2:15" x14ac:dyDescent="0.25">
      <c r="C7" s="8" t="s">
        <v>8</v>
      </c>
      <c r="D7" t="str" cm="1">
        <f t="array" ref="D7">_xll.FDSC("-",C7,"PROPER_NAME")</f>
        <v>Anhui Conch Cement Company Limited Class H</v>
      </c>
      <c r="E7" s="8" t="s">
        <v>24</v>
      </c>
      <c r="F7" t="str" cm="1">
        <f t="array" ref="F7">_xll.FDSC("-",E7,"PROPER_NAME")</f>
        <v>H.U.Group Holdings, Inc.</v>
      </c>
      <c r="G7" s="8" t="s">
        <v>38</v>
      </c>
      <c r="H7" t="str" cm="1">
        <f t="array" ref="H7">_xll.FDSC("-",G7,"PROPER_NAME")</f>
        <v>Molson Coors Beverage Company Class B</v>
      </c>
      <c r="I7" s="8" t="s">
        <v>53</v>
      </c>
      <c r="J7" t="str" cm="1">
        <f t="array" ref="J7">_xll.FDSC("-",I7,"PROPER_NAME")</f>
        <v>Stanley Black &amp; Decker, Inc.</v>
      </c>
      <c r="K7" s="8"/>
      <c r="L7" t="str" cm="1">
        <f t="array" ref="L7">_xll.FDSC("-",K7,"PROPER_NAME")</f>
        <v>-</v>
      </c>
    </row>
    <row r="8" spans="2:15" x14ac:dyDescent="0.25">
      <c r="C8" s="8" t="s">
        <v>9</v>
      </c>
      <c r="D8" t="str" cm="1">
        <f t="array" ref="D8">_xll.FDSC("-",C8,"PROPER_NAME")</f>
        <v>Aptiv PLC</v>
      </c>
      <c r="E8" s="8" t="s">
        <v>25</v>
      </c>
      <c r="F8" t="str" cm="1">
        <f t="array" ref="F8">_xll.FDSC("-",E8,"PROPER_NAME")</f>
        <v>Halliburton Company</v>
      </c>
      <c r="G8" s="8" t="s">
        <v>39</v>
      </c>
      <c r="H8" t="str" cm="1">
        <f t="array" ref="H8">_xll.FDSC("-",G8,"PROPER_NAME")</f>
        <v>NatWest Group Plc</v>
      </c>
      <c r="I8" s="8" t="s">
        <v>54</v>
      </c>
      <c r="J8" t="str" cm="1">
        <f t="array" ref="J8">_xll.FDSC("-",I8,"PROPER_NAME")</f>
        <v>Swatch Group Ltd. Bearer</v>
      </c>
      <c r="K8" s="8"/>
      <c r="L8" t="str" cm="1">
        <f t="array" ref="L8">_xll.FDSC("-",K8,"PROPER_NAME")</f>
        <v>-</v>
      </c>
      <c r="O8" t="str" cm="1">
        <f t="array" ref="O8">_xll.FDSTHIS(""&amp;N8&amp;"")</f>
        <v/>
      </c>
    </row>
    <row r="9" spans="2:15" x14ac:dyDescent="0.25">
      <c r="C9" s="8" t="s">
        <v>10</v>
      </c>
      <c r="D9" t="str" cm="1">
        <f t="array" ref="D9">_xll.FDSC("-",C9,"PROPER_NAME")</f>
        <v>Autohome Inc. Sponsored ADR Class A</v>
      </c>
      <c r="E9" s="8" t="s">
        <v>26</v>
      </c>
      <c r="F9" t="str" cm="1">
        <f t="array" ref="F9">_xll.FDSC("-",E9,"PROPER_NAME")</f>
        <v>HANKOOK TIRE &amp; TECHNOLOGY Co., Ltd.</v>
      </c>
      <c r="G9" s="8" t="s">
        <v>40</v>
      </c>
      <c r="H9" t="str" cm="1">
        <f t="array" ref="H9">_xll.FDSC("-",G9,"PROPER_NAME")</f>
        <v>Nikon Corp.</v>
      </c>
      <c r="I9" s="8" t="s">
        <v>55</v>
      </c>
      <c r="J9" t="str" cm="1">
        <f t="array" ref="J9">_xll.FDSC("-",I9,"PROPER_NAME")</f>
        <v>Ternium S.A. Sponsored ADR</v>
      </c>
      <c r="K9" s="8"/>
      <c r="L9" t="str" cm="1">
        <f t="array" ref="L9">_xll.FDSC("-",K9,"PROPER_NAME")</f>
        <v>-</v>
      </c>
      <c r="O9" t="str" cm="1">
        <f t="array" ref="O9">_xll.FDSTHIS(""&amp;N9&amp;"")</f>
        <v/>
      </c>
    </row>
    <row r="10" spans="2:15" x14ac:dyDescent="0.25">
      <c r="C10" s="8" t="s">
        <v>11</v>
      </c>
      <c r="D10" t="str" cm="1">
        <f t="array" ref="D10">_xll.FDSC("-",C10,"PROPER_NAME")</f>
        <v>Baidu, Inc. Class A</v>
      </c>
      <c r="E10" s="8" t="s">
        <v>27</v>
      </c>
      <c r="F10" t="str" cm="1">
        <f t="array" ref="F10">_xll.FDSC("-",E10,"PROPER_NAME")</f>
        <v>Hewlett Packard Enterprise Co.</v>
      </c>
      <c r="G10" s="8" t="s">
        <v>41</v>
      </c>
      <c r="H10" t="str" cm="1">
        <f t="array" ref="H10">_xll.FDSC("-",G10,"PROPER_NAME")</f>
        <v>Nippon Television Holdings, Inc.</v>
      </c>
      <c r="I10" s="8" t="s">
        <v>56</v>
      </c>
      <c r="J10" t="str" cm="1">
        <f t="array" ref="J10">_xll.FDSC("-",I10,"PROPER_NAME")</f>
        <v>TOKAI RIKA CO., LTD.</v>
      </c>
      <c r="K10" s="8"/>
      <c r="L10" t="str" cm="1">
        <f t="array" ref="L10">_xll.FDSC("-",K10,"PROPER_NAME")</f>
        <v>-</v>
      </c>
      <c r="O10" t="str" cm="1">
        <f t="array" ref="O10">_xll.FDSTHIS(""&amp;N10&amp;"")</f>
        <v/>
      </c>
    </row>
    <row r="11" spans="2:15" x14ac:dyDescent="0.25">
      <c r="C11" s="8" t="s">
        <v>16</v>
      </c>
      <c r="D11" t="str" cm="1">
        <f t="array" ref="D11">_xll.FDSC("-",C11,"PROPER_NAME")</f>
        <v>BASF SE</v>
      </c>
      <c r="E11" s="8" t="s">
        <v>28</v>
      </c>
      <c r="F11" t="str" cm="1">
        <f t="array" ref="F11">_xll.FDSC("-",E11,"PROPER_NAME")</f>
        <v>Intel Corporation</v>
      </c>
      <c r="G11" s="8" t="s">
        <v>42</v>
      </c>
      <c r="H11" t="str" cm="1">
        <f t="array" ref="H11">_xll.FDSC("-",G11,"PROPER_NAME")</f>
        <v>Pfizer Inc.</v>
      </c>
      <c r="I11" s="8" t="s">
        <v>57</v>
      </c>
      <c r="J11" t="str" cm="1">
        <f t="array" ref="J11">_xll.FDSC("-",I11,"PROPER_NAME")</f>
        <v>Valterra Platinum Limited</v>
      </c>
      <c r="K11" s="8"/>
      <c r="L11" t="str" cm="1">
        <f t="array" ref="L11">_xll.FDSC("-",K11,"PROPER_NAME")</f>
        <v>-</v>
      </c>
      <c r="O11" t="str" cm="1">
        <f t="array" ref="O11">_xll.FDSTHIS(""&amp;N11&amp;"")</f>
        <v/>
      </c>
    </row>
    <row r="12" spans="2:15" x14ac:dyDescent="0.25">
      <c r="C12" s="8" t="s">
        <v>17</v>
      </c>
      <c r="D12" t="str" cm="1">
        <f t="array" ref="D12">_xll.FDSC("-",C12,"PROPER_NAME")</f>
        <v>Bayer AG</v>
      </c>
      <c r="E12" s="8" t="s">
        <v>29</v>
      </c>
      <c r="F12" t="str" cm="1">
        <f t="array" ref="F12">_xll.FDSC("-",E12,"PROPER_NAME")</f>
        <v>KB Financial Group Inc.</v>
      </c>
      <c r="G12" s="8" t="s">
        <v>43</v>
      </c>
      <c r="H12" t="str" cm="1">
        <f t="array" ref="H12">_xll.FDSC("-",G12,"PROPER_NAME")</f>
        <v>PUMA SE</v>
      </c>
      <c r="I12" s="8" t="s">
        <v>58</v>
      </c>
      <c r="J12" t="str" cm="1">
        <f t="array" ref="J12">_xll.FDSC("-",I12,"PROPER_NAME")</f>
        <v>Verizon Communications Inc.</v>
      </c>
      <c r="K12" s="8"/>
      <c r="L12" t="str" cm="1">
        <f t="array" ref="L12">_xll.FDSC("-",K12,"PROPER_NAME")</f>
        <v>-</v>
      </c>
      <c r="O12" t="str" cm="1">
        <f t="array" ref="O12">_xll.FDSTHIS(""&amp;N12&amp;"")</f>
        <v/>
      </c>
    </row>
    <row r="13" spans="2:15" x14ac:dyDescent="0.25">
      <c r="C13" s="8" t="s">
        <v>12</v>
      </c>
      <c r="D13" t="str" cm="1">
        <f t="array" ref="D13">_xll.FDSC("-",C13,"PROPER_NAME")</f>
        <v>Bristol-Myers Squibb Company</v>
      </c>
      <c r="E13" s="8" t="s">
        <v>30</v>
      </c>
      <c r="F13" t="str" cm="1">
        <f t="array" ref="F13">_xll.FDSC("-",E13,"PROPER_NAME")</f>
        <v>Kering SA</v>
      </c>
      <c r="G13" s="8" t="s">
        <v>44</v>
      </c>
      <c r="H13" t="str" cm="1">
        <f t="array" ref="H13">_xll.FDSC("-",G13,"PROPER_NAME")</f>
        <v>Repsol SA</v>
      </c>
      <c r="I13" s="8" t="s">
        <v>59</v>
      </c>
      <c r="J13" t="str" cm="1">
        <f t="array" ref="J13">_xll.FDSC("-",I13,"PROPER_NAME")</f>
        <v>Viatris, Inc.</v>
      </c>
      <c r="K13" s="8"/>
      <c r="L13" t="str" cm="1">
        <f t="array" ref="L13">_xll.FDSC("-",K13,"PROPER_NAME")</f>
        <v>-</v>
      </c>
      <c r="O13" t="str" cm="1">
        <f t="array" ref="O13">_xll.FDSTHIS(""&amp;N13&amp;"")</f>
        <v/>
      </c>
    </row>
    <row r="14" spans="2:15" x14ac:dyDescent="0.25">
      <c r="C14" s="8" t="s">
        <v>13</v>
      </c>
      <c r="D14" t="str" cm="1">
        <f t="array" ref="D14">_xll.FDSC("-",C14,"PROPER_NAME")</f>
        <v>BT Group plc</v>
      </c>
      <c r="E14" s="8" t="s">
        <v>31</v>
      </c>
      <c r="F14" t="str" cm="1">
        <f t="array" ref="F14">_xll.FDSC("-",E14,"PROPER_NAME")</f>
        <v>Koninklijke Ahold Delhaize N.V.</v>
      </c>
      <c r="G14" s="8" t="s">
        <v>45</v>
      </c>
      <c r="H14" t="str" cm="1">
        <f t="array" ref="H14">_xll.FDSC("-",G14,"PROPER_NAME")</f>
        <v>ROHM Company Limited</v>
      </c>
      <c r="I14" s="8" t="s">
        <v>60</v>
      </c>
      <c r="J14" t="str" cm="1">
        <f t="array" ref="J14">_xll.FDSC("-",I14,"PROPER_NAME")</f>
        <v>Vodafone Group Public Limited Company</v>
      </c>
      <c r="K14" s="8"/>
      <c r="L14" t="str" cm="1">
        <f t="array" ref="L14">_xll.FDSC("-",K14,"PROPER_NAME")</f>
        <v>-</v>
      </c>
      <c r="O14" t="str" cm="1">
        <f t="array" ref="O14">_xll.FDSTHIS(""&amp;N14&amp;"")</f>
        <v/>
      </c>
    </row>
    <row r="15" spans="2:15" x14ac:dyDescent="0.25">
      <c r="C15" s="8" t="s">
        <v>18</v>
      </c>
      <c r="D15" t="str" cm="1">
        <f t="array" ref="D15">_xll.FDSC("-",C15,"PROPER_NAME")</f>
        <v>Burberry Group plc</v>
      </c>
      <c r="E15" s="8" t="s">
        <v>32</v>
      </c>
      <c r="F15" t="str" cm="1">
        <f t="array" ref="F15">_xll.FDSC("-",E15,"PROPER_NAME")</f>
        <v>Kraft Heinz Company</v>
      </c>
      <c r="G15" s="8" t="s">
        <v>46</v>
      </c>
      <c r="H15" t="str" cm="1">
        <f t="array" ref="H15">_xll.FDSC("-",G15,"PROPER_NAME")</f>
        <v>Sally Beauty Holdings, Inc.</v>
      </c>
      <c r="I15" s="8" t="s">
        <v>61</v>
      </c>
      <c r="J15" t="str" cm="1">
        <f t="array" ref="J15">_xll.FDSC("-",I15,"PROPER_NAME")</f>
        <v>Volkswagen AG Pref</v>
      </c>
      <c r="K15" s="8"/>
      <c r="L15" t="str" cm="1">
        <f t="array" ref="L15">_xll.FDSC("-",K15,"PROPER_NAME")</f>
        <v>-</v>
      </c>
      <c r="O15" t="str" cm="1">
        <f t="array" ref="O15">_xll.FDSTHIS(""&amp;N15&amp;"")</f>
        <v/>
      </c>
    </row>
    <row r="16" spans="2:15" x14ac:dyDescent="0.25">
      <c r="C16" s="8" t="s">
        <v>19</v>
      </c>
      <c r="D16" t="str" cm="1">
        <f t="array" ref="D16">_xll.FDSC("-",C16,"PROPER_NAME")</f>
        <v>Carrefour SA</v>
      </c>
      <c r="E16" s="8" t="s">
        <v>33</v>
      </c>
      <c r="F16" t="str" cm="1">
        <f t="array" ref="F16">_xll.FDSC("-",E16,"PROPER_NAME")</f>
        <v>Lear Corporation</v>
      </c>
      <c r="G16" s="8" t="s">
        <v>47</v>
      </c>
      <c r="H16" t="str" cm="1">
        <f t="array" ref="H16">_xll.FDSC("-",G16,"PROPER_NAME")</f>
        <v>Samsung Electronics Co Ltd Pfd  Non-Voting</v>
      </c>
      <c r="I16" s="8" t="s">
        <v>62</v>
      </c>
      <c r="J16" t="str" cm="1">
        <f t="array" ref="J16">_xll.FDSC("-",I16,"PROPER_NAME")</f>
        <v>Walgreens Boots Alliance, Inc.</v>
      </c>
      <c r="K16" s="8"/>
      <c r="L16" t="str" cm="1">
        <f t="array" ref="L16">_xll.FDSC("-",K16,"PROPER_NAME")</f>
        <v>-</v>
      </c>
      <c r="O16" t="str" cm="1">
        <f t="array" ref="O16">_xll.FDSTHIS(""&amp;N16&amp;"")</f>
        <v/>
      </c>
    </row>
    <row r="17" spans="1:77" x14ac:dyDescent="0.25">
      <c r="C17" s="8" t="s">
        <v>20</v>
      </c>
      <c r="D17" t="str" cm="1">
        <f t="array" ref="D17">_xll.FDSC("-",C17,"PROPER_NAME")</f>
        <v>Continental AG</v>
      </c>
      <c r="E17" s="8" t="s">
        <v>34</v>
      </c>
      <c r="F17" t="str" cm="1">
        <f t="array" ref="F17">_xll.FDSC("-",E17,"PROPER_NAME")</f>
        <v>LyondellBasell Industries NV</v>
      </c>
      <c r="G17" s="8" t="s">
        <v>48</v>
      </c>
      <c r="H17" t="str" cm="1">
        <f t="array" ref="H17">_xll.FDSC("-",G17,"PROPER_NAME")</f>
        <v>Sanofi SA</v>
      </c>
      <c r="I17" s="8" t="s">
        <v>63</v>
      </c>
      <c r="J17" t="str" cm="1">
        <f t="array" ref="J17">_xll.FDSC("-",I17,"PROPER_NAME")</f>
        <v>Western Union Company</v>
      </c>
      <c r="K17" s="8"/>
      <c r="L17" t="str" cm="1">
        <f t="array" ref="L17">_xll.FDSC("-",K17,"PROPER_NAME")</f>
        <v>-</v>
      </c>
      <c r="O17" t="str" cm="1">
        <f t="array" ref="O17">_xll.FDSTHIS(""&amp;N17&amp;"")</f>
        <v/>
      </c>
    </row>
    <row r="18" spans="1:77" x14ac:dyDescent="0.25">
      <c r="C18" s="8" t="s">
        <v>21</v>
      </c>
      <c r="D18" t="str" cm="1">
        <f t="array" ref="D18">_xll.FDSC("-",C18,"PROPER_NAME")</f>
        <v>Dentsu Group Inc.</v>
      </c>
      <c r="E18" s="8" t="s">
        <v>7</v>
      </c>
      <c r="F18" t="str" cm="1">
        <f t="array" ref="F18">_xll.FDSC("-",E18,"PROPER_NAME")</f>
        <v>Macy's, Inc.</v>
      </c>
      <c r="G18" s="8" t="s">
        <v>49</v>
      </c>
      <c r="H18" t="str" cm="1">
        <f t="array" ref="H18">_xll.FDSC("-",G18,"PROPER_NAME")</f>
        <v>SES SA FDR (Class A)</v>
      </c>
      <c r="I18" s="8" t="s">
        <v>64</v>
      </c>
      <c r="J18" t="str" cm="1">
        <f t="array" ref="J18">_xll.FDSC("-",I18,"PROPER_NAME")</f>
        <v>John Wiley &amp; Sons, Inc. Class A</v>
      </c>
      <c r="K18" s="8"/>
      <c r="L18" t="str" cm="1">
        <f t="array" ref="L18">_xll.FDSC("-",K18,"PROPER_NAME")</f>
        <v>-</v>
      </c>
      <c r="O18" t="str" cm="1">
        <f t="array" ref="O18">_xll.FDSTHIS(""&amp;N18&amp;"")</f>
        <v/>
      </c>
    </row>
    <row r="19" spans="1:77" x14ac:dyDescent="0.25">
      <c r="C19" s="8"/>
      <c r="D19" t="str" cm="1">
        <f t="array" ref="D19">_xll.FDSC("-",C19,"PROPER_NAME")</f>
        <v>-</v>
      </c>
      <c r="E19" s="8" t="s">
        <v>35</v>
      </c>
      <c r="F19" t="str" cm="1">
        <f t="array" ref="F19">_xll.FDSC("-",E19,"PROPER_NAME")</f>
        <v>ManpowerGroup Inc.</v>
      </c>
      <c r="G19" s="8" t="s">
        <v>50</v>
      </c>
      <c r="H19" t="str" cm="1">
        <f t="array" ref="H19">_xll.FDSC("-",G19,"PROPER_NAME")</f>
        <v>Shinhan Financial Group Co., Ltd.</v>
      </c>
      <c r="I19" s="8" t="s">
        <v>65</v>
      </c>
      <c r="J19" t="str" cm="1">
        <f t="array" ref="J19">_xll.FDSC("-",I19,"PROPER_NAME")</f>
        <v>WPP Plc</v>
      </c>
      <c r="O19" t="str" cm="1">
        <f t="array" ref="O19">_xll.FDSTHIS(""&amp;N19&amp;"")</f>
        <v/>
      </c>
    </row>
    <row r="20" spans="1:77" x14ac:dyDescent="0.25">
      <c r="C20" s="8"/>
      <c r="D20" t="str" cm="1">
        <f t="array" ref="D20">_xll.FDSC("-",C20,"PROPER_NAME")</f>
        <v>-</v>
      </c>
    </row>
    <row r="21" spans="1:77" x14ac:dyDescent="0.25">
      <c r="C21" s="8"/>
      <c r="D21" t="str" cm="1">
        <f t="array" ref="D21">_xll.FDSC("-",C21,"PROPER_NAME")</f>
        <v>-</v>
      </c>
    </row>
    <row r="22" spans="1:77" x14ac:dyDescent="0.25">
      <c r="C22" s="8"/>
      <c r="D22" t="str" cm="1">
        <f t="array" ref="D22">_xll.FDSC("-",C22,"PROPER_NAME")</f>
        <v>-</v>
      </c>
    </row>
    <row r="23" spans="1:77" x14ac:dyDescent="0.25">
      <c r="C23" s="8"/>
      <c r="D23" t="str" cm="1">
        <f t="array" ref="D23">_xll.FDSC("-",C23,"PROPER_NAME")</f>
        <v>-</v>
      </c>
    </row>
    <row r="26" spans="1:77" x14ac:dyDescent="0.25">
      <c r="B26" t="str" cm="1">
        <f t="array" ref="B26">_xll.FDS("DUMMY","PROPER(""Correlation of Daily Data Between "") + FG_DATE("&amp;$C$1&amp;"-"&amp;$C$2&amp;") + LOWERCASE("" and "") + FG_DATE("&amp;$C$1&amp;") + LOWERCASE("":"")")</f>
        <v>Correlation Of Daily Data Between 10/30/2020 and 10/31/2025:</v>
      </c>
    </row>
    <row r="27" spans="1:77" x14ac:dyDescent="0.25">
      <c r="B27" t="str" cm="1">
        <f t="array" ref="B27">_xll.FDSB("DUMMY","STRING_ARRAY IDS=TICKER_LIST('"&amp;_xlfn.TEXTJOIN(" ",TRUE,C5:C23,E5:E23,G5:G23,I5:I23,K5:K23)&amp;"');""FDS Code - Do Not Delete""")</f>
        <v>FDS CODE - DO NOT DELETE</v>
      </c>
      <c r="C27" t="str" cm="1">
        <f t="array" ref="C27">_xll.FDSB("DUMMY","FLOAT_ARRAY CORRELMATRIX=GET_FQL_ARRAY(IDS,'FG_PRICE("&amp;$C$1&amp;","&amp;$C$1&amp;"-"&amp;$C$2&amp;",D,USD)');'FDS Code - Do Not Delete'")</f>
        <v>FDS CODE - DO NOT DELETE</v>
      </c>
    </row>
    <row r="29" spans="1:77" x14ac:dyDescent="0.25">
      <c r="C29" s="13" t="str" cm="1">
        <f t="array" ref="C29">_xll.FDS(C30,"FG_COMPANY_NAME")</f>
        <v>Adecco Group AG</v>
      </c>
      <c r="D29" s="13" t="str" cm="1">
        <f t="array" ref="D29">_xll.FDS(D30,"FG_COMPANY_NAME")</f>
        <v>Anglo American plc</v>
      </c>
      <c r="E29" s="13" t="str" cm="1">
        <f t="array" ref="E29">_xll.FDS(E30,"FG_COMPANY_NAME")</f>
        <v>Anhui Conch Cement Company Limited Class H</v>
      </c>
      <c r="F29" s="13" t="str" cm="1">
        <f t="array" ref="F29">_xll.FDS(F30,"FG_COMPANY_NAME")</f>
        <v>Aptiv PLC</v>
      </c>
      <c r="G29" s="13" t="str" cm="1">
        <f t="array" ref="G29">_xll.FDS(G30,"FG_COMPANY_NAME")</f>
        <v>Autohome Inc. Sponsored ADR Class A</v>
      </c>
      <c r="H29" s="13" t="str" cm="1">
        <f t="array" ref="H29">_xll.FDS(H30,"FG_COMPANY_NAME")</f>
        <v>Baidu, Inc. Class A</v>
      </c>
      <c r="I29" s="13" t="str" cm="1">
        <f t="array" ref="I29">_xll.FDS(I30,"FG_COMPANY_NAME")</f>
        <v>BASF SE</v>
      </c>
      <c r="J29" s="13" t="str" cm="1">
        <f t="array" ref="J29">_xll.FDS(J30,"FG_COMPANY_NAME")</f>
        <v>Bayer AG</v>
      </c>
      <c r="K29" s="13" t="str" cm="1">
        <f t="array" ref="K29">_xll.FDS(K30,"FG_COMPANY_NAME")</f>
        <v>Bristol-Myers Squibb Company</v>
      </c>
      <c r="L29" s="13" t="str" cm="1">
        <f t="array" ref="L29">_xll.FDS(L30,"FG_COMPANY_NAME")</f>
        <v>BT Group plc</v>
      </c>
      <c r="M29" s="13" t="str" cm="1">
        <f t="array" ref="M29">_xll.FDS(M30,"FG_COMPANY_NAME")</f>
        <v>Burberry Group plc</v>
      </c>
      <c r="N29" s="13" t="str" cm="1">
        <f t="array" ref="N29">_xll.FDS(N30,"FG_COMPANY_NAME")</f>
        <v>Carrefour SA</v>
      </c>
      <c r="O29" s="13" t="str" cm="1">
        <f t="array" ref="O29">_xll.FDS(O30,"FG_COMPANY_NAME")</f>
        <v>Continental AG</v>
      </c>
      <c r="P29" s="13" t="str" cm="1">
        <f t="array" ref="P29">_xll.FDS(P30,"FG_COMPANY_NAME")</f>
        <v>Dentsu Group Inc.</v>
      </c>
      <c r="Q29" s="13" t="str" cm="1">
        <f t="array" ref="Q29">_xll.FDS(Q30,"FG_COMPANY_NAME")</f>
        <v>Eni S.p.A.</v>
      </c>
      <c r="R29" s="13" t="str" cm="1">
        <f t="array" ref="R29">_xll.FDS(R30,"FG_COMPANY_NAME")</f>
        <v>GSK plc</v>
      </c>
      <c r="S29" s="13" t="str" cm="1">
        <f t="array" ref="S29">_xll.FDS(S30,"FG_COMPANY_NAME")</f>
        <v>H.U.Group Holdings, Inc.</v>
      </c>
      <c r="T29" s="13" t="str" cm="1">
        <f t="array" ref="T29">_xll.FDS(T30,"FG_COMPANY_NAME")</f>
        <v>Halliburton Company</v>
      </c>
      <c r="U29" s="13" t="str" cm="1">
        <f t="array" ref="U29">_xll.FDS(U30,"FG_COMPANY_NAME")</f>
        <v>HANKOOK TIRE &amp; TECHNOLOGY Co., Ltd.</v>
      </c>
      <c r="V29" s="13" t="str" cm="1">
        <f t="array" ref="V29">_xll.FDS(V30,"FG_COMPANY_NAME")</f>
        <v>Hewlett Packard Enterprise Co.</v>
      </c>
      <c r="W29" s="13" t="str" cm="1">
        <f t="array" ref="W29">_xll.FDS(W30,"FG_COMPANY_NAME")</f>
        <v>Intel Corporation</v>
      </c>
      <c r="X29" s="13" t="str" cm="1">
        <f t="array" ref="X29">_xll.FDS(X30,"FG_COMPANY_NAME")</f>
        <v>KB Financial Group Inc.</v>
      </c>
      <c r="Y29" s="13" t="str" cm="1">
        <f t="array" ref="Y29">_xll.FDS(Y30,"FG_COMPANY_NAME")</f>
        <v>Kering SA</v>
      </c>
      <c r="Z29" s="13" t="str" cm="1">
        <f t="array" ref="Z29">_xll.FDS(Z30,"FG_COMPANY_NAME")</f>
        <v>Koninklijke Ahold Delhaize N.V.</v>
      </c>
      <c r="AA29" s="13" t="str" cm="1">
        <f t="array" ref="AA29">_xll.FDS(AA30,"FG_COMPANY_NAME")</f>
        <v>Kraft Heinz Company</v>
      </c>
      <c r="AB29" s="13" t="str" cm="1">
        <f t="array" ref="AB29">_xll.FDS(AB30,"FG_COMPANY_NAME")</f>
        <v>Lear Corporation</v>
      </c>
      <c r="AC29" s="13" t="str" cm="1">
        <f t="array" ref="AC29">_xll.FDS(AC30,"FG_COMPANY_NAME")</f>
        <v>LyondellBasell Industries NV</v>
      </c>
      <c r="AD29" s="13" t="str" cm="1">
        <f t="array" ref="AD29">_xll.FDS(AD30,"FG_COMPANY_NAME")</f>
        <v>Macy's, Inc.</v>
      </c>
      <c r="AE29" s="13" t="str" cm="1">
        <f t="array" ref="AE29">_xll.FDS(AE30,"FG_COMPANY_NAME")</f>
        <v>ManpowerGroup Inc.</v>
      </c>
      <c r="AF29" s="13" t="str" cm="1">
        <f t="array" ref="AF29">_xll.FDS(AF30,"FG_COMPANY_NAME")</f>
        <v>MEDIPAL HOLDINGS Corporation</v>
      </c>
      <c r="AG29" s="13" t="str" cm="1">
        <f t="array" ref="AG29">_xll.FDS(AG30,"FG_COMPANY_NAME")</f>
        <v>Mohawk Industries, Inc.</v>
      </c>
      <c r="AH29" s="13" t="str" cm="1">
        <f t="array" ref="AH29">_xll.FDS(AH30,"FG_COMPANY_NAME")</f>
        <v>Molson Coors Beverage Company Class B</v>
      </c>
      <c r="AI29" s="13" t="str" cm="1">
        <f t="array" ref="AI29">_xll.FDS(AI30,"FG_COMPANY_NAME")</f>
        <v>NatWest Group Plc</v>
      </c>
      <c r="AJ29" s="13" t="str" cm="1">
        <f t="array" ref="AJ29">_xll.FDS(AJ30,"FG_COMPANY_NAME")</f>
        <v>Nikon Corp.</v>
      </c>
      <c r="AK29" s="13" t="str" cm="1">
        <f t="array" ref="AK29">_xll.FDS(AK30,"FG_COMPANY_NAME")</f>
        <v>Nippon Television Holdings, Inc.</v>
      </c>
      <c r="AL29" s="13" t="str" cm="1">
        <f t="array" ref="AL29">_xll.FDS(AL30,"FG_COMPANY_NAME")</f>
        <v>Pfizer Inc.</v>
      </c>
      <c r="AM29" s="13" t="str" cm="1">
        <f t="array" ref="AM29">_xll.FDS(AM30,"FG_COMPANY_NAME")</f>
        <v>PUMA SE</v>
      </c>
      <c r="AN29" s="13" t="str" cm="1">
        <f t="array" ref="AN29">_xll.FDS(AN30,"FG_COMPANY_NAME")</f>
        <v>Repsol SA</v>
      </c>
      <c r="AO29" s="13" t="str" cm="1">
        <f t="array" ref="AO29">_xll.FDS(AO30,"FG_COMPANY_NAME")</f>
        <v>ROHM Company Limited</v>
      </c>
      <c r="AP29" s="13" t="str" cm="1">
        <f t="array" ref="AP29">_xll.FDS(AP30,"FG_COMPANY_NAME")</f>
        <v>Sally Beauty Holdings, Inc.</v>
      </c>
      <c r="AQ29" s="13" t="str" cm="1">
        <f t="array" ref="AQ29">_xll.FDS(AQ30,"FG_COMPANY_NAME")</f>
        <v>Samsung Electronics Co Ltd Pfd  Non-Voting</v>
      </c>
      <c r="AR29" s="13" t="str" cm="1">
        <f t="array" ref="AR29">_xll.FDS(AR30,"FG_COMPANY_NAME")</f>
        <v>Sanofi SA</v>
      </c>
      <c r="AS29" s="13" t="str" cm="1">
        <f t="array" ref="AS29">_xll.FDS(AS30,"FG_COMPANY_NAME")</f>
        <v>SES SA FDR (Class A)</v>
      </c>
      <c r="AT29" s="13" t="str" cm="1">
        <f t="array" ref="AT29">_xll.FDS(AT30,"FG_COMPANY_NAME")</f>
        <v>Shinhan Financial Group Co., Ltd.</v>
      </c>
      <c r="AU29" s="13" t="str" cm="1">
        <f t="array" ref="AU29">_xll.FDS(AU30,"FG_COMPANY_NAME")</f>
        <v>Societe Generale S.A. Class A</v>
      </c>
      <c r="AV29" s="13" t="str" cm="1">
        <f t="array" ref="AV29">_xll.FDS(AV30,"FG_COMPANY_NAME")</f>
        <v>Standard Chartered PLC</v>
      </c>
      <c r="AW29" s="13" t="str" cm="1">
        <f t="array" ref="AW29">_xll.FDS(AW30,"FG_COMPANY_NAME")</f>
        <v>Stanley Black &amp; Decker, Inc.</v>
      </c>
      <c r="AX29" s="13" t="str" cm="1">
        <f t="array" ref="AX29">_xll.FDS(AX30,"FG_COMPANY_NAME")</f>
        <v>Swatch Group Ltd. Bearer</v>
      </c>
      <c r="AY29" s="13" t="str" cm="1">
        <f t="array" ref="AY29">_xll.FDS(AY30,"FG_COMPANY_NAME")</f>
        <v>Ternium S.A. Sponsored ADR</v>
      </c>
      <c r="AZ29" s="13" t="str" cm="1">
        <f t="array" ref="AZ29">_xll.FDS(AZ30,"FG_COMPANY_NAME")</f>
        <v>TOKAI RIKA CO., LTD.</v>
      </c>
      <c r="BA29" s="13" t="str" cm="1">
        <f t="array" ref="BA29">_xll.FDS(BA30,"FG_COMPANY_NAME")</f>
        <v>Valterra Platinum Limited</v>
      </c>
      <c r="BB29" s="13" t="str" cm="1">
        <f t="array" ref="BB29">_xll.FDS(BB30,"FG_COMPANY_NAME")</f>
        <v>Verizon Communications Inc.</v>
      </c>
      <c r="BC29" s="13" t="str" cm="1">
        <f t="array" ref="BC29">_xll.FDS(BC30,"FG_COMPANY_NAME")</f>
        <v>Viatris, Inc.</v>
      </c>
      <c r="BD29" s="13" t="str" cm="1">
        <f t="array" ref="BD29">_xll.FDS(BD30,"FG_COMPANY_NAME")</f>
        <v>Vodafone Group Public Limited Company</v>
      </c>
      <c r="BE29" s="13" t="str" cm="1">
        <f t="array" ref="BE29">_xll.FDS(BE30,"FG_COMPANY_NAME")</f>
        <v>Volkswagen AG Pref</v>
      </c>
      <c r="BF29" s="13" t="str" cm="1">
        <f t="array" ref="BF29">_xll.FDS(BF30,"FG_COMPANY_NAME")</f>
        <v>Walgreens Boots Alliance, Inc.</v>
      </c>
      <c r="BG29" s="13" t="str" cm="1">
        <f t="array" ref="BG29">_xll.FDS(BG30,"FG_COMPANY_NAME")</f>
        <v>Western Union Company</v>
      </c>
      <c r="BH29" s="13" t="str" cm="1">
        <f t="array" ref="BH29">_xll.FDS(BH30,"FG_COMPANY_NAME")</f>
        <v>John Wiley &amp; Sons, Inc. Class A</v>
      </c>
      <c r="BI29" s="13" t="str" cm="1">
        <f t="array" ref="BI29">_xll.FDS(BI30,"FG_COMPANY_NAME")</f>
        <v>WPP Plc</v>
      </c>
    </row>
    <row r="30" spans="1:77" ht="15" customHeight="1" x14ac:dyDescent="0.25">
      <c r="C30" s="3" t="str" cm="1">
        <f t="array" ref="C30:BI30">_xll.FDSR(V27,"IDS")</f>
        <v>ADEN-CH</v>
      </c>
      <c r="D30" s="6" t="str">
        <v>AAL-GB</v>
      </c>
      <c r="E30" s="6" t="str">
        <v>914-HK</v>
      </c>
      <c r="F30" s="6" t="str">
        <v>APTV-US</v>
      </c>
      <c r="G30" s="6" t="str">
        <v>ATHM-US</v>
      </c>
      <c r="H30" s="6" t="str">
        <v>9888-HK</v>
      </c>
      <c r="I30" s="6" t="str">
        <v>BAS-DE</v>
      </c>
      <c r="J30" s="6" t="str">
        <v>BAYN-DE</v>
      </c>
      <c r="K30" s="6" t="str">
        <v>BMY-US</v>
      </c>
      <c r="L30" s="6" t="str">
        <v>BT.A-GB</v>
      </c>
      <c r="M30" s="6" t="str">
        <v>BRBY-GB</v>
      </c>
      <c r="N30" s="6" t="str">
        <v>CA-FR</v>
      </c>
      <c r="O30" s="6" t="str">
        <v>CON-DE</v>
      </c>
      <c r="P30" s="6" t="str">
        <v>4324-JP</v>
      </c>
      <c r="Q30" s="4" t="str">
        <v>ENI-IT</v>
      </c>
      <c r="R30" s="4" t="str">
        <v>GSK-GB</v>
      </c>
      <c r="S30" s="4" t="str">
        <v>4544-JP</v>
      </c>
      <c r="T30" s="4" t="str">
        <v>HAL-US</v>
      </c>
      <c r="U30" s="4" t="str">
        <v>161390-KR</v>
      </c>
      <c r="V30" s="4" t="str">
        <v>HPE-US</v>
      </c>
      <c r="W30" s="4" t="str">
        <v>INTC-US</v>
      </c>
      <c r="X30" s="4" t="str">
        <v>105560-KR</v>
      </c>
      <c r="Y30" s="4" t="str">
        <v>KER-FR</v>
      </c>
      <c r="Z30" s="4" t="str">
        <v>AD-NL</v>
      </c>
      <c r="AA30" s="4" t="str">
        <v>KHC-US</v>
      </c>
      <c r="AB30" s="4" t="str">
        <v>LEA-US</v>
      </c>
      <c r="AC30" s="4" t="str">
        <v>LYB-US</v>
      </c>
      <c r="AD30" s="4" t="str">
        <v>M-US</v>
      </c>
      <c r="AE30" s="4" t="str">
        <v>MAN-US</v>
      </c>
      <c r="AF30" s="4" t="str">
        <v>7459-JP</v>
      </c>
      <c r="AG30" s="4" t="str">
        <v>MHK-US</v>
      </c>
      <c r="AH30" s="4" t="str">
        <v>TAP-US</v>
      </c>
      <c r="AI30" s="4" t="str">
        <v>NWG-GB</v>
      </c>
      <c r="AJ30" s="4" t="str">
        <v>7731-JP</v>
      </c>
      <c r="AK30" s="4" t="str">
        <v>9404-JP</v>
      </c>
      <c r="AL30" s="4" t="str">
        <v>PFE-US</v>
      </c>
      <c r="AM30" s="4" t="str">
        <v>PUM-DE</v>
      </c>
      <c r="AN30" s="4" t="str">
        <v>REP-ES</v>
      </c>
      <c r="AO30" s="4" t="str">
        <v>6963-JP</v>
      </c>
      <c r="AP30" s="4" t="str">
        <v>SBH-US</v>
      </c>
      <c r="AQ30" s="4" t="str">
        <v>005935-KR</v>
      </c>
      <c r="AR30" s="4" t="str">
        <v>SAN-FR</v>
      </c>
      <c r="AS30" s="4" t="str">
        <v>SESG-FR</v>
      </c>
      <c r="AT30" s="4" t="str">
        <v>055550-KR</v>
      </c>
      <c r="AU30" s="4" t="str">
        <v>GLE-FR</v>
      </c>
      <c r="AV30" s="4" t="str">
        <v>STAN-GB</v>
      </c>
      <c r="AW30" s="4" t="str">
        <v>SWK-US</v>
      </c>
      <c r="AX30" s="4" t="str">
        <v>UHR-CH</v>
      </c>
      <c r="AY30" s="4" t="str">
        <v>TX-US</v>
      </c>
      <c r="AZ30" s="4" t="str">
        <v>6995-JP</v>
      </c>
      <c r="BA30" s="4" t="str">
        <v>VAL-ZA</v>
      </c>
      <c r="BB30" s="4" t="str">
        <v>VZ-US</v>
      </c>
      <c r="BC30" s="4" t="str">
        <v>VTRS-US</v>
      </c>
      <c r="BD30" s="4" t="str">
        <v>VOD-GB</v>
      </c>
      <c r="BE30" s="4" t="str">
        <v>VOW3-DE</v>
      </c>
      <c r="BF30" s="4" t="str">
        <v>WBA-US</v>
      </c>
      <c r="BG30" s="4" t="str">
        <v>WU-US</v>
      </c>
      <c r="BH30" s="4" t="str">
        <v>WLY-US</v>
      </c>
      <c r="BI30" s="4" t="str">
        <v>WPP-GB</v>
      </c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</row>
    <row r="31" spans="1:77" x14ac:dyDescent="0.25">
      <c r="A31" s="13" t="str" cm="1">
        <f t="array" ref="A31">_xll.FDS(B31,"FG_COMPANY_NAME")</f>
        <v>Adecco Group AG</v>
      </c>
      <c r="B31" s="4" t="str" cm="1">
        <f t="array" ref="B31:B89">_xll.FDSB(V23,"IDS")</f>
        <v>ADEN-CH</v>
      </c>
      <c r="C31" s="2" cm="1">
        <f t="array" ref="C31:BI89">_xll.FDSB("DUMMY","CORREL_MATRIX(CORRELMATRIX)")</f>
        <v>1</v>
      </c>
      <c r="D31" s="2">
        <v>0.43017771999999999</v>
      </c>
      <c r="E31" s="2">
        <v>0.77609205000000003</v>
      </c>
      <c r="F31" s="2">
        <v>0.80492954999999999</v>
      </c>
      <c r="G31" s="2">
        <v>0.79193985</v>
      </c>
      <c r="H31" s="2">
        <v>0.78763000000000005</v>
      </c>
      <c r="I31" s="2">
        <v>0.88990086000000002</v>
      </c>
      <c r="J31" s="2">
        <v>0.59731610000000002</v>
      </c>
      <c r="K31" s="2">
        <v>0.20736398</v>
      </c>
      <c r="L31" s="2">
        <v>0.18147015999999999</v>
      </c>
      <c r="M31" s="2">
        <v>0.57532066000000004</v>
      </c>
      <c r="N31" s="2">
        <v>0.57282679999999997</v>
      </c>
      <c r="O31" s="2">
        <v>0.83669864999999999</v>
      </c>
      <c r="P31" s="2">
        <v>0.48854488000000001</v>
      </c>
      <c r="Q31" s="2">
        <v>-0.50583990000000001</v>
      </c>
      <c r="R31" s="2">
        <v>0.17822500999999999</v>
      </c>
      <c r="S31" s="2">
        <v>0.74109804999999995</v>
      </c>
      <c r="T31" s="2">
        <v>-0.35265176999999998</v>
      </c>
      <c r="U31" s="2">
        <v>0.71744759999999996</v>
      </c>
      <c r="V31" s="2">
        <v>-0.50076580000000004</v>
      </c>
      <c r="W31" s="2">
        <v>0.89797419999999994</v>
      </c>
      <c r="X31" s="2">
        <v>-0.36073139999999998</v>
      </c>
      <c r="Y31" s="2">
        <v>0.81038695999999999</v>
      </c>
      <c r="Z31" s="2">
        <v>-0.42778264999999999</v>
      </c>
      <c r="AA31" s="2">
        <v>0.46023916999999998</v>
      </c>
      <c r="AB31" s="2">
        <v>0.83683660000000004</v>
      </c>
      <c r="AC31" s="2">
        <v>0.56777129999999998</v>
      </c>
      <c r="AD31" s="2">
        <v>0.13612094999999999</v>
      </c>
      <c r="AE31" s="2">
        <v>0.79228430000000005</v>
      </c>
      <c r="AF31" s="2">
        <v>0.71097569999999999</v>
      </c>
      <c r="AG31" s="2">
        <v>0.67284390000000005</v>
      </c>
      <c r="AH31" s="2">
        <v>-0.27890517999999997</v>
      </c>
      <c r="AI31" s="2">
        <v>-0.59085240000000006</v>
      </c>
      <c r="AJ31" s="2">
        <v>-0.48069793</v>
      </c>
      <c r="AK31" s="2">
        <v>-0.32729439999999999</v>
      </c>
      <c r="AL31" s="2">
        <v>0.31876028000000001</v>
      </c>
      <c r="AM31" s="2">
        <v>0.86678189999999999</v>
      </c>
      <c r="AN31" s="2">
        <v>-0.40704163999999998</v>
      </c>
      <c r="AO31" s="2">
        <v>0.77126229999999996</v>
      </c>
      <c r="AP31" s="2">
        <v>0.63864940000000003</v>
      </c>
      <c r="AQ31" s="2">
        <v>0.86330825</v>
      </c>
      <c r="AR31" s="2">
        <v>2.3852182999999999E-2</v>
      </c>
      <c r="AS31" s="2">
        <v>0.63711773999999999</v>
      </c>
      <c r="AT31" s="2">
        <v>-0.22294823999999999</v>
      </c>
      <c r="AU31" s="2">
        <v>-0.26054551999999997</v>
      </c>
      <c r="AV31" s="2">
        <v>-0.58098214999999997</v>
      </c>
      <c r="AW31" s="2">
        <v>0.89502570000000004</v>
      </c>
      <c r="AX31" s="2">
        <v>0.63410794999999998</v>
      </c>
      <c r="AY31" s="2">
        <v>0.28778666000000003</v>
      </c>
      <c r="AZ31" s="2">
        <v>0.42899652999999999</v>
      </c>
      <c r="BA31" s="2">
        <v>0.64714676000000004</v>
      </c>
      <c r="BB31" s="2">
        <v>0.74552799999999997</v>
      </c>
      <c r="BC31" s="2">
        <v>0.78674096000000004</v>
      </c>
      <c r="BD31" s="2">
        <v>0.76571639999999996</v>
      </c>
      <c r="BE31" s="2">
        <v>0.88775559999999998</v>
      </c>
      <c r="BF31" s="2">
        <v>0.73371565000000005</v>
      </c>
      <c r="BG31" s="2">
        <v>0.89298343999999996</v>
      </c>
      <c r="BH31" s="2">
        <v>0.47744947999999998</v>
      </c>
      <c r="BI31" s="2">
        <v>0.61937003999999996</v>
      </c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</row>
    <row r="32" spans="1:77" x14ac:dyDescent="0.25">
      <c r="A32" s="13" t="str" cm="1">
        <f t="array" ref="A32">_xll.FDS(B32,"FG_COMPANY_NAME")</f>
        <v>Anglo American plc</v>
      </c>
      <c r="B32" s="4" t="str">
        <v>AAL-GB</v>
      </c>
      <c r="C32" s="2">
        <v>0.43017771999999999</v>
      </c>
      <c r="D32" s="2">
        <v>1</v>
      </c>
      <c r="E32" s="2">
        <v>0.74472020000000005</v>
      </c>
      <c r="F32" s="2">
        <v>0.63454089999999996</v>
      </c>
      <c r="G32" s="2">
        <v>0.29381114000000003</v>
      </c>
      <c r="H32" s="2">
        <v>0.54853430000000003</v>
      </c>
      <c r="I32" s="2">
        <v>0.49213066999999999</v>
      </c>
      <c r="J32" s="2">
        <v>0.63155954999999997</v>
      </c>
      <c r="K32" s="2">
        <v>0.52999160000000001</v>
      </c>
      <c r="L32" s="2">
        <v>0.53109320000000004</v>
      </c>
      <c r="M32" s="2">
        <v>0.48273053999999999</v>
      </c>
      <c r="N32" s="2">
        <v>0.53702223000000004</v>
      </c>
      <c r="O32" s="2">
        <v>0.34783396</v>
      </c>
      <c r="P32" s="2">
        <v>0.55299056000000002</v>
      </c>
      <c r="Q32" s="2">
        <v>-0.26599050000000002</v>
      </c>
      <c r="R32" s="2">
        <v>0.33920607000000003</v>
      </c>
      <c r="S32" s="2">
        <v>0.68655120000000003</v>
      </c>
      <c r="T32" s="2">
        <v>-0.13606845000000001</v>
      </c>
      <c r="U32" s="2">
        <v>0.23573126999999999</v>
      </c>
      <c r="V32" s="2">
        <v>-0.13774544</v>
      </c>
      <c r="W32" s="2">
        <v>0.50895374999999998</v>
      </c>
      <c r="X32" s="2">
        <v>-8.8448429999999995E-2</v>
      </c>
      <c r="Y32" s="2">
        <v>0.58211005000000005</v>
      </c>
      <c r="Z32" s="2">
        <v>-0.16400461</v>
      </c>
      <c r="AA32" s="2">
        <v>0.45975858000000003</v>
      </c>
      <c r="AB32" s="2">
        <v>0.51846033000000002</v>
      </c>
      <c r="AC32" s="2">
        <v>0.32212160000000001</v>
      </c>
      <c r="AD32" s="2">
        <v>0.56881479999999995</v>
      </c>
      <c r="AE32" s="2">
        <v>0.60222900000000001</v>
      </c>
      <c r="AF32" s="2">
        <v>0.36770487000000002</v>
      </c>
      <c r="AG32" s="2">
        <v>0.58295660000000005</v>
      </c>
      <c r="AH32" s="2">
        <v>-0.49338423999999997</v>
      </c>
      <c r="AI32" s="2">
        <v>-0.20173553</v>
      </c>
      <c r="AJ32" s="2">
        <v>-0.12501176</v>
      </c>
      <c r="AK32" s="2">
        <v>-0.20652765000000001</v>
      </c>
      <c r="AL32" s="2">
        <v>0.67156179999999999</v>
      </c>
      <c r="AM32" s="2">
        <v>0.56501239999999997</v>
      </c>
      <c r="AN32" s="2">
        <v>-0.13105496999999999</v>
      </c>
      <c r="AO32" s="2">
        <v>0.47373363000000002</v>
      </c>
      <c r="AP32" s="2">
        <v>0.71456056999999995</v>
      </c>
      <c r="AQ32" s="2">
        <v>0.6113809</v>
      </c>
      <c r="AR32" s="2">
        <v>6.0988362999999997E-2</v>
      </c>
      <c r="AS32" s="2">
        <v>0.58684563999999995</v>
      </c>
      <c r="AT32" s="2">
        <v>2.0560918000000001E-2</v>
      </c>
      <c r="AU32" s="2">
        <v>-4.7591836000000004E-3</v>
      </c>
      <c r="AV32" s="2">
        <v>-0.28652074999999999</v>
      </c>
      <c r="AW32" s="2">
        <v>0.60599446000000001</v>
      </c>
      <c r="AX32" s="2">
        <v>0.46627610000000003</v>
      </c>
      <c r="AY32" s="2">
        <v>0.3373604</v>
      </c>
      <c r="AZ32" s="2">
        <v>-0.11696875</v>
      </c>
      <c r="BA32" s="2">
        <v>0.87337940000000003</v>
      </c>
      <c r="BB32" s="2">
        <v>0.62304384000000002</v>
      </c>
      <c r="BC32" s="2">
        <v>0.40130611999999999</v>
      </c>
      <c r="BD32" s="2">
        <v>0.75878120000000004</v>
      </c>
      <c r="BE32" s="2">
        <v>0.56473309999999999</v>
      </c>
      <c r="BF32" s="2">
        <v>0.73511230000000005</v>
      </c>
      <c r="BG32" s="2">
        <v>0.62087250000000005</v>
      </c>
      <c r="BH32" s="2">
        <v>0.72922456000000002</v>
      </c>
      <c r="BI32" s="2">
        <v>0.62539</v>
      </c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</row>
    <row r="33" spans="1:77" x14ac:dyDescent="0.25">
      <c r="A33" s="13" t="str" cm="1">
        <f t="array" ref="A33">_xll.FDS(B33,"FG_COMPANY_NAME")</f>
        <v>Anhui Conch Cement Company Limited Class H</v>
      </c>
      <c r="B33" s="4" t="str">
        <v>914-HK</v>
      </c>
      <c r="C33" s="2">
        <v>0.77609205000000003</v>
      </c>
      <c r="D33" s="2">
        <v>0.74472020000000005</v>
      </c>
      <c r="E33" s="2">
        <v>1</v>
      </c>
      <c r="F33" s="2">
        <v>0.82881170000000004</v>
      </c>
      <c r="G33" s="2">
        <v>0.74423015000000003</v>
      </c>
      <c r="H33" s="2">
        <v>0.8060311</v>
      </c>
      <c r="I33" s="2">
        <v>0.78839300000000001</v>
      </c>
      <c r="J33" s="2">
        <v>0.76124495000000003</v>
      </c>
      <c r="K33" s="2">
        <v>0.52187110000000003</v>
      </c>
      <c r="L33" s="2">
        <v>0.44485760000000002</v>
      </c>
      <c r="M33" s="2">
        <v>0.60681739999999995</v>
      </c>
      <c r="N33" s="2">
        <v>0.53363309999999997</v>
      </c>
      <c r="O33" s="2">
        <v>0.72749185999999999</v>
      </c>
      <c r="P33" s="2">
        <v>0.63082813999999998</v>
      </c>
      <c r="Q33" s="2">
        <v>-0.68475350000000001</v>
      </c>
      <c r="R33" s="2">
        <v>0.15726556999999999</v>
      </c>
      <c r="S33" s="2">
        <v>0.88554189999999999</v>
      </c>
      <c r="T33" s="2">
        <v>-0.44720520000000002</v>
      </c>
      <c r="U33" s="2">
        <v>0.42522532000000002</v>
      </c>
      <c r="V33" s="2">
        <v>-0.51164125999999999</v>
      </c>
      <c r="W33" s="2">
        <v>0.76683299999999999</v>
      </c>
      <c r="X33" s="2">
        <v>-0.28168723000000001</v>
      </c>
      <c r="Y33" s="2">
        <v>0.80698029999999998</v>
      </c>
      <c r="Z33" s="2">
        <v>-0.34861964000000001</v>
      </c>
      <c r="AA33" s="2">
        <v>0.47882834000000002</v>
      </c>
      <c r="AB33" s="2">
        <v>0.72770190000000001</v>
      </c>
      <c r="AC33" s="2">
        <v>0.40646749999999998</v>
      </c>
      <c r="AD33" s="2">
        <v>0.35675654000000001</v>
      </c>
      <c r="AE33" s="2">
        <v>0.73704360000000002</v>
      </c>
      <c r="AF33" s="2">
        <v>0.57935219999999998</v>
      </c>
      <c r="AG33" s="2">
        <v>0.71507989999999999</v>
      </c>
      <c r="AH33" s="2">
        <v>-0.52933437000000005</v>
      </c>
      <c r="AI33" s="2">
        <v>-0.46346999999999999</v>
      </c>
      <c r="AJ33" s="2">
        <v>-0.34267377999999998</v>
      </c>
      <c r="AK33" s="2">
        <v>-0.30231485000000002</v>
      </c>
      <c r="AL33" s="2">
        <v>0.60764600000000002</v>
      </c>
      <c r="AM33" s="2">
        <v>0.83986530000000004</v>
      </c>
      <c r="AN33" s="2">
        <v>-0.50038680000000002</v>
      </c>
      <c r="AO33" s="2">
        <v>0.69489025999999998</v>
      </c>
      <c r="AP33" s="2">
        <v>0.75827990000000001</v>
      </c>
      <c r="AQ33" s="2">
        <v>0.77139217000000004</v>
      </c>
      <c r="AR33" s="2">
        <v>-3.4701287999999997E-2</v>
      </c>
      <c r="AS33" s="2">
        <v>0.73365473999999997</v>
      </c>
      <c r="AT33" s="2">
        <v>-0.13267863999999999</v>
      </c>
      <c r="AU33" s="2">
        <v>-0.15041003</v>
      </c>
      <c r="AV33" s="2">
        <v>-0.50973254000000001</v>
      </c>
      <c r="AW33" s="2">
        <v>0.86349045999999996</v>
      </c>
      <c r="AX33" s="2">
        <v>0.57088285999999999</v>
      </c>
      <c r="AY33" s="2">
        <v>0.22135694</v>
      </c>
      <c r="AZ33" s="2">
        <v>8.2428689999999999E-2</v>
      </c>
      <c r="BA33" s="2">
        <v>0.87604742999999996</v>
      </c>
      <c r="BB33" s="2">
        <v>0.87250819999999996</v>
      </c>
      <c r="BC33" s="2">
        <v>0.67870986</v>
      </c>
      <c r="BD33" s="2">
        <v>0.95380960000000004</v>
      </c>
      <c r="BE33" s="2">
        <v>0.81609019999999999</v>
      </c>
      <c r="BF33" s="2">
        <v>0.86640859999999997</v>
      </c>
      <c r="BG33" s="2">
        <v>0.89534820000000004</v>
      </c>
      <c r="BH33" s="2">
        <v>0.76085334999999998</v>
      </c>
      <c r="BI33" s="2">
        <v>0.66179860000000001</v>
      </c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</row>
    <row r="34" spans="1:77" x14ac:dyDescent="0.25">
      <c r="A34" s="13" t="str" cm="1">
        <f t="array" ref="A34">_xll.FDS(B34,"FG_COMPANY_NAME")</f>
        <v>Aptiv PLC</v>
      </c>
      <c r="B34" s="4" t="str">
        <v>APTV-US</v>
      </c>
      <c r="C34" s="2">
        <v>0.80492954999999999</v>
      </c>
      <c r="D34" s="2">
        <v>0.63454089999999996</v>
      </c>
      <c r="E34" s="2">
        <v>0.82881170000000004</v>
      </c>
      <c r="F34" s="2">
        <v>1</v>
      </c>
      <c r="G34" s="2">
        <v>0.55473209999999995</v>
      </c>
      <c r="H34" s="2">
        <v>0.8475509</v>
      </c>
      <c r="I34" s="2">
        <v>0.79338489999999995</v>
      </c>
      <c r="J34" s="2">
        <v>0.76550830000000003</v>
      </c>
      <c r="K34" s="2">
        <v>0.44430273999999997</v>
      </c>
      <c r="L34" s="2">
        <v>0.27215293000000002</v>
      </c>
      <c r="M34" s="2">
        <v>0.76713662999999999</v>
      </c>
      <c r="N34" s="2">
        <v>0.63800937000000002</v>
      </c>
      <c r="O34" s="2">
        <v>0.70973830000000004</v>
      </c>
      <c r="P34" s="2">
        <v>0.70033646000000005</v>
      </c>
      <c r="Q34" s="2">
        <v>-0.48546228000000002</v>
      </c>
      <c r="R34" s="2">
        <v>0.19362265000000001</v>
      </c>
      <c r="S34" s="2">
        <v>0.79114329999999999</v>
      </c>
      <c r="T34" s="2">
        <v>-0.29487332999999999</v>
      </c>
      <c r="U34" s="2">
        <v>0.55571729999999997</v>
      </c>
      <c r="V34" s="2">
        <v>-0.50037867000000003</v>
      </c>
      <c r="W34" s="2">
        <v>0.82757849999999999</v>
      </c>
      <c r="X34" s="2">
        <v>-0.42558204999999999</v>
      </c>
      <c r="Y34" s="2">
        <v>0.92712019999999995</v>
      </c>
      <c r="Z34" s="2">
        <v>-0.30853069999999999</v>
      </c>
      <c r="AA34" s="2">
        <v>0.52026324999999995</v>
      </c>
      <c r="AB34" s="2">
        <v>0.91253209999999996</v>
      </c>
      <c r="AC34" s="2">
        <v>0.50423320000000005</v>
      </c>
      <c r="AD34" s="2">
        <v>0.49254277000000002</v>
      </c>
      <c r="AE34" s="2">
        <v>0.8450607</v>
      </c>
      <c r="AF34" s="2">
        <v>0.57324019999999998</v>
      </c>
      <c r="AG34" s="2">
        <v>0.68602350000000001</v>
      </c>
      <c r="AH34" s="2">
        <v>-0.42726395</v>
      </c>
      <c r="AI34" s="2">
        <v>-0.57181769999999998</v>
      </c>
      <c r="AJ34" s="2">
        <v>-0.24689696999999999</v>
      </c>
      <c r="AK34" s="2">
        <v>-0.45600459999999998</v>
      </c>
      <c r="AL34" s="2">
        <v>0.65985289999999996</v>
      </c>
      <c r="AM34" s="2">
        <v>0.92204399999999997</v>
      </c>
      <c r="AN34" s="2">
        <v>-0.35416155999999999</v>
      </c>
      <c r="AO34" s="2">
        <v>0.86934286000000005</v>
      </c>
      <c r="AP34" s="2">
        <v>0.78993833000000002</v>
      </c>
      <c r="AQ34" s="2">
        <v>0.83573896000000003</v>
      </c>
      <c r="AR34" s="2">
        <v>-2.6843131999999999E-2</v>
      </c>
      <c r="AS34" s="2">
        <v>0.71926343000000004</v>
      </c>
      <c r="AT34" s="2">
        <v>-0.25334388000000002</v>
      </c>
      <c r="AU34" s="2">
        <v>-0.19119304000000001</v>
      </c>
      <c r="AV34" s="2">
        <v>-0.61894804000000003</v>
      </c>
      <c r="AW34" s="2">
        <v>0.86803406000000005</v>
      </c>
      <c r="AX34" s="2">
        <v>0.77335509999999996</v>
      </c>
      <c r="AY34" s="2">
        <v>0.46931215999999998</v>
      </c>
      <c r="AZ34" s="2">
        <v>0.13725436999999999</v>
      </c>
      <c r="BA34" s="2">
        <v>0.79699796000000001</v>
      </c>
      <c r="BB34" s="2">
        <v>0.66885846999999998</v>
      </c>
      <c r="BC34" s="2">
        <v>0.65668225000000002</v>
      </c>
      <c r="BD34" s="2">
        <v>0.80881289999999995</v>
      </c>
      <c r="BE34" s="2">
        <v>0.86978500000000003</v>
      </c>
      <c r="BF34" s="2">
        <v>0.90416985999999999</v>
      </c>
      <c r="BG34" s="2">
        <v>0.82555780000000001</v>
      </c>
      <c r="BH34" s="2">
        <v>0.61114550000000001</v>
      </c>
      <c r="BI34" s="2">
        <v>0.77307459999999995</v>
      </c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</row>
    <row r="35" spans="1:77" x14ac:dyDescent="0.25">
      <c r="A35" s="13" t="str" cm="1">
        <f t="array" ref="A35">_xll.FDS(B35,"FG_COMPANY_NAME")</f>
        <v>Autohome Inc. Sponsored ADR Class A</v>
      </c>
      <c r="B35" s="4" t="str">
        <v>ATHM-US</v>
      </c>
      <c r="C35" s="2">
        <v>0.79193985</v>
      </c>
      <c r="D35" s="2">
        <v>0.29381114000000003</v>
      </c>
      <c r="E35" s="2">
        <v>0.74423015000000003</v>
      </c>
      <c r="F35" s="2">
        <v>0.55473209999999995</v>
      </c>
      <c r="G35" s="2">
        <v>1</v>
      </c>
      <c r="H35" s="2">
        <v>0.73647099999999999</v>
      </c>
      <c r="I35" s="2">
        <v>0.79769789999999996</v>
      </c>
      <c r="J35" s="2">
        <v>0.48768866</v>
      </c>
      <c r="K35" s="2">
        <v>0.19829366000000001</v>
      </c>
      <c r="L35" s="2">
        <v>9.3115390000000006E-2</v>
      </c>
      <c r="M35" s="2">
        <v>0.41632627999999999</v>
      </c>
      <c r="N35" s="2">
        <v>0.26517570000000001</v>
      </c>
      <c r="O35" s="2">
        <v>0.78223759999999998</v>
      </c>
      <c r="P35" s="2">
        <v>0.25793423999999998</v>
      </c>
      <c r="Q35" s="2">
        <v>-0.66020566000000003</v>
      </c>
      <c r="R35" s="2">
        <v>-0.11421185</v>
      </c>
      <c r="S35" s="2">
        <v>0.67904264000000003</v>
      </c>
      <c r="T35" s="2">
        <v>-0.53318960000000004</v>
      </c>
      <c r="U35" s="2">
        <v>0.43262719999999999</v>
      </c>
      <c r="V35" s="2">
        <v>-0.45088856999999999</v>
      </c>
      <c r="W35" s="2">
        <v>0.64021236000000004</v>
      </c>
      <c r="X35" s="2">
        <v>-0.24727321999999999</v>
      </c>
      <c r="Y35" s="2">
        <v>0.58769539999999998</v>
      </c>
      <c r="Z35" s="2">
        <v>-0.36220983000000001</v>
      </c>
      <c r="AA35" s="2">
        <v>0.22123831999999999</v>
      </c>
      <c r="AB35" s="2">
        <v>0.53754670000000004</v>
      </c>
      <c r="AC35" s="2">
        <v>0.26931169999999999</v>
      </c>
      <c r="AD35" s="2">
        <v>-0.19684651</v>
      </c>
      <c r="AE35" s="2">
        <v>0.48267743000000002</v>
      </c>
      <c r="AF35" s="2">
        <v>0.54796564999999997</v>
      </c>
      <c r="AG35" s="2">
        <v>0.51379483999999997</v>
      </c>
      <c r="AH35" s="2">
        <v>-0.36379444999999999</v>
      </c>
      <c r="AI35" s="2">
        <v>-0.39347166</v>
      </c>
      <c r="AJ35" s="2">
        <v>-0.63473873999999997</v>
      </c>
      <c r="AK35" s="2">
        <v>-0.14733903000000001</v>
      </c>
      <c r="AL35" s="2">
        <v>0.1179318</v>
      </c>
      <c r="AM35" s="2">
        <v>0.63875382999999997</v>
      </c>
      <c r="AN35" s="2">
        <v>-0.47151272999999999</v>
      </c>
      <c r="AO35" s="2">
        <v>0.53510769999999996</v>
      </c>
      <c r="AP35" s="2">
        <v>0.40757694999999999</v>
      </c>
      <c r="AQ35" s="2">
        <v>0.63376575999999996</v>
      </c>
      <c r="AR35" s="2">
        <v>-7.3552190000000003E-2</v>
      </c>
      <c r="AS35" s="2">
        <v>0.46410656</v>
      </c>
      <c r="AT35" s="2">
        <v>-0.14415323999999999</v>
      </c>
      <c r="AU35" s="2">
        <v>-0.18541506999999999</v>
      </c>
      <c r="AV35" s="2">
        <v>-0.35834231999999999</v>
      </c>
      <c r="AW35" s="2">
        <v>0.68995326999999995</v>
      </c>
      <c r="AX35" s="2">
        <v>0.38419979999999998</v>
      </c>
      <c r="AY35" s="2">
        <v>-0.18205702000000001</v>
      </c>
      <c r="AZ35" s="2">
        <v>0.36368792999999999</v>
      </c>
      <c r="BA35" s="2">
        <v>0.47626944999999998</v>
      </c>
      <c r="BB35" s="2">
        <v>0.70191570000000003</v>
      </c>
      <c r="BC35" s="2">
        <v>0.75054604000000003</v>
      </c>
      <c r="BD35" s="2">
        <v>0.69247115000000004</v>
      </c>
      <c r="BE35" s="2">
        <v>0.71858036999999997</v>
      </c>
      <c r="BF35" s="2">
        <v>0.54692750000000001</v>
      </c>
      <c r="BG35" s="2">
        <v>0.76728976000000004</v>
      </c>
      <c r="BH35" s="2">
        <v>0.35804409999999998</v>
      </c>
      <c r="BI35" s="2">
        <v>0.32636150000000003</v>
      </c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</row>
    <row r="36" spans="1:77" x14ac:dyDescent="0.25">
      <c r="A36" s="13" t="str" cm="1">
        <f t="array" ref="A36">_xll.FDS(B36,"FG_COMPANY_NAME")</f>
        <v>Baidu, Inc. Class A</v>
      </c>
      <c r="B36" s="4" t="str">
        <v>9888-HK</v>
      </c>
      <c r="C36" s="2">
        <v>0.78763000000000005</v>
      </c>
      <c r="D36" s="2">
        <v>0.54853430000000003</v>
      </c>
      <c r="E36" s="2">
        <v>0.8060311</v>
      </c>
      <c r="F36" s="2">
        <v>0.8475509</v>
      </c>
      <c r="G36" s="2">
        <v>0.73647099999999999</v>
      </c>
      <c r="H36" s="2">
        <v>1</v>
      </c>
      <c r="I36" s="2">
        <v>0.67182003999999995</v>
      </c>
      <c r="J36" s="2">
        <v>0.73960155000000005</v>
      </c>
      <c r="K36" s="2">
        <v>0.47435549999999999</v>
      </c>
      <c r="L36" s="2">
        <v>0.27844944999999999</v>
      </c>
      <c r="M36" s="2">
        <v>0.74534400000000001</v>
      </c>
      <c r="N36" s="2">
        <v>0.66543293000000003</v>
      </c>
      <c r="O36" s="2">
        <v>0.63175219999999999</v>
      </c>
      <c r="P36" s="2">
        <v>0.66294120000000001</v>
      </c>
      <c r="Q36" s="2">
        <v>-0.49985669999999999</v>
      </c>
      <c r="R36" s="2">
        <v>0.16542335999999999</v>
      </c>
      <c r="S36" s="2">
        <v>0.75902619999999998</v>
      </c>
      <c r="T36" s="2">
        <v>-0.15762259000000001</v>
      </c>
      <c r="U36" s="2">
        <v>0.4898092</v>
      </c>
      <c r="V36" s="2">
        <v>-0.48223319999999997</v>
      </c>
      <c r="W36" s="2">
        <v>0.7768351</v>
      </c>
      <c r="X36" s="2">
        <v>-0.39735516999999998</v>
      </c>
      <c r="Y36" s="2">
        <v>0.88098180000000004</v>
      </c>
      <c r="Z36" s="2">
        <v>-0.29817929999999998</v>
      </c>
      <c r="AA36" s="2">
        <v>0.56519127000000002</v>
      </c>
      <c r="AB36" s="2">
        <v>0.82085750000000002</v>
      </c>
      <c r="AC36" s="2">
        <v>0.48543273999999997</v>
      </c>
      <c r="AD36" s="2">
        <v>0.42313325000000002</v>
      </c>
      <c r="AE36" s="2">
        <v>0.76554999999999995</v>
      </c>
      <c r="AF36" s="2">
        <v>0.47875034999999999</v>
      </c>
      <c r="AG36" s="2">
        <v>0.56548743999999995</v>
      </c>
      <c r="AH36" s="2">
        <v>-0.18228927</v>
      </c>
      <c r="AI36" s="2">
        <v>-0.55837749999999997</v>
      </c>
      <c r="AJ36" s="2">
        <v>8.6982840000000006E-2</v>
      </c>
      <c r="AK36" s="2">
        <v>-0.43559098000000002</v>
      </c>
      <c r="AL36" s="2">
        <v>0.60272574000000001</v>
      </c>
      <c r="AM36" s="2">
        <v>0.82444644</v>
      </c>
      <c r="AN36" s="2">
        <v>-0.2620285</v>
      </c>
      <c r="AO36" s="2">
        <v>0.84306776999999999</v>
      </c>
      <c r="AP36" s="2">
        <v>0.77272149999999995</v>
      </c>
      <c r="AQ36" s="2">
        <v>0.78494679999999994</v>
      </c>
      <c r="AR36" s="2">
        <v>-7.9069640000000007E-3</v>
      </c>
      <c r="AS36" s="2">
        <v>0.65712599999999999</v>
      </c>
      <c r="AT36" s="2">
        <v>-0.23566069000000001</v>
      </c>
      <c r="AU36" s="2">
        <v>-0.20946822000000001</v>
      </c>
      <c r="AV36" s="2">
        <v>-0.55800740000000004</v>
      </c>
      <c r="AW36" s="2">
        <v>0.77850573999999995</v>
      </c>
      <c r="AX36" s="2">
        <v>0.76734095999999996</v>
      </c>
      <c r="AY36" s="2">
        <v>0.56419956999999998</v>
      </c>
      <c r="AZ36" s="2">
        <v>9.3999155000000001E-2</v>
      </c>
      <c r="BA36" s="2">
        <v>0.71439680000000005</v>
      </c>
      <c r="BB36" s="2">
        <v>0.56459992999999997</v>
      </c>
      <c r="BC36" s="2">
        <v>0.50267225999999998</v>
      </c>
      <c r="BD36" s="2">
        <v>0.76359030000000006</v>
      </c>
      <c r="BE36" s="2">
        <v>0.83127373000000004</v>
      </c>
      <c r="BF36" s="2">
        <v>0.83703612999999999</v>
      </c>
      <c r="BG36" s="2">
        <v>0.802315</v>
      </c>
      <c r="BH36" s="2">
        <v>0.52318304999999998</v>
      </c>
      <c r="BI36" s="2">
        <v>0.6386252</v>
      </c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</row>
    <row r="37" spans="1:77" x14ac:dyDescent="0.25">
      <c r="A37" s="13" t="str" cm="1">
        <f t="array" ref="A37">_xll.FDS(B37,"FG_COMPANY_NAME")</f>
        <v>BASF SE</v>
      </c>
      <c r="B37" s="4" t="str">
        <v>BAS-DE</v>
      </c>
      <c r="C37" s="2">
        <v>0.88990086000000002</v>
      </c>
      <c r="D37" s="2">
        <v>0.49213066999999999</v>
      </c>
      <c r="E37" s="2">
        <v>0.78839300000000001</v>
      </c>
      <c r="F37" s="2">
        <v>0.79338489999999995</v>
      </c>
      <c r="G37" s="2">
        <v>0.79769789999999996</v>
      </c>
      <c r="H37" s="2">
        <v>0.67182003999999995</v>
      </c>
      <c r="I37" s="2">
        <v>1</v>
      </c>
      <c r="J37" s="2">
        <v>0.52681040000000001</v>
      </c>
      <c r="K37" s="2">
        <v>0.16062754000000001</v>
      </c>
      <c r="L37" s="2">
        <v>0.30924415999999999</v>
      </c>
      <c r="M37" s="2">
        <v>0.50926079999999996</v>
      </c>
      <c r="N37" s="2">
        <v>0.44921470000000002</v>
      </c>
      <c r="O37" s="2">
        <v>0.9136647</v>
      </c>
      <c r="P37" s="2">
        <v>0.38986032999999998</v>
      </c>
      <c r="Q37" s="2">
        <v>-0.47637805</v>
      </c>
      <c r="R37" s="2">
        <v>0.18785088</v>
      </c>
      <c r="S37" s="2">
        <v>0.78097159999999999</v>
      </c>
      <c r="T37" s="2">
        <v>-0.57249969999999994</v>
      </c>
      <c r="U37" s="2">
        <v>0.70005609999999996</v>
      </c>
      <c r="V37" s="2">
        <v>-0.38767269999999998</v>
      </c>
      <c r="W37" s="2">
        <v>0.78807240000000001</v>
      </c>
      <c r="X37" s="2">
        <v>-0.17297414</v>
      </c>
      <c r="Y37" s="2">
        <v>0.76261674999999995</v>
      </c>
      <c r="Z37" s="2">
        <v>-0.18459656999999999</v>
      </c>
      <c r="AA37" s="2">
        <v>0.30998418</v>
      </c>
      <c r="AB37" s="2">
        <v>0.72448652999999996</v>
      </c>
      <c r="AC37" s="2">
        <v>0.35893476000000002</v>
      </c>
      <c r="AD37" s="2">
        <v>0.14919218000000001</v>
      </c>
      <c r="AE37" s="2">
        <v>0.69498179999999998</v>
      </c>
      <c r="AF37" s="2">
        <v>0.71943559999999995</v>
      </c>
      <c r="AG37" s="2">
        <v>0.76660810000000001</v>
      </c>
      <c r="AH37" s="2">
        <v>-0.44345279999999998</v>
      </c>
      <c r="AI37" s="2">
        <v>-0.36439145000000001</v>
      </c>
      <c r="AJ37" s="2">
        <v>-0.51402574999999995</v>
      </c>
      <c r="AK37" s="2">
        <v>-0.11784460400000001</v>
      </c>
      <c r="AL37" s="2">
        <v>0.27819714000000001</v>
      </c>
      <c r="AM37" s="2">
        <v>0.83422803999999995</v>
      </c>
      <c r="AN37" s="2">
        <v>-0.44983943999999998</v>
      </c>
      <c r="AO37" s="2">
        <v>0.6495457</v>
      </c>
      <c r="AP37" s="2">
        <v>0.66310530000000001</v>
      </c>
      <c r="AQ37" s="2">
        <v>0.81497710000000001</v>
      </c>
      <c r="AR37" s="2">
        <v>9.5127619999999996E-2</v>
      </c>
      <c r="AS37" s="2">
        <v>0.60351049999999995</v>
      </c>
      <c r="AT37" s="2">
        <v>-4.4960655000000002E-2</v>
      </c>
      <c r="AU37" s="2">
        <v>-3.6272976999999998E-2</v>
      </c>
      <c r="AV37" s="2">
        <v>-0.40635458000000002</v>
      </c>
      <c r="AW37" s="2">
        <v>0.89687320000000004</v>
      </c>
      <c r="AX37" s="2">
        <v>0.51659880000000002</v>
      </c>
      <c r="AY37" s="2">
        <v>0.18800230000000001</v>
      </c>
      <c r="AZ37" s="2">
        <v>0.44678030000000002</v>
      </c>
      <c r="BA37" s="2">
        <v>0.65570709999999999</v>
      </c>
      <c r="BB37" s="2">
        <v>0.81476519999999997</v>
      </c>
      <c r="BC37" s="2">
        <v>0.81306129999999999</v>
      </c>
      <c r="BD37" s="2">
        <v>0.77255589999999996</v>
      </c>
      <c r="BE37" s="2">
        <v>0.90666449999999998</v>
      </c>
      <c r="BF37" s="2">
        <v>0.68780300000000005</v>
      </c>
      <c r="BG37" s="2">
        <v>0.83577584999999999</v>
      </c>
      <c r="BH37" s="2">
        <v>0.55648744000000006</v>
      </c>
      <c r="BI37" s="2">
        <v>0.60250289999999995</v>
      </c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</row>
    <row r="38" spans="1:77" x14ac:dyDescent="0.25">
      <c r="A38" s="13" t="str" cm="1">
        <f t="array" ref="A38">_xll.FDS(B38,"FG_COMPANY_NAME")</f>
        <v>Bayer AG</v>
      </c>
      <c r="B38" s="4" t="str">
        <v>BAYN-DE</v>
      </c>
      <c r="C38" s="2">
        <v>0.59731610000000002</v>
      </c>
      <c r="D38" s="2">
        <v>0.63155954999999997</v>
      </c>
      <c r="E38" s="2">
        <v>0.76124495000000003</v>
      </c>
      <c r="F38" s="2">
        <v>0.76550830000000003</v>
      </c>
      <c r="G38" s="2">
        <v>0.48768866</v>
      </c>
      <c r="H38" s="2">
        <v>0.73960155000000005</v>
      </c>
      <c r="I38" s="2">
        <v>0.52681040000000001</v>
      </c>
      <c r="J38" s="2">
        <v>1</v>
      </c>
      <c r="K38" s="2">
        <v>0.76446164000000005</v>
      </c>
      <c r="L38" s="2">
        <v>0.10714599499999999</v>
      </c>
      <c r="M38" s="2">
        <v>0.85887800000000003</v>
      </c>
      <c r="N38" s="2">
        <v>0.78623253000000004</v>
      </c>
      <c r="O38" s="2">
        <v>0.41899955</v>
      </c>
      <c r="P38" s="2">
        <v>0.79658819999999997</v>
      </c>
      <c r="Q38" s="2">
        <v>-0.50984114000000003</v>
      </c>
      <c r="R38" s="2">
        <v>7.9836209999999998E-3</v>
      </c>
      <c r="S38" s="2">
        <v>0.64931744000000002</v>
      </c>
      <c r="T38" s="2">
        <v>-4.2341131000000001E-4</v>
      </c>
      <c r="U38" s="2">
        <v>0.13245367999999999</v>
      </c>
      <c r="V38" s="2">
        <v>-0.64371310000000004</v>
      </c>
      <c r="W38" s="2">
        <v>0.62840609999999997</v>
      </c>
      <c r="X38" s="2">
        <v>-0.61578697000000004</v>
      </c>
      <c r="Y38" s="2">
        <v>0.84295940000000003</v>
      </c>
      <c r="Z38" s="2">
        <v>-0.50370210000000004</v>
      </c>
      <c r="AA38" s="2">
        <v>0.68251360000000005</v>
      </c>
      <c r="AB38" s="2">
        <v>0.74356310000000003</v>
      </c>
      <c r="AC38" s="2">
        <v>0.51730293000000005</v>
      </c>
      <c r="AD38" s="2">
        <v>0.35586062000000002</v>
      </c>
      <c r="AE38" s="2">
        <v>0.72333102999999999</v>
      </c>
      <c r="AF38" s="2">
        <v>0.22212377</v>
      </c>
      <c r="AG38" s="2">
        <v>0.31395212</v>
      </c>
      <c r="AH38" s="2">
        <v>-0.29055592000000002</v>
      </c>
      <c r="AI38" s="2">
        <v>-0.68637793999999996</v>
      </c>
      <c r="AJ38" s="2">
        <v>-0.23092127000000001</v>
      </c>
      <c r="AK38" s="2">
        <v>-0.67463070000000003</v>
      </c>
      <c r="AL38" s="2">
        <v>0.80359689999999995</v>
      </c>
      <c r="AM38" s="2">
        <v>0.71971949999999996</v>
      </c>
      <c r="AN38" s="2">
        <v>-0.16211613999999999</v>
      </c>
      <c r="AO38" s="2">
        <v>0.83370215000000003</v>
      </c>
      <c r="AP38" s="2">
        <v>0.58213614999999996</v>
      </c>
      <c r="AQ38" s="2">
        <v>0.60133060000000005</v>
      </c>
      <c r="AR38" s="2">
        <v>-4.262732E-3</v>
      </c>
      <c r="AS38" s="2">
        <v>0.75737679999999996</v>
      </c>
      <c r="AT38" s="2">
        <v>-0.465283</v>
      </c>
      <c r="AU38" s="2">
        <v>-0.39100750000000001</v>
      </c>
      <c r="AV38" s="2">
        <v>-0.67717369999999999</v>
      </c>
      <c r="AW38" s="2">
        <v>0.59248023999999999</v>
      </c>
      <c r="AX38" s="2">
        <v>0.81160754000000002</v>
      </c>
      <c r="AY38" s="2">
        <v>0.324602</v>
      </c>
      <c r="AZ38" s="2">
        <v>-0.24686599000000001</v>
      </c>
      <c r="BA38" s="2">
        <v>0.77659255000000005</v>
      </c>
      <c r="BB38" s="2">
        <v>0.47023204000000002</v>
      </c>
      <c r="BC38" s="2">
        <v>0.39361026999999998</v>
      </c>
      <c r="BD38" s="2">
        <v>0.74762505000000001</v>
      </c>
      <c r="BE38" s="2">
        <v>0.66064065999999999</v>
      </c>
      <c r="BF38" s="2">
        <v>0.89938370000000001</v>
      </c>
      <c r="BG38" s="2">
        <v>0.6987835</v>
      </c>
      <c r="BH38" s="2">
        <v>0.39217022000000001</v>
      </c>
      <c r="BI38" s="2">
        <v>0.63342169999999998</v>
      </c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</row>
    <row r="39" spans="1:77" x14ac:dyDescent="0.25">
      <c r="A39" s="13" t="str" cm="1">
        <f t="array" ref="A39">_xll.FDS(B39,"FG_COMPANY_NAME")</f>
        <v>Bristol-Myers Squibb Company</v>
      </c>
      <c r="B39" s="4" t="str">
        <v>BMY-US</v>
      </c>
      <c r="C39" s="2">
        <v>0.20736398</v>
      </c>
      <c r="D39" s="2">
        <v>0.52999160000000001</v>
      </c>
      <c r="E39" s="2">
        <v>0.52187110000000003</v>
      </c>
      <c r="F39" s="2">
        <v>0.44430273999999997</v>
      </c>
      <c r="G39" s="2">
        <v>0.19829366000000001</v>
      </c>
      <c r="H39" s="2">
        <v>0.47435549999999999</v>
      </c>
      <c r="I39" s="2">
        <v>0.16062754000000001</v>
      </c>
      <c r="J39" s="2">
        <v>0.76446164000000005</v>
      </c>
      <c r="K39" s="2">
        <v>1</v>
      </c>
      <c r="L39" s="2">
        <v>-2.3182432999999999E-2</v>
      </c>
      <c r="M39" s="2">
        <v>0.64768029999999999</v>
      </c>
      <c r="N39" s="2">
        <v>0.51530109999999996</v>
      </c>
      <c r="O39" s="2">
        <v>2.1786638000000001E-2</v>
      </c>
      <c r="P39" s="2">
        <v>0.68108754999999999</v>
      </c>
      <c r="Q39" s="2">
        <v>-0.5692062</v>
      </c>
      <c r="R39" s="2">
        <v>-0.2038451</v>
      </c>
      <c r="S39" s="2">
        <v>0.34573498000000003</v>
      </c>
      <c r="T39" s="2">
        <v>0.14016518</v>
      </c>
      <c r="U39" s="2">
        <v>-0.17246796</v>
      </c>
      <c r="V39" s="2">
        <v>-0.57058439999999999</v>
      </c>
      <c r="W39" s="2">
        <v>0.26757902</v>
      </c>
      <c r="X39" s="2">
        <v>-0.61799145</v>
      </c>
      <c r="Y39" s="2">
        <v>0.56039196000000002</v>
      </c>
      <c r="Z39" s="2">
        <v>-0.51955026000000004</v>
      </c>
      <c r="AA39" s="2">
        <v>0.65139950000000002</v>
      </c>
      <c r="AB39" s="2">
        <v>0.42787617</v>
      </c>
      <c r="AC39" s="2">
        <v>0.3697973</v>
      </c>
      <c r="AD39" s="2">
        <v>0.33681773999999998</v>
      </c>
      <c r="AE39" s="2">
        <v>0.53968709999999998</v>
      </c>
      <c r="AF39" s="2">
        <v>-0.16582873000000001</v>
      </c>
      <c r="AG39" s="2">
        <v>0.10837081</v>
      </c>
      <c r="AH39" s="2">
        <v>-8.0250279999999993E-2</v>
      </c>
      <c r="AI39" s="2">
        <v>-0.56972080000000003</v>
      </c>
      <c r="AJ39" s="2">
        <v>-3.9499885999999998E-2</v>
      </c>
      <c r="AK39" s="2">
        <v>-0.67785220000000002</v>
      </c>
      <c r="AL39" s="2">
        <v>0.8163222</v>
      </c>
      <c r="AM39" s="2">
        <v>0.42936906000000002</v>
      </c>
      <c r="AN39" s="2">
        <v>-0.21892478000000001</v>
      </c>
      <c r="AO39" s="2">
        <v>0.4934924</v>
      </c>
      <c r="AP39" s="2">
        <v>0.37927042999999999</v>
      </c>
      <c r="AQ39" s="2">
        <v>0.18764961999999999</v>
      </c>
      <c r="AR39" s="2">
        <v>-0.11016498500000001</v>
      </c>
      <c r="AS39" s="2">
        <v>0.44169580000000003</v>
      </c>
      <c r="AT39" s="2">
        <v>-0.52211039999999997</v>
      </c>
      <c r="AU39" s="2">
        <v>-0.46677479999999999</v>
      </c>
      <c r="AV39" s="2">
        <v>-0.57870730000000004</v>
      </c>
      <c r="AW39" s="2">
        <v>0.29755082999999999</v>
      </c>
      <c r="AX39" s="2">
        <v>0.57832943999999997</v>
      </c>
      <c r="AY39" s="2">
        <v>0.13142862999999999</v>
      </c>
      <c r="AZ39" s="2">
        <v>-0.57697390000000004</v>
      </c>
      <c r="BA39" s="2">
        <v>0.59897553999999997</v>
      </c>
      <c r="BB39" s="2">
        <v>0.25326467000000003</v>
      </c>
      <c r="BC39" s="2">
        <v>0.16644450999999999</v>
      </c>
      <c r="BD39" s="2">
        <v>0.4927377</v>
      </c>
      <c r="BE39" s="2">
        <v>0.31304353000000001</v>
      </c>
      <c r="BF39" s="2">
        <v>0.68227579999999999</v>
      </c>
      <c r="BG39" s="2">
        <v>0.46844103999999998</v>
      </c>
      <c r="BH39" s="2">
        <v>0.37899664</v>
      </c>
      <c r="BI39" s="2">
        <v>0.49117452</v>
      </c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</row>
    <row r="40" spans="1:77" x14ac:dyDescent="0.25">
      <c r="A40" s="13" t="str" cm="1">
        <f t="array" ref="A40">_xll.FDS(B40,"FG_COMPANY_NAME")</f>
        <v>BT Group plc</v>
      </c>
      <c r="B40" s="4" t="str">
        <v>BT.A-GB</v>
      </c>
      <c r="C40" s="2">
        <v>0.18147015999999999</v>
      </c>
      <c r="D40" s="2">
        <v>0.53109320000000004</v>
      </c>
      <c r="E40" s="2">
        <v>0.44485760000000002</v>
      </c>
      <c r="F40" s="2">
        <v>0.27215293000000002</v>
      </c>
      <c r="G40" s="2">
        <v>9.3115390000000006E-2</v>
      </c>
      <c r="H40" s="2">
        <v>0.27844944999999999</v>
      </c>
      <c r="I40" s="2">
        <v>0.30924415999999999</v>
      </c>
      <c r="J40" s="2">
        <v>0.10714599499999999</v>
      </c>
      <c r="K40" s="2">
        <v>-2.3182432999999999E-2</v>
      </c>
      <c r="L40" s="2">
        <v>1</v>
      </c>
      <c r="M40" s="2">
        <v>5.6229952999999999E-2</v>
      </c>
      <c r="N40" s="2">
        <v>6.0745697000000001E-2</v>
      </c>
      <c r="O40" s="2">
        <v>0.39426201999999999</v>
      </c>
      <c r="P40" s="2">
        <v>-2.1939317E-2</v>
      </c>
      <c r="Q40" s="2">
        <v>4.7804876000000001E-3</v>
      </c>
      <c r="R40" s="2">
        <v>0.45706259999999999</v>
      </c>
      <c r="S40" s="2">
        <v>0.58891152999999996</v>
      </c>
      <c r="T40" s="2">
        <v>-0.55031319999999995</v>
      </c>
      <c r="U40" s="2">
        <v>0.22529335</v>
      </c>
      <c r="V40" s="2">
        <v>0.22885660999999999</v>
      </c>
      <c r="W40" s="2">
        <v>0.18526403999999999</v>
      </c>
      <c r="X40" s="2">
        <v>0.5558708</v>
      </c>
      <c r="Y40" s="2">
        <v>0.12809812000000001</v>
      </c>
      <c r="Z40" s="2">
        <v>0.4677539</v>
      </c>
      <c r="AA40" s="2">
        <v>-0.15248558000000001</v>
      </c>
      <c r="AB40" s="2">
        <v>6.6873244999999998E-2</v>
      </c>
      <c r="AC40" s="2">
        <v>-0.23671009000000001</v>
      </c>
      <c r="AD40" s="2">
        <v>0.14157227999999999</v>
      </c>
      <c r="AE40" s="2">
        <v>6.4540920000000002E-2</v>
      </c>
      <c r="AF40" s="2">
        <v>0.49108905000000003</v>
      </c>
      <c r="AG40" s="2">
        <v>0.5213428</v>
      </c>
      <c r="AH40" s="2">
        <v>-0.42037743</v>
      </c>
      <c r="AI40" s="2">
        <v>0.42920846000000001</v>
      </c>
      <c r="AJ40" s="2">
        <v>4.1436794999999998E-2</v>
      </c>
      <c r="AK40" s="2">
        <v>0.49208345999999997</v>
      </c>
      <c r="AL40" s="2">
        <v>0.10776427</v>
      </c>
      <c r="AM40" s="2">
        <v>0.16960604000000001</v>
      </c>
      <c r="AN40" s="2">
        <v>-0.17826337</v>
      </c>
      <c r="AO40" s="2">
        <v>3.9322666999999999E-2</v>
      </c>
      <c r="AP40" s="2">
        <v>0.45235908000000002</v>
      </c>
      <c r="AQ40" s="2">
        <v>0.33295754</v>
      </c>
      <c r="AR40" s="2">
        <v>0.20983270000000001</v>
      </c>
      <c r="AS40" s="2">
        <v>0.34377026999999999</v>
      </c>
      <c r="AT40" s="2">
        <v>0.61412339999999999</v>
      </c>
      <c r="AU40" s="2">
        <v>0.61081236999999999</v>
      </c>
      <c r="AV40" s="2">
        <v>0.34676129999999999</v>
      </c>
      <c r="AW40" s="2">
        <v>0.36151800000000001</v>
      </c>
      <c r="AX40" s="2">
        <v>-2.5120904999999999E-2</v>
      </c>
      <c r="AY40" s="2">
        <v>0.10643344</v>
      </c>
      <c r="AZ40" s="2">
        <v>0.27583407999999998</v>
      </c>
      <c r="BA40" s="2">
        <v>0.46951725999999999</v>
      </c>
      <c r="BB40" s="2">
        <v>0.55034125</v>
      </c>
      <c r="BC40" s="2">
        <v>0.12981219999999999</v>
      </c>
      <c r="BD40" s="2">
        <v>0.51482254000000005</v>
      </c>
      <c r="BE40" s="2">
        <v>0.27538273000000002</v>
      </c>
      <c r="BF40" s="2">
        <v>0.27007832999999998</v>
      </c>
      <c r="BG40" s="2">
        <v>0.2000826</v>
      </c>
      <c r="BH40" s="2">
        <v>0.56115939999999997</v>
      </c>
      <c r="BI40" s="2">
        <v>0.13136030000000001</v>
      </c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</row>
    <row r="41" spans="1:77" x14ac:dyDescent="0.25">
      <c r="A41" s="13" t="str" cm="1">
        <f t="array" ref="A41">_xll.FDS(B41,"FG_COMPANY_NAME")</f>
        <v>Burberry Group plc</v>
      </c>
      <c r="B41" s="4" t="str">
        <v>BRBY-GB</v>
      </c>
      <c r="C41" s="2">
        <v>0.57532066000000004</v>
      </c>
      <c r="D41" s="2">
        <v>0.48273053999999999</v>
      </c>
      <c r="E41" s="2">
        <v>0.60681739999999995</v>
      </c>
      <c r="F41" s="2">
        <v>0.76713662999999999</v>
      </c>
      <c r="G41" s="2">
        <v>0.41632627999999999</v>
      </c>
      <c r="H41" s="2">
        <v>0.74534400000000001</v>
      </c>
      <c r="I41" s="2">
        <v>0.50926079999999996</v>
      </c>
      <c r="J41" s="2">
        <v>0.85887800000000003</v>
      </c>
      <c r="K41" s="2">
        <v>0.64768029999999999</v>
      </c>
      <c r="L41" s="2">
        <v>5.6229952999999999E-2</v>
      </c>
      <c r="M41" s="2">
        <v>1</v>
      </c>
      <c r="N41" s="2">
        <v>0.70529810000000004</v>
      </c>
      <c r="O41" s="2">
        <v>0.45508018</v>
      </c>
      <c r="P41" s="2">
        <v>0.64223229999999998</v>
      </c>
      <c r="Q41" s="2">
        <v>-0.38537017000000001</v>
      </c>
      <c r="R41" s="2">
        <v>-0.15621120999999999</v>
      </c>
      <c r="S41" s="2">
        <v>0.59262513999999999</v>
      </c>
      <c r="T41" s="2">
        <v>-1.2500918999999999E-2</v>
      </c>
      <c r="U41" s="2">
        <v>0.21769833999999999</v>
      </c>
      <c r="V41" s="2">
        <v>-0.52413153999999995</v>
      </c>
      <c r="W41" s="2">
        <v>0.56874245000000001</v>
      </c>
      <c r="X41" s="2">
        <v>-0.61038214000000002</v>
      </c>
      <c r="Y41" s="2">
        <v>0.84900993000000002</v>
      </c>
      <c r="Z41" s="2">
        <v>-0.3320845</v>
      </c>
      <c r="AA41" s="2">
        <v>0.59240009999999999</v>
      </c>
      <c r="AB41" s="2">
        <v>0.75460349999999998</v>
      </c>
      <c r="AC41" s="2">
        <v>0.41956005000000002</v>
      </c>
      <c r="AD41" s="2">
        <v>0.28294923999999999</v>
      </c>
      <c r="AE41" s="2">
        <v>0.67038136999999998</v>
      </c>
      <c r="AF41" s="2">
        <v>0.17302242000000001</v>
      </c>
      <c r="AG41" s="2">
        <v>0.24884547000000001</v>
      </c>
      <c r="AH41" s="2">
        <v>-0.14356431</v>
      </c>
      <c r="AI41" s="2">
        <v>-0.57712185000000005</v>
      </c>
      <c r="AJ41" s="2">
        <v>-0.20563551999999999</v>
      </c>
      <c r="AK41" s="2">
        <v>-0.62151909999999999</v>
      </c>
      <c r="AL41" s="2">
        <v>0.63285690000000006</v>
      </c>
      <c r="AM41" s="2">
        <v>0.67017380000000004</v>
      </c>
      <c r="AN41" s="2">
        <v>-6.6215195000000004E-2</v>
      </c>
      <c r="AO41" s="2">
        <v>0.85553305999999996</v>
      </c>
      <c r="AP41" s="2">
        <v>0.56070419999999999</v>
      </c>
      <c r="AQ41" s="2">
        <v>0.53204399999999996</v>
      </c>
      <c r="AR41" s="2">
        <v>-4.0347849999999998E-2</v>
      </c>
      <c r="AS41" s="2">
        <v>0.59775100000000003</v>
      </c>
      <c r="AT41" s="2">
        <v>-0.47899459999999999</v>
      </c>
      <c r="AU41" s="2">
        <v>-0.26050600000000002</v>
      </c>
      <c r="AV41" s="2">
        <v>-0.54459685000000002</v>
      </c>
      <c r="AW41" s="2">
        <v>0.50824179999999997</v>
      </c>
      <c r="AX41" s="2">
        <v>0.90112924999999999</v>
      </c>
      <c r="AY41" s="2">
        <v>0.36925999999999998</v>
      </c>
      <c r="AZ41" s="2">
        <v>-6.7703009999999994E-2</v>
      </c>
      <c r="BA41" s="2">
        <v>0.61610323</v>
      </c>
      <c r="BB41" s="2">
        <v>0.28456765000000001</v>
      </c>
      <c r="BC41" s="2">
        <v>0.34441787000000001</v>
      </c>
      <c r="BD41" s="2">
        <v>0.57124830000000004</v>
      </c>
      <c r="BE41" s="2">
        <v>0.67101710000000003</v>
      </c>
      <c r="BF41" s="2">
        <v>0.80917340000000004</v>
      </c>
      <c r="BG41" s="2">
        <v>0.57070589999999999</v>
      </c>
      <c r="BH41" s="2">
        <v>0.24681992999999999</v>
      </c>
      <c r="BI41" s="2">
        <v>0.58794550000000001</v>
      </c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</row>
    <row r="42" spans="1:77" x14ac:dyDescent="0.25">
      <c r="A42" s="13" t="str" cm="1">
        <f t="array" ref="A42">_xll.FDS(B42,"FG_COMPANY_NAME")</f>
        <v>Carrefour SA</v>
      </c>
      <c r="B42" s="4" t="str">
        <v>CA-FR</v>
      </c>
      <c r="C42" s="2">
        <v>0.57282679999999997</v>
      </c>
      <c r="D42" s="2">
        <v>0.53702223000000004</v>
      </c>
      <c r="E42" s="2">
        <v>0.53363309999999997</v>
      </c>
      <c r="F42" s="2">
        <v>0.63800937000000002</v>
      </c>
      <c r="G42" s="2">
        <v>0.26517570000000001</v>
      </c>
      <c r="H42" s="2">
        <v>0.66543293000000003</v>
      </c>
      <c r="I42" s="2">
        <v>0.44921470000000002</v>
      </c>
      <c r="J42" s="2">
        <v>0.78623253000000004</v>
      </c>
      <c r="K42" s="2">
        <v>0.51530109999999996</v>
      </c>
      <c r="L42" s="2">
        <v>6.0745697000000001E-2</v>
      </c>
      <c r="M42" s="2">
        <v>0.70529810000000004</v>
      </c>
      <c r="N42" s="2">
        <v>1</v>
      </c>
      <c r="O42" s="2">
        <v>0.31673259999999998</v>
      </c>
      <c r="P42" s="2">
        <v>0.75121503999999995</v>
      </c>
      <c r="Q42" s="2">
        <v>-0.1818526</v>
      </c>
      <c r="R42" s="2">
        <v>0.21885234000000001</v>
      </c>
      <c r="S42" s="2">
        <v>0.45704456999999998</v>
      </c>
      <c r="T42" s="2">
        <v>0.21155560000000001</v>
      </c>
      <c r="U42" s="2">
        <v>0.27703847999999998</v>
      </c>
      <c r="V42" s="2">
        <v>-0.46115792</v>
      </c>
      <c r="W42" s="2">
        <v>0.62372863000000001</v>
      </c>
      <c r="X42" s="2">
        <v>-0.54939590000000005</v>
      </c>
      <c r="Y42" s="2">
        <v>0.71268432999999998</v>
      </c>
      <c r="Z42" s="2">
        <v>-0.38324629999999998</v>
      </c>
      <c r="AA42" s="2">
        <v>0.73540530000000004</v>
      </c>
      <c r="AB42" s="2">
        <v>0.70450809999999997</v>
      </c>
      <c r="AC42" s="2">
        <v>0.67654740000000002</v>
      </c>
      <c r="AD42" s="2">
        <v>0.41962012999999998</v>
      </c>
      <c r="AE42" s="2">
        <v>0.72418236999999996</v>
      </c>
      <c r="AF42" s="2">
        <v>0.30819982000000001</v>
      </c>
      <c r="AG42" s="2">
        <v>0.30774167000000002</v>
      </c>
      <c r="AH42" s="2">
        <v>1.8686580000000001E-2</v>
      </c>
      <c r="AI42" s="2">
        <v>-0.64696544</v>
      </c>
      <c r="AJ42" s="2">
        <v>-0.14008239</v>
      </c>
      <c r="AK42" s="2">
        <v>-0.60972570000000004</v>
      </c>
      <c r="AL42" s="2">
        <v>0.61346524999999996</v>
      </c>
      <c r="AM42" s="2">
        <v>0.62721660000000001</v>
      </c>
      <c r="AN42" s="2">
        <v>2.7950230999999999E-2</v>
      </c>
      <c r="AO42" s="2">
        <v>0.73466109999999996</v>
      </c>
      <c r="AP42" s="2">
        <v>0.55911829999999996</v>
      </c>
      <c r="AQ42" s="2">
        <v>0.59057939999999998</v>
      </c>
      <c r="AR42" s="2">
        <v>0.2580133</v>
      </c>
      <c r="AS42" s="2">
        <v>0.55222905</v>
      </c>
      <c r="AT42" s="2">
        <v>-0.43396318</v>
      </c>
      <c r="AU42" s="2">
        <v>-0.38892280000000001</v>
      </c>
      <c r="AV42" s="2">
        <v>-0.64496609999999999</v>
      </c>
      <c r="AW42" s="2">
        <v>0.54554320000000001</v>
      </c>
      <c r="AX42" s="2">
        <v>0.80201149999999999</v>
      </c>
      <c r="AY42" s="2">
        <v>0.57999973999999999</v>
      </c>
      <c r="AZ42" s="2">
        <v>-8.5293859999999999E-2</v>
      </c>
      <c r="BA42" s="2">
        <v>0.62226749999999997</v>
      </c>
      <c r="BB42" s="2">
        <v>0.33347033999999998</v>
      </c>
      <c r="BC42" s="2">
        <v>0.30512357000000001</v>
      </c>
      <c r="BD42" s="2">
        <v>0.53237809999999997</v>
      </c>
      <c r="BE42" s="2">
        <v>0.59127516000000002</v>
      </c>
      <c r="BF42" s="2">
        <v>0.71312034000000002</v>
      </c>
      <c r="BG42" s="2">
        <v>0.57521575999999996</v>
      </c>
      <c r="BH42" s="2">
        <v>0.29735145000000002</v>
      </c>
      <c r="BI42" s="2">
        <v>0.71097429999999995</v>
      </c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</row>
    <row r="43" spans="1:77" x14ac:dyDescent="0.25">
      <c r="A43" s="13" t="str" cm="1">
        <f t="array" ref="A43">_xll.FDS(B43,"FG_COMPANY_NAME")</f>
        <v>Continental AG</v>
      </c>
      <c r="B43" s="4" t="str">
        <v>CON-DE</v>
      </c>
      <c r="C43" s="2">
        <v>0.83669864999999999</v>
      </c>
      <c r="D43" s="2">
        <v>0.34783396</v>
      </c>
      <c r="E43" s="2">
        <v>0.72749185999999999</v>
      </c>
      <c r="F43" s="2">
        <v>0.70973830000000004</v>
      </c>
      <c r="G43" s="2">
        <v>0.78223759999999998</v>
      </c>
      <c r="H43" s="2">
        <v>0.63175219999999999</v>
      </c>
      <c r="I43" s="2">
        <v>0.9136647</v>
      </c>
      <c r="J43" s="2">
        <v>0.41899955</v>
      </c>
      <c r="K43" s="2">
        <v>2.1786638000000001E-2</v>
      </c>
      <c r="L43" s="2">
        <v>0.39426201999999999</v>
      </c>
      <c r="M43" s="2">
        <v>0.45508018</v>
      </c>
      <c r="N43" s="2">
        <v>0.31673259999999998</v>
      </c>
      <c r="O43" s="2">
        <v>1</v>
      </c>
      <c r="P43" s="2">
        <v>0.22474833</v>
      </c>
      <c r="Q43" s="2">
        <v>-0.4435981</v>
      </c>
      <c r="R43" s="2">
        <v>0.1851585</v>
      </c>
      <c r="S43" s="2">
        <v>0.80442060000000004</v>
      </c>
      <c r="T43" s="2">
        <v>-0.67444990000000005</v>
      </c>
      <c r="U43" s="2">
        <v>0.66433010000000003</v>
      </c>
      <c r="V43" s="2">
        <v>-0.30883347999999999</v>
      </c>
      <c r="W43" s="2">
        <v>0.73333789999999999</v>
      </c>
      <c r="X43" s="2">
        <v>-1.7451923000000001E-2</v>
      </c>
      <c r="Y43" s="2">
        <v>0.67450710000000003</v>
      </c>
      <c r="Z43" s="2">
        <v>-2.6797779000000001E-2</v>
      </c>
      <c r="AA43" s="2">
        <v>0.12063544</v>
      </c>
      <c r="AB43" s="2">
        <v>0.60656019999999999</v>
      </c>
      <c r="AC43" s="2">
        <v>0.16917206000000001</v>
      </c>
      <c r="AD43" s="2">
        <v>-1.1176639E-2</v>
      </c>
      <c r="AE43" s="2">
        <v>0.52652449999999995</v>
      </c>
      <c r="AF43" s="2">
        <v>0.76259560000000004</v>
      </c>
      <c r="AG43" s="2">
        <v>0.70098260000000001</v>
      </c>
      <c r="AH43" s="2">
        <v>-0.40884006000000001</v>
      </c>
      <c r="AI43" s="2">
        <v>-0.21507536999999999</v>
      </c>
      <c r="AJ43" s="2">
        <v>-0.44010872000000001</v>
      </c>
      <c r="AK43" s="2">
        <v>6.5620999999999999E-2</v>
      </c>
      <c r="AL43" s="2">
        <v>0.10881639999999999</v>
      </c>
      <c r="AM43" s="2">
        <v>0.74674755000000004</v>
      </c>
      <c r="AN43" s="2">
        <v>-0.44570496999999998</v>
      </c>
      <c r="AO43" s="2">
        <v>0.57618946000000004</v>
      </c>
      <c r="AP43" s="2">
        <v>0.5656736</v>
      </c>
      <c r="AQ43" s="2">
        <v>0.73859023999999995</v>
      </c>
      <c r="AR43" s="2">
        <v>7.1051984999999998E-2</v>
      </c>
      <c r="AS43" s="2">
        <v>0.59848045999999999</v>
      </c>
      <c r="AT43" s="2">
        <v>0.10443663</v>
      </c>
      <c r="AU43" s="2">
        <v>0.13463041000000001</v>
      </c>
      <c r="AV43" s="2">
        <v>-0.21913247999999999</v>
      </c>
      <c r="AW43" s="2">
        <v>0.81394224999999998</v>
      </c>
      <c r="AX43" s="2">
        <v>0.40688202000000001</v>
      </c>
      <c r="AY43" s="2">
        <v>0.11304308</v>
      </c>
      <c r="AZ43" s="2">
        <v>0.60178399999999999</v>
      </c>
      <c r="BA43" s="2">
        <v>0.54511577</v>
      </c>
      <c r="BB43" s="2">
        <v>0.77343655</v>
      </c>
      <c r="BC43" s="2">
        <v>0.73421395</v>
      </c>
      <c r="BD43" s="2">
        <v>0.70606469999999999</v>
      </c>
      <c r="BE43" s="2">
        <v>0.82040584000000005</v>
      </c>
      <c r="BF43" s="2">
        <v>0.59097370000000005</v>
      </c>
      <c r="BG43" s="2">
        <v>0.72179760000000004</v>
      </c>
      <c r="BH43" s="2">
        <v>0.45147567999999999</v>
      </c>
      <c r="BI43" s="2">
        <v>0.40337709999999999</v>
      </c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</row>
    <row r="44" spans="1:77" x14ac:dyDescent="0.25">
      <c r="A44" s="13" t="str" cm="1">
        <f t="array" ref="A44">_xll.FDS(B44,"FG_COMPANY_NAME")</f>
        <v>Dentsu Group Inc.</v>
      </c>
      <c r="B44" s="4" t="str">
        <v>4324-JP</v>
      </c>
      <c r="C44" s="2">
        <v>0.48854488000000001</v>
      </c>
      <c r="D44" s="2">
        <v>0.55299056000000002</v>
      </c>
      <c r="E44" s="2">
        <v>0.63082813999999998</v>
      </c>
      <c r="F44" s="2">
        <v>0.70033646000000005</v>
      </c>
      <c r="G44" s="2">
        <v>0.25793423999999998</v>
      </c>
      <c r="H44" s="2">
        <v>0.66294120000000001</v>
      </c>
      <c r="I44" s="2">
        <v>0.38986032999999998</v>
      </c>
      <c r="J44" s="2">
        <v>0.79658819999999997</v>
      </c>
      <c r="K44" s="2">
        <v>0.68108754999999999</v>
      </c>
      <c r="L44" s="2">
        <v>-2.1939317E-2</v>
      </c>
      <c r="M44" s="2">
        <v>0.64223229999999998</v>
      </c>
      <c r="N44" s="2">
        <v>0.75121503999999995</v>
      </c>
      <c r="O44" s="2">
        <v>0.22474833</v>
      </c>
      <c r="P44" s="2">
        <v>1</v>
      </c>
      <c r="Q44" s="2">
        <v>-0.48810634000000003</v>
      </c>
      <c r="R44" s="2">
        <v>0.107561834</v>
      </c>
      <c r="S44" s="2">
        <v>0.46850209999999998</v>
      </c>
      <c r="T44" s="2">
        <v>0.14800717999999999</v>
      </c>
      <c r="U44" s="2">
        <v>0.22077666000000001</v>
      </c>
      <c r="V44" s="2">
        <v>-0.59374199999999999</v>
      </c>
      <c r="W44" s="2">
        <v>0.58017390000000002</v>
      </c>
      <c r="X44" s="2">
        <v>-0.6132668</v>
      </c>
      <c r="Y44" s="2">
        <v>0.74853842999999998</v>
      </c>
      <c r="Z44" s="2">
        <v>-0.57678925999999997</v>
      </c>
      <c r="AA44" s="2">
        <v>0.75374322999999999</v>
      </c>
      <c r="AB44" s="2">
        <v>0.703399</v>
      </c>
      <c r="AC44" s="2">
        <v>0.70249689999999998</v>
      </c>
      <c r="AD44" s="2">
        <v>0.57418203000000001</v>
      </c>
      <c r="AE44" s="2">
        <v>0.79093170000000002</v>
      </c>
      <c r="AF44" s="2">
        <v>0.27218550000000002</v>
      </c>
      <c r="AG44" s="2">
        <v>0.39705750000000001</v>
      </c>
      <c r="AH44" s="2">
        <v>-0.14011756</v>
      </c>
      <c r="AI44" s="2">
        <v>-0.77359750000000005</v>
      </c>
      <c r="AJ44" s="2">
        <v>4.5279174999999998E-2</v>
      </c>
      <c r="AK44" s="2">
        <v>-0.74395299999999998</v>
      </c>
      <c r="AL44" s="2">
        <v>0.80949146000000005</v>
      </c>
      <c r="AM44" s="2">
        <v>0.74200063999999999</v>
      </c>
      <c r="AN44" s="2">
        <v>-0.25426294999999999</v>
      </c>
      <c r="AO44" s="2">
        <v>0.72444269999999999</v>
      </c>
      <c r="AP44" s="2">
        <v>0.57715799999999995</v>
      </c>
      <c r="AQ44" s="2">
        <v>0.56439525000000001</v>
      </c>
      <c r="AR44" s="2">
        <v>2.5835891999999999E-2</v>
      </c>
      <c r="AS44" s="2">
        <v>0.53067059999999999</v>
      </c>
      <c r="AT44" s="2">
        <v>-0.47367373000000002</v>
      </c>
      <c r="AU44" s="2">
        <v>-0.5917519</v>
      </c>
      <c r="AV44" s="2">
        <v>-0.80919653000000002</v>
      </c>
      <c r="AW44" s="2">
        <v>0.6113191</v>
      </c>
      <c r="AX44" s="2">
        <v>0.70253889999999997</v>
      </c>
      <c r="AY44" s="2">
        <v>0.56231176999999999</v>
      </c>
      <c r="AZ44" s="2">
        <v>-0.30643167999999998</v>
      </c>
      <c r="BA44" s="2">
        <v>0.66613069999999996</v>
      </c>
      <c r="BB44" s="2">
        <v>0.40540025000000002</v>
      </c>
      <c r="BC44" s="2">
        <v>0.38572758000000001</v>
      </c>
      <c r="BD44" s="2">
        <v>0.59277049999999998</v>
      </c>
      <c r="BE44" s="2">
        <v>0.53155684000000003</v>
      </c>
      <c r="BF44" s="2">
        <v>0.78983234999999996</v>
      </c>
      <c r="BG44" s="2">
        <v>0.65898319999999999</v>
      </c>
      <c r="BH44" s="2">
        <v>0.48184739999999998</v>
      </c>
      <c r="BI44" s="2">
        <v>0.78877589999999997</v>
      </c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</row>
    <row r="45" spans="1:77" x14ac:dyDescent="0.25">
      <c r="A45" s="13" t="str" cm="1">
        <f t="array" ref="A45">_xll.FDS(B45,"FG_COMPANY_NAME")</f>
        <v>Eni S.p.A.</v>
      </c>
      <c r="B45" s="4" t="str">
        <v>ENI-IT</v>
      </c>
      <c r="C45" s="2">
        <v>-0.50583990000000001</v>
      </c>
      <c r="D45" s="2">
        <v>-0.26599050000000002</v>
      </c>
      <c r="E45" s="2">
        <v>-0.68475350000000001</v>
      </c>
      <c r="F45" s="2">
        <v>-0.48546228000000002</v>
      </c>
      <c r="G45" s="2">
        <v>-0.66020566000000003</v>
      </c>
      <c r="H45" s="2">
        <v>-0.49985669999999999</v>
      </c>
      <c r="I45" s="2">
        <v>-0.47637805</v>
      </c>
      <c r="J45" s="2">
        <v>-0.50984114000000003</v>
      </c>
      <c r="K45" s="2">
        <v>-0.5692062</v>
      </c>
      <c r="L45" s="2">
        <v>4.7804876000000001E-3</v>
      </c>
      <c r="M45" s="2">
        <v>-0.38537017000000001</v>
      </c>
      <c r="N45" s="2">
        <v>-0.1818526</v>
      </c>
      <c r="O45" s="2">
        <v>-0.4435981</v>
      </c>
      <c r="P45" s="2">
        <v>-0.48810634000000003</v>
      </c>
      <c r="Q45" s="2">
        <v>1</v>
      </c>
      <c r="R45" s="2">
        <v>0.23806562000000001</v>
      </c>
      <c r="S45" s="2">
        <v>-0.47223932000000002</v>
      </c>
      <c r="T45" s="2">
        <v>0.43156084</v>
      </c>
      <c r="U45" s="2">
        <v>-0.19257605</v>
      </c>
      <c r="V45" s="2">
        <v>0.68821189999999999</v>
      </c>
      <c r="W45" s="2">
        <v>-0.42975955999999998</v>
      </c>
      <c r="X45" s="2">
        <v>0.46846408</v>
      </c>
      <c r="Y45" s="2">
        <v>-0.56914693000000005</v>
      </c>
      <c r="Z45" s="2">
        <v>0.50516455999999998</v>
      </c>
      <c r="AA45" s="2">
        <v>-0.37149070000000001</v>
      </c>
      <c r="AB45" s="2">
        <v>-0.45400992000000001</v>
      </c>
      <c r="AC45" s="2">
        <v>-0.27645478000000001</v>
      </c>
      <c r="AD45" s="2">
        <v>2.6233664E-2</v>
      </c>
      <c r="AE45" s="2">
        <v>-0.52359789999999995</v>
      </c>
      <c r="AF45" s="2">
        <v>-0.15649466000000001</v>
      </c>
      <c r="AG45" s="2">
        <v>-0.37480732999999999</v>
      </c>
      <c r="AH45" s="2">
        <v>0.28003382999999998</v>
      </c>
      <c r="AI45" s="2">
        <v>0.55073273</v>
      </c>
      <c r="AJ45" s="2">
        <v>0.26831916</v>
      </c>
      <c r="AK45" s="2">
        <v>0.43240887</v>
      </c>
      <c r="AL45" s="2">
        <v>-0.45737863000000001</v>
      </c>
      <c r="AM45" s="2">
        <v>-0.60375893000000003</v>
      </c>
      <c r="AN45" s="2">
        <v>0.75732860000000002</v>
      </c>
      <c r="AO45" s="2">
        <v>-0.41875497</v>
      </c>
      <c r="AP45" s="2">
        <v>-0.36482513</v>
      </c>
      <c r="AQ45" s="2">
        <v>-0.37481710000000001</v>
      </c>
      <c r="AR45" s="2">
        <v>0.23525842</v>
      </c>
      <c r="AS45" s="2">
        <v>-0.38682312000000002</v>
      </c>
      <c r="AT45" s="2">
        <v>0.37921431999999999</v>
      </c>
      <c r="AU45" s="2">
        <v>0.46287292000000002</v>
      </c>
      <c r="AV45" s="2">
        <v>0.59028332999999999</v>
      </c>
      <c r="AW45" s="2">
        <v>-0.57204310000000003</v>
      </c>
      <c r="AX45" s="2">
        <v>-0.35422182000000002</v>
      </c>
      <c r="AY45" s="2">
        <v>0.16042666</v>
      </c>
      <c r="AZ45" s="2">
        <v>0.22415851000000001</v>
      </c>
      <c r="BA45" s="2">
        <v>-0.47883249999999999</v>
      </c>
      <c r="BB45" s="2">
        <v>-0.61225843000000002</v>
      </c>
      <c r="BC45" s="2">
        <v>-0.51755910000000005</v>
      </c>
      <c r="BD45" s="2">
        <v>-0.61492884000000003</v>
      </c>
      <c r="BE45" s="2">
        <v>-0.48433303999999999</v>
      </c>
      <c r="BF45" s="2">
        <v>-0.58539956999999998</v>
      </c>
      <c r="BG45" s="2">
        <v>-0.70447683000000005</v>
      </c>
      <c r="BH45" s="2">
        <v>-0.44943043999999999</v>
      </c>
      <c r="BI45" s="2">
        <v>-0.40725162999999998</v>
      </c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</row>
    <row r="46" spans="1:77" x14ac:dyDescent="0.25">
      <c r="A46" s="13" t="str" cm="1">
        <f t="array" ref="A46">_xll.FDS(B46,"FG_COMPANY_NAME")</f>
        <v>GSK plc</v>
      </c>
      <c r="B46" s="4" t="str">
        <v>GSK-GB</v>
      </c>
      <c r="C46" s="2">
        <v>0.17822500999999999</v>
      </c>
      <c r="D46" s="2">
        <v>0.33920607000000003</v>
      </c>
      <c r="E46" s="2">
        <v>0.15726556999999999</v>
      </c>
      <c r="F46" s="2">
        <v>0.19362265000000001</v>
      </c>
      <c r="G46" s="2">
        <v>-0.11421185</v>
      </c>
      <c r="H46" s="2">
        <v>0.16542335999999999</v>
      </c>
      <c r="I46" s="2">
        <v>0.18785088</v>
      </c>
      <c r="J46" s="2">
        <v>7.9836209999999998E-3</v>
      </c>
      <c r="K46" s="2">
        <v>-0.2038451</v>
      </c>
      <c r="L46" s="2">
        <v>0.45706259999999999</v>
      </c>
      <c r="M46" s="2">
        <v>-0.15621120999999999</v>
      </c>
      <c r="N46" s="2">
        <v>0.21885234000000001</v>
      </c>
      <c r="O46" s="2">
        <v>0.1851585</v>
      </c>
      <c r="P46" s="2">
        <v>0.107561834</v>
      </c>
      <c r="Q46" s="2">
        <v>0.23806562000000001</v>
      </c>
      <c r="R46" s="2">
        <v>1</v>
      </c>
      <c r="S46" s="2">
        <v>0.19771590999999999</v>
      </c>
      <c r="T46" s="2">
        <v>-1.9413666999999999E-2</v>
      </c>
      <c r="U46" s="2">
        <v>0.37573879999999998</v>
      </c>
      <c r="V46" s="2">
        <v>0.12346871</v>
      </c>
      <c r="W46" s="2">
        <v>0.31885859999999999</v>
      </c>
      <c r="X46" s="2">
        <v>0.29619613</v>
      </c>
      <c r="Y46" s="2">
        <v>7.6452640000000002E-2</v>
      </c>
      <c r="Z46" s="2">
        <v>0.10814844999999999</v>
      </c>
      <c r="AA46" s="2">
        <v>6.0662519999999998E-2</v>
      </c>
      <c r="AB46" s="2">
        <v>0.15684580000000001</v>
      </c>
      <c r="AC46" s="2">
        <v>0.19572208999999999</v>
      </c>
      <c r="AD46" s="2">
        <v>0.41055056000000001</v>
      </c>
      <c r="AE46" s="2">
        <v>0.16327083000000001</v>
      </c>
      <c r="AF46" s="2">
        <v>0.35644087000000002</v>
      </c>
      <c r="AG46" s="2">
        <v>0.36715943000000001</v>
      </c>
      <c r="AH46" s="2">
        <v>-0.15240909999999999</v>
      </c>
      <c r="AI46" s="2">
        <v>7.9972210000000002E-2</v>
      </c>
      <c r="AJ46" s="2">
        <v>0.13711493999999999</v>
      </c>
      <c r="AK46" s="2">
        <v>0.22090693</v>
      </c>
      <c r="AL46" s="2">
        <v>0.12761389000000001</v>
      </c>
      <c r="AM46" s="2">
        <v>0.15902773000000001</v>
      </c>
      <c r="AN46" s="2">
        <v>0.12876514999999999</v>
      </c>
      <c r="AO46" s="2">
        <v>5.8585230000000002E-2</v>
      </c>
      <c r="AP46" s="2">
        <v>0.24879282999999999</v>
      </c>
      <c r="AQ46" s="2">
        <v>0.39595340000000001</v>
      </c>
      <c r="AR46" s="2">
        <v>0.30659932000000001</v>
      </c>
      <c r="AS46" s="2">
        <v>0.35962406000000002</v>
      </c>
      <c r="AT46" s="2">
        <v>0.36644800999999999</v>
      </c>
      <c r="AU46" s="2">
        <v>0.19078758000000001</v>
      </c>
      <c r="AV46" s="2">
        <v>2.1672070000000002E-2</v>
      </c>
      <c r="AW46" s="2">
        <v>0.29720750000000001</v>
      </c>
      <c r="AX46" s="2">
        <v>-4.060822E-2</v>
      </c>
      <c r="AY46" s="2">
        <v>0.45103707999999998</v>
      </c>
      <c r="AZ46" s="2">
        <v>0.21435425999999999</v>
      </c>
      <c r="BA46" s="2">
        <v>0.27927711999999999</v>
      </c>
      <c r="BB46" s="2">
        <v>0.36978966000000002</v>
      </c>
      <c r="BC46" s="2">
        <v>0.18282084000000001</v>
      </c>
      <c r="BD46" s="2">
        <v>0.27217217999999999</v>
      </c>
      <c r="BE46" s="2">
        <v>0.1470195</v>
      </c>
      <c r="BF46" s="2">
        <v>0.16126083999999999</v>
      </c>
      <c r="BG46" s="2">
        <v>0.17113961</v>
      </c>
      <c r="BH46" s="2">
        <v>0.2606407</v>
      </c>
      <c r="BI46" s="2">
        <v>0.22353986000000001</v>
      </c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</row>
    <row r="47" spans="1:77" x14ac:dyDescent="0.25">
      <c r="A47" s="13" t="str" cm="1">
        <f t="array" ref="A47">_xll.FDS(B47,"FG_COMPANY_NAME")</f>
        <v>H.U.Group Holdings, Inc.</v>
      </c>
      <c r="B47" s="4" t="str">
        <v>4544-JP</v>
      </c>
      <c r="C47" s="2">
        <v>0.74109804999999995</v>
      </c>
      <c r="D47" s="2">
        <v>0.68655120000000003</v>
      </c>
      <c r="E47" s="2">
        <v>0.88554189999999999</v>
      </c>
      <c r="F47" s="2">
        <v>0.79114329999999999</v>
      </c>
      <c r="G47" s="2">
        <v>0.67904264000000003</v>
      </c>
      <c r="H47" s="2">
        <v>0.75902619999999998</v>
      </c>
      <c r="I47" s="2">
        <v>0.78097159999999999</v>
      </c>
      <c r="J47" s="2">
        <v>0.64931744000000002</v>
      </c>
      <c r="K47" s="2">
        <v>0.34573498000000003</v>
      </c>
      <c r="L47" s="2">
        <v>0.58891152999999996</v>
      </c>
      <c r="M47" s="2">
        <v>0.59262513999999999</v>
      </c>
      <c r="N47" s="2">
        <v>0.45704456999999998</v>
      </c>
      <c r="O47" s="2">
        <v>0.80442060000000004</v>
      </c>
      <c r="P47" s="2">
        <v>0.46850209999999998</v>
      </c>
      <c r="Q47" s="2">
        <v>-0.47223932000000002</v>
      </c>
      <c r="R47" s="2">
        <v>0.19771590999999999</v>
      </c>
      <c r="S47" s="2">
        <v>1</v>
      </c>
      <c r="T47" s="2">
        <v>-0.55035460000000003</v>
      </c>
      <c r="U47" s="2">
        <v>0.49788964000000002</v>
      </c>
      <c r="V47" s="2">
        <v>-0.31839173999999998</v>
      </c>
      <c r="W47" s="2">
        <v>0.72812659999999996</v>
      </c>
      <c r="X47" s="2">
        <v>-8.672668E-2</v>
      </c>
      <c r="Y47" s="2">
        <v>0.74530476000000001</v>
      </c>
      <c r="Z47" s="2">
        <v>-0.101294674</v>
      </c>
      <c r="AA47" s="2">
        <v>0.34678419999999999</v>
      </c>
      <c r="AB47" s="2">
        <v>0.67285633</v>
      </c>
      <c r="AC47" s="2">
        <v>0.22688775999999999</v>
      </c>
      <c r="AD47" s="2">
        <v>0.30635594999999999</v>
      </c>
      <c r="AE47" s="2">
        <v>0.60791814</v>
      </c>
      <c r="AF47" s="2">
        <v>0.68486345000000004</v>
      </c>
      <c r="AG47" s="2">
        <v>0.73713309999999999</v>
      </c>
      <c r="AH47" s="2">
        <v>-0.50118269999999998</v>
      </c>
      <c r="AI47" s="2">
        <v>-0.23163015000000001</v>
      </c>
      <c r="AJ47" s="2">
        <v>-0.2734492</v>
      </c>
      <c r="AK47" s="2">
        <v>-5.7264860000000001E-2</v>
      </c>
      <c r="AL47" s="2">
        <v>0.43561319999999998</v>
      </c>
      <c r="AM47" s="2">
        <v>0.73067987000000001</v>
      </c>
      <c r="AN47" s="2">
        <v>-0.33728140000000001</v>
      </c>
      <c r="AO47" s="2">
        <v>0.67909390000000003</v>
      </c>
      <c r="AP47" s="2">
        <v>0.79955940000000003</v>
      </c>
      <c r="AQ47" s="2">
        <v>0.7836069</v>
      </c>
      <c r="AR47" s="2">
        <v>-2.0861488000000001E-2</v>
      </c>
      <c r="AS47" s="2">
        <v>0.73509809999999998</v>
      </c>
      <c r="AT47" s="2">
        <v>7.5179315999999996E-2</v>
      </c>
      <c r="AU47" s="2">
        <v>0.14611904000000001</v>
      </c>
      <c r="AV47" s="2">
        <v>-0.27151999999999998</v>
      </c>
      <c r="AW47" s="2">
        <v>0.80511520000000003</v>
      </c>
      <c r="AX47" s="2">
        <v>0.51516530000000005</v>
      </c>
      <c r="AY47" s="2">
        <v>0.22220345</v>
      </c>
      <c r="AZ47" s="2">
        <v>0.30823344000000003</v>
      </c>
      <c r="BA47" s="2">
        <v>0.8376209</v>
      </c>
      <c r="BB47" s="2">
        <v>0.81440436999999999</v>
      </c>
      <c r="BC47" s="2">
        <v>0.58148169999999999</v>
      </c>
      <c r="BD47" s="2">
        <v>0.89088149999999999</v>
      </c>
      <c r="BE47" s="2">
        <v>0.82174579999999997</v>
      </c>
      <c r="BF47" s="2">
        <v>0.8194901</v>
      </c>
      <c r="BG47" s="2">
        <v>0.77878254999999996</v>
      </c>
      <c r="BH47" s="2">
        <v>0.69918579999999997</v>
      </c>
      <c r="BI47" s="2">
        <v>0.50369319999999995</v>
      </c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</row>
    <row r="48" spans="1:77" x14ac:dyDescent="0.25">
      <c r="A48" s="13" t="str" cm="1">
        <f t="array" ref="A48">_xll.FDS(B48,"FG_COMPANY_NAME")</f>
        <v>Halliburton Company</v>
      </c>
      <c r="B48" s="4" t="str">
        <v>HAL-US</v>
      </c>
      <c r="C48" s="2">
        <v>-0.35265176999999998</v>
      </c>
      <c r="D48" s="2">
        <v>-0.13606845000000001</v>
      </c>
      <c r="E48" s="2">
        <v>-0.44720520000000002</v>
      </c>
      <c r="F48" s="2">
        <v>-0.29487332999999999</v>
      </c>
      <c r="G48" s="2">
        <v>-0.53318960000000004</v>
      </c>
      <c r="H48" s="2">
        <v>-0.15762259000000001</v>
      </c>
      <c r="I48" s="2">
        <v>-0.57249969999999994</v>
      </c>
      <c r="J48" s="2">
        <v>-4.2341131000000001E-4</v>
      </c>
      <c r="K48" s="2">
        <v>0.14016518</v>
      </c>
      <c r="L48" s="2">
        <v>-0.55031319999999995</v>
      </c>
      <c r="M48" s="2">
        <v>-1.2500918999999999E-2</v>
      </c>
      <c r="N48" s="2">
        <v>0.21155560000000001</v>
      </c>
      <c r="O48" s="2">
        <v>-0.67444990000000005</v>
      </c>
      <c r="P48" s="2">
        <v>0.14800717999999999</v>
      </c>
      <c r="Q48" s="2">
        <v>0.43156084</v>
      </c>
      <c r="R48" s="2">
        <v>-1.9413666999999999E-2</v>
      </c>
      <c r="S48" s="2">
        <v>-0.55035460000000003</v>
      </c>
      <c r="T48" s="2">
        <v>1</v>
      </c>
      <c r="U48" s="2">
        <v>-0.34849370000000002</v>
      </c>
      <c r="V48" s="2">
        <v>0.107888795</v>
      </c>
      <c r="W48" s="2">
        <v>-0.2262641</v>
      </c>
      <c r="X48" s="2">
        <v>-0.36625170000000001</v>
      </c>
      <c r="Y48" s="2">
        <v>-0.19977028999999999</v>
      </c>
      <c r="Z48" s="2">
        <v>-0.35947698</v>
      </c>
      <c r="AA48" s="2">
        <v>0.31682047000000002</v>
      </c>
      <c r="AB48" s="2">
        <v>-8.1682934999999998E-2</v>
      </c>
      <c r="AC48" s="2">
        <v>0.38315320000000003</v>
      </c>
      <c r="AD48" s="2">
        <v>0.25565353000000002</v>
      </c>
      <c r="AE48" s="2">
        <v>-4.3767176999999997E-2</v>
      </c>
      <c r="AF48" s="2">
        <v>-0.51176509999999997</v>
      </c>
      <c r="AG48" s="2">
        <v>-0.52816339999999995</v>
      </c>
      <c r="AH48" s="2">
        <v>0.53530383000000004</v>
      </c>
      <c r="AI48" s="2">
        <v>-0.26532</v>
      </c>
      <c r="AJ48" s="2">
        <v>0.26053880000000001</v>
      </c>
      <c r="AK48" s="2">
        <v>-0.48323694</v>
      </c>
      <c r="AL48" s="2">
        <v>0.115869254</v>
      </c>
      <c r="AM48" s="2">
        <v>-0.30738454999999998</v>
      </c>
      <c r="AN48" s="2">
        <v>0.60042112999999997</v>
      </c>
      <c r="AO48" s="2">
        <v>-2.9094782E-2</v>
      </c>
      <c r="AP48" s="2">
        <v>-0.29000916999999998</v>
      </c>
      <c r="AQ48" s="2">
        <v>-0.28566947999999998</v>
      </c>
      <c r="AR48" s="2">
        <v>2.9999442000000001E-2</v>
      </c>
      <c r="AS48" s="2">
        <v>-0.22028410000000001</v>
      </c>
      <c r="AT48" s="2">
        <v>-0.41763677999999999</v>
      </c>
      <c r="AU48" s="2">
        <v>-0.44418594</v>
      </c>
      <c r="AV48" s="2">
        <v>-0.18559398999999999</v>
      </c>
      <c r="AW48" s="2">
        <v>-0.46871960000000001</v>
      </c>
      <c r="AX48" s="2">
        <v>0.10474938</v>
      </c>
      <c r="AY48" s="2">
        <v>0.30955178</v>
      </c>
      <c r="AZ48" s="2">
        <v>-0.42181150000000001</v>
      </c>
      <c r="BA48" s="2">
        <v>-0.25985649999999999</v>
      </c>
      <c r="BB48" s="2">
        <v>-0.63249754999999996</v>
      </c>
      <c r="BC48" s="2">
        <v>-0.39749879999999999</v>
      </c>
      <c r="BD48" s="2">
        <v>-0.46438867</v>
      </c>
      <c r="BE48" s="2">
        <v>-0.40606569999999997</v>
      </c>
      <c r="BF48" s="2">
        <v>-0.19770119</v>
      </c>
      <c r="BG48" s="2">
        <v>-0.33873801999999997</v>
      </c>
      <c r="BH48" s="2">
        <v>-0.38607877000000002</v>
      </c>
      <c r="BI48" s="2">
        <v>-3.2881050000000002E-2</v>
      </c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</row>
    <row r="49" spans="1:77" x14ac:dyDescent="0.25">
      <c r="A49" s="13" t="str" cm="1">
        <f t="array" ref="A49">_xll.FDS(B49,"FG_COMPANY_NAME")</f>
        <v>HANKOOK TIRE &amp; TECHNOLOGY Co., Ltd.</v>
      </c>
      <c r="B49" s="4" t="str">
        <v>161390-KR</v>
      </c>
      <c r="C49" s="2">
        <v>0.71744759999999996</v>
      </c>
      <c r="D49" s="2">
        <v>0.23573126999999999</v>
      </c>
      <c r="E49" s="2">
        <v>0.42522532000000002</v>
      </c>
      <c r="F49" s="2">
        <v>0.55571729999999997</v>
      </c>
      <c r="G49" s="2">
        <v>0.43262719999999999</v>
      </c>
      <c r="H49" s="2">
        <v>0.4898092</v>
      </c>
      <c r="I49" s="2">
        <v>0.70005609999999996</v>
      </c>
      <c r="J49" s="2">
        <v>0.13245367999999999</v>
      </c>
      <c r="K49" s="2">
        <v>-0.17246796</v>
      </c>
      <c r="L49" s="2">
        <v>0.22529335</v>
      </c>
      <c r="M49" s="2">
        <v>0.21769833999999999</v>
      </c>
      <c r="N49" s="2">
        <v>0.27703847999999998</v>
      </c>
      <c r="O49" s="2">
        <v>0.66433010000000003</v>
      </c>
      <c r="P49" s="2">
        <v>0.22077666000000001</v>
      </c>
      <c r="Q49" s="2">
        <v>-0.19257605</v>
      </c>
      <c r="R49" s="2">
        <v>0.37573879999999998</v>
      </c>
      <c r="S49" s="2">
        <v>0.49788964000000002</v>
      </c>
      <c r="T49" s="2">
        <v>-0.34849370000000002</v>
      </c>
      <c r="U49" s="2">
        <v>1</v>
      </c>
      <c r="V49" s="2">
        <v>-0.17813425999999999</v>
      </c>
      <c r="W49" s="2">
        <v>0.67959510000000001</v>
      </c>
      <c r="X49" s="2">
        <v>-2.0788323000000001E-2</v>
      </c>
      <c r="Y49" s="2">
        <v>0.51526724999999995</v>
      </c>
      <c r="Z49" s="2">
        <v>-0.13492968999999999</v>
      </c>
      <c r="AA49" s="2">
        <v>0.27446391999999997</v>
      </c>
      <c r="AB49" s="2">
        <v>0.59304299999999999</v>
      </c>
      <c r="AC49" s="2">
        <v>0.43436226</v>
      </c>
      <c r="AD49" s="2">
        <v>0.22615498000000001</v>
      </c>
      <c r="AE49" s="2">
        <v>0.58248526</v>
      </c>
      <c r="AF49" s="2">
        <v>0.64851373000000001</v>
      </c>
      <c r="AG49" s="2">
        <v>0.70323323999999998</v>
      </c>
      <c r="AH49" s="2">
        <v>-0.15659939</v>
      </c>
      <c r="AI49" s="2">
        <v>-0.26463658000000001</v>
      </c>
      <c r="AJ49" s="2">
        <v>-0.23089788999999999</v>
      </c>
      <c r="AK49" s="2">
        <v>4.3481593000000004E-3</v>
      </c>
      <c r="AL49" s="2">
        <v>2.1097997E-2</v>
      </c>
      <c r="AM49" s="2">
        <v>0.61487687000000002</v>
      </c>
      <c r="AN49" s="2">
        <v>-0.22224215999999999</v>
      </c>
      <c r="AO49" s="2">
        <v>0.46947250000000001</v>
      </c>
      <c r="AP49" s="2">
        <v>0.56311750000000005</v>
      </c>
      <c r="AQ49" s="2">
        <v>0.76018569999999996</v>
      </c>
      <c r="AR49" s="2">
        <v>3.6522113000000002E-2</v>
      </c>
      <c r="AS49" s="2">
        <v>0.34641864999999999</v>
      </c>
      <c r="AT49" s="2">
        <v>0.10660843</v>
      </c>
      <c r="AU49" s="2">
        <v>-1.4284187E-2</v>
      </c>
      <c r="AV49" s="2">
        <v>-0.32208413000000002</v>
      </c>
      <c r="AW49" s="2">
        <v>0.69947389999999998</v>
      </c>
      <c r="AX49" s="2">
        <v>0.30337286000000002</v>
      </c>
      <c r="AY49" s="2">
        <v>0.46816716000000003</v>
      </c>
      <c r="AZ49" s="2">
        <v>0.56774159999999996</v>
      </c>
      <c r="BA49" s="2">
        <v>0.38306105000000001</v>
      </c>
      <c r="BB49" s="2">
        <v>0.56476420000000005</v>
      </c>
      <c r="BC49" s="2">
        <v>0.57450690000000004</v>
      </c>
      <c r="BD49" s="2">
        <v>0.44807172000000001</v>
      </c>
      <c r="BE49" s="2">
        <v>0.70306926999999997</v>
      </c>
      <c r="BF49" s="2">
        <v>0.38911380000000001</v>
      </c>
      <c r="BG49" s="2">
        <v>0.62497692999999999</v>
      </c>
      <c r="BH49" s="2">
        <v>0.43250883000000001</v>
      </c>
      <c r="BI49" s="2">
        <v>0.43977407000000002</v>
      </c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</row>
    <row r="50" spans="1:77" x14ac:dyDescent="0.25">
      <c r="A50" s="13" t="str" cm="1">
        <f t="array" ref="A50">_xll.FDS(B50,"FG_COMPANY_NAME")</f>
        <v>Hewlett Packard Enterprise Co.</v>
      </c>
      <c r="B50" s="4" t="str">
        <v>HPE-US</v>
      </c>
      <c r="C50" s="2">
        <v>-0.50076580000000004</v>
      </c>
      <c r="D50" s="2">
        <v>-0.13774544</v>
      </c>
      <c r="E50" s="2">
        <v>-0.51164125999999999</v>
      </c>
      <c r="F50" s="2">
        <v>-0.50037867000000003</v>
      </c>
      <c r="G50" s="2">
        <v>-0.45088856999999999</v>
      </c>
      <c r="H50" s="2">
        <v>-0.48223319999999997</v>
      </c>
      <c r="I50" s="2">
        <v>-0.38767269999999998</v>
      </c>
      <c r="J50" s="2">
        <v>-0.64371310000000004</v>
      </c>
      <c r="K50" s="2">
        <v>-0.57058439999999999</v>
      </c>
      <c r="L50" s="2">
        <v>0.22885660999999999</v>
      </c>
      <c r="M50" s="2">
        <v>-0.52413153999999995</v>
      </c>
      <c r="N50" s="2">
        <v>-0.46115792</v>
      </c>
      <c r="O50" s="2">
        <v>-0.30883347999999999</v>
      </c>
      <c r="P50" s="2">
        <v>-0.59374199999999999</v>
      </c>
      <c r="Q50" s="2">
        <v>0.68821189999999999</v>
      </c>
      <c r="R50" s="2">
        <v>0.12346871</v>
      </c>
      <c r="S50" s="2">
        <v>-0.31839173999999998</v>
      </c>
      <c r="T50" s="2">
        <v>0.107888795</v>
      </c>
      <c r="U50" s="2">
        <v>-0.17813425999999999</v>
      </c>
      <c r="V50" s="2">
        <v>1</v>
      </c>
      <c r="W50" s="2">
        <v>-0.46177885000000002</v>
      </c>
      <c r="X50" s="2">
        <v>0.76474909999999996</v>
      </c>
      <c r="Y50" s="2">
        <v>-0.60501740000000004</v>
      </c>
      <c r="Z50" s="2">
        <v>0.58747554000000002</v>
      </c>
      <c r="AA50" s="2">
        <v>-0.52317979999999997</v>
      </c>
      <c r="AB50" s="2">
        <v>-0.52851915000000005</v>
      </c>
      <c r="AC50" s="2">
        <v>-0.39631253</v>
      </c>
      <c r="AD50" s="2">
        <v>-5.9946407E-2</v>
      </c>
      <c r="AE50" s="2">
        <v>-0.55493455999999997</v>
      </c>
      <c r="AF50" s="2">
        <v>-3.1517927000000001E-2</v>
      </c>
      <c r="AG50" s="2">
        <v>-8.7828139999999999E-2</v>
      </c>
      <c r="AH50" s="2">
        <v>0.13384417000000001</v>
      </c>
      <c r="AI50" s="2">
        <v>0.74276257000000001</v>
      </c>
      <c r="AJ50" s="2">
        <v>0.3284975</v>
      </c>
      <c r="AK50" s="2">
        <v>0.68683773000000004</v>
      </c>
      <c r="AL50" s="2">
        <v>-0.55062747000000001</v>
      </c>
      <c r="AM50" s="2">
        <v>-0.56624406999999999</v>
      </c>
      <c r="AN50" s="2">
        <v>0.42375259999999998</v>
      </c>
      <c r="AO50" s="2">
        <v>-0.58093249999999996</v>
      </c>
      <c r="AP50" s="2">
        <v>-0.18694284999999999</v>
      </c>
      <c r="AQ50" s="2">
        <v>-0.34546327999999998</v>
      </c>
      <c r="AR50" s="2">
        <v>0.22094826000000001</v>
      </c>
      <c r="AS50" s="2">
        <v>-0.52422272999999997</v>
      </c>
      <c r="AT50" s="2">
        <v>0.66496646000000004</v>
      </c>
      <c r="AU50" s="2">
        <v>0.54313694999999995</v>
      </c>
      <c r="AV50" s="2">
        <v>0.76342993999999997</v>
      </c>
      <c r="AW50" s="2">
        <v>-0.43676700000000002</v>
      </c>
      <c r="AX50" s="2">
        <v>-0.52138764000000004</v>
      </c>
      <c r="AY50" s="2">
        <v>-4.2002127E-2</v>
      </c>
      <c r="AZ50" s="2">
        <v>0.30469328000000001</v>
      </c>
      <c r="BA50" s="2">
        <v>-0.40779045000000003</v>
      </c>
      <c r="BB50" s="2">
        <v>-0.37961903000000002</v>
      </c>
      <c r="BC50" s="2">
        <v>-0.31086712999999999</v>
      </c>
      <c r="BD50" s="2">
        <v>-0.47531600000000002</v>
      </c>
      <c r="BE50" s="2">
        <v>-0.45995799999999998</v>
      </c>
      <c r="BF50" s="2">
        <v>-0.64805745999999997</v>
      </c>
      <c r="BG50" s="2">
        <v>-0.58755089999999999</v>
      </c>
      <c r="BH50" s="2">
        <v>-0.13374130000000001</v>
      </c>
      <c r="BI50" s="2">
        <v>-0.43064940000000002</v>
      </c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</row>
    <row r="51" spans="1:77" x14ac:dyDescent="0.25">
      <c r="A51" s="13" t="str" cm="1">
        <f t="array" ref="A51">_xll.FDS(B51,"FG_COMPANY_NAME")</f>
        <v>Intel Corporation</v>
      </c>
      <c r="B51" s="4" t="str">
        <v>INTC-US</v>
      </c>
      <c r="C51" s="2">
        <v>0.89797419999999994</v>
      </c>
      <c r="D51" s="2">
        <v>0.50895374999999998</v>
      </c>
      <c r="E51" s="2">
        <v>0.76683299999999999</v>
      </c>
      <c r="F51" s="2">
        <v>0.82757849999999999</v>
      </c>
      <c r="G51" s="2">
        <v>0.64021236000000004</v>
      </c>
      <c r="H51" s="2">
        <v>0.7768351</v>
      </c>
      <c r="I51" s="2">
        <v>0.78807240000000001</v>
      </c>
      <c r="J51" s="2">
        <v>0.62840609999999997</v>
      </c>
      <c r="K51" s="2">
        <v>0.26757902</v>
      </c>
      <c r="L51" s="2">
        <v>0.18526403999999999</v>
      </c>
      <c r="M51" s="2">
        <v>0.56874245000000001</v>
      </c>
      <c r="N51" s="2">
        <v>0.62372863000000001</v>
      </c>
      <c r="O51" s="2">
        <v>0.73333789999999999</v>
      </c>
      <c r="P51" s="2">
        <v>0.58017390000000002</v>
      </c>
      <c r="Q51" s="2">
        <v>-0.42975955999999998</v>
      </c>
      <c r="R51" s="2">
        <v>0.31885859999999999</v>
      </c>
      <c r="S51" s="2">
        <v>0.72812659999999996</v>
      </c>
      <c r="T51" s="2">
        <v>-0.2262641</v>
      </c>
      <c r="U51" s="2">
        <v>0.67959510000000001</v>
      </c>
      <c r="V51" s="2">
        <v>-0.46177885000000002</v>
      </c>
      <c r="W51" s="2">
        <v>1</v>
      </c>
      <c r="X51" s="2">
        <v>-0.40635997000000001</v>
      </c>
      <c r="Y51" s="2">
        <v>0.82171875000000005</v>
      </c>
      <c r="Z51" s="2">
        <v>-0.48560520000000001</v>
      </c>
      <c r="AA51" s="2">
        <v>0.49708881999999999</v>
      </c>
      <c r="AB51" s="2">
        <v>0.85992986000000005</v>
      </c>
      <c r="AC51" s="2">
        <v>0.59109179999999995</v>
      </c>
      <c r="AD51" s="2">
        <v>0.36420681999999999</v>
      </c>
      <c r="AE51" s="2">
        <v>0.78719914000000002</v>
      </c>
      <c r="AF51" s="2">
        <v>0.66304189999999996</v>
      </c>
      <c r="AG51" s="2">
        <v>0.64211439999999997</v>
      </c>
      <c r="AH51" s="2">
        <v>-0.25186878000000001</v>
      </c>
      <c r="AI51" s="2">
        <v>-0.63290970000000002</v>
      </c>
      <c r="AJ51" s="2">
        <v>-0.31706643000000001</v>
      </c>
      <c r="AK51" s="2">
        <v>-0.37913665000000002</v>
      </c>
      <c r="AL51" s="2">
        <v>0.45123816</v>
      </c>
      <c r="AM51" s="2">
        <v>0.84922206</v>
      </c>
      <c r="AN51" s="2">
        <v>-0.27522333999999998</v>
      </c>
      <c r="AO51" s="2">
        <v>0.8184266</v>
      </c>
      <c r="AP51" s="2">
        <v>0.68881380000000003</v>
      </c>
      <c r="AQ51" s="2">
        <v>0.89092404000000003</v>
      </c>
      <c r="AR51" s="2">
        <v>-4.2749773999999997E-2</v>
      </c>
      <c r="AS51" s="2">
        <v>0.71056249999999999</v>
      </c>
      <c r="AT51" s="2">
        <v>-0.26493597000000002</v>
      </c>
      <c r="AU51" s="2">
        <v>-0.25590237999999998</v>
      </c>
      <c r="AV51" s="2">
        <v>-0.62255300000000002</v>
      </c>
      <c r="AW51" s="2">
        <v>0.8628188</v>
      </c>
      <c r="AX51" s="2">
        <v>0.62020284000000003</v>
      </c>
      <c r="AY51" s="2">
        <v>0.45274281999999999</v>
      </c>
      <c r="AZ51" s="2">
        <v>0.36295483000000001</v>
      </c>
      <c r="BA51" s="2">
        <v>0.73512244000000004</v>
      </c>
      <c r="BB51" s="2">
        <v>0.70961890000000005</v>
      </c>
      <c r="BC51" s="2">
        <v>0.68427870000000002</v>
      </c>
      <c r="BD51" s="2">
        <v>0.77083389999999996</v>
      </c>
      <c r="BE51" s="2">
        <v>0.85445899999999997</v>
      </c>
      <c r="BF51" s="2">
        <v>0.81701809999999997</v>
      </c>
      <c r="BG51" s="2">
        <v>0.86639076000000004</v>
      </c>
      <c r="BH51" s="2">
        <v>0.47875615999999999</v>
      </c>
      <c r="BI51" s="2">
        <v>0.64534139999999995</v>
      </c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</row>
    <row r="52" spans="1:77" x14ac:dyDescent="0.25">
      <c r="A52" s="13" t="str" cm="1">
        <f t="array" ref="A52">_xll.FDS(B52,"FG_COMPANY_NAME")</f>
        <v>KB Financial Group Inc.</v>
      </c>
      <c r="B52" s="4" t="str">
        <v>105560-KR</v>
      </c>
      <c r="C52" s="2">
        <v>-0.36073139999999998</v>
      </c>
      <c r="D52" s="2">
        <v>-8.8448429999999995E-2</v>
      </c>
      <c r="E52" s="2">
        <v>-0.28168723000000001</v>
      </c>
      <c r="F52" s="2">
        <v>-0.42558204999999999</v>
      </c>
      <c r="G52" s="2">
        <v>-0.24727321999999999</v>
      </c>
      <c r="H52" s="2">
        <v>-0.39735516999999998</v>
      </c>
      <c r="I52" s="2">
        <v>-0.17297414</v>
      </c>
      <c r="J52" s="2">
        <v>-0.61578697000000004</v>
      </c>
      <c r="K52" s="2">
        <v>-0.61799145</v>
      </c>
      <c r="L52" s="2">
        <v>0.5558708</v>
      </c>
      <c r="M52" s="2">
        <v>-0.61038214000000002</v>
      </c>
      <c r="N52" s="2">
        <v>-0.54939590000000005</v>
      </c>
      <c r="O52" s="2">
        <v>-1.7451923000000001E-2</v>
      </c>
      <c r="P52" s="2">
        <v>-0.6132668</v>
      </c>
      <c r="Q52" s="2">
        <v>0.46846408</v>
      </c>
      <c r="R52" s="2">
        <v>0.29619613</v>
      </c>
      <c r="S52" s="2">
        <v>-8.672668E-2</v>
      </c>
      <c r="T52" s="2">
        <v>-0.36625170000000001</v>
      </c>
      <c r="U52" s="2">
        <v>-2.0788323000000001E-2</v>
      </c>
      <c r="V52" s="2">
        <v>0.76474909999999996</v>
      </c>
      <c r="W52" s="2">
        <v>-0.40635997000000001</v>
      </c>
      <c r="X52" s="2">
        <v>1</v>
      </c>
      <c r="Y52" s="2">
        <v>-0.5783722</v>
      </c>
      <c r="Z52" s="2">
        <v>0.73540190000000005</v>
      </c>
      <c r="AA52" s="2">
        <v>-0.68980163000000005</v>
      </c>
      <c r="AB52" s="2">
        <v>-0.57666695000000001</v>
      </c>
      <c r="AC52" s="2">
        <v>-0.60378039999999999</v>
      </c>
      <c r="AD52" s="2">
        <v>-0.24249799999999999</v>
      </c>
      <c r="AE52" s="2">
        <v>-0.58211833000000002</v>
      </c>
      <c r="AF52" s="2">
        <v>0.13641784000000001</v>
      </c>
      <c r="AG52" s="2">
        <v>7.7375230000000003E-2</v>
      </c>
      <c r="AH52" s="2">
        <v>-0.21578890000000001</v>
      </c>
      <c r="AI52" s="2">
        <v>0.86571467000000002</v>
      </c>
      <c r="AJ52" s="2">
        <v>0.20401739999999999</v>
      </c>
      <c r="AK52" s="2">
        <v>0.88529866999999995</v>
      </c>
      <c r="AL52" s="2">
        <v>-0.56514883000000005</v>
      </c>
      <c r="AM52" s="2">
        <v>-0.46160456999999999</v>
      </c>
      <c r="AN52" s="2">
        <v>0.12538414000000001</v>
      </c>
      <c r="AO52" s="2">
        <v>-0.61744297000000004</v>
      </c>
      <c r="AP52" s="2">
        <v>-0.15975733</v>
      </c>
      <c r="AQ52" s="2">
        <v>-0.2173262</v>
      </c>
      <c r="AR52" s="2">
        <v>0.14774276</v>
      </c>
      <c r="AS52" s="2">
        <v>-0.26123455000000001</v>
      </c>
      <c r="AT52" s="2">
        <v>0.94876223999999998</v>
      </c>
      <c r="AU52" s="2">
        <v>0.75026590000000004</v>
      </c>
      <c r="AV52" s="2">
        <v>0.82526535000000001</v>
      </c>
      <c r="AW52" s="2">
        <v>-0.2464597</v>
      </c>
      <c r="AX52" s="2">
        <v>-0.65457564999999995</v>
      </c>
      <c r="AY52" s="2">
        <v>-0.2521042</v>
      </c>
      <c r="AZ52" s="2">
        <v>0.3622784</v>
      </c>
      <c r="BA52" s="2">
        <v>-0.27563989999999999</v>
      </c>
      <c r="BB52" s="2">
        <v>7.6930714000000002E-3</v>
      </c>
      <c r="BC52" s="2">
        <v>-0.17240638999999999</v>
      </c>
      <c r="BD52" s="2">
        <v>-0.20652287</v>
      </c>
      <c r="BE52" s="2">
        <v>-0.36024850000000003</v>
      </c>
      <c r="BF52" s="2">
        <v>-0.57995342999999999</v>
      </c>
      <c r="BG52" s="2">
        <v>-0.43600670000000002</v>
      </c>
      <c r="BH52" s="2">
        <v>1.0292068999999999E-2</v>
      </c>
      <c r="BI52" s="2">
        <v>-0.48778394000000003</v>
      </c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</row>
    <row r="53" spans="1:77" x14ac:dyDescent="0.25">
      <c r="A53" s="13" t="str" cm="1">
        <f t="array" ref="A53">_xll.FDS(B53,"FG_COMPANY_NAME")</f>
        <v>Kering SA</v>
      </c>
      <c r="B53" s="4" t="str">
        <v>KER-FR</v>
      </c>
      <c r="C53" s="2">
        <v>0.81038695999999999</v>
      </c>
      <c r="D53" s="2">
        <v>0.58211005000000005</v>
      </c>
      <c r="E53" s="2">
        <v>0.80698029999999998</v>
      </c>
      <c r="F53" s="2">
        <v>0.92712019999999995</v>
      </c>
      <c r="G53" s="2">
        <v>0.58769539999999998</v>
      </c>
      <c r="H53" s="2">
        <v>0.88098180000000004</v>
      </c>
      <c r="I53" s="2">
        <v>0.76261674999999995</v>
      </c>
      <c r="J53" s="2">
        <v>0.84295940000000003</v>
      </c>
      <c r="K53" s="2">
        <v>0.56039196000000002</v>
      </c>
      <c r="L53" s="2">
        <v>0.12809812000000001</v>
      </c>
      <c r="M53" s="2">
        <v>0.84900993000000002</v>
      </c>
      <c r="N53" s="2">
        <v>0.71268432999999998</v>
      </c>
      <c r="O53" s="2">
        <v>0.67450710000000003</v>
      </c>
      <c r="P53" s="2">
        <v>0.74853842999999998</v>
      </c>
      <c r="Q53" s="2">
        <v>-0.56914693000000005</v>
      </c>
      <c r="R53" s="2">
        <v>7.6452640000000002E-2</v>
      </c>
      <c r="S53" s="2">
        <v>0.74530476000000001</v>
      </c>
      <c r="T53" s="2">
        <v>-0.19977028999999999</v>
      </c>
      <c r="U53" s="2">
        <v>0.51526724999999995</v>
      </c>
      <c r="V53" s="2">
        <v>-0.60501740000000004</v>
      </c>
      <c r="W53" s="2">
        <v>0.82171875000000005</v>
      </c>
      <c r="X53" s="2">
        <v>-0.5783722</v>
      </c>
      <c r="Y53" s="2">
        <v>1</v>
      </c>
      <c r="Z53" s="2">
        <v>-0.47184712000000001</v>
      </c>
      <c r="AA53" s="2">
        <v>0.66930449999999997</v>
      </c>
      <c r="AB53" s="2">
        <v>0.91988844000000003</v>
      </c>
      <c r="AC53" s="2">
        <v>0.57731940000000004</v>
      </c>
      <c r="AD53" s="2">
        <v>0.4254039</v>
      </c>
      <c r="AE53" s="2">
        <v>0.88159889999999996</v>
      </c>
      <c r="AF53" s="2">
        <v>0.43572519999999998</v>
      </c>
      <c r="AG53" s="2">
        <v>0.59406966000000005</v>
      </c>
      <c r="AH53" s="2">
        <v>-0.31685635000000001</v>
      </c>
      <c r="AI53" s="2">
        <v>-0.70543679999999997</v>
      </c>
      <c r="AJ53" s="2">
        <v>-0.25081639999999999</v>
      </c>
      <c r="AK53" s="2">
        <v>-0.59447050000000001</v>
      </c>
      <c r="AL53" s="2">
        <v>0.68842506000000003</v>
      </c>
      <c r="AM53" s="2">
        <v>0.92062354000000002</v>
      </c>
      <c r="AN53" s="2">
        <v>-0.33956912</v>
      </c>
      <c r="AO53" s="2">
        <v>0.9148307</v>
      </c>
      <c r="AP53" s="2">
        <v>0.76658729999999997</v>
      </c>
      <c r="AQ53" s="2">
        <v>0.7988364</v>
      </c>
      <c r="AR53" s="2">
        <v>-4.3271034999999999E-2</v>
      </c>
      <c r="AS53" s="2">
        <v>0.71656050000000004</v>
      </c>
      <c r="AT53" s="2">
        <v>-0.40439585</v>
      </c>
      <c r="AU53" s="2">
        <v>-0.35884031999999999</v>
      </c>
      <c r="AV53" s="2">
        <v>-0.72878419999999999</v>
      </c>
      <c r="AW53" s="2">
        <v>0.82532490000000003</v>
      </c>
      <c r="AX53" s="2">
        <v>0.85527929999999996</v>
      </c>
      <c r="AY53" s="2">
        <v>0.41056362000000002</v>
      </c>
      <c r="AZ53" s="2">
        <v>3.7115566000000003E-2</v>
      </c>
      <c r="BA53" s="2">
        <v>0.78449904999999998</v>
      </c>
      <c r="BB53" s="2">
        <v>0.61306579999999999</v>
      </c>
      <c r="BC53" s="2">
        <v>0.61398565999999999</v>
      </c>
      <c r="BD53" s="2">
        <v>0.77975976000000002</v>
      </c>
      <c r="BE53" s="2">
        <v>0.87563789999999997</v>
      </c>
      <c r="BF53" s="2">
        <v>0.9367645</v>
      </c>
      <c r="BG53" s="2">
        <v>0.84745360000000003</v>
      </c>
      <c r="BH53" s="2">
        <v>0.51267200000000002</v>
      </c>
      <c r="BI53" s="2">
        <v>0.76342577</v>
      </c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</row>
    <row r="54" spans="1:77" x14ac:dyDescent="0.25">
      <c r="A54" s="13" t="str" cm="1">
        <f t="array" ref="A54">_xll.FDS(B54,"FG_COMPANY_NAME")</f>
        <v>Koninklijke Ahold Delhaize N.V.</v>
      </c>
      <c r="B54" s="4" t="str">
        <v>AD-NL</v>
      </c>
      <c r="C54" s="2">
        <v>-0.42778264999999999</v>
      </c>
      <c r="D54" s="2">
        <v>-0.16400461</v>
      </c>
      <c r="E54" s="2">
        <v>-0.34861964000000001</v>
      </c>
      <c r="F54" s="2">
        <v>-0.30853069999999999</v>
      </c>
      <c r="G54" s="2">
        <v>-0.36220983000000001</v>
      </c>
      <c r="H54" s="2">
        <v>-0.29817929999999998</v>
      </c>
      <c r="I54" s="2">
        <v>-0.18459656999999999</v>
      </c>
      <c r="J54" s="2">
        <v>-0.50370210000000004</v>
      </c>
      <c r="K54" s="2">
        <v>-0.51955026000000004</v>
      </c>
      <c r="L54" s="2">
        <v>0.4677539</v>
      </c>
      <c r="M54" s="2">
        <v>-0.3320845</v>
      </c>
      <c r="N54" s="2">
        <v>-0.38324629999999998</v>
      </c>
      <c r="O54" s="2">
        <v>-2.6797779000000001E-2</v>
      </c>
      <c r="P54" s="2">
        <v>-0.57678925999999997</v>
      </c>
      <c r="Q54" s="2">
        <v>0.50516455999999998</v>
      </c>
      <c r="R54" s="2">
        <v>0.10814844999999999</v>
      </c>
      <c r="S54" s="2">
        <v>-0.101294674</v>
      </c>
      <c r="T54" s="2">
        <v>-0.35947698</v>
      </c>
      <c r="U54" s="2">
        <v>-0.13492968999999999</v>
      </c>
      <c r="V54" s="2">
        <v>0.58747554000000002</v>
      </c>
      <c r="W54" s="2">
        <v>-0.48560520000000001</v>
      </c>
      <c r="X54" s="2">
        <v>0.73540190000000005</v>
      </c>
      <c r="Y54" s="2">
        <v>-0.47184712000000001</v>
      </c>
      <c r="Z54" s="2">
        <v>1</v>
      </c>
      <c r="AA54" s="2">
        <v>-0.67987489999999995</v>
      </c>
      <c r="AB54" s="2">
        <v>-0.5260184</v>
      </c>
      <c r="AC54" s="2">
        <v>-0.7126808</v>
      </c>
      <c r="AD54" s="2">
        <v>-0.22457250000000001</v>
      </c>
      <c r="AE54" s="2">
        <v>-0.57735753000000001</v>
      </c>
      <c r="AF54" s="2">
        <v>5.5579326999999998E-2</v>
      </c>
      <c r="AG54" s="2">
        <v>-6.1676679999999998E-2</v>
      </c>
      <c r="AH54" s="2">
        <v>-7.9392770000000001E-2</v>
      </c>
      <c r="AI54" s="2">
        <v>0.86894154999999995</v>
      </c>
      <c r="AJ54" s="2">
        <v>0.22747284000000001</v>
      </c>
      <c r="AK54" s="2">
        <v>0.78391829999999996</v>
      </c>
      <c r="AL54" s="2">
        <v>-0.50011419999999995</v>
      </c>
      <c r="AM54" s="2">
        <v>-0.44665919999999998</v>
      </c>
      <c r="AN54" s="2">
        <v>0.17886323000000001</v>
      </c>
      <c r="AO54" s="2">
        <v>-0.48990961999999999</v>
      </c>
      <c r="AP54" s="2">
        <v>-0.20115279</v>
      </c>
      <c r="AQ54" s="2">
        <v>-0.33126</v>
      </c>
      <c r="AR54" s="2">
        <v>0.31289127</v>
      </c>
      <c r="AS54" s="2">
        <v>-0.28872510000000001</v>
      </c>
      <c r="AT54" s="2">
        <v>0.66739899999999996</v>
      </c>
      <c r="AU54" s="2">
        <v>0.83942320000000004</v>
      </c>
      <c r="AV54" s="2">
        <v>0.81323650000000003</v>
      </c>
      <c r="AW54" s="2">
        <v>-0.33014768</v>
      </c>
      <c r="AX54" s="2">
        <v>-0.4384787</v>
      </c>
      <c r="AY54" s="2">
        <v>-0.13164048</v>
      </c>
      <c r="AZ54" s="2">
        <v>0.30786449999999999</v>
      </c>
      <c r="BA54" s="2">
        <v>-0.32674855000000003</v>
      </c>
      <c r="BB54" s="2">
        <v>-0.19851953</v>
      </c>
      <c r="BC54" s="2">
        <v>-0.36001346000000001</v>
      </c>
      <c r="BD54" s="2">
        <v>-0.33152680000000001</v>
      </c>
      <c r="BE54" s="2">
        <v>-0.31524344999999998</v>
      </c>
      <c r="BF54" s="2">
        <v>-0.50624406</v>
      </c>
      <c r="BG54" s="2">
        <v>-0.55606940000000005</v>
      </c>
      <c r="BH54" s="2">
        <v>-0.11102861</v>
      </c>
      <c r="BI54" s="2">
        <v>-0.41708050000000002</v>
      </c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</row>
    <row r="55" spans="1:77" x14ac:dyDescent="0.25">
      <c r="A55" s="13" t="str" cm="1">
        <f t="array" ref="A55">_xll.FDS(B55,"FG_COMPANY_NAME")</f>
        <v>Kraft Heinz Company</v>
      </c>
      <c r="B55" s="4" t="str">
        <v>KHC-US</v>
      </c>
      <c r="C55" s="2">
        <v>0.46023916999999998</v>
      </c>
      <c r="D55" s="2">
        <v>0.45975858000000003</v>
      </c>
      <c r="E55" s="2">
        <v>0.47882834000000002</v>
      </c>
      <c r="F55" s="2">
        <v>0.52026324999999995</v>
      </c>
      <c r="G55" s="2">
        <v>0.22123831999999999</v>
      </c>
      <c r="H55" s="2">
        <v>0.56519127000000002</v>
      </c>
      <c r="I55" s="2">
        <v>0.30998418</v>
      </c>
      <c r="J55" s="2">
        <v>0.68251360000000005</v>
      </c>
      <c r="K55" s="2">
        <v>0.65139950000000002</v>
      </c>
      <c r="L55" s="2">
        <v>-0.15248558000000001</v>
      </c>
      <c r="M55" s="2">
        <v>0.59240009999999999</v>
      </c>
      <c r="N55" s="2">
        <v>0.73540530000000004</v>
      </c>
      <c r="O55" s="2">
        <v>0.12063544</v>
      </c>
      <c r="P55" s="2">
        <v>0.75374322999999999</v>
      </c>
      <c r="Q55" s="2">
        <v>-0.37149070000000001</v>
      </c>
      <c r="R55" s="2">
        <v>6.0662519999999998E-2</v>
      </c>
      <c r="S55" s="2">
        <v>0.34678419999999999</v>
      </c>
      <c r="T55" s="2">
        <v>0.31682047000000002</v>
      </c>
      <c r="U55" s="2">
        <v>0.27446391999999997</v>
      </c>
      <c r="V55" s="2">
        <v>-0.52317979999999997</v>
      </c>
      <c r="W55" s="2">
        <v>0.49708881999999999</v>
      </c>
      <c r="X55" s="2">
        <v>-0.68980163000000005</v>
      </c>
      <c r="Y55" s="2">
        <v>0.66930449999999997</v>
      </c>
      <c r="Z55" s="2">
        <v>-0.67987489999999995</v>
      </c>
      <c r="AA55" s="2">
        <v>1</v>
      </c>
      <c r="AB55" s="2">
        <v>0.66044809999999998</v>
      </c>
      <c r="AC55" s="2">
        <v>0.81036805999999995</v>
      </c>
      <c r="AD55" s="2">
        <v>0.50156087000000005</v>
      </c>
      <c r="AE55" s="2">
        <v>0.78124369999999999</v>
      </c>
      <c r="AF55" s="2">
        <v>5.1750360000000002E-2</v>
      </c>
      <c r="AG55" s="2">
        <v>0.32507592000000002</v>
      </c>
      <c r="AH55" s="2">
        <v>0.124204546</v>
      </c>
      <c r="AI55" s="2">
        <v>-0.74487764000000001</v>
      </c>
      <c r="AJ55" s="2">
        <v>-0.17388872999999999</v>
      </c>
      <c r="AK55" s="2">
        <v>-0.76172810000000002</v>
      </c>
      <c r="AL55" s="2">
        <v>0.65277510000000005</v>
      </c>
      <c r="AM55" s="2">
        <v>0.56491270000000005</v>
      </c>
      <c r="AN55" s="2">
        <v>-6.9246680000000005E-2</v>
      </c>
      <c r="AO55" s="2">
        <v>0.63365567</v>
      </c>
      <c r="AP55" s="2">
        <v>0.54918115999999995</v>
      </c>
      <c r="AQ55" s="2">
        <v>0.49939549999999999</v>
      </c>
      <c r="AR55" s="2">
        <v>5.2855804999999999E-2</v>
      </c>
      <c r="AS55" s="2">
        <v>0.36762040000000001</v>
      </c>
      <c r="AT55" s="2">
        <v>-0.54576594</v>
      </c>
      <c r="AU55" s="2">
        <v>-0.65477395000000005</v>
      </c>
      <c r="AV55" s="2">
        <v>-0.78435354999999995</v>
      </c>
      <c r="AW55" s="2">
        <v>0.45361230000000002</v>
      </c>
      <c r="AX55" s="2">
        <v>0.73699170000000003</v>
      </c>
      <c r="AY55" s="2">
        <v>0.46506570000000003</v>
      </c>
      <c r="AZ55" s="2">
        <v>-0.3405012</v>
      </c>
      <c r="BA55" s="2">
        <v>0.55373912999999997</v>
      </c>
      <c r="BB55" s="2">
        <v>0.26511709999999999</v>
      </c>
      <c r="BC55" s="2">
        <v>0.29135168</v>
      </c>
      <c r="BD55" s="2">
        <v>0.42343318000000002</v>
      </c>
      <c r="BE55" s="2">
        <v>0.54007689999999997</v>
      </c>
      <c r="BF55" s="2">
        <v>0.68711549999999999</v>
      </c>
      <c r="BG55" s="2">
        <v>0.59382086999999995</v>
      </c>
      <c r="BH55" s="2">
        <v>0.39985221999999998</v>
      </c>
      <c r="BI55" s="2">
        <v>0.70407116000000003</v>
      </c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</row>
    <row r="56" spans="1:77" x14ac:dyDescent="0.25">
      <c r="A56" s="13" t="str" cm="1">
        <f t="array" ref="A56">_xll.FDS(B56,"FG_COMPANY_NAME")</f>
        <v>Lear Corporation</v>
      </c>
      <c r="B56" s="4" t="str">
        <v>LEA-US</v>
      </c>
      <c r="C56" s="2">
        <v>0.83683660000000004</v>
      </c>
      <c r="D56" s="2">
        <v>0.51846033000000002</v>
      </c>
      <c r="E56" s="2">
        <v>0.72770190000000001</v>
      </c>
      <c r="F56" s="2">
        <v>0.91253209999999996</v>
      </c>
      <c r="G56" s="2">
        <v>0.53754670000000004</v>
      </c>
      <c r="H56" s="2">
        <v>0.82085750000000002</v>
      </c>
      <c r="I56" s="2">
        <v>0.72448652999999996</v>
      </c>
      <c r="J56" s="2">
        <v>0.74356310000000003</v>
      </c>
      <c r="K56" s="2">
        <v>0.42787617</v>
      </c>
      <c r="L56" s="2">
        <v>6.6873244999999998E-2</v>
      </c>
      <c r="M56" s="2">
        <v>0.75460349999999998</v>
      </c>
      <c r="N56" s="2">
        <v>0.70450809999999997</v>
      </c>
      <c r="O56" s="2">
        <v>0.60656019999999999</v>
      </c>
      <c r="P56" s="2">
        <v>0.703399</v>
      </c>
      <c r="Q56" s="2">
        <v>-0.45400992000000001</v>
      </c>
      <c r="R56" s="2">
        <v>0.15684580000000001</v>
      </c>
      <c r="S56" s="2">
        <v>0.67285633</v>
      </c>
      <c r="T56" s="2">
        <v>-8.1682934999999998E-2</v>
      </c>
      <c r="U56" s="2">
        <v>0.59304299999999999</v>
      </c>
      <c r="V56" s="2">
        <v>-0.52851915000000005</v>
      </c>
      <c r="W56" s="2">
        <v>0.85992986000000005</v>
      </c>
      <c r="X56" s="2">
        <v>-0.57666695000000001</v>
      </c>
      <c r="Y56" s="2">
        <v>0.91988844000000003</v>
      </c>
      <c r="Z56" s="2">
        <v>-0.5260184</v>
      </c>
      <c r="AA56" s="2">
        <v>0.66044809999999998</v>
      </c>
      <c r="AB56" s="2">
        <v>1</v>
      </c>
      <c r="AC56" s="2">
        <v>0.69263565999999999</v>
      </c>
      <c r="AD56" s="2">
        <v>0.47208099999999997</v>
      </c>
      <c r="AE56" s="2">
        <v>0.88907460000000005</v>
      </c>
      <c r="AF56" s="2">
        <v>0.49480748000000002</v>
      </c>
      <c r="AG56" s="2">
        <v>0.60337954999999999</v>
      </c>
      <c r="AH56" s="2">
        <v>-0.18981612</v>
      </c>
      <c r="AI56" s="2">
        <v>-0.73058694999999996</v>
      </c>
      <c r="AJ56" s="2">
        <v>-0.24582274000000001</v>
      </c>
      <c r="AK56" s="2">
        <v>-0.58959556000000002</v>
      </c>
      <c r="AL56" s="2">
        <v>0.62770265000000003</v>
      </c>
      <c r="AM56" s="2">
        <v>0.88174960000000002</v>
      </c>
      <c r="AN56" s="2">
        <v>-0.25687202999999997</v>
      </c>
      <c r="AO56" s="2">
        <v>0.91006905000000005</v>
      </c>
      <c r="AP56" s="2">
        <v>0.74038630000000005</v>
      </c>
      <c r="AQ56" s="2">
        <v>0.81975186</v>
      </c>
      <c r="AR56" s="2">
        <v>-8.2116629999999996E-2</v>
      </c>
      <c r="AS56" s="2">
        <v>0.63539939999999995</v>
      </c>
      <c r="AT56" s="2">
        <v>-0.42175240000000003</v>
      </c>
      <c r="AU56" s="2">
        <v>-0.38802302</v>
      </c>
      <c r="AV56" s="2">
        <v>-0.74284720000000004</v>
      </c>
      <c r="AW56" s="2">
        <v>0.81914883999999999</v>
      </c>
      <c r="AX56" s="2">
        <v>0.81177069999999996</v>
      </c>
      <c r="AY56" s="2">
        <v>0.49007582999999999</v>
      </c>
      <c r="AZ56" s="2">
        <v>0.13131090000000001</v>
      </c>
      <c r="BA56" s="2">
        <v>0.71342415000000003</v>
      </c>
      <c r="BB56" s="2">
        <v>0.55821889999999996</v>
      </c>
      <c r="BC56" s="2">
        <v>0.64392039999999995</v>
      </c>
      <c r="BD56" s="2">
        <v>0.71768224000000003</v>
      </c>
      <c r="BE56" s="2">
        <v>0.85292060000000003</v>
      </c>
      <c r="BF56" s="2">
        <v>0.87586295999999997</v>
      </c>
      <c r="BG56" s="2">
        <v>0.83040639999999999</v>
      </c>
      <c r="BH56" s="2">
        <v>0.49996868</v>
      </c>
      <c r="BI56" s="2">
        <v>0.77254056999999998</v>
      </c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</row>
    <row r="57" spans="1:77" x14ac:dyDescent="0.25">
      <c r="A57" s="13" t="str" cm="1">
        <f t="array" ref="A57">_xll.FDS(B57,"FG_COMPANY_NAME")</f>
        <v>LyondellBasell Industries NV</v>
      </c>
      <c r="B57" s="4" t="str">
        <v>LYB-US</v>
      </c>
      <c r="C57" s="2">
        <v>0.56777129999999998</v>
      </c>
      <c r="D57" s="2">
        <v>0.32212160000000001</v>
      </c>
      <c r="E57" s="2">
        <v>0.40646749999999998</v>
      </c>
      <c r="F57" s="2">
        <v>0.50423320000000005</v>
      </c>
      <c r="G57" s="2">
        <v>0.26931169999999999</v>
      </c>
      <c r="H57" s="2">
        <v>0.48543273999999997</v>
      </c>
      <c r="I57" s="2">
        <v>0.35893476000000002</v>
      </c>
      <c r="J57" s="2">
        <v>0.51730293000000005</v>
      </c>
      <c r="K57" s="2">
        <v>0.3697973</v>
      </c>
      <c r="L57" s="2">
        <v>-0.23671009000000001</v>
      </c>
      <c r="M57" s="2">
        <v>0.41956005000000002</v>
      </c>
      <c r="N57" s="2">
        <v>0.67654740000000002</v>
      </c>
      <c r="O57" s="2">
        <v>0.16917206000000001</v>
      </c>
      <c r="P57" s="2">
        <v>0.70249689999999998</v>
      </c>
      <c r="Q57" s="2">
        <v>-0.27645478000000001</v>
      </c>
      <c r="R57" s="2">
        <v>0.19572208999999999</v>
      </c>
      <c r="S57" s="2">
        <v>0.22688775999999999</v>
      </c>
      <c r="T57" s="2">
        <v>0.38315320000000003</v>
      </c>
      <c r="U57" s="2">
        <v>0.43436226</v>
      </c>
      <c r="V57" s="2">
        <v>-0.39631253</v>
      </c>
      <c r="W57" s="2">
        <v>0.59109179999999995</v>
      </c>
      <c r="X57" s="2">
        <v>-0.60378039999999999</v>
      </c>
      <c r="Y57" s="2">
        <v>0.57731940000000004</v>
      </c>
      <c r="Z57" s="2">
        <v>-0.7126808</v>
      </c>
      <c r="AA57" s="2">
        <v>0.81036805999999995</v>
      </c>
      <c r="AB57" s="2">
        <v>0.69263565999999999</v>
      </c>
      <c r="AC57" s="2">
        <v>1</v>
      </c>
      <c r="AD57" s="2">
        <v>0.40817114999999998</v>
      </c>
      <c r="AE57" s="2">
        <v>0.80185013999999999</v>
      </c>
      <c r="AF57" s="2">
        <v>0.26857530000000002</v>
      </c>
      <c r="AG57" s="2">
        <v>0.39293467999999998</v>
      </c>
      <c r="AH57" s="2">
        <v>0.19738290999999999</v>
      </c>
      <c r="AI57" s="2">
        <v>-0.78727179999999997</v>
      </c>
      <c r="AJ57" s="2">
        <v>-0.15878253000000001</v>
      </c>
      <c r="AK57" s="2">
        <v>-0.70549697</v>
      </c>
      <c r="AL57" s="2">
        <v>0.45461726000000002</v>
      </c>
      <c r="AM57" s="2">
        <v>0.60164076</v>
      </c>
      <c r="AN57" s="2">
        <v>-9.8836430000000003E-2</v>
      </c>
      <c r="AO57" s="2">
        <v>0.59262199999999998</v>
      </c>
      <c r="AP57" s="2">
        <v>0.43948123</v>
      </c>
      <c r="AQ57" s="2">
        <v>0.57100600000000001</v>
      </c>
      <c r="AR57" s="2">
        <v>0.16843158</v>
      </c>
      <c r="AS57" s="2">
        <v>0.2749548</v>
      </c>
      <c r="AT57" s="2">
        <v>-0.50848453999999998</v>
      </c>
      <c r="AU57" s="2">
        <v>-0.74565239999999999</v>
      </c>
      <c r="AV57" s="2">
        <v>-0.79105190000000003</v>
      </c>
      <c r="AW57" s="2">
        <v>0.53422159999999996</v>
      </c>
      <c r="AX57" s="2">
        <v>0.62702440000000004</v>
      </c>
      <c r="AY57" s="2">
        <v>0.5865011</v>
      </c>
      <c r="AZ57" s="2">
        <v>-9.9904199999999999E-2</v>
      </c>
      <c r="BA57" s="2">
        <v>0.39232850000000002</v>
      </c>
      <c r="BB57" s="2">
        <v>0.27512105999999997</v>
      </c>
      <c r="BC57" s="2">
        <v>0.44377480000000002</v>
      </c>
      <c r="BD57" s="2">
        <v>0.36231497000000001</v>
      </c>
      <c r="BE57" s="2">
        <v>0.52126163000000003</v>
      </c>
      <c r="BF57" s="2">
        <v>0.54250973000000002</v>
      </c>
      <c r="BG57" s="2">
        <v>0.62082815000000002</v>
      </c>
      <c r="BH57" s="2">
        <v>0.35741647999999998</v>
      </c>
      <c r="BI57" s="2">
        <v>0.7284775</v>
      </c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</row>
    <row r="58" spans="1:77" x14ac:dyDescent="0.25">
      <c r="A58" s="13" t="str" cm="1">
        <f t="array" ref="A58">_xll.FDS(B58,"FG_COMPANY_NAME")</f>
        <v>Macy's, Inc.</v>
      </c>
      <c r="B58" s="4" t="str">
        <v>M-US</v>
      </c>
      <c r="C58" s="2">
        <v>0.13612094999999999</v>
      </c>
      <c r="D58" s="2">
        <v>0.56881479999999995</v>
      </c>
      <c r="E58" s="2">
        <v>0.35675654000000001</v>
      </c>
      <c r="F58" s="2">
        <v>0.49254277000000002</v>
      </c>
      <c r="G58" s="2">
        <v>-0.19684651</v>
      </c>
      <c r="H58" s="2">
        <v>0.42313325000000002</v>
      </c>
      <c r="I58" s="2">
        <v>0.14919218000000001</v>
      </c>
      <c r="J58" s="2">
        <v>0.35586062000000002</v>
      </c>
      <c r="K58" s="2">
        <v>0.33681773999999998</v>
      </c>
      <c r="L58" s="2">
        <v>0.14157227999999999</v>
      </c>
      <c r="M58" s="2">
        <v>0.28294923999999999</v>
      </c>
      <c r="N58" s="2">
        <v>0.41962012999999998</v>
      </c>
      <c r="O58" s="2">
        <v>-1.1176639E-2</v>
      </c>
      <c r="P58" s="2">
        <v>0.57418203000000001</v>
      </c>
      <c r="Q58" s="2">
        <v>2.6233664E-2</v>
      </c>
      <c r="R58" s="2">
        <v>0.41055056000000001</v>
      </c>
      <c r="S58" s="2">
        <v>0.30635594999999999</v>
      </c>
      <c r="T58" s="2">
        <v>0.25565353000000002</v>
      </c>
      <c r="U58" s="2">
        <v>0.22615498000000001</v>
      </c>
      <c r="V58" s="2">
        <v>-5.9946407E-2</v>
      </c>
      <c r="W58" s="2">
        <v>0.36420681999999999</v>
      </c>
      <c r="X58" s="2">
        <v>-0.24249799999999999</v>
      </c>
      <c r="Y58" s="2">
        <v>0.4254039</v>
      </c>
      <c r="Z58" s="2">
        <v>-0.22457250000000001</v>
      </c>
      <c r="AA58" s="2">
        <v>0.50156087000000005</v>
      </c>
      <c r="AB58" s="2">
        <v>0.47208099999999997</v>
      </c>
      <c r="AC58" s="2">
        <v>0.40817114999999998</v>
      </c>
      <c r="AD58" s="2">
        <v>1</v>
      </c>
      <c r="AE58" s="2">
        <v>0.49832927999999999</v>
      </c>
      <c r="AF58" s="2">
        <v>6.3578930000000006E-2</v>
      </c>
      <c r="AG58" s="2">
        <v>0.35369202</v>
      </c>
      <c r="AH58" s="2">
        <v>-0.21471514999999999</v>
      </c>
      <c r="AI58" s="2">
        <v>-0.29174507</v>
      </c>
      <c r="AJ58" s="2">
        <v>0.12678239999999999</v>
      </c>
      <c r="AK58" s="2">
        <v>-0.39070033999999998</v>
      </c>
      <c r="AL58" s="2">
        <v>0.6416927</v>
      </c>
      <c r="AM58" s="2">
        <v>0.37909806000000001</v>
      </c>
      <c r="AN58" s="2">
        <v>8.9851399999999998E-2</v>
      </c>
      <c r="AO58" s="2">
        <v>0.41349577999999998</v>
      </c>
      <c r="AP58" s="2">
        <v>0.59296375999999995</v>
      </c>
      <c r="AQ58" s="2">
        <v>0.42793914999999999</v>
      </c>
      <c r="AR58" s="2">
        <v>-5.9979062999999999E-2</v>
      </c>
      <c r="AS58" s="2">
        <v>0.34508680000000003</v>
      </c>
      <c r="AT58" s="2">
        <v>-0.13430444999999999</v>
      </c>
      <c r="AU58" s="2">
        <v>-0.15824205</v>
      </c>
      <c r="AV58" s="2">
        <v>-0.40218344</v>
      </c>
      <c r="AW58" s="2">
        <v>0.33110119999999998</v>
      </c>
      <c r="AX58" s="2">
        <v>0.39135617</v>
      </c>
      <c r="AY58" s="2">
        <v>0.55658410000000003</v>
      </c>
      <c r="AZ58" s="2">
        <v>-0.29481098</v>
      </c>
      <c r="BA58" s="2">
        <v>0.56712450000000003</v>
      </c>
      <c r="BB58" s="2">
        <v>0.21568754000000001</v>
      </c>
      <c r="BC58" s="2">
        <v>0.17354833</v>
      </c>
      <c r="BD58" s="2">
        <v>0.31690857</v>
      </c>
      <c r="BE58" s="2">
        <v>0.28922409999999998</v>
      </c>
      <c r="BF58" s="2">
        <v>0.52040649999999999</v>
      </c>
      <c r="BG58" s="2">
        <v>0.27927502999999998</v>
      </c>
      <c r="BH58" s="2">
        <v>0.45657817000000001</v>
      </c>
      <c r="BI58" s="2">
        <v>0.60045194999999996</v>
      </c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</row>
    <row r="59" spans="1:77" x14ac:dyDescent="0.25">
      <c r="A59" s="13" t="str" cm="1">
        <f t="array" ref="A59">_xll.FDS(B59,"FG_COMPANY_NAME")</f>
        <v>ManpowerGroup Inc.</v>
      </c>
      <c r="B59" s="4" t="str">
        <v>MAN-US</v>
      </c>
      <c r="C59" s="2">
        <v>0.79228430000000005</v>
      </c>
      <c r="D59" s="2">
        <v>0.60222900000000001</v>
      </c>
      <c r="E59" s="2">
        <v>0.73704360000000002</v>
      </c>
      <c r="F59" s="2">
        <v>0.8450607</v>
      </c>
      <c r="G59" s="2">
        <v>0.48267743000000002</v>
      </c>
      <c r="H59" s="2">
        <v>0.76554999999999995</v>
      </c>
      <c r="I59" s="2">
        <v>0.69498179999999998</v>
      </c>
      <c r="J59" s="2">
        <v>0.72333102999999999</v>
      </c>
      <c r="K59" s="2">
        <v>0.53968709999999998</v>
      </c>
      <c r="L59" s="2">
        <v>6.4540920000000002E-2</v>
      </c>
      <c r="M59" s="2">
        <v>0.67038136999999998</v>
      </c>
      <c r="N59" s="2">
        <v>0.72418236999999996</v>
      </c>
      <c r="O59" s="2">
        <v>0.52652449999999995</v>
      </c>
      <c r="P59" s="2">
        <v>0.79093170000000002</v>
      </c>
      <c r="Q59" s="2">
        <v>-0.52359789999999995</v>
      </c>
      <c r="R59" s="2">
        <v>0.16327083000000001</v>
      </c>
      <c r="S59" s="2">
        <v>0.60791814</v>
      </c>
      <c r="T59" s="2">
        <v>-4.3767176999999997E-2</v>
      </c>
      <c r="U59" s="2">
        <v>0.58248526</v>
      </c>
      <c r="V59" s="2">
        <v>-0.55493455999999997</v>
      </c>
      <c r="W59" s="2">
        <v>0.78719914000000002</v>
      </c>
      <c r="X59" s="2">
        <v>-0.58211833000000002</v>
      </c>
      <c r="Y59" s="2">
        <v>0.88159889999999996</v>
      </c>
      <c r="Z59" s="2">
        <v>-0.57735753000000001</v>
      </c>
      <c r="AA59" s="2">
        <v>0.78124369999999999</v>
      </c>
      <c r="AB59" s="2">
        <v>0.88907460000000005</v>
      </c>
      <c r="AC59" s="2">
        <v>0.80185013999999999</v>
      </c>
      <c r="AD59" s="2">
        <v>0.49832927999999999</v>
      </c>
      <c r="AE59" s="2">
        <v>1</v>
      </c>
      <c r="AF59" s="2">
        <v>0.45988267999999999</v>
      </c>
      <c r="AG59" s="2">
        <v>0.66500294000000004</v>
      </c>
      <c r="AH59" s="2">
        <v>-0.17414785999999999</v>
      </c>
      <c r="AI59" s="2">
        <v>-0.76308924</v>
      </c>
      <c r="AJ59" s="2">
        <v>-0.24418377999999999</v>
      </c>
      <c r="AK59" s="2">
        <v>-0.64923536999999998</v>
      </c>
      <c r="AL59" s="2">
        <v>0.67006737000000005</v>
      </c>
      <c r="AM59" s="2">
        <v>0.90200029999999998</v>
      </c>
      <c r="AN59" s="2">
        <v>-0.36287673999999998</v>
      </c>
      <c r="AO59" s="2">
        <v>0.79411715000000005</v>
      </c>
      <c r="AP59" s="2">
        <v>0.72615929999999995</v>
      </c>
      <c r="AQ59" s="2">
        <v>0.78879790000000005</v>
      </c>
      <c r="AR59" s="2">
        <v>4.6781169999999997E-2</v>
      </c>
      <c r="AS59" s="2">
        <v>0.57149004999999997</v>
      </c>
      <c r="AT59" s="2">
        <v>-0.42928165000000001</v>
      </c>
      <c r="AU59" s="2">
        <v>-0.53243859999999998</v>
      </c>
      <c r="AV59" s="2">
        <v>-0.81871015000000003</v>
      </c>
      <c r="AW59" s="2">
        <v>0.84028833999999997</v>
      </c>
      <c r="AX59" s="2">
        <v>0.77469239999999995</v>
      </c>
      <c r="AY59" s="2">
        <v>0.53633489999999995</v>
      </c>
      <c r="AZ59" s="2">
        <v>-1.9934147999999999E-2</v>
      </c>
      <c r="BA59" s="2">
        <v>0.72718479999999996</v>
      </c>
      <c r="BB59" s="2">
        <v>0.61001000000000005</v>
      </c>
      <c r="BC59" s="2">
        <v>0.66125566000000002</v>
      </c>
      <c r="BD59" s="2">
        <v>0.70948610000000001</v>
      </c>
      <c r="BE59" s="2">
        <v>0.81486630000000004</v>
      </c>
      <c r="BF59" s="2">
        <v>0.86998147000000003</v>
      </c>
      <c r="BG59" s="2">
        <v>0.87531590000000004</v>
      </c>
      <c r="BH59" s="2">
        <v>0.62334959999999995</v>
      </c>
      <c r="BI59" s="2">
        <v>0.88121252999999999</v>
      </c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</row>
    <row r="60" spans="1:77" x14ac:dyDescent="0.25">
      <c r="A60" s="13" t="str" cm="1">
        <f t="array" ref="A60">_xll.FDS(B60,"FG_COMPANY_NAME")</f>
        <v>MEDIPAL HOLDINGS Corporation</v>
      </c>
      <c r="B60" s="4" t="str">
        <v>7459-JP</v>
      </c>
      <c r="C60" s="2">
        <v>0.71097569999999999</v>
      </c>
      <c r="D60" s="2">
        <v>0.36770487000000002</v>
      </c>
      <c r="E60" s="2">
        <v>0.57935219999999998</v>
      </c>
      <c r="F60" s="2">
        <v>0.57324019999999998</v>
      </c>
      <c r="G60" s="2">
        <v>0.54796564999999997</v>
      </c>
      <c r="H60" s="2">
        <v>0.47875034999999999</v>
      </c>
      <c r="I60" s="2">
        <v>0.71943559999999995</v>
      </c>
      <c r="J60" s="2">
        <v>0.22212377</v>
      </c>
      <c r="K60" s="2">
        <v>-0.16582873000000001</v>
      </c>
      <c r="L60" s="2">
        <v>0.49108905000000003</v>
      </c>
      <c r="M60" s="2">
        <v>0.17302242000000001</v>
      </c>
      <c r="N60" s="2">
        <v>0.30819982000000001</v>
      </c>
      <c r="O60" s="2">
        <v>0.76259560000000004</v>
      </c>
      <c r="P60" s="2">
        <v>0.27218550000000002</v>
      </c>
      <c r="Q60" s="2">
        <v>-0.15649466000000001</v>
      </c>
      <c r="R60" s="2">
        <v>0.35644087000000002</v>
      </c>
      <c r="S60" s="2">
        <v>0.68486345000000004</v>
      </c>
      <c r="T60" s="2">
        <v>-0.51176509999999997</v>
      </c>
      <c r="U60" s="2">
        <v>0.64851373000000001</v>
      </c>
      <c r="V60" s="2">
        <v>-3.1517927000000001E-2</v>
      </c>
      <c r="W60" s="2">
        <v>0.66304189999999996</v>
      </c>
      <c r="X60" s="2">
        <v>0.13641784000000001</v>
      </c>
      <c r="Y60" s="2">
        <v>0.43572519999999998</v>
      </c>
      <c r="Z60" s="2">
        <v>5.5579326999999998E-2</v>
      </c>
      <c r="AA60" s="2">
        <v>5.1750360000000002E-2</v>
      </c>
      <c r="AB60" s="2">
        <v>0.49480748000000002</v>
      </c>
      <c r="AC60" s="2">
        <v>0.26857530000000002</v>
      </c>
      <c r="AD60" s="2">
        <v>6.3578930000000006E-2</v>
      </c>
      <c r="AE60" s="2">
        <v>0.45988267999999999</v>
      </c>
      <c r="AF60" s="2">
        <v>1</v>
      </c>
      <c r="AG60" s="2">
        <v>0.75307893999999997</v>
      </c>
      <c r="AH60" s="2">
        <v>-0.25458481999999999</v>
      </c>
      <c r="AI60" s="2">
        <v>-0.110641904</v>
      </c>
      <c r="AJ60" s="2">
        <v>-0.15615441999999999</v>
      </c>
      <c r="AK60" s="2">
        <v>0.18151793999999999</v>
      </c>
      <c r="AL60" s="2">
        <v>1.7962372000000001E-2</v>
      </c>
      <c r="AM60" s="2">
        <v>0.60993385</v>
      </c>
      <c r="AN60" s="2">
        <v>-0.35880432000000001</v>
      </c>
      <c r="AO60" s="2">
        <v>0.44352320000000001</v>
      </c>
      <c r="AP60" s="2">
        <v>0.53790470000000001</v>
      </c>
      <c r="AQ60" s="2">
        <v>0.72690284000000005</v>
      </c>
      <c r="AR60" s="2">
        <v>0.24925907999999999</v>
      </c>
      <c r="AS60" s="2">
        <v>0.41158541999999998</v>
      </c>
      <c r="AT60" s="2">
        <v>0.22484699</v>
      </c>
      <c r="AU60" s="2">
        <v>0.16621858</v>
      </c>
      <c r="AV60" s="2">
        <v>-0.12363889</v>
      </c>
      <c r="AW60" s="2">
        <v>0.76782700000000004</v>
      </c>
      <c r="AX60" s="2">
        <v>0.2074233</v>
      </c>
      <c r="AY60" s="2">
        <v>0.32972362999999999</v>
      </c>
      <c r="AZ60" s="2">
        <v>0.68200749999999999</v>
      </c>
      <c r="BA60" s="2">
        <v>0.48139858000000002</v>
      </c>
      <c r="BB60" s="2">
        <v>0.68455874999999999</v>
      </c>
      <c r="BC60" s="2">
        <v>0.58913079999999995</v>
      </c>
      <c r="BD60" s="2">
        <v>0.59786969999999995</v>
      </c>
      <c r="BE60" s="2">
        <v>0.65251429999999999</v>
      </c>
      <c r="BF60" s="2">
        <v>0.40706792000000003</v>
      </c>
      <c r="BG60" s="2">
        <v>0.60685027000000002</v>
      </c>
      <c r="BH60" s="2">
        <v>0.53306229999999999</v>
      </c>
      <c r="BI60" s="2">
        <v>0.40351817000000001</v>
      </c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</row>
    <row r="61" spans="1:77" x14ac:dyDescent="0.25">
      <c r="A61" s="13" t="str" cm="1">
        <f t="array" ref="A61">_xll.FDS(B61,"FG_COMPANY_NAME")</f>
        <v>Mohawk Industries, Inc.</v>
      </c>
      <c r="B61" s="4" t="str">
        <v>MHK-US</v>
      </c>
      <c r="C61" s="2">
        <v>0.67284390000000005</v>
      </c>
      <c r="D61" s="2">
        <v>0.58295660000000005</v>
      </c>
      <c r="E61" s="2">
        <v>0.71507989999999999</v>
      </c>
      <c r="F61" s="2">
        <v>0.68602350000000001</v>
      </c>
      <c r="G61" s="2">
        <v>0.51379483999999997</v>
      </c>
      <c r="H61" s="2">
        <v>0.56548743999999995</v>
      </c>
      <c r="I61" s="2">
        <v>0.76660810000000001</v>
      </c>
      <c r="J61" s="2">
        <v>0.31395212</v>
      </c>
      <c r="K61" s="2">
        <v>0.10837081</v>
      </c>
      <c r="L61" s="2">
        <v>0.5213428</v>
      </c>
      <c r="M61" s="2">
        <v>0.24884547000000001</v>
      </c>
      <c r="N61" s="2">
        <v>0.30774167000000002</v>
      </c>
      <c r="O61" s="2">
        <v>0.70098260000000001</v>
      </c>
      <c r="P61" s="2">
        <v>0.39705750000000001</v>
      </c>
      <c r="Q61" s="2">
        <v>-0.37480732999999999</v>
      </c>
      <c r="R61" s="2">
        <v>0.36715943000000001</v>
      </c>
      <c r="S61" s="2">
        <v>0.73713309999999999</v>
      </c>
      <c r="T61" s="2">
        <v>-0.52816339999999995</v>
      </c>
      <c r="U61" s="2">
        <v>0.70323323999999998</v>
      </c>
      <c r="V61" s="2">
        <v>-8.7828139999999999E-2</v>
      </c>
      <c r="W61" s="2">
        <v>0.64211439999999997</v>
      </c>
      <c r="X61" s="2">
        <v>7.7375230000000003E-2</v>
      </c>
      <c r="Y61" s="2">
        <v>0.59406966000000005</v>
      </c>
      <c r="Z61" s="2">
        <v>-6.1676679999999998E-2</v>
      </c>
      <c r="AA61" s="2">
        <v>0.32507592000000002</v>
      </c>
      <c r="AB61" s="2">
        <v>0.60337954999999999</v>
      </c>
      <c r="AC61" s="2">
        <v>0.39293467999999998</v>
      </c>
      <c r="AD61" s="2">
        <v>0.35369202</v>
      </c>
      <c r="AE61" s="2">
        <v>0.66500294000000004</v>
      </c>
      <c r="AF61" s="2">
        <v>0.75307893999999997</v>
      </c>
      <c r="AG61" s="2">
        <v>1</v>
      </c>
      <c r="AH61" s="2">
        <v>-0.39588891999999998</v>
      </c>
      <c r="AI61" s="2">
        <v>-0.1674457</v>
      </c>
      <c r="AJ61" s="2">
        <v>-0.15376507</v>
      </c>
      <c r="AK61" s="2">
        <v>3.6616153999999998E-2</v>
      </c>
      <c r="AL61" s="2">
        <v>0.28478914</v>
      </c>
      <c r="AM61" s="2">
        <v>0.71987252999999995</v>
      </c>
      <c r="AN61" s="2">
        <v>-0.46850047</v>
      </c>
      <c r="AO61" s="2">
        <v>0.45078405999999999</v>
      </c>
      <c r="AP61" s="2">
        <v>0.80114949999999996</v>
      </c>
      <c r="AQ61" s="2">
        <v>0.77430019999999999</v>
      </c>
      <c r="AR61" s="2">
        <v>0.15488255000000001</v>
      </c>
      <c r="AS61" s="2">
        <v>0.4104199</v>
      </c>
      <c r="AT61" s="2">
        <v>0.23523693000000001</v>
      </c>
      <c r="AU61" s="2">
        <v>3.2997508000000002E-2</v>
      </c>
      <c r="AV61" s="2">
        <v>-0.27745154999999999</v>
      </c>
      <c r="AW61" s="2">
        <v>0.85645216999999996</v>
      </c>
      <c r="AX61" s="2">
        <v>0.32321253</v>
      </c>
      <c r="AY61" s="2">
        <v>0.33431432</v>
      </c>
      <c r="AZ61" s="2">
        <v>0.34336707</v>
      </c>
      <c r="BA61" s="2">
        <v>0.64952330000000003</v>
      </c>
      <c r="BB61" s="2">
        <v>0.79622809999999999</v>
      </c>
      <c r="BC61" s="2">
        <v>0.68580620000000003</v>
      </c>
      <c r="BD61" s="2">
        <v>0.7143718</v>
      </c>
      <c r="BE61" s="2">
        <v>0.76344440000000002</v>
      </c>
      <c r="BF61" s="2">
        <v>0.55872500000000003</v>
      </c>
      <c r="BG61" s="2">
        <v>0.73993355000000005</v>
      </c>
      <c r="BH61" s="2">
        <v>0.84763239999999995</v>
      </c>
      <c r="BI61" s="2">
        <v>0.62035804999999999</v>
      </c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</row>
    <row r="62" spans="1:77" x14ac:dyDescent="0.25">
      <c r="A62" s="13" t="str" cm="1">
        <f t="array" ref="A62">_xll.FDS(B62,"FG_COMPANY_NAME")</f>
        <v>Molson Coors Beverage Company Class B</v>
      </c>
      <c r="B62" s="4" t="str">
        <v>TAP-US</v>
      </c>
      <c r="C62" s="2">
        <v>-0.27890517999999997</v>
      </c>
      <c r="D62" s="2">
        <v>-0.49338423999999997</v>
      </c>
      <c r="E62" s="2">
        <v>-0.52933437000000005</v>
      </c>
      <c r="F62" s="2">
        <v>-0.42726395</v>
      </c>
      <c r="G62" s="2">
        <v>-0.36379444999999999</v>
      </c>
      <c r="H62" s="2">
        <v>-0.18228927</v>
      </c>
      <c r="I62" s="2">
        <v>-0.44345279999999998</v>
      </c>
      <c r="J62" s="2">
        <v>-0.29055592000000002</v>
      </c>
      <c r="K62" s="2">
        <v>-8.0250279999999993E-2</v>
      </c>
      <c r="L62" s="2">
        <v>-0.42037743</v>
      </c>
      <c r="M62" s="2">
        <v>-0.14356431</v>
      </c>
      <c r="N62" s="2">
        <v>1.8686580000000001E-2</v>
      </c>
      <c r="O62" s="2">
        <v>-0.40884006000000001</v>
      </c>
      <c r="P62" s="2">
        <v>-0.14011756</v>
      </c>
      <c r="Q62" s="2">
        <v>0.28003382999999998</v>
      </c>
      <c r="R62" s="2">
        <v>-0.15240909999999999</v>
      </c>
      <c r="S62" s="2">
        <v>-0.50118269999999998</v>
      </c>
      <c r="T62" s="2">
        <v>0.53530383000000004</v>
      </c>
      <c r="U62" s="2">
        <v>-0.15659939</v>
      </c>
      <c r="V62" s="2">
        <v>0.13384417000000001</v>
      </c>
      <c r="W62" s="2">
        <v>-0.25186878000000001</v>
      </c>
      <c r="X62" s="2">
        <v>-0.21578890000000001</v>
      </c>
      <c r="Y62" s="2">
        <v>-0.31685635000000001</v>
      </c>
      <c r="Z62" s="2">
        <v>-7.9392770000000001E-2</v>
      </c>
      <c r="AA62" s="2">
        <v>0.124204546</v>
      </c>
      <c r="AB62" s="2">
        <v>-0.18981612</v>
      </c>
      <c r="AC62" s="2">
        <v>0.19738290999999999</v>
      </c>
      <c r="AD62" s="2">
        <v>-0.21471514999999999</v>
      </c>
      <c r="AE62" s="2">
        <v>-0.17414785999999999</v>
      </c>
      <c r="AF62" s="2">
        <v>-0.25458481999999999</v>
      </c>
      <c r="AG62" s="2">
        <v>-0.39588891999999998</v>
      </c>
      <c r="AH62" s="2">
        <v>1</v>
      </c>
      <c r="AI62" s="2">
        <v>-4.690076E-2</v>
      </c>
      <c r="AJ62" s="2">
        <v>0.24654925</v>
      </c>
      <c r="AK62" s="2">
        <v>-0.11103971</v>
      </c>
      <c r="AL62" s="2">
        <v>-0.31873046999999999</v>
      </c>
      <c r="AM62" s="2">
        <v>-0.36999226000000002</v>
      </c>
      <c r="AN62" s="2">
        <v>0.28236919999999999</v>
      </c>
      <c r="AO62" s="2">
        <v>-0.17845485999999999</v>
      </c>
      <c r="AP62" s="2">
        <v>-0.38028457999999998</v>
      </c>
      <c r="AQ62" s="2">
        <v>-0.37121713000000001</v>
      </c>
      <c r="AR62" s="2">
        <v>0.21998787</v>
      </c>
      <c r="AS62" s="2">
        <v>-0.47706939999999998</v>
      </c>
      <c r="AT62" s="2">
        <v>-0.31432294999999999</v>
      </c>
      <c r="AU62" s="2">
        <v>-0.22625269000000001</v>
      </c>
      <c r="AV62" s="2">
        <v>4.8347389999999997E-2</v>
      </c>
      <c r="AW62" s="2">
        <v>-0.41260269999999999</v>
      </c>
      <c r="AX62" s="2">
        <v>-3.9815243E-2</v>
      </c>
      <c r="AY62" s="2">
        <v>0.13598149000000001</v>
      </c>
      <c r="AZ62" s="2">
        <v>4.7709778000000001E-2</v>
      </c>
      <c r="BA62" s="2">
        <v>-0.4995095</v>
      </c>
      <c r="BB62" s="2">
        <v>-0.55220899999999995</v>
      </c>
      <c r="BC62" s="2">
        <v>-0.36654170000000003</v>
      </c>
      <c r="BD62" s="2">
        <v>-0.56716734000000002</v>
      </c>
      <c r="BE62" s="2">
        <v>-0.32787300000000003</v>
      </c>
      <c r="BF62" s="2">
        <v>-0.42751362999999998</v>
      </c>
      <c r="BG62" s="2">
        <v>-0.35740337</v>
      </c>
      <c r="BH62" s="2">
        <v>-0.39656878000000001</v>
      </c>
      <c r="BI62" s="2">
        <v>-0.17039502000000001</v>
      </c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</row>
    <row r="63" spans="1:77" x14ac:dyDescent="0.25">
      <c r="A63" s="13" t="str" cm="1">
        <f t="array" ref="A63">_xll.FDS(B63,"FG_COMPANY_NAME")</f>
        <v>NatWest Group Plc</v>
      </c>
      <c r="B63" s="4" t="str">
        <v>NWG-GB</v>
      </c>
      <c r="C63" s="2">
        <v>-0.59085240000000006</v>
      </c>
      <c r="D63" s="2">
        <v>-0.20173553</v>
      </c>
      <c r="E63" s="2">
        <v>-0.46346999999999999</v>
      </c>
      <c r="F63" s="2">
        <v>-0.57181769999999998</v>
      </c>
      <c r="G63" s="2">
        <v>-0.39347166</v>
      </c>
      <c r="H63" s="2">
        <v>-0.55837749999999997</v>
      </c>
      <c r="I63" s="2">
        <v>-0.36439145000000001</v>
      </c>
      <c r="J63" s="2">
        <v>-0.68637793999999996</v>
      </c>
      <c r="K63" s="2">
        <v>-0.56972080000000003</v>
      </c>
      <c r="L63" s="2">
        <v>0.42920846000000001</v>
      </c>
      <c r="M63" s="2">
        <v>-0.57712185000000005</v>
      </c>
      <c r="N63" s="2">
        <v>-0.64696544</v>
      </c>
      <c r="O63" s="2">
        <v>-0.21507536999999999</v>
      </c>
      <c r="P63" s="2">
        <v>-0.77359750000000005</v>
      </c>
      <c r="Q63" s="2">
        <v>0.55073273</v>
      </c>
      <c r="R63" s="2">
        <v>7.9972210000000002E-2</v>
      </c>
      <c r="S63" s="2">
        <v>-0.23163015000000001</v>
      </c>
      <c r="T63" s="2">
        <v>-0.26532</v>
      </c>
      <c r="U63" s="2">
        <v>-0.26463658000000001</v>
      </c>
      <c r="V63" s="2">
        <v>0.74276257000000001</v>
      </c>
      <c r="W63" s="2">
        <v>-0.63290970000000002</v>
      </c>
      <c r="X63" s="2">
        <v>0.86571467000000002</v>
      </c>
      <c r="Y63" s="2">
        <v>-0.70543679999999997</v>
      </c>
      <c r="Z63" s="2">
        <v>0.86894154999999995</v>
      </c>
      <c r="AA63" s="2">
        <v>-0.74487764000000001</v>
      </c>
      <c r="AB63" s="2">
        <v>-0.73058694999999996</v>
      </c>
      <c r="AC63" s="2">
        <v>-0.78727179999999997</v>
      </c>
      <c r="AD63" s="2">
        <v>-0.29174507</v>
      </c>
      <c r="AE63" s="2">
        <v>-0.76308924</v>
      </c>
      <c r="AF63" s="2">
        <v>-0.110641904</v>
      </c>
      <c r="AG63" s="2">
        <v>-0.1674457</v>
      </c>
      <c r="AH63" s="2">
        <v>-4.690076E-2</v>
      </c>
      <c r="AI63" s="2">
        <v>1</v>
      </c>
      <c r="AJ63" s="2">
        <v>0.19683601000000001</v>
      </c>
      <c r="AK63" s="2">
        <v>0.90635730000000003</v>
      </c>
      <c r="AL63" s="2">
        <v>-0.62140256000000005</v>
      </c>
      <c r="AM63" s="2">
        <v>-0.67853372999999995</v>
      </c>
      <c r="AN63" s="2">
        <v>0.25249823999999998</v>
      </c>
      <c r="AO63" s="2">
        <v>-0.7280934</v>
      </c>
      <c r="AP63" s="2">
        <v>-0.33315790000000001</v>
      </c>
      <c r="AQ63" s="2">
        <v>-0.48944480000000001</v>
      </c>
      <c r="AR63" s="2">
        <v>0.15725017999999999</v>
      </c>
      <c r="AS63" s="2">
        <v>-0.43417367000000001</v>
      </c>
      <c r="AT63" s="2">
        <v>0.7621812</v>
      </c>
      <c r="AU63" s="2">
        <v>0.84457059999999995</v>
      </c>
      <c r="AV63" s="2">
        <v>0.95882089999999998</v>
      </c>
      <c r="AW63" s="2">
        <v>-0.51673572999999995</v>
      </c>
      <c r="AX63" s="2">
        <v>-0.68134636000000004</v>
      </c>
      <c r="AY63" s="2">
        <v>-0.34036368</v>
      </c>
      <c r="AZ63" s="2">
        <v>0.24084133999999999</v>
      </c>
      <c r="BA63" s="2">
        <v>-0.43264585999999999</v>
      </c>
      <c r="BB63" s="2">
        <v>-0.26578456</v>
      </c>
      <c r="BC63" s="2">
        <v>-0.43264288000000001</v>
      </c>
      <c r="BD63" s="2">
        <v>-0.42317188</v>
      </c>
      <c r="BE63" s="2">
        <v>-0.49881518000000002</v>
      </c>
      <c r="BF63" s="2">
        <v>-0.71092635000000004</v>
      </c>
      <c r="BG63" s="2">
        <v>-0.65794900000000001</v>
      </c>
      <c r="BH63" s="2">
        <v>-0.14959692999999999</v>
      </c>
      <c r="BI63" s="2">
        <v>-0.61691576000000004</v>
      </c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</row>
    <row r="64" spans="1:77" x14ac:dyDescent="0.25">
      <c r="A64" s="13" t="str" cm="1">
        <f t="array" ref="A64">_xll.FDS(B64,"FG_COMPANY_NAME")</f>
        <v>Nikon Corp.</v>
      </c>
      <c r="B64" s="4" t="str">
        <v>7731-JP</v>
      </c>
      <c r="C64" s="2">
        <v>-0.48069793</v>
      </c>
      <c r="D64" s="2">
        <v>-0.12501176</v>
      </c>
      <c r="E64" s="2">
        <v>-0.34267377999999998</v>
      </c>
      <c r="F64" s="2">
        <v>-0.24689696999999999</v>
      </c>
      <c r="G64" s="2">
        <v>-0.63473873999999997</v>
      </c>
      <c r="H64" s="2">
        <v>8.6982840000000006E-2</v>
      </c>
      <c r="I64" s="2">
        <v>-0.51402574999999995</v>
      </c>
      <c r="J64" s="2">
        <v>-0.23092127000000001</v>
      </c>
      <c r="K64" s="2">
        <v>-3.9499885999999998E-2</v>
      </c>
      <c r="L64" s="2">
        <v>4.1436794999999998E-2</v>
      </c>
      <c r="M64" s="2">
        <v>-0.20563551999999999</v>
      </c>
      <c r="N64" s="2">
        <v>-0.14008239</v>
      </c>
      <c r="O64" s="2">
        <v>-0.44010872000000001</v>
      </c>
      <c r="P64" s="2">
        <v>4.5279174999999998E-2</v>
      </c>
      <c r="Q64" s="2">
        <v>0.26831916</v>
      </c>
      <c r="R64" s="2">
        <v>0.13711493999999999</v>
      </c>
      <c r="S64" s="2">
        <v>-0.2734492</v>
      </c>
      <c r="T64" s="2">
        <v>0.26053880000000001</v>
      </c>
      <c r="U64" s="2">
        <v>-0.23089788999999999</v>
      </c>
      <c r="V64" s="2">
        <v>0.3284975</v>
      </c>
      <c r="W64" s="2">
        <v>-0.31706643000000001</v>
      </c>
      <c r="X64" s="2">
        <v>0.20401739999999999</v>
      </c>
      <c r="Y64" s="2">
        <v>-0.25081639999999999</v>
      </c>
      <c r="Z64" s="2">
        <v>0.22747284000000001</v>
      </c>
      <c r="AA64" s="2">
        <v>-0.17388872999999999</v>
      </c>
      <c r="AB64" s="2">
        <v>-0.24582274000000001</v>
      </c>
      <c r="AC64" s="2">
        <v>-0.15878253000000001</v>
      </c>
      <c r="AD64" s="2">
        <v>0.12678239999999999</v>
      </c>
      <c r="AE64" s="2">
        <v>-0.24418377999999999</v>
      </c>
      <c r="AF64" s="2">
        <v>-0.15615441999999999</v>
      </c>
      <c r="AG64" s="2">
        <v>-0.15376507</v>
      </c>
      <c r="AH64" s="2">
        <v>0.24654925</v>
      </c>
      <c r="AI64" s="2">
        <v>0.19683601000000001</v>
      </c>
      <c r="AJ64" s="2">
        <v>1</v>
      </c>
      <c r="AK64" s="2">
        <v>0.10137765999999999</v>
      </c>
      <c r="AL64" s="2">
        <v>3.5229336E-2</v>
      </c>
      <c r="AM64" s="2">
        <v>-0.24454273000000001</v>
      </c>
      <c r="AN64" s="2">
        <v>0.12563263</v>
      </c>
      <c r="AO64" s="2">
        <v>-0.17217436</v>
      </c>
      <c r="AP64" s="2">
        <v>-0.14041445</v>
      </c>
      <c r="AQ64" s="2">
        <v>-0.24980374</v>
      </c>
      <c r="AR64" s="2">
        <v>8.5136555000000003E-2</v>
      </c>
      <c r="AS64" s="2">
        <v>-0.21289292000000001</v>
      </c>
      <c r="AT64" s="2">
        <v>0.17619119999999999</v>
      </c>
      <c r="AU64" s="2">
        <v>9.1203649999999997E-2</v>
      </c>
      <c r="AV64" s="2">
        <v>0.21173285</v>
      </c>
      <c r="AW64" s="2">
        <v>-0.28117013000000002</v>
      </c>
      <c r="AX64" s="2">
        <v>-0.23129116999999999</v>
      </c>
      <c r="AY64" s="2">
        <v>0.17904265</v>
      </c>
      <c r="AZ64" s="2">
        <v>-0.15841791</v>
      </c>
      <c r="BA64" s="2">
        <v>-0.21986665999999999</v>
      </c>
      <c r="BB64" s="2">
        <v>-0.34016057999999999</v>
      </c>
      <c r="BC64" s="2">
        <v>-0.42963845000000001</v>
      </c>
      <c r="BD64" s="2">
        <v>-0.30855742000000003</v>
      </c>
      <c r="BE64" s="2">
        <v>-0.42851215999999998</v>
      </c>
      <c r="BF64" s="2">
        <v>-0.23260532</v>
      </c>
      <c r="BG64" s="2">
        <v>-0.38893273</v>
      </c>
      <c r="BH64" s="2">
        <v>-0.11899061499999999</v>
      </c>
      <c r="BI64" s="2">
        <v>-0.15150032999999999</v>
      </c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</row>
    <row r="65" spans="1:77" x14ac:dyDescent="0.25">
      <c r="A65" s="13" t="str" cm="1">
        <f t="array" ref="A65">_xll.FDS(B65,"FG_COMPANY_NAME")</f>
        <v>Nippon Television Holdings, Inc.</v>
      </c>
      <c r="B65" s="4" t="str">
        <v>9404-JP</v>
      </c>
      <c r="C65" s="2">
        <v>-0.32729439999999999</v>
      </c>
      <c r="D65" s="2">
        <v>-0.20652765000000001</v>
      </c>
      <c r="E65" s="2">
        <v>-0.30231485000000002</v>
      </c>
      <c r="F65" s="2">
        <v>-0.45600459999999998</v>
      </c>
      <c r="G65" s="2">
        <v>-0.14733903000000001</v>
      </c>
      <c r="H65" s="2">
        <v>-0.43559098000000002</v>
      </c>
      <c r="I65" s="2">
        <v>-0.11784460400000001</v>
      </c>
      <c r="J65" s="2">
        <v>-0.67463070000000003</v>
      </c>
      <c r="K65" s="2">
        <v>-0.67785220000000002</v>
      </c>
      <c r="L65" s="2">
        <v>0.49208345999999997</v>
      </c>
      <c r="M65" s="2">
        <v>-0.62151909999999999</v>
      </c>
      <c r="N65" s="2">
        <v>-0.60972570000000004</v>
      </c>
      <c r="O65" s="2">
        <v>6.5620999999999999E-2</v>
      </c>
      <c r="P65" s="2">
        <v>-0.74395299999999998</v>
      </c>
      <c r="Q65" s="2">
        <v>0.43240887</v>
      </c>
      <c r="R65" s="2">
        <v>0.22090693</v>
      </c>
      <c r="S65" s="2">
        <v>-5.7264860000000001E-2</v>
      </c>
      <c r="T65" s="2">
        <v>-0.48323694</v>
      </c>
      <c r="U65" s="2">
        <v>4.3481593000000004E-3</v>
      </c>
      <c r="V65" s="2">
        <v>0.68683773000000004</v>
      </c>
      <c r="W65" s="2">
        <v>-0.37913665000000002</v>
      </c>
      <c r="X65" s="2">
        <v>0.88529866999999995</v>
      </c>
      <c r="Y65" s="2">
        <v>-0.59447050000000001</v>
      </c>
      <c r="Z65" s="2">
        <v>0.78391829999999996</v>
      </c>
      <c r="AA65" s="2">
        <v>-0.76172810000000002</v>
      </c>
      <c r="AB65" s="2">
        <v>-0.58959556000000002</v>
      </c>
      <c r="AC65" s="2">
        <v>-0.70549697</v>
      </c>
      <c r="AD65" s="2">
        <v>-0.39070033999999998</v>
      </c>
      <c r="AE65" s="2">
        <v>-0.64923536999999998</v>
      </c>
      <c r="AF65" s="2">
        <v>0.18151793999999999</v>
      </c>
      <c r="AG65" s="2">
        <v>3.6616153999999998E-2</v>
      </c>
      <c r="AH65" s="2">
        <v>-0.11103971</v>
      </c>
      <c r="AI65" s="2">
        <v>0.90635730000000003</v>
      </c>
      <c r="AJ65" s="2">
        <v>0.10137765999999999</v>
      </c>
      <c r="AK65" s="2">
        <v>1</v>
      </c>
      <c r="AL65" s="2">
        <v>-0.69807476000000002</v>
      </c>
      <c r="AM65" s="2">
        <v>-0.51087654000000005</v>
      </c>
      <c r="AN65" s="2">
        <v>9.9227750000000003E-2</v>
      </c>
      <c r="AO65" s="2">
        <v>-0.62077599999999999</v>
      </c>
      <c r="AP65" s="2">
        <v>-0.23767820000000001</v>
      </c>
      <c r="AQ65" s="2">
        <v>-0.26123420000000003</v>
      </c>
      <c r="AR65" s="2">
        <v>0.15498972999999999</v>
      </c>
      <c r="AS65" s="2">
        <v>-0.28667327999999997</v>
      </c>
      <c r="AT65" s="2">
        <v>0.80268466000000005</v>
      </c>
      <c r="AU65" s="2">
        <v>0.84349870000000005</v>
      </c>
      <c r="AV65" s="2">
        <v>0.8834649</v>
      </c>
      <c r="AW65" s="2">
        <v>-0.27088245999999999</v>
      </c>
      <c r="AX65" s="2">
        <v>-0.70649390000000001</v>
      </c>
      <c r="AY65" s="2">
        <v>-0.3627416</v>
      </c>
      <c r="AZ65" s="2">
        <v>0.52263519999999997</v>
      </c>
      <c r="BA65" s="2">
        <v>-0.32493450000000001</v>
      </c>
      <c r="BB65" s="2">
        <v>2.3599431999999998E-3</v>
      </c>
      <c r="BC65" s="2">
        <v>-0.21473408999999999</v>
      </c>
      <c r="BD65" s="2">
        <v>-0.24167964</v>
      </c>
      <c r="BE65" s="2">
        <v>-0.30173042</v>
      </c>
      <c r="BF65" s="2">
        <v>-0.61626409999999998</v>
      </c>
      <c r="BG65" s="2">
        <v>-0.43211212999999998</v>
      </c>
      <c r="BH65" s="2">
        <v>-7.763109E-2</v>
      </c>
      <c r="BI65" s="2">
        <v>-0.5954102</v>
      </c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</row>
    <row r="66" spans="1:77" x14ac:dyDescent="0.25">
      <c r="A66" s="13" t="str" cm="1">
        <f t="array" ref="A66">_xll.FDS(B66,"FG_COMPANY_NAME")</f>
        <v>Pfizer Inc.</v>
      </c>
      <c r="B66" s="4" t="str">
        <v>PFE-US</v>
      </c>
      <c r="C66" s="2">
        <v>0.31876028000000001</v>
      </c>
      <c r="D66" s="2">
        <v>0.67156179999999999</v>
      </c>
      <c r="E66" s="2">
        <v>0.60764600000000002</v>
      </c>
      <c r="F66" s="2">
        <v>0.65985289999999996</v>
      </c>
      <c r="G66" s="2">
        <v>0.1179318</v>
      </c>
      <c r="H66" s="2">
        <v>0.60272574000000001</v>
      </c>
      <c r="I66" s="2">
        <v>0.27819714000000001</v>
      </c>
      <c r="J66" s="2">
        <v>0.80359689999999995</v>
      </c>
      <c r="K66" s="2">
        <v>0.8163222</v>
      </c>
      <c r="L66" s="2">
        <v>0.10776427</v>
      </c>
      <c r="M66" s="2">
        <v>0.63285690000000006</v>
      </c>
      <c r="N66" s="2">
        <v>0.61346524999999996</v>
      </c>
      <c r="O66" s="2">
        <v>0.10881639999999999</v>
      </c>
      <c r="P66" s="2">
        <v>0.80949146000000005</v>
      </c>
      <c r="Q66" s="2">
        <v>-0.45737863000000001</v>
      </c>
      <c r="R66" s="2">
        <v>0.12761389000000001</v>
      </c>
      <c r="S66" s="2">
        <v>0.43561319999999998</v>
      </c>
      <c r="T66" s="2">
        <v>0.115869254</v>
      </c>
      <c r="U66" s="2">
        <v>2.1097997E-2</v>
      </c>
      <c r="V66" s="2">
        <v>-0.55062747000000001</v>
      </c>
      <c r="W66" s="2">
        <v>0.45123816</v>
      </c>
      <c r="X66" s="2">
        <v>-0.56514883000000005</v>
      </c>
      <c r="Y66" s="2">
        <v>0.68842506000000003</v>
      </c>
      <c r="Z66" s="2">
        <v>-0.50011419999999995</v>
      </c>
      <c r="AA66" s="2">
        <v>0.65277510000000005</v>
      </c>
      <c r="AB66" s="2">
        <v>0.62770265000000003</v>
      </c>
      <c r="AC66" s="2">
        <v>0.45461726000000002</v>
      </c>
      <c r="AD66" s="2">
        <v>0.6416927</v>
      </c>
      <c r="AE66" s="2">
        <v>0.67006737000000005</v>
      </c>
      <c r="AF66" s="2">
        <v>1.7962372000000001E-2</v>
      </c>
      <c r="AG66" s="2">
        <v>0.28478914</v>
      </c>
      <c r="AH66" s="2">
        <v>-0.31873046999999999</v>
      </c>
      <c r="AI66" s="2">
        <v>-0.62140256000000005</v>
      </c>
      <c r="AJ66" s="2">
        <v>3.5229336E-2</v>
      </c>
      <c r="AK66" s="2">
        <v>-0.69807476000000002</v>
      </c>
      <c r="AL66" s="2">
        <v>1</v>
      </c>
      <c r="AM66" s="2">
        <v>0.61147490000000004</v>
      </c>
      <c r="AN66" s="2">
        <v>-0.1934565</v>
      </c>
      <c r="AO66" s="2">
        <v>0.63628560000000001</v>
      </c>
      <c r="AP66" s="2">
        <v>0.53894120000000001</v>
      </c>
      <c r="AQ66" s="2">
        <v>0.42209867000000001</v>
      </c>
      <c r="AR66" s="2">
        <v>-0.14236756</v>
      </c>
      <c r="AS66" s="2">
        <v>0.6114579</v>
      </c>
      <c r="AT66" s="2">
        <v>-0.43899357</v>
      </c>
      <c r="AU66" s="2">
        <v>-0.41359305000000002</v>
      </c>
      <c r="AV66" s="2">
        <v>-0.68753569999999997</v>
      </c>
      <c r="AW66" s="2">
        <v>0.47974554000000003</v>
      </c>
      <c r="AX66" s="2">
        <v>0.62275610000000003</v>
      </c>
      <c r="AY66" s="2">
        <v>0.36481156999999997</v>
      </c>
      <c r="AZ66" s="2">
        <v>-0.5302692</v>
      </c>
      <c r="BA66" s="2">
        <v>0.74111139999999998</v>
      </c>
      <c r="BB66" s="2">
        <v>0.38008999999999998</v>
      </c>
      <c r="BC66" s="2">
        <v>0.26369488000000002</v>
      </c>
      <c r="BD66" s="2">
        <v>0.61868860000000003</v>
      </c>
      <c r="BE66" s="2">
        <v>0.42887019999999998</v>
      </c>
      <c r="BF66" s="2">
        <v>0.80986309999999995</v>
      </c>
      <c r="BG66" s="2">
        <v>0.5513036</v>
      </c>
      <c r="BH66" s="2">
        <v>0.49391215999999999</v>
      </c>
      <c r="BI66" s="2">
        <v>0.67131567000000003</v>
      </c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</row>
    <row r="67" spans="1:77" x14ac:dyDescent="0.25">
      <c r="A67" s="13" t="str" cm="1">
        <f t="array" ref="A67">_xll.FDS(B67,"FG_COMPANY_NAME")</f>
        <v>PUMA SE</v>
      </c>
      <c r="B67" s="4" t="str">
        <v>PUM-DE</v>
      </c>
      <c r="C67" s="2">
        <v>0.86678189999999999</v>
      </c>
      <c r="D67" s="2">
        <v>0.56501239999999997</v>
      </c>
      <c r="E67" s="2">
        <v>0.83986530000000004</v>
      </c>
      <c r="F67" s="2">
        <v>0.92204399999999997</v>
      </c>
      <c r="G67" s="2">
        <v>0.63875382999999997</v>
      </c>
      <c r="H67" s="2">
        <v>0.82444644</v>
      </c>
      <c r="I67" s="2">
        <v>0.83422803999999995</v>
      </c>
      <c r="J67" s="2">
        <v>0.71971949999999996</v>
      </c>
      <c r="K67" s="2">
        <v>0.42936906000000002</v>
      </c>
      <c r="L67" s="2">
        <v>0.16960604000000001</v>
      </c>
      <c r="M67" s="2">
        <v>0.67017380000000004</v>
      </c>
      <c r="N67" s="2">
        <v>0.62721660000000001</v>
      </c>
      <c r="O67" s="2">
        <v>0.74674755000000004</v>
      </c>
      <c r="P67" s="2">
        <v>0.74200063999999999</v>
      </c>
      <c r="Q67" s="2">
        <v>-0.60375893000000003</v>
      </c>
      <c r="R67" s="2">
        <v>0.15902773000000001</v>
      </c>
      <c r="S67" s="2">
        <v>0.73067987000000001</v>
      </c>
      <c r="T67" s="2">
        <v>-0.30738454999999998</v>
      </c>
      <c r="U67" s="2">
        <v>0.61487687000000002</v>
      </c>
      <c r="V67" s="2">
        <v>-0.56624406999999999</v>
      </c>
      <c r="W67" s="2">
        <v>0.84922206</v>
      </c>
      <c r="X67" s="2">
        <v>-0.46160456999999999</v>
      </c>
      <c r="Y67" s="2">
        <v>0.92062354000000002</v>
      </c>
      <c r="Z67" s="2">
        <v>-0.44665919999999998</v>
      </c>
      <c r="AA67" s="2">
        <v>0.56491270000000005</v>
      </c>
      <c r="AB67" s="2">
        <v>0.88174960000000002</v>
      </c>
      <c r="AC67" s="2">
        <v>0.60164076</v>
      </c>
      <c r="AD67" s="2">
        <v>0.37909806000000001</v>
      </c>
      <c r="AE67" s="2">
        <v>0.90200029999999998</v>
      </c>
      <c r="AF67" s="2">
        <v>0.60993385</v>
      </c>
      <c r="AG67" s="2">
        <v>0.71987252999999995</v>
      </c>
      <c r="AH67" s="2">
        <v>-0.36999226000000002</v>
      </c>
      <c r="AI67" s="2">
        <v>-0.67853372999999995</v>
      </c>
      <c r="AJ67" s="2">
        <v>-0.24454273000000001</v>
      </c>
      <c r="AK67" s="2">
        <v>-0.51087654000000005</v>
      </c>
      <c r="AL67" s="2">
        <v>0.61147490000000004</v>
      </c>
      <c r="AM67" s="2">
        <v>1</v>
      </c>
      <c r="AN67" s="2">
        <v>-0.51051800000000003</v>
      </c>
      <c r="AO67" s="2">
        <v>0.82213765000000005</v>
      </c>
      <c r="AP67" s="2">
        <v>0.72112452999999999</v>
      </c>
      <c r="AQ67" s="2">
        <v>0.83813769999999999</v>
      </c>
      <c r="AR67" s="2">
        <v>-1.4587620000000001E-2</v>
      </c>
      <c r="AS67" s="2">
        <v>0.66117256999999996</v>
      </c>
      <c r="AT67" s="2">
        <v>-0.30740030000000002</v>
      </c>
      <c r="AU67" s="2">
        <v>-0.36935984999999999</v>
      </c>
      <c r="AV67" s="2">
        <v>-0.72542404999999999</v>
      </c>
      <c r="AW67" s="2">
        <v>0.93247060000000004</v>
      </c>
      <c r="AX67" s="2">
        <v>0.70601444999999996</v>
      </c>
      <c r="AY67" s="2">
        <v>0.39853072</v>
      </c>
      <c r="AZ67" s="2">
        <v>0.13237642999999999</v>
      </c>
      <c r="BA67" s="2">
        <v>0.74582446000000002</v>
      </c>
      <c r="BB67" s="2">
        <v>0.74041754000000004</v>
      </c>
      <c r="BC67" s="2">
        <v>0.75016210000000005</v>
      </c>
      <c r="BD67" s="2">
        <v>0.80258649999999998</v>
      </c>
      <c r="BE67" s="2">
        <v>0.8692896</v>
      </c>
      <c r="BF67" s="2">
        <v>0.86536413000000001</v>
      </c>
      <c r="BG67" s="2">
        <v>0.90988869999999999</v>
      </c>
      <c r="BH67" s="2">
        <v>0.61835264999999995</v>
      </c>
      <c r="BI67" s="2">
        <v>0.80661819999999995</v>
      </c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</row>
    <row r="68" spans="1:77" x14ac:dyDescent="0.25">
      <c r="A68" s="13" t="str" cm="1">
        <f t="array" ref="A68">_xll.FDS(B68,"FG_COMPANY_NAME")</f>
        <v>Repsol SA</v>
      </c>
      <c r="B68" s="4" t="str">
        <v>REP-ES</v>
      </c>
      <c r="C68" s="2">
        <v>-0.40704163999999998</v>
      </c>
      <c r="D68" s="2">
        <v>-0.13105496999999999</v>
      </c>
      <c r="E68" s="2">
        <v>-0.50038680000000002</v>
      </c>
      <c r="F68" s="2">
        <v>-0.35416155999999999</v>
      </c>
      <c r="G68" s="2">
        <v>-0.47151272999999999</v>
      </c>
      <c r="H68" s="2">
        <v>-0.2620285</v>
      </c>
      <c r="I68" s="2">
        <v>-0.44983943999999998</v>
      </c>
      <c r="J68" s="2">
        <v>-0.16211613999999999</v>
      </c>
      <c r="K68" s="2">
        <v>-0.21892478000000001</v>
      </c>
      <c r="L68" s="2">
        <v>-0.17826337</v>
      </c>
      <c r="M68" s="2">
        <v>-6.6215195000000004E-2</v>
      </c>
      <c r="N68" s="2">
        <v>2.7950230999999999E-2</v>
      </c>
      <c r="O68" s="2">
        <v>-0.44570496999999998</v>
      </c>
      <c r="P68" s="2">
        <v>-0.25426294999999999</v>
      </c>
      <c r="Q68" s="2">
        <v>0.75732860000000002</v>
      </c>
      <c r="R68" s="2">
        <v>0.12876514999999999</v>
      </c>
      <c r="S68" s="2">
        <v>-0.33728140000000001</v>
      </c>
      <c r="T68" s="2">
        <v>0.60042112999999997</v>
      </c>
      <c r="U68" s="2">
        <v>-0.22224215999999999</v>
      </c>
      <c r="V68" s="2">
        <v>0.42375259999999998</v>
      </c>
      <c r="W68" s="2">
        <v>-0.27522333999999998</v>
      </c>
      <c r="X68" s="2">
        <v>0.12538414000000001</v>
      </c>
      <c r="Y68" s="2">
        <v>-0.33956912</v>
      </c>
      <c r="Z68" s="2">
        <v>0.17886323000000001</v>
      </c>
      <c r="AA68" s="2">
        <v>-6.9246680000000005E-2</v>
      </c>
      <c r="AB68" s="2">
        <v>-0.25687202999999997</v>
      </c>
      <c r="AC68" s="2">
        <v>-9.8836430000000003E-2</v>
      </c>
      <c r="AD68" s="2">
        <v>8.9851399999999998E-2</v>
      </c>
      <c r="AE68" s="2">
        <v>-0.36287673999999998</v>
      </c>
      <c r="AF68" s="2">
        <v>-0.35880432000000001</v>
      </c>
      <c r="AG68" s="2">
        <v>-0.46850047</v>
      </c>
      <c r="AH68" s="2">
        <v>0.28236919999999999</v>
      </c>
      <c r="AI68" s="2">
        <v>0.25249823999999998</v>
      </c>
      <c r="AJ68" s="2">
        <v>0.12563263</v>
      </c>
      <c r="AK68" s="2">
        <v>9.9227750000000003E-2</v>
      </c>
      <c r="AL68" s="2">
        <v>-0.1934565</v>
      </c>
      <c r="AM68" s="2">
        <v>-0.51051800000000003</v>
      </c>
      <c r="AN68" s="2">
        <v>1</v>
      </c>
      <c r="AO68" s="2">
        <v>-0.12734503999999999</v>
      </c>
      <c r="AP68" s="2">
        <v>-0.26053584000000002</v>
      </c>
      <c r="AQ68" s="2">
        <v>-0.23194529</v>
      </c>
      <c r="AR68" s="2">
        <v>1.9776450000000001E-2</v>
      </c>
      <c r="AS68" s="2">
        <v>-0.14630409</v>
      </c>
      <c r="AT68" s="2">
        <v>0.100486435</v>
      </c>
      <c r="AU68" s="2">
        <v>0.27308035000000003</v>
      </c>
      <c r="AV68" s="2">
        <v>0.34478676000000003</v>
      </c>
      <c r="AW68" s="2">
        <v>-0.56665359999999998</v>
      </c>
      <c r="AX68" s="2">
        <v>-7.9534369999999993E-2</v>
      </c>
      <c r="AY68" s="2">
        <v>0.21741779</v>
      </c>
      <c r="AZ68" s="2">
        <v>2.4925218999999998E-2</v>
      </c>
      <c r="BA68" s="2">
        <v>-0.28013775000000002</v>
      </c>
      <c r="BB68" s="2">
        <v>-0.61051299999999997</v>
      </c>
      <c r="BC68" s="2">
        <v>-0.50277822999999999</v>
      </c>
      <c r="BD68" s="2">
        <v>-0.45382420000000001</v>
      </c>
      <c r="BE68" s="2">
        <v>-0.33934227</v>
      </c>
      <c r="BF68" s="2">
        <v>-0.26698440000000001</v>
      </c>
      <c r="BG68" s="2">
        <v>-0.51131280000000001</v>
      </c>
      <c r="BH68" s="2">
        <v>-0.48228296999999998</v>
      </c>
      <c r="BI68" s="2">
        <v>-0.39267605999999999</v>
      </c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</row>
    <row r="69" spans="1:77" x14ac:dyDescent="0.25">
      <c r="A69" s="13" t="str" cm="1">
        <f t="array" ref="A69">_xll.FDS(B69,"FG_COMPANY_NAME")</f>
        <v>ROHM Company Limited</v>
      </c>
      <c r="B69" s="4" t="str">
        <v>6963-JP</v>
      </c>
      <c r="C69" s="2">
        <v>0.77126229999999996</v>
      </c>
      <c r="D69" s="2">
        <v>0.47373363000000002</v>
      </c>
      <c r="E69" s="2">
        <v>0.69489025999999998</v>
      </c>
      <c r="F69" s="2">
        <v>0.86934286000000005</v>
      </c>
      <c r="G69" s="2">
        <v>0.53510769999999996</v>
      </c>
      <c r="H69" s="2">
        <v>0.84306776999999999</v>
      </c>
      <c r="I69" s="2">
        <v>0.6495457</v>
      </c>
      <c r="J69" s="2">
        <v>0.83370215000000003</v>
      </c>
      <c r="K69" s="2">
        <v>0.4934924</v>
      </c>
      <c r="L69" s="2">
        <v>3.9322666999999999E-2</v>
      </c>
      <c r="M69" s="2">
        <v>0.85553305999999996</v>
      </c>
      <c r="N69" s="2">
        <v>0.73466109999999996</v>
      </c>
      <c r="O69" s="2">
        <v>0.57618946000000004</v>
      </c>
      <c r="P69" s="2">
        <v>0.72444269999999999</v>
      </c>
      <c r="Q69" s="2">
        <v>-0.41875497</v>
      </c>
      <c r="R69" s="2">
        <v>5.8585230000000002E-2</v>
      </c>
      <c r="S69" s="2">
        <v>0.67909390000000003</v>
      </c>
      <c r="T69" s="2">
        <v>-2.9094782E-2</v>
      </c>
      <c r="U69" s="2">
        <v>0.46947250000000001</v>
      </c>
      <c r="V69" s="2">
        <v>-0.58093249999999996</v>
      </c>
      <c r="W69" s="2">
        <v>0.8184266</v>
      </c>
      <c r="X69" s="2">
        <v>-0.61744297000000004</v>
      </c>
      <c r="Y69" s="2">
        <v>0.9148307</v>
      </c>
      <c r="Z69" s="2">
        <v>-0.48990961999999999</v>
      </c>
      <c r="AA69" s="2">
        <v>0.63365567</v>
      </c>
      <c r="AB69" s="2">
        <v>0.91006905000000005</v>
      </c>
      <c r="AC69" s="2">
        <v>0.59262199999999998</v>
      </c>
      <c r="AD69" s="2">
        <v>0.41349577999999998</v>
      </c>
      <c r="AE69" s="2">
        <v>0.79411715000000005</v>
      </c>
      <c r="AF69" s="2">
        <v>0.44352320000000001</v>
      </c>
      <c r="AG69" s="2">
        <v>0.45078405999999999</v>
      </c>
      <c r="AH69" s="2">
        <v>-0.17845485999999999</v>
      </c>
      <c r="AI69" s="2">
        <v>-0.7280934</v>
      </c>
      <c r="AJ69" s="2">
        <v>-0.17217436</v>
      </c>
      <c r="AK69" s="2">
        <v>-0.62077599999999999</v>
      </c>
      <c r="AL69" s="2">
        <v>0.63628560000000001</v>
      </c>
      <c r="AM69" s="2">
        <v>0.82213765000000005</v>
      </c>
      <c r="AN69" s="2">
        <v>-0.12734503999999999</v>
      </c>
      <c r="AO69" s="2">
        <v>1</v>
      </c>
      <c r="AP69" s="2">
        <v>0.66724349999999999</v>
      </c>
      <c r="AQ69" s="2">
        <v>0.79099900000000001</v>
      </c>
      <c r="AR69" s="2">
        <v>-5.2047450000000002E-2</v>
      </c>
      <c r="AS69" s="2">
        <v>0.71553593999999998</v>
      </c>
      <c r="AT69" s="2">
        <v>-0.45394869999999998</v>
      </c>
      <c r="AU69" s="2">
        <v>-0.33840039999999999</v>
      </c>
      <c r="AV69" s="2">
        <v>-0.69353556999999999</v>
      </c>
      <c r="AW69" s="2">
        <v>0.71363770000000004</v>
      </c>
      <c r="AX69" s="2">
        <v>0.84664225999999998</v>
      </c>
      <c r="AY69" s="2">
        <v>0.52172536000000003</v>
      </c>
      <c r="AZ69" s="2">
        <v>0.12062522000000001</v>
      </c>
      <c r="BA69" s="2">
        <v>0.7047078</v>
      </c>
      <c r="BB69" s="2">
        <v>0.45045874000000002</v>
      </c>
      <c r="BC69" s="2">
        <v>0.51477519999999999</v>
      </c>
      <c r="BD69" s="2">
        <v>0.681253</v>
      </c>
      <c r="BE69" s="2">
        <v>0.79960039999999999</v>
      </c>
      <c r="BF69" s="2">
        <v>0.88076690000000002</v>
      </c>
      <c r="BG69" s="2">
        <v>0.74857819999999997</v>
      </c>
      <c r="BH69" s="2">
        <v>0.35518654999999999</v>
      </c>
      <c r="BI69" s="2">
        <v>0.65944190000000003</v>
      </c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</row>
    <row r="70" spans="1:77" x14ac:dyDescent="0.25">
      <c r="A70" s="13" t="str" cm="1">
        <f t="array" ref="A70">_xll.FDS(B70,"FG_COMPANY_NAME")</f>
        <v>Sally Beauty Holdings, Inc.</v>
      </c>
      <c r="B70" s="4" t="str">
        <v>SBH-US</v>
      </c>
      <c r="C70" s="2">
        <v>0.63864940000000003</v>
      </c>
      <c r="D70" s="2">
        <v>0.71456056999999995</v>
      </c>
      <c r="E70" s="2">
        <v>0.75827990000000001</v>
      </c>
      <c r="F70" s="2">
        <v>0.78993833000000002</v>
      </c>
      <c r="G70" s="2">
        <v>0.40757694999999999</v>
      </c>
      <c r="H70" s="2">
        <v>0.77272149999999995</v>
      </c>
      <c r="I70" s="2">
        <v>0.66310530000000001</v>
      </c>
      <c r="J70" s="2">
        <v>0.58213614999999996</v>
      </c>
      <c r="K70" s="2">
        <v>0.37927042999999999</v>
      </c>
      <c r="L70" s="2">
        <v>0.45235908000000002</v>
      </c>
      <c r="M70" s="2">
        <v>0.56070419999999999</v>
      </c>
      <c r="N70" s="2">
        <v>0.55911829999999996</v>
      </c>
      <c r="O70" s="2">
        <v>0.5656736</v>
      </c>
      <c r="P70" s="2">
        <v>0.57715799999999995</v>
      </c>
      <c r="Q70" s="2">
        <v>-0.36482513</v>
      </c>
      <c r="R70" s="2">
        <v>0.24879282999999999</v>
      </c>
      <c r="S70" s="2">
        <v>0.79955940000000003</v>
      </c>
      <c r="T70" s="2">
        <v>-0.29000916999999998</v>
      </c>
      <c r="U70" s="2">
        <v>0.56311750000000005</v>
      </c>
      <c r="V70" s="2">
        <v>-0.18694284999999999</v>
      </c>
      <c r="W70" s="2">
        <v>0.68881380000000003</v>
      </c>
      <c r="X70" s="2">
        <v>-0.15975733</v>
      </c>
      <c r="Y70" s="2">
        <v>0.76658729999999997</v>
      </c>
      <c r="Z70" s="2">
        <v>-0.20115279</v>
      </c>
      <c r="AA70" s="2">
        <v>0.54918115999999995</v>
      </c>
      <c r="AB70" s="2">
        <v>0.74038630000000005</v>
      </c>
      <c r="AC70" s="2">
        <v>0.43948123</v>
      </c>
      <c r="AD70" s="2">
        <v>0.59296375999999995</v>
      </c>
      <c r="AE70" s="2">
        <v>0.72615929999999995</v>
      </c>
      <c r="AF70" s="2">
        <v>0.53790470000000001</v>
      </c>
      <c r="AG70" s="2">
        <v>0.80114949999999996</v>
      </c>
      <c r="AH70" s="2">
        <v>-0.38028457999999998</v>
      </c>
      <c r="AI70" s="2">
        <v>-0.33315790000000001</v>
      </c>
      <c r="AJ70" s="2">
        <v>-0.14041445</v>
      </c>
      <c r="AK70" s="2">
        <v>-0.23767820000000001</v>
      </c>
      <c r="AL70" s="2">
        <v>0.53894120000000001</v>
      </c>
      <c r="AM70" s="2">
        <v>0.72112452999999999</v>
      </c>
      <c r="AN70" s="2">
        <v>-0.26053584000000002</v>
      </c>
      <c r="AO70" s="2">
        <v>0.66724349999999999</v>
      </c>
      <c r="AP70" s="2">
        <v>1</v>
      </c>
      <c r="AQ70" s="2">
        <v>0.79148689999999999</v>
      </c>
      <c r="AR70" s="2">
        <v>6.1449907000000002E-3</v>
      </c>
      <c r="AS70" s="2">
        <v>0.53250050000000004</v>
      </c>
      <c r="AT70" s="2">
        <v>3.3797494999999997E-2</v>
      </c>
      <c r="AU70" s="2">
        <v>-6.1648639999999998E-2</v>
      </c>
      <c r="AV70" s="2">
        <v>-0.41582844000000002</v>
      </c>
      <c r="AW70" s="2">
        <v>0.76825756000000001</v>
      </c>
      <c r="AX70" s="2">
        <v>0.63331044000000003</v>
      </c>
      <c r="AY70" s="2">
        <v>0.44774114999999998</v>
      </c>
      <c r="AZ70" s="2">
        <v>0.12923783</v>
      </c>
      <c r="BA70" s="2">
        <v>0.80286259999999998</v>
      </c>
      <c r="BB70" s="2">
        <v>0.65136139999999998</v>
      </c>
      <c r="BC70" s="2">
        <v>0.55109965999999999</v>
      </c>
      <c r="BD70" s="2">
        <v>0.74515575000000001</v>
      </c>
      <c r="BE70" s="2">
        <v>0.78168040000000005</v>
      </c>
      <c r="BF70" s="2">
        <v>0.78233350000000002</v>
      </c>
      <c r="BG70" s="2">
        <v>0.70511939999999995</v>
      </c>
      <c r="BH70" s="2">
        <v>0.75280230000000004</v>
      </c>
      <c r="BI70" s="2">
        <v>0.69274579999999997</v>
      </c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</row>
    <row r="71" spans="1:77" x14ac:dyDescent="0.25">
      <c r="A71" s="13" t="str" cm="1">
        <f t="array" ref="A71">_xll.FDS(B71,"FG_COMPANY_NAME")</f>
        <v>Samsung Electronics Co Ltd Pfd  Non-Voting</v>
      </c>
      <c r="B71" s="4" t="str">
        <v>005935-KR</v>
      </c>
      <c r="C71" s="2">
        <v>0.86330825</v>
      </c>
      <c r="D71" s="2">
        <v>0.6113809</v>
      </c>
      <c r="E71" s="2">
        <v>0.77139217000000004</v>
      </c>
      <c r="F71" s="2">
        <v>0.83573896000000003</v>
      </c>
      <c r="G71" s="2">
        <v>0.63376575999999996</v>
      </c>
      <c r="H71" s="2">
        <v>0.78494679999999994</v>
      </c>
      <c r="I71" s="2">
        <v>0.81497710000000001</v>
      </c>
      <c r="J71" s="2">
        <v>0.60133060000000005</v>
      </c>
      <c r="K71" s="2">
        <v>0.18764961999999999</v>
      </c>
      <c r="L71" s="2">
        <v>0.33295754</v>
      </c>
      <c r="M71" s="2">
        <v>0.53204399999999996</v>
      </c>
      <c r="N71" s="2">
        <v>0.59057939999999998</v>
      </c>
      <c r="O71" s="2">
        <v>0.73859023999999995</v>
      </c>
      <c r="P71" s="2">
        <v>0.56439525000000001</v>
      </c>
      <c r="Q71" s="2">
        <v>-0.37481710000000001</v>
      </c>
      <c r="R71" s="2">
        <v>0.39595340000000001</v>
      </c>
      <c r="S71" s="2">
        <v>0.7836069</v>
      </c>
      <c r="T71" s="2">
        <v>-0.28566947999999998</v>
      </c>
      <c r="U71" s="2">
        <v>0.76018569999999996</v>
      </c>
      <c r="V71" s="2">
        <v>-0.34546327999999998</v>
      </c>
      <c r="W71" s="2">
        <v>0.89092404000000003</v>
      </c>
      <c r="X71" s="2">
        <v>-0.2173262</v>
      </c>
      <c r="Y71" s="2">
        <v>0.7988364</v>
      </c>
      <c r="Z71" s="2">
        <v>-0.33126</v>
      </c>
      <c r="AA71" s="2">
        <v>0.49939549999999999</v>
      </c>
      <c r="AB71" s="2">
        <v>0.81975186</v>
      </c>
      <c r="AC71" s="2">
        <v>0.57100600000000001</v>
      </c>
      <c r="AD71" s="2">
        <v>0.42793914999999999</v>
      </c>
      <c r="AE71" s="2">
        <v>0.78879790000000005</v>
      </c>
      <c r="AF71" s="2">
        <v>0.72690284000000005</v>
      </c>
      <c r="AG71" s="2">
        <v>0.77430019999999999</v>
      </c>
      <c r="AH71" s="2">
        <v>-0.37121713000000001</v>
      </c>
      <c r="AI71" s="2">
        <v>-0.48944480000000001</v>
      </c>
      <c r="AJ71" s="2">
        <v>-0.24980374</v>
      </c>
      <c r="AK71" s="2">
        <v>-0.26123420000000003</v>
      </c>
      <c r="AL71" s="2">
        <v>0.42209867000000001</v>
      </c>
      <c r="AM71" s="2">
        <v>0.83813769999999999</v>
      </c>
      <c r="AN71" s="2">
        <v>-0.23194529</v>
      </c>
      <c r="AO71" s="2">
        <v>0.79099900000000001</v>
      </c>
      <c r="AP71" s="2">
        <v>0.79148689999999999</v>
      </c>
      <c r="AQ71" s="2">
        <v>1</v>
      </c>
      <c r="AR71" s="2">
        <v>5.2511505999999999E-2</v>
      </c>
      <c r="AS71" s="2">
        <v>0.69897233999999997</v>
      </c>
      <c r="AT71" s="2">
        <v>-3.0524534999999998E-2</v>
      </c>
      <c r="AU71" s="2">
        <v>-0.15427885999999999</v>
      </c>
      <c r="AV71" s="2">
        <v>-0.52376339999999999</v>
      </c>
      <c r="AW71" s="2">
        <v>0.88024550000000001</v>
      </c>
      <c r="AX71" s="2">
        <v>0.60778195000000002</v>
      </c>
      <c r="AY71" s="2">
        <v>0.53239250000000005</v>
      </c>
      <c r="AZ71" s="2">
        <v>0.37255423999999998</v>
      </c>
      <c r="BA71" s="2">
        <v>0.75393410000000005</v>
      </c>
      <c r="BB71" s="2">
        <v>0.74393069999999994</v>
      </c>
      <c r="BC71" s="2">
        <v>0.70627070000000003</v>
      </c>
      <c r="BD71" s="2">
        <v>0.80047756000000003</v>
      </c>
      <c r="BE71" s="2">
        <v>0.87215069999999995</v>
      </c>
      <c r="BF71" s="2">
        <v>0.78291840000000001</v>
      </c>
      <c r="BG71" s="2">
        <v>0.85312264999999998</v>
      </c>
      <c r="BH71" s="2">
        <v>0.60738130000000001</v>
      </c>
      <c r="BI71" s="2">
        <v>0.65262633999999997</v>
      </c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</row>
    <row r="72" spans="1:77" x14ac:dyDescent="0.25">
      <c r="A72" s="13" t="str" cm="1">
        <f t="array" ref="A72">_xll.FDS(B72,"FG_COMPANY_NAME")</f>
        <v>Sanofi SA</v>
      </c>
      <c r="B72" s="4" t="str">
        <v>SAN-FR</v>
      </c>
      <c r="C72" s="2">
        <v>2.3852182999999999E-2</v>
      </c>
      <c r="D72" s="2">
        <v>6.0988362999999997E-2</v>
      </c>
      <c r="E72" s="2">
        <v>-3.4701287999999997E-2</v>
      </c>
      <c r="F72" s="2">
        <v>-2.6843131999999999E-2</v>
      </c>
      <c r="G72" s="2">
        <v>-7.3552190000000003E-2</v>
      </c>
      <c r="H72" s="2">
        <v>-7.9069640000000007E-3</v>
      </c>
      <c r="I72" s="2">
        <v>9.5127619999999996E-2</v>
      </c>
      <c r="J72" s="2">
        <v>-4.262732E-3</v>
      </c>
      <c r="K72" s="2">
        <v>-0.11016498500000001</v>
      </c>
      <c r="L72" s="2">
        <v>0.20983270000000001</v>
      </c>
      <c r="M72" s="2">
        <v>-4.0347849999999998E-2</v>
      </c>
      <c r="N72" s="2">
        <v>0.2580133</v>
      </c>
      <c r="O72" s="2">
        <v>7.1051984999999998E-2</v>
      </c>
      <c r="P72" s="2">
        <v>2.5835891999999999E-2</v>
      </c>
      <c r="Q72" s="2">
        <v>0.23525842</v>
      </c>
      <c r="R72" s="2">
        <v>0.30659932000000001</v>
      </c>
      <c r="S72" s="2">
        <v>-2.0861488000000001E-2</v>
      </c>
      <c r="T72" s="2">
        <v>2.9999442000000001E-2</v>
      </c>
      <c r="U72" s="2">
        <v>3.6522113000000002E-2</v>
      </c>
      <c r="V72" s="2">
        <v>0.22094826000000001</v>
      </c>
      <c r="W72" s="2">
        <v>-4.2749773999999997E-2</v>
      </c>
      <c r="X72" s="2">
        <v>0.14774276</v>
      </c>
      <c r="Y72" s="2">
        <v>-4.3271034999999999E-2</v>
      </c>
      <c r="Z72" s="2">
        <v>0.31289127</v>
      </c>
      <c r="AA72" s="2">
        <v>5.2855804999999999E-2</v>
      </c>
      <c r="AB72" s="2">
        <v>-8.2116629999999996E-2</v>
      </c>
      <c r="AC72" s="2">
        <v>0.16843158</v>
      </c>
      <c r="AD72" s="2">
        <v>-5.9979062999999999E-2</v>
      </c>
      <c r="AE72" s="2">
        <v>4.6781169999999997E-2</v>
      </c>
      <c r="AF72" s="2">
        <v>0.24925907999999999</v>
      </c>
      <c r="AG72" s="2">
        <v>0.15488255000000001</v>
      </c>
      <c r="AH72" s="2">
        <v>0.21998787</v>
      </c>
      <c r="AI72" s="2">
        <v>0.15725017999999999</v>
      </c>
      <c r="AJ72" s="2">
        <v>8.5136555000000003E-2</v>
      </c>
      <c r="AK72" s="2">
        <v>0.15498972999999999</v>
      </c>
      <c r="AL72" s="2">
        <v>-0.14236756</v>
      </c>
      <c r="AM72" s="2">
        <v>-1.4587620000000001E-2</v>
      </c>
      <c r="AN72" s="2">
        <v>1.9776450000000001E-2</v>
      </c>
      <c r="AO72" s="2">
        <v>-5.2047450000000002E-2</v>
      </c>
      <c r="AP72" s="2">
        <v>6.1449907000000002E-3</v>
      </c>
      <c r="AQ72" s="2">
        <v>5.2511505999999999E-2</v>
      </c>
      <c r="AR72" s="2">
        <v>1</v>
      </c>
      <c r="AS72" s="2">
        <v>-7.6711520000000005E-2</v>
      </c>
      <c r="AT72" s="2">
        <v>0.12523401000000001</v>
      </c>
      <c r="AU72" s="2">
        <v>7.9776349999999996E-2</v>
      </c>
      <c r="AV72" s="2">
        <v>0.14740054</v>
      </c>
      <c r="AW72" s="2">
        <v>7.2359845000000006E-2</v>
      </c>
      <c r="AX72" s="2">
        <v>6.5582774999999996E-2</v>
      </c>
      <c r="AY72" s="2">
        <v>0.21646288</v>
      </c>
      <c r="AZ72" s="2">
        <v>0.16449331</v>
      </c>
      <c r="BA72" s="2">
        <v>-4.3807430000000001E-2</v>
      </c>
      <c r="BB72" s="2">
        <v>5.4263723999999998E-3</v>
      </c>
      <c r="BC72" s="2">
        <v>-4.2555623000000001E-2</v>
      </c>
      <c r="BD72" s="2">
        <v>-5.8529127E-2</v>
      </c>
      <c r="BE72" s="2">
        <v>4.2992490000000001E-2</v>
      </c>
      <c r="BF72" s="2">
        <v>-0.14042124</v>
      </c>
      <c r="BG72" s="2">
        <v>-6.2200449999999997E-2</v>
      </c>
      <c r="BH72" s="2">
        <v>7.4278810000000001E-2</v>
      </c>
      <c r="BI72" s="2">
        <v>0.17205271</v>
      </c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</row>
    <row r="73" spans="1:77" x14ac:dyDescent="0.25">
      <c r="A73" s="13" t="str" cm="1">
        <f t="array" ref="A73">_xll.FDS(B73,"FG_COMPANY_NAME")</f>
        <v>SES SA FDR (Class A)</v>
      </c>
      <c r="B73" s="4" t="str">
        <v>SESG-FR</v>
      </c>
      <c r="C73" s="2">
        <v>0.63711773999999999</v>
      </c>
      <c r="D73" s="2">
        <v>0.58684563999999995</v>
      </c>
      <c r="E73" s="2">
        <v>0.73365473999999997</v>
      </c>
      <c r="F73" s="2">
        <v>0.71926343000000004</v>
      </c>
      <c r="G73" s="2">
        <v>0.46410656</v>
      </c>
      <c r="H73" s="2">
        <v>0.65712599999999999</v>
      </c>
      <c r="I73" s="2">
        <v>0.60351049999999995</v>
      </c>
      <c r="J73" s="2">
        <v>0.75737679999999996</v>
      </c>
      <c r="K73" s="2">
        <v>0.44169580000000003</v>
      </c>
      <c r="L73" s="2">
        <v>0.34377026999999999</v>
      </c>
      <c r="M73" s="2">
        <v>0.59775100000000003</v>
      </c>
      <c r="N73" s="2">
        <v>0.55222905</v>
      </c>
      <c r="O73" s="2">
        <v>0.59848045999999999</v>
      </c>
      <c r="P73" s="2">
        <v>0.53067059999999999</v>
      </c>
      <c r="Q73" s="2">
        <v>-0.38682312000000002</v>
      </c>
      <c r="R73" s="2">
        <v>0.35962406000000002</v>
      </c>
      <c r="S73" s="2">
        <v>0.73509809999999998</v>
      </c>
      <c r="T73" s="2">
        <v>-0.22028410000000001</v>
      </c>
      <c r="U73" s="2">
        <v>0.34641864999999999</v>
      </c>
      <c r="V73" s="2">
        <v>-0.52422272999999997</v>
      </c>
      <c r="W73" s="2">
        <v>0.71056249999999999</v>
      </c>
      <c r="X73" s="2">
        <v>-0.26123455000000001</v>
      </c>
      <c r="Y73" s="2">
        <v>0.71656050000000004</v>
      </c>
      <c r="Z73" s="2">
        <v>-0.28872510000000001</v>
      </c>
      <c r="AA73" s="2">
        <v>0.36762040000000001</v>
      </c>
      <c r="AB73" s="2">
        <v>0.63539939999999995</v>
      </c>
      <c r="AC73" s="2">
        <v>0.2749548</v>
      </c>
      <c r="AD73" s="2">
        <v>0.34508680000000003</v>
      </c>
      <c r="AE73" s="2">
        <v>0.57149004999999997</v>
      </c>
      <c r="AF73" s="2">
        <v>0.41158541999999998</v>
      </c>
      <c r="AG73" s="2">
        <v>0.4104199</v>
      </c>
      <c r="AH73" s="2">
        <v>-0.47706939999999998</v>
      </c>
      <c r="AI73" s="2">
        <v>-0.43417367000000001</v>
      </c>
      <c r="AJ73" s="2">
        <v>-0.21289292000000001</v>
      </c>
      <c r="AK73" s="2">
        <v>-0.28667327999999997</v>
      </c>
      <c r="AL73" s="2">
        <v>0.6114579</v>
      </c>
      <c r="AM73" s="2">
        <v>0.66117256999999996</v>
      </c>
      <c r="AN73" s="2">
        <v>-0.14630409</v>
      </c>
      <c r="AO73" s="2">
        <v>0.71553593999999998</v>
      </c>
      <c r="AP73" s="2">
        <v>0.53250050000000004</v>
      </c>
      <c r="AQ73" s="2">
        <v>0.69897233999999997</v>
      </c>
      <c r="AR73" s="2">
        <v>-7.6711520000000005E-2</v>
      </c>
      <c r="AS73" s="2">
        <v>1</v>
      </c>
      <c r="AT73" s="2">
        <v>-9.5897869999999996E-2</v>
      </c>
      <c r="AU73" s="2">
        <v>-3.7722635999999997E-2</v>
      </c>
      <c r="AV73" s="2">
        <v>-0.42223769999999999</v>
      </c>
      <c r="AW73" s="2">
        <v>0.63651663000000003</v>
      </c>
      <c r="AX73" s="2">
        <v>0.51287632999999999</v>
      </c>
      <c r="AY73" s="2">
        <v>0.31576270000000001</v>
      </c>
      <c r="AZ73" s="2">
        <v>7.5917419999999999E-2</v>
      </c>
      <c r="BA73" s="2">
        <v>0.77763545999999995</v>
      </c>
      <c r="BB73" s="2">
        <v>0.64691275000000004</v>
      </c>
      <c r="BC73" s="2">
        <v>0.43615785000000001</v>
      </c>
      <c r="BD73" s="2">
        <v>0.78337009999999996</v>
      </c>
      <c r="BE73" s="2">
        <v>0.62641069999999999</v>
      </c>
      <c r="BF73" s="2">
        <v>0.81032353999999995</v>
      </c>
      <c r="BG73" s="2">
        <v>0.66717349999999997</v>
      </c>
      <c r="BH73" s="2">
        <v>0.37268642000000002</v>
      </c>
      <c r="BI73" s="2">
        <v>0.39151216</v>
      </c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</row>
    <row r="74" spans="1:77" x14ac:dyDescent="0.25">
      <c r="A74" s="13" t="str" cm="1">
        <f t="array" ref="A74">_xll.FDS(B74,"FG_COMPANY_NAME")</f>
        <v>Shinhan Financial Group Co., Ltd.</v>
      </c>
      <c r="B74" s="4" t="str">
        <v>055550-KR</v>
      </c>
      <c r="C74" s="2">
        <v>-0.22294823999999999</v>
      </c>
      <c r="D74" s="2">
        <v>2.0560918000000001E-2</v>
      </c>
      <c r="E74" s="2">
        <v>-0.13267863999999999</v>
      </c>
      <c r="F74" s="2">
        <v>-0.25334388000000002</v>
      </c>
      <c r="G74" s="2">
        <v>-0.14415323999999999</v>
      </c>
      <c r="H74" s="2">
        <v>-0.23566069000000001</v>
      </c>
      <c r="I74" s="2">
        <v>-4.4960655000000002E-2</v>
      </c>
      <c r="J74" s="2">
        <v>-0.465283</v>
      </c>
      <c r="K74" s="2">
        <v>-0.52211039999999997</v>
      </c>
      <c r="L74" s="2">
        <v>0.61412339999999999</v>
      </c>
      <c r="M74" s="2">
        <v>-0.47899459999999999</v>
      </c>
      <c r="N74" s="2">
        <v>-0.43396318</v>
      </c>
      <c r="O74" s="2">
        <v>0.10443663</v>
      </c>
      <c r="P74" s="2">
        <v>-0.47367373000000002</v>
      </c>
      <c r="Q74" s="2">
        <v>0.37921431999999999</v>
      </c>
      <c r="R74" s="2">
        <v>0.36644800999999999</v>
      </c>
      <c r="S74" s="2">
        <v>7.5179315999999996E-2</v>
      </c>
      <c r="T74" s="2">
        <v>-0.41763677999999999</v>
      </c>
      <c r="U74" s="2">
        <v>0.10660843</v>
      </c>
      <c r="V74" s="2">
        <v>0.66496646000000004</v>
      </c>
      <c r="W74" s="2">
        <v>-0.26493597000000002</v>
      </c>
      <c r="X74" s="2">
        <v>0.94876223999999998</v>
      </c>
      <c r="Y74" s="2">
        <v>-0.40439585</v>
      </c>
      <c r="Z74" s="2">
        <v>0.66739899999999996</v>
      </c>
      <c r="AA74" s="2">
        <v>-0.54576594</v>
      </c>
      <c r="AB74" s="2">
        <v>-0.42175240000000003</v>
      </c>
      <c r="AC74" s="2">
        <v>-0.50848453999999998</v>
      </c>
      <c r="AD74" s="2">
        <v>-0.13430444999999999</v>
      </c>
      <c r="AE74" s="2">
        <v>-0.42928165000000001</v>
      </c>
      <c r="AF74" s="2">
        <v>0.22484699</v>
      </c>
      <c r="AG74" s="2">
        <v>0.23523693000000001</v>
      </c>
      <c r="AH74" s="2">
        <v>-0.31432294999999999</v>
      </c>
      <c r="AI74" s="2">
        <v>0.7621812</v>
      </c>
      <c r="AJ74" s="2">
        <v>0.17619119999999999</v>
      </c>
      <c r="AK74" s="2">
        <v>0.80268466000000005</v>
      </c>
      <c r="AL74" s="2">
        <v>-0.43899357</v>
      </c>
      <c r="AM74" s="2">
        <v>-0.30740030000000002</v>
      </c>
      <c r="AN74" s="2">
        <v>0.100486435</v>
      </c>
      <c r="AO74" s="2">
        <v>-0.45394869999999998</v>
      </c>
      <c r="AP74" s="2">
        <v>3.3797494999999997E-2</v>
      </c>
      <c r="AQ74" s="2">
        <v>-3.0524534999999998E-2</v>
      </c>
      <c r="AR74" s="2">
        <v>0.12523401000000001</v>
      </c>
      <c r="AS74" s="2">
        <v>-9.5897869999999996E-2</v>
      </c>
      <c r="AT74" s="2">
        <v>1</v>
      </c>
      <c r="AU74" s="2">
        <v>0.70387787000000002</v>
      </c>
      <c r="AV74" s="2">
        <v>0.71367073000000003</v>
      </c>
      <c r="AW74" s="2">
        <v>-9.9365839999999997E-2</v>
      </c>
      <c r="AX74" s="2">
        <v>-0.50498222999999998</v>
      </c>
      <c r="AY74" s="2">
        <v>-0.13727887</v>
      </c>
      <c r="AZ74" s="2">
        <v>0.36337984000000001</v>
      </c>
      <c r="BA74" s="2">
        <v>-0.12808386999999999</v>
      </c>
      <c r="BB74" s="2">
        <v>0.13782920000000001</v>
      </c>
      <c r="BC74" s="2">
        <v>-4.0916525000000002E-2</v>
      </c>
      <c r="BD74" s="2">
        <v>-4.739165E-2</v>
      </c>
      <c r="BE74" s="2">
        <v>-0.21135876000000001</v>
      </c>
      <c r="BF74" s="2">
        <v>-0.39658162000000002</v>
      </c>
      <c r="BG74" s="2">
        <v>-0.28787376999999997</v>
      </c>
      <c r="BH74" s="2">
        <v>0.13402939</v>
      </c>
      <c r="BI74" s="2">
        <v>-0.38900283000000002</v>
      </c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</row>
    <row r="75" spans="1:77" x14ac:dyDescent="0.25">
      <c r="A75" s="13" t="str" cm="1">
        <f t="array" ref="A75">_xll.FDS(B75,"FG_COMPANY_NAME")</f>
        <v>Societe Generale S.A. Class A</v>
      </c>
      <c r="B75" s="4" t="str">
        <v>GLE-FR</v>
      </c>
      <c r="C75" s="2">
        <v>-0.26054551999999997</v>
      </c>
      <c r="D75" s="2">
        <v>-4.7591836000000004E-3</v>
      </c>
      <c r="E75" s="2">
        <v>-0.15041003</v>
      </c>
      <c r="F75" s="2">
        <v>-0.19119304000000001</v>
      </c>
      <c r="G75" s="2">
        <v>-0.18541506999999999</v>
      </c>
      <c r="H75" s="2">
        <v>-0.20946822000000001</v>
      </c>
      <c r="I75" s="2">
        <v>-3.6272976999999998E-2</v>
      </c>
      <c r="J75" s="2">
        <v>-0.39100750000000001</v>
      </c>
      <c r="K75" s="2">
        <v>-0.46677479999999999</v>
      </c>
      <c r="L75" s="2">
        <v>0.61081236999999999</v>
      </c>
      <c r="M75" s="2">
        <v>-0.26050600000000002</v>
      </c>
      <c r="N75" s="2">
        <v>-0.38892280000000001</v>
      </c>
      <c r="O75" s="2">
        <v>0.13463041000000001</v>
      </c>
      <c r="P75" s="2">
        <v>-0.5917519</v>
      </c>
      <c r="Q75" s="2">
        <v>0.46287292000000002</v>
      </c>
      <c r="R75" s="2">
        <v>0.19078758000000001</v>
      </c>
      <c r="S75" s="2">
        <v>0.14611904000000001</v>
      </c>
      <c r="T75" s="2">
        <v>-0.44418594</v>
      </c>
      <c r="U75" s="2">
        <v>-1.4284187E-2</v>
      </c>
      <c r="V75" s="2">
        <v>0.54313694999999995</v>
      </c>
      <c r="W75" s="2">
        <v>-0.25590237999999998</v>
      </c>
      <c r="X75" s="2">
        <v>0.75026590000000004</v>
      </c>
      <c r="Y75" s="2">
        <v>-0.35884031999999999</v>
      </c>
      <c r="Z75" s="2">
        <v>0.83942320000000004</v>
      </c>
      <c r="AA75" s="2">
        <v>-0.65477395000000005</v>
      </c>
      <c r="AB75" s="2">
        <v>-0.38802302</v>
      </c>
      <c r="AC75" s="2">
        <v>-0.74565239999999999</v>
      </c>
      <c r="AD75" s="2">
        <v>-0.15824205</v>
      </c>
      <c r="AE75" s="2">
        <v>-0.53243859999999998</v>
      </c>
      <c r="AF75" s="2">
        <v>0.16621858</v>
      </c>
      <c r="AG75" s="2">
        <v>3.2997508000000002E-2</v>
      </c>
      <c r="AH75" s="2">
        <v>-0.22625269000000001</v>
      </c>
      <c r="AI75" s="2">
        <v>0.84457059999999995</v>
      </c>
      <c r="AJ75" s="2">
        <v>9.1203649999999997E-2</v>
      </c>
      <c r="AK75" s="2">
        <v>0.84349870000000005</v>
      </c>
      <c r="AL75" s="2">
        <v>-0.41359305000000002</v>
      </c>
      <c r="AM75" s="2">
        <v>-0.36935984999999999</v>
      </c>
      <c r="AN75" s="2">
        <v>0.27308035000000003</v>
      </c>
      <c r="AO75" s="2">
        <v>-0.33840039999999999</v>
      </c>
      <c r="AP75" s="2">
        <v>-6.1648639999999998E-2</v>
      </c>
      <c r="AQ75" s="2">
        <v>-0.15427885999999999</v>
      </c>
      <c r="AR75" s="2">
        <v>7.9776349999999996E-2</v>
      </c>
      <c r="AS75" s="2">
        <v>-3.7722635999999997E-2</v>
      </c>
      <c r="AT75" s="2">
        <v>0.70387787000000002</v>
      </c>
      <c r="AU75" s="2">
        <v>1</v>
      </c>
      <c r="AV75" s="2">
        <v>0.83042950000000004</v>
      </c>
      <c r="AW75" s="2">
        <v>-0.20787595</v>
      </c>
      <c r="AX75" s="2">
        <v>-0.43156895000000001</v>
      </c>
      <c r="AY75" s="2">
        <v>-0.17465422</v>
      </c>
      <c r="AZ75" s="2">
        <v>0.45778550000000001</v>
      </c>
      <c r="BA75" s="2">
        <v>-9.3256229999999996E-2</v>
      </c>
      <c r="BB75" s="2">
        <v>-1.2836514E-2</v>
      </c>
      <c r="BC75" s="2">
        <v>-0.27498763999999998</v>
      </c>
      <c r="BD75" s="2">
        <v>-0.10394676999999999</v>
      </c>
      <c r="BE75" s="2">
        <v>-0.14096986</v>
      </c>
      <c r="BF75" s="2">
        <v>-0.2972398</v>
      </c>
      <c r="BG75" s="2">
        <v>-0.38197144999999999</v>
      </c>
      <c r="BH75" s="2">
        <v>-2.5296168000000001E-2</v>
      </c>
      <c r="BI75" s="2">
        <v>-0.47569084</v>
      </c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</row>
    <row r="76" spans="1:77" x14ac:dyDescent="0.25">
      <c r="A76" s="13" t="str" cm="1">
        <f t="array" ref="A76">_xll.FDS(B76,"FG_COMPANY_NAME")</f>
        <v>Standard Chartered PLC</v>
      </c>
      <c r="B76" s="4" t="str">
        <v>STAN-GB</v>
      </c>
      <c r="C76" s="2">
        <v>-0.58098214999999997</v>
      </c>
      <c r="D76" s="2">
        <v>-0.28652074999999999</v>
      </c>
      <c r="E76" s="2">
        <v>-0.50973254000000001</v>
      </c>
      <c r="F76" s="2">
        <v>-0.61894804000000003</v>
      </c>
      <c r="G76" s="2">
        <v>-0.35834231999999999</v>
      </c>
      <c r="H76" s="2">
        <v>-0.55800740000000004</v>
      </c>
      <c r="I76" s="2">
        <v>-0.40635458000000002</v>
      </c>
      <c r="J76" s="2">
        <v>-0.67717369999999999</v>
      </c>
      <c r="K76" s="2">
        <v>-0.57870730000000004</v>
      </c>
      <c r="L76" s="2">
        <v>0.34676129999999999</v>
      </c>
      <c r="M76" s="2">
        <v>-0.54459685000000002</v>
      </c>
      <c r="N76" s="2">
        <v>-0.64496609999999999</v>
      </c>
      <c r="O76" s="2">
        <v>-0.21913247999999999</v>
      </c>
      <c r="P76" s="2">
        <v>-0.80919653000000002</v>
      </c>
      <c r="Q76" s="2">
        <v>0.59028332999999999</v>
      </c>
      <c r="R76" s="2">
        <v>2.1672070000000002E-2</v>
      </c>
      <c r="S76" s="2">
        <v>-0.27151999999999998</v>
      </c>
      <c r="T76" s="2">
        <v>-0.18559398999999999</v>
      </c>
      <c r="U76" s="2">
        <v>-0.32208413000000002</v>
      </c>
      <c r="V76" s="2">
        <v>0.76342993999999997</v>
      </c>
      <c r="W76" s="2">
        <v>-0.62255300000000002</v>
      </c>
      <c r="X76" s="2">
        <v>0.82526535000000001</v>
      </c>
      <c r="Y76" s="2">
        <v>-0.72878419999999999</v>
      </c>
      <c r="Z76" s="2">
        <v>0.81323650000000003</v>
      </c>
      <c r="AA76" s="2">
        <v>-0.78435354999999995</v>
      </c>
      <c r="AB76" s="2">
        <v>-0.74284720000000004</v>
      </c>
      <c r="AC76" s="2">
        <v>-0.79105190000000003</v>
      </c>
      <c r="AD76" s="2">
        <v>-0.40218344</v>
      </c>
      <c r="AE76" s="2">
        <v>-0.81871015000000003</v>
      </c>
      <c r="AF76" s="2">
        <v>-0.12363889</v>
      </c>
      <c r="AG76" s="2">
        <v>-0.27745154999999999</v>
      </c>
      <c r="AH76" s="2">
        <v>4.8347389999999997E-2</v>
      </c>
      <c r="AI76" s="2">
        <v>0.95882089999999998</v>
      </c>
      <c r="AJ76" s="2">
        <v>0.21173285</v>
      </c>
      <c r="AK76" s="2">
        <v>0.8834649</v>
      </c>
      <c r="AL76" s="2">
        <v>-0.68753569999999997</v>
      </c>
      <c r="AM76" s="2">
        <v>-0.72542404999999999</v>
      </c>
      <c r="AN76" s="2">
        <v>0.34478676000000003</v>
      </c>
      <c r="AO76" s="2">
        <v>-0.69353556999999999</v>
      </c>
      <c r="AP76" s="2">
        <v>-0.41582844000000002</v>
      </c>
      <c r="AQ76" s="2">
        <v>-0.52376339999999999</v>
      </c>
      <c r="AR76" s="2">
        <v>0.14740054</v>
      </c>
      <c r="AS76" s="2">
        <v>-0.42223769999999999</v>
      </c>
      <c r="AT76" s="2">
        <v>0.71367073000000003</v>
      </c>
      <c r="AU76" s="2">
        <v>0.83042950000000004</v>
      </c>
      <c r="AV76" s="2">
        <v>1</v>
      </c>
      <c r="AW76" s="2">
        <v>-0.57494133999999997</v>
      </c>
      <c r="AX76" s="2">
        <v>-0.67247546000000002</v>
      </c>
      <c r="AY76" s="2">
        <v>-0.36101686999999999</v>
      </c>
      <c r="AZ76" s="2">
        <v>0.32296960000000002</v>
      </c>
      <c r="BA76" s="2">
        <v>-0.49913849999999998</v>
      </c>
      <c r="BB76" s="2">
        <v>-0.34688323999999998</v>
      </c>
      <c r="BC76" s="2">
        <v>-0.45502225000000002</v>
      </c>
      <c r="BD76" s="2">
        <v>-0.47039140000000002</v>
      </c>
      <c r="BE76" s="2">
        <v>-0.5420374</v>
      </c>
      <c r="BF76" s="2">
        <v>-0.77245759999999997</v>
      </c>
      <c r="BG76" s="2">
        <v>-0.69808429999999999</v>
      </c>
      <c r="BH76" s="2">
        <v>-0.3003498</v>
      </c>
      <c r="BI76" s="2">
        <v>-0.72323590000000004</v>
      </c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</row>
    <row r="77" spans="1:77" x14ac:dyDescent="0.25">
      <c r="A77" s="13" t="str" cm="1">
        <f t="array" ref="A77">_xll.FDS(B77,"FG_COMPANY_NAME")</f>
        <v>Stanley Black &amp; Decker, Inc.</v>
      </c>
      <c r="B77" s="4" t="str">
        <v>SWK-US</v>
      </c>
      <c r="C77" s="2">
        <v>0.89502570000000004</v>
      </c>
      <c r="D77" s="2">
        <v>0.60599446000000001</v>
      </c>
      <c r="E77" s="2">
        <v>0.86349045999999996</v>
      </c>
      <c r="F77" s="2">
        <v>0.86803406000000005</v>
      </c>
      <c r="G77" s="2">
        <v>0.68995326999999995</v>
      </c>
      <c r="H77" s="2">
        <v>0.77850573999999995</v>
      </c>
      <c r="I77" s="2">
        <v>0.89687320000000004</v>
      </c>
      <c r="J77" s="2">
        <v>0.59248023999999999</v>
      </c>
      <c r="K77" s="2">
        <v>0.29755082999999999</v>
      </c>
      <c r="L77" s="2">
        <v>0.36151800000000001</v>
      </c>
      <c r="M77" s="2">
        <v>0.50824179999999997</v>
      </c>
      <c r="N77" s="2">
        <v>0.54554320000000001</v>
      </c>
      <c r="O77" s="2">
        <v>0.81394224999999998</v>
      </c>
      <c r="P77" s="2">
        <v>0.6113191</v>
      </c>
      <c r="Q77" s="2">
        <v>-0.57204310000000003</v>
      </c>
      <c r="R77" s="2">
        <v>0.29720750000000001</v>
      </c>
      <c r="S77" s="2">
        <v>0.80511520000000003</v>
      </c>
      <c r="T77" s="2">
        <v>-0.46871960000000001</v>
      </c>
      <c r="U77" s="2">
        <v>0.69947389999999998</v>
      </c>
      <c r="V77" s="2">
        <v>-0.43676700000000002</v>
      </c>
      <c r="W77" s="2">
        <v>0.8628188</v>
      </c>
      <c r="X77" s="2">
        <v>-0.2464597</v>
      </c>
      <c r="Y77" s="2">
        <v>0.82532490000000003</v>
      </c>
      <c r="Z77" s="2">
        <v>-0.33014768</v>
      </c>
      <c r="AA77" s="2">
        <v>0.45361230000000002</v>
      </c>
      <c r="AB77" s="2">
        <v>0.81914883999999999</v>
      </c>
      <c r="AC77" s="2">
        <v>0.53422159999999996</v>
      </c>
      <c r="AD77" s="2">
        <v>0.33110119999999998</v>
      </c>
      <c r="AE77" s="2">
        <v>0.84028833999999997</v>
      </c>
      <c r="AF77" s="2">
        <v>0.76782700000000004</v>
      </c>
      <c r="AG77" s="2">
        <v>0.85645216999999996</v>
      </c>
      <c r="AH77" s="2">
        <v>-0.41260269999999999</v>
      </c>
      <c r="AI77" s="2">
        <v>-0.51673572999999995</v>
      </c>
      <c r="AJ77" s="2">
        <v>-0.28117013000000002</v>
      </c>
      <c r="AK77" s="2">
        <v>-0.27088245999999999</v>
      </c>
      <c r="AL77" s="2">
        <v>0.47974554000000003</v>
      </c>
      <c r="AM77" s="2">
        <v>0.93247060000000004</v>
      </c>
      <c r="AN77" s="2">
        <v>-0.56665359999999998</v>
      </c>
      <c r="AO77" s="2">
        <v>0.71363770000000004</v>
      </c>
      <c r="AP77" s="2">
        <v>0.76825756000000001</v>
      </c>
      <c r="AQ77" s="2">
        <v>0.88024550000000001</v>
      </c>
      <c r="AR77" s="2">
        <v>7.2359845000000006E-2</v>
      </c>
      <c r="AS77" s="2">
        <v>0.63651663000000003</v>
      </c>
      <c r="AT77" s="2">
        <v>-9.9365839999999997E-2</v>
      </c>
      <c r="AU77" s="2">
        <v>-0.20787595</v>
      </c>
      <c r="AV77" s="2">
        <v>-0.57494133999999997</v>
      </c>
      <c r="AW77" s="2">
        <v>1</v>
      </c>
      <c r="AX77" s="2">
        <v>0.56306829999999997</v>
      </c>
      <c r="AY77" s="2">
        <v>0.34070662000000002</v>
      </c>
      <c r="AZ77" s="2">
        <v>0.30014010000000002</v>
      </c>
      <c r="BA77" s="2">
        <v>0.77260523999999997</v>
      </c>
      <c r="BB77" s="2">
        <v>0.87696403000000001</v>
      </c>
      <c r="BC77" s="2">
        <v>0.80965330000000002</v>
      </c>
      <c r="BD77" s="2">
        <v>0.86098503999999998</v>
      </c>
      <c r="BE77" s="2">
        <v>0.88342080000000001</v>
      </c>
      <c r="BF77" s="2">
        <v>0.78659064000000001</v>
      </c>
      <c r="BG77" s="2">
        <v>0.92721074999999997</v>
      </c>
      <c r="BH77" s="2">
        <v>0.71264939999999999</v>
      </c>
      <c r="BI77" s="2">
        <v>0.76443729999999999</v>
      </c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</row>
    <row r="78" spans="1:77" x14ac:dyDescent="0.25">
      <c r="A78" s="13" t="str" cm="1">
        <f t="array" ref="A78">_xll.FDS(B78,"FG_COMPANY_NAME")</f>
        <v>Swatch Group Ltd. Bearer</v>
      </c>
      <c r="B78" s="4" t="str">
        <v>UHR-CH</v>
      </c>
      <c r="C78" s="2">
        <v>0.63410794999999998</v>
      </c>
      <c r="D78" s="2">
        <v>0.46627610000000003</v>
      </c>
      <c r="E78" s="2">
        <v>0.57088285999999999</v>
      </c>
      <c r="F78" s="2">
        <v>0.77335509999999996</v>
      </c>
      <c r="G78" s="2">
        <v>0.38419979999999998</v>
      </c>
      <c r="H78" s="2">
        <v>0.76734095999999996</v>
      </c>
      <c r="I78" s="2">
        <v>0.51659880000000002</v>
      </c>
      <c r="J78" s="2">
        <v>0.81160754000000002</v>
      </c>
      <c r="K78" s="2">
        <v>0.57832943999999997</v>
      </c>
      <c r="L78" s="2">
        <v>-2.5120904999999999E-2</v>
      </c>
      <c r="M78" s="2">
        <v>0.90112924999999999</v>
      </c>
      <c r="N78" s="2">
        <v>0.80201149999999999</v>
      </c>
      <c r="O78" s="2">
        <v>0.40688202000000001</v>
      </c>
      <c r="P78" s="2">
        <v>0.70253889999999997</v>
      </c>
      <c r="Q78" s="2">
        <v>-0.35422182000000002</v>
      </c>
      <c r="R78" s="2">
        <v>-4.060822E-2</v>
      </c>
      <c r="S78" s="2">
        <v>0.51516530000000005</v>
      </c>
      <c r="T78" s="2">
        <v>0.10474938</v>
      </c>
      <c r="U78" s="2">
        <v>0.30337286000000002</v>
      </c>
      <c r="V78" s="2">
        <v>-0.52138764000000004</v>
      </c>
      <c r="W78" s="2">
        <v>0.62020284000000003</v>
      </c>
      <c r="X78" s="2">
        <v>-0.65457564999999995</v>
      </c>
      <c r="Y78" s="2">
        <v>0.85527929999999996</v>
      </c>
      <c r="Z78" s="2">
        <v>-0.4384787</v>
      </c>
      <c r="AA78" s="2">
        <v>0.73699170000000003</v>
      </c>
      <c r="AB78" s="2">
        <v>0.81177069999999996</v>
      </c>
      <c r="AC78" s="2">
        <v>0.62702440000000004</v>
      </c>
      <c r="AD78" s="2">
        <v>0.39135617</v>
      </c>
      <c r="AE78" s="2">
        <v>0.77469239999999995</v>
      </c>
      <c r="AF78" s="2">
        <v>0.2074233</v>
      </c>
      <c r="AG78" s="2">
        <v>0.32321253</v>
      </c>
      <c r="AH78" s="2">
        <v>-3.9815243E-2</v>
      </c>
      <c r="AI78" s="2">
        <v>-0.68134636000000004</v>
      </c>
      <c r="AJ78" s="2">
        <v>-0.23129116999999999</v>
      </c>
      <c r="AK78" s="2">
        <v>-0.70649390000000001</v>
      </c>
      <c r="AL78" s="2">
        <v>0.62275610000000003</v>
      </c>
      <c r="AM78" s="2">
        <v>0.70601444999999996</v>
      </c>
      <c r="AN78" s="2">
        <v>-7.9534369999999993E-2</v>
      </c>
      <c r="AO78" s="2">
        <v>0.84664225999999998</v>
      </c>
      <c r="AP78" s="2">
        <v>0.63331044000000003</v>
      </c>
      <c r="AQ78" s="2">
        <v>0.60778195000000002</v>
      </c>
      <c r="AR78" s="2">
        <v>6.5582774999999996E-2</v>
      </c>
      <c r="AS78" s="2">
        <v>0.51287632999999999</v>
      </c>
      <c r="AT78" s="2">
        <v>-0.50498222999999998</v>
      </c>
      <c r="AU78" s="2">
        <v>-0.43156895000000001</v>
      </c>
      <c r="AV78" s="2">
        <v>-0.67247546000000002</v>
      </c>
      <c r="AW78" s="2">
        <v>0.56306829999999997</v>
      </c>
      <c r="AX78" s="2">
        <v>1</v>
      </c>
      <c r="AY78" s="2">
        <v>0.49615072999999998</v>
      </c>
      <c r="AZ78" s="2">
        <v>-8.6379830000000005E-2</v>
      </c>
      <c r="BA78" s="2">
        <v>0.57892655999999998</v>
      </c>
      <c r="BB78" s="2">
        <v>0.28237978000000002</v>
      </c>
      <c r="BC78" s="2">
        <v>0.41234142000000001</v>
      </c>
      <c r="BD78" s="2">
        <v>0.52349639999999997</v>
      </c>
      <c r="BE78" s="2">
        <v>0.68270030000000004</v>
      </c>
      <c r="BF78" s="2">
        <v>0.78458786000000003</v>
      </c>
      <c r="BG78" s="2">
        <v>0.60487789999999997</v>
      </c>
      <c r="BH78" s="2">
        <v>0.30140465</v>
      </c>
      <c r="BI78" s="2">
        <v>0.71460520000000005</v>
      </c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</row>
    <row r="79" spans="1:77" x14ac:dyDescent="0.25">
      <c r="A79" s="13" t="str" cm="1">
        <f t="array" ref="A79">_xll.FDS(B79,"FG_COMPANY_NAME")</f>
        <v>Ternium S.A. Sponsored ADR</v>
      </c>
      <c r="B79" s="4" t="str">
        <v>TX-US</v>
      </c>
      <c r="C79" s="2">
        <v>0.28778666000000003</v>
      </c>
      <c r="D79" s="2">
        <v>0.3373604</v>
      </c>
      <c r="E79" s="2">
        <v>0.22135694</v>
      </c>
      <c r="F79" s="2">
        <v>0.46931215999999998</v>
      </c>
      <c r="G79" s="2">
        <v>-0.18205702000000001</v>
      </c>
      <c r="H79" s="2">
        <v>0.56419956999999998</v>
      </c>
      <c r="I79" s="2">
        <v>0.18800230000000001</v>
      </c>
      <c r="J79" s="2">
        <v>0.324602</v>
      </c>
      <c r="K79" s="2">
        <v>0.13142862999999999</v>
      </c>
      <c r="L79" s="2">
        <v>0.10643344</v>
      </c>
      <c r="M79" s="2">
        <v>0.36925999999999998</v>
      </c>
      <c r="N79" s="2">
        <v>0.57999973999999999</v>
      </c>
      <c r="O79" s="2">
        <v>0.11304308</v>
      </c>
      <c r="P79" s="2">
        <v>0.56231176999999999</v>
      </c>
      <c r="Q79" s="2">
        <v>0.16042666</v>
      </c>
      <c r="R79" s="2">
        <v>0.45103707999999998</v>
      </c>
      <c r="S79" s="2">
        <v>0.22220345</v>
      </c>
      <c r="T79" s="2">
        <v>0.30955178</v>
      </c>
      <c r="U79" s="2">
        <v>0.46816716000000003</v>
      </c>
      <c r="V79" s="2">
        <v>-4.2002127E-2</v>
      </c>
      <c r="W79" s="2">
        <v>0.45274281999999999</v>
      </c>
      <c r="X79" s="2">
        <v>-0.2521042</v>
      </c>
      <c r="Y79" s="2">
        <v>0.41056362000000002</v>
      </c>
      <c r="Z79" s="2">
        <v>-0.13164048</v>
      </c>
      <c r="AA79" s="2">
        <v>0.46506570000000003</v>
      </c>
      <c r="AB79" s="2">
        <v>0.49007582999999999</v>
      </c>
      <c r="AC79" s="2">
        <v>0.5865011</v>
      </c>
      <c r="AD79" s="2">
        <v>0.55658410000000003</v>
      </c>
      <c r="AE79" s="2">
        <v>0.53633489999999995</v>
      </c>
      <c r="AF79" s="2">
        <v>0.32972362999999999</v>
      </c>
      <c r="AG79" s="2">
        <v>0.33431432</v>
      </c>
      <c r="AH79" s="2">
        <v>0.13598149000000001</v>
      </c>
      <c r="AI79" s="2">
        <v>-0.34036368</v>
      </c>
      <c r="AJ79" s="2">
        <v>0.17904265</v>
      </c>
      <c r="AK79" s="2">
        <v>-0.3627416</v>
      </c>
      <c r="AL79" s="2">
        <v>0.36481156999999997</v>
      </c>
      <c r="AM79" s="2">
        <v>0.39853072</v>
      </c>
      <c r="AN79" s="2">
        <v>0.21741779</v>
      </c>
      <c r="AO79" s="2">
        <v>0.52172536000000003</v>
      </c>
      <c r="AP79" s="2">
        <v>0.44774114999999998</v>
      </c>
      <c r="AQ79" s="2">
        <v>0.53239250000000005</v>
      </c>
      <c r="AR79" s="2">
        <v>0.21646288</v>
      </c>
      <c r="AS79" s="2">
        <v>0.31576270000000001</v>
      </c>
      <c r="AT79" s="2">
        <v>-0.13727887</v>
      </c>
      <c r="AU79" s="2">
        <v>-0.17465422</v>
      </c>
      <c r="AV79" s="2">
        <v>-0.36101686999999999</v>
      </c>
      <c r="AW79" s="2">
        <v>0.34070662000000002</v>
      </c>
      <c r="AX79" s="2">
        <v>0.49615072999999998</v>
      </c>
      <c r="AY79" s="2">
        <v>1</v>
      </c>
      <c r="AZ79" s="2">
        <v>0.11424966</v>
      </c>
      <c r="BA79" s="2">
        <v>0.34015580000000001</v>
      </c>
      <c r="BB79" s="2">
        <v>0.10060946</v>
      </c>
      <c r="BC79" s="2">
        <v>0.11136108</v>
      </c>
      <c r="BD79" s="2">
        <v>0.19720370000000001</v>
      </c>
      <c r="BE79" s="2">
        <v>0.3534967</v>
      </c>
      <c r="BF79" s="2">
        <v>0.37759401999999997</v>
      </c>
      <c r="BG79" s="2">
        <v>0.26573091999999998</v>
      </c>
      <c r="BH79" s="2">
        <v>0.26096609999999998</v>
      </c>
      <c r="BI79" s="2">
        <v>0.52931463999999995</v>
      </c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</row>
    <row r="80" spans="1:77" x14ac:dyDescent="0.25">
      <c r="A80" s="13" t="str" cm="1">
        <f t="array" ref="A80">_xll.FDS(B80,"FG_COMPANY_NAME")</f>
        <v>TOKAI RIKA CO., LTD.</v>
      </c>
      <c r="B80" s="4" t="str">
        <v>6995-JP</v>
      </c>
      <c r="C80" s="2">
        <v>0.42899652999999999</v>
      </c>
      <c r="D80" s="2">
        <v>-0.11696875</v>
      </c>
      <c r="E80" s="2">
        <v>8.2428689999999999E-2</v>
      </c>
      <c r="F80" s="2">
        <v>0.13725436999999999</v>
      </c>
      <c r="G80" s="2">
        <v>0.36368792999999999</v>
      </c>
      <c r="H80" s="2">
        <v>9.3999155000000001E-2</v>
      </c>
      <c r="I80" s="2">
        <v>0.44678030000000002</v>
      </c>
      <c r="J80" s="2">
        <v>-0.24686599000000001</v>
      </c>
      <c r="K80" s="2">
        <v>-0.57697390000000004</v>
      </c>
      <c r="L80" s="2">
        <v>0.27583407999999998</v>
      </c>
      <c r="M80" s="2">
        <v>-6.7703009999999994E-2</v>
      </c>
      <c r="N80" s="2">
        <v>-8.5293859999999999E-2</v>
      </c>
      <c r="O80" s="2">
        <v>0.60178399999999999</v>
      </c>
      <c r="P80" s="2">
        <v>-0.30643167999999998</v>
      </c>
      <c r="Q80" s="2">
        <v>0.22415851000000001</v>
      </c>
      <c r="R80" s="2">
        <v>0.21435425999999999</v>
      </c>
      <c r="S80" s="2">
        <v>0.30823344000000003</v>
      </c>
      <c r="T80" s="2">
        <v>-0.42181150000000001</v>
      </c>
      <c r="U80" s="2">
        <v>0.56774159999999996</v>
      </c>
      <c r="V80" s="2">
        <v>0.30469328000000001</v>
      </c>
      <c r="W80" s="2">
        <v>0.36295483000000001</v>
      </c>
      <c r="X80" s="2">
        <v>0.3622784</v>
      </c>
      <c r="Y80" s="2">
        <v>3.7115566000000003E-2</v>
      </c>
      <c r="Z80" s="2">
        <v>0.30786449999999999</v>
      </c>
      <c r="AA80" s="2">
        <v>-0.3405012</v>
      </c>
      <c r="AB80" s="2">
        <v>0.13131090000000001</v>
      </c>
      <c r="AC80" s="2">
        <v>-9.9904199999999999E-2</v>
      </c>
      <c r="AD80" s="2">
        <v>-0.29481098</v>
      </c>
      <c r="AE80" s="2">
        <v>-1.9934147999999999E-2</v>
      </c>
      <c r="AF80" s="2">
        <v>0.68200749999999999</v>
      </c>
      <c r="AG80" s="2">
        <v>0.34336707</v>
      </c>
      <c r="AH80" s="2">
        <v>4.7709778000000001E-2</v>
      </c>
      <c r="AI80" s="2">
        <v>0.24084133999999999</v>
      </c>
      <c r="AJ80" s="2">
        <v>-0.15841791</v>
      </c>
      <c r="AK80" s="2">
        <v>0.52263519999999997</v>
      </c>
      <c r="AL80" s="2">
        <v>-0.5302692</v>
      </c>
      <c r="AM80" s="2">
        <v>0.13237642999999999</v>
      </c>
      <c r="AN80" s="2">
        <v>2.4925218999999998E-2</v>
      </c>
      <c r="AO80" s="2">
        <v>0.12062522000000001</v>
      </c>
      <c r="AP80" s="2">
        <v>0.12923783</v>
      </c>
      <c r="AQ80" s="2">
        <v>0.37255423999999998</v>
      </c>
      <c r="AR80" s="2">
        <v>0.16449331</v>
      </c>
      <c r="AS80" s="2">
        <v>7.5917419999999999E-2</v>
      </c>
      <c r="AT80" s="2">
        <v>0.36337984000000001</v>
      </c>
      <c r="AU80" s="2">
        <v>0.45778550000000001</v>
      </c>
      <c r="AV80" s="2">
        <v>0.32296960000000002</v>
      </c>
      <c r="AW80" s="2">
        <v>0.30014010000000002</v>
      </c>
      <c r="AX80" s="2">
        <v>-8.6379830000000005E-2</v>
      </c>
      <c r="AY80" s="2">
        <v>0.11424966</v>
      </c>
      <c r="AZ80" s="2">
        <v>1</v>
      </c>
      <c r="BA80" s="2">
        <v>-1.9390803000000002E-2</v>
      </c>
      <c r="BB80" s="2">
        <v>0.24734155999999999</v>
      </c>
      <c r="BC80" s="2">
        <v>0.29715239999999998</v>
      </c>
      <c r="BD80" s="2">
        <v>9.3029730000000005E-2</v>
      </c>
      <c r="BE80" s="2">
        <v>0.33139183999999999</v>
      </c>
      <c r="BF80" s="2">
        <v>-3.5203489999999997E-2</v>
      </c>
      <c r="BG80" s="2">
        <v>0.14710154</v>
      </c>
      <c r="BH80" s="2">
        <v>-8.2693950000000006E-3</v>
      </c>
      <c r="BI80" s="2">
        <v>-0.13407253</v>
      </c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</row>
    <row r="81" spans="1:77" x14ac:dyDescent="0.25">
      <c r="A81" s="13" t="str" cm="1">
        <f t="array" ref="A81">_xll.FDS(B81,"FG_COMPANY_NAME")</f>
        <v>Valterra Platinum Limited</v>
      </c>
      <c r="B81" s="4" t="str">
        <v>VAL-ZA</v>
      </c>
      <c r="C81" s="2">
        <v>0.64714676000000004</v>
      </c>
      <c r="D81" s="2">
        <v>0.87337940000000003</v>
      </c>
      <c r="E81" s="2">
        <v>0.87604742999999996</v>
      </c>
      <c r="F81" s="2">
        <v>0.79699796000000001</v>
      </c>
      <c r="G81" s="2">
        <v>0.47626944999999998</v>
      </c>
      <c r="H81" s="2">
        <v>0.71439680000000005</v>
      </c>
      <c r="I81" s="2">
        <v>0.65570709999999999</v>
      </c>
      <c r="J81" s="2">
        <v>0.77659255000000005</v>
      </c>
      <c r="K81" s="2">
        <v>0.59897553999999997</v>
      </c>
      <c r="L81" s="2">
        <v>0.46951725999999999</v>
      </c>
      <c r="M81" s="2">
        <v>0.61610323</v>
      </c>
      <c r="N81" s="2">
        <v>0.62226749999999997</v>
      </c>
      <c r="O81" s="2">
        <v>0.54511577</v>
      </c>
      <c r="P81" s="2">
        <v>0.66613069999999996</v>
      </c>
      <c r="Q81" s="2">
        <v>-0.47883249999999999</v>
      </c>
      <c r="R81" s="2">
        <v>0.27927711999999999</v>
      </c>
      <c r="S81" s="2">
        <v>0.8376209</v>
      </c>
      <c r="T81" s="2">
        <v>-0.25985649999999999</v>
      </c>
      <c r="U81" s="2">
        <v>0.38306105000000001</v>
      </c>
      <c r="V81" s="2">
        <v>-0.40779045000000003</v>
      </c>
      <c r="W81" s="2">
        <v>0.73512244000000004</v>
      </c>
      <c r="X81" s="2">
        <v>-0.27563989999999999</v>
      </c>
      <c r="Y81" s="2">
        <v>0.78449904999999998</v>
      </c>
      <c r="Z81" s="2">
        <v>-0.32674855000000003</v>
      </c>
      <c r="AA81" s="2">
        <v>0.55373912999999997</v>
      </c>
      <c r="AB81" s="2">
        <v>0.71342415000000003</v>
      </c>
      <c r="AC81" s="2">
        <v>0.39232850000000002</v>
      </c>
      <c r="AD81" s="2">
        <v>0.56712450000000003</v>
      </c>
      <c r="AE81" s="2">
        <v>0.72718479999999996</v>
      </c>
      <c r="AF81" s="2">
        <v>0.48139858000000002</v>
      </c>
      <c r="AG81" s="2">
        <v>0.64952330000000003</v>
      </c>
      <c r="AH81" s="2">
        <v>-0.4995095</v>
      </c>
      <c r="AI81" s="2">
        <v>-0.43264585999999999</v>
      </c>
      <c r="AJ81" s="2">
        <v>-0.21986665999999999</v>
      </c>
      <c r="AK81" s="2">
        <v>-0.32493450000000001</v>
      </c>
      <c r="AL81" s="2">
        <v>0.74111139999999998</v>
      </c>
      <c r="AM81" s="2">
        <v>0.74582446000000002</v>
      </c>
      <c r="AN81" s="2">
        <v>-0.28013775000000002</v>
      </c>
      <c r="AO81" s="2">
        <v>0.7047078</v>
      </c>
      <c r="AP81" s="2">
        <v>0.80286259999999998</v>
      </c>
      <c r="AQ81" s="2">
        <v>0.75393410000000005</v>
      </c>
      <c r="AR81" s="2">
        <v>-4.3807430000000001E-2</v>
      </c>
      <c r="AS81" s="2">
        <v>0.77763545999999995</v>
      </c>
      <c r="AT81" s="2">
        <v>-0.12808386999999999</v>
      </c>
      <c r="AU81" s="2">
        <v>-9.3256229999999996E-2</v>
      </c>
      <c r="AV81" s="2">
        <v>-0.49913849999999998</v>
      </c>
      <c r="AW81" s="2">
        <v>0.77260523999999997</v>
      </c>
      <c r="AX81" s="2">
        <v>0.57892655999999998</v>
      </c>
      <c r="AY81" s="2">
        <v>0.34015580000000001</v>
      </c>
      <c r="AZ81" s="2">
        <v>-1.9390803000000002E-2</v>
      </c>
      <c r="BA81" s="2">
        <v>1</v>
      </c>
      <c r="BB81" s="2">
        <v>0.74782199999999999</v>
      </c>
      <c r="BC81" s="2">
        <v>0.49601840000000003</v>
      </c>
      <c r="BD81" s="2">
        <v>0.89631444000000005</v>
      </c>
      <c r="BE81" s="2">
        <v>0.75520050000000005</v>
      </c>
      <c r="BF81" s="2">
        <v>0.90704214999999999</v>
      </c>
      <c r="BG81" s="2">
        <v>0.79891699999999999</v>
      </c>
      <c r="BH81" s="2">
        <v>0.72800730000000002</v>
      </c>
      <c r="BI81" s="2">
        <v>0.67163059999999997</v>
      </c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</row>
    <row r="82" spans="1:77" x14ac:dyDescent="0.25">
      <c r="A82" s="13" t="str" cm="1">
        <f t="array" ref="A82">_xll.FDS(B82,"FG_COMPANY_NAME")</f>
        <v>Verizon Communications Inc.</v>
      </c>
      <c r="B82" s="4" t="str">
        <v>VZ-US</v>
      </c>
      <c r="C82" s="2">
        <v>0.74552799999999997</v>
      </c>
      <c r="D82" s="2">
        <v>0.62304384000000002</v>
      </c>
      <c r="E82" s="2">
        <v>0.87250819999999996</v>
      </c>
      <c r="F82" s="2">
        <v>0.66885846999999998</v>
      </c>
      <c r="G82" s="2">
        <v>0.70191570000000003</v>
      </c>
      <c r="H82" s="2">
        <v>0.56459992999999997</v>
      </c>
      <c r="I82" s="2">
        <v>0.81476519999999997</v>
      </c>
      <c r="J82" s="2">
        <v>0.47023204000000002</v>
      </c>
      <c r="K82" s="2">
        <v>0.25326467000000003</v>
      </c>
      <c r="L82" s="2">
        <v>0.55034125</v>
      </c>
      <c r="M82" s="2">
        <v>0.28456765000000001</v>
      </c>
      <c r="N82" s="2">
        <v>0.33347033999999998</v>
      </c>
      <c r="O82" s="2">
        <v>0.77343655</v>
      </c>
      <c r="P82" s="2">
        <v>0.40540025000000002</v>
      </c>
      <c r="Q82" s="2">
        <v>-0.61225843000000002</v>
      </c>
      <c r="R82" s="2">
        <v>0.36978966000000002</v>
      </c>
      <c r="S82" s="2">
        <v>0.81440436999999999</v>
      </c>
      <c r="T82" s="2">
        <v>-0.63249754999999996</v>
      </c>
      <c r="U82" s="2">
        <v>0.56476420000000005</v>
      </c>
      <c r="V82" s="2">
        <v>-0.37961903000000002</v>
      </c>
      <c r="W82" s="2">
        <v>0.70961890000000005</v>
      </c>
      <c r="X82" s="2">
        <v>7.6930714000000002E-3</v>
      </c>
      <c r="Y82" s="2">
        <v>0.61306579999999999</v>
      </c>
      <c r="Z82" s="2">
        <v>-0.19851953</v>
      </c>
      <c r="AA82" s="2">
        <v>0.26511709999999999</v>
      </c>
      <c r="AB82" s="2">
        <v>0.55821889999999996</v>
      </c>
      <c r="AC82" s="2">
        <v>0.27512105999999997</v>
      </c>
      <c r="AD82" s="2">
        <v>0.21568754000000001</v>
      </c>
      <c r="AE82" s="2">
        <v>0.61001000000000005</v>
      </c>
      <c r="AF82" s="2">
        <v>0.68455874999999999</v>
      </c>
      <c r="AG82" s="2">
        <v>0.79622809999999999</v>
      </c>
      <c r="AH82" s="2">
        <v>-0.55220899999999995</v>
      </c>
      <c r="AI82" s="2">
        <v>-0.26578456</v>
      </c>
      <c r="AJ82" s="2">
        <v>-0.34016057999999999</v>
      </c>
      <c r="AK82" s="2">
        <v>2.3599431999999998E-3</v>
      </c>
      <c r="AL82" s="2">
        <v>0.38008999999999998</v>
      </c>
      <c r="AM82" s="2">
        <v>0.74041754000000004</v>
      </c>
      <c r="AN82" s="2">
        <v>-0.61051299999999997</v>
      </c>
      <c r="AO82" s="2">
        <v>0.45045874000000002</v>
      </c>
      <c r="AP82" s="2">
        <v>0.65136139999999998</v>
      </c>
      <c r="AQ82" s="2">
        <v>0.74393069999999994</v>
      </c>
      <c r="AR82" s="2">
        <v>5.4263723999999998E-3</v>
      </c>
      <c r="AS82" s="2">
        <v>0.64691275000000004</v>
      </c>
      <c r="AT82" s="2">
        <v>0.13782920000000001</v>
      </c>
      <c r="AU82" s="2">
        <v>-1.2836514E-2</v>
      </c>
      <c r="AV82" s="2">
        <v>-0.34688323999999998</v>
      </c>
      <c r="AW82" s="2">
        <v>0.87696403000000001</v>
      </c>
      <c r="AX82" s="2">
        <v>0.28237978000000002</v>
      </c>
      <c r="AY82" s="2">
        <v>0.10060946</v>
      </c>
      <c r="AZ82" s="2">
        <v>0.24734155999999999</v>
      </c>
      <c r="BA82" s="2">
        <v>0.74782199999999999</v>
      </c>
      <c r="BB82" s="2">
        <v>1</v>
      </c>
      <c r="BC82" s="2">
        <v>0.74775689999999995</v>
      </c>
      <c r="BD82" s="2">
        <v>0.88867956000000004</v>
      </c>
      <c r="BE82" s="2">
        <v>0.73425200000000002</v>
      </c>
      <c r="BF82" s="2">
        <v>0.65862732999999996</v>
      </c>
      <c r="BG82" s="2">
        <v>0.83739494999999997</v>
      </c>
      <c r="BH82" s="2">
        <v>0.72928035000000002</v>
      </c>
      <c r="BI82" s="2">
        <v>0.54967403000000004</v>
      </c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</row>
    <row r="83" spans="1:77" x14ac:dyDescent="0.25">
      <c r="A83" s="13" t="str" cm="1">
        <f t="array" ref="A83">_xll.FDS(B83,"FG_COMPANY_NAME")</f>
        <v>Viatris, Inc.</v>
      </c>
      <c r="B83" s="4" t="str">
        <v>VTRS-US</v>
      </c>
      <c r="C83" s="2">
        <v>0.78674096000000004</v>
      </c>
      <c r="D83" s="2">
        <v>0.40130611999999999</v>
      </c>
      <c r="E83" s="2">
        <v>0.67870986</v>
      </c>
      <c r="F83" s="2">
        <v>0.65668225000000002</v>
      </c>
      <c r="G83" s="2">
        <v>0.75054604000000003</v>
      </c>
      <c r="H83" s="2">
        <v>0.50267225999999998</v>
      </c>
      <c r="I83" s="2">
        <v>0.81306129999999999</v>
      </c>
      <c r="J83" s="2">
        <v>0.39361026999999998</v>
      </c>
      <c r="K83" s="2">
        <v>0.16644450999999999</v>
      </c>
      <c r="L83" s="2">
        <v>0.12981219999999999</v>
      </c>
      <c r="M83" s="2">
        <v>0.34441787000000001</v>
      </c>
      <c r="N83" s="2">
        <v>0.30512357000000001</v>
      </c>
      <c r="O83" s="2">
        <v>0.73421395</v>
      </c>
      <c r="P83" s="2">
        <v>0.38572758000000001</v>
      </c>
      <c r="Q83" s="2">
        <v>-0.51755910000000005</v>
      </c>
      <c r="R83" s="2">
        <v>0.18282084000000001</v>
      </c>
      <c r="S83" s="2">
        <v>0.58148169999999999</v>
      </c>
      <c r="T83" s="2">
        <v>-0.39749879999999999</v>
      </c>
      <c r="U83" s="2">
        <v>0.57450690000000004</v>
      </c>
      <c r="V83" s="2">
        <v>-0.31086712999999999</v>
      </c>
      <c r="W83" s="2">
        <v>0.68427870000000002</v>
      </c>
      <c r="X83" s="2">
        <v>-0.17240638999999999</v>
      </c>
      <c r="Y83" s="2">
        <v>0.61398565999999999</v>
      </c>
      <c r="Z83" s="2">
        <v>-0.36001346000000001</v>
      </c>
      <c r="AA83" s="2">
        <v>0.29135168</v>
      </c>
      <c r="AB83" s="2">
        <v>0.64392039999999995</v>
      </c>
      <c r="AC83" s="2">
        <v>0.44377480000000002</v>
      </c>
      <c r="AD83" s="2">
        <v>0.17354833</v>
      </c>
      <c r="AE83" s="2">
        <v>0.66125566000000002</v>
      </c>
      <c r="AF83" s="2">
        <v>0.58913079999999995</v>
      </c>
      <c r="AG83" s="2">
        <v>0.68580620000000003</v>
      </c>
      <c r="AH83" s="2">
        <v>-0.36654170000000003</v>
      </c>
      <c r="AI83" s="2">
        <v>-0.43264288000000001</v>
      </c>
      <c r="AJ83" s="2">
        <v>-0.42963845000000001</v>
      </c>
      <c r="AK83" s="2">
        <v>-0.21473408999999999</v>
      </c>
      <c r="AL83" s="2">
        <v>0.26369488000000002</v>
      </c>
      <c r="AM83" s="2">
        <v>0.75016210000000005</v>
      </c>
      <c r="AN83" s="2">
        <v>-0.50277822999999999</v>
      </c>
      <c r="AO83" s="2">
        <v>0.51477519999999999</v>
      </c>
      <c r="AP83" s="2">
        <v>0.55109965999999999</v>
      </c>
      <c r="AQ83" s="2">
        <v>0.70627070000000003</v>
      </c>
      <c r="AR83" s="2">
        <v>-4.2555623000000001E-2</v>
      </c>
      <c r="AS83" s="2">
        <v>0.43615785000000001</v>
      </c>
      <c r="AT83" s="2">
        <v>-4.0916525000000002E-2</v>
      </c>
      <c r="AU83" s="2">
        <v>-0.27498763999999998</v>
      </c>
      <c r="AV83" s="2">
        <v>-0.45502225000000002</v>
      </c>
      <c r="AW83" s="2">
        <v>0.80965330000000002</v>
      </c>
      <c r="AX83" s="2">
        <v>0.41234142000000001</v>
      </c>
      <c r="AY83" s="2">
        <v>0.11136108</v>
      </c>
      <c r="AZ83" s="2">
        <v>0.29715239999999998</v>
      </c>
      <c r="BA83" s="2">
        <v>0.49601840000000003</v>
      </c>
      <c r="BB83" s="2">
        <v>0.74775689999999995</v>
      </c>
      <c r="BC83" s="2">
        <v>1</v>
      </c>
      <c r="BD83" s="2">
        <v>0.66860235000000001</v>
      </c>
      <c r="BE83" s="2">
        <v>0.67726489999999995</v>
      </c>
      <c r="BF83" s="2">
        <v>0.56095165000000002</v>
      </c>
      <c r="BG83" s="2">
        <v>0.77575709999999998</v>
      </c>
      <c r="BH83" s="2">
        <v>0.51513945999999999</v>
      </c>
      <c r="BI83" s="2">
        <v>0.58873295999999997</v>
      </c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</row>
    <row r="84" spans="1:77" x14ac:dyDescent="0.25">
      <c r="A84" s="13" t="str" cm="1">
        <f t="array" ref="A84">_xll.FDS(B84,"FG_COMPANY_NAME")</f>
        <v>Vodafone Group Public Limited Company</v>
      </c>
      <c r="B84" s="4" t="str">
        <v>VOD-GB</v>
      </c>
      <c r="C84" s="2">
        <v>0.76571639999999996</v>
      </c>
      <c r="D84" s="2">
        <v>0.75878120000000004</v>
      </c>
      <c r="E84" s="2">
        <v>0.95380960000000004</v>
      </c>
      <c r="F84" s="2">
        <v>0.80881289999999995</v>
      </c>
      <c r="G84" s="2">
        <v>0.69247115000000004</v>
      </c>
      <c r="H84" s="2">
        <v>0.76359030000000006</v>
      </c>
      <c r="I84" s="2">
        <v>0.77255589999999996</v>
      </c>
      <c r="J84" s="2">
        <v>0.74762505000000001</v>
      </c>
      <c r="K84" s="2">
        <v>0.4927377</v>
      </c>
      <c r="L84" s="2">
        <v>0.51482254000000005</v>
      </c>
      <c r="M84" s="2">
        <v>0.57124830000000004</v>
      </c>
      <c r="N84" s="2">
        <v>0.53237809999999997</v>
      </c>
      <c r="O84" s="2">
        <v>0.70606469999999999</v>
      </c>
      <c r="P84" s="2">
        <v>0.59277049999999998</v>
      </c>
      <c r="Q84" s="2">
        <v>-0.61492884000000003</v>
      </c>
      <c r="R84" s="2">
        <v>0.27217217999999999</v>
      </c>
      <c r="S84" s="2">
        <v>0.89088149999999999</v>
      </c>
      <c r="T84" s="2">
        <v>-0.46438867</v>
      </c>
      <c r="U84" s="2">
        <v>0.44807172000000001</v>
      </c>
      <c r="V84" s="2">
        <v>-0.47531600000000002</v>
      </c>
      <c r="W84" s="2">
        <v>0.77083389999999996</v>
      </c>
      <c r="X84" s="2">
        <v>-0.20652287</v>
      </c>
      <c r="Y84" s="2">
        <v>0.77975976000000002</v>
      </c>
      <c r="Z84" s="2">
        <v>-0.33152680000000001</v>
      </c>
      <c r="AA84" s="2">
        <v>0.42343318000000002</v>
      </c>
      <c r="AB84" s="2">
        <v>0.71768224000000003</v>
      </c>
      <c r="AC84" s="2">
        <v>0.36231497000000001</v>
      </c>
      <c r="AD84" s="2">
        <v>0.31690857</v>
      </c>
      <c r="AE84" s="2">
        <v>0.70948610000000001</v>
      </c>
      <c r="AF84" s="2">
        <v>0.59786969999999995</v>
      </c>
      <c r="AG84" s="2">
        <v>0.7143718</v>
      </c>
      <c r="AH84" s="2">
        <v>-0.56716734000000002</v>
      </c>
      <c r="AI84" s="2">
        <v>-0.42317188</v>
      </c>
      <c r="AJ84" s="2">
        <v>-0.30855742000000003</v>
      </c>
      <c r="AK84" s="2">
        <v>-0.24167964</v>
      </c>
      <c r="AL84" s="2">
        <v>0.61868860000000003</v>
      </c>
      <c r="AM84" s="2">
        <v>0.80258649999999998</v>
      </c>
      <c r="AN84" s="2">
        <v>-0.45382420000000001</v>
      </c>
      <c r="AO84" s="2">
        <v>0.681253</v>
      </c>
      <c r="AP84" s="2">
        <v>0.74515575000000001</v>
      </c>
      <c r="AQ84" s="2">
        <v>0.80047756000000003</v>
      </c>
      <c r="AR84" s="2">
        <v>-5.8529127E-2</v>
      </c>
      <c r="AS84" s="2">
        <v>0.78337009999999996</v>
      </c>
      <c r="AT84" s="2">
        <v>-4.739165E-2</v>
      </c>
      <c r="AU84" s="2">
        <v>-0.10394676999999999</v>
      </c>
      <c r="AV84" s="2">
        <v>-0.47039140000000002</v>
      </c>
      <c r="AW84" s="2">
        <v>0.86098503999999998</v>
      </c>
      <c r="AX84" s="2">
        <v>0.52349639999999997</v>
      </c>
      <c r="AY84" s="2">
        <v>0.19720370000000001</v>
      </c>
      <c r="AZ84" s="2">
        <v>9.3029730000000005E-2</v>
      </c>
      <c r="BA84" s="2">
        <v>0.89631444000000005</v>
      </c>
      <c r="BB84" s="2">
        <v>0.88867956000000004</v>
      </c>
      <c r="BC84" s="2">
        <v>0.66860235000000001</v>
      </c>
      <c r="BD84" s="2">
        <v>1</v>
      </c>
      <c r="BE84" s="2">
        <v>0.79814680000000005</v>
      </c>
      <c r="BF84" s="2">
        <v>0.86463710000000005</v>
      </c>
      <c r="BG84" s="2">
        <v>0.88205796000000003</v>
      </c>
      <c r="BH84" s="2">
        <v>0.71876019999999996</v>
      </c>
      <c r="BI84" s="2">
        <v>0.61973230000000001</v>
      </c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</row>
    <row r="85" spans="1:77" x14ac:dyDescent="0.25">
      <c r="A85" s="13" t="str" cm="1">
        <f t="array" ref="A85">_xll.FDS(B85,"FG_COMPANY_NAME")</f>
        <v>Volkswagen AG Pref</v>
      </c>
      <c r="B85" s="4" t="str">
        <v>VOW3-DE</v>
      </c>
      <c r="C85" s="2">
        <v>0.88775559999999998</v>
      </c>
      <c r="D85" s="2">
        <v>0.56473309999999999</v>
      </c>
      <c r="E85" s="2">
        <v>0.81609019999999999</v>
      </c>
      <c r="F85" s="2">
        <v>0.86978500000000003</v>
      </c>
      <c r="G85" s="2">
        <v>0.71858036999999997</v>
      </c>
      <c r="H85" s="2">
        <v>0.83127373000000004</v>
      </c>
      <c r="I85" s="2">
        <v>0.90666449999999998</v>
      </c>
      <c r="J85" s="2">
        <v>0.66064065999999999</v>
      </c>
      <c r="K85" s="2">
        <v>0.31304353000000001</v>
      </c>
      <c r="L85" s="2">
        <v>0.27538273000000002</v>
      </c>
      <c r="M85" s="2">
        <v>0.67101710000000003</v>
      </c>
      <c r="N85" s="2">
        <v>0.59127516000000002</v>
      </c>
      <c r="O85" s="2">
        <v>0.82040584000000005</v>
      </c>
      <c r="P85" s="2">
        <v>0.53155684000000003</v>
      </c>
      <c r="Q85" s="2">
        <v>-0.48433303999999999</v>
      </c>
      <c r="R85" s="2">
        <v>0.1470195</v>
      </c>
      <c r="S85" s="2">
        <v>0.82174579999999997</v>
      </c>
      <c r="T85" s="2">
        <v>-0.40606569999999997</v>
      </c>
      <c r="U85" s="2">
        <v>0.70306926999999997</v>
      </c>
      <c r="V85" s="2">
        <v>-0.45995799999999998</v>
      </c>
      <c r="W85" s="2">
        <v>0.85445899999999997</v>
      </c>
      <c r="X85" s="2">
        <v>-0.36024850000000003</v>
      </c>
      <c r="Y85" s="2">
        <v>0.87563789999999997</v>
      </c>
      <c r="Z85" s="2">
        <v>-0.31524344999999998</v>
      </c>
      <c r="AA85" s="2">
        <v>0.54007689999999997</v>
      </c>
      <c r="AB85" s="2">
        <v>0.85292060000000003</v>
      </c>
      <c r="AC85" s="2">
        <v>0.52126163000000003</v>
      </c>
      <c r="AD85" s="2">
        <v>0.28922409999999998</v>
      </c>
      <c r="AE85" s="2">
        <v>0.81486630000000004</v>
      </c>
      <c r="AF85" s="2">
        <v>0.65251429999999999</v>
      </c>
      <c r="AG85" s="2">
        <v>0.76344440000000002</v>
      </c>
      <c r="AH85" s="2">
        <v>-0.32787300000000003</v>
      </c>
      <c r="AI85" s="2">
        <v>-0.49881518000000002</v>
      </c>
      <c r="AJ85" s="2">
        <v>-0.42851215999999998</v>
      </c>
      <c r="AK85" s="2">
        <v>-0.30173042</v>
      </c>
      <c r="AL85" s="2">
        <v>0.42887019999999998</v>
      </c>
      <c r="AM85" s="2">
        <v>0.8692896</v>
      </c>
      <c r="AN85" s="2">
        <v>-0.33934227</v>
      </c>
      <c r="AO85" s="2">
        <v>0.79960039999999999</v>
      </c>
      <c r="AP85" s="2">
        <v>0.78168040000000005</v>
      </c>
      <c r="AQ85" s="2">
        <v>0.87215069999999995</v>
      </c>
      <c r="AR85" s="2">
        <v>4.2992490000000001E-2</v>
      </c>
      <c r="AS85" s="2">
        <v>0.62641069999999999</v>
      </c>
      <c r="AT85" s="2">
        <v>-0.21135876000000001</v>
      </c>
      <c r="AU85" s="2">
        <v>-0.14096986</v>
      </c>
      <c r="AV85" s="2">
        <v>-0.5420374</v>
      </c>
      <c r="AW85" s="2">
        <v>0.88342080000000001</v>
      </c>
      <c r="AX85" s="2">
        <v>0.68270030000000004</v>
      </c>
      <c r="AY85" s="2">
        <v>0.3534967</v>
      </c>
      <c r="AZ85" s="2">
        <v>0.33139183999999999</v>
      </c>
      <c r="BA85" s="2">
        <v>0.75520050000000005</v>
      </c>
      <c r="BB85" s="2">
        <v>0.73425200000000002</v>
      </c>
      <c r="BC85" s="2">
        <v>0.67726489999999995</v>
      </c>
      <c r="BD85" s="2">
        <v>0.79814680000000005</v>
      </c>
      <c r="BE85" s="2">
        <v>1</v>
      </c>
      <c r="BF85" s="2">
        <v>0.81885105000000002</v>
      </c>
      <c r="BG85" s="2">
        <v>0.88354600000000005</v>
      </c>
      <c r="BH85" s="2">
        <v>0.61167585999999996</v>
      </c>
      <c r="BI85" s="2">
        <v>0.69447464000000003</v>
      </c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</row>
    <row r="86" spans="1:77" x14ac:dyDescent="0.25">
      <c r="A86" s="13" t="str" cm="1">
        <f t="array" ref="A86">_xll.FDS(B86,"FG_COMPANY_NAME")</f>
        <v>Walgreens Boots Alliance, Inc.</v>
      </c>
      <c r="B86" s="4" t="str">
        <v>WBA-US</v>
      </c>
      <c r="C86" s="2">
        <v>0.73371565000000005</v>
      </c>
      <c r="D86" s="2">
        <v>0.73511230000000005</v>
      </c>
      <c r="E86" s="2">
        <v>0.86640859999999997</v>
      </c>
      <c r="F86" s="2">
        <v>0.90416985999999999</v>
      </c>
      <c r="G86" s="2">
        <v>0.54692750000000001</v>
      </c>
      <c r="H86" s="2">
        <v>0.83703612999999999</v>
      </c>
      <c r="I86" s="2">
        <v>0.68780300000000005</v>
      </c>
      <c r="J86" s="2">
        <v>0.89938370000000001</v>
      </c>
      <c r="K86" s="2">
        <v>0.68227579999999999</v>
      </c>
      <c r="L86" s="2">
        <v>0.27007832999999998</v>
      </c>
      <c r="M86" s="2">
        <v>0.80917340000000004</v>
      </c>
      <c r="N86" s="2">
        <v>0.71312034000000002</v>
      </c>
      <c r="O86" s="2">
        <v>0.59097370000000005</v>
      </c>
      <c r="P86" s="2">
        <v>0.78983234999999996</v>
      </c>
      <c r="Q86" s="2">
        <v>-0.58539956999999998</v>
      </c>
      <c r="R86" s="2">
        <v>0.16126083999999999</v>
      </c>
      <c r="S86" s="2">
        <v>0.8194901</v>
      </c>
      <c r="T86" s="2">
        <v>-0.19770119</v>
      </c>
      <c r="U86" s="2">
        <v>0.38911380000000001</v>
      </c>
      <c r="V86" s="2">
        <v>-0.64805745999999997</v>
      </c>
      <c r="W86" s="2">
        <v>0.81701809999999997</v>
      </c>
      <c r="X86" s="2">
        <v>-0.57995342999999999</v>
      </c>
      <c r="Y86" s="2">
        <v>0.9367645</v>
      </c>
      <c r="Z86" s="2">
        <v>-0.50624406</v>
      </c>
      <c r="AA86" s="2">
        <v>0.68711549999999999</v>
      </c>
      <c r="AB86" s="2">
        <v>0.87586295999999997</v>
      </c>
      <c r="AC86" s="2">
        <v>0.54250973000000002</v>
      </c>
      <c r="AD86" s="2">
        <v>0.52040649999999999</v>
      </c>
      <c r="AE86" s="2">
        <v>0.86998147000000003</v>
      </c>
      <c r="AF86" s="2">
        <v>0.40706792000000003</v>
      </c>
      <c r="AG86" s="2">
        <v>0.55872500000000003</v>
      </c>
      <c r="AH86" s="2">
        <v>-0.42751362999999998</v>
      </c>
      <c r="AI86" s="2">
        <v>-0.71092635000000004</v>
      </c>
      <c r="AJ86" s="2">
        <v>-0.23260532</v>
      </c>
      <c r="AK86" s="2">
        <v>-0.61626409999999998</v>
      </c>
      <c r="AL86" s="2">
        <v>0.80986309999999995</v>
      </c>
      <c r="AM86" s="2">
        <v>0.86536413000000001</v>
      </c>
      <c r="AN86" s="2">
        <v>-0.26698440000000001</v>
      </c>
      <c r="AO86" s="2">
        <v>0.88076690000000002</v>
      </c>
      <c r="AP86" s="2">
        <v>0.78233350000000002</v>
      </c>
      <c r="AQ86" s="2">
        <v>0.78291840000000001</v>
      </c>
      <c r="AR86" s="2">
        <v>-0.14042124</v>
      </c>
      <c r="AS86" s="2">
        <v>0.81032353999999995</v>
      </c>
      <c r="AT86" s="2">
        <v>-0.39658162000000002</v>
      </c>
      <c r="AU86" s="2">
        <v>-0.2972398</v>
      </c>
      <c r="AV86" s="2">
        <v>-0.77245759999999997</v>
      </c>
      <c r="AW86" s="2">
        <v>0.78659064000000001</v>
      </c>
      <c r="AX86" s="2">
        <v>0.78458786000000003</v>
      </c>
      <c r="AY86" s="2">
        <v>0.37759401999999997</v>
      </c>
      <c r="AZ86" s="2">
        <v>-3.5203489999999997E-2</v>
      </c>
      <c r="BA86" s="2">
        <v>0.90704214999999999</v>
      </c>
      <c r="BB86" s="2">
        <v>0.65862732999999996</v>
      </c>
      <c r="BC86" s="2">
        <v>0.56095165000000002</v>
      </c>
      <c r="BD86" s="2">
        <v>0.86463710000000005</v>
      </c>
      <c r="BE86" s="2">
        <v>0.81885105000000002</v>
      </c>
      <c r="BF86" s="2">
        <v>1</v>
      </c>
      <c r="BG86" s="2">
        <v>0.85537136000000003</v>
      </c>
      <c r="BH86" s="2">
        <v>0.57448529999999998</v>
      </c>
      <c r="BI86" s="2">
        <v>0.77383630000000003</v>
      </c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</row>
    <row r="87" spans="1:77" x14ac:dyDescent="0.25">
      <c r="A87" s="13" t="str" cm="1">
        <f t="array" ref="A87">_xll.FDS(B87,"FG_COMPANY_NAME")</f>
        <v>Western Union Company</v>
      </c>
      <c r="B87" s="4" t="str">
        <v>WU-US</v>
      </c>
      <c r="C87" s="2">
        <v>0.89298343999999996</v>
      </c>
      <c r="D87" s="2">
        <v>0.62087250000000005</v>
      </c>
      <c r="E87" s="2">
        <v>0.89534820000000004</v>
      </c>
      <c r="F87" s="2">
        <v>0.82555780000000001</v>
      </c>
      <c r="G87" s="2">
        <v>0.76728976000000004</v>
      </c>
      <c r="H87" s="2">
        <v>0.802315</v>
      </c>
      <c r="I87" s="2">
        <v>0.83577584999999999</v>
      </c>
      <c r="J87" s="2">
        <v>0.6987835</v>
      </c>
      <c r="K87" s="2">
        <v>0.46844103999999998</v>
      </c>
      <c r="L87" s="2">
        <v>0.2000826</v>
      </c>
      <c r="M87" s="2">
        <v>0.57070589999999999</v>
      </c>
      <c r="N87" s="2">
        <v>0.57521575999999996</v>
      </c>
      <c r="O87" s="2">
        <v>0.72179760000000004</v>
      </c>
      <c r="P87" s="2">
        <v>0.65898319999999999</v>
      </c>
      <c r="Q87" s="2">
        <v>-0.70447683000000005</v>
      </c>
      <c r="R87" s="2">
        <v>0.17113961</v>
      </c>
      <c r="S87" s="2">
        <v>0.77878254999999996</v>
      </c>
      <c r="T87" s="2">
        <v>-0.33873801999999997</v>
      </c>
      <c r="U87" s="2">
        <v>0.62497692999999999</v>
      </c>
      <c r="V87" s="2">
        <v>-0.58755089999999999</v>
      </c>
      <c r="W87" s="2">
        <v>0.86639076000000004</v>
      </c>
      <c r="X87" s="2">
        <v>-0.43600670000000002</v>
      </c>
      <c r="Y87" s="2">
        <v>0.84745360000000003</v>
      </c>
      <c r="Z87" s="2">
        <v>-0.55606940000000005</v>
      </c>
      <c r="AA87" s="2">
        <v>0.59382086999999995</v>
      </c>
      <c r="AB87" s="2">
        <v>0.83040639999999999</v>
      </c>
      <c r="AC87" s="2">
        <v>0.62082815000000002</v>
      </c>
      <c r="AD87" s="2">
        <v>0.27927502999999998</v>
      </c>
      <c r="AE87" s="2">
        <v>0.87531590000000004</v>
      </c>
      <c r="AF87" s="2">
        <v>0.60685027000000002</v>
      </c>
      <c r="AG87" s="2">
        <v>0.73993355000000005</v>
      </c>
      <c r="AH87" s="2">
        <v>-0.35740337</v>
      </c>
      <c r="AI87" s="2">
        <v>-0.65794900000000001</v>
      </c>
      <c r="AJ87" s="2">
        <v>-0.38893273</v>
      </c>
      <c r="AK87" s="2">
        <v>-0.43211212999999998</v>
      </c>
      <c r="AL87" s="2">
        <v>0.5513036</v>
      </c>
      <c r="AM87" s="2">
        <v>0.90988869999999999</v>
      </c>
      <c r="AN87" s="2">
        <v>-0.51131280000000001</v>
      </c>
      <c r="AO87" s="2">
        <v>0.74857819999999997</v>
      </c>
      <c r="AP87" s="2">
        <v>0.70511939999999995</v>
      </c>
      <c r="AQ87" s="2">
        <v>0.85312264999999998</v>
      </c>
      <c r="AR87" s="2">
        <v>-6.2200449999999997E-2</v>
      </c>
      <c r="AS87" s="2">
        <v>0.66717349999999997</v>
      </c>
      <c r="AT87" s="2">
        <v>-0.28787376999999997</v>
      </c>
      <c r="AU87" s="2">
        <v>-0.38197144999999999</v>
      </c>
      <c r="AV87" s="2">
        <v>-0.69808429999999999</v>
      </c>
      <c r="AW87" s="2">
        <v>0.92721074999999997</v>
      </c>
      <c r="AX87" s="2">
        <v>0.60487789999999997</v>
      </c>
      <c r="AY87" s="2">
        <v>0.26573091999999998</v>
      </c>
      <c r="AZ87" s="2">
        <v>0.14710154</v>
      </c>
      <c r="BA87" s="2">
        <v>0.79891699999999999</v>
      </c>
      <c r="BB87" s="2">
        <v>0.83739494999999997</v>
      </c>
      <c r="BC87" s="2">
        <v>0.77575709999999998</v>
      </c>
      <c r="BD87" s="2">
        <v>0.88205796000000003</v>
      </c>
      <c r="BE87" s="2">
        <v>0.88354600000000005</v>
      </c>
      <c r="BF87" s="2">
        <v>0.85537136000000003</v>
      </c>
      <c r="BG87" s="2">
        <v>1</v>
      </c>
      <c r="BH87" s="2">
        <v>0.67607170000000005</v>
      </c>
      <c r="BI87" s="2">
        <v>0.72693050000000003</v>
      </c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</row>
    <row r="88" spans="1:77" x14ac:dyDescent="0.25">
      <c r="A88" s="13" t="str" cm="1">
        <f t="array" ref="A88">_xll.FDS(B88,"FG_COMPANY_NAME")</f>
        <v>John Wiley &amp; Sons, Inc. Class A</v>
      </c>
      <c r="B88" s="4" t="str">
        <v>WLY-US</v>
      </c>
      <c r="C88" s="2">
        <v>0.47744947999999998</v>
      </c>
      <c r="D88" s="2">
        <v>0.72922456000000002</v>
      </c>
      <c r="E88" s="2">
        <v>0.76085334999999998</v>
      </c>
      <c r="F88" s="2">
        <v>0.61114550000000001</v>
      </c>
      <c r="G88" s="2">
        <v>0.35804409999999998</v>
      </c>
      <c r="H88" s="2">
        <v>0.52318304999999998</v>
      </c>
      <c r="I88" s="2">
        <v>0.55648744000000006</v>
      </c>
      <c r="J88" s="2">
        <v>0.39217022000000001</v>
      </c>
      <c r="K88" s="2">
        <v>0.37899664</v>
      </c>
      <c r="L88" s="2">
        <v>0.56115939999999997</v>
      </c>
      <c r="M88" s="2">
        <v>0.24681992999999999</v>
      </c>
      <c r="N88" s="2">
        <v>0.29735145000000002</v>
      </c>
      <c r="O88" s="2">
        <v>0.45147567999999999</v>
      </c>
      <c r="P88" s="2">
        <v>0.48184739999999998</v>
      </c>
      <c r="Q88" s="2">
        <v>-0.44943043999999999</v>
      </c>
      <c r="R88" s="2">
        <v>0.2606407</v>
      </c>
      <c r="S88" s="2">
        <v>0.69918579999999997</v>
      </c>
      <c r="T88" s="2">
        <v>-0.38607877000000002</v>
      </c>
      <c r="U88" s="2">
        <v>0.43250883000000001</v>
      </c>
      <c r="V88" s="2">
        <v>-0.13374130000000001</v>
      </c>
      <c r="W88" s="2">
        <v>0.47875615999999999</v>
      </c>
      <c r="X88" s="2">
        <v>1.0292068999999999E-2</v>
      </c>
      <c r="Y88" s="2">
        <v>0.51267200000000002</v>
      </c>
      <c r="Z88" s="2">
        <v>-0.11102861</v>
      </c>
      <c r="AA88" s="2">
        <v>0.39985221999999998</v>
      </c>
      <c r="AB88" s="2">
        <v>0.49996868</v>
      </c>
      <c r="AC88" s="2">
        <v>0.35741647999999998</v>
      </c>
      <c r="AD88" s="2">
        <v>0.45657817000000001</v>
      </c>
      <c r="AE88" s="2">
        <v>0.62334959999999995</v>
      </c>
      <c r="AF88" s="2">
        <v>0.53306229999999999</v>
      </c>
      <c r="AG88" s="2">
        <v>0.84763239999999995</v>
      </c>
      <c r="AH88" s="2">
        <v>-0.39656878000000001</v>
      </c>
      <c r="AI88" s="2">
        <v>-0.14959692999999999</v>
      </c>
      <c r="AJ88" s="2">
        <v>-0.11899061499999999</v>
      </c>
      <c r="AK88" s="2">
        <v>-7.763109E-2</v>
      </c>
      <c r="AL88" s="2">
        <v>0.49391215999999999</v>
      </c>
      <c r="AM88" s="2">
        <v>0.61835264999999995</v>
      </c>
      <c r="AN88" s="2">
        <v>-0.48228296999999998</v>
      </c>
      <c r="AO88" s="2">
        <v>0.35518654999999999</v>
      </c>
      <c r="AP88" s="2">
        <v>0.75280230000000004</v>
      </c>
      <c r="AQ88" s="2">
        <v>0.60738130000000001</v>
      </c>
      <c r="AR88" s="2">
        <v>7.4278810000000001E-2</v>
      </c>
      <c r="AS88" s="2">
        <v>0.37268642000000002</v>
      </c>
      <c r="AT88" s="2">
        <v>0.13402939</v>
      </c>
      <c r="AU88" s="2">
        <v>-2.5296168000000001E-2</v>
      </c>
      <c r="AV88" s="2">
        <v>-0.3003498</v>
      </c>
      <c r="AW88" s="2">
        <v>0.71264939999999999</v>
      </c>
      <c r="AX88" s="2">
        <v>0.30140465</v>
      </c>
      <c r="AY88" s="2">
        <v>0.26096609999999998</v>
      </c>
      <c r="AZ88" s="2">
        <v>-8.2693950000000006E-3</v>
      </c>
      <c r="BA88" s="2">
        <v>0.72800730000000002</v>
      </c>
      <c r="BB88" s="2">
        <v>0.72928035000000002</v>
      </c>
      <c r="BC88" s="2">
        <v>0.51513945999999999</v>
      </c>
      <c r="BD88" s="2">
        <v>0.71876019999999996</v>
      </c>
      <c r="BE88" s="2">
        <v>0.61167585999999996</v>
      </c>
      <c r="BF88" s="2">
        <v>0.57448529999999998</v>
      </c>
      <c r="BG88" s="2">
        <v>0.67607170000000005</v>
      </c>
      <c r="BH88" s="2">
        <v>1</v>
      </c>
      <c r="BI88" s="2">
        <v>0.64245105000000002</v>
      </c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</row>
    <row r="89" spans="1:77" x14ac:dyDescent="0.25">
      <c r="A89" s="13" t="str" cm="1">
        <f t="array" ref="A89">_xll.FDS(B89,"FG_COMPANY_NAME")</f>
        <v>WPP Plc</v>
      </c>
      <c r="B89" s="4" t="str">
        <v>WPP-GB</v>
      </c>
      <c r="C89" s="2">
        <v>0.61937003999999996</v>
      </c>
      <c r="D89" s="2">
        <v>0.62539</v>
      </c>
      <c r="E89" s="2">
        <v>0.66179860000000001</v>
      </c>
      <c r="F89" s="2">
        <v>0.77307459999999995</v>
      </c>
      <c r="G89" s="2">
        <v>0.32636150000000003</v>
      </c>
      <c r="H89" s="2">
        <v>0.6386252</v>
      </c>
      <c r="I89" s="2">
        <v>0.60250289999999995</v>
      </c>
      <c r="J89" s="2">
        <v>0.63342169999999998</v>
      </c>
      <c r="K89" s="2">
        <v>0.49117452</v>
      </c>
      <c r="L89" s="2">
        <v>0.13136030000000001</v>
      </c>
      <c r="M89" s="2">
        <v>0.58794550000000001</v>
      </c>
      <c r="N89" s="2">
        <v>0.71097429999999995</v>
      </c>
      <c r="O89" s="2">
        <v>0.40337709999999999</v>
      </c>
      <c r="P89" s="2">
        <v>0.78877589999999997</v>
      </c>
      <c r="Q89" s="2">
        <v>-0.40725162999999998</v>
      </c>
      <c r="R89" s="2">
        <v>0.22353986000000001</v>
      </c>
      <c r="S89" s="2">
        <v>0.50369319999999995</v>
      </c>
      <c r="T89" s="2">
        <v>-3.2881050000000002E-2</v>
      </c>
      <c r="U89" s="2">
        <v>0.43977407000000002</v>
      </c>
      <c r="V89" s="2">
        <v>-0.43064940000000002</v>
      </c>
      <c r="W89" s="2">
        <v>0.64534139999999995</v>
      </c>
      <c r="X89" s="2">
        <v>-0.48778394000000003</v>
      </c>
      <c r="Y89" s="2">
        <v>0.76342577</v>
      </c>
      <c r="Z89" s="2">
        <v>-0.41708050000000002</v>
      </c>
      <c r="AA89" s="2">
        <v>0.70407116000000003</v>
      </c>
      <c r="AB89" s="2">
        <v>0.77254056999999998</v>
      </c>
      <c r="AC89" s="2">
        <v>0.7284775</v>
      </c>
      <c r="AD89" s="2">
        <v>0.60045194999999996</v>
      </c>
      <c r="AE89" s="2">
        <v>0.88121252999999999</v>
      </c>
      <c r="AF89" s="2">
        <v>0.40351817000000001</v>
      </c>
      <c r="AG89" s="2">
        <v>0.62035804999999999</v>
      </c>
      <c r="AH89" s="2">
        <v>-0.17039502000000001</v>
      </c>
      <c r="AI89" s="2">
        <v>-0.61691576000000004</v>
      </c>
      <c r="AJ89" s="2">
        <v>-0.15150032999999999</v>
      </c>
      <c r="AK89" s="2">
        <v>-0.5954102</v>
      </c>
      <c r="AL89" s="2">
        <v>0.67131567000000003</v>
      </c>
      <c r="AM89" s="2">
        <v>0.80661819999999995</v>
      </c>
      <c r="AN89" s="2">
        <v>-0.39267605999999999</v>
      </c>
      <c r="AO89" s="2">
        <v>0.65944190000000003</v>
      </c>
      <c r="AP89" s="2">
        <v>0.69274579999999997</v>
      </c>
      <c r="AQ89" s="2">
        <v>0.65262633999999997</v>
      </c>
      <c r="AR89" s="2">
        <v>0.17205271</v>
      </c>
      <c r="AS89" s="2">
        <v>0.39151216</v>
      </c>
      <c r="AT89" s="2">
        <v>-0.38900283000000002</v>
      </c>
      <c r="AU89" s="2">
        <v>-0.47569084</v>
      </c>
      <c r="AV89" s="2">
        <v>-0.72323590000000004</v>
      </c>
      <c r="AW89" s="2">
        <v>0.76443729999999999</v>
      </c>
      <c r="AX89" s="2">
        <v>0.71460520000000005</v>
      </c>
      <c r="AY89" s="2">
        <v>0.52931463999999995</v>
      </c>
      <c r="AZ89" s="2">
        <v>-0.13407253</v>
      </c>
      <c r="BA89" s="2">
        <v>0.67163059999999997</v>
      </c>
      <c r="BB89" s="2">
        <v>0.54967403000000004</v>
      </c>
      <c r="BC89" s="2">
        <v>0.58873295999999997</v>
      </c>
      <c r="BD89" s="2">
        <v>0.61973230000000001</v>
      </c>
      <c r="BE89" s="2">
        <v>0.69447464000000003</v>
      </c>
      <c r="BF89" s="2">
        <v>0.77383630000000003</v>
      </c>
      <c r="BG89" s="2">
        <v>0.72693050000000003</v>
      </c>
      <c r="BH89" s="2">
        <v>0.64245105000000002</v>
      </c>
      <c r="BI89" s="2">
        <v>1</v>
      </c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</row>
    <row r="90" spans="1:77" x14ac:dyDescent="0.25">
      <c r="B90" s="4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</row>
    <row r="91" spans="1:77" x14ac:dyDescent="0.25">
      <c r="B91" s="4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</row>
    <row r="92" spans="1:77" x14ac:dyDescent="0.25">
      <c r="B92" s="4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</row>
    <row r="93" spans="1:77" x14ac:dyDescent="0.25">
      <c r="B93" s="4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</row>
    <row r="94" spans="1:77" x14ac:dyDescent="0.25">
      <c r="B94" s="4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</row>
    <row r="95" spans="1:77" x14ac:dyDescent="0.25">
      <c r="B95" s="4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</row>
    <row r="96" spans="1:77" x14ac:dyDescent="0.25">
      <c r="B96" s="4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</row>
    <row r="97" spans="2:77" x14ac:dyDescent="0.25">
      <c r="B97" s="4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</row>
    <row r="98" spans="2:77" x14ac:dyDescent="0.25">
      <c r="B98" s="4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</row>
    <row r="99" spans="2:77" x14ac:dyDescent="0.25">
      <c r="B99" s="4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</row>
    <row r="100" spans="2:77" x14ac:dyDescent="0.25">
      <c r="B100" s="4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</row>
    <row r="101" spans="2:77" x14ac:dyDescent="0.25">
      <c r="B101" s="4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</row>
    <row r="102" spans="2:77" x14ac:dyDescent="0.25">
      <c r="B102" s="4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</row>
    <row r="103" spans="2:77" x14ac:dyDescent="0.25">
      <c r="B103" s="4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</row>
    <row r="104" spans="2:77" x14ac:dyDescent="0.25">
      <c r="B104" s="4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</row>
    <row r="105" spans="2:77" x14ac:dyDescent="0.25"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</row>
    <row r="106" spans="2:77" x14ac:dyDescent="0.25"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</row>
    <row r="107" spans="2:77" x14ac:dyDescent="0.25"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82F21-4EB4-441F-8F7E-42971DFD2E06}">
  <dimension ref="A2:H479"/>
  <sheetViews>
    <sheetView topLeftCell="A4" workbookViewId="0">
      <selection activeCell="H9" sqref="H9"/>
    </sheetView>
  </sheetViews>
  <sheetFormatPr defaultRowHeight="15" x14ac:dyDescent="0.25"/>
  <cols>
    <col min="1" max="1" width="10.5703125" bestFit="1" customWidth="1"/>
    <col min="2" max="2" width="13.42578125" customWidth="1"/>
  </cols>
  <sheetData>
    <row r="2" spans="1:8" x14ac:dyDescent="0.25">
      <c r="A2" t="s">
        <v>2</v>
      </c>
      <c r="B2" s="7">
        <v>45657</v>
      </c>
    </row>
    <row r="3" spans="1:8" x14ac:dyDescent="0.25">
      <c r="A3" t="s">
        <v>3</v>
      </c>
      <c r="B3" s="7" t="s">
        <v>4</v>
      </c>
    </row>
    <row r="6" spans="1:8" x14ac:dyDescent="0.25">
      <c r="B6" s="4" t="s">
        <v>66</v>
      </c>
      <c r="C6" s="4" t="s">
        <v>5</v>
      </c>
      <c r="D6" s="4" t="s">
        <v>6</v>
      </c>
    </row>
    <row r="7" spans="1:8" x14ac:dyDescent="0.25">
      <c r="B7" s="5" cm="1">
        <f t="array" ref="B7:B259">_xll.FDS(C6,"JULIAN(FG_PRICE("&amp;$B$2&amp;","&amp;$B$2&amp;"-"&amp;$B$3&amp;",,USD).dates)")</f>
        <v>45657</v>
      </c>
      <c r="C7" cm="1">
        <f t="array" ref="C7:C259">_xll.FDS(C6,"FG_PRICE("&amp;$B$2&amp;","&amp;$B$2&amp;"-"&amp;$B$3&amp;",,USD)")</f>
        <v>585.51</v>
      </c>
      <c r="D7" cm="1">
        <f t="array" ref="D7:D259">_xll.FDS(D6,"FG_PRICE("&amp;$B$2&amp;","&amp;$B$2&amp;"-"&amp;$B$3&amp;",,USD)")</f>
        <v>219.39</v>
      </c>
      <c r="G7" s="9" t="s">
        <v>67</v>
      </c>
      <c r="H7" s="10">
        <f>Backend!C32</f>
        <v>0.43017771999999999</v>
      </c>
    </row>
    <row r="8" spans="1:8" x14ac:dyDescent="0.25">
      <c r="B8" s="5">
        <v>45656</v>
      </c>
      <c r="C8">
        <v>591.24</v>
      </c>
      <c r="D8">
        <v>221.3</v>
      </c>
      <c r="G8" t="s">
        <v>68</v>
      </c>
      <c r="H8" s="11">
        <f>CORREL(_xlfn.ANCHORARRAY(C7),_xlfn.ANCHORARRAY(D7))</f>
        <v>0.82708172253855361</v>
      </c>
    </row>
    <row r="9" spans="1:8" x14ac:dyDescent="0.25">
      <c r="B9" s="5">
        <v>45653</v>
      </c>
      <c r="C9">
        <v>599.80999999999995</v>
      </c>
      <c r="D9">
        <v>223.75</v>
      </c>
      <c r="G9" t="s">
        <v>69</v>
      </c>
      <c r="H9" s="11">
        <f>PEARSON(_xlfn.ANCHORARRAY(C7),_xlfn.ANCHORARRAY(D7))</f>
        <v>0.82708172253855361</v>
      </c>
    </row>
    <row r="10" spans="1:8" x14ac:dyDescent="0.25">
      <c r="B10" s="5">
        <v>45652</v>
      </c>
      <c r="C10">
        <v>603.35</v>
      </c>
      <c r="D10">
        <v>227.05</v>
      </c>
    </row>
    <row r="11" spans="1:8" x14ac:dyDescent="0.25">
      <c r="B11" s="5">
        <v>45650</v>
      </c>
      <c r="C11">
        <v>607.75</v>
      </c>
      <c r="D11">
        <v>229.05</v>
      </c>
    </row>
    <row r="12" spans="1:8" x14ac:dyDescent="0.25">
      <c r="B12" s="5">
        <v>45649</v>
      </c>
      <c r="C12">
        <v>599.85</v>
      </c>
      <c r="D12">
        <v>225.06</v>
      </c>
    </row>
    <row r="13" spans="1:8" x14ac:dyDescent="0.25">
      <c r="B13" s="5">
        <v>45646</v>
      </c>
      <c r="C13">
        <v>585.25</v>
      </c>
      <c r="D13">
        <v>224.92</v>
      </c>
    </row>
    <row r="14" spans="1:8" x14ac:dyDescent="0.25">
      <c r="B14" s="5">
        <v>45645</v>
      </c>
      <c r="C14">
        <v>595.57000000000005</v>
      </c>
      <c r="D14">
        <v>223.29</v>
      </c>
    </row>
    <row r="15" spans="1:8" x14ac:dyDescent="0.25">
      <c r="B15" s="5">
        <v>45644</v>
      </c>
      <c r="C15">
        <v>597.19000000000005</v>
      </c>
      <c r="D15">
        <v>220.52</v>
      </c>
    </row>
    <row r="16" spans="1:8" x14ac:dyDescent="0.25">
      <c r="B16" s="5">
        <v>45643</v>
      </c>
      <c r="C16">
        <v>619.44000000000005</v>
      </c>
      <c r="D16">
        <v>231.15</v>
      </c>
    </row>
    <row r="17" spans="2:4" x14ac:dyDescent="0.25">
      <c r="B17" s="5">
        <v>45642</v>
      </c>
      <c r="C17">
        <v>624.24</v>
      </c>
      <c r="D17">
        <v>232.93</v>
      </c>
    </row>
    <row r="18" spans="2:4" x14ac:dyDescent="0.25">
      <c r="B18" s="5">
        <v>45639</v>
      </c>
      <c r="C18">
        <v>620.35</v>
      </c>
      <c r="D18">
        <v>227.46</v>
      </c>
    </row>
    <row r="19" spans="2:4" x14ac:dyDescent="0.25">
      <c r="B19" s="5">
        <v>45638</v>
      </c>
      <c r="C19">
        <v>630.79</v>
      </c>
      <c r="D19">
        <v>228.97</v>
      </c>
    </row>
    <row r="20" spans="2:4" x14ac:dyDescent="0.25">
      <c r="B20" s="5">
        <v>45637</v>
      </c>
      <c r="C20">
        <v>632.67999999999995</v>
      </c>
      <c r="D20">
        <v>230.26</v>
      </c>
    </row>
    <row r="21" spans="2:4" x14ac:dyDescent="0.25">
      <c r="B21" s="5">
        <v>45636</v>
      </c>
      <c r="C21">
        <v>619.32000000000005</v>
      </c>
      <c r="D21">
        <v>225.04</v>
      </c>
    </row>
    <row r="22" spans="2:4" x14ac:dyDescent="0.25">
      <c r="B22" s="5">
        <v>45635</v>
      </c>
      <c r="C22">
        <v>613.57000000000005</v>
      </c>
      <c r="D22">
        <v>226.09</v>
      </c>
    </row>
    <row r="23" spans="2:4" x14ac:dyDescent="0.25">
      <c r="B23" s="5">
        <v>45632</v>
      </c>
      <c r="C23">
        <v>623.77</v>
      </c>
      <c r="D23">
        <v>227.03</v>
      </c>
    </row>
    <row r="24" spans="2:4" x14ac:dyDescent="0.25">
      <c r="B24" s="5">
        <v>45631</v>
      </c>
      <c r="C24">
        <v>608.92999999999995</v>
      </c>
      <c r="D24">
        <v>220.55</v>
      </c>
    </row>
    <row r="25" spans="2:4" x14ac:dyDescent="0.25">
      <c r="B25" s="5">
        <v>45630</v>
      </c>
      <c r="C25">
        <v>613.78</v>
      </c>
      <c r="D25">
        <v>218.16</v>
      </c>
    </row>
    <row r="26" spans="2:4" x14ac:dyDescent="0.25">
      <c r="B26" s="5">
        <v>45629</v>
      </c>
      <c r="C26">
        <v>613.65</v>
      </c>
      <c r="D26">
        <v>213.44</v>
      </c>
    </row>
    <row r="27" spans="2:4" x14ac:dyDescent="0.25">
      <c r="B27" s="5">
        <v>45628</v>
      </c>
      <c r="C27">
        <v>592.83000000000004</v>
      </c>
      <c r="D27">
        <v>210.71</v>
      </c>
    </row>
    <row r="28" spans="2:4" x14ac:dyDescent="0.25">
      <c r="B28" s="5">
        <v>45625</v>
      </c>
      <c r="C28">
        <v>574.32000000000005</v>
      </c>
      <c r="D28">
        <v>207.89</v>
      </c>
    </row>
    <row r="29" spans="2:4" x14ac:dyDescent="0.25">
      <c r="B29" s="5">
        <v>45623</v>
      </c>
      <c r="C29">
        <v>569.20000000000005</v>
      </c>
      <c r="D29">
        <v>205.74</v>
      </c>
    </row>
    <row r="30" spans="2:4" x14ac:dyDescent="0.25">
      <c r="B30" s="5">
        <v>45622</v>
      </c>
      <c r="C30">
        <v>573.54</v>
      </c>
      <c r="D30">
        <v>207.86</v>
      </c>
    </row>
    <row r="31" spans="2:4" x14ac:dyDescent="0.25">
      <c r="B31" s="5">
        <v>45621</v>
      </c>
      <c r="C31">
        <v>565.11</v>
      </c>
      <c r="D31">
        <v>201.45</v>
      </c>
    </row>
    <row r="32" spans="2:4" x14ac:dyDescent="0.25">
      <c r="B32" s="5">
        <v>45618</v>
      </c>
      <c r="C32">
        <v>559.14</v>
      </c>
      <c r="D32">
        <v>197.12</v>
      </c>
    </row>
    <row r="33" spans="2:4" x14ac:dyDescent="0.25">
      <c r="B33" s="5">
        <v>45617</v>
      </c>
      <c r="C33">
        <v>563.09</v>
      </c>
      <c r="D33">
        <v>198.38</v>
      </c>
    </row>
    <row r="34" spans="2:4" x14ac:dyDescent="0.25">
      <c r="B34" s="5">
        <v>45616</v>
      </c>
      <c r="C34">
        <v>565.52</v>
      </c>
      <c r="D34">
        <v>202.88</v>
      </c>
    </row>
    <row r="35" spans="2:4" x14ac:dyDescent="0.25">
      <c r="B35" s="5">
        <v>45615</v>
      </c>
      <c r="C35">
        <v>561.09</v>
      </c>
      <c r="D35">
        <v>204.61</v>
      </c>
    </row>
    <row r="36" spans="2:4" x14ac:dyDescent="0.25">
      <c r="B36" s="5">
        <v>45614</v>
      </c>
      <c r="C36">
        <v>554.4</v>
      </c>
      <c r="D36">
        <v>201.7</v>
      </c>
    </row>
    <row r="37" spans="2:4" x14ac:dyDescent="0.25">
      <c r="B37" s="5">
        <v>45611</v>
      </c>
      <c r="C37">
        <v>554.08000000000004</v>
      </c>
      <c r="D37">
        <v>202.61</v>
      </c>
    </row>
    <row r="38" spans="2:4" x14ac:dyDescent="0.25">
      <c r="B38" s="5">
        <v>45610</v>
      </c>
      <c r="C38">
        <v>577.16</v>
      </c>
      <c r="D38">
        <v>211.48</v>
      </c>
    </row>
    <row r="39" spans="2:4" x14ac:dyDescent="0.25">
      <c r="B39" s="5">
        <v>45609</v>
      </c>
      <c r="C39">
        <v>580</v>
      </c>
      <c r="D39">
        <v>214.1</v>
      </c>
    </row>
    <row r="40" spans="2:4" x14ac:dyDescent="0.25">
      <c r="B40" s="5">
        <v>45608</v>
      </c>
      <c r="C40">
        <v>584.82000000000005</v>
      </c>
      <c r="D40">
        <v>208.91</v>
      </c>
    </row>
    <row r="41" spans="2:4" x14ac:dyDescent="0.25">
      <c r="B41" s="5">
        <v>45607</v>
      </c>
      <c r="C41">
        <v>583.16999999999996</v>
      </c>
      <c r="D41">
        <v>206.84</v>
      </c>
    </row>
    <row r="42" spans="2:4" x14ac:dyDescent="0.25">
      <c r="B42" s="5">
        <v>45604</v>
      </c>
      <c r="C42">
        <v>589.34</v>
      </c>
      <c r="D42">
        <v>208.18</v>
      </c>
    </row>
    <row r="43" spans="2:4" x14ac:dyDescent="0.25">
      <c r="B43" s="5">
        <v>45603</v>
      </c>
      <c r="C43">
        <v>591.70000000000005</v>
      </c>
      <c r="D43">
        <v>210.05</v>
      </c>
    </row>
    <row r="44" spans="2:4" x14ac:dyDescent="0.25">
      <c r="B44" s="5">
        <v>45602</v>
      </c>
      <c r="C44">
        <v>572.04999999999995</v>
      </c>
      <c r="D44">
        <v>207.09</v>
      </c>
    </row>
    <row r="45" spans="2:4" x14ac:dyDescent="0.25">
      <c r="B45" s="5">
        <v>45601</v>
      </c>
      <c r="C45">
        <v>572.42999999999995</v>
      </c>
      <c r="D45">
        <v>199.5</v>
      </c>
    </row>
    <row r="46" spans="2:4" x14ac:dyDescent="0.25">
      <c r="B46" s="5">
        <v>45600</v>
      </c>
      <c r="C46">
        <v>560.67999999999995</v>
      </c>
      <c r="D46">
        <v>195.78</v>
      </c>
    </row>
    <row r="47" spans="2:4" x14ac:dyDescent="0.25">
      <c r="B47" s="5">
        <v>45597</v>
      </c>
      <c r="C47">
        <v>567.16</v>
      </c>
      <c r="D47">
        <v>197.93</v>
      </c>
    </row>
    <row r="48" spans="2:4" x14ac:dyDescent="0.25">
      <c r="B48" s="5">
        <v>45596</v>
      </c>
      <c r="C48">
        <v>567.58000000000004</v>
      </c>
      <c r="D48">
        <v>186.4</v>
      </c>
    </row>
    <row r="49" spans="2:4" x14ac:dyDescent="0.25">
      <c r="B49" s="5">
        <v>45595</v>
      </c>
      <c r="C49">
        <v>591.79999999999995</v>
      </c>
      <c r="D49">
        <v>192.73</v>
      </c>
    </row>
    <row r="50" spans="2:4" x14ac:dyDescent="0.25">
      <c r="B50" s="5">
        <v>45594</v>
      </c>
      <c r="C50">
        <v>593.28</v>
      </c>
      <c r="D50">
        <v>190.83</v>
      </c>
    </row>
    <row r="51" spans="2:4" x14ac:dyDescent="0.25">
      <c r="B51" s="5">
        <v>45593</v>
      </c>
      <c r="C51">
        <v>578.16</v>
      </c>
      <c r="D51">
        <v>188.39</v>
      </c>
    </row>
    <row r="52" spans="2:4" x14ac:dyDescent="0.25">
      <c r="B52" s="5">
        <v>45590</v>
      </c>
      <c r="C52">
        <v>573.25</v>
      </c>
      <c r="D52">
        <v>187.83</v>
      </c>
    </row>
    <row r="53" spans="2:4" x14ac:dyDescent="0.25">
      <c r="B53" s="5">
        <v>45589</v>
      </c>
      <c r="C53">
        <v>567.78</v>
      </c>
      <c r="D53">
        <v>186.38</v>
      </c>
    </row>
    <row r="54" spans="2:4" x14ac:dyDescent="0.25">
      <c r="B54" s="5">
        <v>45588</v>
      </c>
      <c r="C54">
        <v>563.69000000000005</v>
      </c>
      <c r="D54">
        <v>184.71</v>
      </c>
    </row>
    <row r="55" spans="2:4" x14ac:dyDescent="0.25">
      <c r="B55" s="5">
        <v>45587</v>
      </c>
      <c r="C55">
        <v>582.01</v>
      </c>
      <c r="D55">
        <v>189.7</v>
      </c>
    </row>
    <row r="56" spans="2:4" x14ac:dyDescent="0.25">
      <c r="B56" s="5">
        <v>45586</v>
      </c>
      <c r="C56">
        <v>575.16</v>
      </c>
      <c r="D56">
        <v>189.07</v>
      </c>
    </row>
    <row r="57" spans="2:4" x14ac:dyDescent="0.25">
      <c r="B57" s="5">
        <v>45583</v>
      </c>
      <c r="C57">
        <v>576.47</v>
      </c>
      <c r="D57">
        <v>188.99</v>
      </c>
    </row>
    <row r="58" spans="2:4" x14ac:dyDescent="0.25">
      <c r="B58" s="5">
        <v>45582</v>
      </c>
      <c r="C58">
        <v>576.92999999999995</v>
      </c>
      <c r="D58">
        <v>187.53</v>
      </c>
    </row>
    <row r="59" spans="2:4" x14ac:dyDescent="0.25">
      <c r="B59" s="5">
        <v>45581</v>
      </c>
      <c r="C59">
        <v>576.79</v>
      </c>
      <c r="D59">
        <v>186.89</v>
      </c>
    </row>
    <row r="60" spans="2:4" x14ac:dyDescent="0.25">
      <c r="B60" s="5">
        <v>45580</v>
      </c>
      <c r="C60">
        <v>586.27</v>
      </c>
      <c r="D60">
        <v>187.69</v>
      </c>
    </row>
    <row r="61" spans="2:4" x14ac:dyDescent="0.25">
      <c r="B61" s="5">
        <v>45579</v>
      </c>
      <c r="C61">
        <v>590.41999999999996</v>
      </c>
      <c r="D61">
        <v>187.54</v>
      </c>
    </row>
    <row r="62" spans="2:4" x14ac:dyDescent="0.25">
      <c r="B62" s="5">
        <v>45576</v>
      </c>
      <c r="C62">
        <v>589.95000000000005</v>
      </c>
      <c r="D62">
        <v>188.82</v>
      </c>
    </row>
    <row r="63" spans="2:4" x14ac:dyDescent="0.25">
      <c r="B63" s="5">
        <v>45575</v>
      </c>
      <c r="C63">
        <v>583.83000000000004</v>
      </c>
      <c r="D63">
        <v>186.65</v>
      </c>
    </row>
    <row r="64" spans="2:4" x14ac:dyDescent="0.25">
      <c r="B64" s="5">
        <v>45574</v>
      </c>
      <c r="C64">
        <v>590.51</v>
      </c>
      <c r="D64">
        <v>185.17</v>
      </c>
    </row>
    <row r="65" spans="2:4" x14ac:dyDescent="0.25">
      <c r="B65" s="5">
        <v>45573</v>
      </c>
      <c r="C65">
        <v>592.89</v>
      </c>
      <c r="D65">
        <v>182.72</v>
      </c>
    </row>
    <row r="66" spans="2:4" x14ac:dyDescent="0.25">
      <c r="B66" s="5">
        <v>45572</v>
      </c>
      <c r="C66">
        <v>584.78</v>
      </c>
      <c r="D66">
        <v>180.8</v>
      </c>
    </row>
    <row r="67" spans="2:4" x14ac:dyDescent="0.25">
      <c r="B67" s="5">
        <v>45569</v>
      </c>
      <c r="C67">
        <v>595.94000000000005</v>
      </c>
      <c r="D67">
        <v>186.51</v>
      </c>
    </row>
    <row r="68" spans="2:4" x14ac:dyDescent="0.25">
      <c r="B68" s="5">
        <v>45568</v>
      </c>
      <c r="C68">
        <v>582.77</v>
      </c>
      <c r="D68">
        <v>181.96</v>
      </c>
    </row>
    <row r="69" spans="2:4" x14ac:dyDescent="0.25">
      <c r="B69" s="5">
        <v>45567</v>
      </c>
      <c r="C69">
        <v>572.80999999999995</v>
      </c>
      <c r="D69">
        <v>184.76</v>
      </c>
    </row>
    <row r="70" spans="2:4" x14ac:dyDescent="0.25">
      <c r="B70" s="5">
        <v>45566</v>
      </c>
      <c r="C70">
        <v>576.47</v>
      </c>
      <c r="D70">
        <v>185.13</v>
      </c>
    </row>
    <row r="71" spans="2:4" x14ac:dyDescent="0.25">
      <c r="B71" s="5">
        <v>45565</v>
      </c>
      <c r="C71">
        <v>572.44000000000005</v>
      </c>
      <c r="D71">
        <v>186.33</v>
      </c>
    </row>
    <row r="72" spans="2:4" x14ac:dyDescent="0.25">
      <c r="B72" s="5">
        <v>45562</v>
      </c>
      <c r="C72">
        <v>567.36</v>
      </c>
      <c r="D72">
        <v>187.97</v>
      </c>
    </row>
    <row r="73" spans="2:4" x14ac:dyDescent="0.25">
      <c r="B73" s="5">
        <v>45561</v>
      </c>
      <c r="C73">
        <v>567.84</v>
      </c>
      <c r="D73">
        <v>191.16</v>
      </c>
    </row>
    <row r="74" spans="2:4" x14ac:dyDescent="0.25">
      <c r="B74" s="5">
        <v>45560</v>
      </c>
      <c r="C74">
        <v>568.30999999999995</v>
      </c>
      <c r="D74">
        <v>192.53</v>
      </c>
    </row>
    <row r="75" spans="2:4" x14ac:dyDescent="0.25">
      <c r="B75" s="5">
        <v>45559</v>
      </c>
      <c r="C75">
        <v>563.33000000000004</v>
      </c>
      <c r="D75">
        <v>193.96</v>
      </c>
    </row>
    <row r="76" spans="2:4" x14ac:dyDescent="0.25">
      <c r="B76" s="5">
        <v>45558</v>
      </c>
      <c r="C76">
        <v>564.41</v>
      </c>
      <c r="D76">
        <v>193.88</v>
      </c>
    </row>
    <row r="77" spans="2:4" x14ac:dyDescent="0.25">
      <c r="B77" s="5">
        <v>45555</v>
      </c>
      <c r="C77">
        <v>561.35</v>
      </c>
      <c r="D77">
        <v>191.6</v>
      </c>
    </row>
    <row r="78" spans="2:4" x14ac:dyDescent="0.25">
      <c r="B78" s="5">
        <v>45554</v>
      </c>
      <c r="C78">
        <v>559.1</v>
      </c>
      <c r="D78">
        <v>189.87</v>
      </c>
    </row>
    <row r="79" spans="2:4" x14ac:dyDescent="0.25">
      <c r="B79" s="5">
        <v>45553</v>
      </c>
      <c r="C79">
        <v>537.95000000000005</v>
      </c>
      <c r="D79">
        <v>186.43</v>
      </c>
    </row>
    <row r="80" spans="2:4" x14ac:dyDescent="0.25">
      <c r="B80" s="5">
        <v>45552</v>
      </c>
      <c r="C80">
        <v>536.31500000000005</v>
      </c>
      <c r="D80">
        <v>186.88</v>
      </c>
    </row>
    <row r="81" spans="2:4" x14ac:dyDescent="0.25">
      <c r="B81" s="5">
        <v>45551</v>
      </c>
      <c r="C81">
        <v>533.28</v>
      </c>
      <c r="D81">
        <v>184.89</v>
      </c>
    </row>
    <row r="82" spans="2:4" x14ac:dyDescent="0.25">
      <c r="B82" s="5">
        <v>45548</v>
      </c>
      <c r="C82">
        <v>524.62</v>
      </c>
      <c r="D82">
        <v>186.49</v>
      </c>
    </row>
    <row r="83" spans="2:4" x14ac:dyDescent="0.25">
      <c r="B83" s="5">
        <v>45547</v>
      </c>
      <c r="C83">
        <v>525.6</v>
      </c>
      <c r="D83">
        <v>187</v>
      </c>
    </row>
    <row r="84" spans="2:4" x14ac:dyDescent="0.25">
      <c r="B84" s="5">
        <v>45546</v>
      </c>
      <c r="C84">
        <v>511.83</v>
      </c>
      <c r="D84">
        <v>184.52</v>
      </c>
    </row>
    <row r="85" spans="2:4" x14ac:dyDescent="0.25">
      <c r="B85" s="5">
        <v>45545</v>
      </c>
      <c r="C85">
        <v>504.79</v>
      </c>
      <c r="D85">
        <v>179.55</v>
      </c>
    </row>
    <row r="86" spans="2:4" x14ac:dyDescent="0.25">
      <c r="B86" s="5">
        <v>45544</v>
      </c>
      <c r="C86">
        <v>504.79</v>
      </c>
      <c r="D86">
        <v>175.4</v>
      </c>
    </row>
    <row r="87" spans="2:4" x14ac:dyDescent="0.25">
      <c r="B87" s="5">
        <v>45541</v>
      </c>
      <c r="C87">
        <v>500.27</v>
      </c>
      <c r="D87">
        <v>171.39</v>
      </c>
    </row>
    <row r="88" spans="2:4" x14ac:dyDescent="0.25">
      <c r="B88" s="5">
        <v>45540</v>
      </c>
      <c r="C88">
        <v>516.86</v>
      </c>
      <c r="D88">
        <v>177.89</v>
      </c>
    </row>
    <row r="89" spans="2:4" x14ac:dyDescent="0.25">
      <c r="B89" s="5">
        <v>45539</v>
      </c>
      <c r="C89">
        <v>512.74</v>
      </c>
      <c r="D89">
        <v>173.33</v>
      </c>
    </row>
    <row r="90" spans="2:4" x14ac:dyDescent="0.25">
      <c r="B90" s="5">
        <v>45538</v>
      </c>
      <c r="C90">
        <v>511.76</v>
      </c>
      <c r="D90">
        <v>176.25</v>
      </c>
    </row>
    <row r="91" spans="2:4" x14ac:dyDescent="0.25">
      <c r="B91" s="5">
        <v>45534</v>
      </c>
      <c r="C91">
        <v>521.30999999999995</v>
      </c>
      <c r="D91">
        <v>178.5</v>
      </c>
    </row>
    <row r="92" spans="2:4" x14ac:dyDescent="0.25">
      <c r="B92" s="5">
        <v>45533</v>
      </c>
      <c r="C92">
        <v>518.22</v>
      </c>
      <c r="D92">
        <v>172.12</v>
      </c>
    </row>
    <row r="93" spans="2:4" x14ac:dyDescent="0.25">
      <c r="B93" s="5">
        <v>45532</v>
      </c>
      <c r="C93">
        <v>516.78</v>
      </c>
      <c r="D93">
        <v>170.8</v>
      </c>
    </row>
    <row r="94" spans="2:4" x14ac:dyDescent="0.25">
      <c r="B94" s="5">
        <v>45531</v>
      </c>
      <c r="C94">
        <v>519.1</v>
      </c>
      <c r="D94">
        <v>173.12</v>
      </c>
    </row>
    <row r="95" spans="2:4" x14ac:dyDescent="0.25">
      <c r="B95" s="5">
        <v>45530</v>
      </c>
      <c r="C95">
        <v>521.12</v>
      </c>
      <c r="D95">
        <v>175.5</v>
      </c>
    </row>
    <row r="96" spans="2:4" x14ac:dyDescent="0.25">
      <c r="B96" s="5">
        <v>45527</v>
      </c>
      <c r="C96">
        <v>528</v>
      </c>
      <c r="D96">
        <v>177.04</v>
      </c>
    </row>
    <row r="97" spans="2:4" x14ac:dyDescent="0.25">
      <c r="B97" s="5">
        <v>45526</v>
      </c>
      <c r="C97">
        <v>531.92999999999995</v>
      </c>
      <c r="D97">
        <v>176.13</v>
      </c>
    </row>
    <row r="98" spans="2:4" x14ac:dyDescent="0.25">
      <c r="B98" s="5">
        <v>45525</v>
      </c>
      <c r="C98">
        <v>535.16</v>
      </c>
      <c r="D98">
        <v>180.11</v>
      </c>
    </row>
    <row r="99" spans="2:4" x14ac:dyDescent="0.25">
      <c r="B99" s="5">
        <v>45524</v>
      </c>
      <c r="C99">
        <v>526.73</v>
      </c>
      <c r="D99">
        <v>178.88</v>
      </c>
    </row>
    <row r="100" spans="2:4" x14ac:dyDescent="0.25">
      <c r="B100" s="5">
        <v>45523</v>
      </c>
      <c r="C100">
        <v>529.28</v>
      </c>
      <c r="D100">
        <v>178.22</v>
      </c>
    </row>
    <row r="101" spans="2:4" x14ac:dyDescent="0.25">
      <c r="B101" s="5">
        <v>45520</v>
      </c>
      <c r="C101">
        <v>527.41999999999996</v>
      </c>
      <c r="D101">
        <v>177.06</v>
      </c>
    </row>
    <row r="102" spans="2:4" x14ac:dyDescent="0.25">
      <c r="B102" s="5">
        <v>45519</v>
      </c>
      <c r="C102">
        <v>537.33000000000004</v>
      </c>
      <c r="D102">
        <v>177.59</v>
      </c>
    </row>
    <row r="103" spans="2:4" x14ac:dyDescent="0.25">
      <c r="B103" s="5">
        <v>45518</v>
      </c>
      <c r="C103">
        <v>526.76</v>
      </c>
      <c r="D103">
        <v>170.1</v>
      </c>
    </row>
    <row r="104" spans="2:4" x14ac:dyDescent="0.25">
      <c r="B104" s="5">
        <v>45517</v>
      </c>
      <c r="C104">
        <v>528.54</v>
      </c>
      <c r="D104">
        <v>170.23</v>
      </c>
    </row>
    <row r="105" spans="2:4" x14ac:dyDescent="0.25">
      <c r="B105" s="5">
        <v>45516</v>
      </c>
      <c r="C105">
        <v>515.95000000000005</v>
      </c>
      <c r="D105">
        <v>166.8</v>
      </c>
    </row>
    <row r="106" spans="2:4" x14ac:dyDescent="0.25">
      <c r="B106" s="5">
        <v>45513</v>
      </c>
      <c r="C106">
        <v>517.77</v>
      </c>
      <c r="D106">
        <v>166.94</v>
      </c>
    </row>
    <row r="107" spans="2:4" x14ac:dyDescent="0.25">
      <c r="B107" s="5">
        <v>45512</v>
      </c>
      <c r="C107">
        <v>509.63</v>
      </c>
      <c r="D107">
        <v>165.8</v>
      </c>
    </row>
    <row r="108" spans="2:4" x14ac:dyDescent="0.25">
      <c r="B108" s="5">
        <v>45511</v>
      </c>
      <c r="C108">
        <v>488.92</v>
      </c>
      <c r="D108">
        <v>162.77000000000001</v>
      </c>
    </row>
    <row r="109" spans="2:4" x14ac:dyDescent="0.25">
      <c r="B109" s="5">
        <v>45510</v>
      </c>
      <c r="C109">
        <v>494.09</v>
      </c>
      <c r="D109">
        <v>161.93</v>
      </c>
    </row>
    <row r="110" spans="2:4" x14ac:dyDescent="0.25">
      <c r="B110" s="5">
        <v>45509</v>
      </c>
      <c r="C110">
        <v>475.73</v>
      </c>
      <c r="D110">
        <v>161.02000000000001</v>
      </c>
    </row>
    <row r="111" spans="2:4" x14ac:dyDescent="0.25">
      <c r="B111" s="5">
        <v>45506</v>
      </c>
      <c r="C111">
        <v>488.14</v>
      </c>
      <c r="D111">
        <v>167.9</v>
      </c>
    </row>
    <row r="112" spans="2:4" x14ac:dyDescent="0.25">
      <c r="B112" s="5">
        <v>45505</v>
      </c>
      <c r="C112">
        <v>497.74</v>
      </c>
      <c r="D112">
        <v>184.07</v>
      </c>
    </row>
    <row r="113" spans="2:4" x14ac:dyDescent="0.25">
      <c r="B113" s="5">
        <v>45504</v>
      </c>
      <c r="C113">
        <v>474.83</v>
      </c>
      <c r="D113">
        <v>186.98</v>
      </c>
    </row>
    <row r="114" spans="2:4" x14ac:dyDescent="0.25">
      <c r="B114" s="5">
        <v>45503</v>
      </c>
      <c r="C114">
        <v>463.19</v>
      </c>
      <c r="D114">
        <v>181.71</v>
      </c>
    </row>
    <row r="115" spans="2:4" x14ac:dyDescent="0.25">
      <c r="B115" s="5">
        <v>45502</v>
      </c>
      <c r="C115">
        <v>465.71</v>
      </c>
      <c r="D115">
        <v>183.2</v>
      </c>
    </row>
    <row r="116" spans="2:4" x14ac:dyDescent="0.25">
      <c r="B116" s="5">
        <v>45499</v>
      </c>
      <c r="C116">
        <v>465.7</v>
      </c>
      <c r="D116">
        <v>182.5</v>
      </c>
    </row>
    <row r="117" spans="2:4" x14ac:dyDescent="0.25">
      <c r="B117" s="5">
        <v>45498</v>
      </c>
      <c r="C117">
        <v>453.41</v>
      </c>
      <c r="D117">
        <v>179.85</v>
      </c>
    </row>
    <row r="118" spans="2:4" x14ac:dyDescent="0.25">
      <c r="B118" s="5">
        <v>45497</v>
      </c>
      <c r="C118">
        <v>461.27</v>
      </c>
      <c r="D118">
        <v>180.83</v>
      </c>
    </row>
    <row r="119" spans="2:4" x14ac:dyDescent="0.25">
      <c r="B119" s="5">
        <v>45496</v>
      </c>
      <c r="C119">
        <v>488.69</v>
      </c>
      <c r="D119">
        <v>186.41</v>
      </c>
    </row>
    <row r="120" spans="2:4" x14ac:dyDescent="0.25">
      <c r="B120" s="5">
        <v>45495</v>
      </c>
      <c r="C120">
        <v>487.4</v>
      </c>
      <c r="D120">
        <v>182.55</v>
      </c>
    </row>
    <row r="121" spans="2:4" x14ac:dyDescent="0.25">
      <c r="B121" s="5">
        <v>45492</v>
      </c>
      <c r="C121">
        <v>476.79</v>
      </c>
      <c r="D121">
        <v>183.13</v>
      </c>
    </row>
    <row r="122" spans="2:4" x14ac:dyDescent="0.25">
      <c r="B122" s="5">
        <v>45491</v>
      </c>
      <c r="C122">
        <v>475.85</v>
      </c>
      <c r="D122">
        <v>183.75</v>
      </c>
    </row>
    <row r="123" spans="2:4" x14ac:dyDescent="0.25">
      <c r="B123" s="5">
        <v>45490</v>
      </c>
      <c r="C123">
        <v>461.99</v>
      </c>
      <c r="D123">
        <v>187.93</v>
      </c>
    </row>
    <row r="124" spans="2:4" x14ac:dyDescent="0.25">
      <c r="B124" s="5">
        <v>45489</v>
      </c>
      <c r="C124">
        <v>489.79</v>
      </c>
      <c r="D124">
        <v>193.02</v>
      </c>
    </row>
    <row r="125" spans="2:4" x14ac:dyDescent="0.25">
      <c r="B125" s="5">
        <v>45488</v>
      </c>
      <c r="C125">
        <v>496.16</v>
      </c>
      <c r="D125">
        <v>192.72</v>
      </c>
    </row>
    <row r="126" spans="2:4" x14ac:dyDescent="0.25">
      <c r="B126" s="5">
        <v>45485</v>
      </c>
      <c r="C126">
        <v>498.87</v>
      </c>
      <c r="D126">
        <v>194.49</v>
      </c>
    </row>
    <row r="127" spans="2:4" x14ac:dyDescent="0.25">
      <c r="B127" s="5">
        <v>45484</v>
      </c>
      <c r="C127">
        <v>512.70000000000005</v>
      </c>
      <c r="D127">
        <v>195.05</v>
      </c>
    </row>
    <row r="128" spans="2:4" x14ac:dyDescent="0.25">
      <c r="B128" s="5">
        <v>45483</v>
      </c>
      <c r="C128">
        <v>534.69000000000005</v>
      </c>
      <c r="D128">
        <v>199.79</v>
      </c>
    </row>
    <row r="129" spans="2:4" x14ac:dyDescent="0.25">
      <c r="B129" s="5">
        <v>45482</v>
      </c>
      <c r="C129">
        <v>530</v>
      </c>
      <c r="D129">
        <v>199.34</v>
      </c>
    </row>
    <row r="130" spans="2:4" x14ac:dyDescent="0.25">
      <c r="B130" s="5">
        <v>45481</v>
      </c>
      <c r="C130">
        <v>529.32000000000005</v>
      </c>
      <c r="D130">
        <v>199.29</v>
      </c>
    </row>
    <row r="131" spans="2:4" x14ac:dyDescent="0.25">
      <c r="B131" s="5">
        <v>45478</v>
      </c>
      <c r="C131">
        <v>539.91</v>
      </c>
      <c r="D131">
        <v>200</v>
      </c>
    </row>
    <row r="132" spans="2:4" x14ac:dyDescent="0.25">
      <c r="B132" s="5">
        <v>45476</v>
      </c>
      <c r="C132">
        <v>509.96</v>
      </c>
      <c r="D132">
        <v>197.59</v>
      </c>
    </row>
    <row r="133" spans="2:4" x14ac:dyDescent="0.25">
      <c r="B133" s="5">
        <v>45475</v>
      </c>
      <c r="C133">
        <v>509.5</v>
      </c>
      <c r="D133">
        <v>200</v>
      </c>
    </row>
    <row r="134" spans="2:4" x14ac:dyDescent="0.25">
      <c r="B134" s="5">
        <v>45474</v>
      </c>
      <c r="C134">
        <v>504.68</v>
      </c>
      <c r="D134">
        <v>197.2</v>
      </c>
    </row>
    <row r="135" spans="2:4" x14ac:dyDescent="0.25">
      <c r="B135" s="5">
        <v>45471</v>
      </c>
      <c r="C135">
        <v>504.22</v>
      </c>
      <c r="D135">
        <v>193.25</v>
      </c>
    </row>
    <row r="136" spans="2:4" x14ac:dyDescent="0.25">
      <c r="B136" s="5">
        <v>45470</v>
      </c>
      <c r="C136">
        <v>519.55999999999995</v>
      </c>
      <c r="D136">
        <v>197.85</v>
      </c>
    </row>
    <row r="137" spans="2:4" x14ac:dyDescent="0.25">
      <c r="B137" s="5">
        <v>45469</v>
      </c>
      <c r="C137">
        <v>513.12</v>
      </c>
      <c r="D137">
        <v>193.61</v>
      </c>
    </row>
    <row r="138" spans="2:4" x14ac:dyDescent="0.25">
      <c r="B138" s="5">
        <v>45468</v>
      </c>
      <c r="C138">
        <v>510.6</v>
      </c>
      <c r="D138">
        <v>186.34</v>
      </c>
    </row>
    <row r="139" spans="2:4" x14ac:dyDescent="0.25">
      <c r="B139" s="5">
        <v>45467</v>
      </c>
      <c r="C139">
        <v>498.91</v>
      </c>
      <c r="D139">
        <v>185.57</v>
      </c>
    </row>
    <row r="140" spans="2:4" x14ac:dyDescent="0.25">
      <c r="B140" s="5">
        <v>45464</v>
      </c>
      <c r="C140">
        <v>494.78</v>
      </c>
      <c r="D140">
        <v>189.08</v>
      </c>
    </row>
    <row r="141" spans="2:4" x14ac:dyDescent="0.25">
      <c r="B141" s="5">
        <v>45463</v>
      </c>
      <c r="C141">
        <v>501.7</v>
      </c>
      <c r="D141">
        <v>186.1</v>
      </c>
    </row>
    <row r="142" spans="2:4" x14ac:dyDescent="0.25">
      <c r="B142" s="5">
        <v>45461</v>
      </c>
      <c r="C142">
        <v>499.49</v>
      </c>
      <c r="D142">
        <v>182.81</v>
      </c>
    </row>
    <row r="143" spans="2:4" x14ac:dyDescent="0.25">
      <c r="B143" s="5">
        <v>45460</v>
      </c>
      <c r="C143">
        <v>506.63</v>
      </c>
      <c r="D143">
        <v>184.06</v>
      </c>
    </row>
    <row r="144" spans="2:4" x14ac:dyDescent="0.25">
      <c r="B144" s="5">
        <v>45457</v>
      </c>
      <c r="C144">
        <v>504.16</v>
      </c>
      <c r="D144">
        <v>183.66</v>
      </c>
    </row>
    <row r="145" spans="2:4" x14ac:dyDescent="0.25">
      <c r="B145" s="5">
        <v>45456</v>
      </c>
      <c r="C145">
        <v>504.1</v>
      </c>
      <c r="D145">
        <v>183.83</v>
      </c>
    </row>
    <row r="146" spans="2:4" x14ac:dyDescent="0.25">
      <c r="B146" s="5">
        <v>45455</v>
      </c>
      <c r="C146">
        <v>508.84</v>
      </c>
      <c r="D146">
        <v>186.89</v>
      </c>
    </row>
    <row r="147" spans="2:4" x14ac:dyDescent="0.25">
      <c r="B147" s="5">
        <v>45454</v>
      </c>
      <c r="C147">
        <v>507.47</v>
      </c>
      <c r="D147">
        <v>187.23</v>
      </c>
    </row>
    <row r="148" spans="2:4" x14ac:dyDescent="0.25">
      <c r="B148" s="5">
        <v>45453</v>
      </c>
      <c r="C148">
        <v>502.6</v>
      </c>
      <c r="D148">
        <v>187.06</v>
      </c>
    </row>
    <row r="149" spans="2:4" x14ac:dyDescent="0.25">
      <c r="B149" s="5">
        <v>45450</v>
      </c>
      <c r="C149">
        <v>492.96</v>
      </c>
      <c r="D149">
        <v>184.3</v>
      </c>
    </row>
    <row r="150" spans="2:4" x14ac:dyDescent="0.25">
      <c r="B150" s="5">
        <v>45449</v>
      </c>
      <c r="C150">
        <v>493.76</v>
      </c>
      <c r="D150">
        <v>185</v>
      </c>
    </row>
    <row r="151" spans="2:4" x14ac:dyDescent="0.25">
      <c r="B151" s="5">
        <v>45448</v>
      </c>
      <c r="C151">
        <v>495.06</v>
      </c>
      <c r="D151">
        <v>181.28</v>
      </c>
    </row>
    <row r="152" spans="2:4" x14ac:dyDescent="0.25">
      <c r="B152" s="5">
        <v>45447</v>
      </c>
      <c r="C152">
        <v>476.99</v>
      </c>
      <c r="D152">
        <v>179.34</v>
      </c>
    </row>
    <row r="153" spans="2:4" x14ac:dyDescent="0.25">
      <c r="B153" s="5">
        <v>45446</v>
      </c>
      <c r="C153">
        <v>477.49</v>
      </c>
      <c r="D153">
        <v>178.34</v>
      </c>
    </row>
    <row r="154" spans="2:4" x14ac:dyDescent="0.25">
      <c r="B154" s="5">
        <v>45443</v>
      </c>
      <c r="C154">
        <v>466.83</v>
      </c>
      <c r="D154">
        <v>176.44</v>
      </c>
    </row>
    <row r="155" spans="2:4" x14ac:dyDescent="0.25">
      <c r="B155" s="5">
        <v>45442</v>
      </c>
      <c r="C155">
        <v>467.05</v>
      </c>
      <c r="D155">
        <v>179.32</v>
      </c>
    </row>
    <row r="156" spans="2:4" x14ac:dyDescent="0.25">
      <c r="B156" s="5">
        <v>45441</v>
      </c>
      <c r="C156">
        <v>474.36</v>
      </c>
      <c r="D156">
        <v>182.02</v>
      </c>
    </row>
    <row r="157" spans="2:4" x14ac:dyDescent="0.25">
      <c r="B157" s="5">
        <v>45440</v>
      </c>
      <c r="C157">
        <v>479.92</v>
      </c>
      <c r="D157">
        <v>182.15</v>
      </c>
    </row>
    <row r="158" spans="2:4" x14ac:dyDescent="0.25">
      <c r="B158" s="5">
        <v>45436</v>
      </c>
      <c r="C158">
        <v>478.22</v>
      </c>
      <c r="D158">
        <v>180.75</v>
      </c>
    </row>
    <row r="159" spans="2:4" x14ac:dyDescent="0.25">
      <c r="B159" s="5">
        <v>45435</v>
      </c>
      <c r="C159">
        <v>465.78</v>
      </c>
      <c r="D159">
        <v>181.05</v>
      </c>
    </row>
    <row r="160" spans="2:4" x14ac:dyDescent="0.25">
      <c r="B160" s="5">
        <v>45434</v>
      </c>
      <c r="C160">
        <v>467.78</v>
      </c>
      <c r="D160">
        <v>183.13</v>
      </c>
    </row>
    <row r="161" spans="2:4" x14ac:dyDescent="0.25">
      <c r="B161" s="5">
        <v>45433</v>
      </c>
      <c r="C161">
        <v>464.63</v>
      </c>
      <c r="D161">
        <v>183.15</v>
      </c>
    </row>
    <row r="162" spans="2:4" x14ac:dyDescent="0.25">
      <c r="B162" s="5">
        <v>45432</v>
      </c>
      <c r="C162">
        <v>468.84</v>
      </c>
      <c r="D162">
        <v>183.54</v>
      </c>
    </row>
    <row r="163" spans="2:4" x14ac:dyDescent="0.25">
      <c r="B163" s="5">
        <v>45429</v>
      </c>
      <c r="C163">
        <v>471.91</v>
      </c>
      <c r="D163">
        <v>184.7</v>
      </c>
    </row>
    <row r="164" spans="2:4" x14ac:dyDescent="0.25">
      <c r="B164" s="5">
        <v>45428</v>
      </c>
      <c r="C164">
        <v>473.23</v>
      </c>
      <c r="D164">
        <v>183.63</v>
      </c>
    </row>
    <row r="165" spans="2:4" x14ac:dyDescent="0.25">
      <c r="B165" s="5">
        <v>45427</v>
      </c>
      <c r="C165">
        <v>481.54</v>
      </c>
      <c r="D165">
        <v>185.99</v>
      </c>
    </row>
    <row r="166" spans="2:4" x14ac:dyDescent="0.25">
      <c r="B166" s="5">
        <v>45426</v>
      </c>
      <c r="C166">
        <v>471.85</v>
      </c>
      <c r="D166">
        <v>187.07</v>
      </c>
    </row>
    <row r="167" spans="2:4" x14ac:dyDescent="0.25">
      <c r="B167" s="5">
        <v>45425</v>
      </c>
      <c r="C167">
        <v>468.01</v>
      </c>
      <c r="D167">
        <v>186.57</v>
      </c>
    </row>
    <row r="168" spans="2:4" x14ac:dyDescent="0.25">
      <c r="B168" s="5">
        <v>45422</v>
      </c>
      <c r="C168">
        <v>476.2</v>
      </c>
      <c r="D168">
        <v>187.48</v>
      </c>
    </row>
    <row r="169" spans="2:4" x14ac:dyDescent="0.25">
      <c r="B169" s="5">
        <v>45421</v>
      </c>
      <c r="C169">
        <v>475.42</v>
      </c>
      <c r="D169">
        <v>189.5</v>
      </c>
    </row>
    <row r="170" spans="2:4" x14ac:dyDescent="0.25">
      <c r="B170" s="5">
        <v>45420</v>
      </c>
      <c r="C170">
        <v>472.6</v>
      </c>
      <c r="D170">
        <v>188</v>
      </c>
    </row>
    <row r="171" spans="2:4" x14ac:dyDescent="0.25">
      <c r="B171" s="5">
        <v>45419</v>
      </c>
      <c r="C171">
        <v>468.24</v>
      </c>
      <c r="D171">
        <v>188.76</v>
      </c>
    </row>
    <row r="172" spans="2:4" x14ac:dyDescent="0.25">
      <c r="B172" s="5">
        <v>45418</v>
      </c>
      <c r="C172">
        <v>465.68</v>
      </c>
      <c r="D172">
        <v>188.7</v>
      </c>
    </row>
    <row r="173" spans="2:4" x14ac:dyDescent="0.25">
      <c r="B173" s="5">
        <v>45415</v>
      </c>
      <c r="C173">
        <v>451.96</v>
      </c>
      <c r="D173">
        <v>186.21</v>
      </c>
    </row>
    <row r="174" spans="2:4" x14ac:dyDescent="0.25">
      <c r="B174" s="5">
        <v>45414</v>
      </c>
      <c r="C174">
        <v>441.68</v>
      </c>
      <c r="D174">
        <v>184.72</v>
      </c>
    </row>
    <row r="175" spans="2:4" x14ac:dyDescent="0.25">
      <c r="B175" s="5">
        <v>45413</v>
      </c>
      <c r="C175">
        <v>439.19</v>
      </c>
      <c r="D175">
        <v>179</v>
      </c>
    </row>
    <row r="176" spans="2:4" x14ac:dyDescent="0.25">
      <c r="B176" s="5">
        <v>45412</v>
      </c>
      <c r="C176">
        <v>430.17</v>
      </c>
      <c r="D176">
        <v>175</v>
      </c>
    </row>
    <row r="177" spans="2:4" x14ac:dyDescent="0.25">
      <c r="B177" s="5">
        <v>45411</v>
      </c>
      <c r="C177">
        <v>432.62</v>
      </c>
      <c r="D177">
        <v>180.96</v>
      </c>
    </row>
    <row r="178" spans="2:4" x14ac:dyDescent="0.25">
      <c r="B178" s="5">
        <v>45408</v>
      </c>
      <c r="C178">
        <v>443.29</v>
      </c>
      <c r="D178">
        <v>179.62</v>
      </c>
    </row>
    <row r="179" spans="2:4" x14ac:dyDescent="0.25">
      <c r="B179" s="5">
        <v>45407</v>
      </c>
      <c r="C179">
        <v>441.38</v>
      </c>
      <c r="D179">
        <v>173.67</v>
      </c>
    </row>
    <row r="180" spans="2:4" x14ac:dyDescent="0.25">
      <c r="B180" s="5">
        <v>45406</v>
      </c>
      <c r="C180">
        <v>493.5</v>
      </c>
      <c r="D180">
        <v>176.59</v>
      </c>
    </row>
    <row r="181" spans="2:4" x14ac:dyDescent="0.25">
      <c r="B181" s="5">
        <v>45405</v>
      </c>
      <c r="C181">
        <v>496.1</v>
      </c>
      <c r="D181">
        <v>179.54</v>
      </c>
    </row>
    <row r="182" spans="2:4" x14ac:dyDescent="0.25">
      <c r="B182" s="5">
        <v>45404</v>
      </c>
      <c r="C182">
        <v>481.73</v>
      </c>
      <c r="D182">
        <v>177.23</v>
      </c>
    </row>
    <row r="183" spans="2:4" x14ac:dyDescent="0.25">
      <c r="B183" s="5">
        <v>45401</v>
      </c>
      <c r="C183">
        <v>481.07</v>
      </c>
      <c r="D183">
        <v>174.63</v>
      </c>
    </row>
    <row r="184" spans="2:4" x14ac:dyDescent="0.25">
      <c r="B184" s="5">
        <v>45400</v>
      </c>
      <c r="C184">
        <v>501.8</v>
      </c>
      <c r="D184">
        <v>179.22</v>
      </c>
    </row>
    <row r="185" spans="2:4" x14ac:dyDescent="0.25">
      <c r="B185" s="5">
        <v>45399</v>
      </c>
      <c r="C185">
        <v>494.17</v>
      </c>
      <c r="D185">
        <v>181.28</v>
      </c>
    </row>
    <row r="186" spans="2:4" x14ac:dyDescent="0.25">
      <c r="B186" s="5">
        <v>45398</v>
      </c>
      <c r="C186">
        <v>499.76</v>
      </c>
      <c r="D186">
        <v>183.32</v>
      </c>
    </row>
    <row r="187" spans="2:4" x14ac:dyDescent="0.25">
      <c r="B187" s="5">
        <v>45397</v>
      </c>
      <c r="C187">
        <v>500.23</v>
      </c>
      <c r="D187">
        <v>183.62</v>
      </c>
    </row>
    <row r="188" spans="2:4" x14ac:dyDescent="0.25">
      <c r="B188" s="5">
        <v>45394</v>
      </c>
      <c r="C188">
        <v>511.9</v>
      </c>
      <c r="D188">
        <v>186.13</v>
      </c>
    </row>
    <row r="189" spans="2:4" x14ac:dyDescent="0.25">
      <c r="B189" s="5">
        <v>45393</v>
      </c>
      <c r="C189">
        <v>523.16</v>
      </c>
      <c r="D189">
        <v>189.05</v>
      </c>
    </row>
    <row r="190" spans="2:4" x14ac:dyDescent="0.25">
      <c r="B190" s="5">
        <v>45392</v>
      </c>
      <c r="C190">
        <v>519.83000000000004</v>
      </c>
      <c r="D190">
        <v>185.95</v>
      </c>
    </row>
    <row r="191" spans="2:4" x14ac:dyDescent="0.25">
      <c r="B191" s="5">
        <v>45391</v>
      </c>
      <c r="C191">
        <v>516.9</v>
      </c>
      <c r="D191">
        <v>185.67</v>
      </c>
    </row>
    <row r="192" spans="2:4" x14ac:dyDescent="0.25">
      <c r="B192" s="5">
        <v>45390</v>
      </c>
      <c r="C192">
        <v>519.25</v>
      </c>
      <c r="D192">
        <v>185.19</v>
      </c>
    </row>
    <row r="193" spans="2:4" x14ac:dyDescent="0.25">
      <c r="B193" s="5">
        <v>45387</v>
      </c>
      <c r="C193">
        <v>527.34</v>
      </c>
      <c r="D193">
        <v>185.07</v>
      </c>
    </row>
    <row r="194" spans="2:4" x14ac:dyDescent="0.25">
      <c r="B194" s="5">
        <v>45386</v>
      </c>
      <c r="C194">
        <v>510.92</v>
      </c>
      <c r="D194">
        <v>180</v>
      </c>
    </row>
    <row r="195" spans="2:4" x14ac:dyDescent="0.25">
      <c r="B195" s="5">
        <v>45385</v>
      </c>
      <c r="C195">
        <v>506.74</v>
      </c>
      <c r="D195">
        <v>182.41</v>
      </c>
    </row>
    <row r="196" spans="2:4" x14ac:dyDescent="0.25">
      <c r="B196" s="5">
        <v>45384</v>
      </c>
      <c r="C196">
        <v>497.37</v>
      </c>
      <c r="D196">
        <v>180.69</v>
      </c>
    </row>
    <row r="197" spans="2:4" x14ac:dyDescent="0.25">
      <c r="B197" s="5">
        <v>45383</v>
      </c>
      <c r="C197">
        <v>491.35</v>
      </c>
      <c r="D197">
        <v>180.97</v>
      </c>
    </row>
    <row r="198" spans="2:4" x14ac:dyDescent="0.25">
      <c r="B198" s="5">
        <v>45379</v>
      </c>
      <c r="C198">
        <v>485.58</v>
      </c>
      <c r="D198">
        <v>180.38</v>
      </c>
    </row>
    <row r="199" spans="2:4" x14ac:dyDescent="0.25">
      <c r="B199" s="5">
        <v>45378</v>
      </c>
      <c r="C199">
        <v>493.86</v>
      </c>
      <c r="D199">
        <v>179.83</v>
      </c>
    </row>
    <row r="200" spans="2:4" x14ac:dyDescent="0.25">
      <c r="B200" s="5">
        <v>45377</v>
      </c>
      <c r="C200">
        <v>495.89</v>
      </c>
      <c r="D200">
        <v>178.3</v>
      </c>
    </row>
    <row r="201" spans="2:4" x14ac:dyDescent="0.25">
      <c r="B201" s="5">
        <v>45376</v>
      </c>
      <c r="C201">
        <v>503.02</v>
      </c>
      <c r="D201">
        <v>179.71</v>
      </c>
    </row>
    <row r="202" spans="2:4" x14ac:dyDescent="0.25">
      <c r="B202" s="5">
        <v>45373</v>
      </c>
      <c r="C202">
        <v>509.58</v>
      </c>
      <c r="D202">
        <v>178.87</v>
      </c>
    </row>
    <row r="203" spans="2:4" x14ac:dyDescent="0.25">
      <c r="B203" s="5">
        <v>45372</v>
      </c>
      <c r="C203">
        <v>507.76</v>
      </c>
      <c r="D203">
        <v>178.15</v>
      </c>
    </row>
    <row r="204" spans="2:4" x14ac:dyDescent="0.25">
      <c r="B204" s="5">
        <v>45371</v>
      </c>
      <c r="C204">
        <v>505.52</v>
      </c>
      <c r="D204">
        <v>178.15</v>
      </c>
    </row>
    <row r="205" spans="2:4" x14ac:dyDescent="0.25">
      <c r="B205" s="5">
        <v>45370</v>
      </c>
      <c r="C205">
        <v>496.24</v>
      </c>
      <c r="D205">
        <v>175.9</v>
      </c>
    </row>
    <row r="206" spans="2:4" x14ac:dyDescent="0.25">
      <c r="B206" s="5">
        <v>45369</v>
      </c>
      <c r="C206">
        <v>496.98</v>
      </c>
      <c r="D206">
        <v>174.48</v>
      </c>
    </row>
    <row r="207" spans="2:4" x14ac:dyDescent="0.25">
      <c r="B207" s="5">
        <v>45366</v>
      </c>
      <c r="C207">
        <v>484.1</v>
      </c>
      <c r="D207">
        <v>174.42</v>
      </c>
    </row>
    <row r="208" spans="2:4" x14ac:dyDescent="0.25">
      <c r="B208" s="5">
        <v>45365</v>
      </c>
      <c r="C208">
        <v>491.83</v>
      </c>
      <c r="D208">
        <v>178.75</v>
      </c>
    </row>
    <row r="209" spans="2:4" x14ac:dyDescent="0.25">
      <c r="B209" s="5">
        <v>45364</v>
      </c>
      <c r="C209">
        <v>495.57</v>
      </c>
      <c r="D209">
        <v>176.55500000000001</v>
      </c>
    </row>
    <row r="210" spans="2:4" x14ac:dyDescent="0.25">
      <c r="B210" s="5">
        <v>45363</v>
      </c>
      <c r="C210">
        <v>499.75</v>
      </c>
      <c r="D210">
        <v>175.39</v>
      </c>
    </row>
    <row r="211" spans="2:4" x14ac:dyDescent="0.25">
      <c r="B211" s="5">
        <v>45362</v>
      </c>
      <c r="C211">
        <v>483.59</v>
      </c>
      <c r="D211">
        <v>171.96</v>
      </c>
    </row>
    <row r="212" spans="2:4" x14ac:dyDescent="0.25">
      <c r="B212" s="5">
        <v>45359</v>
      </c>
      <c r="C212">
        <v>505.95</v>
      </c>
      <c r="D212">
        <v>175.35</v>
      </c>
    </row>
    <row r="213" spans="2:4" x14ac:dyDescent="0.25">
      <c r="B213" s="5">
        <v>45358</v>
      </c>
      <c r="C213">
        <v>512.19000000000005</v>
      </c>
      <c r="D213">
        <v>176.82</v>
      </c>
    </row>
    <row r="214" spans="2:4" x14ac:dyDescent="0.25">
      <c r="B214" s="5">
        <v>45357</v>
      </c>
      <c r="C214">
        <v>496.09</v>
      </c>
      <c r="D214">
        <v>173.51</v>
      </c>
    </row>
    <row r="215" spans="2:4" x14ac:dyDescent="0.25">
      <c r="B215" s="5">
        <v>45356</v>
      </c>
      <c r="C215">
        <v>490.22</v>
      </c>
      <c r="D215">
        <v>174.12</v>
      </c>
    </row>
    <row r="216" spans="2:4" x14ac:dyDescent="0.25">
      <c r="B216" s="5">
        <v>45355</v>
      </c>
      <c r="C216">
        <v>498.19</v>
      </c>
      <c r="D216">
        <v>177.58</v>
      </c>
    </row>
    <row r="217" spans="2:4" x14ac:dyDescent="0.25">
      <c r="B217" s="5">
        <v>45352</v>
      </c>
      <c r="C217">
        <v>502.3</v>
      </c>
      <c r="D217">
        <v>178.22</v>
      </c>
    </row>
    <row r="218" spans="2:4" x14ac:dyDescent="0.25">
      <c r="B218" s="5">
        <v>45351</v>
      </c>
      <c r="C218">
        <v>490.13</v>
      </c>
      <c r="D218">
        <v>176.76</v>
      </c>
    </row>
    <row r="219" spans="2:4" x14ac:dyDescent="0.25">
      <c r="B219" s="5">
        <v>45350</v>
      </c>
      <c r="C219">
        <v>484.02</v>
      </c>
      <c r="D219">
        <v>173.16</v>
      </c>
    </row>
    <row r="220" spans="2:4" x14ac:dyDescent="0.25">
      <c r="B220" s="5">
        <v>45349</v>
      </c>
      <c r="C220">
        <v>487.05</v>
      </c>
      <c r="D220">
        <v>173.54</v>
      </c>
    </row>
    <row r="221" spans="2:4" x14ac:dyDescent="0.25">
      <c r="B221" s="5">
        <v>45348</v>
      </c>
      <c r="C221">
        <v>481.74</v>
      </c>
      <c r="D221">
        <v>174.73</v>
      </c>
    </row>
    <row r="222" spans="2:4" x14ac:dyDescent="0.25">
      <c r="B222" s="5">
        <v>45345</v>
      </c>
      <c r="C222">
        <v>484.03</v>
      </c>
      <c r="D222">
        <v>174.99</v>
      </c>
    </row>
    <row r="223" spans="2:4" x14ac:dyDescent="0.25">
      <c r="B223" s="5">
        <v>45344</v>
      </c>
      <c r="C223">
        <v>486.13</v>
      </c>
      <c r="D223">
        <v>174.58</v>
      </c>
    </row>
    <row r="224" spans="2:4" x14ac:dyDescent="0.25">
      <c r="B224" s="5">
        <v>45343</v>
      </c>
      <c r="C224">
        <v>468.03</v>
      </c>
      <c r="D224">
        <v>168.59</v>
      </c>
    </row>
    <row r="225" spans="2:4" x14ac:dyDescent="0.25">
      <c r="B225" s="5">
        <v>45342</v>
      </c>
      <c r="C225">
        <v>471.75</v>
      </c>
      <c r="D225">
        <v>167.08</v>
      </c>
    </row>
    <row r="226" spans="2:4" x14ac:dyDescent="0.25">
      <c r="B226" s="5">
        <v>45338</v>
      </c>
      <c r="C226">
        <v>473.32</v>
      </c>
      <c r="D226">
        <v>169.51</v>
      </c>
    </row>
    <row r="227" spans="2:4" x14ac:dyDescent="0.25">
      <c r="B227" s="5">
        <v>45337</v>
      </c>
      <c r="C227">
        <v>484.03</v>
      </c>
      <c r="D227">
        <v>169.8</v>
      </c>
    </row>
    <row r="228" spans="2:4" x14ac:dyDescent="0.25">
      <c r="B228" s="5">
        <v>45336</v>
      </c>
      <c r="C228">
        <v>473.28</v>
      </c>
      <c r="D228">
        <v>170.98</v>
      </c>
    </row>
    <row r="229" spans="2:4" x14ac:dyDescent="0.25">
      <c r="B229" s="5">
        <v>45335</v>
      </c>
      <c r="C229">
        <v>460.12</v>
      </c>
      <c r="D229">
        <v>168.64</v>
      </c>
    </row>
    <row r="230" spans="2:4" x14ac:dyDescent="0.25">
      <c r="B230" s="5">
        <v>45334</v>
      </c>
      <c r="C230">
        <v>468.9</v>
      </c>
      <c r="D230">
        <v>172.34</v>
      </c>
    </row>
    <row r="231" spans="2:4" x14ac:dyDescent="0.25">
      <c r="B231" s="5">
        <v>45331</v>
      </c>
      <c r="C231">
        <v>468.11</v>
      </c>
      <c r="D231">
        <v>174.45</v>
      </c>
    </row>
    <row r="232" spans="2:4" x14ac:dyDescent="0.25">
      <c r="B232" s="5">
        <v>45330</v>
      </c>
      <c r="C232">
        <v>470</v>
      </c>
      <c r="D232">
        <v>169.84</v>
      </c>
    </row>
    <row r="233" spans="2:4" x14ac:dyDescent="0.25">
      <c r="B233" s="5">
        <v>45329</v>
      </c>
      <c r="C233">
        <v>469.59</v>
      </c>
      <c r="D233">
        <v>170.53</v>
      </c>
    </row>
    <row r="234" spans="2:4" x14ac:dyDescent="0.25">
      <c r="B234" s="5">
        <v>45328</v>
      </c>
      <c r="C234">
        <v>454.72</v>
      </c>
      <c r="D234">
        <v>169.15</v>
      </c>
    </row>
    <row r="235" spans="2:4" x14ac:dyDescent="0.25">
      <c r="B235" s="5">
        <v>45327</v>
      </c>
      <c r="C235">
        <v>459.41</v>
      </c>
      <c r="D235">
        <v>170.31</v>
      </c>
    </row>
    <row r="236" spans="2:4" x14ac:dyDescent="0.25">
      <c r="B236" s="5">
        <v>45324</v>
      </c>
      <c r="C236">
        <v>474.99</v>
      </c>
      <c r="D236">
        <v>171.81</v>
      </c>
    </row>
    <row r="237" spans="2:4" x14ac:dyDescent="0.25">
      <c r="B237" s="5">
        <v>45323</v>
      </c>
      <c r="C237">
        <v>394.78</v>
      </c>
      <c r="D237">
        <v>159.28</v>
      </c>
    </row>
    <row r="238" spans="2:4" x14ac:dyDescent="0.25">
      <c r="B238" s="5">
        <v>45322</v>
      </c>
      <c r="C238">
        <v>390.14</v>
      </c>
      <c r="D238">
        <v>155.19999999999999</v>
      </c>
    </row>
    <row r="239" spans="2:4" x14ac:dyDescent="0.25">
      <c r="B239" s="5">
        <v>45321</v>
      </c>
      <c r="C239">
        <v>400.06</v>
      </c>
      <c r="D239">
        <v>159</v>
      </c>
    </row>
    <row r="240" spans="2:4" x14ac:dyDescent="0.25">
      <c r="B240" s="5">
        <v>45320</v>
      </c>
      <c r="C240">
        <v>401.02</v>
      </c>
      <c r="D240">
        <v>161.26</v>
      </c>
    </row>
    <row r="241" spans="2:4" x14ac:dyDescent="0.25">
      <c r="B241" s="5">
        <v>45317</v>
      </c>
      <c r="C241">
        <v>394.14</v>
      </c>
      <c r="D241">
        <v>159.12</v>
      </c>
    </row>
    <row r="242" spans="2:4" x14ac:dyDescent="0.25">
      <c r="B242" s="5">
        <v>45316</v>
      </c>
      <c r="C242">
        <v>393.18</v>
      </c>
      <c r="D242">
        <v>157.75</v>
      </c>
    </row>
    <row r="243" spans="2:4" x14ac:dyDescent="0.25">
      <c r="B243" s="5">
        <v>45315</v>
      </c>
      <c r="C243">
        <v>390.7</v>
      </c>
      <c r="D243">
        <v>156.87</v>
      </c>
    </row>
    <row r="244" spans="2:4" x14ac:dyDescent="0.25">
      <c r="B244" s="5">
        <v>45314</v>
      </c>
      <c r="C244">
        <v>385.2</v>
      </c>
      <c r="D244">
        <v>156.02000000000001</v>
      </c>
    </row>
    <row r="245" spans="2:4" x14ac:dyDescent="0.25">
      <c r="B245" s="5">
        <v>45313</v>
      </c>
      <c r="C245">
        <v>381.78</v>
      </c>
      <c r="D245">
        <v>154.78</v>
      </c>
    </row>
    <row r="246" spans="2:4" x14ac:dyDescent="0.25">
      <c r="B246" s="5">
        <v>45310</v>
      </c>
      <c r="C246">
        <v>383.45</v>
      </c>
      <c r="D246">
        <v>155.34</v>
      </c>
    </row>
    <row r="247" spans="2:4" x14ac:dyDescent="0.25">
      <c r="B247" s="5">
        <v>45309</v>
      </c>
      <c r="C247">
        <v>376.13</v>
      </c>
      <c r="D247">
        <v>153.5</v>
      </c>
    </row>
    <row r="248" spans="2:4" x14ac:dyDescent="0.25">
      <c r="B248" s="5">
        <v>45308</v>
      </c>
      <c r="C248">
        <v>368.37</v>
      </c>
      <c r="D248">
        <v>151.71</v>
      </c>
    </row>
    <row r="249" spans="2:4" x14ac:dyDescent="0.25">
      <c r="B249" s="5">
        <v>45307</v>
      </c>
      <c r="C249">
        <v>367.46</v>
      </c>
      <c r="D249">
        <v>153.16</v>
      </c>
    </row>
    <row r="250" spans="2:4" x14ac:dyDescent="0.25">
      <c r="B250" s="5">
        <v>45303</v>
      </c>
      <c r="C250">
        <v>374.49</v>
      </c>
      <c r="D250">
        <v>154.62</v>
      </c>
    </row>
    <row r="251" spans="2:4" x14ac:dyDescent="0.25">
      <c r="B251" s="5">
        <v>45302</v>
      </c>
      <c r="C251">
        <v>369.67</v>
      </c>
      <c r="D251">
        <v>155.18</v>
      </c>
    </row>
    <row r="252" spans="2:4" x14ac:dyDescent="0.25">
      <c r="B252" s="5">
        <v>45301</v>
      </c>
      <c r="C252">
        <v>370.47</v>
      </c>
      <c r="D252">
        <v>153.72999999999999</v>
      </c>
    </row>
    <row r="253" spans="2:4" x14ac:dyDescent="0.25">
      <c r="B253" s="5">
        <v>45300</v>
      </c>
      <c r="C253">
        <v>357.43</v>
      </c>
      <c r="D253">
        <v>151.37</v>
      </c>
    </row>
    <row r="254" spans="2:4" x14ac:dyDescent="0.25">
      <c r="B254" s="5">
        <v>45299</v>
      </c>
      <c r="C254">
        <v>358.66</v>
      </c>
      <c r="D254">
        <v>149.1</v>
      </c>
    </row>
    <row r="255" spans="2:4" x14ac:dyDescent="0.25">
      <c r="B255" s="5">
        <v>45296</v>
      </c>
      <c r="C255">
        <v>351.95</v>
      </c>
      <c r="D255">
        <v>145.24</v>
      </c>
    </row>
    <row r="256" spans="2:4" x14ac:dyDescent="0.25">
      <c r="B256" s="5">
        <v>45295</v>
      </c>
      <c r="C256">
        <v>347.12</v>
      </c>
      <c r="D256">
        <v>144.57</v>
      </c>
    </row>
    <row r="257" spans="2:4" x14ac:dyDescent="0.25">
      <c r="B257" s="5">
        <v>45294</v>
      </c>
      <c r="C257">
        <v>344.47</v>
      </c>
      <c r="D257">
        <v>148.47</v>
      </c>
    </row>
    <row r="258" spans="2:4" x14ac:dyDescent="0.25">
      <c r="B258" s="5">
        <v>45293</v>
      </c>
      <c r="C258">
        <v>346.29</v>
      </c>
      <c r="D258">
        <v>149.93</v>
      </c>
    </row>
    <row r="259" spans="2:4" x14ac:dyDescent="0.25">
      <c r="B259" s="5">
        <v>45289</v>
      </c>
      <c r="C259">
        <v>353.96</v>
      </c>
      <c r="D259">
        <v>151.94</v>
      </c>
    </row>
    <row r="260" spans="2:4" x14ac:dyDescent="0.25">
      <c r="B260" s="5"/>
    </row>
    <row r="261" spans="2:4" x14ac:dyDescent="0.25">
      <c r="B261" s="5"/>
    </row>
    <row r="262" spans="2:4" x14ac:dyDescent="0.25">
      <c r="B262" s="5"/>
    </row>
    <row r="263" spans="2:4" x14ac:dyDescent="0.25">
      <c r="B263" s="5"/>
    </row>
    <row r="264" spans="2:4" x14ac:dyDescent="0.25">
      <c r="B264" s="5"/>
    </row>
    <row r="265" spans="2:4" x14ac:dyDescent="0.25">
      <c r="B265" s="5"/>
    </row>
    <row r="266" spans="2:4" x14ac:dyDescent="0.25">
      <c r="B266" s="5"/>
    </row>
    <row r="267" spans="2:4" x14ac:dyDescent="0.25">
      <c r="B267" s="5"/>
    </row>
    <row r="268" spans="2:4" x14ac:dyDescent="0.25">
      <c r="B268" s="5"/>
    </row>
    <row r="269" spans="2:4" x14ac:dyDescent="0.25">
      <c r="B269" s="5"/>
    </row>
    <row r="270" spans="2:4" x14ac:dyDescent="0.25">
      <c r="B270" s="5"/>
    </row>
    <row r="271" spans="2:4" x14ac:dyDescent="0.25">
      <c r="B271" s="5"/>
    </row>
    <row r="272" spans="2:4" x14ac:dyDescent="0.25">
      <c r="B272" s="5"/>
    </row>
    <row r="273" spans="2:2" x14ac:dyDescent="0.25">
      <c r="B273" s="5"/>
    </row>
    <row r="274" spans="2:2" x14ac:dyDescent="0.25">
      <c r="B274" s="5"/>
    </row>
    <row r="275" spans="2:2" x14ac:dyDescent="0.25">
      <c r="B275" s="5"/>
    </row>
    <row r="276" spans="2:2" x14ac:dyDescent="0.25">
      <c r="B276" s="5"/>
    </row>
    <row r="277" spans="2:2" x14ac:dyDescent="0.25">
      <c r="B277" s="5"/>
    </row>
    <row r="278" spans="2:2" x14ac:dyDescent="0.25">
      <c r="B278" s="5"/>
    </row>
    <row r="279" spans="2:2" x14ac:dyDescent="0.25">
      <c r="B279" s="5"/>
    </row>
    <row r="280" spans="2:2" x14ac:dyDescent="0.25">
      <c r="B280" s="5"/>
    </row>
    <row r="281" spans="2:2" x14ac:dyDescent="0.25">
      <c r="B281" s="5"/>
    </row>
    <row r="282" spans="2:2" x14ac:dyDescent="0.25">
      <c r="B282" s="5"/>
    </row>
    <row r="283" spans="2:2" x14ac:dyDescent="0.25">
      <c r="B283" s="5"/>
    </row>
    <row r="284" spans="2:2" x14ac:dyDescent="0.25">
      <c r="B284" s="5"/>
    </row>
    <row r="285" spans="2:2" x14ac:dyDescent="0.25">
      <c r="B285" s="5"/>
    </row>
    <row r="286" spans="2:2" x14ac:dyDescent="0.25">
      <c r="B286" s="5"/>
    </row>
    <row r="287" spans="2:2" x14ac:dyDescent="0.25">
      <c r="B287" s="5"/>
    </row>
    <row r="288" spans="2:2" x14ac:dyDescent="0.25">
      <c r="B288" s="5"/>
    </row>
    <row r="289" spans="2:2" x14ac:dyDescent="0.25">
      <c r="B289" s="5"/>
    </row>
    <row r="290" spans="2:2" x14ac:dyDescent="0.25">
      <c r="B290" s="5"/>
    </row>
    <row r="291" spans="2:2" x14ac:dyDescent="0.25">
      <c r="B291" s="5"/>
    </row>
    <row r="292" spans="2:2" x14ac:dyDescent="0.25">
      <c r="B292" s="5"/>
    </row>
    <row r="293" spans="2:2" x14ac:dyDescent="0.25">
      <c r="B293" s="5"/>
    </row>
    <row r="294" spans="2:2" x14ac:dyDescent="0.25">
      <c r="B294" s="5"/>
    </row>
    <row r="295" spans="2:2" x14ac:dyDescent="0.25">
      <c r="B295" s="5"/>
    </row>
    <row r="296" spans="2:2" x14ac:dyDescent="0.25">
      <c r="B296" s="5"/>
    </row>
    <row r="297" spans="2:2" x14ac:dyDescent="0.25">
      <c r="B297" s="5"/>
    </row>
    <row r="298" spans="2:2" x14ac:dyDescent="0.25">
      <c r="B298" s="5"/>
    </row>
    <row r="299" spans="2:2" x14ac:dyDescent="0.25">
      <c r="B299" s="5"/>
    </row>
    <row r="300" spans="2:2" x14ac:dyDescent="0.25">
      <c r="B300" s="5"/>
    </row>
    <row r="301" spans="2:2" x14ac:dyDescent="0.25">
      <c r="B301" s="5"/>
    </row>
    <row r="302" spans="2:2" x14ac:dyDescent="0.25">
      <c r="B302" s="5"/>
    </row>
    <row r="303" spans="2:2" x14ac:dyDescent="0.25">
      <c r="B303" s="5"/>
    </row>
    <row r="304" spans="2:2" x14ac:dyDescent="0.25">
      <c r="B304" s="5"/>
    </row>
    <row r="305" spans="2:2" x14ac:dyDescent="0.25">
      <c r="B305" s="5"/>
    </row>
    <row r="306" spans="2:2" x14ac:dyDescent="0.25">
      <c r="B306" s="5"/>
    </row>
    <row r="307" spans="2:2" x14ac:dyDescent="0.25">
      <c r="B307" s="5"/>
    </row>
    <row r="308" spans="2:2" x14ac:dyDescent="0.25">
      <c r="B308" s="5"/>
    </row>
    <row r="309" spans="2:2" x14ac:dyDescent="0.25">
      <c r="B309" s="5"/>
    </row>
    <row r="310" spans="2:2" x14ac:dyDescent="0.25">
      <c r="B310" s="5"/>
    </row>
    <row r="311" spans="2:2" x14ac:dyDescent="0.25">
      <c r="B311" s="5"/>
    </row>
    <row r="312" spans="2:2" x14ac:dyDescent="0.25">
      <c r="B312" s="5"/>
    </row>
    <row r="313" spans="2:2" x14ac:dyDescent="0.25">
      <c r="B313" s="5"/>
    </row>
    <row r="314" spans="2:2" x14ac:dyDescent="0.25">
      <c r="B314" s="5"/>
    </row>
    <row r="315" spans="2:2" x14ac:dyDescent="0.25">
      <c r="B315" s="5"/>
    </row>
    <row r="316" spans="2:2" x14ac:dyDescent="0.25">
      <c r="B316" s="5"/>
    </row>
    <row r="317" spans="2:2" x14ac:dyDescent="0.25">
      <c r="B317" s="5"/>
    </row>
    <row r="318" spans="2:2" x14ac:dyDescent="0.25">
      <c r="B318" s="5"/>
    </row>
    <row r="319" spans="2:2" x14ac:dyDescent="0.25">
      <c r="B319" s="5"/>
    </row>
    <row r="320" spans="2:2" x14ac:dyDescent="0.25">
      <c r="B320" s="5"/>
    </row>
    <row r="321" spans="2:2" x14ac:dyDescent="0.25">
      <c r="B321" s="5"/>
    </row>
    <row r="322" spans="2:2" x14ac:dyDescent="0.25">
      <c r="B322" s="5"/>
    </row>
    <row r="323" spans="2:2" x14ac:dyDescent="0.25">
      <c r="B323" s="5"/>
    </row>
    <row r="324" spans="2:2" x14ac:dyDescent="0.25">
      <c r="B324" s="5"/>
    </row>
    <row r="325" spans="2:2" x14ac:dyDescent="0.25">
      <c r="B325" s="5"/>
    </row>
    <row r="326" spans="2:2" x14ac:dyDescent="0.25">
      <c r="B326" s="5"/>
    </row>
    <row r="327" spans="2:2" x14ac:dyDescent="0.25">
      <c r="B327" s="5"/>
    </row>
    <row r="328" spans="2:2" x14ac:dyDescent="0.25">
      <c r="B328" s="5"/>
    </row>
    <row r="329" spans="2:2" x14ac:dyDescent="0.25">
      <c r="B329" s="5"/>
    </row>
    <row r="330" spans="2:2" x14ac:dyDescent="0.25">
      <c r="B330" s="5"/>
    </row>
    <row r="331" spans="2:2" x14ac:dyDescent="0.25">
      <c r="B331" s="5"/>
    </row>
    <row r="332" spans="2:2" x14ac:dyDescent="0.25">
      <c r="B332" s="5"/>
    </row>
    <row r="333" spans="2:2" x14ac:dyDescent="0.25">
      <c r="B333" s="5"/>
    </row>
    <row r="334" spans="2:2" x14ac:dyDescent="0.25">
      <c r="B334" s="5"/>
    </row>
    <row r="335" spans="2:2" x14ac:dyDescent="0.25">
      <c r="B335" s="5"/>
    </row>
    <row r="336" spans="2:2" x14ac:dyDescent="0.25">
      <c r="B336" s="5"/>
    </row>
    <row r="337" spans="2:2" x14ac:dyDescent="0.25">
      <c r="B337" s="5"/>
    </row>
    <row r="338" spans="2:2" x14ac:dyDescent="0.25">
      <c r="B338" s="5"/>
    </row>
    <row r="339" spans="2:2" x14ac:dyDescent="0.25">
      <c r="B339" s="5"/>
    </row>
    <row r="340" spans="2:2" x14ac:dyDescent="0.25">
      <c r="B340" s="5"/>
    </row>
    <row r="341" spans="2:2" x14ac:dyDescent="0.25">
      <c r="B341" s="5"/>
    </row>
    <row r="342" spans="2:2" x14ac:dyDescent="0.25">
      <c r="B342" s="5"/>
    </row>
    <row r="343" spans="2:2" x14ac:dyDescent="0.25">
      <c r="B343" s="5"/>
    </row>
    <row r="344" spans="2:2" x14ac:dyDescent="0.25">
      <c r="B344" s="5"/>
    </row>
    <row r="345" spans="2:2" x14ac:dyDescent="0.25">
      <c r="B345" s="5"/>
    </row>
    <row r="346" spans="2:2" x14ac:dyDescent="0.25">
      <c r="B346" s="5"/>
    </row>
    <row r="347" spans="2:2" x14ac:dyDescent="0.25">
      <c r="B347" s="5"/>
    </row>
    <row r="348" spans="2:2" x14ac:dyDescent="0.25">
      <c r="B348" s="5"/>
    </row>
    <row r="349" spans="2:2" x14ac:dyDescent="0.25">
      <c r="B349" s="5"/>
    </row>
    <row r="350" spans="2:2" x14ac:dyDescent="0.25">
      <c r="B350" s="5"/>
    </row>
    <row r="351" spans="2:2" x14ac:dyDescent="0.25">
      <c r="B351" s="5"/>
    </row>
    <row r="352" spans="2:2" x14ac:dyDescent="0.25">
      <c r="B352" s="5"/>
    </row>
    <row r="353" spans="2:2" x14ac:dyDescent="0.25">
      <c r="B353" s="5"/>
    </row>
    <row r="354" spans="2:2" x14ac:dyDescent="0.25">
      <c r="B354" s="5"/>
    </row>
    <row r="355" spans="2:2" x14ac:dyDescent="0.25">
      <c r="B355" s="5"/>
    </row>
    <row r="356" spans="2:2" x14ac:dyDescent="0.25">
      <c r="B356" s="5"/>
    </row>
    <row r="357" spans="2:2" x14ac:dyDescent="0.25">
      <c r="B357" s="5"/>
    </row>
    <row r="358" spans="2:2" x14ac:dyDescent="0.25">
      <c r="B358" s="5"/>
    </row>
    <row r="359" spans="2:2" x14ac:dyDescent="0.25">
      <c r="B359" s="5"/>
    </row>
    <row r="360" spans="2:2" x14ac:dyDescent="0.25">
      <c r="B360" s="5"/>
    </row>
    <row r="361" spans="2:2" x14ac:dyDescent="0.25">
      <c r="B361" s="5"/>
    </row>
    <row r="362" spans="2:2" x14ac:dyDescent="0.25">
      <c r="B362" s="5"/>
    </row>
    <row r="363" spans="2:2" x14ac:dyDescent="0.25">
      <c r="B363" s="5"/>
    </row>
    <row r="364" spans="2:2" x14ac:dyDescent="0.25">
      <c r="B364" s="5"/>
    </row>
    <row r="365" spans="2:2" x14ac:dyDescent="0.25">
      <c r="B365" s="5"/>
    </row>
    <row r="366" spans="2:2" x14ac:dyDescent="0.25">
      <c r="B366" s="5"/>
    </row>
    <row r="367" spans="2:2" x14ac:dyDescent="0.25">
      <c r="B367" s="5"/>
    </row>
    <row r="368" spans="2:2" x14ac:dyDescent="0.25">
      <c r="B368" s="5"/>
    </row>
    <row r="369" spans="2:2" x14ac:dyDescent="0.25">
      <c r="B369" s="5"/>
    </row>
    <row r="370" spans="2:2" x14ac:dyDescent="0.25">
      <c r="B370" s="5"/>
    </row>
    <row r="371" spans="2:2" x14ac:dyDescent="0.25">
      <c r="B371" s="5"/>
    </row>
    <row r="372" spans="2:2" x14ac:dyDescent="0.25">
      <c r="B372" s="5"/>
    </row>
    <row r="373" spans="2:2" x14ac:dyDescent="0.25">
      <c r="B373" s="5"/>
    </row>
    <row r="374" spans="2:2" x14ac:dyDescent="0.25">
      <c r="B374" s="5"/>
    </row>
    <row r="375" spans="2:2" x14ac:dyDescent="0.25">
      <c r="B375" s="5"/>
    </row>
    <row r="376" spans="2:2" x14ac:dyDescent="0.25">
      <c r="B376" s="5"/>
    </row>
    <row r="377" spans="2:2" x14ac:dyDescent="0.25">
      <c r="B377" s="5"/>
    </row>
    <row r="378" spans="2:2" x14ac:dyDescent="0.25">
      <c r="B378" s="5"/>
    </row>
    <row r="379" spans="2:2" x14ac:dyDescent="0.25">
      <c r="B379" s="5"/>
    </row>
    <row r="380" spans="2:2" x14ac:dyDescent="0.25">
      <c r="B380" s="5"/>
    </row>
    <row r="381" spans="2:2" x14ac:dyDescent="0.25">
      <c r="B381" s="5"/>
    </row>
    <row r="382" spans="2:2" x14ac:dyDescent="0.25">
      <c r="B382" s="5"/>
    </row>
    <row r="383" spans="2:2" x14ac:dyDescent="0.25">
      <c r="B383" s="5"/>
    </row>
    <row r="384" spans="2:2" x14ac:dyDescent="0.25">
      <c r="B384" s="5"/>
    </row>
    <row r="385" spans="2:2" x14ac:dyDescent="0.25">
      <c r="B385" s="5"/>
    </row>
    <row r="386" spans="2:2" x14ac:dyDescent="0.25">
      <c r="B386" s="5"/>
    </row>
    <row r="387" spans="2:2" x14ac:dyDescent="0.25">
      <c r="B387" s="5"/>
    </row>
    <row r="388" spans="2:2" x14ac:dyDescent="0.25">
      <c r="B388" s="5"/>
    </row>
    <row r="389" spans="2:2" x14ac:dyDescent="0.25">
      <c r="B389" s="5"/>
    </row>
    <row r="390" spans="2:2" x14ac:dyDescent="0.25">
      <c r="B390" s="5"/>
    </row>
    <row r="391" spans="2:2" x14ac:dyDescent="0.25">
      <c r="B391" s="5"/>
    </row>
    <row r="392" spans="2:2" x14ac:dyDescent="0.25">
      <c r="B392" s="5"/>
    </row>
    <row r="393" spans="2:2" x14ac:dyDescent="0.25">
      <c r="B393" s="5"/>
    </row>
    <row r="394" spans="2:2" x14ac:dyDescent="0.25">
      <c r="B394" s="5"/>
    </row>
    <row r="395" spans="2:2" x14ac:dyDescent="0.25">
      <c r="B395" s="5"/>
    </row>
    <row r="396" spans="2:2" x14ac:dyDescent="0.25">
      <c r="B396" s="5"/>
    </row>
    <row r="397" spans="2:2" x14ac:dyDescent="0.25">
      <c r="B397" s="5"/>
    </row>
    <row r="398" spans="2:2" x14ac:dyDescent="0.25">
      <c r="B398" s="5"/>
    </row>
    <row r="399" spans="2:2" x14ac:dyDescent="0.25">
      <c r="B399" s="5"/>
    </row>
    <row r="400" spans="2:2" x14ac:dyDescent="0.25">
      <c r="B400" s="5"/>
    </row>
    <row r="401" spans="2:2" x14ac:dyDescent="0.25">
      <c r="B401" s="5"/>
    </row>
    <row r="402" spans="2:2" x14ac:dyDescent="0.25">
      <c r="B402" s="5"/>
    </row>
    <row r="403" spans="2:2" x14ac:dyDescent="0.25">
      <c r="B403" s="5"/>
    </row>
    <row r="404" spans="2:2" x14ac:dyDescent="0.25">
      <c r="B404" s="5"/>
    </row>
    <row r="405" spans="2:2" x14ac:dyDescent="0.25">
      <c r="B405" s="5"/>
    </row>
    <row r="406" spans="2:2" x14ac:dyDescent="0.25">
      <c r="B406" s="5"/>
    </row>
    <row r="407" spans="2:2" x14ac:dyDescent="0.25">
      <c r="B407" s="5"/>
    </row>
    <row r="408" spans="2:2" x14ac:dyDescent="0.25">
      <c r="B408" s="5"/>
    </row>
    <row r="409" spans="2:2" x14ac:dyDescent="0.25">
      <c r="B409" s="5"/>
    </row>
    <row r="410" spans="2:2" x14ac:dyDescent="0.25">
      <c r="B410" s="5"/>
    </row>
    <row r="411" spans="2:2" x14ac:dyDescent="0.25">
      <c r="B411" s="5"/>
    </row>
    <row r="412" spans="2:2" x14ac:dyDescent="0.25">
      <c r="B412" s="5"/>
    </row>
    <row r="413" spans="2:2" x14ac:dyDescent="0.25">
      <c r="B413" s="5"/>
    </row>
    <row r="414" spans="2:2" x14ac:dyDescent="0.25">
      <c r="B414" s="5"/>
    </row>
    <row r="415" spans="2:2" x14ac:dyDescent="0.25">
      <c r="B415" s="5"/>
    </row>
    <row r="416" spans="2:2" x14ac:dyDescent="0.25">
      <c r="B416" s="5"/>
    </row>
    <row r="417" spans="2:2" x14ac:dyDescent="0.25">
      <c r="B417" s="5"/>
    </row>
    <row r="418" spans="2:2" x14ac:dyDescent="0.25">
      <c r="B418" s="5"/>
    </row>
    <row r="419" spans="2:2" x14ac:dyDescent="0.25">
      <c r="B419" s="5"/>
    </row>
    <row r="420" spans="2:2" x14ac:dyDescent="0.25">
      <c r="B420" s="5"/>
    </row>
    <row r="421" spans="2:2" x14ac:dyDescent="0.25">
      <c r="B421" s="5"/>
    </row>
    <row r="422" spans="2:2" x14ac:dyDescent="0.25">
      <c r="B422" s="5"/>
    </row>
    <row r="423" spans="2:2" x14ac:dyDescent="0.25">
      <c r="B423" s="5"/>
    </row>
    <row r="424" spans="2:2" x14ac:dyDescent="0.25">
      <c r="B424" s="5"/>
    </row>
    <row r="425" spans="2:2" x14ac:dyDescent="0.25">
      <c r="B425" s="5"/>
    </row>
    <row r="426" spans="2:2" x14ac:dyDescent="0.25">
      <c r="B426" s="5"/>
    </row>
    <row r="427" spans="2:2" x14ac:dyDescent="0.25">
      <c r="B427" s="5"/>
    </row>
    <row r="428" spans="2:2" x14ac:dyDescent="0.25">
      <c r="B428" s="5"/>
    </row>
    <row r="429" spans="2:2" x14ac:dyDescent="0.25">
      <c r="B429" s="5"/>
    </row>
    <row r="430" spans="2:2" x14ac:dyDescent="0.25">
      <c r="B430" s="5"/>
    </row>
    <row r="431" spans="2:2" x14ac:dyDescent="0.25">
      <c r="B431" s="5"/>
    </row>
    <row r="432" spans="2:2" x14ac:dyDescent="0.25">
      <c r="B432" s="5"/>
    </row>
    <row r="433" spans="2:2" x14ac:dyDescent="0.25">
      <c r="B433" s="5"/>
    </row>
    <row r="434" spans="2:2" x14ac:dyDescent="0.25">
      <c r="B434" s="5"/>
    </row>
    <row r="435" spans="2:2" x14ac:dyDescent="0.25">
      <c r="B435" s="5"/>
    </row>
    <row r="436" spans="2:2" x14ac:dyDescent="0.25">
      <c r="B436" s="5"/>
    </row>
    <row r="437" spans="2:2" x14ac:dyDescent="0.25">
      <c r="B437" s="5"/>
    </row>
    <row r="438" spans="2:2" x14ac:dyDescent="0.25">
      <c r="B438" s="5"/>
    </row>
    <row r="439" spans="2:2" x14ac:dyDescent="0.25">
      <c r="B439" s="5"/>
    </row>
    <row r="440" spans="2:2" x14ac:dyDescent="0.25">
      <c r="B440" s="5"/>
    </row>
    <row r="441" spans="2:2" x14ac:dyDescent="0.25">
      <c r="B441" s="5"/>
    </row>
    <row r="442" spans="2:2" x14ac:dyDescent="0.25">
      <c r="B442" s="5"/>
    </row>
    <row r="443" spans="2:2" x14ac:dyDescent="0.25">
      <c r="B443" s="5"/>
    </row>
    <row r="444" spans="2:2" x14ac:dyDescent="0.25">
      <c r="B444" s="5"/>
    </row>
    <row r="445" spans="2:2" x14ac:dyDescent="0.25">
      <c r="B445" s="5"/>
    </row>
    <row r="446" spans="2:2" x14ac:dyDescent="0.25">
      <c r="B446" s="5"/>
    </row>
    <row r="447" spans="2:2" x14ac:dyDescent="0.25">
      <c r="B447" s="5"/>
    </row>
    <row r="448" spans="2:2" x14ac:dyDescent="0.25">
      <c r="B448" s="5"/>
    </row>
    <row r="449" spans="2:2" x14ac:dyDescent="0.25">
      <c r="B449" s="5"/>
    </row>
    <row r="450" spans="2:2" x14ac:dyDescent="0.25">
      <c r="B450" s="5"/>
    </row>
    <row r="451" spans="2:2" x14ac:dyDescent="0.25">
      <c r="B451" s="5"/>
    </row>
    <row r="452" spans="2:2" x14ac:dyDescent="0.25">
      <c r="B452" s="5"/>
    </row>
    <row r="453" spans="2:2" x14ac:dyDescent="0.25">
      <c r="B453" s="5"/>
    </row>
    <row r="454" spans="2:2" x14ac:dyDescent="0.25">
      <c r="B454" s="5"/>
    </row>
    <row r="455" spans="2:2" x14ac:dyDescent="0.25">
      <c r="B455" s="5"/>
    </row>
    <row r="456" spans="2:2" x14ac:dyDescent="0.25">
      <c r="B456" s="5"/>
    </row>
    <row r="457" spans="2:2" x14ac:dyDescent="0.25">
      <c r="B457" s="5"/>
    </row>
    <row r="458" spans="2:2" x14ac:dyDescent="0.25">
      <c r="B458" s="5"/>
    </row>
    <row r="459" spans="2:2" x14ac:dyDescent="0.25">
      <c r="B459" s="5"/>
    </row>
    <row r="460" spans="2:2" x14ac:dyDescent="0.25">
      <c r="B460" s="5"/>
    </row>
    <row r="461" spans="2:2" x14ac:dyDescent="0.25">
      <c r="B461" s="5"/>
    </row>
    <row r="462" spans="2:2" x14ac:dyDescent="0.25">
      <c r="B462" s="5"/>
    </row>
    <row r="463" spans="2:2" x14ac:dyDescent="0.25">
      <c r="B463" s="5"/>
    </row>
    <row r="464" spans="2:2" x14ac:dyDescent="0.25">
      <c r="B464" s="5"/>
    </row>
    <row r="465" spans="2:2" x14ac:dyDescent="0.25">
      <c r="B465" s="5"/>
    </row>
    <row r="466" spans="2:2" x14ac:dyDescent="0.25">
      <c r="B466" s="5"/>
    </row>
    <row r="467" spans="2:2" x14ac:dyDescent="0.25">
      <c r="B467" s="5"/>
    </row>
    <row r="468" spans="2:2" x14ac:dyDescent="0.25">
      <c r="B468" s="5"/>
    </row>
    <row r="469" spans="2:2" x14ac:dyDescent="0.25">
      <c r="B469" s="5"/>
    </row>
    <row r="470" spans="2:2" x14ac:dyDescent="0.25">
      <c r="B470" s="5"/>
    </row>
    <row r="471" spans="2:2" x14ac:dyDescent="0.25">
      <c r="B471" s="5"/>
    </row>
    <row r="472" spans="2:2" x14ac:dyDescent="0.25">
      <c r="B472" s="5"/>
    </row>
    <row r="473" spans="2:2" x14ac:dyDescent="0.25">
      <c r="B473" s="5"/>
    </row>
    <row r="474" spans="2:2" x14ac:dyDescent="0.25">
      <c r="B474" s="5"/>
    </row>
    <row r="475" spans="2:2" x14ac:dyDescent="0.25">
      <c r="B475" s="5"/>
    </row>
    <row r="476" spans="2:2" x14ac:dyDescent="0.25">
      <c r="B476" s="5"/>
    </row>
    <row r="477" spans="2:2" x14ac:dyDescent="0.25">
      <c r="B477" s="5"/>
    </row>
    <row r="478" spans="2:2" x14ac:dyDescent="0.25">
      <c r="B478" s="5"/>
    </row>
    <row r="479" spans="2:2" x14ac:dyDescent="0.25">
      <c r="B479" s="5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1"/>
  <sheetViews>
    <sheetView workbookViewId="0">
      <selection sqref="A1:C1"/>
    </sheetView>
  </sheetViews>
  <sheetFormatPr defaultRowHeight="15" x14ac:dyDescent="0.25"/>
  <sheetData>
    <row r="1" spans="1:3" x14ac:dyDescent="0.25">
      <c r="A1" s="1"/>
      <c r="B1" s="1"/>
      <c r="C1" s="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FdsFormulaCache xmlns="urn:fdsformulacache" version="2" timestamp="1764538777"><![CDATA[{"AMZN-US^FG_PRICE(45657,45657-1AY,,USD)":[219.39,221.3,223.75,227.05,229.05,225.06,224.92,223.29,220.52,231.15,232.93,227.46,228.97,230.26,225.04,226.09,227.03,220.55,218.16,213.44,210.71,207.89,205.74,207.86,201.45,197.12,198.38,202.88,204.61,201.7,202.61,211.48,214.1,208.91,206.84,208.18,210.05,207.09,199.5,195.78,197.93,186.4,192.73,190.83,188.39,187.83,186.38,184.71,189.7,189.07,188.99,187.53,186.89,187.69,187.54,188.82,186.65,185.17,182.72,180.8,186.51,181.96,184.76,185.13,186.33,187.97,191.16,192.53,193.96,193.88,191.6,189.87,186.43,186.88,184.89,186.49,187.0,184.52,179.55,175.4,171.39,177.89,173.33,176.25,178.5,172.12,170.8,173.12,175.5,177.04,176.13,180.11,178.88,178.22,177.06,177.59,170.1,170.23,166.8,166.94,165.8,162.77,161.93,161.02,167.9,184.07,186.98,181.71,183.2,182.5,179.85,180.83,186.41,182.55,183.13,183.75,187.93,193.02,192.72,194.49,195.05,199.79,199.34,199.29,200.0,197.59,200.0,197.2,193.25,197.85,193.61,186.34,185.57,189.08,186.1,182.81,184.06,183.66,183.83,186.89,187.23,187.06,184.3,185.0,181.28,179.34,178.34,176.44,179.32,182.02,182.15,180.75,181.05,183.13,183.15,183.54,184.7,183.63,185.99,187.07,186.57,187.48,189.5,188.0,188.76,188.7,186.21,184.72,179.0,175.0,180.96,179.62,173.67,176.59,179.54,177.23,174.63,179.22,181.28,183.32,183.62,186.13,189.05,185.95,185.67,185.19,185.07,180.0,182.41,180.69,180.97,180.38,179.83,178.3,179.71,178.87,178.15,178.15,175.9,174.48,174.42,178.75,176.555,175.39,171.96,175.35,176.82,173.51,174.12,177.58,178.22,176.76,173.16,173.54,174.73,174.99,174.58,168.59,167.08,169.51,169.8,170.98,168.64,172.34,174.45,169.84,170.53,169.15,170.31,171.81,159.28,155.2,159.0,161.26,159.12,157.75,156.87,156.02,154.78,155.34,153.5,151.71,153.16,154.62,155.18,153.73,151.37,149.1,145.24,144.57,148.47,149.93,151.94],"META-US^FG_PRICE(45657,45657-1AY,,USD)":[585.51,591.24,599.81,603.35,607.75,599.85,585.25,595.57,597.19,619.44,624.24,620.35,630.79,632.68,619.32,613.57,623.77,608.93,613.78,613.65,592.83,574.32,569.2,573.54,565.11,559.14,563.09,565.52,561.09,554.4,554.08,577.16,580.0,584.82,583.17,589.34,591.7,572.05,572.43,560.68,567.16,567.58,591.8,593.28,578.16,573.25,567.78,563.69,582.01,575.16,576.47,576.93,576.79,586.27,590.42,589.95,583.83,590.51,592.89,584.78,595.94,582.77,572.81,576.47,572.44,567.36,567.84,568.31,563.33,564.41,561.35,559.1,537.95,536.315,533.28,524.62,525.6,511.83,504.79,504.79,500.27,516.86,512.74,511.76,521.31,518.22,516.78,519.1,521.12,528.0,531.93,535.16,526.73,529.28,527.42,537.33,526.76,528.54,515.95,517.77,509.63,488.92,494.09,475.73,488.14,497.74,474.83,463.19,465.71,465.7,453.41,461.27,488.69,487.4,476.79,475.85,461.99,489.79,496.16,498.87,512.7,534.69,530.0,529.32,539.91,509.96,509.5,504.68,504.22,519.56,513.12,510.6,498.91,494.78,501.7,499.49,506.63,504.16,504.1,508.84,507.47,502.6,492.96,493.76,495.06,476.99,477.49,466.83,467.05,474.36,479.92,478.22,465.78,467.78,464.63,468.84,471.91,473.23,481.54,471.85,468.01,476.2,475.42,472.6,468.24,465.68,451.96,441.68,439.19,430.17,432.62,443.29,441.38,493.5,496.1,481.73,481.07,501.8,494.17,499.76,500.23,511.9,523.16,519.83,516.9,519.25,527.34,510.92,506.74,497.37,491.35,485.58,493.86,495.89,503.02,509.58,507.76,505.52,496.24,496.98,484.1,491.83,495.57,499.75,483.59,505.95,512.19,496.09,490.22,498.19,502.3,490.13,484.02,487.05,481.74,484.03,486.13,468.03,471.75,473.32,484.03,473.28,460.12,468.9,468.11,470.0,469.59,454.72,459.41,474.99,394.78,390.14,400.06,401.02,394.14,393.18,390.7,385.2,381.78,383.45,376.13,368.37,367.46,374.49,369.67,370.47,357.43,358.66,351.95,347.12,344.47,346.29,353.96],"META-US^JULIAN(FG_PRICE(45657,45657-1AY,,USD).DATES)":[45657,45656,45653,45652,45650,45649,45646,45645,45644,45643,45642,45639,45638,45637,45636,45635,45632,45631,45630,45629,45628,45625,45623,45622,45621,45618,45617,45616,45615,45614,45611,45610,45609,45608,45607,45604,45603,45602,45601,45600,45597,45596,45595,45594,45593,45590,45589,45588,45587,45586,45583,45582,45581,45580,45579,45576,45575,45574,45573,45572,45569,45568,45567,45566,45565,45562,45561,45560,45559,45558,45555,45554,45553,45552,45551,45548,45547,45546,45545,45544,45541,45540,45539,45538,45534,45533,45532,45531,45530,45527,45526,45525,45524,45523,45520,45519,45518,45517,45516,45513,45512,45511,45510,45509,45506,45505,45504,45503,45502,45499,45498,45497,45496,45495,45492,45491,45490,45489,45488,45485,45484,45483,45482,45481,45478,45476,45475,45474,45471,45470,45469,45468,45467,45464,45463,45461,45460,45457,45456,45455,45454,45453,45450,45449,45448,45447,45446,45443,45442,45441,45440,45436,45435,45434,45433,45432,45429,45428,45427,45426,45425,45422,45421,45420,45419,45418,45415,45414,45413,45412,45411,45408,45407,45406,45405,45404,45401,45400,45399,45398,45397,45394,45393,45392,45391,45390,45387,45386,45385,45384,45383,45379,45378,45377,45376,45373,45372,45371,45370,45369,45366,45365,45364,45363,45362,45359,45358,45357,45356,45355,45352,45351,45350,45349,45348,45345,45344,45343,45342,45338,45337,45336,45335,45334,45331,45330,45329,45328,45327,45324,45323,45322,45321,45320,45317,45316,45315,45314,45313,45310,45309,45308,45307,45303,45302,45301,45300,45299,45296,45295,45294,45293,45289],"^FG_COMPANY_NAME":null,"^PROPER_NAME":null,"WPP-GB^PROPER_NAME":"WPP Plc","WLY-US^PROPER_NAME":"John Wiley & Sons, Inc. Class A","WU-US^PROPER_NAME":"Western Union Company","WBA-US^PROPER_NAME":"Walgreens Boots Alliance, Inc.","VOW3-DE^PROPER_NAME":"Volkswagen AG Pref","VOD-GB^PROPER_NAME":"Vodafone Group Public Limited Company","VTRS-US^PROPER_NAME":"Viatris, Inc.","VZ-US^PROPER_NAME":"Verizon Communications Inc.","VAL-ZA^PROPER_NAME":"Valterra Platinum Limited","6995-JP^PROPER_NAME":"TOKAI RIKA CO., LTD.","TX-US^PROPER_NAME":"Ternium S.A. Sponsored ADR","UHR-CH^PROPER_NAME":"Swatch Group Ltd. Bearer","SWK-US^PROPER_NAME":"Stanley Black & Decker, Inc.","STAN-GB^PROPER_NAME":"Standard Chartered PLC","GLE-FR^PROPER_NAME":"Societe Generale S.A. Class A","055550-KR^PROPER_NAME":"Shinhan Financial Group Co., Ltd.","SESG-FR^PROPER_NAME":"SES SA FDR (Class A)","SAN-FR^PROPER_NAME":"Sanofi SA","005935-KR^PROPER_NAME":"Samsung Electronics Co Ltd Pfd  Non-Voting","SBH-US^PROPER_NAME":"Sally Beauty Holdings, Inc.","6963-JP^PROPER_NAME":"ROHM Company Limited","REP-ES^PROPER_NAME":"Repsol SA","PUM-DE^PROPER_NAME":"PUMA SE","PFE-US^PROPER_NAME":"Pfizer Inc.","9404-JP^PROPER_NAME":"Nippon Television Holdings, Inc.","7731-JP^PROPER_NAME":"Nikon Corp.","NWG-GB^PROPER_NAME":"NatWest Group Plc","TAP-US^PROPER_NAME":"Molson Coors Beverage Company Class B","MHK-US^PROPER_NAME":"Mohawk Industries, Inc.","7459-JP^PROPER_NAME":"MEDIPAL HOLDINGS Corporation","MAN-US^PROPER_NAME":"ManpowerGroup Inc.","M-US^PROPER_NAME":"Macy's, Inc.","LYB-US^PROPER_NAME":"LyondellBasell Industries NV","LEA-US^PROPER_NAME":"Lear Corporation","KHC-US^PROPER_NAME":"Kraft Heinz Company","AD-NL^PROPER_NAME":"Koninklijke Ahold Delhaize N.V.","KER-FR^PROPER_NAME":"Kering SA","105560-KR^PROPER_NAME":"KB Financial Group Inc.","INTC-US^PROPER_NAME":"Intel Corporation","HPE-US^PROPER_NAME":"Hewlett Packard Enterprise Co.","161390-KR^PROPER_NAME":"HANKOOK TIRE & TECHNOLOGY Co., Ltd.","HAL-US^PROPER_NAME":"Halliburton Company","4544-JP^PROPER_NAME":"H.U.Group Holdings, Inc.","GSK-GB^PROPER_NAME":"GSK plc","ENI-IT^PROPER_NAME":"Eni S.p.A.","4324-JP^PROPER_NAME":"Dentsu Group Inc.","CON-DE^PROPER_NAME":"Continental AG","CA-FR^PROPER_NAME":"Carrefour SA","BRBY-GB^PROPER_NAME":"Burberry Group plc","BT.A-GB^PROPER_NAME":"BT Group plc","BMY-US^PROPER_NAME":"Bristol-Myers Squibb Company","BAYN-DE^PROPER_NAME":"Bayer AG","BAS-DE^PROPER_NAME":"BASF SE","9888-HK^PROPER_NAME":"Baidu, Inc. Class A","ATHM-US^PROPER_NAME":"Autohome Inc. Sponsored ADR Class A","APTV-US^PROPER_NAME":"Aptiv PLC","914-HK^PROPER_NAME":"Anhui Conch Cement Company Limited Class H","AAL-GB^PROPER_NAME":"Anglo American plc","ADEN-CH^PROPER_NAME":"Adecco Group AG","DUMMY^CORREL_MATRIX(CORRELMATRIX)":[[1.0,0.43017772,0.77609205,0.80492955,0.79193985,0.78763,0.88990086,0.5973161,0.20736398,0.18147016,0.57532066,0.5728268,0.83669865,0.48854488,-0.5058399,0.17822501,0.74109805,-0.35265177,0.7174476,-0.5007658,0.8979742,-0.3607314,0.81038696,-0.42778265,0.46023917,0.8368366,0.5677713,0.13612095,0.7922843,0.7109757,0.6728439,-0.27890518,-0.5908524,-0.48069793,-0.3272944,0.31876028,0.8667819,-0.40704164,0.7712623,0.6386494,0.86330825,0.023852183,0.63711774,-0.22294824,-0.26054552,-0.58098215,0.8950257,0.63410795,0.28778666,0.42899653,0.64714676,0.745528,0.78674096,0.7657164,0.8877556,0.73371565,0.89298344,0.47744948,0.61937004],[0.43017772,1.0,0.7447202,0.6345409,0.29381114,0.5485343,0.49213067,0.63155955,0.5299916,0.5310932,0.48273054,0.53702223,0.34783396,0.55299056,-0.2659905,0.33920607,0.6865512,-0.13606845,0.23573127,-0.13774544,0.50895375,-0.08844843,0.58211005,-0.16400461,0.45975858,0.51846033,0.3221216,0.5688148,0.602229,0.36770487,0.5829566,-0.49338424,-0.20173553,-0.12501176,-0.20652765,0.6715618,0.5650124,-0.13105497,0.47373363,0.71456057,0.6113809,0.060988363,0.58684564,0.020560918,-0.0047591836,-0.28652075,0.60599446,0.4662761,0.3373604,-0.11696875,0.8733794,0.62304384,0.40130612,0.7587812,0.5647331,0.7351123,0.6208725,0.72922456,0.62539],[0.77609205,0.7447202,1.0,0.8288117,0.74423015,0.8060311,0.788393,0.76124495,0.5218711,0.4448576,0.6068174,0.5336331,0.72749186,0.63082814,-0.6847535,0.15726557,0.8855419,-0.4472052,0.42522532,-0.51164126,0.766833,-0.28168723,0.8069803,-0.34861964,0.47882834,0.7277019,0.4064675,0.35675654,0.7370436,0.5793522,0.7150799,-0.52933437,-0.46347,-0.34267378,-0.30231485,0.607646,0.8398653,-0.5003868,0.69489026,0.7582799,0.77139217,-0.034701288,0.73365474,-0.13267864,-0.15041003,-0.50973254,0.86349046,0.57088286,0.22135694,0.08242869,0.87604743,0.8725082,0.67870986,0.9538096,0.8160902,0.8664086,0.8953482,0.76085335,0.6617986],[0.80492955,0.6345409,0.8288117,1.0,0.5547321,0.8475509,0.7933849,0.7655083,0.44430274,0.27215293,0.76713663,0.63800937,0.7097383,0.70033646,-0.48546228,0.19362265,0.7911433,-0.29487333,0.5557173,-0.50037867,0.8275785,-0.42558205,0.9271202,-0.3085307,0.52026325,0.9125321,0.5042332,0.49254277,0.8450607,0.5732402,0.6860235,-0.42726395,-0.5718177,-0.24689697,-0.4560046,0.6598529,0.922044,-0.35416156,0.86934286,0.78993833,0.83573896,-0.026843132,0.71926343,-0.25334388,-0.19119304,-0.61894804,0.86803406,0.7733551,0.46931216,0.13725437,0.79699796,0.66885847,0.65668225,0.8088129,0.869785,0.90416986,0.8255578,0.6111455,0.7730746],[0.79193985,0.29381114,0.74423015,0.5547321,1.0,0.736471,0.7976979,0.48768866,0.19829366,0.09311539,0.41632628,0.2651757,0.7822376,0.25793424,-0.66020566,-0.11421185,0.67904264,-0.5331896,0.4326272,-0.45088857,0.64021236,-0.24727322,0.5876954,-0.36220983,0.22123832,0.5375467,0.2693117,-0.19684651,0.48267743,0.54796565,0.51379484,-0.36379445,-0.39347166,-0.63473874,-0.14733903,0.1179318,0.63875383,-0.47151273,0.5351077,0.40757695,0.63376576,-0.07355219,0.46410656,-0.14415324,-0.18541507,-0.35834232,0.68995327,0.3841998,-0.18205702,0.36368793,0.47626945,0.7019157,0.75054604,0.69247115,0.71858037,0.5469275,0.76728976,0.3580441,0.3263615],[0.78763,0.5485343,0.8060311,0.8475509,0.736471,1.0,0.67182004,0.73960155,0.4743555,0.27844945,0.745344,0.66543293,0.6317522,0.6629412,-0.4998567,0.16542336,0.7590262,-0.15762259,0.4898092,-0.4822332,0.7768351,-0.39735517,0.8809818,-0.2981793,0.56519127,0.8208575,0.48543274,0.42313325,0.76555,0.47875035,0.56548744,-0.18228927,-0.5583775,0.08698284,-0.43559098,0.60272574,0.82444644,-0.2620285,0.84306777,0.7727215,0.7849468,-0.007906964,0.657126,-0.23566069,-0.20946822,-0.5580074,0.77850574,0.76734096,0.56419957,0.093999155,0.7143968,0.56459993,0.50267226,0.7635903,0.83127373,0.83703613,0.802315,0.52318305,0.6386252],[0.88990086,0.49213067,0.788393,0.7933849,0.7976979,0.67182004,1.0,0.5268104,0.16062754,0.30924416,0.5092608,0.4492147,0.9136647,0.38986033,-0.47637805,0.18785088,0.7809716,-0.5724997,0.7000561,-0.3876727,0.7880724,-0.17297414,0.76261675,-0.18459657,0.30998418,0.72448653,0.35893476,0.14919218,0.6949818,0.7194356,0.7666081,-0.4434528,-0.36439145,-0.51402575,-0.117844604,0.27819714,0.83422804,-0.44983944,0.6495457,0.6631053,0.8149771,0.09512762,0.6035105,-0.044960655,-0.036272977,-0.40635458,0.8968732,0.5165988,0.1880023,0.4467803,0.6557071,0.8147652,0.8130613,0.7725559,0.9066645,0.687803,0.83577585,0.55648744,0.6025029],[0.5973161,0.63155955,0.76124495,0.7655083,0.48768866,0.73960155,0.5268104,1.0,0.76446164,0.107145995,0.858878,0.78623253,0.41899955,0.7965882,-0.50984114,0.007983621,0.64931744,-0.00042341131,0.13245368,-0.6437131,0.6284061,-0.61578697,0.8429594,-0.5037021,0.6825136,0.7435631,0.51730293,0.35586062,0.72333103,0.22212377,0.31395212,-0.29055592,-0.68637794,-0.23092127,-0.6746307,0.8035969,0.7197195,-0.16211614,0.83370215,0.58213615,0.6013306,-0.004262732,0.7573768,-0.465283,-0.3910075,-0.6771737,0.59248024,0.81160754,0.324602,-0.24686599,0.77659255,0.47023204,0.39361027,0.74762505,0.66064066,0.8993837,0.6987835,0.39217022,0.6334217],[0.20736398,0.5299916,0.5218711,0.44430274,0.19829366,0.4743555,0.16062754,0.76446164,1.0,-0.023182433,0.6476803,0.5153011,0.021786638,0.68108755,-0.5692062,-0.2038451,0.34573498,0.14016518,-0.17246796,-0.5705844,0.26757902,-0.61799145,0.56039196,-0.51955026,0.6513995,0.42787617,0.3697973,0.33681774,0.5396871,-0.16582873,0.10837081,-0.08025028,-0.5697208,-0.039499886,-0.6778522,0.8163222,0.42936906,-0.21892478,0.4934924,0.37927043,0.18764962,-0.110164985,0.4416958,-0.5221104,-0.4667748,-0.5787073,0.29755083,0.57832944,0.13142863,-0.5769739,0.59897554,0.25326467,0.16644451,0.4927377,0.31304353,0.6822758,0.46844104,0.37899664,0.49117452],[0.18147016,0.5310932,0.4448576,0.27215293,0.09311539,0.27844945,0.30924416,0.107145995,-0.023182433,1.0,0.056229953,0.060745697,0.39426202,-0.021939317,0.0047804876,0.4570626,0.58891153,-0.5503132,0.22529335,0.22885661,0.18526404,0.5558708,0.12809812,0.4677539,-0.15248558,0.066873245,-0.23671009,0.14157228,0.06454092,0.49108905,0.5213428,-0.42037743,0.42920846,0.041436795,0.49208346,0.10776427,0.16960604,-0.17826337,0.039322667,0.45235908,0.33295754,0.2098327,0.34377027,0.6141234,0.61081237,0.3467613,0.361518,-0.025120905,0.10643344,0.27583408,0.46951726,0.55034125,0.1298122,0.51482254,0.27538273,0.27007833,0.2000826,0.5611594,0.1313603],[0.57532066,0.48273054,0.6068174,0.76713663,0.41632628,0.745344,0.5092608,0.858878,0.6476803,0.056229953,1.0,0.7052981,0.45508018,0.6422323,-0.38537017,-0.15621121,0.59262514,-0.012500919,0.21769834,-0.52413154,0.56874245,-0.61038214,0.84900993,-0.3320845,0.5924001,0.7546035,0.41956005,0.28294924,0.67038137,0.17302242,0.24884547,-0.14356431,-0.57712185,-0.20563552,-0.6215191,0.63285690000000006,0.6701738,-0.066215195,0.85553306,0.5607042,0.532044,-0.04034785,0.597751,-0.4789946,-0.260506,-0.54459685,0.5082418,0.90112925,0.36926,-0.06770301,0.61610323,0.28456765,0.34441787,0.5712483,0.6710171,0.8091734,0.5707059,0.24681993,0.5879455],[0.5728268,0.53702223,0.5336331,0.63800937,0.2651757,0.66543293,0.4492147,0.78623253,0.5153011,0.060745697,0.7052981,1.0,0.3167326,0.75121504,-0.1818526,0.21885234,0.45704457,0.2115556,0.27703848,-0.46115792,0.62372863,-0.5493959,0.71268433,-0.3832463,0.7354053,0.7045081,0.6765474,0.41962013,0.72418237,0.30819982,0.30774167,0.01868658,-0.64696544,-0.14008239,-0.6097257,0.61346525,0.6272166,0.027950231,0.7346611,0.5591183,0.5905794,0.2580133,0.55222905,-0.43396318,-0.3889228,-0.6449661,0.5455432,0.8020115,0.57999974,-0.08529386,0.6222675,0.33347034,0.30512357,0.5323781,0.59127516,0.71312034,0.57521576,0.29735145,0.7109743],[0.83669865,0.34783396,0.72749186,0.7097383,0.7822376,0.6317522,0.9136647,0.41899955,0.021786638,0.39426202,0.45508018,0.3167326,1.0,0.22474833,-0.4435981,0.1851585,0.8044206,-0.6744499,0.6643301,-0.30883348,0.7333379,-0.017451923,0.6745071,-0.026797779,0.12063544,0.6065602,0.16917206,-0.011176639,0.5265245,0.7625956,0.7009826,-0.40884006,-0.21507537,-0.44010872,0.065621,0.1088164,0.74674755,-0.44570497,0.57618946,0.5656736,0.73859024,0.071051985,0.59848046,0.10443663,0.13463041,-0.21913248,0.81394225,0.40688202,0.11304308,0.601784,0.54511577,0.77343655,0.73421395,0.7060647,0.82040584,0.5909737,0.7217976,0.45147568,0.4033771],[0.48854488,0.55299056,0.63082814,0.70033646,0.25793424,0.6629412,0.38986033,0.7965882,0.68108755,-0.021939317,0.6422323,0.75121504,0.22474833,1.0,-0.48810634,0.107561834,0.4685021,0.14800718,0.22077666,-0.593742,0.5801739,-0.6132668,0.74853843,-0.57678926,0.75374323,0.703399,0.7024969,0.57418203,0.7909317,0.2721855,0.3970575,-0.14011756,-0.7735975,0.045279175,-0.743953,0.80949146,0.74200064,-0.25426295,0.7244427,0.577158,0.56439525,0.025835892,0.5306706,-0.47367373,-0.5917519,-0.80919653,0.6113191,0.7025389,0.56231177,-0.30643168,0.6661307,0.40540025,0.38572758,0.5927705,0.53155684,0.78983235,0.6589832,0.4818474,0.7887759],[-0.5058399,-0.2659905,-0.6847535,-0.48546228,-0.66020566,-0.4998567,-0.47637805,-0.50984114,-0.5692062,0.0047804876,-0.38537017,-0.1818526,-0.4435981,-0.48810634,1.0,0.23806562,-0.47223932,0.43156084,-0.19257605,0.6882119,-0.42975956,0.46846408,-0.56914693,0.50516456,-0.3714907,-0.45400992,-0.27645478,0.026233664,-0.5235979,-0.15649466,-0.37480733,0.28003383,0.55073273,0.26831916,0.43240887,-0.45737863,-0.60375893,0.7573286,-0.41875497,-0.36482513,-0.3748171,0.23525842,-0.38682312,0.37921432,0.46287292,0.59028333,-0.5720431,-0.35422182,0.16042666,0.22415851,-0.4788325,-0.61225843,-0.5175591,-0.61492884,-0.48433304,-0.58539957,-0.70447683,-0.44943044,-0.40725163],[0.17822501,0.33920607,0.15726557,0.19362265,-0.11421185,0.16542336,0.18785088,0.007983621,-0.2038451,0.4570626,-0.15621121,0.21885234,0.1851585,0.107561834,0.23806562,1.0,0.19771591,-0.019413667,0.3757388,0.12346871,0.3188586,0.29619613,0.07645264,0.10814845,0.06066252,0.1568458,0.19572209,0.41055056,0.16327083,0.35644087,0.36715943,-0.1524091,0.07997221,0.13711494,0.22090693,0.12761389,0.15902773,0.12876515,0.05858523,0.24879283,0.3959534,0.30659932,0.35962406,0.36644801,0.19078758,0.02167207,0.2972075,-0.04060822,0.45103708,0.21435426,0.27927712,0.36978966,0.18282084,0.27217218,0.1470195,0.16126084,0.17113961,0.2606407,0.22353986],[0.74109805,0.6865512,0.8855419,0.7911433,0.67904264,0.7590262,0.7809716,0.64931744,0.34573498,0.58891153,0.59262514,0.45704457,0.8044206,0.4685021,-0.47223932,0.19771591,1.0,-0.5503546,0.49788964,-0.31839174,0.7281266,-0.08672668,0.74530476,-0.101294674,0.3467842,0.67285633,0.22688776,0.30635595,0.60791814,0.68486345,0.7371331,-0.5011827,-0.23163015,-0.2734492,-0.05726486,0.4356132,0.73067987,-0.3372814,0.6790939,0.7995594,0.7836069,-0.020861488,0.7350981,0.075179316,0.14611904,-0.27152,0.8051152,0.5151653,0.22220345,0.30823344,0.8376209,0.81440437,0.5814817,0.8908815,0.8217458,0.8194901,0.77878255,0.6991858,0.5036932],[-0.35265177,-0.13606845,-0.4472052,-0.29487333,-0.5331896,-0.15762259,-0.5724997,-0.00042341131,0.14016518,-0.5503132,-0.012500919,0.2115556,-0.6744499,0.14800718,0.43156084,-0.019413667,-0.5503546,1.0,-0.3484937,0.107888795,-0.2262641,-0.3662517,-0.19977029,-0.35947698,0.31682047,-0.081682935,0.3831532,0.25565353,-0.043767177,-0.5117651,-0.5281634,0.53530383,-0.26532,0.2605388,-0.48323694,0.115869254,-0.30738455,0.60042113,-0.029094782,-0.29000917,-0.28566948,0.029999442,-0.2202841,-0.41763678,-0.44418594,-0.18559399,-0.4687196,0.10474938,0.30955178,-0.4218115,-0.2598565,-0.63249755,-0.3974988,-0.46438867,-0.4060657,-0.19770119,-0.33873802,-0.38607877,-0.03288105],[0.7174476,0.23573127,0.42522532,0.5557173,0.4326272,0.4898092,0.7000561,0.13245368,-0.17246796,0.22529335,0.21769834,0.27703848,0.6643301,0.22077666,-0.19257605,0.3757388,0.49788964,-0.3484937,1.0,-0.17813426,0.6795951,-0.020788323,0.51526725,-0.13492969,0.27446392,0.593043,0.43436226,0.22615498,0.58248526,0.64851373,0.70323324,-0.15659939,-0.26463658,-0.23089789,0.0043481593,0.021097997,0.61487687,-0.22224216,0.4694725,0.5631175,0.7601857,0.036522113,0.34641865,0.10660843,-0.014284187,-0.32208413,0.6994739,0.30337286,0.46816716,0.5677416,0.38306105,0.5647642,0.5745069,0.44807172,0.70306927,0.3891138,0.62497693,0.43250883,0.43977407],[-0.5007658,-0.13774544,-0.51164126,-0.50037867,-0.45088857,-0.4822332,-0.3876727,-0.6437131,-0.5705844,0.22885661,-0.52413154,-0.46115792,-0.30883348,-0.593742,0.6882119,0.12346871,-0.31839174,0.107888795,-0.17813426,1.0,-0.46177885,0.7647491,-0.6050174,0.58747554,-0.5231798,-0.52851915,-0.39631253,-0.059946407,-0.55493456,-0.031517927,-0.08782814,0.13384417,0.74276257,0.3284975,0.68683773,-0.55062747,-0.56624407,0.4237526,-0.5809325,-0.18694285,-0.34546328,0.22094826,-0.52422273,0.66496646,0.54313695,0.76342994,-0.436767,-0.52138764,-0.042002127,0.30469328,-0.40779045,-0.37961903,-0.31086713,-0.475316,-0.459958,-0.64805746,-0.5875509,-0.1337413,-0.4306494],[0.8979742,0.50895375,0.766833,0.8275785,0.64021236,0.7768351,0.7880724,0.6284061,0.26757902,0.18526404,0.56874245,0.62372863,0.7333379,0.5801739,-0.42975956,0.3188586,0.7281266,-0.2262641,0.6795951,-0.46177885,1.0,-0.40635997,0.82171875,-0.4856052,0.49708882,0.85992986,0.5910918,0.36420682,0.78719914,0.6630419,0.6421144,-0.25186878,-0.6329097,-0.31706643,-0.37913665,0.45123816,0.84922206,-0.27522334,0.8184266,0.6888138,0.89092404,-0.042749774,0.7105625,-0.26493597,-0.25590238,-0.622553,0.8628188,0.62020284,0.45274282,0.36295483,0.73512244,0.7096189,0.6842787,0.7708339,0.854459,0.8170181,0.86639076,0.47875616,0.6453414],[-0.3607314,-0.08844843,-0.28168723,-0.42558205,-0.24727322,-0.39735517,-0.17297414,-0.61578697,-0.61799145,0.5558708,-0.61038214,-0.5493959,-0.017451923,-0.6132668,0.46846408,0.29619613,-0.08672668,-0.3662517,-0.020788323,0.7647491,-0.40635997,1.0,-0.5783722,0.7354019,-0.68980163,-0.57666695,-0.6037804,-0.242498,-0.58211833,0.13641784,0.07737523,-0.2157889,0.86571467,0.2040174,0.88529867,-0.56514883,-0.46160457,0.12538414,-0.61744297,-0.15975733,-0.2173262,0.14774276,-0.26123455,0.94876224,0.7502659,0.82526535,-0.2464597,-0.65457565,-0.2521042,0.3622784,-0.2756399,0.0076930714,-0.17240639,-0.20652287,-0.3602485,-0.57995343,-0.4360067,0.010292069,-0.48778394],[0.81038696,0.58211005,0.8069803,0.9271202,0.5876954,0.8809818,0.76261675,0.8429594,0.56039196,0.12809812,0.84900993,0.71268433,0.6745071,0.74853843,-0.56914693,0.07645264,0.74530476,-0.19977029,0.51526725,-0.6050174,0.82171875,-0.5783722,1.0,-0.47184712,0.6693045,0.91988844,0.5773194,0.4254039,0.8815989,0.4357252,0.59406966,-0.31685635,-0.7054368,-0.2508164,-0.5944705,0.68842506,0.92062354,-0.33956912,0.9148307,0.7665873,0.7988364,-0.043271035,0.7165605,-0.40439585,-0.35884032,-0.7287842,0.8253249,0.8552793,0.41056362,0.037115566,0.78449905,0.6130658,0.61398566,0.77975976,0.8756379,0.9367645,0.8474536,0.512672,0.76342577],[-0.42778265,-0.16400461,-0.34861964,-0.3085307,-0.36220983,-0.2981793,-0.18459657,-0.5037021,-0.51955026,0.4677539,-0.3320845,-0.3832463,-0.026797779,-0.57678926,0.50516456,0.10814845,-0.101294674,-0.35947698,-0.13492969,0.58747554,-0.4856052,0.7354019,-0.47184712,1.0,-0.6798749,-0.5260184,-0.7126808,-0.2245725,-0.57735753,0.055579327,-0.06167668,-0.07939277,0.86894155,0.22747284,0.7839183,-0.5001142,-0.4466592,0.17886323,-0.48990962,-0.20115279,-0.33126,0.31289127,-0.2887251,0.667399,0.8394232,0.8132365,-0.33014768,-0.4384787,-0.13164048,0.3078645,-0.32674855,-0.19851953,-0.36001346,-0.3315268,-0.31524345,-0.50624406,-0.5560694,-0.11102861,-0.4170805],[0.46023917,0.45975858,0.47882834,0.52026325,0.22123832,0.56519127,0.30998418,0.6825136,0.6513995,-0.15248558,0.5924001,0.7354053,0.12063544,0.75374323,-0.3714907,0.06066252,0.3467842,0.31682047,0.27446392,-0.5231798,0.49708882,-0.68980163,0.6693045,-0.6798749,1.0,0.6604481,0.81036806,0.50156087,0.7812437,0.05175036,0.32507592,0.124204546,-0.74487764,-0.17388873,-0.7617281,0.6527751,0.5649127,-0.06924668,0.63365567,0.54918116,0.4993955,0.052855805,0.3676204,-0.54576594,-0.65477395,-0.78435355,0.4536123,0.7369917,0.4650657,-0.3405012,0.55373913,0.2651171,0.29135168,0.42343318,0.5400769,0.6871155,0.59382087,0.39985222,0.70407116],[0.8368366,0.51846033,0.7277019,0.9125321,0.5375467,0.8208575,0.72448653,0.7435631,0.42787617,0.066873245,0.7546035,0.7045081,0.6065602,0.703399,-0.45400992,0.1568458,0.67285633,-0.081682935,0.593043,-0.52851915,0.85992986,-0.57666695,0.91988844,-0.5260184,0.6604481,1.0,0.69263566,0.472081,0.8890746,0.49480748,0.60337955,-0.18981612,-0.73058695,-0.24582274,-0.58959556,0.62770265,0.8817496,-0.25687203,0.91006905,0.7403863,0.81975186,-0.08211663,0.6353994,-0.4217524,-0.38802302,-0.7428472,0.81914884,0.8117707,0.49007583,0.1313109,0.71342415,0.5582189,0.6439204,0.71768224,0.8529206,0.87586296,0.8304064,0.49996868,0.77254057],[0.5677713,0.3221216,0.4064675,0.5042332,0.2693117,0.48543274,0.35893476,0.51730293,0.3697973,-0.23671009,0.41956005,0.6765474,0.16917206,0.7024969,-0.27645478,0.19572209,0.22688776,0.3831532,0.43436226,-0.39631253,0.5910918,-0.6037804,0.5773194,-0.7126808,0.81036806,0.69263566,1.0,0.40817115,0.80185014,0.2685753,0.39293468,0.19738291,-0.7872718,-0.15878253,-0.70549697,0.45461726,0.60164076,-0.09883643,0.592622,0.43948123,0.571006,0.16843158,0.2749548,-0.50848454,-0.7456524,-0.7910519,0.5342216,0.6270244,0.5865011,-0.0999042,0.3923285,0.27512106,0.4437748,0.36231497,0.52126163,0.54250973,0.62082815,0.35741648,0.7284775],[0.13612095,0.5688148,0.35675654,0.49254277,-0.19684651,0.42313325,0.14919218,0.35586062,0.33681774,0.14157228,0.28294924,0.41962013,-0.011176639,0.57418203,0.026233664,0.41055056,0.30635595,0.25565353,0.22615498,-0.059946407,0.36420682,-0.242498,0.4254039,-0.2245725,0.50156087,0.472081,0.40817115,1.0,0.49832928,0.06357893,0.35369202,-0.21471515,-0.29174507,0.1267824,-0.39070034,0.6416927,0.37909806,0.0898514,0.41349578,0.59296376,0.42793915,-0.059979063,0.3450868,-0.13430445,-0.15824205,-0.40218344,0.3311012,0.39135617,0.5565841,-0.29481098,0.5671245,0.21568754,0.17354833,0.31690857,0.2892241,0.5204065,0.27927503,0.45657817,0.60045195],[0.7922843,0.602229,0.7370436,0.8450607,0.48267743,0.76555,0.6949818,0.72333103,0.5396871,0.06454092,0.67038137,0.72418237,0.5265245,0.7909317,-0.5235979,0.16327083,0.60791814,-0.043767177,0.58248526,-0.55493456,0.78719914,-0.58211833,0.8815989,-0.57735753,0.7812437,0.8890746,0.80185014,0.49832928,1.0,0.45988268,0.66500294,-0.17414786,-0.76308924,-0.24418378,-0.64923537,0.67006737,0.9020003,-0.36287674,0.79411715,0.7261593,0.7887979,0.04678117,0.57149005,-0.42928165,-0.5324386,-0.81871015,0.84028834,0.7746924,0.5363349,-0.019934148,0.7271848,0.61001,0.66125566,0.7094861,0.8148663,0.86998147,0.8753159,0.6233496,0.88121253],[0.7109757,0.36770487,0.5793522,0.5732402,0.54796565,0.47875035,0.7194356,0.22212377,-0.16582873,0.49108905,0.17302242,0.30819982,0.7625956,0.2721855,-0.15649466,0.35644087,0.68486345,-0.5117651,0.64851373,-0.031517927,0.6630419,0.13641784,0.4357252,0.055579327,0.05175036,0.49480748,0.2685753,0.06357893,0.45988268,1.0,0.75307894,-0.25458482,-0.110641904,-0.15615442,0.18151794,0.017962372,0.60993385,-0.35880432,0.4435232,0.5379047,0.72690284,0.24925908,0.41158542,0.22484699,0.16621858,-0.12363889,0.767827,0.2074233,0.32972363,0.6820075,0.48139858,0.68455875,0.5891308,0.5978697,0.6525143,0.40706792,0.60685027,0.5330623,0.40351817],[0.6728439,0.5829566,0.7150799,0.6860235,0.51379484,0.56548744,0.7666081,0.31395212,0.10837081,0.5213428,0.24884547,0.30774167,0.7009826,0.3970575,-0.37480733,0.36715943,0.7371331,-0.5281634,0.70323324,-0.08782814,0.6421144,0.07737523,0.59406966,-0.06167668,0.32507592,0.60337955,0.39293468,0.35369202,0.66500294,0.75307894,1.0,-0.39588892,-0.1674457,-0.15376507,0.036616154,0.28478914,0.71987253,-0.46850047,0.45078406,0.8011495,0.7743002,0.15488255,0.4104199,0.23523693,0.032997508,-0.27745155,0.85645217,0.32321253,0.33431432,0.34336707,0.6495233,0.7962281,0.6858062,0.7143718,0.7634444,0.558725,0.73993355,0.8476324,0.62035805],[-0.27890518,-0.49338424,-0.52933437,-0.42726395,-0.36379445,-0.18228927,-0.4434528,-0.29055592,-0.08025028,-0.42037743,-0.14356431,0.01868658,-0.40884006,-0.14011756,0.28003383,-0.1524091,-0.5011827,0.53530383,-0.15659939,0.13384417,-0.25186878,-0.2157889,-0.31685635,-0.07939277,0.124204546,-0.18981612,0.19738291,-0.21471515,-0.17414786,-0.25458482,-0.39588892,1.0,-0.04690076,0.24654925,-0.11103971,-0.31873047,-0.36999226,0.2823692,-0.17845486,-0.38028458,-0.37121713,0.21998787,-0.4770694,-0.31432295,-0.22625269,0.04834739,-0.4126027,-0.039815243,0.13598149,0.047709778,-0.4995095,-0.552209,-0.3665417,-0.56716734,-0.327873,-0.42751363,-0.35740337,-0.39656878,-0.17039502],[-0.5908524,-0.20173553,-0.46347,-0.5718177,-0.39347166,-0.5583775,-0.36439145,-0.68637794,-0.5697208,0.42920846,-0.57712185,-0.64696544,-0.21507537,-0.7735975,0.55073273,0.07997221,-0.23163015,-0.26532,-0.26463658,0.74276257,-0.6329097,0.86571467,-0.7054368,0.86894155,-0.74487764,-0.73058695,-0.7872718,-0.29174507,-0.76308924,-0.110641904,-0.1674457,-0.04690076,1.0,0.19683601,0.9063573,-0.62140256,-0.67853373,0.25249824,-0.7280934,-0.3331579,-0.4894448,0.15725018,-0.43417367,0.7621812,0.8445706,0.9588209,-0.51673573,-0.68134636,-0.34036368,0.24084134,-0.43264586,-0.26578456,-0.43264288,-0.42317188,-0.49881518,-0.71092635,-0.657949,-0.14959693,-0.61691576],[-0.48069793,-0.12501176,-0.34267378,-0.24689697,-0.63473874,0.08698284,-0.51402575,-0.23092127,-0.039499886,0.041436795,-0.20563552,-0.14008239,-0.44010872,0.045279175,0.26831916,0.13711494,-0.2734492,0.2605388,-0.23089789,0.3284975,-0.31706643,0.2040174,-0.2508164,0.22747284,-0.17388873,-0.24582274,-0.15878253,0.1267824,-0.24418378,-0.15615442,-0.15376507,0.24654925,0.19683601,1.0,0.10137766,0.035229336,-0.24454273,0.12563263,-0.17217436,-0.14041445,-0.24980374,0.085136555,-0.21289292,0.1761912,0.09120365,0.21173285,-0.28117013,-0.23129117,0.17904265,-0.15841791,-0.21986666,-0.34016058,-0.42963845,-0.30855742,-0.42851216,-0.23260532,-0.38893273,-0.118990615,-0.15150033],[-0.3272944,-0.20652765,-0.30231485,-0.4560046,-0.14733903,-0.43559098,-0.117844604,-0.6746307,-0.6778522,0.49208346,-0.6215191,-0.6097257,0.065621,-0.743953,0.43240887,0.22090693,-0.05726486,-0.48323694,0.0043481593,0.68683773,-0.37913665,0.88529867,-0.5944705,0.7839183,-0.7617281,-0.58959556,-0.70549697,-0.39070034,-0.64923537,0.18151794,0.036616154,-0.11103971,0.9063573,0.10137766,1.0,-0.69807476,-0.51087654,0.09922775,-0.620776,-0.2376782,-0.2612342,0.15498973,-0.28667328,0.80268466,0.8434987,0.8834649,-0.27088246,-0.7064939,-0.3627416,0.5226352,-0.3249345,0.0023599432,-0.21473409,-0.24167964,-0.30173042,-0.6162641,-0.43211213,-0.07763109,-0.5954102],[0.31876028,0.6715618,0.607646,0.6598529,0.1179318,0.60272574,0.27819714,0.8035969,0.8163222,0.10776427,0.63285690000000006,0.61346525,0.1088164,0.80949146,-0.45737863,0.12761389,0.4356132,0.115869254,0.021097997,-0.55062747,0.45123816,-0.56514883,0.68842506,-0.5001142,0.6527751,0.62770265,0.45461726,0.6416927,0.67006737,0.017962372,0.28478914,-0.31873047,-0.62140256,0.035229336,-0.69807476,1.0,0.6114749,-0.1934565,0.6362856,0.5389412,0.42209867,-0.14236756,0.6114579,-0.43899357,-0.41359305,-0.6875357,0.47974554,0.6227561,0.36481157,-0.5302692,0.7411114,0.38009,0.26369488,0.6186886,0.4288702,0.8098631,0.5513036,0.49391216,0.67131567],[0.8667819,0.5650124,0.8398653,0.922044,0.63875383,0.82444644,0.83422804,0.7197195,0.42936906,0.16960604,0.6701738,0.6272166,0.74674755,0.74200064,-0.60375893,0.15902773,0.73067987,-0.30738455,0.61487687,-0.56624407,0.84922206,-0.46160457,0.92062354,-0.4466592,0.5649127,0.8817496,0.60164076,0.37909806,0.9020003,0.60993385,0.71987253,-0.36999226,-0.67853373,-0.24454273,-0.51087654,0.6114749,1.0,-0.510518,0.82213765,0.72112453,0.8381377,-0.01458762,0.66117257,-0.3074003,-0.36935985,-0.72542405,0.9324706,0.70601445,0.39853072,0.13237643,0.74582446,0.74041754,0.7501621,0.8025865,0.8692896,0.86536413,0.9098887,0.61835265,0.8066182],[-0.40704164,-0.13105497,-0.5003868,-0.35416156,-0.47151273,-0.2620285,-0.44983944,-0.16211614,-0.21892478,-0.17826337,-0.066215195,0.027950231,-0.44570497,-0.25426295,0.7573286,0.12876515,-0.3372814,0.60042113,-0.22224216,0.4237526,-0.27522334,0.12538414,-0.33956912,0.17886323,-0.06924668,-0.25687203,-0.09883643,0.0898514,-0.36287674,-0.35880432,-0.46850047,0.2823692,0.25249824,0.12563263,0.09922775,-0.1934565,-0.510518,1.0,-0.12734504,-0.26053584,-0.23194529,0.01977645,-0.14630409,0.100486435,0.27308035,0.34478676,-0.5666536,-0.07953437,0.21741779,0.024925219,-0.28013775,-0.610513,-0.50277823,-0.4538242,-0.33934227,-0.2669844,-0.5113128,-0.48228297,-0.39267606],[0.7712623,0.47373363,0.69489026,0.86934286,0.5351077,0.84306777,0.6495457,0.83370215,0.4934924,0.039322667,0.85553306,0.7346611,0.57618946,0.7244427,-0.41875497,0.05858523,0.6790939,-0.029094782,0.4694725,-0.5809325,0.8184266,-0.61744297,0.9148307,-0.48990962,0.63365567,0.91006905,0.592622,0.41349578,0.79411715,0.4435232,0.45078406,-0.17845486,-0.7280934,-0.17217436,-0.620776,0.6362856,0.82213765,-0.12734504,1.0,0.6672435,0.790999,-0.05204745,0.71553594,-0.4539487,-0.3384004,-0.69353557,0.7136377,0.84664226,0.52172536,0.12062522,0.7047078,0.45045874,0.5147752,0.681253,0.7996004,0.8807669,0.7485782,0.35518655,0.6594419],[0.6386494,0.71456057,0.7582799,0.78993833,0.40757695,0.7727215,0.6631053,0.58213615,0.37927043,0.45235908,0.5607042,0.5591183,0.5656736,0.577158,-0.36482513,0.24879283,0.7995594,-0.29000917,0.5631175,-0.18694285,0.6888138,-0.15975733,0.7665873,-0.20115279,0.54918116,0.7403863,0.43948123,0.59296376,0.7261593,0.5379047,0.8011495,-0.38028458,-0.3331579,-0.14041445,-0.2376782,0.5389412,0.72112453,-0.26053584,0.6672435,1.0,0.7914869,0.0061449907,0.5325005,0.033797495,-0.06164864,-0.41582844,0.76825756,0.63331044,0.44774115,0.12923783,0.8028626,0.6513614,0.55109966,0.74515575,0.7816804,0.7823335,0.7051194,0.7528023,0.6927458],[0.86330825,0.6113809,0.77139217,0.83573896,0.63376576,0.7849468,0.8149771,0.6013306,0.18764962,0.33295754,0.532044,0.5905794,0.73859024,0.56439525,-0.3748171,0.3959534,0.7836069,-0.28566948,0.7601857,-0.34546328,0.89092404,-0.2173262,0.7988364,-0.33126,0.4993955,0.81975186,0.571006,0.42793915,0.7887979,0.72690284,0.7743002,-0.37121713,-0.4894448,-0.24980374,-0.2612342,0.42209867,0.8381377,-0.23194529,0.790999,0.7914869,1.0,0.052511506,0.69897234,-0.030524535,-0.15427886,-0.5237634,0.8802455,0.60778195,0.5323925,0.37255424,0.7539341,0.7439307,0.7062707,0.80047756,0.8721507,0.7829184,0.85312265,0.6073813,0.65262634],[0.023852183,0.060988363,-0.034701288,-0.026843132,-0.07355219,-0.007906964,0.09512762,-0.004262732,-0.110164985,0.2098327,-0.04034785,0.2580133,0.071051985,0.025835892,0.23525842,0.30659932,-0.020861488,0.029999442,0.036522113,0.22094826,-0.042749774,0.14774276,-0.043271035,0.31289127,0.052855805,-0.08211663,0.16843158,-0.059979063,0.04678117,0.24925908,0.15488255,0.21998787,0.15725018,0.085136555,0.15498973,-0.14236756,-0.01458762,0.01977645,-0.05204745,0.0061449907,0.052511506,1.0,-0.07671152,0.12523401,0.07977635,0.14740054,0.072359845,0.065582775,0.21646288,0.16449331,-0.04380743,0.0054263724,-0.042555623,-0.058529127,0.04299249,-0.14042124,-0.06220045,0.07427881,0.17205271],[0.63711774,0.58684564,0.73365474,0.71926343,0.46410656,0.657126,0.6035105,0.7573768,0.4416958,0.34377027,0.597751,0.55222905,0.59848046,0.5306706,-0.38682312,0.35962406,0.7350981,-0.2202841,0.34641865,-0.52422273,0.7105625,-0.26123455,0.7165605,-0.2887251,0.3676204,0.6353994,0.2749548,0.3450868,0.57149005,0.41158542,0.4104199,-0.4770694,-0.43417367,-0.21289292,-0.28667328,0.6114579,0.66117257,-0.14630409,0.71553594,0.5325005,0.69897234,-0.07671152,1.0,-0.09589787,-0.037722636,-0.4222377,0.63651663,0.51287633,0.3157627,0.07591742,0.77763546,0.64691275,0.43615785,0.7833701,0.6264107,0.81032354,0.6671735,0.37268642,0.39151216],[-0.22294824,0.020560918,-0.13267864,-0.25334388,-0.14415324,-0.23566069,-0.044960655,-0.465283,-0.5221104,0.6141234,-0.4789946,-0.43396318,0.10443663,-0.47367373,0.37921432,0.36644801,0.075179316,-0.41763678,0.10660843,0.66496646,-0.26493597,0.94876224,-0.40439585,0.667399,-0.54576594,-0.4217524,-0.50848454,-0.13430445,-0.42928165,0.22484699,0.23523693,-0.31432295,0.7621812,0.1761912,0.80268466,-0.43899357,-0.3074003,0.100486435,-0.4539487,0.033797495,-0.030524535,0.12523401,-0.09589787,1.0,0.70387787,0.71367073,-0.09936584,-0.50498223,-0.13727887,0.36337984,-0.12808387,0.1378292,-0.040916525,-0.04739165,-0.21135876,-0.39658162,-0.28787377,0.13402939,-0.38900283],[-0.26054552,-0.0047591836,-0.15041003,-0.19119304,-0.18541507,-0.20946822,-0.036272977,-0.3910075,-0.4667748,0.61081237,-0.260506,-0.3889228,0.13463041,-0.5917519,0.46287292,0.19078758,0.14611904,-0.44418594,-0.014284187,0.54313695,-0.25590238,0.7502659,-0.35884032,0.8394232,-0.65477395,-0.38802302,-0.7456524,-0.15824205,-0.5324386,0.16621858,0.032997508,-0.22625269,0.8445706,0.09120365,0.8434987,-0.41359305,-0.36935985,0.27308035,-0.3384004,-0.06164864,-0.15427886,0.07977635,-0.037722636,0.70387787,1.0,0.8304295,-0.20787595,-0.43156895,-0.17465422,0.4577855,-0.09325623,-0.012836514,-0.27498764,-0.10394677,-0.14096986,-0.2972398,-0.38197145,-0.025296168,-0.47569084],[-0.58098215,-0.28652075,-0.50973254,-0.61894804,-0.35834232,-0.5580074,-0.40635458,-0.6771737,-0.5787073,0.3467613,-0.54459685,-0.6449661,-0.21913248,-0.80919653,0.59028333,0.02167207,-0.27152,-0.18559399,-0.32208413,0.76342994,-0.622553,0.82526535,-0.7287842,0.8132365,-0.78435355,-0.7428472,-0.7910519,-0.40218344,-0.81871015,-0.12363889,-0.27745155,0.04834739,0.9588209,0.21173285,0.8834649,-0.6875357,-0.72542405,0.34478676,-0.69353557,-0.41582844,-0.5237634,0.14740054,-0.4222377,0.71367073,0.8304295,1.0,-0.57494134,-0.67247546,-0.36101687,0.3229696,-0.4991385,-0.34688324,-0.45502225,-0.4703914,-0.5420374,-0.7724576,-0.6980843,-0.3003498,-0.7232359],[0.8950257,0.60599446,0.86349046,0.86803406,0.68995327,0.77850574,0.8968732,0.59248024,0.29755083,0.361518,0.5082418,0.5455432,0.81394225,0.6113191,-0.5720431,0.2972075,0.8051152,-0.4687196,0.6994739,-0.436767,0.8628188,-0.2464597,0.8253249,-0.33014768,0.4536123,0.81914884,0.5342216,0.3311012,0.84028834,0.767827,0.85645217,-0.4126027,-0.51673573,-0.28117013,-0.27088246,0.47974554,0.9324706,-0.5666536,0.7136377,0.76825756,0.8802455,0.072359845,0.63651663,-0.09936584,-0.20787595,-0.57494134,1.0,0.5630683,0.34070662,0.3001401,0.77260524,0.87696403,0.8096533,0.86098504,0.8834208,0.78659064,0.92721075,0.7126494,0.7644373],[0.63410795,0.4662761,0.57088286,0.7733551,0.3841998,0.76734096,0.5165988,0.81160754,0.57832944,-0.025120905,0.90112925,0.8020115,0.40688202,0.7025389,-0.35422182,-0.04060822,0.5151653,0.10474938,0.30337286,-0.52138764,0.62020284,-0.65457565,0.8552793,-0.4384787,0.7369917,0.8117707,0.6270244,0.39135617,0.7746924,0.2074233,0.32321253,-0.039815243,-0.68134636,-0.23129117,-0.7064939,0.6227561,0.70601445,-0.07953437,0.84664226,0.63331044,0.60778195,0.065582775,0.51287633,-0.50498223,-0.43156895,-0.67247546,0.5630683,1.0,0.49615073,-0.08637983,0.57892656,0.28237978,0.41234142,0.5234964,0.6827003,0.78458786,0.6048779,0.30140465,0.7146052],[0.28778666,0.3373604,0.22135694,0.46931216,-0.18205702,0.56419957,0.1880023,0.324602,0.13142863,0.10643344,0.36926,0.57999974,0.11304308,0.56231177,0.16042666,0.45103708,0.22220345,0.30955178,0.46816716,-0.042002127,0.45274282,-0.2521042,0.41056362,-0.13164048,0.4650657,0.49007583,0.5865011,0.5565841,0.5363349,0.32972363,0.33431432,0.13598149,-0.34036368,0.17904265,-0.3627416,0.36481157,0.39853072,0.21741779,0.52172536,0.44774115,0.5323925,0.21646288,0.3157627,-0.13727887,-0.17465422,-0.36101687,0.34070662,0.49615073,1.0,0.11424966,0.3401558,0.10060946,0.11136108,0.1972037,0.3534967,0.37759402,0.26573092,0.2609661,0.52931464],[0.42899653,-0.11696875,0.08242869,0.13725437,0.36368793,0.093999155,0.4467803,-0.24686599,-0.5769739,0.27583408,-0.06770301,-0.08529386,0.601784,-0.30643168,0.22415851,0.21435426,0.30823344,-0.4218115,0.5677416,0.30469328,0.36295483,0.3622784,0.037115566,0.3078645,-0.3405012,0.1313109,-0.0999042,-0.29481098,-0.019934148,0.6820075,0.34336707,0.047709778,0.24084134,-0.15841791,0.5226352,-0.5302692,0.13237643,0.024925219,0.12062522,0.12923783,0.37255424,0.16449331,0.07591742,0.36337984,0.4577855,0.3229696,0.3001401,-0.08637983,0.11424966,1.0,-0.019390803,0.24734156,0.2971524,0.09302973,0.33139184,-0.03520349,0.14710154,-0.008269395,-0.13407253],[0.64714676,0.8733794,0.87604743,0.79699796,0.47626945,0.7143968,0.6557071,0.77659255,0.59897554,0.46951726,0.61610323,0.6222675,0.54511577,0.6661307,-0.4788325,0.27927712,0.8376209,-0.2598565,0.38306105,-0.40779045,0.73512244,-0.2756399,0.78449905,-0.32674855,0.55373913,0.71342415,0.3923285,0.5671245,0.7271848,0.48139858,0.6495233,-0.4995095,-0.43264586,-0.21986666,-0.3249345,0.7411114,0.74582446,-0.28013775,0.7047078,0.8028626,0.7539341,-0.04380743,0.77763546,-0.12808387,-0.09325623,-0.4991385,0.77260524,0.57892656,0.3401558,-0.019390803,1.0,0.747822,0.4960184,0.89631444,0.7552005,0.90704215,0.798917,0.7280073,0.6716306],[0.745528,0.62304384,0.8725082,0.66885847,0.7019157,0.56459993,0.8147652,0.47023204,0.25326467,0.55034125,0.28456765,0.33347034,0.77343655,0.40540025,-0.61225843,0.36978966,0.81440437,-0.63249755,0.5647642,-0.37961903,0.7096189,0.0076930714,0.6130658,-0.19851953,0.2651171,0.5582189,0.27512106,0.21568754,0.61001,0.68455875,0.7962281,-0.552209,-0.26578456,-0.34016058,0.0023599432,0.38009,0.74041754,-0.610513,0.45045874,0.6513614,0.7439307,0.0054263724,0.64691275,0.1378292,-0.012836514,-0.34688324,0.87696403,0.28237978,0.10060946,0.24734156,0.747822,1.0,0.7477569,0.88867956,0.734252,0.65862733,0.83739495,0.72928035,0.54967403],[0.78674096,0.40130612,0.67870986,0.65668225,0.75054604,0.50267226,0.8130613,0.39361027,0.16644451,0.1298122,0.34441787,0.30512357,0.73421395,0.38572758,-0.5175591,0.18282084,0.5814817,-0.3974988,0.5745069,-0.31086713,0.6842787,-0.17240639,0.61398566,-0.36001346,0.29135168,0.6439204,0.4437748,0.17354833,0.66125566,0.5891308,0.6858062,-0.3665417,-0.43264288,-0.42963845,-0.21473409,0.26369488,0.7501621,-0.50277823,0.5147752,0.55109966,0.7062707,-0.042555623,0.43615785,-0.040916525,-0.27498764,-0.45502225,0.8096533,0.41234142,0.11136108,0.2971524,0.4960184,0.7477569,1.0,0.66860235,0.6772649,0.56095165,0.7757571,0.51513946,0.58873296],[0.7657164,0.7587812,0.9538096,0.8088129,0.69247115,0.7635903,0.7725559,0.74762505,0.4927377,0.51482254,0.5712483,0.5323781,0.7060647,0.5927705,-0.61492884,0.27217218,0.8908815,-0.46438867,0.44807172,-0.475316,0.7708339,-0.20652287,0.77975976,-0.3315268,0.42343318,0.71768224,0.36231497,0.31690857,0.7094861,0.5978697,0.7143718,-0.56716734,-0.42317188,-0.30855742,-0.24167964,0.6186886,0.8025865,-0.4538242,0.681253,0.74515575,0.80047756,-0.058529127,0.7833701,-0.04739165,-0.10394677,-0.4703914,0.86098504,0.5234964,0.1972037,0.09302973,0.89631444,0.88867956,0.66860235,1.0,0.7981468,0.8646371,0.88205796,0.7187602,0.6197323],[0.8877556,0.5647331,0.8160902,0.869785,0.71858037,0.83127373,0.9066645,0.66064066,0.31304353,0.27538273,0.6710171,0.59127516,0.82040584,0.53155684,-0.48433304,0.1470195,0.8217458,-0.4060657,0.70306927,-0.459958,0.854459,-0.3602485,0.8756379,-0.31524345,0.5400769,0.8529206,0.52126163,0.2892241,0.8148663,0.6525143,0.7634444,-0.327873,-0.49881518,-0.42851216,-0.30173042,0.4288702,0.8692896,-0.33934227,0.7996004,0.7816804,0.8721507,0.04299249,0.6264107,-0.21135876,-0.14096986,-0.5420374,0.8834208,0.6827003,0.3534967,0.33139184,0.7552005,0.734252,0.6772649,0.7981468,1.0,0.81885105,0.883546,0.61167586,0.69447464],[0.73371565,0.7351123,0.8664086,0.90416986,0.5469275,0.83703613,0.687803,0.8993837,0.6822758,0.27007833,0.8091734,0.71312034,0.5909737,0.78983235,-0.58539957,0.16126084,0.8194901,-0.19770119,0.3891138,-0.64805746,0.8170181,-0.57995343,0.9367645,-0.50624406,0.6871155,0.87586296,0.54250973,0.5204065,0.86998147,0.40706792,0.558725,-0.42751363,-0.71092635,-0.23260532,-0.6162641,0.8098631,0.86536413,-0.2669844,0.8807669,0.7823335,0.7829184,-0.14042124,0.81032354,-0.39658162,-0.2972398,-0.7724576,0.78659064,0.78458786,0.37759402,-0.03520349,0.90704215,0.65862733,0.56095165,0.8646371,0.81885105,1.0,0.85537136,0.5744853,0.7738363],[0.89298344,0.6208725,0.8953482,0.8255578,0.76728976,0.802315,0.83577585,0.6987835,0.46844104,0.2000826,0.5707059,0.57521576,0.7217976,0.6589832,-0.70447683,0.17113961,0.77878255,-0.33873802,0.62497693,-0.5875509,0.86639076,-0.4360067,0.8474536,-0.5560694,0.59382087,0.8304064,0.62082815,0.27927503,0.8753159,0.60685027,0.73993355,-0.35740337,-0.657949,-0.38893273,-0.43211213,0.5513036,0.9098887,-0.5113128,0.7485782,0.7051194,0.85312265,-0.06220045,0.6671735,-0.28787377,-0.38197145,-0.6980843,0.92721075,0.6048779,0.26573092,0.14710154,0.798917,0.83739495,0.7757571,0.88205796,0.883546,0.85537136,1.0,0.6760717,0.7269305],[0.47744948,0.72922456,0.76085335,0.6111455,0.3580441,0.52318305,0.55648744,0.39217022,0.37899664,0.5611594,0.24681993,0.29735145,0.45147568,0.4818474,-0.44943044,0.2606407,0.6991858,-0.38607877,0.43250883,-0.1337413,0.47875616,0.010292069,0.512672,-0.11102861,0.39985222,0.49996868,0.35741648,0.45657817,0.6233496,0.5330623,0.8476324,-0.39656878,-0.14959693,-0.118990615,-0.07763109,0.49391216,0.61835265,-0.48228297,0.35518655,0.7528023,0.6073813,0.07427881,0.37268642,0.13402939,-0.025296168,-0.3003498,0.7126494,0.30140465,0.2609661,-0.008269395,0.7280073,0.72928035,0.51513946,0.7187602,0.61167586,0.5744853,0.6760717,1.0,0.64245105],[0.61937004,0.62539,0.6617986,0.7730746,0.3263615,0.6386252,0.6025029,0.6334217,0.49117452,0.1313603,0.5879455,0.7109743,0.4033771,0.7887759,-0.40725163,0.22353986,0.5036932,-0.03288105,0.43977407,-0.4306494,0.6453414,-0.48778394,0.76342577,-0.4170805,0.70407116,0.77254057,0.7284775,0.60045195,0.88121253,0.40351817,0.62035805,-0.17039502,-0.61691576,-0.15150033,-0.5954102,0.67131567,0.8066182,-0.39267606,0.6594419,0.6927458,0.65262634,0.17205271,0.39151216,-0.38900283,-0.47569084,-0.7232359,0.7644373,0.7146052,0.52931464,-0.13407253,0.6716306,0.54967403,0.58873296,0.6197323,0.69447464,0.7738363,0.7269305,0.64245105,1.0]],"^IDS":["ADEN-CH","AAL-GB","914-HK","APTV-US","ATHM-US","9888-HK","BAS-DE","BAYN-DE","BMY-US","BT.A-GB","BRBY-GB","CA-FR","CON-DE","4324-JP","ENI-IT","GSK-GB","4544-JP","HAL-US","161390-KR","HPE-US","INTC-US","105560-KR","KER-FR","AD-NL","KHC-US","LEA-US","LYB-US","M-US","MAN-US","7459-JP","MHK-US","TAP-US","NWG-GB","7731-JP","9404-JP","PFE-US","PUM-DE","REP-ES","6963-JP","SBH-US","005935-KR","SAN-FR","SESG-FR","055550-KR","GLE-FR","STAN-GB","SWK-US","UHR-CH","TX-US","6995-JP","VAL-ZA","VZ-US","VTRS-US","VOD-GB","VOW3-DE","WBA-US","WU-US","WLY-US","WPP-GB"],"DUMMY^FLOAT_ARRAY CORRELMATRIX=GET_FQL_ARRAY(IDS,'FG_PRICE(45961,45961-5AY,D,USD)');'FDS CODE - DO NOT DELETE'":"FDS CODE - DO NOT DELETE","DUMMY^STRING_ARRAY IDS=TICKER_LIST('ADEN-CH AAL-GB 914-HK APTV-US ATHM-US 9888-HK BAS-DE BAYN-DE BMY-US BT.A-GB BRBY-GB CA-FR CON-DE 4324-JP ENI-IT GSK-GB 4544-JP HAL-US 161390-KR HPE-US INTC-US 105560-KR KER-FR AD-NL KHC-US LEA-US LYB-US M-US MAN-US 7459-JP MHK-US TAP-US NWG-GB 7731-JP 9404-JP PFE-US PUM-DE REP-ES 6963-JP SBH-US 005935-KR SAN-FR SESG-FR 055550-KR GLE-FR STAN-GB SWK-US UHR-CH TX-US 6995-JP VAL-ZA VZ-US VTRS-US VOD-GB VOW3-DE WBA-US WU-US WLY-US WPP-GB');\"FDS CODE - DO NOT DELETE\"":"FDS CODE - DO NOT DELETE","DUMMY^PROPER(\"CORRELATION OF DAILY DATA BETWEEN \") + FG_DATE(45961-5AY) + LOWERCASE(\" AND \") + FG_DATE(45961) + LOWERCASE(\":\")":"Correlation Of Daily Data Between 10/30/2020 and 10/31/2025:","ADEN-CH^FG_COMPANY_NAME":"Adecco Group AG","AAL-GB^FG_COMPANY_NAME":"Anglo American plc","914-HK^FG_COMPANY_NAME":"Anhui Conch Cement Company Limited Class H","APTV-US^FG_COMPANY_NAME":"Aptiv PLC","ATHM-US^FG_COMPANY_NAME":"Autohome Inc. Sponsored ADR Class A","9888-HK^FG_COMPANY_NAME":"Baidu, Inc. Class A","BAS-DE^FG_COMPANY_NAME":"BASF SE","BAYN-DE^FG_COMPANY_NAME":"Bayer AG","BMY-US^FG_COMPANY_NAME":"Bristol-Myers Squibb Company","BT.A-GB^FG_COMPANY_NAME":"BT Group plc","BRBY-GB^FG_COMPANY_NAME":"Burberry Group plc","CA-FR^FG_COMPANY_NAME":"Carrefour SA","CON-DE^FG_COMPANY_NAME":"Continental AG","4324-JP^FG_COMPANY_NAME":"Dentsu Group Inc.","ENI-IT^FG_COMPANY_NAME":"Eni S.p.A.","GSK-GB^FG_COMPANY_NAME":"GSK plc","4544-JP^FG_COMPANY_NAME":"H.U.Group Holdings, Inc.","HAL-US^FG_COMPANY_NAME":"Halliburton Company","161390-KR^FG_COMPANY_NAME":"HANKOOK TIRE & TECHNOLOGY Co., Ltd.","HPE-US^FG_COMPANY_NAME":"Hewlett Packard Enterprise Co.","INTC-US^FG_COMPANY_NAME":"Intel Corporation","105560-KR^FG_COMPANY_NAME":"KB Financial Group Inc.","KER-FR^FG_COMPANY_NAME":"Kering SA","AD-NL^FG_COMPANY_NAME":"Koninklijke Ahold Delhaize N.V.","KHC-US^FG_COMPANY_NAME":"Kraft Heinz Company","LEA-US^FG_COMPANY_NAME":"Lear Corporation","LYB-US^FG_COMPANY_NAME":"LyondellBasell Industries NV","M-US^FG_COMPANY_NAME":"Macy's, Inc.","MAN-US^FG_COMPANY_NAME":"ManpowerGroup Inc.","7459-JP^FG_COMPANY_NAME":"MEDIPAL HOLDINGS Corporation","MHK-US^FG_COMPANY_NAME":"Mohawk Industries, Inc.","TAP-US^FG_COMPANY_NAME":"Molson Coors Beverage Company Class B","NWG-GB^FG_COMPANY_NAME":"NatWest Group Plc","7731-JP^FG_COMPANY_NAME":"Nikon Corp.","9404-JP^FG_COMPANY_NAME":"Nippon Television Holdings, Inc.","PFE-US^FG_COMPANY_NAME":"Pfizer Inc.","PUM-DE^FG_COMPANY_NAME":"PUMA SE","REP-ES^FG_COMPANY_NAME":"Repsol SA","6963-JP^FG_COMPANY_NAME":"ROHM Company Limited","SBH-US^FG_COMPANY_NAME":"Sally Beauty Holdings, Inc.","005935-KR^FG_COMPANY_NAME":"Samsung Electronics Co Ltd Pfd  Non-Voting","SAN-FR^FG_COMPANY_NAME":"Sanofi SA","SESG-FR^FG_COMPANY_NAME":"SES SA FDR (Class A)","055550-KR^FG_COMPANY_NAME":"Shinhan Financial Group Co., Ltd.","GLE-FR^FG_COMPANY_NAME":"Societe Generale S.A. Class A","STAN-GB^FG_COMPANY_NAME":"Standard Chartered PLC","SWK-US^FG_COMPANY_NAME":"Stanley Black & Decker, Inc.","UHR-CH^FG_COMPANY_NAME":"Swatch Group Ltd. Bearer","TX-US^FG_COMPANY_NAME":"Ternium S.A. Sponsored ADR","6995-JP^FG_COMPANY_NAME":"TOKAI RIKA CO., LTD.","VAL-ZA^FG_COMPANY_NAME":"Valterra Platinum Limited","VZ-US^FG_COMPANY_NAME":"Verizon Communications Inc.","VTRS-US^FG_COMPANY_NAME":"Viatris, Inc.","VOD-GB^FG_COMPANY_NAME":"Vodafone Group Public Limited Company","VOW3-DE^FG_COMPANY_NAME":"Volkswagen AG Pref","WBA-US^FG_COMPANY_NAME":"Walgreens Boots Alliance, Inc.","WU-US^FG_COMPANY_NAME":"Western Union Company","WLY-US^FG_COMPANY_NAME":"John Wiley & Sons, Inc. Class A","WPP-GB^FG_COMPANY_NAME":"WPP Plc"}]]></FdsFormulaCache>
</file>

<file path=customXml/itemProps1.xml><?xml version="1.0" encoding="utf-8"?>
<ds:datastoreItem xmlns:ds="http://schemas.openxmlformats.org/officeDocument/2006/customXml" ds:itemID="{FDDE2802-A550-4B42-9AE5-1E8D424D63DD}">
  <ds:schemaRefs>
    <ds:schemaRef ds:uri="urn:fdsformulacache"/>
  </ds:schemaRefs>
</ds:datastoreItem>
</file>

<file path=docMetadata/LabelInfo.xml><?xml version="1.0" encoding="utf-8"?>
<clbl:labelList xmlns:clbl="http://schemas.microsoft.com/office/2020/mipLabelMetadata">
  <clbl:label id="{ce06a806-128a-42b3-9b50-2719b8746adb}" enabled="1" method="Standard" siteId="{ff9b87e3-c548-4b3d-8782-7cf47b86c0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Correlation Matrix</vt:lpstr>
      <vt:lpstr>Backend</vt:lpstr>
      <vt:lpstr>Proof</vt:lpstr>
    </vt:vector>
  </TitlesOfParts>
  <Company>FactSet Research Systems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Barry Fortuna</dc:creator>
  <cp:lastModifiedBy>Ward, Meghan</cp:lastModifiedBy>
  <dcterms:created xsi:type="dcterms:W3CDTF">2017-11-20T14:02:05Z</dcterms:created>
  <dcterms:modified xsi:type="dcterms:W3CDTF">2025-11-30T21:39:37Z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=fdsSearchOrder">
    <vt:i4>0</vt:i4>
  </property>
  <property fmtid="{D5CDD505-2E9C-101B-9397-08002B2CF9AE}" pid="3" name="_AdHocReviewCycleID">
    <vt:i4>856424481</vt:i4>
  </property>
  <property fmtid="{D5CDD505-2E9C-101B-9397-08002B2CF9AE}" pid="4" name="_NewReviewCycle">
    <vt:lpwstr/>
  </property>
  <property fmtid="{D5CDD505-2E9C-101B-9397-08002B2CF9AE}" pid="5" name="_EmailSubject">
    <vt:lpwstr>Correlation Matrix</vt:lpwstr>
  </property>
  <property fmtid="{D5CDD505-2E9C-101B-9397-08002B2CF9AE}" pid="6" name="_AuthorEmail">
    <vt:lpwstr>mward@brownadvisory.com</vt:lpwstr>
  </property>
  <property fmtid="{D5CDD505-2E9C-101B-9397-08002B2CF9AE}" pid="7" name="_AuthorEmailDisplayName">
    <vt:lpwstr>Ward, Meghan</vt:lpwstr>
  </property>
  <property fmtid="{D5CDD505-2E9C-101B-9397-08002B2CF9AE}" pid="8" name="_PreviousAdHocReviewCycleID">
    <vt:i4>-470710312</vt:i4>
  </property>
  <property fmtid="{D5CDD505-2E9C-101B-9397-08002B2CF9AE}" pid="9" name="_ReviewingToolsShownOnce">
    <vt:lpwstr/>
  </property>
</Properties>
</file>