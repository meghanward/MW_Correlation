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corr\"/>
    </mc:Choice>
  </mc:AlternateContent>
  <xr:revisionPtr revIDLastSave="0" documentId="8_{CF46F7A4-15BE-4763-88BC-EA62617F5E47}" xr6:coauthVersionLast="47" xr6:coauthVersionMax="47" xr10:uidLastSave="{00000000-0000-0000-0000-000000000000}"/>
  <bookViews>
    <workbookView xWindow="-57720" yWindow="5385" windowWidth="29040" windowHeight="175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 a="1"/>
  <c r="D7" i="4" a="1"/>
  <c r="BD29" i="1" a="1"/>
  <c r="D20" i="4" l="1"/>
  <c r="D34" i="4"/>
  <c r="D48" i="4"/>
  <c r="D62" i="4"/>
  <c r="D76" i="4"/>
  <c r="D90" i="4"/>
  <c r="D104" i="4"/>
  <c r="D118" i="4"/>
  <c r="D132" i="4"/>
  <c r="D146" i="4"/>
  <c r="D160" i="4"/>
  <c r="D174" i="4"/>
  <c r="D188" i="4"/>
  <c r="D202" i="4"/>
  <c r="D216" i="4"/>
  <c r="D230" i="4"/>
  <c r="D244" i="4"/>
  <c r="D167" i="4"/>
  <c r="D251" i="4"/>
  <c r="D14" i="4"/>
  <c r="D154" i="4"/>
  <c r="D113" i="4"/>
  <c r="D225" i="4"/>
  <c r="D100" i="4"/>
  <c r="D170" i="4"/>
  <c r="D254" i="4"/>
  <c r="D59" i="4"/>
  <c r="D157" i="4"/>
  <c r="D7" i="4"/>
  <c r="D21" i="4"/>
  <c r="D35" i="4"/>
  <c r="D49" i="4"/>
  <c r="D63" i="4"/>
  <c r="D77" i="4"/>
  <c r="D91" i="4"/>
  <c r="D105" i="4"/>
  <c r="D119" i="4"/>
  <c r="D133" i="4"/>
  <c r="D147" i="4"/>
  <c r="D161" i="4"/>
  <c r="D175" i="4"/>
  <c r="D189" i="4"/>
  <c r="D203" i="4"/>
  <c r="D217" i="4"/>
  <c r="D231" i="4"/>
  <c r="D245" i="4"/>
  <c r="D9" i="4"/>
  <c r="D37" i="4"/>
  <c r="D65" i="4"/>
  <c r="D93" i="4"/>
  <c r="D121" i="4"/>
  <c r="D149" i="4"/>
  <c r="D177" i="4"/>
  <c r="D219" i="4"/>
  <c r="D68" i="4"/>
  <c r="D152" i="4"/>
  <c r="D222" i="4"/>
  <c r="D55" i="4"/>
  <c r="D139" i="4"/>
  <c r="D209" i="4"/>
  <c r="D112" i="4"/>
  <c r="D210" i="4"/>
  <c r="D43" i="4"/>
  <c r="D127" i="4"/>
  <c r="D197" i="4"/>
  <c r="D44" i="4"/>
  <c r="D114" i="4"/>
  <c r="D198" i="4"/>
  <c r="D31" i="4"/>
  <c r="D8" i="4"/>
  <c r="D22" i="4"/>
  <c r="D36" i="4"/>
  <c r="D50" i="4"/>
  <c r="D64" i="4"/>
  <c r="D78" i="4"/>
  <c r="D92" i="4"/>
  <c r="D106" i="4"/>
  <c r="D120" i="4"/>
  <c r="D134" i="4"/>
  <c r="D148" i="4"/>
  <c r="D162" i="4"/>
  <c r="D176" i="4"/>
  <c r="D190" i="4"/>
  <c r="D204" i="4"/>
  <c r="D218" i="4"/>
  <c r="D232" i="4"/>
  <c r="D246" i="4"/>
  <c r="D23" i="4"/>
  <c r="D51" i="4"/>
  <c r="D79" i="4"/>
  <c r="D107" i="4"/>
  <c r="D135" i="4"/>
  <c r="D163" i="4"/>
  <c r="D191" i="4"/>
  <c r="D205" i="4"/>
  <c r="D233" i="4"/>
  <c r="D54" i="4"/>
  <c r="D138" i="4"/>
  <c r="D208" i="4"/>
  <c r="D13" i="4"/>
  <c r="D97" i="4"/>
  <c r="D237" i="4"/>
  <c r="D84" i="4"/>
  <c r="D196" i="4"/>
  <c r="D57" i="4"/>
  <c r="D141" i="4"/>
  <c r="D239" i="4"/>
  <c r="D30" i="4"/>
  <c r="D128" i="4"/>
  <c r="D226" i="4"/>
  <c r="D17" i="4"/>
  <c r="D129" i="4"/>
  <c r="D247" i="4"/>
  <c r="D250" i="4"/>
  <c r="D41" i="4"/>
  <c r="D111" i="4"/>
  <c r="D153" i="4"/>
  <c r="D195" i="4"/>
  <c r="D42" i="4"/>
  <c r="D98" i="4"/>
  <c r="D168" i="4"/>
  <c r="D252" i="4"/>
  <c r="D29" i="4"/>
  <c r="D99" i="4"/>
  <c r="D183" i="4"/>
  <c r="D253" i="4"/>
  <c r="D16" i="4"/>
  <c r="D86" i="4"/>
  <c r="D184" i="4"/>
  <c r="D45" i="4"/>
  <c r="D115" i="4"/>
  <c r="D171" i="4"/>
  <c r="D10" i="4"/>
  <c r="D24" i="4"/>
  <c r="D38" i="4"/>
  <c r="D52" i="4"/>
  <c r="D66" i="4"/>
  <c r="D80" i="4"/>
  <c r="D94" i="4"/>
  <c r="D108" i="4"/>
  <c r="D122" i="4"/>
  <c r="D136" i="4"/>
  <c r="D150" i="4"/>
  <c r="D164" i="4"/>
  <c r="D178" i="4"/>
  <c r="D192" i="4"/>
  <c r="D206" i="4"/>
  <c r="D220" i="4"/>
  <c r="D234" i="4"/>
  <c r="D248" i="4"/>
  <c r="D25" i="4"/>
  <c r="D53" i="4"/>
  <c r="D81" i="4"/>
  <c r="D109" i="4"/>
  <c r="D137" i="4"/>
  <c r="D165" i="4"/>
  <c r="D193" i="4"/>
  <c r="D221" i="4"/>
  <c r="D249" i="4"/>
  <c r="D12" i="4"/>
  <c r="D96" i="4"/>
  <c r="D180" i="4"/>
  <c r="D83" i="4"/>
  <c r="D181" i="4"/>
  <c r="D56" i="4"/>
  <c r="D140" i="4"/>
  <c r="D224" i="4"/>
  <c r="D85" i="4"/>
  <c r="D169" i="4"/>
  <c r="D58" i="4"/>
  <c r="D156" i="4"/>
  <c r="D240" i="4"/>
  <c r="D87" i="4"/>
  <c r="D11" i="4"/>
  <c r="D39" i="4"/>
  <c r="D67" i="4"/>
  <c r="D95" i="4"/>
  <c r="D123" i="4"/>
  <c r="D151" i="4"/>
  <c r="D179" i="4"/>
  <c r="D207" i="4"/>
  <c r="D235" i="4"/>
  <c r="D26" i="4"/>
  <c r="D40" i="4"/>
  <c r="D82" i="4"/>
  <c r="D110" i="4"/>
  <c r="D124" i="4"/>
  <c r="D166" i="4"/>
  <c r="D194" i="4"/>
  <c r="D236" i="4"/>
  <c r="D27" i="4"/>
  <c r="D69" i="4"/>
  <c r="D125" i="4"/>
  <c r="D223" i="4"/>
  <c r="D28" i="4"/>
  <c r="D70" i="4"/>
  <c r="D126" i="4"/>
  <c r="D182" i="4"/>
  <c r="D238" i="4"/>
  <c r="D15" i="4"/>
  <c r="D71" i="4"/>
  <c r="D155" i="4"/>
  <c r="D211" i="4"/>
  <c r="D72" i="4"/>
  <c r="D142" i="4"/>
  <c r="D212" i="4"/>
  <c r="D73" i="4"/>
  <c r="D143" i="4"/>
  <c r="D18" i="4"/>
  <c r="D32" i="4"/>
  <c r="D46" i="4"/>
  <c r="D60" i="4"/>
  <c r="D74" i="4"/>
  <c r="D88" i="4"/>
  <c r="D102" i="4"/>
  <c r="D116" i="4"/>
  <c r="D130" i="4"/>
  <c r="D144" i="4"/>
  <c r="D158" i="4"/>
  <c r="D172" i="4"/>
  <c r="D186" i="4"/>
  <c r="D200" i="4"/>
  <c r="D214" i="4"/>
  <c r="D228" i="4"/>
  <c r="D242" i="4"/>
  <c r="D256" i="4"/>
  <c r="D19" i="4"/>
  <c r="D33" i="4"/>
  <c r="D47" i="4"/>
  <c r="D61" i="4"/>
  <c r="D213" i="4"/>
  <c r="D227" i="4"/>
  <c r="D101" i="4"/>
  <c r="D241" i="4"/>
  <c r="D243" i="4"/>
  <c r="D255" i="4"/>
  <c r="D257" i="4"/>
  <c r="D173" i="4"/>
  <c r="D187" i="4"/>
  <c r="D201" i="4"/>
  <c r="D75" i="4"/>
  <c r="D215" i="4"/>
  <c r="D89" i="4"/>
  <c r="D229" i="4"/>
  <c r="D103" i="4"/>
  <c r="D117" i="4"/>
  <c r="D131" i="4"/>
  <c r="D145" i="4"/>
  <c r="D159" i="4"/>
  <c r="D185" i="4"/>
  <c r="D199" i="4"/>
  <c r="C20" i="4"/>
  <c r="C34" i="4"/>
  <c r="C48" i="4"/>
  <c r="C62" i="4"/>
  <c r="C76" i="4"/>
  <c r="C90" i="4"/>
  <c r="C104" i="4"/>
  <c r="C118" i="4"/>
  <c r="C132" i="4"/>
  <c r="C146" i="4"/>
  <c r="C160" i="4"/>
  <c r="C174" i="4"/>
  <c r="C188" i="4"/>
  <c r="C202" i="4"/>
  <c r="C216" i="4"/>
  <c r="C230" i="4"/>
  <c r="C244" i="4"/>
  <c r="C56" i="4"/>
  <c r="C43" i="4"/>
  <c r="C169" i="4"/>
  <c r="C253" i="4"/>
  <c r="C72" i="4"/>
  <c r="C240" i="4"/>
  <c r="C87" i="4"/>
  <c r="C199" i="4"/>
  <c r="C7" i="4"/>
  <c r="C21" i="4"/>
  <c r="C35" i="4"/>
  <c r="C49" i="4"/>
  <c r="C63" i="4"/>
  <c r="C77" i="4"/>
  <c r="C91" i="4"/>
  <c r="C105" i="4"/>
  <c r="C119" i="4"/>
  <c r="C133" i="4"/>
  <c r="C147" i="4"/>
  <c r="C161" i="4"/>
  <c r="C175" i="4"/>
  <c r="C189" i="4"/>
  <c r="C203" i="4"/>
  <c r="C217" i="4"/>
  <c r="C231" i="4"/>
  <c r="C245" i="4"/>
  <c r="C23" i="4"/>
  <c r="C51" i="4"/>
  <c r="C79" i="4"/>
  <c r="C107" i="4"/>
  <c r="C121" i="4"/>
  <c r="C149" i="4"/>
  <c r="C163" i="4"/>
  <c r="C191" i="4"/>
  <c r="C219" i="4"/>
  <c r="C247" i="4"/>
  <c r="C180" i="4"/>
  <c r="C41" i="4"/>
  <c r="C167" i="4"/>
  <c r="C28" i="4"/>
  <c r="C168" i="4"/>
  <c r="C252" i="4"/>
  <c r="C57" i="4"/>
  <c r="C141" i="4"/>
  <c r="C197" i="4"/>
  <c r="C30" i="4"/>
  <c r="C114" i="4"/>
  <c r="C170" i="4"/>
  <c r="C226" i="4"/>
  <c r="C73" i="4"/>
  <c r="C143" i="4"/>
  <c r="C213" i="4"/>
  <c r="C8" i="4"/>
  <c r="C22" i="4"/>
  <c r="C36" i="4"/>
  <c r="C50" i="4"/>
  <c r="C64" i="4"/>
  <c r="C78" i="4"/>
  <c r="C92" i="4"/>
  <c r="C106" i="4"/>
  <c r="C120" i="4"/>
  <c r="C134" i="4"/>
  <c r="C148" i="4"/>
  <c r="C162" i="4"/>
  <c r="C176" i="4"/>
  <c r="C190" i="4"/>
  <c r="C204" i="4"/>
  <c r="C218" i="4"/>
  <c r="C232" i="4"/>
  <c r="C246" i="4"/>
  <c r="C37" i="4"/>
  <c r="C65" i="4"/>
  <c r="C93" i="4"/>
  <c r="C135" i="4"/>
  <c r="C177" i="4"/>
  <c r="C205" i="4"/>
  <c r="C233" i="4"/>
  <c r="C166" i="4"/>
  <c r="C69" i="4"/>
  <c r="C181" i="4"/>
  <c r="C70" i="4"/>
  <c r="C182" i="4"/>
  <c r="C71" i="4"/>
  <c r="C225" i="4"/>
  <c r="C86" i="4"/>
  <c r="C156" i="4"/>
  <c r="C59" i="4"/>
  <c r="C171" i="4"/>
  <c r="C9" i="4"/>
  <c r="C27" i="4"/>
  <c r="C83" i="4"/>
  <c r="C111" i="4"/>
  <c r="C139" i="4"/>
  <c r="C195" i="4"/>
  <c r="C237" i="4"/>
  <c r="C14" i="4"/>
  <c r="C112" i="4"/>
  <c r="C140" i="4"/>
  <c r="C196" i="4"/>
  <c r="C238" i="4"/>
  <c r="C29" i="4"/>
  <c r="C113" i="4"/>
  <c r="C183" i="4"/>
  <c r="C44" i="4"/>
  <c r="C128" i="4"/>
  <c r="C212" i="4"/>
  <c r="C31" i="4"/>
  <c r="C129" i="4"/>
  <c r="C185" i="4"/>
  <c r="C255" i="4"/>
  <c r="C10" i="4"/>
  <c r="C24" i="4"/>
  <c r="C38" i="4"/>
  <c r="C52" i="4"/>
  <c r="C66" i="4"/>
  <c r="C80" i="4"/>
  <c r="C94" i="4"/>
  <c r="C108" i="4"/>
  <c r="C122" i="4"/>
  <c r="C136" i="4"/>
  <c r="C150" i="4"/>
  <c r="C164" i="4"/>
  <c r="C178" i="4"/>
  <c r="C192" i="4"/>
  <c r="C206" i="4"/>
  <c r="C220" i="4"/>
  <c r="C234" i="4"/>
  <c r="C248" i="4"/>
  <c r="C151" i="4"/>
  <c r="C26" i="4"/>
  <c r="C96" i="4"/>
  <c r="C124" i="4"/>
  <c r="C152" i="4"/>
  <c r="C194" i="4"/>
  <c r="C222" i="4"/>
  <c r="C13" i="4"/>
  <c r="C125" i="4"/>
  <c r="C223" i="4"/>
  <c r="C84" i="4"/>
  <c r="C154" i="4"/>
  <c r="C210" i="4"/>
  <c r="C85" i="4"/>
  <c r="C239" i="4"/>
  <c r="C58" i="4"/>
  <c r="C198" i="4"/>
  <c r="C45" i="4"/>
  <c r="C227" i="4"/>
  <c r="C11" i="4"/>
  <c r="C25" i="4"/>
  <c r="C39" i="4"/>
  <c r="C53" i="4"/>
  <c r="C67" i="4"/>
  <c r="C81" i="4"/>
  <c r="C95" i="4"/>
  <c r="C109" i="4"/>
  <c r="C123" i="4"/>
  <c r="C137" i="4"/>
  <c r="C165" i="4"/>
  <c r="C179" i="4"/>
  <c r="C193" i="4"/>
  <c r="C207" i="4"/>
  <c r="C221" i="4"/>
  <c r="C235" i="4"/>
  <c r="C249" i="4"/>
  <c r="C12" i="4"/>
  <c r="C40" i="4"/>
  <c r="C54" i="4"/>
  <c r="C68" i="4"/>
  <c r="C82" i="4"/>
  <c r="C110" i="4"/>
  <c r="C138" i="4"/>
  <c r="C208" i="4"/>
  <c r="C236" i="4"/>
  <c r="C250" i="4"/>
  <c r="C55" i="4"/>
  <c r="C97" i="4"/>
  <c r="C153" i="4"/>
  <c r="C209" i="4"/>
  <c r="C251" i="4"/>
  <c r="C42" i="4"/>
  <c r="C98" i="4"/>
  <c r="C126" i="4"/>
  <c r="C224" i="4"/>
  <c r="C15" i="4"/>
  <c r="C99" i="4"/>
  <c r="C127" i="4"/>
  <c r="C155" i="4"/>
  <c r="C211" i="4"/>
  <c r="C16" i="4"/>
  <c r="C100" i="4"/>
  <c r="C142" i="4"/>
  <c r="C184" i="4"/>
  <c r="C254" i="4"/>
  <c r="C17" i="4"/>
  <c r="C115" i="4"/>
  <c r="C157" i="4"/>
  <c r="C241" i="4"/>
  <c r="C101" i="4"/>
  <c r="C18" i="4"/>
  <c r="C32" i="4"/>
  <c r="C46" i="4"/>
  <c r="C60" i="4"/>
  <c r="C74" i="4"/>
  <c r="C88" i="4"/>
  <c r="C102" i="4"/>
  <c r="C116" i="4"/>
  <c r="C130" i="4"/>
  <c r="C144" i="4"/>
  <c r="C158" i="4"/>
  <c r="C172" i="4"/>
  <c r="C186" i="4"/>
  <c r="C200" i="4"/>
  <c r="C214" i="4"/>
  <c r="C228" i="4"/>
  <c r="C242" i="4"/>
  <c r="C256" i="4"/>
  <c r="C19" i="4"/>
  <c r="C33" i="4"/>
  <c r="C47" i="4"/>
  <c r="C61" i="4"/>
  <c r="C75" i="4"/>
  <c r="C89" i="4"/>
  <c r="C103" i="4"/>
  <c r="C117" i="4"/>
  <c r="C131" i="4"/>
  <c r="C145" i="4"/>
  <c r="C159" i="4"/>
  <c r="C173" i="4"/>
  <c r="C187" i="4"/>
  <c r="C201" i="4"/>
  <c r="C215" i="4"/>
  <c r="C229" i="4"/>
  <c r="C243" i="4"/>
  <c r="C257" i="4"/>
  <c r="BD29" i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84" i="1" a="1"/>
  <c r="A84" i="1" l="1"/>
  <c r="A83" i="1" a="1"/>
  <c r="A83" i="1" l="1"/>
  <c r="A82" i="1" a="1"/>
  <c r="A82" i="1" l="1"/>
  <c r="A81" i="1" a="1"/>
  <c r="A81" i="1" l="1"/>
  <c r="A80" i="1" a="1"/>
  <c r="A80" i="1" l="1"/>
  <c r="A79" i="1" a="1"/>
  <c r="A79" i="1" l="1"/>
  <c r="A78" i="1" a="1"/>
  <c r="A78" i="1" l="1"/>
  <c r="A77" i="1" a="1"/>
  <c r="A77" i="1" l="1"/>
  <c r="A76" i="1" a="1"/>
  <c r="A76" i="1" l="1"/>
  <c r="A75" i="1" a="1"/>
  <c r="A75" i="1" l="1"/>
  <c r="A74" i="1" a="1"/>
  <c r="A74" i="1" l="1"/>
  <c r="A73" i="1" a="1"/>
  <c r="A73" i="1" l="1"/>
  <c r="A72" i="1" a="1"/>
  <c r="A72" i="1" l="1"/>
  <c r="A71" i="1" a="1"/>
  <c r="A71" i="1" l="1"/>
  <c r="A70" i="1" a="1"/>
  <c r="A70" i="1" l="1"/>
  <c r="A69" i="1" a="1"/>
  <c r="A69" i="1" l="1"/>
  <c r="A68" i="1" a="1"/>
  <c r="A68" i="1" l="1"/>
  <c r="A67" i="1" a="1"/>
  <c r="A67" i="1" l="1"/>
  <c r="A66" i="1" a="1"/>
  <c r="A66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B7" i="4" a="1"/>
  <c r="B7" i="4" l="1"/>
  <c r="A1" i="4" a="1"/>
  <c r="A1" i="4" l="1"/>
  <c r="BI29" i="1" a="1"/>
  <c r="BI29" i="1" l="1"/>
  <c r="BH29" i="1" a="1"/>
  <c r="BH29" i="1" l="1"/>
  <c r="BG29" i="1" a="1"/>
  <c r="BG29" i="1" l="1"/>
  <c r="BF29" i="1" a="1"/>
  <c r="BF29" i="1" l="1"/>
  <c r="BE29" i="1" a="1"/>
  <c r="BE29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89" i="1" a="1"/>
  <c r="A89" i="1" l="1"/>
  <c r="A88" i="1" a="1"/>
  <c r="A88" i="1" l="1"/>
  <c r="A87" i="1" a="1"/>
  <c r="A87" i="1" l="1"/>
  <c r="A86" i="1" a="1"/>
  <c r="A86" i="1" l="1"/>
  <c r="A85" i="1" a="1"/>
  <c r="A85" i="1" l="1"/>
  <c r="AK3" i="5" l="1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A40" i="5" l="1"/>
  <c r="A39" i="5"/>
  <c r="A41" i="5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C8EDF103-A3B1-4831-80A2-9EE4ABCF145C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Timestamp="1765880874"&gt;&lt;FQL&gt;&lt;Q&gt;ADEN-CH^CORREL(P_PRICE_RETURNS(0,45961,45961-1AY,D,USD),VALUE('9404-JP',P_PRICE_RETURNS(0,45961,45961-1AY,D,USD)))&lt;/Q&gt;&lt;R&gt;1&lt;/R&gt;&lt;C&gt;1&lt;/C&gt;&lt;D xsi:type="xsd:double"&gt;0.175435631069165&lt;/D&gt;&lt;/FQL&gt;&lt;FQL&gt;&lt;Q&gt;9404-JP^P_PRICE_RETURNS(0,45961,45961-1AY,D,USD)&lt;/Q&gt;&lt;R&gt;251&lt;/R&gt;&lt;C&gt;1&lt;/C&gt;&lt;D xsi:type="xsd:double"&gt;1.481235&lt;/D&gt;&lt;D xsi:type="xsd:double"&gt;-1.7723382&lt;/D&gt;&lt;D xsi:type="xsd:double"&gt;-1.3668656&lt;/D&gt;&lt;D xsi:type="xsd:double"&gt;-0.25761127&lt;/D&gt;&lt;D xsi:type="xsd:double"&gt;0.13417006&lt;/D&gt;&lt;D xsi:type="xsd:double"&gt;0.8019686&lt;/D&gt;&lt;D xsi:type="xsd:double"&gt;0.2981305&lt;/D&gt;&lt;D xsi:type="xsd:double"&gt;0.18209219&lt;/D&gt;&lt;D xsi:type="xsd:double"&gt;-0.67558885&lt;/D&gt;&lt;D xsi:type="xsd:double"&gt;1.9166231&lt;/D&gt;&lt;D xsi:type="xsd:double"&gt;-0.12831688&lt;/D&gt;&lt;D xsi:type="xsd:double"&gt;-0.06597638&lt;/D&gt;&lt;D xsi:type="xsd:double"&gt;-0.98713636&lt;/D&gt;&lt;D xsi:type="xsd:double"&gt;0.51168203&lt;/D&gt;&lt;D xsi:type="xsd:double"&gt;0.036096573&lt;/D&gt;&lt;D xsi:type="xsd:double"&gt;-2.2437215&lt;/D&gt;&lt;D xsi:type="xsd:double"&gt;-1.120019&lt;/D&gt;&lt;D xsi:type="xsd:double"&gt;-1.6994834&lt;/D&gt;&lt;D xsi:type="xsd:double"&gt;-0.7166922&lt;/D&gt;&lt;D xsi:type="xsd:double"&gt;0.47632456&lt;/D&gt;&lt;D xsi:type="xsd:double"&gt;0.8867264&lt;/D&gt;&lt;D xsi:type="xsd:double"&gt;-4.1393757&lt;/D&gt;&lt;D xsi:type="xsd:double"&gt;-0.8432746&lt;/D&gt;&lt;D xsi:type="xsd:double"&gt;1.1559725&lt;/D&gt;&lt;D xsi:type="xsd:double"&gt;-0.7544577&lt;/D&gt;&lt;D xsi:type="xsd:double"&gt;0.69429874&lt;/D&gt;&lt;D xsi:type="xsd:double"&gt;-0.73363185&lt;/D&gt;&lt;D xsi:type="xsd:double"&gt;-0.79580545&lt;/D&gt;&lt;D xsi:type="xsd:double"&gt;0.06767511&lt;/D&gt;&lt;D xsi:type="xsd:double"&gt;-0.81180334&lt;/D&gt;&lt;D xsi:type="xsd:double"&gt;-1.6031027&lt;/D&gt;&lt;D xsi:type="xsd:double"&gt;-1.3047695&lt;/D&gt;&lt;D xsi:type="xsd:double"&gt;-0.48071742&lt;/D&gt;&lt;D xsi:type="xsd:double"&gt;1.8997431&lt;/D&gt;&lt;D xsi:type="xsd:double"&gt;0.16957521&lt;/D&gt;&lt;D xsi:type="xsd:double"&gt;-2.3040473&lt;/D&gt;&lt;D xsi:type="xsd:double"&gt;0.052547455&lt;/D&gt;&lt;D xsi:type="xsd:double"&gt;-0.4991114&lt;/D&gt;&lt;D xsi:type="xsd:double"&gt;3.1282663&lt;/D&gt;&lt;D xsi:type="xsd:double"&gt;1.5260458&lt;/D&gt;&lt;D xsi:type="xsd:double"&gt;1.7557383&lt;/D&gt;&lt;D xsi:type="xsd:double"&gt;-0.020760298&lt;/D&gt;&lt;D xsi:type="xsd:double"&gt;-1.5769362&lt;/D&gt;&lt;D xsi:type="xsd:double"&gt;1.8613338&lt;/D&gt;&lt;D xsi:type="xsd:double"&gt;0.7067323&lt;/D&gt;&lt;D xsi:type="xsd:double"&gt;0.049853325&lt;/D&gt;&lt;D xsi:type="xsd:double"&gt;-0.03359914&lt;/D&gt;&lt;D xsi:type="xsd:double"&gt;-0.34198165&lt;/D&gt;&lt;D xsi:type="xsd:double"&gt;-1.4755607&lt;/D&gt;&lt;D xsi:type="xsd:double"&gt;1.8274188&lt;/D&gt;&lt;D xsi:type="xsd:double"&gt;-0.117468834&lt;/D&gt;&lt;D xsi:type="xsd:double"&gt;-0.70991516&lt;/D&gt;&lt;D xsi:type="xsd:double"&gt;3.76364&lt;/D&gt;&lt;D xsi:type="xsd:double"&gt;0.22422075&lt;/D&gt;&lt;D xsi:type="xsd:double"&gt;-0.27261972&lt;/D&gt;&lt;D xsi:type="xsd:double"&gt;-0.51832795&lt;/D&gt;&lt;D xsi:type="xsd:double"&gt;-0.18756986&lt;/D&gt;&lt;D xsi:type="xsd:double"&gt;2.6527286&lt;/D&gt;&lt;D xsi:type="xsd:double"&gt;-0.15534163&lt;/D&gt;&lt;D xsi:type="xsd:double"&gt;0.93574524&lt;/D&gt;&lt;D xsi:type="xsd:double"&gt;1.6974568&lt;/D&gt;&lt;D xsi:type="xsd:double"&gt;-0.24356246&lt;/D&gt;&lt;D xsi:type="xsd:double"&gt;3.1515002&lt;/D&gt;&lt;D xsi:type="xsd:double"&gt;0.7539034&lt;/D&gt;&lt;D xsi:type="xsd:double"&gt;7.5800896&lt;/D&gt;&lt;D xsi:type="xsd:double"&gt;-0.9763956&lt;/D&gt;&lt;D xsi:type="xsd:double"&gt;0.31455755&lt;/D&gt;&lt;D xsi:type="xsd:double"&gt;0.6591916&lt;/D&gt;&lt;D xsi:type="xsd:double"&gt;-2.4104536&lt;/D&gt;&lt;D xsi:type="xsd:double"&gt;-1.4399529&lt;/D&gt;&lt;D xsi:type="xsd:double"&gt;0.73361397&lt;/D&gt;&lt;D xsi:type="xsd:double"&gt;1.0497928&lt;/D&gt;&lt;D xsi:type="xsd:double"&gt;1.7580509&lt;/D&gt;&lt;D xsi:type="xsd:double"&gt;0.73262453&lt;/D&gt;&lt;D xsi:type="xsd:double"&gt;2.7627826&lt;/D&gt;&lt;D xsi:type="xsd:double"&gt;1.5826344&lt;/D&gt;&lt;D xsi:type="xsd:double"&gt;1.6598105&lt;/D&gt;&lt;D xsi:type="xsd:double"&gt;-0.0136733055&lt;/D&gt;&lt;D xsi:type="xsd:double"&gt;-0.37736893&lt;/D&gt;&lt;D xsi:type="xsd:double"&gt;-1.3950229&lt;/D&gt;&lt;D xsi:type="xsd:double"&gt;0.5967021&lt;/D&gt;&lt;D xsi:type="xsd:double"&gt;1.5718102&lt;/D&gt;&lt;D xsi:type="xsd:double"&gt;-1.8043041&lt;/D&gt;&lt;D xsi:type="xsd:double"&gt;-1.1497021&lt;/D&gt;&lt;D xsi:type="xsd:double"&gt;-6.7846894&lt;/D&gt;&lt;D xsi:type="xsd:double"&gt;-2.9087782&lt;/D&gt;&lt;D xsi:type="xsd:double"&gt;0.54872036&lt;/D&gt;&lt;D xsi:type="xsd:double"&gt;2.011919&lt;/D&gt;&lt;D xsi:type="xsd:double"&gt;-0.96343756&lt;/D&gt;&lt;D xsi:type="xsd:double"&gt;2.2975087&lt;/D&gt;&lt;D xsi:type="xsd:double"&gt;-1.1334777&lt;/D&gt;&lt;D xsi:type="xsd:double"&gt;1.6259193&lt;/D&gt;&lt;D xsi:type="xsd:double"&gt;-0.059765577&lt;/D&gt;&lt;D xsi:type="xsd:double"&gt;-1.7330348&lt;/D&gt;&lt;D xsi:type="xsd:double"&gt;3.0294418&lt;/D&gt;&lt;D xsi:type="xsd:double"&gt;-2.9973567&lt;/D&gt;&lt;D xsi:type="xsd:double"&gt;2.2840858&lt;/D&gt;&lt;D xsi:type="xsd:double"&gt;-0.27056336&lt;/D&gt;&lt;D xsi:type="xsd:double"&gt;0.82832575&lt;/D&gt;&lt;D xsi:type="xsd:double"&gt;0.0034570694&lt;/D&gt;&lt;D xsi:type="xsd:double"&gt;-0.7001221&lt;/D&gt;&lt;D xsi:type="xsd:double"&gt;0.2524376&lt;/D&gt;&lt;D xsi:type="xsd:double"&gt;-0.97314715&lt;/D&gt;&lt;D xsi:type="xsd:double"&gt;-1.0030568&lt;/D&gt;&lt;D xsi:type="xsd:double"&gt;0.1654625&lt;/D&gt;&lt;D xsi:type="xsd:double"&gt;-1.5132248&lt;/D&gt;&lt;D xsi:type="xsd:double"&gt;1.0641098&lt;/D&gt;&lt;D xsi:type="xsd:double"&gt;-0.61782&lt;/D&gt;&lt;D xsi:type="xsd:double"&gt;0.49780607&lt;/D&gt;&lt;D xsi:type="xsd:double"&gt;-0.42893887&lt;/D&gt;&lt;D xsi:type="xsd:double"&gt;0.36110878&lt;/D&gt;&lt;D xsi:type="xsd:double"&gt;4.206109&lt;/D&gt;&lt;D xsi:type="xsd:double"&gt;-1.5025437&lt;/D&gt;&lt;D xsi:type="xsd:double"&gt;1.6119599&lt;/D&gt;&lt;D xsi:type="xsd:double"&gt;-1.0647476&lt;/D&gt;&lt;D xsi:type="xsd:double"&gt;1.0231018&lt;/D&gt;&lt;D xsi:type="xsd:double"&gt;3.2929778&lt;/D&gt;&lt;D xsi:type="xsd:double"&gt;-1.5240788&lt;/D&gt;&lt;D xsi:type="xsd:double"&gt;-2.1904945&lt;/D&gt;&lt;D xsi:type="xsd:double"&gt;-1.9888937&lt;/D&gt;&lt;D xsi:type="xsd:double"&gt;0.19302368&lt;/D&gt;&lt;D xsi:type="xsd:double"&gt;-1.8080354&lt;/D&gt;&lt;D xsi:type="xsd:double"&gt;-0.6916046&lt;/D&gt;&lt;D xsi:type="xsd:double"&gt;0.85681677&lt;/D&gt;&lt;D xsi:type="xsd:double"&gt;0.6510854&lt;/D&gt;&lt;D xsi:type="xsd:double"&gt;0.15997887&lt;/D&gt;&lt;D xsi:type="xsd:double"&gt;-0.3385365&lt;/D&gt;&lt;D xsi:type="xsd:double"&gt;-2.234888&lt;/D&gt;&lt;D xsi:type="xsd:double"&gt;-0.21952987&lt;/D&gt;&lt;D xsi:type="xsd:double"&gt;0.3406644&lt;/D&gt;&lt;D xsi:type="xsd:double"&gt;0.7229686&lt;/D&gt;&lt;D xsi:type="xsd:double"&gt;0.052440166&lt;/D&gt;&lt;D xsi:type="xsd:double"&gt;-4.1006384&lt;/D&gt;&lt;D xsi:type="xsd:double"&gt;-2.4164617&lt;/D&gt;&lt;D xsi:type="xsd:double"&gt;1.4749885&lt;/D&gt;&lt;D xsi:type="xsd:double"&gt;8.949018&lt;/D&gt;&lt;D xsi:type="xsd:double"&gt;1.8160105&lt;/D&gt;&lt;D xsi:type="xsd:double"&gt;0.8407712&lt;/D&gt;&lt;D xsi:type="xsd:double"&gt;-1.2182593&lt;/D&gt;&lt;D xsi:type="xsd:double"&gt;0.11342764&lt;/D&gt;&lt;D xsi:type="xsd:double"&gt;0.82086325&lt;/D&gt;&lt;D xsi:type="xsd:double"&gt;4.5773745&lt;/D&gt;&lt;D xsi:type="xsd:double"&gt;1.7007947&lt;/D&gt;&lt;D xsi:type="xsd:double"&gt;4.4513702&lt;/D&gt;&lt;D xsi:type="xsd:double"&gt;-7.946229&lt;/D&gt;&lt;D xsi:type="xsd:double"&gt;-1.8498302&lt;/D&gt;&lt;D xsi:type="xsd:double"&gt;4.583919&lt;/D&gt;&lt;D xsi:type="xsd:double"&gt;-1.0445118&lt;/D&gt;&lt;D xsi:type="xsd:double"&gt;2.021277&lt;/D&gt;&lt;D xsi:type="xsd:double"&gt;-1.8544674&lt;/D&gt;&lt;D xsi:type="xsd:double"&gt;-0.5105078&lt;/D&gt;&lt;D xsi:type="xsd:double"&gt;0.6385565&lt;/D&gt;&lt;D xsi:type="xsd:double"&gt;0.92761517&lt;/D&gt;&lt;D xsi:type="xsd:double"&gt;0.94558&lt;/D&gt;&lt;D xsi:type="xsd:double"&gt;-1.8028915&lt;/D&gt;&lt;D xsi:type="xsd:double"&gt;0.23998022&lt;/D&gt;&lt;D xsi:type="xsd:double"&gt;0.78594685&lt;/D&gt;&lt;D xsi:type="xsd:double"&gt;0.61182976&lt;/D&gt;&lt;D xsi:type="xsd:double"&gt;0.9709954&lt;/D&gt;&lt;D xsi:type="xsd:double"&gt;0.92287064&lt;/D&gt;&lt;D xsi:type="xsd:double"&gt;0.8942604&lt;/D&gt;&lt;D xsi:type="xsd:double"&gt;1.4496088&lt;/D&gt;&lt;D xsi:type="xsd:double"&gt;0.9902358&lt;/D&gt;&lt;D xsi:type="xsd:double"&gt;-0.7819116&lt;/D&gt;&lt;D xsi:type="xsd:double"&gt;-0.73822737&lt;/D&gt;&lt;D xsi:type="xsd:double"&gt;0.27401447&lt;/D&gt;&lt;D xsi:type="xsd:double"&gt;1.226902&lt;/D&gt;&lt;D xsi:type="xsd:double"&gt;0.33621788&lt;/D&gt;&lt;D xsi:type="xsd:double"&gt;1.56672&lt;/D&gt;&lt;D xsi:type="xsd:double"&gt;2.6606798&lt;/D&gt;&lt;D xsi:type="xsd:double"&gt;-1.9574285&lt;/D&gt;&lt;D xsi:type="xsd:double"&gt;-0.56954026&lt;/D&gt;&lt;D xsi:type="xsd:double"&gt;-0.31596422&lt;/D&gt;&lt;D xsi:type="xsd:double"&gt;0.9422302&lt;/D&gt;&lt;D xsi:type="xsd:double"&gt;0.17414093&lt;/D&gt;&lt;D xsi:type="xsd:double"&gt;-0.014728308&lt;/D&gt;&lt;D xsi:type="xsd:double"&gt;-0.029450655&lt;/D&gt;&lt;D xsi:type="xsd:double"&gt;-3.3567727&lt;/D&gt;&lt;D xsi:type="xsd:double"&gt;0.8058071&lt;/D&gt;&lt;D xsi:type="xsd:double"&gt;4.260063&lt;/D&gt;&lt;D xsi:type="xsd:double"&gt;0.94407797&lt;/D&gt;&lt;D xsi:type="xsd:double"&gt;-1.2669921&lt;/D&gt;&lt;D xsi:type="xsd:double"&gt;-0.5900979&lt;/D&gt;&lt;D xsi:type="xsd:double"&gt;0.46616793&lt;/D&gt;&lt;D xsi:type="xsd:double"&gt;-2.8025687&lt;/D&gt;&lt;D xsi:type="xsd:double"&gt;2.601719&lt;/D&gt;&lt;D xsi:type="xsd:double"&gt;1.821804&lt;/D&gt;&lt;D xsi:type="xsd:double"&gt;-0.2600491&lt;/D&gt;&lt;D xsi:type="xsd:double"&gt;-0.6712198&lt;/D&gt;&lt;D xsi:type="xsd:double"&gt;-1.8610477&lt;/D&gt;&lt;D xsi:type="xsd:double"&gt;1.0701776&lt;/D&gt;&lt;D xsi:type="xsd:double"&gt;5.194998&lt;/D&gt;&lt;D xsi:type="xsd:double"&gt;-1.4164984&lt;/D&gt;&lt;D xsi:type="xsd:double"&gt;4.5000553&lt;/D&gt;&lt;D xsi:type="xsd:double"&gt;1.7260075&lt;/D&gt;&lt;D xsi:type="xsd:double"&gt;-3.3037722&lt;/D&gt;&lt;D xsi:type="xsd:double"&gt;2.2237659&lt;/D&gt;&lt;D xsi:type="xsd:double"&gt;5.8926105&lt;/D&gt;&lt;D xsi:type="xsd:double"&gt;0.25064945&lt;/D&gt;&lt;D xsi:type="xsd:double"&gt;-1.0079563&lt;/D&gt;&lt;D xsi:type="xsd:double"&gt;1.94031&lt;/D&gt;&lt;D xsi:type="xsd:double"&gt;-2.6675344&lt;/D&gt;&lt;D xsi:type="xsd:double"&gt;0.0349164&lt;/D&gt;&lt;D xsi:type="xsd:double"&gt;-1.6273022&lt;/D&gt;&lt;D xsi:type="xsd:double"&gt;-1.0029137&lt;/D&gt;&lt;D xsi:type="xsd:double"&gt;-0.58232546&lt;/D&gt;&lt;D xsi:type="xsd:double"&gt;-2.5399923&lt;/D&gt;&lt;D xsi:type="xsd:double"&gt;-0.15565157&lt;/D&gt;&lt;D xsi:type="xsd:double"&gt;0.003182888&lt;/D&gt;&lt;D xsi:type="xsd:double"&gt;0.025439262&lt;/D&gt;&lt;D xsi:type="xsd:double"&gt;-1.4598429&lt;/D&gt;&lt;D xsi:type="xsd:double"&gt;-1.283598&lt;/D&gt;&lt;D xsi:type="xsd:double"&gt;0.42535067&lt;/D&gt;&lt;D xsi:type="xsd:double"&gt;-0.638926&lt;/D&gt;&lt;D xsi:type="xsd:double"&gt;0.23673773&lt;/D&gt;&lt;D xsi:type="xsd:double"&gt;3.4430265&lt;/D&gt;&lt;D xsi:type="xsd:double"&gt;2.2826076&lt;/D&gt;&lt;D xsi:type="xsd:double"&gt;-1.1404693&lt;/D&gt;&lt;D xsi:type="xsd:double"&gt;-1.548028&lt;/D&gt;&lt;D xsi:type="xsd:double"&gt;-0.096678734&lt;/D&gt;&lt;D xsi:type="xsd:double"&gt;-0.8207679&lt;/D&gt;&lt;D xsi:type="xsd:double"&gt;3.2298803&lt;/D&gt;&lt;D xsi:type="xsd:double"&gt;0.57940483&lt;/D&gt;&lt;D xsi:type="xsd:double"&gt;-1.1064708&lt;/D&gt;&lt;D xsi:type="xsd:double"&gt;-0.07624626&lt;/D&gt;&lt;D xsi:type="xsd:double"&gt;1.3765454&lt;/D&gt;&lt;D xsi:type="xsd:double"&gt;1.7265677&lt;/D&gt;&lt;D xsi:type="xsd:double"&gt;-2.5282443&lt;/D&gt;&lt;D xsi:type="xsd:double"&gt;2.3652792&lt;/D&gt;&lt;D xsi:type="xsd:double"&gt;2.1203876&lt;/D&gt;&lt;D xsi:type="xsd:double"&gt;2.0911932&lt;/D&gt;&lt;D xsi:type="xsd:double"&gt;1.955092&lt;/D&gt;&lt;D xsi:type="xsd:double"&gt;2.7080178&lt;/D&gt;&lt;D xsi:type="xsd:double"&gt;1.7489672&lt;/D&gt;&lt;D xsi:type="xsd:double"&gt;2.9685616&lt;/D&gt;&lt;D xsi:type="xsd:double"&gt;-0.08736849&lt;/D&gt;&lt;D xsi:type="xsd:double"&gt;-0.78862906&lt;/D&gt;&lt;D xsi:type="xsd:double"&gt;1.0450244&lt;/D&gt;&lt;D xsi:type="xsd:double"&gt;0.32998323&lt;/D&gt;&lt;D xsi:type="xsd:double"&gt;0.5688071&lt;/D&gt;&lt;D xsi:type="xsd:double"&gt;-0.62478185&lt;/D&gt;&lt;D xsi:type="xsd:double"&gt;-1.287508&lt;/D&gt;&lt;D xsi:type="xsd:double"&gt;-0.67641735&lt;/D&gt;&lt;D xsi:type="xsd:double"&gt;-1.9386232&lt;/D&gt;&lt;D xsi:type="xsd:double"&gt;-1.7586768&lt;/D&gt;&lt;D xsi:type="xsd:double"&gt;4.155123&lt;/D&gt;&lt;D xsi:type="xsd:double"&gt;-2.0589888&lt;/D&gt;&lt;D xsi:type="xsd:double"&gt;-0.12216568&lt;/D&gt;&lt;D xsi:type="xsd:double"&gt;0.631547&lt;/D&gt;&lt;D xsi:type="xsd:double"&gt;-3.2659888&lt;/D&gt;&lt;D xsi:type="xsd:double"&gt;1.3457298&lt;/D&gt;&lt;/FQL&gt;&lt;FQL&gt;&lt;Q&gt;ADEN-CH^P_PRICE_RETURNS(0,45961,45961-1AY,D,USD)&lt;/Q&gt;&lt;R&gt;251&lt;/R&gt;&lt;C&gt;1&lt;/C&gt;&lt;D xsi:type="xsd:double"&gt;1.8202305&lt;/D&gt;&lt;D xsi:type="xsd:double"&gt;-1.9320071&lt;/D&gt;&lt;D xsi:type="xsd:double"&gt;-1.0120809&lt;/D&gt;&lt;D xsi:type="xsd:double"&gt;0.026500225&lt;/D&gt;&lt;D xsi:type="xsd:double"&gt;-0.8556962&lt;/D&gt;&lt;D xsi:type="xsd:double"&gt;1.7183542&lt;/D&gt;&lt;D xsi:type="xsd:double"&gt;0.39188862&lt;/D&gt;&lt;D xsi:type="xsd:double"&gt;-5.203253&lt;/D&gt;&lt;D xsi:type="xsd:double"&gt;0.5062461&lt;/D&gt;&lt;D xsi:type="xsd:double"&gt;-1.3189375&lt;/D&gt;&lt;D xsi:type="xsd:double"&gt;-1.6785085&lt;/D&gt;&lt;D xsi:type="xsd:double"&gt;-0.79361796&lt;/D&gt;&lt;D xsi:type="xsd:double"&gt;1.8190145&lt;/D&gt;&lt;D xsi:type="xsd:double"&gt;-2.0232558&lt;/D&gt;&lt;D xsi:type="xsd:double"&gt;0.72711706&lt;/D&gt;&lt;D xsi:type="xsd:double"&gt;-2.1021903&lt;/D&gt;&lt;D xsi:type="xsd:double"&gt;4.0310264&lt;/D&gt;&lt;D xsi:type="xsd:double"&gt;2.0020366&lt;/D&gt;&lt;D xsi:type="xsd:double"&gt;-1.1036396&lt;/D&gt;&lt;D xsi:type="xsd:double"&gt;1.2773633&lt;/D&gt;&lt;D xsi:type="xsd:double"&gt;1.2650728&lt;/D&gt;&lt;D xsi:type="xsd:double"&gt;-0.92149377&lt;/D&gt;&lt;D xsi:type="xsd:double"&gt;3.4820557&lt;/D&gt;&lt;D xsi:type="xsd:double"&gt;-1.1042058&lt;/D&gt;&lt;D xsi:type="xsd:double"&gt;1.3941526&lt;/D&gt;&lt;D xsi:type="xsd:double"&gt;1.7757535&lt;/D&gt;&lt;D xsi:type="xsd:double"&gt;-2.6607454&lt;/D&gt;&lt;D xsi:type="xsd:double"&gt;5.1317334&lt;/D&gt;&lt;D xsi:type="xsd:double"&gt;0.846529&lt;/D&gt;&lt;D xsi:type="xsd:double"&gt;2.2218227&lt;/D&gt;&lt;D xsi:type="xsd:double"&gt;-1.2111604&lt;/D&gt;&lt;D xsi:type="xsd:double"&gt;-3.0165493&lt;/D&gt;&lt;D xsi:type="xsd:double"&gt;0.008118153&lt;/D&gt;&lt;D xsi:type="xsd:double"&gt;-4.1167736&lt;/D&gt;&lt;D xsi:type="xsd:double"&gt;-0.28595924&lt;/D&gt;&lt;D xsi:type="xsd:double"&gt;0.43821335&lt;/D&gt;&lt;D xsi:type="xsd:double"&gt;0.43091774&lt;/D&gt;&lt;D xsi:type="xsd:double"&gt;-1.2122452&lt;/D&gt;&lt;D xsi:type="xsd:double"&gt;-1.141268&lt;/D&gt;&lt;D xsi:type="xsd:double"&gt;-1.739949&lt;/D&gt;&lt;D xsi:type="xsd:double"&gt;-3.656298&lt;/D&gt;&lt;D xsi:type="xsd:double"&gt;0.10441542&lt;/D&gt;&lt;D xsi:type="xsd:double"&gt;1.808846&lt;/D&gt;&lt;D xsi:type="xsd:double"&gt;-6.6762924&lt;/D&gt;&lt;D xsi:type="xsd:double"&gt;0.8481741&lt;/D&gt;&lt;D xsi:type="xsd:double"&gt;0.5526066&lt;/D&gt;&lt;D xsi:type="xsd:double"&gt;-1.6266465&lt;/D&gt;&lt;D xsi:type="xsd:double"&gt;-3.1865835&lt;/D&gt;&lt;D xsi:type="xsd:double"&gt;-1.1515319&lt;/D&gt;&lt;D xsi:type="xsd:double"&gt;3.5834312&lt;/D&gt;&lt;D xsi:type="xsd:double"&gt;-1.8691659&lt;/D&gt;&lt;D xsi:type="xsd:double"&gt;-0.37709475&lt;/D&gt;&lt;D xsi:type="xsd:double"&gt;3.6943555&lt;/D&gt;&lt;D xsi:type="xsd:double"&gt;-0.9388864&lt;/D&gt;&lt;D xsi:type="xsd:double"&gt;-0.14839172&lt;/D&gt;&lt;D xsi:type="xsd:double"&gt;-0.6250739&lt;/D&gt;&lt;D xsi:type="xsd:double"&gt;0.123012066&lt;/D&gt;&lt;D xsi:type="xsd:double"&gt;-0.7132709&lt;/D&gt;&lt;D xsi:type="xsd:double"&gt;-1.8096983&lt;/D&gt;&lt;D xsi:type="xsd:double"&gt;1.7258286&lt;/D&gt;&lt;D xsi:type="xsd:double"&gt;5.689943&lt;/D&gt;&lt;D xsi:type="xsd:double"&gt;3.094411&lt;/D&gt;&lt;D xsi:type="xsd:double"&gt;-2.5939882&lt;/D&gt;&lt;D xsi:type="xsd:double"&gt;-3.3237576&lt;/D&gt;&lt;D xsi:type="xsd:double"&gt;0.6819129&lt;/D&gt;&lt;D xsi:type="xsd:double"&gt;-0.84120035&lt;/D&gt;&lt;D xsi:type="xsd:double"&gt;-0.80201626&lt;/D&gt;&lt;D xsi:type="xsd:double"&gt;-2.7853727&lt;/D&gt;&lt;D xsi:type="xsd:double"&gt;-1.0212958&lt;/D&gt;&lt;D xsi:type="xsd:double"&gt;2.6332617&lt;/D&gt;&lt;D xsi:type="xsd:double"&gt;1.6644716&lt;/D&gt;&lt;D xsi:type="xsd:double"&gt;1.6375422&lt;/D&gt;&lt;D xsi:type="xsd:double"&gt;-1.5266836&lt;/D&gt;&lt;D xsi:type="xsd:double"&gt;-1.1549652&lt;/D&gt;&lt;D xsi:type="xsd:double"&gt;2.1070123&lt;/D&gt;&lt;D xsi:type="xsd:double"&gt;0.7672787&lt;/D&gt;&lt;D xsi:type="xsd:double"&gt;-0.68259835&lt;/D&gt;&lt;D xsi:type="xsd:double"&gt;0.63385963&lt;/D&gt;&lt;D xsi:type="xsd:double"&gt;-0.37976503&lt;/D&gt;&lt;D xsi:type="xsd:double"&gt;-2.866006&lt;/D&gt;&lt;D xsi:type="xsd:double"&gt;1.7081141&lt;/D&gt;&lt;D xsi:type="xsd:double"&gt;1.2643695&lt;/D&gt;&lt;D xsi:type="xsd:double"&gt;1.7271757&lt;/D&gt;&lt;D xsi:type="xsd:double"&gt;-1.2218893&lt;/D&gt;&lt;D xsi:type="xsd:double"&gt;0.4683137&lt;/D&gt;&lt;D xsi:type="xsd:double"&gt;4.2440414&lt;/D&gt;&lt;D xsi:type="xsd:double"&gt;1.5427351&lt;/D&gt;&lt;D xsi:type="xsd:double"&gt;0.10634661&lt;/D&gt;&lt;D xsi:type="xsd:double"&gt;1.5831709&lt;/D&gt;&lt;D xsi:type="xsd:double"&gt;3.7000775&lt;/D&gt;&lt;D xsi:type="xsd:double"&gt;-1.8214643&lt;/D&gt;&lt;D xsi:type="xsd:double"&gt;4.596615&lt;/D&gt;&lt;D xsi:type="xsd:double"&gt;-1.4683545&lt;/D&gt;&lt;D xsi:type="xsd:double"&gt;-4.678625&lt;/D&gt;&lt;D xsi:type="xsd:double"&gt;-0.26899576&lt;/D&gt;&lt;D xsi:type="xsd:double"&gt;-0.68413615&lt;/D&gt;&lt;D xsi:type="xsd:double"&gt;2.299738&lt;/D&gt;&lt;D xsi:type="xsd:double"&gt;-2.040851&lt;/D&gt;&lt;D xsi:type="xsd:double"&gt;0.55880547&lt;/D&gt;&lt;D xsi:type="xsd:double"&gt;1.8869638&lt;/D&gt;&lt;D xsi:type="xsd:double"&gt;6.201601&lt;/D&gt;&lt;D xsi:type="xsd:double"&gt;0.19471645&lt;/D&gt;&lt;D xsi:type="xsd:double"&gt;-1.4799595&lt;/D&gt;&lt;D xsi:type="xsd:double"&gt;-0.91507435&lt;/D&gt;&lt;D xsi:type="xsd:double"&gt;0.1670599&lt;/D&gt;&lt;D xsi:type="xsd:double"&gt;-0.62628984&lt;/D&gt;&lt;D xsi:type="xsd:double"&gt;-1.0620654&lt;/D&gt;&lt;D xsi:type="xsd:double"&gt;1.7935991&lt;/D&gt;&lt;D xsi:type="xsd:double"&gt;0.18795729&lt;/D&gt;&lt;D xsi:type="xsd:double"&gt;-2.338767&lt;/D&gt;&lt;D xsi:type="xsd:double"&gt;2.5044322&lt;/D&gt;&lt;D xsi:type="xsd:double"&gt;-2.1053076&lt;/D&gt;&lt;D xsi:type="xsd:double"&gt;-2.2271454&lt;/D&gt;&lt;D xsi:type="xsd:double"&gt;-1.0249972&lt;/D&gt;&lt;D xsi:type="xsd:double"&gt;2.5246263&lt;/D&gt;&lt;D xsi:type="xsd:double"&gt;0.73723793&lt;/D&gt;&lt;D xsi:type="xsd:double"&gt;-1.3644278&lt;/D&gt;&lt;D xsi:type="xsd:double"&gt;-0.62660575&lt;/D&gt;&lt;D xsi:type="xsd:double"&gt;-1.7038167&lt;/D&gt;&lt;D xsi:type="xsd:double"&gt;0.23765564&lt;/D&gt;&lt;D xsi:type="xsd:double"&gt;3.5124898&lt;/D&gt;&lt;D xsi:type="xsd:double"&gt;0.21408796&lt;/D&gt;&lt;D xsi:type="xsd:double"&gt;10.768175&lt;/D&gt;&lt;D xsi:type="xsd:double"&gt;-1.6437471&lt;/D&gt;&lt;D xsi:type="xsd:double"&gt;0.11152029&lt;/D&gt;&lt;D xsi:type="xsd:double"&gt;-2.4099946&lt;/D&gt;&lt;D xsi:type="xsd:double"&gt;2.1313906&lt;/D&gt;&lt;D xsi:type="xsd:double"&gt;-1.2735009&lt;/D&gt;&lt;D xsi:type="xsd:double"&gt;-0.34104586&lt;/D&gt;&lt;D xsi:type="xsd:double"&gt;-1.2347639&lt;/D&gt;&lt;D xsi:type="xsd:double"&gt;1.355505&lt;/D&gt;&lt;D xsi:type="xsd:double"&gt;-0.62452555&lt;/D&gt;&lt;D xsi:type="xsd:double"&gt;-1.2060821&lt;/D&gt;&lt;D xsi:type="xsd:double"&gt;-1.0742009&lt;/D&gt;&lt;D xsi:type="xsd:double"&gt;0.6042242&lt;/D&gt;&lt;D xsi:type="xsd:double"&gt;1.5103698&lt;/D&gt;&lt;D xsi:type="xsd:double"&gt;-2.2681534&lt;/D&gt;&lt;D xsi:type="xsd:double"&gt;-0.9206176&lt;/D&gt;&lt;D xsi:type="xsd:double"&gt;1.0723472&lt;/D&gt;&lt;D xsi:type="xsd:double"&gt;2.8991342&lt;/D&gt;&lt;D xsi:type="xsd:double"&gt;0.55953264&lt;/D&gt;&lt;D xsi:type="xsd:double"&gt;5.933559&lt;/D&gt;&lt;D xsi:type="xsd:double"&gt;-3.6640167&lt;/D&gt;&lt;D xsi:type="xsd:double"&gt;2.600336&lt;/D&gt;&lt;D xsi:type="xsd:double"&gt;-8.54128&lt;/D&gt;&lt;D xsi:type="xsd:double"&gt;-5.7921705&lt;/D&gt;&lt;D xsi:type="xsd:double"&gt;-3.850311&lt;/D&gt;&lt;D xsi:type="xsd:double"&gt;-2.0392478&lt;/D&gt;&lt;D xsi:type="xsd:double"&gt;2.5143266&lt;/D&gt;&lt;D xsi:type="xsd:double"&gt;-3.639108&lt;/D&gt;&lt;D xsi:type="xsd:double"&gt;-0.3359139&lt;/D&gt;&lt;D xsi:type="xsd:double"&gt;0.7525563&lt;/D&gt;&lt;D xsi:type="xsd:double"&gt;1.4208674&lt;/D&gt;&lt;D xsi:type="xsd:double"&gt;-0.0371933&lt;/D&gt;&lt;D xsi:type="xsd:double"&gt;0.49551725&lt;/D&gt;&lt;D xsi:type="xsd:double"&gt;-5.5273056&lt;/D&gt;&lt;D xsi:type="xsd:double"&gt;-4.2259574&lt;/D&gt;&lt;D xsi:type="xsd:double"&gt;-0.9178877&lt;/D&gt;&lt;D xsi:type="xsd:double"&gt;3.746152&lt;/D&gt;&lt;D xsi:type="xsd:double"&gt;1.6869307&lt;/D&gt;&lt;D xsi:type="xsd:double"&gt;5.5975556&lt;/D&gt;&lt;D xsi:type="xsd:double"&gt;-1.2056231&lt;/D&gt;&lt;D xsi:type="xsd:double"&gt;0.4467845&lt;/D&gt;&lt;D xsi:type="xsd:double"&gt;-1.7571092&lt;/D&gt;&lt;D xsi:type="xsd:double"&gt;-0.15500784&lt;/D&gt;&lt;D xsi:type="xsd:double"&gt;-0.97758174&lt;/D&gt;&lt;D xsi:type="xsd:double"&gt;8.716213&lt;/D&gt;&lt;D xsi:type="xsd:double"&gt;8.651352&lt;/D&gt;&lt;D xsi:type="xsd:double"&gt;-2.2449255&lt;/D&gt;&lt;D xsi:type="xsd:double"&gt;1.0118127&lt;/D&gt;&lt;D xsi:type="xsd:double"&gt;-0.81043243&lt;/D&gt;&lt;D xsi:type="xsd:double"&gt;-4.904789&lt;/D&gt;&lt;D xsi:type="xsd:double"&gt;12.283432&lt;/D&gt;&lt;D xsi:type="xsd:double"&gt;-2.0190775&lt;/D&gt;&lt;D xsi:type="xsd:double"&gt;1.1461377&lt;/D&gt;&lt;D xsi:type="xsd:double"&gt;2.778399&lt;/D&gt;&lt;D xsi:type="xsd:double"&gt;2.8265595&lt;/D&gt;&lt;D xsi:type="xsd:double"&gt;-1.4927626&lt;/D&gt;&lt;D xsi:type="xsd:double"&gt;0.7553935&lt;/D&gt;&lt;D xsi:type="xsd:double"&gt;0.81305504&lt;/D&gt;&lt;D xsi:type="xsd:double"&gt;3.2638907&lt;/D&gt;&lt;D xsi:type="xsd:double"&gt;-2.648133&lt;/D&gt;&lt;D xsi:type="xsd:double"&gt;0.5936384&lt;/D&gt;&lt;D xsi:type="xsd:double"&gt;-0.6547153&lt;/D&gt;&lt;D xsi:type="xsd:double"&gt;-1.7019331&lt;/D&gt;&lt;D xsi:type="xsd:double"&gt;2.151084&lt;/D&gt;&lt;D xsi:type="xsd:double"&gt;-0.15878677&lt;/D&gt;&lt;D xsi:type="xsd:double"&gt;0.92834234&lt;/D&gt;&lt;D xsi:type="xsd:double"&gt;-0.49710274&lt;/D&gt;&lt;D xsi:type="xsd:double"&gt;-1.3539612&lt;/D&gt;&lt;D xsi:type="xsd:double"&gt;-0.97332597&lt;/D&gt;&lt;D xsi:type="xsd:double"&gt;0.9072542&lt;/D&gt;&lt;D xsi:type="xsd:double"&gt;-0.17931461&lt;/D&gt;&lt;D xsi:type="xsd:double"&gt;1.7988801&lt;/D&gt;&lt;D xsi:type="xsd:double"&gt;2.8790236&lt;/D&gt;&lt;D xsi:type="xsd:double"&gt;-0.8964479&lt;/D&gt;&lt;D xsi:type="xsd:double"&gt;-1.5830934&lt;/D&gt;&lt;D xsi:type="xsd:double"&gt;0.76494217&lt;/D&gt;&lt;D xsi:type="xsd:double"&gt;1.3931274&lt;/D&gt;&lt;D xsi:type="xsd:double"&gt;0.912869&lt;/D&gt;&lt;D xsi:type="xsd:double"&gt;2.3459792&lt;/D&gt;&lt;D xsi:type="xsd:double"&gt;0.46070814&lt;/D&gt;&lt;D xsi:type="xsd:double"&gt;0.7259011&lt;/D&gt;&lt;D xsi:type="xsd:double"&gt;-7.9059243&lt;/D&gt;&lt;D xsi:type="xsd:double"&gt;-1.4296114&lt;/D&gt;&lt;D xsi:type="xsd:double"&gt;-0.6185651&lt;/D&gt;&lt;D xsi:type="xsd:double"&gt;1.4539719&lt;/D&gt;&lt;D xsi:type="xsd:double"&gt;-0.34683347&lt;/D&gt;&lt;D xsi:type="xsd:double"&gt;-0.5050242&lt;/D&gt;&lt;D xsi:type="xsd:double"&gt;0.0441432&lt;/D&gt;&lt;D xsi:type="xsd:double"&gt;0.052917004&lt;/D&gt;&lt;D xsi:type="xsd:double"&gt;0.79630613&lt;/D&gt;&lt;D xsi:type="xsd:double"&gt;0.044429302&lt;/D&gt;&lt;D xsi:type="xsd:double"&gt;-0.08325577&lt;/D&gt;&lt;D xsi:type="xsd:double"&gt;-0.16320944&lt;/D&gt;&lt;D xsi:type="xsd:double"&gt;2.0448208&lt;/D&gt;&lt;D xsi:type="xsd:double"&gt;-3.1511366&lt;/D&gt;&lt;D xsi:type="xsd:double"&gt;-2.1087885&lt;/D&gt;&lt;D xsi:type="xsd:double"&gt;-1.0320604&lt;/D&gt;&lt;D xsi:type="xsd:double"&gt;-0.31320453&lt;/D&gt;&lt;D xsi:type="xsd:double"&gt;-0.9688854&lt;/D&gt;&lt;D xsi:type="xsd:double"&gt;-3.9256454&lt;/D&gt;&lt;D xsi:type="xsd:double"&gt;-1.6112328&lt;/D&gt;&lt;D xsi:type="xsd:double"&gt;-1.3604522&lt;/D&gt;&lt;D xsi:type="xsd:double"&gt;1.8821478&lt;/D&gt;&lt;D xsi:type="xsd:double"&gt;2.1742463&lt;/D&gt;&lt;D xsi:type="xsd:double"&gt;-0.24725795&lt;/D&gt;&lt;D xsi:type="xsd:double"&gt;1.1327386&lt;/D&gt;&lt;D xsi:type="xsd:double"&gt;-0.3130257&lt;/D&gt;&lt;D xsi:type="xsd:double"&gt;-0.43372512&lt;/D&gt;&lt;D xsi:type="xsd:double"&gt;-0.27164817&lt;/D&gt;&lt;D xsi:type="xsd:double"&gt;2.589476&lt;/D&gt;&lt;D xsi:type="xsd:double"&gt;-0.6755054&lt;/D&gt;&lt;D xsi:type="xsd:double"&gt;2.0892978&lt;/D&gt;&lt;D xsi:type="xsd:double"&gt;-0.81197023&lt;/D&gt;&lt;D xsi:type="xsd:double"&gt;-1.6582549&lt;/D&gt;&lt;D xsi:type="xsd:double"&gt;-1.4814556&lt;/D&gt;&lt;D xsi:type="xsd:double"&gt;-1.0893106&lt;/D&gt;&lt;D xsi:type="xsd:double"&gt;0.081288815&lt;/D&gt;&lt;D xsi:type="xsd:double"&gt;0.5414367&lt;/D&gt;&lt;D xsi:type="xsd:double"&gt;0.29467344&lt;/D&gt;&lt;D xsi:type="xsd:double"&gt;-2.119875&lt;/D&gt;&lt;D xsi:type="xsd:double"&gt;-3.53477&lt;/D&gt;&lt;D xsi:type="xsd:double"&gt;-0.006788969&lt;/D&gt;&lt;D xsi:type="xsd:double"&gt;-3.021562&lt;/D&gt;&lt;D xsi:type="xsd:double"&gt;1.1089087&lt;/D&gt;&lt;D xsi:type="xsd:double"&gt;-1.4730036&lt;/D&gt;&lt;D xsi:type="xsd:double"&gt;-6.0891924&lt;/D&gt;&lt;D xsi:type="xsd:double"&gt;0.5085468&lt;/D&gt;&lt;D xsi:type="xsd:double"&gt;-0.5137384&lt;/D&gt;&lt;D xsi:type="xsd:double"&gt;-0.7397771&lt;/D&gt;&lt;/FQL&gt;&lt;FQL&gt;&lt;Q&gt;ADEN-CH^JULIAN(FG_PRICE(45961,45961-1AY,,USD).DATES)&lt;/Q&gt;&lt;R&gt;251&lt;/R&gt;&lt;C&gt;1&lt;/C&gt;&lt;D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PETR4-BR^PROPER_NAME&lt;/Q&gt;&lt;R&gt;1&lt;/R&gt;&lt;C&gt;1&lt;/C&gt;&lt;D xsi:type="xsd:string"&gt;Petroleo Brasileiro SA Pfd&lt;/D&gt;&lt;/FQL&gt;&lt;FQL&gt;&lt;Q&gt;9433-JP^PROPER_NAME&lt;/Q&gt;&lt;R&gt;1&lt;/R&gt;&lt;C&gt;1&lt;/C&gt;&lt;D xsi:type="xsd:string"&gt;KDDI Corporation&lt;/D&gt;&lt;/FQL&gt;&lt;FQL&gt;&lt;Q&gt;NWG-GB^PROPER_NAME&lt;/Q&gt;&lt;R&gt;1&lt;/R&gt;&lt;C&gt;1&lt;/C&gt;&lt;D xsi:type="xsd:string"&gt;NatWest Group Plc&lt;/D&gt;&lt;/FQL&gt;&lt;FQL&gt;&lt;Q&gt;UCG-IT^PROPER_NAME&lt;/Q&gt;&lt;R&gt;1&lt;/R&gt;&lt;C&gt;1&lt;/C&gt;&lt;D xsi:type="xsd:string"&gt;UniCredit S.p.A.&lt;/D&gt;&lt;/FQL&gt;&lt;FQL&gt;&lt;Q&gt;HSBA-GB^PROPER_NAME&lt;/Q&gt;&lt;R&gt;1&lt;/R&gt;&lt;C&gt;1&lt;/C&gt;&lt;D xsi:type="xsd:string"&gt;HSBC Holdings Plc&lt;/D&gt;&lt;/FQL&gt;&lt;FQL&gt;&lt;Q&gt;EVK-DE^PROPER_NAME&lt;/Q&gt;&lt;R&gt;1&lt;/R&gt;&lt;C&gt;1&lt;/C&gt;&lt;D xsi:type="xsd:string"&gt;Evonik Industries AG&lt;/D&gt;&lt;/FQL&gt;&lt;FQL&gt;&lt;Q&gt;RIO-GB^PROPER_NAME&lt;/Q&gt;&lt;R&gt;1&lt;/R&gt;&lt;C&gt;1&lt;/C&gt;&lt;D xsi:type="xsd:string"&gt;Rio Tinto plc&lt;/D&gt;&lt;/FQL&gt;&lt;FQL&gt;&lt;Q&gt;9988-HK^PROPER_NAME&lt;/Q&gt;&lt;R&gt;1&lt;/R&gt;&lt;C&gt;1&lt;/C&gt;&lt;D xsi:type="xsd:string"&gt;Alibaba Group Holding Limited&lt;/D&gt;&lt;/FQL&gt;&lt;FQL&gt;&lt;Q&gt;RNO-FR^PROPER_NAME&lt;/Q&gt;&lt;R&gt;1&lt;/R&gt;&lt;C&gt;1&lt;/C&gt;&lt;D xsi:type="xsd:string"&gt;Renault SA&lt;/D&gt;&lt;/FQL&gt;&lt;FQL&gt;&lt;Q&gt;KER-FR^PROPER_NAME&lt;/Q&gt;&lt;R&gt;1&lt;/R&gt;&lt;C&gt;1&lt;/C&gt;&lt;D xsi:type="xsd:string"&gt;Kering SA&lt;/D&gt;&lt;/FQL&gt;&lt;FQL&gt;&lt;Q&gt;LHA-DE^PROPER_NAME&lt;/Q&gt;&lt;R&gt;1&lt;/R&gt;&lt;C&gt;1&lt;/C&gt;&lt;D xsi:type="xsd:string"&gt;Deutsche Lufthansa AG&lt;/D&gt;&lt;/FQL&gt;&lt;FQL&gt;&lt;Q&gt;REP-ES^PROPER_NAME&lt;/Q&gt;&lt;R&gt;1&lt;/R&gt;&lt;C&gt;1&lt;/C&gt;&lt;D xsi:type="xsd:string"&gt;Repsol SA&lt;/D&gt;&lt;/FQL&gt;&lt;FQL&gt;&lt;Q&gt;ENI-IT^PROPER_NAME&lt;/Q&gt;&lt;R&gt;1&lt;/R&gt;&lt;C&gt;1&lt;/C&gt;&lt;D xsi:type="xsd:string"&gt;Eni S.p.A.&lt;/D&gt;&lt;/FQL&gt;&lt;FQL&gt;&lt;Q&gt;VOW3-DE^PROPER_NAME&lt;/Q&gt;&lt;R&gt;1&lt;/R&gt;&lt;C&gt;1&lt;/C&gt;&lt;D xsi:type="xsd:string"&gt;Volkswagen AG Pref&lt;/D&gt;&lt;/FQL&gt;&lt;FQL&gt;&lt;Q&gt;OMV-AT^PROPER_NAME&lt;/Q&gt;&lt;R&gt;1&lt;/R&gt;&lt;C&gt;1&lt;/C&gt;&lt;D xsi:type="xsd:string"&gt;OMV AG&lt;/D&gt;&lt;/FQL&gt;&lt;FQL&gt;&lt;Q&gt;914-HK^PROPER_NAME&lt;/Q&gt;&lt;R&gt;1&lt;/R&gt;&lt;C&gt;1&lt;/C&gt;&lt;D xsi:type="xsd:string"&gt;Anhui Conch Cement Company Limited Class H&lt;/D&gt;&lt;/FQL&gt;&lt;FQL&gt;&lt;Q&gt;TX-US^PROPER_NAME&lt;/Q&gt;&lt;R&gt;1&lt;/R&gt;&lt;C&gt;1&lt;/C&gt;&lt;D xsi:type="xsd:string"&gt;Ternium S.A. Sponsored ADR&lt;/D&gt;&lt;/FQL&gt;&lt;FQL&gt;&lt;Q&gt;CA-FR^PROPER_NAME&lt;/Q&gt;&lt;R&gt;1&lt;/R&gt;&lt;C&gt;1&lt;/C&gt;&lt;D xsi:type="xsd:string"&gt;Carrefour SA&lt;/D&gt;&lt;/FQL&gt;&lt;FQL&gt;&lt;Q&gt;BAS-DE^PROPER_NAME&lt;/Q&gt;&lt;R&gt;1&lt;/R&gt;&lt;C&gt;1&lt;/C&gt;&lt;D xsi:type="xsd:string"&gt;BASF SE&lt;/D&gt;&lt;/FQL&gt;&lt;FQL&gt;&lt;Q&gt;6963-JP^PROPER_NAME&lt;/Q&gt;&lt;R&gt;1&lt;/R&gt;&lt;C&gt;1&lt;/C&gt;&lt;D xsi:type="xsd:string"&gt;ROHM Company Limited&lt;/D&gt;&lt;/FQL&gt;&lt;FQL&gt;&lt;Q&gt;7459-JP^PROPER_NAME&lt;/Q&gt;&lt;R&gt;1&lt;/R&gt;&lt;C&gt;1&lt;/C&gt;&lt;D xsi:type="xsd:string"&gt;MEDIPAL HOLDINGS Corporation&lt;/D&gt;&lt;/FQL&gt;&lt;FQL&gt;&lt;Q&gt;BLND-GB^PROPER_NAME&lt;/Q&gt;&lt;R&gt;1&lt;/R&gt;&lt;C&gt;1&lt;/C&gt;&lt;D xsi:type="xsd:string"&gt;British Land Company PLC&lt;/D&gt;&lt;/FQL&gt;&lt;FQL&gt;&lt;Q&gt;BRBY-GB^PROPER_NAME&lt;/Q&gt;&lt;R&gt;1&lt;/R&gt;&lt;C&gt;1&lt;/C&gt;&lt;D xsi:type="xsd:string"&gt;Burberry Group plc&lt;/D&gt;&lt;/FQL&gt;&lt;FQL&gt;&lt;Q&gt;5108-JP^PROPER_NAME&lt;/Q&gt;&lt;R&gt;1&lt;/R&gt;&lt;C&gt;1&lt;/C&gt;&lt;D xsi:type="xsd:string"&gt;Bridgestone Corporation&lt;/D&gt;&lt;/FQL&gt;&lt;FQL&gt;&lt;Q&gt;AAL-GB^PROPER_NAME&lt;/Q&gt;&lt;R&gt;1&lt;/R&gt;&lt;C&gt;1&lt;/C&gt;&lt;D xsi:type="xsd:string"&gt;Anglo American plc&lt;/D&gt;&lt;/FQL&gt;&lt;FQL&gt;&lt;Q&gt;CS-FR^PROPER_NAME&lt;/Q&gt;&lt;R&gt;1&lt;/R&gt;&lt;C&gt;1&lt;/C&gt;&lt;D xsi:type="xsd:string"&gt;AXA SA&lt;/D&gt;&lt;/FQL&gt;&lt;FQL&gt;&lt;Q&gt;BNP-FR^PROPER_NAME&lt;/Q&gt;&lt;R&gt;1&lt;/R&gt;&lt;C&gt;1&lt;/C&gt;&lt;D xsi:type="xsd:string"&gt;BNP Paribas S.A. Class A&lt;/D&gt;&lt;/FQL&gt;&lt;FQL&gt;&lt;Q&gt;RAND-NL^PROPER_NAME&lt;/Q&gt;&lt;R&gt;1&lt;/R&gt;&lt;C&gt;1&lt;/C&gt;&lt;D xsi:type="xsd:string"&gt;Randstad NV&lt;/D&gt;&lt;/FQL&gt;&lt;FQL&gt;&lt;Q&gt;4324-JP^PROPER_NAME&lt;/Q&gt;&lt;R&gt;1&lt;/R&gt;&lt;C&gt;1&lt;/C&gt;&lt;D xsi:type="xsd:string"&gt;Dentsu Group Inc.&lt;/D&gt;&lt;/FQL&gt;&lt;FQL&gt;&lt;Q&gt;UHR-CH^PROPER_NAME&lt;/Q&gt;&lt;R&gt;1&lt;/R&gt;&lt;C&gt;1&lt;/C&gt;&lt;D xsi:type="xsd:string"&gt;Swatch Group Ltd. Bearer&lt;/D&gt;&lt;/FQL&gt;&lt;FQL&gt;&lt;Q&gt;6752-JP^PROPER_NAME&lt;/Q&gt;&lt;R&gt;1&lt;/R&gt;&lt;C&gt;1&lt;/C&gt;&lt;D xsi:type="xsd:string"&gt;Panasonic Holdings Corporation&lt;/D&gt;&lt;/FQL&gt;&lt;FQL&gt;&lt;Q&gt;WPP-GB^PROPER_NAME&lt;/Q&gt;&lt;R&gt;1&lt;/R&gt;&lt;C&gt;1&lt;/C&gt;&lt;D xsi:type="xsd:string"&gt;WPP Plc&lt;/D&gt;&lt;/FQL&gt;&lt;FQL&gt;&lt;Q&gt;IMB-GB^PROPER_NAME&lt;/Q&gt;&lt;R&gt;1&lt;/R&gt;&lt;C&gt;1&lt;/C&gt;&lt;D xsi:type="xsd:string"&gt;Imperial Brands PLC&lt;/D&gt;&lt;/FQL&gt;&lt;FQL&gt;&lt;Q&gt;GLE-FR^PROPER_NAME&lt;/Q&gt;&lt;R&gt;1&lt;/R&gt;&lt;C&gt;1&lt;/C&gt;&lt;D xsi:type="xsd:string"&gt;Societe Generale S.A. Class A&lt;/D&gt;&lt;/FQL&gt;&lt;FQL&gt;&lt;Q&gt;TSCO-GB^PROPER_NAME&lt;/Q&gt;&lt;R&gt;1&lt;/R&gt;&lt;C&gt;1&lt;/C&gt;&lt;D xsi:type="xsd:string"&gt;Tesco PLC&lt;/D&gt;&lt;/FQL&gt;&lt;FQL&gt;&lt;Q&gt;ABN-NL^PROPER_NAME&lt;/Q&gt;&lt;R&gt;1&lt;/R&gt;&lt;C&gt;1&lt;/C&gt;&lt;D xsi:type="xsd:string"&gt;ABN AMRO Bank N.V. Depositary receipts&lt;/D&gt;&lt;/FQL&gt;&lt;FQL&gt;&lt;Q&gt;AGS-BE^PROPER_NAME&lt;/Q&gt;&lt;R&gt;1&lt;/R&gt;&lt;C&gt;1&lt;/C&gt;&lt;D xsi:type="xsd:string"&gt;ageas SA/NV&lt;/D&gt;&lt;/FQL&gt;&lt;FQL&gt;&lt;Q&gt;AD-NL^PROPER_NAME&lt;/Q&gt;&lt;R&gt;1&lt;/R&gt;&lt;C&gt;1&lt;/C&gt;&lt;D xsi:type="xsd:string"&gt;Koninklijke Ahold Delhaize N.V.&lt;/D&gt;&lt;/FQL&gt;&lt;FQL&gt;&lt;Q&gt;BIRG-IE^PROPER_NAME&lt;/Q&gt;&lt;R&gt;1&lt;/R&gt;&lt;C&gt;1&lt;/C&gt;&lt;D xsi:type="xsd:string"&gt;Bank of Ireland Group Plc&lt;/D&gt;&lt;/FQL&gt;&lt;FQL&gt;&lt;Q&gt;STAN-GB^PROPER_NAME&lt;/Q&gt;&lt;R&gt;1&lt;/R&gt;&lt;C&gt;1&lt;/C&gt;&lt;D xsi:type="xsd:string"&gt;Standard Chartered PLC&lt;/D&gt;&lt;/FQL&gt;&lt;FQL&gt;&lt;Q&gt;055550-KR^PROPER_NAME&lt;/Q&gt;&lt;R&gt;1&lt;/R&gt;&lt;C&gt;1&lt;/C&gt;&lt;D xsi:type="xsd:string"&gt;Shinhan Financial Group Co., Ltd.&lt;/D&gt;&lt;/FQL&gt;&lt;FQL&gt;&lt;Q&gt;BATS-GB^PROPER_NAME&lt;/Q&gt;&lt;R&gt;1&lt;/R&gt;&lt;C&gt;1&lt;/C&gt;&lt;D xsi:type="xsd:string"&gt;British American Tobacco p.l.c.&lt;/D&gt;&lt;/FQL&gt;&lt;FQL&gt;&lt;Q&gt;9404-JP^PROPER_NAME&lt;/Q&gt;&lt;R&gt;1&lt;/R&gt;&lt;C&gt;1&lt;/C&gt;&lt;D xsi:type="xsd:string"&gt;Nippon Television Holdings, Inc.&lt;/D&gt;&lt;/FQL&gt;&lt;FQL&gt;&lt;Q&gt;105560-KR^PROPER_NAME&lt;/Q&gt;&lt;R&gt;1&lt;/R&gt;&lt;C&gt;1&lt;/C&gt;&lt;D xsi:type="xsd:string"&gt;KB Financial Group Inc.&lt;/D&gt;&lt;/FQL&gt;&lt;FQL&gt;&lt;Q&gt;H</t>
        </r>
      </text>
    </comment>
    <comment ref="A2" authorId="0" shapeId="0" xr:uid="{897F011F-1992-4BB4-A55F-9D499DE41DC2}">
      <text>
        <r>
          <rPr>
            <b/>
            <sz val="9"/>
            <color indexed="81"/>
            <rFont val="Tahoma"/>
            <family val="2"/>
          </rPr>
          <t>EN3-DE^PROPER_NAME&lt;/Q&gt;&lt;R&gt;1&lt;/R&gt;&lt;C&gt;1&lt;/C&gt;&lt;D xsi:type="xsd:string"&gt;Henkel AG &amp;amp; Co. KGaA Pref&lt;/D&gt;&lt;/FQL&gt;&lt;FQL&gt;&lt;Q&gt;VOD-GB^PROPER_NAME&lt;/Q&gt;&lt;R&gt;1&lt;/R&gt;&lt;C&gt;1&lt;/C&gt;&lt;D xsi:type="xsd:string"&gt;Vodafone Group Public Limited Company&lt;/D&gt;&lt;/FQL&gt;&lt;FQL&gt;&lt;Q&gt;BT.A-GB^PROPER_NAME&lt;/Q&gt;&lt;R&gt;1&lt;/R&gt;&lt;C&gt;1&lt;/C&gt;&lt;D xsi:type="xsd:string"&gt;BT Group plc&lt;/D&gt;&lt;/FQL&gt;&lt;FQL&gt;&lt;Q&gt;PRU-GB^PROPER_NAME&lt;/Q&gt;&lt;R&gt;1&lt;/R&gt;&lt;C&gt;1&lt;/C&gt;&lt;D xsi:type="xsd:string"&gt;Prudential plc&lt;/D&gt;&lt;/FQL&gt;&lt;FQL&gt;&lt;Q&gt;ROG-CH^PROPER_NAME&lt;/Q&gt;&lt;R&gt;1&lt;/R&gt;&lt;C&gt;1&lt;/C&gt;&lt;D xsi:type="xsd:string"&gt;Roche Holding Ltd Dividend Right Cert.&lt;/D&gt;&lt;/FQL&gt;&lt;FQL&gt;&lt;Q&gt;SAN-FR^PROPER_NAME&lt;/Q&gt;&lt;R&gt;1&lt;/R&gt;&lt;C&gt;1&lt;/C&gt;&lt;D xsi:type="xsd:string"&gt;Sanofi SA&lt;/D&gt;&lt;/FQL&gt;&lt;FQL&gt;&lt;Q&gt;BARC-GB^PROPER_NAME&lt;/Q&gt;&lt;R&gt;1&lt;/R&gt;&lt;C&gt;1&lt;/C&gt;&lt;D xsi:type="xsd:string"&gt;Barclays PLC&lt;/D&gt;&lt;/FQL&gt;&lt;FQL&gt;&lt;Q&gt;CON-DE^PROPER_NAME&lt;/Q&gt;&lt;R&gt;1&lt;/R&gt;&lt;C&gt;1&lt;/C&gt;&lt;D xsi:type="xsd:string"&gt;Continental AG&lt;/D&gt;&lt;/FQL&gt;&lt;FQL&gt;&lt;Q&gt;GSK-GB^PROPER_NAME&lt;/Q&gt;&lt;R&gt;1&lt;/R&gt;&lt;C&gt;1&lt;/C&gt;&lt;D xsi:type="xsd:string"&gt;GSK plc&lt;/D&gt;&lt;/FQL&gt;&lt;FQL&gt;&lt;Q&gt;2317-TW^PROPER_NAME&lt;/Q&gt;&lt;R&gt;1&lt;/R&gt;&lt;C&gt;1&lt;/C&gt;&lt;D xsi:type="xsd:string"&gt;Hon Hai Precision Industry Co., Ltd.&lt;/D&gt;&lt;/FQL&gt;&lt;FQL&gt;&lt;Q&gt;DUMMY^CORREL_MATRIX(CORRELMATRIX)&lt;/Q&gt;&lt;R&gt;54&lt;/R&gt;&lt;C&gt;54&lt;/C&gt;&lt;D xsi:type="xsd:double"&gt;1&lt;/D&gt;&lt;D xsi:type="xsd:double"&gt;0.2511219&lt;/D&gt;&lt;D xsi:type="xsd:double"&gt;0.24445716&lt;/D&gt;&lt;D xsi:type="xsd:double"&gt;0.26918617&lt;/D&gt;&lt;D xsi:type="xsd:double"&gt;0.21421039&lt;/D&gt;&lt;D xsi:type="xsd:double"&gt;0.3059534&lt;/D&gt;&lt;D xsi:type="xsd:double"&gt;0.2709009&lt;/D&gt;&lt;D xsi:type="xsd:double"&gt;0.20262066&lt;/D&gt;&lt;D xsi:type="xsd:double"&gt;0.097493716&lt;/D&gt;&lt;D xsi:type="xsd:double"&gt;0.2761756&lt;/D&gt;&lt;D xsi:type="xsd:double"&gt;0.2792872&lt;/D&gt;&lt;D xsi:type="xsd:double"&gt;0.05769677&lt;/D&gt;&lt;D xsi:type="xsd:double"&gt;0.00932376&lt;/D&gt;&lt;D xsi:type="xsd:double"&gt;0.32412335&lt;/D&gt;&lt;D xsi:type="xsd:double"&gt;0.27744535&lt;/D&gt;&lt;D xsi:type="xsd:double"&gt;0.3024292&lt;/D&gt;&lt;D xsi:type="xsd:double"&gt;0.15374705&lt;/D&gt;&lt;D xsi:type="xsd:double"&gt;0.23169257&lt;/D&gt;&lt;D xsi:type="xsd:double"&gt;0.23839998&lt;/D&gt;&lt;D xsi:type="xsd:double"&gt;0.042678997&lt;/D&gt;&lt;D xsi:type="xsd:double"&gt;0.20377573&lt;/D&gt;&lt;D xsi:type="xsd:double"&gt;0.00065575226&lt;/D&gt;&lt;D xsi:type="xsd:double"&gt;0.22910605&lt;/D&gt;&lt;D xsi:type="xsd:double"&gt;0.2613799&lt;/D&gt;&lt;D xsi:type="xsd:double"&gt;0.19546789&lt;/D&gt;&lt;D xsi:type="xsd:double"&gt;0.17681465&lt;/D&gt;&lt;D xsi:type="xsd:double"&gt;0.3262605&lt;/D&gt;&lt;D xsi:type="xsd:double"&gt;0.23799117&lt;/D&gt;&lt;D xsi:type="xsd:double"&gt;0.23996168&lt;/D&gt;&lt;D xsi:type="xsd:double"&gt;0.26287225&lt;/D&gt;&lt;D xsi:type="xsd:double"&gt;0.25905004&lt;/D&gt;&lt;D xsi:type="xsd:double"&gt;0.13056317&lt;/D&gt;&lt;D xsi:type="xsd:double"&gt;0.25532448&lt;/D&gt;&lt;D xsi:type="xsd:double"&gt;0.1422874&lt;/D&gt;&lt;D xsi:type="xsd:double"&gt;0.36454055&lt;/D&gt;&lt;D xsi:type="xsd:double"&gt;0.29286292&lt;/D&gt;&lt;D xsi:type="xsd:double"&gt;0.15665248&lt;/D&gt;&lt;D xsi:type="xsd:double"&gt;0.030743906&lt;/D&gt;&lt;D xsi:type="xsd:double"&gt;-0.016310379&lt;/D&gt;&lt;D xsi:type="xsd:double"&gt;0.13457458&lt;/D&gt;&lt;D xsi:type="xsd:double"&gt;0.26559377&lt;/D&gt;&lt;D xsi:type="xsd:double"&gt;0.2868719&lt;/D&gt;&lt;D xsi:type="xsd:double"&gt;0.18389446&lt;/D&gt;&lt;D xsi:type="xsd:double"&gt;0.25363845&lt;/D&gt;&lt;D xsi:type="xsd:double"&gt;0.23201849&lt;/D&gt;&lt;D xsi:type="xsd:double"&gt;0.24100028&lt;/D&gt;&lt;D xsi:type="xsd:double"&gt;0.19976975&lt;/D&gt;&lt;D xsi:type="xsd:double"&gt;0.25497332&lt;/D&gt;&lt;D xsi:type="xsd:double"&gt;0.18015303&lt;/D&gt;&lt;D xsi:type="xsd:double"&gt;0.29679167&lt;/D&gt;&lt;D xsi:type="xsd:double"&gt;0.2343548&lt;/D&gt;&lt;D xsi:type="xsd:double"&gt;0.18913771&lt;/D&gt;&lt;D xsi:type="xsd:double"&gt;0.09048745&lt;/D&gt;&lt;D xsi:type="xsd:double"&gt;0.093344085&lt;/D&gt;&lt;D xsi:type="xsd:double"&gt;0.2511219&lt;/D&gt;&lt;D xsi:type="xsd:double"&gt;1&lt;/D&gt;&lt;D xsi:type="xsd:double"&gt;0.16358162&lt;/D&gt;&lt;D xsi:type="xsd:double"&gt;0.2191718&lt;/D&gt;&lt;D xsi:type="xsd:double"&gt;0.5905112&lt;/D&gt;&lt;D xsi:type="xsd:double"&gt;0.62689924&lt;/D&gt;&lt;D xsi:type="xsd:double"&gt;0.24672619&lt;/D&gt;&lt;D xsi:type="xsd:double"&gt;0.38621086&lt;/D&gt;&lt;D xsi:type="xsd:double"&gt;0.4080772&lt;/D&gt;&lt;D xsi:type="xsd:double"&gt;0.36851835&lt;/D&gt;&lt;D xsi:type="xsd:double"&gt;0.16887173&lt;/D&gt;&lt;D xsi:type="xsd:double"&gt;0.23129733&lt;/D&gt;&lt;D xsi:type="xsd:double"&gt;0.30663174&lt;/D&gt;&lt;D xsi:type="xsd:double"&gt;0.23434864&lt;/D&gt;&lt;D xsi:type="xsd:double"&gt;0.19595352&lt;/D&gt;&lt;D xsi:type="xsd:double"&gt;0.27419347&lt;/D&gt;&lt;D xsi:type="xsd:double"&gt;0.33582336&lt;/D&gt;&lt;D xsi:type="xsd:double"&gt;0.35078043&lt;/D&gt;&lt;D xsi:type="xsd:double"&gt;0.23431805&lt;/D&gt;&lt;D xsi:type="xsd:double"&gt;0.24602728&lt;/D&gt;&lt;D xsi:type="xsd:double"&gt;0.16200371&lt;/D&gt;&lt;D xsi:type="xsd:double"&gt;0.29874682&lt;/D&gt;&lt;D xsi:type="xsd:double"&gt;0.2308224&lt;/D&gt;&lt;D xsi:type="xsd:double"&gt;0.3458712&lt;/D&gt;&lt;D xsi:type="xsd:double"&gt;0.25490752&lt;/D&gt;&lt;D xsi:type="xsd:double"&gt;0.29724488&lt;/D&gt;&lt;D xsi:type="xsd:double"&gt;0.2508691&lt;/D&gt;&lt;D xsi:type="xsd:double"&gt;0.26562053&lt;/D&gt;&lt;D xsi:type="xsd:double"&gt;0.31911245&lt;/D&gt;&lt;D xsi:type="xsd:double"&gt;0.21891186&lt;/D&gt;&lt;D xsi:type="xsd:double"&gt;0.31933624&lt;/D&gt;&lt;D xsi:type="xsd:double"&gt;0.14052382&lt;/D&gt;&lt;D xsi:type="xsd:double"&gt;0.4560122&lt;/D&gt;&lt;D xsi:type="xsd:double"&gt;0.2759276&lt;/D&gt;&lt;D xsi:type="xsd:double"&gt;0.24200404&lt;/D&gt;&lt;D xsi:type="xsd:double"&gt;0.25432807&lt;/D&gt;&lt;D xsi:type="xsd:double"&gt;0.17794839&lt;/D&gt;&lt;D xsi:type="xsd:double"&gt;0.028160607&lt;/D&gt;&lt;D xsi:type="xsd:double"&gt;0.1540144&lt;/D&gt;&lt;D xsi:type="xsd:double"&gt;0.22465105&lt;/D&gt;&lt;D xsi:type="xsd:double"&gt;0.19215138&lt;/D&gt;&lt;D xsi:type="xsd:double"&gt;0.29637152&lt;/D&gt;&lt;D xsi:type="xsd:double"&gt;0.19436954&lt;/D&gt;&lt;D xsi:type="xsd:double"&gt;0.17567089&lt;/D&gt;&lt;D xsi:type="xsd:double"&gt;0.16766565&lt;/D&gt;&lt;D xsi:type="xsd:double"&gt;0.068505&lt;/D&gt;&lt;D xsi:type="xsd:double"&gt;0.09755539&lt;/D&gt;&lt;D xsi:type="xsd:double"&gt;0.2927333&lt;/D&gt;&lt;D xsi:type="xsd:double"&gt;0.2764306&lt;/D&gt;&lt;D xsi:type="xsd:double"&gt;0.22627562&lt;/D&gt;&lt;D xsi:type="xsd:double"&gt;0.2406009&lt;/D&gt;&lt;D xsi:type="xsd:double"&gt;0.2540668&lt;/D&gt;&lt;D xsi:type="xsd:double"&gt;0.22046214&lt;/D&gt;&lt;D xsi:type="xsd:double"&gt;0.06608879&lt;/D&gt;&lt;D xsi:type="xsd:double"&gt;0.24445716&lt;/D&gt;&lt;D xsi:type="xsd:double"&gt;0.16358162&lt;/D&gt;&lt;D xsi:type="xsd:double"&gt;1&lt;/D&gt;&lt;D xsi:type="xsd:double"&gt;0.3711415&lt;/D&gt;&lt;D xsi:type="xsd:double"&gt;0.2752671&lt;/D&gt;&lt;D xsi:type="xsd:double"&gt;0.24799724&lt;/D&gt;&lt;D xsi:type="xsd:double"&gt;0.39079306&lt;/D&gt;&lt;D xsi:type="xsd:double"&gt;0.12259447&lt;/D&gt;&lt;D xsi:type="xsd:double"&gt;0.17855693&lt;/D&gt;&lt;D xsi:type="xsd:double"&gt;0.2630324&lt;/D&gt;&lt;D xsi:type="xsd:double"&gt;0.08333934&lt;/D&gt;&lt;D xsi:type="xsd:double"&gt;0.105130285&lt;/D&gt;&lt;D xsi:type="xsd:double"&gt;-0.035203863&lt;/D&gt;&lt;D xsi:type="xsd:double"&gt;0.122267865&lt;/D&gt;&lt;D xsi:type="xsd:double"&gt;0.2604606&lt;/D&gt;&lt;D xsi:type="xsd:double"&gt;0.36773494&lt;/D&gt;&lt;D xsi:type="xsd:double"&gt;0.20681098&lt;/D&gt;&lt;D xsi:type="xsd:double"&gt;0.3058407&lt;/D&gt;&lt;D xsi:type="xsd:double"&gt;0.3743705&lt;/D&gt;&lt;D xsi:type="xsd:double"&gt;0.010998653&lt;/D&gt;&lt;D xsi:type="xsd:double"&gt;0.30691358&lt;/D&gt;&lt;D xsi:type="xsd:double"&gt;0.042965557&lt;/D&gt;&lt;D xsi:type="xsd:double"&gt;0.25343263&lt;/D&gt;&lt;D xsi:type="xsd:double"&gt;0.21095307&lt;/D&gt;&lt;D xsi:type="xsd:double"&gt;0.37131888&lt;/D&gt;&lt;D xsi:type="xsd:double"&gt;0.09728061&lt;/D&gt;&lt;D xsi:type="xsd:double"&gt;0.4304101&lt;/D&gt;&lt;D xsi:type="xsd:double"&gt;0.37498516&lt;/D&gt;&lt;D xsi:type="xsd:double"&gt;0.33425826&lt;/D&gt;&lt;D xsi:type="xsd:double"&gt;0.34029338&lt;/D&gt;&lt;D xsi:type="xsd:double"&gt;0.2785199&lt;/D&gt;&lt;D xsi:type="xsd:double"&gt;0.2718546&lt;/D&gt;&lt;D xsi:type="xsd:double"&gt;0.2786941&lt;/D&gt;&lt;D xsi:type="xsd:double"&gt;0.21198398&lt;/D&gt;&lt;D xsi:type="xsd:double"&gt;0.2953655&lt;/D&gt;&lt;D xsi:type="xsd:double"&gt;0.61608404&lt;/D&gt;&lt;D xsi:type="xsd:double"&gt;0.25645226&lt;/D&gt;&lt;D xsi:type="xsd:double"&gt;0.14841971&lt;/D&gt;&lt;D xsi:type="xsd:double"&gt;0.046682116&lt;/D&gt;&lt;D xsi:type="xsd:double"&gt;0.31213072&lt;/D&gt;&lt;D xsi:type="xsd:double"&gt;0.5646186&lt;/D&gt;&lt;D xsi:type="xsd:double"&gt;0.43204236&lt;/D&gt;&lt;D xsi:type="xsd:double"&gt;0.32520387&lt;/D&gt;&lt;D xsi:type="xsd:double"&gt;0.46846965&lt;/D&gt;&lt;D xsi:type="xsd:double"&gt;0.37106308&lt;/D&gt;&lt;D xsi:type="xsd:double"&gt;0.40668523&lt;/D&gt;&lt;D xsi:type="xsd:double"&gt;0.15927061&lt;/D&gt;&lt;D xsi:type="xsd:double"&gt;0.26503932&lt;/D&gt;&lt;D xsi:type="xsd:double"&gt;0.57226044&lt;/D&gt;&lt;D xsi:type="xsd:double"&gt;0.26819327&lt;/D&gt;&lt;D xsi:type="xsd:double"&gt;0.42777783&lt;/D&gt;&lt;D xsi:type="xsd:double"&gt;0.30635387&lt;/D&gt;&lt;D xsi:type="xsd:double"&gt;0.09381977&lt;/D&gt;&lt;D xsi:type="xsd:double"&gt;0.12121844&lt;/D&gt;&lt;D xsi:type="xsd:double"&gt;0.26918617&lt;/D&gt;&lt;D xsi:type="xsd:double"&gt;0.2191718&lt;/D&gt;&lt;D xsi:type="xsd:double"&gt;0.3711415&lt;/D&gt;&lt;D xsi:type="xsd:double"&gt;1&lt;/D&gt;&lt;D xsi:type="xsd:double"&gt;0.22788298&lt;/D&gt;&lt;D xsi:type="xsd:double"&gt;0.24493213&lt;/D&gt;&lt;D xsi:type="xsd:double"&gt;0.58308846&lt;/D&gt;&lt;D xsi:type="xsd:double"&gt;0.20440012&lt;/D&gt;&lt;D xsi:type="xsd:double"&gt;0.26080424&lt;/D&gt;&lt;D xsi:type="xsd:double"&gt;0.15249099&lt;/D&gt;&lt;D xsi:type="xsd:double"&gt;0.2274982&lt;/D&gt;&lt;D xsi:type="xsd:double"&gt;0.09965538&lt;/D&gt;&lt;D xsi:type="xsd:double"&gt;0.16391128&lt;/D&gt;&lt;D xsi:type="xsd:double"&gt;0.23482536&lt;/D&gt;&lt;D xsi:type="xsd:double"&gt;0.6944543&lt;/D&gt;&lt;D xsi:type="xsd:double"&gt;0.5542298&lt;/D&gt;&lt;D xsi:type="xsd:double"&gt;0.1689373&lt;/D&gt;&lt;D xsi:type="xsd:double"&gt;0.48482448&lt;/D&gt;&lt;D xsi:type="xsd:double"&gt;0.55726504&lt;/D&gt;&lt;D xsi:type="xsd:double"&gt;0.099806525&lt;/D&gt;&lt;D xsi:type="xsd:double"&gt;0.5869655&lt;/D&gt;&lt;D xsi:type="xsd:double"&gt;0.14960673&lt;/D&gt;&lt;D xsi:type="xsd:double"&gt;0.34431234&lt;/D&gt;&lt;D xsi:type="xsd:double"&gt;0.28807026&lt;/D&gt;&lt;D xsi:type="xsd:double"&gt;0.29059827&lt;/D&gt;&lt;D xsi:type="xsd:double"&gt;0.13128872&lt;/D&gt;&lt;D xsi:type="xsd:double"&gt;0.49388105&lt;/D&gt;&lt;D xsi:type="xsd:double"&gt;0.630362&lt;/D&gt;&lt;D xsi:type="xsd:double"&gt;0.55104357&lt;/D&gt;&lt;D xsi:type="xsd:double"&gt;0.47747213&lt;/D&gt;&lt;D xsi:type="xsd:double"&gt;0.3058566&lt;/D&gt;&lt;D xsi:type="xsd:double"&gt;0.2520085&lt;/D&gt;&lt;D xsi:type="xsd:double"&gt;0.33687627&lt;/D&gt;&lt;D xsi:type="xsd:double"&gt;0.09167262&lt;/D&gt;&lt;D xsi:type="xsd:double"&gt;0.24304955&lt;/D&gt;&lt;D xsi:type="xsd:double"&gt;0.4381573&lt;/D&gt;&lt;D xsi:type="xsd:double"&gt;0.16361754&lt;/D&gt;&lt;D xsi:type="xsd:double"&gt;0.20434867&lt;/D&gt;&lt;D xsi:type="xsd:double"&gt;0.14547618&lt;/D&gt;&lt;D xsi:type="xsd:double"&gt;0.32413688&lt;/D&gt;&lt;D xsi:type="xsd:double"&gt;0.32338428&lt;/D&gt;&lt;D xsi:type="xsd:double"&gt;0.36867028&lt;/D&gt;&lt;D xsi:type="xsd:double"&gt;0.35822877&lt;/D&gt;&lt;D xsi:type="xsd:double"&gt;0.3968315&lt;/D&gt;&lt;D xsi:type="xsd:double"&gt;0.24215744&lt;/D&gt;&lt;D xsi:type="xsd:double"&gt;0.25575745&lt;/D&gt;&lt;D xsi:type="xsd:double"&gt;0.22378974&lt;/D&gt;&lt;D xsi:type="xsd:double"&gt;0.3675775&lt;/D&gt;&lt;D xsi:type="xsd:double"&gt;0.42238843&lt;/D&gt;&lt;D xsi:type="xsd:double"&gt;0.6953295&lt;/D&gt;&lt;D xsi:type="xsd:double"&gt;0.6445455&lt;/D&gt;&lt;D xsi:type="xsd:double"&gt;0.811219&lt;/D&gt;&lt;D xsi:type="xsd:double"&gt;0.007626706&lt;/D&gt;&lt;D xsi:type="xsd:double"&gt;0.07007951&lt;/D&gt;&lt;D xsi:type="xsd:double"&gt;0.21421039&lt;/D&gt;&lt;D xsi:type="xsd:double"&gt;0.5905112&lt;/D&gt;&lt;D xsi:type="xsd:double"&gt;0.2752671&lt;/D&gt;&lt;D xsi:type="xsd:double"&gt;0.22788298&lt;/D&gt;&lt;D xsi:type="xsd:double"&gt;1&lt;/D&gt;&lt;D xsi:type="xsd:double"&gt;0.59456414&lt;/D&gt;&lt;D xsi:type="xsd:double"&gt;0.24622768&lt;/D&gt;&lt;D xsi:type="xsd:double"&gt;0.2790059&lt;/D&gt;&lt;D xsi:type="xsd:double"&gt;0.35762453&lt;/D&gt;&lt;D xsi:type="xsd:double"&gt;0.3621981&lt;/D&gt;&lt;D xsi:type="xsd:double"&gt;0.14281468&lt;/D&gt;&lt;D xsi:type="xsd:double"&gt;0.24441767&lt;/D&gt;&lt;D xsi:type="xsd:double"&gt;0.18713176&lt;/D&gt;&lt;D xsi:type="xsd:double"&gt;0.1861144&lt;/D&gt;&lt;D xsi:type="xsd:double"&gt;0.21109301&lt;/D&gt;&lt;D xsi:type="xsd:double"&gt;0.2967694&lt;/D&gt;&lt;D xsi:type="xsd:double"&gt;0.2942744&lt;/D&gt;&lt;D xsi:type="xsd:double"&gt;0.35786352&lt;/D&gt;&lt;D xsi:type="xsd:double"&gt;0.30823216&lt;/D&gt;&lt;D xsi:type="xsd:double"&gt;0.13569726&lt;/D&gt;&lt;D xsi:type="xsd:double"&gt;0.18180744&lt;/D&gt;&lt;D xsi:type="xsd:double"&gt;0.19068079&lt;/D&gt;&lt;D xsi:type="xsd:double"&gt;0.2555874&lt;/D&gt;&lt;D xsi:type="xsd:double"&gt;0.3245382&lt;/D&gt;&lt;D xsi:type="xsd:double"&gt;0.3231531&lt;/D&gt;&lt;D xsi:type="xsd:double"&gt;0.24430111&lt;/D&gt;&lt;D xsi:type="xsd:double"&gt;0.29865968&lt;/D&gt;&lt;D xsi:type="xsd:double"&gt;0.3054061&lt;/D&gt;&lt;D xsi:type="xsd:double"&gt;0.3648552&lt;/D&gt;&lt;D xsi:type="xsd:double"&gt;0.28785595&lt;/D&gt;&lt;D xsi:type="xsd:double"&gt;0.35153133&lt;/D&gt;&lt;D xsi:type="xsd:double"&gt;0.231974&lt;/D&gt;&lt;D xsi:type="xsd:double"&gt;0.42130694&lt;/D&gt;&lt;D xsi:type="xsd:double"&gt;0.27971545&lt;/D&gt;&lt;D xsi:type="xsd:double"&gt;0.31579438&lt;/D&gt;&lt;D xsi:type="xsd:double"&gt;0.37872767&lt;/D&gt;&lt;D xsi:type="xsd:double"&gt;0.2777503&lt;/D&gt;&lt;D xsi:type="xsd:double"&gt;0.053371355&lt;/D&gt;&lt;D xsi:type="xsd:double"&gt;0.12667677&lt;/D&gt;&lt;D xsi:type="xsd:double"&gt;0.30972564&lt;/D&gt;&lt;D xsi:type="xsd:double"&gt;0.3230983&lt;/D&gt;&lt;D xsi:type="xsd:double"&gt;0.3109841&lt;/D&gt;&lt;D xsi:type="xsd:double"&gt;0.24231547&lt;/D&gt;&lt;D xsi:type="xsd:double"&gt;0.25353044&lt;/D&gt;&lt;D xsi:type="xsd:double"&gt;0.2764172&lt;/D&gt;&lt;D xsi:type="xsd:double"&gt;0.2193862&lt;/D&gt;&lt;D xsi:type="xsd:double"&gt;0.18439248&lt;/D&gt;&lt;D xsi:type="xsd:double"&gt;0.31627488&lt;/D&gt;&lt;D xsi:type="xsd:double"&gt;0.36912435&lt;/D&gt;&lt;D xsi:type="xsd:double"&gt;0.2765213&lt;/D&gt;&lt;D xsi:type="xsd:double"&gt;0.28518787&lt;/D&gt;&lt;D xsi:type="xsd:double"&gt;0.27976257&lt;/D&gt;&lt;D xsi:type="xsd:double"&gt;0.21230635&lt;/D&gt;&lt;D xsi:type="xsd:double"&gt;0.09191695&lt;/D&gt;&lt;D xsi:type="xsd:double"&gt;0.3059534&lt;/D&gt;&lt;D xsi:type="xsd:double"&gt;0.62689924&lt;/D&gt;&lt;D xsi:type="xsd:double"&gt;0.24799724&lt;/D&gt;&lt;D xsi:type="xsd:double"&gt;0.24493213&lt;/D&gt;&lt;D xsi:type="xsd:double"&gt;0.59456414&lt;/D&gt;&lt;D xsi:type="xsd:double"&gt;1&lt;/D&gt;&lt;D xsi:type="xsd:double"&gt;0.29720554&lt;/D&gt;&lt;D xsi:type="xsd:double"&gt;0.30589852&lt;/D&gt;&lt;D xsi:type="xsd:double"&gt;0.34337655&lt;/D&gt;&lt;D xsi:type="xsd:double"&gt;0.43670988&lt;/D&gt;&lt;D xsi:type="xsd:double"&gt;0.1409905&lt;/D&gt;&lt;D xsi:type="xsd:double"&gt;0.26495904&lt;/D&gt;&lt;D xsi:type="xsd:double"&gt;0.21382053&lt;/D&gt;&lt;D xsi:type="xsd:double"&gt;0.17885596&lt;/D&gt;&lt;D xsi:type="xsd:double"&gt;0.24121784&lt;/D&gt;&lt;D xsi:type="xsd:double"&gt;0.2458529&lt;/D&gt;&lt;D xsi:type="xsd:double"&gt;0.3920304&lt;/D&gt;&lt;D xsi:type="xsd:double"&gt;0.3945358&lt;/D&gt;&lt;D xsi:type="xsd:double"&gt;0.30680788&lt;/D&gt;&lt;D xsi:type="xsd:double"&gt;0.2490845&lt;/D&gt;&lt;D xsi:type="xsd:double"&gt;0.19422026&lt;/D&gt;&lt;D xsi:type="xsd:double"&gt;0.24666187&lt;/D&gt;&lt;D xsi:type="xsd:double"&gt;0.28441343&lt;/D&gt;&lt;D xsi:type="xsd:double"&gt;0.37882358&lt;/D&gt;&lt;D xsi:type="xsd:double"&gt;0.32516578&lt;/D&gt;&lt;D xsi:type="xsd:double"&gt;0.28618076&lt;/D&gt;&lt;D xsi:type="xsd:double"&gt;0.27231407&lt;/D&gt;&lt;D xsi:type="xsd:double"&gt;0.3531811&lt;/D&gt;&lt;D xsi:type="xsd:double"&gt;0.40861347&lt;/D&gt;&lt;D xsi:type="xsd:double"&gt;0.28920132&lt;/D&gt;&lt;D xsi:type="xsd:double"&gt;0.4093854&lt;/D&gt;&lt;D xsi:type="xsd:double"&gt;0.17012271&lt;/D&gt;&lt;D xsi:type="xsd:double"&gt;0.44010666&lt;/D&gt;&lt;D xsi:type="xsd:double"&gt;0.34353572&lt;/D&gt;&lt;D xsi:type="xsd:double"&gt;0.34340277&lt;/D&gt;&lt;D xsi:type="xsd:double"&gt;0.32252553&lt;/D&gt;&lt;D xsi:type="xsd:double"&gt;0.16803987&lt;/D&gt;&lt;D xsi:type="xsd:double"&gt;0.037919573&lt;/D&gt;&lt;D xsi:type="xsd:double"&gt;0.10767474&lt;/D&gt;&lt;D xsi:type="xsd:double"&gt;0.2290546&lt;/D&gt;&lt;D xsi:type="xsd:double"&gt;0.24821465&lt;/D&gt;&lt;D xsi:type="xsd:double"&gt;0.30922145&lt;/D&gt;&lt;D xsi:type="xsd:double"&gt;0.2200992&lt;/D&gt;&lt;D xsi:type="xsd:double"&gt;0.23151408&lt;/D&gt;&lt;D xsi:type="xsd:double"&gt;0.18430355&lt;/D&gt;&lt;D xsi:type="xsd:double"&gt;0.2362203&lt;/D&gt;&lt;D xsi:type="xsd:double"&gt;0.14802548&lt;/D&gt;&lt;D xsi:type="xsd:double"&gt;0.32472026&lt;/D&gt;&lt;D xsi:type="xsd:double"&gt;0.3227411&lt;/D&gt;&lt;D xsi:type="xsd:double"&gt;0.31336716&lt;/D&gt;&lt;D xsi:type="xsd:double"&gt;0.32305023&lt;/D&gt;&lt;D xsi:type="xsd:double"&gt;0.24329782&lt;/D&gt;&lt;D xsi:type="xsd:double"&gt;0.2384902&lt;/D&gt;&lt;D xsi:type="xsd:double"&gt;0.052354716&lt;/D&gt;&lt;D xsi:type="xsd:double"&gt;0.2709009&lt;/D&gt;&lt;D xsi:type="xsd:double"&gt;0.24672619&lt;/D&gt;&lt;D xsi:type="xsd:double"&gt;0.39079306&lt;/D&gt;&lt;D xsi:type="xsd:double"&gt;0.58308846&lt;/D&gt;&lt;D xsi:type="xsd:double"&gt;0.24622768&lt;/D&gt;&lt;D xsi:type="xsd:double"&gt;0.29720554&lt;/D&gt;&lt;D xsi:type="xsd:double"&gt;1&lt;/D&gt;&lt;D xsi:type="xsd:double"&gt;0.2765267&lt;/D&gt;&lt;D xsi:type="xsd:double"&gt;0.2810809&lt;/D&gt;&lt;D xsi:type="xsd:double"&gt;0.26156738&lt;/D&gt;&lt;D xsi:type="xsd:double"&gt;0.15758054&lt;/D&gt;&lt;D xsi:type="xsd:double"&gt;0.14538102&lt;/D&gt;&lt;D xsi:type="xsd:double"&gt;0.1606878&lt;/D&gt;&lt;D xsi:type="xsd:double"&gt;0.18350135&lt;/D&gt;&lt;D xsi:type="xsd:double"&gt;0.528024&lt;/D&gt;&lt;D xsi:type="xsd:double"&gt;0.46300212&lt;/D&gt;&lt;D xsi:type="xsd:double"&gt;0.17992984&lt;/D&gt;&lt;D xsi:type="xsd:double"&gt;0.51133937&lt;/D&gt;&lt;D xsi:type="xsd:double"&gt;0.47655067&lt;/D&gt;&lt;D xsi:type="xsd:double"&gt;0.09600114&lt;/D&gt;&lt;D xsi:type="xsd:double"&gt;0.4595731&lt;/D&gt;&lt;D xsi:type="xsd:double"&gt;0.21039611&lt;/D&gt;&lt;D xsi:type="xsd:double"&gt;0.3898072&lt;/D&gt;&lt;D xsi:type="xsd:double"&gt;0.14573197&lt;/D&gt;&lt;D xsi:type="xsd:double"&gt;0.36116818&lt;/D&gt;&lt;D xsi:type="xsd:double"&gt;0.20794371&lt;/D&gt;&lt;D xsi:type="xsd:double"&gt;0.44482467&lt;/D&gt;&lt;D xsi:type="xsd:double"&gt;0.4984764&lt;/D&gt;&lt;D xsi:type="xsd:double"&gt;0.5281465&lt;/D&gt;&lt;D xsi:type="xsd:double"&gt;0.5302485&lt;/D&gt;&lt;D xsi:type="xsd:double"&gt;0.27537027&lt;/D&gt;&lt;D xsi:type="xsd:double"&gt;0.36346978&lt;/D&gt;&lt;D xsi:type="xsd:double"&gt;0.40539667&lt;/D&gt;&lt;D xsi:type="xsd:double"&gt;0.15529096&lt;/D&gt;&lt;D xsi:type="xsd:double"&gt;0.32406166&lt;/D&gt;&lt;D xsi:type="xsd:double"&gt;0.53837925&lt;/D&gt;&lt;D xsi:type="xsd:double"&gt;0.14638172&lt;/D&gt;&lt;D xsi:type="xsd:double"&gt;0.3156107&lt;/D&gt;&lt;D xsi:type="xsd:double"&gt;0.17944498&lt;/D&gt;&lt;D xsi:type="xsd:double"&gt;0.34154293&lt;/D&gt;&lt;D xsi:type="xsd:double"&gt;0.38000038&lt;/D&gt;&lt;D xsi:type="xsd:double"&gt;0.47789118&lt;/D&gt;&lt;D xsi:type="xsd:double"&gt;0.47337073&lt;/D&gt;&lt;D xsi:type="xsd:double"&gt;0.42501935&lt;/D&gt;&lt;D xsi:type="xsd:double"&gt;0.39400396&lt;/D&gt;&lt;D xsi:type="xsd:double"&gt;0.29374543&lt;/D&gt;&lt;D xsi:type="xsd:double"&gt;0.26271802&lt;/D&gt;&lt;D xsi:type="xsd:double"&gt;0.51633465&lt;/D&gt;&lt;D xsi:type="xsd:double"&gt;0.4482785&lt;/D&gt;&lt;D xsi:type="xsd:double"&gt;0.5599375&lt;/D&gt;&lt;D xsi:type="xsd:double"&gt;0.4949371&lt;/D&gt;&lt;D xsi:type="xsd:double"&gt;0.49629316&lt;/D&gt;&lt;D xsi:type="xsd:double"&gt;-0.056444313&lt;/D&gt;&lt;D xsi:type="xsd:double"&gt;0.1841284&lt;/D&gt;&lt;D xsi:type="xsd:double"&gt;0.20262066&lt;/D&gt;&lt;D xsi:type="xsd:double"&gt;0.38621086&lt;/D&gt;&lt;D xsi:type="xsd:double"&gt;0.12259447&lt;/D&gt;&lt;D xsi:type="xsd:double"&gt;0.20440012&lt;/D&gt;&lt;D xsi:type="xsd:double"&gt;0.2790059&lt;/D&gt;&lt;D xsi:type="xsd:double"&gt;0.30589852&lt;/D&gt;&lt;D xsi:type="xsd:double"&gt;0.2765267&lt;/D&gt;&lt;D xsi:type="xsd:double"&gt;1&lt;/D&gt;&lt;D xsi:type="xsd:double"&gt;0.59541434&lt;/D&gt;&lt;D xsi:type="xsd:double"&gt;0.33210444&lt;/D&gt;&lt;D xsi:type="xsd:double"&gt;0.08312402&lt;/D&gt;&lt;D xsi:type="xsd:double"&gt;0.20757487&lt;/D&gt;&lt;D xsi:type="xsd:double"&gt;0.36080942&lt;/D&gt;&lt;D xsi:type="xsd:double"&gt;0.13065301&lt;/D&gt;&lt;D xsi:type="xsd:double"&gt;0.16872405&lt;/D&gt;&lt;D xsi:type="xsd:double"&gt;0.24353985&lt;/D&gt;&lt;D xsi:type="xsd:double"&gt;0.37719905&lt;/D&gt;&lt;D xsi:type="xsd:double"&gt;0.42979074&lt;/D&gt;&lt;D xsi:type="xsd:double"&gt;0.17759924&lt;/D&gt;&lt;D xsi:type="xsd:double"&gt;0.32320285&lt;/D&gt;&lt;D xsi:type="xsd:double"&gt;0.1930194&lt;/D&gt;&lt;D xsi:type="xsd:double"&gt;0.39652526&lt;/D&gt;&lt;D xsi:type="xsd:double"&gt;0.23614803&lt;/D&gt;&lt;D xsi:type="xsd:double"&gt;0.2113672&lt;/D&gt;&lt;D xsi:type="xsd:double"&gt;0.15297565&lt;/D&gt;&lt;D xsi:type="xsd:double"&gt;0.2335877&lt;/D&gt;&lt;D xsi:type="xsd:double"&gt;0.20549737&lt;/D&gt;&lt;D xsi:type="xsd:double"&gt;0.273523&lt;/D&gt;&lt;D xsi:type="xsd:double"&gt;0.34060767&lt;/D&gt;&lt;D xsi:type="xsd:double"&gt;0.10892605&lt;/D&gt;&lt;D xsi:type="xsd:double"&gt;0.2677907&lt;/D&gt;&lt;D xsi:type="xsd:double"&gt;0.04257386&lt;/D&gt;&lt;D xsi:type="xsd:double"&gt;0.41969043&lt;/D&gt;&lt;D xsi:type="xsd:double"&gt;0.26672912&lt;/D&gt;&lt;D xsi:type="xsd:double"&gt;0.22344452&lt;/D&gt;&lt;D xsi:type="xsd:double"&gt;0.15928228&lt;/D&gt;&lt;D xsi:type="xsd:double"&gt;0.21711294&lt;/D&gt;&lt;D xsi:type="xsd:double"&gt;0.028060826&lt;/D&gt;&lt;D xsi:type="xsd:double"&gt;0.056736536&lt;/D&gt;&lt;D xsi:type="xsd:double"&gt;0.18524307&lt;/D&gt;&lt;D xsi:type="xsd:double"&gt;0.13439295&lt;/D&gt;&lt;D xsi:type="xsd:double"&gt;0.32297498&lt;/D&gt;&lt;D xsi:type="xsd:double"&gt;0.265722&lt;/D&gt;&lt;D xsi:type="xsd:double"&gt;0.20675087&lt;/D&gt;&lt;D xsi:type="xsd:double"&gt;0.06513306&lt;/D&gt;&lt;D xsi:type="xsd:double"&gt;0.08009359&lt;/D&gt;&lt;D xsi:type="xsd:double"&gt;0.0038530556&lt;/D&gt;&lt;D xsi:type="xsd:double"&gt;0.16638061&lt;/D&gt;&lt;D xsi:type="xsd:double"&gt;0.220829&lt;/D&gt;&lt;D xsi:type="xsd:double"&gt;0.17380139&lt;/D&gt;&lt;D xsi:type="xsd:double"&gt;0.22433533&lt;/D&gt;&lt;D xsi:type="xsd:double"&gt;0.33527634&lt;/D&gt;&lt;D xsi:type="xsd:double"&gt;0.13261673&lt;/D&gt;&lt;D xsi:type="xsd:double"&gt;0.096641935&lt;/D&gt;&lt;D xsi:type="xsd:double"&gt;0.097493716&lt;/D&gt;&lt;D xsi:type="xsd:double"&gt;0.4080772&lt;/D&gt;&lt;D xsi:type="xsd:double"&gt;0.17855693&lt;/D&gt;&lt;D xsi:type="xsd:double"&gt;0.26080424&lt;/D&gt;&lt;D xsi:type="xsd:double"&gt;0.35762453&lt;/D&gt;&lt;D xsi:type="xsd:double"&gt;0.34337655&lt;/D&gt;&lt;D xsi:type="xsd:double"&gt;0.2810809&lt;/D&gt;&lt;D xsi:type="xsd:double"&gt;0.59541434&lt;/D&gt;&lt;D xsi:type="xsd:double"&gt;1&lt;/D&gt;&lt;D xsi:type="xsd:double"&gt;0.3196725&lt;/D&gt;&lt;D xsi:type="xsd:double"&gt;0.015972981&lt;/D&gt;&lt;D xsi:type="xsd:double"&gt;0.24309766&lt;/D&gt;&lt;D xsi:type="xsd:double"&gt;0.3936254&lt;/D&gt;&lt;D xsi:type="xsd:double"&gt;0.11296586&lt;/D&gt;&lt;D xsi:type="xsd:double"&gt;0.18427016&lt;/D&gt;&lt;D xsi:type="xsd:double"&gt;0.24788369&lt;/D&gt;&lt;D xsi:type="xsd:double"&gt;0.41040674&lt;/D&gt;&lt;D xsi:type="xsd:double"&gt;0.43407068&lt;/D&gt;&lt;D xsi:type="xsd:double"&gt;0.2542516&lt;/D&gt;&lt;D xsi:type="xsd:double"&gt;0.28357476&lt;/D&gt;&lt;D xsi:type="xsd:double"&gt;0.23018886&lt;/D&gt;&lt;D xsi:type="xsd:double"&gt;0.42372853&lt;/D&gt;&lt;D xsi:type="xsd:double"&gt;0.25300652&lt;/D&gt;&lt;D xsi:type="xsd:double"&gt;0.20037942&lt;/D&gt;&lt;D xsi:type="xsd:double"&gt;0.26265004&lt;/D&gt;&lt;D xsi:type="xsd:double"&gt;0.19262981&lt;/D&gt;&lt;D xsi:type="xsd:double"&gt;0.18526334&lt;/D&gt;&lt;D xsi:type="xsd:double"&gt;0.25548968&lt;/D&gt;&lt;D xsi:type="xsd:double"&gt;0.357519&lt;/D&gt;&lt;D xsi:type="xsd:double"&gt;0.18954273&lt;/D&gt;&lt;D xsi:type="xsd:double"&gt;0.25873458&lt;/D&gt;&lt;D xsi:type="xsd:double"&gt;0.055779677&lt;/D&gt;&lt;D xsi:type="xsd:double"&gt;0.4280298&lt;/D&gt;&lt;D xsi:type="xsd:double"&gt;0.2234625&lt;/D&gt;&lt;D xsi:type="xsd:double"&gt;0.16698833&lt;/D&gt;&lt;D xsi:type="xsd:double"&gt;0.21865244&lt;/D&gt;&lt;D xsi:type="xsd:double"&gt;0.31774324&lt;/D&gt;&lt;D xsi:type="xsd:double"&gt;0.108577944&lt;/D&gt;&lt;D xsi:type="xsd:double"&gt;0.167007&lt;/D&gt;&lt;D xsi:type="xsd:double"&gt;0.23735818&lt;/D&gt;&lt;D xsi:type="xsd:double"&gt;0.12605022&lt;/D&gt;&lt;D xsi:type="xsd:double"&gt;0.29318658&lt;/D&gt;&lt;D xsi:type="xsd:double"&gt;0.21668963&lt;/D&gt;&lt;D xsi:type="xsd:double"&gt;0.2732042&lt;/D&gt;&lt;D xsi:type="xsd:double"&gt;0.157218&lt;/D&gt;&lt;D xsi:type="xsd:double"&gt;0.06199263&lt;/D&gt;&lt;D xsi:type="xsd:double"&gt;0.013563165&lt;/D&gt;&lt;D xsi:type="xsd:double"&gt;0.24280508&lt;/D&gt;&lt;D xsi:type="xsd:double"&gt;0.25139627&lt;/D&gt;&lt;D xsi:type="xsd:double"&gt;0.25410113&lt;/D&gt;&lt;D xsi:type="xsd:double"&gt;0.24664809&lt;/D&gt;&lt;D xsi:type="xsd:double"&gt;0.32627255&lt;/D&gt;&lt;D xsi:type="xsd:double"&gt;0.102110706&lt;/D&gt;&lt;D xsi:type="xsd:double"&gt;0.043362662&lt;/D&gt;&lt;D xsi:type="xsd:double"&gt;0.2761756&lt;/D&gt;&lt;D xsi:type="xsd:double"&gt;0.36851835&lt;/D&gt;&lt;D xsi:type="xsd:double"&gt;0.2630324&lt;/D&gt;&lt;D xsi:type="xsd:double"&gt;0.15249099&lt;/D&gt;&lt;D xsi:type="xsd:double"&gt;0.3621981&lt;/D&gt;&lt;D xsi:type="xsd:double"&gt;0.43670988&lt;/D&gt;&lt;D xsi:type="xsd:double"&gt;0.26156738&lt;/D&gt;&lt;D xsi:type="xsd:double"&gt;0.33210444&lt;/D&gt;&lt;D xsi:type="xsd:double"&gt;0.3196725&lt;/D&gt;&lt;D xsi:type="xsd:double"&gt;1&lt;/D&gt;&lt;D xsi:type="xsd:double"&gt;0.13936359&lt;/D&gt;&lt;D xsi:type="xsd:double"&gt;0.27058423&lt;/D&gt;&lt;D xsi:type="xsd:double"&gt;0.16850787&lt;/D&gt;&lt;D xsi:type="xsd:double"&gt;0.14111084&lt;/D&gt;&lt;D xsi:type="xsd:double"&gt;0.17581394&lt;/D&gt;&lt;D xsi:type="xsd:double"&gt;0.34396988&lt;/D&gt;&lt;D xsi:type="xsd:double"&gt;0.38726735&lt;/D&gt;&lt;D xsi:type="xsd:double"&gt;0.33134356&lt;/D&gt;&lt;D xsi:type="xsd:double"&gt;0.3101503&lt;/D&gt;&lt;D xsi:type="xsd:double"&gt;0.23535341&lt;/D&gt;&lt;D xsi:type="xsd:double"&gt;0.19174223&lt;/D&gt;&lt;D xsi:type="xsd:double"&gt;0.2827101&lt;/D&gt;&lt;D xsi:type="xsd:double"&gt;0.29728222&lt;/D&gt;&lt;D xsi:type="xsd:double"&gt;0.27129704&lt;/D&gt;&lt;D xsi:type="xsd:double"&gt;0.2563179&lt;/D&gt;&lt;D xsi:type="xsd:double"&gt;0.28702724&lt;/D&gt;&lt;D xsi:type="xsd:double"&gt;0.34003845&lt;/D&gt;&lt;D xsi:type="xsd:double"&gt;0.34853056&lt;/D&gt;&lt;D xsi:type="xsd:double"&gt;0.35790813&lt;/D&gt;&lt;D xsi:type="xsd:double"&gt;0.26448482&lt;/D&gt;&lt;D xsi:type="xsd:double"&gt;0.3486187&lt;/D&gt;&lt;D xsi:type="xsd:double"&gt;0.15527445&lt;/D&gt;&lt;D xsi:type="xsd:double"&gt;0.37367842&lt;/D&gt;&lt;D xsi:type="xsd:double"&gt;0.35317433&lt;/D&gt;&lt;D xsi:type="xsd:double"&gt;0.1998292&lt;/D&gt;&lt;D xsi:type="xsd:double"&gt;0.39582807&lt;/D&gt;&lt;D xsi:type="xsd:double"&gt;0.31011721&lt;/D&gt;&lt;D xsi:type="xsd:double"&gt;0.0029858092&lt;/D&gt;&lt;D xsi:type="xsd:double"&gt;0.16243285&lt;/D&gt;&lt;D xsi:type="xsd:double"&gt;0.22612743&lt;/D&gt;&lt;D xsi:type="xsd:double"&gt;0.3485456&lt;/D&gt;&lt;D xsi:type="xsd:double"&gt;0.2829464&lt;/D&gt;&lt;D xsi:type="xsd:double"&gt;0.2505848&lt;/D&gt;&lt;D xsi:type="xsd:double"&gt;0.4055005&lt;/D&gt;&lt;D xsi:type="xsd:double"&gt;0.22988197&lt;/D&gt;&lt;D xsi:type="xsd:double"&gt;0.24763742&lt;/D&gt;&lt;D xsi:type="xsd:double"&gt;0.17048614&lt;/D&gt;&lt;D xsi:type="xsd:double"&gt;0.3343653&lt;/D&gt;&lt;D xsi:type="xsd:double"&gt;0.39978948&lt;/D&gt;&lt;D xsi:type="xsd:double"&gt;0.21580192&lt;/D&gt;&lt;D xsi:type="xsd:double"&gt;0.30033737&lt;/D&gt;&lt;D xsi:type="xsd:double"&gt;0.17272341&lt;/D&gt;&lt;D xsi:type="xsd:double"&gt;0.23711915&lt;/D&gt;&lt;D xsi:type="xsd:double"&gt;0.040177863&lt;/D&gt;&lt;D xsi:type="xsd:double"&gt;0.2792872&lt;/D&gt;&lt;D xsi:type="xsd:double"&gt;0.16887173&lt;/D&gt;&lt;D xsi:type="xsd:double"&gt;0.08333934&lt;/D&gt;&lt;D xsi:type="xsd:double"&gt;0.2274982&lt;/D&gt;&lt;D xsi:type="xsd:double"&gt;0.14281468&lt;/D&gt;&lt;D xsi:type="xsd:double"&gt;0.1409905&lt;/D&gt;&lt;D xsi:type="xsd:double"&gt;0.15758054&lt;/D&gt;&lt;D xsi:type="xsd:double"&gt;0.08312402&lt;/D&gt;&lt;D xsi:type="xsd:double"&gt;0.015972981&lt;/D&gt;&lt;D xsi:type="xsd:double"&gt;0.13936359&lt;/D&gt;&lt;D xsi:type="xsd:double"&gt;1&lt;/D&gt;&lt;D xsi:type="xsd:double"&gt;0.08193663&lt;/D&gt;&lt;D xsi:type="xsd:double"&gt;-0.009984309&lt;/D&gt;&lt;D xsi:type="xsd:double"&gt;0.7909216&lt;/D&gt;&lt;D xsi:type="xsd:double"&gt;0.22081926&lt;/D&gt;&lt;D xsi:type="xsd:double"&gt;0.16288204&lt;/D&gt;&lt;D xsi:type="xsd:double"&gt;0.12353887&lt;/D&gt;&lt;D xsi:type="xsd:double"&gt;0.13976435&lt;/D&gt;&lt;D xsi:type="xsd:double"&gt;0.0799946&lt;/D&gt;&lt;D xsi:type="xsd:double"&gt;-0.00029537576&lt;/D&gt;&lt;D xsi:type="xsd:double"&gt;0.020917341&lt;/D&gt;&lt;D xsi:type="xsd:double"&gt;0.018698664&lt;/D&gt;&lt;D xsi:type="xsd:double"&gt;0.23014589&lt;/D&gt;&lt;D xsi:type="xsd:double"&gt;0.18813114&lt;/D&gt;&lt;D xsi:type="xsd:double"&gt;0.14656678&lt;/D&gt;&lt;D xsi:type="xsd:double"&gt;0.07345233&lt;/D&gt;&lt;D xsi:type="xsd:double"&gt;0.28133366&lt;/D&gt;&lt;D xsi:type="xsd:double"&gt;0.18259466&lt;/D&gt;&lt;D xsi:type="xsd:double"&gt;0.16404776&lt;/D&gt;&lt;D xsi:type="xsd:double"&gt;0.23542531&lt;/D&gt;&lt;D xsi:type="xsd:double"&gt;0.23266354&lt;/D&gt;&lt;D xsi:type="xsd:double"&gt;0.08172505&lt;/D&gt;&lt;D xsi:type="xsd:double"&gt;0.20306657&lt;/D&gt;&lt;D xsi:type="xsd:double"&gt;0.17813039&lt;/D&gt;&lt;D xsi:type="xsd:double"&gt;0.21107449&lt;/D&gt;&lt;D xsi:type="xsd:double"&gt;0.14662594&lt;/D&gt;&lt;D xsi:type="xsd:double"&gt;0.065998755&lt;/D&gt;&lt;D xsi:type="xsd:double"&gt;0.117728055&lt;/D&gt;&lt;D xsi:type="xsd:double"&gt;0.08838433&lt;/D&gt;&lt;D xsi:type="xsd:double"&gt;-0.021602994&lt;/D&gt;&lt;D xsi:type="xsd:double"&gt;0.14651273&lt;/D&gt;&lt;D xsi:type="xsd:double"&gt;0.20412068&lt;/D&gt;&lt;D xsi:type="xsd:double"&gt;0.17868339&lt;/D&gt;&lt;D xsi:type="xsd:double"&gt;0.123900175&lt;/D&gt;&lt;D xsi:type="xsd:double"&gt;0.13136731&lt;/D&gt;&lt;D xsi:type="xsd:double"&gt;0.10250765&lt;/D&gt;&lt;D xsi:type="xsd:double"&gt;0.22861181&lt;/D&gt;&lt;D xsi:type="xsd:double"&gt;0.13818759&lt;/D&gt;&lt;D xsi:type="xsd:double"&gt;0.13018793&lt;/D&gt;&lt;D xsi:type="xsd:double"&gt;0.16425037&lt;/D&gt;&lt;D xsi:type="xsd:double"&gt;0.15625001&lt;/D&gt;&lt;D xsi:type="xsd:double"&gt;0.12784481&lt;/D&gt;&lt;D xsi:type="xsd:double"&gt;0.23072533&lt;/D&gt;&lt;D xsi:type="xsd:double"&gt;0.082051314&lt;/D&gt;&lt;D xsi:type="xsd:double"&gt;0.05769677&lt;/D&gt;&lt;D xsi:type="xsd:double"&gt;0.23129733&lt;/D&gt;&lt;D xsi:type="xsd:double"&gt;0.105130285&lt;/D&gt;&lt;D xsi:type="xsd:double"&gt;0.09965538&lt;/D&gt;&lt;D xsi:type="xsd:double"&gt;0.24441767&lt;/D&gt;&lt;D xsi:type="xsd:double"&gt;0.26495904&lt;/D&gt;&lt;D xsi:type="xsd:double"&gt;0.14538102&lt;/D&gt;&lt;D xsi:type="xsd:double"&gt;0.20757487&lt;/D&gt;&lt;D xsi:type="xsd:double"&gt;0.24309766&lt;/D&gt;&lt;D xsi:type="xsd:double"&gt;0.27058423&lt;/D&gt;&lt;D xsi:type="xsd:double"&gt;0.08193663&lt;/D&gt;&lt;D xsi:type="xsd:double"&gt;1&lt;/D&gt;&lt;D xsi:type="xsd:double"&gt;0.23916315&lt;/D&gt;&lt;D xsi:type="xsd:double"&gt;0.044750277&lt;/D&gt;&lt;D xsi:type="xsd:double"&gt;0.016981214&lt;/D&gt;&lt;D xsi:type="xsd:double"&gt;0.1617123&lt;/D&gt;&lt;D xsi:type="xsd:double"&gt;0.27294004&lt;/D&gt;&lt;D xsi:type="xsd:double"&gt;0.30260155&lt;/D&gt;&lt;D xsi:type="xsd:double"&gt;0.1000748&lt;/D&gt;&lt;D xsi:type="xsd:double"&gt;0.14474975&lt;/D&gt;&lt;D xsi:type="xsd:double"&gt;0.12904517&lt;/D&gt;&lt;D xsi:type="xsd:double"&gt;0.29296362&lt;/D&gt;&lt;D xsi:type="xsd:double"&gt;0.1566596&lt;/D&gt;&lt;D xsi:type="xsd:double"&gt;0.32688093&lt;/D&gt;&lt;D xsi:type="xsd:double"&gt;0.2028914&lt;/D&gt;&lt;D xsi:type="xsd:double"&gt;0.29419872&lt;/D&gt;&lt;D xsi:type="xsd:double"&gt;0.21292174&lt;/D&gt;&lt;D xsi:type="xsd:double"&gt;0.11496535&lt;/D&gt;&lt;D xsi:type="xsd:double"&gt;0.16225684&lt;/D&gt;&lt;D xsi:type="xsd:double"&gt;0.16923365&lt;/D&gt;&lt;D xsi:type="xsd:double"&gt;0.4699483&lt;/D&gt;&lt;D xsi:type="xsd:double"&gt;0.07854787&lt;/D&gt;&lt;D xsi:type="xsd:double"&gt;0.26281947&lt;/D&gt;&lt;D xsi:type="xsd:double"&gt;0.547751&lt;/D&gt;&lt;D xsi:type="xsd:double"&gt;0.25157738&lt;/D&gt;&lt;D xsi:type="xsd:double"&gt;0.20976432&lt;/D&gt;&lt;D xsi:type="xsd:double"&gt;0.14224622&lt;/D&gt;&lt;D xsi:type="xsd:double"&gt;0.039051194&lt;/D&gt;&lt;D xsi:type="xsd:double"&gt;0.14397705&lt;/D&gt;&lt;D xsi:type="xsd:double"&gt;0.20232314&lt;/D&gt;&lt;D xsi:type="xsd:double"&gt;0.14918454&lt;/D&gt;&lt;D xsi:type="xsd:double"&gt;0.18004538&lt;/D&gt;&lt;D xsi:type="xsd:double"&gt;0.12029586&lt;/D&gt;&lt;D xsi:type="xsd:double"&gt;0.19683449&lt;/D&gt;&lt;D xsi:type="xsd:double"&gt;0.17798015&lt;/D&gt;&lt;D xsi:type="xsd:double"&gt;0.069902845&lt;/D&gt;&lt;D xsi:type="xsd:double"&gt;0.13757965&lt;/D&gt;&lt;D xsi:type="xsd:double"&gt;0.21731067&lt;/D&gt;&lt;D xsi:type="xsd:double"&gt;0.20375265&lt;/D&gt;&lt;D xsi:type="xsd:double"&gt;0.12965497&lt;/D&gt;&lt;D xsi:type="xsd:double"&gt;0.169486&lt;/D&gt;&lt;D xsi:type="xsd:double"&gt;0.104696594&lt;/D&gt;&lt;D xsi:type="xsd:double"&gt;0.46910724&lt;/D&gt;&lt;D xsi:type="xsd:double"&gt;0.08368505&lt;/D&gt;&lt;D xsi:type="xsd:double"&gt;0.00932376&lt;/D&gt;&lt;D xsi:type="xsd:double"&gt;0.30663174&lt;/D&gt;&lt;D xsi:type="xsd:double"&gt;-0.035203863&lt;/D&gt;&lt;D xsi:type="xsd:double"&gt;0.16391128&lt;/D&gt;&lt;D xsi:type="xsd:double"&gt;0.18713176&lt;/D&gt;&lt;D xsi:type="xsd:double"&gt;0.21382053&lt;/D&gt;&lt;D xsi:type="xsd:double"&gt;0.1606878&lt;/D&gt;&lt;D xsi:type="xsd:double"&gt;0.36080942&lt;/D&gt;&lt;D xsi:type="xsd:double"&gt;0.3936254&lt;/D&gt;&lt;D xsi:type="xsd:double"&gt;0.16850787&lt;/D&gt;&lt;D xsi:type="xsd:double"&gt;-0.009984309&lt;/D&gt;&lt;D xsi:type="xsd:double"&gt;0.23916315&lt;/D&gt;&lt;D xsi:type="xsd:double"&gt;1&lt;/D&gt;&lt;D xsi:type="xsd:double"&gt;0.017160218&lt;/D&gt;&lt;D xsi:type="xsd:double"&gt;0.052258138&lt;/D&gt;&lt;D xsi:type="xsd:double"&gt;0.13396566&lt;/D&gt;&lt;D xsi:type="xsd:double"&gt;0.30847242&lt;/D&gt;&lt;D xsi:type="xsd:double"&gt;0.3752576&lt;/D&gt;&lt;D xsi:type="xsd:double"&gt;0.20378281&lt;/D&gt;&lt;D xsi:type="xsd:double"&gt;0.32593262&lt;/D&gt;&lt;D xsi:type="xsd:double"&gt;0.2206401&lt;/D&gt;&lt;D xsi:type="xsd:double"&gt;0.648836&lt;/D&gt;&lt;D xsi:type="xsd:double"&gt;0.09883254&lt;/D&gt;&lt;D xsi:type="xsd:double"&gt;0.12571628&lt;/D&gt;&lt;D xsi:type="xsd:double"&gt;0.05776715&lt;/D&gt;&lt;D xsi:type="xsd:double"&gt;0.15091081&lt;/D&gt;&lt;D xsi:type="xsd:double"&gt;0.10077234&lt;/D&gt;&lt;D xsi:type="xsd:double"&gt;0.17820512&lt;/D&gt;&lt;D xsi:type="xsd:double"&gt;0.27055702&lt;/D&gt;&lt;D xsi:type="xsd:double"&gt;0.0019894002&lt;/D&gt;&lt;D xsi:type="xsd:double"&gt;0.1732416&lt;/D&gt;&lt;D xsi:type="xsd:double"&gt;0.025661021&lt;/D&gt;&lt;D xsi:type="xsd:double"&gt;0.27103207&lt;/D&gt;&lt;D xsi:type="xsd:double"&gt;0.19139676&lt;/D&gt;&lt;D xsi:type="xsd:double"&gt;0.06914001&lt;/D&gt;&lt;D xsi:type="xsd:double"&gt;-0.05996301&lt;/D&gt;&lt;D xsi:type="xsd:double"&gt;0.14272022&lt;/D&gt;&lt;D xsi:type="xsd:double"&gt;-0.03806321&lt;/D&gt;&lt;D xsi:type="xsd:double"&gt;0.15754732&lt;/D&gt;&lt;D xsi:type="xsd:double"&gt;0.12112467&lt;/D&gt;&lt;D xsi:type="xsd:double"&gt;-0.06118309&lt;/D&gt;&lt;D xsi:type="xsd:double"&gt;0.18597619&lt;/D&gt;&lt;D xsi:type="xsd:double"&gt;0.101451896&lt;/D&gt;&lt;D xsi:type="xsd:double"&gt;0.01694293&lt;/D&gt;&lt;D xsi:type="xsd:double"&gt;-0.014069495&lt;/D&gt;&lt;D xsi:type="xsd:double"&gt;-0.07146646&lt;/D&gt;&lt;D xsi:type="xsd:double"&gt;-0.099539764&lt;/D&gt;&lt;D xsi:type="xsd:double"&gt;0.093751&lt;/D&gt;&lt;D xsi:type="xsd:double"&gt;0.07784206&lt;/D&gt;&lt;D xsi:type="xsd:double"&gt;0.107084066&lt;/D&gt;&lt;D xsi:type="xsd:double"&gt;0.1400503&lt;/D&gt;&lt;D xsi:type="xsd:double"&gt;0.19602941&lt;/D&gt;&lt;D xsi:type="xsd:double"&gt;0.109647505&lt;/D&gt;&lt;D xsi:type="xsd:double"&gt;0.014801277&lt;/D&gt;&lt;D xsi:type="xsd:double"&gt;0.32412335&lt;/D&gt;&lt;D xsi:type="xsd:double"&gt;0.23434864&lt;/D&gt;&lt;D xsi:type="xsd:double"&gt;0.122267865&lt;/D&gt;&lt;D xsi:type="xsd:double"&gt;0.23482536&lt;/D&gt;&lt;D xsi:type="xsd:double"&gt;0.1861144&lt;/D&gt;&lt;D xsi:type="xsd:double"&gt;0.17885596&lt;/D&gt;&lt;D xsi:type="xsd:double"&gt;0.18350135&lt;/D&gt;&lt;D xsi:type="xsd:double"&gt;0.13065301&lt;/D&gt;&lt;D xsi:type="xsd:double"&gt;0.11296586&lt;/D&gt;&lt;D xsi:type="xsd:double"&gt;0.14111084&lt;/D&gt;&lt;D xsi:type="xsd:double"&gt;0.7909216&lt;/D&gt;&lt;D xsi:type="xsd:double"&gt;0.044750277&lt;/D&gt;&lt;D xsi:type="xsd:double"&gt;0.017160218&lt;/D&gt;&lt;D xsi:type="xsd:double"&gt;1&lt;/D&gt;&lt;D xsi:type="xsd:double"&gt;0.26975968&lt;/D&gt;&lt;D xsi:type="xsd:double"&gt;0.15862134&lt;/D&gt;&lt;D xsi:type="xsd:double"&gt;0.16991493&lt;/D&gt;&lt;D xsi:type="xsd:double"&gt;0.14354035&lt;/D&gt;&lt;D xsi:type="xsd:double"&gt;0.08533086&lt;/D&gt;&lt;D xsi:type="xsd:double"&gt;0.023137782&lt;/D&gt;&lt;D xsi:type="xsd:double"&gt;0.04225017&lt;/D&gt;&lt;D xsi:type="xsd:double"&gt;0.07219264&lt;/D&gt;&lt;D xsi:type="xsd:double"&gt;0.23975208&lt;/D&gt;&lt;D xsi:type="xsd:double"&gt;0.1992495&lt;/D&gt;&lt;D xsi:type="xsd:double"&gt;0.17663279&lt;/D&gt;&lt;D xsi:type="xsd:double"&gt;0.10007403&lt;/D&gt;&lt;D xsi:type="xsd:double"&gt;0.2647177&lt;/D&gt;&lt;D xsi:type="xsd:double"&gt;0.19425324&lt;/D&gt;&lt;D xsi:type="xsd:double"&gt;0.17965929&lt;/D&gt;&lt;D xsi:type="xsd:double"&gt;0.21683453&lt;/D&gt;&lt;D xsi:type="xsd:double"&gt;0.16971618&lt;/D&gt;&lt;D xsi:type="xsd:double"&gt;0.13410823&lt;/D&gt;&lt;D xsi:type="xsd:double"&gt;0.18901707&lt;/D&gt;&lt;D xsi:type="xsd:double"&gt;0.114766166&lt;/D&gt;&lt;D xsi:type="xsd:double"&gt;0.23356119&lt;/D&gt;&lt;D xsi:type="xsd:double"&gt;0.17856295&lt;/D&gt;&lt;D xsi:type="xsd:double"&gt;0.15046673&lt;/D&gt;&lt;D xsi:type="xsd:double"&gt;0.004412793&lt;/D&gt;&lt;D xsi:type="xsd:double"&gt;0.112520434&lt;/D&gt;&lt;D xsi:type="xsd:double"&gt;-0.045712445&lt;/D&gt;&lt;D xsi:type="xsd:double"&gt;0.14959607&lt;/D&gt;&lt;D xsi:type="xsd:double"&gt;0.1914898&lt;/D&gt;&lt;D xsi:type="xsd:double"&gt;0.12227142&lt;/D&gt;&lt;D xsi:type="xsd:double"&gt;0.14057696&lt;/D&gt;&lt;D xsi:type="xsd:double"&gt;0.20874584&lt;/D&gt;&lt;D xsi:type="xsd:double"&gt;0.07653706&lt;/D&gt;&lt;D xsi:type="xsd:double"&gt;0.21467103&lt;/D&gt;&lt;D xsi:type="xsd:double"&gt;0.1645062&lt;/D&gt;&lt;D xsi:type="xsd:double"&gt;0.15121284&lt;/D&gt;&lt;D xsi:type="xsd:double"&gt;0.13743028&lt;/D&gt;&lt;D xsi:type="xsd:double"&gt;0.18710613&lt;/D&gt;&lt;D xsi:type="xsd:double"&gt;0.17943506&lt;/D&gt;&lt;D xsi:type="xsd:double"&gt;0.14450774&lt;/D&gt;&lt;D xsi:type="xsd:double"&gt;0.032514144&lt;/D&gt;&lt;D xsi:type="xsd:double"&gt;0.27744535&lt;/D&gt;&lt;D xsi:type="xsd:double"&gt;0.19595352&lt;/D&gt;&lt;D xsi:type="xsd:double"&gt;0.2604606&lt;/D&gt;&lt;D xsi:type="xsd:double"&gt;0.6944543&lt;/D&gt;&lt;D xsi:type="xsd:double"&gt;0.21109301&lt;/D&gt;&lt;D xsi:type="xsd:double"&gt;0.24121784&lt;/D&gt;&lt;D xsi:type="xsd:double"&gt;0.528024&lt;/D&gt;&lt;D xsi:type="xsd:double"&gt;0.16872405&lt;/D&gt;&lt;D xsi:type="xsd:double"&gt;0.18427016&lt;/D&gt;&lt;D xsi:type="xsd:double"&gt;0.17581394&lt;/D&gt;&lt;D xsi:type="xsd:double"&gt;0.22081926&lt;/D&gt;&lt;D xsi:type="xsd:double"&gt;0.016981214&lt;/D&gt;&lt;D xsi:type="xsd:double"&gt;0.052258138&lt;/D&gt;&lt;D xsi:type="xsd:double"&gt;0.26975968&lt;/D&gt;&lt;D xsi:type="xsd:double"&gt;1&lt;/D&gt;&lt;D xsi:type="xsd:double"&gt;0.46893924&lt;/D&gt;&lt;D xsi:type="xsd:double"&gt;0.016887756&lt;/D&gt;&lt;D xsi:type="xsd:double"&gt;0.2988954&lt;/D&gt;&lt;D xsi:type="xsd:double"&gt;0.4366007&lt;/D&gt;&lt;D xsi:type="xsd:double"&gt;-0.012362991&lt;/D&gt;&lt;D xsi:type="xsd:double"&gt;0.4221021&lt;/D&gt;&lt;D xsi:type="xsd:double"&gt;0.060187444&lt;/D&gt;&lt;D xsi:type="xsd:double"&gt;0.22438721&lt;/D&gt;&lt;D xsi:type="xsd:double"&gt;0.23885477&lt;/D&gt;&lt;D xsi:type="xsd:double"&gt;0.29591697&lt;/D&gt;&lt;D xsi:type="xsd:double"&gt;0.16750917&lt;/D&gt;&lt;D xsi:type="xsd:double"&gt;0.3944556&lt;/D&gt;&lt;D xsi:type="xsd:double"&gt;0.48735374&lt;/D&gt;&lt;D xsi:type="xsd:double"&gt;0.32009783&lt;/D&gt;&lt;D xsi:type="xsd:double"&gt;0.44546017&lt;/D&gt;&lt;D xsi:type="xsd:double"&gt;0.20918179&lt;/D&gt;&lt;D xsi:type="xsd:double"&gt;0.25338206&lt;/D&gt;&lt;D xsi:type="xsd:double"&gt;0.21243961&lt;/D&gt;&lt;D xsi:type="xsd:double"&gt;0.031924557&lt;/D&gt;&lt;D xsi:type="xsd:double"&gt;0.19671798&lt;/D&gt;&lt;D xsi:type="xsd:double"&gt;0.3823146&lt;/D&gt;&lt;D xsi:type="xsd:double"&gt;0.055297602&lt;/D&gt;&lt;D xsi:type="xsd:double"&gt;0.1992276&lt;/D&gt;&lt;D xsi:type="xsd:double"&gt;0.12128378&lt;/D&gt;&lt;D xsi:type="xsd:double"&gt;0.23282856&lt;/D&gt;&lt;D xsi:type="xsd:double"&gt;0.3000822&lt;/D&gt;&lt;D xsi:type="xsd:double"&gt;0.30500755&lt;/D&gt;&lt;D xsi:type="xsd:double"&gt;0.31501976&lt;/D&gt;&lt;D xsi:type="xsd:double"&gt;0.30551195&lt;/D&gt;&lt;D xsi:type="xsd:double"&gt;0.28268042&lt;/D&gt;&lt;D xsi:type="xsd:double"&gt;0.16931252&lt;/D&gt;&lt;D xsi:type="xsd:double"&gt;0.2924081&lt;/D&gt;&lt;D xsi:type="xsd:double"&gt;0.38074735&lt;/D&gt;&lt;D xsi:type="xsd:double"&gt;0.3043383&lt;/D&gt;&lt;D xsi:type="xsd:double"&gt;0.72589785&lt;/D&gt;&lt;D xsi:type="xsd:double"&gt;0.5202578&lt;/D&gt;&lt;D xsi:type="xsd:double"&gt;0.5685333&lt;/D&gt;&lt;D xsi:type="xsd:double"&gt;-0.08121929&lt;/D&gt;&lt;D xsi:type="xsd:double"&gt;0.08168364&lt;/D&gt;&lt;D xsi:type="xsd:double"&gt;0.3024292&lt;/D&gt;&lt;D xsi:type="xsd:double"&gt;0.27419347&lt;/D&gt;&lt;D xsi:type="xsd:double"&gt;0.36773494&lt;/D&gt;&lt;D xsi:type="xsd:double"&gt;0.5542298&lt;/D&gt;&lt;D xsi:type="xsd:double"&gt;0.2967694&lt;/D&gt;&lt;D xsi:type="xsd:double"&gt;0.2458529&lt;/D&gt;&lt;D xsi:type="xsd:double"&gt;0.46300212&lt;/D&gt;&lt;D xsi:type="xsd:double"&gt;0.24353985&lt;/D&gt;&lt;D xsi:type="xsd:d</t>
        </r>
      </text>
    </comment>
    <comment ref="A3" authorId="0" shapeId="0" xr:uid="{8AC88CE6-200E-450D-B53A-CD2DAA454CE3}">
      <text>
        <r>
          <rPr>
            <b/>
            <sz val="9"/>
            <color indexed="81"/>
            <rFont val="Tahoma"/>
            <family val="2"/>
          </rPr>
          <t>ouble"&gt;0.24788369&lt;/D&gt;&lt;D xsi:type="xsd:double"&gt;0.34396988&lt;/D&gt;&lt;D xsi:type="xsd:double"&gt;0.16288204&lt;/D&gt;&lt;D xsi:type="xsd:double"&gt;0.1617123&lt;/D&gt;&lt;D xsi:type="xsd:double"&gt;0.13396566&lt;/D&gt;&lt;D xsi:type="xsd:double"&gt;0.15862134&lt;/D&gt;&lt;D xsi:type="xsd:double"&gt;0.46893924&lt;/D&gt;&lt;D xsi:type="xsd:double"&gt;1&lt;/D&gt;&lt;D xsi:type="xsd:double"&gt;0.17257744&lt;/D&gt;&lt;D xsi:type="xsd:double"&gt;0.48384902&lt;/D&gt;&lt;D xsi:type="xsd:double"&gt;0.6429047&lt;/D&gt;&lt;D xsi:type="xsd:double"&gt;0.048517514&lt;/D&gt;&lt;D xsi:type="xsd:double"&gt;0.56121606&lt;/D&gt;&lt;D xsi:type="xsd:double"&gt;0.16456148&lt;/D&gt;&lt;D xsi:type="xsd:double"&gt;0.21885937&lt;/D&gt;&lt;D xsi:type="xsd:double"&gt;0.2665567&lt;/D&gt;&lt;D xsi:type="xsd:double"&gt;0.33111787&lt;/D&gt;&lt;D xsi:type="xsd:double"&gt;0.16200134&lt;/D&gt;&lt;D xsi:type="xsd:double"&gt;0.45053408&lt;/D&gt;&lt;D xsi:type="xsd:double"&gt;0.6233896&lt;/D&gt;&lt;D xsi:type="xsd:double"&gt;0.459231&lt;/D&gt;&lt;D xsi:type="xsd:double"&gt;0.48128855&lt;/D&gt;&lt;D xsi:type="xsd:double"&gt;0.3031264&lt;/D&gt;&lt;D xsi:type="xsd:double"&gt;0.26996332&lt;/D&gt;&lt;D xsi:type="xsd:double"&gt;0.32110173&lt;/D&gt;&lt;D xsi:type="xsd:double"&gt;0.15477751&lt;/D&gt;&lt;D xsi:type="xsd:double"&gt;0.2757345&lt;/D&gt;&lt;D xsi:type="xsd:double"&gt;0.5188133&lt;/D&gt;&lt;D xsi:type="xsd:double"&gt;0.30553922&lt;/D&gt;&lt;D xsi:type="xsd:double"&gt;0.14070487&lt;/D&gt;&lt;D xsi:type="xsd:double"&gt;0.13535625&lt;/D&gt;&lt;D xsi:type="xsd:double"&gt;0.3498475&lt;/D&gt;&lt;D xsi:type="xsd:double"&gt;0.52461916&lt;/D&gt;&lt;D xsi:type="xsd:double"&gt;0.3435711&lt;/D&gt;&lt;D xsi:type="xsd:double"&gt;0.3405703&lt;/D&gt;&lt;D xsi:type="xsd:double"&gt;0.45550716&lt;/D&gt;&lt;D xsi:type="xsd:double"&gt;0.28817487&lt;/D&gt;&lt;D xsi:type="xsd:double"&gt;0.24219123&lt;/D&gt;&lt;D xsi:type="xsd:double"&gt;0.27762565&lt;/D&gt;&lt;D xsi:type="xsd:double"&gt;0.4000175&lt;/D&gt;&lt;D xsi:type="xsd:double"&gt;0.51787955&lt;/D&gt;&lt;D xsi:type="xsd:double"&gt;0.534473&lt;/D&gt;&lt;D xsi:type="xsd:double"&gt;0.6185447&lt;/D&gt;&lt;D xsi:type="xsd:double"&gt;0.5065876&lt;/D&gt;&lt;D xsi:type="xsd:double"&gt;0.024644012&lt;/D&gt;&lt;D xsi:type="xsd:double"&gt;0.124135286&lt;/D&gt;&lt;D xsi:type="xsd:double"&gt;0.15374705&lt;/D&gt;&lt;D xsi:type="xsd:double"&gt;0.33582336&lt;/D&gt;&lt;D xsi:type="xsd:double"&gt;0.20681098&lt;/D&gt;&lt;D xsi:type="xsd:double"&gt;0.1689373&lt;/D&gt;&lt;D xsi:type="xsd:double"&gt;0.2942744&lt;/D&gt;&lt;D xsi:type="xsd:double"&gt;0.3920304&lt;/D&gt;&lt;D xsi:type="xsd:double"&gt;0.17992984&lt;/D&gt;&lt;D xsi:type="xsd:double"&gt;0.37719905&lt;/D&gt;&lt;D xsi:type="xsd:double"&gt;0.41040674&lt;/D&gt;&lt;D xsi:type="xsd:double"&gt;0.38726735&lt;/D&gt;&lt;D xsi:type="xsd:double"&gt;0.12353887&lt;/D&gt;&lt;D xsi:type="xsd:double"&gt;0.27294004&lt;/D&gt;&lt;D xsi:type="xsd:double"&gt;0.30847242&lt;/D&gt;&lt;D xsi:type="xsd:double"&gt;0.16991493&lt;/D&gt;&lt;D xsi:type="xsd:double"&gt;0.016887756&lt;/D&gt;&lt;D xsi:type="xsd:double"&gt;0.17257744&lt;/D&gt;&lt;D xsi:type="xsd:double"&gt;1&lt;/D&gt;&lt;D xsi:type="xsd:double"&gt;0.47213304&lt;/D&gt;&lt;D xsi:type="xsd:double"&gt;0.13689572&lt;/D&gt;&lt;D xsi:type="xsd:double"&gt;0.4590705&lt;/D&gt;&lt;D xsi:type="xsd:double"&gt;0.16388401&lt;/D&gt;&lt;D xsi:type="xsd:double"&gt;0.42838022&lt;/D&gt;&lt;D xsi:type="xsd:double"&gt;0.30435523&lt;/D&gt;&lt;D xsi:type="xsd:double"&gt;0.2149124&lt;/D&gt;&lt;D xsi:type="xsd:double"&gt;0.14456657&lt;/D&gt;&lt;D xsi:type="xsd:double"&gt;0.30004922&lt;/D&gt;&lt;D xsi:type="xsd:double"&gt;0.2713902&lt;/D&gt;&lt;D xsi:type="xsd:double"&gt;0.24740052&lt;/D&gt;&lt;D xsi:type="xsd:double"&gt;0.44366995&lt;/D&gt;&lt;D xsi:type="xsd:double"&gt;0.1062748&lt;/D&gt;&lt;D xsi:type="xsd:double"&gt;0.29215837&lt;/D&gt;&lt;D xsi:type="xsd:double"&gt;0.09561953&lt;/D&gt;&lt;D xsi:type="xsd:double"&gt;0.40769058&lt;/D&gt;&lt;D xsi:type="xsd:double"&gt;0.37051836&lt;/D&gt;&lt;D xsi:type="xsd:double"&gt;0.14890496&lt;/D&gt;&lt;D xsi:type="xsd:double"&gt;0.21321878&lt;/D&gt;&lt;D xsi:type="xsd:double"&gt;0.418656&lt;/D&gt;&lt;D xsi:type="xsd:double"&gt;-0.033967476&lt;/D&gt;&lt;D xsi:type="xsd:double"&gt;0.12761725&lt;/D&gt;&lt;D xsi:type="xsd:double"&gt;0.20349069&lt;/D&gt;&lt;D xsi:type="xsd:double"&gt;0.21220171&lt;/D&gt;&lt;D xsi:type="xsd:double"&gt;0.26860437&lt;/D&gt;&lt;D xsi:type="xsd:double"&gt;0.10452&lt;/D&gt;&lt;D xsi:type="xsd:double"&gt;0.14664164&lt;/D&gt;&lt;D xsi:type="xsd:double"&gt;0.06226985&lt;/D&gt;&lt;D xsi:type="xsd:double"&gt;0.1304197&lt;/D&gt;&lt;D xsi:type="xsd:double"&gt;-0.044319745&lt;/D&gt;&lt;D xsi:type="xsd:double"&gt;0.18623486&lt;/D&gt;&lt;D xsi:type="xsd:double"&gt;0.28211477&lt;/D&gt;&lt;D xsi:type="xsd:double"&gt;0.15434521&lt;/D&gt;&lt;D xsi:type="xsd:double"&gt;0.15272357&lt;/D&gt;&lt;D xsi:type="xsd:double"&gt;0.2244967&lt;/D&gt;&lt;D xsi:type="xsd:double"&gt;0.27864626&lt;/D&gt;&lt;D xsi:type="xsd:double"&gt;0.0877516&lt;/D&gt;&lt;D xsi:type="xsd:double"&gt;0.23169257&lt;/D&gt;&lt;D xsi:type="xsd:double"&gt;0.35078043&lt;/D&gt;&lt;D xsi:type="xsd:double"&gt;0.3058407&lt;/D&gt;&lt;D xsi:type="xsd:double"&gt;0.48482448&lt;/D&gt;&lt;D xsi:type="xsd:double"&gt;0.35786352&lt;/D&gt;&lt;D xsi:type="xsd:double"&gt;0.3945358&lt;/D&gt;&lt;D xsi:type="xsd:double"&gt;0.51133937&lt;/D&gt;&lt;D xsi:type="xsd:double"&gt;0.42979074&lt;/D&gt;&lt;D xsi:type="xsd:double"&gt;0.43407068&lt;/D&gt;&lt;D xsi:type="xsd:double"&gt;0.33134356&lt;/D&gt;&lt;D xsi:type="xsd:double"&gt;0.13976435&lt;/D&gt;&lt;D xsi:type="xsd:double"&gt;0.30260155&lt;/D&gt;&lt;D xsi:type="xsd:double"&gt;0.3752576&lt;/D&gt;&lt;D xsi:type="xsd:double"&gt;0.14354035&lt;/D&gt;&lt;D xsi:type="xsd:double"&gt;0.2988954&lt;/D&gt;&lt;D xsi:type="xsd:double"&gt;0.48384902&lt;/D&gt;&lt;D xsi:type="xsd:double"&gt;0.47213304&lt;/D&gt;&lt;D xsi:type="xsd:double"&gt;1&lt;/D&gt;&lt;D xsi:type="xsd:double"&gt;0.49188352&lt;/D&gt;&lt;D xsi:type="xsd:double"&gt;0.27058357&lt;/D&gt;&lt;D xsi:type="xsd:double"&gt;0.48520765&lt;/D&gt;&lt;D xsi:type="xsd:double"&gt;0.41761142&lt;/D&gt;&lt;D xsi:type="xsd:double"&gt;0.2622834&lt;/D&gt;&lt;D xsi:type="xsd:double"&gt;0.2904903&lt;/D&gt;&lt;D xsi:type="xsd:double"&gt;0.24272637&lt;/D&gt;&lt;D xsi:type="xsd:double"&gt;0.27564684&lt;/D&gt;&lt;D xsi:type="xsd:double"&gt;0.42812547&lt;/D&gt;&lt;D xsi:type="xsd:double"&gt;0.54407173&lt;/D&gt;&lt;D xsi:type="xsd:double"&gt;0.68612504&lt;/D&gt;&lt;D xsi:type="xsd:double"&gt;0.31312713&lt;/D&gt;&lt;D xsi:type="xsd:double"&gt;0.33341545&lt;/D&gt;&lt;D xsi:type="xsd:double"&gt;0.280762&lt;/D&gt;&lt;D xsi:type="xsd:double"&gt;0.5145791&lt;/D&gt;&lt;D xsi:type="xsd:double"&gt;0.37190944&lt;/D&gt;&lt;D xsi:type="xsd:double"&gt;0.24686998&lt;/D&gt;&lt;D xsi:type="xsd:double"&gt;0.3886375&lt;/D&gt;&lt;D xsi:type="xsd:double"&gt;0.36957544&lt;/D&gt;&lt;D xsi:type="xsd:double"&gt;0.098456964&lt;/D&gt;&lt;D xsi:type="xsd:double"&gt;0.22153173&lt;/D&gt;&lt;D xsi:type="xsd:double"&gt;0.42305544&lt;/D&gt;&lt;D xsi:type="xsd:double"&gt;0.351175&lt;/D&gt;&lt;D xsi:type="xsd:double"&gt;0.46017885&lt;/D&gt;&lt;D xsi:type="xsd:double"&gt;0.34658408&lt;/D&gt;&lt;D xsi:type="xsd:double"&gt;0.34923157&lt;/D&gt;&lt;D xsi:type="xsd:double"&gt;0.23835419&lt;/D&gt;&lt;D xsi:type="xsd:double"&gt;0.25837216&lt;/D&gt;&lt;D xsi:type="xsd:double"&gt;0.11456311&lt;/D&gt;&lt;D xsi:type="xsd:double"&gt;0.32978255&lt;/D&gt;&lt;D xsi:type="xsd:double"&gt;0.45624098&lt;/D&gt;&lt;D xsi:type="xsd:double"&gt;0.443226&lt;/D&gt;&lt;D xsi:type="xsd:double"&gt;0.5540081&lt;/D&gt;&lt;D xsi:type="xsd:double"&gt;0.47647947&lt;/D&gt;&lt;D xsi:type="xsd:double"&gt;0.18985726&lt;/D&gt;&lt;D xsi:type="xsd:double"&gt;0.1198319&lt;/D&gt;&lt;D xsi:type="xsd:double"&gt;0.23839998&lt;/D&gt;&lt;D xsi:type="xsd:double"&gt;0.23431805&lt;/D&gt;&lt;D xsi:type="xsd:double"&gt;0.3743705&lt;/D&gt;&lt;D xsi:type="xsd:double"&gt;0.55726504&lt;/D&gt;&lt;D xsi:type="xsd:double"&gt;0.30823216&lt;/D&gt;&lt;D xsi:type="xsd:double"&gt;0.30680788&lt;/D&gt;&lt;D xsi:type="xsd:double"&gt;0.47655067&lt;/D&gt;&lt;D xsi:type="xsd:double"&gt;0.17759924&lt;/D&gt;&lt;D xsi:type="xsd:double"&gt;0.2542516&lt;/D&gt;&lt;D xsi:type="xsd:double"&gt;0.3101503&lt;/D&gt;&lt;D xsi:type="xsd:double"&gt;0.0799946&lt;/D&gt;&lt;D xsi:type="xsd:double"&gt;0.1000748&lt;/D&gt;&lt;D xsi:type="xsd:double"&gt;0.20378281&lt;/D&gt;&lt;D xsi:type="xsd:double"&gt;0.08533086&lt;/D&gt;&lt;D xsi:type="xsd:double"&gt;0.4366007&lt;/D&gt;&lt;D xsi:type="xsd:double"&gt;0.6429047&lt;/D&gt;&lt;D xsi:type="xsd:double"&gt;0.13689572&lt;/D&gt;&lt;D xsi:type="xsd:double"&gt;0.49188352&lt;/D&gt;&lt;D xsi:type="xsd:double"&gt;1&lt;/D&gt;&lt;D xsi:type="xsd:double"&gt;0.014430687&lt;/D&gt;&lt;D xsi:type="xsd:double"&gt;0.5661483&lt;/D&gt;&lt;D xsi:type="xsd:double"&gt;0.10618144&lt;/D&gt;&lt;D xsi:type="xsd:double"&gt;0.16895378&lt;/D&gt;&lt;D xsi:type="xsd:double"&gt;0.1853557&lt;/D&gt;&lt;D xsi:type="xsd:double"&gt;0.21756436&lt;/D&gt;&lt;D xsi:type="xsd:double"&gt;0.14110576&lt;/D&gt;&lt;D xsi:type="xsd:double"&gt;0.3957741&lt;/D&gt;&lt;D xsi:type="xsd:double"&gt;0.615988&lt;/D&gt;&lt;D xsi:type="xsd:double"&gt;0.49858105&lt;/D&gt;&lt;D xsi:type="xsd:double"&gt;0.41202164&lt;/D&gt;&lt;D xsi:type="xsd:double"&gt;0.25374144&lt;/D&gt;&lt;D xsi:type="xsd:double"&gt;0.19331512&lt;/D&gt;&lt;D xsi:type="xsd:double"&gt;0.2521979&lt;/D&gt;&lt;D xsi:type="xsd:double"&gt;0.073411405&lt;/D&gt;&lt;D xsi:type="xsd:double"&gt;0.21842164&lt;/D&gt;&lt;D xsi:type="xsd:double"&gt;0.43226722&lt;/D&gt;&lt;D xsi:type="xsd:double"&gt;0.23980747&lt;/D&gt;&lt;D xsi:type="xsd:double"&gt;0.19950083&lt;/D&gt;&lt;D xsi:type="xsd:double"&gt;0.14443989&lt;/D&gt;&lt;D xsi:type="xsd:double"&gt;0.34375894&lt;/D&gt;&lt;D xsi:type="xsd:double"&gt;0.35805833&lt;/D&gt;&lt;D xsi:type="xsd:double"&gt;0.33699006&lt;/D&gt;&lt;D xsi:type="xsd:double"&gt;0.348527&lt;/D&gt;&lt;D xsi:type="xsd:double"&gt;0.40299776&lt;/D&gt;&lt;D xsi:type="xsd:double"&gt;0.2307381&lt;/D&gt;&lt;D xsi:type="xsd:double"&gt;0.26141375&lt;/D&gt;&lt;D xsi:type="xsd:double"&gt;0.22415507&lt;/D&gt;&lt;D xsi:type="xsd:double"&gt;0.39388356&lt;/D&gt;&lt;D xsi:type="xsd:double"&gt;0.47726482&lt;/D&gt;&lt;D xsi:type="xsd:double"&gt;0.49590677&lt;/D&gt;&lt;D xsi:type="xsd:double"&gt;0.6074226&lt;/D&gt;&lt;D xsi:type="xsd:double"&gt;0.49742872&lt;/D&gt;&lt;D xsi:type="xsd:double"&gt;-0.010432412&lt;/D&gt;&lt;D xsi:type="xsd:double"&gt;0.13231309&lt;/D&gt;&lt;D xsi:type="xsd:double"&gt;0.042678997&lt;/D&gt;&lt;D xsi:type="xsd:double"&gt;0.24602728&lt;/D&gt;&lt;D xsi:type="xsd:double"&gt;0.010998653&lt;/D&gt;&lt;D xsi:type="xsd:double"&gt;0.099806525&lt;/D&gt;&lt;D xsi:type="xsd:double"&gt;0.13569726&lt;/D&gt;&lt;D xsi:type="xsd:double"&gt;0.2490845&lt;/D&gt;&lt;D xsi:type="xsd:double"&gt;0.09600114&lt;/D&gt;&lt;D xsi:type="xsd:double"&gt;0.32320285&lt;/D&gt;&lt;D xsi:type="xsd:double"&gt;0.28357476&lt;/D&gt;&lt;D xsi:type="xsd:double"&gt;0.23535341&lt;/D&gt;&lt;D xsi:type="xsd:double"&gt;-0.00029537576&lt;/D&gt;&lt;D xsi:type="xsd:double"&gt;0.14474975&lt;/D&gt;&lt;D xsi:type="xsd:double"&gt;0.32593262&lt;/D&gt;&lt;D xsi:type="xsd:double"&gt;0.023137782&lt;/D&gt;&lt;D xsi:type="xsd:double"&gt;-0.012362991&lt;/D&gt;&lt;D xsi:type="xsd:double"&gt;0.048517514&lt;/D&gt;&lt;D xsi:type="xsd:double"&gt;0.4590705&lt;/D&gt;&lt;D xsi:type="xsd:double"&gt;0.27058357&lt;/D&gt;&lt;D xsi:type="xsd:double"&gt;0.014430687&lt;/D&gt;&lt;D xsi:type="xsd:double"&gt;1&lt;/D&gt;&lt;D xsi:type="xsd:double"&gt;0.0124586485&lt;/D&gt;&lt;D xsi:type="xsd:double"&gt;0.3865225&lt;/D&gt;&lt;D xsi:type="xsd:double"&gt;0.1657382&lt;/D&gt;&lt;D xsi:type="xsd:double"&gt;0.07855782&lt;/D&gt;&lt;D xsi:type="xsd:double"&gt;0.015129197&lt;/D&gt;&lt;D xsi:type="xsd:double"&gt;0.11516703&lt;/D&gt;&lt;D xsi:type="xsd:double"&gt;-0.027158432&lt;/D&gt;&lt;D xsi:type="xsd:double"&gt;0.013797424&lt;/D&gt;&lt;D xsi:type="xsd:double"&gt;0.26490197&lt;/D&gt;&lt;D xsi:type="xsd:double"&gt;0.02452575&lt;/D&gt;&lt;D xsi:type="xsd:double"&gt;0.11290042&lt;/D&gt;&lt;D xsi:type="xsd:double"&gt;0.09142956&lt;/D&gt;&lt;D xsi:type="xsd:double"&gt;0.31499085&lt;/D&gt;&lt;D xsi:type="xsd:double"&gt;0.17622137&lt;/D&gt;&lt;D xsi:type="xsd:double"&gt;0.054147013&lt;/D&gt;&lt;D xsi:type="xsd:double"&gt;0.030308262&lt;/D&gt;&lt;D xsi:type="xsd:double"&gt;0.2358155&lt;/D&gt;&lt;D xsi:type="xsd:double"&gt;-0.0138567565&lt;/D&gt;&lt;D xsi:type="xsd:double"&gt;0.042721353&lt;/D&gt;&lt;D xsi:type="xsd:double"&gt;0.09476541&lt;/D&gt;&lt;D xsi:type="xsd:double"&gt;0.031262238&lt;/D&gt;&lt;D xsi:type="xsd:double"&gt;0.09737477&lt;/D&gt;&lt;D xsi:type="xsd:double"&gt;0.09398404&lt;/D&gt;&lt;D xsi:type="xsd:double"&gt;-0.016569003&lt;/D&gt;&lt;D xsi:type="xsd:double"&gt;0.0720816&lt;/D&gt;&lt;D xsi:type="xsd:double"&gt;0.08316313&lt;/D&gt;&lt;D xsi:type="xsd:double"&gt;0.029294983&lt;/D&gt;&lt;D xsi:type="xsd:double"&gt;0.05916868&lt;/D&gt;&lt;D xsi:type="xsd:double"&gt;0.12208571&lt;/D&gt;&lt;D xsi:type="xsd:double"&gt;0.043537624&lt;/D&gt;&lt;D xsi:type="xsd:double"&gt;-0.021926235&lt;/D&gt;&lt;D xsi:type="xsd:double"&gt;0.22453077&lt;/D&gt;&lt;D xsi:type="xsd:double"&gt;0.075990595&lt;/D&gt;&lt;D xsi:type="xsd:double"&gt;-0.022508642&lt;/D&gt;&lt;D xsi:type="xsd:double"&gt;0.20377573&lt;/D&gt;&lt;D xsi:type="xsd:double"&gt;0.16200371&lt;/D&gt;&lt;D xsi:type="xsd:double"&gt;0.30691358&lt;/D&gt;&lt;D xsi:type="xsd:double"&gt;0.5869655&lt;/D&gt;&lt;D xsi:type="xsd:double"&gt;0.18180744&lt;/D&gt;&lt;D xsi:type="xsd:double"&gt;0.19422026&lt;/D&gt;&lt;D xsi:type="xsd:double"&gt;0.4595731&lt;/D&gt;&lt;D xsi:type="xsd:double"&gt;0.1930194&lt;/D&gt;&lt;D xsi:type="xsd:double"&gt;0.23018886&lt;/D&gt;&lt;D xsi:type="xsd:double"&gt;0.19174223&lt;/D&gt;&lt;D xsi:type="xsd:double"&gt;0.020917341&lt;/D&gt;&lt;D xsi:type="xsd:double"&gt;0.12904517&lt;/D&gt;&lt;D xsi:type="xsd:double"&gt;0.2206401&lt;/D&gt;&lt;D xsi:type="xsd:double"&gt;0.04225017&lt;/D&gt;&lt;D xsi:type="xsd:double"&gt;0.4221021&lt;/D&gt;&lt;D xsi:type="xsd:double"&gt;0.56121606&lt;/D&gt;&lt;D xsi:type="xsd:double"&gt;0.16388401&lt;/D&gt;&lt;D xsi:type="xsd:double"&gt;0.48520765&lt;/D&gt;&lt;D xsi:type="xsd:double"&gt;0.5661483&lt;/D&gt;&lt;D xsi:type="xsd:double"&gt;0.0124586485&lt;/D&gt;&lt;D xsi:type="xsd:double"&gt;1&lt;/D&gt;&lt;D xsi:type="xsd:double"&gt;0.22058967&lt;/D&gt;&lt;D xsi:type="xsd:double"&gt;0.19747297&lt;/D&gt;&lt;D xsi:type="xsd:double"&gt;0.1696919&lt;/D&gt;&lt;D xsi:type="xsd:double"&gt;0.3203617&lt;/D&gt;&lt;D xsi:type="xsd:double"&gt;0.11358111&lt;/D&gt;&lt;D xsi:type="xsd:double"&gt;0.4051682&lt;/D&gt;&lt;D xsi:type="xsd:double"&gt;0.6688892&lt;/D&gt;&lt;D xsi:type="xsd:double"&gt;0.5741227&lt;/D&gt;&lt;D xsi:type="xsd:double"&gt;0.37778002&lt;/D&gt;&lt;D xsi:type="xsd:double"&gt;0.24262643&lt;/D&gt;&lt;D xsi:type="xsd:double"&gt;0.17240506&lt;/D&gt;&lt;D xsi:type="xsd:double"&gt;0.20630194&lt;/D&gt;&lt;D xsi:type="xsd:double"&gt;0.099178985&lt;/D&gt;&lt;D xsi:type="xsd:double"&gt;0.20838684&lt;/D&gt;&lt;D xsi:type="xsd:double"&gt;0.46770686&lt;/D&gt;&lt;D xsi:type="xsd:double"&gt;0.29008836&lt;/D&gt;&lt;D xsi:type="xsd:double"&gt;0.18376306&lt;/D&gt;&lt;D xsi:type="xsd:double"&gt;0.13467826&lt;/D&gt;&lt;D xsi:type="xsd:double"&gt;0.2655113&lt;/D&gt;&lt;D xsi:type="xsd:double"&gt;0.36364892&lt;/D&gt;&lt;D xsi:type="xsd:double"&gt;0.31881973&lt;/D&gt;&lt;D xsi:type="xsd:double"&gt;0.25133297&lt;/D&gt;&lt;D xsi:type="xsd:double"&gt;0.42848253&lt;/D&gt;&lt;D xsi:type="xsd:double"&gt;0.23402573&lt;/D&gt;&lt;D xsi:type="xsd:double"&gt;0.26373398&lt;/D&gt;&lt;D xsi:type="xsd:double"&gt;0.10313499&lt;/D&gt;&lt;D xsi:type="xsd:double"&gt;0.28421748&lt;/D&gt;&lt;D xsi:type="xsd:double"&gt;0.47260174&lt;/D&gt;&lt;D xsi:type="xsd:double"&gt;0.48263764&lt;/D&gt;&lt;D xsi:type="xsd:double"&gt;0.6616389&lt;/D&gt;&lt;D xsi:type="xsd:double"&gt;0.5193174&lt;/D&gt;&lt;D xsi:type="xsd:double"&gt;-0.041177314&lt;/D&gt;&lt;D xsi:type="xsd:double"&gt;0.10391598&lt;/D&gt;&lt;D xsi:type="xsd:double"&gt;0.00065575226&lt;/D&gt;&lt;D xsi:type="xsd:double"&gt;0.29874682&lt;/D&gt;&lt;D xsi:type="xsd:double"&gt;0.042965557&lt;/D&gt;&lt;D xsi:type="xsd:double"&gt;0.14960673&lt;/D&gt;&lt;D xsi:type="xsd:double"&gt;0.19068079&lt;/D&gt;&lt;D xsi:type="xsd:double"&gt;0.24666187&lt;/D&gt;&lt;D xsi:type="xsd:double"&gt;0.21039611&lt;/D&gt;&lt;D xsi:type="xsd:double"&gt;0.39652526&lt;/D&gt;&lt;D xsi:type="xsd:double"&gt;0.42372853&lt;/D&gt;&lt;D xsi:type="xsd:double"&gt;0.2827101&lt;/D&gt;&lt;D xsi:type="xsd:double"&gt;0.018698664&lt;/D&gt;&lt;D xsi:type="xsd:double"&gt;0.29296362&lt;/D&gt;&lt;D xsi:type="xsd:double"&gt;0.648836&lt;/D&gt;&lt;D xsi:type="xsd:double"&gt;0.07219264&lt;/D&gt;&lt;D xsi:type="xsd:double"&gt;0.060187444&lt;/D&gt;&lt;D xsi:type="xsd:double"&gt;0.16456148&lt;/D&gt;&lt;D xsi:type="xsd:double"&gt;0.42838022&lt;/D&gt;&lt;D xsi:type="xsd:double"&gt;0.41761142&lt;/D&gt;&lt;D xsi:type="xsd:double"&gt;0.10618144&lt;/D&gt;&lt;D xsi:type="xsd:double"&gt;0.3865225&lt;/D&gt;&lt;D xsi:type="xsd:double"&gt;0.22058967&lt;/D&gt;&lt;D xsi:type="xsd:double"&gt;1&lt;/D&gt;&lt;D xsi:type="xsd:double"&gt;0.16244708&lt;/D&gt;&lt;D xsi:type="xsd:double"&gt;0.22805749&lt;/D&gt;&lt;D xsi:type="xsd:double"&gt;0.10443455&lt;/D&gt;&lt;D xsi:type="xsd:double"&gt;0.12949663&lt;/D&gt;&lt;D xsi:type="xsd:double"&gt;0.13138045&lt;/D&gt;&lt;D xsi:type="xsd:double"&gt;0.16295005&lt;/D&gt;&lt;D xsi:type="xsd:double"&gt;0.34010366&lt;/D&gt;&lt;D xsi:type="xsd:double"&gt;0.14325514&lt;/D&gt;&lt;D xsi:type="xsd:double"&gt;0.23387443&lt;/D&gt;&lt;D xsi:type="xsd:double"&gt;-0.035711113&lt;/D&gt;&lt;D xsi:type="xsd:double"&gt;0.35227284&lt;/D&gt;&lt;D xsi:type="xsd:double"&gt;0.35498595&lt;/D&gt;&lt;D xsi:type="xsd:double"&gt;0.05179342&lt;/D&gt;&lt;D xsi:type="xsd:double"&gt;0.050698124&lt;/D&gt;&lt;D xsi:type="xsd:double"&gt;0.17381921&lt;/D&gt;&lt;D xsi:type="xsd:double"&gt;0.006882719&lt;/D&gt;&lt;D xsi:type="xsd:double"&gt;0.11807197&lt;/D&gt;&lt;D xsi:type="xsd:double"&gt;0.13913848&lt;/D&gt;&lt;D xsi:type="xsd:double"&gt;0.0023682953&lt;/D&gt;&lt;D xsi:type="xsd:double"&gt;0.21145596&lt;/D&gt;&lt;D xsi:type="xsd:double"&gt;0.14293362&lt;/D&gt;&lt;D xsi:type="xsd:double"&gt;0.07834167&lt;/D&gt;&lt;D xsi:type="xsd:double"&gt;0.092363246&lt;/D&gt;&lt;D xsi:type="xsd:double"&gt;0.023706472&lt;/D&gt;&lt;D xsi:type="xsd:double"&gt;-0.075431265&lt;/D&gt;&lt;D xsi:type="xsd:double"&gt;0.19185518&lt;/D&gt;&lt;D xsi:type="xsd:double"&gt;0.13924001&lt;/D&gt;&lt;D xsi:type="xsd:double"&gt;0.18473953&lt;/D&gt;&lt;D xsi:type="xsd:double"&gt;0.13394189&lt;/D&gt;&lt;D xsi:type="xsd:double"&gt;0.20564823&lt;/D&gt;&lt;D xsi:type="xsd:double"&gt;0.120123975&lt;/D&gt;&lt;D xsi:type="xsd:double"&gt;0.0690842&lt;/D&gt;&lt;D xsi:type="xsd:double"&gt;0.22910605&lt;/D&gt;&lt;D xsi:type="xsd:double"&gt;0.2308224&lt;/D&gt;&lt;D xsi:type="xsd:double"&gt;0.25343263&lt;/D&gt;&lt;D xsi:type="xsd:double"&gt;0.34431234&lt;/D&gt;&lt;D xsi:type="xsd:double"&gt;0.2555874&lt;/D&gt;&lt;D xsi:type="xsd:double"&gt;0.28441343&lt;/D&gt;&lt;D xsi:type="xsd:double"&gt;0.3898072&lt;/D&gt;&lt;D xsi:type="xsd:double"&gt;0.23614803&lt;/D&gt;&lt;D xsi:type="xsd:double"&gt;0.25300652&lt;/D&gt;&lt;D xsi:type="xsd:double"&gt;0.29728222&lt;/D&gt;&lt;D xsi:type="xsd:double"&gt;0.23014589&lt;/D&gt;&lt;D xsi:type="xsd:double"&gt;0.1566596&lt;/D&gt;&lt;D xsi:type="xsd:double"&gt;0.09883254&lt;/D&gt;&lt;D xsi:type="xsd:double"&gt;0.23975208&lt;/D&gt;&lt;D xsi:type="xsd:double"&gt;0.22438721&lt;/D&gt;&lt;D xsi:type="xsd:double"&gt;0.21885937&lt;/D&gt;&lt;D xsi:type="xsd:double"&gt;0.30435523&lt;/D&gt;&lt;D xsi:type="xsd:double"&gt;0.2622834&lt;/D&gt;&lt;D xsi:type="xsd:double"&gt;0.16895378&lt;/D&gt;&lt;D xsi:type="xsd:double"&gt;0.1657382&lt;/D&gt;&lt;D xsi:type="xsd:double"&gt;0.19747297&lt;/D&gt;&lt;D xsi:type="xsd:double"&gt;0.16244708&lt;/D&gt;&lt;D xsi:type="xsd:double"&gt;1&lt;/D&gt;&lt;D xsi:type="xsd:double"&gt;0.23764698&lt;/D&gt;&lt;D xsi:type="xsd:double"&gt;0.34078768&lt;/D&gt;&lt;D xsi:type="xsd:double"&gt;0.1588749&lt;/D&gt;&lt;D xsi:type="xsd:double"&gt;0.38372114&lt;/D&gt;&lt;D xsi:type="xsd:double"&gt;0.2222746&lt;/D&gt;&lt;D xsi:type="xsd:double"&gt;0.32506016&lt;/D&gt;&lt;D xsi:type="xsd:double"&gt;0.3292838&lt;/D&gt;&lt;D xsi:type="xsd:double"&gt;0.22311498&lt;/D&gt;&lt;D xsi:type="xsd:double"&gt;0.3289392&lt;/D&gt;&lt;D xsi:type="xsd:double"&gt;0.3428977&lt;/D&gt;&lt;D xsi:type="xsd:double"&gt;0.17007229&lt;/D&gt;&lt;D xsi:type="xsd:double"&gt;0.19632392&lt;/D&gt;&lt;D xsi:type="xsd:double"&gt;0.2867997&lt;/D&gt;&lt;D xsi:type="xsd:double"&gt;0.18265869&lt;/D&gt;&lt;D xsi:type="xsd:double"&gt;0.12901053&lt;/D&gt;&lt;D xsi:type="xsd:double"&gt;-0.012453889&lt;/D&gt;&lt;D xsi:type="xsd:double"&gt;0.17896228&lt;/D&gt;&lt;D xsi:type="xsd:double"&gt;0.25523067&lt;/D&gt;&lt;D xsi:type="xsd:double"&gt;0.32921186&lt;/D&gt;&lt;D xsi:type="xsd:double"&gt;0.3036693&lt;/D&gt;&lt;D xsi:type="xsd:double"&gt;0.1721558&lt;/D&gt;&lt;D xsi:type="xsd:double"&gt;0.3043333&lt;/D&gt;&lt;D xsi:type="xsd:double"&gt;0.2162348&lt;/D&gt;&lt;D xsi:type="xsd:double"&gt;0.20742819&lt;/D&gt;&lt;D xsi:type="xsd:double"&gt;0.30482277&lt;/D&gt;&lt;D xsi:type="xsd:double"&gt;0.27623916&lt;/D&gt;&lt;D xsi:type="xsd:double"&gt;0.29896647&lt;/D&gt;&lt;D xsi:type="xsd:double"&gt;0.17554379&lt;/D&gt;&lt;D xsi:type="xsd:double"&gt;0.26913968&lt;/D&gt;&lt;D xsi:type="xsd:double"&gt;0.1196917&lt;/D&gt;&lt;D xsi:type="xsd:double"&gt;0.18756348&lt;/D&gt;&lt;D xsi:type="xsd:double"&gt;0.2613799&lt;/D&gt;&lt;D xsi:type="xsd:double"&gt;0.3458712&lt;/D&gt;&lt;D xsi:type="xsd:double"&gt;0.21095307&lt;/D&gt;&lt;D xsi:type="xsd:double"&gt;0.28807026&lt;/D&gt;&lt;D xsi:type="xsd:double"&gt;0.3245382&lt;/D&gt;&lt;D xsi:type="xsd:double"&gt;0.37882358&lt;/D&gt;&lt;D xsi:type="xsd:double"&gt;0.14573197&lt;/D&gt;&lt;D xsi:type="xsd:double"&gt;0.2113672&lt;/D&gt;&lt;D xsi:type="xsd:double"&gt;0.20037942&lt;/D&gt;&lt;D xsi:type="xsd:double"&gt;0.27129704&lt;/D&gt;&lt;D xsi:type="xsd:double"&gt;0.18813114&lt;/D&gt;&lt;D xsi:type="xsd:double"&gt;0.32688093&lt;/D&gt;&lt;D xsi:type="xsd:double"&gt;0.12571628&lt;/D&gt;&lt;D xsi:type="xsd:double"&gt;0.1992495&lt;/D&gt;&lt;D xsi:type="xsd:double"&gt;0.23885477&lt;/D&gt;&lt;D xsi:type="xsd:double"&gt;0.2665567&lt;/D&gt;&lt;D xsi:type="xsd:double"&gt;0.2149124&lt;/D&gt;&lt;D xsi:type="xsd:double"&gt;0.2904903&lt;/D&gt;&lt;D xsi:type="xsd:double"&gt;0.1853557&lt;/D&gt;&lt;D xsi:type="xsd:double"&gt;0.07855782&lt;/D&gt;&lt;D xsi:type="xsd:double"&gt;0.1696919&lt;/D&gt;&lt;D xsi:type="xsd:double"&gt;0.22805749&lt;/D&gt;&lt;D xsi:type="xsd:double"&gt;0.23764698&lt;/D&gt;&lt;D xsi:type="xsd:double"&gt;1&lt;/D&gt;&lt;D xsi:type="xsd:double"&gt;0.21378914&lt;/D&gt;&lt;D xsi:type="xsd:double"&gt;0.27684143&lt;/D&gt;&lt;D xsi:type="xsd:double"&gt;0.26835087&lt;/D&gt;&lt;D xsi:type="xsd:double"&gt;0.21949044&lt;/D&gt;&lt;D xsi:type="xsd:double"&gt;0.2898122&lt;/D&gt;&lt;D xsi:type="xsd:double"&gt;0.28855464&lt;/D&gt;&lt;D xsi:type="xsd:double"&gt;0.49228078&lt;/D&gt;&lt;D xsi:type="xsd:double"&gt;0.16777211&lt;/D&gt;&lt;D xsi:type="xsd:double"&gt;0.36919683&lt;/D&gt;&lt;D xsi:type="xsd:double"&gt;0.41363165&lt;/D&gt;&lt;D xsi:type="xsd:double"&gt;0.28473237&lt;/D&gt;&lt;D xsi:type="xsd:double"&gt;0.24900843&lt;/D&gt;&lt;D xsi:type="xsd:double"&gt;0.11998073&lt;/D&gt;&lt;D xsi:type="xsd:double"&gt;-0.086275615&lt;/D&gt;&lt;D xsi:type="xsd:double"&gt;0.14574456&lt;/D&gt;&lt;D xsi:type="xsd:double"&gt;0.20129468&lt;/D&gt;&lt;D xsi:type="xsd:double"&gt;0.20259847&lt;/D&gt;&lt;D xsi:type="xsd:double"&gt;0.2844191&lt;/D&gt;&lt;D xsi:type="xsd:double"&gt;0.20871627&lt;/D&gt;&lt;D xsi:type="xsd:double"&gt;0.22725534&lt;/D&gt;&lt;D xsi:type="xsd:double"&gt;0.19016272&lt;/D&gt;&lt;D xsi:type="xsd:double"&gt;0.11379083&lt;/D&gt;&lt;D xsi:type="xsd:double"&gt;0.21154806&lt;/D&gt;&lt;D xsi:type="xsd:double"&gt;0.24586569&lt;/D&gt;&lt;D xsi:type="xsd:double"&gt;0.22496374&lt;/D&gt;&lt;D xsi:type="xsd:double"&gt;0.26388636&lt;/D&gt;&lt;D xsi:type="xsd:double"&gt;0.30286592&lt;/D&gt;&lt;D xsi:type="xsd:double"&gt;0.28975132&lt;/D&gt;&lt;D xsi:type="xsd:double"&gt;0.40761122&lt;/D&gt;&lt;D xsi:type="xsd:double"&gt;-0.021318581&lt;/D&gt;&lt;D xsi:type="xsd:double"&gt;0.19546789&lt;/D&gt;&lt;D xsi:type="xsd:double"&gt;0.25490752&lt;/D&gt;&lt;D xsi:type="xsd:double"&gt;0.37131888&lt;/D&gt;&lt;D xsi:type="xsd:double"&gt;0.29059827&lt;/D&gt;&lt;D xsi:type="xsd:double"&gt;0.3231531&lt;/D&gt;&lt;D xsi:type="xsd:double"&gt;0.32516578&lt;/D&gt;&lt;D xsi:type="xsd:double"&gt;0.36116818&lt;/D&gt;&lt;D xsi:type="xsd:double"&gt;0.15297565&lt;/D&gt;&lt;D xsi:type="xsd:double"&gt;0.26265004&lt;/D&gt;&lt;D xsi:type="xsd:double"&gt;0.2563179&lt;/D&gt;&lt;D xsi:type="xsd:double"&gt;0.14656678&lt;/D&gt;&lt;D xsi:type="xsd:double"&gt;0.2028914&lt;/D&gt;&lt;D xsi:type="xsd:double"&gt;0.05776715&lt;/D&gt;&lt;D xsi:type="xsd:double"&gt;0.17663279&lt;/D&gt;&lt;D xsi:type="xsd:double"&gt;0.29591697&lt;/D&gt;&lt;D xsi:type="xsd:double"&gt;0.33111787&lt;/D&gt;&lt;D xsi:type="xsd:double"&gt;0.14456657&lt;/D&gt;&lt;D xsi:type="xsd:double"&gt;0.24272637&lt;/D&gt;&lt;D xsi:type="xsd:double"&gt;0.21756436&lt;/D&gt;&lt;D xsi:type="xsd:double"&gt;0.015129197&lt;/D&gt;&lt;D xsi:type="xsd:double"&gt;0.3203617&lt;/D&gt;&lt;D xsi:type="xsd:double"&gt;0.10443455&lt;/D&gt;&lt;D xsi:type="xsd:double"&gt;0.34078768&lt;/D&gt;&lt;D xsi:type="xsd:double"&gt;0.21378914&lt;/D&gt;&lt;D xsi:type="xsd:double"&gt;1&lt;/D&gt;&lt;D xsi:type="xsd:double"&gt;0.13278879&lt;/D&gt;&lt;D xsi:type="xsd:double"&gt;0.441192&lt;/D&gt;&lt;D xsi:type="xsd:double"&gt;0.36420634&lt;/D&gt;&lt;D xsi:type="xsd:double"&gt;0.33856165&lt;/D&gt;&lt;D xsi:type="xsd:double"&gt;0.3869178&lt;/D&gt;&lt;D xsi:type="xsd:double"&gt;0.2723176&lt;/D&gt;&lt;D xsi:type="xsd:double"&gt;0.3879233&lt;/D&gt;&lt;D xsi:type="xsd:double"&gt;0.29431716&lt;/D&gt;&lt;D xsi:type="xsd:double"&gt;0.19724093&lt;/D&gt;&lt;D xsi:type="xsd:double"&gt;0.33225134&lt;/D&gt;&lt;D xsi:type="xsd:double"&gt;0.5281844&lt;/D&gt;&lt;D xsi:type="xsd:double"&gt;0.21105298&lt;/D&gt;&lt;D xsi:type="xsd:double"&gt;0.1893113&lt;/D&gt;&lt;D xsi:type="xsd:double"&gt;0.1736656&lt;/D&gt;&lt;D xsi:type="xsd:double"&gt;0.23064852&lt;/D&gt;&lt;D xsi:type="xsd:double"&gt;0.4675746&lt;/D&gt;&lt;D xsi:type="xsd:double"&gt;0.3191907&lt;/D&gt;&lt;D xsi:type="xsd:double"&gt;0.32539716&lt;/D&gt;&lt;D xsi:type="xsd:double"&gt;0.3484051&lt;/D&gt;&lt;D xsi:type="xsd:double"&gt;0.5909083&lt;/D&gt;&lt;D xsi:type="xsd:double"&gt;0.23902689&lt;/D&gt;&lt;D xsi:type="xsd:double"&gt;0.17198883&lt;/D&gt;&lt;D xsi:type="xsd:double"&gt;0.44183803&lt;/D&gt;&lt;D xsi:type="xsd:double"&gt;0.42645907&lt;/D&gt;&lt;D xsi:type="xsd:double"&gt;0.3522262&lt;/D&gt;&lt;D xsi:type="xsd:double"&gt;0.31454146&lt;/D&gt;&lt;D xsi:type="xsd:double"&gt;0.20099486&lt;/D&gt;&lt;D xsi:type="xsd:double"&gt;0.1165978&lt;/D&gt;&lt;D xsi:type="xsd:double"&gt;0.12890153&lt;/D&gt;&lt;D xsi:type="xsd:double"&gt;0.17681465&lt;/D&gt;&lt;D xsi:type="xsd:double"&gt;0.29724488&lt;/D&gt;&lt;D xsi:type="xsd:double"&gt;0.09728061&lt;/D&gt;&lt;D xsi:type="xsd:double"&gt;0.13128872&lt;/D&gt;&lt;D xsi:type="xsd:double"&gt;0.24430111&lt;/D&gt;&lt;D xsi:type="xsd:double"&gt;0.28618076&lt;/D&gt;&lt;D xsi:type="xsd:double"&gt;0.20794371&lt;/D&gt;&lt;D xsi:type="xsd:double"&gt;0.2335877&lt;/D&gt;&lt;D xsi:type="xsd:double"&gt;0.19262981&lt;/D&gt;&lt;D xsi:type="xsd:double"&gt;0.28702724&lt;/D&gt;&lt;D xsi:type="xsd:double"&gt;0.07345233&lt;/D&gt;&lt;D xsi:type="xsd:double"&gt;0.29419872&lt;/D&gt;&lt;D xsi:type="xsd:double"&gt;0.15091081&lt;/D&gt;&lt;D xsi:type="xsd:double"&gt;0.10007403&lt;/D&gt;&lt;D xsi:type="xsd:double"&gt;0.16750917&lt;/D&gt;&lt;D xsi:type="xsd:double"&gt;0.16200134&lt;/D&gt;&lt;D xsi:type="xsd:double"&gt;0.30004922&lt;/D&gt;&lt;D xsi:type="xsd:double"&gt;0.27564684&lt;/D&gt;&lt;D xsi:type="xsd:double"&gt;0.14110576&lt;/D&gt;&lt;D xsi:type="xsd:double"&gt;0.11516703&lt;/D&gt;&lt;D xsi:type="xsd:double"&gt;0.11358111&lt;/D&gt;&lt;D xsi:type="xsd:double"&gt;0.12949663&lt;/D&gt;&lt;D xsi:type="xsd:double"&gt;0.1588749&lt;/D&gt;&lt;D xsi:type="xsd:double"&gt;0.27684143&lt;/D&gt;&lt;D xsi:type="xsd:double"&gt;0.13278879&lt;/D&gt;&lt;D xsi:type="xsd:double"&gt;1&lt;/D&gt;&lt;D xsi:type="xsd:double"&gt;0.16009735&lt;/D&gt;&lt;D xsi:type="xsd:double"&gt;0.19588006&lt;/D&gt;&lt;D xsi:type="xsd:double"&gt;0.21824424&lt;/D&gt;&lt;D xsi:type="xsd:double"&gt;0.1335506&lt;/D&gt;&lt;D xsi:type="xsd:double"&gt;0.3739649&lt;/D&gt;&lt;D xsi:type="xsd:double"&gt;0.09015171&lt;/D&gt;&lt;D xsi:type="xsd:double"&gt;0.31475922&lt;/D&gt;&lt;D xsi:type="xsd:double"&gt;0.31294557&lt;/D&gt;&lt;D xsi:type="xsd:double"&gt;0.24712695&lt;/D&gt;&lt;D xsi:type="xsd:double"&gt;0.17090751&lt;/D&gt;&lt;D xsi:type="xsd:double"&gt;0.10125316&lt;/D&gt;&lt;D xsi:type="xsd:double"&gt;-0.027800482&lt;/D&gt;&lt;D xsi:type="xsd:double"&gt;0.11826254&lt;/D&gt;&lt;D xsi:type="xsd:double"&gt;0.19526467&lt;/D&gt;&lt;D xsi:type="xsd:double"&gt;0.16856636&lt;/D&gt;&lt;D xsi:type="xsd:double"&gt;0.3109292&lt;/D&gt;&lt;D xsi:type="xsd:double"&gt;0.16414835&lt;/D&gt;&lt;D xsi:type="xsd:double"&gt;0.16492444&lt;/D&gt;&lt;D xsi:type="xsd:double"&gt;0.11243686&lt;/D&gt;&lt;D xsi:type="xsd:double"&gt;0.06535412&lt;/D&gt;&lt;D xsi:type="xsd:double"&gt;0.15952234&lt;/D&gt;&lt;D xsi:type="xsd:double"&gt;0.15928161&lt;/D&gt;&lt;D xsi:type="xsd:double"&gt;0.17666091&lt;/D&gt;&lt;D xsi:type="xsd:double"&gt;0.10096845&lt;/D&gt;&lt;D xsi:type="xsd:double"&gt;0.24980222&lt;/D&gt;&lt;D xsi:type="xsd:double"&gt;0.08055745&lt;/D&gt;&lt;D xsi:type="xsd:double"&gt;0.25975683&lt;/D&gt;&lt;D xsi:type="xsd:double"&gt;-0.009018071&lt;/D&gt;&lt;D xsi:type="xsd:double"&gt;0.3262605&lt;/D&gt;&lt;D xsi:type="xsd:double"&gt;0.2508691&lt;/D&gt;&lt;D xsi:type="xsd:double"&gt;0.4304101&lt;/D&gt;&lt;D xsi:type="xsd:double"&gt;0.49388105&lt;/D&gt;&lt;D xsi:type="xsd:double"&gt;0.29865968&lt;/D&gt;&lt;D xsi:type="xsd:double"&gt;0.27231407&lt;/D&gt;&lt;D xsi:type="xsd:double"&gt;0.44482467&lt;/D&gt;&lt;D xsi:type="xsd:double"&gt;0.20549737&lt;/D&gt;&lt;D xsi:type="xsd:double"&gt;0.18526334&lt;/D&gt;&lt;D xsi:type="xsd:double"&gt;0.34003845&lt;/D&gt;&lt;D xsi:type="xsd:double"&gt;0.28133366&lt;/D&gt;&lt;D xsi:type="xsd:double"&gt;0.21292174&lt;/D&gt;&lt;D xsi:type="xsd:double"&gt;0.10077234&lt;/D&gt;&lt;D xsi:type="xsd:double"&gt;0.2647177&lt;/D&gt;&lt;D xsi:type="xsd:double"&gt;0.3944556&lt;/D&gt;&lt;D xsi:type="xsd:double"&gt;0.45053408&lt;/D&gt;&lt;D xsi:type="xsd:double"&gt;0.2713902&lt;/D&gt;&lt;D xsi:type="xsd:double"&gt;0.42812547&lt;/D&gt;&lt;D xsi:type="xsd:double"&gt;0.3957741&lt;/D&gt;&lt;D xsi:type="xsd:double"&gt;-0.027158432&lt;/D&gt;&lt;D xsi:type="xsd:double"&gt;0.4051682&lt;/D&gt;&lt;D xsi:type="xsd:double"&gt;0.13138045&lt;/D&gt;&lt;D xsi:type="xsd:double"&gt;0.38372114&lt;/D&gt;&lt;D xsi:type="xsd:double"&gt;0.26835087&lt;/D&gt;&lt;D xsi:type="xsd:double"&gt;0.441192&lt;/D&gt;&lt;D xsi:type="xsd:double"&gt;0.16009735&lt;/D&gt;&lt;D xsi:type="xsd:double"&gt;1&lt;/D&gt;&lt;D xsi:type="xsd:double"&gt;0.5258112&lt;/D&gt;&lt;D xsi:type="xsd:double"&gt;0.44926244&lt;/D&gt;&lt;D xsi:type="xsd:double"&gt;0.48808524&lt;/D&gt;&lt;D xsi:type="xsd:double"&gt;0.30653232&lt;/D&gt;&lt;D xsi:type="xsd:double"&gt;0.38879967&lt;/D&gt;&lt;D xsi:type="xsd:double"&gt;0.30853927&lt;/D&gt;&lt;D xsi:type="xsd:double"&gt;0.2802846&lt;/D&gt;&lt;D xsi:type="xsd:double"&gt;0.31870154&lt;/D&gt;&lt;D xsi:type="xsd:double"&gt;0.5494099&lt;/D&gt;&lt;D xsi:type="xsd:double"&gt;0.27014485&lt;/D&gt;&lt;D xsi:type="xsd:double"&gt;0.29451865&lt;/D&gt;&lt;D xsi:type="xsd:double"&gt;0.23060548&lt;/D&gt;&lt;D xsi:type="xsd:double"&gt;0.2622188&lt;/D&gt;&lt;D xsi:type="xsd:double"&gt;0.4746545&lt;/D&gt;&lt;D xsi:type="xsd:double"&gt;0.43209344&lt;/D&gt;&lt;D xsi:type="xsd:double"&gt;0.3689052&lt;/D&gt;&lt;D xsi:type="xsd:double"&gt;0.5124487&lt;/D&gt;&lt;D xsi:type="xsd:double"&gt;0.3849278&lt;/D&gt;&lt;D xsi:type="xsd:double"&gt;0.3211343&lt;/D&gt;&lt;D xsi:type="xsd:double"&gt;0.23943383&lt;/D&gt;&lt;D xsi:type="xsd:double"&gt;0.4059665&lt;/D&gt;&lt;D xsi:type="xsd:double"&gt;0.53046393&lt;/D&gt;&lt;D xsi:type="xsd:double"&gt;0.3859789&lt;/D&gt;&lt;D xsi:type="xsd:double"&gt;0.5193137&lt;/D&gt;&lt;D xsi:type="xsd:double"&gt;0.39153537&lt;/D&gt;&lt;D xsi:type="xsd:double"&gt;0.19643252&lt;/D&gt;&lt;D xsi:type="xsd:double"&gt;0.14295946&lt;/D&gt;&lt;D xsi:type="xsd:double"&gt;0.23799117&lt;/D&gt;&lt;D xsi:type="xsd:double"&gt;0.26562053&lt;/D&gt;&lt;D xsi:type="xsd:double"&gt;0.37498516&lt;/D&gt;&lt;D xsi:type="xsd:double"&gt;0.630362&lt;/D&gt;&lt;D xsi:type="xsd:double"&gt;0.3054061&lt;/D&gt;&lt;D xsi:type="xsd:double"&gt;0.3531811&lt;/D&gt;&lt;D xsi:type="xsd:double"&gt;0.4984764&lt;/D&gt;&lt;D xsi:type="xsd:double"&gt;0.273523&lt;/D&gt;&lt;D xsi:type="xsd:double"&gt;0.25548968&lt;/D&gt;&lt;D xsi:type="xsd:double"&gt;0.34853056&lt;/D&gt;&lt;D xsi:type="xsd:double"&gt;0.18259466&lt;/D&gt;&lt;D xsi:type="xsd:double"&gt;0.11496535&lt;/D&gt;&lt;D xsi:type="xsd:double"&gt;0.17820512&lt;/D&gt;&lt;D xsi:type="xsd:double"&gt;0.19425324&lt;/D&gt;&lt;D xsi:type="xsd:double"&gt;0.48735374&lt;/D&gt;&lt;D xsi:type="xsd:double"&gt;0.6233896&lt;/D&gt;&lt;D xsi:type="xsd:double"&gt;0.24740052&lt;/D&gt;&lt;D xsi:type="xsd:double"&gt;0.54407173&lt;/D&gt;&lt;D xsi:type="xsd:double"&gt;0.615988&lt;/D&gt;&lt;D xsi:type="xsd:double"&gt;0.013797424&lt;/D&gt;&lt;D xsi:type="xsd:double"&gt;0.6688892&lt;/D&gt;&lt;D xsi:type="xsd:double"&gt;0.16295005&lt;/D&gt;&lt;D xsi:type="xsd:double"&gt;0.2222746&lt;/D&gt;&lt;D xsi:type="xsd:double"&gt;0.21949044&lt;/D&gt;&lt;D xsi:type="xsd:double"&gt;0.36420634&lt;/D&gt;&lt;D xsi:type="xsd:double"&gt;0.19588006&lt;/D&gt;&lt;D xsi:type="xsd:double"&gt;0.5258112&lt;/D&gt;&lt;D xsi:type="xsd:double"&gt;1&lt;/D&gt;&lt;D xsi:type="xsd:double"&gt;0.661209&lt;/D&gt;&lt;D xsi:type="xsd:double"&gt;0.4273379&lt;/D&gt;&lt;D xsi:type="xsd:double"&gt;0.30590194&lt;/D&gt;&lt;D xsi:type="xsd:double"&gt;0.19407342&lt;/D&gt;&lt;D xsi:type="xsd:double"&gt;0.39422414&lt;/D&gt;&lt;D xsi:type="xsd:double"&gt;0.19879647&lt;/D&gt;&lt;D xsi:type="xsd:double"&gt;0.23138084&lt;/D&gt;&lt;D xsi:type="xsd:double"&gt;0.53533226&lt;/D&gt;&lt;D xsi:type="xsd:double"&gt;0.31165457&lt;/D&gt;&lt;D xsi:type="xsd:double"&gt;0.16921361&lt;/D&gt;&lt;D xsi:type="xsd:double"&gt;0.15787378&lt;/D&gt;&lt;D xsi:type="xsd:double"&gt;0.35082415&lt;/D&gt;&lt;D xsi:type="xsd:double"&gt;0.5188624&lt;/D&gt;&lt;D xsi:type="xsd:double"&gt;0.4465619&lt;/D&gt;&lt;D xsi:type="xsd:double"&gt;0.40814778&lt;/D&gt;&lt;D xsi:type="xsd:double"&gt;0.4907426&lt;/D&gt;&lt;D xsi:type="xsd:double"&gt;0.2869412&lt;/D&gt;&lt;D xsi:type="xsd:double"&gt;0.30976886&lt;/D&gt;&lt;D xsi:type="xsd:double"&gt;0.18094075&lt;/D&gt;&lt;D xsi:type="xsd:double"&gt;0.36230147&lt;/D&gt;&lt;D xsi:type="xsd:double"&gt;0.5755456&lt;/D&gt;&lt;D xsi:type="xsd:double"&gt;0.5198956&lt;/D&gt;&lt;D xsi:type="xsd:double"&gt;0.7262172&lt;/D&gt;&lt;D xsi:type="xsd:double"&gt;0.5659296&lt;/D&gt;&lt;D xsi:type="xsd:double"&gt;0.11992786&lt;/D&gt;&lt;D xsi:type="xsd:double"&gt;0.08790395&lt;/D&gt;&lt;D xsi:type="xsd:double"&gt;0.23996168&lt;/D&gt;&lt;D xsi:type="xsd:double"&gt;0.31911245&lt;/D&gt;&lt;D xsi:type="xsd:double"&gt;0.33425826&lt;/D&gt;&lt;D xsi:type="xsd:double"&gt;0.55104357&lt;/D&gt;&lt;D xsi:type="xsd:double"&gt;0.3648552&lt;/D&gt;&lt;D xsi:type="xsd:double"&gt;0.40861347&lt;/D&gt;&lt;D xsi:type="xsd:double"&gt;0.5281465&lt;/D&gt;&lt;D xsi:type="xsd:double"&gt;0.34060767&lt;/D&gt;&lt;D xsi:type="xsd:double"&gt;0.357519&lt;/D&gt;&lt;D xsi:type="xsd:double"&gt;0.35790813&lt;/D&gt;&lt;D xsi:type="xsd:double"&gt;0.16404776&lt;/D&gt;&lt;D xsi:type="xsd:double"&gt;0.16225684&lt;/D&gt;&lt;D xsi:type="xsd:double"&gt;0.27055702&lt;/D&gt;&lt;D xsi:type="xsd:double"&gt;0.17965929&lt;/D&gt;&lt;D xsi:type="xsd:double"&gt;0.32009783&lt;/D&gt;&lt;D xsi:type="xsd:double"&gt;0.459231&lt;/D&gt;&lt;D xsi:type="xsd:double"&gt;0.44366995&lt;/D&gt;&lt;D xsi:type="xsd:double"&gt;0.68612504&lt;/D&gt;&lt;D xsi:type="xsd:double"&gt;0.49858105&lt;/D&gt;&lt;D xsi:type="xsd:double"&gt;0.26490197&lt;/D&gt;&lt;D xsi:type="xsd:double"&gt;0.5741227&lt;/D&gt;&lt;D xsi:type="xsd:double"&gt;0.34010366&lt;/D&gt;&lt;D xsi:type="xsd:double"&gt;0.32506016&lt;/D&gt;&lt;D xsi:type="xsd:double"&gt;0.2898122&lt;/D&gt;&lt;D xsi:type="xsd:double"&gt;0.33856165&lt;/D&gt;&lt;D xsi:type="xsd:double"&gt;0.21824424&lt;/D&gt;&lt;D xsi:type="xsd:double"&gt;0.44926244&lt;/D&gt;&lt;D xsi:type="xsd:double"&gt;0.661209&lt;/D&gt;&lt;D xsi:type="xsd:double"&gt;1&lt;/D&gt;&lt;D xsi:type="xsd:double"&gt;0.3520403&lt;/D&gt;&lt;D xsi:type="xsd:double"&gt;0.26588345&lt;/D&gt;&lt;D xsi:type="xsd:double"&gt;0.23950155&lt;/D&gt;&lt;D xsi:type="xsd:double"&gt;0.4473225&lt;/D&gt;&lt;D xsi:type="xsd:double"&gt;0.25799337&lt;/D&gt;&lt;D xsi:type="xsd:double"&gt;0.2712616&lt;/D&gt;&lt;D xsi:type="xsd:double"&gt;0.43595156&lt;/D&gt;&lt;D xsi:type="xsd:double"&gt;0.32374528&lt;/D&gt;&lt;D xsi:type="xsd:double"&gt;0.098428674&lt;/D&gt;&lt;D xsi:type="xsd:double"&gt;0.14864494&lt;/D&gt;&lt;D xsi:type="xsd:double"&gt;0.36236256&lt;/D&gt;&lt;D xsi:type="xsd:double"&gt;0.40519527&lt;/D&gt;&lt;D xsi:type="xsd:double"&gt;0.4611109&lt;/D&gt;&lt;D xsi:type="xsd:double"&gt;0.38773143&lt;/D&gt;&lt;D xsi:type="xsd:double"&gt;0.4025624&lt;/D&gt;&lt;D xsi:type="xsd:double"&gt;0.28169745&lt;/D&gt;&lt;D xsi:type="xsd:double"&gt;0.3148165&lt;/D&gt;&lt;D xsi:type="xsd:double"&gt;0.13664405&lt;/D&gt;&lt;D xsi:type="xsd:double"&gt;0.28716052&lt;/D&gt;&lt;D xsi:type="xsd:double"&gt;0.5090314&lt;/D&gt;&lt;D xsi:type="xsd:double"&gt;0.43433782&lt;/D&gt;&lt;D xsi:type="xsd:double"&gt;0.5781704&lt;/D&gt;&lt;D xsi:type="xsd:double"&gt;0.5283783&lt;/D&gt;&lt;D xsi:type="xsd:double"&gt;0.15281232&lt;/D&gt;&lt;D xsi:type="xsd:double"&gt;0.114195965&lt;/D&gt;&lt;D xsi:type="xsd:double"&gt;0.26287225&lt;/D&gt;&lt;D xsi:type="xsd:double"&gt;0.21891186&lt;/D&gt;&lt;D xsi:type="xsd:double"&gt;0.34029338&lt;/D&gt;&lt;D xsi:type="xsd:double"&gt;0.47747213&lt;/D&gt;&lt;D xsi:type="xsd:double"&gt;0.28785595&lt;/D&gt;&lt;D xsi:type="xsd:double"&gt;0.28920132&lt;/D&gt;&lt;D xsi:type="xsd:double"&gt;0.5302485&lt;/D&gt;&lt;D xsi:type="xsd:double"&gt;0.10892605&lt;/D&gt;&lt;D xsi:type="xsd:double"&gt;0.18954273&lt;/D&gt;&lt;D xsi:type="xsd:double"&gt;0.26448482&lt;/D&gt;&lt;D xsi:type="xsd:double"&gt;0.23542531&lt;/D&gt;&lt;D xsi:type="xsd:double"&gt;0.16923365&lt;/D&gt;&lt;D xsi:type="xsd:double"&gt;0.0019894002&lt;/D&gt;&lt;D xsi:type="xsd:double"&gt;0.21683453&lt;/D&gt;&lt;D xsi:type="xsd:double"&gt;0.44546017&lt;/D&gt;&lt;D xsi:type="xsd:double"&gt;0.48128855&lt;/D&gt;&lt;D xsi:type="xsd:double"&gt;0.1062748&lt;/D&gt;&lt;D xsi:type="xsd:double"&gt;0.31312713&lt;/D&gt;&lt;D xsi:type="xsd:double"&gt;0.41202164&lt;/D&gt;&lt;D xsi:type="xsd:double"&gt;0.02452575&lt;/D&gt;&lt;D xsi:type="xsd:double"&gt;0.37778002&lt;/D&gt;&lt;D xsi:type="xsd:double"&gt;0.14325514&lt;/D&gt;&lt;D xsi:type="xsd:double"&gt;0.3292838&lt;/D&gt;&lt;D xsi:type="xsd:double"&gt;0.28855464&lt;/D&gt;&lt;D xsi:type="xsd:double"&gt;0.3869178&lt;/D&gt;&lt;D xsi:type="xsd:double"&gt;0.1335506&lt;/D&gt;&lt;D xsi:type="xsd:double"&gt;0.48808524&lt;/D&gt;&lt;D xsi:type="xsd:double"&gt;0.4273379&lt;/D&gt;&lt;D xsi:type="xsd:double"&gt;0.3520403&lt;/D&gt;&lt;D xsi:type="xsd:double"&gt;1&lt;/D&gt;&lt;D xsi:type="xsd:double"&gt;0.2637463&lt;/D&gt;&lt;D xsi:type="xsd:double"&gt;0.30954638&lt;/D&gt;&lt;D xsi:type="xsd:double"&gt;0.28119183&lt;/D&gt;&lt;D xsi:type="xsd:double"&gt;0.186602&lt;/D&gt;&lt;D xsi:type="xsd:double"&gt;0.29888862&lt;/D&gt;&lt;D xsi:type="xsd:double"&gt;0.5445799&lt;/D&gt;&lt;D xsi:type="xsd:double"&gt;0.07840071&lt;/D&gt;&lt;D xsi:type="xsd:double"&gt;0.32739353&lt;/D&gt;&lt;D xsi:type="xsd:double"&gt;0.2195676&lt;/D&gt;&lt;D xsi:type="xsd:double"&gt;0.3234412&lt;/D&gt;&lt;D xsi:type="xsd:double"&gt;0.37946352&lt;/D&gt;&lt;D xsi:type="xsd:double"&gt;0.39878142&lt;/D&gt;&lt;D xsi:type="xsd:double"&gt;0.41710818&lt;/D&gt;&lt;D xsi:type="xsd:double"&gt;0.39435488&lt;/D&gt;&lt;D xsi:type="xsd:double"&gt;0.35130605&lt;/D&gt;&lt;D xsi:type="xsd:double"&gt;0.30641475&lt;/D&gt;&lt;D xsi:type="xsd:double"&gt;0.2094726&lt;/D&gt;&lt;D xsi:type="xsd:double"&gt;0.7095153&lt;/D&gt;&lt;D xsi:type="xsd:double"&gt;0.45459837&lt;/D&gt;&lt;D xsi:type="xsd:double"&gt;0.4442045&lt;/D&gt;&lt;D xsi:type="xsd:double"&gt;0.46685606&lt;/D&gt;&lt;D xsi:type="xsd:double"&gt;0.36580577&lt;/D&gt;&lt;D xsi:type="xsd:double"&gt;-0.03227533&lt;/D&gt;&lt;D xsi:type="xsd:double"&gt;0.1569191&lt;/D&gt;&lt;D xsi:type="xsd:double"&gt;0.25905004&lt;/D&gt;&lt;D xsi:type="xsd:double"&gt;0.31933624&lt;/D&gt;&lt;D xsi:type="xsd:double"&gt;0.2785199&lt;/D&gt;&lt;D xsi:type="xsd:double"&gt;0.3058566&lt;/D&gt;&lt;D xsi:type="xsd:double"&gt;0.35153133&lt;/D&gt;&lt;D xsi:type="xsd:double"&gt;0.4093854&lt;/D&gt;&lt;D xsi:type="xsd:double"&gt;0.27537027&lt;/D&gt;&lt;D xsi:type="xsd:double"&gt;0.2677907&lt;/D&gt;&lt;D xsi:type="xsd:double"&gt;0.25873458&lt;/D&gt;&lt;D xsi:type="xsd:double"&gt;0.3486187&lt;/D&gt;&lt;D xsi:type="xsd:double"&gt;0.23266354&lt;/D&gt;&lt;D xsi:type="xsd:double"&gt;0.4699483&lt;/D&gt;&lt;D xsi:type="xsd:double"&gt;0.1732416&lt;/D&gt;&lt;D xsi:type="xsd:double"&gt;0.16971618&lt;/D&gt;&lt;D xsi:type="xsd:double"&gt;0.20918179&lt;/D&gt;&lt;D xsi:type="xsd:double"&gt;0.3031264&lt;/D&gt;&lt;D xsi:type="xsd:double"&gt;0.29215837&lt;/D&gt;&lt;D xsi:type="xsd:double"&gt;0.33341545&lt;/D&gt;&lt;D xsi:type="xsd:double"&gt;0.25374144&lt;/D&gt;&lt;D xsi:type="xsd:double"&gt;0.11290042&lt;/D&gt;&lt;D xsi:type="xsd:double"&gt;0.24262643&lt;/D&gt;&lt;D xsi:type="xsd:double"&gt;0.23387443&lt;/D&gt;&lt;D xsi:type="xsd:double"&gt;0.22311498&lt;/D&gt;&lt;D xsi:type="xsd:double"&gt;0.49228078&lt;/D&gt;&lt;D xsi:type="xsd:double"&gt;0.2723176&lt;/D&gt;&lt;D xsi:type="xsd:double"&gt;0.3739649&lt;/D&gt;&lt;D xsi:type="xsd:double"&gt;0.30653232&lt;/D&gt;&lt;D xsi:type="xsd:double"&gt;0.30590194&lt;/D&gt;&lt;D xsi:type="xsd:double"&gt;0.26588345&lt;/D&gt;&lt;D xsi:type="xsd:double"&gt;0.2637463&lt;/D&gt;&lt;D xsi:type="xsd:double"&gt;1&lt;/D&gt;&lt;D xsi:type="xsd:double"&gt;0.10916078&lt;/D&gt;&lt;D xsi:type="xsd:double"&gt;0.37931973&lt;/D&gt;&lt;D xsi:type="xsd:double"&gt;0.5382376&lt;/D&gt;&lt;D xsi:type="xsd:double"&gt;0.4056425&lt;/D&gt;&lt;D xsi:type="xsd:double"&gt;0.3515149&lt;/D&gt;&lt;D xsi:type="xsd:double"&gt;0.16555734&lt;/D&gt;&lt;D xsi:type="xsd:double"&gt;0.12369908&lt;/D&gt;&lt;D xsi:type="xsd:double"&gt;0.17291728&lt;/D&gt;&lt;D xsi:type="xsd:double"&gt;0.32488728&lt;/D&gt;&lt;D xsi:type="xsd:double"&gt;0.27920762&lt;/D&gt;&lt;D xsi:type="xsd:double"&gt;0.35213155&lt;/D&gt;&lt;D xsi:type="xsd:double"&gt;0.307916&lt;/D&gt;&lt;D xsi:type="xsd:double"&gt;0.32046068&lt;/D&gt;&lt;D xsi:type="xsd:double"&gt;0.22579919&lt;/D&gt;&lt;D xsi:type="xsd:double"&gt;0.2073927&lt;/D&gt;&lt;D xsi:t</t>
        </r>
      </text>
    </comment>
    <comment ref="A4" authorId="0" shapeId="0" xr:uid="{8AB7B24B-3592-4D44-9BFD-211DDCB36DA1}">
      <text>
        <r>
          <rPr>
            <b/>
            <sz val="9"/>
            <color indexed="81"/>
            <rFont val="Tahoma"/>
            <family val="2"/>
          </rPr>
          <t>ype="xsd:double"&gt;0.20499884&lt;/D&gt;&lt;D xsi:type="xsd:double"&gt;0.34630564&lt;/D&gt;&lt;D xsi:type="xsd:double"&gt;0.26723644&lt;/D&gt;&lt;D xsi:type="xsd:double"&gt;0.3313261&lt;/D&gt;&lt;D xsi:type="xsd:double"&gt;0.31598637&lt;/D&gt;&lt;D xsi:type="xsd:double"&gt;0.25018913&lt;/D&gt;&lt;D xsi:type="xsd:double"&gt;0.4686032&lt;/D&gt;&lt;D xsi:type="xsd:double"&gt;0.06780328&lt;/D&gt;&lt;D xsi:type="xsd:double"&gt;0.13056317&lt;/D&gt;&lt;D xsi:type="xsd:double"&gt;0.14052382&lt;/D&gt;&lt;D xsi:type="xsd:double"&gt;0.2718546&lt;/D&gt;&lt;D xsi:type="xsd:double"&gt;0.2520085&lt;/D&gt;&lt;D xsi:type="xsd:double"&gt;0.231974&lt;/D&gt;&lt;D xsi:type="xsd:double"&gt;0.17012271&lt;/D&gt;&lt;D xsi:type="xsd:double"&gt;0.36346978&lt;/D&gt;&lt;D xsi:type="xsd:double"&gt;0.04257386&lt;/D&gt;&lt;D xsi:type="xsd:double"&gt;0.055779677&lt;/D&gt;&lt;D xsi:type="xsd:double"&gt;0.15527445&lt;/D&gt;&lt;D xsi:type="xsd:double"&gt;0.08172505&lt;/D&gt;&lt;D xsi:type="xsd:double"&gt;0.07854787&lt;/D&gt;&lt;D xsi:type="xsd:double"&gt;0.025661021&lt;/D&gt;&lt;D xsi:type="xsd:double"&gt;0.13410823&lt;/D&gt;&lt;D xsi:type="xsd:double"&gt;0.25338206&lt;/D&gt;&lt;D xsi:type="xsd:double"&gt;0.26996332&lt;/D&gt;&lt;D xsi:type="xsd:double"&gt;0.09561953&lt;/D&gt;&lt;D xsi:type="xsd:double"&gt;0.280762&lt;/D&gt;&lt;D xsi:type="xsd:double"&gt;0.19331512&lt;/D&gt;&lt;D xsi:type="xsd:double"&gt;0.09142956&lt;/D&gt;&lt;D xsi:type="xsd:double"&gt;0.17240506&lt;/D&gt;&lt;D xsi:type="xsd:double"&gt;-0.035711113&lt;/D&gt;&lt;D xsi:type="xsd:double"&gt;0.3289392&lt;/D&gt;&lt;D xsi:type="xsd:double"&gt;0.16777211&lt;/D&gt;&lt;D xsi:type="xsd:double"&gt;0.3879233&lt;/D&gt;&lt;D xsi:type="xsd:double"&gt;0.09015171&lt;/D&gt;&lt;D xsi:type="xsd:double"&gt;0.38879967&lt;/D&gt;&lt;D xsi:type="xsd:double"&gt;0.19407342&lt;/D&gt;&lt;D xsi:type="xsd:double"&gt;0.23950155&lt;/D&gt;&lt;D xsi:type="xsd:double"&gt;0.30954638&lt;/D&gt;&lt;D xsi:type="xsd:double"&gt;0.10916078&lt;/D&gt;&lt;D xsi:type="xsd:double"&gt;1&lt;/D&gt;&lt;D xsi:type="xsd:double"&gt;0.23585968&lt;/D&gt;&lt;D xsi:type="xsd:double"&gt;-0.007291093&lt;/D&gt;&lt;D xsi:type="xsd:double"&gt;0.15477663&lt;/D&gt;&lt;D xsi:type="xsd:double"&gt;0.36985603&lt;/D&gt;&lt;D xsi:type="xsd:double"&gt;0.14364739&lt;/D&gt;&lt;D xsi:type="xsd:double"&gt;0.08741834&lt;/D&gt;&lt;D xsi:type="xsd:double"&gt;0.06885537&lt;/D&gt;&lt;D xsi:type="xsd:double"&gt;0.2323505&lt;/D&gt;&lt;D xsi:type="xsd:double"&gt;0.30368736&lt;/D&gt;&lt;D xsi:type="xsd:double"&gt;0.26926172&lt;/D&gt;&lt;D xsi:type="xsd:double"&gt;0.25319806&lt;/D&gt;&lt;D xsi:type="xsd:double"&gt;0.17795599&lt;/D&gt;&lt;D xsi:type="xsd:double"&gt;0.5128744&lt;/D&gt;&lt;D xsi:type="xsd:double"&gt;0.18893269&lt;/D&gt;&lt;D xsi:type="xsd:double"&gt;0.108903416&lt;/D&gt;&lt;D xsi:type="xsd:double"&gt;0.32393184&lt;/D&gt;&lt;D xsi:type="xsd:double"&gt;0.288495&lt;/D&gt;&lt;D xsi:type="xsd:double"&gt;0.29016763&lt;/D&gt;&lt;D xsi:type="xsd:double"&gt;0.23108286&lt;/D&gt;&lt;D xsi:type="xsd:double"&gt;0.19985601&lt;/D&gt;&lt;D xsi:type="xsd:double"&gt;0.08805432&lt;/D&gt;&lt;D xsi:type="xsd:double"&gt;0.05984666&lt;/D&gt;&lt;D xsi:type="xsd:double"&gt;0.25532448&lt;/D&gt;&lt;D xsi:type="xsd:double"&gt;0.4560122&lt;/D&gt;&lt;D xsi:type="xsd:double"&gt;0.2786941&lt;/D&gt;&lt;D xsi:type="xsd:double"&gt;0.33687627&lt;/D&gt;&lt;D xsi:type="xsd:double"&gt;0.42130694&lt;/D&gt;&lt;D xsi:type="xsd:double"&gt;0.44010666&lt;/D&gt;&lt;D xsi:type="xsd:double"&gt;0.40539667&lt;/D&gt;&lt;D xsi:type="xsd:double"&gt;0.41969043&lt;/D&gt;&lt;D xsi:type="xsd:double"&gt;0.4280298&lt;/D&gt;&lt;D xsi:type="xsd:double"&gt;0.37367842&lt;/D&gt;&lt;D xsi:type="xsd:double"&gt;0.20306657&lt;/D&gt;&lt;D xsi:type="xsd:double"&gt;0.26281947&lt;/D&gt;&lt;D xsi:type="xsd:double"&gt;0.27103207&lt;/D&gt;&lt;D xsi:type="xsd:double"&gt;0.18901707&lt;/D&gt;&lt;D xsi:type="xsd:double"&gt;0.21243961&lt;/D&gt;&lt;D xsi:type="xsd:double"&gt;0.32110173&lt;/D&gt;&lt;D xsi:type="xsd:double"&gt;0.40769058&lt;/D&gt;&lt;D xsi:type="xsd:double"&gt;0.5145791&lt;/D&gt;&lt;D xsi:type="xsd:double"&gt;0.2521979&lt;/D&gt;&lt;D xsi:type="xsd:double"&gt;0.31499085&lt;/D&gt;&lt;D xsi:type="xsd:double"&gt;0.20630194&lt;/D&gt;&lt;D xsi:type="xsd:double"&gt;0.35227284&lt;/D&gt;&lt;D xsi:type="xsd:double"&gt;0.3428977&lt;/D&gt;&lt;D xsi:type="xsd:double"&gt;0.36919683&lt;/D&gt;&lt;D xsi:type="xsd:double"&gt;0.29431716&lt;/D&gt;&lt;D xsi:type="xsd:double"&gt;0.31475922&lt;/D&gt;&lt;D xsi:type="xsd:double"&gt;0.30853927&lt;/D&gt;&lt;D xsi:type="xsd:double"&gt;0.39422414&lt;/D&gt;&lt;D xsi:type="xsd:double"&gt;0.4473225&lt;/D&gt;&lt;D xsi:type="xsd:double"&gt;0.28119183&lt;/D&gt;&lt;D xsi:type="xsd:double"&gt;0.37931973&lt;/D&gt;&lt;D xsi:type="xsd:double"&gt;0.23585968&lt;/D&gt;&lt;D xsi:type="xsd:double"&gt;1&lt;/D&gt;&lt;D xsi:type="xsd:double"&gt;0.3268631&lt;/D&gt;&lt;D xsi:type="xsd:double"&gt;0.28388113&lt;/D&gt;&lt;D xsi:type="xsd:double"&gt;0.3348786&lt;/D&gt;&lt;D xsi:type="xsd:double"&gt;0.35905766&lt;/D&gt;&lt;D xsi:type="xsd:double"&gt;0.015495358&lt;/D&gt;&lt;D xsi:type="xsd:double"&gt;0.13839422&lt;/D&gt;&lt;D xsi:type="xsd:double"&gt;0.34395206&lt;/D&gt;&lt;D xsi:type="xsd:double"&gt;0.31278116&lt;/D&gt;&lt;D xsi:type="xsd:double"&gt;0.44657934&lt;/D&gt;&lt;D xsi:type="xsd:double"&gt;0.3774422&lt;/D&gt;&lt;D xsi:type="xsd:double"&gt;0.24412447&lt;/D&gt;&lt;D xsi:type="xsd:double"&gt;0.21088965&lt;/D&gt;&lt;D xsi:type="xsd:double"&gt;0.22518127&lt;/D&gt;&lt;D xsi:type="xsd:double"&gt;0.11292037&lt;/D&gt;&lt;D xsi:type="xsd:double"&gt;0.3373373&lt;/D&gt;&lt;D xsi:type="xsd:double"&gt;0.38300255&lt;/D&gt;&lt;D xsi:type="xsd:double"&gt;0.28749365&lt;/D&gt;&lt;D xsi:type="xsd:double"&gt;0.3075085&lt;/D&gt;&lt;D xsi:type="xsd:double"&gt;0.38300705&lt;/D&gt;&lt;D xsi:type="xsd:double"&gt;0.26052627&lt;/D&gt;&lt;D xsi:type="xsd:double"&gt;0.0559917&lt;/D&gt;&lt;D xsi:type="xsd:double"&gt;0.1422874&lt;/D&gt;&lt;D xsi:type="xsd:double"&gt;0.2759276&lt;/D&gt;&lt;D xsi:type="xsd:double"&gt;0.21198398&lt;/D&gt;&lt;D xsi:type="xsd:double"&gt;0.09167262&lt;/D&gt;&lt;D xsi:type="xsd:double"&gt;0.27971545&lt;/D&gt;&lt;D xsi:type="xsd:double"&gt;0.34353572&lt;/D&gt;&lt;D xsi:type="xsd:double"&gt;0.15529096&lt;/D&gt;&lt;D xsi:type="xsd:double"&gt;0.26672912&lt;/D&gt;&lt;D xsi:type="xsd:double"&gt;0.2234625&lt;/D&gt;&lt;D xsi:type="xsd:double"&gt;0.35317433&lt;/D&gt;&lt;D xsi:type="xsd:double"&gt;0.17813039&lt;/D&gt;&lt;D xsi:type="xsd:double"&gt;0.547751&lt;/D&gt;&lt;D xsi:type="xsd:double"&gt;0.19139676&lt;/D&gt;&lt;D xsi:type="xsd:double"&gt;0.114766166&lt;/D&gt;&lt;D xsi:type="xsd:double"&gt;0.031924557&lt;/D&gt;&lt;D xsi:type="xsd:double"&gt;0.15477751&lt;/D&gt;&lt;D xsi:type="xsd:double"&gt;0.37051836&lt;/D&gt;&lt;D xsi:type="xsd:double"&gt;0.37190944&lt;/D&gt;&lt;D xsi:type="xsd:double"&gt;0.073411405&lt;/D&gt;&lt;D xsi:type="xsd:double"&gt;0.17622137&lt;/D&gt;&lt;D xsi:type="xsd:double"&gt;0.099178985&lt;/D&gt;&lt;D xsi:type="xsd:double"&gt;0.35498595&lt;/D&gt;&lt;D xsi:type="xsd:double"&gt;0.17007229&lt;/D&gt;&lt;D xsi:type="xsd:double"&gt;0.41363165&lt;/D&gt;&lt;D xsi:type="xsd:double"&gt;0.19724093&lt;/D&gt;&lt;D xsi:type="xsd:double"&gt;0.31294557&lt;/D&gt;&lt;D xsi:type="xsd:double"&gt;0.2802846&lt;/D&gt;&lt;D xsi:type="xsd:double"&gt;0.19879647&lt;/D&gt;&lt;D xsi:type="xsd:double"&gt;0.25799337&lt;/D&gt;&lt;D xsi:type="xsd:double"&gt;0.186602&lt;/D&gt;&lt;D xsi:type="xsd:double"&gt;0.5382376&lt;/D&gt;&lt;D xsi:type="xsd:double"&gt;-0.007291093&lt;/D&gt;&lt;D xsi:type="xsd:double"&gt;0.3268631&lt;/D&gt;&lt;D xsi:type="xsd:double"&gt;1&lt;/D&gt;&lt;D xsi:type="xsd:double"&gt;0.24515769&lt;/D&gt;&lt;D xsi:type="xsd:double"&gt;0.26256397&lt;/D&gt;&lt;D xsi:type="xsd:double"&gt;0.20288114&lt;/D&gt;&lt;D xsi:type="xsd:double"&gt;0.086053506&lt;/D&gt;&lt;D xsi:type="xsd:double"&gt;0.16058911&lt;/D&gt;&lt;D xsi:type="xsd:double"&gt;0.26082224&lt;/D&gt;&lt;D xsi:type="xsd:double"&gt;0.23982559&lt;/D&gt;&lt;D xsi:type="xsd:double"&gt;0.32592916&lt;/D&gt;&lt;D xsi:type="xsd:double"&gt;0.21558388&lt;/D&gt;&lt;D xsi:type="xsd:double"&gt;0.2082833&lt;/D&gt;&lt;D xsi:type="xsd:double"&gt;0.1840048&lt;/D&gt;&lt;D xsi:type="xsd:double"&gt;0.096976705&lt;/D&gt;&lt;D xsi:type="xsd:double"&gt;0.046143413&lt;/D&gt;&lt;D xsi:type="xsd:double"&gt;0.24671806&lt;/D&gt;&lt;D xsi:type="xsd:double"&gt;0.23825218&lt;/D&gt;&lt;D xsi:type="xsd:double"&gt;0.12783782&lt;/D&gt;&lt;D xsi:type="xsd:double"&gt;0.19944242&lt;/D&gt;&lt;D xsi:type="xsd:double"&gt;0.13371815&lt;/D&gt;&lt;D xsi:type="xsd:double"&gt;0.49824739&lt;/D&gt;&lt;D xsi:type="xsd:double"&gt;0.066663235&lt;/D&gt;&lt;D xsi:type="xsd:double"&gt;0.36454055&lt;/D&gt;&lt;D xsi:type="xsd:double"&gt;0.24200404&lt;/D&gt;&lt;D xsi:type="xsd:double"&gt;0.2953655&lt;/D&gt;&lt;D xsi:type="xsd:double"&gt;0.24304955&lt;/D&gt;&lt;D xsi:type="xsd:double"&gt;0.31579438&lt;/D&gt;&lt;D xsi:type="xsd:double"&gt;0.34340277&lt;/D&gt;&lt;D xsi:type="xsd:double"&gt;0.32406166&lt;/D&gt;&lt;D xsi:type="xsd:double"&gt;0.22344452&lt;/D&gt;&lt;D xsi:type="xsd:double"&gt;0.16698833&lt;/D&gt;&lt;D xsi:type="xsd:double"&gt;0.1998292&lt;/D&gt;&lt;D xsi:type="xsd:double"&gt;0.21107449&lt;/D&gt;&lt;D xsi:type="xsd:double"&gt;0.25157738&lt;/D&gt;&lt;D xsi:type="xsd:double"&gt;0.06914001&lt;/D&gt;&lt;D xsi:type="xsd:double"&gt;0.23356119&lt;/D&gt;&lt;D xsi:type="xsd:double"&gt;0.19671798&lt;/D&gt;&lt;D xsi:type="xsd:double"&gt;0.2757345&lt;/D&gt;&lt;D xsi:type="xsd:double"&gt;0.14890496&lt;/D&gt;&lt;D xsi:type="xsd:double"&gt;0.24686998&lt;/D&gt;&lt;D xsi:type="xsd:double"&gt;0.21842164&lt;/D&gt;&lt;D xsi:type="xsd:double"&gt;0.054147013&lt;/D&gt;&lt;D xsi:type="xsd:double"&gt;0.20838684&lt;/D&gt;&lt;D xsi:type="xsd:double"&gt;0.05179342&lt;/D&gt;&lt;D xsi:type="xsd:double"&gt;0.19632392&lt;/D&gt;&lt;D xsi:type="xsd:double"&gt;0.28473237&lt;/D&gt;&lt;D xsi:type="xsd:double"&gt;0.33225134&lt;/D&gt;&lt;D xsi:type="xsd:double"&gt;0.24712695&lt;/D&gt;&lt;D xsi:type="xsd:double"&gt;0.31870154&lt;/D&gt;&lt;D xsi:type="xsd:double"&gt;0.23138084&lt;/D&gt;&lt;D xsi:type="xsd:double"&gt;0.2712616&lt;/D&gt;&lt;D xsi:type="xsd:double"&gt;0.29888862&lt;/D&gt;&lt;D xsi:type="xsd:double"&gt;0.4056425&lt;/D&gt;&lt;D xsi:type="xsd:double"&gt;0.15477663&lt;/D&gt;&lt;D xsi:type="xsd:double"&gt;0.28388113&lt;/D&gt;&lt;D xsi:type="xsd:double"&gt;0.24515769&lt;/D&gt;&lt;D xsi:type="xsd:double"&gt;1&lt;/D&gt;&lt;D xsi:type="xsd:double"&gt;0.31310323&lt;/D&gt;&lt;D xsi:type="xsd:double"&gt;0.11628512&lt;/D&gt;&lt;D xsi:type="xsd:double"&gt;0.13196473&lt;/D&gt;&lt;D xsi:type="xsd:double"&gt;0.16779664&lt;/D&gt;&lt;D xsi:type="xsd:double"&gt;0.1568491&lt;/D&gt;&lt;D xsi:type="xsd:double"&gt;0.29536244&lt;/D&gt;&lt;D xsi:type="xsd:double"&gt;0.30356315&lt;/D&gt;&lt;D xsi:type="xsd:double"&gt;0.31287205&lt;/D&gt;&lt;D xsi:type="xsd:double"&gt;0.28994197&lt;/D&gt;&lt;D xsi:type="xsd:double"&gt;0.21416658&lt;/D&gt;&lt;D xsi:type="xsd:double"&gt;0.21153066&lt;/D&gt;&lt;D xsi:type="xsd:double"&gt;0.17387299&lt;/D&gt;&lt;D xsi:type="xsd:double"&gt;0.36194378&lt;/D&gt;&lt;D xsi:type="xsd:double"&gt;0.24372193&lt;/D&gt;&lt;D xsi:type="xsd:double"&gt;0.24624535&lt;/D&gt;&lt;D xsi:type="xsd:double"&gt;0.2646439&lt;/D&gt;&lt;D xsi:type="xsd:double"&gt;0.17186841&lt;/D&gt;&lt;D xsi:type="xsd:double"&gt;0.14299725&lt;/D&gt;&lt;D xsi:type="xsd:double"&gt;0.089035325&lt;/D&gt;&lt;D xsi:type="xsd:double"&gt;0.29286292&lt;/D&gt;&lt;D xsi:type="xsd:double"&gt;0.25432807&lt;/D&gt;&lt;D xsi:type="xsd:double"&gt;0.61608404&lt;/D&gt;&lt;D xsi:type="xsd:double"&gt;0.4381573&lt;/D&gt;&lt;D xsi:type="xsd:double"&gt;0.37872767&lt;/D&gt;&lt;D xsi:type="xsd:double"&gt;0.32252553&lt;/D&gt;&lt;D xsi:type="xsd:double"&gt;0.53837925&lt;/D&gt;&lt;D xsi:type="xsd:double"&gt;0.15928228&lt;/D&gt;&lt;D xsi:type="xsd:double"&gt;0.21865244&lt;/D&gt;&lt;D xsi:type="xsd:double"&gt;0.39582807&lt;/D&gt;&lt;D xsi:type="xsd:double"&gt;0.14662594&lt;/D&gt;&lt;D xsi:type="xsd:double"&gt;0.20976432&lt;/D&gt;&lt;D xsi:type="xsd:double"&gt;-0.05996301&lt;/D&gt;&lt;D xsi:type="xsd:double"&gt;0.17856295&lt;/D&gt;&lt;D xsi:type="xsd:double"&gt;0.3823146&lt;/D&gt;&lt;D xsi:type="xsd:double"&gt;0.5188133&lt;/D&gt;&lt;D xsi:type="xsd:double"&gt;0.21321878&lt;/D&gt;&lt;D xsi:type="xsd:double"&gt;0.3886375&lt;/D&gt;&lt;D xsi:type="xsd:double"&gt;0.43226722&lt;/D&gt;&lt;D xsi:type="xsd:double"&gt;0.030308262&lt;/D&gt;&lt;D xsi:type="xsd:double"&gt;0.46770686&lt;/D&gt;&lt;D xsi:type="xsd:double"&gt;0.050698124&lt;/D&gt;&lt;D xsi:type="xsd:double"&gt;0.2867997&lt;/D&gt;&lt;D xsi:type="xsd:double"&gt;0.24900843&lt;/D&gt;&lt;D xsi:type="xsd:double"&gt;0.5281844&lt;/D&gt;&lt;D xsi:type="xsd:double"&gt;0.17090751&lt;/D&gt;&lt;D xsi:type="xsd:double"&gt;0.5494099&lt;/D&gt;&lt;D xsi:type="xsd:double"&gt;0.53533226&lt;/D&gt;&lt;D xsi:type="xsd:double"&gt;0.43595156&lt;/D&gt;&lt;D xsi:type="xsd:double"&gt;0.5445799&lt;/D&gt;&lt;D xsi:type="xsd:double"&gt;0.3515149&lt;/D&gt;&lt;D xsi:type="xsd:double"&gt;0.36985603&lt;/D&gt;&lt;D xsi:type="xsd:double"&gt;0.3348786&lt;/D&gt;&lt;D xsi:type="xsd:double"&gt;0.26256397&lt;/D&gt;&lt;D xsi:type="xsd:double"&gt;0.31310323&lt;/D&gt;&lt;D xsi:type="xsd:double"&gt;1&lt;/D&gt;&lt;D xsi:type="xsd:double"&gt;0.32941073&lt;/D&gt;&lt;D xsi:type="xsd:double"&gt;0.32809922&lt;/D&gt;&lt;D xsi:type="xsd:double"&gt;0.22335935&lt;/D&gt;&lt;D xsi:type="xsd:double"&gt;0.37075955&lt;/D&gt;&lt;D xsi:type="xsd:double"&gt;0.6956209&lt;/D&gt;&lt;D xsi:type="xsd:double"&gt;0.41024444&lt;/D&gt;&lt;D xsi:type="xsd:double"&gt;0.36441904&lt;/D&gt;&lt;D xsi:type="xsd:double"&gt;0.58411795&lt;/D&gt;&lt;D xsi:type="xsd:double"&gt;0.55750823&lt;/D&gt;&lt;D xsi:type="xsd:double"&gt;0.439912&lt;/D&gt;&lt;D xsi:type="xsd:double"&gt;0.234827&lt;/D&gt;&lt;D xsi:type="xsd:double"&gt;0.52708435&lt;/D&gt;&lt;D xsi:type="xsd:double"&gt;0.7616617&lt;/D&gt;&lt;D xsi:type="xsd:double"&gt;0.42650074&lt;/D&gt;&lt;D xsi:type="xsd:double"&gt;0.5181595&lt;/D&gt;&lt;D xsi:type="xsd:double"&gt;0.34533724&lt;/D&gt;&lt;D xsi:type="xsd:double"&gt;0.1027912&lt;/D&gt;&lt;D xsi:type="xsd:double"&gt;0.13109232&lt;/D&gt;&lt;D xsi:type="xsd:double"&gt;0.15665248&lt;/D&gt;&lt;D xsi:type="xsd:double"&gt;0.17794839&lt;/D&gt;&lt;D xsi:type="xsd:double"&gt;0.25645226&lt;/D&gt;&lt;D xsi:type="xsd:double"&gt;0.16361754&lt;/D&gt;&lt;D xsi:type="xsd:double"&gt;0.2777503&lt;/D&gt;&lt;D xsi:type="xsd:double"&gt;0.16803987&lt;/D&gt;&lt;D xsi:type="xsd:double"&gt;0.14638172&lt;/D&gt;&lt;D xsi:type="xsd:double"&gt;0.21711294&lt;/D&gt;&lt;D xsi:type="xsd:double"&gt;0.31774324&lt;/D&gt;&lt;D xsi:type="xsd:double"&gt;0.31011721&lt;/D&gt;&lt;D xsi:type="xsd:double"&gt;0.065998755&lt;/D&gt;&lt;D xsi:type="xsd:double"&gt;0.14224622&lt;/D&gt;&lt;D xsi:type="xsd:double"&gt;0.14272022&lt;/D&gt;&lt;D xsi:type="xsd:double"&gt;0.15046673&lt;/D&gt;&lt;D xsi:type="xsd:double"&gt;0.055297602&lt;/D&gt;&lt;D xsi:type="xsd:double"&gt;0.30553922&lt;/D&gt;&lt;D xsi:type="xsd:double"&gt;0.418656&lt;/D&gt;&lt;D xsi:type="xsd:double"&gt;0.36957544&lt;/D&gt;&lt;D xsi:type="xsd:double"&gt;0.23980747&lt;/D&gt;&lt;D xsi:type="xsd:double"&gt;0.2358155&lt;/D&gt;&lt;D xsi:type="xsd:double"&gt;0.29008836&lt;/D&gt;&lt;D xsi:type="xsd:double"&gt;0.17381921&lt;/D&gt;&lt;D xsi:type="xsd:double"&gt;0.18265869&lt;/D&gt;&lt;D xsi:type="xsd:double"&gt;0.11998073&lt;/D&gt;&lt;D xsi:type="xsd:double"&gt;0.21105298&lt;/D&gt;&lt;D xsi:type="xsd:double"&gt;0.10125316&lt;/D&gt;&lt;D xsi:type="xsd:double"&gt;0.27014485&lt;/D&gt;&lt;D xsi:type="xsd:double"&gt;0.31165457&lt;/D&gt;&lt;D xsi:type="xsd:double"&gt;0.32374528&lt;/D&gt;&lt;D xsi:type="xsd:double"&gt;0.07840071&lt;/D&gt;&lt;D xsi:type="xsd:double"&gt;0.16555734&lt;/D&gt;&lt;D xsi:type="xsd:double"&gt;0.14364739&lt;/D&gt;&lt;D xsi:type="xsd:double"&gt;0.35905766&lt;/D&gt;&lt;D xsi:type="xsd:double"&gt;0.20288114&lt;/D&gt;&lt;D xsi:type="xsd:double"&gt;0.11628512&lt;/D&gt;&lt;D xsi:type="xsd:double"&gt;0.32941073&lt;/D&gt;&lt;D xsi:type="xsd:double"&gt;1&lt;/D&gt;&lt;D xsi:type="xsd:double"&gt;0.14889012&lt;/D&gt;&lt;D xsi:type="xsd:double"&gt;0.1365818&lt;/D&gt;&lt;D xsi:type="xsd:double"&gt;0.2959927&lt;/D&gt;&lt;D xsi:type="xsd:double"&gt;0.3767627&lt;/D&gt;&lt;D xsi:type="xsd:double"&gt;0.25471494&lt;/D&gt;&lt;D xsi:type="xsd:double"&gt;0.08877404&lt;/D&gt;&lt;D xsi:type="xsd:double"&gt;0.2681425&lt;/D&gt;&lt;D xsi:type="xsd:double"&gt;0.22792977&lt;/D&gt;&lt;D xsi:type="xsd:double"&gt;0.30861282&lt;/D&gt;&lt;D xsi:type="xsd:double"&gt;0.11143895&lt;/D&gt;&lt;D xsi:type="xsd:double"&gt;0.15395153&lt;/D&gt;&lt;D xsi:type="xsd:double"&gt;0.3758852&lt;/D&gt;&lt;D xsi:type="xsd:double"&gt;0.15831749&lt;/D&gt;&lt;D xsi:type="xsd:double"&gt;0.23977177&lt;/D&gt;&lt;D xsi:type="xsd:double"&gt;0.2199148&lt;/D&gt;&lt;D xsi:type="xsd:double"&gt;0.19257848&lt;/D&gt;&lt;D xsi:type="xsd:double"&gt;0.074859895&lt;/D&gt;&lt;D xsi:type="xsd:double"&gt;0.030743906&lt;/D&gt;&lt;D xsi:type="xsd:double"&gt;0.028160607&lt;/D&gt;&lt;D xsi:type="xsd:double"&gt;0.14841971&lt;/D&gt;&lt;D xsi:type="xsd:double"&gt;0.20434867&lt;/D&gt;&lt;D xsi:type="xsd:double"&gt;0.053371355&lt;/D&gt;&lt;D xsi:type="xsd:double"&gt;0.037919573&lt;/D&gt;&lt;D xsi:type="xsd:double"&gt;0.3156107&lt;/D&gt;&lt;D xsi:type="xsd:double"&gt;0.028060826&lt;/D&gt;&lt;D xsi:type="xsd:double"&gt;0.108577944&lt;/D&gt;&lt;D xsi:type="xsd:double"&gt;0.0029858092&lt;/D&gt;&lt;D xsi:type="xsd:double"&gt;0.117728055&lt;/D&gt;&lt;D xsi:type="xsd:double"&gt;0.039051194&lt;/D&gt;&lt;D xsi:type="xsd:double"&gt;-0.03806321&lt;/D&gt;&lt;D xsi:type="xsd:double"&gt;0.004412793&lt;/D&gt;&lt;D xsi:type="xsd:double"&gt;0.1992276&lt;/D&gt;&lt;D xsi:type="xsd:double"&gt;0.14070487&lt;/D&gt;&lt;D xsi:type="xsd:double"&gt;-0.033967476&lt;/D&gt;&lt;D xsi:type="xsd:double"&gt;0.098456964&lt;/D&gt;&lt;D xsi:type="xsd:double"&gt;0.19950083&lt;/D&gt;&lt;D xsi:type="xsd:double"&gt;-0.0138567565&lt;/D&gt;&lt;D xsi:type="xsd:double"&gt;0.18376306&lt;/D&gt;&lt;D xsi:type="xsd:double"&gt;0.006882719&lt;/D&gt;&lt;D xsi:type="xsd:double"&gt;0.12901053&lt;/D&gt;&lt;D xsi:type="xsd:double"&gt;-0.086275615&lt;/D&gt;&lt;D xsi:type="xsd:double"&gt;0.1893113&lt;/D&gt;&lt;D xsi:type="xsd:double"&gt;-0.027800482&lt;/D&gt;&lt;D xsi:type="xsd:double"&gt;0.29451865&lt;/D&gt;&lt;D xsi:type="xsd:double"&gt;0.16921361&lt;/D&gt;&lt;D xsi:type="xsd:double"&gt;0.098428674&lt;/D&gt;&lt;D xsi:type="xsd:double"&gt;0.32739353&lt;/D&gt;&lt;D xsi:type="xsd:double"&gt;0.12369908&lt;/D&gt;&lt;D xsi:type="xsd:double"&gt;0.08741834&lt;/D&gt;&lt;D xsi:type="xsd:double"&gt;0.015495358&lt;/D&gt;&lt;D xsi:type="xsd:double"&gt;0.086053506&lt;/D&gt;&lt;D xsi:type="xsd:double"&gt;0.13196473&lt;/D&gt;&lt;D xsi:type="xsd:double"&gt;0.32809922&lt;/D&gt;&lt;D xsi:type="xsd:double"&gt;0.14889012&lt;/D&gt;&lt;D xsi:type="xsd:double"&gt;1&lt;/D&gt;&lt;D xsi:type="xsd:double"&gt;0.13147752&lt;/D&gt;&lt;D xsi:type="xsd:double"&gt;0.1737049&lt;/D&gt;&lt;D xsi:type="xsd:double"&gt;0.23419072&lt;/D&gt;&lt;D xsi:type="xsd:double"&gt;0.25524738&lt;/D&gt;&lt;D xsi:type="xsd:double"&gt;0.23038116&lt;/D&gt;&lt;D xsi:type="xsd:double"&gt;0.21553446&lt;/D&gt;&lt;D xsi:type="xsd:double"&gt;0.21522897&lt;/D&gt;&lt;D xsi:type="xsd:double"&gt;0.19442114&lt;/D&gt;&lt;D xsi:type="xsd:double"&gt;0.16850394&lt;/D&gt;&lt;D xsi:type="xsd:double"&gt;0.3683121&lt;/D&gt;&lt;D xsi:type="xsd:double"&gt;0.24959691&lt;/D&gt;&lt;D xsi:type="xsd:double"&gt;0.21378486&lt;/D&gt;&lt;D xsi:type="xsd:double"&gt;0.19473745&lt;/D&gt;&lt;D xsi:type="xsd:double"&gt;0.09974001&lt;/D&gt;&lt;D xsi:type="xsd:double"&gt;-0.015157986&lt;/D&gt;&lt;D xsi:type="xsd:double"&gt;0.38710445&lt;/D&gt;&lt;D xsi:type="xsd:double"&gt;-0.016310379&lt;/D&gt;&lt;D xsi:type="xsd:double"&gt;0.1540144&lt;/D&gt;&lt;D xsi:type="xsd:double"&gt;0.046682116&lt;/D&gt;&lt;D xsi:type="xsd:double"&gt;0.14547618&lt;/D&gt;&lt;D xsi:type="xsd:double"&gt;0.12667677&lt;/D&gt;&lt;D xsi:type="xsd:double"&gt;0.10767474&lt;/D&gt;&lt;D xsi:type="xsd:double"&gt;0.17944498&lt;/D&gt;&lt;D xsi:type="xsd:double"&gt;0.056736536&lt;/D&gt;&lt;D xsi:type="xsd:double"&gt;0.167007&lt;/D&gt;&lt;D xsi:type="xsd:double"&gt;0.16243285&lt;/D&gt;&lt;D xsi:type="xsd:double"&gt;0.08838433&lt;/D&gt;&lt;D xsi:type="xsd:double"&gt;0.14397705&lt;/D&gt;&lt;D xsi:type="xsd:double"&gt;0.15754732&lt;/D&gt;&lt;D xsi:type="xsd:double"&gt;0.112520434&lt;/D&gt;&lt;D xsi:type="xsd:double"&gt;0.12128378&lt;/D&gt;&lt;D xsi:type="xsd:double"&gt;0.13535625&lt;/D&gt;&lt;D xsi:type="xsd:double"&gt;0.12761725&lt;/D&gt;&lt;D xsi:type="xsd:double"&gt;0.22153173&lt;/D&gt;&lt;D xsi:type="xsd:double"&gt;0.14443989&lt;/D&gt;&lt;D xsi:type="xsd:double"&gt;0.042721353&lt;/D&gt;&lt;D xsi:type="xsd:double"&gt;0.13467826&lt;/D&gt;&lt;D xsi:type="xsd:double"&gt;0.11807197&lt;/D&gt;&lt;D xsi:type="xsd:double"&gt;-0.012453889&lt;/D&gt;&lt;D xsi:type="xsd:double"&gt;0.14574456&lt;/D&gt;&lt;D xsi:type="xsd:double"&gt;0.1736656&lt;/D&gt;&lt;D xsi:type="xsd:double"&gt;0.11826254&lt;/D&gt;&lt;D xsi:type="xsd:double"&gt;0.23060548&lt;/D&gt;&lt;D xsi:type="xsd:double"&gt;0.15787378&lt;/D&gt;&lt;D xsi:type="xsd:double"&gt;0.14864494&lt;/D&gt;&lt;D xsi:type="xsd:double"&gt;0.2195676&lt;/D&gt;&lt;D xsi:type="xsd:double"&gt;0.17291728&lt;/D&gt;&lt;D xsi:type="xsd:double"&gt;0.06885537&lt;/D&gt;&lt;D xsi:type="xsd:double"&gt;0.13839422&lt;/D&gt;&lt;D xsi:type="xsd:double"&gt;0.16058911&lt;/D&gt;&lt;D xsi:type="xsd:double"&gt;0.16779664&lt;/D&gt;&lt;D xsi:type="xsd:double"&gt;0.22335935&lt;/D&gt;&lt;D xsi:type="xsd:double"&gt;0.1365818&lt;/D&gt;&lt;D xsi:type="xsd:double"&gt;0.13147752&lt;/D&gt;&lt;D xsi:type="xsd:double"&gt;1&lt;/D&gt;&lt;D xsi:type="xsd:double"&gt;0.069722205&lt;/D&gt;&lt;D xsi:type="xsd:double"&gt;0.10680812&lt;/D&gt;&lt;D xsi:type="xsd:double"&gt;0.08050401&lt;/D&gt;&lt;D xsi:type="xsd:double"&gt;0.064998&lt;/D&gt;&lt;D xsi:type="xsd:double"&gt;0.1405678&lt;/D&gt;&lt;D xsi:type="xsd:double"&gt;0.14115222&lt;/D&gt;&lt;D xsi:type="xsd:double"&gt;0.089517064&lt;/D&gt;&lt;D xsi:type="xsd:double"&gt;0.21776892&lt;/D&gt;&lt;D xsi:type="xsd:double"&gt;0.2589114&lt;/D&gt;&lt;D xsi:type="xsd:double"&gt;0.22128637&lt;/D&gt;&lt;D xsi:type="xsd:double"&gt;0.20334935&lt;/D&gt;&lt;D xsi:type="xsd:double"&gt;0.13684307&lt;/D&gt;&lt;D xsi:type="xsd:double"&gt;0.07914536&lt;/D&gt;&lt;D xsi:type="xsd:double"&gt;0.12709181&lt;/D&gt;&lt;D xsi:type="xsd:double"&gt;-0.07367007&lt;/D&gt;&lt;D xsi:type="xsd:double"&gt;0.13457458&lt;/D&gt;&lt;D xsi:type="xsd:double"&gt;0.22465105&lt;/D&gt;&lt;D xsi:type="xsd:double"&gt;0.31213072&lt;/D&gt;&lt;D xsi:type="xsd:double"&gt;0.32413688&lt;/D&gt;&lt;D xsi:type="xsd:double"&gt;0.30972564&lt;/D&gt;&lt;D xsi:type="xsd:double"&gt;0.2290546&lt;/D&gt;&lt;D xsi:type="xsd:double"&gt;0.34154293&lt;/D&gt;&lt;D xsi:type="xsd:double"&gt;0.18524307&lt;/D&gt;&lt;D xsi:type="xsd:double"&gt;0.23735818&lt;/D&gt;&lt;D xsi:type="xsd:double"&gt;0.22612743&lt;/D&gt;&lt;D xsi:type="xsd:double"&gt;-0.021602994&lt;/D&gt;&lt;D xsi:type="xsd:double"&gt;0.20232314&lt;/D&gt;&lt;D xsi:type="xsd:double"&gt;0.12112467&lt;/D&gt;&lt;D xsi:type="xsd:double"&gt;-0.045712445&lt;/D&gt;&lt;D xsi:type="xsd:double"&gt;0.23282856&lt;/D&gt;&lt;D xsi:type="xsd:double"&gt;0.3498475&lt;/D&gt;&lt;D xsi:type="xsd:double"&gt;0.20349069&lt;/D&gt;&lt;D xsi:type="xsd:double"&gt;0.42305544&lt;/D&gt;&lt;D xsi:type="xsd:double"&gt;0.34375894&lt;/D&gt;&lt;D xsi:type="xsd:double"&gt;0.09476541&lt;/D&gt;&lt;D xsi:type="xsd:double"&gt;0.2655113&lt;/D&gt;&lt;D xsi:type="xsd:double"&gt;0.13913848&lt;/D&gt;&lt;D xsi:type="xsd:double"&gt;0.17896228&lt;/D&gt;&lt;D xsi:type="xsd:double"&gt;0.20129468&lt;/D&gt;&lt;D xsi:type="xsd:double"&gt;0.23064852&lt;/D&gt;&lt;D xsi:type="xsd:double"&gt;0.19526467&lt;/D&gt;&lt;D xsi:type="xsd:double"&gt;0.2622188&lt;/D&gt;&lt;D xsi:type="xsd:double"&gt;0.35082415&lt;/D&gt;&lt;D xsi:type="xsd:double"&gt;0.36236256&lt;/D&gt;&lt;D xsi:type="xsd:double"&gt;0.3234412&lt;/D&gt;&lt;D xsi:type="xsd:double"&gt;0.32488728&lt;/D&gt;&lt;D xsi:type="xsd:double"&gt;0.2323505&lt;/D&gt;&lt;D xsi:type="xsd:double"&gt;0.34395206&lt;/D&gt;&lt;D xsi:type="xsd:double"&gt;0.26082224&lt;/D&gt;&lt;D xsi:type="xsd:double"&gt;0.1568491&lt;/D&gt;&lt;D xsi:type="xsd:double"&gt;0.37075955&lt;/D&gt;&lt;D xsi:type="xsd:double"&gt;0.2959927&lt;/D&gt;&lt;D xsi:type="xsd:double"&gt;0.1737049&lt;/D&gt;&lt;D xsi:type="xsd:double"&gt;0.069722205&lt;/D&gt;&lt;D xsi:type="xsd:double"&gt;1&lt;/D&gt;&lt;D xsi:type="xsd:double"&gt;0.37183347&lt;/D&gt;&lt;D xsi:type="xsd:double"&gt;0.5628487&lt;/D&gt;&lt;D xsi:type="xsd:double"&gt;0.4922643&lt;/D&gt;&lt;D xsi:type="xsd:double"&gt;0.20655625&lt;/D&gt;&lt;D xsi:type="xsd:double"&gt;0.1815154&lt;/D&gt;&lt;D xsi:type="xsd:double"&gt;0.2931101&lt;/D&gt;&lt;D xsi:type="xsd:double"&gt;0.11230066&lt;/D&gt;&lt;D xsi:type="xsd:double"&gt;0.3304417&lt;/D&gt;&lt;D xsi:type="xsd:double"&gt;0.3524006&lt;/D&gt;&lt;D xsi:type="xsd:double"&gt;0.31506494&lt;/D&gt;&lt;D xsi:type="xsd:double"&gt;0.37163857&lt;/D&gt;&lt;D xsi:type="xsd:double"&gt;0.245195&lt;/D&gt;&lt;D xsi:type="xsd:double"&gt;0.14660007&lt;/D&gt;&lt;D xsi:type="xsd:double"&gt;0.26043135&lt;/D&gt;&lt;D xsi:type="xsd:double"&gt;0.26559377&lt;/D&gt;&lt;D xsi:type="xsd:double"&gt;0.19215138&lt;/D&gt;&lt;D xsi:type="xsd:double"&gt;0.5646186&lt;/D&gt;&lt;D xsi:type="xsd:double"&gt;0.32338428&lt;/D&gt;&lt;D xsi:type="xsd:double"&gt;0.3230983&lt;/D&gt;&lt;D xsi:type="xsd:double"&gt;0.24821465&lt;/D&gt;&lt;D xsi:type="xsd:double"&gt;0.38000038&lt;/D&gt;&lt;D xsi:type="xsd:double"&gt;0.13439295&lt;/D&gt;&lt;D xsi:type="xsd:double"&gt;0.12605022&lt;/D&gt;&lt;D xsi:type="xsd:double"&gt;0.3485456&lt;/D&gt;&lt;D xsi:type="xsd:double"&gt;0.14651273&lt;/D&gt;&lt;D xsi:type="xsd:double"&gt;0.14918454&lt;/D&gt;&lt;D xsi:type="xsd:double"&gt;-0.06118309&lt;/D&gt;&lt;D xsi:type="xsd:double"&gt;0.14959607&lt;/D&gt;&lt;D xsi:type="xsd:double"&gt;0.3000822&lt;/D&gt;&lt;D xsi:type="xsd:double"&gt;0.52461916&lt;/D&gt;&lt;D xsi:type="xsd:double"&gt;0.21220171&lt;/D&gt;&lt;D xsi:type="xsd:double"&gt;0.351175&lt;/D&gt;&lt;D xsi:type="xsd:double"&gt;0.35805833&lt;/D&gt;&lt;D xsi:type="xsd:double"&gt;0.031262238&lt;/D&gt;&lt;D xsi:type="xsd:double"&gt;0.36364892&lt;/D&gt;&lt;D xsi:type="xsd:double"&gt;0.0023682953&lt;/D&gt;&lt;D xsi:type="xsd:double"&gt;0.25523067&lt;/D&gt;&lt;D xsi:type="xsd:double"&gt;0.20259847&lt;/D&gt;&lt;D xsi:type="xsd:double"&gt;0.4675746&lt;/D&gt;&lt;D xsi:type="xsd:double"&gt;0.16856636&lt;/D&gt;&lt;D xsi:type="xsd:double"&gt;0.4746545&lt;/D&gt;&lt;D xsi:type="xsd:double"&gt;0.5188624&lt;/D&gt;&lt;D xsi:type="xsd:double"&gt;0.40519527&lt;/D&gt;&lt;D xsi:type="xsd:double"&gt;0.37946352&lt;/D&gt;&lt;D xsi:type="xsd:double"&gt;0.27920762&lt;/D&gt;&lt;D xsi:type="xsd:double"&gt;0.30368736&lt;/D&gt;&lt;D xsi:type="xsd:double"&gt;0.31278116&lt;/D&gt;&lt;D xsi:type="xsd:double"&gt;0.23982559&lt;/D&gt;&lt;D xsi:type="xsd:double"&gt;0.29536244&lt;/D&gt;&lt;D xsi:type="xsd:double"&gt;0.6956209&lt;/D&gt;&lt;D xsi:type="xsd:double"&gt;0.3767627&lt;/D&gt;&lt;D xsi:type="xsd:double"&gt;0.23419072&lt;/D&gt;&lt;D xsi:type="xsd:double"&gt;0.10680812&lt;/D&gt;&lt;D xsi:type="xsd:double"&gt;0.37183347&lt;/D&gt;&lt;D xsi:type="xsd:double"&gt;1&lt;/D&gt;&lt;D xsi:type="xsd:double"&gt;0.41101316&lt;/D&gt;&lt;D xsi:type="xsd:double"&gt;0.32774726&lt;/D&gt;&lt;D xsi:type="xsd:double"&gt;0.49677828&lt;/D&gt;&lt;D xsi:type="xsd:double"&gt;0.46756372&lt;/D&gt;&lt;D xsi:type="xsd:double"&gt;0.5258558&lt;/D&gt;&lt;D xsi:type="xsd:double"&gt;0.20124927&lt;/D&gt;&lt;D xsi:type="xsd:double"&gt;0.3406829&lt;/D&gt;&lt;D xsi:type="xsd:double"&gt;0.64271706&lt;/D&gt;&lt;D xsi:type="xsd:double"&gt;0.36623144&lt;/D&gt;&lt;D xsi:type="xsd:double"&gt;0.46472907&lt;/D&gt;&lt;D xsi:type="xsd:double"&gt;0.28839818&lt;/D&gt;&lt;D xsi:type="xsd:double"&gt;0.1752459&lt;/D&gt;&lt;D xsi:type="xsd:double"&gt;0.08929954&lt;/D&gt;&lt;D xsi:type="xsd:double"&gt;0.2868719&lt;/D&gt;&lt;D xsi:type="xsd:double"&gt;0.29637152&lt;/D&gt;&lt;D xsi:type="xsd:double"&gt;0.43204236&lt;/D&gt;&lt;D xsi:type="xsd:double"&gt;0.36867028&lt;/D&gt;&lt;D xsi:type="xsd:double"&gt;0.3109841&lt;/D&gt;&lt;D xsi:type="xsd:double"&gt;0.30922145&lt;/D&gt;&lt;D xsi:type="xsd:double"&gt;0.47789118&lt;/D&gt;&lt;D xsi:type="xsd:double"&gt;0.32297498&lt;/D&gt;&lt;D xsi:type="xsd:double"&gt;0.29318658&lt;/D&gt;&lt;D xsi:type="xsd:double"&gt;0.2829464&lt;/D&gt;&lt;D xsi:type="xsd:double"&gt;0.20412068&lt;/D&gt;&lt;D xsi:type="xsd:double"&gt;0.18004538&lt;/D&gt;&lt;D xsi:type="xsd:double"&gt;0.18597619&lt;/D&gt;&lt;D xsi:type="xsd:double"&gt;0.1914898&lt;/D&gt;&lt;D xsi:type="xsd:double"&gt;0.30500755&lt;/D&gt;&lt;D xsi:type="xsd:double"&gt;0.3435711&lt;/D&gt;&lt;D xsi:type="xsd:double"&gt;0.26860437&lt;/D&gt;&lt;D xsi:type="xsd:double"&gt;0.46017885&lt;/D&gt;&lt;D xsi:type="xsd:double"&gt;0.33699006&lt;/D&gt;&lt;D xsi:type="xsd:double"&gt;0.09737477&lt;/D&gt;&lt;D xsi:type="xsd:double"&gt;0.31881973&lt;/D&gt;&lt;D xsi:type="xsd:double"&gt;0.21145596&lt;/D&gt;&lt;D xsi:type="xsd:double"&gt;0.32921186&lt;/D&gt;&lt;D xsi:type="xsd:double"&gt;0.2844191&lt;/D&gt;&lt;D xsi:type="xsd:double"&gt;0.3191907&lt;/D&gt;&lt;D xsi:type="xsd:double"&gt;0.3109292&lt;/D&gt;&lt;D xsi:type="xsd:double"&gt;0.43209344&lt;/D&gt;&lt;D xsi:type="xsd:double"&gt;0.4465619&lt;/D&gt;&lt;D xsi:type="xsd:double"&gt;0.4611109&lt;/D&gt;&lt;D xsi:type="xsd:double"&gt;0.39878142&lt;/D&gt;&lt;D xsi:type="xsd:double"&gt;0.35213155&lt;/D&gt;&lt;D xsi:type="xsd:double"&gt;0.26926172&lt;/D&gt;&lt;D xsi:type="xsd:double"&gt;0.44657934&lt;/D&gt;&lt;D xsi:type="xsd:double"&gt;0.32592916&lt;/D&gt;&lt;D xsi:type="xsd:double"&gt;0.30356315&lt;/D&gt;&lt;D xsi:type="xsd:double"&gt;0.41024444&lt;/D&gt;&lt;D xsi:type="xsd:double"&gt;0.25471494&lt;/D&gt;&lt;D xsi:type="xsd:double"&gt;0.25524738&lt;/D&gt;&lt;D xsi:type="xsd:double"&gt;0.08050401&lt;/D&gt;&lt;D xsi:type="xsd:double"&gt;0.5628487&lt;/D&gt;&lt;D xsi:type="xsd:double"&gt;0.41101316&lt;/D&gt;&lt;D xsi:type="xsd:double"&gt;1&lt;/D&gt;&lt;D xsi:type="xsd:double"&gt;0.7073779&lt;/D&gt;&lt;D xsi:type="xsd:double"&gt;0.2519854&lt;/D&gt;&lt;D xsi:type="xsd:double"&gt;0.3236102&lt;/D&gt;&lt;D xsi:type="xsd:double"&gt;0.29017648&lt;/D&gt;&lt;D xsi:type="xsd:double"&gt;0.17709845&lt;/D&gt;&lt;D xsi:type="xsd:double"&gt;0.38008663&lt;/D&gt;&lt;D xsi:type="xsd:double"&gt;0.38892826&lt;/D&gt;&lt;D xsi:type="xsd:double"&gt;0.36281767&lt;/D&gt;&lt;D xsi:type="xsd:double"&gt;0.42608637&lt;/D&gt;&lt;D xsi:type="xsd:double"&gt;0.30574277&lt;/D&gt;&lt;D xsi:type="xsd:double"&gt;0.10679487&lt;/D&gt;&lt;D xsi:type="xsd:double"&gt;0.3680244&lt;/D&gt;&lt;D xsi:type="xsd:double"&gt;0.18389446&lt;/D&gt;&lt;D xsi:type="xsd:double"&gt;0.19436954&lt;/D&gt;&lt;D xsi:type="xsd:double"&gt;0.32520387&lt;/D&gt;&lt;D xsi:type="xsd:double"&gt;0.35822877&lt;/D&gt;&lt;D xsi:type="xsd:double"&gt;0.24231547&lt;/D&gt;&lt;D xsi:type="xsd:double"&gt;0.2200992&lt;/D&gt;&lt;D xsi:type="xsd:double"&gt;0.47337073&lt;/D&gt;&lt;D xsi:type="xsd:double"&gt;0.265722&lt;/D&gt;&lt;D xsi:type="xsd:double"&gt;0.21668963&lt;/D&gt;&lt;D xsi:type="xsd:double"&gt;0.2505848&lt;/D&gt;&lt;D xsi:type="xsd:double"&gt;0.17868339&lt;/D&gt;&lt;D xsi:type="xsd:double"&gt;0.12029586&lt;/D&gt;&lt;D xsi:type="xsd:double"&gt;0.101451896&lt;/D&gt;&lt;D xsi:type="xsd:double"&gt;0.12227142&lt;/D&gt;&lt;D xsi:type="xsd:double"&gt;0.31501976&lt;/D&gt;&lt;D xsi:type="xsd:double"&gt;0.3405703&lt;/D&gt;&lt;D xsi:type="xsd:double"&gt;0.10452&lt;/D&gt;&lt;D xsi:type="xsd:double"&gt;0.34658408&lt;/D&gt;&lt;D xsi:type="xsd:double"&gt;0.348527&lt;/D&gt;&lt;D xsi:type="xsd:double"&gt;0.09398404&lt;/D&gt;&lt;D xsi:type="xsd:double"&gt;0.25133297&lt;/D&gt;&lt;D xsi:type="xsd:double"&gt;0.14293362&lt;/D&gt;&lt;D xsi:type="xsd:double"&gt;0.3036693&lt;/D&gt;&lt;D xsi:type="xsd:double"&gt;0.20871627&lt;/D&gt;&lt;D xsi:type="xsd:double"&gt;0.32539716&lt;/D&gt;&lt;D xsi:type="xsd:double"&gt;0.16414835&lt;/D&gt;&lt;D xsi:type="xsd:double"&gt;0.3689052&lt;/D&gt;&lt;D xsi:type="xsd:double"&gt;0.40814778&lt;/D&gt;&lt;D xsi:type="xsd:double"&gt;0.38773143&lt;/D&gt;&lt;D xsi:type="xsd:double"&gt;0.41710818&lt;/D&gt;&lt;D xsi:type="xsd:double"&gt;0.307916&lt;/D&gt;&lt;D xsi:type="xsd:double"&gt;0.25319806&lt;/D&gt;&lt;D xsi:type="xsd:double"&gt;0.3774422&lt;/D&gt;&lt;D xsi:type="xsd:double"&gt;0.21558388&lt;/D&gt;&lt;D xsi:type="xsd:double"&gt;0.31287205&lt;/D&gt;&lt;D xsi:type="xsd:double"&gt;0.36441904&lt;/D&gt;&lt;D xsi:type="xsd:double"&gt;0.08877404&lt;/D&gt;&lt;D xsi:type="xsd:double"&gt;0.23038116&lt;/D&gt;&lt;D xsi:type="xsd:double"&gt;0.064998&lt;/D&gt;&lt;D xsi:type="xsd:double"&gt;0.4922643&lt;/D&gt;&lt;D xsi:type="xsd:double"&gt;0.32774726&lt;/D&gt;&lt;D xsi:type="xsd:double"&gt;0.7073779&lt;/D&gt;&lt;D xsi:type="xsd:double"&gt;1&lt;/D&gt;&lt;D xsi:type="xsd:double"&gt;0.24045697&lt;/D&gt;&lt;D xsi:type="xsd:double"&gt;0.31020314&lt;/D&gt;&lt;D xsi:type="xsd:double"&gt;0.1985046&lt;/D&gt;&lt;D xsi:type="xsd:double"&gt;0.19451435&lt;/D&gt;&lt;D xsi:type="xsd:double"&gt;0.42520088&lt;/D&gt;&lt;D xsi:type="xsd:double"&gt;0.34079692&lt;/D&gt;&lt;D xsi:type="xsd:double"&gt;0.39408916&lt;/D&gt;&lt;D xsi:type="xsd:double"&gt;0.367047&lt;/D&gt;&lt;D xsi:type="xsd:double"&gt;0.2829995&lt;/D&gt;&lt;D xsi:type="xsd:double"&gt;0.022270668&lt;/D&gt;&lt;D xsi:type="xsd:double"&gt;0.29747894&lt;/D&gt;&lt;D xsi:type="xsd:double"&gt;0.25363845&lt;/D&gt;&lt;D xsi:type="xsd:double"&gt;0.17567089&lt;/D&gt;&lt;D xsi:type="xsd:double"&gt;0.46846965&lt;/D&gt;&lt;D xsi:type="xsd:double"&gt;0.3968315&lt;/D&gt;&lt;D xsi:type="xsd:double"&gt;0.25353044&lt;/D&gt;&lt;D xsi:type="xsd:double"&gt;0.23151408&lt;/D&gt;&lt;D xsi:type="xsd:double"&gt;0.42501935&lt;/D&gt;&lt;D xsi:type="xsd:double"&gt;0.20675087&lt;/D&gt;&lt;D xsi:type="xsd:double"&gt;0.2732042&lt;/D&gt;&lt;D xsi:type="xsd:double"&gt;0.4055005&lt;/D&gt;&lt;D xsi:type="xsd:double"&gt;0.123900175&lt;/D&gt;&lt;D xsi:type="xsd:double"&gt;0.19683449&lt;/D&gt;&lt;D xsi:type="xsd:double"&gt;0.01694293&lt;/D&gt;&lt;D xsi:type="xsd:double"&gt;0.14057696&lt;/D&gt;&lt;D xsi:type="xsd:double"&gt;0.30551195&lt;/D&gt;&lt;D xsi:type="xsd:double"&gt;0.45550716&lt;/D&gt;&lt;D xsi:type="xsd:double"&gt;0.14664164&lt;/D&gt;&lt;D xsi:type="xsd:double"&gt;0.34923157&lt;/D&gt;&lt;D xsi:type="xsd:double"&gt;0.40299776&lt;/D&gt;&lt;D xsi:type="xsd:double"&gt;-0.016569003&lt;/D&gt;&lt;D xsi:type="xsd:double"&gt;0.42848253&lt;/D&gt;&lt;D xsi:type="xsd:double"&gt;0.07834167&lt;/D&gt;&lt;D xsi:type="xsd:double"&gt;0.1721558&lt;/D&gt;&lt;D xsi:type="xsd:double"&gt;0.22725534&lt;/D&gt;&lt;D xsi:type="xsd:double"&gt;0.3484051&lt;/D&gt;&lt;D xsi:type="xsd:double"&gt;0.16492444&lt;/D&gt;&lt;D xsi:type="xsd:double"&gt;0.5124487&lt;/D&gt;&lt;D xsi:type="xsd:double"&gt;0.4907426&lt;/D&gt;&lt;D xsi:type="xsd:double"&gt;0.4025624&lt;/D&gt;&lt;D xsi:type="xsd:double"&gt;0.39435488&lt;/D&gt;&lt;D xsi:type="xsd:double"&gt;0.32046068&lt;/D&gt;&lt;D xsi:type="xsd:double"&gt;0.17795599&lt;/D&gt;&lt;D xsi:type="xsd:double"&gt;0.24412447&lt;/D&gt;&lt;D xsi:type="xsd:double"&gt;0.2082833&lt;/D&gt;&lt;D xsi:type="xsd:double"&gt;0.28994197&lt;/D&gt;&lt;D xsi:type="xsd:double"&gt;0.58411795&lt;/D&gt;&lt;D xsi:type="xsd:double"&gt;0.2681425&lt;/D&gt;&lt;D xsi:type="xsd:double"&gt;0.21553446&lt;/D&gt;&lt;D xsi:type="xsd:double"&gt;0.1405678&lt;/D&gt;&lt;D xsi:type="xsd:double"&gt;0.20655625&lt;/D&gt;&lt;D xsi:type="xsd:double"&gt;0.49677828&lt;/D&gt;&lt;D xsi:type="xsd:double"&gt;0.2519854&lt;/D&gt;&lt;D xsi:type="xsd:double"&gt;0.24045697&lt;/D&gt;&lt;D xsi:type="xsd:double"&gt;1&lt;/D&gt;&lt;D xsi:type="xsd:double"&gt;0.31092012&lt;/D&gt;&lt;D xsi:type="xsd:double"&gt;0.28268126&lt;/D&gt;&lt;D xsi:type="xsd:double"&gt;0.21694997&lt;/D&gt;&lt;D xsi:type="xsd:double"&gt;0.2605563&lt;/D&gt;&lt;D xsi:type="xsd:double"&gt;0.5559364&lt;/D&gt;&lt;D xsi:type="xsd:double"&gt;0.28014025&lt;/D&gt;&lt;D xsi:type="xsd:double"&gt;0.47530842&lt;/D&gt;&lt;D xsi:type="xsd:double"&gt;0.28720304&lt;/D&gt;&lt;D xsi:type="xsd:double"&gt;0.13447335&lt;/D&gt;&lt;D xsi:type="xsd:double"&gt;0.014484394&lt;/D&gt;&lt;D xsi:type="xsd:double"&gt;0.23201849&lt;/D&gt;&lt;D xsi:type="xsd:double"&gt;0.16766565&lt;/D&gt;&lt;D xsi:type="xsd:double"&gt;0.37106308&lt;/D&gt;&lt;D xsi:type="xsd:double"&gt;0.24215744&lt;/D&gt;&lt;D xsi:type="xsd:double"&gt;0.2764172&lt;/D&gt;&lt;D xsi:type="xsd:double"&gt;0.18430355&lt;/D&gt;&lt;D xsi:type="xsd:double"&gt;0.39400396&lt;/D&gt;&lt;D xsi:type="xsd:double"&gt;0.06513306&lt;/D&gt;&lt;D xsi:type="xsd:double"&gt;0.157218&lt;/D&gt;&lt;D xsi:type="xsd:double"&gt;0.22988197&lt;/D&gt;&lt;D xsi:type="xsd:double"&gt;0.13136731&lt;/D&gt;&lt;D xsi:type="xsd:double"&gt;0.17798015&lt;/D&gt;&lt;D xsi:type="xsd:double"&gt;-0.014069495&lt;/D&gt;&lt;D xsi:type="xsd:double"&gt;0.20874584&lt;/D&gt;&lt;D xsi:type="xsd:double"&gt;0.28268042&lt;/D&gt;&lt;D xsi:type="xsd:double"&gt;0.28817487&lt;/D&gt;&lt;D xsi:type="xsd:double"&gt;0.06226985&lt;/D&gt;&lt;D xsi:type="xsd:double"&gt;0.23835419&lt;/D&gt;&lt;D xsi:type="xsd:double"&gt;0.2307381&lt;/D&gt;&lt;D xsi:type="xsd:double"&gt;0.0720816&lt;/D&gt;&lt;D xsi:type="xsd:double"&gt;0.23402573&lt;/D&gt;&lt;D xsi:type="xsd:double"&gt;0.092363246&lt;/D&gt;&lt;D xsi:type="xsd:double"&gt;0.3043333&lt;/D&gt;&lt;D xsi:type="xsd:double"&gt;0.19016272&lt;/D&gt;&lt;D xsi:type="xsd:double"&gt;0.5909083&lt;/D&gt;&lt;D xsi:type="xsd:double"&gt;0.11243686&lt;/D&gt;&lt;D xsi:type="xsd:double"&gt;0.3849278&lt;/D&gt;&lt;D xsi:type="xsd:double"&gt;0.2869412&lt;/D&gt;&lt;D xsi:type="xsd:double"&gt;0.28169745&lt;/D&gt;&lt;D xsi:type="xsd:double"&gt;0.35130605&lt;/D&gt;&lt;D xsi:type="xsd:double"&gt;0.22579919&lt;/D&gt;&lt;D xsi:type="xsd:double"&gt;0.5128744&lt;/D&gt;&lt;D xsi:type="xsd:double"&gt;0.21088965&lt;/D&gt;&lt;D xsi:type="xsd:double"&gt;0.1840048&lt;/D&gt;&lt;D xsi:type="xsd:double"&gt;0.21416658&lt;/D&gt;&lt;D xsi:type="xsd:double"&gt;0.55750823&lt;/D&gt;&lt;D xsi:type="xsd:double"&gt;0.22792977&lt;/D&gt;&lt;D xsi:type="xsd:double"&gt;0.21522897&lt;/D&gt;&lt;D xsi:type="xsd:double"&gt;0.14115222&lt;/D&gt;&lt;D xsi:type="xsd:double"&gt;0.1815154&lt;/D&gt;&lt;D xsi:type="xsd:double"&gt;0.46756372&lt;/D&gt;&lt;D xsi:type="xsd:double"&gt;0.3236102&lt;/D&gt;&lt;D xsi:type="xsd:double"&gt;0.31020314&lt;/D&gt;&lt;D xsi:type="xsd:double"&gt;0.31092012&lt;/D&gt;&lt;D xsi:type="xsd:double"&gt;1&lt;/D&gt;&lt;D xsi:type="xsd:double"&gt;0.2538697&lt;/D&gt;&lt;D xsi:type="xsd:double"&gt;0.273211&lt;/D&gt;&lt;D xsi:type="xsd:double"&gt;0.40497965&lt;/D&gt;&lt;D xsi:type="xsd:double"&gt;0.34757817&lt;/D&gt;&lt;D xsi:type="xsd:double"&gt;0.3144167&lt;/D&gt;&lt;D xsi:type="xsd:double"&gt;0.25823164&lt;/D&gt;&lt;D xsi:type="xsd:double"&gt;0.16324815&lt;/D&gt;&lt;D xsi:type="xsd:double"&gt;0.12680472&lt;/D&gt;&lt;D xsi:type="xsd:double"&gt;0.089597315&lt;/D&gt;&lt;D xsi:type="xsd:double"&gt;0.24100028&lt;/D&gt;&lt;D xsi:type="xsd:double"&gt;0.068505&lt;/D&gt;&lt;D xsi:type="xsd:double"&gt;0.40668523&lt;/D&gt;&lt;D xsi:type="xsd:double"&gt;0.25575745&lt;/D&gt;&lt;D xsi:type="xsd:double"&gt;0.2193862&lt;/D&gt;&lt;D xsi:type="xsd:double"&gt;0.2362203&lt;/D&gt;&lt;D xsi:type="xsd:double"&gt;0.29374543&lt;/D&gt;&lt;D xsi:type="xsd:double"&gt;0.08009359&lt;/D&gt;&lt;D xsi:type="xsd:double"&gt;0.06199263&lt;/D&gt;&lt;D xsi:type="xsd:double"&gt;0.24763742&lt;/D&gt;&lt;D xsi:type="xsd:double"&gt;0.10250765&lt;/D&gt;&lt;D xsi:type="xsd:double"&gt;0.069902845&lt;/D&gt;&lt;D xsi:type="xsd:double"&gt;-0.07146646&lt;/D&gt;&lt;D xsi:type="xsd:double"&gt;0.07653706&lt;/D&gt;&lt;D xsi:type="xsd:double"&gt;0.16931252&lt;/D&gt;&lt;D xsi:type="xsd:double"&gt;0.24219123&lt;/D&gt;&lt;D xsi:type="xsd:double"&gt;0.1304197&lt;/D&gt;&lt;D xsi:type="xsd:double"&gt;0.25837216&lt;/D&gt;&lt;D xsi:type="xsd:double"&gt;0.26141375&lt;/D&gt;&lt;D xsi:type="xsd:double"&gt;0.08316313&lt;/D&gt;&lt;D xsi:type="xsd:double"&gt;0.26373398&lt;/D&gt;&lt;D xsi:type="xsd:double"&gt;0.023706472&lt;/D&gt;&lt;D xsi:type="xsd:double"&gt;0.2162348&lt;/D&gt;&lt;D xsi:type="xsd:double"&gt;0.11379083&lt;/D&gt;&lt;D xsi:type="xsd:double"&gt;0.23902689&lt;/D&gt;&lt;D xsi:type="xsd:double"&gt;0.06535412&lt;/D&gt;&lt;D xsi:type="xsd:double"&gt;0.3211343&lt;/D&gt;&lt;D xsi:type="xsd:double"&gt;0.30976886&lt;/D&gt;&lt;D xsi:type="xsd:double"&gt;0.3148165&lt;/D&gt;&lt;D xsi:type="xsd:double"&gt;0.30641475&lt;/D&gt;&lt;D xsi:type="xsd:double"&gt;0.2073927&lt;/D&gt;&lt;D xsi:type="xsd:double"&gt;0.18893269&lt;/D&gt;&lt;D xsi:type="xsd:double"&gt;0.22518127&lt;/D&gt;&lt;D xsi:type="xsd:double"&gt;0.096976705&lt;/D&gt;&lt;D xsi:type="xsd:double"&gt;0.21153066&lt;/D&gt;&lt;D xsi:type="xsd:double"&gt;0.439912&lt;/D&gt;&lt;D xsi:type="xsd:double"&gt;0.30861282&lt;/D&gt;&lt;D xsi:type="xsd:double"&gt;0.19442114&lt;/D&gt;&lt;D xsi:type="xsd:double"&gt;0.089517064&lt;/D&gt;&lt;D xsi:type="xsd:double"&gt;0.2931101&lt;/D&gt;&lt;D xsi:type="xsd:double"&gt;0.5258558&lt;/D&gt;&lt;D xsi:type="xsd:double"&gt;0.29017648&lt;/D&gt;&lt;D xsi:type="xsd:double"&gt;0.1985046&lt;/D&gt;&lt;D xsi:type="xsd:double"&gt;0.28268126&lt;/D&gt;&lt;D xsi:type="xsd:double"&gt;0.2538697&lt;/D&gt;&lt;D xsi:type="xsd:double"&gt;1&lt;/D&gt;&lt;D xsi:type="xsd:double"&gt;0.13640317&lt;/D&gt;&lt;D xsi:type="xsd:double"&gt;0.2545957&lt;/D&gt;&lt;D xsi:type="xsd:double"&gt;0.3936&lt;/D&gt;&lt;D xsi:type="xsd:double"&gt;0.2994667&lt;/D&gt;&lt;D xsi:type="xsd:double"&gt;0.2919001&lt;/D&gt;&lt;D xsi:type="xsd:double"&gt;0.19691052&lt;/D&gt;&lt;D xsi:type="xsd:double"&gt;0.09207685&lt;/D&gt;&lt;D xsi:type="xsd:double"&gt;0.08002171&lt;/D&gt;&lt;D xsi:type="xsd:double"&gt;0.19976975&lt;/D&gt;&lt;D xsi:type="xsd:double"&gt;0.09755539&lt;/D&gt;&lt;D xsi:type="xsd:double"&gt;0.15927061&lt;/D&gt;&lt;D xsi:type="xsd:double"&gt;0.22378974&lt;/D&gt;&lt;D xsi:type="xsd:double"&gt;0.18439248&lt;/D&gt;&lt;D xsi:type="xsd:double"&gt;0.14802548&lt;/D&gt;&lt;D xsi:type="xsd:double"&gt;0.26271802&lt;/D&gt;&lt;D xsi:type="xsd:double"&gt;0.0038530556&lt;/D&gt;&lt;D xsi:type="xsd:double"&gt;0.013563165&lt;/D&gt;&lt;D xsi:type="xsd:double"&gt;0.17048614&lt;/D&gt;&lt;D xsi:type="xsd:double"&gt;0.22861181&lt;/D&gt;&lt;D xsi:type="xsd:double"&gt;0.13757965&lt;/D&gt;&lt;D xsi:type="xsd:double"&gt;-0.099539764&lt;/D&gt;&lt;D xsi:type="xsd:double"&gt;0.21467103&lt;/D&gt;&lt;D xsi:type="xsd:double"&gt;0.2924081&lt;/D&gt;&lt;D xsi:type="xsd:double"&gt;0.27762565&lt;/D&gt;&lt;D xsi:type="xsd:double"&gt;-0.044319745&lt;/D&gt;&lt;D xsi:type="xsd:double"&gt;0.11456311&lt;/D&gt;&lt;D xsi:type="xsd:double"&gt;0.22415507&lt;/D&gt;&lt;D xsi:type="xsd:double"&gt;0.029294983&lt;/D&gt;&lt;D xsi:type="xsd:double"&gt;0.10313499&lt;/D&gt;&lt;D xsi:type="xsd:double"&gt;-0.075431265&lt;/D&gt;&lt;D xsi:type="xsd:double"&gt;0.20742819&lt;/D&gt;&lt;D xsi:type="xsd:double"&gt;0.21154806&lt;/D&gt;&lt;D xsi:type="xsd:double"&gt;0.17198883&lt;/D&gt;&lt;D xsi:type="xsd:double"&gt;0.15952234&lt;/D&gt;&lt;D xsi:type="xsd:double"&gt;0.23943383&lt;/D&gt;&lt;D xsi:type="xsd:double"&gt;0.18094075&lt;/D&gt;&lt;D xsi:type="xsd:double"&gt;0.1</t>
        </r>
      </text>
    </comment>
    <comment ref="A5" authorId="0" shapeId="0" xr:uid="{4E4C8A09-2554-4701-87EA-D38B94A2CC21}">
      <text>
        <r>
          <rPr>
            <b/>
            <sz val="9"/>
            <color indexed="81"/>
            <rFont val="Tahoma"/>
            <family val="2"/>
          </rPr>
          <t>3664405&lt;/D&gt;&lt;D xsi:type="xsd:double"&gt;0.2094726&lt;/D&gt;&lt;D xsi:type="xsd:double"&gt;0.20499884&lt;/D&gt;&lt;D xsi:type="xsd:double"&gt;0.108903416&lt;/D&gt;&lt;D xsi:type="xsd:double"&gt;0.11292037&lt;/D&gt;&lt;D xsi:type="xsd:double"&gt;0.046143413&lt;/D&gt;&lt;D xsi:type="xsd:double"&gt;0.17387299&lt;/D&gt;&lt;D xsi:type="xsd:double"&gt;0.234827&lt;/D&gt;&lt;D xsi:type="xsd:double"&gt;0.11143895&lt;/D&gt;&lt;D xsi:type="xsd:double"&gt;0.16850394&lt;/D&gt;&lt;D xsi:type="xsd:double"&gt;0.21776892&lt;/D&gt;&lt;D xsi:type="xsd:double"&gt;0.11230066&lt;/D&gt;&lt;D xsi:type="xsd:double"&gt;0.20124927&lt;/D&gt;&lt;D xsi:type="xsd:double"&gt;0.17709845&lt;/D&gt;&lt;D xsi:type="xsd:double"&gt;0.19451435&lt;/D&gt;&lt;D xsi:type="xsd:double"&gt;0.21694997&lt;/D&gt;&lt;D xsi:type="xsd:double"&gt;0.273211&lt;/D&gt;&lt;D xsi:type="xsd:double"&gt;0.13640317&lt;/D&gt;&lt;D xsi:type="xsd:double"&gt;1&lt;/D&gt;&lt;D xsi:type="xsd:double"&gt;0.16652259&lt;/D&gt;&lt;D xsi:type="xsd:double"&gt;0.22887424&lt;/D&gt;&lt;D xsi:type="xsd:double"&gt;0.24233109&lt;/D&gt;&lt;D xsi:type="xsd:double"&gt;0.16802165&lt;/D&gt;&lt;D xsi:type="xsd:double"&gt;0.1427607&lt;/D&gt;&lt;D xsi:type="xsd:double"&gt;0.10248089&lt;/D&gt;&lt;D xsi:type="xsd:double"&gt;0.10634402&lt;/D&gt;&lt;D xsi:type="xsd:double"&gt;0.25497332&lt;/D&gt;&lt;D xsi:type="xsd:double"&gt;0.2927333&lt;/D&gt;&lt;D xsi:type="xsd:double"&gt;0.26503932&lt;/D&gt;&lt;D xsi:type="xsd:double"&gt;0.3675775&lt;/D&gt;&lt;D xsi:type="xsd:double"&gt;0.31627488&lt;/D&gt;&lt;D xsi:type="xsd:double"&gt;0.32472026&lt;/D&gt;&lt;D xsi:type="xsd:double"&gt;0.51633465&lt;/D&gt;&lt;D xsi:type="xsd:double"&gt;0.16638061&lt;/D&gt;&lt;D xsi:type="xsd:double"&gt;0.24280508&lt;/D&gt;&lt;D xsi:type="xsd:double"&gt;0.3343653&lt;/D&gt;&lt;D xsi:type="xsd:double"&gt;0.13818759&lt;/D&gt;&lt;D xsi:type="xsd:double"&gt;0.21731067&lt;/D&gt;&lt;D xsi:type="xsd:double"&gt;0.093751&lt;/D&gt;&lt;D xsi:type="xsd:double"&gt;0.1645062&lt;/D&gt;&lt;D xsi:type="xsd:double"&gt;0.38074735&lt;/D&gt;&lt;D xsi:type="xsd:double"&gt;0.4000175&lt;/D&gt;&lt;D xsi:type="xsd:double"&gt;0.18623486&lt;/D&gt;&lt;D xsi:type="xsd:double"&gt;0.32978255&lt;/D&gt;&lt;D xsi:type="xsd:double"&gt;0.39388356&lt;/D&gt;&lt;D xsi:type="xsd:double"&gt;0.05916868&lt;/D&gt;&lt;D xsi:type="xsd:double"&gt;0.28421748&lt;/D&gt;&lt;D xsi:type="xsd:double"&gt;0.19185518&lt;/D&gt;&lt;D xsi:type="xsd:double"&gt;0.30482277&lt;/D&gt;&lt;D xsi:type="xsd:double"&gt;0.24586569&lt;/D&gt;&lt;D xsi:type="xsd:double"&gt;0.44183803&lt;/D&gt;&lt;D xsi:type="xsd:double"&gt;0.15928161&lt;/D&gt;&lt;D xsi:type="xsd:double"&gt;0.4059665&lt;/D&gt;&lt;D xsi:type="xsd:double"&gt;0.36230147&lt;/D&gt;&lt;D xsi:type="xsd:double"&gt;0.28716052&lt;/D&gt;&lt;D xsi:type="xsd:double"&gt;0.7095153&lt;/D&gt;&lt;D xsi:type="xsd:double"&gt;0.34630564&lt;/D&gt;&lt;D xsi:type="xsd:double"&gt;0.32393184&lt;/D&gt;&lt;D xsi:type="xsd:double"&gt;0.3373373&lt;/D&gt;&lt;D xsi:type="xsd:double"&gt;0.24671806&lt;/D&gt;&lt;D xsi:type="xsd:double"&gt;0.36194378&lt;/D&gt;&lt;D xsi:type="xsd:double"&gt;0.52708435&lt;/D&gt;&lt;D xsi:type="xsd:double"&gt;0.15395153&lt;/D&gt;&lt;D xsi:type="xsd:double"&gt;0.3683121&lt;/D&gt;&lt;D xsi:type="xsd:double"&gt;0.2589114&lt;/D&gt;&lt;D xsi:type="xsd:double"&gt;0.3304417&lt;/D&gt;&lt;D xsi:type="xsd:double"&gt;0.3406829&lt;/D&gt;&lt;D xsi:type="xsd:double"&gt;0.38008663&lt;/D&gt;&lt;D xsi:type="xsd:double"&gt;0.42520088&lt;/D&gt;&lt;D xsi:type="xsd:double"&gt;0.2605563&lt;/D&gt;&lt;D xsi:type="xsd:double"&gt;0.40497965&lt;/D&gt;&lt;D xsi:type="xsd:double"&gt;0.2545957&lt;/D&gt;&lt;D xsi:type="xsd:double"&gt;0.16652259&lt;/D&gt;&lt;D xsi:type="xsd:double"&gt;1&lt;/D&gt;&lt;D xsi:type="xsd:double"&gt;0.3907999&lt;/D&gt;&lt;D xsi:type="xsd:double"&gt;0.48520124&lt;/D&gt;&lt;D xsi:type="xsd:double"&gt;0.34064445&lt;/D&gt;&lt;D xsi:type="xsd:double"&gt;0.27717772&lt;/D&gt;&lt;D xsi:type="xsd:double"&gt;0.04759396&lt;/D&gt;&lt;D xsi:type="xsd:double"&gt;0.22165725&lt;/D&gt;&lt;D xsi:type="xsd:double"&gt;0.18015303&lt;/D&gt;&lt;D xsi:type="xsd:double"&gt;0.2764306&lt;/D&gt;&lt;D xsi:type="xsd:double"&gt;0.57226044&lt;/D&gt;&lt;D xsi:type="xsd:double"&gt;0.42238843&lt;/D&gt;&lt;D xsi:type="xsd:double"&gt;0.36912435&lt;/D&gt;&lt;D xsi:type="xsd:double"&gt;0.3227411&lt;/D&gt;&lt;D xsi:type="xsd:double"&gt;0.4482785&lt;/D&gt;&lt;D xsi:type="xsd:double"&gt;0.220829&lt;/D&gt;&lt;D xsi:type="xsd:double"&gt;0.25139627&lt;/D&gt;&lt;D xsi:type="xsd:double"&gt;0.39978948&lt;/D&gt;&lt;D xsi:type="xsd:double"&gt;0.13018793&lt;/D&gt;&lt;D xsi:type="xsd:double"&gt;0.20375265&lt;/D&gt;&lt;D xsi:type="xsd:double"&gt;0.07784206&lt;/D&gt;&lt;D xsi:type="xsd:double"&gt;0.15121284&lt;/D&gt;&lt;D xsi:type="xsd:double"&gt;0.3043383&lt;/D&gt;&lt;D xsi:type="xsd:double"&gt;0.51787955&lt;/D&gt;&lt;D xsi:type="xsd:double"&gt;0.28211477&lt;/D&gt;&lt;D xsi:type="xsd:double"&gt;0.45624098&lt;/D&gt;&lt;D xsi:type="xsd:double"&gt;0.47726482&lt;/D&gt;&lt;D xsi:type="xsd:double"&gt;0.12208571&lt;/D&gt;&lt;D xsi:type="xsd:double"&gt;0.47260174&lt;/D&gt;&lt;D xsi:type="xsd:double"&gt;0.13924001&lt;/D&gt;&lt;D xsi:type="xsd:double"&gt;0.27623916&lt;/D&gt;&lt;D xsi:type="xsd:double"&gt;0.22496374&lt;/D&gt;&lt;D xsi:type="xsd:double"&gt;0.42645907&lt;/D&gt;&lt;D xsi:type="xsd:double"&gt;0.17666091&lt;/D&gt;&lt;D xsi:type="xsd:double"&gt;0.53046393&lt;/D&gt;&lt;D xsi:type="xsd:double"&gt;0.5755456&lt;/D&gt;&lt;D xsi:type="xsd:double"&gt;0.5090314&lt;/D&gt;&lt;D xsi:type="xsd:double"&gt;0.45459837&lt;/D&gt;&lt;D xsi:type="xsd:double"&gt;0.26723644&lt;/D&gt;&lt;D xsi:type="xsd:double"&gt;0.288495&lt;/D&gt;&lt;D xsi:type="xsd:double"&gt;0.38300255&lt;/D&gt;&lt;D xsi:type="xsd:double"&gt;0.23825218&lt;/D&gt;&lt;D xsi:type="xsd:double"&gt;0.24372193&lt;/D&gt;&lt;D xsi:type="xsd:double"&gt;0.7616617&lt;/D&gt;&lt;D xsi:type="xsd:double"&gt;0.3758852&lt;/D&gt;&lt;D xsi:type="xsd:double"&gt;0.24959691&lt;/D&gt;&lt;D xsi:type="xsd:double"&gt;0.22128637&lt;/D&gt;&lt;D xsi:type="xsd:double"&gt;0.3524006&lt;/D&gt;&lt;D xsi:type="xsd:double"&gt;0.64271706&lt;/D&gt;&lt;D xsi:type="xsd:double"&gt;0.38892826&lt;/D&gt;&lt;D xsi:type="xsd:double"&gt;0.34079692&lt;/D&gt;&lt;D xsi:type="xsd:double"&gt;0.5559364&lt;/D&gt;&lt;D xsi:type="xsd:double"&gt;0.34757817&lt;/D&gt;&lt;D xsi:type="xsd:double"&gt;0.3936&lt;/D&gt;&lt;D xsi:type="xsd:double"&gt;0.22887424&lt;/D&gt;&lt;D xsi:type="xsd:double"&gt;0.3907999&lt;/D&gt;&lt;D xsi:type="xsd:double"&gt;1&lt;/D&gt;&lt;D xsi:type="xsd:double"&gt;0.36351427&lt;/D&gt;&lt;D xsi:type="xsd:double"&gt;0.5680879&lt;/D&gt;&lt;D xsi:type="xsd:double"&gt;0.39526993&lt;/D&gt;&lt;D xsi:type="xsd:double"&gt;0.11284777&lt;/D&gt;&lt;D xsi:type="xsd:double"&gt;0.033929434&lt;/D&gt;&lt;D xsi:type="xsd:double"&gt;0.29679167&lt;/D&gt;&lt;D xsi:type="xsd:double"&gt;0.22627562&lt;/D&gt;&lt;D xsi:type="xsd:double"&gt;0.26819327&lt;/D&gt;&lt;D xsi:type="xsd:double"&gt;0.6953295&lt;/D&gt;&lt;D xsi:type="xsd:double"&gt;0.2765213&lt;/D&gt;&lt;D xsi:type="xsd:double"&gt;0.31336716&lt;/D&gt;&lt;D xsi:type="xsd:double"&gt;0.5599375&lt;/D&gt;&lt;D xsi:type="xsd:double"&gt;0.17380139&lt;/D&gt;&lt;D xsi:type="xsd:double"&gt;0.25410113&lt;/D&gt;&lt;D xsi:type="xsd:double"&gt;0.21580192&lt;/D&gt;&lt;D xsi:type="xsd:double"&gt;0.16425037&lt;/D&gt;&lt;D xsi:type="xsd:double"&gt;0.12965497&lt;/D&gt;&lt;D xsi:type="xsd:double"&gt;0.107084066&lt;/D&gt;&lt;D xsi:type="xsd:double"&gt;0.13743028&lt;/D&gt;&lt;D xsi:type="xsd:double"&gt;0.72589785&lt;/D&gt;&lt;D xsi:type="xsd:double"&gt;0.534473&lt;/D&gt;&lt;D xsi:type="xsd:double"&gt;0.15434521&lt;/D&gt;&lt;D xsi:type="xsd:double"&gt;0.443226&lt;/D&gt;&lt;D xsi:type="xsd:double"&gt;0.49590677&lt;/D&gt;&lt;D xsi:type="xsd:double"&gt;0.043537624&lt;/D&gt;&lt;D xsi:type="xsd:double"&gt;0.48263764&lt;/D&gt;&lt;D xsi:type="xsd:double"&gt;0.18473953&lt;/D&gt;&lt;D xsi:type="xsd:double"&gt;0.29896647&lt;/D&gt;&lt;D xsi:type="xsd:double"&gt;0.26388636&lt;/D&gt;&lt;D xsi:type="xsd:double"&gt;0.3522262&lt;/D&gt;&lt;D xsi:type="xsd:double"&gt;0.10096845&lt;/D&gt;&lt;D xsi:type="xsd:double"&gt;0.3859789&lt;/D&gt;&lt;D xsi:type="xsd:double"&gt;0.5198956&lt;/D&gt;&lt;D xsi:type="xsd:double"&gt;0.43433782&lt;/D&gt;&lt;D xsi:type="xsd:double"&gt;0.4442045&lt;/D&gt;&lt;D xsi:type="xsd:double"&gt;0.3313261&lt;/D&gt;&lt;D xsi:type="xsd:double"&gt;0.29016763&lt;/D&gt;&lt;D xsi:type="xsd:double"&gt;0.28749365&lt;/D&gt;&lt;D xsi:type="xsd:double"&gt;0.12783782&lt;/D&gt;&lt;D xsi:type="xsd:double"&gt;0.24624535&lt;/D&gt;&lt;D xsi:type="xsd:double"&gt;0.42650074&lt;/D&gt;&lt;D xsi:type="xsd:double"&gt;0.15831749&lt;/D&gt;&lt;D xsi:type="xsd:double"&gt;0.21378486&lt;/D&gt;&lt;D xsi:type="xsd:double"&gt;0.20334935&lt;/D&gt;&lt;D xsi:type="xsd:double"&gt;0.31506494&lt;/D&gt;&lt;D xsi:type="xsd:double"&gt;0.36623144&lt;/D&gt;&lt;D xsi:type="xsd:double"&gt;0.36281767&lt;/D&gt;&lt;D xsi:type="xsd:double"&gt;0.39408916&lt;/D&gt;&lt;D xsi:type="xsd:double"&gt;0.28014025&lt;/D&gt;&lt;D xsi:type="xsd:double"&gt;0.3144167&lt;/D&gt;&lt;D xsi:type="xsd:double"&gt;0.2994667&lt;/D&gt;&lt;D xsi:type="xsd:double"&gt;0.24233109&lt;/D&gt;&lt;D xsi:type="xsd:double"&gt;0.48520124&lt;/D&gt;&lt;D xsi:type="xsd:double"&gt;0.36351427&lt;/D&gt;&lt;D xsi:type="xsd:double"&gt;1&lt;/D&gt;&lt;D xsi:type="xsd:double"&gt;0.5717122&lt;/D&gt;&lt;D xsi:type="xsd:double"&gt;0.6093008&lt;/D&gt;&lt;D xsi:type="xsd:double"&gt;0.026324831&lt;/D&gt;&lt;D xsi:type="xsd:double"&gt;0.16189899&lt;/D&gt;&lt;D xsi:type="xsd:double"&gt;0.2343548&lt;/D&gt;&lt;D xsi:type="xsd:double"&gt;0.2406009&lt;/D&gt;&lt;D xsi:type="xsd:double"&gt;0.42777783&lt;/D&gt;&lt;D xsi:type="xsd:double"&gt;0.6445455&lt;/D&gt;&lt;D xsi:type="xsd:double"&gt;0.28518787&lt;/D&gt;&lt;D xsi:type="xsd:double"&gt;0.32305023&lt;/D&gt;&lt;D xsi:type="xsd:double"&gt;0.4949371&lt;/D&gt;&lt;D xsi:type="xsd:double"&gt;0.22433533&lt;/D&gt;&lt;D xsi:type="xsd:double"&gt;0.24664809&lt;/D&gt;&lt;D xsi:type="xsd:double"&gt;0.30033737&lt;/D&gt;&lt;D xsi:type="xsd:double"&gt;0.15625001&lt;/D&gt;&lt;D xsi:type="xsd:double"&gt;0.169486&lt;/D&gt;&lt;D xsi:type="xsd:double"&gt;0.1400503&lt;/D&gt;&lt;D xsi:type="xsd:double"&gt;0.18710613&lt;/D&gt;&lt;D xsi:type="xsd:double"&gt;0.5202578&lt;/D&gt;&lt;D xsi:type="xsd:double"&gt;0.6185447&lt;/D&gt;&lt;D xsi:type="xsd:double"&gt;0.15272357&lt;/D&gt;&lt;D xsi:type="xsd:double"&gt;0.5540081&lt;/D&gt;&lt;D xsi:type="xsd:double"&gt;0.6074226&lt;/D&gt;&lt;D xsi:type="xsd:double"&gt;-0.021926235&lt;/D&gt;&lt;D xsi:type="xsd:double"&gt;0.6616389&lt;/D&gt;&lt;D xsi:type="xsd:double"&gt;0.13394189&lt;/D&gt;&lt;D xsi:type="xsd:double"&gt;0.17554379&lt;/D&gt;&lt;D xsi:type="xsd:double"&gt;0.30286592&lt;/D&gt;&lt;D xsi:type="xsd:double"&gt;0.31454146&lt;/D&gt;&lt;D xsi:type="xsd:double"&gt;0.24980222&lt;/D&gt;&lt;D xsi:type="xsd:double"&gt;0.5193137&lt;/D&gt;&lt;D xsi:type="xsd:double"&gt;0.7262172&lt;/D&gt;&lt;D xsi:type="xsd:double"&gt;0.5781704&lt;/D&gt;&lt;D xsi:type="xsd:double"&gt;0.46685606&lt;/D&gt;&lt;D xsi:type="xsd:double"&gt;0.31598637&lt;/D&gt;&lt;D xsi:type="xsd:double"&gt;0.23108286&lt;/D&gt;&lt;D xsi:type="xsd:double"&gt;0.3075085&lt;/D&gt;&lt;D xsi:type="xsd:double"&gt;0.19944242&lt;/D&gt;&lt;D xsi:type="xsd:double"&gt;0.2646439&lt;/D&gt;&lt;D xsi:type="xsd:double"&gt;0.5181595&lt;/D&gt;&lt;D xsi:type="xsd:double"&gt;0.23977177&lt;/D&gt;&lt;D xsi:type="xsd:double"&gt;0.19473745&lt;/D&gt;&lt;D xsi:type="xsd:double"&gt;0.13684307&lt;/D&gt;&lt;D xsi:type="xsd:double"&gt;0.37163857&lt;/D&gt;&lt;D xsi:type="xsd:double"&gt;0.46472907&lt;/D&gt;&lt;D xsi:type="xsd:double"&gt;0.42608637&lt;/D&gt;&lt;D xsi:type="xsd:double"&gt;0.367047&lt;/D&gt;&lt;D xsi:type="xsd:double"&gt;0.47530842&lt;/D&gt;&lt;D xsi:type="xsd:double"&gt;0.25823164&lt;/D&gt;&lt;D xsi:type="xsd:double"&gt;0.2919001&lt;/D&gt;&lt;D xsi:type="xsd:double"&gt;0.16802165&lt;/D&gt;&lt;D xsi:type="xsd:double"&gt;0.34064445&lt;/D&gt;&lt;D xsi:type="xsd:double"&gt;0.5680879&lt;/D&gt;&lt;D xsi:type="xsd:double"&gt;0.5717122&lt;/D&gt;&lt;D xsi:type="xsd:double"&gt;1&lt;/D&gt;&lt;D xsi:type="xsd:double"&gt;0.59299344&lt;/D&gt;&lt;D xsi:type="xsd:double"&gt;0.10385058&lt;/D&gt;&lt;D xsi:type="xsd:double"&gt;0.098015815&lt;/D&gt;&lt;D xsi:type="xsd:double"&gt;0.18913771&lt;/D&gt;&lt;D xsi:type="xsd:double"&gt;0.2540668&lt;/D&gt;&lt;D xsi:type="xsd:double"&gt;0.30635387&lt;/D&gt;&lt;D xsi:type="xsd:double"&gt;0.811219&lt;/D&gt;&lt;D xsi:type="xsd:double"&gt;0.27976257&lt;/D&gt;&lt;D xsi:type="xsd:double"&gt;0.24329782&lt;/D&gt;&lt;D xsi:type="xsd:double"&gt;0.49629316&lt;/D&gt;&lt;D xsi:type="xsd:double"&gt;0.33527634&lt;/D&gt;&lt;D xsi:type="xsd:double"&gt;0.32627255&lt;/D&gt;&lt;D xsi:type="xsd:double"&gt;0.17272341&lt;/D&gt;&lt;D xsi:type="xsd:double"&gt;0.12784481&lt;/D&gt;&lt;D xsi:type="xsd:double"&gt;0.104696594&lt;/D&gt;&lt;D xsi:type="xsd:double"&gt;0.19602941&lt;/D&gt;&lt;D xsi:type="xsd:double"&gt;0.17943506&lt;/D&gt;&lt;D xsi:type="xsd:double"&gt;0.5685333&lt;/D&gt;&lt;D xsi:type="xsd:double"&gt;0.5065876&lt;/D&gt;&lt;D xsi:type="xsd:double"&gt;0.2244967&lt;/D&gt;&lt;D xsi:type="xsd:double"&gt;0.47647947&lt;/D&gt;&lt;D xsi:type="xsd:double"&gt;0.49742872&lt;/D&gt;&lt;D xsi:type="xsd:double"&gt;0.22453077&lt;/D&gt;&lt;D xsi:type="xsd:double"&gt;0.5193174&lt;/D&gt;&lt;D xsi:type="xsd:double"&gt;0.20564823&lt;/D&gt;&lt;D xsi:type="xsd:double"&gt;0.26913968&lt;/D&gt;&lt;D xsi:type="xsd:double"&gt;0.28975132&lt;/D&gt;&lt;D xsi:type="xsd:double"&gt;0.20099486&lt;/D&gt;&lt;D xsi:type="xsd:double"&gt;0.08055745&lt;/D&gt;&lt;D xsi:type="xsd:double"&gt;0.39153537&lt;/D&gt;&lt;D xsi:type="xsd:double"&gt;0.5659296&lt;/D&gt;&lt;D xsi:type="xsd:double"&gt;0.5283783&lt;/D&gt;&lt;D xsi:type="xsd:double"&gt;0.36580577&lt;/D&gt;&lt;D xsi:type="xsd:double"&gt;0.25018913&lt;/D&gt;&lt;D xsi:type="xsd:double"&gt;0.19985601&lt;/D&gt;&lt;D xsi:type="xsd:double"&gt;0.38300705&lt;/D&gt;&lt;D xsi:type="xsd:double"&gt;0.13371815&lt;/D&gt;&lt;D xsi:type="xsd:double"&gt;0.17186841&lt;/D&gt;&lt;D xsi:type="xsd:double"&gt;0.34533724&lt;/D&gt;&lt;D xsi:type="xsd:double"&gt;0.2199148&lt;/D&gt;&lt;D xsi:type="xsd:double"&gt;0.09974001&lt;/D&gt;&lt;D xsi:type="xsd:double"&gt;0.07914536&lt;/D&gt;&lt;D xsi:type="xsd:double"&gt;0.245195&lt;/D&gt;&lt;D xsi:type="xsd:double"&gt;0.28839818&lt;/D&gt;&lt;D xsi:type="xsd:double"&gt;0.30574277&lt;/D&gt;&lt;D xsi:type="xsd:double"&gt;0.2829995&lt;/D&gt;&lt;D xsi:type="xsd:double"&gt;0.28720304&lt;/D&gt;&lt;D xsi:type="xsd:double"&gt;0.16324815&lt;/D&gt;&lt;D xsi:type="xsd:double"&gt;0.19691052&lt;/D&gt;&lt;D xsi:type="xsd:double"&gt;0.1427607&lt;/D&gt;&lt;D xsi:type="xsd:double"&gt;0.27717772&lt;/D&gt;&lt;D xsi:type="xsd:double"&gt;0.39526993&lt;/D&gt;&lt;D xsi:type="xsd:double"&gt;0.6093008&lt;/D&gt;&lt;D xsi:type="xsd:double"&gt;0.59299344&lt;/D&gt;&lt;D xsi:type="xsd:double"&gt;1&lt;/D&gt;&lt;D xsi:type="xsd:double"&gt;0.001954946&lt;/D&gt;&lt;D xsi:type="xsd:double"&gt;0.015275983&lt;/D&gt;&lt;D xsi:type="xsd:double"&gt;0.09048745&lt;/D&gt;&lt;D xsi:type="xsd:double"&gt;0.22046214&lt;/D&gt;&lt;D xsi:type="xsd:double"&gt;0.09381977&lt;/D&gt;&lt;D xsi:type="xsd:double"&gt;0.007626706&lt;/D&gt;&lt;D xsi:type="xsd:double"&gt;0.21230635&lt;/D&gt;&lt;D xsi:type="xsd:double"&gt;0.2384902&lt;/D&gt;&lt;D xsi:type="xsd:double"&gt;-0.056444313&lt;/D&gt;&lt;D xsi:type="xsd:double"&gt;0.13261673&lt;/D&gt;&lt;D xsi:type="xsd:double"&gt;0.102110706&lt;/D&gt;&lt;D xsi:type="xsd:double"&gt;0.23711915&lt;/D&gt;&lt;D xsi:type="xsd:double"&gt;0.23072533&lt;/D&gt;&lt;D xsi:type="xsd:double"&gt;0.46910724&lt;/D&gt;&lt;D xsi:type="xsd:double"&gt;0.109647505&lt;/D&gt;&lt;D xsi:type="xsd:double"&gt;0.14450774&lt;/D&gt;&lt;D xsi:type="xsd:double"&gt;-0.08121929&lt;/D&gt;&lt;D xsi:type="xsd:double"&gt;0.024644012&lt;/D&gt;&lt;D xsi:type="xsd:double"&gt;0.27864626&lt;/D&gt;&lt;D xsi:type="xsd:double"&gt;0.18985726&lt;/D&gt;&lt;D xsi:type="xsd:double"&gt;-0.010432412&lt;/D&gt;&lt;D xsi:type="xsd:double"&gt;0.075990595&lt;/D&gt;&lt;D xsi:type="xsd:double"&gt;-0.041177314&lt;/D&gt;&lt;D xsi:type="xsd:double"&gt;0.120123975&lt;/D&gt;&lt;D xsi:type="xsd:double"&gt;0.1196917&lt;/D&gt;&lt;D xsi:type="xsd:double"&gt;0.40761122&lt;/D&gt;&lt;D xsi:type="xsd:double"&gt;0.1165978&lt;/D&gt;&lt;D xsi:type="xsd:double"&gt;0.25975683&lt;/D&gt;&lt;D xsi:type="xsd:double"&gt;0.19643252&lt;/D&gt;&lt;D xsi:type="xsd:double"&gt;0.11992786&lt;/D&gt;&lt;D xsi:type="xsd:double"&gt;0.15281232&lt;/D&gt;&lt;D xsi:type="xsd:double"&gt;-0.03227533&lt;/D&gt;&lt;D xsi:type="xsd:double"&gt;0.4686032&lt;/D&gt;&lt;D xsi:type="xsd:double"&gt;0.08805432&lt;/D&gt;&lt;D xsi:type="xsd:double"&gt;0.26052627&lt;/D&gt;&lt;D xsi:type="xsd:double"&gt;0.49824739&lt;/D&gt;&lt;D xsi:type="xsd:double"&gt;0.14299725&lt;/D&gt;&lt;D xsi:type="xsd:double"&gt;0.1027912&lt;/D&gt;&lt;D xsi:type="xsd:double"&gt;0.19257848&lt;/D&gt;&lt;D xsi:type="xsd:double"&gt;-0.015157986&lt;/D&gt;&lt;D xsi:type="xsd:double"&gt;0.12709181&lt;/D&gt;&lt;D xsi:type="xsd:double"&gt;0.14660007&lt;/D&gt;&lt;D xsi:type="xsd:double"&gt;0.1752459&lt;/D&gt;&lt;D xsi:type="xsd:double"&gt;0.10679487&lt;/D&gt;&lt;D xsi:type="xsd:double"&gt;0.022270668&lt;/D&gt;&lt;D xsi:type="xsd:double"&gt;0.13447335&lt;/D&gt;&lt;D xsi:type="xsd:double"&gt;0.12680472&lt;/D&gt;&lt;D xsi:type="xsd:double"&gt;0.09207685&lt;/D&gt;&lt;D xsi:type="xsd:double"&gt;0.10248089&lt;/D&gt;&lt;D xsi:type="xsd:double"&gt;0.04759396&lt;/D&gt;&lt;D xsi:type="xsd:double"&gt;0.11284777&lt;/D&gt;&lt;D xsi:type="xsd:double"&gt;0.026324831&lt;/D&gt;&lt;D xsi:type="xsd:double"&gt;0.10385058&lt;/D&gt;&lt;D xsi:type="xsd:double"&gt;0.001954946&lt;/D&gt;&lt;D xsi:type="xsd:double"&gt;1&lt;/D&gt;&lt;D xsi:type="xsd:double"&gt;-0.060425524&lt;/D&gt;&lt;D xsi:type="xsd:double"&gt;0.093344085&lt;/D&gt;&lt;D xsi:type="xsd:double"&gt;0.06608879&lt;/D&gt;&lt;D xsi:type="xsd:double"&gt;0.12121844&lt;/D&gt;&lt;D xsi:type="xsd:double"&gt;0.07007951&lt;/D&gt;&lt;D xsi:type="xsd:double"&gt;0.09191695&lt;/D&gt;&lt;D xsi:type="xsd:double"&gt;0.052354716&lt;/D&gt;&lt;D xsi:type="xsd:double"&gt;0.1841284&lt;/D&gt;&lt;D xsi:type="xsd:double"&gt;0.096641935&lt;/D&gt;&lt;D xsi:type="xsd:double"&gt;0.043362662&lt;/D&gt;&lt;D xsi:type="xsd:double"&gt;0.040177863&lt;/D&gt;&lt;D xsi:type="xsd:double"&gt;0.082051314&lt;/D&gt;&lt;D xsi:type="xsd:double"&gt;0.08368505&lt;/D&gt;&lt;D xsi:type="xsd:double"&gt;0.014801277&lt;/D&gt;&lt;D xsi:type="xsd:double"&gt;0.032514144&lt;/D&gt;&lt;D xsi:type="xsd:double"&gt;0.08168364&lt;/D&gt;&lt;D xsi:type="xsd:double"&gt;0.124135286&lt;/D&gt;&lt;D xsi:type="xsd:double"&gt;0.0877516&lt;/D&gt;&lt;D xsi:type="xsd:double"&gt;0.1198319&lt;/D&gt;&lt;D xsi:type="xsd:double"&gt;0.13231309&lt;/D&gt;&lt;D xsi:type="xsd:double"&gt;-0.022508642&lt;/D&gt;&lt;D xsi:type="xsd:double"&gt;0.10391598&lt;/D&gt;&lt;D xsi:type="xsd:double"&gt;0.0690842&lt;/D&gt;&lt;D xsi:type="xsd:double"&gt;0.18756348&lt;/D&gt;&lt;D xsi:type="xsd:double"&gt;-0.021318581&lt;/D&gt;&lt;D xsi:type="xsd:double"&gt;0.12890153&lt;/D&gt;&lt;D xsi:type="xsd:double"&gt;-0.009018071&lt;/D&gt;&lt;D xsi:type="xsd:double"&gt;0.14295946&lt;/D&gt;&lt;D xsi:type="xsd:double"&gt;0.08790395&lt;/D&gt;&lt;D xsi:type="xsd:double"&gt;0.114195965&lt;/D&gt;&lt;D xsi:type="xsd:double"&gt;0.1569191&lt;/D&gt;&lt;D xsi:type="xsd:double"&gt;0.06780328&lt;/D&gt;&lt;D xsi:type="xsd:double"&gt;0.05984666&lt;/D&gt;&lt;D xsi:type="xsd:double"&gt;0.0559917&lt;/D&gt;&lt;D xsi:type="xsd:double"&gt;0.066663235&lt;/D&gt;&lt;D xsi:type="xsd:double"&gt;0.089035325&lt;/D&gt;&lt;D xsi:type="xsd:double"&gt;0.13109232&lt;/D&gt;&lt;D xsi:type="xsd:double"&gt;0.074859895&lt;/D&gt;&lt;D xsi:type="xsd:double"&gt;0.38710445&lt;/D&gt;&lt;D xsi:type="xsd:double"&gt;-0.07367007&lt;/D&gt;&lt;D xsi:type="xsd:double"&gt;0.26043135&lt;/D&gt;&lt;D xsi:type="xsd:double"&gt;0.08929954&lt;/D&gt;&lt;D xsi:type="xsd:double"&gt;0.3680244&lt;/D&gt;&lt;D xsi:type="xsd:double"&gt;0.29747894&lt;/D&gt;&lt;D xsi:type="xsd:double"&gt;0.014484394&lt;/D&gt;&lt;D xsi:type="xsd:double"&gt;0.089597315&lt;/D&gt;&lt;D xsi:type="xsd:double"&gt;0.08002171&lt;/D&gt;&lt;D xsi:type="xsd:double"&gt;0.10634402&lt;/D&gt;&lt;D xsi:type="xsd:double"&gt;0.22165725&lt;/D&gt;&lt;D xsi:type="xsd:double"&gt;0.033929434&lt;/D&gt;&lt;D xsi:type="xsd:double"&gt;0.16189899&lt;/D&gt;&lt;D xsi:type="xsd:double"&gt;0.098015815&lt;/D&gt;&lt;D xsi:type="xsd:double"&gt;0.015275983&lt;/D&gt;&lt;D xsi:type="xsd:double"&gt;-0.060425524&lt;/D&gt;&lt;D xsi:type="xsd:double"&gt;1&lt;/D&gt;&lt;/FQL&gt;&lt;FQL&gt;&lt;Q&gt;^IDS&lt;/Q&gt;&lt;R&gt;54&lt;/R&gt;&lt;C&gt;1&lt;/C&gt;&lt;D xsi:type="xsd:string"&gt;2317-TW&lt;/D&gt;&lt;D xsi:type="xsd:string"&gt;GSK-GB&lt;/D&gt;&lt;D xsi:type="xsd:string"&gt;CON-DE&lt;/D&gt;&lt;D xsi:type="xsd:string"&gt;BARC-GB&lt;/D&gt;&lt;D xsi:type="xsd:string"&gt;SAN-FR&lt;/D&gt;&lt;D xsi:type="xsd:string"&gt;ROG-CH&lt;/D&gt;&lt;D xsi:type="xsd:string"&gt;PRU-GB&lt;/D&gt;&lt;D xsi:type="xsd:string"&gt;BT.A-GB&lt;/D&gt;&lt;D xsi:type="xsd:string"&gt;VOD-GB&lt;/D&gt;&lt;D xsi:type="xsd:string"&gt;HEN3-DE&lt;/D&gt;&lt;D xsi:type="xsd:string"&gt;105560-KR&lt;/D&gt;&lt;D xsi:type="xsd:string"&gt;9404-JP&lt;/D&gt;&lt;D xsi:type="xsd:string"&gt;BATS-GB&lt;/D&gt;&lt;D xsi:type="xsd:string"&gt;055550-KR&lt;/D&gt;&lt;D xsi:type="xsd:string"&gt;STAN-GB&lt;/D&gt;&lt;D xsi:type="xsd:string"&gt;BIRG-IE&lt;/D&gt;&lt;D xsi:type="xsd:string"&gt;AD-NL&lt;/D&gt;&lt;D xsi:type="xsd:string"&gt;AGS-BE&lt;/D&gt;&lt;D xsi:type="xsd:string"&gt;ABN-NL&lt;/D&gt;&lt;D xsi:type="xsd:string"&gt;TSCO-GB&lt;/D&gt;&lt;D xsi:type="xsd:string"&gt;GLE-FR&lt;/D&gt;&lt;D xsi:type="xsd:string"&gt;IMB-GB&lt;/D&gt;&lt;D xsi:type="xsd:string"&gt;WPP-GB&lt;/D&gt;&lt;D xsi:type="xsd:string"&gt;6752-JP&lt;/D&gt;&lt;D xsi:type="xsd:string"&gt;UHR-CH&lt;/D&gt;&lt;D xsi:type="xsd:string"&gt;4324-JP&lt;/D&gt;&lt;D xsi:type="xsd:string"&gt;RAND-NL&lt;/D&gt;&lt;D xsi:type="xsd:string"&gt;BNP-FR&lt;/D&gt;&lt;D xsi:type="xsd:string"&gt;CS-FR&lt;/D&gt;&lt;D xsi:type="xsd:string"&gt;AAL-GB&lt;/D&gt;&lt;D xsi:type="xsd:string"&gt;5108-JP&lt;/D&gt;&lt;D xsi:type="xsd:string"&gt;BRBY-GB&lt;/D&gt;&lt;D xsi:type="xsd:string"&gt;BLND-GB&lt;/D&gt;&lt;D xsi:type="xsd:string"&gt;7459-JP&lt;/D&gt;&lt;D xsi:type="xsd:string"&gt;6963-JP&lt;/D&gt;&lt;D xsi:type="xsd:string"&gt;BAS-DE&lt;/D&gt;&lt;D xsi:type="xsd:string"&gt;CA-FR&lt;/D&gt;&lt;D xsi:type="xsd:string"&gt;TX-US&lt;/D&gt;&lt;D xsi:type="xsd:string"&gt;914-HK&lt;/D&gt;&lt;D xsi:type="xsd:string"&gt;OMV-AT&lt;/D&gt;&lt;D xsi:type="xsd:string"&gt;VOW3-DE&lt;/D&gt;&lt;D xsi:type="xsd:string"&gt;ENI-IT&lt;/D&gt;&lt;D xsi:type="xsd:string"&gt;REP-ES&lt;/D&gt;&lt;D xsi:type="xsd:string"&gt;LHA-DE&lt;/D&gt;&lt;D xsi:type="xsd:string"&gt;KER-FR&lt;/D&gt;&lt;D xsi:type="xsd:string"&gt;RNO-FR&lt;/D&gt;&lt;D xsi:type="xsd:string"&gt;9988-HK&lt;/D&gt;&lt;D xsi:type="xsd:string"&gt;RIO-GB&lt;/D&gt;&lt;D xsi:type="xsd:string"&gt;EVK-DE&lt;/D&gt;&lt;D xsi:type="xsd:string"&gt;HSBA-GB&lt;/D&gt;&lt;D xsi:type="xsd:string"&gt;UCG-IT&lt;/D&gt;&lt;D xsi:type="xsd:string"&gt;NWG-GB&lt;/D&gt;&lt;D xsi:type="xsd:string"&gt;9433-JP&lt;/D&gt;&lt;D xsi:type="xsd:string"&gt;PETR4-BR&lt;/D&gt;&lt;/FQL&gt;&lt;FQL&gt;&lt;Q&gt;DUMMY^FLOAT_ARRAY CORRELMATRIX=GET_FQL_ARRAY(IDS,'P_PRICE_RETURNS(0,45961,45961-1AY,D,USD)');'FDS CODE - DO NOT DELETE'&lt;/Q&gt;&lt;R&gt;1&lt;/R&gt;&lt;C&gt;1&lt;/C&gt;&lt;D xsi:type="xsd:string"&gt;FDS CODE - DO NOT DELETE&lt;/D&gt;&lt;/FQL&gt;&lt;FQL&gt;&lt;Q&gt;DUMMY^STRING_ARRAY IDS=TICKER_LIST('2317-TW GSK-GB CON-DE BARC-GB SAN-FR ROG-CH PRU-GB BT.A-GB VOD-GB HEN3-DE 105560-KR 9404-JP BATS-GB 055550-KR STAN-GB BIRG-IE AD-NL AGS-BE ABN-NL TSCO-GB GLE-FR IMB-GB WPP-GB 6752-JP UHR-CH 4324-JP RAND-NL BNP-FR CS-FR AAL-GB 5108-JP BRBY-GB BLND-GB 7459-JP 6963-JP BAS-DE CA-FR TX-US 914-HK OMV-AT VOW3-DE ENI-IT REP-ES LHA-DE KER-FR RNO-FR 9988-HK RIO-GB EVK-DE HSBA-GB UCG-IT NWG-GB 9433-JP PETR4-BR');"FDS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10/31/2025:&lt;/D&gt;&lt;/FQL&gt;&lt;FQL&gt;&lt;Q&gt;2317-TW^FG_COMPANY_NAME&lt;/Q&gt;&lt;R&gt;1&lt;/R&gt;&lt;C&gt;1&lt;/C&gt;&lt;D xsi:type="xsd:string"&gt;Hon Hai Precision Industry Co., Ltd.&lt;/D&gt;&lt;/FQL&gt;&lt;FQL&gt;&lt;Q&gt;GSK-GB^FG_COMPANY_NAME&lt;/Q&gt;&lt;R&gt;1&lt;/R&gt;&lt;C&gt;1&lt;/C&gt;&lt;D xsi:type="xsd:string"&gt;GSK plc&lt;/D&gt;&lt;/FQL&gt;&lt;FQL&gt;&lt;Q&gt;CON-DE^FG_COMPANY_NAME&lt;/Q&gt;&lt;R&gt;1&lt;/R&gt;&lt;C&gt;1&lt;/C&gt;&lt;D xsi:type="xsd:string"&gt;Continental AG&lt;/D&gt;&lt;/FQL&gt;&lt;FQL&gt;&lt;Q&gt;BARC-GB^FG_COMPANY_NAME&lt;/Q&gt;&lt;R&gt;1&lt;/R&gt;&lt;C&gt;1&lt;/C&gt;&lt;D xsi:type="xsd:string"&gt;Barclays PLC&lt;/D&gt;&lt;/FQL&gt;&lt;FQL&gt;&lt;Q&gt;SAN-FR^FG_COMPANY_NAME&lt;/Q&gt;&lt;R&gt;1&lt;/R&gt;&lt;C&gt;1&lt;/C&gt;&lt;D xsi:type="xsd:string"&gt;Sanofi SA&lt;/D&gt;&lt;/FQL&gt;&lt;FQL&gt;&lt;Q&gt;ROG-CH^FG_COMPANY_NAME&lt;/Q&gt;&lt;R&gt;1&lt;/R&gt;&lt;C&gt;1&lt;/C&gt;&lt;D xsi:type="xsd:string"&gt;Roche Holding Ltd Dividend Right Cert.&lt;/D&gt;&lt;/FQL&gt;&lt;FQL&gt;&lt;Q&gt;PRU-GB^FG_COMPANY_NAME&lt;/Q&gt;&lt;R&gt;1&lt;/R&gt;&lt;C&gt;1&lt;/C&gt;&lt;D xsi:type="xsd:string"&gt;Prudential plc&lt;/D&gt;&lt;/FQL&gt;&lt;FQL&gt;&lt;Q&gt;BT.A-GB^FG_COMPANY_NAME&lt;/Q&gt;&lt;R&gt;1&lt;/R&gt;&lt;C&gt;1&lt;/C&gt;&lt;D xsi:type="xsd:string"&gt;BT Group plc&lt;/D&gt;&lt;/FQL&gt;&lt;FQL&gt;&lt;Q&gt;VOD-GB^FG_COMPANY_NAME&lt;/Q&gt;&lt;R&gt;1&lt;/R&gt;&lt;C&gt;1&lt;/C&gt;&lt;D xsi:type="xsd:string"&gt;Vodafone Group Public Limited Company&lt;/D&gt;&lt;/FQL&gt;&lt;FQL&gt;&lt;Q&gt;HEN3-DE^FG_COMPANY_NAME&lt;/Q&gt;&lt;R&gt;1&lt;/R&gt;&lt;C&gt;1&lt;/C&gt;&lt;D xsi:type="xsd:string"&gt;Henkel AG &amp;amp; Co. KGaA Pref&lt;/D&gt;&lt;/FQL&gt;&lt;FQL&gt;&lt;Q&gt;105560-KR^FG_COMPANY_NAME&lt;/Q&gt;&lt;R&gt;1&lt;/R&gt;&lt;C&gt;1&lt;/C&gt;&lt;D xsi:type="xsd:string"&gt;KB Financial Group Inc.&lt;/D&gt;&lt;/FQL&gt;&lt;FQL&gt;&lt;Q&gt;9404-JP^FG_COMPANY_NAME&lt;/Q&gt;&lt;R&gt;1&lt;/R&gt;&lt;C&gt;1&lt;/C&gt;&lt;D xsi:type="xsd:string"&gt;Nippon Television Holdings, Inc.&lt;/D&gt;&lt;/FQL&gt;&lt;FQL&gt;&lt;Q&gt;BATS-GB^FG_COMPANY_NAME&lt;/Q&gt;&lt;R&gt;1&lt;/R&gt;&lt;C&gt;1&lt;/C&gt;&lt;D xsi:type="xsd:string"&gt;British American Tobacco p.l.c.&lt;/D&gt;&lt;/FQL&gt;&lt;FQL&gt;&lt;Q&gt;055550-KR^FG_COMPANY_NAME&lt;/Q&gt;&lt;R&gt;1&lt;/R&gt;&lt;C&gt;1&lt;/C&gt;&lt;D xsi:type="xsd:string"&gt;Shinhan Financial Group Co., Ltd.&lt;/D&gt;&lt;/FQL&gt;&lt;FQL&gt;&lt;Q&gt;STAN-GB^FG_COMPANY_NAME&lt;/Q&gt;&lt;R&gt;1&lt;/R&gt;&lt;C&gt;1&lt;/C&gt;&lt;D xsi:type="xsd:string"&gt;Standard Chartered PLC&lt;/D&gt;&lt;/FQL&gt;&lt;FQL&gt;&lt;Q&gt;BIRG-IE^FG_COMPANY_NAME&lt;/Q&gt;&lt;R&gt;1&lt;/R&gt;&lt;C&gt;1&lt;/C&gt;&lt;D xsi:type="xsd:string"&gt;Bank of Ireland Group Plc&lt;/D&gt;&lt;/FQL&gt;&lt;FQL&gt;&lt;Q&gt;AD-NL^FG_COMPANY_NAME&lt;/Q&gt;&lt;R&gt;1&lt;/R&gt;&lt;C&gt;1&lt;/C&gt;&lt;D xsi:type="xsd:string"&gt;Koninklijke Ahold Delhaize N.V.&lt;/D&gt;&lt;/FQL&gt;&lt;FQL&gt;&lt;Q&gt;AGS-BE^FG_COMPANY_NAME&lt;/Q&gt;&lt;R&gt;1&lt;/R&gt;&lt;C&gt;1&lt;/C&gt;&lt;D xsi:type="xsd:string"&gt;ageas SA/NV&lt;/D&gt;&lt;/FQL&gt;&lt;FQL&gt;&lt;Q&gt;ABN-NL^FG_COMPANY_NAME&lt;/Q&gt;&lt;R&gt;1&lt;/R&gt;&lt;C&gt;1&lt;/C&gt;&lt;D xsi:type="xsd:string"&gt;ABN AMRO Bank N.V. Depositary receipts&lt;/D&gt;&lt;/FQL&gt;&lt;FQL&gt;&lt;Q&gt;TSCO-GB^FG_COMPANY_NAME&lt;/Q&gt;&lt;R&gt;1&lt;/R&gt;&lt;C&gt;1&lt;/C&gt;&lt;D xsi:type="xsd:string"&gt;Tesco PLC&lt;/D&gt;&lt;/FQL&gt;&lt;FQL&gt;&lt;Q&gt;GLE-FR^FG_COMPANY_NAME&lt;/Q&gt;&lt;R&gt;1&lt;/R&gt;&lt;C&gt;1&lt;/C&gt;&lt;D xsi:type="xsd:string"&gt;Societe Generale S.A. Class A&lt;/D&gt;&lt;/FQL&gt;&lt;FQL&gt;&lt;Q&gt;IMB-GB^FG_COMPANY_NAME&lt;/Q&gt;&lt;R&gt;1&lt;/R&gt;&lt;C&gt;1&lt;/C&gt;&lt;D xsi:type="xsd:string"&gt;Imperial Brands PLC&lt;/D&gt;&lt;/FQL&gt;&lt;FQL&gt;&lt;Q&gt;WPP-GB^FG_COMPANY_NAME&lt;/Q&gt;&lt;R&gt;1&lt;/R&gt;&lt;C&gt;1&lt;/C&gt;&lt;D xsi:type="xsd:string"&gt;WPP Plc&lt;/D&gt;&lt;/FQL&gt;&lt;FQL&gt;&lt;Q&gt;6752-JP^FG_COMPANY_NAME&lt;/Q&gt;&lt;R&gt;1&lt;/R&gt;&lt;C&gt;1&lt;/C&gt;&lt;D xsi:type="xsd:string"&gt;Panasonic Holdings Corporation&lt;/D&gt;&lt;/FQL&gt;&lt;FQL&gt;&lt;Q&gt;UHR-CH^FG_COMPANY_NAME&lt;/Q&gt;&lt;R&gt;1&lt;/R&gt;&lt;C&gt;1&lt;/C&gt;&lt;D xsi:type="xsd:string"&gt;Swatch Group Ltd. Bearer&lt;/D&gt;&lt;/FQL&gt;&lt;FQL&gt;&lt;Q&gt;4324-JP^FG_COMPANY_NAME&lt;/Q&gt;&lt;R&gt;1&lt;/R&gt;&lt;C&gt;1&lt;/C&gt;&lt;D xsi:type="xsd:string"&gt;Dentsu Group Inc.&lt;/D&gt;&lt;/FQL&gt;&lt;FQL&gt;&lt;Q&gt;RAND-NL^FG_COMPANY_NAME&lt;/Q&gt;&lt;R&gt;1&lt;/R&gt;&lt;C&gt;1&lt;/C&gt;&lt;D xsi:type="xsd:string"&gt;Randstad NV&lt;/D&gt;&lt;/FQL&gt;&lt;FQL&gt;&lt;Q&gt;BNP-FR^FG_COMPANY_NAME&lt;/Q&gt;&lt;R&gt;1&lt;/R&gt;&lt;C&gt;1&lt;/C&gt;&lt;D xsi:type="xsd:string"&gt;BNP Paribas S.A. Class A&lt;/D&gt;&lt;/FQL&gt;&lt;FQL&gt;&lt;Q&gt;CS-FR^FG_COMPANY_NAME&lt;/Q&gt;&lt;R&gt;1&lt;/R&gt;&lt;C&gt;1&lt;/C&gt;&lt;D xsi:type="xsd:string"&gt;AXA SA&lt;/D&gt;&lt;/FQL&gt;&lt;FQL&gt;&lt;Q&gt;AAL-GB^FG_COMPANY_NAME&lt;/Q&gt;&lt;R&gt;1&lt;/R&gt;&lt;C&gt;1&lt;/C&gt;&lt;D xsi:type="xsd:string"&gt;Anglo American plc&lt;/D&gt;&lt;/FQL&gt;&lt;FQL&gt;&lt;Q&gt;5108-JP^FG_COMPANY_NAME&lt;/Q&gt;&lt;R&gt;1&lt;/R&gt;&lt;C&gt;1&lt;/C&gt;&lt;D xsi:type="xsd:string"&gt;Bridgestone Corporation&lt;/D&gt;&lt;/FQL&gt;&lt;FQL&gt;&lt;Q&gt;BRBY-GB^FG_COMPANY_NAME&lt;/Q&gt;&lt;R&gt;1&lt;/R&gt;&lt;C&gt;1&lt;/C&gt;&lt;D xsi:type="xsd:string"&gt;Burberry Group plc&lt;/D&gt;&lt;/FQL&gt;&lt;FQL&gt;&lt;Q&gt;BLND-GB^FG_COMPANY_NAME&lt;/Q&gt;&lt;R&gt;1&lt;/R&gt;&lt;C&gt;1&lt;/C&gt;&lt;D xsi:type="xsd:string"&gt;British Land Company PLC&lt;/D&gt;&lt;/FQL&gt;&lt;FQL&gt;&lt;Q&gt;7459-JP^FG_COMPANY_NAME&lt;/Q&gt;&lt;R&gt;1&lt;/R&gt;&lt;C&gt;1&lt;/C&gt;&lt;D xsi:type="xsd:string"&gt;MEDIPAL HOLDINGS Corporation&lt;/D&gt;&lt;/FQL&gt;&lt;FQL&gt;&lt;Q&gt;6963-JP^FG_COMPANY_NAME&lt;/Q&gt;&lt;R&gt;1&lt;/R&gt;&lt;C&gt;1&lt;/C&gt;&lt;D xsi:type="xsd:string"&gt;ROHM Company Limited&lt;/D&gt;&lt;/FQL&gt;&lt;FQL&gt;&lt;Q&gt;BAS-DE^FG_COMPANY_NAME&lt;/Q&gt;&lt;R&gt;1&lt;/R&gt;&lt;C&gt;1&lt;/C&gt;&lt;D xsi:type="xsd:string"&gt;BASF SE&lt;/D&gt;&lt;/FQL&gt;&lt;FQL&gt;&lt;Q&gt;CA-FR^FG_COMPANY_NAME&lt;/Q&gt;&lt;R&gt;1&lt;/R&gt;&lt;C&gt;1&lt;/C&gt;&lt;D xsi:type="xsd:string"&gt;Carrefour SA&lt;/D&gt;&lt;/FQL&gt;&lt;FQL&gt;&lt;Q&gt;TX-US^FG_COMPANY_NAME&lt;/Q&gt;&lt;R&gt;1&lt;/R&gt;&lt;C&gt;1&lt;/C&gt;&lt;D xsi:type="xsd:string"&gt;Ternium S.A. Sponsored ADR&lt;/D&gt;&lt;/FQL&gt;&lt;FQL&gt;&lt;Q&gt;914-HK^FG_COMPANY_NAME&lt;/Q&gt;&lt;R&gt;1&lt;/R&gt;&lt;C&gt;1&lt;/C&gt;&lt;D xsi:type="xsd:string"&gt;Anhui Conch Cement Company Limited Class H&lt;/D&gt;&lt;/FQL&gt;&lt;FQL&gt;&lt;Q&gt;OMV-AT^FG_COMPANY_NAME&lt;/Q&gt;&lt;R&gt;1&lt;/R&gt;&lt;C&gt;1&lt;/C&gt;&lt;D xsi:type="xsd:string"&gt;OMV AG&lt;/D&gt;&lt;/FQL&gt;&lt;FQL&gt;&lt;Q&gt;VOW3-DE^FG_COMPANY_NAME&lt;/Q&gt;&lt;R&gt;1&lt;/R&gt;&lt;C&gt;1&lt;/C&gt;&lt;D xsi:type="xsd:string"&gt;Volkswagen AG Pref&lt;/D&gt;&lt;/FQL&gt;&lt;FQL&gt;&lt;Q&gt;ENI-IT^FG_COMPANY_NAME&lt;/Q&gt;&lt;R&gt;1&lt;/R&gt;&lt;C&gt;1&lt;/C&gt;&lt;D xsi:type="xsd:string"&gt;Eni S.p.A.&lt;/D&gt;&lt;/FQL&gt;&lt;FQL&gt;&lt;Q&gt;REP-ES^FG_COMPANY_NAME&lt;/Q&gt;&lt;R&gt;1&lt;/R&gt;&lt;C&gt;1&lt;/C&gt;&lt;D xsi:type="xsd:string"&gt;Repsol SA&lt;/D&gt;&lt;/FQL&gt;&lt;FQL&gt;&lt;Q&gt;LHA-DE^FG_COMPANY_NAME&lt;/Q&gt;&lt;R&gt;1&lt;/R&gt;&lt;C&gt;1&lt;/C&gt;&lt;D xsi:type="xsd:string"&gt;Deutsche Lufthansa AG&lt;/D&gt;&lt;/FQL&gt;&lt;FQL&gt;&lt;Q&gt;KER-FR^FG_COMPANY_NAME&lt;/Q&gt;&lt;R&gt;1&lt;/R&gt;&lt;C&gt;1&lt;/C&gt;&lt;D xsi:type="xsd:string"&gt;Kering SA&lt;/D&gt;&lt;/FQL&gt;&lt;FQL&gt;&lt;Q&gt;RNO-FR^FG_COMPANY_NAME&lt;/Q&gt;&lt;R&gt;1&lt;/R&gt;&lt;C&gt;1&lt;/C&gt;&lt;D xsi:type="xsd:string"&gt;Renault SA&lt;/D&gt;&lt;/FQL&gt;&lt;FQL&gt;&lt;Q&gt;9988-HK^FG_COMPANY_NAME&lt;/Q&gt;&lt;R&gt;1&lt;/R&gt;&lt;C&gt;1&lt;/C&gt;&lt;D xsi:type="xsd:string"&gt;Alibaba Group Holding Limited&lt;/D&gt;&lt;/FQL&gt;&lt;FQL&gt;&lt;Q&gt;RIO-GB^FG_COMPANY_NAME&lt;/Q&gt;&lt;R&gt;1&lt;/R&gt;&lt;C&gt;1&lt;/C&gt;&lt;D xsi:type="xsd:string"&gt;Rio Tinto plc&lt;/D&gt;&lt;/FQL&gt;&lt;FQL&gt;&lt;Q&gt;EVK-DE^FG_COMPANY_NAME&lt;/Q&gt;&lt;R&gt;1&lt;/R&gt;&lt;C&gt;1&lt;/C&gt;&lt;D xsi:type="xsd:string"&gt;Evonik Industries AG&lt;/D&gt;&lt;/FQL&gt;&lt;FQL&gt;&lt;Q&gt;HSBA-GB^FG_COMPANY_NAME&lt;/Q&gt;&lt;R&gt;1&lt;/R&gt;&lt;C&gt;1&lt;/C&gt;&lt;D xsi:type="xsd:string"&gt;HSBC Holdings Plc&lt;/D&gt;&lt;/FQL&gt;&lt;FQL&gt;&lt;Q&gt;UCG-IT^FG_COMPANY_NAME&lt;/Q&gt;&lt;R&gt;1&lt;/R&gt;&lt;C&gt;1&lt;/C&gt;&lt;D xsi:type="xsd:string"&gt;UniCredit S.p.A.&lt;/D&gt;&lt;/FQL&gt;&lt;FQL&gt;&lt;Q&gt;NWG-GB^FG_COMPANY_NAME&lt;/Q&gt;&lt;R&gt;1&lt;/R&gt;&lt;C&gt;1&lt;/C&gt;&lt;D xsi:type="xsd:string"&gt;NatWest Group Plc&lt;/D&gt;&lt;/FQL&gt;&lt;FQL&gt;&lt;Q&gt;9433-JP^FG_COMPANY_NAME&lt;/Q&gt;&lt;R&gt;1&lt;/R&gt;&lt;C&gt;1&lt;/C&gt;&lt;D xsi:type="xsd:string"&gt;KDDI Corporation&lt;/D&gt;&lt;/FQL&gt;&lt;FQL&gt;&lt;Q&gt;PETR4-BR^FG_COMPANY_NAME&lt;/Q&gt;&lt;R&gt;1&lt;/R&gt;&lt;C&gt;1&lt;/C&gt;&lt;D xsi:type="xsd:string"&gt;Petroleo Brasileiro SA Pfd&lt;/D&gt;&lt;/FQL&gt;&lt;/Schema&gt;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<sst xmlns="http://schemas.openxmlformats.org/spreadsheetml/2006/main" count="69" uniqueCount="65">
  <si>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</si>
  <si>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</si>
  <si>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</si>
  <si>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</si>
  <si>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</si>
  <si>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</si>
  <si>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</si>
  <si>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</si>
  <si>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</si>
  <si>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ADEN-CH</t>
  </si>
  <si>
    <t>ENI-IT</t>
  </si>
  <si>
    <t>7459-JP</t>
  </si>
  <si>
    <t>GLE-FR</t>
  </si>
  <si>
    <t>AAL-GB</t>
  </si>
  <si>
    <t>GSK-GB</t>
  </si>
  <si>
    <t>STAN-GB</t>
  </si>
  <si>
    <t>914-HK</t>
  </si>
  <si>
    <t>NWG-GB</t>
  </si>
  <si>
    <t>UHR-CH</t>
  </si>
  <si>
    <t>TX-US</t>
  </si>
  <si>
    <t>9404-JP</t>
  </si>
  <si>
    <t>BAS-DE</t>
  </si>
  <si>
    <t>105560-KR</t>
  </si>
  <si>
    <t>KER-FR</t>
  </si>
  <si>
    <t>REP-ES</t>
  </si>
  <si>
    <t>BT.A-GB</t>
  </si>
  <si>
    <t>AD-NL</t>
  </si>
  <si>
    <t>6963-JP</t>
  </si>
  <si>
    <t>VOD-GB</t>
  </si>
  <si>
    <t>BRBY-GB</t>
  </si>
  <si>
    <t>VOW3-DE</t>
  </si>
  <si>
    <t>CA-FR</t>
  </si>
  <si>
    <t>CON-DE</t>
  </si>
  <si>
    <t>SAN-FR</t>
  </si>
  <si>
    <t>4324-JP</t>
  </si>
  <si>
    <t>055550-KR</t>
  </si>
  <si>
    <t>WPP-GB</t>
  </si>
  <si>
    <t>2317-TW</t>
  </si>
  <si>
    <t>BARC-GB</t>
  </si>
  <si>
    <t>ROG-CH</t>
  </si>
  <si>
    <t>PRU-GB</t>
  </si>
  <si>
    <t>HEN3-DE</t>
  </si>
  <si>
    <t>BATS-GB</t>
  </si>
  <si>
    <t>BIRG-IE</t>
  </si>
  <si>
    <t>AGS-BE</t>
  </si>
  <si>
    <t>ABN-NL</t>
  </si>
  <si>
    <t>TSCO-GB</t>
  </si>
  <si>
    <t>IMB-GB</t>
  </si>
  <si>
    <t>6752-JP</t>
  </si>
  <si>
    <t>RAND-NL</t>
  </si>
  <si>
    <t>BNP-FR</t>
  </si>
  <si>
    <t>CS-FR</t>
  </si>
  <si>
    <t>RNO-FR</t>
  </si>
  <si>
    <t>9988-HK</t>
  </si>
  <si>
    <t>RIO-GB</t>
  </si>
  <si>
    <t>EVK-DE</t>
  </si>
  <si>
    <t>HSBA-GB</t>
  </si>
  <si>
    <t>UCG-IT</t>
  </si>
  <si>
    <t>9433-JP</t>
  </si>
  <si>
    <t>PETR4-BR</t>
  </si>
  <si>
    <t>5108-JP</t>
  </si>
  <si>
    <t>BLND-GB</t>
  </si>
  <si>
    <t>OMV-AT</t>
  </si>
  <si>
    <t>LHA-DE</t>
  </si>
  <si>
    <t>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</si>
</sst>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  <xf numFmtId="14" fontId="3" fillId="5" borderId="1" xfId="1" applyNumberFormat="1" applyFill="1" applyAlignment="1">
      <alignment horizontal="right" indent="2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Hon Hai Precision Industry Co., Ltd.</v>
      </c>
      <c r="C3" s="4" t="str">
        <f>IF(Backend!D29="", "", Backend!D29)</f>
        <v>GSK plc</v>
      </c>
      <c r="D3" s="4" t="str">
        <f>IF(Backend!E29="", "", Backend!E29)</f>
        <v>Continental AG</v>
      </c>
      <c r="E3" s="4" t="str">
        <f>IF(Backend!F29="", "", Backend!F29)</f>
        <v>Barclays PLC</v>
      </c>
      <c r="F3" s="4" t="str">
        <f>IF(Backend!G29="", "", Backend!G29)</f>
        <v>Sanofi SA</v>
      </c>
      <c r="G3" s="4" t="str">
        <f>IF(Backend!H29="", "", Backend!H29)</f>
        <v>Roche Holding Ltd Dividend Right Cert.</v>
      </c>
      <c r="H3" s="4" t="str">
        <f>IF(Backend!I29="", "", Backend!I29)</f>
        <v>Prudential plc</v>
      </c>
      <c r="I3" s="4" t="str">
        <f>IF(Backend!J29="", "", Backend!J29)</f>
        <v>BT Group plc</v>
      </c>
      <c r="J3" s="4" t="str">
        <f>IF(Backend!K29="", "", Backend!K29)</f>
        <v>Vodafone Group Public Limited Company</v>
      </c>
      <c r="K3" s="4" t="str">
        <f>IF(Backend!L29="", "", Backend!L29)</f>
        <v>Henkel AG &amp; Co. KGaA Pref</v>
      </c>
      <c r="L3" s="4" t="str">
        <f>IF(Backend!M29="", "", Backend!M29)</f>
        <v>KB Financial Group Inc.</v>
      </c>
      <c r="M3" s="4" t="str">
        <f>IF(Backend!N29="", "", Backend!N29)</f>
        <v>Nippon Television Holdings, Inc.</v>
      </c>
      <c r="N3" s="4" t="str">
        <f>IF(Backend!O29="", "", Backend!O29)</f>
        <v>British American Tobacco p.l.c.</v>
      </c>
      <c r="O3" s="4" t="str">
        <f>IF(Backend!P29="", "", Backend!P29)</f>
        <v>Shinhan Financial Group Co., Ltd.</v>
      </c>
      <c r="P3" s="4" t="str">
        <f>IF(Backend!Q29="", "", Backend!Q29)</f>
        <v>Standard Chartered PLC</v>
      </c>
      <c r="Q3" s="4" t="str">
        <f>IF(Backend!R29="", "", Backend!R29)</f>
        <v>Bank of Ireland Group Plc</v>
      </c>
      <c r="R3" s="4" t="str">
        <f>IF(Backend!S29="", "", Backend!S29)</f>
        <v>Koninklijke Ahold Delhaize N.V.</v>
      </c>
      <c r="S3" s="4" t="str">
        <f>IF(Backend!T29="", "", Backend!T29)</f>
        <v>ageas SA/NV</v>
      </c>
      <c r="T3" s="4" t="str">
        <f>IF(Backend!U29="", "", Backend!U29)</f>
        <v>ABN AMRO Bank N.V. Depositary receipts</v>
      </c>
      <c r="U3" s="4" t="str">
        <f>IF(Backend!V29="", "", Backend!V29)</f>
        <v>Tesco PLC</v>
      </c>
      <c r="V3" s="4" t="str">
        <f>IF(Backend!W29="", "", Backend!W29)</f>
        <v>Societe Generale S.A. Class A</v>
      </c>
      <c r="W3" s="4" t="str">
        <f>IF(Backend!X29="", "", Backend!X29)</f>
        <v>Imperial Brands PLC</v>
      </c>
      <c r="X3" s="4" t="str">
        <f>IF(Backend!Y29="", "", Backend!Y29)</f>
        <v>WPP Plc</v>
      </c>
      <c r="Y3" s="4" t="str">
        <f>IF(Backend!Z29="", "", Backend!Z29)</f>
        <v>Panasonic Holdings Corporation</v>
      </c>
      <c r="Z3" s="4" t="str">
        <f>IF(Backend!AA29="", "", Backend!AA29)</f>
        <v>Swatch Group Ltd. Bearer</v>
      </c>
      <c r="AA3" s="4" t="str">
        <f>IF(Backend!AB29="", "", Backend!AB29)</f>
        <v>Dentsu Group Inc.</v>
      </c>
      <c r="AB3" s="4" t="str">
        <f>IF(Backend!AC29="", "", Backend!AC29)</f>
        <v>Randstad NV</v>
      </c>
      <c r="AC3" s="4" t="str">
        <f>IF(Backend!AD29="", "", Backend!AD29)</f>
        <v>BNP Paribas S.A. Class A</v>
      </c>
      <c r="AD3" s="4" t="str">
        <f>IF(Backend!AE29="", "", Backend!AE29)</f>
        <v>AXA SA</v>
      </c>
      <c r="AE3" s="4" t="str">
        <f>IF(Backend!AF29="", "", Backend!AF29)</f>
        <v>Anglo American plc</v>
      </c>
      <c r="AF3" s="4" t="str">
        <f>IF(Backend!AG29="", "", Backend!AG29)</f>
        <v>Bridgestone Corporation</v>
      </c>
      <c r="AG3" s="4" t="str">
        <f>IF(Backend!AH29="", "", Backend!AH29)</f>
        <v>Burberry Group plc</v>
      </c>
      <c r="AH3" s="4" t="str">
        <f>IF(Backend!AI29="", "", Backend!AI29)</f>
        <v>British Land Company PLC</v>
      </c>
      <c r="AI3" s="4" t="str">
        <f>IF(Backend!AJ29="", "", Backend!AJ29)</f>
        <v>MEDIPAL HOLDINGS Corporation</v>
      </c>
      <c r="AJ3" s="4" t="str">
        <f>IF(Backend!AK29="", "", Backend!AK29)</f>
        <v>ROHM Company Limited</v>
      </c>
      <c r="AK3" s="4" t="str">
        <f>IF(Backend!AL29="", "", Backend!AL29)</f>
        <v>BASF SE</v>
      </c>
      <c r="AL3" s="4" t="str">
        <f>IF(Backend!AM29="", "", Backend!AM29)</f>
        <v>Carrefour SA</v>
      </c>
      <c r="AM3" s="4" t="str">
        <f>IF(Backend!AN29="", "", Backend!AN29)</f>
        <v>Ternium S.A. Sponsored ADR</v>
      </c>
      <c r="AN3" s="4" t="str">
        <f>IF(Backend!AO29="", "", Backend!AO29)</f>
        <v>Anhui Conch Cement Company Limited Class H</v>
      </c>
      <c r="AO3" s="4" t="str">
        <f>IF(Backend!AP29="", "", Backend!AP29)</f>
        <v>OMV AG</v>
      </c>
      <c r="AP3" s="4" t="str">
        <f>IF(Backend!AQ29="", "", Backend!AQ29)</f>
        <v>Volkswagen AG Pref</v>
      </c>
      <c r="AQ3" s="4" t="str">
        <f>IF(Backend!AR29="", "", Backend!AR29)</f>
        <v>Eni S.p.A.</v>
      </c>
      <c r="AR3" s="4" t="str">
        <f>IF(Backend!AS29="", "", Backend!AS29)</f>
        <v>Repsol SA</v>
      </c>
      <c r="AS3" s="4" t="str">
        <f>IF(Backend!AT29="", "", Backend!AT29)</f>
        <v>Deutsche Lufthansa AG</v>
      </c>
      <c r="AT3" s="4" t="str">
        <f>IF(Backend!AU29="", "", Backend!AU29)</f>
        <v>Kering SA</v>
      </c>
      <c r="AU3" s="4" t="str">
        <f>IF(Backend!AV29="", "", Backend!AV29)</f>
        <v>Renault SA</v>
      </c>
      <c r="AV3" s="4" t="str">
        <f>IF(Backend!AW29="", "", Backend!AW29)</f>
        <v>Alibaba Group Holding Limited</v>
      </c>
      <c r="AW3" s="4" t="str">
        <f>IF(Backend!AX29="", "", Backend!AX29)</f>
        <v>Rio Tinto plc</v>
      </c>
      <c r="AX3" s="4" t="str">
        <f>IF(Backend!AY29="", "", Backend!AY29)</f>
        <v>Evonik Industries AG</v>
      </c>
      <c r="AY3" s="4" t="str">
        <f>IF(Backend!AZ29="", "", Backend!AZ29)</f>
        <v>HSBC Holdings Plc</v>
      </c>
      <c r="AZ3" s="4" t="str">
        <f>IF(Backend!BA29="", "", Backend!BA29)</f>
        <v>UniCredit S.p.A.</v>
      </c>
      <c r="BA3" s="4" t="str">
        <f>IF(Backend!BB29="", "", Backend!BB29)</f>
        <v>NatWest Group Plc</v>
      </c>
      <c r="BB3" s="4" t="str">
        <f>IF(Backend!BC29="", "", Backend!BC29)</f>
        <v>KDDI Corporation</v>
      </c>
      <c r="BC3" s="4" t="str">
        <f>IF(Backend!BD29="", "", Backend!BD29)</f>
        <v>Petroleo Brasileiro SA Pfd</v>
      </c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Hon Hai Precision Industry Co., Ltd.</v>
      </c>
      <c r="B4">
        <f>IF(Backend!C31="", "", Backend!C31)</f>
        <v>1</v>
      </c>
      <c r="C4">
        <f>IF(Backend!D31="", "", Backend!D31)</f>
        <v>0.25112190000000001</v>
      </c>
      <c r="D4">
        <f>IF(Backend!E31="", "", Backend!E31)</f>
        <v>0.24445716000000001</v>
      </c>
      <c r="E4">
        <f>IF(Backend!F31="", "", Backend!F31)</f>
        <v>0.26918617</v>
      </c>
      <c r="F4">
        <f>IF(Backend!G31="", "", Backend!G31)</f>
        <v>0.21421039</v>
      </c>
      <c r="G4">
        <f>IF(Backend!H31="", "", Backend!H31)</f>
        <v>0.30595339999999999</v>
      </c>
      <c r="H4">
        <f>IF(Backend!I31="", "", Backend!I31)</f>
        <v>0.2709009</v>
      </c>
      <c r="I4">
        <f>IF(Backend!J31="", "", Backend!J31)</f>
        <v>0.20262066000000001</v>
      </c>
      <c r="J4">
        <f>IF(Backend!K31="", "", Backend!K31)</f>
        <v>9.7493715999999994E-2</v>
      </c>
      <c r="K4">
        <f>IF(Backend!L31="", "", Backend!L31)</f>
        <v>0.27617560000000002</v>
      </c>
      <c r="L4">
        <f>IF(Backend!M31="", "", Backend!M31)</f>
        <v>0.27928720000000001</v>
      </c>
      <c r="M4">
        <f>IF(Backend!N31="", "", Backend!N31)</f>
        <v>5.7696770000000001E-2</v>
      </c>
      <c r="N4">
        <f>IF(Backend!O31="", "", Backend!O31)</f>
        <v>9.3237600000000004E-3</v>
      </c>
      <c r="O4">
        <f>IF(Backend!P31="", "", Backend!P31)</f>
        <v>0.32412334999999998</v>
      </c>
      <c r="P4">
        <f>IF(Backend!Q31="", "", Backend!Q31)</f>
        <v>0.27744534999999998</v>
      </c>
      <c r="Q4">
        <f>IF(Backend!R31="", "", Backend!R31)</f>
        <v>0.30242920000000001</v>
      </c>
      <c r="R4">
        <f>IF(Backend!S31="", "", Backend!S31)</f>
        <v>0.15374705</v>
      </c>
      <c r="S4">
        <f>IF(Backend!T31="", "", Backend!T31)</f>
        <v>0.23169256999999999</v>
      </c>
      <c r="T4">
        <f>IF(Backend!U31="", "", Backend!U31)</f>
        <v>0.23839998000000001</v>
      </c>
      <c r="U4">
        <f>IF(Backend!V31="", "", Backend!V31)</f>
        <v>4.2678997000000003E-2</v>
      </c>
      <c r="V4">
        <f>IF(Backend!W31="", "", Backend!W31)</f>
        <v>0.20377572999999999</v>
      </c>
      <c r="W4">
        <f>IF(Backend!X31="", "", Backend!X31)</f>
        <v>6.5575226000000005E-4</v>
      </c>
      <c r="X4">
        <f>IF(Backend!Y31="", "", Backend!Y31)</f>
        <v>0.22910605000000001</v>
      </c>
      <c r="Y4">
        <f>IF(Backend!Z31="", "", Backend!Z31)</f>
        <v>0.2613799</v>
      </c>
      <c r="Z4">
        <f>IF(Backend!AA31="", "", Backend!AA31)</f>
        <v>0.19546789000000001</v>
      </c>
      <c r="AA4">
        <f>IF(Backend!AB31="", "", Backend!AB31)</f>
        <v>0.17681464999999999</v>
      </c>
      <c r="AB4">
        <f>IF(Backend!AC31="", "", Backend!AC31)</f>
        <v>0.32626050000000001</v>
      </c>
      <c r="AC4">
        <f>IF(Backend!AD31="", "", Backend!AD31)</f>
        <v>0.23799117</v>
      </c>
      <c r="AD4">
        <f>IF(Backend!AE31="", "", Backend!AE31)</f>
        <v>0.23996168000000001</v>
      </c>
      <c r="AE4">
        <f>IF(Backend!AF31="", "", Backend!AF31)</f>
        <v>0.26287224999999997</v>
      </c>
      <c r="AF4">
        <f>IF(Backend!AG31="", "", Backend!AG31)</f>
        <v>0.25905003999999998</v>
      </c>
      <c r="AG4">
        <f>IF(Backend!AH31="", "", Backend!AH31)</f>
        <v>0.13056317000000001</v>
      </c>
      <c r="AH4">
        <f>IF(Backend!AI31="", "", Backend!AI31)</f>
        <v>0.25532448000000002</v>
      </c>
      <c r="AI4">
        <f>IF(Backend!AJ31="", "", Backend!AJ31)</f>
        <v>0.14228740000000001</v>
      </c>
      <c r="AJ4">
        <f>IF(Backend!AK31="", "", Backend!AK31)</f>
        <v>0.36454055000000002</v>
      </c>
      <c r="AK4">
        <f>IF(Backend!AL31="", "", Backend!AL31)</f>
        <v>0.29286292000000003</v>
      </c>
      <c r="AL4">
        <f>IF(Backend!AM31="", "", Backend!AM31)</f>
        <v>0.15665248000000001</v>
      </c>
      <c r="AM4">
        <f>IF(Backend!AN31="", "", Backend!AN31)</f>
        <v>3.0743906000000001E-2</v>
      </c>
      <c r="AN4">
        <f>IF(Backend!AO31="", "", Backend!AO31)</f>
        <v>-1.6310379E-2</v>
      </c>
      <c r="AO4">
        <f>IF(Backend!AP31="", "", Backend!AP31)</f>
        <v>0.13457458</v>
      </c>
      <c r="AP4">
        <f>IF(Backend!AQ31="", "", Backend!AQ31)</f>
        <v>0.26559377000000001</v>
      </c>
      <c r="AQ4">
        <f>IF(Backend!AR31="", "", Backend!AR31)</f>
        <v>0.28687190000000001</v>
      </c>
      <c r="AR4">
        <f>IF(Backend!AS31="", "", Backend!AS31)</f>
        <v>0.18389446000000001</v>
      </c>
      <c r="AS4">
        <f>IF(Backend!AT31="", "", Backend!AT31)</f>
        <v>0.25363845000000002</v>
      </c>
      <c r="AT4">
        <f>IF(Backend!AU31="", "", Backend!AU31)</f>
        <v>0.23201848999999999</v>
      </c>
      <c r="AU4">
        <f>IF(Backend!AV31="", "", Backend!AV31)</f>
        <v>0.24100028000000001</v>
      </c>
      <c r="AV4">
        <f>IF(Backend!AW31="", "", Backend!AW31)</f>
        <v>0.19976975</v>
      </c>
      <c r="AW4">
        <f>IF(Backend!AX31="", "", Backend!AX31)</f>
        <v>0.25497332</v>
      </c>
      <c r="AX4">
        <f>IF(Backend!AY31="", "", Backend!AY31)</f>
        <v>0.18015302999999999</v>
      </c>
      <c r="AY4">
        <f>IF(Backend!AZ31="", "", Backend!AZ31)</f>
        <v>0.29679167000000001</v>
      </c>
      <c r="AZ4">
        <f>IF(Backend!BA31="", "", Backend!BA31)</f>
        <v>0.2343548</v>
      </c>
      <c r="BA4">
        <f>IF(Backend!BB31="", "", Backend!BB31)</f>
        <v>0.18913770999999999</v>
      </c>
      <c r="BB4">
        <f>IF(Backend!BC31="", "", Backend!BC31)</f>
        <v>9.0487449999999997E-2</v>
      </c>
      <c r="BC4">
        <f>IF(Backend!BD31="", "", Backend!BD31)</f>
        <v>9.3344084999999993E-2</v>
      </c>
      <c r="BD4" t="str">
        <f>IF(Backend!BE31="", "", Backend!BE31)</f>
        <v/>
      </c>
      <c r="BE4" t="str">
        <f>IF(Backend!BF31="", "", Backend!BF31)</f>
        <v/>
      </c>
      <c r="BF4" t="str">
        <f>IF(Backend!BG31="", "", Backend!BG31)</f>
        <v/>
      </c>
      <c r="BG4" t="str">
        <f>IF(Backend!BH31="", "", Backend!BH31)</f>
        <v/>
      </c>
      <c r="BH4" t="str">
        <f>IF(Backend!BI31="", "", Backend!BI31)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GSK plc</v>
      </c>
      <c r="B5">
        <f>IF(Backend!C32="", "", Backend!C32)</f>
        <v>0.25112190000000001</v>
      </c>
      <c r="C5">
        <f>IF(Backend!D32="", "", Backend!D32)</f>
        <v>1</v>
      </c>
      <c r="D5">
        <f>IF(Backend!E32="", "", Backend!E32)</f>
        <v>0.16358162000000001</v>
      </c>
      <c r="E5">
        <f>IF(Backend!F32="", "", Backend!F32)</f>
        <v>0.2191718</v>
      </c>
      <c r="F5">
        <f>IF(Backend!G32="", "", Backend!G32)</f>
        <v>0.59051120000000001</v>
      </c>
      <c r="G5">
        <f>IF(Backend!H32="", "", Backend!H32)</f>
        <v>0.62689923999999997</v>
      </c>
      <c r="H5">
        <f>IF(Backend!I32="", "", Backend!I32)</f>
        <v>0.24672619000000001</v>
      </c>
      <c r="I5">
        <f>IF(Backend!J32="", "", Backend!J32)</f>
        <v>0.38621085999999999</v>
      </c>
      <c r="J5">
        <f>IF(Backend!K32="", "", Backend!K32)</f>
        <v>0.40807719999999997</v>
      </c>
      <c r="K5">
        <f>IF(Backend!L32="", "", Backend!L32)</f>
        <v>0.36851834999999999</v>
      </c>
      <c r="L5">
        <f>IF(Backend!M32="", "", Backend!M32)</f>
        <v>0.16887173</v>
      </c>
      <c r="M5">
        <f>IF(Backend!N32="", "", Backend!N32)</f>
        <v>0.23129733</v>
      </c>
      <c r="N5">
        <f>IF(Backend!O32="", "", Backend!O32)</f>
        <v>0.30663173999999999</v>
      </c>
      <c r="O5">
        <f>IF(Backend!P32="", "", Backend!P32)</f>
        <v>0.23434864</v>
      </c>
      <c r="P5">
        <f>IF(Backend!Q32="", "", Backend!Q32)</f>
        <v>0.19595351999999999</v>
      </c>
      <c r="Q5">
        <f>IF(Backend!R32="", "", Backend!R32)</f>
        <v>0.27419346999999999</v>
      </c>
      <c r="R5">
        <f>IF(Backend!S32="", "", Backend!S32)</f>
        <v>0.33582336000000002</v>
      </c>
      <c r="S5">
        <f>IF(Backend!T32="", "", Backend!T32)</f>
        <v>0.35078042999999998</v>
      </c>
      <c r="T5">
        <f>IF(Backend!U32="", "", Backend!U32)</f>
        <v>0.23431805</v>
      </c>
      <c r="U5">
        <f>IF(Backend!V32="", "", Backend!V32)</f>
        <v>0.24602727999999999</v>
      </c>
      <c r="V5">
        <f>IF(Backend!W32="", "", Backend!W32)</f>
        <v>0.16200371</v>
      </c>
      <c r="W5">
        <f>IF(Backend!X32="", "", Backend!X32)</f>
        <v>0.29874682000000002</v>
      </c>
      <c r="X5">
        <f>IF(Backend!Y32="", "", Backend!Y32)</f>
        <v>0.23082240000000001</v>
      </c>
      <c r="Y5">
        <f>IF(Backend!Z32="", "", Backend!Z32)</f>
        <v>0.34587119999999999</v>
      </c>
      <c r="Z5">
        <f>IF(Backend!AA32="", "", Backend!AA32)</f>
        <v>0.25490752</v>
      </c>
      <c r="AA5">
        <f>IF(Backend!AB32="", "", Backend!AB32)</f>
        <v>0.29724487999999999</v>
      </c>
      <c r="AB5">
        <f>IF(Backend!AC32="", "", Backend!AC32)</f>
        <v>0.25086910000000001</v>
      </c>
      <c r="AC5">
        <f>IF(Backend!AD32="", "", Backend!AD32)</f>
        <v>0.26562053000000002</v>
      </c>
      <c r="AD5">
        <f>IF(Backend!AE32="", "", Backend!AE32)</f>
        <v>0.31911244999999999</v>
      </c>
      <c r="AE5">
        <f>IF(Backend!AF32="", "", Backend!AF32)</f>
        <v>0.21891186000000001</v>
      </c>
      <c r="AF5">
        <f>IF(Backend!AG32="", "", Backend!AG32)</f>
        <v>0.31933623999999999</v>
      </c>
      <c r="AG5">
        <f>IF(Backend!AH32="", "", Backend!AH32)</f>
        <v>0.14052381999999999</v>
      </c>
      <c r="AH5">
        <f>IF(Backend!AI32="", "", Backend!AI32)</f>
        <v>0.45601219999999998</v>
      </c>
      <c r="AI5">
        <f>IF(Backend!AJ32="", "", Backend!AJ32)</f>
        <v>0.2759276</v>
      </c>
      <c r="AJ5">
        <f>IF(Backend!AK32="", "", Backend!AK32)</f>
        <v>0.24200404</v>
      </c>
      <c r="AK5">
        <f>IF(Backend!AL32="", "", Backend!AL32)</f>
        <v>0.25432807000000002</v>
      </c>
      <c r="AL5">
        <f>IF(Backend!AM32="", "", Backend!AM32)</f>
        <v>0.17794839000000001</v>
      </c>
      <c r="AM5">
        <f>IF(Backend!AN32="", "", Backend!AN32)</f>
        <v>2.8160607000000001E-2</v>
      </c>
      <c r="AN5">
        <f>IF(Backend!AO32="", "", Backend!AO32)</f>
        <v>0.1540144</v>
      </c>
      <c r="AO5">
        <f>IF(Backend!AP32="", "", Backend!AP32)</f>
        <v>0.22465104999999999</v>
      </c>
      <c r="AP5">
        <f>IF(Backend!AQ32="", "", Backend!AQ32)</f>
        <v>0.19215138000000001</v>
      </c>
      <c r="AQ5">
        <f>IF(Backend!AR32="", "", Backend!AR32)</f>
        <v>0.29637152</v>
      </c>
      <c r="AR5">
        <f>IF(Backend!AS32="", "", Backend!AS32)</f>
        <v>0.19436954000000001</v>
      </c>
      <c r="AS5">
        <f>IF(Backend!AT32="", "", Backend!AT32)</f>
        <v>0.17567089</v>
      </c>
      <c r="AT5">
        <f>IF(Backend!AU32="", "", Backend!AU32)</f>
        <v>0.16766565</v>
      </c>
      <c r="AU5">
        <f>IF(Backend!AV32="", "", Backend!AV32)</f>
        <v>6.8504999999999996E-2</v>
      </c>
      <c r="AV5">
        <f>IF(Backend!AW32="", "", Backend!AW32)</f>
        <v>9.7555390000000006E-2</v>
      </c>
      <c r="AW5">
        <f>IF(Backend!AX32="", "", Backend!AX32)</f>
        <v>0.29273329999999997</v>
      </c>
      <c r="AX5">
        <f>IF(Backend!AY32="", "", Backend!AY32)</f>
        <v>0.27643060000000003</v>
      </c>
      <c r="AY5">
        <f>IF(Backend!AZ32="", "", Backend!AZ32)</f>
        <v>0.22627562000000001</v>
      </c>
      <c r="AZ5">
        <f>IF(Backend!BA32="", "", Backend!BA32)</f>
        <v>0.24060090000000001</v>
      </c>
      <c r="BA5">
        <f>IF(Backend!BB32="", "", Backend!BB32)</f>
        <v>0.25406679999999998</v>
      </c>
      <c r="BB5">
        <f>IF(Backend!BC32="", "", Backend!BC32)</f>
        <v>0.22046214</v>
      </c>
      <c r="BC5">
        <f>IF(Backend!BD32="", "", Backend!BD32)</f>
        <v>6.6088789999999994E-2</v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Continental AG</v>
      </c>
      <c r="B6">
        <f>IF(Backend!C33="", "", Backend!C33)</f>
        <v>0.24445716000000001</v>
      </c>
      <c r="C6">
        <f>IF(Backend!D33="", "", Backend!D33)</f>
        <v>0.16358162000000001</v>
      </c>
      <c r="D6">
        <f>IF(Backend!E33="", "", Backend!E33)</f>
        <v>1</v>
      </c>
      <c r="E6">
        <f>IF(Backend!F33="", "", Backend!F33)</f>
        <v>0.37114150000000001</v>
      </c>
      <c r="F6">
        <f>IF(Backend!G33="", "", Backend!G33)</f>
        <v>0.27526709999999999</v>
      </c>
      <c r="G6">
        <f>IF(Backend!H33="", "", Backend!H33)</f>
        <v>0.24799724000000001</v>
      </c>
      <c r="H6">
        <f>IF(Backend!I33="", "", Backend!I33)</f>
        <v>0.39079306000000003</v>
      </c>
      <c r="I6">
        <f>IF(Backend!J33="", "", Backend!J33)</f>
        <v>0.12259447</v>
      </c>
      <c r="J6">
        <f>IF(Backend!K33="", "", Backend!K33)</f>
        <v>0.17855693</v>
      </c>
      <c r="K6">
        <f>IF(Backend!L33="", "", Backend!L33)</f>
        <v>0.2630324</v>
      </c>
      <c r="L6">
        <f>IF(Backend!M33="", "", Backend!M33)</f>
        <v>8.3339339999999998E-2</v>
      </c>
      <c r="M6">
        <f>IF(Backend!N33="", "", Backend!N33)</f>
        <v>0.105130285</v>
      </c>
      <c r="N6">
        <f>IF(Backend!O33="", "", Backend!O33)</f>
        <v>-3.5203863000000002E-2</v>
      </c>
      <c r="O6">
        <f>IF(Backend!P33="", "", Backend!P33)</f>
        <v>0.122267865</v>
      </c>
      <c r="P6">
        <f>IF(Backend!Q33="", "", Backend!Q33)</f>
        <v>0.26046059999999999</v>
      </c>
      <c r="Q6">
        <f>IF(Backend!R33="", "", Backend!R33)</f>
        <v>0.36773494000000001</v>
      </c>
      <c r="R6">
        <f>IF(Backend!S33="", "", Backend!S33)</f>
        <v>0.20681098000000001</v>
      </c>
      <c r="S6">
        <f>IF(Backend!T33="", "", Backend!T33)</f>
        <v>0.30584070000000002</v>
      </c>
      <c r="T6">
        <f>IF(Backend!U33="", "", Backend!U33)</f>
        <v>0.37437049999999999</v>
      </c>
      <c r="U6">
        <f>IF(Backend!V33="", "", Backend!V33)</f>
        <v>1.0998653000000001E-2</v>
      </c>
      <c r="V6">
        <f>IF(Backend!W33="", "", Backend!W33)</f>
        <v>0.30691358000000002</v>
      </c>
      <c r="W6">
        <f>IF(Backend!X33="", "", Backend!X33)</f>
        <v>4.2965557000000001E-2</v>
      </c>
      <c r="X6">
        <f>IF(Backend!Y33="", "", Backend!Y33)</f>
        <v>0.25343262999999999</v>
      </c>
      <c r="Y6">
        <f>IF(Backend!Z33="", "", Backend!Z33)</f>
        <v>0.21095306999999999</v>
      </c>
      <c r="Z6">
        <f>IF(Backend!AA33="", "", Backend!AA33)</f>
        <v>0.37131888000000002</v>
      </c>
      <c r="AA6">
        <f>IF(Backend!AB33="", "", Backend!AB33)</f>
        <v>9.7280610000000003E-2</v>
      </c>
      <c r="AB6">
        <f>IF(Backend!AC33="", "", Backend!AC33)</f>
        <v>0.43041010000000002</v>
      </c>
      <c r="AC6">
        <f>IF(Backend!AD33="", "", Backend!AD33)</f>
        <v>0.37498515999999998</v>
      </c>
      <c r="AD6">
        <f>IF(Backend!AE33="", "", Backend!AE33)</f>
        <v>0.33425825999999997</v>
      </c>
      <c r="AE6">
        <f>IF(Backend!AF33="", "", Backend!AF33)</f>
        <v>0.34029337999999998</v>
      </c>
      <c r="AF6">
        <f>IF(Backend!AG33="", "", Backend!AG33)</f>
        <v>0.27851989999999999</v>
      </c>
      <c r="AG6">
        <f>IF(Backend!AH33="", "", Backend!AH33)</f>
        <v>0.2718546</v>
      </c>
      <c r="AH6">
        <f>IF(Backend!AI33="", "", Backend!AI33)</f>
        <v>0.2786941</v>
      </c>
      <c r="AI6">
        <f>IF(Backend!AJ33="", "", Backend!AJ33)</f>
        <v>0.21198397999999999</v>
      </c>
      <c r="AJ6">
        <f>IF(Backend!AK33="", "", Backend!AK33)</f>
        <v>0.2953655</v>
      </c>
      <c r="AK6">
        <f>IF(Backend!AL33="", "", Backend!AL33)</f>
        <v>0.61608404000000005</v>
      </c>
      <c r="AL6">
        <f>IF(Backend!AM33="", "", Backend!AM33)</f>
        <v>0.25645225999999999</v>
      </c>
      <c r="AM6">
        <f>IF(Backend!AN33="", "", Backend!AN33)</f>
        <v>0.14841971000000001</v>
      </c>
      <c r="AN6">
        <f>IF(Backend!AO33="", "", Backend!AO33)</f>
        <v>4.6682116000000003E-2</v>
      </c>
      <c r="AO6">
        <f>IF(Backend!AP33="", "", Backend!AP33)</f>
        <v>0.31213071999999997</v>
      </c>
      <c r="AP6">
        <f>IF(Backend!AQ33="", "", Backend!AQ33)</f>
        <v>0.56461859999999997</v>
      </c>
      <c r="AQ6">
        <f>IF(Backend!AR33="", "", Backend!AR33)</f>
        <v>0.43204236000000001</v>
      </c>
      <c r="AR6">
        <f>IF(Backend!AS33="", "", Backend!AS33)</f>
        <v>0.32520387000000001</v>
      </c>
      <c r="AS6">
        <f>IF(Backend!AT33="", "", Backend!AT33)</f>
        <v>0.46846965000000002</v>
      </c>
      <c r="AT6">
        <f>IF(Backend!AU33="", "", Backend!AU33)</f>
        <v>0.37106307999999999</v>
      </c>
      <c r="AU6">
        <f>IF(Backend!AV33="", "", Backend!AV33)</f>
        <v>0.40668523000000001</v>
      </c>
      <c r="AV6">
        <f>IF(Backend!AW33="", "", Backend!AW33)</f>
        <v>0.15927061000000001</v>
      </c>
      <c r="AW6">
        <f>IF(Backend!AX33="", "", Backend!AX33)</f>
        <v>0.26503932000000002</v>
      </c>
      <c r="AX6">
        <f>IF(Backend!AY33="", "", Backend!AY33)</f>
        <v>0.57226043999999998</v>
      </c>
      <c r="AY6">
        <f>IF(Backend!AZ33="", "", Backend!AZ33)</f>
        <v>0.26819326999999998</v>
      </c>
      <c r="AZ6">
        <f>IF(Backend!BA33="", "", Backend!BA33)</f>
        <v>0.42777783000000003</v>
      </c>
      <c r="BA6">
        <f>IF(Backend!BB33="", "", Backend!BB33)</f>
        <v>0.30635386999999997</v>
      </c>
      <c r="BB6">
        <f>IF(Backend!BC33="", "", Backend!BC33)</f>
        <v>9.3819769999999997E-2</v>
      </c>
      <c r="BC6">
        <f>IF(Backend!BD33="", "", Backend!BD33)</f>
        <v>0.12121844</v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Barclays PLC</v>
      </c>
      <c r="B7">
        <f>IF(Backend!C34="", "", Backend!C34)</f>
        <v>0.26918617</v>
      </c>
      <c r="C7">
        <f>IF(Backend!D34="", "", Backend!D34)</f>
        <v>0.2191718</v>
      </c>
      <c r="D7">
        <f>IF(Backend!E34="", "", Backend!E34)</f>
        <v>0.37114150000000001</v>
      </c>
      <c r="E7">
        <f>IF(Backend!F34="", "", Backend!F34)</f>
        <v>1</v>
      </c>
      <c r="F7">
        <f>IF(Backend!G34="", "", Backend!G34)</f>
        <v>0.22788298000000001</v>
      </c>
      <c r="G7">
        <f>IF(Backend!H34="", "", Backend!H34)</f>
        <v>0.24493213</v>
      </c>
      <c r="H7">
        <f>IF(Backend!I34="", "", Backend!I34)</f>
        <v>0.58308846000000003</v>
      </c>
      <c r="I7">
        <f>IF(Backend!J34="", "", Backend!J34)</f>
        <v>0.20440011999999999</v>
      </c>
      <c r="J7">
        <f>IF(Backend!K34="", "", Backend!K34)</f>
        <v>0.26080424000000002</v>
      </c>
      <c r="K7">
        <f>IF(Backend!L34="", "", Backend!L34)</f>
        <v>0.15249098999999999</v>
      </c>
      <c r="L7">
        <f>IF(Backend!M34="", "", Backend!M34)</f>
        <v>0.22749820000000001</v>
      </c>
      <c r="M7">
        <f>IF(Backend!N34="", "", Backend!N34)</f>
        <v>9.9655380000000002E-2</v>
      </c>
      <c r="N7">
        <f>IF(Backend!O34="", "", Backend!O34)</f>
        <v>0.16391127999999999</v>
      </c>
      <c r="O7">
        <f>IF(Backend!P34="", "", Backend!P34)</f>
        <v>0.23482536000000001</v>
      </c>
      <c r="P7">
        <f>IF(Backend!Q34="", "", Backend!Q34)</f>
        <v>0.69445429999999997</v>
      </c>
      <c r="Q7">
        <f>IF(Backend!R34="", "", Backend!R34)</f>
        <v>0.55422979999999999</v>
      </c>
      <c r="R7">
        <f>IF(Backend!S34="", "", Backend!S34)</f>
        <v>0.16893730000000001</v>
      </c>
      <c r="S7">
        <f>IF(Backend!T34="", "", Backend!T34)</f>
        <v>0.48482448</v>
      </c>
      <c r="T7">
        <f>IF(Backend!U34="", "", Backend!U34)</f>
        <v>0.55726503999999999</v>
      </c>
      <c r="U7">
        <f>IF(Backend!V34="", "", Backend!V34)</f>
        <v>9.9806524999999993E-2</v>
      </c>
      <c r="V7">
        <f>IF(Backend!W34="", "", Backend!W34)</f>
        <v>0.58696550000000003</v>
      </c>
      <c r="W7">
        <f>IF(Backend!X34="", "", Backend!X34)</f>
        <v>0.14960672999999999</v>
      </c>
      <c r="X7">
        <f>IF(Backend!Y34="", "", Backend!Y34)</f>
        <v>0.34431233999999999</v>
      </c>
      <c r="Y7">
        <f>IF(Backend!Z34="", "", Backend!Z34)</f>
        <v>0.28807026000000002</v>
      </c>
      <c r="Z7">
        <f>IF(Backend!AA34="", "", Backend!AA34)</f>
        <v>0.29059826999999999</v>
      </c>
      <c r="AA7">
        <f>IF(Backend!AB34="", "", Backend!AB34)</f>
        <v>0.13128872</v>
      </c>
      <c r="AB7">
        <f>IF(Backend!AC34="", "", Backend!AC34)</f>
        <v>0.49388104999999999</v>
      </c>
      <c r="AC7">
        <f>IF(Backend!AD34="", "", Backend!AD34)</f>
        <v>0.63036199999999998</v>
      </c>
      <c r="AD7">
        <f>IF(Backend!AE34="", "", Backend!AE34)</f>
        <v>0.55104357000000004</v>
      </c>
      <c r="AE7">
        <f>IF(Backend!AF34="", "", Backend!AF34)</f>
        <v>0.47747212999999999</v>
      </c>
      <c r="AF7">
        <f>IF(Backend!AG34="", "", Backend!AG34)</f>
        <v>0.30585659999999998</v>
      </c>
      <c r="AG7">
        <f>IF(Backend!AH34="", "", Backend!AH34)</f>
        <v>0.25200850000000002</v>
      </c>
      <c r="AH7">
        <f>IF(Backend!AI34="", "", Backend!AI34)</f>
        <v>0.33687626999999998</v>
      </c>
      <c r="AI7">
        <f>IF(Backend!AJ34="", "", Backend!AJ34)</f>
        <v>9.1672619999999996E-2</v>
      </c>
      <c r="AJ7">
        <f>IF(Backend!AK34="", "", Backend!AK34)</f>
        <v>0.24304955</v>
      </c>
      <c r="AK7">
        <f>IF(Backend!AL34="", "", Backend!AL34)</f>
        <v>0.43815730000000003</v>
      </c>
      <c r="AL7">
        <f>IF(Backend!AM34="", "", Backend!AM34)</f>
        <v>0.16361754000000001</v>
      </c>
      <c r="AM7">
        <f>IF(Backend!AN34="", "", Backend!AN34)</f>
        <v>0.20434867000000001</v>
      </c>
      <c r="AN7">
        <f>IF(Backend!AO34="", "", Backend!AO34)</f>
        <v>0.14547618000000001</v>
      </c>
      <c r="AO7">
        <f>IF(Backend!AP34="", "", Backend!AP34)</f>
        <v>0.32413688000000002</v>
      </c>
      <c r="AP7">
        <f>IF(Backend!AQ34="", "", Backend!AQ34)</f>
        <v>0.32338428000000002</v>
      </c>
      <c r="AQ7">
        <f>IF(Backend!AR34="", "", Backend!AR34)</f>
        <v>0.36867028000000002</v>
      </c>
      <c r="AR7">
        <f>IF(Backend!AS34="", "", Backend!AS34)</f>
        <v>0.35822876999999997</v>
      </c>
      <c r="AS7">
        <f>IF(Backend!AT34="", "", Backend!AT34)</f>
        <v>0.3968315</v>
      </c>
      <c r="AT7">
        <f>IF(Backend!AU34="", "", Backend!AU34)</f>
        <v>0.24215744</v>
      </c>
      <c r="AU7">
        <f>IF(Backend!AV34="", "", Backend!AV34)</f>
        <v>0.25575745</v>
      </c>
      <c r="AV7">
        <f>IF(Backend!AW34="", "", Backend!AW34)</f>
        <v>0.22378973999999999</v>
      </c>
      <c r="AW7">
        <f>IF(Backend!AX34="", "", Backend!AX34)</f>
        <v>0.3675775</v>
      </c>
      <c r="AX7">
        <f>IF(Backend!AY34="", "", Backend!AY34)</f>
        <v>0.42238842999999998</v>
      </c>
      <c r="AY7">
        <f>IF(Backend!AZ34="", "", Backend!AZ34)</f>
        <v>0.69532950000000004</v>
      </c>
      <c r="AZ7">
        <f>IF(Backend!BA34="", "", Backend!BA34)</f>
        <v>0.64454549999999999</v>
      </c>
      <c r="BA7">
        <f>IF(Backend!BB34="", "", Backend!BB34)</f>
        <v>0.81121900000000002</v>
      </c>
      <c r="BB7">
        <f>IF(Backend!BC34="", "", Backend!BC34)</f>
        <v>7.6267059999999996E-3</v>
      </c>
      <c r="BC7">
        <f>IF(Backend!BD34="", "", Backend!BD34)</f>
        <v>7.0079509999999998E-2</v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Sanofi SA</v>
      </c>
      <c r="B8">
        <f>IF(Backend!C35="", "", Backend!C35)</f>
        <v>0.21421039</v>
      </c>
      <c r="C8">
        <f>IF(Backend!D35="", "", Backend!D35)</f>
        <v>0.59051120000000001</v>
      </c>
      <c r="D8">
        <f>IF(Backend!E35="", "", Backend!E35)</f>
        <v>0.27526709999999999</v>
      </c>
      <c r="E8">
        <f>IF(Backend!F35="", "", Backend!F35)</f>
        <v>0.22788298000000001</v>
      </c>
      <c r="F8">
        <f>IF(Backend!G35="", "", Backend!G35)</f>
        <v>1</v>
      </c>
      <c r="G8">
        <f>IF(Backend!H35="", "", Backend!H35)</f>
        <v>0.59456414000000002</v>
      </c>
      <c r="H8">
        <f>IF(Backend!I35="", "", Backend!I35)</f>
        <v>0.24622768</v>
      </c>
      <c r="I8">
        <f>IF(Backend!J35="", "", Backend!J35)</f>
        <v>0.27900589999999997</v>
      </c>
      <c r="J8">
        <f>IF(Backend!K35="", "", Backend!K35)</f>
        <v>0.35762453</v>
      </c>
      <c r="K8">
        <f>IF(Backend!L35="", "", Backend!L35)</f>
        <v>0.36219810000000002</v>
      </c>
      <c r="L8">
        <f>IF(Backend!M35="", "", Backend!M35)</f>
        <v>0.14281468</v>
      </c>
      <c r="M8">
        <f>IF(Backend!N35="", "", Backend!N35)</f>
        <v>0.24441767</v>
      </c>
      <c r="N8">
        <f>IF(Backend!O35="", "", Backend!O35)</f>
        <v>0.18713176000000001</v>
      </c>
      <c r="O8">
        <f>IF(Backend!P35="", "", Backend!P35)</f>
        <v>0.18611440000000001</v>
      </c>
      <c r="P8">
        <f>IF(Backend!Q35="", "", Backend!Q35)</f>
        <v>0.21109301</v>
      </c>
      <c r="Q8">
        <f>IF(Backend!R35="", "", Backend!R35)</f>
        <v>0.29676940000000002</v>
      </c>
      <c r="R8">
        <f>IF(Backend!S35="", "", Backend!S35)</f>
        <v>0.29427439999999999</v>
      </c>
      <c r="S8">
        <f>IF(Backend!T35="", "", Backend!T35)</f>
        <v>0.35786351999999999</v>
      </c>
      <c r="T8">
        <f>IF(Backend!U35="", "", Backend!U35)</f>
        <v>0.30823215999999998</v>
      </c>
      <c r="U8">
        <f>IF(Backend!V35="", "", Backend!V35)</f>
        <v>0.13569725999999999</v>
      </c>
      <c r="V8">
        <f>IF(Backend!W35="", "", Backend!W35)</f>
        <v>0.18180743999999999</v>
      </c>
      <c r="W8">
        <f>IF(Backend!X35="", "", Backend!X35)</f>
        <v>0.19068078999999999</v>
      </c>
      <c r="X8">
        <f>IF(Backend!Y35="", "", Backend!Y35)</f>
        <v>0.25558740000000002</v>
      </c>
      <c r="Y8">
        <f>IF(Backend!Z35="", "", Backend!Z35)</f>
        <v>0.3245382</v>
      </c>
      <c r="Z8">
        <f>IF(Backend!AA35="", "", Backend!AA35)</f>
        <v>0.32315310000000003</v>
      </c>
      <c r="AA8">
        <f>IF(Backend!AB35="", "", Backend!AB35)</f>
        <v>0.24430110999999999</v>
      </c>
      <c r="AB8">
        <f>IF(Backend!AC35="", "", Backend!AC35)</f>
        <v>0.29865967999999998</v>
      </c>
      <c r="AC8">
        <f>IF(Backend!AD35="", "", Backend!AD35)</f>
        <v>0.30540610000000001</v>
      </c>
      <c r="AD8">
        <f>IF(Backend!AE35="", "", Backend!AE35)</f>
        <v>0.36485519999999999</v>
      </c>
      <c r="AE8">
        <f>IF(Backend!AF35="", "", Backend!AF35)</f>
        <v>0.28785595000000003</v>
      </c>
      <c r="AF8">
        <f>IF(Backend!AG35="", "", Backend!AG35)</f>
        <v>0.35153132999999998</v>
      </c>
      <c r="AG8">
        <f>IF(Backend!AH35="", "", Backend!AH35)</f>
        <v>0.23197400000000001</v>
      </c>
      <c r="AH8">
        <f>IF(Backend!AI35="", "", Backend!AI35)</f>
        <v>0.42130694000000002</v>
      </c>
      <c r="AI8">
        <f>IF(Backend!AJ35="", "", Backend!AJ35)</f>
        <v>0.27971544999999998</v>
      </c>
      <c r="AJ8">
        <f>IF(Backend!AK35="", "", Backend!AK35)</f>
        <v>0.31579437999999999</v>
      </c>
      <c r="AK8">
        <f>IF(Backend!AL35="", "", Backend!AL35)</f>
        <v>0.37872767000000002</v>
      </c>
      <c r="AL8">
        <f>IF(Backend!AM35="", "", Backend!AM35)</f>
        <v>0.27775030000000001</v>
      </c>
      <c r="AM8">
        <f>IF(Backend!AN35="", "", Backend!AN35)</f>
        <v>5.3371355000000002E-2</v>
      </c>
      <c r="AN8">
        <f>IF(Backend!AO35="", "", Backend!AO35)</f>
        <v>0.12667676999999999</v>
      </c>
      <c r="AO8">
        <f>IF(Backend!AP35="", "", Backend!AP35)</f>
        <v>0.30972564000000002</v>
      </c>
      <c r="AP8">
        <f>IF(Backend!AQ35="", "", Backend!AQ35)</f>
        <v>0.3230983</v>
      </c>
      <c r="AQ8">
        <f>IF(Backend!AR35="", "", Backend!AR35)</f>
        <v>0.31098409999999999</v>
      </c>
      <c r="AR8">
        <f>IF(Backend!AS35="", "", Backend!AS35)</f>
        <v>0.24231547000000001</v>
      </c>
      <c r="AS8">
        <f>IF(Backend!AT35="", "", Backend!AT35)</f>
        <v>0.25353044000000002</v>
      </c>
      <c r="AT8">
        <f>IF(Backend!AU35="", "", Backend!AU35)</f>
        <v>0.27641719999999997</v>
      </c>
      <c r="AU8">
        <f>IF(Backend!AV35="", "", Backend!AV35)</f>
        <v>0.2193862</v>
      </c>
      <c r="AV8">
        <f>IF(Backend!AW35="", "", Backend!AW35)</f>
        <v>0.18439248</v>
      </c>
      <c r="AW8">
        <f>IF(Backend!AX35="", "", Backend!AX35)</f>
        <v>0.31627487999999998</v>
      </c>
      <c r="AX8">
        <f>IF(Backend!AY35="", "", Backend!AY35)</f>
        <v>0.36912434999999999</v>
      </c>
      <c r="AY8">
        <f>IF(Backend!AZ35="", "", Backend!AZ35)</f>
        <v>0.27652130000000003</v>
      </c>
      <c r="AZ8">
        <f>IF(Backend!BA35="", "", Backend!BA35)</f>
        <v>0.28518787000000001</v>
      </c>
      <c r="BA8">
        <f>IF(Backend!BB35="", "", Backend!BB35)</f>
        <v>0.27976256999999999</v>
      </c>
      <c r="BB8">
        <f>IF(Backend!BC35="", "", Backend!BC35)</f>
        <v>0.21230635</v>
      </c>
      <c r="BC8">
        <f>IF(Backend!BD35="", "", Backend!BD35)</f>
        <v>9.1916949999999997E-2</v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Roche Holding Ltd Dividend Right Cert.</v>
      </c>
      <c r="B9">
        <f>IF(Backend!C36="", "", Backend!C36)</f>
        <v>0.30595339999999999</v>
      </c>
      <c r="C9">
        <f>IF(Backend!D36="", "", Backend!D36)</f>
        <v>0.62689923999999997</v>
      </c>
      <c r="D9">
        <f>IF(Backend!E36="", "", Backend!E36)</f>
        <v>0.24799724000000001</v>
      </c>
      <c r="E9">
        <f>IF(Backend!F36="", "", Backend!F36)</f>
        <v>0.24493213</v>
      </c>
      <c r="F9">
        <f>IF(Backend!G36="", "", Backend!G36)</f>
        <v>0.59456414000000002</v>
      </c>
      <c r="G9">
        <f>IF(Backend!H36="", "", Backend!H36)</f>
        <v>1</v>
      </c>
      <c r="H9">
        <f>IF(Backend!I36="", "", Backend!I36)</f>
        <v>0.29720553999999999</v>
      </c>
      <c r="I9">
        <f>IF(Backend!J36="", "", Backend!J36)</f>
        <v>0.30589852000000001</v>
      </c>
      <c r="J9">
        <f>IF(Backend!K36="", "", Backend!K36)</f>
        <v>0.34337655</v>
      </c>
      <c r="K9">
        <f>IF(Backend!L36="", "", Backend!L36)</f>
        <v>0.43670987999999999</v>
      </c>
      <c r="L9">
        <f>IF(Backend!M36="", "", Backend!M36)</f>
        <v>0.14099049999999999</v>
      </c>
      <c r="M9">
        <f>IF(Backend!N36="", "", Backend!N36)</f>
        <v>0.26495903999999998</v>
      </c>
      <c r="N9">
        <f>IF(Backend!O36="", "", Backend!O36)</f>
        <v>0.21382053000000001</v>
      </c>
      <c r="O9">
        <f>IF(Backend!P36="", "", Backend!P36)</f>
        <v>0.17885596000000001</v>
      </c>
      <c r="P9">
        <f>IF(Backend!Q36="", "", Backend!Q36)</f>
        <v>0.24121783999999999</v>
      </c>
      <c r="Q9">
        <f>IF(Backend!R36="", "", Backend!R36)</f>
        <v>0.24585290000000001</v>
      </c>
      <c r="R9">
        <f>IF(Backend!S36="", "", Backend!S36)</f>
        <v>0.3920304</v>
      </c>
      <c r="S9">
        <f>IF(Backend!T36="", "", Backend!T36)</f>
        <v>0.39453579999999999</v>
      </c>
      <c r="T9">
        <f>IF(Backend!U36="", "", Backend!U36)</f>
        <v>0.30680787999999998</v>
      </c>
      <c r="U9">
        <f>IF(Backend!V36="", "", Backend!V36)</f>
        <v>0.24908449999999999</v>
      </c>
      <c r="V9">
        <f>IF(Backend!W36="", "", Backend!W36)</f>
        <v>0.19422026000000001</v>
      </c>
      <c r="W9">
        <f>IF(Backend!X36="", "", Backend!X36)</f>
        <v>0.24666187000000001</v>
      </c>
      <c r="X9">
        <f>IF(Backend!Y36="", "", Backend!Y36)</f>
        <v>0.28441343000000002</v>
      </c>
      <c r="Y9">
        <f>IF(Backend!Z36="", "", Backend!Z36)</f>
        <v>0.37882357999999999</v>
      </c>
      <c r="Z9">
        <f>IF(Backend!AA36="", "", Backend!AA36)</f>
        <v>0.32516578000000002</v>
      </c>
      <c r="AA9">
        <f>IF(Backend!AB36="", "", Backend!AB36)</f>
        <v>0.28618075999999998</v>
      </c>
      <c r="AB9">
        <f>IF(Backend!AC36="", "", Backend!AC36)</f>
        <v>0.27231407000000002</v>
      </c>
      <c r="AC9">
        <f>IF(Backend!AD36="", "", Backend!AD36)</f>
        <v>0.35318110000000003</v>
      </c>
      <c r="AD9">
        <f>IF(Backend!AE36="", "", Backend!AE36)</f>
        <v>0.40861346999999998</v>
      </c>
      <c r="AE9">
        <f>IF(Backend!AF36="", "", Backend!AF36)</f>
        <v>0.28920131999999998</v>
      </c>
      <c r="AF9">
        <f>IF(Backend!AG36="", "", Backend!AG36)</f>
        <v>0.40938540000000001</v>
      </c>
      <c r="AG9">
        <f>IF(Backend!AH36="", "", Backend!AH36)</f>
        <v>0.17012271000000001</v>
      </c>
      <c r="AH9">
        <f>IF(Backend!AI36="", "", Backend!AI36)</f>
        <v>0.44010665999999998</v>
      </c>
      <c r="AI9">
        <f>IF(Backend!AJ36="", "", Backend!AJ36)</f>
        <v>0.34353571999999999</v>
      </c>
      <c r="AJ9">
        <f>IF(Backend!AK36="", "", Backend!AK36)</f>
        <v>0.34340277000000002</v>
      </c>
      <c r="AK9">
        <f>IF(Backend!AL36="", "", Backend!AL36)</f>
        <v>0.32252553</v>
      </c>
      <c r="AL9">
        <f>IF(Backend!AM36="", "", Backend!AM36)</f>
        <v>0.16803987000000001</v>
      </c>
      <c r="AM9">
        <f>IF(Backend!AN36="", "", Backend!AN36)</f>
        <v>3.7919572999999998E-2</v>
      </c>
      <c r="AN9">
        <f>IF(Backend!AO36="", "", Backend!AO36)</f>
        <v>0.10767474</v>
      </c>
      <c r="AO9">
        <f>IF(Backend!AP36="", "", Backend!AP36)</f>
        <v>0.2290546</v>
      </c>
      <c r="AP9">
        <f>IF(Backend!AQ36="", "", Backend!AQ36)</f>
        <v>0.24821465000000001</v>
      </c>
      <c r="AQ9">
        <f>IF(Backend!AR36="", "", Backend!AR36)</f>
        <v>0.30922145000000001</v>
      </c>
      <c r="AR9">
        <f>IF(Backend!AS36="", "", Backend!AS36)</f>
        <v>0.22009919999999999</v>
      </c>
      <c r="AS9">
        <f>IF(Backend!AT36="", "", Backend!AT36)</f>
        <v>0.23151408000000001</v>
      </c>
      <c r="AT9">
        <f>IF(Backend!AU36="", "", Backend!AU36)</f>
        <v>0.18430355000000001</v>
      </c>
      <c r="AU9">
        <f>IF(Backend!AV36="", "", Backend!AV36)</f>
        <v>0.23622029999999999</v>
      </c>
      <c r="AV9">
        <f>IF(Backend!AW36="", "", Backend!AW36)</f>
        <v>0.14802547999999999</v>
      </c>
      <c r="AW9">
        <f>IF(Backend!AX36="", "", Backend!AX36)</f>
        <v>0.32472025999999998</v>
      </c>
      <c r="AX9">
        <f>IF(Backend!AY36="", "", Backend!AY36)</f>
        <v>0.3227411</v>
      </c>
      <c r="AY9">
        <f>IF(Backend!AZ36="", "", Backend!AZ36)</f>
        <v>0.31336715999999998</v>
      </c>
      <c r="AZ9">
        <f>IF(Backend!BA36="", "", Backend!BA36)</f>
        <v>0.32305022999999999</v>
      </c>
      <c r="BA9">
        <f>IF(Backend!BB36="", "", Backend!BB36)</f>
        <v>0.24329782</v>
      </c>
      <c r="BB9">
        <f>IF(Backend!BC36="", "", Backend!BC36)</f>
        <v>0.23849020000000001</v>
      </c>
      <c r="BC9">
        <f>IF(Backend!BD36="", "", Backend!BD36)</f>
        <v>5.2354716000000003E-2</v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Prudential plc</v>
      </c>
      <c r="B10">
        <f>IF(Backend!C37="", "", Backend!C37)</f>
        <v>0.2709009</v>
      </c>
      <c r="C10">
        <f>IF(Backend!D37="", "", Backend!D37)</f>
        <v>0.24672619000000001</v>
      </c>
      <c r="D10">
        <f>IF(Backend!E37="", "", Backend!E37)</f>
        <v>0.39079306000000003</v>
      </c>
      <c r="E10">
        <f>IF(Backend!F37="", "", Backend!F37)</f>
        <v>0.58308846000000003</v>
      </c>
      <c r="F10">
        <f>IF(Backend!G37="", "", Backend!G37)</f>
        <v>0.24622768</v>
      </c>
      <c r="G10">
        <f>IF(Backend!H37="", "", Backend!H37)</f>
        <v>0.29720553999999999</v>
      </c>
      <c r="H10">
        <f>IF(Backend!I37="", "", Backend!I37)</f>
        <v>1</v>
      </c>
      <c r="I10">
        <f>IF(Backend!J37="", "", Backend!J37)</f>
        <v>0.27652670000000001</v>
      </c>
      <c r="J10">
        <f>IF(Backend!K37="", "", Backend!K37)</f>
        <v>0.28108090000000002</v>
      </c>
      <c r="K10">
        <f>IF(Backend!L37="", "", Backend!L37)</f>
        <v>0.26156738000000002</v>
      </c>
      <c r="L10">
        <f>IF(Backend!M37="", "", Backend!M37)</f>
        <v>0.15758053999999999</v>
      </c>
      <c r="M10">
        <f>IF(Backend!N37="", "", Backend!N37)</f>
        <v>0.14538102</v>
      </c>
      <c r="N10">
        <f>IF(Backend!O37="", "", Backend!O37)</f>
        <v>0.16068779999999999</v>
      </c>
      <c r="O10">
        <f>IF(Backend!P37="", "", Backend!P37)</f>
        <v>0.18350135000000001</v>
      </c>
      <c r="P10">
        <f>IF(Backend!Q37="", "", Backend!Q37)</f>
        <v>0.52802400000000005</v>
      </c>
      <c r="Q10">
        <f>IF(Backend!R37="", "", Backend!R37)</f>
        <v>0.46300212000000002</v>
      </c>
      <c r="R10">
        <f>IF(Backend!S37="", "", Backend!S37)</f>
        <v>0.17992984000000001</v>
      </c>
      <c r="S10">
        <f>IF(Backend!T37="", "", Backend!T37)</f>
        <v>0.51133936999999996</v>
      </c>
      <c r="T10">
        <f>IF(Backend!U37="", "", Backend!U37)</f>
        <v>0.47655067000000001</v>
      </c>
      <c r="U10">
        <f>IF(Backend!V37="", "", Backend!V37)</f>
        <v>9.6001139999999999E-2</v>
      </c>
      <c r="V10">
        <f>IF(Backend!W37="", "", Backend!W37)</f>
        <v>0.45957310000000001</v>
      </c>
      <c r="W10">
        <f>IF(Backend!X37="", "", Backend!X37)</f>
        <v>0.21039611</v>
      </c>
      <c r="X10">
        <f>IF(Backend!Y37="", "", Backend!Y37)</f>
        <v>0.38980720000000002</v>
      </c>
      <c r="Y10">
        <f>IF(Backend!Z37="", "", Backend!Z37)</f>
        <v>0.14573196999999999</v>
      </c>
      <c r="Z10">
        <f>IF(Backend!AA37="", "", Backend!AA37)</f>
        <v>0.36116818000000001</v>
      </c>
      <c r="AA10">
        <f>IF(Backend!AB37="", "", Backend!AB37)</f>
        <v>0.20794371</v>
      </c>
      <c r="AB10">
        <f>IF(Backend!AC37="", "", Backend!AC37)</f>
        <v>0.44482466999999998</v>
      </c>
      <c r="AC10">
        <f>IF(Backend!AD37="", "", Backend!AD37)</f>
        <v>0.49847639999999999</v>
      </c>
      <c r="AD10">
        <f>IF(Backend!AE37="", "", Backend!AE37)</f>
        <v>0.52814649999999996</v>
      </c>
      <c r="AE10">
        <f>IF(Backend!AF37="", "", Backend!AF37)</f>
        <v>0.53024850000000001</v>
      </c>
      <c r="AF10">
        <f>IF(Backend!AG37="", "", Backend!AG37)</f>
        <v>0.27537026999999997</v>
      </c>
      <c r="AG10">
        <f>IF(Backend!AH37="", "", Backend!AH37)</f>
        <v>0.36346978000000002</v>
      </c>
      <c r="AH10">
        <f>IF(Backend!AI37="", "", Backend!AI37)</f>
        <v>0.40539667000000001</v>
      </c>
      <c r="AI10">
        <f>IF(Backend!AJ37="", "", Backend!AJ37)</f>
        <v>0.15529096000000001</v>
      </c>
      <c r="AJ10">
        <f>IF(Backend!AK37="", "", Backend!AK37)</f>
        <v>0.32406165999999997</v>
      </c>
      <c r="AK10">
        <f>IF(Backend!AL37="", "", Backend!AL37)</f>
        <v>0.53837924999999998</v>
      </c>
      <c r="AL10">
        <f>IF(Backend!AM37="", "", Backend!AM37)</f>
        <v>0.14638171999999999</v>
      </c>
      <c r="AM10">
        <f>IF(Backend!AN37="", "", Backend!AN37)</f>
        <v>0.31561070000000002</v>
      </c>
      <c r="AN10">
        <f>IF(Backend!AO37="", "", Backend!AO37)</f>
        <v>0.17944498</v>
      </c>
      <c r="AO10">
        <f>IF(Backend!AP37="", "", Backend!AP37)</f>
        <v>0.34154293000000002</v>
      </c>
      <c r="AP10">
        <f>IF(Backend!AQ37="", "", Backend!AQ37)</f>
        <v>0.38000038000000003</v>
      </c>
      <c r="AQ10">
        <f>IF(Backend!AR37="", "", Backend!AR37)</f>
        <v>0.47789118000000003</v>
      </c>
      <c r="AR10">
        <f>IF(Backend!AS37="", "", Backend!AS37)</f>
        <v>0.47337073000000002</v>
      </c>
      <c r="AS10">
        <f>IF(Backend!AT37="", "", Backend!AT37)</f>
        <v>0.42501935000000002</v>
      </c>
      <c r="AT10">
        <f>IF(Backend!AU37="", "", Backend!AU37)</f>
        <v>0.39400395999999999</v>
      </c>
      <c r="AU10">
        <f>IF(Backend!AV37="", "", Backend!AV37)</f>
        <v>0.29374542999999997</v>
      </c>
      <c r="AV10">
        <f>IF(Backend!AW37="", "", Backend!AW37)</f>
        <v>0.26271802</v>
      </c>
      <c r="AW10">
        <f>IF(Backend!AX37="", "", Backend!AX37)</f>
        <v>0.51633465000000001</v>
      </c>
      <c r="AX10">
        <f>IF(Backend!AY37="", "", Backend!AY37)</f>
        <v>0.44827850000000002</v>
      </c>
      <c r="AY10">
        <f>IF(Backend!AZ37="", "", Backend!AZ37)</f>
        <v>0.55993749999999998</v>
      </c>
      <c r="AZ10">
        <f>IF(Backend!BA37="", "", Backend!BA37)</f>
        <v>0.49493710000000002</v>
      </c>
      <c r="BA10">
        <f>IF(Backend!BB37="", "", Backend!BB37)</f>
        <v>0.49629316000000001</v>
      </c>
      <c r="BB10">
        <f>IF(Backend!BC37="", "", Backend!BC37)</f>
        <v>-5.6444313000000003E-2</v>
      </c>
      <c r="BC10">
        <f>IF(Backend!BD37="", "", Backend!BD37)</f>
        <v>0.1841284</v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BT Group plc</v>
      </c>
      <c r="B11">
        <f>IF(Backend!C38="", "", Backend!C38)</f>
        <v>0.20262066000000001</v>
      </c>
      <c r="C11">
        <f>IF(Backend!D38="", "", Backend!D38)</f>
        <v>0.38621085999999999</v>
      </c>
      <c r="D11">
        <f>IF(Backend!E38="", "", Backend!E38)</f>
        <v>0.12259447</v>
      </c>
      <c r="E11">
        <f>IF(Backend!F38="", "", Backend!F38)</f>
        <v>0.20440011999999999</v>
      </c>
      <c r="F11">
        <f>IF(Backend!G38="", "", Backend!G38)</f>
        <v>0.27900589999999997</v>
      </c>
      <c r="G11">
        <f>IF(Backend!H38="", "", Backend!H38)</f>
        <v>0.30589852000000001</v>
      </c>
      <c r="H11">
        <f>IF(Backend!I38="", "", Backend!I38)</f>
        <v>0.27652670000000001</v>
      </c>
      <c r="I11">
        <f>IF(Backend!J38="", "", Backend!J38)</f>
        <v>1</v>
      </c>
      <c r="J11">
        <f>IF(Backend!K38="", "", Backend!K38)</f>
        <v>0.59541434000000004</v>
      </c>
      <c r="K11">
        <f>IF(Backend!L38="", "", Backend!L38)</f>
        <v>0.33210444</v>
      </c>
      <c r="L11">
        <f>IF(Backend!M38="", "", Backend!M38)</f>
        <v>8.3124020000000007E-2</v>
      </c>
      <c r="M11">
        <f>IF(Backend!N38="", "", Backend!N38)</f>
        <v>0.20757486999999999</v>
      </c>
      <c r="N11">
        <f>IF(Backend!O38="", "", Backend!O38)</f>
        <v>0.36080941999999999</v>
      </c>
      <c r="O11">
        <f>IF(Backend!P38="", "", Backend!P38)</f>
        <v>0.13065301000000001</v>
      </c>
      <c r="P11">
        <f>IF(Backend!Q38="", "", Backend!Q38)</f>
        <v>0.16872404999999999</v>
      </c>
      <c r="Q11">
        <f>IF(Backend!R38="", "", Backend!R38)</f>
        <v>0.24353985</v>
      </c>
      <c r="R11">
        <f>IF(Backend!S38="", "", Backend!S38)</f>
        <v>0.37719904999999998</v>
      </c>
      <c r="S11">
        <f>IF(Backend!T38="", "", Backend!T38)</f>
        <v>0.42979074</v>
      </c>
      <c r="T11">
        <f>IF(Backend!U38="", "", Backend!U38)</f>
        <v>0.17759923999999999</v>
      </c>
      <c r="U11">
        <f>IF(Backend!V38="", "", Backend!V38)</f>
        <v>0.32320284999999999</v>
      </c>
      <c r="V11">
        <f>IF(Backend!W38="", "", Backend!W38)</f>
        <v>0.19301940000000001</v>
      </c>
      <c r="W11">
        <f>IF(Backend!X38="", "", Backend!X38)</f>
        <v>0.39652525999999999</v>
      </c>
      <c r="X11">
        <f>IF(Backend!Y38="", "", Backend!Y38)</f>
        <v>0.23614803000000001</v>
      </c>
      <c r="Y11">
        <f>IF(Backend!Z38="", "", Backend!Z38)</f>
        <v>0.21136720000000001</v>
      </c>
      <c r="Z11">
        <f>IF(Backend!AA38="", "", Backend!AA38)</f>
        <v>0.15297564999999999</v>
      </c>
      <c r="AA11">
        <f>IF(Backend!AB38="", "", Backend!AB38)</f>
        <v>0.23358770000000001</v>
      </c>
      <c r="AB11">
        <f>IF(Backend!AC38="", "", Backend!AC38)</f>
        <v>0.20549737000000001</v>
      </c>
      <c r="AC11">
        <f>IF(Backend!AD38="", "", Backend!AD38)</f>
        <v>0.27352300000000002</v>
      </c>
      <c r="AD11">
        <f>IF(Backend!AE38="", "", Backend!AE38)</f>
        <v>0.34060766999999997</v>
      </c>
      <c r="AE11">
        <f>IF(Backend!AF38="", "", Backend!AF38)</f>
        <v>0.10892605</v>
      </c>
      <c r="AF11">
        <f>IF(Backend!AG38="", "", Backend!AG38)</f>
        <v>0.26779069999999999</v>
      </c>
      <c r="AG11">
        <f>IF(Backend!AH38="", "", Backend!AH38)</f>
        <v>4.2573859999999998E-2</v>
      </c>
      <c r="AH11">
        <f>IF(Backend!AI38="", "", Backend!AI38)</f>
        <v>0.41969043</v>
      </c>
      <c r="AI11">
        <f>IF(Backend!AJ38="", "", Backend!AJ38)</f>
        <v>0.26672911999999999</v>
      </c>
      <c r="AJ11">
        <f>IF(Backend!AK38="", "", Backend!AK38)</f>
        <v>0.22344452000000001</v>
      </c>
      <c r="AK11">
        <f>IF(Backend!AL38="", "", Backend!AL38)</f>
        <v>0.15928228</v>
      </c>
      <c r="AL11">
        <f>IF(Backend!AM38="", "", Backend!AM38)</f>
        <v>0.21711294</v>
      </c>
      <c r="AM11">
        <f>IF(Backend!AN38="", "", Backend!AN38)</f>
        <v>2.8060826000000001E-2</v>
      </c>
      <c r="AN11">
        <f>IF(Backend!AO38="", "", Backend!AO38)</f>
        <v>5.6736535999999997E-2</v>
      </c>
      <c r="AO11">
        <f>IF(Backend!AP38="", "", Backend!AP38)</f>
        <v>0.18524307000000001</v>
      </c>
      <c r="AP11">
        <f>IF(Backend!AQ38="", "", Backend!AQ38)</f>
        <v>0.13439295000000001</v>
      </c>
      <c r="AQ11">
        <f>IF(Backend!AR38="", "", Backend!AR38)</f>
        <v>0.32297498000000002</v>
      </c>
      <c r="AR11">
        <f>IF(Backend!AS38="", "", Backend!AS38)</f>
        <v>0.26572200000000001</v>
      </c>
      <c r="AS11">
        <f>IF(Backend!AT38="", "", Backend!AT38)</f>
        <v>0.20675087</v>
      </c>
      <c r="AT11">
        <f>IF(Backend!AU38="", "", Backend!AU38)</f>
        <v>6.5133060000000007E-2</v>
      </c>
      <c r="AU11">
        <f>IF(Backend!AV38="", "", Backend!AV38)</f>
        <v>8.0093590000000006E-2</v>
      </c>
      <c r="AV11">
        <f>IF(Backend!AW38="", "", Backend!AW38)</f>
        <v>3.8530556E-3</v>
      </c>
      <c r="AW11">
        <f>IF(Backend!AX38="", "", Backend!AX38)</f>
        <v>0.16638061000000001</v>
      </c>
      <c r="AX11">
        <f>IF(Backend!AY38="", "", Backend!AY38)</f>
        <v>0.220829</v>
      </c>
      <c r="AY11">
        <f>IF(Backend!AZ38="", "", Backend!AZ38)</f>
        <v>0.17380139</v>
      </c>
      <c r="AZ11">
        <f>IF(Backend!BA38="", "", Backend!BA38)</f>
        <v>0.22433533</v>
      </c>
      <c r="BA11">
        <f>IF(Backend!BB38="", "", Backend!BB38)</f>
        <v>0.33527634000000001</v>
      </c>
      <c r="BB11">
        <f>IF(Backend!BC38="", "", Backend!BC38)</f>
        <v>0.13261672999999999</v>
      </c>
      <c r="BC11">
        <f>IF(Backend!BD38="", "", Backend!BD38)</f>
        <v>9.6641934999999998E-2</v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Vodafone Group Public Limited Company</v>
      </c>
      <c r="B12">
        <f>IF(Backend!C39="", "", Backend!C39)</f>
        <v>9.7493715999999994E-2</v>
      </c>
      <c r="C12">
        <f>IF(Backend!D39="", "", Backend!D39)</f>
        <v>0.40807719999999997</v>
      </c>
      <c r="D12">
        <f>IF(Backend!E39="", "", Backend!E39)</f>
        <v>0.17855693</v>
      </c>
      <c r="E12">
        <f>IF(Backend!F39="", "", Backend!F39)</f>
        <v>0.26080424000000002</v>
      </c>
      <c r="F12">
        <f>IF(Backend!G39="", "", Backend!G39)</f>
        <v>0.35762453</v>
      </c>
      <c r="G12">
        <f>IF(Backend!H39="", "", Backend!H39)</f>
        <v>0.34337655</v>
      </c>
      <c r="H12">
        <f>IF(Backend!I39="", "", Backend!I39)</f>
        <v>0.28108090000000002</v>
      </c>
      <c r="I12">
        <f>IF(Backend!J39="", "", Backend!J39)</f>
        <v>0.59541434000000004</v>
      </c>
      <c r="J12">
        <f>IF(Backend!K39="", "", Backend!K39)</f>
        <v>1</v>
      </c>
      <c r="K12">
        <f>IF(Backend!L39="", "", Backend!L39)</f>
        <v>0.31967250000000003</v>
      </c>
      <c r="L12">
        <f>IF(Backend!M39="", "", Backend!M39)</f>
        <v>1.5972981000000001E-2</v>
      </c>
      <c r="M12">
        <f>IF(Backend!N39="", "", Backend!N39)</f>
        <v>0.24309765999999999</v>
      </c>
      <c r="N12">
        <f>IF(Backend!O39="", "", Backend!O39)</f>
        <v>0.39362540000000001</v>
      </c>
      <c r="O12">
        <f>IF(Backend!P39="", "", Backend!P39)</f>
        <v>0.11296586</v>
      </c>
      <c r="P12">
        <f>IF(Backend!Q39="", "", Backend!Q39)</f>
        <v>0.18427015999999999</v>
      </c>
      <c r="Q12">
        <f>IF(Backend!R39="", "", Backend!R39)</f>
        <v>0.24788368999999999</v>
      </c>
      <c r="R12">
        <f>IF(Backend!S39="", "", Backend!S39)</f>
        <v>0.41040673999999999</v>
      </c>
      <c r="S12">
        <f>IF(Backend!T39="", "", Backend!T39)</f>
        <v>0.43407067999999999</v>
      </c>
      <c r="T12">
        <f>IF(Backend!U39="", "", Backend!U39)</f>
        <v>0.25425160000000002</v>
      </c>
      <c r="U12">
        <f>IF(Backend!V39="", "", Backend!V39)</f>
        <v>0.28357475999999998</v>
      </c>
      <c r="V12">
        <f>IF(Backend!W39="", "", Backend!W39)</f>
        <v>0.23018886</v>
      </c>
      <c r="W12">
        <f>IF(Backend!X39="", "", Backend!X39)</f>
        <v>0.42372852999999999</v>
      </c>
      <c r="X12">
        <f>IF(Backend!Y39="", "", Backend!Y39)</f>
        <v>0.25300652000000001</v>
      </c>
      <c r="Y12">
        <f>IF(Backend!Z39="", "", Backend!Z39)</f>
        <v>0.20037942</v>
      </c>
      <c r="Z12">
        <f>IF(Backend!AA39="", "", Backend!AA39)</f>
        <v>0.26265003999999997</v>
      </c>
      <c r="AA12">
        <f>IF(Backend!AB39="", "", Backend!AB39)</f>
        <v>0.19262981000000001</v>
      </c>
      <c r="AB12">
        <f>IF(Backend!AC39="", "", Backend!AC39)</f>
        <v>0.18526334</v>
      </c>
      <c r="AC12">
        <f>IF(Backend!AD39="", "", Backend!AD39)</f>
        <v>0.25548968</v>
      </c>
      <c r="AD12">
        <f>IF(Backend!AE39="", "", Backend!AE39)</f>
        <v>0.35751899999999998</v>
      </c>
      <c r="AE12">
        <f>IF(Backend!AF39="", "", Backend!AF39)</f>
        <v>0.18954272999999999</v>
      </c>
      <c r="AF12">
        <f>IF(Backend!AG39="", "", Backend!AG39)</f>
        <v>0.25873457999999999</v>
      </c>
      <c r="AG12">
        <f>IF(Backend!AH39="", "", Backend!AH39)</f>
        <v>5.5779677E-2</v>
      </c>
      <c r="AH12">
        <f>IF(Backend!AI39="", "", Backend!AI39)</f>
        <v>0.42802980000000002</v>
      </c>
      <c r="AI12">
        <f>IF(Backend!AJ39="", "", Backend!AJ39)</f>
        <v>0.22346250000000001</v>
      </c>
      <c r="AJ12">
        <f>IF(Backend!AK39="", "", Backend!AK39)</f>
        <v>0.16698832999999999</v>
      </c>
      <c r="AK12">
        <f>IF(Backend!AL39="", "", Backend!AL39)</f>
        <v>0.21865244</v>
      </c>
      <c r="AL12">
        <f>IF(Backend!AM39="", "", Backend!AM39)</f>
        <v>0.31774323999999998</v>
      </c>
      <c r="AM12">
        <f>IF(Backend!AN39="", "", Backend!AN39)</f>
        <v>0.108577944</v>
      </c>
      <c r="AN12">
        <f>IF(Backend!AO39="", "", Backend!AO39)</f>
        <v>0.16700699999999999</v>
      </c>
      <c r="AO12">
        <f>IF(Backend!AP39="", "", Backend!AP39)</f>
        <v>0.23735818</v>
      </c>
      <c r="AP12">
        <f>IF(Backend!AQ39="", "", Backend!AQ39)</f>
        <v>0.12605021999999999</v>
      </c>
      <c r="AQ12">
        <f>IF(Backend!AR39="", "", Backend!AR39)</f>
        <v>0.29318657999999997</v>
      </c>
      <c r="AR12">
        <f>IF(Backend!AS39="", "", Backend!AS39)</f>
        <v>0.21668962999999999</v>
      </c>
      <c r="AS12">
        <f>IF(Backend!AT39="", "", Backend!AT39)</f>
        <v>0.27320420000000001</v>
      </c>
      <c r="AT12">
        <f>IF(Backend!AU39="", "", Backend!AU39)</f>
        <v>0.157218</v>
      </c>
      <c r="AU12">
        <f>IF(Backend!AV39="", "", Backend!AV39)</f>
        <v>6.199263E-2</v>
      </c>
      <c r="AV12">
        <f>IF(Backend!AW39="", "", Backend!AW39)</f>
        <v>1.3563165E-2</v>
      </c>
      <c r="AW12">
        <f>IF(Backend!AX39="", "", Backend!AX39)</f>
        <v>0.24280508000000001</v>
      </c>
      <c r="AX12">
        <f>IF(Backend!AY39="", "", Backend!AY39)</f>
        <v>0.25139626999999998</v>
      </c>
      <c r="AY12">
        <f>IF(Backend!AZ39="", "", Backend!AZ39)</f>
        <v>0.25410113000000001</v>
      </c>
      <c r="AZ12">
        <f>IF(Backend!BA39="", "", Backend!BA39)</f>
        <v>0.24664808999999999</v>
      </c>
      <c r="BA12">
        <f>IF(Backend!BB39="", "", Backend!BB39)</f>
        <v>0.32627254999999999</v>
      </c>
      <c r="BB12">
        <f>IF(Backend!BC39="", "", Backend!BC39)</f>
        <v>0.102110706</v>
      </c>
      <c r="BC12">
        <f>IF(Backend!BD39="", "", Backend!BD39)</f>
        <v>4.3362662000000003E-2</v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Henkel AG &amp; Co. KGaA Pref</v>
      </c>
      <c r="B13">
        <f>IF(Backend!C40="", "", Backend!C40)</f>
        <v>0.27617560000000002</v>
      </c>
      <c r="C13">
        <f>IF(Backend!D40="", "", Backend!D40)</f>
        <v>0.36851834999999999</v>
      </c>
      <c r="D13">
        <f>IF(Backend!E40="", "", Backend!E40)</f>
        <v>0.2630324</v>
      </c>
      <c r="E13">
        <f>IF(Backend!F40="", "", Backend!F40)</f>
        <v>0.15249098999999999</v>
      </c>
      <c r="F13">
        <f>IF(Backend!G40="", "", Backend!G40)</f>
        <v>0.36219810000000002</v>
      </c>
      <c r="G13">
        <f>IF(Backend!H40="", "", Backend!H40)</f>
        <v>0.43670987999999999</v>
      </c>
      <c r="H13">
        <f>IF(Backend!I40="", "", Backend!I40)</f>
        <v>0.26156738000000002</v>
      </c>
      <c r="I13">
        <f>IF(Backend!J40="", "", Backend!J40)</f>
        <v>0.33210444</v>
      </c>
      <c r="J13">
        <f>IF(Backend!K40="", "", Backend!K40)</f>
        <v>0.31967250000000003</v>
      </c>
      <c r="K13">
        <f>IF(Backend!L40="", "", Backend!L40)</f>
        <v>1</v>
      </c>
      <c r="L13">
        <f>IF(Backend!M40="", "", Backend!M40)</f>
        <v>0.13936359000000001</v>
      </c>
      <c r="M13">
        <f>IF(Backend!N40="", "", Backend!N40)</f>
        <v>0.27058422999999998</v>
      </c>
      <c r="N13">
        <f>IF(Backend!O40="", "", Backend!O40)</f>
        <v>0.16850787</v>
      </c>
      <c r="O13">
        <f>IF(Backend!P40="", "", Backend!P40)</f>
        <v>0.14111083999999999</v>
      </c>
      <c r="P13">
        <f>IF(Backend!Q40="", "", Backend!Q40)</f>
        <v>0.17581394</v>
      </c>
      <c r="Q13">
        <f>IF(Backend!R40="", "", Backend!R40)</f>
        <v>0.34396988000000001</v>
      </c>
      <c r="R13">
        <f>IF(Backend!S40="", "", Backend!S40)</f>
        <v>0.38726735000000001</v>
      </c>
      <c r="S13">
        <f>IF(Backend!T40="", "", Backend!T40)</f>
        <v>0.33134355999999998</v>
      </c>
      <c r="T13">
        <f>IF(Backend!U40="", "", Backend!U40)</f>
        <v>0.31015029999999999</v>
      </c>
      <c r="U13">
        <f>IF(Backend!V40="", "", Backend!V40)</f>
        <v>0.23535341000000001</v>
      </c>
      <c r="V13">
        <f>IF(Backend!W40="", "", Backend!W40)</f>
        <v>0.19174223000000001</v>
      </c>
      <c r="W13">
        <f>IF(Backend!X40="", "", Backend!X40)</f>
        <v>0.28271010000000002</v>
      </c>
      <c r="X13">
        <f>IF(Backend!Y40="", "", Backend!Y40)</f>
        <v>0.29728221999999999</v>
      </c>
      <c r="Y13">
        <f>IF(Backend!Z40="", "", Backend!Z40)</f>
        <v>0.27129703999999999</v>
      </c>
      <c r="Z13">
        <f>IF(Backend!AA40="", "", Backend!AA40)</f>
        <v>0.25631789999999999</v>
      </c>
      <c r="AA13">
        <f>IF(Backend!AB40="", "", Backend!AB40)</f>
        <v>0.28702724000000002</v>
      </c>
      <c r="AB13">
        <f>IF(Backend!AC40="", "", Backend!AC40)</f>
        <v>0.34003844999999999</v>
      </c>
      <c r="AC13">
        <f>IF(Backend!AD40="", "", Backend!AD40)</f>
        <v>0.34853055999999999</v>
      </c>
      <c r="AD13">
        <f>IF(Backend!AE40="", "", Backend!AE40)</f>
        <v>0.35790812999999999</v>
      </c>
      <c r="AE13">
        <f>IF(Backend!AF40="", "", Backend!AF40)</f>
        <v>0.26448482000000001</v>
      </c>
      <c r="AF13">
        <f>IF(Backend!AG40="", "", Backend!AG40)</f>
        <v>0.3486187</v>
      </c>
      <c r="AG13">
        <f>IF(Backend!AH40="", "", Backend!AH40)</f>
        <v>0.15527445000000001</v>
      </c>
      <c r="AH13">
        <f>IF(Backend!AI40="", "", Backend!AI40)</f>
        <v>0.37367842000000001</v>
      </c>
      <c r="AI13">
        <f>IF(Backend!AJ40="", "", Backend!AJ40)</f>
        <v>0.35317432999999998</v>
      </c>
      <c r="AJ13">
        <f>IF(Backend!AK40="", "", Backend!AK40)</f>
        <v>0.19982920000000001</v>
      </c>
      <c r="AK13">
        <f>IF(Backend!AL40="", "", Backend!AL40)</f>
        <v>0.39582806999999998</v>
      </c>
      <c r="AL13">
        <f>IF(Backend!AM40="", "", Backend!AM40)</f>
        <v>0.31011720999999998</v>
      </c>
      <c r="AM13">
        <f>IF(Backend!AN40="", "", Backend!AN40)</f>
        <v>2.9858091999999999E-3</v>
      </c>
      <c r="AN13">
        <f>IF(Backend!AO40="", "", Backend!AO40)</f>
        <v>0.16243284999999999</v>
      </c>
      <c r="AO13">
        <f>IF(Backend!AP40="", "", Backend!AP40)</f>
        <v>0.22612742999999999</v>
      </c>
      <c r="AP13">
        <f>IF(Backend!AQ40="", "", Backend!AQ40)</f>
        <v>0.34854560000000001</v>
      </c>
      <c r="AQ13">
        <f>IF(Backend!AR40="", "", Backend!AR40)</f>
        <v>0.28294639999999999</v>
      </c>
      <c r="AR13">
        <f>IF(Backend!AS40="", "", Backend!AS40)</f>
        <v>0.2505848</v>
      </c>
      <c r="AS13">
        <f>IF(Backend!AT40="", "", Backend!AT40)</f>
        <v>0.40550049999999999</v>
      </c>
      <c r="AT13">
        <f>IF(Backend!AU40="", "", Backend!AU40)</f>
        <v>0.22988196999999999</v>
      </c>
      <c r="AU13">
        <f>IF(Backend!AV40="", "", Backend!AV40)</f>
        <v>0.24763742</v>
      </c>
      <c r="AV13">
        <f>IF(Backend!AW40="", "", Backend!AW40)</f>
        <v>0.17048614000000001</v>
      </c>
      <c r="AW13">
        <f>IF(Backend!AX40="", "", Backend!AX40)</f>
        <v>0.33436529999999998</v>
      </c>
      <c r="AX13">
        <f>IF(Backend!AY40="", "", Backend!AY40)</f>
        <v>0.39978947999999997</v>
      </c>
      <c r="AY13">
        <f>IF(Backend!AZ40="", "", Backend!AZ40)</f>
        <v>0.21580192000000001</v>
      </c>
      <c r="AZ13">
        <f>IF(Backend!BA40="", "", Backend!BA40)</f>
        <v>0.30033736999999999</v>
      </c>
      <c r="BA13">
        <f>IF(Backend!BB40="", "", Backend!BB40)</f>
        <v>0.17272340999999999</v>
      </c>
      <c r="BB13">
        <f>IF(Backend!BC40="", "", Backend!BC40)</f>
        <v>0.23711915</v>
      </c>
      <c r="BC13">
        <f>IF(Backend!BD40="", "", Backend!BD40)</f>
        <v>4.0177863000000001E-2</v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KB Financial Group Inc.</v>
      </c>
      <c r="B14">
        <f>IF(Backend!C41="", "", Backend!C41)</f>
        <v>0.27928720000000001</v>
      </c>
      <c r="C14">
        <f>IF(Backend!D41="", "", Backend!D41)</f>
        <v>0.16887173</v>
      </c>
      <c r="D14">
        <f>IF(Backend!E41="", "", Backend!E41)</f>
        <v>8.3339339999999998E-2</v>
      </c>
      <c r="E14">
        <f>IF(Backend!F41="", "", Backend!F41)</f>
        <v>0.22749820000000001</v>
      </c>
      <c r="F14">
        <f>IF(Backend!G41="", "", Backend!G41)</f>
        <v>0.14281468</v>
      </c>
      <c r="G14">
        <f>IF(Backend!H41="", "", Backend!H41)</f>
        <v>0.14099049999999999</v>
      </c>
      <c r="H14">
        <f>IF(Backend!I41="", "", Backend!I41)</f>
        <v>0.15758053999999999</v>
      </c>
      <c r="I14">
        <f>IF(Backend!J41="", "", Backend!J41)</f>
        <v>8.3124020000000007E-2</v>
      </c>
      <c r="J14">
        <f>IF(Backend!K41="", "", Backend!K41)</f>
        <v>1.5972981000000001E-2</v>
      </c>
      <c r="K14">
        <f>IF(Backend!L41="", "", Backend!L41)</f>
        <v>0.13936359000000001</v>
      </c>
      <c r="L14">
        <f>IF(Backend!M41="", "", Backend!M41)</f>
        <v>1</v>
      </c>
      <c r="M14">
        <f>IF(Backend!N41="", "", Backend!N41)</f>
        <v>8.1936629999999996E-2</v>
      </c>
      <c r="N14">
        <f>IF(Backend!O41="", "", Backend!O41)</f>
        <v>-9.9843090000000002E-3</v>
      </c>
      <c r="O14">
        <f>IF(Backend!P41="", "", Backend!P41)</f>
        <v>0.7909216</v>
      </c>
      <c r="P14">
        <f>IF(Backend!Q41="", "", Backend!Q41)</f>
        <v>0.22081925999999999</v>
      </c>
      <c r="Q14">
        <f>IF(Backend!R41="", "", Backend!R41)</f>
        <v>0.16288204000000001</v>
      </c>
      <c r="R14">
        <f>IF(Backend!S41="", "", Backend!S41)</f>
        <v>0.12353887</v>
      </c>
      <c r="S14">
        <f>IF(Backend!T41="", "", Backend!T41)</f>
        <v>0.13976435000000001</v>
      </c>
      <c r="T14">
        <f>IF(Backend!U41="", "", Backend!U41)</f>
        <v>7.9994599999999999E-2</v>
      </c>
      <c r="U14">
        <f>IF(Backend!V41="", "", Backend!V41)</f>
        <v>-2.9537576000000001E-4</v>
      </c>
      <c r="V14">
        <f>IF(Backend!W41="", "", Backend!W41)</f>
        <v>2.0917340999999999E-2</v>
      </c>
      <c r="W14">
        <f>IF(Backend!X41="", "", Backend!X41)</f>
        <v>1.8698664E-2</v>
      </c>
      <c r="X14">
        <f>IF(Backend!Y41="", "", Backend!Y41)</f>
        <v>0.23014588999999999</v>
      </c>
      <c r="Y14">
        <f>IF(Backend!Z41="", "", Backend!Z41)</f>
        <v>0.18813114</v>
      </c>
      <c r="Z14">
        <f>IF(Backend!AA41="", "", Backend!AA41)</f>
        <v>0.14656678000000001</v>
      </c>
      <c r="AA14">
        <f>IF(Backend!AB41="", "", Backend!AB41)</f>
        <v>7.3452329999999996E-2</v>
      </c>
      <c r="AB14">
        <f>IF(Backend!AC41="", "", Backend!AC41)</f>
        <v>0.28133365999999999</v>
      </c>
      <c r="AC14">
        <f>IF(Backend!AD41="", "", Backend!AD41)</f>
        <v>0.18259465999999999</v>
      </c>
      <c r="AD14">
        <f>IF(Backend!AE41="", "", Backend!AE41)</f>
        <v>0.16404775999999999</v>
      </c>
      <c r="AE14">
        <f>IF(Backend!AF41="", "", Backend!AF41)</f>
        <v>0.23542531</v>
      </c>
      <c r="AF14">
        <f>IF(Backend!AG41="", "", Backend!AG41)</f>
        <v>0.23266354</v>
      </c>
      <c r="AG14">
        <f>IF(Backend!AH41="", "", Backend!AH41)</f>
        <v>8.1725049999999994E-2</v>
      </c>
      <c r="AH14">
        <f>IF(Backend!AI41="", "", Backend!AI41)</f>
        <v>0.20306657</v>
      </c>
      <c r="AI14">
        <f>IF(Backend!AJ41="", "", Backend!AJ41)</f>
        <v>0.17813039</v>
      </c>
      <c r="AJ14">
        <f>IF(Backend!AK41="", "", Backend!AK41)</f>
        <v>0.21107449</v>
      </c>
      <c r="AK14">
        <f>IF(Backend!AL41="", "", Backend!AL41)</f>
        <v>0.14662594000000001</v>
      </c>
      <c r="AL14">
        <f>IF(Backend!AM41="", "", Backend!AM41)</f>
        <v>6.5998755000000006E-2</v>
      </c>
      <c r="AM14">
        <f>IF(Backend!AN41="", "", Backend!AN41)</f>
        <v>0.117728055</v>
      </c>
      <c r="AN14">
        <f>IF(Backend!AO41="", "", Backend!AO41)</f>
        <v>8.8384329999999997E-2</v>
      </c>
      <c r="AO14">
        <f>IF(Backend!AP41="", "", Backend!AP41)</f>
        <v>-2.1602994E-2</v>
      </c>
      <c r="AP14">
        <f>IF(Backend!AQ41="", "", Backend!AQ41)</f>
        <v>0.14651273000000001</v>
      </c>
      <c r="AQ14">
        <f>IF(Backend!AR41="", "", Backend!AR41)</f>
        <v>0.20412068</v>
      </c>
      <c r="AR14">
        <f>IF(Backend!AS41="", "", Backend!AS41)</f>
        <v>0.17868339</v>
      </c>
      <c r="AS14">
        <f>IF(Backend!AT41="", "", Backend!AT41)</f>
        <v>0.123900175</v>
      </c>
      <c r="AT14">
        <f>IF(Backend!AU41="", "", Backend!AU41)</f>
        <v>0.13136730999999999</v>
      </c>
      <c r="AU14">
        <f>IF(Backend!AV41="", "", Backend!AV41)</f>
        <v>0.10250765000000001</v>
      </c>
      <c r="AV14">
        <f>IF(Backend!AW41="", "", Backend!AW41)</f>
        <v>0.22861181</v>
      </c>
      <c r="AW14">
        <f>IF(Backend!AX41="", "", Backend!AX41)</f>
        <v>0.13818759</v>
      </c>
      <c r="AX14">
        <f>IF(Backend!AY41="", "", Backend!AY41)</f>
        <v>0.13018793000000001</v>
      </c>
      <c r="AY14">
        <f>IF(Backend!AZ41="", "", Backend!AZ41)</f>
        <v>0.16425037000000001</v>
      </c>
      <c r="AZ14">
        <f>IF(Backend!BA41="", "", Backend!BA41)</f>
        <v>0.15625000999999999</v>
      </c>
      <c r="BA14">
        <f>IF(Backend!BB41="", "", Backend!BB41)</f>
        <v>0.12784481</v>
      </c>
      <c r="BB14">
        <f>IF(Backend!BC41="", "", Backend!BC41)</f>
        <v>0.23072533000000001</v>
      </c>
      <c r="BC14">
        <f>IF(Backend!BD41="", "", Backend!BD41)</f>
        <v>8.2051314E-2</v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Nippon Television Holdings, Inc.</v>
      </c>
      <c r="B15">
        <f>IF(Backend!C42="", "", Backend!C42)</f>
        <v>5.7696770000000001E-2</v>
      </c>
      <c r="C15">
        <f>IF(Backend!D42="", "", Backend!D42)</f>
        <v>0.23129733</v>
      </c>
      <c r="D15">
        <f>IF(Backend!E42="", "", Backend!E42)</f>
        <v>0.105130285</v>
      </c>
      <c r="E15">
        <f>IF(Backend!F42="", "", Backend!F42)</f>
        <v>9.9655380000000002E-2</v>
      </c>
      <c r="F15">
        <f>IF(Backend!G42="", "", Backend!G42)</f>
        <v>0.24441767</v>
      </c>
      <c r="G15">
        <f>IF(Backend!H42="", "", Backend!H42)</f>
        <v>0.26495903999999998</v>
      </c>
      <c r="H15">
        <f>IF(Backend!I42="", "", Backend!I42)</f>
        <v>0.14538102</v>
      </c>
      <c r="I15">
        <f>IF(Backend!J42="", "", Backend!J42)</f>
        <v>0.20757486999999999</v>
      </c>
      <c r="J15">
        <f>IF(Backend!K42="", "", Backend!K42)</f>
        <v>0.24309765999999999</v>
      </c>
      <c r="K15">
        <f>IF(Backend!L42="", "", Backend!L42)</f>
        <v>0.27058422999999998</v>
      </c>
      <c r="L15">
        <f>IF(Backend!M42="", "", Backend!M42)</f>
        <v>8.1936629999999996E-2</v>
      </c>
      <c r="M15">
        <f>IF(Backend!N42="", "", Backend!N42)</f>
        <v>1</v>
      </c>
      <c r="N15">
        <f>IF(Backend!O42="", "", Backend!O42)</f>
        <v>0.23916314999999999</v>
      </c>
      <c r="O15">
        <f>IF(Backend!P42="", "", Backend!P42)</f>
        <v>4.4750276999999998E-2</v>
      </c>
      <c r="P15">
        <f>IF(Backend!Q42="", "", Backend!Q42)</f>
        <v>1.6981214000000001E-2</v>
      </c>
      <c r="Q15">
        <f>IF(Backend!R42="", "", Backend!R42)</f>
        <v>0.1617123</v>
      </c>
      <c r="R15">
        <f>IF(Backend!S42="", "", Backend!S42)</f>
        <v>0.27294003999999999</v>
      </c>
      <c r="S15">
        <f>IF(Backend!T42="", "", Backend!T42)</f>
        <v>0.30260155</v>
      </c>
      <c r="T15">
        <f>IF(Backend!U42="", "", Backend!U42)</f>
        <v>0.10007480000000001</v>
      </c>
      <c r="U15">
        <f>IF(Backend!V42="", "", Backend!V42)</f>
        <v>0.14474975000000001</v>
      </c>
      <c r="V15">
        <f>IF(Backend!W42="", "", Backend!W42)</f>
        <v>0.12904516999999999</v>
      </c>
      <c r="W15">
        <f>IF(Backend!X42="", "", Backend!X42)</f>
        <v>0.29296361999999998</v>
      </c>
      <c r="X15">
        <f>IF(Backend!Y42="", "", Backend!Y42)</f>
        <v>0.15665960000000001</v>
      </c>
      <c r="Y15">
        <f>IF(Backend!Z42="", "", Backend!Z42)</f>
        <v>0.32688093000000001</v>
      </c>
      <c r="Z15">
        <f>IF(Backend!AA42="", "", Backend!AA42)</f>
        <v>0.2028914</v>
      </c>
      <c r="AA15">
        <f>IF(Backend!AB42="", "", Backend!AB42)</f>
        <v>0.29419872000000002</v>
      </c>
      <c r="AB15">
        <f>IF(Backend!AC42="", "", Backend!AC42)</f>
        <v>0.21292174</v>
      </c>
      <c r="AC15">
        <f>IF(Backend!AD42="", "", Backend!AD42)</f>
        <v>0.11496534999999999</v>
      </c>
      <c r="AD15">
        <f>IF(Backend!AE42="", "", Backend!AE42)</f>
        <v>0.16225684000000001</v>
      </c>
      <c r="AE15">
        <f>IF(Backend!AF42="", "", Backend!AF42)</f>
        <v>0.16923365000000001</v>
      </c>
      <c r="AF15">
        <f>IF(Backend!AG42="", "", Backend!AG42)</f>
        <v>0.46994829999999999</v>
      </c>
      <c r="AG15">
        <f>IF(Backend!AH42="", "", Backend!AH42)</f>
        <v>7.8547870000000006E-2</v>
      </c>
      <c r="AH15">
        <f>IF(Backend!AI42="", "", Backend!AI42)</f>
        <v>0.26281947</v>
      </c>
      <c r="AI15">
        <f>IF(Backend!AJ42="", "", Backend!AJ42)</f>
        <v>0.54775099999999999</v>
      </c>
      <c r="AJ15">
        <f>IF(Backend!AK42="", "", Backend!AK42)</f>
        <v>0.25157738000000002</v>
      </c>
      <c r="AK15">
        <f>IF(Backend!AL42="", "", Backend!AL42)</f>
        <v>0.20976432</v>
      </c>
      <c r="AL15">
        <f>IF(Backend!AM42="", "", Backend!AM42)</f>
        <v>0.14224622000000001</v>
      </c>
      <c r="AM15">
        <f>IF(Backend!AN42="", "", Backend!AN42)</f>
        <v>3.9051193999999997E-2</v>
      </c>
      <c r="AN15">
        <f>IF(Backend!AO42="", "", Backend!AO42)</f>
        <v>0.14397705</v>
      </c>
      <c r="AO15">
        <f>IF(Backend!AP42="", "", Backend!AP42)</f>
        <v>0.20232314000000001</v>
      </c>
      <c r="AP15">
        <f>IF(Backend!AQ42="", "", Backend!AQ42)</f>
        <v>0.14918454</v>
      </c>
      <c r="AQ15">
        <f>IF(Backend!AR42="", "", Backend!AR42)</f>
        <v>0.18004538</v>
      </c>
      <c r="AR15">
        <f>IF(Backend!AS42="", "", Backend!AS42)</f>
        <v>0.12029586</v>
      </c>
      <c r="AS15">
        <f>IF(Backend!AT42="", "", Backend!AT42)</f>
        <v>0.19683449</v>
      </c>
      <c r="AT15">
        <f>IF(Backend!AU42="", "", Backend!AU42)</f>
        <v>0.17798015</v>
      </c>
      <c r="AU15">
        <f>IF(Backend!AV42="", "", Backend!AV42)</f>
        <v>6.9902845000000005E-2</v>
      </c>
      <c r="AV15">
        <f>IF(Backend!AW42="", "", Backend!AW42)</f>
        <v>0.13757965</v>
      </c>
      <c r="AW15">
        <f>IF(Backend!AX42="", "", Backend!AX42)</f>
        <v>0.21731067000000001</v>
      </c>
      <c r="AX15">
        <f>IF(Backend!AY42="", "", Backend!AY42)</f>
        <v>0.20375265000000001</v>
      </c>
      <c r="AY15">
        <f>IF(Backend!AZ42="", "", Backend!AZ42)</f>
        <v>0.12965497000000001</v>
      </c>
      <c r="AZ15">
        <f>IF(Backend!BA42="", "", Backend!BA42)</f>
        <v>0.169486</v>
      </c>
      <c r="BA15">
        <f>IF(Backend!BB42="", "", Backend!BB42)</f>
        <v>0.104696594</v>
      </c>
      <c r="BB15">
        <f>IF(Backend!BC42="", "", Backend!BC42)</f>
        <v>0.46910723999999998</v>
      </c>
      <c r="BC15">
        <f>IF(Backend!BD42="", "", Backend!BD42)</f>
        <v>8.3685049999999997E-2</v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British American Tobacco p.l.c.</v>
      </c>
      <c r="B16">
        <f>IF(Backend!C43="", "", Backend!C43)</f>
        <v>9.3237600000000004E-3</v>
      </c>
      <c r="C16">
        <f>IF(Backend!D43="", "", Backend!D43)</f>
        <v>0.30663173999999999</v>
      </c>
      <c r="D16">
        <f>IF(Backend!E43="", "", Backend!E43)</f>
        <v>-3.5203863000000002E-2</v>
      </c>
      <c r="E16">
        <f>IF(Backend!F43="", "", Backend!F43)</f>
        <v>0.16391127999999999</v>
      </c>
      <c r="F16">
        <f>IF(Backend!G43="", "", Backend!G43)</f>
        <v>0.18713176000000001</v>
      </c>
      <c r="G16">
        <f>IF(Backend!H43="", "", Backend!H43)</f>
        <v>0.21382053000000001</v>
      </c>
      <c r="H16">
        <f>IF(Backend!I43="", "", Backend!I43)</f>
        <v>0.16068779999999999</v>
      </c>
      <c r="I16">
        <f>IF(Backend!J43="", "", Backend!J43)</f>
        <v>0.36080941999999999</v>
      </c>
      <c r="J16">
        <f>IF(Backend!K43="", "", Backend!K43)</f>
        <v>0.39362540000000001</v>
      </c>
      <c r="K16">
        <f>IF(Backend!L43="", "", Backend!L43)</f>
        <v>0.16850787</v>
      </c>
      <c r="L16">
        <f>IF(Backend!M43="", "", Backend!M43)</f>
        <v>-9.9843090000000002E-3</v>
      </c>
      <c r="M16">
        <f>IF(Backend!N43="", "", Backend!N43)</f>
        <v>0.23916314999999999</v>
      </c>
      <c r="N16">
        <f>IF(Backend!O43="", "", Backend!O43)</f>
        <v>1</v>
      </c>
      <c r="O16">
        <f>IF(Backend!P43="", "", Backend!P43)</f>
        <v>1.7160218000000001E-2</v>
      </c>
      <c r="P16">
        <f>IF(Backend!Q43="", "", Backend!Q43)</f>
        <v>5.2258138000000003E-2</v>
      </c>
      <c r="Q16">
        <f>IF(Backend!R43="", "", Backend!R43)</f>
        <v>0.13396565999999999</v>
      </c>
      <c r="R16">
        <f>IF(Backend!S43="", "", Backend!S43)</f>
        <v>0.30847242000000002</v>
      </c>
      <c r="S16">
        <f>IF(Backend!T43="", "", Backend!T43)</f>
        <v>0.37525760000000002</v>
      </c>
      <c r="T16">
        <f>IF(Backend!U43="", "", Backend!U43)</f>
        <v>0.20378281000000001</v>
      </c>
      <c r="U16">
        <f>IF(Backend!V43="", "", Backend!V43)</f>
        <v>0.32593262000000001</v>
      </c>
      <c r="V16">
        <f>IF(Backend!W43="", "", Backend!W43)</f>
        <v>0.22064010000000001</v>
      </c>
      <c r="W16">
        <f>IF(Backend!X43="", "", Backend!X43)</f>
        <v>0.64883599999999997</v>
      </c>
      <c r="X16">
        <f>IF(Backend!Y43="", "", Backend!Y43)</f>
        <v>9.8832539999999997E-2</v>
      </c>
      <c r="Y16">
        <f>IF(Backend!Z43="", "", Backend!Z43)</f>
        <v>0.12571628000000001</v>
      </c>
      <c r="Z16">
        <f>IF(Backend!AA43="", "", Backend!AA43)</f>
        <v>5.7767150000000003E-2</v>
      </c>
      <c r="AA16">
        <f>IF(Backend!AB43="", "", Backend!AB43)</f>
        <v>0.15091081000000001</v>
      </c>
      <c r="AB16">
        <f>IF(Backend!AC43="", "", Backend!AC43)</f>
        <v>0.10077234</v>
      </c>
      <c r="AC16">
        <f>IF(Backend!AD43="", "", Backend!AD43)</f>
        <v>0.17820511999999999</v>
      </c>
      <c r="AD16">
        <f>IF(Backend!AE43="", "", Backend!AE43)</f>
        <v>0.27055701999999998</v>
      </c>
      <c r="AE16">
        <f>IF(Backend!AF43="", "", Backend!AF43)</f>
        <v>1.9894002000000002E-3</v>
      </c>
      <c r="AF16">
        <f>IF(Backend!AG43="", "", Backend!AG43)</f>
        <v>0.1732416</v>
      </c>
      <c r="AG16">
        <f>IF(Backend!AH43="", "", Backend!AH43)</f>
        <v>2.5661020999999999E-2</v>
      </c>
      <c r="AH16">
        <f>IF(Backend!AI43="", "", Backend!AI43)</f>
        <v>0.27103207000000001</v>
      </c>
      <c r="AI16">
        <f>IF(Backend!AJ43="", "", Backend!AJ43)</f>
        <v>0.19139676</v>
      </c>
      <c r="AJ16">
        <f>IF(Backend!AK43="", "", Backend!AK43)</f>
        <v>6.9140010000000002E-2</v>
      </c>
      <c r="AK16">
        <f>IF(Backend!AL43="", "", Backend!AL43)</f>
        <v>-5.9963009999999997E-2</v>
      </c>
      <c r="AL16">
        <f>IF(Backend!AM43="", "", Backend!AM43)</f>
        <v>0.14272022000000001</v>
      </c>
      <c r="AM16">
        <f>IF(Backend!AN43="", "", Backend!AN43)</f>
        <v>-3.806321E-2</v>
      </c>
      <c r="AN16">
        <f>IF(Backend!AO43="", "", Backend!AO43)</f>
        <v>0.15754731999999999</v>
      </c>
      <c r="AO16">
        <f>IF(Backend!AP43="", "", Backend!AP43)</f>
        <v>0.12112467</v>
      </c>
      <c r="AP16">
        <f>IF(Backend!AQ43="", "", Backend!AQ43)</f>
        <v>-6.1183090000000002E-2</v>
      </c>
      <c r="AQ16">
        <f>IF(Backend!AR43="", "", Backend!AR43)</f>
        <v>0.18597619000000001</v>
      </c>
      <c r="AR16">
        <f>IF(Backend!AS43="", "", Backend!AS43)</f>
        <v>0.101451896</v>
      </c>
      <c r="AS16">
        <f>IF(Backend!AT43="", "", Backend!AT43)</f>
        <v>1.6942929999999998E-2</v>
      </c>
      <c r="AT16">
        <f>IF(Backend!AU43="", "", Backend!AU43)</f>
        <v>-1.4069495E-2</v>
      </c>
      <c r="AU16">
        <f>IF(Backend!AV43="", "", Backend!AV43)</f>
        <v>-7.1466459999999996E-2</v>
      </c>
      <c r="AV16">
        <f>IF(Backend!AW43="", "", Backend!AW43)</f>
        <v>-9.9539764000000003E-2</v>
      </c>
      <c r="AW16">
        <f>IF(Backend!AX43="", "", Backend!AX43)</f>
        <v>9.3751000000000001E-2</v>
      </c>
      <c r="AX16">
        <f>IF(Backend!AY43="", "", Backend!AY43)</f>
        <v>7.7842060000000005E-2</v>
      </c>
      <c r="AY16">
        <f>IF(Backend!AZ43="", "", Backend!AZ43)</f>
        <v>0.10708406600000001</v>
      </c>
      <c r="AZ16">
        <f>IF(Backend!BA43="", "", Backend!BA43)</f>
        <v>0.14005029999999999</v>
      </c>
      <c r="BA16">
        <f>IF(Backend!BB43="", "", Backend!BB43)</f>
        <v>0.19602940999999999</v>
      </c>
      <c r="BB16">
        <f>IF(Backend!BC43="", "", Backend!BC43)</f>
        <v>0.10964750500000001</v>
      </c>
      <c r="BC16">
        <f>IF(Backend!BD43="", "", Backend!BD43)</f>
        <v>1.4801277E-2</v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Shinhan Financial Group Co., Ltd.</v>
      </c>
      <c r="B17">
        <f>IF(Backend!C44="", "", Backend!C44)</f>
        <v>0.32412334999999998</v>
      </c>
      <c r="C17">
        <f>IF(Backend!D44="", "", Backend!D44)</f>
        <v>0.23434864</v>
      </c>
      <c r="D17">
        <f>IF(Backend!E44="", "", Backend!E44)</f>
        <v>0.122267865</v>
      </c>
      <c r="E17">
        <f>IF(Backend!F44="", "", Backend!F44)</f>
        <v>0.23482536000000001</v>
      </c>
      <c r="F17">
        <f>IF(Backend!G44="", "", Backend!G44)</f>
        <v>0.18611440000000001</v>
      </c>
      <c r="G17">
        <f>IF(Backend!H44="", "", Backend!H44)</f>
        <v>0.17885596000000001</v>
      </c>
      <c r="H17">
        <f>IF(Backend!I44="", "", Backend!I44)</f>
        <v>0.18350135000000001</v>
      </c>
      <c r="I17">
        <f>IF(Backend!J44="", "", Backend!J44)</f>
        <v>0.13065301000000001</v>
      </c>
      <c r="J17">
        <f>IF(Backend!K44="", "", Backend!K44)</f>
        <v>0.11296586</v>
      </c>
      <c r="K17">
        <f>IF(Backend!L44="", "", Backend!L44)</f>
        <v>0.14111083999999999</v>
      </c>
      <c r="L17">
        <f>IF(Backend!M44="", "", Backend!M44)</f>
        <v>0.7909216</v>
      </c>
      <c r="M17">
        <f>IF(Backend!N44="", "", Backend!N44)</f>
        <v>4.4750276999999998E-2</v>
      </c>
      <c r="N17">
        <f>IF(Backend!O44="", "", Backend!O44)</f>
        <v>1.7160218000000001E-2</v>
      </c>
      <c r="O17">
        <f>IF(Backend!P44="", "", Backend!P44)</f>
        <v>1</v>
      </c>
      <c r="P17">
        <f>IF(Backend!Q44="", "", Backend!Q44)</f>
        <v>0.26975968</v>
      </c>
      <c r="Q17">
        <f>IF(Backend!R44="", "", Backend!R44)</f>
        <v>0.15862134</v>
      </c>
      <c r="R17">
        <f>IF(Backend!S44="", "", Backend!S44)</f>
        <v>0.16991492999999999</v>
      </c>
      <c r="S17">
        <f>IF(Backend!T44="", "", Backend!T44)</f>
        <v>0.14354035000000001</v>
      </c>
      <c r="T17">
        <f>IF(Backend!U44="", "", Backend!U44)</f>
        <v>8.5330859999999994E-2</v>
      </c>
      <c r="U17">
        <f>IF(Backend!V44="", "", Backend!V44)</f>
        <v>2.3137781999999999E-2</v>
      </c>
      <c r="V17">
        <f>IF(Backend!W44="", "", Backend!W44)</f>
        <v>4.2250169999999997E-2</v>
      </c>
      <c r="W17">
        <f>IF(Backend!X44="", "", Backend!X44)</f>
        <v>7.2192640000000002E-2</v>
      </c>
      <c r="X17">
        <f>IF(Backend!Y44="", "", Backend!Y44)</f>
        <v>0.23975208000000001</v>
      </c>
      <c r="Y17">
        <f>IF(Backend!Z44="", "", Backend!Z44)</f>
        <v>0.1992495</v>
      </c>
      <c r="Z17">
        <f>IF(Backend!AA44="", "", Backend!AA44)</f>
        <v>0.17663279000000001</v>
      </c>
      <c r="AA17">
        <f>IF(Backend!AB44="", "", Backend!AB44)</f>
        <v>0.10007402999999999</v>
      </c>
      <c r="AB17">
        <f>IF(Backend!AC44="", "", Backend!AC44)</f>
        <v>0.2647177</v>
      </c>
      <c r="AC17">
        <f>IF(Backend!AD44="", "", Backend!AD44)</f>
        <v>0.19425323999999999</v>
      </c>
      <c r="AD17">
        <f>IF(Backend!AE44="", "", Backend!AE44)</f>
        <v>0.17965929</v>
      </c>
      <c r="AE17">
        <f>IF(Backend!AF44="", "", Backend!AF44)</f>
        <v>0.21683453</v>
      </c>
      <c r="AF17">
        <f>IF(Backend!AG44="", "", Backend!AG44)</f>
        <v>0.16971617999999999</v>
      </c>
      <c r="AG17">
        <f>IF(Backend!AH44="", "", Backend!AH44)</f>
        <v>0.13410822999999999</v>
      </c>
      <c r="AH17">
        <f>IF(Backend!AI44="", "", Backend!AI44)</f>
        <v>0.18901707000000001</v>
      </c>
      <c r="AI17">
        <f>IF(Backend!AJ44="", "", Backend!AJ44)</f>
        <v>0.114766166</v>
      </c>
      <c r="AJ17">
        <f>IF(Backend!AK44="", "", Backend!AK44)</f>
        <v>0.23356119</v>
      </c>
      <c r="AK17">
        <f>IF(Backend!AL44="", "", Backend!AL44)</f>
        <v>0.17856295</v>
      </c>
      <c r="AL17">
        <f>IF(Backend!AM44="", "", Backend!AM44)</f>
        <v>0.15046672999999999</v>
      </c>
      <c r="AM17">
        <f>IF(Backend!AN44="", "", Backend!AN44)</f>
        <v>4.4127929999999999E-3</v>
      </c>
      <c r="AN17">
        <f>IF(Backend!AO44="", "", Backend!AO44)</f>
        <v>0.112520434</v>
      </c>
      <c r="AO17">
        <f>IF(Backend!AP44="", "", Backend!AP44)</f>
        <v>-4.5712444999999997E-2</v>
      </c>
      <c r="AP17">
        <f>IF(Backend!AQ44="", "", Backend!AQ44)</f>
        <v>0.14959607</v>
      </c>
      <c r="AQ17">
        <f>IF(Backend!AR44="", "", Backend!AR44)</f>
        <v>0.19148979999999999</v>
      </c>
      <c r="AR17">
        <f>IF(Backend!AS44="", "", Backend!AS44)</f>
        <v>0.12227142000000001</v>
      </c>
      <c r="AS17">
        <f>IF(Backend!AT44="", "", Backend!AT44)</f>
        <v>0.14057696</v>
      </c>
      <c r="AT17">
        <f>IF(Backend!AU44="", "", Backend!AU44)</f>
        <v>0.20874583999999999</v>
      </c>
      <c r="AU17">
        <f>IF(Backend!AV44="", "", Backend!AV44)</f>
        <v>7.6537060000000004E-2</v>
      </c>
      <c r="AV17">
        <f>IF(Backend!AW44="", "", Backend!AW44)</f>
        <v>0.21467103000000001</v>
      </c>
      <c r="AW17">
        <f>IF(Backend!AX44="", "", Backend!AX44)</f>
        <v>0.16450619999999999</v>
      </c>
      <c r="AX17">
        <f>IF(Backend!AY44="", "", Backend!AY44)</f>
        <v>0.15121283999999999</v>
      </c>
      <c r="AY17">
        <f>IF(Backend!AZ44="", "", Backend!AZ44)</f>
        <v>0.13743027999999999</v>
      </c>
      <c r="AZ17">
        <f>IF(Backend!BA44="", "", Backend!BA44)</f>
        <v>0.18710613000000001</v>
      </c>
      <c r="BA17">
        <f>IF(Backend!BB44="", "", Backend!BB44)</f>
        <v>0.17943506000000001</v>
      </c>
      <c r="BB17">
        <f>IF(Backend!BC44="", "", Backend!BC44)</f>
        <v>0.14450774</v>
      </c>
      <c r="BC17">
        <f>IF(Backend!BD44="", "", Backend!BD44)</f>
        <v>3.2514144000000002E-2</v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Standard Chartered PLC</v>
      </c>
      <c r="B18">
        <f>IF(Backend!C45="", "", Backend!C45)</f>
        <v>0.27744534999999998</v>
      </c>
      <c r="C18">
        <f>IF(Backend!D45="", "", Backend!D45)</f>
        <v>0.19595351999999999</v>
      </c>
      <c r="D18">
        <f>IF(Backend!E45="", "", Backend!E45)</f>
        <v>0.26046059999999999</v>
      </c>
      <c r="E18">
        <f>IF(Backend!F45="", "", Backend!F45)</f>
        <v>0.69445429999999997</v>
      </c>
      <c r="F18">
        <f>IF(Backend!G45="", "", Backend!G45)</f>
        <v>0.21109301</v>
      </c>
      <c r="G18">
        <f>IF(Backend!H45="", "", Backend!H45)</f>
        <v>0.24121783999999999</v>
      </c>
      <c r="H18">
        <f>IF(Backend!I45="", "", Backend!I45)</f>
        <v>0.52802400000000005</v>
      </c>
      <c r="I18">
        <f>IF(Backend!J45="", "", Backend!J45)</f>
        <v>0.16872404999999999</v>
      </c>
      <c r="J18">
        <f>IF(Backend!K45="", "", Backend!K45)</f>
        <v>0.18427015999999999</v>
      </c>
      <c r="K18">
        <f>IF(Backend!L45="", "", Backend!L45)</f>
        <v>0.17581394</v>
      </c>
      <c r="L18">
        <f>IF(Backend!M45="", "", Backend!M45)</f>
        <v>0.22081925999999999</v>
      </c>
      <c r="M18">
        <f>IF(Backend!N45="", "", Backend!N45)</f>
        <v>1.6981214000000001E-2</v>
      </c>
      <c r="N18">
        <f>IF(Backend!O45="", "", Backend!O45)</f>
        <v>5.2258138000000003E-2</v>
      </c>
      <c r="O18">
        <f>IF(Backend!P45="", "", Backend!P45)</f>
        <v>0.26975968</v>
      </c>
      <c r="P18">
        <f>IF(Backend!Q45="", "", Backend!Q45)</f>
        <v>1</v>
      </c>
      <c r="Q18">
        <f>IF(Backend!R45="", "", Backend!R45)</f>
        <v>0.46893923999999998</v>
      </c>
      <c r="R18">
        <f>IF(Backend!S45="", "", Backend!S45)</f>
        <v>1.6887756E-2</v>
      </c>
      <c r="S18">
        <f>IF(Backend!T45="", "", Backend!T45)</f>
        <v>0.29889539999999998</v>
      </c>
      <c r="T18">
        <f>IF(Backend!U45="", "", Backend!U45)</f>
        <v>0.43660070000000001</v>
      </c>
      <c r="U18">
        <f>IF(Backend!V45="", "", Backend!V45)</f>
        <v>-1.2362991E-2</v>
      </c>
      <c r="V18">
        <f>IF(Backend!W45="", "", Backend!W45)</f>
        <v>0.42210209999999998</v>
      </c>
      <c r="W18">
        <f>IF(Backend!X45="", "", Backend!X45)</f>
        <v>6.0187444E-2</v>
      </c>
      <c r="X18">
        <f>IF(Backend!Y45="", "", Backend!Y45)</f>
        <v>0.22438721</v>
      </c>
      <c r="Y18">
        <f>IF(Backend!Z45="", "", Backend!Z45)</f>
        <v>0.23885476999999999</v>
      </c>
      <c r="Z18">
        <f>IF(Backend!AA45="", "", Backend!AA45)</f>
        <v>0.29591697</v>
      </c>
      <c r="AA18">
        <f>IF(Backend!AB45="", "", Backend!AB45)</f>
        <v>0.16750917000000001</v>
      </c>
      <c r="AB18">
        <f>IF(Backend!AC45="", "", Backend!AC45)</f>
        <v>0.39445560000000002</v>
      </c>
      <c r="AC18">
        <f>IF(Backend!AD45="", "", Backend!AD45)</f>
        <v>0.48735373999999998</v>
      </c>
      <c r="AD18">
        <f>IF(Backend!AE45="", "", Backend!AE45)</f>
        <v>0.32009783000000003</v>
      </c>
      <c r="AE18">
        <f>IF(Backend!AF45="", "", Backend!AF45)</f>
        <v>0.44546016999999999</v>
      </c>
      <c r="AF18">
        <f>IF(Backend!AG45="", "", Backend!AG45)</f>
        <v>0.20918179000000001</v>
      </c>
      <c r="AG18">
        <f>IF(Backend!AH45="", "", Backend!AH45)</f>
        <v>0.25338206000000002</v>
      </c>
      <c r="AH18">
        <f>IF(Backend!AI45="", "", Backend!AI45)</f>
        <v>0.21243961</v>
      </c>
      <c r="AI18">
        <f>IF(Backend!AJ45="", "", Backend!AJ45)</f>
        <v>3.1924556999999999E-2</v>
      </c>
      <c r="AJ18">
        <f>IF(Backend!AK45="", "", Backend!AK45)</f>
        <v>0.19671797999999999</v>
      </c>
      <c r="AK18">
        <f>IF(Backend!AL45="", "", Backend!AL45)</f>
        <v>0.3823146</v>
      </c>
      <c r="AL18">
        <f>IF(Backend!AM45="", "", Backend!AM45)</f>
        <v>5.5297602000000001E-2</v>
      </c>
      <c r="AM18">
        <f>IF(Backend!AN45="", "", Backend!AN45)</f>
        <v>0.1992276</v>
      </c>
      <c r="AN18">
        <f>IF(Backend!AO45="", "", Backend!AO45)</f>
        <v>0.12128377999999999</v>
      </c>
      <c r="AO18">
        <f>IF(Backend!AP45="", "", Backend!AP45)</f>
        <v>0.23282855999999999</v>
      </c>
      <c r="AP18">
        <f>IF(Backend!AQ45="", "", Backend!AQ45)</f>
        <v>0.30008220000000002</v>
      </c>
      <c r="AQ18">
        <f>IF(Backend!AR45="", "", Backend!AR45)</f>
        <v>0.30500755000000002</v>
      </c>
      <c r="AR18">
        <f>IF(Backend!AS45="", "", Backend!AS45)</f>
        <v>0.31501975999999998</v>
      </c>
      <c r="AS18">
        <f>IF(Backend!AT45="", "", Backend!AT45)</f>
        <v>0.30551194999999998</v>
      </c>
      <c r="AT18">
        <f>IF(Backend!AU45="", "", Backend!AU45)</f>
        <v>0.28268041999999999</v>
      </c>
      <c r="AU18">
        <f>IF(Backend!AV45="", "", Backend!AV45)</f>
        <v>0.16931251999999999</v>
      </c>
      <c r="AV18">
        <f>IF(Backend!AW45="", "", Backend!AW45)</f>
        <v>0.2924081</v>
      </c>
      <c r="AW18">
        <f>IF(Backend!AX45="", "", Backend!AX45)</f>
        <v>0.38074734999999998</v>
      </c>
      <c r="AX18">
        <f>IF(Backend!AY45="", "", Backend!AY45)</f>
        <v>0.30433830000000001</v>
      </c>
      <c r="AY18">
        <f>IF(Backend!AZ45="", "", Backend!AZ45)</f>
        <v>0.72589784999999996</v>
      </c>
      <c r="AZ18">
        <f>IF(Backend!BA45="", "", Backend!BA45)</f>
        <v>0.52025779999999999</v>
      </c>
      <c r="BA18">
        <f>IF(Backend!BB45="", "", Backend!BB45)</f>
        <v>0.56853330000000002</v>
      </c>
      <c r="BB18">
        <f>IF(Backend!BC45="", "", Backend!BC45)</f>
        <v>-8.121929E-2</v>
      </c>
      <c r="BC18">
        <f>IF(Backend!BD45="", "", Backend!BD45)</f>
        <v>8.1683640000000002E-2</v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Bank of Ireland Group Plc</v>
      </c>
      <c r="B19">
        <f>IF(Backend!C46="", "", Backend!C46)</f>
        <v>0.30242920000000001</v>
      </c>
      <c r="C19">
        <f>IF(Backend!D46="", "", Backend!D46)</f>
        <v>0.27419346999999999</v>
      </c>
      <c r="D19">
        <f>IF(Backend!E46="", "", Backend!E46)</f>
        <v>0.36773494000000001</v>
      </c>
      <c r="E19">
        <f>IF(Backend!F46="", "", Backend!F46)</f>
        <v>0.55422979999999999</v>
      </c>
      <c r="F19">
        <f>IF(Backend!G46="", "", Backend!G46)</f>
        <v>0.29676940000000002</v>
      </c>
      <c r="G19">
        <f>IF(Backend!H46="", "", Backend!H46)</f>
        <v>0.24585290000000001</v>
      </c>
      <c r="H19">
        <f>IF(Backend!I46="", "", Backend!I46)</f>
        <v>0.46300212000000002</v>
      </c>
      <c r="I19">
        <f>IF(Backend!J46="", "", Backend!J46)</f>
        <v>0.24353985</v>
      </c>
      <c r="J19">
        <f>IF(Backend!K46="", "", Backend!K46)</f>
        <v>0.24788368999999999</v>
      </c>
      <c r="K19">
        <f>IF(Backend!L46="", "", Backend!L46)</f>
        <v>0.34396988000000001</v>
      </c>
      <c r="L19">
        <f>IF(Backend!M46="", "", Backend!M46)</f>
        <v>0.16288204000000001</v>
      </c>
      <c r="M19">
        <f>IF(Backend!N46="", "", Backend!N46)</f>
        <v>0.1617123</v>
      </c>
      <c r="N19">
        <f>IF(Backend!O46="", "", Backend!O46)</f>
        <v>0.13396565999999999</v>
      </c>
      <c r="O19">
        <f>IF(Backend!P46="", "", Backend!P46)</f>
        <v>0.15862134</v>
      </c>
      <c r="P19">
        <f>IF(Backend!Q46="", "", Backend!Q46)</f>
        <v>0.46893923999999998</v>
      </c>
      <c r="Q19">
        <f>IF(Backend!R46="", "", Backend!R46)</f>
        <v>1</v>
      </c>
      <c r="R19">
        <f>IF(Backend!S46="", "", Backend!S46)</f>
        <v>0.17257744</v>
      </c>
      <c r="S19">
        <f>IF(Backend!T46="", "", Backend!T46)</f>
        <v>0.48384902000000002</v>
      </c>
      <c r="T19">
        <f>IF(Backend!U46="", "", Backend!U46)</f>
        <v>0.6429047</v>
      </c>
      <c r="U19">
        <f>IF(Backend!V46="", "", Backend!V46)</f>
        <v>4.8517513999999998E-2</v>
      </c>
      <c r="V19">
        <f>IF(Backend!W46="", "", Backend!W46)</f>
        <v>0.56121606000000002</v>
      </c>
      <c r="W19">
        <f>IF(Backend!X46="", "", Backend!X46)</f>
        <v>0.16456148000000001</v>
      </c>
      <c r="X19">
        <f>IF(Backend!Y46="", "", Backend!Y46)</f>
        <v>0.21885937</v>
      </c>
      <c r="Y19">
        <f>IF(Backend!Z46="", "", Backend!Z46)</f>
        <v>0.26655669999999998</v>
      </c>
      <c r="Z19">
        <f>IF(Backend!AA46="", "", Backend!AA46)</f>
        <v>0.33111786999999998</v>
      </c>
      <c r="AA19">
        <f>IF(Backend!AB46="", "", Backend!AB46)</f>
        <v>0.16200133999999999</v>
      </c>
      <c r="AB19">
        <f>IF(Backend!AC46="", "", Backend!AC46)</f>
        <v>0.45053408</v>
      </c>
      <c r="AC19">
        <f>IF(Backend!AD46="", "", Backend!AD46)</f>
        <v>0.62338959999999999</v>
      </c>
      <c r="AD19">
        <f>IF(Backend!AE46="", "", Backend!AE46)</f>
        <v>0.459231</v>
      </c>
      <c r="AE19">
        <f>IF(Backend!AF46="", "", Backend!AF46)</f>
        <v>0.48128854999999998</v>
      </c>
      <c r="AF19">
        <f>IF(Backend!AG46="", "", Backend!AG46)</f>
        <v>0.30312640000000002</v>
      </c>
      <c r="AG19">
        <f>IF(Backend!AH46="", "", Backend!AH46)</f>
        <v>0.26996332000000001</v>
      </c>
      <c r="AH19">
        <f>IF(Backend!AI46="", "", Backend!AI46)</f>
        <v>0.32110172999999997</v>
      </c>
      <c r="AI19">
        <f>IF(Backend!AJ46="", "", Backend!AJ46)</f>
        <v>0.15477751000000001</v>
      </c>
      <c r="AJ19">
        <f>IF(Backend!AK46="", "", Backend!AK46)</f>
        <v>0.27573449999999999</v>
      </c>
      <c r="AK19">
        <f>IF(Backend!AL46="", "", Backend!AL46)</f>
        <v>0.51881330000000003</v>
      </c>
      <c r="AL19">
        <f>IF(Backend!AM46="", "", Backend!AM46)</f>
        <v>0.30553922</v>
      </c>
      <c r="AM19">
        <f>IF(Backend!AN46="", "", Backend!AN46)</f>
        <v>0.14070487000000001</v>
      </c>
      <c r="AN19">
        <f>IF(Backend!AO46="", "", Backend!AO46)</f>
        <v>0.13535625000000001</v>
      </c>
      <c r="AO19">
        <f>IF(Backend!AP46="", "", Backend!AP46)</f>
        <v>0.34984749999999998</v>
      </c>
      <c r="AP19">
        <f>IF(Backend!AQ46="", "", Backend!AQ46)</f>
        <v>0.52461915999999997</v>
      </c>
      <c r="AQ19">
        <f>IF(Backend!AR46="", "", Backend!AR46)</f>
        <v>0.34357110000000002</v>
      </c>
      <c r="AR19">
        <f>IF(Backend!AS46="", "", Backend!AS46)</f>
        <v>0.34057029999999999</v>
      </c>
      <c r="AS19">
        <f>IF(Backend!AT46="", "", Backend!AT46)</f>
        <v>0.45550716000000002</v>
      </c>
      <c r="AT19">
        <f>IF(Backend!AU46="", "", Backend!AU46)</f>
        <v>0.28817487000000003</v>
      </c>
      <c r="AU19">
        <f>IF(Backend!AV46="", "", Backend!AV46)</f>
        <v>0.24219123000000001</v>
      </c>
      <c r="AV19">
        <f>IF(Backend!AW46="", "", Backend!AW46)</f>
        <v>0.27762565</v>
      </c>
      <c r="AW19">
        <f>IF(Backend!AX46="", "", Backend!AX46)</f>
        <v>0.40001750000000003</v>
      </c>
      <c r="AX19">
        <f>IF(Backend!AY46="", "", Backend!AY46)</f>
        <v>0.51787954999999997</v>
      </c>
      <c r="AY19">
        <f>IF(Backend!AZ46="", "", Backend!AZ46)</f>
        <v>0.53447299999999998</v>
      </c>
      <c r="AZ19">
        <f>IF(Backend!BA46="", "", Backend!BA46)</f>
        <v>0.61854469999999995</v>
      </c>
      <c r="BA19">
        <f>IF(Backend!BB46="", "", Backend!BB46)</f>
        <v>0.50658760000000003</v>
      </c>
      <c r="BB19">
        <f>IF(Backend!BC46="", "", Backend!BC46)</f>
        <v>2.4644012E-2</v>
      </c>
      <c r="BC19">
        <f>IF(Backend!BD46="", "", Backend!BD46)</f>
        <v>0.124135286</v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Koninklijke Ahold Delhaize N.V.</v>
      </c>
      <c r="B20">
        <f>IF(Backend!C47="", "", Backend!C47)</f>
        <v>0.15374705</v>
      </c>
      <c r="C20">
        <f>IF(Backend!D47="", "", Backend!D47)</f>
        <v>0.33582336000000002</v>
      </c>
      <c r="D20">
        <f>IF(Backend!E47="", "", Backend!E47)</f>
        <v>0.20681098000000001</v>
      </c>
      <c r="E20">
        <f>IF(Backend!F47="", "", Backend!F47)</f>
        <v>0.16893730000000001</v>
      </c>
      <c r="F20">
        <f>IF(Backend!G47="", "", Backend!G47)</f>
        <v>0.29427439999999999</v>
      </c>
      <c r="G20">
        <f>IF(Backend!H47="", "", Backend!H47)</f>
        <v>0.3920304</v>
      </c>
      <c r="H20">
        <f>IF(Backend!I47="", "", Backend!I47)</f>
        <v>0.17992984000000001</v>
      </c>
      <c r="I20">
        <f>IF(Backend!J47="", "", Backend!J47)</f>
        <v>0.37719904999999998</v>
      </c>
      <c r="J20">
        <f>IF(Backend!K47="", "", Backend!K47)</f>
        <v>0.41040673999999999</v>
      </c>
      <c r="K20">
        <f>IF(Backend!L47="", "", Backend!L47)</f>
        <v>0.38726735000000001</v>
      </c>
      <c r="L20">
        <f>IF(Backend!M47="", "", Backend!M47)</f>
        <v>0.12353887</v>
      </c>
      <c r="M20">
        <f>IF(Backend!N47="", "", Backend!N47)</f>
        <v>0.27294003999999999</v>
      </c>
      <c r="N20">
        <f>IF(Backend!O47="", "", Backend!O47)</f>
        <v>0.30847242000000002</v>
      </c>
      <c r="O20">
        <f>IF(Backend!P47="", "", Backend!P47)</f>
        <v>0.16991492999999999</v>
      </c>
      <c r="P20">
        <f>IF(Backend!Q47="", "", Backend!Q47)</f>
        <v>1.6887756E-2</v>
      </c>
      <c r="Q20">
        <f>IF(Backend!R47="", "", Backend!R47)</f>
        <v>0.17257744</v>
      </c>
      <c r="R20">
        <f>IF(Backend!S47="", "", Backend!S47)</f>
        <v>1</v>
      </c>
      <c r="S20">
        <f>IF(Backend!T47="", "", Backend!T47)</f>
        <v>0.47213304</v>
      </c>
      <c r="T20">
        <f>IF(Backend!U47="", "", Backend!U47)</f>
        <v>0.13689572</v>
      </c>
      <c r="U20">
        <f>IF(Backend!V47="", "", Backend!V47)</f>
        <v>0.45907049999999999</v>
      </c>
      <c r="V20">
        <f>IF(Backend!W47="", "", Backend!W47)</f>
        <v>0.16388401</v>
      </c>
      <c r="W20">
        <f>IF(Backend!X47="", "", Backend!X47)</f>
        <v>0.42838021999999998</v>
      </c>
      <c r="X20">
        <f>IF(Backend!Y47="", "", Backend!Y47)</f>
        <v>0.30435522999999998</v>
      </c>
      <c r="Y20">
        <f>IF(Backend!Z47="", "", Backend!Z47)</f>
        <v>0.2149124</v>
      </c>
      <c r="Z20">
        <f>IF(Backend!AA47="", "", Backend!AA47)</f>
        <v>0.14456657000000001</v>
      </c>
      <c r="AA20">
        <f>IF(Backend!AB47="", "", Backend!AB47)</f>
        <v>0.30004922000000001</v>
      </c>
      <c r="AB20">
        <f>IF(Backend!AC47="", "", Backend!AC47)</f>
        <v>0.27139020000000003</v>
      </c>
      <c r="AC20">
        <f>IF(Backend!AD47="", "", Backend!AD47)</f>
        <v>0.24740052000000001</v>
      </c>
      <c r="AD20">
        <f>IF(Backend!AE47="", "", Backend!AE47)</f>
        <v>0.44366994999999998</v>
      </c>
      <c r="AE20">
        <f>IF(Backend!AF47="", "", Backend!AF47)</f>
        <v>0.1062748</v>
      </c>
      <c r="AF20">
        <f>IF(Backend!AG47="", "", Backend!AG47)</f>
        <v>0.29215837</v>
      </c>
      <c r="AG20">
        <f>IF(Backend!AH47="", "", Backend!AH47)</f>
        <v>9.5619529999999994E-2</v>
      </c>
      <c r="AH20">
        <f>IF(Backend!AI47="", "", Backend!AI47)</f>
        <v>0.40769058000000002</v>
      </c>
      <c r="AI20">
        <f>IF(Backend!AJ47="", "", Backend!AJ47)</f>
        <v>0.37051835999999999</v>
      </c>
      <c r="AJ20">
        <f>IF(Backend!AK47="", "", Backend!AK47)</f>
        <v>0.14890496</v>
      </c>
      <c r="AK20">
        <f>IF(Backend!AL47="", "", Backend!AL47)</f>
        <v>0.21321878</v>
      </c>
      <c r="AL20">
        <f>IF(Backend!AM47="", "", Backend!AM47)</f>
        <v>0.41865599999999997</v>
      </c>
      <c r="AM20">
        <f>IF(Backend!AN47="", "", Backend!AN47)</f>
        <v>-3.3967476000000003E-2</v>
      </c>
      <c r="AN20">
        <f>IF(Backend!AO47="", "", Backend!AO47)</f>
        <v>0.12761724999999999</v>
      </c>
      <c r="AO20">
        <f>IF(Backend!AP47="", "", Backend!AP47)</f>
        <v>0.20349069</v>
      </c>
      <c r="AP20">
        <f>IF(Backend!AQ47="", "", Backend!AQ47)</f>
        <v>0.21220170999999999</v>
      </c>
      <c r="AQ20">
        <f>IF(Backend!AR47="", "", Backend!AR47)</f>
        <v>0.26860436999999998</v>
      </c>
      <c r="AR20">
        <f>IF(Backend!AS47="", "", Backend!AS47)</f>
        <v>0.10452</v>
      </c>
      <c r="AS20">
        <f>IF(Backend!AT47="", "", Backend!AT47)</f>
        <v>0.14664163999999999</v>
      </c>
      <c r="AT20">
        <f>IF(Backend!AU47="", "", Backend!AU47)</f>
        <v>6.2269850000000002E-2</v>
      </c>
      <c r="AU20">
        <f>IF(Backend!AV47="", "", Backend!AV47)</f>
        <v>0.1304197</v>
      </c>
      <c r="AV20">
        <f>IF(Backend!AW47="", "", Backend!AW47)</f>
        <v>-4.4319745000000001E-2</v>
      </c>
      <c r="AW20">
        <f>IF(Backend!AX47="", "", Backend!AX47)</f>
        <v>0.18623486</v>
      </c>
      <c r="AX20">
        <f>IF(Backend!AY47="", "", Backend!AY47)</f>
        <v>0.28211477000000001</v>
      </c>
      <c r="AY20">
        <f>IF(Backend!AZ47="", "", Backend!AZ47)</f>
        <v>0.15434521000000001</v>
      </c>
      <c r="AZ20">
        <f>IF(Backend!BA47="", "", Backend!BA47)</f>
        <v>0.15272357</v>
      </c>
      <c r="BA20">
        <f>IF(Backend!BB47="", "", Backend!BB47)</f>
        <v>0.22449669999999999</v>
      </c>
      <c r="BB20">
        <f>IF(Backend!BC47="", "", Backend!BC47)</f>
        <v>0.27864625999999998</v>
      </c>
      <c r="BC20">
        <f>IF(Backend!BD47="", "", Backend!BD47)</f>
        <v>8.7751599999999999E-2</v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ageas SA/NV</v>
      </c>
      <c r="B21">
        <f>IF(Backend!C48="", "", Backend!C48)</f>
        <v>0.23169256999999999</v>
      </c>
      <c r="C21">
        <f>IF(Backend!D48="", "", Backend!D48)</f>
        <v>0.35078042999999998</v>
      </c>
      <c r="D21">
        <f>IF(Backend!E48="", "", Backend!E48)</f>
        <v>0.30584070000000002</v>
      </c>
      <c r="E21">
        <f>IF(Backend!F48="", "", Backend!F48)</f>
        <v>0.48482448</v>
      </c>
      <c r="F21">
        <f>IF(Backend!G48="", "", Backend!G48)</f>
        <v>0.35786351999999999</v>
      </c>
      <c r="G21">
        <f>IF(Backend!H48="", "", Backend!H48)</f>
        <v>0.39453579999999999</v>
      </c>
      <c r="H21">
        <f>IF(Backend!I48="", "", Backend!I48)</f>
        <v>0.51133936999999996</v>
      </c>
      <c r="I21">
        <f>IF(Backend!J48="", "", Backend!J48)</f>
        <v>0.42979074</v>
      </c>
      <c r="J21">
        <f>IF(Backend!K48="", "", Backend!K48)</f>
        <v>0.43407067999999999</v>
      </c>
      <c r="K21">
        <f>IF(Backend!L48="", "", Backend!L48)</f>
        <v>0.33134355999999998</v>
      </c>
      <c r="L21">
        <f>IF(Backend!M48="", "", Backend!M48)</f>
        <v>0.13976435000000001</v>
      </c>
      <c r="M21">
        <f>IF(Backend!N48="", "", Backend!N48)</f>
        <v>0.30260155</v>
      </c>
      <c r="N21">
        <f>IF(Backend!O48="", "", Backend!O48)</f>
        <v>0.37525760000000002</v>
      </c>
      <c r="O21">
        <f>IF(Backend!P48="", "", Backend!P48)</f>
        <v>0.14354035000000001</v>
      </c>
      <c r="P21">
        <f>IF(Backend!Q48="", "", Backend!Q48)</f>
        <v>0.29889539999999998</v>
      </c>
      <c r="Q21">
        <f>IF(Backend!R48="", "", Backend!R48)</f>
        <v>0.48384902000000002</v>
      </c>
      <c r="R21">
        <f>IF(Backend!S48="", "", Backend!S48)</f>
        <v>0.47213304</v>
      </c>
      <c r="S21">
        <f>IF(Backend!T48="", "", Backend!T48)</f>
        <v>1</v>
      </c>
      <c r="T21">
        <f>IF(Backend!U48="", "", Backend!U48)</f>
        <v>0.49188352000000002</v>
      </c>
      <c r="U21">
        <f>IF(Backend!V48="", "", Backend!V48)</f>
        <v>0.27058357</v>
      </c>
      <c r="V21">
        <f>IF(Backend!W48="", "", Backend!W48)</f>
        <v>0.48520764999999999</v>
      </c>
      <c r="W21">
        <f>IF(Backend!X48="", "", Backend!X48)</f>
        <v>0.41761142000000001</v>
      </c>
      <c r="X21">
        <f>IF(Backend!Y48="", "", Backend!Y48)</f>
        <v>0.2622834</v>
      </c>
      <c r="Y21">
        <f>IF(Backend!Z48="", "", Backend!Z48)</f>
        <v>0.29049029999999998</v>
      </c>
      <c r="Z21">
        <f>IF(Backend!AA48="", "", Backend!AA48)</f>
        <v>0.24272637</v>
      </c>
      <c r="AA21">
        <f>IF(Backend!AB48="", "", Backend!AB48)</f>
        <v>0.27564684</v>
      </c>
      <c r="AB21">
        <f>IF(Backend!AC48="", "", Backend!AC48)</f>
        <v>0.42812547000000001</v>
      </c>
      <c r="AC21">
        <f>IF(Backend!AD48="", "", Backend!AD48)</f>
        <v>0.54407172999999998</v>
      </c>
      <c r="AD21">
        <f>IF(Backend!AE48="", "", Backend!AE48)</f>
        <v>0.68612503999999996</v>
      </c>
      <c r="AE21">
        <f>IF(Backend!AF48="", "", Backend!AF48)</f>
        <v>0.31312712999999998</v>
      </c>
      <c r="AF21">
        <f>IF(Backend!AG48="", "", Backend!AG48)</f>
        <v>0.33341545</v>
      </c>
      <c r="AG21">
        <f>IF(Backend!AH48="", "", Backend!AH48)</f>
        <v>0.28076200000000001</v>
      </c>
      <c r="AH21">
        <f>IF(Backend!AI48="", "", Backend!AI48)</f>
        <v>0.51457909999999996</v>
      </c>
      <c r="AI21">
        <f>IF(Backend!AJ48="", "", Backend!AJ48)</f>
        <v>0.37190943999999998</v>
      </c>
      <c r="AJ21">
        <f>IF(Backend!AK48="", "", Backend!AK48)</f>
        <v>0.24686997999999999</v>
      </c>
      <c r="AK21">
        <f>IF(Backend!AL48="", "", Backend!AL48)</f>
        <v>0.38863750000000002</v>
      </c>
      <c r="AL21">
        <f>IF(Backend!AM48="", "", Backend!AM48)</f>
        <v>0.36957543999999998</v>
      </c>
      <c r="AM21">
        <f>IF(Backend!AN48="", "", Backend!AN48)</f>
        <v>9.8456963999999994E-2</v>
      </c>
      <c r="AN21">
        <f>IF(Backend!AO48="", "", Backend!AO48)</f>
        <v>0.22153173000000001</v>
      </c>
      <c r="AO21">
        <f>IF(Backend!AP48="", "", Backend!AP48)</f>
        <v>0.42305544</v>
      </c>
      <c r="AP21">
        <f>IF(Backend!AQ48="", "", Backend!AQ48)</f>
        <v>0.35117500000000001</v>
      </c>
      <c r="AQ21">
        <f>IF(Backend!AR48="", "", Backend!AR48)</f>
        <v>0.46017884999999997</v>
      </c>
      <c r="AR21">
        <f>IF(Backend!AS48="", "", Backend!AS48)</f>
        <v>0.34658408000000002</v>
      </c>
      <c r="AS21">
        <f>IF(Backend!AT48="", "", Backend!AT48)</f>
        <v>0.34923156999999999</v>
      </c>
      <c r="AT21">
        <f>IF(Backend!AU48="", "", Backend!AU48)</f>
        <v>0.23835418999999999</v>
      </c>
      <c r="AU21">
        <f>IF(Backend!AV48="", "", Backend!AV48)</f>
        <v>0.25837216000000002</v>
      </c>
      <c r="AV21">
        <f>IF(Backend!AW48="", "", Backend!AW48)</f>
        <v>0.11456311</v>
      </c>
      <c r="AW21">
        <f>IF(Backend!AX48="", "", Backend!AX48)</f>
        <v>0.32978255000000001</v>
      </c>
      <c r="AX21">
        <f>IF(Backend!AY48="", "", Backend!AY48)</f>
        <v>0.45624098000000002</v>
      </c>
      <c r="AY21">
        <f>IF(Backend!AZ48="", "", Backend!AZ48)</f>
        <v>0.44322600000000001</v>
      </c>
      <c r="AZ21">
        <f>IF(Backend!BA48="", "", Backend!BA48)</f>
        <v>0.5540081</v>
      </c>
      <c r="BA21">
        <f>IF(Backend!BB48="", "", Backend!BB48)</f>
        <v>0.47647947000000002</v>
      </c>
      <c r="BB21">
        <f>IF(Backend!BC48="", "", Backend!BC48)</f>
        <v>0.18985726</v>
      </c>
      <c r="BC21">
        <f>IF(Backend!BD48="", "", Backend!BD48)</f>
        <v>0.11983190000000001</v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ABN AMRO Bank N.V. Depositary receipts</v>
      </c>
      <c r="B22">
        <f>IF(Backend!C49="", "", Backend!C49)</f>
        <v>0.23839998000000001</v>
      </c>
      <c r="C22">
        <f>IF(Backend!D49="", "", Backend!D49)</f>
        <v>0.23431805</v>
      </c>
      <c r="D22">
        <f>IF(Backend!E49="", "", Backend!E49)</f>
        <v>0.37437049999999999</v>
      </c>
      <c r="E22">
        <f>IF(Backend!F49="", "", Backend!F49)</f>
        <v>0.55726503999999999</v>
      </c>
      <c r="F22">
        <f>IF(Backend!G49="", "", Backend!G49)</f>
        <v>0.30823215999999998</v>
      </c>
      <c r="G22">
        <f>IF(Backend!H49="", "", Backend!H49)</f>
        <v>0.30680787999999998</v>
      </c>
      <c r="H22">
        <f>IF(Backend!I49="", "", Backend!I49)</f>
        <v>0.47655067000000001</v>
      </c>
      <c r="I22">
        <f>IF(Backend!J49="", "", Backend!J49)</f>
        <v>0.17759923999999999</v>
      </c>
      <c r="J22">
        <f>IF(Backend!K49="", "", Backend!K49)</f>
        <v>0.25425160000000002</v>
      </c>
      <c r="K22">
        <f>IF(Backend!L49="", "", Backend!L49)</f>
        <v>0.31015029999999999</v>
      </c>
      <c r="L22">
        <f>IF(Backend!M49="", "", Backend!M49)</f>
        <v>7.9994599999999999E-2</v>
      </c>
      <c r="M22">
        <f>IF(Backend!N49="", "", Backend!N49)</f>
        <v>0.10007480000000001</v>
      </c>
      <c r="N22">
        <f>IF(Backend!O49="", "", Backend!O49)</f>
        <v>0.20378281000000001</v>
      </c>
      <c r="O22">
        <f>IF(Backend!P49="", "", Backend!P49)</f>
        <v>8.5330859999999994E-2</v>
      </c>
      <c r="P22">
        <f>IF(Backend!Q49="", "", Backend!Q49)</f>
        <v>0.43660070000000001</v>
      </c>
      <c r="Q22">
        <f>IF(Backend!R49="", "", Backend!R49)</f>
        <v>0.6429047</v>
      </c>
      <c r="R22">
        <f>IF(Backend!S49="", "", Backend!S49)</f>
        <v>0.13689572</v>
      </c>
      <c r="S22">
        <f>IF(Backend!T49="", "", Backend!T49)</f>
        <v>0.49188352000000002</v>
      </c>
      <c r="T22">
        <f>IF(Backend!U49="", "", Backend!U49)</f>
        <v>1</v>
      </c>
      <c r="U22">
        <f>IF(Backend!V49="", "", Backend!V49)</f>
        <v>1.4430686999999999E-2</v>
      </c>
      <c r="V22">
        <f>IF(Backend!W49="", "", Backend!W49)</f>
        <v>0.56614830000000005</v>
      </c>
      <c r="W22">
        <f>IF(Backend!X49="", "", Backend!X49)</f>
        <v>0.10618144</v>
      </c>
      <c r="X22">
        <f>IF(Backend!Y49="", "", Backend!Y49)</f>
        <v>0.16895378</v>
      </c>
      <c r="Y22">
        <f>IF(Backend!Z49="", "", Backend!Z49)</f>
        <v>0.18535570000000001</v>
      </c>
      <c r="Z22">
        <f>IF(Backend!AA49="", "", Backend!AA49)</f>
        <v>0.21756436000000001</v>
      </c>
      <c r="AA22">
        <f>IF(Backend!AB49="", "", Backend!AB49)</f>
        <v>0.14110576</v>
      </c>
      <c r="AB22">
        <f>IF(Backend!AC49="", "", Backend!AC49)</f>
        <v>0.39577410000000002</v>
      </c>
      <c r="AC22">
        <f>IF(Backend!AD49="", "", Backend!AD49)</f>
        <v>0.61598799999999998</v>
      </c>
      <c r="AD22">
        <f>IF(Backend!AE49="", "", Backend!AE49)</f>
        <v>0.49858105000000003</v>
      </c>
      <c r="AE22">
        <f>IF(Backend!AF49="", "", Backend!AF49)</f>
        <v>0.41202164000000002</v>
      </c>
      <c r="AF22">
        <f>IF(Backend!AG49="", "", Backend!AG49)</f>
        <v>0.25374143999999998</v>
      </c>
      <c r="AG22">
        <f>IF(Backend!AH49="", "", Backend!AH49)</f>
        <v>0.19331512000000001</v>
      </c>
      <c r="AH22">
        <f>IF(Backend!AI49="", "", Backend!AI49)</f>
        <v>0.25219789999999997</v>
      </c>
      <c r="AI22">
        <f>IF(Backend!AJ49="", "", Backend!AJ49)</f>
        <v>7.3411404999999999E-2</v>
      </c>
      <c r="AJ22">
        <f>IF(Backend!AK49="", "", Backend!AK49)</f>
        <v>0.21842164</v>
      </c>
      <c r="AK22">
        <f>IF(Backend!AL49="", "", Backend!AL49)</f>
        <v>0.43226722000000001</v>
      </c>
      <c r="AL22">
        <f>IF(Backend!AM49="", "", Backend!AM49)</f>
        <v>0.23980746999999999</v>
      </c>
      <c r="AM22">
        <f>IF(Backend!AN49="", "", Backend!AN49)</f>
        <v>0.19950082999999999</v>
      </c>
      <c r="AN22">
        <f>IF(Backend!AO49="", "", Backend!AO49)</f>
        <v>0.14443988999999999</v>
      </c>
      <c r="AO22">
        <f>IF(Backend!AP49="", "", Backend!AP49)</f>
        <v>0.34375894000000001</v>
      </c>
      <c r="AP22">
        <f>IF(Backend!AQ49="", "", Backend!AQ49)</f>
        <v>0.35805832999999998</v>
      </c>
      <c r="AQ22">
        <f>IF(Backend!AR49="", "", Backend!AR49)</f>
        <v>0.33699005999999998</v>
      </c>
      <c r="AR22">
        <f>IF(Backend!AS49="", "", Backend!AS49)</f>
        <v>0.34852699999999998</v>
      </c>
      <c r="AS22">
        <f>IF(Backend!AT49="", "", Backend!AT49)</f>
        <v>0.40299775999999998</v>
      </c>
      <c r="AT22">
        <f>IF(Backend!AU49="", "", Backend!AU49)</f>
        <v>0.2307381</v>
      </c>
      <c r="AU22">
        <f>IF(Backend!AV49="", "", Backend!AV49)</f>
        <v>0.26141375</v>
      </c>
      <c r="AV22">
        <f>IF(Backend!AW49="", "", Backend!AW49)</f>
        <v>0.22415507000000001</v>
      </c>
      <c r="AW22">
        <f>IF(Backend!AX49="", "", Backend!AX49)</f>
        <v>0.39388356000000002</v>
      </c>
      <c r="AX22">
        <f>IF(Backend!AY49="", "", Backend!AY49)</f>
        <v>0.47726481999999998</v>
      </c>
      <c r="AY22">
        <f>IF(Backend!AZ49="", "", Backend!AZ49)</f>
        <v>0.49590677</v>
      </c>
      <c r="AZ22">
        <f>IF(Backend!BA49="", "", Backend!BA49)</f>
        <v>0.60742260000000003</v>
      </c>
      <c r="BA22">
        <f>IF(Backend!BB49="", "", Backend!BB49)</f>
        <v>0.49742871999999999</v>
      </c>
      <c r="BB22">
        <f>IF(Backend!BC49="", "", Backend!BC49)</f>
        <v>-1.0432412E-2</v>
      </c>
      <c r="BC22">
        <f>IF(Backend!BD49="", "", Backend!BD49)</f>
        <v>0.13231308999999999</v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Tesco PLC</v>
      </c>
      <c r="B23">
        <f>IF(Backend!C50="", "", Backend!C50)</f>
        <v>4.2678997000000003E-2</v>
      </c>
      <c r="C23">
        <f>IF(Backend!D50="", "", Backend!D50)</f>
        <v>0.24602727999999999</v>
      </c>
      <c r="D23">
        <f>IF(Backend!E50="", "", Backend!E50)</f>
        <v>1.0998653000000001E-2</v>
      </c>
      <c r="E23">
        <f>IF(Backend!F50="", "", Backend!F50)</f>
        <v>9.9806524999999993E-2</v>
      </c>
      <c r="F23">
        <f>IF(Backend!G50="", "", Backend!G50)</f>
        <v>0.13569725999999999</v>
      </c>
      <c r="G23">
        <f>IF(Backend!H50="", "", Backend!H50)</f>
        <v>0.24908449999999999</v>
      </c>
      <c r="H23">
        <f>IF(Backend!I50="", "", Backend!I50)</f>
        <v>9.6001139999999999E-2</v>
      </c>
      <c r="I23">
        <f>IF(Backend!J50="", "", Backend!J50)</f>
        <v>0.32320284999999999</v>
      </c>
      <c r="J23">
        <f>IF(Backend!K50="", "", Backend!K50)</f>
        <v>0.28357475999999998</v>
      </c>
      <c r="K23">
        <f>IF(Backend!L50="", "", Backend!L50)</f>
        <v>0.23535341000000001</v>
      </c>
      <c r="L23">
        <f>IF(Backend!M50="", "", Backend!M50)</f>
        <v>-2.9537576000000001E-4</v>
      </c>
      <c r="M23">
        <f>IF(Backend!N50="", "", Backend!N50)</f>
        <v>0.14474975000000001</v>
      </c>
      <c r="N23">
        <f>IF(Backend!O50="", "", Backend!O50)</f>
        <v>0.32593262000000001</v>
      </c>
      <c r="O23">
        <f>IF(Backend!P50="", "", Backend!P50)</f>
        <v>2.3137781999999999E-2</v>
      </c>
      <c r="P23">
        <f>IF(Backend!Q50="", "", Backend!Q50)</f>
        <v>-1.2362991E-2</v>
      </c>
      <c r="Q23">
        <f>IF(Backend!R50="", "", Backend!R50)</f>
        <v>4.8517513999999998E-2</v>
      </c>
      <c r="R23">
        <f>IF(Backend!S50="", "", Backend!S50)</f>
        <v>0.45907049999999999</v>
      </c>
      <c r="S23">
        <f>IF(Backend!T50="", "", Backend!T50)</f>
        <v>0.27058357</v>
      </c>
      <c r="T23">
        <f>IF(Backend!U50="", "", Backend!U50)</f>
        <v>1.4430686999999999E-2</v>
      </c>
      <c r="U23">
        <f>IF(Backend!V50="", "", Backend!V50)</f>
        <v>1</v>
      </c>
      <c r="V23">
        <f>IF(Backend!W50="", "", Backend!W50)</f>
        <v>1.2458648500000001E-2</v>
      </c>
      <c r="W23">
        <f>IF(Backend!X50="", "", Backend!X50)</f>
        <v>0.38652249999999999</v>
      </c>
      <c r="X23">
        <f>IF(Backend!Y50="", "", Backend!Y50)</f>
        <v>0.1657382</v>
      </c>
      <c r="Y23">
        <f>IF(Backend!Z50="", "", Backend!Z50)</f>
        <v>7.855782E-2</v>
      </c>
      <c r="Z23">
        <f>IF(Backend!AA50="", "", Backend!AA50)</f>
        <v>1.5129197E-2</v>
      </c>
      <c r="AA23">
        <f>IF(Backend!AB50="", "", Backend!AB50)</f>
        <v>0.11516703</v>
      </c>
      <c r="AB23">
        <f>IF(Backend!AC50="", "", Backend!AC50)</f>
        <v>-2.7158432E-2</v>
      </c>
      <c r="AC23">
        <f>IF(Backend!AD50="", "", Backend!AD50)</f>
        <v>1.3797424000000001E-2</v>
      </c>
      <c r="AD23">
        <f>IF(Backend!AE50="", "", Backend!AE50)</f>
        <v>0.26490196999999999</v>
      </c>
      <c r="AE23">
        <f>IF(Backend!AF50="", "", Backend!AF50)</f>
        <v>2.4525749999999999E-2</v>
      </c>
      <c r="AF23">
        <f>IF(Backend!AG50="", "", Backend!AG50)</f>
        <v>0.11290042</v>
      </c>
      <c r="AG23">
        <f>IF(Backend!AH50="", "", Backend!AH50)</f>
        <v>9.1429560000000007E-2</v>
      </c>
      <c r="AH23">
        <f>IF(Backend!AI50="", "", Backend!AI50)</f>
        <v>0.31499084999999999</v>
      </c>
      <c r="AI23">
        <f>IF(Backend!AJ50="", "", Backend!AJ50)</f>
        <v>0.17622136999999999</v>
      </c>
      <c r="AJ23">
        <f>IF(Backend!AK50="", "", Backend!AK50)</f>
        <v>5.4147013000000001E-2</v>
      </c>
      <c r="AK23">
        <f>IF(Backend!AL50="", "", Backend!AL50)</f>
        <v>3.0308261999999999E-2</v>
      </c>
      <c r="AL23">
        <f>IF(Backend!AM50="", "", Backend!AM50)</f>
        <v>0.23581550000000001</v>
      </c>
      <c r="AM23">
        <f>IF(Backend!AN50="", "", Backend!AN50)</f>
        <v>-1.3856756499999999E-2</v>
      </c>
      <c r="AN23">
        <f>IF(Backend!AO50="", "", Backend!AO50)</f>
        <v>4.2721352999999997E-2</v>
      </c>
      <c r="AO23">
        <f>IF(Backend!AP50="", "", Backend!AP50)</f>
        <v>9.4765409999999994E-2</v>
      </c>
      <c r="AP23">
        <f>IF(Backend!AQ50="", "", Backend!AQ50)</f>
        <v>3.1262237999999998E-2</v>
      </c>
      <c r="AQ23">
        <f>IF(Backend!AR50="", "", Backend!AR50)</f>
        <v>9.7374769999999999E-2</v>
      </c>
      <c r="AR23">
        <f>IF(Backend!AS50="", "", Backend!AS50)</f>
        <v>9.3984040000000005E-2</v>
      </c>
      <c r="AS23">
        <f>IF(Backend!AT50="", "", Backend!AT50)</f>
        <v>-1.6569002999999999E-2</v>
      </c>
      <c r="AT23">
        <f>IF(Backend!AU50="", "", Backend!AU50)</f>
        <v>7.2081599999999996E-2</v>
      </c>
      <c r="AU23">
        <f>IF(Backend!AV50="", "", Backend!AV50)</f>
        <v>8.3163130000000002E-2</v>
      </c>
      <c r="AV23">
        <f>IF(Backend!AW50="", "", Backend!AW50)</f>
        <v>2.9294983E-2</v>
      </c>
      <c r="AW23">
        <f>IF(Backend!AX50="", "", Backend!AX50)</f>
        <v>5.9168680000000001E-2</v>
      </c>
      <c r="AX23">
        <f>IF(Backend!AY50="", "", Backend!AY50)</f>
        <v>0.12208571</v>
      </c>
      <c r="AY23">
        <f>IF(Backend!AZ50="", "", Backend!AZ50)</f>
        <v>4.3537623999999997E-2</v>
      </c>
      <c r="AZ23">
        <f>IF(Backend!BA50="", "", Backend!BA50)</f>
        <v>-2.1926234999999999E-2</v>
      </c>
      <c r="BA23">
        <f>IF(Backend!BB50="", "", Backend!BB50)</f>
        <v>0.22453076999999999</v>
      </c>
      <c r="BB23">
        <f>IF(Backend!BC50="", "", Backend!BC50)</f>
        <v>7.5990594999999994E-2</v>
      </c>
      <c r="BC23">
        <f>IF(Backend!BD50="", "", Backend!BD50)</f>
        <v>-2.2508641999999999E-2</v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Societe Generale S.A. Class A</v>
      </c>
      <c r="B24">
        <f>IF(Backend!C51="", "", Backend!C51)</f>
        <v>0.20377572999999999</v>
      </c>
      <c r="C24">
        <f>IF(Backend!D51="", "", Backend!D51)</f>
        <v>0.16200371</v>
      </c>
      <c r="D24">
        <f>IF(Backend!E51="", "", Backend!E51)</f>
        <v>0.30691358000000002</v>
      </c>
      <c r="E24">
        <f>IF(Backend!F51="", "", Backend!F51)</f>
        <v>0.58696550000000003</v>
      </c>
      <c r="F24">
        <f>IF(Backend!G51="", "", Backend!G51)</f>
        <v>0.18180743999999999</v>
      </c>
      <c r="G24">
        <f>IF(Backend!H51="", "", Backend!H51)</f>
        <v>0.19422026000000001</v>
      </c>
      <c r="H24">
        <f>IF(Backend!I51="", "", Backend!I51)</f>
        <v>0.45957310000000001</v>
      </c>
      <c r="I24">
        <f>IF(Backend!J51="", "", Backend!J51)</f>
        <v>0.19301940000000001</v>
      </c>
      <c r="J24">
        <f>IF(Backend!K51="", "", Backend!K51)</f>
        <v>0.23018886</v>
      </c>
      <c r="K24">
        <f>IF(Backend!L51="", "", Backend!L51)</f>
        <v>0.19174223000000001</v>
      </c>
      <c r="L24">
        <f>IF(Backend!M51="", "", Backend!M51)</f>
        <v>2.0917340999999999E-2</v>
      </c>
      <c r="M24">
        <f>IF(Backend!N51="", "", Backend!N51)</f>
        <v>0.12904516999999999</v>
      </c>
      <c r="N24">
        <f>IF(Backend!O51="", "", Backend!O51)</f>
        <v>0.22064010000000001</v>
      </c>
      <c r="O24">
        <f>IF(Backend!P51="", "", Backend!P51)</f>
        <v>4.2250169999999997E-2</v>
      </c>
      <c r="P24">
        <f>IF(Backend!Q51="", "", Backend!Q51)</f>
        <v>0.42210209999999998</v>
      </c>
      <c r="Q24">
        <f>IF(Backend!R51="", "", Backend!R51)</f>
        <v>0.56121606000000002</v>
      </c>
      <c r="R24">
        <f>IF(Backend!S51="", "", Backend!S51)</f>
        <v>0.16388401</v>
      </c>
      <c r="S24">
        <f>IF(Backend!T51="", "", Backend!T51)</f>
        <v>0.48520764999999999</v>
      </c>
      <c r="T24">
        <f>IF(Backend!U51="", "", Backend!U51)</f>
        <v>0.56614830000000005</v>
      </c>
      <c r="U24">
        <f>IF(Backend!V51="", "", Backend!V51)</f>
        <v>1.2458648500000001E-2</v>
      </c>
      <c r="V24">
        <f>IF(Backend!W51="", "", Backend!W51)</f>
        <v>1</v>
      </c>
      <c r="W24">
        <f>IF(Backend!X51="", "", Backend!X51)</f>
        <v>0.22058966999999999</v>
      </c>
      <c r="X24">
        <f>IF(Backend!Y51="", "", Backend!Y51)</f>
        <v>0.19747297</v>
      </c>
      <c r="Y24">
        <f>IF(Backend!Z51="", "", Backend!Z51)</f>
        <v>0.16969190000000001</v>
      </c>
      <c r="Z24">
        <f>IF(Backend!AA51="", "", Backend!AA51)</f>
        <v>0.32036170000000003</v>
      </c>
      <c r="AA24">
        <f>IF(Backend!AB51="", "", Backend!AB51)</f>
        <v>0.11358111</v>
      </c>
      <c r="AB24">
        <f>IF(Backend!AC51="", "", Backend!AC51)</f>
        <v>0.40516819999999998</v>
      </c>
      <c r="AC24">
        <f>IF(Backend!AD51="", "", Backend!AD51)</f>
        <v>0.66888919999999996</v>
      </c>
      <c r="AD24">
        <f>IF(Backend!AE51="", "", Backend!AE51)</f>
        <v>0.57412269999999999</v>
      </c>
      <c r="AE24">
        <f>IF(Backend!AF51="", "", Backend!AF51)</f>
        <v>0.37778001999999999</v>
      </c>
      <c r="AF24">
        <f>IF(Backend!AG51="", "", Backend!AG51)</f>
        <v>0.24262643</v>
      </c>
      <c r="AG24">
        <f>IF(Backend!AH51="", "", Backend!AH51)</f>
        <v>0.17240506</v>
      </c>
      <c r="AH24">
        <f>IF(Backend!AI51="", "", Backend!AI51)</f>
        <v>0.20630193999999999</v>
      </c>
      <c r="AI24">
        <f>IF(Backend!AJ51="", "", Backend!AJ51)</f>
        <v>9.9178984999999997E-2</v>
      </c>
      <c r="AJ24">
        <f>IF(Backend!AK51="", "", Backend!AK51)</f>
        <v>0.20838683999999999</v>
      </c>
      <c r="AK24">
        <f>IF(Backend!AL51="", "", Backend!AL51)</f>
        <v>0.46770686</v>
      </c>
      <c r="AL24">
        <f>IF(Backend!AM51="", "", Backend!AM51)</f>
        <v>0.29008835999999999</v>
      </c>
      <c r="AM24">
        <f>IF(Backend!AN51="", "", Backend!AN51)</f>
        <v>0.18376306000000001</v>
      </c>
      <c r="AN24">
        <f>IF(Backend!AO51="", "", Backend!AO51)</f>
        <v>0.13467825999999999</v>
      </c>
      <c r="AO24">
        <f>IF(Backend!AP51="", "", Backend!AP51)</f>
        <v>0.26551130000000001</v>
      </c>
      <c r="AP24">
        <f>IF(Backend!AQ51="", "", Backend!AQ51)</f>
        <v>0.36364891999999999</v>
      </c>
      <c r="AQ24">
        <f>IF(Backend!AR51="", "", Backend!AR51)</f>
        <v>0.31881973000000002</v>
      </c>
      <c r="AR24">
        <f>IF(Backend!AS51="", "", Backend!AS51)</f>
        <v>0.25133296999999999</v>
      </c>
      <c r="AS24">
        <f>IF(Backend!AT51="", "", Backend!AT51)</f>
        <v>0.42848252999999997</v>
      </c>
      <c r="AT24">
        <f>IF(Backend!AU51="", "", Backend!AU51)</f>
        <v>0.23402572999999999</v>
      </c>
      <c r="AU24">
        <f>IF(Backend!AV51="", "", Backend!AV51)</f>
        <v>0.26373397999999998</v>
      </c>
      <c r="AV24">
        <f>IF(Backend!AW51="", "", Backend!AW51)</f>
        <v>0.10313499</v>
      </c>
      <c r="AW24">
        <f>IF(Backend!AX51="", "", Backend!AX51)</f>
        <v>0.28421748000000002</v>
      </c>
      <c r="AX24">
        <f>IF(Backend!AY51="", "", Backend!AY51)</f>
        <v>0.47260173999999999</v>
      </c>
      <c r="AY24">
        <f>IF(Backend!AZ51="", "", Backend!AZ51)</f>
        <v>0.48263763999999998</v>
      </c>
      <c r="AZ24">
        <f>IF(Backend!BA51="", "", Backend!BA51)</f>
        <v>0.66163890000000003</v>
      </c>
      <c r="BA24">
        <f>IF(Backend!BB51="", "", Backend!BB51)</f>
        <v>0.51931740000000004</v>
      </c>
      <c r="BB24">
        <f>IF(Backend!BC51="", "", Backend!BC51)</f>
        <v>-4.1177314E-2</v>
      </c>
      <c r="BC24">
        <f>IF(Backend!BD51="", "", Backend!BD51)</f>
        <v>0.10391598000000001</v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Imperial Brands PLC</v>
      </c>
      <c r="B25">
        <f>IF(Backend!C52="", "", Backend!C52)</f>
        <v>6.5575226000000005E-4</v>
      </c>
      <c r="C25">
        <f>IF(Backend!D52="", "", Backend!D52)</f>
        <v>0.29874682000000002</v>
      </c>
      <c r="D25">
        <f>IF(Backend!E52="", "", Backend!E52)</f>
        <v>4.2965557000000001E-2</v>
      </c>
      <c r="E25">
        <f>IF(Backend!F52="", "", Backend!F52)</f>
        <v>0.14960672999999999</v>
      </c>
      <c r="F25">
        <f>IF(Backend!G52="", "", Backend!G52)</f>
        <v>0.19068078999999999</v>
      </c>
      <c r="G25">
        <f>IF(Backend!H52="", "", Backend!H52)</f>
        <v>0.24666187000000001</v>
      </c>
      <c r="H25">
        <f>IF(Backend!I52="", "", Backend!I52)</f>
        <v>0.21039611</v>
      </c>
      <c r="I25">
        <f>IF(Backend!J52="", "", Backend!J52)</f>
        <v>0.39652525999999999</v>
      </c>
      <c r="J25">
        <f>IF(Backend!K52="", "", Backend!K52)</f>
        <v>0.42372852999999999</v>
      </c>
      <c r="K25">
        <f>IF(Backend!L52="", "", Backend!L52)</f>
        <v>0.28271010000000002</v>
      </c>
      <c r="L25">
        <f>IF(Backend!M52="", "", Backend!M52)</f>
        <v>1.8698664E-2</v>
      </c>
      <c r="M25">
        <f>IF(Backend!N52="", "", Backend!N52)</f>
        <v>0.29296361999999998</v>
      </c>
      <c r="N25">
        <f>IF(Backend!O52="", "", Backend!O52)</f>
        <v>0.64883599999999997</v>
      </c>
      <c r="O25">
        <f>IF(Backend!P52="", "", Backend!P52)</f>
        <v>7.2192640000000002E-2</v>
      </c>
      <c r="P25">
        <f>IF(Backend!Q52="", "", Backend!Q52)</f>
        <v>6.0187444E-2</v>
      </c>
      <c r="Q25">
        <f>IF(Backend!R52="", "", Backend!R52)</f>
        <v>0.16456148000000001</v>
      </c>
      <c r="R25">
        <f>IF(Backend!S52="", "", Backend!S52)</f>
        <v>0.42838021999999998</v>
      </c>
      <c r="S25">
        <f>IF(Backend!T52="", "", Backend!T52)</f>
        <v>0.41761142000000001</v>
      </c>
      <c r="T25">
        <f>IF(Backend!U52="", "", Backend!U52)</f>
        <v>0.10618144</v>
      </c>
      <c r="U25">
        <f>IF(Backend!V52="", "", Backend!V52)</f>
        <v>0.38652249999999999</v>
      </c>
      <c r="V25">
        <f>IF(Backend!W52="", "", Backend!W52)</f>
        <v>0.22058966999999999</v>
      </c>
      <c r="W25">
        <f>IF(Backend!X52="", "", Backend!X52)</f>
        <v>1</v>
      </c>
      <c r="X25">
        <f>IF(Backend!Y52="", "", Backend!Y52)</f>
        <v>0.16244707999999999</v>
      </c>
      <c r="Y25">
        <f>IF(Backend!Z52="", "", Backend!Z52)</f>
        <v>0.22805749</v>
      </c>
      <c r="Z25">
        <f>IF(Backend!AA52="", "", Backend!AA52)</f>
        <v>0.10443455</v>
      </c>
      <c r="AA25">
        <f>IF(Backend!AB52="", "", Backend!AB52)</f>
        <v>0.12949663</v>
      </c>
      <c r="AB25">
        <f>IF(Backend!AC52="", "", Backend!AC52)</f>
        <v>0.13138045000000001</v>
      </c>
      <c r="AC25">
        <f>IF(Backend!AD52="", "", Backend!AD52)</f>
        <v>0.16295005000000001</v>
      </c>
      <c r="AD25">
        <f>IF(Backend!AE52="", "", Backend!AE52)</f>
        <v>0.34010365999999997</v>
      </c>
      <c r="AE25">
        <f>IF(Backend!AF52="", "", Backend!AF52)</f>
        <v>0.14325514</v>
      </c>
      <c r="AF25">
        <f>IF(Backend!AG52="", "", Backend!AG52)</f>
        <v>0.23387442999999999</v>
      </c>
      <c r="AG25">
        <f>IF(Backend!AH52="", "", Backend!AH52)</f>
        <v>-3.5711113000000003E-2</v>
      </c>
      <c r="AH25">
        <f>IF(Backend!AI52="", "", Backend!AI52)</f>
        <v>0.35227283999999998</v>
      </c>
      <c r="AI25">
        <f>IF(Backend!AJ52="", "", Backend!AJ52)</f>
        <v>0.35498594999999999</v>
      </c>
      <c r="AJ25">
        <f>IF(Backend!AK52="", "", Backend!AK52)</f>
        <v>5.179342E-2</v>
      </c>
      <c r="AK25">
        <f>IF(Backend!AL52="", "", Backend!AL52)</f>
        <v>5.0698123999999997E-2</v>
      </c>
      <c r="AL25">
        <f>IF(Backend!AM52="", "", Backend!AM52)</f>
        <v>0.17381921</v>
      </c>
      <c r="AM25">
        <f>IF(Backend!AN52="", "", Backend!AN52)</f>
        <v>6.8827189999999998E-3</v>
      </c>
      <c r="AN25">
        <f>IF(Backend!AO52="", "", Backend!AO52)</f>
        <v>0.11807197</v>
      </c>
      <c r="AO25">
        <f>IF(Backend!AP52="", "", Backend!AP52)</f>
        <v>0.13913848000000001</v>
      </c>
      <c r="AP25">
        <f>IF(Backend!AQ52="", "", Backend!AQ52)</f>
        <v>2.3682953E-3</v>
      </c>
      <c r="AQ25">
        <f>IF(Backend!AR52="", "", Backend!AR52)</f>
        <v>0.21145596</v>
      </c>
      <c r="AR25">
        <f>IF(Backend!AS52="", "", Backend!AS52)</f>
        <v>0.14293362000000001</v>
      </c>
      <c r="AS25">
        <f>IF(Backend!AT52="", "", Backend!AT52)</f>
        <v>7.8341670000000002E-2</v>
      </c>
      <c r="AT25">
        <f>IF(Backend!AU52="", "", Backend!AU52)</f>
        <v>9.2363245999999996E-2</v>
      </c>
      <c r="AU25">
        <f>IF(Backend!AV52="", "", Backend!AV52)</f>
        <v>2.3706471999999999E-2</v>
      </c>
      <c r="AV25">
        <f>IF(Backend!AW52="", "", Backend!AW52)</f>
        <v>-7.5431264999999997E-2</v>
      </c>
      <c r="AW25">
        <f>IF(Backend!AX52="", "", Backend!AX52)</f>
        <v>0.19185517999999999</v>
      </c>
      <c r="AX25">
        <f>IF(Backend!AY52="", "", Backend!AY52)</f>
        <v>0.13924001</v>
      </c>
      <c r="AY25">
        <f>IF(Backend!AZ52="", "", Backend!AZ52)</f>
        <v>0.18473953000000001</v>
      </c>
      <c r="AZ25">
        <f>IF(Backend!BA52="", "", Backend!BA52)</f>
        <v>0.13394189000000001</v>
      </c>
      <c r="BA25">
        <f>IF(Backend!BB52="", "", Backend!BB52)</f>
        <v>0.20564822999999999</v>
      </c>
      <c r="BB25">
        <f>IF(Backend!BC52="", "", Backend!BC52)</f>
        <v>0.12012397499999999</v>
      </c>
      <c r="BC25">
        <f>IF(Backend!BD52="", "", Backend!BD52)</f>
        <v>6.9084199999999998E-2</v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WPP Plc</v>
      </c>
      <c r="B26">
        <f>IF(Backend!C53="", "", Backend!C53)</f>
        <v>0.22910605000000001</v>
      </c>
      <c r="C26">
        <f>IF(Backend!D53="", "", Backend!D53)</f>
        <v>0.23082240000000001</v>
      </c>
      <c r="D26">
        <f>IF(Backend!E53="", "", Backend!E53)</f>
        <v>0.25343262999999999</v>
      </c>
      <c r="E26">
        <f>IF(Backend!F53="", "", Backend!F53)</f>
        <v>0.34431233999999999</v>
      </c>
      <c r="F26">
        <f>IF(Backend!G53="", "", Backend!G53)</f>
        <v>0.25558740000000002</v>
      </c>
      <c r="G26">
        <f>IF(Backend!H53="", "", Backend!H53)</f>
        <v>0.28441343000000002</v>
      </c>
      <c r="H26">
        <f>IF(Backend!I53="", "", Backend!I53)</f>
        <v>0.38980720000000002</v>
      </c>
      <c r="I26">
        <f>IF(Backend!J53="", "", Backend!J53)</f>
        <v>0.23614803000000001</v>
      </c>
      <c r="J26">
        <f>IF(Backend!K53="", "", Backend!K53)</f>
        <v>0.25300652000000001</v>
      </c>
      <c r="K26">
        <f>IF(Backend!L53="", "", Backend!L53)</f>
        <v>0.29728221999999999</v>
      </c>
      <c r="L26">
        <f>IF(Backend!M53="", "", Backend!M53)</f>
        <v>0.23014588999999999</v>
      </c>
      <c r="M26">
        <f>IF(Backend!N53="", "", Backend!N53)</f>
        <v>0.15665960000000001</v>
      </c>
      <c r="N26">
        <f>IF(Backend!O53="", "", Backend!O53)</f>
        <v>9.8832539999999997E-2</v>
      </c>
      <c r="O26">
        <f>IF(Backend!P53="", "", Backend!P53)</f>
        <v>0.23975208000000001</v>
      </c>
      <c r="P26">
        <f>IF(Backend!Q53="", "", Backend!Q53)</f>
        <v>0.22438721</v>
      </c>
      <c r="Q26">
        <f>IF(Backend!R53="", "", Backend!R53)</f>
        <v>0.21885937</v>
      </c>
      <c r="R26">
        <f>IF(Backend!S53="", "", Backend!S53)</f>
        <v>0.30435522999999998</v>
      </c>
      <c r="S26">
        <f>IF(Backend!T53="", "", Backend!T53)</f>
        <v>0.2622834</v>
      </c>
      <c r="T26">
        <f>IF(Backend!U53="", "", Backend!U53)</f>
        <v>0.16895378</v>
      </c>
      <c r="U26">
        <f>IF(Backend!V53="", "", Backend!V53)</f>
        <v>0.1657382</v>
      </c>
      <c r="V26">
        <f>IF(Backend!W53="", "", Backend!W53)</f>
        <v>0.19747297</v>
      </c>
      <c r="W26">
        <f>IF(Backend!X53="", "", Backend!X53)</f>
        <v>0.16244707999999999</v>
      </c>
      <c r="X26">
        <f>IF(Backend!Y53="", "", Backend!Y53)</f>
        <v>1</v>
      </c>
      <c r="Y26">
        <f>IF(Backend!Z53="", "", Backend!Z53)</f>
        <v>0.23764698000000001</v>
      </c>
      <c r="Z26">
        <f>IF(Backend!AA53="", "", Backend!AA53)</f>
        <v>0.34078767999999998</v>
      </c>
      <c r="AA26">
        <f>IF(Backend!AB53="", "", Backend!AB53)</f>
        <v>0.15887490000000001</v>
      </c>
      <c r="AB26">
        <f>IF(Backend!AC53="", "", Backend!AC53)</f>
        <v>0.38372114000000002</v>
      </c>
      <c r="AC26">
        <f>IF(Backend!AD53="", "", Backend!AD53)</f>
        <v>0.22227459999999999</v>
      </c>
      <c r="AD26">
        <f>IF(Backend!AE53="", "", Backend!AE53)</f>
        <v>0.32506015999999999</v>
      </c>
      <c r="AE26">
        <f>IF(Backend!AF53="", "", Backend!AF53)</f>
        <v>0.32928380000000002</v>
      </c>
      <c r="AF26">
        <f>IF(Backend!AG53="", "", Backend!AG53)</f>
        <v>0.22311497999999999</v>
      </c>
      <c r="AG26">
        <f>IF(Backend!AH53="", "", Backend!AH53)</f>
        <v>0.32893919999999999</v>
      </c>
      <c r="AH26">
        <f>IF(Backend!AI53="", "", Backend!AI53)</f>
        <v>0.34289770000000003</v>
      </c>
      <c r="AI26">
        <f>IF(Backend!AJ53="", "", Backend!AJ53)</f>
        <v>0.17007228999999999</v>
      </c>
      <c r="AJ26">
        <f>IF(Backend!AK53="", "", Backend!AK53)</f>
        <v>0.19632392000000001</v>
      </c>
      <c r="AK26">
        <f>IF(Backend!AL53="", "", Backend!AL53)</f>
        <v>0.28679969999999999</v>
      </c>
      <c r="AL26">
        <f>IF(Backend!AM53="", "", Backend!AM53)</f>
        <v>0.18265869000000001</v>
      </c>
      <c r="AM26">
        <f>IF(Backend!AN53="", "", Backend!AN53)</f>
        <v>0.12901053000000001</v>
      </c>
      <c r="AN26">
        <f>IF(Backend!AO53="", "", Backend!AO53)</f>
        <v>-1.2453888999999999E-2</v>
      </c>
      <c r="AO26">
        <f>IF(Backend!AP53="", "", Backend!AP53)</f>
        <v>0.17896228</v>
      </c>
      <c r="AP26">
        <f>IF(Backend!AQ53="", "", Backend!AQ53)</f>
        <v>0.25523066999999999</v>
      </c>
      <c r="AQ26">
        <f>IF(Backend!AR53="", "", Backend!AR53)</f>
        <v>0.32921186000000002</v>
      </c>
      <c r="AR26">
        <f>IF(Backend!AS53="", "", Backend!AS53)</f>
        <v>0.30366929999999998</v>
      </c>
      <c r="AS26">
        <f>IF(Backend!AT53="", "", Backend!AT53)</f>
        <v>0.1721558</v>
      </c>
      <c r="AT26">
        <f>IF(Backend!AU53="", "", Backend!AU53)</f>
        <v>0.30433329999999997</v>
      </c>
      <c r="AU26">
        <f>IF(Backend!AV53="", "", Backend!AV53)</f>
        <v>0.2162348</v>
      </c>
      <c r="AV26">
        <f>IF(Backend!AW53="", "", Backend!AW53)</f>
        <v>0.20742819000000001</v>
      </c>
      <c r="AW26">
        <f>IF(Backend!AX53="", "", Backend!AX53)</f>
        <v>0.30482277000000002</v>
      </c>
      <c r="AX26">
        <f>IF(Backend!AY53="", "", Backend!AY53)</f>
        <v>0.27623915999999998</v>
      </c>
      <c r="AY26">
        <f>IF(Backend!AZ53="", "", Backend!AZ53)</f>
        <v>0.29896646999999998</v>
      </c>
      <c r="AZ26">
        <f>IF(Backend!BA53="", "", Backend!BA53)</f>
        <v>0.17554379000000001</v>
      </c>
      <c r="BA26">
        <f>IF(Backend!BB53="", "", Backend!BB53)</f>
        <v>0.26913967999999999</v>
      </c>
      <c r="BB26">
        <f>IF(Backend!BC53="", "", Backend!BC53)</f>
        <v>0.1196917</v>
      </c>
      <c r="BC26">
        <f>IF(Backend!BD53="", "", Backend!BD53)</f>
        <v>0.18756348</v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Panasonic Holdings Corporation</v>
      </c>
      <c r="B27">
        <f>IF(Backend!C54="", "", Backend!C54)</f>
        <v>0.2613799</v>
      </c>
      <c r="C27">
        <f>IF(Backend!D54="", "", Backend!D54)</f>
        <v>0.34587119999999999</v>
      </c>
      <c r="D27">
        <f>IF(Backend!E54="", "", Backend!E54)</f>
        <v>0.21095306999999999</v>
      </c>
      <c r="E27">
        <f>IF(Backend!F54="", "", Backend!F54)</f>
        <v>0.28807026000000002</v>
      </c>
      <c r="F27">
        <f>IF(Backend!G54="", "", Backend!G54)</f>
        <v>0.3245382</v>
      </c>
      <c r="G27">
        <f>IF(Backend!H54="", "", Backend!H54)</f>
        <v>0.37882357999999999</v>
      </c>
      <c r="H27">
        <f>IF(Backend!I54="", "", Backend!I54)</f>
        <v>0.14573196999999999</v>
      </c>
      <c r="I27">
        <f>IF(Backend!J54="", "", Backend!J54)</f>
        <v>0.21136720000000001</v>
      </c>
      <c r="J27">
        <f>IF(Backend!K54="", "", Backend!K54)</f>
        <v>0.20037942</v>
      </c>
      <c r="K27">
        <f>IF(Backend!L54="", "", Backend!L54)</f>
        <v>0.27129703999999999</v>
      </c>
      <c r="L27">
        <f>IF(Backend!M54="", "", Backend!M54)</f>
        <v>0.18813114</v>
      </c>
      <c r="M27">
        <f>IF(Backend!N54="", "", Backend!N54)</f>
        <v>0.32688093000000001</v>
      </c>
      <c r="N27">
        <f>IF(Backend!O54="", "", Backend!O54)</f>
        <v>0.12571628000000001</v>
      </c>
      <c r="O27">
        <f>IF(Backend!P54="", "", Backend!P54)</f>
        <v>0.1992495</v>
      </c>
      <c r="P27">
        <f>IF(Backend!Q54="", "", Backend!Q54)</f>
        <v>0.23885476999999999</v>
      </c>
      <c r="Q27">
        <f>IF(Backend!R54="", "", Backend!R54)</f>
        <v>0.26655669999999998</v>
      </c>
      <c r="R27">
        <f>IF(Backend!S54="", "", Backend!S54)</f>
        <v>0.2149124</v>
      </c>
      <c r="S27">
        <f>IF(Backend!T54="", "", Backend!T54)</f>
        <v>0.29049029999999998</v>
      </c>
      <c r="T27">
        <f>IF(Backend!U54="", "", Backend!U54)</f>
        <v>0.18535570000000001</v>
      </c>
      <c r="U27">
        <f>IF(Backend!V54="", "", Backend!V54)</f>
        <v>7.855782E-2</v>
      </c>
      <c r="V27">
        <f>IF(Backend!W54="", "", Backend!W54)</f>
        <v>0.16969190000000001</v>
      </c>
      <c r="W27">
        <f>IF(Backend!X54="", "", Backend!X54)</f>
        <v>0.22805749</v>
      </c>
      <c r="X27">
        <f>IF(Backend!Y54="", "", Backend!Y54)</f>
        <v>0.23764698000000001</v>
      </c>
      <c r="Y27">
        <f>IF(Backend!Z54="", "", Backend!Z54)</f>
        <v>1</v>
      </c>
      <c r="Z27">
        <f>IF(Backend!AA54="", "", Backend!AA54)</f>
        <v>0.21378913999999999</v>
      </c>
      <c r="AA27">
        <f>IF(Backend!AB54="", "", Backend!AB54)</f>
        <v>0.27684143</v>
      </c>
      <c r="AB27">
        <f>IF(Backend!AC54="", "", Backend!AC54)</f>
        <v>0.26835087000000002</v>
      </c>
      <c r="AC27">
        <f>IF(Backend!AD54="", "", Backend!AD54)</f>
        <v>0.21949044000000001</v>
      </c>
      <c r="AD27">
        <f>IF(Backend!AE54="", "", Backend!AE54)</f>
        <v>0.28981220000000002</v>
      </c>
      <c r="AE27">
        <f>IF(Backend!AF54="", "", Backend!AF54)</f>
        <v>0.28855463999999997</v>
      </c>
      <c r="AF27">
        <f>IF(Backend!AG54="", "", Backend!AG54)</f>
        <v>0.49228077999999997</v>
      </c>
      <c r="AG27">
        <f>IF(Backend!AH54="", "", Backend!AH54)</f>
        <v>0.16777211</v>
      </c>
      <c r="AH27">
        <f>IF(Backend!AI54="", "", Backend!AI54)</f>
        <v>0.36919682999999998</v>
      </c>
      <c r="AI27">
        <f>IF(Backend!AJ54="", "", Backend!AJ54)</f>
        <v>0.41363165000000002</v>
      </c>
      <c r="AJ27">
        <f>IF(Backend!AK54="", "", Backend!AK54)</f>
        <v>0.28473237000000001</v>
      </c>
      <c r="AK27">
        <f>IF(Backend!AL54="", "", Backend!AL54)</f>
        <v>0.24900843</v>
      </c>
      <c r="AL27">
        <f>IF(Backend!AM54="", "", Backend!AM54)</f>
        <v>0.11998072999999999</v>
      </c>
      <c r="AM27">
        <f>IF(Backend!AN54="", "", Backend!AN54)</f>
        <v>-8.6275615E-2</v>
      </c>
      <c r="AN27">
        <f>IF(Backend!AO54="", "", Backend!AO54)</f>
        <v>0.14574456</v>
      </c>
      <c r="AO27">
        <f>IF(Backend!AP54="", "", Backend!AP54)</f>
        <v>0.20129468</v>
      </c>
      <c r="AP27">
        <f>IF(Backend!AQ54="", "", Backend!AQ54)</f>
        <v>0.20259847</v>
      </c>
      <c r="AQ27">
        <f>IF(Backend!AR54="", "", Backend!AR54)</f>
        <v>0.28441909999999998</v>
      </c>
      <c r="AR27">
        <f>IF(Backend!AS54="", "", Backend!AS54)</f>
        <v>0.20871627000000001</v>
      </c>
      <c r="AS27">
        <f>IF(Backend!AT54="", "", Backend!AT54)</f>
        <v>0.22725534</v>
      </c>
      <c r="AT27">
        <f>IF(Backend!AU54="", "", Backend!AU54)</f>
        <v>0.19016272000000001</v>
      </c>
      <c r="AU27">
        <f>IF(Backend!AV54="", "", Backend!AV54)</f>
        <v>0.11379083</v>
      </c>
      <c r="AV27">
        <f>IF(Backend!AW54="", "", Backend!AW54)</f>
        <v>0.21154806000000001</v>
      </c>
      <c r="AW27">
        <f>IF(Backend!AX54="", "", Backend!AX54)</f>
        <v>0.24586569</v>
      </c>
      <c r="AX27">
        <f>IF(Backend!AY54="", "", Backend!AY54)</f>
        <v>0.22496374</v>
      </c>
      <c r="AY27">
        <f>IF(Backend!AZ54="", "", Backend!AZ54)</f>
        <v>0.26388635999999999</v>
      </c>
      <c r="AZ27">
        <f>IF(Backend!BA54="", "", Backend!BA54)</f>
        <v>0.30286592000000001</v>
      </c>
      <c r="BA27">
        <f>IF(Backend!BB54="", "", Backend!BB54)</f>
        <v>0.28975131999999998</v>
      </c>
      <c r="BB27">
        <f>IF(Backend!BC54="", "", Backend!BC54)</f>
        <v>0.40761122</v>
      </c>
      <c r="BC27">
        <f>IF(Backend!BD54="", "", Backend!BD54)</f>
        <v>-2.1318581E-2</v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Swatch Group Ltd. Bearer</v>
      </c>
      <c r="B28">
        <f>IF(Backend!C55="", "", Backend!C55)</f>
        <v>0.19546789000000001</v>
      </c>
      <c r="C28">
        <f>IF(Backend!D55="", "", Backend!D55)</f>
        <v>0.25490752</v>
      </c>
      <c r="D28">
        <f>IF(Backend!E55="", "", Backend!E55)</f>
        <v>0.37131888000000002</v>
      </c>
      <c r="E28">
        <f>IF(Backend!F55="", "", Backend!F55)</f>
        <v>0.29059826999999999</v>
      </c>
      <c r="F28">
        <f>IF(Backend!G55="", "", Backend!G55)</f>
        <v>0.32315310000000003</v>
      </c>
      <c r="G28">
        <f>IF(Backend!H55="", "", Backend!H55)</f>
        <v>0.32516578000000002</v>
      </c>
      <c r="H28">
        <f>IF(Backend!I55="", "", Backend!I55)</f>
        <v>0.36116818000000001</v>
      </c>
      <c r="I28">
        <f>IF(Backend!J55="", "", Backend!J55)</f>
        <v>0.15297564999999999</v>
      </c>
      <c r="J28">
        <f>IF(Backend!K55="", "", Backend!K55)</f>
        <v>0.26265003999999997</v>
      </c>
      <c r="K28">
        <f>IF(Backend!L55="", "", Backend!L55)</f>
        <v>0.25631789999999999</v>
      </c>
      <c r="L28">
        <f>IF(Backend!M55="", "", Backend!M55)</f>
        <v>0.14656678000000001</v>
      </c>
      <c r="M28">
        <f>IF(Backend!N55="", "", Backend!N55)</f>
        <v>0.2028914</v>
      </c>
      <c r="N28">
        <f>IF(Backend!O55="", "", Backend!O55)</f>
        <v>5.7767150000000003E-2</v>
      </c>
      <c r="O28">
        <f>IF(Backend!P55="", "", Backend!P55)</f>
        <v>0.17663279000000001</v>
      </c>
      <c r="P28">
        <f>IF(Backend!Q55="", "", Backend!Q55)</f>
        <v>0.29591697</v>
      </c>
      <c r="Q28">
        <f>IF(Backend!R55="", "", Backend!R55)</f>
        <v>0.33111786999999998</v>
      </c>
      <c r="R28">
        <f>IF(Backend!S55="", "", Backend!S55)</f>
        <v>0.14456657000000001</v>
      </c>
      <c r="S28">
        <f>IF(Backend!T55="", "", Backend!T55)</f>
        <v>0.24272637</v>
      </c>
      <c r="T28">
        <f>IF(Backend!U55="", "", Backend!U55)</f>
        <v>0.21756436000000001</v>
      </c>
      <c r="U28">
        <f>IF(Backend!V55="", "", Backend!V55)</f>
        <v>1.5129197E-2</v>
      </c>
      <c r="V28">
        <f>IF(Backend!W55="", "", Backend!W55)</f>
        <v>0.32036170000000003</v>
      </c>
      <c r="W28">
        <f>IF(Backend!X55="", "", Backend!X55)</f>
        <v>0.10443455</v>
      </c>
      <c r="X28">
        <f>IF(Backend!Y55="", "", Backend!Y55)</f>
        <v>0.34078767999999998</v>
      </c>
      <c r="Y28">
        <f>IF(Backend!Z55="", "", Backend!Z55)</f>
        <v>0.21378913999999999</v>
      </c>
      <c r="Z28">
        <f>IF(Backend!AA55="", "", Backend!AA55)</f>
        <v>1</v>
      </c>
      <c r="AA28">
        <f>IF(Backend!AB55="", "", Backend!AB55)</f>
        <v>0.13278878999999999</v>
      </c>
      <c r="AB28">
        <f>IF(Backend!AC55="", "", Backend!AC55)</f>
        <v>0.44119199999999997</v>
      </c>
      <c r="AC28">
        <f>IF(Backend!AD55="", "", Backend!AD55)</f>
        <v>0.36420634000000002</v>
      </c>
      <c r="AD28">
        <f>IF(Backend!AE55="", "", Backend!AE55)</f>
        <v>0.33856164999999999</v>
      </c>
      <c r="AE28">
        <f>IF(Backend!AF55="", "", Backend!AF55)</f>
        <v>0.38691779999999998</v>
      </c>
      <c r="AF28">
        <f>IF(Backend!AG55="", "", Backend!AG55)</f>
        <v>0.27231759999999999</v>
      </c>
      <c r="AG28">
        <f>IF(Backend!AH55="", "", Backend!AH55)</f>
        <v>0.38792330000000003</v>
      </c>
      <c r="AH28">
        <f>IF(Backend!AI55="", "", Backend!AI55)</f>
        <v>0.29431716000000002</v>
      </c>
      <c r="AI28">
        <f>IF(Backend!AJ55="", "", Backend!AJ55)</f>
        <v>0.19724093000000001</v>
      </c>
      <c r="AJ28">
        <f>IF(Backend!AK55="", "", Backend!AK55)</f>
        <v>0.33225134000000001</v>
      </c>
      <c r="AK28">
        <f>IF(Backend!AL55="", "", Backend!AL55)</f>
        <v>0.5281844</v>
      </c>
      <c r="AL28">
        <f>IF(Backend!AM55="", "", Backend!AM55)</f>
        <v>0.21105298</v>
      </c>
      <c r="AM28">
        <f>IF(Backend!AN55="", "", Backend!AN55)</f>
        <v>0.18931129999999999</v>
      </c>
      <c r="AN28">
        <f>IF(Backend!AO55="", "", Backend!AO55)</f>
        <v>0.1736656</v>
      </c>
      <c r="AO28">
        <f>IF(Backend!AP55="", "", Backend!AP55)</f>
        <v>0.23064852</v>
      </c>
      <c r="AP28">
        <f>IF(Backend!AQ55="", "", Backend!AQ55)</f>
        <v>0.46757460000000001</v>
      </c>
      <c r="AQ28">
        <f>IF(Backend!AR55="", "", Backend!AR55)</f>
        <v>0.31919069999999999</v>
      </c>
      <c r="AR28">
        <f>IF(Backend!AS55="", "", Backend!AS55)</f>
        <v>0.32539716000000002</v>
      </c>
      <c r="AS28">
        <f>IF(Backend!AT55="", "", Backend!AT55)</f>
        <v>0.34840510000000002</v>
      </c>
      <c r="AT28">
        <f>IF(Backend!AU55="", "", Backend!AU55)</f>
        <v>0.59090830000000005</v>
      </c>
      <c r="AU28">
        <f>IF(Backend!AV55="", "", Backend!AV55)</f>
        <v>0.23902688999999999</v>
      </c>
      <c r="AV28">
        <f>IF(Backend!AW55="", "", Backend!AW55)</f>
        <v>0.17198883000000001</v>
      </c>
      <c r="AW28">
        <f>IF(Backend!AX55="", "", Backend!AX55)</f>
        <v>0.44183802999999999</v>
      </c>
      <c r="AX28">
        <f>IF(Backend!AY55="", "", Backend!AY55)</f>
        <v>0.42645907</v>
      </c>
      <c r="AY28">
        <f>IF(Backend!AZ55="", "", Backend!AZ55)</f>
        <v>0.35222619999999999</v>
      </c>
      <c r="AZ28">
        <f>IF(Backend!BA55="", "", Backend!BA55)</f>
        <v>0.31454145999999999</v>
      </c>
      <c r="BA28">
        <f>IF(Backend!BB55="", "", Backend!BB55)</f>
        <v>0.20099486</v>
      </c>
      <c r="BB28">
        <f>IF(Backend!BC55="", "", Backend!BC55)</f>
        <v>0.1165978</v>
      </c>
      <c r="BC28">
        <f>IF(Backend!BD55="", "", Backend!BD55)</f>
        <v>0.12890152999999999</v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Dentsu Group Inc.</v>
      </c>
      <c r="B29">
        <f>IF(Backend!C56="", "", Backend!C56)</f>
        <v>0.17681464999999999</v>
      </c>
      <c r="C29">
        <f>IF(Backend!D56="", "", Backend!D56)</f>
        <v>0.29724487999999999</v>
      </c>
      <c r="D29">
        <f>IF(Backend!E56="", "", Backend!E56)</f>
        <v>9.7280610000000003E-2</v>
      </c>
      <c r="E29">
        <f>IF(Backend!F56="", "", Backend!F56)</f>
        <v>0.13128872</v>
      </c>
      <c r="F29">
        <f>IF(Backend!G56="", "", Backend!G56)</f>
        <v>0.24430110999999999</v>
      </c>
      <c r="G29">
        <f>IF(Backend!H56="", "", Backend!H56)</f>
        <v>0.28618075999999998</v>
      </c>
      <c r="H29">
        <f>IF(Backend!I56="", "", Backend!I56)</f>
        <v>0.20794371</v>
      </c>
      <c r="I29">
        <f>IF(Backend!J56="", "", Backend!J56)</f>
        <v>0.23358770000000001</v>
      </c>
      <c r="J29">
        <f>IF(Backend!K56="", "", Backend!K56)</f>
        <v>0.19262981000000001</v>
      </c>
      <c r="K29">
        <f>IF(Backend!L56="", "", Backend!L56)</f>
        <v>0.28702724000000002</v>
      </c>
      <c r="L29">
        <f>IF(Backend!M56="", "", Backend!M56)</f>
        <v>7.3452329999999996E-2</v>
      </c>
      <c r="M29">
        <f>IF(Backend!N56="", "", Backend!N56)</f>
        <v>0.29419872000000002</v>
      </c>
      <c r="N29">
        <f>IF(Backend!O56="", "", Backend!O56)</f>
        <v>0.15091081000000001</v>
      </c>
      <c r="O29">
        <f>IF(Backend!P56="", "", Backend!P56)</f>
        <v>0.10007402999999999</v>
      </c>
      <c r="P29">
        <f>IF(Backend!Q56="", "", Backend!Q56)</f>
        <v>0.16750917000000001</v>
      </c>
      <c r="Q29">
        <f>IF(Backend!R56="", "", Backend!R56)</f>
        <v>0.16200133999999999</v>
      </c>
      <c r="R29">
        <f>IF(Backend!S56="", "", Backend!S56)</f>
        <v>0.30004922000000001</v>
      </c>
      <c r="S29">
        <f>IF(Backend!T56="", "", Backend!T56)</f>
        <v>0.27564684</v>
      </c>
      <c r="T29">
        <f>IF(Backend!U56="", "", Backend!U56)</f>
        <v>0.14110576</v>
      </c>
      <c r="U29">
        <f>IF(Backend!V56="", "", Backend!V56)</f>
        <v>0.11516703</v>
      </c>
      <c r="V29">
        <f>IF(Backend!W56="", "", Backend!W56)</f>
        <v>0.11358111</v>
      </c>
      <c r="W29">
        <f>IF(Backend!X56="", "", Backend!X56)</f>
        <v>0.12949663</v>
      </c>
      <c r="X29">
        <f>IF(Backend!Y56="", "", Backend!Y56)</f>
        <v>0.15887490000000001</v>
      </c>
      <c r="Y29">
        <f>IF(Backend!Z56="", "", Backend!Z56)</f>
        <v>0.27684143</v>
      </c>
      <c r="Z29">
        <f>IF(Backend!AA56="", "", Backend!AA56)</f>
        <v>0.13278878999999999</v>
      </c>
      <c r="AA29">
        <f>IF(Backend!AB56="", "", Backend!AB56)</f>
        <v>1</v>
      </c>
      <c r="AB29">
        <f>IF(Backend!AC56="", "", Backend!AC56)</f>
        <v>0.16009735</v>
      </c>
      <c r="AC29">
        <f>IF(Backend!AD56="", "", Backend!AD56)</f>
        <v>0.19588005999999999</v>
      </c>
      <c r="AD29">
        <f>IF(Backend!AE56="", "", Backend!AE56)</f>
        <v>0.21824424000000001</v>
      </c>
      <c r="AE29">
        <f>IF(Backend!AF56="", "", Backend!AF56)</f>
        <v>0.13355059999999999</v>
      </c>
      <c r="AF29">
        <f>IF(Backend!AG56="", "", Backend!AG56)</f>
        <v>0.37396489999999999</v>
      </c>
      <c r="AG29">
        <f>IF(Backend!AH56="", "", Backend!AH56)</f>
        <v>9.0151709999999996E-2</v>
      </c>
      <c r="AH29">
        <f>IF(Backend!AI56="", "", Backend!AI56)</f>
        <v>0.31475922000000001</v>
      </c>
      <c r="AI29">
        <f>IF(Backend!AJ56="", "", Backend!AJ56)</f>
        <v>0.31294557000000001</v>
      </c>
      <c r="AJ29">
        <f>IF(Backend!AK56="", "", Backend!AK56)</f>
        <v>0.24712695000000001</v>
      </c>
      <c r="AK29">
        <f>IF(Backend!AL56="", "", Backend!AL56)</f>
        <v>0.17090751000000001</v>
      </c>
      <c r="AL29">
        <f>IF(Backend!AM56="", "", Backend!AM56)</f>
        <v>0.10125315999999999</v>
      </c>
      <c r="AM29">
        <f>IF(Backend!AN56="", "", Backend!AN56)</f>
        <v>-2.7800482000000001E-2</v>
      </c>
      <c r="AN29">
        <f>IF(Backend!AO56="", "", Backend!AO56)</f>
        <v>0.11826254</v>
      </c>
      <c r="AO29">
        <f>IF(Backend!AP56="", "", Backend!AP56)</f>
        <v>0.19526467</v>
      </c>
      <c r="AP29">
        <f>IF(Backend!AQ56="", "", Backend!AQ56)</f>
        <v>0.16856636</v>
      </c>
      <c r="AQ29">
        <f>IF(Backend!AR56="", "", Backend!AR56)</f>
        <v>0.31092920000000002</v>
      </c>
      <c r="AR29">
        <f>IF(Backend!AS56="", "", Backend!AS56)</f>
        <v>0.16414835</v>
      </c>
      <c r="AS29">
        <f>IF(Backend!AT56="", "", Backend!AT56)</f>
        <v>0.16492444000000001</v>
      </c>
      <c r="AT29">
        <f>IF(Backend!AU56="", "", Backend!AU56)</f>
        <v>0.11243686</v>
      </c>
      <c r="AU29">
        <f>IF(Backend!AV56="", "", Backend!AV56)</f>
        <v>6.5354120000000002E-2</v>
      </c>
      <c r="AV29">
        <f>IF(Backend!AW56="", "", Backend!AW56)</f>
        <v>0.15952234000000001</v>
      </c>
      <c r="AW29">
        <f>IF(Backend!AX56="", "", Backend!AX56)</f>
        <v>0.15928160999999999</v>
      </c>
      <c r="AX29">
        <f>IF(Backend!AY56="", "", Backend!AY56)</f>
        <v>0.17666091</v>
      </c>
      <c r="AY29">
        <f>IF(Backend!AZ56="", "", Backend!AZ56)</f>
        <v>0.10096845</v>
      </c>
      <c r="AZ29">
        <f>IF(Backend!BA56="", "", Backend!BA56)</f>
        <v>0.24980221999999999</v>
      </c>
      <c r="BA29">
        <f>IF(Backend!BB56="", "", Backend!BB56)</f>
        <v>8.0557450000000003E-2</v>
      </c>
      <c r="BB29">
        <f>IF(Backend!BC56="", "", Backend!BC56)</f>
        <v>0.25975682999999999</v>
      </c>
      <c r="BC29">
        <f>IF(Backend!BD56="", "", Backend!BD56)</f>
        <v>-9.0180710000000008E-3</v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Randstad NV</v>
      </c>
      <c r="B30">
        <f>IF(Backend!C57="", "", Backend!C57)</f>
        <v>0.32626050000000001</v>
      </c>
      <c r="C30">
        <f>IF(Backend!D57="", "", Backend!D57)</f>
        <v>0.25086910000000001</v>
      </c>
      <c r="D30">
        <f>IF(Backend!E57="", "", Backend!E57)</f>
        <v>0.43041010000000002</v>
      </c>
      <c r="E30">
        <f>IF(Backend!F57="", "", Backend!F57)</f>
        <v>0.49388104999999999</v>
      </c>
      <c r="F30">
        <f>IF(Backend!G57="", "", Backend!G57)</f>
        <v>0.29865967999999998</v>
      </c>
      <c r="G30">
        <f>IF(Backend!H57="", "", Backend!H57)</f>
        <v>0.27231407000000002</v>
      </c>
      <c r="H30">
        <f>IF(Backend!I57="", "", Backend!I57)</f>
        <v>0.44482466999999998</v>
      </c>
      <c r="I30">
        <f>IF(Backend!J57="", "", Backend!J57)</f>
        <v>0.20549737000000001</v>
      </c>
      <c r="J30">
        <f>IF(Backend!K57="", "", Backend!K57)</f>
        <v>0.18526334</v>
      </c>
      <c r="K30">
        <f>IF(Backend!L57="", "", Backend!L57)</f>
        <v>0.34003844999999999</v>
      </c>
      <c r="L30">
        <f>IF(Backend!M57="", "", Backend!M57)</f>
        <v>0.28133365999999999</v>
      </c>
      <c r="M30">
        <f>IF(Backend!N57="", "", Backend!N57)</f>
        <v>0.21292174</v>
      </c>
      <c r="N30">
        <f>IF(Backend!O57="", "", Backend!O57)</f>
        <v>0.10077234</v>
      </c>
      <c r="O30">
        <f>IF(Backend!P57="", "", Backend!P57)</f>
        <v>0.2647177</v>
      </c>
      <c r="P30">
        <f>IF(Backend!Q57="", "", Backend!Q57)</f>
        <v>0.39445560000000002</v>
      </c>
      <c r="Q30">
        <f>IF(Backend!R57="", "", Backend!R57)</f>
        <v>0.45053408</v>
      </c>
      <c r="R30">
        <f>IF(Backend!S57="", "", Backend!S57)</f>
        <v>0.27139020000000003</v>
      </c>
      <c r="S30">
        <f>IF(Backend!T57="", "", Backend!T57)</f>
        <v>0.42812547000000001</v>
      </c>
      <c r="T30">
        <f>IF(Backend!U57="", "", Backend!U57)</f>
        <v>0.39577410000000002</v>
      </c>
      <c r="U30">
        <f>IF(Backend!V57="", "", Backend!V57)</f>
        <v>-2.7158432E-2</v>
      </c>
      <c r="V30">
        <f>IF(Backend!W57="", "", Backend!W57)</f>
        <v>0.40516819999999998</v>
      </c>
      <c r="W30">
        <f>IF(Backend!X57="", "", Backend!X57)</f>
        <v>0.13138045000000001</v>
      </c>
      <c r="X30">
        <f>IF(Backend!Y57="", "", Backend!Y57)</f>
        <v>0.38372114000000002</v>
      </c>
      <c r="Y30">
        <f>IF(Backend!Z57="", "", Backend!Z57)</f>
        <v>0.26835087000000002</v>
      </c>
      <c r="Z30">
        <f>IF(Backend!AA57="", "", Backend!AA57)</f>
        <v>0.44119199999999997</v>
      </c>
      <c r="AA30">
        <f>IF(Backend!AB57="", "", Backend!AB57)</f>
        <v>0.16009735</v>
      </c>
      <c r="AB30">
        <f>IF(Backend!AC57="", "", Backend!AC57)</f>
        <v>1</v>
      </c>
      <c r="AC30">
        <f>IF(Backend!AD57="", "", Backend!AD57)</f>
        <v>0.52581120000000003</v>
      </c>
      <c r="AD30">
        <f>IF(Backend!AE57="", "", Backend!AE57)</f>
        <v>0.44926243999999999</v>
      </c>
      <c r="AE30">
        <f>IF(Backend!AF57="", "", Backend!AF57)</f>
        <v>0.48808523999999998</v>
      </c>
      <c r="AF30">
        <f>IF(Backend!AG57="", "", Backend!AG57)</f>
        <v>0.30653232000000002</v>
      </c>
      <c r="AG30">
        <f>IF(Backend!AH57="", "", Backend!AH57)</f>
        <v>0.38879966999999999</v>
      </c>
      <c r="AH30">
        <f>IF(Backend!AI57="", "", Backend!AI57)</f>
        <v>0.30853926999999998</v>
      </c>
      <c r="AI30">
        <f>IF(Backend!AJ57="", "", Backend!AJ57)</f>
        <v>0.28028459999999999</v>
      </c>
      <c r="AJ30">
        <f>IF(Backend!AK57="", "", Backend!AK57)</f>
        <v>0.31870154000000001</v>
      </c>
      <c r="AK30">
        <f>IF(Backend!AL57="", "", Backend!AL57)</f>
        <v>0.54940990000000001</v>
      </c>
      <c r="AL30">
        <f>IF(Backend!AM57="", "", Backend!AM57)</f>
        <v>0.27014484999999999</v>
      </c>
      <c r="AM30">
        <f>IF(Backend!AN57="", "", Backend!AN57)</f>
        <v>0.29451864999999999</v>
      </c>
      <c r="AN30">
        <f>IF(Backend!AO57="", "", Backend!AO57)</f>
        <v>0.23060548</v>
      </c>
      <c r="AO30">
        <f>IF(Backend!AP57="", "", Backend!AP57)</f>
        <v>0.26221879999999997</v>
      </c>
      <c r="AP30">
        <f>IF(Backend!AQ57="", "", Backend!AQ57)</f>
        <v>0.47465449999999998</v>
      </c>
      <c r="AQ30">
        <f>IF(Backend!AR57="", "", Backend!AR57)</f>
        <v>0.43209344</v>
      </c>
      <c r="AR30">
        <f>IF(Backend!AS57="", "", Backend!AS57)</f>
        <v>0.36890519999999999</v>
      </c>
      <c r="AS30">
        <f>IF(Backend!AT57="", "", Backend!AT57)</f>
        <v>0.51244869999999998</v>
      </c>
      <c r="AT30">
        <f>IF(Backend!AU57="", "", Backend!AU57)</f>
        <v>0.38492779999999999</v>
      </c>
      <c r="AU30">
        <f>IF(Backend!AV57="", "", Backend!AV57)</f>
        <v>0.32113429999999998</v>
      </c>
      <c r="AV30">
        <f>IF(Backend!AW57="", "", Backend!AW57)</f>
        <v>0.23943382999999999</v>
      </c>
      <c r="AW30">
        <f>IF(Backend!AX57="", "", Backend!AX57)</f>
        <v>0.40596650000000001</v>
      </c>
      <c r="AX30">
        <f>IF(Backend!AY57="", "", Backend!AY57)</f>
        <v>0.53046393000000003</v>
      </c>
      <c r="AY30">
        <f>IF(Backend!AZ57="", "", Backend!AZ57)</f>
        <v>0.38597890000000001</v>
      </c>
      <c r="AZ30">
        <f>IF(Backend!BA57="", "", Backend!BA57)</f>
        <v>0.51931369999999999</v>
      </c>
      <c r="BA30">
        <f>IF(Backend!BB57="", "", Backend!BB57)</f>
        <v>0.39153536999999999</v>
      </c>
      <c r="BB30">
        <f>IF(Backend!BC57="", "", Backend!BC57)</f>
        <v>0.19643252</v>
      </c>
      <c r="BC30">
        <f>IF(Backend!BD57="", "", Backend!BD57)</f>
        <v>0.14295946000000001</v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BNP Paribas S.A. Class A</v>
      </c>
      <c r="B31">
        <f>IF(Backend!C58="", "", Backend!C58)</f>
        <v>0.23799117</v>
      </c>
      <c r="C31">
        <f>IF(Backend!D58="", "", Backend!D58)</f>
        <v>0.26562053000000002</v>
      </c>
      <c r="D31">
        <f>IF(Backend!E58="", "", Backend!E58)</f>
        <v>0.37498515999999998</v>
      </c>
      <c r="E31">
        <f>IF(Backend!F58="", "", Backend!F58)</f>
        <v>0.63036199999999998</v>
      </c>
      <c r="F31">
        <f>IF(Backend!G58="", "", Backend!G58)</f>
        <v>0.30540610000000001</v>
      </c>
      <c r="G31">
        <f>IF(Backend!H58="", "", Backend!H58)</f>
        <v>0.35318110000000003</v>
      </c>
      <c r="H31">
        <f>IF(Backend!I58="", "", Backend!I58)</f>
        <v>0.49847639999999999</v>
      </c>
      <c r="I31">
        <f>IF(Backend!J58="", "", Backend!J58)</f>
        <v>0.27352300000000002</v>
      </c>
      <c r="J31">
        <f>IF(Backend!K58="", "", Backend!K58)</f>
        <v>0.25548968</v>
      </c>
      <c r="K31">
        <f>IF(Backend!L58="", "", Backend!L58)</f>
        <v>0.34853055999999999</v>
      </c>
      <c r="L31">
        <f>IF(Backend!M58="", "", Backend!M58)</f>
        <v>0.18259465999999999</v>
      </c>
      <c r="M31">
        <f>IF(Backend!N58="", "", Backend!N58)</f>
        <v>0.11496534999999999</v>
      </c>
      <c r="N31">
        <f>IF(Backend!O58="", "", Backend!O58)</f>
        <v>0.17820511999999999</v>
      </c>
      <c r="O31">
        <f>IF(Backend!P58="", "", Backend!P58)</f>
        <v>0.19425323999999999</v>
      </c>
      <c r="P31">
        <f>IF(Backend!Q58="", "", Backend!Q58)</f>
        <v>0.48735373999999998</v>
      </c>
      <c r="Q31">
        <f>IF(Backend!R58="", "", Backend!R58)</f>
        <v>0.62338959999999999</v>
      </c>
      <c r="R31">
        <f>IF(Backend!S58="", "", Backend!S58)</f>
        <v>0.24740052000000001</v>
      </c>
      <c r="S31">
        <f>IF(Backend!T58="", "", Backend!T58)</f>
        <v>0.54407172999999998</v>
      </c>
      <c r="T31">
        <f>IF(Backend!U58="", "", Backend!U58)</f>
        <v>0.61598799999999998</v>
      </c>
      <c r="U31">
        <f>IF(Backend!V58="", "", Backend!V58)</f>
        <v>1.3797424000000001E-2</v>
      </c>
      <c r="V31">
        <f>IF(Backend!W58="", "", Backend!W58)</f>
        <v>0.66888919999999996</v>
      </c>
      <c r="W31">
        <f>IF(Backend!X58="", "", Backend!X58)</f>
        <v>0.16295005000000001</v>
      </c>
      <c r="X31">
        <f>IF(Backend!Y58="", "", Backend!Y58)</f>
        <v>0.22227459999999999</v>
      </c>
      <c r="Y31">
        <f>IF(Backend!Z58="", "", Backend!Z58)</f>
        <v>0.21949044000000001</v>
      </c>
      <c r="Z31">
        <f>IF(Backend!AA58="", "", Backend!AA58)</f>
        <v>0.36420634000000002</v>
      </c>
      <c r="AA31">
        <f>IF(Backend!AB58="", "", Backend!AB58)</f>
        <v>0.19588005999999999</v>
      </c>
      <c r="AB31">
        <f>IF(Backend!AC58="", "", Backend!AC58)</f>
        <v>0.52581120000000003</v>
      </c>
      <c r="AC31">
        <f>IF(Backend!AD58="", "", Backend!AD58)</f>
        <v>1</v>
      </c>
      <c r="AD31">
        <f>IF(Backend!AE58="", "", Backend!AE58)</f>
        <v>0.66120900000000005</v>
      </c>
      <c r="AE31">
        <f>IF(Backend!AF58="", "", Backend!AF58)</f>
        <v>0.42733789999999999</v>
      </c>
      <c r="AF31">
        <f>IF(Backend!AG58="", "", Backend!AG58)</f>
        <v>0.30590193999999998</v>
      </c>
      <c r="AG31">
        <f>IF(Backend!AH58="", "", Backend!AH58)</f>
        <v>0.19407342</v>
      </c>
      <c r="AH31">
        <f>IF(Backend!AI58="", "", Backend!AI58)</f>
        <v>0.39422414</v>
      </c>
      <c r="AI31">
        <f>IF(Backend!AJ58="", "", Backend!AJ58)</f>
        <v>0.19879647</v>
      </c>
      <c r="AJ31">
        <f>IF(Backend!AK58="", "", Backend!AK58)</f>
        <v>0.23138084</v>
      </c>
      <c r="AK31">
        <f>IF(Backend!AL58="", "", Backend!AL58)</f>
        <v>0.53533226</v>
      </c>
      <c r="AL31">
        <f>IF(Backend!AM58="", "", Backend!AM58)</f>
        <v>0.31165457000000002</v>
      </c>
      <c r="AM31">
        <f>IF(Backend!AN58="", "", Backend!AN58)</f>
        <v>0.16921360999999999</v>
      </c>
      <c r="AN31">
        <f>IF(Backend!AO58="", "", Backend!AO58)</f>
        <v>0.15787377999999999</v>
      </c>
      <c r="AO31">
        <f>IF(Backend!AP58="", "", Backend!AP58)</f>
        <v>0.35082415</v>
      </c>
      <c r="AP31">
        <f>IF(Backend!AQ58="", "", Backend!AQ58)</f>
        <v>0.51886239999999995</v>
      </c>
      <c r="AQ31">
        <f>IF(Backend!AR58="", "", Backend!AR58)</f>
        <v>0.44656190000000001</v>
      </c>
      <c r="AR31">
        <f>IF(Backend!AS58="", "", Backend!AS58)</f>
        <v>0.40814778000000002</v>
      </c>
      <c r="AS31">
        <f>IF(Backend!AT58="", "", Backend!AT58)</f>
        <v>0.49074259999999997</v>
      </c>
      <c r="AT31">
        <f>IF(Backend!AU58="", "", Backend!AU58)</f>
        <v>0.28694120000000001</v>
      </c>
      <c r="AU31">
        <f>IF(Backend!AV58="", "", Backend!AV58)</f>
        <v>0.30976885999999998</v>
      </c>
      <c r="AV31">
        <f>IF(Backend!AW58="", "", Backend!AW58)</f>
        <v>0.18094075000000001</v>
      </c>
      <c r="AW31">
        <f>IF(Backend!AX58="", "", Backend!AX58)</f>
        <v>0.36230147000000001</v>
      </c>
      <c r="AX31">
        <f>IF(Backend!AY58="", "", Backend!AY58)</f>
        <v>0.57554559999999999</v>
      </c>
      <c r="AY31">
        <f>IF(Backend!AZ58="", "", Backend!AZ58)</f>
        <v>0.51989560000000001</v>
      </c>
      <c r="AZ31">
        <f>IF(Backend!BA58="", "", Backend!BA58)</f>
        <v>0.72621720000000001</v>
      </c>
      <c r="BA31">
        <f>IF(Backend!BB58="", "", Backend!BB58)</f>
        <v>0.56592960000000003</v>
      </c>
      <c r="BB31">
        <f>IF(Backend!BC58="", "", Backend!BC58)</f>
        <v>0.11992786</v>
      </c>
      <c r="BC31">
        <f>IF(Backend!BD58="", "", Backend!BD58)</f>
        <v>8.7903949999999995E-2</v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AXA SA</v>
      </c>
      <c r="B32">
        <f>IF(Backend!C59="", "", Backend!C59)</f>
        <v>0.23996168000000001</v>
      </c>
      <c r="C32">
        <f>IF(Backend!D59="", "", Backend!D59)</f>
        <v>0.31911244999999999</v>
      </c>
      <c r="D32">
        <f>IF(Backend!E59="", "", Backend!E59)</f>
        <v>0.33425825999999997</v>
      </c>
      <c r="E32">
        <f>IF(Backend!F59="", "", Backend!F59)</f>
        <v>0.55104357000000004</v>
      </c>
      <c r="F32">
        <f>IF(Backend!G59="", "", Backend!G59)</f>
        <v>0.36485519999999999</v>
      </c>
      <c r="G32">
        <f>IF(Backend!H59="", "", Backend!H59)</f>
        <v>0.40861346999999998</v>
      </c>
      <c r="H32">
        <f>IF(Backend!I59="", "", Backend!I59)</f>
        <v>0.52814649999999996</v>
      </c>
      <c r="I32">
        <f>IF(Backend!J59="", "", Backend!J59)</f>
        <v>0.34060766999999997</v>
      </c>
      <c r="J32">
        <f>IF(Backend!K59="", "", Backend!K59)</f>
        <v>0.35751899999999998</v>
      </c>
      <c r="K32">
        <f>IF(Backend!L59="", "", Backend!L59)</f>
        <v>0.35790812999999999</v>
      </c>
      <c r="L32">
        <f>IF(Backend!M59="", "", Backend!M59)</f>
        <v>0.16404775999999999</v>
      </c>
      <c r="M32">
        <f>IF(Backend!N59="", "", Backend!N59)</f>
        <v>0.16225684000000001</v>
      </c>
      <c r="N32">
        <f>IF(Backend!O59="", "", Backend!O59)</f>
        <v>0.27055701999999998</v>
      </c>
      <c r="O32">
        <f>IF(Backend!P59="", "", Backend!P59)</f>
        <v>0.17965929</v>
      </c>
      <c r="P32">
        <f>IF(Backend!Q59="", "", Backend!Q59)</f>
        <v>0.32009783000000003</v>
      </c>
      <c r="Q32">
        <f>IF(Backend!R59="", "", Backend!R59)</f>
        <v>0.459231</v>
      </c>
      <c r="R32">
        <f>IF(Backend!S59="", "", Backend!S59)</f>
        <v>0.44366994999999998</v>
      </c>
      <c r="S32">
        <f>IF(Backend!T59="", "", Backend!T59)</f>
        <v>0.68612503999999996</v>
      </c>
      <c r="T32">
        <f>IF(Backend!U59="", "", Backend!U59)</f>
        <v>0.49858105000000003</v>
      </c>
      <c r="U32">
        <f>IF(Backend!V59="", "", Backend!V59)</f>
        <v>0.26490196999999999</v>
      </c>
      <c r="V32">
        <f>IF(Backend!W59="", "", Backend!W59)</f>
        <v>0.57412269999999999</v>
      </c>
      <c r="W32">
        <f>IF(Backend!X59="", "", Backend!X59)</f>
        <v>0.34010365999999997</v>
      </c>
      <c r="X32">
        <f>IF(Backend!Y59="", "", Backend!Y59)</f>
        <v>0.32506015999999999</v>
      </c>
      <c r="Y32">
        <f>IF(Backend!Z59="", "", Backend!Z59)</f>
        <v>0.28981220000000002</v>
      </c>
      <c r="Z32">
        <f>IF(Backend!AA59="", "", Backend!AA59)</f>
        <v>0.33856164999999999</v>
      </c>
      <c r="AA32">
        <f>IF(Backend!AB59="", "", Backend!AB59)</f>
        <v>0.21824424000000001</v>
      </c>
      <c r="AB32">
        <f>IF(Backend!AC59="", "", Backend!AC59)</f>
        <v>0.44926243999999999</v>
      </c>
      <c r="AC32">
        <f>IF(Backend!AD59="", "", Backend!AD59)</f>
        <v>0.66120900000000005</v>
      </c>
      <c r="AD32">
        <f>IF(Backend!AE59="", "", Backend!AE59)</f>
        <v>1</v>
      </c>
      <c r="AE32">
        <f>IF(Backend!AF59="", "", Backend!AF59)</f>
        <v>0.35204029999999997</v>
      </c>
      <c r="AF32">
        <f>IF(Backend!AG59="", "", Backend!AG59)</f>
        <v>0.26588345000000002</v>
      </c>
      <c r="AG32">
        <f>IF(Backend!AH59="", "", Backend!AH59)</f>
        <v>0.23950155000000001</v>
      </c>
      <c r="AH32">
        <f>IF(Backend!AI59="", "", Backend!AI59)</f>
        <v>0.44732250000000001</v>
      </c>
      <c r="AI32">
        <f>IF(Backend!AJ59="", "", Backend!AJ59)</f>
        <v>0.25799337</v>
      </c>
      <c r="AJ32">
        <f>IF(Backend!AK59="", "", Backend!AK59)</f>
        <v>0.27126159999999999</v>
      </c>
      <c r="AK32">
        <f>IF(Backend!AL59="", "", Backend!AL59)</f>
        <v>0.43595156000000002</v>
      </c>
      <c r="AL32">
        <f>IF(Backend!AM59="", "", Backend!AM59)</f>
        <v>0.32374528000000002</v>
      </c>
      <c r="AM32">
        <f>IF(Backend!AN59="", "", Backend!AN59)</f>
        <v>9.8428673999999994E-2</v>
      </c>
      <c r="AN32">
        <f>IF(Backend!AO59="", "", Backend!AO59)</f>
        <v>0.14864494</v>
      </c>
      <c r="AO32">
        <f>IF(Backend!AP59="", "", Backend!AP59)</f>
        <v>0.36236256</v>
      </c>
      <c r="AP32">
        <f>IF(Backend!AQ59="", "", Backend!AQ59)</f>
        <v>0.40519527</v>
      </c>
      <c r="AQ32">
        <f>IF(Backend!AR59="", "", Backend!AR59)</f>
        <v>0.46111089999999999</v>
      </c>
      <c r="AR32">
        <f>IF(Backend!AS59="", "", Backend!AS59)</f>
        <v>0.38773142999999999</v>
      </c>
      <c r="AS32">
        <f>IF(Backend!AT59="", "", Backend!AT59)</f>
        <v>0.40256239999999999</v>
      </c>
      <c r="AT32">
        <f>IF(Backend!AU59="", "", Backend!AU59)</f>
        <v>0.28169745000000002</v>
      </c>
      <c r="AU32">
        <f>IF(Backend!AV59="", "", Backend!AV59)</f>
        <v>0.3148165</v>
      </c>
      <c r="AV32">
        <f>IF(Backend!AW59="", "", Backend!AW59)</f>
        <v>0.13664404999999999</v>
      </c>
      <c r="AW32">
        <f>IF(Backend!AX59="", "", Backend!AX59)</f>
        <v>0.28716051999999997</v>
      </c>
      <c r="AX32">
        <f>IF(Backend!AY59="", "", Backend!AY59)</f>
        <v>0.50903140000000002</v>
      </c>
      <c r="AY32">
        <f>IF(Backend!AZ59="", "", Backend!AZ59)</f>
        <v>0.43433781999999999</v>
      </c>
      <c r="AZ32">
        <f>IF(Backend!BA59="", "", Backend!BA59)</f>
        <v>0.57817039999999997</v>
      </c>
      <c r="BA32">
        <f>IF(Backend!BB59="", "", Backend!BB59)</f>
        <v>0.52837829999999997</v>
      </c>
      <c r="BB32">
        <f>IF(Backend!BC59="", "", Backend!BC59)</f>
        <v>0.15281232</v>
      </c>
      <c r="BC32">
        <f>IF(Backend!BD59="", "", Backend!BD59)</f>
        <v>0.114195965</v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Anglo American plc</v>
      </c>
      <c r="B33">
        <f>IF(Backend!C60="", "", Backend!C60)</f>
        <v>0.26287224999999997</v>
      </c>
      <c r="C33">
        <f>IF(Backend!D60="", "", Backend!D60)</f>
        <v>0.21891186000000001</v>
      </c>
      <c r="D33">
        <f>IF(Backend!E60="", "", Backend!E60)</f>
        <v>0.34029337999999998</v>
      </c>
      <c r="E33">
        <f>IF(Backend!F60="", "", Backend!F60)</f>
        <v>0.47747212999999999</v>
      </c>
      <c r="F33">
        <f>IF(Backend!G60="", "", Backend!G60)</f>
        <v>0.28785595000000003</v>
      </c>
      <c r="G33">
        <f>IF(Backend!H60="", "", Backend!H60)</f>
        <v>0.28920131999999998</v>
      </c>
      <c r="H33">
        <f>IF(Backend!I60="", "", Backend!I60)</f>
        <v>0.53024850000000001</v>
      </c>
      <c r="I33">
        <f>IF(Backend!J60="", "", Backend!J60)</f>
        <v>0.10892605</v>
      </c>
      <c r="J33">
        <f>IF(Backend!K60="", "", Backend!K60)</f>
        <v>0.18954272999999999</v>
      </c>
      <c r="K33">
        <f>IF(Backend!L60="", "", Backend!L60)</f>
        <v>0.26448482000000001</v>
      </c>
      <c r="L33">
        <f>IF(Backend!M60="", "", Backend!M60)</f>
        <v>0.23542531</v>
      </c>
      <c r="M33">
        <f>IF(Backend!N60="", "", Backend!N60)</f>
        <v>0.16923365000000001</v>
      </c>
      <c r="N33">
        <f>IF(Backend!O60="", "", Backend!O60)</f>
        <v>1.9894002000000002E-3</v>
      </c>
      <c r="O33">
        <f>IF(Backend!P60="", "", Backend!P60)</f>
        <v>0.21683453</v>
      </c>
      <c r="P33">
        <f>IF(Backend!Q60="", "", Backend!Q60)</f>
        <v>0.44546016999999999</v>
      </c>
      <c r="Q33">
        <f>IF(Backend!R60="", "", Backend!R60)</f>
        <v>0.48128854999999998</v>
      </c>
      <c r="R33">
        <f>IF(Backend!S60="", "", Backend!S60)</f>
        <v>0.1062748</v>
      </c>
      <c r="S33">
        <f>IF(Backend!T60="", "", Backend!T60)</f>
        <v>0.31312712999999998</v>
      </c>
      <c r="T33">
        <f>IF(Backend!U60="", "", Backend!U60)</f>
        <v>0.41202164000000002</v>
      </c>
      <c r="U33">
        <f>IF(Backend!V60="", "", Backend!V60)</f>
        <v>2.4525749999999999E-2</v>
      </c>
      <c r="V33">
        <f>IF(Backend!W60="", "", Backend!W60)</f>
        <v>0.37778001999999999</v>
      </c>
      <c r="W33">
        <f>IF(Backend!X60="", "", Backend!X60)</f>
        <v>0.14325514</v>
      </c>
      <c r="X33">
        <f>IF(Backend!Y60="", "", Backend!Y60)</f>
        <v>0.32928380000000002</v>
      </c>
      <c r="Y33">
        <f>IF(Backend!Z60="", "", Backend!Z60)</f>
        <v>0.28855463999999997</v>
      </c>
      <c r="Z33">
        <f>IF(Backend!AA60="", "", Backend!AA60)</f>
        <v>0.38691779999999998</v>
      </c>
      <c r="AA33">
        <f>IF(Backend!AB60="", "", Backend!AB60)</f>
        <v>0.13355059999999999</v>
      </c>
      <c r="AB33">
        <f>IF(Backend!AC60="", "", Backend!AC60)</f>
        <v>0.48808523999999998</v>
      </c>
      <c r="AC33">
        <f>IF(Backend!AD60="", "", Backend!AD60)</f>
        <v>0.42733789999999999</v>
      </c>
      <c r="AD33">
        <f>IF(Backend!AE60="", "", Backend!AE60)</f>
        <v>0.35204029999999997</v>
      </c>
      <c r="AE33">
        <f>IF(Backend!AF60="", "", Backend!AF60)</f>
        <v>1</v>
      </c>
      <c r="AF33">
        <f>IF(Backend!AG60="", "", Backend!AG60)</f>
        <v>0.26374629999999999</v>
      </c>
      <c r="AG33">
        <f>IF(Backend!AH60="", "", Backend!AH60)</f>
        <v>0.30954638000000001</v>
      </c>
      <c r="AH33">
        <f>IF(Backend!AI60="", "", Backend!AI60)</f>
        <v>0.28119182999999998</v>
      </c>
      <c r="AI33">
        <f>IF(Backend!AJ60="", "", Backend!AJ60)</f>
        <v>0.18660199999999999</v>
      </c>
      <c r="AJ33">
        <f>IF(Backend!AK60="", "", Backend!AK60)</f>
        <v>0.29888861999999999</v>
      </c>
      <c r="AK33">
        <f>IF(Backend!AL60="", "", Backend!AL60)</f>
        <v>0.54457990000000001</v>
      </c>
      <c r="AL33">
        <f>IF(Backend!AM60="", "", Backend!AM60)</f>
        <v>7.8400709999999998E-2</v>
      </c>
      <c r="AM33">
        <f>IF(Backend!AN60="", "", Backend!AN60)</f>
        <v>0.32739352999999999</v>
      </c>
      <c r="AN33">
        <f>IF(Backend!AO60="", "", Backend!AO60)</f>
        <v>0.2195676</v>
      </c>
      <c r="AO33">
        <f>IF(Backend!AP60="", "", Backend!AP60)</f>
        <v>0.32344119999999998</v>
      </c>
      <c r="AP33">
        <f>IF(Backend!AQ60="", "", Backend!AQ60)</f>
        <v>0.37946352</v>
      </c>
      <c r="AQ33">
        <f>IF(Backend!AR60="", "", Backend!AR60)</f>
        <v>0.39878142</v>
      </c>
      <c r="AR33">
        <f>IF(Backend!AS60="", "", Backend!AS60)</f>
        <v>0.41710818</v>
      </c>
      <c r="AS33">
        <f>IF(Backend!AT60="", "", Backend!AT60)</f>
        <v>0.39435488000000002</v>
      </c>
      <c r="AT33">
        <f>IF(Backend!AU60="", "", Backend!AU60)</f>
        <v>0.35130604999999998</v>
      </c>
      <c r="AU33">
        <f>IF(Backend!AV60="", "", Backend!AV60)</f>
        <v>0.30641475000000001</v>
      </c>
      <c r="AV33">
        <f>IF(Backend!AW60="", "", Backend!AW60)</f>
        <v>0.20947260000000001</v>
      </c>
      <c r="AW33">
        <f>IF(Backend!AX60="", "", Backend!AX60)</f>
        <v>0.70951529999999996</v>
      </c>
      <c r="AX33">
        <f>IF(Backend!AY60="", "", Backend!AY60)</f>
        <v>0.45459836999999997</v>
      </c>
      <c r="AY33">
        <f>IF(Backend!AZ60="", "", Backend!AZ60)</f>
        <v>0.4442045</v>
      </c>
      <c r="AZ33">
        <f>IF(Backend!BA60="", "", Backend!BA60)</f>
        <v>0.46685606000000002</v>
      </c>
      <c r="BA33">
        <f>IF(Backend!BB60="", "", Backend!BB60)</f>
        <v>0.36580576999999997</v>
      </c>
      <c r="BB33">
        <f>IF(Backend!BC60="", "", Backend!BC60)</f>
        <v>-3.2275329999999998E-2</v>
      </c>
      <c r="BC33">
        <f>IF(Backend!BD60="", "", Backend!BD60)</f>
        <v>0.15691910000000001</v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Bridgestone Corporation</v>
      </c>
      <c r="B34">
        <f>IF(Backend!C61="", "", Backend!C61)</f>
        <v>0.25905003999999998</v>
      </c>
      <c r="C34">
        <f>IF(Backend!D61="", "", Backend!D61)</f>
        <v>0.31933623999999999</v>
      </c>
      <c r="D34">
        <f>IF(Backend!E61="", "", Backend!E61)</f>
        <v>0.27851989999999999</v>
      </c>
      <c r="E34">
        <f>IF(Backend!F61="", "", Backend!F61)</f>
        <v>0.30585659999999998</v>
      </c>
      <c r="F34">
        <f>IF(Backend!G61="", "", Backend!G61)</f>
        <v>0.35153132999999998</v>
      </c>
      <c r="G34">
        <f>IF(Backend!H61="", "", Backend!H61)</f>
        <v>0.40938540000000001</v>
      </c>
      <c r="H34">
        <f>IF(Backend!I61="", "", Backend!I61)</f>
        <v>0.27537026999999997</v>
      </c>
      <c r="I34">
        <f>IF(Backend!J61="", "", Backend!J61)</f>
        <v>0.26779069999999999</v>
      </c>
      <c r="J34">
        <f>IF(Backend!K61="", "", Backend!K61)</f>
        <v>0.25873457999999999</v>
      </c>
      <c r="K34">
        <f>IF(Backend!L61="", "", Backend!L61)</f>
        <v>0.3486187</v>
      </c>
      <c r="L34">
        <f>IF(Backend!M61="", "", Backend!M61)</f>
        <v>0.23266354</v>
      </c>
      <c r="M34">
        <f>IF(Backend!N61="", "", Backend!N61)</f>
        <v>0.46994829999999999</v>
      </c>
      <c r="N34">
        <f>IF(Backend!O61="", "", Backend!O61)</f>
        <v>0.1732416</v>
      </c>
      <c r="O34">
        <f>IF(Backend!P61="", "", Backend!P61)</f>
        <v>0.16971617999999999</v>
      </c>
      <c r="P34">
        <f>IF(Backend!Q61="", "", Backend!Q61)</f>
        <v>0.20918179000000001</v>
      </c>
      <c r="Q34">
        <f>IF(Backend!R61="", "", Backend!R61)</f>
        <v>0.30312640000000002</v>
      </c>
      <c r="R34">
        <f>IF(Backend!S61="", "", Backend!S61)</f>
        <v>0.29215837</v>
      </c>
      <c r="S34">
        <f>IF(Backend!T61="", "", Backend!T61)</f>
        <v>0.33341545</v>
      </c>
      <c r="T34">
        <f>IF(Backend!U61="", "", Backend!U61)</f>
        <v>0.25374143999999998</v>
      </c>
      <c r="U34">
        <f>IF(Backend!V61="", "", Backend!V61)</f>
        <v>0.11290042</v>
      </c>
      <c r="V34">
        <f>IF(Backend!W61="", "", Backend!W61)</f>
        <v>0.24262643</v>
      </c>
      <c r="W34">
        <f>IF(Backend!X61="", "", Backend!X61)</f>
        <v>0.23387442999999999</v>
      </c>
      <c r="X34">
        <f>IF(Backend!Y61="", "", Backend!Y61)</f>
        <v>0.22311497999999999</v>
      </c>
      <c r="Y34">
        <f>IF(Backend!Z61="", "", Backend!Z61)</f>
        <v>0.49228077999999997</v>
      </c>
      <c r="Z34">
        <f>IF(Backend!AA61="", "", Backend!AA61)</f>
        <v>0.27231759999999999</v>
      </c>
      <c r="AA34">
        <f>IF(Backend!AB61="", "", Backend!AB61)</f>
        <v>0.37396489999999999</v>
      </c>
      <c r="AB34">
        <f>IF(Backend!AC61="", "", Backend!AC61)</f>
        <v>0.30653232000000002</v>
      </c>
      <c r="AC34">
        <f>IF(Backend!AD61="", "", Backend!AD61)</f>
        <v>0.30590193999999998</v>
      </c>
      <c r="AD34">
        <f>IF(Backend!AE61="", "", Backend!AE61)</f>
        <v>0.26588345000000002</v>
      </c>
      <c r="AE34">
        <f>IF(Backend!AF61="", "", Backend!AF61)</f>
        <v>0.26374629999999999</v>
      </c>
      <c r="AF34">
        <f>IF(Backend!AG61="", "", Backend!AG61)</f>
        <v>1</v>
      </c>
      <c r="AG34">
        <f>IF(Backend!AH61="", "", Backend!AH61)</f>
        <v>0.10916078</v>
      </c>
      <c r="AH34">
        <f>IF(Backend!AI61="", "", Backend!AI61)</f>
        <v>0.37931973000000002</v>
      </c>
      <c r="AI34">
        <f>IF(Backend!AJ61="", "", Backend!AJ61)</f>
        <v>0.53823759999999998</v>
      </c>
      <c r="AJ34">
        <f>IF(Backend!AK61="", "", Backend!AK61)</f>
        <v>0.40564250000000002</v>
      </c>
      <c r="AK34">
        <f>IF(Backend!AL61="", "", Backend!AL61)</f>
        <v>0.35151490000000002</v>
      </c>
      <c r="AL34">
        <f>IF(Backend!AM61="", "", Backend!AM61)</f>
        <v>0.16555734</v>
      </c>
      <c r="AM34">
        <f>IF(Backend!AN61="", "", Backend!AN61)</f>
        <v>0.12369908</v>
      </c>
      <c r="AN34">
        <f>IF(Backend!AO61="", "", Backend!AO61)</f>
        <v>0.17291728000000001</v>
      </c>
      <c r="AO34">
        <f>IF(Backend!AP61="", "", Backend!AP61)</f>
        <v>0.32488728</v>
      </c>
      <c r="AP34">
        <f>IF(Backend!AQ61="", "", Backend!AQ61)</f>
        <v>0.27920761999999999</v>
      </c>
      <c r="AQ34">
        <f>IF(Backend!AR61="", "", Backend!AR61)</f>
        <v>0.35213155000000002</v>
      </c>
      <c r="AR34">
        <f>IF(Backend!AS61="", "", Backend!AS61)</f>
        <v>0.30791600000000002</v>
      </c>
      <c r="AS34">
        <f>IF(Backend!AT61="", "", Backend!AT61)</f>
        <v>0.32046068</v>
      </c>
      <c r="AT34">
        <f>IF(Backend!AU61="", "", Backend!AU61)</f>
        <v>0.22579919000000001</v>
      </c>
      <c r="AU34">
        <f>IF(Backend!AV61="", "", Backend!AV61)</f>
        <v>0.20739270000000001</v>
      </c>
      <c r="AV34">
        <f>IF(Backend!AW61="", "", Backend!AW61)</f>
        <v>0.20499883999999999</v>
      </c>
      <c r="AW34">
        <f>IF(Backend!AX61="", "", Backend!AX61)</f>
        <v>0.34630564000000003</v>
      </c>
      <c r="AX34">
        <f>IF(Backend!AY61="", "", Backend!AY61)</f>
        <v>0.26723644000000002</v>
      </c>
      <c r="AY34">
        <f>IF(Backend!AZ61="", "", Backend!AZ61)</f>
        <v>0.33132610000000001</v>
      </c>
      <c r="AZ34">
        <f>IF(Backend!BA61="", "", Backend!BA61)</f>
        <v>0.31598637000000002</v>
      </c>
      <c r="BA34">
        <f>IF(Backend!BB61="", "", Backend!BB61)</f>
        <v>0.25018912999999998</v>
      </c>
      <c r="BB34">
        <f>IF(Backend!BC61="", "", Backend!BC61)</f>
        <v>0.4686032</v>
      </c>
      <c r="BC34">
        <f>IF(Backend!BD61="", "", Backend!BD61)</f>
        <v>6.7803279999999994E-2</v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Burberry Group plc</v>
      </c>
      <c r="B35">
        <f>IF(Backend!C62="", "", Backend!C62)</f>
        <v>0.13056317000000001</v>
      </c>
      <c r="C35">
        <f>IF(Backend!D62="", "", Backend!D62)</f>
        <v>0.14052381999999999</v>
      </c>
      <c r="D35">
        <f>IF(Backend!E62="", "", Backend!E62)</f>
        <v>0.2718546</v>
      </c>
      <c r="E35">
        <f>IF(Backend!F62="", "", Backend!F62)</f>
        <v>0.25200850000000002</v>
      </c>
      <c r="F35">
        <f>IF(Backend!G62="", "", Backend!G62)</f>
        <v>0.23197400000000001</v>
      </c>
      <c r="G35">
        <f>IF(Backend!H62="", "", Backend!H62)</f>
        <v>0.17012271000000001</v>
      </c>
      <c r="H35">
        <f>IF(Backend!I62="", "", Backend!I62)</f>
        <v>0.36346978000000002</v>
      </c>
      <c r="I35">
        <f>IF(Backend!J62="", "", Backend!J62)</f>
        <v>4.2573859999999998E-2</v>
      </c>
      <c r="J35">
        <f>IF(Backend!K62="", "", Backend!K62)</f>
        <v>5.5779677E-2</v>
      </c>
      <c r="K35">
        <f>IF(Backend!L62="", "", Backend!L62)</f>
        <v>0.15527445000000001</v>
      </c>
      <c r="L35">
        <f>IF(Backend!M62="", "", Backend!M62)</f>
        <v>8.1725049999999994E-2</v>
      </c>
      <c r="M35">
        <f>IF(Backend!N62="", "", Backend!N62)</f>
        <v>7.8547870000000006E-2</v>
      </c>
      <c r="N35">
        <f>IF(Backend!O62="", "", Backend!O62)</f>
        <v>2.5661020999999999E-2</v>
      </c>
      <c r="O35">
        <f>IF(Backend!P62="", "", Backend!P62)</f>
        <v>0.13410822999999999</v>
      </c>
      <c r="P35">
        <f>IF(Backend!Q62="", "", Backend!Q62)</f>
        <v>0.25338206000000002</v>
      </c>
      <c r="Q35">
        <f>IF(Backend!R62="", "", Backend!R62)</f>
        <v>0.26996332000000001</v>
      </c>
      <c r="R35">
        <f>IF(Backend!S62="", "", Backend!S62)</f>
        <v>9.5619529999999994E-2</v>
      </c>
      <c r="S35">
        <f>IF(Backend!T62="", "", Backend!T62)</f>
        <v>0.28076200000000001</v>
      </c>
      <c r="T35">
        <f>IF(Backend!U62="", "", Backend!U62)</f>
        <v>0.19331512000000001</v>
      </c>
      <c r="U35">
        <f>IF(Backend!V62="", "", Backend!V62)</f>
        <v>9.1429560000000007E-2</v>
      </c>
      <c r="V35">
        <f>IF(Backend!W62="", "", Backend!W62)</f>
        <v>0.17240506</v>
      </c>
      <c r="W35">
        <f>IF(Backend!X62="", "", Backend!X62)</f>
        <v>-3.5711113000000003E-2</v>
      </c>
      <c r="X35">
        <f>IF(Backend!Y62="", "", Backend!Y62)</f>
        <v>0.32893919999999999</v>
      </c>
      <c r="Y35">
        <f>IF(Backend!Z62="", "", Backend!Z62)</f>
        <v>0.16777211</v>
      </c>
      <c r="Z35">
        <f>IF(Backend!AA62="", "", Backend!AA62)</f>
        <v>0.38792330000000003</v>
      </c>
      <c r="AA35">
        <f>IF(Backend!AB62="", "", Backend!AB62)</f>
        <v>9.0151709999999996E-2</v>
      </c>
      <c r="AB35">
        <f>IF(Backend!AC62="", "", Backend!AC62)</f>
        <v>0.38879966999999999</v>
      </c>
      <c r="AC35">
        <f>IF(Backend!AD62="", "", Backend!AD62)</f>
        <v>0.19407342</v>
      </c>
      <c r="AD35">
        <f>IF(Backend!AE62="", "", Backend!AE62)</f>
        <v>0.23950155000000001</v>
      </c>
      <c r="AE35">
        <f>IF(Backend!AF62="", "", Backend!AF62)</f>
        <v>0.30954638000000001</v>
      </c>
      <c r="AF35">
        <f>IF(Backend!AG62="", "", Backend!AG62)</f>
        <v>0.10916078</v>
      </c>
      <c r="AG35">
        <f>IF(Backend!AH62="", "", Backend!AH62)</f>
        <v>1</v>
      </c>
      <c r="AH35">
        <f>IF(Backend!AI62="", "", Backend!AI62)</f>
        <v>0.23585967999999999</v>
      </c>
      <c r="AI35">
        <f>IF(Backend!AJ62="", "", Backend!AJ62)</f>
        <v>-7.2910930000000002E-3</v>
      </c>
      <c r="AJ35">
        <f>IF(Backend!AK62="", "", Backend!AK62)</f>
        <v>0.15477663</v>
      </c>
      <c r="AK35">
        <f>IF(Backend!AL62="", "", Backend!AL62)</f>
        <v>0.36985603</v>
      </c>
      <c r="AL35">
        <f>IF(Backend!AM62="", "", Backend!AM62)</f>
        <v>0.14364739000000001</v>
      </c>
      <c r="AM35">
        <f>IF(Backend!AN62="", "", Backend!AN62)</f>
        <v>8.7418339999999997E-2</v>
      </c>
      <c r="AN35">
        <f>IF(Backend!AO62="", "", Backend!AO62)</f>
        <v>6.8855369999999999E-2</v>
      </c>
      <c r="AO35">
        <f>IF(Backend!AP62="", "", Backend!AP62)</f>
        <v>0.23235049999999999</v>
      </c>
      <c r="AP35">
        <f>IF(Backend!AQ62="", "", Backend!AQ62)</f>
        <v>0.30368736000000002</v>
      </c>
      <c r="AQ35">
        <f>IF(Backend!AR62="", "", Backend!AR62)</f>
        <v>0.26926171999999998</v>
      </c>
      <c r="AR35">
        <f>IF(Backend!AS62="", "", Backend!AS62)</f>
        <v>0.25319806</v>
      </c>
      <c r="AS35">
        <f>IF(Backend!AT62="", "", Backend!AT62)</f>
        <v>0.17795599000000001</v>
      </c>
      <c r="AT35">
        <f>IF(Backend!AU62="", "", Backend!AU62)</f>
        <v>0.51287439999999995</v>
      </c>
      <c r="AU35">
        <f>IF(Backend!AV62="", "", Backend!AV62)</f>
        <v>0.18893268999999999</v>
      </c>
      <c r="AV35">
        <f>IF(Backend!AW62="", "", Backend!AW62)</f>
        <v>0.108903416</v>
      </c>
      <c r="AW35">
        <f>IF(Backend!AX62="", "", Backend!AX62)</f>
        <v>0.32393184000000003</v>
      </c>
      <c r="AX35">
        <f>IF(Backend!AY62="", "", Backend!AY62)</f>
        <v>0.288495</v>
      </c>
      <c r="AY35">
        <f>IF(Backend!AZ62="", "", Backend!AZ62)</f>
        <v>0.29016763000000001</v>
      </c>
      <c r="AZ35">
        <f>IF(Backend!BA62="", "", Backend!BA62)</f>
        <v>0.23108286</v>
      </c>
      <c r="BA35">
        <f>IF(Backend!BB62="", "", Backend!BB62)</f>
        <v>0.19985601</v>
      </c>
      <c r="BB35">
        <f>IF(Backend!BC62="", "", Backend!BC62)</f>
        <v>8.8054320000000005E-2</v>
      </c>
      <c r="BC35">
        <f>IF(Backend!BD62="", "", Backend!BD62)</f>
        <v>5.9846660000000003E-2</v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British Land Company PLC</v>
      </c>
      <c r="B36">
        <f>IF(Backend!C63="", "", Backend!C63)</f>
        <v>0.25532448000000002</v>
      </c>
      <c r="C36">
        <f>IF(Backend!D63="", "", Backend!D63)</f>
        <v>0.45601219999999998</v>
      </c>
      <c r="D36">
        <f>IF(Backend!E63="", "", Backend!E63)</f>
        <v>0.2786941</v>
      </c>
      <c r="E36">
        <f>IF(Backend!F63="", "", Backend!F63)</f>
        <v>0.33687626999999998</v>
      </c>
      <c r="F36">
        <f>IF(Backend!G63="", "", Backend!G63)</f>
        <v>0.42130694000000002</v>
      </c>
      <c r="G36">
        <f>IF(Backend!H63="", "", Backend!H63)</f>
        <v>0.44010665999999998</v>
      </c>
      <c r="H36">
        <f>IF(Backend!I63="", "", Backend!I63)</f>
        <v>0.40539667000000001</v>
      </c>
      <c r="I36">
        <f>IF(Backend!J63="", "", Backend!J63)</f>
        <v>0.41969043</v>
      </c>
      <c r="J36">
        <f>IF(Backend!K63="", "", Backend!K63)</f>
        <v>0.42802980000000002</v>
      </c>
      <c r="K36">
        <f>IF(Backend!L63="", "", Backend!L63)</f>
        <v>0.37367842000000001</v>
      </c>
      <c r="L36">
        <f>IF(Backend!M63="", "", Backend!M63)</f>
        <v>0.20306657</v>
      </c>
      <c r="M36">
        <f>IF(Backend!N63="", "", Backend!N63)</f>
        <v>0.26281947</v>
      </c>
      <c r="N36">
        <f>IF(Backend!O63="", "", Backend!O63)</f>
        <v>0.27103207000000001</v>
      </c>
      <c r="O36">
        <f>IF(Backend!P63="", "", Backend!P63)</f>
        <v>0.18901707000000001</v>
      </c>
      <c r="P36">
        <f>IF(Backend!Q63="", "", Backend!Q63)</f>
        <v>0.21243961</v>
      </c>
      <c r="Q36">
        <f>IF(Backend!R63="", "", Backend!R63)</f>
        <v>0.32110172999999997</v>
      </c>
      <c r="R36">
        <f>IF(Backend!S63="", "", Backend!S63)</f>
        <v>0.40769058000000002</v>
      </c>
      <c r="S36">
        <f>IF(Backend!T63="", "", Backend!T63)</f>
        <v>0.51457909999999996</v>
      </c>
      <c r="T36">
        <f>IF(Backend!U63="", "", Backend!U63)</f>
        <v>0.25219789999999997</v>
      </c>
      <c r="U36">
        <f>IF(Backend!V63="", "", Backend!V63)</f>
        <v>0.31499084999999999</v>
      </c>
      <c r="V36">
        <f>IF(Backend!W63="", "", Backend!W63)</f>
        <v>0.20630193999999999</v>
      </c>
      <c r="W36">
        <f>IF(Backend!X63="", "", Backend!X63)</f>
        <v>0.35227283999999998</v>
      </c>
      <c r="X36">
        <f>IF(Backend!Y63="", "", Backend!Y63)</f>
        <v>0.34289770000000003</v>
      </c>
      <c r="Y36">
        <f>IF(Backend!Z63="", "", Backend!Z63)</f>
        <v>0.36919682999999998</v>
      </c>
      <c r="Z36">
        <f>IF(Backend!AA63="", "", Backend!AA63)</f>
        <v>0.29431716000000002</v>
      </c>
      <c r="AA36">
        <f>IF(Backend!AB63="", "", Backend!AB63)</f>
        <v>0.31475922000000001</v>
      </c>
      <c r="AB36">
        <f>IF(Backend!AC63="", "", Backend!AC63)</f>
        <v>0.30853926999999998</v>
      </c>
      <c r="AC36">
        <f>IF(Backend!AD63="", "", Backend!AD63)</f>
        <v>0.39422414</v>
      </c>
      <c r="AD36">
        <f>IF(Backend!AE63="", "", Backend!AE63)</f>
        <v>0.44732250000000001</v>
      </c>
      <c r="AE36">
        <f>IF(Backend!AF63="", "", Backend!AF63)</f>
        <v>0.28119182999999998</v>
      </c>
      <c r="AF36">
        <f>IF(Backend!AG63="", "", Backend!AG63)</f>
        <v>0.37931973000000002</v>
      </c>
      <c r="AG36">
        <f>IF(Backend!AH63="", "", Backend!AH63)</f>
        <v>0.23585967999999999</v>
      </c>
      <c r="AH36">
        <f>IF(Backend!AI63="", "", Backend!AI63)</f>
        <v>1</v>
      </c>
      <c r="AI36">
        <f>IF(Backend!AJ63="", "", Backend!AJ63)</f>
        <v>0.32686310000000002</v>
      </c>
      <c r="AJ36">
        <f>IF(Backend!AK63="", "", Backend!AK63)</f>
        <v>0.28388112999999998</v>
      </c>
      <c r="AK36">
        <f>IF(Backend!AL63="", "", Backend!AL63)</f>
        <v>0.33487860000000003</v>
      </c>
      <c r="AL36">
        <f>IF(Backend!AM63="", "", Backend!AM63)</f>
        <v>0.35905766</v>
      </c>
      <c r="AM36">
        <f>IF(Backend!AN63="", "", Backend!AN63)</f>
        <v>1.5495358000000001E-2</v>
      </c>
      <c r="AN36">
        <f>IF(Backend!AO63="", "", Backend!AO63)</f>
        <v>0.13839422000000001</v>
      </c>
      <c r="AO36">
        <f>IF(Backend!AP63="", "", Backend!AP63)</f>
        <v>0.34395206</v>
      </c>
      <c r="AP36">
        <f>IF(Backend!AQ63="", "", Backend!AQ63)</f>
        <v>0.31278116</v>
      </c>
      <c r="AQ36">
        <f>IF(Backend!AR63="", "", Backend!AR63)</f>
        <v>0.44657933999999999</v>
      </c>
      <c r="AR36">
        <f>IF(Backend!AS63="", "", Backend!AS63)</f>
        <v>0.37744220000000001</v>
      </c>
      <c r="AS36">
        <f>IF(Backend!AT63="", "", Backend!AT63)</f>
        <v>0.24412447000000001</v>
      </c>
      <c r="AT36">
        <f>IF(Backend!AU63="", "", Backend!AU63)</f>
        <v>0.21088965000000001</v>
      </c>
      <c r="AU36">
        <f>IF(Backend!AV63="", "", Backend!AV63)</f>
        <v>0.22518126999999999</v>
      </c>
      <c r="AV36">
        <f>IF(Backend!AW63="", "", Backend!AW63)</f>
        <v>0.11292037000000001</v>
      </c>
      <c r="AW36">
        <f>IF(Backend!AX63="", "", Backend!AX63)</f>
        <v>0.33733730000000001</v>
      </c>
      <c r="AX36">
        <f>IF(Backend!AY63="", "", Backend!AY63)</f>
        <v>0.38300255</v>
      </c>
      <c r="AY36">
        <f>IF(Backend!AZ63="", "", Backend!AZ63)</f>
        <v>0.28749364999999999</v>
      </c>
      <c r="AZ36">
        <f>IF(Backend!BA63="", "", Backend!BA63)</f>
        <v>0.30750850000000002</v>
      </c>
      <c r="BA36">
        <f>IF(Backend!BB63="", "", Backend!BB63)</f>
        <v>0.38300705000000002</v>
      </c>
      <c r="BB36">
        <f>IF(Backend!BC63="", "", Backend!BC63)</f>
        <v>0.26052627</v>
      </c>
      <c r="BC36">
        <f>IF(Backend!BD63="", "", Backend!BD63)</f>
        <v>5.5991699999999998E-2</v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MEDIPAL HOLDINGS Corporation</v>
      </c>
      <c r="B37">
        <f>IF(Backend!C64="", "", Backend!C64)</f>
        <v>0.14228740000000001</v>
      </c>
      <c r="C37">
        <f>IF(Backend!D64="", "", Backend!D64)</f>
        <v>0.2759276</v>
      </c>
      <c r="D37">
        <f>IF(Backend!E64="", "", Backend!E64)</f>
        <v>0.21198397999999999</v>
      </c>
      <c r="E37">
        <f>IF(Backend!F64="", "", Backend!F64)</f>
        <v>9.1672619999999996E-2</v>
      </c>
      <c r="F37">
        <f>IF(Backend!G64="", "", Backend!G64)</f>
        <v>0.27971544999999998</v>
      </c>
      <c r="G37">
        <f>IF(Backend!H64="", "", Backend!H64)</f>
        <v>0.34353571999999999</v>
      </c>
      <c r="H37">
        <f>IF(Backend!I64="", "", Backend!I64)</f>
        <v>0.15529096000000001</v>
      </c>
      <c r="I37">
        <f>IF(Backend!J64="", "", Backend!J64)</f>
        <v>0.26672911999999999</v>
      </c>
      <c r="J37">
        <f>IF(Backend!K64="", "", Backend!K64)</f>
        <v>0.22346250000000001</v>
      </c>
      <c r="K37">
        <f>IF(Backend!L64="", "", Backend!L64)</f>
        <v>0.35317432999999998</v>
      </c>
      <c r="L37">
        <f>IF(Backend!M64="", "", Backend!M64)</f>
        <v>0.17813039</v>
      </c>
      <c r="M37">
        <f>IF(Backend!N64="", "", Backend!N64)</f>
        <v>0.54775099999999999</v>
      </c>
      <c r="N37">
        <f>IF(Backend!O64="", "", Backend!O64)</f>
        <v>0.19139676</v>
      </c>
      <c r="O37">
        <f>IF(Backend!P64="", "", Backend!P64)</f>
        <v>0.114766166</v>
      </c>
      <c r="P37">
        <f>IF(Backend!Q64="", "", Backend!Q64)</f>
        <v>3.1924556999999999E-2</v>
      </c>
      <c r="Q37">
        <f>IF(Backend!R64="", "", Backend!R64)</f>
        <v>0.15477751000000001</v>
      </c>
      <c r="R37">
        <f>IF(Backend!S64="", "", Backend!S64)</f>
        <v>0.37051835999999999</v>
      </c>
      <c r="S37">
        <f>IF(Backend!T64="", "", Backend!T64)</f>
        <v>0.37190943999999998</v>
      </c>
      <c r="T37">
        <f>IF(Backend!U64="", "", Backend!U64)</f>
        <v>7.3411404999999999E-2</v>
      </c>
      <c r="U37">
        <f>IF(Backend!V64="", "", Backend!V64)</f>
        <v>0.17622136999999999</v>
      </c>
      <c r="V37">
        <f>IF(Backend!W64="", "", Backend!W64)</f>
        <v>9.9178984999999997E-2</v>
      </c>
      <c r="W37">
        <f>IF(Backend!X64="", "", Backend!X64)</f>
        <v>0.35498594999999999</v>
      </c>
      <c r="X37">
        <f>IF(Backend!Y64="", "", Backend!Y64)</f>
        <v>0.17007228999999999</v>
      </c>
      <c r="Y37">
        <f>IF(Backend!Z64="", "", Backend!Z64)</f>
        <v>0.41363165000000002</v>
      </c>
      <c r="Z37">
        <f>IF(Backend!AA64="", "", Backend!AA64)</f>
        <v>0.19724093000000001</v>
      </c>
      <c r="AA37">
        <f>IF(Backend!AB64="", "", Backend!AB64)</f>
        <v>0.31294557000000001</v>
      </c>
      <c r="AB37">
        <f>IF(Backend!AC64="", "", Backend!AC64)</f>
        <v>0.28028459999999999</v>
      </c>
      <c r="AC37">
        <f>IF(Backend!AD64="", "", Backend!AD64)</f>
        <v>0.19879647</v>
      </c>
      <c r="AD37">
        <f>IF(Backend!AE64="", "", Backend!AE64)</f>
        <v>0.25799337</v>
      </c>
      <c r="AE37">
        <f>IF(Backend!AF64="", "", Backend!AF64)</f>
        <v>0.18660199999999999</v>
      </c>
      <c r="AF37">
        <f>IF(Backend!AG64="", "", Backend!AG64)</f>
        <v>0.53823759999999998</v>
      </c>
      <c r="AG37">
        <f>IF(Backend!AH64="", "", Backend!AH64)</f>
        <v>-7.2910930000000002E-3</v>
      </c>
      <c r="AH37">
        <f>IF(Backend!AI64="", "", Backend!AI64)</f>
        <v>0.32686310000000002</v>
      </c>
      <c r="AI37">
        <f>IF(Backend!AJ64="", "", Backend!AJ64)</f>
        <v>1</v>
      </c>
      <c r="AJ37">
        <f>IF(Backend!AK64="", "", Backend!AK64)</f>
        <v>0.24515769000000001</v>
      </c>
      <c r="AK37">
        <f>IF(Backend!AL64="", "", Backend!AL64)</f>
        <v>0.26256396999999998</v>
      </c>
      <c r="AL37">
        <f>IF(Backend!AM64="", "", Backend!AM64)</f>
        <v>0.20288113999999999</v>
      </c>
      <c r="AM37">
        <f>IF(Backend!AN64="", "", Backend!AN64)</f>
        <v>8.6053506000000002E-2</v>
      </c>
      <c r="AN37">
        <f>IF(Backend!AO64="", "", Backend!AO64)</f>
        <v>0.16058911000000001</v>
      </c>
      <c r="AO37">
        <f>IF(Backend!AP64="", "", Backend!AP64)</f>
        <v>0.26082223999999998</v>
      </c>
      <c r="AP37">
        <f>IF(Backend!AQ64="", "", Backend!AQ64)</f>
        <v>0.23982559000000001</v>
      </c>
      <c r="AQ37">
        <f>IF(Backend!AR64="", "", Backend!AR64)</f>
        <v>0.32592916</v>
      </c>
      <c r="AR37">
        <f>IF(Backend!AS64="", "", Backend!AS64)</f>
        <v>0.21558388000000001</v>
      </c>
      <c r="AS37">
        <f>IF(Backend!AT64="", "", Backend!AT64)</f>
        <v>0.2082833</v>
      </c>
      <c r="AT37">
        <f>IF(Backend!AU64="", "", Backend!AU64)</f>
        <v>0.1840048</v>
      </c>
      <c r="AU37">
        <f>IF(Backend!AV64="", "", Backend!AV64)</f>
        <v>9.6976704999999996E-2</v>
      </c>
      <c r="AV37">
        <f>IF(Backend!AW64="", "", Backend!AW64)</f>
        <v>4.6143413000000001E-2</v>
      </c>
      <c r="AW37">
        <f>IF(Backend!AX64="", "", Backend!AX64)</f>
        <v>0.24671805999999999</v>
      </c>
      <c r="AX37">
        <f>IF(Backend!AY64="", "", Backend!AY64)</f>
        <v>0.23825218000000001</v>
      </c>
      <c r="AY37">
        <f>IF(Backend!AZ64="", "", Backend!AZ64)</f>
        <v>0.12783781999999999</v>
      </c>
      <c r="AZ37">
        <f>IF(Backend!BA64="", "", Backend!BA64)</f>
        <v>0.19944242000000001</v>
      </c>
      <c r="BA37">
        <f>IF(Backend!BB64="", "", Backend!BB64)</f>
        <v>0.13371815000000001</v>
      </c>
      <c r="BB37">
        <f>IF(Backend!BC64="", "", Backend!BC64)</f>
        <v>0.49824739000000001</v>
      </c>
      <c r="BC37">
        <f>IF(Backend!BD64="", "", Backend!BD64)</f>
        <v>6.6663235000000001E-2</v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ROHM Company Limited</v>
      </c>
      <c r="B38">
        <f>IF(Backend!C65="", "", Backend!C65)</f>
        <v>0.36454055000000002</v>
      </c>
      <c r="C38">
        <f>IF(Backend!D65="", "", Backend!D65)</f>
        <v>0.24200404</v>
      </c>
      <c r="D38">
        <f>IF(Backend!E65="", "", Backend!E65)</f>
        <v>0.2953655</v>
      </c>
      <c r="E38">
        <f>IF(Backend!F65="", "", Backend!F65)</f>
        <v>0.24304955</v>
      </c>
      <c r="F38">
        <f>IF(Backend!G65="", "", Backend!G65)</f>
        <v>0.31579437999999999</v>
      </c>
      <c r="G38">
        <f>IF(Backend!H65="", "", Backend!H65)</f>
        <v>0.34340277000000002</v>
      </c>
      <c r="H38">
        <f>IF(Backend!I65="", "", Backend!I65)</f>
        <v>0.32406165999999997</v>
      </c>
      <c r="I38">
        <f>IF(Backend!J65="", "", Backend!J65)</f>
        <v>0.22344452000000001</v>
      </c>
      <c r="J38">
        <f>IF(Backend!K65="", "", Backend!K65)</f>
        <v>0.16698832999999999</v>
      </c>
      <c r="K38">
        <f>IF(Backend!L65="", "", Backend!L65)</f>
        <v>0.19982920000000001</v>
      </c>
      <c r="L38">
        <f>IF(Backend!M65="", "", Backend!M65)</f>
        <v>0.21107449</v>
      </c>
      <c r="M38">
        <f>IF(Backend!N65="", "", Backend!N65)</f>
        <v>0.25157738000000002</v>
      </c>
      <c r="N38">
        <f>IF(Backend!O65="", "", Backend!O65)</f>
        <v>6.9140010000000002E-2</v>
      </c>
      <c r="O38">
        <f>IF(Backend!P65="", "", Backend!P65)</f>
        <v>0.23356119</v>
      </c>
      <c r="P38">
        <f>IF(Backend!Q65="", "", Backend!Q65)</f>
        <v>0.19671797999999999</v>
      </c>
      <c r="Q38">
        <f>IF(Backend!R65="", "", Backend!R65)</f>
        <v>0.27573449999999999</v>
      </c>
      <c r="R38">
        <f>IF(Backend!S65="", "", Backend!S65)</f>
        <v>0.14890496</v>
      </c>
      <c r="S38">
        <f>IF(Backend!T65="", "", Backend!T65)</f>
        <v>0.24686997999999999</v>
      </c>
      <c r="T38">
        <f>IF(Backend!U65="", "", Backend!U65)</f>
        <v>0.21842164</v>
      </c>
      <c r="U38">
        <f>IF(Backend!V65="", "", Backend!V65)</f>
        <v>5.4147013000000001E-2</v>
      </c>
      <c r="V38">
        <f>IF(Backend!W65="", "", Backend!W65)</f>
        <v>0.20838683999999999</v>
      </c>
      <c r="W38">
        <f>IF(Backend!X65="", "", Backend!X65)</f>
        <v>5.179342E-2</v>
      </c>
      <c r="X38">
        <f>IF(Backend!Y65="", "", Backend!Y65)</f>
        <v>0.19632392000000001</v>
      </c>
      <c r="Y38">
        <f>IF(Backend!Z65="", "", Backend!Z65)</f>
        <v>0.28473237000000001</v>
      </c>
      <c r="Z38">
        <f>IF(Backend!AA65="", "", Backend!AA65)</f>
        <v>0.33225134000000001</v>
      </c>
      <c r="AA38">
        <f>IF(Backend!AB65="", "", Backend!AB65)</f>
        <v>0.24712695000000001</v>
      </c>
      <c r="AB38">
        <f>IF(Backend!AC65="", "", Backend!AC65)</f>
        <v>0.31870154000000001</v>
      </c>
      <c r="AC38">
        <f>IF(Backend!AD65="", "", Backend!AD65)</f>
        <v>0.23138084</v>
      </c>
      <c r="AD38">
        <f>IF(Backend!AE65="", "", Backend!AE65)</f>
        <v>0.27126159999999999</v>
      </c>
      <c r="AE38">
        <f>IF(Backend!AF65="", "", Backend!AF65)</f>
        <v>0.29888861999999999</v>
      </c>
      <c r="AF38">
        <f>IF(Backend!AG65="", "", Backend!AG65)</f>
        <v>0.40564250000000002</v>
      </c>
      <c r="AG38">
        <f>IF(Backend!AH65="", "", Backend!AH65)</f>
        <v>0.15477663</v>
      </c>
      <c r="AH38">
        <f>IF(Backend!AI65="", "", Backend!AI65)</f>
        <v>0.28388112999999998</v>
      </c>
      <c r="AI38">
        <f>IF(Backend!AJ65="", "", Backend!AJ65)</f>
        <v>0.24515769000000001</v>
      </c>
      <c r="AJ38">
        <f>IF(Backend!AK65="", "", Backend!AK65)</f>
        <v>1</v>
      </c>
      <c r="AK38">
        <f>IF(Backend!AL65="", "", Backend!AL65)</f>
        <v>0.31310323000000001</v>
      </c>
      <c r="AL38">
        <f>IF(Backend!AM65="", "", Backend!AM65)</f>
        <v>0.11628512000000001</v>
      </c>
      <c r="AM38">
        <f>IF(Backend!AN65="", "", Backend!AN65)</f>
        <v>0.13196473</v>
      </c>
      <c r="AN38">
        <f>IF(Backend!AO65="", "", Backend!AO65)</f>
        <v>0.16779664</v>
      </c>
      <c r="AO38">
        <f>IF(Backend!AP65="", "", Backend!AP65)</f>
        <v>0.15684909999999999</v>
      </c>
      <c r="AP38">
        <f>IF(Backend!AQ65="", "", Backend!AQ65)</f>
        <v>0.29536244</v>
      </c>
      <c r="AQ38">
        <f>IF(Backend!AR65="", "", Backend!AR65)</f>
        <v>0.30356315</v>
      </c>
      <c r="AR38">
        <f>IF(Backend!AS65="", "", Backend!AS65)</f>
        <v>0.31287205000000001</v>
      </c>
      <c r="AS38">
        <f>IF(Backend!AT65="", "", Backend!AT65)</f>
        <v>0.28994196999999999</v>
      </c>
      <c r="AT38">
        <f>IF(Backend!AU65="", "", Backend!AU65)</f>
        <v>0.21416658</v>
      </c>
      <c r="AU38">
        <f>IF(Backend!AV65="", "", Backend!AV65)</f>
        <v>0.21153066000000001</v>
      </c>
      <c r="AV38">
        <f>IF(Backend!AW65="", "", Backend!AW65)</f>
        <v>0.17387299000000001</v>
      </c>
      <c r="AW38">
        <f>IF(Backend!AX65="", "", Backend!AX65)</f>
        <v>0.36194377999999999</v>
      </c>
      <c r="AX38">
        <f>IF(Backend!AY65="", "", Backend!AY65)</f>
        <v>0.24372193</v>
      </c>
      <c r="AY38">
        <f>IF(Backend!AZ65="", "", Backend!AZ65)</f>
        <v>0.24624535</v>
      </c>
      <c r="AZ38">
        <f>IF(Backend!BA65="", "", Backend!BA65)</f>
        <v>0.26464389999999999</v>
      </c>
      <c r="BA38">
        <f>IF(Backend!BB65="", "", Backend!BB65)</f>
        <v>0.17186841</v>
      </c>
      <c r="BB38">
        <f>IF(Backend!BC65="", "", Backend!BC65)</f>
        <v>0.14299724999999999</v>
      </c>
      <c r="BC38">
        <f>IF(Backend!BD65="", "", Backend!BD65)</f>
        <v>8.9035324999999998E-2</v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>BASF SE</v>
      </c>
      <c r="B39">
        <f>IF(Backend!C66="", "", Backend!C66)</f>
        <v>0.29286292000000003</v>
      </c>
      <c r="C39">
        <f>IF(Backend!D66="", "", Backend!D66)</f>
        <v>0.25432807000000002</v>
      </c>
      <c r="D39">
        <f>IF(Backend!E66="", "", Backend!E66)</f>
        <v>0.61608404000000005</v>
      </c>
      <c r="E39">
        <f>IF(Backend!F66="", "", Backend!F66)</f>
        <v>0.43815730000000003</v>
      </c>
      <c r="F39">
        <f>IF(Backend!G66="", "", Backend!G66)</f>
        <v>0.37872767000000002</v>
      </c>
      <c r="G39">
        <f>IF(Backend!H66="", "", Backend!H66)</f>
        <v>0.32252553</v>
      </c>
      <c r="H39">
        <f>IF(Backend!I66="", "", Backend!I66)</f>
        <v>0.53837924999999998</v>
      </c>
      <c r="I39">
        <f>IF(Backend!J66="", "", Backend!J66)</f>
        <v>0.15928228</v>
      </c>
      <c r="J39">
        <f>IF(Backend!K66="", "", Backend!K66)</f>
        <v>0.21865244</v>
      </c>
      <c r="K39">
        <f>IF(Backend!L66="", "", Backend!L66)</f>
        <v>0.39582806999999998</v>
      </c>
      <c r="L39">
        <f>IF(Backend!M66="", "", Backend!M66)</f>
        <v>0.14662594000000001</v>
      </c>
      <c r="M39">
        <f>IF(Backend!N66="", "", Backend!N66)</f>
        <v>0.20976432</v>
      </c>
      <c r="N39">
        <f>IF(Backend!O66="", "", Backend!O66)</f>
        <v>-5.9963009999999997E-2</v>
      </c>
      <c r="O39">
        <f>IF(Backend!P66="", "", Backend!P66)</f>
        <v>0.17856295</v>
      </c>
      <c r="P39">
        <f>IF(Backend!Q66="", "", Backend!Q66)</f>
        <v>0.3823146</v>
      </c>
      <c r="Q39">
        <f>IF(Backend!R66="", "", Backend!R66)</f>
        <v>0.51881330000000003</v>
      </c>
      <c r="R39">
        <f>IF(Backend!S66="", "", Backend!S66)</f>
        <v>0.21321878</v>
      </c>
      <c r="S39">
        <f>IF(Backend!T66="", "", Backend!T66)</f>
        <v>0.38863750000000002</v>
      </c>
      <c r="T39">
        <f>IF(Backend!U66="", "", Backend!U66)</f>
        <v>0.43226722000000001</v>
      </c>
      <c r="U39">
        <f>IF(Backend!V66="", "", Backend!V66)</f>
        <v>3.0308261999999999E-2</v>
      </c>
      <c r="V39">
        <f>IF(Backend!W66="", "", Backend!W66)</f>
        <v>0.46770686</v>
      </c>
      <c r="W39">
        <f>IF(Backend!X66="", "", Backend!X66)</f>
        <v>5.0698123999999997E-2</v>
      </c>
      <c r="X39">
        <f>IF(Backend!Y66="", "", Backend!Y66)</f>
        <v>0.28679969999999999</v>
      </c>
      <c r="Y39">
        <f>IF(Backend!Z66="", "", Backend!Z66)</f>
        <v>0.24900843</v>
      </c>
      <c r="Z39">
        <f>IF(Backend!AA66="", "", Backend!AA66)</f>
        <v>0.5281844</v>
      </c>
      <c r="AA39">
        <f>IF(Backend!AB66="", "", Backend!AB66)</f>
        <v>0.17090751000000001</v>
      </c>
      <c r="AB39">
        <f>IF(Backend!AC66="", "", Backend!AC66)</f>
        <v>0.54940990000000001</v>
      </c>
      <c r="AC39">
        <f>IF(Backend!AD66="", "", Backend!AD66)</f>
        <v>0.53533226</v>
      </c>
      <c r="AD39">
        <f>IF(Backend!AE66="", "", Backend!AE66)</f>
        <v>0.43595156000000002</v>
      </c>
      <c r="AE39">
        <f>IF(Backend!AF66="", "", Backend!AF66)</f>
        <v>0.54457990000000001</v>
      </c>
      <c r="AF39">
        <f>IF(Backend!AG66="", "", Backend!AG66)</f>
        <v>0.35151490000000002</v>
      </c>
      <c r="AG39">
        <f>IF(Backend!AH66="", "", Backend!AH66)</f>
        <v>0.36985603</v>
      </c>
      <c r="AH39">
        <f>IF(Backend!AI66="", "", Backend!AI66)</f>
        <v>0.33487860000000003</v>
      </c>
      <c r="AI39">
        <f>IF(Backend!AJ66="", "", Backend!AJ66)</f>
        <v>0.26256396999999998</v>
      </c>
      <c r="AJ39">
        <f>IF(Backend!AK66="", "", Backend!AK66)</f>
        <v>0.31310323000000001</v>
      </c>
      <c r="AK39">
        <f>IF(Backend!AL66="", "", Backend!AL66)</f>
        <v>1</v>
      </c>
      <c r="AL39">
        <f>IF(Backend!AM66="", "", Backend!AM66)</f>
        <v>0.32941072999999998</v>
      </c>
      <c r="AM39">
        <f>IF(Backend!AN66="", "", Backend!AN66)</f>
        <v>0.32809922000000002</v>
      </c>
      <c r="AN39">
        <f>IF(Backend!AO66="", "", Backend!AO66)</f>
        <v>0.22335935000000001</v>
      </c>
      <c r="AO39">
        <f>IF(Backend!AP66="", "", Backend!AP66)</f>
        <v>0.37075954999999999</v>
      </c>
      <c r="AP39">
        <f>IF(Backend!AQ66="", "", Backend!AQ66)</f>
        <v>0.69562089999999999</v>
      </c>
      <c r="AQ39">
        <f>IF(Backend!AR66="", "", Backend!AR66)</f>
        <v>0.41024443999999999</v>
      </c>
      <c r="AR39">
        <f>IF(Backend!AS66="", "", Backend!AS66)</f>
        <v>0.36441904000000003</v>
      </c>
      <c r="AS39">
        <f>IF(Backend!AT66="", "", Backend!AT66)</f>
        <v>0.58411795</v>
      </c>
      <c r="AT39">
        <f>IF(Backend!AU66="", "", Backend!AU66)</f>
        <v>0.55750823000000005</v>
      </c>
      <c r="AU39">
        <f>IF(Backend!AV66="", "", Backend!AV66)</f>
        <v>0.43991200000000003</v>
      </c>
      <c r="AV39">
        <f>IF(Backend!AW66="", "", Backend!AW66)</f>
        <v>0.23482700000000001</v>
      </c>
      <c r="AW39">
        <f>IF(Backend!AX66="", "", Backend!AX66)</f>
        <v>0.52708434999999998</v>
      </c>
      <c r="AX39">
        <f>IF(Backend!AY66="", "", Backend!AY66)</f>
        <v>0.7616617</v>
      </c>
      <c r="AY39">
        <f>IF(Backend!AZ66="", "", Backend!AZ66)</f>
        <v>0.42650073999999999</v>
      </c>
      <c r="AZ39">
        <f>IF(Backend!BA66="", "", Backend!BA66)</f>
        <v>0.5181595</v>
      </c>
      <c r="BA39">
        <f>IF(Backend!BB66="", "", Backend!BB66)</f>
        <v>0.34533723999999999</v>
      </c>
      <c r="BB39">
        <f>IF(Backend!BC66="", "", Backend!BC66)</f>
        <v>0.1027912</v>
      </c>
      <c r="BC39">
        <f>IF(Backend!BD66="", "", Backend!BD66)</f>
        <v>0.13109232000000001</v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>Carrefour SA</v>
      </c>
      <c r="B40">
        <f>IF(Backend!C67="", "", Backend!C67)</f>
        <v>0.15665248000000001</v>
      </c>
      <c r="C40">
        <f>IF(Backend!D67="", "", Backend!D67)</f>
        <v>0.17794839000000001</v>
      </c>
      <c r="D40">
        <f>IF(Backend!E67="", "", Backend!E67)</f>
        <v>0.25645225999999999</v>
      </c>
      <c r="E40">
        <f>IF(Backend!F67="", "", Backend!F67)</f>
        <v>0.16361754000000001</v>
      </c>
      <c r="F40">
        <f>IF(Backend!G67="", "", Backend!G67)</f>
        <v>0.27775030000000001</v>
      </c>
      <c r="G40">
        <f>IF(Backend!H67="", "", Backend!H67)</f>
        <v>0.16803987000000001</v>
      </c>
      <c r="H40">
        <f>IF(Backend!I67="", "", Backend!I67)</f>
        <v>0.14638171999999999</v>
      </c>
      <c r="I40">
        <f>IF(Backend!J67="", "", Backend!J67)</f>
        <v>0.21711294</v>
      </c>
      <c r="J40">
        <f>IF(Backend!K67="", "", Backend!K67)</f>
        <v>0.31774323999999998</v>
      </c>
      <c r="K40">
        <f>IF(Backend!L67="", "", Backend!L67)</f>
        <v>0.31011720999999998</v>
      </c>
      <c r="L40">
        <f>IF(Backend!M67="", "", Backend!M67)</f>
        <v>6.5998755000000006E-2</v>
      </c>
      <c r="M40">
        <f>IF(Backend!N67="", "", Backend!N67)</f>
        <v>0.14224622000000001</v>
      </c>
      <c r="N40">
        <f>IF(Backend!O67="", "", Backend!O67)</f>
        <v>0.14272022000000001</v>
      </c>
      <c r="O40">
        <f>IF(Backend!P67="", "", Backend!P67)</f>
        <v>0.15046672999999999</v>
      </c>
      <c r="P40">
        <f>IF(Backend!Q67="", "", Backend!Q67)</f>
        <v>5.5297602000000001E-2</v>
      </c>
      <c r="Q40">
        <f>IF(Backend!R67="", "", Backend!R67)</f>
        <v>0.30553922</v>
      </c>
      <c r="R40">
        <f>IF(Backend!S67="", "", Backend!S67)</f>
        <v>0.41865599999999997</v>
      </c>
      <c r="S40">
        <f>IF(Backend!T67="", "", Backend!T67)</f>
        <v>0.36957543999999998</v>
      </c>
      <c r="T40">
        <f>IF(Backend!U67="", "", Backend!U67)</f>
        <v>0.23980746999999999</v>
      </c>
      <c r="U40">
        <f>IF(Backend!V67="", "", Backend!V67)</f>
        <v>0.23581550000000001</v>
      </c>
      <c r="V40">
        <f>IF(Backend!W67="", "", Backend!W67)</f>
        <v>0.29008835999999999</v>
      </c>
      <c r="W40">
        <f>IF(Backend!X67="", "", Backend!X67)</f>
        <v>0.17381921</v>
      </c>
      <c r="X40">
        <f>IF(Backend!Y67="", "", Backend!Y67)</f>
        <v>0.18265869000000001</v>
      </c>
      <c r="Y40">
        <f>IF(Backend!Z67="", "", Backend!Z67)</f>
        <v>0.11998072999999999</v>
      </c>
      <c r="Z40">
        <f>IF(Backend!AA67="", "", Backend!AA67)</f>
        <v>0.21105298</v>
      </c>
      <c r="AA40">
        <f>IF(Backend!AB67="", "", Backend!AB67)</f>
        <v>0.10125315999999999</v>
      </c>
      <c r="AB40">
        <f>IF(Backend!AC67="", "", Backend!AC67)</f>
        <v>0.27014484999999999</v>
      </c>
      <c r="AC40">
        <f>IF(Backend!AD67="", "", Backend!AD67)</f>
        <v>0.31165457000000002</v>
      </c>
      <c r="AD40">
        <f>IF(Backend!AE67="", "", Backend!AE67)</f>
        <v>0.32374528000000002</v>
      </c>
      <c r="AE40">
        <f>IF(Backend!AF67="", "", Backend!AF67)</f>
        <v>7.8400709999999998E-2</v>
      </c>
      <c r="AF40">
        <f>IF(Backend!AG67="", "", Backend!AG67)</f>
        <v>0.16555734</v>
      </c>
      <c r="AG40">
        <f>IF(Backend!AH67="", "", Backend!AH67)</f>
        <v>0.14364739000000001</v>
      </c>
      <c r="AH40">
        <f>IF(Backend!AI67="", "", Backend!AI67)</f>
        <v>0.35905766</v>
      </c>
      <c r="AI40">
        <f>IF(Backend!AJ67="", "", Backend!AJ67)</f>
        <v>0.20288113999999999</v>
      </c>
      <c r="AJ40">
        <f>IF(Backend!AK67="", "", Backend!AK67)</f>
        <v>0.11628512000000001</v>
      </c>
      <c r="AK40">
        <f>IF(Backend!AL67="", "", Backend!AL67)</f>
        <v>0.32941072999999998</v>
      </c>
      <c r="AL40">
        <f>IF(Backend!AM67="", "", Backend!AM67)</f>
        <v>1</v>
      </c>
      <c r="AM40">
        <f>IF(Backend!AN67="", "", Backend!AN67)</f>
        <v>0.14889011999999999</v>
      </c>
      <c r="AN40">
        <f>IF(Backend!AO67="", "", Backend!AO67)</f>
        <v>0.1365818</v>
      </c>
      <c r="AO40">
        <f>IF(Backend!AP67="", "", Backend!AP67)</f>
        <v>0.2959927</v>
      </c>
      <c r="AP40">
        <f>IF(Backend!AQ67="", "", Backend!AQ67)</f>
        <v>0.37676270000000001</v>
      </c>
      <c r="AQ40">
        <f>IF(Backend!AR67="", "", Backend!AR67)</f>
        <v>0.25471494</v>
      </c>
      <c r="AR40">
        <f>IF(Backend!AS67="", "", Backend!AS67)</f>
        <v>8.8774039999999999E-2</v>
      </c>
      <c r="AS40">
        <f>IF(Backend!AT67="", "", Backend!AT67)</f>
        <v>0.26814250000000001</v>
      </c>
      <c r="AT40">
        <f>IF(Backend!AU67="", "", Backend!AU67)</f>
        <v>0.22792977</v>
      </c>
      <c r="AU40">
        <f>IF(Backend!AV67="", "", Backend!AV67)</f>
        <v>0.30861282000000001</v>
      </c>
      <c r="AV40">
        <f>IF(Backend!AW67="", "", Backend!AW67)</f>
        <v>0.11143894999999999</v>
      </c>
      <c r="AW40">
        <f>IF(Backend!AX67="", "", Backend!AX67)</f>
        <v>0.15395153</v>
      </c>
      <c r="AX40">
        <f>IF(Backend!AY67="", "", Backend!AY67)</f>
        <v>0.37588519999999997</v>
      </c>
      <c r="AY40">
        <f>IF(Backend!AZ67="", "", Backend!AZ67)</f>
        <v>0.15831749000000001</v>
      </c>
      <c r="AZ40">
        <f>IF(Backend!BA67="", "", Backend!BA67)</f>
        <v>0.23977177</v>
      </c>
      <c r="BA40">
        <f>IF(Backend!BB67="", "", Backend!BB67)</f>
        <v>0.21991479999999999</v>
      </c>
      <c r="BB40">
        <f>IF(Backend!BC67="", "", Backend!BC67)</f>
        <v>0.19257848</v>
      </c>
      <c r="BC40">
        <f>IF(Backend!BD67="", "", Backend!BD67)</f>
        <v>7.4859894999999996E-2</v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>Ternium S.A. Sponsored ADR</v>
      </c>
      <c r="B41">
        <f>IF(Backend!C68="", "", Backend!C68)</f>
        <v>3.0743906000000001E-2</v>
      </c>
      <c r="C41">
        <f>IF(Backend!D68="", "", Backend!D68)</f>
        <v>2.8160607000000001E-2</v>
      </c>
      <c r="D41">
        <f>IF(Backend!E68="", "", Backend!E68)</f>
        <v>0.14841971000000001</v>
      </c>
      <c r="E41">
        <f>IF(Backend!F68="", "", Backend!F68)</f>
        <v>0.20434867000000001</v>
      </c>
      <c r="F41">
        <f>IF(Backend!G68="", "", Backend!G68)</f>
        <v>5.3371355000000002E-2</v>
      </c>
      <c r="G41">
        <f>IF(Backend!H68="", "", Backend!H68)</f>
        <v>3.7919572999999998E-2</v>
      </c>
      <c r="H41">
        <f>IF(Backend!I68="", "", Backend!I68)</f>
        <v>0.31561070000000002</v>
      </c>
      <c r="I41">
        <f>IF(Backend!J68="", "", Backend!J68)</f>
        <v>2.8060826000000001E-2</v>
      </c>
      <c r="J41">
        <f>IF(Backend!K68="", "", Backend!K68)</f>
        <v>0.108577944</v>
      </c>
      <c r="K41">
        <f>IF(Backend!L68="", "", Backend!L68)</f>
        <v>2.9858091999999999E-3</v>
      </c>
      <c r="L41">
        <f>IF(Backend!M68="", "", Backend!M68)</f>
        <v>0.117728055</v>
      </c>
      <c r="M41">
        <f>IF(Backend!N68="", "", Backend!N68)</f>
        <v>3.9051193999999997E-2</v>
      </c>
      <c r="N41">
        <f>IF(Backend!O68="", "", Backend!O68)</f>
        <v>-3.806321E-2</v>
      </c>
      <c r="O41">
        <f>IF(Backend!P68="", "", Backend!P68)</f>
        <v>4.4127929999999999E-3</v>
      </c>
      <c r="P41">
        <f>IF(Backend!Q68="", "", Backend!Q68)</f>
        <v>0.1992276</v>
      </c>
      <c r="Q41">
        <f>IF(Backend!R68="", "", Backend!R68)</f>
        <v>0.14070487000000001</v>
      </c>
      <c r="R41">
        <f>IF(Backend!S68="", "", Backend!S68)</f>
        <v>-3.3967476000000003E-2</v>
      </c>
      <c r="S41">
        <f>IF(Backend!T68="", "", Backend!T68)</f>
        <v>9.8456963999999994E-2</v>
      </c>
      <c r="T41">
        <f>IF(Backend!U68="", "", Backend!U68)</f>
        <v>0.19950082999999999</v>
      </c>
      <c r="U41">
        <f>IF(Backend!V68="", "", Backend!V68)</f>
        <v>-1.3856756499999999E-2</v>
      </c>
      <c r="V41">
        <f>IF(Backend!W68="", "", Backend!W68)</f>
        <v>0.18376306000000001</v>
      </c>
      <c r="W41">
        <f>IF(Backend!X68="", "", Backend!X68)</f>
        <v>6.8827189999999998E-3</v>
      </c>
      <c r="X41">
        <f>IF(Backend!Y68="", "", Backend!Y68)</f>
        <v>0.12901053000000001</v>
      </c>
      <c r="Y41">
        <f>IF(Backend!Z68="", "", Backend!Z68)</f>
        <v>-8.6275615E-2</v>
      </c>
      <c r="Z41">
        <f>IF(Backend!AA68="", "", Backend!AA68)</f>
        <v>0.18931129999999999</v>
      </c>
      <c r="AA41">
        <f>IF(Backend!AB68="", "", Backend!AB68)</f>
        <v>-2.7800482000000001E-2</v>
      </c>
      <c r="AB41">
        <f>IF(Backend!AC68="", "", Backend!AC68)</f>
        <v>0.29451864999999999</v>
      </c>
      <c r="AC41">
        <f>IF(Backend!AD68="", "", Backend!AD68)</f>
        <v>0.16921360999999999</v>
      </c>
      <c r="AD41">
        <f>IF(Backend!AE68="", "", Backend!AE68)</f>
        <v>9.8428673999999994E-2</v>
      </c>
      <c r="AE41">
        <f>IF(Backend!AF68="", "", Backend!AF68)</f>
        <v>0.32739352999999999</v>
      </c>
      <c r="AF41">
        <f>IF(Backend!AG68="", "", Backend!AG68)</f>
        <v>0.12369908</v>
      </c>
      <c r="AG41">
        <f>IF(Backend!AH68="", "", Backend!AH68)</f>
        <v>8.7418339999999997E-2</v>
      </c>
      <c r="AH41">
        <f>IF(Backend!AI68="", "", Backend!AI68)</f>
        <v>1.5495358000000001E-2</v>
      </c>
      <c r="AI41">
        <f>IF(Backend!AJ68="", "", Backend!AJ68)</f>
        <v>8.6053506000000002E-2</v>
      </c>
      <c r="AJ41">
        <f>IF(Backend!AK68="", "", Backend!AK68)</f>
        <v>0.13196473</v>
      </c>
      <c r="AK41">
        <f>IF(Backend!AL68="", "", Backend!AL68)</f>
        <v>0.32809922000000002</v>
      </c>
      <c r="AL41">
        <f>IF(Backend!AM68="", "", Backend!AM68)</f>
        <v>0.14889011999999999</v>
      </c>
      <c r="AM41">
        <f>IF(Backend!AN68="", "", Backend!AN68)</f>
        <v>1</v>
      </c>
      <c r="AN41">
        <f>IF(Backend!AO68="", "", Backend!AO68)</f>
        <v>0.13147751999999999</v>
      </c>
      <c r="AO41">
        <f>IF(Backend!AP68="", "", Backend!AP68)</f>
        <v>0.1737049</v>
      </c>
      <c r="AP41">
        <f>IF(Backend!AQ68="", "", Backend!AQ68)</f>
        <v>0.23419071999999999</v>
      </c>
      <c r="AQ41">
        <f>IF(Backend!AR68="", "", Backend!AR68)</f>
        <v>0.25524738000000002</v>
      </c>
      <c r="AR41">
        <f>IF(Backend!AS68="", "", Backend!AS68)</f>
        <v>0.23038116</v>
      </c>
      <c r="AS41">
        <f>IF(Backend!AT68="", "", Backend!AT68)</f>
        <v>0.21553446000000001</v>
      </c>
      <c r="AT41">
        <f>IF(Backend!AU68="", "", Backend!AU68)</f>
        <v>0.21522896999999999</v>
      </c>
      <c r="AU41">
        <f>IF(Backend!AV68="", "", Backend!AV68)</f>
        <v>0.19442113999999999</v>
      </c>
      <c r="AV41">
        <f>IF(Backend!AW68="", "", Backend!AW68)</f>
        <v>0.16850393999999999</v>
      </c>
      <c r="AW41">
        <f>IF(Backend!AX68="", "", Backend!AX68)</f>
        <v>0.36831209999999998</v>
      </c>
      <c r="AX41">
        <f>IF(Backend!AY68="", "", Backend!AY68)</f>
        <v>0.24959691000000001</v>
      </c>
      <c r="AY41">
        <f>IF(Backend!AZ68="", "", Backend!AZ68)</f>
        <v>0.21378485999999999</v>
      </c>
      <c r="AZ41">
        <f>IF(Backend!BA68="", "", Backend!BA68)</f>
        <v>0.19473745000000001</v>
      </c>
      <c r="BA41">
        <f>IF(Backend!BB68="", "", Backend!BB68)</f>
        <v>9.9740010000000004E-2</v>
      </c>
      <c r="BB41">
        <f>IF(Backend!BC68="", "", Backend!BC68)</f>
        <v>-1.5157986E-2</v>
      </c>
      <c r="BC41">
        <f>IF(Backend!BD68="", "", Backend!BD68)</f>
        <v>0.38710444999999999</v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>Anhui Conch Cement Company Limited Class H</v>
      </c>
      <c r="B42">
        <f>IF(Backend!C69="", "", Backend!C69)</f>
        <v>-1.6310379E-2</v>
      </c>
      <c r="C42">
        <f>IF(Backend!D69="", "", Backend!D69)</f>
        <v>0.1540144</v>
      </c>
      <c r="D42">
        <f>IF(Backend!E69="", "", Backend!E69)</f>
        <v>4.6682116000000003E-2</v>
      </c>
      <c r="E42">
        <f>IF(Backend!F69="", "", Backend!F69)</f>
        <v>0.14547618000000001</v>
      </c>
      <c r="F42">
        <f>IF(Backend!G69="", "", Backend!G69)</f>
        <v>0.12667676999999999</v>
      </c>
      <c r="G42">
        <f>IF(Backend!H69="", "", Backend!H69)</f>
        <v>0.10767474</v>
      </c>
      <c r="H42">
        <f>IF(Backend!I69="", "", Backend!I69)</f>
        <v>0.17944498</v>
      </c>
      <c r="I42">
        <f>IF(Backend!J69="", "", Backend!J69)</f>
        <v>5.6736535999999997E-2</v>
      </c>
      <c r="J42">
        <f>IF(Backend!K69="", "", Backend!K69)</f>
        <v>0.16700699999999999</v>
      </c>
      <c r="K42">
        <f>IF(Backend!L69="", "", Backend!L69)</f>
        <v>0.16243284999999999</v>
      </c>
      <c r="L42">
        <f>IF(Backend!M69="", "", Backend!M69)</f>
        <v>8.8384329999999997E-2</v>
      </c>
      <c r="M42">
        <f>IF(Backend!N69="", "", Backend!N69)</f>
        <v>0.14397705</v>
      </c>
      <c r="N42">
        <f>IF(Backend!O69="", "", Backend!O69)</f>
        <v>0.15754731999999999</v>
      </c>
      <c r="O42">
        <f>IF(Backend!P69="", "", Backend!P69)</f>
        <v>0.112520434</v>
      </c>
      <c r="P42">
        <f>IF(Backend!Q69="", "", Backend!Q69)</f>
        <v>0.12128377999999999</v>
      </c>
      <c r="Q42">
        <f>IF(Backend!R69="", "", Backend!R69)</f>
        <v>0.13535625000000001</v>
      </c>
      <c r="R42">
        <f>IF(Backend!S69="", "", Backend!S69)</f>
        <v>0.12761724999999999</v>
      </c>
      <c r="S42">
        <f>IF(Backend!T69="", "", Backend!T69)</f>
        <v>0.22153173000000001</v>
      </c>
      <c r="T42">
        <f>IF(Backend!U69="", "", Backend!U69)</f>
        <v>0.14443988999999999</v>
      </c>
      <c r="U42">
        <f>IF(Backend!V69="", "", Backend!V69)</f>
        <v>4.2721352999999997E-2</v>
      </c>
      <c r="V42">
        <f>IF(Backend!W69="", "", Backend!W69)</f>
        <v>0.13467825999999999</v>
      </c>
      <c r="W42">
        <f>IF(Backend!X69="", "", Backend!X69)</f>
        <v>0.11807197</v>
      </c>
      <c r="X42">
        <f>IF(Backend!Y69="", "", Backend!Y69)</f>
        <v>-1.2453888999999999E-2</v>
      </c>
      <c r="Y42">
        <f>IF(Backend!Z69="", "", Backend!Z69)</f>
        <v>0.14574456</v>
      </c>
      <c r="Z42">
        <f>IF(Backend!AA69="", "", Backend!AA69)</f>
        <v>0.1736656</v>
      </c>
      <c r="AA42">
        <f>IF(Backend!AB69="", "", Backend!AB69)</f>
        <v>0.11826254</v>
      </c>
      <c r="AB42">
        <f>IF(Backend!AC69="", "", Backend!AC69)</f>
        <v>0.23060548</v>
      </c>
      <c r="AC42">
        <f>IF(Backend!AD69="", "", Backend!AD69)</f>
        <v>0.15787377999999999</v>
      </c>
      <c r="AD42">
        <f>IF(Backend!AE69="", "", Backend!AE69)</f>
        <v>0.14864494</v>
      </c>
      <c r="AE42">
        <f>IF(Backend!AF69="", "", Backend!AF69)</f>
        <v>0.2195676</v>
      </c>
      <c r="AF42">
        <f>IF(Backend!AG69="", "", Backend!AG69)</f>
        <v>0.17291728000000001</v>
      </c>
      <c r="AG42">
        <f>IF(Backend!AH69="", "", Backend!AH69)</f>
        <v>6.8855369999999999E-2</v>
      </c>
      <c r="AH42">
        <f>IF(Backend!AI69="", "", Backend!AI69)</f>
        <v>0.13839422000000001</v>
      </c>
      <c r="AI42">
        <f>IF(Backend!AJ69="", "", Backend!AJ69)</f>
        <v>0.16058911000000001</v>
      </c>
      <c r="AJ42">
        <f>IF(Backend!AK69="", "", Backend!AK69)</f>
        <v>0.16779664</v>
      </c>
      <c r="AK42">
        <f>IF(Backend!AL69="", "", Backend!AL69)</f>
        <v>0.22335935000000001</v>
      </c>
      <c r="AL42">
        <f>IF(Backend!AM69="", "", Backend!AM69)</f>
        <v>0.1365818</v>
      </c>
      <c r="AM42">
        <f>IF(Backend!AN69="", "", Backend!AN69)</f>
        <v>0.13147751999999999</v>
      </c>
      <c r="AN42">
        <f>IF(Backend!AO69="", "", Backend!AO69)</f>
        <v>1</v>
      </c>
      <c r="AO42">
        <f>IF(Backend!AP69="", "", Backend!AP69)</f>
        <v>6.9722204999999995E-2</v>
      </c>
      <c r="AP42">
        <f>IF(Backend!AQ69="", "", Backend!AQ69)</f>
        <v>0.10680812000000001</v>
      </c>
      <c r="AQ42">
        <f>IF(Backend!AR69="", "", Backend!AR69)</f>
        <v>8.0504010000000001E-2</v>
      </c>
      <c r="AR42">
        <f>IF(Backend!AS69="", "", Backend!AS69)</f>
        <v>6.4998E-2</v>
      </c>
      <c r="AS42">
        <f>IF(Backend!AT69="", "", Backend!AT69)</f>
        <v>0.14056779999999999</v>
      </c>
      <c r="AT42">
        <f>IF(Backend!AU69="", "", Backend!AU69)</f>
        <v>0.14115221999999999</v>
      </c>
      <c r="AU42">
        <f>IF(Backend!AV69="", "", Backend!AV69)</f>
        <v>8.9517063999999993E-2</v>
      </c>
      <c r="AV42">
        <f>IF(Backend!AW69="", "", Backend!AW69)</f>
        <v>0.21776892</v>
      </c>
      <c r="AW42">
        <f>IF(Backend!AX69="", "", Backend!AX69)</f>
        <v>0.25891140000000001</v>
      </c>
      <c r="AX42">
        <f>IF(Backend!AY69="", "", Backend!AY69)</f>
        <v>0.22128637000000001</v>
      </c>
      <c r="AY42">
        <f>IF(Backend!AZ69="", "", Backend!AZ69)</f>
        <v>0.20334935000000001</v>
      </c>
      <c r="AZ42">
        <f>IF(Backend!BA69="", "", Backend!BA69)</f>
        <v>0.13684307000000001</v>
      </c>
      <c r="BA42">
        <f>IF(Backend!BB69="", "", Backend!BB69)</f>
        <v>7.9145359999999998E-2</v>
      </c>
      <c r="BB42">
        <f>IF(Backend!BC69="", "", Backend!BC69)</f>
        <v>0.12709181</v>
      </c>
      <c r="BC42">
        <f>IF(Backend!BD69="", "", Backend!BD69)</f>
        <v>-7.3670070000000004E-2</v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>OMV AG</v>
      </c>
      <c r="B43">
        <f>IF(Backend!C70="", "", Backend!C70)</f>
        <v>0.13457458</v>
      </c>
      <c r="C43">
        <f>IF(Backend!D70="", "", Backend!D70)</f>
        <v>0.22465104999999999</v>
      </c>
      <c r="D43">
        <f>IF(Backend!E70="", "", Backend!E70)</f>
        <v>0.31213071999999997</v>
      </c>
      <c r="E43">
        <f>IF(Backend!F70="", "", Backend!F70)</f>
        <v>0.32413688000000002</v>
      </c>
      <c r="F43">
        <f>IF(Backend!G70="", "", Backend!G70)</f>
        <v>0.30972564000000002</v>
      </c>
      <c r="G43">
        <f>IF(Backend!H70="", "", Backend!H70)</f>
        <v>0.2290546</v>
      </c>
      <c r="H43">
        <f>IF(Backend!I70="", "", Backend!I70)</f>
        <v>0.34154293000000002</v>
      </c>
      <c r="I43">
        <f>IF(Backend!J70="", "", Backend!J70)</f>
        <v>0.18524307000000001</v>
      </c>
      <c r="J43">
        <f>IF(Backend!K70="", "", Backend!K70)</f>
        <v>0.23735818</v>
      </c>
      <c r="K43">
        <f>IF(Backend!L70="", "", Backend!L70)</f>
        <v>0.22612742999999999</v>
      </c>
      <c r="L43">
        <f>IF(Backend!M70="", "", Backend!M70)</f>
        <v>-2.1602994E-2</v>
      </c>
      <c r="M43">
        <f>IF(Backend!N70="", "", Backend!N70)</f>
        <v>0.20232314000000001</v>
      </c>
      <c r="N43">
        <f>IF(Backend!O70="", "", Backend!O70)</f>
        <v>0.12112467</v>
      </c>
      <c r="O43">
        <f>IF(Backend!P70="", "", Backend!P70)</f>
        <v>-4.5712444999999997E-2</v>
      </c>
      <c r="P43">
        <f>IF(Backend!Q70="", "", Backend!Q70)</f>
        <v>0.23282855999999999</v>
      </c>
      <c r="Q43">
        <f>IF(Backend!R70="", "", Backend!R70)</f>
        <v>0.34984749999999998</v>
      </c>
      <c r="R43">
        <f>IF(Backend!S70="", "", Backend!S70)</f>
        <v>0.20349069</v>
      </c>
      <c r="S43">
        <f>IF(Backend!T70="", "", Backend!T70)</f>
        <v>0.42305544</v>
      </c>
      <c r="T43">
        <f>IF(Backend!U70="", "", Backend!U70)</f>
        <v>0.34375894000000001</v>
      </c>
      <c r="U43">
        <f>IF(Backend!V70="", "", Backend!V70)</f>
        <v>9.4765409999999994E-2</v>
      </c>
      <c r="V43">
        <f>IF(Backend!W70="", "", Backend!W70)</f>
        <v>0.26551130000000001</v>
      </c>
      <c r="W43">
        <f>IF(Backend!X70="", "", Backend!X70)</f>
        <v>0.13913848000000001</v>
      </c>
      <c r="X43">
        <f>IF(Backend!Y70="", "", Backend!Y70)</f>
        <v>0.17896228</v>
      </c>
      <c r="Y43">
        <f>IF(Backend!Z70="", "", Backend!Z70)</f>
        <v>0.20129468</v>
      </c>
      <c r="Z43">
        <f>IF(Backend!AA70="", "", Backend!AA70)</f>
        <v>0.23064852</v>
      </c>
      <c r="AA43">
        <f>IF(Backend!AB70="", "", Backend!AB70)</f>
        <v>0.19526467</v>
      </c>
      <c r="AB43">
        <f>IF(Backend!AC70="", "", Backend!AC70)</f>
        <v>0.26221879999999997</v>
      </c>
      <c r="AC43">
        <f>IF(Backend!AD70="", "", Backend!AD70)</f>
        <v>0.35082415</v>
      </c>
      <c r="AD43">
        <f>IF(Backend!AE70="", "", Backend!AE70)</f>
        <v>0.36236256</v>
      </c>
      <c r="AE43">
        <f>IF(Backend!AF70="", "", Backend!AF70)</f>
        <v>0.32344119999999998</v>
      </c>
      <c r="AF43">
        <f>IF(Backend!AG70="", "", Backend!AG70)</f>
        <v>0.32488728</v>
      </c>
      <c r="AG43">
        <f>IF(Backend!AH70="", "", Backend!AH70)</f>
        <v>0.23235049999999999</v>
      </c>
      <c r="AH43">
        <f>IF(Backend!AI70="", "", Backend!AI70)</f>
        <v>0.34395206</v>
      </c>
      <c r="AI43">
        <f>IF(Backend!AJ70="", "", Backend!AJ70)</f>
        <v>0.26082223999999998</v>
      </c>
      <c r="AJ43">
        <f>IF(Backend!AK70="", "", Backend!AK70)</f>
        <v>0.15684909999999999</v>
      </c>
      <c r="AK43">
        <f>IF(Backend!AL70="", "", Backend!AL70)</f>
        <v>0.37075954999999999</v>
      </c>
      <c r="AL43">
        <f>IF(Backend!AM70="", "", Backend!AM70)</f>
        <v>0.2959927</v>
      </c>
      <c r="AM43">
        <f>IF(Backend!AN70="", "", Backend!AN70)</f>
        <v>0.1737049</v>
      </c>
      <c r="AN43">
        <f>IF(Backend!AO70="", "", Backend!AO70)</f>
        <v>6.9722204999999995E-2</v>
      </c>
      <c r="AO43">
        <f>IF(Backend!AP70="", "", Backend!AP70)</f>
        <v>1</v>
      </c>
      <c r="AP43">
        <f>IF(Backend!AQ70="", "", Backend!AQ70)</f>
        <v>0.37183347</v>
      </c>
      <c r="AQ43">
        <f>IF(Backend!AR70="", "", Backend!AR70)</f>
        <v>0.56284869999999998</v>
      </c>
      <c r="AR43">
        <f>IF(Backend!AS70="", "", Backend!AS70)</f>
        <v>0.49226429999999999</v>
      </c>
      <c r="AS43">
        <f>IF(Backend!AT70="", "", Backend!AT70)</f>
        <v>0.20655625</v>
      </c>
      <c r="AT43">
        <f>IF(Backend!AU70="", "", Backend!AU70)</f>
        <v>0.18151539999999999</v>
      </c>
      <c r="AU43">
        <f>IF(Backend!AV70="", "", Backend!AV70)</f>
        <v>0.29311009999999998</v>
      </c>
      <c r="AV43">
        <f>IF(Backend!AW70="", "", Backend!AW70)</f>
        <v>0.11230066</v>
      </c>
      <c r="AW43">
        <f>IF(Backend!AX70="", "", Backend!AX70)</f>
        <v>0.3304417</v>
      </c>
      <c r="AX43">
        <f>IF(Backend!AY70="", "", Backend!AY70)</f>
        <v>0.35240060000000001</v>
      </c>
      <c r="AY43">
        <f>IF(Backend!AZ70="", "", Backend!AZ70)</f>
        <v>0.31506494000000002</v>
      </c>
      <c r="AZ43">
        <f>IF(Backend!BA70="", "", Backend!BA70)</f>
        <v>0.37163857</v>
      </c>
      <c r="BA43">
        <f>IF(Backend!BB70="", "", Backend!BB70)</f>
        <v>0.245195</v>
      </c>
      <c r="BB43">
        <f>IF(Backend!BC70="", "", Backend!BC70)</f>
        <v>0.14660007</v>
      </c>
      <c r="BC43">
        <f>IF(Backend!BD70="", "", Backend!BD70)</f>
        <v>0.26043135000000001</v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>Volkswagen AG Pref</v>
      </c>
      <c r="B44">
        <f>IF(Backend!C71="", "", Backend!C71)</f>
        <v>0.26559377000000001</v>
      </c>
      <c r="C44">
        <f>IF(Backend!D71="", "", Backend!D71)</f>
        <v>0.19215138000000001</v>
      </c>
      <c r="D44">
        <f>IF(Backend!E71="", "", Backend!E71)</f>
        <v>0.56461859999999997</v>
      </c>
      <c r="E44">
        <f>IF(Backend!F71="", "", Backend!F71)</f>
        <v>0.32338428000000002</v>
      </c>
      <c r="F44">
        <f>IF(Backend!G71="", "", Backend!G71)</f>
        <v>0.3230983</v>
      </c>
      <c r="G44">
        <f>IF(Backend!H71="", "", Backend!H71)</f>
        <v>0.24821465000000001</v>
      </c>
      <c r="H44">
        <f>IF(Backend!I71="", "", Backend!I71)</f>
        <v>0.38000038000000003</v>
      </c>
      <c r="I44">
        <f>IF(Backend!J71="", "", Backend!J71)</f>
        <v>0.13439295000000001</v>
      </c>
      <c r="J44">
        <f>IF(Backend!K71="", "", Backend!K71)</f>
        <v>0.12605021999999999</v>
      </c>
      <c r="K44">
        <f>IF(Backend!L71="", "", Backend!L71)</f>
        <v>0.34854560000000001</v>
      </c>
      <c r="L44">
        <f>IF(Backend!M71="", "", Backend!M71)</f>
        <v>0.14651273000000001</v>
      </c>
      <c r="M44">
        <f>IF(Backend!N71="", "", Backend!N71)</f>
        <v>0.14918454</v>
      </c>
      <c r="N44">
        <f>IF(Backend!O71="", "", Backend!O71)</f>
        <v>-6.1183090000000002E-2</v>
      </c>
      <c r="O44">
        <f>IF(Backend!P71="", "", Backend!P71)</f>
        <v>0.14959607</v>
      </c>
      <c r="P44">
        <f>IF(Backend!Q71="", "", Backend!Q71)</f>
        <v>0.30008220000000002</v>
      </c>
      <c r="Q44">
        <f>IF(Backend!R71="", "", Backend!R71)</f>
        <v>0.52461915999999997</v>
      </c>
      <c r="R44">
        <f>IF(Backend!S71="", "", Backend!S71)</f>
        <v>0.21220170999999999</v>
      </c>
      <c r="S44">
        <f>IF(Backend!T71="", "", Backend!T71)</f>
        <v>0.35117500000000001</v>
      </c>
      <c r="T44">
        <f>IF(Backend!U71="", "", Backend!U71)</f>
        <v>0.35805832999999998</v>
      </c>
      <c r="U44">
        <f>IF(Backend!V71="", "", Backend!V71)</f>
        <v>3.1262237999999998E-2</v>
      </c>
      <c r="V44">
        <f>IF(Backend!W71="", "", Backend!W71)</f>
        <v>0.36364891999999999</v>
      </c>
      <c r="W44">
        <f>IF(Backend!X71="", "", Backend!X71)</f>
        <v>2.3682953E-3</v>
      </c>
      <c r="X44">
        <f>IF(Backend!Y71="", "", Backend!Y71)</f>
        <v>0.25523066999999999</v>
      </c>
      <c r="Y44">
        <f>IF(Backend!Z71="", "", Backend!Z71)</f>
        <v>0.20259847</v>
      </c>
      <c r="Z44">
        <f>IF(Backend!AA71="", "", Backend!AA71)</f>
        <v>0.46757460000000001</v>
      </c>
      <c r="AA44">
        <f>IF(Backend!AB71="", "", Backend!AB71)</f>
        <v>0.16856636</v>
      </c>
      <c r="AB44">
        <f>IF(Backend!AC71="", "", Backend!AC71)</f>
        <v>0.47465449999999998</v>
      </c>
      <c r="AC44">
        <f>IF(Backend!AD71="", "", Backend!AD71)</f>
        <v>0.51886239999999995</v>
      </c>
      <c r="AD44">
        <f>IF(Backend!AE71="", "", Backend!AE71)</f>
        <v>0.40519527</v>
      </c>
      <c r="AE44">
        <f>IF(Backend!AF71="", "", Backend!AF71)</f>
        <v>0.37946352</v>
      </c>
      <c r="AF44">
        <f>IF(Backend!AG71="", "", Backend!AG71)</f>
        <v>0.27920761999999999</v>
      </c>
      <c r="AG44">
        <f>IF(Backend!AH71="", "", Backend!AH71)</f>
        <v>0.30368736000000002</v>
      </c>
      <c r="AH44">
        <f>IF(Backend!AI71="", "", Backend!AI71)</f>
        <v>0.31278116</v>
      </c>
      <c r="AI44">
        <f>IF(Backend!AJ71="", "", Backend!AJ71)</f>
        <v>0.23982559000000001</v>
      </c>
      <c r="AJ44">
        <f>IF(Backend!AK71="", "", Backend!AK71)</f>
        <v>0.29536244</v>
      </c>
      <c r="AK44">
        <f>IF(Backend!AL71="", "", Backend!AL71)</f>
        <v>0.69562089999999999</v>
      </c>
      <c r="AL44">
        <f>IF(Backend!AM71="", "", Backend!AM71)</f>
        <v>0.37676270000000001</v>
      </c>
      <c r="AM44">
        <f>IF(Backend!AN71="", "", Backend!AN71)</f>
        <v>0.23419071999999999</v>
      </c>
      <c r="AN44">
        <f>IF(Backend!AO71="", "", Backend!AO71)</f>
        <v>0.10680812000000001</v>
      </c>
      <c r="AO44">
        <f>IF(Backend!AP71="", "", Backend!AP71)</f>
        <v>0.37183347</v>
      </c>
      <c r="AP44">
        <f>IF(Backend!AQ71="", "", Backend!AQ71)</f>
        <v>1</v>
      </c>
      <c r="AQ44">
        <f>IF(Backend!AR71="", "", Backend!AR71)</f>
        <v>0.41101315999999999</v>
      </c>
      <c r="AR44">
        <f>IF(Backend!AS71="", "", Backend!AS71)</f>
        <v>0.32774725999999998</v>
      </c>
      <c r="AS44">
        <f>IF(Backend!AT71="", "", Backend!AT71)</f>
        <v>0.49677828000000002</v>
      </c>
      <c r="AT44">
        <f>IF(Backend!AU71="", "", Backend!AU71)</f>
        <v>0.46756372000000002</v>
      </c>
      <c r="AU44">
        <f>IF(Backend!AV71="", "", Backend!AV71)</f>
        <v>0.52585579999999998</v>
      </c>
      <c r="AV44">
        <f>IF(Backend!AW71="", "", Backend!AW71)</f>
        <v>0.20124927000000001</v>
      </c>
      <c r="AW44">
        <f>IF(Backend!AX71="", "", Backend!AX71)</f>
        <v>0.34068290000000001</v>
      </c>
      <c r="AX44">
        <f>IF(Backend!AY71="", "", Backend!AY71)</f>
        <v>0.64271705999999995</v>
      </c>
      <c r="AY44">
        <f>IF(Backend!AZ71="", "", Backend!AZ71)</f>
        <v>0.36623144000000002</v>
      </c>
      <c r="AZ44">
        <f>IF(Backend!BA71="", "", Backend!BA71)</f>
        <v>0.46472907000000002</v>
      </c>
      <c r="BA44">
        <f>IF(Backend!BB71="", "", Backend!BB71)</f>
        <v>0.28839818</v>
      </c>
      <c r="BB44">
        <f>IF(Backend!BC71="", "", Backend!BC71)</f>
        <v>0.17524590000000001</v>
      </c>
      <c r="BC44">
        <f>IF(Backend!BD71="", "", Backend!BD71)</f>
        <v>8.9299539999999997E-2</v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>Eni S.p.A.</v>
      </c>
      <c r="B45">
        <f>IF(Backend!C72="", "", Backend!C72)</f>
        <v>0.28687190000000001</v>
      </c>
      <c r="C45">
        <f>IF(Backend!D72="", "", Backend!D72)</f>
        <v>0.29637152</v>
      </c>
      <c r="D45">
        <f>IF(Backend!E72="", "", Backend!E72)</f>
        <v>0.43204236000000001</v>
      </c>
      <c r="E45">
        <f>IF(Backend!F72="", "", Backend!F72)</f>
        <v>0.36867028000000002</v>
      </c>
      <c r="F45">
        <f>IF(Backend!G72="", "", Backend!G72)</f>
        <v>0.31098409999999999</v>
      </c>
      <c r="G45">
        <f>IF(Backend!H72="", "", Backend!H72)</f>
        <v>0.30922145000000001</v>
      </c>
      <c r="H45">
        <f>IF(Backend!I72="", "", Backend!I72)</f>
        <v>0.47789118000000003</v>
      </c>
      <c r="I45">
        <f>IF(Backend!J72="", "", Backend!J72)</f>
        <v>0.32297498000000002</v>
      </c>
      <c r="J45">
        <f>IF(Backend!K72="", "", Backend!K72)</f>
        <v>0.29318657999999997</v>
      </c>
      <c r="K45">
        <f>IF(Backend!L72="", "", Backend!L72)</f>
        <v>0.28294639999999999</v>
      </c>
      <c r="L45">
        <f>IF(Backend!M72="", "", Backend!M72)</f>
        <v>0.20412068</v>
      </c>
      <c r="M45">
        <f>IF(Backend!N72="", "", Backend!N72)</f>
        <v>0.18004538</v>
      </c>
      <c r="N45">
        <f>IF(Backend!O72="", "", Backend!O72)</f>
        <v>0.18597619000000001</v>
      </c>
      <c r="O45">
        <f>IF(Backend!P72="", "", Backend!P72)</f>
        <v>0.19148979999999999</v>
      </c>
      <c r="P45">
        <f>IF(Backend!Q72="", "", Backend!Q72)</f>
        <v>0.30500755000000002</v>
      </c>
      <c r="Q45">
        <f>IF(Backend!R72="", "", Backend!R72)</f>
        <v>0.34357110000000002</v>
      </c>
      <c r="R45">
        <f>IF(Backend!S72="", "", Backend!S72)</f>
        <v>0.26860436999999998</v>
      </c>
      <c r="S45">
        <f>IF(Backend!T72="", "", Backend!T72)</f>
        <v>0.46017884999999997</v>
      </c>
      <c r="T45">
        <f>IF(Backend!U72="", "", Backend!U72)</f>
        <v>0.33699005999999998</v>
      </c>
      <c r="U45">
        <f>IF(Backend!V72="", "", Backend!V72)</f>
        <v>9.7374769999999999E-2</v>
      </c>
      <c r="V45">
        <f>IF(Backend!W72="", "", Backend!W72)</f>
        <v>0.31881973000000002</v>
      </c>
      <c r="W45">
        <f>IF(Backend!X72="", "", Backend!X72)</f>
        <v>0.21145596</v>
      </c>
      <c r="X45">
        <f>IF(Backend!Y72="", "", Backend!Y72)</f>
        <v>0.32921186000000002</v>
      </c>
      <c r="Y45">
        <f>IF(Backend!Z72="", "", Backend!Z72)</f>
        <v>0.28441909999999998</v>
      </c>
      <c r="Z45">
        <f>IF(Backend!AA72="", "", Backend!AA72)</f>
        <v>0.31919069999999999</v>
      </c>
      <c r="AA45">
        <f>IF(Backend!AB72="", "", Backend!AB72)</f>
        <v>0.31092920000000002</v>
      </c>
      <c r="AB45">
        <f>IF(Backend!AC72="", "", Backend!AC72)</f>
        <v>0.43209344</v>
      </c>
      <c r="AC45">
        <f>IF(Backend!AD72="", "", Backend!AD72)</f>
        <v>0.44656190000000001</v>
      </c>
      <c r="AD45">
        <f>IF(Backend!AE72="", "", Backend!AE72)</f>
        <v>0.46111089999999999</v>
      </c>
      <c r="AE45">
        <f>IF(Backend!AF72="", "", Backend!AF72)</f>
        <v>0.39878142</v>
      </c>
      <c r="AF45">
        <f>IF(Backend!AG72="", "", Backend!AG72)</f>
        <v>0.35213155000000002</v>
      </c>
      <c r="AG45">
        <f>IF(Backend!AH72="", "", Backend!AH72)</f>
        <v>0.26926171999999998</v>
      </c>
      <c r="AH45">
        <f>IF(Backend!AI72="", "", Backend!AI72)</f>
        <v>0.44657933999999999</v>
      </c>
      <c r="AI45">
        <f>IF(Backend!AJ72="", "", Backend!AJ72)</f>
        <v>0.32592916</v>
      </c>
      <c r="AJ45">
        <f>IF(Backend!AK72="", "", Backend!AK72)</f>
        <v>0.30356315</v>
      </c>
      <c r="AK45">
        <f>IF(Backend!AL72="", "", Backend!AL72)</f>
        <v>0.41024443999999999</v>
      </c>
      <c r="AL45">
        <f>IF(Backend!AM72="", "", Backend!AM72)</f>
        <v>0.25471494</v>
      </c>
      <c r="AM45">
        <f>IF(Backend!AN72="", "", Backend!AN72)</f>
        <v>0.25524738000000002</v>
      </c>
      <c r="AN45">
        <f>IF(Backend!AO72="", "", Backend!AO72)</f>
        <v>8.0504010000000001E-2</v>
      </c>
      <c r="AO45">
        <f>IF(Backend!AP72="", "", Backend!AP72)</f>
        <v>0.56284869999999998</v>
      </c>
      <c r="AP45">
        <f>IF(Backend!AQ72="", "", Backend!AQ72)</f>
        <v>0.41101315999999999</v>
      </c>
      <c r="AQ45">
        <f>IF(Backend!AR72="", "", Backend!AR72)</f>
        <v>1</v>
      </c>
      <c r="AR45">
        <f>IF(Backend!AS72="", "", Backend!AS72)</f>
        <v>0.7073779</v>
      </c>
      <c r="AS45">
        <f>IF(Backend!AT72="", "", Backend!AT72)</f>
        <v>0.25198540000000003</v>
      </c>
      <c r="AT45">
        <f>IF(Backend!AU72="", "", Backend!AU72)</f>
        <v>0.32361020000000001</v>
      </c>
      <c r="AU45">
        <f>IF(Backend!AV72="", "", Backend!AV72)</f>
        <v>0.29017648000000001</v>
      </c>
      <c r="AV45">
        <f>IF(Backend!AW72="", "", Backend!AW72)</f>
        <v>0.17709844999999999</v>
      </c>
      <c r="AW45">
        <f>IF(Backend!AX72="", "", Backend!AX72)</f>
        <v>0.38008662999999998</v>
      </c>
      <c r="AX45">
        <f>IF(Backend!AY72="", "", Backend!AY72)</f>
        <v>0.38892826000000003</v>
      </c>
      <c r="AY45">
        <f>IF(Backend!AZ72="", "", Backend!AZ72)</f>
        <v>0.36281766999999998</v>
      </c>
      <c r="AZ45">
        <f>IF(Backend!BA72="", "", Backend!BA72)</f>
        <v>0.42608636999999999</v>
      </c>
      <c r="BA45">
        <f>IF(Backend!BB72="", "", Backend!BB72)</f>
        <v>0.30574277</v>
      </c>
      <c r="BB45">
        <f>IF(Backend!BC72="", "", Backend!BC72)</f>
        <v>0.10679487</v>
      </c>
      <c r="BC45">
        <f>IF(Backend!BD72="", "", Backend!BD72)</f>
        <v>0.36802439999999997</v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>Repsol SA</v>
      </c>
      <c r="B46">
        <f>IF(Backend!C73="", "", Backend!C73)</f>
        <v>0.18389446000000001</v>
      </c>
      <c r="C46">
        <f>IF(Backend!D73="", "", Backend!D73)</f>
        <v>0.19436954000000001</v>
      </c>
      <c r="D46">
        <f>IF(Backend!E73="", "", Backend!E73)</f>
        <v>0.32520387000000001</v>
      </c>
      <c r="E46">
        <f>IF(Backend!F73="", "", Backend!F73)</f>
        <v>0.35822876999999997</v>
      </c>
      <c r="F46">
        <f>IF(Backend!G73="", "", Backend!G73)</f>
        <v>0.24231547000000001</v>
      </c>
      <c r="G46">
        <f>IF(Backend!H73="", "", Backend!H73)</f>
        <v>0.22009919999999999</v>
      </c>
      <c r="H46">
        <f>IF(Backend!I73="", "", Backend!I73)</f>
        <v>0.47337073000000002</v>
      </c>
      <c r="I46">
        <f>IF(Backend!J73="", "", Backend!J73)</f>
        <v>0.26572200000000001</v>
      </c>
      <c r="J46">
        <f>IF(Backend!K73="", "", Backend!K73)</f>
        <v>0.21668962999999999</v>
      </c>
      <c r="K46">
        <f>IF(Backend!L73="", "", Backend!L73)</f>
        <v>0.2505848</v>
      </c>
      <c r="L46">
        <f>IF(Backend!M73="", "", Backend!M73)</f>
        <v>0.17868339</v>
      </c>
      <c r="M46">
        <f>IF(Backend!N73="", "", Backend!N73)</f>
        <v>0.12029586</v>
      </c>
      <c r="N46">
        <f>IF(Backend!O73="", "", Backend!O73)</f>
        <v>0.101451896</v>
      </c>
      <c r="O46">
        <f>IF(Backend!P73="", "", Backend!P73)</f>
        <v>0.12227142000000001</v>
      </c>
      <c r="P46">
        <f>IF(Backend!Q73="", "", Backend!Q73)</f>
        <v>0.31501975999999998</v>
      </c>
      <c r="Q46">
        <f>IF(Backend!R73="", "", Backend!R73)</f>
        <v>0.34057029999999999</v>
      </c>
      <c r="R46">
        <f>IF(Backend!S73="", "", Backend!S73)</f>
        <v>0.10452</v>
      </c>
      <c r="S46">
        <f>IF(Backend!T73="", "", Backend!T73)</f>
        <v>0.34658408000000002</v>
      </c>
      <c r="T46">
        <f>IF(Backend!U73="", "", Backend!U73)</f>
        <v>0.34852699999999998</v>
      </c>
      <c r="U46">
        <f>IF(Backend!V73="", "", Backend!V73)</f>
        <v>9.3984040000000005E-2</v>
      </c>
      <c r="V46">
        <f>IF(Backend!W73="", "", Backend!W73)</f>
        <v>0.25133296999999999</v>
      </c>
      <c r="W46">
        <f>IF(Backend!X73="", "", Backend!X73)</f>
        <v>0.14293362000000001</v>
      </c>
      <c r="X46">
        <f>IF(Backend!Y73="", "", Backend!Y73)</f>
        <v>0.30366929999999998</v>
      </c>
      <c r="Y46">
        <f>IF(Backend!Z73="", "", Backend!Z73)</f>
        <v>0.20871627000000001</v>
      </c>
      <c r="Z46">
        <f>IF(Backend!AA73="", "", Backend!AA73)</f>
        <v>0.32539716000000002</v>
      </c>
      <c r="AA46">
        <f>IF(Backend!AB73="", "", Backend!AB73)</f>
        <v>0.16414835</v>
      </c>
      <c r="AB46">
        <f>IF(Backend!AC73="", "", Backend!AC73)</f>
        <v>0.36890519999999999</v>
      </c>
      <c r="AC46">
        <f>IF(Backend!AD73="", "", Backend!AD73)</f>
        <v>0.40814778000000002</v>
      </c>
      <c r="AD46">
        <f>IF(Backend!AE73="", "", Backend!AE73)</f>
        <v>0.38773142999999999</v>
      </c>
      <c r="AE46">
        <f>IF(Backend!AF73="", "", Backend!AF73)</f>
        <v>0.41710818</v>
      </c>
      <c r="AF46">
        <f>IF(Backend!AG73="", "", Backend!AG73)</f>
        <v>0.30791600000000002</v>
      </c>
      <c r="AG46">
        <f>IF(Backend!AH73="", "", Backend!AH73)</f>
        <v>0.25319806</v>
      </c>
      <c r="AH46">
        <f>IF(Backend!AI73="", "", Backend!AI73)</f>
        <v>0.37744220000000001</v>
      </c>
      <c r="AI46">
        <f>IF(Backend!AJ73="", "", Backend!AJ73)</f>
        <v>0.21558388000000001</v>
      </c>
      <c r="AJ46">
        <f>IF(Backend!AK73="", "", Backend!AK73)</f>
        <v>0.31287205000000001</v>
      </c>
      <c r="AK46">
        <f>IF(Backend!AL73="", "", Backend!AL73)</f>
        <v>0.36441904000000003</v>
      </c>
      <c r="AL46">
        <f>IF(Backend!AM73="", "", Backend!AM73)</f>
        <v>8.8774039999999999E-2</v>
      </c>
      <c r="AM46">
        <f>IF(Backend!AN73="", "", Backend!AN73)</f>
        <v>0.23038116</v>
      </c>
      <c r="AN46">
        <f>IF(Backend!AO73="", "", Backend!AO73)</f>
        <v>6.4998E-2</v>
      </c>
      <c r="AO46">
        <f>IF(Backend!AP73="", "", Backend!AP73)</f>
        <v>0.49226429999999999</v>
      </c>
      <c r="AP46">
        <f>IF(Backend!AQ73="", "", Backend!AQ73)</f>
        <v>0.32774725999999998</v>
      </c>
      <c r="AQ46">
        <f>IF(Backend!AR73="", "", Backend!AR73)</f>
        <v>0.7073779</v>
      </c>
      <c r="AR46">
        <f>IF(Backend!AS73="", "", Backend!AS73)</f>
        <v>1</v>
      </c>
      <c r="AS46">
        <f>IF(Backend!AT73="", "", Backend!AT73)</f>
        <v>0.24045696999999999</v>
      </c>
      <c r="AT46">
        <f>IF(Backend!AU73="", "", Backend!AU73)</f>
        <v>0.31020313999999999</v>
      </c>
      <c r="AU46">
        <f>IF(Backend!AV73="", "", Backend!AV73)</f>
        <v>0.1985046</v>
      </c>
      <c r="AV46">
        <f>IF(Backend!AW73="", "", Backend!AW73)</f>
        <v>0.19451435</v>
      </c>
      <c r="AW46">
        <f>IF(Backend!AX73="", "", Backend!AX73)</f>
        <v>0.42520088</v>
      </c>
      <c r="AX46">
        <f>IF(Backend!AY73="", "", Backend!AY73)</f>
        <v>0.34079692</v>
      </c>
      <c r="AY46">
        <f>IF(Backend!AZ73="", "", Backend!AZ73)</f>
        <v>0.39408915999999999</v>
      </c>
      <c r="AZ46">
        <f>IF(Backend!BA73="", "", Backend!BA73)</f>
        <v>0.36704700000000001</v>
      </c>
      <c r="BA46">
        <f>IF(Backend!BB73="", "", Backend!BB73)</f>
        <v>0.28299950000000001</v>
      </c>
      <c r="BB46">
        <f>IF(Backend!BC73="", "", Backend!BC73)</f>
        <v>2.2270668E-2</v>
      </c>
      <c r="BC46">
        <f>IF(Backend!BD73="", "", Backend!BD73)</f>
        <v>0.29747894000000003</v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>Deutsche Lufthansa AG</v>
      </c>
      <c r="B47">
        <f>IF(Backend!C74="", "", Backend!C74)</f>
        <v>0.25363845000000002</v>
      </c>
      <c r="C47">
        <f>IF(Backend!D74="", "", Backend!D74)</f>
        <v>0.17567089</v>
      </c>
      <c r="D47">
        <f>IF(Backend!E74="", "", Backend!E74)</f>
        <v>0.46846965000000002</v>
      </c>
      <c r="E47">
        <f>IF(Backend!F74="", "", Backend!F74)</f>
        <v>0.3968315</v>
      </c>
      <c r="F47">
        <f>IF(Backend!G74="", "", Backend!G74)</f>
        <v>0.25353044000000002</v>
      </c>
      <c r="G47">
        <f>IF(Backend!H74="", "", Backend!H74)</f>
        <v>0.23151408000000001</v>
      </c>
      <c r="H47">
        <f>IF(Backend!I74="", "", Backend!I74)</f>
        <v>0.42501935000000002</v>
      </c>
      <c r="I47">
        <f>IF(Backend!J74="", "", Backend!J74)</f>
        <v>0.20675087</v>
      </c>
      <c r="J47">
        <f>IF(Backend!K74="", "", Backend!K74)</f>
        <v>0.27320420000000001</v>
      </c>
      <c r="K47">
        <f>IF(Backend!L74="", "", Backend!L74)</f>
        <v>0.40550049999999999</v>
      </c>
      <c r="L47">
        <f>IF(Backend!M74="", "", Backend!M74)</f>
        <v>0.123900175</v>
      </c>
      <c r="M47">
        <f>IF(Backend!N74="", "", Backend!N74)</f>
        <v>0.19683449</v>
      </c>
      <c r="N47">
        <f>IF(Backend!O74="", "", Backend!O74)</f>
        <v>1.6942929999999998E-2</v>
      </c>
      <c r="O47">
        <f>IF(Backend!P74="", "", Backend!P74)</f>
        <v>0.14057696</v>
      </c>
      <c r="P47">
        <f>IF(Backend!Q74="", "", Backend!Q74)</f>
        <v>0.30551194999999998</v>
      </c>
      <c r="Q47">
        <f>IF(Backend!R74="", "", Backend!R74)</f>
        <v>0.45550716000000002</v>
      </c>
      <c r="R47">
        <f>IF(Backend!S74="", "", Backend!S74)</f>
        <v>0.14664163999999999</v>
      </c>
      <c r="S47">
        <f>IF(Backend!T74="", "", Backend!T74)</f>
        <v>0.34923156999999999</v>
      </c>
      <c r="T47">
        <f>IF(Backend!U74="", "", Backend!U74)</f>
        <v>0.40299775999999998</v>
      </c>
      <c r="U47">
        <f>IF(Backend!V74="", "", Backend!V74)</f>
        <v>-1.6569002999999999E-2</v>
      </c>
      <c r="V47">
        <f>IF(Backend!W74="", "", Backend!W74)</f>
        <v>0.42848252999999997</v>
      </c>
      <c r="W47">
        <f>IF(Backend!X74="", "", Backend!X74)</f>
        <v>7.8341670000000002E-2</v>
      </c>
      <c r="X47">
        <f>IF(Backend!Y74="", "", Backend!Y74)</f>
        <v>0.1721558</v>
      </c>
      <c r="Y47">
        <f>IF(Backend!Z74="", "", Backend!Z74)</f>
        <v>0.22725534</v>
      </c>
      <c r="Z47">
        <f>IF(Backend!AA74="", "", Backend!AA74)</f>
        <v>0.34840510000000002</v>
      </c>
      <c r="AA47">
        <f>IF(Backend!AB74="", "", Backend!AB74)</f>
        <v>0.16492444000000001</v>
      </c>
      <c r="AB47">
        <f>IF(Backend!AC74="", "", Backend!AC74)</f>
        <v>0.51244869999999998</v>
      </c>
      <c r="AC47">
        <f>IF(Backend!AD74="", "", Backend!AD74)</f>
        <v>0.49074259999999997</v>
      </c>
      <c r="AD47">
        <f>IF(Backend!AE74="", "", Backend!AE74)</f>
        <v>0.40256239999999999</v>
      </c>
      <c r="AE47">
        <f>IF(Backend!AF74="", "", Backend!AF74)</f>
        <v>0.39435488000000002</v>
      </c>
      <c r="AF47">
        <f>IF(Backend!AG74="", "", Backend!AG74)</f>
        <v>0.32046068</v>
      </c>
      <c r="AG47">
        <f>IF(Backend!AH74="", "", Backend!AH74)</f>
        <v>0.17795599000000001</v>
      </c>
      <c r="AH47">
        <f>IF(Backend!AI74="", "", Backend!AI74)</f>
        <v>0.24412447000000001</v>
      </c>
      <c r="AI47">
        <f>IF(Backend!AJ74="", "", Backend!AJ74)</f>
        <v>0.2082833</v>
      </c>
      <c r="AJ47">
        <f>IF(Backend!AK74="", "", Backend!AK74)</f>
        <v>0.28994196999999999</v>
      </c>
      <c r="AK47">
        <f>IF(Backend!AL74="", "", Backend!AL74)</f>
        <v>0.58411795</v>
      </c>
      <c r="AL47">
        <f>IF(Backend!AM74="", "", Backend!AM74)</f>
        <v>0.26814250000000001</v>
      </c>
      <c r="AM47">
        <f>IF(Backend!AN74="", "", Backend!AN74)</f>
        <v>0.21553446000000001</v>
      </c>
      <c r="AN47">
        <f>IF(Backend!AO74="", "", Backend!AO74)</f>
        <v>0.14056779999999999</v>
      </c>
      <c r="AO47">
        <f>IF(Backend!AP74="", "", Backend!AP74)</f>
        <v>0.20655625</v>
      </c>
      <c r="AP47">
        <f>IF(Backend!AQ74="", "", Backend!AQ74)</f>
        <v>0.49677828000000002</v>
      </c>
      <c r="AQ47">
        <f>IF(Backend!AR74="", "", Backend!AR74)</f>
        <v>0.25198540000000003</v>
      </c>
      <c r="AR47">
        <f>IF(Backend!AS74="", "", Backend!AS74)</f>
        <v>0.24045696999999999</v>
      </c>
      <c r="AS47">
        <f>IF(Backend!AT74="", "", Backend!AT74)</f>
        <v>1</v>
      </c>
      <c r="AT47">
        <f>IF(Backend!AU74="", "", Backend!AU74)</f>
        <v>0.31092012000000002</v>
      </c>
      <c r="AU47">
        <f>IF(Backend!AV74="", "", Backend!AV74)</f>
        <v>0.28268125999999999</v>
      </c>
      <c r="AV47">
        <f>IF(Backend!AW74="", "", Backend!AW74)</f>
        <v>0.21694996999999999</v>
      </c>
      <c r="AW47">
        <f>IF(Backend!AX74="", "", Backend!AX74)</f>
        <v>0.26055630000000002</v>
      </c>
      <c r="AX47">
        <f>IF(Backend!AY74="", "", Backend!AY74)</f>
        <v>0.5559364</v>
      </c>
      <c r="AY47">
        <f>IF(Backend!AZ74="", "", Backend!AZ74)</f>
        <v>0.28014024999999998</v>
      </c>
      <c r="AZ47">
        <f>IF(Backend!BA74="", "", Backend!BA74)</f>
        <v>0.47530842000000001</v>
      </c>
      <c r="BA47">
        <f>IF(Backend!BB74="", "", Backend!BB74)</f>
        <v>0.28720304000000002</v>
      </c>
      <c r="BB47">
        <f>IF(Backend!BC74="", "", Backend!BC74)</f>
        <v>0.13447334999999999</v>
      </c>
      <c r="BC47">
        <f>IF(Backend!BD74="", "", Backend!BD74)</f>
        <v>1.4484393999999999E-2</v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>Kering SA</v>
      </c>
      <c r="B48">
        <f>IF(Backend!C75="", "", Backend!C75)</f>
        <v>0.23201848999999999</v>
      </c>
      <c r="C48">
        <f>IF(Backend!D75="", "", Backend!D75)</f>
        <v>0.16766565</v>
      </c>
      <c r="D48">
        <f>IF(Backend!E75="", "", Backend!E75)</f>
        <v>0.37106307999999999</v>
      </c>
      <c r="E48">
        <f>IF(Backend!F75="", "", Backend!F75)</f>
        <v>0.24215744</v>
      </c>
      <c r="F48">
        <f>IF(Backend!G75="", "", Backend!G75)</f>
        <v>0.27641719999999997</v>
      </c>
      <c r="G48">
        <f>IF(Backend!H75="", "", Backend!H75)</f>
        <v>0.18430355000000001</v>
      </c>
      <c r="H48">
        <f>IF(Backend!I75="", "", Backend!I75)</f>
        <v>0.39400395999999999</v>
      </c>
      <c r="I48">
        <f>IF(Backend!J75="", "", Backend!J75)</f>
        <v>6.5133060000000007E-2</v>
      </c>
      <c r="J48">
        <f>IF(Backend!K75="", "", Backend!K75)</f>
        <v>0.157218</v>
      </c>
      <c r="K48">
        <f>IF(Backend!L75="", "", Backend!L75)</f>
        <v>0.22988196999999999</v>
      </c>
      <c r="L48">
        <f>IF(Backend!M75="", "", Backend!M75)</f>
        <v>0.13136730999999999</v>
      </c>
      <c r="M48">
        <f>IF(Backend!N75="", "", Backend!N75)</f>
        <v>0.17798015</v>
      </c>
      <c r="N48">
        <f>IF(Backend!O75="", "", Backend!O75)</f>
        <v>-1.4069495E-2</v>
      </c>
      <c r="O48">
        <f>IF(Backend!P75="", "", Backend!P75)</f>
        <v>0.20874583999999999</v>
      </c>
      <c r="P48">
        <f>IF(Backend!Q75="", "", Backend!Q75)</f>
        <v>0.28268041999999999</v>
      </c>
      <c r="Q48">
        <f>IF(Backend!R75="", "", Backend!R75)</f>
        <v>0.28817487000000003</v>
      </c>
      <c r="R48">
        <f>IF(Backend!S75="", "", Backend!S75)</f>
        <v>6.2269850000000002E-2</v>
      </c>
      <c r="S48">
        <f>IF(Backend!T75="", "", Backend!T75)</f>
        <v>0.23835418999999999</v>
      </c>
      <c r="T48">
        <f>IF(Backend!U75="", "", Backend!U75)</f>
        <v>0.2307381</v>
      </c>
      <c r="U48">
        <f>IF(Backend!V75="", "", Backend!V75)</f>
        <v>7.2081599999999996E-2</v>
      </c>
      <c r="V48">
        <f>IF(Backend!W75="", "", Backend!W75)</f>
        <v>0.23402572999999999</v>
      </c>
      <c r="W48">
        <f>IF(Backend!X75="", "", Backend!X75)</f>
        <v>9.2363245999999996E-2</v>
      </c>
      <c r="X48">
        <f>IF(Backend!Y75="", "", Backend!Y75)</f>
        <v>0.30433329999999997</v>
      </c>
      <c r="Y48">
        <f>IF(Backend!Z75="", "", Backend!Z75)</f>
        <v>0.19016272000000001</v>
      </c>
      <c r="Z48">
        <f>IF(Backend!AA75="", "", Backend!AA75)</f>
        <v>0.59090830000000005</v>
      </c>
      <c r="AA48">
        <f>IF(Backend!AB75="", "", Backend!AB75)</f>
        <v>0.11243686</v>
      </c>
      <c r="AB48">
        <f>IF(Backend!AC75="", "", Backend!AC75)</f>
        <v>0.38492779999999999</v>
      </c>
      <c r="AC48">
        <f>IF(Backend!AD75="", "", Backend!AD75)</f>
        <v>0.28694120000000001</v>
      </c>
      <c r="AD48">
        <f>IF(Backend!AE75="", "", Backend!AE75)</f>
        <v>0.28169745000000002</v>
      </c>
      <c r="AE48">
        <f>IF(Backend!AF75="", "", Backend!AF75)</f>
        <v>0.35130604999999998</v>
      </c>
      <c r="AF48">
        <f>IF(Backend!AG75="", "", Backend!AG75)</f>
        <v>0.22579919000000001</v>
      </c>
      <c r="AG48">
        <f>IF(Backend!AH75="", "", Backend!AH75)</f>
        <v>0.51287439999999995</v>
      </c>
      <c r="AH48">
        <f>IF(Backend!AI75="", "", Backend!AI75)</f>
        <v>0.21088965000000001</v>
      </c>
      <c r="AI48">
        <f>IF(Backend!AJ75="", "", Backend!AJ75)</f>
        <v>0.1840048</v>
      </c>
      <c r="AJ48">
        <f>IF(Backend!AK75="", "", Backend!AK75)</f>
        <v>0.21416658</v>
      </c>
      <c r="AK48">
        <f>IF(Backend!AL75="", "", Backend!AL75)</f>
        <v>0.55750823000000005</v>
      </c>
      <c r="AL48">
        <f>IF(Backend!AM75="", "", Backend!AM75)</f>
        <v>0.22792977</v>
      </c>
      <c r="AM48">
        <f>IF(Backend!AN75="", "", Backend!AN75)</f>
        <v>0.21522896999999999</v>
      </c>
      <c r="AN48">
        <f>IF(Backend!AO75="", "", Backend!AO75)</f>
        <v>0.14115221999999999</v>
      </c>
      <c r="AO48">
        <f>IF(Backend!AP75="", "", Backend!AP75)</f>
        <v>0.18151539999999999</v>
      </c>
      <c r="AP48">
        <f>IF(Backend!AQ75="", "", Backend!AQ75)</f>
        <v>0.46756372000000002</v>
      </c>
      <c r="AQ48">
        <f>IF(Backend!AR75="", "", Backend!AR75)</f>
        <v>0.32361020000000001</v>
      </c>
      <c r="AR48">
        <f>IF(Backend!AS75="", "", Backend!AS75)</f>
        <v>0.31020313999999999</v>
      </c>
      <c r="AS48">
        <f>IF(Backend!AT75="", "", Backend!AT75)</f>
        <v>0.31092012000000002</v>
      </c>
      <c r="AT48">
        <f>IF(Backend!AU75="", "", Backend!AU75)</f>
        <v>1</v>
      </c>
      <c r="AU48">
        <f>IF(Backend!AV75="", "", Backend!AV75)</f>
        <v>0.25386969999999998</v>
      </c>
      <c r="AV48">
        <f>IF(Backend!AW75="", "", Backend!AW75)</f>
        <v>0.27321099999999998</v>
      </c>
      <c r="AW48">
        <f>IF(Backend!AX75="", "", Backend!AX75)</f>
        <v>0.40497965000000002</v>
      </c>
      <c r="AX48">
        <f>IF(Backend!AY75="", "", Backend!AY75)</f>
        <v>0.34757817000000002</v>
      </c>
      <c r="AY48">
        <f>IF(Backend!AZ75="", "", Backend!AZ75)</f>
        <v>0.31441669999999999</v>
      </c>
      <c r="AZ48">
        <f>IF(Backend!BA75="", "", Backend!BA75)</f>
        <v>0.25823163999999998</v>
      </c>
      <c r="BA48">
        <f>IF(Backend!BB75="", "", Backend!BB75)</f>
        <v>0.16324815000000001</v>
      </c>
      <c r="BB48">
        <f>IF(Backend!BC75="", "", Backend!BC75)</f>
        <v>0.12680472000000001</v>
      </c>
      <c r="BC48">
        <f>IF(Backend!BD75="", "", Backend!BD75)</f>
        <v>8.9597314999999997E-2</v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>Renault SA</v>
      </c>
      <c r="B49">
        <f>IF(Backend!C76="", "", Backend!C76)</f>
        <v>0.24100028000000001</v>
      </c>
      <c r="C49">
        <f>IF(Backend!D76="", "", Backend!D76)</f>
        <v>6.8504999999999996E-2</v>
      </c>
      <c r="D49">
        <f>IF(Backend!E76="", "", Backend!E76)</f>
        <v>0.40668523000000001</v>
      </c>
      <c r="E49">
        <f>IF(Backend!F76="", "", Backend!F76)</f>
        <v>0.25575745</v>
      </c>
      <c r="F49">
        <f>IF(Backend!G76="", "", Backend!G76)</f>
        <v>0.2193862</v>
      </c>
      <c r="G49">
        <f>IF(Backend!H76="", "", Backend!H76)</f>
        <v>0.23622029999999999</v>
      </c>
      <c r="H49">
        <f>IF(Backend!I76="", "", Backend!I76)</f>
        <v>0.29374542999999997</v>
      </c>
      <c r="I49">
        <f>IF(Backend!J76="", "", Backend!J76)</f>
        <v>8.0093590000000006E-2</v>
      </c>
      <c r="J49">
        <f>IF(Backend!K76="", "", Backend!K76)</f>
        <v>6.199263E-2</v>
      </c>
      <c r="K49">
        <f>IF(Backend!L76="", "", Backend!L76)</f>
        <v>0.24763742</v>
      </c>
      <c r="L49">
        <f>IF(Backend!M76="", "", Backend!M76)</f>
        <v>0.10250765000000001</v>
      </c>
      <c r="M49">
        <f>IF(Backend!N76="", "", Backend!N76)</f>
        <v>6.9902845000000005E-2</v>
      </c>
      <c r="N49">
        <f>IF(Backend!O76="", "", Backend!O76)</f>
        <v>-7.1466459999999996E-2</v>
      </c>
      <c r="O49">
        <f>IF(Backend!P76="", "", Backend!P76)</f>
        <v>7.6537060000000004E-2</v>
      </c>
      <c r="P49">
        <f>IF(Backend!Q76="", "", Backend!Q76)</f>
        <v>0.16931251999999999</v>
      </c>
      <c r="Q49">
        <f>IF(Backend!R76="", "", Backend!R76)</f>
        <v>0.24219123000000001</v>
      </c>
      <c r="R49">
        <f>IF(Backend!S76="", "", Backend!S76)</f>
        <v>0.1304197</v>
      </c>
      <c r="S49">
        <f>IF(Backend!T76="", "", Backend!T76)</f>
        <v>0.25837216000000002</v>
      </c>
      <c r="T49">
        <f>IF(Backend!U76="", "", Backend!U76)</f>
        <v>0.26141375</v>
      </c>
      <c r="U49">
        <f>IF(Backend!V76="", "", Backend!V76)</f>
        <v>8.3163130000000002E-2</v>
      </c>
      <c r="V49">
        <f>IF(Backend!W76="", "", Backend!W76)</f>
        <v>0.26373397999999998</v>
      </c>
      <c r="W49">
        <f>IF(Backend!X76="", "", Backend!X76)</f>
        <v>2.3706471999999999E-2</v>
      </c>
      <c r="X49">
        <f>IF(Backend!Y76="", "", Backend!Y76)</f>
        <v>0.2162348</v>
      </c>
      <c r="Y49">
        <f>IF(Backend!Z76="", "", Backend!Z76)</f>
        <v>0.11379083</v>
      </c>
      <c r="Z49">
        <f>IF(Backend!AA76="", "", Backend!AA76)</f>
        <v>0.23902688999999999</v>
      </c>
      <c r="AA49">
        <f>IF(Backend!AB76="", "", Backend!AB76)</f>
        <v>6.5354120000000002E-2</v>
      </c>
      <c r="AB49">
        <f>IF(Backend!AC76="", "", Backend!AC76)</f>
        <v>0.32113429999999998</v>
      </c>
      <c r="AC49">
        <f>IF(Backend!AD76="", "", Backend!AD76)</f>
        <v>0.30976885999999998</v>
      </c>
      <c r="AD49">
        <f>IF(Backend!AE76="", "", Backend!AE76)</f>
        <v>0.3148165</v>
      </c>
      <c r="AE49">
        <f>IF(Backend!AF76="", "", Backend!AF76)</f>
        <v>0.30641475000000001</v>
      </c>
      <c r="AF49">
        <f>IF(Backend!AG76="", "", Backend!AG76)</f>
        <v>0.20739270000000001</v>
      </c>
      <c r="AG49">
        <f>IF(Backend!AH76="", "", Backend!AH76)</f>
        <v>0.18893268999999999</v>
      </c>
      <c r="AH49">
        <f>IF(Backend!AI76="", "", Backend!AI76)</f>
        <v>0.22518126999999999</v>
      </c>
      <c r="AI49">
        <f>IF(Backend!AJ76="", "", Backend!AJ76)</f>
        <v>9.6976704999999996E-2</v>
      </c>
      <c r="AJ49">
        <f>IF(Backend!AK76="", "", Backend!AK76)</f>
        <v>0.21153066000000001</v>
      </c>
      <c r="AK49">
        <f>IF(Backend!AL76="", "", Backend!AL76)</f>
        <v>0.43991200000000003</v>
      </c>
      <c r="AL49">
        <f>IF(Backend!AM76="", "", Backend!AM76)</f>
        <v>0.30861282000000001</v>
      </c>
      <c r="AM49">
        <f>IF(Backend!AN76="", "", Backend!AN76)</f>
        <v>0.19442113999999999</v>
      </c>
      <c r="AN49">
        <f>IF(Backend!AO76="", "", Backend!AO76)</f>
        <v>8.9517063999999993E-2</v>
      </c>
      <c r="AO49">
        <f>IF(Backend!AP76="", "", Backend!AP76)</f>
        <v>0.29311009999999998</v>
      </c>
      <c r="AP49">
        <f>IF(Backend!AQ76="", "", Backend!AQ76)</f>
        <v>0.52585579999999998</v>
      </c>
      <c r="AQ49">
        <f>IF(Backend!AR76="", "", Backend!AR76)</f>
        <v>0.29017648000000001</v>
      </c>
      <c r="AR49">
        <f>IF(Backend!AS76="", "", Backend!AS76)</f>
        <v>0.1985046</v>
      </c>
      <c r="AS49">
        <f>IF(Backend!AT76="", "", Backend!AT76)</f>
        <v>0.28268125999999999</v>
      </c>
      <c r="AT49">
        <f>IF(Backend!AU76="", "", Backend!AU76)</f>
        <v>0.25386969999999998</v>
      </c>
      <c r="AU49">
        <f>IF(Backend!AV76="", "", Backend!AV76)</f>
        <v>1</v>
      </c>
      <c r="AV49">
        <f>IF(Backend!AW76="", "", Backend!AW76)</f>
        <v>0.13640316999999999</v>
      </c>
      <c r="AW49">
        <f>IF(Backend!AX76="", "", Backend!AX76)</f>
        <v>0.25459569999999998</v>
      </c>
      <c r="AX49">
        <f>IF(Backend!AY76="", "", Backend!AY76)</f>
        <v>0.39360000000000001</v>
      </c>
      <c r="AY49">
        <f>IF(Backend!AZ76="", "", Backend!AZ76)</f>
        <v>0.29946669999999997</v>
      </c>
      <c r="AZ49">
        <f>IF(Backend!BA76="", "", Backend!BA76)</f>
        <v>0.2919001</v>
      </c>
      <c r="BA49">
        <f>IF(Backend!BB76="", "", Backend!BB76)</f>
        <v>0.19691052000000001</v>
      </c>
      <c r="BB49">
        <f>IF(Backend!BC76="", "", Backend!BC76)</f>
        <v>9.2076850000000002E-2</v>
      </c>
      <c r="BC49">
        <f>IF(Backend!BD76="", "", Backend!BD76)</f>
        <v>8.0021709999999996E-2</v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>Alibaba Group Holding Limited</v>
      </c>
      <c r="B50">
        <f>IF(Backend!C77="", "", Backend!C77)</f>
        <v>0.19976975</v>
      </c>
      <c r="C50">
        <f>IF(Backend!D77="", "", Backend!D77)</f>
        <v>9.7555390000000006E-2</v>
      </c>
      <c r="D50">
        <f>IF(Backend!E77="", "", Backend!E77)</f>
        <v>0.15927061000000001</v>
      </c>
      <c r="E50">
        <f>IF(Backend!F77="", "", Backend!F77)</f>
        <v>0.22378973999999999</v>
      </c>
      <c r="F50">
        <f>IF(Backend!G77="", "", Backend!G77)</f>
        <v>0.18439248</v>
      </c>
      <c r="G50">
        <f>IF(Backend!H77="", "", Backend!H77)</f>
        <v>0.14802547999999999</v>
      </c>
      <c r="H50">
        <f>IF(Backend!I77="", "", Backend!I77)</f>
        <v>0.26271802</v>
      </c>
      <c r="I50">
        <f>IF(Backend!J77="", "", Backend!J77)</f>
        <v>3.8530556E-3</v>
      </c>
      <c r="J50">
        <f>IF(Backend!K77="", "", Backend!K77)</f>
        <v>1.3563165E-2</v>
      </c>
      <c r="K50">
        <f>IF(Backend!L77="", "", Backend!L77)</f>
        <v>0.17048614000000001</v>
      </c>
      <c r="L50">
        <f>IF(Backend!M77="", "", Backend!M77)</f>
        <v>0.22861181</v>
      </c>
      <c r="M50">
        <f>IF(Backend!N77="", "", Backend!N77)</f>
        <v>0.13757965</v>
      </c>
      <c r="N50">
        <f>IF(Backend!O77="", "", Backend!O77)</f>
        <v>-9.9539764000000003E-2</v>
      </c>
      <c r="O50">
        <f>IF(Backend!P77="", "", Backend!P77)</f>
        <v>0.21467103000000001</v>
      </c>
      <c r="P50">
        <f>IF(Backend!Q77="", "", Backend!Q77)</f>
        <v>0.2924081</v>
      </c>
      <c r="Q50">
        <f>IF(Backend!R77="", "", Backend!R77)</f>
        <v>0.27762565</v>
      </c>
      <c r="R50">
        <f>IF(Backend!S77="", "", Backend!S77)</f>
        <v>-4.4319745000000001E-2</v>
      </c>
      <c r="S50">
        <f>IF(Backend!T77="", "", Backend!T77)</f>
        <v>0.11456311</v>
      </c>
      <c r="T50">
        <f>IF(Backend!U77="", "", Backend!U77)</f>
        <v>0.22415507000000001</v>
      </c>
      <c r="U50">
        <f>IF(Backend!V77="", "", Backend!V77)</f>
        <v>2.9294983E-2</v>
      </c>
      <c r="V50">
        <f>IF(Backend!W77="", "", Backend!W77)</f>
        <v>0.10313499</v>
      </c>
      <c r="W50">
        <f>IF(Backend!X77="", "", Backend!X77)</f>
        <v>-7.5431264999999997E-2</v>
      </c>
      <c r="X50">
        <f>IF(Backend!Y77="", "", Backend!Y77)</f>
        <v>0.20742819000000001</v>
      </c>
      <c r="Y50">
        <f>IF(Backend!Z77="", "", Backend!Z77)</f>
        <v>0.21154806000000001</v>
      </c>
      <c r="Z50">
        <f>IF(Backend!AA77="", "", Backend!AA77)</f>
        <v>0.17198883000000001</v>
      </c>
      <c r="AA50">
        <f>IF(Backend!AB77="", "", Backend!AB77)</f>
        <v>0.15952234000000001</v>
      </c>
      <c r="AB50">
        <f>IF(Backend!AC77="", "", Backend!AC77)</f>
        <v>0.23943382999999999</v>
      </c>
      <c r="AC50">
        <f>IF(Backend!AD77="", "", Backend!AD77)</f>
        <v>0.18094075000000001</v>
      </c>
      <c r="AD50">
        <f>IF(Backend!AE77="", "", Backend!AE77)</f>
        <v>0.13664404999999999</v>
      </c>
      <c r="AE50">
        <f>IF(Backend!AF77="", "", Backend!AF77)</f>
        <v>0.20947260000000001</v>
      </c>
      <c r="AF50">
        <f>IF(Backend!AG77="", "", Backend!AG77)</f>
        <v>0.20499883999999999</v>
      </c>
      <c r="AG50">
        <f>IF(Backend!AH77="", "", Backend!AH77)</f>
        <v>0.108903416</v>
      </c>
      <c r="AH50">
        <f>IF(Backend!AI77="", "", Backend!AI77)</f>
        <v>0.11292037000000001</v>
      </c>
      <c r="AI50">
        <f>IF(Backend!AJ77="", "", Backend!AJ77)</f>
        <v>4.6143413000000001E-2</v>
      </c>
      <c r="AJ50">
        <f>IF(Backend!AK77="", "", Backend!AK77)</f>
        <v>0.17387299000000001</v>
      </c>
      <c r="AK50">
        <f>IF(Backend!AL77="", "", Backend!AL77)</f>
        <v>0.23482700000000001</v>
      </c>
      <c r="AL50">
        <f>IF(Backend!AM77="", "", Backend!AM77)</f>
        <v>0.11143894999999999</v>
      </c>
      <c r="AM50">
        <f>IF(Backend!AN77="", "", Backend!AN77)</f>
        <v>0.16850393999999999</v>
      </c>
      <c r="AN50">
        <f>IF(Backend!AO77="", "", Backend!AO77)</f>
        <v>0.21776892</v>
      </c>
      <c r="AO50">
        <f>IF(Backend!AP77="", "", Backend!AP77)</f>
        <v>0.11230066</v>
      </c>
      <c r="AP50">
        <f>IF(Backend!AQ77="", "", Backend!AQ77)</f>
        <v>0.20124927000000001</v>
      </c>
      <c r="AQ50">
        <f>IF(Backend!AR77="", "", Backend!AR77)</f>
        <v>0.17709844999999999</v>
      </c>
      <c r="AR50">
        <f>IF(Backend!AS77="", "", Backend!AS77)</f>
        <v>0.19451435</v>
      </c>
      <c r="AS50">
        <f>IF(Backend!AT77="", "", Backend!AT77)</f>
        <v>0.21694996999999999</v>
      </c>
      <c r="AT50">
        <f>IF(Backend!AU77="", "", Backend!AU77)</f>
        <v>0.27321099999999998</v>
      </c>
      <c r="AU50">
        <f>IF(Backend!AV77="", "", Backend!AV77)</f>
        <v>0.13640316999999999</v>
      </c>
      <c r="AV50">
        <f>IF(Backend!AW77="", "", Backend!AW77)</f>
        <v>1</v>
      </c>
      <c r="AW50">
        <f>IF(Backend!AX77="", "", Backend!AX77)</f>
        <v>0.16652259</v>
      </c>
      <c r="AX50">
        <f>IF(Backend!AY77="", "", Backend!AY77)</f>
        <v>0.22887424000000001</v>
      </c>
      <c r="AY50">
        <f>IF(Backend!AZ77="", "", Backend!AZ77)</f>
        <v>0.24233109</v>
      </c>
      <c r="AZ50">
        <f>IF(Backend!BA77="", "", Backend!BA77)</f>
        <v>0.16802164999999999</v>
      </c>
      <c r="BA50">
        <f>IF(Backend!BB77="", "", Backend!BB77)</f>
        <v>0.14276069999999999</v>
      </c>
      <c r="BB50">
        <f>IF(Backend!BC77="", "", Backend!BC77)</f>
        <v>0.10248089000000001</v>
      </c>
      <c r="BC50">
        <f>IF(Backend!BD77="", "", Backend!BD77)</f>
        <v>0.10634402</v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>Rio Tinto plc</v>
      </c>
      <c r="B51">
        <f>IF(Backend!C78="", "", Backend!C78)</f>
        <v>0.25497332</v>
      </c>
      <c r="C51">
        <f>IF(Backend!D78="", "", Backend!D78)</f>
        <v>0.29273329999999997</v>
      </c>
      <c r="D51">
        <f>IF(Backend!E78="", "", Backend!E78)</f>
        <v>0.26503932000000002</v>
      </c>
      <c r="E51">
        <f>IF(Backend!F78="", "", Backend!F78)</f>
        <v>0.3675775</v>
      </c>
      <c r="F51">
        <f>IF(Backend!G78="", "", Backend!G78)</f>
        <v>0.31627487999999998</v>
      </c>
      <c r="G51">
        <f>IF(Backend!H78="", "", Backend!H78)</f>
        <v>0.32472025999999998</v>
      </c>
      <c r="H51">
        <f>IF(Backend!I78="", "", Backend!I78)</f>
        <v>0.51633465000000001</v>
      </c>
      <c r="I51">
        <f>IF(Backend!J78="", "", Backend!J78)</f>
        <v>0.16638061000000001</v>
      </c>
      <c r="J51">
        <f>IF(Backend!K78="", "", Backend!K78)</f>
        <v>0.24280508000000001</v>
      </c>
      <c r="K51">
        <f>IF(Backend!L78="", "", Backend!L78)</f>
        <v>0.33436529999999998</v>
      </c>
      <c r="L51">
        <f>IF(Backend!M78="", "", Backend!M78)</f>
        <v>0.13818759</v>
      </c>
      <c r="M51">
        <f>IF(Backend!N78="", "", Backend!N78)</f>
        <v>0.21731067000000001</v>
      </c>
      <c r="N51">
        <f>IF(Backend!O78="", "", Backend!O78)</f>
        <v>9.3751000000000001E-2</v>
      </c>
      <c r="O51">
        <f>IF(Backend!P78="", "", Backend!P78)</f>
        <v>0.16450619999999999</v>
      </c>
      <c r="P51">
        <f>IF(Backend!Q78="", "", Backend!Q78)</f>
        <v>0.38074734999999998</v>
      </c>
      <c r="Q51">
        <f>IF(Backend!R78="", "", Backend!R78)</f>
        <v>0.40001750000000003</v>
      </c>
      <c r="R51">
        <f>IF(Backend!S78="", "", Backend!S78)</f>
        <v>0.18623486</v>
      </c>
      <c r="S51">
        <f>IF(Backend!T78="", "", Backend!T78)</f>
        <v>0.32978255000000001</v>
      </c>
      <c r="T51">
        <f>IF(Backend!U78="", "", Backend!U78)</f>
        <v>0.39388356000000002</v>
      </c>
      <c r="U51">
        <f>IF(Backend!V78="", "", Backend!V78)</f>
        <v>5.9168680000000001E-2</v>
      </c>
      <c r="V51">
        <f>IF(Backend!W78="", "", Backend!W78)</f>
        <v>0.28421748000000002</v>
      </c>
      <c r="W51">
        <f>IF(Backend!X78="", "", Backend!X78)</f>
        <v>0.19185517999999999</v>
      </c>
      <c r="X51">
        <f>IF(Backend!Y78="", "", Backend!Y78)</f>
        <v>0.30482277000000002</v>
      </c>
      <c r="Y51">
        <f>IF(Backend!Z78="", "", Backend!Z78)</f>
        <v>0.24586569</v>
      </c>
      <c r="Z51">
        <f>IF(Backend!AA78="", "", Backend!AA78)</f>
        <v>0.44183802999999999</v>
      </c>
      <c r="AA51">
        <f>IF(Backend!AB78="", "", Backend!AB78)</f>
        <v>0.15928160999999999</v>
      </c>
      <c r="AB51">
        <f>IF(Backend!AC78="", "", Backend!AC78)</f>
        <v>0.40596650000000001</v>
      </c>
      <c r="AC51">
        <f>IF(Backend!AD78="", "", Backend!AD78)</f>
        <v>0.36230147000000001</v>
      </c>
      <c r="AD51">
        <f>IF(Backend!AE78="", "", Backend!AE78)</f>
        <v>0.28716051999999997</v>
      </c>
      <c r="AE51">
        <f>IF(Backend!AF78="", "", Backend!AF78)</f>
        <v>0.70951529999999996</v>
      </c>
      <c r="AF51">
        <f>IF(Backend!AG78="", "", Backend!AG78)</f>
        <v>0.34630564000000003</v>
      </c>
      <c r="AG51">
        <f>IF(Backend!AH78="", "", Backend!AH78)</f>
        <v>0.32393184000000003</v>
      </c>
      <c r="AH51">
        <f>IF(Backend!AI78="", "", Backend!AI78)</f>
        <v>0.33733730000000001</v>
      </c>
      <c r="AI51">
        <f>IF(Backend!AJ78="", "", Backend!AJ78)</f>
        <v>0.24671805999999999</v>
      </c>
      <c r="AJ51">
        <f>IF(Backend!AK78="", "", Backend!AK78)</f>
        <v>0.36194377999999999</v>
      </c>
      <c r="AK51">
        <f>IF(Backend!AL78="", "", Backend!AL78)</f>
        <v>0.52708434999999998</v>
      </c>
      <c r="AL51">
        <f>IF(Backend!AM78="", "", Backend!AM78)</f>
        <v>0.15395153</v>
      </c>
      <c r="AM51">
        <f>IF(Backend!AN78="", "", Backend!AN78)</f>
        <v>0.36831209999999998</v>
      </c>
      <c r="AN51">
        <f>IF(Backend!AO78="", "", Backend!AO78)</f>
        <v>0.25891140000000001</v>
      </c>
      <c r="AO51">
        <f>IF(Backend!AP78="", "", Backend!AP78)</f>
        <v>0.3304417</v>
      </c>
      <c r="AP51">
        <f>IF(Backend!AQ78="", "", Backend!AQ78)</f>
        <v>0.34068290000000001</v>
      </c>
      <c r="AQ51">
        <f>IF(Backend!AR78="", "", Backend!AR78)</f>
        <v>0.38008662999999998</v>
      </c>
      <c r="AR51">
        <f>IF(Backend!AS78="", "", Backend!AS78)</f>
        <v>0.42520088</v>
      </c>
      <c r="AS51">
        <f>IF(Backend!AT78="", "", Backend!AT78)</f>
        <v>0.26055630000000002</v>
      </c>
      <c r="AT51">
        <f>IF(Backend!AU78="", "", Backend!AU78)</f>
        <v>0.40497965000000002</v>
      </c>
      <c r="AU51">
        <f>IF(Backend!AV78="", "", Backend!AV78)</f>
        <v>0.25459569999999998</v>
      </c>
      <c r="AV51">
        <f>IF(Backend!AW78="", "", Backend!AW78)</f>
        <v>0.16652259</v>
      </c>
      <c r="AW51">
        <f>IF(Backend!AX78="", "", Backend!AX78)</f>
        <v>1</v>
      </c>
      <c r="AX51">
        <f>IF(Backend!AY78="", "", Backend!AY78)</f>
        <v>0.39079989999999998</v>
      </c>
      <c r="AY51">
        <f>IF(Backend!AZ78="", "", Backend!AZ78)</f>
        <v>0.48520123999999998</v>
      </c>
      <c r="AZ51">
        <f>IF(Backend!BA78="", "", Backend!BA78)</f>
        <v>0.34064444999999999</v>
      </c>
      <c r="BA51">
        <f>IF(Backend!BB78="", "", Backend!BB78)</f>
        <v>0.27717772000000002</v>
      </c>
      <c r="BB51">
        <f>IF(Backend!BC78="", "", Backend!BC78)</f>
        <v>4.7593959999999998E-2</v>
      </c>
      <c r="BC51">
        <f>IF(Backend!BD78="", "", Backend!BD78)</f>
        <v>0.22165725</v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>Evonik Industries AG</v>
      </c>
      <c r="B52">
        <f>IF(Backend!C79="", "", Backend!C79)</f>
        <v>0.18015302999999999</v>
      </c>
      <c r="C52">
        <f>IF(Backend!D79="", "", Backend!D79)</f>
        <v>0.27643060000000003</v>
      </c>
      <c r="D52">
        <f>IF(Backend!E79="", "", Backend!E79)</f>
        <v>0.57226043999999998</v>
      </c>
      <c r="E52">
        <f>IF(Backend!F79="", "", Backend!F79)</f>
        <v>0.42238842999999998</v>
      </c>
      <c r="F52">
        <f>IF(Backend!G79="", "", Backend!G79)</f>
        <v>0.36912434999999999</v>
      </c>
      <c r="G52">
        <f>IF(Backend!H79="", "", Backend!H79)</f>
        <v>0.3227411</v>
      </c>
      <c r="H52">
        <f>IF(Backend!I79="", "", Backend!I79)</f>
        <v>0.44827850000000002</v>
      </c>
      <c r="I52">
        <f>IF(Backend!J79="", "", Backend!J79)</f>
        <v>0.220829</v>
      </c>
      <c r="J52">
        <f>IF(Backend!K79="", "", Backend!K79)</f>
        <v>0.25139626999999998</v>
      </c>
      <c r="K52">
        <f>IF(Backend!L79="", "", Backend!L79)</f>
        <v>0.39978947999999997</v>
      </c>
      <c r="L52">
        <f>IF(Backend!M79="", "", Backend!M79)</f>
        <v>0.13018793000000001</v>
      </c>
      <c r="M52">
        <f>IF(Backend!N79="", "", Backend!N79)</f>
        <v>0.20375265000000001</v>
      </c>
      <c r="N52">
        <f>IF(Backend!O79="", "", Backend!O79)</f>
        <v>7.7842060000000005E-2</v>
      </c>
      <c r="O52">
        <f>IF(Backend!P79="", "", Backend!P79)</f>
        <v>0.15121283999999999</v>
      </c>
      <c r="P52">
        <f>IF(Backend!Q79="", "", Backend!Q79)</f>
        <v>0.30433830000000001</v>
      </c>
      <c r="Q52">
        <f>IF(Backend!R79="", "", Backend!R79)</f>
        <v>0.51787954999999997</v>
      </c>
      <c r="R52">
        <f>IF(Backend!S79="", "", Backend!S79)</f>
        <v>0.28211477000000001</v>
      </c>
      <c r="S52">
        <f>IF(Backend!T79="", "", Backend!T79)</f>
        <v>0.45624098000000002</v>
      </c>
      <c r="T52">
        <f>IF(Backend!U79="", "", Backend!U79)</f>
        <v>0.47726481999999998</v>
      </c>
      <c r="U52">
        <f>IF(Backend!V79="", "", Backend!V79)</f>
        <v>0.12208571</v>
      </c>
      <c r="V52">
        <f>IF(Backend!W79="", "", Backend!W79)</f>
        <v>0.47260173999999999</v>
      </c>
      <c r="W52">
        <f>IF(Backend!X79="", "", Backend!X79)</f>
        <v>0.13924001</v>
      </c>
      <c r="X52">
        <f>IF(Backend!Y79="", "", Backend!Y79)</f>
        <v>0.27623915999999998</v>
      </c>
      <c r="Y52">
        <f>IF(Backend!Z79="", "", Backend!Z79)</f>
        <v>0.22496374</v>
      </c>
      <c r="Z52">
        <f>IF(Backend!AA79="", "", Backend!AA79)</f>
        <v>0.42645907</v>
      </c>
      <c r="AA52">
        <f>IF(Backend!AB79="", "", Backend!AB79)</f>
        <v>0.17666091</v>
      </c>
      <c r="AB52">
        <f>IF(Backend!AC79="", "", Backend!AC79)</f>
        <v>0.53046393000000003</v>
      </c>
      <c r="AC52">
        <f>IF(Backend!AD79="", "", Backend!AD79)</f>
        <v>0.57554559999999999</v>
      </c>
      <c r="AD52">
        <f>IF(Backend!AE79="", "", Backend!AE79)</f>
        <v>0.50903140000000002</v>
      </c>
      <c r="AE52">
        <f>IF(Backend!AF79="", "", Backend!AF79)</f>
        <v>0.45459836999999997</v>
      </c>
      <c r="AF52">
        <f>IF(Backend!AG79="", "", Backend!AG79)</f>
        <v>0.26723644000000002</v>
      </c>
      <c r="AG52">
        <f>IF(Backend!AH79="", "", Backend!AH79)</f>
        <v>0.288495</v>
      </c>
      <c r="AH52">
        <f>IF(Backend!AI79="", "", Backend!AI79)</f>
        <v>0.38300255</v>
      </c>
      <c r="AI52">
        <f>IF(Backend!AJ79="", "", Backend!AJ79)</f>
        <v>0.23825218000000001</v>
      </c>
      <c r="AJ52">
        <f>IF(Backend!AK79="", "", Backend!AK79)</f>
        <v>0.24372193</v>
      </c>
      <c r="AK52">
        <f>IF(Backend!AL79="", "", Backend!AL79)</f>
        <v>0.7616617</v>
      </c>
      <c r="AL52">
        <f>IF(Backend!AM79="", "", Backend!AM79)</f>
        <v>0.37588519999999997</v>
      </c>
      <c r="AM52">
        <f>IF(Backend!AN79="", "", Backend!AN79)</f>
        <v>0.24959691000000001</v>
      </c>
      <c r="AN52">
        <f>IF(Backend!AO79="", "", Backend!AO79)</f>
        <v>0.22128637000000001</v>
      </c>
      <c r="AO52">
        <f>IF(Backend!AP79="", "", Backend!AP79)</f>
        <v>0.35240060000000001</v>
      </c>
      <c r="AP52">
        <f>IF(Backend!AQ79="", "", Backend!AQ79)</f>
        <v>0.64271705999999995</v>
      </c>
      <c r="AQ52">
        <f>IF(Backend!AR79="", "", Backend!AR79)</f>
        <v>0.38892826000000003</v>
      </c>
      <c r="AR52">
        <f>IF(Backend!AS79="", "", Backend!AS79)</f>
        <v>0.34079692</v>
      </c>
      <c r="AS52">
        <f>IF(Backend!AT79="", "", Backend!AT79)</f>
        <v>0.5559364</v>
      </c>
      <c r="AT52">
        <f>IF(Backend!AU79="", "", Backend!AU79)</f>
        <v>0.34757817000000002</v>
      </c>
      <c r="AU52">
        <f>IF(Backend!AV79="", "", Backend!AV79)</f>
        <v>0.39360000000000001</v>
      </c>
      <c r="AV52">
        <f>IF(Backend!AW79="", "", Backend!AW79)</f>
        <v>0.22887424000000001</v>
      </c>
      <c r="AW52">
        <f>IF(Backend!AX79="", "", Backend!AX79)</f>
        <v>0.39079989999999998</v>
      </c>
      <c r="AX52">
        <f>IF(Backend!AY79="", "", Backend!AY79)</f>
        <v>1</v>
      </c>
      <c r="AY52">
        <f>IF(Backend!AZ79="", "", Backend!AZ79)</f>
        <v>0.36351426999999997</v>
      </c>
      <c r="AZ52">
        <f>IF(Backend!BA79="", "", Backend!BA79)</f>
        <v>0.56808789999999998</v>
      </c>
      <c r="BA52">
        <f>IF(Backend!BB79="", "", Backend!BB79)</f>
        <v>0.39526992999999999</v>
      </c>
      <c r="BB52">
        <f>IF(Backend!BC79="", "", Backend!BC79)</f>
        <v>0.11284777</v>
      </c>
      <c r="BC52">
        <f>IF(Backend!BD79="", "", Backend!BD79)</f>
        <v>3.3929434000000001E-2</v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>HSBC Holdings Plc</v>
      </c>
      <c r="B53">
        <f>IF(Backend!C80="", "", Backend!C80)</f>
        <v>0.29679167000000001</v>
      </c>
      <c r="C53">
        <f>IF(Backend!D80="", "", Backend!D80)</f>
        <v>0.22627562000000001</v>
      </c>
      <c r="D53">
        <f>IF(Backend!E80="", "", Backend!E80)</f>
        <v>0.26819326999999998</v>
      </c>
      <c r="E53">
        <f>IF(Backend!F80="", "", Backend!F80)</f>
        <v>0.69532950000000004</v>
      </c>
      <c r="F53">
        <f>IF(Backend!G80="", "", Backend!G80)</f>
        <v>0.27652130000000003</v>
      </c>
      <c r="G53">
        <f>IF(Backend!H80="", "", Backend!H80)</f>
        <v>0.31336715999999998</v>
      </c>
      <c r="H53">
        <f>IF(Backend!I80="", "", Backend!I80)</f>
        <v>0.55993749999999998</v>
      </c>
      <c r="I53">
        <f>IF(Backend!J80="", "", Backend!J80)</f>
        <v>0.17380139</v>
      </c>
      <c r="J53">
        <f>IF(Backend!K80="", "", Backend!K80)</f>
        <v>0.25410113000000001</v>
      </c>
      <c r="K53">
        <f>IF(Backend!L80="", "", Backend!L80)</f>
        <v>0.21580192000000001</v>
      </c>
      <c r="L53">
        <f>IF(Backend!M80="", "", Backend!M80)</f>
        <v>0.16425037000000001</v>
      </c>
      <c r="M53">
        <f>IF(Backend!N80="", "", Backend!N80)</f>
        <v>0.12965497000000001</v>
      </c>
      <c r="N53">
        <f>IF(Backend!O80="", "", Backend!O80)</f>
        <v>0.10708406600000001</v>
      </c>
      <c r="O53">
        <f>IF(Backend!P80="", "", Backend!P80)</f>
        <v>0.13743027999999999</v>
      </c>
      <c r="P53">
        <f>IF(Backend!Q80="", "", Backend!Q80)</f>
        <v>0.72589784999999996</v>
      </c>
      <c r="Q53">
        <f>IF(Backend!R80="", "", Backend!R80)</f>
        <v>0.53447299999999998</v>
      </c>
      <c r="R53">
        <f>IF(Backend!S80="", "", Backend!S80)</f>
        <v>0.15434521000000001</v>
      </c>
      <c r="S53">
        <f>IF(Backend!T80="", "", Backend!T80)</f>
        <v>0.44322600000000001</v>
      </c>
      <c r="T53">
        <f>IF(Backend!U80="", "", Backend!U80)</f>
        <v>0.49590677</v>
      </c>
      <c r="U53">
        <f>IF(Backend!V80="", "", Backend!V80)</f>
        <v>4.3537623999999997E-2</v>
      </c>
      <c r="V53">
        <f>IF(Backend!W80="", "", Backend!W80)</f>
        <v>0.48263763999999998</v>
      </c>
      <c r="W53">
        <f>IF(Backend!X80="", "", Backend!X80)</f>
        <v>0.18473953000000001</v>
      </c>
      <c r="X53">
        <f>IF(Backend!Y80="", "", Backend!Y80)</f>
        <v>0.29896646999999998</v>
      </c>
      <c r="Y53">
        <f>IF(Backend!Z80="", "", Backend!Z80)</f>
        <v>0.26388635999999999</v>
      </c>
      <c r="Z53">
        <f>IF(Backend!AA80="", "", Backend!AA80)</f>
        <v>0.35222619999999999</v>
      </c>
      <c r="AA53">
        <f>IF(Backend!AB80="", "", Backend!AB80)</f>
        <v>0.10096845</v>
      </c>
      <c r="AB53">
        <f>IF(Backend!AC80="", "", Backend!AC80)</f>
        <v>0.38597890000000001</v>
      </c>
      <c r="AC53">
        <f>IF(Backend!AD80="", "", Backend!AD80)</f>
        <v>0.51989560000000001</v>
      </c>
      <c r="AD53">
        <f>IF(Backend!AE80="", "", Backend!AE80)</f>
        <v>0.43433781999999999</v>
      </c>
      <c r="AE53">
        <f>IF(Backend!AF80="", "", Backend!AF80)</f>
        <v>0.4442045</v>
      </c>
      <c r="AF53">
        <f>IF(Backend!AG80="", "", Backend!AG80)</f>
        <v>0.33132610000000001</v>
      </c>
      <c r="AG53">
        <f>IF(Backend!AH80="", "", Backend!AH80)</f>
        <v>0.29016763000000001</v>
      </c>
      <c r="AH53">
        <f>IF(Backend!AI80="", "", Backend!AI80)</f>
        <v>0.28749364999999999</v>
      </c>
      <c r="AI53">
        <f>IF(Backend!AJ80="", "", Backend!AJ80)</f>
        <v>0.12783781999999999</v>
      </c>
      <c r="AJ53">
        <f>IF(Backend!AK80="", "", Backend!AK80)</f>
        <v>0.24624535</v>
      </c>
      <c r="AK53">
        <f>IF(Backend!AL80="", "", Backend!AL80)</f>
        <v>0.42650073999999999</v>
      </c>
      <c r="AL53">
        <f>IF(Backend!AM80="", "", Backend!AM80)</f>
        <v>0.15831749000000001</v>
      </c>
      <c r="AM53">
        <f>IF(Backend!AN80="", "", Backend!AN80)</f>
        <v>0.21378485999999999</v>
      </c>
      <c r="AN53">
        <f>IF(Backend!AO80="", "", Backend!AO80)</f>
        <v>0.20334935000000001</v>
      </c>
      <c r="AO53">
        <f>IF(Backend!AP80="", "", Backend!AP80)</f>
        <v>0.31506494000000002</v>
      </c>
      <c r="AP53">
        <f>IF(Backend!AQ80="", "", Backend!AQ80)</f>
        <v>0.36623144000000002</v>
      </c>
      <c r="AQ53">
        <f>IF(Backend!AR80="", "", Backend!AR80)</f>
        <v>0.36281766999999998</v>
      </c>
      <c r="AR53">
        <f>IF(Backend!AS80="", "", Backend!AS80)</f>
        <v>0.39408915999999999</v>
      </c>
      <c r="AS53">
        <f>IF(Backend!AT80="", "", Backend!AT80)</f>
        <v>0.28014024999999998</v>
      </c>
      <c r="AT53">
        <f>IF(Backend!AU80="", "", Backend!AU80)</f>
        <v>0.31441669999999999</v>
      </c>
      <c r="AU53">
        <f>IF(Backend!AV80="", "", Backend!AV80)</f>
        <v>0.29946669999999997</v>
      </c>
      <c r="AV53">
        <f>IF(Backend!AW80="", "", Backend!AW80)</f>
        <v>0.24233109</v>
      </c>
      <c r="AW53">
        <f>IF(Backend!AX80="", "", Backend!AX80)</f>
        <v>0.48520123999999998</v>
      </c>
      <c r="AX53">
        <f>IF(Backend!AY80="", "", Backend!AY80)</f>
        <v>0.36351426999999997</v>
      </c>
      <c r="AY53">
        <f>IF(Backend!AZ80="", "", Backend!AZ80)</f>
        <v>1</v>
      </c>
      <c r="AZ53">
        <f>IF(Backend!BA80="", "", Backend!BA80)</f>
        <v>0.5717122</v>
      </c>
      <c r="BA53">
        <f>IF(Backend!BB80="", "", Backend!BB80)</f>
        <v>0.60930079999999998</v>
      </c>
      <c r="BB53">
        <f>IF(Backend!BC80="", "", Backend!BC80)</f>
        <v>2.6324831E-2</v>
      </c>
      <c r="BC53">
        <f>IF(Backend!BD80="", "", Backend!BD80)</f>
        <v>0.16189898999999999</v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>UniCredit S.p.A.</v>
      </c>
      <c r="B54">
        <f>IF(Backend!C81="", "", Backend!C81)</f>
        <v>0.2343548</v>
      </c>
      <c r="C54">
        <f>IF(Backend!D81="", "", Backend!D81)</f>
        <v>0.24060090000000001</v>
      </c>
      <c r="D54">
        <f>IF(Backend!E81="", "", Backend!E81)</f>
        <v>0.42777783000000003</v>
      </c>
      <c r="E54">
        <f>IF(Backend!F81="", "", Backend!F81)</f>
        <v>0.64454549999999999</v>
      </c>
      <c r="F54">
        <f>IF(Backend!G81="", "", Backend!G81)</f>
        <v>0.28518787000000001</v>
      </c>
      <c r="G54">
        <f>IF(Backend!H81="", "", Backend!H81)</f>
        <v>0.32305022999999999</v>
      </c>
      <c r="H54">
        <f>IF(Backend!I81="", "", Backend!I81)</f>
        <v>0.49493710000000002</v>
      </c>
      <c r="I54">
        <f>IF(Backend!J81="", "", Backend!J81)</f>
        <v>0.22433533</v>
      </c>
      <c r="J54">
        <f>IF(Backend!K81="", "", Backend!K81)</f>
        <v>0.24664808999999999</v>
      </c>
      <c r="K54">
        <f>IF(Backend!L81="", "", Backend!L81)</f>
        <v>0.30033736999999999</v>
      </c>
      <c r="L54">
        <f>IF(Backend!M81="", "", Backend!M81)</f>
        <v>0.15625000999999999</v>
      </c>
      <c r="M54">
        <f>IF(Backend!N81="", "", Backend!N81)</f>
        <v>0.169486</v>
      </c>
      <c r="N54">
        <f>IF(Backend!O81="", "", Backend!O81)</f>
        <v>0.14005029999999999</v>
      </c>
      <c r="O54">
        <f>IF(Backend!P81="", "", Backend!P81)</f>
        <v>0.18710613000000001</v>
      </c>
      <c r="P54">
        <f>IF(Backend!Q81="", "", Backend!Q81)</f>
        <v>0.52025779999999999</v>
      </c>
      <c r="Q54">
        <f>IF(Backend!R81="", "", Backend!R81)</f>
        <v>0.61854469999999995</v>
      </c>
      <c r="R54">
        <f>IF(Backend!S81="", "", Backend!S81)</f>
        <v>0.15272357</v>
      </c>
      <c r="S54">
        <f>IF(Backend!T81="", "", Backend!T81)</f>
        <v>0.5540081</v>
      </c>
      <c r="T54">
        <f>IF(Backend!U81="", "", Backend!U81)</f>
        <v>0.60742260000000003</v>
      </c>
      <c r="U54">
        <f>IF(Backend!V81="", "", Backend!V81)</f>
        <v>-2.1926234999999999E-2</v>
      </c>
      <c r="V54">
        <f>IF(Backend!W81="", "", Backend!W81)</f>
        <v>0.66163890000000003</v>
      </c>
      <c r="W54">
        <f>IF(Backend!X81="", "", Backend!X81)</f>
        <v>0.13394189000000001</v>
      </c>
      <c r="X54">
        <f>IF(Backend!Y81="", "", Backend!Y81)</f>
        <v>0.17554379000000001</v>
      </c>
      <c r="Y54">
        <f>IF(Backend!Z81="", "", Backend!Z81)</f>
        <v>0.30286592000000001</v>
      </c>
      <c r="Z54">
        <f>IF(Backend!AA81="", "", Backend!AA81)</f>
        <v>0.31454145999999999</v>
      </c>
      <c r="AA54">
        <f>IF(Backend!AB81="", "", Backend!AB81)</f>
        <v>0.24980221999999999</v>
      </c>
      <c r="AB54">
        <f>IF(Backend!AC81="", "", Backend!AC81)</f>
        <v>0.51931369999999999</v>
      </c>
      <c r="AC54">
        <f>IF(Backend!AD81="", "", Backend!AD81)</f>
        <v>0.72621720000000001</v>
      </c>
      <c r="AD54">
        <f>IF(Backend!AE81="", "", Backend!AE81)</f>
        <v>0.57817039999999997</v>
      </c>
      <c r="AE54">
        <f>IF(Backend!AF81="", "", Backend!AF81)</f>
        <v>0.46685606000000002</v>
      </c>
      <c r="AF54">
        <f>IF(Backend!AG81="", "", Backend!AG81)</f>
        <v>0.31598637000000002</v>
      </c>
      <c r="AG54">
        <f>IF(Backend!AH81="", "", Backend!AH81)</f>
        <v>0.23108286</v>
      </c>
      <c r="AH54">
        <f>IF(Backend!AI81="", "", Backend!AI81)</f>
        <v>0.30750850000000002</v>
      </c>
      <c r="AI54">
        <f>IF(Backend!AJ81="", "", Backend!AJ81)</f>
        <v>0.19944242000000001</v>
      </c>
      <c r="AJ54">
        <f>IF(Backend!AK81="", "", Backend!AK81)</f>
        <v>0.26464389999999999</v>
      </c>
      <c r="AK54">
        <f>IF(Backend!AL81="", "", Backend!AL81)</f>
        <v>0.5181595</v>
      </c>
      <c r="AL54">
        <f>IF(Backend!AM81="", "", Backend!AM81)</f>
        <v>0.23977177</v>
      </c>
      <c r="AM54">
        <f>IF(Backend!AN81="", "", Backend!AN81)</f>
        <v>0.19473745000000001</v>
      </c>
      <c r="AN54">
        <f>IF(Backend!AO81="", "", Backend!AO81)</f>
        <v>0.13684307000000001</v>
      </c>
      <c r="AO54">
        <f>IF(Backend!AP81="", "", Backend!AP81)</f>
        <v>0.37163857</v>
      </c>
      <c r="AP54">
        <f>IF(Backend!AQ81="", "", Backend!AQ81)</f>
        <v>0.46472907000000002</v>
      </c>
      <c r="AQ54">
        <f>IF(Backend!AR81="", "", Backend!AR81)</f>
        <v>0.42608636999999999</v>
      </c>
      <c r="AR54">
        <f>IF(Backend!AS81="", "", Backend!AS81)</f>
        <v>0.36704700000000001</v>
      </c>
      <c r="AS54">
        <f>IF(Backend!AT81="", "", Backend!AT81)</f>
        <v>0.47530842000000001</v>
      </c>
      <c r="AT54">
        <f>IF(Backend!AU81="", "", Backend!AU81)</f>
        <v>0.25823163999999998</v>
      </c>
      <c r="AU54">
        <f>IF(Backend!AV81="", "", Backend!AV81)</f>
        <v>0.2919001</v>
      </c>
      <c r="AV54">
        <f>IF(Backend!AW81="", "", Backend!AW81)</f>
        <v>0.16802164999999999</v>
      </c>
      <c r="AW54">
        <f>IF(Backend!AX81="", "", Backend!AX81)</f>
        <v>0.34064444999999999</v>
      </c>
      <c r="AX54">
        <f>IF(Backend!AY81="", "", Backend!AY81)</f>
        <v>0.56808789999999998</v>
      </c>
      <c r="AY54">
        <f>IF(Backend!AZ81="", "", Backend!AZ81)</f>
        <v>0.5717122</v>
      </c>
      <c r="AZ54">
        <f>IF(Backend!BA81="", "", Backend!BA81)</f>
        <v>1</v>
      </c>
      <c r="BA54">
        <f>IF(Backend!BB81="", "", Backend!BB81)</f>
        <v>0.59299343999999998</v>
      </c>
      <c r="BB54">
        <f>IF(Backend!BC81="", "", Backend!BC81)</f>
        <v>0.10385058</v>
      </c>
      <c r="BC54">
        <f>IF(Backend!BD81="", "", Backend!BD81)</f>
        <v>9.8015815000000006E-2</v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>NatWest Group Plc</v>
      </c>
      <c r="B55">
        <f>IF(Backend!C82="", "", Backend!C82)</f>
        <v>0.18913770999999999</v>
      </c>
      <c r="C55">
        <f>IF(Backend!D82="", "", Backend!D82)</f>
        <v>0.25406679999999998</v>
      </c>
      <c r="D55">
        <f>IF(Backend!E82="", "", Backend!E82)</f>
        <v>0.30635386999999997</v>
      </c>
      <c r="E55">
        <f>IF(Backend!F82="", "", Backend!F82)</f>
        <v>0.81121900000000002</v>
      </c>
      <c r="F55">
        <f>IF(Backend!G82="", "", Backend!G82)</f>
        <v>0.27976256999999999</v>
      </c>
      <c r="G55">
        <f>IF(Backend!H82="", "", Backend!H82)</f>
        <v>0.24329782</v>
      </c>
      <c r="H55">
        <f>IF(Backend!I82="", "", Backend!I82)</f>
        <v>0.49629316000000001</v>
      </c>
      <c r="I55">
        <f>IF(Backend!J82="", "", Backend!J82)</f>
        <v>0.33527634000000001</v>
      </c>
      <c r="J55">
        <f>IF(Backend!K82="", "", Backend!K82)</f>
        <v>0.32627254999999999</v>
      </c>
      <c r="K55">
        <f>IF(Backend!L82="", "", Backend!L82)</f>
        <v>0.17272340999999999</v>
      </c>
      <c r="L55">
        <f>IF(Backend!M82="", "", Backend!M82)</f>
        <v>0.12784481</v>
      </c>
      <c r="M55">
        <f>IF(Backend!N82="", "", Backend!N82)</f>
        <v>0.104696594</v>
      </c>
      <c r="N55">
        <f>IF(Backend!O82="", "", Backend!O82)</f>
        <v>0.19602940999999999</v>
      </c>
      <c r="O55">
        <f>IF(Backend!P82="", "", Backend!P82)</f>
        <v>0.17943506000000001</v>
      </c>
      <c r="P55">
        <f>IF(Backend!Q82="", "", Backend!Q82)</f>
        <v>0.56853330000000002</v>
      </c>
      <c r="Q55">
        <f>IF(Backend!R82="", "", Backend!R82)</f>
        <v>0.50658760000000003</v>
      </c>
      <c r="R55">
        <f>IF(Backend!S82="", "", Backend!S82)</f>
        <v>0.22449669999999999</v>
      </c>
      <c r="S55">
        <f>IF(Backend!T82="", "", Backend!T82)</f>
        <v>0.47647947000000002</v>
      </c>
      <c r="T55">
        <f>IF(Backend!U82="", "", Backend!U82)</f>
        <v>0.49742871999999999</v>
      </c>
      <c r="U55">
        <f>IF(Backend!V82="", "", Backend!V82)</f>
        <v>0.22453076999999999</v>
      </c>
      <c r="V55">
        <f>IF(Backend!W82="", "", Backend!W82)</f>
        <v>0.51931740000000004</v>
      </c>
      <c r="W55">
        <f>IF(Backend!X82="", "", Backend!X82)</f>
        <v>0.20564822999999999</v>
      </c>
      <c r="X55">
        <f>IF(Backend!Y82="", "", Backend!Y82)</f>
        <v>0.26913967999999999</v>
      </c>
      <c r="Y55">
        <f>IF(Backend!Z82="", "", Backend!Z82)</f>
        <v>0.28975131999999998</v>
      </c>
      <c r="Z55">
        <f>IF(Backend!AA82="", "", Backend!AA82)</f>
        <v>0.20099486</v>
      </c>
      <c r="AA55">
        <f>IF(Backend!AB82="", "", Backend!AB82)</f>
        <v>8.0557450000000003E-2</v>
      </c>
      <c r="AB55">
        <f>IF(Backend!AC82="", "", Backend!AC82)</f>
        <v>0.39153536999999999</v>
      </c>
      <c r="AC55">
        <f>IF(Backend!AD82="", "", Backend!AD82)</f>
        <v>0.56592960000000003</v>
      </c>
      <c r="AD55">
        <f>IF(Backend!AE82="", "", Backend!AE82)</f>
        <v>0.52837829999999997</v>
      </c>
      <c r="AE55">
        <f>IF(Backend!AF82="", "", Backend!AF82)</f>
        <v>0.36580576999999997</v>
      </c>
      <c r="AF55">
        <f>IF(Backend!AG82="", "", Backend!AG82)</f>
        <v>0.25018912999999998</v>
      </c>
      <c r="AG55">
        <f>IF(Backend!AH82="", "", Backend!AH82)</f>
        <v>0.19985601</v>
      </c>
      <c r="AH55">
        <f>IF(Backend!AI82="", "", Backend!AI82)</f>
        <v>0.38300705000000002</v>
      </c>
      <c r="AI55">
        <f>IF(Backend!AJ82="", "", Backend!AJ82)</f>
        <v>0.13371815000000001</v>
      </c>
      <c r="AJ55">
        <f>IF(Backend!AK82="", "", Backend!AK82)</f>
        <v>0.17186841</v>
      </c>
      <c r="AK55">
        <f>IF(Backend!AL82="", "", Backend!AL82)</f>
        <v>0.34533723999999999</v>
      </c>
      <c r="AL55">
        <f>IF(Backend!AM82="", "", Backend!AM82)</f>
        <v>0.21991479999999999</v>
      </c>
      <c r="AM55">
        <f>IF(Backend!AN82="", "", Backend!AN82)</f>
        <v>9.9740010000000004E-2</v>
      </c>
      <c r="AN55">
        <f>IF(Backend!AO82="", "", Backend!AO82)</f>
        <v>7.9145359999999998E-2</v>
      </c>
      <c r="AO55">
        <f>IF(Backend!AP82="", "", Backend!AP82)</f>
        <v>0.245195</v>
      </c>
      <c r="AP55">
        <f>IF(Backend!AQ82="", "", Backend!AQ82)</f>
        <v>0.28839818</v>
      </c>
      <c r="AQ55">
        <f>IF(Backend!AR82="", "", Backend!AR82)</f>
        <v>0.30574277</v>
      </c>
      <c r="AR55">
        <f>IF(Backend!AS82="", "", Backend!AS82)</f>
        <v>0.28299950000000001</v>
      </c>
      <c r="AS55">
        <f>IF(Backend!AT82="", "", Backend!AT82)</f>
        <v>0.28720304000000002</v>
      </c>
      <c r="AT55">
        <f>IF(Backend!AU82="", "", Backend!AU82)</f>
        <v>0.16324815000000001</v>
      </c>
      <c r="AU55">
        <f>IF(Backend!AV82="", "", Backend!AV82)</f>
        <v>0.19691052000000001</v>
      </c>
      <c r="AV55">
        <f>IF(Backend!AW82="", "", Backend!AW82)</f>
        <v>0.14276069999999999</v>
      </c>
      <c r="AW55">
        <f>IF(Backend!AX82="", "", Backend!AX82)</f>
        <v>0.27717772000000002</v>
      </c>
      <c r="AX55">
        <f>IF(Backend!AY82="", "", Backend!AY82)</f>
        <v>0.39526992999999999</v>
      </c>
      <c r="AY55">
        <f>IF(Backend!AZ82="", "", Backend!AZ82)</f>
        <v>0.60930079999999998</v>
      </c>
      <c r="AZ55">
        <f>IF(Backend!BA82="", "", Backend!BA82)</f>
        <v>0.59299343999999998</v>
      </c>
      <c r="BA55">
        <f>IF(Backend!BB82="", "", Backend!BB82)</f>
        <v>1</v>
      </c>
      <c r="BB55">
        <f>IF(Backend!BC82="", "", Backend!BC82)</f>
        <v>1.9549459999999999E-3</v>
      </c>
      <c r="BC55">
        <f>IF(Backend!BD82="", "", Backend!BD82)</f>
        <v>1.5275983E-2</v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>KDDI Corporation</v>
      </c>
      <c r="B56">
        <f>IF(Backend!C83="", "", Backend!C83)</f>
        <v>9.0487449999999997E-2</v>
      </c>
      <c r="C56">
        <f>IF(Backend!D83="", "", Backend!D83)</f>
        <v>0.22046214</v>
      </c>
      <c r="D56">
        <f>IF(Backend!E83="", "", Backend!E83)</f>
        <v>9.3819769999999997E-2</v>
      </c>
      <c r="E56">
        <f>IF(Backend!F83="", "", Backend!F83)</f>
        <v>7.6267059999999996E-3</v>
      </c>
      <c r="F56">
        <f>IF(Backend!G83="", "", Backend!G83)</f>
        <v>0.21230635</v>
      </c>
      <c r="G56">
        <f>IF(Backend!H83="", "", Backend!H83)</f>
        <v>0.23849020000000001</v>
      </c>
      <c r="H56">
        <f>IF(Backend!I83="", "", Backend!I83)</f>
        <v>-5.6444313000000003E-2</v>
      </c>
      <c r="I56">
        <f>IF(Backend!J83="", "", Backend!J83)</f>
        <v>0.13261672999999999</v>
      </c>
      <c r="J56">
        <f>IF(Backend!K83="", "", Backend!K83)</f>
        <v>0.102110706</v>
      </c>
      <c r="K56">
        <f>IF(Backend!L83="", "", Backend!L83)</f>
        <v>0.23711915</v>
      </c>
      <c r="L56">
        <f>IF(Backend!M83="", "", Backend!M83)</f>
        <v>0.23072533000000001</v>
      </c>
      <c r="M56">
        <f>IF(Backend!N83="", "", Backend!N83)</f>
        <v>0.46910723999999998</v>
      </c>
      <c r="N56">
        <f>IF(Backend!O83="", "", Backend!O83)</f>
        <v>0.10964750500000001</v>
      </c>
      <c r="O56">
        <f>IF(Backend!P83="", "", Backend!P83)</f>
        <v>0.14450774</v>
      </c>
      <c r="P56">
        <f>IF(Backend!Q83="", "", Backend!Q83)</f>
        <v>-8.121929E-2</v>
      </c>
      <c r="Q56">
        <f>IF(Backend!R83="", "", Backend!R83)</f>
        <v>2.4644012E-2</v>
      </c>
      <c r="R56">
        <f>IF(Backend!S83="", "", Backend!S83)</f>
        <v>0.27864625999999998</v>
      </c>
      <c r="S56">
        <f>IF(Backend!T83="", "", Backend!T83)</f>
        <v>0.18985726</v>
      </c>
      <c r="T56">
        <f>IF(Backend!U83="", "", Backend!U83)</f>
        <v>-1.0432412E-2</v>
      </c>
      <c r="U56">
        <f>IF(Backend!V83="", "", Backend!V83)</f>
        <v>7.5990594999999994E-2</v>
      </c>
      <c r="V56">
        <f>IF(Backend!W83="", "", Backend!W83)</f>
        <v>-4.1177314E-2</v>
      </c>
      <c r="W56">
        <f>IF(Backend!X83="", "", Backend!X83)</f>
        <v>0.12012397499999999</v>
      </c>
      <c r="X56">
        <f>IF(Backend!Y83="", "", Backend!Y83)</f>
        <v>0.1196917</v>
      </c>
      <c r="Y56">
        <f>IF(Backend!Z83="", "", Backend!Z83)</f>
        <v>0.40761122</v>
      </c>
      <c r="Z56">
        <f>IF(Backend!AA83="", "", Backend!AA83)</f>
        <v>0.1165978</v>
      </c>
      <c r="AA56">
        <f>IF(Backend!AB83="", "", Backend!AB83)</f>
        <v>0.25975682999999999</v>
      </c>
      <c r="AB56">
        <f>IF(Backend!AC83="", "", Backend!AC83)</f>
        <v>0.19643252</v>
      </c>
      <c r="AC56">
        <f>IF(Backend!AD83="", "", Backend!AD83)</f>
        <v>0.11992786</v>
      </c>
      <c r="AD56">
        <f>IF(Backend!AE83="", "", Backend!AE83)</f>
        <v>0.15281232</v>
      </c>
      <c r="AE56">
        <f>IF(Backend!AF83="", "", Backend!AF83)</f>
        <v>-3.2275329999999998E-2</v>
      </c>
      <c r="AF56">
        <f>IF(Backend!AG83="", "", Backend!AG83)</f>
        <v>0.4686032</v>
      </c>
      <c r="AG56">
        <f>IF(Backend!AH83="", "", Backend!AH83)</f>
        <v>8.8054320000000005E-2</v>
      </c>
      <c r="AH56">
        <f>IF(Backend!AI83="", "", Backend!AI83)</f>
        <v>0.26052627</v>
      </c>
      <c r="AI56">
        <f>IF(Backend!AJ83="", "", Backend!AJ83)</f>
        <v>0.49824739000000001</v>
      </c>
      <c r="AJ56">
        <f>IF(Backend!AK83="", "", Backend!AK83)</f>
        <v>0.14299724999999999</v>
      </c>
      <c r="AK56">
        <f>IF(Backend!AL83="", "", Backend!AL83)</f>
        <v>0.1027912</v>
      </c>
      <c r="AL56">
        <f>IF(Backend!AM83="", "", Backend!AM83)</f>
        <v>0.19257848</v>
      </c>
      <c r="AM56">
        <f>IF(Backend!AN83="", "", Backend!AN83)</f>
        <v>-1.5157986E-2</v>
      </c>
      <c r="AN56">
        <f>IF(Backend!AO83="", "", Backend!AO83)</f>
        <v>0.12709181</v>
      </c>
      <c r="AO56">
        <f>IF(Backend!AP83="", "", Backend!AP83)</f>
        <v>0.14660007</v>
      </c>
      <c r="AP56">
        <f>IF(Backend!AQ83="", "", Backend!AQ83)</f>
        <v>0.17524590000000001</v>
      </c>
      <c r="AQ56">
        <f>IF(Backend!AR83="", "", Backend!AR83)</f>
        <v>0.10679487</v>
      </c>
      <c r="AR56">
        <f>IF(Backend!AS83="", "", Backend!AS83)</f>
        <v>2.2270668E-2</v>
      </c>
      <c r="AS56">
        <f>IF(Backend!AT83="", "", Backend!AT83)</f>
        <v>0.13447334999999999</v>
      </c>
      <c r="AT56">
        <f>IF(Backend!AU83="", "", Backend!AU83)</f>
        <v>0.12680472000000001</v>
      </c>
      <c r="AU56">
        <f>IF(Backend!AV83="", "", Backend!AV83)</f>
        <v>9.2076850000000002E-2</v>
      </c>
      <c r="AV56">
        <f>IF(Backend!AW83="", "", Backend!AW83)</f>
        <v>0.10248089000000001</v>
      </c>
      <c r="AW56">
        <f>IF(Backend!AX83="", "", Backend!AX83)</f>
        <v>4.7593959999999998E-2</v>
      </c>
      <c r="AX56">
        <f>IF(Backend!AY83="", "", Backend!AY83)</f>
        <v>0.11284777</v>
      </c>
      <c r="AY56">
        <f>IF(Backend!AZ83="", "", Backend!AZ83)</f>
        <v>2.6324831E-2</v>
      </c>
      <c r="AZ56">
        <f>IF(Backend!BA83="", "", Backend!BA83)</f>
        <v>0.10385058</v>
      </c>
      <c r="BA56">
        <f>IF(Backend!BB83="", "", Backend!BB83)</f>
        <v>1.9549459999999999E-3</v>
      </c>
      <c r="BB56">
        <f>IF(Backend!BC83="", "", Backend!BC83)</f>
        <v>1</v>
      </c>
      <c r="BC56">
        <f>IF(Backend!BD83="", "", Backend!BD83)</f>
        <v>-6.0425524000000001E-2</v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>Petroleo Brasileiro SA Pfd</v>
      </c>
      <c r="B57">
        <f>IF(Backend!C84="", "", Backend!C84)</f>
        <v>9.3344084999999993E-2</v>
      </c>
      <c r="C57">
        <f>IF(Backend!D84="", "", Backend!D84)</f>
        <v>6.6088789999999994E-2</v>
      </c>
      <c r="D57">
        <f>IF(Backend!E84="", "", Backend!E84)</f>
        <v>0.12121844</v>
      </c>
      <c r="E57">
        <f>IF(Backend!F84="", "", Backend!F84)</f>
        <v>7.0079509999999998E-2</v>
      </c>
      <c r="F57">
        <f>IF(Backend!G84="", "", Backend!G84)</f>
        <v>9.1916949999999997E-2</v>
      </c>
      <c r="G57">
        <f>IF(Backend!H84="", "", Backend!H84)</f>
        <v>5.2354716000000003E-2</v>
      </c>
      <c r="H57">
        <f>IF(Backend!I84="", "", Backend!I84)</f>
        <v>0.1841284</v>
      </c>
      <c r="I57">
        <f>IF(Backend!J84="", "", Backend!J84)</f>
        <v>9.6641934999999998E-2</v>
      </c>
      <c r="J57">
        <f>IF(Backend!K84="", "", Backend!K84)</f>
        <v>4.3362662000000003E-2</v>
      </c>
      <c r="K57">
        <f>IF(Backend!L84="", "", Backend!L84)</f>
        <v>4.0177863000000001E-2</v>
      </c>
      <c r="L57">
        <f>IF(Backend!M84="", "", Backend!M84)</f>
        <v>8.2051314E-2</v>
      </c>
      <c r="M57">
        <f>IF(Backend!N84="", "", Backend!N84)</f>
        <v>8.3685049999999997E-2</v>
      </c>
      <c r="N57">
        <f>IF(Backend!O84="", "", Backend!O84)</f>
        <v>1.4801277E-2</v>
      </c>
      <c r="O57">
        <f>IF(Backend!P84="", "", Backend!P84)</f>
        <v>3.2514144000000002E-2</v>
      </c>
      <c r="P57">
        <f>IF(Backend!Q84="", "", Backend!Q84)</f>
        <v>8.1683640000000002E-2</v>
      </c>
      <c r="Q57">
        <f>IF(Backend!R84="", "", Backend!R84)</f>
        <v>0.124135286</v>
      </c>
      <c r="R57">
        <f>IF(Backend!S84="", "", Backend!S84)</f>
        <v>8.7751599999999999E-2</v>
      </c>
      <c r="S57">
        <f>IF(Backend!T84="", "", Backend!T84)</f>
        <v>0.11983190000000001</v>
      </c>
      <c r="T57">
        <f>IF(Backend!U84="", "", Backend!U84)</f>
        <v>0.13231308999999999</v>
      </c>
      <c r="U57">
        <f>IF(Backend!V84="", "", Backend!V84)</f>
        <v>-2.2508641999999999E-2</v>
      </c>
      <c r="V57">
        <f>IF(Backend!W84="", "", Backend!W84)</f>
        <v>0.10391598000000001</v>
      </c>
      <c r="W57">
        <f>IF(Backend!X84="", "", Backend!X84)</f>
        <v>6.9084199999999998E-2</v>
      </c>
      <c r="X57">
        <f>IF(Backend!Y84="", "", Backend!Y84)</f>
        <v>0.18756348</v>
      </c>
      <c r="Y57">
        <f>IF(Backend!Z84="", "", Backend!Z84)</f>
        <v>-2.1318581E-2</v>
      </c>
      <c r="Z57">
        <f>IF(Backend!AA84="", "", Backend!AA84)</f>
        <v>0.12890152999999999</v>
      </c>
      <c r="AA57">
        <f>IF(Backend!AB84="", "", Backend!AB84)</f>
        <v>-9.0180710000000008E-3</v>
      </c>
      <c r="AB57">
        <f>IF(Backend!AC84="", "", Backend!AC84)</f>
        <v>0.14295946000000001</v>
      </c>
      <c r="AC57">
        <f>IF(Backend!AD84="", "", Backend!AD84)</f>
        <v>8.7903949999999995E-2</v>
      </c>
      <c r="AD57">
        <f>IF(Backend!AE84="", "", Backend!AE84)</f>
        <v>0.114195965</v>
      </c>
      <c r="AE57">
        <f>IF(Backend!AF84="", "", Backend!AF84)</f>
        <v>0.15691910000000001</v>
      </c>
      <c r="AF57">
        <f>IF(Backend!AG84="", "", Backend!AG84)</f>
        <v>6.7803279999999994E-2</v>
      </c>
      <c r="AG57">
        <f>IF(Backend!AH84="", "", Backend!AH84)</f>
        <v>5.9846660000000003E-2</v>
      </c>
      <c r="AH57">
        <f>IF(Backend!AI84="", "", Backend!AI84)</f>
        <v>5.5991699999999998E-2</v>
      </c>
      <c r="AI57">
        <f>IF(Backend!AJ84="", "", Backend!AJ84)</f>
        <v>6.6663235000000001E-2</v>
      </c>
      <c r="AJ57">
        <f>IF(Backend!AK84="", "", Backend!AK84)</f>
        <v>8.9035324999999998E-2</v>
      </c>
      <c r="AK57">
        <f>IF(Backend!AL84="", "", Backend!AL84)</f>
        <v>0.13109232000000001</v>
      </c>
      <c r="AL57">
        <f>IF(Backend!AM84="", "", Backend!AM84)</f>
        <v>7.4859894999999996E-2</v>
      </c>
      <c r="AM57">
        <f>IF(Backend!AN84="", "", Backend!AN84)</f>
        <v>0.38710444999999999</v>
      </c>
      <c r="AN57">
        <f>IF(Backend!AO84="", "", Backend!AO84)</f>
        <v>-7.3670070000000004E-2</v>
      </c>
      <c r="AO57">
        <f>IF(Backend!AP84="", "", Backend!AP84)</f>
        <v>0.26043135000000001</v>
      </c>
      <c r="AP57">
        <f>IF(Backend!AQ84="", "", Backend!AQ84)</f>
        <v>8.9299539999999997E-2</v>
      </c>
      <c r="AQ57">
        <f>IF(Backend!AR84="", "", Backend!AR84)</f>
        <v>0.36802439999999997</v>
      </c>
      <c r="AR57">
        <f>IF(Backend!AS84="", "", Backend!AS84)</f>
        <v>0.29747894000000003</v>
      </c>
      <c r="AS57">
        <f>IF(Backend!AT84="", "", Backend!AT84)</f>
        <v>1.4484393999999999E-2</v>
      </c>
      <c r="AT57">
        <f>IF(Backend!AU84="", "", Backend!AU84)</f>
        <v>8.9597314999999997E-2</v>
      </c>
      <c r="AU57">
        <f>IF(Backend!AV84="", "", Backend!AV84)</f>
        <v>8.0021709999999996E-2</v>
      </c>
      <c r="AV57">
        <f>IF(Backend!AW84="", "", Backend!AW84)</f>
        <v>0.10634402</v>
      </c>
      <c r="AW57">
        <f>IF(Backend!AX84="", "", Backend!AX84)</f>
        <v>0.22165725</v>
      </c>
      <c r="AX57">
        <f>IF(Backend!AY84="", "", Backend!AY84)</f>
        <v>3.3929434000000001E-2</v>
      </c>
      <c r="AY57">
        <f>IF(Backend!AZ84="", "", Backend!AZ84)</f>
        <v>0.16189898999999999</v>
      </c>
      <c r="AZ57">
        <f>IF(Backend!BA84="", "", Backend!BA84)</f>
        <v>9.8015815000000006E-2</v>
      </c>
      <c r="BA57">
        <f>IF(Backend!BB84="", "", Backend!BB84)</f>
        <v>1.5275983E-2</v>
      </c>
      <c r="BB57">
        <f>IF(Backend!BC84="", "", Backend!BC84)</f>
        <v>-6.0425524000000001E-2</v>
      </c>
      <c r="BC57">
        <f>IF(Backend!BD84="", "", Backend!BD84)</f>
        <v>1</v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/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/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/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/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/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/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/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/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/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/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/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/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/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/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/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/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/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/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/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/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/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/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/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/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/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>
      <selection activeCell="C3" sqref="C3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14" t="s">
        <v>64</v>
      </c>
    </row>
    <row r="4" spans="2:13" x14ac:dyDescent="0.25">
      <c r="B4" t="s">
        <v>0</v>
      </c>
    </row>
    <row r="5" spans="2:13" x14ac:dyDescent="0.25">
      <c r="C5" s="8" t="s">
        <v>37</v>
      </c>
      <c r="D5" t="str" cm="1">
        <f t="array" ref="D5">_xll.FDSC("-",C5,"PROPER_NAME")</f>
        <v>Hon Hai Precision Industry Co., Ltd.</v>
      </c>
      <c r="E5" s="8" t="s">
        <v>43</v>
      </c>
      <c r="F5" t="str" cm="1">
        <f t="array" ref="F5">_xll.FDSC("-",E5,"PROPER_NAME")</f>
        <v>Bank of Ireland Group Plc</v>
      </c>
      <c r="G5" s="8" t="s">
        <v>60</v>
      </c>
      <c r="H5" t="str" cm="1">
        <f t="array" ref="H5">_xll.FDSC("-",G5,"PROPER_NAME")</f>
        <v>Bridgestone Corporation</v>
      </c>
      <c r="I5" s="8" t="s">
        <v>52</v>
      </c>
      <c r="J5" t="str" cm="1">
        <f t="array" ref="J5">_xll.FDSC("-",I5,"PROPER_NAME")</f>
        <v>Renault SA</v>
      </c>
      <c r="K5" s="8"/>
    </row>
    <row r="6" spans="2:13" x14ac:dyDescent="0.25">
      <c r="C6" s="8" t="s">
        <v>14</v>
      </c>
      <c r="D6" t="str" cm="1">
        <f t="array" ref="D6">_xll.FDSC("-",C6,"PROPER_NAME")</f>
        <v>GSK plc</v>
      </c>
      <c r="E6" s="8" t="s">
        <v>26</v>
      </c>
      <c r="F6" t="str" cm="1">
        <f t="array" ref="F6">_xll.FDSC("-",E6,"PROPER_NAME")</f>
        <v>Koninklijke Ahold Delhaize N.V.</v>
      </c>
      <c r="G6" s="8" t="s">
        <v>29</v>
      </c>
      <c r="H6" t="str" cm="1">
        <f t="array" ref="H6">_xll.FDSC("-",G6,"PROPER_NAME")</f>
        <v>Burberry Group plc</v>
      </c>
      <c r="I6" s="8" t="s">
        <v>53</v>
      </c>
      <c r="J6" t="str" cm="1">
        <f t="array" ref="J6">_xll.FDSC("-",I6,"PROPER_NAME")</f>
        <v>Alibaba Group Holding Limited</v>
      </c>
      <c r="K6" s="8"/>
      <c r="M6" s="5"/>
    </row>
    <row r="7" spans="2:13" x14ac:dyDescent="0.25">
      <c r="C7" s="8" t="s">
        <v>32</v>
      </c>
      <c r="D7" t="str" cm="1">
        <f t="array" ref="D7">_xll.FDSC("-",C7,"PROPER_NAME")</f>
        <v>Continental AG</v>
      </c>
      <c r="E7" s="8" t="s">
        <v>44</v>
      </c>
      <c r="F7" t="str" cm="1">
        <f t="array" ref="F7">_xll.FDSC("-",E7,"PROPER_NAME")</f>
        <v>ageas SA/NV</v>
      </c>
      <c r="G7" s="8" t="s">
        <v>61</v>
      </c>
      <c r="H7" t="str" cm="1">
        <f t="array" ref="H7">_xll.FDSC("-",G7,"PROPER_NAME")</f>
        <v>British Land Company PLC</v>
      </c>
      <c r="I7" s="8" t="s">
        <v>54</v>
      </c>
      <c r="J7" t="str" cm="1">
        <f t="array" ref="J7">_xll.FDSC("-",I7,"PROPER_NAME")</f>
        <v>Rio Tinto plc</v>
      </c>
      <c r="K7" s="8"/>
    </row>
    <row r="8" spans="2:13" x14ac:dyDescent="0.25">
      <c r="C8" s="8" t="s">
        <v>38</v>
      </c>
      <c r="D8" t="str" cm="1">
        <f t="array" ref="D8">_xll.FDSC("-",C8,"PROPER_NAME")</f>
        <v>Barclays PLC</v>
      </c>
      <c r="E8" s="8" t="s">
        <v>45</v>
      </c>
      <c r="F8" t="str" cm="1">
        <f t="array" ref="F8">_xll.FDSC("-",E8,"PROPER_NAME")</f>
        <v>ABN AMRO Bank N.V. Depositary receipts</v>
      </c>
      <c r="G8" s="8" t="s">
        <v>11</v>
      </c>
      <c r="H8" t="str" cm="1">
        <f t="array" ref="H8">_xll.FDSC("-",G8,"PROPER_NAME")</f>
        <v>MEDIPAL HOLDINGS Corporation</v>
      </c>
      <c r="I8" s="8" t="s">
        <v>55</v>
      </c>
      <c r="J8" t="str" cm="1">
        <f t="array" ref="J8">_xll.FDSC("-",I8,"PROPER_NAME")</f>
        <v>Evonik Industries AG</v>
      </c>
      <c r="K8" s="8"/>
    </row>
    <row r="9" spans="2:13" x14ac:dyDescent="0.25">
      <c r="C9" s="8" t="s">
        <v>33</v>
      </c>
      <c r="D9" t="str" cm="1">
        <f t="array" ref="D9">_xll.FDSC("-",C9,"PROPER_NAME")</f>
        <v>Sanofi SA</v>
      </c>
      <c r="E9" s="8" t="s">
        <v>46</v>
      </c>
      <c r="F9" t="str" cm="1">
        <f t="array" ref="F9">_xll.FDSC("-",E9,"PROPER_NAME")</f>
        <v>Tesco PLC</v>
      </c>
      <c r="G9" s="8" t="s">
        <v>27</v>
      </c>
      <c r="H9" t="str" cm="1">
        <f t="array" ref="H9">_xll.FDSC("-",G9,"PROPER_NAME")</f>
        <v>ROHM Company Limited</v>
      </c>
      <c r="I9" s="8" t="s">
        <v>56</v>
      </c>
      <c r="J9" t="str" cm="1">
        <f t="array" ref="J9">_xll.FDSC("-",I9,"PROPER_NAME")</f>
        <v>HSBC Holdings Plc</v>
      </c>
      <c r="K9" s="8"/>
    </row>
    <row r="10" spans="2:13" x14ac:dyDescent="0.25">
      <c r="C10" s="8" t="s">
        <v>39</v>
      </c>
      <c r="D10" t="str" cm="1">
        <f t="array" ref="D10">_xll.FDSC("-",C10,"PROPER_NAME")</f>
        <v>Roche Holding Ltd Dividend Right Cert.</v>
      </c>
      <c r="E10" s="8" t="s">
        <v>12</v>
      </c>
      <c r="F10" t="str" cm="1">
        <f t="array" ref="F10">_xll.FDSC("-",E10,"PROPER_NAME")</f>
        <v>Societe Generale S.A. Class A</v>
      </c>
      <c r="G10" s="8" t="s">
        <v>21</v>
      </c>
      <c r="H10" t="str" cm="1">
        <f t="array" ref="H10">_xll.FDSC("-",G10,"PROPER_NAME")</f>
        <v>BASF SE</v>
      </c>
      <c r="I10" s="8" t="s">
        <v>57</v>
      </c>
      <c r="J10" t="str" cm="1">
        <f t="array" ref="J10">_xll.FDSC("-",I10,"PROPER_NAME")</f>
        <v>UniCredit S.p.A.</v>
      </c>
      <c r="K10" s="8"/>
    </row>
    <row r="11" spans="2:13" x14ac:dyDescent="0.25">
      <c r="C11" s="8" t="s">
        <v>40</v>
      </c>
      <c r="D11" t="str" cm="1">
        <f t="array" ref="D11">_xll.FDSC("-",C11,"PROPER_NAME")</f>
        <v>Prudential plc</v>
      </c>
      <c r="E11" s="8" t="s">
        <v>47</v>
      </c>
      <c r="F11" t="str" cm="1">
        <f t="array" ref="F11">_xll.FDSC("-",E11,"PROPER_NAME")</f>
        <v>Imperial Brands PLC</v>
      </c>
      <c r="G11" s="8" t="s">
        <v>31</v>
      </c>
      <c r="H11" t="str" cm="1">
        <f t="array" ref="H11">_xll.FDSC("-",G11,"PROPER_NAME")</f>
        <v>Carrefour SA</v>
      </c>
      <c r="I11" s="8" t="s">
        <v>17</v>
      </c>
      <c r="J11" t="str" cm="1">
        <f t="array" ref="J11">_xll.FDSC("-",I11,"PROPER_NAME")</f>
        <v>NatWest Group Plc</v>
      </c>
      <c r="K11" s="8"/>
    </row>
    <row r="12" spans="2:13" x14ac:dyDescent="0.25">
      <c r="C12" s="8" t="s">
        <v>25</v>
      </c>
      <c r="D12" t="str" cm="1">
        <f t="array" ref="D12">_xll.FDSC("-",C12,"PROPER_NAME")</f>
        <v>BT Group plc</v>
      </c>
      <c r="E12" s="8" t="s">
        <v>36</v>
      </c>
      <c r="F12" t="str" cm="1">
        <f t="array" ref="F12">_xll.FDSC("-",E12,"PROPER_NAME")</f>
        <v>WPP Plc</v>
      </c>
      <c r="G12" s="8" t="s">
        <v>19</v>
      </c>
      <c r="H12" t="str" cm="1">
        <f t="array" ref="H12">_xll.FDSC("-",G12,"PROPER_NAME")</f>
        <v>Ternium S.A. Sponsored ADR</v>
      </c>
      <c r="I12" s="8" t="s">
        <v>58</v>
      </c>
      <c r="J12" t="str" cm="1">
        <f t="array" ref="J12">_xll.FDSC("-",I12,"PROPER_NAME")</f>
        <v>KDDI Corporation</v>
      </c>
      <c r="K12" s="8"/>
    </row>
    <row r="13" spans="2:13" x14ac:dyDescent="0.25">
      <c r="C13" s="8" t="s">
        <v>28</v>
      </c>
      <c r="D13" t="str" cm="1">
        <f t="array" ref="D13">_xll.FDSC("-",C13,"PROPER_NAME")</f>
        <v>Vodafone Group Public Limited Company</v>
      </c>
      <c r="E13" s="8" t="s">
        <v>48</v>
      </c>
      <c r="F13" t="str" cm="1">
        <f t="array" ref="F13">_xll.FDSC("-",E13,"PROPER_NAME")</f>
        <v>Panasonic Holdings Corporation</v>
      </c>
      <c r="G13" s="8" t="s">
        <v>16</v>
      </c>
      <c r="H13" t="str" cm="1">
        <f t="array" ref="H13">_xll.FDSC("-",G13,"PROPER_NAME")</f>
        <v>Anhui Conch Cement Company Limited Class H</v>
      </c>
      <c r="I13" s="8" t="s">
        <v>59</v>
      </c>
      <c r="J13" t="str" cm="1">
        <f t="array" ref="J13">_xll.FDSC("-",I13,"PROPER_NAME")</f>
        <v>Petroleo Brasileiro SA Pfd</v>
      </c>
      <c r="K13" s="8"/>
    </row>
    <row r="14" spans="2:13" x14ac:dyDescent="0.25">
      <c r="C14" s="8" t="s">
        <v>41</v>
      </c>
      <c r="D14" t="str" cm="1">
        <f t="array" ref="D14">_xll.FDSC("-",C14,"PROPER_NAME")</f>
        <v>Henkel AG &amp; Co. KGaA Pref</v>
      </c>
      <c r="E14" s="8" t="s">
        <v>18</v>
      </c>
      <c r="F14" t="str" cm="1">
        <f t="array" ref="F14">_xll.FDSC("-",E14,"PROPER_NAME")</f>
        <v>Swatch Group Ltd. Bearer</v>
      </c>
      <c r="G14" s="8" t="s">
        <v>62</v>
      </c>
      <c r="H14" t="str" cm="1">
        <f t="array" ref="H14">_xll.FDSC("-",G14,"PROPER_NAME")</f>
        <v>OMV AG</v>
      </c>
      <c r="I14" s="8"/>
      <c r="J14" t="str" cm="1">
        <f t="array" ref="J14">_xll.FDSC("-",I14,"PROPER_NAME")</f>
        <v>-</v>
      </c>
      <c r="K14" s="8"/>
    </row>
    <row r="15" spans="2:13" x14ac:dyDescent="0.25">
      <c r="C15" s="8" t="s">
        <v>22</v>
      </c>
      <c r="D15" t="str" cm="1">
        <f t="array" ref="D15">_xll.FDSC("-",C15,"PROPER_NAME")</f>
        <v>KB Financial Group Inc.</v>
      </c>
      <c r="E15" s="8" t="s">
        <v>34</v>
      </c>
      <c r="F15" t="str" cm="1">
        <f t="array" ref="F15">_xll.FDSC("-",E15,"PROPER_NAME")</f>
        <v>Dentsu Group Inc.</v>
      </c>
      <c r="G15" s="8" t="s">
        <v>30</v>
      </c>
      <c r="H15" t="str" cm="1">
        <f t="array" ref="H15">_xll.FDSC("-",G15,"PROPER_NAME")</f>
        <v>Volkswagen AG Pref</v>
      </c>
      <c r="I15" s="8"/>
      <c r="J15" t="str" cm="1">
        <f t="array" ref="J15">_xll.FDSC("-",I15,"PROPER_NAME")</f>
        <v>-</v>
      </c>
      <c r="K15" s="8"/>
    </row>
    <row r="16" spans="2:13" x14ac:dyDescent="0.25">
      <c r="C16" s="8" t="s">
        <v>20</v>
      </c>
      <c r="D16" t="str" cm="1">
        <f t="array" ref="D16">_xll.FDSC("-",C16,"PROPER_NAME")</f>
        <v>Nippon Television Holdings, Inc.</v>
      </c>
      <c r="E16" s="8" t="s">
        <v>49</v>
      </c>
      <c r="F16" t="str" cm="1">
        <f t="array" ref="F16">_xll.FDSC("-",E16,"PROPER_NAME")</f>
        <v>Randstad NV</v>
      </c>
      <c r="G16" s="8" t="s">
        <v>10</v>
      </c>
      <c r="H16" t="str" cm="1">
        <f t="array" ref="H16">_xll.FDSC("-",G16,"PROPER_NAME")</f>
        <v>Eni S.p.A.</v>
      </c>
      <c r="I16" s="8"/>
      <c r="J16" t="str" cm="1">
        <f t="array" ref="J16">_xll.FDSC("-",I16,"PROPER_NAME")</f>
        <v>-</v>
      </c>
      <c r="K16" s="8"/>
    </row>
    <row r="17" spans="1:77" x14ac:dyDescent="0.25">
      <c r="C17" s="8" t="s">
        <v>42</v>
      </c>
      <c r="D17" t="str" cm="1">
        <f t="array" ref="D17">_xll.FDSC("-",C17,"PROPER_NAME")</f>
        <v>British American Tobacco p.l.c.</v>
      </c>
      <c r="E17" s="8" t="s">
        <v>50</v>
      </c>
      <c r="F17" t="str" cm="1">
        <f t="array" ref="F17">_xll.FDSC("-",E17,"PROPER_NAME")</f>
        <v>BNP Paribas S.A. Class A</v>
      </c>
      <c r="G17" s="8" t="s">
        <v>24</v>
      </c>
      <c r="H17" t="str" cm="1">
        <f t="array" ref="H17">_xll.FDSC("-",G17,"PROPER_NAME")</f>
        <v>Repsol SA</v>
      </c>
      <c r="I17" s="8"/>
      <c r="J17" t="str" cm="1">
        <f t="array" ref="J17">_xll.FDSC("-",I17,"PROPER_NAME")</f>
        <v>-</v>
      </c>
      <c r="K17" s="8"/>
    </row>
    <row r="18" spans="1:77" x14ac:dyDescent="0.25">
      <c r="C18" s="8" t="s">
        <v>35</v>
      </c>
      <c r="D18" t="str" cm="1">
        <f t="array" ref="D18">_xll.FDSC("-",C18,"PROPER_NAME")</f>
        <v>Shinhan Financial Group Co., Ltd.</v>
      </c>
      <c r="E18" s="8" t="s">
        <v>51</v>
      </c>
      <c r="F18" t="str" cm="1">
        <f t="array" ref="F18">_xll.FDSC("-",E18,"PROPER_NAME")</f>
        <v>AXA SA</v>
      </c>
      <c r="G18" s="8" t="s">
        <v>63</v>
      </c>
      <c r="H18" t="str" cm="1">
        <f t="array" ref="H18">_xll.FDSC("-",G18,"PROPER_NAME")</f>
        <v>Deutsche Lufthansa AG</v>
      </c>
      <c r="I18" s="8"/>
      <c r="J18" t="str" cm="1">
        <f t="array" ref="J18">_xll.FDSC("-",I18,"PROPER_NAME")</f>
        <v>-</v>
      </c>
      <c r="K18" s="8"/>
    </row>
    <row r="19" spans="1:77" x14ac:dyDescent="0.25">
      <c r="C19" s="8" t="s">
        <v>15</v>
      </c>
      <c r="D19" t="str" cm="1">
        <f t="array" ref="D19">_xll.FDSC("-",C19,"PROPER_NAME")</f>
        <v>Standard Chartered PLC</v>
      </c>
      <c r="E19" s="8" t="s">
        <v>13</v>
      </c>
      <c r="F19" t="str" cm="1">
        <f t="array" ref="F19">_xll.FDSC("-",E19,"PROPER_NAME")</f>
        <v>Anglo American plc</v>
      </c>
      <c r="G19" s="8" t="s">
        <v>23</v>
      </c>
      <c r="H19" t="str" cm="1">
        <f t="array" ref="H19">_xll.FDSC("-",G19,"PROPER_NAME")</f>
        <v>Kering SA</v>
      </c>
      <c r="I19" s="8"/>
      <c r="J19" t="str" cm="1">
        <f t="array" ref="J19">_xll.FDSC("-",I19,"PROPER_NAME")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",TRUE,C5:C23,E5:E23,G5:G23,I5:I23)&amp;"');""FDS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Hon Hai Precision Industry Co., Ltd.</v>
      </c>
      <c r="D29" t="str" cm="1">
        <f t="array" ref="D29">_xll.FDS(D30,"FG_COMPANY_NAME")</f>
        <v>GSK plc</v>
      </c>
      <c r="E29" t="str" cm="1">
        <f t="array" ref="E29">_xll.FDS(E30,"FG_COMPANY_NAME")</f>
        <v>Continental AG</v>
      </c>
      <c r="F29" t="str" cm="1">
        <f t="array" ref="F29">_xll.FDS(F30,"FG_COMPANY_NAME")</f>
        <v>Barclays PLC</v>
      </c>
      <c r="G29" t="str" cm="1">
        <f t="array" ref="G29">_xll.FDS(G30,"FG_COMPANY_NAME")</f>
        <v>Sanofi SA</v>
      </c>
      <c r="H29" t="str" cm="1">
        <f t="array" ref="H29">_xll.FDS(H30,"FG_COMPANY_NAME")</f>
        <v>Roche Holding Ltd Dividend Right Cert.</v>
      </c>
      <c r="I29" t="str" cm="1">
        <f t="array" ref="I29">_xll.FDS(I30,"FG_COMPANY_NAME")</f>
        <v>Prudential plc</v>
      </c>
      <c r="J29" t="str" cm="1">
        <f t="array" ref="J29">_xll.FDS(J30,"FG_COMPANY_NAME")</f>
        <v>BT Group plc</v>
      </c>
      <c r="K29" t="str" cm="1">
        <f t="array" ref="K29">_xll.FDS(K30,"FG_COMPANY_NAME")</f>
        <v>Vodafone Group Public Limited Company</v>
      </c>
      <c r="L29" t="str" cm="1">
        <f t="array" ref="L29">_xll.FDS(L30,"FG_COMPANY_NAME")</f>
        <v>Henkel AG &amp; Co. KGaA Pref</v>
      </c>
      <c r="M29" t="str" cm="1">
        <f t="array" ref="M29">_xll.FDS(M30,"FG_COMPANY_NAME")</f>
        <v>KB Financial Group Inc.</v>
      </c>
      <c r="N29" t="str" cm="1">
        <f t="array" ref="N29">_xll.FDS(N30,"FG_COMPANY_NAME")</f>
        <v>Nippon Television Holdings, Inc.</v>
      </c>
      <c r="O29" t="str" cm="1">
        <f t="array" ref="O29">_xll.FDS(O30,"FG_COMPANY_NAME")</f>
        <v>British American Tobacco p.l.c.</v>
      </c>
      <c r="P29" t="str" cm="1">
        <f t="array" ref="P29">_xll.FDS(P30,"FG_COMPANY_NAME")</f>
        <v>Shinhan Financial Group Co., Ltd.</v>
      </c>
      <c r="Q29" t="str" cm="1">
        <f t="array" ref="Q29">_xll.FDS(Q30,"FG_COMPANY_NAME")</f>
        <v>Standard Chartered PLC</v>
      </c>
      <c r="R29" t="str" cm="1">
        <f t="array" ref="R29">_xll.FDS(R30,"FG_COMPANY_NAME")</f>
        <v>Bank of Ireland Group Plc</v>
      </c>
      <c r="S29" t="str" cm="1">
        <f t="array" ref="S29">_xll.FDS(S30,"FG_COMPANY_NAME")</f>
        <v>Koninklijke Ahold Delhaize N.V.</v>
      </c>
      <c r="T29" t="str" cm="1">
        <f t="array" ref="T29">_xll.FDS(T30,"FG_COMPANY_NAME")</f>
        <v>ageas SA/NV</v>
      </c>
      <c r="U29" t="str" cm="1">
        <f t="array" ref="U29">_xll.FDS(U30,"FG_COMPANY_NAME")</f>
        <v>ABN AMRO Bank N.V. Depositary receipts</v>
      </c>
      <c r="V29" t="str" cm="1">
        <f t="array" ref="V29">_xll.FDS(V30,"FG_COMPANY_NAME")</f>
        <v>Tesco PLC</v>
      </c>
      <c r="W29" t="str" cm="1">
        <f t="array" ref="W29">_xll.FDS(W30,"FG_COMPANY_NAME")</f>
        <v>Societe Generale S.A. Class A</v>
      </c>
      <c r="X29" t="str" cm="1">
        <f t="array" ref="X29">_xll.FDS(X30,"FG_COMPANY_NAME")</f>
        <v>Imperial Brands PLC</v>
      </c>
      <c r="Y29" t="str" cm="1">
        <f t="array" ref="Y29">_xll.FDS(Y30,"FG_COMPANY_NAME")</f>
        <v>WPP Plc</v>
      </c>
      <c r="Z29" t="str" cm="1">
        <f t="array" ref="Z29">_xll.FDS(Z30,"FG_COMPANY_NAME")</f>
        <v>Panasonic Holdings Corporation</v>
      </c>
      <c r="AA29" t="str" cm="1">
        <f t="array" ref="AA29">_xll.FDS(AA30,"FG_COMPANY_NAME")</f>
        <v>Swatch Group Ltd. Bearer</v>
      </c>
      <c r="AB29" t="str" cm="1">
        <f t="array" ref="AB29">_xll.FDS(AB30,"FG_COMPANY_NAME")</f>
        <v>Dentsu Group Inc.</v>
      </c>
      <c r="AC29" t="str" cm="1">
        <f t="array" ref="AC29">_xll.FDS(AC30,"FG_COMPANY_NAME")</f>
        <v>Randstad NV</v>
      </c>
      <c r="AD29" t="str" cm="1">
        <f t="array" ref="AD29">_xll.FDS(AD30,"FG_COMPANY_NAME")</f>
        <v>BNP Paribas S.A. Class A</v>
      </c>
      <c r="AE29" t="str" cm="1">
        <f t="array" ref="AE29">_xll.FDS(AE30,"FG_COMPANY_NAME")</f>
        <v>AXA SA</v>
      </c>
      <c r="AF29" t="str" cm="1">
        <f t="array" ref="AF29">_xll.FDS(AF30,"FG_COMPANY_NAME")</f>
        <v>Anglo American plc</v>
      </c>
      <c r="AG29" t="str" cm="1">
        <f t="array" ref="AG29">_xll.FDS(AG30,"FG_COMPANY_NAME")</f>
        <v>Bridgestone Corporation</v>
      </c>
      <c r="AH29" t="str" cm="1">
        <f t="array" ref="AH29">_xll.FDS(AH30,"FG_COMPANY_NAME")</f>
        <v>Burberry Group plc</v>
      </c>
      <c r="AI29" t="str" cm="1">
        <f t="array" ref="AI29">_xll.FDS(AI30,"FG_COMPANY_NAME")</f>
        <v>British Land Company PLC</v>
      </c>
      <c r="AJ29" t="str" cm="1">
        <f t="array" ref="AJ29">_xll.FDS(AJ30,"FG_COMPANY_NAME")</f>
        <v>MEDIPAL HOLDINGS Corporation</v>
      </c>
      <c r="AK29" t="str" cm="1">
        <f t="array" ref="AK29">_xll.FDS(AK30,"FG_COMPANY_NAME")</f>
        <v>ROHM Company Limited</v>
      </c>
      <c r="AL29" t="str" cm="1">
        <f t="array" ref="AL29">_xll.FDS(AL30,"FG_COMPANY_NAME")</f>
        <v>BASF SE</v>
      </c>
      <c r="AM29" t="str" cm="1">
        <f t="array" ref="AM29">_xll.FDS(AM30,"FG_COMPANY_NAME")</f>
        <v>Carrefour SA</v>
      </c>
      <c r="AN29" t="str" cm="1">
        <f t="array" ref="AN29">_xll.FDS(AN30,"FG_COMPANY_NAME")</f>
        <v>Ternium S.A. Sponsored ADR</v>
      </c>
      <c r="AO29" t="str" cm="1">
        <f t="array" ref="AO29">_xll.FDS(AO30,"FG_COMPANY_NAME")</f>
        <v>Anhui Conch Cement Company Limited Class H</v>
      </c>
      <c r="AP29" t="str" cm="1">
        <f t="array" ref="AP29">_xll.FDS(AP30,"FG_COMPANY_NAME")</f>
        <v>OMV AG</v>
      </c>
      <c r="AQ29" t="str" cm="1">
        <f t="array" ref="AQ29">_xll.FDS(AQ30,"FG_COMPANY_NAME")</f>
        <v>Volkswagen AG Pref</v>
      </c>
      <c r="AR29" t="str" cm="1">
        <f t="array" ref="AR29">_xll.FDS(AR30,"FG_COMPANY_NAME")</f>
        <v>Eni S.p.A.</v>
      </c>
      <c r="AS29" t="str" cm="1">
        <f t="array" ref="AS29">_xll.FDS(AS30,"FG_COMPANY_NAME")</f>
        <v>Repsol SA</v>
      </c>
      <c r="AT29" t="str" cm="1">
        <f t="array" ref="AT29">_xll.FDS(AT30,"FG_COMPANY_NAME")</f>
        <v>Deutsche Lufthansa AG</v>
      </c>
      <c r="AU29" t="str" cm="1">
        <f t="array" ref="AU29">_xll.FDS(AU30,"FG_COMPANY_NAME")</f>
        <v>Kering SA</v>
      </c>
      <c r="AV29" t="str" cm="1">
        <f t="array" ref="AV29">_xll.FDS(AV30,"FG_COMPANY_NAME")</f>
        <v>Renault SA</v>
      </c>
      <c r="AW29" t="str" cm="1">
        <f t="array" ref="AW29">_xll.FDS(AW30,"FG_COMPANY_NAME")</f>
        <v>Alibaba Group Holding Limited</v>
      </c>
      <c r="AX29" t="str" cm="1">
        <f t="array" ref="AX29">_xll.FDS(AX30,"FG_COMPANY_NAME")</f>
        <v>Rio Tinto plc</v>
      </c>
      <c r="AY29" t="str" cm="1">
        <f t="array" ref="AY29">_xll.FDS(AY30,"FG_COMPANY_NAME")</f>
        <v>Evonik Industries AG</v>
      </c>
      <c r="AZ29" t="str" cm="1">
        <f t="array" ref="AZ29">_xll.FDS(AZ30,"FG_COMPANY_NAME")</f>
        <v>HSBC Holdings Plc</v>
      </c>
      <c r="BA29" t="str" cm="1">
        <f t="array" ref="BA29">_xll.FDS(BA30,"FG_COMPANY_NAME")</f>
        <v>UniCredit S.p.A.</v>
      </c>
      <c r="BB29" t="str" cm="1">
        <f t="array" ref="BB29">_xll.FDS(BB30,"FG_COMPANY_NAME")</f>
        <v>NatWest Group Plc</v>
      </c>
      <c r="BC29" t="str" cm="1">
        <f t="array" ref="BC29">_xll.FDS(BC30,"FG_COMPANY_NAME")</f>
        <v>KDDI Corporation</v>
      </c>
      <c r="BD29" t="str" cm="1">
        <f t="array" ref="BD29">_xll.FDS(BD30,"FG_COMPANY_NAME")</f>
        <v>Petroleo Brasileiro SA Pfd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BD30">_xll.FDSR(V27,"IDS")</f>
        <v>2317-TW</v>
      </c>
      <c r="D30" s="6" t="str">
        <v>GSK-GB</v>
      </c>
      <c r="E30" s="6" t="str">
        <v>CON-DE</v>
      </c>
      <c r="F30" s="6" t="str">
        <v>BARC-GB</v>
      </c>
      <c r="G30" s="6" t="str">
        <v>SAN-FR</v>
      </c>
      <c r="H30" s="6" t="str">
        <v>ROG-CH</v>
      </c>
      <c r="I30" s="6" t="str">
        <v>PRU-GB</v>
      </c>
      <c r="J30" s="6" t="str">
        <v>BT.A-GB</v>
      </c>
      <c r="K30" s="6" t="str">
        <v>VOD-GB</v>
      </c>
      <c r="L30" s="6" t="str">
        <v>HEN3-DE</v>
      </c>
      <c r="M30" s="6" t="str">
        <v>105560-KR</v>
      </c>
      <c r="N30" s="6" t="str">
        <v>9404-JP</v>
      </c>
      <c r="O30" s="6" t="str">
        <v>BATS-GB</v>
      </c>
      <c r="P30" s="6" t="str">
        <v>055550-KR</v>
      </c>
      <c r="Q30" s="4" t="str">
        <v>STAN-GB</v>
      </c>
      <c r="R30" s="4" t="str">
        <v>BIRG-IE</v>
      </c>
      <c r="S30" s="4" t="str">
        <v>AD-NL</v>
      </c>
      <c r="T30" s="4" t="str">
        <v>AGS-BE</v>
      </c>
      <c r="U30" s="4" t="str">
        <v>ABN-NL</v>
      </c>
      <c r="V30" s="4" t="str">
        <v>TSCO-GB</v>
      </c>
      <c r="W30" s="4" t="str">
        <v>GLE-FR</v>
      </c>
      <c r="X30" s="4" t="str">
        <v>IMB-GB</v>
      </c>
      <c r="Y30" s="4" t="str">
        <v>WPP-GB</v>
      </c>
      <c r="Z30" s="4" t="str">
        <v>6752-JP</v>
      </c>
      <c r="AA30" s="4" t="str">
        <v>UHR-CH</v>
      </c>
      <c r="AB30" s="4" t="str">
        <v>4324-JP</v>
      </c>
      <c r="AC30" s="4" t="str">
        <v>RAND-NL</v>
      </c>
      <c r="AD30" s="4" t="str">
        <v>BNP-FR</v>
      </c>
      <c r="AE30" s="4" t="str">
        <v>CS-FR</v>
      </c>
      <c r="AF30" s="4" t="str">
        <v>AAL-GB</v>
      </c>
      <c r="AG30" s="4" t="str">
        <v>5108-JP</v>
      </c>
      <c r="AH30" s="4" t="str">
        <v>BRBY-GB</v>
      </c>
      <c r="AI30" s="4" t="str">
        <v>BLND-GB</v>
      </c>
      <c r="AJ30" s="4" t="str">
        <v>7459-JP</v>
      </c>
      <c r="AK30" s="4" t="str">
        <v>6963-JP</v>
      </c>
      <c r="AL30" s="4" t="str">
        <v>BAS-DE</v>
      </c>
      <c r="AM30" s="4" t="str">
        <v>CA-FR</v>
      </c>
      <c r="AN30" s="4" t="str">
        <v>TX-US</v>
      </c>
      <c r="AO30" s="4" t="str">
        <v>914-HK</v>
      </c>
      <c r="AP30" s="4" t="str">
        <v>OMV-AT</v>
      </c>
      <c r="AQ30" s="4" t="str">
        <v>VOW3-DE</v>
      </c>
      <c r="AR30" s="4" t="str">
        <v>ENI-IT</v>
      </c>
      <c r="AS30" s="4" t="str">
        <v>REP-ES</v>
      </c>
      <c r="AT30" s="4" t="str">
        <v>LHA-DE</v>
      </c>
      <c r="AU30" s="4" t="str">
        <v>KER-FR</v>
      </c>
      <c r="AV30" s="4" t="str">
        <v>RNO-FR</v>
      </c>
      <c r="AW30" s="4" t="str">
        <v>9988-HK</v>
      </c>
      <c r="AX30" s="4" t="str">
        <v>RIO-GB</v>
      </c>
      <c r="AY30" s="4" t="str">
        <v>EVK-DE</v>
      </c>
      <c r="AZ30" s="4" t="str">
        <v>HSBA-GB</v>
      </c>
      <c r="BA30" s="4" t="str">
        <v>UCG-IT</v>
      </c>
      <c r="BB30" s="4" t="str">
        <v>NWG-GB</v>
      </c>
      <c r="BC30" s="4" t="str">
        <v>9433-JP</v>
      </c>
      <c r="BD30" s="4" t="str">
        <v>PETR4-BR</v>
      </c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Hon Hai Precision Industry Co., Ltd.</v>
      </c>
      <c r="B31" s="4" t="str" cm="1">
        <f t="array" ref="B31:B84">_xll.FDSB(V23,"IDS")</f>
        <v>2317-TW</v>
      </c>
      <c r="C31" s="2" cm="1">
        <f t="array" ref="C31:BD84">_xll.FDSB("DUMMY","CORREL_MATRIX(CORRELMATRIX)")</f>
        <v>1</v>
      </c>
      <c r="D31" s="2">
        <v>0.25112190000000001</v>
      </c>
      <c r="E31" s="2">
        <v>0.24445716000000001</v>
      </c>
      <c r="F31" s="2">
        <v>0.26918617</v>
      </c>
      <c r="G31" s="2">
        <v>0.21421039</v>
      </c>
      <c r="H31" s="2">
        <v>0.30595339999999999</v>
      </c>
      <c r="I31" s="2">
        <v>0.2709009</v>
      </c>
      <c r="J31" s="2">
        <v>0.20262066000000001</v>
      </c>
      <c r="K31" s="2">
        <v>9.7493715999999994E-2</v>
      </c>
      <c r="L31" s="2">
        <v>0.27617560000000002</v>
      </c>
      <c r="M31" s="2">
        <v>0.27928720000000001</v>
      </c>
      <c r="N31" s="2">
        <v>5.7696770000000001E-2</v>
      </c>
      <c r="O31" s="2">
        <v>9.3237600000000004E-3</v>
      </c>
      <c r="P31" s="2">
        <v>0.32412334999999998</v>
      </c>
      <c r="Q31" s="2">
        <v>0.27744534999999998</v>
      </c>
      <c r="R31" s="2">
        <v>0.30242920000000001</v>
      </c>
      <c r="S31" s="2">
        <v>0.15374705</v>
      </c>
      <c r="T31" s="2">
        <v>0.23169256999999999</v>
      </c>
      <c r="U31" s="2">
        <v>0.23839998000000001</v>
      </c>
      <c r="V31" s="2">
        <v>4.2678997000000003E-2</v>
      </c>
      <c r="W31" s="2">
        <v>0.20377572999999999</v>
      </c>
      <c r="X31" s="2">
        <v>6.5575226000000005E-4</v>
      </c>
      <c r="Y31" s="2">
        <v>0.22910605000000001</v>
      </c>
      <c r="Z31" s="2">
        <v>0.2613799</v>
      </c>
      <c r="AA31" s="2">
        <v>0.19546789000000001</v>
      </c>
      <c r="AB31" s="2">
        <v>0.17681464999999999</v>
      </c>
      <c r="AC31" s="2">
        <v>0.32626050000000001</v>
      </c>
      <c r="AD31" s="2">
        <v>0.23799117</v>
      </c>
      <c r="AE31" s="2">
        <v>0.23996168000000001</v>
      </c>
      <c r="AF31" s="2">
        <v>0.26287224999999997</v>
      </c>
      <c r="AG31" s="2">
        <v>0.25905003999999998</v>
      </c>
      <c r="AH31" s="2">
        <v>0.13056317000000001</v>
      </c>
      <c r="AI31" s="2">
        <v>0.25532448000000002</v>
      </c>
      <c r="AJ31" s="2">
        <v>0.14228740000000001</v>
      </c>
      <c r="AK31" s="2">
        <v>0.36454055000000002</v>
      </c>
      <c r="AL31" s="2">
        <v>0.29286292000000003</v>
      </c>
      <c r="AM31" s="2">
        <v>0.15665248000000001</v>
      </c>
      <c r="AN31" s="2">
        <v>3.0743906000000001E-2</v>
      </c>
      <c r="AO31" s="2">
        <v>-1.6310379E-2</v>
      </c>
      <c r="AP31" s="2">
        <v>0.13457458</v>
      </c>
      <c r="AQ31" s="2">
        <v>0.26559377000000001</v>
      </c>
      <c r="AR31" s="2">
        <v>0.28687190000000001</v>
      </c>
      <c r="AS31" s="2">
        <v>0.18389446000000001</v>
      </c>
      <c r="AT31" s="2">
        <v>0.25363845000000002</v>
      </c>
      <c r="AU31" s="2">
        <v>0.23201848999999999</v>
      </c>
      <c r="AV31" s="2">
        <v>0.24100028000000001</v>
      </c>
      <c r="AW31" s="2">
        <v>0.19976975</v>
      </c>
      <c r="AX31" s="2">
        <v>0.25497332</v>
      </c>
      <c r="AY31" s="2">
        <v>0.18015302999999999</v>
      </c>
      <c r="AZ31" s="2">
        <v>0.29679167000000001</v>
      </c>
      <c r="BA31" s="2">
        <v>0.2343548</v>
      </c>
      <c r="BB31" s="2">
        <v>0.18913770999999999</v>
      </c>
      <c r="BC31" s="2">
        <v>9.0487449999999997E-2</v>
      </c>
      <c r="BD31" s="2">
        <v>9.3344084999999993E-2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GSK plc</v>
      </c>
      <c r="B32" s="4" t="str">
        <v>GSK-GB</v>
      </c>
      <c r="C32" s="2">
        <v>0.25112190000000001</v>
      </c>
      <c r="D32" s="2">
        <v>1</v>
      </c>
      <c r="E32" s="2">
        <v>0.16358162000000001</v>
      </c>
      <c r="F32" s="2">
        <v>0.2191718</v>
      </c>
      <c r="G32" s="2">
        <v>0.59051120000000001</v>
      </c>
      <c r="H32" s="2">
        <v>0.62689923999999997</v>
      </c>
      <c r="I32" s="2">
        <v>0.24672619000000001</v>
      </c>
      <c r="J32" s="2">
        <v>0.38621085999999999</v>
      </c>
      <c r="K32" s="2">
        <v>0.40807719999999997</v>
      </c>
      <c r="L32" s="2">
        <v>0.36851834999999999</v>
      </c>
      <c r="M32" s="2">
        <v>0.16887173</v>
      </c>
      <c r="N32" s="2">
        <v>0.23129733</v>
      </c>
      <c r="O32" s="2">
        <v>0.30663173999999999</v>
      </c>
      <c r="P32" s="2">
        <v>0.23434864</v>
      </c>
      <c r="Q32" s="2">
        <v>0.19595351999999999</v>
      </c>
      <c r="R32" s="2">
        <v>0.27419346999999999</v>
      </c>
      <c r="S32" s="2">
        <v>0.33582336000000002</v>
      </c>
      <c r="T32" s="2">
        <v>0.35078042999999998</v>
      </c>
      <c r="U32" s="2">
        <v>0.23431805</v>
      </c>
      <c r="V32" s="2">
        <v>0.24602727999999999</v>
      </c>
      <c r="W32" s="2">
        <v>0.16200371</v>
      </c>
      <c r="X32" s="2">
        <v>0.29874682000000002</v>
      </c>
      <c r="Y32" s="2">
        <v>0.23082240000000001</v>
      </c>
      <c r="Z32" s="2">
        <v>0.34587119999999999</v>
      </c>
      <c r="AA32" s="2">
        <v>0.25490752</v>
      </c>
      <c r="AB32" s="2">
        <v>0.29724487999999999</v>
      </c>
      <c r="AC32" s="2">
        <v>0.25086910000000001</v>
      </c>
      <c r="AD32" s="2">
        <v>0.26562053000000002</v>
      </c>
      <c r="AE32" s="2">
        <v>0.31911244999999999</v>
      </c>
      <c r="AF32" s="2">
        <v>0.21891186000000001</v>
      </c>
      <c r="AG32" s="2">
        <v>0.31933623999999999</v>
      </c>
      <c r="AH32" s="2">
        <v>0.14052381999999999</v>
      </c>
      <c r="AI32" s="2">
        <v>0.45601219999999998</v>
      </c>
      <c r="AJ32" s="2">
        <v>0.2759276</v>
      </c>
      <c r="AK32" s="2">
        <v>0.24200404</v>
      </c>
      <c r="AL32" s="2">
        <v>0.25432807000000002</v>
      </c>
      <c r="AM32" s="2">
        <v>0.17794839000000001</v>
      </c>
      <c r="AN32" s="2">
        <v>2.8160607000000001E-2</v>
      </c>
      <c r="AO32" s="2">
        <v>0.1540144</v>
      </c>
      <c r="AP32" s="2">
        <v>0.22465104999999999</v>
      </c>
      <c r="AQ32" s="2">
        <v>0.19215138000000001</v>
      </c>
      <c r="AR32" s="2">
        <v>0.29637152</v>
      </c>
      <c r="AS32" s="2">
        <v>0.19436954000000001</v>
      </c>
      <c r="AT32" s="2">
        <v>0.17567089</v>
      </c>
      <c r="AU32" s="2">
        <v>0.16766565</v>
      </c>
      <c r="AV32" s="2">
        <v>6.8504999999999996E-2</v>
      </c>
      <c r="AW32" s="2">
        <v>9.7555390000000006E-2</v>
      </c>
      <c r="AX32" s="2">
        <v>0.29273329999999997</v>
      </c>
      <c r="AY32" s="2">
        <v>0.27643060000000003</v>
      </c>
      <c r="AZ32" s="2">
        <v>0.22627562000000001</v>
      </c>
      <c r="BA32" s="2">
        <v>0.24060090000000001</v>
      </c>
      <c r="BB32" s="2">
        <v>0.25406679999999998</v>
      </c>
      <c r="BC32" s="2">
        <v>0.22046214</v>
      </c>
      <c r="BD32" s="2">
        <v>6.6088789999999994E-2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Continental AG</v>
      </c>
      <c r="B33" s="4" t="str">
        <v>CON-DE</v>
      </c>
      <c r="C33" s="2">
        <v>0.24445716000000001</v>
      </c>
      <c r="D33" s="2">
        <v>0.16358162000000001</v>
      </c>
      <c r="E33" s="2">
        <v>1</v>
      </c>
      <c r="F33" s="2">
        <v>0.37114150000000001</v>
      </c>
      <c r="G33" s="2">
        <v>0.27526709999999999</v>
      </c>
      <c r="H33" s="2">
        <v>0.24799724000000001</v>
      </c>
      <c r="I33" s="2">
        <v>0.39079306000000003</v>
      </c>
      <c r="J33" s="2">
        <v>0.12259447</v>
      </c>
      <c r="K33" s="2">
        <v>0.17855693</v>
      </c>
      <c r="L33" s="2">
        <v>0.2630324</v>
      </c>
      <c r="M33" s="2">
        <v>8.3339339999999998E-2</v>
      </c>
      <c r="N33" s="2">
        <v>0.105130285</v>
      </c>
      <c r="O33" s="2">
        <v>-3.5203863000000002E-2</v>
      </c>
      <c r="P33" s="2">
        <v>0.122267865</v>
      </c>
      <c r="Q33" s="2">
        <v>0.26046059999999999</v>
      </c>
      <c r="R33" s="2">
        <v>0.36773494000000001</v>
      </c>
      <c r="S33" s="2">
        <v>0.20681098000000001</v>
      </c>
      <c r="T33" s="2">
        <v>0.30584070000000002</v>
      </c>
      <c r="U33" s="2">
        <v>0.37437049999999999</v>
      </c>
      <c r="V33" s="2">
        <v>1.0998653000000001E-2</v>
      </c>
      <c r="W33" s="2">
        <v>0.30691358000000002</v>
      </c>
      <c r="X33" s="2">
        <v>4.2965557000000001E-2</v>
      </c>
      <c r="Y33" s="2">
        <v>0.25343262999999999</v>
      </c>
      <c r="Z33" s="2">
        <v>0.21095306999999999</v>
      </c>
      <c r="AA33" s="2">
        <v>0.37131888000000002</v>
      </c>
      <c r="AB33" s="2">
        <v>9.7280610000000003E-2</v>
      </c>
      <c r="AC33" s="2">
        <v>0.43041010000000002</v>
      </c>
      <c r="AD33" s="2">
        <v>0.37498515999999998</v>
      </c>
      <c r="AE33" s="2">
        <v>0.33425825999999997</v>
      </c>
      <c r="AF33" s="2">
        <v>0.34029337999999998</v>
      </c>
      <c r="AG33" s="2">
        <v>0.27851989999999999</v>
      </c>
      <c r="AH33" s="2">
        <v>0.2718546</v>
      </c>
      <c r="AI33" s="2">
        <v>0.2786941</v>
      </c>
      <c r="AJ33" s="2">
        <v>0.21198397999999999</v>
      </c>
      <c r="AK33" s="2">
        <v>0.2953655</v>
      </c>
      <c r="AL33" s="2">
        <v>0.61608404000000005</v>
      </c>
      <c r="AM33" s="2">
        <v>0.25645225999999999</v>
      </c>
      <c r="AN33" s="2">
        <v>0.14841971000000001</v>
      </c>
      <c r="AO33" s="2">
        <v>4.6682116000000003E-2</v>
      </c>
      <c r="AP33" s="2">
        <v>0.31213071999999997</v>
      </c>
      <c r="AQ33" s="2">
        <v>0.56461859999999997</v>
      </c>
      <c r="AR33" s="2">
        <v>0.43204236000000001</v>
      </c>
      <c r="AS33" s="2">
        <v>0.32520387000000001</v>
      </c>
      <c r="AT33" s="2">
        <v>0.46846965000000002</v>
      </c>
      <c r="AU33" s="2">
        <v>0.37106307999999999</v>
      </c>
      <c r="AV33" s="2">
        <v>0.40668523000000001</v>
      </c>
      <c r="AW33" s="2">
        <v>0.15927061000000001</v>
      </c>
      <c r="AX33" s="2">
        <v>0.26503932000000002</v>
      </c>
      <c r="AY33" s="2">
        <v>0.57226043999999998</v>
      </c>
      <c r="AZ33" s="2">
        <v>0.26819326999999998</v>
      </c>
      <c r="BA33" s="2">
        <v>0.42777783000000003</v>
      </c>
      <c r="BB33" s="2">
        <v>0.30635386999999997</v>
      </c>
      <c r="BC33" s="2">
        <v>9.3819769999999997E-2</v>
      </c>
      <c r="BD33" s="2">
        <v>0.12121844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Barclays PLC</v>
      </c>
      <c r="B34" s="4" t="str">
        <v>BARC-GB</v>
      </c>
      <c r="C34" s="2">
        <v>0.26918617</v>
      </c>
      <c r="D34" s="2">
        <v>0.2191718</v>
      </c>
      <c r="E34" s="2">
        <v>0.37114150000000001</v>
      </c>
      <c r="F34" s="2">
        <v>1</v>
      </c>
      <c r="G34" s="2">
        <v>0.22788298000000001</v>
      </c>
      <c r="H34" s="2">
        <v>0.24493213</v>
      </c>
      <c r="I34" s="2">
        <v>0.58308846000000003</v>
      </c>
      <c r="J34" s="2">
        <v>0.20440011999999999</v>
      </c>
      <c r="K34" s="2">
        <v>0.26080424000000002</v>
      </c>
      <c r="L34" s="2">
        <v>0.15249098999999999</v>
      </c>
      <c r="M34" s="2">
        <v>0.22749820000000001</v>
      </c>
      <c r="N34" s="2">
        <v>9.9655380000000002E-2</v>
      </c>
      <c r="O34" s="2">
        <v>0.16391127999999999</v>
      </c>
      <c r="P34" s="2">
        <v>0.23482536000000001</v>
      </c>
      <c r="Q34" s="2">
        <v>0.69445429999999997</v>
      </c>
      <c r="R34" s="2">
        <v>0.55422979999999999</v>
      </c>
      <c r="S34" s="2">
        <v>0.16893730000000001</v>
      </c>
      <c r="T34" s="2">
        <v>0.48482448</v>
      </c>
      <c r="U34" s="2">
        <v>0.55726503999999999</v>
      </c>
      <c r="V34" s="2">
        <v>9.9806524999999993E-2</v>
      </c>
      <c r="W34" s="2">
        <v>0.58696550000000003</v>
      </c>
      <c r="X34" s="2">
        <v>0.14960672999999999</v>
      </c>
      <c r="Y34" s="2">
        <v>0.34431233999999999</v>
      </c>
      <c r="Z34" s="2">
        <v>0.28807026000000002</v>
      </c>
      <c r="AA34" s="2">
        <v>0.29059826999999999</v>
      </c>
      <c r="AB34" s="2">
        <v>0.13128872</v>
      </c>
      <c r="AC34" s="2">
        <v>0.49388104999999999</v>
      </c>
      <c r="AD34" s="2">
        <v>0.63036199999999998</v>
      </c>
      <c r="AE34" s="2">
        <v>0.55104357000000004</v>
      </c>
      <c r="AF34" s="2">
        <v>0.47747212999999999</v>
      </c>
      <c r="AG34" s="2">
        <v>0.30585659999999998</v>
      </c>
      <c r="AH34" s="2">
        <v>0.25200850000000002</v>
      </c>
      <c r="AI34" s="2">
        <v>0.33687626999999998</v>
      </c>
      <c r="AJ34" s="2">
        <v>9.1672619999999996E-2</v>
      </c>
      <c r="AK34" s="2">
        <v>0.24304955</v>
      </c>
      <c r="AL34" s="2">
        <v>0.43815730000000003</v>
      </c>
      <c r="AM34" s="2">
        <v>0.16361754000000001</v>
      </c>
      <c r="AN34" s="2">
        <v>0.20434867000000001</v>
      </c>
      <c r="AO34" s="2">
        <v>0.14547618000000001</v>
      </c>
      <c r="AP34" s="2">
        <v>0.32413688000000002</v>
      </c>
      <c r="AQ34" s="2">
        <v>0.32338428000000002</v>
      </c>
      <c r="AR34" s="2">
        <v>0.36867028000000002</v>
      </c>
      <c r="AS34" s="2">
        <v>0.35822876999999997</v>
      </c>
      <c r="AT34" s="2">
        <v>0.3968315</v>
      </c>
      <c r="AU34" s="2">
        <v>0.24215744</v>
      </c>
      <c r="AV34" s="2">
        <v>0.25575745</v>
      </c>
      <c r="AW34" s="2">
        <v>0.22378973999999999</v>
      </c>
      <c r="AX34" s="2">
        <v>0.3675775</v>
      </c>
      <c r="AY34" s="2">
        <v>0.42238842999999998</v>
      </c>
      <c r="AZ34" s="2">
        <v>0.69532950000000004</v>
      </c>
      <c r="BA34" s="2">
        <v>0.64454549999999999</v>
      </c>
      <c r="BB34" s="2">
        <v>0.81121900000000002</v>
      </c>
      <c r="BC34" s="2">
        <v>7.6267059999999996E-3</v>
      </c>
      <c r="BD34" s="2">
        <v>7.0079509999999998E-2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Sanofi SA</v>
      </c>
      <c r="B35" s="4" t="str">
        <v>SAN-FR</v>
      </c>
      <c r="C35" s="2">
        <v>0.21421039</v>
      </c>
      <c r="D35" s="2">
        <v>0.59051120000000001</v>
      </c>
      <c r="E35" s="2">
        <v>0.27526709999999999</v>
      </c>
      <c r="F35" s="2">
        <v>0.22788298000000001</v>
      </c>
      <c r="G35" s="2">
        <v>1</v>
      </c>
      <c r="H35" s="2">
        <v>0.59456414000000002</v>
      </c>
      <c r="I35" s="2">
        <v>0.24622768</v>
      </c>
      <c r="J35" s="2">
        <v>0.27900589999999997</v>
      </c>
      <c r="K35" s="2">
        <v>0.35762453</v>
      </c>
      <c r="L35" s="2">
        <v>0.36219810000000002</v>
      </c>
      <c r="M35" s="2">
        <v>0.14281468</v>
      </c>
      <c r="N35" s="2">
        <v>0.24441767</v>
      </c>
      <c r="O35" s="2">
        <v>0.18713176000000001</v>
      </c>
      <c r="P35" s="2">
        <v>0.18611440000000001</v>
      </c>
      <c r="Q35" s="2">
        <v>0.21109301</v>
      </c>
      <c r="R35" s="2">
        <v>0.29676940000000002</v>
      </c>
      <c r="S35" s="2">
        <v>0.29427439999999999</v>
      </c>
      <c r="T35" s="2">
        <v>0.35786351999999999</v>
      </c>
      <c r="U35" s="2">
        <v>0.30823215999999998</v>
      </c>
      <c r="V35" s="2">
        <v>0.13569725999999999</v>
      </c>
      <c r="W35" s="2">
        <v>0.18180743999999999</v>
      </c>
      <c r="X35" s="2">
        <v>0.19068078999999999</v>
      </c>
      <c r="Y35" s="2">
        <v>0.25558740000000002</v>
      </c>
      <c r="Z35" s="2">
        <v>0.3245382</v>
      </c>
      <c r="AA35" s="2">
        <v>0.32315310000000003</v>
      </c>
      <c r="AB35" s="2">
        <v>0.24430110999999999</v>
      </c>
      <c r="AC35" s="2">
        <v>0.29865967999999998</v>
      </c>
      <c r="AD35" s="2">
        <v>0.30540610000000001</v>
      </c>
      <c r="AE35" s="2">
        <v>0.36485519999999999</v>
      </c>
      <c r="AF35" s="2">
        <v>0.28785595000000003</v>
      </c>
      <c r="AG35" s="2">
        <v>0.35153132999999998</v>
      </c>
      <c r="AH35" s="2">
        <v>0.23197400000000001</v>
      </c>
      <c r="AI35" s="2">
        <v>0.42130694000000002</v>
      </c>
      <c r="AJ35" s="2">
        <v>0.27971544999999998</v>
      </c>
      <c r="AK35" s="2">
        <v>0.31579437999999999</v>
      </c>
      <c r="AL35" s="2">
        <v>0.37872767000000002</v>
      </c>
      <c r="AM35" s="2">
        <v>0.27775030000000001</v>
      </c>
      <c r="AN35" s="2">
        <v>5.3371355000000002E-2</v>
      </c>
      <c r="AO35" s="2">
        <v>0.12667676999999999</v>
      </c>
      <c r="AP35" s="2">
        <v>0.30972564000000002</v>
      </c>
      <c r="AQ35" s="2">
        <v>0.3230983</v>
      </c>
      <c r="AR35" s="2">
        <v>0.31098409999999999</v>
      </c>
      <c r="AS35" s="2">
        <v>0.24231547000000001</v>
      </c>
      <c r="AT35" s="2">
        <v>0.25353044000000002</v>
      </c>
      <c r="AU35" s="2">
        <v>0.27641719999999997</v>
      </c>
      <c r="AV35" s="2">
        <v>0.2193862</v>
      </c>
      <c r="AW35" s="2">
        <v>0.18439248</v>
      </c>
      <c r="AX35" s="2">
        <v>0.31627487999999998</v>
      </c>
      <c r="AY35" s="2">
        <v>0.36912434999999999</v>
      </c>
      <c r="AZ35" s="2">
        <v>0.27652130000000003</v>
      </c>
      <c r="BA35" s="2">
        <v>0.28518787000000001</v>
      </c>
      <c r="BB35" s="2">
        <v>0.27976256999999999</v>
      </c>
      <c r="BC35" s="2">
        <v>0.21230635</v>
      </c>
      <c r="BD35" s="2">
        <v>9.1916949999999997E-2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Roche Holding Ltd Dividend Right Cert.</v>
      </c>
      <c r="B36" s="4" t="str">
        <v>ROG-CH</v>
      </c>
      <c r="C36" s="2">
        <v>0.30595339999999999</v>
      </c>
      <c r="D36" s="2">
        <v>0.62689923999999997</v>
      </c>
      <c r="E36" s="2">
        <v>0.24799724000000001</v>
      </c>
      <c r="F36" s="2">
        <v>0.24493213</v>
      </c>
      <c r="G36" s="2">
        <v>0.59456414000000002</v>
      </c>
      <c r="H36" s="2">
        <v>1</v>
      </c>
      <c r="I36" s="2">
        <v>0.29720553999999999</v>
      </c>
      <c r="J36" s="2">
        <v>0.30589852000000001</v>
      </c>
      <c r="K36" s="2">
        <v>0.34337655</v>
      </c>
      <c r="L36" s="2">
        <v>0.43670987999999999</v>
      </c>
      <c r="M36" s="2">
        <v>0.14099049999999999</v>
      </c>
      <c r="N36" s="2">
        <v>0.26495903999999998</v>
      </c>
      <c r="O36" s="2">
        <v>0.21382053000000001</v>
      </c>
      <c r="P36" s="2">
        <v>0.17885596000000001</v>
      </c>
      <c r="Q36" s="2">
        <v>0.24121783999999999</v>
      </c>
      <c r="R36" s="2">
        <v>0.24585290000000001</v>
      </c>
      <c r="S36" s="2">
        <v>0.3920304</v>
      </c>
      <c r="T36" s="2">
        <v>0.39453579999999999</v>
      </c>
      <c r="U36" s="2">
        <v>0.30680787999999998</v>
      </c>
      <c r="V36" s="2">
        <v>0.24908449999999999</v>
      </c>
      <c r="W36" s="2">
        <v>0.19422026000000001</v>
      </c>
      <c r="X36" s="2">
        <v>0.24666187000000001</v>
      </c>
      <c r="Y36" s="2">
        <v>0.28441343000000002</v>
      </c>
      <c r="Z36" s="2">
        <v>0.37882357999999999</v>
      </c>
      <c r="AA36" s="2">
        <v>0.32516578000000002</v>
      </c>
      <c r="AB36" s="2">
        <v>0.28618075999999998</v>
      </c>
      <c r="AC36" s="2">
        <v>0.27231407000000002</v>
      </c>
      <c r="AD36" s="2">
        <v>0.35318110000000003</v>
      </c>
      <c r="AE36" s="2">
        <v>0.40861346999999998</v>
      </c>
      <c r="AF36" s="2">
        <v>0.28920131999999998</v>
      </c>
      <c r="AG36" s="2">
        <v>0.40938540000000001</v>
      </c>
      <c r="AH36" s="2">
        <v>0.17012271000000001</v>
      </c>
      <c r="AI36" s="2">
        <v>0.44010665999999998</v>
      </c>
      <c r="AJ36" s="2">
        <v>0.34353571999999999</v>
      </c>
      <c r="AK36" s="2">
        <v>0.34340277000000002</v>
      </c>
      <c r="AL36" s="2">
        <v>0.32252553</v>
      </c>
      <c r="AM36" s="2">
        <v>0.16803987000000001</v>
      </c>
      <c r="AN36" s="2">
        <v>3.7919572999999998E-2</v>
      </c>
      <c r="AO36" s="2">
        <v>0.10767474</v>
      </c>
      <c r="AP36" s="2">
        <v>0.2290546</v>
      </c>
      <c r="AQ36" s="2">
        <v>0.24821465000000001</v>
      </c>
      <c r="AR36" s="2">
        <v>0.30922145000000001</v>
      </c>
      <c r="AS36" s="2">
        <v>0.22009919999999999</v>
      </c>
      <c r="AT36" s="2">
        <v>0.23151408000000001</v>
      </c>
      <c r="AU36" s="2">
        <v>0.18430355000000001</v>
      </c>
      <c r="AV36" s="2">
        <v>0.23622029999999999</v>
      </c>
      <c r="AW36" s="2">
        <v>0.14802547999999999</v>
      </c>
      <c r="AX36" s="2">
        <v>0.32472025999999998</v>
      </c>
      <c r="AY36" s="2">
        <v>0.3227411</v>
      </c>
      <c r="AZ36" s="2">
        <v>0.31336715999999998</v>
      </c>
      <c r="BA36" s="2">
        <v>0.32305022999999999</v>
      </c>
      <c r="BB36" s="2">
        <v>0.24329782</v>
      </c>
      <c r="BC36" s="2">
        <v>0.23849020000000001</v>
      </c>
      <c r="BD36" s="2">
        <v>5.2354716000000003E-2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Prudential plc</v>
      </c>
      <c r="B37" s="4" t="str">
        <v>PRU-GB</v>
      </c>
      <c r="C37" s="2">
        <v>0.2709009</v>
      </c>
      <c r="D37" s="2">
        <v>0.24672619000000001</v>
      </c>
      <c r="E37" s="2">
        <v>0.39079306000000003</v>
      </c>
      <c r="F37" s="2">
        <v>0.58308846000000003</v>
      </c>
      <c r="G37" s="2">
        <v>0.24622768</v>
      </c>
      <c r="H37" s="2">
        <v>0.29720553999999999</v>
      </c>
      <c r="I37" s="2">
        <v>1</v>
      </c>
      <c r="J37" s="2">
        <v>0.27652670000000001</v>
      </c>
      <c r="K37" s="2">
        <v>0.28108090000000002</v>
      </c>
      <c r="L37" s="2">
        <v>0.26156738000000002</v>
      </c>
      <c r="M37" s="2">
        <v>0.15758053999999999</v>
      </c>
      <c r="N37" s="2">
        <v>0.14538102</v>
      </c>
      <c r="O37" s="2">
        <v>0.16068779999999999</v>
      </c>
      <c r="P37" s="2">
        <v>0.18350135000000001</v>
      </c>
      <c r="Q37" s="2">
        <v>0.52802400000000005</v>
      </c>
      <c r="R37" s="2">
        <v>0.46300212000000002</v>
      </c>
      <c r="S37" s="2">
        <v>0.17992984000000001</v>
      </c>
      <c r="T37" s="2">
        <v>0.51133936999999996</v>
      </c>
      <c r="U37" s="2">
        <v>0.47655067000000001</v>
      </c>
      <c r="V37" s="2">
        <v>9.6001139999999999E-2</v>
      </c>
      <c r="W37" s="2">
        <v>0.45957310000000001</v>
      </c>
      <c r="X37" s="2">
        <v>0.21039611</v>
      </c>
      <c r="Y37" s="2">
        <v>0.38980720000000002</v>
      </c>
      <c r="Z37" s="2">
        <v>0.14573196999999999</v>
      </c>
      <c r="AA37" s="2">
        <v>0.36116818000000001</v>
      </c>
      <c r="AB37" s="2">
        <v>0.20794371</v>
      </c>
      <c r="AC37" s="2">
        <v>0.44482466999999998</v>
      </c>
      <c r="AD37" s="2">
        <v>0.49847639999999999</v>
      </c>
      <c r="AE37" s="2">
        <v>0.52814649999999996</v>
      </c>
      <c r="AF37" s="2">
        <v>0.53024850000000001</v>
      </c>
      <c r="AG37" s="2">
        <v>0.27537026999999997</v>
      </c>
      <c r="AH37" s="2">
        <v>0.36346978000000002</v>
      </c>
      <c r="AI37" s="2">
        <v>0.40539667000000001</v>
      </c>
      <c r="AJ37" s="2">
        <v>0.15529096000000001</v>
      </c>
      <c r="AK37" s="2">
        <v>0.32406165999999997</v>
      </c>
      <c r="AL37" s="2">
        <v>0.53837924999999998</v>
      </c>
      <c r="AM37" s="2">
        <v>0.14638171999999999</v>
      </c>
      <c r="AN37" s="2">
        <v>0.31561070000000002</v>
      </c>
      <c r="AO37" s="2">
        <v>0.17944498</v>
      </c>
      <c r="AP37" s="2">
        <v>0.34154293000000002</v>
      </c>
      <c r="AQ37" s="2">
        <v>0.38000038000000003</v>
      </c>
      <c r="AR37" s="2">
        <v>0.47789118000000003</v>
      </c>
      <c r="AS37" s="2">
        <v>0.47337073000000002</v>
      </c>
      <c r="AT37" s="2">
        <v>0.42501935000000002</v>
      </c>
      <c r="AU37" s="2">
        <v>0.39400395999999999</v>
      </c>
      <c r="AV37" s="2">
        <v>0.29374542999999997</v>
      </c>
      <c r="AW37" s="2">
        <v>0.26271802</v>
      </c>
      <c r="AX37" s="2">
        <v>0.51633465000000001</v>
      </c>
      <c r="AY37" s="2">
        <v>0.44827850000000002</v>
      </c>
      <c r="AZ37" s="2">
        <v>0.55993749999999998</v>
      </c>
      <c r="BA37" s="2">
        <v>0.49493710000000002</v>
      </c>
      <c r="BB37" s="2">
        <v>0.49629316000000001</v>
      </c>
      <c r="BC37" s="2">
        <v>-5.6444313000000003E-2</v>
      </c>
      <c r="BD37" s="2">
        <v>0.1841284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BT Group plc</v>
      </c>
      <c r="B38" s="4" t="str">
        <v>BT.A-GB</v>
      </c>
      <c r="C38" s="2">
        <v>0.20262066000000001</v>
      </c>
      <c r="D38" s="2">
        <v>0.38621085999999999</v>
      </c>
      <c r="E38" s="2">
        <v>0.12259447</v>
      </c>
      <c r="F38" s="2">
        <v>0.20440011999999999</v>
      </c>
      <c r="G38" s="2">
        <v>0.27900589999999997</v>
      </c>
      <c r="H38" s="2">
        <v>0.30589852000000001</v>
      </c>
      <c r="I38" s="2">
        <v>0.27652670000000001</v>
      </c>
      <c r="J38" s="2">
        <v>1</v>
      </c>
      <c r="K38" s="2">
        <v>0.59541434000000004</v>
      </c>
      <c r="L38" s="2">
        <v>0.33210444</v>
      </c>
      <c r="M38" s="2">
        <v>8.3124020000000007E-2</v>
      </c>
      <c r="N38" s="2">
        <v>0.20757486999999999</v>
      </c>
      <c r="O38" s="2">
        <v>0.36080941999999999</v>
      </c>
      <c r="P38" s="2">
        <v>0.13065301000000001</v>
      </c>
      <c r="Q38" s="2">
        <v>0.16872404999999999</v>
      </c>
      <c r="R38" s="2">
        <v>0.24353985</v>
      </c>
      <c r="S38" s="2">
        <v>0.37719904999999998</v>
      </c>
      <c r="T38" s="2">
        <v>0.42979074</v>
      </c>
      <c r="U38" s="2">
        <v>0.17759923999999999</v>
      </c>
      <c r="V38" s="2">
        <v>0.32320284999999999</v>
      </c>
      <c r="W38" s="2">
        <v>0.19301940000000001</v>
      </c>
      <c r="X38" s="2">
        <v>0.39652525999999999</v>
      </c>
      <c r="Y38" s="2">
        <v>0.23614803000000001</v>
      </c>
      <c r="Z38" s="2">
        <v>0.21136720000000001</v>
      </c>
      <c r="AA38" s="2">
        <v>0.15297564999999999</v>
      </c>
      <c r="AB38" s="2">
        <v>0.23358770000000001</v>
      </c>
      <c r="AC38" s="2">
        <v>0.20549737000000001</v>
      </c>
      <c r="AD38" s="2">
        <v>0.27352300000000002</v>
      </c>
      <c r="AE38" s="2">
        <v>0.34060766999999997</v>
      </c>
      <c r="AF38" s="2">
        <v>0.10892605</v>
      </c>
      <c r="AG38" s="2">
        <v>0.26779069999999999</v>
      </c>
      <c r="AH38" s="2">
        <v>4.2573859999999998E-2</v>
      </c>
      <c r="AI38" s="2">
        <v>0.41969043</v>
      </c>
      <c r="AJ38" s="2">
        <v>0.26672911999999999</v>
      </c>
      <c r="AK38" s="2">
        <v>0.22344452000000001</v>
      </c>
      <c r="AL38" s="2">
        <v>0.15928228</v>
      </c>
      <c r="AM38" s="2">
        <v>0.21711294</v>
      </c>
      <c r="AN38" s="2">
        <v>2.8060826000000001E-2</v>
      </c>
      <c r="AO38" s="2">
        <v>5.6736535999999997E-2</v>
      </c>
      <c r="AP38" s="2">
        <v>0.18524307000000001</v>
      </c>
      <c r="AQ38" s="2">
        <v>0.13439295000000001</v>
      </c>
      <c r="AR38" s="2">
        <v>0.32297498000000002</v>
      </c>
      <c r="AS38" s="2">
        <v>0.26572200000000001</v>
      </c>
      <c r="AT38" s="2">
        <v>0.20675087</v>
      </c>
      <c r="AU38" s="2">
        <v>6.5133060000000007E-2</v>
      </c>
      <c r="AV38" s="2">
        <v>8.0093590000000006E-2</v>
      </c>
      <c r="AW38" s="2">
        <v>3.8530556E-3</v>
      </c>
      <c r="AX38" s="2">
        <v>0.16638061000000001</v>
      </c>
      <c r="AY38" s="2">
        <v>0.220829</v>
      </c>
      <c r="AZ38" s="2">
        <v>0.17380139</v>
      </c>
      <c r="BA38" s="2">
        <v>0.22433533</v>
      </c>
      <c r="BB38" s="2">
        <v>0.33527634000000001</v>
      </c>
      <c r="BC38" s="2">
        <v>0.13261672999999999</v>
      </c>
      <c r="BD38" s="2">
        <v>9.6641934999999998E-2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Vodafone Group Public Limited Company</v>
      </c>
      <c r="B39" s="4" t="str">
        <v>VOD-GB</v>
      </c>
      <c r="C39" s="2">
        <v>9.7493715999999994E-2</v>
      </c>
      <c r="D39" s="2">
        <v>0.40807719999999997</v>
      </c>
      <c r="E39" s="2">
        <v>0.17855693</v>
      </c>
      <c r="F39" s="2">
        <v>0.26080424000000002</v>
      </c>
      <c r="G39" s="2">
        <v>0.35762453</v>
      </c>
      <c r="H39" s="2">
        <v>0.34337655</v>
      </c>
      <c r="I39" s="2">
        <v>0.28108090000000002</v>
      </c>
      <c r="J39" s="2">
        <v>0.59541434000000004</v>
      </c>
      <c r="K39" s="2">
        <v>1</v>
      </c>
      <c r="L39" s="2">
        <v>0.31967250000000003</v>
      </c>
      <c r="M39" s="2">
        <v>1.5972981000000001E-2</v>
      </c>
      <c r="N39" s="2">
        <v>0.24309765999999999</v>
      </c>
      <c r="O39" s="2">
        <v>0.39362540000000001</v>
      </c>
      <c r="P39" s="2">
        <v>0.11296586</v>
      </c>
      <c r="Q39" s="2">
        <v>0.18427015999999999</v>
      </c>
      <c r="R39" s="2">
        <v>0.24788368999999999</v>
      </c>
      <c r="S39" s="2">
        <v>0.41040673999999999</v>
      </c>
      <c r="T39" s="2">
        <v>0.43407067999999999</v>
      </c>
      <c r="U39" s="2">
        <v>0.25425160000000002</v>
      </c>
      <c r="V39" s="2">
        <v>0.28357475999999998</v>
      </c>
      <c r="W39" s="2">
        <v>0.23018886</v>
      </c>
      <c r="X39" s="2">
        <v>0.42372852999999999</v>
      </c>
      <c r="Y39" s="2">
        <v>0.25300652000000001</v>
      </c>
      <c r="Z39" s="2">
        <v>0.20037942</v>
      </c>
      <c r="AA39" s="2">
        <v>0.26265003999999997</v>
      </c>
      <c r="AB39" s="2">
        <v>0.19262981000000001</v>
      </c>
      <c r="AC39" s="2">
        <v>0.18526334</v>
      </c>
      <c r="AD39" s="2">
        <v>0.25548968</v>
      </c>
      <c r="AE39" s="2">
        <v>0.35751899999999998</v>
      </c>
      <c r="AF39" s="2">
        <v>0.18954272999999999</v>
      </c>
      <c r="AG39" s="2">
        <v>0.25873457999999999</v>
      </c>
      <c r="AH39" s="2">
        <v>5.5779677E-2</v>
      </c>
      <c r="AI39" s="2">
        <v>0.42802980000000002</v>
      </c>
      <c r="AJ39" s="2">
        <v>0.22346250000000001</v>
      </c>
      <c r="AK39" s="2">
        <v>0.16698832999999999</v>
      </c>
      <c r="AL39" s="2">
        <v>0.21865244</v>
      </c>
      <c r="AM39" s="2">
        <v>0.31774323999999998</v>
      </c>
      <c r="AN39" s="2">
        <v>0.108577944</v>
      </c>
      <c r="AO39" s="2">
        <v>0.16700699999999999</v>
      </c>
      <c r="AP39" s="2">
        <v>0.23735818</v>
      </c>
      <c r="AQ39" s="2">
        <v>0.12605021999999999</v>
      </c>
      <c r="AR39" s="2">
        <v>0.29318657999999997</v>
      </c>
      <c r="AS39" s="2">
        <v>0.21668962999999999</v>
      </c>
      <c r="AT39" s="2">
        <v>0.27320420000000001</v>
      </c>
      <c r="AU39" s="2">
        <v>0.157218</v>
      </c>
      <c r="AV39" s="2">
        <v>6.199263E-2</v>
      </c>
      <c r="AW39" s="2">
        <v>1.3563165E-2</v>
      </c>
      <c r="AX39" s="2">
        <v>0.24280508000000001</v>
      </c>
      <c r="AY39" s="2">
        <v>0.25139626999999998</v>
      </c>
      <c r="AZ39" s="2">
        <v>0.25410113000000001</v>
      </c>
      <c r="BA39" s="2">
        <v>0.24664808999999999</v>
      </c>
      <c r="BB39" s="2">
        <v>0.32627254999999999</v>
      </c>
      <c r="BC39" s="2">
        <v>0.102110706</v>
      </c>
      <c r="BD39" s="2">
        <v>4.3362662000000003E-2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Henkel AG &amp; Co. KGaA Pref</v>
      </c>
      <c r="B40" s="4" t="str">
        <v>HEN3-DE</v>
      </c>
      <c r="C40" s="2">
        <v>0.27617560000000002</v>
      </c>
      <c r="D40" s="2">
        <v>0.36851834999999999</v>
      </c>
      <c r="E40" s="2">
        <v>0.2630324</v>
      </c>
      <c r="F40" s="2">
        <v>0.15249098999999999</v>
      </c>
      <c r="G40" s="2">
        <v>0.36219810000000002</v>
      </c>
      <c r="H40" s="2">
        <v>0.43670987999999999</v>
      </c>
      <c r="I40" s="2">
        <v>0.26156738000000002</v>
      </c>
      <c r="J40" s="2">
        <v>0.33210444</v>
      </c>
      <c r="K40" s="2">
        <v>0.31967250000000003</v>
      </c>
      <c r="L40" s="2">
        <v>1</v>
      </c>
      <c r="M40" s="2">
        <v>0.13936359000000001</v>
      </c>
      <c r="N40" s="2">
        <v>0.27058422999999998</v>
      </c>
      <c r="O40" s="2">
        <v>0.16850787</v>
      </c>
      <c r="P40" s="2">
        <v>0.14111083999999999</v>
      </c>
      <c r="Q40" s="2">
        <v>0.17581394</v>
      </c>
      <c r="R40" s="2">
        <v>0.34396988000000001</v>
      </c>
      <c r="S40" s="2">
        <v>0.38726735000000001</v>
      </c>
      <c r="T40" s="2">
        <v>0.33134355999999998</v>
      </c>
      <c r="U40" s="2">
        <v>0.31015029999999999</v>
      </c>
      <c r="V40" s="2">
        <v>0.23535341000000001</v>
      </c>
      <c r="W40" s="2">
        <v>0.19174223000000001</v>
      </c>
      <c r="X40" s="2">
        <v>0.28271010000000002</v>
      </c>
      <c r="Y40" s="2">
        <v>0.29728221999999999</v>
      </c>
      <c r="Z40" s="2">
        <v>0.27129703999999999</v>
      </c>
      <c r="AA40" s="2">
        <v>0.25631789999999999</v>
      </c>
      <c r="AB40" s="2">
        <v>0.28702724000000002</v>
      </c>
      <c r="AC40" s="2">
        <v>0.34003844999999999</v>
      </c>
      <c r="AD40" s="2">
        <v>0.34853055999999999</v>
      </c>
      <c r="AE40" s="2">
        <v>0.35790812999999999</v>
      </c>
      <c r="AF40" s="2">
        <v>0.26448482000000001</v>
      </c>
      <c r="AG40" s="2">
        <v>0.3486187</v>
      </c>
      <c r="AH40" s="2">
        <v>0.15527445000000001</v>
      </c>
      <c r="AI40" s="2">
        <v>0.37367842000000001</v>
      </c>
      <c r="AJ40" s="2">
        <v>0.35317432999999998</v>
      </c>
      <c r="AK40" s="2">
        <v>0.19982920000000001</v>
      </c>
      <c r="AL40" s="2">
        <v>0.39582806999999998</v>
      </c>
      <c r="AM40" s="2">
        <v>0.31011720999999998</v>
      </c>
      <c r="AN40" s="2">
        <v>2.9858091999999999E-3</v>
      </c>
      <c r="AO40" s="2">
        <v>0.16243284999999999</v>
      </c>
      <c r="AP40" s="2">
        <v>0.22612742999999999</v>
      </c>
      <c r="AQ40" s="2">
        <v>0.34854560000000001</v>
      </c>
      <c r="AR40" s="2">
        <v>0.28294639999999999</v>
      </c>
      <c r="AS40" s="2">
        <v>0.2505848</v>
      </c>
      <c r="AT40" s="2">
        <v>0.40550049999999999</v>
      </c>
      <c r="AU40" s="2">
        <v>0.22988196999999999</v>
      </c>
      <c r="AV40" s="2">
        <v>0.24763742</v>
      </c>
      <c r="AW40" s="2">
        <v>0.17048614000000001</v>
      </c>
      <c r="AX40" s="2">
        <v>0.33436529999999998</v>
      </c>
      <c r="AY40" s="2">
        <v>0.39978947999999997</v>
      </c>
      <c r="AZ40" s="2">
        <v>0.21580192000000001</v>
      </c>
      <c r="BA40" s="2">
        <v>0.30033736999999999</v>
      </c>
      <c r="BB40" s="2">
        <v>0.17272340999999999</v>
      </c>
      <c r="BC40" s="2">
        <v>0.23711915</v>
      </c>
      <c r="BD40" s="2">
        <v>4.0177863000000001E-2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KB Financial Group Inc.</v>
      </c>
      <c r="B41" s="4" t="str">
        <v>105560-KR</v>
      </c>
      <c r="C41" s="2">
        <v>0.27928720000000001</v>
      </c>
      <c r="D41" s="2">
        <v>0.16887173</v>
      </c>
      <c r="E41" s="2">
        <v>8.3339339999999998E-2</v>
      </c>
      <c r="F41" s="2">
        <v>0.22749820000000001</v>
      </c>
      <c r="G41" s="2">
        <v>0.14281468</v>
      </c>
      <c r="H41" s="2">
        <v>0.14099049999999999</v>
      </c>
      <c r="I41" s="2">
        <v>0.15758053999999999</v>
      </c>
      <c r="J41" s="2">
        <v>8.3124020000000007E-2</v>
      </c>
      <c r="K41" s="2">
        <v>1.5972981000000001E-2</v>
      </c>
      <c r="L41" s="2">
        <v>0.13936359000000001</v>
      </c>
      <c r="M41" s="2">
        <v>1</v>
      </c>
      <c r="N41" s="2">
        <v>8.1936629999999996E-2</v>
      </c>
      <c r="O41" s="2">
        <v>-9.9843090000000002E-3</v>
      </c>
      <c r="P41" s="2">
        <v>0.7909216</v>
      </c>
      <c r="Q41" s="2">
        <v>0.22081925999999999</v>
      </c>
      <c r="R41" s="2">
        <v>0.16288204000000001</v>
      </c>
      <c r="S41" s="2">
        <v>0.12353887</v>
      </c>
      <c r="T41" s="2">
        <v>0.13976435000000001</v>
      </c>
      <c r="U41" s="2">
        <v>7.9994599999999999E-2</v>
      </c>
      <c r="V41" s="2">
        <v>-2.9537576000000001E-4</v>
      </c>
      <c r="W41" s="2">
        <v>2.0917340999999999E-2</v>
      </c>
      <c r="X41" s="2">
        <v>1.8698664E-2</v>
      </c>
      <c r="Y41" s="2">
        <v>0.23014588999999999</v>
      </c>
      <c r="Z41" s="2">
        <v>0.18813114</v>
      </c>
      <c r="AA41" s="2">
        <v>0.14656678000000001</v>
      </c>
      <c r="AB41" s="2">
        <v>7.3452329999999996E-2</v>
      </c>
      <c r="AC41" s="2">
        <v>0.28133365999999999</v>
      </c>
      <c r="AD41" s="2">
        <v>0.18259465999999999</v>
      </c>
      <c r="AE41" s="2">
        <v>0.16404775999999999</v>
      </c>
      <c r="AF41" s="2">
        <v>0.23542531</v>
      </c>
      <c r="AG41" s="2">
        <v>0.23266354</v>
      </c>
      <c r="AH41" s="2">
        <v>8.1725049999999994E-2</v>
      </c>
      <c r="AI41" s="2">
        <v>0.20306657</v>
      </c>
      <c r="AJ41" s="2">
        <v>0.17813039</v>
      </c>
      <c r="AK41" s="2">
        <v>0.21107449</v>
      </c>
      <c r="AL41" s="2">
        <v>0.14662594000000001</v>
      </c>
      <c r="AM41" s="2">
        <v>6.5998755000000006E-2</v>
      </c>
      <c r="AN41" s="2">
        <v>0.117728055</v>
      </c>
      <c r="AO41" s="2">
        <v>8.8384329999999997E-2</v>
      </c>
      <c r="AP41" s="2">
        <v>-2.1602994E-2</v>
      </c>
      <c r="AQ41" s="2">
        <v>0.14651273000000001</v>
      </c>
      <c r="AR41" s="2">
        <v>0.20412068</v>
      </c>
      <c r="AS41" s="2">
        <v>0.17868339</v>
      </c>
      <c r="AT41" s="2">
        <v>0.123900175</v>
      </c>
      <c r="AU41" s="2">
        <v>0.13136730999999999</v>
      </c>
      <c r="AV41" s="2">
        <v>0.10250765000000001</v>
      </c>
      <c r="AW41" s="2">
        <v>0.22861181</v>
      </c>
      <c r="AX41" s="2">
        <v>0.13818759</v>
      </c>
      <c r="AY41" s="2">
        <v>0.13018793000000001</v>
      </c>
      <c r="AZ41" s="2">
        <v>0.16425037000000001</v>
      </c>
      <c r="BA41" s="2">
        <v>0.15625000999999999</v>
      </c>
      <c r="BB41" s="2">
        <v>0.12784481</v>
      </c>
      <c r="BC41" s="2">
        <v>0.23072533000000001</v>
      </c>
      <c r="BD41" s="2">
        <v>8.2051314E-2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Nippon Television Holdings, Inc.</v>
      </c>
      <c r="B42" s="4" t="str">
        <v>9404-JP</v>
      </c>
      <c r="C42" s="2">
        <v>5.7696770000000001E-2</v>
      </c>
      <c r="D42" s="2">
        <v>0.23129733</v>
      </c>
      <c r="E42" s="2">
        <v>0.105130285</v>
      </c>
      <c r="F42" s="2">
        <v>9.9655380000000002E-2</v>
      </c>
      <c r="G42" s="2">
        <v>0.24441767</v>
      </c>
      <c r="H42" s="2">
        <v>0.26495903999999998</v>
      </c>
      <c r="I42" s="2">
        <v>0.14538102</v>
      </c>
      <c r="J42" s="2">
        <v>0.20757486999999999</v>
      </c>
      <c r="K42" s="2">
        <v>0.24309765999999999</v>
      </c>
      <c r="L42" s="2">
        <v>0.27058422999999998</v>
      </c>
      <c r="M42" s="2">
        <v>8.1936629999999996E-2</v>
      </c>
      <c r="N42" s="2">
        <v>1</v>
      </c>
      <c r="O42" s="2">
        <v>0.23916314999999999</v>
      </c>
      <c r="P42" s="2">
        <v>4.4750276999999998E-2</v>
      </c>
      <c r="Q42" s="2">
        <v>1.6981214000000001E-2</v>
      </c>
      <c r="R42" s="2">
        <v>0.1617123</v>
      </c>
      <c r="S42" s="2">
        <v>0.27294003999999999</v>
      </c>
      <c r="T42" s="2">
        <v>0.30260155</v>
      </c>
      <c r="U42" s="2">
        <v>0.10007480000000001</v>
      </c>
      <c r="V42" s="2">
        <v>0.14474975000000001</v>
      </c>
      <c r="W42" s="2">
        <v>0.12904516999999999</v>
      </c>
      <c r="X42" s="2">
        <v>0.29296361999999998</v>
      </c>
      <c r="Y42" s="2">
        <v>0.15665960000000001</v>
      </c>
      <c r="Z42" s="2">
        <v>0.32688093000000001</v>
      </c>
      <c r="AA42" s="2">
        <v>0.2028914</v>
      </c>
      <c r="AB42" s="2">
        <v>0.29419872000000002</v>
      </c>
      <c r="AC42" s="2">
        <v>0.21292174</v>
      </c>
      <c r="AD42" s="2">
        <v>0.11496534999999999</v>
      </c>
      <c r="AE42" s="2">
        <v>0.16225684000000001</v>
      </c>
      <c r="AF42" s="2">
        <v>0.16923365000000001</v>
      </c>
      <c r="AG42" s="2">
        <v>0.46994829999999999</v>
      </c>
      <c r="AH42" s="2">
        <v>7.8547870000000006E-2</v>
      </c>
      <c r="AI42" s="2">
        <v>0.26281947</v>
      </c>
      <c r="AJ42" s="2">
        <v>0.54775099999999999</v>
      </c>
      <c r="AK42" s="2">
        <v>0.25157738000000002</v>
      </c>
      <c r="AL42" s="2">
        <v>0.20976432</v>
      </c>
      <c r="AM42" s="2">
        <v>0.14224622000000001</v>
      </c>
      <c r="AN42" s="2">
        <v>3.9051193999999997E-2</v>
      </c>
      <c r="AO42" s="2">
        <v>0.14397705</v>
      </c>
      <c r="AP42" s="2">
        <v>0.20232314000000001</v>
      </c>
      <c r="AQ42" s="2">
        <v>0.14918454</v>
      </c>
      <c r="AR42" s="2">
        <v>0.18004538</v>
      </c>
      <c r="AS42" s="2">
        <v>0.12029586</v>
      </c>
      <c r="AT42" s="2">
        <v>0.19683449</v>
      </c>
      <c r="AU42" s="2">
        <v>0.17798015</v>
      </c>
      <c r="AV42" s="2">
        <v>6.9902845000000005E-2</v>
      </c>
      <c r="AW42" s="2">
        <v>0.13757965</v>
      </c>
      <c r="AX42" s="2">
        <v>0.21731067000000001</v>
      </c>
      <c r="AY42" s="2">
        <v>0.20375265000000001</v>
      </c>
      <c r="AZ42" s="2">
        <v>0.12965497000000001</v>
      </c>
      <c r="BA42" s="2">
        <v>0.169486</v>
      </c>
      <c r="BB42" s="2">
        <v>0.104696594</v>
      </c>
      <c r="BC42" s="2">
        <v>0.46910723999999998</v>
      </c>
      <c r="BD42" s="2">
        <v>8.3685049999999997E-2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British American Tobacco p.l.c.</v>
      </c>
      <c r="B43" s="4" t="str">
        <v>BATS-GB</v>
      </c>
      <c r="C43" s="2">
        <v>9.3237600000000004E-3</v>
      </c>
      <c r="D43" s="2">
        <v>0.30663173999999999</v>
      </c>
      <c r="E43" s="2">
        <v>-3.5203863000000002E-2</v>
      </c>
      <c r="F43" s="2">
        <v>0.16391127999999999</v>
      </c>
      <c r="G43" s="2">
        <v>0.18713176000000001</v>
      </c>
      <c r="H43" s="2">
        <v>0.21382053000000001</v>
      </c>
      <c r="I43" s="2">
        <v>0.16068779999999999</v>
      </c>
      <c r="J43" s="2">
        <v>0.36080941999999999</v>
      </c>
      <c r="K43" s="2">
        <v>0.39362540000000001</v>
      </c>
      <c r="L43" s="2">
        <v>0.16850787</v>
      </c>
      <c r="M43" s="2">
        <v>-9.9843090000000002E-3</v>
      </c>
      <c r="N43" s="2">
        <v>0.23916314999999999</v>
      </c>
      <c r="O43" s="2">
        <v>1</v>
      </c>
      <c r="P43" s="2">
        <v>1.7160218000000001E-2</v>
      </c>
      <c r="Q43" s="2">
        <v>5.2258138000000003E-2</v>
      </c>
      <c r="R43" s="2">
        <v>0.13396565999999999</v>
      </c>
      <c r="S43" s="2">
        <v>0.30847242000000002</v>
      </c>
      <c r="T43" s="2">
        <v>0.37525760000000002</v>
      </c>
      <c r="U43" s="2">
        <v>0.20378281000000001</v>
      </c>
      <c r="V43" s="2">
        <v>0.32593262000000001</v>
      </c>
      <c r="W43" s="2">
        <v>0.22064010000000001</v>
      </c>
      <c r="X43" s="2">
        <v>0.64883599999999997</v>
      </c>
      <c r="Y43" s="2">
        <v>9.8832539999999997E-2</v>
      </c>
      <c r="Z43" s="2">
        <v>0.12571628000000001</v>
      </c>
      <c r="AA43" s="2">
        <v>5.7767150000000003E-2</v>
      </c>
      <c r="AB43" s="2">
        <v>0.15091081000000001</v>
      </c>
      <c r="AC43" s="2">
        <v>0.10077234</v>
      </c>
      <c r="AD43" s="2">
        <v>0.17820511999999999</v>
      </c>
      <c r="AE43" s="2">
        <v>0.27055701999999998</v>
      </c>
      <c r="AF43" s="2">
        <v>1.9894002000000002E-3</v>
      </c>
      <c r="AG43" s="2">
        <v>0.1732416</v>
      </c>
      <c r="AH43" s="2">
        <v>2.5661020999999999E-2</v>
      </c>
      <c r="AI43" s="2">
        <v>0.27103207000000001</v>
      </c>
      <c r="AJ43" s="2">
        <v>0.19139676</v>
      </c>
      <c r="AK43" s="2">
        <v>6.9140010000000002E-2</v>
      </c>
      <c r="AL43" s="2">
        <v>-5.9963009999999997E-2</v>
      </c>
      <c r="AM43" s="2">
        <v>0.14272022000000001</v>
      </c>
      <c r="AN43" s="2">
        <v>-3.806321E-2</v>
      </c>
      <c r="AO43" s="2">
        <v>0.15754731999999999</v>
      </c>
      <c r="AP43" s="2">
        <v>0.12112467</v>
      </c>
      <c r="AQ43" s="2">
        <v>-6.1183090000000002E-2</v>
      </c>
      <c r="AR43" s="2">
        <v>0.18597619000000001</v>
      </c>
      <c r="AS43" s="2">
        <v>0.101451896</v>
      </c>
      <c r="AT43" s="2">
        <v>1.6942929999999998E-2</v>
      </c>
      <c r="AU43" s="2">
        <v>-1.4069495E-2</v>
      </c>
      <c r="AV43" s="2">
        <v>-7.1466459999999996E-2</v>
      </c>
      <c r="AW43" s="2">
        <v>-9.9539764000000003E-2</v>
      </c>
      <c r="AX43" s="2">
        <v>9.3751000000000001E-2</v>
      </c>
      <c r="AY43" s="2">
        <v>7.7842060000000005E-2</v>
      </c>
      <c r="AZ43" s="2">
        <v>0.10708406600000001</v>
      </c>
      <c r="BA43" s="2">
        <v>0.14005029999999999</v>
      </c>
      <c r="BB43" s="2">
        <v>0.19602940999999999</v>
      </c>
      <c r="BC43" s="2">
        <v>0.10964750500000001</v>
      </c>
      <c r="BD43" s="2">
        <v>1.4801277E-2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Shinhan Financial Group Co., Ltd.</v>
      </c>
      <c r="B44" s="4" t="str">
        <v>055550-KR</v>
      </c>
      <c r="C44" s="2">
        <v>0.32412334999999998</v>
      </c>
      <c r="D44" s="2">
        <v>0.23434864</v>
      </c>
      <c r="E44" s="2">
        <v>0.122267865</v>
      </c>
      <c r="F44" s="2">
        <v>0.23482536000000001</v>
      </c>
      <c r="G44" s="2">
        <v>0.18611440000000001</v>
      </c>
      <c r="H44" s="2">
        <v>0.17885596000000001</v>
      </c>
      <c r="I44" s="2">
        <v>0.18350135000000001</v>
      </c>
      <c r="J44" s="2">
        <v>0.13065301000000001</v>
      </c>
      <c r="K44" s="2">
        <v>0.11296586</v>
      </c>
      <c r="L44" s="2">
        <v>0.14111083999999999</v>
      </c>
      <c r="M44" s="2">
        <v>0.7909216</v>
      </c>
      <c r="N44" s="2">
        <v>4.4750276999999998E-2</v>
      </c>
      <c r="O44" s="2">
        <v>1.7160218000000001E-2</v>
      </c>
      <c r="P44" s="2">
        <v>1</v>
      </c>
      <c r="Q44" s="2">
        <v>0.26975968</v>
      </c>
      <c r="R44" s="2">
        <v>0.15862134</v>
      </c>
      <c r="S44" s="2">
        <v>0.16991492999999999</v>
      </c>
      <c r="T44" s="2">
        <v>0.14354035000000001</v>
      </c>
      <c r="U44" s="2">
        <v>8.5330859999999994E-2</v>
      </c>
      <c r="V44" s="2">
        <v>2.3137781999999999E-2</v>
      </c>
      <c r="W44" s="2">
        <v>4.2250169999999997E-2</v>
      </c>
      <c r="X44" s="2">
        <v>7.2192640000000002E-2</v>
      </c>
      <c r="Y44" s="2">
        <v>0.23975208000000001</v>
      </c>
      <c r="Z44" s="2">
        <v>0.1992495</v>
      </c>
      <c r="AA44" s="2">
        <v>0.17663279000000001</v>
      </c>
      <c r="AB44" s="2">
        <v>0.10007402999999999</v>
      </c>
      <c r="AC44" s="2">
        <v>0.2647177</v>
      </c>
      <c r="AD44" s="2">
        <v>0.19425323999999999</v>
      </c>
      <c r="AE44" s="2">
        <v>0.17965929</v>
      </c>
      <c r="AF44" s="2">
        <v>0.21683453</v>
      </c>
      <c r="AG44" s="2">
        <v>0.16971617999999999</v>
      </c>
      <c r="AH44" s="2">
        <v>0.13410822999999999</v>
      </c>
      <c r="AI44" s="2">
        <v>0.18901707000000001</v>
      </c>
      <c r="AJ44" s="2">
        <v>0.114766166</v>
      </c>
      <c r="AK44" s="2">
        <v>0.23356119</v>
      </c>
      <c r="AL44" s="2">
        <v>0.17856295</v>
      </c>
      <c r="AM44" s="2">
        <v>0.15046672999999999</v>
      </c>
      <c r="AN44" s="2">
        <v>4.4127929999999999E-3</v>
      </c>
      <c r="AO44" s="2">
        <v>0.112520434</v>
      </c>
      <c r="AP44" s="2">
        <v>-4.5712444999999997E-2</v>
      </c>
      <c r="AQ44" s="2">
        <v>0.14959607</v>
      </c>
      <c r="AR44" s="2">
        <v>0.19148979999999999</v>
      </c>
      <c r="AS44" s="2">
        <v>0.12227142000000001</v>
      </c>
      <c r="AT44" s="2">
        <v>0.14057696</v>
      </c>
      <c r="AU44" s="2">
        <v>0.20874583999999999</v>
      </c>
      <c r="AV44" s="2">
        <v>7.6537060000000004E-2</v>
      </c>
      <c r="AW44" s="2">
        <v>0.21467103000000001</v>
      </c>
      <c r="AX44" s="2">
        <v>0.16450619999999999</v>
      </c>
      <c r="AY44" s="2">
        <v>0.15121283999999999</v>
      </c>
      <c r="AZ44" s="2">
        <v>0.13743027999999999</v>
      </c>
      <c r="BA44" s="2">
        <v>0.18710613000000001</v>
      </c>
      <c r="BB44" s="2">
        <v>0.17943506000000001</v>
      </c>
      <c r="BC44" s="2">
        <v>0.14450774</v>
      </c>
      <c r="BD44" s="2">
        <v>3.2514144000000002E-2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Standard Chartered PLC</v>
      </c>
      <c r="B45" s="4" t="str">
        <v>STAN-GB</v>
      </c>
      <c r="C45" s="2">
        <v>0.27744534999999998</v>
      </c>
      <c r="D45" s="2">
        <v>0.19595351999999999</v>
      </c>
      <c r="E45" s="2">
        <v>0.26046059999999999</v>
      </c>
      <c r="F45" s="2">
        <v>0.69445429999999997</v>
      </c>
      <c r="G45" s="2">
        <v>0.21109301</v>
      </c>
      <c r="H45" s="2">
        <v>0.24121783999999999</v>
      </c>
      <c r="I45" s="2">
        <v>0.52802400000000005</v>
      </c>
      <c r="J45" s="2">
        <v>0.16872404999999999</v>
      </c>
      <c r="K45" s="2">
        <v>0.18427015999999999</v>
      </c>
      <c r="L45" s="2">
        <v>0.17581394</v>
      </c>
      <c r="M45" s="2">
        <v>0.22081925999999999</v>
      </c>
      <c r="N45" s="2">
        <v>1.6981214000000001E-2</v>
      </c>
      <c r="O45" s="2">
        <v>5.2258138000000003E-2</v>
      </c>
      <c r="P45" s="2">
        <v>0.26975968</v>
      </c>
      <c r="Q45" s="2">
        <v>1</v>
      </c>
      <c r="R45" s="2">
        <v>0.46893923999999998</v>
      </c>
      <c r="S45" s="2">
        <v>1.6887756E-2</v>
      </c>
      <c r="T45" s="2">
        <v>0.29889539999999998</v>
      </c>
      <c r="U45" s="2">
        <v>0.43660070000000001</v>
      </c>
      <c r="V45" s="2">
        <v>-1.2362991E-2</v>
      </c>
      <c r="W45" s="2">
        <v>0.42210209999999998</v>
      </c>
      <c r="X45" s="2">
        <v>6.0187444E-2</v>
      </c>
      <c r="Y45" s="2">
        <v>0.22438721</v>
      </c>
      <c r="Z45" s="2">
        <v>0.23885476999999999</v>
      </c>
      <c r="AA45" s="2">
        <v>0.29591697</v>
      </c>
      <c r="AB45" s="2">
        <v>0.16750917000000001</v>
      </c>
      <c r="AC45" s="2">
        <v>0.39445560000000002</v>
      </c>
      <c r="AD45" s="2">
        <v>0.48735373999999998</v>
      </c>
      <c r="AE45" s="2">
        <v>0.32009783000000003</v>
      </c>
      <c r="AF45" s="2">
        <v>0.44546016999999999</v>
      </c>
      <c r="AG45" s="2">
        <v>0.20918179000000001</v>
      </c>
      <c r="AH45" s="2">
        <v>0.25338206000000002</v>
      </c>
      <c r="AI45" s="2">
        <v>0.21243961</v>
      </c>
      <c r="AJ45" s="2">
        <v>3.1924556999999999E-2</v>
      </c>
      <c r="AK45" s="2">
        <v>0.19671797999999999</v>
      </c>
      <c r="AL45" s="2">
        <v>0.3823146</v>
      </c>
      <c r="AM45" s="2">
        <v>5.5297602000000001E-2</v>
      </c>
      <c r="AN45" s="2">
        <v>0.1992276</v>
      </c>
      <c r="AO45" s="2">
        <v>0.12128377999999999</v>
      </c>
      <c r="AP45" s="2">
        <v>0.23282855999999999</v>
      </c>
      <c r="AQ45" s="2">
        <v>0.30008220000000002</v>
      </c>
      <c r="AR45" s="2">
        <v>0.30500755000000002</v>
      </c>
      <c r="AS45" s="2">
        <v>0.31501975999999998</v>
      </c>
      <c r="AT45" s="2">
        <v>0.30551194999999998</v>
      </c>
      <c r="AU45" s="2">
        <v>0.28268041999999999</v>
      </c>
      <c r="AV45" s="2">
        <v>0.16931251999999999</v>
      </c>
      <c r="AW45" s="2">
        <v>0.2924081</v>
      </c>
      <c r="AX45" s="2">
        <v>0.38074734999999998</v>
      </c>
      <c r="AY45" s="2">
        <v>0.30433830000000001</v>
      </c>
      <c r="AZ45" s="2">
        <v>0.72589784999999996</v>
      </c>
      <c r="BA45" s="2">
        <v>0.52025779999999999</v>
      </c>
      <c r="BB45" s="2">
        <v>0.56853330000000002</v>
      </c>
      <c r="BC45" s="2">
        <v>-8.121929E-2</v>
      </c>
      <c r="BD45" s="2">
        <v>8.1683640000000002E-2</v>
      </c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Bank of Ireland Group Plc</v>
      </c>
      <c r="B46" s="4" t="str">
        <v>BIRG-IE</v>
      </c>
      <c r="C46" s="2">
        <v>0.30242920000000001</v>
      </c>
      <c r="D46" s="2">
        <v>0.27419346999999999</v>
      </c>
      <c r="E46" s="2">
        <v>0.36773494000000001</v>
      </c>
      <c r="F46" s="2">
        <v>0.55422979999999999</v>
      </c>
      <c r="G46" s="2">
        <v>0.29676940000000002</v>
      </c>
      <c r="H46" s="2">
        <v>0.24585290000000001</v>
      </c>
      <c r="I46" s="2">
        <v>0.46300212000000002</v>
      </c>
      <c r="J46" s="2">
        <v>0.24353985</v>
      </c>
      <c r="K46" s="2">
        <v>0.24788368999999999</v>
      </c>
      <c r="L46" s="2">
        <v>0.34396988000000001</v>
      </c>
      <c r="M46" s="2">
        <v>0.16288204000000001</v>
      </c>
      <c r="N46" s="2">
        <v>0.1617123</v>
      </c>
      <c r="O46" s="2">
        <v>0.13396565999999999</v>
      </c>
      <c r="P46" s="2">
        <v>0.15862134</v>
      </c>
      <c r="Q46" s="2">
        <v>0.46893923999999998</v>
      </c>
      <c r="R46" s="2">
        <v>1</v>
      </c>
      <c r="S46" s="2">
        <v>0.17257744</v>
      </c>
      <c r="T46" s="2">
        <v>0.48384902000000002</v>
      </c>
      <c r="U46" s="2">
        <v>0.6429047</v>
      </c>
      <c r="V46" s="2">
        <v>4.8517513999999998E-2</v>
      </c>
      <c r="W46" s="2">
        <v>0.56121606000000002</v>
      </c>
      <c r="X46" s="2">
        <v>0.16456148000000001</v>
      </c>
      <c r="Y46" s="2">
        <v>0.21885937</v>
      </c>
      <c r="Z46" s="2">
        <v>0.26655669999999998</v>
      </c>
      <c r="AA46" s="2">
        <v>0.33111786999999998</v>
      </c>
      <c r="AB46" s="2">
        <v>0.16200133999999999</v>
      </c>
      <c r="AC46" s="2">
        <v>0.45053408</v>
      </c>
      <c r="AD46" s="2">
        <v>0.62338959999999999</v>
      </c>
      <c r="AE46" s="2">
        <v>0.459231</v>
      </c>
      <c r="AF46" s="2">
        <v>0.48128854999999998</v>
      </c>
      <c r="AG46" s="2">
        <v>0.30312640000000002</v>
      </c>
      <c r="AH46" s="2">
        <v>0.26996332000000001</v>
      </c>
      <c r="AI46" s="2">
        <v>0.32110172999999997</v>
      </c>
      <c r="AJ46" s="2">
        <v>0.15477751000000001</v>
      </c>
      <c r="AK46" s="2">
        <v>0.27573449999999999</v>
      </c>
      <c r="AL46" s="2">
        <v>0.51881330000000003</v>
      </c>
      <c r="AM46" s="2">
        <v>0.30553922</v>
      </c>
      <c r="AN46" s="2">
        <v>0.14070487000000001</v>
      </c>
      <c r="AO46" s="2">
        <v>0.13535625000000001</v>
      </c>
      <c r="AP46" s="2">
        <v>0.34984749999999998</v>
      </c>
      <c r="AQ46" s="2">
        <v>0.52461915999999997</v>
      </c>
      <c r="AR46" s="2">
        <v>0.34357110000000002</v>
      </c>
      <c r="AS46" s="2">
        <v>0.34057029999999999</v>
      </c>
      <c r="AT46" s="2">
        <v>0.45550716000000002</v>
      </c>
      <c r="AU46" s="2">
        <v>0.28817487000000003</v>
      </c>
      <c r="AV46" s="2">
        <v>0.24219123000000001</v>
      </c>
      <c r="AW46" s="2">
        <v>0.27762565</v>
      </c>
      <c r="AX46" s="2">
        <v>0.40001750000000003</v>
      </c>
      <c r="AY46" s="2">
        <v>0.51787954999999997</v>
      </c>
      <c r="AZ46" s="2">
        <v>0.53447299999999998</v>
      </c>
      <c r="BA46" s="2">
        <v>0.61854469999999995</v>
      </c>
      <c r="BB46" s="2">
        <v>0.50658760000000003</v>
      </c>
      <c r="BC46" s="2">
        <v>2.4644012E-2</v>
      </c>
      <c r="BD46" s="2">
        <v>0.124135286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Koninklijke Ahold Delhaize N.V.</v>
      </c>
      <c r="B47" s="4" t="str">
        <v>AD-NL</v>
      </c>
      <c r="C47" s="2">
        <v>0.15374705</v>
      </c>
      <c r="D47" s="2">
        <v>0.33582336000000002</v>
      </c>
      <c r="E47" s="2">
        <v>0.20681098000000001</v>
      </c>
      <c r="F47" s="2">
        <v>0.16893730000000001</v>
      </c>
      <c r="G47" s="2">
        <v>0.29427439999999999</v>
      </c>
      <c r="H47" s="2">
        <v>0.3920304</v>
      </c>
      <c r="I47" s="2">
        <v>0.17992984000000001</v>
      </c>
      <c r="J47" s="2">
        <v>0.37719904999999998</v>
      </c>
      <c r="K47" s="2">
        <v>0.41040673999999999</v>
      </c>
      <c r="L47" s="2">
        <v>0.38726735000000001</v>
      </c>
      <c r="M47" s="2">
        <v>0.12353887</v>
      </c>
      <c r="N47" s="2">
        <v>0.27294003999999999</v>
      </c>
      <c r="O47" s="2">
        <v>0.30847242000000002</v>
      </c>
      <c r="P47" s="2">
        <v>0.16991492999999999</v>
      </c>
      <c r="Q47" s="2">
        <v>1.6887756E-2</v>
      </c>
      <c r="R47" s="2">
        <v>0.17257744</v>
      </c>
      <c r="S47" s="2">
        <v>1</v>
      </c>
      <c r="T47" s="2">
        <v>0.47213304</v>
      </c>
      <c r="U47" s="2">
        <v>0.13689572</v>
      </c>
      <c r="V47" s="2">
        <v>0.45907049999999999</v>
      </c>
      <c r="W47" s="2">
        <v>0.16388401</v>
      </c>
      <c r="X47" s="2">
        <v>0.42838021999999998</v>
      </c>
      <c r="Y47" s="2">
        <v>0.30435522999999998</v>
      </c>
      <c r="Z47" s="2">
        <v>0.2149124</v>
      </c>
      <c r="AA47" s="2">
        <v>0.14456657000000001</v>
      </c>
      <c r="AB47" s="2">
        <v>0.30004922000000001</v>
      </c>
      <c r="AC47" s="2">
        <v>0.27139020000000003</v>
      </c>
      <c r="AD47" s="2">
        <v>0.24740052000000001</v>
      </c>
      <c r="AE47" s="2">
        <v>0.44366994999999998</v>
      </c>
      <c r="AF47" s="2">
        <v>0.1062748</v>
      </c>
      <c r="AG47" s="2">
        <v>0.29215837</v>
      </c>
      <c r="AH47" s="2">
        <v>9.5619529999999994E-2</v>
      </c>
      <c r="AI47" s="2">
        <v>0.40769058000000002</v>
      </c>
      <c r="AJ47" s="2">
        <v>0.37051835999999999</v>
      </c>
      <c r="AK47" s="2">
        <v>0.14890496</v>
      </c>
      <c r="AL47" s="2">
        <v>0.21321878</v>
      </c>
      <c r="AM47" s="2">
        <v>0.41865599999999997</v>
      </c>
      <c r="AN47" s="2">
        <v>-3.3967476000000003E-2</v>
      </c>
      <c r="AO47" s="2">
        <v>0.12761724999999999</v>
      </c>
      <c r="AP47" s="2">
        <v>0.20349069</v>
      </c>
      <c r="AQ47" s="2">
        <v>0.21220170999999999</v>
      </c>
      <c r="AR47" s="2">
        <v>0.26860436999999998</v>
      </c>
      <c r="AS47" s="2">
        <v>0.10452</v>
      </c>
      <c r="AT47" s="2">
        <v>0.14664163999999999</v>
      </c>
      <c r="AU47" s="2">
        <v>6.2269850000000002E-2</v>
      </c>
      <c r="AV47" s="2">
        <v>0.1304197</v>
      </c>
      <c r="AW47" s="2">
        <v>-4.4319745000000001E-2</v>
      </c>
      <c r="AX47" s="2">
        <v>0.18623486</v>
      </c>
      <c r="AY47" s="2">
        <v>0.28211477000000001</v>
      </c>
      <c r="AZ47" s="2">
        <v>0.15434521000000001</v>
      </c>
      <c r="BA47" s="2">
        <v>0.15272357</v>
      </c>
      <c r="BB47" s="2">
        <v>0.22449669999999999</v>
      </c>
      <c r="BC47" s="2">
        <v>0.27864625999999998</v>
      </c>
      <c r="BD47" s="2">
        <v>8.7751599999999999E-2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ageas SA/NV</v>
      </c>
      <c r="B48" s="4" t="str">
        <v>AGS-BE</v>
      </c>
      <c r="C48" s="2">
        <v>0.23169256999999999</v>
      </c>
      <c r="D48" s="2">
        <v>0.35078042999999998</v>
      </c>
      <c r="E48" s="2">
        <v>0.30584070000000002</v>
      </c>
      <c r="F48" s="2">
        <v>0.48482448</v>
      </c>
      <c r="G48" s="2">
        <v>0.35786351999999999</v>
      </c>
      <c r="H48" s="2">
        <v>0.39453579999999999</v>
      </c>
      <c r="I48" s="2">
        <v>0.51133936999999996</v>
      </c>
      <c r="J48" s="2">
        <v>0.42979074</v>
      </c>
      <c r="K48" s="2">
        <v>0.43407067999999999</v>
      </c>
      <c r="L48" s="2">
        <v>0.33134355999999998</v>
      </c>
      <c r="M48" s="2">
        <v>0.13976435000000001</v>
      </c>
      <c r="N48" s="2">
        <v>0.30260155</v>
      </c>
      <c r="O48" s="2">
        <v>0.37525760000000002</v>
      </c>
      <c r="P48" s="2">
        <v>0.14354035000000001</v>
      </c>
      <c r="Q48" s="2">
        <v>0.29889539999999998</v>
      </c>
      <c r="R48" s="2">
        <v>0.48384902000000002</v>
      </c>
      <c r="S48" s="2">
        <v>0.47213304</v>
      </c>
      <c r="T48" s="2">
        <v>1</v>
      </c>
      <c r="U48" s="2">
        <v>0.49188352000000002</v>
      </c>
      <c r="V48" s="2">
        <v>0.27058357</v>
      </c>
      <c r="W48" s="2">
        <v>0.48520764999999999</v>
      </c>
      <c r="X48" s="2">
        <v>0.41761142000000001</v>
      </c>
      <c r="Y48" s="2">
        <v>0.2622834</v>
      </c>
      <c r="Z48" s="2">
        <v>0.29049029999999998</v>
      </c>
      <c r="AA48" s="2">
        <v>0.24272637</v>
      </c>
      <c r="AB48" s="2">
        <v>0.27564684</v>
      </c>
      <c r="AC48" s="2">
        <v>0.42812547000000001</v>
      </c>
      <c r="AD48" s="2">
        <v>0.54407172999999998</v>
      </c>
      <c r="AE48" s="2">
        <v>0.68612503999999996</v>
      </c>
      <c r="AF48" s="2">
        <v>0.31312712999999998</v>
      </c>
      <c r="AG48" s="2">
        <v>0.33341545</v>
      </c>
      <c r="AH48" s="2">
        <v>0.28076200000000001</v>
      </c>
      <c r="AI48" s="2">
        <v>0.51457909999999996</v>
      </c>
      <c r="AJ48" s="2">
        <v>0.37190943999999998</v>
      </c>
      <c r="AK48" s="2">
        <v>0.24686997999999999</v>
      </c>
      <c r="AL48" s="2">
        <v>0.38863750000000002</v>
      </c>
      <c r="AM48" s="2">
        <v>0.36957543999999998</v>
      </c>
      <c r="AN48" s="2">
        <v>9.8456963999999994E-2</v>
      </c>
      <c r="AO48" s="2">
        <v>0.22153173000000001</v>
      </c>
      <c r="AP48" s="2">
        <v>0.42305544</v>
      </c>
      <c r="AQ48" s="2">
        <v>0.35117500000000001</v>
      </c>
      <c r="AR48" s="2">
        <v>0.46017884999999997</v>
      </c>
      <c r="AS48" s="2">
        <v>0.34658408000000002</v>
      </c>
      <c r="AT48" s="2">
        <v>0.34923156999999999</v>
      </c>
      <c r="AU48" s="2">
        <v>0.23835418999999999</v>
      </c>
      <c r="AV48" s="2">
        <v>0.25837216000000002</v>
      </c>
      <c r="AW48" s="2">
        <v>0.11456311</v>
      </c>
      <c r="AX48" s="2">
        <v>0.32978255000000001</v>
      </c>
      <c r="AY48" s="2">
        <v>0.45624098000000002</v>
      </c>
      <c r="AZ48" s="2">
        <v>0.44322600000000001</v>
      </c>
      <c r="BA48" s="2">
        <v>0.5540081</v>
      </c>
      <c r="BB48" s="2">
        <v>0.47647947000000002</v>
      </c>
      <c r="BC48" s="2">
        <v>0.18985726</v>
      </c>
      <c r="BD48" s="2">
        <v>0.11983190000000001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ABN AMRO Bank N.V. Depositary receipts</v>
      </c>
      <c r="B49" s="4" t="str">
        <v>ABN-NL</v>
      </c>
      <c r="C49" s="2">
        <v>0.23839998000000001</v>
      </c>
      <c r="D49" s="2">
        <v>0.23431805</v>
      </c>
      <c r="E49" s="2">
        <v>0.37437049999999999</v>
      </c>
      <c r="F49" s="2">
        <v>0.55726503999999999</v>
      </c>
      <c r="G49" s="2">
        <v>0.30823215999999998</v>
      </c>
      <c r="H49" s="2">
        <v>0.30680787999999998</v>
      </c>
      <c r="I49" s="2">
        <v>0.47655067000000001</v>
      </c>
      <c r="J49" s="2">
        <v>0.17759923999999999</v>
      </c>
      <c r="K49" s="2">
        <v>0.25425160000000002</v>
      </c>
      <c r="L49" s="2">
        <v>0.31015029999999999</v>
      </c>
      <c r="M49" s="2">
        <v>7.9994599999999999E-2</v>
      </c>
      <c r="N49" s="2">
        <v>0.10007480000000001</v>
      </c>
      <c r="O49" s="2">
        <v>0.20378281000000001</v>
      </c>
      <c r="P49" s="2">
        <v>8.5330859999999994E-2</v>
      </c>
      <c r="Q49" s="2">
        <v>0.43660070000000001</v>
      </c>
      <c r="R49" s="2">
        <v>0.6429047</v>
      </c>
      <c r="S49" s="2">
        <v>0.13689572</v>
      </c>
      <c r="T49" s="2">
        <v>0.49188352000000002</v>
      </c>
      <c r="U49" s="2">
        <v>1</v>
      </c>
      <c r="V49" s="2">
        <v>1.4430686999999999E-2</v>
      </c>
      <c r="W49" s="2">
        <v>0.56614830000000005</v>
      </c>
      <c r="X49" s="2">
        <v>0.10618144</v>
      </c>
      <c r="Y49" s="2">
        <v>0.16895378</v>
      </c>
      <c r="Z49" s="2">
        <v>0.18535570000000001</v>
      </c>
      <c r="AA49" s="2">
        <v>0.21756436000000001</v>
      </c>
      <c r="AB49" s="2">
        <v>0.14110576</v>
      </c>
      <c r="AC49" s="2">
        <v>0.39577410000000002</v>
      </c>
      <c r="AD49" s="2">
        <v>0.61598799999999998</v>
      </c>
      <c r="AE49" s="2">
        <v>0.49858105000000003</v>
      </c>
      <c r="AF49" s="2">
        <v>0.41202164000000002</v>
      </c>
      <c r="AG49" s="2">
        <v>0.25374143999999998</v>
      </c>
      <c r="AH49" s="2">
        <v>0.19331512000000001</v>
      </c>
      <c r="AI49" s="2">
        <v>0.25219789999999997</v>
      </c>
      <c r="AJ49" s="2">
        <v>7.3411404999999999E-2</v>
      </c>
      <c r="AK49" s="2">
        <v>0.21842164</v>
      </c>
      <c r="AL49" s="2">
        <v>0.43226722000000001</v>
      </c>
      <c r="AM49" s="2">
        <v>0.23980746999999999</v>
      </c>
      <c r="AN49" s="2">
        <v>0.19950082999999999</v>
      </c>
      <c r="AO49" s="2">
        <v>0.14443988999999999</v>
      </c>
      <c r="AP49" s="2">
        <v>0.34375894000000001</v>
      </c>
      <c r="AQ49" s="2">
        <v>0.35805832999999998</v>
      </c>
      <c r="AR49" s="2">
        <v>0.33699005999999998</v>
      </c>
      <c r="AS49" s="2">
        <v>0.34852699999999998</v>
      </c>
      <c r="AT49" s="2">
        <v>0.40299775999999998</v>
      </c>
      <c r="AU49" s="2">
        <v>0.2307381</v>
      </c>
      <c r="AV49" s="2">
        <v>0.26141375</v>
      </c>
      <c r="AW49" s="2">
        <v>0.22415507000000001</v>
      </c>
      <c r="AX49" s="2">
        <v>0.39388356000000002</v>
      </c>
      <c r="AY49" s="2">
        <v>0.47726481999999998</v>
      </c>
      <c r="AZ49" s="2">
        <v>0.49590677</v>
      </c>
      <c r="BA49" s="2">
        <v>0.60742260000000003</v>
      </c>
      <c r="BB49" s="2">
        <v>0.49742871999999999</v>
      </c>
      <c r="BC49" s="2">
        <v>-1.0432412E-2</v>
      </c>
      <c r="BD49" s="2">
        <v>0.13231308999999999</v>
      </c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Tesco PLC</v>
      </c>
      <c r="B50" s="4" t="str">
        <v>TSCO-GB</v>
      </c>
      <c r="C50" s="2">
        <v>4.2678997000000003E-2</v>
      </c>
      <c r="D50" s="2">
        <v>0.24602727999999999</v>
      </c>
      <c r="E50" s="2">
        <v>1.0998653000000001E-2</v>
      </c>
      <c r="F50" s="2">
        <v>9.9806524999999993E-2</v>
      </c>
      <c r="G50" s="2">
        <v>0.13569725999999999</v>
      </c>
      <c r="H50" s="2">
        <v>0.24908449999999999</v>
      </c>
      <c r="I50" s="2">
        <v>9.6001139999999999E-2</v>
      </c>
      <c r="J50" s="2">
        <v>0.32320284999999999</v>
      </c>
      <c r="K50" s="2">
        <v>0.28357475999999998</v>
      </c>
      <c r="L50" s="2">
        <v>0.23535341000000001</v>
      </c>
      <c r="M50" s="2">
        <v>-2.9537576000000001E-4</v>
      </c>
      <c r="N50" s="2">
        <v>0.14474975000000001</v>
      </c>
      <c r="O50" s="2">
        <v>0.32593262000000001</v>
      </c>
      <c r="P50" s="2">
        <v>2.3137781999999999E-2</v>
      </c>
      <c r="Q50" s="2">
        <v>-1.2362991E-2</v>
      </c>
      <c r="R50" s="2">
        <v>4.8517513999999998E-2</v>
      </c>
      <c r="S50" s="2">
        <v>0.45907049999999999</v>
      </c>
      <c r="T50" s="2">
        <v>0.27058357</v>
      </c>
      <c r="U50" s="2">
        <v>1.4430686999999999E-2</v>
      </c>
      <c r="V50" s="2">
        <v>1</v>
      </c>
      <c r="W50" s="2">
        <v>1.2458648500000001E-2</v>
      </c>
      <c r="X50" s="2">
        <v>0.38652249999999999</v>
      </c>
      <c r="Y50" s="2">
        <v>0.1657382</v>
      </c>
      <c r="Z50" s="2">
        <v>7.855782E-2</v>
      </c>
      <c r="AA50" s="2">
        <v>1.5129197E-2</v>
      </c>
      <c r="AB50" s="2">
        <v>0.11516703</v>
      </c>
      <c r="AC50" s="2">
        <v>-2.7158432E-2</v>
      </c>
      <c r="AD50" s="2">
        <v>1.3797424000000001E-2</v>
      </c>
      <c r="AE50" s="2">
        <v>0.26490196999999999</v>
      </c>
      <c r="AF50" s="2">
        <v>2.4525749999999999E-2</v>
      </c>
      <c r="AG50" s="2">
        <v>0.11290042</v>
      </c>
      <c r="AH50" s="2">
        <v>9.1429560000000007E-2</v>
      </c>
      <c r="AI50" s="2">
        <v>0.31499084999999999</v>
      </c>
      <c r="AJ50" s="2">
        <v>0.17622136999999999</v>
      </c>
      <c r="AK50" s="2">
        <v>5.4147013000000001E-2</v>
      </c>
      <c r="AL50" s="2">
        <v>3.0308261999999999E-2</v>
      </c>
      <c r="AM50" s="2">
        <v>0.23581550000000001</v>
      </c>
      <c r="AN50" s="2">
        <v>-1.3856756499999999E-2</v>
      </c>
      <c r="AO50" s="2">
        <v>4.2721352999999997E-2</v>
      </c>
      <c r="AP50" s="2">
        <v>9.4765409999999994E-2</v>
      </c>
      <c r="AQ50" s="2">
        <v>3.1262237999999998E-2</v>
      </c>
      <c r="AR50" s="2">
        <v>9.7374769999999999E-2</v>
      </c>
      <c r="AS50" s="2">
        <v>9.3984040000000005E-2</v>
      </c>
      <c r="AT50" s="2">
        <v>-1.6569002999999999E-2</v>
      </c>
      <c r="AU50" s="2">
        <v>7.2081599999999996E-2</v>
      </c>
      <c r="AV50" s="2">
        <v>8.3163130000000002E-2</v>
      </c>
      <c r="AW50" s="2">
        <v>2.9294983E-2</v>
      </c>
      <c r="AX50" s="2">
        <v>5.9168680000000001E-2</v>
      </c>
      <c r="AY50" s="2">
        <v>0.12208571</v>
      </c>
      <c r="AZ50" s="2">
        <v>4.3537623999999997E-2</v>
      </c>
      <c r="BA50" s="2">
        <v>-2.1926234999999999E-2</v>
      </c>
      <c r="BB50" s="2">
        <v>0.22453076999999999</v>
      </c>
      <c r="BC50" s="2">
        <v>7.5990594999999994E-2</v>
      </c>
      <c r="BD50" s="2">
        <v>-2.2508641999999999E-2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Societe Generale S.A. Class A</v>
      </c>
      <c r="B51" s="4" t="str">
        <v>GLE-FR</v>
      </c>
      <c r="C51" s="2">
        <v>0.20377572999999999</v>
      </c>
      <c r="D51" s="2">
        <v>0.16200371</v>
      </c>
      <c r="E51" s="2">
        <v>0.30691358000000002</v>
      </c>
      <c r="F51" s="2">
        <v>0.58696550000000003</v>
      </c>
      <c r="G51" s="2">
        <v>0.18180743999999999</v>
      </c>
      <c r="H51" s="2">
        <v>0.19422026000000001</v>
      </c>
      <c r="I51" s="2">
        <v>0.45957310000000001</v>
      </c>
      <c r="J51" s="2">
        <v>0.19301940000000001</v>
      </c>
      <c r="K51" s="2">
        <v>0.23018886</v>
      </c>
      <c r="L51" s="2">
        <v>0.19174223000000001</v>
      </c>
      <c r="M51" s="2">
        <v>2.0917340999999999E-2</v>
      </c>
      <c r="N51" s="2">
        <v>0.12904516999999999</v>
      </c>
      <c r="O51" s="2">
        <v>0.22064010000000001</v>
      </c>
      <c r="P51" s="2">
        <v>4.2250169999999997E-2</v>
      </c>
      <c r="Q51" s="2">
        <v>0.42210209999999998</v>
      </c>
      <c r="R51" s="2">
        <v>0.56121606000000002</v>
      </c>
      <c r="S51" s="2">
        <v>0.16388401</v>
      </c>
      <c r="T51" s="2">
        <v>0.48520764999999999</v>
      </c>
      <c r="U51" s="2">
        <v>0.56614830000000005</v>
      </c>
      <c r="V51" s="2">
        <v>1.2458648500000001E-2</v>
      </c>
      <c r="W51" s="2">
        <v>1</v>
      </c>
      <c r="X51" s="2">
        <v>0.22058966999999999</v>
      </c>
      <c r="Y51" s="2">
        <v>0.19747297</v>
      </c>
      <c r="Z51" s="2">
        <v>0.16969190000000001</v>
      </c>
      <c r="AA51" s="2">
        <v>0.32036170000000003</v>
      </c>
      <c r="AB51" s="2">
        <v>0.11358111</v>
      </c>
      <c r="AC51" s="2">
        <v>0.40516819999999998</v>
      </c>
      <c r="AD51" s="2">
        <v>0.66888919999999996</v>
      </c>
      <c r="AE51" s="2">
        <v>0.57412269999999999</v>
      </c>
      <c r="AF51" s="2">
        <v>0.37778001999999999</v>
      </c>
      <c r="AG51" s="2">
        <v>0.24262643</v>
      </c>
      <c r="AH51" s="2">
        <v>0.17240506</v>
      </c>
      <c r="AI51" s="2">
        <v>0.20630193999999999</v>
      </c>
      <c r="AJ51" s="2">
        <v>9.9178984999999997E-2</v>
      </c>
      <c r="AK51" s="2">
        <v>0.20838683999999999</v>
      </c>
      <c r="AL51" s="2">
        <v>0.46770686</v>
      </c>
      <c r="AM51" s="2">
        <v>0.29008835999999999</v>
      </c>
      <c r="AN51" s="2">
        <v>0.18376306000000001</v>
      </c>
      <c r="AO51" s="2">
        <v>0.13467825999999999</v>
      </c>
      <c r="AP51" s="2">
        <v>0.26551130000000001</v>
      </c>
      <c r="AQ51" s="2">
        <v>0.36364891999999999</v>
      </c>
      <c r="AR51" s="2">
        <v>0.31881973000000002</v>
      </c>
      <c r="AS51" s="2">
        <v>0.25133296999999999</v>
      </c>
      <c r="AT51" s="2">
        <v>0.42848252999999997</v>
      </c>
      <c r="AU51" s="2">
        <v>0.23402572999999999</v>
      </c>
      <c r="AV51" s="2">
        <v>0.26373397999999998</v>
      </c>
      <c r="AW51" s="2">
        <v>0.10313499</v>
      </c>
      <c r="AX51" s="2">
        <v>0.28421748000000002</v>
      </c>
      <c r="AY51" s="2">
        <v>0.47260173999999999</v>
      </c>
      <c r="AZ51" s="2">
        <v>0.48263763999999998</v>
      </c>
      <c r="BA51" s="2">
        <v>0.66163890000000003</v>
      </c>
      <c r="BB51" s="2">
        <v>0.51931740000000004</v>
      </c>
      <c r="BC51" s="2">
        <v>-4.1177314E-2</v>
      </c>
      <c r="BD51" s="2">
        <v>0.10391598000000001</v>
      </c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Imperial Brands PLC</v>
      </c>
      <c r="B52" s="4" t="str">
        <v>IMB-GB</v>
      </c>
      <c r="C52" s="2">
        <v>6.5575226000000005E-4</v>
      </c>
      <c r="D52" s="2">
        <v>0.29874682000000002</v>
      </c>
      <c r="E52" s="2">
        <v>4.2965557000000001E-2</v>
      </c>
      <c r="F52" s="2">
        <v>0.14960672999999999</v>
      </c>
      <c r="G52" s="2">
        <v>0.19068078999999999</v>
      </c>
      <c r="H52" s="2">
        <v>0.24666187000000001</v>
      </c>
      <c r="I52" s="2">
        <v>0.21039611</v>
      </c>
      <c r="J52" s="2">
        <v>0.39652525999999999</v>
      </c>
      <c r="K52" s="2">
        <v>0.42372852999999999</v>
      </c>
      <c r="L52" s="2">
        <v>0.28271010000000002</v>
      </c>
      <c r="M52" s="2">
        <v>1.8698664E-2</v>
      </c>
      <c r="N52" s="2">
        <v>0.29296361999999998</v>
      </c>
      <c r="O52" s="2">
        <v>0.64883599999999997</v>
      </c>
      <c r="P52" s="2">
        <v>7.2192640000000002E-2</v>
      </c>
      <c r="Q52" s="2">
        <v>6.0187444E-2</v>
      </c>
      <c r="R52" s="2">
        <v>0.16456148000000001</v>
      </c>
      <c r="S52" s="2">
        <v>0.42838021999999998</v>
      </c>
      <c r="T52" s="2">
        <v>0.41761142000000001</v>
      </c>
      <c r="U52" s="2">
        <v>0.10618144</v>
      </c>
      <c r="V52" s="2">
        <v>0.38652249999999999</v>
      </c>
      <c r="W52" s="2">
        <v>0.22058966999999999</v>
      </c>
      <c r="X52" s="2">
        <v>1</v>
      </c>
      <c r="Y52" s="2">
        <v>0.16244707999999999</v>
      </c>
      <c r="Z52" s="2">
        <v>0.22805749</v>
      </c>
      <c r="AA52" s="2">
        <v>0.10443455</v>
      </c>
      <c r="AB52" s="2">
        <v>0.12949663</v>
      </c>
      <c r="AC52" s="2">
        <v>0.13138045000000001</v>
      </c>
      <c r="AD52" s="2">
        <v>0.16295005000000001</v>
      </c>
      <c r="AE52" s="2">
        <v>0.34010365999999997</v>
      </c>
      <c r="AF52" s="2">
        <v>0.14325514</v>
      </c>
      <c r="AG52" s="2">
        <v>0.23387442999999999</v>
      </c>
      <c r="AH52" s="2">
        <v>-3.5711113000000003E-2</v>
      </c>
      <c r="AI52" s="2">
        <v>0.35227283999999998</v>
      </c>
      <c r="AJ52" s="2">
        <v>0.35498594999999999</v>
      </c>
      <c r="AK52" s="2">
        <v>5.179342E-2</v>
      </c>
      <c r="AL52" s="2">
        <v>5.0698123999999997E-2</v>
      </c>
      <c r="AM52" s="2">
        <v>0.17381921</v>
      </c>
      <c r="AN52" s="2">
        <v>6.8827189999999998E-3</v>
      </c>
      <c r="AO52" s="2">
        <v>0.11807197</v>
      </c>
      <c r="AP52" s="2">
        <v>0.13913848000000001</v>
      </c>
      <c r="AQ52" s="2">
        <v>2.3682953E-3</v>
      </c>
      <c r="AR52" s="2">
        <v>0.21145596</v>
      </c>
      <c r="AS52" s="2">
        <v>0.14293362000000001</v>
      </c>
      <c r="AT52" s="2">
        <v>7.8341670000000002E-2</v>
      </c>
      <c r="AU52" s="2">
        <v>9.2363245999999996E-2</v>
      </c>
      <c r="AV52" s="2">
        <v>2.3706471999999999E-2</v>
      </c>
      <c r="AW52" s="2">
        <v>-7.5431264999999997E-2</v>
      </c>
      <c r="AX52" s="2">
        <v>0.19185517999999999</v>
      </c>
      <c r="AY52" s="2">
        <v>0.13924001</v>
      </c>
      <c r="AZ52" s="2">
        <v>0.18473953000000001</v>
      </c>
      <c r="BA52" s="2">
        <v>0.13394189000000001</v>
      </c>
      <c r="BB52" s="2">
        <v>0.20564822999999999</v>
      </c>
      <c r="BC52" s="2">
        <v>0.12012397499999999</v>
      </c>
      <c r="BD52" s="2">
        <v>6.9084199999999998E-2</v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WPP Plc</v>
      </c>
      <c r="B53" s="4" t="str">
        <v>WPP-GB</v>
      </c>
      <c r="C53" s="2">
        <v>0.22910605000000001</v>
      </c>
      <c r="D53" s="2">
        <v>0.23082240000000001</v>
      </c>
      <c r="E53" s="2">
        <v>0.25343262999999999</v>
      </c>
      <c r="F53" s="2">
        <v>0.34431233999999999</v>
      </c>
      <c r="G53" s="2">
        <v>0.25558740000000002</v>
      </c>
      <c r="H53" s="2">
        <v>0.28441343000000002</v>
      </c>
      <c r="I53" s="2">
        <v>0.38980720000000002</v>
      </c>
      <c r="J53" s="2">
        <v>0.23614803000000001</v>
      </c>
      <c r="K53" s="2">
        <v>0.25300652000000001</v>
      </c>
      <c r="L53" s="2">
        <v>0.29728221999999999</v>
      </c>
      <c r="M53" s="2">
        <v>0.23014588999999999</v>
      </c>
      <c r="N53" s="2">
        <v>0.15665960000000001</v>
      </c>
      <c r="O53" s="2">
        <v>9.8832539999999997E-2</v>
      </c>
      <c r="P53" s="2">
        <v>0.23975208000000001</v>
      </c>
      <c r="Q53" s="2">
        <v>0.22438721</v>
      </c>
      <c r="R53" s="2">
        <v>0.21885937</v>
      </c>
      <c r="S53" s="2">
        <v>0.30435522999999998</v>
      </c>
      <c r="T53" s="2">
        <v>0.2622834</v>
      </c>
      <c r="U53" s="2">
        <v>0.16895378</v>
      </c>
      <c r="V53" s="2">
        <v>0.1657382</v>
      </c>
      <c r="W53" s="2">
        <v>0.19747297</v>
      </c>
      <c r="X53" s="2">
        <v>0.16244707999999999</v>
      </c>
      <c r="Y53" s="2">
        <v>1</v>
      </c>
      <c r="Z53" s="2">
        <v>0.23764698000000001</v>
      </c>
      <c r="AA53" s="2">
        <v>0.34078767999999998</v>
      </c>
      <c r="AB53" s="2">
        <v>0.15887490000000001</v>
      </c>
      <c r="AC53" s="2">
        <v>0.38372114000000002</v>
      </c>
      <c r="AD53" s="2">
        <v>0.22227459999999999</v>
      </c>
      <c r="AE53" s="2">
        <v>0.32506015999999999</v>
      </c>
      <c r="AF53" s="2">
        <v>0.32928380000000002</v>
      </c>
      <c r="AG53" s="2">
        <v>0.22311497999999999</v>
      </c>
      <c r="AH53" s="2">
        <v>0.32893919999999999</v>
      </c>
      <c r="AI53" s="2">
        <v>0.34289770000000003</v>
      </c>
      <c r="AJ53" s="2">
        <v>0.17007228999999999</v>
      </c>
      <c r="AK53" s="2">
        <v>0.19632392000000001</v>
      </c>
      <c r="AL53" s="2">
        <v>0.28679969999999999</v>
      </c>
      <c r="AM53" s="2">
        <v>0.18265869000000001</v>
      </c>
      <c r="AN53" s="2">
        <v>0.12901053000000001</v>
      </c>
      <c r="AO53" s="2">
        <v>-1.2453888999999999E-2</v>
      </c>
      <c r="AP53" s="2">
        <v>0.17896228</v>
      </c>
      <c r="AQ53" s="2">
        <v>0.25523066999999999</v>
      </c>
      <c r="AR53" s="2">
        <v>0.32921186000000002</v>
      </c>
      <c r="AS53" s="2">
        <v>0.30366929999999998</v>
      </c>
      <c r="AT53" s="2">
        <v>0.1721558</v>
      </c>
      <c r="AU53" s="2">
        <v>0.30433329999999997</v>
      </c>
      <c r="AV53" s="2">
        <v>0.2162348</v>
      </c>
      <c r="AW53" s="2">
        <v>0.20742819000000001</v>
      </c>
      <c r="AX53" s="2">
        <v>0.30482277000000002</v>
      </c>
      <c r="AY53" s="2">
        <v>0.27623915999999998</v>
      </c>
      <c r="AZ53" s="2">
        <v>0.29896646999999998</v>
      </c>
      <c r="BA53" s="2">
        <v>0.17554379000000001</v>
      </c>
      <c r="BB53" s="2">
        <v>0.26913967999999999</v>
      </c>
      <c r="BC53" s="2">
        <v>0.1196917</v>
      </c>
      <c r="BD53" s="2">
        <v>0.18756348</v>
      </c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Panasonic Holdings Corporation</v>
      </c>
      <c r="B54" s="4" t="str">
        <v>6752-JP</v>
      </c>
      <c r="C54" s="2">
        <v>0.2613799</v>
      </c>
      <c r="D54" s="2">
        <v>0.34587119999999999</v>
      </c>
      <c r="E54" s="2">
        <v>0.21095306999999999</v>
      </c>
      <c r="F54" s="2">
        <v>0.28807026000000002</v>
      </c>
      <c r="G54" s="2">
        <v>0.3245382</v>
      </c>
      <c r="H54" s="2">
        <v>0.37882357999999999</v>
      </c>
      <c r="I54" s="2">
        <v>0.14573196999999999</v>
      </c>
      <c r="J54" s="2">
        <v>0.21136720000000001</v>
      </c>
      <c r="K54" s="2">
        <v>0.20037942</v>
      </c>
      <c r="L54" s="2">
        <v>0.27129703999999999</v>
      </c>
      <c r="M54" s="2">
        <v>0.18813114</v>
      </c>
      <c r="N54" s="2">
        <v>0.32688093000000001</v>
      </c>
      <c r="O54" s="2">
        <v>0.12571628000000001</v>
      </c>
      <c r="P54" s="2">
        <v>0.1992495</v>
      </c>
      <c r="Q54" s="2">
        <v>0.23885476999999999</v>
      </c>
      <c r="R54" s="2">
        <v>0.26655669999999998</v>
      </c>
      <c r="S54" s="2">
        <v>0.2149124</v>
      </c>
      <c r="T54" s="2">
        <v>0.29049029999999998</v>
      </c>
      <c r="U54" s="2">
        <v>0.18535570000000001</v>
      </c>
      <c r="V54" s="2">
        <v>7.855782E-2</v>
      </c>
      <c r="W54" s="2">
        <v>0.16969190000000001</v>
      </c>
      <c r="X54" s="2">
        <v>0.22805749</v>
      </c>
      <c r="Y54" s="2">
        <v>0.23764698000000001</v>
      </c>
      <c r="Z54" s="2">
        <v>1</v>
      </c>
      <c r="AA54" s="2">
        <v>0.21378913999999999</v>
      </c>
      <c r="AB54" s="2">
        <v>0.27684143</v>
      </c>
      <c r="AC54" s="2">
        <v>0.26835087000000002</v>
      </c>
      <c r="AD54" s="2">
        <v>0.21949044000000001</v>
      </c>
      <c r="AE54" s="2">
        <v>0.28981220000000002</v>
      </c>
      <c r="AF54" s="2">
        <v>0.28855463999999997</v>
      </c>
      <c r="AG54" s="2">
        <v>0.49228077999999997</v>
      </c>
      <c r="AH54" s="2">
        <v>0.16777211</v>
      </c>
      <c r="AI54" s="2">
        <v>0.36919682999999998</v>
      </c>
      <c r="AJ54" s="2">
        <v>0.41363165000000002</v>
      </c>
      <c r="AK54" s="2">
        <v>0.28473237000000001</v>
      </c>
      <c r="AL54" s="2">
        <v>0.24900843</v>
      </c>
      <c r="AM54" s="2">
        <v>0.11998072999999999</v>
      </c>
      <c r="AN54" s="2">
        <v>-8.6275615E-2</v>
      </c>
      <c r="AO54" s="2">
        <v>0.14574456</v>
      </c>
      <c r="AP54" s="2">
        <v>0.20129468</v>
      </c>
      <c r="AQ54" s="2">
        <v>0.20259847</v>
      </c>
      <c r="AR54" s="2">
        <v>0.28441909999999998</v>
      </c>
      <c r="AS54" s="2">
        <v>0.20871627000000001</v>
      </c>
      <c r="AT54" s="2">
        <v>0.22725534</v>
      </c>
      <c r="AU54" s="2">
        <v>0.19016272000000001</v>
      </c>
      <c r="AV54" s="2">
        <v>0.11379083</v>
      </c>
      <c r="AW54" s="2">
        <v>0.21154806000000001</v>
      </c>
      <c r="AX54" s="2">
        <v>0.24586569</v>
      </c>
      <c r="AY54" s="2">
        <v>0.22496374</v>
      </c>
      <c r="AZ54" s="2">
        <v>0.26388635999999999</v>
      </c>
      <c r="BA54" s="2">
        <v>0.30286592000000001</v>
      </c>
      <c r="BB54" s="2">
        <v>0.28975131999999998</v>
      </c>
      <c r="BC54" s="2">
        <v>0.40761122</v>
      </c>
      <c r="BD54" s="2">
        <v>-2.1318581E-2</v>
      </c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Swatch Group Ltd. Bearer</v>
      </c>
      <c r="B55" s="4" t="str">
        <v>UHR-CH</v>
      </c>
      <c r="C55" s="2">
        <v>0.19546789000000001</v>
      </c>
      <c r="D55" s="2">
        <v>0.25490752</v>
      </c>
      <c r="E55" s="2">
        <v>0.37131888000000002</v>
      </c>
      <c r="F55" s="2">
        <v>0.29059826999999999</v>
      </c>
      <c r="G55" s="2">
        <v>0.32315310000000003</v>
      </c>
      <c r="H55" s="2">
        <v>0.32516578000000002</v>
      </c>
      <c r="I55" s="2">
        <v>0.36116818000000001</v>
      </c>
      <c r="J55" s="2">
        <v>0.15297564999999999</v>
      </c>
      <c r="K55" s="2">
        <v>0.26265003999999997</v>
      </c>
      <c r="L55" s="2">
        <v>0.25631789999999999</v>
      </c>
      <c r="M55" s="2">
        <v>0.14656678000000001</v>
      </c>
      <c r="N55" s="2">
        <v>0.2028914</v>
      </c>
      <c r="O55" s="2">
        <v>5.7767150000000003E-2</v>
      </c>
      <c r="P55" s="2">
        <v>0.17663279000000001</v>
      </c>
      <c r="Q55" s="2">
        <v>0.29591697</v>
      </c>
      <c r="R55" s="2">
        <v>0.33111786999999998</v>
      </c>
      <c r="S55" s="2">
        <v>0.14456657000000001</v>
      </c>
      <c r="T55" s="2">
        <v>0.24272637</v>
      </c>
      <c r="U55" s="2">
        <v>0.21756436000000001</v>
      </c>
      <c r="V55" s="2">
        <v>1.5129197E-2</v>
      </c>
      <c r="W55" s="2">
        <v>0.32036170000000003</v>
      </c>
      <c r="X55" s="2">
        <v>0.10443455</v>
      </c>
      <c r="Y55" s="2">
        <v>0.34078767999999998</v>
      </c>
      <c r="Z55" s="2">
        <v>0.21378913999999999</v>
      </c>
      <c r="AA55" s="2">
        <v>1</v>
      </c>
      <c r="AB55" s="2">
        <v>0.13278878999999999</v>
      </c>
      <c r="AC55" s="2">
        <v>0.44119199999999997</v>
      </c>
      <c r="AD55" s="2">
        <v>0.36420634000000002</v>
      </c>
      <c r="AE55" s="2">
        <v>0.33856164999999999</v>
      </c>
      <c r="AF55" s="2">
        <v>0.38691779999999998</v>
      </c>
      <c r="AG55" s="2">
        <v>0.27231759999999999</v>
      </c>
      <c r="AH55" s="2">
        <v>0.38792330000000003</v>
      </c>
      <c r="AI55" s="2">
        <v>0.29431716000000002</v>
      </c>
      <c r="AJ55" s="2">
        <v>0.19724093000000001</v>
      </c>
      <c r="AK55" s="2">
        <v>0.33225134000000001</v>
      </c>
      <c r="AL55" s="2">
        <v>0.5281844</v>
      </c>
      <c r="AM55" s="2">
        <v>0.21105298</v>
      </c>
      <c r="AN55" s="2">
        <v>0.18931129999999999</v>
      </c>
      <c r="AO55" s="2">
        <v>0.1736656</v>
      </c>
      <c r="AP55" s="2">
        <v>0.23064852</v>
      </c>
      <c r="AQ55" s="2">
        <v>0.46757460000000001</v>
      </c>
      <c r="AR55" s="2">
        <v>0.31919069999999999</v>
      </c>
      <c r="AS55" s="2">
        <v>0.32539716000000002</v>
      </c>
      <c r="AT55" s="2">
        <v>0.34840510000000002</v>
      </c>
      <c r="AU55" s="2">
        <v>0.59090830000000005</v>
      </c>
      <c r="AV55" s="2">
        <v>0.23902688999999999</v>
      </c>
      <c r="AW55" s="2">
        <v>0.17198883000000001</v>
      </c>
      <c r="AX55" s="2">
        <v>0.44183802999999999</v>
      </c>
      <c r="AY55" s="2">
        <v>0.42645907</v>
      </c>
      <c r="AZ55" s="2">
        <v>0.35222619999999999</v>
      </c>
      <c r="BA55" s="2">
        <v>0.31454145999999999</v>
      </c>
      <c r="BB55" s="2">
        <v>0.20099486</v>
      </c>
      <c r="BC55" s="2">
        <v>0.1165978</v>
      </c>
      <c r="BD55" s="2">
        <v>0.12890152999999999</v>
      </c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Dentsu Group Inc.</v>
      </c>
      <c r="B56" s="4" t="str">
        <v>4324-JP</v>
      </c>
      <c r="C56" s="2">
        <v>0.17681464999999999</v>
      </c>
      <c r="D56" s="2">
        <v>0.29724487999999999</v>
      </c>
      <c r="E56" s="2">
        <v>9.7280610000000003E-2</v>
      </c>
      <c r="F56" s="2">
        <v>0.13128872</v>
      </c>
      <c r="G56" s="2">
        <v>0.24430110999999999</v>
      </c>
      <c r="H56" s="2">
        <v>0.28618075999999998</v>
      </c>
      <c r="I56" s="2">
        <v>0.20794371</v>
      </c>
      <c r="J56" s="2">
        <v>0.23358770000000001</v>
      </c>
      <c r="K56" s="2">
        <v>0.19262981000000001</v>
      </c>
      <c r="L56" s="2">
        <v>0.28702724000000002</v>
      </c>
      <c r="M56" s="2">
        <v>7.3452329999999996E-2</v>
      </c>
      <c r="N56" s="2">
        <v>0.29419872000000002</v>
      </c>
      <c r="O56" s="2">
        <v>0.15091081000000001</v>
      </c>
      <c r="P56" s="2">
        <v>0.10007402999999999</v>
      </c>
      <c r="Q56" s="2">
        <v>0.16750917000000001</v>
      </c>
      <c r="R56" s="2">
        <v>0.16200133999999999</v>
      </c>
      <c r="S56" s="2">
        <v>0.30004922000000001</v>
      </c>
      <c r="T56" s="2">
        <v>0.27564684</v>
      </c>
      <c r="U56" s="2">
        <v>0.14110576</v>
      </c>
      <c r="V56" s="2">
        <v>0.11516703</v>
      </c>
      <c r="W56" s="2">
        <v>0.11358111</v>
      </c>
      <c r="X56" s="2">
        <v>0.12949663</v>
      </c>
      <c r="Y56" s="2">
        <v>0.15887490000000001</v>
      </c>
      <c r="Z56" s="2">
        <v>0.27684143</v>
      </c>
      <c r="AA56" s="2">
        <v>0.13278878999999999</v>
      </c>
      <c r="AB56" s="2">
        <v>1</v>
      </c>
      <c r="AC56" s="2">
        <v>0.16009735</v>
      </c>
      <c r="AD56" s="2">
        <v>0.19588005999999999</v>
      </c>
      <c r="AE56" s="2">
        <v>0.21824424000000001</v>
      </c>
      <c r="AF56" s="2">
        <v>0.13355059999999999</v>
      </c>
      <c r="AG56" s="2">
        <v>0.37396489999999999</v>
      </c>
      <c r="AH56" s="2">
        <v>9.0151709999999996E-2</v>
      </c>
      <c r="AI56" s="2">
        <v>0.31475922000000001</v>
      </c>
      <c r="AJ56" s="2">
        <v>0.31294557000000001</v>
      </c>
      <c r="AK56" s="2">
        <v>0.24712695000000001</v>
      </c>
      <c r="AL56" s="2">
        <v>0.17090751000000001</v>
      </c>
      <c r="AM56" s="2">
        <v>0.10125315999999999</v>
      </c>
      <c r="AN56" s="2">
        <v>-2.7800482000000001E-2</v>
      </c>
      <c r="AO56" s="2">
        <v>0.11826254</v>
      </c>
      <c r="AP56" s="2">
        <v>0.19526467</v>
      </c>
      <c r="AQ56" s="2">
        <v>0.16856636</v>
      </c>
      <c r="AR56" s="2">
        <v>0.31092920000000002</v>
      </c>
      <c r="AS56" s="2">
        <v>0.16414835</v>
      </c>
      <c r="AT56" s="2">
        <v>0.16492444000000001</v>
      </c>
      <c r="AU56" s="2">
        <v>0.11243686</v>
      </c>
      <c r="AV56" s="2">
        <v>6.5354120000000002E-2</v>
      </c>
      <c r="AW56" s="2">
        <v>0.15952234000000001</v>
      </c>
      <c r="AX56" s="2">
        <v>0.15928160999999999</v>
      </c>
      <c r="AY56" s="2">
        <v>0.17666091</v>
      </c>
      <c r="AZ56" s="2">
        <v>0.10096845</v>
      </c>
      <c r="BA56" s="2">
        <v>0.24980221999999999</v>
      </c>
      <c r="BB56" s="2">
        <v>8.0557450000000003E-2</v>
      </c>
      <c r="BC56" s="2">
        <v>0.25975682999999999</v>
      </c>
      <c r="BD56" s="2">
        <v>-9.0180710000000008E-3</v>
      </c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Randstad NV</v>
      </c>
      <c r="B57" s="4" t="str">
        <v>RAND-NL</v>
      </c>
      <c r="C57" s="2">
        <v>0.32626050000000001</v>
      </c>
      <c r="D57" s="2">
        <v>0.25086910000000001</v>
      </c>
      <c r="E57" s="2">
        <v>0.43041010000000002</v>
      </c>
      <c r="F57" s="2">
        <v>0.49388104999999999</v>
      </c>
      <c r="G57" s="2">
        <v>0.29865967999999998</v>
      </c>
      <c r="H57" s="2">
        <v>0.27231407000000002</v>
      </c>
      <c r="I57" s="2">
        <v>0.44482466999999998</v>
      </c>
      <c r="J57" s="2">
        <v>0.20549737000000001</v>
      </c>
      <c r="K57" s="2">
        <v>0.18526334</v>
      </c>
      <c r="L57" s="2">
        <v>0.34003844999999999</v>
      </c>
      <c r="M57" s="2">
        <v>0.28133365999999999</v>
      </c>
      <c r="N57" s="2">
        <v>0.21292174</v>
      </c>
      <c r="O57" s="2">
        <v>0.10077234</v>
      </c>
      <c r="P57" s="2">
        <v>0.2647177</v>
      </c>
      <c r="Q57" s="2">
        <v>0.39445560000000002</v>
      </c>
      <c r="R57" s="2">
        <v>0.45053408</v>
      </c>
      <c r="S57" s="2">
        <v>0.27139020000000003</v>
      </c>
      <c r="T57" s="2">
        <v>0.42812547000000001</v>
      </c>
      <c r="U57" s="2">
        <v>0.39577410000000002</v>
      </c>
      <c r="V57" s="2">
        <v>-2.7158432E-2</v>
      </c>
      <c r="W57" s="2">
        <v>0.40516819999999998</v>
      </c>
      <c r="X57" s="2">
        <v>0.13138045000000001</v>
      </c>
      <c r="Y57" s="2">
        <v>0.38372114000000002</v>
      </c>
      <c r="Z57" s="2">
        <v>0.26835087000000002</v>
      </c>
      <c r="AA57" s="2">
        <v>0.44119199999999997</v>
      </c>
      <c r="AB57" s="2">
        <v>0.16009735</v>
      </c>
      <c r="AC57" s="2">
        <v>1</v>
      </c>
      <c r="AD57" s="2">
        <v>0.52581120000000003</v>
      </c>
      <c r="AE57" s="2">
        <v>0.44926243999999999</v>
      </c>
      <c r="AF57" s="2">
        <v>0.48808523999999998</v>
      </c>
      <c r="AG57" s="2">
        <v>0.30653232000000002</v>
      </c>
      <c r="AH57" s="2">
        <v>0.38879966999999999</v>
      </c>
      <c r="AI57" s="2">
        <v>0.30853926999999998</v>
      </c>
      <c r="AJ57" s="2">
        <v>0.28028459999999999</v>
      </c>
      <c r="AK57" s="2">
        <v>0.31870154000000001</v>
      </c>
      <c r="AL57" s="2">
        <v>0.54940990000000001</v>
      </c>
      <c r="AM57" s="2">
        <v>0.27014484999999999</v>
      </c>
      <c r="AN57" s="2">
        <v>0.29451864999999999</v>
      </c>
      <c r="AO57" s="2">
        <v>0.23060548</v>
      </c>
      <c r="AP57" s="2">
        <v>0.26221879999999997</v>
      </c>
      <c r="AQ57" s="2">
        <v>0.47465449999999998</v>
      </c>
      <c r="AR57" s="2">
        <v>0.43209344</v>
      </c>
      <c r="AS57" s="2">
        <v>0.36890519999999999</v>
      </c>
      <c r="AT57" s="2">
        <v>0.51244869999999998</v>
      </c>
      <c r="AU57" s="2">
        <v>0.38492779999999999</v>
      </c>
      <c r="AV57" s="2">
        <v>0.32113429999999998</v>
      </c>
      <c r="AW57" s="2">
        <v>0.23943382999999999</v>
      </c>
      <c r="AX57" s="2">
        <v>0.40596650000000001</v>
      </c>
      <c r="AY57" s="2">
        <v>0.53046393000000003</v>
      </c>
      <c r="AZ57" s="2">
        <v>0.38597890000000001</v>
      </c>
      <c r="BA57" s="2">
        <v>0.51931369999999999</v>
      </c>
      <c r="BB57" s="2">
        <v>0.39153536999999999</v>
      </c>
      <c r="BC57" s="2">
        <v>0.19643252</v>
      </c>
      <c r="BD57" s="2">
        <v>0.14295946000000001</v>
      </c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BNP Paribas S.A. Class A</v>
      </c>
      <c r="B58" s="4" t="str">
        <v>BNP-FR</v>
      </c>
      <c r="C58" s="2">
        <v>0.23799117</v>
      </c>
      <c r="D58" s="2">
        <v>0.26562053000000002</v>
      </c>
      <c r="E58" s="2">
        <v>0.37498515999999998</v>
      </c>
      <c r="F58" s="2">
        <v>0.63036199999999998</v>
      </c>
      <c r="G58" s="2">
        <v>0.30540610000000001</v>
      </c>
      <c r="H58" s="2">
        <v>0.35318110000000003</v>
      </c>
      <c r="I58" s="2">
        <v>0.49847639999999999</v>
      </c>
      <c r="J58" s="2">
        <v>0.27352300000000002</v>
      </c>
      <c r="K58" s="2">
        <v>0.25548968</v>
      </c>
      <c r="L58" s="2">
        <v>0.34853055999999999</v>
      </c>
      <c r="M58" s="2">
        <v>0.18259465999999999</v>
      </c>
      <c r="N58" s="2">
        <v>0.11496534999999999</v>
      </c>
      <c r="O58" s="2">
        <v>0.17820511999999999</v>
      </c>
      <c r="P58" s="2">
        <v>0.19425323999999999</v>
      </c>
      <c r="Q58" s="2">
        <v>0.48735373999999998</v>
      </c>
      <c r="R58" s="2">
        <v>0.62338959999999999</v>
      </c>
      <c r="S58" s="2">
        <v>0.24740052000000001</v>
      </c>
      <c r="T58" s="2">
        <v>0.54407172999999998</v>
      </c>
      <c r="U58" s="2">
        <v>0.61598799999999998</v>
      </c>
      <c r="V58" s="2">
        <v>1.3797424000000001E-2</v>
      </c>
      <c r="W58" s="2">
        <v>0.66888919999999996</v>
      </c>
      <c r="X58" s="2">
        <v>0.16295005000000001</v>
      </c>
      <c r="Y58" s="2">
        <v>0.22227459999999999</v>
      </c>
      <c r="Z58" s="2">
        <v>0.21949044000000001</v>
      </c>
      <c r="AA58" s="2">
        <v>0.36420634000000002</v>
      </c>
      <c r="AB58" s="2">
        <v>0.19588005999999999</v>
      </c>
      <c r="AC58" s="2">
        <v>0.52581120000000003</v>
      </c>
      <c r="AD58" s="2">
        <v>1</v>
      </c>
      <c r="AE58" s="2">
        <v>0.66120900000000005</v>
      </c>
      <c r="AF58" s="2">
        <v>0.42733789999999999</v>
      </c>
      <c r="AG58" s="2">
        <v>0.30590193999999998</v>
      </c>
      <c r="AH58" s="2">
        <v>0.19407342</v>
      </c>
      <c r="AI58" s="2">
        <v>0.39422414</v>
      </c>
      <c r="AJ58" s="2">
        <v>0.19879647</v>
      </c>
      <c r="AK58" s="2">
        <v>0.23138084</v>
      </c>
      <c r="AL58" s="2">
        <v>0.53533226</v>
      </c>
      <c r="AM58" s="2">
        <v>0.31165457000000002</v>
      </c>
      <c r="AN58" s="2">
        <v>0.16921360999999999</v>
      </c>
      <c r="AO58" s="2">
        <v>0.15787377999999999</v>
      </c>
      <c r="AP58" s="2">
        <v>0.35082415</v>
      </c>
      <c r="AQ58" s="2">
        <v>0.51886239999999995</v>
      </c>
      <c r="AR58" s="2">
        <v>0.44656190000000001</v>
      </c>
      <c r="AS58" s="2">
        <v>0.40814778000000002</v>
      </c>
      <c r="AT58" s="2">
        <v>0.49074259999999997</v>
      </c>
      <c r="AU58" s="2">
        <v>0.28694120000000001</v>
      </c>
      <c r="AV58" s="2">
        <v>0.30976885999999998</v>
      </c>
      <c r="AW58" s="2">
        <v>0.18094075000000001</v>
      </c>
      <c r="AX58" s="2">
        <v>0.36230147000000001</v>
      </c>
      <c r="AY58" s="2">
        <v>0.57554559999999999</v>
      </c>
      <c r="AZ58" s="2">
        <v>0.51989560000000001</v>
      </c>
      <c r="BA58" s="2">
        <v>0.72621720000000001</v>
      </c>
      <c r="BB58" s="2">
        <v>0.56592960000000003</v>
      </c>
      <c r="BC58" s="2">
        <v>0.11992786</v>
      </c>
      <c r="BD58" s="2">
        <v>8.7903949999999995E-2</v>
      </c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AXA SA</v>
      </c>
      <c r="B59" s="4" t="str">
        <v>CS-FR</v>
      </c>
      <c r="C59" s="2">
        <v>0.23996168000000001</v>
      </c>
      <c r="D59" s="2">
        <v>0.31911244999999999</v>
      </c>
      <c r="E59" s="2">
        <v>0.33425825999999997</v>
      </c>
      <c r="F59" s="2">
        <v>0.55104357000000004</v>
      </c>
      <c r="G59" s="2">
        <v>0.36485519999999999</v>
      </c>
      <c r="H59" s="2">
        <v>0.40861346999999998</v>
      </c>
      <c r="I59" s="2">
        <v>0.52814649999999996</v>
      </c>
      <c r="J59" s="2">
        <v>0.34060766999999997</v>
      </c>
      <c r="K59" s="2">
        <v>0.35751899999999998</v>
      </c>
      <c r="L59" s="2">
        <v>0.35790812999999999</v>
      </c>
      <c r="M59" s="2">
        <v>0.16404775999999999</v>
      </c>
      <c r="N59" s="2">
        <v>0.16225684000000001</v>
      </c>
      <c r="O59" s="2">
        <v>0.27055701999999998</v>
      </c>
      <c r="P59" s="2">
        <v>0.17965929</v>
      </c>
      <c r="Q59" s="2">
        <v>0.32009783000000003</v>
      </c>
      <c r="R59" s="2">
        <v>0.459231</v>
      </c>
      <c r="S59" s="2">
        <v>0.44366994999999998</v>
      </c>
      <c r="T59" s="2">
        <v>0.68612503999999996</v>
      </c>
      <c r="U59" s="2">
        <v>0.49858105000000003</v>
      </c>
      <c r="V59" s="2">
        <v>0.26490196999999999</v>
      </c>
      <c r="W59" s="2">
        <v>0.57412269999999999</v>
      </c>
      <c r="X59" s="2">
        <v>0.34010365999999997</v>
      </c>
      <c r="Y59" s="2">
        <v>0.32506015999999999</v>
      </c>
      <c r="Z59" s="2">
        <v>0.28981220000000002</v>
      </c>
      <c r="AA59" s="2">
        <v>0.33856164999999999</v>
      </c>
      <c r="AB59" s="2">
        <v>0.21824424000000001</v>
      </c>
      <c r="AC59" s="2">
        <v>0.44926243999999999</v>
      </c>
      <c r="AD59" s="2">
        <v>0.66120900000000005</v>
      </c>
      <c r="AE59" s="2">
        <v>1</v>
      </c>
      <c r="AF59" s="2">
        <v>0.35204029999999997</v>
      </c>
      <c r="AG59" s="2">
        <v>0.26588345000000002</v>
      </c>
      <c r="AH59" s="2">
        <v>0.23950155000000001</v>
      </c>
      <c r="AI59" s="2">
        <v>0.44732250000000001</v>
      </c>
      <c r="AJ59" s="2">
        <v>0.25799337</v>
      </c>
      <c r="AK59" s="2">
        <v>0.27126159999999999</v>
      </c>
      <c r="AL59" s="2">
        <v>0.43595156000000002</v>
      </c>
      <c r="AM59" s="2">
        <v>0.32374528000000002</v>
      </c>
      <c r="AN59" s="2">
        <v>9.8428673999999994E-2</v>
      </c>
      <c r="AO59" s="2">
        <v>0.14864494</v>
      </c>
      <c r="AP59" s="2">
        <v>0.36236256</v>
      </c>
      <c r="AQ59" s="2">
        <v>0.40519527</v>
      </c>
      <c r="AR59" s="2">
        <v>0.46111089999999999</v>
      </c>
      <c r="AS59" s="2">
        <v>0.38773142999999999</v>
      </c>
      <c r="AT59" s="2">
        <v>0.40256239999999999</v>
      </c>
      <c r="AU59" s="2">
        <v>0.28169745000000002</v>
      </c>
      <c r="AV59" s="2">
        <v>0.3148165</v>
      </c>
      <c r="AW59" s="2">
        <v>0.13664404999999999</v>
      </c>
      <c r="AX59" s="2">
        <v>0.28716051999999997</v>
      </c>
      <c r="AY59" s="2">
        <v>0.50903140000000002</v>
      </c>
      <c r="AZ59" s="2">
        <v>0.43433781999999999</v>
      </c>
      <c r="BA59" s="2">
        <v>0.57817039999999997</v>
      </c>
      <c r="BB59" s="2">
        <v>0.52837829999999997</v>
      </c>
      <c r="BC59" s="2">
        <v>0.15281232</v>
      </c>
      <c r="BD59" s="2">
        <v>0.114195965</v>
      </c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Anglo American plc</v>
      </c>
      <c r="B60" s="4" t="str">
        <v>AAL-GB</v>
      </c>
      <c r="C60" s="2">
        <v>0.26287224999999997</v>
      </c>
      <c r="D60" s="2">
        <v>0.21891186000000001</v>
      </c>
      <c r="E60" s="2">
        <v>0.34029337999999998</v>
      </c>
      <c r="F60" s="2">
        <v>0.47747212999999999</v>
      </c>
      <c r="G60" s="2">
        <v>0.28785595000000003</v>
      </c>
      <c r="H60" s="2">
        <v>0.28920131999999998</v>
      </c>
      <c r="I60" s="2">
        <v>0.53024850000000001</v>
      </c>
      <c r="J60" s="2">
        <v>0.10892605</v>
      </c>
      <c r="K60" s="2">
        <v>0.18954272999999999</v>
      </c>
      <c r="L60" s="2">
        <v>0.26448482000000001</v>
      </c>
      <c r="M60" s="2">
        <v>0.23542531</v>
      </c>
      <c r="N60" s="2">
        <v>0.16923365000000001</v>
      </c>
      <c r="O60" s="2">
        <v>1.9894002000000002E-3</v>
      </c>
      <c r="P60" s="2">
        <v>0.21683453</v>
      </c>
      <c r="Q60" s="2">
        <v>0.44546016999999999</v>
      </c>
      <c r="R60" s="2">
        <v>0.48128854999999998</v>
      </c>
      <c r="S60" s="2">
        <v>0.1062748</v>
      </c>
      <c r="T60" s="2">
        <v>0.31312712999999998</v>
      </c>
      <c r="U60" s="2">
        <v>0.41202164000000002</v>
      </c>
      <c r="V60" s="2">
        <v>2.4525749999999999E-2</v>
      </c>
      <c r="W60" s="2">
        <v>0.37778001999999999</v>
      </c>
      <c r="X60" s="2">
        <v>0.14325514</v>
      </c>
      <c r="Y60" s="2">
        <v>0.32928380000000002</v>
      </c>
      <c r="Z60" s="2">
        <v>0.28855463999999997</v>
      </c>
      <c r="AA60" s="2">
        <v>0.38691779999999998</v>
      </c>
      <c r="AB60" s="2">
        <v>0.13355059999999999</v>
      </c>
      <c r="AC60" s="2">
        <v>0.48808523999999998</v>
      </c>
      <c r="AD60" s="2">
        <v>0.42733789999999999</v>
      </c>
      <c r="AE60" s="2">
        <v>0.35204029999999997</v>
      </c>
      <c r="AF60" s="2">
        <v>1</v>
      </c>
      <c r="AG60" s="2">
        <v>0.26374629999999999</v>
      </c>
      <c r="AH60" s="2">
        <v>0.30954638000000001</v>
      </c>
      <c r="AI60" s="2">
        <v>0.28119182999999998</v>
      </c>
      <c r="AJ60" s="2">
        <v>0.18660199999999999</v>
      </c>
      <c r="AK60" s="2">
        <v>0.29888861999999999</v>
      </c>
      <c r="AL60" s="2">
        <v>0.54457990000000001</v>
      </c>
      <c r="AM60" s="2">
        <v>7.8400709999999998E-2</v>
      </c>
      <c r="AN60" s="2">
        <v>0.32739352999999999</v>
      </c>
      <c r="AO60" s="2">
        <v>0.2195676</v>
      </c>
      <c r="AP60" s="2">
        <v>0.32344119999999998</v>
      </c>
      <c r="AQ60" s="2">
        <v>0.37946352</v>
      </c>
      <c r="AR60" s="2">
        <v>0.39878142</v>
      </c>
      <c r="AS60" s="2">
        <v>0.41710818</v>
      </c>
      <c r="AT60" s="2">
        <v>0.39435488000000002</v>
      </c>
      <c r="AU60" s="2">
        <v>0.35130604999999998</v>
      </c>
      <c r="AV60" s="2">
        <v>0.30641475000000001</v>
      </c>
      <c r="AW60" s="2">
        <v>0.20947260000000001</v>
      </c>
      <c r="AX60" s="2">
        <v>0.70951529999999996</v>
      </c>
      <c r="AY60" s="2">
        <v>0.45459836999999997</v>
      </c>
      <c r="AZ60" s="2">
        <v>0.4442045</v>
      </c>
      <c r="BA60" s="2">
        <v>0.46685606000000002</v>
      </c>
      <c r="BB60" s="2">
        <v>0.36580576999999997</v>
      </c>
      <c r="BC60" s="2">
        <v>-3.2275329999999998E-2</v>
      </c>
      <c r="BD60" s="2">
        <v>0.15691910000000001</v>
      </c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Bridgestone Corporation</v>
      </c>
      <c r="B61" s="4" t="str">
        <v>5108-JP</v>
      </c>
      <c r="C61" s="2">
        <v>0.25905003999999998</v>
      </c>
      <c r="D61" s="2">
        <v>0.31933623999999999</v>
      </c>
      <c r="E61" s="2">
        <v>0.27851989999999999</v>
      </c>
      <c r="F61" s="2">
        <v>0.30585659999999998</v>
      </c>
      <c r="G61" s="2">
        <v>0.35153132999999998</v>
      </c>
      <c r="H61" s="2">
        <v>0.40938540000000001</v>
      </c>
      <c r="I61" s="2">
        <v>0.27537026999999997</v>
      </c>
      <c r="J61" s="2">
        <v>0.26779069999999999</v>
      </c>
      <c r="K61" s="2">
        <v>0.25873457999999999</v>
      </c>
      <c r="L61" s="2">
        <v>0.3486187</v>
      </c>
      <c r="M61" s="2">
        <v>0.23266354</v>
      </c>
      <c r="N61" s="2">
        <v>0.46994829999999999</v>
      </c>
      <c r="O61" s="2">
        <v>0.1732416</v>
      </c>
      <c r="P61" s="2">
        <v>0.16971617999999999</v>
      </c>
      <c r="Q61" s="2">
        <v>0.20918179000000001</v>
      </c>
      <c r="R61" s="2">
        <v>0.30312640000000002</v>
      </c>
      <c r="S61" s="2">
        <v>0.29215837</v>
      </c>
      <c r="T61" s="2">
        <v>0.33341545</v>
      </c>
      <c r="U61" s="2">
        <v>0.25374143999999998</v>
      </c>
      <c r="V61" s="2">
        <v>0.11290042</v>
      </c>
      <c r="W61" s="2">
        <v>0.24262643</v>
      </c>
      <c r="X61" s="2">
        <v>0.23387442999999999</v>
      </c>
      <c r="Y61" s="2">
        <v>0.22311497999999999</v>
      </c>
      <c r="Z61" s="2">
        <v>0.49228077999999997</v>
      </c>
      <c r="AA61" s="2">
        <v>0.27231759999999999</v>
      </c>
      <c r="AB61" s="2">
        <v>0.37396489999999999</v>
      </c>
      <c r="AC61" s="2">
        <v>0.30653232000000002</v>
      </c>
      <c r="AD61" s="2">
        <v>0.30590193999999998</v>
      </c>
      <c r="AE61" s="2">
        <v>0.26588345000000002</v>
      </c>
      <c r="AF61" s="2">
        <v>0.26374629999999999</v>
      </c>
      <c r="AG61" s="2">
        <v>1</v>
      </c>
      <c r="AH61" s="2">
        <v>0.10916078</v>
      </c>
      <c r="AI61" s="2">
        <v>0.37931973000000002</v>
      </c>
      <c r="AJ61" s="2">
        <v>0.53823759999999998</v>
      </c>
      <c r="AK61" s="2">
        <v>0.40564250000000002</v>
      </c>
      <c r="AL61" s="2">
        <v>0.35151490000000002</v>
      </c>
      <c r="AM61" s="2">
        <v>0.16555734</v>
      </c>
      <c r="AN61" s="2">
        <v>0.12369908</v>
      </c>
      <c r="AO61" s="2">
        <v>0.17291728000000001</v>
      </c>
      <c r="AP61" s="2">
        <v>0.32488728</v>
      </c>
      <c r="AQ61" s="2">
        <v>0.27920761999999999</v>
      </c>
      <c r="AR61" s="2">
        <v>0.35213155000000002</v>
      </c>
      <c r="AS61" s="2">
        <v>0.30791600000000002</v>
      </c>
      <c r="AT61" s="2">
        <v>0.32046068</v>
      </c>
      <c r="AU61" s="2">
        <v>0.22579919000000001</v>
      </c>
      <c r="AV61" s="2">
        <v>0.20739270000000001</v>
      </c>
      <c r="AW61" s="2">
        <v>0.20499883999999999</v>
      </c>
      <c r="AX61" s="2">
        <v>0.34630564000000003</v>
      </c>
      <c r="AY61" s="2">
        <v>0.26723644000000002</v>
      </c>
      <c r="AZ61" s="2">
        <v>0.33132610000000001</v>
      </c>
      <c r="BA61" s="2">
        <v>0.31598637000000002</v>
      </c>
      <c r="BB61" s="2">
        <v>0.25018912999999998</v>
      </c>
      <c r="BC61" s="2">
        <v>0.4686032</v>
      </c>
      <c r="BD61" s="2">
        <v>6.7803279999999994E-2</v>
      </c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Burberry Group plc</v>
      </c>
      <c r="B62" s="4" t="str">
        <v>BRBY-GB</v>
      </c>
      <c r="C62" s="2">
        <v>0.13056317000000001</v>
      </c>
      <c r="D62" s="2">
        <v>0.14052381999999999</v>
      </c>
      <c r="E62" s="2">
        <v>0.2718546</v>
      </c>
      <c r="F62" s="2">
        <v>0.25200850000000002</v>
      </c>
      <c r="G62" s="2">
        <v>0.23197400000000001</v>
      </c>
      <c r="H62" s="2">
        <v>0.17012271000000001</v>
      </c>
      <c r="I62" s="2">
        <v>0.36346978000000002</v>
      </c>
      <c r="J62" s="2">
        <v>4.2573859999999998E-2</v>
      </c>
      <c r="K62" s="2">
        <v>5.5779677E-2</v>
      </c>
      <c r="L62" s="2">
        <v>0.15527445000000001</v>
      </c>
      <c r="M62" s="2">
        <v>8.1725049999999994E-2</v>
      </c>
      <c r="N62" s="2">
        <v>7.8547870000000006E-2</v>
      </c>
      <c r="O62" s="2">
        <v>2.5661020999999999E-2</v>
      </c>
      <c r="P62" s="2">
        <v>0.13410822999999999</v>
      </c>
      <c r="Q62" s="2">
        <v>0.25338206000000002</v>
      </c>
      <c r="R62" s="2">
        <v>0.26996332000000001</v>
      </c>
      <c r="S62" s="2">
        <v>9.5619529999999994E-2</v>
      </c>
      <c r="T62" s="2">
        <v>0.28076200000000001</v>
      </c>
      <c r="U62" s="2">
        <v>0.19331512000000001</v>
      </c>
      <c r="V62" s="2">
        <v>9.1429560000000007E-2</v>
      </c>
      <c r="W62" s="2">
        <v>0.17240506</v>
      </c>
      <c r="X62" s="2">
        <v>-3.5711113000000003E-2</v>
      </c>
      <c r="Y62" s="2">
        <v>0.32893919999999999</v>
      </c>
      <c r="Z62" s="2">
        <v>0.16777211</v>
      </c>
      <c r="AA62" s="2">
        <v>0.38792330000000003</v>
      </c>
      <c r="AB62" s="2">
        <v>9.0151709999999996E-2</v>
      </c>
      <c r="AC62" s="2">
        <v>0.38879966999999999</v>
      </c>
      <c r="AD62" s="2">
        <v>0.19407342</v>
      </c>
      <c r="AE62" s="2">
        <v>0.23950155000000001</v>
      </c>
      <c r="AF62" s="2">
        <v>0.30954638000000001</v>
      </c>
      <c r="AG62" s="2">
        <v>0.10916078</v>
      </c>
      <c r="AH62" s="2">
        <v>1</v>
      </c>
      <c r="AI62" s="2">
        <v>0.23585967999999999</v>
      </c>
      <c r="AJ62" s="2">
        <v>-7.2910930000000002E-3</v>
      </c>
      <c r="AK62" s="2">
        <v>0.15477663</v>
      </c>
      <c r="AL62" s="2">
        <v>0.36985603</v>
      </c>
      <c r="AM62" s="2">
        <v>0.14364739000000001</v>
      </c>
      <c r="AN62" s="2">
        <v>8.7418339999999997E-2</v>
      </c>
      <c r="AO62" s="2">
        <v>6.8855369999999999E-2</v>
      </c>
      <c r="AP62" s="2">
        <v>0.23235049999999999</v>
      </c>
      <c r="AQ62" s="2">
        <v>0.30368736000000002</v>
      </c>
      <c r="AR62" s="2">
        <v>0.26926171999999998</v>
      </c>
      <c r="AS62" s="2">
        <v>0.25319806</v>
      </c>
      <c r="AT62" s="2">
        <v>0.17795599000000001</v>
      </c>
      <c r="AU62" s="2">
        <v>0.51287439999999995</v>
      </c>
      <c r="AV62" s="2">
        <v>0.18893268999999999</v>
      </c>
      <c r="AW62" s="2">
        <v>0.108903416</v>
      </c>
      <c r="AX62" s="2">
        <v>0.32393184000000003</v>
      </c>
      <c r="AY62" s="2">
        <v>0.288495</v>
      </c>
      <c r="AZ62" s="2">
        <v>0.29016763000000001</v>
      </c>
      <c r="BA62" s="2">
        <v>0.23108286</v>
      </c>
      <c r="BB62" s="2">
        <v>0.19985601</v>
      </c>
      <c r="BC62" s="2">
        <v>8.8054320000000005E-2</v>
      </c>
      <c r="BD62" s="2">
        <v>5.9846660000000003E-2</v>
      </c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British Land Company PLC</v>
      </c>
      <c r="B63" s="4" t="str">
        <v>BLND-GB</v>
      </c>
      <c r="C63" s="2">
        <v>0.25532448000000002</v>
      </c>
      <c r="D63" s="2">
        <v>0.45601219999999998</v>
      </c>
      <c r="E63" s="2">
        <v>0.2786941</v>
      </c>
      <c r="F63" s="2">
        <v>0.33687626999999998</v>
      </c>
      <c r="G63" s="2">
        <v>0.42130694000000002</v>
      </c>
      <c r="H63" s="2">
        <v>0.44010665999999998</v>
      </c>
      <c r="I63" s="2">
        <v>0.40539667000000001</v>
      </c>
      <c r="J63" s="2">
        <v>0.41969043</v>
      </c>
      <c r="K63" s="2">
        <v>0.42802980000000002</v>
      </c>
      <c r="L63" s="2">
        <v>0.37367842000000001</v>
      </c>
      <c r="M63" s="2">
        <v>0.20306657</v>
      </c>
      <c r="N63" s="2">
        <v>0.26281947</v>
      </c>
      <c r="O63" s="2">
        <v>0.27103207000000001</v>
      </c>
      <c r="P63" s="2">
        <v>0.18901707000000001</v>
      </c>
      <c r="Q63" s="2">
        <v>0.21243961</v>
      </c>
      <c r="R63" s="2">
        <v>0.32110172999999997</v>
      </c>
      <c r="S63" s="2">
        <v>0.40769058000000002</v>
      </c>
      <c r="T63" s="2">
        <v>0.51457909999999996</v>
      </c>
      <c r="U63" s="2">
        <v>0.25219789999999997</v>
      </c>
      <c r="V63" s="2">
        <v>0.31499084999999999</v>
      </c>
      <c r="W63" s="2">
        <v>0.20630193999999999</v>
      </c>
      <c r="X63" s="2">
        <v>0.35227283999999998</v>
      </c>
      <c r="Y63" s="2">
        <v>0.34289770000000003</v>
      </c>
      <c r="Z63" s="2">
        <v>0.36919682999999998</v>
      </c>
      <c r="AA63" s="2">
        <v>0.29431716000000002</v>
      </c>
      <c r="AB63" s="2">
        <v>0.31475922000000001</v>
      </c>
      <c r="AC63" s="2">
        <v>0.30853926999999998</v>
      </c>
      <c r="AD63" s="2">
        <v>0.39422414</v>
      </c>
      <c r="AE63" s="2">
        <v>0.44732250000000001</v>
      </c>
      <c r="AF63" s="2">
        <v>0.28119182999999998</v>
      </c>
      <c r="AG63" s="2">
        <v>0.37931973000000002</v>
      </c>
      <c r="AH63" s="2">
        <v>0.23585967999999999</v>
      </c>
      <c r="AI63" s="2">
        <v>1</v>
      </c>
      <c r="AJ63" s="2">
        <v>0.32686310000000002</v>
      </c>
      <c r="AK63" s="2">
        <v>0.28388112999999998</v>
      </c>
      <c r="AL63" s="2">
        <v>0.33487860000000003</v>
      </c>
      <c r="AM63" s="2">
        <v>0.35905766</v>
      </c>
      <c r="AN63" s="2">
        <v>1.5495358000000001E-2</v>
      </c>
      <c r="AO63" s="2">
        <v>0.13839422000000001</v>
      </c>
      <c r="AP63" s="2">
        <v>0.34395206</v>
      </c>
      <c r="AQ63" s="2">
        <v>0.31278116</v>
      </c>
      <c r="AR63" s="2">
        <v>0.44657933999999999</v>
      </c>
      <c r="AS63" s="2">
        <v>0.37744220000000001</v>
      </c>
      <c r="AT63" s="2">
        <v>0.24412447000000001</v>
      </c>
      <c r="AU63" s="2">
        <v>0.21088965000000001</v>
      </c>
      <c r="AV63" s="2">
        <v>0.22518126999999999</v>
      </c>
      <c r="AW63" s="2">
        <v>0.11292037000000001</v>
      </c>
      <c r="AX63" s="2">
        <v>0.33733730000000001</v>
      </c>
      <c r="AY63" s="2">
        <v>0.38300255</v>
      </c>
      <c r="AZ63" s="2">
        <v>0.28749364999999999</v>
      </c>
      <c r="BA63" s="2">
        <v>0.30750850000000002</v>
      </c>
      <c r="BB63" s="2">
        <v>0.38300705000000002</v>
      </c>
      <c r="BC63" s="2">
        <v>0.26052627</v>
      </c>
      <c r="BD63" s="2">
        <v>5.5991699999999998E-2</v>
      </c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MEDIPAL HOLDINGS Corporation</v>
      </c>
      <c r="B64" s="4" t="str">
        <v>7459-JP</v>
      </c>
      <c r="C64" s="2">
        <v>0.14228740000000001</v>
      </c>
      <c r="D64" s="2">
        <v>0.2759276</v>
      </c>
      <c r="E64" s="2">
        <v>0.21198397999999999</v>
      </c>
      <c r="F64" s="2">
        <v>9.1672619999999996E-2</v>
      </c>
      <c r="G64" s="2">
        <v>0.27971544999999998</v>
      </c>
      <c r="H64" s="2">
        <v>0.34353571999999999</v>
      </c>
      <c r="I64" s="2">
        <v>0.15529096000000001</v>
      </c>
      <c r="J64" s="2">
        <v>0.26672911999999999</v>
      </c>
      <c r="K64" s="2">
        <v>0.22346250000000001</v>
      </c>
      <c r="L64" s="2">
        <v>0.35317432999999998</v>
      </c>
      <c r="M64" s="2">
        <v>0.17813039</v>
      </c>
      <c r="N64" s="2">
        <v>0.54775099999999999</v>
      </c>
      <c r="O64" s="2">
        <v>0.19139676</v>
      </c>
      <c r="P64" s="2">
        <v>0.114766166</v>
      </c>
      <c r="Q64" s="2">
        <v>3.1924556999999999E-2</v>
      </c>
      <c r="R64" s="2">
        <v>0.15477751000000001</v>
      </c>
      <c r="S64" s="2">
        <v>0.37051835999999999</v>
      </c>
      <c r="T64" s="2">
        <v>0.37190943999999998</v>
      </c>
      <c r="U64" s="2">
        <v>7.3411404999999999E-2</v>
      </c>
      <c r="V64" s="2">
        <v>0.17622136999999999</v>
      </c>
      <c r="W64" s="2">
        <v>9.9178984999999997E-2</v>
      </c>
      <c r="X64" s="2">
        <v>0.35498594999999999</v>
      </c>
      <c r="Y64" s="2">
        <v>0.17007228999999999</v>
      </c>
      <c r="Z64" s="2">
        <v>0.41363165000000002</v>
      </c>
      <c r="AA64" s="2">
        <v>0.19724093000000001</v>
      </c>
      <c r="AB64" s="2">
        <v>0.31294557000000001</v>
      </c>
      <c r="AC64" s="2">
        <v>0.28028459999999999</v>
      </c>
      <c r="AD64" s="2">
        <v>0.19879647</v>
      </c>
      <c r="AE64" s="2">
        <v>0.25799337</v>
      </c>
      <c r="AF64" s="2">
        <v>0.18660199999999999</v>
      </c>
      <c r="AG64" s="2">
        <v>0.53823759999999998</v>
      </c>
      <c r="AH64" s="2">
        <v>-7.2910930000000002E-3</v>
      </c>
      <c r="AI64" s="2">
        <v>0.32686310000000002</v>
      </c>
      <c r="AJ64" s="2">
        <v>1</v>
      </c>
      <c r="AK64" s="2">
        <v>0.24515769000000001</v>
      </c>
      <c r="AL64" s="2">
        <v>0.26256396999999998</v>
      </c>
      <c r="AM64" s="2">
        <v>0.20288113999999999</v>
      </c>
      <c r="AN64" s="2">
        <v>8.6053506000000002E-2</v>
      </c>
      <c r="AO64" s="2">
        <v>0.16058911000000001</v>
      </c>
      <c r="AP64" s="2">
        <v>0.26082223999999998</v>
      </c>
      <c r="AQ64" s="2">
        <v>0.23982559000000001</v>
      </c>
      <c r="AR64" s="2">
        <v>0.32592916</v>
      </c>
      <c r="AS64" s="2">
        <v>0.21558388000000001</v>
      </c>
      <c r="AT64" s="2">
        <v>0.2082833</v>
      </c>
      <c r="AU64" s="2">
        <v>0.1840048</v>
      </c>
      <c r="AV64" s="2">
        <v>9.6976704999999996E-2</v>
      </c>
      <c r="AW64" s="2">
        <v>4.6143413000000001E-2</v>
      </c>
      <c r="AX64" s="2">
        <v>0.24671805999999999</v>
      </c>
      <c r="AY64" s="2">
        <v>0.23825218000000001</v>
      </c>
      <c r="AZ64" s="2">
        <v>0.12783781999999999</v>
      </c>
      <c r="BA64" s="2">
        <v>0.19944242000000001</v>
      </c>
      <c r="BB64" s="2">
        <v>0.13371815000000001</v>
      </c>
      <c r="BC64" s="2">
        <v>0.49824739000000001</v>
      </c>
      <c r="BD64" s="2">
        <v>6.6663235000000001E-2</v>
      </c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ROHM Company Limited</v>
      </c>
      <c r="B65" s="4" t="str">
        <v>6963-JP</v>
      </c>
      <c r="C65" s="2">
        <v>0.36454055000000002</v>
      </c>
      <c r="D65" s="2">
        <v>0.24200404</v>
      </c>
      <c r="E65" s="2">
        <v>0.2953655</v>
      </c>
      <c r="F65" s="2">
        <v>0.24304955</v>
      </c>
      <c r="G65" s="2">
        <v>0.31579437999999999</v>
      </c>
      <c r="H65" s="2">
        <v>0.34340277000000002</v>
      </c>
      <c r="I65" s="2">
        <v>0.32406165999999997</v>
      </c>
      <c r="J65" s="2">
        <v>0.22344452000000001</v>
      </c>
      <c r="K65" s="2">
        <v>0.16698832999999999</v>
      </c>
      <c r="L65" s="2">
        <v>0.19982920000000001</v>
      </c>
      <c r="M65" s="2">
        <v>0.21107449</v>
      </c>
      <c r="N65" s="2">
        <v>0.25157738000000002</v>
      </c>
      <c r="O65" s="2">
        <v>6.9140010000000002E-2</v>
      </c>
      <c r="P65" s="2">
        <v>0.23356119</v>
      </c>
      <c r="Q65" s="2">
        <v>0.19671797999999999</v>
      </c>
      <c r="R65" s="2">
        <v>0.27573449999999999</v>
      </c>
      <c r="S65" s="2">
        <v>0.14890496</v>
      </c>
      <c r="T65" s="2">
        <v>0.24686997999999999</v>
      </c>
      <c r="U65" s="2">
        <v>0.21842164</v>
      </c>
      <c r="V65" s="2">
        <v>5.4147013000000001E-2</v>
      </c>
      <c r="W65" s="2">
        <v>0.20838683999999999</v>
      </c>
      <c r="X65" s="2">
        <v>5.179342E-2</v>
      </c>
      <c r="Y65" s="2">
        <v>0.19632392000000001</v>
      </c>
      <c r="Z65" s="2">
        <v>0.28473237000000001</v>
      </c>
      <c r="AA65" s="2">
        <v>0.33225134000000001</v>
      </c>
      <c r="AB65" s="2">
        <v>0.24712695000000001</v>
      </c>
      <c r="AC65" s="2">
        <v>0.31870154000000001</v>
      </c>
      <c r="AD65" s="2">
        <v>0.23138084</v>
      </c>
      <c r="AE65" s="2">
        <v>0.27126159999999999</v>
      </c>
      <c r="AF65" s="2">
        <v>0.29888861999999999</v>
      </c>
      <c r="AG65" s="2">
        <v>0.40564250000000002</v>
      </c>
      <c r="AH65" s="2">
        <v>0.15477663</v>
      </c>
      <c r="AI65" s="2">
        <v>0.28388112999999998</v>
      </c>
      <c r="AJ65" s="2">
        <v>0.24515769000000001</v>
      </c>
      <c r="AK65" s="2">
        <v>1</v>
      </c>
      <c r="AL65" s="2">
        <v>0.31310323000000001</v>
      </c>
      <c r="AM65" s="2">
        <v>0.11628512000000001</v>
      </c>
      <c r="AN65" s="2">
        <v>0.13196473</v>
      </c>
      <c r="AO65" s="2">
        <v>0.16779664</v>
      </c>
      <c r="AP65" s="2">
        <v>0.15684909999999999</v>
      </c>
      <c r="AQ65" s="2">
        <v>0.29536244</v>
      </c>
      <c r="AR65" s="2">
        <v>0.30356315</v>
      </c>
      <c r="AS65" s="2">
        <v>0.31287205000000001</v>
      </c>
      <c r="AT65" s="2">
        <v>0.28994196999999999</v>
      </c>
      <c r="AU65" s="2">
        <v>0.21416658</v>
      </c>
      <c r="AV65" s="2">
        <v>0.21153066000000001</v>
      </c>
      <c r="AW65" s="2">
        <v>0.17387299000000001</v>
      </c>
      <c r="AX65" s="2">
        <v>0.36194377999999999</v>
      </c>
      <c r="AY65" s="2">
        <v>0.24372193</v>
      </c>
      <c r="AZ65" s="2">
        <v>0.24624535</v>
      </c>
      <c r="BA65" s="2">
        <v>0.26464389999999999</v>
      </c>
      <c r="BB65" s="2">
        <v>0.17186841</v>
      </c>
      <c r="BC65" s="2">
        <v>0.14299724999999999</v>
      </c>
      <c r="BD65" s="2">
        <v>8.9035324999999998E-2</v>
      </c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A66" t="str" cm="1">
        <f t="array" ref="A66">_xll.FDS(B66,"FG_COMPANY_NAME")</f>
        <v>BASF SE</v>
      </c>
      <c r="B66" s="4" t="str">
        <v>BAS-DE</v>
      </c>
      <c r="C66" s="2">
        <v>0.29286292000000003</v>
      </c>
      <c r="D66" s="2">
        <v>0.25432807000000002</v>
      </c>
      <c r="E66" s="2">
        <v>0.61608404000000005</v>
      </c>
      <c r="F66" s="2">
        <v>0.43815730000000003</v>
      </c>
      <c r="G66" s="2">
        <v>0.37872767000000002</v>
      </c>
      <c r="H66" s="2">
        <v>0.32252553</v>
      </c>
      <c r="I66" s="2">
        <v>0.53837924999999998</v>
      </c>
      <c r="J66" s="2">
        <v>0.15928228</v>
      </c>
      <c r="K66" s="2">
        <v>0.21865244</v>
      </c>
      <c r="L66" s="2">
        <v>0.39582806999999998</v>
      </c>
      <c r="M66" s="2">
        <v>0.14662594000000001</v>
      </c>
      <c r="N66" s="2">
        <v>0.20976432</v>
      </c>
      <c r="O66" s="2">
        <v>-5.9963009999999997E-2</v>
      </c>
      <c r="P66" s="2">
        <v>0.17856295</v>
      </c>
      <c r="Q66" s="2">
        <v>0.3823146</v>
      </c>
      <c r="R66" s="2">
        <v>0.51881330000000003</v>
      </c>
      <c r="S66" s="2">
        <v>0.21321878</v>
      </c>
      <c r="T66" s="2">
        <v>0.38863750000000002</v>
      </c>
      <c r="U66" s="2">
        <v>0.43226722000000001</v>
      </c>
      <c r="V66" s="2">
        <v>3.0308261999999999E-2</v>
      </c>
      <c r="W66" s="2">
        <v>0.46770686</v>
      </c>
      <c r="X66" s="2">
        <v>5.0698123999999997E-2</v>
      </c>
      <c r="Y66" s="2">
        <v>0.28679969999999999</v>
      </c>
      <c r="Z66" s="2">
        <v>0.24900843</v>
      </c>
      <c r="AA66" s="2">
        <v>0.5281844</v>
      </c>
      <c r="AB66" s="2">
        <v>0.17090751000000001</v>
      </c>
      <c r="AC66" s="2">
        <v>0.54940990000000001</v>
      </c>
      <c r="AD66" s="2">
        <v>0.53533226</v>
      </c>
      <c r="AE66" s="2">
        <v>0.43595156000000002</v>
      </c>
      <c r="AF66" s="2">
        <v>0.54457990000000001</v>
      </c>
      <c r="AG66" s="2">
        <v>0.35151490000000002</v>
      </c>
      <c r="AH66" s="2">
        <v>0.36985603</v>
      </c>
      <c r="AI66" s="2">
        <v>0.33487860000000003</v>
      </c>
      <c r="AJ66" s="2">
        <v>0.26256396999999998</v>
      </c>
      <c r="AK66" s="2">
        <v>0.31310323000000001</v>
      </c>
      <c r="AL66" s="2">
        <v>1</v>
      </c>
      <c r="AM66" s="2">
        <v>0.32941072999999998</v>
      </c>
      <c r="AN66" s="2">
        <v>0.32809922000000002</v>
      </c>
      <c r="AO66" s="2">
        <v>0.22335935000000001</v>
      </c>
      <c r="AP66" s="2">
        <v>0.37075954999999999</v>
      </c>
      <c r="AQ66" s="2">
        <v>0.69562089999999999</v>
      </c>
      <c r="AR66" s="2">
        <v>0.41024443999999999</v>
      </c>
      <c r="AS66" s="2">
        <v>0.36441904000000003</v>
      </c>
      <c r="AT66" s="2">
        <v>0.58411795</v>
      </c>
      <c r="AU66" s="2">
        <v>0.55750823000000005</v>
      </c>
      <c r="AV66" s="2">
        <v>0.43991200000000003</v>
      </c>
      <c r="AW66" s="2">
        <v>0.23482700000000001</v>
      </c>
      <c r="AX66" s="2">
        <v>0.52708434999999998</v>
      </c>
      <c r="AY66" s="2">
        <v>0.7616617</v>
      </c>
      <c r="AZ66" s="2">
        <v>0.42650073999999999</v>
      </c>
      <c r="BA66" s="2">
        <v>0.5181595</v>
      </c>
      <c r="BB66" s="2">
        <v>0.34533723999999999</v>
      </c>
      <c r="BC66" s="2">
        <v>0.1027912</v>
      </c>
      <c r="BD66" s="2">
        <v>0.13109232000000001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A67" t="str" cm="1">
        <f t="array" ref="A67">_xll.FDS(B67,"FG_COMPANY_NAME")</f>
        <v>Carrefour SA</v>
      </c>
      <c r="B67" s="4" t="str">
        <v>CA-FR</v>
      </c>
      <c r="C67" s="2">
        <v>0.15665248000000001</v>
      </c>
      <c r="D67" s="2">
        <v>0.17794839000000001</v>
      </c>
      <c r="E67" s="2">
        <v>0.25645225999999999</v>
      </c>
      <c r="F67" s="2">
        <v>0.16361754000000001</v>
      </c>
      <c r="G67" s="2">
        <v>0.27775030000000001</v>
      </c>
      <c r="H67" s="2">
        <v>0.16803987000000001</v>
      </c>
      <c r="I67" s="2">
        <v>0.14638171999999999</v>
      </c>
      <c r="J67" s="2">
        <v>0.21711294</v>
      </c>
      <c r="K67" s="2">
        <v>0.31774323999999998</v>
      </c>
      <c r="L67" s="2">
        <v>0.31011720999999998</v>
      </c>
      <c r="M67" s="2">
        <v>6.5998755000000006E-2</v>
      </c>
      <c r="N67" s="2">
        <v>0.14224622000000001</v>
      </c>
      <c r="O67" s="2">
        <v>0.14272022000000001</v>
      </c>
      <c r="P67" s="2">
        <v>0.15046672999999999</v>
      </c>
      <c r="Q67" s="2">
        <v>5.5297602000000001E-2</v>
      </c>
      <c r="R67" s="2">
        <v>0.30553922</v>
      </c>
      <c r="S67" s="2">
        <v>0.41865599999999997</v>
      </c>
      <c r="T67" s="2">
        <v>0.36957543999999998</v>
      </c>
      <c r="U67" s="2">
        <v>0.23980746999999999</v>
      </c>
      <c r="V67" s="2">
        <v>0.23581550000000001</v>
      </c>
      <c r="W67" s="2">
        <v>0.29008835999999999</v>
      </c>
      <c r="X67" s="2">
        <v>0.17381921</v>
      </c>
      <c r="Y67" s="2">
        <v>0.18265869000000001</v>
      </c>
      <c r="Z67" s="2">
        <v>0.11998072999999999</v>
      </c>
      <c r="AA67" s="2">
        <v>0.21105298</v>
      </c>
      <c r="AB67" s="2">
        <v>0.10125315999999999</v>
      </c>
      <c r="AC67" s="2">
        <v>0.27014484999999999</v>
      </c>
      <c r="AD67" s="2">
        <v>0.31165457000000002</v>
      </c>
      <c r="AE67" s="2">
        <v>0.32374528000000002</v>
      </c>
      <c r="AF67" s="2">
        <v>7.8400709999999998E-2</v>
      </c>
      <c r="AG67" s="2">
        <v>0.16555734</v>
      </c>
      <c r="AH67" s="2">
        <v>0.14364739000000001</v>
      </c>
      <c r="AI67" s="2">
        <v>0.35905766</v>
      </c>
      <c r="AJ67" s="2">
        <v>0.20288113999999999</v>
      </c>
      <c r="AK67" s="2">
        <v>0.11628512000000001</v>
      </c>
      <c r="AL67" s="2">
        <v>0.32941072999999998</v>
      </c>
      <c r="AM67" s="2">
        <v>1</v>
      </c>
      <c r="AN67" s="2">
        <v>0.14889011999999999</v>
      </c>
      <c r="AO67" s="2">
        <v>0.1365818</v>
      </c>
      <c r="AP67" s="2">
        <v>0.2959927</v>
      </c>
      <c r="AQ67" s="2">
        <v>0.37676270000000001</v>
      </c>
      <c r="AR67" s="2">
        <v>0.25471494</v>
      </c>
      <c r="AS67" s="2">
        <v>8.8774039999999999E-2</v>
      </c>
      <c r="AT67" s="2">
        <v>0.26814250000000001</v>
      </c>
      <c r="AU67" s="2">
        <v>0.22792977</v>
      </c>
      <c r="AV67" s="2">
        <v>0.30861282000000001</v>
      </c>
      <c r="AW67" s="2">
        <v>0.11143894999999999</v>
      </c>
      <c r="AX67" s="2">
        <v>0.15395153</v>
      </c>
      <c r="AY67" s="2">
        <v>0.37588519999999997</v>
      </c>
      <c r="AZ67" s="2">
        <v>0.15831749000000001</v>
      </c>
      <c r="BA67" s="2">
        <v>0.23977177</v>
      </c>
      <c r="BB67" s="2">
        <v>0.21991479999999999</v>
      </c>
      <c r="BC67" s="2">
        <v>0.19257848</v>
      </c>
      <c r="BD67" s="2">
        <v>7.4859894999999996E-2</v>
      </c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A68" t="str" cm="1">
        <f t="array" ref="A68">_xll.FDS(B68,"FG_COMPANY_NAME")</f>
        <v>Ternium S.A. Sponsored ADR</v>
      </c>
      <c r="B68" s="4" t="str">
        <v>TX-US</v>
      </c>
      <c r="C68" s="2">
        <v>3.0743906000000001E-2</v>
      </c>
      <c r="D68" s="2">
        <v>2.8160607000000001E-2</v>
      </c>
      <c r="E68" s="2">
        <v>0.14841971000000001</v>
      </c>
      <c r="F68" s="2">
        <v>0.20434867000000001</v>
      </c>
      <c r="G68" s="2">
        <v>5.3371355000000002E-2</v>
      </c>
      <c r="H68" s="2">
        <v>3.7919572999999998E-2</v>
      </c>
      <c r="I68" s="2">
        <v>0.31561070000000002</v>
      </c>
      <c r="J68" s="2">
        <v>2.8060826000000001E-2</v>
      </c>
      <c r="K68" s="2">
        <v>0.108577944</v>
      </c>
      <c r="L68" s="2">
        <v>2.9858091999999999E-3</v>
      </c>
      <c r="M68" s="2">
        <v>0.117728055</v>
      </c>
      <c r="N68" s="2">
        <v>3.9051193999999997E-2</v>
      </c>
      <c r="O68" s="2">
        <v>-3.806321E-2</v>
      </c>
      <c r="P68" s="2">
        <v>4.4127929999999999E-3</v>
      </c>
      <c r="Q68" s="2">
        <v>0.1992276</v>
      </c>
      <c r="R68" s="2">
        <v>0.14070487000000001</v>
      </c>
      <c r="S68" s="2">
        <v>-3.3967476000000003E-2</v>
      </c>
      <c r="T68" s="2">
        <v>9.8456963999999994E-2</v>
      </c>
      <c r="U68" s="2">
        <v>0.19950082999999999</v>
      </c>
      <c r="V68" s="2">
        <v>-1.3856756499999999E-2</v>
      </c>
      <c r="W68" s="2">
        <v>0.18376306000000001</v>
      </c>
      <c r="X68" s="2">
        <v>6.8827189999999998E-3</v>
      </c>
      <c r="Y68" s="2">
        <v>0.12901053000000001</v>
      </c>
      <c r="Z68" s="2">
        <v>-8.6275615E-2</v>
      </c>
      <c r="AA68" s="2">
        <v>0.18931129999999999</v>
      </c>
      <c r="AB68" s="2">
        <v>-2.7800482000000001E-2</v>
      </c>
      <c r="AC68" s="2">
        <v>0.29451864999999999</v>
      </c>
      <c r="AD68" s="2">
        <v>0.16921360999999999</v>
      </c>
      <c r="AE68" s="2">
        <v>9.8428673999999994E-2</v>
      </c>
      <c r="AF68" s="2">
        <v>0.32739352999999999</v>
      </c>
      <c r="AG68" s="2">
        <v>0.12369908</v>
      </c>
      <c r="AH68" s="2">
        <v>8.7418339999999997E-2</v>
      </c>
      <c r="AI68" s="2">
        <v>1.5495358000000001E-2</v>
      </c>
      <c r="AJ68" s="2">
        <v>8.6053506000000002E-2</v>
      </c>
      <c r="AK68" s="2">
        <v>0.13196473</v>
      </c>
      <c r="AL68" s="2">
        <v>0.32809922000000002</v>
      </c>
      <c r="AM68" s="2">
        <v>0.14889011999999999</v>
      </c>
      <c r="AN68" s="2">
        <v>1</v>
      </c>
      <c r="AO68" s="2">
        <v>0.13147751999999999</v>
      </c>
      <c r="AP68" s="2">
        <v>0.1737049</v>
      </c>
      <c r="AQ68" s="2">
        <v>0.23419071999999999</v>
      </c>
      <c r="AR68" s="2">
        <v>0.25524738000000002</v>
      </c>
      <c r="AS68" s="2">
        <v>0.23038116</v>
      </c>
      <c r="AT68" s="2">
        <v>0.21553446000000001</v>
      </c>
      <c r="AU68" s="2">
        <v>0.21522896999999999</v>
      </c>
      <c r="AV68" s="2">
        <v>0.19442113999999999</v>
      </c>
      <c r="AW68" s="2">
        <v>0.16850393999999999</v>
      </c>
      <c r="AX68" s="2">
        <v>0.36831209999999998</v>
      </c>
      <c r="AY68" s="2">
        <v>0.24959691000000001</v>
      </c>
      <c r="AZ68" s="2">
        <v>0.21378485999999999</v>
      </c>
      <c r="BA68" s="2">
        <v>0.19473745000000001</v>
      </c>
      <c r="BB68" s="2">
        <v>9.9740010000000004E-2</v>
      </c>
      <c r="BC68" s="2">
        <v>-1.5157986E-2</v>
      </c>
      <c r="BD68" s="2">
        <v>0.38710444999999999</v>
      </c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A69" t="str" cm="1">
        <f t="array" ref="A69">_xll.FDS(B69,"FG_COMPANY_NAME")</f>
        <v>Anhui Conch Cement Company Limited Class H</v>
      </c>
      <c r="B69" s="4" t="str">
        <v>914-HK</v>
      </c>
      <c r="C69" s="2">
        <v>-1.6310379E-2</v>
      </c>
      <c r="D69" s="2">
        <v>0.1540144</v>
      </c>
      <c r="E69" s="2">
        <v>4.6682116000000003E-2</v>
      </c>
      <c r="F69" s="2">
        <v>0.14547618000000001</v>
      </c>
      <c r="G69" s="2">
        <v>0.12667676999999999</v>
      </c>
      <c r="H69" s="2">
        <v>0.10767474</v>
      </c>
      <c r="I69" s="2">
        <v>0.17944498</v>
      </c>
      <c r="J69" s="2">
        <v>5.6736535999999997E-2</v>
      </c>
      <c r="K69" s="2">
        <v>0.16700699999999999</v>
      </c>
      <c r="L69" s="2">
        <v>0.16243284999999999</v>
      </c>
      <c r="M69" s="2">
        <v>8.8384329999999997E-2</v>
      </c>
      <c r="N69" s="2">
        <v>0.14397705</v>
      </c>
      <c r="O69" s="2">
        <v>0.15754731999999999</v>
      </c>
      <c r="P69" s="2">
        <v>0.112520434</v>
      </c>
      <c r="Q69" s="2">
        <v>0.12128377999999999</v>
      </c>
      <c r="R69" s="2">
        <v>0.13535625000000001</v>
      </c>
      <c r="S69" s="2">
        <v>0.12761724999999999</v>
      </c>
      <c r="T69" s="2">
        <v>0.22153173000000001</v>
      </c>
      <c r="U69" s="2">
        <v>0.14443988999999999</v>
      </c>
      <c r="V69" s="2">
        <v>4.2721352999999997E-2</v>
      </c>
      <c r="W69" s="2">
        <v>0.13467825999999999</v>
      </c>
      <c r="X69" s="2">
        <v>0.11807197</v>
      </c>
      <c r="Y69" s="2">
        <v>-1.2453888999999999E-2</v>
      </c>
      <c r="Z69" s="2">
        <v>0.14574456</v>
      </c>
      <c r="AA69" s="2">
        <v>0.1736656</v>
      </c>
      <c r="AB69" s="2">
        <v>0.11826254</v>
      </c>
      <c r="AC69" s="2">
        <v>0.23060548</v>
      </c>
      <c r="AD69" s="2">
        <v>0.15787377999999999</v>
      </c>
      <c r="AE69" s="2">
        <v>0.14864494</v>
      </c>
      <c r="AF69" s="2">
        <v>0.2195676</v>
      </c>
      <c r="AG69" s="2">
        <v>0.17291728000000001</v>
      </c>
      <c r="AH69" s="2">
        <v>6.8855369999999999E-2</v>
      </c>
      <c r="AI69" s="2">
        <v>0.13839422000000001</v>
      </c>
      <c r="AJ69" s="2">
        <v>0.16058911000000001</v>
      </c>
      <c r="AK69" s="2">
        <v>0.16779664</v>
      </c>
      <c r="AL69" s="2">
        <v>0.22335935000000001</v>
      </c>
      <c r="AM69" s="2">
        <v>0.1365818</v>
      </c>
      <c r="AN69" s="2">
        <v>0.13147751999999999</v>
      </c>
      <c r="AO69" s="2">
        <v>1</v>
      </c>
      <c r="AP69" s="2">
        <v>6.9722204999999995E-2</v>
      </c>
      <c r="AQ69" s="2">
        <v>0.10680812000000001</v>
      </c>
      <c r="AR69" s="2">
        <v>8.0504010000000001E-2</v>
      </c>
      <c r="AS69" s="2">
        <v>6.4998E-2</v>
      </c>
      <c r="AT69" s="2">
        <v>0.14056779999999999</v>
      </c>
      <c r="AU69" s="2">
        <v>0.14115221999999999</v>
      </c>
      <c r="AV69" s="2">
        <v>8.9517063999999993E-2</v>
      </c>
      <c r="AW69" s="2">
        <v>0.21776892</v>
      </c>
      <c r="AX69" s="2">
        <v>0.25891140000000001</v>
      </c>
      <c r="AY69" s="2">
        <v>0.22128637000000001</v>
      </c>
      <c r="AZ69" s="2">
        <v>0.20334935000000001</v>
      </c>
      <c r="BA69" s="2">
        <v>0.13684307000000001</v>
      </c>
      <c r="BB69" s="2">
        <v>7.9145359999999998E-2</v>
      </c>
      <c r="BC69" s="2">
        <v>0.12709181</v>
      </c>
      <c r="BD69" s="2">
        <v>-7.3670070000000004E-2</v>
      </c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A70" t="str" cm="1">
        <f t="array" ref="A70">_xll.FDS(B70,"FG_COMPANY_NAME")</f>
        <v>OMV AG</v>
      </c>
      <c r="B70" s="4" t="str">
        <v>OMV-AT</v>
      </c>
      <c r="C70" s="2">
        <v>0.13457458</v>
      </c>
      <c r="D70" s="2">
        <v>0.22465104999999999</v>
      </c>
      <c r="E70" s="2">
        <v>0.31213071999999997</v>
      </c>
      <c r="F70" s="2">
        <v>0.32413688000000002</v>
      </c>
      <c r="G70" s="2">
        <v>0.30972564000000002</v>
      </c>
      <c r="H70" s="2">
        <v>0.2290546</v>
      </c>
      <c r="I70" s="2">
        <v>0.34154293000000002</v>
      </c>
      <c r="J70" s="2">
        <v>0.18524307000000001</v>
      </c>
      <c r="K70" s="2">
        <v>0.23735818</v>
      </c>
      <c r="L70" s="2">
        <v>0.22612742999999999</v>
      </c>
      <c r="M70" s="2">
        <v>-2.1602994E-2</v>
      </c>
      <c r="N70" s="2">
        <v>0.20232314000000001</v>
      </c>
      <c r="O70" s="2">
        <v>0.12112467</v>
      </c>
      <c r="P70" s="2">
        <v>-4.5712444999999997E-2</v>
      </c>
      <c r="Q70" s="2">
        <v>0.23282855999999999</v>
      </c>
      <c r="R70" s="2">
        <v>0.34984749999999998</v>
      </c>
      <c r="S70" s="2">
        <v>0.20349069</v>
      </c>
      <c r="T70" s="2">
        <v>0.42305544</v>
      </c>
      <c r="U70" s="2">
        <v>0.34375894000000001</v>
      </c>
      <c r="V70" s="2">
        <v>9.4765409999999994E-2</v>
      </c>
      <c r="W70" s="2">
        <v>0.26551130000000001</v>
      </c>
      <c r="X70" s="2">
        <v>0.13913848000000001</v>
      </c>
      <c r="Y70" s="2">
        <v>0.17896228</v>
      </c>
      <c r="Z70" s="2">
        <v>0.20129468</v>
      </c>
      <c r="AA70" s="2">
        <v>0.23064852</v>
      </c>
      <c r="AB70" s="2">
        <v>0.19526467</v>
      </c>
      <c r="AC70" s="2">
        <v>0.26221879999999997</v>
      </c>
      <c r="AD70" s="2">
        <v>0.35082415</v>
      </c>
      <c r="AE70" s="2">
        <v>0.36236256</v>
      </c>
      <c r="AF70" s="2">
        <v>0.32344119999999998</v>
      </c>
      <c r="AG70" s="2">
        <v>0.32488728</v>
      </c>
      <c r="AH70" s="2">
        <v>0.23235049999999999</v>
      </c>
      <c r="AI70" s="2">
        <v>0.34395206</v>
      </c>
      <c r="AJ70" s="2">
        <v>0.26082223999999998</v>
      </c>
      <c r="AK70" s="2">
        <v>0.15684909999999999</v>
      </c>
      <c r="AL70" s="2">
        <v>0.37075954999999999</v>
      </c>
      <c r="AM70" s="2">
        <v>0.2959927</v>
      </c>
      <c r="AN70" s="2">
        <v>0.1737049</v>
      </c>
      <c r="AO70" s="2">
        <v>6.9722204999999995E-2</v>
      </c>
      <c r="AP70" s="2">
        <v>1</v>
      </c>
      <c r="AQ70" s="2">
        <v>0.37183347</v>
      </c>
      <c r="AR70" s="2">
        <v>0.56284869999999998</v>
      </c>
      <c r="AS70" s="2">
        <v>0.49226429999999999</v>
      </c>
      <c r="AT70" s="2">
        <v>0.20655625</v>
      </c>
      <c r="AU70" s="2">
        <v>0.18151539999999999</v>
      </c>
      <c r="AV70" s="2">
        <v>0.29311009999999998</v>
      </c>
      <c r="AW70" s="2">
        <v>0.11230066</v>
      </c>
      <c r="AX70" s="2">
        <v>0.3304417</v>
      </c>
      <c r="AY70" s="2">
        <v>0.35240060000000001</v>
      </c>
      <c r="AZ70" s="2">
        <v>0.31506494000000002</v>
      </c>
      <c r="BA70" s="2">
        <v>0.37163857</v>
      </c>
      <c r="BB70" s="2">
        <v>0.245195</v>
      </c>
      <c r="BC70" s="2">
        <v>0.14660007</v>
      </c>
      <c r="BD70" s="2">
        <v>0.26043135000000001</v>
      </c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A71" t="str" cm="1">
        <f t="array" ref="A71">_xll.FDS(B71,"FG_COMPANY_NAME")</f>
        <v>Volkswagen AG Pref</v>
      </c>
      <c r="B71" s="4" t="str">
        <v>VOW3-DE</v>
      </c>
      <c r="C71" s="2">
        <v>0.26559377000000001</v>
      </c>
      <c r="D71" s="2">
        <v>0.19215138000000001</v>
      </c>
      <c r="E71" s="2">
        <v>0.56461859999999997</v>
      </c>
      <c r="F71" s="2">
        <v>0.32338428000000002</v>
      </c>
      <c r="G71" s="2">
        <v>0.3230983</v>
      </c>
      <c r="H71" s="2">
        <v>0.24821465000000001</v>
      </c>
      <c r="I71" s="2">
        <v>0.38000038000000003</v>
      </c>
      <c r="J71" s="2">
        <v>0.13439295000000001</v>
      </c>
      <c r="K71" s="2">
        <v>0.12605021999999999</v>
      </c>
      <c r="L71" s="2">
        <v>0.34854560000000001</v>
      </c>
      <c r="M71" s="2">
        <v>0.14651273000000001</v>
      </c>
      <c r="N71" s="2">
        <v>0.14918454</v>
      </c>
      <c r="O71" s="2">
        <v>-6.1183090000000002E-2</v>
      </c>
      <c r="P71" s="2">
        <v>0.14959607</v>
      </c>
      <c r="Q71" s="2">
        <v>0.30008220000000002</v>
      </c>
      <c r="R71" s="2">
        <v>0.52461915999999997</v>
      </c>
      <c r="S71" s="2">
        <v>0.21220170999999999</v>
      </c>
      <c r="T71" s="2">
        <v>0.35117500000000001</v>
      </c>
      <c r="U71" s="2">
        <v>0.35805832999999998</v>
      </c>
      <c r="V71" s="2">
        <v>3.1262237999999998E-2</v>
      </c>
      <c r="W71" s="2">
        <v>0.36364891999999999</v>
      </c>
      <c r="X71" s="2">
        <v>2.3682953E-3</v>
      </c>
      <c r="Y71" s="2">
        <v>0.25523066999999999</v>
      </c>
      <c r="Z71" s="2">
        <v>0.20259847</v>
      </c>
      <c r="AA71" s="2">
        <v>0.46757460000000001</v>
      </c>
      <c r="AB71" s="2">
        <v>0.16856636</v>
      </c>
      <c r="AC71" s="2">
        <v>0.47465449999999998</v>
      </c>
      <c r="AD71" s="2">
        <v>0.51886239999999995</v>
      </c>
      <c r="AE71" s="2">
        <v>0.40519527</v>
      </c>
      <c r="AF71" s="2">
        <v>0.37946352</v>
      </c>
      <c r="AG71" s="2">
        <v>0.27920761999999999</v>
      </c>
      <c r="AH71" s="2">
        <v>0.30368736000000002</v>
      </c>
      <c r="AI71" s="2">
        <v>0.31278116</v>
      </c>
      <c r="AJ71" s="2">
        <v>0.23982559000000001</v>
      </c>
      <c r="AK71" s="2">
        <v>0.29536244</v>
      </c>
      <c r="AL71" s="2">
        <v>0.69562089999999999</v>
      </c>
      <c r="AM71" s="2">
        <v>0.37676270000000001</v>
      </c>
      <c r="AN71" s="2">
        <v>0.23419071999999999</v>
      </c>
      <c r="AO71" s="2">
        <v>0.10680812000000001</v>
      </c>
      <c r="AP71" s="2">
        <v>0.37183347</v>
      </c>
      <c r="AQ71" s="2">
        <v>1</v>
      </c>
      <c r="AR71" s="2">
        <v>0.41101315999999999</v>
      </c>
      <c r="AS71" s="2">
        <v>0.32774725999999998</v>
      </c>
      <c r="AT71" s="2">
        <v>0.49677828000000002</v>
      </c>
      <c r="AU71" s="2">
        <v>0.46756372000000002</v>
      </c>
      <c r="AV71" s="2">
        <v>0.52585579999999998</v>
      </c>
      <c r="AW71" s="2">
        <v>0.20124927000000001</v>
      </c>
      <c r="AX71" s="2">
        <v>0.34068290000000001</v>
      </c>
      <c r="AY71" s="2">
        <v>0.64271705999999995</v>
      </c>
      <c r="AZ71" s="2">
        <v>0.36623144000000002</v>
      </c>
      <c r="BA71" s="2">
        <v>0.46472907000000002</v>
      </c>
      <c r="BB71" s="2">
        <v>0.28839818</v>
      </c>
      <c r="BC71" s="2">
        <v>0.17524590000000001</v>
      </c>
      <c r="BD71" s="2">
        <v>8.9299539999999997E-2</v>
      </c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A72" t="str" cm="1">
        <f t="array" ref="A72">_xll.FDS(B72,"FG_COMPANY_NAME")</f>
        <v>Eni S.p.A.</v>
      </c>
      <c r="B72" s="4" t="str">
        <v>ENI-IT</v>
      </c>
      <c r="C72" s="2">
        <v>0.28687190000000001</v>
      </c>
      <c r="D72" s="2">
        <v>0.29637152</v>
      </c>
      <c r="E72" s="2">
        <v>0.43204236000000001</v>
      </c>
      <c r="F72" s="2">
        <v>0.36867028000000002</v>
      </c>
      <c r="G72" s="2">
        <v>0.31098409999999999</v>
      </c>
      <c r="H72" s="2">
        <v>0.30922145000000001</v>
      </c>
      <c r="I72" s="2">
        <v>0.47789118000000003</v>
      </c>
      <c r="J72" s="2">
        <v>0.32297498000000002</v>
      </c>
      <c r="K72" s="2">
        <v>0.29318657999999997</v>
      </c>
      <c r="L72" s="2">
        <v>0.28294639999999999</v>
      </c>
      <c r="M72" s="2">
        <v>0.20412068</v>
      </c>
      <c r="N72" s="2">
        <v>0.18004538</v>
      </c>
      <c r="O72" s="2">
        <v>0.18597619000000001</v>
      </c>
      <c r="P72" s="2">
        <v>0.19148979999999999</v>
      </c>
      <c r="Q72" s="2">
        <v>0.30500755000000002</v>
      </c>
      <c r="R72" s="2">
        <v>0.34357110000000002</v>
      </c>
      <c r="S72" s="2">
        <v>0.26860436999999998</v>
      </c>
      <c r="T72" s="2">
        <v>0.46017884999999997</v>
      </c>
      <c r="U72" s="2">
        <v>0.33699005999999998</v>
      </c>
      <c r="V72" s="2">
        <v>9.7374769999999999E-2</v>
      </c>
      <c r="W72" s="2">
        <v>0.31881973000000002</v>
      </c>
      <c r="X72" s="2">
        <v>0.21145596</v>
      </c>
      <c r="Y72" s="2">
        <v>0.32921186000000002</v>
      </c>
      <c r="Z72" s="2">
        <v>0.28441909999999998</v>
      </c>
      <c r="AA72" s="2">
        <v>0.31919069999999999</v>
      </c>
      <c r="AB72" s="2">
        <v>0.31092920000000002</v>
      </c>
      <c r="AC72" s="2">
        <v>0.43209344</v>
      </c>
      <c r="AD72" s="2">
        <v>0.44656190000000001</v>
      </c>
      <c r="AE72" s="2">
        <v>0.46111089999999999</v>
      </c>
      <c r="AF72" s="2">
        <v>0.39878142</v>
      </c>
      <c r="AG72" s="2">
        <v>0.35213155000000002</v>
      </c>
      <c r="AH72" s="2">
        <v>0.26926171999999998</v>
      </c>
      <c r="AI72" s="2">
        <v>0.44657933999999999</v>
      </c>
      <c r="AJ72" s="2">
        <v>0.32592916</v>
      </c>
      <c r="AK72" s="2">
        <v>0.30356315</v>
      </c>
      <c r="AL72" s="2">
        <v>0.41024443999999999</v>
      </c>
      <c r="AM72" s="2">
        <v>0.25471494</v>
      </c>
      <c r="AN72" s="2">
        <v>0.25524738000000002</v>
      </c>
      <c r="AO72" s="2">
        <v>8.0504010000000001E-2</v>
      </c>
      <c r="AP72" s="2">
        <v>0.56284869999999998</v>
      </c>
      <c r="AQ72" s="2">
        <v>0.41101315999999999</v>
      </c>
      <c r="AR72" s="2">
        <v>1</v>
      </c>
      <c r="AS72" s="2">
        <v>0.7073779</v>
      </c>
      <c r="AT72" s="2">
        <v>0.25198540000000003</v>
      </c>
      <c r="AU72" s="2">
        <v>0.32361020000000001</v>
      </c>
      <c r="AV72" s="2">
        <v>0.29017648000000001</v>
      </c>
      <c r="AW72" s="2">
        <v>0.17709844999999999</v>
      </c>
      <c r="AX72" s="2">
        <v>0.38008662999999998</v>
      </c>
      <c r="AY72" s="2">
        <v>0.38892826000000003</v>
      </c>
      <c r="AZ72" s="2">
        <v>0.36281766999999998</v>
      </c>
      <c r="BA72" s="2">
        <v>0.42608636999999999</v>
      </c>
      <c r="BB72" s="2">
        <v>0.30574277</v>
      </c>
      <c r="BC72" s="2">
        <v>0.10679487</v>
      </c>
      <c r="BD72" s="2">
        <v>0.36802439999999997</v>
      </c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A73" t="str" cm="1">
        <f t="array" ref="A73">_xll.FDS(B73,"FG_COMPANY_NAME")</f>
        <v>Repsol SA</v>
      </c>
      <c r="B73" s="4" t="str">
        <v>REP-ES</v>
      </c>
      <c r="C73" s="2">
        <v>0.18389446000000001</v>
      </c>
      <c r="D73" s="2">
        <v>0.19436954000000001</v>
      </c>
      <c r="E73" s="2">
        <v>0.32520387000000001</v>
      </c>
      <c r="F73" s="2">
        <v>0.35822876999999997</v>
      </c>
      <c r="G73" s="2">
        <v>0.24231547000000001</v>
      </c>
      <c r="H73" s="2">
        <v>0.22009919999999999</v>
      </c>
      <c r="I73" s="2">
        <v>0.47337073000000002</v>
      </c>
      <c r="J73" s="2">
        <v>0.26572200000000001</v>
      </c>
      <c r="K73" s="2">
        <v>0.21668962999999999</v>
      </c>
      <c r="L73" s="2">
        <v>0.2505848</v>
      </c>
      <c r="M73" s="2">
        <v>0.17868339</v>
      </c>
      <c r="N73" s="2">
        <v>0.12029586</v>
      </c>
      <c r="O73" s="2">
        <v>0.101451896</v>
      </c>
      <c r="P73" s="2">
        <v>0.12227142000000001</v>
      </c>
      <c r="Q73" s="2">
        <v>0.31501975999999998</v>
      </c>
      <c r="R73" s="2">
        <v>0.34057029999999999</v>
      </c>
      <c r="S73" s="2">
        <v>0.10452</v>
      </c>
      <c r="T73" s="2">
        <v>0.34658408000000002</v>
      </c>
      <c r="U73" s="2">
        <v>0.34852699999999998</v>
      </c>
      <c r="V73" s="2">
        <v>9.3984040000000005E-2</v>
      </c>
      <c r="W73" s="2">
        <v>0.25133296999999999</v>
      </c>
      <c r="X73" s="2">
        <v>0.14293362000000001</v>
      </c>
      <c r="Y73" s="2">
        <v>0.30366929999999998</v>
      </c>
      <c r="Z73" s="2">
        <v>0.20871627000000001</v>
      </c>
      <c r="AA73" s="2">
        <v>0.32539716000000002</v>
      </c>
      <c r="AB73" s="2">
        <v>0.16414835</v>
      </c>
      <c r="AC73" s="2">
        <v>0.36890519999999999</v>
      </c>
      <c r="AD73" s="2">
        <v>0.40814778000000002</v>
      </c>
      <c r="AE73" s="2">
        <v>0.38773142999999999</v>
      </c>
      <c r="AF73" s="2">
        <v>0.41710818</v>
      </c>
      <c r="AG73" s="2">
        <v>0.30791600000000002</v>
      </c>
      <c r="AH73" s="2">
        <v>0.25319806</v>
      </c>
      <c r="AI73" s="2">
        <v>0.37744220000000001</v>
      </c>
      <c r="AJ73" s="2">
        <v>0.21558388000000001</v>
      </c>
      <c r="AK73" s="2">
        <v>0.31287205000000001</v>
      </c>
      <c r="AL73" s="2">
        <v>0.36441904000000003</v>
      </c>
      <c r="AM73" s="2">
        <v>8.8774039999999999E-2</v>
      </c>
      <c r="AN73" s="2">
        <v>0.23038116</v>
      </c>
      <c r="AO73" s="2">
        <v>6.4998E-2</v>
      </c>
      <c r="AP73" s="2">
        <v>0.49226429999999999</v>
      </c>
      <c r="AQ73" s="2">
        <v>0.32774725999999998</v>
      </c>
      <c r="AR73" s="2">
        <v>0.7073779</v>
      </c>
      <c r="AS73" s="2">
        <v>1</v>
      </c>
      <c r="AT73" s="2">
        <v>0.24045696999999999</v>
      </c>
      <c r="AU73" s="2">
        <v>0.31020313999999999</v>
      </c>
      <c r="AV73" s="2">
        <v>0.1985046</v>
      </c>
      <c r="AW73" s="2">
        <v>0.19451435</v>
      </c>
      <c r="AX73" s="2">
        <v>0.42520088</v>
      </c>
      <c r="AY73" s="2">
        <v>0.34079692</v>
      </c>
      <c r="AZ73" s="2">
        <v>0.39408915999999999</v>
      </c>
      <c r="BA73" s="2">
        <v>0.36704700000000001</v>
      </c>
      <c r="BB73" s="2">
        <v>0.28299950000000001</v>
      </c>
      <c r="BC73" s="2">
        <v>2.2270668E-2</v>
      </c>
      <c r="BD73" s="2">
        <v>0.29747894000000003</v>
      </c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A74" t="str" cm="1">
        <f t="array" ref="A74">_xll.FDS(B74,"FG_COMPANY_NAME")</f>
        <v>Deutsche Lufthansa AG</v>
      </c>
      <c r="B74" s="4" t="str">
        <v>LHA-DE</v>
      </c>
      <c r="C74" s="2">
        <v>0.25363845000000002</v>
      </c>
      <c r="D74" s="2">
        <v>0.17567089</v>
      </c>
      <c r="E74" s="2">
        <v>0.46846965000000002</v>
      </c>
      <c r="F74" s="2">
        <v>0.3968315</v>
      </c>
      <c r="G74" s="2">
        <v>0.25353044000000002</v>
      </c>
      <c r="H74" s="2">
        <v>0.23151408000000001</v>
      </c>
      <c r="I74" s="2">
        <v>0.42501935000000002</v>
      </c>
      <c r="J74" s="2">
        <v>0.20675087</v>
      </c>
      <c r="K74" s="2">
        <v>0.27320420000000001</v>
      </c>
      <c r="L74" s="2">
        <v>0.40550049999999999</v>
      </c>
      <c r="M74" s="2">
        <v>0.123900175</v>
      </c>
      <c r="N74" s="2">
        <v>0.19683449</v>
      </c>
      <c r="O74" s="2">
        <v>1.6942929999999998E-2</v>
      </c>
      <c r="P74" s="2">
        <v>0.14057696</v>
      </c>
      <c r="Q74" s="2">
        <v>0.30551194999999998</v>
      </c>
      <c r="R74" s="2">
        <v>0.45550716000000002</v>
      </c>
      <c r="S74" s="2">
        <v>0.14664163999999999</v>
      </c>
      <c r="T74" s="2">
        <v>0.34923156999999999</v>
      </c>
      <c r="U74" s="2">
        <v>0.40299775999999998</v>
      </c>
      <c r="V74" s="2">
        <v>-1.6569002999999999E-2</v>
      </c>
      <c r="W74" s="2">
        <v>0.42848252999999997</v>
      </c>
      <c r="X74" s="2">
        <v>7.8341670000000002E-2</v>
      </c>
      <c r="Y74" s="2">
        <v>0.1721558</v>
      </c>
      <c r="Z74" s="2">
        <v>0.22725534</v>
      </c>
      <c r="AA74" s="2">
        <v>0.34840510000000002</v>
      </c>
      <c r="AB74" s="2">
        <v>0.16492444000000001</v>
      </c>
      <c r="AC74" s="2">
        <v>0.51244869999999998</v>
      </c>
      <c r="AD74" s="2">
        <v>0.49074259999999997</v>
      </c>
      <c r="AE74" s="2">
        <v>0.40256239999999999</v>
      </c>
      <c r="AF74" s="2">
        <v>0.39435488000000002</v>
      </c>
      <c r="AG74" s="2">
        <v>0.32046068</v>
      </c>
      <c r="AH74" s="2">
        <v>0.17795599000000001</v>
      </c>
      <c r="AI74" s="2">
        <v>0.24412447000000001</v>
      </c>
      <c r="AJ74" s="2">
        <v>0.2082833</v>
      </c>
      <c r="AK74" s="2">
        <v>0.28994196999999999</v>
      </c>
      <c r="AL74" s="2">
        <v>0.58411795</v>
      </c>
      <c r="AM74" s="2">
        <v>0.26814250000000001</v>
      </c>
      <c r="AN74" s="2">
        <v>0.21553446000000001</v>
      </c>
      <c r="AO74" s="2">
        <v>0.14056779999999999</v>
      </c>
      <c r="AP74" s="2">
        <v>0.20655625</v>
      </c>
      <c r="AQ74" s="2">
        <v>0.49677828000000002</v>
      </c>
      <c r="AR74" s="2">
        <v>0.25198540000000003</v>
      </c>
      <c r="AS74" s="2">
        <v>0.24045696999999999</v>
      </c>
      <c r="AT74" s="2">
        <v>1</v>
      </c>
      <c r="AU74" s="2">
        <v>0.31092012000000002</v>
      </c>
      <c r="AV74" s="2">
        <v>0.28268125999999999</v>
      </c>
      <c r="AW74" s="2">
        <v>0.21694996999999999</v>
      </c>
      <c r="AX74" s="2">
        <v>0.26055630000000002</v>
      </c>
      <c r="AY74" s="2">
        <v>0.5559364</v>
      </c>
      <c r="AZ74" s="2">
        <v>0.28014024999999998</v>
      </c>
      <c r="BA74" s="2">
        <v>0.47530842000000001</v>
      </c>
      <c r="BB74" s="2">
        <v>0.28720304000000002</v>
      </c>
      <c r="BC74" s="2">
        <v>0.13447334999999999</v>
      </c>
      <c r="BD74" s="2">
        <v>1.4484393999999999E-2</v>
      </c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A75" t="str" cm="1">
        <f t="array" ref="A75">_xll.FDS(B75,"FG_COMPANY_NAME")</f>
        <v>Kering SA</v>
      </c>
      <c r="B75" s="4" t="str">
        <v>KER-FR</v>
      </c>
      <c r="C75" s="2">
        <v>0.23201848999999999</v>
      </c>
      <c r="D75" s="2">
        <v>0.16766565</v>
      </c>
      <c r="E75" s="2">
        <v>0.37106307999999999</v>
      </c>
      <c r="F75" s="2">
        <v>0.24215744</v>
      </c>
      <c r="G75" s="2">
        <v>0.27641719999999997</v>
      </c>
      <c r="H75" s="2">
        <v>0.18430355000000001</v>
      </c>
      <c r="I75" s="2">
        <v>0.39400395999999999</v>
      </c>
      <c r="J75" s="2">
        <v>6.5133060000000007E-2</v>
      </c>
      <c r="K75" s="2">
        <v>0.157218</v>
      </c>
      <c r="L75" s="2">
        <v>0.22988196999999999</v>
      </c>
      <c r="M75" s="2">
        <v>0.13136730999999999</v>
      </c>
      <c r="N75" s="2">
        <v>0.17798015</v>
      </c>
      <c r="O75" s="2">
        <v>-1.4069495E-2</v>
      </c>
      <c r="P75" s="2">
        <v>0.20874583999999999</v>
      </c>
      <c r="Q75" s="2">
        <v>0.28268041999999999</v>
      </c>
      <c r="R75" s="2">
        <v>0.28817487000000003</v>
      </c>
      <c r="S75" s="2">
        <v>6.2269850000000002E-2</v>
      </c>
      <c r="T75" s="2">
        <v>0.23835418999999999</v>
      </c>
      <c r="U75" s="2">
        <v>0.2307381</v>
      </c>
      <c r="V75" s="2">
        <v>7.2081599999999996E-2</v>
      </c>
      <c r="W75" s="2">
        <v>0.23402572999999999</v>
      </c>
      <c r="X75" s="2">
        <v>9.2363245999999996E-2</v>
      </c>
      <c r="Y75" s="2">
        <v>0.30433329999999997</v>
      </c>
      <c r="Z75" s="2">
        <v>0.19016272000000001</v>
      </c>
      <c r="AA75" s="2">
        <v>0.59090830000000005</v>
      </c>
      <c r="AB75" s="2">
        <v>0.11243686</v>
      </c>
      <c r="AC75" s="2">
        <v>0.38492779999999999</v>
      </c>
      <c r="AD75" s="2">
        <v>0.28694120000000001</v>
      </c>
      <c r="AE75" s="2">
        <v>0.28169745000000002</v>
      </c>
      <c r="AF75" s="2">
        <v>0.35130604999999998</v>
      </c>
      <c r="AG75" s="2">
        <v>0.22579919000000001</v>
      </c>
      <c r="AH75" s="2">
        <v>0.51287439999999995</v>
      </c>
      <c r="AI75" s="2">
        <v>0.21088965000000001</v>
      </c>
      <c r="AJ75" s="2">
        <v>0.1840048</v>
      </c>
      <c r="AK75" s="2">
        <v>0.21416658</v>
      </c>
      <c r="AL75" s="2">
        <v>0.55750823000000005</v>
      </c>
      <c r="AM75" s="2">
        <v>0.22792977</v>
      </c>
      <c r="AN75" s="2">
        <v>0.21522896999999999</v>
      </c>
      <c r="AO75" s="2">
        <v>0.14115221999999999</v>
      </c>
      <c r="AP75" s="2">
        <v>0.18151539999999999</v>
      </c>
      <c r="AQ75" s="2">
        <v>0.46756372000000002</v>
      </c>
      <c r="AR75" s="2">
        <v>0.32361020000000001</v>
      </c>
      <c r="AS75" s="2">
        <v>0.31020313999999999</v>
      </c>
      <c r="AT75" s="2">
        <v>0.31092012000000002</v>
      </c>
      <c r="AU75" s="2">
        <v>1</v>
      </c>
      <c r="AV75" s="2">
        <v>0.25386969999999998</v>
      </c>
      <c r="AW75" s="2">
        <v>0.27321099999999998</v>
      </c>
      <c r="AX75" s="2">
        <v>0.40497965000000002</v>
      </c>
      <c r="AY75" s="2">
        <v>0.34757817000000002</v>
      </c>
      <c r="AZ75" s="2">
        <v>0.31441669999999999</v>
      </c>
      <c r="BA75" s="2">
        <v>0.25823163999999998</v>
      </c>
      <c r="BB75" s="2">
        <v>0.16324815000000001</v>
      </c>
      <c r="BC75" s="2">
        <v>0.12680472000000001</v>
      </c>
      <c r="BD75" s="2">
        <v>8.9597314999999997E-2</v>
      </c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A76" t="str" cm="1">
        <f t="array" ref="A76">_xll.FDS(B76,"FG_COMPANY_NAME")</f>
        <v>Renault SA</v>
      </c>
      <c r="B76" s="4" t="str">
        <v>RNO-FR</v>
      </c>
      <c r="C76" s="2">
        <v>0.24100028000000001</v>
      </c>
      <c r="D76" s="2">
        <v>6.8504999999999996E-2</v>
      </c>
      <c r="E76" s="2">
        <v>0.40668523000000001</v>
      </c>
      <c r="F76" s="2">
        <v>0.25575745</v>
      </c>
      <c r="G76" s="2">
        <v>0.2193862</v>
      </c>
      <c r="H76" s="2">
        <v>0.23622029999999999</v>
      </c>
      <c r="I76" s="2">
        <v>0.29374542999999997</v>
      </c>
      <c r="J76" s="2">
        <v>8.0093590000000006E-2</v>
      </c>
      <c r="K76" s="2">
        <v>6.199263E-2</v>
      </c>
      <c r="L76" s="2">
        <v>0.24763742</v>
      </c>
      <c r="M76" s="2">
        <v>0.10250765000000001</v>
      </c>
      <c r="N76" s="2">
        <v>6.9902845000000005E-2</v>
      </c>
      <c r="O76" s="2">
        <v>-7.1466459999999996E-2</v>
      </c>
      <c r="P76" s="2">
        <v>7.6537060000000004E-2</v>
      </c>
      <c r="Q76" s="2">
        <v>0.16931251999999999</v>
      </c>
      <c r="R76" s="2">
        <v>0.24219123000000001</v>
      </c>
      <c r="S76" s="2">
        <v>0.1304197</v>
      </c>
      <c r="T76" s="2">
        <v>0.25837216000000002</v>
      </c>
      <c r="U76" s="2">
        <v>0.26141375</v>
      </c>
      <c r="V76" s="2">
        <v>8.3163130000000002E-2</v>
      </c>
      <c r="W76" s="2">
        <v>0.26373397999999998</v>
      </c>
      <c r="X76" s="2">
        <v>2.3706471999999999E-2</v>
      </c>
      <c r="Y76" s="2">
        <v>0.2162348</v>
      </c>
      <c r="Z76" s="2">
        <v>0.11379083</v>
      </c>
      <c r="AA76" s="2">
        <v>0.23902688999999999</v>
      </c>
      <c r="AB76" s="2">
        <v>6.5354120000000002E-2</v>
      </c>
      <c r="AC76" s="2">
        <v>0.32113429999999998</v>
      </c>
      <c r="AD76" s="2">
        <v>0.30976885999999998</v>
      </c>
      <c r="AE76" s="2">
        <v>0.3148165</v>
      </c>
      <c r="AF76" s="2">
        <v>0.30641475000000001</v>
      </c>
      <c r="AG76" s="2">
        <v>0.20739270000000001</v>
      </c>
      <c r="AH76" s="2">
        <v>0.18893268999999999</v>
      </c>
      <c r="AI76" s="2">
        <v>0.22518126999999999</v>
      </c>
      <c r="AJ76" s="2">
        <v>9.6976704999999996E-2</v>
      </c>
      <c r="AK76" s="2">
        <v>0.21153066000000001</v>
      </c>
      <c r="AL76" s="2">
        <v>0.43991200000000003</v>
      </c>
      <c r="AM76" s="2">
        <v>0.30861282000000001</v>
      </c>
      <c r="AN76" s="2">
        <v>0.19442113999999999</v>
      </c>
      <c r="AO76" s="2">
        <v>8.9517063999999993E-2</v>
      </c>
      <c r="AP76" s="2">
        <v>0.29311009999999998</v>
      </c>
      <c r="AQ76" s="2">
        <v>0.52585579999999998</v>
      </c>
      <c r="AR76" s="2">
        <v>0.29017648000000001</v>
      </c>
      <c r="AS76" s="2">
        <v>0.1985046</v>
      </c>
      <c r="AT76" s="2">
        <v>0.28268125999999999</v>
      </c>
      <c r="AU76" s="2">
        <v>0.25386969999999998</v>
      </c>
      <c r="AV76" s="2">
        <v>1</v>
      </c>
      <c r="AW76" s="2">
        <v>0.13640316999999999</v>
      </c>
      <c r="AX76" s="2">
        <v>0.25459569999999998</v>
      </c>
      <c r="AY76" s="2">
        <v>0.39360000000000001</v>
      </c>
      <c r="AZ76" s="2">
        <v>0.29946669999999997</v>
      </c>
      <c r="BA76" s="2">
        <v>0.2919001</v>
      </c>
      <c r="BB76" s="2">
        <v>0.19691052000000001</v>
      </c>
      <c r="BC76" s="2">
        <v>9.2076850000000002E-2</v>
      </c>
      <c r="BD76" s="2">
        <v>8.0021709999999996E-2</v>
      </c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A77" t="str" cm="1">
        <f t="array" ref="A77">_xll.FDS(B77,"FG_COMPANY_NAME")</f>
        <v>Alibaba Group Holding Limited</v>
      </c>
      <c r="B77" s="4" t="str">
        <v>9988-HK</v>
      </c>
      <c r="C77" s="2">
        <v>0.19976975</v>
      </c>
      <c r="D77" s="2">
        <v>9.7555390000000006E-2</v>
      </c>
      <c r="E77" s="2">
        <v>0.15927061000000001</v>
      </c>
      <c r="F77" s="2">
        <v>0.22378973999999999</v>
      </c>
      <c r="G77" s="2">
        <v>0.18439248</v>
      </c>
      <c r="H77" s="2">
        <v>0.14802547999999999</v>
      </c>
      <c r="I77" s="2">
        <v>0.26271802</v>
      </c>
      <c r="J77" s="2">
        <v>3.8530556E-3</v>
      </c>
      <c r="K77" s="2">
        <v>1.3563165E-2</v>
      </c>
      <c r="L77" s="2">
        <v>0.17048614000000001</v>
      </c>
      <c r="M77" s="2">
        <v>0.22861181</v>
      </c>
      <c r="N77" s="2">
        <v>0.13757965</v>
      </c>
      <c r="O77" s="2">
        <v>-9.9539764000000003E-2</v>
      </c>
      <c r="P77" s="2">
        <v>0.21467103000000001</v>
      </c>
      <c r="Q77" s="2">
        <v>0.2924081</v>
      </c>
      <c r="R77" s="2">
        <v>0.27762565</v>
      </c>
      <c r="S77" s="2">
        <v>-4.4319745000000001E-2</v>
      </c>
      <c r="T77" s="2">
        <v>0.11456311</v>
      </c>
      <c r="U77" s="2">
        <v>0.22415507000000001</v>
      </c>
      <c r="V77" s="2">
        <v>2.9294983E-2</v>
      </c>
      <c r="W77" s="2">
        <v>0.10313499</v>
      </c>
      <c r="X77" s="2">
        <v>-7.5431264999999997E-2</v>
      </c>
      <c r="Y77" s="2">
        <v>0.20742819000000001</v>
      </c>
      <c r="Z77" s="2">
        <v>0.21154806000000001</v>
      </c>
      <c r="AA77" s="2">
        <v>0.17198883000000001</v>
      </c>
      <c r="AB77" s="2">
        <v>0.15952234000000001</v>
      </c>
      <c r="AC77" s="2">
        <v>0.23943382999999999</v>
      </c>
      <c r="AD77" s="2">
        <v>0.18094075000000001</v>
      </c>
      <c r="AE77" s="2">
        <v>0.13664404999999999</v>
      </c>
      <c r="AF77" s="2">
        <v>0.20947260000000001</v>
      </c>
      <c r="AG77" s="2">
        <v>0.20499883999999999</v>
      </c>
      <c r="AH77" s="2">
        <v>0.108903416</v>
      </c>
      <c r="AI77" s="2">
        <v>0.11292037000000001</v>
      </c>
      <c r="AJ77" s="2">
        <v>4.6143413000000001E-2</v>
      </c>
      <c r="AK77" s="2">
        <v>0.17387299000000001</v>
      </c>
      <c r="AL77" s="2">
        <v>0.23482700000000001</v>
      </c>
      <c r="AM77" s="2">
        <v>0.11143894999999999</v>
      </c>
      <c r="AN77" s="2">
        <v>0.16850393999999999</v>
      </c>
      <c r="AO77" s="2">
        <v>0.21776892</v>
      </c>
      <c r="AP77" s="2">
        <v>0.11230066</v>
      </c>
      <c r="AQ77" s="2">
        <v>0.20124927000000001</v>
      </c>
      <c r="AR77" s="2">
        <v>0.17709844999999999</v>
      </c>
      <c r="AS77" s="2">
        <v>0.19451435</v>
      </c>
      <c r="AT77" s="2">
        <v>0.21694996999999999</v>
      </c>
      <c r="AU77" s="2">
        <v>0.27321099999999998</v>
      </c>
      <c r="AV77" s="2">
        <v>0.13640316999999999</v>
      </c>
      <c r="AW77" s="2">
        <v>1</v>
      </c>
      <c r="AX77" s="2">
        <v>0.16652259</v>
      </c>
      <c r="AY77" s="2">
        <v>0.22887424000000001</v>
      </c>
      <c r="AZ77" s="2">
        <v>0.24233109</v>
      </c>
      <c r="BA77" s="2">
        <v>0.16802164999999999</v>
      </c>
      <c r="BB77" s="2">
        <v>0.14276069999999999</v>
      </c>
      <c r="BC77" s="2">
        <v>0.10248089000000001</v>
      </c>
      <c r="BD77" s="2">
        <v>0.10634402</v>
      </c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A78" t="str" cm="1">
        <f t="array" ref="A78">_xll.FDS(B78,"FG_COMPANY_NAME")</f>
        <v>Rio Tinto plc</v>
      </c>
      <c r="B78" s="4" t="str">
        <v>RIO-GB</v>
      </c>
      <c r="C78" s="2">
        <v>0.25497332</v>
      </c>
      <c r="D78" s="2">
        <v>0.29273329999999997</v>
      </c>
      <c r="E78" s="2">
        <v>0.26503932000000002</v>
      </c>
      <c r="F78" s="2">
        <v>0.3675775</v>
      </c>
      <c r="G78" s="2">
        <v>0.31627487999999998</v>
      </c>
      <c r="H78" s="2">
        <v>0.32472025999999998</v>
      </c>
      <c r="I78" s="2">
        <v>0.51633465000000001</v>
      </c>
      <c r="J78" s="2">
        <v>0.16638061000000001</v>
      </c>
      <c r="K78" s="2">
        <v>0.24280508000000001</v>
      </c>
      <c r="L78" s="2">
        <v>0.33436529999999998</v>
      </c>
      <c r="M78" s="2">
        <v>0.13818759</v>
      </c>
      <c r="N78" s="2">
        <v>0.21731067000000001</v>
      </c>
      <c r="O78" s="2">
        <v>9.3751000000000001E-2</v>
      </c>
      <c r="P78" s="2">
        <v>0.16450619999999999</v>
      </c>
      <c r="Q78" s="2">
        <v>0.38074734999999998</v>
      </c>
      <c r="R78" s="2">
        <v>0.40001750000000003</v>
      </c>
      <c r="S78" s="2">
        <v>0.18623486</v>
      </c>
      <c r="T78" s="2">
        <v>0.32978255000000001</v>
      </c>
      <c r="U78" s="2">
        <v>0.39388356000000002</v>
      </c>
      <c r="V78" s="2">
        <v>5.9168680000000001E-2</v>
      </c>
      <c r="W78" s="2">
        <v>0.28421748000000002</v>
      </c>
      <c r="X78" s="2">
        <v>0.19185517999999999</v>
      </c>
      <c r="Y78" s="2">
        <v>0.30482277000000002</v>
      </c>
      <c r="Z78" s="2">
        <v>0.24586569</v>
      </c>
      <c r="AA78" s="2">
        <v>0.44183802999999999</v>
      </c>
      <c r="AB78" s="2">
        <v>0.15928160999999999</v>
      </c>
      <c r="AC78" s="2">
        <v>0.40596650000000001</v>
      </c>
      <c r="AD78" s="2">
        <v>0.36230147000000001</v>
      </c>
      <c r="AE78" s="2">
        <v>0.28716051999999997</v>
      </c>
      <c r="AF78" s="2">
        <v>0.70951529999999996</v>
      </c>
      <c r="AG78" s="2">
        <v>0.34630564000000003</v>
      </c>
      <c r="AH78" s="2">
        <v>0.32393184000000003</v>
      </c>
      <c r="AI78" s="2">
        <v>0.33733730000000001</v>
      </c>
      <c r="AJ78" s="2">
        <v>0.24671805999999999</v>
      </c>
      <c r="AK78" s="2">
        <v>0.36194377999999999</v>
      </c>
      <c r="AL78" s="2">
        <v>0.52708434999999998</v>
      </c>
      <c r="AM78" s="2">
        <v>0.15395153</v>
      </c>
      <c r="AN78" s="2">
        <v>0.36831209999999998</v>
      </c>
      <c r="AO78" s="2">
        <v>0.25891140000000001</v>
      </c>
      <c r="AP78" s="2">
        <v>0.3304417</v>
      </c>
      <c r="AQ78" s="2">
        <v>0.34068290000000001</v>
      </c>
      <c r="AR78" s="2">
        <v>0.38008662999999998</v>
      </c>
      <c r="AS78" s="2">
        <v>0.42520088</v>
      </c>
      <c r="AT78" s="2">
        <v>0.26055630000000002</v>
      </c>
      <c r="AU78" s="2">
        <v>0.40497965000000002</v>
      </c>
      <c r="AV78" s="2">
        <v>0.25459569999999998</v>
      </c>
      <c r="AW78" s="2">
        <v>0.16652259</v>
      </c>
      <c r="AX78" s="2">
        <v>1</v>
      </c>
      <c r="AY78" s="2">
        <v>0.39079989999999998</v>
      </c>
      <c r="AZ78" s="2">
        <v>0.48520123999999998</v>
      </c>
      <c r="BA78" s="2">
        <v>0.34064444999999999</v>
      </c>
      <c r="BB78" s="2">
        <v>0.27717772000000002</v>
      </c>
      <c r="BC78" s="2">
        <v>4.7593959999999998E-2</v>
      </c>
      <c r="BD78" s="2">
        <v>0.22165725</v>
      </c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A79" t="str" cm="1">
        <f t="array" ref="A79">_xll.FDS(B79,"FG_COMPANY_NAME")</f>
        <v>Evonik Industries AG</v>
      </c>
      <c r="B79" s="4" t="str">
        <v>EVK-DE</v>
      </c>
      <c r="C79" s="2">
        <v>0.18015302999999999</v>
      </c>
      <c r="D79" s="2">
        <v>0.27643060000000003</v>
      </c>
      <c r="E79" s="2">
        <v>0.57226043999999998</v>
      </c>
      <c r="F79" s="2">
        <v>0.42238842999999998</v>
      </c>
      <c r="G79" s="2">
        <v>0.36912434999999999</v>
      </c>
      <c r="H79" s="2">
        <v>0.3227411</v>
      </c>
      <c r="I79" s="2">
        <v>0.44827850000000002</v>
      </c>
      <c r="J79" s="2">
        <v>0.220829</v>
      </c>
      <c r="K79" s="2">
        <v>0.25139626999999998</v>
      </c>
      <c r="L79" s="2">
        <v>0.39978947999999997</v>
      </c>
      <c r="M79" s="2">
        <v>0.13018793000000001</v>
      </c>
      <c r="N79" s="2">
        <v>0.20375265000000001</v>
      </c>
      <c r="O79" s="2">
        <v>7.7842060000000005E-2</v>
      </c>
      <c r="P79" s="2">
        <v>0.15121283999999999</v>
      </c>
      <c r="Q79" s="2">
        <v>0.30433830000000001</v>
      </c>
      <c r="R79" s="2">
        <v>0.51787954999999997</v>
      </c>
      <c r="S79" s="2">
        <v>0.28211477000000001</v>
      </c>
      <c r="T79" s="2">
        <v>0.45624098000000002</v>
      </c>
      <c r="U79" s="2">
        <v>0.47726481999999998</v>
      </c>
      <c r="V79" s="2">
        <v>0.12208571</v>
      </c>
      <c r="W79" s="2">
        <v>0.47260173999999999</v>
      </c>
      <c r="X79" s="2">
        <v>0.13924001</v>
      </c>
      <c r="Y79" s="2">
        <v>0.27623915999999998</v>
      </c>
      <c r="Z79" s="2">
        <v>0.22496374</v>
      </c>
      <c r="AA79" s="2">
        <v>0.42645907</v>
      </c>
      <c r="AB79" s="2">
        <v>0.17666091</v>
      </c>
      <c r="AC79" s="2">
        <v>0.53046393000000003</v>
      </c>
      <c r="AD79" s="2">
        <v>0.57554559999999999</v>
      </c>
      <c r="AE79" s="2">
        <v>0.50903140000000002</v>
      </c>
      <c r="AF79" s="2">
        <v>0.45459836999999997</v>
      </c>
      <c r="AG79" s="2">
        <v>0.26723644000000002</v>
      </c>
      <c r="AH79" s="2">
        <v>0.288495</v>
      </c>
      <c r="AI79" s="2">
        <v>0.38300255</v>
      </c>
      <c r="AJ79" s="2">
        <v>0.23825218000000001</v>
      </c>
      <c r="AK79" s="2">
        <v>0.24372193</v>
      </c>
      <c r="AL79" s="2">
        <v>0.7616617</v>
      </c>
      <c r="AM79" s="2">
        <v>0.37588519999999997</v>
      </c>
      <c r="AN79" s="2">
        <v>0.24959691000000001</v>
      </c>
      <c r="AO79" s="2">
        <v>0.22128637000000001</v>
      </c>
      <c r="AP79" s="2">
        <v>0.35240060000000001</v>
      </c>
      <c r="AQ79" s="2">
        <v>0.64271705999999995</v>
      </c>
      <c r="AR79" s="2">
        <v>0.38892826000000003</v>
      </c>
      <c r="AS79" s="2">
        <v>0.34079692</v>
      </c>
      <c r="AT79" s="2">
        <v>0.5559364</v>
      </c>
      <c r="AU79" s="2">
        <v>0.34757817000000002</v>
      </c>
      <c r="AV79" s="2">
        <v>0.39360000000000001</v>
      </c>
      <c r="AW79" s="2">
        <v>0.22887424000000001</v>
      </c>
      <c r="AX79" s="2">
        <v>0.39079989999999998</v>
      </c>
      <c r="AY79" s="2">
        <v>1</v>
      </c>
      <c r="AZ79" s="2">
        <v>0.36351426999999997</v>
      </c>
      <c r="BA79" s="2">
        <v>0.56808789999999998</v>
      </c>
      <c r="BB79" s="2">
        <v>0.39526992999999999</v>
      </c>
      <c r="BC79" s="2">
        <v>0.11284777</v>
      </c>
      <c r="BD79" s="2">
        <v>3.3929434000000001E-2</v>
      </c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A80" t="str" cm="1">
        <f t="array" ref="A80">_xll.FDS(B80,"FG_COMPANY_NAME")</f>
        <v>HSBC Holdings Plc</v>
      </c>
      <c r="B80" s="4" t="str">
        <v>HSBA-GB</v>
      </c>
      <c r="C80" s="2">
        <v>0.29679167000000001</v>
      </c>
      <c r="D80" s="2">
        <v>0.22627562000000001</v>
      </c>
      <c r="E80" s="2">
        <v>0.26819326999999998</v>
      </c>
      <c r="F80" s="2">
        <v>0.69532950000000004</v>
      </c>
      <c r="G80" s="2">
        <v>0.27652130000000003</v>
      </c>
      <c r="H80" s="2">
        <v>0.31336715999999998</v>
      </c>
      <c r="I80" s="2">
        <v>0.55993749999999998</v>
      </c>
      <c r="J80" s="2">
        <v>0.17380139</v>
      </c>
      <c r="K80" s="2">
        <v>0.25410113000000001</v>
      </c>
      <c r="L80" s="2">
        <v>0.21580192000000001</v>
      </c>
      <c r="M80" s="2">
        <v>0.16425037000000001</v>
      </c>
      <c r="N80" s="2">
        <v>0.12965497000000001</v>
      </c>
      <c r="O80" s="2">
        <v>0.10708406600000001</v>
      </c>
      <c r="P80" s="2">
        <v>0.13743027999999999</v>
      </c>
      <c r="Q80" s="2">
        <v>0.72589784999999996</v>
      </c>
      <c r="R80" s="2">
        <v>0.53447299999999998</v>
      </c>
      <c r="S80" s="2">
        <v>0.15434521000000001</v>
      </c>
      <c r="T80" s="2">
        <v>0.44322600000000001</v>
      </c>
      <c r="U80" s="2">
        <v>0.49590677</v>
      </c>
      <c r="V80" s="2">
        <v>4.3537623999999997E-2</v>
      </c>
      <c r="W80" s="2">
        <v>0.48263763999999998</v>
      </c>
      <c r="X80" s="2">
        <v>0.18473953000000001</v>
      </c>
      <c r="Y80" s="2">
        <v>0.29896646999999998</v>
      </c>
      <c r="Z80" s="2">
        <v>0.26388635999999999</v>
      </c>
      <c r="AA80" s="2">
        <v>0.35222619999999999</v>
      </c>
      <c r="AB80" s="2">
        <v>0.10096845</v>
      </c>
      <c r="AC80" s="2">
        <v>0.38597890000000001</v>
      </c>
      <c r="AD80" s="2">
        <v>0.51989560000000001</v>
      </c>
      <c r="AE80" s="2">
        <v>0.43433781999999999</v>
      </c>
      <c r="AF80" s="2">
        <v>0.4442045</v>
      </c>
      <c r="AG80" s="2">
        <v>0.33132610000000001</v>
      </c>
      <c r="AH80" s="2">
        <v>0.29016763000000001</v>
      </c>
      <c r="AI80" s="2">
        <v>0.28749364999999999</v>
      </c>
      <c r="AJ80" s="2">
        <v>0.12783781999999999</v>
      </c>
      <c r="AK80" s="2">
        <v>0.24624535</v>
      </c>
      <c r="AL80" s="2">
        <v>0.42650073999999999</v>
      </c>
      <c r="AM80" s="2">
        <v>0.15831749000000001</v>
      </c>
      <c r="AN80" s="2">
        <v>0.21378485999999999</v>
      </c>
      <c r="AO80" s="2">
        <v>0.20334935000000001</v>
      </c>
      <c r="AP80" s="2">
        <v>0.31506494000000002</v>
      </c>
      <c r="AQ80" s="2">
        <v>0.36623144000000002</v>
      </c>
      <c r="AR80" s="2">
        <v>0.36281766999999998</v>
      </c>
      <c r="AS80" s="2">
        <v>0.39408915999999999</v>
      </c>
      <c r="AT80" s="2">
        <v>0.28014024999999998</v>
      </c>
      <c r="AU80" s="2">
        <v>0.31441669999999999</v>
      </c>
      <c r="AV80" s="2">
        <v>0.29946669999999997</v>
      </c>
      <c r="AW80" s="2">
        <v>0.24233109</v>
      </c>
      <c r="AX80" s="2">
        <v>0.48520123999999998</v>
      </c>
      <c r="AY80" s="2">
        <v>0.36351426999999997</v>
      </c>
      <c r="AZ80" s="2">
        <v>1</v>
      </c>
      <c r="BA80" s="2">
        <v>0.5717122</v>
      </c>
      <c r="BB80" s="2">
        <v>0.60930079999999998</v>
      </c>
      <c r="BC80" s="2">
        <v>2.6324831E-2</v>
      </c>
      <c r="BD80" s="2">
        <v>0.16189898999999999</v>
      </c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x14ac:dyDescent="0.25">
      <c r="A81" t="str" cm="1">
        <f t="array" ref="A81">_xll.FDS(B81,"FG_COMPANY_NAME")</f>
        <v>UniCredit S.p.A.</v>
      </c>
      <c r="B81" s="4" t="str">
        <v>UCG-IT</v>
      </c>
      <c r="C81" s="2">
        <v>0.2343548</v>
      </c>
      <c r="D81" s="2">
        <v>0.24060090000000001</v>
      </c>
      <c r="E81" s="2">
        <v>0.42777783000000003</v>
      </c>
      <c r="F81" s="2">
        <v>0.64454549999999999</v>
      </c>
      <c r="G81" s="2">
        <v>0.28518787000000001</v>
      </c>
      <c r="H81" s="2">
        <v>0.32305022999999999</v>
      </c>
      <c r="I81" s="2">
        <v>0.49493710000000002</v>
      </c>
      <c r="J81" s="2">
        <v>0.22433533</v>
      </c>
      <c r="K81" s="2">
        <v>0.24664808999999999</v>
      </c>
      <c r="L81" s="2">
        <v>0.30033736999999999</v>
      </c>
      <c r="M81" s="2">
        <v>0.15625000999999999</v>
      </c>
      <c r="N81" s="2">
        <v>0.169486</v>
      </c>
      <c r="O81" s="2">
        <v>0.14005029999999999</v>
      </c>
      <c r="P81" s="2">
        <v>0.18710613000000001</v>
      </c>
      <c r="Q81" s="2">
        <v>0.52025779999999999</v>
      </c>
      <c r="R81" s="2">
        <v>0.61854469999999995</v>
      </c>
      <c r="S81" s="2">
        <v>0.15272357</v>
      </c>
      <c r="T81" s="2">
        <v>0.5540081</v>
      </c>
      <c r="U81" s="2">
        <v>0.60742260000000003</v>
      </c>
      <c r="V81" s="2">
        <v>-2.1926234999999999E-2</v>
      </c>
      <c r="W81" s="2">
        <v>0.66163890000000003</v>
      </c>
      <c r="X81" s="2">
        <v>0.13394189000000001</v>
      </c>
      <c r="Y81" s="2">
        <v>0.17554379000000001</v>
      </c>
      <c r="Z81" s="2">
        <v>0.30286592000000001</v>
      </c>
      <c r="AA81" s="2">
        <v>0.31454145999999999</v>
      </c>
      <c r="AB81" s="2">
        <v>0.24980221999999999</v>
      </c>
      <c r="AC81" s="2">
        <v>0.51931369999999999</v>
      </c>
      <c r="AD81" s="2">
        <v>0.72621720000000001</v>
      </c>
      <c r="AE81" s="2">
        <v>0.57817039999999997</v>
      </c>
      <c r="AF81" s="2">
        <v>0.46685606000000002</v>
      </c>
      <c r="AG81" s="2">
        <v>0.31598637000000002</v>
      </c>
      <c r="AH81" s="2">
        <v>0.23108286</v>
      </c>
      <c r="AI81" s="2">
        <v>0.30750850000000002</v>
      </c>
      <c r="AJ81" s="2">
        <v>0.19944242000000001</v>
      </c>
      <c r="AK81" s="2">
        <v>0.26464389999999999</v>
      </c>
      <c r="AL81" s="2">
        <v>0.5181595</v>
      </c>
      <c r="AM81" s="2">
        <v>0.23977177</v>
      </c>
      <c r="AN81" s="2">
        <v>0.19473745000000001</v>
      </c>
      <c r="AO81" s="2">
        <v>0.13684307000000001</v>
      </c>
      <c r="AP81" s="2">
        <v>0.37163857</v>
      </c>
      <c r="AQ81" s="2">
        <v>0.46472907000000002</v>
      </c>
      <c r="AR81" s="2">
        <v>0.42608636999999999</v>
      </c>
      <c r="AS81" s="2">
        <v>0.36704700000000001</v>
      </c>
      <c r="AT81" s="2">
        <v>0.47530842000000001</v>
      </c>
      <c r="AU81" s="2">
        <v>0.25823163999999998</v>
      </c>
      <c r="AV81" s="2">
        <v>0.2919001</v>
      </c>
      <c r="AW81" s="2">
        <v>0.16802164999999999</v>
      </c>
      <c r="AX81" s="2">
        <v>0.34064444999999999</v>
      </c>
      <c r="AY81" s="2">
        <v>0.56808789999999998</v>
      </c>
      <c r="AZ81" s="2">
        <v>0.5717122</v>
      </c>
      <c r="BA81" s="2">
        <v>1</v>
      </c>
      <c r="BB81" s="2">
        <v>0.59299343999999998</v>
      </c>
      <c r="BC81" s="2">
        <v>0.10385058</v>
      </c>
      <c r="BD81" s="2">
        <v>9.8015815000000006E-2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x14ac:dyDescent="0.25">
      <c r="A82" t="str" cm="1">
        <f t="array" ref="A82">_xll.FDS(B82,"FG_COMPANY_NAME")</f>
        <v>NatWest Group Plc</v>
      </c>
      <c r="B82" s="4" t="str">
        <v>NWG-GB</v>
      </c>
      <c r="C82" s="2">
        <v>0.18913770999999999</v>
      </c>
      <c r="D82" s="2">
        <v>0.25406679999999998</v>
      </c>
      <c r="E82" s="2">
        <v>0.30635386999999997</v>
      </c>
      <c r="F82" s="2">
        <v>0.81121900000000002</v>
      </c>
      <c r="G82" s="2">
        <v>0.27976256999999999</v>
      </c>
      <c r="H82" s="2">
        <v>0.24329782</v>
      </c>
      <c r="I82" s="2">
        <v>0.49629316000000001</v>
      </c>
      <c r="J82" s="2">
        <v>0.33527634000000001</v>
      </c>
      <c r="K82" s="2">
        <v>0.32627254999999999</v>
      </c>
      <c r="L82" s="2">
        <v>0.17272340999999999</v>
      </c>
      <c r="M82" s="2">
        <v>0.12784481</v>
      </c>
      <c r="N82" s="2">
        <v>0.104696594</v>
      </c>
      <c r="O82" s="2">
        <v>0.19602940999999999</v>
      </c>
      <c r="P82" s="2">
        <v>0.17943506000000001</v>
      </c>
      <c r="Q82" s="2">
        <v>0.56853330000000002</v>
      </c>
      <c r="R82" s="2">
        <v>0.50658760000000003</v>
      </c>
      <c r="S82" s="2">
        <v>0.22449669999999999</v>
      </c>
      <c r="T82" s="2">
        <v>0.47647947000000002</v>
      </c>
      <c r="U82" s="2">
        <v>0.49742871999999999</v>
      </c>
      <c r="V82" s="2">
        <v>0.22453076999999999</v>
      </c>
      <c r="W82" s="2">
        <v>0.51931740000000004</v>
      </c>
      <c r="X82" s="2">
        <v>0.20564822999999999</v>
      </c>
      <c r="Y82" s="2">
        <v>0.26913967999999999</v>
      </c>
      <c r="Z82" s="2">
        <v>0.28975131999999998</v>
      </c>
      <c r="AA82" s="2">
        <v>0.20099486</v>
      </c>
      <c r="AB82" s="2">
        <v>8.0557450000000003E-2</v>
      </c>
      <c r="AC82" s="2">
        <v>0.39153536999999999</v>
      </c>
      <c r="AD82" s="2">
        <v>0.56592960000000003</v>
      </c>
      <c r="AE82" s="2">
        <v>0.52837829999999997</v>
      </c>
      <c r="AF82" s="2">
        <v>0.36580576999999997</v>
      </c>
      <c r="AG82" s="2">
        <v>0.25018912999999998</v>
      </c>
      <c r="AH82" s="2">
        <v>0.19985601</v>
      </c>
      <c r="AI82" s="2">
        <v>0.38300705000000002</v>
      </c>
      <c r="AJ82" s="2">
        <v>0.13371815000000001</v>
      </c>
      <c r="AK82" s="2">
        <v>0.17186841</v>
      </c>
      <c r="AL82" s="2">
        <v>0.34533723999999999</v>
      </c>
      <c r="AM82" s="2">
        <v>0.21991479999999999</v>
      </c>
      <c r="AN82" s="2">
        <v>9.9740010000000004E-2</v>
      </c>
      <c r="AO82" s="2">
        <v>7.9145359999999998E-2</v>
      </c>
      <c r="AP82" s="2">
        <v>0.245195</v>
      </c>
      <c r="AQ82" s="2">
        <v>0.28839818</v>
      </c>
      <c r="AR82" s="2">
        <v>0.30574277</v>
      </c>
      <c r="AS82" s="2">
        <v>0.28299950000000001</v>
      </c>
      <c r="AT82" s="2">
        <v>0.28720304000000002</v>
      </c>
      <c r="AU82" s="2">
        <v>0.16324815000000001</v>
      </c>
      <c r="AV82" s="2">
        <v>0.19691052000000001</v>
      </c>
      <c r="AW82" s="2">
        <v>0.14276069999999999</v>
      </c>
      <c r="AX82" s="2">
        <v>0.27717772000000002</v>
      </c>
      <c r="AY82" s="2">
        <v>0.39526992999999999</v>
      </c>
      <c r="AZ82" s="2">
        <v>0.60930079999999998</v>
      </c>
      <c r="BA82" s="2">
        <v>0.59299343999999998</v>
      </c>
      <c r="BB82" s="2">
        <v>1</v>
      </c>
      <c r="BC82" s="2">
        <v>1.9549459999999999E-3</v>
      </c>
      <c r="BD82" s="2">
        <v>1.5275983E-2</v>
      </c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x14ac:dyDescent="0.25">
      <c r="A83" t="str" cm="1">
        <f t="array" ref="A83">_xll.FDS(B83,"FG_COMPANY_NAME")</f>
        <v>KDDI Corporation</v>
      </c>
      <c r="B83" s="4" t="str">
        <v>9433-JP</v>
      </c>
      <c r="C83" s="2">
        <v>9.0487449999999997E-2</v>
      </c>
      <c r="D83" s="2">
        <v>0.22046214</v>
      </c>
      <c r="E83" s="2">
        <v>9.3819769999999997E-2</v>
      </c>
      <c r="F83" s="2">
        <v>7.6267059999999996E-3</v>
      </c>
      <c r="G83" s="2">
        <v>0.21230635</v>
      </c>
      <c r="H83" s="2">
        <v>0.23849020000000001</v>
      </c>
      <c r="I83" s="2">
        <v>-5.6444313000000003E-2</v>
      </c>
      <c r="J83" s="2">
        <v>0.13261672999999999</v>
      </c>
      <c r="K83" s="2">
        <v>0.102110706</v>
      </c>
      <c r="L83" s="2">
        <v>0.23711915</v>
      </c>
      <c r="M83" s="2">
        <v>0.23072533000000001</v>
      </c>
      <c r="N83" s="2">
        <v>0.46910723999999998</v>
      </c>
      <c r="O83" s="2">
        <v>0.10964750500000001</v>
      </c>
      <c r="P83" s="2">
        <v>0.14450774</v>
      </c>
      <c r="Q83" s="2">
        <v>-8.121929E-2</v>
      </c>
      <c r="R83" s="2">
        <v>2.4644012E-2</v>
      </c>
      <c r="S83" s="2">
        <v>0.27864625999999998</v>
      </c>
      <c r="T83" s="2">
        <v>0.18985726</v>
      </c>
      <c r="U83" s="2">
        <v>-1.0432412E-2</v>
      </c>
      <c r="V83" s="2">
        <v>7.5990594999999994E-2</v>
      </c>
      <c r="W83" s="2">
        <v>-4.1177314E-2</v>
      </c>
      <c r="X83" s="2">
        <v>0.12012397499999999</v>
      </c>
      <c r="Y83" s="2">
        <v>0.1196917</v>
      </c>
      <c r="Z83" s="2">
        <v>0.40761122</v>
      </c>
      <c r="AA83" s="2">
        <v>0.1165978</v>
      </c>
      <c r="AB83" s="2">
        <v>0.25975682999999999</v>
      </c>
      <c r="AC83" s="2">
        <v>0.19643252</v>
      </c>
      <c r="AD83" s="2">
        <v>0.11992786</v>
      </c>
      <c r="AE83" s="2">
        <v>0.15281232</v>
      </c>
      <c r="AF83" s="2">
        <v>-3.2275329999999998E-2</v>
      </c>
      <c r="AG83" s="2">
        <v>0.4686032</v>
      </c>
      <c r="AH83" s="2">
        <v>8.8054320000000005E-2</v>
      </c>
      <c r="AI83" s="2">
        <v>0.26052627</v>
      </c>
      <c r="AJ83" s="2">
        <v>0.49824739000000001</v>
      </c>
      <c r="AK83" s="2">
        <v>0.14299724999999999</v>
      </c>
      <c r="AL83" s="2">
        <v>0.1027912</v>
      </c>
      <c r="AM83" s="2">
        <v>0.19257848</v>
      </c>
      <c r="AN83" s="2">
        <v>-1.5157986E-2</v>
      </c>
      <c r="AO83" s="2">
        <v>0.12709181</v>
      </c>
      <c r="AP83" s="2">
        <v>0.14660007</v>
      </c>
      <c r="AQ83" s="2">
        <v>0.17524590000000001</v>
      </c>
      <c r="AR83" s="2">
        <v>0.10679487</v>
      </c>
      <c r="AS83" s="2">
        <v>2.2270668E-2</v>
      </c>
      <c r="AT83" s="2">
        <v>0.13447334999999999</v>
      </c>
      <c r="AU83" s="2">
        <v>0.12680472000000001</v>
      </c>
      <c r="AV83" s="2">
        <v>9.2076850000000002E-2</v>
      </c>
      <c r="AW83" s="2">
        <v>0.10248089000000001</v>
      </c>
      <c r="AX83" s="2">
        <v>4.7593959999999998E-2</v>
      </c>
      <c r="AY83" s="2">
        <v>0.11284777</v>
      </c>
      <c r="AZ83" s="2">
        <v>2.6324831E-2</v>
      </c>
      <c r="BA83" s="2">
        <v>0.10385058</v>
      </c>
      <c r="BB83" s="2">
        <v>1.9549459999999999E-3</v>
      </c>
      <c r="BC83" s="2">
        <v>1</v>
      </c>
      <c r="BD83" s="2">
        <v>-6.0425524000000001E-2</v>
      </c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x14ac:dyDescent="0.25">
      <c r="A84" t="str" cm="1">
        <f t="array" ref="A84">_xll.FDS(B84,"FG_COMPANY_NAME")</f>
        <v>Petroleo Brasileiro SA Pfd</v>
      </c>
      <c r="B84" s="4" t="str">
        <v>PETR4-BR</v>
      </c>
      <c r="C84" s="2">
        <v>9.3344084999999993E-2</v>
      </c>
      <c r="D84" s="2">
        <v>6.6088789999999994E-2</v>
      </c>
      <c r="E84" s="2">
        <v>0.12121844</v>
      </c>
      <c r="F84" s="2">
        <v>7.0079509999999998E-2</v>
      </c>
      <c r="G84" s="2">
        <v>9.1916949999999997E-2</v>
      </c>
      <c r="H84" s="2">
        <v>5.2354716000000003E-2</v>
      </c>
      <c r="I84" s="2">
        <v>0.1841284</v>
      </c>
      <c r="J84" s="2">
        <v>9.6641934999999998E-2</v>
      </c>
      <c r="K84" s="2">
        <v>4.3362662000000003E-2</v>
      </c>
      <c r="L84" s="2">
        <v>4.0177863000000001E-2</v>
      </c>
      <c r="M84" s="2">
        <v>8.2051314E-2</v>
      </c>
      <c r="N84" s="2">
        <v>8.3685049999999997E-2</v>
      </c>
      <c r="O84" s="2">
        <v>1.4801277E-2</v>
      </c>
      <c r="P84" s="2">
        <v>3.2514144000000002E-2</v>
      </c>
      <c r="Q84" s="2">
        <v>8.1683640000000002E-2</v>
      </c>
      <c r="R84" s="2">
        <v>0.124135286</v>
      </c>
      <c r="S84" s="2">
        <v>8.7751599999999999E-2</v>
      </c>
      <c r="T84" s="2">
        <v>0.11983190000000001</v>
      </c>
      <c r="U84" s="2">
        <v>0.13231308999999999</v>
      </c>
      <c r="V84" s="2">
        <v>-2.2508641999999999E-2</v>
      </c>
      <c r="W84" s="2">
        <v>0.10391598000000001</v>
      </c>
      <c r="X84" s="2">
        <v>6.9084199999999998E-2</v>
      </c>
      <c r="Y84" s="2">
        <v>0.18756348</v>
      </c>
      <c r="Z84" s="2">
        <v>-2.1318581E-2</v>
      </c>
      <c r="AA84" s="2">
        <v>0.12890152999999999</v>
      </c>
      <c r="AB84" s="2">
        <v>-9.0180710000000008E-3</v>
      </c>
      <c r="AC84" s="2">
        <v>0.14295946000000001</v>
      </c>
      <c r="AD84" s="2">
        <v>8.7903949999999995E-2</v>
      </c>
      <c r="AE84" s="2">
        <v>0.114195965</v>
      </c>
      <c r="AF84" s="2">
        <v>0.15691910000000001</v>
      </c>
      <c r="AG84" s="2">
        <v>6.7803279999999994E-2</v>
      </c>
      <c r="AH84" s="2">
        <v>5.9846660000000003E-2</v>
      </c>
      <c r="AI84" s="2">
        <v>5.5991699999999998E-2</v>
      </c>
      <c r="AJ84" s="2">
        <v>6.6663235000000001E-2</v>
      </c>
      <c r="AK84" s="2">
        <v>8.9035324999999998E-2</v>
      </c>
      <c r="AL84" s="2">
        <v>0.13109232000000001</v>
      </c>
      <c r="AM84" s="2">
        <v>7.4859894999999996E-2</v>
      </c>
      <c r="AN84" s="2">
        <v>0.38710444999999999</v>
      </c>
      <c r="AO84" s="2">
        <v>-7.3670070000000004E-2</v>
      </c>
      <c r="AP84" s="2">
        <v>0.26043135000000001</v>
      </c>
      <c r="AQ84" s="2">
        <v>8.9299539999999997E-2</v>
      </c>
      <c r="AR84" s="2">
        <v>0.36802439999999997</v>
      </c>
      <c r="AS84" s="2">
        <v>0.29747894000000003</v>
      </c>
      <c r="AT84" s="2">
        <v>1.4484393999999999E-2</v>
      </c>
      <c r="AU84" s="2">
        <v>8.9597314999999997E-2</v>
      </c>
      <c r="AV84" s="2">
        <v>8.0021709999999996E-2</v>
      </c>
      <c r="AW84" s="2">
        <v>0.10634402</v>
      </c>
      <c r="AX84" s="2">
        <v>0.22165725</v>
      </c>
      <c r="AY84" s="2">
        <v>3.3929434000000001E-2</v>
      </c>
      <c r="AZ84" s="2">
        <v>0.16189898999999999</v>
      </c>
      <c r="BA84" s="2">
        <v>9.8015815000000006E-2</v>
      </c>
      <c r="BB84" s="2">
        <v>1.5275983E-2</v>
      </c>
      <c r="BC84" s="2">
        <v>-6.0425524000000001E-2</v>
      </c>
      <c r="BD84" s="2">
        <v>1</v>
      </c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x14ac:dyDescent="0.25">
      <c r="A85" t="e" cm="1">
        <f t="array" ref="A85">_xll.FDS(B85,"FG_COMPANY_NAME")</f>
        <v>#N/A</v>
      </c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x14ac:dyDescent="0.25">
      <c r="A86" t="e" cm="1">
        <f t="array" ref="A86">_xll.FDS(B86,"FG_COMPANY_NAME")</f>
        <v>#N/A</v>
      </c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x14ac:dyDescent="0.25">
      <c r="A87" t="e" cm="1">
        <f t="array" ref="A87">_xll.FDS(B87,"FG_COMPANY_NAME")</f>
        <v>#N/A</v>
      </c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x14ac:dyDescent="0.25">
      <c r="A88" t="e" cm="1">
        <f t="array" ref="A88">_xll.FDS(B88,"FG_COMPANY_NAME")</f>
        <v>#N/A</v>
      </c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x14ac:dyDescent="0.25">
      <c r="A89" t="e" cm="1">
        <f t="array" ref="A89">_xll.FDS(B89,"FG_COMPANY_NAME")</f>
        <v>#N/A</v>
      </c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>
      <selection activeCell="A3" sqref="A3"/>
    </sheetView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64</v>
      </c>
    </row>
    <row r="6" spans="1:8" x14ac:dyDescent="0.25">
      <c r="B6" s="4" t="s">
        <v>4</v>
      </c>
      <c r="C6" s="4" t="s">
        <v>9</v>
      </c>
      <c r="D6" s="4" t="s">
        <v>20</v>
      </c>
    </row>
    <row r="7" spans="1:8" x14ac:dyDescent="0.25">
      <c r="B7" s="5" cm="1">
        <f t="array" ref="B7:B257">_xll.FDS(C6,"JULIAN(FG_PRICE("&amp;$B$2&amp;","&amp;$B$2&amp;"-"&amp;$B$3&amp;",,USD).dates)")</f>
        <v>45961</v>
      </c>
      <c r="C7">
        <f t="array" ref="C7:C257">_xll.FDS($C$6,"P_PRICE_RETURNS(0,"&amp;$B2&amp;","&amp;$B2&amp;"-"&amp;$B$3&amp;",D,USD)")</f>
        <v>1.8202305000000001</v>
      </c>
      <c r="D7">
        <f t="array" ref="D7:D257">_xll.FDS($D$6,"P_PRICE_RETURNS(0,"&amp;$B2&amp;","&amp;$B2&amp;"-"&amp;$B$3&amp;",D,USD)")</f>
        <v>1.4812350000000001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0.17543563106916499</v>
      </c>
    </row>
    <row r="8" spans="1:8" x14ac:dyDescent="0.25">
      <c r="B8" s="5">
        <v>45960</v>
      </c>
      <c r="C8">
        <v>-1.9320071000000001</v>
      </c>
      <c r="D8">
        <v>-1.7723382000000001</v>
      </c>
      <c r="G8" t="s">
        <v>6</v>
      </c>
      <c r="H8" s="11">
        <f>CORREL(_xlfn.ANCHORARRAY(C7),_xlfn.ANCHORARRAY(D7))</f>
        <v>0.17543563106916532</v>
      </c>
    </row>
    <row r="9" spans="1:8" x14ac:dyDescent="0.25">
      <c r="B9" s="5">
        <v>45959</v>
      </c>
      <c r="C9">
        <v>-1.0120809</v>
      </c>
      <c r="D9">
        <v>-1.3668655999999999</v>
      </c>
      <c r="G9" t="s">
        <v>7</v>
      </c>
      <c r="H9" s="11">
        <f>PEARSON(_xlfn.ANCHORARRAY(C7),_xlfn.ANCHORARRAY(D7))</f>
        <v>0.17543563106916532</v>
      </c>
    </row>
    <row r="10" spans="1:8" x14ac:dyDescent="0.25">
      <c r="B10" s="5">
        <v>45958</v>
      </c>
      <c r="C10">
        <v>2.6500224999999999E-2</v>
      </c>
      <c r="D10">
        <v>-0.25761127</v>
      </c>
    </row>
    <row r="11" spans="1:8" x14ac:dyDescent="0.25">
      <c r="B11" s="5">
        <v>45957</v>
      </c>
      <c r="C11">
        <v>-0.85569620000000002</v>
      </c>
      <c r="D11">
        <v>0.13417006000000001</v>
      </c>
    </row>
    <row r="12" spans="1:8" x14ac:dyDescent="0.25">
      <c r="B12" s="5">
        <v>45954</v>
      </c>
      <c r="C12">
        <v>1.7183542000000001</v>
      </c>
      <c r="D12">
        <v>0.80196860000000003</v>
      </c>
    </row>
    <row r="13" spans="1:8" x14ac:dyDescent="0.25">
      <c r="B13" s="5">
        <v>45953</v>
      </c>
      <c r="C13">
        <v>0.39188862000000002</v>
      </c>
      <c r="D13">
        <v>0.29813050000000002</v>
      </c>
    </row>
    <row r="14" spans="1:8" x14ac:dyDescent="0.25">
      <c r="B14" s="5">
        <v>45952</v>
      </c>
      <c r="C14">
        <v>-5.2032530000000001</v>
      </c>
      <c r="D14">
        <v>0.18209218999999999</v>
      </c>
    </row>
    <row r="15" spans="1:8" x14ac:dyDescent="0.25">
      <c r="B15" s="5">
        <v>45951</v>
      </c>
      <c r="C15">
        <v>0.50624610000000003</v>
      </c>
      <c r="D15">
        <v>-0.67558885000000002</v>
      </c>
    </row>
    <row r="16" spans="1:8" x14ac:dyDescent="0.25">
      <c r="B16" s="5">
        <v>45950</v>
      </c>
      <c r="C16">
        <v>-1.3189375000000001</v>
      </c>
      <c r="D16">
        <v>1.9166231</v>
      </c>
    </row>
    <row r="17" spans="2:4" x14ac:dyDescent="0.25">
      <c r="B17" s="5">
        <v>45947</v>
      </c>
      <c r="C17">
        <v>-1.6785085</v>
      </c>
      <c r="D17">
        <v>-0.12831687999999999</v>
      </c>
    </row>
    <row r="18" spans="2:4" x14ac:dyDescent="0.25">
      <c r="B18" s="5">
        <v>45946</v>
      </c>
      <c r="C18">
        <v>-0.79361795999999996</v>
      </c>
      <c r="D18">
        <v>-6.5976380000000001E-2</v>
      </c>
    </row>
    <row r="19" spans="2:4" x14ac:dyDescent="0.25">
      <c r="B19" s="5">
        <v>45945</v>
      </c>
      <c r="C19">
        <v>1.8190145</v>
      </c>
      <c r="D19">
        <v>-0.98713636000000005</v>
      </c>
    </row>
    <row r="20" spans="2:4" x14ac:dyDescent="0.25">
      <c r="B20" s="5">
        <v>45944</v>
      </c>
      <c r="C20">
        <v>-2.0232557999999998</v>
      </c>
      <c r="D20">
        <v>0.51168203000000001</v>
      </c>
    </row>
    <row r="21" spans="2:4" x14ac:dyDescent="0.25">
      <c r="B21" s="5">
        <v>45943</v>
      </c>
      <c r="C21">
        <v>0.72711705999999998</v>
      </c>
      <c r="D21">
        <v>3.6096573E-2</v>
      </c>
    </row>
    <row r="22" spans="2:4" x14ac:dyDescent="0.25">
      <c r="B22" s="5">
        <v>45940</v>
      </c>
      <c r="C22">
        <v>-2.1021903000000002</v>
      </c>
      <c r="D22">
        <v>-2.2437214999999999</v>
      </c>
    </row>
    <row r="23" spans="2:4" x14ac:dyDescent="0.25">
      <c r="B23" s="5">
        <v>45939</v>
      </c>
      <c r="C23">
        <v>4.0310264</v>
      </c>
      <c r="D23">
        <v>-1.1200190000000001</v>
      </c>
    </row>
    <row r="24" spans="2:4" x14ac:dyDescent="0.25">
      <c r="B24" s="5">
        <v>45938</v>
      </c>
      <c r="C24">
        <v>2.0020365999999998</v>
      </c>
      <c r="D24">
        <v>-1.6994834000000001</v>
      </c>
    </row>
    <row r="25" spans="2:4" x14ac:dyDescent="0.25">
      <c r="B25" s="5">
        <v>45937</v>
      </c>
      <c r="C25">
        <v>-1.1036395999999999</v>
      </c>
      <c r="D25">
        <v>-0.7166922</v>
      </c>
    </row>
    <row r="26" spans="2:4" x14ac:dyDescent="0.25">
      <c r="B26" s="5">
        <v>45936</v>
      </c>
      <c r="C26">
        <v>1.2773633</v>
      </c>
      <c r="D26">
        <v>0.47632456000000001</v>
      </c>
    </row>
    <row r="27" spans="2:4" x14ac:dyDescent="0.25">
      <c r="B27" s="5">
        <v>45933</v>
      </c>
      <c r="C27">
        <v>1.2650728</v>
      </c>
      <c r="D27">
        <v>0.88672640000000003</v>
      </c>
    </row>
    <row r="28" spans="2:4" x14ac:dyDescent="0.25">
      <c r="B28" s="5">
        <v>45932</v>
      </c>
      <c r="C28">
        <v>-0.92149376999999999</v>
      </c>
      <c r="D28">
        <v>-4.1393757000000004</v>
      </c>
    </row>
    <row r="29" spans="2:4" x14ac:dyDescent="0.25">
      <c r="B29" s="5">
        <v>45931</v>
      </c>
      <c r="C29">
        <v>3.4820557000000001</v>
      </c>
      <c r="D29">
        <v>-0.84327459999999999</v>
      </c>
    </row>
    <row r="30" spans="2:4" x14ac:dyDescent="0.25">
      <c r="B30" s="5">
        <v>45930</v>
      </c>
      <c r="C30">
        <v>-1.1042057999999999</v>
      </c>
      <c r="D30">
        <v>1.1559725000000001</v>
      </c>
    </row>
    <row r="31" spans="2:4" x14ac:dyDescent="0.25">
      <c r="B31" s="5">
        <v>45929</v>
      </c>
      <c r="C31">
        <v>1.3941526</v>
      </c>
      <c r="D31">
        <v>-0.75445770000000001</v>
      </c>
    </row>
    <row r="32" spans="2:4" x14ac:dyDescent="0.25">
      <c r="B32" s="5">
        <v>45926</v>
      </c>
      <c r="C32">
        <v>1.7757535</v>
      </c>
      <c r="D32">
        <v>0.69429874000000003</v>
      </c>
    </row>
    <row r="33" spans="2:4" x14ac:dyDescent="0.25">
      <c r="B33" s="5">
        <v>45925</v>
      </c>
      <c r="C33">
        <v>-2.6607454000000001</v>
      </c>
      <c r="D33">
        <v>-0.73363184999999997</v>
      </c>
    </row>
    <row r="34" spans="2:4" x14ac:dyDescent="0.25">
      <c r="B34" s="5">
        <v>45924</v>
      </c>
      <c r="C34">
        <v>5.1317333999999999</v>
      </c>
      <c r="D34">
        <v>-0.79580545000000003</v>
      </c>
    </row>
    <row r="35" spans="2:4" x14ac:dyDescent="0.25">
      <c r="B35" s="5">
        <v>45923</v>
      </c>
      <c r="C35">
        <v>0.84652899999999998</v>
      </c>
      <c r="D35">
        <v>6.7675109999999997E-2</v>
      </c>
    </row>
    <row r="36" spans="2:4" x14ac:dyDescent="0.25">
      <c r="B36" s="5">
        <v>45922</v>
      </c>
      <c r="C36">
        <v>2.2218227000000002</v>
      </c>
      <c r="D36">
        <v>-0.81180333999999998</v>
      </c>
    </row>
    <row r="37" spans="2:4" x14ac:dyDescent="0.25">
      <c r="B37" s="5">
        <v>45919</v>
      </c>
      <c r="C37">
        <v>-1.2111604</v>
      </c>
      <c r="D37">
        <v>-1.6031027</v>
      </c>
    </row>
    <row r="38" spans="2:4" x14ac:dyDescent="0.25">
      <c r="B38" s="5">
        <v>45918</v>
      </c>
      <c r="C38">
        <v>-3.0165492999999999</v>
      </c>
      <c r="D38">
        <v>-1.3047694999999999</v>
      </c>
    </row>
    <row r="39" spans="2:4" x14ac:dyDescent="0.25">
      <c r="B39" s="5">
        <v>45917</v>
      </c>
      <c r="C39">
        <v>8.1181529999999995E-3</v>
      </c>
      <c r="D39">
        <v>-0.48071742000000001</v>
      </c>
    </row>
    <row r="40" spans="2:4" x14ac:dyDescent="0.25">
      <c r="B40" s="5">
        <v>45916</v>
      </c>
      <c r="C40">
        <v>-4.1167736000000001</v>
      </c>
      <c r="D40">
        <v>1.8997431</v>
      </c>
    </row>
    <row r="41" spans="2:4" x14ac:dyDescent="0.25">
      <c r="B41" s="5">
        <v>45915</v>
      </c>
      <c r="C41">
        <v>-0.28595924</v>
      </c>
      <c r="D41">
        <v>0.16957521</v>
      </c>
    </row>
    <row r="42" spans="2:4" x14ac:dyDescent="0.25">
      <c r="B42" s="5">
        <v>45912</v>
      </c>
      <c r="C42">
        <v>0.43821335</v>
      </c>
      <c r="D42">
        <v>-2.3040473000000001</v>
      </c>
    </row>
    <row r="43" spans="2:4" x14ac:dyDescent="0.25">
      <c r="B43" s="5">
        <v>45911</v>
      </c>
      <c r="C43">
        <v>0.43091773999999999</v>
      </c>
      <c r="D43">
        <v>5.2547455E-2</v>
      </c>
    </row>
    <row r="44" spans="2:4" x14ac:dyDescent="0.25">
      <c r="B44" s="5">
        <v>45910</v>
      </c>
      <c r="C44">
        <v>-1.2122451999999999</v>
      </c>
      <c r="D44">
        <v>-0.49911139999999998</v>
      </c>
    </row>
    <row r="45" spans="2:4" x14ac:dyDescent="0.25">
      <c r="B45" s="5">
        <v>45909</v>
      </c>
      <c r="C45">
        <v>-1.1412679999999999</v>
      </c>
      <c r="D45">
        <v>3.1282662999999999</v>
      </c>
    </row>
    <row r="46" spans="2:4" x14ac:dyDescent="0.25">
      <c r="B46" s="5">
        <v>45908</v>
      </c>
      <c r="C46">
        <v>-1.739949</v>
      </c>
      <c r="D46">
        <v>1.5260457999999999</v>
      </c>
    </row>
    <row r="47" spans="2:4" x14ac:dyDescent="0.25">
      <c r="B47" s="5">
        <v>45905</v>
      </c>
      <c r="C47">
        <v>-3.656298</v>
      </c>
      <c r="D47">
        <v>1.7557383</v>
      </c>
    </row>
    <row r="48" spans="2:4" x14ac:dyDescent="0.25">
      <c r="B48" s="5">
        <v>45904</v>
      </c>
      <c r="C48">
        <v>0.10441541999999999</v>
      </c>
      <c r="D48">
        <v>-2.0760298E-2</v>
      </c>
    </row>
    <row r="49" spans="2:4" x14ac:dyDescent="0.25">
      <c r="B49" s="5">
        <v>45903</v>
      </c>
      <c r="C49">
        <v>1.808846</v>
      </c>
      <c r="D49">
        <v>-1.5769362</v>
      </c>
    </row>
    <row r="50" spans="2:4" x14ac:dyDescent="0.25">
      <c r="B50" s="5">
        <v>45902</v>
      </c>
      <c r="C50">
        <v>-6.6762924000000003</v>
      </c>
      <c r="D50">
        <v>1.8613337999999999</v>
      </c>
    </row>
    <row r="51" spans="2:4" x14ac:dyDescent="0.25">
      <c r="B51" s="5">
        <v>45898</v>
      </c>
      <c r="C51">
        <v>0.84817410000000004</v>
      </c>
      <c r="D51">
        <v>0.70673229999999998</v>
      </c>
    </row>
    <row r="52" spans="2:4" x14ac:dyDescent="0.25">
      <c r="B52" s="5">
        <v>45897</v>
      </c>
      <c r="C52">
        <v>0.55260659999999995</v>
      </c>
      <c r="D52">
        <v>4.9853324999999997E-2</v>
      </c>
    </row>
    <row r="53" spans="2:4" x14ac:dyDescent="0.25">
      <c r="B53" s="5">
        <v>45896</v>
      </c>
      <c r="C53">
        <v>-1.6266465000000001</v>
      </c>
      <c r="D53">
        <v>-3.359914E-2</v>
      </c>
    </row>
    <row r="54" spans="2:4" x14ac:dyDescent="0.25">
      <c r="B54" s="5">
        <v>45895</v>
      </c>
      <c r="C54">
        <v>-3.1865834999999998</v>
      </c>
      <c r="D54">
        <v>-0.34198165000000003</v>
      </c>
    </row>
    <row r="55" spans="2:4" x14ac:dyDescent="0.25">
      <c r="B55" s="5">
        <v>45894</v>
      </c>
      <c r="C55">
        <v>-1.1515318999999999</v>
      </c>
      <c r="D55">
        <v>-1.4755606999999999</v>
      </c>
    </row>
    <row r="56" spans="2:4" x14ac:dyDescent="0.25">
      <c r="B56" s="5">
        <v>45891</v>
      </c>
      <c r="C56">
        <v>3.5834312000000001</v>
      </c>
      <c r="D56">
        <v>1.8274188</v>
      </c>
    </row>
    <row r="57" spans="2:4" x14ac:dyDescent="0.25">
      <c r="B57" s="5">
        <v>45890</v>
      </c>
      <c r="C57">
        <v>-1.8691659</v>
      </c>
      <c r="D57">
        <v>-0.11746883399999999</v>
      </c>
    </row>
    <row r="58" spans="2:4" x14ac:dyDescent="0.25">
      <c r="B58" s="5">
        <v>45889</v>
      </c>
      <c r="C58">
        <v>-0.37709474999999998</v>
      </c>
      <c r="D58">
        <v>-0.70991515999999999</v>
      </c>
    </row>
    <row r="59" spans="2:4" x14ac:dyDescent="0.25">
      <c r="B59" s="5">
        <v>45888</v>
      </c>
      <c r="C59">
        <v>3.6943554999999999</v>
      </c>
      <c r="D59">
        <v>3.7636400000000001</v>
      </c>
    </row>
    <row r="60" spans="2:4" x14ac:dyDescent="0.25">
      <c r="B60" s="5">
        <v>45887</v>
      </c>
      <c r="C60">
        <v>-0.93888640000000001</v>
      </c>
      <c r="D60">
        <v>0.22422075</v>
      </c>
    </row>
    <row r="61" spans="2:4" x14ac:dyDescent="0.25">
      <c r="B61" s="5">
        <v>45884</v>
      </c>
      <c r="C61">
        <v>-0.14839172</v>
      </c>
      <c r="D61">
        <v>-0.27261972000000001</v>
      </c>
    </row>
    <row r="62" spans="2:4" x14ac:dyDescent="0.25">
      <c r="B62" s="5">
        <v>45883</v>
      </c>
      <c r="C62">
        <v>-0.62507389999999996</v>
      </c>
      <c r="D62">
        <v>-0.51832794999999998</v>
      </c>
    </row>
    <row r="63" spans="2:4" x14ac:dyDescent="0.25">
      <c r="B63" s="5">
        <v>45882</v>
      </c>
      <c r="C63">
        <v>0.123012066</v>
      </c>
      <c r="D63">
        <v>-0.18756986</v>
      </c>
    </row>
    <row r="64" spans="2:4" x14ac:dyDescent="0.25">
      <c r="B64" s="5">
        <v>45881</v>
      </c>
      <c r="C64">
        <v>-0.71327090000000004</v>
      </c>
      <c r="D64">
        <v>2.6527286000000001</v>
      </c>
    </row>
    <row r="65" spans="2:4" x14ac:dyDescent="0.25">
      <c r="B65" s="5">
        <v>45880</v>
      </c>
      <c r="C65">
        <v>-1.8096983</v>
      </c>
      <c r="D65">
        <v>-0.15534163000000001</v>
      </c>
    </row>
    <row r="66" spans="2:4" x14ac:dyDescent="0.25">
      <c r="B66" s="5">
        <v>45877</v>
      </c>
      <c r="C66">
        <v>1.7258286</v>
      </c>
      <c r="D66">
        <v>0.93574524000000003</v>
      </c>
    </row>
    <row r="67" spans="2:4" x14ac:dyDescent="0.25">
      <c r="B67" s="5">
        <v>45876</v>
      </c>
      <c r="C67">
        <v>5.6899430000000004</v>
      </c>
      <c r="D67">
        <v>1.6974568000000001</v>
      </c>
    </row>
    <row r="68" spans="2:4" x14ac:dyDescent="0.25">
      <c r="B68" s="5">
        <v>45875</v>
      </c>
      <c r="C68">
        <v>3.094411</v>
      </c>
      <c r="D68">
        <v>-0.24356246000000001</v>
      </c>
    </row>
    <row r="69" spans="2:4" x14ac:dyDescent="0.25">
      <c r="B69" s="5">
        <v>45874</v>
      </c>
      <c r="C69">
        <v>-2.5939882000000001</v>
      </c>
      <c r="D69">
        <v>3.1515002000000001</v>
      </c>
    </row>
    <row r="70" spans="2:4" x14ac:dyDescent="0.25">
      <c r="B70" s="5">
        <v>45873</v>
      </c>
      <c r="C70">
        <v>-3.3237576</v>
      </c>
      <c r="D70">
        <v>0.7539034</v>
      </c>
    </row>
    <row r="71" spans="2:4" x14ac:dyDescent="0.25">
      <c r="B71" s="5">
        <v>45870</v>
      </c>
      <c r="C71">
        <v>0.68191290000000004</v>
      </c>
      <c r="D71">
        <v>7.5800896</v>
      </c>
    </row>
    <row r="72" spans="2:4" x14ac:dyDescent="0.25">
      <c r="B72" s="5">
        <v>45869</v>
      </c>
      <c r="C72">
        <v>-0.84120035000000004</v>
      </c>
      <c r="D72">
        <v>-0.97639560000000003</v>
      </c>
    </row>
    <row r="73" spans="2:4" x14ac:dyDescent="0.25">
      <c r="B73" s="5">
        <v>45868</v>
      </c>
      <c r="C73">
        <v>-0.80201626000000004</v>
      </c>
      <c r="D73">
        <v>0.31455755000000002</v>
      </c>
    </row>
    <row r="74" spans="2:4" x14ac:dyDescent="0.25">
      <c r="B74" s="5">
        <v>45867</v>
      </c>
      <c r="C74">
        <v>-2.7853726999999999</v>
      </c>
      <c r="D74">
        <v>0.65919159999999999</v>
      </c>
    </row>
    <row r="75" spans="2:4" x14ac:dyDescent="0.25">
      <c r="B75" s="5">
        <v>45866</v>
      </c>
      <c r="C75">
        <v>-1.0212958000000001</v>
      </c>
      <c r="D75">
        <v>-2.4104535999999999</v>
      </c>
    </row>
    <row r="76" spans="2:4" x14ac:dyDescent="0.25">
      <c r="B76" s="5">
        <v>45863</v>
      </c>
      <c r="C76">
        <v>2.6332616999999998</v>
      </c>
      <c r="D76">
        <v>-1.4399529</v>
      </c>
    </row>
    <row r="77" spans="2:4" x14ac:dyDescent="0.25">
      <c r="B77" s="5">
        <v>45862</v>
      </c>
      <c r="C77">
        <v>1.6644715999999999</v>
      </c>
      <c r="D77">
        <v>0.73361396999999995</v>
      </c>
    </row>
    <row r="78" spans="2:4" x14ac:dyDescent="0.25">
      <c r="B78" s="5">
        <v>45861</v>
      </c>
      <c r="C78">
        <v>1.6375421999999999</v>
      </c>
      <c r="D78">
        <v>1.0497928000000001</v>
      </c>
    </row>
    <row r="79" spans="2:4" x14ac:dyDescent="0.25">
      <c r="B79" s="5">
        <v>45860</v>
      </c>
      <c r="C79">
        <v>-1.5266835999999999</v>
      </c>
      <c r="D79">
        <v>1.7580509</v>
      </c>
    </row>
    <row r="80" spans="2:4" x14ac:dyDescent="0.25">
      <c r="B80" s="5">
        <v>45859</v>
      </c>
      <c r="C80">
        <v>-1.1549651999999999</v>
      </c>
      <c r="D80">
        <v>0.73262453000000005</v>
      </c>
    </row>
    <row r="81" spans="2:4" x14ac:dyDescent="0.25">
      <c r="B81" s="5">
        <v>45856</v>
      </c>
      <c r="C81">
        <v>2.1070123000000001</v>
      </c>
      <c r="D81">
        <v>2.7627826</v>
      </c>
    </row>
    <row r="82" spans="2:4" x14ac:dyDescent="0.25">
      <c r="B82" s="5">
        <v>45855</v>
      </c>
      <c r="C82">
        <v>0.76727869999999998</v>
      </c>
      <c r="D82">
        <v>1.5826344000000001</v>
      </c>
    </row>
    <row r="83" spans="2:4" x14ac:dyDescent="0.25">
      <c r="B83" s="5">
        <v>45854</v>
      </c>
      <c r="C83">
        <v>-0.68259835000000002</v>
      </c>
      <c r="D83">
        <v>1.6598105000000001</v>
      </c>
    </row>
    <row r="84" spans="2:4" x14ac:dyDescent="0.25">
      <c r="B84" s="5">
        <v>45853</v>
      </c>
      <c r="C84">
        <v>0.63385963000000001</v>
      </c>
      <c r="D84">
        <v>-1.36733055E-2</v>
      </c>
    </row>
    <row r="85" spans="2:4" x14ac:dyDescent="0.25">
      <c r="B85" s="5">
        <v>45852</v>
      </c>
      <c r="C85">
        <v>-0.37976503</v>
      </c>
      <c r="D85">
        <v>-0.37736892999999999</v>
      </c>
    </row>
    <row r="86" spans="2:4" x14ac:dyDescent="0.25">
      <c r="B86" s="5">
        <v>45849</v>
      </c>
      <c r="C86">
        <v>-2.8660060000000001</v>
      </c>
      <c r="D86">
        <v>-1.3950229000000001</v>
      </c>
    </row>
    <row r="87" spans="2:4" x14ac:dyDescent="0.25">
      <c r="B87" s="5">
        <v>45848</v>
      </c>
      <c r="C87">
        <v>1.7081141</v>
      </c>
      <c r="D87">
        <v>0.59670210000000001</v>
      </c>
    </row>
    <row r="88" spans="2:4" x14ac:dyDescent="0.25">
      <c r="B88" s="5">
        <v>45847</v>
      </c>
      <c r="C88">
        <v>1.2643694999999999</v>
      </c>
      <c r="D88">
        <v>1.5718102</v>
      </c>
    </row>
    <row r="89" spans="2:4" x14ac:dyDescent="0.25">
      <c r="B89" s="5">
        <v>45846</v>
      </c>
      <c r="C89">
        <v>1.7271757000000001</v>
      </c>
      <c r="D89">
        <v>-1.8043041</v>
      </c>
    </row>
    <row r="90" spans="2:4" x14ac:dyDescent="0.25">
      <c r="B90" s="5">
        <v>45845</v>
      </c>
      <c r="C90">
        <v>-1.2218893</v>
      </c>
      <c r="D90">
        <v>-1.1497021000000001</v>
      </c>
    </row>
    <row r="91" spans="2:4" x14ac:dyDescent="0.25">
      <c r="B91" s="5">
        <v>45841</v>
      </c>
      <c r="C91">
        <v>0.4683137</v>
      </c>
      <c r="D91">
        <v>-6.7846894000000004</v>
      </c>
    </row>
    <row r="92" spans="2:4" x14ac:dyDescent="0.25">
      <c r="B92" s="5">
        <v>45840</v>
      </c>
      <c r="C92">
        <v>4.2440414000000004</v>
      </c>
      <c r="D92">
        <v>-2.9087782</v>
      </c>
    </row>
    <row r="93" spans="2:4" x14ac:dyDescent="0.25">
      <c r="B93" s="5">
        <v>45839</v>
      </c>
      <c r="C93">
        <v>1.5427351</v>
      </c>
      <c r="D93">
        <v>0.54872036000000002</v>
      </c>
    </row>
    <row r="94" spans="2:4" x14ac:dyDescent="0.25">
      <c r="B94" s="5">
        <v>45838</v>
      </c>
      <c r="C94">
        <v>0.10634660999999999</v>
      </c>
      <c r="D94">
        <v>2.0119189999999998</v>
      </c>
    </row>
    <row r="95" spans="2:4" x14ac:dyDescent="0.25">
      <c r="B95" s="5">
        <v>45835</v>
      </c>
      <c r="C95">
        <v>1.5831709</v>
      </c>
      <c r="D95">
        <v>-0.96343756000000003</v>
      </c>
    </row>
    <row r="96" spans="2:4" x14ac:dyDescent="0.25">
      <c r="B96" s="5">
        <v>45834</v>
      </c>
      <c r="C96">
        <v>3.7000774999999999</v>
      </c>
      <c r="D96">
        <v>2.2975086999999998</v>
      </c>
    </row>
    <row r="97" spans="2:4" x14ac:dyDescent="0.25">
      <c r="B97" s="5">
        <v>45833</v>
      </c>
      <c r="C97">
        <v>-1.8214642999999999</v>
      </c>
      <c r="D97">
        <v>-1.1334777</v>
      </c>
    </row>
    <row r="98" spans="2:4" x14ac:dyDescent="0.25">
      <c r="B98" s="5">
        <v>45832</v>
      </c>
      <c r="C98">
        <v>4.5966149999999999</v>
      </c>
      <c r="D98">
        <v>1.6259193000000001</v>
      </c>
    </row>
    <row r="99" spans="2:4" x14ac:dyDescent="0.25">
      <c r="B99" s="5">
        <v>45831</v>
      </c>
      <c r="C99">
        <v>-1.4683545</v>
      </c>
      <c r="D99">
        <v>-5.9765577E-2</v>
      </c>
    </row>
    <row r="100" spans="2:4" x14ac:dyDescent="0.25">
      <c r="B100" s="5">
        <v>45828</v>
      </c>
      <c r="C100">
        <v>-4.6786250000000003</v>
      </c>
      <c r="D100">
        <v>-1.7330348</v>
      </c>
    </row>
    <row r="101" spans="2:4" x14ac:dyDescent="0.25">
      <c r="B101" s="5">
        <v>45826</v>
      </c>
      <c r="C101">
        <v>-0.26899575999999997</v>
      </c>
      <c r="D101">
        <v>3.0294417999999999</v>
      </c>
    </row>
    <row r="102" spans="2:4" x14ac:dyDescent="0.25">
      <c r="B102" s="5">
        <v>45825</v>
      </c>
      <c r="C102">
        <v>-0.68413615000000005</v>
      </c>
      <c r="D102">
        <v>-2.9973567000000001</v>
      </c>
    </row>
    <row r="103" spans="2:4" x14ac:dyDescent="0.25">
      <c r="B103" s="5">
        <v>45824</v>
      </c>
      <c r="C103">
        <v>2.2997380000000001</v>
      </c>
      <c r="D103">
        <v>2.2840858000000002</v>
      </c>
    </row>
    <row r="104" spans="2:4" x14ac:dyDescent="0.25">
      <c r="B104" s="5">
        <v>45821</v>
      </c>
      <c r="C104">
        <v>-2.040851</v>
      </c>
      <c r="D104">
        <v>-0.27056335999999997</v>
      </c>
    </row>
    <row r="105" spans="2:4" x14ac:dyDescent="0.25">
      <c r="B105" s="5">
        <v>45820</v>
      </c>
      <c r="C105">
        <v>0.55880547000000003</v>
      </c>
      <c r="D105">
        <v>0.82832574999999997</v>
      </c>
    </row>
    <row r="106" spans="2:4" x14ac:dyDescent="0.25">
      <c r="B106" s="5">
        <v>45819</v>
      </c>
      <c r="C106">
        <v>1.8869638</v>
      </c>
      <c r="D106">
        <v>3.4570693999999998E-3</v>
      </c>
    </row>
    <row r="107" spans="2:4" x14ac:dyDescent="0.25">
      <c r="B107" s="5">
        <v>45818</v>
      </c>
      <c r="C107">
        <v>6.2016010000000001</v>
      </c>
      <c r="D107">
        <v>-0.70012209999999997</v>
      </c>
    </row>
    <row r="108" spans="2:4" x14ac:dyDescent="0.25">
      <c r="B108" s="5">
        <v>45817</v>
      </c>
      <c r="C108">
        <v>0.19471645000000001</v>
      </c>
      <c r="D108">
        <v>0.25243759999999998</v>
      </c>
    </row>
    <row r="109" spans="2:4" x14ac:dyDescent="0.25">
      <c r="B109" s="5">
        <v>45814</v>
      </c>
      <c r="C109">
        <v>-1.4799595000000001</v>
      </c>
      <c r="D109">
        <v>-0.97314714999999996</v>
      </c>
    </row>
    <row r="110" spans="2:4" x14ac:dyDescent="0.25">
      <c r="B110" s="5">
        <v>45813</v>
      </c>
      <c r="C110">
        <v>-0.91507435000000004</v>
      </c>
      <c r="D110">
        <v>-1.0030568</v>
      </c>
    </row>
    <row r="111" spans="2:4" x14ac:dyDescent="0.25">
      <c r="B111" s="5">
        <v>45812</v>
      </c>
      <c r="C111">
        <v>0.16705990000000001</v>
      </c>
      <c r="D111">
        <v>0.16546250000000001</v>
      </c>
    </row>
    <row r="112" spans="2:4" x14ac:dyDescent="0.25">
      <c r="B112" s="5">
        <v>45811</v>
      </c>
      <c r="C112">
        <v>-0.62628983999999999</v>
      </c>
      <c r="D112">
        <v>-1.5132247999999999</v>
      </c>
    </row>
    <row r="113" spans="2:4" x14ac:dyDescent="0.25">
      <c r="B113" s="5">
        <v>45810</v>
      </c>
      <c r="C113">
        <v>-1.0620654</v>
      </c>
      <c r="D113">
        <v>1.0641098</v>
      </c>
    </row>
    <row r="114" spans="2:4" x14ac:dyDescent="0.25">
      <c r="B114" s="5">
        <v>45807</v>
      </c>
      <c r="C114">
        <v>1.7935991</v>
      </c>
      <c r="D114">
        <v>-0.61782000000000004</v>
      </c>
    </row>
    <row r="115" spans="2:4" x14ac:dyDescent="0.25">
      <c r="B115" s="5">
        <v>45806</v>
      </c>
      <c r="C115">
        <v>0.18795729</v>
      </c>
      <c r="D115">
        <v>0.49780606999999999</v>
      </c>
    </row>
    <row r="116" spans="2:4" x14ac:dyDescent="0.25">
      <c r="B116" s="5">
        <v>45805</v>
      </c>
      <c r="C116">
        <v>-2.3387669999999998</v>
      </c>
      <c r="D116">
        <v>-0.42893887000000003</v>
      </c>
    </row>
    <row r="117" spans="2:4" x14ac:dyDescent="0.25">
      <c r="B117" s="5">
        <v>45804</v>
      </c>
      <c r="C117">
        <v>2.5044322000000001</v>
      </c>
      <c r="D117">
        <v>0.36110878000000002</v>
      </c>
    </row>
    <row r="118" spans="2:4" x14ac:dyDescent="0.25">
      <c r="B118" s="5">
        <v>45800</v>
      </c>
      <c r="C118">
        <v>-2.1053076000000002</v>
      </c>
      <c r="D118">
        <v>4.2061089999999997</v>
      </c>
    </row>
    <row r="119" spans="2:4" x14ac:dyDescent="0.25">
      <c r="B119" s="5">
        <v>45799</v>
      </c>
      <c r="C119">
        <v>-2.2271453999999999</v>
      </c>
      <c r="D119">
        <v>-1.5025436999999999</v>
      </c>
    </row>
    <row r="120" spans="2:4" x14ac:dyDescent="0.25">
      <c r="B120" s="5">
        <v>45798</v>
      </c>
      <c r="C120">
        <v>-1.0249972000000001</v>
      </c>
      <c r="D120">
        <v>1.6119599</v>
      </c>
    </row>
    <row r="121" spans="2:4" x14ac:dyDescent="0.25">
      <c r="B121" s="5">
        <v>45797</v>
      </c>
      <c r="C121">
        <v>2.5246263</v>
      </c>
      <c r="D121">
        <v>-1.0647476</v>
      </c>
    </row>
    <row r="122" spans="2:4" x14ac:dyDescent="0.25">
      <c r="B122" s="5">
        <v>45796</v>
      </c>
      <c r="C122">
        <v>0.73723793000000004</v>
      </c>
      <c r="D122">
        <v>1.0231018000000001</v>
      </c>
    </row>
    <row r="123" spans="2:4" x14ac:dyDescent="0.25">
      <c r="B123" s="5">
        <v>45793</v>
      </c>
      <c r="C123">
        <v>-1.3644278000000001</v>
      </c>
      <c r="D123">
        <v>3.2929778000000001</v>
      </c>
    </row>
    <row r="124" spans="2:4" x14ac:dyDescent="0.25">
      <c r="B124" s="5">
        <v>45792</v>
      </c>
      <c r="C124">
        <v>-0.62660574999999996</v>
      </c>
      <c r="D124">
        <v>-1.5240788000000001</v>
      </c>
    </row>
    <row r="125" spans="2:4" x14ac:dyDescent="0.25">
      <c r="B125" s="5">
        <v>45791</v>
      </c>
      <c r="C125">
        <v>-1.7038167</v>
      </c>
      <c r="D125">
        <v>-2.1904944999999998</v>
      </c>
    </row>
    <row r="126" spans="2:4" x14ac:dyDescent="0.25">
      <c r="B126" s="5">
        <v>45790</v>
      </c>
      <c r="C126">
        <v>0.23765564</v>
      </c>
      <c r="D126">
        <v>-1.9888937</v>
      </c>
    </row>
    <row r="127" spans="2:4" x14ac:dyDescent="0.25">
      <c r="B127" s="5">
        <v>45789</v>
      </c>
      <c r="C127">
        <v>3.5124898</v>
      </c>
      <c r="D127">
        <v>0.19302368</v>
      </c>
    </row>
    <row r="128" spans="2:4" x14ac:dyDescent="0.25">
      <c r="B128" s="5">
        <v>45786</v>
      </c>
      <c r="C128">
        <v>0.21408795999999999</v>
      </c>
      <c r="D128">
        <v>-1.8080354000000001</v>
      </c>
    </row>
    <row r="129" spans="2:4" x14ac:dyDescent="0.25">
      <c r="B129" s="5">
        <v>45785</v>
      </c>
      <c r="C129">
        <v>10.768174999999999</v>
      </c>
      <c r="D129">
        <v>-0.69160460000000001</v>
      </c>
    </row>
    <row r="130" spans="2:4" x14ac:dyDescent="0.25">
      <c r="B130" s="5">
        <v>45784</v>
      </c>
      <c r="C130">
        <v>-1.6437470999999999</v>
      </c>
      <c r="D130">
        <v>0.85681677000000001</v>
      </c>
    </row>
    <row r="131" spans="2:4" x14ac:dyDescent="0.25">
      <c r="B131" s="5">
        <v>45783</v>
      </c>
      <c r="C131">
        <v>0.11152028999999999</v>
      </c>
      <c r="D131">
        <v>0.65108540000000004</v>
      </c>
    </row>
    <row r="132" spans="2:4" x14ac:dyDescent="0.25">
      <c r="B132" s="5">
        <v>45782</v>
      </c>
      <c r="C132">
        <v>-2.4099946000000001</v>
      </c>
      <c r="D132">
        <v>0.15997887</v>
      </c>
    </row>
    <row r="133" spans="2:4" x14ac:dyDescent="0.25">
      <c r="B133" s="5">
        <v>45779</v>
      </c>
      <c r="C133">
        <v>2.1313906</v>
      </c>
      <c r="D133">
        <v>-0.33853650000000002</v>
      </c>
    </row>
    <row r="134" spans="2:4" x14ac:dyDescent="0.25">
      <c r="B134" s="5">
        <v>45778</v>
      </c>
      <c r="C134">
        <v>-1.2735008999999999</v>
      </c>
      <c r="D134">
        <v>-2.2348880000000002</v>
      </c>
    </row>
    <row r="135" spans="2:4" x14ac:dyDescent="0.25">
      <c r="B135" s="5">
        <v>45777</v>
      </c>
      <c r="C135">
        <v>-0.34104585999999998</v>
      </c>
      <c r="D135">
        <v>-0.21952986999999999</v>
      </c>
    </row>
    <row r="136" spans="2:4" x14ac:dyDescent="0.25">
      <c r="B136" s="5">
        <v>45776</v>
      </c>
      <c r="C136">
        <v>-1.2347638999999999</v>
      </c>
      <c r="D136">
        <v>0.34066439999999998</v>
      </c>
    </row>
    <row r="137" spans="2:4" x14ac:dyDescent="0.25">
      <c r="B137" s="5">
        <v>45775</v>
      </c>
      <c r="C137">
        <v>1.355505</v>
      </c>
      <c r="D137">
        <v>0.72296859999999996</v>
      </c>
    </row>
    <row r="138" spans="2:4" x14ac:dyDescent="0.25">
      <c r="B138" s="5">
        <v>45772</v>
      </c>
      <c r="C138">
        <v>-0.62452554999999998</v>
      </c>
      <c r="D138">
        <v>5.2440166000000003E-2</v>
      </c>
    </row>
    <row r="139" spans="2:4" x14ac:dyDescent="0.25">
      <c r="B139" s="5">
        <v>45771</v>
      </c>
      <c r="C139">
        <v>-1.2060820999999999</v>
      </c>
      <c r="D139">
        <v>-4.1006384000000002</v>
      </c>
    </row>
    <row r="140" spans="2:4" x14ac:dyDescent="0.25">
      <c r="B140" s="5">
        <v>45770</v>
      </c>
      <c r="C140">
        <v>-1.0742008999999999</v>
      </c>
      <c r="D140">
        <v>-2.4164617000000002</v>
      </c>
    </row>
    <row r="141" spans="2:4" x14ac:dyDescent="0.25">
      <c r="B141" s="5">
        <v>45769</v>
      </c>
      <c r="C141">
        <v>0.60422419999999999</v>
      </c>
      <c r="D141">
        <v>1.4749885</v>
      </c>
    </row>
    <row r="142" spans="2:4" x14ac:dyDescent="0.25">
      <c r="B142" s="5">
        <v>45768</v>
      </c>
      <c r="C142">
        <v>1.5103698000000001</v>
      </c>
      <c r="D142">
        <v>8.9490180000000006</v>
      </c>
    </row>
    <row r="143" spans="2:4" x14ac:dyDescent="0.25">
      <c r="B143" s="5">
        <v>45764</v>
      </c>
      <c r="C143">
        <v>-2.2681534000000001</v>
      </c>
      <c r="D143">
        <v>1.8160105</v>
      </c>
    </row>
    <row r="144" spans="2:4" x14ac:dyDescent="0.25">
      <c r="B144" s="5">
        <v>45763</v>
      </c>
      <c r="C144">
        <v>-0.92061760000000004</v>
      </c>
      <c r="D144">
        <v>0.84077120000000005</v>
      </c>
    </row>
    <row r="145" spans="2:4" x14ac:dyDescent="0.25">
      <c r="B145" s="5">
        <v>45762</v>
      </c>
      <c r="C145">
        <v>1.0723472000000001</v>
      </c>
      <c r="D145">
        <v>-1.2182592999999999</v>
      </c>
    </row>
    <row r="146" spans="2:4" x14ac:dyDescent="0.25">
      <c r="B146" s="5">
        <v>45761</v>
      </c>
      <c r="C146">
        <v>2.8991342000000002</v>
      </c>
      <c r="D146">
        <v>0.11342764</v>
      </c>
    </row>
    <row r="147" spans="2:4" x14ac:dyDescent="0.25">
      <c r="B147" s="5">
        <v>45758</v>
      </c>
      <c r="C147">
        <v>0.55953264000000003</v>
      </c>
      <c r="D147">
        <v>0.82086325000000004</v>
      </c>
    </row>
    <row r="148" spans="2:4" x14ac:dyDescent="0.25">
      <c r="B148" s="5">
        <v>45757</v>
      </c>
      <c r="C148">
        <v>5.9335589999999998</v>
      </c>
      <c r="D148">
        <v>4.5773745000000003</v>
      </c>
    </row>
    <row r="149" spans="2:4" x14ac:dyDescent="0.25">
      <c r="B149" s="5">
        <v>45756</v>
      </c>
      <c r="C149">
        <v>-3.6640166999999999</v>
      </c>
      <c r="D149">
        <v>1.7007947000000001</v>
      </c>
    </row>
    <row r="150" spans="2:4" x14ac:dyDescent="0.25">
      <c r="B150" s="5">
        <v>45755</v>
      </c>
      <c r="C150">
        <v>2.600336</v>
      </c>
      <c r="D150">
        <v>4.4513702000000004</v>
      </c>
    </row>
    <row r="151" spans="2:4" x14ac:dyDescent="0.25">
      <c r="B151" s="5">
        <v>45754</v>
      </c>
      <c r="C151">
        <v>-8.5412800000000004</v>
      </c>
      <c r="D151">
        <v>-7.9462289999999998</v>
      </c>
    </row>
    <row r="152" spans="2:4" x14ac:dyDescent="0.25">
      <c r="B152" s="5">
        <v>45751</v>
      </c>
      <c r="C152">
        <v>-5.7921705000000001</v>
      </c>
      <c r="D152">
        <v>-1.8498302</v>
      </c>
    </row>
    <row r="153" spans="2:4" x14ac:dyDescent="0.25">
      <c r="B153" s="5">
        <v>45750</v>
      </c>
      <c r="C153">
        <v>-3.850311</v>
      </c>
      <c r="D153">
        <v>4.5839189999999999</v>
      </c>
    </row>
    <row r="154" spans="2:4" x14ac:dyDescent="0.25">
      <c r="B154" s="5">
        <v>45749</v>
      </c>
      <c r="C154">
        <v>-2.0392478000000001</v>
      </c>
      <c r="D154">
        <v>-1.0445118</v>
      </c>
    </row>
    <row r="155" spans="2:4" x14ac:dyDescent="0.25">
      <c r="B155" s="5">
        <v>45748</v>
      </c>
      <c r="C155">
        <v>2.5143266</v>
      </c>
      <c r="D155">
        <v>2.021277</v>
      </c>
    </row>
    <row r="156" spans="2:4" x14ac:dyDescent="0.25">
      <c r="B156" s="5">
        <v>45747</v>
      </c>
      <c r="C156">
        <v>-3.6391079999999998</v>
      </c>
      <c r="D156">
        <v>-1.8544674000000001</v>
      </c>
    </row>
    <row r="157" spans="2:4" x14ac:dyDescent="0.25">
      <c r="B157" s="5">
        <v>45744</v>
      </c>
      <c r="C157">
        <v>-0.33591389999999999</v>
      </c>
      <c r="D157">
        <v>-0.51050779999999996</v>
      </c>
    </row>
    <row r="158" spans="2:4" x14ac:dyDescent="0.25">
      <c r="B158" s="5">
        <v>45743</v>
      </c>
      <c r="C158">
        <v>0.75255629999999996</v>
      </c>
      <c r="D158">
        <v>0.63855649999999997</v>
      </c>
    </row>
    <row r="159" spans="2:4" x14ac:dyDescent="0.25">
      <c r="B159" s="5">
        <v>45742</v>
      </c>
      <c r="C159">
        <v>1.4208673999999999</v>
      </c>
      <c r="D159">
        <v>0.92761517000000004</v>
      </c>
    </row>
    <row r="160" spans="2:4" x14ac:dyDescent="0.25">
      <c r="B160" s="5">
        <v>45741</v>
      </c>
      <c r="C160">
        <v>-3.7193299999999999E-2</v>
      </c>
      <c r="D160">
        <v>0.94557999999999998</v>
      </c>
    </row>
    <row r="161" spans="2:4" x14ac:dyDescent="0.25">
      <c r="B161" s="5">
        <v>45740</v>
      </c>
      <c r="C161">
        <v>0.49551725000000002</v>
      </c>
      <c r="D161">
        <v>-1.8028915000000001</v>
      </c>
    </row>
    <row r="162" spans="2:4" x14ac:dyDescent="0.25">
      <c r="B162" s="5">
        <v>45737</v>
      </c>
      <c r="C162">
        <v>-5.5273056</v>
      </c>
      <c r="D162">
        <v>0.23998021999999999</v>
      </c>
    </row>
    <row r="163" spans="2:4" x14ac:dyDescent="0.25">
      <c r="B163" s="5">
        <v>45736</v>
      </c>
      <c r="C163">
        <v>-4.2259574000000004</v>
      </c>
      <c r="D163">
        <v>0.78594684999999997</v>
      </c>
    </row>
    <row r="164" spans="2:4" x14ac:dyDescent="0.25">
      <c r="B164" s="5">
        <v>45735</v>
      </c>
      <c r="C164">
        <v>-0.91788769999999997</v>
      </c>
      <c r="D164">
        <v>0.61182976</v>
      </c>
    </row>
    <row r="165" spans="2:4" x14ac:dyDescent="0.25">
      <c r="B165" s="5">
        <v>45734</v>
      </c>
      <c r="C165">
        <v>3.7461519999999999</v>
      </c>
      <c r="D165">
        <v>0.97099539999999995</v>
      </c>
    </row>
    <row r="166" spans="2:4" x14ac:dyDescent="0.25">
      <c r="B166" s="5">
        <v>45733</v>
      </c>
      <c r="C166">
        <v>1.6869307</v>
      </c>
      <c r="D166">
        <v>0.92287063999999996</v>
      </c>
    </row>
    <row r="167" spans="2:4" x14ac:dyDescent="0.25">
      <c r="B167" s="5">
        <v>45730</v>
      </c>
      <c r="C167">
        <v>5.5975555999999997</v>
      </c>
      <c r="D167">
        <v>0.89426039999999996</v>
      </c>
    </row>
    <row r="168" spans="2:4" x14ac:dyDescent="0.25">
      <c r="B168" s="5">
        <v>45729</v>
      </c>
      <c r="C168">
        <v>-1.2056230999999999</v>
      </c>
      <c r="D168">
        <v>1.4496088</v>
      </c>
    </row>
    <row r="169" spans="2:4" x14ac:dyDescent="0.25">
      <c r="B169" s="5">
        <v>45728</v>
      </c>
      <c r="C169">
        <v>0.44678449999999997</v>
      </c>
      <c r="D169">
        <v>0.9902358</v>
      </c>
    </row>
    <row r="170" spans="2:4" x14ac:dyDescent="0.25">
      <c r="B170" s="5">
        <v>45727</v>
      </c>
      <c r="C170">
        <v>-1.7571091999999999</v>
      </c>
      <c r="D170">
        <v>-0.78191160000000004</v>
      </c>
    </row>
    <row r="171" spans="2:4" x14ac:dyDescent="0.25">
      <c r="B171" s="5">
        <v>45726</v>
      </c>
      <c r="C171">
        <v>-0.15500784000000001</v>
      </c>
      <c r="D171">
        <v>-0.73822737000000005</v>
      </c>
    </row>
    <row r="172" spans="2:4" x14ac:dyDescent="0.25">
      <c r="B172" s="5">
        <v>45723</v>
      </c>
      <c r="C172">
        <v>-0.97758173999999998</v>
      </c>
      <c r="D172">
        <v>0.27401447000000001</v>
      </c>
    </row>
    <row r="173" spans="2:4" x14ac:dyDescent="0.25">
      <c r="B173" s="5">
        <v>45722</v>
      </c>
      <c r="C173">
        <v>8.7162129999999998</v>
      </c>
      <c r="D173">
        <v>1.2269019999999999</v>
      </c>
    </row>
    <row r="174" spans="2:4" x14ac:dyDescent="0.25">
      <c r="B174" s="5">
        <v>45721</v>
      </c>
      <c r="C174">
        <v>8.6513519999999993</v>
      </c>
      <c r="D174">
        <v>0.33621788000000002</v>
      </c>
    </row>
    <row r="175" spans="2:4" x14ac:dyDescent="0.25">
      <c r="B175" s="5">
        <v>45720</v>
      </c>
      <c r="C175">
        <v>-2.2449254999999999</v>
      </c>
      <c r="D175">
        <v>1.5667199999999999</v>
      </c>
    </row>
    <row r="176" spans="2:4" x14ac:dyDescent="0.25">
      <c r="B176" s="5">
        <v>45719</v>
      </c>
      <c r="C176">
        <v>1.0118126999999999</v>
      </c>
      <c r="D176">
        <v>2.6606798</v>
      </c>
    </row>
    <row r="177" spans="2:4" x14ac:dyDescent="0.25">
      <c r="B177" s="5">
        <v>45716</v>
      </c>
      <c r="C177">
        <v>-0.81043242999999998</v>
      </c>
      <c r="D177">
        <v>-1.9574285</v>
      </c>
    </row>
    <row r="178" spans="2:4" x14ac:dyDescent="0.25">
      <c r="B178" s="5">
        <v>45715</v>
      </c>
      <c r="C178">
        <v>-4.9047890000000001</v>
      </c>
      <c r="D178">
        <v>-0.56954026000000002</v>
      </c>
    </row>
    <row r="179" spans="2:4" x14ac:dyDescent="0.25">
      <c r="B179" s="5">
        <v>45714</v>
      </c>
      <c r="C179">
        <v>12.283431999999999</v>
      </c>
      <c r="D179">
        <v>-0.31596422000000002</v>
      </c>
    </row>
    <row r="180" spans="2:4" x14ac:dyDescent="0.25">
      <c r="B180" s="5">
        <v>45713</v>
      </c>
      <c r="C180">
        <v>-2.0190774999999999</v>
      </c>
      <c r="D180">
        <v>0.94223020000000002</v>
      </c>
    </row>
    <row r="181" spans="2:4" x14ac:dyDescent="0.25">
      <c r="B181" s="5">
        <v>45712</v>
      </c>
      <c r="C181">
        <v>1.1461376999999999</v>
      </c>
      <c r="D181">
        <v>0.17414093</v>
      </c>
    </row>
    <row r="182" spans="2:4" x14ac:dyDescent="0.25">
      <c r="B182" s="5">
        <v>45709</v>
      </c>
      <c r="C182">
        <v>2.7783989999999998</v>
      </c>
      <c r="D182">
        <v>-1.4728308000000001E-2</v>
      </c>
    </row>
    <row r="183" spans="2:4" x14ac:dyDescent="0.25">
      <c r="B183" s="5">
        <v>45708</v>
      </c>
      <c r="C183">
        <v>2.8265595000000001</v>
      </c>
      <c r="D183">
        <v>-2.9450654999999999E-2</v>
      </c>
    </row>
    <row r="184" spans="2:4" x14ac:dyDescent="0.25">
      <c r="B184" s="5">
        <v>45707</v>
      </c>
      <c r="C184">
        <v>-1.4927626000000001</v>
      </c>
      <c r="D184">
        <v>-3.3567727000000001</v>
      </c>
    </row>
    <row r="185" spans="2:4" x14ac:dyDescent="0.25">
      <c r="B185" s="5">
        <v>45706</v>
      </c>
      <c r="C185">
        <v>0.75539350000000005</v>
      </c>
      <c r="D185">
        <v>0.8058071</v>
      </c>
    </row>
    <row r="186" spans="2:4" x14ac:dyDescent="0.25">
      <c r="B186" s="5">
        <v>45702</v>
      </c>
      <c r="C186">
        <v>0.81305503999999995</v>
      </c>
      <c r="D186">
        <v>4.2600629999999997</v>
      </c>
    </row>
    <row r="187" spans="2:4" x14ac:dyDescent="0.25">
      <c r="B187" s="5">
        <v>45701</v>
      </c>
      <c r="C187">
        <v>3.2638907000000001</v>
      </c>
      <c r="D187">
        <v>0.94407797000000004</v>
      </c>
    </row>
    <row r="188" spans="2:4" x14ac:dyDescent="0.25">
      <c r="B188" s="5">
        <v>45700</v>
      </c>
      <c r="C188">
        <v>-2.6481330000000001</v>
      </c>
      <c r="D188">
        <v>-1.2669921</v>
      </c>
    </row>
    <row r="189" spans="2:4" x14ac:dyDescent="0.25">
      <c r="B189" s="5">
        <v>45699</v>
      </c>
      <c r="C189">
        <v>0.59363840000000001</v>
      </c>
      <c r="D189">
        <v>-0.59009789999999995</v>
      </c>
    </row>
    <row r="190" spans="2:4" x14ac:dyDescent="0.25">
      <c r="B190" s="5">
        <v>45698</v>
      </c>
      <c r="C190">
        <v>-0.6547153</v>
      </c>
      <c r="D190">
        <v>0.46616793000000001</v>
      </c>
    </row>
    <row r="191" spans="2:4" x14ac:dyDescent="0.25">
      <c r="B191" s="5">
        <v>45695</v>
      </c>
      <c r="C191">
        <v>-1.7019331</v>
      </c>
      <c r="D191">
        <v>-2.8025687000000001</v>
      </c>
    </row>
    <row r="192" spans="2:4" x14ac:dyDescent="0.25">
      <c r="B192" s="5">
        <v>45694</v>
      </c>
      <c r="C192">
        <v>2.151084</v>
      </c>
      <c r="D192">
        <v>2.6017190000000001</v>
      </c>
    </row>
    <row r="193" spans="2:4" x14ac:dyDescent="0.25">
      <c r="B193" s="5">
        <v>45693</v>
      </c>
      <c r="C193">
        <v>-0.15878676999999999</v>
      </c>
      <c r="D193">
        <v>1.821804</v>
      </c>
    </row>
    <row r="194" spans="2:4" x14ac:dyDescent="0.25">
      <c r="B194" s="5">
        <v>45692</v>
      </c>
      <c r="C194">
        <v>0.92834234000000004</v>
      </c>
      <c r="D194">
        <v>-0.26004909999999998</v>
      </c>
    </row>
    <row r="195" spans="2:4" x14ac:dyDescent="0.25">
      <c r="B195" s="5">
        <v>45691</v>
      </c>
      <c r="C195">
        <v>-0.49710273999999999</v>
      </c>
      <c r="D195">
        <v>-0.67121980000000003</v>
      </c>
    </row>
    <row r="196" spans="2:4" x14ac:dyDescent="0.25">
      <c r="B196" s="5">
        <v>45688</v>
      </c>
      <c r="C196">
        <v>-1.3539612000000001</v>
      </c>
      <c r="D196">
        <v>-1.8610477000000001</v>
      </c>
    </row>
    <row r="197" spans="2:4" x14ac:dyDescent="0.25">
      <c r="B197" s="5">
        <v>45687</v>
      </c>
      <c r="C197">
        <v>-0.97332596999999998</v>
      </c>
      <c r="D197">
        <v>1.0701776000000001</v>
      </c>
    </row>
    <row r="198" spans="2:4" x14ac:dyDescent="0.25">
      <c r="B198" s="5">
        <v>45686</v>
      </c>
      <c r="C198">
        <v>0.90725420000000001</v>
      </c>
      <c r="D198">
        <v>5.194998</v>
      </c>
    </row>
    <row r="199" spans="2:4" x14ac:dyDescent="0.25">
      <c r="B199" s="5">
        <v>45685</v>
      </c>
      <c r="C199">
        <v>-0.17931461000000001</v>
      </c>
      <c r="D199">
        <v>-1.4164984</v>
      </c>
    </row>
    <row r="200" spans="2:4" x14ac:dyDescent="0.25">
      <c r="B200" s="5">
        <v>45684</v>
      </c>
      <c r="C200">
        <v>1.7988801000000001</v>
      </c>
      <c r="D200">
        <v>4.5000552999999996</v>
      </c>
    </row>
    <row r="201" spans="2:4" x14ac:dyDescent="0.25">
      <c r="B201" s="5">
        <v>45681</v>
      </c>
      <c r="C201">
        <v>2.8790236</v>
      </c>
      <c r="D201">
        <v>1.7260074999999999</v>
      </c>
    </row>
    <row r="202" spans="2:4" x14ac:dyDescent="0.25">
      <c r="B202" s="5">
        <v>45680</v>
      </c>
      <c r="C202">
        <v>-0.89644789999999996</v>
      </c>
      <c r="D202">
        <v>-3.3037722</v>
      </c>
    </row>
    <row r="203" spans="2:4" x14ac:dyDescent="0.25">
      <c r="B203" s="5">
        <v>45679</v>
      </c>
      <c r="C203">
        <v>-1.5830934000000001</v>
      </c>
      <c r="D203">
        <v>2.2237659000000001</v>
      </c>
    </row>
    <row r="204" spans="2:4" x14ac:dyDescent="0.25">
      <c r="B204" s="5">
        <v>45678</v>
      </c>
      <c r="C204">
        <v>0.76494216999999998</v>
      </c>
      <c r="D204">
        <v>5.8926105</v>
      </c>
    </row>
    <row r="205" spans="2:4" x14ac:dyDescent="0.25">
      <c r="B205" s="5">
        <v>45674</v>
      </c>
      <c r="C205">
        <v>1.3931274</v>
      </c>
      <c r="D205">
        <v>0.25064945</v>
      </c>
    </row>
    <row r="206" spans="2:4" x14ac:dyDescent="0.25">
      <c r="B206" s="5">
        <v>45673</v>
      </c>
      <c r="C206">
        <v>0.91286900000000004</v>
      </c>
      <c r="D206">
        <v>-1.0079563</v>
      </c>
    </row>
    <row r="207" spans="2:4" x14ac:dyDescent="0.25">
      <c r="B207" s="5">
        <v>45672</v>
      </c>
      <c r="C207">
        <v>2.3459791999999999</v>
      </c>
      <c r="D207">
        <v>1.94031</v>
      </c>
    </row>
    <row r="208" spans="2:4" x14ac:dyDescent="0.25">
      <c r="B208" s="5">
        <v>45671</v>
      </c>
      <c r="C208">
        <v>0.46070813999999999</v>
      </c>
      <c r="D208">
        <v>-2.6675344000000001</v>
      </c>
    </row>
    <row r="209" spans="2:4" x14ac:dyDescent="0.25">
      <c r="B209" s="5">
        <v>45670</v>
      </c>
      <c r="C209">
        <v>0.72590109999999997</v>
      </c>
      <c r="D209">
        <v>3.49164E-2</v>
      </c>
    </row>
    <row r="210" spans="2:4" x14ac:dyDescent="0.25">
      <c r="B210" s="5">
        <v>45667</v>
      </c>
      <c r="C210">
        <v>-7.9059242999999997</v>
      </c>
      <c r="D210">
        <v>-1.6273021999999999</v>
      </c>
    </row>
    <row r="211" spans="2:4" x14ac:dyDescent="0.25">
      <c r="B211" s="5">
        <v>45665</v>
      </c>
      <c r="C211">
        <v>-1.4296114</v>
      </c>
      <c r="D211">
        <v>-1.0029136999999999</v>
      </c>
    </row>
    <row r="212" spans="2:4" x14ac:dyDescent="0.25">
      <c r="B212" s="5">
        <v>45664</v>
      </c>
      <c r="C212">
        <v>-0.61856509999999998</v>
      </c>
      <c r="D212">
        <v>-0.58232545999999996</v>
      </c>
    </row>
    <row r="213" spans="2:4" x14ac:dyDescent="0.25">
      <c r="B213" s="5">
        <v>45663</v>
      </c>
      <c r="C213">
        <v>1.4539719</v>
      </c>
      <c r="D213">
        <v>-2.5399923000000002</v>
      </c>
    </row>
    <row r="214" spans="2:4" x14ac:dyDescent="0.25">
      <c r="B214" s="5">
        <v>45660</v>
      </c>
      <c r="C214">
        <v>-0.34683346999999998</v>
      </c>
      <c r="D214">
        <v>-0.15565156999999999</v>
      </c>
    </row>
    <row r="215" spans="2:4" x14ac:dyDescent="0.25">
      <c r="B215" s="5">
        <v>45659</v>
      </c>
      <c r="C215">
        <v>-0.50502420000000003</v>
      </c>
      <c r="D215">
        <v>3.182888E-3</v>
      </c>
    </row>
    <row r="216" spans="2:4" x14ac:dyDescent="0.25">
      <c r="B216" s="5">
        <v>45657</v>
      </c>
      <c r="C216">
        <v>4.41432E-2</v>
      </c>
      <c r="D216">
        <v>2.5439262000000001E-2</v>
      </c>
    </row>
    <row r="217" spans="2:4" x14ac:dyDescent="0.25">
      <c r="B217" s="5">
        <v>45656</v>
      </c>
      <c r="C217">
        <v>5.2917003999999997E-2</v>
      </c>
      <c r="D217">
        <v>-1.4598428999999999</v>
      </c>
    </row>
    <row r="218" spans="2:4" x14ac:dyDescent="0.25">
      <c r="B218" s="5">
        <v>45653</v>
      </c>
      <c r="C218">
        <v>0.79630612999999995</v>
      </c>
      <c r="D218">
        <v>-1.283598</v>
      </c>
    </row>
    <row r="219" spans="2:4" x14ac:dyDescent="0.25">
      <c r="B219" s="5">
        <v>45652</v>
      </c>
      <c r="C219">
        <v>4.4429301999999997E-2</v>
      </c>
      <c r="D219">
        <v>0.42535066999999999</v>
      </c>
    </row>
    <row r="220" spans="2:4" x14ac:dyDescent="0.25">
      <c r="B220" s="5">
        <v>45650</v>
      </c>
      <c r="C220">
        <v>-8.3255770000000007E-2</v>
      </c>
      <c r="D220">
        <v>-0.63892599999999999</v>
      </c>
    </row>
    <row r="221" spans="2:4" x14ac:dyDescent="0.25">
      <c r="B221" s="5">
        <v>45649</v>
      </c>
      <c r="C221">
        <v>-0.16320944000000001</v>
      </c>
      <c r="D221">
        <v>0.23673773000000001</v>
      </c>
    </row>
    <row r="222" spans="2:4" x14ac:dyDescent="0.25">
      <c r="B222" s="5">
        <v>45646</v>
      </c>
      <c r="C222">
        <v>2.0448208000000001</v>
      </c>
      <c r="D222">
        <v>3.4430265000000002</v>
      </c>
    </row>
    <row r="223" spans="2:4" x14ac:dyDescent="0.25">
      <c r="B223" s="5">
        <v>45645</v>
      </c>
      <c r="C223">
        <v>-3.1511366000000001</v>
      </c>
      <c r="D223">
        <v>2.2826076</v>
      </c>
    </row>
    <row r="224" spans="2:4" x14ac:dyDescent="0.25">
      <c r="B224" s="5">
        <v>45644</v>
      </c>
      <c r="C224">
        <v>-2.1087885000000002</v>
      </c>
      <c r="D224">
        <v>-1.1404692999999999</v>
      </c>
    </row>
    <row r="225" spans="2:4" x14ac:dyDescent="0.25">
      <c r="B225" s="5">
        <v>45643</v>
      </c>
      <c r="C225">
        <v>-1.0320604</v>
      </c>
      <c r="D225">
        <v>-1.548028</v>
      </c>
    </row>
    <row r="226" spans="2:4" x14ac:dyDescent="0.25">
      <c r="B226" s="5">
        <v>45642</v>
      </c>
      <c r="C226">
        <v>-0.31320452999999998</v>
      </c>
      <c r="D226">
        <v>-9.6678734000000002E-2</v>
      </c>
    </row>
    <row r="227" spans="2:4" x14ac:dyDescent="0.25">
      <c r="B227" s="5">
        <v>45639</v>
      </c>
      <c r="C227">
        <v>-0.96888540000000001</v>
      </c>
      <c r="D227">
        <v>-0.82076789999999999</v>
      </c>
    </row>
    <row r="228" spans="2:4" x14ac:dyDescent="0.25">
      <c r="B228" s="5">
        <v>45638</v>
      </c>
      <c r="C228">
        <v>-3.9256454000000001</v>
      </c>
      <c r="D228">
        <v>3.2298803</v>
      </c>
    </row>
    <row r="229" spans="2:4" x14ac:dyDescent="0.25">
      <c r="B229" s="5">
        <v>45637</v>
      </c>
      <c r="C229">
        <v>-1.6112328</v>
      </c>
      <c r="D229">
        <v>0.57940482999999998</v>
      </c>
    </row>
    <row r="230" spans="2:4" x14ac:dyDescent="0.25">
      <c r="B230" s="5">
        <v>45636</v>
      </c>
      <c r="C230">
        <v>-1.3604521999999999</v>
      </c>
      <c r="D230">
        <v>-1.1064708000000001</v>
      </c>
    </row>
    <row r="231" spans="2:4" x14ac:dyDescent="0.25">
      <c r="B231" s="5">
        <v>45635</v>
      </c>
      <c r="C231">
        <v>1.8821478</v>
      </c>
      <c r="D231">
        <v>-7.6246259999999996E-2</v>
      </c>
    </row>
    <row r="232" spans="2:4" x14ac:dyDescent="0.25">
      <c r="B232" s="5">
        <v>45632</v>
      </c>
      <c r="C232">
        <v>2.1742463000000001</v>
      </c>
      <c r="D232">
        <v>1.3765453999999999</v>
      </c>
    </row>
    <row r="233" spans="2:4" x14ac:dyDescent="0.25">
      <c r="B233" s="5">
        <v>45631</v>
      </c>
      <c r="C233">
        <v>-0.24725795</v>
      </c>
      <c r="D233">
        <v>1.7265676999999999</v>
      </c>
    </row>
    <row r="234" spans="2:4" x14ac:dyDescent="0.25">
      <c r="B234" s="5">
        <v>45630</v>
      </c>
      <c r="C234">
        <v>1.1327385999999999</v>
      </c>
      <c r="D234">
        <v>-2.5282442999999999</v>
      </c>
    </row>
    <row r="235" spans="2:4" x14ac:dyDescent="0.25">
      <c r="B235" s="5">
        <v>45629</v>
      </c>
      <c r="C235">
        <v>-0.31302570000000002</v>
      </c>
      <c r="D235">
        <v>2.3652791999999998</v>
      </c>
    </row>
    <row r="236" spans="2:4" x14ac:dyDescent="0.25">
      <c r="B236" s="5">
        <v>45628</v>
      </c>
      <c r="C236">
        <v>-0.43372512000000002</v>
      </c>
      <c r="D236">
        <v>2.1203875999999999</v>
      </c>
    </row>
    <row r="237" spans="2:4" x14ac:dyDescent="0.25">
      <c r="B237" s="5">
        <v>45625</v>
      </c>
      <c r="C237">
        <v>-0.27164817000000002</v>
      </c>
      <c r="D237">
        <v>2.0911932000000002</v>
      </c>
    </row>
    <row r="238" spans="2:4" x14ac:dyDescent="0.25">
      <c r="B238" s="5">
        <v>45623</v>
      </c>
      <c r="C238">
        <v>2.5894759999999999</v>
      </c>
      <c r="D238">
        <v>1.9550920000000001</v>
      </c>
    </row>
    <row r="239" spans="2:4" x14ac:dyDescent="0.25">
      <c r="B239" s="5">
        <v>45622</v>
      </c>
      <c r="C239">
        <v>-0.67550540000000003</v>
      </c>
      <c r="D239">
        <v>2.7080177999999999</v>
      </c>
    </row>
    <row r="240" spans="2:4" x14ac:dyDescent="0.25">
      <c r="B240" s="5">
        <v>45621</v>
      </c>
      <c r="C240">
        <v>2.0892978000000002</v>
      </c>
      <c r="D240">
        <v>1.7489672000000001</v>
      </c>
    </row>
    <row r="241" spans="2:4" x14ac:dyDescent="0.25">
      <c r="B241" s="5">
        <v>45618</v>
      </c>
      <c r="C241">
        <v>-0.81197023000000002</v>
      </c>
      <c r="D241">
        <v>2.9685616000000001</v>
      </c>
    </row>
    <row r="242" spans="2:4" x14ac:dyDescent="0.25">
      <c r="B242" s="5">
        <v>45617</v>
      </c>
      <c r="C242">
        <v>-1.6582549</v>
      </c>
      <c r="D242">
        <v>-8.7368489999999993E-2</v>
      </c>
    </row>
    <row r="243" spans="2:4" x14ac:dyDescent="0.25">
      <c r="B243" s="5">
        <v>45616</v>
      </c>
      <c r="C243">
        <v>-1.4814556000000001</v>
      </c>
      <c r="D243">
        <v>-0.78862905999999999</v>
      </c>
    </row>
    <row r="244" spans="2:4" x14ac:dyDescent="0.25">
      <c r="B244" s="5">
        <v>45615</v>
      </c>
      <c r="C244">
        <v>-1.0893105999999999</v>
      </c>
      <c r="D244">
        <v>1.0450244</v>
      </c>
    </row>
    <row r="245" spans="2:4" x14ac:dyDescent="0.25">
      <c r="B245" s="5">
        <v>45614</v>
      </c>
      <c r="C245">
        <v>8.1288815E-2</v>
      </c>
      <c r="D245">
        <v>0.32998323000000002</v>
      </c>
    </row>
    <row r="246" spans="2:4" x14ac:dyDescent="0.25">
      <c r="B246" s="5">
        <v>45611</v>
      </c>
      <c r="C246">
        <v>0.54143669999999999</v>
      </c>
      <c r="D246">
        <v>0.56880710000000001</v>
      </c>
    </row>
    <row r="247" spans="2:4" x14ac:dyDescent="0.25">
      <c r="B247" s="5">
        <v>45610</v>
      </c>
      <c r="C247">
        <v>0.29467344000000001</v>
      </c>
      <c r="D247">
        <v>-0.62478184999999997</v>
      </c>
    </row>
    <row r="248" spans="2:4" x14ac:dyDescent="0.25">
      <c r="B248" s="5">
        <v>45609</v>
      </c>
      <c r="C248">
        <v>-2.119875</v>
      </c>
      <c r="D248">
        <v>-1.2875080000000001</v>
      </c>
    </row>
    <row r="249" spans="2:4" x14ac:dyDescent="0.25">
      <c r="B249" s="5">
        <v>45608</v>
      </c>
      <c r="C249">
        <v>-3.53477</v>
      </c>
      <c r="D249">
        <v>-0.67641735000000003</v>
      </c>
    </row>
    <row r="250" spans="2:4" x14ac:dyDescent="0.25">
      <c r="B250" s="5">
        <v>45607</v>
      </c>
      <c r="C250">
        <v>-6.7889689999999997E-3</v>
      </c>
      <c r="D250">
        <v>-1.9386232000000001</v>
      </c>
    </row>
    <row r="251" spans="2:4" x14ac:dyDescent="0.25">
      <c r="B251" s="5">
        <v>45604</v>
      </c>
      <c r="C251">
        <v>-3.0215619999999999</v>
      </c>
      <c r="D251">
        <v>-1.7586767999999999</v>
      </c>
    </row>
    <row r="252" spans="2:4" x14ac:dyDescent="0.25">
      <c r="B252" s="5">
        <v>45603</v>
      </c>
      <c r="C252">
        <v>1.1089087</v>
      </c>
      <c r="D252">
        <v>4.1551229999999997</v>
      </c>
    </row>
    <row r="253" spans="2:4" x14ac:dyDescent="0.25">
      <c r="B253" s="5">
        <v>45602</v>
      </c>
      <c r="C253">
        <v>-1.4730036</v>
      </c>
      <c r="D253">
        <v>-2.0589887999999998</v>
      </c>
    </row>
    <row r="254" spans="2:4" x14ac:dyDescent="0.25">
      <c r="B254" s="5">
        <v>45601</v>
      </c>
      <c r="C254">
        <v>-6.0891923999999999</v>
      </c>
      <c r="D254">
        <v>-0.12216568</v>
      </c>
    </row>
    <row r="255" spans="2:4" x14ac:dyDescent="0.25">
      <c r="B255" s="5">
        <v>45600</v>
      </c>
      <c r="C255">
        <v>0.50854679999999997</v>
      </c>
      <c r="D255">
        <v>0.63154699999999997</v>
      </c>
    </row>
    <row r="256" spans="2:4" x14ac:dyDescent="0.25">
      <c r="B256" s="5">
        <v>45597</v>
      </c>
      <c r="C256">
        <v>-0.51373840000000004</v>
      </c>
      <c r="D256">
        <v>-3.2659888000000001</v>
      </c>
    </row>
    <row r="257" spans="2:4" x14ac:dyDescent="0.25">
      <c r="B257" s="5">
        <v>45596</v>
      </c>
      <c r="C257">
        <v>-0.73977709999999997</v>
      </c>
      <c r="D257">
        <v>1.3457298</v>
      </c>
    </row>
    <row r="258" spans="2:4" x14ac:dyDescent="0.25">
      <c r="B258" s="5"/>
    </row>
    <row r="259" spans="2:4" x14ac:dyDescent="0.25">
      <c r="B259" s="5"/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880874"><![CDATA[{"ADEN-CH^CORREL(P_PRICE_RETURNS(0,45961,45961-1AY,D,USD),VALUE('9404-JP',P_PRICE_RETURNS(0,45961,45961-1AY,D,USD)))":0.175435631069165,"9404-JP^P_PRICE_RETURNS(0,45961,45961-1AY,D,USD)":[1.481235,-1.7723382,-1.3668656,-0.25761127,0.13417006,0.8019686,0.2981305,0.18209219,-0.67558885,1.9166231,-0.12831688,-0.06597638,-0.98713636,0.51168203,0.036096573,-2.2437215,-1.120019,-1.6994834,-0.7166922,0.47632456,0.8867264,-4.1393757,-0.8432746,1.1559725,-0.7544577,0.69429874,-0.73363185,-0.79580545,0.06767511,-0.81180334,-1.6031027,-1.3047695,-0.48071742,1.8997431,0.16957521,-2.3040473,0.052547455,-0.4991114,3.1282663,1.5260458,1.7557383,-0.020760298,-1.5769362,1.8613338,0.7067323,0.049853325,-0.03359914,-0.34198165,-1.4755607,1.8274188,-0.117468834,-0.70991516,3.76364,0.22422075,-0.27261972,-0.51832795,-0.18756986,2.6527286,-0.15534163,0.93574524,1.6974568,-0.24356246,3.1515002,0.7539034,7.5800896,-0.9763956,0.31455755,0.6591916,-2.4104536,-1.4399529,0.73361397,1.0497928,1.7580509,0.73262453,2.7627826,1.5826344,1.6598105,-0.0136733055,-0.37736893,-1.3950229,0.5967021,1.5718102,-1.8043041,-1.1497021,-6.7846894,-2.9087782,0.54872036,2.011919,-0.96343756,2.2975087,-1.1334777,1.6259193,-0.059765577,-1.7330348,3.0294418,-2.9973567,2.2840858,-0.27056336,0.82832575,0.0034570694,-0.7001221,0.2524376,-0.97314715,-1.0030568,0.1654625,-1.5132248,1.0641098,-0.61782,0.49780607,-0.42893887,0.36110878,4.206109,-1.5025437,1.6119599,-1.0647476,1.0231018,3.2929778,-1.5240788,-2.1904945,-1.9888937,0.19302368,-1.8080354,-0.6916046,0.85681677,0.6510854,0.15997887,-0.3385365,-2.234888,-0.21952987,0.3406644,0.7229686,0.052440166,-4.1006384,-2.4164617,1.4749885,8.949018,1.8160105,0.8407712,-1.2182593,0.11342764,0.82086325,4.5773745,1.7007947,4.4513702,-7.946229,-1.8498302,4.583919,-1.0445118,2.021277,-1.8544674,-0.5105078,0.6385565,0.92761517,0.94558,-1.8028915,0.23998022,0.78594685,0.61182976,0.9709954,0.92287064,0.8942604,1.4496088,0.9902358,-0.7819116,-0.73822737,0.27401447,1.226902,0.33621788,1.56672,2.6606798,-1.9574285,-0.56954026,-0.31596422,0.9422302,0.17414093,-0.014728308,-0.029450655,-3.3567727,0.8058071,4.260063,0.94407797,-1.2669921,-0.5900979,0.46616793,-2.8025687,2.601719,1.821804,-0.2600491,-0.6712198,-1.8610477,1.0701776,5.194998,-1.4164984,4.5000553,1.7260075,-3.3037722,2.2237659,5.8926105,0.25064945,-1.0079563,1.94031,-2.6675344,0.0349164,-1.6273022,-1.0029137,-0.58232546,-2.5399923,-0.15565157,0.003182888,0.025439262,-1.4598429,-1.283598,0.42535067,-0.638926,0.23673773,3.4430265,2.2826076,-1.1404693,-1.548028,-0.096678734,-0.8207679,3.2298803,0.57940483,-1.1064708,-0.07624626,1.3765454,1.7265677,-2.5282443,2.3652792,2.1203876,2.0911932,1.955092,2.7080178,1.7489672,2.9685616,-0.08736849,-0.78862906,1.0450244,0.32998323,0.5688071,-0.62478185,-1.287508,-0.67641735,-1.9386232,-1.7586768,4.155123,-2.0589888,-0.12216568,0.631547,-3.2659888,1.3457298],"ADEN-CH^P_PRICE_RETURNS(0,45961,45961-1AY,D,USD)":[1.8202305,-1.9320071,-1.0120809,0.026500225,-0.8556962,1.7183542,0.39188862,-5.203253,0.5062461,-1.3189375,-1.6785085,-0.79361796,1.8190145,-2.0232558,0.72711706,-2.1021903,4.0310264,2.0020366,-1.1036396,1.2773633,1.2650728,-0.92149377,3.4820557,-1.1042058,1.3941526,1.7757535,-2.6607454,5.1317334,0.846529,2.2218227,-1.2111604,-3.0165493,0.008118153,-4.1167736,-0.28595924,0.43821335,0.43091774,-1.2122452,-1.141268,-1.739949,-3.656298,0.10441542,1.808846,-6.6762924,0.8481741,0.5526066,-1.6266465,-3.1865835,-1.1515319,3.5834312,-1.8691659,-0.37709475,3.6943555,-0.9388864,-0.14839172,-0.6250739,0.123012066,-0.7132709,-1.8096983,1.7258286,5.689943,3.094411,-2.5939882,-3.3237576,0.6819129,-0.84120035,-0.80201626,-2.7853727,-1.0212958,2.6332617,1.6644716,1.6375422,-1.5266836,-1.1549652,2.1070123,0.7672787,-0.68259835,0.63385963,-0.37976503,-2.866006,1.7081141,1.2643695,1.7271757,-1.2218893,0.4683137,4.2440414,1.5427351,0.10634661,1.5831709,3.7000775,-1.8214643,4.596615,-1.4683545,-4.678625,-0.26899576,-0.68413615,2.299738,-2.040851,0.55880547,1.8869638,6.201601,0.19471645,-1.4799595,-0.91507435,0.1670599,-0.62628984,-1.0620654,1.7935991,0.18795729,-2.338767,2.5044322,-2.1053076,-2.2271454,-1.0249972,2.5246263,0.73723793,-1.3644278,-0.62660575,-1.7038167,0.23765564,3.5124898,0.21408796,10.768175,-1.6437471,0.11152029,-2.4099946,2.1313906,-1.2735009,-0.34104586,-1.2347639,1.355505,-0.62452555,-1.2060821,-1.0742009,0.6042242,1.5103698,-2.2681534,-0.9206176,1.0723472,2.8991342,0.55953264,5.933559,-3.6640167,2.600336,-8.54128,-5.7921705,-3.850311,-2.0392478,2.5143266,-3.639108,-0.3359139,0.7525563,1.4208674,-0.0371933,0.49551725,-5.5273056,-4.2259574,-0.9178877,3.746152,1.6869307,5.5975556,-1.2056231,0.4467845,-1.7571092,-0.15500784,-0.97758174,8.716213,8.651352,-2.2449255,1.0118127,-0.81043243,-4.904789,12.283432,-2.0190775,1.1461377,2.778399,2.8265595,-1.4927626,0.7553935,0.81305504,3.2638907,-2.648133,0.5936384,-0.6547153,-1.7019331,2.151084,-0.15878677,0.92834234,-0.49710274,-1.3539612,-0.97332597,0.9072542,-0.17931461,1.7988801,2.8790236,-0.8964479,-1.5830934,0.76494217,1.3931274,0.912869,2.3459792,0.46070814,0.7259011,-7.9059243,-1.4296114,-0.6185651,1.4539719,-0.34683347,-0.5050242,0.0441432,0.052917004,0.79630613,0.044429302,-0.08325577,-0.16320944,2.0448208,-3.1511366,-2.1087885,-1.0320604,-0.31320453,-0.9688854,-3.9256454,-1.6112328,-1.3604522,1.8821478,2.1742463,-0.24725795,1.1327386,-0.3130257,-0.43372512,-0.27164817,2.589476,-0.6755054,2.0892978,-0.81197023,-1.6582549,-1.4814556,-1.0893106,0.081288815,0.5414367,0.29467344,-2.119875,-3.53477,-0.006788969,-3.021562,1.1089087,-1.4730036,-6.0891924,0.5085468,-0.5137384,-0.7397771],"ADEN-CH^JULIAN(FG_PRICE(45961,45961-1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],"^PSETCAL(\"NAY\",,\"NAME\")":"calendar: United States","^FG_COMPANY_NAME":null,"^PROPER_NAME":null,"PETR4-BR^PROPER_NAME":"Petroleo Brasileiro SA Pfd","9433-JP^PROPER_NAME":"KDDI Corporation","NWG-GB^PROPER_NAME":"NatWest Group Plc","UCG-IT^PROPER_NAME":"UniCredit S.p.A.","HSBA-GB^PROPER_NAME":"HSBC Holdings Plc","EVK-DE^PROPER_NAME":"Evonik Industries AG","RIO-GB^PROPER_NAME":"Rio Tinto plc","9988-HK^PROPER_NAME":"Alibaba Group Holding Limited","RNO-FR^PROPER_NAME":"Renault SA","KER-FR^PROPER_NAME":"Kering SA","LHA-DE^PROPER_NAME":"Deutsche Lufthansa AG","REP-ES^PROPER_NAME":"Repsol SA","ENI-IT^PROPER_NAME":"Eni S.p.A.","VOW3-DE^PROPER_NAME":"Volkswagen AG Pref","OMV-AT^PROPER_NAME":"OMV AG","914-HK^PROPER_NAME":"Anhui Conch Cement Company Limited Class H","TX-US^PROPER_NAME":"Ternium S.A. Sponsored ADR","CA-FR^PROPER_NAME":"Carrefour SA","BAS-DE^PROPER_NAME":"BASF SE","6963-JP^PROPER_NAME":"ROHM Company Limited","7459-JP^PROPER_NAME":"MEDIPAL HOLDINGS Corporation","BLND-GB^PROPER_NAME":"British Land Company PLC","BRBY-GB^PROPER_NAME":"Burberry Group plc","5108-JP^PROPER_NAME":"Bridgestone Corporation","AAL-GB^PROPER_NAME":"Anglo American plc","CS-FR^PROPER_NAME":"AXA SA","BNP-FR^PROPER_NAME":"BNP Paribas S.A. Class A","RAND-NL^PROPER_NAME":"Randstad NV","4324-JP^PROPER_NAME":"Dentsu Group Inc.","UHR-CH^PROPER_NAME":"Swatch Group Ltd. Bearer","6752-JP^PROPER_NAME":"Panasonic Holdings Corporation","WPP-GB^PROPER_NAME":"WPP Plc","IMB-GB^PROPER_NAME":"Imperial Brands PLC","GLE-FR^PROPER_NAME":"Societe Generale S.A. Class A","TSCO-GB^PROPER_NAME":"Tesco PLC","ABN-NL^PROPER_NAME":"ABN AMRO Bank N.V. Depositary receipts","AGS-BE^PROPER_NAME":"ageas SA/NV","AD-NL^PROPER_NAME":"Koninklijke Ahold Delhaize N.V.","BIRG-IE^PROPER_NAME":"Bank of Ireland Group Plc","STAN-GB^PROPER_NAME":"Standard Chartered PLC","055550-KR^PROPER_NAME":"Shinhan Financial Group Co., Ltd.","BATS-GB^PROPER_NAME":"British American Tobacco p.l.c.","9404-JP^PROPER_NAME":"Nippon Television Holdings, Inc.","105560-KR^PROPER_NAME":"KB Financial Group Inc.","HEN3-DE^PROPER_NAME":"Henkel AG & Co. KGaA Pref","VOD-GB^PROPER_NAME":"Vodafone Group Public Limited Company","BT.A-GB^PROPER_NAME":"BT Group plc","PRU-GB^PROPER_NAME":"Prudential plc","ROG-CH^PROPER_NAME":"Roche Holding Ltd Dividend Right Cert.","SAN-FR^PROPER_NAME":"Sanofi SA","BARC-GB^PROPER_NAME":"Barclays PLC","CON-DE^PROPER_NAME":"Continental AG","GSK-GB^PROPER_NAME":"GSK plc","2317-TW^PROPER_NAME":"Hon Hai Precision Industry Co., Ltd.","DUMMY^CORREL_MATRIX(CORRELMATRIX)":[[1.0,0.2511219,0.24445716,0.26918617,0.21421039,0.3059534,0.2709009,0.20262066,0.097493716,0.2761756,0.2792872,0.05769677,0.00932376,0.32412335,0.27744535,0.3024292,0.15374705,0.23169257,0.23839998,0.042678997,0.20377573,0.00065575226,0.22910605,0.2613799,0.19546789,0.17681465,0.3262605,0.23799117,0.23996168,0.26287225,0.25905004,0.13056317,0.25532448,0.1422874,0.36454055,0.29286292,0.15665248,0.030743906,-0.016310379,0.13457458,0.26559377,0.2868719,0.18389446,0.25363845,0.23201849,0.24100028,0.19976975,0.25497332,0.18015303,0.29679167,0.2343548,0.18913771,0.09048745,0.093344085],[0.2511219,1.0,0.16358162,0.2191718,0.5905112,0.62689924,0.24672619,0.38621086,0.4080772,0.36851835,0.16887173,0.23129733,0.30663174,0.23434864,0.19595352,0.27419347,0.33582336,0.35078043,0.23431805,0.24602728,0.16200371,0.29874682,0.2308224,0.3458712,0.25490752,0.29724488,0.2508691,0.26562053,0.31911245,0.21891186,0.31933624,0.14052382,0.4560122,0.2759276,0.24200404,0.25432807,0.17794839,0.028160607,0.1540144,0.22465105,0.19215138,0.29637152,0.19436954,0.17567089,0.16766565,0.068505,0.09755539,0.2927333,0.2764306,0.22627562,0.2406009,0.2540668,0.22046214,0.06608879],[0.24445716,0.16358162,1.0,0.3711415,0.2752671,0.24799724,0.39079306,0.12259447,0.17855693,0.2630324,0.08333934,0.105130285,-0.035203863,0.122267865,0.2604606,0.36773494,0.20681098,0.3058407,0.3743705,0.010998653,0.30691358,0.042965557,0.25343263,0.21095307,0.37131888,0.09728061,0.4304101,0.37498516,0.33425826,0.34029338,0.2785199,0.2718546,0.2786941,0.21198398,0.2953655,0.61608404,0.25645226,0.14841971,0.046682116,0.31213072,0.5646186,0.43204236,0.32520387,0.46846965,0.37106308,0.40668523,0.15927061,0.26503932,0.57226044,0.26819327,0.42777783,0.30635387,0.09381977,0.12121844],[0.26918617,0.2191718,0.3711415,1.0,0.22788298,0.24493213,0.58308846,0.20440012,0.26080424,0.15249099,0.2274982,0.09965538,0.16391128,0.23482536,0.6944543,0.5542298,0.1689373,0.48482448,0.55726504,0.099806525,0.5869655,0.14960673,0.34431234,0.28807026,0.29059827,0.13128872,0.49388105,0.630362,0.55104357,0.47747213,0.3058566,0.2520085,0.33687627,0.09167262,0.24304955,0.4381573,0.16361754,0.20434867,0.14547618,0.32413688,0.32338428,0.36867028,0.35822877,0.3968315,0.24215744,0.25575745,0.22378974,0.3675775,0.42238843,0.6953295,0.6445455,0.811219,0.007626706,0.07007951],[0.21421039,0.5905112,0.2752671,0.22788298,1.0,0.59456414,0.24622768,0.2790059,0.35762453,0.3621981,0.14281468,0.24441767,0.18713176,0.1861144,0.21109301,0.2967694,0.2942744,0.35786352,0.30823216,0.13569726,0.18180744,0.19068079,0.2555874,0.3245382,0.3231531,0.24430111,0.29865968,0.3054061,0.3648552,0.28785595,0.35153133,0.231974,0.42130694,0.27971545,0.31579438,0.37872767,0.2777503,0.053371355,0.12667677,0.30972564,0.3230983,0.3109841,0.24231547,0.25353044,0.2764172,0.2193862,0.18439248,0.31627488,0.36912435,0.2765213,0.28518787,0.27976257,0.21230635,0.09191695],[0.3059534,0.62689924,0.24799724,0.24493213,0.59456414,1.0,0.29720554,0.30589852,0.34337655,0.43670988,0.1409905,0.26495904,0.21382053,0.17885596,0.24121784,0.2458529,0.3920304,0.3945358,0.30680788,0.2490845,0.19422026,0.24666187,0.28441343,0.37882358,0.32516578,0.28618076,0.27231407,0.3531811,0.40861347,0.28920132,0.4093854,0.17012271,0.44010666,0.34353572,0.34340277,0.32252553,0.16803987,0.037919573,0.10767474,0.2290546,0.24821465,0.30922145,0.2200992,0.23151408,0.18430355,0.2362203,0.14802548,0.32472026,0.3227411,0.31336716,0.32305023,0.24329782,0.2384902,0.052354716],[0.2709009,0.24672619,0.39079306,0.58308846,0.24622768,0.29720554,1.0,0.2765267,0.2810809,0.26156738,0.15758054,0.14538102,0.1606878,0.18350135,0.528024,0.46300212,0.17992984,0.51133937,0.47655067,0.09600114,0.4595731,0.21039611,0.3898072,0.14573197,0.36116818,0.20794371,0.44482467,0.4984764,0.5281465,0.5302485,0.27537027,0.36346978,0.40539667,0.15529096,0.32406166,0.53837925,0.14638172,0.3156107,0.17944498,0.34154293,0.38000038,0.47789118,0.47337073,0.42501935,0.39400396,0.29374543,0.26271802,0.51633465,0.4482785,0.5599375,0.4949371,0.49629316,-0.056444313,0.1841284],[0.20262066,0.38621086,0.12259447,0.20440012,0.2790059,0.30589852,0.2765267,1.0,0.59541434,0.33210444,0.08312402,0.20757487,0.36080942,0.13065301,0.16872405,0.24353985,0.37719905,0.42979074,0.17759924,0.32320285,0.1930194,0.39652526,0.23614803,0.2113672,0.15297565,0.2335877,0.20549737,0.273523,0.34060767,0.10892605,0.2677907,0.04257386,0.41969043,0.26672912,0.22344452,0.15928228,0.21711294,0.028060826,0.056736536,0.18524307,0.13439295,0.32297498,0.265722,0.20675087,0.06513306,0.08009359,0.0038530556,0.16638061,0.220829,0.17380139,0.22433533,0.33527634,0.13261673,0.096641935],[0.097493716,0.4080772,0.17855693,0.26080424,0.35762453,0.34337655,0.2810809,0.59541434,1.0,0.3196725,0.015972981,0.24309766,0.3936254,0.11296586,0.18427016,0.24788369,0.41040674,0.43407068,0.2542516,0.28357476,0.23018886,0.42372853,0.25300652,0.20037942,0.26265004,0.19262981,0.18526334,0.25548968,0.357519,0.18954273,0.25873458,0.055779677,0.4280298,0.2234625,0.16698833,0.21865244,0.31774324,0.108577944,0.167007,0.23735818,0.12605022,0.29318658,0.21668963,0.2732042,0.157218,0.06199263,0.013563165,0.24280508,0.25139627,0.25410113,0.24664809,0.32627255,0.102110706,0.043362662],[0.2761756,0.36851835,0.2630324,0.15249099,0.3621981,0.43670988,0.26156738,0.33210444,0.3196725,1.0,0.13936359,0.27058423,0.16850787,0.14111084,0.17581394,0.34396988,0.38726735,0.33134356,0.3101503,0.23535341,0.19174223,0.2827101,0.29728222,0.27129704,0.2563179,0.28702724,0.34003845,0.34853056,0.35790813,0.26448482,0.3486187,0.15527445,0.37367842,0.35317433,0.1998292,0.39582807,0.31011721,0.0029858092,0.16243285,0.22612743,0.3485456,0.2829464,0.2505848,0.4055005,0.22988197,0.24763742,0.17048614,0.3343653,0.39978948,0.21580192,0.30033737,0.17272341,0.23711915,0.040177863],[0.2792872,0.16887173,0.08333934,0.2274982,0.14281468,0.1409905,0.15758054,0.08312402,0.015972981,0.13936359,1.0,0.08193663,-0.009984309,0.7909216,0.22081926,0.16288204,0.12353887,0.13976435,0.0799946,-0.00029537576,0.020917341,0.018698664,0.23014589,0.18813114,0.14656678,0.07345233,0.28133366,0.18259466,0.16404776,0.23542531,0.23266354,0.08172505,0.20306657,0.17813039,0.21107449,0.14662594,0.065998755,0.117728055,0.08838433,-0.021602994,0.14651273,0.20412068,0.17868339,0.123900175,0.13136731,0.10250765,0.22861181,0.13818759,0.13018793,0.16425037,0.15625001,0.12784481,0.23072533,0.082051314],[0.05769677,0.23129733,0.105130285,0.09965538,0.24441767,0.26495904,0.14538102,0.20757487,0.24309766,0.27058423,0.08193663,1.0,0.23916315,0.044750277,0.016981214,0.1617123,0.27294004,0.30260155,0.1000748,0.14474975,0.12904517,0.29296362,0.1566596,0.32688093,0.2028914,0.29419872,0.21292174,0.11496535,0.16225684,0.16923365,0.4699483,0.07854787,0.26281947,0.547751,0.25157738,0.20976432,0.14224622,0.039051194,0.14397705,0.20232314,0.14918454,0.18004538,0.12029586,0.19683449,0.17798015,0.069902845,0.13757965,0.21731067,0.20375265,0.12965497,0.169486,0.104696594,0.46910724,0.08368505],[0.00932376,0.30663174,-0.035203863,0.16391128,0.18713176,0.21382053,0.1606878,0.36080942,0.3936254,0.16850787,-0.009984309,0.23916315,1.0,0.017160218,0.052258138,0.13396566,0.30847242,0.3752576,0.20378281,0.32593262,0.2206401,0.648836,0.09883254,0.12571628,0.05776715,0.15091081,0.10077234,0.17820512,0.27055702,0.0019894002,0.1732416,0.025661021,0.27103207,0.19139676,0.06914001,-0.05996301,0.14272022,-0.03806321,0.15754732,0.12112467,-0.06118309,0.18597619,0.101451896,0.01694293,-0.014069495,-0.07146646,-0.099539764,0.093751,0.07784206,0.107084066,0.1400503,0.19602941,0.109647505,0.014801277],[0.32412335,0.23434864,0.122267865,0.23482536,0.1861144,0.17885596,0.18350135,0.13065301,0.11296586,0.14111084,0.7909216,0.044750277,0.017160218,1.0,0.26975968,0.15862134,0.16991493,0.14354035,0.08533086,0.023137782,0.04225017,0.07219264,0.23975208,0.1992495,0.17663279,0.10007403,0.2647177,0.19425324,0.17965929,0.21683453,0.16971618,0.13410823,0.18901707,0.114766166,0.23356119,0.17856295,0.15046673,0.004412793,0.112520434,-0.045712445,0.14959607,0.1914898,0.12227142,0.14057696,0.20874584,0.07653706,0.21467103,0.1645062,0.15121284,0.13743028,0.18710613,0.17943506,0.14450774,0.032514144],[0.27744535,0.19595352,0.2604606,0.6944543,0.21109301,0.24121784,0.528024,0.16872405,0.18427016,0.17581394,0.22081926,0.016981214,0.052258138,0.26975968,1.0,0.46893924,0.016887756,0.2988954,0.4366007,-0.012362991,0.4221021,0.060187444,0.22438721,0.23885477,0.29591697,0.16750917,0.3944556,0.48735374,0.32009783,0.44546017,0.20918179,0.25338206,0.21243961,0.031924557,0.19671798,0.3823146,0.055297602,0.1992276,0.12128378,0.23282856,0.3000822,0.30500755,0.31501976,0.30551195,0.28268042,0.16931252,0.2924081,0.38074735,0.3043383,0.72589785,0.5202578,0.5685333,-0.08121929,0.08168364],[0.3024292,0.27419347,0.36773494,0.5542298,0.2967694,0.2458529,0.46300212,0.24353985,0.24788369,0.34396988,0.16288204,0.1617123,0.13396566,0.15862134,0.46893924,1.0,0.17257744,0.48384902,0.6429047,0.048517514,0.56121606,0.16456148,0.21885937,0.2665567,0.33111787,0.16200134,0.45053408,0.6233896,0.459231,0.48128855,0.3031264,0.26996332,0.32110173,0.15477751,0.2757345,0.5188133,0.30553922,0.14070487,0.13535625,0.3498475,0.52461916,0.3435711,0.3405703,0.45550716,0.28817487,0.24219123,0.27762565,0.4000175,0.51787955,0.534473,0.6185447,0.5065876,0.024644012,0.124135286],[0.15374705,0.33582336,0.20681098,0.1689373,0.2942744,0.3920304,0.17992984,0.37719905,0.41040674,0.38726735,0.12353887,0.27294004,0.30847242,0.16991493,0.016887756,0.17257744,1.0,0.47213304,0.13689572,0.4590705,0.16388401,0.42838022,0.30435523,0.2149124,0.14456657,0.30004922,0.2713902,0.24740052,0.44366995,0.1062748,0.29215837,0.09561953,0.40769058,0.37051836,0.14890496,0.21321878,0.418656,-0.033967476,0.12761725,0.20349069,0.21220171,0.26860437,0.10452,0.14664164,0.06226985,0.1304197,-0.044319745,0.18623486,0.28211477,0.15434521,0.15272357,0.2244967,0.27864626,0.0877516],[0.23169257,0.35078043,0.3058407,0.48482448,0.35786352,0.3945358,0.51133937,0.42979074,0.43407068,0.33134356,0.13976435,0.30260155,0.3752576,0.14354035,0.2988954,0.48384902,0.47213304,1.0,0.49188352,0.27058357,0.48520765,0.41761142,0.2622834,0.2904903,0.24272637,0.27564684,0.42812547,0.54407173,0.68612504,0.31312713,0.33341545,0.280762,0.5145791,0.37190944,0.24686998,0.3886375,0.36957544,0.098456964,0.22153173,0.42305544,0.351175,0.46017885,0.34658408,0.34923157,0.23835419,0.25837216,0.11456311,0.32978255,0.45624098,0.443226,0.5540081,0.47647947,0.18985726,0.1198319],[0.23839998,0.23431805,0.3743705,0.55726504,0.30823216,0.30680788,0.47655067,0.17759924,0.2542516,0.3101503,0.0799946,0.1000748,0.20378281,0.08533086,0.4366007,0.6429047,0.13689572,0.49188352,1.0,0.014430687,0.5661483,0.10618144,0.16895378,0.1853557,0.21756436,0.14110576,0.3957741,0.615988,0.49858105,0.41202164,0.25374144,0.19331512,0.2521979,0.073411405,0.21842164,0.43226722,0.23980747,0.19950083,0.14443989,0.34375894,0.35805833,0.33699006,0.348527,0.40299776,0.2307381,0.26141375,0.22415507,0.39388356,0.47726482,0.49590677,0.6074226,0.49742872,-0.010432412,0.13231309],[0.042678997,0.24602728,0.010998653,0.099806525,0.13569726,0.2490845,0.09600114,0.32320285,0.28357476,0.23535341,-0.00029537576,0.14474975,0.32593262,0.023137782,-0.012362991,0.048517514,0.4590705,0.27058357,0.014430687,1.0,0.0124586485,0.3865225,0.1657382,0.07855782,0.015129197,0.11516703,-0.027158432,0.013797424,0.26490197,0.02452575,0.11290042,0.09142956,0.31499085,0.17622137,0.054147013,0.030308262,0.2358155,-0.0138567565,0.042721353,0.09476541,0.031262238,0.09737477,0.09398404,-0.016569003,0.0720816,0.08316313,0.029294983,0.05916868,0.12208571,0.043537624,-0.021926235,0.22453077,0.075990595,-0.022508642],[0.20377573,0.16200371,0.30691358,0.5869655,0.18180744,0.19422026,0.4595731,0.1930194,0.23018886,0.19174223,0.020917341,0.12904517,0.2206401,0.04225017,0.4221021,0.56121606,0.16388401,0.48520765,0.5661483,0.0124586485,1.0,0.22058967,0.19747297,0.1696919,0.3203617,0.11358111,0.4051682,0.6688892,0.5741227,0.37778002,0.24262643,0.17240506,0.20630194,0.099178985,0.20838684,0.46770686,0.29008836,0.18376306,0.13467826,0.2655113,0.36364892,0.31881973,0.25133297,0.42848253,0.23402573,0.26373398,0.10313499,0.28421748,0.47260174,0.48263764,0.6616389,0.5193174,-0.041177314,0.10391598],[0.00065575226,0.29874682,0.042965557,0.14960673,0.19068079,0.24666187,0.21039611,0.39652526,0.42372853,0.2827101,0.018698664,0.29296362,0.648836,0.07219264,0.060187444,0.16456148,0.42838022,0.41761142,0.10618144,0.3865225,0.22058967,1.0,0.16244708,0.22805749,0.10443455,0.12949663,0.13138045,0.16295005,0.34010366,0.14325514,0.23387443,-0.035711113,0.35227284,0.35498595,0.05179342,0.050698124,0.17381921,0.006882719,0.11807197,0.13913848,0.0023682953,0.21145596,0.14293362,0.07834167,0.092363246,0.023706472,-0.075431265,0.19185518,0.13924001,0.18473953,0.13394189,0.20564823,0.120123975,0.0690842],[0.22910605,0.2308224,0.25343263,0.34431234,0.2555874,0.28441343,0.3898072,0.23614803,0.25300652,0.29728222,0.23014589,0.1566596,0.09883254,0.23975208,0.22438721,0.21885937,0.30435523,0.2622834,0.16895378,0.1657382,0.19747297,0.16244708,1.0,0.23764698,0.34078768,0.1588749,0.38372114,0.2222746,0.32506016,0.3292838,0.22311498,0.3289392,0.3428977,0.17007229,0.19632392,0.2867997,0.18265869,0.12901053,-0.012453889,0.17896228,0.25523067,0.32921186,0.3036693,0.1721558,0.3043333,0.2162348,0.20742819,0.30482277,0.27623916,0.29896647,0.17554379,0.26913968,0.1196917,0.18756348],[0.2613799,0.3458712,0.21095307,0.28807026,0.3245382,0.37882358,0.14573197,0.2113672,0.20037942,0.27129704,0.18813114,0.32688093,0.12571628,0.1992495,0.23885477,0.2665567,0.2149124,0.2904903,0.1853557,0.07855782,0.1696919,0.22805749,0.23764698,1.0,0.21378914,0.27684143,0.26835087,0.21949044,0.2898122,0.28855464,0.49228078,0.16777211,0.36919683,0.41363165,0.28473237,0.24900843,0.11998073,-0.086275615,0.14574456,0.20129468,0.20259847,0.2844191,0.20871627,0.22725534,0.19016272,0.11379083,0.21154806,0.24586569,0.22496374,0.26388636,0.30286592,0.28975132,0.40761122,-0.021318581],[0.19546789,0.25490752,0.37131888,0.29059827,0.3231531,0.32516578,0.36116818,0.15297565,0.26265004,0.2563179,0.14656678,0.2028914,0.05776715,0.17663279,0.29591697,0.33111787,0.14456657,0.24272637,0.21756436,0.015129197,0.3203617,0.10443455,0.34078768,0.21378914,1.0,0.13278879,0.441192,0.36420634,0.33856165,0.3869178,0.2723176,0.3879233,0.29431716,0.19724093,0.33225134,0.5281844,0.21105298,0.1893113,0.1736656,0.23064852,0.4675746,0.3191907,0.32539716,0.3484051,0.5909083,0.23902689,0.17198883,0.44183803,0.42645907,0.3522262,0.31454146,0.20099486,0.1165978,0.12890153],[0.17681465,0.29724488,0.09728061,0.13128872,0.24430111,0.28618076,0.20794371,0.2335877,0.19262981,0.28702724,0.07345233,0.29419872,0.15091081,0.10007403,0.16750917,0.16200134,0.30004922,0.27564684,0.14110576,0.11516703,0.11358111,0.12949663,0.1588749,0.27684143,0.13278879,1.0,0.16009735,0.19588006,0.21824424,0.1335506,0.3739649,0.09015171,0.31475922,0.31294557,0.24712695,0.17090751,0.10125316,-0.027800482,0.11826254,0.19526467,0.16856636,0.3109292,0.16414835,0.16492444,0.11243686,0.06535412,0.15952234,0.15928161,0.17666091,0.10096845,0.24980222,0.08055745,0.25975683,-0.009018071],[0.3262605,0.2508691,0.4304101,0.49388105,0.29865968,0.27231407,0.44482467,0.20549737,0.18526334,0.34003845,0.28133366,0.21292174,0.10077234,0.2647177,0.3944556,0.45053408,0.2713902,0.42812547,0.3957741,-0.027158432,0.4051682,0.13138045,0.38372114,0.26835087,0.441192,0.16009735,1.0,0.5258112,0.44926244,0.48808524,0.30653232,0.38879967,0.30853927,0.2802846,0.31870154,0.5494099,0.27014485,0.29451865,0.23060548,0.2622188,0.4746545,0.43209344,0.3689052,0.5124487,0.3849278,0.3211343,0.23943383,0.4059665,0.53046393,0.3859789,0.5193137,0.39153537,0.19643252,0.14295946],[0.23799117,0.26562053,0.37498516,0.630362,0.3054061,0.3531811,0.4984764,0.273523,0.25548968,0.34853056,0.18259466,0.11496535,0.17820512,0.19425324,0.48735374,0.6233896,0.24740052,0.54407173,0.615988,0.013797424,0.6688892,0.16295005,0.2222746,0.21949044,0.36420634,0.19588006,0.5258112,1.0,0.661209,0.4273379,0.30590194,0.19407342,0.39422414,0.19879647,0.23138084,0.53533226,0.31165457,0.16921361,0.15787378,0.35082415,0.5188624,0.4465619,0.40814778,0.4907426,0.2869412,0.30976886,0.18094075,0.36230147,0.5755456,0.5198956,0.7262172,0.5659296,0.11992786,0.08790395],[0.23996168,0.31911245,0.33425826,0.55104357,0.3648552,0.40861347,0.5281465,0.34060767,0.357519,0.35790813,0.16404776,0.16225684,0.27055702,0.17965929,0.32009783,0.459231,0.44366995,0.68612504,0.49858105,0.26490197,0.5741227,0.34010366,0.32506016,0.2898122,0.33856165,0.21824424,0.44926244,0.661209,1.0,0.3520403,0.26588345,0.23950155,0.4473225,0.25799337,0.2712616,0.43595156,0.32374528,0.098428674,0.14864494,0.36236256,0.40519527,0.4611109,0.38773143,0.4025624,0.28169745,0.3148165,0.13664405,0.28716052,0.5090314,0.43433782,0.5781704,0.5283783,0.15281232,0.114195965],[0.26287225,0.21891186,0.34029338,0.47747213,0.28785595,0.28920132,0.5302485,0.10892605,0.18954273,0.26448482,0.23542531,0.16923365,0.0019894002,0.21683453,0.44546017,0.48128855,0.1062748,0.31312713,0.41202164,0.02452575,0.37778002,0.14325514,0.3292838,0.28855464,0.3869178,0.1335506,0.48808524,0.4273379,0.3520403,1.0,0.2637463,0.30954638,0.28119183,0.186602,0.29888862,0.5445799,0.07840071,0.32739353,0.2195676,0.3234412,0.37946352,0.39878142,0.41710818,0.39435488,0.35130605,0.30641475,0.2094726,0.7095153,0.45459837,0.4442045,0.46685606,0.36580577,-0.03227533,0.1569191],[0.25905004,0.31933624,0.2785199,0.3058566,0.35153133,0.4093854,0.27537027,0.2677907,0.25873458,0.3486187,0.23266354,0.4699483,0.1732416,0.16971618,0.20918179,0.3031264,0.29215837,0.33341545,0.25374144,0.11290042,0.24262643,0.23387443,0.22311498,0.49228078,0.2723176,0.3739649,0.30653232,0.30590194,0.26588345,0.2637463,1.0,0.10916078,0.37931973,0.5382376,0.4056425,0.3515149,0.16555734,0.12369908,0.17291728,0.32488728,0.27920762,0.35213155,0.307916,0.32046068,0.22579919,0.2073927,0.20499884,0.34630564,0.26723644,0.3313261,0.31598637,0.25018913,0.4686032,0.06780328],[0.13056317,0.14052382,0.2718546,0.2520085,0.231974,0.17012271,0.36346978,0.04257386,0.055779677,0.15527445,0.08172505,0.07854787,0.025661021,0.13410823,0.25338206,0.26996332,0.09561953,0.280762,0.19331512,0.09142956,0.17240506,-0.035711113,0.3289392,0.16777211,0.3879233,0.09015171,0.38879967,0.19407342,0.23950155,0.30954638,0.10916078,1.0,0.23585968,-0.007291093,0.15477663,0.36985603,0.14364739,0.08741834,0.06885537,0.2323505,0.30368736,0.26926172,0.25319806,0.17795599,0.5128744,0.18893269,0.108903416,0.32393184,0.288495,0.29016763,0.23108286,0.19985601,0.08805432,0.05984666],[0.25532448,0.4560122,0.2786941,0.33687627,0.42130694,0.44010666,0.40539667,0.41969043,0.4280298,0.37367842,0.20306657,0.26281947,0.27103207,0.18901707,0.21243961,0.32110173,0.40769058,0.5145791,0.2521979,0.31499085,0.20630194,0.35227284,0.3428977,0.36919683,0.29431716,0.31475922,0.30853927,0.39422414,0.4473225,0.28119183,0.37931973,0.23585968,1.0,0.3268631,0.28388113,0.3348786,0.35905766,0.015495358,0.13839422,0.34395206,0.31278116,0.44657934,0.3774422,0.24412447,0.21088965,0.22518127,0.11292037,0.3373373,0.38300255,0.28749365,0.3075085,0.38300705,0.26052627,0.0559917],[0.1422874,0.2759276,0.21198398,0.09167262,0.27971545,0.34353572,0.15529096,0.26672912,0.2234625,0.35317433,0.17813039,0.547751,0.19139676,0.114766166,0.031924557,0.15477751,0.37051836,0.37190944,0.073411405,0.17622137,0.099178985,0.35498595,0.17007229,0.41363165,0.19724093,0.31294557,0.2802846,0.19879647,0.25799337,0.186602,0.5382376,-0.007291093,0.3268631,1.0,0.24515769,0.26256397,0.20288114,0.086053506,0.16058911,0.26082224,0.23982559,0.32592916,0.21558388,0.2082833,0.1840048,0.096976705,0.046143413,0.24671806,0.23825218,0.12783782,0.19944242,0.13371815,0.49824739,0.066663235],[0.36454055,0.24200404,0.2953655,0.24304955,0.31579438,0.34340277,0.32406166,0.22344452,0.16698833,0.1998292,0.21107449,0.25157738,0.06914001,0.23356119,0.19671798,0.2757345,0.14890496,0.24686998,0.21842164,0.054147013,0.20838684,0.05179342,0.19632392,0.28473237,0.33225134,0.24712695,0.31870154,0.23138084,0.2712616,0.29888862,0.4056425,0.15477663,0.28388113,0.24515769,1.0,0.31310323,0.11628512,0.13196473,0.16779664,0.1568491,0.29536244,0.30356315,0.31287205,0.28994197,0.21416658,0.21153066,0.17387299,0.36194378,0.24372193,0.24624535,0.2646439,0.17186841,0.14299725,0.089035325],[0.29286292,0.25432807,0.61608404,0.4381573,0.37872767,0.32252553,0.53837925,0.15928228,0.21865244,0.39582807,0.14662594,0.20976432,-0.05996301,0.17856295,0.3823146,0.5188133,0.21321878,0.3886375,0.43226722,0.030308262,0.46770686,0.050698124,0.2867997,0.24900843,0.5281844,0.17090751,0.5494099,0.53533226,0.43595156,0.5445799,0.3515149,0.36985603,0.3348786,0.26256397,0.31310323,1.0,0.32941073,0.32809922,0.22335935,0.37075955,0.6956209,0.41024444,0.36441904,0.58411795,0.55750823,0.439912,0.234827,0.52708435,0.7616617,0.42650074,0.5181595,0.34533724,0.1027912,0.13109232],[0.15665248,0.17794839,0.25645226,0.16361754,0.2777503,0.16803987,0.14638172,0.21711294,0.31774324,0.31011721,0.065998755,0.14224622,0.14272022,0.15046673,0.055297602,0.30553922,0.418656,0.36957544,0.23980747,0.2358155,0.29008836,0.17381921,0.18265869,0.11998073,0.21105298,0.10125316,0.27014485,0.31165457,0.32374528,0.07840071,0.16555734,0.14364739,0.35905766,0.20288114,0.11628512,0.32941073,1.0,0.14889012,0.1365818,0.2959927,0.3767627,0.25471494,0.08877404,0.2681425,0.22792977,0.30861282,0.11143895,0.15395153,0.3758852,0.15831749,0.23977177,0.2199148,0.19257848,0.074859895],[0.030743906,0.028160607,0.14841971,0.20434867,0.053371355,0.037919573,0.3156107,0.028060826,0.108577944,0.0029858092,0.117728055,0.039051194,-0.03806321,0.004412793,0.1992276,0.14070487,-0.033967476,0.098456964,0.19950083,-0.0138567565,0.18376306,0.006882719,0.12901053,-0.086275615,0.1893113,-0.027800482,0.29451865,0.16921361,0.098428674,0.32739353,0.12369908,0.08741834,0.015495358,0.086053506,0.13196473,0.32809922,0.14889012,1.0,0.13147752,0.1737049,0.23419072,0.25524738,0.23038116,0.21553446,0.21522897,0.19442114,0.16850394,0.3683121,0.24959691,0.21378486,0.19473745,0.09974001,-0.015157986,0.38710445],[-0.016310379,0.1540144,0.046682116,0.14547618,0.12667677,0.10767474,0.17944498,0.056736536,0.167007,0.16243285,0.08838433,0.14397705,0.15754732,0.112520434,0.12128378,0.13535625,0.12761725,0.22153173,0.14443989,0.042721353,0.13467826,0.11807197,-0.012453889,0.14574456,0.1736656,0.11826254,0.23060548,0.15787378,0.14864494,0.2195676,0.17291728,0.06885537,0.13839422,0.16058911,0.16779664,0.22335935,0.1365818,0.13147752,1.0,0.069722205,0.10680812,0.08050401,0.064998,0.1405678,0.14115222,0.089517064,0.21776892,0.2589114,0.22128637,0.20334935,0.13684307,0.07914536,0.12709181,-0.07367007],[0.13457458,0.22465105,0.31213072,0.32413688,0.30972564,0.2290546,0.34154293,0.18524307,0.23735818,0.22612743,-0.021602994,0.20232314,0.12112467,-0.045712445,0.23282856,0.3498475,0.20349069,0.42305544,0.34375894,0.09476541,0.2655113,0.13913848,0.17896228,0.20129468,0.23064852,0.19526467,0.2622188,0.35082415,0.36236256,0.3234412,0.32488728,0.2323505,0.34395206,0.26082224,0.1568491,0.37075955,0.2959927,0.1737049,0.069722205,1.0,0.37183347,0.5628487,0.4922643,0.20655625,0.1815154,0.2931101,0.11230066,0.3304417,0.3524006,0.31506494,0.37163857,0.245195,0.14660007,0.26043135],[0.26559377,0.19215138,0.5646186,0.32338428,0.3230983,0.24821465,0.38000038,0.13439295,0.12605022,0.3485456,0.14651273,0.14918454,-0.06118309,0.14959607,0.3000822,0.52461916,0.21220171,0.351175,0.35805833,0.031262238,0.36364892,0.0023682953,0.25523067,0.20259847,0.4675746,0.16856636,0.4746545,0.5188624,0.40519527,0.37946352,0.27920762,0.30368736,0.31278116,0.23982559,0.29536244,0.6956209,0.3767627,0.23419072,0.10680812,0.37183347,1.0,0.41101316,0.32774726,0.49677828,0.46756372,0.5258558,0.20124927,0.3406829,0.64271706,0.36623144,0.46472907,0.28839818,0.1752459,0.08929954],[0.2868719,0.29637152,0.43204236,0.36867028,0.3109841,0.30922145,0.47789118,0.32297498,0.29318658,0.2829464,0.20412068,0.18004538,0.18597619,0.1914898,0.30500755,0.3435711,0.26860437,0.46017885,0.33699006,0.09737477,0.31881973,0.21145596,0.32921186,0.2844191,0.3191907,0.3109292,0.43209344,0.4465619,0.4611109,0.39878142,0.35213155,0.26926172,0.44657934,0.32592916,0.30356315,0.41024444,0.25471494,0.25524738,0.08050401,0.5628487,0.41101316,1.0,0.7073779,0.2519854,0.3236102,0.29017648,0.17709845,0.38008663,0.38892826,0.36281767,0.42608637,0.30574277,0.10679487,0.3680244],[0.18389446,0.19436954,0.32520387,0.35822877,0.24231547,0.2200992,0.47337073,0.265722,0.21668963,0.2505848,0.17868339,0.12029586,0.101451896,0.12227142,0.31501976,0.3405703,0.10452,0.34658408,0.348527,0.09398404,0.25133297,0.14293362,0.3036693,0.20871627,0.32539716,0.16414835,0.3689052,0.40814778,0.38773143,0.41710818,0.307916,0.25319806,0.3774422,0.21558388,0.31287205,0.36441904,0.08877404,0.23038116,0.064998,0.4922643,0.32774726,0.7073779,1.0,0.24045697,0.31020314,0.1985046,0.19451435,0.42520088,0.34079692,0.39408916,0.367047,0.2829995,0.022270668,0.29747894],[0.25363845,0.17567089,0.46846965,0.3968315,0.25353044,0.23151408,0.42501935,0.20675087,0.2732042,0.4055005,0.123900175,0.19683449,0.01694293,0.14057696,0.30551195,0.45550716,0.14664164,0.34923157,0.40299776,-0.016569003,0.42848253,0.07834167,0.1721558,0.22725534,0.3484051,0.16492444,0.5124487,0.4907426,0.4025624,0.39435488,0.32046068,0.17795599,0.24412447,0.2082833,0.28994197,0.58411795,0.2681425,0.21553446,0.1405678,0.20655625,0.49677828,0.2519854,0.24045697,1.0,0.31092012,0.28268126,0.21694997,0.2605563,0.5559364,0.28014025,0.47530842,0.28720304,0.13447335,0.014484394],[0.23201849,0.16766565,0.37106308,0.24215744,0.2764172,0.18430355,0.39400396,0.06513306,0.157218,0.22988197,0.13136731,0.17798015,-0.014069495,0.20874584,0.28268042,0.28817487,0.06226985,0.23835419,0.2307381,0.0720816,0.23402573,0.092363246,0.3043333,0.19016272,0.5909083,0.11243686,0.3849278,0.2869412,0.28169745,0.35130605,0.22579919,0.5128744,0.21088965,0.1840048,0.21416658,0.55750823,0.22792977,0.21522897,0.14115222,0.1815154,0.46756372,0.3236102,0.31020314,0.31092012,1.0,0.2538697,0.273211,0.40497965,0.34757817,0.3144167,0.25823164,0.16324815,0.12680472,0.089597315],[0.24100028,0.068505,0.40668523,0.25575745,0.2193862,0.2362203,0.29374543,0.08009359,0.06199263,0.24763742,0.10250765,0.069902845,-0.07146646,0.07653706,0.16931252,0.24219123,0.1304197,0.25837216,0.26141375,0.08316313,0.26373398,0.023706472,0.2162348,0.11379083,0.23902689,0.06535412,0.3211343,0.30976886,0.3148165,0.30641475,0.2073927,0.18893269,0.22518127,0.096976705,0.21153066,0.439912,0.30861282,0.19442114,0.089517064,0.2931101,0.5258558,0.29017648,0.1985046,0.28268126,0.2538697,1.0,0.13640317,0.2545957,0.3936,0.2994667,0.2919001,0.19691052,0.09207685,0.08002171],[0.19976975,0.09755539,0.15927061,0.22378974,0.18439248,0.14802548,0.26271802,0.0038530556,0.013563165,0.17048614,0.22861181,0.13757965,-0.099539764,0.21467103,0.2924081,0.27762565,-0.044319745,0.11456311,0.22415507,0.029294983,0.10313499,-0.075431265,0.20742819,0.21154806,0.17198883,0.15952234,0.23943383,0.18094075,0.13664405,0.2094726,0.20499884,0.108903416,0.11292037,0.046143413,0.17387299,0.234827,0.11143895,0.16850394,0.21776892,0.11230066,0.20124927,0.17709845,0.19451435,0.21694997,0.273211,0.13640317,1.0,0.16652259,0.22887424,0.24233109,0.16802165,0.1427607,0.10248089,0.10634402],[0.25497332,0.2927333,0.26503932,0.3675775,0.31627488,0.32472026,0.51633465,0.16638061,0.24280508,0.3343653,0.13818759,0.21731067,0.093751,0.1645062,0.38074735,0.4000175,0.18623486,0.32978255,0.39388356,0.05916868,0.28421748,0.19185518,0.30482277,0.24586569,0.44183803,0.15928161,0.4059665,0.36230147,0.28716052,0.7095153,0.34630564,0.32393184,0.3373373,0.24671806,0.36194378,0.52708435,0.15395153,0.3683121,0.2589114,0.3304417,0.3406829,0.38008663,0.42520088,0.2605563,0.40497965,0.2545957,0.16652259,1.0,0.3907999,0.48520124,0.34064445,0.27717772,0.04759396,0.22165725],[0.18015303,0.2764306,0.57226044,0.42238843,0.36912435,0.3227411,0.4482785,0.220829,0.25139627,0.39978948,0.13018793,0.20375265,0.07784206,0.15121284,0.3043383,0.51787955,0.28211477,0.45624098,0.47726482,0.12208571,0.47260174,0.13924001,0.27623916,0.22496374,0.42645907,0.17666091,0.53046393,0.5755456,0.5090314,0.45459837,0.26723644,0.288495,0.38300255,0.23825218,0.24372193,0.7616617,0.3758852,0.24959691,0.22128637,0.3524006,0.64271706,0.38892826,0.34079692,0.5559364,0.34757817,0.3936,0.22887424,0.3907999,1.0,0.36351427,0.5680879,0.39526993,0.11284777,0.033929434],[0.29679167,0.22627562,0.26819327,0.6953295,0.2765213,0.31336716,0.5599375,0.17380139,0.25410113,0.21580192,0.16425037,0.12965497,0.107084066,0.13743028,0.72589785,0.534473,0.15434521,0.443226,0.49590677,0.043537624,0.48263764,0.18473953,0.29896647,0.26388636,0.3522262,0.10096845,0.3859789,0.5198956,0.43433782,0.4442045,0.3313261,0.29016763,0.28749365,0.12783782,0.24624535,0.42650074,0.15831749,0.21378486,0.20334935,0.31506494,0.36623144,0.36281767,0.39408916,0.28014025,0.3144167,0.2994667,0.24233109,0.48520124,0.36351427,1.0,0.5717122,0.6093008,0.026324831,0.16189899],[0.2343548,0.2406009,0.42777783,0.6445455,0.28518787,0.32305023,0.4949371,0.22433533,0.24664809,0.30033737,0.15625001,0.169486,0.1400503,0.18710613,0.5202578,0.6185447,0.15272357,0.5540081,0.6074226,-0.021926235,0.6616389,0.13394189,0.17554379,0.30286592,0.31454146,0.24980222,0.5193137,0.7262172,0.5781704,0.46685606,0.31598637,0.23108286,0.3075085,0.19944242,0.2646439,0.5181595,0.23977177,0.19473745,0.13684307,0.37163857,0.46472907,0.42608637,0.367047,0.47530842,0.25823164,0.2919001,0.16802165,0.34064445,0.5680879,0.5717122,1.0,0.59299344,0.10385058,0.098015815],[0.18913771,0.2540668,0.30635387,0.811219,0.27976257,0.24329782,0.49629316,0.33527634,0.32627255,0.17272341,0.12784481,0.104696594,0.19602941,0.17943506,0.5685333,0.5065876,0.2244967,0.47647947,0.49742872,0.22453077,0.5193174,0.20564823,0.26913968,0.28975132,0.20099486,0.08055745,0.39153537,0.5659296,0.5283783,0.36580577,0.25018913,0.19985601,0.38300705,0.13371815,0.17186841,0.34533724,0.2199148,0.09974001,0.07914536,0.245195,0.28839818,0.30574277,0.2829995,0.28720304,0.16324815,0.19691052,0.1427607,0.27717772,0.39526993,0.6093008,0.59299344,1.0,0.001954946,0.015275983],[0.09048745,0.22046214,0.09381977,0.007626706,0.21230635,0.2384902,-0.056444313,0.13261673,0.102110706,0.23711915,0.23072533,0.46910724,0.109647505,0.14450774,-0.08121929,0.024644012,0.27864626,0.18985726,-0.010432412,0.075990595,-0.041177314,0.120123975,0.1196917,0.40761122,0.1165978,0.25975683,0.19643252,0.11992786,0.15281232,-0.03227533,0.4686032,0.08805432,0.26052627,0.49824739,0.14299725,0.1027912,0.19257848,-0.015157986,0.12709181,0.14660007,0.1752459,0.10679487,0.022270668,0.13447335,0.12680472,0.09207685,0.10248089,0.04759396,0.11284777,0.026324831,0.10385058,0.001954946,1.0,-0.060425524],[0.093344085,0.06608879,0.12121844,0.07007951,0.09191695,0.052354716,0.1841284,0.096641935,0.043362662,0.040177863,0.082051314,0.08368505,0.014801277,0.032514144,0.08168364,0.124135286,0.0877516,0.1198319,0.13231309,-0.022508642,0.10391598,0.0690842,0.18756348,-0.021318581,0.12890153,-0.009018071,0.14295946,0.08790395,0.114195965,0.1569191,0.06780328,0.05984666,0.0559917,0.066663235,0.089035325,0.13109232,0.074859895,0.38710445,-0.07367007,0.26043135,0.08929954,0.3680244,0.29747894,0.014484394,0.089597315,0.08002171,0.10634402,0.22165725,0.033929434,0.16189899,0.098015815,0.015275983,-0.060425524,1.0]],"^IDS":["2317-TW","GSK-GB","CON-DE","BARC-GB","SAN-FR","ROG-CH","PRU-GB","BT.A-GB","VOD-GB","HEN3-DE","105560-KR","9404-JP","BATS-GB","055550-KR","STAN-GB","BIRG-IE","AD-NL","AGS-BE","ABN-NL","TSCO-GB","GLE-FR","IMB-GB","WPP-GB","6752-JP","UHR-CH","4324-JP","RAND-NL","BNP-FR","CS-FR","AAL-GB","5108-JP","BRBY-GB","BLND-GB","7459-JP","6963-JP","BAS-DE","CA-FR","TX-US","914-HK","OMV-AT","VOW3-DE","ENI-IT","REP-ES","LHA-DE","KER-FR","RNO-FR","9988-HK","RIO-GB","EVK-DE","HSBA-GB","UCG-IT","NWG-GB","9433-JP","PETR4-BR"],"DUMMY^FLOAT_ARRAY CORRELMATRIX=GET_FQL_ARRAY(IDS,'P_PRICE_RETURNS(0,45961,45961-1AY,D,USD)');'FDS CODE - DO NOT DELETE'":"FDS CODE - DO NOT DELETE","DUMMY^STRING_ARRAY IDS=TICKER_LIST('2317-TW GSK-GB CON-DE BARC-GB SAN-FR ROG-CH PRU-GB BT.A-GB VOD-GB HEN3-DE 105560-KR 9404-JP BATS-GB 055550-KR STAN-GB BIRG-IE AD-NL AGS-BE ABN-NL TSCO-GB GLE-FR IMB-GB WPP-GB 6752-JP UHR-CH 4324-JP RAND-NL BNP-FR CS-FR AAL-GB 5108-JP BRBY-GB BLND-GB 7459-JP 6963-JP BAS-DE CA-FR TX-US 914-HK OMV-AT VOW3-DE ENI-IT REP-ES LHA-DE KER-FR RNO-FR 9988-HK RIO-GB EVK-DE HSBA-GB UCG-IT NWG-GB 9433-JP PETR4-BR');\"FDS CODE - DO NOT DELETE\"":"FDS CODE - DO NOT DELETE","DUMMY^PROPER(\"CORRELATION OF DAILY DATA BETWEEN \") + FG_DATE(45961-1AY) + LOWERCASE(\" AND \") + FG_DATE(45961) + LOWERCASE(\":\")":"Correlation Of Daily Data Between 10/31/2024 and 10/31/2025:","2317-TW^FG_COMPANY_NAME":"Hon Hai Precision Industry Co., Ltd.","GSK-GB^FG_COMPANY_NAME":"GSK plc","CON-DE^FG_COMPANY_NAME":"Continental AG","BARC-GB^FG_COMPANY_NAME":"Barclays PLC","SAN-FR^FG_COMPANY_NAME":"Sanofi SA","ROG-CH^FG_COMPANY_NAME":"Roche Holding Ltd Dividend Right Cert.","PRU-GB^FG_COMPANY_NAME":"Prudential plc","BT.A-GB^FG_COMPANY_NAME":"BT Group plc","VOD-GB^FG_COMPANY_NAME":"Vodafone Group Public Limited Company","HEN3-DE^FG_COMPANY_NAME":"Henkel AG & Co. KGaA Pref","105560-KR^FG_COMPANY_NAME":"KB Financial Group Inc.","9404-JP^FG_COMPANY_NAME":"Nippon Television Holdings, Inc.","BATS-GB^FG_COMPANY_NAME":"British American Tobacco p.l.c.","055550-KR^FG_COMPANY_NAME":"Shinhan Financial Group Co., Ltd.","STAN-GB^FG_COMPANY_NAME":"Standard Chartered PLC","BIRG-IE^FG_COMPANY_NAME":"Bank of Ireland Group Plc","AD-NL^FG_COMPANY_NAME":"Koninklijke Ahold Delhaize N.V.","AGS-BE^FG_COMPANY_NAME":"ageas SA/NV","ABN-NL^FG_COMPANY_NAME":"ABN AMRO Bank N.V. Depositary receipts","TSCO-GB^FG_COMPANY_NAME":"Tesco PLC","GLE-FR^FG_COMPANY_NAME":"Societe Generale S.A. Class A","IMB-GB^FG_COMPANY_NAME":"Imperial Brands PLC","WPP-GB^FG_COMPANY_NAME":"WPP Plc","6752-JP^FG_COMPANY_NAME":"Panasonic Holdings Corporation","UHR-CH^FG_COMPANY_NAME":"Swatch Group Ltd. Bearer","4324-JP^FG_COMPANY_NAME":"Dentsu Group Inc.","RAND-NL^FG_COMPANY_NAME":"Randstad NV","BNP-FR^FG_COMPANY_NAME":"BNP Paribas S.A. Class A","CS-FR^FG_COMPANY_NAME":"AXA SA","AAL-GB^FG_COMPANY_NAME":"Anglo American plc","5108-JP^FG_COMPANY_NAME":"Bridgestone Corporation","BRBY-GB^FG_COMPANY_NAME":"Burberry Group plc","BLND-GB^FG_COMPANY_NAME":"British Land Company PLC","7459-JP^FG_COMPANY_NAME":"MEDIPAL HOLDINGS Corporation","6963-JP^FG_COMPANY_NAME":"ROHM Company Limited","BAS-DE^FG_COMPANY_NAME":"BASF SE","CA-FR^FG_COMPANY_NAME":"Carrefour SA","TX-US^FG_COMPANY_NAME":"Ternium S.A. Sponsored ADR","914-HK^FG_COMPANY_NAME":"Anhui Conch Cement Company Limited Class H","OMV-AT^FG_COMPANY_NAME":"OMV AG","VOW3-DE^FG_COMPANY_NAME":"Volkswagen AG Pref","ENI-IT^FG_COMPANY_NAME":"Eni S.p.A.","REP-ES^FG_COMPANY_NAME":"Repsol SA","LHA-DE^FG_COMPANY_NAME":"Deutsche Lufthansa AG","KER-FR^FG_COMPANY_NAME":"Kering SA","RNO-FR^FG_COMPANY_NAME":"Renault SA","9988-HK^FG_COMPANY_NAME":"Alibaba Group Holding Limited","RIO-GB^FG_COMPANY_NAME":"Rio Tinto plc","EVK-DE^FG_COMPANY_NAME":"Evonik Industries AG","HSBA-GB^FG_COMPANY_NAME":"HSBC Holdings Plc","UCG-IT^FG_COMPANY_NAME":"UniCredit S.p.A.","NWG-GB^FG_COMPANY_NAME":"NatWest Group Plc","9433-JP^FG_COMPANY_NAME":"KDDI Corporation","PETR4-BR^FG_COMPANY_NAME":"Petroleo Brasileiro SA Pfd"}]]></FdsFormulaCache>
</file>

<file path=customXml/itemProps1.xml><?xml version="1.0" encoding="utf-8"?>
<ds:datastoreItem xmlns:ds="http://schemas.openxmlformats.org/officeDocument/2006/customXml" ds:itemID="{AC177B72-769F-4B15-A87C-B0CFAB2D62B5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2025-12-16T10:27:57Z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