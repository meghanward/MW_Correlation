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L:\Meghan Ward\Nick Kirrage\Correlations - Early Iteration\"/>
    </mc:Choice>
  </mc:AlternateContent>
  <xr:revisionPtr revIDLastSave="0" documentId="13_ncr:1_{14778EC2-D64B-470D-BDF4-40BCA29865B9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9" i="1" l="1" a="1"/>
  <c r="BI29" i="1" l="1"/>
  <c r="BH29" i="1" a="1"/>
  <c r="BH29" i="1" l="1"/>
  <c r="BG29" i="1" a="1"/>
  <c r="BG29" i="1" l="1"/>
  <c r="BF29" i="1" a="1"/>
  <c r="BF29" i="1" l="1"/>
  <c r="BE29" i="1" a="1"/>
  <c r="BE29" i="1" l="1"/>
  <c r="BD29" i="1" a="1"/>
  <c r="BD29" i="1" l="1"/>
  <c r="BC29" i="1" a="1"/>
  <c r="BC29" i="1" l="1"/>
  <c r="BB29" i="1" a="1"/>
  <c r="BB29" i="1" l="1"/>
  <c r="BA29" i="1" a="1"/>
  <c r="BA29" i="1" l="1"/>
  <c r="AZ29" i="1" a="1"/>
  <c r="AZ29" i="1" l="1"/>
  <c r="AY29" i="1" a="1"/>
  <c r="AY29" i="1" l="1"/>
  <c r="AX29" i="1" a="1"/>
  <c r="AX29" i="1" l="1"/>
  <c r="AW29" i="1" a="1"/>
  <c r="AW29" i="1" l="1"/>
  <c r="AV29" i="1" a="1"/>
  <c r="AV29" i="1" l="1"/>
  <c r="AU29" i="1" a="1"/>
  <c r="AU29" i="1" l="1"/>
  <c r="AT29" i="1" a="1"/>
  <c r="AT29" i="1" l="1"/>
  <c r="AS29" i="1" a="1"/>
  <c r="AS29" i="1" l="1"/>
  <c r="AR29" i="1" a="1"/>
  <c r="AR29" i="1" l="1"/>
  <c r="AQ29" i="1" a="1"/>
  <c r="AQ29" i="1" l="1"/>
  <c r="AP29" i="1" a="1"/>
  <c r="AP29" i="1" l="1"/>
  <c r="AO29" i="1" a="1"/>
  <c r="AO29" i="1" l="1"/>
  <c r="AN29" i="1" a="1"/>
  <c r="AN29" i="1" l="1"/>
  <c r="AM29" i="1" a="1"/>
  <c r="AM29" i="1" l="1"/>
  <c r="AL29" i="1" a="1"/>
  <c r="AL29" i="1" l="1"/>
  <c r="AK29" i="1" a="1"/>
  <c r="AK29" i="1" l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89" i="1" a="1"/>
  <c r="A89" i="1" l="1"/>
  <c r="A88" i="1" a="1"/>
  <c r="A88" i="1" l="1"/>
  <c r="A87" i="1" a="1"/>
  <c r="A87" i="1" l="1"/>
  <c r="A86" i="1" a="1"/>
  <c r="A86" i="1" l="1"/>
  <c r="A85" i="1" a="1"/>
  <c r="A85" i="1" l="1"/>
  <c r="A84" i="1" a="1"/>
  <c r="A84" i="1" l="1"/>
  <c r="A83" i="1" a="1"/>
  <c r="A83" i="1" l="1"/>
  <c r="A82" i="1" a="1"/>
  <c r="A82" i="1" l="1"/>
  <c r="A81" i="1" a="1"/>
  <c r="A81" i="1" l="1"/>
  <c r="A80" i="1" a="1"/>
  <c r="A80" i="1" l="1"/>
  <c r="A79" i="1" a="1"/>
  <c r="A79" i="1" l="1"/>
  <c r="A78" i="1" a="1"/>
  <c r="A78" i="1" l="1"/>
  <c r="A77" i="1" a="1"/>
  <c r="A77" i="1" l="1"/>
  <c r="A76" i="1" a="1"/>
  <c r="A76" i="1" l="1"/>
  <c r="A75" i="1" a="1"/>
  <c r="A75" i="1" l="1"/>
  <c r="A74" i="1" a="1"/>
  <c r="A74" i="1" l="1"/>
  <c r="A73" i="1" a="1"/>
  <c r="A73" i="1" l="1"/>
  <c r="A72" i="1" a="1"/>
  <c r="A72" i="1" l="1"/>
  <c r="A71" i="1" a="1"/>
  <c r="A71" i="1" l="1"/>
  <c r="A70" i="1" a="1"/>
  <c r="A70" i="1" l="1"/>
  <c r="A69" i="1" a="1"/>
  <c r="A69" i="1" l="1"/>
  <c r="A68" i="1" a="1"/>
  <c r="A68" i="1" l="1"/>
  <c r="A67" i="1" a="1"/>
  <c r="A67" i="1" l="1"/>
  <c r="A66" i="1" a="1"/>
  <c r="A66" i="1" l="1"/>
  <c r="A65" i="1" a="1"/>
  <c r="A65" i="1" l="1"/>
  <c r="A64" i="1" a="1"/>
  <c r="A64" i="1" l="1"/>
  <c r="A63" i="1" a="1"/>
  <c r="A63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D7" i="4" a="1"/>
  <c r="A31" i="1" l="1"/>
  <c r="D7" i="4"/>
  <c r="C7" i="4" a="1"/>
  <c r="C7" i="4" l="1"/>
  <c r="B7" i="4" a="1"/>
  <c r="B7" i="4" l="1"/>
  <c r="O19" i="1" a="1"/>
  <c r="O19" i="1" l="1"/>
  <c r="O18" i="1" a="1"/>
  <c r="O18" i="1" l="1"/>
  <c r="O17" i="1" a="1"/>
  <c r="O17" i="1" l="1"/>
  <c r="O16" i="1" a="1"/>
  <c r="O16" i="1" l="1"/>
  <c r="O15" i="1" a="1"/>
  <c r="O15" i="1" l="1"/>
  <c r="O14" i="1" a="1"/>
  <c r="O14" i="1" l="1"/>
  <c r="O13" i="1" a="1"/>
  <c r="O13" i="1" l="1"/>
  <c r="O12" i="1" a="1"/>
  <c r="O12" i="1" l="1"/>
  <c r="O11" i="1" a="1"/>
  <c r="O11" i="1" l="1"/>
  <c r="O10" i="1" a="1"/>
  <c r="O10" i="1" l="1"/>
  <c r="O9" i="1" a="1"/>
  <c r="O9" i="1" l="1"/>
  <c r="O8" i="1" a="1"/>
  <c r="O8" i="1" l="1"/>
  <c r="L18" i="1" a="1"/>
  <c r="L18" i="1" l="1"/>
  <c r="L17" i="1" a="1"/>
  <c r="L17" i="1" l="1"/>
  <c r="L16" i="1" a="1"/>
  <c r="L16" i="1" l="1"/>
  <c r="L15" i="1" a="1"/>
  <c r="L15" i="1" l="1"/>
  <c r="L14" i="1" a="1"/>
  <c r="L14" i="1" l="1"/>
  <c r="L13" i="1" a="1"/>
  <c r="L13" i="1" l="1"/>
  <c r="L12" i="1" a="1"/>
  <c r="L12" i="1" l="1"/>
  <c r="L11" i="1" a="1"/>
  <c r="L11" i="1" l="1"/>
  <c r="L10" i="1" a="1"/>
  <c r="L10" i="1" l="1"/>
  <c r="L9" i="1" a="1"/>
  <c r="L9" i="1" l="1"/>
  <c r="L8" i="1" a="1"/>
  <c r="L8" i="1" l="1"/>
  <c r="L7" i="1" a="1"/>
  <c r="L7" i="1" l="1"/>
  <c r="L6" i="1" a="1"/>
  <c r="L6" i="1" l="1"/>
  <c r="L5" i="1" a="1"/>
  <c r="L5" i="1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23" i="1" a="1"/>
  <c r="D23" i="1" l="1"/>
  <c r="D22" i="1" a="1"/>
  <c r="D22" i="1" l="1"/>
  <c r="D21" i="1" a="1"/>
  <c r="D21" i="1" l="1"/>
  <c r="D20" i="1" a="1"/>
  <c r="D20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63" i="5" l="1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C3" i="5"/>
  <c r="B3" i="5"/>
  <c r="A44" i="5" l="1"/>
  <c r="A58" i="5"/>
  <c r="A10" i="5"/>
  <c r="A24" i="5"/>
  <c r="A31" i="5"/>
  <c r="A4" i="5"/>
  <c r="A11" i="5"/>
  <c r="A46" i="5"/>
  <c r="A33" i="5"/>
  <c r="A54" i="5"/>
  <c r="A6" i="5"/>
  <c r="A13" i="5"/>
  <c r="A20" i="5"/>
  <c r="A27" i="5"/>
  <c r="A34" i="5"/>
  <c r="A55" i="5"/>
  <c r="A7" i="5"/>
  <c r="A14" i="5"/>
  <c r="A21" i="5"/>
  <c r="A28" i="5"/>
  <c r="A35" i="5"/>
  <c r="A42" i="5"/>
  <c r="A49" i="5"/>
  <c r="A56" i="5"/>
  <c r="A16" i="5"/>
  <c r="A37" i="5"/>
  <c r="A52" i="5"/>
  <c r="A25" i="5"/>
  <c r="A53" i="5"/>
  <c r="A12" i="5"/>
  <c r="A48" i="5"/>
  <c r="A23" i="5"/>
  <c r="A30" i="5"/>
  <c r="A45" i="5"/>
  <c r="A39" i="5"/>
  <c r="A47" i="5"/>
  <c r="A41" i="5"/>
  <c r="A8" i="5"/>
  <c r="A15" i="5"/>
  <c r="A22" i="5"/>
  <c r="A29" i="5"/>
  <c r="A36" i="5"/>
  <c r="A43" i="5"/>
  <c r="A50" i="5"/>
  <c r="A57" i="5"/>
  <c r="A9" i="5"/>
  <c r="A51" i="5"/>
  <c r="A17" i="5"/>
  <c r="A38" i="5"/>
  <c r="A59" i="5"/>
  <c r="A18" i="5"/>
  <c r="A32" i="5"/>
  <c r="A60" i="5"/>
  <c r="A5" i="5"/>
  <c r="A19" i="5"/>
  <c r="A26" i="5"/>
  <c r="A40" i="5"/>
  <c r="A61" i="5"/>
  <c r="A62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H9" i="4"/>
  <c r="H7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650E70CD-8633-47D5-B7FB-8EDC0D3D9D79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Timestamp="1764538655"&gt;&lt;FQL&gt;&lt;Q&gt;AMZN-US^FG_PRICE(45657,45657-1AY,,USD)&lt;/Q&gt;&lt;R&gt;253&lt;/R&gt;&lt;C&gt;1&lt;/C&gt;&lt;D xsi:type="xsd:double"&gt;219.39&lt;/D&gt;&lt;D xsi:type="xsd:double"&gt;221.3&lt;/D&gt;&lt;D xsi:type="xsd:double"&gt;223.75&lt;/D&gt;&lt;D xsi:type="xsd:double"&gt;227.05&lt;/D&gt;&lt;D xsi:type="xsd:double"&gt;229.05&lt;/D&gt;&lt;D xsi:type="xsd:double"&gt;225.06&lt;/D&gt;&lt;D xsi:type="xsd:double"&gt;224.92&lt;/D&gt;&lt;D xsi:type="xsd:double"&gt;223.29&lt;/D&gt;&lt;D xsi:type="xsd:double"&gt;220.52&lt;/D&gt;&lt;D xsi:type="xsd:double"&gt;231.15&lt;/D&gt;&lt;D xsi:type="xsd:double"&gt;232.93&lt;/D&gt;&lt;D xsi:type="xsd:double"&gt;227.46&lt;/D&gt;&lt;D xsi:type="xsd:double"&gt;228.97&lt;/D&gt;&lt;D xsi:type="xsd:double"&gt;230.26&lt;/D&gt;&lt;D xsi:type="xsd:double"&gt;225.04&lt;/D&gt;&lt;D xsi:type="xsd:double"&gt;226.09&lt;/D&gt;&lt;D xsi:type="xsd:double"&gt;227.03&lt;/D&gt;&lt;D xsi:type="xsd:double"&gt;220.55&lt;/D&gt;&lt;D xsi:type="xsd:double"&gt;218.16&lt;/D&gt;&lt;D xsi:type="xsd:double"&gt;213.44&lt;/D&gt;&lt;D xsi:type="xsd:double"&gt;210.71&lt;/D&gt;&lt;D xsi:type="xsd:double"&gt;207.89&lt;/D&gt;&lt;D xsi:type="xsd:double"&gt;205.74&lt;/D&gt;&lt;D xsi:type="xsd:double"&gt;207.86&lt;/D&gt;&lt;D xsi:type="xsd:double"&gt;201.45&lt;/D&gt;&lt;D xsi:type="xsd:double"&gt;197.12&lt;/D&gt;&lt;D xsi:type="xsd:double"&gt;198.38&lt;/D&gt;&lt;D xsi:type="xsd:double"&gt;202.88&lt;/D&gt;&lt;D xsi:type="xsd:double"&gt;204.61&lt;/D&gt;&lt;D xsi:type="xsd:double"&gt;201.7&lt;/D&gt;&lt;D xsi:type="xsd:double"&gt;202.61&lt;/D&gt;&lt;D xsi:type="xsd:double"&gt;211.48&lt;/D&gt;&lt;D xsi:type="xsd:double"&gt;214.1&lt;/D&gt;&lt;D xsi:type="xsd:double"&gt;208.91&lt;/D&gt;&lt;D xsi:type="xsd:double"&gt;206.84&lt;/D&gt;&lt;D xsi:type="xsd:double"&gt;208.18&lt;/D&gt;&lt;D xsi:type="xsd:double"&gt;210.05&lt;/D&gt;&lt;D xsi:type="xsd:double"&gt;207.09&lt;/D&gt;&lt;D xsi:type="xsd:double"&gt;199.5&lt;/D&gt;&lt;D xsi:type="xsd:double"&gt;195.78&lt;/D&gt;&lt;D xsi:type="xsd:double"&gt;197.93&lt;/D&gt;&lt;D xsi:type="xsd:double"&gt;186.4&lt;/D&gt;&lt;D xsi:type="xsd:double"&gt;192.73&lt;/D&gt;&lt;D xsi:type="xsd:double"&gt;190.83&lt;/D&gt;&lt;D xsi:type="xsd:double"&gt;188.39&lt;/D&gt;&lt;D xsi:type="xsd:double"&gt;187.83&lt;/D&gt;&lt;D xsi:type="xsd:double"&gt;186.38&lt;/D&gt;&lt;D xsi:type="xsd:double"&gt;184.71&lt;/D&gt;&lt;D xsi:type="xsd:double"&gt;189.7&lt;/D&gt;&lt;D xsi:type="xsd:double"&gt;189.07&lt;/D&gt;&lt;D xsi:type="xsd:double"&gt;188.99&lt;/D&gt;&lt;D xsi:type="xsd:double"&gt;187.53&lt;/D&gt;&lt;D xsi:type="xsd:double"&gt;186.89&lt;/D&gt;&lt;D xsi:type="xsd:double"&gt;187.69&lt;/D&gt;&lt;D xsi:type="xsd:double"&gt;187.54&lt;/D&gt;&lt;D xsi:type="xsd:double"&gt;188.82&lt;/D&gt;&lt;D xsi:type="xsd:double"&gt;186.65&lt;/D&gt;&lt;D xsi:type="xsd:double"&gt;185.17&lt;/D&gt;&lt;D xsi:type="xsd:double"&gt;182.72&lt;/D&gt;&lt;D xsi:type="xsd:double"&gt;180.8&lt;/D&gt;&lt;D xsi:type="xsd:double"&gt;186.51&lt;/D&gt;&lt;D xsi:type="xsd:double"&gt;181.96&lt;/D&gt;&lt;D xsi:type="xsd:double"&gt;184.76&lt;/D&gt;&lt;D xsi:type="xsd:double"&gt;185.13&lt;/D&gt;&lt;D xsi:type="xsd:double"&gt;186.33&lt;/D&gt;&lt;D xsi:type="xsd:double"&gt;187.97&lt;/D&gt;&lt;D xsi:type="xsd:double"&gt;191.16&lt;/D&gt;&lt;D xsi:type="xsd:double"&gt;192.53&lt;/D&gt;&lt;D xsi:type="xsd:double"&gt;193.96&lt;/D&gt;&lt;D xsi:type="xsd:double"&gt;193.88&lt;/D&gt;&lt;D xsi:type="xsd:double"&gt;191.6&lt;/D&gt;&lt;D xsi:type="xsd:double"&gt;189.87&lt;/D&gt;&lt;D xsi:type="xsd:double"&gt;186.43&lt;/D&gt;&lt;D xsi:type="xsd:double"&gt;186.88&lt;/D&gt;&lt;D xsi:type="xsd:double"&gt;184.89&lt;/D&gt;&lt;D xsi:type="xsd:double"&gt;186.49&lt;/D&gt;&lt;D xsi:type="xsd:double"&gt;187&lt;/D&gt;&lt;D xsi:type="xsd:double"&gt;184.52&lt;/D&gt;&lt;D xsi:type="xsd:double"&gt;179.55&lt;/D&gt;&lt;D xsi:type="xsd:double"&gt;175.4&lt;/D&gt;&lt;D xsi:type="xsd:double"&gt;171.39&lt;/D&gt;&lt;D xsi:type="xsd:double"&gt;177.89&lt;/D&gt;&lt;D xsi:type="xsd:double"&gt;173.33&lt;/D&gt;&lt;D xsi:type="xsd:double"&gt;176.25&lt;/D&gt;&lt;D xsi:type="xsd:double"&gt;178.5&lt;/D&gt;&lt;D xsi:type="xsd:double"&gt;172.12&lt;/D&gt;&lt;D xsi:type="xsd:double"&gt;170.8&lt;/D&gt;&lt;D xsi:type="xsd:double"&gt;173.12&lt;/D&gt;&lt;D xsi:type="xsd:double"&gt;175.5&lt;/D&gt;&lt;D xsi:type="xsd:double"&gt;177.04&lt;/D&gt;&lt;D xsi:type="xsd:double"&gt;176.13&lt;/D&gt;&lt;D xsi:type="xsd:double"&gt;180.11&lt;/D&gt;&lt;D xsi:type="xsd:double"&gt;178.88&lt;/D&gt;&lt;D xsi:type="xsd:double"&gt;178.22&lt;/D&gt;&lt;D xsi:type="xsd:double"&gt;177.06&lt;/D&gt;&lt;D xsi:type="xsd:double"&gt;177.59&lt;/D&gt;&lt;D xsi:type="xsd:double"&gt;170.1&lt;/D&gt;&lt;D xsi:type="xsd:double"&gt;170.23&lt;/D&gt;&lt;D xsi:type="xsd:double"&gt;166.8&lt;/D&gt;&lt;D xsi:type="xsd:double"&gt;166.94&lt;/D&gt;&lt;D xsi:type="xsd:double"&gt;165.8&lt;/D&gt;&lt;D xsi:type="xsd:double"&gt;162.77&lt;/D&gt;&lt;D xsi:type="xsd:double"&gt;161.93&lt;/D&gt;&lt;D xsi:type="xsd:double"&gt;161.02&lt;/D&gt;&lt;D xsi:type="xsd:double"&gt;167.9&lt;/D&gt;&lt;D xsi:type="xsd:double"&gt;184.07&lt;/D&gt;&lt;D xsi:type="xsd:double"&gt;186.98&lt;/D&gt;&lt;D xsi:type="xsd:double"&gt;181.71&lt;/D&gt;&lt;D xsi:type="xsd:double"&gt;183.2&lt;/D&gt;&lt;D xsi:type="xsd:double"&gt;182.5&lt;/D&gt;&lt;D xsi:type="xsd:double"&gt;179.85&lt;/D&gt;&lt;D xsi:type="xsd:double"&gt;180.83&lt;/D&gt;&lt;D xsi:type="xsd:double"&gt;186.41&lt;/D&gt;&lt;D xsi:type="xsd:double"&gt;182.55&lt;/D&gt;&lt;D xsi:type="xsd:double"&gt;183.13&lt;/D&gt;&lt;D xsi:type="xsd:double"&gt;183.75&lt;/D&gt;&lt;D xsi:type="xsd:double"&gt;187.93&lt;/D&gt;&lt;D xsi:type="xsd:double"&gt;193.02&lt;/D&gt;&lt;D xsi:type="xsd:double"&gt;192.72&lt;/D&gt;&lt;D xsi:type="xsd:double"&gt;194.49&lt;/D&gt;&lt;D xsi:type="xsd:double"&gt;195.05&lt;/D&gt;&lt;D xsi:type="xsd:double"&gt;199.79&lt;/D&gt;&lt;D xsi:type="xsd:double"&gt;199.34&lt;/D&gt;&lt;D xsi:type="xsd:double"&gt;199.29&lt;/D&gt;&lt;D xsi:type="xsd:double"&gt;200&lt;/D&gt;&lt;D xsi:type="xsd:double"&gt;197.59&lt;/D&gt;&lt;D xsi:type="xsd:double"&gt;200&lt;/D&gt;&lt;D xsi:type="xsd:double"&gt;197.2&lt;/D&gt;&lt;D xsi:type="xsd:double"&gt;193.25&lt;/D&gt;&lt;D xsi:type="xsd:double"&gt;197.85&lt;/D&gt;&lt;D xsi:type="xsd:double"&gt;193.61&lt;/D&gt;&lt;D xsi:type="xsd:double"&gt;186.34&lt;/D&gt;&lt;D xsi:type="xsd:double"&gt;185.57&lt;/D&gt;&lt;D xsi:type="xsd:double"&gt;189.08&lt;/D&gt;&lt;D xsi:type="xsd:double"&gt;186.1&lt;/D&gt;&lt;D xsi:type="xsd:double"&gt;182.81&lt;/D&gt;&lt;D xsi:type="xsd:double"&gt;184.06&lt;/D&gt;&lt;D xsi:type="xsd:double"&gt;183.66&lt;/D&gt;&lt;D xsi:type="xsd:double"&gt;183.83&lt;/D&gt;&lt;D xsi:type="xsd:double"&gt;186.89&lt;/D&gt;&lt;D xsi:type="xsd:double"&gt;187.23&lt;/D&gt;&lt;D xsi:type="xsd:double"&gt;187.06&lt;/D&gt;&lt;D xsi:type="xsd:double"&gt;184.3&lt;/D&gt;&lt;D xsi:type="xsd:double"&gt;185&lt;/D&gt;&lt;D xsi:type="xsd:double"&gt;181.28&lt;/D&gt;&lt;D xsi:type="xsd:double"&gt;179.34&lt;/D&gt;&lt;D xsi:type="xsd:double"&gt;178.34&lt;/D&gt;&lt;D xsi:type="xsd:double"&gt;176.44&lt;/D&gt;&lt;D xsi:type="xsd:double"&gt;179.32&lt;/D&gt;&lt;D xsi:type="xsd:double"&gt;182.02&lt;/D&gt;&lt;D xsi:type="xsd:double"&gt;182.15&lt;/D&gt;&lt;D xsi:type="xsd:double"&gt;180.75&lt;/D&gt;&lt;D xsi:type="xsd:double"&gt;181.05&lt;/D&gt;&lt;D xsi:type="xsd:double"&gt;183.13&lt;/D&gt;&lt;D xsi:type="xsd:double"&gt;183.15&lt;/D&gt;&lt;D xsi:type="xsd:double"&gt;183.54&lt;/D&gt;&lt;D xsi:type="xsd:double"&gt;184.7&lt;/D&gt;&lt;D xsi:type="xsd:double"&gt;183.63&lt;/D&gt;&lt;D xsi:type="xsd:double"&gt;185.99&lt;/D&gt;&lt;D xsi:type="xsd:double"&gt;187.07&lt;/D&gt;&lt;D xsi:type="xsd:double"&gt;186.57&lt;/D&gt;&lt;D xsi:type="xsd:double"&gt;187.48&lt;/D&gt;&lt;D xsi:type="xsd:double"&gt;189.5&lt;/D&gt;&lt;D xsi:type="xsd:double"&gt;188&lt;/D&gt;&lt;D xsi:type="xsd:double"&gt;188.76&lt;/D&gt;&lt;D xsi:type="xsd:double"&gt;188.7&lt;/D&gt;&lt;D xsi:type="xsd:double"&gt;186.21&lt;/D&gt;&lt;D xsi:type="xsd:double"&gt;184.72&lt;/D&gt;&lt;D xsi:type="xsd:double"&gt;179&lt;/D&gt;&lt;D xsi:type="xsd:double"&gt;175&lt;/D&gt;&lt;D xsi:type="xsd:double"&gt;180.96&lt;/D&gt;&lt;D xsi:type="xsd:double"&gt;179.62&lt;/D&gt;&lt;D xsi:type="xsd:double"&gt;173.67&lt;/D&gt;&lt;D xsi:type="xsd:double"&gt;176.59&lt;/D&gt;&lt;D xsi:type="xsd:double"&gt;179.54&lt;/D&gt;&lt;D xsi:type="xsd:double"&gt;177.23&lt;/D&gt;&lt;D xsi:type="xsd:double"&gt;174.63&lt;/D&gt;&lt;D xsi:type="xsd:double"&gt;179.22&lt;/D&gt;&lt;D xsi:type="xsd:double"&gt;181.28&lt;/D&gt;&lt;D xsi:type="xsd:double"&gt;183.32&lt;/D&gt;&lt;D xsi:type="xsd:double"&gt;183.62&lt;/D&gt;&lt;D xsi:type="xsd:double"&gt;186.13&lt;/D&gt;&lt;D xsi:type="xsd:double"&gt;189.05&lt;/D&gt;&lt;D xsi:type="xsd:double"&gt;185.95&lt;/D&gt;&lt;D xsi:type="xsd:double"&gt;185.67&lt;/D&gt;&lt;D xsi:type="xsd:double"&gt;185.19&lt;/D&gt;&lt;D xsi:type="xsd:double"&gt;185.07&lt;/D&gt;&lt;D xsi:type="xsd:double"&gt;180&lt;/D&gt;&lt;D xsi:type="xsd:double"&gt;182.41&lt;/D&gt;&lt;D xsi:type="xsd:double"&gt;180.69&lt;/D&gt;&lt;D xsi:type="xsd:double"&gt;180.97&lt;/D&gt;&lt;D xsi:type="xsd:double"&gt;180.38&lt;/D&gt;&lt;D xsi:type="xsd:double"&gt;179.83&lt;/D&gt;&lt;D xsi:type="xsd:double"&gt;178.3&lt;/D&gt;&lt;D xsi:type="xsd:double"&gt;179.71&lt;/D&gt;&lt;D xsi:type="xsd:double"&gt;178.87&lt;/D&gt;&lt;D xsi:type="xsd:double"&gt;178.15&lt;/D&gt;&lt;D xsi:type="xsd:double"&gt;178.15&lt;/D&gt;&lt;D xsi:type="xsd:double"&gt;175.9&lt;/D&gt;&lt;D xsi:type="xsd:double"&gt;174.48&lt;/D&gt;&lt;D xsi:type="xsd:double"&gt;174.42&lt;/D&gt;&lt;D xsi:type="xsd:double"&gt;178.75&lt;/D&gt;&lt;D xsi:type="xsd:double"&gt;176.555&lt;/D&gt;&lt;D xsi:type="xsd:double"&gt;175.39&lt;/D&gt;&lt;D xsi:type="xsd:double"&gt;171.96&lt;/D&gt;&lt;D xsi:type="xsd:double"&gt;175.35&lt;/D&gt;&lt;D xsi:type="xsd:double"&gt;176.82&lt;/D&gt;&lt;D xsi:type="xsd:double"&gt;173.51&lt;/D&gt;&lt;D xsi:type="xsd:double"&gt;174.12&lt;/D&gt;&lt;D xsi:type="xsd:double"&gt;177.58&lt;/D&gt;&lt;D xsi:type="xsd:double"&gt;178.22&lt;/D&gt;&lt;D xsi:type="xsd:double"&gt;176.76&lt;/D&gt;&lt;D xsi:type="xsd:double"&gt;173.16&lt;/D&gt;&lt;D xsi:type="xsd:double"&gt;173.54&lt;/D&gt;&lt;D xsi:type="xsd:double"&gt;174.73&lt;/D&gt;&lt;D xsi:type="xsd:double"&gt;174.99&lt;/D&gt;&lt;D xsi:type="xsd:double"&gt;174.58&lt;/D&gt;&lt;D xsi:type="xsd:double"&gt;168.59&lt;/D&gt;&lt;D xsi:type="xsd:double"&gt;167.08&lt;/D&gt;&lt;D xsi:type="xsd:double"&gt;169.51&lt;/D&gt;&lt;D xsi:type="xsd:double"&gt;169.8&lt;/D&gt;&lt;D xsi:type="xsd:double"&gt;170.98&lt;/D&gt;&lt;D xsi:type="xsd:double"&gt;168.64&lt;/D&gt;&lt;D xsi:type="xsd:double"&gt;172.34&lt;/D&gt;&lt;D xsi:type="xsd:double"&gt;174.45&lt;/D&gt;&lt;D xsi:type="xsd:double"&gt;169.84&lt;/D&gt;&lt;D xsi:type="xsd:double"&gt;170.53&lt;/D&gt;&lt;D xsi:type="xsd:double"&gt;169.15&lt;/D&gt;&lt;D xsi:type="xsd:double"&gt;170.31&lt;/D&gt;&lt;D xsi:type="xsd:double"&gt;171.81&lt;/D&gt;&lt;D xsi:type="xsd:double"&gt;159.28&lt;/D&gt;&lt;D xsi:type="xsd:double"&gt;155.2&lt;/D&gt;&lt;D xsi:type="xsd:double"&gt;159&lt;/D&gt;&lt;D xsi:type="xsd:double"&gt;161.26&lt;/D&gt;&lt;D xsi:type="xsd:double"&gt;159.12&lt;/D&gt;&lt;D xsi:type="xsd:double"&gt;157.75&lt;/D&gt;&lt;D xsi:type="xsd:double"&gt;156.87&lt;/D&gt;&lt;D xsi:type="xsd:double"&gt;156.02&lt;/D&gt;&lt;D xsi:type="xsd:double"&gt;154.78&lt;/D&gt;&lt;D xsi:type="xsd:double"&gt;155.34&lt;/D&gt;&lt;D xsi:type="xsd:double"&gt;153.5&lt;/D&gt;&lt;D xsi:type="xsd:double"&gt;151.71&lt;/D&gt;&lt;D xsi:type="xsd:double"&gt;153.16&lt;/D&gt;&lt;D xsi:type="xsd:double"&gt;154.62&lt;/D&gt;&lt;D xsi:type="xsd:double"&gt;155.18&lt;/D&gt;&lt;D xsi:type="xsd:double"&gt;153.73&lt;/D&gt;&lt;D xsi:type="xsd:double"&gt;151.37&lt;/D&gt;&lt;D xsi:type="xsd:double"&gt;149.1&lt;/D&gt;&lt;D xsi:type="xsd:double"&gt;145.24&lt;/D&gt;&lt;D xsi:type="xsd:double"&gt;144.57&lt;/D&gt;&lt;D xsi:type="xsd:double"&gt;148.47&lt;/D&gt;&lt;D xsi:type="xsd:double"&gt;149.93&lt;/D&gt;&lt;D xsi:type="xsd:double"&gt;151.94&lt;/D&gt;&lt;/FQL&gt;&lt;FQL&gt;&lt;Q&gt;META-US^FG_PRICE(45657,45657-1AY,,USD)&lt;/Q&gt;&lt;R&gt;253&lt;/R&gt;&lt;C&gt;1&lt;/C&gt;&lt;D xsi:type="xsd:double"&gt;585.51&lt;/D&gt;&lt;D xsi:type="xsd:double"&gt;591.24&lt;/D&gt;&lt;D xsi:type="xsd:double"&gt;599.81&lt;/D&gt;&lt;D xsi:type="xsd:double"&gt;603.35&lt;/D&gt;&lt;D xsi:type="xsd:double"&gt;607.75&lt;/D&gt;&lt;D xsi:type="xsd:double"&gt;599.85&lt;/D&gt;&lt;D xsi:type="xsd:double"&gt;585.25&lt;/D&gt;&lt;D xsi:type="xsd:double"&gt;595.57&lt;/D&gt;&lt;D xsi:type="xsd:double"&gt;597.19&lt;/D&gt;&lt;D xsi:type="xsd:double"&gt;619.44&lt;/D&gt;&lt;D xsi:type="xsd:double"&gt;624.24&lt;/D&gt;&lt;D xsi:type="xsd:double"&gt;620.35&lt;/D&gt;&lt;D xsi:type="xsd:double"&gt;630.79&lt;/D&gt;&lt;D xsi:type="xsd:double"&gt;632.68&lt;/D&gt;&lt;D xsi:type="xsd:double"&gt;619.32&lt;/D&gt;&lt;D xsi:type="xsd:double"&gt;613.57&lt;/D&gt;&lt;D xsi:type="xsd:double"&gt;623.77&lt;/D&gt;&lt;D xsi:type="xsd:double"&gt;608.93&lt;/D&gt;&lt;D xsi:type="xsd:double"&gt;613.78&lt;/D&gt;&lt;D xsi:type="xsd:double"&gt;613.65&lt;/D&gt;&lt;D xsi:type="xsd:double"&gt;592.83&lt;/D&gt;&lt;D xsi:type="xsd:double"&gt;574.32&lt;/D&gt;&lt;D xsi:type="xsd:double"&gt;569.2&lt;/D&gt;&lt;D xsi:type="xsd:double"&gt;573.54&lt;/D&gt;&lt;D xsi:type="xsd:double"&gt;565.11&lt;/D&gt;&lt;D xsi:type="xsd:double"&gt;559.14&lt;/D&gt;&lt;D xsi:type="xsd:double"&gt;563.09&lt;/D&gt;&lt;D xsi:type="xsd:double"&gt;565.52&lt;/D&gt;&lt;D xsi:type="xsd:double"&gt;561.09&lt;/D&gt;&lt;D xsi:type="xsd:double"&gt;554.4&lt;/D&gt;&lt;D xsi:type="xsd:double"&gt;554.08&lt;/D&gt;&lt;D xsi:type="xsd:double"&gt;577.16&lt;/D&gt;&lt;D xsi:type="xsd:double"&gt;580&lt;/D&gt;&lt;D xsi:type="xsd:double"&gt;584.82&lt;/D&gt;&lt;D xsi:type="xsd:double"&gt;583.17&lt;/D&gt;&lt;D xsi:type="xsd:double"&gt;589.34&lt;/D&gt;&lt;D xsi:type="xsd:double"&gt;591.7&lt;/D&gt;&lt;D xsi:type="xsd:double"&gt;572.05&lt;/D&gt;&lt;D xsi:type="xsd:double"&gt;572.43&lt;/D&gt;&lt;D xsi:type="xsd:double"&gt;560.68&lt;/D&gt;&lt;D xsi:type="xsd:double"&gt;567.16&lt;/D&gt;&lt;D xsi:type="xsd:double"&gt;567.58&lt;/D&gt;&lt;D xsi:type="xsd:double"&gt;591.8&lt;/D&gt;&lt;D xsi:type="xsd:double"&gt;593.28&lt;/D&gt;&lt;D xsi:type="xsd:double"&gt;578.16&lt;/D&gt;&lt;D xsi:type="xsd:double"&gt;573.25&lt;/D&gt;&lt;D xsi:type="xsd:double"&gt;567.78&lt;/D&gt;&lt;D xsi:type="xsd:double"&gt;563.69&lt;/D&gt;&lt;D xsi:type="xsd:double"&gt;582.01&lt;/D&gt;&lt;D xsi:type="xsd:double"&gt;575.16&lt;/D&gt;&lt;D xsi:type="xsd:double"&gt;576.47&lt;/D&gt;&lt;D xsi:type="xsd:double"&gt;576.93&lt;/D&gt;&lt;D xsi:type="xsd:double"&gt;576.79&lt;/D&gt;&lt;D xsi:type="xsd:double"&gt;586.27&lt;/D&gt;&lt;D xsi:type="xsd:double"&gt;590.42&lt;/D&gt;&lt;D xsi:type="xsd:double"&gt;589.95&lt;/D&gt;&lt;D xsi:type="xsd:double"&gt;583.83&lt;/D&gt;&lt;D xsi:type="xsd:double"&gt;590.51&lt;/D&gt;&lt;D xsi:type="xsd:double"&gt;592.89&lt;/D&gt;&lt;D xsi:type="xsd:double"&gt;584.78&lt;/D&gt;&lt;D xsi:type="xsd:double"&gt;595.94&lt;/D&gt;&lt;D xsi:type="xsd:double"&gt;582.77&lt;/D&gt;&lt;D xsi:type="xsd:double"&gt;572.81&lt;/D&gt;&lt;D xsi:type="xsd:double"&gt;576.47&lt;/D&gt;&lt;D xsi:type="xsd:double"&gt;572.44&lt;/D&gt;&lt;D xsi:type="xsd:double"&gt;567.36&lt;/D&gt;&lt;D xsi:type="xsd:double"&gt;567.84&lt;/D&gt;&lt;D xsi:type="xsd:double"&gt;568.31&lt;/D&gt;&lt;D xsi:type="xsd:double"&gt;563.33&lt;/D&gt;&lt;D xsi:type="xsd:double"&gt;564.41&lt;/D&gt;&lt;D xsi:type="xsd:double"&gt;561.35&lt;/D&gt;&lt;D xsi:type="xsd:double"&gt;559.1&lt;/D&gt;&lt;D xsi:type="xsd:double"&gt;537.95&lt;/D&gt;&lt;D xsi:type="xsd:double"&gt;536.315&lt;/D&gt;&lt;D xsi:type="xsd:double"&gt;533.28&lt;/D&gt;&lt;D xsi:type="xsd:double"&gt;524.62&lt;/D&gt;&lt;D xsi:type="xsd:double"&gt;525.6&lt;/D&gt;&lt;D xsi:type="xsd:double"&gt;511.83&lt;/D&gt;&lt;D xsi:type="xsd:double"&gt;504.79&lt;/D&gt;&lt;D xsi:type="xsd:double"&gt;504.79&lt;/D&gt;&lt;D xsi:type="xsd:double"&gt;500.27&lt;/D&gt;&lt;D xsi:type="xsd:double"&gt;516.86&lt;/D&gt;&lt;D xsi:type="xsd:double"&gt;512.74&lt;/D&gt;&lt;D xsi:type="xsd:double"&gt;511.76&lt;/D&gt;&lt;D xsi:type="xsd:double"&gt;521.31&lt;/D&gt;&lt;D xsi:type="xsd:double"&gt;518.22&lt;/D&gt;&lt;D xsi:type="xsd:double"&gt;516.78&lt;/D&gt;&lt;D xsi:type="xsd:double"&gt;519.1&lt;/D&gt;&lt;D xsi:type="xsd:double"&gt;521.12&lt;/D&gt;&lt;D xsi:type="xsd:double"&gt;528&lt;/D&gt;&lt;D xsi:type="xsd:double"&gt;531.93&lt;/D&gt;&lt;D xsi:type="xsd:double"&gt;535.16&lt;/D&gt;&lt;D xsi:type="xsd:double"&gt;526.73&lt;/D&gt;&lt;D xsi:type="xsd:double"&gt;529.28&lt;/D&gt;&lt;D xsi:type="xsd:double"&gt;527.42&lt;/D&gt;&lt;D xsi:type="xsd:double"&gt;537.33&lt;/D&gt;&lt;D xsi:type="xsd:double"&gt;526.76&lt;/D&gt;&lt;D xsi:type="xsd:double"&gt;528.54&lt;/D&gt;&lt;D xsi:type="xsd:double"&gt;515.95&lt;/D&gt;&lt;D xsi:type="xsd:double"&gt;517.77&lt;/D&gt;&lt;D xsi:type="xsd:double"&gt;509.63&lt;/D&gt;&lt;D xsi:type="xsd:double"&gt;488.92&lt;/D&gt;&lt;D xsi:type="xsd:double"&gt;494.09&lt;/D&gt;&lt;D xsi:type="xsd:double"&gt;475.73&lt;/D&gt;&lt;D xsi:type="xsd:double"&gt;488.14&lt;/D&gt;&lt;D xsi:type="xsd:double"&gt;497.74&lt;/D&gt;&lt;D xsi:type="xsd:double"&gt;474.83&lt;/D&gt;&lt;D xsi:type="xsd:double"&gt;463.19&lt;/D&gt;&lt;D xsi:type="xsd:double"&gt;465.71&lt;/D&gt;&lt;D xsi:type="xsd:double"&gt;465.7&lt;/D&gt;&lt;D xsi:type="xsd:double"&gt;453.41&lt;/D&gt;&lt;D xsi:type="xsd:double"&gt;461.27&lt;/D&gt;&lt;D xsi:type="xsd:double"&gt;488.69&lt;/D&gt;&lt;D xsi:type="xsd:double"&gt;487.4&lt;/D&gt;&lt;D xsi:type="xsd:double"&gt;476.79&lt;/D&gt;&lt;D xsi:type="xsd:double"&gt;475.85&lt;/D&gt;&lt;D xsi:type="xsd:double"&gt;461.99&lt;/D&gt;&lt;D xsi:type="xsd:double"&gt;489.79&lt;/D&gt;&lt;D xsi:type="xsd:double"&gt;496.16&lt;/D&gt;&lt;D xsi:type="xsd:double"&gt;498.87&lt;/D&gt;&lt;D xsi:type="xsd:double"&gt;512.7&lt;/D&gt;&lt;D xsi:type="xsd:double"&gt;534.69&lt;/D&gt;&lt;D xsi:type="xsd:double"&gt;530&lt;/D&gt;&lt;D xsi:type="xsd:double"&gt;529.32&lt;/D&gt;&lt;D xsi:type="xsd:double"&gt;539.91&lt;/D&gt;&lt;D xsi:type="xsd:double"&gt;509.96&lt;/D&gt;&lt;D xsi:type="xsd:double"&gt;509.5&lt;/D&gt;&lt;D xsi:type="xsd:double"&gt;504.68&lt;/D&gt;&lt;D xsi:type="xsd:double"&gt;504.22&lt;/D&gt;&lt;D xsi:type="xsd:double"&gt;519.56&lt;/D&gt;&lt;D xsi:type="xsd:double"&gt;513.12&lt;/D&gt;&lt;D xsi:type="xsd:double"&gt;510.6&lt;/D&gt;&lt;D xsi:type="xsd:double"&gt;498.91&lt;/D&gt;&lt;D xsi:type="xsd:double"&gt;494.78&lt;/D&gt;&lt;D xsi:type="xsd:double"&gt;501.7&lt;/D&gt;&lt;D xsi:type="xsd:double"&gt;499.49&lt;/D&gt;&lt;D xsi:type="xsd:double"&gt;506.63&lt;/D&gt;&lt;D xsi:type="xsd:double"&gt;504.16&lt;/D&gt;&lt;D xsi:type="xsd:double"&gt;504.1&lt;/D&gt;&lt;D xsi:type="xsd:double"&gt;508.84&lt;/D&gt;&lt;D xsi:type="xsd:double"&gt;507.47&lt;/D&gt;&lt;D xsi:type="xsd:double"&gt;502.6&lt;/D&gt;&lt;D xsi:type="xsd:double"&gt;492.96&lt;/D&gt;&lt;D xsi:type="xsd:double"&gt;493.76&lt;/D&gt;&lt;D xsi:type="xsd:double"&gt;495.06&lt;/D&gt;&lt;D xsi:type="xsd:double"&gt;476.99&lt;/D&gt;&lt;D xsi:type="xsd:double"&gt;477.49&lt;/D&gt;&lt;D xsi:type="xsd:double"&gt;466.83&lt;/D&gt;&lt;D xsi:type="xsd:double"&gt;467.05&lt;/D&gt;&lt;D xsi:type="xsd:double"&gt;474.36&lt;/D&gt;&lt;D xsi:type="xsd:double"&gt;479.92&lt;/D&gt;&lt;D xsi:type="xsd:double"&gt;478.22&lt;/D&gt;&lt;D xsi:type="xsd:double"&gt;465.78&lt;/D&gt;&lt;D xsi:type="xsd:double"&gt;467.78&lt;/D&gt;&lt;D xsi:type="xsd:double"&gt;464.63&lt;/D&gt;&lt;D xsi:type="xsd:double"&gt;468.84&lt;/D&gt;&lt;D xsi:type="xsd:double"&gt;471.91&lt;/D&gt;&lt;D xsi:type="xsd:double"&gt;473.23&lt;/D&gt;&lt;D xsi:type="xsd:double"&gt;481.54&lt;/D&gt;&lt;D xsi:type="xsd:double"&gt;471.85&lt;/D&gt;&lt;D xsi:type="xsd:double"&gt;468.01&lt;/D&gt;&lt;D xsi:type="xsd:double"&gt;476.2&lt;/D&gt;&lt;D xsi:type="xsd:double"&gt;475.42&lt;/D&gt;&lt;D xsi:type="xsd:double"&gt;472.6&lt;/D&gt;&lt;D xsi:type="xsd:double"&gt;468.24&lt;/D&gt;&lt;D xsi:type="xsd:double"&gt;465.68&lt;/D&gt;&lt;D xsi:type="xsd:double"&gt;451.96&lt;/D&gt;&lt;D xsi:type="xsd:double"&gt;441.68&lt;/D&gt;&lt;D xsi:type="xsd:double"&gt;439.19&lt;/D&gt;&lt;D xsi:type="xsd:double"&gt;430.17&lt;/D&gt;&lt;D xsi:type="xsd:double"&gt;432.62&lt;/D&gt;&lt;D xsi:type="xsd:double"&gt;443.29&lt;/D&gt;&lt;D xsi:type="xsd:double"&gt;441.38&lt;/D&gt;&lt;D xsi:type="xsd:double"&gt;493.5&lt;/D&gt;&lt;D xsi:type="xsd:double"&gt;496.1&lt;/D&gt;&lt;D xsi:type="xsd:double"&gt;481.73&lt;/D&gt;&lt;D xsi:type="xsd:double"&gt;481.07&lt;/D&gt;&lt;D xsi:type="xsd:double"&gt;501.8&lt;/D&gt;&lt;D xsi:type="xsd:double"&gt;494.17&lt;/D&gt;&lt;D xsi:type="xsd:double"&gt;499.76&lt;/D&gt;&lt;D xsi:type="xsd:double"&gt;500.23&lt;/D&gt;&lt;D xsi:type="xsd:double"&gt;511.9&lt;/D&gt;&lt;D xsi:type="xsd:double"&gt;523.16&lt;/D&gt;&lt;D xsi:type="xsd:double"&gt;519.83&lt;/D&gt;&lt;D xsi:type="xsd:double"&gt;516.9&lt;/D&gt;&lt;D xsi:type="xsd:double"&gt;519.25&lt;/D&gt;&lt;D xsi:type="xsd:double"&gt;527.34&lt;/D&gt;&lt;D xsi:type="xsd:double"&gt;510.92&lt;/D&gt;&lt;D xsi:type="xsd:double"&gt;506.74&lt;/D&gt;&lt;D xsi:type="xsd:double"&gt;497.37&lt;/D&gt;&lt;D xsi:type="xsd:double"&gt;491.35&lt;/D&gt;&lt;D xsi:type="xsd:double"&gt;485.58&lt;/D&gt;&lt;D xsi:type="xsd:double"&gt;493.86&lt;/D&gt;&lt;D xsi:type="xsd:double"&gt;495.89&lt;/D&gt;&lt;D xsi:type="xsd:double"&gt;503.02&lt;/D&gt;&lt;D xsi:type="xsd:double"&gt;509.58&lt;/D&gt;&lt;D xsi:type="xsd:double"&gt;507.76&lt;/D&gt;&lt;D xsi:type="xsd:double"&gt;505.52&lt;/D&gt;&lt;D xsi:type="xsd:double"&gt;496.24&lt;/D&gt;&lt;D xsi:type="xsd:double"&gt;496.98&lt;/D&gt;&lt;D xsi:type="xsd:double"&gt;484.1&lt;/D&gt;&lt;D xsi:type="xsd:double"&gt;491.83&lt;/D&gt;&lt;D xsi:type="xsd:double"&gt;495.57&lt;/D&gt;&lt;D xsi:type="xsd:double"&gt;499.75&lt;/D&gt;&lt;D xsi:type="xsd:double"&gt;483.59&lt;/D&gt;&lt;D xsi:type="xsd:double"&gt;505.95&lt;/D&gt;&lt;D xsi:type="xsd:double"&gt;512.19&lt;/D&gt;&lt;D xsi:type="xsd:double"&gt;496.09&lt;/D&gt;&lt;D xsi:type="xsd:double"&gt;490.22&lt;/D&gt;&lt;D xsi:type="xsd:double"&gt;498.19&lt;/D&gt;&lt;D xsi:type="xsd:double"&gt;502.3&lt;/D&gt;&lt;D xsi:type="xsd:double"&gt;490.13&lt;/D&gt;&lt;D xsi:type="xsd:double"&gt;484.02&lt;/D&gt;&lt;D xsi:type="xsd:double"&gt;487.05&lt;/D&gt;&lt;D xsi:type="xsd:double"&gt;481.74&lt;/D&gt;&lt;D xsi:type="xsd:double"&gt;484.03&lt;/D&gt;&lt;D xsi:type="xsd:double"&gt;486.13&lt;/D&gt;&lt;D xsi:type="xsd:double"&gt;468.03&lt;/D&gt;&lt;D xsi:type="xsd:double"&gt;471.75&lt;/D&gt;&lt;D xsi:type="xsd:double"&gt;473.32&lt;/D&gt;&lt;D xsi:type="xsd:double"&gt;484.03&lt;/D&gt;&lt;D xsi:type="xsd:double"&gt;473.28&lt;/D&gt;&lt;D xsi:type="xsd:double"&gt;460.12&lt;/D&gt;&lt;D xsi:type="xsd:double"&gt;468.9&lt;/D&gt;&lt;D xsi:type="xsd:double"&gt;468.11&lt;/D&gt;&lt;D xsi:type="xsd:double"&gt;470&lt;/D&gt;&lt;D xsi:type="xsd:double"&gt;469.59&lt;/D&gt;&lt;D xsi:type="xsd:double"&gt;454.72&lt;/D&gt;&lt;D xsi:type="xsd:double"&gt;459.41&lt;/D&gt;&lt;D xsi:type="xsd:double"&gt;474.99&lt;/D&gt;&lt;D xsi:type="xsd:double"&gt;394.78&lt;/D&gt;&lt;D xsi:type="xsd:double"&gt;390.14&lt;/D&gt;&lt;D xsi:type="xsd:double"&gt;400.06&lt;/D&gt;&lt;D xsi:type="xsd:double"&gt;401.02&lt;/D&gt;&lt;D xsi:type="xsd:double"&gt;394.14&lt;/D&gt;&lt;D xsi:type="xsd:double"&gt;393.18&lt;/D&gt;&lt;D xsi:type="xsd:double"&gt;390.7&lt;/D&gt;&lt;D xsi:type="xsd:double"&gt;385.2&lt;/D&gt;&lt;D xsi:type="xsd:double"&gt;381.78&lt;/D&gt;&lt;D xsi:type="xsd:double"&gt;383.45&lt;/D&gt;&lt;D xsi:type="xsd:double"&gt;376.13&lt;/D&gt;&lt;D xsi:type="xsd:double"&gt;368.37&lt;/D&gt;&lt;D xsi:type="xsd:double"&gt;367.46&lt;/D&gt;&lt;D xsi:type="xsd:double"&gt;374.49&lt;/D&gt;&lt;D xsi:type="xsd:double"&gt;369.67&lt;/D&gt;&lt;D xsi:type="xsd:double"&gt;370.47&lt;/D&gt;&lt;D xsi:type="xsd:double"&gt;357.43&lt;/D&gt;&lt;D xsi:type="xsd:double"&gt;358.66&lt;/D&gt;&lt;D xsi:type="xsd:double"&gt;351.95&lt;/D&gt;&lt;D xsi:type="xsd:double"&gt;347.12&lt;/D&gt;&lt;D xsi:type="xsd:double"&gt;344.47&lt;/D&gt;&lt;D xsi:type="xsd:double"&gt;346.29&lt;/D&gt;&lt;D xsi:type="xsd:double"&gt;353.96&lt;/D&gt;&lt;/FQL&gt;&lt;FQL&gt;&lt;Q&gt;META-US^JULIAN(FG_PRICE(45657,45657-1AY,,USD).DATES)&lt;/Q&gt;&lt;R&gt;253&lt;/R&gt;&lt;C&gt;1&lt;/C&gt;&lt;D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/FQL&gt;&lt;FQL&gt;&lt;Q&gt;^FG_COMPANY_NAME&lt;/Q&gt;&lt;R&gt;0&lt;/R&gt;&lt;C&gt;0&lt;/C&gt;&lt;/FQL&gt;&lt;FQL&gt;&lt;Q&gt;^PROPER_NAME&lt;/Q&gt;&lt;R&gt;0&lt;/R&gt;&lt;C&gt;0&lt;/C&gt;&lt;/FQL&gt;&lt;FQL&gt;&lt;Q&gt;WPP-GB^PROPER_NAME&lt;/Q&gt;&lt;R&gt;1&lt;/R&gt;&lt;C&gt;1&lt;/C&gt;&lt;D xsi:type="xsd:string"&gt;WPP Plc&lt;/D&gt;&lt;/FQL&gt;&lt;FQL&gt;&lt;Q&gt;WLY-US^PROPER_NAME&lt;/Q&gt;&lt;R&gt;1&lt;/R&gt;&lt;C&gt;1&lt;/C&gt;&lt;D xsi:type="xsd:string"&gt;John Wiley &amp;amp; Sons, Inc. Class A&lt;/D&gt;&lt;/FQL&gt;&lt;FQL&gt;&lt;Q&gt;WU-US^PROPER_NAME&lt;/Q&gt;&lt;R&gt;1&lt;/R&gt;&lt;C&gt;1&lt;/C&gt;&lt;D xsi:type="xsd:string"&gt;Western Union Company&lt;/D&gt;&lt;/FQL&gt;&lt;FQL&gt;&lt;Q&gt;WBA-US^PROPER_NAME&lt;/Q&gt;&lt;R&gt;1&lt;/R&gt;&lt;C&gt;1&lt;/C&gt;&lt;D xsi:type="xsd:string"&gt;Walgreens Boots Alliance, Inc.&lt;/D&gt;&lt;/FQL&gt;&lt;FQL&gt;&lt;Q&gt;VOW3-DE^PROPER_NAME&lt;/Q&gt;&lt;R&gt;1&lt;/R&gt;&lt;C&gt;1&lt;/C&gt;&lt;D xsi:type="xsd:string"&gt;Volkswagen AG Pref&lt;/D&gt;&lt;/FQL&gt;&lt;FQL&gt;&lt;Q&gt;VOD-GB^PROPER_NAME&lt;/Q&gt;&lt;R&gt;1&lt;/R&gt;&lt;C&gt;1&lt;/C&gt;&lt;D xsi:type="xsd:string"&gt;Vodafone Group Public Limited Company&lt;/D&gt;&lt;/FQL&gt;&lt;FQL&gt;&lt;Q&gt;VTRS-US^PROPER_NAME&lt;/Q&gt;&lt;R&gt;1&lt;/R&gt;&lt;C&gt;1&lt;/C&gt;&lt;D xsi:type="xsd:string"&gt;Viatris, Inc.&lt;/D&gt;&lt;/FQL&gt;&lt;FQL&gt;&lt;Q&gt;VZ-US^PROPER_NAME&lt;/Q&gt;&lt;R&gt;1&lt;/R&gt;&lt;C&gt;1&lt;/C&gt;&lt;D xsi:type="xsd:string"&gt;Verizon Communications Inc.&lt;/D&gt;&lt;/FQL&gt;&lt;FQL&gt;&lt;Q&gt;VAL-ZA^PROPER_NAME&lt;/Q&gt;&lt;R&gt;1&lt;/R&gt;&lt;C&gt;1&lt;/C&gt;&lt;D xsi:type="xsd:string"&gt;Valterra Platinum Limited&lt;/D&gt;&lt;/FQL&gt;&lt;FQL&gt;&lt;Q&gt;6995-JP^PROPER_NAME&lt;/Q&gt;&lt;R&gt;1&lt;/R&gt;&lt;C&gt;1&lt;/C&gt;&lt;D xsi:type="xsd:string"&gt;TOKAI RIKA CO., LTD.&lt;/D&gt;&lt;/FQL&gt;&lt;FQL&gt;&lt;Q&gt;TX-US^PROPER_NAME&lt;/Q&gt;&lt;R&gt;1&lt;/R&gt;&lt;C&gt;1&lt;/C&gt;&lt;D xsi:type="xsd:string"&gt;Ternium S.A. Sponsored ADR&lt;/D&gt;&lt;/FQL&gt;&lt;FQL&gt;&lt;Q&gt;UHR-CH^PROPER_NAME&lt;/Q&gt;&lt;R&gt;1&lt;/R&gt;&lt;C&gt;1&lt;/C&gt;&lt;D xsi:type="xsd:string"&gt;Swatch Group Ltd. Bearer&lt;/D&gt;&lt;/FQL&gt;&lt;FQL&gt;&lt;Q&gt;SWK-US^PROPER_NAME&lt;/Q&gt;&lt;R&gt;1&lt;/R&gt;&lt;C&gt;1&lt;/C&gt;&lt;D xsi:type="xsd:string"&gt;Stanley Black &amp;amp; Decker, Inc.&lt;/D&gt;&lt;/FQL&gt;&lt;FQL&gt;&lt;Q&gt;STAN-GB^PROPER_NAME&lt;/Q&gt;&lt;R&gt;1&lt;/R&gt;&lt;C&gt;1&lt;/C&gt;&lt;D xsi:type="xsd:string"&gt;Standard Chartered PLC&lt;/D&gt;&lt;/FQL&gt;&lt;FQL&gt;&lt;Q&gt;GLE-FR^PROPER_NAME&lt;/Q&gt;&lt;R&gt;1&lt;/R&gt;&lt;C&gt;1&lt;/C&gt;&lt;D xsi:type="xsd:string"&gt;Societe Generale S.A. Class A&lt;/D&gt;&lt;/FQL&gt;&lt;FQL&gt;&lt;Q&gt;055550-KR^PROPER_NAME&lt;/Q&gt;&lt;R&gt;1&lt;/R&gt;&lt;C&gt;1&lt;/C&gt;&lt;D xsi:type="xsd:string"&gt;Shinhan Financial Group Co., Ltd.&lt;/D&gt;&lt;/FQL&gt;&lt;FQL&gt;&lt;Q&gt;SESG-FR^PROPER_NAME&lt;/Q&gt;&lt;R&gt;1&lt;/R&gt;&lt;C&gt;1&lt;/C&gt;&lt;D xsi:type="xsd:string"&gt;SES SA FDR (Class A)&lt;/D&gt;&lt;/FQL&gt;&lt;FQL&gt;&lt;Q&gt;SAN-FR^PROPER_NAME&lt;/Q&gt;&lt;R&gt;1&lt;/R&gt;&lt;C&gt;1&lt;/C&gt;&lt;D xsi:type="xsd:string"&gt;Sanofi SA&lt;/D&gt;&lt;/FQL&gt;&lt;FQL&gt;&lt;Q&gt;005935-KR^PROPER_NAME&lt;/Q&gt;&lt;R&gt;1&lt;/R&gt;&lt;C&gt;1&lt;/C&gt;&lt;D xsi:type="xsd:string"&gt;Samsung Electronics Co Ltd Pfd  Non-Voting&lt;/D&gt;&lt;/FQL&gt;&lt;FQL&gt;&lt;Q&gt;SBH-US^PROPER_NAME&lt;/Q&gt;&lt;R&gt;1&lt;/R&gt;&lt;C&gt;1&lt;/C&gt;&lt;D xsi:type="xsd:string"&gt;Sally Beauty Holdings, Inc.&lt;/D&gt;&lt;/FQL&gt;&lt;FQL&gt;&lt;Q&gt;6963-JP^PROPER_NAME&lt;/Q&gt;&lt;R&gt;1&lt;/R&gt;&lt;C&gt;1&lt;/C&gt;&lt;D xsi:type="xsd:string"&gt;ROHM Company Limited&lt;/D&gt;&lt;/FQL&gt;&lt;FQL&gt;&lt;Q&gt;REP-ES^PROPER_NAME&lt;/Q&gt;&lt;R&gt;1&lt;/R&gt;&lt;C&gt;1&lt;/C&gt;&lt;D xsi:type="xsd:string"&gt;Repsol SA&lt;/D&gt;&lt;/FQL&gt;&lt;FQL&gt;&lt;Q&gt;PUM-DE^PROPER_NAME&lt;/Q&gt;&lt;R&gt;1&lt;/R&gt;&lt;C&gt;1&lt;/C&gt;&lt;D xsi:type="xsd:string"&gt;PUMA SE&lt;/D&gt;&lt;/FQL&gt;&lt;FQL&gt;&lt;Q&gt;PFE-US^PROPER_NAME&lt;/Q&gt;&lt;R&gt;1&lt;/R&gt;&lt;C&gt;1&lt;/C&gt;&lt;D xsi:type="xsd:string"&gt;Pfizer Inc.&lt;/D&gt;&lt;/FQL&gt;&lt;FQL&gt;&lt;Q&gt;9404-JP^PROPER_NAME&lt;/Q&gt;&lt;R&gt;1&lt;/R&gt;&lt;C&gt;1&lt;/C&gt;&lt;D xsi:type="xsd:string"&gt;Nippon Television Holdings, Inc.&lt;/D&gt;&lt;/FQL&gt;&lt;FQL&gt;&lt;Q&gt;7731-JP^PROPER_NAME&lt;/Q&gt;&lt;R&gt;1&lt;/R&gt;&lt;C&gt;1&lt;/C&gt;&lt;D xsi:type="xsd:string"&gt;Nikon Corp.&lt;/D&gt;&lt;/FQL&gt;&lt;FQL&gt;&lt;Q&gt;NWG-GB^PROPER_NAME&lt;/Q&gt;&lt;R&gt;1&lt;/R&gt;&lt;C&gt;1&lt;/C&gt;&lt;D xsi:type="xsd:string"&gt;NatWest Group Plc&lt;/D&gt;&lt;/FQL&gt;&lt;FQL&gt;&lt;Q&gt;TAP-US^PROPER_NAME&lt;/Q&gt;&lt;R&gt;1&lt;/R&gt;&lt;C&gt;1&lt;/C&gt;&lt;D xsi:type="xsd:string"&gt;Molson Coors Beverage Company Class B&lt;/D&gt;&lt;/FQL&gt;&lt;FQL&gt;&lt;Q&gt;MHK-US^PROPER_NAME&lt;/Q&gt;&lt;R&gt;1&lt;/R&gt;&lt;C&gt;1&lt;/C&gt;&lt;D xsi:type="xsd:string"&gt;Mohawk Industries, Inc.&lt;/D&gt;&lt;/FQL&gt;&lt;FQL&gt;&lt;Q&gt;7459-JP^PROPER_NAME&lt;/Q&gt;&lt;R&gt;1&lt;/R&gt;&lt;C&gt;1&lt;/C&gt;&lt;D xsi:type="xsd:string"&gt;MEDIPAL HOLDINGS Corporation&lt;/D&gt;&lt;/FQL&gt;&lt;FQL&gt;&lt;Q&gt;MAN-US^PROPER_NAME&lt;/Q&gt;&lt;R&gt;1&lt;/R&gt;&lt;C&gt;1&lt;/C&gt;&lt;D xsi:type="xsd:string"&gt;ManpowerGroup Inc.&lt;/D&gt;&lt;/FQL&gt;&lt;FQL&gt;&lt;Q&gt;M-US^PROPER_NAME&lt;/Q&gt;&lt;R&gt;1&lt;/R&gt;&lt;C&gt;1&lt;/C&gt;&lt;D xsi:type="xsd:string"&gt;Macy's, Inc.&lt;/D&gt;&lt;/FQL&gt;&lt;FQL&gt;&lt;Q&gt;LYB-US^PROPER_NAME&lt;/Q&gt;&lt;R&gt;1&lt;/R&gt;&lt;C&gt;1&lt;/C&gt;&lt;D xsi:type="xsd:string"&gt;LyondellBasell Industries NV&lt;/D&gt;&lt;/FQL&gt;&lt;FQL&gt;&lt;Q&gt;LEA-US^PROPER_NAME&lt;/Q&gt;&lt;R&gt;1&lt;/R&gt;&lt;C&gt;1&lt;/C&gt;&lt;D xsi:type="xsd:string"&gt;Lear Corporation&lt;/D&gt;&lt;/FQL&gt;&lt;FQL&gt;&lt;Q&gt;KHC-US^PROPER_NAME&lt;/Q&gt;&lt;R&gt;1&lt;/R&gt;&lt;C&gt;1&lt;/C&gt;&lt;D xsi:type="xsd:string"&gt;Kraft Heinz Company&lt;/D&gt;&lt;/FQL&gt;&lt;FQL&gt;&lt;Q&gt;AD-NL^PROPER_NAME&lt;/Q&gt;&lt;R&gt;1&lt;/R&gt;&lt;C&gt;1&lt;/C&gt;&lt;D xsi:type="xsd:string"&gt;Koninklijke Ahold Delhaize N.V.&lt;/D&gt;&lt;/FQL&gt;&lt;FQL&gt;&lt;Q&gt;KER-FR^PROPER_NAME&lt;/Q&gt;&lt;R&gt;1&lt;/R&gt;&lt;C&gt;1&lt;/C&gt;&lt;D xsi:type="xsd:string"&gt;Kering SA&lt;/D&gt;&lt;/FQL&gt;&lt;FQL&gt;&lt;Q&gt;105560-KR^PROPER_NAME&lt;/Q&gt;&lt;R&gt;1&lt;/R&gt;&lt;C&gt;1&lt;/C&gt;&lt;D xsi:type="xsd:string"&gt;KB Financial Group Inc.&lt;/D&gt;&lt;/FQL&gt;&lt;FQL&gt;&lt;Q&gt;INTC-US^PROPER_NAME&lt;/Q&gt;&lt;R&gt;1&lt;/R&gt;&lt;C&gt;1&lt;/C&gt;&lt;D xsi:type="xsd:string"&gt;Intel Corporation&lt;/D&gt;&lt;/FQL&gt;&lt;FQL&gt;&lt;Q&gt;HPE-US^PROPER_NAME&lt;/Q&gt;&lt;R&gt;1&lt;/R&gt;&lt;C&gt;1&lt;/C&gt;&lt;D xsi:type="xsd:string"&gt;Hewlett Packard Enterprise Co.&lt;/D&gt;&lt;/FQL&gt;&lt;FQL&gt;&lt;Q&gt;161390-KR^PROPER_NAME&lt;/Q&gt;&lt;R&gt;1&lt;/R&gt;&lt;C&gt;1&lt;/C&gt;&lt;D xsi:type="xsd:string"&gt;HANKOOK TIRE &amp;amp; TECHNOLOGY Co., Ltd.&lt;/D&gt;&lt;/FQL&gt;&lt;FQL&gt;&lt;Q&gt;HAL-US^PROPER_NAME&lt;/Q&gt;&lt;R&gt;1&lt;/R&gt;&lt;C&gt;1&lt;/C&gt;&lt;D xsi:type="xsd:string"&gt;Halliburton Company&lt;/D&gt;&lt;/FQL&gt;&lt;FQL&gt;&lt;Q&gt;4544-JP^PROPER_NAME&lt;/Q&gt;&lt;R&gt;1&lt;/R&gt;&lt;C&gt;1&lt;/C&gt;&lt;D xsi:type="xsd:string"&gt;H.U.Group Holdings, Inc.&lt;/D&gt;&lt;/FQL&gt;&lt;FQL&gt;&lt;Q&gt;GSK-GB^PROPER_NAME&lt;/Q&gt;&lt;R&gt;1&lt;/R&gt;&lt;C&gt;1&lt;/C&gt;&lt;D xsi:type="xsd:string"&gt;GSK plc&lt;/D&gt;&lt;/FQL&gt;&lt;FQL&gt;&lt;Q&gt;ENI-IT^PROPER_NAME&lt;/Q&gt;&lt;R&gt;1&lt;/R&gt;&lt;C&gt;1&lt;/C&gt;&lt;D xsi:type="xsd:string"&gt;Eni S.p.A.&lt;/D&gt;&lt;/FQL&gt;&lt;FQL&gt;&lt;Q&gt;4324-JP^PROPER_NAME&lt;/Q&gt;&lt;R&gt;1&lt;/R&gt;&lt;C&gt;1&lt;/C&gt;&lt;D xsi:type="xsd:string"&gt;Dentsu Group Inc.&lt;/D&gt;&lt;/FQL&gt;&lt;FQL&gt;&lt;Q&gt;CON-DE^PROPER_NAME&lt;/Q&gt;&lt;R&gt;1&lt;/R&gt;&lt;C&gt;1&lt;/C&gt;&lt;D xsi:type="xsd:string"&gt;Continental AG&lt;/D&gt;&lt;/FQL&gt;&lt;FQL&gt;&lt;Q&gt;CA-FR^PROPER_NAME&lt;/Q&gt;&lt;R&gt;1&lt;/R&gt;&lt;C&gt;1&lt;/C&gt;&lt;D xsi:type="xsd:string"&gt;Carrefour SA&lt;/D&gt;&lt;/FQL&gt;&lt;FQL&gt;&lt;Q&gt;BRBY-GB^PROPER_NAME&lt;/Q&gt;&lt;R&gt;1&lt;/R&gt;&lt;C&gt;1&lt;/C&gt;&lt;D xsi:type="xsd:string"&gt;Burberry Group plc&lt;/D&gt;&lt;/FQL&gt;&lt;FQL&gt;&lt;Q&gt;BT.A-GB^PROPER_NAME&lt;/Q&gt;&lt;R&gt;1&lt;/R&gt;&lt;C&gt;1&lt;/C&gt;&lt;D xsi:type="xsd:string"&gt;BT Group plc&lt;/D&gt;&lt;/FQL&gt;&lt;FQL&gt;&lt;Q&gt;BMY-US^PROPER_NAME&lt;/Q&gt;&lt;R&gt;1&lt;/R&gt;&lt;C&gt;1&lt;/C&gt;&lt;D xsi:type="xsd:string"&gt;Bristol-Myers Squibb Company&lt;/D&gt;&lt;/FQL&gt;&lt;FQL&gt;&lt;Q&gt;BAYN-DE^PROPER_NAME&lt;/Q&gt;&lt;R&gt;1&lt;/R&gt;&lt;C&gt;1&lt;/C&gt;&lt;D xsi:type="xsd:string"&gt;Bayer AG&lt;/D&gt;&lt;/FQL&gt;&lt;FQL&gt;&lt;Q&gt;BAS-DE^PROPER_NAME&lt;/Q&gt;&lt;R&gt;1&lt;/R&gt;&lt;C&gt;1&lt;/C&gt;&lt;D xsi:type="xsd:string"&gt;BASF SE&lt;/D&gt;&lt;/FQL&gt;&lt;FQL&gt;&lt;Q&gt;9888-HK^PROPER_NAME&lt;/Q&gt;&lt;R&gt;1&lt;/R&gt;&lt;C&gt;1&lt;/C&gt;&lt;D xsi:type="xsd:string"&gt;Baidu, Inc. Class A&lt;/D&gt;&lt;/FQL&gt;&lt;FQL&gt;&lt;Q&gt;ATHM-US^PROPER_NAME&lt;/Q&gt;&lt;R&gt;1&lt;/R&gt;&lt;C&gt;1&lt;/C&gt;&lt;D xsi:type="xsd:string"&gt;Autohome Inc. Sponsored ADR Class A&lt;/D&gt;&lt;/FQL&gt;&lt;FQL&gt;&lt;Q&gt;APTV-US^PROPER_NAME&lt;/Q&gt;&lt;R&gt;1&lt;/R&gt;&lt;C&gt;1&lt;/C&gt;&lt;D xsi:type="xsd:string"&gt;Aptiv PLC&lt;/D&gt;&lt;/FQL&gt;&lt;FQL&gt;&lt;Q&gt;914-HK^PROPER_NAME&lt;/Q&gt;&lt;R&gt;1&lt;/R&gt;&lt;C&gt;1&lt;/C&gt;&lt;D xsi:type="xsd:string"&gt;Anhui Conch Cement Company Limited Class H&lt;/D&gt;&lt;/FQL&gt;&lt;FQL&gt;&lt;Q&gt;AAL-GB^PROPER_NAME&lt;/Q&gt;&lt;R&gt;1&lt;/R&gt;&lt;C&gt;1&lt;/C&gt;&lt;D xsi:type="xsd:string"&gt;Anglo American plc&lt;/D&gt;&lt;/FQL&gt;&lt;FQL&gt;&lt;Q&gt;ADEN-CH^PROPER_NAME&lt;/Q&gt;&lt;R&gt;1&lt;/R&gt;&lt;C&gt;1&lt;/C&gt;&lt;D xsi:type="xsd:string"&gt;Adecco Group AG&lt;/D&gt;&lt;/FQL&gt;&lt;FQL&gt;&lt;Q&gt;DUMMY^CORREL_MATRIX(CORRELMATRIX)&lt;/Q&gt;&lt;R&gt;59&lt;/R&gt;&lt;C&gt;59&lt;/C&gt;&lt;D xsi:type="xsd:double"&gt;1&lt;/D&gt;&lt;D xsi:type="xsd:double"&gt;0.11517693&lt;/D&gt;&lt;D xsi:type="xsd:double"&gt;0.54925954&lt;/D&gt;&lt;D xsi:type="xsd:double"&gt;0.3651019&lt;/D&gt;&lt;D xsi:type="xsd:double"&gt;0.22372729&lt;/D&gt;&lt;D xsi:type="xsd:double"&gt;0.16270243&lt;/D&gt;&lt;D xsi:type="xsd:double"&gt;0.51298046&lt;/D&gt;&lt;D xsi:type="xsd:double"&gt;0.6489848&lt;/D&gt;&lt;D xsi:type="xsd:double"&gt;-0.38804024&lt;/D&gt;&lt;D xsi:type="xsd:double"&gt;0.6992435&lt;/D&gt;&lt;D xsi:type="xsd:double"&gt;0.42390242&lt;/D&gt;&lt;D xsi:typ</t>
        </r>
      </text>
    </comment>
    <comment ref="A2" authorId="0" shapeId="0" xr:uid="{6475BAC7-7066-4336-BD36-9FA96A58B77F}">
      <text>
        <r>
          <rPr>
            <b/>
            <sz val="9"/>
            <color indexed="81"/>
            <rFont val="Tahoma"/>
            <charset val="1"/>
          </rPr>
          <t>e="xsd:double"&gt;0.14227279&lt;/D&gt;&lt;D xsi:type="xsd:double"&gt;0.51561624&lt;/D&gt;&lt;D xsi:type="xsd:double"&gt;-0.4153874&lt;/D&gt;&lt;D xsi:type="xsd:double"&gt;0.634209&lt;/D&gt;&lt;D xsi:type="xsd:double"&gt;0.4799797&lt;/D&gt;&lt;D xsi:type="xsd:double"&gt;0.5767242&lt;/D&gt;&lt;D xsi:type="xsd:double"&gt;-0.4163073&lt;/D&gt;&lt;D xsi:type="xsd:double"&gt;0.6058646&lt;/D&gt;&lt;D xsi:type="xsd:double"&gt;-0.09983473&lt;/D&gt;&lt;D xsi:type="xsd:double"&gt;0.19769216&lt;/D&gt;&lt;D xsi:type="xsd:double"&gt;0.52252&lt;/D&gt;&lt;D xsi:type="xsd:double"&gt;0.014948568&lt;/D&gt;&lt;D xsi:type="xsd:double"&gt;0.49905276&lt;/D&gt;&lt;D xsi:type="xsd:double"&gt;-0.27062148&lt;/D&gt;&lt;D xsi:type="xsd:double"&gt;0.382218&lt;/D&gt;&lt;D xsi:type="xsd:double"&gt;-0.3786942&lt;/D&gt;&lt;D xsi:type="xsd:double"&gt;-0.2442672&lt;/D&gt;&lt;D xsi:type="xsd:double"&gt;-0.36097732&lt;/D&gt;&lt;D xsi:type="xsd:double"&gt;0.48184836&lt;/D&gt;&lt;D xsi:type="xsd:double"&gt;-0.02189534&lt;/D&gt;&lt;D xsi:type="xsd:double"&gt;-0.32941785&lt;/D&gt;&lt;D xsi:type="xsd:double"&gt;0.58192486&lt;/D&gt;&lt;D xsi:type="xsd:double"&gt;-0.16960822&lt;/D&gt;&lt;D xsi:type="xsd:double"&gt;0.4897161&lt;/D&gt;&lt;D xsi:type="xsd:double"&gt;-0.113806&lt;/D&gt;&lt;D xsi:type="xsd:double"&gt;-0.47092625&lt;/D&gt;&lt;D xsi:type="xsd:double"&gt;0.50738406&lt;/D&gt;&lt;D xsi:type="xsd:double"&gt;0.5663757&lt;/D&gt;&lt;D xsi:type="xsd:double"&gt;0.087446034&lt;/D&gt;&lt;D xsi:type="xsd:double"&gt;0.428548&lt;/D&gt;&lt;D xsi:type="xsd:double"&gt;-0.09865825&lt;/D&gt;&lt;D xsi:type="xsd:double"&gt;0.6924233&lt;/D&gt;&lt;D xsi:type="xsd:double"&gt;0.5448164&lt;/D&gt;&lt;D xsi:type="xsd:double"&gt;0.60056937&lt;/D&gt;&lt;D xsi:type="xsd:double"&gt;0.5844696&lt;/D&gt;&lt;D xsi:type="xsd:double"&gt;-0.25830948&lt;/D&gt;&lt;D xsi:type="xsd:double"&gt;0.06591915&lt;/D&gt;&lt;D xsi:type="xsd:double"&gt;0.40015692&lt;/D&gt;&lt;D xsi:type="xsd:double"&gt;0.51129013&lt;/D&gt;&lt;D xsi:type="xsd:double"&gt;0.48768333&lt;/D&gt;&lt;D xsi:type="xsd:double"&gt;0.49726757&lt;/D&gt;&lt;D xsi:type="xsd:double"&gt;-0.35247666&lt;/D&gt;&lt;D xsi:type="xsd:double"&gt;0.6721815&lt;/D&gt;&lt;D xsi:type="xsd:double"&gt;0.46776813&lt;/D&gt;&lt;D xsi:type="xsd:double"&gt;0.44539702&lt;/D&gt;&lt;D xsi:type="xsd:double"&gt;-0.5078394&lt;/D&gt;&lt;D xsi:type="xsd:double"&gt;-0.17021926&lt;/D&gt;&lt;D xsi:type="xsd:double"&gt;-0.5563553&lt;/D&gt;&lt;D xsi:type="xsd:double"&gt;0.11517693&lt;/D&gt;&lt;D xsi:type="xsd:double"&gt;1&lt;/D&gt;&lt;D xsi:type="xsd:double"&gt;0.4386025&lt;/D&gt;&lt;D xsi:type="xsd:double"&gt;0.76352626&lt;/D&gt;&lt;D xsi:type="xsd:double"&gt;0.22419727&lt;/D&gt;&lt;D xsi:type="xsd:double"&gt;0.81282496&lt;/D&gt;&lt;D xsi:type="xsd:double"&gt;0.18121447&lt;/D&gt;&lt;D xsi:type="xsd:double"&gt;0.44586813&lt;/D&gt;&lt;D xsi:type="xsd:double"&gt;-0.39319658&lt;/D&gt;&lt;D xsi:type="xsd:double"&gt;0.2700382&lt;/D&gt;&lt;D xsi:type="xsd:double"&gt;0.5411882&lt;/D&gt;&lt;D xsi:type="xsd:double"&gt;0.04876502&lt;/D&gt;&lt;D xsi:type="xsd:double"&gt;0.4387123&lt;/D&gt;&lt;D xsi:type="xsd:double"&gt;-0.13249713&lt;/D&gt;&lt;D xsi:type="xsd:double"&gt;0.6287316&lt;/D&gt;&lt;D xsi:type="xsd:double"&gt;0.64427054&lt;/D&gt;&lt;D xsi:type="xsd:double"&gt;0.56520987&lt;/D&gt;&lt;D xsi:type="xsd:double"&gt;0.16264147&lt;/D&gt;&lt;D xsi:type="xsd:double"&gt;0.15423897&lt;/D&gt;&lt;D xsi:type="xsd:double"&gt;0.7271944&lt;/D&gt;&lt;D xsi:type="xsd:double"&gt;0.86265045&lt;/D&gt;&lt;D xsi:type="xsd:double"&gt;0.5351223&lt;/D&gt;&lt;D xsi:type="xsd:double"&gt;0.88406116&lt;/D&gt;&lt;D xsi:type="xsd:double"&gt;0.23606125&lt;/D&gt;&lt;D xsi:type="xsd:double"&gt;-0.46416736&lt;/D&gt;&lt;D xsi:type="xsd:double"&gt;0.5738058&lt;/D&gt;&lt;D xsi:type="xsd:double"&gt;-0.3711415&lt;/D&gt;&lt;D xsi:type="xsd:double"&gt;0.744108&lt;/D&gt;&lt;D xsi:type="xsd:double"&gt;-0.38505593&lt;/D&gt;&lt;D xsi:type="xsd:double"&gt;0.35800943&lt;/D&gt;&lt;D xsi:type="xsd:double"&gt;0.39987168&lt;/D&gt;&lt;D xsi:type="xsd:double"&gt;-0.61294585&lt;/D&gt;&lt;D xsi:type="xsd:double"&gt;0.41195163&lt;/D&gt;&lt;D xsi:type="xsd:double"&gt;0.64069754&lt;/D&gt;&lt;D xsi:type="xsd:double"&gt;0.39197427&lt;/D&gt;&lt;D xsi:type="xsd:double"&gt;0.19385561&lt;/D&gt;&lt;D xsi:type="xsd:double"&gt;-0.07707192&lt;/D&gt;&lt;D xsi:type="xsd:double"&gt;0.7136937&lt;/D&gt;&lt;D xsi:type="xsd:double"&gt;0.7170449&lt;/D&gt;&lt;D xsi:type="xsd:double"&gt;0.75275624&lt;/D&gt;&lt;D xsi:type="xsd:double"&gt;0.79123706&lt;/D&gt;&lt;D xsi:type="xsd:double"&gt;-0.21771495&lt;/D&gt;&lt;D xsi:type="xsd:double"&gt;0.39697787&lt;/D&gt;&lt;D xsi:type="xsd:double"&gt;0.6093937&lt;/D&gt;&lt;D xsi:type="xsd:double"&gt;0.38012967&lt;/D&gt;&lt;D xsi:type="xsd:double"&gt;0.60275906&lt;/D&gt;&lt;D xsi:type="xsd:double"&gt;0.091057144&lt;/D&gt;&lt;D xsi:type="xsd:double"&gt;0.72487056&lt;/D&gt;&lt;D xsi:type="xsd:double"&gt;0.75392663&lt;/D&gt;&lt;D xsi:type="xsd:double"&gt;0.63032573&lt;/D&gt;&lt;D xsi:type="xsd:double"&gt;0.7631818&lt;/D&gt;&lt;D xsi:type="xsd:double"&gt;-0.2378169&lt;/D&gt;&lt;D xsi:type="xsd:double"&gt;0.19757584&lt;/D&gt;&lt;D xsi:type="xsd:double"&gt;0.53893006&lt;/D&gt;&lt;D xsi:type="xsd:double"&gt;0.14625034&lt;/D&gt;&lt;D xsi:type="xsd:double"&gt;-0.09820202&lt;/D&gt;&lt;D xsi:type="xsd:double"&gt;-0.3967141&lt;/D&gt;&lt;D xsi:type="xsd:double"&gt;-0.3493297&lt;/D&gt;&lt;D xsi:type="xsd:double"&gt;-0.41274565&lt;/D&gt;&lt;D xsi:type="xsd:double"&gt;0.54925954&lt;/D&gt;&lt;D xsi:type="xsd:double"&gt;0.4386025&lt;/D&gt;&lt;D xsi:type="xsd:double"&gt;1&lt;/D&gt;&lt;D xsi:type="xsd:double"&gt;0.5296965&lt;/D&gt;&lt;D xsi:type="xsd:double"&gt;0.39218313&lt;/D&gt;&lt;D xsi:type="xsd:double"&gt;0.5602354&lt;/D&gt;&lt;D xsi:type="xsd:double"&gt;0.40887594&lt;/D&gt;&lt;D xsi:type="xsd:double"&gt;0.52389616&lt;/D&gt;&lt;D xsi:type="xsd:double"&gt;-0.4264248&lt;/D&gt;&lt;D xsi:type="xsd:double"&gt;0.5483678&lt;/D&gt;&lt;D xsi:type="xsd:double"&gt;0.31093106&lt;/D&gt;&lt;D xsi:type="xsd:double"&gt;0.21690701&lt;/D&gt;&lt;D xsi:type="xsd:double"&gt;0.43026164&lt;/D&gt;&lt;D xsi:type="xsd:double"&gt;-0.3431443&lt;/D&gt;&lt;D xsi:type="xsd:double"&gt;0.648827&lt;/D&gt;&lt;D xsi:type="xsd:double"&gt;0.5207965&lt;/D&gt;&lt;D xsi:type="xsd:double"&gt;0.6253716&lt;/D&gt;&lt;D xsi:type="xsd:double"&gt;-0.22008395&lt;/D&gt;&lt;D xsi:type="xsd:double"&gt;0.4116597&lt;/D&gt;&lt;D xsi:type="xsd:double"&gt;0.24856672&lt;/D&gt;&lt;D xsi:type="xsd:double"&gt;0.55123335&lt;/D&gt;&lt;D xsi:type="xsd:double"&gt;0.39961553&lt;/D&gt;&lt;D xsi:type="xsd:double"&gt;0.45288163&lt;/D&gt;&lt;D xsi:type="xsd:double"&gt;0.37348107&lt;/D&gt;&lt;D xsi:type="xsd:double"&gt;-0.30479884&lt;/D&gt;&lt;D xsi:type="xsd:double"&gt;0.4177044&lt;/D&gt;&lt;D xsi:type="xsd:double"&gt;-0.5108782&lt;/D&gt;&lt;D xsi:type="xsd:double"&gt;0.27010146&lt;/D&gt;&lt;D xsi:type="xsd:double"&gt;-0.4241843&lt;/D&gt;&lt;D xsi:type="xsd:double"&gt;0.6620087&lt;/D&gt;&lt;D xsi:type="xsd:double"&gt;0.351821&lt;/D&gt;&lt;D xsi:type="xsd:double"&gt;-0.37718713&lt;/D&gt;&lt;D xsi:type="xsd:double"&gt;0.5084482&lt;/D&gt;&lt;D xsi:type="xsd:double"&gt;0.28406632&lt;/D&gt;&lt;D xsi:type="xsd:double"&gt;0.5986459&lt;/D&gt;&lt;D xsi:type="xsd:double"&gt;-0.15415417&lt;/D&gt;&lt;D xsi:type="xsd:double"&gt;-0.44207352&lt;/D&gt;&lt;D xsi:type="xsd:double"&gt;0.6270125&lt;/D&gt;&lt;D xsi:type="xsd:double"&gt;0.66704166&lt;/D&gt;&lt;D xsi:type="xsd:double"&gt;0.5206258&lt;/D&gt;&lt;D xsi:type="xsd:double"&gt;0.6668157&lt;/D&gt;&lt;D xsi:type="xsd:double"&gt;-0.13414323&lt;/D&gt;&lt;D xsi:type="xsd:double"&gt;0.5840055&lt;/D&gt;&lt;D xsi:type="xsd:double"&gt;0.5536653&lt;/D&gt;&lt;D xsi:type="xsd:double"&gt;0.570733&lt;/D&gt;&lt;D xsi:type="xsd:double"&gt;0.6265121&lt;/D&gt;&lt;D xsi:type="xsd:double"&gt;-0.19025974&lt;/D&gt;&lt;D xsi:type="xsd:double"&gt;0.4173617&lt;/D&gt;&lt;D xsi:type="xsd:double"&gt;0.64603037&lt;/D&gt;&lt;D xsi:type="xsd:double"&gt;0.7548551&lt;/D&gt;&lt;D xsi:type="xsd:double"&gt;0.6472816&lt;/D&gt;&lt;D xsi:type="xsd:double"&gt;0.22647436&lt;/D&gt;&lt;D xsi:type="xsd:double"&gt;-0.147391&lt;/D&gt;&lt;D xsi:type="xsd:double"&gt;0.6650698&lt;/D&gt;&lt;D xsi:type="xsd:double"&gt;0.4268826&lt;/D&gt;&lt;D xsi:type="xsd:double"&gt;0.2193778&lt;/D&gt;&lt;D xsi:type="xsd:double"&gt;-0.48991436&lt;/D&gt;&lt;D xsi:type="xsd:double"&gt;-0.2620837&lt;/D&gt;&lt;D xsi:type="xsd:double"&gt;-0.65317917&lt;/D&gt;&lt;D xsi:type="xsd:double"&gt;0.3651019&lt;/D&gt;&lt;D xsi:type="xsd:double"&gt;0.76352626&lt;/D&gt;&lt;D xsi:type="xsd:double"&gt;0.5296965&lt;/D&gt;&lt;D xsi:type="xsd:double"&gt;1&lt;/D&gt;&lt;D xsi:type="xsd:double"&gt;0.21692458&lt;/D&gt;&lt;D xsi:type="xsd:double"&gt;0.74038666&lt;/D&gt;&lt;D xsi:type="xsd:double"&gt;0.4372796&lt;/D&gt;&lt;D xsi:type="xsd:double"&gt;0.7942288&lt;/D&gt;&lt;D xsi:type="xsd:double"&gt;-0.66608&lt;/D&gt;&lt;D xsi:type="xsd:double"&gt;0.67564386&lt;/D&gt;&lt;D xsi:type="xsd:double"&gt;0.7930219&lt;/D&gt;&lt;D xsi:type="xsd:double"&gt;-0.01679761&lt;/D&gt;&lt;D xsi:type="xsd:double"&gt;0.7740942&lt;/D&gt;&lt;D xsi:type="xsd:double"&gt;-0.4651805&lt;/D&gt;&lt;D xsi:type="xsd:double"&gt;0.87284625&lt;/D&gt;&lt;D xsi:type="xsd:double"&gt;0.7966279&lt;/D&gt;&lt;D xsi:type="xsd:double"&gt;0.86594605&lt;/D&gt;&lt;D xsi:type="xsd:double"&gt;-0.29478833&lt;/D&gt;&lt;D xsi:type="xsd:double"&gt;0.4093171&lt;/D&gt;&lt;D xsi:type="xsd:double"&gt;0.59953195&lt;/D&gt;&lt;D xsi:type="xsd:double"&gt;0.71576226&lt;/D&gt;&lt;D xsi:type="xsd:double"&gt;0.74408215&lt;/D&gt;&lt;D xsi:type="xsd:double"&gt;0.7328409&lt;/D&gt;&lt;D xsi:type="xsd:double"&gt;0.5814618&lt;/D&gt;&lt;D xsi:type="xsd:double"&gt;-0.7609426&lt;/D&gt;&lt;D xsi:type="xsd:double"&gt;0.6846486&lt;/D&gt;&lt;D xsi:type="xsd:double"&gt;-0.66702247&lt;/D&gt;&lt;D xsi:type="xsd:double"&gt;0.4332379&lt;/D&gt;&lt;D xsi:type="xsd:double"&gt;-0.70397604&lt;/D&gt;&lt;D xsi:type="xsd:double"&gt;0.6110222&lt;/D&gt;&lt;D xsi:type="xsd:double"&gt;0.17966107&lt;/D&gt;&lt;D xsi:type="xsd:double"&gt;-0.8278317&lt;/D&gt;&lt;D xsi:type="xsd:double"&gt;0.76729786&lt;/D&gt;&lt;D xsi:type="xsd:double"&gt;0.25810218&lt;/D&gt;&lt;D xsi:type="xsd:double"&gt;0.7692587&lt;/D&gt;&lt;D xsi:type="xsd:double"&gt;-0.038480967&lt;/D&gt;&lt;D xsi:type="xsd:double"&gt;-0.5192461&lt;/D&gt;&lt;D xsi:type="xsd:double"&gt;0.93275046&lt;/D&gt;&lt;D xsi:type="xsd:double"&gt;0.91086036&lt;/D&gt;&lt;D xsi:type="xsd:double"&gt;0.5979728&lt;/D&gt;&lt;D xsi:type="xsd:double"&gt;0.8199717&lt;/D&gt;&lt;D xsi:type="xsd:double"&gt;-0.24815005&lt;/D&gt;&lt;D xsi:type="xsd:double"&gt;0.73502254&lt;/D&gt;&lt;D xsi:type="xsd:double"&gt;0.775952&lt;/D&gt;&lt;D xsi:type="xsd:double"&gt;0.77744013&lt;/D&gt;&lt;D xsi:type="xsd:double"&gt;0.903217&lt;/D&gt;&lt;D xsi:type="xsd:double"&gt;-0.15933016&lt;/D&gt;&lt;D xsi:type="xsd:double"&gt;0.44958967&lt;/D&gt;&lt;D xsi:type="xsd:double"&gt;0.6074023&lt;/D&gt;&lt;D xsi:type="xsd:double"&gt;0.88571763&lt;/D&gt;&lt;D xsi:type="xsd:double"&gt;0.87418514&lt;/D&gt;&lt;D xsi:type="xsd:double"&gt;0.047559205&lt;/D&gt;&lt;D xsi:type="xsd:double"&gt;-0.14302832&lt;/D&gt;&lt;D xsi:type="xsd:double"&gt;0.819901&lt;/D&gt;&lt;D xsi:type="xsd:double"&gt;0.56449246&lt;/D&gt;&lt;D xsi:type="xsd:double"&gt;0.6269284&lt;/D&gt;&lt;D xsi:type="xsd:double"&gt;-0.7326392&lt;/D&gt;&lt;D xsi:type="xsd:double"&gt;-0.63626486&lt;/D&gt;&lt;D xsi:type="xsd:double"&gt;-0.7604218&lt;/D&gt;&lt;D xsi:type="xsd:double"&gt;0.22372729&lt;/D&gt;&lt;D xsi:type="xsd:double"&gt;0.22419727&lt;/D&gt;&lt;D xsi:type="xsd:double"&gt;0.39218313&lt;/D&gt;&lt;D xsi:type="xsd:double"&gt;0.21692458&lt;/D&gt;&lt;D xsi:type="xsd:double"&gt;1&lt;/D&gt;&lt;D xsi:type="xsd:double"&gt;0.21557653&lt;/D&gt;&lt;D xsi:type="xsd:double"&gt;0.55596536&lt;/D&gt;&lt;D xsi:type="xsd:double"&gt;0.063010044&lt;/D&gt;&lt;D xsi:type="xsd:double"&gt;0.2545355&lt;/D&gt;&lt;D xsi:type="xsd:double"&gt;0.046853334&lt;/D&gt;&lt;D xsi:type="xsd:double"&gt;0.1529728&lt;/D&gt;&lt;D xsi:type="xsd:double"&gt;-0.3196821&lt;/D&gt;&lt;D xsi:type="xsd:double"&gt;-0.12011125&lt;/D&gt;&lt;D xsi:type="xsd:double"&gt;-0.02401644&lt;/D&gt;&lt;D xsi:type="xsd:double"&gt;0.22705545&lt;/D&gt;&lt;D xsi:type="xsd:double"&gt;0.09024936&lt;/D&gt;&lt;D xsi:type="xsd:double"&gt;0.034607228&lt;/D&gt;&lt;D xsi:type="xsd:double"&gt;0.23547839&lt;/D&gt;&lt;D xsi:type="xsd:double"&gt;-0.06866512&lt;/D&gt;&lt;D xsi:type="xsd:double"&gt;0.2615269&lt;/D&gt;&lt;D xsi:type="xsd:double"&gt;0.17129643&lt;/D&gt;&lt;D xsi:type="xsd:double"&gt;-0.0004906234&lt;/D&gt;&lt;D xsi:type="xsd:double"&gt;0.3725389&lt;/D&gt;&lt;D xsi:type="xsd:double"&gt;-0.23122592&lt;/D&gt;&lt;D xsi:type="xsd:double"&gt;0.27253544&lt;/D&gt;&lt;D xsi:type="xsd:double"&gt;0.45245093&lt;/D&gt;&lt;D xsi:type="xsd:double"&gt;0.22062525&lt;/D&gt;&lt;D xsi:type="xsd:double"&gt;0.30877623&lt;/D&gt;&lt;D xsi:type="xsd:double"&gt;0.23876101&lt;/D&gt;&lt;D xsi:type="xsd:double"&gt;0.15183024&lt;/D&gt;&lt;D xsi:type="xsd:double"&gt;0.52014005&lt;/D&gt;&lt;D xsi:type="xsd:double"&gt;0.095413804&lt;/D&gt;&lt;D xsi:type="xsd:double"&gt;-0.05629476&lt;/D&gt;&lt;D xsi:type="xsd:double"&gt;0.28638336&lt;/D&gt;&lt;D xsi:type="xsd:double"&gt;0.07965833&lt;/D&gt;&lt;D xsi:type="xsd:double"&gt;0.42239547&lt;/D&gt;&lt;D xsi:type="xsd:double"&gt;-0.021444751&lt;/D&gt;&lt;D xsi:type="xsd:double"&gt;0.17498033&lt;/D&gt;&lt;D xsi:type="xsd:double"&gt;0.23700751&lt;/D&gt;&lt;D xsi:type="xsd:double"&gt;0.30747798&lt;/D&gt;&lt;D xsi:type="xsd:double"&gt;0.088859685&lt;/D&gt;&lt;D xsi:type="xsd:double"&gt;0.2887787&lt;/D&gt;&lt;D xsi:type="xsd:double"&gt;0.048033994&lt;/D&gt;&lt;D xsi:type="xsd:double"&gt;0.06434158&lt;/D&gt;&lt;D xsi:type="xsd:double"&gt;0.05062095&lt;/D&gt;&lt;D xsi:type="xsd:double"&gt;0.22064541&lt;/D&gt;&lt;D xsi:type="xsd:double"&gt;0.5140559&lt;/D&gt;&lt;D xsi:type="xsd:double"&gt;0.41091922&lt;/D&gt;&lt;D xsi:type="xsd:double"&gt;0.4497578&lt;/D&gt;&lt;D xsi:type="xsd:double"&gt;0.33791444&lt;/D&gt;&lt;D xsi:type="xsd:double"&gt;0.11012538&lt;/D&gt;&lt;D xsi:type="xsd:double"&gt;0.24016178&lt;/D&gt;&lt;D xsi:type="xsd:double"&gt;0.2147329&lt;/D&gt;&lt;D xsi:type="xsd:double"&gt;0.102156594&lt;/D&gt;&lt;D xsi:type="xsd:double"&gt;0.31527492&lt;/D&gt;&lt;D xsi:type="xsd:double"&gt;-0.05245912&lt;/D&gt;&lt;D xsi:type="xsd:double"&gt;0.07939036&lt;/D&gt;&lt;D xsi:type="xsd:double"&gt;0.04103341&lt;/D&gt;&lt;D xsi:type="xsd:double"&gt;-0.04223836&lt;/D&gt;&lt;D xsi:type="xsd:double"&gt;0.16270243&lt;/D&gt;&lt;D xsi:type="xsd:double"&gt;0.81282496&lt;/D&gt;&lt;D xsi:type="xsd:double"&gt;0.5602354&lt;/D&gt;&lt;D xsi:type="xsd:double"&gt;0.74038666&lt;/D&gt;&lt;D xsi:type="xsd:double"&gt;0.21557653&lt;/D&gt;&lt;D xsi:type="xsd:double"&gt;1&lt;/D&gt;&lt;D xsi:type="xsd:double"&gt;0.17473555&lt;/D&gt;&lt;D xsi:type="xsd:double"&gt;0.46762243&lt;/D&gt;&lt;D xsi:type="xsd:double"&gt;-0.44919306&lt;/D&gt;&lt;D xsi:type="xsd:double"&gt;0.30657998&lt;/D&gt;&lt;D xsi:type="xsd:double"&gt;0.35090584&lt;/D&gt;&lt;D xsi:type="xsd:double"&gt;0.12600553&lt;/D&gt;&lt;D xsi:type="xsd:double"&gt;0.44226265&lt;/D&gt;&lt;D xsi:type="xsd:double"&gt;-0.18163247&lt;/D&gt;&lt;D xsi:type="xsd:double"&gt;0.6092958&lt;/D&gt;&lt;D xsi:type="xsd:double"&gt;0.68703526&lt;/D&gt;&lt;D xsi:type="xsd:double"&gt;0.6018659&lt;/D&gt;&lt;D xsi:type="xsd:double"&gt;-0.023926785&lt;/D&gt;&lt;D xsi:type="xsd:double"&gt;0.10052373&lt;/D&gt;&lt;D xsi:type="xsd:double"&gt;0.48937276&lt;/D&gt;&lt;D xsi:type="xsd:double"&gt;0.8812962&lt;/D&gt;&lt;D xsi:type="xsd:double"&gt;0.43308023&lt;/D&gt;&lt;D xsi:type="xsd:double"&gt;0.76531225&lt;/D&gt;&lt;D xsi:type="xsd:double"&gt;0.30775917&lt;/D&gt;&lt;D xsi:type="xsd:double"&gt;-0.51544386&lt;/D&gt;&lt;D xsi:type="xsd:double"&gt;0.34579176&lt;/D&gt;&lt;D xsi:type="xsd:double"&gt;-0.53209716&lt;/D&gt;&lt;D xsi:type="xsd:double"&gt;0.6156498&lt;/D&gt;&lt;D xsi:type="xsd:double"&gt;-0.47642007&lt;/D&gt;&lt;D xsi:type="xsd:double"&gt;0.44918072&lt;/D&gt;&lt;D xsi:type="xsd:double"&gt;0.23713721&lt;/D&gt;&lt;D xsi:type="xsd:double"&gt;-0.57496536&lt;/D&gt;&lt;D xsi:type="xsd:double"&gt;0.46521476&lt;/D&gt;&lt;D xsi:type="xsd:double"&gt;0.57208055&lt;/D&gt;&lt;D xsi:type="xsd:double"&gt;0.5538335&lt;/D&gt;&lt;D xsi:type="xsd:double"&gt;0.00417582&lt;/D&gt;&lt;D xsi:type="xsd:double"&gt;-0.28556967&lt;/D&gt;&lt;D xsi:type="xsd:double"&gt;0.71703225&lt;/D&gt;&lt;D xsi:type="xsd:double"&gt;0.7030049&lt;/D&gt;&lt;D xsi:type="xsd:double"&gt;0.64833254&lt;/D&gt;&lt;D xsi:type="xsd:double"&gt;0.7833864&lt;/D&gt;&lt;D xsi:type="xsd:double"&gt;-0.17412315&lt;/D&gt;&lt;D xsi:type="xsd:double"&gt;0.5251479&lt;/D&gt;&lt;D xsi:type="xsd:double"&gt;0.5273377&lt;/D&gt;&lt;D xsi:type="xsd:double"&gt;0.49203366&lt;/D&gt;&lt;D xsi:type="xsd:double"&gt;0.63095534&lt;/D&gt;&lt;D xsi:type="xsd:double"&gt;-0.11001577&lt;/D&gt;&lt;D xsi:type="xsd:double"&gt;0.5960572&lt;/D&gt;&lt;D xsi:type="xsd:double"&gt;0.6894973&lt;/D&gt;&lt;D xsi:type="xsd:double"&gt;0.7059401&lt;/D&gt;&lt;D xsi:type="xsd:double"&gt;0.8005203&lt;/D&gt;&lt;D xsi:type="xsd:double"&gt;-0.06796989&lt;/D&gt;&lt;D xsi:type="xsd:double"&gt;-0.066152275&lt;/D&gt;&lt;D xsi:type="xsd:double"&gt;0.5275521&lt;/D&gt;&lt;D xsi:type="xsd:double"&gt;0.21606971&lt;/D&gt;&lt;D xsi:type="xsd:double"&gt;0.04056204&lt;/D&gt;&lt;D xsi:type="xsd:double"&gt;-0.4643292&lt;/D&gt;&lt;D xsi:type="xsd:double"&gt;-0.38606066&lt;/D&gt;&lt;D xsi:type="xsd:double"&gt;-0.5660361&lt;/D&gt;&lt;D xsi:type="xsd:double"&gt;0.51298046&lt;/D&gt;&lt;D xsi:type="xsd:double"&gt;0.18121447&lt;/D&gt;&lt;D xsi:type="xsd:double"&gt;0.40887594&lt;/D&gt;&lt;D xsi:type="xsd:double"&gt;0.4372796&lt;/D&gt;&lt;D xsi:type="xsd:double"&gt;0.55596536&lt;/D&gt;&lt;D xsi:type="xsd:double"&gt;0.17473555&lt;/D&gt;&lt;D xsi:type="xsd:double"&gt;1&lt;/D&gt;&lt;D xsi:type="xsd:double"&gt;0.5316736&lt;/D&gt;&lt;D xsi:type="xsd:double"&gt;-0.18245253&lt;/D&gt;&lt;D xsi:type="xsd:double"&gt;0.44835097&lt;/D&gt;&lt;D xsi:type="xsd:double"&gt;0.4157472&lt;/D&gt;&lt;D xsi:type="xsd:double"&gt;-0.110639796&lt;/D&gt;&lt;D xsi:type="xsd:double"&gt;0.47000578&lt;/D&gt;&lt;D xsi:type="xsd:double"&gt;-0.5764852&lt;/D&gt;&lt;D xsi:type="xsd:double"&gt;0.4807538&lt;/D&gt;&lt;D xsi:type="xsd:double"&gt;0.5046952&lt;/D&gt;&lt;D xsi:type="xsd:double"&gt;0.398545&lt;/D&gt;&lt;D xsi:type="xsd:double"&gt;-0.37335473&lt;/D&gt;&lt;D xsi:type="xsd:double"&gt;0.20686057&lt;/D&gt;&lt;D xsi:type="xsd:double"&gt;-0.062034298&lt;/D&gt;&lt;D xsi:type="xsd:double"&gt;0.176307&lt;/D&gt;&lt;D xsi:type="xsd:double"&gt;0.15726459&lt;/D&gt;&lt;D xsi:type="xsd:double"&gt;0.28373635&lt;/D&gt;&lt;D xsi:type="xsd:double"&gt;0.4147779&lt;/D&gt;&lt;D xsi:type="xsd:double"&gt;-0.24206029&lt;/D&gt;&lt;D xsi:type="xsd:double"&gt;0.31055942&lt;/D&gt;&lt;D xsi:type="xsd:double"&gt;-0.2902235&lt;/D&gt;&lt;D xsi:type="xsd:double"&gt;-0.15190274&lt;/D&gt;&lt;D xsi:type="xsd:double"&gt;-0.28915855&lt;/D&gt;&lt;D xsi:type="xsd:double"&gt;0.2284876&lt;/D&gt;&lt;D xsi:type="xsd:double"&gt;-0.077541925&lt;/D&gt;&lt;D xsi:type="xsd:double"&gt;-0.24173346&lt;/D&gt;&lt;D xsi:type="xsd:double"&gt;0.4975991&lt;/D&gt;&lt;D xsi:type="xsd:double"&gt;-0.1775566&lt;/D&gt;&lt;D xsi:type="xsd:double"&gt;0.47195798&lt;/D&gt;&lt;D xsi:type="xsd:double"&gt;-0.025001608&lt;/D&gt;&lt;D xsi:type="xsd:double"&gt;-0.5813492&lt;/D&gt;&lt;D xsi:type="xsd:double"&gt;0.4272118&lt;/D&gt;&lt;D xsi:type="xsd:double"&gt;0.40691832&lt;/D&gt;&lt;D xsi:type="xsd:double"&gt;-0.028223893&lt;/D&gt;&lt;D xsi:type="xsd:double"&gt;0.24027468&lt;/D&gt;&lt;D xsi:type="xsd:double"&gt;0.46841812&lt;/D&gt;&lt;D xsi:type="xsd:double"&gt;0.54886466&lt;/D&gt;&lt;D xsi:type="xsd:double"&gt;0.19976266&lt;/D&gt;&lt;D xsi:type="xsd:double"&gt;0.56029373&lt;/D&gt;&lt;D xsi:type="xsd:double"&gt;0.57820517&lt;/D&gt;&lt;D xsi:type="xsd:double"&gt;-0.07535427&lt;/D&gt;&lt;D xsi:type="xsd:double"&gt;0.21446982&lt;/D&gt;&lt;D xsi:type="xsd:double"&gt;0.19877051&lt;/D&gt;&lt;D xsi:type="xsd:double"&gt;0.47438163&lt;/D&gt;&lt;D xsi:type="xsd:double"&gt;0.32001618&lt;/D&gt;&lt;D xsi:type="xsd:double"&gt;0.3990684&lt;/D&gt;&lt;D xsi:type="xsd:double"&gt;-0.4011976&lt;/D&gt;&lt;D xsi:type="xsd:double"&gt;0.45176914&lt;/D&gt;&lt;D xsi:type="xsd:double"&gt;0.8380357&lt;/D&gt;&lt;D xsi:type="xsd:double"&gt;0.5314678&lt;/D&gt;&lt;D xsi:type="xsd:double"&gt;-0.29286098&lt;/D&gt;&lt;D xsi:type="xsd:double"&gt;-0.42918554&lt;/D&gt;&lt;D xsi:type="xsd:double"&gt;-0.48413196&lt;/D&gt;&lt;D xsi:type="xsd:double"&gt;0.6489848&lt;/D&gt;&lt;D xsi:type="xsd:double"&gt;0.44586813&lt;/D&gt;&lt;D xsi:type="xsd:double"&gt;0.52389616&lt;/D&gt;&lt;D xsi:type="xsd:double"&gt;0.7942288&lt;/D&gt;&lt;D xsi:type="xsd:double"&gt;0.063010044&lt;/D&gt;&lt;D xsi:type="xsd:double"&gt;0.46762243&lt;/D&gt;&lt;D xsi:type="xsd:double"&gt;0.5316736&lt;/D&gt;&lt;D xsi:type="xsd:double"&gt;1&lt;/D&gt;&lt;D xsi:type="xsd:double"&gt;-0.83568746&lt;/D&gt;&lt;D xsi:type="xsd:double"&gt;0.9092363&lt;/D&gt;&lt;D xsi:type="xsd:double"&gt;0.72076064&lt;/D&gt;&lt;D xsi:type="xsd:double"&gt;0.15161064&lt;/D&gt;&lt;D xsi:type="xsd:double"&gt;0.88760746&lt;/D&gt;&lt;D xsi:type="xsd:double"&gt;-0.6765872&lt;/D&gt;&lt;D xsi:type="xsd:double"&gt;0.88233536&lt;/D&gt;&lt;D xsi:type="xsd:double"&gt;0.79008037&lt;/D&gt;&lt;D xsi:type="xsd:double"&gt;0.9298135&lt;/D&gt;&lt;D xsi:type="xsd:double"&gt;-0.6451411&lt;/D&gt;&lt;D xsi:type="xsd:double"&gt;0.60845286&lt;/D&gt;&lt;D xsi:type="xsd:double"&gt;0.22251202&lt;/D&gt;&lt;D xsi:type="xsd:double"&gt;0.44609421&lt;/D&gt;&lt;D xsi:type="xsd:double"&gt;0.7996581&lt;/D&gt;&lt;D xsi:type="xsd:double"&gt;0.34673032&lt;/D&gt;&lt;D xsi:type="xsd:double"&gt;0.8298769&lt;/D&gt;&lt;D xsi:type="xsd:double"&gt;-0.7858699&lt;/D&gt;&lt;D xsi:type="xsd:double"&gt;0.46167213&lt;/D&gt;&lt;D xsi:type="xsd:double"&gt;-0.7915807&lt;/D&gt;&lt;D xsi:type="xsd:double"&gt;-0.06273727&lt;/D&gt;&lt;D xsi:type="xsd:double"&gt;-0.8521758&lt;/D&gt;&lt;D xsi:type="xsd:double"&gt;0.68986857&lt;/D&gt;&lt;D xsi:type="xsd:double"&gt;-0.12454733&lt;/D&gt;&lt;D xsi:type="xsd:double"&gt;-0.8264163&lt;/D&gt;&lt;D xsi:type="xsd:double"&gt;0.90848607&lt;/D&gt;&lt;D xsi:type="xsd:double"&gt;-0.112091675&lt;/D&gt;&lt;D xsi:type="xsd:double"&gt;0.8686569&lt;/D&gt;&lt;D xsi:type="xsd:double"&gt;-0.33025143&lt;/D&gt;&lt;D xsi:type="xsd:double"&gt;-0.69521314&lt;/D&gt;&lt;D xsi:type="xsd:double"&gt;0.87774694&lt;/D&gt;&lt;D xsi:type="xsd:double"&gt;0.83089787&lt;/D&gt;&lt;D xsi:type="xsd:double"&gt;0.27445894&lt;/D&gt;&lt;D xsi:type="xsd:double"&gt;0.70350975&lt;/D&gt;&lt;D xsi:type="xsd:double"&gt;-0.27711236&lt;/D&gt;&lt;D xsi:type="xsd:double"&gt;0.9139429&lt;/D&gt;&lt;D xsi:type="xsd:double"&gt;0.8062832&lt;/D&gt;&lt;D xsi:type="xsd:double"&gt;0.9288787&lt;/D&gt;&lt;D xsi:type="xsd:double"&gt;0.89858377&lt;/D&gt;&lt;D xsi:type="xsd:double"&gt;-0.5140972&lt;/D&gt;&lt;D xsi:type="xsd:double"&gt;0.11324716&lt;/D&gt;&lt;D xsi:type="xsd:double"&gt;0.41279823&lt;/D&gt;&lt;D xsi:type="xsd:double"&gt;0.79237014&lt;/D&gt;&lt;D xsi:type="xsd:double"&gt;0.8381014&lt;/D&gt;&lt;D xsi:type="xsd:double"&gt;0.30995098&lt;/D&gt;&lt;D xsi:type="xsd:double"&gt;-0.506836&lt;/D&gt;&lt;D xsi:type="xsd:double"&gt;0.928974&lt;/D&gt;&lt;D xsi:type="xsd:double"&gt;0.6901582&lt;/D&gt;&lt;D xsi:type="xsd:double"&gt;0.69124246&lt;/D&gt;&lt;D xsi:type="xsd:double"&gt;-0.8907757&lt;/D&gt;&lt;D xsi:type="xsd:double"&gt;-0.6189347&lt;/D&gt;&lt;D xsi:type="xsd:double"&gt;-0.8671794&lt;/D&gt;&lt;D xsi:type="xsd:double"&gt;-0.38804024&lt;/D&gt;&lt;D xsi:type="xsd:double"&gt;-0.39319658&lt;/D&gt;&lt;D xsi:type="xsd:double"&gt;-0.4264248&lt;/D&gt;&lt;D xsi:type="xsd:double"&gt;-0.66608&lt;/D&gt;&lt;D xsi:type="xsd:double"&gt;0.2545355&lt;/D&gt;&lt;D xsi:type="xsd:double"&gt;-0.44919306&lt;/D&gt;&lt;D xsi:type="xsd:double"&gt;-0.18245253&lt;/D&gt;&lt;D xsi:type="xsd:double"&gt;-0.83568746&lt;/D&gt;&lt;D xsi:type="xsd:double"&gt;1&lt;/D&gt;&lt;D xsi:type="xsd:double"&gt;-0.8071779&lt;/D&gt;&lt;D xsi:type="xsd:double"&gt;-0.5631912&lt;/D&gt;&lt;D xsi:type="xsd:double"&gt;-0.36896238&lt;/D&gt;&lt;D xsi:type="xsd:double"&gt;-0.8569629&lt;/D&gt;&lt;D xsi:type="xsd:double"&gt;0.5778128&lt;/D&gt;&lt;D xsi:type="xsd:double"&gt;-0.72091895&lt;/D&gt;&lt;D xsi:type="xsd:double"&gt;-0.6294463&lt;/D&gt;&lt;D xsi:type="xsd:double"&gt;-0.85528636&lt;/D&gt;&lt;D xsi:type="xsd:double"&gt;0.66776305&lt;/D&gt;&lt;D xsi:type="xsd:double"&gt;-0.55237365&lt;/D&gt;&lt;D xsi:type="xsd:double"&gt;-0.22612572&lt;/D&gt;&lt;D xsi:type="xsd:double"&gt;-0.42895177&lt;/D&gt;&lt;D xsi:type="xsd:double"&gt;-0.74490994&lt;/D&gt;&lt;D xsi:type="xsd:double"&gt;-0.2808411&lt;/D&gt;&lt;D xsi:type="xsd:double"&gt;-0.8468723&lt;/D&gt;&lt;D xsi:type="xsd:double"&gt;0.84158385&lt;/D&gt;&lt;D xsi:type="xsd:double"&gt;-0.24121317&lt;/D&gt;&lt;D xsi:type="xsd:double"&gt;0.88925767&lt;/D&gt;&lt;D xsi:type="xsd:double"&gt;0.0631219&lt;/D&gt;&lt;D xsi:type="xsd:double"&gt;0.945206&lt;/D&gt;&lt;D xsi:type="xsd:double"&gt;-0.69439566&lt;/D&gt;&lt;D xsi:type="xsd:double"&gt;0.20741077&lt;/D&gt;&lt;D xsi:type="xsd:double"&gt;0.8185215&lt;/D&gt;&lt;D xsi:type="xsd:double"&gt;-0.8539818&lt;/D&gt;&lt;D xsi:type="xsd:double"&gt;0.108965166&lt;/D&gt;&lt;D xsi:type="xsd:double"&gt;-0.8192146&lt;/D&gt;&lt;D xsi:type="xsd:double"&gt;0.5862863&lt;/D&gt;&lt;D xsi:type="xsd:double"&gt;0.60011595&lt;/D&gt;&lt;D xsi:type="xsd:double"&gt;-0.7681512&lt;/D&gt;&lt;D xsi:type="xsd:double"&gt;-0.68172103&lt;/D&gt;&lt;D xsi:type="xsd:double"&gt;-0.26487252&lt;/D&gt;&lt;D xsi:type="xsd:double"&gt;-0.681088&lt;/D&gt;&lt;D xsi:type="xsd:double"&gt;0.48790932&lt;/D&gt;&lt;D xsi:type="xsd:double"&gt;-0.7835226&lt;/D&gt;&lt;D xsi:type="xsd:double"&gt;-0.7538395&lt;/D&gt;&lt;D xsi:type="xsd:double"&gt;-0.8562032&lt;/D&gt;&lt;D xsi:type="xsd:double"&gt;-0.7607488&lt;/D&gt;&lt;D xsi:type="xsd:double"&gt;0.69901997&lt;/D&gt;&lt;D xsi:type="xsd:double"&gt;-0.010694057&lt;/D&gt;&lt;D xsi:type="xsd:double"&gt;-0.2628929&lt;/D&gt;&lt;D xsi:type="xsd:double"&gt;-0.6453108&lt;/D&gt;&lt;D xsi:type="xsd:double"&gt;-0.77629143&lt;/D&gt;&lt;D xsi:type="xsd:double"&gt;-0.11412773&lt;/D&gt;&lt;D xsi:type="xsd:double"&gt;0.48292142&lt;/D&gt;&lt;D xsi:type="xsd:double"&gt;-0.8121974&lt;/D&gt;&lt;D xsi:type="xsd:double"&gt;-0.47862807&lt;/D&gt;&lt;D xsi:type="xsd:double"&gt;-0.53663087&lt;/D&gt;&lt;D xsi:type="xsd:double"&gt;0.8889467&lt;/D&gt;&lt;D xsi:type="xsd:double"&gt;0.5797285&lt;/D&gt;&lt;D xsi:type="xsd:double"&gt;0.79974395&lt;/D&gt;&lt;D xsi:type="xsd:double"&gt;0.6992435&lt;/D&gt;&lt;D xsi:type="xsd:double"&gt;0.2700382&lt;/D&gt;&lt;D xsi:type="xsd:double"&gt;0.5483678&lt;/D&gt;&lt;D xsi:type="xsd:double"&gt;0.67564386&lt;/D&gt;&lt;D xsi:type="xsd:double"&gt;0.046853334&lt;/D&gt;&lt;D xsi:type="xsd:double"&gt;0.30657998&lt;/D&gt;&lt;D xsi:type="xsd:double"&gt;0.44835097&lt;/D&gt;&lt;D xsi:type="xsd:double"&gt;0.9092363&lt;/D&gt;&lt;D xsi:type="xsd:double"&gt;-0.8071779&lt;/D&gt;&lt;D xsi:type="xsd:double"&gt;1&lt;/D&gt;&lt;D xsi:type="xsd:double"&gt;0.67776746&lt;/D&gt;&lt;D xsi:type="xsd:double"&gt;0.08637014&lt;/D&gt;&lt;D xsi:type="xsd:double"&gt;0.84477645&lt;/D&gt;&lt;D xsi:type="xsd:double"&gt;-0.6303199&lt;/D&gt;&lt;D xsi:type="xsd:double"&gt;0.8349327&lt;/D&gt;&lt;D xsi:type="xsd:double"&gt;0.6431206&lt;/D&gt;&lt;D xsi:type="xsd:double"&gt;0.8762614&lt;/D&gt;&lt;D xsi:type="xsd:double"&gt;-0.6670976&lt;/D&gt;&lt;D xsi:type="xsd:double"&gt;0.6866071&lt;/D&gt;&lt;D xsi:type="xsd:double"&gt;0.15016413&lt;/D&gt;&lt;D xsi:type="xsd:double"&gt;0.28177822&lt;/D&gt;&lt;D xsi:type="xsd:double"&gt;0.8048513&lt;/D&gt;&lt;D xsi:type="xsd:double"&gt;0.18145946&lt;/D&gt;&lt;D xsi:type="xsd:double"&gt;0.7996355&lt;/D&gt;&lt;D xsi:type="xsd:double"&gt;-0.7259395&lt;/D&gt;&lt;D xsi:type="xsd:double"&gt;0.44055182&lt;/D&gt;&lt;D xsi:type="xsd:double"&gt;-0.78239405&lt;/D&gt;&lt;D xsi:type="xsd:double"&gt;-0.17813402&lt;/D&gt;&lt;D xsi:type="xsd:double"&gt;-0.82000065&lt;/D&gt;&lt;D xsi:type="xsd:double"&gt;0.7765801&lt;/D&gt;&lt;D xsi:type="xsd:double"&gt;-0.10808107&lt;/D&gt;&lt;D xsi:type="xsd:double"&gt;-0.720098&lt;/D&gt;&lt;D xsi:type="xsd:double"&gt;0.8930264&lt;/D&gt;&lt;D xsi:type="xsd:double"&gt;-0.1828564&lt;/D&gt;&lt;D xsi:type="xsd:double"&gt;0.83378834&lt;/D&gt;&lt;D xsi:type="xsd:double"&gt;-0.43731767&lt;/D&gt;&lt;D xsi:type="xsd:double"&gt;-0.70584136&lt;/D&gt;&lt;D xsi:type="xsd:double"&gt;0.8077391&lt;/D&gt;&lt;D xsi:type="xsd:double"&gt;0.76238006&lt;/D&gt;&lt;D xsi:type="xsd:double"&gt;0.238542&lt;/D&gt;&lt;D xsi:type="xsd:double"&gt;0.6279754&lt;/D&gt;&lt;D xsi:type="xsd:double"&gt;-0.41256845&lt;/D&gt;&lt;D xsi:type="xsd:double"&gt;0.89092296&lt;/D&gt;&lt;D xsi:type="xsd:double"&gt;0.8130042&lt;/D&gt;&lt;D xsi:type="xsd:double"&gt;0.9145179&lt;/D&gt;&lt;D xsi:type="xsd:double"&gt;0.85753286&lt;/D&gt;&lt;D xsi:type="xsd:double"&gt;-0.5575753&lt;/D&gt;&lt;D xsi:type="xsd:double"&gt;-0.06715741&lt;/D&gt;&lt;D xsi:type="xsd:double"&gt;0.3323802&lt;/D&gt;&lt;D xsi:type="xsd:double"&gt;0.7541956&lt;/D&gt;&lt;D xsi:type="xsd:double"&gt;0.7373697&lt;/D&gt;&lt;D xsi:type="xsd:double"&gt;0.45212525&lt;/D&gt;&lt;D xsi:type="xsd:double"&gt;-0.47771066&lt;/D&gt;&lt;D xsi:type="xsd:double"&gt;0.9244619&lt;/D&gt;&lt;D xsi:type="xsd:double"&gt;0.63607395&lt;/D&gt;&lt;D xsi:type="xsd:double"&gt;0.6128471&lt;/D&gt;&lt;D xsi:type="xsd:double"&gt;-0.88556844&lt;/D&gt;&lt;D xsi:type="xsd:double"&gt;-0.5171083&lt;/D&gt;&lt;D xsi:type="xsd:double"&gt;-0.85107934&lt;/D&gt;&lt;D xsi:type="xsd:double"&gt;0.42390242&lt;/D&gt;&lt;D xsi:type="xsd:double"&gt;0.5411882&lt;/D&gt;&lt;D xsi:type="xsd:double"&gt;0.31093106&lt;/D&gt;&lt;D xsi:type="xsd:double"&gt;0.7930219&lt;/D&gt;&lt;D xsi:type="xsd:double"&gt;0.1529728&lt;/D&gt;&lt;D xsi:type="xsd:double"&gt;0.35090584&lt;/D&gt;&lt;D xsi:type="xsd:double"&gt;0.4157472&lt;/D&gt;&lt;D xsi:type="xsd:double"&gt;0.72076064&lt;/D&gt;&lt;D xsi:type="xsd:double"&gt;-0.5631912&lt;/D&gt;&lt;D xsi:type="xsd:double"&gt;0.67776746&lt;/D&gt;&lt;D xsi:type="xsd:double"&gt;1&lt;/D&gt;&lt;D xsi:type="xsd:double"&gt;-0.20153704&lt;/D&gt;&lt;D xsi:type="xsd:double"&gt;0.7205106&lt;/D&gt;&lt;D xsi:type="xsd:double"&gt;-0.41000745&lt;/D&gt;&lt;D xsi:type="xsd:double"&gt;0.76563865&lt;/D&gt;&lt;D xsi:type="xsd:double"&gt;0.55759203&lt;/D&gt;&lt;D xsi:type="xsd:double"&gt;0.68935686&lt;/D&gt;&lt;D xsi:type="xsd:double"&gt;-0.26485786&lt;/D&gt;&lt;D xsi:type="xsd:double"&gt;0.6268276&lt;/D&gt;&lt;D xsi:type="xsd:double"&gt;0.5700891&lt;/D&gt;&lt;D xsi:type="xsd:double"&gt;0.40277624&lt;/D&gt;&lt;D xsi:type="xsd:double"&gt;0.8215064&lt;/D&gt;&lt;D xsi:type="xsd:double"&gt;0.55763483&lt;/D&gt;&lt;D xsi:type="xsd:double"&gt;0.4975842&lt;/D&gt;&lt;D xsi:type="xsd:double"&gt;-0.64232326&lt;/D&gt;&lt;D xsi:type="xsd:double"&gt;0.7096069&lt;/D&gt;&lt;D xsi:type="xsd:double"&gt;-0.45935535&lt;/D&gt;&lt;D xsi:type="xsd:double"&gt;0.22096165&lt;/D&gt;&lt;D xsi:type="xsd:double"&gt;-0.5643124&lt;/D&gt;&lt;D xsi:type="xsd:double"&gt;0.38664114&lt;/D&gt;&lt;D xsi:type="xsd:double"&gt;0.11188591&lt;/D&gt;&lt;D xsi:type="xsd:double"&gt;-0.7668088&lt;/D&gt;&lt;D xsi:type="xsd:double"&gt;0.66384274&lt;/D&gt;&lt;D xsi:type="xsd:double"&gt;0.026961852&lt;/D&gt;&lt;D xsi:type="xsd:double"&gt;0.496513&lt;/D&gt;&lt;D xsi:type="xsd:double"&gt;0.04861163&lt;/D&gt;&lt;D xsi:type="xsd:double"&gt;-0.43061206&lt;/D&gt;&lt;D xsi:type="xsd:double"&gt;0.7707009&lt;/D&gt;&lt;D xsi:type="xsd:double"&gt;0.7886536&lt;/D&gt;&lt;D xsi:type="xsd:double"&gt;0.39358187&lt;/D&gt;&lt;D xsi:type="xsd:double"&gt;0.6245103&lt;/D&gt;&lt;D xsi:type="xsd:double"&gt;-0.28833994&lt;/D&gt;&lt;D xsi:type="xsd:double"&gt;0.6230158&lt;/D&gt;&lt;D xsi:type="xsd:double"&gt;0.80318844&lt;/D&gt;&lt;D xsi:type="xsd:double"&gt;0.6555779&lt;/D&gt;&lt;D xsi:type="xsd:double"&gt;0.7880637&lt;/D&gt;&lt;D xsi:type="xsd:double"&gt;-0.06743024&lt;/D&gt;&lt;D xsi:type="xsd:double"&gt;0.30791914&lt;/D&gt;&lt;D xsi:type="xsd:double"&gt;0.4238563&lt;/D&gt;&lt;D xsi:type="xsd:double"&gt;0.6450069&lt;/D&gt;&lt;D xsi:type="xsd:double"&gt;0.66935164&lt;/D&gt;&lt;D xsi:type="xsd:double"&gt;-0.060339138&lt;/D&gt;&lt;D xsi:type="xsd:double"&gt;-0.058557488&lt;/D&gt;&lt;D xsi:type="xsd:double"&gt;0.7182853&lt;/D&gt;&lt;D xsi:type="xsd:double"&gt;0.44983515&lt;/D&gt;&lt;D xsi:type="xsd:double"&gt;0.44164306&lt;/D&gt;&lt;D xsi:type="xsd:double"&gt;-0.6923252&lt;/D&gt;&lt;D xsi:type="xsd:double"&gt;-0.62507135&lt;/D&gt;&lt;D xsi:type="xsd:double"&gt;-0.608524&lt;/D&gt;&lt;D xsi:type="xsd:double"&gt;0.14227279&lt;/D&gt;&lt;D xsi:type="xsd:double"&gt;0.04876502&lt;/D&gt;&lt;D xsi:type="xsd:double"&gt;0.21690701&lt;/D&gt;&lt;D xsi:type="xsd:double"&gt;-0.01679761&lt;/D&gt;&lt;D xsi:type="xsd:double"&gt;-0.3196821&lt;/D&gt;&lt;D xsi:type="xsd:double"&gt;0.12600553&lt;/D&gt;&lt;D xsi:type="xsd:double"&gt;-0.110639796&lt;/D&gt;&lt;D xsi:type="xsd:double"&gt;0.15161064&lt;/D&gt;&lt;D xsi:type="xsd:double"&gt;-0.36896238&lt;/D&gt;&lt;D xsi:type="xsd:double"&gt;0.08637014&lt;/D&gt;&lt;D xsi:type="xsd:double"&gt;-0.20153704&lt;/D&gt;&lt;D xsi:type="xsd:double"&gt;1&lt;/D&gt;&lt;D xsi:type="xsd:double"&gt;0.16525796&lt;/D&gt;&lt;D xsi:type="xsd:double"&gt;-0.04796245&lt;/D&gt;&lt;D xsi:type="xsd:double"&gt;0.06477121&lt;/D&gt;&lt;D xsi:type="xsd:double"&gt;0.17058226&lt;/D&gt;&lt;D xsi:type="xsd:double"&gt;0.21568248&lt;/D&gt;&lt;D xsi:type="xsd:double"&gt;-0.19370301&lt;/D&gt;&lt;D xsi:type="xsd:double"&gt;0.11294582&lt;/D&gt;&lt;D xsi:type="xsd:double"&gt;-0.15534753&lt;/D&gt;&lt;D xsi:type="xsd:double"&gt;0.17277837&lt;/D&gt;&lt;D xsi:type="xsd:double"&gt;0.119920254&lt;/D&gt;&lt;D xsi:type="xsd:double"&gt;-0.107257165&lt;/D&gt;&lt;D xsi:type="xsd:double"&gt;0.31840318&lt;/D&gt;&lt;D xsi:type="xsd:double"&gt;-0.120453455&lt;/D&gt;&lt;D xsi:type="xsd:double"&gt;-0.18763568&lt;/D&gt;&lt;D xsi:type="xsd:double"&gt;-0.28062963&lt;/D&gt;&lt;D xsi:type="xsd:double"&gt;-0.10506791&lt;/D&gt;&lt;D xsi:type="xsd:double"&gt;-0.26746827&lt;/D&gt;&lt;D xsi:type="xsd:double"&gt;0.3019487&lt;/D&gt;&lt;D xsi:type="xsd:double"&gt;-0.05025778&lt;/D&gt;&lt;D xsi:type="xsd:double"&gt;-0.084400825&lt;/D&gt;&lt;D xsi:type="xsd:double"&gt;0.19579734&lt;/D&gt;&lt;D xsi:type="xsd:double"&gt;0.034753196&lt;/D&gt;&lt;D xsi:type="xsd:double"&gt;0.22724369&lt;/D&gt;&lt;D xsi:type="xsd:double"&gt;-0.37856734&lt;/D&gt;&lt;D xsi:type="xsd:double"&gt;0.012488977&lt;/D&gt;&lt;D xsi:type="xsd:double"&gt;0.051202584&lt;/D&gt;&lt;D xsi:type="xsd:double"&gt;0.029789856&lt;/D&gt;&lt;D xsi:type="xsd:double"&gt;0.09573495&lt;/D&gt;&lt;D xsi:type="xsd:double"&gt;0.22595982&lt;/D&gt;&lt;D xsi:type="xsd:double"&gt;-0.058464997&lt;/D&gt;&lt;D xsi:type="xsd:double"&gt;0.088699&lt;/D&gt;&lt;D xsi:type="xsd:double"&gt;0.14093421&lt;/D&gt;&lt;D xsi:type="xsd:double"&gt;0.11505598&lt;/D&gt;&lt;D xsi:type="xsd:double"&gt;-0.018315399&lt;/D&gt;&lt;D xsi:type="xsd:double"&gt;-0.33393747&lt;/D&gt;&lt;D xsi:type="xsd:double"&gt;0.041452445&lt;/D&gt;&lt;D xsi:type="xsd:double"&gt;0.09819145&lt;/D&gt;&lt;D xsi:type="xsd:double"&gt;0.027506148&lt;/D&gt;&lt;D xsi:type="xsd:double"&gt;0.18731938&lt;/D&gt;&lt;D xsi:type="xsd:double"&gt;0.12517357&lt;/D&gt;&lt;D xsi:type="xsd:double"&gt;-0.16226785&lt;/D&gt;&lt;D xsi:type="xsd:double"&gt;0.18505651&lt;/D&gt;&lt;D xsi:type="xsd:double"&gt;-0.018129416&lt;/D&gt;&lt;D xsi:type="xsd:double"&gt;-0.11000804&lt;/D&gt;&lt;D xsi:type="xsd:double"&gt;-0.12763831&lt;/D&gt;&lt;D xsi:type="xsd:double"&gt;0.16343242&lt;/D&gt;&lt;D xsi:type="xsd:double"&gt;-0.044200297&lt;/D&gt;&lt;D xsi:type="xsd:double"&gt;0.51561624&lt;/D&gt;&lt;D xsi:type="xsd:double"&gt;0.4387123&lt;/D&gt;&lt;D xsi:type="xsd:double"&gt;0.43026164&lt;/D&gt;&lt;D xsi:type="xsd:double"&gt;0.7740942&lt;/D&gt;&lt;D xsi:type="xsd:double"&gt;-0.12011125&lt;/D&gt;&lt;D xsi:type="xsd:double"&gt;0.44226265&lt;/D&gt;&lt;D xsi:type="xsd:double"&gt;0.47000578&lt;/D&gt;&lt;D xsi:type="xsd:double"&gt;0.88760746&lt;/D&gt;&lt;D xsi:type="xsd:double"&gt;-0.8569629&lt;/D&gt;&lt;D xsi:type="xsd:double"&gt;0.84477645&lt;/D&gt;&lt;D xsi:type="xsd:double"&gt;0.7205106&lt;/D&gt;&lt;D xsi:type="xsd:double"&gt;0.16525796&lt;/D&gt;&lt;D xsi:type="xsd:double"&gt;1&lt;/D&gt;&lt;D xsi:type="xsd:double"&gt;-0.67369634&lt;/D&gt;&lt;D xsi:type="xsd:double"&gt;0.79375947&lt;/D&gt;&lt;D xsi:type="xsd:double"&gt;0.7896178&lt;/D&gt;&lt;D xsi:type="xsd:double"&gt;0.8908365&lt;/D&gt;&lt;D xsi:type="xsd:double"&gt;-0.64312017&lt;/D&gt;&lt;D xsi:type="xsd:double"&gt;0.6188841&lt;/D&gt;&lt;D xsi:type="xsd:double"&gt;0.18043093&lt;/D&gt;&lt;D xsi:type="xsd:double"&gt;0.4656295&lt;/D&gt;&lt;D xsi:type="xsd:double"&gt;0.75171745&lt;/D&gt;&lt;D xsi:type="xsd:double"&gt;0.3426796&lt;/D&gt;&lt;D xsi:type="xsd:double"&gt;0.8980532&lt;/D&gt;&lt;D xsi:type="xsd:double"&gt;-0.8658187&lt;/D&gt;&lt;D xsi:type="xsd:double"&gt;0.38531706&lt;/D&gt;&lt;D xsi:type="xsd:double"&gt;-0.8425219&lt;/D&gt;&lt;D xsi:type="xsd:double"&gt;-0.0656651&lt;/D&gt;&lt;D xsi:type="xsd:double"&gt;-0.9065137&lt;/D&gt;&lt;D xsi:type="xsd:double"&gt;0.6045802&lt;/D&gt;&lt;D xsi:type="xsd:double"&gt;-0.2747418&lt;/D&gt;&lt;D xsi:type="xsd:double"&gt;-0.79679215&lt;/D&gt;&lt;D xsi:type="xsd:double"&gt;0.9410153&lt;/D&gt;&lt;D xsi:type="xsd:double"&gt;-0.12758832&lt;/D&gt;&lt;D xsi:type="xsd:double"&gt;0.81784475&lt;/D&gt;&lt;D xsi:type="xsd:double"&gt;-0.45200217&lt;/D&gt;&lt;D xsi:type="xsd:double"&gt;-0.7288816&lt;/D&gt;&lt;D xsi:type="xsd:double"&gt;0.8233057&lt;/D&gt;&lt;D xsi:type="xsd:double"&gt;0.7548433&lt;/D&gt;&lt;D xsi:type="xsd:double"&gt;0.18991518&lt;/D&gt;&lt;D xsi:type="xsd:double"&gt;0.7040341&lt;/D&gt;&lt;D xsi:type="xsd:double"&gt;-0.23053828&lt;/D&gt;&lt;D xsi:type="xsd:double"&gt;0.87439007&lt;/D&gt;&lt;D xsi:type="xsd:double"&gt;0.7507956&lt;/D&gt;&lt;D xsi:type="xsd:double"&gt;0.9182833&lt;/D&gt;&lt;D xsi:type="xsd:double"&gt;0.8721008&lt;/D&gt;&lt;D xsi:type="xsd:double"&gt;-0.6058233&lt;/D&gt;&lt;D xsi:type="xsd:double"&gt;0.109265596&lt;/D&gt;&lt;D xsi:type="xsd:double"&gt;0.2886806&lt;/D&gt;&lt;D xsi:type="xsd:double"&gt;0.69933575&lt;/D&gt;&lt;D xsi:type="xsd:double"&gt;0.7675803&lt;/D&gt;&lt;D xsi:type="xsd:double"&gt;0.21150516&lt;/D&gt;&lt;D xsi:type="xsd:double"&gt;-0.5183599&lt;/D&gt;&lt;D xsi:type="xsd:double"&gt;0.85867083&lt;/D&gt;&lt;D xsi:type="xsd:double"&gt;0.678226&lt;/D&gt;&lt;D xsi:type="xsd:double"&gt;0.7173549&lt;/D&gt;&lt;D xsi:type="xsd:double"&gt;-0.8261091&lt;/D&gt;&lt;D xsi:type="xsd:double"&gt;-0.6689905&lt;/D&gt;&lt;D xsi:type="xsd:double"&gt;-0.8405636&lt;/D&gt;&lt;D xsi:type="xsd:double"&gt;-0.4153874&lt;/D&gt;&lt;D xsi:type="xsd:double"&gt;-0.13249713&lt;/D&gt;&lt;D xsi:type="xsd:double"&gt;-0.3431443&lt;/D&gt;&lt;D xsi:type="xsd:double"&gt;-0.4651805&lt;/D&gt;&lt;D xsi:type="xsd:double"&gt;-0.02401644&lt;/D&gt;&lt;D xsi:type="xsd:double"&gt;-0.18163247&lt;/D&gt;&lt;D xsi:type="xsd:double"&gt;-0.5764852&lt;/D&gt;&lt;D xsi:type="xsd:double"&gt;-0.6765872&lt;/D&gt;&lt;D xsi:type="xsd:double"&gt;0.5778128&lt;/D&gt;&lt;D xsi:type="xsd:double"&gt;-0.6303199&lt;/D&gt;&lt;D xsi:type="xsd:double"&gt;-0.41000745&lt;/D&gt;&lt;D xsi:type="xsd:double"&gt;-0.04796245&lt;/D&gt;&lt;D xsi:type="xsd:double"&gt;-0.67369634&lt;/D&gt;&lt;D xsi:type="xsd:double"&gt;1&lt;/D&gt;&lt;D xsi:type="xsd:double"&gt;-0.49270472&lt;/D&gt;&lt;D xsi:type="xsd:double"&gt;-0.571016&lt;/D&gt;&lt;D xsi:type="xsd:double"&gt;-0.57638574&lt;/D&gt;&lt;D xsi:type="xsd:double"&gt;0.7061937&lt;/D&gt;&lt;D xsi:type="xsd:double"&gt;-0.39883506&lt;/D&gt;&lt;D xsi:type="xsd:double"&gt;0.153762&lt;/D&gt;&lt;D xsi:type="xsd:double"&gt;-0.14829959&lt;/D&gt;&lt;D xsi:type="xsd:double"&gt;-0.2928754&lt;/D&gt;&lt;D xsi:type="xsd:double"&gt;-0.14110135&lt;/D&gt;&lt;D xsi:type="xsd:double"&gt;-0.72369254&lt;/D&gt;&lt;D xsi:type="xsd:double"&gt;0.5714638&lt;/D&gt;&lt;D xsi:type="xsd:double"&gt;-0.07875437&lt;/D&gt;&lt;D xsi:type="xsd:double"&gt;0.68172085&lt;/D&gt;&lt;D xsi:type="xsd:double"&gt;0.2963813&lt;/D&gt;&lt;D xsi:type="xsd:double"&gt;0.66062146&lt;/D&gt;&lt;D xsi:type="xsd:double"&gt;-0.3277702&lt;/D&gt;&lt;D xsi:type="xsd:double"&gt;0.41829666&lt;/D&gt;&lt;D xsi:type="xsd:double"&gt;0.4933743&lt;/D&gt;&lt;D xsi:type="xsd:double"&gt;-0.70729184&lt;/D&gt;&lt;D xsi:type="xsd:double"&gt;0.4743307&lt;/D&gt;&lt;D xsi:type="xsd:double"&gt;-0.69789374&lt;/D&gt;&lt;D xsi:type="xsd:double"&gt;0.41933626&lt;/D&gt;&lt;D xsi:type="xsd:double"&gt;0.8288038&lt;/D&gt;&lt;D xsi:type="xsd:double"&gt;-0.47308463&lt;/D&gt;&lt;D xsi:type="xsd:double"&gt;-0.40231106&lt;/D&gt;&lt;D xsi:type="xsd:double"&gt;0.12938182&lt;/D&gt;&lt;D xsi:type="xsd:double"&gt;-0.3600974&lt;/D&gt;&lt;D xsi:type="xsd:double"&gt;-0.14581588&lt;/D&gt;&lt;D xsi:type="xsd:double"&gt;-0.6940527&lt;/D&gt;&lt;D xsi:type="xsd:double"&gt;-0.33195764&lt;/D&gt;&lt;D xsi:type="xsd:double"&gt;-0.7308876&lt;/D&gt;&lt;D xsi:type="xsd:double"&gt;-0.64479584&lt;/D&gt;&lt;D xsi:type="xsd:double"&gt;0.5768342&lt;/D&gt;&lt;D xsi:type="xsd:double"&gt;0.029784955&lt;/D&gt;&lt;D xsi:type="xsd:double"&gt;0.041166756&lt;/D&gt;&lt;D xsi:type="xsd:double"&gt;-0.48448032&lt;/D&gt;&lt;D xsi:type="xsd:double"&gt;-0.44588503&lt;/D&gt;&lt;D xsi:type="xsd:double"&gt;-0.33413023&lt;/D&gt;&lt;D xsi:type="xsd:double"&gt;0.7059471&lt;/D&gt;&lt;D xsi:type="xsd:double"&gt;-0.5631965&lt;/D&gt;&lt;D xsi:type="xsd:double"&gt;-0.73861724&lt;/D&gt;&lt;D xsi:type="xsd:double"&gt;-0.75103205&lt;/D&gt;&lt;D xsi:type="xsd:double"&gt;0.5717785&lt;/D&gt;&lt;D xsi:type="xsd:double"&gt;0.7050462&lt;/D&gt;&lt;D xsi:type="xsd:double"&gt;0.719136&lt;/D&gt;&lt;D xsi:type="xsd:double"&gt;0.634209&lt;/D&gt;&lt;D xsi:type="xsd:double"&gt;0.6287316&lt;/D&gt;&lt;D xsi:type="xsd:double"&gt;0.648827&lt;/D&gt;&lt;D xsi:type="xsd:double"&gt;0.87284625&lt;/D&gt;&lt;D xsi:type="xsd:double"&gt;0.22705545&lt;/D&gt;&lt;D xsi:type="xsd:double"&gt;0.6092958&lt;/D&gt;&lt;D xsi:type="xsd:double"&gt;0.4807538&lt;/D&gt;&lt;D xsi:type="xsd:double"&gt;0.88233536&lt;/D&gt;&lt;D xsi:type="xsd:double"&gt;-0.72091895&lt;/D&gt;&lt;D xsi:type="xsd:double"&gt;0.8349327&lt;/D&gt;&lt;D xsi:type="xsd:double"&gt;0.76563865&lt;/D&gt;&lt;D xsi:type="xsd:double"&gt;0.06477121&lt;/D&gt;&lt;D xsi:type="xsd:double"&gt;0.79375947&lt;/D&gt;&lt;D xsi:type="xsd:double"&gt;-0.49270472&lt;/D&gt;&lt;D xsi:type="xsd:double"&gt;1&lt;/D&gt;&lt;D xsi:type="xsd:double"&gt;0.76255316&lt;/D&gt;&lt;D xsi:type="xsd:double"&gt;0.9083593&lt;/D&gt;&lt;D xsi:type="xsd:double"&gt;-0.33323386&lt;/D&gt;&lt;D xsi:type="xsd:double"&gt;0.62978905&lt;/D&gt;&lt;D xsi:type="xsd:double"&gt;0.47665694&lt;/D&gt;&lt;D xsi:type="xsd:double"&gt;0.6369731&lt;/D&gt;&lt;D xsi:type="xsd:double"&gt;0.8269574&lt;/D&gt;&lt;D xsi:type="xsd:double"&gt;0.5776584&lt;/D&gt;&lt;D xsi:type="xsd:double"&gt;0.64118826&lt;/D&gt;&lt;D xsi:type="xsd:double"&gt;-0.7084119&lt;/D&gt;&lt;D xsi:type="xsd:double"&gt;0.6534429&lt;/D&gt;&lt;D xsi:type="xsd:double"&gt;-0.6786069&lt;/D&gt;&lt;D xsi:type="xsd:double"&gt;0.24134706&lt;/D&gt;&lt;D xsi:type="xsd:double"&gt;-0.73100966&lt;/D&gt;&lt;D xsi:ty</t>
        </r>
      </text>
    </comment>
    <comment ref="A3" authorId="0" shapeId="0" xr:uid="{1017687D-18CE-40FB-99FA-CC3AED59EFE7}">
      <text>
        <r>
          <rPr>
            <b/>
            <sz val="9"/>
            <color indexed="81"/>
            <rFont val="Tahoma"/>
            <charset val="1"/>
          </rPr>
          <t>pe="xsd:double"&gt;0.7278831&lt;/D&gt;&lt;D xsi:type="xsd:double"&gt;0.18674412&lt;/D&gt;&lt;D xsi:type="xsd:double"&gt;-0.8369189&lt;/D&gt;&lt;D xsi:type="xsd:double"&gt;0.8151935&lt;/D&gt;&lt;D xsi:type="xsd:double"&gt;0.17064779&lt;/D&gt;&lt;D xsi:type="xsd:double"&gt;0.7849261&lt;/D&gt;&lt;D xsi:type="xsd:double"&gt;-0.101046264&lt;/D&gt;&lt;D xsi:type="xsd:double"&gt;-0.55485696&lt;/D&gt;&lt;D xsi:type="xsd:double"&gt;0.9606931&lt;/D&gt;&lt;D xsi:type="xsd:double"&gt;0.95083076&lt;/D&gt;&lt;D xsi:type="xsd:double"&gt;0.5478561&lt;/D&gt;&lt;D xsi:type="xsd:double"&gt;0.84203535&lt;/D&gt;&lt;D xsi:type="xsd:double"&gt;-0.34601983&lt;/D&gt;&lt;D xsi:type="xsd:double"&gt;0.83292836&lt;/D&gt;&lt;D xsi:type="xsd:double"&gt;0.8776737&lt;/D&gt;&lt;D xsi:type="xsd:double"&gt;0.83442384&lt;/D&gt;&lt;D xsi:type="xsd:double"&gt;0.9226966&lt;/D&gt;&lt;D xsi:type="xsd:double"&gt;-0.25592363&lt;/D&gt;&lt;D xsi:type="xsd:double"&gt;0.3474096&lt;/D&gt;&lt;D xsi:type="xsd:double"&gt;0.6881902&lt;/D&gt;&lt;D xsi:type="xsd:double"&gt;0.9032737&lt;/D&gt;&lt;D xsi:type="xsd:double"&gt;0.885886&lt;/D&gt;&lt;D xsi:type="xsd:double"&gt;0.15885258&lt;/D&gt;&lt;D xsi:type="xsd:double"&gt;-0.20471229&lt;/D&gt;&lt;D xsi:type="xsd:double"&gt;0.9320847&lt;/D&gt;&lt;D xsi:type="xsd:double"&gt;0.54884994&lt;/D&gt;&lt;D xsi:type="xsd:double"&gt;0.5673602&lt;/D&gt;&lt;D xsi:type="xsd:double"&gt;-0.8164276&lt;/D&gt;&lt;D xsi:type="xsd:double"&gt;-0.5264709&lt;/D&gt;&lt;D xsi:type="xsd:double"&gt;-0.82594526&lt;/D&gt;&lt;D xsi:type="xsd:double"&gt;0.4799797&lt;/D&gt;&lt;D xsi:type="xsd:double"&gt;0.64427054&lt;/D&gt;&lt;D xsi:type="xsd:double"&gt;0.5207965&lt;/D&gt;&lt;D xsi:type="xsd:double"&gt;0.7966279&lt;/D&gt;&lt;D xsi:type="xsd:double"&gt;0.09024936&lt;/D&gt;&lt;D xsi:type="xsd:double"&gt;0.68703526&lt;/D&gt;&lt;D xsi:type="xsd:double"&gt;0.5046952&lt;/D&gt;&lt;D xsi:type="xsd:double"&gt;0.79008037&lt;/D&gt;&lt;D xsi:type="xsd:double"&gt;-0.6294463&lt;/D&gt;&lt;D xsi:type="xsd:double"&gt;0.6431206&lt;/D&gt;&lt;D xsi:type="xsd:double"&gt;0.55759203&lt;/D&gt;&lt;D xsi:type="xsd:double"&gt;0.17058226&lt;/D&gt;&lt;D xsi:type="xsd:double"&gt;0.7896178&lt;/D&gt;&lt;D xsi:type="xsd:double"&gt;-0.571016&lt;/D&gt;&lt;D xsi:type="xsd:double"&gt;0.76255316&lt;/D&gt;&lt;D xsi:type="xsd:double"&gt;1&lt;/D&gt;&lt;D xsi:type="xsd:double"&gt;0.8184147&lt;/D&gt;&lt;D xsi:type="xsd:double"&gt;-0.4481435&lt;/D&gt;&lt;D xsi:type="xsd:double"&gt;0.33255872&lt;/D&gt;&lt;D xsi:type="xsd:double"&gt;0.17891647&lt;/D&gt;&lt;D xsi:type="xsd:double"&gt;0.6898062&lt;/D&gt;&lt;D xsi:type="xsd:double"&gt;0.54847115&lt;/D&gt;&lt;D xsi:type="xsd:double"&gt;0.5319401&lt;/D&gt;&lt;D xsi:type="xsd:double"&gt;0.731078&lt;/D&gt;&lt;D xsi:type="xsd:double"&gt;-0.7204464&lt;/D&gt;&lt;D xsi:type="xsd:double"&gt;0.32835618&lt;/D&gt;&lt;D xsi:type="xsd:double"&gt;-0.7287612&lt;/D&gt;&lt;D xsi:type="xsd:double"&gt;0.18166749&lt;/D&gt;&lt;D xsi:type="xsd:double"&gt;-0.7312583&lt;/D&gt;&lt;D xsi:type="xsd:double"&gt;0.48603582&lt;/D&gt;&lt;D xsi:type="xsd:double"&gt;-0.13602689&lt;/D&gt;&lt;D xsi:type="xsd:double"&gt;-0.6787628&lt;/D&gt;&lt;D xsi:type="xsd:double"&gt;0.83812684&lt;/D&gt;&lt;D xsi:type="xsd:double"&gt;0.15575376&lt;/D&gt;&lt;D xsi:type="xsd:double"&gt;0.7716362&lt;/D&gt;&lt;D xsi:type="xsd:double"&gt;-0.2255513&lt;/D&gt;&lt;D xsi:type="xsd:double"&gt;-0.6542705&lt;/D&gt;&lt;D xsi:type="xsd:double"&gt;0.7994595&lt;/D&gt;&lt;D xsi:type="xsd:double"&gt;0.75468177&lt;/D&gt;&lt;D xsi:type="xsd:double"&gt;0.31538305&lt;/D&gt;&lt;D xsi:type="xsd:double"&gt;0.75496966&lt;/D&gt;&lt;D xsi:type="xsd:double"&gt;0.0050942255&lt;/D&gt;&lt;D xsi:type="xsd:double"&gt;0.8099352&lt;/D&gt;&lt;D xsi:type="xsd:double"&gt;0.5958521&lt;/D&gt;&lt;D xsi:type="xsd:double"&gt;0.79157764&lt;/D&gt;&lt;D xsi:type="xsd:double"&gt;0.8227986&lt;/D&gt;&lt;D xsi:type="xsd:double"&gt;-0.4129026&lt;/D&gt;&lt;D xsi:type="xsd:double"&gt;0.39411533&lt;/D&gt;&lt;D xsi:type="xsd:double"&gt;0.5039345&lt;/D&gt;&lt;D xsi:type="xsd:double"&gt;0.7409&lt;/D&gt;&lt;D xsi:type="xsd:double"&gt;0.8102312&lt;/D&gt;&lt;D xsi:type="xsd:double"&gt;0.24281566&lt;/D&gt;&lt;D xsi:type="xsd:double"&gt;-0.43409932&lt;/D&gt;&lt;D xsi:type="xsd:double"&gt;0.7751571&lt;/D&gt;&lt;D xsi:type="xsd:double"&gt;0.58679664&lt;/D&gt;&lt;D xsi:type="xsd:double"&gt;0.577122&lt;/D&gt;&lt;D xsi:type="xsd:double"&gt;-0.6160369&lt;/D&gt;&lt;D xsi:type="xsd:double"&gt;-0.6049227&lt;/D&gt;&lt;D xsi:type="xsd:double"&gt;-0.74328756&lt;/D&gt;&lt;D xsi:type="xsd:double"&gt;0.5767242&lt;/D&gt;&lt;D xsi:type="xsd:double"&gt;0.56520987&lt;/D&gt;&lt;D xsi:type="xsd:double"&gt;0.6253716&lt;/D&gt;&lt;D xsi:type="xsd:double"&gt;0.86594605&lt;/D&gt;&lt;D xsi:type="xsd:double"&gt;0.034607228&lt;/D&gt;&lt;D xsi:type="xsd:double"&gt;0.6018659&lt;/D&gt;&lt;D xsi:type="xsd:double"&gt;0.398545&lt;/D&gt;&lt;D xsi:type="xsd:double"&gt;0.9298135&lt;/D&gt;&lt;D xsi:type="xsd:double"&gt;-0.85528636&lt;/D&gt;&lt;D xsi:type="xsd:double"&gt;0.8762614&lt;/D&gt;&lt;D xsi:type="xsd:double"&gt;0.68935686&lt;/D&gt;&lt;D xsi:type="xsd:double"&gt;0.21568248&lt;/D&gt;&lt;D xsi:type="xsd:double"&gt;0.8908365&lt;/D&gt;&lt;D xsi:type="xsd:double"&gt;-0.57638574&lt;/D&gt;&lt;D xsi:type="xsd:double"&gt;0.9083593&lt;/D&gt;&lt;D xsi:type="xsd:double"&gt;0.8184147&lt;/D&gt;&lt;D xsi:type="xsd:double"&gt;1&lt;/D&gt;&lt;D xsi:type="xsd:double"&gt;-0.56085426&lt;/D&gt;&lt;D xsi:type="xsd:double"&gt;0.56821465&lt;/D&gt;&lt;D xsi:type="xsd:double"&gt;0.34096202&lt;/D&gt;&lt;D xsi:type="xsd:double"&gt;0.5902747&lt;/D&gt;&lt;D xsi:type="xsd:double"&gt;0.79345036&lt;/D&gt;&lt;D xsi:type="xsd:double"&gt;0.47164366&lt;/D&gt;&lt;D xsi:type="xsd:double"&gt;0.7996451&lt;/D&gt;&lt;D xsi:type="xsd:double"&gt;-0.8608557&lt;/D&gt;&lt;D xsi:type="xsd:double"&gt;0.49983728&lt;/D&gt;&lt;D xsi:type="xsd:double"&gt;-0.8618554&lt;/D&gt;&lt;D xsi:type="xsd:double"&gt;0.14691871&lt;/D&gt;&lt;D xsi:type="xsd:double"&gt;-0.8886085&lt;/D&gt;&lt;D xsi:type="xsd:double"&gt;0.7793829&lt;/D&gt;&lt;D xsi:type="xsd:double"&gt;0.028878013&lt;/D&gt;&lt;D xsi:type="xsd:double"&gt;-0.84916186&lt;/D&gt;&lt;D xsi:type="xsd:double"&gt;0.9155149&lt;/D&gt;&lt;D xsi:type="xsd:double"&gt;0.084949136&lt;/D&gt;&lt;D xsi:type="xsd:double"&gt;0.9030942&lt;/D&gt;&lt;D xsi:type="xsd:double"&gt;-0.3384868&lt;/D&gt;&lt;D xsi:type="xsd:double"&gt;-0.6721423&lt;/D&gt;&lt;D xsi:type="xsd:double"&gt;0.930953&lt;/D&gt;&lt;D xsi:type="xsd:double"&gt;0.89735514&lt;/D&gt;&lt;D xsi:type="xsd:double"&gt;0.46502155&lt;/D&gt;&lt;D xsi:type="xsd:double"&gt;0.82402396&lt;/D&gt;&lt;D xsi:type="xsd:double"&gt;-0.38271487&lt;/D&gt;&lt;D xsi:type="xsd:double"&gt;0.894681&lt;/D&gt;&lt;D xsi:type="xsd:double"&gt;0.8312872&lt;/D&gt;&lt;D xsi:type="xsd:double"&gt;0.9220713&lt;/D&gt;&lt;D xsi:type="xsd:double"&gt;0.92163146&lt;/D&gt;&lt;D xsi:type="xsd:double"&gt;-0.49061266&lt;/D&gt;&lt;D xsi:type="xsd:double"&gt;0.25860354&lt;/D&gt;&lt;D xsi:type="xsd:double"&gt;0.5691793&lt;/D&gt;&lt;D xsi:type="xsd:double"&gt;0.88648057&lt;/D&gt;&lt;D xsi:type="xsd:double"&gt;0.8924326&lt;/D&gt;&lt;D xsi:type="xsd:double"&gt;0.20561846&lt;/D&gt;&lt;D xsi:type="xsd:double"&gt;-0.3872984&lt;/D&gt;&lt;D xsi:type="xsd:double"&gt;0.95001245&lt;/D&gt;&lt;D xsi:type="xsd:double"&gt;0.6055592&lt;/D&gt;&lt;D xsi:type="xsd:double"&gt;0.67520684&lt;/D&gt;&lt;D xsi:type="xsd:double"&gt;-0.8833575&lt;/D&gt;&lt;D xsi:type="xsd:double"&gt;-0.6085396&lt;/D&gt;&lt;D xsi:type="xsd:double"&gt;-0.8991687&lt;/D&gt;&lt;D xsi:type="xsd:double"&gt;-0.4163073&lt;/D&gt;&lt;D xsi:type="xsd:double"&gt;0.16264147&lt;/D&gt;&lt;D xsi:type="xsd:double"&gt;-0.22008395&lt;/D&gt;&lt;D xsi:type="xsd:double"&gt;-0.29478833&lt;/D&gt;&lt;D xsi:type="xsd:double"&gt;0.23547839&lt;/D&gt;&lt;D xsi:type="xsd:double"&gt;-0.023926785&lt;/D&gt;&lt;D xsi:type="xsd:double"&gt;-0.37335473&lt;/D&gt;&lt;D xsi:type="xsd:double"&gt;-0.6451411&lt;/D&gt;&lt;D xsi:type="xsd:double"&gt;0.66776305&lt;/D&gt;&lt;D xsi:type="xsd:double"&gt;-0.6670976&lt;/D&gt;&lt;D xsi:type="xsd:double"&gt;-0.26485786&lt;/D&gt;&lt;D xsi:type="xsd:double"&gt;-0.19370301&lt;/D&gt;&lt;D xsi:type="xsd:double"&gt;-0.64312017&lt;/D&gt;&lt;D xsi:type="xsd:double"&gt;0.7061937&lt;/D&gt;&lt;D xsi:type="xsd:double"&gt;-0.33323386&lt;/D&gt;&lt;D xsi:type="xsd:double"&gt;-0.4481435&lt;/D&gt;&lt;D xsi:type="xsd:double"&gt;-0.56085426&lt;/D&gt;&lt;D xsi:type="xsd:double"&gt;1&lt;/D&gt;&lt;D xsi:type="xsd:double"&gt;-0.36504108&lt;/D&gt;&lt;D xsi:type="xsd:double"&gt;0.38369796&lt;/D&gt;&lt;D xsi:type="xsd:double"&gt;0.11367543&lt;/D&gt;&lt;D xsi:type="xsd:double"&gt;-0.29375294&lt;/D&gt;&lt;D xsi:type="xsd:double"&gt;0.23413713&lt;/D&gt;&lt;D xsi:type="xsd:double"&gt;-0.79646754&lt;/D&gt;&lt;D xsi:type="xsd:double"&gt;0.6200916&lt;/D&gt;&lt;D xsi:type="xsd:double"&gt;0.1503236&lt;/D&gt;&lt;D xsi:type="xsd:double"&gt;0.7436499&lt;/D&gt;&lt;D xsi:type="xsd:double"&gt;0.59172106&lt;/D&gt;&lt;D xsi:type="xsd:double"&gt;0.7311334&lt;/D&gt;&lt;D xsi:type="xsd:double"&gt;-0.40504065&lt;/D&gt;&lt;D xsi:type="xsd:double"&gt;0.6490906&lt;/D&gt;&lt;D xsi:type="xsd:double"&gt;0.42210826&lt;/D&gt;&lt;D xsi:type="xsd:double"&gt;-0.7063255&lt;/D&gt;&lt;D xsi:type="xsd:double"&gt;0.6051691&lt;/D&gt;&lt;D xsi:type="xsd:double"&gt;-0.7136698&lt;/D&gt;&lt;D xsi:type="xsd:double"&gt;0.68514293&lt;/D&gt;&lt;D xsi:type="xsd:double"&gt;0.79583615&lt;/D&gt;&lt;D xsi:type="xsd:double"&gt;-0.34717616&lt;/D&gt;&lt;D xsi:type="xsd:double"&gt;-0.2499369&lt;/D&gt;&lt;D xsi:type="xsd:double"&gt;0.35006246&lt;/D&gt;&lt;D xsi:type="xsd:double"&gt;-0.15323766&lt;/D&gt;&lt;D xsi:type="xsd:double"&gt;0.041763&lt;/D&gt;&lt;D xsi:type="xsd:double"&gt;-0.6768662&lt;/D&gt;&lt;D xsi:type="xsd:double"&gt;-0.2552339&lt;/D&gt;&lt;D xsi:type="xsd:double"&gt;-0.7462703&lt;/D&gt;&lt;D xsi:type="xsd:double"&gt;-0.5081499&lt;/D&gt;&lt;D xsi:type="xsd:double"&gt;0.8178011&lt;/D&gt;&lt;D xsi:type="xsd:double"&gt;0.41057003&lt;/D&gt;&lt;D xsi:type="xsd:double"&gt;0.27703446&lt;/D&gt;&lt;D xsi:type="xsd:double"&gt;-0.34438652&lt;/D&gt;&lt;D xsi:type="xsd:double"&gt;-0.35363394&lt;/D&gt;&lt;D xsi:type="xsd:double"&gt;-0.42991915&lt;/D&gt;&lt;D xsi:type="xsd:double"&gt;0.8429238&lt;/D&gt;&lt;D xsi:type="xsd:double"&gt;-0.50762534&lt;/D&gt;&lt;D xsi:type="xsd:double"&gt;-0.6827213&lt;/D&gt;&lt;D xsi:type="xsd:double"&gt;-0.6742393&lt;/D&gt;&lt;D xsi:type="xsd:double"&gt;0.6354021&lt;/D&gt;&lt;D xsi:type="xsd:double"&gt;0.5697465&lt;/D&gt;&lt;D xsi:type="xsd:double"&gt;0.6516439&lt;/D&gt;&lt;D xsi:type="xsd:double"&gt;0.6058646&lt;/D&gt;&lt;D xsi:type="xsd:double"&gt;0.15423897&lt;/D&gt;&lt;D xsi:type="xsd:double"&gt;0.4116597&lt;/D&gt;&lt;D xsi:type="xsd:double"&gt;0.4093171&lt;/D&gt;&lt;D xsi:type="xsd:double"&gt;-0.06866512&lt;/D&gt;&lt;D xsi:type="xsd:double"&gt;0.10052373&lt;/D&gt;&lt;D xsi:type="xsd:double"&gt;0.20686057&lt;/D&gt;&lt;D xsi:type="xsd:double"&gt;0.60845286&lt;/D&gt;&lt;D xsi:type="xsd:double"&gt;-0.55237365&lt;/D&gt;&lt;D xsi:type="xsd:double"&gt;0.6866071&lt;/D&gt;&lt;D xsi:type="xsd:double"&gt;0.6268276&lt;/D&gt;&lt;D xsi:type="xsd:double"&gt;0.11294582&lt;/D&gt;&lt;D xsi:type="xsd:double"&gt;0.6188841&lt;/D&gt;&lt;D xsi:type="xsd:double"&gt;-0.39883506&lt;/D&gt;&lt;D xsi:type="xsd:double"&gt;0.62978905&lt;/D&gt;&lt;D xsi:type="xsd:double"&gt;0.33255872&lt;/D&gt;&lt;D xsi:type="xsd:double"&gt;0.56821465&lt;/D&gt;&lt;D xsi:type="xsd:double"&gt;-0.36504108&lt;/D&gt;&lt;D xsi:type="xsd:double"&gt;1&lt;/D&gt;&lt;D xsi:type="xsd:double"&gt;0.17347662&lt;/D&gt;&lt;D xsi:type="xsd:double"&gt;0.16801399&lt;/D&gt;&lt;D xsi:type="xsd:double"&gt;0.7050307&lt;/D&gt;&lt;D xsi:type="xsd:double"&gt;0.13908494&lt;/D&gt;&lt;D xsi:type="xsd:double"&gt;0.49851647&lt;/D&gt;&lt;D xsi:type="xsd:double"&gt;-0.47240338&lt;/D&gt;&lt;D xsi:type="xsd:double"&gt;0.40223977&lt;/D&gt;&lt;D xsi:type="xsd:double"&gt;-0.47003633&lt;/D&gt;&lt;D xsi:type="xsd:double"&gt;-0.09155082&lt;/D&gt;&lt;D xsi:type="xsd:double"&gt;-0.53638345&lt;/D&gt;&lt;D xsi:type="xsd:double"&gt;0.43810362&lt;/D&gt;&lt;D xsi:type="xsd:double"&gt;-0.019174911&lt;/D&gt;&lt;D xsi:type="xsd:double"&gt;-0.5611806&lt;/D&gt;&lt;D xsi:type="xsd:double"&gt;0.58156353&lt;/D&gt;&lt;D xsi:type="xsd:double"&gt;-0.2041544&lt;/D&gt;&lt;D xsi:type="xsd:double"&gt;0.40803134&lt;/D&gt;&lt;D xsi:type="xsd:double"&gt;-0.21059231&lt;/D&gt;&lt;D xsi:type="xsd:double"&gt;-0.43951914&lt;/D&gt;&lt;D xsi:type="xsd:double"&gt;0.5500801&lt;/D&gt;&lt;D xsi:type="xsd:double"&gt;0.5572913&lt;/D&gt;&lt;D xsi:type="xsd:double"&gt;0.15019727&lt;/D&gt;&lt;D xsi:type="xsd:double"&gt;0.52157503&lt;/D&gt;&lt;D xsi:type="xsd:double"&gt;-0.36852884&lt;/D&gt;&lt;D xsi:type="xsd:double"&gt;0.5982007&lt;/D&gt;&lt;D xsi:type="xsd:double"&gt;0.7095919&lt;/D&gt;&lt;D xsi:type="xsd:double"&gt;0.59025705&lt;/D&gt;&lt;D xsi:type="xsd:double"&gt;0.5941714&lt;/D&gt;&lt;D xsi:type="xsd:double"&gt;-0.3135421&lt;/D&gt;&lt;D xsi:type="xsd:double"&gt;0.09475008&lt;/D&gt;&lt;D xsi:type="xsd:double"&gt;0.29251152&lt;/D&gt;&lt;D xsi:type="xsd:double"&gt;0.4787054&lt;/D&gt;&lt;D xsi:type="xsd:double"&gt;0.4735574&lt;/D&gt;&lt;D xsi:type="xsd:double"&gt;0.04070707&lt;/D&gt;&lt;D xsi:type="xsd:double"&gt;-0.22280906&lt;/D&gt;&lt;D xsi:type="xsd:double"&gt;0.6478079&lt;/D&gt;&lt;D xsi:type="xsd:double"&gt;0.28337875&lt;/D&gt;&lt;D xsi:type="xsd:double"&gt;0.4435&lt;/D&gt;&lt;D xsi:type="xsd:double"&gt;-0.63653183&lt;/D&gt;&lt;D xsi:type="xsd:double"&gt;-0.41975597&lt;/D&gt;&lt;D xsi:type="xsd:double"&gt;-0.5948393&lt;/D&gt;&lt;D xsi:type="xsd:double"&gt;-0.09983473&lt;/D&gt;&lt;D xsi:type="xsd:double"&gt;0.7271944&lt;/D&gt;&lt;D xsi:type="xsd:double"&gt;0.24856672&lt;/D&gt;&lt;D xsi:type="xsd:double"&gt;0.59953195&lt;/D&gt;&lt;D xsi:type="xsd:double"&gt;0.2615269&lt;/D&gt;&lt;D xsi:type="xsd:double"&gt;0.48937276&lt;/D&gt;&lt;D xsi:type="xsd:double"&gt;-0.062034298&lt;/D&gt;&lt;D xsi:type="xsd:double"&gt;0.22251202&lt;/D&gt;&lt;D xsi:type="xsd:double"&gt;-0.22612572&lt;/D&gt;&lt;D xsi:type="xsd:double"&gt;0.15016413&lt;/D&gt;&lt;D xsi:type="xsd:double"&gt;0.5700891&lt;/D&gt;&lt;D xsi:type="xsd:double"&gt;-0.15534753&lt;/D&gt;&lt;D xsi:type="xsd:double"&gt;0.18043093&lt;/D&gt;&lt;D xsi:type="xsd:double"&gt;0.153762&lt;/D&gt;&lt;D xsi:type="xsd:double"&gt;0.47665694&lt;/D&gt;&lt;D xsi:type="xsd:double"&gt;0.17891647&lt;/D&gt;&lt;D xsi:type="xsd:double"&gt;0.34096202&lt;/D&gt;&lt;D xsi:type="xsd:double"&gt;0.38369796&lt;/D&gt;&lt;D xsi:type="xsd:double"&gt;0.17347662&lt;/D&gt;&lt;D xsi:type="xsd:double"&gt;1&lt;/D&gt;&lt;D xsi:type="xsd:double"&gt;0.5476301&lt;/D&gt;&lt;D xsi:type="xsd:double"&gt;0.55536836&lt;/D&gt;&lt;D xsi:type="xsd:double"&gt;0.7573302&lt;/D&gt;&lt;D xsi:type="xsd:double"&gt;-0.10235013&lt;/D&gt;&lt;D xsi:type="xsd:double"&gt;-0.25076172&lt;/D&gt;&lt;D xsi:type="xsd:double"&gt;0.7350767&lt;/D&gt;&lt;D xsi:type="xsd:double"&gt;-0.07377777&lt;/D&gt;&lt;D xsi:type="xsd:double"&gt;0.77895075&lt;/D&gt;&lt;D xsi:type="xsd:double"&gt;-0.14530632&lt;/D&gt;&lt;D xsi:type="xsd:double"&gt;0.33672875&lt;/D&gt;&lt;D xsi:type="xsd:double"&gt;0.6957764&lt;/D&gt;&lt;D xsi:type="xsd:double"&gt;-0.5052197&lt;/D&gt;&lt;D xsi:type="xsd:double"&gt;0.122387715&lt;/D&gt;&lt;D xsi:type="xsd:double"&gt;0.5739913&lt;/D&gt;&lt;D xsi:type="xsd:double"&gt;0.14690027&lt;/D&gt;&lt;D xsi:type="xsd:double"&gt;0.4246132&lt;/D&gt;&lt;D xsi:type="xsd:double"&gt;0.23563047&lt;/D&gt;&lt;D xsi:type="xsd:double"&gt;0.53166133&lt;/D&gt;&lt;D xsi:type="xsd:double"&gt;0.5824723&lt;/D&gt;&lt;D xsi:type="xsd:double"&gt;0.8310649&lt;/D&gt;&lt;D xsi:type="xsd:double"&gt;0.5580057&lt;/D&gt;&lt;D xsi:type="xsd:double"&gt;-0.47011492&lt;/D&gt;&lt;D xsi:type="xsd:double"&gt;0.05422009&lt;/D&gt;&lt;D xsi:type="xsd:double"&gt;0.58644915&lt;/D&gt;&lt;D xsi:type="xsd:double"&gt;0.1230708&lt;/D&gt;&lt;D xsi:type="xsd:double"&gt;0.38357982&lt;/D&gt;&lt;D xsi:type="xsd:double"&gt;0.4022&lt;/D&gt;&lt;D xsi:type="xsd:double"&gt;0.53289026&lt;/D&gt;&lt;D xsi:type="xsd:double"&gt;0.63964945&lt;/D&gt;&lt;D xsi:type="xsd:double"&gt;0.4794762&lt;/D&gt;&lt;D xsi:type="xsd:double"&gt;0.4885155&lt;/D&gt;&lt;D xsi:type="xsd:double"&gt;-0.4321133&lt;/D&gt;&lt;D xsi:type="xsd:double"&gt;0.5940553&lt;/D&gt;&lt;D xsi:type="xsd:double"&gt;0.34806776&lt;/D&gt;&lt;D xsi:type="xsd:double"&gt;-0.07650287&lt;/D&gt;&lt;D xsi:type="xsd:double"&gt;-0.22683847&lt;/D&gt;&lt;D xsi:type="xsd:double"&gt;-0.30097327&lt;/D&gt;&lt;D xsi:type="xsd:double"&gt;-0.16867112&lt;/D&gt;&lt;D xsi:type="xsd:double"&gt;-0.17038502&lt;/D&gt;&lt;D xsi:type="xsd:double"&gt;0.19769216&lt;/D&gt;&lt;D xsi:type="xsd:double"&gt;0.86265045&lt;/D&gt;&lt;D xsi:type="xsd:double"&gt;0.55123335&lt;/D&gt;&lt;D xsi:type="xsd:double"&gt;0.71576226&lt;/D&gt;&lt;D xsi:type="xsd:double"&gt;0.17129643&lt;/D&gt;&lt;D xsi:type="xsd:double"&gt;0.8812962&lt;/D&gt;&lt;D xsi:type="xsd:double"&gt;0.176307&lt;/D&gt;&lt;D xsi:type="xsd:double"&gt;0.44609421&lt;/D&gt;&lt;D xsi:type="xsd:double"&gt;-0.42895177&lt;/D&gt;&lt;D xsi:type="xsd:double"&gt;0.28177822&lt;/D&gt;&lt;D xsi:type="xsd:double"&gt;0.40277624&lt;/D&gt;&lt;D xsi:type="xsd:double"&gt;0.17277837&lt;/D&gt;&lt;D xsi:type="xsd:double"&gt;0.4656295&lt;/D&gt;&lt;D xsi:type="xsd:double"&gt;-0.14829959&lt;/D&gt;&lt;D xsi:type="xsd:double"&gt;0.6369731&lt;/D&gt;&lt;D xsi:type="xsd:double"&gt;0.6898062&lt;/D&gt;&lt;D xsi:type="xsd:double"&gt;0.5902747&lt;/D&gt;&lt;D xsi:type="xsd:double"&gt;0.11367543&lt;/D&gt;&lt;D xsi:type="xsd:double"&gt;0.16801399&lt;/D&gt;&lt;D xsi:type="xsd:double"&gt;0.5476301&lt;/D&gt;&lt;D xsi:type="xsd:double"&gt;1&lt;/D&gt;&lt;D xsi:type="xsd:double"&gt;0.46725273&lt;/D&gt;&lt;D xsi:type="xsd:double"&gt;0.82277715&lt;/D&gt;&lt;D xsi:type="xsd:double"&gt;0.3116991&lt;/D&gt;&lt;D xsi:type="xsd:double"&gt;-0.46383944&lt;/D&gt;&lt;D xsi:type="xsd:double"&gt;0.4401539&lt;/D&gt;&lt;D xsi:type="xsd:double"&gt;-0.44630226&lt;/D&gt;&lt;D xsi:type="xsd:double"&gt;0.652409&lt;/D&gt;&lt;D xsi:type="xsd:double"&gt;-0.43148568&lt;/D&gt;&lt;D xsi:type="xsd:double"&gt;0.37736347&lt;/D&gt;&lt;D xsi:type="xsd:double"&gt;0.31838128&lt;/D&gt;&lt;D xsi:type="xsd:double"&gt;-0.54599905&lt;/D&gt;&lt;D xsi:type="xsd:double"&gt;0.45052403&lt;/D&gt;&lt;D xsi:type="xsd:double"&gt;0.6035286&lt;/D&gt;&lt;D xsi:type="xsd:double"&gt;0.4353778&lt;/D&gt;&lt;D xsi:type="xsd:double"&gt;0.07284827&lt;/D&gt;&lt;D xsi:type="xsd:double"&gt;-0.19524685&lt;/D&gt;&lt;D xsi:type="xsd:double"&gt;0.7134258&lt;/D&gt;&lt;D xsi:type="xsd:double"&gt;0.73304&lt;/D&gt;&lt;D xsi:type="xsd:double"&gt;0.69213676&lt;/D&gt;&lt;D xsi:type="xsd:double"&gt;0.8559213&lt;/D&gt;&lt;D xsi:type="xsd:double"&gt;-0.14393336&lt;/D&gt;&lt;D xsi:type="xsd:double"&gt;0.4873689&lt;/D&gt;&lt;D xsi:type="xsd:double"&gt;0.58453697&lt;/D&gt;&lt;D xsi:type="xsd:double"&gt;0.42178556&lt;/D&gt;&lt;D xsi:type="xsd:double"&gt;0.59372663&lt;/D&gt;&lt;D xsi:type="xsd:double"&gt;-0.03914313&lt;/D&gt;&lt;D xsi:type="xsd:double"&gt;0.6919134&lt;/D&gt;&lt;D xsi:type="xsd:double"&gt;0.7721305&lt;/D&gt;&lt;D xsi:type="xsd:double"&gt;0.63287896&lt;/D&gt;&lt;D xsi:type="xsd:double"&gt;0.7726562&lt;/D&gt;&lt;D xsi:type="xsd:double"&gt;-0.16089146&lt;/D&gt;&lt;D xsi:type="xsd:double"&gt;0.0752544&lt;/D&gt;&lt;D xsi:type="xsd:double"&gt;0.5453597&lt;/D&gt;&lt;D xsi:type="xsd:double"&gt;0.13024817&lt;/D&gt;&lt;D xsi:type="xsd:double"&gt;-0.12287465&lt;/D&gt;&lt;D xsi:type="xsd:double"&gt;-0.40673313&lt;/D&gt;&lt;D xsi:type="xsd:double"&gt;-0.3094987&lt;/D&gt;&lt;D xsi:type="xsd:double"&gt;-0.5077559&lt;/D&gt;&lt;D xsi:type="xsd:double"&gt;0.52252&lt;/D&gt;&lt;D xsi:type="xsd:double"&gt;0.5351223&lt;/D&gt;&lt;D xsi:type="xsd:double"&gt;0.39961553&lt;/D&gt;&lt;D xsi:type="xsd:double"&gt;0.74408215&lt;/D&gt;&lt;D xsi:type="xsd:double"&gt;-0.0004906234&lt;/D&gt;&lt;D xsi:type="xsd:double"&gt;0.43308023&lt;/D&gt;&lt;D xsi:type="xsd:double"&gt;0.15726459&lt;/D&gt;&lt;D xsi:type="xsd:double"&gt;0.7996581&lt;/D&gt;&lt;D xsi:type="xsd:double"&gt;-0.74490994&lt;/D&gt;&lt;D xsi:type="xsd:double"&gt;0.8048513&lt;/D&gt;&lt;D xsi:type="xsd:double"&gt;0.8215064&lt;/D&gt;&lt;D xsi:type="xsd:double"&gt;0.119920254&lt;/D&gt;&lt;D xsi:type="xsd:double"&gt;0.75171745&lt;/D&gt;&lt;D xsi:type="xsd:double"&gt;-0.2928754&lt;/D&gt;&lt;D xsi:type="xsd:double"&gt;0.8269574&lt;/D&gt;&lt;D xsi:type="xsd:double"&gt;0.54847115&lt;/D&gt;&lt;D xsi:type="xsd:double"&gt;0.79345036&lt;/D&gt;&lt;D xsi:type="xsd:double"&gt;-0.29375294&lt;/D&gt;&lt;D xsi:type="xsd:double"&gt;0.7050307&lt;/D&gt;&lt;D xsi:type="xsd:double"&gt;0.55536836&lt;/D&gt;&lt;D xsi:type="xsd:double"&gt;0.46725273&lt;/D&gt;&lt;D xsi:type="xsd:double"&gt;1&lt;/D&gt;&lt;D xsi:type="xsd:double"&gt;0.42953432&lt;/D&gt;&lt;D xsi:type="xsd:double"&gt;0.5583255&lt;/D&gt;&lt;D xsi:type="xsd:double"&gt;-0.7173479&lt;/D&gt;&lt;D xsi:type="xsd:double"&gt;0.65481734&lt;/D&gt;&lt;D xsi:type="xsd:double"&gt;-0.5986787&lt;/D&gt;&lt;D xsi:type="xsd:double"&gt;0.2055415&lt;/D&gt;&lt;D xsi:type="xsd:double"&gt;-0.6903137&lt;/D&gt;&lt;D xsi:type="xsd:double"&gt;0.66237354&lt;/D&gt;&lt;D xsi:type="xsd:double"&gt;0.20708415&lt;/D&gt;&lt;D xsi:type="xsd:double"&gt;-0.82545847&lt;/D&gt;&lt;D xsi:type="xsd:double"&gt;0.7181478&lt;/D&gt;&lt;D xsi:type="xsd:double"&gt;0.14428142&lt;/D&gt;&lt;D xsi:type="xsd:double"&gt;0.5943173&lt;/D&gt;&lt;D xsi:type="xsd:double"&gt;-0.12317201&lt;/D&gt;&lt;D xsi:type="xsd:double"&gt;-0.32134956&lt;/D&gt;&lt;D xsi:type="xsd:double"&gt;0.8296585&lt;/D&gt;&lt;D xsi:type="xsd:double"&gt;0.82981914&lt;/D&gt;&lt;D xsi:type="xsd:double"&gt;0.5536377&lt;/D&gt;&lt;D xsi:type="xsd:double"&gt;0.73695&lt;/D&gt;&lt;D xsi:type="xsd:double"&gt;-0.66028404&lt;/D&gt;&lt;D xsi:type="xsd:double"&gt;0.6910859&lt;/D&gt;&lt;D xsi:type="xsd:double"&gt;0.9682826&lt;/D&gt;&lt;D xsi:type="xsd:double"&gt;0.7088996&lt;/D&gt;&lt;D xsi:type="xsd:double"&gt;0.768508&lt;/D&gt;&lt;D xsi:type="xsd:double"&gt;-0.24090034&lt;/D&gt;&lt;D xsi:type="xsd:double"&gt;0.19171059&lt;/D&gt;&lt;D xsi:type="xsd:double"&gt;0.5900923&lt;/D&gt;&lt;D xsi:type="xsd:double"&gt;0.68582743&lt;/D&gt;&lt;D xsi:type="xsd:double"&gt;0.7869155&lt;/D&gt;&lt;D xsi:type="xsd:double"&gt;0.046757214&lt;/D&gt;&lt;D xsi:type="xsd:double"&gt;-0.04119593&lt;/D&gt;&lt;D xsi:type="xsd:double"&gt;0.8305242&lt;/D&gt;&lt;D xsi:type="xsd:double"&gt;0.25467917&lt;/D&gt;&lt;D xsi:type="xsd:double"&gt;0.30808747&lt;/D&gt;&lt;D xsi:type="xsd:double"&gt;-0.8373897&lt;/D&gt;&lt;D xsi:type="xsd:double"&gt;-0.42921036&lt;/D&gt;&lt;D xsi:type="xsd:double"&gt;-0.6595673&lt;/D&gt;&lt;D xsi:type="xsd:double"&gt;0.014948568&lt;/D&gt;&lt;D xsi:type="xsd:double"&gt;0.88406116&lt;/D&gt;&lt;D xsi:type="xsd:double"&gt;0.45288163&lt;/D&gt;&lt;D xsi:type="xsd:double"&gt;0.7328409&lt;/D&gt;&lt;D xsi:type="xsd:double"&gt;0.3725389&lt;/D&gt;&lt;D xsi:type="xsd:double"&gt;0.76531225&lt;/D&gt;&lt;D xsi:type="xsd:double"&gt;0.28373635&lt;/D&gt;&lt;D xsi:type="xsd:double"&gt;0.34673032&lt;/D&gt;&lt;D xsi:type="xsd:double"&gt;-0.2808411&lt;/D&gt;&lt;D xsi:type="xsd:double"&gt;0.18145946&lt;/D&gt;&lt;D xsi:type="xsd:double"&gt;0.55763483&lt;/D&gt;&lt;D xsi:type="xsd:double"&gt;-0.107257165&lt;/D&gt;&lt;D xsi:type="xsd:double"&gt;0.3426796&lt;/D&gt;&lt;D xsi:type="xsd:double"&gt;-0.14110135&lt;/D&gt;&lt;D xsi:type="xsd:double"&gt;0.5776584&lt;/D&gt;&lt;D xsi:type="xsd:double"&gt;0.5319401&lt;/D&gt;&lt;D xsi:type="xsd:double"&gt;0.47164366&lt;/D&gt;&lt;D xsi:type="xsd:double"&gt;0.23413713&lt;/D&gt;&lt;D xsi:type="xsd:double"&gt;0.13908494&lt;/D&gt;&lt;D xsi:type="xsd:double"&gt;0.7573302&lt;/D&gt;&lt;D xsi:type="xsd:double"&gt;0.82277715&lt;/D&gt;&lt;D xsi:type="xsd:double"&gt;0.42953432&lt;/D&gt;&lt;D xsi:type="xsd:double"&gt;1&lt;/D&gt;&lt;D xsi:type="xsd:double"&gt;0.10007154&lt;/D&gt;&lt;D xsi:type="xsd:double"&gt;-0.36022317&lt;/D&gt;&lt;D xsi:type="xsd:double"&gt;0.5732901&lt;/D&gt;&lt;D xsi:type="xsd:double"&gt;-0.29333752&lt;/D&gt;&lt;D xsi:type="xsd:double"&gt;0.7860821&lt;/D&gt;&lt;D xsi:type="xsd:double"&gt;-0.29830992&lt;/D&gt;&lt;D xsi:type="xsd:double"&gt;0.27510816&lt;/D&gt;&lt;D xsi:type="xsd:double"&gt;0.47183555&lt;/D&gt;&lt;D xsi:type="xsd:double"&gt;-0.5382189&lt;/D&gt;&lt;D xsi:type="xsd:double"&gt;0.30553028&lt;/D&gt;&lt;D xsi:type="xsd:double"&gt;0.6009971&lt;/D&gt;&lt;D xsi:type="xsd:double"&gt;0.32661143&lt;/D&gt;&lt;D xsi:type="xsd:double"&gt;0.2908685&lt;/D&gt;&lt;D xsi:type="xsd:double"&gt;-0.08726639&lt;/D&gt;&lt;D xsi:type="xsd:double"&gt;0.65215296&lt;/D&gt;&lt;D xsi:type="xsd:double"&gt;0.69492775&lt;/D&gt;&lt;D xsi:type="xsd:double"&gt;0.7450924&lt;/D&gt;&lt;D xsi:type="xsd:double"&gt;0.7583809&lt;/D&gt;&lt;D xsi:type="xsd:double"&gt;-0.086868286&lt;/D&gt;&lt;D xsi:type="xsd:double"&gt;0.31920415&lt;/D&gt;&lt;D xsi:type="xsd:double"&gt;0.538252&lt;/D&gt;&lt;D xsi:type="xsd:double"&gt;0.30915865&lt;/D&gt;&lt;D xsi:type="xsd:double"&gt;0.5602203&lt;/D&gt;&lt;D xsi:type="xsd:double"&gt;0.21370162&lt;/D&gt;&lt;D xsi:type="xsd:double"&gt;0.79015017&lt;/D&gt;&lt;D xsi:type="xsd:double"&gt;0.709991&lt;/D&gt;&lt;D xsi:type="xsd:double"&gt;0.6236768&lt;/D&gt;&lt;D xsi:type="xsd:double"&gt;0.650926&lt;/D&gt;&lt;D xsi:type="xsd:double"&gt;-0.3269841&lt;/D&gt;&lt;D xsi:type="xsd:double"&gt;0.2719145&lt;/D&gt;&lt;D xsi:type="xsd:double"&gt;0.43758076&lt;/D&gt;&lt;D xsi:type="xsd:double"&gt;0.18246432&lt;/D&gt;&lt;D xsi:type="xsd:double"&gt;-0.08299722&lt;/D&gt;&lt;D xsi:type="xsd:double"&gt;-0.3266888&lt;/D&gt;&lt;D xsi:type="xsd:double"&gt;-0.42230916&lt;/D&gt;&lt;D xsi:type="xsd:double"&gt;-0.39313972&lt;/D&gt;&lt;D xsi:type="xsd:double"&gt;0.49905276&lt;/D&gt;&lt;D xsi:type="xsd:double"&gt;0.23606125&lt;/D&gt;&lt;D xsi:type="xsd:double"&gt;0.37348107&lt;/D&gt;&lt;D xsi:type="xsd:double"&gt;0.5814618&lt;/D&gt;&lt;D xsi:type="xsd:double"&gt;-0.23122592&lt;/D&gt;&lt;D xsi:type="xsd:double"&gt;0.30775917&lt;/D&gt;&lt;D xsi:type="xsd:double"&gt;0.4147779&lt;/D&gt;&lt;D xsi:type="xsd:double"&gt;0.8298769&lt;/D&gt;&lt;D xsi:type="xsd:double"&gt;-0.8468723&lt;/D&gt;&lt;D xsi:type="xsd:double"&gt;0.7996355&lt;/D&gt;&lt;D xsi:type="xsd:double"&gt;0.4975842&lt;/D&gt;&lt;D xsi:type="xsd:double"&gt;0.31840318&lt;/D&gt;&lt;D xsi:type="xsd:double"&gt;0.8980532&lt;/D&gt;&lt;D xsi:type="xsd:double"&gt;-0.72369254&lt;/D&gt;&lt;D xsi:type="xsd:double"&gt;0.64118826&lt;/D&gt;&lt;D xsi:type="xsd:double"&gt;0.731078&lt;/D&gt;&lt;D xsi:type="xsd:double"&gt;0.7996451&lt;/D&gt;&lt;D xsi:type="xsd:double"&gt;-0.79646754&lt;/D&gt;&lt;D xsi:type="xsd:double"&gt;0.49851647&lt;/D&gt;&lt;D xsi:type="xsd:double"&gt;-0.10235013&lt;/D&gt;&lt;D xsi:type="xsd:double"&gt;0.3116991&lt;/D&gt;&lt;D xsi:type="xsd:double"&gt;0.5583255&lt;/D&gt;&lt;D xsi:type="xsd:double"&gt;0.10007154&lt;/D&gt;&lt;D xsi:type="xsd:double"&gt;1&lt;/D&gt;&lt;D xsi:type="xsd:double"&gt;-0.8149556&lt;/D&gt;&lt;D xsi:type="xsd:double"&gt;0.09947249&lt;/D&gt;&lt;D xsi:type="xsd:double"&gt;-0.8503093&lt;/D&gt;&lt;D xsi:type="xsd:double"&gt;-0.32491124&lt;/D&gt;&lt;D xsi:type="xsd:double"&gt;-0.8891686&lt;/D&gt;&lt;D xsi:type="xsd:double"&gt;0.5361833&lt;/D&gt;&lt;D xsi:type="xsd:double"&gt;-0.4413417&lt;/D&gt;&lt;D xsi:type="xsd:double"&gt;-0.6705976&lt;/D&gt;&lt;D xsi:type="xsd:double"&gt;0.9144648&lt;/D&gt;&lt;D xsi:type="xsd:double"&gt;-0.2752713&lt;/D&gt;&lt;D xsi:type="xsd:double"&gt;0.80172867&lt;/D&gt;&lt;D xsi:type="xsd:double"&gt;-0.639129&lt;/D&gt;&lt;D xsi:type="xsd:double"&gt;-0.8104011&lt;/D&gt;&lt;D xsi:type="xsd:double"&gt;0.6552962&lt;/D&gt;&lt;D xsi:type="xsd:double"&gt;0.555974&lt;/D&gt;&lt;D xsi:type="xsd:double"&gt;-0.029568087&lt;/D&gt;&lt;D xsi:type="xsd:double"&gt;0.5289767&lt;/D&gt;&lt;D xsi:type="xsd:double"&gt;-0.12705462&lt;/D&gt;&lt;D xsi:type="xsd:double"&gt;0.8552561&lt;/D&gt;&lt;D xsi:type="xsd:double"&gt;0.5525592&lt;/D&gt;&lt;D xsi:type="xsd:double"&gt;0.89487284&lt;/D&gt;&lt;D xsi:type="xsd:double"&gt;0.7464692&lt;/D&gt;&lt;D xsi:type="xsd:double"&gt;-0.7606891&lt;/D&gt;&lt;D xsi:type="xsd:double"&gt;-0.07833169&lt;/D&gt;&lt;D xsi:type="xsd:double"&gt;0.10796031&lt;/D&gt;&lt;D xsi:type="xsd:double"&gt;0.54019815&lt;/D&gt;&lt;D xsi:type="xsd:double"&gt;0.6583659&lt;/D&gt;&lt;D xsi:type="xsd:double"&gt;0.33205312&lt;/D&gt;&lt;D xsi:type="xsd:double"&gt;-0.73081076&lt;/D&gt;&lt;D xsi:type="xsd:double"&gt;0.7635731&lt;/D&gt;&lt;D xsi:type="xsd:double"&gt;0.6684747&lt;/D&gt;&lt;D xsi:type="xsd:double"&gt;0.69091135&lt;/D&gt;&lt;D xsi:type="xsd:double"&gt;-0.7731323&lt;/D&gt;&lt;D xsi:type="xsd:double"&gt;-0.58044183&lt;/D&gt;&lt;D xsi:type="xsd:double"&gt;-0.80243635&lt;/D&gt;&lt;D xsi:type="xsd:double"&gt;-0.27062148&lt;/D&gt;&lt;D xsi:type="xsd:double"&gt;-0.46416736&lt;/D&gt;&lt;D xsi:type="xsd:double"&gt;-0.30479884&lt;/D&gt;&lt;D xsi:type="xsd:double"&gt;-0.7609426&lt;/D&gt;&lt;D xsi:type="xsd:double"&gt;0.27253544&lt;/D&gt;&lt;D xsi:type="xsd:double"&gt;-0.51544386&lt;/D&gt;&lt;D xsi:type="xsd:double"&gt;-0.24206029&lt;/D&gt;&lt;D xsi:type="xsd:double"&gt;-0.7858699&lt;/D&gt;&lt;D xsi:type="xsd:double"&gt;0.84158385&lt;/D&gt;&lt;D xsi:type="xsd:double"&gt;-0.7259395&lt;/D&gt;&lt;D xsi:type="xsd:double"&gt;-0.64232326&lt;/D&gt;&lt;D xsi:type="xsd:double"&gt;-0.120453455&lt;/D&gt;&lt;D xsi:type="xsd:double"&gt;-0.8658187&lt;/D&gt;&lt;D xsi:type="xsd:double"&gt;0.5714638&lt;/D&gt;&lt;D xsi:type="xsd:double"&gt;-0.7084119&lt;/D&gt;&lt;D xsi:type="xsd:double"&gt;-0.7204464&lt;/D&gt;&lt;D xsi:type="xsd:double"&gt;-0.8608557&lt;/D&gt;&lt;D xsi:type="xsd:double"&gt;0.6200916&lt;/D&gt;&lt;D xsi:type="xsd:double"&gt;-0.47240338&lt;/D&gt;&lt;D xsi:type="xsd:double"&gt;-0.25076172&lt;/D&gt;&lt;D xsi:type="xsd:double"&gt;-0.46383944&lt;/D&gt;&lt;D xsi:type="xsd:double"&gt;-0.7173479&lt;/D&gt;&lt;D xsi:type="xsd:double"&gt;-0.36022317&lt;/D&gt;&lt;D xsi:type="xsd:double"&gt;-0.8149556&lt;/D&gt;&lt;D xsi:type="xsd:double"&gt;1&lt;/D&gt;&lt;D xsi:type="xsd:double"&gt;-0.24738961&lt;/D&gt;&lt;D xsi:type="xsd:double"&gt;0.86987984&lt;/D&gt;&lt;D xsi:type="xsd:double"&gt;0.0021016272&lt;/D&gt;&lt;D xsi:type="xsd:double"&gt;0.899404&lt;/D&gt;&lt;D xsi:type="xsd:double"&gt;-0.54046685&lt;/D&gt;&lt;D xsi:type="xsd:double"&gt;0.301454&lt;/D&gt;&lt;D xsi:type="xsd:double"&gt;0.86381006&lt;/D&gt;&lt;D xsi:type="xsd:double"&gt;-0.8456605&lt;/D&gt;&lt;D xsi:type="xsd:double"&gt;0.045766994&lt;/D&gt;&lt;D xsi:type="xsd:double"&gt;-0.7987693&lt;/D&gt;&lt;D xsi:type="xsd:double"&gt;0.48108062&lt;/D&gt;&lt;D xsi:type="xsd:double"&gt;0.6975977&lt;/D&gt;&lt;D xsi:type="xsd:double"&gt;-0.7726354&lt;/D&gt;&lt;D xsi:type="xsd:double"&gt;-0.71737194&lt;/D&gt;&lt;D xsi:type="xsd:double"&gt;-0.22010553&lt;/D&gt;&lt;D xsi:type="xsd:double"&gt;-0.68608665&lt;/D&gt;&lt;D xsi:type="xsd:double"&gt;0.33602428&lt;/D&gt;&lt;D xsi:type="xsd:double"&gt;-0.78555363&lt;/D&gt;&lt;D xsi:type="xsd:double"&gt;-0.69934213&lt;/D&gt;&lt;D xsi:type="xsd:double"&gt;-0.835668&lt;/D&gt;&lt;D xsi:type="xsd:double"&gt;-0.7802066&lt;/D&gt;&lt;D xsi:type="xsd:double"&gt;0.63385886&lt;/D&gt;&lt;D xsi:type="xsd:double"&gt;0.014186803&lt;/D&gt;&lt;D xsi:type="xsd:double"&gt;-0.2096507&lt;/D&gt;&lt;D xsi:type="xsd:double"&gt;-0.6765341&lt;/D&gt;&lt;D xsi:type="xsd:double"&gt;-0.7654793&lt;/D&gt;&lt;D xsi:type="xsd:double"&gt;-0.018361982&lt;/D&gt;&lt;D xsi:type="xsd:double"&gt;0.49731857&lt;/D&gt;&lt;D xsi:type="xsd:double"&gt;-0.74464685&lt;/D&gt;&lt;D xsi:type="xsd:double"&gt;-0.4941704&lt;/D&gt;&lt;D xsi:type="xsd:double"&gt;-0.665133&lt;/D&gt;&lt;D xsi:type="xsd:double"&gt;0.84843737&lt;/D&gt;&lt;D xsi:type="xsd:double"&gt;0.72051734&lt;/D&gt;&lt;D xsi:type="xsd:double"&gt;0.8083932&lt;/D&gt;&lt;D xsi:type="xsd:double"&gt;0.382218&lt;/D&gt;&lt;D xsi:type="xsd:double"&gt;0.5738058&lt;/D&gt;&lt;D xsi:type="xsd:double"&gt;0.4177044&lt;/D&gt;&lt;D xsi:type="xsd:double"&gt;0.6846486&lt;/D&gt;&lt;D xsi:type="xsd:double"&gt;0.45245093&lt;/D&gt;&lt;D xsi:type="xsd:double"&gt;0.34579176&lt;/D&gt;&lt;D xsi:type="xsd:double"&gt;0.31055942&lt;/D&gt;&lt;D xsi:type="xsd:double"&gt;0.46167213&lt;/D&gt;&lt;D xsi:type="xsd:double"&gt;-0.24121317&lt;/D&gt;&lt;D xsi:type="xsd:double"&gt;0.44055182&lt;/D&gt;&lt;D xsi:type="xsd:double"&gt;0.7096069&lt;/D&gt;&lt;D xsi:type="xsd:double"&gt;-0.18763568&lt;/D&gt;&lt;D xsi:type="xsd:double"&gt;0.38531706&lt;/D&gt;&lt;D xsi:type="xsd:double"&gt;-0.07875437&lt;/D&gt;&lt;D xsi:type="xsd:double"&gt;0.6534429&lt;/D&gt;&lt;D xsi:type="xsd:double"&gt;0.32835618&lt;/D&gt;&lt;D xsi:type="xsd:double"&gt;0.49983728&lt;/D&gt;&lt;D xsi:type="xsd:double"&gt;0.1503236&lt;/D&gt;&lt;D xsi:type="xsd:double"&gt;0.40223977&lt;/D&gt;&lt;D xsi:type="xsd:double"&gt;0.7350767&lt;/D&gt;&lt;D xsi:type="xsd:double"&gt;0.4401539&lt;/D&gt;&lt;D xsi:type="xsd:double"&gt;0.65481734&lt;/D&gt;&lt;D xsi:type="xsd:double"&gt;0.5732901&lt;/D&gt;&lt;D xsi:type="xsd:double"&gt;0.09947249&lt;/D&gt;&lt;D xsi:type="xsd:double"&gt;-0.24738961&lt;/D&gt;&lt;D xsi:type="xsd:double"&gt;1&lt;/D&gt;&lt;D xsi:type="xsd:double"&gt;-0.095340565&lt;/D&gt;&lt;D xsi:type="xsd:double"&gt;0.5196918&lt;/D&gt;&lt;D xsi:type="xsd:double"&gt;-0.19293177&lt;/D&gt;&lt;D xsi:type="xsd:double"&gt;0.46317536&lt;/D&gt;&lt;D xsi:type="xsd:double"&gt;0.5866905&lt;/D&gt;&lt;D xsi:type="xsd:double"&gt;-0.46736813&lt;/D&gt;&lt;D xsi:type="xsd:double"&gt;0.32058397&lt;/D&gt;&lt;D xsi:type="xsd:double"&gt;0.3542917&lt;/D&gt;&lt;D xsi:type="xsd:double"&gt;0.29704627&lt;/D&gt;&lt;D xsi:type="xsd:double"&gt;0.3873891&lt;/D&gt;&lt;D xsi:type="xsd:double"&gt;-0.0027708532&lt;/D&gt;&lt;D xsi:type="xsd:double"&gt;0.6395841&lt;/D&gt;&lt;D xsi:type="xsd:double"&gt;0.6891517&lt;/D&gt;&lt;D xsi:type="xsd:double"&gt;0.66475356&lt;/D&gt;&lt;D xsi:type="xsd:double"&gt;0.5191701&lt;/D&gt;&lt;D xsi:type="xsd:double"&gt;-0.3205878&lt;/D&gt;&lt;D xsi:type="xsd:double"&gt;0.33177182&lt;/D&gt;&lt;D xsi:type="xsd:double"&gt;0.659818&lt;/D&gt;&lt;D xsi:type="xsd:double"&gt;0.3408927&lt;/D&gt;&lt;D xsi:type="xsd:double"&gt;0.5651579&lt;/D&gt;&lt;D xsi:type="xsd:double"&gt;0.36505836&lt;/D&gt;&lt;D xsi:type="xsd:double"&gt;0.4576214&lt;/D&gt;&lt;D xsi:type="xsd:double"&gt;0.6844979&lt;/D&gt;&lt;D xsi:type="xsd:double"&gt;0.6012358&lt;/D&gt;&lt;D xsi:type="xsd:double"&gt;0.5100941&lt;/D&gt;&lt;D xsi:type="xsd:double"&gt;-0.014239775&lt;/D&gt;&lt;D xsi:type="xsd:double"&gt;0.37644997&lt;/D&gt;&lt;D xsi:type="xsd:double"&gt;0.576025&lt;/D&gt;&lt;D xsi:type="xsd:double"&gt;0.26764837&lt;/D&gt;&lt;D xsi:type="xsd:double"&gt;0.052131914&lt;/D&gt;&lt;D xsi:type="xsd:double"&gt;-0.36764657&lt;/D&gt;&lt;D xsi:type="xsd:double"&gt;-0.13101065&lt;/D&gt;&lt;D xsi:type="xsd:double"&gt;-0.3117288&lt;/D&gt;&lt;D xsi:type="xsd:double"&gt;-0.3786942&lt;/D&gt;&lt;D xsi:type="xsd:double"&gt;-0.3711415&lt;/D&gt;&lt;D xsi:type="xsd:double"&gt;-0.5108782&lt;/D&gt;&lt;D xsi:type="xsd:double"&gt;-0.66702247&lt;/D&gt;&lt;D xsi:type="xsd:double"&gt;0.22062525&lt;/D&gt;&lt;D xsi:type="xsd:double"&gt;-0.53209716&lt;/D&gt;&lt;D xsi:type="xsd:double"&gt;-0.2902235&lt;/D&gt;&lt;D xsi:type="xsd:double"&gt;-0.7915807&lt;/D&gt;&lt;D xsi:type="xsd:double"&gt;0.88925767&lt;/D&gt;&lt;D xsi:type="xsd:double"&gt;-0.78239405&lt;/D&gt;&lt;D xsi:type="xsd:double"&gt;-0.45935535&lt;/D&gt;&lt;D xsi:type="xsd:double"&gt;-0.28062963&lt;/D&gt;&lt;D xsi:type="xsd:double"&gt;-0.8425219&lt;/D&gt;&lt;D xsi:type="xsd:double"&gt;0.68172085&lt;/D&gt;&lt;D xsi:type="xsd:double"&gt;-0.6786069&lt;/D&gt;&lt;D xsi:type="xsd:double"&gt;-0.7287612&lt;/D&gt;&lt;D xsi:type="xsd:double"&gt;-0.8618554&lt;/D&gt;&lt;D xsi:type="xsd:double"&gt;0.7436499&lt;/D&gt;&lt;D xsi:type="xsd:double"&gt;-0.47003633&lt;/D&gt;&lt;D xsi:type="xsd:double"&gt;-0.07377777&lt;/D&gt;&lt;D xsi:type="xsd:double"&gt;-0.44630226&lt;/D&gt;&lt;D xsi:type="xsd:double"&gt;-0.5986787&lt;/D&gt;&lt;D xsi:type="xsd:double"&gt;-0.29333752&lt;/D&gt;&lt;D xsi:type="xsd:double"&gt;-0.8503093&lt;/D&gt;&lt;D xsi:type="xsd:double"&gt;0.86987984&lt;/D&gt;&lt;D xsi:type="xsd:double"&gt;-0.095340565&lt;/D&gt;&lt;D xsi:type="xsd:double"&gt;1&lt;/D&gt;&lt;D xsi:type="xsd:double"&gt;0.07097914&lt;/D&gt;&lt;D xsi:type="xsd:double"&gt;0.94949496&lt;/D&gt;&lt;D xsi:type="xsd:double"&gt;-0.6887569&lt;/D&gt;&lt;D xsi:type="xsd:double"&gt;0.31872496&lt;/D&gt;&lt;D xsi:type="xsd:double"&gt;0.7405466&lt;/D&gt;&lt;D xsi:type="xsd:double"&gt;-0.87891966&lt;/D&gt;&lt;D xsi:type="xsd:double"&gt;0.11456166&lt;/D&gt;&lt;D xsi:type="xsd:double"&gt;-0.9032719&lt;/D&gt;&lt;D xsi:type="xsd:double"&gt;0.6405579&lt;/D&gt;&lt;D xsi:type="xsd:double"&gt;0.7692466&lt;/D&gt;&lt;D xsi:type="xsd:double"&gt;-0.74075943&lt;/D&gt;&lt;D xsi:type="xsd:double"&gt;-0.6710371&lt;/D&gt;&lt;D xsi:type="xsd:double"&gt;-0.21027187&lt;/D&gt;&lt;D xsi:type="xsd:double"&gt;-0.7212681&lt;/D&gt;&lt;D xsi:type="xsd:double"&gt;0.3162411&lt;/D&gt;&lt;D xsi:type="xsd:double"&gt;-0.83988976&lt;/D&gt;&lt;D xsi:type="xsd:double"&gt;-0.64977866&lt;/D&gt;&lt;D xsi:type="xsd:double"&gt;-0.8913737&lt;/D&gt;&lt;D xsi:type="xsd:double"&gt;-0.7852635&lt;/D&gt;&lt;D xsi:type="xsd:double"&gt;0.80056846&lt;/D&gt;&lt;D xsi:type="xsd:double"&gt;0.019776287&lt;/D&gt;&lt;D xsi:type="xsd:double"&gt;-0.18457434&lt;/D&gt;&lt;D xsi:type="xsd:double"&gt;-0.7181172&lt;/D&gt;&lt;D xsi:type="xsd:double"&gt;-0.76656&lt;/D&gt;&lt;D xsi:type="xsd:double"&gt;-0.2250212&lt;/D&gt;&lt;D xsi:type="xsd:double"&gt;0.6179313&lt;/D&gt;&lt;D xsi:type="xsd:double"&gt;-0.7873567&lt;/D&gt;&lt;D xsi:type="xsd:double"&gt;-0.57982254&lt;/D&gt;&lt;D xsi:type="xsd:double"&gt;-0.65984315&lt;/D&gt;&lt;D xsi:type="xsd:double"&gt;0.8470929&lt;/D&gt;&lt;D xsi:type="xsd:double"&gt;0.70387024&lt;/D&gt;&lt;D xsi:type="xsd:double"&gt;0.89387375&lt;/D&gt;&lt;D xsi:type="xsd:double"&gt;-0.2442672&lt;/D&gt;&lt;D xsi:type="xsd:double"&gt;0.744108&lt;/D&gt;&lt;D xsi:type="xsd:double"&gt;0.27010146&lt;/D&gt;&lt;D xsi:type="xsd:double"&gt;0.4332379&lt;/D&gt;&lt;D xsi:type="xsd:double"&gt;0.30877623&lt;/D&gt;&lt;D xsi:type="xsd:double"&gt;0.6156498&lt;/D&gt;&lt;D xsi:type="xsd:double"&gt;-0.15190274&lt;/D&gt;&lt;D xsi:type="xsd:double"&gt;-0.06273727&lt;/D&gt;&lt;D xsi:type="xsd:double"&gt;0.0631219&lt;/D&gt;&lt;D xsi:type="xsd:double"&gt;-0.17813402&lt;/D&gt;&lt;D xsi:type="xsd:double"&gt;0.22096165&lt;/D&gt;&lt;D xsi:type="xsd:double"&gt;-0.10506791&lt;/D&gt;&lt;D xsi:type="xsd:double"&gt;-0.0656651&lt;/D&gt;&lt;D xsi:type="xsd:double"&gt;0.2963813&lt;/D&gt;&lt;D xsi:type="xsd:double"&gt;0.24134706&lt;/D&gt;&lt;D xsi:type="xsd:double"&gt;0.18166749&lt;/D&gt;&lt;D xsi:type="xsd:double"&gt;0.14691871&lt;/D&gt;&lt;D xsi:type="xsd:double"&gt;0.59172106&lt;/D&gt;&lt;D xsi:type="xsd:double"&gt;-0.09155082&lt;/D&gt;&lt;D xsi:type="xsd:double"&gt;0.77895075&lt;/D&gt;&lt;D xsi:type="xsd:double"&gt;0.652409&lt;/D&gt;&lt;D xsi:type="xsd:double"&gt;0.2055415&lt;/D&gt;&lt;D xsi:type="xsd:double"&gt;0.7860821&lt;/D&gt;&lt;D xsi:type="xsd:double"&gt;-0.32491124&lt;/D&gt;&lt;D xsi:type="xsd:double"&gt;0.0021016272&lt;/D&gt;&lt;D xsi:type="xsd:double"&gt;0.5196918&lt;/D&gt;&lt;D xsi:type="xsd:double"&gt;0.07097914&lt;/D&gt;&lt;D xsi:type="xsd:double"&gt;1&lt;/D&gt;&lt;D xsi:type="xsd:double"&gt;0.083538875&lt;/D&gt;&lt;D xsi:type="xsd:double"&gt;0.15307851&lt;/D&gt;&lt;D xsi:type="xsd:double"&gt;0.689212&lt;/D&gt;&lt;D xsi:type="xsd:double"&gt;-0.2124522&lt;/D&gt;&lt;D xsi:type="xsd:double"&gt;-0.110309854&lt;/D&gt;&lt;D xsi:type="xsd:double"&gt;0.78795296&lt;/D&gt;&lt;D xsi:type="xsd:double"&gt;-0.0052274982&lt;/D&gt;&lt;D xsi:type="xsd:double"&gt;0.48882213&lt;/D&gt;&lt;D xsi:type="xsd:double"&gt;0.36632514&lt;/D&gt;&lt;D xsi:type="xsd:double"&gt;0.33918202&lt;/D&gt;&lt;D xsi:type="xsd:double"&gt;0.39361244&lt;/D&gt;&lt;D xsi:type="xsd:double"&gt;0.80979913&lt;/D&gt;&lt;D xsi:type="xsd:double"&gt;0.49965018&lt;/D&gt;&lt;D xsi:type="xsd:double"&gt;-0.21965171&lt;/D&gt;&lt;D xsi:type="xsd:double"&gt;-0.11335693&lt;/D&gt;&lt;D xsi:type="xsd:double"&gt;0.29022166&lt;/D&gt;&lt;D xsi:type="xsd:double"&gt;-0.12165825&lt;/D&gt;&lt;D xsi:type="xsd:double"&gt;0.15612791&lt;/D&gt;&lt;D xsi:type="xsd:double"&gt;0.5049595&lt;/D&gt;&lt;D xsi:type="xsd:double"&gt;0.7411336&lt;/D&gt;&lt;D xsi:type="xsd:double"&gt;0.6725736&lt;/D&gt;&lt;D xsi:type="xsd:double"&gt;0.36236298&lt;/D&gt;&lt;D xsi:type="xsd:double"&gt;0.34679568&lt;/D&gt;&lt;D xsi:type="xsd:double"&gt;-0.41424975&lt;/D&gt;&lt;D xsi:type="xsd:double"&gt;0.6426884&lt;/D&gt;&lt;D xsi:type="xsd:double"&gt;0.10623105&lt;/D&gt;&lt;D xsi:type="xsd:double"&gt;-0.23470575&lt;/D&gt;&lt;D xsi:type="xsd:double"&gt;-0.6579648&lt;/D&gt;&lt;D xsi:type="xsd:double"&gt;0.050192963&lt;/D&gt;&lt;D xsi:type="xsd:double"&gt;0.005514894&lt;/D&gt;&lt;D xsi:type="xsd:double"&gt;0.025639072&lt;/D&gt;&lt;D xsi:type="xsd:double"&gt;-0.36097732&lt;/D&gt;&lt;D xsi:type="xsd:double"&gt;-0.38505593&lt;/D&gt;&lt;D xsi:type="xsd:double"&gt;-0.4241843&lt;/D&gt;&lt;D xsi:type="xsd:double"&gt;-0.70397604&lt;/D&gt;&lt;D xsi:type="xsd:double"&gt;0.23876101&lt;/D&gt;&lt;D xsi:type="xsd:double"&gt;-0.47642007&lt;/D&gt;&lt;D xsi:type="xsd:double"&gt;-0.28915855&lt;/D&gt;&lt;D xsi:type="xsd:double"&gt;-0.8521758&lt;/D&gt;&lt;D xsi:type="xsd:double"&gt;0.945206&lt;/D&gt;&lt;D xsi:type="xsd:double"&gt;-0.82000065&lt;/D&gt;&lt;D xsi:type="xsd:double"&gt;-0.5643124&lt;/D&gt;&lt;D xsi:type="xsd:double"&gt;-0.26746827&lt;/D&gt;&lt;D xsi:type="xsd:double"&gt;-0.9065137&lt;/D&gt;&lt;D xsi:type="xsd:double"&gt;0.66062146&lt;/D&gt;&lt;D xsi:type="xsd:double"&gt;-0.73100966&lt;/D&gt;&lt;D xsi:type="xsd:double"&gt;-0.7312583&lt;/D&gt;&lt;D xsi:type="xsd:double"&gt;-0.8886085&lt;/D&gt;&lt;D xsi:type="xsd:double"&gt;0.7311334&lt;/D&gt;&lt;D xsi:type="xsd:double"&gt;-0.53638345&lt;/D&gt;&lt;D xsi:type="xsd:double"&gt;-0.14530632&lt;/D&gt;&lt;D xsi:type="xsd:double"&gt;-0.43148568&lt;/D&gt;&lt;D xsi:type="xsd:double"&gt;-0.6903137&lt;/D&gt;&lt;D xsi:type="xsd:double"&gt;-0.29830992&lt;/D&gt;&lt;D xsi:type="xsd:double"&gt;-0.8891686&lt;/D&gt;&lt;D xsi:type="xsd:double"&gt;0.899404&lt;/D&gt;&lt;D xsi:type="xsd:double"&gt;-0.19293177&lt;/D&gt;&lt;D xsi:type="xsd:double"&gt;0.94949496&lt;/D&gt;&lt;D xsi:type="xsd:double"&gt;0.083538875&lt;/D&gt;&lt;D xsi:type="xsd:double"&gt;1&lt;/D&gt;&lt;D xsi:type="xsd:double"&gt;-0.6857592&lt;/D&gt;&lt;D xsi:type="xsd:double"&gt;0.3259891&lt;/D&gt;&lt;D xsi:type="xsd:double"&gt;0.8104608&lt;/D&gt;&lt;D xsi:type="xsd:double"&gt;-0.90904474&lt;/D&gt;&lt;D xsi:type="xsd:double"&gt;0.13860385&lt;/D&gt;&lt;D xsi:type="xsd:double"&gt;-0.88504505&lt;/D&gt;&lt;D xsi:type="xsd:double"&gt;0.60517627&lt;/D&gt;&lt;D xsi:type="xsd:double"&gt;0.72692734&lt;/D&gt;&lt;D xsi:type="xsd:double"&gt;-0.7870705&lt;/D&gt;&lt;D xsi:type="xsd:double"&gt;-0.69695204&lt;/D&gt;&lt;D xsi:type="xsd:double"&gt;-0.1874559&lt;/D&gt;&lt;D xsi:type="xsd:double"&gt;-0.6979219&lt;/D&gt;&lt;D xsi:type="xsd:double"&gt;0.3594052&lt;/D&gt;&lt;D xsi:type="xsd:double"&gt;-0.83597946&lt;/D&gt;&lt;D xsi:type="xsd:double"&gt;-0.7106719&lt;/D&gt;&lt;D xsi:type="xsd:double"&gt;-0.9080293&lt;/D&gt;&lt;D xsi:type="xsd:double"&gt;-0.8105087&lt;/D&gt;&lt;D xsi:type="xsd:double"&gt;0.7596683&lt;/D&gt;&lt;D xsi:type="xsd:double"&gt;-0.004791142&lt;/D&gt;&lt;D xsi</t>
        </r>
      </text>
    </comment>
    <comment ref="A4" authorId="0" shapeId="0" xr:uid="{85B75375-6D05-4A2A-AFEB-32FDF6F46EEA}">
      <text>
        <r>
          <rPr>
            <b/>
            <sz val="9"/>
            <color indexed="81"/>
            <rFont val="Tahoma"/>
            <charset val="1"/>
          </rPr>
          <t>:type="xsd:double"&gt;-0.20209399&lt;/D&gt;&lt;D xsi:type="xsd:double"&gt;-0.6940344&lt;/D&gt;&lt;D xsi:type="xsd:double"&gt;-0.76927876&lt;/D&gt;&lt;D xsi:type="xsd:double"&gt;-0.16803654&lt;/D&gt;&lt;D xsi:type="xsd:double"&gt;0.5736384&lt;/D&gt;&lt;D xsi:type="xsd:double"&gt;-0.81595254&lt;/D&gt;&lt;D xsi:type="xsd:double"&gt;-0.5909164&lt;/D&gt;&lt;D xsi:type="xsd:double"&gt;-0.6346123&lt;/D&gt;&lt;D xsi:type="xsd:double"&gt;0.872494&lt;/D&gt;&lt;D xsi:type="xsd:double"&gt;0.69603765&lt;/D&gt;&lt;D xsi:type="xsd:double"&gt;0.86176014&lt;/D&gt;&lt;D xsi:type="xsd:double"&gt;0.48184836&lt;/D&gt;&lt;D xsi:type="xsd:double"&gt;0.35800943&lt;/D&gt;&lt;D xsi:type="xsd:double"&gt;0.6620087&lt;/D&gt;&lt;D xsi:type="xsd:double"&gt;0.6110222&lt;/D&gt;&lt;D xsi:type="xsd:double"&gt;0.15183024&lt;/D&gt;&lt;D xsi:type="xsd:double"&gt;0.44918072&lt;/D&gt;&lt;D xsi:type="xsd:double"&gt;0.2284876&lt;/D&gt;&lt;D xsi:type="xsd:double"&gt;0.68986857&lt;/D&gt;&lt;D xsi:type="xsd:double"&gt;-0.69439566&lt;/D&gt;&lt;D xsi:type="xsd:double"&gt;0.7765801&lt;/D&gt;&lt;D xsi:type="xsd:double"&gt;0.38664114&lt;/D&gt;&lt;D xsi:type="xsd:double"&gt;0.3019487&lt;/D&gt;&lt;D xsi:type="xsd:double"&gt;0.6045802&lt;/D&gt;&lt;D xsi:type="xsd:double"&gt;-0.3277702&lt;/D&gt;&lt;D xsi:type="xsd:double"&gt;0.7278831&lt;/D&gt;&lt;D xsi:type="xsd:double"&gt;0.48603582&lt;/D&gt;&lt;D xsi:type="xsd:double"&gt;0.7793829&lt;/D&gt;&lt;D xsi:type="xsd:double"&gt;-0.40504065&lt;/D&gt;&lt;D xsi:type="xsd:double"&gt;0.43810362&lt;/D&gt;&lt;D xsi:type="xsd:double"&gt;0.33672875&lt;/D&gt;&lt;D xsi:type="xsd:double"&gt;0.37736347&lt;/D&gt;&lt;D xsi:type="xsd:double"&gt;0.66237354&lt;/D&gt;&lt;D xsi:type="xsd:double"&gt;0.27510816&lt;/D&gt;&lt;D xsi:type="xsd:double"&gt;0.5361833&lt;/D&gt;&lt;D xsi:type="xsd:double"&gt;-0.54046685&lt;/D&gt;&lt;D xsi:type="xsd:double"&gt;0.46317536&lt;/D&gt;&lt;D xsi:type="xsd:double"&gt;-0.6887569&lt;/D&gt;&lt;D xsi:type="xsd:double"&gt;0.15307851&lt;/D&gt;&lt;D xsi:type="xsd:double"&gt;-0.6857592&lt;/D&gt;&lt;D xsi:type="xsd:double"&gt;1&lt;/D&gt;&lt;D xsi:type="xsd:double"&gt;0.28189498&lt;/D&gt;&lt;D xsi:type="xsd:double"&gt;-0.58238727&lt;/D&gt;&lt;D xsi:type="xsd:double"&gt;0.6736888&lt;/D&gt;&lt;D xsi:type="xsd:double"&gt;0.18229586&lt;/D&gt;&lt;D xsi:type="xsd:double"&gt;0.7854459&lt;/D&gt;&lt;D xsi:type="xsd:double"&gt;-0.3395653&lt;/D&gt;&lt;D xsi:type="xsd:double"&gt;-0.39381397&lt;/D&gt;&lt;D xsi:type="xsd:double"&gt;0.730935&lt;/D&gt;&lt;D xsi:type="xsd:double"&gt;0.6929525&lt;/D&gt;&lt;D xsi:type="xsd:double"&gt;0.5668473&lt;/D&gt;&lt;D xsi:type="xsd:double"&gt;0.6392084&lt;/D&gt;&lt;D xsi:type="xsd:double"&gt;-0.54800445&lt;/D&gt;&lt;D xsi:type="xsd:double"&gt;0.6337185&lt;/D&gt;&lt;D xsi:type="xsd:double"&gt;0.71265656&lt;/D&gt;&lt;D xsi:type="xsd:double"&gt;0.7138953&lt;/D&gt;&lt;D xsi:type="xsd:double"&gt;0.68720704&lt;/D&gt;&lt;D xsi:type="xsd:double"&gt;-0.37722805&lt;/D&gt;&lt;D xsi:type="xsd:double"&gt;0.09689295&lt;/D&gt;&lt;D xsi:type="xsd:double"&gt;0.5461571&lt;/D&gt;&lt;D xsi:type="xsd:double"&gt;0.7820947&lt;/D&gt;&lt;D xsi:type="xsd:double"&gt;0.6801581&lt;/D&gt;&lt;D xsi:type="xsd:double"&gt;0.35020426&lt;/D&gt;&lt;D xsi:type="xsd:double"&gt;-0.14874166&lt;/D&gt;&lt;D xsi:type="xsd:double"&gt;0.7937548&lt;/D&gt;&lt;D xsi:type="xsd:double"&gt;0.4500393&lt;/D&gt;&lt;D xsi:type="xsd:double"&gt;0.29555002&lt;/D&gt;&lt;D xsi:type="xsd:double"&gt;-0.7056328&lt;/D&gt;&lt;D xsi:type="xsd:double"&gt;-0.23411672&lt;/D&gt;&lt;D xsi:type="xsd:double"&gt;-0.6770213&lt;/D&gt;&lt;D xsi:type="xsd:double"&gt;-0.02189534&lt;/D&gt;&lt;D xsi:type="xsd:double"&gt;0.39987168&lt;/D&gt;&lt;D xsi:type="xsd:double"&gt;0.351821&lt;/D&gt;&lt;D xsi:type="xsd:double"&gt;0.17966107&lt;/D&gt;&lt;D xsi:type="xsd:double"&gt;0.52014005&lt;/D&gt;&lt;D xsi:type="xsd:double"&gt;0.23713721&lt;/D&gt;&lt;D xsi:type="xsd:double"&gt;-0.077541925&lt;/D&gt;&lt;D xsi:type="xsd:double"&gt;-0.12454733&lt;/D&gt;&lt;D xsi:type="xsd:double"&gt;0.20741077&lt;/D&gt;&lt;D xsi:type="xsd:double"&gt;-0.10808107&lt;/D&gt;&lt;D xsi:type="xsd:double"&gt;0.11188591&lt;/D&gt;&lt;D xsi:type="xsd:double"&gt;-0.05025778&lt;/D&gt;&lt;D xsi:type="xsd:double"&gt;-0.2747418&lt;/D&gt;&lt;D xsi:type="xsd:double"&gt;0.41829666&lt;/D&gt;&lt;D xsi:type="xsd:double"&gt;0.18674412&lt;/D&gt;&lt;D xsi:type="xsd:double"&gt;-0.13602689&lt;/D&gt;&lt;D xsi:type="xsd:double"&gt;0.028878013&lt;/D&gt;&lt;D xsi:type="xsd:double"&gt;0.6490906&lt;/D&gt;&lt;D xsi:type="xsd:double"&gt;-0.019174911&lt;/D&gt;&lt;D xsi:type="xsd:double"&gt;0.6957764&lt;/D&gt;&lt;D xsi:type="xsd:double"&gt;0.31838128&lt;/D&gt;&lt;D xsi:type="xsd:double"&gt;0.20708415&lt;/D&gt;&lt;D xsi:type="xsd:double"&gt;0.47183555&lt;/D&gt;&lt;D xsi:type="xsd:double"&gt;-0.4413417&lt;/D&gt;&lt;D xsi:type="xsd:double"&gt;0.301454&lt;/D&gt;&lt;D xsi:type="xsd:double"&gt;0.5866905&lt;/D&gt;&lt;D xsi:type="xsd:double"&gt;0.31872496&lt;/D&gt;&lt;D xsi:type="xsd:double"&gt;0.689212&lt;/D&gt;&lt;D xsi:type="xsd:double"&gt;0.3259891&lt;/D&gt;&lt;D xsi:type="xsd:double"&gt;0.28189498&lt;/D&gt;&lt;D xsi:type="xsd:double"&gt;1&lt;/D&gt;&lt;D xsi:type="xsd:double"&gt;0.01096408&lt;/D&gt;&lt;D xsi:type="xsd:double"&gt;-0.2503722&lt;/D&gt;&lt;D xsi:type="xsd:double"&gt;0.6746408&lt;/D&gt;&lt;D xsi:type="xsd:double"&gt;-0.12756571&lt;/D&gt;&lt;D xsi:type="xsd:double"&gt;0.54915684&lt;/D&gt;&lt;D xsi:type="xsd:double"&gt;0.47612795&lt;/D&gt;&lt;D xsi:type="xsd:double"&gt;0.16161136&lt;/D&gt;&lt;D xsi:type="xsd:double"&gt;0.3062977&lt;/D&gt;&lt;D xsi:type="xsd:double"&gt;0.7875127&lt;/D&gt;&lt;D xsi:type="xsd:double"&gt;0.29835752&lt;/D&gt;&lt;D xsi:type="xsd:double"&gt;-0.27505326&lt;/D&gt;&lt;D xsi:type="xsd:double"&gt;-0.23835532&lt;/D&gt;&lt;D xsi:type="xsd:double"&gt;0.28983387&lt;/D&gt;&lt;D xsi:type="xsd:double"&gt;-0.22465038&lt;/D&gt;&lt;D xsi:type="xsd:double"&gt;0.011103884&lt;/D&gt;&lt;D xsi:type="xsd:double"&gt;0.69471824&lt;/D&gt;&lt;D xsi:type="xsd:double"&gt;0.5229486&lt;/D&gt;&lt;D xsi:type="xsd:double"&gt;0.6657301&lt;/D&gt;&lt;D xsi:type="xsd:double"&gt;0.2907738&lt;/D&gt;&lt;D xsi:type="xsd:double"&gt;0.13297845&lt;/D&gt;&lt;D xsi:type="xsd:double"&gt;-0.17446381&lt;/D&gt;&lt;D xsi:type="xsd:double"&gt;0.7550109&lt;/D&gt;&lt;D xsi:type="xsd:double"&gt;0.07658697&lt;/D&gt;&lt;D xsi:type="xsd:double"&gt;-0.25467426&lt;/D&gt;&lt;D xsi:type="xsd:double"&gt;-0.47487798&lt;/D&gt;&lt;D xsi:type="xsd:double"&gt;0.110434815&lt;/D&gt;&lt;D xsi:type="xsd:double"&gt;0.35965157&lt;/D&gt;&lt;D xsi:type="xsd:double"&gt;0.1577623&lt;/D&gt;&lt;D xsi:type="xsd:double"&gt;-0.32941785&lt;/D&gt;&lt;D xsi:type="xsd:double"&gt;-0.61294585&lt;/D&gt;&lt;D xsi:type="xsd:double"&gt;-0.37718713&lt;/D&gt;&lt;D xsi:type="xsd:double"&gt;-0.8278317&lt;/D&gt;&lt;D xsi:type="xsd:double"&gt;0.095413804&lt;/D&gt;&lt;D xsi:type="xsd:double"&gt;-0.57496536&lt;/D&gt;&lt;D xsi:type="xsd:double"&gt;-0.24173346&lt;/D&gt;&lt;D xsi:type="xsd:double"&gt;-0.8264163&lt;/D&gt;&lt;D xsi:type="xsd:double"&gt;0.8185215&lt;/D&gt;&lt;D xsi:type="xsd:double"&gt;-0.720098&lt;/D&gt;&lt;D xsi:type="xsd:double"&gt;-0.7668088&lt;/D&gt;&lt;D xsi:type="xsd:double"&gt;-0.084400825&lt;/D&gt;&lt;D xsi:type="xsd:double"&gt;-0.79679215&lt;/D&gt;&lt;D xsi:type="xsd:double"&gt;0.4933743&lt;/D&gt;&lt;D xsi:type="xsd:double"&gt;-0.8369189&lt;/D&gt;&lt;D xsi:type="xsd:double"&gt;-0.6787628&lt;/D&gt;&lt;D xsi:type="xsd:double"&gt;-0.84916186&lt;/D&gt;&lt;D xsi:type="xsd:double"&gt;0.42210826&lt;/D&gt;&lt;D xsi:type="xsd:double"&gt;-0.5611806&lt;/D&gt;&lt;D xsi:type="xsd:double"&gt;-0.5052197&lt;/D&gt;&lt;D xsi:type="xsd:double"&gt;-0.54599905&lt;/D&gt;&lt;D xsi:type="xsd:double"&gt;-0.82545847&lt;/D&gt;&lt;D xsi:type="xsd:double"&gt;-0.5382189&lt;/D&gt;&lt;D xsi:type="xsd:double"&gt;-0.6705976&lt;/D&gt;&lt;D xsi:type="xsd:double"&gt;0.86381006&lt;/D&gt;&lt;D xsi:type="xsd:double"&gt;-0.46736813&lt;/D&gt;&lt;D xsi:type="xsd:double"&gt;0.7405466&lt;/D&gt;&lt;D xsi:type="xsd:double"&gt;-0.2124522&lt;/D&gt;&lt;D xsi:type="xsd:double"&gt;0.8104608&lt;/D&gt;&lt;D xsi:type="xsd:double"&gt;-0.58238727&lt;/D&gt;&lt;D xsi:type="xsd:double"&gt;0.01096408&lt;/D&gt;&lt;D xsi:type="xsd:double"&gt;1&lt;/D&gt;&lt;D xsi:type="xsd:double"&gt;-0.7594134&lt;/D&gt;&lt;D xsi:type="xsd:double"&gt;-0.08702498&lt;/D&gt;&lt;D xsi:type="xsd:double"&gt;-0.7418184&lt;/D&gt;&lt;D xsi:type="xsd:double"&gt;0.18567896&lt;/D&gt;&lt;D xsi:type="xsd:double"&gt;0.51703024&lt;/D&gt;&lt;D xsi:type="xsd:double"&gt;-0.8646621&lt;/D&gt;&lt;D xsi:type="xsd:double"&gt;-0.8262186&lt;/D&gt;&lt;D xsi:type="xsd:double"&gt;-0.4549162&lt;/D&gt;&lt;D xsi:type="xsd:double"&gt;-0.7588024&lt;/D&gt;&lt;D xsi:type="xsd:double"&gt;0.44881633&lt;/D&gt;&lt;D xsi:type="xsd:double"&gt;-0.743215&lt;/D&gt;&lt;D xsi:type="xsd:double"&gt;-0.8217722&lt;/D&gt;&lt;D xsi:type="xsd:double"&gt;-0.77765906&lt;/D&gt;&lt;D xsi:type="xsd:double"&gt;-0.8180578&lt;/D&gt;&lt;D xsi:type="xsd:double"&gt;0.38771108&lt;/D&gt;&lt;D xsi:type="xsd:double"&gt;-0.20162435&lt;/D&gt;&lt;D xsi:type="xsd:double"&gt;-0.45837387&lt;/D&gt;&lt;D xsi:type="xsd:double"&gt;-0.75326735&lt;/D&gt;&lt;D xsi:type="xsd:double"&gt;-0.8509501&lt;/D&gt;&lt;D xsi:type="xsd:double"&gt;0.1418004&lt;/D&gt;&lt;D xsi:type="xsd:double"&gt;0.26339668&lt;/D&gt;&lt;D xsi:type="xsd:double"&gt;-0.805371&lt;/D&gt;&lt;D xsi:type="xsd:double"&gt;-0.41706592&lt;/D&gt;&lt;D xsi:type="xsd:double"&gt;-0.5781018&lt;/D&gt;&lt;D xsi:type="xsd:double"&gt;0.87361133&lt;/D&gt;&lt;D xsi:type="xsd:double"&gt;0.63437945&lt;/D&gt;&lt;D xsi:type="xsd:double"&gt;0.78061056&lt;/D&gt;&lt;D xsi:type="xsd:double"&gt;0.58192486&lt;/D&gt;&lt;D xsi:type="xsd:double"&gt;0.41195163&lt;/D&gt;&lt;D xsi:type="xsd:double"&gt;0.5084482&lt;/D&gt;&lt;D xsi:type="xsd:double"&gt;0.76729786&lt;/D&gt;&lt;D xsi:type="xsd:double"&gt;-0.05629476&lt;/D&gt;&lt;D xsi:type="xsd:double"&gt;0.46521476&lt;/D&gt;&lt;D xsi:type="xsd:double"&gt;0.4975991&lt;/D&gt;&lt;D xsi:type="xsd:double"&gt;0.90848607&lt;/D&gt;&lt;D xsi:type="xsd:double"&gt;-0.8539818&lt;/D&gt;&lt;D xsi:type="xsd:double"&gt;0.8930264&lt;/D&gt;&lt;D xsi:type="xsd:double"&gt;0.66384274&lt;/D&gt;&lt;D xsi:type="xsd:double"&gt;0.19579734&lt;/D&gt;&lt;D xsi:type="xsd:double"&gt;0.9410153&lt;/D&gt;&lt;D xsi:type="xsd:double"&gt;-0.70729184&lt;/D&gt;&lt;D xsi:type="xsd:double"&gt;0.8151935&lt;/D&gt;&lt;D xsi:type="xsd:double"&gt;0.83812684&lt;/D&gt;&lt;D xsi:type="xsd:double"&gt;0.9155149&lt;/D&gt;&lt;D xsi:type="xsd:double"&gt;-0.7063255&lt;/D&gt;&lt;D xsi:type="xsd:double"&gt;0.58156353&lt;/D&gt;&lt;D xsi:type="xsd:double"&gt;0.122387715&lt;/D&gt;&lt;D xsi:type="xsd:double"&gt;0.45052403&lt;/D&gt;&lt;D xsi:type="xsd:double"&gt;0.7181478&lt;/D&gt;&lt;D xsi:type="xsd:double"&gt;0.30553028&lt;/D&gt;&lt;D xsi:type="xsd:double"&gt;0.9144648&lt;/D&gt;&lt;D xsi:type="xsd:double"&gt;-0.8456605&lt;/D&gt;&lt;D xsi:type="xsd:double"&gt;0.32058397&lt;/D&gt;&lt;D xsi:type="xsd:double"&gt;-0.87891966&lt;/D&gt;&lt;D xsi:type="xsd:double"&gt;-0.110309854&lt;/D&gt;&lt;D xsi:type="xsd:double"&gt;-0.90904474&lt;/D&gt;&lt;D xsi:type="xsd:double"&gt;0.6736888&lt;/D&gt;&lt;D xsi:type="xsd:double"&gt;-0.2503722&lt;/D&gt;&lt;D xsi:type="xsd:double"&gt;-0.7594134&lt;/D&gt;&lt;D xsi:type="xsd:double"&gt;1&lt;/D&gt;&lt;D xsi:type="xsd:double"&gt;-0.14661902&lt;/D&gt;&lt;D xsi:type="xsd:double"&gt;0.8887386&lt;/D&gt;&lt;D xsi:type="xsd:double"&gt;-0.49534664&lt;/D&gt;&lt;D xsi:type="xsd:double"&gt;-0.79738235&lt;/D&gt;&lt;D xsi:type="xsd:double"&gt;0.8293426&lt;/D&gt;&lt;D xsi:type="xsd:double"&gt;0.7616625&lt;/D&gt;&lt;D xsi:type="xsd:double"&gt;0.1993565&lt;/D&gt;&lt;D xsi:type="xsd:double"&gt;0.7051611&lt;/D&gt;&lt;D xsi:type="xsd:double"&gt;-0.21169892&lt;/D&gt;&lt;D xsi:type="xsd:double"&gt;0.9094556&lt;/D&gt;&lt;D xsi:type="xsd:double"&gt;0.73370695&lt;/D&gt;&lt;D xsi:type="xsd:double"&gt;0.960157&lt;/D&gt;&lt;D xsi:type="xsd:double"&gt;0.9061913&lt;/D&gt;&lt;D xsi:type="xsd:double"&gt;-0.6256842&lt;/D&gt;&lt;D xsi:type="xsd:double"&gt;0.08822126&lt;/D&gt;&lt;D xsi:type="xsd:double"&gt;0.30619657&lt;/D&gt;&lt;D xsi:type="xsd:double"&gt;0.7555039&lt;/D&gt;&lt;D xsi:type="xsd:double"&gt;0.7891064&lt;/D&gt;&lt;D xsi:type="xsd:double"&gt;0.35402697&lt;/D&gt;&lt;D xsi:type="xsd:double"&gt;-0.5757144&lt;/D&gt;&lt;D xsi:type="xsd:double"&gt;0.8924805&lt;/D&gt;&lt;D xsi:type="xsd:double"&gt;0.703452&lt;/D&gt;&lt;D xsi:type="xsd:double"&gt;0.7078619&lt;/D&gt;&lt;D xsi:type="xsd:double"&gt;-0.83651876&lt;/D&gt;&lt;D xsi:type="xsd:double"&gt;-0.67583054&lt;/D&gt;&lt;D xsi:type="xsd:double"&gt;-0.8736373&lt;/D&gt;&lt;D xsi:type="xsd:double"&gt;-0.16960822&lt;/D&gt;&lt;D xsi:type="xsd:double"&gt;0.64069754&lt;/D&gt;&lt;D xsi:type="xsd:double"&gt;0.28406632&lt;/D&gt;&lt;D xsi:type="xsd:double"&gt;0.25810218&lt;/D&gt;&lt;D xsi:type="xsd:double"&gt;0.28638336&lt;/D&gt;&lt;D xsi:type="xsd:double"&gt;0.57208055&lt;/D&gt;&lt;D xsi:type="xsd:double"&gt;-0.1775566&lt;/D&gt;&lt;D xsi:type="xsd:double"&gt;-0.112091675&lt;/D&gt;&lt;D xsi:type="xsd:double"&gt;0.108965166&lt;/D&gt;&lt;D xsi:type="xsd:double"&gt;-0.1828564&lt;/D&gt;&lt;D xsi:type="xsd:double"&gt;0.026961852&lt;/D&gt;&lt;D xsi:type="xsd:double"&gt;0.034753196&lt;/D&gt;&lt;D xsi:type="xsd:double"&gt;-0.12758832&lt;/D&gt;&lt;D xsi:type="xsd:double"&gt;0.4743307&lt;/D&gt;&lt;D xsi:type="xsd:double"&gt;0.17064779&lt;/D&gt;&lt;D xsi:type="xsd:double"&gt;0.15575376&lt;/D&gt;&lt;D xsi:type="xsd:double"&gt;0.084949136&lt;/D&gt;&lt;D xsi:type="xsd:double"&gt;0.6051691&lt;/D&gt;&lt;D xsi:type="xsd:double"&gt;-0.2041544&lt;/D&gt;&lt;D xsi:type="xsd:double"&gt;0.5739913&lt;/D&gt;&lt;D xsi:type="xsd:double"&gt;0.6035286&lt;/D&gt;&lt;D xsi:type="xsd:double"&gt;0.14428142&lt;/D&gt;&lt;D xsi:type="xsd:double"&gt;0.6009971&lt;/D&gt;&lt;D xsi:type="xsd:double"&gt;-0.2752713&lt;/D&gt;&lt;D xsi:type="xsd:double"&gt;0.045766994&lt;/D&gt;&lt;D xsi:type="xsd:double"&gt;0.3542917&lt;/D&gt;&lt;D xsi:type="xsd:double"&gt;0.11456166&lt;/D&gt;&lt;D xsi:type="xsd:double"&gt;0.78795296&lt;/D&gt;&lt;D xsi:type="xsd:double"&gt;0.13860385&lt;/D&gt;&lt;D xsi:type="xsd:double"&gt;0.18229586&lt;/D&gt;&lt;D xsi:type="xsd:double"&gt;0.6746408&lt;/D&gt;&lt;D xsi:type="xsd:double"&gt;-0.08702498&lt;/D&gt;&lt;D xsi:type="xsd:double"&gt;-0.14661902&lt;/D&gt;&lt;D xsi:type="xsd:double"&gt;1&lt;/D&gt;&lt;D xsi:type="xsd:double"&gt;-0.085831024&lt;/D&gt;&lt;D xsi:type="xsd:double"&gt;0.32743877&lt;/D&gt;&lt;D xsi:type="xsd:double"&gt;0.40335417&lt;/D&gt;&lt;D xsi:type="xsd:double"&gt;0.24164428&lt;/D&gt;&lt;D xsi:type="xsd:double"&gt;0.30431122&lt;/D&gt;&lt;D xsi:type="xsd:double"&gt;0.7258634&lt;/D&gt;&lt;D xsi:type="xsd:double"&gt;0.4175986&lt;/D&gt;&lt;D xsi:type="xsd:double"&gt;-0.20711507&lt;/D&gt;&lt;D xsi:type="xsd:double"&gt;-0.099349305&lt;/D&gt;&lt;D xsi:type="xsd:double"&gt;0.21840632&lt;/D&gt;&lt;D xsi:type="xsd:double"&gt;-0.15894417&lt;/D&gt;&lt;D xsi:type="xsd:double"&gt;0.061002966&lt;/D&gt;&lt;D xsi:type="xsd:double"&gt;0.41693434&lt;/D&gt;&lt;D xsi:type="xsd:double"&gt;0.6226784&lt;/D&gt;&lt;D xsi:type="xsd:double"&gt;0.71482444&lt;/D&gt;&lt;D xsi:type="xsd:double"&gt;0.25051862&lt;/D&gt;&lt;D xsi:type="xsd:double"&gt;0.29189202&lt;/D&gt;&lt;D xsi:type="xsd:double"&gt;-0.26344237&lt;/D&gt;&lt;D xsi:type="xsd:double"&gt;0.5482339&lt;/D&gt;&lt;D xsi:type="xsd:double"&gt;0.0722227&lt;/D&gt;&lt;D xsi:type="xsd:double"&gt;-0.3310567&lt;/D&gt;&lt;D xsi:type="xsd:double"&gt;-0.7339184&lt;/D&gt;&lt;D xsi:type="xsd:double"&gt;0.09125891&lt;/D&gt;&lt;D xsi:type="xsd:double"&gt;0.24993648&lt;/D&gt;&lt;D xsi:type="xsd:double"&gt;0.08246232&lt;/D&gt;&lt;D xsi:type="xsd:double"&gt;0.4897161&lt;/D&gt;&lt;D xsi:type="xsd:double"&gt;0.39197427&lt;/D&gt;&lt;D xsi:type="xsd:double"&gt;0.5986459&lt;/D&gt;&lt;D xsi:type="xsd:double"&gt;0.7692587&lt;/D&gt;&lt;D xsi:type="xsd:double"&gt;0.07965833&lt;/D&gt;&lt;D xsi:type="xsd:double"&gt;0.5538335&lt;/D&gt;&lt;D xsi:type="xsd:double"&gt;0.47195798&lt;/D&gt;&lt;D xsi:type="xsd:double"&gt;0.8686569&lt;/D&gt;&lt;D xsi:type="xsd:double"&gt;-0.8192146&lt;/D&gt;&lt;D xsi:type="xsd:double"&gt;0.83378834&lt;/D&gt;&lt;D xsi:type="xsd:double"&gt;0.496513&lt;/D&gt;&lt;D xsi:type="xsd:double"&gt;0.22724369&lt;/D&gt;&lt;D xsi:type="xsd:double"&gt;0.81784475&lt;/D&gt;&lt;D xsi:type="xsd:double"&gt;-0.69789374&lt;/D&gt;&lt;D xsi:type="xsd:double"&gt;0.7849261&lt;/D&gt;&lt;D xsi:type="xsd:double"&gt;0.7716362&lt;/D&gt;&lt;D xsi:type="xsd:double"&gt;0.9030942&lt;/D&gt;&lt;D xsi:type="xsd:double"&gt;-0.7136698&lt;/D&gt;&lt;D xsi:type="xsd:double"&gt;0.40803134&lt;/D&gt;&lt;D xsi:type="xsd:double"&gt;0.14690027&lt;/D&gt;&lt;D xsi:type="xsd:double"&gt;0.4353778&lt;/D&gt;&lt;D xsi:type="xsd:double"&gt;0.5943173&lt;/D&gt;&lt;D xsi:type="xsd:double"&gt;0.32661143&lt;/D&gt;&lt;D xsi:type="xsd:double"&gt;0.80172867&lt;/D&gt;&lt;D xsi:type="xsd:double"&gt;-0.7987693&lt;/D&gt;&lt;D xsi:type="xsd:double"&gt;0.29704627&lt;/D&gt;&lt;D xsi:type="xsd:double"&gt;-0.9032719&lt;/D&gt;&lt;D xsi:type="xsd:double"&gt;-0.0052274982&lt;/D&gt;&lt;D xsi:type="xsd:double"&gt;-0.88504505&lt;/D&gt;&lt;D xsi:type="xsd:double"&gt;0.7854459&lt;/D&gt;&lt;D xsi:type="xsd:double"&gt;-0.12756571&lt;/D&gt;&lt;D xsi:type="xsd:double"&gt;-0.7418184&lt;/D&gt;&lt;D xsi:type="xsd:double"&gt;0.8887386&lt;/D&gt;&lt;D xsi:type="xsd:double"&gt;-0.085831024&lt;/D&gt;&lt;D xsi:type="xsd:double"&gt;1&lt;/D&gt;&lt;D xsi:type="xsd:double"&gt;-0.45641556&lt;/D&gt;&lt;D xsi:type="xsd:double"&gt;-0.7877706&lt;/D&gt;&lt;D xsi:type="xsd:double"&gt;0.8114953&lt;/D&gt;&lt;D xsi:type="xsd:double"&gt;0.73722506&lt;/D&gt;&lt;D xsi:type="xsd:double"&gt;0.29894593&lt;/D&gt;&lt;D xsi:type="xsd:double"&gt;0.6614309&lt;/D&gt;&lt;D xsi:type="xsd:double"&gt;-0.22764993&lt;/D&gt;&lt;D xsi:type="xsd:double"&gt;0.85288984&lt;/D&gt;&lt;D xsi:type="xsd:double"&gt;0.63013864&lt;/D&gt;&lt;D xsi:type="xsd:double"&gt;0.9345024&lt;/D&gt;&lt;D xsi:type="xsd:double"&gt;0.85757625&lt;/D&gt;&lt;D xsi:type="xsd:double"&gt;-0.59552914&lt;/D&gt;&lt;D xsi:type="xsd:double"&gt;0.090476304&lt;/D&gt;&lt;D xsi:type="xsd:double"&gt;0.35816202&lt;/D&gt;&lt;D xsi:type="xsd:double"&gt;0.8508237&lt;/D&gt;&lt;D xsi:type="xsd:double"&gt;0.7815749&lt;/D&gt;&lt;D xsi:type="xsd:double"&gt;0.36681932&lt;/D&gt;&lt;D xsi:type="xsd:double"&gt;-0.5611266&lt;/D&gt;&lt;D xsi:type="xsd:double"&gt;0.84612894&lt;/D&gt;&lt;D xsi:type="xsd:double"&gt;0.7402351&lt;/D&gt;&lt;D xsi:type="xsd:double"&gt;0.71194804&lt;/D&gt;&lt;D xsi:type="xsd:double"&gt;-0.81179214&lt;/D&gt;&lt;D xsi:type="xsd:double"&gt;-0.6445596&lt;/D&gt;&lt;D xsi:type="xsd:double"&gt;-0.88737905&lt;/D&gt;&lt;D xsi:type="xsd:double"&gt;-0.113806&lt;/D&gt;&lt;D xsi:type="xsd:double"&gt;0.19385561&lt;/D&gt;&lt;D xsi:type="xsd:double"&gt;-0.15415417&lt;/D&gt;&lt;D xsi:type="xsd:double"&gt;-0.038480967&lt;/D&gt;&lt;D xsi:type="xsd:double"&gt;0.42239547&lt;/D&gt;&lt;D xsi:type="xsd:double"&gt;0.00417582&lt;/D&gt;&lt;D xsi:type="xsd:double"&gt;-0.025001608&lt;/D&gt;&lt;D xsi:type="xsd:double"&gt;-0.33025143&lt;/D&gt;&lt;D xsi:type="xsd:double"&gt;0.5862863&lt;/D&gt;&lt;D xsi:type="xsd:double"&gt;-0.43731767&lt;/D&gt;&lt;D xsi:type="xsd:double"&gt;0.04861163&lt;/D&gt;&lt;D xsi:type="xsd:double"&gt;-0.37856734&lt;/D&gt;&lt;D xsi:type="xsd:double"&gt;-0.45200217&lt;/D&gt;&lt;D xsi:type="xsd:double"&gt;0.41933626&lt;/D&gt;&lt;D xsi:type="xsd:double"&gt;-0.101046264&lt;/D&gt;&lt;D xsi:type="xsd:double"&gt;-0.2255513&lt;/D&gt;&lt;D xsi:type="xsd:double"&gt;-0.3384868&lt;/D&gt;&lt;D xsi:type="xsd:double"&gt;0.68514293&lt;/D&gt;&lt;D xsi:type="xsd:double"&gt;-0.21059231&lt;/D&gt;&lt;D xsi:type="xsd:double"&gt;0.4246132&lt;/D&gt;&lt;D xsi:type="xsd:double"&gt;0.07284827&lt;/D&gt;&lt;D xsi:type="xsd:double"&gt;-0.12317201&lt;/D&gt;&lt;D xsi:type="xsd:double"&gt;0.2908685&lt;/D&gt;&lt;D xsi:type="xsd:double"&gt;-0.639129&lt;/D&gt;&lt;D xsi:type="xsd:double"&gt;0.48108062&lt;/D&gt;&lt;D xsi:type="xsd:double"&gt;0.3873891&lt;/D&gt;&lt;D xsi:type="xsd:double"&gt;0.6405579&lt;/D&gt;&lt;D xsi:type="xsd:double"&gt;0.48882213&lt;/D&gt;&lt;D xsi:type="xsd:double"&gt;0.60517627&lt;/D&gt;&lt;D xsi:type="xsd:double"&gt;-0.3395653&lt;/D&gt;&lt;D xsi:type="xsd:double"&gt;0.54915684&lt;/D&gt;&lt;D xsi:type="xsd:double"&gt;0.18567896&lt;/D&gt;&lt;D xsi:type="xsd:double"&gt;-0.49534664&lt;/D&gt;&lt;D xsi:type="xsd:double"&gt;0.32743877&lt;/D&gt;&lt;D xsi:type="xsd:double"&gt;-0.45641556&lt;/D&gt;&lt;D xsi:type="xsd:double"&gt;1&lt;/D&gt;&lt;D xsi:type="xsd:double"&gt;0.5657175&lt;/D&gt;&lt;D xsi:type="xsd:double"&gt;-0.15757912&lt;/D&gt;&lt;D xsi:type="xsd:double"&gt;-0.010034751&lt;/D&gt;&lt;D xsi:type="xsd:double"&gt;0.28798804&lt;/D&gt;&lt;D xsi:type="xsd:double"&gt;-0.104221836&lt;/D&gt;&lt;D xsi:type="xsd:double"&gt;0.17234927&lt;/D&gt;&lt;D xsi:type="xsd:double"&gt;-0.43890053&lt;/D&gt;&lt;D xsi:type="xsd:double"&gt;-0.118490204&lt;/D&gt;&lt;D xsi:type="xsd:double"&gt;-0.49030757&lt;/D&gt;&lt;D xsi:type="xsd:double"&gt;-0.23969294&lt;/D&gt;&lt;D xsi:type="xsd:double"&gt;0.82276756&lt;/D&gt;&lt;D xsi:type="xsd:double"&gt;0.3930326&lt;/D&gt;&lt;D xsi:type="xsd:double"&gt;0.30768234&lt;/D&gt;&lt;D xsi:type="xsd:double"&gt;-0.11081878&lt;/D&gt;&lt;D xsi:type="xsd:double"&gt;-0.19179456&lt;/D&gt;&lt;D xsi:type="xsd:double"&gt;-0.36298564&lt;/D&gt;&lt;D xsi:type="xsd:double"&gt;0.7078303&lt;/D&gt;&lt;D xsi:type="xsd:double"&gt;-0.28859213&lt;/D&gt;&lt;D xsi:type="xsd:double"&gt;-0.30399734&lt;/D&gt;&lt;D xsi:type="xsd:double"&gt;-0.3290387&lt;/D&gt;&lt;D xsi:type="xsd:double"&gt;0.4101903&lt;/D&gt;&lt;D xsi:type="xsd:double"&gt;0.29929626&lt;/D&gt;&lt;D xsi:type="xsd:double"&gt;0.43638468&lt;/D&gt;&lt;D xsi:type="xsd:double"&gt;-0.47092625&lt;/D&gt;&lt;D xsi:type="xsd:double"&gt;-0.07707192&lt;/D&gt;&lt;D xsi:type="xsd:double"&gt;-0.44207352&lt;/D&gt;&lt;D xsi:type="xsd:double"&gt;-0.5192461&lt;/D&gt;&lt;D xsi:type="xsd:double"&gt;-0.021444751&lt;/D&gt;&lt;D xsi:type="xsd:double"&gt;-0.28556967&lt;/D&gt;&lt;D xsi:type="xsd:double"&gt;-0.5813492&lt;/D&gt;&lt;D xsi:type="xsd:double"&gt;-0.69521314&lt;/D&gt;&lt;D xsi:type="xsd:double"&gt;0.60011595&lt;/D&gt;&lt;D xsi:type="xsd:double"&gt;-0.70584136&lt;/D&gt;&lt;D xsi:type="xsd:double"&gt;-0.43061206&lt;/D&gt;&lt;D xsi:type="xsd:double"&gt;0.012488977&lt;/D&gt;&lt;D xsi:type="xsd:double"&gt;-0.7288816&lt;/D&gt;&lt;D xsi:type="xsd:double"&gt;0.8288038&lt;/D&gt;&lt;D xsi:type="xsd:double"&gt;-0.55485696&lt;/D&gt;&lt;D xsi:type="xsd:double"&gt;-0.6542705&lt;/D&gt;&lt;D xsi:type="xsd:double"&gt;-0.6721423&lt;/D&gt;&lt;D xsi:type="xsd:double"&gt;0.79583615&lt;/D&gt;&lt;D xsi:type="xsd:double"&gt;-0.43951914&lt;/D&gt;&lt;D xsi:type="xsd:double"&gt;0.23563047&lt;/D&gt;&lt;D xsi:type="xsd:double"&gt;-0.19524685&lt;/D&gt;&lt;D xsi:type="xsd:double"&gt;-0.32134956&lt;/D&gt;&lt;D xsi:type="xsd:double"&gt;-0.08726639&lt;/D&gt;&lt;D xsi:type="xsd:double"&gt;-0.8104011&lt;/D&gt;&lt;D xsi:type="xsd:double"&gt;0.6975977&lt;/D&gt;&lt;D xsi:type="xsd:double"&gt;-0.0027708532&lt;/D&gt;&lt;D xsi:type="xsd:double"&gt;0.7692466&lt;/D&gt;&lt;D xsi:type="xsd:double"&gt;0.36632514&lt;/D&gt;&lt;D xsi:type="xsd:double"&gt;0.72692734&lt;/D&gt;&lt;D xsi:type="xsd:double"&gt;-0.39381397&lt;/D&gt;&lt;D xsi:type="xsd:double"&gt;0.47612795&lt;/D&gt;&lt;D xsi:type="xsd:double"&gt;0.51703024&lt;/D&gt;&lt;D xsi:type="xsd:double"&gt;-0.79738235&lt;/D&gt;&lt;D xsi:type="xsd:double"&gt;0.40335417&lt;/D&gt;&lt;D xsi:type="xsd:double"&gt;-0.7877706&lt;/D&gt;&lt;D xsi:type="xsd:double"&gt;0.5657175&lt;/D&gt;&lt;D xsi:type="xsd:double"&gt;1&lt;/D&gt;&lt;D xsi:type="xsd:double"&gt;-0.5467645&lt;/D&gt;&lt;D xsi:type="xsd:double"&gt;-0.4811462&lt;/D&gt;&lt;D xsi:type="xsd:double"&gt;0.16540924&lt;/D&gt;&lt;D xsi:type="xsd:double"&gt;-0.3951064&lt;/D&gt;&lt;D xsi:type="xsd:double"&gt;-0.123697534&lt;/D&gt;&lt;D xsi:type="xsd:double"&gt;-0.81102914&lt;/D&gt;&lt;D xsi:type="xsd:double"&gt;-0.35154364&lt;/D&gt;&lt;D xsi:type="xsd:double"&gt;-0.8426749&lt;/D&gt;&lt;D xsi:type="xsd:double"&gt;-0.72119254&lt;/D&gt;&lt;D xsi:type="xsd:double"&gt;0.65793216&lt;/D&gt;&lt;D xsi:type="xsd:double"&gt;0.13275503&lt;/D&gt;&lt;D xsi:type="xsd:double"&gt;0.020895917&lt;/D&gt;&lt;D xsi:type="xsd:double"&gt;-0.59053785&lt;/D&gt;&lt;D xsi:type="xsd:double"&gt;-0.5257763&lt;/D&gt;&lt;D xsi:type="xsd:double"&gt;-0.41922656&lt;/D&gt;&lt;D xsi:type="xsd:double"&gt;0.827823&lt;/D&gt;&lt;D xsi:type="xsd:double"&gt;-0.6121942&lt;/D&gt;&lt;D xsi:type="xsd:double"&gt;-0.7712603&lt;/D&gt;&lt;D xsi:type="xsd:double"&gt;-0.7820746&lt;/D&gt;&lt;D xsi:type="xsd:double"&gt;0.66005063&lt;/D&gt;&lt;D xsi:type="xsd:double"&gt;0.71555716&lt;/D&gt;&lt;D xsi:type="xsd:double"&gt;0.82717973&lt;/D&gt;&lt;D xsi:type="xsd:double"&gt;0.50738406&lt;/D&gt;&lt;D xsi:type="xsd:double"&gt;0.7136937&lt;/D&gt;&lt;D xsi:type="xsd:double"&gt;0.6270125&lt;/D&gt;&lt;D xsi:type="xsd:double"&gt;0.93275046&lt;/D&gt;&lt;D xsi:type="xsd:double"&gt;0.17498033&lt;/D&gt;&lt;D xsi:type="xsd:double"&gt;0.71703225&lt;/D&gt;&lt;D xsi:type="xsd:double"&gt;0.4272118&lt;/D&gt;&lt;D xsi:type="xsd:double"&gt;0.87774694&lt;/D&gt;&lt;D xsi:type="xsd:double"&gt;-0.7681512&lt;/D&gt;&lt;D xsi:type="xsd:double"&gt;0.8077391&lt;/D&gt;&lt;D xsi:type="xsd:double"&gt;0.7707009&lt;/D&gt;&lt;D xsi:type="xsd:double"&gt;0.051202584&lt;/D&gt;&lt;D xsi:type="xsd:double"&gt;0.8233057&lt;/D&gt;&lt;D xsi:type="xsd:double"&gt;-0.47308463&lt;/D&gt;&lt;D xsi:type="xsd:double"&gt;0.9606931&lt;/D&gt;&lt;D xsi:type="xsd:double"&gt;0.7994595&lt;/D&gt;&lt;D xsi:type="xsd:double"&gt;0.930953&lt;/D&gt;&lt;D xsi:type="xsd:double"&gt;-0.34717616&lt;/D&gt;&lt;D xsi:type="xsd:double"&gt;0.5500801&lt;/D&gt;&lt;D xsi:type="xsd:double"&gt;0.53166133&lt;/D&gt;&lt;D xsi:type="xsd:double"&gt;0.7134258&lt;/D&gt;&lt;D xsi:type="xsd:double"&gt;0.8296585&lt;/D&gt;&lt;D xsi:type="xsd:double"&gt;0.65215296&lt;/D&gt;&lt;D xsi:type="xsd:double"&gt;0.6552962&lt;/D&gt;&lt;D xsi:type="xsd:double"&gt;-0.7726354&lt;/D&gt;&lt;D xsi:type="xsd:double"&gt;0.6395841&lt;/D&gt;&lt;D xsi:type="xsd:double"&gt;-0.74075943&lt;/D&gt;&lt;D xsi:type="xsd:double"&gt;0.33918202&lt;/D&gt;&lt;D xsi:type="xsd:double"&gt;-0.7870705&lt;/D&gt;&lt;D xsi:type="xsd:double"&gt;0.730935&lt;/D&gt;&lt;D xsi:type="xsd:double"&gt;0.16161136&lt;/D&gt;&lt;D xsi:type="xsd:double"&gt;-0.8646621&lt;/D&gt;&lt;D xsi:type="xsd:double"&gt;0.8293426&lt;/D&gt;&lt;D xsi:type="xsd:double"&gt;0.24164428&lt;/D&gt;&lt;D xsi:type="xsd:double"&gt;0.8114953&lt;/D&gt;&lt;D xsi:type="xsd:double"&gt;-0.15757912&lt;/D&gt;&lt;D xsi:type="xsd:double"&gt;-0.5467645&lt;/D&gt;&lt;D xsi:type="xsd:double"&gt;1&lt;/D&gt;&lt;D xsi:type="xsd:double"&gt;0.95969045&lt;/D&gt;&lt;D xsi:type="xsd:double"&gt;0.598293&lt;/D&gt;&lt;D xsi:type="xsd:double"&gt;0.88422585&lt;/D&gt;&lt;D xsi:type="xsd:double"&gt;-0.38442287&lt;/D&gt;&lt;D xsi:type="xsd:double"&gt;0.837989&lt;/D&gt;&lt;D xsi:type="xsd:double"&gt;0.8831033&lt;/D&gt;&lt;D xsi:type="xsd:double"&gt;0.84927833&lt;/D&gt;&lt;D xsi:type="xsd:double"&gt;0.9395096&lt;/D&gt;&lt;D xsi:type="xsd:double"&gt;-0.293368&lt;/D&gt;&lt;D xsi:type="xsd:double"&gt;0.38444993&lt;/D&gt;&lt;D xsi:type="xsd:double"&gt;0.66816324&lt;/D&gt;&lt;D xsi:type="xsd:double"&gt;0.917249&lt;/D&gt;&lt;D xsi:type="xsd:double"&gt;0.9354413&lt;/D&gt;&lt;D xsi:type="xsd:double"&gt;0.12596533&lt;/D&gt;&lt;D xsi:type="xsd:double"&gt;-0.20633613&lt;/D&gt;&lt;D xsi:type="xsd:double"&gt;0.9257288&lt;/D&gt;&lt;D xsi:type="xsd:double"&gt;0.5465168&lt;/D&gt;&lt;D xsi:type="xsd:double"&gt;0.5686465&lt;/D&gt;&lt;D xsi:type="xsd:double"&gt;-0.83204734&lt;/D&gt;&lt;D xsi:type="xsd:double"&gt;-0.57726383&lt;/D&gt;&lt;D xsi:type="xsd:double"&gt;-0.84012085&lt;/D&gt;&lt;D xsi:type="xsd:double"&gt;0.5663757&lt;/D&gt;&lt;D xsi:type="xsd:double"&gt;0.7170449&lt;/D&gt;&lt;D xsi:type="xsd:double"&gt;0.66704166&lt;/D&gt;&lt;D xsi:type="xsd:double"&gt;0.91086036&lt;/D&gt;&lt;D xsi:type="xsd:double"&gt;0.23700751&lt;/D&gt;&lt;D xsi:type="xsd:double"&gt;0.7030049&lt;/D&gt;&lt;D xsi:type="xsd:double"&gt;0.40691832&lt;/D&gt;&lt;D xsi:type="xsd:double"&gt;0.83089787&lt;/D&gt;&lt;D xsi:type="xsd:double"&gt;-0.68172103&lt;/D&gt;&lt;D xsi:type="xsd:double"&gt;0.76238006&lt;/D&gt;&lt;D xsi:type="xsd:double"&gt;0.7886536&lt;/D&gt;&lt;D xsi:type="xsd:double"&gt;0.029789856&lt;/D&gt;&lt;D xsi:type="xsd:double"&gt;0.7548433&lt;/D&gt;&lt;D xsi:type="xsd:double"&gt;-0.40231106&lt;/D&gt;&lt;D xsi:type="xsd:double"&gt;0.95083076&lt;/D&gt;&lt;D xsi:type="xsd:double"&gt;0.75468177&lt;/D&gt;&lt;D xsi:type="xsd:double"&gt;0.89735514&lt;/D&gt;&lt;D xsi:type="xsd:double"&gt;-0.2499369&lt;/D&gt;&lt;D xsi:type="xsd:double"&gt;0.5572913&lt;/D&gt;&lt;D xsi:type="xsd:double"&gt;0.5824723&lt;/D&gt;&lt;D xsi:type="xsd:double"&gt;0.73304&lt;/D&gt;&lt;D xsi:type="xsd:double"&gt;0.82981914&lt;/D&gt;&lt;D xsi:type="xsd:double"&gt;0.69492775&lt;/D&gt;&lt;D xsi:type="xsd:double"&gt;0.555974&lt;/D&gt;&lt;D xsi:type="xsd:double"&gt;-0.71737194&lt;/D&gt;&lt;D xsi:type="xsd:double"&gt;0.6891517&lt;/D&gt;&lt;D xsi:type="xsd:double"&gt;-0.6710371&lt;/D&gt;&lt;D xsi:type="xsd:double"&gt;0.39361244&lt;/D&gt;&lt;D xsi:type="xsd:double"&gt;-0.69695204&lt;/D&gt;&lt;D xsi:type="xsd:double"&gt;0.6929525&lt;/D&gt;&lt;D xsi:type="xsd:double"&gt;0.3062977&lt;/D&gt;&lt;D xsi:type="xsd:double"&gt;-0.8262186&lt;/D&gt;&lt;D xsi:type="xsd:double"&gt;0.7616625&lt;/D&gt;&lt;D xsi:type="xsd:double"&gt;0.30431122&lt;/D&gt;&lt;D xsi:type="xsd:double"&gt;0.73722506&lt;/D&gt;&lt;D xsi:type="xsd:double"&gt;-0.010034751&lt;/D&gt;&lt;D xsi:type="xsd:double"&gt;-0.4811462&lt;/D&gt;&lt;D xsi:type="xsd:double"&gt;0.95969045&lt;/D&gt;&lt;D xsi:type="xsd:double"&gt;1&lt;/D&gt;&lt;D xsi:type="xsd:double"&gt;0.6743193&lt;/D&gt;&lt;D xsi:type="xsd:double"&gt;0.9037698&lt;/D&gt;&lt;D xsi:type="xsd:double"&gt;-0.38521218&lt;/D&gt;&lt;D xsi:type="xsd:double"&gt;0.7919633&lt;/D&gt;&lt;D xsi:type="xsd:double"&gt;0.89567286&lt;/D&gt;&lt;D xsi:type="xsd:double"&gt;0.78131354&lt;/D&gt;&lt;D xsi:type="xsd:double"&gt;0.91343814&lt;/D&gt;&lt;D xsi:type="xsd:double"&gt;-0.18015178&lt;/D&gt;&lt;D xsi:type="xsd:double"&gt;0.4687454&lt;/D&gt;&lt;D xsi:type="xsd:double"&gt;0.77252257&lt;/D&gt;&lt;D xsi:type="xsd:double"&gt;0.9149772&lt;/D&gt;&lt;D xsi:type="xsd:double"&gt;0.9144993&lt;/D&gt;&lt;D xsi:type="xsd:double"&gt;0.05258547&lt;/D&gt;&lt;D xsi:type="xsd:double"&gt;-0.09435008&lt;/D&gt;&lt;D xsi:type="xsd:double"&gt;0.8974499&lt;/D&gt;&lt;D xsi:type="xsd:double"&gt;0.45704663&lt;/D&gt;&lt;D xsi:type="xsd:double"&gt;0.5053933&lt;/D&gt;&lt;D xsi:type="xsd:double"&gt;-0.80147713&lt;/D&gt;&lt;D xsi:type="xsd:double"&gt;-0.5550894&lt;/D&gt;&lt;D xsi:type="xsd:double"&gt;-0.8208431&lt;/D&gt;&lt;D xsi:type="xsd:double"&gt;0.087446034&lt;/D&gt;&lt;D xsi:type="xsd:double"&gt;0.75275624&lt;/D&gt;&lt;D xsi:type="xsd:double"&gt;0.5206258&lt;/D&gt;&lt;D xsi:type="xsd:double"&gt;0.5979728&lt;/D&gt;&lt;D xsi:type="xsd:double"&gt;0.30747798&lt;/D&gt;&lt;D xsi:type="xsd:double"&gt;0.64833254&lt;/D&gt;&lt;D xsi:type="xsd:double"&gt;-0.028223893&lt;/D&gt;&lt;D xsi:type="xsd:double"&gt;0.27445894&lt;/D&gt;&lt;D xsi:type="xsd:double"&gt;-0.26487252&lt;/D&gt;&lt;D xsi:type="xsd:double"&gt;0.238542&lt;/D&gt;&lt;D xsi:type="xsd:double"&gt;0.39358187&lt;/D&gt;&lt;D xsi:type="xsd:double"&gt;0.09573495&lt;/D&gt;&lt;D xsi:type="xsd:double"&gt;0.18991518&lt;/D&gt;&lt;D xsi:type="xsd:double"&gt;0.12938182&lt;/D&gt;&lt;D xsi:type="xsd:double"&gt;0.5478561&lt;/D&gt;&lt;D xsi:type="xsd:double"&gt;0.31538305&lt;/D&gt;&lt;D xsi:type="xsd:double"&gt;0.46502155&lt;/D&gt;&lt;D xsi:type="xsd:double"&gt;0.35006246&lt;/D&gt;&lt;D xsi:type="xsd:double"&gt;0.15019727&lt;/D&gt;&lt;D xsi:type="xsd:double"&gt;0.8310649&lt;/D&gt;&lt;D xsi:type="xsd:double"&gt;0.69213676&lt;/D&gt;&lt;D xsi:type="xsd:double"&gt;0.5536377&lt;/D&gt;&lt;D xsi:type="xsd:double"&gt;0.7450924&lt;/D&gt;&lt;D xsi:type="xsd:double"&gt;-0.029568087&lt;/D&gt;&lt;D xsi:type="xsd:double"&gt;-0.22010553&lt;/D&gt;&lt;D xsi:type="xsd:double"&gt;0.66475356&lt;/D&gt;&lt;D xsi:type="xsd:double"&gt;-0.21027187&lt;/D&gt;&lt;D xsi:type="xsd:double"&gt;0.80979913&lt;/D&gt;&lt;D xsi:type="xsd:double"&gt;-0.1874559&lt;/D&gt;&lt;D xsi:type="xsd:double"&gt;0.5668473&lt;/D&gt;&lt;D xsi:type="xsd:double"&gt;0.7875127&lt;/D&gt;&lt;D xsi:type="xsd:double"&gt;-0.4549162&lt;/D&gt;&lt;D xsi:type="xsd:double"&gt;0.1993565&lt;/D&gt;&lt;D xsi:type="xsd:double"&gt;0.7258634&lt;/D&gt;&lt;D xsi:type="xsd:double"&gt;0.29894593&lt;/D&gt;&lt;D xsi:type="xsd:double"&gt;0.28798804&lt;/D&gt;&lt;D xsi:type="xsd:double"&gt;0.16540924&lt;/D&gt;&lt;D xsi:type="xsd:double"&gt;0.598293&lt;/D&gt;&lt;D xsi:type="xsd:double"&gt;0.6743193&lt;/D&gt;&lt;D xsi:type="xsd:double"&gt;1&lt;/D&gt;&lt;D xsi:type="xsd:double"&gt;0.7216296&lt;/D&gt;&lt;D xsi:type="xsd:double"&gt;-0.49555126&lt;/D&gt;&lt;D xsi:type="xsd:double"&gt;0.18952413&lt;/D&gt;&lt;D xsi:type="xsd:double"&gt;0.6452944&lt;/D&gt;&lt;D xsi:type="xsd:double"&gt;0.20104805&lt;/D&gt;&lt;D xsi:type="xsd:double"&gt;0.4187895&lt;/D&gt;&lt;D xsi:type="xsd:double"&gt;0.2974&lt;/D&gt;&lt;D xsi:type="xsd:double"&gt;0.5818788&lt;/D&gt;&lt;D xsi:type="xsd:double"&gt;0.8203369&lt;/D&gt;&lt;D xsi:type="xsd:double"&gt;0.63360703&lt;/D&gt;&lt;D xsi:type="xsd:double"&gt;0.6064874&lt;/D&gt;&lt;D xsi:type="xsd:double"&gt;-0.17033845&lt;/D&gt;&lt;D xsi:type="xsd:double"&gt;0.51545376&lt;/D&gt;&lt;D xsi:type="xsd:double"&gt;0.4786872&lt;/D&gt;&lt;D xsi:type="xsd:double"&gt;-0.06548688&lt;/D&gt;&lt;D xsi:type="xsd:double"&gt;-0.40137365&lt;/D&gt;&lt;D xsi:type="xsd:double"&gt;-0.3205554&lt;/D&gt;&lt;D xsi:type="xsd:double"&gt;-0.028570352&lt;/D&gt;&lt;D xsi:type="xsd:double"&gt;-0.2759482&lt;/D&gt;&lt;D xsi:type="xsd:double"&gt;0.428548&lt;/D&gt;&lt;D xsi:type="xsd:double"&gt;0.79123706&lt;/D&gt;&lt;D xsi:type="xsd:double"&gt;0.6668157&lt;/D&gt;&lt;D xsi:type="xsd:double"&gt;0.8199717&lt;/D&gt;&lt;D xsi:type="xsd:double"&gt;0.088859685&lt;/D&gt;&lt;D xsi:type="xsd:double"&gt;0.7833864&lt;/D&gt;&lt;D xsi:type="xsd:double"&gt;0.24027468&lt;/D&gt;&lt;D xsi:type="xsd:double"&gt;0.70350975&lt;/D&gt;&lt;D xsi:type="xsd:double"&gt;-0.681088&lt;/D&gt;&lt;D xsi:type="xsd:double"&gt;0.6279754&lt;/D&gt;&lt;D xsi:type="xsd:double"&gt;0.6245103&lt;/D&gt;&lt;D xsi:type="xsd:double"&gt;0.22595982&lt;/D&gt;&lt;D xsi:type="xsd:double"&gt;0.7040341&lt;/D&gt;&lt;D xsi:type="xsd:double"&gt;-0.3600974&lt;/D&gt;&lt;D xsi:type="xsd:double"&gt;0.84203535&lt;/D&gt;&lt;D xsi:type="xsd:double"&gt;0.75496966&lt;/D&gt;&lt;D xsi:type="xsd:double"&gt;0.82402396&lt;/D&gt;&lt;D xsi:type="xsd:double"&gt;-0.15323766&lt;/D&gt;&lt;D xsi:type="xsd:double"&gt;0.52157503&lt;/D&gt;&lt;D xsi:type="xsd:double"&gt;0.5580057&lt;/D&gt;&lt;D xsi:type="xsd:double"&gt;0.8559213&lt;/D&gt;&lt;D xsi:type="xsd:double"&gt;0.73695&lt;/D&gt;&lt;D xsi:type="xsd:double"&gt;0.7583809&lt;/D&gt;&lt;D xsi:type="xsd:double"&gt;0.5289767&lt;/D&gt;&lt;D xsi:type="xsd:double"&gt;-0.68608665&lt;/D&gt;&lt;D xsi:type="xsd:double"&gt;0.5191701&lt;/D&gt;&lt;D xsi:type="xsd:double"&gt;-0.7212681&lt;/D&gt;&lt;D xsi:type="xsd:double"&gt;0.49965018&lt;/D&gt;&lt;D xsi:type="xsd:double"&gt;-0.6979219&lt;/D&gt;&lt;D xsi:type="xsd:double"&gt;0.6392084&lt;/D&gt;&lt;D xsi:type="xsd:double"&gt;0.29835752&lt;/D&gt;&lt;D xsi:type="xsd:double"&gt;-0.7588024&lt;/D&gt;&lt;D xsi:type="xsd:double"&gt;0.7051611&lt;/D&gt;&lt;D xsi:type="xsd:double"&gt;0.4175986&lt;/D&gt;&lt;D xsi:type="xsd:double"&gt;0.6614309&lt;/D&gt;&lt;D xsi:type="xsd:double"&gt;-0.104221836&lt;/D&gt;&lt;D xsi:type="xsd:double"&gt;-0.3951064&lt;/D&gt;&lt;D xsi:type="xsd:double"&gt;0.88422585&lt;/D&gt;&lt;D xsi:type="xsd:double"&gt;0.9037698&lt;/D&gt;&lt;D xsi:type="xsd:double"&gt;0.7216296&lt;/D&gt;&lt;D xsi:type="xsd:double"&gt;1&lt;/D&gt;&lt;D xsi:type="xsd:double"&gt;-0.38614064&lt;/D&gt;&lt;D xsi:type="xsd:double"&gt;0.7227949&lt;/D&gt;&lt;D xsi:type="xsd:double"&gt;0.84327966&lt;/D&gt;&lt;D xsi:type="xsd:double"&gt;0.6879342&lt;/D&gt;&lt;D xsi:type="xsd:double"&gt;0.81630415&lt;/D&gt;&lt;D xsi:type="xsd:double"&gt;-0.26934466&lt;/D&gt;&lt;D xsi:type="xsd:double"&gt;0.5783839&lt;/D&gt;&lt;D xsi:type="xsd:double"&gt;0.7784365&lt;/D&gt;&lt;D xsi:type="xsd:double"&gt;0.8208548&lt;/D&gt;&lt;D xsi:type="xsd:double"&gt;0.90018433&lt;/D&gt;&lt;D xsi:type="xsd:double"&gt;-0.067484744&lt;/D&gt;&lt;D xsi:type="xsd:double"&gt;-0.060432725&lt;/D&gt;&lt;D xsi:type="xsd:double"&gt;0.81589675&lt;/D&gt;&lt;D xsi:type="xsd:double"&gt;0.2871729&lt;/D&gt;&lt;D xsi:type="xsd:double"&gt;0.4092494&lt;/D&gt;&lt;D xsi:type="xsd:double"&gt;-0.70767075&lt;/D&gt;&lt;D xsi:type="xsd:double"&gt;-0.52699846&lt;/D&gt;&lt;D xsi:type="xsd:double"&gt;-0.77629143&lt;/D&gt;&lt;D xsi:type="xsd:double"&gt;-0.09865825&lt;/D&gt;&lt;D xsi:type="xsd:double"&gt;-0.21771495&lt;/D&gt;&lt;D xsi:type="xsd:double"&gt;-0.13414323&lt;/D&gt;&lt;D xsi:type="xsd:double"&gt;-0.24815005&lt;/D&gt;&lt;D xsi:type="xsd:double"&gt;0.2887787&lt;/D&gt;&lt;D xsi:type="xsd:double"&gt;-0.17412315&lt;/D&gt;&lt;D xsi:type="xsd:double"&gt;0.46841812&lt;/D&gt;&lt;D xsi:type="xsd:double"&gt;-0.27711236&lt;/D&gt;&lt;D xsi:type="xsd:double"&gt;0.48790932&lt;/D&gt;&lt;D xsi:type="xsd:double"&gt;-0.41256845&lt;/D&gt;&lt;D xsi:type="xsd:double"&gt;-0.28833994&lt;/D&gt;&lt;D xsi:type="xsd:double"&gt;-0.058464997&lt;/D&gt;&lt;D xsi:type="xsd:double"&gt;-0.23053828&lt;/D&gt;&lt;D xsi:type="xsd:double"&gt;-0.14581588&lt;/D&gt;&lt;D xsi:type="xsd:double"&gt;-0.34601983&lt;/D&gt;&lt;D xsi:type="xsd:double"&gt;0.0050942255&lt;/D&gt;&lt;D xsi:type="xsd:double"&gt;-0.38271487&lt;/D&gt;&lt;D xsi:type="xsd:double"&gt;0.041763&lt;/D&gt;&lt;D xsi:type="xsd:double"&gt;-0.36852884&lt;/D&gt;&lt;D xsi:type="xsd:double"&gt;-0.47011492&lt;/D&gt;&lt;D xsi:type="xsd:double"&gt;-0.14393336&lt;/D&gt;&lt;D xsi:type="xsd:double"&gt;-0.66028404&lt;/D&gt;&lt;D xsi:type="xsd:double"&gt;-0.086868286&lt;/D&gt;&lt;D xsi:type="xsd:double"&gt;-0.12705462&lt;/D&gt;&lt;D xsi:type="xsd:double"&gt;0.33602428&lt;/D&gt;&lt;D xsi:type="xsd:double"&gt;-0.3205878&lt;/D&gt;&lt;D xsi:type="xsd:double"&gt;0.3162411&lt;/D&gt;&lt;D xsi:type="xsd:double"&gt;-0.21965171&lt;/D&gt;&lt;D xsi:type="xsd:double"&gt;0.3594052&lt;/D&gt;&lt;D xsi:type="xsd:double"&gt;-0.54800445&lt;/D&gt;&lt;D xsi:type="xsd:double"&gt;-0.27505326&lt;/D&gt;&lt;D xsi:type="xsd:double"&gt;0.44881633&lt;/D&gt;&lt;D xsi:type="xsd:double"&gt;-0.21169892&lt;/D&gt;&lt;D xsi:type="xsd:double"&gt;-0.20711507&lt;/D&gt;&lt;D xsi:type="xsd:double"&gt;-0.22764993&lt;/D&gt;&lt;D xsi:type="xsd:double"&gt;0.17234927&lt;/D&gt;&lt;D xsi:type="xsd:double"&gt;-0.123697534&lt;/D&gt;&lt;D xsi:type="xsd:double"&gt;-0.38442287&lt;/D&gt;&lt;D xsi:type="xsd:double"&gt;-0.38521218&lt;/D&gt;&lt;D xsi:type="xsd:double"&gt;-0.49555126&lt;/D&gt;&lt;D xsi:type="xsd:double"&gt;-0.38614064&lt;/D&gt;&lt;D xsi:type="xsd:double"&gt;1&lt;/D&gt;&lt;D xsi:type="xsd:double"&gt;-0.18939778&lt;/D&gt;&lt;D xsi:type="xsd:double"&gt;-0.63025516&lt;/D&gt;&lt;D xsi:type="xsd:double"&gt;-0.22382917&lt;/D&gt;&lt;D xsi:type="xsd:double"&gt;-0.22113732&lt;/D&gt;&lt;D xsi:type="xsd:double"&gt;0.19092248&lt;/D&gt;&lt;D xsi:type="xsd:double"&gt;0.13624616&lt;/D&gt;&lt;D xsi:type="xsd:double"&gt;-0.29617545&lt;/D&gt;&lt;D xsi:type="xsd:double"&gt;-0.29221752&lt;/D&gt;&lt;D xsi:type="xsd:double"&gt;-0.39633474&lt;/D&gt;&lt;D xsi:type="xsd:double"&gt;0.09025593&lt;/D&gt;&lt;D xsi:type="xsd:double"&gt;-0.2279023&lt;/D&gt;&lt;D xsi:type="xsd:double"&gt;-0.38922605&lt;/D&gt;&lt;D xsi:type="xsd:double"&gt;0.25954026&lt;/D&gt;&lt;D xsi:type="xsd:double"&gt;0.16163953&lt;/D&gt;&lt;D xsi:type="xsd:double"&gt;0.5140928&lt;/D&gt;&lt;D xsi:type="xsd:double"&gt;-0.013685902&lt;/D&gt;&lt;D xsi:type="xsd:double"&gt;0.23052351&lt;/D&gt;&lt;D xsi:type="xsd:double"&gt;0.6924233&lt;/D&gt;&lt;D xsi:type="xsd:double"&gt;0.39697787&lt;/D&gt;&lt;D xsi:type="xsd:double"&gt;0.5840055&lt;/D&gt;&lt;D xsi:type="xsd:double"&gt;0.73502254&lt;/D&gt;&lt;D xsi:type="xsd:double"&gt;0.048033994&lt;/D&gt;&lt;D xsi:type="xsd:double"&gt;0.5251479&lt;/D&gt;&lt;D xsi:type="xsd:double"&gt;0.54886466&lt;/D&gt;&lt;D xsi:type="xsd:double"&gt;0.9139429&lt;/D&gt;&lt;D xsi:type="xsd:double"&gt;-0.7835226&lt;/D&gt;&lt;D xsi:type="xsd:double"&gt;0.89092296&lt;/D&gt;&lt;D xsi:type="xsd:double"&gt;0.6230158&lt;/D&gt;&lt;D xsi:type="xsd:double"&gt;0.088699&lt;/D&gt;&lt;D xsi:type="xsd:double"&gt;0.87439007&lt;/D&gt;&lt;D xsi:type="xsd:double"&gt;-0.6940527&lt;/D&gt;&lt;D xsi:type="xsd:double"&gt;0.83292836&lt;/D&gt;&lt;D xsi:type="xsd:double"&gt;0.8099352&lt;/D&gt;&lt;D xsi:type="xsd:double"&gt;0.894681&lt;/D&gt;&lt;D xsi:type="xsd:double"&gt;-0.6768662&lt;/D&gt;&lt;D xsi:type="xsd:double"&gt;0.5982007&lt;/D&gt;&lt;D xsi:type="xsd:double"&gt;0.05422009&lt;/D&gt;&lt;D xsi:type="xsd:double"&gt;0.4873689&lt;/D&gt;&lt;D xsi:type="xsd:double"&gt;0.6910859&lt;/D&gt;&lt;D xsi:type="xsd:double"&gt;0.31920415&lt;/D&gt;&lt;D xsi:type="xsd:double"&gt;0.8552561&lt;/D&gt;&lt;D xsi:type="xsd:double"&gt;-0.78555363&lt;/D&gt;&lt;D xsi:type="xsd:double"&gt;0.33177182&lt;/D&gt;&lt;D xsi:type="xsd:double"&gt;-0.83988976&lt;/D&gt;&lt;D xsi:type="xsd:double"&gt;-0.11335693&lt;/D&gt;&lt;D xsi:type="xsd:double"&gt;-0.83597946&lt;/D&gt;&lt;D xsi:type="xsd:double"&gt;0.6337185&lt;/D&gt;&lt;D xsi:type="xsd:double"&gt;-0.23835532&lt;/D&gt;&lt;D xsi:type="xsd:double"&gt;-0.743215&lt;/D&gt;&lt;D xsi:type="xsd:double"&gt;0.9094556&lt;/D&gt;&lt;D xsi:type="xsd:double"&gt;-0.099349305&lt;/D&gt;&lt;D xsi:type="xsd:double"&gt;0.85288984&lt;/D&gt;&lt;D xsi:type="xsd:double"&gt;-0.43890053&lt;/D&gt;&lt;D xsi:type="xsd:double"&gt;-0.81102914&lt;/D&gt;&lt;D xsi:type="xsd:double"&gt;0.837989&lt;/D&gt;&lt;D xsi:type="xsd:double"&gt;0.7919633&lt;/D&gt;&lt;D xsi:type="xsd:double"&gt;0.18952413&lt;/D&gt;&lt;D xsi:type="xsd:double"&gt;0.7227949&lt;/D&gt;&lt;D xsi:type="xsd:double"&gt;-0.18939778&lt;/D&gt;&lt;D xsi:type="xsd:double"&gt;1&lt;/D&gt;&lt;D xsi:type="xsd:double"&gt;0.72665703&lt;/D&gt;&lt;D xsi:type="xsd:double"&gt;0.9444036&lt;/D&gt;&lt;D xsi:type="xsd:double"&gt;0.9009067&lt;/D&gt;&lt;D xsi:type="xsd:double"&gt;-0.61046594&lt;/D&gt;&lt;D xsi:type="xsd:double"&gt;0.08500079&lt;/D&gt;&lt;D xsi:type="xsd:double"&gt;0.38553363&lt;/D&gt;&lt;D xsi:type="xsd:double"&gt;0.77785254&lt;/D&gt;&lt;D xsi:type="xsd:double"&gt;0.8215469&lt;/D&gt;&lt;D xsi:type="xsd:double"&gt;0.37815514&lt;/D&gt;&lt;D xsi:type="xsd:double"&gt;-0.6345614&lt;/D&gt;&lt;D xsi:type="xsd:double"&gt;0.8916442&lt;/D&gt;&lt;D xsi:type="xsd:double"&gt;0.6899285&lt;/D&gt;&lt;D xsi:type="xsd:double"&gt;0.6897194&lt;/D&gt;&lt;D xsi:type="xsd:double"&gt;-0.8521096&lt;/D&gt;&lt;D xsi:type="xsd:double"&gt;-0.6034726&lt;/D&gt;&lt;D xsi:type="xsd:double"&gt;-0.9301005&lt;/D&gt;&lt;D xsi:type="xsd:double"&gt;0.5448164&lt;/D&gt;&lt;D xsi:type="xsd:double"&gt;0.6093937&lt;/D&gt;&lt;D xsi:type="xsd:double"&gt;0.5536653&lt;/D&gt;&lt;D xsi:type="xsd:double"&gt;0.775952&lt;/D&gt;&lt;D xsi:type="xsd:double"&gt;0.06434158&lt;/D&gt;&lt;D xsi:type="xsd:double"&gt;0.5273377&lt;/D&gt;&lt;D xsi:type="xsd:double"&gt;0.19976266</t>
        </r>
      </text>
    </comment>
    <comment ref="A5" authorId="0" shapeId="0" xr:uid="{DD239228-5DD6-4B7E-9089-9C94468F7464}">
      <text>
        <r>
          <rPr>
            <b/>
            <sz val="9"/>
            <color indexed="81"/>
            <rFont val="Tahoma"/>
            <charset val="1"/>
          </rPr>
          <t>&lt;/D&gt;&lt;D xsi:type="xsd:double"&gt;0.8062832&lt;/D&gt;&lt;D xsi:type="xsd:double"&gt;-0.7538395&lt;/D&gt;&lt;D xsi:type="xsd:double"&gt;0.8130042&lt;/D&gt;&lt;D xsi:type="xsd:double"&gt;0.80318844&lt;/D&gt;&lt;D xsi:type="xsd:double"&gt;0.14093421&lt;/D&gt;&lt;D xsi:type="xsd:double"&gt;0.7507956&lt;/D&gt;&lt;D xsi:type="xsd:double"&gt;-0.33195764&lt;/D&gt;&lt;D xsi:type="xsd:double"&gt;0.8776737&lt;/D&gt;&lt;D xsi:type="xsd:double"&gt;0.5958521&lt;/D&gt;&lt;D xsi:type="xsd:double"&gt;0.8312872&lt;/D&gt;&lt;D xsi:type="xsd:double"&gt;-0.2552339&lt;/D&gt;&lt;D xsi:type="xsd:double"&gt;0.7095919&lt;/D&gt;&lt;D xsi:type="xsd:double"&gt;0.58644915&lt;/D&gt;&lt;D xsi:type="xsd:double"&gt;0.58453697&lt;/D&gt;&lt;D xsi:type="xsd:double"&gt;0.9682826&lt;/D&gt;&lt;D xsi:type="xsd:double"&gt;0.538252&lt;/D&gt;&lt;D xsi:type="xsd:double"&gt;0.5525592&lt;/D&gt;&lt;D xsi:type="xsd:double"&gt;-0.69934213&lt;/D&gt;&lt;D xsi:type="xsd:double"&gt;0.659818&lt;/D&gt;&lt;D xsi:type="xsd:double"&gt;-0.64977866&lt;/D&gt;&lt;D xsi:type="xsd:double"&gt;0.29022166&lt;/D&gt;&lt;D xsi:type="xsd:double"&gt;-0.7106719&lt;/D&gt;&lt;D xsi:type="xsd:double"&gt;0.71265656&lt;/D&gt;&lt;D xsi:type="xsd:double"&gt;0.28983387&lt;/D&gt;&lt;D xsi:type="xsd:double"&gt;-0.8217722&lt;/D&gt;&lt;D xsi:type="xsd:double"&gt;0.73370695&lt;/D&gt;&lt;D xsi:type="xsd:double"&gt;0.21840632&lt;/D&gt;&lt;D xsi:type="xsd:double"&gt;0.63013864&lt;/D&gt;&lt;D xsi:type="xsd:double"&gt;-0.118490204&lt;/D&gt;&lt;D xsi:type="xsd:double"&gt;-0.35154364&lt;/D&gt;&lt;D xsi:type="xsd:double"&gt;0.8831033&lt;/D&gt;&lt;D xsi:type="xsd:double"&gt;0.89567286&lt;/D&gt;&lt;D xsi:type="xsd:double"&gt;0.6452944&lt;/D&gt;&lt;D xsi:type="xsd:double"&gt;0.84327966&lt;/D&gt;&lt;D xsi:type="xsd:double"&gt;-0.63025516&lt;/D&gt;&lt;D xsi:type="xsd:double"&gt;0.72665703&lt;/D&gt;&lt;D xsi:type="xsd:double"&gt;1&lt;/D&gt;&lt;D xsi:type="xsd:double"&gt;0.72984916&lt;/D&gt;&lt;D xsi:type="xsd:double"&gt;0.81798756&lt;/D&gt;&lt;D xsi:type="xsd:double"&gt;-0.24822202&lt;/D&gt;&lt;D xsi:type="xsd:double"&gt;0.31070623&lt;/D&gt;&lt;D xsi:type="xsd:double"&gt;0.6815198&lt;/D&gt;&lt;D xsi:type="xsd:double"&gt;0.76541436&lt;/D&gt;&lt;D xsi:type="xsd:double"&gt;0.84899044&lt;/D&gt;&lt;D xsi:type="xsd:double"&gt;0.03289614&lt;/D&gt;&lt;D xsi:type="xsd:double"&gt;-0.021731146&lt;/D&gt;&lt;D xsi:type="xsd:double"&gt;0.8758454&lt;/D&gt;&lt;D xsi:type="xsd:double"&gt;0.27268606&lt;/D&gt;&lt;D xsi:type="xsd:double"&gt;0.30443016&lt;/D&gt;&lt;D xsi:type="xsd:double"&gt;-0.84567297&lt;/D&gt;&lt;D xsi:type="xsd:double"&gt;-0.4632259&lt;/D&gt;&lt;D xsi:type="xsd:double"&gt;-0.73305106&lt;/D&gt;&lt;D xsi:type="xsd:double"&gt;0.60056937&lt;/D&gt;&lt;D xsi:type="xsd:double"&gt;0.38012967&lt;/D&gt;&lt;D xsi:type="xsd:double"&gt;0.570733&lt;/D&gt;&lt;D xsi:type="xsd:double"&gt;0.77744013&lt;/D&gt;&lt;D xsi:type="xsd:double"&gt;0.05062095&lt;/D&gt;&lt;D xsi:type="xsd:double"&gt;0.49203366&lt;/D&gt;&lt;D xsi:type="xsd:double"&gt;0.56029373&lt;/D&gt;&lt;D xsi:type="xsd:double"&gt;0.9288787&lt;/D&gt;&lt;D xsi:type="xsd:double"&gt;-0.8562032&lt;/D&gt;&lt;D xsi:type="xsd:double"&gt;0.9145179&lt;/D&gt;&lt;D xsi:type="xsd:double"&gt;0.6555779&lt;/D&gt;&lt;D xsi:type="xsd:double"&gt;0.11505598&lt;/D&gt;&lt;D xsi:type="xsd:double"&gt;0.9182833&lt;/D&gt;&lt;D xsi:type="xsd:double"&gt;-0.7308876&lt;/D&gt;&lt;D xsi:type="xsd:double"&gt;0.83442384&lt;/D&gt;&lt;D xsi:type="xsd:double"&gt;0.79157764&lt;/D&gt;&lt;D xsi:type="xsd:double"&gt;0.9220713&lt;/D&gt;&lt;D xsi:type="xsd:double"&gt;-0.7462703&lt;/D&gt;&lt;D xsi:type="xsd:double"&gt;0.59025705&lt;/D&gt;&lt;D xsi:type="xsd:double"&gt;0.1230708&lt;/D&gt;&lt;D xsi:type="xsd:double"&gt;0.42178556&lt;/D&gt;&lt;D xsi:type="xsd:double"&gt;0.7088996&lt;/D&gt;&lt;D xsi:type="xsd:double"&gt;0.30915865&lt;/D&gt;&lt;D xsi:type="xsd:double"&gt;0.89487284&lt;/D&gt;&lt;D xsi:type="xsd:double"&gt;-0.835668&lt;/D&gt;&lt;D xsi:type="xsd:double"&gt;0.3408927&lt;/D&gt;&lt;D xsi:type="xsd:double"&gt;-0.8913737&lt;/D&gt;&lt;D xsi:type="xsd:double"&gt;-0.12165825&lt;/D&gt;&lt;D xsi:type="xsd:double"&gt;-0.9080293&lt;/D&gt;&lt;D xsi:type="xsd:double"&gt;0.7138953&lt;/D&gt;&lt;D xsi:type="xsd:double"&gt;-0.22465038&lt;/D&gt;&lt;D xsi:type="xsd:double"&gt;-0.77765906&lt;/D&gt;&lt;D xsi:type="xsd:double"&gt;0.960157&lt;/D&gt;&lt;D xsi:type="xsd:double"&gt;-0.15894417&lt;/D&gt;&lt;D xsi:type="xsd:double"&gt;0.9345024&lt;/D&gt;&lt;D xsi:type="xsd:double"&gt;-0.49030757&lt;/D&gt;&lt;D xsi:type="xsd:double"&gt;-0.8426749&lt;/D&gt;&lt;D xsi:type="xsd:double"&gt;0.84927833&lt;/D&gt;&lt;D xsi:type="xsd:double"&gt;0.78131354&lt;/D&gt;&lt;D xsi:type="xsd:double"&gt;0.20104805&lt;/D&gt;&lt;D xsi:type="xsd:double"&gt;0.6879342&lt;/D&gt;&lt;D xsi:type="xsd:double"&gt;-0.22382917&lt;/D&gt;&lt;D xsi:type="xsd:double"&gt;0.9444036&lt;/D&gt;&lt;D xsi:type="xsd:double"&gt;0.72984916&lt;/D&gt;&lt;D xsi:type="xsd:double"&gt;1&lt;/D&gt;&lt;D xsi:type="xsd:double"&gt;0.9292238&lt;/D&gt;&lt;D xsi:type="xsd:double"&gt;-0.62144095&lt;/D&gt;&lt;D xsi:type="xsd:double"&gt;0.048740383&lt;/D&gt;&lt;D xsi:type="xsd:double"&gt;0.31197852&lt;/D&gt;&lt;D xsi:type="xsd:double"&gt;0.8142643&lt;/D&gt;&lt;D xsi:type="xsd:double"&gt;0.8097904&lt;/D&gt;&lt;D xsi:type="xsd:double"&gt;0.37922361&lt;/D&gt;&lt;D xsi:type="xsd:double"&gt;-0.61845005&lt;/D&gt;&lt;D xsi:type="xsd:double"&gt;0.89658123&lt;/D&gt;&lt;D xsi:type="xsd:double"&gt;0.7748353&lt;/D&gt;&lt;D xsi:type="xsd:double"&gt;0.75431114&lt;/D&gt;&lt;D xsi:type="xsd:double"&gt;-0.8851403&lt;/D&gt;&lt;D xsi:type="xsd:double"&gt;-0.685196&lt;/D&gt;&lt;D xsi:type="xsd:double"&gt;-0.9292012&lt;/D&gt;&lt;D xsi:type="xsd:double"&gt;0.5844696&lt;/D&gt;&lt;D xsi:type="xsd:double"&gt;0.60275906&lt;/D&gt;&lt;D xsi:type="xsd:double"&gt;0.6265121&lt;/D&gt;&lt;D xsi:type="xsd:double"&gt;0.903217&lt;/D&gt;&lt;D xsi:type="xsd:double"&gt;0.22064541&lt;/D&gt;&lt;D xsi:type="xsd:double"&gt;0.63095534&lt;/D&gt;&lt;D xsi:type="xsd:double"&gt;0.57820517&lt;/D&gt;&lt;D xsi:type="xsd:double"&gt;0.89858377&lt;/D&gt;&lt;D xsi:type="xsd:double"&gt;-0.7607488&lt;/D&gt;&lt;D xsi:type="xsd:double"&gt;0.85753286&lt;/D&gt;&lt;D xsi:type="xsd:double"&gt;0.7880637&lt;/D&gt;&lt;D xsi:type="xsd:double"&gt;-0.018315399&lt;/D&gt;&lt;D xsi:type="xsd:double"&gt;0.8721008&lt;/D&gt;&lt;D xsi:type="xsd:double"&gt;-0.64479584&lt;/D&gt;&lt;D xsi:type="xsd:double"&gt;0.9226966&lt;/D&gt;&lt;D xsi:type="xsd:double"&gt;0.8227986&lt;/D&gt;&lt;D xsi:type="xsd:double"&gt;0.92163146&lt;/D&gt;&lt;D xsi:type="xsd:double"&gt;-0.5081499&lt;/D&gt;&lt;D xsi:type="xsd:double"&gt;0.5941714&lt;/D&gt;&lt;D xsi:type="xsd:double"&gt;0.38357982&lt;/D&gt;&lt;D xsi:type="xsd:double"&gt;0.59372663&lt;/D&gt;&lt;D xsi:type="xsd:double"&gt;0.768508&lt;/D&gt;&lt;D xsi:type="xsd:double"&gt;0.5602203&lt;/D&gt;&lt;D xsi:type="xsd:double"&gt;0.7464692&lt;/D&gt;&lt;D xsi:type="xsd:double"&gt;-0.7802066&lt;/D&gt;&lt;D xsi:type="xsd:double"&gt;0.5651579&lt;/D&gt;&lt;D xsi:type="xsd:double"&gt;-0.7852635&lt;/D&gt;&lt;D xsi:type="xsd:double"&gt;0.15612791&lt;/D&gt;&lt;D xsi:type="xsd:double"&gt;-0.8105087&lt;/D&gt;&lt;D xsi:type="xsd:double"&gt;0.68720704&lt;/D&gt;&lt;D xsi:type="xsd:double"&gt;0.011103884&lt;/D&gt;&lt;D xsi:type="xsd:double"&gt;-0.8180578&lt;/D&gt;&lt;D xsi:type="xsd:double"&gt;0.9061913&lt;/D&gt;&lt;D xsi:type="xsd:double"&gt;0.061002966&lt;/D&gt;&lt;D xsi:type="xsd:double"&gt;0.85757625&lt;/D&gt;&lt;D xsi:type="xsd:double"&gt;-0.23969294&lt;/D&gt;&lt;D xsi:type="xsd:double"&gt;-0.72119254&lt;/D&gt;&lt;D xsi:type="xsd:double"&gt;0.9395096&lt;/D&gt;&lt;D xsi:type="xsd:double"&gt;0.91343814&lt;/D&gt;&lt;D xsi:type="xsd:double"&gt;0.4187895&lt;/D&gt;&lt;D xsi:type="xsd:double"&gt;0.81630415&lt;/D&gt;&lt;D xsi:type="xsd:double"&gt;-0.22113732&lt;/D&gt;&lt;D xsi:type="xsd:double"&gt;0.9009067&lt;/D&gt;&lt;D xsi:type="xsd:double"&gt;0.81798756&lt;/D&gt;&lt;D xsi:type="xsd:double"&gt;0.9292238&lt;/D&gt;&lt;D xsi:type="xsd:double"&gt;1&lt;/D&gt;&lt;D xsi:type="xsd:double"&gt;-0.37735307&lt;/D&gt;&lt;D xsi:type="xsd:double"&gt;0.30714566&lt;/D&gt;&lt;D xsi:type="xsd:double"&gt;0.5223762&lt;/D&gt;&lt;D xsi:type="xsd:double"&gt;0.9089059&lt;/D&gt;&lt;D xsi:type="xsd:double"&gt;0.8819895&lt;/D&gt;&lt;D xsi:type="xsd:double"&gt;0.2369354&lt;/D&gt;&lt;D xsi:type="xsd:double"&gt;-0.38807243&lt;/D&gt;&lt;D xsi:type="xsd:double"&gt;0.9186531&lt;/D&gt;&lt;D xsi:type="xsd:double"&gt;0.714766&lt;/D&gt;&lt;D xsi:type="xsd:double"&gt;0.736571&lt;/D&gt;&lt;D xsi:type="xsd:double"&gt;-0.83605886&lt;/D&gt;&lt;D xsi:type="xsd:double"&gt;-0.6914416&lt;/D&gt;&lt;D xsi:type="xsd:double"&gt;-0.9072747&lt;/D&gt;&lt;D xsi:type="xsd:double"&gt;-0.25830948&lt;/D&gt;&lt;D xsi:type="xsd:double"&gt;0.091057144&lt;/D&gt;&lt;D xsi:type="xsd:double"&gt;-0.19025974&lt;/D&gt;&lt;D xsi:type="xsd:double"&gt;-0.15933016&lt;/D&gt;&lt;D xsi:type="xsd:double"&gt;0.5140559&lt;/D&gt;&lt;D xsi:type="xsd:double"&gt;-0.11001577&lt;/D&gt;&lt;D xsi:type="xsd:double"&gt;-0.07535427&lt;/D&gt;&lt;D xsi:type="xsd:double"&gt;-0.5140972&lt;/D&gt;&lt;D xsi:type="xsd:double"&gt;0.69901997&lt;/D&gt;&lt;D xsi:type="xsd:double"&gt;-0.5575753&lt;/D&gt;&lt;D xsi:type="xsd:double"&gt;-0.06743024&lt;/D&gt;&lt;D xsi:type="xsd:double"&gt;-0.33393747&lt;/D&gt;&lt;D xsi:type="xsd:double"&gt;-0.6058233&lt;/D&gt;&lt;D xsi:type="xsd:double"&gt;0.5768342&lt;/D&gt;&lt;D xsi:type="xsd:double"&gt;-0.25592363&lt;/D&gt;&lt;D xsi:type="xsd:double"&gt;-0.4129026&lt;/D&gt;&lt;D xsi:type="xsd:double"&gt;-0.49061266&lt;/D&gt;&lt;D xsi:type="xsd:double"&gt;0.8178011&lt;/D&gt;&lt;D xsi:type="xsd:double"&gt;-0.3135421&lt;/D&gt;&lt;D xsi:type="xsd:double"&gt;0.4022&lt;/D&gt;&lt;D xsi:type="xsd:double"&gt;-0.03914313&lt;/D&gt;&lt;D xsi:type="xsd:double"&gt;-0.24090034&lt;/D&gt;&lt;D xsi:type="xsd:double"&gt;0.21370162&lt;/D&gt;&lt;D xsi:type="xsd:double"&gt;-0.7606891&lt;/D&gt;&lt;D xsi:type="xsd:double"&gt;0.63385886&lt;/D&gt;&lt;D xsi:type="xsd:double"&gt;0.36505836&lt;/D&gt;&lt;D xsi:type="xsd:double"&gt;0.80056846&lt;/D&gt;&lt;D xsi:type="xsd:double"&gt;0.5049595&lt;/D&gt;&lt;D xsi:type="xsd:double"&gt;0.7596683&lt;/D&gt;&lt;D xsi:type="xsd:double"&gt;-0.37722805&lt;/D&gt;&lt;D xsi:type="xsd:double"&gt;0.69471824&lt;/D&gt;&lt;D xsi:type="xsd:double"&gt;0.38771108&lt;/D&gt;&lt;D xsi:type="xsd:double"&gt;-0.6256842&lt;/D&gt;&lt;D xsi:type="xsd:double"&gt;0.41693434&lt;/D&gt;&lt;D xsi:type="xsd:double"&gt;-0.59552914&lt;/D&gt;&lt;D xsi:type="xsd:double"&gt;0.82276756&lt;/D&gt;&lt;D xsi:type="xsd:double"&gt;0.65793216&lt;/D&gt;&lt;D xsi:type="xsd:double"&gt;-0.293368&lt;/D&gt;&lt;D xsi:type="xsd:double"&gt;-0.18015178&lt;/D&gt;&lt;D xsi:type="xsd:double"&gt;0.2974&lt;/D&gt;&lt;D xsi:type="xsd:double"&gt;-0.26934466&lt;/D&gt;&lt;D xsi:type="xsd:double"&gt;0.19092248&lt;/D&gt;&lt;D xsi:type="xsd:double"&gt;-0.61046594&lt;/D&gt;&lt;D xsi:type="xsd:double"&gt;-0.24822202&lt;/D&gt;&lt;D xsi:type="xsd:double"&gt;-0.62144095&lt;/D&gt;&lt;D xsi:type="xsd:double"&gt;-0.37735307&lt;/D&gt;&lt;D xsi:type="xsd:double"&gt;1&lt;/D&gt;&lt;D xsi:type="xsd:double"&gt;0.41141835&lt;/D&gt;&lt;D xsi:type="xsd:double"&gt;0.25493574&lt;/D&gt;&lt;D xsi:type="xsd:double"&gt;-0.2138806&lt;/D&gt;&lt;D xsi:type="xsd:double"&gt;-0.36345288&lt;/D&gt;&lt;D xsi:type="xsd:double"&gt;-0.2592252&lt;/D&gt;&lt;D xsi:type="xsd:double"&gt;0.7886672&lt;/D&gt;&lt;D xsi:type="xsd:double"&gt;-0.43229458&lt;/D&gt;&lt;D xsi:type="xsd:double"&gt;-0.37874776&lt;/D&gt;&lt;D xsi:type="xsd:double"&gt;-0.497623&lt;/D&gt;&lt;D xsi:type="xsd:double"&gt;0.5924904&lt;/D&gt;&lt;D xsi:type="xsd:double"&gt;0.47800642&lt;/D&gt;&lt;D xsi:type="xsd:double"&gt;0.61863655&lt;/D&gt;&lt;D xsi:type="xsd:double"&gt;0.06591915&lt;/D&gt;&lt;D xsi:type="xsd:double"&gt;0.72487056&lt;/D&gt;&lt;D xsi:type="xsd:double"&gt;0.4173617&lt;/D&gt;&lt;D xsi:type="xsd:double"&gt;0.44958967&lt;/D&gt;&lt;D xsi:type="xsd:double"&gt;0.41091922&lt;/D&gt;&lt;D xsi:type="xsd:double"&gt;0.5960572&lt;/D&gt;&lt;D xsi:type="xsd:double"&gt;0.21446982&lt;/D&gt;&lt;D xsi:type="xsd:double"&gt;0.11324716&lt;/D&gt;&lt;D xsi:type="xsd:double"&gt;-0.010694057&lt;/D&gt;&lt;D xsi:type="xsd:double"&gt;-0.06715741&lt;/D&gt;&lt;D xsi:type="xsd:double"&gt;0.30791914&lt;/D&gt;&lt;D xsi:type="xsd:double"&gt;0.041452445&lt;/D&gt;&lt;D xsi:type="xsd:double"&gt;0.109265596&lt;/D&gt;&lt;D xsi:type="xsd:double"&gt;0.029784955&lt;/D&gt;&lt;D xsi:type="xsd:double"&gt;0.3474096&lt;/D&gt;&lt;D xsi:type="xsd:double"&gt;0.39411533&lt;/D&gt;&lt;D xsi:type="xsd:double"&gt;0.25860354&lt;/D&gt;&lt;D xsi:type="xsd:double"&gt;0.41057003&lt;/D&gt;&lt;D xsi:type="xsd:double"&gt;0.09475008&lt;/D&gt;&lt;D xsi:type="xsd:double"&gt;0.53289026&lt;/D&gt;&lt;D xsi:type="xsd:double"&gt;0.6919134&lt;/D&gt;&lt;D xsi:type="xsd:double"&gt;0.19171059&lt;/D&gt;&lt;D xsi:type="xsd:double"&gt;0.79015017&lt;/D&gt;&lt;D xsi:type="xsd:double"&gt;-0.07833169&lt;/D&gt;&lt;D xsi:type="xsd:double"&gt;0.014186803&lt;/D&gt;&lt;D xsi:type="xsd:double"&gt;0.4576214&lt;/D&gt;&lt;D xsi:type="xsd:double"&gt;0.019776287&lt;/D&gt;&lt;D xsi:type="xsd:double"&gt;0.7411336&lt;/D&gt;&lt;D xsi:type="xsd:double"&gt;-0.004791142&lt;/D&gt;&lt;D xsi:type="xsd:double"&gt;0.09689295&lt;/D&gt;&lt;D xsi:type="xsd:double"&gt;0.5229486&lt;/D&gt;&lt;D xsi:type="xsd:double"&gt;-0.20162435&lt;/D&gt;&lt;D xsi:type="xsd:double"&gt;0.08822126&lt;/D&gt;&lt;D xsi:type="xsd:double"&gt;0.6226784&lt;/D&gt;&lt;D xsi:type="xsd:double"&gt;0.090476304&lt;/D&gt;&lt;D xsi:type="xsd:double"&gt;0.3930326&lt;/D&gt;&lt;D xsi:type="xsd:double"&gt;0.13275503&lt;/D&gt;&lt;D xsi:type="xsd:double"&gt;0.38444993&lt;/D&gt;&lt;D xsi:type="xsd:double"&gt;0.4687454&lt;/D&gt;&lt;D xsi:type="xsd:double"&gt;0.5818788&lt;/D&gt;&lt;D xsi:type="xsd:double"&gt;0.5783839&lt;/D&gt;&lt;D xsi:type="xsd:double"&gt;0.13624616&lt;/D&gt;&lt;D xsi:type="xsd:double"&gt;0.08500079&lt;/D&gt;&lt;D xsi:type="xsd:double"&gt;0.31070623&lt;/D&gt;&lt;D xsi:type="xsd:double"&gt;0.048740383&lt;/D&gt;&lt;D xsi:type="xsd:double"&gt;0.30714566&lt;/D&gt;&lt;D xsi:type="xsd:double"&gt;0.41141835&lt;/D&gt;&lt;D xsi:type="xsd:double"&gt;1&lt;/D&gt;&lt;D xsi:type="xsd:double"&gt;0.6820842&lt;/D&gt;&lt;D xsi:type="xsd:double"&gt;0.40814948&lt;/D&gt;&lt;D xsi:type="xsd:double"&gt;0.38693735&lt;/D&gt;&lt;D xsi:type="xsd:double"&gt;-0.29527703&lt;/D&gt;&lt;D xsi:type="xsd:double"&gt;0.3648218&lt;/D&gt;&lt;D xsi:type="xsd:double"&gt;0.22230507&lt;/D&gt;&lt;D xsi:type="xsd:double"&gt;0.039342493&lt;/D&gt;&lt;D xsi:type="xsd:double"&gt;-0.3249787&lt;/D&gt;&lt;D xsi:type="xsd:double"&gt;0.03569471&lt;/D&gt;&lt;D xsi:type="xsd:double"&gt;-0.12544405&lt;/D&gt;&lt;D xsi:type="xsd:double"&gt;-0.092026986&lt;/D&gt;&lt;D xsi:type="xsd:double"&gt;0.40015692&lt;/D&gt;&lt;D xsi:type="xsd:double"&gt;0.75392663&lt;/D&gt;&lt;D xsi:type="xsd:double"&gt;0.64603037&lt;/D&gt;&lt;D xsi:type="xsd:double"&gt;0.6074023&lt;/D&gt;&lt;D xsi:type="xsd:double"&gt;0.4497578&lt;/D&gt;&lt;D xsi:type="xsd:double"&gt;0.6894973&lt;/D&gt;&lt;D xsi:type="xsd:double"&gt;0.19877051&lt;/D&gt;&lt;D xsi:type="xsd:double"&gt;0.41279823&lt;/D&gt;&lt;D xsi:type="xsd:double"&gt;-0.2628929&lt;/D&gt;&lt;D xsi:type="xsd:double"&gt;0.3323802&lt;/D&gt;&lt;D xsi:type="xsd:double"&gt;0.4238563&lt;/D&gt;&lt;D xsi:type="xsd:double"&gt;0.09819145&lt;/D&gt;&lt;D xsi:type="xsd:double"&gt;0.2886806&lt;/D&gt;&lt;D xsi:type="xsd:double"&gt;0.041166756&lt;/D&gt;&lt;D xsi:type="xsd:double"&gt;0.6881902&lt;/D&gt;&lt;D xsi:type="xsd:double"&gt;0.5039345&lt;/D&gt;&lt;D xsi:type="xsd:double"&gt;0.5691793&lt;/D&gt;&lt;D xsi:type="xsd:double"&gt;0.27703446&lt;/D&gt;&lt;D xsi:type="xsd:double"&gt;0.29251152&lt;/D&gt;&lt;D xsi:type="xsd:double"&gt;0.63964945&lt;/D&gt;&lt;D xsi:type="xsd:double"&gt;0.7721305&lt;/D&gt;&lt;D xsi:type="xsd:double"&gt;0.5900923&lt;/D&gt;&lt;D xsi:type="xsd:double"&gt;0.709991&lt;/D&gt;&lt;D xsi:type="xsd:double"&gt;0.10796031&lt;/D&gt;&lt;D xsi:type="xsd:double"&gt;-0.2096507&lt;/D&gt;&lt;D xsi:type="xsd:double"&gt;0.6844979&lt;/D&gt;&lt;D xsi:type="xsd:double"&gt;-0.18457434&lt;/D&gt;&lt;D xsi:type="xsd:double"&gt;0.6725736&lt;/D&gt;&lt;D xsi:type="xsd:double"&gt;-0.20209399&lt;/D&gt;&lt;D xsi:type="xsd:double"&gt;0.5461571&lt;/D&gt;&lt;D xsi:type="xsd:double"&gt;0.6657301&lt;/D&gt;&lt;D xsi:type="xsd:double"&gt;-0.45837387&lt;/D&gt;&lt;D xsi:type="xsd:double"&gt;0.30619657&lt;/D&gt;&lt;D xsi:type="xsd:double"&gt;0.71482444&lt;/D&gt;&lt;D xsi:type="xsd:double"&gt;0.35816202&lt;/D&gt;&lt;D xsi:type="xsd:double"&gt;0.30768234&lt;/D&gt;&lt;D xsi:type="xsd:double"&gt;0.020895917&lt;/D&gt;&lt;D xsi:type="xsd:double"&gt;0.66816324&lt;/D&gt;&lt;D xsi:type="xsd:double"&gt;0.77252257&lt;/D&gt;&lt;D xsi:type="xsd:double"&gt;0.8203369&lt;/D&gt;&lt;D xsi:type="xsd:double"&gt;0.7784365&lt;/D&gt;&lt;D xsi:type="xsd:double"&gt;-0.29617545&lt;/D&gt;&lt;D xsi:type="xsd:double"&gt;0.38553363&lt;/D&gt;&lt;D xsi:type="xsd:double"&gt;0.6815198&lt;/D&gt;&lt;D xsi:type="xsd:double"&gt;0.31197852&lt;/D&gt;&lt;D xsi:type="xsd:double"&gt;0.5223762&lt;/D&gt;&lt;D xsi:type="xsd:double"&gt;0.25493574&lt;/D&gt;&lt;D xsi:type="xsd:double"&gt;0.6820842&lt;/D&gt;&lt;D xsi:type="xsd:double"&gt;1&lt;/D&gt;&lt;D xsi:type="xsd:double"&gt;0.69157904&lt;/D&gt;&lt;D xsi:type="xsd:double"&gt;0.6706688&lt;/D&gt;&lt;D xsi:type="xsd:double"&gt;-0.044038843&lt;/D&gt;&lt;D xsi:type="xsd:double"&gt;0.32980245&lt;/D&gt;&lt;D xsi:type="xsd:double"&gt;0.5720969&lt;/D&gt;&lt;D xsi:type="xsd:double"&gt;0.06872622&lt;/D&gt;&lt;D xsi:type="xsd:double"&gt;-0.25784448&lt;/D&gt;&lt;D xsi:type="xsd:double"&gt;-0.33403778&lt;/D&gt;&lt;D xsi:type="xsd:double"&gt;0.012282247&lt;/D&gt;&lt;D xsi:type="xsd:double"&gt;-0.3529476&lt;/D&gt;&lt;D xsi:type="xsd:double"&gt;0.51129013&lt;/D&gt;&lt;D xsi:type="xsd:double"&gt;0.63032573&lt;/D&gt;&lt;D xsi:type="xsd:double"&gt;0.7548551&lt;/D&gt;&lt;D xsi:type="xsd:double"&gt;0.88571763&lt;/D&gt;&lt;D xsi:type="xsd:double"&gt;0.33791444&lt;/D&gt;&lt;D xsi:type="xsd:double"&gt;0.7059401&lt;/D&gt;&lt;D xsi:type="xsd:double"&gt;0.47438163&lt;/D&gt;&lt;D xsi:type="xsd:double"&gt;0.79237014&lt;/D&gt;&lt;D xsi:type="xsd:double"&gt;-0.6453108&lt;/D&gt;&lt;D xsi:type="xsd:double"&gt;0.7541956&lt;/D&gt;&lt;D xsi:type="xsd:double"&gt;0.6450069&lt;/D&gt;&lt;D xsi:type="xsd:double"&gt;0.027506148&lt;/D&gt;&lt;D xsi:type="xsd:double"&gt;0.69933575&lt;/D&gt;&lt;D xsi:type="xsd:double"&gt;-0.48448032&lt;/D&gt;&lt;D xsi:type="xsd:double"&gt;0.9032737&lt;/D&gt;&lt;D xsi:type="xsd:double"&gt;0.7409&lt;/D&gt;&lt;D xsi:type="xsd:double"&gt;0.88648057&lt;/D&gt;&lt;D xsi:type="xsd:double"&gt;-0.34438652&lt;/D&gt;&lt;D xsi:type="xsd:double"&gt;0.4787054&lt;/D&gt;&lt;D xsi:type="xsd:double"&gt;0.4794762&lt;/D&gt;&lt;D xsi:type="xsd:double"&gt;0.63287896&lt;/D&gt;&lt;D xsi:type="xsd:double"&gt;0.68582743&lt;/D&gt;&lt;D xsi:type="xsd:double"&gt;0.6236768&lt;/D&gt;&lt;D xsi:type="xsd:double"&gt;0.54019815&lt;/D&gt;&lt;D xsi:type="xsd:double"&gt;-0.6765341&lt;/D&gt;&lt;D xsi:type="xsd:double"&gt;0.6012358&lt;/D&gt;&lt;D xsi:type="xsd:double"&gt;-0.7181172&lt;/D&gt;&lt;D xsi:type="xsd:double"&gt;0.36236298&lt;/D&gt;&lt;D xsi:type="xsd:double"&gt;-0.6940344&lt;/D&gt;&lt;D xsi:type="xsd:double"&gt;0.7820947&lt;/D&gt;&lt;D xsi:type="xsd:double"&gt;0.2907738&lt;/D&gt;&lt;D xsi:type="xsd:double"&gt;-0.75326735&lt;/D&gt;&lt;D xsi:type="xsd:double"&gt;0.7555039&lt;/D&gt;&lt;D xsi:type="xsd:double"&gt;0.25051862&lt;/D&gt;&lt;D xsi:type="xsd:double"&gt;0.8508237&lt;/D&gt;&lt;D xsi:type="xsd:double"&gt;-0.11081878&lt;/D&gt;&lt;D xsi:type="xsd:double"&gt;-0.59053785&lt;/D&gt;&lt;D xsi:type="xsd:double"&gt;0.917249&lt;/D&gt;&lt;D xsi:type="xsd:double"&gt;0.9149772&lt;/D&gt;&lt;D xsi:type="xsd:double"&gt;0.63360703&lt;/D&gt;&lt;D xsi:type="xsd:double"&gt;0.8208548&lt;/D&gt;&lt;D xsi:type="xsd:double"&gt;-0.29221752&lt;/D&gt;&lt;D xsi:type="xsd:double"&gt;0.77785254&lt;/D&gt;&lt;D xsi:type="xsd:double"&gt;0.76541436&lt;/D&gt;&lt;D xsi:type="xsd:double"&gt;0.8142643&lt;/D&gt;&lt;D xsi:type="xsd:double"&gt;0.9089059&lt;/D&gt;&lt;D xsi:type="xsd:double"&gt;-0.2138806&lt;/D&gt;&lt;D xsi:type="xsd:double"&gt;0.40814948&lt;/D&gt;&lt;D xsi:type="xsd:double"&gt;0.69157904&lt;/D&gt;&lt;D xsi:type="xsd:double"&gt;1&lt;/D&gt;&lt;D xsi:type="xsd:double"&gt;0.861377&lt;/D&gt;&lt;D xsi:type="xsd:double"&gt;0.19917285&lt;/D&gt;&lt;D xsi:type="xsd:double"&gt;-0.20308407&lt;/D&gt;&lt;D xsi:type="xsd:double"&gt;0.87022316&lt;/D&gt;&lt;D xsi:type="xsd:double"&gt;0.59473014&lt;/D&gt;&lt;D xsi:type="xsd:double"&gt;0.6211552&lt;/D&gt;&lt;D xsi:type="xsd:double"&gt;-0.75061494&lt;/D&gt;&lt;D xsi:type="xsd:double"&gt;-0.56483245&lt;/D&gt;&lt;D xsi:type="xsd:double"&gt;-0.84829533&lt;/D&gt;&lt;D xsi:type="xsd:double"&gt;0.48768333&lt;/D&gt;&lt;D xsi:type="xsd:double"&gt;0.7631818&lt;/D&gt;&lt;D xsi:type="xsd:double"&gt;0.6472816&lt;/D&gt;&lt;D xsi:type="xsd:double"&gt;0.87418514&lt;/D&gt;&lt;D xsi:type="xsd:double"&gt;0.11012538&lt;/D&gt;&lt;D xsi:type="xsd:double"&gt;0.8005203&lt;/D&gt;&lt;D xsi:type="xsd:double"&gt;0.32001618&lt;/D&gt;&lt;D xsi:type="xsd:double"&gt;0.8381014&lt;/D&gt;&lt;D xsi:type="xsd:double"&gt;-0.77629143&lt;/D&gt;&lt;D xsi:type="xsd:double"&gt;0.7373697&lt;/D&gt;&lt;D xsi:type="xsd:double"&gt;0.66935164&lt;/D&gt;&lt;D xsi:type="xsd:double"&gt;0.18731938&lt;/D&gt;&lt;D xsi:type="xsd:double"&gt;0.7675803&lt;/D&gt;&lt;D xsi:type="xsd:double"&gt;-0.44588503&lt;/D&gt;&lt;D xsi:type="xsd:double"&gt;0.885886&lt;/D&gt;&lt;D xsi:type="xsd:double"&gt;0.8102312&lt;/D&gt;&lt;D xsi:type="xsd:double"&gt;0.8924326&lt;/D&gt;&lt;D xsi:type="xsd:double"&gt;-0.35363394&lt;/D&gt;&lt;D xsi:type="xsd:double"&gt;0.4735574&lt;/D&gt;&lt;D xsi:type="xsd:double"&gt;0.4885155&lt;/D&gt;&lt;D xsi:type="xsd:double"&gt;0.7726562&lt;/D&gt;&lt;D xsi:type="xsd:double"&gt;0.7869155&lt;/D&gt;&lt;D xsi:type="xsd:double"&gt;0.650926&lt;/D&gt;&lt;D xsi:type="xsd:double"&gt;0.6583659&lt;/D&gt;&lt;D xsi:type="xsd:double"&gt;-0.7654793&lt;/D&gt;&lt;D xsi:type="xsd:double"&gt;0.5100941&lt;/D&gt;&lt;D xsi:type="xsd:double"&gt;-0.76656&lt;/D&gt;&lt;D xsi:type="xsd:double"&gt;0.34679568&lt;/D&gt;&lt;D xsi:type="xsd:double"&gt;-0.76927876&lt;/D&gt;&lt;D xsi:type="xsd:double"&gt;0.6801581&lt;/D&gt;&lt;D xsi:type="xsd:double"&gt;0.13297845&lt;/D&gt;&lt;D xsi:type="xsd:double"&gt;-0.8509501&lt;/D&gt;&lt;D xsi:type="xsd:double"&gt;0.7891064&lt;/D&gt;&lt;D xsi:type="xsd:double"&gt;0.29189202&lt;/D&gt;&lt;D xsi:type="xsd:double"&gt;0.7815749&lt;/D&gt;&lt;D xsi:type="xsd:double"&gt;-0.19179456&lt;/D&gt;&lt;D xsi:type="xsd:double"&gt;-0.5257763&lt;/D&gt;&lt;D xsi:type="xsd:double"&gt;0.9354413&lt;/D&gt;&lt;D xsi:type="xsd:double"&gt;0.9144993&lt;/D&gt;&lt;D xsi:type="xsd:double"&gt;0.6064874&lt;/D&gt;&lt;D xsi:type="xsd:double"&gt;0.90018433&lt;/D&gt;&lt;D xsi:type="xsd:double"&gt;-0.39633474&lt;/D&gt;&lt;D xsi:type="xsd:double"&gt;0.8215469&lt;/D&gt;&lt;D xsi:type="xsd:double"&gt;0.84899044&lt;/D&gt;&lt;D xsi:type="xsd:double"&gt;0.8097904&lt;/D&gt;&lt;D xsi:type="xsd:double"&gt;0.8819895&lt;/D&gt;&lt;D xsi:type="xsd:double"&gt;-0.36345288&lt;/D&gt;&lt;D xsi:type="xsd:double"&gt;0.38693735&lt;/D&gt;&lt;D xsi:type="xsd:double"&gt;0.6706688&lt;/D&gt;&lt;D xsi:type="xsd:double"&gt;0.861377&lt;/D&gt;&lt;D xsi:type="xsd:double"&gt;1&lt;/D&gt;&lt;D xsi:type="xsd:double"&gt;0.08161386&lt;/D&gt;&lt;D xsi:type="xsd:double"&gt;-0.2544178&lt;/D&gt;&lt;D xsi:type="xsd:double"&gt;0.87742555&lt;/D&gt;&lt;D xsi:type="xsd:double"&gt;0.4321111&lt;/D&gt;&lt;D xsi:type="xsd:double"&gt;0.5863947&lt;/D&gt;&lt;D xsi:type="xsd:double"&gt;-0.8293146&lt;/D&gt;&lt;D xsi:type="xsd:double"&gt;-0.5502587&lt;/D&gt;&lt;D xsi:type="xsd:double"&gt;-0.8312193&lt;/D&gt;&lt;D xsi:type="xsd:double"&gt;0.49726757&lt;/D&gt;&lt;D xsi:type="xsd:double"&gt;-0.2378169&lt;/D&gt;&lt;D xsi:type="xsd:double"&gt;0.22647436&lt;/D&gt;&lt;D xsi:type="xsd:double"&gt;0.047559205&lt;/D&gt;&lt;D xsi:type="xsd:double"&gt;0.24016178&lt;/D&gt;&lt;D xsi:type="xsd:double"&gt;-0.06796989&lt;/D&gt;&lt;D xsi:type="xsd:double"&gt;0.3990684&lt;/D&gt;&lt;D xsi:type="xsd:double"&gt;0.30995098&lt;/D&gt;&lt;D xsi:type="xsd:double"&gt;-0.11412773&lt;/D&gt;&lt;D xsi:type="xsd:double"&gt;0.45212525&lt;/D&gt;&lt;D xsi:type="xsd:double"&gt;-0.060339138&lt;/D&gt;&lt;D xsi:type="xsd:double"&gt;0.12517357&lt;/D&gt;&lt;D xsi:type="xsd:double"&gt;0.21150516&lt;/D&gt;&lt;D xsi:type="xsd:double"&gt;-0.33413023&lt;/D&gt;&lt;D xsi:type="xsd:double"&gt;0.15885258&lt;/D&gt;&lt;D xsi:type="xsd:double"&gt;0.24281566&lt;/D&gt;&lt;D xsi:type="xsd:double"&gt;0.20561846&lt;/D&gt;&lt;D xsi:type="xsd:double"&gt;-0.42991915&lt;/D&gt;&lt;D xsi:type="xsd:double"&gt;0.04070707&lt;/D&gt;&lt;D xsi:type="xsd:double"&gt;-0.4321133&lt;/D&gt;&lt;D xsi:type="xsd:double"&gt;-0.16089146&lt;/D&gt;&lt;D xsi:type="xsd:double"&gt;0.046757214&lt;/D&gt;&lt;D xsi:type="xsd:double"&gt;-0.3269841&lt;/D&gt;&lt;D xsi:type="xsd:double"&gt;0.33205312&lt;/D&gt;&lt;D xsi:type="xsd:double"&gt;-0.018361982&lt;/D&gt;&lt;D xsi:type="xsd:double"&gt;-0.014239775&lt;/D&gt;&lt;D xsi:type="xsd:double"&gt;-0.2250212&lt;/D&gt;&lt;D xsi:type="xsd:double"&gt;-0.41424975&lt;/D&gt;&lt;D xsi:type="xsd:double"&gt;-0.16803654&lt;/D&gt;&lt;D xsi:type="xsd:double"&gt;0.35020426&lt;/D&gt;&lt;D xsi:type="xsd:double"&gt;-0.17446381&lt;/D&gt;&lt;D xsi:type="xsd:double"&gt;0.1418004&lt;/D&gt;&lt;D xsi:type="xsd:double"&gt;0.35402697&lt;/D&gt;&lt;D xsi:type="xsd:double"&gt;-0.26344237&lt;/D&gt;&lt;D xsi:type="xsd:double"&gt;0.36681932&lt;/D&gt;&lt;D xsi:type="xsd:double"&gt;-0.36298564&lt;/D&gt;&lt;D xsi:type="xsd:double"&gt;-0.41922656&lt;/D&gt;&lt;D xsi:type="xsd:double"&gt;0.12596533&lt;/D&gt;&lt;D xsi:type="xsd:double"&gt;0.05258547&lt;/D&gt;&lt;D xsi:type="xsd:double"&gt;-0.17033845&lt;/D&gt;&lt;D xsi:type="xsd:double"&gt;-0.067484744&lt;/D&gt;&lt;D xsi:type="xsd:double"&gt;0.09025593&lt;/D&gt;&lt;D xsi:type="xsd:double"&gt;0.37815514&lt;/D&gt;&lt;D xsi:type="xsd:double"&gt;0.03289614&lt;/D&gt;&lt;D xsi:type="xsd:double"&gt;0.37922361&lt;/D&gt;&lt;D xsi:type="xsd:double"&gt;0.2369354&lt;/D&gt;&lt;D xsi:type="xsd:double"&gt;-0.2592252&lt;/D&gt;&lt;D xsi:type="xsd:double"&gt;-0.29527703&lt;/D&gt;&lt;D xsi:type="xsd:double"&gt;-0.044038843&lt;/D&gt;&lt;D xsi:type="xsd:double"&gt;0.19917285&lt;/D&gt;&lt;D xsi:type="xsd:double"&gt;0.08161386&lt;/D&gt;&lt;D xsi:type="xsd:double"&gt;1&lt;/D&gt;&lt;D xsi:type="xsd:double"&gt;-0.4390856&lt;/D&gt;&lt;D xsi:type="xsd:double"&gt;0.294844&lt;/D&gt;&lt;D xsi:type="xsd:double"&gt;0.46084392&lt;/D&gt;&lt;D xsi:type="xsd:double"&gt;0.25513762&lt;/D&gt;&lt;D xsi:type="xsd:double"&gt;-0.1380997&lt;/D&gt;&lt;D xsi:type="xsd:double"&gt;0.053686135&lt;/D&gt;&lt;D xsi:type="xsd:double"&gt;-0.23086175&lt;/D&gt;&lt;D xsi:type="xsd:double"&gt;-0.35247666&lt;/D&gt;&lt;D xsi:type="xsd:double"&gt;0.19757584&lt;/D&gt;&lt;D xsi:type="xsd:double"&gt;-0.147391&lt;/D&gt;&lt;D xsi:type="xsd:double"&gt;-0.14302832&lt;/D&gt;&lt;D xsi:type="xsd:double"&gt;0.2147329&lt;/D&gt;&lt;D xsi:type="xsd:double"&gt;-0.066152275&lt;/D&gt;&lt;D xsi:type="xsd:double"&gt;-0.4011976&lt;/D&gt;&lt;D xsi:type="xsd:double"&gt;-0.506836&lt;/D&gt;&lt;D xsi:type="xsd:double"&gt;0.48292142&lt;/D&gt;&lt;D xsi:type="xsd:double"&gt;-0.47771066&lt;/D&gt;&lt;D xsi:type="xsd:double"&gt;-0.058557488&lt;/D&gt;&lt;D xsi:type="xsd:double"&gt;-0.16226785&lt;/D&gt;&lt;D xsi:type="xsd:double"&gt;-0.5183599&lt;/D&gt;&lt;D xsi:type="xsd:double"&gt;0.7059471&lt;/D&gt;&lt;D xsi:type="xsd:double"&gt;-0.20471229&lt;/D&gt;&lt;D xsi:type="xsd:double"&gt;-0.43409932&lt;/D&gt;&lt;D xsi:type="xsd:double"&gt;-0.3872984&lt;/D&gt;&lt;D xsi:type="xsd:double"&gt;0.8429238&lt;/D&gt;&lt;D xsi:type="xsd:double"&gt;-0.22280906&lt;/D&gt;&lt;D xsi:type="xsd:double"&gt;0.5940553&lt;/D&gt;&lt;D xsi:type="xsd:double"&gt;0.0752544&lt;/D&gt;&lt;D xsi:type="xsd:double"&gt;-0.04119593&lt;/D&gt;&lt;D xsi:type="xsd:double"&gt;0.2719145&lt;/D&gt;&lt;D xsi:type="xsd:double"&gt;-0.73081076&lt;/D&gt;&lt;D xsi:type="xsd:double"&gt;0.49731857&lt;/D&gt;&lt;D xsi:type="xsd:double"&gt;0.37644997&lt;/D&gt;&lt;D xsi:type="xsd:double"&gt;0.6179313&lt;/D&gt;&lt;D xsi:type="xsd:double"&gt;0.6426884&lt;/D&gt;&lt;D xsi:type="xsd:double"&gt;0.5736384&lt;/D&gt;&lt;D xsi:type="xsd:double"&gt;-0.14874166&lt;/D&gt;&lt;D xsi:type="xsd:double"&gt;0.7550109&lt;/D&gt;&lt;D xsi:type="xsd:double"&gt;0.26339668&lt;/D&gt;&lt;D xsi:type="xsd:double"&gt;-0.5757144&lt;/D&gt;&lt;D xsi:type="xsd:double"&gt;0.5482339&lt;/D&gt;&lt;D xsi:type="xsd:double"&gt;-0.5611266&lt;/D&gt;&lt;D xsi:type="xsd:double"&gt;0.7078303&lt;/D&gt;&lt;D xsi:type="xsd:double"&gt;0.827823&lt;/D&gt;&lt;D xsi:type="xsd:double"&gt;-0.20633613&lt;/D&gt;&lt;D xsi:type="xsd:double"&gt;-0.09435008&lt;/D&gt;&lt;D xsi:type="xsd:double"&gt;0.51545376&lt;/D&gt;&lt;D xsi:type="xsd:double"&gt;-0.060432725&lt;/D&gt;&lt;D xsi:type="xsd:double"&gt;-0.2279023&lt;/D&gt;&lt;D xsi:type="xsd:double"&gt;-0.6345614&lt;/D&gt;&lt;D xsi:type="xsd:double"&gt;-0.021731146&lt;/D&gt;&lt;D xsi:type="xsd:double"&gt;-0.61845005&lt;/D&gt;&lt;D xsi:type="xsd:double"&gt;-0.38807243&lt;/D&gt;&lt;D xsi:type="xsd:double"&gt;0.7886672&lt;/D&gt;&lt;D xsi:type="xsd:double"&gt;0.3648218&lt;/D&gt;&lt;D xsi:type="xsd:double"&gt;0.32980245&lt;/D&gt;&lt;D xsi:type="xsd:double"&gt;-0.20308407&lt;/D&gt;&lt;D xsi:type="xsd:double"&gt;-0.2544178&lt;/D&gt;&lt;D xsi:type="xsd:double"&gt;-0.4390856&lt;/D&gt;&lt;D xsi:type="xsd:double"&gt;1&lt;/D&gt;&lt;D xsi:type="xsd:double"&gt;-0.33221802&lt;/D&gt;&lt;D xsi:type="xsd:double"&gt;-0.6023293&lt;/D&gt;&lt;D xsi:type="xsd:double"&gt;-0.65517694&lt;/D&gt;&lt;D xsi:type="xsd:double"&gt;0.44637495&lt;/D&gt;&lt;D xsi:type="xsd:double"&gt;0.4915614&lt;/D&gt;&lt;D xsi:type="xsd:double"&gt;0.5821747&lt;/D&gt;&lt;D xsi:type="xsd:double"&gt;0.6721815&lt;/D&gt;&lt;D xsi:type="xsd:double"&gt;0.53893006&lt;/D&gt;&lt;D xsi:type="xsd:double"&gt;0.6650698&lt;/D&gt;&lt;D xsi:type="xsd:double"&gt;0.819901&lt;/D&gt;&lt;D xsi:type="xsd:double"&gt;0.102156594&lt;/D&gt;&lt;D xsi:type="xsd:double"&gt;0.5275521&lt;/D&gt;&lt;D xsi:type="xsd:double"&gt;0.45176914&lt;/D&gt;&lt;D xsi:type="xsd:double"&gt;0.928974&lt;/D&gt;&lt;D xsi:type="xsd:double"&gt;-0.8121974&lt;/D&gt;&lt;D xsi:type="xsd:double"&gt;0.9244619&lt;/D&gt;&lt;D xsi:type="xsd:double"&gt;0.7182853&lt;/D&gt;&lt;D xsi:type="xsd:double"&gt;0.18505651&lt;/D&gt;&lt;D xsi:type="xsd:double"&gt;0.85867083&lt;/D&gt;&lt;D xsi:type="xsd:double"&gt;-0.5631965&lt;/D&gt;&lt;D xsi:type="xsd:double"&gt;0.9320847&lt;/D&gt;&lt;D xsi:type="xsd:double"&gt;0.7751571&lt;/D&gt;&lt;D xsi:type="xsd:double"&gt;0.95001245&lt;/D&gt;&lt;D xsi:type="xsd:double"&gt;-0.50762534&lt;/D&gt;&lt;D xsi:type="xsd:double"&gt;0.6478079&lt;/D&gt;&lt;D xsi:type="xsd:double"&gt;0.34806776&lt;/D&gt;&lt;D xsi:type="xsd:double"&gt;0.5453597&lt;/D&gt;&lt;D xsi:type="xsd:double"&gt;0.8305242&lt;/D&gt;&lt;D xsi:type="xsd:double"&gt;0.43758076&lt;/D&gt;&lt;D xsi:type="xsd:double"&gt;0.7635731&lt;/D&gt;&lt;D xsi:type="xsd:double"&gt;-0.74464685&lt;/D&gt;&lt;D xsi:type="xsd:double"&gt;0.576025&lt;/D&gt;&lt;D xsi:type="xsd:double"&gt;-0.7873567&lt;/D&gt;&lt;D xsi:type="xsd:double"&gt;0.10623105&lt;/D&gt;&lt;D xsi:type="xsd:double"&gt;-0.81595254&lt;/D&gt;&lt;D xsi:type="xsd:double"&gt;0.7937548&lt;/D&gt;&lt;D xsi:type="xsd:double"&gt;0.07658697&lt;/D&gt;&lt;D xsi:type="xsd:double"&gt;-0.805371&lt;/D&gt;&lt;D xsi:type="xsd:double"&gt;0.8924805&lt;/D&gt;&lt;D xsi:type="xsd:double"&gt;0.0722227&lt;/D&gt;&lt;D xsi:type="xsd:double"&gt;0.84612894&lt;/D&gt;&lt;D xsi:type="xsd:double"&gt;-0.28859213&lt;/D&gt;&lt;D xsi:type="xsd:double"&gt;-0.6121942&lt;/D&gt;&lt;D xsi:type="xsd:double"&gt;0.9257288&lt;/D&gt;&lt;D xsi:type="xsd:double"&gt;0.8974499&lt;/D&gt;&lt;D xsi:type="xsd:double"&gt;0.4786872&lt;/D&gt;&lt;D xsi:type="xsd:double"&gt;0.81589675&lt;/D&gt;&lt;D xsi:type="xsd:double"&gt;-0.38922605&lt;/D&gt;&lt;D xsi:type="xsd:double"&gt;0.8916442&lt;/D&gt;&lt;D xsi:type="xsd:double"&gt;0.8758454&lt;/D&gt;&lt;D xsi:type="xsd:double"&gt;0.89658123&lt;/D&gt;&lt;D xsi:type="xsd:double"&gt;0.9186531&lt;/D&gt;&lt;D xsi:type="xsd:double"&gt;-0.43229458&lt;/D&gt;&lt;D xsi:type="xsd:double"&gt;0.22230507&lt;/D&gt;&lt;D xsi:type="xsd:double"&gt;0.5720969&lt;/D&gt;&lt;D xsi:type="xsd:double"&gt;0.87022316&lt;/D&gt;&lt;D xsi:type="xsd:double"&gt;0.87742555&lt;/D&gt;&lt;D xsi:type="xsd:double"&gt;0.294844&lt;/D&gt;&lt;D xsi:type="xsd:double"&gt;-0.33221802&lt;/D&gt;&lt;D xsi:type="xsd:double"&gt;1&lt;/D&gt;&lt;D xsi:type="xsd:double"&gt;0.601078&lt;/D&gt;&lt;D xsi:type="xsd:double"&gt;0.5933146&lt;/D&gt;&lt;D xsi:type="xsd:double"&gt;-0.86207247&lt;/D&gt;&lt;D xsi:type="xsd:double"&gt;-0.51294774&lt;/D&gt;&lt;D xsi:type="xsd:double"&gt;-0.86459947&lt;/D&gt;&lt;D xsi:type="xsd:double"&gt;0.46776813&lt;/D&gt;&lt;D xsi:type="xsd:double"&gt;0.14625034&lt;/D&gt;&lt;D xsi:type="xsd:double"&gt;0.4268826&lt;/D&gt;&lt;D xsi:type="xsd:double"&gt;0.56449246&lt;/D&gt;&lt;D xsi:type="xsd:double"&gt;0.31527492&lt;/D&gt;&lt;D xsi:type="xsd:double"&gt;0.21606971&lt;/D&gt;&lt;D xsi:type="xsd:double"&gt;0.8380357&lt;/D&gt;&lt;D xsi:type="xsd:double"&gt;0.6901582&lt;/D&gt;&lt;D xsi:type="xsd:double"&gt;-0.47862807&lt;/D&gt;&lt;D xsi:type="xsd:double"&gt;0.63607395&lt;/D&gt;&lt;D xsi:type="xsd:double"&gt;0.44983515&lt;/D&gt;&lt;D xsi:type="xsd:double"&gt;-0.018129416&lt;/D&gt;&lt;D xsi:type="xsd:double"&gt;0.678226&lt;/D&gt;&lt;D xsi:type="xsd:double"&gt;-0.73861724&lt;/D&gt;&lt;D xsi:type="xsd:double"&gt;0.54884994&lt;/D&gt;&lt;D xsi:type="xsd:double"&gt;0.58679664&lt;/D&gt;&lt;D xsi:type="xsd:double"&gt;0.6055592&lt;/D&gt;&lt;D xsi:type="xsd:double"&gt;-0.6827213&lt;/D&gt;&lt;D xsi:type="xsd:double"&gt;0.28337875&lt;/D&gt;&lt;D xsi:type="xsd:double"&gt;-0.07650287&lt;/D&gt;&lt;D xsi:type="xsd:double"&gt;0.13024817&lt;/D&gt;&lt;D xsi:type="xsd:double"&gt;0.25467917&lt;/D&gt;&lt;D xsi:type="xsd:double"&gt;0.18246432&lt;/D&gt;&lt;D xsi:type="xsd:double"&gt;0.6684747&lt;/D&gt;&lt;D xsi:type="xsd:double"&gt;-0.4941704&lt;/D&gt;&lt;D xsi:type="xsd:double"&gt;0.26764837&lt;/D&gt;&lt;D xsi:type="xsd:double"&gt;-0.57982254&lt;/D&gt;&lt;D xsi:type="xsd:double"&gt;-0.23470575&lt;/D&gt;&lt;D xsi:type="xsd:double"&gt;-0.5909164&lt;/D&gt;&lt;D xsi:type="xsd:double"&gt;0.4500393&lt;/D&gt;&lt;D xsi:type="xsd:double"&gt;-0.25467426&lt;/D&gt;&lt;D xsi:type="xsd:double"&gt;-0.41706592&lt;/D&gt;&lt;D xsi:type="xsd:double"&gt;0.703452&lt;/D&gt;&lt;D xsi:type="xsd:double"&gt;-0.3310567&lt;/D&gt;&lt;D xsi:type="xsd:double"&gt;0.7402351&lt;/D&gt;&lt;D xsi:type="xsd:double"&gt;-0.30399734&lt;/D&gt;&lt;D xsi:type="xsd:double"&gt;-0.7712603&lt;/D&gt;&lt;D xsi:type="xsd:double"&gt;0.5465168&lt;/D&gt;&lt;D xsi:type="xsd:double"&gt;0.45704663&lt;/D&gt;&lt;D xsi:type="xsd:double"&gt;-0.06548688&lt;/D&gt;&lt;D xsi:type="xsd:double"&gt;0.2871729&lt;/D&gt;&lt;D xsi:type="xsd:double"&gt;0.25954026&lt;/D&gt;&lt;D xsi:type="xsd:double"&gt;0.6899285&lt;/D&gt;&lt;D xsi:type="xsd:double"&gt;0.27268606&lt;/D&gt;&lt;D xsi:type="xsd:double"&gt;0.7748353&lt;/D&gt;&lt;D xsi:type="xsd:double"&gt;0.714766&lt;/D&gt;&lt;D xsi:type="xsd:double"&gt;-0.37874776&lt;/D&gt;&lt;D xsi:type="xsd:double"&gt;0.039342493&lt;/D&gt;&lt;D xsi:type="xsd:double"&gt;0.06872622&lt;/D&gt;&lt;D xsi:type="xsd:double"&gt;0.59473014&lt;/D&gt;&lt;D xsi:type="xsd:double"&gt;0.4321111&lt;/D&gt;&lt;D xsi:type="xsd:double"&gt;0.46084392&lt;/D&gt;&lt;D xsi:type="xsd:double"&gt;-0.6023293&lt;/D&gt;&lt;D xsi:type="xsd:double"&gt;0.601078&lt;/D&gt;&lt;D xsi:type="xsd:double"&gt;1&lt;/D&gt;&lt;D xsi:type="xsd:double"&gt;0.7460784&lt;/D&gt;&lt;D xsi:type="xsd:double"&gt;-0.50749916&lt;/D&gt;&lt;D xsi:type="xsd:double"&gt;-0.56915915&lt;/D&gt;&lt;D xsi:type="xsd:double"&gt;-0.68219626&lt;/D&gt;&lt;D xsi:type="xsd:double"&gt;0.44539702&lt;/D&gt;&lt;D xsi:type="xsd:double"&gt;-0.09820202&lt;/D&gt;&lt;D xsi:type="xsd:double"&gt;0.2193778&lt;/D&gt;&lt;D xsi:type="xsd:double"&gt;0.6269284&lt;/D&gt;&lt;D xsi:type="xsd:double"&gt;-0.05245912&lt;/D&gt;&lt;D xsi:type="xsd:double"&gt;0.04056204&lt;/D&gt;&lt;D xsi:type="xsd:double"&gt;0.5314678&lt;/D&gt;&lt;D xsi:type="xsd:double"&gt;0.69124246&lt;/D&gt;&lt;D xsi:type="xsd:double"&gt;-0.53663087&lt;/D&gt;&lt;D xsi:type="xsd:double"&gt;0.6128471&lt;/D&gt;&lt;D xsi:type="xsd:double"&gt;0.44164306&lt;/D&gt;&lt;D xsi:type="xsd:double"&gt;-0.11000804&lt;/D&gt;&lt;D xsi:type="xsd:double"&gt;0.7173549&lt;/D&gt;&lt;D xsi:type="xsd:double"&gt;-0.75103205&lt;/D&gt;&lt;D xsi:type="xsd:double"&gt;0.5673602&lt;/D&gt;&lt;D xsi:type="xsd:double"&gt;0.577122&lt;/D&gt;&lt;D xsi:type="xsd:double"&gt;0.67520684&lt;/D&gt;&lt;D xsi:type="xsd:double"&gt;-0.6742393&lt;/D&gt;&lt;D xsi:type="xsd:double"&gt;0.4435&lt;/D&gt;&lt;D xsi:type="xsd:double"&gt;-0.22683847&lt;/D&gt;&lt;D xsi:type="xsd:double"&gt;-0.12287465&lt;/D&gt;&lt;D xsi:type="xsd:double"&gt;0.30808747&lt;/D&gt;&lt;D xsi:type="xsd:double"&gt;-0.08299722&lt;/D&gt;&lt;D xsi:type="xsd:double"&gt;0.69091135&lt;/D&gt;&lt;D xsi:type="xsd:double"&gt;-0.665133&lt;/D&gt;&lt;D xsi:type="xsd:double"&gt;0.052131914&lt;/D&gt;&lt;D xsi:type="xsd:double"&gt;-0.65984315&lt;/D&gt;&lt;D xsi:type="xsd:double"&gt;-0.6579648&lt;/D&gt;&lt;D xsi:type="xsd:double"&gt;-0.6346123&lt;/D&gt;&lt;D xsi:type="xsd:double"&gt;0.29555002&lt;/D&gt;&lt;D xsi:type="xsd:double"&gt;-0.47487798&lt;/D&gt;&lt;D xsi:type="xsd:double"&gt;-0.5781018&lt;/D&gt;&lt;D xsi:type="xsd:double"&gt;0.7078619&lt;/D&gt;&lt;D xsi:type="xsd:double"&gt;-0.7339184&lt;/D&gt;&lt;D xsi:type="xsd:double"&gt;0.71194804&lt;/D&gt;&lt;D xsi:type="xsd:double"&gt;-0.3290387&lt;/D&gt;&lt;D xsi:type="xsd:double"&gt;-0.7820746&lt;/D&gt;&lt;D xsi:type="xsd:double"&gt;0.5686465&lt;/D&gt;&lt;D xsi:type="xsd:double"&gt;0.5053933&lt;/D&gt;&lt;D xsi:type="xsd:double"&gt;-0.40137365&lt;/D&gt;&lt;D xsi:type="xsd:double"&gt;0.4092494&lt;/D&gt;&lt;D xsi:type="xsd:double"&gt;0.16163953&lt;/D&gt;&lt;D xsi:type="xsd:double"&gt;0.6897194&lt;/D&gt;&lt;D xsi:type="xsd:double"&gt;0.30443016&lt;/D&gt;&lt;D xsi:type="xsd:double"&gt;0.75431114&lt;/D&gt;&lt;D xsi:type="xsd:double"&gt;0.736571&lt;/D&gt;&lt;D xsi:type="xsd:double"&gt;-0.497623&lt;/D&gt;&lt;D xsi:type="xsd:double"&gt;-0.3249787&lt;/D&gt;&lt;D xsi:type="xsd:double"&gt;-0.25784448&lt;/D&gt;&lt;D xsi:type="xsd:double"&gt;0.6211552&lt;/D&gt;&lt;D xsi:type="xsd:double"&gt;0.5863947&lt;/D&gt;&lt;D xsi:type="xsd:double"&gt;0.25513762&lt;/D&gt;&lt;D xsi:type="xsd:double"&gt;-0.65517694&lt;/D&gt;&lt;D xsi:type="xsd:double"&gt;0.5933146&lt;/D&gt;&lt;D xsi:type="xsd:double"&gt;0.7460784&lt;/D&gt;&lt;D xsi:type="xsd:double"&gt;1&lt;/D&gt;&lt;D xsi:type="xsd:double"&gt;-0.63042474&lt;/D&gt;&lt;D xsi:type="xsd:double"&gt;-0.6627644&lt;/D&gt;&lt;D xsi:type="xsd:double"&gt;-0.7828535&lt;/D&gt;&lt;D xsi:type="xsd:double"&gt;-0.5078394&lt;/D&gt;&lt;D xsi:type="xsd:double"&gt;-0.3967141&lt;/D&gt;&lt;D xsi:type="xsd:double"&gt;-0.48991436&lt;/D&gt;&lt;D xsi:type="xsd:double"&gt;-0.7326392&lt;/D&gt;&lt;D xsi:type="xsd:double"&gt;0.07939036&lt;/D&gt;&lt;D xsi:type="xsd:double"&gt;-0.4643292&lt;/D&gt;&lt;D xsi:type="xsd:double"&gt;-0.29286098&lt;/D&gt;&lt;D xsi:type="xsd:double"&gt;-0.8907757&lt;/D&gt;&lt;D xsi:type="xsd:double"&gt;0.8889467&lt;/D&gt;&lt;D xsi:type="xsd:double"&gt;-0.88556844&lt;/D&gt;&lt;D xsi:type="xsd:double"&gt;-0.6923252&lt;/D&gt;&lt;D xsi:type="xsd:double"&gt;-0.12763831&lt;/D&gt;&lt;D xsi:type="xsd:double"&gt;-0.8261091&lt;/D&gt;&lt;D xsi:type="xsd:double"&gt;0.5717785&lt;/D&gt;&lt;D xsi:type="xsd:double"&gt;-0.8164276&lt;/D&gt;&lt;D xsi:type="xsd:double"&gt;-0.6160369&lt;/D&gt;&lt;D xsi:type="xsd:double"&gt;-0.8833575&lt;/D&gt;&lt;D xsi:type="xsd:double"&gt;0.6354021&lt;/D&gt;&lt;D xsi:type="xsd:double"&gt;-0.63653183&lt;/D&gt;&lt;D xsi:type="xsd:double"&gt;-0.30097327&lt;/D&gt;&lt;D xsi:type="xsd:double"&gt;-0.40673313&lt;/D&gt;&lt;D xsi:type="xsd:double"&gt;-0.8373897&lt;/D&gt;&lt;D xsi:type="xsd:double"&gt;-0.3266888&lt;/D&gt;&lt;D xsi:type="xsd:double"&gt;-0.7731323&lt;/D&gt;&lt;D xsi:type="xsd:double"&gt;0.84843737&lt;/D&gt;&lt;D xsi:type="xsd:double"&gt;-0.36764657&lt;/D&gt;&lt;D xsi:type="xsd:double"&gt;0.8470929&lt;/D&gt;&lt;D xsi:type="xsd:double"&gt;0.050192963&lt;/D&gt;&lt;D xsi:type="xsd:double"&gt;0.872494&lt;/D&gt;&lt;D xsi:type="xsd:double"&gt;-0.7056328&lt;/D&gt;&lt;D xsi:type="xsd:double"&gt;0.110434815&lt;/D&gt;&lt;D xsi:type="xsd:double"&gt;0.87361133&lt;/D&gt;&lt;D xsi:type="xsd:double"&gt;-0.83651876&lt;/D&gt;&lt;D xsi:type="xsd:double"&gt;0.09125891&lt;/D&gt;&lt;D xsi:type="xsd:double"&gt;-0.81179214&lt;/D&gt;&lt;D xsi:type="xsd:double"&gt;0.4101903&lt;/D&gt;&lt;D xsi:type="xsd:double"&gt;0.66005063&lt;/D&gt;&lt;D xsi:type="xsd:double"&gt;-0.83204734&lt;/D&gt;&lt;D xsi:type="xsd:double"&gt;-0.80147713&lt;/D&gt;&lt;D xsi:type="xsd:double"&gt;-0.3205554&lt;/D&gt;&lt;D xsi:type="xsd:double"&gt;-0.70767075&lt;/D&gt;&lt;D xsi:type="xsd:double"&gt;0.5140928&lt;/D&gt;&lt;D xsi:type="xsd:double"&gt;-0.8521096&lt;/D&gt;&lt;D xsi:type="xsd:double"&gt;-0.84567297&lt;/D&gt;&lt;D xsi:type="xsd:double"&gt;-0.8851403&lt;/D&gt;&lt;D xsi:type="xsd:double"&gt;-0.83605886&lt;/D&gt;&lt;D xsi:type="xsd:double"&gt;0.5924904&lt;/D&gt;&lt;D xsi:type="xsd:double"&gt;0.03569471&lt;/D&gt;&lt;D xsi:type="xsd:double"&gt;-0.33403778&lt;/D&gt;&lt;D xsi:type="xsd:double"&gt;-0.75061494&lt;/D&gt;&lt;D xsi:type="xsd:double"&gt;-0.8293146&lt;/D&gt;&lt;D xsi:type="xsd:double"&gt;-0.1380997&lt;/D&gt;&lt;D xsi:type="xsd:double"&gt;0.44637495&lt;/D&gt;&lt;D xsi:type="xsd:double"&gt;-0.86207247&lt;/D&gt;&lt;D xsi:type="xsd:double"&gt;-0.50749916&lt;/D&gt;&lt;D xsi:type="xsd:double"&gt;-0.63042474&lt;/D&gt;&lt;D xsi:type="xsd:double"&gt;1&lt;/D&gt;&lt;D xsi:type="xsd:double"&gt;0.6317247&lt;/D&gt;&lt;D xsi:type="xsd:double"&gt;0.88342303&lt;/D&gt;&lt;D xsi:type="xsd:double"&gt;-0.17021926&lt;/D&gt;&lt;D xsi:type="xsd:double"&gt;-0.3493297&lt;/D&gt;&lt;D xsi:type="xsd:double"&gt;-0.2620837&lt;/D&gt;&lt;D xsi:type="xsd:double"&gt;-0.63626486&lt;/D&gt;&lt;D xsi:type="xsd:double"&gt;0.04103341&lt;/D&gt;&lt;D xsi:type="xsd:double"&gt;-0.38606066&lt;/D&gt;&lt;D xsi:type="xsd:double"&gt;-0.42918554&lt;/D&gt;&lt;D xsi:type="xsd:double"&gt;-0.6189347&lt;/D&gt;&lt;D xsi:type="xsd:double"&gt;0.5797285&lt;/D&gt;&lt;D xsi:type="xsd:double"&gt;-0.5171083&lt;/D&gt;&lt;D xsi:type="xsd:double"&gt;-0.62507135&lt;/D&gt;&lt;D xsi:type="xsd:double"&gt;0.16343242&lt;/D&gt;&lt;D xsi:type="xsd:double"&gt;-0.6689905&lt;/D&gt;&lt;D xsi:type="xsd:double"&gt;0.7050462&lt;/D&gt;&lt;D xsi:type="xsd:double"&gt;-0.5264709&lt;/D&gt;&lt;D xsi:type="xsd:double"&gt;-0.6049227&lt;/D&gt;&lt;D xsi:type="xsd:double"&gt;-0.6085396&lt;/D&gt;&lt;D xsi:type="xsd:double"&gt;0.5697465&lt;/D&gt;&lt;D xsi:type="xsd:double"&gt;-0.41975597&lt;/D&gt;&lt;D xsi:type="xsd:double"&gt;-0.16867112&lt;/D&gt;&lt;D xsi:type="xsd:double"&gt;-0.3094987&lt;/D&gt;&lt;D xsi:type="xsd:double"&gt;-0.42921036&lt;/D&gt;&lt;D xsi:type="xsd:double"&gt;-0.42230916&lt;/D&gt;&lt;D xsi:type="xsd:double"&gt;-0.58044183&lt;/D&gt;&lt;D xsi:type="xsd:double"&gt;0.72051734&lt;/D&gt;&lt;D xsi:type="xsd:double"&gt;-0.13101065&lt;/D&gt;&lt;D</t>
        </r>
      </text>
    </comment>
    <comment ref="A6" authorId="0" shapeId="0" xr:uid="{5EB97E49-E996-4730-B9BF-122D6F5CC6B3}">
      <text>
        <r>
          <rPr>
            <b/>
            <sz val="9"/>
            <color indexed="81"/>
            <rFont val="Tahoma"/>
            <charset val="1"/>
          </rPr>
          <t xml:space="preserve"> xsi:type="xsd:double"&gt;0.70387024&lt;/D&gt;&lt;D xsi:type="xsd:double"&gt;0.005514894&lt;/D&gt;&lt;D xsi:type="xsd:double"&gt;0.69603765&lt;/D&gt;&lt;D xsi:type="xsd:double"&gt;-0.23411672&lt;/D&gt;&lt;D xsi:type="xsd:double"&gt;0.35965157&lt;/D&gt;&lt;D xsi:type="xsd:double"&gt;0.63437945&lt;/D&gt;&lt;D xsi:type="xsd:double"&gt;-0.67583054&lt;/D&gt;&lt;D xsi:type="xsd:double"&gt;0.24993648&lt;/D&gt;&lt;D xsi:type="xsd:double"&gt;-0.6445596&lt;/D&gt;&lt;D xsi:type="xsd:double"&gt;0.29929626&lt;/D&gt;&lt;D xsi:type="xsd:double"&gt;0.71555716&lt;/D&gt;&lt;D xsi:type="xsd:double"&gt;-0.57726383&lt;/D&gt;&lt;D xsi:type="xsd:double"&gt;-0.5550894&lt;/D&gt;&lt;D xsi:type="xsd:double"&gt;-0.028570352&lt;/D&gt;&lt;D xsi:type="xsd:double"&gt;-0.52699846&lt;/D&gt;&lt;D xsi:type="xsd:double"&gt;-0.013685902&lt;/D&gt;&lt;D xsi:type="xsd:double"&gt;-0.6034726&lt;/D&gt;&lt;D xsi:type="xsd:double"&gt;-0.4632259&lt;/D&gt;&lt;D xsi:type="xsd:double"&gt;-0.685196&lt;/D&gt;&lt;D xsi:type="xsd:double"&gt;-0.6914416&lt;/D&gt;&lt;D xsi:type="xsd:double"&gt;0.47800642&lt;/D&gt;&lt;D xsi:type="xsd:double"&gt;-0.12544405&lt;/D&gt;&lt;D xsi:type="xsd:double"&gt;0.012282247&lt;/D&gt;&lt;D xsi:type="xsd:double"&gt;-0.56483245&lt;/D&gt;&lt;D xsi:type="xsd:double"&gt;-0.5502587&lt;/D&gt;&lt;D xsi:type="xsd:double"&gt;0.053686135&lt;/D&gt;&lt;D xsi:type="xsd:double"&gt;0.4915614&lt;/D&gt;&lt;D xsi:type="xsd:double"&gt;-0.51294774&lt;/D&gt;&lt;D xsi:type="xsd:double"&gt;-0.56915915&lt;/D&gt;&lt;D xsi:type="xsd:double"&gt;-0.6627644&lt;/D&gt;&lt;D xsi:type="xsd:double"&gt;0.6317247&lt;/D&gt;&lt;D xsi:type="xsd:double"&gt;1&lt;/D&gt;&lt;D xsi:type="xsd:double"&gt;0.71458006&lt;/D&gt;&lt;D xsi:type="xsd:double"&gt;-0.5563553&lt;/D&gt;&lt;D xsi:type="xsd:double"&gt;-0.41274565&lt;/D&gt;&lt;D xsi:type="xsd:double"&gt;-0.65317917&lt;/D&gt;&lt;D xsi:type="xsd:double"&gt;-0.7604218&lt;/D&gt;&lt;D xsi:type="xsd:double"&gt;-0.04223836&lt;/D&gt;&lt;D xsi:type="xsd:double"&gt;-0.5660361&lt;/D&gt;&lt;D xsi:type="xsd:double"&gt;-0.48413196&lt;/D&gt;&lt;D xsi:type="xsd:double"&gt;-0.8671794&lt;/D&gt;&lt;D xsi:type="xsd:double"&gt;0.79974395&lt;/D&gt;&lt;D xsi:type="xsd:double"&gt;-0.85107934&lt;/D&gt;&lt;D xsi:type="xsd:double"&gt;-0.608524&lt;/D&gt;&lt;D xsi:type="xsd:double"&gt;-0.044200297&lt;/D&gt;&lt;D xsi:type="xsd:double"&gt;-0.8405636&lt;/D&gt;&lt;D xsi:type="xsd:double"&gt;0.719136&lt;/D&gt;&lt;D xsi:type="xsd:double"&gt;-0.82594526&lt;/D&gt;&lt;D xsi:type="xsd:double"&gt;-0.74328756&lt;/D&gt;&lt;D xsi:type="xsd:double"&gt;-0.8991687&lt;/D&gt;&lt;D xsi:type="xsd:double"&gt;0.6516439&lt;/D&gt;&lt;D xsi:type="xsd:double"&gt;-0.5948393&lt;/D&gt;&lt;D xsi:type="xsd:double"&gt;-0.17038502&lt;/D&gt;&lt;D xsi:type="xsd:double"&gt;-0.5077559&lt;/D&gt;&lt;D xsi:type="xsd:double"&gt;-0.6595673&lt;/D&gt;&lt;D xsi:type="xsd:double"&gt;-0.39313972&lt;/D&gt;&lt;D xsi:type="xsd:double"&gt;-0.80243635&lt;/D&gt;&lt;D xsi:type="xsd:double"&gt;0.8083932&lt;/D&gt;&lt;D xsi:type="xsd:double"&gt;-0.3117288&lt;/D&gt;&lt;D xsi:type="xsd:double"&gt;0.89387375&lt;/D&gt;&lt;D xsi:type="xsd:double"&gt;0.025639072&lt;/D&gt;&lt;D xsi:type="xsd:double"&gt;0.86176014&lt;/D&gt;&lt;D xsi:type="xsd:double"&gt;-0.6770213&lt;/D&gt;&lt;D xsi:type="xsd:double"&gt;0.1577623&lt;/D&gt;&lt;D xsi:type="xsd:double"&gt;0.78061056&lt;/D&gt;&lt;D xsi:type="xsd:double"&gt;-0.8736373&lt;/D&gt;&lt;D xsi:type="xsd:double"&gt;0.08246232&lt;/D&gt;&lt;D xsi:type="xsd:double"&gt;-0.88737905&lt;/D&gt;&lt;D xsi:type="xsd:double"&gt;0.43638468&lt;/D&gt;&lt;D xsi:type="xsd:double"&gt;0.82717973&lt;/D&gt;&lt;D xsi:type="xsd:double"&gt;-0.84012085&lt;/D&gt;&lt;D xsi:type="xsd:double"&gt;-0.8208431&lt;/D&gt;&lt;D xsi:type="xsd:double"&gt;-0.2759482&lt;/D&gt;&lt;D xsi:type="xsd:double"&gt;-0.77629143&lt;/D&gt;&lt;D xsi:type="xsd:double"&gt;0.23052351&lt;/D&gt;&lt;D xsi:type="xsd:double"&gt;-0.9301005&lt;/D&gt;&lt;D xsi:type="xsd:double"&gt;-0.73305106&lt;/D&gt;&lt;D xsi:type="xsd:double"&gt;-0.9292012&lt;/D&gt;&lt;D xsi:type="xsd:double"&gt;-0.9072747&lt;/D&gt;&lt;D xsi:type="xsd:double"&gt;0.61863655&lt;/D&gt;&lt;D xsi:type="xsd:double"&gt;-0.092026986&lt;/D&gt;&lt;D xsi:type="xsd:double"&gt;-0.3529476&lt;/D&gt;&lt;D xsi:type="xsd:double"&gt;-0.84829533&lt;/D&gt;&lt;D xsi:type="xsd:double"&gt;-0.8312193&lt;/D&gt;&lt;D xsi:type="xsd:double"&gt;-0.23086175&lt;/D&gt;&lt;D xsi:type="xsd:double"&gt;0.5821747&lt;/D&gt;&lt;D xsi:type="xsd:double"&gt;-0.86459947&lt;/D&gt;&lt;D xsi:type="xsd:double"&gt;-0.68219626&lt;/D&gt;&lt;D xsi:type="xsd:double"&gt;-0.7828535&lt;/D&gt;&lt;D xsi:type="xsd:double"&gt;0.88342303&lt;/D&gt;&lt;D xsi:type="xsd:double"&gt;0.71458006&lt;/D&gt;&lt;D xsi:type="xsd:double"&gt;1&lt;/D&gt;&lt;/FQL&gt;&lt;FQL&gt;&lt;Q&gt;^IDS&lt;/Q&gt;&lt;R&gt;59&lt;/R&gt;&lt;C&gt;1&lt;/C&gt;&lt;D xsi:type="xsd:string"&gt;ADEN-CH&lt;/D&gt;&lt;D xsi:type="xsd:string"&gt;AAL-GB&lt;/D&gt;&lt;D xsi:type="xsd:string"&gt;914-HK&lt;/D&gt;&lt;D xsi:type="xsd:string"&gt;APTV-US&lt;/D&gt;&lt;D xsi:type="xsd:string"&gt;ATHM-US&lt;/D&gt;&lt;D xsi:type="xsd:string"&gt;9888-HK&lt;/D&gt;&lt;D xsi:type="xsd:string"&gt;BAS-DE&lt;/D&gt;&lt;D xsi:type="xsd:string"&gt;BAYN-DE&lt;/D&gt;&lt;D xsi:type="xsd:string"&gt;BMY-US&lt;/D&gt;&lt;D xsi:type="xsd:string"&gt;BT.A-GB&lt;/D&gt;&lt;D xsi:type="xsd:string"&gt;BRBY-GB&lt;/D&gt;&lt;D xsi:type="xsd:string"&gt;CA-FR&lt;/D&gt;&lt;D xsi:type="xsd:string"&gt;CON-DE&lt;/D&gt;&lt;D xsi:type="xsd:string"&gt;4324-JP&lt;/D&gt;&lt;D xsi:type="xsd:string"&gt;ENI-IT&lt;/D&gt;&lt;D xsi:type="xsd:string"&gt;GSK-GB&lt;/D&gt;&lt;D xsi:type="xsd:string"&gt;4544-JP&lt;/D&gt;&lt;D xsi:type="xsd:string"&gt;HAL-US&lt;/D&gt;&lt;D xsi:type="xsd:string"&gt;161390-KR&lt;/D&gt;&lt;D xsi:type="xsd:string"&gt;HPE-US&lt;/D&gt;&lt;D xsi:type="xsd:string"&gt;INTC-US&lt;/D&gt;&lt;D xsi:type="xsd:string"&gt;105560-KR&lt;/D&gt;&lt;D xsi:type="xsd:string"&gt;KER-FR&lt;/D&gt;&lt;D xsi:type="xsd:string"&gt;AD-NL&lt;/D&gt;&lt;D xsi:type="xsd:string"&gt;KHC-US&lt;/D&gt;&lt;D xsi:type="xsd:string"&gt;LEA-US&lt;/D&gt;&lt;D xsi:type="xsd:string"&gt;LYB-US&lt;/D&gt;&lt;D xsi:type="xsd:string"&gt;M-US&lt;/D&gt;&lt;D xsi:type="xsd:string"&gt;MAN-US&lt;/D&gt;&lt;D xsi:type="xsd:string"&gt;7459-JP&lt;/D&gt;&lt;D xsi:type="xsd:string"&gt;MHK-US&lt;/D&gt;&lt;D xsi:type="xsd:string"&gt;TAP-US&lt;/D&gt;&lt;D xsi:type="xsd:string"&gt;NWG-GB&lt;/D&gt;&lt;D xsi:type="xsd:string"&gt;7731-JP&lt;/D&gt;&lt;D xsi:type="xsd:string"&gt;9404-JP&lt;/D&gt;&lt;D xsi:type="xsd:string"&gt;PFE-US&lt;/D&gt;&lt;D xsi:type="xsd:string"&gt;PUM-DE&lt;/D&gt;&lt;D xsi:type="xsd:string"&gt;REP-ES&lt;/D&gt;&lt;D xsi:type="xsd:string"&gt;6963-JP&lt;/D&gt;&lt;D xsi:type="xsd:string"&gt;SBH-US&lt;/D&gt;&lt;D xsi:type="xsd:string"&gt;005935-KR&lt;/D&gt;&lt;D xsi:type="xsd:string"&gt;SAN-FR&lt;/D&gt;&lt;D xsi:type="xsd:string"&gt;SESG-FR&lt;/D&gt;&lt;D xsi:type="xsd:string"&gt;055550-KR&lt;/D&gt;&lt;D xsi:type="xsd:string"&gt;GLE-FR&lt;/D&gt;&lt;D xsi:type="xsd:string"&gt;STAN-GB&lt;/D&gt;&lt;D xsi:type="xsd:string"&gt;SWK-US&lt;/D&gt;&lt;D xsi:type="xsd:string"&gt;UHR-CH&lt;/D&gt;&lt;D xsi:type="xsd:string"&gt;TX-US&lt;/D&gt;&lt;D xsi:type="xsd:string"&gt;6995-JP&lt;/D&gt;&lt;D xsi:type="xsd:string"&gt;VAL-ZA&lt;/D&gt;&lt;D xsi:type="xsd:string"&gt;VZ-US&lt;/D&gt;&lt;D xsi:type="xsd:string"&gt;VTRS-US&lt;/D&gt;&lt;D xsi:type="xsd:string"&gt;VOD-GB&lt;/D&gt;&lt;D xsi:type="xsd:string"&gt;VOW3-DE&lt;/D&gt;&lt;D xsi:type="xsd:string"&gt;WBA-US&lt;/D&gt;&lt;D xsi:type="xsd:string"&gt;WU-US&lt;/D&gt;&lt;D xsi:type="xsd:string"&gt;WLY-US&lt;/D&gt;&lt;D xsi:type="xsd:string"&gt;WPP-GB&lt;/D&gt;&lt;/FQL&gt;&lt;FQL&gt;&lt;Q&gt;DUMMY^FLOAT_ARRAY CORRELMATRIX=GET_FQL_ARRAY(IDS,'FG_PRICE(45961,45961-1AY,D,USD)');'FDS CODE - DO NOT DELETE'&lt;/Q&gt;&lt;R&gt;1&lt;/R&gt;&lt;C&gt;1&lt;/C&gt;&lt;D xsi:type="xsd:string"&gt;FDS CODE - DO NOT DELETE&lt;/D&gt;&lt;/FQL&gt;&lt;FQL&gt;&lt;Q&gt;DUMMY^STRING_ARRAY IDS=TICKER_LIST('ADEN-CH AAL-GB 914-HK APTV-US ATHM-US 9888-HK BAS-DE BAYN-DE BMY-US BT.A-GB BRBY-GB CA-FR CON-DE 4324-JP ENI-IT GSK-GB 4544-JP HAL-US 161390-KR HPE-US INTC-US 105560-KR KER-FR AD-NL KHC-US LEA-US LYB-US M-US MAN-US 7459-JP MHK-US TAP-US NWG-GB 7731-JP 9404-JP PFE-US PUM-DE REP-ES 6963-JP SBH-US 005935-KR SAN-FR SESG-FR 055550-KR GLE-FR STAN-GB SWK-US UHR-CH TX-US 6995-JP VAL-ZA VZ-US VTRS-US VOD-GB VOW3-DE WBA-US WU-US WLY-US WPP-GB');"FDS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10/31/2025:&lt;/D&gt;&lt;/FQL&gt;&lt;FQL&gt;&lt;Q&gt;ADEN-CH^FG_COMPANY_NAME&lt;/Q&gt;&lt;R&gt;1&lt;/R&gt;&lt;C&gt;1&lt;/C&gt;&lt;D xsi:type="xsd:string"&gt;Adecco Group AG&lt;/D&gt;&lt;/FQL&gt;&lt;FQL&gt;&lt;Q&gt;AAL-GB^FG_COMPANY_NAME&lt;/Q&gt;&lt;R&gt;1&lt;/R&gt;&lt;C&gt;1&lt;/C&gt;&lt;D xsi:type="xsd:string"&gt;Anglo American plc&lt;/D&gt;&lt;/FQL&gt;&lt;FQL&gt;&lt;Q&gt;914-HK^FG_COMPANY_NAME&lt;/Q&gt;&lt;R&gt;1&lt;/R&gt;&lt;C&gt;1&lt;/C&gt;&lt;D xsi:type="xsd:string"&gt;Anhui Conch Cement Company Limited Class H&lt;/D&gt;&lt;/FQL&gt;&lt;FQL&gt;&lt;Q&gt;APTV-US^FG_COMPANY_NAME&lt;/Q&gt;&lt;R&gt;1&lt;/R&gt;&lt;C&gt;1&lt;/C&gt;&lt;D xsi:type="xsd:string"&gt;Aptiv PLC&lt;/D&gt;&lt;/FQL&gt;&lt;FQL&gt;&lt;Q&gt;ATHM-US^FG_COMPANY_NAME&lt;/Q&gt;&lt;R&gt;1&lt;/R&gt;&lt;C&gt;1&lt;/C&gt;&lt;D xsi:type="xsd:string"&gt;Autohome Inc. Sponsored ADR Class A&lt;/D&gt;&lt;/FQL&gt;&lt;FQL&gt;&lt;Q&gt;9888-HK^FG_COMPANY_NAME&lt;/Q&gt;&lt;R&gt;1&lt;/R&gt;&lt;C&gt;1&lt;/C&gt;&lt;D xsi:type="xsd:string"&gt;Baidu, Inc. Class A&lt;/D&gt;&lt;/FQL&gt;&lt;FQL&gt;&lt;Q&gt;BAS-DE^FG_COMPANY_NAME&lt;/Q&gt;&lt;R&gt;1&lt;/R&gt;&lt;C&gt;1&lt;/C&gt;&lt;D xsi:type="xsd:string"&gt;BASF SE&lt;/D&gt;&lt;/FQL&gt;&lt;FQL&gt;&lt;Q&gt;BAYN-DE^FG_COMPANY_NAME&lt;/Q&gt;&lt;R&gt;1&lt;/R&gt;&lt;C&gt;1&lt;/C&gt;&lt;D xsi:type="xsd:string"&gt;Bayer AG&lt;/D&gt;&lt;/FQL&gt;&lt;FQL&gt;&lt;Q&gt;BMY-US^FG_COMPANY_NAME&lt;/Q&gt;&lt;R&gt;1&lt;/R&gt;&lt;C&gt;1&lt;/C&gt;&lt;D xsi:type="xsd:string"&gt;Bristol-Myers Squibb Company&lt;/D&gt;&lt;/FQL&gt;&lt;FQL&gt;&lt;Q&gt;BT.A-GB^FG_COMPANY_NAME&lt;/Q&gt;&lt;R&gt;1&lt;/R&gt;&lt;C&gt;1&lt;/C&gt;&lt;D xsi:type="xsd:string"&gt;BT Group plc&lt;/D&gt;&lt;/FQL&gt;&lt;FQL&gt;&lt;Q&gt;BRBY-GB^FG_COMPANY_NAME&lt;/Q&gt;&lt;R&gt;1&lt;/R&gt;&lt;C&gt;1&lt;/C&gt;&lt;D xsi:type="xsd:string"&gt;Burberry Group plc&lt;/D&gt;&lt;/FQL&gt;&lt;FQL&gt;&lt;Q&gt;CA-FR^FG_COMPANY_NAME&lt;/Q&gt;&lt;R&gt;1&lt;/R&gt;&lt;C&gt;1&lt;/C&gt;&lt;D xsi:type="xsd:string"&gt;Carrefour SA&lt;/D&gt;&lt;/FQL&gt;&lt;FQL&gt;&lt;Q&gt;CON-DE^FG_COMPANY_NAME&lt;/Q&gt;&lt;R&gt;1&lt;/R&gt;&lt;C&gt;1&lt;/C&gt;&lt;D xsi:type="xsd:string"&gt;Continental AG&lt;/D&gt;&lt;/FQL&gt;&lt;FQL&gt;&lt;Q&gt;4324-JP^FG_COMPANY_NAME&lt;/Q&gt;&lt;R&gt;1&lt;/R&gt;&lt;C&gt;1&lt;/C&gt;&lt;D xsi:type="xsd:string"&gt;Dentsu Group Inc.&lt;/D&gt;&lt;/FQL&gt;&lt;FQL&gt;&lt;Q&gt;ENI-IT^FG_COMPANY_NAME&lt;/Q&gt;&lt;R&gt;1&lt;/R&gt;&lt;C&gt;1&lt;/C&gt;&lt;D xsi:type="xsd:string"&gt;Eni S.p.A.&lt;/D&gt;&lt;/FQL&gt;&lt;FQL&gt;&lt;Q&gt;GSK-GB^FG_COMPANY_NAME&lt;/Q&gt;&lt;R&gt;1&lt;/R&gt;&lt;C&gt;1&lt;/C&gt;&lt;D xsi:type="xsd:string"&gt;GSK plc&lt;/D&gt;&lt;/FQL&gt;&lt;FQL&gt;&lt;Q&gt;4544-JP^FG_COMPANY_NAME&lt;/Q&gt;&lt;R&gt;1&lt;/R&gt;&lt;C&gt;1&lt;/C&gt;&lt;D xsi:type="xsd:string"&gt;H.U.Group Holdings, Inc.&lt;/D&gt;&lt;/FQL&gt;&lt;FQL&gt;&lt;Q&gt;HAL-US^FG_COMPANY_NAME&lt;/Q&gt;&lt;R&gt;1&lt;/R&gt;&lt;C&gt;1&lt;/C&gt;&lt;D xsi:type="xsd:string"&gt;Halliburton Company&lt;/D&gt;&lt;/FQL&gt;&lt;FQL&gt;&lt;Q&gt;161390-KR^FG_COMPANY_NAME&lt;/Q&gt;&lt;R&gt;1&lt;/R&gt;&lt;C&gt;1&lt;/C&gt;&lt;D xsi:type="xsd:string"&gt;HANKOOK TIRE &amp;amp; TECHNOLOGY Co., Ltd.&lt;/D&gt;&lt;/FQL&gt;&lt;FQL&gt;&lt;Q&gt;HPE-US^FG_COMPANY_NAME&lt;/Q&gt;&lt;R&gt;1&lt;/R&gt;&lt;C&gt;1&lt;/C&gt;&lt;D xsi:type="xsd:string"&gt;Hewlett Packard Enterprise Co.&lt;/D&gt;&lt;/FQL&gt;&lt;FQL&gt;&lt;Q&gt;INTC-US^FG_COMPANY_NAME&lt;/Q&gt;&lt;R&gt;1&lt;/R&gt;&lt;C&gt;1&lt;/C&gt;&lt;D xsi:type="xsd:string"&gt;Intel Corporation&lt;/D&gt;&lt;/FQL&gt;&lt;FQL&gt;&lt;Q&gt;105560-KR^FG_COMPANY_NAME&lt;/Q&gt;&lt;R&gt;1&lt;/R&gt;&lt;C&gt;1&lt;/C&gt;&lt;D xsi:type="xsd:string"&gt;KB Financial Group Inc.&lt;/D&gt;&lt;/FQL&gt;&lt;FQL&gt;&lt;Q&gt;KER-FR^FG_COMPANY_NAME&lt;/Q&gt;&lt;R&gt;1&lt;/R&gt;&lt;C&gt;1&lt;/C&gt;&lt;D xsi:type="xsd:string"&gt;Kering SA&lt;/D&gt;&lt;/FQL&gt;&lt;FQL&gt;&lt;Q&gt;AD-NL^FG_COMPANY_NAME&lt;/Q&gt;&lt;R&gt;1&lt;/R&gt;&lt;C&gt;1&lt;/C&gt;&lt;D xsi:type="xsd:string"&gt;Koninklijke Ahold Delhaize N.V.&lt;/D&gt;&lt;/FQL&gt;&lt;FQL&gt;&lt;Q&gt;KHC-US^FG_COMPANY_NAME&lt;/Q&gt;&lt;R&gt;1&lt;/R&gt;&lt;C&gt;1&lt;/C&gt;&lt;D xsi:type="xsd:string"&gt;Kraft Heinz Company&lt;/D&gt;&lt;/FQL&gt;&lt;FQL&gt;&lt;Q&gt;LEA-US^FG_COMPANY_NAME&lt;/Q&gt;&lt;R&gt;1&lt;/R&gt;&lt;C&gt;1&lt;/C&gt;&lt;D xsi:type="xsd:string"&gt;Lear Corporation&lt;/D&gt;&lt;/FQL&gt;&lt;FQL&gt;&lt;Q&gt;LYB-US^FG_COMPANY_NAME&lt;/Q&gt;&lt;R&gt;1&lt;/R&gt;&lt;C&gt;1&lt;/C&gt;&lt;D xsi:type="xsd:string"&gt;LyondellBasell Industries NV&lt;/D&gt;&lt;/FQL&gt;&lt;FQL&gt;&lt;Q&gt;M-US^FG_COMPANY_NAME&lt;/Q&gt;&lt;R&gt;1&lt;/R&gt;&lt;C&gt;1&lt;/C&gt;&lt;D xsi:type="xsd:string"&gt;Macy's, Inc.&lt;/D&gt;&lt;/FQL&gt;&lt;FQL&gt;&lt;Q&gt;MAN-US^FG_COMPANY_NAME&lt;/Q&gt;&lt;R&gt;1&lt;/R&gt;&lt;C&gt;1&lt;/C&gt;&lt;D xsi:type="xsd:string"&gt;ManpowerGroup Inc.&lt;/D&gt;&lt;/FQL&gt;&lt;FQL&gt;&lt;Q&gt;7459-JP^FG_COMPANY_NAME&lt;/Q&gt;&lt;R&gt;1&lt;/R&gt;&lt;C&gt;1&lt;/C&gt;&lt;D xsi:type="xsd:string"&gt;MEDIPAL HOLDINGS Corporation&lt;/D&gt;&lt;/FQL&gt;&lt;FQL&gt;&lt;Q&gt;MHK-US^FG_COMPANY_NAME&lt;/Q&gt;&lt;R&gt;1&lt;/R&gt;&lt;C&gt;1&lt;/C&gt;&lt;D xsi:type="xsd:string"&gt;Mohawk Industries, Inc.&lt;/D&gt;&lt;/FQL&gt;&lt;FQL&gt;&lt;Q&gt;TAP-US^FG_COMPANY_NAME&lt;/Q&gt;&lt;R&gt;1&lt;/R&gt;&lt;C&gt;1&lt;/C&gt;&lt;D xsi:type="xsd:string"&gt;Molson Coors Beverage Company Class B&lt;/D&gt;&lt;/FQL&gt;&lt;FQL&gt;&lt;Q&gt;NWG-GB^FG_COMPANY_NAME&lt;/Q&gt;&lt;R&gt;1&lt;/R&gt;&lt;C&gt;1&lt;/C&gt;&lt;D xsi:type="xsd:string"&gt;NatWest Group Plc&lt;/D&gt;&lt;/FQL&gt;&lt;FQL&gt;&lt;Q&gt;7731-JP^FG_COMPANY_NAME&lt;/Q&gt;&lt;R&gt;1&lt;/R&gt;&lt;C&gt;1&lt;/C&gt;&lt;D xsi:type="xsd:string"&gt;Nikon Corp.&lt;/D&gt;&lt;/FQL&gt;&lt;FQL&gt;&lt;Q&gt;9404-JP^FG_COMPANY_NAME&lt;/Q&gt;&lt;R&gt;1&lt;/R&gt;&lt;C&gt;1&lt;/C&gt;&lt;D xsi:type="xsd:string"&gt;Nippon Television Holdings, Inc.&lt;/D&gt;&lt;/FQL&gt;&lt;FQL&gt;&lt;Q&gt;PFE-US^FG_COMPANY_NAME&lt;/Q&gt;&lt;R&gt;1&lt;/R&gt;&lt;C&gt;1&lt;/C&gt;&lt;D xsi:type="xsd:string"&gt;Pfizer Inc.&lt;/D&gt;&lt;/FQL&gt;&lt;FQL&gt;&lt;Q&gt;PUM-DE^FG_COMPANY_NAME&lt;/Q&gt;&lt;R&gt;1&lt;/R&gt;&lt;C&gt;1&lt;/C&gt;&lt;D xsi:type="xsd:string"&gt;PUMA SE&lt;/D&gt;&lt;/FQL&gt;&lt;FQL&gt;&lt;Q&gt;REP-ES^FG_COMPANY_NAME&lt;/Q&gt;&lt;R&gt;1&lt;/R&gt;&lt;C&gt;1&lt;/C&gt;&lt;D xsi:type="xsd:string"&gt;Repsol SA&lt;/D&gt;&lt;/FQL&gt;&lt;FQL&gt;&lt;Q&gt;6963-JP^FG_COMPANY_NAME&lt;/Q&gt;&lt;R&gt;1&lt;/R&gt;&lt;C&gt;1&lt;/C&gt;&lt;D xsi:type="xsd:string"&gt;ROHM Company Limited&lt;/D&gt;&lt;/FQL&gt;&lt;FQL&gt;&lt;Q&gt;SBH-US^FG_COMPANY_NAME&lt;/Q&gt;&lt;R&gt;1&lt;/R&gt;&lt;C&gt;1&lt;/C&gt;&lt;D xsi:type="xsd:string"&gt;Sally Beauty Holdings, Inc.&lt;/D&gt;&lt;/FQL&gt;&lt;FQL&gt;&lt;Q&gt;005935-KR^FG_COMPANY_NAME&lt;/Q&gt;&lt;R&gt;1&lt;/R&gt;&lt;C&gt;1&lt;/C&gt;&lt;D xsi:type="xsd:string"&gt;Samsung Electronics Co Ltd Pfd  Non-Voting&lt;/D&gt;&lt;/FQL&gt;&lt;FQL&gt;&lt;Q&gt;SAN-FR^FG_COMPANY_NAME&lt;/Q&gt;&lt;R&gt;1&lt;/R&gt;&lt;C&gt;1&lt;/C&gt;&lt;D xsi:type="xsd:string"&gt;Sanofi SA&lt;/D&gt;&lt;/FQL&gt;&lt;FQL&gt;&lt;Q&gt;SESG-FR^FG_COMPANY_NAME&lt;/Q&gt;&lt;R&gt;1&lt;/R&gt;&lt;C&gt;1&lt;/C&gt;&lt;D xsi:type="xsd:string"&gt;SES SA FDR (Class A)&lt;/D&gt;&lt;/FQL&gt;&lt;FQL&gt;&lt;Q&gt;055550-KR^FG_COMPANY_NAME&lt;/Q&gt;&lt;R&gt;1&lt;/R&gt;&lt;C&gt;1&lt;/C&gt;&lt;D xsi:type="xsd:string"&gt;Shinhan Financial Group Co., Ltd.&lt;/D&gt;&lt;/FQL&gt;&lt;FQL&gt;&lt;Q&gt;GLE-FR^FG_COMPANY_NAME&lt;/Q&gt;&lt;R&gt;1&lt;/R&gt;&lt;C&gt;1&lt;/C&gt;&lt;D xsi:type="xsd:string"&gt;Societe Generale S.A. Class A&lt;/D&gt;&lt;/FQL&gt;&lt;FQL&gt;&lt;Q&gt;STAN-GB^FG_COMPANY_NAME&lt;/Q&gt;&lt;R&gt;1&lt;/R&gt;&lt;C&gt;1&lt;/C&gt;&lt;D xsi:type="xsd:string"&gt;Standard Chartered PLC&lt;/D&gt;&lt;/FQL&gt;&lt;FQL&gt;&lt;Q&gt;SWK-US^FG_COMPANY_NAME&lt;/Q&gt;&lt;R&gt;1&lt;/R&gt;&lt;C&gt;1&lt;/C&gt;&lt;D xsi:type="xsd:string"&gt;Stanley Black &amp;amp; Decker, Inc.&lt;/D&gt;&lt;/FQL&gt;&lt;FQL&gt;&lt;Q&gt;UHR-CH^FG_COMPANY_NAME&lt;/Q&gt;&lt;R&gt;1&lt;/R&gt;&lt;C&gt;1&lt;/C&gt;&lt;D xsi:type="xsd:string"&gt;Swatch Group Ltd. Bearer&lt;/D&gt;&lt;/FQL&gt;&lt;FQL&gt;&lt;Q&gt;TX-US^FG_COMPANY_NAME&lt;/Q&gt;&lt;R&gt;1&lt;/R&gt;&lt;C&gt;1&lt;/C&gt;&lt;D xsi:type="xsd:string"&gt;Ternium S.A. Sponsored ADR&lt;/D&gt;&lt;/FQL&gt;&lt;FQL&gt;&lt;Q&gt;6995-JP^FG_COMPANY_NAME&lt;/Q&gt;&lt;R&gt;1&lt;/R&gt;&lt;C&gt;1&lt;/C&gt;&lt;D xsi:type="xsd:string"&gt;TOKAI RIKA CO., LTD.&lt;/D&gt;&lt;/FQL&gt;&lt;FQL&gt;&lt;Q&gt;VAL-ZA^FG_COMPANY_NAME&lt;/Q&gt;&lt;R&gt;1&lt;/R&gt;&lt;C&gt;1&lt;/C&gt;&lt;D xsi:type="xsd:string"&gt;Valterra Platinum Limited&lt;/D&gt;&lt;/FQL&gt;&lt;FQL&gt;&lt;Q&gt;VZ-US^FG_COMPANY_NAME&lt;/Q&gt;&lt;R&gt;1&lt;/R&gt;&lt;C&gt;1&lt;/C&gt;&lt;D xsi:type="xsd:string"&gt;Verizon Communications Inc.&lt;/D&gt;&lt;/FQL&gt;&lt;FQL&gt;&lt;Q&gt;VTRS-US^FG_COMPANY_NAME&lt;/Q&gt;&lt;R&gt;1&lt;/R&gt;&lt;C&gt;1&lt;/C&gt;&lt;D xsi:type="xsd:string"&gt;Viatris, Inc.&lt;/D&gt;&lt;/FQL&gt;&lt;FQL&gt;&lt;Q&gt;VOD-GB^FG_COMPANY_NAME&lt;/Q&gt;&lt;R&gt;1&lt;/R&gt;&lt;C&gt;1&lt;/C&gt;&lt;D xsi:type="xsd:string"&gt;Vodafone Group Public Limited Company&lt;/D&gt;&lt;/FQL&gt;&lt;FQL&gt;&lt;Q&gt;VOW3-DE^FG_COMPANY_NAME&lt;/Q&gt;&lt;R&gt;1&lt;/R&gt;&lt;C&gt;1&lt;/C&gt;&lt;D xsi:type="xsd:string"&gt;Volkswagen AG Pref&lt;/D&gt;&lt;/FQL&gt;&lt;FQL&gt;&lt;Q&gt;WBA-US^FG_COMPANY_NAME&lt;/Q&gt;&lt;R&gt;1&lt;/R&gt;&lt;C&gt;1&lt;/C&gt;&lt;D xsi:type="xsd:string"&gt;Walgreens Boots Alliance, Inc.&lt;/D&gt;&lt;/FQL&gt;&lt;FQL&gt;&lt;Q&gt;WU-US^FG_COMPANY_NAME&lt;/Q&gt;&lt;R&gt;1&lt;/R&gt;&lt;C&gt;1&lt;/C&gt;&lt;D xsi:type="xsd:string"&gt;Western Union Company&lt;/D&gt;&lt;/FQL&gt;&lt;FQL&gt;&lt;Q&gt;WLY-US^FG_COMPANY_NAME&lt;/Q&gt;&lt;R&gt;1&lt;/R&gt;&lt;C&gt;1&lt;/C&gt;&lt;D xsi:type="xsd:string"&gt;John Wiley &amp;amp; Sons, Inc. Class A&lt;/D&gt;&lt;/FQL&gt;&lt;FQL&gt;&lt;Q&gt;WPP-GB^FG_COMPANY_NAME&lt;/Q&gt;&lt;R&gt;1&lt;/R&gt;&lt;C&gt;1&lt;/C&gt;&lt;D xsi:type="xsd:string"&gt;WPP Plc&lt;/D&gt;&lt;/FQL&gt;&lt;/Schema&gt;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<sst xmlns="http://schemas.openxmlformats.org/spreadsheetml/2006/main" count="74" uniqueCount="71">
  <si>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</si>
  <si>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</si>
  <si>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</si>
  <si>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</si>
  <si>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1AY</t>
  </si>
  <si>
    <t>META-US</t>
  </si>
  <si>
    <t>AMZN-US</t>
  </si>
  <si>
    <t>M-US</t>
  </si>
  <si>
    <t>914-HK</t>
  </si>
  <si>
    <t>APTV-US</t>
  </si>
  <si>
    <t>ATHM-US</t>
  </si>
  <si>
    <t>9888-HK</t>
  </si>
  <si>
    <t>BMY-US</t>
  </si>
  <si>
    <t>BT.A-GB</t>
  </si>
  <si>
    <t>ADEN-CH</t>
  </si>
  <si>
    <t>AAL-GB</t>
  </si>
  <si>
    <t>BAS-DE</t>
  </si>
  <si>
    <t>BAYN-DE</t>
  </si>
  <si>
    <t>BRBY-GB</t>
  </si>
  <si>
    <t>CA-FR</t>
  </si>
  <si>
    <t>CON-DE</t>
  </si>
  <si>
    <t>4324-JP</t>
  </si>
  <si>
    <t>ENI-IT</t>
  </si>
  <si>
    <t>GSK-GB</t>
  </si>
  <si>
    <t>4544-JP</t>
  </si>
  <si>
    <t>HAL-US</t>
  </si>
  <si>
    <t>161390-KR</t>
  </si>
  <si>
    <t>HPE-US</t>
  </si>
  <si>
    <t>INTC-US</t>
  </si>
  <si>
    <t>105560-KR</t>
  </si>
  <si>
    <t>KER-FR</t>
  </si>
  <si>
    <t>AD-NL</t>
  </si>
  <si>
    <t>KHC-US</t>
  </si>
  <si>
    <t>LEA-US</t>
  </si>
  <si>
    <t>LYB-US</t>
  </si>
  <si>
    <t>MAN-US</t>
  </si>
  <si>
    <t>7459-JP</t>
  </si>
  <si>
    <t>MHK-US</t>
  </si>
  <si>
    <t>TAP-US</t>
  </si>
  <si>
    <t>NWG-GB</t>
  </si>
  <si>
    <t>7731-JP</t>
  </si>
  <si>
    <t>9404-JP</t>
  </si>
  <si>
    <t>PFE-US</t>
  </si>
  <si>
    <t>PUM-DE</t>
  </si>
  <si>
    <t>REP-ES</t>
  </si>
  <si>
    <t>6963-JP</t>
  </si>
  <si>
    <t>SBH-US</t>
  </si>
  <si>
    <t>005935-KR</t>
  </si>
  <si>
    <t>SAN-FR</t>
  </si>
  <si>
    <t>SESG-FR</t>
  </si>
  <si>
    <t>055550-KR</t>
  </si>
  <si>
    <t>GLE-FR</t>
  </si>
  <si>
    <t>STAN-GB</t>
  </si>
  <si>
    <t>SWK-US</t>
  </si>
  <si>
    <t>UHR-CH</t>
  </si>
  <si>
    <t>TX-US</t>
  </si>
  <si>
    <t>6995-JP</t>
  </si>
  <si>
    <t>VAL-ZA</t>
  </si>
  <si>
    <t>VZ-US</t>
  </si>
  <si>
    <t>VTRS-US</t>
  </si>
  <si>
    <t>VOD-GB</t>
  </si>
  <si>
    <t>VOW3-DE</t>
  </si>
  <si>
    <t>WBA-US</t>
  </si>
  <si>
    <t>WU-US</t>
  </si>
  <si>
    <t>WLY-US</t>
  </si>
  <si>
    <t>WPP-GB</t>
  </si>
  <si>
    <t>Date</t>
  </si>
  <si>
    <t>FactSet</t>
  </si>
  <si>
    <t>Excel</t>
  </si>
  <si>
    <t>Pearson</t>
  </si>
  <si>
    <t xml:space="preserve">Correlation Matrix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</si>
</sst>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6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opLeftCell="A15" zoomScale="70" zoomScaleNormal="70" workbookViewId="0"/>
  </sheetViews>
  <sheetFormatPr defaultColWidth="11" defaultRowHeight="15" x14ac:dyDescent="0.25"/>
  <sheetData>
    <row r="1" spans="1:81" ht="21" x14ac:dyDescent="0.35">
      <c r="A1" s="12" t="s">
        <v>70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Adecco Group AG</v>
      </c>
      <c r="C3" s="4" t="str">
        <f>IF(Backend!D29="", "", Backend!D29)</f>
        <v>Anglo American plc</v>
      </c>
      <c r="D3" s="4" t="str">
        <f>IF(Backend!E29="", "", Backend!E29)</f>
        <v>Anhui Conch Cement Company Limited Class H</v>
      </c>
      <c r="E3" s="4" t="str">
        <f>IF(Backend!F29="", "", Backend!F29)</f>
        <v>Aptiv PLC</v>
      </c>
      <c r="F3" s="4" t="str">
        <f>IF(Backend!G29="", "", Backend!G29)</f>
        <v>Autohome Inc. Sponsored ADR Class A</v>
      </c>
      <c r="G3" s="4" t="str">
        <f>IF(Backend!H29="", "", Backend!H29)</f>
        <v>Baidu, Inc. Class A</v>
      </c>
      <c r="H3" s="4" t="str">
        <f>IF(Backend!I29="", "", Backend!I29)</f>
        <v>BASF SE</v>
      </c>
      <c r="I3" s="4" t="str">
        <f>IF(Backend!J29="", "", Backend!J29)</f>
        <v>Bayer AG</v>
      </c>
      <c r="J3" s="4" t="str">
        <f>IF(Backend!K29="", "", Backend!K29)</f>
        <v>Bristol-Myers Squibb Company</v>
      </c>
      <c r="K3" s="4" t="str">
        <f>IF(Backend!L29="", "", Backend!L29)</f>
        <v>BT Group plc</v>
      </c>
      <c r="L3" s="4" t="str">
        <f>IF(Backend!M29="", "", Backend!M29)</f>
        <v>Burberry Group plc</v>
      </c>
      <c r="M3" s="4" t="str">
        <f>IF(Backend!N29="", "", Backend!N29)</f>
        <v>Carrefour SA</v>
      </c>
      <c r="N3" s="4" t="str">
        <f>IF(Backend!O29="", "", Backend!O29)</f>
        <v>Continental AG</v>
      </c>
      <c r="O3" s="4" t="str">
        <f>IF(Backend!P29="", "", Backend!P29)</f>
        <v>Dentsu Group Inc.</v>
      </c>
      <c r="P3" s="4" t="str">
        <f>IF(Backend!Q29="", "", Backend!Q29)</f>
        <v>Eni S.p.A.</v>
      </c>
      <c r="Q3" s="4" t="str">
        <f>IF(Backend!R29="", "", Backend!R29)</f>
        <v>GSK plc</v>
      </c>
      <c r="R3" s="4" t="str">
        <f>IF(Backend!S29="", "", Backend!S29)</f>
        <v>H.U.Group Holdings, Inc.</v>
      </c>
      <c r="S3" s="4" t="str">
        <f>IF(Backend!T29="", "", Backend!T29)</f>
        <v>Halliburton Company</v>
      </c>
      <c r="T3" s="4" t="str">
        <f>IF(Backend!U29="", "", Backend!U29)</f>
        <v>HANKOOK TIRE &amp; TECHNOLOGY Co., Ltd.</v>
      </c>
      <c r="U3" s="4" t="str">
        <f>IF(Backend!V29="", "", Backend!V29)</f>
        <v>Hewlett Packard Enterprise Co.</v>
      </c>
      <c r="V3" s="4" t="str">
        <f>IF(Backend!W29="", "", Backend!W29)</f>
        <v>Intel Corporation</v>
      </c>
      <c r="W3" s="4" t="str">
        <f>IF(Backend!X29="", "", Backend!X29)</f>
        <v>KB Financial Group Inc.</v>
      </c>
      <c r="X3" s="4" t="str">
        <f>IF(Backend!Y29="", "", Backend!Y29)</f>
        <v>Kering SA</v>
      </c>
      <c r="Y3" s="4" t="str">
        <f>IF(Backend!Z29="", "", Backend!Z29)</f>
        <v>Koninklijke Ahold Delhaize N.V.</v>
      </c>
      <c r="Z3" s="4" t="str">
        <f>IF(Backend!AA29="", "", Backend!AA29)</f>
        <v>Kraft Heinz Company</v>
      </c>
      <c r="AA3" s="4" t="str">
        <f>IF(Backend!AB29="", "", Backend!AB29)</f>
        <v>Lear Corporation</v>
      </c>
      <c r="AB3" s="4" t="str">
        <f>IF(Backend!AC29="", "", Backend!AC29)</f>
        <v>LyondellBasell Industries NV</v>
      </c>
      <c r="AC3" s="4" t="str">
        <f>IF(Backend!AD29="", "", Backend!AD29)</f>
        <v>Macy's, Inc.</v>
      </c>
      <c r="AD3" s="4" t="str">
        <f>IF(Backend!AE29="", "", Backend!AE29)</f>
        <v>ManpowerGroup Inc.</v>
      </c>
      <c r="AE3" s="4" t="str">
        <f>IF(Backend!AF29="", "", Backend!AF29)</f>
        <v>MEDIPAL HOLDINGS Corporation</v>
      </c>
      <c r="AF3" s="4" t="str">
        <f>IF(Backend!AG29="", "", Backend!AG29)</f>
        <v>Mohawk Industries, Inc.</v>
      </c>
      <c r="AG3" s="4" t="str">
        <f>IF(Backend!AH29="", "", Backend!AH29)</f>
        <v>Molson Coors Beverage Company Class B</v>
      </c>
      <c r="AH3" s="4" t="str">
        <f>IF(Backend!AI29="", "", Backend!AI29)</f>
        <v>NatWest Group Plc</v>
      </c>
      <c r="AI3" s="4" t="str">
        <f>IF(Backend!AJ29="", "", Backend!AJ29)</f>
        <v>Nikon Corp.</v>
      </c>
      <c r="AJ3" s="4" t="str">
        <f>IF(Backend!AK29="", "", Backend!AK29)</f>
        <v>Nippon Television Holdings, Inc.</v>
      </c>
      <c r="AK3" s="4" t="str">
        <f>IF(Backend!AL29="", "", Backend!AL29)</f>
        <v>Pfizer Inc.</v>
      </c>
      <c r="AL3" s="4" t="str">
        <f>IF(Backend!AM29="", "", Backend!AM29)</f>
        <v>PUMA SE</v>
      </c>
      <c r="AM3" s="4" t="str">
        <f>IF(Backend!AN29="", "", Backend!AN29)</f>
        <v>Repsol SA</v>
      </c>
      <c r="AN3" s="4" t="str">
        <f>IF(Backend!AO29="", "", Backend!AO29)</f>
        <v>ROHM Company Limited</v>
      </c>
      <c r="AO3" s="4" t="str">
        <f>IF(Backend!AP29="", "", Backend!AP29)</f>
        <v>Sally Beauty Holdings, Inc.</v>
      </c>
      <c r="AP3" s="4" t="str">
        <f>IF(Backend!AQ29="", "", Backend!AQ29)</f>
        <v>Samsung Electronics Co Ltd Pfd  Non-Voting</v>
      </c>
      <c r="AQ3" s="4" t="str">
        <f>IF(Backend!AR29="", "", Backend!AR29)</f>
        <v>Sanofi SA</v>
      </c>
      <c r="AR3" s="4" t="str">
        <f>IF(Backend!AS29="", "", Backend!AS29)</f>
        <v>SES SA FDR (Class A)</v>
      </c>
      <c r="AS3" s="4" t="str">
        <f>IF(Backend!AT29="", "", Backend!AT29)</f>
        <v>Shinhan Financial Group Co., Ltd.</v>
      </c>
      <c r="AT3" s="4" t="str">
        <f>IF(Backend!AU29="", "", Backend!AU29)</f>
        <v>Societe Generale S.A. Class A</v>
      </c>
      <c r="AU3" s="4" t="str">
        <f>IF(Backend!AV29="", "", Backend!AV29)</f>
        <v>Standard Chartered PLC</v>
      </c>
      <c r="AV3" s="4" t="str">
        <f>IF(Backend!AW29="", "", Backend!AW29)</f>
        <v>Stanley Black &amp; Decker, Inc.</v>
      </c>
      <c r="AW3" s="4" t="str">
        <f>IF(Backend!AX29="", "", Backend!AX29)</f>
        <v>Swatch Group Ltd. Bearer</v>
      </c>
      <c r="AX3" s="4" t="str">
        <f>IF(Backend!AY29="", "", Backend!AY29)</f>
        <v>Ternium S.A. Sponsored ADR</v>
      </c>
      <c r="AY3" s="4" t="str">
        <f>IF(Backend!AZ29="", "", Backend!AZ29)</f>
        <v>TOKAI RIKA CO., LTD.</v>
      </c>
      <c r="AZ3" s="4" t="str">
        <f>IF(Backend!BA29="", "", Backend!BA29)</f>
        <v>Valterra Platinum Limited</v>
      </c>
      <c r="BA3" s="4" t="str">
        <f>IF(Backend!BB29="", "", Backend!BB29)</f>
        <v>Verizon Communications Inc.</v>
      </c>
      <c r="BB3" s="4" t="str">
        <f>IF(Backend!BC29="", "", Backend!BC29)</f>
        <v>Viatris, Inc.</v>
      </c>
      <c r="BC3" s="4" t="str">
        <f>IF(Backend!BD29="", "", Backend!BD29)</f>
        <v>Vodafone Group Public Limited Company</v>
      </c>
      <c r="BD3" s="4" t="str">
        <f>IF(Backend!BE29="", "", Backend!BE29)</f>
        <v>Volkswagen AG Pref</v>
      </c>
      <c r="BE3" s="4" t="str">
        <f>IF(Backend!BF29="", "", Backend!BF29)</f>
        <v>Walgreens Boots Alliance, Inc.</v>
      </c>
      <c r="BF3" s="4" t="str">
        <f>IF(Backend!BG29="", "", Backend!BG29)</f>
        <v>Western Union Company</v>
      </c>
      <c r="BG3" s="4" t="str">
        <f>IF(Backend!BH29="", "", Backend!BH29)</f>
        <v>John Wiley &amp; Sons, Inc. Class A</v>
      </c>
      <c r="BH3" s="4" t="str">
        <f>IF(Backend!BI29="", "", Backend!BI29)</f>
        <v>WPP Plc</v>
      </c>
      <c r="BI3" s="4" t="str">
        <f>IF(Backend!BJ30="", "", Backend!BJ30)</f>
        <v/>
      </c>
      <c r="BJ3" s="4" t="str">
        <f>IF(Backend!BK30="", "", Backend!BK30)</f>
        <v/>
      </c>
      <c r="BK3" s="4" t="str">
        <f>IF(Backend!BL30="", "", Backend!BL30)</f>
        <v/>
      </c>
      <c r="BL3" s="4" t="str">
        <f>IF(Backend!BM30="", "", Backend!BM30)</f>
        <v/>
      </c>
      <c r="BM3" s="4" t="str">
        <f>IF(Backend!BN30="", "", Backend!BN30)</f>
        <v/>
      </c>
      <c r="BN3" s="4" t="str">
        <f>IF(Backend!BO30="", "", Backend!BO30)</f>
        <v/>
      </c>
      <c r="BO3" s="4" t="str">
        <f>IF(Backend!BP30="", "", Backend!BP30)</f>
        <v/>
      </c>
      <c r="BP3" s="4" t="str">
        <f>IF(Backend!BQ30="", "", Backend!BQ30)</f>
        <v/>
      </c>
      <c r="BQ3" s="4" t="str">
        <f>IF(Backend!BR30="", "", Backend!BR30)</f>
        <v/>
      </c>
      <c r="BR3" s="4" t="str">
        <f>IF(Backend!BS30="", "", Backend!BS30)</f>
        <v/>
      </c>
      <c r="BS3" s="4" t="str">
        <f>IF(Backend!BT30="", "", Backend!BT30)</f>
        <v/>
      </c>
      <c r="BT3" s="4" t="str">
        <f>IF(Backend!BU30="", "", Backend!BU30)</f>
        <v/>
      </c>
      <c r="BU3" s="4" t="str">
        <f>IF(Backend!BV30="", "", Backend!BV30)</f>
        <v/>
      </c>
      <c r="BV3" s="4" t="str">
        <f>IF(Backend!BW30="", "", Backend!BW30)</f>
        <v/>
      </c>
      <c r="BW3" s="4" t="str">
        <f>IF(Backend!BX30="", "", Backend!BX30)</f>
        <v/>
      </c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Adecco Group AG</v>
      </c>
      <c r="B4">
        <f>IF(Backend!C31="", "", Backend!C31)</f>
        <v>1</v>
      </c>
      <c r="C4">
        <f>IF(Backend!D31="", "", Backend!D31)</f>
        <v>0.11517693</v>
      </c>
      <c r="D4">
        <f>IF(Backend!E31="", "", Backend!E31)</f>
        <v>0.54925953999999999</v>
      </c>
      <c r="E4">
        <f>IF(Backend!F31="", "", Backend!F31)</f>
        <v>0.36510189999999998</v>
      </c>
      <c r="F4">
        <f>IF(Backend!G31="", "", Backend!G31)</f>
        <v>0.22372729</v>
      </c>
      <c r="G4">
        <f>IF(Backend!H31="", "", Backend!H31)</f>
        <v>0.16270243000000001</v>
      </c>
      <c r="H4">
        <f>IF(Backend!I31="", "", Backend!I31)</f>
        <v>0.51298045999999997</v>
      </c>
      <c r="I4">
        <f>IF(Backend!J31="", "", Backend!J31)</f>
        <v>0.64898480000000003</v>
      </c>
      <c r="J4">
        <f>IF(Backend!K31="", "", Backend!K31)</f>
        <v>-0.38804023999999998</v>
      </c>
      <c r="K4">
        <f>IF(Backend!L31="", "", Backend!L31)</f>
        <v>0.69924350000000002</v>
      </c>
      <c r="L4">
        <f>IF(Backend!M31="", "", Backend!M31)</f>
        <v>0.42390242</v>
      </c>
      <c r="M4">
        <f>IF(Backend!N31="", "", Backend!N31)</f>
        <v>0.14227279000000001</v>
      </c>
      <c r="N4">
        <f>IF(Backend!O31="", "", Backend!O31)</f>
        <v>0.51561623999999995</v>
      </c>
      <c r="O4">
        <f>IF(Backend!P31="", "", Backend!P31)</f>
        <v>-0.41538740000000002</v>
      </c>
      <c r="P4">
        <f>IF(Backend!Q31="", "", Backend!Q31)</f>
        <v>0.63420900000000002</v>
      </c>
      <c r="Q4">
        <f>IF(Backend!R31="", "", Backend!R31)</f>
        <v>0.47997970000000001</v>
      </c>
      <c r="R4">
        <f>IF(Backend!S31="", "", Backend!S31)</f>
        <v>0.57672420000000002</v>
      </c>
      <c r="S4">
        <f>IF(Backend!T31="", "", Backend!T31)</f>
        <v>-0.41630729999999999</v>
      </c>
      <c r="T4">
        <f>IF(Backend!U31="", "", Backend!U31)</f>
        <v>0.60586459999999998</v>
      </c>
      <c r="U4">
        <f>IF(Backend!V31="", "", Backend!V31)</f>
        <v>-9.9834729999999997E-2</v>
      </c>
      <c r="V4">
        <f>IF(Backend!W31="", "", Backend!W31)</f>
        <v>0.19769216000000001</v>
      </c>
      <c r="W4">
        <f>IF(Backend!X31="", "", Backend!X31)</f>
        <v>0.52251999999999998</v>
      </c>
      <c r="X4">
        <f>IF(Backend!Y31="", "", Backend!Y31)</f>
        <v>1.4948568000000001E-2</v>
      </c>
      <c r="Y4">
        <f>IF(Backend!Z31="", "", Backend!Z31)</f>
        <v>0.49905275999999998</v>
      </c>
      <c r="Z4">
        <f>IF(Backend!AA31="", "", Backend!AA31)</f>
        <v>-0.27062148000000003</v>
      </c>
      <c r="AA4">
        <f>IF(Backend!AB31="", "", Backend!AB31)</f>
        <v>0.382218</v>
      </c>
      <c r="AB4">
        <f>IF(Backend!AC31="", "", Backend!AC31)</f>
        <v>-0.37869419999999998</v>
      </c>
      <c r="AC4">
        <f>IF(Backend!AD31="", "", Backend!AD31)</f>
        <v>-0.24426719999999999</v>
      </c>
      <c r="AD4">
        <f>IF(Backend!AE31="", "", Backend!AE31)</f>
        <v>-0.36097731999999999</v>
      </c>
      <c r="AE4">
        <f>IF(Backend!AF31="", "", Backend!AF31)</f>
        <v>0.48184835999999998</v>
      </c>
      <c r="AF4">
        <f>IF(Backend!AG31="", "", Backend!AG31)</f>
        <v>-2.1895339999999999E-2</v>
      </c>
      <c r="AG4">
        <f>IF(Backend!AH31="", "", Backend!AH31)</f>
        <v>-0.32941785000000001</v>
      </c>
      <c r="AH4">
        <f>IF(Backend!AI31="", "", Backend!AI31)</f>
        <v>0.58192485999999999</v>
      </c>
      <c r="AI4">
        <f>IF(Backend!AJ31="", "", Backend!AJ31)</f>
        <v>-0.16960822</v>
      </c>
      <c r="AJ4">
        <f>IF(Backend!AK31="", "", Backend!AK31)</f>
        <v>0.48971609999999999</v>
      </c>
      <c r="AK4">
        <f>IF(Backend!AL31="", "", Backend!AL31)</f>
        <v>-0.113806</v>
      </c>
      <c r="AL4">
        <f>IF(Backend!AM31="", "", Backend!AM31)</f>
        <v>-0.47092624999999999</v>
      </c>
      <c r="AM4">
        <f>IF(Backend!AN31="", "", Backend!AN31)</f>
        <v>0.50738406000000003</v>
      </c>
      <c r="AN4">
        <f>IF(Backend!AO31="", "", Backend!AO31)</f>
        <v>0.56637570000000004</v>
      </c>
      <c r="AO4">
        <f>IF(Backend!AP31="", "", Backend!AP31)</f>
        <v>8.7446034000000006E-2</v>
      </c>
      <c r="AP4">
        <f>IF(Backend!AQ31="", "", Backend!AQ31)</f>
        <v>0.42854799999999998</v>
      </c>
      <c r="AQ4">
        <f>IF(Backend!AR31="", "", Backend!AR31)</f>
        <v>-9.8658250000000003E-2</v>
      </c>
      <c r="AR4">
        <f>IF(Backend!AS31="", "", Backend!AS31)</f>
        <v>0.69242329999999996</v>
      </c>
      <c r="AS4">
        <f>IF(Backend!AT31="", "", Backend!AT31)</f>
        <v>0.54481639999999998</v>
      </c>
      <c r="AT4">
        <f>IF(Backend!AU31="", "", Backend!AU31)</f>
        <v>0.60056936999999999</v>
      </c>
      <c r="AU4">
        <f>IF(Backend!AV31="", "", Backend!AV31)</f>
        <v>0.58446960000000003</v>
      </c>
      <c r="AV4">
        <f>IF(Backend!AW31="", "", Backend!AW31)</f>
        <v>-0.25830947999999998</v>
      </c>
      <c r="AW4">
        <f>IF(Backend!AX31="", "", Backend!AX31)</f>
        <v>6.5919149999999996E-2</v>
      </c>
      <c r="AX4">
        <f>IF(Backend!AY31="", "", Backend!AY31)</f>
        <v>0.40015692000000003</v>
      </c>
      <c r="AY4">
        <f>IF(Backend!AZ31="", "", Backend!AZ31)</f>
        <v>0.51129013000000001</v>
      </c>
      <c r="AZ4">
        <f>IF(Backend!BA31="", "", Backend!BA31)</f>
        <v>0.48768333000000003</v>
      </c>
      <c r="BA4">
        <f>IF(Backend!BB31="", "", Backend!BB31)</f>
        <v>0.49726756999999999</v>
      </c>
      <c r="BB4">
        <f>IF(Backend!BC31="", "", Backend!BC31)</f>
        <v>-0.35247666</v>
      </c>
      <c r="BC4">
        <f>IF(Backend!BD31="", "", Backend!BD31)</f>
        <v>0.67218149999999999</v>
      </c>
      <c r="BD4">
        <f>IF(Backend!BE31="", "", Backend!BE31)</f>
        <v>0.46776813</v>
      </c>
      <c r="BE4">
        <f>IF(Backend!BF31="", "", Backend!BF31)</f>
        <v>0.44539701999999998</v>
      </c>
      <c r="BF4">
        <f>IF(Backend!BG31="", "", Backend!BG31)</f>
        <v>-0.50783940000000005</v>
      </c>
      <c r="BG4">
        <f>IF(Backend!BH31="", "", Backend!BH31)</f>
        <v>-0.17021926000000001</v>
      </c>
      <c r="BH4">
        <f>IF(Backend!BI31="", "", Backend!BI31)</f>
        <v>-0.5563553</v>
      </c>
      <c r="BI4" t="str">
        <f>IF(Backend!BJ31="", "", Backend!BJ31)</f>
        <v/>
      </c>
      <c r="BJ4" t="str">
        <f>IF(Backend!BK31="", "", Backend!BK31)</f>
        <v/>
      </c>
      <c r="BK4" t="str">
        <f>IF(Backend!BL31="", "", Backend!BL31)</f>
        <v/>
      </c>
      <c r="BL4" t="str">
        <f>IF(Backend!BM31="", "", Backend!BM31)</f>
        <v/>
      </c>
      <c r="BM4" t="str">
        <f>IF(Backend!BN31="", "", Backend!BN31)</f>
        <v/>
      </c>
      <c r="BN4" t="str">
        <f>IF(Backend!BO31="", "", Backend!BO31)</f>
        <v/>
      </c>
      <c r="BO4" t="str">
        <f>IF(Backend!BP31="", "", Backend!BP31)</f>
        <v/>
      </c>
      <c r="BP4" t="str">
        <f>IF(Backend!BQ31="", "", Backend!BQ31)</f>
        <v/>
      </c>
      <c r="BQ4" t="str">
        <f>IF(Backend!BR31="", "", Backend!BR31)</f>
        <v/>
      </c>
      <c r="BR4" t="str">
        <f>IF(Backend!BS31="", "", Backend!BS31)</f>
        <v/>
      </c>
      <c r="BS4" t="str">
        <f>IF(Backend!BT31="", "", Backend!BT31)</f>
        <v/>
      </c>
      <c r="BT4" t="str">
        <f>IF(Backend!BU31="", "", Backend!BU31)</f>
        <v/>
      </c>
      <c r="BU4" t="str">
        <f>IF(Backend!BV31="", "", Backend!BV31)</f>
        <v/>
      </c>
      <c r="BV4" t="str">
        <f>IF(Backend!BW31="", "", Backend!BW31)</f>
        <v/>
      </c>
      <c r="BW4" t="str">
        <f>IF(Backend!BX31="", "", Backend!BX31)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Anglo American plc</v>
      </c>
      <c r="B5">
        <f>IF(Backend!C32="", "", Backend!C32)</f>
        <v>0.11517693</v>
      </c>
      <c r="C5">
        <f>IF(Backend!D32="", "", Backend!D32)</f>
        <v>1</v>
      </c>
      <c r="D5">
        <f>IF(Backend!E32="", "", Backend!E32)</f>
        <v>0.43860250000000001</v>
      </c>
      <c r="E5">
        <f>IF(Backend!F32="", "", Backend!F32)</f>
        <v>0.76352626000000001</v>
      </c>
      <c r="F5">
        <f>IF(Backend!G32="", "", Backend!G32)</f>
        <v>0.22419727</v>
      </c>
      <c r="G5">
        <f>IF(Backend!H32="", "", Backend!H32)</f>
        <v>0.81282496000000004</v>
      </c>
      <c r="H5">
        <f>IF(Backend!I32="", "", Backend!I32)</f>
        <v>0.18121446999999999</v>
      </c>
      <c r="I5">
        <f>IF(Backend!J32="", "", Backend!J32)</f>
        <v>0.44586812999999997</v>
      </c>
      <c r="J5">
        <f>IF(Backend!K32="", "", Backend!K32)</f>
        <v>-0.39319658000000002</v>
      </c>
      <c r="K5">
        <f>IF(Backend!L32="", "", Backend!L32)</f>
        <v>0.27003820000000001</v>
      </c>
      <c r="L5">
        <f>IF(Backend!M32="", "", Backend!M32)</f>
        <v>0.54118820000000001</v>
      </c>
      <c r="M5">
        <f>IF(Backend!N32="", "", Backend!N32)</f>
        <v>4.8765019999999999E-2</v>
      </c>
      <c r="N5">
        <f>IF(Backend!O32="", "", Backend!O32)</f>
        <v>0.4387123</v>
      </c>
      <c r="O5">
        <f>IF(Backend!P32="", "", Backend!P32)</f>
        <v>-0.13249712999999999</v>
      </c>
      <c r="P5">
        <f>IF(Backend!Q32="", "", Backend!Q32)</f>
        <v>0.62873159999999995</v>
      </c>
      <c r="Q5">
        <f>IF(Backend!R32="", "", Backend!R32)</f>
        <v>0.64427053999999995</v>
      </c>
      <c r="R5">
        <f>IF(Backend!S32="", "", Backend!S32)</f>
        <v>0.56520987</v>
      </c>
      <c r="S5">
        <f>IF(Backend!T32="", "", Backend!T32)</f>
        <v>0.16264147000000001</v>
      </c>
      <c r="T5">
        <f>IF(Backend!U32="", "", Backend!U32)</f>
        <v>0.15423897</v>
      </c>
      <c r="U5">
        <f>IF(Backend!V32="", "", Backend!V32)</f>
        <v>0.72719440000000002</v>
      </c>
      <c r="V5">
        <f>IF(Backend!W32="", "", Backend!W32)</f>
        <v>0.86265044999999996</v>
      </c>
      <c r="W5">
        <f>IF(Backend!X32="", "", Backend!X32)</f>
        <v>0.53512230000000005</v>
      </c>
      <c r="X5">
        <f>IF(Backend!Y32="", "", Backend!Y32)</f>
        <v>0.88406116000000001</v>
      </c>
      <c r="Y5">
        <f>IF(Backend!Z32="", "", Backend!Z32)</f>
        <v>0.23606125</v>
      </c>
      <c r="Z5">
        <f>IF(Backend!AA32="", "", Backend!AA32)</f>
        <v>-0.46416735999999997</v>
      </c>
      <c r="AA5">
        <f>IF(Backend!AB32="", "", Backend!AB32)</f>
        <v>0.57380580000000003</v>
      </c>
      <c r="AB5">
        <f>IF(Backend!AC32="", "", Backend!AC32)</f>
        <v>-0.37114150000000001</v>
      </c>
      <c r="AC5">
        <f>IF(Backend!AD32="", "", Backend!AD32)</f>
        <v>0.74410799999999999</v>
      </c>
      <c r="AD5">
        <f>IF(Backend!AE32="", "", Backend!AE32)</f>
        <v>-0.38505592999999999</v>
      </c>
      <c r="AE5">
        <f>IF(Backend!AF32="", "", Backend!AF32)</f>
        <v>0.35800943000000002</v>
      </c>
      <c r="AF5">
        <f>IF(Backend!AG32="", "", Backend!AG32)</f>
        <v>0.39987168000000001</v>
      </c>
      <c r="AG5">
        <f>IF(Backend!AH32="", "", Backend!AH32)</f>
        <v>-0.61294585000000001</v>
      </c>
      <c r="AH5">
        <f>IF(Backend!AI32="", "", Backend!AI32)</f>
        <v>0.41195163000000001</v>
      </c>
      <c r="AI5">
        <f>IF(Backend!AJ32="", "", Backend!AJ32)</f>
        <v>0.64069754000000001</v>
      </c>
      <c r="AJ5">
        <f>IF(Backend!AK32="", "", Backend!AK32)</f>
        <v>0.39197427000000001</v>
      </c>
      <c r="AK5">
        <f>IF(Backend!AL32="", "", Backend!AL32)</f>
        <v>0.19385561000000001</v>
      </c>
      <c r="AL5">
        <f>IF(Backend!AM32="", "", Backend!AM32)</f>
        <v>-7.7071920000000002E-2</v>
      </c>
      <c r="AM5">
        <f>IF(Backend!AN32="", "", Backend!AN32)</f>
        <v>0.71369369999999999</v>
      </c>
      <c r="AN5">
        <f>IF(Backend!AO32="", "", Backend!AO32)</f>
        <v>0.71704489999999999</v>
      </c>
      <c r="AO5">
        <f>IF(Backend!AP32="", "", Backend!AP32)</f>
        <v>0.75275623999999997</v>
      </c>
      <c r="AP5">
        <f>IF(Backend!AQ32="", "", Backend!AQ32)</f>
        <v>0.79123706000000005</v>
      </c>
      <c r="AQ5">
        <f>IF(Backend!AR32="", "", Backend!AR32)</f>
        <v>-0.21771494999999999</v>
      </c>
      <c r="AR5">
        <f>IF(Backend!AS32="", "", Backend!AS32)</f>
        <v>0.39697787000000001</v>
      </c>
      <c r="AS5">
        <f>IF(Backend!AT32="", "", Backend!AT32)</f>
        <v>0.60939370000000004</v>
      </c>
      <c r="AT5">
        <f>IF(Backend!AU32="", "", Backend!AU32)</f>
        <v>0.38012966999999998</v>
      </c>
      <c r="AU5">
        <f>IF(Backend!AV32="", "", Backend!AV32)</f>
        <v>0.60275906000000001</v>
      </c>
      <c r="AV5">
        <f>IF(Backend!AW32="", "", Backend!AW32)</f>
        <v>9.1057144000000007E-2</v>
      </c>
      <c r="AW5">
        <f>IF(Backend!AX32="", "", Backend!AX32)</f>
        <v>0.72487056000000005</v>
      </c>
      <c r="AX5">
        <f>IF(Backend!AY32="", "", Backend!AY32)</f>
        <v>0.75392663000000004</v>
      </c>
      <c r="AY5">
        <f>IF(Backend!AZ32="", "", Backend!AZ32)</f>
        <v>0.63032573000000003</v>
      </c>
      <c r="AZ5">
        <f>IF(Backend!BA32="", "", Backend!BA32)</f>
        <v>0.76318180000000002</v>
      </c>
      <c r="BA5">
        <f>IF(Backend!BB32="", "", Backend!BB32)</f>
        <v>-0.2378169</v>
      </c>
      <c r="BB5">
        <f>IF(Backend!BC32="", "", Backend!BC32)</f>
        <v>0.19757584</v>
      </c>
      <c r="BC5">
        <f>IF(Backend!BD32="", "", Backend!BD32)</f>
        <v>0.53893005999999999</v>
      </c>
      <c r="BD5">
        <f>IF(Backend!BE32="", "", Backend!BE32)</f>
        <v>0.14625034000000001</v>
      </c>
      <c r="BE5">
        <f>IF(Backend!BF32="", "", Backend!BF32)</f>
        <v>-9.8202020000000001E-2</v>
      </c>
      <c r="BF5">
        <f>IF(Backend!BG32="", "", Backend!BG32)</f>
        <v>-0.39671410000000001</v>
      </c>
      <c r="BG5">
        <f>IF(Backend!BH32="", "", Backend!BH32)</f>
        <v>-0.34932970000000002</v>
      </c>
      <c r="BH5">
        <f>IF(Backend!BI32="", "", Backend!BI32)</f>
        <v>-0.41274565000000002</v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Anhui Conch Cement Company Limited Class H</v>
      </c>
      <c r="B6">
        <f>IF(Backend!C33="", "", Backend!C33)</f>
        <v>0.54925953999999999</v>
      </c>
      <c r="C6">
        <f>IF(Backend!D33="", "", Backend!D33)</f>
        <v>0.43860250000000001</v>
      </c>
      <c r="D6">
        <f>IF(Backend!E33="", "", Backend!E33)</f>
        <v>1</v>
      </c>
      <c r="E6">
        <f>IF(Backend!F33="", "", Backend!F33)</f>
        <v>0.52969650000000001</v>
      </c>
      <c r="F6">
        <f>IF(Backend!G33="", "", Backend!G33)</f>
        <v>0.39218312999999999</v>
      </c>
      <c r="G6">
        <f>IF(Backend!H33="", "", Backend!H33)</f>
        <v>0.56023540000000005</v>
      </c>
      <c r="H6">
        <f>IF(Backend!I33="", "", Backend!I33)</f>
        <v>0.40887593999999999</v>
      </c>
      <c r="I6">
        <f>IF(Backend!J33="", "", Backend!J33)</f>
        <v>0.52389616000000006</v>
      </c>
      <c r="J6">
        <f>IF(Backend!K33="", "", Backend!K33)</f>
        <v>-0.42642479999999999</v>
      </c>
      <c r="K6">
        <f>IF(Backend!L33="", "", Backend!L33)</f>
        <v>0.54836779999999996</v>
      </c>
      <c r="L6">
        <f>IF(Backend!M33="", "", Backend!M33)</f>
        <v>0.31093105999999998</v>
      </c>
      <c r="M6">
        <f>IF(Backend!N33="", "", Backend!N33)</f>
        <v>0.21690701000000001</v>
      </c>
      <c r="N6">
        <f>IF(Backend!O33="", "", Backend!O33)</f>
        <v>0.43026164</v>
      </c>
      <c r="O6">
        <f>IF(Backend!P33="", "", Backend!P33)</f>
        <v>-0.34314430000000001</v>
      </c>
      <c r="P6">
        <f>IF(Backend!Q33="", "", Backend!Q33)</f>
        <v>0.64882700000000004</v>
      </c>
      <c r="Q6">
        <f>IF(Backend!R33="", "", Backend!R33)</f>
        <v>0.5207965</v>
      </c>
      <c r="R6">
        <f>IF(Backend!S33="", "", Backend!S33)</f>
        <v>0.62537160000000003</v>
      </c>
      <c r="S6">
        <f>IF(Backend!T33="", "", Backend!T33)</f>
        <v>-0.22008395</v>
      </c>
      <c r="T6">
        <f>IF(Backend!U33="", "", Backend!U33)</f>
        <v>0.41165970000000002</v>
      </c>
      <c r="U6">
        <f>IF(Backend!V33="", "", Backend!V33)</f>
        <v>0.24856671999999999</v>
      </c>
      <c r="V6">
        <f>IF(Backend!W33="", "", Backend!W33)</f>
        <v>0.55123334999999996</v>
      </c>
      <c r="W6">
        <f>IF(Backend!X33="", "", Backend!X33)</f>
        <v>0.39961553</v>
      </c>
      <c r="X6">
        <f>IF(Backend!Y33="", "", Backend!Y33)</f>
        <v>0.45288162999999998</v>
      </c>
      <c r="Y6">
        <f>IF(Backend!Z33="", "", Backend!Z33)</f>
        <v>0.37348107000000003</v>
      </c>
      <c r="Z6">
        <f>IF(Backend!AA33="", "", Backend!AA33)</f>
        <v>-0.30479884000000002</v>
      </c>
      <c r="AA6">
        <f>IF(Backend!AB33="", "", Backend!AB33)</f>
        <v>0.41770439999999998</v>
      </c>
      <c r="AB6">
        <f>IF(Backend!AC33="", "", Backend!AC33)</f>
        <v>-0.51087819999999995</v>
      </c>
      <c r="AC6">
        <f>IF(Backend!AD33="", "", Backend!AD33)</f>
        <v>0.27010146000000002</v>
      </c>
      <c r="AD6">
        <f>IF(Backend!AE33="", "", Backend!AE33)</f>
        <v>-0.42418430000000001</v>
      </c>
      <c r="AE6">
        <f>IF(Backend!AF33="", "", Backend!AF33)</f>
        <v>0.66200870000000001</v>
      </c>
      <c r="AF6">
        <f>IF(Backend!AG33="", "", Backend!AG33)</f>
        <v>0.35182099999999999</v>
      </c>
      <c r="AG6">
        <f>IF(Backend!AH33="", "", Backend!AH33)</f>
        <v>-0.37718712999999998</v>
      </c>
      <c r="AH6">
        <f>IF(Backend!AI33="", "", Backend!AI33)</f>
        <v>0.50844820000000002</v>
      </c>
      <c r="AI6">
        <f>IF(Backend!AJ33="", "", Backend!AJ33)</f>
        <v>0.28406631999999998</v>
      </c>
      <c r="AJ6">
        <f>IF(Backend!AK33="", "", Backend!AK33)</f>
        <v>0.59864589999999995</v>
      </c>
      <c r="AK6">
        <f>IF(Backend!AL33="", "", Backend!AL33)</f>
        <v>-0.15415417000000001</v>
      </c>
      <c r="AL6">
        <f>IF(Backend!AM33="", "", Backend!AM33)</f>
        <v>-0.44207352</v>
      </c>
      <c r="AM6">
        <f>IF(Backend!AN33="", "", Backend!AN33)</f>
        <v>0.62701249999999997</v>
      </c>
      <c r="AN6">
        <f>IF(Backend!AO33="", "", Backend!AO33)</f>
        <v>0.66704165999999998</v>
      </c>
      <c r="AO6">
        <f>IF(Backend!AP33="", "", Backend!AP33)</f>
        <v>0.52062580000000003</v>
      </c>
      <c r="AP6">
        <f>IF(Backend!AQ33="", "", Backend!AQ33)</f>
        <v>0.66681570000000001</v>
      </c>
      <c r="AQ6">
        <f>IF(Backend!AR33="", "", Backend!AR33)</f>
        <v>-0.13414323</v>
      </c>
      <c r="AR6">
        <f>IF(Backend!AS33="", "", Backend!AS33)</f>
        <v>0.58400549999999996</v>
      </c>
      <c r="AS6">
        <f>IF(Backend!AT33="", "", Backend!AT33)</f>
        <v>0.55366530000000003</v>
      </c>
      <c r="AT6">
        <f>IF(Backend!AU33="", "", Backend!AU33)</f>
        <v>0.57073300000000005</v>
      </c>
      <c r="AU6">
        <f>IF(Backend!AV33="", "", Backend!AV33)</f>
        <v>0.62651210000000002</v>
      </c>
      <c r="AV6">
        <f>IF(Backend!AW33="", "", Backend!AW33)</f>
        <v>-0.19025974000000001</v>
      </c>
      <c r="AW6">
        <f>IF(Backend!AX33="", "", Backend!AX33)</f>
        <v>0.4173617</v>
      </c>
      <c r="AX6">
        <f>IF(Backend!AY33="", "", Backend!AY33)</f>
        <v>0.64603036999999996</v>
      </c>
      <c r="AY6">
        <f>IF(Backend!AZ33="", "", Backend!AZ33)</f>
        <v>0.7548551</v>
      </c>
      <c r="AZ6">
        <f>IF(Backend!BA33="", "", Backend!BA33)</f>
        <v>0.64728160000000001</v>
      </c>
      <c r="BA6">
        <f>IF(Backend!BB33="", "", Backend!BB33)</f>
        <v>0.22647436000000001</v>
      </c>
      <c r="BB6">
        <f>IF(Backend!BC33="", "", Backend!BC33)</f>
        <v>-0.14739099999999999</v>
      </c>
      <c r="BC6">
        <f>IF(Backend!BD33="", "", Backend!BD33)</f>
        <v>0.66506980000000004</v>
      </c>
      <c r="BD6">
        <f>IF(Backend!BE33="", "", Backend!BE33)</f>
        <v>0.4268826</v>
      </c>
      <c r="BE6">
        <f>IF(Backend!BF33="", "", Backend!BF33)</f>
        <v>0.21937780000000001</v>
      </c>
      <c r="BF6">
        <f>IF(Backend!BG33="", "", Backend!BG33)</f>
        <v>-0.48991435999999999</v>
      </c>
      <c r="BG6">
        <f>IF(Backend!BH33="", "", Backend!BH33)</f>
        <v>-0.26208369999999998</v>
      </c>
      <c r="BH6">
        <f>IF(Backend!BI33="", "", Backend!BI33)</f>
        <v>-0.65317917000000003</v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Aptiv PLC</v>
      </c>
      <c r="B7">
        <f>IF(Backend!C34="", "", Backend!C34)</f>
        <v>0.36510189999999998</v>
      </c>
      <c r="C7">
        <f>IF(Backend!D34="", "", Backend!D34)</f>
        <v>0.76352626000000001</v>
      </c>
      <c r="D7">
        <f>IF(Backend!E34="", "", Backend!E34)</f>
        <v>0.52969650000000001</v>
      </c>
      <c r="E7">
        <f>IF(Backend!F34="", "", Backend!F34)</f>
        <v>1</v>
      </c>
      <c r="F7">
        <f>IF(Backend!G34="", "", Backend!G34)</f>
        <v>0.21692458000000001</v>
      </c>
      <c r="G7">
        <f>IF(Backend!H34="", "", Backend!H34)</f>
        <v>0.74038665999999997</v>
      </c>
      <c r="H7">
        <f>IF(Backend!I34="", "", Backend!I34)</f>
        <v>0.43727959999999999</v>
      </c>
      <c r="I7">
        <f>IF(Backend!J34="", "", Backend!J34)</f>
        <v>0.79422879999999996</v>
      </c>
      <c r="J7">
        <f>IF(Backend!K34="", "", Backend!K34)</f>
        <v>-0.66608000000000001</v>
      </c>
      <c r="K7">
        <f>IF(Backend!L34="", "", Backend!L34)</f>
        <v>0.67564385999999998</v>
      </c>
      <c r="L7">
        <f>IF(Backend!M34="", "", Backend!M34)</f>
        <v>0.79302189999999995</v>
      </c>
      <c r="M7">
        <f>IF(Backend!N34="", "", Backend!N34)</f>
        <v>-1.6797610000000001E-2</v>
      </c>
      <c r="N7">
        <f>IF(Backend!O34="", "", Backend!O34)</f>
        <v>0.77409419999999995</v>
      </c>
      <c r="O7">
        <f>IF(Backend!P34="", "", Backend!P34)</f>
        <v>-0.4651805</v>
      </c>
      <c r="P7">
        <f>IF(Backend!Q34="", "", Backend!Q34)</f>
        <v>0.87284625000000005</v>
      </c>
      <c r="Q7">
        <f>IF(Backend!R34="", "", Backend!R34)</f>
        <v>0.79662790000000006</v>
      </c>
      <c r="R7">
        <f>IF(Backend!S34="", "", Backend!S34)</f>
        <v>0.86594605000000002</v>
      </c>
      <c r="S7">
        <f>IF(Backend!T34="", "", Backend!T34)</f>
        <v>-0.29478832999999999</v>
      </c>
      <c r="T7">
        <f>IF(Backend!U34="", "", Backend!U34)</f>
        <v>0.40931709999999999</v>
      </c>
      <c r="U7">
        <f>IF(Backend!V34="", "", Backend!V34)</f>
        <v>0.59953195000000004</v>
      </c>
      <c r="V7">
        <f>IF(Backend!W34="", "", Backend!W34)</f>
        <v>0.71576225999999998</v>
      </c>
      <c r="W7">
        <f>IF(Backend!X34="", "", Backend!X34)</f>
        <v>0.74408215</v>
      </c>
      <c r="X7">
        <f>IF(Backend!Y34="", "", Backend!Y34)</f>
        <v>0.73284090000000002</v>
      </c>
      <c r="Y7">
        <f>IF(Backend!Z34="", "", Backend!Z34)</f>
        <v>0.58146180000000003</v>
      </c>
      <c r="Z7">
        <f>IF(Backend!AA34="", "", Backend!AA34)</f>
        <v>-0.76094260000000002</v>
      </c>
      <c r="AA7">
        <f>IF(Backend!AB34="", "", Backend!AB34)</f>
        <v>0.68464860000000005</v>
      </c>
      <c r="AB7">
        <f>IF(Backend!AC34="", "", Backend!AC34)</f>
        <v>-0.66702247000000003</v>
      </c>
      <c r="AC7">
        <f>IF(Backend!AD34="", "", Backend!AD34)</f>
        <v>0.43323790000000001</v>
      </c>
      <c r="AD7">
        <f>IF(Backend!AE34="", "", Backend!AE34)</f>
        <v>-0.70397604000000003</v>
      </c>
      <c r="AE7">
        <f>IF(Backend!AF34="", "", Backend!AF34)</f>
        <v>0.61102219999999996</v>
      </c>
      <c r="AF7">
        <f>IF(Backend!AG34="", "", Backend!AG34)</f>
        <v>0.17966107000000001</v>
      </c>
      <c r="AG7">
        <f>IF(Backend!AH34="", "", Backend!AH34)</f>
        <v>-0.82783169999999995</v>
      </c>
      <c r="AH7">
        <f>IF(Backend!AI34="", "", Backend!AI34)</f>
        <v>0.76729786</v>
      </c>
      <c r="AI7">
        <f>IF(Backend!AJ34="", "", Backend!AJ34)</f>
        <v>0.25810218000000001</v>
      </c>
      <c r="AJ7">
        <f>IF(Backend!AK34="", "", Backend!AK34)</f>
        <v>0.76925869999999996</v>
      </c>
      <c r="AK7">
        <f>IF(Backend!AL34="", "", Backend!AL34)</f>
        <v>-3.8480966999999998E-2</v>
      </c>
      <c r="AL7">
        <f>IF(Backend!AM34="", "", Backend!AM34)</f>
        <v>-0.51924610000000004</v>
      </c>
      <c r="AM7">
        <f>IF(Backend!AN34="", "", Backend!AN34)</f>
        <v>0.93275045999999995</v>
      </c>
      <c r="AN7">
        <f>IF(Backend!AO34="", "", Backend!AO34)</f>
        <v>0.91086036000000004</v>
      </c>
      <c r="AO7">
        <f>IF(Backend!AP34="", "", Backend!AP34)</f>
        <v>0.59797279999999997</v>
      </c>
      <c r="AP7">
        <f>IF(Backend!AQ34="", "", Backend!AQ34)</f>
        <v>0.81997169999999997</v>
      </c>
      <c r="AQ7">
        <f>IF(Backend!AR34="", "", Backend!AR34)</f>
        <v>-0.24815005000000001</v>
      </c>
      <c r="AR7">
        <f>IF(Backend!AS34="", "", Backend!AS34)</f>
        <v>0.73502254</v>
      </c>
      <c r="AS7">
        <f>IF(Backend!AT34="", "", Backend!AT34)</f>
        <v>0.77595199999999998</v>
      </c>
      <c r="AT7">
        <f>IF(Backend!AU34="", "", Backend!AU34)</f>
        <v>0.77744013000000001</v>
      </c>
      <c r="AU7">
        <f>IF(Backend!AV34="", "", Backend!AV34)</f>
        <v>0.90321700000000005</v>
      </c>
      <c r="AV7">
        <f>IF(Backend!AW34="", "", Backend!AW34)</f>
        <v>-0.15933016</v>
      </c>
      <c r="AW7">
        <f>IF(Backend!AX34="", "", Backend!AX34)</f>
        <v>0.44958967</v>
      </c>
      <c r="AX7">
        <f>IF(Backend!AY34="", "", Backend!AY34)</f>
        <v>0.60740229999999995</v>
      </c>
      <c r="AY7">
        <f>IF(Backend!AZ34="", "", Backend!AZ34)</f>
        <v>0.88571763000000003</v>
      </c>
      <c r="AZ7">
        <f>IF(Backend!BA34="", "", Backend!BA34)</f>
        <v>0.87418514000000003</v>
      </c>
      <c r="BA7">
        <f>IF(Backend!BB34="", "", Backend!BB34)</f>
        <v>4.7559205E-2</v>
      </c>
      <c r="BB7">
        <f>IF(Backend!BC34="", "", Backend!BC34)</f>
        <v>-0.14302831999999999</v>
      </c>
      <c r="BC7">
        <f>IF(Backend!BD34="", "", Backend!BD34)</f>
        <v>0.81990099999999999</v>
      </c>
      <c r="BD7">
        <f>IF(Backend!BE34="", "", Backend!BE34)</f>
        <v>0.56449245999999997</v>
      </c>
      <c r="BE7">
        <f>IF(Backend!BF34="", "", Backend!BF34)</f>
        <v>0.62692840000000005</v>
      </c>
      <c r="BF7">
        <f>IF(Backend!BG34="", "", Backend!BG34)</f>
        <v>-0.73263920000000005</v>
      </c>
      <c r="BG7">
        <f>IF(Backend!BH34="", "", Backend!BH34)</f>
        <v>-0.63626486000000004</v>
      </c>
      <c r="BH7">
        <f>IF(Backend!BI34="", "", Backend!BI34)</f>
        <v>-0.76042180000000004</v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Autohome Inc. Sponsored ADR Class A</v>
      </c>
      <c r="B8">
        <f>IF(Backend!C35="", "", Backend!C35)</f>
        <v>0.22372729</v>
      </c>
      <c r="C8">
        <f>IF(Backend!D35="", "", Backend!D35)</f>
        <v>0.22419727</v>
      </c>
      <c r="D8">
        <f>IF(Backend!E35="", "", Backend!E35)</f>
        <v>0.39218312999999999</v>
      </c>
      <c r="E8">
        <f>IF(Backend!F35="", "", Backend!F35)</f>
        <v>0.21692458000000001</v>
      </c>
      <c r="F8">
        <f>IF(Backend!G35="", "", Backend!G35)</f>
        <v>1</v>
      </c>
      <c r="G8">
        <f>IF(Backend!H35="", "", Backend!H35)</f>
        <v>0.21557652999999999</v>
      </c>
      <c r="H8">
        <f>IF(Backend!I35="", "", Backend!I35)</f>
        <v>0.55596535999999996</v>
      </c>
      <c r="I8">
        <f>IF(Backend!J35="", "", Backend!J35)</f>
        <v>6.3010044000000001E-2</v>
      </c>
      <c r="J8">
        <f>IF(Backend!K35="", "", Backend!K35)</f>
        <v>0.25453550000000003</v>
      </c>
      <c r="K8">
        <f>IF(Backend!L35="", "", Backend!L35)</f>
        <v>4.6853334000000003E-2</v>
      </c>
      <c r="L8">
        <f>IF(Backend!M35="", "", Backend!M35)</f>
        <v>0.15297279999999999</v>
      </c>
      <c r="M8">
        <f>IF(Backend!N35="", "", Backend!N35)</f>
        <v>-0.31968210000000002</v>
      </c>
      <c r="N8">
        <f>IF(Backend!O35="", "", Backend!O35)</f>
        <v>-0.12011125</v>
      </c>
      <c r="O8">
        <f>IF(Backend!P35="", "", Backend!P35)</f>
        <v>-2.401644E-2</v>
      </c>
      <c r="P8">
        <f>IF(Backend!Q35="", "", Backend!Q35)</f>
        <v>0.22705544999999999</v>
      </c>
      <c r="Q8">
        <f>IF(Backend!R35="", "", Backend!R35)</f>
        <v>9.0249360000000001E-2</v>
      </c>
      <c r="R8">
        <f>IF(Backend!S35="", "", Backend!S35)</f>
        <v>3.4607227999999997E-2</v>
      </c>
      <c r="S8">
        <f>IF(Backend!T35="", "", Backend!T35)</f>
        <v>0.23547839000000001</v>
      </c>
      <c r="T8">
        <f>IF(Backend!U35="", "", Backend!U35)</f>
        <v>-6.8665119999999996E-2</v>
      </c>
      <c r="U8">
        <f>IF(Backend!V35="", "", Backend!V35)</f>
        <v>0.26152690000000001</v>
      </c>
      <c r="V8">
        <f>IF(Backend!W35="", "", Backend!W35)</f>
        <v>0.17129643</v>
      </c>
      <c r="W8">
        <f>IF(Backend!X35="", "", Backend!X35)</f>
        <v>-4.9062339999999996E-4</v>
      </c>
      <c r="X8">
        <f>IF(Backend!Y35="", "", Backend!Y35)</f>
        <v>0.37253890000000001</v>
      </c>
      <c r="Y8">
        <f>IF(Backend!Z35="", "", Backend!Z35)</f>
        <v>-0.23122592</v>
      </c>
      <c r="Z8">
        <f>IF(Backend!AA35="", "", Backend!AA35)</f>
        <v>0.27253544000000002</v>
      </c>
      <c r="AA8">
        <f>IF(Backend!AB35="", "", Backend!AB35)</f>
        <v>0.45245092999999997</v>
      </c>
      <c r="AB8">
        <f>IF(Backend!AC35="", "", Backend!AC35)</f>
        <v>0.22062524999999999</v>
      </c>
      <c r="AC8">
        <f>IF(Backend!AD35="", "", Backend!AD35)</f>
        <v>0.30877622999999998</v>
      </c>
      <c r="AD8">
        <f>IF(Backend!AE35="", "", Backend!AE35)</f>
        <v>0.23876101</v>
      </c>
      <c r="AE8">
        <f>IF(Backend!AF35="", "", Backend!AF35)</f>
        <v>0.15183024000000001</v>
      </c>
      <c r="AF8">
        <f>IF(Backend!AG35="", "", Backend!AG35)</f>
        <v>0.52014004999999996</v>
      </c>
      <c r="AG8">
        <f>IF(Backend!AH35="", "", Backend!AH35)</f>
        <v>9.5413804000000005E-2</v>
      </c>
      <c r="AH8">
        <f>IF(Backend!AI35="", "", Backend!AI35)</f>
        <v>-5.6294759999999999E-2</v>
      </c>
      <c r="AI8">
        <f>IF(Backend!AJ35="", "", Backend!AJ35)</f>
        <v>0.28638335999999998</v>
      </c>
      <c r="AJ8">
        <f>IF(Backend!AK35="", "", Backend!AK35)</f>
        <v>7.9658329999999999E-2</v>
      </c>
      <c r="AK8">
        <f>IF(Backend!AL35="", "", Backend!AL35)</f>
        <v>0.42239547</v>
      </c>
      <c r="AL8">
        <f>IF(Backend!AM35="", "", Backend!AM35)</f>
        <v>-2.1444751000000001E-2</v>
      </c>
      <c r="AM8">
        <f>IF(Backend!AN35="", "", Backend!AN35)</f>
        <v>0.17498032999999999</v>
      </c>
      <c r="AN8">
        <f>IF(Backend!AO35="", "", Backend!AO35)</f>
        <v>0.23700751</v>
      </c>
      <c r="AO8">
        <f>IF(Backend!AP35="", "", Backend!AP35)</f>
        <v>0.30747797999999998</v>
      </c>
      <c r="AP8">
        <f>IF(Backend!AQ35="", "", Backend!AQ35)</f>
        <v>8.8859684999999994E-2</v>
      </c>
      <c r="AQ8">
        <f>IF(Backend!AR35="", "", Backend!AR35)</f>
        <v>0.2887787</v>
      </c>
      <c r="AR8">
        <f>IF(Backend!AS35="", "", Backend!AS35)</f>
        <v>4.8033994000000003E-2</v>
      </c>
      <c r="AS8">
        <f>IF(Backend!AT35="", "", Backend!AT35)</f>
        <v>6.4341579999999995E-2</v>
      </c>
      <c r="AT8">
        <f>IF(Backend!AU35="", "", Backend!AU35)</f>
        <v>5.0620949999999998E-2</v>
      </c>
      <c r="AU8">
        <f>IF(Backend!AV35="", "", Backend!AV35)</f>
        <v>0.22064540999999999</v>
      </c>
      <c r="AV8">
        <f>IF(Backend!AW35="", "", Backend!AW35)</f>
        <v>0.51405590000000001</v>
      </c>
      <c r="AW8">
        <f>IF(Backend!AX35="", "", Backend!AX35)</f>
        <v>0.41091921999999997</v>
      </c>
      <c r="AX8">
        <f>IF(Backend!AY35="", "", Backend!AY35)</f>
        <v>0.44975779999999999</v>
      </c>
      <c r="AY8">
        <f>IF(Backend!AZ35="", "", Backend!AZ35)</f>
        <v>0.33791443999999998</v>
      </c>
      <c r="AZ8">
        <f>IF(Backend!BA35="", "", Backend!BA35)</f>
        <v>0.11012537999999999</v>
      </c>
      <c r="BA8">
        <f>IF(Backend!BB35="", "", Backend!BB35)</f>
        <v>0.24016177999999999</v>
      </c>
      <c r="BB8">
        <f>IF(Backend!BC35="", "", Backend!BC35)</f>
        <v>0.2147329</v>
      </c>
      <c r="BC8">
        <f>IF(Backend!BD35="", "", Backend!BD35)</f>
        <v>0.102156594</v>
      </c>
      <c r="BD8">
        <f>IF(Backend!BE35="", "", Backend!BE35)</f>
        <v>0.31527492000000001</v>
      </c>
      <c r="BE8">
        <f>IF(Backend!BF35="", "", Backend!BF35)</f>
        <v>-5.2459119999999998E-2</v>
      </c>
      <c r="BF8">
        <f>IF(Backend!BG35="", "", Backend!BG35)</f>
        <v>7.9390359999999993E-2</v>
      </c>
      <c r="BG8">
        <f>IF(Backend!BH35="", "", Backend!BH35)</f>
        <v>4.1033409999999999E-2</v>
      </c>
      <c r="BH8">
        <f>IF(Backend!BI35="", "", Backend!BI35)</f>
        <v>-4.2238360000000003E-2</v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Baidu, Inc. Class A</v>
      </c>
      <c r="B9">
        <f>IF(Backend!C36="", "", Backend!C36)</f>
        <v>0.16270243000000001</v>
      </c>
      <c r="C9">
        <f>IF(Backend!D36="", "", Backend!D36)</f>
        <v>0.81282496000000004</v>
      </c>
      <c r="D9">
        <f>IF(Backend!E36="", "", Backend!E36)</f>
        <v>0.56023540000000005</v>
      </c>
      <c r="E9">
        <f>IF(Backend!F36="", "", Backend!F36)</f>
        <v>0.74038665999999997</v>
      </c>
      <c r="F9">
        <f>IF(Backend!G36="", "", Backend!G36)</f>
        <v>0.21557652999999999</v>
      </c>
      <c r="G9">
        <f>IF(Backend!H36="", "", Backend!H36)</f>
        <v>1</v>
      </c>
      <c r="H9">
        <f>IF(Backend!I36="", "", Backend!I36)</f>
        <v>0.17473554999999999</v>
      </c>
      <c r="I9">
        <f>IF(Backend!J36="", "", Backend!J36)</f>
        <v>0.46762242999999998</v>
      </c>
      <c r="J9">
        <f>IF(Backend!K36="", "", Backend!K36)</f>
        <v>-0.44919305999999998</v>
      </c>
      <c r="K9">
        <f>IF(Backend!L36="", "", Backend!L36)</f>
        <v>0.30657997999999997</v>
      </c>
      <c r="L9">
        <f>IF(Backend!M36="", "", Backend!M36)</f>
        <v>0.35090584000000002</v>
      </c>
      <c r="M9">
        <f>IF(Backend!N36="", "", Backend!N36)</f>
        <v>0.12600553</v>
      </c>
      <c r="N9">
        <f>IF(Backend!O36="", "", Backend!O36)</f>
        <v>0.44226264999999998</v>
      </c>
      <c r="O9">
        <f>IF(Backend!P36="", "", Backend!P36)</f>
        <v>-0.18163246999999999</v>
      </c>
      <c r="P9">
        <f>IF(Backend!Q36="", "", Backend!Q36)</f>
        <v>0.60929580000000005</v>
      </c>
      <c r="Q9">
        <f>IF(Backend!R36="", "", Backend!R36)</f>
        <v>0.68703526000000004</v>
      </c>
      <c r="R9">
        <f>IF(Backend!S36="", "", Backend!S36)</f>
        <v>0.60186589999999995</v>
      </c>
      <c r="S9">
        <f>IF(Backend!T36="", "", Backend!T36)</f>
        <v>-2.3926784999999999E-2</v>
      </c>
      <c r="T9">
        <f>IF(Backend!U36="", "", Backend!U36)</f>
        <v>0.10052373000000001</v>
      </c>
      <c r="U9">
        <f>IF(Backend!V36="", "", Backend!V36)</f>
        <v>0.48937276000000002</v>
      </c>
      <c r="V9">
        <f>IF(Backend!W36="", "", Backend!W36)</f>
        <v>0.88129619999999997</v>
      </c>
      <c r="W9">
        <f>IF(Backend!X36="", "", Backend!X36)</f>
        <v>0.43308023000000001</v>
      </c>
      <c r="X9">
        <f>IF(Backend!Y36="", "", Backend!Y36)</f>
        <v>0.76531225000000003</v>
      </c>
      <c r="Y9">
        <f>IF(Backend!Z36="", "", Backend!Z36)</f>
        <v>0.30775917000000003</v>
      </c>
      <c r="Z9">
        <f>IF(Backend!AA36="", "", Backend!AA36)</f>
        <v>-0.51544385999999998</v>
      </c>
      <c r="AA9">
        <f>IF(Backend!AB36="", "", Backend!AB36)</f>
        <v>0.34579176</v>
      </c>
      <c r="AB9">
        <f>IF(Backend!AC36="", "", Backend!AC36)</f>
        <v>-0.53209715999999996</v>
      </c>
      <c r="AC9">
        <f>IF(Backend!AD36="", "", Backend!AD36)</f>
        <v>0.61564980000000002</v>
      </c>
      <c r="AD9">
        <f>IF(Backend!AE36="", "", Backend!AE36)</f>
        <v>-0.47642006999999997</v>
      </c>
      <c r="AE9">
        <f>IF(Backend!AF36="", "", Backend!AF36)</f>
        <v>0.44918071999999998</v>
      </c>
      <c r="AF9">
        <f>IF(Backend!AG36="", "", Backend!AG36)</f>
        <v>0.23713720999999999</v>
      </c>
      <c r="AG9">
        <f>IF(Backend!AH36="", "", Backend!AH36)</f>
        <v>-0.57496535999999998</v>
      </c>
      <c r="AH9">
        <f>IF(Backend!AI36="", "", Backend!AI36)</f>
        <v>0.46521476</v>
      </c>
      <c r="AI9">
        <f>IF(Backend!AJ36="", "", Backend!AJ36)</f>
        <v>0.57208055000000002</v>
      </c>
      <c r="AJ9">
        <f>IF(Backend!AK36="", "", Backend!AK36)</f>
        <v>0.55383349999999998</v>
      </c>
      <c r="AK9">
        <f>IF(Backend!AL36="", "", Backend!AL36)</f>
        <v>4.1758200000000002E-3</v>
      </c>
      <c r="AL9">
        <f>IF(Backend!AM36="", "", Backend!AM36)</f>
        <v>-0.28556967</v>
      </c>
      <c r="AM9">
        <f>IF(Backend!AN36="", "", Backend!AN36)</f>
        <v>0.71703225000000004</v>
      </c>
      <c r="AN9">
        <f>IF(Backend!AO36="", "", Backend!AO36)</f>
        <v>0.70300490000000004</v>
      </c>
      <c r="AO9">
        <f>IF(Backend!AP36="", "", Backend!AP36)</f>
        <v>0.64833253999999996</v>
      </c>
      <c r="AP9">
        <f>IF(Backend!AQ36="", "", Backend!AQ36)</f>
        <v>0.78338640000000004</v>
      </c>
      <c r="AQ9">
        <f>IF(Backend!AR36="", "", Backend!AR36)</f>
        <v>-0.17412315</v>
      </c>
      <c r="AR9">
        <f>IF(Backend!AS36="", "", Backend!AS36)</f>
        <v>0.5251479</v>
      </c>
      <c r="AS9">
        <f>IF(Backend!AT36="", "", Backend!AT36)</f>
        <v>0.52733770000000002</v>
      </c>
      <c r="AT9">
        <f>IF(Backend!AU36="", "", Backend!AU36)</f>
        <v>0.49203365999999998</v>
      </c>
      <c r="AU9">
        <f>IF(Backend!AV36="", "", Backend!AV36)</f>
        <v>0.63095533999999998</v>
      </c>
      <c r="AV9">
        <f>IF(Backend!AW36="", "", Backend!AW36)</f>
        <v>-0.11001577</v>
      </c>
      <c r="AW9">
        <f>IF(Backend!AX36="", "", Backend!AX36)</f>
        <v>0.59605719999999995</v>
      </c>
      <c r="AX9">
        <f>IF(Backend!AY36="", "", Backend!AY36)</f>
        <v>0.68949729999999998</v>
      </c>
      <c r="AY9">
        <f>IF(Backend!AZ36="", "", Backend!AZ36)</f>
        <v>0.70594009999999996</v>
      </c>
      <c r="AZ9">
        <f>IF(Backend!BA36="", "", Backend!BA36)</f>
        <v>0.80052029999999996</v>
      </c>
      <c r="BA9">
        <f>IF(Backend!BB36="", "", Backend!BB36)</f>
        <v>-6.7969890000000005E-2</v>
      </c>
      <c r="BB9">
        <f>IF(Backend!BC36="", "", Backend!BC36)</f>
        <v>-6.6152274999999996E-2</v>
      </c>
      <c r="BC9">
        <f>IF(Backend!BD36="", "", Backend!BD36)</f>
        <v>0.52755209999999997</v>
      </c>
      <c r="BD9">
        <f>IF(Backend!BE36="", "", Backend!BE36)</f>
        <v>0.21606971</v>
      </c>
      <c r="BE9">
        <f>IF(Backend!BF36="", "", Backend!BF36)</f>
        <v>4.0562040000000001E-2</v>
      </c>
      <c r="BF9">
        <f>IF(Backend!BG36="", "", Backend!BG36)</f>
        <v>-0.4643292</v>
      </c>
      <c r="BG9">
        <f>IF(Backend!BH36="", "", Backend!BH36)</f>
        <v>-0.38606066</v>
      </c>
      <c r="BH9">
        <f>IF(Backend!BI36="", "", Backend!BI36)</f>
        <v>-0.56603610000000004</v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BASF SE</v>
      </c>
      <c r="B10">
        <f>IF(Backend!C37="", "", Backend!C37)</f>
        <v>0.51298045999999997</v>
      </c>
      <c r="C10">
        <f>IF(Backend!D37="", "", Backend!D37)</f>
        <v>0.18121446999999999</v>
      </c>
      <c r="D10">
        <f>IF(Backend!E37="", "", Backend!E37)</f>
        <v>0.40887593999999999</v>
      </c>
      <c r="E10">
        <f>IF(Backend!F37="", "", Backend!F37)</f>
        <v>0.43727959999999999</v>
      </c>
      <c r="F10">
        <f>IF(Backend!G37="", "", Backend!G37)</f>
        <v>0.55596535999999996</v>
      </c>
      <c r="G10">
        <f>IF(Backend!H37="", "", Backend!H37)</f>
        <v>0.17473554999999999</v>
      </c>
      <c r="H10">
        <f>IF(Backend!I37="", "", Backend!I37)</f>
        <v>1</v>
      </c>
      <c r="I10">
        <f>IF(Backend!J37="", "", Backend!J37)</f>
        <v>0.53167359999999997</v>
      </c>
      <c r="J10">
        <f>IF(Backend!K37="", "", Backend!K37)</f>
        <v>-0.18245253</v>
      </c>
      <c r="K10">
        <f>IF(Backend!L37="", "", Backend!L37)</f>
        <v>0.44835097000000002</v>
      </c>
      <c r="L10">
        <f>IF(Backend!M37="", "", Backend!M37)</f>
        <v>0.41574719999999998</v>
      </c>
      <c r="M10">
        <f>IF(Backend!N37="", "", Backend!N37)</f>
        <v>-0.110639796</v>
      </c>
      <c r="N10">
        <f>IF(Backend!O37="", "", Backend!O37)</f>
        <v>0.47000577999999998</v>
      </c>
      <c r="O10">
        <f>IF(Backend!P37="", "", Backend!P37)</f>
        <v>-0.57648520000000003</v>
      </c>
      <c r="P10">
        <f>IF(Backend!Q37="", "", Backend!Q37)</f>
        <v>0.48075380000000001</v>
      </c>
      <c r="Q10">
        <f>IF(Backend!R37="", "", Backend!R37)</f>
        <v>0.50469520000000001</v>
      </c>
      <c r="R10">
        <f>IF(Backend!S37="", "", Backend!S37)</f>
        <v>0.39854499999999998</v>
      </c>
      <c r="S10">
        <f>IF(Backend!T37="", "", Backend!T37)</f>
        <v>-0.37335473000000002</v>
      </c>
      <c r="T10">
        <f>IF(Backend!U37="", "", Backend!U37)</f>
        <v>0.20686056999999999</v>
      </c>
      <c r="U10">
        <f>IF(Backend!V37="", "", Backend!V37)</f>
        <v>-6.2034298000000002E-2</v>
      </c>
      <c r="V10">
        <f>IF(Backend!W37="", "", Backend!W37)</f>
        <v>0.17630699999999999</v>
      </c>
      <c r="W10">
        <f>IF(Backend!X37="", "", Backend!X37)</f>
        <v>0.15726459000000001</v>
      </c>
      <c r="X10">
        <f>IF(Backend!Y37="", "", Backend!Y37)</f>
        <v>0.28373635000000003</v>
      </c>
      <c r="Y10">
        <f>IF(Backend!Z37="", "", Backend!Z37)</f>
        <v>0.41477789999999998</v>
      </c>
      <c r="Z10">
        <f>IF(Backend!AA37="", "", Backend!AA37)</f>
        <v>-0.24206029000000001</v>
      </c>
      <c r="AA10">
        <f>IF(Backend!AB37="", "", Backend!AB37)</f>
        <v>0.31055941999999997</v>
      </c>
      <c r="AB10">
        <f>IF(Backend!AC37="", "", Backend!AC37)</f>
        <v>-0.29022350000000002</v>
      </c>
      <c r="AC10">
        <f>IF(Backend!AD37="", "", Backend!AD37)</f>
        <v>-0.15190274000000001</v>
      </c>
      <c r="AD10">
        <f>IF(Backend!AE37="", "", Backend!AE37)</f>
        <v>-0.28915855000000001</v>
      </c>
      <c r="AE10">
        <f>IF(Backend!AF37="", "", Backend!AF37)</f>
        <v>0.22848760000000001</v>
      </c>
      <c r="AF10">
        <f>IF(Backend!AG37="", "", Backend!AG37)</f>
        <v>-7.7541924999999998E-2</v>
      </c>
      <c r="AG10">
        <f>IF(Backend!AH37="", "", Backend!AH37)</f>
        <v>-0.24173346000000001</v>
      </c>
      <c r="AH10">
        <f>IF(Backend!AI37="", "", Backend!AI37)</f>
        <v>0.49759910000000002</v>
      </c>
      <c r="AI10">
        <f>IF(Backend!AJ37="", "", Backend!AJ37)</f>
        <v>-0.17755660000000001</v>
      </c>
      <c r="AJ10">
        <f>IF(Backend!AK37="", "", Backend!AK37)</f>
        <v>0.47195798</v>
      </c>
      <c r="AK10">
        <f>IF(Backend!AL37="", "", Backend!AL37)</f>
        <v>-2.5001608000000002E-2</v>
      </c>
      <c r="AL10">
        <f>IF(Backend!AM37="", "", Backend!AM37)</f>
        <v>-0.58134920000000001</v>
      </c>
      <c r="AM10">
        <f>IF(Backend!AN37="", "", Backend!AN37)</f>
        <v>0.42721179999999997</v>
      </c>
      <c r="AN10">
        <f>IF(Backend!AO37="", "", Backend!AO37)</f>
        <v>0.40691832</v>
      </c>
      <c r="AO10">
        <f>IF(Backend!AP37="", "", Backend!AP37)</f>
        <v>-2.8223893E-2</v>
      </c>
      <c r="AP10">
        <f>IF(Backend!AQ37="", "", Backend!AQ37)</f>
        <v>0.24027467999999999</v>
      </c>
      <c r="AQ10">
        <f>IF(Backend!AR37="", "", Backend!AR37)</f>
        <v>0.46841811999999999</v>
      </c>
      <c r="AR10">
        <f>IF(Backend!AS37="", "", Backend!AS37)</f>
        <v>0.54886466</v>
      </c>
      <c r="AS10">
        <f>IF(Backend!AT37="", "", Backend!AT37)</f>
        <v>0.19976266000000001</v>
      </c>
      <c r="AT10">
        <f>IF(Backend!AU37="", "", Backend!AU37)</f>
        <v>0.56029373000000005</v>
      </c>
      <c r="AU10">
        <f>IF(Backend!AV37="", "", Backend!AV37)</f>
        <v>0.57820517000000005</v>
      </c>
      <c r="AV10">
        <f>IF(Backend!AW37="", "", Backend!AW37)</f>
        <v>-7.5354270000000001E-2</v>
      </c>
      <c r="AW10">
        <f>IF(Backend!AX37="", "", Backend!AX37)</f>
        <v>0.21446982000000001</v>
      </c>
      <c r="AX10">
        <f>IF(Backend!AY37="", "", Backend!AY37)</f>
        <v>0.19877051000000001</v>
      </c>
      <c r="AY10">
        <f>IF(Backend!AZ37="", "", Backend!AZ37)</f>
        <v>0.47438163</v>
      </c>
      <c r="AZ10">
        <f>IF(Backend!BA37="", "", Backend!BA37)</f>
        <v>0.32001617999999998</v>
      </c>
      <c r="BA10">
        <f>IF(Backend!BB37="", "", Backend!BB37)</f>
        <v>0.39906839999999999</v>
      </c>
      <c r="BB10">
        <f>IF(Backend!BC37="", "", Backend!BC37)</f>
        <v>-0.40119759999999999</v>
      </c>
      <c r="BC10">
        <f>IF(Backend!BD37="", "", Backend!BD37)</f>
        <v>0.45176914000000001</v>
      </c>
      <c r="BD10">
        <f>IF(Backend!BE37="", "", Backend!BE37)</f>
        <v>0.83803570000000005</v>
      </c>
      <c r="BE10">
        <f>IF(Backend!BF37="", "", Backend!BF37)</f>
        <v>0.53146780000000005</v>
      </c>
      <c r="BF10">
        <f>IF(Backend!BG37="", "", Backend!BG37)</f>
        <v>-0.29286097999999999</v>
      </c>
      <c r="BG10">
        <f>IF(Backend!BH37="", "", Backend!BH37)</f>
        <v>-0.42918553999999998</v>
      </c>
      <c r="BH10">
        <f>IF(Backend!BI37="", "", Backend!BI37)</f>
        <v>-0.48413196000000003</v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Bayer AG</v>
      </c>
      <c r="B11">
        <f>IF(Backend!C38="", "", Backend!C38)</f>
        <v>0.64898480000000003</v>
      </c>
      <c r="C11">
        <f>IF(Backend!D38="", "", Backend!D38)</f>
        <v>0.44586812999999997</v>
      </c>
      <c r="D11">
        <f>IF(Backend!E38="", "", Backend!E38)</f>
        <v>0.52389616000000006</v>
      </c>
      <c r="E11">
        <f>IF(Backend!F38="", "", Backend!F38)</f>
        <v>0.79422879999999996</v>
      </c>
      <c r="F11">
        <f>IF(Backend!G38="", "", Backend!G38)</f>
        <v>6.3010044000000001E-2</v>
      </c>
      <c r="G11">
        <f>IF(Backend!H38="", "", Backend!H38)</f>
        <v>0.46762242999999998</v>
      </c>
      <c r="H11">
        <f>IF(Backend!I38="", "", Backend!I38)</f>
        <v>0.53167359999999997</v>
      </c>
      <c r="I11">
        <f>IF(Backend!J38="", "", Backend!J38)</f>
        <v>1</v>
      </c>
      <c r="J11">
        <f>IF(Backend!K38="", "", Backend!K38)</f>
        <v>-0.83568746000000005</v>
      </c>
      <c r="K11">
        <f>IF(Backend!L38="", "", Backend!L38)</f>
        <v>0.9092363</v>
      </c>
      <c r="L11">
        <f>IF(Backend!M38="", "", Backend!M38)</f>
        <v>0.72076063999999995</v>
      </c>
      <c r="M11">
        <f>IF(Backend!N38="", "", Backend!N38)</f>
        <v>0.15161063999999999</v>
      </c>
      <c r="N11">
        <f>IF(Backend!O38="", "", Backend!O38)</f>
        <v>0.88760746000000001</v>
      </c>
      <c r="O11">
        <f>IF(Backend!P38="", "", Backend!P38)</f>
        <v>-0.67658720000000006</v>
      </c>
      <c r="P11">
        <f>IF(Backend!Q38="", "", Backend!Q38)</f>
        <v>0.88233536000000001</v>
      </c>
      <c r="Q11">
        <f>IF(Backend!R38="", "", Backend!R38)</f>
        <v>0.79008036999999998</v>
      </c>
      <c r="R11">
        <f>IF(Backend!S38="", "", Backend!S38)</f>
        <v>0.92981349999999996</v>
      </c>
      <c r="S11">
        <f>IF(Backend!T38="", "", Backend!T38)</f>
        <v>-0.64514110000000002</v>
      </c>
      <c r="T11">
        <f>IF(Backend!U38="", "", Backend!U38)</f>
        <v>0.60845285999999998</v>
      </c>
      <c r="U11">
        <f>IF(Backend!V38="", "", Backend!V38)</f>
        <v>0.22251202</v>
      </c>
      <c r="V11">
        <f>IF(Backend!W38="", "", Backend!W38)</f>
        <v>0.44609420999999999</v>
      </c>
      <c r="W11">
        <f>IF(Backend!X38="", "", Backend!X38)</f>
        <v>0.79965810000000004</v>
      </c>
      <c r="X11">
        <f>IF(Backend!Y38="", "", Backend!Y38)</f>
        <v>0.34673031999999998</v>
      </c>
      <c r="Y11">
        <f>IF(Backend!Z38="", "", Backend!Z38)</f>
        <v>0.82987690000000003</v>
      </c>
      <c r="Z11">
        <f>IF(Backend!AA38="", "", Backend!AA38)</f>
        <v>-0.78586990000000001</v>
      </c>
      <c r="AA11">
        <f>IF(Backend!AB38="", "", Backend!AB38)</f>
        <v>0.46167213000000001</v>
      </c>
      <c r="AB11">
        <f>IF(Backend!AC38="", "", Backend!AC38)</f>
        <v>-0.79158070000000003</v>
      </c>
      <c r="AC11">
        <f>IF(Backend!AD38="", "", Backend!AD38)</f>
        <v>-6.2737269999999998E-2</v>
      </c>
      <c r="AD11">
        <f>IF(Backend!AE38="", "", Backend!AE38)</f>
        <v>-0.85217580000000004</v>
      </c>
      <c r="AE11">
        <f>IF(Backend!AF38="", "", Backend!AF38)</f>
        <v>0.68986857000000001</v>
      </c>
      <c r="AF11">
        <f>IF(Backend!AG38="", "", Backend!AG38)</f>
        <v>-0.12454733</v>
      </c>
      <c r="AG11">
        <f>IF(Backend!AH38="", "", Backend!AH38)</f>
        <v>-0.82641629999999999</v>
      </c>
      <c r="AH11">
        <f>IF(Backend!AI38="", "", Backend!AI38)</f>
        <v>0.90848607000000003</v>
      </c>
      <c r="AI11">
        <f>IF(Backend!AJ38="", "", Backend!AJ38)</f>
        <v>-0.112091675</v>
      </c>
      <c r="AJ11">
        <f>IF(Backend!AK38="", "", Backend!AK38)</f>
        <v>0.86865689999999995</v>
      </c>
      <c r="AK11">
        <f>IF(Backend!AL38="", "", Backend!AL38)</f>
        <v>-0.33025143000000001</v>
      </c>
      <c r="AL11">
        <f>IF(Backend!AM38="", "", Backend!AM38)</f>
        <v>-0.69521314000000001</v>
      </c>
      <c r="AM11">
        <f>IF(Backend!AN38="", "", Backend!AN38)</f>
        <v>0.87774693999999998</v>
      </c>
      <c r="AN11">
        <f>IF(Backend!AO38="", "", Backend!AO38)</f>
        <v>0.83089787000000004</v>
      </c>
      <c r="AO11">
        <f>IF(Backend!AP38="", "", Backend!AP38)</f>
        <v>0.27445893999999998</v>
      </c>
      <c r="AP11">
        <f>IF(Backend!AQ38="", "", Backend!AQ38)</f>
        <v>0.70350975000000004</v>
      </c>
      <c r="AQ11">
        <f>IF(Backend!AR38="", "", Backend!AR38)</f>
        <v>-0.27711236</v>
      </c>
      <c r="AR11">
        <f>IF(Backend!AS38="", "", Backend!AS38)</f>
        <v>0.9139429</v>
      </c>
      <c r="AS11">
        <f>IF(Backend!AT38="", "", Backend!AT38)</f>
        <v>0.80628319999999998</v>
      </c>
      <c r="AT11">
        <f>IF(Backend!AU38="", "", Backend!AU38)</f>
        <v>0.92887869999999995</v>
      </c>
      <c r="AU11">
        <f>IF(Backend!AV38="", "", Backend!AV38)</f>
        <v>0.89858377</v>
      </c>
      <c r="AV11">
        <f>IF(Backend!AW38="", "", Backend!AW38)</f>
        <v>-0.51409720000000003</v>
      </c>
      <c r="AW11">
        <f>IF(Backend!AX38="", "", Backend!AX38)</f>
        <v>0.11324716</v>
      </c>
      <c r="AX11">
        <f>IF(Backend!AY38="", "", Backend!AY38)</f>
        <v>0.41279822999999999</v>
      </c>
      <c r="AY11">
        <f>IF(Backend!AZ38="", "", Backend!AZ38)</f>
        <v>0.79237013999999995</v>
      </c>
      <c r="AZ11">
        <f>IF(Backend!BA38="", "", Backend!BA38)</f>
        <v>0.8381014</v>
      </c>
      <c r="BA11">
        <f>IF(Backend!BB38="", "", Backend!BB38)</f>
        <v>0.30995097999999999</v>
      </c>
      <c r="BB11">
        <f>IF(Backend!BC38="", "", Backend!BC38)</f>
        <v>-0.50683599999999995</v>
      </c>
      <c r="BC11">
        <f>IF(Backend!BD38="", "", Backend!BD38)</f>
        <v>0.92897399999999997</v>
      </c>
      <c r="BD11">
        <f>IF(Backend!BE38="", "", Backend!BE38)</f>
        <v>0.69015820000000005</v>
      </c>
      <c r="BE11">
        <f>IF(Backend!BF38="", "", Backend!BF38)</f>
        <v>0.69124246</v>
      </c>
      <c r="BF11">
        <f>IF(Backend!BG38="", "", Backend!BG38)</f>
        <v>-0.89077569999999995</v>
      </c>
      <c r="BG11">
        <f>IF(Backend!BH38="", "", Backend!BH38)</f>
        <v>-0.61893469999999995</v>
      </c>
      <c r="BH11">
        <f>IF(Backend!BI38="", "", Backend!BI38)</f>
        <v>-0.86717940000000004</v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Bristol-Myers Squibb Company</v>
      </c>
      <c r="B12">
        <f>IF(Backend!C39="", "", Backend!C39)</f>
        <v>-0.38804023999999998</v>
      </c>
      <c r="C12">
        <f>IF(Backend!D39="", "", Backend!D39)</f>
        <v>-0.39319658000000002</v>
      </c>
      <c r="D12">
        <f>IF(Backend!E39="", "", Backend!E39)</f>
        <v>-0.42642479999999999</v>
      </c>
      <c r="E12">
        <f>IF(Backend!F39="", "", Backend!F39)</f>
        <v>-0.66608000000000001</v>
      </c>
      <c r="F12">
        <f>IF(Backend!G39="", "", Backend!G39)</f>
        <v>0.25453550000000003</v>
      </c>
      <c r="G12">
        <f>IF(Backend!H39="", "", Backend!H39)</f>
        <v>-0.44919305999999998</v>
      </c>
      <c r="H12">
        <f>IF(Backend!I39="", "", Backend!I39)</f>
        <v>-0.18245253</v>
      </c>
      <c r="I12">
        <f>IF(Backend!J39="", "", Backend!J39)</f>
        <v>-0.83568746000000005</v>
      </c>
      <c r="J12">
        <f>IF(Backend!K39="", "", Backend!K39)</f>
        <v>1</v>
      </c>
      <c r="K12">
        <f>IF(Backend!L39="", "", Backend!L39)</f>
        <v>-0.8071779</v>
      </c>
      <c r="L12">
        <f>IF(Backend!M39="", "", Backend!M39)</f>
        <v>-0.5631912</v>
      </c>
      <c r="M12">
        <f>IF(Backend!N39="", "", Backend!N39)</f>
        <v>-0.36896237999999998</v>
      </c>
      <c r="N12">
        <f>IF(Backend!O39="", "", Backend!O39)</f>
        <v>-0.85696289999999997</v>
      </c>
      <c r="O12">
        <f>IF(Backend!P39="", "", Backend!P39)</f>
        <v>0.57781280000000002</v>
      </c>
      <c r="P12">
        <f>IF(Backend!Q39="", "", Backend!Q39)</f>
        <v>-0.72091894999999995</v>
      </c>
      <c r="Q12">
        <f>IF(Backend!R39="", "", Backend!R39)</f>
        <v>-0.62944630000000001</v>
      </c>
      <c r="R12">
        <f>IF(Backend!S39="", "", Backend!S39)</f>
        <v>-0.85528636000000002</v>
      </c>
      <c r="S12">
        <f>IF(Backend!T39="", "", Backend!T39)</f>
        <v>0.66776305000000002</v>
      </c>
      <c r="T12">
        <f>IF(Backend!U39="", "", Backend!U39)</f>
        <v>-0.55237365000000005</v>
      </c>
      <c r="U12">
        <f>IF(Backend!V39="", "", Backend!V39)</f>
        <v>-0.22612572</v>
      </c>
      <c r="V12">
        <f>IF(Backend!W39="", "", Backend!W39)</f>
        <v>-0.42895177000000001</v>
      </c>
      <c r="W12">
        <f>IF(Backend!X39="", "", Backend!X39)</f>
        <v>-0.74490993999999999</v>
      </c>
      <c r="X12">
        <f>IF(Backend!Y39="", "", Backend!Y39)</f>
        <v>-0.28084110000000001</v>
      </c>
      <c r="Y12">
        <f>IF(Backend!Z39="", "", Backend!Z39)</f>
        <v>-0.84687230000000002</v>
      </c>
      <c r="Z12">
        <f>IF(Backend!AA39="", "", Backend!AA39)</f>
        <v>0.84158385000000002</v>
      </c>
      <c r="AA12">
        <f>IF(Backend!AB39="", "", Backend!AB39)</f>
        <v>-0.24121317</v>
      </c>
      <c r="AB12">
        <f>IF(Backend!AC39="", "", Backend!AC39)</f>
        <v>0.88925767</v>
      </c>
      <c r="AC12">
        <f>IF(Backend!AD39="", "", Backend!AD39)</f>
        <v>6.3121899999999995E-2</v>
      </c>
      <c r="AD12">
        <f>IF(Backend!AE39="", "", Backend!AE39)</f>
        <v>0.94520599999999999</v>
      </c>
      <c r="AE12">
        <f>IF(Backend!AF39="", "", Backend!AF39)</f>
        <v>-0.69439565999999997</v>
      </c>
      <c r="AF12">
        <f>IF(Backend!AG39="", "", Backend!AG39)</f>
        <v>0.20741076999999999</v>
      </c>
      <c r="AG12">
        <f>IF(Backend!AH39="", "", Backend!AH39)</f>
        <v>0.81852150000000001</v>
      </c>
      <c r="AH12">
        <f>IF(Backend!AI39="", "", Backend!AI39)</f>
        <v>-0.85398180000000001</v>
      </c>
      <c r="AI12">
        <f>IF(Backend!AJ39="", "", Backend!AJ39)</f>
        <v>0.108965166</v>
      </c>
      <c r="AJ12">
        <f>IF(Backend!AK39="", "", Backend!AK39)</f>
        <v>-0.81921460000000002</v>
      </c>
      <c r="AK12">
        <f>IF(Backend!AL39="", "", Backend!AL39)</f>
        <v>0.58628630000000004</v>
      </c>
      <c r="AL12">
        <f>IF(Backend!AM39="", "", Backend!AM39)</f>
        <v>0.60011594999999995</v>
      </c>
      <c r="AM12">
        <f>IF(Backend!AN39="", "", Backend!AN39)</f>
        <v>-0.76815120000000003</v>
      </c>
      <c r="AN12">
        <f>IF(Backend!AO39="", "", Backend!AO39)</f>
        <v>-0.68172102999999995</v>
      </c>
      <c r="AO12">
        <f>IF(Backend!AP39="", "", Backend!AP39)</f>
        <v>-0.26487252</v>
      </c>
      <c r="AP12">
        <f>IF(Backend!AQ39="", "", Backend!AQ39)</f>
        <v>-0.68108800000000003</v>
      </c>
      <c r="AQ12">
        <f>IF(Backend!AR39="", "", Backend!AR39)</f>
        <v>0.48790931999999998</v>
      </c>
      <c r="AR12">
        <f>IF(Backend!AS39="", "", Backend!AS39)</f>
        <v>-0.78352259999999996</v>
      </c>
      <c r="AS12">
        <f>IF(Backend!AT39="", "", Backend!AT39)</f>
        <v>-0.7538395</v>
      </c>
      <c r="AT12">
        <f>IF(Backend!AU39="", "", Backend!AU39)</f>
        <v>-0.85620320000000005</v>
      </c>
      <c r="AU12">
        <f>IF(Backend!AV39="", "", Backend!AV39)</f>
        <v>-0.7607488</v>
      </c>
      <c r="AV12">
        <f>IF(Backend!AW39="", "", Backend!AW39)</f>
        <v>0.69901997000000005</v>
      </c>
      <c r="AW12">
        <f>IF(Backend!AX39="", "", Backend!AX39)</f>
        <v>-1.0694057E-2</v>
      </c>
      <c r="AX12">
        <f>IF(Backend!AY39="", "", Backend!AY39)</f>
        <v>-0.26289289999999998</v>
      </c>
      <c r="AY12">
        <f>IF(Backend!AZ39="", "", Backend!AZ39)</f>
        <v>-0.64531079999999996</v>
      </c>
      <c r="AZ12">
        <f>IF(Backend!BA39="", "", Backend!BA39)</f>
        <v>-0.77629143</v>
      </c>
      <c r="BA12">
        <f>IF(Backend!BB39="", "", Backend!BB39)</f>
        <v>-0.11412773</v>
      </c>
      <c r="BB12">
        <f>IF(Backend!BC39="", "", Backend!BC39)</f>
        <v>0.48292141999999999</v>
      </c>
      <c r="BC12">
        <f>IF(Backend!BD39="", "", Backend!BD39)</f>
        <v>-0.81219739999999996</v>
      </c>
      <c r="BD12">
        <f>IF(Backend!BE39="", "", Backend!BE39)</f>
        <v>-0.47862807000000002</v>
      </c>
      <c r="BE12">
        <f>IF(Backend!BF39="", "", Backend!BF39)</f>
        <v>-0.53663086999999998</v>
      </c>
      <c r="BF12">
        <f>IF(Backend!BG39="", "", Backend!BG39)</f>
        <v>0.88894669999999998</v>
      </c>
      <c r="BG12">
        <f>IF(Backend!BH39="", "", Backend!BH39)</f>
        <v>0.57972849999999998</v>
      </c>
      <c r="BH12">
        <f>IF(Backend!BI39="", "", Backend!BI39)</f>
        <v>0.79974394999999998</v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BT Group plc</v>
      </c>
      <c r="B13">
        <f>IF(Backend!C40="", "", Backend!C40)</f>
        <v>0.69924350000000002</v>
      </c>
      <c r="C13">
        <f>IF(Backend!D40="", "", Backend!D40)</f>
        <v>0.27003820000000001</v>
      </c>
      <c r="D13">
        <f>IF(Backend!E40="", "", Backend!E40)</f>
        <v>0.54836779999999996</v>
      </c>
      <c r="E13">
        <f>IF(Backend!F40="", "", Backend!F40)</f>
        <v>0.67564385999999998</v>
      </c>
      <c r="F13">
        <f>IF(Backend!G40="", "", Backend!G40)</f>
        <v>4.6853334000000003E-2</v>
      </c>
      <c r="G13">
        <f>IF(Backend!H40="", "", Backend!H40)</f>
        <v>0.30657997999999997</v>
      </c>
      <c r="H13">
        <f>IF(Backend!I40="", "", Backend!I40)</f>
        <v>0.44835097000000002</v>
      </c>
      <c r="I13">
        <f>IF(Backend!J40="", "", Backend!J40)</f>
        <v>0.9092363</v>
      </c>
      <c r="J13">
        <f>IF(Backend!K40="", "", Backend!K40)</f>
        <v>-0.8071779</v>
      </c>
      <c r="K13">
        <f>IF(Backend!L40="", "", Backend!L40)</f>
        <v>1</v>
      </c>
      <c r="L13">
        <f>IF(Backend!M40="", "", Backend!M40)</f>
        <v>0.67776745999999999</v>
      </c>
      <c r="M13">
        <f>IF(Backend!N40="", "", Backend!N40)</f>
        <v>8.6370139999999998E-2</v>
      </c>
      <c r="N13">
        <f>IF(Backend!O40="", "", Backend!O40)</f>
        <v>0.84477645000000001</v>
      </c>
      <c r="O13">
        <f>IF(Backend!P40="", "", Backend!P40)</f>
        <v>-0.63031990000000004</v>
      </c>
      <c r="P13">
        <f>IF(Backend!Q40="", "", Backend!Q40)</f>
        <v>0.83493269999999997</v>
      </c>
      <c r="Q13">
        <f>IF(Backend!R40="", "", Backend!R40)</f>
        <v>0.64312060000000004</v>
      </c>
      <c r="R13">
        <f>IF(Backend!S40="", "", Backend!S40)</f>
        <v>0.87626139999999997</v>
      </c>
      <c r="S13">
        <f>IF(Backend!T40="", "", Backend!T40)</f>
        <v>-0.66709759999999996</v>
      </c>
      <c r="T13">
        <f>IF(Backend!U40="", "", Backend!U40)</f>
        <v>0.68660710000000003</v>
      </c>
      <c r="U13">
        <f>IF(Backend!V40="", "", Backend!V40)</f>
        <v>0.15016413000000001</v>
      </c>
      <c r="V13">
        <f>IF(Backend!W40="", "", Backend!W40)</f>
        <v>0.28177822000000002</v>
      </c>
      <c r="W13">
        <f>IF(Backend!X40="", "", Backend!X40)</f>
        <v>0.80485130000000005</v>
      </c>
      <c r="X13">
        <f>IF(Backend!Y40="", "", Backend!Y40)</f>
        <v>0.18145945999999999</v>
      </c>
      <c r="Y13">
        <f>IF(Backend!Z40="", "", Backend!Z40)</f>
        <v>0.79963550000000005</v>
      </c>
      <c r="Z13">
        <f>IF(Backend!AA40="", "", Backend!AA40)</f>
        <v>-0.72593949999999996</v>
      </c>
      <c r="AA13">
        <f>IF(Backend!AB40="", "", Backend!AB40)</f>
        <v>0.44055181999999998</v>
      </c>
      <c r="AB13">
        <f>IF(Backend!AC40="", "", Backend!AC40)</f>
        <v>-0.78239404999999995</v>
      </c>
      <c r="AC13">
        <f>IF(Backend!AD40="", "", Backend!AD40)</f>
        <v>-0.17813402</v>
      </c>
      <c r="AD13">
        <f>IF(Backend!AE40="", "", Backend!AE40)</f>
        <v>-0.82000065</v>
      </c>
      <c r="AE13">
        <f>IF(Backend!AF40="", "", Backend!AF40)</f>
        <v>0.7765801</v>
      </c>
      <c r="AF13">
        <f>IF(Backend!AG40="", "", Backend!AG40)</f>
        <v>-0.10808107</v>
      </c>
      <c r="AG13">
        <f>IF(Backend!AH40="", "", Backend!AH40)</f>
        <v>-0.72009800000000002</v>
      </c>
      <c r="AH13">
        <f>IF(Backend!AI40="", "", Backend!AI40)</f>
        <v>0.8930264</v>
      </c>
      <c r="AI13">
        <f>IF(Backend!AJ40="", "", Backend!AJ40)</f>
        <v>-0.1828564</v>
      </c>
      <c r="AJ13">
        <f>IF(Backend!AK40="", "", Backend!AK40)</f>
        <v>0.83378834000000002</v>
      </c>
      <c r="AK13">
        <f>IF(Backend!AL40="", "", Backend!AL40)</f>
        <v>-0.43731766999999999</v>
      </c>
      <c r="AL13">
        <f>IF(Backend!AM40="", "", Backend!AM40)</f>
        <v>-0.70584135999999997</v>
      </c>
      <c r="AM13">
        <f>IF(Backend!AN40="", "", Backend!AN40)</f>
        <v>0.80773910000000004</v>
      </c>
      <c r="AN13">
        <f>IF(Backend!AO40="", "", Backend!AO40)</f>
        <v>0.76238006000000003</v>
      </c>
      <c r="AO13">
        <f>IF(Backend!AP40="", "", Backend!AP40)</f>
        <v>0.238542</v>
      </c>
      <c r="AP13">
        <f>IF(Backend!AQ40="", "", Backend!AQ40)</f>
        <v>0.62797539999999996</v>
      </c>
      <c r="AQ13">
        <f>IF(Backend!AR40="", "", Backend!AR40)</f>
        <v>-0.41256844999999998</v>
      </c>
      <c r="AR13">
        <f>IF(Backend!AS40="", "", Backend!AS40)</f>
        <v>0.89092296000000004</v>
      </c>
      <c r="AS13">
        <f>IF(Backend!AT40="", "", Backend!AT40)</f>
        <v>0.81300419999999995</v>
      </c>
      <c r="AT13">
        <f>IF(Backend!AU40="", "", Backend!AU40)</f>
        <v>0.91451789999999999</v>
      </c>
      <c r="AU13">
        <f>IF(Backend!AV40="", "", Backend!AV40)</f>
        <v>0.85753285999999995</v>
      </c>
      <c r="AV13">
        <f>IF(Backend!AW40="", "", Backend!AW40)</f>
        <v>-0.5575753</v>
      </c>
      <c r="AW13">
        <f>IF(Backend!AX40="", "", Backend!AX40)</f>
        <v>-6.7157410000000001E-2</v>
      </c>
      <c r="AX13">
        <f>IF(Backend!AY40="", "", Backend!AY40)</f>
        <v>0.33238020000000001</v>
      </c>
      <c r="AY13">
        <f>IF(Backend!AZ40="", "", Backend!AZ40)</f>
        <v>0.75419559999999997</v>
      </c>
      <c r="AZ13">
        <f>IF(Backend!BA40="", "", Backend!BA40)</f>
        <v>0.73736970000000002</v>
      </c>
      <c r="BA13">
        <f>IF(Backend!BB40="", "", Backend!BB40)</f>
        <v>0.45212524999999998</v>
      </c>
      <c r="BB13">
        <f>IF(Backend!BC40="", "", Backend!BC40)</f>
        <v>-0.47771066000000001</v>
      </c>
      <c r="BC13">
        <f>IF(Backend!BD40="", "", Backend!BD40)</f>
        <v>0.92446189999999995</v>
      </c>
      <c r="BD13">
        <f>IF(Backend!BE40="", "", Backend!BE40)</f>
        <v>0.63607395</v>
      </c>
      <c r="BE13">
        <f>IF(Backend!BF40="", "", Backend!BF40)</f>
        <v>0.61284709999999998</v>
      </c>
      <c r="BF13">
        <f>IF(Backend!BG40="", "", Backend!BG40)</f>
        <v>-0.88556844000000001</v>
      </c>
      <c r="BG13">
        <f>IF(Backend!BH40="", "", Backend!BH40)</f>
        <v>-0.51710829999999997</v>
      </c>
      <c r="BH13">
        <f>IF(Backend!BI40="", "", Backend!BI40)</f>
        <v>-0.85107933999999996</v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Burberry Group plc</v>
      </c>
      <c r="B14">
        <f>IF(Backend!C41="", "", Backend!C41)</f>
        <v>0.42390242</v>
      </c>
      <c r="C14">
        <f>IF(Backend!D41="", "", Backend!D41)</f>
        <v>0.54118820000000001</v>
      </c>
      <c r="D14">
        <f>IF(Backend!E41="", "", Backend!E41)</f>
        <v>0.31093105999999998</v>
      </c>
      <c r="E14">
        <f>IF(Backend!F41="", "", Backend!F41)</f>
        <v>0.79302189999999995</v>
      </c>
      <c r="F14">
        <f>IF(Backend!G41="", "", Backend!G41)</f>
        <v>0.15297279999999999</v>
      </c>
      <c r="G14">
        <f>IF(Backend!H41="", "", Backend!H41)</f>
        <v>0.35090584000000002</v>
      </c>
      <c r="H14">
        <f>IF(Backend!I41="", "", Backend!I41)</f>
        <v>0.41574719999999998</v>
      </c>
      <c r="I14">
        <f>IF(Backend!J41="", "", Backend!J41)</f>
        <v>0.72076063999999995</v>
      </c>
      <c r="J14">
        <f>IF(Backend!K41="", "", Backend!K41)</f>
        <v>-0.5631912</v>
      </c>
      <c r="K14">
        <f>IF(Backend!L41="", "", Backend!L41)</f>
        <v>0.67776745999999999</v>
      </c>
      <c r="L14">
        <f>IF(Backend!M41="", "", Backend!M41)</f>
        <v>1</v>
      </c>
      <c r="M14">
        <f>IF(Backend!N41="", "", Backend!N41)</f>
        <v>-0.20153704</v>
      </c>
      <c r="N14">
        <f>IF(Backend!O41="", "", Backend!O41)</f>
        <v>0.7205106</v>
      </c>
      <c r="O14">
        <f>IF(Backend!P41="", "", Backend!P41)</f>
        <v>-0.41000745</v>
      </c>
      <c r="P14">
        <f>IF(Backend!Q41="", "", Backend!Q41)</f>
        <v>0.76563864999999998</v>
      </c>
      <c r="Q14">
        <f>IF(Backend!R41="", "", Backend!R41)</f>
        <v>0.55759203000000002</v>
      </c>
      <c r="R14">
        <f>IF(Backend!S41="", "", Backend!S41)</f>
        <v>0.68935685999999996</v>
      </c>
      <c r="S14">
        <f>IF(Backend!T41="", "", Backend!T41)</f>
        <v>-0.26485786</v>
      </c>
      <c r="T14">
        <f>IF(Backend!U41="", "", Backend!U41)</f>
        <v>0.62682760000000004</v>
      </c>
      <c r="U14">
        <f>IF(Backend!V41="", "", Backend!V41)</f>
        <v>0.57008910000000002</v>
      </c>
      <c r="V14">
        <f>IF(Backend!W41="", "", Backend!W41)</f>
        <v>0.40277624000000001</v>
      </c>
      <c r="W14">
        <f>IF(Backend!X41="", "", Backend!X41)</f>
        <v>0.82150639999999997</v>
      </c>
      <c r="X14">
        <f>IF(Backend!Y41="", "", Backend!Y41)</f>
        <v>0.55763483000000003</v>
      </c>
      <c r="Y14">
        <f>IF(Backend!Z41="", "", Backend!Z41)</f>
        <v>0.49758419999999998</v>
      </c>
      <c r="Z14">
        <f>IF(Backend!AA41="", "", Backend!AA41)</f>
        <v>-0.64232325999999995</v>
      </c>
      <c r="AA14">
        <f>IF(Backend!AB41="", "", Backend!AB41)</f>
        <v>0.70960690000000004</v>
      </c>
      <c r="AB14">
        <f>IF(Backend!AC41="", "", Backend!AC41)</f>
        <v>-0.45935535</v>
      </c>
      <c r="AC14">
        <f>IF(Backend!AD41="", "", Backend!AD41)</f>
        <v>0.22096165000000001</v>
      </c>
      <c r="AD14">
        <f>IF(Backend!AE41="", "", Backend!AE41)</f>
        <v>-0.56431240000000005</v>
      </c>
      <c r="AE14">
        <f>IF(Backend!AF41="", "", Backend!AF41)</f>
        <v>0.38664113999999999</v>
      </c>
      <c r="AF14">
        <f>IF(Backend!AG41="", "", Backend!AG41)</f>
        <v>0.11188591000000001</v>
      </c>
      <c r="AG14">
        <f>IF(Backend!AH41="", "", Backend!AH41)</f>
        <v>-0.76680879999999996</v>
      </c>
      <c r="AH14">
        <f>IF(Backend!AI41="", "", Backend!AI41)</f>
        <v>0.66384273999999999</v>
      </c>
      <c r="AI14">
        <f>IF(Backend!AJ41="", "", Backend!AJ41)</f>
        <v>2.6961852000000001E-2</v>
      </c>
      <c r="AJ14">
        <f>IF(Backend!AK41="", "", Backend!AK41)</f>
        <v>0.49651299999999998</v>
      </c>
      <c r="AK14">
        <f>IF(Backend!AL41="", "", Backend!AL41)</f>
        <v>4.8611630000000003E-2</v>
      </c>
      <c r="AL14">
        <f>IF(Backend!AM41="", "", Backend!AM41)</f>
        <v>-0.43061206000000002</v>
      </c>
      <c r="AM14">
        <f>IF(Backend!AN41="", "", Backend!AN41)</f>
        <v>0.77070090000000002</v>
      </c>
      <c r="AN14">
        <f>IF(Backend!AO41="", "", Backend!AO41)</f>
        <v>0.78865359999999995</v>
      </c>
      <c r="AO14">
        <f>IF(Backend!AP41="", "", Backend!AP41)</f>
        <v>0.39358187</v>
      </c>
      <c r="AP14">
        <f>IF(Backend!AQ41="", "", Backend!AQ41)</f>
        <v>0.62451029999999996</v>
      </c>
      <c r="AQ14">
        <f>IF(Backend!AR41="", "", Backend!AR41)</f>
        <v>-0.28833994000000002</v>
      </c>
      <c r="AR14">
        <f>IF(Backend!AS41="", "", Backend!AS41)</f>
        <v>0.62301580000000001</v>
      </c>
      <c r="AS14">
        <f>IF(Backend!AT41="", "", Backend!AT41)</f>
        <v>0.80318844</v>
      </c>
      <c r="AT14">
        <f>IF(Backend!AU41="", "", Backend!AU41)</f>
        <v>0.65557790000000005</v>
      </c>
      <c r="AU14">
        <f>IF(Backend!AV41="", "", Backend!AV41)</f>
        <v>0.78806370000000003</v>
      </c>
      <c r="AV14">
        <f>IF(Backend!AW41="", "", Backend!AW41)</f>
        <v>-6.7430240000000002E-2</v>
      </c>
      <c r="AW14">
        <f>IF(Backend!AX41="", "", Backend!AX41)</f>
        <v>0.30791913999999998</v>
      </c>
      <c r="AX14">
        <f>IF(Backend!AY41="", "", Backend!AY41)</f>
        <v>0.42385630000000002</v>
      </c>
      <c r="AY14">
        <f>IF(Backend!AZ41="", "", Backend!AZ41)</f>
        <v>0.64500690000000005</v>
      </c>
      <c r="AZ14">
        <f>IF(Backend!BA41="", "", Backend!BA41)</f>
        <v>0.66935164000000003</v>
      </c>
      <c r="BA14">
        <f>IF(Backend!BB41="", "", Backend!BB41)</f>
        <v>-6.0339138E-2</v>
      </c>
      <c r="BB14">
        <f>IF(Backend!BC41="", "", Backend!BC41)</f>
        <v>-5.8557487999999998E-2</v>
      </c>
      <c r="BC14">
        <f>IF(Backend!BD41="", "", Backend!BD41)</f>
        <v>0.71828530000000002</v>
      </c>
      <c r="BD14">
        <f>IF(Backend!BE41="", "", Backend!BE41)</f>
        <v>0.44983515000000002</v>
      </c>
      <c r="BE14">
        <f>IF(Backend!BF41="", "", Backend!BF41)</f>
        <v>0.44164305999999998</v>
      </c>
      <c r="BF14">
        <f>IF(Backend!BG41="", "", Backend!BG41)</f>
        <v>-0.69232519999999997</v>
      </c>
      <c r="BG14">
        <f>IF(Backend!BH41="", "", Backend!BH41)</f>
        <v>-0.62507135000000003</v>
      </c>
      <c r="BH14">
        <f>IF(Backend!BI41="", "", Backend!BI41)</f>
        <v>-0.60852399999999995</v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Carrefour SA</v>
      </c>
      <c r="B15">
        <f>IF(Backend!C42="", "", Backend!C42)</f>
        <v>0.14227279000000001</v>
      </c>
      <c r="C15">
        <f>IF(Backend!D42="", "", Backend!D42)</f>
        <v>4.8765019999999999E-2</v>
      </c>
      <c r="D15">
        <f>IF(Backend!E42="", "", Backend!E42)</f>
        <v>0.21690701000000001</v>
      </c>
      <c r="E15">
        <f>IF(Backend!F42="", "", Backend!F42)</f>
        <v>-1.6797610000000001E-2</v>
      </c>
      <c r="F15">
        <f>IF(Backend!G42="", "", Backend!G42)</f>
        <v>-0.31968210000000002</v>
      </c>
      <c r="G15">
        <f>IF(Backend!H42="", "", Backend!H42)</f>
        <v>0.12600553</v>
      </c>
      <c r="H15">
        <f>IF(Backend!I42="", "", Backend!I42)</f>
        <v>-0.110639796</v>
      </c>
      <c r="I15">
        <f>IF(Backend!J42="", "", Backend!J42)</f>
        <v>0.15161063999999999</v>
      </c>
      <c r="J15">
        <f>IF(Backend!K42="", "", Backend!K42)</f>
        <v>-0.36896237999999998</v>
      </c>
      <c r="K15">
        <f>IF(Backend!L42="", "", Backend!L42)</f>
        <v>8.6370139999999998E-2</v>
      </c>
      <c r="L15">
        <f>IF(Backend!M42="", "", Backend!M42)</f>
        <v>-0.20153704</v>
      </c>
      <c r="M15">
        <f>IF(Backend!N42="", "", Backend!N42)</f>
        <v>1</v>
      </c>
      <c r="N15">
        <f>IF(Backend!O42="", "", Backend!O42)</f>
        <v>0.16525796000000001</v>
      </c>
      <c r="O15">
        <f>IF(Backend!P42="", "", Backend!P42)</f>
        <v>-4.7962449999999997E-2</v>
      </c>
      <c r="P15">
        <f>IF(Backend!Q42="", "", Backend!Q42)</f>
        <v>6.4771209999999996E-2</v>
      </c>
      <c r="Q15">
        <f>IF(Backend!R42="", "", Backend!R42)</f>
        <v>0.17058226000000001</v>
      </c>
      <c r="R15">
        <f>IF(Backend!S42="", "", Backend!S42)</f>
        <v>0.21568248000000001</v>
      </c>
      <c r="S15">
        <f>IF(Backend!T42="", "", Backend!T42)</f>
        <v>-0.19370301000000001</v>
      </c>
      <c r="T15">
        <f>IF(Backend!U42="", "", Backend!U42)</f>
        <v>0.11294582</v>
      </c>
      <c r="U15">
        <f>IF(Backend!V42="", "", Backend!V42)</f>
        <v>-0.15534753000000001</v>
      </c>
      <c r="V15">
        <f>IF(Backend!W42="", "", Backend!W42)</f>
        <v>0.17277836999999999</v>
      </c>
      <c r="W15">
        <f>IF(Backend!X42="", "", Backend!X42)</f>
        <v>0.119920254</v>
      </c>
      <c r="X15">
        <f>IF(Backend!Y42="", "", Backend!Y42)</f>
        <v>-0.107257165</v>
      </c>
      <c r="Y15">
        <f>IF(Backend!Z42="", "", Backend!Z42)</f>
        <v>0.31840318000000001</v>
      </c>
      <c r="Z15">
        <f>IF(Backend!AA42="", "", Backend!AA42)</f>
        <v>-0.120453455</v>
      </c>
      <c r="AA15">
        <f>IF(Backend!AB42="", "", Backend!AB42)</f>
        <v>-0.18763568</v>
      </c>
      <c r="AB15">
        <f>IF(Backend!AC42="", "", Backend!AC42)</f>
        <v>-0.28062963000000002</v>
      </c>
      <c r="AC15">
        <f>IF(Backend!AD42="", "", Backend!AD42)</f>
        <v>-0.10506791</v>
      </c>
      <c r="AD15">
        <f>IF(Backend!AE42="", "", Backend!AE42)</f>
        <v>-0.26746827000000001</v>
      </c>
      <c r="AE15">
        <f>IF(Backend!AF42="", "", Backend!AF42)</f>
        <v>0.30194870000000001</v>
      </c>
      <c r="AF15">
        <f>IF(Backend!AG42="", "", Backend!AG42)</f>
        <v>-5.0257780000000002E-2</v>
      </c>
      <c r="AG15">
        <f>IF(Backend!AH42="", "", Backend!AH42)</f>
        <v>-8.4400824999999999E-2</v>
      </c>
      <c r="AH15">
        <f>IF(Backend!AI42="", "", Backend!AI42)</f>
        <v>0.19579733999999999</v>
      </c>
      <c r="AI15">
        <f>IF(Backend!AJ42="", "", Backend!AJ42)</f>
        <v>3.4753196E-2</v>
      </c>
      <c r="AJ15">
        <f>IF(Backend!AK42="", "", Backend!AK42)</f>
        <v>0.22724369</v>
      </c>
      <c r="AK15">
        <f>IF(Backend!AL42="", "", Backend!AL42)</f>
        <v>-0.37856733999999997</v>
      </c>
      <c r="AL15">
        <f>IF(Backend!AM42="", "", Backend!AM42)</f>
        <v>1.2488977E-2</v>
      </c>
      <c r="AM15">
        <f>IF(Backend!AN42="", "", Backend!AN42)</f>
        <v>5.1202584000000002E-2</v>
      </c>
      <c r="AN15">
        <f>IF(Backend!AO42="", "", Backend!AO42)</f>
        <v>2.9789856E-2</v>
      </c>
      <c r="AO15">
        <f>IF(Backend!AP42="", "", Backend!AP42)</f>
        <v>9.5734949999999999E-2</v>
      </c>
      <c r="AP15">
        <f>IF(Backend!AQ42="", "", Backend!AQ42)</f>
        <v>0.22595982000000001</v>
      </c>
      <c r="AQ15">
        <f>IF(Backend!AR42="", "", Backend!AR42)</f>
        <v>-5.8464996999999998E-2</v>
      </c>
      <c r="AR15">
        <f>IF(Backend!AS42="", "", Backend!AS42)</f>
        <v>8.8699E-2</v>
      </c>
      <c r="AS15">
        <f>IF(Backend!AT42="", "", Backend!AT42)</f>
        <v>0.14093421</v>
      </c>
      <c r="AT15">
        <f>IF(Backend!AU42="", "", Backend!AU42)</f>
        <v>0.11505598</v>
      </c>
      <c r="AU15">
        <f>IF(Backend!AV42="", "", Backend!AV42)</f>
        <v>-1.8315399E-2</v>
      </c>
      <c r="AV15">
        <f>IF(Backend!AW42="", "", Backend!AW42)</f>
        <v>-0.33393747000000001</v>
      </c>
      <c r="AW15">
        <f>IF(Backend!AX42="", "", Backend!AX42)</f>
        <v>4.1452444999999997E-2</v>
      </c>
      <c r="AX15">
        <f>IF(Backend!AY42="", "", Backend!AY42)</f>
        <v>9.819145E-2</v>
      </c>
      <c r="AY15">
        <f>IF(Backend!AZ42="", "", Backend!AZ42)</f>
        <v>2.7506148000000001E-2</v>
      </c>
      <c r="AZ15">
        <f>IF(Backend!BA42="", "", Backend!BA42)</f>
        <v>0.18731938000000001</v>
      </c>
      <c r="BA15">
        <f>IF(Backend!BB42="", "", Backend!BB42)</f>
        <v>0.12517357000000001</v>
      </c>
      <c r="BB15">
        <f>IF(Backend!BC42="", "", Backend!BC42)</f>
        <v>-0.16226784999999999</v>
      </c>
      <c r="BC15">
        <f>IF(Backend!BD42="", "", Backend!BD42)</f>
        <v>0.18505651000000001</v>
      </c>
      <c r="BD15">
        <f>IF(Backend!BE42="", "", Backend!BE42)</f>
        <v>-1.8129415999999999E-2</v>
      </c>
      <c r="BE15">
        <f>IF(Backend!BF42="", "", Backend!BF42)</f>
        <v>-0.11000804</v>
      </c>
      <c r="BF15">
        <f>IF(Backend!BG42="", "", Backend!BG42)</f>
        <v>-0.12763831</v>
      </c>
      <c r="BG15">
        <f>IF(Backend!BH42="", "", Backend!BH42)</f>
        <v>0.16343241999999999</v>
      </c>
      <c r="BH15">
        <f>IF(Backend!BI42="", "", Backend!BI42)</f>
        <v>-4.4200297E-2</v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Continental AG</v>
      </c>
      <c r="B16">
        <f>IF(Backend!C43="", "", Backend!C43)</f>
        <v>0.51561623999999995</v>
      </c>
      <c r="C16">
        <f>IF(Backend!D43="", "", Backend!D43)</f>
        <v>0.4387123</v>
      </c>
      <c r="D16">
        <f>IF(Backend!E43="", "", Backend!E43)</f>
        <v>0.43026164</v>
      </c>
      <c r="E16">
        <f>IF(Backend!F43="", "", Backend!F43)</f>
        <v>0.77409419999999995</v>
      </c>
      <c r="F16">
        <f>IF(Backend!G43="", "", Backend!G43)</f>
        <v>-0.12011125</v>
      </c>
      <c r="G16">
        <f>IF(Backend!H43="", "", Backend!H43)</f>
        <v>0.44226264999999998</v>
      </c>
      <c r="H16">
        <f>IF(Backend!I43="", "", Backend!I43)</f>
        <v>0.47000577999999998</v>
      </c>
      <c r="I16">
        <f>IF(Backend!J43="", "", Backend!J43)</f>
        <v>0.88760746000000001</v>
      </c>
      <c r="J16">
        <f>IF(Backend!K43="", "", Backend!K43)</f>
        <v>-0.85696289999999997</v>
      </c>
      <c r="K16">
        <f>IF(Backend!L43="", "", Backend!L43)</f>
        <v>0.84477645000000001</v>
      </c>
      <c r="L16">
        <f>IF(Backend!M43="", "", Backend!M43)</f>
        <v>0.7205106</v>
      </c>
      <c r="M16">
        <f>IF(Backend!N43="", "", Backend!N43)</f>
        <v>0.16525796000000001</v>
      </c>
      <c r="N16">
        <f>IF(Backend!O43="", "", Backend!O43)</f>
        <v>1</v>
      </c>
      <c r="O16">
        <f>IF(Backend!P43="", "", Backend!P43)</f>
        <v>-0.67369634</v>
      </c>
      <c r="P16">
        <f>IF(Backend!Q43="", "", Backend!Q43)</f>
        <v>0.79375947000000002</v>
      </c>
      <c r="Q16">
        <f>IF(Backend!R43="", "", Backend!R43)</f>
        <v>0.78961780000000004</v>
      </c>
      <c r="R16">
        <f>IF(Backend!S43="", "", Backend!S43)</f>
        <v>0.89083650000000003</v>
      </c>
      <c r="S16">
        <f>IF(Backend!T43="", "", Backend!T43)</f>
        <v>-0.64312016999999999</v>
      </c>
      <c r="T16">
        <f>IF(Backend!U43="", "", Backend!U43)</f>
        <v>0.61888410000000005</v>
      </c>
      <c r="U16">
        <f>IF(Backend!V43="", "", Backend!V43)</f>
        <v>0.18043092999999999</v>
      </c>
      <c r="V16">
        <f>IF(Backend!W43="", "", Backend!W43)</f>
        <v>0.46562949999999997</v>
      </c>
      <c r="W16">
        <f>IF(Backend!X43="", "", Backend!X43)</f>
        <v>0.75171745000000001</v>
      </c>
      <c r="X16">
        <f>IF(Backend!Y43="", "", Backend!Y43)</f>
        <v>0.34267959999999997</v>
      </c>
      <c r="Y16">
        <f>IF(Backend!Z43="", "", Backend!Z43)</f>
        <v>0.8980532</v>
      </c>
      <c r="Z16">
        <f>IF(Backend!AA43="", "", Backend!AA43)</f>
        <v>-0.86581870000000005</v>
      </c>
      <c r="AA16">
        <f>IF(Backend!AB43="", "", Backend!AB43)</f>
        <v>0.38531705999999999</v>
      </c>
      <c r="AB16">
        <f>IF(Backend!AC43="", "", Backend!AC43)</f>
        <v>-0.84252190000000005</v>
      </c>
      <c r="AC16">
        <f>IF(Backend!AD43="", "", Backend!AD43)</f>
        <v>-6.5665100000000004E-2</v>
      </c>
      <c r="AD16">
        <f>IF(Backend!AE43="", "", Backend!AE43)</f>
        <v>-0.90651369999999998</v>
      </c>
      <c r="AE16">
        <f>IF(Backend!AF43="", "", Backend!AF43)</f>
        <v>0.60458020000000001</v>
      </c>
      <c r="AF16">
        <f>IF(Backend!AG43="", "", Backend!AG43)</f>
        <v>-0.27474179999999998</v>
      </c>
      <c r="AG16">
        <f>IF(Backend!AH43="", "", Backend!AH43)</f>
        <v>-0.79679215000000003</v>
      </c>
      <c r="AH16">
        <f>IF(Backend!AI43="", "", Backend!AI43)</f>
        <v>0.9410153</v>
      </c>
      <c r="AI16">
        <f>IF(Backend!AJ43="", "", Backend!AJ43)</f>
        <v>-0.12758832000000001</v>
      </c>
      <c r="AJ16">
        <f>IF(Backend!AK43="", "", Backend!AK43)</f>
        <v>0.81784475000000001</v>
      </c>
      <c r="AK16">
        <f>IF(Backend!AL43="", "", Backend!AL43)</f>
        <v>-0.45200216999999998</v>
      </c>
      <c r="AL16">
        <f>IF(Backend!AM43="", "", Backend!AM43)</f>
        <v>-0.72888160000000002</v>
      </c>
      <c r="AM16">
        <f>IF(Backend!AN43="", "", Backend!AN43)</f>
        <v>0.82330570000000003</v>
      </c>
      <c r="AN16">
        <f>IF(Backend!AO43="", "", Backend!AO43)</f>
        <v>0.75484329999999999</v>
      </c>
      <c r="AO16">
        <f>IF(Backend!AP43="", "", Backend!AP43)</f>
        <v>0.18991517999999999</v>
      </c>
      <c r="AP16">
        <f>IF(Backend!AQ43="", "", Backend!AQ43)</f>
        <v>0.7040341</v>
      </c>
      <c r="AQ16">
        <f>IF(Backend!AR43="", "", Backend!AR43)</f>
        <v>-0.23053828000000001</v>
      </c>
      <c r="AR16">
        <f>IF(Backend!AS43="", "", Backend!AS43)</f>
        <v>0.87439007000000002</v>
      </c>
      <c r="AS16">
        <f>IF(Backend!AT43="", "", Backend!AT43)</f>
        <v>0.75079560000000001</v>
      </c>
      <c r="AT16">
        <f>IF(Backend!AU43="", "", Backend!AU43)</f>
        <v>0.91828330000000002</v>
      </c>
      <c r="AU16">
        <f>IF(Backend!AV43="", "", Backend!AV43)</f>
        <v>0.87210080000000001</v>
      </c>
      <c r="AV16">
        <f>IF(Backend!AW43="", "", Backend!AW43)</f>
        <v>-0.60582329999999995</v>
      </c>
      <c r="AW16">
        <f>IF(Backend!AX43="", "", Backend!AX43)</f>
        <v>0.10926559600000001</v>
      </c>
      <c r="AX16">
        <f>IF(Backend!AY43="", "", Backend!AY43)</f>
        <v>0.28868060000000001</v>
      </c>
      <c r="AY16">
        <f>IF(Backend!AZ43="", "", Backend!AZ43)</f>
        <v>0.69933575000000003</v>
      </c>
      <c r="AZ16">
        <f>IF(Backend!BA43="", "", Backend!BA43)</f>
        <v>0.76758029999999999</v>
      </c>
      <c r="BA16">
        <f>IF(Backend!BB43="", "", Backend!BB43)</f>
        <v>0.21150516</v>
      </c>
      <c r="BB16">
        <f>IF(Backend!BC43="", "", Backend!BC43)</f>
        <v>-0.51835989999999998</v>
      </c>
      <c r="BC16">
        <f>IF(Backend!BD43="", "", Backend!BD43)</f>
        <v>0.85867083</v>
      </c>
      <c r="BD16">
        <f>IF(Backend!BE43="", "", Backend!BE43)</f>
        <v>0.678226</v>
      </c>
      <c r="BE16">
        <f>IF(Backend!BF43="", "", Backend!BF43)</f>
        <v>0.71735490000000002</v>
      </c>
      <c r="BF16">
        <f>IF(Backend!BG43="", "", Backend!BG43)</f>
        <v>-0.82610910000000004</v>
      </c>
      <c r="BG16">
        <f>IF(Backend!BH43="", "", Backend!BH43)</f>
        <v>-0.66899050000000004</v>
      </c>
      <c r="BH16">
        <f>IF(Backend!BI43="", "", Backend!BI43)</f>
        <v>-0.84056359999999997</v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Dentsu Group Inc.</v>
      </c>
      <c r="B17">
        <f>IF(Backend!C44="", "", Backend!C44)</f>
        <v>-0.41538740000000002</v>
      </c>
      <c r="C17">
        <f>IF(Backend!D44="", "", Backend!D44)</f>
        <v>-0.13249712999999999</v>
      </c>
      <c r="D17">
        <f>IF(Backend!E44="", "", Backend!E44)</f>
        <v>-0.34314430000000001</v>
      </c>
      <c r="E17">
        <f>IF(Backend!F44="", "", Backend!F44)</f>
        <v>-0.4651805</v>
      </c>
      <c r="F17">
        <f>IF(Backend!G44="", "", Backend!G44)</f>
        <v>-2.401644E-2</v>
      </c>
      <c r="G17">
        <f>IF(Backend!H44="", "", Backend!H44)</f>
        <v>-0.18163246999999999</v>
      </c>
      <c r="H17">
        <f>IF(Backend!I44="", "", Backend!I44)</f>
        <v>-0.57648520000000003</v>
      </c>
      <c r="I17">
        <f>IF(Backend!J44="", "", Backend!J44)</f>
        <v>-0.67658720000000006</v>
      </c>
      <c r="J17">
        <f>IF(Backend!K44="", "", Backend!K44)</f>
        <v>0.57781280000000002</v>
      </c>
      <c r="K17">
        <f>IF(Backend!L44="", "", Backend!L44)</f>
        <v>-0.63031990000000004</v>
      </c>
      <c r="L17">
        <f>IF(Backend!M44="", "", Backend!M44)</f>
        <v>-0.41000745</v>
      </c>
      <c r="M17">
        <f>IF(Backend!N44="", "", Backend!N44)</f>
        <v>-4.7962449999999997E-2</v>
      </c>
      <c r="N17">
        <f>IF(Backend!O44="", "", Backend!O44)</f>
        <v>-0.67369634</v>
      </c>
      <c r="O17">
        <f>IF(Backend!P44="", "", Backend!P44)</f>
        <v>1</v>
      </c>
      <c r="P17">
        <f>IF(Backend!Q44="", "", Backend!Q44)</f>
        <v>-0.49270471999999998</v>
      </c>
      <c r="Q17">
        <f>IF(Backend!R44="", "", Backend!R44)</f>
        <v>-0.57101599999999997</v>
      </c>
      <c r="R17">
        <f>IF(Backend!S44="", "", Backend!S44)</f>
        <v>-0.57638573999999998</v>
      </c>
      <c r="S17">
        <f>IF(Backend!T44="", "", Backend!T44)</f>
        <v>0.70619370000000004</v>
      </c>
      <c r="T17">
        <f>IF(Backend!U44="", "", Backend!U44)</f>
        <v>-0.39883506000000002</v>
      </c>
      <c r="U17">
        <f>IF(Backend!V44="", "", Backend!V44)</f>
        <v>0.15376200000000001</v>
      </c>
      <c r="V17">
        <f>IF(Backend!W44="", "", Backend!W44)</f>
        <v>-0.14829959000000001</v>
      </c>
      <c r="W17">
        <f>IF(Backend!X44="", "", Backend!X44)</f>
        <v>-0.29287540000000001</v>
      </c>
      <c r="X17">
        <f>IF(Backend!Y44="", "", Backend!Y44)</f>
        <v>-0.14110134999999999</v>
      </c>
      <c r="Y17">
        <f>IF(Backend!Z44="", "", Backend!Z44)</f>
        <v>-0.72369254000000005</v>
      </c>
      <c r="Z17">
        <f>IF(Backend!AA44="", "", Backend!AA44)</f>
        <v>0.57146379999999997</v>
      </c>
      <c r="AA17">
        <f>IF(Backend!AB44="", "", Backend!AB44)</f>
        <v>-7.8754370000000004E-2</v>
      </c>
      <c r="AB17">
        <f>IF(Backend!AC44="", "", Backend!AC44)</f>
        <v>0.68172085000000004</v>
      </c>
      <c r="AC17">
        <f>IF(Backend!AD44="", "", Backend!AD44)</f>
        <v>0.29638130000000001</v>
      </c>
      <c r="AD17">
        <f>IF(Backend!AE44="", "", Backend!AE44)</f>
        <v>0.66062145999999999</v>
      </c>
      <c r="AE17">
        <f>IF(Backend!AF44="", "", Backend!AF44)</f>
        <v>-0.32777020000000001</v>
      </c>
      <c r="AF17">
        <f>IF(Backend!AG44="", "", Backend!AG44)</f>
        <v>0.41829665999999999</v>
      </c>
      <c r="AG17">
        <f>IF(Backend!AH44="", "", Backend!AH44)</f>
        <v>0.49337429999999999</v>
      </c>
      <c r="AH17">
        <f>IF(Backend!AI44="", "", Backend!AI44)</f>
        <v>-0.70729184</v>
      </c>
      <c r="AI17">
        <f>IF(Backend!AJ44="", "", Backend!AJ44)</f>
        <v>0.47433069999999999</v>
      </c>
      <c r="AJ17">
        <f>IF(Backend!AK44="", "", Backend!AK44)</f>
        <v>-0.69789374000000004</v>
      </c>
      <c r="AK17">
        <f>IF(Backend!AL44="", "", Backend!AL44)</f>
        <v>0.41933626000000002</v>
      </c>
      <c r="AL17">
        <f>IF(Backend!AM44="", "", Backend!AM44)</f>
        <v>0.82880379999999998</v>
      </c>
      <c r="AM17">
        <f>IF(Backend!AN44="", "", Backend!AN44)</f>
        <v>-0.47308463000000001</v>
      </c>
      <c r="AN17">
        <f>IF(Backend!AO44="", "", Backend!AO44)</f>
        <v>-0.40231106</v>
      </c>
      <c r="AO17">
        <f>IF(Backend!AP44="", "", Backend!AP44)</f>
        <v>0.12938182000000001</v>
      </c>
      <c r="AP17">
        <f>IF(Backend!AQ44="", "", Backend!AQ44)</f>
        <v>-0.36009740000000001</v>
      </c>
      <c r="AQ17">
        <f>IF(Backend!AR44="", "", Backend!AR44)</f>
        <v>-0.14581588000000001</v>
      </c>
      <c r="AR17">
        <f>IF(Backend!AS44="", "", Backend!AS44)</f>
        <v>-0.69405269999999997</v>
      </c>
      <c r="AS17">
        <f>IF(Backend!AT44="", "", Backend!AT44)</f>
        <v>-0.33195764</v>
      </c>
      <c r="AT17">
        <f>IF(Backend!AU44="", "", Backend!AU44)</f>
        <v>-0.73088759999999997</v>
      </c>
      <c r="AU17">
        <f>IF(Backend!AV44="", "", Backend!AV44)</f>
        <v>-0.64479584000000001</v>
      </c>
      <c r="AV17">
        <f>IF(Backend!AW44="", "", Backend!AW44)</f>
        <v>0.57683419999999996</v>
      </c>
      <c r="AW17">
        <f>IF(Backend!AX44="", "", Backend!AX44)</f>
        <v>2.9784954999999998E-2</v>
      </c>
      <c r="AX17">
        <f>IF(Backend!AY44="", "", Backend!AY44)</f>
        <v>4.1166755999999999E-2</v>
      </c>
      <c r="AY17">
        <f>IF(Backend!AZ44="", "", Backend!AZ44)</f>
        <v>-0.48448032000000002</v>
      </c>
      <c r="AZ17">
        <f>IF(Backend!BA44="", "", Backend!BA44)</f>
        <v>-0.44588503000000002</v>
      </c>
      <c r="BA17">
        <f>IF(Backend!BB44="", "", Backend!BB44)</f>
        <v>-0.33413022999999997</v>
      </c>
      <c r="BB17">
        <f>IF(Backend!BC44="", "", Backend!BC44)</f>
        <v>0.70594710000000005</v>
      </c>
      <c r="BC17">
        <f>IF(Backend!BD44="", "", Backend!BD44)</f>
        <v>-0.56319649999999999</v>
      </c>
      <c r="BD17">
        <f>IF(Backend!BE44="", "", Backend!BE44)</f>
        <v>-0.73861723999999995</v>
      </c>
      <c r="BE17">
        <f>IF(Backend!BF44="", "", Backend!BF44)</f>
        <v>-0.75103204999999995</v>
      </c>
      <c r="BF17">
        <f>IF(Backend!BG44="", "", Backend!BG44)</f>
        <v>0.57177849999999997</v>
      </c>
      <c r="BG17">
        <f>IF(Backend!BH44="", "", Backend!BH44)</f>
        <v>0.70504619999999996</v>
      </c>
      <c r="BH17">
        <f>IF(Backend!BI44="", "", Backend!BI44)</f>
        <v>0.719136</v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Eni S.p.A.</v>
      </c>
      <c r="B18">
        <f>IF(Backend!C45="", "", Backend!C45)</f>
        <v>0.63420900000000002</v>
      </c>
      <c r="C18">
        <f>IF(Backend!D45="", "", Backend!D45)</f>
        <v>0.62873159999999995</v>
      </c>
      <c r="D18">
        <f>IF(Backend!E45="", "", Backend!E45)</f>
        <v>0.64882700000000004</v>
      </c>
      <c r="E18">
        <f>IF(Backend!F45="", "", Backend!F45)</f>
        <v>0.87284625000000005</v>
      </c>
      <c r="F18">
        <f>IF(Backend!G45="", "", Backend!G45)</f>
        <v>0.22705544999999999</v>
      </c>
      <c r="G18">
        <f>IF(Backend!H45="", "", Backend!H45)</f>
        <v>0.60929580000000005</v>
      </c>
      <c r="H18">
        <f>IF(Backend!I45="", "", Backend!I45)</f>
        <v>0.48075380000000001</v>
      </c>
      <c r="I18">
        <f>IF(Backend!J45="", "", Backend!J45)</f>
        <v>0.88233536000000001</v>
      </c>
      <c r="J18">
        <f>IF(Backend!K45="", "", Backend!K45)</f>
        <v>-0.72091894999999995</v>
      </c>
      <c r="K18">
        <f>IF(Backend!L45="", "", Backend!L45)</f>
        <v>0.83493269999999997</v>
      </c>
      <c r="L18">
        <f>IF(Backend!M45="", "", Backend!M45)</f>
        <v>0.76563864999999998</v>
      </c>
      <c r="M18">
        <f>IF(Backend!N45="", "", Backend!N45)</f>
        <v>6.4771209999999996E-2</v>
      </c>
      <c r="N18">
        <f>IF(Backend!O45="", "", Backend!O45)</f>
        <v>0.79375947000000002</v>
      </c>
      <c r="O18">
        <f>IF(Backend!P45="", "", Backend!P45)</f>
        <v>-0.49270471999999998</v>
      </c>
      <c r="P18">
        <f>IF(Backend!Q45="", "", Backend!Q45)</f>
        <v>1</v>
      </c>
      <c r="Q18">
        <f>IF(Backend!R45="", "", Backend!R45)</f>
        <v>0.76255315999999995</v>
      </c>
      <c r="R18">
        <f>IF(Backend!S45="", "", Backend!S45)</f>
        <v>0.90835929999999998</v>
      </c>
      <c r="S18">
        <f>IF(Backend!T45="", "", Backend!T45)</f>
        <v>-0.33323385999999999</v>
      </c>
      <c r="T18">
        <f>IF(Backend!U45="", "", Backend!U45)</f>
        <v>0.62978904999999996</v>
      </c>
      <c r="U18">
        <f>IF(Backend!V45="", "", Backend!V45)</f>
        <v>0.47665693999999997</v>
      </c>
      <c r="V18">
        <f>IF(Backend!W45="", "", Backend!W45)</f>
        <v>0.63697309999999996</v>
      </c>
      <c r="W18">
        <f>IF(Backend!X45="", "", Backend!X45)</f>
        <v>0.82695739999999995</v>
      </c>
      <c r="X18">
        <f>IF(Backend!Y45="", "", Backend!Y45)</f>
        <v>0.57765840000000002</v>
      </c>
      <c r="Y18">
        <f>IF(Backend!Z45="", "", Backend!Z45)</f>
        <v>0.64118825999999995</v>
      </c>
      <c r="Z18">
        <f>IF(Backend!AA45="", "", Backend!AA45)</f>
        <v>-0.70841189999999998</v>
      </c>
      <c r="AA18">
        <f>IF(Backend!AB45="", "", Backend!AB45)</f>
        <v>0.65344290000000005</v>
      </c>
      <c r="AB18">
        <f>IF(Backend!AC45="", "", Backend!AC45)</f>
        <v>-0.67860690000000001</v>
      </c>
      <c r="AC18">
        <f>IF(Backend!AD45="", "", Backend!AD45)</f>
        <v>0.24134706</v>
      </c>
      <c r="AD18">
        <f>IF(Backend!AE45="", "", Backend!AE45)</f>
        <v>-0.73100966000000001</v>
      </c>
      <c r="AE18">
        <f>IF(Backend!AF45="", "", Backend!AF45)</f>
        <v>0.72788310000000001</v>
      </c>
      <c r="AF18">
        <f>IF(Backend!AG45="", "", Backend!AG45)</f>
        <v>0.18674412000000001</v>
      </c>
      <c r="AG18">
        <f>IF(Backend!AH45="", "", Backend!AH45)</f>
        <v>-0.83691890000000002</v>
      </c>
      <c r="AH18">
        <f>IF(Backend!AI45="", "", Backend!AI45)</f>
        <v>0.81519350000000002</v>
      </c>
      <c r="AI18">
        <f>IF(Backend!AJ45="", "", Backend!AJ45)</f>
        <v>0.17064778999999999</v>
      </c>
      <c r="AJ18">
        <f>IF(Backend!AK45="", "", Backend!AK45)</f>
        <v>0.78492609999999996</v>
      </c>
      <c r="AK18">
        <f>IF(Backend!AL45="", "", Backend!AL45)</f>
        <v>-0.101046264</v>
      </c>
      <c r="AL18">
        <f>IF(Backend!AM45="", "", Backend!AM45)</f>
        <v>-0.55485695999999995</v>
      </c>
      <c r="AM18">
        <f>IF(Backend!AN45="", "", Backend!AN45)</f>
        <v>0.96069309999999997</v>
      </c>
      <c r="AN18">
        <f>IF(Backend!AO45="", "", Backend!AO45)</f>
        <v>0.95083076</v>
      </c>
      <c r="AO18">
        <f>IF(Backend!AP45="", "", Backend!AP45)</f>
        <v>0.54785609999999996</v>
      </c>
      <c r="AP18">
        <f>IF(Backend!AQ45="", "", Backend!AQ45)</f>
        <v>0.84203534999999996</v>
      </c>
      <c r="AQ18">
        <f>IF(Backend!AR45="", "", Backend!AR45)</f>
        <v>-0.34601982999999997</v>
      </c>
      <c r="AR18">
        <f>IF(Backend!AS45="", "", Backend!AS45)</f>
        <v>0.83292836000000003</v>
      </c>
      <c r="AS18">
        <f>IF(Backend!AT45="", "", Backend!AT45)</f>
        <v>0.8776737</v>
      </c>
      <c r="AT18">
        <f>IF(Backend!AU45="", "", Backend!AU45)</f>
        <v>0.83442384000000003</v>
      </c>
      <c r="AU18">
        <f>IF(Backend!AV45="", "", Backend!AV45)</f>
        <v>0.92269659999999998</v>
      </c>
      <c r="AV18">
        <f>IF(Backend!AW45="", "", Backend!AW45)</f>
        <v>-0.25592363000000001</v>
      </c>
      <c r="AW18">
        <f>IF(Backend!AX45="", "", Backend!AX45)</f>
        <v>0.34740959999999999</v>
      </c>
      <c r="AX18">
        <f>IF(Backend!AY45="", "", Backend!AY45)</f>
        <v>0.68819019999999997</v>
      </c>
      <c r="AY18">
        <f>IF(Backend!AZ45="", "", Backend!AZ45)</f>
        <v>0.90327369999999996</v>
      </c>
      <c r="AZ18">
        <f>IF(Backend!BA45="", "", Backend!BA45)</f>
        <v>0.88588599999999995</v>
      </c>
      <c r="BA18">
        <f>IF(Backend!BB45="", "", Backend!BB45)</f>
        <v>0.15885257999999999</v>
      </c>
      <c r="BB18">
        <f>IF(Backend!BC45="", "", Backend!BC45)</f>
        <v>-0.20471228999999999</v>
      </c>
      <c r="BC18">
        <f>IF(Backend!BD45="", "", Backend!BD45)</f>
        <v>0.93208469999999999</v>
      </c>
      <c r="BD18">
        <f>IF(Backend!BE45="", "", Backend!BE45)</f>
        <v>0.54884993999999998</v>
      </c>
      <c r="BE18">
        <f>IF(Backend!BF45="", "", Backend!BF45)</f>
        <v>0.56736019999999998</v>
      </c>
      <c r="BF18">
        <f>IF(Backend!BG45="", "", Backend!BG45)</f>
        <v>-0.81642760000000003</v>
      </c>
      <c r="BG18">
        <f>IF(Backend!BH45="", "", Backend!BH45)</f>
        <v>-0.52647089999999996</v>
      </c>
      <c r="BH18">
        <f>IF(Backend!BI45="", "", Backend!BI45)</f>
        <v>-0.82594526000000001</v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GSK plc</v>
      </c>
      <c r="B19">
        <f>IF(Backend!C46="", "", Backend!C46)</f>
        <v>0.47997970000000001</v>
      </c>
      <c r="C19">
        <f>IF(Backend!D46="", "", Backend!D46)</f>
        <v>0.64427053999999995</v>
      </c>
      <c r="D19">
        <f>IF(Backend!E46="", "", Backend!E46)</f>
        <v>0.5207965</v>
      </c>
      <c r="E19">
        <f>IF(Backend!F46="", "", Backend!F46)</f>
        <v>0.79662790000000006</v>
      </c>
      <c r="F19">
        <f>IF(Backend!G46="", "", Backend!G46)</f>
        <v>9.0249360000000001E-2</v>
      </c>
      <c r="G19">
        <f>IF(Backend!H46="", "", Backend!H46)</f>
        <v>0.68703526000000004</v>
      </c>
      <c r="H19">
        <f>IF(Backend!I46="", "", Backend!I46)</f>
        <v>0.50469520000000001</v>
      </c>
      <c r="I19">
        <f>IF(Backend!J46="", "", Backend!J46)</f>
        <v>0.79008036999999998</v>
      </c>
      <c r="J19">
        <f>IF(Backend!K46="", "", Backend!K46)</f>
        <v>-0.62944630000000001</v>
      </c>
      <c r="K19">
        <f>IF(Backend!L46="", "", Backend!L46)</f>
        <v>0.64312060000000004</v>
      </c>
      <c r="L19">
        <f>IF(Backend!M46="", "", Backend!M46)</f>
        <v>0.55759203000000002</v>
      </c>
      <c r="M19">
        <f>IF(Backend!N46="", "", Backend!N46)</f>
        <v>0.17058226000000001</v>
      </c>
      <c r="N19">
        <f>IF(Backend!O46="", "", Backend!O46)</f>
        <v>0.78961780000000004</v>
      </c>
      <c r="O19">
        <f>IF(Backend!P46="", "", Backend!P46)</f>
        <v>-0.57101599999999997</v>
      </c>
      <c r="P19">
        <f>IF(Backend!Q46="", "", Backend!Q46)</f>
        <v>0.76255315999999995</v>
      </c>
      <c r="Q19">
        <f>IF(Backend!R46="", "", Backend!R46)</f>
        <v>1</v>
      </c>
      <c r="R19">
        <f>IF(Backend!S46="", "", Backend!S46)</f>
        <v>0.81841470000000005</v>
      </c>
      <c r="S19">
        <f>IF(Backend!T46="", "", Backend!T46)</f>
        <v>-0.44814349999999997</v>
      </c>
      <c r="T19">
        <f>IF(Backend!U46="", "", Backend!U46)</f>
        <v>0.33255871999999997</v>
      </c>
      <c r="U19">
        <f>IF(Backend!V46="", "", Backend!V46)</f>
        <v>0.17891646999999999</v>
      </c>
      <c r="V19">
        <f>IF(Backend!W46="", "", Backend!W46)</f>
        <v>0.68980620000000004</v>
      </c>
      <c r="W19">
        <f>IF(Backend!X46="", "", Backend!X46)</f>
        <v>0.54847115000000002</v>
      </c>
      <c r="X19">
        <f>IF(Backend!Y46="", "", Backend!Y46)</f>
        <v>0.53194010000000003</v>
      </c>
      <c r="Y19">
        <f>IF(Backend!Z46="", "", Backend!Z46)</f>
        <v>0.73107800000000001</v>
      </c>
      <c r="Z19">
        <f>IF(Backend!AA46="", "", Backend!AA46)</f>
        <v>-0.72044640000000004</v>
      </c>
      <c r="AA19">
        <f>IF(Backend!AB46="", "", Backend!AB46)</f>
        <v>0.32835618</v>
      </c>
      <c r="AB19">
        <f>IF(Backend!AC46="", "", Backend!AC46)</f>
        <v>-0.7287612</v>
      </c>
      <c r="AC19">
        <f>IF(Backend!AD46="", "", Backend!AD46)</f>
        <v>0.18166748999999999</v>
      </c>
      <c r="AD19">
        <f>IF(Backend!AE46="", "", Backend!AE46)</f>
        <v>-0.73125830000000003</v>
      </c>
      <c r="AE19">
        <f>IF(Backend!AF46="", "", Backend!AF46)</f>
        <v>0.48603582000000001</v>
      </c>
      <c r="AF19">
        <f>IF(Backend!AG46="", "", Backend!AG46)</f>
        <v>-0.13602689000000001</v>
      </c>
      <c r="AG19">
        <f>IF(Backend!AH46="", "", Backend!AH46)</f>
        <v>-0.6787628</v>
      </c>
      <c r="AH19">
        <f>IF(Backend!AI46="", "", Backend!AI46)</f>
        <v>0.83812684000000004</v>
      </c>
      <c r="AI19">
        <f>IF(Backend!AJ46="", "", Backend!AJ46)</f>
        <v>0.15575375999999999</v>
      </c>
      <c r="AJ19">
        <f>IF(Backend!AK46="", "", Backend!AK46)</f>
        <v>0.77163619999999999</v>
      </c>
      <c r="AK19">
        <f>IF(Backend!AL46="", "", Backend!AL46)</f>
        <v>-0.22555130000000001</v>
      </c>
      <c r="AL19">
        <f>IF(Backend!AM46="", "", Backend!AM46)</f>
        <v>-0.65427049999999998</v>
      </c>
      <c r="AM19">
        <f>IF(Backend!AN46="", "", Backend!AN46)</f>
        <v>0.79945949999999999</v>
      </c>
      <c r="AN19">
        <f>IF(Backend!AO46="", "", Backend!AO46)</f>
        <v>0.75468177000000003</v>
      </c>
      <c r="AO19">
        <f>IF(Backend!AP46="", "", Backend!AP46)</f>
        <v>0.31538305</v>
      </c>
      <c r="AP19">
        <f>IF(Backend!AQ46="", "", Backend!AQ46)</f>
        <v>0.75496965999999999</v>
      </c>
      <c r="AQ19">
        <f>IF(Backend!AR46="", "", Backend!AR46)</f>
        <v>5.0942254999999997E-3</v>
      </c>
      <c r="AR19">
        <f>IF(Backend!AS46="", "", Backend!AS46)</f>
        <v>0.80993519999999997</v>
      </c>
      <c r="AS19">
        <f>IF(Backend!AT46="", "", Backend!AT46)</f>
        <v>0.5958521</v>
      </c>
      <c r="AT19">
        <f>IF(Backend!AU46="", "", Backend!AU46)</f>
        <v>0.79157763999999997</v>
      </c>
      <c r="AU19">
        <f>IF(Backend!AV46="", "", Backend!AV46)</f>
        <v>0.82279860000000005</v>
      </c>
      <c r="AV19">
        <f>IF(Backend!AW46="", "", Backend!AW46)</f>
        <v>-0.41290260000000001</v>
      </c>
      <c r="AW19">
        <f>IF(Backend!AX46="", "", Backend!AX46)</f>
        <v>0.39411532999999999</v>
      </c>
      <c r="AX19">
        <f>IF(Backend!AY46="", "", Backend!AY46)</f>
        <v>0.50393449999999995</v>
      </c>
      <c r="AY19">
        <f>IF(Backend!AZ46="", "", Backend!AZ46)</f>
        <v>0.7409</v>
      </c>
      <c r="AZ19">
        <f>IF(Backend!BA46="", "", Backend!BA46)</f>
        <v>0.81023120000000004</v>
      </c>
      <c r="BA19">
        <f>IF(Backend!BB46="", "", Backend!BB46)</f>
        <v>0.24281565999999999</v>
      </c>
      <c r="BB19">
        <f>IF(Backend!BC46="", "", Backend!BC46)</f>
        <v>-0.43409932000000001</v>
      </c>
      <c r="BC19">
        <f>IF(Backend!BD46="", "", Backend!BD46)</f>
        <v>0.77515710000000004</v>
      </c>
      <c r="BD19">
        <f>IF(Backend!BE46="", "", Backend!BE46)</f>
        <v>0.58679663999999998</v>
      </c>
      <c r="BE19">
        <f>IF(Backend!BF46="", "", Backend!BF46)</f>
        <v>0.57712200000000002</v>
      </c>
      <c r="BF19">
        <f>IF(Backend!BG46="", "", Backend!BG46)</f>
        <v>-0.6160369</v>
      </c>
      <c r="BG19">
        <f>IF(Backend!BH46="", "", Backend!BH46)</f>
        <v>-0.60492270000000004</v>
      </c>
      <c r="BH19">
        <f>IF(Backend!BI46="", "", Backend!BI46)</f>
        <v>-0.74328755999999996</v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H.U.Group Holdings, Inc.</v>
      </c>
      <c r="B20">
        <f>IF(Backend!C47="", "", Backend!C47)</f>
        <v>0.57672420000000002</v>
      </c>
      <c r="C20">
        <f>IF(Backend!D47="", "", Backend!D47)</f>
        <v>0.56520987</v>
      </c>
      <c r="D20">
        <f>IF(Backend!E47="", "", Backend!E47)</f>
        <v>0.62537160000000003</v>
      </c>
      <c r="E20">
        <f>IF(Backend!F47="", "", Backend!F47)</f>
        <v>0.86594605000000002</v>
      </c>
      <c r="F20">
        <f>IF(Backend!G47="", "", Backend!G47)</f>
        <v>3.4607227999999997E-2</v>
      </c>
      <c r="G20">
        <f>IF(Backend!H47="", "", Backend!H47)</f>
        <v>0.60186589999999995</v>
      </c>
      <c r="H20">
        <f>IF(Backend!I47="", "", Backend!I47)</f>
        <v>0.39854499999999998</v>
      </c>
      <c r="I20">
        <f>IF(Backend!J47="", "", Backend!J47)</f>
        <v>0.92981349999999996</v>
      </c>
      <c r="J20">
        <f>IF(Backend!K47="", "", Backend!K47)</f>
        <v>-0.85528636000000002</v>
      </c>
      <c r="K20">
        <f>IF(Backend!L47="", "", Backend!L47)</f>
        <v>0.87626139999999997</v>
      </c>
      <c r="L20">
        <f>IF(Backend!M47="", "", Backend!M47)</f>
        <v>0.68935685999999996</v>
      </c>
      <c r="M20">
        <f>IF(Backend!N47="", "", Backend!N47)</f>
        <v>0.21568248000000001</v>
      </c>
      <c r="N20">
        <f>IF(Backend!O47="", "", Backend!O47)</f>
        <v>0.89083650000000003</v>
      </c>
      <c r="O20">
        <f>IF(Backend!P47="", "", Backend!P47)</f>
        <v>-0.57638573999999998</v>
      </c>
      <c r="P20">
        <f>IF(Backend!Q47="", "", Backend!Q47)</f>
        <v>0.90835929999999998</v>
      </c>
      <c r="Q20">
        <f>IF(Backend!R47="", "", Backend!R47)</f>
        <v>0.81841470000000005</v>
      </c>
      <c r="R20">
        <f>IF(Backend!S47="", "", Backend!S47)</f>
        <v>1</v>
      </c>
      <c r="S20">
        <f>IF(Backend!T47="", "", Backend!T47)</f>
        <v>-0.56085426000000005</v>
      </c>
      <c r="T20">
        <f>IF(Backend!U47="", "", Backend!U47)</f>
        <v>0.56821465000000004</v>
      </c>
      <c r="U20">
        <f>IF(Backend!V47="", "", Backend!V47)</f>
        <v>0.34096201999999998</v>
      </c>
      <c r="V20">
        <f>IF(Backend!W47="", "", Backend!W47)</f>
        <v>0.59027470000000004</v>
      </c>
      <c r="W20">
        <f>IF(Backend!X47="", "", Backend!X47)</f>
        <v>0.79345036000000002</v>
      </c>
      <c r="X20">
        <f>IF(Backend!Y47="", "", Backend!Y47)</f>
        <v>0.47164366000000002</v>
      </c>
      <c r="Y20">
        <f>IF(Backend!Z47="", "", Backend!Z47)</f>
        <v>0.7996451</v>
      </c>
      <c r="Z20">
        <f>IF(Backend!AA47="", "", Backend!AA47)</f>
        <v>-0.8608557</v>
      </c>
      <c r="AA20">
        <f>IF(Backend!AB47="", "", Backend!AB47)</f>
        <v>0.49983727999999999</v>
      </c>
      <c r="AB20">
        <f>IF(Backend!AC47="", "", Backend!AC47)</f>
        <v>-0.86185540000000005</v>
      </c>
      <c r="AC20">
        <f>IF(Backend!AD47="", "", Backend!AD47)</f>
        <v>0.14691871000000001</v>
      </c>
      <c r="AD20">
        <f>IF(Backend!AE47="", "", Backend!AE47)</f>
        <v>-0.88860850000000002</v>
      </c>
      <c r="AE20">
        <f>IF(Backend!AF47="", "", Backend!AF47)</f>
        <v>0.77938289999999999</v>
      </c>
      <c r="AF20">
        <f>IF(Backend!AG47="", "", Backend!AG47)</f>
        <v>2.8878013000000001E-2</v>
      </c>
      <c r="AG20">
        <f>IF(Backend!AH47="", "", Backend!AH47)</f>
        <v>-0.84916186000000005</v>
      </c>
      <c r="AH20">
        <f>IF(Backend!AI47="", "", Backend!AI47)</f>
        <v>0.91551490000000002</v>
      </c>
      <c r="AI20">
        <f>IF(Backend!AJ47="", "", Backend!AJ47)</f>
        <v>8.4949135999999995E-2</v>
      </c>
      <c r="AJ20">
        <f>IF(Backend!AK47="", "", Backend!AK47)</f>
        <v>0.90309419999999996</v>
      </c>
      <c r="AK20">
        <f>IF(Backend!AL47="", "", Backend!AL47)</f>
        <v>-0.33848679999999998</v>
      </c>
      <c r="AL20">
        <f>IF(Backend!AM47="", "", Backend!AM47)</f>
        <v>-0.67214229999999997</v>
      </c>
      <c r="AM20">
        <f>IF(Backend!AN47="", "", Backend!AN47)</f>
        <v>0.93095300000000003</v>
      </c>
      <c r="AN20">
        <f>IF(Backend!AO47="", "", Backend!AO47)</f>
        <v>0.89735514000000005</v>
      </c>
      <c r="AO20">
        <f>IF(Backend!AP47="", "", Backend!AP47)</f>
        <v>0.46502155000000001</v>
      </c>
      <c r="AP20">
        <f>IF(Backend!AQ47="", "", Backend!AQ47)</f>
        <v>0.82402396</v>
      </c>
      <c r="AQ20">
        <f>IF(Backend!AR47="", "", Backend!AR47)</f>
        <v>-0.38271486999999998</v>
      </c>
      <c r="AR20">
        <f>IF(Backend!AS47="", "", Backend!AS47)</f>
        <v>0.89468099999999995</v>
      </c>
      <c r="AS20">
        <f>IF(Backend!AT47="", "", Backend!AT47)</f>
        <v>0.8312872</v>
      </c>
      <c r="AT20">
        <f>IF(Backend!AU47="", "", Backend!AU47)</f>
        <v>0.92207130000000004</v>
      </c>
      <c r="AU20">
        <f>IF(Backend!AV47="", "", Backend!AV47)</f>
        <v>0.92163145999999996</v>
      </c>
      <c r="AV20">
        <f>IF(Backend!AW47="", "", Backend!AW47)</f>
        <v>-0.49061265999999998</v>
      </c>
      <c r="AW20">
        <f>IF(Backend!AX47="", "", Backend!AX47)</f>
        <v>0.25860354000000002</v>
      </c>
      <c r="AX20">
        <f>IF(Backend!AY47="", "", Backend!AY47)</f>
        <v>0.56917930000000005</v>
      </c>
      <c r="AY20">
        <f>IF(Backend!AZ47="", "", Backend!AZ47)</f>
        <v>0.88648057000000002</v>
      </c>
      <c r="AZ20">
        <f>IF(Backend!BA47="", "", Backend!BA47)</f>
        <v>0.89243260000000002</v>
      </c>
      <c r="BA20">
        <f>IF(Backend!BB47="", "", Backend!BB47)</f>
        <v>0.20561846</v>
      </c>
      <c r="BB20">
        <f>IF(Backend!BC47="", "", Backend!BC47)</f>
        <v>-0.38729839999999999</v>
      </c>
      <c r="BC20">
        <f>IF(Backend!BD47="", "", Backend!BD47)</f>
        <v>0.95001245000000001</v>
      </c>
      <c r="BD20">
        <f>IF(Backend!BE47="", "", Backend!BE47)</f>
        <v>0.60555919999999996</v>
      </c>
      <c r="BE20">
        <f>IF(Backend!BF47="", "", Backend!BF47)</f>
        <v>0.67520683999999997</v>
      </c>
      <c r="BF20">
        <f>IF(Backend!BG47="", "", Backend!BG47)</f>
        <v>-0.88335750000000002</v>
      </c>
      <c r="BG20">
        <f>IF(Backend!BH47="", "", Backend!BH47)</f>
        <v>-0.60853959999999996</v>
      </c>
      <c r="BH20">
        <f>IF(Backend!BI47="", "", Backend!BI47)</f>
        <v>-0.89916870000000004</v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Halliburton Company</v>
      </c>
      <c r="B21">
        <f>IF(Backend!C48="", "", Backend!C48)</f>
        <v>-0.41630729999999999</v>
      </c>
      <c r="C21">
        <f>IF(Backend!D48="", "", Backend!D48)</f>
        <v>0.16264147000000001</v>
      </c>
      <c r="D21">
        <f>IF(Backend!E48="", "", Backend!E48)</f>
        <v>-0.22008395</v>
      </c>
      <c r="E21">
        <f>IF(Backend!F48="", "", Backend!F48)</f>
        <v>-0.29478832999999999</v>
      </c>
      <c r="F21">
        <f>IF(Backend!G48="", "", Backend!G48)</f>
        <v>0.23547839000000001</v>
      </c>
      <c r="G21">
        <f>IF(Backend!H48="", "", Backend!H48)</f>
        <v>-2.3926784999999999E-2</v>
      </c>
      <c r="H21">
        <f>IF(Backend!I48="", "", Backend!I48)</f>
        <v>-0.37335473000000002</v>
      </c>
      <c r="I21">
        <f>IF(Backend!J48="", "", Backend!J48)</f>
        <v>-0.64514110000000002</v>
      </c>
      <c r="J21">
        <f>IF(Backend!K48="", "", Backend!K48)</f>
        <v>0.66776305000000002</v>
      </c>
      <c r="K21">
        <f>IF(Backend!L48="", "", Backend!L48)</f>
        <v>-0.66709759999999996</v>
      </c>
      <c r="L21">
        <f>IF(Backend!M48="", "", Backend!M48)</f>
        <v>-0.26485786</v>
      </c>
      <c r="M21">
        <f>IF(Backend!N48="", "", Backend!N48)</f>
        <v>-0.19370301000000001</v>
      </c>
      <c r="N21">
        <f>IF(Backend!O48="", "", Backend!O48)</f>
        <v>-0.64312016999999999</v>
      </c>
      <c r="O21">
        <f>IF(Backend!P48="", "", Backend!P48)</f>
        <v>0.70619370000000004</v>
      </c>
      <c r="P21">
        <f>IF(Backend!Q48="", "", Backend!Q48)</f>
        <v>-0.33323385999999999</v>
      </c>
      <c r="Q21">
        <f>IF(Backend!R48="", "", Backend!R48)</f>
        <v>-0.44814349999999997</v>
      </c>
      <c r="R21">
        <f>IF(Backend!S48="", "", Backend!S48)</f>
        <v>-0.56085426000000005</v>
      </c>
      <c r="S21">
        <f>IF(Backend!T48="", "", Backend!T48)</f>
        <v>1</v>
      </c>
      <c r="T21">
        <f>IF(Backend!U48="", "", Backend!U48)</f>
        <v>-0.36504108000000002</v>
      </c>
      <c r="U21">
        <f>IF(Backend!V48="", "", Backend!V48)</f>
        <v>0.38369796</v>
      </c>
      <c r="V21">
        <f>IF(Backend!W48="", "", Backend!W48)</f>
        <v>0.11367542999999999</v>
      </c>
      <c r="W21">
        <f>IF(Backend!X48="", "", Backend!X48)</f>
        <v>-0.29375294000000002</v>
      </c>
      <c r="X21">
        <f>IF(Backend!Y48="", "", Backend!Y48)</f>
        <v>0.23413713</v>
      </c>
      <c r="Y21">
        <f>IF(Backend!Z48="", "", Backend!Z48)</f>
        <v>-0.79646753999999997</v>
      </c>
      <c r="Z21">
        <f>IF(Backend!AA48="", "", Backend!AA48)</f>
        <v>0.62009159999999997</v>
      </c>
      <c r="AA21">
        <f>IF(Backend!AB48="", "", Backend!AB48)</f>
        <v>0.1503236</v>
      </c>
      <c r="AB21">
        <f>IF(Backend!AC48="", "", Backend!AC48)</f>
        <v>0.74364989999999997</v>
      </c>
      <c r="AC21">
        <f>IF(Backend!AD48="", "", Backend!AD48)</f>
        <v>0.59172106000000002</v>
      </c>
      <c r="AD21">
        <f>IF(Backend!AE48="", "", Backend!AE48)</f>
        <v>0.73113340000000004</v>
      </c>
      <c r="AE21">
        <f>IF(Backend!AF48="", "", Backend!AF48)</f>
        <v>-0.40504065</v>
      </c>
      <c r="AF21">
        <f>IF(Backend!AG48="", "", Backend!AG48)</f>
        <v>0.64909059999999996</v>
      </c>
      <c r="AG21">
        <f>IF(Backend!AH48="", "", Backend!AH48)</f>
        <v>0.42210826000000001</v>
      </c>
      <c r="AH21">
        <f>IF(Backend!AI48="", "", Backend!AI48)</f>
        <v>-0.70632550000000005</v>
      </c>
      <c r="AI21">
        <f>IF(Backend!AJ48="", "", Backend!AJ48)</f>
        <v>0.60516910000000002</v>
      </c>
      <c r="AJ21">
        <f>IF(Backend!AK48="", "", Backend!AK48)</f>
        <v>-0.71366980000000002</v>
      </c>
      <c r="AK21">
        <f>IF(Backend!AL48="", "", Backend!AL48)</f>
        <v>0.68514293000000004</v>
      </c>
      <c r="AL21">
        <f>IF(Backend!AM48="", "", Backend!AM48)</f>
        <v>0.79583614999999996</v>
      </c>
      <c r="AM21">
        <f>IF(Backend!AN48="", "", Backend!AN48)</f>
        <v>-0.34717616000000001</v>
      </c>
      <c r="AN21">
        <f>IF(Backend!AO48="", "", Backend!AO48)</f>
        <v>-0.24993689999999999</v>
      </c>
      <c r="AO21">
        <f>IF(Backend!AP48="", "", Backend!AP48)</f>
        <v>0.35006246000000002</v>
      </c>
      <c r="AP21">
        <f>IF(Backend!AQ48="", "", Backend!AQ48)</f>
        <v>-0.15323766</v>
      </c>
      <c r="AQ21">
        <f>IF(Backend!AR48="", "", Backend!AR48)</f>
        <v>4.1763000000000002E-2</v>
      </c>
      <c r="AR21">
        <f>IF(Backend!AS48="", "", Backend!AS48)</f>
        <v>-0.67686619999999997</v>
      </c>
      <c r="AS21">
        <f>IF(Backend!AT48="", "", Backend!AT48)</f>
        <v>-0.25523390000000001</v>
      </c>
      <c r="AT21">
        <f>IF(Backend!AU48="", "", Backend!AU48)</f>
        <v>-0.74627030000000005</v>
      </c>
      <c r="AU21">
        <f>IF(Backend!AV48="", "", Backend!AV48)</f>
        <v>-0.50814990000000004</v>
      </c>
      <c r="AV21">
        <f>IF(Backend!AW48="", "", Backend!AW48)</f>
        <v>0.81780109999999995</v>
      </c>
      <c r="AW21">
        <f>IF(Backend!AX48="", "", Backend!AX48)</f>
        <v>0.41057002999999997</v>
      </c>
      <c r="AX21">
        <f>IF(Backend!AY48="", "", Backend!AY48)</f>
        <v>0.27703445999999998</v>
      </c>
      <c r="AY21">
        <f>IF(Backend!AZ48="", "", Backend!AZ48)</f>
        <v>-0.34438651999999997</v>
      </c>
      <c r="AZ21">
        <f>IF(Backend!BA48="", "", Backend!BA48)</f>
        <v>-0.35363393999999998</v>
      </c>
      <c r="BA21">
        <f>IF(Backend!BB48="", "", Backend!BB48)</f>
        <v>-0.42991915000000003</v>
      </c>
      <c r="BB21">
        <f>IF(Backend!BC48="", "", Backend!BC48)</f>
        <v>0.8429238</v>
      </c>
      <c r="BC21">
        <f>IF(Backend!BD48="", "", Backend!BD48)</f>
        <v>-0.50762534000000004</v>
      </c>
      <c r="BD21">
        <f>IF(Backend!BE48="", "", Backend!BE48)</f>
        <v>-0.68272129999999998</v>
      </c>
      <c r="BE21">
        <f>IF(Backend!BF48="", "", Backend!BF48)</f>
        <v>-0.67423929999999999</v>
      </c>
      <c r="BF21">
        <f>IF(Backend!BG48="", "", Backend!BG48)</f>
        <v>0.63540209999999997</v>
      </c>
      <c r="BG21">
        <f>IF(Backend!BH48="", "", Backend!BH48)</f>
        <v>0.56974650000000004</v>
      </c>
      <c r="BH21">
        <f>IF(Backend!BI48="", "", Backend!BI48)</f>
        <v>0.65164390000000005</v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HANKOOK TIRE &amp; TECHNOLOGY Co., Ltd.</v>
      </c>
      <c r="B22">
        <f>IF(Backend!C49="", "", Backend!C49)</f>
        <v>0.60586459999999998</v>
      </c>
      <c r="C22">
        <f>IF(Backend!D49="", "", Backend!D49)</f>
        <v>0.15423897</v>
      </c>
      <c r="D22">
        <f>IF(Backend!E49="", "", Backend!E49)</f>
        <v>0.41165970000000002</v>
      </c>
      <c r="E22">
        <f>IF(Backend!F49="", "", Backend!F49)</f>
        <v>0.40931709999999999</v>
      </c>
      <c r="F22">
        <f>IF(Backend!G49="", "", Backend!G49)</f>
        <v>-6.8665119999999996E-2</v>
      </c>
      <c r="G22">
        <f>IF(Backend!H49="", "", Backend!H49)</f>
        <v>0.10052373000000001</v>
      </c>
      <c r="H22">
        <f>IF(Backend!I49="", "", Backend!I49)</f>
        <v>0.20686056999999999</v>
      </c>
      <c r="I22">
        <f>IF(Backend!J49="", "", Backend!J49)</f>
        <v>0.60845285999999998</v>
      </c>
      <c r="J22">
        <f>IF(Backend!K49="", "", Backend!K49)</f>
        <v>-0.55237365000000005</v>
      </c>
      <c r="K22">
        <f>IF(Backend!L49="", "", Backend!L49)</f>
        <v>0.68660710000000003</v>
      </c>
      <c r="L22">
        <f>IF(Backend!M49="", "", Backend!M49)</f>
        <v>0.62682760000000004</v>
      </c>
      <c r="M22">
        <f>IF(Backend!N49="", "", Backend!N49)</f>
        <v>0.11294582</v>
      </c>
      <c r="N22">
        <f>IF(Backend!O49="", "", Backend!O49)</f>
        <v>0.61888410000000005</v>
      </c>
      <c r="O22">
        <f>IF(Backend!P49="", "", Backend!P49)</f>
        <v>-0.39883506000000002</v>
      </c>
      <c r="P22">
        <f>IF(Backend!Q49="", "", Backend!Q49)</f>
        <v>0.62978904999999996</v>
      </c>
      <c r="Q22">
        <f>IF(Backend!R49="", "", Backend!R49)</f>
        <v>0.33255871999999997</v>
      </c>
      <c r="R22">
        <f>IF(Backend!S49="", "", Backend!S49)</f>
        <v>0.56821465000000004</v>
      </c>
      <c r="S22">
        <f>IF(Backend!T49="", "", Backend!T49)</f>
        <v>-0.36504108000000002</v>
      </c>
      <c r="T22">
        <f>IF(Backend!U49="", "", Backend!U49)</f>
        <v>1</v>
      </c>
      <c r="U22">
        <f>IF(Backend!V49="", "", Backend!V49)</f>
        <v>0.17347662</v>
      </c>
      <c r="V22">
        <f>IF(Backend!W49="", "", Backend!W49)</f>
        <v>0.16801399</v>
      </c>
      <c r="W22">
        <f>IF(Backend!X49="", "", Backend!X49)</f>
        <v>0.70503070000000001</v>
      </c>
      <c r="X22">
        <f>IF(Backend!Y49="", "", Backend!Y49)</f>
        <v>0.13908493999999999</v>
      </c>
      <c r="Y22">
        <f>IF(Backend!Z49="", "", Backend!Z49)</f>
        <v>0.49851646999999999</v>
      </c>
      <c r="Z22">
        <f>IF(Backend!AA49="", "", Backend!AA49)</f>
        <v>-0.47240337999999998</v>
      </c>
      <c r="AA22">
        <f>IF(Backend!AB49="", "", Backend!AB49)</f>
        <v>0.40223977</v>
      </c>
      <c r="AB22">
        <f>IF(Backend!AC49="", "", Backend!AC49)</f>
        <v>-0.47003633</v>
      </c>
      <c r="AC22">
        <f>IF(Backend!AD49="", "", Backend!AD49)</f>
        <v>-9.1550820000000005E-2</v>
      </c>
      <c r="AD22">
        <f>IF(Backend!AE49="", "", Backend!AE49)</f>
        <v>-0.53638344999999998</v>
      </c>
      <c r="AE22">
        <f>IF(Backend!AF49="", "", Backend!AF49)</f>
        <v>0.43810362000000003</v>
      </c>
      <c r="AF22">
        <f>IF(Backend!AG49="", "", Backend!AG49)</f>
        <v>-1.9174910999999999E-2</v>
      </c>
      <c r="AG22">
        <f>IF(Backend!AH49="", "", Backend!AH49)</f>
        <v>-0.56118060000000003</v>
      </c>
      <c r="AH22">
        <f>IF(Backend!AI49="", "", Backend!AI49)</f>
        <v>0.58156353000000005</v>
      </c>
      <c r="AI22">
        <f>IF(Backend!AJ49="", "", Backend!AJ49)</f>
        <v>-0.20415440000000001</v>
      </c>
      <c r="AJ22">
        <f>IF(Backend!AK49="", "", Backend!AK49)</f>
        <v>0.40803134000000002</v>
      </c>
      <c r="AK22">
        <f>IF(Backend!AL49="", "", Backend!AL49)</f>
        <v>-0.21059231</v>
      </c>
      <c r="AL22">
        <f>IF(Backend!AM49="", "", Backend!AM49)</f>
        <v>-0.43951913999999997</v>
      </c>
      <c r="AM22">
        <f>IF(Backend!AN49="", "", Backend!AN49)</f>
        <v>0.55008009999999996</v>
      </c>
      <c r="AN22">
        <f>IF(Backend!AO49="", "", Backend!AO49)</f>
        <v>0.55729130000000004</v>
      </c>
      <c r="AO22">
        <f>IF(Backend!AP49="", "", Backend!AP49)</f>
        <v>0.15019726999999999</v>
      </c>
      <c r="AP22">
        <f>IF(Backend!AQ49="", "", Backend!AQ49)</f>
        <v>0.52157503000000005</v>
      </c>
      <c r="AQ22">
        <f>IF(Backend!AR49="", "", Backend!AR49)</f>
        <v>-0.36852884000000002</v>
      </c>
      <c r="AR22">
        <f>IF(Backend!AS49="", "", Backend!AS49)</f>
        <v>0.59820070000000003</v>
      </c>
      <c r="AS22">
        <f>IF(Backend!AT49="", "", Backend!AT49)</f>
        <v>0.70959190000000005</v>
      </c>
      <c r="AT22">
        <f>IF(Backend!AU49="", "", Backend!AU49)</f>
        <v>0.59025704999999995</v>
      </c>
      <c r="AU22">
        <f>IF(Backend!AV49="", "", Backend!AV49)</f>
        <v>0.59417140000000002</v>
      </c>
      <c r="AV22">
        <f>IF(Backend!AW49="", "", Backend!AW49)</f>
        <v>-0.31354209999999999</v>
      </c>
      <c r="AW22">
        <f>IF(Backend!AX49="", "", Backend!AX49)</f>
        <v>9.475008E-2</v>
      </c>
      <c r="AX22">
        <f>IF(Backend!AY49="", "", Backend!AY49)</f>
        <v>0.29251152000000002</v>
      </c>
      <c r="AY22">
        <f>IF(Backend!AZ49="", "", Backend!AZ49)</f>
        <v>0.4787054</v>
      </c>
      <c r="AZ22">
        <f>IF(Backend!BA49="", "", Backend!BA49)</f>
        <v>0.47355740000000002</v>
      </c>
      <c r="BA22">
        <f>IF(Backend!BB49="", "", Backend!BB49)</f>
        <v>4.0707069999999998E-2</v>
      </c>
      <c r="BB22">
        <f>IF(Backend!BC49="", "", Backend!BC49)</f>
        <v>-0.22280906</v>
      </c>
      <c r="BC22">
        <f>IF(Backend!BD49="", "", Backend!BD49)</f>
        <v>0.64780789999999999</v>
      </c>
      <c r="BD22">
        <f>IF(Backend!BE49="", "", Backend!BE49)</f>
        <v>0.28337875000000001</v>
      </c>
      <c r="BE22">
        <f>IF(Backend!BF49="", "", Backend!BF49)</f>
        <v>0.44350000000000001</v>
      </c>
      <c r="BF22">
        <f>IF(Backend!BG49="", "", Backend!BG49)</f>
        <v>-0.63653183000000002</v>
      </c>
      <c r="BG22">
        <f>IF(Backend!BH49="", "", Backend!BH49)</f>
        <v>-0.41975596999999998</v>
      </c>
      <c r="BH22">
        <f>IF(Backend!BI49="", "", Backend!BI49)</f>
        <v>-0.59483929999999996</v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Hewlett Packard Enterprise Co.</v>
      </c>
      <c r="B23">
        <f>IF(Backend!C50="", "", Backend!C50)</f>
        <v>-9.9834729999999997E-2</v>
      </c>
      <c r="C23">
        <f>IF(Backend!D50="", "", Backend!D50)</f>
        <v>0.72719440000000002</v>
      </c>
      <c r="D23">
        <f>IF(Backend!E50="", "", Backend!E50)</f>
        <v>0.24856671999999999</v>
      </c>
      <c r="E23">
        <f>IF(Backend!F50="", "", Backend!F50)</f>
        <v>0.59953195000000004</v>
      </c>
      <c r="F23">
        <f>IF(Backend!G50="", "", Backend!G50)</f>
        <v>0.26152690000000001</v>
      </c>
      <c r="G23">
        <f>IF(Backend!H50="", "", Backend!H50)</f>
        <v>0.48937276000000002</v>
      </c>
      <c r="H23">
        <f>IF(Backend!I50="", "", Backend!I50)</f>
        <v>-6.2034298000000002E-2</v>
      </c>
      <c r="I23">
        <f>IF(Backend!J50="", "", Backend!J50)</f>
        <v>0.22251202</v>
      </c>
      <c r="J23">
        <f>IF(Backend!K50="", "", Backend!K50)</f>
        <v>-0.22612572</v>
      </c>
      <c r="K23">
        <f>IF(Backend!L50="", "", Backend!L50)</f>
        <v>0.15016413000000001</v>
      </c>
      <c r="L23">
        <f>IF(Backend!M50="", "", Backend!M50)</f>
        <v>0.57008910000000002</v>
      </c>
      <c r="M23">
        <f>IF(Backend!N50="", "", Backend!N50)</f>
        <v>-0.15534753000000001</v>
      </c>
      <c r="N23">
        <f>IF(Backend!O50="", "", Backend!O50)</f>
        <v>0.18043092999999999</v>
      </c>
      <c r="O23">
        <f>IF(Backend!P50="", "", Backend!P50)</f>
        <v>0.15376200000000001</v>
      </c>
      <c r="P23">
        <f>IF(Backend!Q50="", "", Backend!Q50)</f>
        <v>0.47665693999999997</v>
      </c>
      <c r="Q23">
        <f>IF(Backend!R50="", "", Backend!R50)</f>
        <v>0.17891646999999999</v>
      </c>
      <c r="R23">
        <f>IF(Backend!S50="", "", Backend!S50)</f>
        <v>0.34096201999999998</v>
      </c>
      <c r="S23">
        <f>IF(Backend!T50="", "", Backend!T50)</f>
        <v>0.38369796</v>
      </c>
      <c r="T23">
        <f>IF(Backend!U50="", "", Backend!U50)</f>
        <v>0.17347662</v>
      </c>
      <c r="U23">
        <f>IF(Backend!V50="", "", Backend!V50)</f>
        <v>1</v>
      </c>
      <c r="V23">
        <f>IF(Backend!W50="", "", Backend!W50)</f>
        <v>0.54763010000000001</v>
      </c>
      <c r="W23">
        <f>IF(Backend!X50="", "", Backend!X50)</f>
        <v>0.55536836000000001</v>
      </c>
      <c r="X23">
        <f>IF(Backend!Y50="", "", Backend!Y50)</f>
        <v>0.75733019999999995</v>
      </c>
      <c r="Y23">
        <f>IF(Backend!Z50="", "", Backend!Z50)</f>
        <v>-0.10235013</v>
      </c>
      <c r="Z23">
        <f>IF(Backend!AA50="", "", Backend!AA50)</f>
        <v>-0.25076172000000002</v>
      </c>
      <c r="AA23">
        <f>IF(Backend!AB50="", "", Backend!AB50)</f>
        <v>0.73507670000000003</v>
      </c>
      <c r="AB23">
        <f>IF(Backend!AC50="", "", Backend!AC50)</f>
        <v>-7.3777770000000006E-2</v>
      </c>
      <c r="AC23">
        <f>IF(Backend!AD50="", "", Backend!AD50)</f>
        <v>0.77895075000000003</v>
      </c>
      <c r="AD23">
        <f>IF(Backend!AE50="", "", Backend!AE50)</f>
        <v>-0.14530631999999999</v>
      </c>
      <c r="AE23">
        <f>IF(Backend!AF50="", "", Backend!AF50)</f>
        <v>0.33672875000000002</v>
      </c>
      <c r="AF23">
        <f>IF(Backend!AG50="", "", Backend!AG50)</f>
        <v>0.69577639999999996</v>
      </c>
      <c r="AG23">
        <f>IF(Backend!AH50="", "", Backend!AH50)</f>
        <v>-0.50521970000000005</v>
      </c>
      <c r="AH23">
        <f>IF(Backend!AI50="", "", Backend!AI50)</f>
        <v>0.12238771499999999</v>
      </c>
      <c r="AI23">
        <f>IF(Backend!AJ50="", "", Backend!AJ50)</f>
        <v>0.57399129999999998</v>
      </c>
      <c r="AJ23">
        <f>IF(Backend!AK50="", "", Backend!AK50)</f>
        <v>0.14690027</v>
      </c>
      <c r="AK23">
        <f>IF(Backend!AL50="", "", Backend!AL50)</f>
        <v>0.42461320000000002</v>
      </c>
      <c r="AL23">
        <f>IF(Backend!AM50="", "", Backend!AM50)</f>
        <v>0.23563047000000001</v>
      </c>
      <c r="AM23">
        <f>IF(Backend!AN50="", "", Backend!AN50)</f>
        <v>0.53166133000000004</v>
      </c>
      <c r="AN23">
        <f>IF(Backend!AO50="", "", Backend!AO50)</f>
        <v>0.58247230000000005</v>
      </c>
      <c r="AO23">
        <f>IF(Backend!AP50="", "", Backend!AP50)</f>
        <v>0.8310649</v>
      </c>
      <c r="AP23">
        <f>IF(Backend!AQ50="", "", Backend!AQ50)</f>
        <v>0.55800570000000005</v>
      </c>
      <c r="AQ23">
        <f>IF(Backend!AR50="", "", Backend!AR50)</f>
        <v>-0.47011491999999999</v>
      </c>
      <c r="AR23">
        <f>IF(Backend!AS50="", "", Backend!AS50)</f>
        <v>5.4220089999999999E-2</v>
      </c>
      <c r="AS23">
        <f>IF(Backend!AT50="", "", Backend!AT50)</f>
        <v>0.58644914999999997</v>
      </c>
      <c r="AT23">
        <f>IF(Backend!AU50="", "", Backend!AU50)</f>
        <v>0.12307079999999999</v>
      </c>
      <c r="AU23">
        <f>IF(Backend!AV50="", "", Backend!AV50)</f>
        <v>0.38357982000000002</v>
      </c>
      <c r="AV23">
        <f>IF(Backend!AW50="", "", Backend!AW50)</f>
        <v>0.4022</v>
      </c>
      <c r="AW23">
        <f>IF(Backend!AX50="", "", Backend!AX50)</f>
        <v>0.53289025999999995</v>
      </c>
      <c r="AX23">
        <f>IF(Backend!AY50="", "", Backend!AY50)</f>
        <v>0.63964944999999995</v>
      </c>
      <c r="AY23">
        <f>IF(Backend!AZ50="", "", Backend!AZ50)</f>
        <v>0.47947620000000002</v>
      </c>
      <c r="AZ23">
        <f>IF(Backend!BA50="", "", Backend!BA50)</f>
        <v>0.48851549999999999</v>
      </c>
      <c r="BA23">
        <f>IF(Backend!BB50="", "", Backend!BB50)</f>
        <v>-0.43211329999999998</v>
      </c>
      <c r="BB23">
        <f>IF(Backend!BC50="", "", Backend!BC50)</f>
        <v>0.59405529999999995</v>
      </c>
      <c r="BC23">
        <f>IF(Backend!BD50="", "", Backend!BD50)</f>
        <v>0.34806776</v>
      </c>
      <c r="BD23">
        <f>IF(Backend!BE50="", "", Backend!BE50)</f>
        <v>-7.6502870000000001E-2</v>
      </c>
      <c r="BE23">
        <f>IF(Backend!BF50="", "", Backend!BF50)</f>
        <v>-0.22683846999999999</v>
      </c>
      <c r="BF23">
        <f>IF(Backend!BG50="", "", Backend!BG50)</f>
        <v>-0.30097327000000001</v>
      </c>
      <c r="BG23">
        <f>IF(Backend!BH50="", "", Backend!BH50)</f>
        <v>-0.16867112000000001</v>
      </c>
      <c r="BH23">
        <f>IF(Backend!BI50="", "", Backend!BI50)</f>
        <v>-0.17038502</v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Intel Corporation</v>
      </c>
      <c r="B24">
        <f>IF(Backend!C51="", "", Backend!C51)</f>
        <v>0.19769216000000001</v>
      </c>
      <c r="C24">
        <f>IF(Backend!D51="", "", Backend!D51)</f>
        <v>0.86265044999999996</v>
      </c>
      <c r="D24">
        <f>IF(Backend!E51="", "", Backend!E51)</f>
        <v>0.55123334999999996</v>
      </c>
      <c r="E24">
        <f>IF(Backend!F51="", "", Backend!F51)</f>
        <v>0.71576225999999998</v>
      </c>
      <c r="F24">
        <f>IF(Backend!G51="", "", Backend!G51)</f>
        <v>0.17129643</v>
      </c>
      <c r="G24">
        <f>IF(Backend!H51="", "", Backend!H51)</f>
        <v>0.88129619999999997</v>
      </c>
      <c r="H24">
        <f>IF(Backend!I51="", "", Backend!I51)</f>
        <v>0.17630699999999999</v>
      </c>
      <c r="I24">
        <f>IF(Backend!J51="", "", Backend!J51)</f>
        <v>0.44609420999999999</v>
      </c>
      <c r="J24">
        <f>IF(Backend!K51="", "", Backend!K51)</f>
        <v>-0.42895177000000001</v>
      </c>
      <c r="K24">
        <f>IF(Backend!L51="", "", Backend!L51)</f>
        <v>0.28177822000000002</v>
      </c>
      <c r="L24">
        <f>IF(Backend!M51="", "", Backend!M51)</f>
        <v>0.40277624000000001</v>
      </c>
      <c r="M24">
        <f>IF(Backend!N51="", "", Backend!N51)</f>
        <v>0.17277836999999999</v>
      </c>
      <c r="N24">
        <f>IF(Backend!O51="", "", Backend!O51)</f>
        <v>0.46562949999999997</v>
      </c>
      <c r="O24">
        <f>IF(Backend!P51="", "", Backend!P51)</f>
        <v>-0.14829959000000001</v>
      </c>
      <c r="P24">
        <f>IF(Backend!Q51="", "", Backend!Q51)</f>
        <v>0.63697309999999996</v>
      </c>
      <c r="Q24">
        <f>IF(Backend!R51="", "", Backend!R51)</f>
        <v>0.68980620000000004</v>
      </c>
      <c r="R24">
        <f>IF(Backend!S51="", "", Backend!S51)</f>
        <v>0.59027470000000004</v>
      </c>
      <c r="S24">
        <f>IF(Backend!T51="", "", Backend!T51)</f>
        <v>0.11367542999999999</v>
      </c>
      <c r="T24">
        <f>IF(Backend!U51="", "", Backend!U51)</f>
        <v>0.16801399</v>
      </c>
      <c r="U24">
        <f>IF(Backend!V51="", "", Backend!V51)</f>
        <v>0.54763010000000001</v>
      </c>
      <c r="V24">
        <f>IF(Backend!W51="", "", Backend!W51)</f>
        <v>1</v>
      </c>
      <c r="W24">
        <f>IF(Backend!X51="", "", Backend!X51)</f>
        <v>0.46725273000000001</v>
      </c>
      <c r="X24">
        <f>IF(Backend!Y51="", "", Backend!Y51)</f>
        <v>0.82277714999999996</v>
      </c>
      <c r="Y24">
        <f>IF(Backend!Z51="", "", Backend!Z51)</f>
        <v>0.31169910000000001</v>
      </c>
      <c r="Z24">
        <f>IF(Backend!AA51="", "", Backend!AA51)</f>
        <v>-0.46383943999999999</v>
      </c>
      <c r="AA24">
        <f>IF(Backend!AB51="", "", Backend!AB51)</f>
        <v>0.44015389999999999</v>
      </c>
      <c r="AB24">
        <f>IF(Backend!AC51="", "", Backend!AC51)</f>
        <v>-0.44630226000000001</v>
      </c>
      <c r="AC24">
        <f>IF(Backend!AD51="", "", Backend!AD51)</f>
        <v>0.65240900000000002</v>
      </c>
      <c r="AD24">
        <f>IF(Backend!AE51="", "", Backend!AE51)</f>
        <v>-0.43148567999999998</v>
      </c>
      <c r="AE24">
        <f>IF(Backend!AF51="", "", Backend!AF51)</f>
        <v>0.37736346999999998</v>
      </c>
      <c r="AF24">
        <f>IF(Backend!AG51="", "", Backend!AG51)</f>
        <v>0.31838127999999999</v>
      </c>
      <c r="AG24">
        <f>IF(Backend!AH51="", "", Backend!AH51)</f>
        <v>-0.54599905000000004</v>
      </c>
      <c r="AH24">
        <f>IF(Backend!AI51="", "", Backend!AI51)</f>
        <v>0.45052403000000002</v>
      </c>
      <c r="AI24">
        <f>IF(Backend!AJ51="", "", Backend!AJ51)</f>
        <v>0.60352859999999997</v>
      </c>
      <c r="AJ24">
        <f>IF(Backend!AK51="", "", Backend!AK51)</f>
        <v>0.43537779999999998</v>
      </c>
      <c r="AK24">
        <f>IF(Backend!AL51="", "", Backend!AL51)</f>
        <v>7.2848270000000007E-2</v>
      </c>
      <c r="AL24">
        <f>IF(Backend!AM51="", "", Backend!AM51)</f>
        <v>-0.19524685</v>
      </c>
      <c r="AM24">
        <f>IF(Backend!AN51="", "", Backend!AN51)</f>
        <v>0.7134258</v>
      </c>
      <c r="AN24">
        <f>IF(Backend!AO51="", "", Backend!AO51)</f>
        <v>0.73304000000000002</v>
      </c>
      <c r="AO24">
        <f>IF(Backend!AP51="", "", Backend!AP51)</f>
        <v>0.69213676000000002</v>
      </c>
      <c r="AP24">
        <f>IF(Backend!AQ51="", "", Backend!AQ51)</f>
        <v>0.8559213</v>
      </c>
      <c r="AQ24">
        <f>IF(Backend!AR51="", "", Backend!AR51)</f>
        <v>-0.14393336000000001</v>
      </c>
      <c r="AR24">
        <f>IF(Backend!AS51="", "", Backend!AS51)</f>
        <v>0.48736889999999999</v>
      </c>
      <c r="AS24">
        <f>IF(Backend!AT51="", "", Backend!AT51)</f>
        <v>0.58453697000000004</v>
      </c>
      <c r="AT24">
        <f>IF(Backend!AU51="", "", Backend!AU51)</f>
        <v>0.42178556</v>
      </c>
      <c r="AU24">
        <f>IF(Backend!AV51="", "", Backend!AV51)</f>
        <v>0.59372663000000003</v>
      </c>
      <c r="AV24">
        <f>IF(Backend!AW51="", "", Backend!AW51)</f>
        <v>-3.9143129999999998E-2</v>
      </c>
      <c r="AW24">
        <f>IF(Backend!AX51="", "", Backend!AX51)</f>
        <v>0.69191340000000001</v>
      </c>
      <c r="AX24">
        <f>IF(Backend!AY51="", "", Backend!AY51)</f>
        <v>0.77213050000000005</v>
      </c>
      <c r="AY24">
        <f>IF(Backend!AZ51="", "", Backend!AZ51)</f>
        <v>0.63287895999999999</v>
      </c>
      <c r="AZ24">
        <f>IF(Backend!BA51="", "", Backend!BA51)</f>
        <v>0.77265620000000002</v>
      </c>
      <c r="BA24">
        <f>IF(Backend!BB51="", "", Backend!BB51)</f>
        <v>-0.16089145999999999</v>
      </c>
      <c r="BB24">
        <f>IF(Backend!BC51="", "", Backend!BC51)</f>
        <v>7.5254399999999999E-2</v>
      </c>
      <c r="BC24">
        <f>IF(Backend!BD51="", "", Backend!BD51)</f>
        <v>0.5453597</v>
      </c>
      <c r="BD24">
        <f>IF(Backend!BE51="", "", Backend!BE51)</f>
        <v>0.13024817</v>
      </c>
      <c r="BE24">
        <f>IF(Backend!BF51="", "", Backend!BF51)</f>
        <v>-0.12287465</v>
      </c>
      <c r="BF24">
        <f>IF(Backend!BG51="", "", Backend!BG51)</f>
        <v>-0.40673313</v>
      </c>
      <c r="BG24">
        <f>IF(Backend!BH51="", "", Backend!BH51)</f>
        <v>-0.30949870000000002</v>
      </c>
      <c r="BH24">
        <f>IF(Backend!BI51="", "", Backend!BI51)</f>
        <v>-0.50775590000000004</v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KB Financial Group Inc.</v>
      </c>
      <c r="B25">
        <f>IF(Backend!C52="", "", Backend!C52)</f>
        <v>0.52251999999999998</v>
      </c>
      <c r="C25">
        <f>IF(Backend!D52="", "", Backend!D52)</f>
        <v>0.53512230000000005</v>
      </c>
      <c r="D25">
        <f>IF(Backend!E52="", "", Backend!E52)</f>
        <v>0.39961553</v>
      </c>
      <c r="E25">
        <f>IF(Backend!F52="", "", Backend!F52)</f>
        <v>0.74408215</v>
      </c>
      <c r="F25">
        <f>IF(Backend!G52="", "", Backend!G52)</f>
        <v>-4.9062339999999996E-4</v>
      </c>
      <c r="G25">
        <f>IF(Backend!H52="", "", Backend!H52)</f>
        <v>0.43308023000000001</v>
      </c>
      <c r="H25">
        <f>IF(Backend!I52="", "", Backend!I52)</f>
        <v>0.15726459000000001</v>
      </c>
      <c r="I25">
        <f>IF(Backend!J52="", "", Backend!J52)</f>
        <v>0.79965810000000004</v>
      </c>
      <c r="J25">
        <f>IF(Backend!K52="", "", Backend!K52)</f>
        <v>-0.74490993999999999</v>
      </c>
      <c r="K25">
        <f>IF(Backend!L52="", "", Backend!L52)</f>
        <v>0.80485130000000005</v>
      </c>
      <c r="L25">
        <f>IF(Backend!M52="", "", Backend!M52)</f>
        <v>0.82150639999999997</v>
      </c>
      <c r="M25">
        <f>IF(Backend!N52="", "", Backend!N52)</f>
        <v>0.119920254</v>
      </c>
      <c r="N25">
        <f>IF(Backend!O52="", "", Backend!O52)</f>
        <v>0.75171745000000001</v>
      </c>
      <c r="O25">
        <f>IF(Backend!P52="", "", Backend!P52)</f>
        <v>-0.29287540000000001</v>
      </c>
      <c r="P25">
        <f>IF(Backend!Q52="", "", Backend!Q52)</f>
        <v>0.82695739999999995</v>
      </c>
      <c r="Q25">
        <f>IF(Backend!R52="", "", Backend!R52)</f>
        <v>0.54847115000000002</v>
      </c>
      <c r="R25">
        <f>IF(Backend!S52="", "", Backend!S52)</f>
        <v>0.79345036000000002</v>
      </c>
      <c r="S25">
        <f>IF(Backend!T52="", "", Backend!T52)</f>
        <v>-0.29375294000000002</v>
      </c>
      <c r="T25">
        <f>IF(Backend!U52="", "", Backend!U52)</f>
        <v>0.70503070000000001</v>
      </c>
      <c r="U25">
        <f>IF(Backend!V52="", "", Backend!V52)</f>
        <v>0.55536836000000001</v>
      </c>
      <c r="V25">
        <f>IF(Backend!W52="", "", Backend!W52)</f>
        <v>0.46725273000000001</v>
      </c>
      <c r="W25">
        <f>IF(Backend!X52="", "", Backend!X52)</f>
        <v>1</v>
      </c>
      <c r="X25">
        <f>IF(Backend!Y52="", "", Backend!Y52)</f>
        <v>0.42953432000000002</v>
      </c>
      <c r="Y25">
        <f>IF(Backend!Z52="", "", Backend!Z52)</f>
        <v>0.55832550000000003</v>
      </c>
      <c r="Z25">
        <f>IF(Backend!AA52="", "", Backend!AA52)</f>
        <v>-0.71734790000000004</v>
      </c>
      <c r="AA25">
        <f>IF(Backend!AB52="", "", Backend!AB52)</f>
        <v>0.65481734000000003</v>
      </c>
      <c r="AB25">
        <f>IF(Backend!AC52="", "", Backend!AC52)</f>
        <v>-0.59867870000000001</v>
      </c>
      <c r="AC25">
        <f>IF(Backend!AD52="", "", Backend!AD52)</f>
        <v>0.20554149999999999</v>
      </c>
      <c r="AD25">
        <f>IF(Backend!AE52="", "", Backend!AE52)</f>
        <v>-0.69031370000000003</v>
      </c>
      <c r="AE25">
        <f>IF(Backend!AF52="", "", Backend!AF52)</f>
        <v>0.66237354000000004</v>
      </c>
      <c r="AF25">
        <f>IF(Backend!AG52="", "", Backend!AG52)</f>
        <v>0.20708414999999999</v>
      </c>
      <c r="AG25">
        <f>IF(Backend!AH52="", "", Backend!AH52)</f>
        <v>-0.82545847000000006</v>
      </c>
      <c r="AH25">
        <f>IF(Backend!AI52="", "", Backend!AI52)</f>
        <v>0.7181478</v>
      </c>
      <c r="AI25">
        <f>IF(Backend!AJ52="", "", Backend!AJ52)</f>
        <v>0.14428141999999999</v>
      </c>
      <c r="AJ25">
        <f>IF(Backend!AK52="", "", Backend!AK52)</f>
        <v>0.59431730000000005</v>
      </c>
      <c r="AK25">
        <f>IF(Backend!AL52="", "", Backend!AL52)</f>
        <v>-0.12317201</v>
      </c>
      <c r="AL25">
        <f>IF(Backend!AM52="", "", Backend!AM52)</f>
        <v>-0.32134955999999998</v>
      </c>
      <c r="AM25">
        <f>IF(Backend!AN52="", "", Backend!AN52)</f>
        <v>0.82965849999999997</v>
      </c>
      <c r="AN25">
        <f>IF(Backend!AO52="", "", Backend!AO52)</f>
        <v>0.82981914000000001</v>
      </c>
      <c r="AO25">
        <f>IF(Backend!AP52="", "", Backend!AP52)</f>
        <v>0.55363770000000001</v>
      </c>
      <c r="AP25">
        <f>IF(Backend!AQ52="", "", Backend!AQ52)</f>
        <v>0.73694999999999999</v>
      </c>
      <c r="AQ25">
        <f>IF(Backend!AR52="", "", Backend!AR52)</f>
        <v>-0.66028403999999996</v>
      </c>
      <c r="AR25">
        <f>IF(Backend!AS52="", "", Backend!AS52)</f>
        <v>0.69108590000000003</v>
      </c>
      <c r="AS25">
        <f>IF(Backend!AT52="", "", Backend!AT52)</f>
        <v>0.96828259999999999</v>
      </c>
      <c r="AT25">
        <f>IF(Backend!AU52="", "", Backend!AU52)</f>
        <v>0.70889959999999996</v>
      </c>
      <c r="AU25">
        <f>IF(Backend!AV52="", "", Backend!AV52)</f>
        <v>0.76850799999999997</v>
      </c>
      <c r="AV25">
        <f>IF(Backend!AW52="", "", Backend!AW52)</f>
        <v>-0.24090033999999999</v>
      </c>
      <c r="AW25">
        <f>IF(Backend!AX52="", "", Backend!AX52)</f>
        <v>0.19171058999999999</v>
      </c>
      <c r="AX25">
        <f>IF(Backend!AY52="", "", Backend!AY52)</f>
        <v>0.59009230000000001</v>
      </c>
      <c r="AY25">
        <f>IF(Backend!AZ52="", "", Backend!AZ52)</f>
        <v>0.68582743000000002</v>
      </c>
      <c r="AZ25">
        <f>IF(Backend!BA52="", "", Backend!BA52)</f>
        <v>0.78691549999999999</v>
      </c>
      <c r="BA25">
        <f>IF(Backend!BB52="", "", Backend!BB52)</f>
        <v>4.6757213999999998E-2</v>
      </c>
      <c r="BB25">
        <f>IF(Backend!BC52="", "", Backend!BC52)</f>
        <v>-4.1195929999999999E-2</v>
      </c>
      <c r="BC25">
        <f>IF(Backend!BD52="", "", Backend!BD52)</f>
        <v>0.83052420000000005</v>
      </c>
      <c r="BD25">
        <f>IF(Backend!BE52="", "", Backend!BE52)</f>
        <v>0.25467917000000001</v>
      </c>
      <c r="BE25">
        <f>IF(Backend!BF52="", "", Backend!BF52)</f>
        <v>0.30808746999999997</v>
      </c>
      <c r="BF25">
        <f>IF(Backend!BG52="", "", Backend!BG52)</f>
        <v>-0.83738970000000001</v>
      </c>
      <c r="BG25">
        <f>IF(Backend!BH52="", "", Backend!BH52)</f>
        <v>-0.42921036000000001</v>
      </c>
      <c r="BH25">
        <f>IF(Backend!BI52="", "", Backend!BI52)</f>
        <v>-0.65956729999999997</v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Kering SA</v>
      </c>
      <c r="B26">
        <f>IF(Backend!C53="", "", Backend!C53)</f>
        <v>1.4948568000000001E-2</v>
      </c>
      <c r="C26">
        <f>IF(Backend!D53="", "", Backend!D53)</f>
        <v>0.88406116000000001</v>
      </c>
      <c r="D26">
        <f>IF(Backend!E53="", "", Backend!E53)</f>
        <v>0.45288162999999998</v>
      </c>
      <c r="E26">
        <f>IF(Backend!F53="", "", Backend!F53)</f>
        <v>0.73284090000000002</v>
      </c>
      <c r="F26">
        <f>IF(Backend!G53="", "", Backend!G53)</f>
        <v>0.37253890000000001</v>
      </c>
      <c r="G26">
        <f>IF(Backend!H53="", "", Backend!H53)</f>
        <v>0.76531225000000003</v>
      </c>
      <c r="H26">
        <f>IF(Backend!I53="", "", Backend!I53)</f>
        <v>0.28373635000000003</v>
      </c>
      <c r="I26">
        <f>IF(Backend!J53="", "", Backend!J53)</f>
        <v>0.34673031999999998</v>
      </c>
      <c r="J26">
        <f>IF(Backend!K53="", "", Backend!K53)</f>
        <v>-0.28084110000000001</v>
      </c>
      <c r="K26">
        <f>IF(Backend!L53="", "", Backend!L53)</f>
        <v>0.18145945999999999</v>
      </c>
      <c r="L26">
        <f>IF(Backend!M53="", "", Backend!M53)</f>
        <v>0.55763483000000003</v>
      </c>
      <c r="M26">
        <f>IF(Backend!N53="", "", Backend!N53)</f>
        <v>-0.107257165</v>
      </c>
      <c r="N26">
        <f>IF(Backend!O53="", "", Backend!O53)</f>
        <v>0.34267959999999997</v>
      </c>
      <c r="O26">
        <f>IF(Backend!P53="", "", Backend!P53)</f>
        <v>-0.14110134999999999</v>
      </c>
      <c r="P26">
        <f>IF(Backend!Q53="", "", Backend!Q53)</f>
        <v>0.57765840000000002</v>
      </c>
      <c r="Q26">
        <f>IF(Backend!R53="", "", Backend!R53)</f>
        <v>0.53194010000000003</v>
      </c>
      <c r="R26">
        <f>IF(Backend!S53="", "", Backend!S53)</f>
        <v>0.47164366000000002</v>
      </c>
      <c r="S26">
        <f>IF(Backend!T53="", "", Backend!T53)</f>
        <v>0.23413713</v>
      </c>
      <c r="T26">
        <f>IF(Backend!U53="", "", Backend!U53)</f>
        <v>0.13908493999999999</v>
      </c>
      <c r="U26">
        <f>IF(Backend!V53="", "", Backend!V53)</f>
        <v>0.75733019999999995</v>
      </c>
      <c r="V26">
        <f>IF(Backend!W53="", "", Backend!W53)</f>
        <v>0.82277714999999996</v>
      </c>
      <c r="W26">
        <f>IF(Backend!X53="", "", Backend!X53)</f>
        <v>0.42953432000000002</v>
      </c>
      <c r="X26">
        <f>IF(Backend!Y53="", "", Backend!Y53)</f>
        <v>1</v>
      </c>
      <c r="Y26">
        <f>IF(Backend!Z53="", "", Backend!Z53)</f>
        <v>0.10007154</v>
      </c>
      <c r="Z26">
        <f>IF(Backend!AA53="", "", Backend!AA53)</f>
        <v>-0.36022316999999998</v>
      </c>
      <c r="AA26">
        <f>IF(Backend!AB53="", "", Backend!AB53)</f>
        <v>0.57329010000000002</v>
      </c>
      <c r="AB26">
        <f>IF(Backend!AC53="", "", Backend!AC53)</f>
        <v>-0.29333752000000002</v>
      </c>
      <c r="AC26">
        <f>IF(Backend!AD53="", "", Backend!AD53)</f>
        <v>0.78608210000000001</v>
      </c>
      <c r="AD26">
        <f>IF(Backend!AE53="", "", Backend!AE53)</f>
        <v>-0.29830992000000001</v>
      </c>
      <c r="AE26">
        <f>IF(Backend!AF53="", "", Backend!AF53)</f>
        <v>0.27510815999999999</v>
      </c>
      <c r="AF26">
        <f>IF(Backend!AG53="", "", Backend!AG53)</f>
        <v>0.47183554999999999</v>
      </c>
      <c r="AG26">
        <f>IF(Backend!AH53="", "", Backend!AH53)</f>
        <v>-0.53821889999999994</v>
      </c>
      <c r="AH26">
        <f>IF(Backend!AI53="", "", Backend!AI53)</f>
        <v>0.30553027999999999</v>
      </c>
      <c r="AI26">
        <f>IF(Backend!AJ53="", "", Backend!AJ53)</f>
        <v>0.60099709999999995</v>
      </c>
      <c r="AJ26">
        <f>IF(Backend!AK53="", "", Backend!AK53)</f>
        <v>0.32661142999999998</v>
      </c>
      <c r="AK26">
        <f>IF(Backend!AL53="", "", Backend!AL53)</f>
        <v>0.29086849999999997</v>
      </c>
      <c r="AL26">
        <f>IF(Backend!AM53="", "", Backend!AM53)</f>
        <v>-8.7266389999999999E-2</v>
      </c>
      <c r="AM26">
        <f>IF(Backend!AN53="", "", Backend!AN53)</f>
        <v>0.65215296</v>
      </c>
      <c r="AN26">
        <f>IF(Backend!AO53="", "", Backend!AO53)</f>
        <v>0.69492774999999996</v>
      </c>
      <c r="AO26">
        <f>IF(Backend!AP53="", "", Backend!AP53)</f>
        <v>0.74509239999999999</v>
      </c>
      <c r="AP26">
        <f>IF(Backend!AQ53="", "", Backend!AQ53)</f>
        <v>0.75838090000000002</v>
      </c>
      <c r="AQ26">
        <f>IF(Backend!AR53="", "", Backend!AR53)</f>
        <v>-8.6868286000000003E-2</v>
      </c>
      <c r="AR26">
        <f>IF(Backend!AS53="", "", Backend!AS53)</f>
        <v>0.31920415000000002</v>
      </c>
      <c r="AS26">
        <f>IF(Backend!AT53="", "", Backend!AT53)</f>
        <v>0.53825199999999995</v>
      </c>
      <c r="AT26">
        <f>IF(Backend!AU53="", "", Backend!AU53)</f>
        <v>0.30915864999999998</v>
      </c>
      <c r="AU26">
        <f>IF(Backend!AV53="", "", Backend!AV53)</f>
        <v>0.5602203</v>
      </c>
      <c r="AV26">
        <f>IF(Backend!AW53="", "", Backend!AW53)</f>
        <v>0.21370162000000001</v>
      </c>
      <c r="AW26">
        <f>IF(Backend!AX53="", "", Backend!AX53)</f>
        <v>0.79015016999999999</v>
      </c>
      <c r="AX26">
        <f>IF(Backend!AY53="", "", Backend!AY53)</f>
        <v>0.70999100000000004</v>
      </c>
      <c r="AY26">
        <f>IF(Backend!AZ53="", "", Backend!AZ53)</f>
        <v>0.62367680000000003</v>
      </c>
      <c r="AZ26">
        <f>IF(Backend!BA53="", "", Backend!BA53)</f>
        <v>0.650926</v>
      </c>
      <c r="BA26">
        <f>IF(Backend!BB53="", "", Backend!BB53)</f>
        <v>-0.3269841</v>
      </c>
      <c r="BB26">
        <f>IF(Backend!BC53="", "", Backend!BC53)</f>
        <v>0.2719145</v>
      </c>
      <c r="BC26">
        <f>IF(Backend!BD53="", "", Backend!BD53)</f>
        <v>0.43758076000000001</v>
      </c>
      <c r="BD26">
        <f>IF(Backend!BE53="", "", Backend!BE53)</f>
        <v>0.18246432000000001</v>
      </c>
      <c r="BE26">
        <f>IF(Backend!BF53="", "", Backend!BF53)</f>
        <v>-8.2997219999999997E-2</v>
      </c>
      <c r="BF26">
        <f>IF(Backend!BG53="", "", Backend!BG53)</f>
        <v>-0.3266888</v>
      </c>
      <c r="BG26">
        <f>IF(Backend!BH53="", "", Backend!BH53)</f>
        <v>-0.42230916000000002</v>
      </c>
      <c r="BH26">
        <f>IF(Backend!BI53="", "", Backend!BI53)</f>
        <v>-0.39313972000000003</v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Koninklijke Ahold Delhaize N.V.</v>
      </c>
      <c r="B27">
        <f>IF(Backend!C54="", "", Backend!C54)</f>
        <v>0.49905275999999998</v>
      </c>
      <c r="C27">
        <f>IF(Backend!D54="", "", Backend!D54)</f>
        <v>0.23606125</v>
      </c>
      <c r="D27">
        <f>IF(Backend!E54="", "", Backend!E54)</f>
        <v>0.37348107000000003</v>
      </c>
      <c r="E27">
        <f>IF(Backend!F54="", "", Backend!F54)</f>
        <v>0.58146180000000003</v>
      </c>
      <c r="F27">
        <f>IF(Backend!G54="", "", Backend!G54)</f>
        <v>-0.23122592</v>
      </c>
      <c r="G27">
        <f>IF(Backend!H54="", "", Backend!H54)</f>
        <v>0.30775917000000003</v>
      </c>
      <c r="H27">
        <f>IF(Backend!I54="", "", Backend!I54)</f>
        <v>0.41477789999999998</v>
      </c>
      <c r="I27">
        <f>IF(Backend!J54="", "", Backend!J54)</f>
        <v>0.82987690000000003</v>
      </c>
      <c r="J27">
        <f>IF(Backend!K54="", "", Backend!K54)</f>
        <v>-0.84687230000000002</v>
      </c>
      <c r="K27">
        <f>IF(Backend!L54="", "", Backend!L54)</f>
        <v>0.79963550000000005</v>
      </c>
      <c r="L27">
        <f>IF(Backend!M54="", "", Backend!M54)</f>
        <v>0.49758419999999998</v>
      </c>
      <c r="M27">
        <f>IF(Backend!N54="", "", Backend!N54)</f>
        <v>0.31840318000000001</v>
      </c>
      <c r="N27">
        <f>IF(Backend!O54="", "", Backend!O54)</f>
        <v>0.8980532</v>
      </c>
      <c r="O27">
        <f>IF(Backend!P54="", "", Backend!P54)</f>
        <v>-0.72369254000000005</v>
      </c>
      <c r="P27">
        <f>IF(Backend!Q54="", "", Backend!Q54)</f>
        <v>0.64118825999999995</v>
      </c>
      <c r="Q27">
        <f>IF(Backend!R54="", "", Backend!R54)</f>
        <v>0.73107800000000001</v>
      </c>
      <c r="R27">
        <f>IF(Backend!S54="", "", Backend!S54)</f>
        <v>0.7996451</v>
      </c>
      <c r="S27">
        <f>IF(Backend!T54="", "", Backend!T54)</f>
        <v>-0.79646753999999997</v>
      </c>
      <c r="T27">
        <f>IF(Backend!U54="", "", Backend!U54)</f>
        <v>0.49851646999999999</v>
      </c>
      <c r="U27">
        <f>IF(Backend!V54="", "", Backend!V54)</f>
        <v>-0.10235013</v>
      </c>
      <c r="V27">
        <f>IF(Backend!W54="", "", Backend!W54)</f>
        <v>0.31169910000000001</v>
      </c>
      <c r="W27">
        <f>IF(Backend!X54="", "", Backend!X54)</f>
        <v>0.55832550000000003</v>
      </c>
      <c r="X27">
        <f>IF(Backend!Y54="", "", Backend!Y54)</f>
        <v>0.10007154</v>
      </c>
      <c r="Y27">
        <f>IF(Backend!Z54="", "", Backend!Z54)</f>
        <v>1</v>
      </c>
      <c r="Z27">
        <f>IF(Backend!AA54="", "", Backend!AA54)</f>
        <v>-0.8149556</v>
      </c>
      <c r="AA27">
        <f>IF(Backend!AB54="", "", Backend!AB54)</f>
        <v>9.9472489999999997E-2</v>
      </c>
      <c r="AB27">
        <f>IF(Backend!AC54="", "", Backend!AC54)</f>
        <v>-0.85030930000000005</v>
      </c>
      <c r="AC27">
        <f>IF(Backend!AD54="", "", Backend!AD54)</f>
        <v>-0.32491123999999999</v>
      </c>
      <c r="AD27">
        <f>IF(Backend!AE54="", "", Backend!AE54)</f>
        <v>-0.88916859999999998</v>
      </c>
      <c r="AE27">
        <f>IF(Backend!AF54="", "", Backend!AF54)</f>
        <v>0.53618330000000003</v>
      </c>
      <c r="AF27">
        <f>IF(Backend!AG54="", "", Backend!AG54)</f>
        <v>-0.4413417</v>
      </c>
      <c r="AG27">
        <f>IF(Backend!AH54="", "", Backend!AH54)</f>
        <v>-0.67059760000000002</v>
      </c>
      <c r="AH27">
        <f>IF(Backend!AI54="", "", Backend!AI54)</f>
        <v>0.91446479999999997</v>
      </c>
      <c r="AI27">
        <f>IF(Backend!AJ54="", "", Backend!AJ54)</f>
        <v>-0.2752713</v>
      </c>
      <c r="AJ27">
        <f>IF(Backend!AK54="", "", Backend!AK54)</f>
        <v>0.80172867000000003</v>
      </c>
      <c r="AK27">
        <f>IF(Backend!AL54="", "", Backend!AL54)</f>
        <v>-0.63912899999999995</v>
      </c>
      <c r="AL27">
        <f>IF(Backend!AM54="", "", Backend!AM54)</f>
        <v>-0.81040109999999999</v>
      </c>
      <c r="AM27">
        <f>IF(Backend!AN54="", "", Backend!AN54)</f>
        <v>0.6552962</v>
      </c>
      <c r="AN27">
        <f>IF(Backend!AO54="", "", Backend!AO54)</f>
        <v>0.55597399999999997</v>
      </c>
      <c r="AO27">
        <f>IF(Backend!AP54="", "", Backend!AP54)</f>
        <v>-2.9568087E-2</v>
      </c>
      <c r="AP27">
        <f>IF(Backend!AQ54="", "", Backend!AQ54)</f>
        <v>0.52897669999999997</v>
      </c>
      <c r="AQ27">
        <f>IF(Backend!AR54="", "", Backend!AR54)</f>
        <v>-0.12705462000000001</v>
      </c>
      <c r="AR27">
        <f>IF(Backend!AS54="", "", Backend!AS54)</f>
        <v>0.85525609999999996</v>
      </c>
      <c r="AS27">
        <f>IF(Backend!AT54="", "", Backend!AT54)</f>
        <v>0.55255920000000003</v>
      </c>
      <c r="AT27">
        <f>IF(Backend!AU54="", "", Backend!AU54)</f>
        <v>0.89487284</v>
      </c>
      <c r="AU27">
        <f>IF(Backend!AV54="", "", Backend!AV54)</f>
        <v>0.74646920000000005</v>
      </c>
      <c r="AV27">
        <f>IF(Backend!AW54="", "", Backend!AW54)</f>
        <v>-0.76068910000000001</v>
      </c>
      <c r="AW27">
        <f>IF(Backend!AX54="", "", Backend!AX54)</f>
        <v>-7.8331689999999995E-2</v>
      </c>
      <c r="AX27">
        <f>IF(Backend!AY54="", "", Backend!AY54)</f>
        <v>0.10796031</v>
      </c>
      <c r="AY27">
        <f>IF(Backend!AZ54="", "", Backend!AZ54)</f>
        <v>0.54019815000000004</v>
      </c>
      <c r="AZ27">
        <f>IF(Backend!BA54="", "", Backend!BA54)</f>
        <v>0.65836589999999995</v>
      </c>
      <c r="BA27">
        <f>IF(Backend!BB54="", "", Backend!BB54)</f>
        <v>0.33205311999999998</v>
      </c>
      <c r="BB27">
        <f>IF(Backend!BC54="", "", Backend!BC54)</f>
        <v>-0.73081076</v>
      </c>
      <c r="BC27">
        <f>IF(Backend!BD54="", "", Backend!BD54)</f>
        <v>0.7635731</v>
      </c>
      <c r="BD27">
        <f>IF(Backend!BE54="", "", Backend!BE54)</f>
        <v>0.66847469999999998</v>
      </c>
      <c r="BE27">
        <f>IF(Backend!BF54="", "", Backend!BF54)</f>
        <v>0.69091135000000004</v>
      </c>
      <c r="BF27">
        <f>IF(Backend!BG54="", "", Backend!BG54)</f>
        <v>-0.77313229999999999</v>
      </c>
      <c r="BG27">
        <f>IF(Backend!BH54="", "", Backend!BH54)</f>
        <v>-0.58044183000000005</v>
      </c>
      <c r="BH27">
        <f>IF(Backend!BI54="", "", Backend!BI54)</f>
        <v>-0.80243635000000002</v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Kraft Heinz Company</v>
      </c>
      <c r="B28">
        <f>IF(Backend!C55="", "", Backend!C55)</f>
        <v>-0.27062148000000003</v>
      </c>
      <c r="C28">
        <f>IF(Backend!D55="", "", Backend!D55)</f>
        <v>-0.46416735999999997</v>
      </c>
      <c r="D28">
        <f>IF(Backend!E55="", "", Backend!E55)</f>
        <v>-0.30479884000000002</v>
      </c>
      <c r="E28">
        <f>IF(Backend!F55="", "", Backend!F55)</f>
        <v>-0.76094260000000002</v>
      </c>
      <c r="F28">
        <f>IF(Backend!G55="", "", Backend!G55)</f>
        <v>0.27253544000000002</v>
      </c>
      <c r="G28">
        <f>IF(Backend!H55="", "", Backend!H55)</f>
        <v>-0.51544385999999998</v>
      </c>
      <c r="H28">
        <f>IF(Backend!I55="", "", Backend!I55)</f>
        <v>-0.24206029000000001</v>
      </c>
      <c r="I28">
        <f>IF(Backend!J55="", "", Backend!J55)</f>
        <v>-0.78586990000000001</v>
      </c>
      <c r="J28">
        <f>IF(Backend!K55="", "", Backend!K55)</f>
        <v>0.84158385000000002</v>
      </c>
      <c r="K28">
        <f>IF(Backend!L55="", "", Backend!L55)</f>
        <v>-0.72593949999999996</v>
      </c>
      <c r="L28">
        <f>IF(Backend!M55="", "", Backend!M55)</f>
        <v>-0.64232325999999995</v>
      </c>
      <c r="M28">
        <f>IF(Backend!N55="", "", Backend!N55)</f>
        <v>-0.120453455</v>
      </c>
      <c r="N28">
        <f>IF(Backend!O55="", "", Backend!O55)</f>
        <v>-0.86581870000000005</v>
      </c>
      <c r="O28">
        <f>IF(Backend!P55="", "", Backend!P55)</f>
        <v>0.57146379999999997</v>
      </c>
      <c r="P28">
        <f>IF(Backend!Q55="", "", Backend!Q55)</f>
        <v>-0.70841189999999998</v>
      </c>
      <c r="Q28">
        <f>IF(Backend!R55="", "", Backend!R55)</f>
        <v>-0.72044640000000004</v>
      </c>
      <c r="R28">
        <f>IF(Backend!S55="", "", Backend!S55)</f>
        <v>-0.8608557</v>
      </c>
      <c r="S28">
        <f>IF(Backend!T55="", "", Backend!T55)</f>
        <v>0.62009159999999997</v>
      </c>
      <c r="T28">
        <f>IF(Backend!U55="", "", Backend!U55)</f>
        <v>-0.47240337999999998</v>
      </c>
      <c r="U28">
        <f>IF(Backend!V55="", "", Backend!V55)</f>
        <v>-0.25076172000000002</v>
      </c>
      <c r="V28">
        <f>IF(Backend!W55="", "", Backend!W55)</f>
        <v>-0.46383943999999999</v>
      </c>
      <c r="W28">
        <f>IF(Backend!X55="", "", Backend!X55)</f>
        <v>-0.71734790000000004</v>
      </c>
      <c r="X28">
        <f>IF(Backend!Y55="", "", Backend!Y55)</f>
        <v>-0.36022316999999998</v>
      </c>
      <c r="Y28">
        <f>IF(Backend!Z55="", "", Backend!Z55)</f>
        <v>-0.8149556</v>
      </c>
      <c r="Z28">
        <f>IF(Backend!AA55="", "", Backend!AA55)</f>
        <v>1</v>
      </c>
      <c r="AA28">
        <f>IF(Backend!AB55="", "", Backend!AB55)</f>
        <v>-0.24738961000000001</v>
      </c>
      <c r="AB28">
        <f>IF(Backend!AC55="", "", Backend!AC55)</f>
        <v>0.86987983999999996</v>
      </c>
      <c r="AC28">
        <f>IF(Backend!AD55="", "", Backend!AD55)</f>
        <v>2.1016272000000001E-3</v>
      </c>
      <c r="AD28">
        <f>IF(Backend!AE55="", "", Backend!AE55)</f>
        <v>0.89940399999999998</v>
      </c>
      <c r="AE28">
        <f>IF(Backend!AF55="", "", Backend!AF55)</f>
        <v>-0.54046685000000005</v>
      </c>
      <c r="AF28">
        <f>IF(Backend!AG55="", "", Backend!AG55)</f>
        <v>0.301454</v>
      </c>
      <c r="AG28">
        <f>IF(Backend!AH55="", "", Backend!AH55)</f>
        <v>0.86381006000000005</v>
      </c>
      <c r="AH28">
        <f>IF(Backend!AI55="", "", Backend!AI55)</f>
        <v>-0.84566050000000004</v>
      </c>
      <c r="AI28">
        <f>IF(Backend!AJ55="", "", Backend!AJ55)</f>
        <v>4.5766993999999998E-2</v>
      </c>
      <c r="AJ28">
        <f>IF(Backend!AK55="", "", Backend!AK55)</f>
        <v>-0.79876930000000002</v>
      </c>
      <c r="AK28">
        <f>IF(Backend!AL55="", "", Backend!AL55)</f>
        <v>0.48108062000000001</v>
      </c>
      <c r="AL28">
        <f>IF(Backend!AM55="", "", Backend!AM55)</f>
        <v>0.69759769999999999</v>
      </c>
      <c r="AM28">
        <f>IF(Backend!AN55="", "", Backend!AN55)</f>
        <v>-0.77263539999999997</v>
      </c>
      <c r="AN28">
        <f>IF(Backend!AO55="", "", Backend!AO55)</f>
        <v>-0.71737194000000004</v>
      </c>
      <c r="AO28">
        <f>IF(Backend!AP55="", "", Backend!AP55)</f>
        <v>-0.22010552999999999</v>
      </c>
      <c r="AP28">
        <f>IF(Backend!AQ55="", "", Backend!AQ55)</f>
        <v>-0.68608665000000002</v>
      </c>
      <c r="AQ28">
        <f>IF(Backend!AR55="", "", Backend!AR55)</f>
        <v>0.33602428000000001</v>
      </c>
      <c r="AR28">
        <f>IF(Backend!AS55="", "", Backend!AS55)</f>
        <v>-0.78555363</v>
      </c>
      <c r="AS28">
        <f>IF(Backend!AT55="", "", Backend!AT55)</f>
        <v>-0.69934213000000001</v>
      </c>
      <c r="AT28">
        <f>IF(Backend!AU55="", "", Backend!AU55)</f>
        <v>-0.83566799999999997</v>
      </c>
      <c r="AU28">
        <f>IF(Backend!AV55="", "", Backend!AV55)</f>
        <v>-0.78020659999999997</v>
      </c>
      <c r="AV28">
        <f>IF(Backend!AW55="", "", Backend!AW55)</f>
        <v>0.63385886000000002</v>
      </c>
      <c r="AW28">
        <f>IF(Backend!AX55="", "", Backend!AX55)</f>
        <v>1.4186803E-2</v>
      </c>
      <c r="AX28">
        <f>IF(Backend!AY55="", "", Backend!AY55)</f>
        <v>-0.2096507</v>
      </c>
      <c r="AY28">
        <f>IF(Backend!AZ55="", "", Backend!AZ55)</f>
        <v>-0.67653410000000003</v>
      </c>
      <c r="AZ28">
        <f>IF(Backend!BA55="", "", Backend!BA55)</f>
        <v>-0.76547929999999997</v>
      </c>
      <c r="BA28">
        <f>IF(Backend!BB55="", "", Backend!BB55)</f>
        <v>-1.8361981999999999E-2</v>
      </c>
      <c r="BB28">
        <f>IF(Backend!BC55="", "", Backend!BC55)</f>
        <v>0.49731857000000002</v>
      </c>
      <c r="BC28">
        <f>IF(Backend!BD55="", "", Backend!BD55)</f>
        <v>-0.74464684999999997</v>
      </c>
      <c r="BD28">
        <f>IF(Backend!BE55="", "", Backend!BE55)</f>
        <v>-0.49417040000000001</v>
      </c>
      <c r="BE28">
        <f>IF(Backend!BF55="", "", Backend!BF55)</f>
        <v>-0.66513299999999997</v>
      </c>
      <c r="BF28">
        <f>IF(Backend!BG55="", "", Backend!BG55)</f>
        <v>0.84843736999999997</v>
      </c>
      <c r="BG28">
        <f>IF(Backend!BH55="", "", Backend!BH55)</f>
        <v>0.72051734000000001</v>
      </c>
      <c r="BH28">
        <f>IF(Backend!BI55="", "", Backend!BI55)</f>
        <v>0.80839320000000003</v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Lear Corporation</v>
      </c>
      <c r="B29">
        <f>IF(Backend!C56="", "", Backend!C56)</f>
        <v>0.382218</v>
      </c>
      <c r="C29">
        <f>IF(Backend!D56="", "", Backend!D56)</f>
        <v>0.57380580000000003</v>
      </c>
      <c r="D29">
        <f>IF(Backend!E56="", "", Backend!E56)</f>
        <v>0.41770439999999998</v>
      </c>
      <c r="E29">
        <f>IF(Backend!F56="", "", Backend!F56)</f>
        <v>0.68464860000000005</v>
      </c>
      <c r="F29">
        <f>IF(Backend!G56="", "", Backend!G56)</f>
        <v>0.45245092999999997</v>
      </c>
      <c r="G29">
        <f>IF(Backend!H56="", "", Backend!H56)</f>
        <v>0.34579176</v>
      </c>
      <c r="H29">
        <f>IF(Backend!I56="", "", Backend!I56)</f>
        <v>0.31055941999999997</v>
      </c>
      <c r="I29">
        <f>IF(Backend!J56="", "", Backend!J56)</f>
        <v>0.46167213000000001</v>
      </c>
      <c r="J29">
        <f>IF(Backend!K56="", "", Backend!K56)</f>
        <v>-0.24121317</v>
      </c>
      <c r="K29">
        <f>IF(Backend!L56="", "", Backend!L56)</f>
        <v>0.44055181999999998</v>
      </c>
      <c r="L29">
        <f>IF(Backend!M56="", "", Backend!M56)</f>
        <v>0.70960690000000004</v>
      </c>
      <c r="M29">
        <f>IF(Backend!N56="", "", Backend!N56)</f>
        <v>-0.18763568</v>
      </c>
      <c r="N29">
        <f>IF(Backend!O56="", "", Backend!O56)</f>
        <v>0.38531705999999999</v>
      </c>
      <c r="O29">
        <f>IF(Backend!P56="", "", Backend!P56)</f>
        <v>-7.8754370000000004E-2</v>
      </c>
      <c r="P29">
        <f>IF(Backend!Q56="", "", Backend!Q56)</f>
        <v>0.65344290000000005</v>
      </c>
      <c r="Q29">
        <f>IF(Backend!R56="", "", Backend!R56)</f>
        <v>0.32835618</v>
      </c>
      <c r="R29">
        <f>IF(Backend!S56="", "", Backend!S56)</f>
        <v>0.49983727999999999</v>
      </c>
      <c r="S29">
        <f>IF(Backend!T56="", "", Backend!T56)</f>
        <v>0.1503236</v>
      </c>
      <c r="T29">
        <f>IF(Backend!U56="", "", Backend!U56)</f>
        <v>0.40223977</v>
      </c>
      <c r="U29">
        <f>IF(Backend!V56="", "", Backend!V56)</f>
        <v>0.73507670000000003</v>
      </c>
      <c r="V29">
        <f>IF(Backend!W56="", "", Backend!W56)</f>
        <v>0.44015389999999999</v>
      </c>
      <c r="W29">
        <f>IF(Backend!X56="", "", Backend!X56)</f>
        <v>0.65481734000000003</v>
      </c>
      <c r="X29">
        <f>IF(Backend!Y56="", "", Backend!Y56)</f>
        <v>0.57329010000000002</v>
      </c>
      <c r="Y29">
        <f>IF(Backend!Z56="", "", Backend!Z56)</f>
        <v>9.9472489999999997E-2</v>
      </c>
      <c r="Z29">
        <f>IF(Backend!AA56="", "", Backend!AA56)</f>
        <v>-0.24738961000000001</v>
      </c>
      <c r="AA29">
        <f>IF(Backend!AB56="", "", Backend!AB56)</f>
        <v>1</v>
      </c>
      <c r="AB29">
        <f>IF(Backend!AC56="", "", Backend!AC56)</f>
        <v>-9.5340565000000002E-2</v>
      </c>
      <c r="AC29">
        <f>IF(Backend!AD56="", "", Backend!AD56)</f>
        <v>0.51969180000000004</v>
      </c>
      <c r="AD29">
        <f>IF(Backend!AE56="", "", Backend!AE56)</f>
        <v>-0.19293177</v>
      </c>
      <c r="AE29">
        <f>IF(Backend!AF56="", "", Backend!AF56)</f>
        <v>0.46317535999999998</v>
      </c>
      <c r="AF29">
        <f>IF(Backend!AG56="", "", Backend!AG56)</f>
        <v>0.5866905</v>
      </c>
      <c r="AG29">
        <f>IF(Backend!AH56="", "", Backend!AH56)</f>
        <v>-0.46736812999999999</v>
      </c>
      <c r="AH29">
        <f>IF(Backend!AI56="", "", Backend!AI56)</f>
        <v>0.32058397</v>
      </c>
      <c r="AI29">
        <f>IF(Backend!AJ56="", "", Backend!AJ56)</f>
        <v>0.35429169999999999</v>
      </c>
      <c r="AJ29">
        <f>IF(Backend!AK56="", "", Backend!AK56)</f>
        <v>0.29704627</v>
      </c>
      <c r="AK29">
        <f>IF(Backend!AL56="", "", Backend!AL56)</f>
        <v>0.38738909999999999</v>
      </c>
      <c r="AL29">
        <f>IF(Backend!AM56="", "", Backend!AM56)</f>
        <v>-2.7708531999999998E-3</v>
      </c>
      <c r="AM29">
        <f>IF(Backend!AN56="", "", Backend!AN56)</f>
        <v>0.63958409999999999</v>
      </c>
      <c r="AN29">
        <f>IF(Backend!AO56="", "", Backend!AO56)</f>
        <v>0.68915170000000003</v>
      </c>
      <c r="AO29">
        <f>IF(Backend!AP56="", "", Backend!AP56)</f>
        <v>0.66475355999999997</v>
      </c>
      <c r="AP29">
        <f>IF(Backend!AQ56="", "", Backend!AQ56)</f>
        <v>0.51917009999999997</v>
      </c>
      <c r="AQ29">
        <f>IF(Backend!AR56="", "", Backend!AR56)</f>
        <v>-0.32058779999999998</v>
      </c>
      <c r="AR29">
        <f>IF(Backend!AS56="", "", Backend!AS56)</f>
        <v>0.33177182</v>
      </c>
      <c r="AS29">
        <f>IF(Backend!AT56="", "", Backend!AT56)</f>
        <v>0.65981800000000002</v>
      </c>
      <c r="AT29">
        <f>IF(Backend!AU56="", "", Backend!AU56)</f>
        <v>0.34089269999999999</v>
      </c>
      <c r="AU29">
        <f>IF(Backend!AV56="", "", Backend!AV56)</f>
        <v>0.56515789999999999</v>
      </c>
      <c r="AV29">
        <f>IF(Backend!AW56="", "", Backend!AW56)</f>
        <v>0.36505836000000003</v>
      </c>
      <c r="AW29">
        <f>IF(Backend!AX56="", "", Backend!AX56)</f>
        <v>0.45762140000000001</v>
      </c>
      <c r="AX29">
        <f>IF(Backend!AY56="", "", Backend!AY56)</f>
        <v>0.68449789999999999</v>
      </c>
      <c r="AY29">
        <f>IF(Backend!AZ56="", "", Backend!AZ56)</f>
        <v>0.60123579999999999</v>
      </c>
      <c r="AZ29">
        <f>IF(Backend!BA56="", "", Backend!BA56)</f>
        <v>0.51009409999999999</v>
      </c>
      <c r="BA29">
        <f>IF(Backend!BB56="", "", Backend!BB56)</f>
        <v>-1.4239775E-2</v>
      </c>
      <c r="BB29">
        <f>IF(Backend!BC56="", "", Backend!BC56)</f>
        <v>0.37644997000000002</v>
      </c>
      <c r="BC29">
        <f>IF(Backend!BD56="", "", Backend!BD56)</f>
        <v>0.57602500000000001</v>
      </c>
      <c r="BD29">
        <f>IF(Backend!BE56="", "", Backend!BE56)</f>
        <v>0.26764837000000002</v>
      </c>
      <c r="BE29">
        <f>IF(Backend!BF56="", "", Backend!BF56)</f>
        <v>5.2131914000000001E-2</v>
      </c>
      <c r="BF29">
        <f>IF(Backend!BG56="", "", Backend!BG56)</f>
        <v>-0.36764657000000001</v>
      </c>
      <c r="BG29">
        <f>IF(Backend!BH56="", "", Backend!BH56)</f>
        <v>-0.13101065000000001</v>
      </c>
      <c r="BH29">
        <f>IF(Backend!BI56="", "", Backend!BI56)</f>
        <v>-0.31172879999999997</v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LyondellBasell Industries NV</v>
      </c>
      <c r="B30">
        <f>IF(Backend!C57="", "", Backend!C57)</f>
        <v>-0.37869419999999998</v>
      </c>
      <c r="C30">
        <f>IF(Backend!D57="", "", Backend!D57)</f>
        <v>-0.37114150000000001</v>
      </c>
      <c r="D30">
        <f>IF(Backend!E57="", "", Backend!E57)</f>
        <v>-0.51087819999999995</v>
      </c>
      <c r="E30">
        <f>IF(Backend!F57="", "", Backend!F57)</f>
        <v>-0.66702247000000003</v>
      </c>
      <c r="F30">
        <f>IF(Backend!G57="", "", Backend!G57)</f>
        <v>0.22062524999999999</v>
      </c>
      <c r="G30">
        <f>IF(Backend!H57="", "", Backend!H57)</f>
        <v>-0.53209715999999996</v>
      </c>
      <c r="H30">
        <f>IF(Backend!I57="", "", Backend!I57)</f>
        <v>-0.29022350000000002</v>
      </c>
      <c r="I30">
        <f>IF(Backend!J57="", "", Backend!J57)</f>
        <v>-0.79158070000000003</v>
      </c>
      <c r="J30">
        <f>IF(Backend!K57="", "", Backend!K57)</f>
        <v>0.88925767</v>
      </c>
      <c r="K30">
        <f>IF(Backend!L57="", "", Backend!L57)</f>
        <v>-0.78239404999999995</v>
      </c>
      <c r="L30">
        <f>IF(Backend!M57="", "", Backend!M57)</f>
        <v>-0.45935535</v>
      </c>
      <c r="M30">
        <f>IF(Backend!N57="", "", Backend!N57)</f>
        <v>-0.28062963000000002</v>
      </c>
      <c r="N30">
        <f>IF(Backend!O57="", "", Backend!O57)</f>
        <v>-0.84252190000000005</v>
      </c>
      <c r="O30">
        <f>IF(Backend!P57="", "", Backend!P57)</f>
        <v>0.68172085000000004</v>
      </c>
      <c r="P30">
        <f>IF(Backend!Q57="", "", Backend!Q57)</f>
        <v>-0.67860690000000001</v>
      </c>
      <c r="Q30">
        <f>IF(Backend!R57="", "", Backend!R57)</f>
        <v>-0.7287612</v>
      </c>
      <c r="R30">
        <f>IF(Backend!S57="", "", Backend!S57)</f>
        <v>-0.86185540000000005</v>
      </c>
      <c r="S30">
        <f>IF(Backend!T57="", "", Backend!T57)</f>
        <v>0.74364989999999997</v>
      </c>
      <c r="T30">
        <f>IF(Backend!U57="", "", Backend!U57)</f>
        <v>-0.47003633</v>
      </c>
      <c r="U30">
        <f>IF(Backend!V57="", "", Backend!V57)</f>
        <v>-7.3777770000000006E-2</v>
      </c>
      <c r="V30">
        <f>IF(Backend!W57="", "", Backend!W57)</f>
        <v>-0.44630226000000001</v>
      </c>
      <c r="W30">
        <f>IF(Backend!X57="", "", Backend!X57)</f>
        <v>-0.59867870000000001</v>
      </c>
      <c r="X30">
        <f>IF(Backend!Y57="", "", Backend!Y57)</f>
        <v>-0.29333752000000002</v>
      </c>
      <c r="Y30">
        <f>IF(Backend!Z57="", "", Backend!Z57)</f>
        <v>-0.85030930000000005</v>
      </c>
      <c r="Z30">
        <f>IF(Backend!AA57="", "", Backend!AA57)</f>
        <v>0.86987983999999996</v>
      </c>
      <c r="AA30">
        <f>IF(Backend!AB57="", "", Backend!AB57)</f>
        <v>-9.5340565000000002E-2</v>
      </c>
      <c r="AB30">
        <f>IF(Backend!AC57="", "", Backend!AC57)</f>
        <v>1</v>
      </c>
      <c r="AC30">
        <f>IF(Backend!AD57="", "", Backend!AD57)</f>
        <v>7.0979139999999996E-2</v>
      </c>
      <c r="AD30">
        <f>IF(Backend!AE57="", "", Backend!AE57)</f>
        <v>0.94949496</v>
      </c>
      <c r="AE30">
        <f>IF(Backend!AF57="", "", Backend!AF57)</f>
        <v>-0.68875690000000001</v>
      </c>
      <c r="AF30">
        <f>IF(Backend!AG57="", "", Backend!AG57)</f>
        <v>0.31872496</v>
      </c>
      <c r="AG30">
        <f>IF(Backend!AH57="", "", Backend!AH57)</f>
        <v>0.74054660000000005</v>
      </c>
      <c r="AH30">
        <f>IF(Backend!AI57="", "", Backend!AI57)</f>
        <v>-0.87891965999999999</v>
      </c>
      <c r="AI30">
        <f>IF(Backend!AJ57="", "", Backend!AJ57)</f>
        <v>0.11456166</v>
      </c>
      <c r="AJ30">
        <f>IF(Backend!AK57="", "", Backend!AK57)</f>
        <v>-0.90327190000000002</v>
      </c>
      <c r="AK30">
        <f>IF(Backend!AL57="", "", Backend!AL57)</f>
        <v>0.64055790000000001</v>
      </c>
      <c r="AL30">
        <f>IF(Backend!AM57="", "", Backend!AM57)</f>
        <v>0.7692466</v>
      </c>
      <c r="AM30">
        <f>IF(Backend!AN57="", "", Backend!AN57)</f>
        <v>-0.74075943</v>
      </c>
      <c r="AN30">
        <f>IF(Backend!AO57="", "", Backend!AO57)</f>
        <v>-0.67103710000000005</v>
      </c>
      <c r="AO30">
        <f>IF(Backend!AP57="", "", Backend!AP57)</f>
        <v>-0.21027187</v>
      </c>
      <c r="AP30">
        <f>IF(Backend!AQ57="", "", Backend!AQ57)</f>
        <v>-0.72126809999999997</v>
      </c>
      <c r="AQ30">
        <f>IF(Backend!AR57="", "", Backend!AR57)</f>
        <v>0.3162411</v>
      </c>
      <c r="AR30">
        <f>IF(Backend!AS57="", "", Backend!AS57)</f>
        <v>-0.83988976000000004</v>
      </c>
      <c r="AS30">
        <f>IF(Backend!AT57="", "", Backend!AT57)</f>
        <v>-0.64977865999999995</v>
      </c>
      <c r="AT30">
        <f>IF(Backend!AU57="", "", Backend!AU57)</f>
        <v>-0.89137370000000005</v>
      </c>
      <c r="AU30">
        <f>IF(Backend!AV57="", "", Backend!AV57)</f>
        <v>-0.7852635</v>
      </c>
      <c r="AV30">
        <f>IF(Backend!AW57="", "", Backend!AW57)</f>
        <v>0.80056846000000004</v>
      </c>
      <c r="AW30">
        <f>IF(Backend!AX57="", "", Backend!AX57)</f>
        <v>1.9776287E-2</v>
      </c>
      <c r="AX30">
        <f>IF(Backend!AY57="", "", Backend!AY57)</f>
        <v>-0.18457434</v>
      </c>
      <c r="AY30">
        <f>IF(Backend!AZ57="", "", Backend!AZ57)</f>
        <v>-0.71811720000000001</v>
      </c>
      <c r="AZ30">
        <f>IF(Backend!BA57="", "", Backend!BA57)</f>
        <v>-0.76656000000000002</v>
      </c>
      <c r="BA30">
        <f>IF(Backend!BB57="", "", Backend!BB57)</f>
        <v>-0.2250212</v>
      </c>
      <c r="BB30">
        <f>IF(Backend!BC57="", "", Backend!BC57)</f>
        <v>0.61793129999999996</v>
      </c>
      <c r="BC30">
        <f>IF(Backend!BD57="", "", Backend!BD57)</f>
        <v>-0.78735670000000002</v>
      </c>
      <c r="BD30">
        <f>IF(Backend!BE57="", "", Backend!BE57)</f>
        <v>-0.57982254</v>
      </c>
      <c r="BE30">
        <f>IF(Backend!BF57="", "", Backend!BF57)</f>
        <v>-0.65984315000000004</v>
      </c>
      <c r="BF30">
        <f>IF(Backend!BG57="", "", Backend!BG57)</f>
        <v>0.84709290000000004</v>
      </c>
      <c r="BG30">
        <f>IF(Backend!BH57="", "", Backend!BH57)</f>
        <v>0.70387023999999998</v>
      </c>
      <c r="BH30">
        <f>IF(Backend!BI57="", "", Backend!BI57)</f>
        <v>0.89387375000000002</v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Macy's, Inc.</v>
      </c>
      <c r="B31">
        <f>IF(Backend!C58="", "", Backend!C58)</f>
        <v>-0.24426719999999999</v>
      </c>
      <c r="C31">
        <f>IF(Backend!D58="", "", Backend!D58)</f>
        <v>0.74410799999999999</v>
      </c>
      <c r="D31">
        <f>IF(Backend!E58="", "", Backend!E58)</f>
        <v>0.27010146000000002</v>
      </c>
      <c r="E31">
        <f>IF(Backend!F58="", "", Backend!F58)</f>
        <v>0.43323790000000001</v>
      </c>
      <c r="F31">
        <f>IF(Backend!G58="", "", Backend!G58)</f>
        <v>0.30877622999999998</v>
      </c>
      <c r="G31">
        <f>IF(Backend!H58="", "", Backend!H58)</f>
        <v>0.61564980000000002</v>
      </c>
      <c r="H31">
        <f>IF(Backend!I58="", "", Backend!I58)</f>
        <v>-0.15190274000000001</v>
      </c>
      <c r="I31">
        <f>IF(Backend!J58="", "", Backend!J58)</f>
        <v>-6.2737269999999998E-2</v>
      </c>
      <c r="J31">
        <f>IF(Backend!K58="", "", Backend!K58)</f>
        <v>6.3121899999999995E-2</v>
      </c>
      <c r="K31">
        <f>IF(Backend!L58="", "", Backend!L58)</f>
        <v>-0.17813402</v>
      </c>
      <c r="L31">
        <f>IF(Backend!M58="", "", Backend!M58)</f>
        <v>0.22096165000000001</v>
      </c>
      <c r="M31">
        <f>IF(Backend!N58="", "", Backend!N58)</f>
        <v>-0.10506791</v>
      </c>
      <c r="N31">
        <f>IF(Backend!O58="", "", Backend!O58)</f>
        <v>-6.5665100000000004E-2</v>
      </c>
      <c r="O31">
        <f>IF(Backend!P58="", "", Backend!P58)</f>
        <v>0.29638130000000001</v>
      </c>
      <c r="P31">
        <f>IF(Backend!Q58="", "", Backend!Q58)</f>
        <v>0.24134706</v>
      </c>
      <c r="Q31">
        <f>IF(Backend!R58="", "", Backend!R58)</f>
        <v>0.18166748999999999</v>
      </c>
      <c r="R31">
        <f>IF(Backend!S58="", "", Backend!S58)</f>
        <v>0.14691871000000001</v>
      </c>
      <c r="S31">
        <f>IF(Backend!T58="", "", Backend!T58)</f>
        <v>0.59172106000000002</v>
      </c>
      <c r="T31">
        <f>IF(Backend!U58="", "", Backend!U58)</f>
        <v>-9.1550820000000005E-2</v>
      </c>
      <c r="U31">
        <f>IF(Backend!V58="", "", Backend!V58)</f>
        <v>0.77895075000000003</v>
      </c>
      <c r="V31">
        <f>IF(Backend!W58="", "", Backend!W58)</f>
        <v>0.65240900000000002</v>
      </c>
      <c r="W31">
        <f>IF(Backend!X58="", "", Backend!X58)</f>
        <v>0.20554149999999999</v>
      </c>
      <c r="X31">
        <f>IF(Backend!Y58="", "", Backend!Y58)</f>
        <v>0.78608210000000001</v>
      </c>
      <c r="Y31">
        <f>IF(Backend!Z58="", "", Backend!Z58)</f>
        <v>-0.32491123999999999</v>
      </c>
      <c r="Z31">
        <f>IF(Backend!AA58="", "", Backend!AA58)</f>
        <v>2.1016272000000001E-3</v>
      </c>
      <c r="AA31">
        <f>IF(Backend!AB58="", "", Backend!AB58)</f>
        <v>0.51969180000000004</v>
      </c>
      <c r="AB31">
        <f>IF(Backend!AC58="", "", Backend!AC58)</f>
        <v>7.0979139999999996E-2</v>
      </c>
      <c r="AC31">
        <f>IF(Backend!AD58="", "", Backend!AD58)</f>
        <v>1</v>
      </c>
      <c r="AD31">
        <f>IF(Backend!AE58="", "", Backend!AE58)</f>
        <v>8.3538874999999999E-2</v>
      </c>
      <c r="AE31">
        <f>IF(Backend!AF58="", "", Backend!AF58)</f>
        <v>0.15307851</v>
      </c>
      <c r="AF31">
        <f>IF(Backend!AG58="", "", Backend!AG58)</f>
        <v>0.68921200000000005</v>
      </c>
      <c r="AG31">
        <f>IF(Backend!AH58="", "", Backend!AH58)</f>
        <v>-0.21245220000000001</v>
      </c>
      <c r="AH31">
        <f>IF(Backend!AI58="", "", Backend!AI58)</f>
        <v>-0.110309854</v>
      </c>
      <c r="AI31">
        <f>IF(Backend!AJ58="", "", Backend!AJ58)</f>
        <v>0.78795296000000004</v>
      </c>
      <c r="AJ31">
        <f>IF(Backend!AK58="", "", Backend!AK58)</f>
        <v>-5.2274981999999998E-3</v>
      </c>
      <c r="AK31">
        <f>IF(Backend!AL58="", "", Backend!AL58)</f>
        <v>0.48882213000000002</v>
      </c>
      <c r="AL31">
        <f>IF(Backend!AM58="", "", Backend!AM58)</f>
        <v>0.36632513999999999</v>
      </c>
      <c r="AM31">
        <f>IF(Backend!AN58="", "", Backend!AN58)</f>
        <v>0.33918201999999997</v>
      </c>
      <c r="AN31">
        <f>IF(Backend!AO58="", "", Backend!AO58)</f>
        <v>0.39361244000000001</v>
      </c>
      <c r="AO31">
        <f>IF(Backend!AP58="", "", Backend!AP58)</f>
        <v>0.80979913000000003</v>
      </c>
      <c r="AP31">
        <f>IF(Backend!AQ58="", "", Backend!AQ58)</f>
        <v>0.49965018</v>
      </c>
      <c r="AQ31">
        <f>IF(Backend!AR58="", "", Backend!AR58)</f>
        <v>-0.21965171</v>
      </c>
      <c r="AR31">
        <f>IF(Backend!AS58="", "", Backend!AS58)</f>
        <v>-0.11335692999999999</v>
      </c>
      <c r="AS31">
        <f>IF(Backend!AT58="", "", Backend!AT58)</f>
        <v>0.29022165999999999</v>
      </c>
      <c r="AT31">
        <f>IF(Backend!AU58="", "", Backend!AU58)</f>
        <v>-0.12165825</v>
      </c>
      <c r="AU31">
        <f>IF(Backend!AV58="", "", Backend!AV58)</f>
        <v>0.15612791000000001</v>
      </c>
      <c r="AV31">
        <f>IF(Backend!AW58="", "", Backend!AW58)</f>
        <v>0.50495950000000001</v>
      </c>
      <c r="AW31">
        <f>IF(Backend!AX58="", "", Backend!AX58)</f>
        <v>0.74113359999999995</v>
      </c>
      <c r="AX31">
        <f>IF(Backend!AY58="", "", Backend!AY58)</f>
        <v>0.67257359999999999</v>
      </c>
      <c r="AY31">
        <f>IF(Backend!AZ58="", "", Backend!AZ58)</f>
        <v>0.36236298</v>
      </c>
      <c r="AZ31">
        <f>IF(Backend!BA58="", "", Backend!BA58)</f>
        <v>0.34679568</v>
      </c>
      <c r="BA31">
        <f>IF(Backend!BB58="", "", Backend!BB58)</f>
        <v>-0.41424975000000003</v>
      </c>
      <c r="BB31">
        <f>IF(Backend!BC58="", "", Backend!BC58)</f>
        <v>0.64268840000000005</v>
      </c>
      <c r="BC31">
        <f>IF(Backend!BD58="", "", Backend!BD58)</f>
        <v>0.10623104999999999</v>
      </c>
      <c r="BD31">
        <f>IF(Backend!BE58="", "", Backend!BE58)</f>
        <v>-0.23470574999999999</v>
      </c>
      <c r="BE31">
        <f>IF(Backend!BF58="", "", Backend!BF58)</f>
        <v>-0.65796480000000002</v>
      </c>
      <c r="BF31">
        <f>IF(Backend!BG58="", "", Backend!BG58)</f>
        <v>5.0192963E-2</v>
      </c>
      <c r="BG31">
        <f>IF(Backend!BH58="", "", Backend!BH58)</f>
        <v>5.5148940000000002E-3</v>
      </c>
      <c r="BH31">
        <f>IF(Backend!BI58="", "", Backend!BI58)</f>
        <v>2.5639071999999999E-2</v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ManpowerGroup Inc.</v>
      </c>
      <c r="B32">
        <f>IF(Backend!C59="", "", Backend!C59)</f>
        <v>-0.36097731999999999</v>
      </c>
      <c r="C32">
        <f>IF(Backend!D59="", "", Backend!D59)</f>
        <v>-0.38505592999999999</v>
      </c>
      <c r="D32">
        <f>IF(Backend!E59="", "", Backend!E59)</f>
        <v>-0.42418430000000001</v>
      </c>
      <c r="E32">
        <f>IF(Backend!F59="", "", Backend!F59)</f>
        <v>-0.70397604000000003</v>
      </c>
      <c r="F32">
        <f>IF(Backend!G59="", "", Backend!G59)</f>
        <v>0.23876101</v>
      </c>
      <c r="G32">
        <f>IF(Backend!H59="", "", Backend!H59)</f>
        <v>-0.47642006999999997</v>
      </c>
      <c r="H32">
        <f>IF(Backend!I59="", "", Backend!I59)</f>
        <v>-0.28915855000000001</v>
      </c>
      <c r="I32">
        <f>IF(Backend!J59="", "", Backend!J59)</f>
        <v>-0.85217580000000004</v>
      </c>
      <c r="J32">
        <f>IF(Backend!K59="", "", Backend!K59)</f>
        <v>0.94520599999999999</v>
      </c>
      <c r="K32">
        <f>IF(Backend!L59="", "", Backend!L59)</f>
        <v>-0.82000065</v>
      </c>
      <c r="L32">
        <f>IF(Backend!M59="", "", Backend!M59)</f>
        <v>-0.56431240000000005</v>
      </c>
      <c r="M32">
        <f>IF(Backend!N59="", "", Backend!N59)</f>
        <v>-0.26746827000000001</v>
      </c>
      <c r="N32">
        <f>IF(Backend!O59="", "", Backend!O59)</f>
        <v>-0.90651369999999998</v>
      </c>
      <c r="O32">
        <f>IF(Backend!P59="", "", Backend!P59)</f>
        <v>0.66062145999999999</v>
      </c>
      <c r="P32">
        <f>IF(Backend!Q59="", "", Backend!Q59)</f>
        <v>-0.73100966000000001</v>
      </c>
      <c r="Q32">
        <f>IF(Backend!R59="", "", Backend!R59)</f>
        <v>-0.73125830000000003</v>
      </c>
      <c r="R32">
        <f>IF(Backend!S59="", "", Backend!S59)</f>
        <v>-0.88860850000000002</v>
      </c>
      <c r="S32">
        <f>IF(Backend!T59="", "", Backend!T59)</f>
        <v>0.73113340000000004</v>
      </c>
      <c r="T32">
        <f>IF(Backend!U59="", "", Backend!U59)</f>
        <v>-0.53638344999999998</v>
      </c>
      <c r="U32">
        <f>IF(Backend!V59="", "", Backend!V59)</f>
        <v>-0.14530631999999999</v>
      </c>
      <c r="V32">
        <f>IF(Backend!W59="", "", Backend!W59)</f>
        <v>-0.43148567999999998</v>
      </c>
      <c r="W32">
        <f>IF(Backend!X59="", "", Backend!X59)</f>
        <v>-0.69031370000000003</v>
      </c>
      <c r="X32">
        <f>IF(Backend!Y59="", "", Backend!Y59)</f>
        <v>-0.29830992000000001</v>
      </c>
      <c r="Y32">
        <f>IF(Backend!Z59="", "", Backend!Z59)</f>
        <v>-0.88916859999999998</v>
      </c>
      <c r="Z32">
        <f>IF(Backend!AA59="", "", Backend!AA59)</f>
        <v>0.89940399999999998</v>
      </c>
      <c r="AA32">
        <f>IF(Backend!AB59="", "", Backend!AB59)</f>
        <v>-0.19293177</v>
      </c>
      <c r="AB32">
        <f>IF(Backend!AC59="", "", Backend!AC59)</f>
        <v>0.94949496</v>
      </c>
      <c r="AC32">
        <f>IF(Backend!AD59="", "", Backend!AD59)</f>
        <v>8.3538874999999999E-2</v>
      </c>
      <c r="AD32">
        <f>IF(Backend!AE59="", "", Backend!AE59)</f>
        <v>1</v>
      </c>
      <c r="AE32">
        <f>IF(Backend!AF59="", "", Backend!AF59)</f>
        <v>-0.68575920000000001</v>
      </c>
      <c r="AF32">
        <f>IF(Backend!AG59="", "", Backend!AG59)</f>
        <v>0.32598909999999998</v>
      </c>
      <c r="AG32">
        <f>IF(Backend!AH59="", "", Backend!AH59)</f>
        <v>0.81046079999999998</v>
      </c>
      <c r="AH32">
        <f>IF(Backend!AI59="", "", Backend!AI59)</f>
        <v>-0.90904474000000002</v>
      </c>
      <c r="AI32">
        <f>IF(Backend!AJ59="", "", Backend!AJ59)</f>
        <v>0.13860385</v>
      </c>
      <c r="AJ32">
        <f>IF(Backend!AK59="", "", Backend!AK59)</f>
        <v>-0.88504505</v>
      </c>
      <c r="AK32">
        <f>IF(Backend!AL59="", "", Backend!AL59)</f>
        <v>0.60517626999999996</v>
      </c>
      <c r="AL32">
        <f>IF(Backend!AM59="", "", Backend!AM59)</f>
        <v>0.72692734000000003</v>
      </c>
      <c r="AM32">
        <f>IF(Backend!AN59="", "", Backend!AN59)</f>
        <v>-0.78707050000000001</v>
      </c>
      <c r="AN32">
        <f>IF(Backend!AO59="", "", Backend!AO59)</f>
        <v>-0.69695203999999999</v>
      </c>
      <c r="AO32">
        <f>IF(Backend!AP59="", "", Backend!AP59)</f>
        <v>-0.18745590000000001</v>
      </c>
      <c r="AP32">
        <f>IF(Backend!AQ59="", "", Backend!AQ59)</f>
        <v>-0.69792189999999998</v>
      </c>
      <c r="AQ32">
        <f>IF(Backend!AR59="", "", Backend!AR59)</f>
        <v>0.35940519999999998</v>
      </c>
      <c r="AR32">
        <f>IF(Backend!AS59="", "", Backend!AS59)</f>
        <v>-0.83597946000000001</v>
      </c>
      <c r="AS32">
        <f>IF(Backend!AT59="", "", Backend!AT59)</f>
        <v>-0.71067190000000002</v>
      </c>
      <c r="AT32">
        <f>IF(Backend!AU59="", "", Backend!AU59)</f>
        <v>-0.90802930000000004</v>
      </c>
      <c r="AU32">
        <f>IF(Backend!AV59="", "", Backend!AV59)</f>
        <v>-0.81050869999999997</v>
      </c>
      <c r="AV32">
        <f>IF(Backend!AW59="", "", Backend!AW59)</f>
        <v>0.75966829999999996</v>
      </c>
      <c r="AW32">
        <f>IF(Backend!AX59="", "", Backend!AX59)</f>
        <v>-4.791142E-3</v>
      </c>
      <c r="AX32">
        <f>IF(Backend!AY59="", "", Backend!AY59)</f>
        <v>-0.20209399</v>
      </c>
      <c r="AY32">
        <f>IF(Backend!AZ59="", "", Backend!AZ59)</f>
        <v>-0.69403440000000005</v>
      </c>
      <c r="AZ32">
        <f>IF(Backend!BA59="", "", Backend!BA59)</f>
        <v>-0.76927875999999995</v>
      </c>
      <c r="BA32">
        <f>IF(Backend!BB59="", "", Backend!BB59)</f>
        <v>-0.16803654000000001</v>
      </c>
      <c r="BB32">
        <f>IF(Backend!BC59="", "", Backend!BC59)</f>
        <v>0.57363839999999999</v>
      </c>
      <c r="BC32">
        <f>IF(Backend!BD59="", "", Backend!BD59)</f>
        <v>-0.81595253999999995</v>
      </c>
      <c r="BD32">
        <f>IF(Backend!BE59="", "", Backend!BE59)</f>
        <v>-0.59091640000000001</v>
      </c>
      <c r="BE32">
        <f>IF(Backend!BF59="", "", Backend!BF59)</f>
        <v>-0.63461230000000002</v>
      </c>
      <c r="BF32">
        <f>IF(Backend!BG59="", "", Backend!BG59)</f>
        <v>0.87249399999999999</v>
      </c>
      <c r="BG32">
        <f>IF(Backend!BH59="", "", Backend!BH59)</f>
        <v>0.69603764999999995</v>
      </c>
      <c r="BH32">
        <f>IF(Backend!BI59="", "", Backend!BI59)</f>
        <v>0.86176014000000001</v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MEDIPAL HOLDINGS Corporation</v>
      </c>
      <c r="B33">
        <f>IF(Backend!C60="", "", Backend!C60)</f>
        <v>0.48184835999999998</v>
      </c>
      <c r="C33">
        <f>IF(Backend!D60="", "", Backend!D60)</f>
        <v>0.35800943000000002</v>
      </c>
      <c r="D33">
        <f>IF(Backend!E60="", "", Backend!E60)</f>
        <v>0.66200870000000001</v>
      </c>
      <c r="E33">
        <f>IF(Backend!F60="", "", Backend!F60)</f>
        <v>0.61102219999999996</v>
      </c>
      <c r="F33">
        <f>IF(Backend!G60="", "", Backend!G60)</f>
        <v>0.15183024000000001</v>
      </c>
      <c r="G33">
        <f>IF(Backend!H60="", "", Backend!H60)</f>
        <v>0.44918071999999998</v>
      </c>
      <c r="H33">
        <f>IF(Backend!I60="", "", Backend!I60)</f>
        <v>0.22848760000000001</v>
      </c>
      <c r="I33">
        <f>IF(Backend!J60="", "", Backend!J60)</f>
        <v>0.68986857000000001</v>
      </c>
      <c r="J33">
        <f>IF(Backend!K60="", "", Backend!K60)</f>
        <v>-0.69439565999999997</v>
      </c>
      <c r="K33">
        <f>IF(Backend!L60="", "", Backend!L60)</f>
        <v>0.7765801</v>
      </c>
      <c r="L33">
        <f>IF(Backend!M60="", "", Backend!M60)</f>
        <v>0.38664113999999999</v>
      </c>
      <c r="M33">
        <f>IF(Backend!N60="", "", Backend!N60)</f>
        <v>0.30194870000000001</v>
      </c>
      <c r="N33">
        <f>IF(Backend!O60="", "", Backend!O60)</f>
        <v>0.60458020000000001</v>
      </c>
      <c r="O33">
        <f>IF(Backend!P60="", "", Backend!P60)</f>
        <v>-0.32777020000000001</v>
      </c>
      <c r="P33">
        <f>IF(Backend!Q60="", "", Backend!Q60)</f>
        <v>0.72788310000000001</v>
      </c>
      <c r="Q33">
        <f>IF(Backend!R60="", "", Backend!R60)</f>
        <v>0.48603582000000001</v>
      </c>
      <c r="R33">
        <f>IF(Backend!S60="", "", Backend!S60)</f>
        <v>0.77938289999999999</v>
      </c>
      <c r="S33">
        <f>IF(Backend!T60="", "", Backend!T60)</f>
        <v>-0.40504065</v>
      </c>
      <c r="T33">
        <f>IF(Backend!U60="", "", Backend!U60)</f>
        <v>0.43810362000000003</v>
      </c>
      <c r="U33">
        <f>IF(Backend!V60="", "", Backend!V60)</f>
        <v>0.33672875000000002</v>
      </c>
      <c r="V33">
        <f>IF(Backend!W60="", "", Backend!W60)</f>
        <v>0.37736346999999998</v>
      </c>
      <c r="W33">
        <f>IF(Backend!X60="", "", Backend!X60)</f>
        <v>0.66237354000000004</v>
      </c>
      <c r="X33">
        <f>IF(Backend!Y60="", "", Backend!Y60)</f>
        <v>0.27510815999999999</v>
      </c>
      <c r="Y33">
        <f>IF(Backend!Z60="", "", Backend!Z60)</f>
        <v>0.53618330000000003</v>
      </c>
      <c r="Z33">
        <f>IF(Backend!AA60="", "", Backend!AA60)</f>
        <v>-0.54046685000000005</v>
      </c>
      <c r="AA33">
        <f>IF(Backend!AB60="", "", Backend!AB60)</f>
        <v>0.46317535999999998</v>
      </c>
      <c r="AB33">
        <f>IF(Backend!AC60="", "", Backend!AC60)</f>
        <v>-0.68875690000000001</v>
      </c>
      <c r="AC33">
        <f>IF(Backend!AD60="", "", Backend!AD60)</f>
        <v>0.15307851</v>
      </c>
      <c r="AD33">
        <f>IF(Backend!AE60="", "", Backend!AE60)</f>
        <v>-0.68575920000000001</v>
      </c>
      <c r="AE33">
        <f>IF(Backend!AF60="", "", Backend!AF60)</f>
        <v>1</v>
      </c>
      <c r="AF33">
        <f>IF(Backend!AG60="", "", Backend!AG60)</f>
        <v>0.28189498000000002</v>
      </c>
      <c r="AG33">
        <f>IF(Backend!AH60="", "", Backend!AH60)</f>
        <v>-0.58238727000000001</v>
      </c>
      <c r="AH33">
        <f>IF(Backend!AI60="", "", Backend!AI60)</f>
        <v>0.67368879999999998</v>
      </c>
      <c r="AI33">
        <f>IF(Backend!AJ60="", "", Backend!AJ60)</f>
        <v>0.18229586</v>
      </c>
      <c r="AJ33">
        <f>IF(Backend!AK60="", "", Backend!AK60)</f>
        <v>0.78544590000000003</v>
      </c>
      <c r="AK33">
        <f>IF(Backend!AL60="", "", Backend!AL60)</f>
        <v>-0.33956530000000001</v>
      </c>
      <c r="AL33">
        <f>IF(Backend!AM60="", "", Backend!AM60)</f>
        <v>-0.39381397000000001</v>
      </c>
      <c r="AM33">
        <f>IF(Backend!AN60="", "", Backend!AN60)</f>
        <v>0.730935</v>
      </c>
      <c r="AN33">
        <f>IF(Backend!AO60="", "", Backend!AO60)</f>
        <v>0.69295249999999997</v>
      </c>
      <c r="AO33">
        <f>IF(Backend!AP60="", "", Backend!AP60)</f>
        <v>0.56684730000000005</v>
      </c>
      <c r="AP33">
        <f>IF(Backend!AQ60="", "", Backend!AQ60)</f>
        <v>0.63920840000000001</v>
      </c>
      <c r="AQ33">
        <f>IF(Backend!AR60="", "", Backend!AR60)</f>
        <v>-0.54800444999999998</v>
      </c>
      <c r="AR33">
        <f>IF(Backend!AS60="", "", Backend!AS60)</f>
        <v>0.63371849999999996</v>
      </c>
      <c r="AS33">
        <f>IF(Backend!AT60="", "", Backend!AT60)</f>
        <v>0.71265655999999999</v>
      </c>
      <c r="AT33">
        <f>IF(Backend!AU60="", "", Backend!AU60)</f>
        <v>0.71389530000000001</v>
      </c>
      <c r="AU33">
        <f>IF(Backend!AV60="", "", Backend!AV60)</f>
        <v>0.68720703999999999</v>
      </c>
      <c r="AV33">
        <f>IF(Backend!AW60="", "", Backend!AW60)</f>
        <v>-0.37722804999999998</v>
      </c>
      <c r="AW33">
        <f>IF(Backend!AX60="", "", Backend!AX60)</f>
        <v>9.6892950000000005E-2</v>
      </c>
      <c r="AX33">
        <f>IF(Backend!AY60="", "", Backend!AY60)</f>
        <v>0.54615709999999995</v>
      </c>
      <c r="AY33">
        <f>IF(Backend!AZ60="", "", Backend!AZ60)</f>
        <v>0.78209470000000003</v>
      </c>
      <c r="AZ33">
        <f>IF(Backend!BA60="", "", Backend!BA60)</f>
        <v>0.68015809999999999</v>
      </c>
      <c r="BA33">
        <f>IF(Backend!BB60="", "", Backend!BB60)</f>
        <v>0.35020425999999999</v>
      </c>
      <c r="BB33">
        <f>IF(Backend!BC60="", "", Backend!BC60)</f>
        <v>-0.14874166</v>
      </c>
      <c r="BC33">
        <f>IF(Backend!BD60="", "", Backend!BD60)</f>
        <v>0.79375479999999998</v>
      </c>
      <c r="BD33">
        <f>IF(Backend!BE60="", "", Backend!BE60)</f>
        <v>0.45003929999999998</v>
      </c>
      <c r="BE33">
        <f>IF(Backend!BF60="", "", Backend!BF60)</f>
        <v>0.29555002000000002</v>
      </c>
      <c r="BF33">
        <f>IF(Backend!BG60="", "", Backend!BG60)</f>
        <v>-0.70563279999999995</v>
      </c>
      <c r="BG33">
        <f>IF(Backend!BH60="", "", Backend!BH60)</f>
        <v>-0.23411672</v>
      </c>
      <c r="BH33">
        <f>IF(Backend!BI60="", "", Backend!BI60)</f>
        <v>-0.67702130000000005</v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Mohawk Industries, Inc.</v>
      </c>
      <c r="B34">
        <f>IF(Backend!C61="", "", Backend!C61)</f>
        <v>-2.1895339999999999E-2</v>
      </c>
      <c r="C34">
        <f>IF(Backend!D61="", "", Backend!D61)</f>
        <v>0.39987168000000001</v>
      </c>
      <c r="D34">
        <f>IF(Backend!E61="", "", Backend!E61)</f>
        <v>0.35182099999999999</v>
      </c>
      <c r="E34">
        <f>IF(Backend!F61="", "", Backend!F61)</f>
        <v>0.17966107000000001</v>
      </c>
      <c r="F34">
        <f>IF(Backend!G61="", "", Backend!G61)</f>
        <v>0.52014004999999996</v>
      </c>
      <c r="G34">
        <f>IF(Backend!H61="", "", Backend!H61)</f>
        <v>0.23713720999999999</v>
      </c>
      <c r="H34">
        <f>IF(Backend!I61="", "", Backend!I61)</f>
        <v>-7.7541924999999998E-2</v>
      </c>
      <c r="I34">
        <f>IF(Backend!J61="", "", Backend!J61)</f>
        <v>-0.12454733</v>
      </c>
      <c r="J34">
        <f>IF(Backend!K61="", "", Backend!K61)</f>
        <v>0.20741076999999999</v>
      </c>
      <c r="K34">
        <f>IF(Backend!L61="", "", Backend!L61)</f>
        <v>-0.10808107</v>
      </c>
      <c r="L34">
        <f>IF(Backend!M61="", "", Backend!M61)</f>
        <v>0.11188591000000001</v>
      </c>
      <c r="M34">
        <f>IF(Backend!N61="", "", Backend!N61)</f>
        <v>-5.0257780000000002E-2</v>
      </c>
      <c r="N34">
        <f>IF(Backend!O61="", "", Backend!O61)</f>
        <v>-0.27474179999999998</v>
      </c>
      <c r="O34">
        <f>IF(Backend!P61="", "", Backend!P61)</f>
        <v>0.41829665999999999</v>
      </c>
      <c r="P34">
        <f>IF(Backend!Q61="", "", Backend!Q61)</f>
        <v>0.18674412000000001</v>
      </c>
      <c r="Q34">
        <f>IF(Backend!R61="", "", Backend!R61)</f>
        <v>-0.13602689000000001</v>
      </c>
      <c r="R34">
        <f>IF(Backend!S61="", "", Backend!S61)</f>
        <v>2.8878013000000001E-2</v>
      </c>
      <c r="S34">
        <f>IF(Backend!T61="", "", Backend!T61)</f>
        <v>0.64909059999999996</v>
      </c>
      <c r="T34">
        <f>IF(Backend!U61="", "", Backend!U61)</f>
        <v>-1.9174910999999999E-2</v>
      </c>
      <c r="U34">
        <f>IF(Backend!V61="", "", Backend!V61)</f>
        <v>0.69577639999999996</v>
      </c>
      <c r="V34">
        <f>IF(Backend!W61="", "", Backend!W61)</f>
        <v>0.31838127999999999</v>
      </c>
      <c r="W34">
        <f>IF(Backend!X61="", "", Backend!X61)</f>
        <v>0.20708414999999999</v>
      </c>
      <c r="X34">
        <f>IF(Backend!Y61="", "", Backend!Y61)</f>
        <v>0.47183554999999999</v>
      </c>
      <c r="Y34">
        <f>IF(Backend!Z61="", "", Backend!Z61)</f>
        <v>-0.4413417</v>
      </c>
      <c r="Z34">
        <f>IF(Backend!AA61="", "", Backend!AA61)</f>
        <v>0.301454</v>
      </c>
      <c r="AA34">
        <f>IF(Backend!AB61="", "", Backend!AB61)</f>
        <v>0.5866905</v>
      </c>
      <c r="AB34">
        <f>IF(Backend!AC61="", "", Backend!AC61)</f>
        <v>0.31872496</v>
      </c>
      <c r="AC34">
        <f>IF(Backend!AD61="", "", Backend!AD61)</f>
        <v>0.68921200000000005</v>
      </c>
      <c r="AD34">
        <f>IF(Backend!AE61="", "", Backend!AE61)</f>
        <v>0.32598909999999998</v>
      </c>
      <c r="AE34">
        <f>IF(Backend!AF61="", "", Backend!AF61)</f>
        <v>0.28189498000000002</v>
      </c>
      <c r="AF34">
        <f>IF(Backend!AG61="", "", Backend!AG61)</f>
        <v>1</v>
      </c>
      <c r="AG34">
        <f>IF(Backend!AH61="", "", Backend!AH61)</f>
        <v>1.0964079999999999E-2</v>
      </c>
      <c r="AH34">
        <f>IF(Backend!AI61="", "", Backend!AI61)</f>
        <v>-0.25037219999999999</v>
      </c>
      <c r="AI34">
        <f>IF(Backend!AJ61="", "", Backend!AJ61)</f>
        <v>0.67464080000000004</v>
      </c>
      <c r="AJ34">
        <f>IF(Backend!AK61="", "", Backend!AK61)</f>
        <v>-0.12756571</v>
      </c>
      <c r="AK34">
        <f>IF(Backend!AL61="", "", Backend!AL61)</f>
        <v>0.54915683999999998</v>
      </c>
      <c r="AL34">
        <f>IF(Backend!AM61="", "", Backend!AM61)</f>
        <v>0.47612795000000002</v>
      </c>
      <c r="AM34">
        <f>IF(Backend!AN61="", "", Backend!AN61)</f>
        <v>0.16161136000000001</v>
      </c>
      <c r="AN34">
        <f>IF(Backend!AO61="", "", Backend!AO61)</f>
        <v>0.30629770000000001</v>
      </c>
      <c r="AO34">
        <f>IF(Backend!AP61="", "", Backend!AP61)</f>
        <v>0.78751269999999995</v>
      </c>
      <c r="AP34">
        <f>IF(Backend!AQ61="", "", Backend!AQ61)</f>
        <v>0.29835751999999999</v>
      </c>
      <c r="AQ34">
        <f>IF(Backend!AR61="", "", Backend!AR61)</f>
        <v>-0.27505326000000002</v>
      </c>
      <c r="AR34">
        <f>IF(Backend!AS61="", "", Backend!AS61)</f>
        <v>-0.23835532000000001</v>
      </c>
      <c r="AS34">
        <f>IF(Backend!AT61="", "", Backend!AT61)</f>
        <v>0.28983386999999999</v>
      </c>
      <c r="AT34">
        <f>IF(Backend!AU61="", "", Backend!AU61)</f>
        <v>-0.22465038000000001</v>
      </c>
      <c r="AU34">
        <f>IF(Backend!AV61="", "", Backend!AV61)</f>
        <v>1.1103884E-2</v>
      </c>
      <c r="AV34">
        <f>IF(Backend!AW61="", "", Backend!AW61)</f>
        <v>0.69471824000000004</v>
      </c>
      <c r="AW34">
        <f>IF(Backend!AX61="", "", Backend!AX61)</f>
        <v>0.52294859999999999</v>
      </c>
      <c r="AX34">
        <f>IF(Backend!AY61="", "", Backend!AY61)</f>
        <v>0.66573009999999999</v>
      </c>
      <c r="AY34">
        <f>IF(Backend!AZ61="", "", Backend!AZ61)</f>
        <v>0.29077380000000003</v>
      </c>
      <c r="AZ34">
        <f>IF(Backend!BA61="", "", Backend!BA61)</f>
        <v>0.13297845</v>
      </c>
      <c r="BA34">
        <f>IF(Backend!BB61="", "", Backend!BB61)</f>
        <v>-0.17446381</v>
      </c>
      <c r="BB34">
        <f>IF(Backend!BC61="", "", Backend!BC61)</f>
        <v>0.75501090000000004</v>
      </c>
      <c r="BC34">
        <f>IF(Backend!BD61="", "", Backend!BD61)</f>
        <v>7.6586970000000004E-2</v>
      </c>
      <c r="BD34">
        <f>IF(Backend!BE61="", "", Backend!BE61)</f>
        <v>-0.25467425999999999</v>
      </c>
      <c r="BE34">
        <f>IF(Backend!BF61="", "", Backend!BF61)</f>
        <v>-0.47487797999999998</v>
      </c>
      <c r="BF34">
        <f>IF(Backend!BG61="", "", Backend!BG61)</f>
        <v>0.11043481500000001</v>
      </c>
      <c r="BG34">
        <f>IF(Backend!BH61="", "", Backend!BH61)</f>
        <v>0.35965156999999998</v>
      </c>
      <c r="BH34">
        <f>IF(Backend!BI61="", "", Backend!BI61)</f>
        <v>0.15776229999999999</v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Molson Coors Beverage Company Class B</v>
      </c>
      <c r="B35">
        <f>IF(Backend!C62="", "", Backend!C62)</f>
        <v>-0.32941785000000001</v>
      </c>
      <c r="C35">
        <f>IF(Backend!D62="", "", Backend!D62)</f>
        <v>-0.61294585000000001</v>
      </c>
      <c r="D35">
        <f>IF(Backend!E62="", "", Backend!E62)</f>
        <v>-0.37718712999999998</v>
      </c>
      <c r="E35">
        <f>IF(Backend!F62="", "", Backend!F62)</f>
        <v>-0.82783169999999995</v>
      </c>
      <c r="F35">
        <f>IF(Backend!G62="", "", Backend!G62)</f>
        <v>9.5413804000000005E-2</v>
      </c>
      <c r="G35">
        <f>IF(Backend!H62="", "", Backend!H62)</f>
        <v>-0.57496535999999998</v>
      </c>
      <c r="H35">
        <f>IF(Backend!I62="", "", Backend!I62)</f>
        <v>-0.24173346000000001</v>
      </c>
      <c r="I35">
        <f>IF(Backend!J62="", "", Backend!J62)</f>
        <v>-0.82641629999999999</v>
      </c>
      <c r="J35">
        <f>IF(Backend!K62="", "", Backend!K62)</f>
        <v>0.81852150000000001</v>
      </c>
      <c r="K35">
        <f>IF(Backend!L62="", "", Backend!L62)</f>
        <v>-0.72009800000000002</v>
      </c>
      <c r="L35">
        <f>IF(Backend!M62="", "", Backend!M62)</f>
        <v>-0.76680879999999996</v>
      </c>
      <c r="M35">
        <f>IF(Backend!N62="", "", Backend!N62)</f>
        <v>-8.4400824999999999E-2</v>
      </c>
      <c r="N35">
        <f>IF(Backend!O62="", "", Backend!O62)</f>
        <v>-0.79679215000000003</v>
      </c>
      <c r="O35">
        <f>IF(Backend!P62="", "", Backend!P62)</f>
        <v>0.49337429999999999</v>
      </c>
      <c r="P35">
        <f>IF(Backend!Q62="", "", Backend!Q62)</f>
        <v>-0.83691890000000002</v>
      </c>
      <c r="Q35">
        <f>IF(Backend!R62="", "", Backend!R62)</f>
        <v>-0.6787628</v>
      </c>
      <c r="R35">
        <f>IF(Backend!S62="", "", Backend!S62)</f>
        <v>-0.84916186000000005</v>
      </c>
      <c r="S35">
        <f>IF(Backend!T62="", "", Backend!T62)</f>
        <v>0.42210826000000001</v>
      </c>
      <c r="T35">
        <f>IF(Backend!U62="", "", Backend!U62)</f>
        <v>-0.56118060000000003</v>
      </c>
      <c r="U35">
        <f>IF(Backend!V62="", "", Backend!V62)</f>
        <v>-0.50521970000000005</v>
      </c>
      <c r="V35">
        <f>IF(Backend!W62="", "", Backend!W62)</f>
        <v>-0.54599905000000004</v>
      </c>
      <c r="W35">
        <f>IF(Backend!X62="", "", Backend!X62)</f>
        <v>-0.82545847000000006</v>
      </c>
      <c r="X35">
        <f>IF(Backend!Y62="", "", Backend!Y62)</f>
        <v>-0.53821889999999994</v>
      </c>
      <c r="Y35">
        <f>IF(Backend!Z62="", "", Backend!Z62)</f>
        <v>-0.67059760000000002</v>
      </c>
      <c r="Z35">
        <f>IF(Backend!AA62="", "", Backend!AA62)</f>
        <v>0.86381006000000005</v>
      </c>
      <c r="AA35">
        <f>IF(Backend!AB62="", "", Backend!AB62)</f>
        <v>-0.46736812999999999</v>
      </c>
      <c r="AB35">
        <f>IF(Backend!AC62="", "", Backend!AC62)</f>
        <v>0.74054660000000005</v>
      </c>
      <c r="AC35">
        <f>IF(Backend!AD62="", "", Backend!AD62)</f>
        <v>-0.21245220000000001</v>
      </c>
      <c r="AD35">
        <f>IF(Backend!AE62="", "", Backend!AE62)</f>
        <v>0.81046079999999998</v>
      </c>
      <c r="AE35">
        <f>IF(Backend!AF62="", "", Backend!AF62)</f>
        <v>-0.58238727000000001</v>
      </c>
      <c r="AF35">
        <f>IF(Backend!AG62="", "", Backend!AG62)</f>
        <v>1.0964079999999999E-2</v>
      </c>
      <c r="AG35">
        <f>IF(Backend!AH62="", "", Backend!AH62)</f>
        <v>1</v>
      </c>
      <c r="AH35">
        <f>IF(Backend!AI62="", "", Backend!AI62)</f>
        <v>-0.75941340000000002</v>
      </c>
      <c r="AI35">
        <f>IF(Backend!AJ62="", "", Backend!AJ62)</f>
        <v>-8.7024980000000002E-2</v>
      </c>
      <c r="AJ35">
        <f>IF(Backend!AK62="", "", Backend!AK62)</f>
        <v>-0.74181839999999999</v>
      </c>
      <c r="AK35">
        <f>IF(Backend!AL62="", "", Backend!AL62)</f>
        <v>0.18567896</v>
      </c>
      <c r="AL35">
        <f>IF(Backend!AM62="", "", Backend!AM62)</f>
        <v>0.51703023999999997</v>
      </c>
      <c r="AM35">
        <f>IF(Backend!AN62="", "", Backend!AN62)</f>
        <v>-0.86466209999999999</v>
      </c>
      <c r="AN35">
        <f>IF(Backend!AO62="", "", Backend!AO62)</f>
        <v>-0.82621860000000003</v>
      </c>
      <c r="AO35">
        <f>IF(Backend!AP62="", "", Backend!AP62)</f>
        <v>-0.45491619999999999</v>
      </c>
      <c r="AP35">
        <f>IF(Backend!AQ62="", "", Backend!AQ62)</f>
        <v>-0.75880239999999999</v>
      </c>
      <c r="AQ35">
        <f>IF(Backend!AR62="", "", Backend!AR62)</f>
        <v>0.44881632999999999</v>
      </c>
      <c r="AR35">
        <f>IF(Backend!AS62="", "", Backend!AS62)</f>
        <v>-0.74321499999999996</v>
      </c>
      <c r="AS35">
        <f>IF(Backend!AT62="", "", Backend!AT62)</f>
        <v>-0.82177219999999995</v>
      </c>
      <c r="AT35">
        <f>IF(Backend!AU62="", "", Backend!AU62)</f>
        <v>-0.77765905999999996</v>
      </c>
      <c r="AU35">
        <f>IF(Backend!AV62="", "", Backend!AV62)</f>
        <v>-0.81805779999999995</v>
      </c>
      <c r="AV35">
        <f>IF(Backend!AW62="", "", Backend!AW62)</f>
        <v>0.38771107999999999</v>
      </c>
      <c r="AW35">
        <f>IF(Backend!AX62="", "", Backend!AX62)</f>
        <v>-0.20162435000000001</v>
      </c>
      <c r="AX35">
        <f>IF(Backend!AY62="", "", Backend!AY62)</f>
        <v>-0.45837387000000002</v>
      </c>
      <c r="AY35">
        <f>IF(Backend!AZ62="", "", Backend!AZ62)</f>
        <v>-0.75326735</v>
      </c>
      <c r="AZ35">
        <f>IF(Backend!BA62="", "", Backend!BA62)</f>
        <v>-0.85095010000000004</v>
      </c>
      <c r="BA35">
        <f>IF(Backend!BB62="", "", Backend!BB62)</f>
        <v>0.14180039999999999</v>
      </c>
      <c r="BB35">
        <f>IF(Backend!BC62="", "", Backend!BC62)</f>
        <v>0.26339667999999999</v>
      </c>
      <c r="BC35">
        <f>IF(Backend!BD62="", "", Backend!BD62)</f>
        <v>-0.80537099999999995</v>
      </c>
      <c r="BD35">
        <f>IF(Backend!BE62="", "", Backend!BE62)</f>
        <v>-0.41706591999999998</v>
      </c>
      <c r="BE35">
        <f>IF(Backend!BF62="", "", Backend!BF62)</f>
        <v>-0.5781018</v>
      </c>
      <c r="BF35">
        <f>IF(Backend!BG62="", "", Backend!BG62)</f>
        <v>0.87361133000000002</v>
      </c>
      <c r="BG35">
        <f>IF(Backend!BH62="", "", Backend!BH62)</f>
        <v>0.63437944999999996</v>
      </c>
      <c r="BH35">
        <f>IF(Backend!BI62="", "", Backend!BI62)</f>
        <v>0.78061055999999995</v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NatWest Group Plc</v>
      </c>
      <c r="B36">
        <f>IF(Backend!C63="", "", Backend!C63)</f>
        <v>0.58192485999999999</v>
      </c>
      <c r="C36">
        <f>IF(Backend!D63="", "", Backend!D63)</f>
        <v>0.41195163000000001</v>
      </c>
      <c r="D36">
        <f>IF(Backend!E63="", "", Backend!E63)</f>
        <v>0.50844820000000002</v>
      </c>
      <c r="E36">
        <f>IF(Backend!F63="", "", Backend!F63)</f>
        <v>0.76729786</v>
      </c>
      <c r="F36">
        <f>IF(Backend!G63="", "", Backend!G63)</f>
        <v>-5.6294759999999999E-2</v>
      </c>
      <c r="G36">
        <f>IF(Backend!H63="", "", Backend!H63)</f>
        <v>0.46521476</v>
      </c>
      <c r="H36">
        <f>IF(Backend!I63="", "", Backend!I63)</f>
        <v>0.49759910000000002</v>
      </c>
      <c r="I36">
        <f>IF(Backend!J63="", "", Backend!J63)</f>
        <v>0.90848607000000003</v>
      </c>
      <c r="J36">
        <f>IF(Backend!K63="", "", Backend!K63)</f>
        <v>-0.85398180000000001</v>
      </c>
      <c r="K36">
        <f>IF(Backend!L63="", "", Backend!L63)</f>
        <v>0.8930264</v>
      </c>
      <c r="L36">
        <f>IF(Backend!M63="", "", Backend!M63)</f>
        <v>0.66384273999999999</v>
      </c>
      <c r="M36">
        <f>IF(Backend!N63="", "", Backend!N63)</f>
        <v>0.19579733999999999</v>
      </c>
      <c r="N36">
        <f>IF(Backend!O63="", "", Backend!O63)</f>
        <v>0.9410153</v>
      </c>
      <c r="O36">
        <f>IF(Backend!P63="", "", Backend!P63)</f>
        <v>-0.70729184</v>
      </c>
      <c r="P36">
        <f>IF(Backend!Q63="", "", Backend!Q63)</f>
        <v>0.81519350000000002</v>
      </c>
      <c r="Q36">
        <f>IF(Backend!R63="", "", Backend!R63)</f>
        <v>0.83812684000000004</v>
      </c>
      <c r="R36">
        <f>IF(Backend!S63="", "", Backend!S63)</f>
        <v>0.91551490000000002</v>
      </c>
      <c r="S36">
        <f>IF(Backend!T63="", "", Backend!T63)</f>
        <v>-0.70632550000000005</v>
      </c>
      <c r="T36">
        <f>IF(Backend!U63="", "", Backend!U63)</f>
        <v>0.58156353000000005</v>
      </c>
      <c r="U36">
        <f>IF(Backend!V63="", "", Backend!V63)</f>
        <v>0.12238771499999999</v>
      </c>
      <c r="V36">
        <f>IF(Backend!W63="", "", Backend!W63)</f>
        <v>0.45052403000000002</v>
      </c>
      <c r="W36">
        <f>IF(Backend!X63="", "", Backend!X63)</f>
        <v>0.7181478</v>
      </c>
      <c r="X36">
        <f>IF(Backend!Y63="", "", Backend!Y63)</f>
        <v>0.30553027999999999</v>
      </c>
      <c r="Y36">
        <f>IF(Backend!Z63="", "", Backend!Z63)</f>
        <v>0.91446479999999997</v>
      </c>
      <c r="Z36">
        <f>IF(Backend!AA63="", "", Backend!AA63)</f>
        <v>-0.84566050000000004</v>
      </c>
      <c r="AA36">
        <f>IF(Backend!AB63="", "", Backend!AB63)</f>
        <v>0.32058397</v>
      </c>
      <c r="AB36">
        <f>IF(Backend!AC63="", "", Backend!AC63)</f>
        <v>-0.87891965999999999</v>
      </c>
      <c r="AC36">
        <f>IF(Backend!AD63="", "", Backend!AD63)</f>
        <v>-0.110309854</v>
      </c>
      <c r="AD36">
        <f>IF(Backend!AE63="", "", Backend!AE63)</f>
        <v>-0.90904474000000002</v>
      </c>
      <c r="AE36">
        <f>IF(Backend!AF63="", "", Backend!AF63)</f>
        <v>0.67368879999999998</v>
      </c>
      <c r="AF36">
        <f>IF(Backend!AG63="", "", Backend!AG63)</f>
        <v>-0.25037219999999999</v>
      </c>
      <c r="AG36">
        <f>IF(Backend!AH63="", "", Backend!AH63)</f>
        <v>-0.75941340000000002</v>
      </c>
      <c r="AH36">
        <f>IF(Backend!AI63="", "", Backend!AI63)</f>
        <v>1</v>
      </c>
      <c r="AI36">
        <f>IF(Backend!AJ63="", "", Backend!AJ63)</f>
        <v>-0.14661901999999999</v>
      </c>
      <c r="AJ36">
        <f>IF(Backend!AK63="", "", Backend!AK63)</f>
        <v>0.88873860000000005</v>
      </c>
      <c r="AK36">
        <f>IF(Backend!AL63="", "", Backend!AL63)</f>
        <v>-0.49534664</v>
      </c>
      <c r="AL36">
        <f>IF(Backend!AM63="", "", Backend!AM63)</f>
        <v>-0.79738235000000002</v>
      </c>
      <c r="AM36">
        <f>IF(Backend!AN63="", "", Backend!AN63)</f>
        <v>0.82934260000000004</v>
      </c>
      <c r="AN36">
        <f>IF(Backend!AO63="", "", Backend!AO63)</f>
        <v>0.76166250000000002</v>
      </c>
      <c r="AO36">
        <f>IF(Backend!AP63="", "", Backend!AP63)</f>
        <v>0.19935649999999999</v>
      </c>
      <c r="AP36">
        <f>IF(Backend!AQ63="", "", Backend!AQ63)</f>
        <v>0.70516109999999999</v>
      </c>
      <c r="AQ36">
        <f>IF(Backend!AR63="", "", Backend!AR63)</f>
        <v>-0.21169892000000001</v>
      </c>
      <c r="AR36">
        <f>IF(Backend!AS63="", "", Backend!AS63)</f>
        <v>0.90945560000000003</v>
      </c>
      <c r="AS36">
        <f>IF(Backend!AT63="", "", Backend!AT63)</f>
        <v>0.73370694999999997</v>
      </c>
      <c r="AT36">
        <f>IF(Backend!AU63="", "", Backend!AU63)</f>
        <v>0.96015700000000004</v>
      </c>
      <c r="AU36">
        <f>IF(Backend!AV63="", "", Backend!AV63)</f>
        <v>0.90619130000000003</v>
      </c>
      <c r="AV36">
        <f>IF(Backend!AW63="", "", Backend!AW63)</f>
        <v>-0.62568420000000002</v>
      </c>
      <c r="AW36">
        <f>IF(Backend!AX63="", "", Backend!AX63)</f>
        <v>8.8221259999999996E-2</v>
      </c>
      <c r="AX36">
        <f>IF(Backend!AY63="", "", Backend!AY63)</f>
        <v>0.30619657</v>
      </c>
      <c r="AY36">
        <f>IF(Backend!AZ63="", "", Backend!AZ63)</f>
        <v>0.75550390000000001</v>
      </c>
      <c r="AZ36">
        <f>IF(Backend!BA63="", "", Backend!BA63)</f>
        <v>0.78910639999999999</v>
      </c>
      <c r="BA36">
        <f>IF(Backend!BB63="", "", Backend!BB63)</f>
        <v>0.35402697</v>
      </c>
      <c r="BB36">
        <f>IF(Backend!BC63="", "", Backend!BC63)</f>
        <v>-0.57571439999999996</v>
      </c>
      <c r="BC36">
        <f>IF(Backend!BD63="", "", Backend!BD63)</f>
        <v>0.89248050000000001</v>
      </c>
      <c r="BD36">
        <f>IF(Backend!BE63="", "", Backend!BE63)</f>
        <v>0.70345199999999997</v>
      </c>
      <c r="BE36">
        <f>IF(Backend!BF63="", "", Backend!BF63)</f>
        <v>0.70786190000000004</v>
      </c>
      <c r="BF36">
        <f>IF(Backend!BG63="", "", Backend!BG63)</f>
        <v>-0.83651876000000003</v>
      </c>
      <c r="BG36">
        <f>IF(Backend!BH63="", "", Backend!BH63)</f>
        <v>-0.67583053999999998</v>
      </c>
      <c r="BH36">
        <f>IF(Backend!BI63="", "", Backend!BI63)</f>
        <v>-0.87363729999999995</v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Nikon Corp.</v>
      </c>
      <c r="B37">
        <f>IF(Backend!C64="", "", Backend!C64)</f>
        <v>-0.16960822</v>
      </c>
      <c r="C37">
        <f>IF(Backend!D64="", "", Backend!D64)</f>
        <v>0.64069754000000001</v>
      </c>
      <c r="D37">
        <f>IF(Backend!E64="", "", Backend!E64)</f>
        <v>0.28406631999999998</v>
      </c>
      <c r="E37">
        <f>IF(Backend!F64="", "", Backend!F64)</f>
        <v>0.25810218000000001</v>
      </c>
      <c r="F37">
        <f>IF(Backend!G64="", "", Backend!G64)</f>
        <v>0.28638335999999998</v>
      </c>
      <c r="G37">
        <f>IF(Backend!H64="", "", Backend!H64)</f>
        <v>0.57208055000000002</v>
      </c>
      <c r="H37">
        <f>IF(Backend!I64="", "", Backend!I64)</f>
        <v>-0.17755660000000001</v>
      </c>
      <c r="I37">
        <f>IF(Backend!J64="", "", Backend!J64)</f>
        <v>-0.112091675</v>
      </c>
      <c r="J37">
        <f>IF(Backend!K64="", "", Backend!K64)</f>
        <v>0.108965166</v>
      </c>
      <c r="K37">
        <f>IF(Backend!L64="", "", Backend!L64)</f>
        <v>-0.1828564</v>
      </c>
      <c r="L37">
        <f>IF(Backend!M64="", "", Backend!M64)</f>
        <v>2.6961852000000001E-2</v>
      </c>
      <c r="M37">
        <f>IF(Backend!N64="", "", Backend!N64)</f>
        <v>3.4753196E-2</v>
      </c>
      <c r="N37">
        <f>IF(Backend!O64="", "", Backend!O64)</f>
        <v>-0.12758832000000001</v>
      </c>
      <c r="O37">
        <f>IF(Backend!P64="", "", Backend!P64)</f>
        <v>0.47433069999999999</v>
      </c>
      <c r="P37">
        <f>IF(Backend!Q64="", "", Backend!Q64)</f>
        <v>0.17064778999999999</v>
      </c>
      <c r="Q37">
        <f>IF(Backend!R64="", "", Backend!R64)</f>
        <v>0.15575375999999999</v>
      </c>
      <c r="R37">
        <f>IF(Backend!S64="", "", Backend!S64)</f>
        <v>8.4949135999999995E-2</v>
      </c>
      <c r="S37">
        <f>IF(Backend!T64="", "", Backend!T64)</f>
        <v>0.60516910000000002</v>
      </c>
      <c r="T37">
        <f>IF(Backend!U64="", "", Backend!U64)</f>
        <v>-0.20415440000000001</v>
      </c>
      <c r="U37">
        <f>IF(Backend!V64="", "", Backend!V64)</f>
        <v>0.57399129999999998</v>
      </c>
      <c r="V37">
        <f>IF(Backend!W64="", "", Backend!W64)</f>
        <v>0.60352859999999997</v>
      </c>
      <c r="W37">
        <f>IF(Backend!X64="", "", Backend!X64)</f>
        <v>0.14428141999999999</v>
      </c>
      <c r="X37">
        <f>IF(Backend!Y64="", "", Backend!Y64)</f>
        <v>0.60099709999999995</v>
      </c>
      <c r="Y37">
        <f>IF(Backend!Z64="", "", Backend!Z64)</f>
        <v>-0.2752713</v>
      </c>
      <c r="Z37">
        <f>IF(Backend!AA64="", "", Backend!AA64)</f>
        <v>4.5766993999999998E-2</v>
      </c>
      <c r="AA37">
        <f>IF(Backend!AB64="", "", Backend!AB64)</f>
        <v>0.35429169999999999</v>
      </c>
      <c r="AB37">
        <f>IF(Backend!AC64="", "", Backend!AC64)</f>
        <v>0.11456166</v>
      </c>
      <c r="AC37">
        <f>IF(Backend!AD64="", "", Backend!AD64)</f>
        <v>0.78795296000000004</v>
      </c>
      <c r="AD37">
        <f>IF(Backend!AE64="", "", Backend!AE64)</f>
        <v>0.13860385</v>
      </c>
      <c r="AE37">
        <f>IF(Backend!AF64="", "", Backend!AF64)</f>
        <v>0.18229586</v>
      </c>
      <c r="AF37">
        <f>IF(Backend!AG64="", "", Backend!AG64)</f>
        <v>0.67464080000000004</v>
      </c>
      <c r="AG37">
        <f>IF(Backend!AH64="", "", Backend!AH64)</f>
        <v>-8.7024980000000002E-2</v>
      </c>
      <c r="AH37">
        <f>IF(Backend!AI64="", "", Backend!AI64)</f>
        <v>-0.14661901999999999</v>
      </c>
      <c r="AI37">
        <f>IF(Backend!AJ64="", "", Backend!AJ64)</f>
        <v>1</v>
      </c>
      <c r="AJ37">
        <f>IF(Backend!AK64="", "", Backend!AK64)</f>
        <v>-8.5831024000000006E-2</v>
      </c>
      <c r="AK37">
        <f>IF(Backend!AL64="", "", Backend!AL64)</f>
        <v>0.32743876999999999</v>
      </c>
      <c r="AL37">
        <f>IF(Backend!AM64="", "", Backend!AM64)</f>
        <v>0.40335417000000001</v>
      </c>
      <c r="AM37">
        <f>IF(Backend!AN64="", "", Backend!AN64)</f>
        <v>0.24164427999999999</v>
      </c>
      <c r="AN37">
        <f>IF(Backend!AO64="", "", Backend!AO64)</f>
        <v>0.30431121999999999</v>
      </c>
      <c r="AO37">
        <f>IF(Backend!AP64="", "", Backend!AP64)</f>
        <v>0.72586340000000005</v>
      </c>
      <c r="AP37">
        <f>IF(Backend!AQ64="", "", Backend!AQ64)</f>
        <v>0.41759859999999999</v>
      </c>
      <c r="AQ37">
        <f>IF(Backend!AR64="", "", Backend!AR64)</f>
        <v>-0.20711507000000001</v>
      </c>
      <c r="AR37">
        <f>IF(Backend!AS64="", "", Backend!AS64)</f>
        <v>-9.9349304999999999E-2</v>
      </c>
      <c r="AS37">
        <f>IF(Backend!AT64="", "", Backend!AT64)</f>
        <v>0.21840631999999999</v>
      </c>
      <c r="AT37">
        <f>IF(Backend!AU64="", "", Backend!AU64)</f>
        <v>-0.15894417</v>
      </c>
      <c r="AU37">
        <f>IF(Backend!AV64="", "", Backend!AV64)</f>
        <v>6.1002965999999999E-2</v>
      </c>
      <c r="AV37">
        <f>IF(Backend!AW64="", "", Backend!AW64)</f>
        <v>0.41693434000000001</v>
      </c>
      <c r="AW37">
        <f>IF(Backend!AX64="", "", Backend!AX64)</f>
        <v>0.62267839999999997</v>
      </c>
      <c r="AX37">
        <f>IF(Backend!AY64="", "", Backend!AY64)</f>
        <v>0.71482444000000001</v>
      </c>
      <c r="AY37">
        <f>IF(Backend!AZ64="", "", Backend!AZ64)</f>
        <v>0.25051862000000003</v>
      </c>
      <c r="AZ37">
        <f>IF(Backend!BA64="", "", Backend!BA64)</f>
        <v>0.29189201999999997</v>
      </c>
      <c r="BA37">
        <f>IF(Backend!BB64="", "", Backend!BB64)</f>
        <v>-0.26344236999999998</v>
      </c>
      <c r="BB37">
        <f>IF(Backend!BC64="", "", Backend!BC64)</f>
        <v>0.54823390000000005</v>
      </c>
      <c r="BC37">
        <f>IF(Backend!BD64="", "", Backend!BD64)</f>
        <v>7.2222700000000001E-2</v>
      </c>
      <c r="BD37">
        <f>IF(Backend!BE64="", "", Backend!BE64)</f>
        <v>-0.33105669999999998</v>
      </c>
      <c r="BE37">
        <f>IF(Backend!BF64="", "", Backend!BF64)</f>
        <v>-0.73391839999999997</v>
      </c>
      <c r="BF37">
        <f>IF(Backend!BG64="", "", Backend!BG64)</f>
        <v>9.1258909999999999E-2</v>
      </c>
      <c r="BG37">
        <f>IF(Backend!BH64="", "", Backend!BH64)</f>
        <v>0.24993647999999999</v>
      </c>
      <c r="BH37">
        <f>IF(Backend!BI64="", "", Backend!BI64)</f>
        <v>8.2462320000000006E-2</v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Nippon Television Holdings, Inc.</v>
      </c>
      <c r="B38">
        <f>IF(Backend!C65="", "", Backend!C65)</f>
        <v>0.48971609999999999</v>
      </c>
      <c r="C38">
        <f>IF(Backend!D65="", "", Backend!D65)</f>
        <v>0.39197427000000001</v>
      </c>
      <c r="D38">
        <f>IF(Backend!E65="", "", Backend!E65)</f>
        <v>0.59864589999999995</v>
      </c>
      <c r="E38">
        <f>IF(Backend!F65="", "", Backend!F65)</f>
        <v>0.76925869999999996</v>
      </c>
      <c r="F38">
        <f>IF(Backend!G65="", "", Backend!G65)</f>
        <v>7.9658329999999999E-2</v>
      </c>
      <c r="G38">
        <f>IF(Backend!H65="", "", Backend!H65)</f>
        <v>0.55383349999999998</v>
      </c>
      <c r="H38">
        <f>IF(Backend!I65="", "", Backend!I65)</f>
        <v>0.47195798</v>
      </c>
      <c r="I38">
        <f>IF(Backend!J65="", "", Backend!J65)</f>
        <v>0.86865689999999995</v>
      </c>
      <c r="J38">
        <f>IF(Backend!K65="", "", Backend!K65)</f>
        <v>-0.81921460000000002</v>
      </c>
      <c r="K38">
        <f>IF(Backend!L65="", "", Backend!L65)</f>
        <v>0.83378834000000002</v>
      </c>
      <c r="L38">
        <f>IF(Backend!M65="", "", Backend!M65)</f>
        <v>0.49651299999999998</v>
      </c>
      <c r="M38">
        <f>IF(Backend!N65="", "", Backend!N65)</f>
        <v>0.22724369</v>
      </c>
      <c r="N38">
        <f>IF(Backend!O65="", "", Backend!O65)</f>
        <v>0.81784475000000001</v>
      </c>
      <c r="O38">
        <f>IF(Backend!P65="", "", Backend!P65)</f>
        <v>-0.69789374000000004</v>
      </c>
      <c r="P38">
        <f>IF(Backend!Q65="", "", Backend!Q65)</f>
        <v>0.78492609999999996</v>
      </c>
      <c r="Q38">
        <f>IF(Backend!R65="", "", Backend!R65)</f>
        <v>0.77163619999999999</v>
      </c>
      <c r="R38">
        <f>IF(Backend!S65="", "", Backend!S65)</f>
        <v>0.90309419999999996</v>
      </c>
      <c r="S38">
        <f>IF(Backend!T65="", "", Backend!T65)</f>
        <v>-0.71366980000000002</v>
      </c>
      <c r="T38">
        <f>IF(Backend!U65="", "", Backend!U65)</f>
        <v>0.40803134000000002</v>
      </c>
      <c r="U38">
        <f>IF(Backend!V65="", "", Backend!V65)</f>
        <v>0.14690027</v>
      </c>
      <c r="V38">
        <f>IF(Backend!W65="", "", Backend!W65)</f>
        <v>0.43537779999999998</v>
      </c>
      <c r="W38">
        <f>IF(Backend!X65="", "", Backend!X65)</f>
        <v>0.59431730000000005</v>
      </c>
      <c r="X38">
        <f>IF(Backend!Y65="", "", Backend!Y65)</f>
        <v>0.32661142999999998</v>
      </c>
      <c r="Y38">
        <f>IF(Backend!Z65="", "", Backend!Z65)</f>
        <v>0.80172867000000003</v>
      </c>
      <c r="Z38">
        <f>IF(Backend!AA65="", "", Backend!AA65)</f>
        <v>-0.79876930000000002</v>
      </c>
      <c r="AA38">
        <f>IF(Backend!AB65="", "", Backend!AB65)</f>
        <v>0.29704627</v>
      </c>
      <c r="AB38">
        <f>IF(Backend!AC65="", "", Backend!AC65)</f>
        <v>-0.90327190000000002</v>
      </c>
      <c r="AC38">
        <f>IF(Backend!AD65="", "", Backend!AD65)</f>
        <v>-5.2274981999999998E-3</v>
      </c>
      <c r="AD38">
        <f>IF(Backend!AE65="", "", Backend!AE65)</f>
        <v>-0.88504505</v>
      </c>
      <c r="AE38">
        <f>IF(Backend!AF65="", "", Backend!AF65)</f>
        <v>0.78544590000000003</v>
      </c>
      <c r="AF38">
        <f>IF(Backend!AG65="", "", Backend!AG65)</f>
        <v>-0.12756571</v>
      </c>
      <c r="AG38">
        <f>IF(Backend!AH65="", "", Backend!AH65)</f>
        <v>-0.74181839999999999</v>
      </c>
      <c r="AH38">
        <f>IF(Backend!AI65="", "", Backend!AI65)</f>
        <v>0.88873860000000005</v>
      </c>
      <c r="AI38">
        <f>IF(Backend!AJ65="", "", Backend!AJ65)</f>
        <v>-8.5831024000000006E-2</v>
      </c>
      <c r="AJ38">
        <f>IF(Backend!AK65="", "", Backend!AK65)</f>
        <v>1</v>
      </c>
      <c r="AK38">
        <f>IF(Backend!AL65="", "", Backend!AL65)</f>
        <v>-0.45641556</v>
      </c>
      <c r="AL38">
        <f>IF(Backend!AM65="", "", Backend!AM65)</f>
        <v>-0.78777059999999999</v>
      </c>
      <c r="AM38">
        <f>IF(Backend!AN65="", "", Backend!AN65)</f>
        <v>0.81149530000000003</v>
      </c>
      <c r="AN38">
        <f>IF(Backend!AO65="", "", Backend!AO65)</f>
        <v>0.73722505999999999</v>
      </c>
      <c r="AO38">
        <f>IF(Backend!AP65="", "", Backend!AP65)</f>
        <v>0.29894593000000003</v>
      </c>
      <c r="AP38">
        <f>IF(Backend!AQ65="", "", Backend!AQ65)</f>
        <v>0.66143090000000004</v>
      </c>
      <c r="AQ38">
        <f>IF(Backend!AR65="", "", Backend!AR65)</f>
        <v>-0.22764993</v>
      </c>
      <c r="AR38">
        <f>IF(Backend!AS65="", "", Backend!AS65)</f>
        <v>0.85288984000000001</v>
      </c>
      <c r="AS38">
        <f>IF(Backend!AT65="", "", Backend!AT65)</f>
        <v>0.63013863999999997</v>
      </c>
      <c r="AT38">
        <f>IF(Backend!AU65="", "", Backend!AU65)</f>
        <v>0.93450239999999996</v>
      </c>
      <c r="AU38">
        <f>IF(Backend!AV65="", "", Backend!AV65)</f>
        <v>0.85757625000000004</v>
      </c>
      <c r="AV38">
        <f>IF(Backend!AW65="", "", Backend!AW65)</f>
        <v>-0.59552914000000001</v>
      </c>
      <c r="AW38">
        <f>IF(Backend!AX65="", "", Backend!AX65)</f>
        <v>9.0476303999999994E-2</v>
      </c>
      <c r="AX38">
        <f>IF(Backend!AY65="", "", Backend!AY65)</f>
        <v>0.35816202000000003</v>
      </c>
      <c r="AY38">
        <f>IF(Backend!AZ65="", "", Backend!AZ65)</f>
        <v>0.85082369999999996</v>
      </c>
      <c r="AZ38">
        <f>IF(Backend!BA65="", "", Backend!BA65)</f>
        <v>0.78157489999999996</v>
      </c>
      <c r="BA38">
        <f>IF(Backend!BB65="", "", Backend!BB65)</f>
        <v>0.36681932</v>
      </c>
      <c r="BB38">
        <f>IF(Backend!BC65="", "", Backend!BC65)</f>
        <v>-0.56112660000000003</v>
      </c>
      <c r="BC38">
        <f>IF(Backend!BD65="", "", Backend!BD65)</f>
        <v>0.84612894000000005</v>
      </c>
      <c r="BD38">
        <f>IF(Backend!BE65="", "", Backend!BE65)</f>
        <v>0.74023510000000003</v>
      </c>
      <c r="BE38">
        <f>IF(Backend!BF65="", "", Backend!BF65)</f>
        <v>0.71194804</v>
      </c>
      <c r="BF38">
        <f>IF(Backend!BG65="", "", Backend!BG65)</f>
        <v>-0.81179214</v>
      </c>
      <c r="BG38">
        <f>IF(Backend!BH65="", "", Backend!BH65)</f>
        <v>-0.64455960000000001</v>
      </c>
      <c r="BH38">
        <f>IF(Backend!BI65="", "", Backend!BI65)</f>
        <v>-0.88737904999999995</v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>Pfizer Inc.</v>
      </c>
      <c r="B39">
        <f>IF(Backend!C66="", "", Backend!C66)</f>
        <v>-0.113806</v>
      </c>
      <c r="C39">
        <f>IF(Backend!D66="", "", Backend!D66)</f>
        <v>0.19385561000000001</v>
      </c>
      <c r="D39">
        <f>IF(Backend!E66="", "", Backend!E66)</f>
        <v>-0.15415417000000001</v>
      </c>
      <c r="E39">
        <f>IF(Backend!F66="", "", Backend!F66)</f>
        <v>-3.8480966999999998E-2</v>
      </c>
      <c r="F39">
        <f>IF(Backend!G66="", "", Backend!G66)</f>
        <v>0.42239547</v>
      </c>
      <c r="G39">
        <f>IF(Backend!H66="", "", Backend!H66)</f>
        <v>4.1758200000000002E-3</v>
      </c>
      <c r="H39">
        <f>IF(Backend!I66="", "", Backend!I66)</f>
        <v>-2.5001608000000002E-2</v>
      </c>
      <c r="I39">
        <f>IF(Backend!J66="", "", Backend!J66)</f>
        <v>-0.33025143000000001</v>
      </c>
      <c r="J39">
        <f>IF(Backend!K66="", "", Backend!K66)</f>
        <v>0.58628630000000004</v>
      </c>
      <c r="K39">
        <f>IF(Backend!L66="", "", Backend!L66)</f>
        <v>-0.43731766999999999</v>
      </c>
      <c r="L39">
        <f>IF(Backend!M66="", "", Backend!M66)</f>
        <v>4.8611630000000003E-2</v>
      </c>
      <c r="M39">
        <f>IF(Backend!N66="", "", Backend!N66)</f>
        <v>-0.37856733999999997</v>
      </c>
      <c r="N39">
        <f>IF(Backend!O66="", "", Backend!O66)</f>
        <v>-0.45200216999999998</v>
      </c>
      <c r="O39">
        <f>IF(Backend!P66="", "", Backend!P66)</f>
        <v>0.41933626000000002</v>
      </c>
      <c r="P39">
        <f>IF(Backend!Q66="", "", Backend!Q66)</f>
        <v>-0.101046264</v>
      </c>
      <c r="Q39">
        <f>IF(Backend!R66="", "", Backend!R66)</f>
        <v>-0.22555130000000001</v>
      </c>
      <c r="R39">
        <f>IF(Backend!S66="", "", Backend!S66)</f>
        <v>-0.33848679999999998</v>
      </c>
      <c r="S39">
        <f>IF(Backend!T66="", "", Backend!T66)</f>
        <v>0.68514293000000004</v>
      </c>
      <c r="T39">
        <f>IF(Backend!U66="", "", Backend!U66)</f>
        <v>-0.21059231</v>
      </c>
      <c r="U39">
        <f>IF(Backend!V66="", "", Backend!V66)</f>
        <v>0.42461320000000002</v>
      </c>
      <c r="V39">
        <f>IF(Backend!W66="", "", Backend!W66)</f>
        <v>7.2848270000000007E-2</v>
      </c>
      <c r="W39">
        <f>IF(Backend!X66="", "", Backend!X66)</f>
        <v>-0.12317201</v>
      </c>
      <c r="X39">
        <f>IF(Backend!Y66="", "", Backend!Y66)</f>
        <v>0.29086849999999997</v>
      </c>
      <c r="Y39">
        <f>IF(Backend!Z66="", "", Backend!Z66)</f>
        <v>-0.63912899999999995</v>
      </c>
      <c r="Z39">
        <f>IF(Backend!AA66="", "", Backend!AA66)</f>
        <v>0.48108062000000001</v>
      </c>
      <c r="AA39">
        <f>IF(Backend!AB66="", "", Backend!AB66)</f>
        <v>0.38738909999999999</v>
      </c>
      <c r="AB39">
        <f>IF(Backend!AC66="", "", Backend!AC66)</f>
        <v>0.64055790000000001</v>
      </c>
      <c r="AC39">
        <f>IF(Backend!AD66="", "", Backend!AD66)</f>
        <v>0.48882213000000002</v>
      </c>
      <c r="AD39">
        <f>IF(Backend!AE66="", "", Backend!AE66)</f>
        <v>0.60517626999999996</v>
      </c>
      <c r="AE39">
        <f>IF(Backend!AF66="", "", Backend!AF66)</f>
        <v>-0.33956530000000001</v>
      </c>
      <c r="AF39">
        <f>IF(Backend!AG66="", "", Backend!AG66)</f>
        <v>0.54915683999999998</v>
      </c>
      <c r="AG39">
        <f>IF(Backend!AH66="", "", Backend!AH66)</f>
        <v>0.18567896</v>
      </c>
      <c r="AH39">
        <f>IF(Backend!AI66="", "", Backend!AI66)</f>
        <v>-0.49534664</v>
      </c>
      <c r="AI39">
        <f>IF(Backend!AJ66="", "", Backend!AJ66)</f>
        <v>0.32743876999999999</v>
      </c>
      <c r="AJ39">
        <f>IF(Backend!AK66="", "", Backend!AK66)</f>
        <v>-0.45641556</v>
      </c>
      <c r="AK39">
        <f>IF(Backend!AL66="", "", Backend!AL66)</f>
        <v>1</v>
      </c>
      <c r="AL39">
        <f>IF(Backend!AM66="", "", Backend!AM66)</f>
        <v>0.56571749999999998</v>
      </c>
      <c r="AM39">
        <f>IF(Backend!AN66="", "", Backend!AN66)</f>
        <v>-0.15757911999999999</v>
      </c>
      <c r="AN39">
        <f>IF(Backend!AO66="", "", Backend!AO66)</f>
        <v>-1.0034751E-2</v>
      </c>
      <c r="AO39">
        <f>IF(Backend!AP66="", "", Backend!AP66)</f>
        <v>0.28798804</v>
      </c>
      <c r="AP39">
        <f>IF(Backend!AQ66="", "", Backend!AQ66)</f>
        <v>-0.104221836</v>
      </c>
      <c r="AQ39">
        <f>IF(Backend!AR66="", "", Backend!AR66)</f>
        <v>0.17234927</v>
      </c>
      <c r="AR39">
        <f>IF(Backend!AS66="", "", Backend!AS66)</f>
        <v>-0.43890053000000001</v>
      </c>
      <c r="AS39">
        <f>IF(Backend!AT66="", "", Backend!AT66)</f>
        <v>-0.118490204</v>
      </c>
      <c r="AT39">
        <f>IF(Backend!AU66="", "", Backend!AU66)</f>
        <v>-0.49030757000000003</v>
      </c>
      <c r="AU39">
        <f>IF(Backend!AV66="", "", Backend!AV66)</f>
        <v>-0.23969293999999999</v>
      </c>
      <c r="AV39">
        <f>IF(Backend!AW66="", "", Backend!AW66)</f>
        <v>0.82276755999999995</v>
      </c>
      <c r="AW39">
        <f>IF(Backend!AX66="", "", Backend!AX66)</f>
        <v>0.39303260000000001</v>
      </c>
      <c r="AX39">
        <f>IF(Backend!AY66="", "", Backend!AY66)</f>
        <v>0.30768234</v>
      </c>
      <c r="AY39">
        <f>IF(Backend!AZ66="", "", Backend!AZ66)</f>
        <v>-0.11081878000000001</v>
      </c>
      <c r="AZ39">
        <f>IF(Backend!BA66="", "", Backend!BA66)</f>
        <v>-0.19179456</v>
      </c>
      <c r="BA39">
        <f>IF(Backend!BB66="", "", Backend!BB66)</f>
        <v>-0.36298564</v>
      </c>
      <c r="BB39">
        <f>IF(Backend!BC66="", "", Backend!BC66)</f>
        <v>0.70783030000000002</v>
      </c>
      <c r="BC39">
        <f>IF(Backend!BD66="", "", Backend!BD66)</f>
        <v>-0.28859213</v>
      </c>
      <c r="BD39">
        <f>IF(Backend!BE66="", "", Backend!BE66)</f>
        <v>-0.30399734</v>
      </c>
      <c r="BE39">
        <f>IF(Backend!BF66="", "", Backend!BF66)</f>
        <v>-0.32903870000000002</v>
      </c>
      <c r="BF39">
        <f>IF(Backend!BG66="", "", Backend!BG66)</f>
        <v>0.41019030000000001</v>
      </c>
      <c r="BG39">
        <f>IF(Backend!BH66="", "", Backend!BH66)</f>
        <v>0.29929625999999998</v>
      </c>
      <c r="BH39">
        <f>IF(Backend!BI66="", "", Backend!BI66)</f>
        <v>0.43638468000000002</v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>PUMA SE</v>
      </c>
      <c r="B40">
        <f>IF(Backend!C67="", "", Backend!C67)</f>
        <v>-0.47092624999999999</v>
      </c>
      <c r="C40">
        <f>IF(Backend!D67="", "", Backend!D67)</f>
        <v>-7.7071920000000002E-2</v>
      </c>
      <c r="D40">
        <f>IF(Backend!E67="", "", Backend!E67)</f>
        <v>-0.44207352</v>
      </c>
      <c r="E40">
        <f>IF(Backend!F67="", "", Backend!F67)</f>
        <v>-0.51924610000000004</v>
      </c>
      <c r="F40">
        <f>IF(Backend!G67="", "", Backend!G67)</f>
        <v>-2.1444751000000001E-2</v>
      </c>
      <c r="G40">
        <f>IF(Backend!H67="", "", Backend!H67)</f>
        <v>-0.28556967</v>
      </c>
      <c r="H40">
        <f>IF(Backend!I67="", "", Backend!I67)</f>
        <v>-0.58134920000000001</v>
      </c>
      <c r="I40">
        <f>IF(Backend!J67="", "", Backend!J67)</f>
        <v>-0.69521314000000001</v>
      </c>
      <c r="J40">
        <f>IF(Backend!K67="", "", Backend!K67)</f>
        <v>0.60011594999999995</v>
      </c>
      <c r="K40">
        <f>IF(Backend!L67="", "", Backend!L67)</f>
        <v>-0.70584135999999997</v>
      </c>
      <c r="L40">
        <f>IF(Backend!M67="", "", Backend!M67)</f>
        <v>-0.43061206000000002</v>
      </c>
      <c r="M40">
        <f>IF(Backend!N67="", "", Backend!N67)</f>
        <v>1.2488977E-2</v>
      </c>
      <c r="N40">
        <f>IF(Backend!O67="", "", Backend!O67)</f>
        <v>-0.72888160000000002</v>
      </c>
      <c r="O40">
        <f>IF(Backend!P67="", "", Backend!P67)</f>
        <v>0.82880379999999998</v>
      </c>
      <c r="P40">
        <f>IF(Backend!Q67="", "", Backend!Q67)</f>
        <v>-0.55485695999999995</v>
      </c>
      <c r="Q40">
        <f>IF(Backend!R67="", "", Backend!R67)</f>
        <v>-0.65427049999999998</v>
      </c>
      <c r="R40">
        <f>IF(Backend!S67="", "", Backend!S67)</f>
        <v>-0.67214229999999997</v>
      </c>
      <c r="S40">
        <f>IF(Backend!T67="", "", Backend!T67)</f>
        <v>0.79583614999999996</v>
      </c>
      <c r="T40">
        <f>IF(Backend!U67="", "", Backend!U67)</f>
        <v>-0.43951913999999997</v>
      </c>
      <c r="U40">
        <f>IF(Backend!V67="", "", Backend!V67)</f>
        <v>0.23563047000000001</v>
      </c>
      <c r="V40">
        <f>IF(Backend!W67="", "", Backend!W67)</f>
        <v>-0.19524685</v>
      </c>
      <c r="W40">
        <f>IF(Backend!X67="", "", Backend!X67)</f>
        <v>-0.32134955999999998</v>
      </c>
      <c r="X40">
        <f>IF(Backend!Y67="", "", Backend!Y67)</f>
        <v>-8.7266389999999999E-2</v>
      </c>
      <c r="Y40">
        <f>IF(Backend!Z67="", "", Backend!Z67)</f>
        <v>-0.81040109999999999</v>
      </c>
      <c r="Z40">
        <f>IF(Backend!AA67="", "", Backend!AA67)</f>
        <v>0.69759769999999999</v>
      </c>
      <c r="AA40">
        <f>IF(Backend!AB67="", "", Backend!AB67)</f>
        <v>-2.7708531999999998E-3</v>
      </c>
      <c r="AB40">
        <f>IF(Backend!AC67="", "", Backend!AC67)</f>
        <v>0.7692466</v>
      </c>
      <c r="AC40">
        <f>IF(Backend!AD67="", "", Backend!AD67)</f>
        <v>0.36632513999999999</v>
      </c>
      <c r="AD40">
        <f>IF(Backend!AE67="", "", Backend!AE67)</f>
        <v>0.72692734000000003</v>
      </c>
      <c r="AE40">
        <f>IF(Backend!AF67="", "", Backend!AF67)</f>
        <v>-0.39381397000000001</v>
      </c>
      <c r="AF40">
        <f>IF(Backend!AG67="", "", Backend!AG67)</f>
        <v>0.47612795000000002</v>
      </c>
      <c r="AG40">
        <f>IF(Backend!AH67="", "", Backend!AH67)</f>
        <v>0.51703023999999997</v>
      </c>
      <c r="AH40">
        <f>IF(Backend!AI67="", "", Backend!AI67)</f>
        <v>-0.79738235000000002</v>
      </c>
      <c r="AI40">
        <f>IF(Backend!AJ67="", "", Backend!AJ67)</f>
        <v>0.40335417000000001</v>
      </c>
      <c r="AJ40">
        <f>IF(Backend!AK67="", "", Backend!AK67)</f>
        <v>-0.78777059999999999</v>
      </c>
      <c r="AK40">
        <f>IF(Backend!AL67="", "", Backend!AL67)</f>
        <v>0.56571749999999998</v>
      </c>
      <c r="AL40">
        <f>IF(Backend!AM67="", "", Backend!AM67)</f>
        <v>1</v>
      </c>
      <c r="AM40">
        <f>IF(Backend!AN67="", "", Backend!AN67)</f>
        <v>-0.54676449999999999</v>
      </c>
      <c r="AN40">
        <f>IF(Backend!AO67="", "", Backend!AO67)</f>
        <v>-0.48114620000000002</v>
      </c>
      <c r="AO40">
        <f>IF(Backend!AP67="", "", Backend!AP67)</f>
        <v>0.16540924000000001</v>
      </c>
      <c r="AP40">
        <f>IF(Backend!AQ67="", "", Backend!AQ67)</f>
        <v>-0.39510640000000002</v>
      </c>
      <c r="AQ40">
        <f>IF(Backend!AR67="", "", Backend!AR67)</f>
        <v>-0.123697534</v>
      </c>
      <c r="AR40">
        <f>IF(Backend!AS67="", "", Backend!AS67)</f>
        <v>-0.81102914000000004</v>
      </c>
      <c r="AS40">
        <f>IF(Backend!AT67="", "", Backend!AT67)</f>
        <v>-0.35154363999999999</v>
      </c>
      <c r="AT40">
        <f>IF(Backend!AU67="", "", Backend!AU67)</f>
        <v>-0.8426749</v>
      </c>
      <c r="AU40">
        <f>IF(Backend!AV67="", "", Backend!AV67)</f>
        <v>-0.72119253999999999</v>
      </c>
      <c r="AV40">
        <f>IF(Backend!AW67="", "", Backend!AW67)</f>
        <v>0.65793215999999999</v>
      </c>
      <c r="AW40">
        <f>IF(Backend!AX67="", "", Backend!AX67)</f>
        <v>0.13275503</v>
      </c>
      <c r="AX40">
        <f>IF(Backend!AY67="", "", Backend!AY67)</f>
        <v>2.0895917E-2</v>
      </c>
      <c r="AY40">
        <f>IF(Backend!AZ67="", "", Backend!AZ67)</f>
        <v>-0.59053785000000003</v>
      </c>
      <c r="AZ40">
        <f>IF(Backend!BA67="", "", Backend!BA67)</f>
        <v>-0.52577629999999997</v>
      </c>
      <c r="BA40">
        <f>IF(Backend!BB67="", "", Backend!BB67)</f>
        <v>-0.41922656000000003</v>
      </c>
      <c r="BB40">
        <f>IF(Backend!BC67="", "", Backend!BC67)</f>
        <v>0.82782299999999998</v>
      </c>
      <c r="BC40">
        <f>IF(Backend!BD67="", "", Backend!BD67)</f>
        <v>-0.61219420000000002</v>
      </c>
      <c r="BD40">
        <f>IF(Backend!BE67="", "", Backend!BE67)</f>
        <v>-0.77126030000000001</v>
      </c>
      <c r="BE40">
        <f>IF(Backend!BF67="", "", Backend!BF67)</f>
        <v>-0.78207459999999995</v>
      </c>
      <c r="BF40">
        <f>IF(Backend!BG67="", "", Backend!BG67)</f>
        <v>0.66005062999999997</v>
      </c>
      <c r="BG40">
        <f>IF(Backend!BH67="", "", Backend!BH67)</f>
        <v>0.71555716000000003</v>
      </c>
      <c r="BH40">
        <f>IF(Backend!BI67="", "", Backend!BI67)</f>
        <v>0.82717973</v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>Repsol SA</v>
      </c>
      <c r="B41">
        <f>IF(Backend!C68="", "", Backend!C68)</f>
        <v>0.50738406000000003</v>
      </c>
      <c r="C41">
        <f>IF(Backend!D68="", "", Backend!D68)</f>
        <v>0.71369369999999999</v>
      </c>
      <c r="D41">
        <f>IF(Backend!E68="", "", Backend!E68)</f>
        <v>0.62701249999999997</v>
      </c>
      <c r="E41">
        <f>IF(Backend!F68="", "", Backend!F68)</f>
        <v>0.93275045999999995</v>
      </c>
      <c r="F41">
        <f>IF(Backend!G68="", "", Backend!G68)</f>
        <v>0.17498032999999999</v>
      </c>
      <c r="G41">
        <f>IF(Backend!H68="", "", Backend!H68)</f>
        <v>0.71703225000000004</v>
      </c>
      <c r="H41">
        <f>IF(Backend!I68="", "", Backend!I68)</f>
        <v>0.42721179999999997</v>
      </c>
      <c r="I41">
        <f>IF(Backend!J68="", "", Backend!J68)</f>
        <v>0.87774693999999998</v>
      </c>
      <c r="J41">
        <f>IF(Backend!K68="", "", Backend!K68)</f>
        <v>-0.76815120000000003</v>
      </c>
      <c r="K41">
        <f>IF(Backend!L68="", "", Backend!L68)</f>
        <v>0.80773910000000004</v>
      </c>
      <c r="L41">
        <f>IF(Backend!M68="", "", Backend!M68)</f>
        <v>0.77070090000000002</v>
      </c>
      <c r="M41">
        <f>IF(Backend!N68="", "", Backend!N68)</f>
        <v>5.1202584000000002E-2</v>
      </c>
      <c r="N41">
        <f>IF(Backend!O68="", "", Backend!O68)</f>
        <v>0.82330570000000003</v>
      </c>
      <c r="O41">
        <f>IF(Backend!P68="", "", Backend!P68)</f>
        <v>-0.47308463000000001</v>
      </c>
      <c r="P41">
        <f>IF(Backend!Q68="", "", Backend!Q68)</f>
        <v>0.96069309999999997</v>
      </c>
      <c r="Q41">
        <f>IF(Backend!R68="", "", Backend!R68)</f>
        <v>0.79945949999999999</v>
      </c>
      <c r="R41">
        <f>IF(Backend!S68="", "", Backend!S68)</f>
        <v>0.93095300000000003</v>
      </c>
      <c r="S41">
        <f>IF(Backend!T68="", "", Backend!T68)</f>
        <v>-0.34717616000000001</v>
      </c>
      <c r="T41">
        <f>IF(Backend!U68="", "", Backend!U68)</f>
        <v>0.55008009999999996</v>
      </c>
      <c r="U41">
        <f>IF(Backend!V68="", "", Backend!V68)</f>
        <v>0.53166133000000004</v>
      </c>
      <c r="V41">
        <f>IF(Backend!W68="", "", Backend!W68)</f>
        <v>0.7134258</v>
      </c>
      <c r="W41">
        <f>IF(Backend!X68="", "", Backend!X68)</f>
        <v>0.82965849999999997</v>
      </c>
      <c r="X41">
        <f>IF(Backend!Y68="", "", Backend!Y68)</f>
        <v>0.65215296</v>
      </c>
      <c r="Y41">
        <f>IF(Backend!Z68="", "", Backend!Z68)</f>
        <v>0.6552962</v>
      </c>
      <c r="Z41">
        <f>IF(Backend!AA68="", "", Backend!AA68)</f>
        <v>-0.77263539999999997</v>
      </c>
      <c r="AA41">
        <f>IF(Backend!AB68="", "", Backend!AB68)</f>
        <v>0.63958409999999999</v>
      </c>
      <c r="AB41">
        <f>IF(Backend!AC68="", "", Backend!AC68)</f>
        <v>-0.74075943</v>
      </c>
      <c r="AC41">
        <f>IF(Backend!AD68="", "", Backend!AD68)</f>
        <v>0.33918201999999997</v>
      </c>
      <c r="AD41">
        <f>IF(Backend!AE68="", "", Backend!AE68)</f>
        <v>-0.78707050000000001</v>
      </c>
      <c r="AE41">
        <f>IF(Backend!AF68="", "", Backend!AF68)</f>
        <v>0.730935</v>
      </c>
      <c r="AF41">
        <f>IF(Backend!AG68="", "", Backend!AG68)</f>
        <v>0.16161136000000001</v>
      </c>
      <c r="AG41">
        <f>IF(Backend!AH68="", "", Backend!AH68)</f>
        <v>-0.86466209999999999</v>
      </c>
      <c r="AH41">
        <f>IF(Backend!AI68="", "", Backend!AI68)</f>
        <v>0.82934260000000004</v>
      </c>
      <c r="AI41">
        <f>IF(Backend!AJ68="", "", Backend!AJ68)</f>
        <v>0.24164427999999999</v>
      </c>
      <c r="AJ41">
        <f>IF(Backend!AK68="", "", Backend!AK68)</f>
        <v>0.81149530000000003</v>
      </c>
      <c r="AK41">
        <f>IF(Backend!AL68="", "", Backend!AL68)</f>
        <v>-0.15757911999999999</v>
      </c>
      <c r="AL41">
        <f>IF(Backend!AM68="", "", Backend!AM68)</f>
        <v>-0.54676449999999999</v>
      </c>
      <c r="AM41">
        <f>IF(Backend!AN68="", "", Backend!AN68)</f>
        <v>1</v>
      </c>
      <c r="AN41">
        <f>IF(Backend!AO68="", "", Backend!AO68)</f>
        <v>0.95969044999999997</v>
      </c>
      <c r="AO41">
        <f>IF(Backend!AP68="", "", Backend!AP68)</f>
        <v>0.59829299999999996</v>
      </c>
      <c r="AP41">
        <f>IF(Backend!AQ68="", "", Backend!AQ68)</f>
        <v>0.88422584999999998</v>
      </c>
      <c r="AQ41">
        <f>IF(Backend!AR68="", "", Backend!AR68)</f>
        <v>-0.38442287000000003</v>
      </c>
      <c r="AR41">
        <f>IF(Backend!AS68="", "", Backend!AS68)</f>
        <v>0.83798899999999998</v>
      </c>
      <c r="AS41">
        <f>IF(Backend!AT68="", "", Backend!AT68)</f>
        <v>0.88310330000000004</v>
      </c>
      <c r="AT41">
        <f>IF(Backend!AU68="", "", Backend!AU68)</f>
        <v>0.84927832999999997</v>
      </c>
      <c r="AU41">
        <f>IF(Backend!AV68="", "", Backend!AV68)</f>
        <v>0.93950959999999994</v>
      </c>
      <c r="AV41">
        <f>IF(Backend!AW68="", "", Backend!AW68)</f>
        <v>-0.29336800000000002</v>
      </c>
      <c r="AW41">
        <f>IF(Backend!AX68="", "", Backend!AX68)</f>
        <v>0.38444993</v>
      </c>
      <c r="AX41">
        <f>IF(Backend!AY68="", "", Backend!AY68)</f>
        <v>0.66816324000000005</v>
      </c>
      <c r="AY41">
        <f>IF(Backend!AZ68="", "", Backend!AZ68)</f>
        <v>0.91724899999999998</v>
      </c>
      <c r="AZ41">
        <f>IF(Backend!BA68="", "", Backend!BA68)</f>
        <v>0.93544130000000003</v>
      </c>
      <c r="BA41">
        <f>IF(Backend!BB68="", "", Backend!BB68)</f>
        <v>0.12596532999999999</v>
      </c>
      <c r="BB41">
        <f>IF(Backend!BC68="", "", Backend!BC68)</f>
        <v>-0.20633613000000001</v>
      </c>
      <c r="BC41">
        <f>IF(Backend!BD68="", "", Backend!BD68)</f>
        <v>0.92572880000000002</v>
      </c>
      <c r="BD41">
        <f>IF(Backend!BE68="", "", Backend!BE68)</f>
        <v>0.54651680000000002</v>
      </c>
      <c r="BE41">
        <f>IF(Backend!BF68="", "", Backend!BF68)</f>
        <v>0.56864650000000005</v>
      </c>
      <c r="BF41">
        <f>IF(Backend!BG68="", "", Backend!BG68)</f>
        <v>-0.83204734000000002</v>
      </c>
      <c r="BG41">
        <f>IF(Backend!BH68="", "", Backend!BH68)</f>
        <v>-0.57726383000000003</v>
      </c>
      <c r="BH41">
        <f>IF(Backend!BI68="", "", Backend!BI68)</f>
        <v>-0.84012085000000003</v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>ROHM Company Limited</v>
      </c>
      <c r="B42">
        <f>IF(Backend!C69="", "", Backend!C69)</f>
        <v>0.56637570000000004</v>
      </c>
      <c r="C42">
        <f>IF(Backend!D69="", "", Backend!D69)</f>
        <v>0.71704489999999999</v>
      </c>
      <c r="D42">
        <f>IF(Backend!E69="", "", Backend!E69)</f>
        <v>0.66704165999999998</v>
      </c>
      <c r="E42">
        <f>IF(Backend!F69="", "", Backend!F69)</f>
        <v>0.91086036000000004</v>
      </c>
      <c r="F42">
        <f>IF(Backend!G69="", "", Backend!G69)</f>
        <v>0.23700751</v>
      </c>
      <c r="G42">
        <f>IF(Backend!H69="", "", Backend!H69)</f>
        <v>0.70300490000000004</v>
      </c>
      <c r="H42">
        <f>IF(Backend!I69="", "", Backend!I69)</f>
        <v>0.40691832</v>
      </c>
      <c r="I42">
        <f>IF(Backend!J69="", "", Backend!J69)</f>
        <v>0.83089787000000004</v>
      </c>
      <c r="J42">
        <f>IF(Backend!K69="", "", Backend!K69)</f>
        <v>-0.68172102999999995</v>
      </c>
      <c r="K42">
        <f>IF(Backend!L69="", "", Backend!L69)</f>
        <v>0.76238006000000003</v>
      </c>
      <c r="L42">
        <f>IF(Backend!M69="", "", Backend!M69)</f>
        <v>0.78865359999999995</v>
      </c>
      <c r="M42">
        <f>IF(Backend!N69="", "", Backend!N69)</f>
        <v>2.9789856E-2</v>
      </c>
      <c r="N42">
        <f>IF(Backend!O69="", "", Backend!O69)</f>
        <v>0.75484329999999999</v>
      </c>
      <c r="O42">
        <f>IF(Backend!P69="", "", Backend!P69)</f>
        <v>-0.40231106</v>
      </c>
      <c r="P42">
        <f>IF(Backend!Q69="", "", Backend!Q69)</f>
        <v>0.95083076</v>
      </c>
      <c r="Q42">
        <f>IF(Backend!R69="", "", Backend!R69)</f>
        <v>0.75468177000000003</v>
      </c>
      <c r="R42">
        <f>IF(Backend!S69="", "", Backend!S69)</f>
        <v>0.89735514000000005</v>
      </c>
      <c r="S42">
        <f>IF(Backend!T69="", "", Backend!T69)</f>
        <v>-0.24993689999999999</v>
      </c>
      <c r="T42">
        <f>IF(Backend!U69="", "", Backend!U69)</f>
        <v>0.55729130000000004</v>
      </c>
      <c r="U42">
        <f>IF(Backend!V69="", "", Backend!V69)</f>
        <v>0.58247230000000005</v>
      </c>
      <c r="V42">
        <f>IF(Backend!W69="", "", Backend!W69)</f>
        <v>0.73304000000000002</v>
      </c>
      <c r="W42">
        <f>IF(Backend!X69="", "", Backend!X69)</f>
        <v>0.82981914000000001</v>
      </c>
      <c r="X42">
        <f>IF(Backend!Y69="", "", Backend!Y69)</f>
        <v>0.69492774999999996</v>
      </c>
      <c r="Y42">
        <f>IF(Backend!Z69="", "", Backend!Z69)</f>
        <v>0.55597399999999997</v>
      </c>
      <c r="Z42">
        <f>IF(Backend!AA69="", "", Backend!AA69)</f>
        <v>-0.71737194000000004</v>
      </c>
      <c r="AA42">
        <f>IF(Backend!AB69="", "", Backend!AB69)</f>
        <v>0.68915170000000003</v>
      </c>
      <c r="AB42">
        <f>IF(Backend!AC69="", "", Backend!AC69)</f>
        <v>-0.67103710000000005</v>
      </c>
      <c r="AC42">
        <f>IF(Backend!AD69="", "", Backend!AD69)</f>
        <v>0.39361244000000001</v>
      </c>
      <c r="AD42">
        <f>IF(Backend!AE69="", "", Backend!AE69)</f>
        <v>-0.69695203999999999</v>
      </c>
      <c r="AE42">
        <f>IF(Backend!AF69="", "", Backend!AF69)</f>
        <v>0.69295249999999997</v>
      </c>
      <c r="AF42">
        <f>IF(Backend!AG69="", "", Backend!AG69)</f>
        <v>0.30629770000000001</v>
      </c>
      <c r="AG42">
        <f>IF(Backend!AH69="", "", Backend!AH69)</f>
        <v>-0.82621860000000003</v>
      </c>
      <c r="AH42">
        <f>IF(Backend!AI69="", "", Backend!AI69)</f>
        <v>0.76166250000000002</v>
      </c>
      <c r="AI42">
        <f>IF(Backend!AJ69="", "", Backend!AJ69)</f>
        <v>0.30431121999999999</v>
      </c>
      <c r="AJ42">
        <f>IF(Backend!AK69="", "", Backend!AK69)</f>
        <v>0.73722505999999999</v>
      </c>
      <c r="AK42">
        <f>IF(Backend!AL69="", "", Backend!AL69)</f>
        <v>-1.0034751E-2</v>
      </c>
      <c r="AL42">
        <f>IF(Backend!AM69="", "", Backend!AM69)</f>
        <v>-0.48114620000000002</v>
      </c>
      <c r="AM42">
        <f>IF(Backend!AN69="", "", Backend!AN69)</f>
        <v>0.95969044999999997</v>
      </c>
      <c r="AN42">
        <f>IF(Backend!AO69="", "", Backend!AO69)</f>
        <v>1</v>
      </c>
      <c r="AO42">
        <f>IF(Backend!AP69="", "", Backend!AP69)</f>
        <v>0.67431929999999995</v>
      </c>
      <c r="AP42">
        <f>IF(Backend!AQ69="", "", Backend!AQ69)</f>
        <v>0.90376979999999996</v>
      </c>
      <c r="AQ42">
        <f>IF(Backend!AR69="", "", Backend!AR69)</f>
        <v>-0.38521218000000002</v>
      </c>
      <c r="AR42">
        <f>IF(Backend!AS69="", "", Backend!AS69)</f>
        <v>0.79196330000000004</v>
      </c>
      <c r="AS42">
        <f>IF(Backend!AT69="", "", Backend!AT69)</f>
        <v>0.89567286000000002</v>
      </c>
      <c r="AT42">
        <f>IF(Backend!AU69="", "", Backend!AU69)</f>
        <v>0.78131353999999997</v>
      </c>
      <c r="AU42">
        <f>IF(Backend!AV69="", "", Backend!AV69)</f>
        <v>0.91343814000000001</v>
      </c>
      <c r="AV42">
        <f>IF(Backend!AW69="", "", Backend!AW69)</f>
        <v>-0.18015178000000001</v>
      </c>
      <c r="AW42">
        <f>IF(Backend!AX69="", "", Backend!AX69)</f>
        <v>0.46874539999999998</v>
      </c>
      <c r="AX42">
        <f>IF(Backend!AY69="", "", Backend!AY69)</f>
        <v>0.77252257000000002</v>
      </c>
      <c r="AY42">
        <f>IF(Backend!AZ69="", "", Backend!AZ69)</f>
        <v>0.91497720000000005</v>
      </c>
      <c r="AZ42">
        <f>IF(Backend!BA69="", "", Backend!BA69)</f>
        <v>0.91449930000000001</v>
      </c>
      <c r="BA42">
        <f>IF(Backend!BB69="", "", Backend!BB69)</f>
        <v>5.2585470000000002E-2</v>
      </c>
      <c r="BB42">
        <f>IF(Backend!BC69="", "", Backend!BC69)</f>
        <v>-9.4350080000000003E-2</v>
      </c>
      <c r="BC42">
        <f>IF(Backend!BD69="", "", Backend!BD69)</f>
        <v>0.89744990000000002</v>
      </c>
      <c r="BD42">
        <f>IF(Backend!BE69="", "", Backend!BE69)</f>
        <v>0.45704663000000001</v>
      </c>
      <c r="BE42">
        <f>IF(Backend!BF69="", "", Backend!BF69)</f>
        <v>0.50539330000000005</v>
      </c>
      <c r="BF42">
        <f>IF(Backend!BG69="", "", Backend!BG69)</f>
        <v>-0.80147712999999998</v>
      </c>
      <c r="BG42">
        <f>IF(Backend!BH69="", "", Backend!BH69)</f>
        <v>-0.55508939999999996</v>
      </c>
      <c r="BH42">
        <f>IF(Backend!BI69="", "", Backend!BI69)</f>
        <v>-0.82084310000000005</v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>Sally Beauty Holdings, Inc.</v>
      </c>
      <c r="B43">
        <f>IF(Backend!C70="", "", Backend!C70)</f>
        <v>8.7446034000000006E-2</v>
      </c>
      <c r="C43">
        <f>IF(Backend!D70="", "", Backend!D70)</f>
        <v>0.75275623999999997</v>
      </c>
      <c r="D43">
        <f>IF(Backend!E70="", "", Backend!E70)</f>
        <v>0.52062580000000003</v>
      </c>
      <c r="E43">
        <f>IF(Backend!F70="", "", Backend!F70)</f>
        <v>0.59797279999999997</v>
      </c>
      <c r="F43">
        <f>IF(Backend!G70="", "", Backend!G70)</f>
        <v>0.30747797999999998</v>
      </c>
      <c r="G43">
        <f>IF(Backend!H70="", "", Backend!H70)</f>
        <v>0.64833253999999996</v>
      </c>
      <c r="H43">
        <f>IF(Backend!I70="", "", Backend!I70)</f>
        <v>-2.8223893E-2</v>
      </c>
      <c r="I43">
        <f>IF(Backend!J70="", "", Backend!J70)</f>
        <v>0.27445893999999998</v>
      </c>
      <c r="J43">
        <f>IF(Backend!K70="", "", Backend!K70)</f>
        <v>-0.26487252</v>
      </c>
      <c r="K43">
        <f>IF(Backend!L70="", "", Backend!L70)</f>
        <v>0.238542</v>
      </c>
      <c r="L43">
        <f>IF(Backend!M70="", "", Backend!M70)</f>
        <v>0.39358187</v>
      </c>
      <c r="M43">
        <f>IF(Backend!N70="", "", Backend!N70)</f>
        <v>9.5734949999999999E-2</v>
      </c>
      <c r="N43">
        <f>IF(Backend!O70="", "", Backend!O70)</f>
        <v>0.18991517999999999</v>
      </c>
      <c r="O43">
        <f>IF(Backend!P70="", "", Backend!P70)</f>
        <v>0.12938182000000001</v>
      </c>
      <c r="P43">
        <f>IF(Backend!Q70="", "", Backend!Q70)</f>
        <v>0.54785609999999996</v>
      </c>
      <c r="Q43">
        <f>IF(Backend!R70="", "", Backend!R70)</f>
        <v>0.31538305</v>
      </c>
      <c r="R43">
        <f>IF(Backend!S70="", "", Backend!S70)</f>
        <v>0.46502155000000001</v>
      </c>
      <c r="S43">
        <f>IF(Backend!T70="", "", Backend!T70)</f>
        <v>0.35006246000000002</v>
      </c>
      <c r="T43">
        <f>IF(Backend!U70="", "", Backend!U70)</f>
        <v>0.15019726999999999</v>
      </c>
      <c r="U43">
        <f>IF(Backend!V70="", "", Backend!V70)</f>
        <v>0.8310649</v>
      </c>
      <c r="V43">
        <f>IF(Backend!W70="", "", Backend!W70)</f>
        <v>0.69213676000000002</v>
      </c>
      <c r="W43">
        <f>IF(Backend!X70="", "", Backend!X70)</f>
        <v>0.55363770000000001</v>
      </c>
      <c r="X43">
        <f>IF(Backend!Y70="", "", Backend!Y70)</f>
        <v>0.74509239999999999</v>
      </c>
      <c r="Y43">
        <f>IF(Backend!Z70="", "", Backend!Z70)</f>
        <v>-2.9568087E-2</v>
      </c>
      <c r="Z43">
        <f>IF(Backend!AA70="", "", Backend!AA70)</f>
        <v>-0.22010552999999999</v>
      </c>
      <c r="AA43">
        <f>IF(Backend!AB70="", "", Backend!AB70)</f>
        <v>0.66475355999999997</v>
      </c>
      <c r="AB43">
        <f>IF(Backend!AC70="", "", Backend!AC70)</f>
        <v>-0.21027187</v>
      </c>
      <c r="AC43">
        <f>IF(Backend!AD70="", "", Backend!AD70)</f>
        <v>0.80979913000000003</v>
      </c>
      <c r="AD43">
        <f>IF(Backend!AE70="", "", Backend!AE70)</f>
        <v>-0.18745590000000001</v>
      </c>
      <c r="AE43">
        <f>IF(Backend!AF70="", "", Backend!AF70)</f>
        <v>0.56684730000000005</v>
      </c>
      <c r="AF43">
        <f>IF(Backend!AG70="", "", Backend!AG70)</f>
        <v>0.78751269999999995</v>
      </c>
      <c r="AG43">
        <f>IF(Backend!AH70="", "", Backend!AH70)</f>
        <v>-0.45491619999999999</v>
      </c>
      <c r="AH43">
        <f>IF(Backend!AI70="", "", Backend!AI70)</f>
        <v>0.19935649999999999</v>
      </c>
      <c r="AI43">
        <f>IF(Backend!AJ70="", "", Backend!AJ70)</f>
        <v>0.72586340000000005</v>
      </c>
      <c r="AJ43">
        <f>IF(Backend!AK70="", "", Backend!AK70)</f>
        <v>0.29894593000000003</v>
      </c>
      <c r="AK43">
        <f>IF(Backend!AL70="", "", Backend!AL70)</f>
        <v>0.28798804</v>
      </c>
      <c r="AL43">
        <f>IF(Backend!AM70="", "", Backend!AM70)</f>
        <v>0.16540924000000001</v>
      </c>
      <c r="AM43">
        <f>IF(Backend!AN70="", "", Backend!AN70)</f>
        <v>0.59829299999999996</v>
      </c>
      <c r="AN43">
        <f>IF(Backend!AO70="", "", Backend!AO70)</f>
        <v>0.67431929999999995</v>
      </c>
      <c r="AO43">
        <f>IF(Backend!AP70="", "", Backend!AP70)</f>
        <v>1</v>
      </c>
      <c r="AP43">
        <f>IF(Backend!AQ70="", "", Backend!AQ70)</f>
        <v>0.72162959999999998</v>
      </c>
      <c r="AQ43">
        <f>IF(Backend!AR70="", "", Backend!AR70)</f>
        <v>-0.49555125999999999</v>
      </c>
      <c r="AR43">
        <f>IF(Backend!AS70="", "", Backend!AS70)</f>
        <v>0.18952413000000001</v>
      </c>
      <c r="AS43">
        <f>IF(Backend!AT70="", "", Backend!AT70)</f>
        <v>0.64529440000000005</v>
      </c>
      <c r="AT43">
        <f>IF(Backend!AU70="", "", Backend!AU70)</f>
        <v>0.20104805000000001</v>
      </c>
      <c r="AU43">
        <f>IF(Backend!AV70="", "", Backend!AV70)</f>
        <v>0.41878949999999998</v>
      </c>
      <c r="AV43">
        <f>IF(Backend!AW70="", "", Backend!AW70)</f>
        <v>0.2974</v>
      </c>
      <c r="AW43">
        <f>IF(Backend!AX70="", "", Backend!AX70)</f>
        <v>0.58187880000000003</v>
      </c>
      <c r="AX43">
        <f>IF(Backend!AY70="", "", Backend!AY70)</f>
        <v>0.82033690000000004</v>
      </c>
      <c r="AY43">
        <f>IF(Backend!AZ70="", "", Backend!AZ70)</f>
        <v>0.63360702999999996</v>
      </c>
      <c r="AZ43">
        <f>IF(Backend!BA70="", "", Backend!BA70)</f>
        <v>0.60648740000000001</v>
      </c>
      <c r="BA43">
        <f>IF(Backend!BB70="", "", Backend!BB70)</f>
        <v>-0.17033845</v>
      </c>
      <c r="BB43">
        <f>IF(Backend!BC70="", "", Backend!BC70)</f>
        <v>0.51545375999999998</v>
      </c>
      <c r="BC43">
        <f>IF(Backend!BD70="", "", Backend!BD70)</f>
        <v>0.47868719999999998</v>
      </c>
      <c r="BD43">
        <f>IF(Backend!BE70="", "", Backend!BE70)</f>
        <v>-6.5486879999999997E-2</v>
      </c>
      <c r="BE43">
        <f>IF(Backend!BF70="", "", Backend!BF70)</f>
        <v>-0.40137365000000003</v>
      </c>
      <c r="BF43">
        <f>IF(Backend!BG70="", "", Backend!BG70)</f>
        <v>-0.32055539999999999</v>
      </c>
      <c r="BG43">
        <f>IF(Backend!BH70="", "", Backend!BH70)</f>
        <v>-2.8570352E-2</v>
      </c>
      <c r="BH43">
        <f>IF(Backend!BI70="", "", Backend!BI70)</f>
        <v>-0.27594819999999998</v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>Samsung Electronics Co Ltd Pfd  Non-Voting</v>
      </c>
      <c r="B44">
        <f>IF(Backend!C71="", "", Backend!C71)</f>
        <v>0.42854799999999998</v>
      </c>
      <c r="C44">
        <f>IF(Backend!D71="", "", Backend!D71)</f>
        <v>0.79123706000000005</v>
      </c>
      <c r="D44">
        <f>IF(Backend!E71="", "", Backend!E71)</f>
        <v>0.66681570000000001</v>
      </c>
      <c r="E44">
        <f>IF(Backend!F71="", "", Backend!F71)</f>
        <v>0.81997169999999997</v>
      </c>
      <c r="F44">
        <f>IF(Backend!G71="", "", Backend!G71)</f>
        <v>8.8859684999999994E-2</v>
      </c>
      <c r="G44">
        <f>IF(Backend!H71="", "", Backend!H71)</f>
        <v>0.78338640000000004</v>
      </c>
      <c r="H44">
        <f>IF(Backend!I71="", "", Backend!I71)</f>
        <v>0.24027467999999999</v>
      </c>
      <c r="I44">
        <f>IF(Backend!J71="", "", Backend!J71)</f>
        <v>0.70350975000000004</v>
      </c>
      <c r="J44">
        <f>IF(Backend!K71="", "", Backend!K71)</f>
        <v>-0.68108800000000003</v>
      </c>
      <c r="K44">
        <f>IF(Backend!L71="", "", Backend!L71)</f>
        <v>0.62797539999999996</v>
      </c>
      <c r="L44">
        <f>IF(Backend!M71="", "", Backend!M71)</f>
        <v>0.62451029999999996</v>
      </c>
      <c r="M44">
        <f>IF(Backend!N71="", "", Backend!N71)</f>
        <v>0.22595982000000001</v>
      </c>
      <c r="N44">
        <f>IF(Backend!O71="", "", Backend!O71)</f>
        <v>0.7040341</v>
      </c>
      <c r="O44">
        <f>IF(Backend!P71="", "", Backend!P71)</f>
        <v>-0.36009740000000001</v>
      </c>
      <c r="P44">
        <f>IF(Backend!Q71="", "", Backend!Q71)</f>
        <v>0.84203534999999996</v>
      </c>
      <c r="Q44">
        <f>IF(Backend!R71="", "", Backend!R71)</f>
        <v>0.75496965999999999</v>
      </c>
      <c r="R44">
        <f>IF(Backend!S71="", "", Backend!S71)</f>
        <v>0.82402396</v>
      </c>
      <c r="S44">
        <f>IF(Backend!T71="", "", Backend!T71)</f>
        <v>-0.15323766</v>
      </c>
      <c r="T44">
        <f>IF(Backend!U71="", "", Backend!U71)</f>
        <v>0.52157503000000005</v>
      </c>
      <c r="U44">
        <f>IF(Backend!V71="", "", Backend!V71)</f>
        <v>0.55800570000000005</v>
      </c>
      <c r="V44">
        <f>IF(Backend!W71="", "", Backend!W71)</f>
        <v>0.8559213</v>
      </c>
      <c r="W44">
        <f>IF(Backend!X71="", "", Backend!X71)</f>
        <v>0.73694999999999999</v>
      </c>
      <c r="X44">
        <f>IF(Backend!Y71="", "", Backend!Y71)</f>
        <v>0.75838090000000002</v>
      </c>
      <c r="Y44">
        <f>IF(Backend!Z71="", "", Backend!Z71)</f>
        <v>0.52897669999999997</v>
      </c>
      <c r="Z44">
        <f>IF(Backend!AA71="", "", Backend!AA71)</f>
        <v>-0.68608665000000002</v>
      </c>
      <c r="AA44">
        <f>IF(Backend!AB71="", "", Backend!AB71)</f>
        <v>0.51917009999999997</v>
      </c>
      <c r="AB44">
        <f>IF(Backend!AC71="", "", Backend!AC71)</f>
        <v>-0.72126809999999997</v>
      </c>
      <c r="AC44">
        <f>IF(Backend!AD71="", "", Backend!AD71)</f>
        <v>0.49965018</v>
      </c>
      <c r="AD44">
        <f>IF(Backend!AE71="", "", Backend!AE71)</f>
        <v>-0.69792189999999998</v>
      </c>
      <c r="AE44">
        <f>IF(Backend!AF71="", "", Backend!AF71)</f>
        <v>0.63920840000000001</v>
      </c>
      <c r="AF44">
        <f>IF(Backend!AG71="", "", Backend!AG71)</f>
        <v>0.29835751999999999</v>
      </c>
      <c r="AG44">
        <f>IF(Backend!AH71="", "", Backend!AH71)</f>
        <v>-0.75880239999999999</v>
      </c>
      <c r="AH44">
        <f>IF(Backend!AI71="", "", Backend!AI71)</f>
        <v>0.70516109999999999</v>
      </c>
      <c r="AI44">
        <f>IF(Backend!AJ71="", "", Backend!AJ71)</f>
        <v>0.41759859999999999</v>
      </c>
      <c r="AJ44">
        <f>IF(Backend!AK71="", "", Backend!AK71)</f>
        <v>0.66143090000000004</v>
      </c>
      <c r="AK44">
        <f>IF(Backend!AL71="", "", Backend!AL71)</f>
        <v>-0.104221836</v>
      </c>
      <c r="AL44">
        <f>IF(Backend!AM71="", "", Backend!AM71)</f>
        <v>-0.39510640000000002</v>
      </c>
      <c r="AM44">
        <f>IF(Backend!AN71="", "", Backend!AN71)</f>
        <v>0.88422584999999998</v>
      </c>
      <c r="AN44">
        <f>IF(Backend!AO71="", "", Backend!AO71)</f>
        <v>0.90376979999999996</v>
      </c>
      <c r="AO44">
        <f>IF(Backend!AP71="", "", Backend!AP71)</f>
        <v>0.72162959999999998</v>
      </c>
      <c r="AP44">
        <f>IF(Backend!AQ71="", "", Backend!AQ71)</f>
        <v>1</v>
      </c>
      <c r="AQ44">
        <f>IF(Backend!AR71="", "", Backend!AR71)</f>
        <v>-0.38614063999999998</v>
      </c>
      <c r="AR44">
        <f>IF(Backend!AS71="", "", Backend!AS71)</f>
        <v>0.72279490000000002</v>
      </c>
      <c r="AS44">
        <f>IF(Backend!AT71="", "", Backend!AT71)</f>
        <v>0.84327965999999999</v>
      </c>
      <c r="AT44">
        <f>IF(Backend!AU71="", "", Backend!AU71)</f>
        <v>0.68793420000000005</v>
      </c>
      <c r="AU44">
        <f>IF(Backend!AV71="", "", Backend!AV71)</f>
        <v>0.81630415000000001</v>
      </c>
      <c r="AV44">
        <f>IF(Backend!AW71="", "", Backend!AW71)</f>
        <v>-0.26934466000000001</v>
      </c>
      <c r="AW44">
        <f>IF(Backend!AX71="", "", Backend!AX71)</f>
        <v>0.57838389999999995</v>
      </c>
      <c r="AX44">
        <f>IF(Backend!AY71="", "", Backend!AY71)</f>
        <v>0.77843649999999998</v>
      </c>
      <c r="AY44">
        <f>IF(Backend!AZ71="", "", Backend!AZ71)</f>
        <v>0.8208548</v>
      </c>
      <c r="AZ44">
        <f>IF(Backend!BA71="", "", Backend!BA71)</f>
        <v>0.90018432999999998</v>
      </c>
      <c r="BA44">
        <f>IF(Backend!BB71="", "", Backend!BB71)</f>
        <v>-6.7484743999999999E-2</v>
      </c>
      <c r="BB44">
        <f>IF(Backend!BC71="", "", Backend!BC71)</f>
        <v>-6.0432725E-2</v>
      </c>
      <c r="BC44">
        <f>IF(Backend!BD71="", "", Backend!BD71)</f>
        <v>0.81589674999999995</v>
      </c>
      <c r="BD44">
        <f>IF(Backend!BE71="", "", Backend!BE71)</f>
        <v>0.28717290000000001</v>
      </c>
      <c r="BE44">
        <f>IF(Backend!BF71="", "", Backend!BF71)</f>
        <v>0.40924939999999999</v>
      </c>
      <c r="BF44">
        <f>IF(Backend!BG71="", "", Backend!BG71)</f>
        <v>-0.70767075000000002</v>
      </c>
      <c r="BG44">
        <f>IF(Backend!BH71="", "", Backend!BH71)</f>
        <v>-0.52699845999999995</v>
      </c>
      <c r="BH44">
        <f>IF(Backend!BI71="", "", Backend!BI71)</f>
        <v>-0.77629143</v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>Sanofi SA</v>
      </c>
      <c r="B45">
        <f>IF(Backend!C72="", "", Backend!C72)</f>
        <v>-9.8658250000000003E-2</v>
      </c>
      <c r="C45">
        <f>IF(Backend!D72="", "", Backend!D72)</f>
        <v>-0.21771494999999999</v>
      </c>
      <c r="D45">
        <f>IF(Backend!E72="", "", Backend!E72)</f>
        <v>-0.13414323</v>
      </c>
      <c r="E45">
        <f>IF(Backend!F72="", "", Backend!F72)</f>
        <v>-0.24815005000000001</v>
      </c>
      <c r="F45">
        <f>IF(Backend!G72="", "", Backend!G72)</f>
        <v>0.2887787</v>
      </c>
      <c r="G45">
        <f>IF(Backend!H72="", "", Backend!H72)</f>
        <v>-0.17412315</v>
      </c>
      <c r="H45">
        <f>IF(Backend!I72="", "", Backend!I72)</f>
        <v>0.46841811999999999</v>
      </c>
      <c r="I45">
        <f>IF(Backend!J72="", "", Backend!J72)</f>
        <v>-0.27711236</v>
      </c>
      <c r="J45">
        <f>IF(Backend!K72="", "", Backend!K72)</f>
        <v>0.48790931999999998</v>
      </c>
      <c r="K45">
        <f>IF(Backend!L72="", "", Backend!L72)</f>
        <v>-0.41256844999999998</v>
      </c>
      <c r="L45">
        <f>IF(Backend!M72="", "", Backend!M72)</f>
        <v>-0.28833994000000002</v>
      </c>
      <c r="M45">
        <f>IF(Backend!N72="", "", Backend!N72)</f>
        <v>-5.8464996999999998E-2</v>
      </c>
      <c r="N45">
        <f>IF(Backend!O72="", "", Backend!O72)</f>
        <v>-0.23053828000000001</v>
      </c>
      <c r="O45">
        <f>IF(Backend!P72="", "", Backend!P72)</f>
        <v>-0.14581588000000001</v>
      </c>
      <c r="P45">
        <f>IF(Backend!Q72="", "", Backend!Q72)</f>
        <v>-0.34601982999999997</v>
      </c>
      <c r="Q45">
        <f>IF(Backend!R72="", "", Backend!R72)</f>
        <v>5.0942254999999997E-3</v>
      </c>
      <c r="R45">
        <f>IF(Backend!S72="", "", Backend!S72)</f>
        <v>-0.38271486999999998</v>
      </c>
      <c r="S45">
        <f>IF(Backend!T72="", "", Backend!T72)</f>
        <v>4.1763000000000002E-2</v>
      </c>
      <c r="T45">
        <f>IF(Backend!U72="", "", Backend!U72)</f>
        <v>-0.36852884000000002</v>
      </c>
      <c r="U45">
        <f>IF(Backend!V72="", "", Backend!V72)</f>
        <v>-0.47011491999999999</v>
      </c>
      <c r="V45">
        <f>IF(Backend!W72="", "", Backend!W72)</f>
        <v>-0.14393336000000001</v>
      </c>
      <c r="W45">
        <f>IF(Backend!X72="", "", Backend!X72)</f>
        <v>-0.66028403999999996</v>
      </c>
      <c r="X45">
        <f>IF(Backend!Y72="", "", Backend!Y72)</f>
        <v>-8.6868286000000003E-2</v>
      </c>
      <c r="Y45">
        <f>IF(Backend!Z72="", "", Backend!Z72)</f>
        <v>-0.12705462000000001</v>
      </c>
      <c r="Z45">
        <f>IF(Backend!AA72="", "", Backend!AA72)</f>
        <v>0.33602428000000001</v>
      </c>
      <c r="AA45">
        <f>IF(Backend!AB72="", "", Backend!AB72)</f>
        <v>-0.32058779999999998</v>
      </c>
      <c r="AB45">
        <f>IF(Backend!AC72="", "", Backend!AC72)</f>
        <v>0.3162411</v>
      </c>
      <c r="AC45">
        <f>IF(Backend!AD72="", "", Backend!AD72)</f>
        <v>-0.21965171</v>
      </c>
      <c r="AD45">
        <f>IF(Backend!AE72="", "", Backend!AE72)</f>
        <v>0.35940519999999998</v>
      </c>
      <c r="AE45">
        <f>IF(Backend!AF72="", "", Backend!AF72)</f>
        <v>-0.54800444999999998</v>
      </c>
      <c r="AF45">
        <f>IF(Backend!AG72="", "", Backend!AG72)</f>
        <v>-0.27505326000000002</v>
      </c>
      <c r="AG45">
        <f>IF(Backend!AH72="", "", Backend!AH72)</f>
        <v>0.44881632999999999</v>
      </c>
      <c r="AH45">
        <f>IF(Backend!AI72="", "", Backend!AI72)</f>
        <v>-0.21169892000000001</v>
      </c>
      <c r="AI45">
        <f>IF(Backend!AJ72="", "", Backend!AJ72)</f>
        <v>-0.20711507000000001</v>
      </c>
      <c r="AJ45">
        <f>IF(Backend!AK72="", "", Backend!AK72)</f>
        <v>-0.22764993</v>
      </c>
      <c r="AK45">
        <f>IF(Backend!AL72="", "", Backend!AL72)</f>
        <v>0.17234927</v>
      </c>
      <c r="AL45">
        <f>IF(Backend!AM72="", "", Backend!AM72)</f>
        <v>-0.123697534</v>
      </c>
      <c r="AM45">
        <f>IF(Backend!AN72="", "", Backend!AN72)</f>
        <v>-0.38442287000000003</v>
      </c>
      <c r="AN45">
        <f>IF(Backend!AO72="", "", Backend!AO72)</f>
        <v>-0.38521218000000002</v>
      </c>
      <c r="AO45">
        <f>IF(Backend!AP72="", "", Backend!AP72)</f>
        <v>-0.49555125999999999</v>
      </c>
      <c r="AP45">
        <f>IF(Backend!AQ72="", "", Backend!AQ72)</f>
        <v>-0.38614063999999998</v>
      </c>
      <c r="AQ45">
        <f>IF(Backend!AR72="", "", Backend!AR72)</f>
        <v>1</v>
      </c>
      <c r="AR45">
        <f>IF(Backend!AS72="", "", Backend!AS72)</f>
        <v>-0.18939777999999999</v>
      </c>
      <c r="AS45">
        <f>IF(Backend!AT72="", "", Backend!AT72)</f>
        <v>-0.63025516000000004</v>
      </c>
      <c r="AT45">
        <f>IF(Backend!AU72="", "", Backend!AU72)</f>
        <v>-0.22382916999999999</v>
      </c>
      <c r="AU45">
        <f>IF(Backend!AV72="", "", Backend!AV72)</f>
        <v>-0.22113732</v>
      </c>
      <c r="AV45">
        <f>IF(Backend!AW72="", "", Backend!AW72)</f>
        <v>0.19092248000000001</v>
      </c>
      <c r="AW45">
        <f>IF(Backend!AX72="", "", Backend!AX72)</f>
        <v>0.13624616000000001</v>
      </c>
      <c r="AX45">
        <f>IF(Backend!AY72="", "", Backend!AY72)</f>
        <v>-0.29617545000000001</v>
      </c>
      <c r="AY45">
        <f>IF(Backend!AZ72="", "", Backend!AZ72)</f>
        <v>-0.29221752000000001</v>
      </c>
      <c r="AZ45">
        <f>IF(Backend!BA72="", "", Backend!BA72)</f>
        <v>-0.39633474000000002</v>
      </c>
      <c r="BA45">
        <f>IF(Backend!BB72="", "", Backend!BB72)</f>
        <v>9.0255929999999998E-2</v>
      </c>
      <c r="BB45">
        <f>IF(Backend!BC72="", "", Backend!BC72)</f>
        <v>-0.2279023</v>
      </c>
      <c r="BC45">
        <f>IF(Backend!BD72="", "", Backend!BD72)</f>
        <v>-0.38922604999999999</v>
      </c>
      <c r="BD45">
        <f>IF(Backend!BE72="", "", Backend!BE72)</f>
        <v>0.25954026000000002</v>
      </c>
      <c r="BE45">
        <f>IF(Backend!BF72="", "", Backend!BF72)</f>
        <v>0.16163953</v>
      </c>
      <c r="BF45">
        <f>IF(Backend!BG72="", "", Backend!BG72)</f>
        <v>0.51409280000000002</v>
      </c>
      <c r="BG45">
        <f>IF(Backend!BH72="", "", Backend!BH72)</f>
        <v>-1.3685902E-2</v>
      </c>
      <c r="BH45">
        <f>IF(Backend!BI72="", "", Backend!BI72)</f>
        <v>0.23052350999999999</v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>SES SA FDR (Class A)</v>
      </c>
      <c r="B46">
        <f>IF(Backend!C73="", "", Backend!C73)</f>
        <v>0.69242329999999996</v>
      </c>
      <c r="C46">
        <f>IF(Backend!D73="", "", Backend!D73)</f>
        <v>0.39697787000000001</v>
      </c>
      <c r="D46">
        <f>IF(Backend!E73="", "", Backend!E73)</f>
        <v>0.58400549999999996</v>
      </c>
      <c r="E46">
        <f>IF(Backend!F73="", "", Backend!F73)</f>
        <v>0.73502254</v>
      </c>
      <c r="F46">
        <f>IF(Backend!G73="", "", Backend!G73)</f>
        <v>4.8033994000000003E-2</v>
      </c>
      <c r="G46">
        <f>IF(Backend!H73="", "", Backend!H73)</f>
        <v>0.5251479</v>
      </c>
      <c r="H46">
        <f>IF(Backend!I73="", "", Backend!I73)</f>
        <v>0.54886466</v>
      </c>
      <c r="I46">
        <f>IF(Backend!J73="", "", Backend!J73)</f>
        <v>0.9139429</v>
      </c>
      <c r="J46">
        <f>IF(Backend!K73="", "", Backend!K73)</f>
        <v>-0.78352259999999996</v>
      </c>
      <c r="K46">
        <f>IF(Backend!L73="", "", Backend!L73)</f>
        <v>0.89092296000000004</v>
      </c>
      <c r="L46">
        <f>IF(Backend!M73="", "", Backend!M73)</f>
        <v>0.62301580000000001</v>
      </c>
      <c r="M46">
        <f>IF(Backend!N73="", "", Backend!N73)</f>
        <v>8.8699E-2</v>
      </c>
      <c r="N46">
        <f>IF(Backend!O73="", "", Backend!O73)</f>
        <v>0.87439007000000002</v>
      </c>
      <c r="O46">
        <f>IF(Backend!P73="", "", Backend!P73)</f>
        <v>-0.69405269999999997</v>
      </c>
      <c r="P46">
        <f>IF(Backend!Q73="", "", Backend!Q73)</f>
        <v>0.83292836000000003</v>
      </c>
      <c r="Q46">
        <f>IF(Backend!R73="", "", Backend!R73)</f>
        <v>0.80993519999999997</v>
      </c>
      <c r="R46">
        <f>IF(Backend!S73="", "", Backend!S73)</f>
        <v>0.89468099999999995</v>
      </c>
      <c r="S46">
        <f>IF(Backend!T73="", "", Backend!T73)</f>
        <v>-0.67686619999999997</v>
      </c>
      <c r="T46">
        <f>IF(Backend!U73="", "", Backend!U73)</f>
        <v>0.59820070000000003</v>
      </c>
      <c r="U46">
        <f>IF(Backend!V73="", "", Backend!V73)</f>
        <v>5.4220089999999999E-2</v>
      </c>
      <c r="V46">
        <f>IF(Backend!W73="", "", Backend!W73)</f>
        <v>0.48736889999999999</v>
      </c>
      <c r="W46">
        <f>IF(Backend!X73="", "", Backend!X73)</f>
        <v>0.69108590000000003</v>
      </c>
      <c r="X46">
        <f>IF(Backend!Y73="", "", Backend!Y73)</f>
        <v>0.31920415000000002</v>
      </c>
      <c r="Y46">
        <f>IF(Backend!Z73="", "", Backend!Z73)</f>
        <v>0.85525609999999996</v>
      </c>
      <c r="Z46">
        <f>IF(Backend!AA73="", "", Backend!AA73)</f>
        <v>-0.78555363</v>
      </c>
      <c r="AA46">
        <f>IF(Backend!AB73="", "", Backend!AB73)</f>
        <v>0.33177182</v>
      </c>
      <c r="AB46">
        <f>IF(Backend!AC73="", "", Backend!AC73)</f>
        <v>-0.83988976000000004</v>
      </c>
      <c r="AC46">
        <f>IF(Backend!AD73="", "", Backend!AD73)</f>
        <v>-0.11335692999999999</v>
      </c>
      <c r="AD46">
        <f>IF(Backend!AE73="", "", Backend!AE73)</f>
        <v>-0.83597946000000001</v>
      </c>
      <c r="AE46">
        <f>IF(Backend!AF73="", "", Backend!AF73)</f>
        <v>0.63371849999999996</v>
      </c>
      <c r="AF46">
        <f>IF(Backend!AG73="", "", Backend!AG73)</f>
        <v>-0.23835532000000001</v>
      </c>
      <c r="AG46">
        <f>IF(Backend!AH73="", "", Backend!AH73)</f>
        <v>-0.74321499999999996</v>
      </c>
      <c r="AH46">
        <f>IF(Backend!AI73="", "", Backend!AI73)</f>
        <v>0.90945560000000003</v>
      </c>
      <c r="AI46">
        <f>IF(Backend!AJ73="", "", Backend!AJ73)</f>
        <v>-9.9349304999999999E-2</v>
      </c>
      <c r="AJ46">
        <f>IF(Backend!AK73="", "", Backend!AK73)</f>
        <v>0.85288984000000001</v>
      </c>
      <c r="AK46">
        <f>IF(Backend!AL73="", "", Backend!AL73)</f>
        <v>-0.43890053000000001</v>
      </c>
      <c r="AL46">
        <f>IF(Backend!AM73="", "", Backend!AM73)</f>
        <v>-0.81102914000000004</v>
      </c>
      <c r="AM46">
        <f>IF(Backend!AN73="", "", Backend!AN73)</f>
        <v>0.83798899999999998</v>
      </c>
      <c r="AN46">
        <f>IF(Backend!AO73="", "", Backend!AO73)</f>
        <v>0.79196330000000004</v>
      </c>
      <c r="AO46">
        <f>IF(Backend!AP73="", "", Backend!AP73)</f>
        <v>0.18952413000000001</v>
      </c>
      <c r="AP46">
        <f>IF(Backend!AQ73="", "", Backend!AQ73)</f>
        <v>0.72279490000000002</v>
      </c>
      <c r="AQ46">
        <f>IF(Backend!AR73="", "", Backend!AR73)</f>
        <v>-0.18939777999999999</v>
      </c>
      <c r="AR46">
        <f>IF(Backend!AS73="", "", Backend!AS73)</f>
        <v>1</v>
      </c>
      <c r="AS46">
        <f>IF(Backend!AT73="", "", Backend!AT73)</f>
        <v>0.72665703000000004</v>
      </c>
      <c r="AT46">
        <f>IF(Backend!AU73="", "", Backend!AU73)</f>
        <v>0.94440360000000001</v>
      </c>
      <c r="AU46">
        <f>IF(Backend!AV73="", "", Backend!AV73)</f>
        <v>0.90090669999999995</v>
      </c>
      <c r="AV46">
        <f>IF(Backend!AW73="", "", Backend!AW73)</f>
        <v>-0.61046593999999998</v>
      </c>
      <c r="AW46">
        <f>IF(Backend!AX73="", "", Backend!AX73)</f>
        <v>8.5000790000000007E-2</v>
      </c>
      <c r="AX46">
        <f>IF(Backend!AY73="", "", Backend!AY73)</f>
        <v>0.38553363000000002</v>
      </c>
      <c r="AY46">
        <f>IF(Backend!AZ73="", "", Backend!AZ73)</f>
        <v>0.77785254000000004</v>
      </c>
      <c r="AZ46">
        <f>IF(Backend!BA73="", "", Backend!BA73)</f>
        <v>0.82154689999999997</v>
      </c>
      <c r="BA46">
        <f>IF(Backend!BB73="", "", Backend!BB73)</f>
        <v>0.37815514</v>
      </c>
      <c r="BB46">
        <f>IF(Backend!BC73="", "", Backend!BC73)</f>
        <v>-0.63456140000000005</v>
      </c>
      <c r="BC46">
        <f>IF(Backend!BD73="", "", Backend!BD73)</f>
        <v>0.8916442</v>
      </c>
      <c r="BD46">
        <f>IF(Backend!BE73="", "", Backend!BE73)</f>
        <v>0.68992849999999994</v>
      </c>
      <c r="BE46">
        <f>IF(Backend!BF73="", "", Backend!BF73)</f>
        <v>0.68971939999999998</v>
      </c>
      <c r="BF46">
        <f>IF(Backend!BG73="", "", Backend!BG73)</f>
        <v>-0.85210960000000002</v>
      </c>
      <c r="BG46">
        <f>IF(Backend!BH73="", "", Backend!BH73)</f>
        <v>-0.60347260000000003</v>
      </c>
      <c r="BH46">
        <f>IF(Backend!BI73="", "", Backend!BI73)</f>
        <v>-0.9301005</v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>Shinhan Financial Group Co., Ltd.</v>
      </c>
      <c r="B47">
        <f>IF(Backend!C74="", "", Backend!C74)</f>
        <v>0.54481639999999998</v>
      </c>
      <c r="C47">
        <f>IF(Backend!D74="", "", Backend!D74)</f>
        <v>0.60939370000000004</v>
      </c>
      <c r="D47">
        <f>IF(Backend!E74="", "", Backend!E74)</f>
        <v>0.55366530000000003</v>
      </c>
      <c r="E47">
        <f>IF(Backend!F74="", "", Backend!F74)</f>
        <v>0.77595199999999998</v>
      </c>
      <c r="F47">
        <f>IF(Backend!G74="", "", Backend!G74)</f>
        <v>6.4341579999999995E-2</v>
      </c>
      <c r="G47">
        <f>IF(Backend!H74="", "", Backend!H74)</f>
        <v>0.52733770000000002</v>
      </c>
      <c r="H47">
        <f>IF(Backend!I74="", "", Backend!I74)</f>
        <v>0.19976266000000001</v>
      </c>
      <c r="I47">
        <f>IF(Backend!J74="", "", Backend!J74)</f>
        <v>0.80628319999999998</v>
      </c>
      <c r="J47">
        <f>IF(Backend!K74="", "", Backend!K74)</f>
        <v>-0.7538395</v>
      </c>
      <c r="K47">
        <f>IF(Backend!L74="", "", Backend!L74)</f>
        <v>0.81300419999999995</v>
      </c>
      <c r="L47">
        <f>IF(Backend!M74="", "", Backend!M74)</f>
        <v>0.80318844</v>
      </c>
      <c r="M47">
        <f>IF(Backend!N74="", "", Backend!N74)</f>
        <v>0.14093421</v>
      </c>
      <c r="N47">
        <f>IF(Backend!O74="", "", Backend!O74)</f>
        <v>0.75079560000000001</v>
      </c>
      <c r="O47">
        <f>IF(Backend!P74="", "", Backend!P74)</f>
        <v>-0.33195764</v>
      </c>
      <c r="P47">
        <f>IF(Backend!Q74="", "", Backend!Q74)</f>
        <v>0.8776737</v>
      </c>
      <c r="Q47">
        <f>IF(Backend!R74="", "", Backend!R74)</f>
        <v>0.5958521</v>
      </c>
      <c r="R47">
        <f>IF(Backend!S74="", "", Backend!S74)</f>
        <v>0.8312872</v>
      </c>
      <c r="S47">
        <f>IF(Backend!T74="", "", Backend!T74)</f>
        <v>-0.25523390000000001</v>
      </c>
      <c r="T47">
        <f>IF(Backend!U74="", "", Backend!U74)</f>
        <v>0.70959190000000005</v>
      </c>
      <c r="U47">
        <f>IF(Backend!V74="", "", Backend!V74)</f>
        <v>0.58644914999999997</v>
      </c>
      <c r="V47">
        <f>IF(Backend!W74="", "", Backend!W74)</f>
        <v>0.58453697000000004</v>
      </c>
      <c r="W47">
        <f>IF(Backend!X74="", "", Backend!X74)</f>
        <v>0.96828259999999999</v>
      </c>
      <c r="X47">
        <f>IF(Backend!Y74="", "", Backend!Y74)</f>
        <v>0.53825199999999995</v>
      </c>
      <c r="Y47">
        <f>IF(Backend!Z74="", "", Backend!Z74)</f>
        <v>0.55255920000000003</v>
      </c>
      <c r="Z47">
        <f>IF(Backend!AA74="", "", Backend!AA74)</f>
        <v>-0.69934213000000001</v>
      </c>
      <c r="AA47">
        <f>IF(Backend!AB74="", "", Backend!AB74)</f>
        <v>0.65981800000000002</v>
      </c>
      <c r="AB47">
        <f>IF(Backend!AC74="", "", Backend!AC74)</f>
        <v>-0.64977865999999995</v>
      </c>
      <c r="AC47">
        <f>IF(Backend!AD74="", "", Backend!AD74)</f>
        <v>0.29022165999999999</v>
      </c>
      <c r="AD47">
        <f>IF(Backend!AE74="", "", Backend!AE74)</f>
        <v>-0.71067190000000002</v>
      </c>
      <c r="AE47">
        <f>IF(Backend!AF74="", "", Backend!AF74)</f>
        <v>0.71265655999999999</v>
      </c>
      <c r="AF47">
        <f>IF(Backend!AG74="", "", Backend!AG74)</f>
        <v>0.28983386999999999</v>
      </c>
      <c r="AG47">
        <f>IF(Backend!AH74="", "", Backend!AH74)</f>
        <v>-0.82177219999999995</v>
      </c>
      <c r="AH47">
        <f>IF(Backend!AI74="", "", Backend!AI74)</f>
        <v>0.73370694999999997</v>
      </c>
      <c r="AI47">
        <f>IF(Backend!AJ74="", "", Backend!AJ74)</f>
        <v>0.21840631999999999</v>
      </c>
      <c r="AJ47">
        <f>IF(Backend!AK74="", "", Backend!AK74)</f>
        <v>0.63013863999999997</v>
      </c>
      <c r="AK47">
        <f>IF(Backend!AL74="", "", Backend!AL74)</f>
        <v>-0.118490204</v>
      </c>
      <c r="AL47">
        <f>IF(Backend!AM74="", "", Backend!AM74)</f>
        <v>-0.35154363999999999</v>
      </c>
      <c r="AM47">
        <f>IF(Backend!AN74="", "", Backend!AN74)</f>
        <v>0.88310330000000004</v>
      </c>
      <c r="AN47">
        <f>IF(Backend!AO74="", "", Backend!AO74)</f>
        <v>0.89567286000000002</v>
      </c>
      <c r="AO47">
        <f>IF(Backend!AP74="", "", Backend!AP74)</f>
        <v>0.64529440000000005</v>
      </c>
      <c r="AP47">
        <f>IF(Backend!AQ74="", "", Backend!AQ74)</f>
        <v>0.84327965999999999</v>
      </c>
      <c r="AQ47">
        <f>IF(Backend!AR74="", "", Backend!AR74)</f>
        <v>-0.63025516000000004</v>
      </c>
      <c r="AR47">
        <f>IF(Backend!AS74="", "", Backend!AS74)</f>
        <v>0.72665703000000004</v>
      </c>
      <c r="AS47">
        <f>IF(Backend!AT74="", "", Backend!AT74)</f>
        <v>1</v>
      </c>
      <c r="AT47">
        <f>IF(Backend!AU74="", "", Backend!AU74)</f>
        <v>0.72984916</v>
      </c>
      <c r="AU47">
        <f>IF(Backend!AV74="", "", Backend!AV74)</f>
        <v>0.81798755999999995</v>
      </c>
      <c r="AV47">
        <f>IF(Backend!AW74="", "", Backend!AW74)</f>
        <v>-0.24822201999999999</v>
      </c>
      <c r="AW47">
        <f>IF(Backend!AX74="", "", Backend!AX74)</f>
        <v>0.31070623000000003</v>
      </c>
      <c r="AX47">
        <f>IF(Backend!AY74="", "", Backend!AY74)</f>
        <v>0.68151980000000001</v>
      </c>
      <c r="AY47">
        <f>IF(Backend!AZ74="", "", Backend!AZ74)</f>
        <v>0.76541435999999996</v>
      </c>
      <c r="AZ47">
        <f>IF(Backend!BA74="", "", Backend!BA74)</f>
        <v>0.84899044000000001</v>
      </c>
      <c r="BA47">
        <f>IF(Backend!BB74="", "", Backend!BB74)</f>
        <v>3.2896139999999997E-2</v>
      </c>
      <c r="BB47">
        <f>IF(Backend!BC74="", "", Backend!BC74)</f>
        <v>-2.1731146E-2</v>
      </c>
      <c r="BC47">
        <f>IF(Backend!BD74="", "", Backend!BD74)</f>
        <v>0.8758454</v>
      </c>
      <c r="BD47">
        <f>IF(Backend!BE74="", "", Backend!BE74)</f>
        <v>0.27268606000000001</v>
      </c>
      <c r="BE47">
        <f>IF(Backend!BF74="", "", Backend!BF74)</f>
        <v>0.30443016000000001</v>
      </c>
      <c r="BF47">
        <f>IF(Backend!BG74="", "", Backend!BG74)</f>
        <v>-0.84567296999999997</v>
      </c>
      <c r="BG47">
        <f>IF(Backend!BH74="", "", Backend!BH74)</f>
        <v>-0.46322590000000002</v>
      </c>
      <c r="BH47">
        <f>IF(Backend!BI74="", "", Backend!BI74)</f>
        <v>-0.73305105999999998</v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>Societe Generale S.A. Class A</v>
      </c>
      <c r="B48">
        <f>IF(Backend!C75="", "", Backend!C75)</f>
        <v>0.60056936999999999</v>
      </c>
      <c r="C48">
        <f>IF(Backend!D75="", "", Backend!D75)</f>
        <v>0.38012966999999998</v>
      </c>
      <c r="D48">
        <f>IF(Backend!E75="", "", Backend!E75)</f>
        <v>0.57073300000000005</v>
      </c>
      <c r="E48">
        <f>IF(Backend!F75="", "", Backend!F75)</f>
        <v>0.77744013000000001</v>
      </c>
      <c r="F48">
        <f>IF(Backend!G75="", "", Backend!G75)</f>
        <v>5.0620949999999998E-2</v>
      </c>
      <c r="G48">
        <f>IF(Backend!H75="", "", Backend!H75)</f>
        <v>0.49203365999999998</v>
      </c>
      <c r="H48">
        <f>IF(Backend!I75="", "", Backend!I75)</f>
        <v>0.56029373000000005</v>
      </c>
      <c r="I48">
        <f>IF(Backend!J75="", "", Backend!J75)</f>
        <v>0.92887869999999995</v>
      </c>
      <c r="J48">
        <f>IF(Backend!K75="", "", Backend!K75)</f>
        <v>-0.85620320000000005</v>
      </c>
      <c r="K48">
        <f>IF(Backend!L75="", "", Backend!L75)</f>
        <v>0.91451789999999999</v>
      </c>
      <c r="L48">
        <f>IF(Backend!M75="", "", Backend!M75)</f>
        <v>0.65557790000000005</v>
      </c>
      <c r="M48">
        <f>IF(Backend!N75="", "", Backend!N75)</f>
        <v>0.11505598</v>
      </c>
      <c r="N48">
        <f>IF(Backend!O75="", "", Backend!O75)</f>
        <v>0.91828330000000002</v>
      </c>
      <c r="O48">
        <f>IF(Backend!P75="", "", Backend!P75)</f>
        <v>-0.73088759999999997</v>
      </c>
      <c r="P48">
        <f>IF(Backend!Q75="", "", Backend!Q75)</f>
        <v>0.83442384000000003</v>
      </c>
      <c r="Q48">
        <f>IF(Backend!R75="", "", Backend!R75)</f>
        <v>0.79157763999999997</v>
      </c>
      <c r="R48">
        <f>IF(Backend!S75="", "", Backend!S75)</f>
        <v>0.92207130000000004</v>
      </c>
      <c r="S48">
        <f>IF(Backend!T75="", "", Backend!T75)</f>
        <v>-0.74627030000000005</v>
      </c>
      <c r="T48">
        <f>IF(Backend!U75="", "", Backend!U75)</f>
        <v>0.59025704999999995</v>
      </c>
      <c r="U48">
        <f>IF(Backend!V75="", "", Backend!V75)</f>
        <v>0.12307079999999999</v>
      </c>
      <c r="V48">
        <f>IF(Backend!W75="", "", Backend!W75)</f>
        <v>0.42178556</v>
      </c>
      <c r="W48">
        <f>IF(Backend!X75="", "", Backend!X75)</f>
        <v>0.70889959999999996</v>
      </c>
      <c r="X48">
        <f>IF(Backend!Y75="", "", Backend!Y75)</f>
        <v>0.30915864999999998</v>
      </c>
      <c r="Y48">
        <f>IF(Backend!Z75="", "", Backend!Z75)</f>
        <v>0.89487284</v>
      </c>
      <c r="Z48">
        <f>IF(Backend!AA75="", "", Backend!AA75)</f>
        <v>-0.83566799999999997</v>
      </c>
      <c r="AA48">
        <f>IF(Backend!AB75="", "", Backend!AB75)</f>
        <v>0.34089269999999999</v>
      </c>
      <c r="AB48">
        <f>IF(Backend!AC75="", "", Backend!AC75)</f>
        <v>-0.89137370000000005</v>
      </c>
      <c r="AC48">
        <f>IF(Backend!AD75="", "", Backend!AD75)</f>
        <v>-0.12165825</v>
      </c>
      <c r="AD48">
        <f>IF(Backend!AE75="", "", Backend!AE75)</f>
        <v>-0.90802930000000004</v>
      </c>
      <c r="AE48">
        <f>IF(Backend!AF75="", "", Backend!AF75)</f>
        <v>0.71389530000000001</v>
      </c>
      <c r="AF48">
        <f>IF(Backend!AG75="", "", Backend!AG75)</f>
        <v>-0.22465038000000001</v>
      </c>
      <c r="AG48">
        <f>IF(Backend!AH75="", "", Backend!AH75)</f>
        <v>-0.77765905999999996</v>
      </c>
      <c r="AH48">
        <f>IF(Backend!AI75="", "", Backend!AI75)</f>
        <v>0.96015700000000004</v>
      </c>
      <c r="AI48">
        <f>IF(Backend!AJ75="", "", Backend!AJ75)</f>
        <v>-0.15894417</v>
      </c>
      <c r="AJ48">
        <f>IF(Backend!AK75="", "", Backend!AK75)</f>
        <v>0.93450239999999996</v>
      </c>
      <c r="AK48">
        <f>IF(Backend!AL75="", "", Backend!AL75)</f>
        <v>-0.49030757000000003</v>
      </c>
      <c r="AL48">
        <f>IF(Backend!AM75="", "", Backend!AM75)</f>
        <v>-0.8426749</v>
      </c>
      <c r="AM48">
        <f>IF(Backend!AN75="", "", Backend!AN75)</f>
        <v>0.84927832999999997</v>
      </c>
      <c r="AN48">
        <f>IF(Backend!AO75="", "", Backend!AO75)</f>
        <v>0.78131353999999997</v>
      </c>
      <c r="AO48">
        <f>IF(Backend!AP75="", "", Backend!AP75)</f>
        <v>0.20104805000000001</v>
      </c>
      <c r="AP48">
        <f>IF(Backend!AQ75="", "", Backend!AQ75)</f>
        <v>0.68793420000000005</v>
      </c>
      <c r="AQ48">
        <f>IF(Backend!AR75="", "", Backend!AR75)</f>
        <v>-0.22382916999999999</v>
      </c>
      <c r="AR48">
        <f>IF(Backend!AS75="", "", Backend!AS75)</f>
        <v>0.94440360000000001</v>
      </c>
      <c r="AS48">
        <f>IF(Backend!AT75="", "", Backend!AT75)</f>
        <v>0.72984916</v>
      </c>
      <c r="AT48">
        <f>IF(Backend!AU75="", "", Backend!AU75)</f>
        <v>1</v>
      </c>
      <c r="AU48">
        <f>IF(Backend!AV75="", "", Backend!AV75)</f>
        <v>0.92922380000000004</v>
      </c>
      <c r="AV48">
        <f>IF(Backend!AW75="", "", Backend!AW75)</f>
        <v>-0.62144094999999999</v>
      </c>
      <c r="AW48">
        <f>IF(Backend!AX75="", "", Backend!AX75)</f>
        <v>4.8740382999999998E-2</v>
      </c>
      <c r="AX48">
        <f>IF(Backend!AY75="", "", Backend!AY75)</f>
        <v>0.31197851999999998</v>
      </c>
      <c r="AY48">
        <f>IF(Backend!AZ75="", "", Backend!AZ75)</f>
        <v>0.81426430000000005</v>
      </c>
      <c r="AZ48">
        <f>IF(Backend!BA75="", "", Backend!BA75)</f>
        <v>0.80979040000000002</v>
      </c>
      <c r="BA48">
        <f>IF(Backend!BB75="", "", Backend!BB75)</f>
        <v>0.37922360999999999</v>
      </c>
      <c r="BB48">
        <f>IF(Backend!BC75="", "", Backend!BC75)</f>
        <v>-0.61845004999999997</v>
      </c>
      <c r="BC48">
        <f>IF(Backend!BD75="", "", Backend!BD75)</f>
        <v>0.89658123000000001</v>
      </c>
      <c r="BD48">
        <f>IF(Backend!BE75="", "", Backend!BE75)</f>
        <v>0.7748353</v>
      </c>
      <c r="BE48">
        <f>IF(Backend!BF75="", "", Backend!BF75)</f>
        <v>0.75431113999999999</v>
      </c>
      <c r="BF48">
        <f>IF(Backend!BG75="", "", Backend!BG75)</f>
        <v>-0.88514029999999999</v>
      </c>
      <c r="BG48">
        <f>IF(Backend!BH75="", "", Backend!BH75)</f>
        <v>-0.68519600000000003</v>
      </c>
      <c r="BH48">
        <f>IF(Backend!BI75="", "", Backend!BI75)</f>
        <v>-0.92920119999999995</v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>Standard Chartered PLC</v>
      </c>
      <c r="B49">
        <f>IF(Backend!C76="", "", Backend!C76)</f>
        <v>0.58446960000000003</v>
      </c>
      <c r="C49">
        <f>IF(Backend!D76="", "", Backend!D76)</f>
        <v>0.60275906000000001</v>
      </c>
      <c r="D49">
        <f>IF(Backend!E76="", "", Backend!E76)</f>
        <v>0.62651210000000002</v>
      </c>
      <c r="E49">
        <f>IF(Backend!F76="", "", Backend!F76)</f>
        <v>0.90321700000000005</v>
      </c>
      <c r="F49">
        <f>IF(Backend!G76="", "", Backend!G76)</f>
        <v>0.22064540999999999</v>
      </c>
      <c r="G49">
        <f>IF(Backend!H76="", "", Backend!H76)</f>
        <v>0.63095533999999998</v>
      </c>
      <c r="H49">
        <f>IF(Backend!I76="", "", Backend!I76)</f>
        <v>0.57820517000000005</v>
      </c>
      <c r="I49">
        <f>IF(Backend!J76="", "", Backend!J76)</f>
        <v>0.89858377</v>
      </c>
      <c r="J49">
        <f>IF(Backend!K76="", "", Backend!K76)</f>
        <v>-0.7607488</v>
      </c>
      <c r="K49">
        <f>IF(Backend!L76="", "", Backend!L76)</f>
        <v>0.85753285999999995</v>
      </c>
      <c r="L49">
        <f>IF(Backend!M76="", "", Backend!M76)</f>
        <v>0.78806370000000003</v>
      </c>
      <c r="M49">
        <f>IF(Backend!N76="", "", Backend!N76)</f>
        <v>-1.8315399E-2</v>
      </c>
      <c r="N49">
        <f>IF(Backend!O76="", "", Backend!O76)</f>
        <v>0.87210080000000001</v>
      </c>
      <c r="O49">
        <f>IF(Backend!P76="", "", Backend!P76)</f>
        <v>-0.64479584000000001</v>
      </c>
      <c r="P49">
        <f>IF(Backend!Q76="", "", Backend!Q76)</f>
        <v>0.92269659999999998</v>
      </c>
      <c r="Q49">
        <f>IF(Backend!R76="", "", Backend!R76)</f>
        <v>0.82279860000000005</v>
      </c>
      <c r="R49">
        <f>IF(Backend!S76="", "", Backend!S76)</f>
        <v>0.92163145999999996</v>
      </c>
      <c r="S49">
        <f>IF(Backend!T76="", "", Backend!T76)</f>
        <v>-0.50814990000000004</v>
      </c>
      <c r="T49">
        <f>IF(Backend!U76="", "", Backend!U76)</f>
        <v>0.59417140000000002</v>
      </c>
      <c r="U49">
        <f>IF(Backend!V76="", "", Backend!V76)</f>
        <v>0.38357982000000002</v>
      </c>
      <c r="V49">
        <f>IF(Backend!W76="", "", Backend!W76)</f>
        <v>0.59372663000000003</v>
      </c>
      <c r="W49">
        <f>IF(Backend!X76="", "", Backend!X76)</f>
        <v>0.76850799999999997</v>
      </c>
      <c r="X49">
        <f>IF(Backend!Y76="", "", Backend!Y76)</f>
        <v>0.5602203</v>
      </c>
      <c r="Y49">
        <f>IF(Backend!Z76="", "", Backend!Z76)</f>
        <v>0.74646920000000005</v>
      </c>
      <c r="Z49">
        <f>IF(Backend!AA76="", "", Backend!AA76)</f>
        <v>-0.78020659999999997</v>
      </c>
      <c r="AA49">
        <f>IF(Backend!AB76="", "", Backend!AB76)</f>
        <v>0.56515789999999999</v>
      </c>
      <c r="AB49">
        <f>IF(Backend!AC76="", "", Backend!AC76)</f>
        <v>-0.7852635</v>
      </c>
      <c r="AC49">
        <f>IF(Backend!AD76="", "", Backend!AD76)</f>
        <v>0.15612791000000001</v>
      </c>
      <c r="AD49">
        <f>IF(Backend!AE76="", "", Backend!AE76)</f>
        <v>-0.81050869999999997</v>
      </c>
      <c r="AE49">
        <f>IF(Backend!AF76="", "", Backend!AF76)</f>
        <v>0.68720703999999999</v>
      </c>
      <c r="AF49">
        <f>IF(Backend!AG76="", "", Backend!AG76)</f>
        <v>1.1103884E-2</v>
      </c>
      <c r="AG49">
        <f>IF(Backend!AH76="", "", Backend!AH76)</f>
        <v>-0.81805779999999995</v>
      </c>
      <c r="AH49">
        <f>IF(Backend!AI76="", "", Backend!AI76)</f>
        <v>0.90619130000000003</v>
      </c>
      <c r="AI49">
        <f>IF(Backend!AJ76="", "", Backend!AJ76)</f>
        <v>6.1002965999999999E-2</v>
      </c>
      <c r="AJ49">
        <f>IF(Backend!AK76="", "", Backend!AK76)</f>
        <v>0.85757625000000004</v>
      </c>
      <c r="AK49">
        <f>IF(Backend!AL76="", "", Backend!AL76)</f>
        <v>-0.23969293999999999</v>
      </c>
      <c r="AL49">
        <f>IF(Backend!AM76="", "", Backend!AM76)</f>
        <v>-0.72119253999999999</v>
      </c>
      <c r="AM49">
        <f>IF(Backend!AN76="", "", Backend!AN76)</f>
        <v>0.93950959999999994</v>
      </c>
      <c r="AN49">
        <f>IF(Backend!AO76="", "", Backend!AO76)</f>
        <v>0.91343814000000001</v>
      </c>
      <c r="AO49">
        <f>IF(Backend!AP76="", "", Backend!AP76)</f>
        <v>0.41878949999999998</v>
      </c>
      <c r="AP49">
        <f>IF(Backend!AQ76="", "", Backend!AQ76)</f>
        <v>0.81630415000000001</v>
      </c>
      <c r="AQ49">
        <f>IF(Backend!AR76="", "", Backend!AR76)</f>
        <v>-0.22113732</v>
      </c>
      <c r="AR49">
        <f>IF(Backend!AS76="", "", Backend!AS76)</f>
        <v>0.90090669999999995</v>
      </c>
      <c r="AS49">
        <f>IF(Backend!AT76="", "", Backend!AT76)</f>
        <v>0.81798755999999995</v>
      </c>
      <c r="AT49">
        <f>IF(Backend!AU76="", "", Backend!AU76)</f>
        <v>0.92922380000000004</v>
      </c>
      <c r="AU49">
        <f>IF(Backend!AV76="", "", Backend!AV76)</f>
        <v>1</v>
      </c>
      <c r="AV49">
        <f>IF(Backend!AW76="", "", Backend!AW76)</f>
        <v>-0.37735307000000001</v>
      </c>
      <c r="AW49">
        <f>IF(Backend!AX76="", "", Backend!AX76)</f>
        <v>0.30714565999999999</v>
      </c>
      <c r="AX49">
        <f>IF(Backend!AY76="", "", Backend!AY76)</f>
        <v>0.52237619999999996</v>
      </c>
      <c r="AY49">
        <f>IF(Backend!AZ76="", "", Backend!AZ76)</f>
        <v>0.90890590000000004</v>
      </c>
      <c r="AZ49">
        <f>IF(Backend!BA76="", "", Backend!BA76)</f>
        <v>0.88198949999999998</v>
      </c>
      <c r="BA49">
        <f>IF(Backend!BB76="", "", Backend!BB76)</f>
        <v>0.23693539999999999</v>
      </c>
      <c r="BB49">
        <f>IF(Backend!BC76="", "", Backend!BC76)</f>
        <v>-0.38807243000000002</v>
      </c>
      <c r="BC49">
        <f>IF(Backend!BD76="", "", Backend!BD76)</f>
        <v>0.9186531</v>
      </c>
      <c r="BD49">
        <f>IF(Backend!BE76="", "", Backend!BE76)</f>
        <v>0.71476600000000001</v>
      </c>
      <c r="BE49">
        <f>IF(Backend!BF76="", "", Backend!BF76)</f>
        <v>0.73657099999999998</v>
      </c>
      <c r="BF49">
        <f>IF(Backend!BG76="", "", Backend!BG76)</f>
        <v>-0.83605885999999996</v>
      </c>
      <c r="BG49">
        <f>IF(Backend!BH76="", "", Backend!BH76)</f>
        <v>-0.69144159999999999</v>
      </c>
      <c r="BH49">
        <f>IF(Backend!BI76="", "", Backend!BI76)</f>
        <v>-0.90727469999999999</v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>Stanley Black &amp; Decker, Inc.</v>
      </c>
      <c r="B50">
        <f>IF(Backend!C77="", "", Backend!C77)</f>
        <v>-0.25830947999999998</v>
      </c>
      <c r="C50">
        <f>IF(Backend!D77="", "", Backend!D77)</f>
        <v>9.1057144000000007E-2</v>
      </c>
      <c r="D50">
        <f>IF(Backend!E77="", "", Backend!E77)</f>
        <v>-0.19025974000000001</v>
      </c>
      <c r="E50">
        <f>IF(Backend!F77="", "", Backend!F77)</f>
        <v>-0.15933016</v>
      </c>
      <c r="F50">
        <f>IF(Backend!G77="", "", Backend!G77)</f>
        <v>0.51405590000000001</v>
      </c>
      <c r="G50">
        <f>IF(Backend!H77="", "", Backend!H77)</f>
        <v>-0.11001577</v>
      </c>
      <c r="H50">
        <f>IF(Backend!I77="", "", Backend!I77)</f>
        <v>-7.5354270000000001E-2</v>
      </c>
      <c r="I50">
        <f>IF(Backend!J77="", "", Backend!J77)</f>
        <v>-0.51409720000000003</v>
      </c>
      <c r="J50">
        <f>IF(Backend!K77="", "", Backend!K77)</f>
        <v>0.69901997000000005</v>
      </c>
      <c r="K50">
        <f>IF(Backend!L77="", "", Backend!L77)</f>
        <v>-0.5575753</v>
      </c>
      <c r="L50">
        <f>IF(Backend!M77="", "", Backend!M77)</f>
        <v>-6.7430240000000002E-2</v>
      </c>
      <c r="M50">
        <f>IF(Backend!N77="", "", Backend!N77)</f>
        <v>-0.33393747000000001</v>
      </c>
      <c r="N50">
        <f>IF(Backend!O77="", "", Backend!O77)</f>
        <v>-0.60582329999999995</v>
      </c>
      <c r="O50">
        <f>IF(Backend!P77="", "", Backend!P77)</f>
        <v>0.57683419999999996</v>
      </c>
      <c r="P50">
        <f>IF(Backend!Q77="", "", Backend!Q77)</f>
        <v>-0.25592363000000001</v>
      </c>
      <c r="Q50">
        <f>IF(Backend!R77="", "", Backend!R77)</f>
        <v>-0.41290260000000001</v>
      </c>
      <c r="R50">
        <f>IF(Backend!S77="", "", Backend!S77)</f>
        <v>-0.49061265999999998</v>
      </c>
      <c r="S50">
        <f>IF(Backend!T77="", "", Backend!T77)</f>
        <v>0.81780109999999995</v>
      </c>
      <c r="T50">
        <f>IF(Backend!U77="", "", Backend!U77)</f>
        <v>-0.31354209999999999</v>
      </c>
      <c r="U50">
        <f>IF(Backend!V77="", "", Backend!V77)</f>
        <v>0.4022</v>
      </c>
      <c r="V50">
        <f>IF(Backend!W77="", "", Backend!W77)</f>
        <v>-3.9143129999999998E-2</v>
      </c>
      <c r="W50">
        <f>IF(Backend!X77="", "", Backend!X77)</f>
        <v>-0.24090033999999999</v>
      </c>
      <c r="X50">
        <f>IF(Backend!Y77="", "", Backend!Y77)</f>
        <v>0.21370162000000001</v>
      </c>
      <c r="Y50">
        <f>IF(Backend!Z77="", "", Backend!Z77)</f>
        <v>-0.76068910000000001</v>
      </c>
      <c r="Z50">
        <f>IF(Backend!AA77="", "", Backend!AA77)</f>
        <v>0.63385886000000002</v>
      </c>
      <c r="AA50">
        <f>IF(Backend!AB77="", "", Backend!AB77)</f>
        <v>0.36505836000000003</v>
      </c>
      <c r="AB50">
        <f>IF(Backend!AC77="", "", Backend!AC77)</f>
        <v>0.80056846000000004</v>
      </c>
      <c r="AC50">
        <f>IF(Backend!AD77="", "", Backend!AD77)</f>
        <v>0.50495950000000001</v>
      </c>
      <c r="AD50">
        <f>IF(Backend!AE77="", "", Backend!AE77)</f>
        <v>0.75966829999999996</v>
      </c>
      <c r="AE50">
        <f>IF(Backend!AF77="", "", Backend!AF77)</f>
        <v>-0.37722804999999998</v>
      </c>
      <c r="AF50">
        <f>IF(Backend!AG77="", "", Backend!AG77)</f>
        <v>0.69471824000000004</v>
      </c>
      <c r="AG50">
        <f>IF(Backend!AH77="", "", Backend!AH77)</f>
        <v>0.38771107999999999</v>
      </c>
      <c r="AH50">
        <f>IF(Backend!AI77="", "", Backend!AI77)</f>
        <v>-0.62568420000000002</v>
      </c>
      <c r="AI50">
        <f>IF(Backend!AJ77="", "", Backend!AJ77)</f>
        <v>0.41693434000000001</v>
      </c>
      <c r="AJ50">
        <f>IF(Backend!AK77="", "", Backend!AK77)</f>
        <v>-0.59552914000000001</v>
      </c>
      <c r="AK50">
        <f>IF(Backend!AL77="", "", Backend!AL77)</f>
        <v>0.82276755999999995</v>
      </c>
      <c r="AL50">
        <f>IF(Backend!AM77="", "", Backend!AM77)</f>
        <v>0.65793215999999999</v>
      </c>
      <c r="AM50">
        <f>IF(Backend!AN77="", "", Backend!AN77)</f>
        <v>-0.29336800000000002</v>
      </c>
      <c r="AN50">
        <f>IF(Backend!AO77="", "", Backend!AO77)</f>
        <v>-0.18015178000000001</v>
      </c>
      <c r="AO50">
        <f>IF(Backend!AP77="", "", Backend!AP77)</f>
        <v>0.2974</v>
      </c>
      <c r="AP50">
        <f>IF(Backend!AQ77="", "", Backend!AQ77)</f>
        <v>-0.26934466000000001</v>
      </c>
      <c r="AQ50">
        <f>IF(Backend!AR77="", "", Backend!AR77)</f>
        <v>0.19092248000000001</v>
      </c>
      <c r="AR50">
        <f>IF(Backend!AS77="", "", Backend!AS77)</f>
        <v>-0.61046593999999998</v>
      </c>
      <c r="AS50">
        <f>IF(Backend!AT77="", "", Backend!AT77)</f>
        <v>-0.24822201999999999</v>
      </c>
      <c r="AT50">
        <f>IF(Backend!AU77="", "", Backend!AU77)</f>
        <v>-0.62144094999999999</v>
      </c>
      <c r="AU50">
        <f>IF(Backend!AV77="", "", Backend!AV77)</f>
        <v>-0.37735307000000001</v>
      </c>
      <c r="AV50">
        <f>IF(Backend!AW77="", "", Backend!AW77)</f>
        <v>1</v>
      </c>
      <c r="AW50">
        <f>IF(Backend!AX77="", "", Backend!AX77)</f>
        <v>0.41141834999999999</v>
      </c>
      <c r="AX50">
        <f>IF(Backend!AY77="", "", Backend!AY77)</f>
        <v>0.25493574000000002</v>
      </c>
      <c r="AY50">
        <f>IF(Backend!AZ77="", "", Backend!AZ77)</f>
        <v>-0.2138806</v>
      </c>
      <c r="AZ50">
        <f>IF(Backend!BA77="", "", Backend!BA77)</f>
        <v>-0.36345287999999998</v>
      </c>
      <c r="BA50">
        <f>IF(Backend!BB77="", "", Backend!BB77)</f>
        <v>-0.25922519999999999</v>
      </c>
      <c r="BB50">
        <f>IF(Backend!BC77="", "", Backend!BC77)</f>
        <v>0.78866720000000001</v>
      </c>
      <c r="BC50">
        <f>IF(Backend!BD77="", "", Backend!BD77)</f>
        <v>-0.43229457999999998</v>
      </c>
      <c r="BD50">
        <f>IF(Backend!BE77="", "", Backend!BE77)</f>
        <v>-0.37874775999999999</v>
      </c>
      <c r="BE50">
        <f>IF(Backend!BF77="", "", Backend!BF77)</f>
        <v>-0.49762299999999998</v>
      </c>
      <c r="BF50">
        <f>IF(Backend!BG77="", "", Backend!BG77)</f>
        <v>0.59249039999999997</v>
      </c>
      <c r="BG50">
        <f>IF(Backend!BH77="", "", Backend!BH77)</f>
        <v>0.47800641999999999</v>
      </c>
      <c r="BH50">
        <f>IF(Backend!BI77="", "", Backend!BI77)</f>
        <v>0.61863654999999995</v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>Swatch Group Ltd. Bearer</v>
      </c>
      <c r="B51">
        <f>IF(Backend!C78="", "", Backend!C78)</f>
        <v>6.5919149999999996E-2</v>
      </c>
      <c r="C51">
        <f>IF(Backend!D78="", "", Backend!D78)</f>
        <v>0.72487056000000005</v>
      </c>
      <c r="D51">
        <f>IF(Backend!E78="", "", Backend!E78)</f>
        <v>0.4173617</v>
      </c>
      <c r="E51">
        <f>IF(Backend!F78="", "", Backend!F78)</f>
        <v>0.44958967</v>
      </c>
      <c r="F51">
        <f>IF(Backend!G78="", "", Backend!G78)</f>
        <v>0.41091921999999997</v>
      </c>
      <c r="G51">
        <f>IF(Backend!H78="", "", Backend!H78)</f>
        <v>0.59605719999999995</v>
      </c>
      <c r="H51">
        <f>IF(Backend!I78="", "", Backend!I78)</f>
        <v>0.21446982000000001</v>
      </c>
      <c r="I51">
        <f>IF(Backend!J78="", "", Backend!J78)</f>
        <v>0.11324716</v>
      </c>
      <c r="J51">
        <f>IF(Backend!K78="", "", Backend!K78)</f>
        <v>-1.0694057E-2</v>
      </c>
      <c r="K51">
        <f>IF(Backend!L78="", "", Backend!L78)</f>
        <v>-6.7157410000000001E-2</v>
      </c>
      <c r="L51">
        <f>IF(Backend!M78="", "", Backend!M78)</f>
        <v>0.30791913999999998</v>
      </c>
      <c r="M51">
        <f>IF(Backend!N78="", "", Backend!N78)</f>
        <v>4.1452444999999997E-2</v>
      </c>
      <c r="N51">
        <f>IF(Backend!O78="", "", Backend!O78)</f>
        <v>0.10926559600000001</v>
      </c>
      <c r="O51">
        <f>IF(Backend!P78="", "", Backend!P78)</f>
        <v>2.9784954999999998E-2</v>
      </c>
      <c r="P51">
        <f>IF(Backend!Q78="", "", Backend!Q78)</f>
        <v>0.34740959999999999</v>
      </c>
      <c r="Q51">
        <f>IF(Backend!R78="", "", Backend!R78)</f>
        <v>0.39411532999999999</v>
      </c>
      <c r="R51">
        <f>IF(Backend!S78="", "", Backend!S78)</f>
        <v>0.25860354000000002</v>
      </c>
      <c r="S51">
        <f>IF(Backend!T78="", "", Backend!T78)</f>
        <v>0.41057002999999997</v>
      </c>
      <c r="T51">
        <f>IF(Backend!U78="", "", Backend!U78)</f>
        <v>9.475008E-2</v>
      </c>
      <c r="U51">
        <f>IF(Backend!V78="", "", Backend!V78)</f>
        <v>0.53289025999999995</v>
      </c>
      <c r="V51">
        <f>IF(Backend!W78="", "", Backend!W78)</f>
        <v>0.69191340000000001</v>
      </c>
      <c r="W51">
        <f>IF(Backend!X78="", "", Backend!X78)</f>
        <v>0.19171058999999999</v>
      </c>
      <c r="X51">
        <f>IF(Backend!Y78="", "", Backend!Y78)</f>
        <v>0.79015016999999999</v>
      </c>
      <c r="Y51">
        <f>IF(Backend!Z78="", "", Backend!Z78)</f>
        <v>-7.8331689999999995E-2</v>
      </c>
      <c r="Z51">
        <f>IF(Backend!AA78="", "", Backend!AA78)</f>
        <v>1.4186803E-2</v>
      </c>
      <c r="AA51">
        <f>IF(Backend!AB78="", "", Backend!AB78)</f>
        <v>0.45762140000000001</v>
      </c>
      <c r="AB51">
        <f>IF(Backend!AC78="", "", Backend!AC78)</f>
        <v>1.9776287E-2</v>
      </c>
      <c r="AC51">
        <f>IF(Backend!AD78="", "", Backend!AD78)</f>
        <v>0.74113359999999995</v>
      </c>
      <c r="AD51">
        <f>IF(Backend!AE78="", "", Backend!AE78)</f>
        <v>-4.791142E-3</v>
      </c>
      <c r="AE51">
        <f>IF(Backend!AF78="", "", Backend!AF78)</f>
        <v>9.6892950000000005E-2</v>
      </c>
      <c r="AF51">
        <f>IF(Backend!AG78="", "", Backend!AG78)</f>
        <v>0.52294859999999999</v>
      </c>
      <c r="AG51">
        <f>IF(Backend!AH78="", "", Backend!AH78)</f>
        <v>-0.20162435000000001</v>
      </c>
      <c r="AH51">
        <f>IF(Backend!AI78="", "", Backend!AI78)</f>
        <v>8.8221259999999996E-2</v>
      </c>
      <c r="AI51">
        <f>IF(Backend!AJ78="", "", Backend!AJ78)</f>
        <v>0.62267839999999997</v>
      </c>
      <c r="AJ51">
        <f>IF(Backend!AK78="", "", Backend!AK78)</f>
        <v>9.0476303999999994E-2</v>
      </c>
      <c r="AK51">
        <f>IF(Backend!AL78="", "", Backend!AL78)</f>
        <v>0.39303260000000001</v>
      </c>
      <c r="AL51">
        <f>IF(Backend!AM78="", "", Backend!AM78)</f>
        <v>0.13275503</v>
      </c>
      <c r="AM51">
        <f>IF(Backend!AN78="", "", Backend!AN78)</f>
        <v>0.38444993</v>
      </c>
      <c r="AN51">
        <f>IF(Backend!AO78="", "", Backend!AO78)</f>
        <v>0.46874539999999998</v>
      </c>
      <c r="AO51">
        <f>IF(Backend!AP78="", "", Backend!AP78)</f>
        <v>0.58187880000000003</v>
      </c>
      <c r="AP51">
        <f>IF(Backend!AQ78="", "", Backend!AQ78)</f>
        <v>0.57838389999999995</v>
      </c>
      <c r="AQ51">
        <f>IF(Backend!AR78="", "", Backend!AR78)</f>
        <v>0.13624616000000001</v>
      </c>
      <c r="AR51">
        <f>IF(Backend!AS78="", "", Backend!AS78)</f>
        <v>8.5000790000000007E-2</v>
      </c>
      <c r="AS51">
        <f>IF(Backend!AT78="", "", Backend!AT78)</f>
        <v>0.31070623000000003</v>
      </c>
      <c r="AT51">
        <f>IF(Backend!AU78="", "", Backend!AU78)</f>
        <v>4.8740382999999998E-2</v>
      </c>
      <c r="AU51">
        <f>IF(Backend!AV78="", "", Backend!AV78)</f>
        <v>0.30714565999999999</v>
      </c>
      <c r="AV51">
        <f>IF(Backend!AW78="", "", Backend!AW78)</f>
        <v>0.41141834999999999</v>
      </c>
      <c r="AW51">
        <f>IF(Backend!AX78="", "", Backend!AX78)</f>
        <v>1</v>
      </c>
      <c r="AX51">
        <f>IF(Backend!AY78="", "", Backend!AY78)</f>
        <v>0.68208420000000003</v>
      </c>
      <c r="AY51">
        <f>IF(Backend!AZ78="", "", Backend!AZ78)</f>
        <v>0.40814948000000001</v>
      </c>
      <c r="AZ51">
        <f>IF(Backend!BA78="", "", Backend!BA78)</f>
        <v>0.38693735000000001</v>
      </c>
      <c r="BA51">
        <f>IF(Backend!BB78="", "", Backend!BB78)</f>
        <v>-0.29527703</v>
      </c>
      <c r="BB51">
        <f>IF(Backend!BC78="", "", Backend!BC78)</f>
        <v>0.36482179999999997</v>
      </c>
      <c r="BC51">
        <f>IF(Backend!BD78="", "", Backend!BD78)</f>
        <v>0.22230506999999999</v>
      </c>
      <c r="BD51">
        <f>IF(Backend!BE78="", "", Backend!BE78)</f>
        <v>3.9342492999999999E-2</v>
      </c>
      <c r="BE51">
        <f>IF(Backend!BF78="", "", Backend!BF78)</f>
        <v>-0.32497870000000001</v>
      </c>
      <c r="BF51">
        <f>IF(Backend!BG78="", "", Backend!BG78)</f>
        <v>3.5694709999999998E-2</v>
      </c>
      <c r="BG51">
        <f>IF(Backend!BH78="", "", Backend!BH78)</f>
        <v>-0.12544405</v>
      </c>
      <c r="BH51">
        <f>IF(Backend!BI78="", "", Backend!BI78)</f>
        <v>-9.2026986000000005E-2</v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>Ternium S.A. Sponsored ADR</v>
      </c>
      <c r="B52">
        <f>IF(Backend!C79="", "", Backend!C79)</f>
        <v>0.40015692000000003</v>
      </c>
      <c r="C52">
        <f>IF(Backend!D79="", "", Backend!D79)</f>
        <v>0.75392663000000004</v>
      </c>
      <c r="D52">
        <f>IF(Backend!E79="", "", Backend!E79)</f>
        <v>0.64603036999999996</v>
      </c>
      <c r="E52">
        <f>IF(Backend!F79="", "", Backend!F79)</f>
        <v>0.60740229999999995</v>
      </c>
      <c r="F52">
        <f>IF(Backend!G79="", "", Backend!G79)</f>
        <v>0.44975779999999999</v>
      </c>
      <c r="G52">
        <f>IF(Backend!H79="", "", Backend!H79)</f>
        <v>0.68949729999999998</v>
      </c>
      <c r="H52">
        <f>IF(Backend!I79="", "", Backend!I79)</f>
        <v>0.19877051000000001</v>
      </c>
      <c r="I52">
        <f>IF(Backend!J79="", "", Backend!J79)</f>
        <v>0.41279822999999999</v>
      </c>
      <c r="J52">
        <f>IF(Backend!K79="", "", Backend!K79)</f>
        <v>-0.26289289999999998</v>
      </c>
      <c r="K52">
        <f>IF(Backend!L79="", "", Backend!L79)</f>
        <v>0.33238020000000001</v>
      </c>
      <c r="L52">
        <f>IF(Backend!M79="", "", Backend!M79)</f>
        <v>0.42385630000000002</v>
      </c>
      <c r="M52">
        <f>IF(Backend!N79="", "", Backend!N79)</f>
        <v>9.819145E-2</v>
      </c>
      <c r="N52">
        <f>IF(Backend!O79="", "", Backend!O79)</f>
        <v>0.28868060000000001</v>
      </c>
      <c r="O52">
        <f>IF(Backend!P79="", "", Backend!P79)</f>
        <v>4.1166755999999999E-2</v>
      </c>
      <c r="P52">
        <f>IF(Backend!Q79="", "", Backend!Q79)</f>
        <v>0.68819019999999997</v>
      </c>
      <c r="Q52">
        <f>IF(Backend!R79="", "", Backend!R79)</f>
        <v>0.50393449999999995</v>
      </c>
      <c r="R52">
        <f>IF(Backend!S79="", "", Backend!S79)</f>
        <v>0.56917930000000005</v>
      </c>
      <c r="S52">
        <f>IF(Backend!T79="", "", Backend!T79)</f>
        <v>0.27703445999999998</v>
      </c>
      <c r="T52">
        <f>IF(Backend!U79="", "", Backend!U79)</f>
        <v>0.29251152000000002</v>
      </c>
      <c r="U52">
        <f>IF(Backend!V79="", "", Backend!V79)</f>
        <v>0.63964944999999995</v>
      </c>
      <c r="V52">
        <f>IF(Backend!W79="", "", Backend!W79)</f>
        <v>0.77213050000000005</v>
      </c>
      <c r="W52">
        <f>IF(Backend!X79="", "", Backend!X79)</f>
        <v>0.59009230000000001</v>
      </c>
      <c r="X52">
        <f>IF(Backend!Y79="", "", Backend!Y79)</f>
        <v>0.70999100000000004</v>
      </c>
      <c r="Y52">
        <f>IF(Backend!Z79="", "", Backend!Z79)</f>
        <v>0.10796031</v>
      </c>
      <c r="Z52">
        <f>IF(Backend!AA79="", "", Backend!AA79)</f>
        <v>-0.2096507</v>
      </c>
      <c r="AA52">
        <f>IF(Backend!AB79="", "", Backend!AB79)</f>
        <v>0.68449789999999999</v>
      </c>
      <c r="AB52">
        <f>IF(Backend!AC79="", "", Backend!AC79)</f>
        <v>-0.18457434</v>
      </c>
      <c r="AC52">
        <f>IF(Backend!AD79="", "", Backend!AD79)</f>
        <v>0.67257359999999999</v>
      </c>
      <c r="AD52">
        <f>IF(Backend!AE79="", "", Backend!AE79)</f>
        <v>-0.20209399</v>
      </c>
      <c r="AE52">
        <f>IF(Backend!AF79="", "", Backend!AF79)</f>
        <v>0.54615709999999995</v>
      </c>
      <c r="AF52">
        <f>IF(Backend!AG79="", "", Backend!AG79)</f>
        <v>0.66573009999999999</v>
      </c>
      <c r="AG52">
        <f>IF(Backend!AH79="", "", Backend!AH79)</f>
        <v>-0.45837387000000002</v>
      </c>
      <c r="AH52">
        <f>IF(Backend!AI79="", "", Backend!AI79)</f>
        <v>0.30619657</v>
      </c>
      <c r="AI52">
        <f>IF(Backend!AJ79="", "", Backend!AJ79)</f>
        <v>0.71482444000000001</v>
      </c>
      <c r="AJ52">
        <f>IF(Backend!AK79="", "", Backend!AK79)</f>
        <v>0.35816202000000003</v>
      </c>
      <c r="AK52">
        <f>IF(Backend!AL79="", "", Backend!AL79)</f>
        <v>0.30768234</v>
      </c>
      <c r="AL52">
        <f>IF(Backend!AM79="", "", Backend!AM79)</f>
        <v>2.0895917E-2</v>
      </c>
      <c r="AM52">
        <f>IF(Backend!AN79="", "", Backend!AN79)</f>
        <v>0.66816324000000005</v>
      </c>
      <c r="AN52">
        <f>IF(Backend!AO79="", "", Backend!AO79)</f>
        <v>0.77252257000000002</v>
      </c>
      <c r="AO52">
        <f>IF(Backend!AP79="", "", Backend!AP79)</f>
        <v>0.82033690000000004</v>
      </c>
      <c r="AP52">
        <f>IF(Backend!AQ79="", "", Backend!AQ79)</f>
        <v>0.77843649999999998</v>
      </c>
      <c r="AQ52">
        <f>IF(Backend!AR79="", "", Backend!AR79)</f>
        <v>-0.29617545000000001</v>
      </c>
      <c r="AR52">
        <f>IF(Backend!AS79="", "", Backend!AS79)</f>
        <v>0.38553363000000002</v>
      </c>
      <c r="AS52">
        <f>IF(Backend!AT79="", "", Backend!AT79)</f>
        <v>0.68151980000000001</v>
      </c>
      <c r="AT52">
        <f>IF(Backend!AU79="", "", Backend!AU79)</f>
        <v>0.31197851999999998</v>
      </c>
      <c r="AU52">
        <f>IF(Backend!AV79="", "", Backend!AV79)</f>
        <v>0.52237619999999996</v>
      </c>
      <c r="AV52">
        <f>IF(Backend!AW79="", "", Backend!AW79)</f>
        <v>0.25493574000000002</v>
      </c>
      <c r="AW52">
        <f>IF(Backend!AX79="", "", Backend!AX79)</f>
        <v>0.68208420000000003</v>
      </c>
      <c r="AX52">
        <f>IF(Backend!AY79="", "", Backend!AY79)</f>
        <v>1</v>
      </c>
      <c r="AY52">
        <f>IF(Backend!AZ79="", "", Backend!AZ79)</f>
        <v>0.69157904000000003</v>
      </c>
      <c r="AZ52">
        <f>IF(Backend!BA79="", "", Backend!BA79)</f>
        <v>0.67066879999999995</v>
      </c>
      <c r="BA52">
        <f>IF(Backend!BB79="", "", Backend!BB79)</f>
        <v>-4.4038843000000001E-2</v>
      </c>
      <c r="BB52">
        <f>IF(Backend!BC79="", "", Backend!BC79)</f>
        <v>0.32980245000000002</v>
      </c>
      <c r="BC52">
        <f>IF(Backend!BD79="", "", Backend!BD79)</f>
        <v>0.57209690000000002</v>
      </c>
      <c r="BD52">
        <f>IF(Backend!BE79="", "", Backend!BE79)</f>
        <v>6.8726220000000005E-2</v>
      </c>
      <c r="BE52">
        <f>IF(Backend!BF79="", "", Backend!BF79)</f>
        <v>-0.25784447999999999</v>
      </c>
      <c r="BF52">
        <f>IF(Backend!BG79="", "", Backend!BG79)</f>
        <v>-0.33403778000000001</v>
      </c>
      <c r="BG52">
        <f>IF(Backend!BH79="", "", Backend!BH79)</f>
        <v>1.2282247E-2</v>
      </c>
      <c r="BH52">
        <f>IF(Backend!BI79="", "", Backend!BI79)</f>
        <v>-0.35294759999999997</v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>TOKAI RIKA CO., LTD.</v>
      </c>
      <c r="B53">
        <f>IF(Backend!C80="", "", Backend!C80)</f>
        <v>0.51129013000000001</v>
      </c>
      <c r="C53">
        <f>IF(Backend!D80="", "", Backend!D80)</f>
        <v>0.63032573000000003</v>
      </c>
      <c r="D53">
        <f>IF(Backend!E80="", "", Backend!E80)</f>
        <v>0.7548551</v>
      </c>
      <c r="E53">
        <f>IF(Backend!F80="", "", Backend!F80)</f>
        <v>0.88571763000000003</v>
      </c>
      <c r="F53">
        <f>IF(Backend!G80="", "", Backend!G80)</f>
        <v>0.33791443999999998</v>
      </c>
      <c r="G53">
        <f>IF(Backend!H80="", "", Backend!H80)</f>
        <v>0.70594009999999996</v>
      </c>
      <c r="H53">
        <f>IF(Backend!I80="", "", Backend!I80)</f>
        <v>0.47438163</v>
      </c>
      <c r="I53">
        <f>IF(Backend!J80="", "", Backend!J80)</f>
        <v>0.79237013999999995</v>
      </c>
      <c r="J53">
        <f>IF(Backend!K80="", "", Backend!K80)</f>
        <v>-0.64531079999999996</v>
      </c>
      <c r="K53">
        <f>IF(Backend!L80="", "", Backend!L80)</f>
        <v>0.75419559999999997</v>
      </c>
      <c r="L53">
        <f>IF(Backend!M80="", "", Backend!M80)</f>
        <v>0.64500690000000005</v>
      </c>
      <c r="M53">
        <f>IF(Backend!N80="", "", Backend!N80)</f>
        <v>2.7506148000000001E-2</v>
      </c>
      <c r="N53">
        <f>IF(Backend!O80="", "", Backend!O80)</f>
        <v>0.69933575000000003</v>
      </c>
      <c r="O53">
        <f>IF(Backend!P80="", "", Backend!P80)</f>
        <v>-0.48448032000000002</v>
      </c>
      <c r="P53">
        <f>IF(Backend!Q80="", "", Backend!Q80)</f>
        <v>0.90327369999999996</v>
      </c>
      <c r="Q53">
        <f>IF(Backend!R80="", "", Backend!R80)</f>
        <v>0.7409</v>
      </c>
      <c r="R53">
        <f>IF(Backend!S80="", "", Backend!S80)</f>
        <v>0.88648057000000002</v>
      </c>
      <c r="S53">
        <f>IF(Backend!T80="", "", Backend!T80)</f>
        <v>-0.34438651999999997</v>
      </c>
      <c r="T53">
        <f>IF(Backend!U80="", "", Backend!U80)</f>
        <v>0.4787054</v>
      </c>
      <c r="U53">
        <f>IF(Backend!V80="", "", Backend!V80)</f>
        <v>0.47947620000000002</v>
      </c>
      <c r="V53">
        <f>IF(Backend!W80="", "", Backend!W80)</f>
        <v>0.63287895999999999</v>
      </c>
      <c r="W53">
        <f>IF(Backend!X80="", "", Backend!X80)</f>
        <v>0.68582743000000002</v>
      </c>
      <c r="X53">
        <f>IF(Backend!Y80="", "", Backend!Y80)</f>
        <v>0.62367680000000003</v>
      </c>
      <c r="Y53">
        <f>IF(Backend!Z80="", "", Backend!Z80)</f>
        <v>0.54019815000000004</v>
      </c>
      <c r="Z53">
        <f>IF(Backend!AA80="", "", Backend!AA80)</f>
        <v>-0.67653410000000003</v>
      </c>
      <c r="AA53">
        <f>IF(Backend!AB80="", "", Backend!AB80)</f>
        <v>0.60123579999999999</v>
      </c>
      <c r="AB53">
        <f>IF(Backend!AC80="", "", Backend!AC80)</f>
        <v>-0.71811720000000001</v>
      </c>
      <c r="AC53">
        <f>IF(Backend!AD80="", "", Backend!AD80)</f>
        <v>0.36236298</v>
      </c>
      <c r="AD53">
        <f>IF(Backend!AE80="", "", Backend!AE80)</f>
        <v>-0.69403440000000005</v>
      </c>
      <c r="AE53">
        <f>IF(Backend!AF80="", "", Backend!AF80)</f>
        <v>0.78209470000000003</v>
      </c>
      <c r="AF53">
        <f>IF(Backend!AG80="", "", Backend!AG80)</f>
        <v>0.29077380000000003</v>
      </c>
      <c r="AG53">
        <f>IF(Backend!AH80="", "", Backend!AH80)</f>
        <v>-0.75326735</v>
      </c>
      <c r="AH53">
        <f>IF(Backend!AI80="", "", Backend!AI80)</f>
        <v>0.75550390000000001</v>
      </c>
      <c r="AI53">
        <f>IF(Backend!AJ80="", "", Backend!AJ80)</f>
        <v>0.25051862000000003</v>
      </c>
      <c r="AJ53">
        <f>IF(Backend!AK80="", "", Backend!AK80)</f>
        <v>0.85082369999999996</v>
      </c>
      <c r="AK53">
        <f>IF(Backend!AL80="", "", Backend!AL80)</f>
        <v>-0.11081878000000001</v>
      </c>
      <c r="AL53">
        <f>IF(Backend!AM80="", "", Backend!AM80)</f>
        <v>-0.59053785000000003</v>
      </c>
      <c r="AM53">
        <f>IF(Backend!AN80="", "", Backend!AN80)</f>
        <v>0.91724899999999998</v>
      </c>
      <c r="AN53">
        <f>IF(Backend!AO80="", "", Backend!AO80)</f>
        <v>0.91497720000000005</v>
      </c>
      <c r="AO53">
        <f>IF(Backend!AP80="", "", Backend!AP80)</f>
        <v>0.63360702999999996</v>
      </c>
      <c r="AP53">
        <f>IF(Backend!AQ80="", "", Backend!AQ80)</f>
        <v>0.8208548</v>
      </c>
      <c r="AQ53">
        <f>IF(Backend!AR80="", "", Backend!AR80)</f>
        <v>-0.29221752000000001</v>
      </c>
      <c r="AR53">
        <f>IF(Backend!AS80="", "", Backend!AS80)</f>
        <v>0.77785254000000004</v>
      </c>
      <c r="AS53">
        <f>IF(Backend!AT80="", "", Backend!AT80)</f>
        <v>0.76541435999999996</v>
      </c>
      <c r="AT53">
        <f>IF(Backend!AU80="", "", Backend!AU80)</f>
        <v>0.81426430000000005</v>
      </c>
      <c r="AU53">
        <f>IF(Backend!AV80="", "", Backend!AV80)</f>
        <v>0.90890590000000004</v>
      </c>
      <c r="AV53">
        <f>IF(Backend!AW80="", "", Backend!AW80)</f>
        <v>-0.2138806</v>
      </c>
      <c r="AW53">
        <f>IF(Backend!AX80="", "", Backend!AX80)</f>
        <v>0.40814948000000001</v>
      </c>
      <c r="AX53">
        <f>IF(Backend!AY80="", "", Backend!AY80)</f>
        <v>0.69157904000000003</v>
      </c>
      <c r="AY53">
        <f>IF(Backend!AZ80="", "", Backend!AZ80)</f>
        <v>1</v>
      </c>
      <c r="AZ53">
        <f>IF(Backend!BA80="", "", Backend!BA80)</f>
        <v>0.86137699999999995</v>
      </c>
      <c r="BA53">
        <f>IF(Backend!BB80="", "", Backend!BB80)</f>
        <v>0.19917285000000001</v>
      </c>
      <c r="BB53">
        <f>IF(Backend!BC80="", "", Backend!BC80)</f>
        <v>-0.20308407000000001</v>
      </c>
      <c r="BC53">
        <f>IF(Backend!BD80="", "", Backend!BD80)</f>
        <v>0.87022316</v>
      </c>
      <c r="BD53">
        <f>IF(Backend!BE80="", "", Backend!BE80)</f>
        <v>0.59473014000000002</v>
      </c>
      <c r="BE53">
        <f>IF(Backend!BF80="", "", Backend!BF80)</f>
        <v>0.62115520000000002</v>
      </c>
      <c r="BF53">
        <f>IF(Backend!BG80="", "", Backend!BG80)</f>
        <v>-0.75061493999999995</v>
      </c>
      <c r="BG53">
        <f>IF(Backend!BH80="", "", Backend!BH80)</f>
        <v>-0.56483245000000004</v>
      </c>
      <c r="BH53">
        <f>IF(Backend!BI80="", "", Backend!BI80)</f>
        <v>-0.84829533000000001</v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>Valterra Platinum Limited</v>
      </c>
      <c r="B54">
        <f>IF(Backend!C81="", "", Backend!C81)</f>
        <v>0.48768333000000003</v>
      </c>
      <c r="C54">
        <f>IF(Backend!D81="", "", Backend!D81)</f>
        <v>0.76318180000000002</v>
      </c>
      <c r="D54">
        <f>IF(Backend!E81="", "", Backend!E81)</f>
        <v>0.64728160000000001</v>
      </c>
      <c r="E54">
        <f>IF(Backend!F81="", "", Backend!F81)</f>
        <v>0.87418514000000003</v>
      </c>
      <c r="F54">
        <f>IF(Backend!G81="", "", Backend!G81)</f>
        <v>0.11012537999999999</v>
      </c>
      <c r="G54">
        <f>IF(Backend!H81="", "", Backend!H81)</f>
        <v>0.80052029999999996</v>
      </c>
      <c r="H54">
        <f>IF(Backend!I81="", "", Backend!I81)</f>
        <v>0.32001617999999998</v>
      </c>
      <c r="I54">
        <f>IF(Backend!J81="", "", Backend!J81)</f>
        <v>0.8381014</v>
      </c>
      <c r="J54">
        <f>IF(Backend!K81="", "", Backend!K81)</f>
        <v>-0.77629143</v>
      </c>
      <c r="K54">
        <f>IF(Backend!L81="", "", Backend!L81)</f>
        <v>0.73736970000000002</v>
      </c>
      <c r="L54">
        <f>IF(Backend!M81="", "", Backend!M81)</f>
        <v>0.66935164000000003</v>
      </c>
      <c r="M54">
        <f>IF(Backend!N81="", "", Backend!N81)</f>
        <v>0.18731938000000001</v>
      </c>
      <c r="N54">
        <f>IF(Backend!O81="", "", Backend!O81)</f>
        <v>0.76758029999999999</v>
      </c>
      <c r="O54">
        <f>IF(Backend!P81="", "", Backend!P81)</f>
        <v>-0.44588503000000002</v>
      </c>
      <c r="P54">
        <f>IF(Backend!Q81="", "", Backend!Q81)</f>
        <v>0.88588599999999995</v>
      </c>
      <c r="Q54">
        <f>IF(Backend!R81="", "", Backend!R81)</f>
        <v>0.81023120000000004</v>
      </c>
      <c r="R54">
        <f>IF(Backend!S81="", "", Backend!S81)</f>
        <v>0.89243260000000002</v>
      </c>
      <c r="S54">
        <f>IF(Backend!T81="", "", Backend!T81)</f>
        <v>-0.35363393999999998</v>
      </c>
      <c r="T54">
        <f>IF(Backend!U81="", "", Backend!U81)</f>
        <v>0.47355740000000002</v>
      </c>
      <c r="U54">
        <f>IF(Backend!V81="", "", Backend!V81)</f>
        <v>0.48851549999999999</v>
      </c>
      <c r="V54">
        <f>IF(Backend!W81="", "", Backend!W81)</f>
        <v>0.77265620000000002</v>
      </c>
      <c r="W54">
        <f>IF(Backend!X81="", "", Backend!X81)</f>
        <v>0.78691549999999999</v>
      </c>
      <c r="X54">
        <f>IF(Backend!Y81="", "", Backend!Y81)</f>
        <v>0.650926</v>
      </c>
      <c r="Y54">
        <f>IF(Backend!Z81="", "", Backend!Z81)</f>
        <v>0.65836589999999995</v>
      </c>
      <c r="Z54">
        <f>IF(Backend!AA81="", "", Backend!AA81)</f>
        <v>-0.76547929999999997</v>
      </c>
      <c r="AA54">
        <f>IF(Backend!AB81="", "", Backend!AB81)</f>
        <v>0.51009409999999999</v>
      </c>
      <c r="AB54">
        <f>IF(Backend!AC81="", "", Backend!AC81)</f>
        <v>-0.76656000000000002</v>
      </c>
      <c r="AC54">
        <f>IF(Backend!AD81="", "", Backend!AD81)</f>
        <v>0.34679568</v>
      </c>
      <c r="AD54">
        <f>IF(Backend!AE81="", "", Backend!AE81)</f>
        <v>-0.76927875999999995</v>
      </c>
      <c r="AE54">
        <f>IF(Backend!AF81="", "", Backend!AF81)</f>
        <v>0.68015809999999999</v>
      </c>
      <c r="AF54">
        <f>IF(Backend!AG81="", "", Backend!AG81)</f>
        <v>0.13297845</v>
      </c>
      <c r="AG54">
        <f>IF(Backend!AH81="", "", Backend!AH81)</f>
        <v>-0.85095010000000004</v>
      </c>
      <c r="AH54">
        <f>IF(Backend!AI81="", "", Backend!AI81)</f>
        <v>0.78910639999999999</v>
      </c>
      <c r="AI54">
        <f>IF(Backend!AJ81="", "", Backend!AJ81)</f>
        <v>0.29189201999999997</v>
      </c>
      <c r="AJ54">
        <f>IF(Backend!AK81="", "", Backend!AK81)</f>
        <v>0.78157489999999996</v>
      </c>
      <c r="AK54">
        <f>IF(Backend!AL81="", "", Backend!AL81)</f>
        <v>-0.19179456</v>
      </c>
      <c r="AL54">
        <f>IF(Backend!AM81="", "", Backend!AM81)</f>
        <v>-0.52577629999999997</v>
      </c>
      <c r="AM54">
        <f>IF(Backend!AN81="", "", Backend!AN81)</f>
        <v>0.93544130000000003</v>
      </c>
      <c r="AN54">
        <f>IF(Backend!AO81="", "", Backend!AO81)</f>
        <v>0.91449930000000001</v>
      </c>
      <c r="AO54">
        <f>IF(Backend!AP81="", "", Backend!AP81)</f>
        <v>0.60648740000000001</v>
      </c>
      <c r="AP54">
        <f>IF(Backend!AQ81="", "", Backend!AQ81)</f>
        <v>0.90018432999999998</v>
      </c>
      <c r="AQ54">
        <f>IF(Backend!AR81="", "", Backend!AR81)</f>
        <v>-0.39633474000000002</v>
      </c>
      <c r="AR54">
        <f>IF(Backend!AS81="", "", Backend!AS81)</f>
        <v>0.82154689999999997</v>
      </c>
      <c r="AS54">
        <f>IF(Backend!AT81="", "", Backend!AT81)</f>
        <v>0.84899044000000001</v>
      </c>
      <c r="AT54">
        <f>IF(Backend!AU81="", "", Backend!AU81)</f>
        <v>0.80979040000000002</v>
      </c>
      <c r="AU54">
        <f>IF(Backend!AV81="", "", Backend!AV81)</f>
        <v>0.88198949999999998</v>
      </c>
      <c r="AV54">
        <f>IF(Backend!AW81="", "", Backend!AW81)</f>
        <v>-0.36345287999999998</v>
      </c>
      <c r="AW54">
        <f>IF(Backend!AX81="", "", Backend!AX81)</f>
        <v>0.38693735000000001</v>
      </c>
      <c r="AX54">
        <f>IF(Backend!AY81="", "", Backend!AY81)</f>
        <v>0.67066879999999995</v>
      </c>
      <c r="AY54">
        <f>IF(Backend!AZ81="", "", Backend!AZ81)</f>
        <v>0.86137699999999995</v>
      </c>
      <c r="AZ54">
        <f>IF(Backend!BA81="", "", Backend!BA81)</f>
        <v>1</v>
      </c>
      <c r="BA54">
        <f>IF(Backend!BB81="", "", Backend!BB81)</f>
        <v>8.1613859999999996E-2</v>
      </c>
      <c r="BB54">
        <f>IF(Backend!BC81="", "", Backend!BC81)</f>
        <v>-0.25441780000000003</v>
      </c>
      <c r="BC54">
        <f>IF(Backend!BD81="", "", Backend!BD81)</f>
        <v>0.87742555</v>
      </c>
      <c r="BD54">
        <f>IF(Backend!BE81="", "", Backend!BE81)</f>
        <v>0.43211110000000003</v>
      </c>
      <c r="BE54">
        <f>IF(Backend!BF81="", "", Backend!BF81)</f>
        <v>0.58639470000000005</v>
      </c>
      <c r="BF54">
        <f>IF(Backend!BG81="", "", Backend!BG81)</f>
        <v>-0.82931460000000001</v>
      </c>
      <c r="BG54">
        <f>IF(Backend!BH81="", "", Backend!BH81)</f>
        <v>-0.55025869999999999</v>
      </c>
      <c r="BH54">
        <f>IF(Backend!BI81="", "", Backend!BI81)</f>
        <v>-0.83121929999999999</v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>Verizon Communications Inc.</v>
      </c>
      <c r="B55">
        <f>IF(Backend!C82="", "", Backend!C82)</f>
        <v>0.49726756999999999</v>
      </c>
      <c r="C55">
        <f>IF(Backend!D82="", "", Backend!D82)</f>
        <v>-0.2378169</v>
      </c>
      <c r="D55">
        <f>IF(Backend!E82="", "", Backend!E82)</f>
        <v>0.22647436000000001</v>
      </c>
      <c r="E55">
        <f>IF(Backend!F82="", "", Backend!F82)</f>
        <v>4.7559205E-2</v>
      </c>
      <c r="F55">
        <f>IF(Backend!G82="", "", Backend!G82)</f>
        <v>0.24016177999999999</v>
      </c>
      <c r="G55">
        <f>IF(Backend!H82="", "", Backend!H82)</f>
        <v>-6.7969890000000005E-2</v>
      </c>
      <c r="H55">
        <f>IF(Backend!I82="", "", Backend!I82)</f>
        <v>0.39906839999999999</v>
      </c>
      <c r="I55">
        <f>IF(Backend!J82="", "", Backend!J82)</f>
        <v>0.30995097999999999</v>
      </c>
      <c r="J55">
        <f>IF(Backend!K82="", "", Backend!K82)</f>
        <v>-0.11412773</v>
      </c>
      <c r="K55">
        <f>IF(Backend!L82="", "", Backend!L82)</f>
        <v>0.45212524999999998</v>
      </c>
      <c r="L55">
        <f>IF(Backend!M82="", "", Backend!M82)</f>
        <v>-6.0339138E-2</v>
      </c>
      <c r="M55">
        <f>IF(Backend!N82="", "", Backend!N82)</f>
        <v>0.12517357000000001</v>
      </c>
      <c r="N55">
        <f>IF(Backend!O82="", "", Backend!O82)</f>
        <v>0.21150516</v>
      </c>
      <c r="O55">
        <f>IF(Backend!P82="", "", Backend!P82)</f>
        <v>-0.33413022999999997</v>
      </c>
      <c r="P55">
        <f>IF(Backend!Q82="", "", Backend!Q82)</f>
        <v>0.15885257999999999</v>
      </c>
      <c r="Q55">
        <f>IF(Backend!R82="", "", Backend!R82)</f>
        <v>0.24281565999999999</v>
      </c>
      <c r="R55">
        <f>IF(Backend!S82="", "", Backend!S82)</f>
        <v>0.20561846</v>
      </c>
      <c r="S55">
        <f>IF(Backend!T82="", "", Backend!T82)</f>
        <v>-0.42991915000000003</v>
      </c>
      <c r="T55">
        <f>IF(Backend!U82="", "", Backend!U82)</f>
        <v>4.0707069999999998E-2</v>
      </c>
      <c r="U55">
        <f>IF(Backend!V82="", "", Backend!V82)</f>
        <v>-0.43211329999999998</v>
      </c>
      <c r="V55">
        <f>IF(Backend!W82="", "", Backend!W82)</f>
        <v>-0.16089145999999999</v>
      </c>
      <c r="W55">
        <f>IF(Backend!X82="", "", Backend!X82)</f>
        <v>4.6757213999999998E-2</v>
      </c>
      <c r="X55">
        <f>IF(Backend!Y82="", "", Backend!Y82)</f>
        <v>-0.3269841</v>
      </c>
      <c r="Y55">
        <f>IF(Backend!Z82="", "", Backend!Z82)</f>
        <v>0.33205311999999998</v>
      </c>
      <c r="Z55">
        <f>IF(Backend!AA82="", "", Backend!AA82)</f>
        <v>-1.8361981999999999E-2</v>
      </c>
      <c r="AA55">
        <f>IF(Backend!AB82="", "", Backend!AB82)</f>
        <v>-1.4239775E-2</v>
      </c>
      <c r="AB55">
        <f>IF(Backend!AC82="", "", Backend!AC82)</f>
        <v>-0.2250212</v>
      </c>
      <c r="AC55">
        <f>IF(Backend!AD82="", "", Backend!AD82)</f>
        <v>-0.41424975000000003</v>
      </c>
      <c r="AD55">
        <f>IF(Backend!AE82="", "", Backend!AE82)</f>
        <v>-0.16803654000000001</v>
      </c>
      <c r="AE55">
        <f>IF(Backend!AF82="", "", Backend!AF82)</f>
        <v>0.35020425999999999</v>
      </c>
      <c r="AF55">
        <f>IF(Backend!AG82="", "", Backend!AG82)</f>
        <v>-0.17446381</v>
      </c>
      <c r="AG55">
        <f>IF(Backend!AH82="", "", Backend!AH82)</f>
        <v>0.14180039999999999</v>
      </c>
      <c r="AH55">
        <f>IF(Backend!AI82="", "", Backend!AI82)</f>
        <v>0.35402697</v>
      </c>
      <c r="AI55">
        <f>IF(Backend!AJ82="", "", Backend!AJ82)</f>
        <v>-0.26344236999999998</v>
      </c>
      <c r="AJ55">
        <f>IF(Backend!AK82="", "", Backend!AK82)</f>
        <v>0.36681932</v>
      </c>
      <c r="AK55">
        <f>IF(Backend!AL82="", "", Backend!AL82)</f>
        <v>-0.36298564</v>
      </c>
      <c r="AL55">
        <f>IF(Backend!AM82="", "", Backend!AM82)</f>
        <v>-0.41922656000000003</v>
      </c>
      <c r="AM55">
        <f>IF(Backend!AN82="", "", Backend!AN82)</f>
        <v>0.12596532999999999</v>
      </c>
      <c r="AN55">
        <f>IF(Backend!AO82="", "", Backend!AO82)</f>
        <v>5.2585470000000002E-2</v>
      </c>
      <c r="AO55">
        <f>IF(Backend!AP82="", "", Backend!AP82)</f>
        <v>-0.17033845</v>
      </c>
      <c r="AP55">
        <f>IF(Backend!AQ82="", "", Backend!AQ82)</f>
        <v>-6.7484743999999999E-2</v>
      </c>
      <c r="AQ55">
        <f>IF(Backend!AR82="", "", Backend!AR82)</f>
        <v>9.0255929999999998E-2</v>
      </c>
      <c r="AR55">
        <f>IF(Backend!AS82="", "", Backend!AS82)</f>
        <v>0.37815514</v>
      </c>
      <c r="AS55">
        <f>IF(Backend!AT82="", "", Backend!AT82)</f>
        <v>3.2896139999999997E-2</v>
      </c>
      <c r="AT55">
        <f>IF(Backend!AU82="", "", Backend!AU82)</f>
        <v>0.37922360999999999</v>
      </c>
      <c r="AU55">
        <f>IF(Backend!AV82="", "", Backend!AV82)</f>
        <v>0.23693539999999999</v>
      </c>
      <c r="AV55">
        <f>IF(Backend!AW82="", "", Backend!AW82)</f>
        <v>-0.25922519999999999</v>
      </c>
      <c r="AW55">
        <f>IF(Backend!AX82="", "", Backend!AX82)</f>
        <v>-0.29527703</v>
      </c>
      <c r="AX55">
        <f>IF(Backend!AY82="", "", Backend!AY82)</f>
        <v>-4.4038843000000001E-2</v>
      </c>
      <c r="AY55">
        <f>IF(Backend!AZ82="", "", Backend!AZ82)</f>
        <v>0.19917285000000001</v>
      </c>
      <c r="AZ55">
        <f>IF(Backend!BA82="", "", Backend!BA82)</f>
        <v>8.1613859999999996E-2</v>
      </c>
      <c r="BA55">
        <f>IF(Backend!BB82="", "", Backend!BB82)</f>
        <v>1</v>
      </c>
      <c r="BB55">
        <f>IF(Backend!BC82="", "", Backend!BC82)</f>
        <v>-0.43908560000000002</v>
      </c>
      <c r="BC55">
        <f>IF(Backend!BD82="", "", Backend!BD82)</f>
        <v>0.29484399999999999</v>
      </c>
      <c r="BD55">
        <f>IF(Backend!BE82="", "", Backend!BE82)</f>
        <v>0.46084392000000002</v>
      </c>
      <c r="BE55">
        <f>IF(Backend!BF82="", "", Backend!BF82)</f>
        <v>0.25513762000000001</v>
      </c>
      <c r="BF55">
        <f>IF(Backend!BG82="", "", Backend!BG82)</f>
        <v>-0.13809969999999999</v>
      </c>
      <c r="BG55">
        <f>IF(Backend!BH82="", "", Backend!BH82)</f>
        <v>5.3686135000000003E-2</v>
      </c>
      <c r="BH55">
        <f>IF(Backend!BI82="", "", Backend!BI82)</f>
        <v>-0.23086175</v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>Viatris, Inc.</v>
      </c>
      <c r="B56">
        <f>IF(Backend!C83="", "", Backend!C83)</f>
        <v>-0.35247666</v>
      </c>
      <c r="C56">
        <f>IF(Backend!D83="", "", Backend!D83)</f>
        <v>0.19757584</v>
      </c>
      <c r="D56">
        <f>IF(Backend!E83="", "", Backend!E83)</f>
        <v>-0.14739099999999999</v>
      </c>
      <c r="E56">
        <f>IF(Backend!F83="", "", Backend!F83)</f>
        <v>-0.14302831999999999</v>
      </c>
      <c r="F56">
        <f>IF(Backend!G83="", "", Backend!G83)</f>
        <v>0.2147329</v>
      </c>
      <c r="G56">
        <f>IF(Backend!H83="", "", Backend!H83)</f>
        <v>-6.6152274999999996E-2</v>
      </c>
      <c r="H56">
        <f>IF(Backend!I83="", "", Backend!I83)</f>
        <v>-0.40119759999999999</v>
      </c>
      <c r="I56">
        <f>IF(Backend!J83="", "", Backend!J83)</f>
        <v>-0.50683599999999995</v>
      </c>
      <c r="J56">
        <f>IF(Backend!K83="", "", Backend!K83)</f>
        <v>0.48292141999999999</v>
      </c>
      <c r="K56">
        <f>IF(Backend!L83="", "", Backend!L83)</f>
        <v>-0.47771066000000001</v>
      </c>
      <c r="L56">
        <f>IF(Backend!M83="", "", Backend!M83)</f>
        <v>-5.8557487999999998E-2</v>
      </c>
      <c r="M56">
        <f>IF(Backend!N83="", "", Backend!N83)</f>
        <v>-0.16226784999999999</v>
      </c>
      <c r="N56">
        <f>IF(Backend!O83="", "", Backend!O83)</f>
        <v>-0.51835989999999998</v>
      </c>
      <c r="O56">
        <f>IF(Backend!P83="", "", Backend!P83)</f>
        <v>0.70594710000000005</v>
      </c>
      <c r="P56">
        <f>IF(Backend!Q83="", "", Backend!Q83)</f>
        <v>-0.20471228999999999</v>
      </c>
      <c r="Q56">
        <f>IF(Backend!R83="", "", Backend!R83)</f>
        <v>-0.43409932000000001</v>
      </c>
      <c r="R56">
        <f>IF(Backend!S83="", "", Backend!S83)</f>
        <v>-0.38729839999999999</v>
      </c>
      <c r="S56">
        <f>IF(Backend!T83="", "", Backend!T83)</f>
        <v>0.8429238</v>
      </c>
      <c r="T56">
        <f>IF(Backend!U83="", "", Backend!U83)</f>
        <v>-0.22280906</v>
      </c>
      <c r="U56">
        <f>IF(Backend!V83="", "", Backend!V83)</f>
        <v>0.59405529999999995</v>
      </c>
      <c r="V56">
        <f>IF(Backend!W83="", "", Backend!W83)</f>
        <v>7.5254399999999999E-2</v>
      </c>
      <c r="W56">
        <f>IF(Backend!X83="", "", Backend!X83)</f>
        <v>-4.1195929999999999E-2</v>
      </c>
      <c r="X56">
        <f>IF(Backend!Y83="", "", Backend!Y83)</f>
        <v>0.2719145</v>
      </c>
      <c r="Y56">
        <f>IF(Backend!Z83="", "", Backend!Z83)</f>
        <v>-0.73081076</v>
      </c>
      <c r="Z56">
        <f>IF(Backend!AA83="", "", Backend!AA83)</f>
        <v>0.49731857000000002</v>
      </c>
      <c r="AA56">
        <f>IF(Backend!AB83="", "", Backend!AB83)</f>
        <v>0.37644997000000002</v>
      </c>
      <c r="AB56">
        <f>IF(Backend!AC83="", "", Backend!AC83)</f>
        <v>0.61793129999999996</v>
      </c>
      <c r="AC56">
        <f>IF(Backend!AD83="", "", Backend!AD83)</f>
        <v>0.64268840000000005</v>
      </c>
      <c r="AD56">
        <f>IF(Backend!AE83="", "", Backend!AE83)</f>
        <v>0.57363839999999999</v>
      </c>
      <c r="AE56">
        <f>IF(Backend!AF83="", "", Backend!AF83)</f>
        <v>-0.14874166</v>
      </c>
      <c r="AF56">
        <f>IF(Backend!AG83="", "", Backend!AG83)</f>
        <v>0.75501090000000004</v>
      </c>
      <c r="AG56">
        <f>IF(Backend!AH83="", "", Backend!AH83)</f>
        <v>0.26339667999999999</v>
      </c>
      <c r="AH56">
        <f>IF(Backend!AI83="", "", Backend!AI83)</f>
        <v>-0.57571439999999996</v>
      </c>
      <c r="AI56">
        <f>IF(Backend!AJ83="", "", Backend!AJ83)</f>
        <v>0.54823390000000005</v>
      </c>
      <c r="AJ56">
        <f>IF(Backend!AK83="", "", Backend!AK83)</f>
        <v>-0.56112660000000003</v>
      </c>
      <c r="AK56">
        <f>IF(Backend!AL83="", "", Backend!AL83)</f>
        <v>0.70783030000000002</v>
      </c>
      <c r="AL56">
        <f>IF(Backend!AM83="", "", Backend!AM83)</f>
        <v>0.82782299999999998</v>
      </c>
      <c r="AM56">
        <f>IF(Backend!AN83="", "", Backend!AN83)</f>
        <v>-0.20633613000000001</v>
      </c>
      <c r="AN56">
        <f>IF(Backend!AO83="", "", Backend!AO83)</f>
        <v>-9.4350080000000003E-2</v>
      </c>
      <c r="AO56">
        <f>IF(Backend!AP83="", "", Backend!AP83)</f>
        <v>0.51545375999999998</v>
      </c>
      <c r="AP56">
        <f>IF(Backend!AQ83="", "", Backend!AQ83)</f>
        <v>-6.0432725E-2</v>
      </c>
      <c r="AQ56">
        <f>IF(Backend!AR83="", "", Backend!AR83)</f>
        <v>-0.2279023</v>
      </c>
      <c r="AR56">
        <f>IF(Backend!AS83="", "", Backend!AS83)</f>
        <v>-0.63456140000000005</v>
      </c>
      <c r="AS56">
        <f>IF(Backend!AT83="", "", Backend!AT83)</f>
        <v>-2.1731146E-2</v>
      </c>
      <c r="AT56">
        <f>IF(Backend!AU83="", "", Backend!AU83)</f>
        <v>-0.61845004999999997</v>
      </c>
      <c r="AU56">
        <f>IF(Backend!AV83="", "", Backend!AV83)</f>
        <v>-0.38807243000000002</v>
      </c>
      <c r="AV56">
        <f>IF(Backend!AW83="", "", Backend!AW83)</f>
        <v>0.78866720000000001</v>
      </c>
      <c r="AW56">
        <f>IF(Backend!AX83="", "", Backend!AX83)</f>
        <v>0.36482179999999997</v>
      </c>
      <c r="AX56">
        <f>IF(Backend!AY83="", "", Backend!AY83)</f>
        <v>0.32980245000000002</v>
      </c>
      <c r="AY56">
        <f>IF(Backend!AZ83="", "", Backend!AZ83)</f>
        <v>-0.20308407000000001</v>
      </c>
      <c r="AZ56">
        <f>IF(Backend!BA83="", "", Backend!BA83)</f>
        <v>-0.25441780000000003</v>
      </c>
      <c r="BA56">
        <f>IF(Backend!BB83="", "", Backend!BB83)</f>
        <v>-0.43908560000000002</v>
      </c>
      <c r="BB56">
        <f>IF(Backend!BC83="", "", Backend!BC83)</f>
        <v>1</v>
      </c>
      <c r="BC56">
        <f>IF(Backend!BD83="", "", Backend!BD83)</f>
        <v>-0.33221802</v>
      </c>
      <c r="BD56">
        <f>IF(Backend!BE83="", "", Backend!BE83)</f>
        <v>-0.60232929999999996</v>
      </c>
      <c r="BE56">
        <f>IF(Backend!BF83="", "", Backend!BF83)</f>
        <v>-0.65517694000000004</v>
      </c>
      <c r="BF56">
        <f>IF(Backend!BG83="", "", Backend!BG83)</f>
        <v>0.44637494999999999</v>
      </c>
      <c r="BG56">
        <f>IF(Backend!BH83="", "", Backend!BH83)</f>
        <v>0.49156139999999998</v>
      </c>
      <c r="BH56">
        <f>IF(Backend!BI83="", "", Backend!BI83)</f>
        <v>0.58217470000000004</v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>Vodafone Group Public Limited Company</v>
      </c>
      <c r="B57">
        <f>IF(Backend!C84="", "", Backend!C84)</f>
        <v>0.67218149999999999</v>
      </c>
      <c r="C57">
        <f>IF(Backend!D84="", "", Backend!D84)</f>
        <v>0.53893005999999999</v>
      </c>
      <c r="D57">
        <f>IF(Backend!E84="", "", Backend!E84)</f>
        <v>0.66506980000000004</v>
      </c>
      <c r="E57">
        <f>IF(Backend!F84="", "", Backend!F84)</f>
        <v>0.81990099999999999</v>
      </c>
      <c r="F57">
        <f>IF(Backend!G84="", "", Backend!G84)</f>
        <v>0.102156594</v>
      </c>
      <c r="G57">
        <f>IF(Backend!H84="", "", Backend!H84)</f>
        <v>0.52755209999999997</v>
      </c>
      <c r="H57">
        <f>IF(Backend!I84="", "", Backend!I84)</f>
        <v>0.45176914000000001</v>
      </c>
      <c r="I57">
        <f>IF(Backend!J84="", "", Backend!J84)</f>
        <v>0.92897399999999997</v>
      </c>
      <c r="J57">
        <f>IF(Backend!K84="", "", Backend!K84)</f>
        <v>-0.81219739999999996</v>
      </c>
      <c r="K57">
        <f>IF(Backend!L84="", "", Backend!L84)</f>
        <v>0.92446189999999995</v>
      </c>
      <c r="L57">
        <f>IF(Backend!M84="", "", Backend!M84)</f>
        <v>0.71828530000000002</v>
      </c>
      <c r="M57">
        <f>IF(Backend!N84="", "", Backend!N84)</f>
        <v>0.18505651000000001</v>
      </c>
      <c r="N57">
        <f>IF(Backend!O84="", "", Backend!O84)</f>
        <v>0.85867083</v>
      </c>
      <c r="O57">
        <f>IF(Backend!P84="", "", Backend!P84)</f>
        <v>-0.56319649999999999</v>
      </c>
      <c r="P57">
        <f>IF(Backend!Q84="", "", Backend!Q84)</f>
        <v>0.93208469999999999</v>
      </c>
      <c r="Q57">
        <f>IF(Backend!R84="", "", Backend!R84)</f>
        <v>0.77515710000000004</v>
      </c>
      <c r="R57">
        <f>IF(Backend!S84="", "", Backend!S84)</f>
        <v>0.95001245000000001</v>
      </c>
      <c r="S57">
        <f>IF(Backend!T84="", "", Backend!T84)</f>
        <v>-0.50762534000000004</v>
      </c>
      <c r="T57">
        <f>IF(Backend!U84="", "", Backend!U84)</f>
        <v>0.64780789999999999</v>
      </c>
      <c r="U57">
        <f>IF(Backend!V84="", "", Backend!V84)</f>
        <v>0.34806776</v>
      </c>
      <c r="V57">
        <f>IF(Backend!W84="", "", Backend!W84)</f>
        <v>0.5453597</v>
      </c>
      <c r="W57">
        <f>IF(Backend!X84="", "", Backend!X84)</f>
        <v>0.83052420000000005</v>
      </c>
      <c r="X57">
        <f>IF(Backend!Y84="", "", Backend!Y84)</f>
        <v>0.43758076000000001</v>
      </c>
      <c r="Y57">
        <f>IF(Backend!Z84="", "", Backend!Z84)</f>
        <v>0.7635731</v>
      </c>
      <c r="Z57">
        <f>IF(Backend!AA84="", "", Backend!AA84)</f>
        <v>-0.74464684999999997</v>
      </c>
      <c r="AA57">
        <f>IF(Backend!AB84="", "", Backend!AB84)</f>
        <v>0.57602500000000001</v>
      </c>
      <c r="AB57">
        <f>IF(Backend!AC84="", "", Backend!AC84)</f>
        <v>-0.78735670000000002</v>
      </c>
      <c r="AC57">
        <f>IF(Backend!AD84="", "", Backend!AD84)</f>
        <v>0.10623104999999999</v>
      </c>
      <c r="AD57">
        <f>IF(Backend!AE84="", "", Backend!AE84)</f>
        <v>-0.81595253999999995</v>
      </c>
      <c r="AE57">
        <f>IF(Backend!AF84="", "", Backend!AF84)</f>
        <v>0.79375479999999998</v>
      </c>
      <c r="AF57">
        <f>IF(Backend!AG84="", "", Backend!AG84)</f>
        <v>7.6586970000000004E-2</v>
      </c>
      <c r="AG57">
        <f>IF(Backend!AH84="", "", Backend!AH84)</f>
        <v>-0.80537099999999995</v>
      </c>
      <c r="AH57">
        <f>IF(Backend!AI84="", "", Backend!AI84)</f>
        <v>0.89248050000000001</v>
      </c>
      <c r="AI57">
        <f>IF(Backend!AJ84="", "", Backend!AJ84)</f>
        <v>7.2222700000000001E-2</v>
      </c>
      <c r="AJ57">
        <f>IF(Backend!AK84="", "", Backend!AK84)</f>
        <v>0.84612894000000005</v>
      </c>
      <c r="AK57">
        <f>IF(Backend!AL84="", "", Backend!AL84)</f>
        <v>-0.28859213</v>
      </c>
      <c r="AL57">
        <f>IF(Backend!AM84="", "", Backend!AM84)</f>
        <v>-0.61219420000000002</v>
      </c>
      <c r="AM57">
        <f>IF(Backend!AN84="", "", Backend!AN84)</f>
        <v>0.92572880000000002</v>
      </c>
      <c r="AN57">
        <f>IF(Backend!AO84="", "", Backend!AO84)</f>
        <v>0.89744990000000002</v>
      </c>
      <c r="AO57">
        <f>IF(Backend!AP84="", "", Backend!AP84)</f>
        <v>0.47868719999999998</v>
      </c>
      <c r="AP57">
        <f>IF(Backend!AQ84="", "", Backend!AQ84)</f>
        <v>0.81589674999999995</v>
      </c>
      <c r="AQ57">
        <f>IF(Backend!AR84="", "", Backend!AR84)</f>
        <v>-0.38922604999999999</v>
      </c>
      <c r="AR57">
        <f>IF(Backend!AS84="", "", Backend!AS84)</f>
        <v>0.8916442</v>
      </c>
      <c r="AS57">
        <f>IF(Backend!AT84="", "", Backend!AT84)</f>
        <v>0.8758454</v>
      </c>
      <c r="AT57">
        <f>IF(Backend!AU84="", "", Backend!AU84)</f>
        <v>0.89658123000000001</v>
      </c>
      <c r="AU57">
        <f>IF(Backend!AV84="", "", Backend!AV84)</f>
        <v>0.9186531</v>
      </c>
      <c r="AV57">
        <f>IF(Backend!AW84="", "", Backend!AW84)</f>
        <v>-0.43229457999999998</v>
      </c>
      <c r="AW57">
        <f>IF(Backend!AX84="", "", Backend!AX84)</f>
        <v>0.22230506999999999</v>
      </c>
      <c r="AX57">
        <f>IF(Backend!AY84="", "", Backend!AY84)</f>
        <v>0.57209690000000002</v>
      </c>
      <c r="AY57">
        <f>IF(Backend!AZ84="", "", Backend!AZ84)</f>
        <v>0.87022316</v>
      </c>
      <c r="AZ57">
        <f>IF(Backend!BA84="", "", Backend!BA84)</f>
        <v>0.87742555</v>
      </c>
      <c r="BA57">
        <f>IF(Backend!BB84="", "", Backend!BB84)</f>
        <v>0.29484399999999999</v>
      </c>
      <c r="BB57">
        <f>IF(Backend!BC84="", "", Backend!BC84)</f>
        <v>-0.33221802</v>
      </c>
      <c r="BC57">
        <f>IF(Backend!BD84="", "", Backend!BD84)</f>
        <v>1</v>
      </c>
      <c r="BD57">
        <f>IF(Backend!BE84="", "", Backend!BE84)</f>
        <v>0.601078</v>
      </c>
      <c r="BE57">
        <f>IF(Backend!BF84="", "", Backend!BF84)</f>
        <v>0.59331460000000003</v>
      </c>
      <c r="BF57">
        <f>IF(Backend!BG84="", "", Backend!BG84)</f>
        <v>-0.86207246999999998</v>
      </c>
      <c r="BG57">
        <f>IF(Backend!BH84="", "", Backend!BH84)</f>
        <v>-0.51294773999999999</v>
      </c>
      <c r="BH57">
        <f>IF(Backend!BI84="", "", Backend!BI84)</f>
        <v>-0.86459947000000004</v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>Volkswagen AG Pref</v>
      </c>
      <c r="B58">
        <f>IF(Backend!C85="", "", Backend!C85)</f>
        <v>0.46776813</v>
      </c>
      <c r="C58">
        <f>IF(Backend!D85="", "", Backend!D85)</f>
        <v>0.14625034000000001</v>
      </c>
      <c r="D58">
        <f>IF(Backend!E85="", "", Backend!E85)</f>
        <v>0.4268826</v>
      </c>
      <c r="E58">
        <f>IF(Backend!F85="", "", Backend!F85)</f>
        <v>0.56449245999999997</v>
      </c>
      <c r="F58">
        <f>IF(Backend!G85="", "", Backend!G85)</f>
        <v>0.31527492000000001</v>
      </c>
      <c r="G58">
        <f>IF(Backend!H85="", "", Backend!H85)</f>
        <v>0.21606971</v>
      </c>
      <c r="H58">
        <f>IF(Backend!I85="", "", Backend!I85)</f>
        <v>0.83803570000000005</v>
      </c>
      <c r="I58">
        <f>IF(Backend!J85="", "", Backend!J85)</f>
        <v>0.69015820000000005</v>
      </c>
      <c r="J58">
        <f>IF(Backend!K85="", "", Backend!K85)</f>
        <v>-0.47862807000000002</v>
      </c>
      <c r="K58">
        <f>IF(Backend!L85="", "", Backend!L85)</f>
        <v>0.63607395</v>
      </c>
      <c r="L58">
        <f>IF(Backend!M85="", "", Backend!M85)</f>
        <v>0.44983515000000002</v>
      </c>
      <c r="M58">
        <f>IF(Backend!N85="", "", Backend!N85)</f>
        <v>-1.8129415999999999E-2</v>
      </c>
      <c r="N58">
        <f>IF(Backend!O85="", "", Backend!O85)</f>
        <v>0.678226</v>
      </c>
      <c r="O58">
        <f>IF(Backend!P85="", "", Backend!P85)</f>
        <v>-0.73861723999999995</v>
      </c>
      <c r="P58">
        <f>IF(Backend!Q85="", "", Backend!Q85)</f>
        <v>0.54884993999999998</v>
      </c>
      <c r="Q58">
        <f>IF(Backend!R85="", "", Backend!R85)</f>
        <v>0.58679663999999998</v>
      </c>
      <c r="R58">
        <f>IF(Backend!S85="", "", Backend!S85)</f>
        <v>0.60555919999999996</v>
      </c>
      <c r="S58">
        <f>IF(Backend!T85="", "", Backend!T85)</f>
        <v>-0.68272129999999998</v>
      </c>
      <c r="T58">
        <f>IF(Backend!U85="", "", Backend!U85)</f>
        <v>0.28337875000000001</v>
      </c>
      <c r="U58">
        <f>IF(Backend!V85="", "", Backend!V85)</f>
        <v>-7.6502870000000001E-2</v>
      </c>
      <c r="V58">
        <f>IF(Backend!W85="", "", Backend!W85)</f>
        <v>0.13024817</v>
      </c>
      <c r="W58">
        <f>IF(Backend!X85="", "", Backend!X85)</f>
        <v>0.25467917000000001</v>
      </c>
      <c r="X58">
        <f>IF(Backend!Y85="", "", Backend!Y85)</f>
        <v>0.18246432000000001</v>
      </c>
      <c r="Y58">
        <f>IF(Backend!Z85="", "", Backend!Z85)</f>
        <v>0.66847469999999998</v>
      </c>
      <c r="Z58">
        <f>IF(Backend!AA85="", "", Backend!AA85)</f>
        <v>-0.49417040000000001</v>
      </c>
      <c r="AA58">
        <f>IF(Backend!AB85="", "", Backend!AB85)</f>
        <v>0.26764837000000002</v>
      </c>
      <c r="AB58">
        <f>IF(Backend!AC85="", "", Backend!AC85)</f>
        <v>-0.57982254</v>
      </c>
      <c r="AC58">
        <f>IF(Backend!AD85="", "", Backend!AD85)</f>
        <v>-0.23470574999999999</v>
      </c>
      <c r="AD58">
        <f>IF(Backend!AE85="", "", Backend!AE85)</f>
        <v>-0.59091640000000001</v>
      </c>
      <c r="AE58">
        <f>IF(Backend!AF85="", "", Backend!AF85)</f>
        <v>0.45003929999999998</v>
      </c>
      <c r="AF58">
        <f>IF(Backend!AG85="", "", Backend!AG85)</f>
        <v>-0.25467425999999999</v>
      </c>
      <c r="AG58">
        <f>IF(Backend!AH85="", "", Backend!AH85)</f>
        <v>-0.41706591999999998</v>
      </c>
      <c r="AH58">
        <f>IF(Backend!AI85="", "", Backend!AI85)</f>
        <v>0.70345199999999997</v>
      </c>
      <c r="AI58">
        <f>IF(Backend!AJ85="", "", Backend!AJ85)</f>
        <v>-0.33105669999999998</v>
      </c>
      <c r="AJ58">
        <f>IF(Backend!AK85="", "", Backend!AK85)</f>
        <v>0.74023510000000003</v>
      </c>
      <c r="AK58">
        <f>IF(Backend!AL85="", "", Backend!AL85)</f>
        <v>-0.30399734</v>
      </c>
      <c r="AL58">
        <f>IF(Backend!AM85="", "", Backend!AM85)</f>
        <v>-0.77126030000000001</v>
      </c>
      <c r="AM58">
        <f>IF(Backend!AN85="", "", Backend!AN85)</f>
        <v>0.54651680000000002</v>
      </c>
      <c r="AN58">
        <f>IF(Backend!AO85="", "", Backend!AO85)</f>
        <v>0.45704663000000001</v>
      </c>
      <c r="AO58">
        <f>IF(Backend!AP85="", "", Backend!AP85)</f>
        <v>-6.5486879999999997E-2</v>
      </c>
      <c r="AP58">
        <f>IF(Backend!AQ85="", "", Backend!AQ85)</f>
        <v>0.28717290000000001</v>
      </c>
      <c r="AQ58">
        <f>IF(Backend!AR85="", "", Backend!AR85)</f>
        <v>0.25954026000000002</v>
      </c>
      <c r="AR58">
        <f>IF(Backend!AS85="", "", Backend!AS85)</f>
        <v>0.68992849999999994</v>
      </c>
      <c r="AS58">
        <f>IF(Backend!AT85="", "", Backend!AT85)</f>
        <v>0.27268606000000001</v>
      </c>
      <c r="AT58">
        <f>IF(Backend!AU85="", "", Backend!AU85)</f>
        <v>0.7748353</v>
      </c>
      <c r="AU58">
        <f>IF(Backend!AV85="", "", Backend!AV85)</f>
        <v>0.71476600000000001</v>
      </c>
      <c r="AV58">
        <f>IF(Backend!AW85="", "", Backend!AW85)</f>
        <v>-0.37874775999999999</v>
      </c>
      <c r="AW58">
        <f>IF(Backend!AX85="", "", Backend!AX85)</f>
        <v>3.9342492999999999E-2</v>
      </c>
      <c r="AX58">
        <f>IF(Backend!AY85="", "", Backend!AY85)</f>
        <v>6.8726220000000005E-2</v>
      </c>
      <c r="AY58">
        <f>IF(Backend!AZ85="", "", Backend!AZ85)</f>
        <v>0.59473014000000002</v>
      </c>
      <c r="AZ58">
        <f>IF(Backend!BA85="", "", Backend!BA85)</f>
        <v>0.43211110000000003</v>
      </c>
      <c r="BA58">
        <f>IF(Backend!BB85="", "", Backend!BB85)</f>
        <v>0.46084392000000002</v>
      </c>
      <c r="BB58">
        <f>IF(Backend!BC85="", "", Backend!BC85)</f>
        <v>-0.60232929999999996</v>
      </c>
      <c r="BC58">
        <f>IF(Backend!BD85="", "", Backend!BD85)</f>
        <v>0.601078</v>
      </c>
      <c r="BD58">
        <f>IF(Backend!BE85="", "", Backend!BE85)</f>
        <v>1</v>
      </c>
      <c r="BE58">
        <f>IF(Backend!BF85="", "", Backend!BF85)</f>
        <v>0.74607840000000003</v>
      </c>
      <c r="BF58">
        <f>IF(Backend!BG85="", "", Backend!BG85)</f>
        <v>-0.50749915999999995</v>
      </c>
      <c r="BG58">
        <f>IF(Backend!BH85="", "", Backend!BH85)</f>
        <v>-0.56915914999999995</v>
      </c>
      <c r="BH58">
        <f>IF(Backend!BI85="", "", Backend!BI85)</f>
        <v>-0.68219626</v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>Walgreens Boots Alliance, Inc.</v>
      </c>
      <c r="B59">
        <f>IF(Backend!C86="", "", Backend!C86)</f>
        <v>0.44539701999999998</v>
      </c>
      <c r="C59">
        <f>IF(Backend!D86="", "", Backend!D86)</f>
        <v>-9.8202020000000001E-2</v>
      </c>
      <c r="D59">
        <f>IF(Backend!E86="", "", Backend!E86)</f>
        <v>0.21937780000000001</v>
      </c>
      <c r="E59">
        <f>IF(Backend!F86="", "", Backend!F86)</f>
        <v>0.62692840000000005</v>
      </c>
      <c r="F59">
        <f>IF(Backend!G86="", "", Backend!G86)</f>
        <v>-5.2459119999999998E-2</v>
      </c>
      <c r="G59">
        <f>IF(Backend!H86="", "", Backend!H86)</f>
        <v>4.0562040000000001E-2</v>
      </c>
      <c r="H59">
        <f>IF(Backend!I86="", "", Backend!I86)</f>
        <v>0.53146780000000005</v>
      </c>
      <c r="I59">
        <f>IF(Backend!J86="", "", Backend!J86)</f>
        <v>0.69124246</v>
      </c>
      <c r="J59">
        <f>IF(Backend!K86="", "", Backend!K86)</f>
        <v>-0.53663086999999998</v>
      </c>
      <c r="K59">
        <f>IF(Backend!L86="", "", Backend!L86)</f>
        <v>0.61284709999999998</v>
      </c>
      <c r="L59">
        <f>IF(Backend!M86="", "", Backend!M86)</f>
        <v>0.44164305999999998</v>
      </c>
      <c r="M59">
        <f>IF(Backend!N86="", "", Backend!N86)</f>
        <v>-0.11000804</v>
      </c>
      <c r="N59">
        <f>IF(Backend!O86="", "", Backend!O86)</f>
        <v>0.71735490000000002</v>
      </c>
      <c r="O59">
        <f>IF(Backend!P86="", "", Backend!P86)</f>
        <v>-0.75103204999999995</v>
      </c>
      <c r="P59">
        <f>IF(Backend!Q86="", "", Backend!Q86)</f>
        <v>0.56736019999999998</v>
      </c>
      <c r="Q59">
        <f>IF(Backend!R86="", "", Backend!R86)</f>
        <v>0.57712200000000002</v>
      </c>
      <c r="R59">
        <f>IF(Backend!S86="", "", Backend!S86)</f>
        <v>0.67520683999999997</v>
      </c>
      <c r="S59">
        <f>IF(Backend!T86="", "", Backend!T86)</f>
        <v>-0.67423929999999999</v>
      </c>
      <c r="T59">
        <f>IF(Backend!U86="", "", Backend!U86)</f>
        <v>0.44350000000000001</v>
      </c>
      <c r="U59">
        <f>IF(Backend!V86="", "", Backend!V86)</f>
        <v>-0.22683846999999999</v>
      </c>
      <c r="V59">
        <f>IF(Backend!W86="", "", Backend!W86)</f>
        <v>-0.12287465</v>
      </c>
      <c r="W59">
        <f>IF(Backend!X86="", "", Backend!X86)</f>
        <v>0.30808746999999997</v>
      </c>
      <c r="X59">
        <f>IF(Backend!Y86="", "", Backend!Y86)</f>
        <v>-8.2997219999999997E-2</v>
      </c>
      <c r="Y59">
        <f>IF(Backend!Z86="", "", Backend!Z86)</f>
        <v>0.69091135000000004</v>
      </c>
      <c r="Z59">
        <f>IF(Backend!AA86="", "", Backend!AA86)</f>
        <v>-0.66513299999999997</v>
      </c>
      <c r="AA59">
        <f>IF(Backend!AB86="", "", Backend!AB86)</f>
        <v>5.2131914000000001E-2</v>
      </c>
      <c r="AB59">
        <f>IF(Backend!AC86="", "", Backend!AC86)</f>
        <v>-0.65984315000000004</v>
      </c>
      <c r="AC59">
        <f>IF(Backend!AD86="", "", Backend!AD86)</f>
        <v>-0.65796480000000002</v>
      </c>
      <c r="AD59">
        <f>IF(Backend!AE86="", "", Backend!AE86)</f>
        <v>-0.63461230000000002</v>
      </c>
      <c r="AE59">
        <f>IF(Backend!AF86="", "", Backend!AF86)</f>
        <v>0.29555002000000002</v>
      </c>
      <c r="AF59">
        <f>IF(Backend!AG86="", "", Backend!AG86)</f>
        <v>-0.47487797999999998</v>
      </c>
      <c r="AG59">
        <f>IF(Backend!AH86="", "", Backend!AH86)</f>
        <v>-0.5781018</v>
      </c>
      <c r="AH59">
        <f>IF(Backend!AI86="", "", Backend!AI86)</f>
        <v>0.70786190000000004</v>
      </c>
      <c r="AI59">
        <f>IF(Backend!AJ86="", "", Backend!AJ86)</f>
        <v>-0.73391839999999997</v>
      </c>
      <c r="AJ59">
        <f>IF(Backend!AK86="", "", Backend!AK86)</f>
        <v>0.71194804</v>
      </c>
      <c r="AK59">
        <f>IF(Backend!AL86="", "", Backend!AL86)</f>
        <v>-0.32903870000000002</v>
      </c>
      <c r="AL59">
        <f>IF(Backend!AM86="", "", Backend!AM86)</f>
        <v>-0.78207459999999995</v>
      </c>
      <c r="AM59">
        <f>IF(Backend!AN86="", "", Backend!AN86)</f>
        <v>0.56864650000000005</v>
      </c>
      <c r="AN59">
        <f>IF(Backend!AO86="", "", Backend!AO86)</f>
        <v>0.50539330000000005</v>
      </c>
      <c r="AO59">
        <f>IF(Backend!AP86="", "", Backend!AP86)</f>
        <v>-0.40137365000000003</v>
      </c>
      <c r="AP59">
        <f>IF(Backend!AQ86="", "", Backend!AQ86)</f>
        <v>0.40924939999999999</v>
      </c>
      <c r="AQ59">
        <f>IF(Backend!AR86="", "", Backend!AR86)</f>
        <v>0.16163953</v>
      </c>
      <c r="AR59">
        <f>IF(Backend!AS86="", "", Backend!AS86)</f>
        <v>0.68971939999999998</v>
      </c>
      <c r="AS59">
        <f>IF(Backend!AT86="", "", Backend!AT86)</f>
        <v>0.30443016000000001</v>
      </c>
      <c r="AT59">
        <f>IF(Backend!AU86="", "", Backend!AU86)</f>
        <v>0.75431113999999999</v>
      </c>
      <c r="AU59">
        <f>IF(Backend!AV86="", "", Backend!AV86)</f>
        <v>0.73657099999999998</v>
      </c>
      <c r="AV59">
        <f>IF(Backend!AW86="", "", Backend!AW86)</f>
        <v>-0.49762299999999998</v>
      </c>
      <c r="AW59">
        <f>IF(Backend!AX86="", "", Backend!AX86)</f>
        <v>-0.32497870000000001</v>
      </c>
      <c r="AX59">
        <f>IF(Backend!AY86="", "", Backend!AY86)</f>
        <v>-0.25784447999999999</v>
      </c>
      <c r="AY59">
        <f>IF(Backend!AZ86="", "", Backend!AZ86)</f>
        <v>0.62115520000000002</v>
      </c>
      <c r="AZ59">
        <f>IF(Backend!BA86="", "", Backend!BA86)</f>
        <v>0.58639470000000005</v>
      </c>
      <c r="BA59">
        <f>IF(Backend!BB86="", "", Backend!BB86)</f>
        <v>0.25513762000000001</v>
      </c>
      <c r="BB59">
        <f>IF(Backend!BC86="", "", Backend!BC86)</f>
        <v>-0.65517694000000004</v>
      </c>
      <c r="BC59">
        <f>IF(Backend!BD86="", "", Backend!BD86)</f>
        <v>0.59331460000000003</v>
      </c>
      <c r="BD59">
        <f>IF(Backend!BE86="", "", Backend!BE86)</f>
        <v>0.74607840000000003</v>
      </c>
      <c r="BE59">
        <f>IF(Backend!BF86="", "", Backend!BF86)</f>
        <v>1</v>
      </c>
      <c r="BF59">
        <f>IF(Backend!BG86="", "", Backend!BG86)</f>
        <v>-0.63042474000000004</v>
      </c>
      <c r="BG59">
        <f>IF(Backend!BH86="", "", Backend!BH86)</f>
        <v>-0.66276440000000003</v>
      </c>
      <c r="BH59">
        <f>IF(Backend!BI86="", "", Backend!BI86)</f>
        <v>-0.78285349999999998</v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>Western Union Company</v>
      </c>
      <c r="B60">
        <f>IF(Backend!C87="", "", Backend!C87)</f>
        <v>-0.50783940000000005</v>
      </c>
      <c r="C60">
        <f>IF(Backend!D87="", "", Backend!D87)</f>
        <v>-0.39671410000000001</v>
      </c>
      <c r="D60">
        <f>IF(Backend!E87="", "", Backend!E87)</f>
        <v>-0.48991435999999999</v>
      </c>
      <c r="E60">
        <f>IF(Backend!F87="", "", Backend!F87)</f>
        <v>-0.73263920000000005</v>
      </c>
      <c r="F60">
        <f>IF(Backend!G87="", "", Backend!G87)</f>
        <v>7.9390359999999993E-2</v>
      </c>
      <c r="G60">
        <f>IF(Backend!H87="", "", Backend!H87)</f>
        <v>-0.4643292</v>
      </c>
      <c r="H60">
        <f>IF(Backend!I87="", "", Backend!I87)</f>
        <v>-0.29286097999999999</v>
      </c>
      <c r="I60">
        <f>IF(Backend!J87="", "", Backend!J87)</f>
        <v>-0.89077569999999995</v>
      </c>
      <c r="J60">
        <f>IF(Backend!K87="", "", Backend!K87)</f>
        <v>0.88894669999999998</v>
      </c>
      <c r="K60">
        <f>IF(Backend!L87="", "", Backend!L87)</f>
        <v>-0.88556844000000001</v>
      </c>
      <c r="L60">
        <f>IF(Backend!M87="", "", Backend!M87)</f>
        <v>-0.69232519999999997</v>
      </c>
      <c r="M60">
        <f>IF(Backend!N87="", "", Backend!N87)</f>
        <v>-0.12763831</v>
      </c>
      <c r="N60">
        <f>IF(Backend!O87="", "", Backend!O87)</f>
        <v>-0.82610910000000004</v>
      </c>
      <c r="O60">
        <f>IF(Backend!P87="", "", Backend!P87)</f>
        <v>0.57177849999999997</v>
      </c>
      <c r="P60">
        <f>IF(Backend!Q87="", "", Backend!Q87)</f>
        <v>-0.81642760000000003</v>
      </c>
      <c r="Q60">
        <f>IF(Backend!R87="", "", Backend!R87)</f>
        <v>-0.6160369</v>
      </c>
      <c r="R60">
        <f>IF(Backend!S87="", "", Backend!S87)</f>
        <v>-0.88335750000000002</v>
      </c>
      <c r="S60">
        <f>IF(Backend!T87="", "", Backend!T87)</f>
        <v>0.63540209999999997</v>
      </c>
      <c r="T60">
        <f>IF(Backend!U87="", "", Backend!U87)</f>
        <v>-0.63653183000000002</v>
      </c>
      <c r="U60">
        <f>IF(Backend!V87="", "", Backend!V87)</f>
        <v>-0.30097327000000001</v>
      </c>
      <c r="V60">
        <f>IF(Backend!W87="", "", Backend!W87)</f>
        <v>-0.40673313</v>
      </c>
      <c r="W60">
        <f>IF(Backend!X87="", "", Backend!X87)</f>
        <v>-0.83738970000000001</v>
      </c>
      <c r="X60">
        <f>IF(Backend!Y87="", "", Backend!Y87)</f>
        <v>-0.3266888</v>
      </c>
      <c r="Y60">
        <f>IF(Backend!Z87="", "", Backend!Z87)</f>
        <v>-0.77313229999999999</v>
      </c>
      <c r="Z60">
        <f>IF(Backend!AA87="", "", Backend!AA87)</f>
        <v>0.84843736999999997</v>
      </c>
      <c r="AA60">
        <f>IF(Backend!AB87="", "", Backend!AB87)</f>
        <v>-0.36764657000000001</v>
      </c>
      <c r="AB60">
        <f>IF(Backend!AC87="", "", Backend!AC87)</f>
        <v>0.84709290000000004</v>
      </c>
      <c r="AC60">
        <f>IF(Backend!AD87="", "", Backend!AD87)</f>
        <v>5.0192963E-2</v>
      </c>
      <c r="AD60">
        <f>IF(Backend!AE87="", "", Backend!AE87)</f>
        <v>0.87249399999999999</v>
      </c>
      <c r="AE60">
        <f>IF(Backend!AF87="", "", Backend!AF87)</f>
        <v>-0.70563279999999995</v>
      </c>
      <c r="AF60">
        <f>IF(Backend!AG87="", "", Backend!AG87)</f>
        <v>0.11043481500000001</v>
      </c>
      <c r="AG60">
        <f>IF(Backend!AH87="", "", Backend!AH87)</f>
        <v>0.87361133000000002</v>
      </c>
      <c r="AH60">
        <f>IF(Backend!AI87="", "", Backend!AI87)</f>
        <v>-0.83651876000000003</v>
      </c>
      <c r="AI60">
        <f>IF(Backend!AJ87="", "", Backend!AJ87)</f>
        <v>9.1258909999999999E-2</v>
      </c>
      <c r="AJ60">
        <f>IF(Backend!AK87="", "", Backend!AK87)</f>
        <v>-0.81179214</v>
      </c>
      <c r="AK60">
        <f>IF(Backend!AL87="", "", Backend!AL87)</f>
        <v>0.41019030000000001</v>
      </c>
      <c r="AL60">
        <f>IF(Backend!AM87="", "", Backend!AM87)</f>
        <v>0.66005062999999997</v>
      </c>
      <c r="AM60">
        <f>IF(Backend!AN87="", "", Backend!AN87)</f>
        <v>-0.83204734000000002</v>
      </c>
      <c r="AN60">
        <f>IF(Backend!AO87="", "", Backend!AO87)</f>
        <v>-0.80147712999999998</v>
      </c>
      <c r="AO60">
        <f>IF(Backend!AP87="", "", Backend!AP87)</f>
        <v>-0.32055539999999999</v>
      </c>
      <c r="AP60">
        <f>IF(Backend!AQ87="", "", Backend!AQ87)</f>
        <v>-0.70767075000000002</v>
      </c>
      <c r="AQ60">
        <f>IF(Backend!AR87="", "", Backend!AR87)</f>
        <v>0.51409280000000002</v>
      </c>
      <c r="AR60">
        <f>IF(Backend!AS87="", "", Backend!AS87)</f>
        <v>-0.85210960000000002</v>
      </c>
      <c r="AS60">
        <f>IF(Backend!AT87="", "", Backend!AT87)</f>
        <v>-0.84567296999999997</v>
      </c>
      <c r="AT60">
        <f>IF(Backend!AU87="", "", Backend!AU87)</f>
        <v>-0.88514029999999999</v>
      </c>
      <c r="AU60">
        <f>IF(Backend!AV87="", "", Backend!AV87)</f>
        <v>-0.83605885999999996</v>
      </c>
      <c r="AV60">
        <f>IF(Backend!AW87="", "", Backend!AW87)</f>
        <v>0.59249039999999997</v>
      </c>
      <c r="AW60">
        <f>IF(Backend!AX87="", "", Backend!AX87)</f>
        <v>3.5694709999999998E-2</v>
      </c>
      <c r="AX60">
        <f>IF(Backend!AY87="", "", Backend!AY87)</f>
        <v>-0.33403778000000001</v>
      </c>
      <c r="AY60">
        <f>IF(Backend!AZ87="", "", Backend!AZ87)</f>
        <v>-0.75061493999999995</v>
      </c>
      <c r="AZ60">
        <f>IF(Backend!BA87="", "", Backend!BA87)</f>
        <v>-0.82931460000000001</v>
      </c>
      <c r="BA60">
        <f>IF(Backend!BB87="", "", Backend!BB87)</f>
        <v>-0.13809969999999999</v>
      </c>
      <c r="BB60">
        <f>IF(Backend!BC87="", "", Backend!BC87)</f>
        <v>0.44637494999999999</v>
      </c>
      <c r="BC60">
        <f>IF(Backend!BD87="", "", Backend!BD87)</f>
        <v>-0.86207246999999998</v>
      </c>
      <c r="BD60">
        <f>IF(Backend!BE87="", "", Backend!BE87)</f>
        <v>-0.50749915999999995</v>
      </c>
      <c r="BE60">
        <f>IF(Backend!BF87="", "", Backend!BF87)</f>
        <v>-0.63042474000000004</v>
      </c>
      <c r="BF60">
        <f>IF(Backend!BG87="", "", Backend!BG87)</f>
        <v>1</v>
      </c>
      <c r="BG60">
        <f>IF(Backend!BH87="", "", Backend!BH87)</f>
        <v>0.63172470000000003</v>
      </c>
      <c r="BH60">
        <f>IF(Backend!BI87="", "", Backend!BI87)</f>
        <v>0.88342303</v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>John Wiley &amp; Sons, Inc. Class A</v>
      </c>
      <c r="B61">
        <f>IF(Backend!C88="", "", Backend!C88)</f>
        <v>-0.17021926000000001</v>
      </c>
      <c r="C61">
        <f>IF(Backend!D88="", "", Backend!D88)</f>
        <v>-0.34932970000000002</v>
      </c>
      <c r="D61">
        <f>IF(Backend!E88="", "", Backend!E88)</f>
        <v>-0.26208369999999998</v>
      </c>
      <c r="E61">
        <f>IF(Backend!F88="", "", Backend!F88)</f>
        <v>-0.63626486000000004</v>
      </c>
      <c r="F61">
        <f>IF(Backend!G88="", "", Backend!G88)</f>
        <v>4.1033409999999999E-2</v>
      </c>
      <c r="G61">
        <f>IF(Backend!H88="", "", Backend!H88)</f>
        <v>-0.38606066</v>
      </c>
      <c r="H61">
        <f>IF(Backend!I88="", "", Backend!I88)</f>
        <v>-0.42918553999999998</v>
      </c>
      <c r="I61">
        <f>IF(Backend!J88="", "", Backend!J88)</f>
        <v>-0.61893469999999995</v>
      </c>
      <c r="J61">
        <f>IF(Backend!K88="", "", Backend!K88)</f>
        <v>0.57972849999999998</v>
      </c>
      <c r="K61">
        <f>IF(Backend!L88="", "", Backend!L88)</f>
        <v>-0.51710829999999997</v>
      </c>
      <c r="L61">
        <f>IF(Backend!M88="", "", Backend!M88)</f>
        <v>-0.62507135000000003</v>
      </c>
      <c r="M61">
        <f>IF(Backend!N88="", "", Backend!N88)</f>
        <v>0.16343241999999999</v>
      </c>
      <c r="N61">
        <f>IF(Backend!O88="", "", Backend!O88)</f>
        <v>-0.66899050000000004</v>
      </c>
      <c r="O61">
        <f>IF(Backend!P88="", "", Backend!P88)</f>
        <v>0.70504619999999996</v>
      </c>
      <c r="P61">
        <f>IF(Backend!Q88="", "", Backend!Q88)</f>
        <v>-0.52647089999999996</v>
      </c>
      <c r="Q61">
        <f>IF(Backend!R88="", "", Backend!R88)</f>
        <v>-0.60492270000000004</v>
      </c>
      <c r="R61">
        <f>IF(Backend!S88="", "", Backend!S88)</f>
        <v>-0.60853959999999996</v>
      </c>
      <c r="S61">
        <f>IF(Backend!T88="", "", Backend!T88)</f>
        <v>0.56974650000000004</v>
      </c>
      <c r="T61">
        <f>IF(Backend!U88="", "", Backend!U88)</f>
        <v>-0.41975596999999998</v>
      </c>
      <c r="U61">
        <f>IF(Backend!V88="", "", Backend!V88)</f>
        <v>-0.16867112000000001</v>
      </c>
      <c r="V61">
        <f>IF(Backend!W88="", "", Backend!W88)</f>
        <v>-0.30949870000000002</v>
      </c>
      <c r="W61">
        <f>IF(Backend!X88="", "", Backend!X88)</f>
        <v>-0.42921036000000001</v>
      </c>
      <c r="X61">
        <f>IF(Backend!Y88="", "", Backend!Y88)</f>
        <v>-0.42230916000000002</v>
      </c>
      <c r="Y61">
        <f>IF(Backend!Z88="", "", Backend!Z88)</f>
        <v>-0.58044183000000005</v>
      </c>
      <c r="Z61">
        <f>IF(Backend!AA88="", "", Backend!AA88)</f>
        <v>0.72051734000000001</v>
      </c>
      <c r="AA61">
        <f>IF(Backend!AB88="", "", Backend!AB88)</f>
        <v>-0.13101065000000001</v>
      </c>
      <c r="AB61">
        <f>IF(Backend!AC88="", "", Backend!AC88)</f>
        <v>0.70387023999999998</v>
      </c>
      <c r="AC61">
        <f>IF(Backend!AD88="", "", Backend!AD88)</f>
        <v>5.5148940000000002E-3</v>
      </c>
      <c r="AD61">
        <f>IF(Backend!AE88="", "", Backend!AE88)</f>
        <v>0.69603764999999995</v>
      </c>
      <c r="AE61">
        <f>IF(Backend!AF88="", "", Backend!AF88)</f>
        <v>-0.23411672</v>
      </c>
      <c r="AF61">
        <f>IF(Backend!AG88="", "", Backend!AG88)</f>
        <v>0.35965156999999998</v>
      </c>
      <c r="AG61">
        <f>IF(Backend!AH88="", "", Backend!AH88)</f>
        <v>0.63437944999999996</v>
      </c>
      <c r="AH61">
        <f>IF(Backend!AI88="", "", Backend!AI88)</f>
        <v>-0.67583053999999998</v>
      </c>
      <c r="AI61">
        <f>IF(Backend!AJ88="", "", Backend!AJ88)</f>
        <v>0.24993647999999999</v>
      </c>
      <c r="AJ61">
        <f>IF(Backend!AK88="", "", Backend!AK88)</f>
        <v>-0.64455960000000001</v>
      </c>
      <c r="AK61">
        <f>IF(Backend!AL88="", "", Backend!AL88)</f>
        <v>0.29929625999999998</v>
      </c>
      <c r="AL61">
        <f>IF(Backend!AM88="", "", Backend!AM88)</f>
        <v>0.71555716000000003</v>
      </c>
      <c r="AM61">
        <f>IF(Backend!AN88="", "", Backend!AN88)</f>
        <v>-0.57726383000000003</v>
      </c>
      <c r="AN61">
        <f>IF(Backend!AO88="", "", Backend!AO88)</f>
        <v>-0.55508939999999996</v>
      </c>
      <c r="AO61">
        <f>IF(Backend!AP88="", "", Backend!AP88)</f>
        <v>-2.8570352E-2</v>
      </c>
      <c r="AP61">
        <f>IF(Backend!AQ88="", "", Backend!AQ88)</f>
        <v>-0.52699845999999995</v>
      </c>
      <c r="AQ61">
        <f>IF(Backend!AR88="", "", Backend!AR88)</f>
        <v>-1.3685902E-2</v>
      </c>
      <c r="AR61">
        <f>IF(Backend!AS88="", "", Backend!AS88)</f>
        <v>-0.60347260000000003</v>
      </c>
      <c r="AS61">
        <f>IF(Backend!AT88="", "", Backend!AT88)</f>
        <v>-0.46322590000000002</v>
      </c>
      <c r="AT61">
        <f>IF(Backend!AU88="", "", Backend!AU88)</f>
        <v>-0.68519600000000003</v>
      </c>
      <c r="AU61">
        <f>IF(Backend!AV88="", "", Backend!AV88)</f>
        <v>-0.69144159999999999</v>
      </c>
      <c r="AV61">
        <f>IF(Backend!AW88="", "", Backend!AW88)</f>
        <v>0.47800641999999999</v>
      </c>
      <c r="AW61">
        <f>IF(Backend!AX88="", "", Backend!AX88)</f>
        <v>-0.12544405</v>
      </c>
      <c r="AX61">
        <f>IF(Backend!AY88="", "", Backend!AY88)</f>
        <v>1.2282247E-2</v>
      </c>
      <c r="AY61">
        <f>IF(Backend!AZ88="", "", Backend!AZ88)</f>
        <v>-0.56483245000000004</v>
      </c>
      <c r="AZ61">
        <f>IF(Backend!BA88="", "", Backend!BA88)</f>
        <v>-0.55025869999999999</v>
      </c>
      <c r="BA61">
        <f>IF(Backend!BB88="", "", Backend!BB88)</f>
        <v>5.3686135000000003E-2</v>
      </c>
      <c r="BB61">
        <f>IF(Backend!BC88="", "", Backend!BC88)</f>
        <v>0.49156139999999998</v>
      </c>
      <c r="BC61">
        <f>IF(Backend!BD88="", "", Backend!BD88)</f>
        <v>-0.51294773999999999</v>
      </c>
      <c r="BD61">
        <f>IF(Backend!BE88="", "", Backend!BE88)</f>
        <v>-0.56915914999999995</v>
      </c>
      <c r="BE61">
        <f>IF(Backend!BF88="", "", Backend!BF88)</f>
        <v>-0.66276440000000003</v>
      </c>
      <c r="BF61">
        <f>IF(Backend!BG88="", "", Backend!BG88)</f>
        <v>0.63172470000000003</v>
      </c>
      <c r="BG61">
        <f>IF(Backend!BH88="", "", Backend!BH88)</f>
        <v>1</v>
      </c>
      <c r="BH61">
        <f>IF(Backend!BI88="", "", Backend!BI88)</f>
        <v>0.71458005999999996</v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>WPP Plc</v>
      </c>
      <c r="B62">
        <f>IF(Backend!C89="", "", Backend!C89)</f>
        <v>-0.5563553</v>
      </c>
      <c r="C62">
        <f>IF(Backend!D89="", "", Backend!D89)</f>
        <v>-0.41274565000000002</v>
      </c>
      <c r="D62">
        <f>IF(Backend!E89="", "", Backend!E89)</f>
        <v>-0.65317917000000003</v>
      </c>
      <c r="E62">
        <f>IF(Backend!F89="", "", Backend!F89)</f>
        <v>-0.76042180000000004</v>
      </c>
      <c r="F62">
        <f>IF(Backend!G89="", "", Backend!G89)</f>
        <v>-4.2238360000000003E-2</v>
      </c>
      <c r="G62">
        <f>IF(Backend!H89="", "", Backend!H89)</f>
        <v>-0.56603610000000004</v>
      </c>
      <c r="H62">
        <f>IF(Backend!I89="", "", Backend!I89)</f>
        <v>-0.48413196000000003</v>
      </c>
      <c r="I62">
        <f>IF(Backend!J89="", "", Backend!J89)</f>
        <v>-0.86717940000000004</v>
      </c>
      <c r="J62">
        <f>IF(Backend!K89="", "", Backend!K89)</f>
        <v>0.79974394999999998</v>
      </c>
      <c r="K62">
        <f>IF(Backend!L89="", "", Backend!L89)</f>
        <v>-0.85107933999999996</v>
      </c>
      <c r="L62">
        <f>IF(Backend!M89="", "", Backend!M89)</f>
        <v>-0.60852399999999995</v>
      </c>
      <c r="M62">
        <f>IF(Backend!N89="", "", Backend!N89)</f>
        <v>-4.4200297E-2</v>
      </c>
      <c r="N62">
        <f>IF(Backend!O89="", "", Backend!O89)</f>
        <v>-0.84056359999999997</v>
      </c>
      <c r="O62">
        <f>IF(Backend!P89="", "", Backend!P89)</f>
        <v>0.719136</v>
      </c>
      <c r="P62">
        <f>IF(Backend!Q89="", "", Backend!Q89)</f>
        <v>-0.82594526000000001</v>
      </c>
      <c r="Q62">
        <f>IF(Backend!R89="", "", Backend!R89)</f>
        <v>-0.74328755999999996</v>
      </c>
      <c r="R62">
        <f>IF(Backend!S89="", "", Backend!S89)</f>
        <v>-0.89916870000000004</v>
      </c>
      <c r="S62">
        <f>IF(Backend!T89="", "", Backend!T89)</f>
        <v>0.65164390000000005</v>
      </c>
      <c r="T62">
        <f>IF(Backend!U89="", "", Backend!U89)</f>
        <v>-0.59483929999999996</v>
      </c>
      <c r="U62">
        <f>IF(Backend!V89="", "", Backend!V89)</f>
        <v>-0.17038502</v>
      </c>
      <c r="V62">
        <f>IF(Backend!W89="", "", Backend!W89)</f>
        <v>-0.50775590000000004</v>
      </c>
      <c r="W62">
        <f>IF(Backend!X89="", "", Backend!X89)</f>
        <v>-0.65956729999999997</v>
      </c>
      <c r="X62">
        <f>IF(Backend!Y89="", "", Backend!Y89)</f>
        <v>-0.39313972000000003</v>
      </c>
      <c r="Y62">
        <f>IF(Backend!Z89="", "", Backend!Z89)</f>
        <v>-0.80243635000000002</v>
      </c>
      <c r="Z62">
        <f>IF(Backend!AA89="", "", Backend!AA89)</f>
        <v>0.80839320000000003</v>
      </c>
      <c r="AA62">
        <f>IF(Backend!AB89="", "", Backend!AB89)</f>
        <v>-0.31172879999999997</v>
      </c>
      <c r="AB62">
        <f>IF(Backend!AC89="", "", Backend!AC89)</f>
        <v>0.89387375000000002</v>
      </c>
      <c r="AC62">
        <f>IF(Backend!AD89="", "", Backend!AD89)</f>
        <v>2.5639071999999999E-2</v>
      </c>
      <c r="AD62">
        <f>IF(Backend!AE89="", "", Backend!AE89)</f>
        <v>0.86176014000000001</v>
      </c>
      <c r="AE62">
        <f>IF(Backend!AF89="", "", Backend!AF89)</f>
        <v>-0.67702130000000005</v>
      </c>
      <c r="AF62">
        <f>IF(Backend!AG89="", "", Backend!AG89)</f>
        <v>0.15776229999999999</v>
      </c>
      <c r="AG62">
        <f>IF(Backend!AH89="", "", Backend!AH89)</f>
        <v>0.78061055999999995</v>
      </c>
      <c r="AH62">
        <f>IF(Backend!AI89="", "", Backend!AI89)</f>
        <v>-0.87363729999999995</v>
      </c>
      <c r="AI62">
        <f>IF(Backend!AJ89="", "", Backend!AJ89)</f>
        <v>8.2462320000000006E-2</v>
      </c>
      <c r="AJ62">
        <f>IF(Backend!AK89="", "", Backend!AK89)</f>
        <v>-0.88737904999999995</v>
      </c>
      <c r="AK62">
        <f>IF(Backend!AL89="", "", Backend!AL89)</f>
        <v>0.43638468000000002</v>
      </c>
      <c r="AL62">
        <f>IF(Backend!AM89="", "", Backend!AM89)</f>
        <v>0.82717973</v>
      </c>
      <c r="AM62">
        <f>IF(Backend!AN89="", "", Backend!AN89)</f>
        <v>-0.84012085000000003</v>
      </c>
      <c r="AN62">
        <f>IF(Backend!AO89="", "", Backend!AO89)</f>
        <v>-0.82084310000000005</v>
      </c>
      <c r="AO62">
        <f>IF(Backend!AP89="", "", Backend!AP89)</f>
        <v>-0.27594819999999998</v>
      </c>
      <c r="AP62">
        <f>IF(Backend!AQ89="", "", Backend!AQ89)</f>
        <v>-0.77629143</v>
      </c>
      <c r="AQ62">
        <f>IF(Backend!AR89="", "", Backend!AR89)</f>
        <v>0.23052350999999999</v>
      </c>
      <c r="AR62">
        <f>IF(Backend!AS89="", "", Backend!AS89)</f>
        <v>-0.9301005</v>
      </c>
      <c r="AS62">
        <f>IF(Backend!AT89="", "", Backend!AT89)</f>
        <v>-0.73305105999999998</v>
      </c>
      <c r="AT62">
        <f>IF(Backend!AU89="", "", Backend!AU89)</f>
        <v>-0.92920119999999995</v>
      </c>
      <c r="AU62">
        <f>IF(Backend!AV89="", "", Backend!AV89)</f>
        <v>-0.90727469999999999</v>
      </c>
      <c r="AV62">
        <f>IF(Backend!AW89="", "", Backend!AW89)</f>
        <v>0.61863654999999995</v>
      </c>
      <c r="AW62">
        <f>IF(Backend!AX89="", "", Backend!AX89)</f>
        <v>-9.2026986000000005E-2</v>
      </c>
      <c r="AX62">
        <f>IF(Backend!AY89="", "", Backend!AY89)</f>
        <v>-0.35294759999999997</v>
      </c>
      <c r="AY62">
        <f>IF(Backend!AZ89="", "", Backend!AZ89)</f>
        <v>-0.84829533000000001</v>
      </c>
      <c r="AZ62">
        <f>IF(Backend!BA89="", "", Backend!BA89)</f>
        <v>-0.83121929999999999</v>
      </c>
      <c r="BA62">
        <f>IF(Backend!BB89="", "", Backend!BB89)</f>
        <v>-0.23086175</v>
      </c>
      <c r="BB62">
        <f>IF(Backend!BC89="", "", Backend!BC89)</f>
        <v>0.58217470000000004</v>
      </c>
      <c r="BC62">
        <f>IF(Backend!BD89="", "", Backend!BD89)</f>
        <v>-0.86459947000000004</v>
      </c>
      <c r="BD62">
        <f>IF(Backend!BE89="", "", Backend!BE89)</f>
        <v>-0.68219626</v>
      </c>
      <c r="BE62">
        <f>IF(Backend!BF89="", "", Backend!BF89)</f>
        <v>-0.78285349999999998</v>
      </c>
      <c r="BF62">
        <f>IF(Backend!BG89="", "", Backend!BG89)</f>
        <v>0.88342303</v>
      </c>
      <c r="BG62">
        <f>IF(Backend!BH89="", "", Backend!BH89)</f>
        <v>0.71458005999999996</v>
      </c>
      <c r="BH62">
        <f>IF(Backend!BI89="", "", Backend!BI89)</f>
        <v>1</v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abSelected="1" topLeftCell="A58" workbookViewId="0">
      <selection activeCell="C1" sqref="C1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5" x14ac:dyDescent="0.25">
      <c r="B1" t="s">
        <v>2</v>
      </c>
      <c r="C1" s="7">
        <v>45961</v>
      </c>
    </row>
    <row r="2" spans="2:15" x14ac:dyDescent="0.25">
      <c r="B2" t="s">
        <v>3</v>
      </c>
      <c r="C2" s="7" t="s">
        <v>4</v>
      </c>
    </row>
    <row r="4" spans="2:15" x14ac:dyDescent="0.25">
      <c r="B4" t="s">
        <v>0</v>
      </c>
    </row>
    <row r="5" spans="2:15" x14ac:dyDescent="0.25">
      <c r="C5" s="8" t="s">
        <v>14</v>
      </c>
      <c r="D5" t="str" cm="1">
        <f t="array" ref="D5">_xll.FDSC("-",C5,"PROPER_NAME")</f>
        <v>Adecco Group AG</v>
      </c>
      <c r="E5" s="8" t="s">
        <v>22</v>
      </c>
      <c r="F5" t="str" cm="1">
        <f t="array" ref="F5">_xll.FDSC("-",E5,"PROPER_NAME")</f>
        <v>Eni S.p.A.</v>
      </c>
      <c r="G5" s="8" t="s">
        <v>36</v>
      </c>
      <c r="H5" t="str" cm="1">
        <f t="array" ref="H5">_xll.FDSC("-",G5,"PROPER_NAME")</f>
        <v>MEDIPAL HOLDINGS Corporation</v>
      </c>
      <c r="I5" s="8" t="s">
        <v>51</v>
      </c>
      <c r="J5" t="str" cm="1">
        <f t="array" ref="J5">_xll.FDSC("-",I5,"PROPER_NAME")</f>
        <v>Societe Generale S.A. Class A</v>
      </c>
      <c r="K5" s="8"/>
      <c r="L5" t="str" cm="1">
        <f t="array" ref="L5">_xll.FDSC("-",K5,"PROPER_NAME")</f>
        <v>-</v>
      </c>
    </row>
    <row r="6" spans="2:15" x14ac:dyDescent="0.25">
      <c r="C6" s="8" t="s">
        <v>15</v>
      </c>
      <c r="D6" t="str" cm="1">
        <f t="array" ref="D6">_xll.FDSC("-",C6,"PROPER_NAME")</f>
        <v>Anglo American plc</v>
      </c>
      <c r="E6" s="8" t="s">
        <v>23</v>
      </c>
      <c r="F6" t="str" cm="1">
        <f t="array" ref="F6">_xll.FDSC("-",E6,"PROPER_NAME")</f>
        <v>GSK plc</v>
      </c>
      <c r="G6" s="8" t="s">
        <v>37</v>
      </c>
      <c r="H6" t="str" cm="1">
        <f t="array" ref="H6">_xll.FDSC("-",G6,"PROPER_NAME")</f>
        <v>Mohawk Industries, Inc.</v>
      </c>
      <c r="I6" s="8" t="s">
        <v>52</v>
      </c>
      <c r="J6" t="str" cm="1">
        <f t="array" ref="J6">_xll.FDSC("-",I6,"PROPER_NAME")</f>
        <v>Standard Chartered PLC</v>
      </c>
      <c r="K6" s="8"/>
      <c r="L6" t="str" cm="1">
        <f t="array" ref="L6">_xll.FDSC("-",K6,"PROPER_NAME")</f>
        <v>-</v>
      </c>
      <c r="M6" s="5"/>
    </row>
    <row r="7" spans="2:15" x14ac:dyDescent="0.25">
      <c r="C7" s="8" t="s">
        <v>8</v>
      </c>
      <c r="D7" t="str" cm="1">
        <f t="array" ref="D7">_xll.FDSC("-",C7,"PROPER_NAME")</f>
        <v>Anhui Conch Cement Company Limited Class H</v>
      </c>
      <c r="E7" s="8" t="s">
        <v>24</v>
      </c>
      <c r="F7" t="str" cm="1">
        <f t="array" ref="F7">_xll.FDSC("-",E7,"PROPER_NAME")</f>
        <v>H.U.Group Holdings, Inc.</v>
      </c>
      <c r="G7" s="8" t="s">
        <v>38</v>
      </c>
      <c r="H7" t="str" cm="1">
        <f t="array" ref="H7">_xll.FDSC("-",G7,"PROPER_NAME")</f>
        <v>Molson Coors Beverage Company Class B</v>
      </c>
      <c r="I7" s="8" t="s">
        <v>53</v>
      </c>
      <c r="J7" t="str" cm="1">
        <f t="array" ref="J7">_xll.FDSC("-",I7,"PROPER_NAME")</f>
        <v>Stanley Black &amp; Decker, Inc.</v>
      </c>
      <c r="K7" s="8"/>
      <c r="L7" t="str" cm="1">
        <f t="array" ref="L7">_xll.FDSC("-",K7,"PROPER_NAME")</f>
        <v>-</v>
      </c>
    </row>
    <row r="8" spans="2:15" x14ac:dyDescent="0.25">
      <c r="C8" s="8" t="s">
        <v>9</v>
      </c>
      <c r="D8" t="str" cm="1">
        <f t="array" ref="D8">_xll.FDSC("-",C8,"PROPER_NAME")</f>
        <v>Aptiv PLC</v>
      </c>
      <c r="E8" s="8" t="s">
        <v>25</v>
      </c>
      <c r="F8" t="str" cm="1">
        <f t="array" ref="F8">_xll.FDSC("-",E8,"PROPER_NAME")</f>
        <v>Halliburton Company</v>
      </c>
      <c r="G8" s="8" t="s">
        <v>39</v>
      </c>
      <c r="H8" t="str" cm="1">
        <f t="array" ref="H8">_xll.FDSC("-",G8,"PROPER_NAME")</f>
        <v>NatWest Group Plc</v>
      </c>
      <c r="I8" s="8" t="s">
        <v>54</v>
      </c>
      <c r="J8" t="str" cm="1">
        <f t="array" ref="J8">_xll.FDSC("-",I8,"PROPER_NAME")</f>
        <v>Swatch Group Ltd. Bearer</v>
      </c>
      <c r="K8" s="8"/>
      <c r="L8" t="str" cm="1">
        <f t="array" ref="L8">_xll.FDSC("-",K8,"PROPER_NAME")</f>
        <v>-</v>
      </c>
      <c r="O8" t="str" cm="1">
        <f t="array" ref="O8">_xll.FDSTHIS(""&amp;N8&amp;"")</f>
        <v/>
      </c>
    </row>
    <row r="9" spans="2:15" x14ac:dyDescent="0.25">
      <c r="C9" s="8" t="s">
        <v>10</v>
      </c>
      <c r="D9" t="str" cm="1">
        <f t="array" ref="D9">_xll.FDSC("-",C9,"PROPER_NAME")</f>
        <v>Autohome Inc. Sponsored ADR Class A</v>
      </c>
      <c r="E9" s="8" t="s">
        <v>26</v>
      </c>
      <c r="F9" t="str" cm="1">
        <f t="array" ref="F9">_xll.FDSC("-",E9,"PROPER_NAME")</f>
        <v>HANKOOK TIRE &amp; TECHNOLOGY Co., Ltd.</v>
      </c>
      <c r="G9" s="8" t="s">
        <v>40</v>
      </c>
      <c r="H9" t="str" cm="1">
        <f t="array" ref="H9">_xll.FDSC("-",G9,"PROPER_NAME")</f>
        <v>Nikon Corp.</v>
      </c>
      <c r="I9" s="8" t="s">
        <v>55</v>
      </c>
      <c r="J9" t="str" cm="1">
        <f t="array" ref="J9">_xll.FDSC("-",I9,"PROPER_NAME")</f>
        <v>Ternium S.A. Sponsored ADR</v>
      </c>
      <c r="K9" s="8"/>
      <c r="L9" t="str" cm="1">
        <f t="array" ref="L9">_xll.FDSC("-",K9,"PROPER_NAME")</f>
        <v>-</v>
      </c>
      <c r="O9" t="str" cm="1">
        <f t="array" ref="O9">_xll.FDSTHIS(""&amp;N9&amp;"")</f>
        <v/>
      </c>
    </row>
    <row r="10" spans="2:15" x14ac:dyDescent="0.25">
      <c r="C10" s="8" t="s">
        <v>11</v>
      </c>
      <c r="D10" t="str" cm="1">
        <f t="array" ref="D10">_xll.FDSC("-",C10,"PROPER_NAME")</f>
        <v>Baidu, Inc. Class A</v>
      </c>
      <c r="E10" s="8" t="s">
        <v>27</v>
      </c>
      <c r="F10" t="str" cm="1">
        <f t="array" ref="F10">_xll.FDSC("-",E10,"PROPER_NAME")</f>
        <v>Hewlett Packard Enterprise Co.</v>
      </c>
      <c r="G10" s="8" t="s">
        <v>41</v>
      </c>
      <c r="H10" t="str" cm="1">
        <f t="array" ref="H10">_xll.FDSC("-",G10,"PROPER_NAME")</f>
        <v>Nippon Television Holdings, Inc.</v>
      </c>
      <c r="I10" s="8" t="s">
        <v>56</v>
      </c>
      <c r="J10" t="str" cm="1">
        <f t="array" ref="J10">_xll.FDSC("-",I10,"PROPER_NAME")</f>
        <v>TOKAI RIKA CO., LTD.</v>
      </c>
      <c r="K10" s="8"/>
      <c r="L10" t="str" cm="1">
        <f t="array" ref="L10">_xll.FDSC("-",K10,"PROPER_NAME")</f>
        <v>-</v>
      </c>
      <c r="O10" t="str" cm="1">
        <f t="array" ref="O10">_xll.FDSTHIS(""&amp;N10&amp;"")</f>
        <v/>
      </c>
    </row>
    <row r="11" spans="2:15" x14ac:dyDescent="0.25">
      <c r="C11" s="8" t="s">
        <v>16</v>
      </c>
      <c r="D11" t="str" cm="1">
        <f t="array" ref="D11">_xll.FDSC("-",C11,"PROPER_NAME")</f>
        <v>BASF SE</v>
      </c>
      <c r="E11" s="8" t="s">
        <v>28</v>
      </c>
      <c r="F11" t="str" cm="1">
        <f t="array" ref="F11">_xll.FDSC("-",E11,"PROPER_NAME")</f>
        <v>Intel Corporation</v>
      </c>
      <c r="G11" s="8" t="s">
        <v>42</v>
      </c>
      <c r="H11" t="str" cm="1">
        <f t="array" ref="H11">_xll.FDSC("-",G11,"PROPER_NAME")</f>
        <v>Pfizer Inc.</v>
      </c>
      <c r="I11" s="8" t="s">
        <v>57</v>
      </c>
      <c r="J11" t="str" cm="1">
        <f t="array" ref="J11">_xll.FDSC("-",I11,"PROPER_NAME")</f>
        <v>Valterra Platinum Limited</v>
      </c>
      <c r="K11" s="8"/>
      <c r="L11" t="str" cm="1">
        <f t="array" ref="L11">_xll.FDSC("-",K11,"PROPER_NAME")</f>
        <v>-</v>
      </c>
      <c r="O11" t="str" cm="1">
        <f t="array" ref="O11">_xll.FDSTHIS(""&amp;N11&amp;"")</f>
        <v/>
      </c>
    </row>
    <row r="12" spans="2:15" x14ac:dyDescent="0.25">
      <c r="C12" s="8" t="s">
        <v>17</v>
      </c>
      <c r="D12" t="str" cm="1">
        <f t="array" ref="D12">_xll.FDSC("-",C12,"PROPER_NAME")</f>
        <v>Bayer AG</v>
      </c>
      <c r="E12" s="8" t="s">
        <v>29</v>
      </c>
      <c r="F12" t="str" cm="1">
        <f t="array" ref="F12">_xll.FDSC("-",E12,"PROPER_NAME")</f>
        <v>KB Financial Group Inc.</v>
      </c>
      <c r="G12" s="8" t="s">
        <v>43</v>
      </c>
      <c r="H12" t="str" cm="1">
        <f t="array" ref="H12">_xll.FDSC("-",G12,"PROPER_NAME")</f>
        <v>PUMA SE</v>
      </c>
      <c r="I12" s="8" t="s">
        <v>58</v>
      </c>
      <c r="J12" t="str" cm="1">
        <f t="array" ref="J12">_xll.FDSC("-",I12,"PROPER_NAME")</f>
        <v>Verizon Communications Inc.</v>
      </c>
      <c r="K12" s="8"/>
      <c r="L12" t="str" cm="1">
        <f t="array" ref="L12">_xll.FDSC("-",K12,"PROPER_NAME")</f>
        <v>-</v>
      </c>
      <c r="O12" t="str" cm="1">
        <f t="array" ref="O12">_xll.FDSTHIS(""&amp;N12&amp;"")</f>
        <v/>
      </c>
    </row>
    <row r="13" spans="2:15" x14ac:dyDescent="0.25">
      <c r="C13" s="8" t="s">
        <v>12</v>
      </c>
      <c r="D13" t="str" cm="1">
        <f t="array" ref="D13">_xll.FDSC("-",C13,"PROPER_NAME")</f>
        <v>Bristol-Myers Squibb Company</v>
      </c>
      <c r="E13" s="8" t="s">
        <v>30</v>
      </c>
      <c r="F13" t="str" cm="1">
        <f t="array" ref="F13">_xll.FDSC("-",E13,"PROPER_NAME")</f>
        <v>Kering SA</v>
      </c>
      <c r="G13" s="8" t="s">
        <v>44</v>
      </c>
      <c r="H13" t="str" cm="1">
        <f t="array" ref="H13">_xll.FDSC("-",G13,"PROPER_NAME")</f>
        <v>Repsol SA</v>
      </c>
      <c r="I13" s="8" t="s">
        <v>59</v>
      </c>
      <c r="J13" t="str" cm="1">
        <f t="array" ref="J13">_xll.FDSC("-",I13,"PROPER_NAME")</f>
        <v>Viatris, Inc.</v>
      </c>
      <c r="K13" s="8"/>
      <c r="L13" t="str" cm="1">
        <f t="array" ref="L13">_xll.FDSC("-",K13,"PROPER_NAME")</f>
        <v>-</v>
      </c>
      <c r="O13" t="str" cm="1">
        <f t="array" ref="O13">_xll.FDSTHIS(""&amp;N13&amp;"")</f>
        <v/>
      </c>
    </row>
    <row r="14" spans="2:15" x14ac:dyDescent="0.25">
      <c r="C14" s="8" t="s">
        <v>13</v>
      </c>
      <c r="D14" t="str" cm="1">
        <f t="array" ref="D14">_xll.FDSC("-",C14,"PROPER_NAME")</f>
        <v>BT Group plc</v>
      </c>
      <c r="E14" s="8" t="s">
        <v>31</v>
      </c>
      <c r="F14" t="str" cm="1">
        <f t="array" ref="F14">_xll.FDSC("-",E14,"PROPER_NAME")</f>
        <v>Koninklijke Ahold Delhaize N.V.</v>
      </c>
      <c r="G14" s="8" t="s">
        <v>45</v>
      </c>
      <c r="H14" t="str" cm="1">
        <f t="array" ref="H14">_xll.FDSC("-",G14,"PROPER_NAME")</f>
        <v>ROHM Company Limited</v>
      </c>
      <c r="I14" s="8" t="s">
        <v>60</v>
      </c>
      <c r="J14" t="str" cm="1">
        <f t="array" ref="J14">_xll.FDSC("-",I14,"PROPER_NAME")</f>
        <v>Vodafone Group Public Limited Company</v>
      </c>
      <c r="K14" s="8"/>
      <c r="L14" t="str" cm="1">
        <f t="array" ref="L14">_xll.FDSC("-",K14,"PROPER_NAME")</f>
        <v>-</v>
      </c>
      <c r="O14" t="str" cm="1">
        <f t="array" ref="O14">_xll.FDSTHIS(""&amp;N14&amp;"")</f>
        <v/>
      </c>
    </row>
    <row r="15" spans="2:15" x14ac:dyDescent="0.25">
      <c r="C15" s="8" t="s">
        <v>18</v>
      </c>
      <c r="D15" t="str" cm="1">
        <f t="array" ref="D15">_xll.FDSC("-",C15,"PROPER_NAME")</f>
        <v>Burberry Group plc</v>
      </c>
      <c r="E15" s="8" t="s">
        <v>32</v>
      </c>
      <c r="F15" t="str" cm="1">
        <f t="array" ref="F15">_xll.FDSC("-",E15,"PROPER_NAME")</f>
        <v>Kraft Heinz Company</v>
      </c>
      <c r="G15" s="8" t="s">
        <v>46</v>
      </c>
      <c r="H15" t="str" cm="1">
        <f t="array" ref="H15">_xll.FDSC("-",G15,"PROPER_NAME")</f>
        <v>Sally Beauty Holdings, Inc.</v>
      </c>
      <c r="I15" s="8" t="s">
        <v>61</v>
      </c>
      <c r="J15" t="str" cm="1">
        <f t="array" ref="J15">_xll.FDSC("-",I15,"PROPER_NAME")</f>
        <v>Volkswagen AG Pref</v>
      </c>
      <c r="K15" s="8"/>
      <c r="L15" t="str" cm="1">
        <f t="array" ref="L15">_xll.FDSC("-",K15,"PROPER_NAME")</f>
        <v>-</v>
      </c>
      <c r="O15" t="str" cm="1">
        <f t="array" ref="O15">_xll.FDSTHIS(""&amp;N15&amp;"")</f>
        <v/>
      </c>
    </row>
    <row r="16" spans="2:15" x14ac:dyDescent="0.25">
      <c r="C16" s="8" t="s">
        <v>19</v>
      </c>
      <c r="D16" t="str" cm="1">
        <f t="array" ref="D16">_xll.FDSC("-",C16,"PROPER_NAME")</f>
        <v>Carrefour SA</v>
      </c>
      <c r="E16" s="8" t="s">
        <v>33</v>
      </c>
      <c r="F16" t="str" cm="1">
        <f t="array" ref="F16">_xll.FDSC("-",E16,"PROPER_NAME")</f>
        <v>Lear Corporation</v>
      </c>
      <c r="G16" s="8" t="s">
        <v>47</v>
      </c>
      <c r="H16" t="str" cm="1">
        <f t="array" ref="H16">_xll.FDSC("-",G16,"PROPER_NAME")</f>
        <v>Samsung Electronics Co Ltd Pfd  Non-Voting</v>
      </c>
      <c r="I16" s="8" t="s">
        <v>62</v>
      </c>
      <c r="J16" t="str" cm="1">
        <f t="array" ref="J16">_xll.FDSC("-",I16,"PROPER_NAME")</f>
        <v>Walgreens Boots Alliance, Inc.</v>
      </c>
      <c r="K16" s="8"/>
      <c r="L16" t="str" cm="1">
        <f t="array" ref="L16">_xll.FDSC("-",K16,"PROPER_NAME")</f>
        <v>-</v>
      </c>
      <c r="O16" t="str" cm="1">
        <f t="array" ref="O16">_xll.FDSTHIS(""&amp;N16&amp;"")</f>
        <v/>
      </c>
    </row>
    <row r="17" spans="1:77" x14ac:dyDescent="0.25">
      <c r="C17" s="8" t="s">
        <v>20</v>
      </c>
      <c r="D17" t="str" cm="1">
        <f t="array" ref="D17">_xll.FDSC("-",C17,"PROPER_NAME")</f>
        <v>Continental AG</v>
      </c>
      <c r="E17" s="8" t="s">
        <v>34</v>
      </c>
      <c r="F17" t="str" cm="1">
        <f t="array" ref="F17">_xll.FDSC("-",E17,"PROPER_NAME")</f>
        <v>LyondellBasell Industries NV</v>
      </c>
      <c r="G17" s="8" t="s">
        <v>48</v>
      </c>
      <c r="H17" t="str" cm="1">
        <f t="array" ref="H17">_xll.FDSC("-",G17,"PROPER_NAME")</f>
        <v>Sanofi SA</v>
      </c>
      <c r="I17" s="8" t="s">
        <v>63</v>
      </c>
      <c r="J17" t="str" cm="1">
        <f t="array" ref="J17">_xll.FDSC("-",I17,"PROPER_NAME")</f>
        <v>Western Union Company</v>
      </c>
      <c r="K17" s="8"/>
      <c r="L17" t="str" cm="1">
        <f t="array" ref="L17">_xll.FDSC("-",K17,"PROPER_NAME")</f>
        <v>-</v>
      </c>
      <c r="O17" t="str" cm="1">
        <f t="array" ref="O17">_xll.FDSTHIS(""&amp;N17&amp;"")</f>
        <v/>
      </c>
    </row>
    <row r="18" spans="1:77" x14ac:dyDescent="0.25">
      <c r="C18" s="8" t="s">
        <v>21</v>
      </c>
      <c r="D18" t="str" cm="1">
        <f t="array" ref="D18">_xll.FDSC("-",C18,"PROPER_NAME")</f>
        <v>Dentsu Group Inc.</v>
      </c>
      <c r="E18" s="8" t="s">
        <v>7</v>
      </c>
      <c r="F18" t="str" cm="1">
        <f t="array" ref="F18">_xll.FDSC("-",E18,"PROPER_NAME")</f>
        <v>Macy's, Inc.</v>
      </c>
      <c r="G18" s="8" t="s">
        <v>49</v>
      </c>
      <c r="H18" t="str" cm="1">
        <f t="array" ref="H18">_xll.FDSC("-",G18,"PROPER_NAME")</f>
        <v>SES SA FDR (Class A)</v>
      </c>
      <c r="I18" s="8" t="s">
        <v>64</v>
      </c>
      <c r="J18" t="str" cm="1">
        <f t="array" ref="J18">_xll.FDSC("-",I18,"PROPER_NAME")</f>
        <v>John Wiley &amp; Sons, Inc. Class A</v>
      </c>
      <c r="K18" s="8"/>
      <c r="L18" t="str" cm="1">
        <f t="array" ref="L18">_xll.FDSC("-",K18,"PROPER_NAME")</f>
        <v>-</v>
      </c>
      <c r="O18" t="str" cm="1">
        <f t="array" ref="O18">_xll.FDSTHIS(""&amp;N18&amp;"")</f>
        <v/>
      </c>
    </row>
    <row r="19" spans="1:77" x14ac:dyDescent="0.25">
      <c r="C19" s="8"/>
      <c r="D19" t="str" cm="1">
        <f t="array" ref="D19">_xll.FDSC("-",C19,"PROPER_NAME")</f>
        <v>-</v>
      </c>
      <c r="E19" s="8" t="s">
        <v>35</v>
      </c>
      <c r="F19" t="str" cm="1">
        <f t="array" ref="F19">_xll.FDSC("-",E19,"PROPER_NAME")</f>
        <v>ManpowerGroup Inc.</v>
      </c>
      <c r="G19" s="8" t="s">
        <v>50</v>
      </c>
      <c r="H19" t="str" cm="1">
        <f t="array" ref="H19">_xll.FDSC("-",G19,"PROPER_NAME")</f>
        <v>Shinhan Financial Group Co., Ltd.</v>
      </c>
      <c r="I19" s="8" t="s">
        <v>65</v>
      </c>
      <c r="J19" t="str" cm="1">
        <f t="array" ref="J19">_xll.FDSC("-",I19,"PROPER_NAME")</f>
        <v>WPP Plc</v>
      </c>
      <c r="O19" t="str" cm="1">
        <f t="array" ref="O19">_xll.FDSTHIS(""&amp;N19&amp;"")</f>
        <v/>
      </c>
    </row>
    <row r="20" spans="1:77" x14ac:dyDescent="0.25">
      <c r="C20" s="8"/>
      <c r="D20" t="str" cm="1">
        <f t="array" ref="D20">_xll.FDSC("-",C20,"PROPER_NAME")</f>
        <v>-</v>
      </c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 cm="1">
        <f t="array" ref="B27">_xll.FDSB("DUMMY","STRING_ARRAY IDS=TICKER_LIST('"&amp;_xlfn.TEXTJOIN(" ",TRUE,C5:C23,E5:E23,G5:G23,I5:I23,K5:K23)&amp;"');""FDS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s="13" t="str" cm="1">
        <f t="array" ref="C29">_xll.FDS(C30,"FG_COMPANY_NAME")</f>
        <v>Adecco Group AG</v>
      </c>
      <c r="D29" s="13" t="str" cm="1">
        <f t="array" ref="D29">_xll.FDS(D30,"FG_COMPANY_NAME")</f>
        <v>Anglo American plc</v>
      </c>
      <c r="E29" s="13" t="str" cm="1">
        <f t="array" ref="E29">_xll.FDS(E30,"FG_COMPANY_NAME")</f>
        <v>Anhui Conch Cement Company Limited Class H</v>
      </c>
      <c r="F29" s="13" t="str" cm="1">
        <f t="array" ref="F29">_xll.FDS(F30,"FG_COMPANY_NAME")</f>
        <v>Aptiv PLC</v>
      </c>
      <c r="G29" s="13" t="str" cm="1">
        <f t="array" ref="G29">_xll.FDS(G30,"FG_COMPANY_NAME")</f>
        <v>Autohome Inc. Sponsored ADR Class A</v>
      </c>
      <c r="H29" s="13" t="str" cm="1">
        <f t="array" ref="H29">_xll.FDS(H30,"FG_COMPANY_NAME")</f>
        <v>Baidu, Inc. Class A</v>
      </c>
      <c r="I29" s="13" t="str" cm="1">
        <f t="array" ref="I29">_xll.FDS(I30,"FG_COMPANY_NAME")</f>
        <v>BASF SE</v>
      </c>
      <c r="J29" s="13" t="str" cm="1">
        <f t="array" ref="J29">_xll.FDS(J30,"FG_COMPANY_NAME")</f>
        <v>Bayer AG</v>
      </c>
      <c r="K29" s="13" t="str" cm="1">
        <f t="array" ref="K29">_xll.FDS(K30,"FG_COMPANY_NAME")</f>
        <v>Bristol-Myers Squibb Company</v>
      </c>
      <c r="L29" s="13" t="str" cm="1">
        <f t="array" ref="L29">_xll.FDS(L30,"FG_COMPANY_NAME")</f>
        <v>BT Group plc</v>
      </c>
      <c r="M29" s="13" t="str" cm="1">
        <f t="array" ref="M29">_xll.FDS(M30,"FG_COMPANY_NAME")</f>
        <v>Burberry Group plc</v>
      </c>
      <c r="N29" s="13" t="str" cm="1">
        <f t="array" ref="N29">_xll.FDS(N30,"FG_COMPANY_NAME")</f>
        <v>Carrefour SA</v>
      </c>
      <c r="O29" s="13" t="str" cm="1">
        <f t="array" ref="O29">_xll.FDS(O30,"FG_COMPANY_NAME")</f>
        <v>Continental AG</v>
      </c>
      <c r="P29" s="13" t="str" cm="1">
        <f t="array" ref="P29">_xll.FDS(P30,"FG_COMPANY_NAME")</f>
        <v>Dentsu Group Inc.</v>
      </c>
      <c r="Q29" s="13" t="str" cm="1">
        <f t="array" ref="Q29">_xll.FDS(Q30,"FG_COMPANY_NAME")</f>
        <v>Eni S.p.A.</v>
      </c>
      <c r="R29" s="13" t="str" cm="1">
        <f t="array" ref="R29">_xll.FDS(R30,"FG_COMPANY_NAME")</f>
        <v>GSK plc</v>
      </c>
      <c r="S29" s="13" t="str" cm="1">
        <f t="array" ref="S29">_xll.FDS(S30,"FG_COMPANY_NAME")</f>
        <v>H.U.Group Holdings, Inc.</v>
      </c>
      <c r="T29" s="13" t="str" cm="1">
        <f t="array" ref="T29">_xll.FDS(T30,"FG_COMPANY_NAME")</f>
        <v>Halliburton Company</v>
      </c>
      <c r="U29" s="13" t="str" cm="1">
        <f t="array" ref="U29">_xll.FDS(U30,"FG_COMPANY_NAME")</f>
        <v>HANKOOK TIRE &amp; TECHNOLOGY Co., Ltd.</v>
      </c>
      <c r="V29" s="13" t="str" cm="1">
        <f t="array" ref="V29">_xll.FDS(V30,"FG_COMPANY_NAME")</f>
        <v>Hewlett Packard Enterprise Co.</v>
      </c>
      <c r="W29" s="13" t="str" cm="1">
        <f t="array" ref="W29">_xll.FDS(W30,"FG_COMPANY_NAME")</f>
        <v>Intel Corporation</v>
      </c>
      <c r="X29" s="13" t="str" cm="1">
        <f t="array" ref="X29">_xll.FDS(X30,"FG_COMPANY_NAME")</f>
        <v>KB Financial Group Inc.</v>
      </c>
      <c r="Y29" s="13" t="str" cm="1">
        <f t="array" ref="Y29">_xll.FDS(Y30,"FG_COMPANY_NAME")</f>
        <v>Kering SA</v>
      </c>
      <c r="Z29" s="13" t="str" cm="1">
        <f t="array" ref="Z29">_xll.FDS(Z30,"FG_COMPANY_NAME")</f>
        <v>Koninklijke Ahold Delhaize N.V.</v>
      </c>
      <c r="AA29" s="13" t="str" cm="1">
        <f t="array" ref="AA29">_xll.FDS(AA30,"FG_COMPANY_NAME")</f>
        <v>Kraft Heinz Company</v>
      </c>
      <c r="AB29" s="13" t="str" cm="1">
        <f t="array" ref="AB29">_xll.FDS(AB30,"FG_COMPANY_NAME")</f>
        <v>Lear Corporation</v>
      </c>
      <c r="AC29" s="13" t="str" cm="1">
        <f t="array" ref="AC29">_xll.FDS(AC30,"FG_COMPANY_NAME")</f>
        <v>LyondellBasell Industries NV</v>
      </c>
      <c r="AD29" s="13" t="str" cm="1">
        <f t="array" ref="AD29">_xll.FDS(AD30,"FG_COMPANY_NAME")</f>
        <v>Macy's, Inc.</v>
      </c>
      <c r="AE29" s="13" t="str" cm="1">
        <f t="array" ref="AE29">_xll.FDS(AE30,"FG_COMPANY_NAME")</f>
        <v>ManpowerGroup Inc.</v>
      </c>
      <c r="AF29" s="13" t="str" cm="1">
        <f t="array" ref="AF29">_xll.FDS(AF30,"FG_COMPANY_NAME")</f>
        <v>MEDIPAL HOLDINGS Corporation</v>
      </c>
      <c r="AG29" s="13" t="str" cm="1">
        <f t="array" ref="AG29">_xll.FDS(AG30,"FG_COMPANY_NAME")</f>
        <v>Mohawk Industries, Inc.</v>
      </c>
      <c r="AH29" s="13" t="str" cm="1">
        <f t="array" ref="AH29">_xll.FDS(AH30,"FG_COMPANY_NAME")</f>
        <v>Molson Coors Beverage Company Class B</v>
      </c>
      <c r="AI29" s="13" t="str" cm="1">
        <f t="array" ref="AI29">_xll.FDS(AI30,"FG_COMPANY_NAME")</f>
        <v>NatWest Group Plc</v>
      </c>
      <c r="AJ29" s="13" t="str" cm="1">
        <f t="array" ref="AJ29">_xll.FDS(AJ30,"FG_COMPANY_NAME")</f>
        <v>Nikon Corp.</v>
      </c>
      <c r="AK29" s="13" t="str" cm="1">
        <f t="array" ref="AK29">_xll.FDS(AK30,"FG_COMPANY_NAME")</f>
        <v>Nippon Television Holdings, Inc.</v>
      </c>
      <c r="AL29" s="13" t="str" cm="1">
        <f t="array" ref="AL29">_xll.FDS(AL30,"FG_COMPANY_NAME")</f>
        <v>Pfizer Inc.</v>
      </c>
      <c r="AM29" s="13" t="str" cm="1">
        <f t="array" ref="AM29">_xll.FDS(AM30,"FG_COMPANY_NAME")</f>
        <v>PUMA SE</v>
      </c>
      <c r="AN29" s="13" t="str" cm="1">
        <f t="array" ref="AN29">_xll.FDS(AN30,"FG_COMPANY_NAME")</f>
        <v>Repsol SA</v>
      </c>
      <c r="AO29" s="13" t="str" cm="1">
        <f t="array" ref="AO29">_xll.FDS(AO30,"FG_COMPANY_NAME")</f>
        <v>ROHM Company Limited</v>
      </c>
      <c r="AP29" s="13" t="str" cm="1">
        <f t="array" ref="AP29">_xll.FDS(AP30,"FG_COMPANY_NAME")</f>
        <v>Sally Beauty Holdings, Inc.</v>
      </c>
      <c r="AQ29" s="13" t="str" cm="1">
        <f t="array" ref="AQ29">_xll.FDS(AQ30,"FG_COMPANY_NAME")</f>
        <v>Samsung Electronics Co Ltd Pfd  Non-Voting</v>
      </c>
      <c r="AR29" s="13" t="str" cm="1">
        <f t="array" ref="AR29">_xll.FDS(AR30,"FG_COMPANY_NAME")</f>
        <v>Sanofi SA</v>
      </c>
      <c r="AS29" s="13" t="str" cm="1">
        <f t="array" ref="AS29">_xll.FDS(AS30,"FG_COMPANY_NAME")</f>
        <v>SES SA FDR (Class A)</v>
      </c>
      <c r="AT29" s="13" t="str" cm="1">
        <f t="array" ref="AT29">_xll.FDS(AT30,"FG_COMPANY_NAME")</f>
        <v>Shinhan Financial Group Co., Ltd.</v>
      </c>
      <c r="AU29" s="13" t="str" cm="1">
        <f t="array" ref="AU29">_xll.FDS(AU30,"FG_COMPANY_NAME")</f>
        <v>Societe Generale S.A. Class A</v>
      </c>
      <c r="AV29" s="13" t="str" cm="1">
        <f t="array" ref="AV29">_xll.FDS(AV30,"FG_COMPANY_NAME")</f>
        <v>Standard Chartered PLC</v>
      </c>
      <c r="AW29" s="13" t="str" cm="1">
        <f t="array" ref="AW29">_xll.FDS(AW30,"FG_COMPANY_NAME")</f>
        <v>Stanley Black &amp; Decker, Inc.</v>
      </c>
      <c r="AX29" s="13" t="str" cm="1">
        <f t="array" ref="AX29">_xll.FDS(AX30,"FG_COMPANY_NAME")</f>
        <v>Swatch Group Ltd. Bearer</v>
      </c>
      <c r="AY29" s="13" t="str" cm="1">
        <f t="array" ref="AY29">_xll.FDS(AY30,"FG_COMPANY_NAME")</f>
        <v>Ternium S.A. Sponsored ADR</v>
      </c>
      <c r="AZ29" s="13" t="str" cm="1">
        <f t="array" ref="AZ29">_xll.FDS(AZ30,"FG_COMPANY_NAME")</f>
        <v>TOKAI RIKA CO., LTD.</v>
      </c>
      <c r="BA29" s="13" t="str" cm="1">
        <f t="array" ref="BA29">_xll.FDS(BA30,"FG_COMPANY_NAME")</f>
        <v>Valterra Platinum Limited</v>
      </c>
      <c r="BB29" s="13" t="str" cm="1">
        <f t="array" ref="BB29">_xll.FDS(BB30,"FG_COMPANY_NAME")</f>
        <v>Verizon Communications Inc.</v>
      </c>
      <c r="BC29" s="13" t="str" cm="1">
        <f t="array" ref="BC29">_xll.FDS(BC30,"FG_COMPANY_NAME")</f>
        <v>Viatris, Inc.</v>
      </c>
      <c r="BD29" s="13" t="str" cm="1">
        <f t="array" ref="BD29">_xll.FDS(BD30,"FG_COMPANY_NAME")</f>
        <v>Vodafone Group Public Limited Company</v>
      </c>
      <c r="BE29" s="13" t="str" cm="1">
        <f t="array" ref="BE29">_xll.FDS(BE30,"FG_COMPANY_NAME")</f>
        <v>Volkswagen AG Pref</v>
      </c>
      <c r="BF29" s="13" t="str" cm="1">
        <f t="array" ref="BF29">_xll.FDS(BF30,"FG_COMPANY_NAME")</f>
        <v>Walgreens Boots Alliance, Inc.</v>
      </c>
      <c r="BG29" s="13" t="str" cm="1">
        <f t="array" ref="BG29">_xll.FDS(BG30,"FG_COMPANY_NAME")</f>
        <v>Western Union Company</v>
      </c>
      <c r="BH29" s="13" t="str" cm="1">
        <f t="array" ref="BH29">_xll.FDS(BH30,"FG_COMPANY_NAME")</f>
        <v>John Wiley &amp; Sons, Inc. Class A</v>
      </c>
      <c r="BI29" s="13" t="str" cm="1">
        <f t="array" ref="BI29">_xll.FDS(BI30,"FG_COMPANY_NAME")</f>
        <v>WPP Plc</v>
      </c>
    </row>
    <row r="30" spans="1:77" ht="15" customHeight="1" x14ac:dyDescent="0.25">
      <c r="C30" s="3" t="str" cm="1">
        <f t="array" ref="C30:BI30">_xll.FDSR(V27,"IDS")</f>
        <v>ADEN-CH</v>
      </c>
      <c r="D30" s="6" t="str">
        <v>AAL-GB</v>
      </c>
      <c r="E30" s="6" t="str">
        <v>914-HK</v>
      </c>
      <c r="F30" s="6" t="str">
        <v>APTV-US</v>
      </c>
      <c r="G30" s="6" t="str">
        <v>ATHM-US</v>
      </c>
      <c r="H30" s="6" t="str">
        <v>9888-HK</v>
      </c>
      <c r="I30" s="6" t="str">
        <v>BAS-DE</v>
      </c>
      <c r="J30" s="6" t="str">
        <v>BAYN-DE</v>
      </c>
      <c r="K30" s="6" t="str">
        <v>BMY-US</v>
      </c>
      <c r="L30" s="6" t="str">
        <v>BT.A-GB</v>
      </c>
      <c r="M30" s="6" t="str">
        <v>BRBY-GB</v>
      </c>
      <c r="N30" s="6" t="str">
        <v>CA-FR</v>
      </c>
      <c r="O30" s="6" t="str">
        <v>CON-DE</v>
      </c>
      <c r="P30" s="6" t="str">
        <v>4324-JP</v>
      </c>
      <c r="Q30" s="4" t="str">
        <v>ENI-IT</v>
      </c>
      <c r="R30" s="4" t="str">
        <v>GSK-GB</v>
      </c>
      <c r="S30" s="4" t="str">
        <v>4544-JP</v>
      </c>
      <c r="T30" s="4" t="str">
        <v>HAL-US</v>
      </c>
      <c r="U30" s="4" t="str">
        <v>161390-KR</v>
      </c>
      <c r="V30" s="4" t="str">
        <v>HPE-US</v>
      </c>
      <c r="W30" s="4" t="str">
        <v>INTC-US</v>
      </c>
      <c r="X30" s="4" t="str">
        <v>105560-KR</v>
      </c>
      <c r="Y30" s="4" t="str">
        <v>KER-FR</v>
      </c>
      <c r="Z30" s="4" t="str">
        <v>AD-NL</v>
      </c>
      <c r="AA30" s="4" t="str">
        <v>KHC-US</v>
      </c>
      <c r="AB30" s="4" t="str">
        <v>LEA-US</v>
      </c>
      <c r="AC30" s="4" t="str">
        <v>LYB-US</v>
      </c>
      <c r="AD30" s="4" t="str">
        <v>M-US</v>
      </c>
      <c r="AE30" s="4" t="str">
        <v>MAN-US</v>
      </c>
      <c r="AF30" s="4" t="str">
        <v>7459-JP</v>
      </c>
      <c r="AG30" s="4" t="str">
        <v>MHK-US</v>
      </c>
      <c r="AH30" s="4" t="str">
        <v>TAP-US</v>
      </c>
      <c r="AI30" s="4" t="str">
        <v>NWG-GB</v>
      </c>
      <c r="AJ30" s="4" t="str">
        <v>7731-JP</v>
      </c>
      <c r="AK30" s="4" t="str">
        <v>9404-JP</v>
      </c>
      <c r="AL30" s="4" t="str">
        <v>PFE-US</v>
      </c>
      <c r="AM30" s="4" t="str">
        <v>PUM-DE</v>
      </c>
      <c r="AN30" s="4" t="str">
        <v>REP-ES</v>
      </c>
      <c r="AO30" s="4" t="str">
        <v>6963-JP</v>
      </c>
      <c r="AP30" s="4" t="str">
        <v>SBH-US</v>
      </c>
      <c r="AQ30" s="4" t="str">
        <v>005935-KR</v>
      </c>
      <c r="AR30" s="4" t="str">
        <v>SAN-FR</v>
      </c>
      <c r="AS30" s="4" t="str">
        <v>SESG-FR</v>
      </c>
      <c r="AT30" s="4" t="str">
        <v>055550-KR</v>
      </c>
      <c r="AU30" s="4" t="str">
        <v>GLE-FR</v>
      </c>
      <c r="AV30" s="4" t="str">
        <v>STAN-GB</v>
      </c>
      <c r="AW30" s="4" t="str">
        <v>SWK-US</v>
      </c>
      <c r="AX30" s="4" t="str">
        <v>UHR-CH</v>
      </c>
      <c r="AY30" s="4" t="str">
        <v>TX-US</v>
      </c>
      <c r="AZ30" s="4" t="str">
        <v>6995-JP</v>
      </c>
      <c r="BA30" s="4" t="str">
        <v>VAL-ZA</v>
      </c>
      <c r="BB30" s="4" t="str">
        <v>VZ-US</v>
      </c>
      <c r="BC30" s="4" t="str">
        <v>VTRS-US</v>
      </c>
      <c r="BD30" s="4" t="str">
        <v>VOD-GB</v>
      </c>
      <c r="BE30" s="4" t="str">
        <v>VOW3-DE</v>
      </c>
      <c r="BF30" s="4" t="str">
        <v>WBA-US</v>
      </c>
      <c r="BG30" s="4" t="str">
        <v>WU-US</v>
      </c>
      <c r="BH30" s="4" t="str">
        <v>WLY-US</v>
      </c>
      <c r="BI30" s="4" t="str">
        <v>WPP-GB</v>
      </c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s="13" t="str" cm="1">
        <f t="array" ref="A31">_xll.FDS(B31,"FG_COMPANY_NAME")</f>
        <v>Adecco Group AG</v>
      </c>
      <c r="B31" s="4" t="str" cm="1">
        <f t="array" ref="B31:B89">_xll.FDSB(V23,"IDS")</f>
        <v>ADEN-CH</v>
      </c>
      <c r="C31" s="2" cm="1">
        <f t="array" ref="C31:BI89">_xll.FDSB("DUMMY","CORREL_MATRIX(CORRELMATRIX)")</f>
        <v>1</v>
      </c>
      <c r="D31" s="2">
        <v>0.11517693</v>
      </c>
      <c r="E31" s="2">
        <v>0.54925953999999999</v>
      </c>
      <c r="F31" s="2">
        <v>0.36510189999999998</v>
      </c>
      <c r="G31" s="2">
        <v>0.22372729</v>
      </c>
      <c r="H31" s="2">
        <v>0.16270243000000001</v>
      </c>
      <c r="I31" s="2">
        <v>0.51298045999999997</v>
      </c>
      <c r="J31" s="2">
        <v>0.64898480000000003</v>
      </c>
      <c r="K31" s="2">
        <v>-0.38804023999999998</v>
      </c>
      <c r="L31" s="2">
        <v>0.69924350000000002</v>
      </c>
      <c r="M31" s="2">
        <v>0.42390242</v>
      </c>
      <c r="N31" s="2">
        <v>0.14227279000000001</v>
      </c>
      <c r="O31" s="2">
        <v>0.51561623999999995</v>
      </c>
      <c r="P31" s="2">
        <v>-0.41538740000000002</v>
      </c>
      <c r="Q31" s="2">
        <v>0.63420900000000002</v>
      </c>
      <c r="R31" s="2">
        <v>0.47997970000000001</v>
      </c>
      <c r="S31" s="2">
        <v>0.57672420000000002</v>
      </c>
      <c r="T31" s="2">
        <v>-0.41630729999999999</v>
      </c>
      <c r="U31" s="2">
        <v>0.60586459999999998</v>
      </c>
      <c r="V31" s="2">
        <v>-9.9834729999999997E-2</v>
      </c>
      <c r="W31" s="2">
        <v>0.19769216000000001</v>
      </c>
      <c r="X31" s="2">
        <v>0.52251999999999998</v>
      </c>
      <c r="Y31" s="2">
        <v>1.4948568000000001E-2</v>
      </c>
      <c r="Z31" s="2">
        <v>0.49905275999999998</v>
      </c>
      <c r="AA31" s="2">
        <v>-0.27062148000000003</v>
      </c>
      <c r="AB31" s="2">
        <v>0.382218</v>
      </c>
      <c r="AC31" s="2">
        <v>-0.37869419999999998</v>
      </c>
      <c r="AD31" s="2">
        <v>-0.24426719999999999</v>
      </c>
      <c r="AE31" s="2">
        <v>-0.36097731999999999</v>
      </c>
      <c r="AF31" s="2">
        <v>0.48184835999999998</v>
      </c>
      <c r="AG31" s="2">
        <v>-2.1895339999999999E-2</v>
      </c>
      <c r="AH31" s="2">
        <v>-0.32941785000000001</v>
      </c>
      <c r="AI31" s="2">
        <v>0.58192485999999999</v>
      </c>
      <c r="AJ31" s="2">
        <v>-0.16960822</v>
      </c>
      <c r="AK31" s="2">
        <v>0.48971609999999999</v>
      </c>
      <c r="AL31" s="2">
        <v>-0.113806</v>
      </c>
      <c r="AM31" s="2">
        <v>-0.47092624999999999</v>
      </c>
      <c r="AN31" s="2">
        <v>0.50738406000000003</v>
      </c>
      <c r="AO31" s="2">
        <v>0.56637570000000004</v>
      </c>
      <c r="AP31" s="2">
        <v>8.7446034000000006E-2</v>
      </c>
      <c r="AQ31" s="2">
        <v>0.42854799999999998</v>
      </c>
      <c r="AR31" s="2">
        <v>-9.8658250000000003E-2</v>
      </c>
      <c r="AS31" s="2">
        <v>0.69242329999999996</v>
      </c>
      <c r="AT31" s="2">
        <v>0.54481639999999998</v>
      </c>
      <c r="AU31" s="2">
        <v>0.60056936999999999</v>
      </c>
      <c r="AV31" s="2">
        <v>0.58446960000000003</v>
      </c>
      <c r="AW31" s="2">
        <v>-0.25830947999999998</v>
      </c>
      <c r="AX31" s="2">
        <v>6.5919149999999996E-2</v>
      </c>
      <c r="AY31" s="2">
        <v>0.40015692000000003</v>
      </c>
      <c r="AZ31" s="2">
        <v>0.51129013000000001</v>
      </c>
      <c r="BA31" s="2">
        <v>0.48768333000000003</v>
      </c>
      <c r="BB31" s="2">
        <v>0.49726756999999999</v>
      </c>
      <c r="BC31" s="2">
        <v>-0.35247666</v>
      </c>
      <c r="BD31" s="2">
        <v>0.67218149999999999</v>
      </c>
      <c r="BE31" s="2">
        <v>0.46776813</v>
      </c>
      <c r="BF31" s="2">
        <v>0.44539701999999998</v>
      </c>
      <c r="BG31" s="2">
        <v>-0.50783940000000005</v>
      </c>
      <c r="BH31" s="2">
        <v>-0.17021926000000001</v>
      </c>
      <c r="BI31" s="2">
        <v>-0.5563553</v>
      </c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s="13" t="str" cm="1">
        <f t="array" ref="A32">_xll.FDS(B32,"FG_COMPANY_NAME")</f>
        <v>Anglo American plc</v>
      </c>
      <c r="B32" s="4" t="str">
        <v>AAL-GB</v>
      </c>
      <c r="C32" s="2">
        <v>0.11517693</v>
      </c>
      <c r="D32" s="2">
        <v>1</v>
      </c>
      <c r="E32" s="2">
        <v>0.43860250000000001</v>
      </c>
      <c r="F32" s="2">
        <v>0.76352626000000001</v>
      </c>
      <c r="G32" s="2">
        <v>0.22419727</v>
      </c>
      <c r="H32" s="2">
        <v>0.81282496000000004</v>
      </c>
      <c r="I32" s="2">
        <v>0.18121446999999999</v>
      </c>
      <c r="J32" s="2">
        <v>0.44586812999999997</v>
      </c>
      <c r="K32" s="2">
        <v>-0.39319658000000002</v>
      </c>
      <c r="L32" s="2">
        <v>0.27003820000000001</v>
      </c>
      <c r="M32" s="2">
        <v>0.54118820000000001</v>
      </c>
      <c r="N32" s="2">
        <v>4.8765019999999999E-2</v>
      </c>
      <c r="O32" s="2">
        <v>0.4387123</v>
      </c>
      <c r="P32" s="2">
        <v>-0.13249712999999999</v>
      </c>
      <c r="Q32" s="2">
        <v>0.62873159999999995</v>
      </c>
      <c r="R32" s="2">
        <v>0.64427053999999995</v>
      </c>
      <c r="S32" s="2">
        <v>0.56520987</v>
      </c>
      <c r="T32" s="2">
        <v>0.16264147000000001</v>
      </c>
      <c r="U32" s="2">
        <v>0.15423897</v>
      </c>
      <c r="V32" s="2">
        <v>0.72719440000000002</v>
      </c>
      <c r="W32" s="2">
        <v>0.86265044999999996</v>
      </c>
      <c r="X32" s="2">
        <v>0.53512230000000005</v>
      </c>
      <c r="Y32" s="2">
        <v>0.88406116000000001</v>
      </c>
      <c r="Z32" s="2">
        <v>0.23606125</v>
      </c>
      <c r="AA32" s="2">
        <v>-0.46416735999999997</v>
      </c>
      <c r="AB32" s="2">
        <v>0.57380580000000003</v>
      </c>
      <c r="AC32" s="2">
        <v>-0.37114150000000001</v>
      </c>
      <c r="AD32" s="2">
        <v>0.74410799999999999</v>
      </c>
      <c r="AE32" s="2">
        <v>-0.38505592999999999</v>
      </c>
      <c r="AF32" s="2">
        <v>0.35800943000000002</v>
      </c>
      <c r="AG32" s="2">
        <v>0.39987168000000001</v>
      </c>
      <c r="AH32" s="2">
        <v>-0.61294585000000001</v>
      </c>
      <c r="AI32" s="2">
        <v>0.41195163000000001</v>
      </c>
      <c r="AJ32" s="2">
        <v>0.64069754000000001</v>
      </c>
      <c r="AK32" s="2">
        <v>0.39197427000000001</v>
      </c>
      <c r="AL32" s="2">
        <v>0.19385561000000001</v>
      </c>
      <c r="AM32" s="2">
        <v>-7.7071920000000002E-2</v>
      </c>
      <c r="AN32" s="2">
        <v>0.71369369999999999</v>
      </c>
      <c r="AO32" s="2">
        <v>0.71704489999999999</v>
      </c>
      <c r="AP32" s="2">
        <v>0.75275623999999997</v>
      </c>
      <c r="AQ32" s="2">
        <v>0.79123706000000005</v>
      </c>
      <c r="AR32" s="2">
        <v>-0.21771494999999999</v>
      </c>
      <c r="AS32" s="2">
        <v>0.39697787000000001</v>
      </c>
      <c r="AT32" s="2">
        <v>0.60939370000000004</v>
      </c>
      <c r="AU32" s="2">
        <v>0.38012966999999998</v>
      </c>
      <c r="AV32" s="2">
        <v>0.60275906000000001</v>
      </c>
      <c r="AW32" s="2">
        <v>9.1057144000000007E-2</v>
      </c>
      <c r="AX32" s="2">
        <v>0.72487056000000005</v>
      </c>
      <c r="AY32" s="2">
        <v>0.75392663000000004</v>
      </c>
      <c r="AZ32" s="2">
        <v>0.63032573000000003</v>
      </c>
      <c r="BA32" s="2">
        <v>0.76318180000000002</v>
      </c>
      <c r="BB32" s="2">
        <v>-0.2378169</v>
      </c>
      <c r="BC32" s="2">
        <v>0.19757584</v>
      </c>
      <c r="BD32" s="2">
        <v>0.53893005999999999</v>
      </c>
      <c r="BE32" s="2">
        <v>0.14625034000000001</v>
      </c>
      <c r="BF32" s="2">
        <v>-9.8202020000000001E-2</v>
      </c>
      <c r="BG32" s="2">
        <v>-0.39671410000000001</v>
      </c>
      <c r="BH32" s="2">
        <v>-0.34932970000000002</v>
      </c>
      <c r="BI32" s="2">
        <v>-0.41274565000000002</v>
      </c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s="13" t="str" cm="1">
        <f t="array" ref="A33">_xll.FDS(B33,"FG_COMPANY_NAME")</f>
        <v>Anhui Conch Cement Company Limited Class H</v>
      </c>
      <c r="B33" s="4" t="str">
        <v>914-HK</v>
      </c>
      <c r="C33" s="2">
        <v>0.54925953999999999</v>
      </c>
      <c r="D33" s="2">
        <v>0.43860250000000001</v>
      </c>
      <c r="E33" s="2">
        <v>1</v>
      </c>
      <c r="F33" s="2">
        <v>0.52969650000000001</v>
      </c>
      <c r="G33" s="2">
        <v>0.39218312999999999</v>
      </c>
      <c r="H33" s="2">
        <v>0.56023540000000005</v>
      </c>
      <c r="I33" s="2">
        <v>0.40887593999999999</v>
      </c>
      <c r="J33" s="2">
        <v>0.52389616000000006</v>
      </c>
      <c r="K33" s="2">
        <v>-0.42642479999999999</v>
      </c>
      <c r="L33" s="2">
        <v>0.54836779999999996</v>
      </c>
      <c r="M33" s="2">
        <v>0.31093105999999998</v>
      </c>
      <c r="N33" s="2">
        <v>0.21690701000000001</v>
      </c>
      <c r="O33" s="2">
        <v>0.43026164</v>
      </c>
      <c r="P33" s="2">
        <v>-0.34314430000000001</v>
      </c>
      <c r="Q33" s="2">
        <v>0.64882700000000004</v>
      </c>
      <c r="R33" s="2">
        <v>0.5207965</v>
      </c>
      <c r="S33" s="2">
        <v>0.62537160000000003</v>
      </c>
      <c r="T33" s="2">
        <v>-0.22008395</v>
      </c>
      <c r="U33" s="2">
        <v>0.41165970000000002</v>
      </c>
      <c r="V33" s="2">
        <v>0.24856671999999999</v>
      </c>
      <c r="W33" s="2">
        <v>0.55123334999999996</v>
      </c>
      <c r="X33" s="2">
        <v>0.39961553</v>
      </c>
      <c r="Y33" s="2">
        <v>0.45288162999999998</v>
      </c>
      <c r="Z33" s="2">
        <v>0.37348107000000003</v>
      </c>
      <c r="AA33" s="2">
        <v>-0.30479884000000002</v>
      </c>
      <c r="AB33" s="2">
        <v>0.41770439999999998</v>
      </c>
      <c r="AC33" s="2">
        <v>-0.51087819999999995</v>
      </c>
      <c r="AD33" s="2">
        <v>0.27010146000000002</v>
      </c>
      <c r="AE33" s="2">
        <v>-0.42418430000000001</v>
      </c>
      <c r="AF33" s="2">
        <v>0.66200870000000001</v>
      </c>
      <c r="AG33" s="2">
        <v>0.35182099999999999</v>
      </c>
      <c r="AH33" s="2">
        <v>-0.37718712999999998</v>
      </c>
      <c r="AI33" s="2">
        <v>0.50844820000000002</v>
      </c>
      <c r="AJ33" s="2">
        <v>0.28406631999999998</v>
      </c>
      <c r="AK33" s="2">
        <v>0.59864589999999995</v>
      </c>
      <c r="AL33" s="2">
        <v>-0.15415417000000001</v>
      </c>
      <c r="AM33" s="2">
        <v>-0.44207352</v>
      </c>
      <c r="AN33" s="2">
        <v>0.62701249999999997</v>
      </c>
      <c r="AO33" s="2">
        <v>0.66704165999999998</v>
      </c>
      <c r="AP33" s="2">
        <v>0.52062580000000003</v>
      </c>
      <c r="AQ33" s="2">
        <v>0.66681570000000001</v>
      </c>
      <c r="AR33" s="2">
        <v>-0.13414323</v>
      </c>
      <c r="AS33" s="2">
        <v>0.58400549999999996</v>
      </c>
      <c r="AT33" s="2">
        <v>0.55366530000000003</v>
      </c>
      <c r="AU33" s="2">
        <v>0.57073300000000005</v>
      </c>
      <c r="AV33" s="2">
        <v>0.62651210000000002</v>
      </c>
      <c r="AW33" s="2">
        <v>-0.19025974000000001</v>
      </c>
      <c r="AX33" s="2">
        <v>0.4173617</v>
      </c>
      <c r="AY33" s="2">
        <v>0.64603036999999996</v>
      </c>
      <c r="AZ33" s="2">
        <v>0.7548551</v>
      </c>
      <c r="BA33" s="2">
        <v>0.64728160000000001</v>
      </c>
      <c r="BB33" s="2">
        <v>0.22647436000000001</v>
      </c>
      <c r="BC33" s="2">
        <v>-0.14739099999999999</v>
      </c>
      <c r="BD33" s="2">
        <v>0.66506980000000004</v>
      </c>
      <c r="BE33" s="2">
        <v>0.4268826</v>
      </c>
      <c r="BF33" s="2">
        <v>0.21937780000000001</v>
      </c>
      <c r="BG33" s="2">
        <v>-0.48991435999999999</v>
      </c>
      <c r="BH33" s="2">
        <v>-0.26208369999999998</v>
      </c>
      <c r="BI33" s="2">
        <v>-0.65317917000000003</v>
      </c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s="13" t="str" cm="1">
        <f t="array" ref="A34">_xll.FDS(B34,"FG_COMPANY_NAME")</f>
        <v>Aptiv PLC</v>
      </c>
      <c r="B34" s="4" t="str">
        <v>APTV-US</v>
      </c>
      <c r="C34" s="2">
        <v>0.36510189999999998</v>
      </c>
      <c r="D34" s="2">
        <v>0.76352626000000001</v>
      </c>
      <c r="E34" s="2">
        <v>0.52969650000000001</v>
      </c>
      <c r="F34" s="2">
        <v>1</v>
      </c>
      <c r="G34" s="2">
        <v>0.21692458000000001</v>
      </c>
      <c r="H34" s="2">
        <v>0.74038665999999997</v>
      </c>
      <c r="I34" s="2">
        <v>0.43727959999999999</v>
      </c>
      <c r="J34" s="2">
        <v>0.79422879999999996</v>
      </c>
      <c r="K34" s="2">
        <v>-0.66608000000000001</v>
      </c>
      <c r="L34" s="2">
        <v>0.67564385999999998</v>
      </c>
      <c r="M34" s="2">
        <v>0.79302189999999995</v>
      </c>
      <c r="N34" s="2">
        <v>-1.6797610000000001E-2</v>
      </c>
      <c r="O34" s="2">
        <v>0.77409419999999995</v>
      </c>
      <c r="P34" s="2">
        <v>-0.4651805</v>
      </c>
      <c r="Q34" s="2">
        <v>0.87284625000000005</v>
      </c>
      <c r="R34" s="2">
        <v>0.79662790000000006</v>
      </c>
      <c r="S34" s="2">
        <v>0.86594605000000002</v>
      </c>
      <c r="T34" s="2">
        <v>-0.29478832999999999</v>
      </c>
      <c r="U34" s="2">
        <v>0.40931709999999999</v>
      </c>
      <c r="V34" s="2">
        <v>0.59953195000000004</v>
      </c>
      <c r="W34" s="2">
        <v>0.71576225999999998</v>
      </c>
      <c r="X34" s="2">
        <v>0.74408215</v>
      </c>
      <c r="Y34" s="2">
        <v>0.73284090000000002</v>
      </c>
      <c r="Z34" s="2">
        <v>0.58146180000000003</v>
      </c>
      <c r="AA34" s="2">
        <v>-0.76094260000000002</v>
      </c>
      <c r="AB34" s="2">
        <v>0.68464860000000005</v>
      </c>
      <c r="AC34" s="2">
        <v>-0.66702247000000003</v>
      </c>
      <c r="AD34" s="2">
        <v>0.43323790000000001</v>
      </c>
      <c r="AE34" s="2">
        <v>-0.70397604000000003</v>
      </c>
      <c r="AF34" s="2">
        <v>0.61102219999999996</v>
      </c>
      <c r="AG34" s="2">
        <v>0.17966107000000001</v>
      </c>
      <c r="AH34" s="2">
        <v>-0.82783169999999995</v>
      </c>
      <c r="AI34" s="2">
        <v>0.76729786</v>
      </c>
      <c r="AJ34" s="2">
        <v>0.25810218000000001</v>
      </c>
      <c r="AK34" s="2">
        <v>0.76925869999999996</v>
      </c>
      <c r="AL34" s="2">
        <v>-3.8480966999999998E-2</v>
      </c>
      <c r="AM34" s="2">
        <v>-0.51924610000000004</v>
      </c>
      <c r="AN34" s="2">
        <v>0.93275045999999995</v>
      </c>
      <c r="AO34" s="2">
        <v>0.91086036000000004</v>
      </c>
      <c r="AP34" s="2">
        <v>0.59797279999999997</v>
      </c>
      <c r="AQ34" s="2">
        <v>0.81997169999999997</v>
      </c>
      <c r="AR34" s="2">
        <v>-0.24815005000000001</v>
      </c>
      <c r="AS34" s="2">
        <v>0.73502254</v>
      </c>
      <c r="AT34" s="2">
        <v>0.77595199999999998</v>
      </c>
      <c r="AU34" s="2">
        <v>0.77744013000000001</v>
      </c>
      <c r="AV34" s="2">
        <v>0.90321700000000005</v>
      </c>
      <c r="AW34" s="2">
        <v>-0.15933016</v>
      </c>
      <c r="AX34" s="2">
        <v>0.44958967</v>
      </c>
      <c r="AY34" s="2">
        <v>0.60740229999999995</v>
      </c>
      <c r="AZ34" s="2">
        <v>0.88571763000000003</v>
      </c>
      <c r="BA34" s="2">
        <v>0.87418514000000003</v>
      </c>
      <c r="BB34" s="2">
        <v>4.7559205E-2</v>
      </c>
      <c r="BC34" s="2">
        <v>-0.14302831999999999</v>
      </c>
      <c r="BD34" s="2">
        <v>0.81990099999999999</v>
      </c>
      <c r="BE34" s="2">
        <v>0.56449245999999997</v>
      </c>
      <c r="BF34" s="2">
        <v>0.62692840000000005</v>
      </c>
      <c r="BG34" s="2">
        <v>-0.73263920000000005</v>
      </c>
      <c r="BH34" s="2">
        <v>-0.63626486000000004</v>
      </c>
      <c r="BI34" s="2">
        <v>-0.76042180000000004</v>
      </c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s="13" t="str" cm="1">
        <f t="array" ref="A35">_xll.FDS(B35,"FG_COMPANY_NAME")</f>
        <v>Autohome Inc. Sponsored ADR Class A</v>
      </c>
      <c r="B35" s="4" t="str">
        <v>ATHM-US</v>
      </c>
      <c r="C35" s="2">
        <v>0.22372729</v>
      </c>
      <c r="D35" s="2">
        <v>0.22419727</v>
      </c>
      <c r="E35" s="2">
        <v>0.39218312999999999</v>
      </c>
      <c r="F35" s="2">
        <v>0.21692458000000001</v>
      </c>
      <c r="G35" s="2">
        <v>1</v>
      </c>
      <c r="H35" s="2">
        <v>0.21557652999999999</v>
      </c>
      <c r="I35" s="2">
        <v>0.55596535999999996</v>
      </c>
      <c r="J35" s="2">
        <v>6.3010044000000001E-2</v>
      </c>
      <c r="K35" s="2">
        <v>0.25453550000000003</v>
      </c>
      <c r="L35" s="2">
        <v>4.6853334000000003E-2</v>
      </c>
      <c r="M35" s="2">
        <v>0.15297279999999999</v>
      </c>
      <c r="N35" s="2">
        <v>-0.31968210000000002</v>
      </c>
      <c r="O35" s="2">
        <v>-0.12011125</v>
      </c>
      <c r="P35" s="2">
        <v>-2.401644E-2</v>
      </c>
      <c r="Q35" s="2">
        <v>0.22705544999999999</v>
      </c>
      <c r="R35" s="2">
        <v>9.0249360000000001E-2</v>
      </c>
      <c r="S35" s="2">
        <v>3.4607227999999997E-2</v>
      </c>
      <c r="T35" s="2">
        <v>0.23547839000000001</v>
      </c>
      <c r="U35" s="2">
        <v>-6.8665119999999996E-2</v>
      </c>
      <c r="V35" s="2">
        <v>0.26152690000000001</v>
      </c>
      <c r="W35" s="2">
        <v>0.17129643</v>
      </c>
      <c r="X35" s="2">
        <v>-4.9062339999999996E-4</v>
      </c>
      <c r="Y35" s="2">
        <v>0.37253890000000001</v>
      </c>
      <c r="Z35" s="2">
        <v>-0.23122592</v>
      </c>
      <c r="AA35" s="2">
        <v>0.27253544000000002</v>
      </c>
      <c r="AB35" s="2">
        <v>0.45245092999999997</v>
      </c>
      <c r="AC35" s="2">
        <v>0.22062524999999999</v>
      </c>
      <c r="AD35" s="2">
        <v>0.30877622999999998</v>
      </c>
      <c r="AE35" s="2">
        <v>0.23876101</v>
      </c>
      <c r="AF35" s="2">
        <v>0.15183024000000001</v>
      </c>
      <c r="AG35" s="2">
        <v>0.52014004999999996</v>
      </c>
      <c r="AH35" s="2">
        <v>9.5413804000000005E-2</v>
      </c>
      <c r="AI35" s="2">
        <v>-5.6294759999999999E-2</v>
      </c>
      <c r="AJ35" s="2">
        <v>0.28638335999999998</v>
      </c>
      <c r="AK35" s="2">
        <v>7.9658329999999999E-2</v>
      </c>
      <c r="AL35" s="2">
        <v>0.42239547</v>
      </c>
      <c r="AM35" s="2">
        <v>-2.1444751000000001E-2</v>
      </c>
      <c r="AN35" s="2">
        <v>0.17498032999999999</v>
      </c>
      <c r="AO35" s="2">
        <v>0.23700751</v>
      </c>
      <c r="AP35" s="2">
        <v>0.30747797999999998</v>
      </c>
      <c r="AQ35" s="2">
        <v>8.8859684999999994E-2</v>
      </c>
      <c r="AR35" s="2">
        <v>0.2887787</v>
      </c>
      <c r="AS35" s="2">
        <v>4.8033994000000003E-2</v>
      </c>
      <c r="AT35" s="2">
        <v>6.4341579999999995E-2</v>
      </c>
      <c r="AU35" s="2">
        <v>5.0620949999999998E-2</v>
      </c>
      <c r="AV35" s="2">
        <v>0.22064540999999999</v>
      </c>
      <c r="AW35" s="2">
        <v>0.51405590000000001</v>
      </c>
      <c r="AX35" s="2">
        <v>0.41091921999999997</v>
      </c>
      <c r="AY35" s="2">
        <v>0.44975779999999999</v>
      </c>
      <c r="AZ35" s="2">
        <v>0.33791443999999998</v>
      </c>
      <c r="BA35" s="2">
        <v>0.11012537999999999</v>
      </c>
      <c r="BB35" s="2">
        <v>0.24016177999999999</v>
      </c>
      <c r="BC35" s="2">
        <v>0.2147329</v>
      </c>
      <c r="BD35" s="2">
        <v>0.102156594</v>
      </c>
      <c r="BE35" s="2">
        <v>0.31527492000000001</v>
      </c>
      <c r="BF35" s="2">
        <v>-5.2459119999999998E-2</v>
      </c>
      <c r="BG35" s="2">
        <v>7.9390359999999993E-2</v>
      </c>
      <c r="BH35" s="2">
        <v>4.1033409999999999E-2</v>
      </c>
      <c r="BI35" s="2">
        <v>-4.2238360000000003E-2</v>
      </c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s="13" t="str" cm="1">
        <f t="array" ref="A36">_xll.FDS(B36,"FG_COMPANY_NAME")</f>
        <v>Baidu, Inc. Class A</v>
      </c>
      <c r="B36" s="4" t="str">
        <v>9888-HK</v>
      </c>
      <c r="C36" s="2">
        <v>0.16270243000000001</v>
      </c>
      <c r="D36" s="2">
        <v>0.81282496000000004</v>
      </c>
      <c r="E36" s="2">
        <v>0.56023540000000005</v>
      </c>
      <c r="F36" s="2">
        <v>0.74038665999999997</v>
      </c>
      <c r="G36" s="2">
        <v>0.21557652999999999</v>
      </c>
      <c r="H36" s="2">
        <v>1</v>
      </c>
      <c r="I36" s="2">
        <v>0.17473554999999999</v>
      </c>
      <c r="J36" s="2">
        <v>0.46762242999999998</v>
      </c>
      <c r="K36" s="2">
        <v>-0.44919305999999998</v>
      </c>
      <c r="L36" s="2">
        <v>0.30657997999999997</v>
      </c>
      <c r="M36" s="2">
        <v>0.35090584000000002</v>
      </c>
      <c r="N36" s="2">
        <v>0.12600553</v>
      </c>
      <c r="O36" s="2">
        <v>0.44226264999999998</v>
      </c>
      <c r="P36" s="2">
        <v>-0.18163246999999999</v>
      </c>
      <c r="Q36" s="2">
        <v>0.60929580000000005</v>
      </c>
      <c r="R36" s="2">
        <v>0.68703526000000004</v>
      </c>
      <c r="S36" s="2">
        <v>0.60186589999999995</v>
      </c>
      <c r="T36" s="2">
        <v>-2.3926784999999999E-2</v>
      </c>
      <c r="U36" s="2">
        <v>0.10052373000000001</v>
      </c>
      <c r="V36" s="2">
        <v>0.48937276000000002</v>
      </c>
      <c r="W36" s="2">
        <v>0.88129619999999997</v>
      </c>
      <c r="X36" s="2">
        <v>0.43308023000000001</v>
      </c>
      <c r="Y36" s="2">
        <v>0.76531225000000003</v>
      </c>
      <c r="Z36" s="2">
        <v>0.30775917000000003</v>
      </c>
      <c r="AA36" s="2">
        <v>-0.51544385999999998</v>
      </c>
      <c r="AB36" s="2">
        <v>0.34579176</v>
      </c>
      <c r="AC36" s="2">
        <v>-0.53209715999999996</v>
      </c>
      <c r="AD36" s="2">
        <v>0.61564980000000002</v>
      </c>
      <c r="AE36" s="2">
        <v>-0.47642006999999997</v>
      </c>
      <c r="AF36" s="2">
        <v>0.44918071999999998</v>
      </c>
      <c r="AG36" s="2">
        <v>0.23713720999999999</v>
      </c>
      <c r="AH36" s="2">
        <v>-0.57496535999999998</v>
      </c>
      <c r="AI36" s="2">
        <v>0.46521476</v>
      </c>
      <c r="AJ36" s="2">
        <v>0.57208055000000002</v>
      </c>
      <c r="AK36" s="2">
        <v>0.55383349999999998</v>
      </c>
      <c r="AL36" s="2">
        <v>4.1758200000000002E-3</v>
      </c>
      <c r="AM36" s="2">
        <v>-0.28556967</v>
      </c>
      <c r="AN36" s="2">
        <v>0.71703225000000004</v>
      </c>
      <c r="AO36" s="2">
        <v>0.70300490000000004</v>
      </c>
      <c r="AP36" s="2">
        <v>0.64833253999999996</v>
      </c>
      <c r="AQ36" s="2">
        <v>0.78338640000000004</v>
      </c>
      <c r="AR36" s="2">
        <v>-0.17412315</v>
      </c>
      <c r="AS36" s="2">
        <v>0.5251479</v>
      </c>
      <c r="AT36" s="2">
        <v>0.52733770000000002</v>
      </c>
      <c r="AU36" s="2">
        <v>0.49203365999999998</v>
      </c>
      <c r="AV36" s="2">
        <v>0.63095533999999998</v>
      </c>
      <c r="AW36" s="2">
        <v>-0.11001577</v>
      </c>
      <c r="AX36" s="2">
        <v>0.59605719999999995</v>
      </c>
      <c r="AY36" s="2">
        <v>0.68949729999999998</v>
      </c>
      <c r="AZ36" s="2">
        <v>0.70594009999999996</v>
      </c>
      <c r="BA36" s="2">
        <v>0.80052029999999996</v>
      </c>
      <c r="BB36" s="2">
        <v>-6.7969890000000005E-2</v>
      </c>
      <c r="BC36" s="2">
        <v>-6.6152274999999996E-2</v>
      </c>
      <c r="BD36" s="2">
        <v>0.52755209999999997</v>
      </c>
      <c r="BE36" s="2">
        <v>0.21606971</v>
      </c>
      <c r="BF36" s="2">
        <v>4.0562040000000001E-2</v>
      </c>
      <c r="BG36" s="2">
        <v>-0.4643292</v>
      </c>
      <c r="BH36" s="2">
        <v>-0.38606066</v>
      </c>
      <c r="BI36" s="2">
        <v>-0.56603610000000004</v>
      </c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s="13" t="str" cm="1">
        <f t="array" ref="A37">_xll.FDS(B37,"FG_COMPANY_NAME")</f>
        <v>BASF SE</v>
      </c>
      <c r="B37" s="4" t="str">
        <v>BAS-DE</v>
      </c>
      <c r="C37" s="2">
        <v>0.51298045999999997</v>
      </c>
      <c r="D37" s="2">
        <v>0.18121446999999999</v>
      </c>
      <c r="E37" s="2">
        <v>0.40887593999999999</v>
      </c>
      <c r="F37" s="2">
        <v>0.43727959999999999</v>
      </c>
      <c r="G37" s="2">
        <v>0.55596535999999996</v>
      </c>
      <c r="H37" s="2">
        <v>0.17473554999999999</v>
      </c>
      <c r="I37" s="2">
        <v>1</v>
      </c>
      <c r="J37" s="2">
        <v>0.53167359999999997</v>
      </c>
      <c r="K37" s="2">
        <v>-0.18245253</v>
      </c>
      <c r="L37" s="2">
        <v>0.44835097000000002</v>
      </c>
      <c r="M37" s="2">
        <v>0.41574719999999998</v>
      </c>
      <c r="N37" s="2">
        <v>-0.110639796</v>
      </c>
      <c r="O37" s="2">
        <v>0.47000577999999998</v>
      </c>
      <c r="P37" s="2">
        <v>-0.57648520000000003</v>
      </c>
      <c r="Q37" s="2">
        <v>0.48075380000000001</v>
      </c>
      <c r="R37" s="2">
        <v>0.50469520000000001</v>
      </c>
      <c r="S37" s="2">
        <v>0.39854499999999998</v>
      </c>
      <c r="T37" s="2">
        <v>-0.37335473000000002</v>
      </c>
      <c r="U37" s="2">
        <v>0.20686056999999999</v>
      </c>
      <c r="V37" s="2">
        <v>-6.2034298000000002E-2</v>
      </c>
      <c r="W37" s="2">
        <v>0.17630699999999999</v>
      </c>
      <c r="X37" s="2">
        <v>0.15726459000000001</v>
      </c>
      <c r="Y37" s="2">
        <v>0.28373635000000003</v>
      </c>
      <c r="Z37" s="2">
        <v>0.41477789999999998</v>
      </c>
      <c r="AA37" s="2">
        <v>-0.24206029000000001</v>
      </c>
      <c r="AB37" s="2">
        <v>0.31055941999999997</v>
      </c>
      <c r="AC37" s="2">
        <v>-0.29022350000000002</v>
      </c>
      <c r="AD37" s="2">
        <v>-0.15190274000000001</v>
      </c>
      <c r="AE37" s="2">
        <v>-0.28915855000000001</v>
      </c>
      <c r="AF37" s="2">
        <v>0.22848760000000001</v>
      </c>
      <c r="AG37" s="2">
        <v>-7.7541924999999998E-2</v>
      </c>
      <c r="AH37" s="2">
        <v>-0.24173346000000001</v>
      </c>
      <c r="AI37" s="2">
        <v>0.49759910000000002</v>
      </c>
      <c r="AJ37" s="2">
        <v>-0.17755660000000001</v>
      </c>
      <c r="AK37" s="2">
        <v>0.47195798</v>
      </c>
      <c r="AL37" s="2">
        <v>-2.5001608000000002E-2</v>
      </c>
      <c r="AM37" s="2">
        <v>-0.58134920000000001</v>
      </c>
      <c r="AN37" s="2">
        <v>0.42721179999999997</v>
      </c>
      <c r="AO37" s="2">
        <v>0.40691832</v>
      </c>
      <c r="AP37" s="2">
        <v>-2.8223893E-2</v>
      </c>
      <c r="AQ37" s="2">
        <v>0.24027467999999999</v>
      </c>
      <c r="AR37" s="2">
        <v>0.46841811999999999</v>
      </c>
      <c r="AS37" s="2">
        <v>0.54886466</v>
      </c>
      <c r="AT37" s="2">
        <v>0.19976266000000001</v>
      </c>
      <c r="AU37" s="2">
        <v>0.56029373000000005</v>
      </c>
      <c r="AV37" s="2">
        <v>0.57820517000000005</v>
      </c>
      <c r="AW37" s="2">
        <v>-7.5354270000000001E-2</v>
      </c>
      <c r="AX37" s="2">
        <v>0.21446982000000001</v>
      </c>
      <c r="AY37" s="2">
        <v>0.19877051000000001</v>
      </c>
      <c r="AZ37" s="2">
        <v>0.47438163</v>
      </c>
      <c r="BA37" s="2">
        <v>0.32001617999999998</v>
      </c>
      <c r="BB37" s="2">
        <v>0.39906839999999999</v>
      </c>
      <c r="BC37" s="2">
        <v>-0.40119759999999999</v>
      </c>
      <c r="BD37" s="2">
        <v>0.45176914000000001</v>
      </c>
      <c r="BE37" s="2">
        <v>0.83803570000000005</v>
      </c>
      <c r="BF37" s="2">
        <v>0.53146780000000005</v>
      </c>
      <c r="BG37" s="2">
        <v>-0.29286097999999999</v>
      </c>
      <c r="BH37" s="2">
        <v>-0.42918553999999998</v>
      </c>
      <c r="BI37" s="2">
        <v>-0.48413196000000003</v>
      </c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s="13" t="str" cm="1">
        <f t="array" ref="A38">_xll.FDS(B38,"FG_COMPANY_NAME")</f>
        <v>Bayer AG</v>
      </c>
      <c r="B38" s="4" t="str">
        <v>BAYN-DE</v>
      </c>
      <c r="C38" s="2">
        <v>0.64898480000000003</v>
      </c>
      <c r="D38" s="2">
        <v>0.44586812999999997</v>
      </c>
      <c r="E38" s="2">
        <v>0.52389616000000006</v>
      </c>
      <c r="F38" s="2">
        <v>0.79422879999999996</v>
      </c>
      <c r="G38" s="2">
        <v>6.3010044000000001E-2</v>
      </c>
      <c r="H38" s="2">
        <v>0.46762242999999998</v>
      </c>
      <c r="I38" s="2">
        <v>0.53167359999999997</v>
      </c>
      <c r="J38" s="2">
        <v>1</v>
      </c>
      <c r="K38" s="2">
        <v>-0.83568746000000005</v>
      </c>
      <c r="L38" s="2">
        <v>0.9092363</v>
      </c>
      <c r="M38" s="2">
        <v>0.72076063999999995</v>
      </c>
      <c r="N38" s="2">
        <v>0.15161063999999999</v>
      </c>
      <c r="O38" s="2">
        <v>0.88760746000000001</v>
      </c>
      <c r="P38" s="2">
        <v>-0.67658720000000006</v>
      </c>
      <c r="Q38" s="2">
        <v>0.88233536000000001</v>
      </c>
      <c r="R38" s="2">
        <v>0.79008036999999998</v>
      </c>
      <c r="S38" s="2">
        <v>0.92981349999999996</v>
      </c>
      <c r="T38" s="2">
        <v>-0.64514110000000002</v>
      </c>
      <c r="U38" s="2">
        <v>0.60845285999999998</v>
      </c>
      <c r="V38" s="2">
        <v>0.22251202</v>
      </c>
      <c r="W38" s="2">
        <v>0.44609420999999999</v>
      </c>
      <c r="X38" s="2">
        <v>0.79965810000000004</v>
      </c>
      <c r="Y38" s="2">
        <v>0.34673031999999998</v>
      </c>
      <c r="Z38" s="2">
        <v>0.82987690000000003</v>
      </c>
      <c r="AA38" s="2">
        <v>-0.78586990000000001</v>
      </c>
      <c r="AB38" s="2">
        <v>0.46167213000000001</v>
      </c>
      <c r="AC38" s="2">
        <v>-0.79158070000000003</v>
      </c>
      <c r="AD38" s="2">
        <v>-6.2737269999999998E-2</v>
      </c>
      <c r="AE38" s="2">
        <v>-0.85217580000000004</v>
      </c>
      <c r="AF38" s="2">
        <v>0.68986857000000001</v>
      </c>
      <c r="AG38" s="2">
        <v>-0.12454733</v>
      </c>
      <c r="AH38" s="2">
        <v>-0.82641629999999999</v>
      </c>
      <c r="AI38" s="2">
        <v>0.90848607000000003</v>
      </c>
      <c r="AJ38" s="2">
        <v>-0.112091675</v>
      </c>
      <c r="AK38" s="2">
        <v>0.86865689999999995</v>
      </c>
      <c r="AL38" s="2">
        <v>-0.33025143000000001</v>
      </c>
      <c r="AM38" s="2">
        <v>-0.69521314000000001</v>
      </c>
      <c r="AN38" s="2">
        <v>0.87774693999999998</v>
      </c>
      <c r="AO38" s="2">
        <v>0.83089787000000004</v>
      </c>
      <c r="AP38" s="2">
        <v>0.27445893999999998</v>
      </c>
      <c r="AQ38" s="2">
        <v>0.70350975000000004</v>
      </c>
      <c r="AR38" s="2">
        <v>-0.27711236</v>
      </c>
      <c r="AS38" s="2">
        <v>0.9139429</v>
      </c>
      <c r="AT38" s="2">
        <v>0.80628319999999998</v>
      </c>
      <c r="AU38" s="2">
        <v>0.92887869999999995</v>
      </c>
      <c r="AV38" s="2">
        <v>0.89858377</v>
      </c>
      <c r="AW38" s="2">
        <v>-0.51409720000000003</v>
      </c>
      <c r="AX38" s="2">
        <v>0.11324716</v>
      </c>
      <c r="AY38" s="2">
        <v>0.41279822999999999</v>
      </c>
      <c r="AZ38" s="2">
        <v>0.79237013999999995</v>
      </c>
      <c r="BA38" s="2">
        <v>0.8381014</v>
      </c>
      <c r="BB38" s="2">
        <v>0.30995097999999999</v>
      </c>
      <c r="BC38" s="2">
        <v>-0.50683599999999995</v>
      </c>
      <c r="BD38" s="2">
        <v>0.92897399999999997</v>
      </c>
      <c r="BE38" s="2">
        <v>0.69015820000000005</v>
      </c>
      <c r="BF38" s="2">
        <v>0.69124246</v>
      </c>
      <c r="BG38" s="2">
        <v>-0.89077569999999995</v>
      </c>
      <c r="BH38" s="2">
        <v>-0.61893469999999995</v>
      </c>
      <c r="BI38" s="2">
        <v>-0.86717940000000004</v>
      </c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s="13" t="str" cm="1">
        <f t="array" ref="A39">_xll.FDS(B39,"FG_COMPANY_NAME")</f>
        <v>Bristol-Myers Squibb Company</v>
      </c>
      <c r="B39" s="4" t="str">
        <v>BMY-US</v>
      </c>
      <c r="C39" s="2">
        <v>-0.38804023999999998</v>
      </c>
      <c r="D39" s="2">
        <v>-0.39319658000000002</v>
      </c>
      <c r="E39" s="2">
        <v>-0.42642479999999999</v>
      </c>
      <c r="F39" s="2">
        <v>-0.66608000000000001</v>
      </c>
      <c r="G39" s="2">
        <v>0.25453550000000003</v>
      </c>
      <c r="H39" s="2">
        <v>-0.44919305999999998</v>
      </c>
      <c r="I39" s="2">
        <v>-0.18245253</v>
      </c>
      <c r="J39" s="2">
        <v>-0.83568746000000005</v>
      </c>
      <c r="K39" s="2">
        <v>1</v>
      </c>
      <c r="L39" s="2">
        <v>-0.8071779</v>
      </c>
      <c r="M39" s="2">
        <v>-0.5631912</v>
      </c>
      <c r="N39" s="2">
        <v>-0.36896237999999998</v>
      </c>
      <c r="O39" s="2">
        <v>-0.85696289999999997</v>
      </c>
      <c r="P39" s="2">
        <v>0.57781280000000002</v>
      </c>
      <c r="Q39" s="2">
        <v>-0.72091894999999995</v>
      </c>
      <c r="R39" s="2">
        <v>-0.62944630000000001</v>
      </c>
      <c r="S39" s="2">
        <v>-0.85528636000000002</v>
      </c>
      <c r="T39" s="2">
        <v>0.66776305000000002</v>
      </c>
      <c r="U39" s="2">
        <v>-0.55237365000000005</v>
      </c>
      <c r="V39" s="2">
        <v>-0.22612572</v>
      </c>
      <c r="W39" s="2">
        <v>-0.42895177000000001</v>
      </c>
      <c r="X39" s="2">
        <v>-0.74490993999999999</v>
      </c>
      <c r="Y39" s="2">
        <v>-0.28084110000000001</v>
      </c>
      <c r="Z39" s="2">
        <v>-0.84687230000000002</v>
      </c>
      <c r="AA39" s="2">
        <v>0.84158385000000002</v>
      </c>
      <c r="AB39" s="2">
        <v>-0.24121317</v>
      </c>
      <c r="AC39" s="2">
        <v>0.88925767</v>
      </c>
      <c r="AD39" s="2">
        <v>6.3121899999999995E-2</v>
      </c>
      <c r="AE39" s="2">
        <v>0.94520599999999999</v>
      </c>
      <c r="AF39" s="2">
        <v>-0.69439565999999997</v>
      </c>
      <c r="AG39" s="2">
        <v>0.20741076999999999</v>
      </c>
      <c r="AH39" s="2">
        <v>0.81852150000000001</v>
      </c>
      <c r="AI39" s="2">
        <v>-0.85398180000000001</v>
      </c>
      <c r="AJ39" s="2">
        <v>0.108965166</v>
      </c>
      <c r="AK39" s="2">
        <v>-0.81921460000000002</v>
      </c>
      <c r="AL39" s="2">
        <v>0.58628630000000004</v>
      </c>
      <c r="AM39" s="2">
        <v>0.60011594999999995</v>
      </c>
      <c r="AN39" s="2">
        <v>-0.76815120000000003</v>
      </c>
      <c r="AO39" s="2">
        <v>-0.68172102999999995</v>
      </c>
      <c r="AP39" s="2">
        <v>-0.26487252</v>
      </c>
      <c r="AQ39" s="2">
        <v>-0.68108800000000003</v>
      </c>
      <c r="AR39" s="2">
        <v>0.48790931999999998</v>
      </c>
      <c r="AS39" s="2">
        <v>-0.78352259999999996</v>
      </c>
      <c r="AT39" s="2">
        <v>-0.7538395</v>
      </c>
      <c r="AU39" s="2">
        <v>-0.85620320000000005</v>
      </c>
      <c r="AV39" s="2">
        <v>-0.7607488</v>
      </c>
      <c r="AW39" s="2">
        <v>0.69901997000000005</v>
      </c>
      <c r="AX39" s="2">
        <v>-1.0694057E-2</v>
      </c>
      <c r="AY39" s="2">
        <v>-0.26289289999999998</v>
      </c>
      <c r="AZ39" s="2">
        <v>-0.64531079999999996</v>
      </c>
      <c r="BA39" s="2">
        <v>-0.77629143</v>
      </c>
      <c r="BB39" s="2">
        <v>-0.11412773</v>
      </c>
      <c r="BC39" s="2">
        <v>0.48292141999999999</v>
      </c>
      <c r="BD39" s="2">
        <v>-0.81219739999999996</v>
      </c>
      <c r="BE39" s="2">
        <v>-0.47862807000000002</v>
      </c>
      <c r="BF39" s="2">
        <v>-0.53663086999999998</v>
      </c>
      <c r="BG39" s="2">
        <v>0.88894669999999998</v>
      </c>
      <c r="BH39" s="2">
        <v>0.57972849999999998</v>
      </c>
      <c r="BI39" s="2">
        <v>0.79974394999999998</v>
      </c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s="13" t="str" cm="1">
        <f t="array" ref="A40">_xll.FDS(B40,"FG_COMPANY_NAME")</f>
        <v>BT Group plc</v>
      </c>
      <c r="B40" s="4" t="str">
        <v>BT.A-GB</v>
      </c>
      <c r="C40" s="2">
        <v>0.69924350000000002</v>
      </c>
      <c r="D40" s="2">
        <v>0.27003820000000001</v>
      </c>
      <c r="E40" s="2">
        <v>0.54836779999999996</v>
      </c>
      <c r="F40" s="2">
        <v>0.67564385999999998</v>
      </c>
      <c r="G40" s="2">
        <v>4.6853334000000003E-2</v>
      </c>
      <c r="H40" s="2">
        <v>0.30657997999999997</v>
      </c>
      <c r="I40" s="2">
        <v>0.44835097000000002</v>
      </c>
      <c r="J40" s="2">
        <v>0.9092363</v>
      </c>
      <c r="K40" s="2">
        <v>-0.8071779</v>
      </c>
      <c r="L40" s="2">
        <v>1</v>
      </c>
      <c r="M40" s="2">
        <v>0.67776745999999999</v>
      </c>
      <c r="N40" s="2">
        <v>8.6370139999999998E-2</v>
      </c>
      <c r="O40" s="2">
        <v>0.84477645000000001</v>
      </c>
      <c r="P40" s="2">
        <v>-0.63031990000000004</v>
      </c>
      <c r="Q40" s="2">
        <v>0.83493269999999997</v>
      </c>
      <c r="R40" s="2">
        <v>0.64312060000000004</v>
      </c>
      <c r="S40" s="2">
        <v>0.87626139999999997</v>
      </c>
      <c r="T40" s="2">
        <v>-0.66709759999999996</v>
      </c>
      <c r="U40" s="2">
        <v>0.68660710000000003</v>
      </c>
      <c r="V40" s="2">
        <v>0.15016413000000001</v>
      </c>
      <c r="W40" s="2">
        <v>0.28177822000000002</v>
      </c>
      <c r="X40" s="2">
        <v>0.80485130000000005</v>
      </c>
      <c r="Y40" s="2">
        <v>0.18145945999999999</v>
      </c>
      <c r="Z40" s="2">
        <v>0.79963550000000005</v>
      </c>
      <c r="AA40" s="2">
        <v>-0.72593949999999996</v>
      </c>
      <c r="AB40" s="2">
        <v>0.44055181999999998</v>
      </c>
      <c r="AC40" s="2">
        <v>-0.78239404999999995</v>
      </c>
      <c r="AD40" s="2">
        <v>-0.17813402</v>
      </c>
      <c r="AE40" s="2">
        <v>-0.82000065</v>
      </c>
      <c r="AF40" s="2">
        <v>0.7765801</v>
      </c>
      <c r="AG40" s="2">
        <v>-0.10808107</v>
      </c>
      <c r="AH40" s="2">
        <v>-0.72009800000000002</v>
      </c>
      <c r="AI40" s="2">
        <v>0.8930264</v>
      </c>
      <c r="AJ40" s="2">
        <v>-0.1828564</v>
      </c>
      <c r="AK40" s="2">
        <v>0.83378834000000002</v>
      </c>
      <c r="AL40" s="2">
        <v>-0.43731766999999999</v>
      </c>
      <c r="AM40" s="2">
        <v>-0.70584135999999997</v>
      </c>
      <c r="AN40" s="2">
        <v>0.80773910000000004</v>
      </c>
      <c r="AO40" s="2">
        <v>0.76238006000000003</v>
      </c>
      <c r="AP40" s="2">
        <v>0.238542</v>
      </c>
      <c r="AQ40" s="2">
        <v>0.62797539999999996</v>
      </c>
      <c r="AR40" s="2">
        <v>-0.41256844999999998</v>
      </c>
      <c r="AS40" s="2">
        <v>0.89092296000000004</v>
      </c>
      <c r="AT40" s="2">
        <v>0.81300419999999995</v>
      </c>
      <c r="AU40" s="2">
        <v>0.91451789999999999</v>
      </c>
      <c r="AV40" s="2">
        <v>0.85753285999999995</v>
      </c>
      <c r="AW40" s="2">
        <v>-0.5575753</v>
      </c>
      <c r="AX40" s="2">
        <v>-6.7157410000000001E-2</v>
      </c>
      <c r="AY40" s="2">
        <v>0.33238020000000001</v>
      </c>
      <c r="AZ40" s="2">
        <v>0.75419559999999997</v>
      </c>
      <c r="BA40" s="2">
        <v>0.73736970000000002</v>
      </c>
      <c r="BB40" s="2">
        <v>0.45212524999999998</v>
      </c>
      <c r="BC40" s="2">
        <v>-0.47771066000000001</v>
      </c>
      <c r="BD40" s="2">
        <v>0.92446189999999995</v>
      </c>
      <c r="BE40" s="2">
        <v>0.63607395</v>
      </c>
      <c r="BF40" s="2">
        <v>0.61284709999999998</v>
      </c>
      <c r="BG40" s="2">
        <v>-0.88556844000000001</v>
      </c>
      <c r="BH40" s="2">
        <v>-0.51710829999999997</v>
      </c>
      <c r="BI40" s="2">
        <v>-0.85107933999999996</v>
      </c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s="13" t="str" cm="1">
        <f t="array" ref="A41">_xll.FDS(B41,"FG_COMPANY_NAME")</f>
        <v>Burberry Group plc</v>
      </c>
      <c r="B41" s="4" t="str">
        <v>BRBY-GB</v>
      </c>
      <c r="C41" s="2">
        <v>0.42390242</v>
      </c>
      <c r="D41" s="2">
        <v>0.54118820000000001</v>
      </c>
      <c r="E41" s="2">
        <v>0.31093105999999998</v>
      </c>
      <c r="F41" s="2">
        <v>0.79302189999999995</v>
      </c>
      <c r="G41" s="2">
        <v>0.15297279999999999</v>
      </c>
      <c r="H41" s="2">
        <v>0.35090584000000002</v>
      </c>
      <c r="I41" s="2">
        <v>0.41574719999999998</v>
      </c>
      <c r="J41" s="2">
        <v>0.72076063999999995</v>
      </c>
      <c r="K41" s="2">
        <v>-0.5631912</v>
      </c>
      <c r="L41" s="2">
        <v>0.67776745999999999</v>
      </c>
      <c r="M41" s="2">
        <v>1</v>
      </c>
      <c r="N41" s="2">
        <v>-0.20153704</v>
      </c>
      <c r="O41" s="2">
        <v>0.7205106</v>
      </c>
      <c r="P41" s="2">
        <v>-0.41000745</v>
      </c>
      <c r="Q41" s="2">
        <v>0.76563864999999998</v>
      </c>
      <c r="R41" s="2">
        <v>0.55759203000000002</v>
      </c>
      <c r="S41" s="2">
        <v>0.68935685999999996</v>
      </c>
      <c r="T41" s="2">
        <v>-0.26485786</v>
      </c>
      <c r="U41" s="2">
        <v>0.62682760000000004</v>
      </c>
      <c r="V41" s="2">
        <v>0.57008910000000002</v>
      </c>
      <c r="W41" s="2">
        <v>0.40277624000000001</v>
      </c>
      <c r="X41" s="2">
        <v>0.82150639999999997</v>
      </c>
      <c r="Y41" s="2">
        <v>0.55763483000000003</v>
      </c>
      <c r="Z41" s="2">
        <v>0.49758419999999998</v>
      </c>
      <c r="AA41" s="2">
        <v>-0.64232325999999995</v>
      </c>
      <c r="AB41" s="2">
        <v>0.70960690000000004</v>
      </c>
      <c r="AC41" s="2">
        <v>-0.45935535</v>
      </c>
      <c r="AD41" s="2">
        <v>0.22096165000000001</v>
      </c>
      <c r="AE41" s="2">
        <v>-0.56431240000000005</v>
      </c>
      <c r="AF41" s="2">
        <v>0.38664113999999999</v>
      </c>
      <c r="AG41" s="2">
        <v>0.11188591000000001</v>
      </c>
      <c r="AH41" s="2">
        <v>-0.76680879999999996</v>
      </c>
      <c r="AI41" s="2">
        <v>0.66384273999999999</v>
      </c>
      <c r="AJ41" s="2">
        <v>2.6961852000000001E-2</v>
      </c>
      <c r="AK41" s="2">
        <v>0.49651299999999998</v>
      </c>
      <c r="AL41" s="2">
        <v>4.8611630000000003E-2</v>
      </c>
      <c r="AM41" s="2">
        <v>-0.43061206000000002</v>
      </c>
      <c r="AN41" s="2">
        <v>0.77070090000000002</v>
      </c>
      <c r="AO41" s="2">
        <v>0.78865359999999995</v>
      </c>
      <c r="AP41" s="2">
        <v>0.39358187</v>
      </c>
      <c r="AQ41" s="2">
        <v>0.62451029999999996</v>
      </c>
      <c r="AR41" s="2">
        <v>-0.28833994000000002</v>
      </c>
      <c r="AS41" s="2">
        <v>0.62301580000000001</v>
      </c>
      <c r="AT41" s="2">
        <v>0.80318844</v>
      </c>
      <c r="AU41" s="2">
        <v>0.65557790000000005</v>
      </c>
      <c r="AV41" s="2">
        <v>0.78806370000000003</v>
      </c>
      <c r="AW41" s="2">
        <v>-6.7430240000000002E-2</v>
      </c>
      <c r="AX41" s="2">
        <v>0.30791913999999998</v>
      </c>
      <c r="AY41" s="2">
        <v>0.42385630000000002</v>
      </c>
      <c r="AZ41" s="2">
        <v>0.64500690000000005</v>
      </c>
      <c r="BA41" s="2">
        <v>0.66935164000000003</v>
      </c>
      <c r="BB41" s="2">
        <v>-6.0339138E-2</v>
      </c>
      <c r="BC41" s="2">
        <v>-5.8557487999999998E-2</v>
      </c>
      <c r="BD41" s="2">
        <v>0.71828530000000002</v>
      </c>
      <c r="BE41" s="2">
        <v>0.44983515000000002</v>
      </c>
      <c r="BF41" s="2">
        <v>0.44164305999999998</v>
      </c>
      <c r="BG41" s="2">
        <v>-0.69232519999999997</v>
      </c>
      <c r="BH41" s="2">
        <v>-0.62507135000000003</v>
      </c>
      <c r="BI41" s="2">
        <v>-0.60852399999999995</v>
      </c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s="13" t="str" cm="1">
        <f t="array" ref="A42">_xll.FDS(B42,"FG_COMPANY_NAME")</f>
        <v>Carrefour SA</v>
      </c>
      <c r="B42" s="4" t="str">
        <v>CA-FR</v>
      </c>
      <c r="C42" s="2">
        <v>0.14227279000000001</v>
      </c>
      <c r="D42" s="2">
        <v>4.8765019999999999E-2</v>
      </c>
      <c r="E42" s="2">
        <v>0.21690701000000001</v>
      </c>
      <c r="F42" s="2">
        <v>-1.6797610000000001E-2</v>
      </c>
      <c r="G42" s="2">
        <v>-0.31968210000000002</v>
      </c>
      <c r="H42" s="2">
        <v>0.12600553</v>
      </c>
      <c r="I42" s="2">
        <v>-0.110639796</v>
      </c>
      <c r="J42" s="2">
        <v>0.15161063999999999</v>
      </c>
      <c r="K42" s="2">
        <v>-0.36896237999999998</v>
      </c>
      <c r="L42" s="2">
        <v>8.6370139999999998E-2</v>
      </c>
      <c r="M42" s="2">
        <v>-0.20153704</v>
      </c>
      <c r="N42" s="2">
        <v>1</v>
      </c>
      <c r="O42" s="2">
        <v>0.16525796000000001</v>
      </c>
      <c r="P42" s="2">
        <v>-4.7962449999999997E-2</v>
      </c>
      <c r="Q42" s="2">
        <v>6.4771209999999996E-2</v>
      </c>
      <c r="R42" s="2">
        <v>0.17058226000000001</v>
      </c>
      <c r="S42" s="2">
        <v>0.21568248000000001</v>
      </c>
      <c r="T42" s="2">
        <v>-0.19370301000000001</v>
      </c>
      <c r="U42" s="2">
        <v>0.11294582</v>
      </c>
      <c r="V42" s="2">
        <v>-0.15534753000000001</v>
      </c>
      <c r="W42" s="2">
        <v>0.17277836999999999</v>
      </c>
      <c r="X42" s="2">
        <v>0.119920254</v>
      </c>
      <c r="Y42" s="2">
        <v>-0.107257165</v>
      </c>
      <c r="Z42" s="2">
        <v>0.31840318000000001</v>
      </c>
      <c r="AA42" s="2">
        <v>-0.120453455</v>
      </c>
      <c r="AB42" s="2">
        <v>-0.18763568</v>
      </c>
      <c r="AC42" s="2">
        <v>-0.28062963000000002</v>
      </c>
      <c r="AD42" s="2">
        <v>-0.10506791</v>
      </c>
      <c r="AE42" s="2">
        <v>-0.26746827000000001</v>
      </c>
      <c r="AF42" s="2">
        <v>0.30194870000000001</v>
      </c>
      <c r="AG42" s="2">
        <v>-5.0257780000000002E-2</v>
      </c>
      <c r="AH42" s="2">
        <v>-8.4400824999999999E-2</v>
      </c>
      <c r="AI42" s="2">
        <v>0.19579733999999999</v>
      </c>
      <c r="AJ42" s="2">
        <v>3.4753196E-2</v>
      </c>
      <c r="AK42" s="2">
        <v>0.22724369</v>
      </c>
      <c r="AL42" s="2">
        <v>-0.37856733999999997</v>
      </c>
      <c r="AM42" s="2">
        <v>1.2488977E-2</v>
      </c>
      <c r="AN42" s="2">
        <v>5.1202584000000002E-2</v>
      </c>
      <c r="AO42" s="2">
        <v>2.9789856E-2</v>
      </c>
      <c r="AP42" s="2">
        <v>9.5734949999999999E-2</v>
      </c>
      <c r="AQ42" s="2">
        <v>0.22595982000000001</v>
      </c>
      <c r="AR42" s="2">
        <v>-5.8464996999999998E-2</v>
      </c>
      <c r="AS42" s="2">
        <v>8.8699E-2</v>
      </c>
      <c r="AT42" s="2">
        <v>0.14093421</v>
      </c>
      <c r="AU42" s="2">
        <v>0.11505598</v>
      </c>
      <c r="AV42" s="2">
        <v>-1.8315399E-2</v>
      </c>
      <c r="AW42" s="2">
        <v>-0.33393747000000001</v>
      </c>
      <c r="AX42" s="2">
        <v>4.1452444999999997E-2</v>
      </c>
      <c r="AY42" s="2">
        <v>9.819145E-2</v>
      </c>
      <c r="AZ42" s="2">
        <v>2.7506148000000001E-2</v>
      </c>
      <c r="BA42" s="2">
        <v>0.18731938000000001</v>
      </c>
      <c r="BB42" s="2">
        <v>0.12517357000000001</v>
      </c>
      <c r="BC42" s="2">
        <v>-0.16226784999999999</v>
      </c>
      <c r="BD42" s="2">
        <v>0.18505651000000001</v>
      </c>
      <c r="BE42" s="2">
        <v>-1.8129415999999999E-2</v>
      </c>
      <c r="BF42" s="2">
        <v>-0.11000804</v>
      </c>
      <c r="BG42" s="2">
        <v>-0.12763831</v>
      </c>
      <c r="BH42" s="2">
        <v>0.16343241999999999</v>
      </c>
      <c r="BI42" s="2">
        <v>-4.4200297E-2</v>
      </c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s="13" t="str" cm="1">
        <f t="array" ref="A43">_xll.FDS(B43,"FG_COMPANY_NAME")</f>
        <v>Continental AG</v>
      </c>
      <c r="B43" s="4" t="str">
        <v>CON-DE</v>
      </c>
      <c r="C43" s="2">
        <v>0.51561623999999995</v>
      </c>
      <c r="D43" s="2">
        <v>0.4387123</v>
      </c>
      <c r="E43" s="2">
        <v>0.43026164</v>
      </c>
      <c r="F43" s="2">
        <v>0.77409419999999995</v>
      </c>
      <c r="G43" s="2">
        <v>-0.12011125</v>
      </c>
      <c r="H43" s="2">
        <v>0.44226264999999998</v>
      </c>
      <c r="I43" s="2">
        <v>0.47000577999999998</v>
      </c>
      <c r="J43" s="2">
        <v>0.88760746000000001</v>
      </c>
      <c r="K43" s="2">
        <v>-0.85696289999999997</v>
      </c>
      <c r="L43" s="2">
        <v>0.84477645000000001</v>
      </c>
      <c r="M43" s="2">
        <v>0.7205106</v>
      </c>
      <c r="N43" s="2">
        <v>0.16525796000000001</v>
      </c>
      <c r="O43" s="2">
        <v>1</v>
      </c>
      <c r="P43" s="2">
        <v>-0.67369634</v>
      </c>
      <c r="Q43" s="2">
        <v>0.79375947000000002</v>
      </c>
      <c r="R43" s="2">
        <v>0.78961780000000004</v>
      </c>
      <c r="S43" s="2">
        <v>0.89083650000000003</v>
      </c>
      <c r="T43" s="2">
        <v>-0.64312016999999999</v>
      </c>
      <c r="U43" s="2">
        <v>0.61888410000000005</v>
      </c>
      <c r="V43" s="2">
        <v>0.18043092999999999</v>
      </c>
      <c r="W43" s="2">
        <v>0.46562949999999997</v>
      </c>
      <c r="X43" s="2">
        <v>0.75171745000000001</v>
      </c>
      <c r="Y43" s="2">
        <v>0.34267959999999997</v>
      </c>
      <c r="Z43" s="2">
        <v>0.8980532</v>
      </c>
      <c r="AA43" s="2">
        <v>-0.86581870000000005</v>
      </c>
      <c r="AB43" s="2">
        <v>0.38531705999999999</v>
      </c>
      <c r="AC43" s="2">
        <v>-0.84252190000000005</v>
      </c>
      <c r="AD43" s="2">
        <v>-6.5665100000000004E-2</v>
      </c>
      <c r="AE43" s="2">
        <v>-0.90651369999999998</v>
      </c>
      <c r="AF43" s="2">
        <v>0.60458020000000001</v>
      </c>
      <c r="AG43" s="2">
        <v>-0.27474179999999998</v>
      </c>
      <c r="AH43" s="2">
        <v>-0.79679215000000003</v>
      </c>
      <c r="AI43" s="2">
        <v>0.9410153</v>
      </c>
      <c r="AJ43" s="2">
        <v>-0.12758832000000001</v>
      </c>
      <c r="AK43" s="2">
        <v>0.81784475000000001</v>
      </c>
      <c r="AL43" s="2">
        <v>-0.45200216999999998</v>
      </c>
      <c r="AM43" s="2">
        <v>-0.72888160000000002</v>
      </c>
      <c r="AN43" s="2">
        <v>0.82330570000000003</v>
      </c>
      <c r="AO43" s="2">
        <v>0.75484329999999999</v>
      </c>
      <c r="AP43" s="2">
        <v>0.18991517999999999</v>
      </c>
      <c r="AQ43" s="2">
        <v>0.7040341</v>
      </c>
      <c r="AR43" s="2">
        <v>-0.23053828000000001</v>
      </c>
      <c r="AS43" s="2">
        <v>0.87439007000000002</v>
      </c>
      <c r="AT43" s="2">
        <v>0.75079560000000001</v>
      </c>
      <c r="AU43" s="2">
        <v>0.91828330000000002</v>
      </c>
      <c r="AV43" s="2">
        <v>0.87210080000000001</v>
      </c>
      <c r="AW43" s="2">
        <v>-0.60582329999999995</v>
      </c>
      <c r="AX43" s="2">
        <v>0.10926559600000001</v>
      </c>
      <c r="AY43" s="2">
        <v>0.28868060000000001</v>
      </c>
      <c r="AZ43" s="2">
        <v>0.69933575000000003</v>
      </c>
      <c r="BA43" s="2">
        <v>0.76758029999999999</v>
      </c>
      <c r="BB43" s="2">
        <v>0.21150516</v>
      </c>
      <c r="BC43" s="2">
        <v>-0.51835989999999998</v>
      </c>
      <c r="BD43" s="2">
        <v>0.85867083</v>
      </c>
      <c r="BE43" s="2">
        <v>0.678226</v>
      </c>
      <c r="BF43" s="2">
        <v>0.71735490000000002</v>
      </c>
      <c r="BG43" s="2">
        <v>-0.82610910000000004</v>
      </c>
      <c r="BH43" s="2">
        <v>-0.66899050000000004</v>
      </c>
      <c r="BI43" s="2">
        <v>-0.84056359999999997</v>
      </c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s="13" t="str" cm="1">
        <f t="array" ref="A44">_xll.FDS(B44,"FG_COMPANY_NAME")</f>
        <v>Dentsu Group Inc.</v>
      </c>
      <c r="B44" s="4" t="str">
        <v>4324-JP</v>
      </c>
      <c r="C44" s="2">
        <v>-0.41538740000000002</v>
      </c>
      <c r="D44" s="2">
        <v>-0.13249712999999999</v>
      </c>
      <c r="E44" s="2">
        <v>-0.34314430000000001</v>
      </c>
      <c r="F44" s="2">
        <v>-0.4651805</v>
      </c>
      <c r="G44" s="2">
        <v>-2.401644E-2</v>
      </c>
      <c r="H44" s="2">
        <v>-0.18163246999999999</v>
      </c>
      <c r="I44" s="2">
        <v>-0.57648520000000003</v>
      </c>
      <c r="J44" s="2">
        <v>-0.67658720000000006</v>
      </c>
      <c r="K44" s="2">
        <v>0.57781280000000002</v>
      </c>
      <c r="L44" s="2">
        <v>-0.63031990000000004</v>
      </c>
      <c r="M44" s="2">
        <v>-0.41000745</v>
      </c>
      <c r="N44" s="2">
        <v>-4.7962449999999997E-2</v>
      </c>
      <c r="O44" s="2">
        <v>-0.67369634</v>
      </c>
      <c r="P44" s="2">
        <v>1</v>
      </c>
      <c r="Q44" s="2">
        <v>-0.49270471999999998</v>
      </c>
      <c r="R44" s="2">
        <v>-0.57101599999999997</v>
      </c>
      <c r="S44" s="2">
        <v>-0.57638573999999998</v>
      </c>
      <c r="T44" s="2">
        <v>0.70619370000000004</v>
      </c>
      <c r="U44" s="2">
        <v>-0.39883506000000002</v>
      </c>
      <c r="V44" s="2">
        <v>0.15376200000000001</v>
      </c>
      <c r="W44" s="2">
        <v>-0.14829959000000001</v>
      </c>
      <c r="X44" s="2">
        <v>-0.29287540000000001</v>
      </c>
      <c r="Y44" s="2">
        <v>-0.14110134999999999</v>
      </c>
      <c r="Z44" s="2">
        <v>-0.72369254000000005</v>
      </c>
      <c r="AA44" s="2">
        <v>0.57146379999999997</v>
      </c>
      <c r="AB44" s="2">
        <v>-7.8754370000000004E-2</v>
      </c>
      <c r="AC44" s="2">
        <v>0.68172085000000004</v>
      </c>
      <c r="AD44" s="2">
        <v>0.29638130000000001</v>
      </c>
      <c r="AE44" s="2">
        <v>0.66062145999999999</v>
      </c>
      <c r="AF44" s="2">
        <v>-0.32777020000000001</v>
      </c>
      <c r="AG44" s="2">
        <v>0.41829665999999999</v>
      </c>
      <c r="AH44" s="2">
        <v>0.49337429999999999</v>
      </c>
      <c r="AI44" s="2">
        <v>-0.70729184</v>
      </c>
      <c r="AJ44" s="2">
        <v>0.47433069999999999</v>
      </c>
      <c r="AK44" s="2">
        <v>-0.69789374000000004</v>
      </c>
      <c r="AL44" s="2">
        <v>0.41933626000000002</v>
      </c>
      <c r="AM44" s="2">
        <v>0.82880379999999998</v>
      </c>
      <c r="AN44" s="2">
        <v>-0.47308463000000001</v>
      </c>
      <c r="AO44" s="2">
        <v>-0.40231106</v>
      </c>
      <c r="AP44" s="2">
        <v>0.12938182000000001</v>
      </c>
      <c r="AQ44" s="2">
        <v>-0.36009740000000001</v>
      </c>
      <c r="AR44" s="2">
        <v>-0.14581588000000001</v>
      </c>
      <c r="AS44" s="2">
        <v>-0.69405269999999997</v>
      </c>
      <c r="AT44" s="2">
        <v>-0.33195764</v>
      </c>
      <c r="AU44" s="2">
        <v>-0.73088759999999997</v>
      </c>
      <c r="AV44" s="2">
        <v>-0.64479584000000001</v>
      </c>
      <c r="AW44" s="2">
        <v>0.57683419999999996</v>
      </c>
      <c r="AX44" s="2">
        <v>2.9784954999999998E-2</v>
      </c>
      <c r="AY44" s="2">
        <v>4.1166755999999999E-2</v>
      </c>
      <c r="AZ44" s="2">
        <v>-0.48448032000000002</v>
      </c>
      <c r="BA44" s="2">
        <v>-0.44588503000000002</v>
      </c>
      <c r="BB44" s="2">
        <v>-0.33413022999999997</v>
      </c>
      <c r="BC44" s="2">
        <v>0.70594710000000005</v>
      </c>
      <c r="BD44" s="2">
        <v>-0.56319649999999999</v>
      </c>
      <c r="BE44" s="2">
        <v>-0.73861723999999995</v>
      </c>
      <c r="BF44" s="2">
        <v>-0.75103204999999995</v>
      </c>
      <c r="BG44" s="2">
        <v>0.57177849999999997</v>
      </c>
      <c r="BH44" s="2">
        <v>0.70504619999999996</v>
      </c>
      <c r="BI44" s="2">
        <v>0.719136</v>
      </c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s="13" t="str" cm="1">
        <f t="array" ref="A45">_xll.FDS(B45,"FG_COMPANY_NAME")</f>
        <v>Eni S.p.A.</v>
      </c>
      <c r="B45" s="4" t="str">
        <v>ENI-IT</v>
      </c>
      <c r="C45" s="2">
        <v>0.63420900000000002</v>
      </c>
      <c r="D45" s="2">
        <v>0.62873159999999995</v>
      </c>
      <c r="E45" s="2">
        <v>0.64882700000000004</v>
      </c>
      <c r="F45" s="2">
        <v>0.87284625000000005</v>
      </c>
      <c r="G45" s="2">
        <v>0.22705544999999999</v>
      </c>
      <c r="H45" s="2">
        <v>0.60929580000000005</v>
      </c>
      <c r="I45" s="2">
        <v>0.48075380000000001</v>
      </c>
      <c r="J45" s="2">
        <v>0.88233536000000001</v>
      </c>
      <c r="K45" s="2">
        <v>-0.72091894999999995</v>
      </c>
      <c r="L45" s="2">
        <v>0.83493269999999997</v>
      </c>
      <c r="M45" s="2">
        <v>0.76563864999999998</v>
      </c>
      <c r="N45" s="2">
        <v>6.4771209999999996E-2</v>
      </c>
      <c r="O45" s="2">
        <v>0.79375947000000002</v>
      </c>
      <c r="P45" s="2">
        <v>-0.49270471999999998</v>
      </c>
      <c r="Q45" s="2">
        <v>1</v>
      </c>
      <c r="R45" s="2">
        <v>0.76255315999999995</v>
      </c>
      <c r="S45" s="2">
        <v>0.90835929999999998</v>
      </c>
      <c r="T45" s="2">
        <v>-0.33323385999999999</v>
      </c>
      <c r="U45" s="2">
        <v>0.62978904999999996</v>
      </c>
      <c r="V45" s="2">
        <v>0.47665693999999997</v>
      </c>
      <c r="W45" s="2">
        <v>0.63697309999999996</v>
      </c>
      <c r="X45" s="2">
        <v>0.82695739999999995</v>
      </c>
      <c r="Y45" s="2">
        <v>0.57765840000000002</v>
      </c>
      <c r="Z45" s="2">
        <v>0.64118825999999995</v>
      </c>
      <c r="AA45" s="2">
        <v>-0.70841189999999998</v>
      </c>
      <c r="AB45" s="2">
        <v>0.65344290000000005</v>
      </c>
      <c r="AC45" s="2">
        <v>-0.67860690000000001</v>
      </c>
      <c r="AD45" s="2">
        <v>0.24134706</v>
      </c>
      <c r="AE45" s="2">
        <v>-0.73100966000000001</v>
      </c>
      <c r="AF45" s="2">
        <v>0.72788310000000001</v>
      </c>
      <c r="AG45" s="2">
        <v>0.18674412000000001</v>
      </c>
      <c r="AH45" s="2">
        <v>-0.83691890000000002</v>
      </c>
      <c r="AI45" s="2">
        <v>0.81519350000000002</v>
      </c>
      <c r="AJ45" s="2">
        <v>0.17064778999999999</v>
      </c>
      <c r="AK45" s="2">
        <v>0.78492609999999996</v>
      </c>
      <c r="AL45" s="2">
        <v>-0.101046264</v>
      </c>
      <c r="AM45" s="2">
        <v>-0.55485695999999995</v>
      </c>
      <c r="AN45" s="2">
        <v>0.96069309999999997</v>
      </c>
      <c r="AO45" s="2">
        <v>0.95083076</v>
      </c>
      <c r="AP45" s="2">
        <v>0.54785609999999996</v>
      </c>
      <c r="AQ45" s="2">
        <v>0.84203534999999996</v>
      </c>
      <c r="AR45" s="2">
        <v>-0.34601982999999997</v>
      </c>
      <c r="AS45" s="2">
        <v>0.83292836000000003</v>
      </c>
      <c r="AT45" s="2">
        <v>0.8776737</v>
      </c>
      <c r="AU45" s="2">
        <v>0.83442384000000003</v>
      </c>
      <c r="AV45" s="2">
        <v>0.92269659999999998</v>
      </c>
      <c r="AW45" s="2">
        <v>-0.25592363000000001</v>
      </c>
      <c r="AX45" s="2">
        <v>0.34740959999999999</v>
      </c>
      <c r="AY45" s="2">
        <v>0.68819019999999997</v>
      </c>
      <c r="AZ45" s="2">
        <v>0.90327369999999996</v>
      </c>
      <c r="BA45" s="2">
        <v>0.88588599999999995</v>
      </c>
      <c r="BB45" s="2">
        <v>0.15885257999999999</v>
      </c>
      <c r="BC45" s="2">
        <v>-0.20471228999999999</v>
      </c>
      <c r="BD45" s="2">
        <v>0.93208469999999999</v>
      </c>
      <c r="BE45" s="2">
        <v>0.54884993999999998</v>
      </c>
      <c r="BF45" s="2">
        <v>0.56736019999999998</v>
      </c>
      <c r="BG45" s="2">
        <v>-0.81642760000000003</v>
      </c>
      <c r="BH45" s="2">
        <v>-0.52647089999999996</v>
      </c>
      <c r="BI45" s="2">
        <v>-0.82594526000000001</v>
      </c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s="13" t="str" cm="1">
        <f t="array" ref="A46">_xll.FDS(B46,"FG_COMPANY_NAME")</f>
        <v>GSK plc</v>
      </c>
      <c r="B46" s="4" t="str">
        <v>GSK-GB</v>
      </c>
      <c r="C46" s="2">
        <v>0.47997970000000001</v>
      </c>
      <c r="D46" s="2">
        <v>0.64427053999999995</v>
      </c>
      <c r="E46" s="2">
        <v>0.5207965</v>
      </c>
      <c r="F46" s="2">
        <v>0.79662790000000006</v>
      </c>
      <c r="G46" s="2">
        <v>9.0249360000000001E-2</v>
      </c>
      <c r="H46" s="2">
        <v>0.68703526000000004</v>
      </c>
      <c r="I46" s="2">
        <v>0.50469520000000001</v>
      </c>
      <c r="J46" s="2">
        <v>0.79008036999999998</v>
      </c>
      <c r="K46" s="2">
        <v>-0.62944630000000001</v>
      </c>
      <c r="L46" s="2">
        <v>0.64312060000000004</v>
      </c>
      <c r="M46" s="2">
        <v>0.55759203000000002</v>
      </c>
      <c r="N46" s="2">
        <v>0.17058226000000001</v>
      </c>
      <c r="O46" s="2">
        <v>0.78961780000000004</v>
      </c>
      <c r="P46" s="2">
        <v>-0.57101599999999997</v>
      </c>
      <c r="Q46" s="2">
        <v>0.76255315999999995</v>
      </c>
      <c r="R46" s="2">
        <v>1</v>
      </c>
      <c r="S46" s="2">
        <v>0.81841470000000005</v>
      </c>
      <c r="T46" s="2">
        <v>-0.44814349999999997</v>
      </c>
      <c r="U46" s="2">
        <v>0.33255871999999997</v>
      </c>
      <c r="V46" s="2">
        <v>0.17891646999999999</v>
      </c>
      <c r="W46" s="2">
        <v>0.68980620000000004</v>
      </c>
      <c r="X46" s="2">
        <v>0.54847115000000002</v>
      </c>
      <c r="Y46" s="2">
        <v>0.53194010000000003</v>
      </c>
      <c r="Z46" s="2">
        <v>0.73107800000000001</v>
      </c>
      <c r="AA46" s="2">
        <v>-0.72044640000000004</v>
      </c>
      <c r="AB46" s="2">
        <v>0.32835618</v>
      </c>
      <c r="AC46" s="2">
        <v>-0.7287612</v>
      </c>
      <c r="AD46" s="2">
        <v>0.18166748999999999</v>
      </c>
      <c r="AE46" s="2">
        <v>-0.73125830000000003</v>
      </c>
      <c r="AF46" s="2">
        <v>0.48603582000000001</v>
      </c>
      <c r="AG46" s="2">
        <v>-0.13602689000000001</v>
      </c>
      <c r="AH46" s="2">
        <v>-0.6787628</v>
      </c>
      <c r="AI46" s="2">
        <v>0.83812684000000004</v>
      </c>
      <c r="AJ46" s="2">
        <v>0.15575375999999999</v>
      </c>
      <c r="AK46" s="2">
        <v>0.77163619999999999</v>
      </c>
      <c r="AL46" s="2">
        <v>-0.22555130000000001</v>
      </c>
      <c r="AM46" s="2">
        <v>-0.65427049999999998</v>
      </c>
      <c r="AN46" s="2">
        <v>0.79945949999999999</v>
      </c>
      <c r="AO46" s="2">
        <v>0.75468177000000003</v>
      </c>
      <c r="AP46" s="2">
        <v>0.31538305</v>
      </c>
      <c r="AQ46" s="2">
        <v>0.75496965999999999</v>
      </c>
      <c r="AR46" s="2">
        <v>5.0942254999999997E-3</v>
      </c>
      <c r="AS46" s="2">
        <v>0.80993519999999997</v>
      </c>
      <c r="AT46" s="2">
        <v>0.5958521</v>
      </c>
      <c r="AU46" s="2">
        <v>0.79157763999999997</v>
      </c>
      <c r="AV46" s="2">
        <v>0.82279860000000005</v>
      </c>
      <c r="AW46" s="2">
        <v>-0.41290260000000001</v>
      </c>
      <c r="AX46" s="2">
        <v>0.39411532999999999</v>
      </c>
      <c r="AY46" s="2">
        <v>0.50393449999999995</v>
      </c>
      <c r="AZ46" s="2">
        <v>0.7409</v>
      </c>
      <c r="BA46" s="2">
        <v>0.81023120000000004</v>
      </c>
      <c r="BB46" s="2">
        <v>0.24281565999999999</v>
      </c>
      <c r="BC46" s="2">
        <v>-0.43409932000000001</v>
      </c>
      <c r="BD46" s="2">
        <v>0.77515710000000004</v>
      </c>
      <c r="BE46" s="2">
        <v>0.58679663999999998</v>
      </c>
      <c r="BF46" s="2">
        <v>0.57712200000000002</v>
      </c>
      <c r="BG46" s="2">
        <v>-0.6160369</v>
      </c>
      <c r="BH46" s="2">
        <v>-0.60492270000000004</v>
      </c>
      <c r="BI46" s="2">
        <v>-0.74328755999999996</v>
      </c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s="13" t="str" cm="1">
        <f t="array" ref="A47">_xll.FDS(B47,"FG_COMPANY_NAME")</f>
        <v>H.U.Group Holdings, Inc.</v>
      </c>
      <c r="B47" s="4" t="str">
        <v>4544-JP</v>
      </c>
      <c r="C47" s="2">
        <v>0.57672420000000002</v>
      </c>
      <c r="D47" s="2">
        <v>0.56520987</v>
      </c>
      <c r="E47" s="2">
        <v>0.62537160000000003</v>
      </c>
      <c r="F47" s="2">
        <v>0.86594605000000002</v>
      </c>
      <c r="G47" s="2">
        <v>3.4607227999999997E-2</v>
      </c>
      <c r="H47" s="2">
        <v>0.60186589999999995</v>
      </c>
      <c r="I47" s="2">
        <v>0.39854499999999998</v>
      </c>
      <c r="J47" s="2">
        <v>0.92981349999999996</v>
      </c>
      <c r="K47" s="2">
        <v>-0.85528636000000002</v>
      </c>
      <c r="L47" s="2">
        <v>0.87626139999999997</v>
      </c>
      <c r="M47" s="2">
        <v>0.68935685999999996</v>
      </c>
      <c r="N47" s="2">
        <v>0.21568248000000001</v>
      </c>
      <c r="O47" s="2">
        <v>0.89083650000000003</v>
      </c>
      <c r="P47" s="2">
        <v>-0.57638573999999998</v>
      </c>
      <c r="Q47" s="2">
        <v>0.90835929999999998</v>
      </c>
      <c r="R47" s="2">
        <v>0.81841470000000005</v>
      </c>
      <c r="S47" s="2">
        <v>1</v>
      </c>
      <c r="T47" s="2">
        <v>-0.56085426000000005</v>
      </c>
      <c r="U47" s="2">
        <v>0.56821465000000004</v>
      </c>
      <c r="V47" s="2">
        <v>0.34096201999999998</v>
      </c>
      <c r="W47" s="2">
        <v>0.59027470000000004</v>
      </c>
      <c r="X47" s="2">
        <v>0.79345036000000002</v>
      </c>
      <c r="Y47" s="2">
        <v>0.47164366000000002</v>
      </c>
      <c r="Z47" s="2">
        <v>0.7996451</v>
      </c>
      <c r="AA47" s="2">
        <v>-0.8608557</v>
      </c>
      <c r="AB47" s="2">
        <v>0.49983727999999999</v>
      </c>
      <c r="AC47" s="2">
        <v>-0.86185540000000005</v>
      </c>
      <c r="AD47" s="2">
        <v>0.14691871000000001</v>
      </c>
      <c r="AE47" s="2">
        <v>-0.88860850000000002</v>
      </c>
      <c r="AF47" s="2">
        <v>0.77938289999999999</v>
      </c>
      <c r="AG47" s="2">
        <v>2.8878013000000001E-2</v>
      </c>
      <c r="AH47" s="2">
        <v>-0.84916186000000005</v>
      </c>
      <c r="AI47" s="2">
        <v>0.91551490000000002</v>
      </c>
      <c r="AJ47" s="2">
        <v>8.4949135999999995E-2</v>
      </c>
      <c r="AK47" s="2">
        <v>0.90309419999999996</v>
      </c>
      <c r="AL47" s="2">
        <v>-0.33848679999999998</v>
      </c>
      <c r="AM47" s="2">
        <v>-0.67214229999999997</v>
      </c>
      <c r="AN47" s="2">
        <v>0.93095300000000003</v>
      </c>
      <c r="AO47" s="2">
        <v>0.89735514000000005</v>
      </c>
      <c r="AP47" s="2">
        <v>0.46502155000000001</v>
      </c>
      <c r="AQ47" s="2">
        <v>0.82402396</v>
      </c>
      <c r="AR47" s="2">
        <v>-0.38271486999999998</v>
      </c>
      <c r="AS47" s="2">
        <v>0.89468099999999995</v>
      </c>
      <c r="AT47" s="2">
        <v>0.8312872</v>
      </c>
      <c r="AU47" s="2">
        <v>0.92207130000000004</v>
      </c>
      <c r="AV47" s="2">
        <v>0.92163145999999996</v>
      </c>
      <c r="AW47" s="2">
        <v>-0.49061265999999998</v>
      </c>
      <c r="AX47" s="2">
        <v>0.25860354000000002</v>
      </c>
      <c r="AY47" s="2">
        <v>0.56917930000000005</v>
      </c>
      <c r="AZ47" s="2">
        <v>0.88648057000000002</v>
      </c>
      <c r="BA47" s="2">
        <v>0.89243260000000002</v>
      </c>
      <c r="BB47" s="2">
        <v>0.20561846</v>
      </c>
      <c r="BC47" s="2">
        <v>-0.38729839999999999</v>
      </c>
      <c r="BD47" s="2">
        <v>0.95001245000000001</v>
      </c>
      <c r="BE47" s="2">
        <v>0.60555919999999996</v>
      </c>
      <c r="BF47" s="2">
        <v>0.67520683999999997</v>
      </c>
      <c r="BG47" s="2">
        <v>-0.88335750000000002</v>
      </c>
      <c r="BH47" s="2">
        <v>-0.60853959999999996</v>
      </c>
      <c r="BI47" s="2">
        <v>-0.89916870000000004</v>
      </c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s="13" t="str" cm="1">
        <f t="array" ref="A48">_xll.FDS(B48,"FG_COMPANY_NAME")</f>
        <v>Halliburton Company</v>
      </c>
      <c r="B48" s="4" t="str">
        <v>HAL-US</v>
      </c>
      <c r="C48" s="2">
        <v>-0.41630729999999999</v>
      </c>
      <c r="D48" s="2">
        <v>0.16264147000000001</v>
      </c>
      <c r="E48" s="2">
        <v>-0.22008395</v>
      </c>
      <c r="F48" s="2">
        <v>-0.29478832999999999</v>
      </c>
      <c r="G48" s="2">
        <v>0.23547839000000001</v>
      </c>
      <c r="H48" s="2">
        <v>-2.3926784999999999E-2</v>
      </c>
      <c r="I48" s="2">
        <v>-0.37335473000000002</v>
      </c>
      <c r="J48" s="2">
        <v>-0.64514110000000002</v>
      </c>
      <c r="K48" s="2">
        <v>0.66776305000000002</v>
      </c>
      <c r="L48" s="2">
        <v>-0.66709759999999996</v>
      </c>
      <c r="M48" s="2">
        <v>-0.26485786</v>
      </c>
      <c r="N48" s="2">
        <v>-0.19370301000000001</v>
      </c>
      <c r="O48" s="2">
        <v>-0.64312016999999999</v>
      </c>
      <c r="P48" s="2">
        <v>0.70619370000000004</v>
      </c>
      <c r="Q48" s="2">
        <v>-0.33323385999999999</v>
      </c>
      <c r="R48" s="2">
        <v>-0.44814349999999997</v>
      </c>
      <c r="S48" s="2">
        <v>-0.56085426000000005</v>
      </c>
      <c r="T48" s="2">
        <v>1</v>
      </c>
      <c r="U48" s="2">
        <v>-0.36504108000000002</v>
      </c>
      <c r="V48" s="2">
        <v>0.38369796</v>
      </c>
      <c r="W48" s="2">
        <v>0.11367542999999999</v>
      </c>
      <c r="X48" s="2">
        <v>-0.29375294000000002</v>
      </c>
      <c r="Y48" s="2">
        <v>0.23413713</v>
      </c>
      <c r="Z48" s="2">
        <v>-0.79646753999999997</v>
      </c>
      <c r="AA48" s="2">
        <v>0.62009159999999997</v>
      </c>
      <c r="AB48" s="2">
        <v>0.1503236</v>
      </c>
      <c r="AC48" s="2">
        <v>0.74364989999999997</v>
      </c>
      <c r="AD48" s="2">
        <v>0.59172106000000002</v>
      </c>
      <c r="AE48" s="2">
        <v>0.73113340000000004</v>
      </c>
      <c r="AF48" s="2">
        <v>-0.40504065</v>
      </c>
      <c r="AG48" s="2">
        <v>0.64909059999999996</v>
      </c>
      <c r="AH48" s="2">
        <v>0.42210826000000001</v>
      </c>
      <c r="AI48" s="2">
        <v>-0.70632550000000005</v>
      </c>
      <c r="AJ48" s="2">
        <v>0.60516910000000002</v>
      </c>
      <c r="AK48" s="2">
        <v>-0.71366980000000002</v>
      </c>
      <c r="AL48" s="2">
        <v>0.68514293000000004</v>
      </c>
      <c r="AM48" s="2">
        <v>0.79583614999999996</v>
      </c>
      <c r="AN48" s="2">
        <v>-0.34717616000000001</v>
      </c>
      <c r="AO48" s="2">
        <v>-0.24993689999999999</v>
      </c>
      <c r="AP48" s="2">
        <v>0.35006246000000002</v>
      </c>
      <c r="AQ48" s="2">
        <v>-0.15323766</v>
      </c>
      <c r="AR48" s="2">
        <v>4.1763000000000002E-2</v>
      </c>
      <c r="AS48" s="2">
        <v>-0.67686619999999997</v>
      </c>
      <c r="AT48" s="2">
        <v>-0.25523390000000001</v>
      </c>
      <c r="AU48" s="2">
        <v>-0.74627030000000005</v>
      </c>
      <c r="AV48" s="2">
        <v>-0.50814990000000004</v>
      </c>
      <c r="AW48" s="2">
        <v>0.81780109999999995</v>
      </c>
      <c r="AX48" s="2">
        <v>0.41057002999999997</v>
      </c>
      <c r="AY48" s="2">
        <v>0.27703445999999998</v>
      </c>
      <c r="AZ48" s="2">
        <v>-0.34438651999999997</v>
      </c>
      <c r="BA48" s="2">
        <v>-0.35363393999999998</v>
      </c>
      <c r="BB48" s="2">
        <v>-0.42991915000000003</v>
      </c>
      <c r="BC48" s="2">
        <v>0.8429238</v>
      </c>
      <c r="BD48" s="2">
        <v>-0.50762534000000004</v>
      </c>
      <c r="BE48" s="2">
        <v>-0.68272129999999998</v>
      </c>
      <c r="BF48" s="2">
        <v>-0.67423929999999999</v>
      </c>
      <c r="BG48" s="2">
        <v>0.63540209999999997</v>
      </c>
      <c r="BH48" s="2">
        <v>0.56974650000000004</v>
      </c>
      <c r="BI48" s="2">
        <v>0.65164390000000005</v>
      </c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s="13" t="str" cm="1">
        <f t="array" ref="A49">_xll.FDS(B49,"FG_COMPANY_NAME")</f>
        <v>HANKOOK TIRE &amp; TECHNOLOGY Co., Ltd.</v>
      </c>
      <c r="B49" s="4" t="str">
        <v>161390-KR</v>
      </c>
      <c r="C49" s="2">
        <v>0.60586459999999998</v>
      </c>
      <c r="D49" s="2">
        <v>0.15423897</v>
      </c>
      <c r="E49" s="2">
        <v>0.41165970000000002</v>
      </c>
      <c r="F49" s="2">
        <v>0.40931709999999999</v>
      </c>
      <c r="G49" s="2">
        <v>-6.8665119999999996E-2</v>
      </c>
      <c r="H49" s="2">
        <v>0.10052373000000001</v>
      </c>
      <c r="I49" s="2">
        <v>0.20686056999999999</v>
      </c>
      <c r="J49" s="2">
        <v>0.60845285999999998</v>
      </c>
      <c r="K49" s="2">
        <v>-0.55237365000000005</v>
      </c>
      <c r="L49" s="2">
        <v>0.68660710000000003</v>
      </c>
      <c r="M49" s="2">
        <v>0.62682760000000004</v>
      </c>
      <c r="N49" s="2">
        <v>0.11294582</v>
      </c>
      <c r="O49" s="2">
        <v>0.61888410000000005</v>
      </c>
      <c r="P49" s="2">
        <v>-0.39883506000000002</v>
      </c>
      <c r="Q49" s="2">
        <v>0.62978904999999996</v>
      </c>
      <c r="R49" s="2">
        <v>0.33255871999999997</v>
      </c>
      <c r="S49" s="2">
        <v>0.56821465000000004</v>
      </c>
      <c r="T49" s="2">
        <v>-0.36504108000000002</v>
      </c>
      <c r="U49" s="2">
        <v>1</v>
      </c>
      <c r="V49" s="2">
        <v>0.17347662</v>
      </c>
      <c r="W49" s="2">
        <v>0.16801399</v>
      </c>
      <c r="X49" s="2">
        <v>0.70503070000000001</v>
      </c>
      <c r="Y49" s="2">
        <v>0.13908493999999999</v>
      </c>
      <c r="Z49" s="2">
        <v>0.49851646999999999</v>
      </c>
      <c r="AA49" s="2">
        <v>-0.47240337999999998</v>
      </c>
      <c r="AB49" s="2">
        <v>0.40223977</v>
      </c>
      <c r="AC49" s="2">
        <v>-0.47003633</v>
      </c>
      <c r="AD49" s="2">
        <v>-9.1550820000000005E-2</v>
      </c>
      <c r="AE49" s="2">
        <v>-0.53638344999999998</v>
      </c>
      <c r="AF49" s="2">
        <v>0.43810362000000003</v>
      </c>
      <c r="AG49" s="2">
        <v>-1.9174910999999999E-2</v>
      </c>
      <c r="AH49" s="2">
        <v>-0.56118060000000003</v>
      </c>
      <c r="AI49" s="2">
        <v>0.58156353000000005</v>
      </c>
      <c r="AJ49" s="2">
        <v>-0.20415440000000001</v>
      </c>
      <c r="AK49" s="2">
        <v>0.40803134000000002</v>
      </c>
      <c r="AL49" s="2">
        <v>-0.21059231</v>
      </c>
      <c r="AM49" s="2">
        <v>-0.43951913999999997</v>
      </c>
      <c r="AN49" s="2">
        <v>0.55008009999999996</v>
      </c>
      <c r="AO49" s="2">
        <v>0.55729130000000004</v>
      </c>
      <c r="AP49" s="2">
        <v>0.15019726999999999</v>
      </c>
      <c r="AQ49" s="2">
        <v>0.52157503000000005</v>
      </c>
      <c r="AR49" s="2">
        <v>-0.36852884000000002</v>
      </c>
      <c r="AS49" s="2">
        <v>0.59820070000000003</v>
      </c>
      <c r="AT49" s="2">
        <v>0.70959190000000005</v>
      </c>
      <c r="AU49" s="2">
        <v>0.59025704999999995</v>
      </c>
      <c r="AV49" s="2">
        <v>0.59417140000000002</v>
      </c>
      <c r="AW49" s="2">
        <v>-0.31354209999999999</v>
      </c>
      <c r="AX49" s="2">
        <v>9.475008E-2</v>
      </c>
      <c r="AY49" s="2">
        <v>0.29251152000000002</v>
      </c>
      <c r="AZ49" s="2">
        <v>0.4787054</v>
      </c>
      <c r="BA49" s="2">
        <v>0.47355740000000002</v>
      </c>
      <c r="BB49" s="2">
        <v>4.0707069999999998E-2</v>
      </c>
      <c r="BC49" s="2">
        <v>-0.22280906</v>
      </c>
      <c r="BD49" s="2">
        <v>0.64780789999999999</v>
      </c>
      <c r="BE49" s="2">
        <v>0.28337875000000001</v>
      </c>
      <c r="BF49" s="2">
        <v>0.44350000000000001</v>
      </c>
      <c r="BG49" s="2">
        <v>-0.63653183000000002</v>
      </c>
      <c r="BH49" s="2">
        <v>-0.41975596999999998</v>
      </c>
      <c r="BI49" s="2">
        <v>-0.59483929999999996</v>
      </c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s="13" t="str" cm="1">
        <f t="array" ref="A50">_xll.FDS(B50,"FG_COMPANY_NAME")</f>
        <v>Hewlett Packard Enterprise Co.</v>
      </c>
      <c r="B50" s="4" t="str">
        <v>HPE-US</v>
      </c>
      <c r="C50" s="2">
        <v>-9.9834729999999997E-2</v>
      </c>
      <c r="D50" s="2">
        <v>0.72719440000000002</v>
      </c>
      <c r="E50" s="2">
        <v>0.24856671999999999</v>
      </c>
      <c r="F50" s="2">
        <v>0.59953195000000004</v>
      </c>
      <c r="G50" s="2">
        <v>0.26152690000000001</v>
      </c>
      <c r="H50" s="2">
        <v>0.48937276000000002</v>
      </c>
      <c r="I50" s="2">
        <v>-6.2034298000000002E-2</v>
      </c>
      <c r="J50" s="2">
        <v>0.22251202</v>
      </c>
      <c r="K50" s="2">
        <v>-0.22612572</v>
      </c>
      <c r="L50" s="2">
        <v>0.15016413000000001</v>
      </c>
      <c r="M50" s="2">
        <v>0.57008910000000002</v>
      </c>
      <c r="N50" s="2">
        <v>-0.15534753000000001</v>
      </c>
      <c r="O50" s="2">
        <v>0.18043092999999999</v>
      </c>
      <c r="P50" s="2">
        <v>0.15376200000000001</v>
      </c>
      <c r="Q50" s="2">
        <v>0.47665693999999997</v>
      </c>
      <c r="R50" s="2">
        <v>0.17891646999999999</v>
      </c>
      <c r="S50" s="2">
        <v>0.34096201999999998</v>
      </c>
      <c r="T50" s="2">
        <v>0.38369796</v>
      </c>
      <c r="U50" s="2">
        <v>0.17347662</v>
      </c>
      <c r="V50" s="2">
        <v>1</v>
      </c>
      <c r="W50" s="2">
        <v>0.54763010000000001</v>
      </c>
      <c r="X50" s="2">
        <v>0.55536836000000001</v>
      </c>
      <c r="Y50" s="2">
        <v>0.75733019999999995</v>
      </c>
      <c r="Z50" s="2">
        <v>-0.10235013</v>
      </c>
      <c r="AA50" s="2">
        <v>-0.25076172000000002</v>
      </c>
      <c r="AB50" s="2">
        <v>0.73507670000000003</v>
      </c>
      <c r="AC50" s="2">
        <v>-7.3777770000000006E-2</v>
      </c>
      <c r="AD50" s="2">
        <v>0.77895075000000003</v>
      </c>
      <c r="AE50" s="2">
        <v>-0.14530631999999999</v>
      </c>
      <c r="AF50" s="2">
        <v>0.33672875000000002</v>
      </c>
      <c r="AG50" s="2">
        <v>0.69577639999999996</v>
      </c>
      <c r="AH50" s="2">
        <v>-0.50521970000000005</v>
      </c>
      <c r="AI50" s="2">
        <v>0.12238771499999999</v>
      </c>
      <c r="AJ50" s="2">
        <v>0.57399129999999998</v>
      </c>
      <c r="AK50" s="2">
        <v>0.14690027</v>
      </c>
      <c r="AL50" s="2">
        <v>0.42461320000000002</v>
      </c>
      <c r="AM50" s="2">
        <v>0.23563047000000001</v>
      </c>
      <c r="AN50" s="2">
        <v>0.53166133000000004</v>
      </c>
      <c r="AO50" s="2">
        <v>0.58247230000000005</v>
      </c>
      <c r="AP50" s="2">
        <v>0.8310649</v>
      </c>
      <c r="AQ50" s="2">
        <v>0.55800570000000005</v>
      </c>
      <c r="AR50" s="2">
        <v>-0.47011491999999999</v>
      </c>
      <c r="AS50" s="2">
        <v>5.4220089999999999E-2</v>
      </c>
      <c r="AT50" s="2">
        <v>0.58644914999999997</v>
      </c>
      <c r="AU50" s="2">
        <v>0.12307079999999999</v>
      </c>
      <c r="AV50" s="2">
        <v>0.38357982000000002</v>
      </c>
      <c r="AW50" s="2">
        <v>0.4022</v>
      </c>
      <c r="AX50" s="2">
        <v>0.53289025999999995</v>
      </c>
      <c r="AY50" s="2">
        <v>0.63964944999999995</v>
      </c>
      <c r="AZ50" s="2">
        <v>0.47947620000000002</v>
      </c>
      <c r="BA50" s="2">
        <v>0.48851549999999999</v>
      </c>
      <c r="BB50" s="2">
        <v>-0.43211329999999998</v>
      </c>
      <c r="BC50" s="2">
        <v>0.59405529999999995</v>
      </c>
      <c r="BD50" s="2">
        <v>0.34806776</v>
      </c>
      <c r="BE50" s="2">
        <v>-7.6502870000000001E-2</v>
      </c>
      <c r="BF50" s="2">
        <v>-0.22683846999999999</v>
      </c>
      <c r="BG50" s="2">
        <v>-0.30097327000000001</v>
      </c>
      <c r="BH50" s="2">
        <v>-0.16867112000000001</v>
      </c>
      <c r="BI50" s="2">
        <v>-0.17038502</v>
      </c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s="13" t="str" cm="1">
        <f t="array" ref="A51">_xll.FDS(B51,"FG_COMPANY_NAME")</f>
        <v>Intel Corporation</v>
      </c>
      <c r="B51" s="4" t="str">
        <v>INTC-US</v>
      </c>
      <c r="C51" s="2">
        <v>0.19769216000000001</v>
      </c>
      <c r="D51" s="2">
        <v>0.86265044999999996</v>
      </c>
      <c r="E51" s="2">
        <v>0.55123334999999996</v>
      </c>
      <c r="F51" s="2">
        <v>0.71576225999999998</v>
      </c>
      <c r="G51" s="2">
        <v>0.17129643</v>
      </c>
      <c r="H51" s="2">
        <v>0.88129619999999997</v>
      </c>
      <c r="I51" s="2">
        <v>0.17630699999999999</v>
      </c>
      <c r="J51" s="2">
        <v>0.44609420999999999</v>
      </c>
      <c r="K51" s="2">
        <v>-0.42895177000000001</v>
      </c>
      <c r="L51" s="2">
        <v>0.28177822000000002</v>
      </c>
      <c r="M51" s="2">
        <v>0.40277624000000001</v>
      </c>
      <c r="N51" s="2">
        <v>0.17277836999999999</v>
      </c>
      <c r="O51" s="2">
        <v>0.46562949999999997</v>
      </c>
      <c r="P51" s="2">
        <v>-0.14829959000000001</v>
      </c>
      <c r="Q51" s="2">
        <v>0.63697309999999996</v>
      </c>
      <c r="R51" s="2">
        <v>0.68980620000000004</v>
      </c>
      <c r="S51" s="2">
        <v>0.59027470000000004</v>
      </c>
      <c r="T51" s="2">
        <v>0.11367542999999999</v>
      </c>
      <c r="U51" s="2">
        <v>0.16801399</v>
      </c>
      <c r="V51" s="2">
        <v>0.54763010000000001</v>
      </c>
      <c r="W51" s="2">
        <v>1</v>
      </c>
      <c r="X51" s="2">
        <v>0.46725273000000001</v>
      </c>
      <c r="Y51" s="2">
        <v>0.82277714999999996</v>
      </c>
      <c r="Z51" s="2">
        <v>0.31169910000000001</v>
      </c>
      <c r="AA51" s="2">
        <v>-0.46383943999999999</v>
      </c>
      <c r="AB51" s="2">
        <v>0.44015389999999999</v>
      </c>
      <c r="AC51" s="2">
        <v>-0.44630226000000001</v>
      </c>
      <c r="AD51" s="2">
        <v>0.65240900000000002</v>
      </c>
      <c r="AE51" s="2">
        <v>-0.43148567999999998</v>
      </c>
      <c r="AF51" s="2">
        <v>0.37736346999999998</v>
      </c>
      <c r="AG51" s="2">
        <v>0.31838127999999999</v>
      </c>
      <c r="AH51" s="2">
        <v>-0.54599905000000004</v>
      </c>
      <c r="AI51" s="2">
        <v>0.45052403000000002</v>
      </c>
      <c r="AJ51" s="2">
        <v>0.60352859999999997</v>
      </c>
      <c r="AK51" s="2">
        <v>0.43537779999999998</v>
      </c>
      <c r="AL51" s="2">
        <v>7.2848270000000007E-2</v>
      </c>
      <c r="AM51" s="2">
        <v>-0.19524685</v>
      </c>
      <c r="AN51" s="2">
        <v>0.7134258</v>
      </c>
      <c r="AO51" s="2">
        <v>0.73304000000000002</v>
      </c>
      <c r="AP51" s="2">
        <v>0.69213676000000002</v>
      </c>
      <c r="AQ51" s="2">
        <v>0.8559213</v>
      </c>
      <c r="AR51" s="2">
        <v>-0.14393336000000001</v>
      </c>
      <c r="AS51" s="2">
        <v>0.48736889999999999</v>
      </c>
      <c r="AT51" s="2">
        <v>0.58453697000000004</v>
      </c>
      <c r="AU51" s="2">
        <v>0.42178556</v>
      </c>
      <c r="AV51" s="2">
        <v>0.59372663000000003</v>
      </c>
      <c r="AW51" s="2">
        <v>-3.9143129999999998E-2</v>
      </c>
      <c r="AX51" s="2">
        <v>0.69191340000000001</v>
      </c>
      <c r="AY51" s="2">
        <v>0.77213050000000005</v>
      </c>
      <c r="AZ51" s="2">
        <v>0.63287895999999999</v>
      </c>
      <c r="BA51" s="2">
        <v>0.77265620000000002</v>
      </c>
      <c r="BB51" s="2">
        <v>-0.16089145999999999</v>
      </c>
      <c r="BC51" s="2">
        <v>7.5254399999999999E-2</v>
      </c>
      <c r="BD51" s="2">
        <v>0.5453597</v>
      </c>
      <c r="BE51" s="2">
        <v>0.13024817</v>
      </c>
      <c r="BF51" s="2">
        <v>-0.12287465</v>
      </c>
      <c r="BG51" s="2">
        <v>-0.40673313</v>
      </c>
      <c r="BH51" s="2">
        <v>-0.30949870000000002</v>
      </c>
      <c r="BI51" s="2">
        <v>-0.50775590000000004</v>
      </c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s="13" t="str" cm="1">
        <f t="array" ref="A52">_xll.FDS(B52,"FG_COMPANY_NAME")</f>
        <v>KB Financial Group Inc.</v>
      </c>
      <c r="B52" s="4" t="str">
        <v>105560-KR</v>
      </c>
      <c r="C52" s="2">
        <v>0.52251999999999998</v>
      </c>
      <c r="D52" s="2">
        <v>0.53512230000000005</v>
      </c>
      <c r="E52" s="2">
        <v>0.39961553</v>
      </c>
      <c r="F52" s="2">
        <v>0.74408215</v>
      </c>
      <c r="G52" s="2">
        <v>-4.9062339999999996E-4</v>
      </c>
      <c r="H52" s="2">
        <v>0.43308023000000001</v>
      </c>
      <c r="I52" s="2">
        <v>0.15726459000000001</v>
      </c>
      <c r="J52" s="2">
        <v>0.79965810000000004</v>
      </c>
      <c r="K52" s="2">
        <v>-0.74490993999999999</v>
      </c>
      <c r="L52" s="2">
        <v>0.80485130000000005</v>
      </c>
      <c r="M52" s="2">
        <v>0.82150639999999997</v>
      </c>
      <c r="N52" s="2">
        <v>0.119920254</v>
      </c>
      <c r="O52" s="2">
        <v>0.75171745000000001</v>
      </c>
      <c r="P52" s="2">
        <v>-0.29287540000000001</v>
      </c>
      <c r="Q52" s="2">
        <v>0.82695739999999995</v>
      </c>
      <c r="R52" s="2">
        <v>0.54847115000000002</v>
      </c>
      <c r="S52" s="2">
        <v>0.79345036000000002</v>
      </c>
      <c r="T52" s="2">
        <v>-0.29375294000000002</v>
      </c>
      <c r="U52" s="2">
        <v>0.70503070000000001</v>
      </c>
      <c r="V52" s="2">
        <v>0.55536836000000001</v>
      </c>
      <c r="W52" s="2">
        <v>0.46725273000000001</v>
      </c>
      <c r="X52" s="2">
        <v>1</v>
      </c>
      <c r="Y52" s="2">
        <v>0.42953432000000002</v>
      </c>
      <c r="Z52" s="2">
        <v>0.55832550000000003</v>
      </c>
      <c r="AA52" s="2">
        <v>-0.71734790000000004</v>
      </c>
      <c r="AB52" s="2">
        <v>0.65481734000000003</v>
      </c>
      <c r="AC52" s="2">
        <v>-0.59867870000000001</v>
      </c>
      <c r="AD52" s="2">
        <v>0.20554149999999999</v>
      </c>
      <c r="AE52" s="2">
        <v>-0.69031370000000003</v>
      </c>
      <c r="AF52" s="2">
        <v>0.66237354000000004</v>
      </c>
      <c r="AG52" s="2">
        <v>0.20708414999999999</v>
      </c>
      <c r="AH52" s="2">
        <v>-0.82545847000000006</v>
      </c>
      <c r="AI52" s="2">
        <v>0.7181478</v>
      </c>
      <c r="AJ52" s="2">
        <v>0.14428141999999999</v>
      </c>
      <c r="AK52" s="2">
        <v>0.59431730000000005</v>
      </c>
      <c r="AL52" s="2">
        <v>-0.12317201</v>
      </c>
      <c r="AM52" s="2">
        <v>-0.32134955999999998</v>
      </c>
      <c r="AN52" s="2">
        <v>0.82965849999999997</v>
      </c>
      <c r="AO52" s="2">
        <v>0.82981914000000001</v>
      </c>
      <c r="AP52" s="2">
        <v>0.55363770000000001</v>
      </c>
      <c r="AQ52" s="2">
        <v>0.73694999999999999</v>
      </c>
      <c r="AR52" s="2">
        <v>-0.66028403999999996</v>
      </c>
      <c r="AS52" s="2">
        <v>0.69108590000000003</v>
      </c>
      <c r="AT52" s="2">
        <v>0.96828259999999999</v>
      </c>
      <c r="AU52" s="2">
        <v>0.70889959999999996</v>
      </c>
      <c r="AV52" s="2">
        <v>0.76850799999999997</v>
      </c>
      <c r="AW52" s="2">
        <v>-0.24090033999999999</v>
      </c>
      <c r="AX52" s="2">
        <v>0.19171058999999999</v>
      </c>
      <c r="AY52" s="2">
        <v>0.59009230000000001</v>
      </c>
      <c r="AZ52" s="2">
        <v>0.68582743000000002</v>
      </c>
      <c r="BA52" s="2">
        <v>0.78691549999999999</v>
      </c>
      <c r="BB52" s="2">
        <v>4.6757213999999998E-2</v>
      </c>
      <c r="BC52" s="2">
        <v>-4.1195929999999999E-2</v>
      </c>
      <c r="BD52" s="2">
        <v>0.83052420000000005</v>
      </c>
      <c r="BE52" s="2">
        <v>0.25467917000000001</v>
      </c>
      <c r="BF52" s="2">
        <v>0.30808746999999997</v>
      </c>
      <c r="BG52" s="2">
        <v>-0.83738970000000001</v>
      </c>
      <c r="BH52" s="2">
        <v>-0.42921036000000001</v>
      </c>
      <c r="BI52" s="2">
        <v>-0.65956729999999997</v>
      </c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s="13" t="str" cm="1">
        <f t="array" ref="A53">_xll.FDS(B53,"FG_COMPANY_NAME")</f>
        <v>Kering SA</v>
      </c>
      <c r="B53" s="4" t="str">
        <v>KER-FR</v>
      </c>
      <c r="C53" s="2">
        <v>1.4948568000000001E-2</v>
      </c>
      <c r="D53" s="2">
        <v>0.88406116000000001</v>
      </c>
      <c r="E53" s="2">
        <v>0.45288162999999998</v>
      </c>
      <c r="F53" s="2">
        <v>0.73284090000000002</v>
      </c>
      <c r="G53" s="2">
        <v>0.37253890000000001</v>
      </c>
      <c r="H53" s="2">
        <v>0.76531225000000003</v>
      </c>
      <c r="I53" s="2">
        <v>0.28373635000000003</v>
      </c>
      <c r="J53" s="2">
        <v>0.34673031999999998</v>
      </c>
      <c r="K53" s="2">
        <v>-0.28084110000000001</v>
      </c>
      <c r="L53" s="2">
        <v>0.18145945999999999</v>
      </c>
      <c r="M53" s="2">
        <v>0.55763483000000003</v>
      </c>
      <c r="N53" s="2">
        <v>-0.107257165</v>
      </c>
      <c r="O53" s="2">
        <v>0.34267959999999997</v>
      </c>
      <c r="P53" s="2">
        <v>-0.14110134999999999</v>
      </c>
      <c r="Q53" s="2">
        <v>0.57765840000000002</v>
      </c>
      <c r="R53" s="2">
        <v>0.53194010000000003</v>
      </c>
      <c r="S53" s="2">
        <v>0.47164366000000002</v>
      </c>
      <c r="T53" s="2">
        <v>0.23413713</v>
      </c>
      <c r="U53" s="2">
        <v>0.13908493999999999</v>
      </c>
      <c r="V53" s="2">
        <v>0.75733019999999995</v>
      </c>
      <c r="W53" s="2">
        <v>0.82277714999999996</v>
      </c>
      <c r="X53" s="2">
        <v>0.42953432000000002</v>
      </c>
      <c r="Y53" s="2">
        <v>1</v>
      </c>
      <c r="Z53" s="2">
        <v>0.10007154</v>
      </c>
      <c r="AA53" s="2">
        <v>-0.36022316999999998</v>
      </c>
      <c r="AB53" s="2">
        <v>0.57329010000000002</v>
      </c>
      <c r="AC53" s="2">
        <v>-0.29333752000000002</v>
      </c>
      <c r="AD53" s="2">
        <v>0.78608210000000001</v>
      </c>
      <c r="AE53" s="2">
        <v>-0.29830992000000001</v>
      </c>
      <c r="AF53" s="2">
        <v>0.27510815999999999</v>
      </c>
      <c r="AG53" s="2">
        <v>0.47183554999999999</v>
      </c>
      <c r="AH53" s="2">
        <v>-0.53821889999999994</v>
      </c>
      <c r="AI53" s="2">
        <v>0.30553027999999999</v>
      </c>
      <c r="AJ53" s="2">
        <v>0.60099709999999995</v>
      </c>
      <c r="AK53" s="2">
        <v>0.32661142999999998</v>
      </c>
      <c r="AL53" s="2">
        <v>0.29086849999999997</v>
      </c>
      <c r="AM53" s="2">
        <v>-8.7266389999999999E-2</v>
      </c>
      <c r="AN53" s="2">
        <v>0.65215296</v>
      </c>
      <c r="AO53" s="2">
        <v>0.69492774999999996</v>
      </c>
      <c r="AP53" s="2">
        <v>0.74509239999999999</v>
      </c>
      <c r="AQ53" s="2">
        <v>0.75838090000000002</v>
      </c>
      <c r="AR53" s="2">
        <v>-8.6868286000000003E-2</v>
      </c>
      <c r="AS53" s="2">
        <v>0.31920415000000002</v>
      </c>
      <c r="AT53" s="2">
        <v>0.53825199999999995</v>
      </c>
      <c r="AU53" s="2">
        <v>0.30915864999999998</v>
      </c>
      <c r="AV53" s="2">
        <v>0.5602203</v>
      </c>
      <c r="AW53" s="2">
        <v>0.21370162000000001</v>
      </c>
      <c r="AX53" s="2">
        <v>0.79015016999999999</v>
      </c>
      <c r="AY53" s="2">
        <v>0.70999100000000004</v>
      </c>
      <c r="AZ53" s="2">
        <v>0.62367680000000003</v>
      </c>
      <c r="BA53" s="2">
        <v>0.650926</v>
      </c>
      <c r="BB53" s="2">
        <v>-0.3269841</v>
      </c>
      <c r="BC53" s="2">
        <v>0.2719145</v>
      </c>
      <c r="BD53" s="2">
        <v>0.43758076000000001</v>
      </c>
      <c r="BE53" s="2">
        <v>0.18246432000000001</v>
      </c>
      <c r="BF53" s="2">
        <v>-8.2997219999999997E-2</v>
      </c>
      <c r="BG53" s="2">
        <v>-0.3266888</v>
      </c>
      <c r="BH53" s="2">
        <v>-0.42230916000000002</v>
      </c>
      <c r="BI53" s="2">
        <v>-0.39313972000000003</v>
      </c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s="13" t="str" cm="1">
        <f t="array" ref="A54">_xll.FDS(B54,"FG_COMPANY_NAME")</f>
        <v>Koninklijke Ahold Delhaize N.V.</v>
      </c>
      <c r="B54" s="4" t="str">
        <v>AD-NL</v>
      </c>
      <c r="C54" s="2">
        <v>0.49905275999999998</v>
      </c>
      <c r="D54" s="2">
        <v>0.23606125</v>
      </c>
      <c r="E54" s="2">
        <v>0.37348107000000003</v>
      </c>
      <c r="F54" s="2">
        <v>0.58146180000000003</v>
      </c>
      <c r="G54" s="2">
        <v>-0.23122592</v>
      </c>
      <c r="H54" s="2">
        <v>0.30775917000000003</v>
      </c>
      <c r="I54" s="2">
        <v>0.41477789999999998</v>
      </c>
      <c r="J54" s="2">
        <v>0.82987690000000003</v>
      </c>
      <c r="K54" s="2">
        <v>-0.84687230000000002</v>
      </c>
      <c r="L54" s="2">
        <v>0.79963550000000005</v>
      </c>
      <c r="M54" s="2">
        <v>0.49758419999999998</v>
      </c>
      <c r="N54" s="2">
        <v>0.31840318000000001</v>
      </c>
      <c r="O54" s="2">
        <v>0.8980532</v>
      </c>
      <c r="P54" s="2">
        <v>-0.72369254000000005</v>
      </c>
      <c r="Q54" s="2">
        <v>0.64118825999999995</v>
      </c>
      <c r="R54" s="2">
        <v>0.73107800000000001</v>
      </c>
      <c r="S54" s="2">
        <v>0.7996451</v>
      </c>
      <c r="T54" s="2">
        <v>-0.79646753999999997</v>
      </c>
      <c r="U54" s="2">
        <v>0.49851646999999999</v>
      </c>
      <c r="V54" s="2">
        <v>-0.10235013</v>
      </c>
      <c r="W54" s="2">
        <v>0.31169910000000001</v>
      </c>
      <c r="X54" s="2">
        <v>0.55832550000000003</v>
      </c>
      <c r="Y54" s="2">
        <v>0.10007154</v>
      </c>
      <c r="Z54" s="2">
        <v>1</v>
      </c>
      <c r="AA54" s="2">
        <v>-0.8149556</v>
      </c>
      <c r="AB54" s="2">
        <v>9.9472489999999997E-2</v>
      </c>
      <c r="AC54" s="2">
        <v>-0.85030930000000005</v>
      </c>
      <c r="AD54" s="2">
        <v>-0.32491123999999999</v>
      </c>
      <c r="AE54" s="2">
        <v>-0.88916859999999998</v>
      </c>
      <c r="AF54" s="2">
        <v>0.53618330000000003</v>
      </c>
      <c r="AG54" s="2">
        <v>-0.4413417</v>
      </c>
      <c r="AH54" s="2">
        <v>-0.67059760000000002</v>
      </c>
      <c r="AI54" s="2">
        <v>0.91446479999999997</v>
      </c>
      <c r="AJ54" s="2">
        <v>-0.2752713</v>
      </c>
      <c r="AK54" s="2">
        <v>0.80172867000000003</v>
      </c>
      <c r="AL54" s="2">
        <v>-0.63912899999999995</v>
      </c>
      <c r="AM54" s="2">
        <v>-0.81040109999999999</v>
      </c>
      <c r="AN54" s="2">
        <v>0.6552962</v>
      </c>
      <c r="AO54" s="2">
        <v>0.55597399999999997</v>
      </c>
      <c r="AP54" s="2">
        <v>-2.9568087E-2</v>
      </c>
      <c r="AQ54" s="2">
        <v>0.52897669999999997</v>
      </c>
      <c r="AR54" s="2">
        <v>-0.12705462000000001</v>
      </c>
      <c r="AS54" s="2">
        <v>0.85525609999999996</v>
      </c>
      <c r="AT54" s="2">
        <v>0.55255920000000003</v>
      </c>
      <c r="AU54" s="2">
        <v>0.89487284</v>
      </c>
      <c r="AV54" s="2">
        <v>0.74646920000000005</v>
      </c>
      <c r="AW54" s="2">
        <v>-0.76068910000000001</v>
      </c>
      <c r="AX54" s="2">
        <v>-7.8331689999999995E-2</v>
      </c>
      <c r="AY54" s="2">
        <v>0.10796031</v>
      </c>
      <c r="AZ54" s="2">
        <v>0.54019815000000004</v>
      </c>
      <c r="BA54" s="2">
        <v>0.65836589999999995</v>
      </c>
      <c r="BB54" s="2">
        <v>0.33205311999999998</v>
      </c>
      <c r="BC54" s="2">
        <v>-0.73081076</v>
      </c>
      <c r="BD54" s="2">
        <v>0.7635731</v>
      </c>
      <c r="BE54" s="2">
        <v>0.66847469999999998</v>
      </c>
      <c r="BF54" s="2">
        <v>0.69091135000000004</v>
      </c>
      <c r="BG54" s="2">
        <v>-0.77313229999999999</v>
      </c>
      <c r="BH54" s="2">
        <v>-0.58044183000000005</v>
      </c>
      <c r="BI54" s="2">
        <v>-0.80243635000000002</v>
      </c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s="13" t="str" cm="1">
        <f t="array" ref="A55">_xll.FDS(B55,"FG_COMPANY_NAME")</f>
        <v>Kraft Heinz Company</v>
      </c>
      <c r="B55" s="4" t="str">
        <v>KHC-US</v>
      </c>
      <c r="C55" s="2">
        <v>-0.27062148000000003</v>
      </c>
      <c r="D55" s="2">
        <v>-0.46416735999999997</v>
      </c>
      <c r="E55" s="2">
        <v>-0.30479884000000002</v>
      </c>
      <c r="F55" s="2">
        <v>-0.76094260000000002</v>
      </c>
      <c r="G55" s="2">
        <v>0.27253544000000002</v>
      </c>
      <c r="H55" s="2">
        <v>-0.51544385999999998</v>
      </c>
      <c r="I55" s="2">
        <v>-0.24206029000000001</v>
      </c>
      <c r="J55" s="2">
        <v>-0.78586990000000001</v>
      </c>
      <c r="K55" s="2">
        <v>0.84158385000000002</v>
      </c>
      <c r="L55" s="2">
        <v>-0.72593949999999996</v>
      </c>
      <c r="M55" s="2">
        <v>-0.64232325999999995</v>
      </c>
      <c r="N55" s="2">
        <v>-0.120453455</v>
      </c>
      <c r="O55" s="2">
        <v>-0.86581870000000005</v>
      </c>
      <c r="P55" s="2">
        <v>0.57146379999999997</v>
      </c>
      <c r="Q55" s="2">
        <v>-0.70841189999999998</v>
      </c>
      <c r="R55" s="2">
        <v>-0.72044640000000004</v>
      </c>
      <c r="S55" s="2">
        <v>-0.8608557</v>
      </c>
      <c r="T55" s="2">
        <v>0.62009159999999997</v>
      </c>
      <c r="U55" s="2">
        <v>-0.47240337999999998</v>
      </c>
      <c r="V55" s="2">
        <v>-0.25076172000000002</v>
      </c>
      <c r="W55" s="2">
        <v>-0.46383943999999999</v>
      </c>
      <c r="X55" s="2">
        <v>-0.71734790000000004</v>
      </c>
      <c r="Y55" s="2">
        <v>-0.36022316999999998</v>
      </c>
      <c r="Z55" s="2">
        <v>-0.8149556</v>
      </c>
      <c r="AA55" s="2">
        <v>1</v>
      </c>
      <c r="AB55" s="2">
        <v>-0.24738961000000001</v>
      </c>
      <c r="AC55" s="2">
        <v>0.86987983999999996</v>
      </c>
      <c r="AD55" s="2">
        <v>2.1016272000000001E-3</v>
      </c>
      <c r="AE55" s="2">
        <v>0.89940399999999998</v>
      </c>
      <c r="AF55" s="2">
        <v>-0.54046685000000005</v>
      </c>
      <c r="AG55" s="2">
        <v>0.301454</v>
      </c>
      <c r="AH55" s="2">
        <v>0.86381006000000005</v>
      </c>
      <c r="AI55" s="2">
        <v>-0.84566050000000004</v>
      </c>
      <c r="AJ55" s="2">
        <v>4.5766993999999998E-2</v>
      </c>
      <c r="AK55" s="2">
        <v>-0.79876930000000002</v>
      </c>
      <c r="AL55" s="2">
        <v>0.48108062000000001</v>
      </c>
      <c r="AM55" s="2">
        <v>0.69759769999999999</v>
      </c>
      <c r="AN55" s="2">
        <v>-0.77263539999999997</v>
      </c>
      <c r="AO55" s="2">
        <v>-0.71737194000000004</v>
      </c>
      <c r="AP55" s="2">
        <v>-0.22010552999999999</v>
      </c>
      <c r="AQ55" s="2">
        <v>-0.68608665000000002</v>
      </c>
      <c r="AR55" s="2">
        <v>0.33602428000000001</v>
      </c>
      <c r="AS55" s="2">
        <v>-0.78555363</v>
      </c>
      <c r="AT55" s="2">
        <v>-0.69934213000000001</v>
      </c>
      <c r="AU55" s="2">
        <v>-0.83566799999999997</v>
      </c>
      <c r="AV55" s="2">
        <v>-0.78020659999999997</v>
      </c>
      <c r="AW55" s="2">
        <v>0.63385886000000002</v>
      </c>
      <c r="AX55" s="2">
        <v>1.4186803E-2</v>
      </c>
      <c r="AY55" s="2">
        <v>-0.2096507</v>
      </c>
      <c r="AZ55" s="2">
        <v>-0.67653410000000003</v>
      </c>
      <c r="BA55" s="2">
        <v>-0.76547929999999997</v>
      </c>
      <c r="BB55" s="2">
        <v>-1.8361981999999999E-2</v>
      </c>
      <c r="BC55" s="2">
        <v>0.49731857000000002</v>
      </c>
      <c r="BD55" s="2">
        <v>-0.74464684999999997</v>
      </c>
      <c r="BE55" s="2">
        <v>-0.49417040000000001</v>
      </c>
      <c r="BF55" s="2">
        <v>-0.66513299999999997</v>
      </c>
      <c r="BG55" s="2">
        <v>0.84843736999999997</v>
      </c>
      <c r="BH55" s="2">
        <v>0.72051734000000001</v>
      </c>
      <c r="BI55" s="2">
        <v>0.80839320000000003</v>
      </c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s="13" t="str" cm="1">
        <f t="array" ref="A56">_xll.FDS(B56,"FG_COMPANY_NAME")</f>
        <v>Lear Corporation</v>
      </c>
      <c r="B56" s="4" t="str">
        <v>LEA-US</v>
      </c>
      <c r="C56" s="2">
        <v>0.382218</v>
      </c>
      <c r="D56" s="2">
        <v>0.57380580000000003</v>
      </c>
      <c r="E56" s="2">
        <v>0.41770439999999998</v>
      </c>
      <c r="F56" s="2">
        <v>0.68464860000000005</v>
      </c>
      <c r="G56" s="2">
        <v>0.45245092999999997</v>
      </c>
      <c r="H56" s="2">
        <v>0.34579176</v>
      </c>
      <c r="I56" s="2">
        <v>0.31055941999999997</v>
      </c>
      <c r="J56" s="2">
        <v>0.46167213000000001</v>
      </c>
      <c r="K56" s="2">
        <v>-0.24121317</v>
      </c>
      <c r="L56" s="2">
        <v>0.44055181999999998</v>
      </c>
      <c r="M56" s="2">
        <v>0.70960690000000004</v>
      </c>
      <c r="N56" s="2">
        <v>-0.18763568</v>
      </c>
      <c r="O56" s="2">
        <v>0.38531705999999999</v>
      </c>
      <c r="P56" s="2">
        <v>-7.8754370000000004E-2</v>
      </c>
      <c r="Q56" s="2">
        <v>0.65344290000000005</v>
      </c>
      <c r="R56" s="2">
        <v>0.32835618</v>
      </c>
      <c r="S56" s="2">
        <v>0.49983727999999999</v>
      </c>
      <c r="T56" s="2">
        <v>0.1503236</v>
      </c>
      <c r="U56" s="2">
        <v>0.40223977</v>
      </c>
      <c r="V56" s="2">
        <v>0.73507670000000003</v>
      </c>
      <c r="W56" s="2">
        <v>0.44015389999999999</v>
      </c>
      <c r="X56" s="2">
        <v>0.65481734000000003</v>
      </c>
      <c r="Y56" s="2">
        <v>0.57329010000000002</v>
      </c>
      <c r="Z56" s="2">
        <v>9.9472489999999997E-2</v>
      </c>
      <c r="AA56" s="2">
        <v>-0.24738961000000001</v>
      </c>
      <c r="AB56" s="2">
        <v>1</v>
      </c>
      <c r="AC56" s="2">
        <v>-9.5340565000000002E-2</v>
      </c>
      <c r="AD56" s="2">
        <v>0.51969180000000004</v>
      </c>
      <c r="AE56" s="2">
        <v>-0.19293177</v>
      </c>
      <c r="AF56" s="2">
        <v>0.46317535999999998</v>
      </c>
      <c r="AG56" s="2">
        <v>0.5866905</v>
      </c>
      <c r="AH56" s="2">
        <v>-0.46736812999999999</v>
      </c>
      <c r="AI56" s="2">
        <v>0.32058397</v>
      </c>
      <c r="AJ56" s="2">
        <v>0.35429169999999999</v>
      </c>
      <c r="AK56" s="2">
        <v>0.29704627</v>
      </c>
      <c r="AL56" s="2">
        <v>0.38738909999999999</v>
      </c>
      <c r="AM56" s="2">
        <v>-2.7708531999999998E-3</v>
      </c>
      <c r="AN56" s="2">
        <v>0.63958409999999999</v>
      </c>
      <c r="AO56" s="2">
        <v>0.68915170000000003</v>
      </c>
      <c r="AP56" s="2">
        <v>0.66475355999999997</v>
      </c>
      <c r="AQ56" s="2">
        <v>0.51917009999999997</v>
      </c>
      <c r="AR56" s="2">
        <v>-0.32058779999999998</v>
      </c>
      <c r="AS56" s="2">
        <v>0.33177182</v>
      </c>
      <c r="AT56" s="2">
        <v>0.65981800000000002</v>
      </c>
      <c r="AU56" s="2">
        <v>0.34089269999999999</v>
      </c>
      <c r="AV56" s="2">
        <v>0.56515789999999999</v>
      </c>
      <c r="AW56" s="2">
        <v>0.36505836000000003</v>
      </c>
      <c r="AX56" s="2">
        <v>0.45762140000000001</v>
      </c>
      <c r="AY56" s="2">
        <v>0.68449789999999999</v>
      </c>
      <c r="AZ56" s="2">
        <v>0.60123579999999999</v>
      </c>
      <c r="BA56" s="2">
        <v>0.51009409999999999</v>
      </c>
      <c r="BB56" s="2">
        <v>-1.4239775E-2</v>
      </c>
      <c r="BC56" s="2">
        <v>0.37644997000000002</v>
      </c>
      <c r="BD56" s="2">
        <v>0.57602500000000001</v>
      </c>
      <c r="BE56" s="2">
        <v>0.26764837000000002</v>
      </c>
      <c r="BF56" s="2">
        <v>5.2131914000000001E-2</v>
      </c>
      <c r="BG56" s="2">
        <v>-0.36764657000000001</v>
      </c>
      <c r="BH56" s="2">
        <v>-0.13101065000000001</v>
      </c>
      <c r="BI56" s="2">
        <v>-0.31172879999999997</v>
      </c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s="13" t="str" cm="1">
        <f t="array" ref="A57">_xll.FDS(B57,"FG_COMPANY_NAME")</f>
        <v>LyondellBasell Industries NV</v>
      </c>
      <c r="B57" s="4" t="str">
        <v>LYB-US</v>
      </c>
      <c r="C57" s="2">
        <v>-0.37869419999999998</v>
      </c>
      <c r="D57" s="2">
        <v>-0.37114150000000001</v>
      </c>
      <c r="E57" s="2">
        <v>-0.51087819999999995</v>
      </c>
      <c r="F57" s="2">
        <v>-0.66702247000000003</v>
      </c>
      <c r="G57" s="2">
        <v>0.22062524999999999</v>
      </c>
      <c r="H57" s="2">
        <v>-0.53209715999999996</v>
      </c>
      <c r="I57" s="2">
        <v>-0.29022350000000002</v>
      </c>
      <c r="J57" s="2">
        <v>-0.79158070000000003</v>
      </c>
      <c r="K57" s="2">
        <v>0.88925767</v>
      </c>
      <c r="L57" s="2">
        <v>-0.78239404999999995</v>
      </c>
      <c r="M57" s="2">
        <v>-0.45935535</v>
      </c>
      <c r="N57" s="2">
        <v>-0.28062963000000002</v>
      </c>
      <c r="O57" s="2">
        <v>-0.84252190000000005</v>
      </c>
      <c r="P57" s="2">
        <v>0.68172085000000004</v>
      </c>
      <c r="Q57" s="2">
        <v>-0.67860690000000001</v>
      </c>
      <c r="R57" s="2">
        <v>-0.7287612</v>
      </c>
      <c r="S57" s="2">
        <v>-0.86185540000000005</v>
      </c>
      <c r="T57" s="2">
        <v>0.74364989999999997</v>
      </c>
      <c r="U57" s="2">
        <v>-0.47003633</v>
      </c>
      <c r="V57" s="2">
        <v>-7.3777770000000006E-2</v>
      </c>
      <c r="W57" s="2">
        <v>-0.44630226000000001</v>
      </c>
      <c r="X57" s="2">
        <v>-0.59867870000000001</v>
      </c>
      <c r="Y57" s="2">
        <v>-0.29333752000000002</v>
      </c>
      <c r="Z57" s="2">
        <v>-0.85030930000000005</v>
      </c>
      <c r="AA57" s="2">
        <v>0.86987983999999996</v>
      </c>
      <c r="AB57" s="2">
        <v>-9.5340565000000002E-2</v>
      </c>
      <c r="AC57" s="2">
        <v>1</v>
      </c>
      <c r="AD57" s="2">
        <v>7.0979139999999996E-2</v>
      </c>
      <c r="AE57" s="2">
        <v>0.94949496</v>
      </c>
      <c r="AF57" s="2">
        <v>-0.68875690000000001</v>
      </c>
      <c r="AG57" s="2">
        <v>0.31872496</v>
      </c>
      <c r="AH57" s="2">
        <v>0.74054660000000005</v>
      </c>
      <c r="AI57" s="2">
        <v>-0.87891965999999999</v>
      </c>
      <c r="AJ57" s="2">
        <v>0.11456166</v>
      </c>
      <c r="AK57" s="2">
        <v>-0.90327190000000002</v>
      </c>
      <c r="AL57" s="2">
        <v>0.64055790000000001</v>
      </c>
      <c r="AM57" s="2">
        <v>0.7692466</v>
      </c>
      <c r="AN57" s="2">
        <v>-0.74075943</v>
      </c>
      <c r="AO57" s="2">
        <v>-0.67103710000000005</v>
      </c>
      <c r="AP57" s="2">
        <v>-0.21027187</v>
      </c>
      <c r="AQ57" s="2">
        <v>-0.72126809999999997</v>
      </c>
      <c r="AR57" s="2">
        <v>0.3162411</v>
      </c>
      <c r="AS57" s="2">
        <v>-0.83988976000000004</v>
      </c>
      <c r="AT57" s="2">
        <v>-0.64977865999999995</v>
      </c>
      <c r="AU57" s="2">
        <v>-0.89137370000000005</v>
      </c>
      <c r="AV57" s="2">
        <v>-0.7852635</v>
      </c>
      <c r="AW57" s="2">
        <v>0.80056846000000004</v>
      </c>
      <c r="AX57" s="2">
        <v>1.9776287E-2</v>
      </c>
      <c r="AY57" s="2">
        <v>-0.18457434</v>
      </c>
      <c r="AZ57" s="2">
        <v>-0.71811720000000001</v>
      </c>
      <c r="BA57" s="2">
        <v>-0.76656000000000002</v>
      </c>
      <c r="BB57" s="2">
        <v>-0.2250212</v>
      </c>
      <c r="BC57" s="2">
        <v>0.61793129999999996</v>
      </c>
      <c r="BD57" s="2">
        <v>-0.78735670000000002</v>
      </c>
      <c r="BE57" s="2">
        <v>-0.57982254</v>
      </c>
      <c r="BF57" s="2">
        <v>-0.65984315000000004</v>
      </c>
      <c r="BG57" s="2">
        <v>0.84709290000000004</v>
      </c>
      <c r="BH57" s="2">
        <v>0.70387023999999998</v>
      </c>
      <c r="BI57" s="2">
        <v>0.89387375000000002</v>
      </c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s="13" t="str" cm="1">
        <f t="array" ref="A58">_xll.FDS(B58,"FG_COMPANY_NAME")</f>
        <v>Macy's, Inc.</v>
      </c>
      <c r="B58" s="4" t="str">
        <v>M-US</v>
      </c>
      <c r="C58" s="2">
        <v>-0.24426719999999999</v>
      </c>
      <c r="D58" s="2">
        <v>0.74410799999999999</v>
      </c>
      <c r="E58" s="2">
        <v>0.27010146000000002</v>
      </c>
      <c r="F58" s="2">
        <v>0.43323790000000001</v>
      </c>
      <c r="G58" s="2">
        <v>0.30877622999999998</v>
      </c>
      <c r="H58" s="2">
        <v>0.61564980000000002</v>
      </c>
      <c r="I58" s="2">
        <v>-0.15190274000000001</v>
      </c>
      <c r="J58" s="2">
        <v>-6.2737269999999998E-2</v>
      </c>
      <c r="K58" s="2">
        <v>6.3121899999999995E-2</v>
      </c>
      <c r="L58" s="2">
        <v>-0.17813402</v>
      </c>
      <c r="M58" s="2">
        <v>0.22096165000000001</v>
      </c>
      <c r="N58" s="2">
        <v>-0.10506791</v>
      </c>
      <c r="O58" s="2">
        <v>-6.5665100000000004E-2</v>
      </c>
      <c r="P58" s="2">
        <v>0.29638130000000001</v>
      </c>
      <c r="Q58" s="2">
        <v>0.24134706</v>
      </c>
      <c r="R58" s="2">
        <v>0.18166748999999999</v>
      </c>
      <c r="S58" s="2">
        <v>0.14691871000000001</v>
      </c>
      <c r="T58" s="2">
        <v>0.59172106000000002</v>
      </c>
      <c r="U58" s="2">
        <v>-9.1550820000000005E-2</v>
      </c>
      <c r="V58" s="2">
        <v>0.77895075000000003</v>
      </c>
      <c r="W58" s="2">
        <v>0.65240900000000002</v>
      </c>
      <c r="X58" s="2">
        <v>0.20554149999999999</v>
      </c>
      <c r="Y58" s="2">
        <v>0.78608210000000001</v>
      </c>
      <c r="Z58" s="2">
        <v>-0.32491123999999999</v>
      </c>
      <c r="AA58" s="2">
        <v>2.1016272000000001E-3</v>
      </c>
      <c r="AB58" s="2">
        <v>0.51969180000000004</v>
      </c>
      <c r="AC58" s="2">
        <v>7.0979139999999996E-2</v>
      </c>
      <c r="AD58" s="2">
        <v>1</v>
      </c>
      <c r="AE58" s="2">
        <v>8.3538874999999999E-2</v>
      </c>
      <c r="AF58" s="2">
        <v>0.15307851</v>
      </c>
      <c r="AG58" s="2">
        <v>0.68921200000000005</v>
      </c>
      <c r="AH58" s="2">
        <v>-0.21245220000000001</v>
      </c>
      <c r="AI58" s="2">
        <v>-0.110309854</v>
      </c>
      <c r="AJ58" s="2">
        <v>0.78795296000000004</v>
      </c>
      <c r="AK58" s="2">
        <v>-5.2274981999999998E-3</v>
      </c>
      <c r="AL58" s="2">
        <v>0.48882213000000002</v>
      </c>
      <c r="AM58" s="2">
        <v>0.36632513999999999</v>
      </c>
      <c r="AN58" s="2">
        <v>0.33918201999999997</v>
      </c>
      <c r="AO58" s="2">
        <v>0.39361244000000001</v>
      </c>
      <c r="AP58" s="2">
        <v>0.80979913000000003</v>
      </c>
      <c r="AQ58" s="2">
        <v>0.49965018</v>
      </c>
      <c r="AR58" s="2">
        <v>-0.21965171</v>
      </c>
      <c r="AS58" s="2">
        <v>-0.11335692999999999</v>
      </c>
      <c r="AT58" s="2">
        <v>0.29022165999999999</v>
      </c>
      <c r="AU58" s="2">
        <v>-0.12165825</v>
      </c>
      <c r="AV58" s="2">
        <v>0.15612791000000001</v>
      </c>
      <c r="AW58" s="2">
        <v>0.50495950000000001</v>
      </c>
      <c r="AX58" s="2">
        <v>0.74113359999999995</v>
      </c>
      <c r="AY58" s="2">
        <v>0.67257359999999999</v>
      </c>
      <c r="AZ58" s="2">
        <v>0.36236298</v>
      </c>
      <c r="BA58" s="2">
        <v>0.34679568</v>
      </c>
      <c r="BB58" s="2">
        <v>-0.41424975000000003</v>
      </c>
      <c r="BC58" s="2">
        <v>0.64268840000000005</v>
      </c>
      <c r="BD58" s="2">
        <v>0.10623104999999999</v>
      </c>
      <c r="BE58" s="2">
        <v>-0.23470574999999999</v>
      </c>
      <c r="BF58" s="2">
        <v>-0.65796480000000002</v>
      </c>
      <c r="BG58" s="2">
        <v>5.0192963E-2</v>
      </c>
      <c r="BH58" s="2">
        <v>5.5148940000000002E-3</v>
      </c>
      <c r="BI58" s="2">
        <v>2.5639071999999999E-2</v>
      </c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s="13" t="str" cm="1">
        <f t="array" ref="A59">_xll.FDS(B59,"FG_COMPANY_NAME")</f>
        <v>ManpowerGroup Inc.</v>
      </c>
      <c r="B59" s="4" t="str">
        <v>MAN-US</v>
      </c>
      <c r="C59" s="2">
        <v>-0.36097731999999999</v>
      </c>
      <c r="D59" s="2">
        <v>-0.38505592999999999</v>
      </c>
      <c r="E59" s="2">
        <v>-0.42418430000000001</v>
      </c>
      <c r="F59" s="2">
        <v>-0.70397604000000003</v>
      </c>
      <c r="G59" s="2">
        <v>0.23876101</v>
      </c>
      <c r="H59" s="2">
        <v>-0.47642006999999997</v>
      </c>
      <c r="I59" s="2">
        <v>-0.28915855000000001</v>
      </c>
      <c r="J59" s="2">
        <v>-0.85217580000000004</v>
      </c>
      <c r="K59" s="2">
        <v>0.94520599999999999</v>
      </c>
      <c r="L59" s="2">
        <v>-0.82000065</v>
      </c>
      <c r="M59" s="2">
        <v>-0.56431240000000005</v>
      </c>
      <c r="N59" s="2">
        <v>-0.26746827000000001</v>
      </c>
      <c r="O59" s="2">
        <v>-0.90651369999999998</v>
      </c>
      <c r="P59" s="2">
        <v>0.66062145999999999</v>
      </c>
      <c r="Q59" s="2">
        <v>-0.73100966000000001</v>
      </c>
      <c r="R59" s="2">
        <v>-0.73125830000000003</v>
      </c>
      <c r="S59" s="2">
        <v>-0.88860850000000002</v>
      </c>
      <c r="T59" s="2">
        <v>0.73113340000000004</v>
      </c>
      <c r="U59" s="2">
        <v>-0.53638344999999998</v>
      </c>
      <c r="V59" s="2">
        <v>-0.14530631999999999</v>
      </c>
      <c r="W59" s="2">
        <v>-0.43148567999999998</v>
      </c>
      <c r="X59" s="2">
        <v>-0.69031370000000003</v>
      </c>
      <c r="Y59" s="2">
        <v>-0.29830992000000001</v>
      </c>
      <c r="Z59" s="2">
        <v>-0.88916859999999998</v>
      </c>
      <c r="AA59" s="2">
        <v>0.89940399999999998</v>
      </c>
      <c r="AB59" s="2">
        <v>-0.19293177</v>
      </c>
      <c r="AC59" s="2">
        <v>0.94949496</v>
      </c>
      <c r="AD59" s="2">
        <v>8.3538874999999999E-2</v>
      </c>
      <c r="AE59" s="2">
        <v>1</v>
      </c>
      <c r="AF59" s="2">
        <v>-0.68575920000000001</v>
      </c>
      <c r="AG59" s="2">
        <v>0.32598909999999998</v>
      </c>
      <c r="AH59" s="2">
        <v>0.81046079999999998</v>
      </c>
      <c r="AI59" s="2">
        <v>-0.90904474000000002</v>
      </c>
      <c r="AJ59" s="2">
        <v>0.13860385</v>
      </c>
      <c r="AK59" s="2">
        <v>-0.88504505</v>
      </c>
      <c r="AL59" s="2">
        <v>0.60517626999999996</v>
      </c>
      <c r="AM59" s="2">
        <v>0.72692734000000003</v>
      </c>
      <c r="AN59" s="2">
        <v>-0.78707050000000001</v>
      </c>
      <c r="AO59" s="2">
        <v>-0.69695203999999999</v>
      </c>
      <c r="AP59" s="2">
        <v>-0.18745590000000001</v>
      </c>
      <c r="AQ59" s="2">
        <v>-0.69792189999999998</v>
      </c>
      <c r="AR59" s="2">
        <v>0.35940519999999998</v>
      </c>
      <c r="AS59" s="2">
        <v>-0.83597946000000001</v>
      </c>
      <c r="AT59" s="2">
        <v>-0.71067190000000002</v>
      </c>
      <c r="AU59" s="2">
        <v>-0.90802930000000004</v>
      </c>
      <c r="AV59" s="2">
        <v>-0.81050869999999997</v>
      </c>
      <c r="AW59" s="2">
        <v>0.75966829999999996</v>
      </c>
      <c r="AX59" s="2">
        <v>-4.791142E-3</v>
      </c>
      <c r="AY59" s="2">
        <v>-0.20209399</v>
      </c>
      <c r="AZ59" s="2">
        <v>-0.69403440000000005</v>
      </c>
      <c r="BA59" s="2">
        <v>-0.76927875999999995</v>
      </c>
      <c r="BB59" s="2">
        <v>-0.16803654000000001</v>
      </c>
      <c r="BC59" s="2">
        <v>0.57363839999999999</v>
      </c>
      <c r="BD59" s="2">
        <v>-0.81595253999999995</v>
      </c>
      <c r="BE59" s="2">
        <v>-0.59091640000000001</v>
      </c>
      <c r="BF59" s="2">
        <v>-0.63461230000000002</v>
      </c>
      <c r="BG59" s="2">
        <v>0.87249399999999999</v>
      </c>
      <c r="BH59" s="2">
        <v>0.69603764999999995</v>
      </c>
      <c r="BI59" s="2">
        <v>0.86176014000000001</v>
      </c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s="13" t="str" cm="1">
        <f t="array" ref="A60">_xll.FDS(B60,"FG_COMPANY_NAME")</f>
        <v>MEDIPAL HOLDINGS Corporation</v>
      </c>
      <c r="B60" s="4" t="str">
        <v>7459-JP</v>
      </c>
      <c r="C60" s="2">
        <v>0.48184835999999998</v>
      </c>
      <c r="D60" s="2">
        <v>0.35800943000000002</v>
      </c>
      <c r="E60" s="2">
        <v>0.66200870000000001</v>
      </c>
      <c r="F60" s="2">
        <v>0.61102219999999996</v>
      </c>
      <c r="G60" s="2">
        <v>0.15183024000000001</v>
      </c>
      <c r="H60" s="2">
        <v>0.44918071999999998</v>
      </c>
      <c r="I60" s="2">
        <v>0.22848760000000001</v>
      </c>
      <c r="J60" s="2">
        <v>0.68986857000000001</v>
      </c>
      <c r="K60" s="2">
        <v>-0.69439565999999997</v>
      </c>
      <c r="L60" s="2">
        <v>0.7765801</v>
      </c>
      <c r="M60" s="2">
        <v>0.38664113999999999</v>
      </c>
      <c r="N60" s="2">
        <v>0.30194870000000001</v>
      </c>
      <c r="O60" s="2">
        <v>0.60458020000000001</v>
      </c>
      <c r="P60" s="2">
        <v>-0.32777020000000001</v>
      </c>
      <c r="Q60" s="2">
        <v>0.72788310000000001</v>
      </c>
      <c r="R60" s="2">
        <v>0.48603582000000001</v>
      </c>
      <c r="S60" s="2">
        <v>0.77938289999999999</v>
      </c>
      <c r="T60" s="2">
        <v>-0.40504065</v>
      </c>
      <c r="U60" s="2">
        <v>0.43810362000000003</v>
      </c>
      <c r="V60" s="2">
        <v>0.33672875000000002</v>
      </c>
      <c r="W60" s="2">
        <v>0.37736346999999998</v>
      </c>
      <c r="X60" s="2">
        <v>0.66237354000000004</v>
      </c>
      <c r="Y60" s="2">
        <v>0.27510815999999999</v>
      </c>
      <c r="Z60" s="2">
        <v>0.53618330000000003</v>
      </c>
      <c r="AA60" s="2">
        <v>-0.54046685000000005</v>
      </c>
      <c r="AB60" s="2">
        <v>0.46317535999999998</v>
      </c>
      <c r="AC60" s="2">
        <v>-0.68875690000000001</v>
      </c>
      <c r="AD60" s="2">
        <v>0.15307851</v>
      </c>
      <c r="AE60" s="2">
        <v>-0.68575920000000001</v>
      </c>
      <c r="AF60" s="2">
        <v>1</v>
      </c>
      <c r="AG60" s="2">
        <v>0.28189498000000002</v>
      </c>
      <c r="AH60" s="2">
        <v>-0.58238727000000001</v>
      </c>
      <c r="AI60" s="2">
        <v>0.67368879999999998</v>
      </c>
      <c r="AJ60" s="2">
        <v>0.18229586</v>
      </c>
      <c r="AK60" s="2">
        <v>0.78544590000000003</v>
      </c>
      <c r="AL60" s="2">
        <v>-0.33956530000000001</v>
      </c>
      <c r="AM60" s="2">
        <v>-0.39381397000000001</v>
      </c>
      <c r="AN60" s="2">
        <v>0.730935</v>
      </c>
      <c r="AO60" s="2">
        <v>0.69295249999999997</v>
      </c>
      <c r="AP60" s="2">
        <v>0.56684730000000005</v>
      </c>
      <c r="AQ60" s="2">
        <v>0.63920840000000001</v>
      </c>
      <c r="AR60" s="2">
        <v>-0.54800444999999998</v>
      </c>
      <c r="AS60" s="2">
        <v>0.63371849999999996</v>
      </c>
      <c r="AT60" s="2">
        <v>0.71265655999999999</v>
      </c>
      <c r="AU60" s="2">
        <v>0.71389530000000001</v>
      </c>
      <c r="AV60" s="2">
        <v>0.68720703999999999</v>
      </c>
      <c r="AW60" s="2">
        <v>-0.37722804999999998</v>
      </c>
      <c r="AX60" s="2">
        <v>9.6892950000000005E-2</v>
      </c>
      <c r="AY60" s="2">
        <v>0.54615709999999995</v>
      </c>
      <c r="AZ60" s="2">
        <v>0.78209470000000003</v>
      </c>
      <c r="BA60" s="2">
        <v>0.68015809999999999</v>
      </c>
      <c r="BB60" s="2">
        <v>0.35020425999999999</v>
      </c>
      <c r="BC60" s="2">
        <v>-0.14874166</v>
      </c>
      <c r="BD60" s="2">
        <v>0.79375479999999998</v>
      </c>
      <c r="BE60" s="2">
        <v>0.45003929999999998</v>
      </c>
      <c r="BF60" s="2">
        <v>0.29555002000000002</v>
      </c>
      <c r="BG60" s="2">
        <v>-0.70563279999999995</v>
      </c>
      <c r="BH60" s="2">
        <v>-0.23411672</v>
      </c>
      <c r="BI60" s="2">
        <v>-0.67702130000000005</v>
      </c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s="13" t="str" cm="1">
        <f t="array" ref="A61">_xll.FDS(B61,"FG_COMPANY_NAME")</f>
        <v>Mohawk Industries, Inc.</v>
      </c>
      <c r="B61" s="4" t="str">
        <v>MHK-US</v>
      </c>
      <c r="C61" s="2">
        <v>-2.1895339999999999E-2</v>
      </c>
      <c r="D61" s="2">
        <v>0.39987168000000001</v>
      </c>
      <c r="E61" s="2">
        <v>0.35182099999999999</v>
      </c>
      <c r="F61" s="2">
        <v>0.17966107000000001</v>
      </c>
      <c r="G61" s="2">
        <v>0.52014004999999996</v>
      </c>
      <c r="H61" s="2">
        <v>0.23713720999999999</v>
      </c>
      <c r="I61" s="2">
        <v>-7.7541924999999998E-2</v>
      </c>
      <c r="J61" s="2">
        <v>-0.12454733</v>
      </c>
      <c r="K61" s="2">
        <v>0.20741076999999999</v>
      </c>
      <c r="L61" s="2">
        <v>-0.10808107</v>
      </c>
      <c r="M61" s="2">
        <v>0.11188591000000001</v>
      </c>
      <c r="N61" s="2">
        <v>-5.0257780000000002E-2</v>
      </c>
      <c r="O61" s="2">
        <v>-0.27474179999999998</v>
      </c>
      <c r="P61" s="2">
        <v>0.41829665999999999</v>
      </c>
      <c r="Q61" s="2">
        <v>0.18674412000000001</v>
      </c>
      <c r="R61" s="2">
        <v>-0.13602689000000001</v>
      </c>
      <c r="S61" s="2">
        <v>2.8878013000000001E-2</v>
      </c>
      <c r="T61" s="2">
        <v>0.64909059999999996</v>
      </c>
      <c r="U61" s="2">
        <v>-1.9174910999999999E-2</v>
      </c>
      <c r="V61" s="2">
        <v>0.69577639999999996</v>
      </c>
      <c r="W61" s="2">
        <v>0.31838127999999999</v>
      </c>
      <c r="X61" s="2">
        <v>0.20708414999999999</v>
      </c>
      <c r="Y61" s="2">
        <v>0.47183554999999999</v>
      </c>
      <c r="Z61" s="2">
        <v>-0.4413417</v>
      </c>
      <c r="AA61" s="2">
        <v>0.301454</v>
      </c>
      <c r="AB61" s="2">
        <v>0.5866905</v>
      </c>
      <c r="AC61" s="2">
        <v>0.31872496</v>
      </c>
      <c r="AD61" s="2">
        <v>0.68921200000000005</v>
      </c>
      <c r="AE61" s="2">
        <v>0.32598909999999998</v>
      </c>
      <c r="AF61" s="2">
        <v>0.28189498000000002</v>
      </c>
      <c r="AG61" s="2">
        <v>1</v>
      </c>
      <c r="AH61" s="2">
        <v>1.0964079999999999E-2</v>
      </c>
      <c r="AI61" s="2">
        <v>-0.25037219999999999</v>
      </c>
      <c r="AJ61" s="2">
        <v>0.67464080000000004</v>
      </c>
      <c r="AK61" s="2">
        <v>-0.12756571</v>
      </c>
      <c r="AL61" s="2">
        <v>0.54915683999999998</v>
      </c>
      <c r="AM61" s="2">
        <v>0.47612795000000002</v>
      </c>
      <c r="AN61" s="2">
        <v>0.16161136000000001</v>
      </c>
      <c r="AO61" s="2">
        <v>0.30629770000000001</v>
      </c>
      <c r="AP61" s="2">
        <v>0.78751269999999995</v>
      </c>
      <c r="AQ61" s="2">
        <v>0.29835751999999999</v>
      </c>
      <c r="AR61" s="2">
        <v>-0.27505326000000002</v>
      </c>
      <c r="AS61" s="2">
        <v>-0.23835532000000001</v>
      </c>
      <c r="AT61" s="2">
        <v>0.28983386999999999</v>
      </c>
      <c r="AU61" s="2">
        <v>-0.22465038000000001</v>
      </c>
      <c r="AV61" s="2">
        <v>1.1103884E-2</v>
      </c>
      <c r="AW61" s="2">
        <v>0.69471824000000004</v>
      </c>
      <c r="AX61" s="2">
        <v>0.52294859999999999</v>
      </c>
      <c r="AY61" s="2">
        <v>0.66573009999999999</v>
      </c>
      <c r="AZ61" s="2">
        <v>0.29077380000000003</v>
      </c>
      <c r="BA61" s="2">
        <v>0.13297845</v>
      </c>
      <c r="BB61" s="2">
        <v>-0.17446381</v>
      </c>
      <c r="BC61" s="2">
        <v>0.75501090000000004</v>
      </c>
      <c r="BD61" s="2">
        <v>7.6586970000000004E-2</v>
      </c>
      <c r="BE61" s="2">
        <v>-0.25467425999999999</v>
      </c>
      <c r="BF61" s="2">
        <v>-0.47487797999999998</v>
      </c>
      <c r="BG61" s="2">
        <v>0.11043481500000001</v>
      </c>
      <c r="BH61" s="2">
        <v>0.35965156999999998</v>
      </c>
      <c r="BI61" s="2">
        <v>0.15776229999999999</v>
      </c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s="13" t="str" cm="1">
        <f t="array" ref="A62">_xll.FDS(B62,"FG_COMPANY_NAME")</f>
        <v>Molson Coors Beverage Company Class B</v>
      </c>
      <c r="B62" s="4" t="str">
        <v>TAP-US</v>
      </c>
      <c r="C62" s="2">
        <v>-0.32941785000000001</v>
      </c>
      <c r="D62" s="2">
        <v>-0.61294585000000001</v>
      </c>
      <c r="E62" s="2">
        <v>-0.37718712999999998</v>
      </c>
      <c r="F62" s="2">
        <v>-0.82783169999999995</v>
      </c>
      <c r="G62" s="2">
        <v>9.5413804000000005E-2</v>
      </c>
      <c r="H62" s="2">
        <v>-0.57496535999999998</v>
      </c>
      <c r="I62" s="2">
        <v>-0.24173346000000001</v>
      </c>
      <c r="J62" s="2">
        <v>-0.82641629999999999</v>
      </c>
      <c r="K62" s="2">
        <v>0.81852150000000001</v>
      </c>
      <c r="L62" s="2">
        <v>-0.72009800000000002</v>
      </c>
      <c r="M62" s="2">
        <v>-0.76680879999999996</v>
      </c>
      <c r="N62" s="2">
        <v>-8.4400824999999999E-2</v>
      </c>
      <c r="O62" s="2">
        <v>-0.79679215000000003</v>
      </c>
      <c r="P62" s="2">
        <v>0.49337429999999999</v>
      </c>
      <c r="Q62" s="2">
        <v>-0.83691890000000002</v>
      </c>
      <c r="R62" s="2">
        <v>-0.6787628</v>
      </c>
      <c r="S62" s="2">
        <v>-0.84916186000000005</v>
      </c>
      <c r="T62" s="2">
        <v>0.42210826000000001</v>
      </c>
      <c r="U62" s="2">
        <v>-0.56118060000000003</v>
      </c>
      <c r="V62" s="2">
        <v>-0.50521970000000005</v>
      </c>
      <c r="W62" s="2">
        <v>-0.54599905000000004</v>
      </c>
      <c r="X62" s="2">
        <v>-0.82545847000000006</v>
      </c>
      <c r="Y62" s="2">
        <v>-0.53821889999999994</v>
      </c>
      <c r="Z62" s="2">
        <v>-0.67059760000000002</v>
      </c>
      <c r="AA62" s="2">
        <v>0.86381006000000005</v>
      </c>
      <c r="AB62" s="2">
        <v>-0.46736812999999999</v>
      </c>
      <c r="AC62" s="2">
        <v>0.74054660000000005</v>
      </c>
      <c r="AD62" s="2">
        <v>-0.21245220000000001</v>
      </c>
      <c r="AE62" s="2">
        <v>0.81046079999999998</v>
      </c>
      <c r="AF62" s="2">
        <v>-0.58238727000000001</v>
      </c>
      <c r="AG62" s="2">
        <v>1.0964079999999999E-2</v>
      </c>
      <c r="AH62" s="2">
        <v>1</v>
      </c>
      <c r="AI62" s="2">
        <v>-0.75941340000000002</v>
      </c>
      <c r="AJ62" s="2">
        <v>-8.7024980000000002E-2</v>
      </c>
      <c r="AK62" s="2">
        <v>-0.74181839999999999</v>
      </c>
      <c r="AL62" s="2">
        <v>0.18567896</v>
      </c>
      <c r="AM62" s="2">
        <v>0.51703023999999997</v>
      </c>
      <c r="AN62" s="2">
        <v>-0.86466209999999999</v>
      </c>
      <c r="AO62" s="2">
        <v>-0.82621860000000003</v>
      </c>
      <c r="AP62" s="2">
        <v>-0.45491619999999999</v>
      </c>
      <c r="AQ62" s="2">
        <v>-0.75880239999999999</v>
      </c>
      <c r="AR62" s="2">
        <v>0.44881632999999999</v>
      </c>
      <c r="AS62" s="2">
        <v>-0.74321499999999996</v>
      </c>
      <c r="AT62" s="2">
        <v>-0.82177219999999995</v>
      </c>
      <c r="AU62" s="2">
        <v>-0.77765905999999996</v>
      </c>
      <c r="AV62" s="2">
        <v>-0.81805779999999995</v>
      </c>
      <c r="AW62" s="2">
        <v>0.38771107999999999</v>
      </c>
      <c r="AX62" s="2">
        <v>-0.20162435000000001</v>
      </c>
      <c r="AY62" s="2">
        <v>-0.45837387000000002</v>
      </c>
      <c r="AZ62" s="2">
        <v>-0.75326735</v>
      </c>
      <c r="BA62" s="2">
        <v>-0.85095010000000004</v>
      </c>
      <c r="BB62" s="2">
        <v>0.14180039999999999</v>
      </c>
      <c r="BC62" s="2">
        <v>0.26339667999999999</v>
      </c>
      <c r="BD62" s="2">
        <v>-0.80537099999999995</v>
      </c>
      <c r="BE62" s="2">
        <v>-0.41706591999999998</v>
      </c>
      <c r="BF62" s="2">
        <v>-0.5781018</v>
      </c>
      <c r="BG62" s="2">
        <v>0.87361133000000002</v>
      </c>
      <c r="BH62" s="2">
        <v>0.63437944999999996</v>
      </c>
      <c r="BI62" s="2">
        <v>0.78061055999999995</v>
      </c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s="13" t="str" cm="1">
        <f t="array" ref="A63">_xll.FDS(B63,"FG_COMPANY_NAME")</f>
        <v>NatWest Group Plc</v>
      </c>
      <c r="B63" s="4" t="str">
        <v>NWG-GB</v>
      </c>
      <c r="C63" s="2">
        <v>0.58192485999999999</v>
      </c>
      <c r="D63" s="2">
        <v>0.41195163000000001</v>
      </c>
      <c r="E63" s="2">
        <v>0.50844820000000002</v>
      </c>
      <c r="F63" s="2">
        <v>0.76729786</v>
      </c>
      <c r="G63" s="2">
        <v>-5.6294759999999999E-2</v>
      </c>
      <c r="H63" s="2">
        <v>0.46521476</v>
      </c>
      <c r="I63" s="2">
        <v>0.49759910000000002</v>
      </c>
      <c r="J63" s="2">
        <v>0.90848607000000003</v>
      </c>
      <c r="K63" s="2">
        <v>-0.85398180000000001</v>
      </c>
      <c r="L63" s="2">
        <v>0.8930264</v>
      </c>
      <c r="M63" s="2">
        <v>0.66384273999999999</v>
      </c>
      <c r="N63" s="2">
        <v>0.19579733999999999</v>
      </c>
      <c r="O63" s="2">
        <v>0.9410153</v>
      </c>
      <c r="P63" s="2">
        <v>-0.70729184</v>
      </c>
      <c r="Q63" s="2">
        <v>0.81519350000000002</v>
      </c>
      <c r="R63" s="2">
        <v>0.83812684000000004</v>
      </c>
      <c r="S63" s="2">
        <v>0.91551490000000002</v>
      </c>
      <c r="T63" s="2">
        <v>-0.70632550000000005</v>
      </c>
      <c r="U63" s="2">
        <v>0.58156353000000005</v>
      </c>
      <c r="V63" s="2">
        <v>0.12238771499999999</v>
      </c>
      <c r="W63" s="2">
        <v>0.45052403000000002</v>
      </c>
      <c r="X63" s="2">
        <v>0.7181478</v>
      </c>
      <c r="Y63" s="2">
        <v>0.30553027999999999</v>
      </c>
      <c r="Z63" s="2">
        <v>0.91446479999999997</v>
      </c>
      <c r="AA63" s="2">
        <v>-0.84566050000000004</v>
      </c>
      <c r="AB63" s="2">
        <v>0.32058397</v>
      </c>
      <c r="AC63" s="2">
        <v>-0.87891965999999999</v>
      </c>
      <c r="AD63" s="2">
        <v>-0.110309854</v>
      </c>
      <c r="AE63" s="2">
        <v>-0.90904474000000002</v>
      </c>
      <c r="AF63" s="2">
        <v>0.67368879999999998</v>
      </c>
      <c r="AG63" s="2">
        <v>-0.25037219999999999</v>
      </c>
      <c r="AH63" s="2">
        <v>-0.75941340000000002</v>
      </c>
      <c r="AI63" s="2">
        <v>1</v>
      </c>
      <c r="AJ63" s="2">
        <v>-0.14661901999999999</v>
      </c>
      <c r="AK63" s="2">
        <v>0.88873860000000005</v>
      </c>
      <c r="AL63" s="2">
        <v>-0.49534664</v>
      </c>
      <c r="AM63" s="2">
        <v>-0.79738235000000002</v>
      </c>
      <c r="AN63" s="2">
        <v>0.82934260000000004</v>
      </c>
      <c r="AO63" s="2">
        <v>0.76166250000000002</v>
      </c>
      <c r="AP63" s="2">
        <v>0.19935649999999999</v>
      </c>
      <c r="AQ63" s="2">
        <v>0.70516109999999999</v>
      </c>
      <c r="AR63" s="2">
        <v>-0.21169892000000001</v>
      </c>
      <c r="AS63" s="2">
        <v>0.90945560000000003</v>
      </c>
      <c r="AT63" s="2">
        <v>0.73370694999999997</v>
      </c>
      <c r="AU63" s="2">
        <v>0.96015700000000004</v>
      </c>
      <c r="AV63" s="2">
        <v>0.90619130000000003</v>
      </c>
      <c r="AW63" s="2">
        <v>-0.62568420000000002</v>
      </c>
      <c r="AX63" s="2">
        <v>8.8221259999999996E-2</v>
      </c>
      <c r="AY63" s="2">
        <v>0.30619657</v>
      </c>
      <c r="AZ63" s="2">
        <v>0.75550390000000001</v>
      </c>
      <c r="BA63" s="2">
        <v>0.78910639999999999</v>
      </c>
      <c r="BB63" s="2">
        <v>0.35402697</v>
      </c>
      <c r="BC63" s="2">
        <v>-0.57571439999999996</v>
      </c>
      <c r="BD63" s="2">
        <v>0.89248050000000001</v>
      </c>
      <c r="BE63" s="2">
        <v>0.70345199999999997</v>
      </c>
      <c r="BF63" s="2">
        <v>0.70786190000000004</v>
      </c>
      <c r="BG63" s="2">
        <v>-0.83651876000000003</v>
      </c>
      <c r="BH63" s="2">
        <v>-0.67583053999999998</v>
      </c>
      <c r="BI63" s="2">
        <v>-0.87363729999999995</v>
      </c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s="13" t="str" cm="1">
        <f t="array" ref="A64">_xll.FDS(B64,"FG_COMPANY_NAME")</f>
        <v>Nikon Corp.</v>
      </c>
      <c r="B64" s="4" t="str">
        <v>7731-JP</v>
      </c>
      <c r="C64" s="2">
        <v>-0.16960822</v>
      </c>
      <c r="D64" s="2">
        <v>0.64069754000000001</v>
      </c>
      <c r="E64" s="2">
        <v>0.28406631999999998</v>
      </c>
      <c r="F64" s="2">
        <v>0.25810218000000001</v>
      </c>
      <c r="G64" s="2">
        <v>0.28638335999999998</v>
      </c>
      <c r="H64" s="2">
        <v>0.57208055000000002</v>
      </c>
      <c r="I64" s="2">
        <v>-0.17755660000000001</v>
      </c>
      <c r="J64" s="2">
        <v>-0.112091675</v>
      </c>
      <c r="K64" s="2">
        <v>0.108965166</v>
      </c>
      <c r="L64" s="2">
        <v>-0.1828564</v>
      </c>
      <c r="M64" s="2">
        <v>2.6961852000000001E-2</v>
      </c>
      <c r="N64" s="2">
        <v>3.4753196E-2</v>
      </c>
      <c r="O64" s="2">
        <v>-0.12758832000000001</v>
      </c>
      <c r="P64" s="2">
        <v>0.47433069999999999</v>
      </c>
      <c r="Q64" s="2">
        <v>0.17064778999999999</v>
      </c>
      <c r="R64" s="2">
        <v>0.15575375999999999</v>
      </c>
      <c r="S64" s="2">
        <v>8.4949135999999995E-2</v>
      </c>
      <c r="T64" s="2">
        <v>0.60516910000000002</v>
      </c>
      <c r="U64" s="2">
        <v>-0.20415440000000001</v>
      </c>
      <c r="V64" s="2">
        <v>0.57399129999999998</v>
      </c>
      <c r="W64" s="2">
        <v>0.60352859999999997</v>
      </c>
      <c r="X64" s="2">
        <v>0.14428141999999999</v>
      </c>
      <c r="Y64" s="2">
        <v>0.60099709999999995</v>
      </c>
      <c r="Z64" s="2">
        <v>-0.2752713</v>
      </c>
      <c r="AA64" s="2">
        <v>4.5766993999999998E-2</v>
      </c>
      <c r="AB64" s="2">
        <v>0.35429169999999999</v>
      </c>
      <c r="AC64" s="2">
        <v>0.11456166</v>
      </c>
      <c r="AD64" s="2">
        <v>0.78795296000000004</v>
      </c>
      <c r="AE64" s="2">
        <v>0.13860385</v>
      </c>
      <c r="AF64" s="2">
        <v>0.18229586</v>
      </c>
      <c r="AG64" s="2">
        <v>0.67464080000000004</v>
      </c>
      <c r="AH64" s="2">
        <v>-8.7024980000000002E-2</v>
      </c>
      <c r="AI64" s="2">
        <v>-0.14661901999999999</v>
      </c>
      <c r="AJ64" s="2">
        <v>1</v>
      </c>
      <c r="AK64" s="2">
        <v>-8.5831024000000006E-2</v>
      </c>
      <c r="AL64" s="2">
        <v>0.32743876999999999</v>
      </c>
      <c r="AM64" s="2">
        <v>0.40335417000000001</v>
      </c>
      <c r="AN64" s="2">
        <v>0.24164427999999999</v>
      </c>
      <c r="AO64" s="2">
        <v>0.30431121999999999</v>
      </c>
      <c r="AP64" s="2">
        <v>0.72586340000000005</v>
      </c>
      <c r="AQ64" s="2">
        <v>0.41759859999999999</v>
      </c>
      <c r="AR64" s="2">
        <v>-0.20711507000000001</v>
      </c>
      <c r="AS64" s="2">
        <v>-9.9349304999999999E-2</v>
      </c>
      <c r="AT64" s="2">
        <v>0.21840631999999999</v>
      </c>
      <c r="AU64" s="2">
        <v>-0.15894417</v>
      </c>
      <c r="AV64" s="2">
        <v>6.1002965999999999E-2</v>
      </c>
      <c r="AW64" s="2">
        <v>0.41693434000000001</v>
      </c>
      <c r="AX64" s="2">
        <v>0.62267839999999997</v>
      </c>
      <c r="AY64" s="2">
        <v>0.71482444000000001</v>
      </c>
      <c r="AZ64" s="2">
        <v>0.25051862000000003</v>
      </c>
      <c r="BA64" s="2">
        <v>0.29189201999999997</v>
      </c>
      <c r="BB64" s="2">
        <v>-0.26344236999999998</v>
      </c>
      <c r="BC64" s="2">
        <v>0.54823390000000005</v>
      </c>
      <c r="BD64" s="2">
        <v>7.2222700000000001E-2</v>
      </c>
      <c r="BE64" s="2">
        <v>-0.33105669999999998</v>
      </c>
      <c r="BF64" s="2">
        <v>-0.73391839999999997</v>
      </c>
      <c r="BG64" s="2">
        <v>9.1258909999999999E-2</v>
      </c>
      <c r="BH64" s="2">
        <v>0.24993647999999999</v>
      </c>
      <c r="BI64" s="2">
        <v>8.2462320000000006E-2</v>
      </c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s="13" t="str" cm="1">
        <f t="array" ref="A65">_xll.FDS(B65,"FG_COMPANY_NAME")</f>
        <v>Nippon Television Holdings, Inc.</v>
      </c>
      <c r="B65" s="4" t="str">
        <v>9404-JP</v>
      </c>
      <c r="C65" s="2">
        <v>0.48971609999999999</v>
      </c>
      <c r="D65" s="2">
        <v>0.39197427000000001</v>
      </c>
      <c r="E65" s="2">
        <v>0.59864589999999995</v>
      </c>
      <c r="F65" s="2">
        <v>0.76925869999999996</v>
      </c>
      <c r="G65" s="2">
        <v>7.9658329999999999E-2</v>
      </c>
      <c r="H65" s="2">
        <v>0.55383349999999998</v>
      </c>
      <c r="I65" s="2">
        <v>0.47195798</v>
      </c>
      <c r="J65" s="2">
        <v>0.86865689999999995</v>
      </c>
      <c r="K65" s="2">
        <v>-0.81921460000000002</v>
      </c>
      <c r="L65" s="2">
        <v>0.83378834000000002</v>
      </c>
      <c r="M65" s="2">
        <v>0.49651299999999998</v>
      </c>
      <c r="N65" s="2">
        <v>0.22724369</v>
      </c>
      <c r="O65" s="2">
        <v>0.81784475000000001</v>
      </c>
      <c r="P65" s="2">
        <v>-0.69789374000000004</v>
      </c>
      <c r="Q65" s="2">
        <v>0.78492609999999996</v>
      </c>
      <c r="R65" s="2">
        <v>0.77163619999999999</v>
      </c>
      <c r="S65" s="2">
        <v>0.90309419999999996</v>
      </c>
      <c r="T65" s="2">
        <v>-0.71366980000000002</v>
      </c>
      <c r="U65" s="2">
        <v>0.40803134000000002</v>
      </c>
      <c r="V65" s="2">
        <v>0.14690027</v>
      </c>
      <c r="W65" s="2">
        <v>0.43537779999999998</v>
      </c>
      <c r="X65" s="2">
        <v>0.59431730000000005</v>
      </c>
      <c r="Y65" s="2">
        <v>0.32661142999999998</v>
      </c>
      <c r="Z65" s="2">
        <v>0.80172867000000003</v>
      </c>
      <c r="AA65" s="2">
        <v>-0.79876930000000002</v>
      </c>
      <c r="AB65" s="2">
        <v>0.29704627</v>
      </c>
      <c r="AC65" s="2">
        <v>-0.90327190000000002</v>
      </c>
      <c r="AD65" s="2">
        <v>-5.2274981999999998E-3</v>
      </c>
      <c r="AE65" s="2">
        <v>-0.88504505</v>
      </c>
      <c r="AF65" s="2">
        <v>0.78544590000000003</v>
      </c>
      <c r="AG65" s="2">
        <v>-0.12756571</v>
      </c>
      <c r="AH65" s="2">
        <v>-0.74181839999999999</v>
      </c>
      <c r="AI65" s="2">
        <v>0.88873860000000005</v>
      </c>
      <c r="AJ65" s="2">
        <v>-8.5831024000000006E-2</v>
      </c>
      <c r="AK65" s="2">
        <v>1</v>
      </c>
      <c r="AL65" s="2">
        <v>-0.45641556</v>
      </c>
      <c r="AM65" s="2">
        <v>-0.78777059999999999</v>
      </c>
      <c r="AN65" s="2">
        <v>0.81149530000000003</v>
      </c>
      <c r="AO65" s="2">
        <v>0.73722505999999999</v>
      </c>
      <c r="AP65" s="2">
        <v>0.29894593000000003</v>
      </c>
      <c r="AQ65" s="2">
        <v>0.66143090000000004</v>
      </c>
      <c r="AR65" s="2">
        <v>-0.22764993</v>
      </c>
      <c r="AS65" s="2">
        <v>0.85288984000000001</v>
      </c>
      <c r="AT65" s="2">
        <v>0.63013863999999997</v>
      </c>
      <c r="AU65" s="2">
        <v>0.93450239999999996</v>
      </c>
      <c r="AV65" s="2">
        <v>0.85757625000000004</v>
      </c>
      <c r="AW65" s="2">
        <v>-0.59552914000000001</v>
      </c>
      <c r="AX65" s="2">
        <v>9.0476303999999994E-2</v>
      </c>
      <c r="AY65" s="2">
        <v>0.35816202000000003</v>
      </c>
      <c r="AZ65" s="2">
        <v>0.85082369999999996</v>
      </c>
      <c r="BA65" s="2">
        <v>0.78157489999999996</v>
      </c>
      <c r="BB65" s="2">
        <v>0.36681932</v>
      </c>
      <c r="BC65" s="2">
        <v>-0.56112660000000003</v>
      </c>
      <c r="BD65" s="2">
        <v>0.84612894000000005</v>
      </c>
      <c r="BE65" s="2">
        <v>0.74023510000000003</v>
      </c>
      <c r="BF65" s="2">
        <v>0.71194804</v>
      </c>
      <c r="BG65" s="2">
        <v>-0.81179214</v>
      </c>
      <c r="BH65" s="2">
        <v>-0.64455960000000001</v>
      </c>
      <c r="BI65" s="2">
        <v>-0.88737904999999995</v>
      </c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A66" s="13" t="str" cm="1">
        <f t="array" ref="A66">_xll.FDS(B66,"FG_COMPANY_NAME")</f>
        <v>Pfizer Inc.</v>
      </c>
      <c r="B66" s="4" t="str">
        <v>PFE-US</v>
      </c>
      <c r="C66" s="2">
        <v>-0.113806</v>
      </c>
      <c r="D66" s="2">
        <v>0.19385561000000001</v>
      </c>
      <c r="E66" s="2">
        <v>-0.15415417000000001</v>
      </c>
      <c r="F66" s="2">
        <v>-3.8480966999999998E-2</v>
      </c>
      <c r="G66" s="2">
        <v>0.42239547</v>
      </c>
      <c r="H66" s="2">
        <v>4.1758200000000002E-3</v>
      </c>
      <c r="I66" s="2">
        <v>-2.5001608000000002E-2</v>
      </c>
      <c r="J66" s="2">
        <v>-0.33025143000000001</v>
      </c>
      <c r="K66" s="2">
        <v>0.58628630000000004</v>
      </c>
      <c r="L66" s="2">
        <v>-0.43731766999999999</v>
      </c>
      <c r="M66" s="2">
        <v>4.8611630000000003E-2</v>
      </c>
      <c r="N66" s="2">
        <v>-0.37856733999999997</v>
      </c>
      <c r="O66" s="2">
        <v>-0.45200216999999998</v>
      </c>
      <c r="P66" s="2">
        <v>0.41933626000000002</v>
      </c>
      <c r="Q66" s="2">
        <v>-0.101046264</v>
      </c>
      <c r="R66" s="2">
        <v>-0.22555130000000001</v>
      </c>
      <c r="S66" s="2">
        <v>-0.33848679999999998</v>
      </c>
      <c r="T66" s="2">
        <v>0.68514293000000004</v>
      </c>
      <c r="U66" s="2">
        <v>-0.21059231</v>
      </c>
      <c r="V66" s="2">
        <v>0.42461320000000002</v>
      </c>
      <c r="W66" s="2">
        <v>7.2848270000000007E-2</v>
      </c>
      <c r="X66" s="2">
        <v>-0.12317201</v>
      </c>
      <c r="Y66" s="2">
        <v>0.29086849999999997</v>
      </c>
      <c r="Z66" s="2">
        <v>-0.63912899999999995</v>
      </c>
      <c r="AA66" s="2">
        <v>0.48108062000000001</v>
      </c>
      <c r="AB66" s="2">
        <v>0.38738909999999999</v>
      </c>
      <c r="AC66" s="2">
        <v>0.64055790000000001</v>
      </c>
      <c r="AD66" s="2">
        <v>0.48882213000000002</v>
      </c>
      <c r="AE66" s="2">
        <v>0.60517626999999996</v>
      </c>
      <c r="AF66" s="2">
        <v>-0.33956530000000001</v>
      </c>
      <c r="AG66" s="2">
        <v>0.54915683999999998</v>
      </c>
      <c r="AH66" s="2">
        <v>0.18567896</v>
      </c>
      <c r="AI66" s="2">
        <v>-0.49534664</v>
      </c>
      <c r="AJ66" s="2">
        <v>0.32743876999999999</v>
      </c>
      <c r="AK66" s="2">
        <v>-0.45641556</v>
      </c>
      <c r="AL66" s="2">
        <v>1</v>
      </c>
      <c r="AM66" s="2">
        <v>0.56571749999999998</v>
      </c>
      <c r="AN66" s="2">
        <v>-0.15757911999999999</v>
      </c>
      <c r="AO66" s="2">
        <v>-1.0034751E-2</v>
      </c>
      <c r="AP66" s="2">
        <v>0.28798804</v>
      </c>
      <c r="AQ66" s="2">
        <v>-0.104221836</v>
      </c>
      <c r="AR66" s="2">
        <v>0.17234927</v>
      </c>
      <c r="AS66" s="2">
        <v>-0.43890053000000001</v>
      </c>
      <c r="AT66" s="2">
        <v>-0.118490204</v>
      </c>
      <c r="AU66" s="2">
        <v>-0.49030757000000003</v>
      </c>
      <c r="AV66" s="2">
        <v>-0.23969293999999999</v>
      </c>
      <c r="AW66" s="2">
        <v>0.82276755999999995</v>
      </c>
      <c r="AX66" s="2">
        <v>0.39303260000000001</v>
      </c>
      <c r="AY66" s="2">
        <v>0.30768234</v>
      </c>
      <c r="AZ66" s="2">
        <v>-0.11081878000000001</v>
      </c>
      <c r="BA66" s="2">
        <v>-0.19179456</v>
      </c>
      <c r="BB66" s="2">
        <v>-0.36298564</v>
      </c>
      <c r="BC66" s="2">
        <v>0.70783030000000002</v>
      </c>
      <c r="BD66" s="2">
        <v>-0.28859213</v>
      </c>
      <c r="BE66" s="2">
        <v>-0.30399734</v>
      </c>
      <c r="BF66" s="2">
        <v>-0.32903870000000002</v>
      </c>
      <c r="BG66" s="2">
        <v>0.41019030000000001</v>
      </c>
      <c r="BH66" s="2">
        <v>0.29929625999999998</v>
      </c>
      <c r="BI66" s="2">
        <v>0.43638468000000002</v>
      </c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A67" s="13" t="str" cm="1">
        <f t="array" ref="A67">_xll.FDS(B67,"FG_COMPANY_NAME")</f>
        <v>PUMA SE</v>
      </c>
      <c r="B67" s="4" t="str">
        <v>PUM-DE</v>
      </c>
      <c r="C67" s="2">
        <v>-0.47092624999999999</v>
      </c>
      <c r="D67" s="2">
        <v>-7.7071920000000002E-2</v>
      </c>
      <c r="E67" s="2">
        <v>-0.44207352</v>
      </c>
      <c r="F67" s="2">
        <v>-0.51924610000000004</v>
      </c>
      <c r="G67" s="2">
        <v>-2.1444751000000001E-2</v>
      </c>
      <c r="H67" s="2">
        <v>-0.28556967</v>
      </c>
      <c r="I67" s="2">
        <v>-0.58134920000000001</v>
      </c>
      <c r="J67" s="2">
        <v>-0.69521314000000001</v>
      </c>
      <c r="K67" s="2">
        <v>0.60011594999999995</v>
      </c>
      <c r="L67" s="2">
        <v>-0.70584135999999997</v>
      </c>
      <c r="M67" s="2">
        <v>-0.43061206000000002</v>
      </c>
      <c r="N67" s="2">
        <v>1.2488977E-2</v>
      </c>
      <c r="O67" s="2">
        <v>-0.72888160000000002</v>
      </c>
      <c r="P67" s="2">
        <v>0.82880379999999998</v>
      </c>
      <c r="Q67" s="2">
        <v>-0.55485695999999995</v>
      </c>
      <c r="R67" s="2">
        <v>-0.65427049999999998</v>
      </c>
      <c r="S67" s="2">
        <v>-0.67214229999999997</v>
      </c>
      <c r="T67" s="2">
        <v>0.79583614999999996</v>
      </c>
      <c r="U67" s="2">
        <v>-0.43951913999999997</v>
      </c>
      <c r="V67" s="2">
        <v>0.23563047000000001</v>
      </c>
      <c r="W67" s="2">
        <v>-0.19524685</v>
      </c>
      <c r="X67" s="2">
        <v>-0.32134955999999998</v>
      </c>
      <c r="Y67" s="2">
        <v>-8.7266389999999999E-2</v>
      </c>
      <c r="Z67" s="2">
        <v>-0.81040109999999999</v>
      </c>
      <c r="AA67" s="2">
        <v>0.69759769999999999</v>
      </c>
      <c r="AB67" s="2">
        <v>-2.7708531999999998E-3</v>
      </c>
      <c r="AC67" s="2">
        <v>0.7692466</v>
      </c>
      <c r="AD67" s="2">
        <v>0.36632513999999999</v>
      </c>
      <c r="AE67" s="2">
        <v>0.72692734000000003</v>
      </c>
      <c r="AF67" s="2">
        <v>-0.39381397000000001</v>
      </c>
      <c r="AG67" s="2">
        <v>0.47612795000000002</v>
      </c>
      <c r="AH67" s="2">
        <v>0.51703023999999997</v>
      </c>
      <c r="AI67" s="2">
        <v>-0.79738235000000002</v>
      </c>
      <c r="AJ67" s="2">
        <v>0.40335417000000001</v>
      </c>
      <c r="AK67" s="2">
        <v>-0.78777059999999999</v>
      </c>
      <c r="AL67" s="2">
        <v>0.56571749999999998</v>
      </c>
      <c r="AM67" s="2">
        <v>1</v>
      </c>
      <c r="AN67" s="2">
        <v>-0.54676449999999999</v>
      </c>
      <c r="AO67" s="2">
        <v>-0.48114620000000002</v>
      </c>
      <c r="AP67" s="2">
        <v>0.16540924000000001</v>
      </c>
      <c r="AQ67" s="2">
        <v>-0.39510640000000002</v>
      </c>
      <c r="AR67" s="2">
        <v>-0.123697534</v>
      </c>
      <c r="AS67" s="2">
        <v>-0.81102914000000004</v>
      </c>
      <c r="AT67" s="2">
        <v>-0.35154363999999999</v>
      </c>
      <c r="AU67" s="2">
        <v>-0.8426749</v>
      </c>
      <c r="AV67" s="2">
        <v>-0.72119253999999999</v>
      </c>
      <c r="AW67" s="2">
        <v>0.65793215999999999</v>
      </c>
      <c r="AX67" s="2">
        <v>0.13275503</v>
      </c>
      <c r="AY67" s="2">
        <v>2.0895917E-2</v>
      </c>
      <c r="AZ67" s="2">
        <v>-0.59053785000000003</v>
      </c>
      <c r="BA67" s="2">
        <v>-0.52577629999999997</v>
      </c>
      <c r="BB67" s="2">
        <v>-0.41922656000000003</v>
      </c>
      <c r="BC67" s="2">
        <v>0.82782299999999998</v>
      </c>
      <c r="BD67" s="2">
        <v>-0.61219420000000002</v>
      </c>
      <c r="BE67" s="2">
        <v>-0.77126030000000001</v>
      </c>
      <c r="BF67" s="2">
        <v>-0.78207459999999995</v>
      </c>
      <c r="BG67" s="2">
        <v>0.66005062999999997</v>
      </c>
      <c r="BH67" s="2">
        <v>0.71555716000000003</v>
      </c>
      <c r="BI67" s="2">
        <v>0.82717973</v>
      </c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A68" s="13" t="str" cm="1">
        <f t="array" ref="A68">_xll.FDS(B68,"FG_COMPANY_NAME")</f>
        <v>Repsol SA</v>
      </c>
      <c r="B68" s="4" t="str">
        <v>REP-ES</v>
      </c>
      <c r="C68" s="2">
        <v>0.50738406000000003</v>
      </c>
      <c r="D68" s="2">
        <v>0.71369369999999999</v>
      </c>
      <c r="E68" s="2">
        <v>0.62701249999999997</v>
      </c>
      <c r="F68" s="2">
        <v>0.93275045999999995</v>
      </c>
      <c r="G68" s="2">
        <v>0.17498032999999999</v>
      </c>
      <c r="H68" s="2">
        <v>0.71703225000000004</v>
      </c>
      <c r="I68" s="2">
        <v>0.42721179999999997</v>
      </c>
      <c r="J68" s="2">
        <v>0.87774693999999998</v>
      </c>
      <c r="K68" s="2">
        <v>-0.76815120000000003</v>
      </c>
      <c r="L68" s="2">
        <v>0.80773910000000004</v>
      </c>
      <c r="M68" s="2">
        <v>0.77070090000000002</v>
      </c>
      <c r="N68" s="2">
        <v>5.1202584000000002E-2</v>
      </c>
      <c r="O68" s="2">
        <v>0.82330570000000003</v>
      </c>
      <c r="P68" s="2">
        <v>-0.47308463000000001</v>
      </c>
      <c r="Q68" s="2">
        <v>0.96069309999999997</v>
      </c>
      <c r="R68" s="2">
        <v>0.79945949999999999</v>
      </c>
      <c r="S68" s="2">
        <v>0.93095300000000003</v>
      </c>
      <c r="T68" s="2">
        <v>-0.34717616000000001</v>
      </c>
      <c r="U68" s="2">
        <v>0.55008009999999996</v>
      </c>
      <c r="V68" s="2">
        <v>0.53166133000000004</v>
      </c>
      <c r="W68" s="2">
        <v>0.7134258</v>
      </c>
      <c r="X68" s="2">
        <v>0.82965849999999997</v>
      </c>
      <c r="Y68" s="2">
        <v>0.65215296</v>
      </c>
      <c r="Z68" s="2">
        <v>0.6552962</v>
      </c>
      <c r="AA68" s="2">
        <v>-0.77263539999999997</v>
      </c>
      <c r="AB68" s="2">
        <v>0.63958409999999999</v>
      </c>
      <c r="AC68" s="2">
        <v>-0.74075943</v>
      </c>
      <c r="AD68" s="2">
        <v>0.33918201999999997</v>
      </c>
      <c r="AE68" s="2">
        <v>-0.78707050000000001</v>
      </c>
      <c r="AF68" s="2">
        <v>0.730935</v>
      </c>
      <c r="AG68" s="2">
        <v>0.16161136000000001</v>
      </c>
      <c r="AH68" s="2">
        <v>-0.86466209999999999</v>
      </c>
      <c r="AI68" s="2">
        <v>0.82934260000000004</v>
      </c>
      <c r="AJ68" s="2">
        <v>0.24164427999999999</v>
      </c>
      <c r="AK68" s="2">
        <v>0.81149530000000003</v>
      </c>
      <c r="AL68" s="2">
        <v>-0.15757911999999999</v>
      </c>
      <c r="AM68" s="2">
        <v>-0.54676449999999999</v>
      </c>
      <c r="AN68" s="2">
        <v>1</v>
      </c>
      <c r="AO68" s="2">
        <v>0.95969044999999997</v>
      </c>
      <c r="AP68" s="2">
        <v>0.59829299999999996</v>
      </c>
      <c r="AQ68" s="2">
        <v>0.88422584999999998</v>
      </c>
      <c r="AR68" s="2">
        <v>-0.38442287000000003</v>
      </c>
      <c r="AS68" s="2">
        <v>0.83798899999999998</v>
      </c>
      <c r="AT68" s="2">
        <v>0.88310330000000004</v>
      </c>
      <c r="AU68" s="2">
        <v>0.84927832999999997</v>
      </c>
      <c r="AV68" s="2">
        <v>0.93950959999999994</v>
      </c>
      <c r="AW68" s="2">
        <v>-0.29336800000000002</v>
      </c>
      <c r="AX68" s="2">
        <v>0.38444993</v>
      </c>
      <c r="AY68" s="2">
        <v>0.66816324000000005</v>
      </c>
      <c r="AZ68" s="2">
        <v>0.91724899999999998</v>
      </c>
      <c r="BA68" s="2">
        <v>0.93544130000000003</v>
      </c>
      <c r="BB68" s="2">
        <v>0.12596532999999999</v>
      </c>
      <c r="BC68" s="2">
        <v>-0.20633613000000001</v>
      </c>
      <c r="BD68" s="2">
        <v>0.92572880000000002</v>
      </c>
      <c r="BE68" s="2">
        <v>0.54651680000000002</v>
      </c>
      <c r="BF68" s="2">
        <v>0.56864650000000005</v>
      </c>
      <c r="BG68" s="2">
        <v>-0.83204734000000002</v>
      </c>
      <c r="BH68" s="2">
        <v>-0.57726383000000003</v>
      </c>
      <c r="BI68" s="2">
        <v>-0.84012085000000003</v>
      </c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A69" s="13" t="str" cm="1">
        <f t="array" ref="A69">_xll.FDS(B69,"FG_COMPANY_NAME")</f>
        <v>ROHM Company Limited</v>
      </c>
      <c r="B69" s="4" t="str">
        <v>6963-JP</v>
      </c>
      <c r="C69" s="2">
        <v>0.56637570000000004</v>
      </c>
      <c r="D69" s="2">
        <v>0.71704489999999999</v>
      </c>
      <c r="E69" s="2">
        <v>0.66704165999999998</v>
      </c>
      <c r="F69" s="2">
        <v>0.91086036000000004</v>
      </c>
      <c r="G69" s="2">
        <v>0.23700751</v>
      </c>
      <c r="H69" s="2">
        <v>0.70300490000000004</v>
      </c>
      <c r="I69" s="2">
        <v>0.40691832</v>
      </c>
      <c r="J69" s="2">
        <v>0.83089787000000004</v>
      </c>
      <c r="K69" s="2">
        <v>-0.68172102999999995</v>
      </c>
      <c r="L69" s="2">
        <v>0.76238006000000003</v>
      </c>
      <c r="M69" s="2">
        <v>0.78865359999999995</v>
      </c>
      <c r="N69" s="2">
        <v>2.9789856E-2</v>
      </c>
      <c r="O69" s="2">
        <v>0.75484329999999999</v>
      </c>
      <c r="P69" s="2">
        <v>-0.40231106</v>
      </c>
      <c r="Q69" s="2">
        <v>0.95083076</v>
      </c>
      <c r="R69" s="2">
        <v>0.75468177000000003</v>
      </c>
      <c r="S69" s="2">
        <v>0.89735514000000005</v>
      </c>
      <c r="T69" s="2">
        <v>-0.24993689999999999</v>
      </c>
      <c r="U69" s="2">
        <v>0.55729130000000004</v>
      </c>
      <c r="V69" s="2">
        <v>0.58247230000000005</v>
      </c>
      <c r="W69" s="2">
        <v>0.73304000000000002</v>
      </c>
      <c r="X69" s="2">
        <v>0.82981914000000001</v>
      </c>
      <c r="Y69" s="2">
        <v>0.69492774999999996</v>
      </c>
      <c r="Z69" s="2">
        <v>0.55597399999999997</v>
      </c>
      <c r="AA69" s="2">
        <v>-0.71737194000000004</v>
      </c>
      <c r="AB69" s="2">
        <v>0.68915170000000003</v>
      </c>
      <c r="AC69" s="2">
        <v>-0.67103710000000005</v>
      </c>
      <c r="AD69" s="2">
        <v>0.39361244000000001</v>
      </c>
      <c r="AE69" s="2">
        <v>-0.69695203999999999</v>
      </c>
      <c r="AF69" s="2">
        <v>0.69295249999999997</v>
      </c>
      <c r="AG69" s="2">
        <v>0.30629770000000001</v>
      </c>
      <c r="AH69" s="2">
        <v>-0.82621860000000003</v>
      </c>
      <c r="AI69" s="2">
        <v>0.76166250000000002</v>
      </c>
      <c r="AJ69" s="2">
        <v>0.30431121999999999</v>
      </c>
      <c r="AK69" s="2">
        <v>0.73722505999999999</v>
      </c>
      <c r="AL69" s="2">
        <v>-1.0034751E-2</v>
      </c>
      <c r="AM69" s="2">
        <v>-0.48114620000000002</v>
      </c>
      <c r="AN69" s="2">
        <v>0.95969044999999997</v>
      </c>
      <c r="AO69" s="2">
        <v>1</v>
      </c>
      <c r="AP69" s="2">
        <v>0.67431929999999995</v>
      </c>
      <c r="AQ69" s="2">
        <v>0.90376979999999996</v>
      </c>
      <c r="AR69" s="2">
        <v>-0.38521218000000002</v>
      </c>
      <c r="AS69" s="2">
        <v>0.79196330000000004</v>
      </c>
      <c r="AT69" s="2">
        <v>0.89567286000000002</v>
      </c>
      <c r="AU69" s="2">
        <v>0.78131353999999997</v>
      </c>
      <c r="AV69" s="2">
        <v>0.91343814000000001</v>
      </c>
      <c r="AW69" s="2">
        <v>-0.18015178000000001</v>
      </c>
      <c r="AX69" s="2">
        <v>0.46874539999999998</v>
      </c>
      <c r="AY69" s="2">
        <v>0.77252257000000002</v>
      </c>
      <c r="AZ69" s="2">
        <v>0.91497720000000005</v>
      </c>
      <c r="BA69" s="2">
        <v>0.91449930000000001</v>
      </c>
      <c r="BB69" s="2">
        <v>5.2585470000000002E-2</v>
      </c>
      <c r="BC69" s="2">
        <v>-9.4350080000000003E-2</v>
      </c>
      <c r="BD69" s="2">
        <v>0.89744990000000002</v>
      </c>
      <c r="BE69" s="2">
        <v>0.45704663000000001</v>
      </c>
      <c r="BF69" s="2">
        <v>0.50539330000000005</v>
      </c>
      <c r="BG69" s="2">
        <v>-0.80147712999999998</v>
      </c>
      <c r="BH69" s="2">
        <v>-0.55508939999999996</v>
      </c>
      <c r="BI69" s="2">
        <v>-0.82084310000000005</v>
      </c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A70" s="13" t="str" cm="1">
        <f t="array" ref="A70">_xll.FDS(B70,"FG_COMPANY_NAME")</f>
        <v>Sally Beauty Holdings, Inc.</v>
      </c>
      <c r="B70" s="4" t="str">
        <v>SBH-US</v>
      </c>
      <c r="C70" s="2">
        <v>8.7446034000000006E-2</v>
      </c>
      <c r="D70" s="2">
        <v>0.75275623999999997</v>
      </c>
      <c r="E70" s="2">
        <v>0.52062580000000003</v>
      </c>
      <c r="F70" s="2">
        <v>0.59797279999999997</v>
      </c>
      <c r="G70" s="2">
        <v>0.30747797999999998</v>
      </c>
      <c r="H70" s="2">
        <v>0.64833253999999996</v>
      </c>
      <c r="I70" s="2">
        <v>-2.8223893E-2</v>
      </c>
      <c r="J70" s="2">
        <v>0.27445893999999998</v>
      </c>
      <c r="K70" s="2">
        <v>-0.26487252</v>
      </c>
      <c r="L70" s="2">
        <v>0.238542</v>
      </c>
      <c r="M70" s="2">
        <v>0.39358187</v>
      </c>
      <c r="N70" s="2">
        <v>9.5734949999999999E-2</v>
      </c>
      <c r="O70" s="2">
        <v>0.18991517999999999</v>
      </c>
      <c r="P70" s="2">
        <v>0.12938182000000001</v>
      </c>
      <c r="Q70" s="2">
        <v>0.54785609999999996</v>
      </c>
      <c r="R70" s="2">
        <v>0.31538305</v>
      </c>
      <c r="S70" s="2">
        <v>0.46502155000000001</v>
      </c>
      <c r="T70" s="2">
        <v>0.35006246000000002</v>
      </c>
      <c r="U70" s="2">
        <v>0.15019726999999999</v>
      </c>
      <c r="V70" s="2">
        <v>0.8310649</v>
      </c>
      <c r="W70" s="2">
        <v>0.69213676000000002</v>
      </c>
      <c r="X70" s="2">
        <v>0.55363770000000001</v>
      </c>
      <c r="Y70" s="2">
        <v>0.74509239999999999</v>
      </c>
      <c r="Z70" s="2">
        <v>-2.9568087E-2</v>
      </c>
      <c r="AA70" s="2">
        <v>-0.22010552999999999</v>
      </c>
      <c r="AB70" s="2">
        <v>0.66475355999999997</v>
      </c>
      <c r="AC70" s="2">
        <v>-0.21027187</v>
      </c>
      <c r="AD70" s="2">
        <v>0.80979913000000003</v>
      </c>
      <c r="AE70" s="2">
        <v>-0.18745590000000001</v>
      </c>
      <c r="AF70" s="2">
        <v>0.56684730000000005</v>
      </c>
      <c r="AG70" s="2">
        <v>0.78751269999999995</v>
      </c>
      <c r="AH70" s="2">
        <v>-0.45491619999999999</v>
      </c>
      <c r="AI70" s="2">
        <v>0.19935649999999999</v>
      </c>
      <c r="AJ70" s="2">
        <v>0.72586340000000005</v>
      </c>
      <c r="AK70" s="2">
        <v>0.29894593000000003</v>
      </c>
      <c r="AL70" s="2">
        <v>0.28798804</v>
      </c>
      <c r="AM70" s="2">
        <v>0.16540924000000001</v>
      </c>
      <c r="AN70" s="2">
        <v>0.59829299999999996</v>
      </c>
      <c r="AO70" s="2">
        <v>0.67431929999999995</v>
      </c>
      <c r="AP70" s="2">
        <v>1</v>
      </c>
      <c r="AQ70" s="2">
        <v>0.72162959999999998</v>
      </c>
      <c r="AR70" s="2">
        <v>-0.49555125999999999</v>
      </c>
      <c r="AS70" s="2">
        <v>0.18952413000000001</v>
      </c>
      <c r="AT70" s="2">
        <v>0.64529440000000005</v>
      </c>
      <c r="AU70" s="2">
        <v>0.20104805000000001</v>
      </c>
      <c r="AV70" s="2">
        <v>0.41878949999999998</v>
      </c>
      <c r="AW70" s="2">
        <v>0.2974</v>
      </c>
      <c r="AX70" s="2">
        <v>0.58187880000000003</v>
      </c>
      <c r="AY70" s="2">
        <v>0.82033690000000004</v>
      </c>
      <c r="AZ70" s="2">
        <v>0.63360702999999996</v>
      </c>
      <c r="BA70" s="2">
        <v>0.60648740000000001</v>
      </c>
      <c r="BB70" s="2">
        <v>-0.17033845</v>
      </c>
      <c r="BC70" s="2">
        <v>0.51545375999999998</v>
      </c>
      <c r="BD70" s="2">
        <v>0.47868719999999998</v>
      </c>
      <c r="BE70" s="2">
        <v>-6.5486879999999997E-2</v>
      </c>
      <c r="BF70" s="2">
        <v>-0.40137365000000003</v>
      </c>
      <c r="BG70" s="2">
        <v>-0.32055539999999999</v>
      </c>
      <c r="BH70" s="2">
        <v>-2.8570352E-2</v>
      </c>
      <c r="BI70" s="2">
        <v>-0.27594819999999998</v>
      </c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A71" s="13" t="str" cm="1">
        <f t="array" ref="A71">_xll.FDS(B71,"FG_COMPANY_NAME")</f>
        <v>Samsung Electronics Co Ltd Pfd  Non-Voting</v>
      </c>
      <c r="B71" s="4" t="str">
        <v>005935-KR</v>
      </c>
      <c r="C71" s="2">
        <v>0.42854799999999998</v>
      </c>
      <c r="D71" s="2">
        <v>0.79123706000000005</v>
      </c>
      <c r="E71" s="2">
        <v>0.66681570000000001</v>
      </c>
      <c r="F71" s="2">
        <v>0.81997169999999997</v>
      </c>
      <c r="G71" s="2">
        <v>8.8859684999999994E-2</v>
      </c>
      <c r="H71" s="2">
        <v>0.78338640000000004</v>
      </c>
      <c r="I71" s="2">
        <v>0.24027467999999999</v>
      </c>
      <c r="J71" s="2">
        <v>0.70350975000000004</v>
      </c>
      <c r="K71" s="2">
        <v>-0.68108800000000003</v>
      </c>
      <c r="L71" s="2">
        <v>0.62797539999999996</v>
      </c>
      <c r="M71" s="2">
        <v>0.62451029999999996</v>
      </c>
      <c r="N71" s="2">
        <v>0.22595982000000001</v>
      </c>
      <c r="O71" s="2">
        <v>0.7040341</v>
      </c>
      <c r="P71" s="2">
        <v>-0.36009740000000001</v>
      </c>
      <c r="Q71" s="2">
        <v>0.84203534999999996</v>
      </c>
      <c r="R71" s="2">
        <v>0.75496965999999999</v>
      </c>
      <c r="S71" s="2">
        <v>0.82402396</v>
      </c>
      <c r="T71" s="2">
        <v>-0.15323766</v>
      </c>
      <c r="U71" s="2">
        <v>0.52157503000000005</v>
      </c>
      <c r="V71" s="2">
        <v>0.55800570000000005</v>
      </c>
      <c r="W71" s="2">
        <v>0.8559213</v>
      </c>
      <c r="X71" s="2">
        <v>0.73694999999999999</v>
      </c>
      <c r="Y71" s="2">
        <v>0.75838090000000002</v>
      </c>
      <c r="Z71" s="2">
        <v>0.52897669999999997</v>
      </c>
      <c r="AA71" s="2">
        <v>-0.68608665000000002</v>
      </c>
      <c r="AB71" s="2">
        <v>0.51917009999999997</v>
      </c>
      <c r="AC71" s="2">
        <v>-0.72126809999999997</v>
      </c>
      <c r="AD71" s="2">
        <v>0.49965018</v>
      </c>
      <c r="AE71" s="2">
        <v>-0.69792189999999998</v>
      </c>
      <c r="AF71" s="2">
        <v>0.63920840000000001</v>
      </c>
      <c r="AG71" s="2">
        <v>0.29835751999999999</v>
      </c>
      <c r="AH71" s="2">
        <v>-0.75880239999999999</v>
      </c>
      <c r="AI71" s="2">
        <v>0.70516109999999999</v>
      </c>
      <c r="AJ71" s="2">
        <v>0.41759859999999999</v>
      </c>
      <c r="AK71" s="2">
        <v>0.66143090000000004</v>
      </c>
      <c r="AL71" s="2">
        <v>-0.104221836</v>
      </c>
      <c r="AM71" s="2">
        <v>-0.39510640000000002</v>
      </c>
      <c r="AN71" s="2">
        <v>0.88422584999999998</v>
      </c>
      <c r="AO71" s="2">
        <v>0.90376979999999996</v>
      </c>
      <c r="AP71" s="2">
        <v>0.72162959999999998</v>
      </c>
      <c r="AQ71" s="2">
        <v>1</v>
      </c>
      <c r="AR71" s="2">
        <v>-0.38614063999999998</v>
      </c>
      <c r="AS71" s="2">
        <v>0.72279490000000002</v>
      </c>
      <c r="AT71" s="2">
        <v>0.84327965999999999</v>
      </c>
      <c r="AU71" s="2">
        <v>0.68793420000000005</v>
      </c>
      <c r="AV71" s="2">
        <v>0.81630415000000001</v>
      </c>
      <c r="AW71" s="2">
        <v>-0.26934466000000001</v>
      </c>
      <c r="AX71" s="2">
        <v>0.57838389999999995</v>
      </c>
      <c r="AY71" s="2">
        <v>0.77843649999999998</v>
      </c>
      <c r="AZ71" s="2">
        <v>0.8208548</v>
      </c>
      <c r="BA71" s="2">
        <v>0.90018432999999998</v>
      </c>
      <c r="BB71" s="2">
        <v>-6.7484743999999999E-2</v>
      </c>
      <c r="BC71" s="2">
        <v>-6.0432725E-2</v>
      </c>
      <c r="BD71" s="2">
        <v>0.81589674999999995</v>
      </c>
      <c r="BE71" s="2">
        <v>0.28717290000000001</v>
      </c>
      <c r="BF71" s="2">
        <v>0.40924939999999999</v>
      </c>
      <c r="BG71" s="2">
        <v>-0.70767075000000002</v>
      </c>
      <c r="BH71" s="2">
        <v>-0.52699845999999995</v>
      </c>
      <c r="BI71" s="2">
        <v>-0.77629143</v>
      </c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A72" s="13" t="str" cm="1">
        <f t="array" ref="A72">_xll.FDS(B72,"FG_COMPANY_NAME")</f>
        <v>Sanofi SA</v>
      </c>
      <c r="B72" s="4" t="str">
        <v>SAN-FR</v>
      </c>
      <c r="C72" s="2">
        <v>-9.8658250000000003E-2</v>
      </c>
      <c r="D72" s="2">
        <v>-0.21771494999999999</v>
      </c>
      <c r="E72" s="2">
        <v>-0.13414323</v>
      </c>
      <c r="F72" s="2">
        <v>-0.24815005000000001</v>
      </c>
      <c r="G72" s="2">
        <v>0.2887787</v>
      </c>
      <c r="H72" s="2">
        <v>-0.17412315</v>
      </c>
      <c r="I72" s="2">
        <v>0.46841811999999999</v>
      </c>
      <c r="J72" s="2">
        <v>-0.27711236</v>
      </c>
      <c r="K72" s="2">
        <v>0.48790931999999998</v>
      </c>
      <c r="L72" s="2">
        <v>-0.41256844999999998</v>
      </c>
      <c r="M72" s="2">
        <v>-0.28833994000000002</v>
      </c>
      <c r="N72" s="2">
        <v>-5.8464996999999998E-2</v>
      </c>
      <c r="O72" s="2">
        <v>-0.23053828000000001</v>
      </c>
      <c r="P72" s="2">
        <v>-0.14581588000000001</v>
      </c>
      <c r="Q72" s="2">
        <v>-0.34601982999999997</v>
      </c>
      <c r="R72" s="2">
        <v>5.0942254999999997E-3</v>
      </c>
      <c r="S72" s="2">
        <v>-0.38271486999999998</v>
      </c>
      <c r="T72" s="2">
        <v>4.1763000000000002E-2</v>
      </c>
      <c r="U72" s="2">
        <v>-0.36852884000000002</v>
      </c>
      <c r="V72" s="2">
        <v>-0.47011491999999999</v>
      </c>
      <c r="W72" s="2">
        <v>-0.14393336000000001</v>
      </c>
      <c r="X72" s="2">
        <v>-0.66028403999999996</v>
      </c>
      <c r="Y72" s="2">
        <v>-8.6868286000000003E-2</v>
      </c>
      <c r="Z72" s="2">
        <v>-0.12705462000000001</v>
      </c>
      <c r="AA72" s="2">
        <v>0.33602428000000001</v>
      </c>
      <c r="AB72" s="2">
        <v>-0.32058779999999998</v>
      </c>
      <c r="AC72" s="2">
        <v>0.3162411</v>
      </c>
      <c r="AD72" s="2">
        <v>-0.21965171</v>
      </c>
      <c r="AE72" s="2">
        <v>0.35940519999999998</v>
      </c>
      <c r="AF72" s="2">
        <v>-0.54800444999999998</v>
      </c>
      <c r="AG72" s="2">
        <v>-0.27505326000000002</v>
      </c>
      <c r="AH72" s="2">
        <v>0.44881632999999999</v>
      </c>
      <c r="AI72" s="2">
        <v>-0.21169892000000001</v>
      </c>
      <c r="AJ72" s="2">
        <v>-0.20711507000000001</v>
      </c>
      <c r="AK72" s="2">
        <v>-0.22764993</v>
      </c>
      <c r="AL72" s="2">
        <v>0.17234927</v>
      </c>
      <c r="AM72" s="2">
        <v>-0.123697534</v>
      </c>
      <c r="AN72" s="2">
        <v>-0.38442287000000003</v>
      </c>
      <c r="AO72" s="2">
        <v>-0.38521218000000002</v>
      </c>
      <c r="AP72" s="2">
        <v>-0.49555125999999999</v>
      </c>
      <c r="AQ72" s="2">
        <v>-0.38614063999999998</v>
      </c>
      <c r="AR72" s="2">
        <v>1</v>
      </c>
      <c r="AS72" s="2">
        <v>-0.18939777999999999</v>
      </c>
      <c r="AT72" s="2">
        <v>-0.63025516000000004</v>
      </c>
      <c r="AU72" s="2">
        <v>-0.22382916999999999</v>
      </c>
      <c r="AV72" s="2">
        <v>-0.22113732</v>
      </c>
      <c r="AW72" s="2">
        <v>0.19092248000000001</v>
      </c>
      <c r="AX72" s="2">
        <v>0.13624616000000001</v>
      </c>
      <c r="AY72" s="2">
        <v>-0.29617545000000001</v>
      </c>
      <c r="AZ72" s="2">
        <v>-0.29221752000000001</v>
      </c>
      <c r="BA72" s="2">
        <v>-0.39633474000000002</v>
      </c>
      <c r="BB72" s="2">
        <v>9.0255929999999998E-2</v>
      </c>
      <c r="BC72" s="2">
        <v>-0.2279023</v>
      </c>
      <c r="BD72" s="2">
        <v>-0.38922604999999999</v>
      </c>
      <c r="BE72" s="2">
        <v>0.25954026000000002</v>
      </c>
      <c r="BF72" s="2">
        <v>0.16163953</v>
      </c>
      <c r="BG72" s="2">
        <v>0.51409280000000002</v>
      </c>
      <c r="BH72" s="2">
        <v>-1.3685902E-2</v>
      </c>
      <c r="BI72" s="2">
        <v>0.23052350999999999</v>
      </c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A73" s="13" t="str" cm="1">
        <f t="array" ref="A73">_xll.FDS(B73,"FG_COMPANY_NAME")</f>
        <v>SES SA FDR (Class A)</v>
      </c>
      <c r="B73" s="4" t="str">
        <v>SESG-FR</v>
      </c>
      <c r="C73" s="2">
        <v>0.69242329999999996</v>
      </c>
      <c r="D73" s="2">
        <v>0.39697787000000001</v>
      </c>
      <c r="E73" s="2">
        <v>0.58400549999999996</v>
      </c>
      <c r="F73" s="2">
        <v>0.73502254</v>
      </c>
      <c r="G73" s="2">
        <v>4.8033994000000003E-2</v>
      </c>
      <c r="H73" s="2">
        <v>0.5251479</v>
      </c>
      <c r="I73" s="2">
        <v>0.54886466</v>
      </c>
      <c r="J73" s="2">
        <v>0.9139429</v>
      </c>
      <c r="K73" s="2">
        <v>-0.78352259999999996</v>
      </c>
      <c r="L73" s="2">
        <v>0.89092296000000004</v>
      </c>
      <c r="M73" s="2">
        <v>0.62301580000000001</v>
      </c>
      <c r="N73" s="2">
        <v>8.8699E-2</v>
      </c>
      <c r="O73" s="2">
        <v>0.87439007000000002</v>
      </c>
      <c r="P73" s="2">
        <v>-0.69405269999999997</v>
      </c>
      <c r="Q73" s="2">
        <v>0.83292836000000003</v>
      </c>
      <c r="R73" s="2">
        <v>0.80993519999999997</v>
      </c>
      <c r="S73" s="2">
        <v>0.89468099999999995</v>
      </c>
      <c r="T73" s="2">
        <v>-0.67686619999999997</v>
      </c>
      <c r="U73" s="2">
        <v>0.59820070000000003</v>
      </c>
      <c r="V73" s="2">
        <v>5.4220089999999999E-2</v>
      </c>
      <c r="W73" s="2">
        <v>0.48736889999999999</v>
      </c>
      <c r="X73" s="2">
        <v>0.69108590000000003</v>
      </c>
      <c r="Y73" s="2">
        <v>0.31920415000000002</v>
      </c>
      <c r="Z73" s="2">
        <v>0.85525609999999996</v>
      </c>
      <c r="AA73" s="2">
        <v>-0.78555363</v>
      </c>
      <c r="AB73" s="2">
        <v>0.33177182</v>
      </c>
      <c r="AC73" s="2">
        <v>-0.83988976000000004</v>
      </c>
      <c r="AD73" s="2">
        <v>-0.11335692999999999</v>
      </c>
      <c r="AE73" s="2">
        <v>-0.83597946000000001</v>
      </c>
      <c r="AF73" s="2">
        <v>0.63371849999999996</v>
      </c>
      <c r="AG73" s="2">
        <v>-0.23835532000000001</v>
      </c>
      <c r="AH73" s="2">
        <v>-0.74321499999999996</v>
      </c>
      <c r="AI73" s="2">
        <v>0.90945560000000003</v>
      </c>
      <c r="AJ73" s="2">
        <v>-9.9349304999999999E-2</v>
      </c>
      <c r="AK73" s="2">
        <v>0.85288984000000001</v>
      </c>
      <c r="AL73" s="2">
        <v>-0.43890053000000001</v>
      </c>
      <c r="AM73" s="2">
        <v>-0.81102914000000004</v>
      </c>
      <c r="AN73" s="2">
        <v>0.83798899999999998</v>
      </c>
      <c r="AO73" s="2">
        <v>0.79196330000000004</v>
      </c>
      <c r="AP73" s="2">
        <v>0.18952413000000001</v>
      </c>
      <c r="AQ73" s="2">
        <v>0.72279490000000002</v>
      </c>
      <c r="AR73" s="2">
        <v>-0.18939777999999999</v>
      </c>
      <c r="AS73" s="2">
        <v>1</v>
      </c>
      <c r="AT73" s="2">
        <v>0.72665703000000004</v>
      </c>
      <c r="AU73" s="2">
        <v>0.94440360000000001</v>
      </c>
      <c r="AV73" s="2">
        <v>0.90090669999999995</v>
      </c>
      <c r="AW73" s="2">
        <v>-0.61046593999999998</v>
      </c>
      <c r="AX73" s="2">
        <v>8.5000790000000007E-2</v>
      </c>
      <c r="AY73" s="2">
        <v>0.38553363000000002</v>
      </c>
      <c r="AZ73" s="2">
        <v>0.77785254000000004</v>
      </c>
      <c r="BA73" s="2">
        <v>0.82154689999999997</v>
      </c>
      <c r="BB73" s="2">
        <v>0.37815514</v>
      </c>
      <c r="BC73" s="2">
        <v>-0.63456140000000005</v>
      </c>
      <c r="BD73" s="2">
        <v>0.8916442</v>
      </c>
      <c r="BE73" s="2">
        <v>0.68992849999999994</v>
      </c>
      <c r="BF73" s="2">
        <v>0.68971939999999998</v>
      </c>
      <c r="BG73" s="2">
        <v>-0.85210960000000002</v>
      </c>
      <c r="BH73" s="2">
        <v>-0.60347260000000003</v>
      </c>
      <c r="BI73" s="2">
        <v>-0.9301005</v>
      </c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A74" s="13" t="str" cm="1">
        <f t="array" ref="A74">_xll.FDS(B74,"FG_COMPANY_NAME")</f>
        <v>Shinhan Financial Group Co., Ltd.</v>
      </c>
      <c r="B74" s="4" t="str">
        <v>055550-KR</v>
      </c>
      <c r="C74" s="2">
        <v>0.54481639999999998</v>
      </c>
      <c r="D74" s="2">
        <v>0.60939370000000004</v>
      </c>
      <c r="E74" s="2">
        <v>0.55366530000000003</v>
      </c>
      <c r="F74" s="2">
        <v>0.77595199999999998</v>
      </c>
      <c r="G74" s="2">
        <v>6.4341579999999995E-2</v>
      </c>
      <c r="H74" s="2">
        <v>0.52733770000000002</v>
      </c>
      <c r="I74" s="2">
        <v>0.19976266000000001</v>
      </c>
      <c r="J74" s="2">
        <v>0.80628319999999998</v>
      </c>
      <c r="K74" s="2">
        <v>-0.7538395</v>
      </c>
      <c r="L74" s="2">
        <v>0.81300419999999995</v>
      </c>
      <c r="M74" s="2">
        <v>0.80318844</v>
      </c>
      <c r="N74" s="2">
        <v>0.14093421</v>
      </c>
      <c r="O74" s="2">
        <v>0.75079560000000001</v>
      </c>
      <c r="P74" s="2">
        <v>-0.33195764</v>
      </c>
      <c r="Q74" s="2">
        <v>0.8776737</v>
      </c>
      <c r="R74" s="2">
        <v>0.5958521</v>
      </c>
      <c r="S74" s="2">
        <v>0.8312872</v>
      </c>
      <c r="T74" s="2">
        <v>-0.25523390000000001</v>
      </c>
      <c r="U74" s="2">
        <v>0.70959190000000005</v>
      </c>
      <c r="V74" s="2">
        <v>0.58644914999999997</v>
      </c>
      <c r="W74" s="2">
        <v>0.58453697000000004</v>
      </c>
      <c r="X74" s="2">
        <v>0.96828259999999999</v>
      </c>
      <c r="Y74" s="2">
        <v>0.53825199999999995</v>
      </c>
      <c r="Z74" s="2">
        <v>0.55255920000000003</v>
      </c>
      <c r="AA74" s="2">
        <v>-0.69934213000000001</v>
      </c>
      <c r="AB74" s="2">
        <v>0.65981800000000002</v>
      </c>
      <c r="AC74" s="2">
        <v>-0.64977865999999995</v>
      </c>
      <c r="AD74" s="2">
        <v>0.29022165999999999</v>
      </c>
      <c r="AE74" s="2">
        <v>-0.71067190000000002</v>
      </c>
      <c r="AF74" s="2">
        <v>0.71265655999999999</v>
      </c>
      <c r="AG74" s="2">
        <v>0.28983386999999999</v>
      </c>
      <c r="AH74" s="2">
        <v>-0.82177219999999995</v>
      </c>
      <c r="AI74" s="2">
        <v>0.73370694999999997</v>
      </c>
      <c r="AJ74" s="2">
        <v>0.21840631999999999</v>
      </c>
      <c r="AK74" s="2">
        <v>0.63013863999999997</v>
      </c>
      <c r="AL74" s="2">
        <v>-0.118490204</v>
      </c>
      <c r="AM74" s="2">
        <v>-0.35154363999999999</v>
      </c>
      <c r="AN74" s="2">
        <v>0.88310330000000004</v>
      </c>
      <c r="AO74" s="2">
        <v>0.89567286000000002</v>
      </c>
      <c r="AP74" s="2">
        <v>0.64529440000000005</v>
      </c>
      <c r="AQ74" s="2">
        <v>0.84327965999999999</v>
      </c>
      <c r="AR74" s="2">
        <v>-0.63025516000000004</v>
      </c>
      <c r="AS74" s="2">
        <v>0.72665703000000004</v>
      </c>
      <c r="AT74" s="2">
        <v>1</v>
      </c>
      <c r="AU74" s="2">
        <v>0.72984916</v>
      </c>
      <c r="AV74" s="2">
        <v>0.81798755999999995</v>
      </c>
      <c r="AW74" s="2">
        <v>-0.24822201999999999</v>
      </c>
      <c r="AX74" s="2">
        <v>0.31070623000000003</v>
      </c>
      <c r="AY74" s="2">
        <v>0.68151980000000001</v>
      </c>
      <c r="AZ74" s="2">
        <v>0.76541435999999996</v>
      </c>
      <c r="BA74" s="2">
        <v>0.84899044000000001</v>
      </c>
      <c r="BB74" s="2">
        <v>3.2896139999999997E-2</v>
      </c>
      <c r="BC74" s="2">
        <v>-2.1731146E-2</v>
      </c>
      <c r="BD74" s="2">
        <v>0.8758454</v>
      </c>
      <c r="BE74" s="2">
        <v>0.27268606000000001</v>
      </c>
      <c r="BF74" s="2">
        <v>0.30443016000000001</v>
      </c>
      <c r="BG74" s="2">
        <v>-0.84567296999999997</v>
      </c>
      <c r="BH74" s="2">
        <v>-0.46322590000000002</v>
      </c>
      <c r="BI74" s="2">
        <v>-0.73305105999999998</v>
      </c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A75" s="13" t="str" cm="1">
        <f t="array" ref="A75">_xll.FDS(B75,"FG_COMPANY_NAME")</f>
        <v>Societe Generale S.A. Class A</v>
      </c>
      <c r="B75" s="4" t="str">
        <v>GLE-FR</v>
      </c>
      <c r="C75" s="2">
        <v>0.60056936999999999</v>
      </c>
      <c r="D75" s="2">
        <v>0.38012966999999998</v>
      </c>
      <c r="E75" s="2">
        <v>0.57073300000000005</v>
      </c>
      <c r="F75" s="2">
        <v>0.77744013000000001</v>
      </c>
      <c r="G75" s="2">
        <v>5.0620949999999998E-2</v>
      </c>
      <c r="H75" s="2">
        <v>0.49203365999999998</v>
      </c>
      <c r="I75" s="2">
        <v>0.56029373000000005</v>
      </c>
      <c r="J75" s="2">
        <v>0.92887869999999995</v>
      </c>
      <c r="K75" s="2">
        <v>-0.85620320000000005</v>
      </c>
      <c r="L75" s="2">
        <v>0.91451789999999999</v>
      </c>
      <c r="M75" s="2">
        <v>0.65557790000000005</v>
      </c>
      <c r="N75" s="2">
        <v>0.11505598</v>
      </c>
      <c r="O75" s="2">
        <v>0.91828330000000002</v>
      </c>
      <c r="P75" s="2">
        <v>-0.73088759999999997</v>
      </c>
      <c r="Q75" s="2">
        <v>0.83442384000000003</v>
      </c>
      <c r="R75" s="2">
        <v>0.79157763999999997</v>
      </c>
      <c r="S75" s="2">
        <v>0.92207130000000004</v>
      </c>
      <c r="T75" s="2">
        <v>-0.74627030000000005</v>
      </c>
      <c r="U75" s="2">
        <v>0.59025704999999995</v>
      </c>
      <c r="V75" s="2">
        <v>0.12307079999999999</v>
      </c>
      <c r="W75" s="2">
        <v>0.42178556</v>
      </c>
      <c r="X75" s="2">
        <v>0.70889959999999996</v>
      </c>
      <c r="Y75" s="2">
        <v>0.30915864999999998</v>
      </c>
      <c r="Z75" s="2">
        <v>0.89487284</v>
      </c>
      <c r="AA75" s="2">
        <v>-0.83566799999999997</v>
      </c>
      <c r="AB75" s="2">
        <v>0.34089269999999999</v>
      </c>
      <c r="AC75" s="2">
        <v>-0.89137370000000005</v>
      </c>
      <c r="AD75" s="2">
        <v>-0.12165825</v>
      </c>
      <c r="AE75" s="2">
        <v>-0.90802930000000004</v>
      </c>
      <c r="AF75" s="2">
        <v>0.71389530000000001</v>
      </c>
      <c r="AG75" s="2">
        <v>-0.22465038000000001</v>
      </c>
      <c r="AH75" s="2">
        <v>-0.77765905999999996</v>
      </c>
      <c r="AI75" s="2">
        <v>0.96015700000000004</v>
      </c>
      <c r="AJ75" s="2">
        <v>-0.15894417</v>
      </c>
      <c r="AK75" s="2">
        <v>0.93450239999999996</v>
      </c>
      <c r="AL75" s="2">
        <v>-0.49030757000000003</v>
      </c>
      <c r="AM75" s="2">
        <v>-0.8426749</v>
      </c>
      <c r="AN75" s="2">
        <v>0.84927832999999997</v>
      </c>
      <c r="AO75" s="2">
        <v>0.78131353999999997</v>
      </c>
      <c r="AP75" s="2">
        <v>0.20104805000000001</v>
      </c>
      <c r="AQ75" s="2">
        <v>0.68793420000000005</v>
      </c>
      <c r="AR75" s="2">
        <v>-0.22382916999999999</v>
      </c>
      <c r="AS75" s="2">
        <v>0.94440360000000001</v>
      </c>
      <c r="AT75" s="2">
        <v>0.72984916</v>
      </c>
      <c r="AU75" s="2">
        <v>1</v>
      </c>
      <c r="AV75" s="2">
        <v>0.92922380000000004</v>
      </c>
      <c r="AW75" s="2">
        <v>-0.62144094999999999</v>
      </c>
      <c r="AX75" s="2">
        <v>4.8740382999999998E-2</v>
      </c>
      <c r="AY75" s="2">
        <v>0.31197851999999998</v>
      </c>
      <c r="AZ75" s="2">
        <v>0.81426430000000005</v>
      </c>
      <c r="BA75" s="2">
        <v>0.80979040000000002</v>
      </c>
      <c r="BB75" s="2">
        <v>0.37922360999999999</v>
      </c>
      <c r="BC75" s="2">
        <v>-0.61845004999999997</v>
      </c>
      <c r="BD75" s="2">
        <v>0.89658123000000001</v>
      </c>
      <c r="BE75" s="2">
        <v>0.7748353</v>
      </c>
      <c r="BF75" s="2">
        <v>0.75431113999999999</v>
      </c>
      <c r="BG75" s="2">
        <v>-0.88514029999999999</v>
      </c>
      <c r="BH75" s="2">
        <v>-0.68519600000000003</v>
      </c>
      <c r="BI75" s="2">
        <v>-0.92920119999999995</v>
      </c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A76" s="13" t="str" cm="1">
        <f t="array" ref="A76">_xll.FDS(B76,"FG_COMPANY_NAME")</f>
        <v>Standard Chartered PLC</v>
      </c>
      <c r="B76" s="4" t="str">
        <v>STAN-GB</v>
      </c>
      <c r="C76" s="2">
        <v>0.58446960000000003</v>
      </c>
      <c r="D76" s="2">
        <v>0.60275906000000001</v>
      </c>
      <c r="E76" s="2">
        <v>0.62651210000000002</v>
      </c>
      <c r="F76" s="2">
        <v>0.90321700000000005</v>
      </c>
      <c r="G76" s="2">
        <v>0.22064540999999999</v>
      </c>
      <c r="H76" s="2">
        <v>0.63095533999999998</v>
      </c>
      <c r="I76" s="2">
        <v>0.57820517000000005</v>
      </c>
      <c r="J76" s="2">
        <v>0.89858377</v>
      </c>
      <c r="K76" s="2">
        <v>-0.7607488</v>
      </c>
      <c r="L76" s="2">
        <v>0.85753285999999995</v>
      </c>
      <c r="M76" s="2">
        <v>0.78806370000000003</v>
      </c>
      <c r="N76" s="2">
        <v>-1.8315399E-2</v>
      </c>
      <c r="O76" s="2">
        <v>0.87210080000000001</v>
      </c>
      <c r="P76" s="2">
        <v>-0.64479584000000001</v>
      </c>
      <c r="Q76" s="2">
        <v>0.92269659999999998</v>
      </c>
      <c r="R76" s="2">
        <v>0.82279860000000005</v>
      </c>
      <c r="S76" s="2">
        <v>0.92163145999999996</v>
      </c>
      <c r="T76" s="2">
        <v>-0.50814990000000004</v>
      </c>
      <c r="U76" s="2">
        <v>0.59417140000000002</v>
      </c>
      <c r="V76" s="2">
        <v>0.38357982000000002</v>
      </c>
      <c r="W76" s="2">
        <v>0.59372663000000003</v>
      </c>
      <c r="X76" s="2">
        <v>0.76850799999999997</v>
      </c>
      <c r="Y76" s="2">
        <v>0.5602203</v>
      </c>
      <c r="Z76" s="2">
        <v>0.74646920000000005</v>
      </c>
      <c r="AA76" s="2">
        <v>-0.78020659999999997</v>
      </c>
      <c r="AB76" s="2">
        <v>0.56515789999999999</v>
      </c>
      <c r="AC76" s="2">
        <v>-0.7852635</v>
      </c>
      <c r="AD76" s="2">
        <v>0.15612791000000001</v>
      </c>
      <c r="AE76" s="2">
        <v>-0.81050869999999997</v>
      </c>
      <c r="AF76" s="2">
        <v>0.68720703999999999</v>
      </c>
      <c r="AG76" s="2">
        <v>1.1103884E-2</v>
      </c>
      <c r="AH76" s="2">
        <v>-0.81805779999999995</v>
      </c>
      <c r="AI76" s="2">
        <v>0.90619130000000003</v>
      </c>
      <c r="AJ76" s="2">
        <v>6.1002965999999999E-2</v>
      </c>
      <c r="AK76" s="2">
        <v>0.85757625000000004</v>
      </c>
      <c r="AL76" s="2">
        <v>-0.23969293999999999</v>
      </c>
      <c r="AM76" s="2">
        <v>-0.72119253999999999</v>
      </c>
      <c r="AN76" s="2">
        <v>0.93950959999999994</v>
      </c>
      <c r="AO76" s="2">
        <v>0.91343814000000001</v>
      </c>
      <c r="AP76" s="2">
        <v>0.41878949999999998</v>
      </c>
      <c r="AQ76" s="2">
        <v>0.81630415000000001</v>
      </c>
      <c r="AR76" s="2">
        <v>-0.22113732</v>
      </c>
      <c r="AS76" s="2">
        <v>0.90090669999999995</v>
      </c>
      <c r="AT76" s="2">
        <v>0.81798755999999995</v>
      </c>
      <c r="AU76" s="2">
        <v>0.92922380000000004</v>
      </c>
      <c r="AV76" s="2">
        <v>1</v>
      </c>
      <c r="AW76" s="2">
        <v>-0.37735307000000001</v>
      </c>
      <c r="AX76" s="2">
        <v>0.30714565999999999</v>
      </c>
      <c r="AY76" s="2">
        <v>0.52237619999999996</v>
      </c>
      <c r="AZ76" s="2">
        <v>0.90890590000000004</v>
      </c>
      <c r="BA76" s="2">
        <v>0.88198949999999998</v>
      </c>
      <c r="BB76" s="2">
        <v>0.23693539999999999</v>
      </c>
      <c r="BC76" s="2">
        <v>-0.38807243000000002</v>
      </c>
      <c r="BD76" s="2">
        <v>0.9186531</v>
      </c>
      <c r="BE76" s="2">
        <v>0.71476600000000001</v>
      </c>
      <c r="BF76" s="2">
        <v>0.73657099999999998</v>
      </c>
      <c r="BG76" s="2">
        <v>-0.83605885999999996</v>
      </c>
      <c r="BH76" s="2">
        <v>-0.69144159999999999</v>
      </c>
      <c r="BI76" s="2">
        <v>-0.90727469999999999</v>
      </c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A77" s="13" t="str" cm="1">
        <f t="array" ref="A77">_xll.FDS(B77,"FG_COMPANY_NAME")</f>
        <v>Stanley Black &amp; Decker, Inc.</v>
      </c>
      <c r="B77" s="4" t="str">
        <v>SWK-US</v>
      </c>
      <c r="C77" s="2">
        <v>-0.25830947999999998</v>
      </c>
      <c r="D77" s="2">
        <v>9.1057144000000007E-2</v>
      </c>
      <c r="E77" s="2">
        <v>-0.19025974000000001</v>
      </c>
      <c r="F77" s="2">
        <v>-0.15933016</v>
      </c>
      <c r="G77" s="2">
        <v>0.51405590000000001</v>
      </c>
      <c r="H77" s="2">
        <v>-0.11001577</v>
      </c>
      <c r="I77" s="2">
        <v>-7.5354270000000001E-2</v>
      </c>
      <c r="J77" s="2">
        <v>-0.51409720000000003</v>
      </c>
      <c r="K77" s="2">
        <v>0.69901997000000005</v>
      </c>
      <c r="L77" s="2">
        <v>-0.5575753</v>
      </c>
      <c r="M77" s="2">
        <v>-6.7430240000000002E-2</v>
      </c>
      <c r="N77" s="2">
        <v>-0.33393747000000001</v>
      </c>
      <c r="O77" s="2">
        <v>-0.60582329999999995</v>
      </c>
      <c r="P77" s="2">
        <v>0.57683419999999996</v>
      </c>
      <c r="Q77" s="2">
        <v>-0.25592363000000001</v>
      </c>
      <c r="R77" s="2">
        <v>-0.41290260000000001</v>
      </c>
      <c r="S77" s="2">
        <v>-0.49061265999999998</v>
      </c>
      <c r="T77" s="2">
        <v>0.81780109999999995</v>
      </c>
      <c r="U77" s="2">
        <v>-0.31354209999999999</v>
      </c>
      <c r="V77" s="2">
        <v>0.4022</v>
      </c>
      <c r="W77" s="2">
        <v>-3.9143129999999998E-2</v>
      </c>
      <c r="X77" s="2">
        <v>-0.24090033999999999</v>
      </c>
      <c r="Y77" s="2">
        <v>0.21370162000000001</v>
      </c>
      <c r="Z77" s="2">
        <v>-0.76068910000000001</v>
      </c>
      <c r="AA77" s="2">
        <v>0.63385886000000002</v>
      </c>
      <c r="AB77" s="2">
        <v>0.36505836000000003</v>
      </c>
      <c r="AC77" s="2">
        <v>0.80056846000000004</v>
      </c>
      <c r="AD77" s="2">
        <v>0.50495950000000001</v>
      </c>
      <c r="AE77" s="2">
        <v>0.75966829999999996</v>
      </c>
      <c r="AF77" s="2">
        <v>-0.37722804999999998</v>
      </c>
      <c r="AG77" s="2">
        <v>0.69471824000000004</v>
      </c>
      <c r="AH77" s="2">
        <v>0.38771107999999999</v>
      </c>
      <c r="AI77" s="2">
        <v>-0.62568420000000002</v>
      </c>
      <c r="AJ77" s="2">
        <v>0.41693434000000001</v>
      </c>
      <c r="AK77" s="2">
        <v>-0.59552914000000001</v>
      </c>
      <c r="AL77" s="2">
        <v>0.82276755999999995</v>
      </c>
      <c r="AM77" s="2">
        <v>0.65793215999999999</v>
      </c>
      <c r="AN77" s="2">
        <v>-0.29336800000000002</v>
      </c>
      <c r="AO77" s="2">
        <v>-0.18015178000000001</v>
      </c>
      <c r="AP77" s="2">
        <v>0.2974</v>
      </c>
      <c r="AQ77" s="2">
        <v>-0.26934466000000001</v>
      </c>
      <c r="AR77" s="2">
        <v>0.19092248000000001</v>
      </c>
      <c r="AS77" s="2">
        <v>-0.61046593999999998</v>
      </c>
      <c r="AT77" s="2">
        <v>-0.24822201999999999</v>
      </c>
      <c r="AU77" s="2">
        <v>-0.62144094999999999</v>
      </c>
      <c r="AV77" s="2">
        <v>-0.37735307000000001</v>
      </c>
      <c r="AW77" s="2">
        <v>1</v>
      </c>
      <c r="AX77" s="2">
        <v>0.41141834999999999</v>
      </c>
      <c r="AY77" s="2">
        <v>0.25493574000000002</v>
      </c>
      <c r="AZ77" s="2">
        <v>-0.2138806</v>
      </c>
      <c r="BA77" s="2">
        <v>-0.36345287999999998</v>
      </c>
      <c r="BB77" s="2">
        <v>-0.25922519999999999</v>
      </c>
      <c r="BC77" s="2">
        <v>0.78866720000000001</v>
      </c>
      <c r="BD77" s="2">
        <v>-0.43229457999999998</v>
      </c>
      <c r="BE77" s="2">
        <v>-0.37874775999999999</v>
      </c>
      <c r="BF77" s="2">
        <v>-0.49762299999999998</v>
      </c>
      <c r="BG77" s="2">
        <v>0.59249039999999997</v>
      </c>
      <c r="BH77" s="2">
        <v>0.47800641999999999</v>
      </c>
      <c r="BI77" s="2">
        <v>0.61863654999999995</v>
      </c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A78" s="13" t="str" cm="1">
        <f t="array" ref="A78">_xll.FDS(B78,"FG_COMPANY_NAME")</f>
        <v>Swatch Group Ltd. Bearer</v>
      </c>
      <c r="B78" s="4" t="str">
        <v>UHR-CH</v>
      </c>
      <c r="C78" s="2">
        <v>6.5919149999999996E-2</v>
      </c>
      <c r="D78" s="2">
        <v>0.72487056000000005</v>
      </c>
      <c r="E78" s="2">
        <v>0.4173617</v>
      </c>
      <c r="F78" s="2">
        <v>0.44958967</v>
      </c>
      <c r="G78" s="2">
        <v>0.41091921999999997</v>
      </c>
      <c r="H78" s="2">
        <v>0.59605719999999995</v>
      </c>
      <c r="I78" s="2">
        <v>0.21446982000000001</v>
      </c>
      <c r="J78" s="2">
        <v>0.11324716</v>
      </c>
      <c r="K78" s="2">
        <v>-1.0694057E-2</v>
      </c>
      <c r="L78" s="2">
        <v>-6.7157410000000001E-2</v>
      </c>
      <c r="M78" s="2">
        <v>0.30791913999999998</v>
      </c>
      <c r="N78" s="2">
        <v>4.1452444999999997E-2</v>
      </c>
      <c r="O78" s="2">
        <v>0.10926559600000001</v>
      </c>
      <c r="P78" s="2">
        <v>2.9784954999999998E-2</v>
      </c>
      <c r="Q78" s="2">
        <v>0.34740959999999999</v>
      </c>
      <c r="R78" s="2">
        <v>0.39411532999999999</v>
      </c>
      <c r="S78" s="2">
        <v>0.25860354000000002</v>
      </c>
      <c r="T78" s="2">
        <v>0.41057002999999997</v>
      </c>
      <c r="U78" s="2">
        <v>9.475008E-2</v>
      </c>
      <c r="V78" s="2">
        <v>0.53289025999999995</v>
      </c>
      <c r="W78" s="2">
        <v>0.69191340000000001</v>
      </c>
      <c r="X78" s="2">
        <v>0.19171058999999999</v>
      </c>
      <c r="Y78" s="2">
        <v>0.79015016999999999</v>
      </c>
      <c r="Z78" s="2">
        <v>-7.8331689999999995E-2</v>
      </c>
      <c r="AA78" s="2">
        <v>1.4186803E-2</v>
      </c>
      <c r="AB78" s="2">
        <v>0.45762140000000001</v>
      </c>
      <c r="AC78" s="2">
        <v>1.9776287E-2</v>
      </c>
      <c r="AD78" s="2">
        <v>0.74113359999999995</v>
      </c>
      <c r="AE78" s="2">
        <v>-4.791142E-3</v>
      </c>
      <c r="AF78" s="2">
        <v>9.6892950000000005E-2</v>
      </c>
      <c r="AG78" s="2">
        <v>0.52294859999999999</v>
      </c>
      <c r="AH78" s="2">
        <v>-0.20162435000000001</v>
      </c>
      <c r="AI78" s="2">
        <v>8.8221259999999996E-2</v>
      </c>
      <c r="AJ78" s="2">
        <v>0.62267839999999997</v>
      </c>
      <c r="AK78" s="2">
        <v>9.0476303999999994E-2</v>
      </c>
      <c r="AL78" s="2">
        <v>0.39303260000000001</v>
      </c>
      <c r="AM78" s="2">
        <v>0.13275503</v>
      </c>
      <c r="AN78" s="2">
        <v>0.38444993</v>
      </c>
      <c r="AO78" s="2">
        <v>0.46874539999999998</v>
      </c>
      <c r="AP78" s="2">
        <v>0.58187880000000003</v>
      </c>
      <c r="AQ78" s="2">
        <v>0.57838389999999995</v>
      </c>
      <c r="AR78" s="2">
        <v>0.13624616000000001</v>
      </c>
      <c r="AS78" s="2">
        <v>8.5000790000000007E-2</v>
      </c>
      <c r="AT78" s="2">
        <v>0.31070623000000003</v>
      </c>
      <c r="AU78" s="2">
        <v>4.8740382999999998E-2</v>
      </c>
      <c r="AV78" s="2">
        <v>0.30714565999999999</v>
      </c>
      <c r="AW78" s="2">
        <v>0.41141834999999999</v>
      </c>
      <c r="AX78" s="2">
        <v>1</v>
      </c>
      <c r="AY78" s="2">
        <v>0.68208420000000003</v>
      </c>
      <c r="AZ78" s="2">
        <v>0.40814948000000001</v>
      </c>
      <c r="BA78" s="2">
        <v>0.38693735000000001</v>
      </c>
      <c r="BB78" s="2">
        <v>-0.29527703</v>
      </c>
      <c r="BC78" s="2">
        <v>0.36482179999999997</v>
      </c>
      <c r="BD78" s="2">
        <v>0.22230506999999999</v>
      </c>
      <c r="BE78" s="2">
        <v>3.9342492999999999E-2</v>
      </c>
      <c r="BF78" s="2">
        <v>-0.32497870000000001</v>
      </c>
      <c r="BG78" s="2">
        <v>3.5694709999999998E-2</v>
      </c>
      <c r="BH78" s="2">
        <v>-0.12544405</v>
      </c>
      <c r="BI78" s="2">
        <v>-9.2026986000000005E-2</v>
      </c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A79" s="13" t="str" cm="1">
        <f t="array" ref="A79">_xll.FDS(B79,"FG_COMPANY_NAME")</f>
        <v>Ternium S.A. Sponsored ADR</v>
      </c>
      <c r="B79" s="4" t="str">
        <v>TX-US</v>
      </c>
      <c r="C79" s="2">
        <v>0.40015692000000003</v>
      </c>
      <c r="D79" s="2">
        <v>0.75392663000000004</v>
      </c>
      <c r="E79" s="2">
        <v>0.64603036999999996</v>
      </c>
      <c r="F79" s="2">
        <v>0.60740229999999995</v>
      </c>
      <c r="G79" s="2">
        <v>0.44975779999999999</v>
      </c>
      <c r="H79" s="2">
        <v>0.68949729999999998</v>
      </c>
      <c r="I79" s="2">
        <v>0.19877051000000001</v>
      </c>
      <c r="J79" s="2">
        <v>0.41279822999999999</v>
      </c>
      <c r="K79" s="2">
        <v>-0.26289289999999998</v>
      </c>
      <c r="L79" s="2">
        <v>0.33238020000000001</v>
      </c>
      <c r="M79" s="2">
        <v>0.42385630000000002</v>
      </c>
      <c r="N79" s="2">
        <v>9.819145E-2</v>
      </c>
      <c r="O79" s="2">
        <v>0.28868060000000001</v>
      </c>
      <c r="P79" s="2">
        <v>4.1166755999999999E-2</v>
      </c>
      <c r="Q79" s="2">
        <v>0.68819019999999997</v>
      </c>
      <c r="R79" s="2">
        <v>0.50393449999999995</v>
      </c>
      <c r="S79" s="2">
        <v>0.56917930000000005</v>
      </c>
      <c r="T79" s="2">
        <v>0.27703445999999998</v>
      </c>
      <c r="U79" s="2">
        <v>0.29251152000000002</v>
      </c>
      <c r="V79" s="2">
        <v>0.63964944999999995</v>
      </c>
      <c r="W79" s="2">
        <v>0.77213050000000005</v>
      </c>
      <c r="X79" s="2">
        <v>0.59009230000000001</v>
      </c>
      <c r="Y79" s="2">
        <v>0.70999100000000004</v>
      </c>
      <c r="Z79" s="2">
        <v>0.10796031</v>
      </c>
      <c r="AA79" s="2">
        <v>-0.2096507</v>
      </c>
      <c r="AB79" s="2">
        <v>0.68449789999999999</v>
      </c>
      <c r="AC79" s="2">
        <v>-0.18457434</v>
      </c>
      <c r="AD79" s="2">
        <v>0.67257359999999999</v>
      </c>
      <c r="AE79" s="2">
        <v>-0.20209399</v>
      </c>
      <c r="AF79" s="2">
        <v>0.54615709999999995</v>
      </c>
      <c r="AG79" s="2">
        <v>0.66573009999999999</v>
      </c>
      <c r="AH79" s="2">
        <v>-0.45837387000000002</v>
      </c>
      <c r="AI79" s="2">
        <v>0.30619657</v>
      </c>
      <c r="AJ79" s="2">
        <v>0.71482444000000001</v>
      </c>
      <c r="AK79" s="2">
        <v>0.35816202000000003</v>
      </c>
      <c r="AL79" s="2">
        <v>0.30768234</v>
      </c>
      <c r="AM79" s="2">
        <v>2.0895917E-2</v>
      </c>
      <c r="AN79" s="2">
        <v>0.66816324000000005</v>
      </c>
      <c r="AO79" s="2">
        <v>0.77252257000000002</v>
      </c>
      <c r="AP79" s="2">
        <v>0.82033690000000004</v>
      </c>
      <c r="AQ79" s="2">
        <v>0.77843649999999998</v>
      </c>
      <c r="AR79" s="2">
        <v>-0.29617545000000001</v>
      </c>
      <c r="AS79" s="2">
        <v>0.38553363000000002</v>
      </c>
      <c r="AT79" s="2">
        <v>0.68151980000000001</v>
      </c>
      <c r="AU79" s="2">
        <v>0.31197851999999998</v>
      </c>
      <c r="AV79" s="2">
        <v>0.52237619999999996</v>
      </c>
      <c r="AW79" s="2">
        <v>0.25493574000000002</v>
      </c>
      <c r="AX79" s="2">
        <v>0.68208420000000003</v>
      </c>
      <c r="AY79" s="2">
        <v>1</v>
      </c>
      <c r="AZ79" s="2">
        <v>0.69157904000000003</v>
      </c>
      <c r="BA79" s="2">
        <v>0.67066879999999995</v>
      </c>
      <c r="BB79" s="2">
        <v>-4.4038843000000001E-2</v>
      </c>
      <c r="BC79" s="2">
        <v>0.32980245000000002</v>
      </c>
      <c r="BD79" s="2">
        <v>0.57209690000000002</v>
      </c>
      <c r="BE79" s="2">
        <v>6.8726220000000005E-2</v>
      </c>
      <c r="BF79" s="2">
        <v>-0.25784447999999999</v>
      </c>
      <c r="BG79" s="2">
        <v>-0.33403778000000001</v>
      </c>
      <c r="BH79" s="2">
        <v>1.2282247E-2</v>
      </c>
      <c r="BI79" s="2">
        <v>-0.35294759999999997</v>
      </c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A80" s="13" t="str" cm="1">
        <f t="array" ref="A80">_xll.FDS(B80,"FG_COMPANY_NAME")</f>
        <v>TOKAI RIKA CO., LTD.</v>
      </c>
      <c r="B80" s="4" t="str">
        <v>6995-JP</v>
      </c>
      <c r="C80" s="2">
        <v>0.51129013000000001</v>
      </c>
      <c r="D80" s="2">
        <v>0.63032573000000003</v>
      </c>
      <c r="E80" s="2">
        <v>0.7548551</v>
      </c>
      <c r="F80" s="2">
        <v>0.88571763000000003</v>
      </c>
      <c r="G80" s="2">
        <v>0.33791443999999998</v>
      </c>
      <c r="H80" s="2">
        <v>0.70594009999999996</v>
      </c>
      <c r="I80" s="2">
        <v>0.47438163</v>
      </c>
      <c r="J80" s="2">
        <v>0.79237013999999995</v>
      </c>
      <c r="K80" s="2">
        <v>-0.64531079999999996</v>
      </c>
      <c r="L80" s="2">
        <v>0.75419559999999997</v>
      </c>
      <c r="M80" s="2">
        <v>0.64500690000000005</v>
      </c>
      <c r="N80" s="2">
        <v>2.7506148000000001E-2</v>
      </c>
      <c r="O80" s="2">
        <v>0.69933575000000003</v>
      </c>
      <c r="P80" s="2">
        <v>-0.48448032000000002</v>
      </c>
      <c r="Q80" s="2">
        <v>0.90327369999999996</v>
      </c>
      <c r="R80" s="2">
        <v>0.7409</v>
      </c>
      <c r="S80" s="2">
        <v>0.88648057000000002</v>
      </c>
      <c r="T80" s="2">
        <v>-0.34438651999999997</v>
      </c>
      <c r="U80" s="2">
        <v>0.4787054</v>
      </c>
      <c r="V80" s="2">
        <v>0.47947620000000002</v>
      </c>
      <c r="W80" s="2">
        <v>0.63287895999999999</v>
      </c>
      <c r="X80" s="2">
        <v>0.68582743000000002</v>
      </c>
      <c r="Y80" s="2">
        <v>0.62367680000000003</v>
      </c>
      <c r="Z80" s="2">
        <v>0.54019815000000004</v>
      </c>
      <c r="AA80" s="2">
        <v>-0.67653410000000003</v>
      </c>
      <c r="AB80" s="2">
        <v>0.60123579999999999</v>
      </c>
      <c r="AC80" s="2">
        <v>-0.71811720000000001</v>
      </c>
      <c r="AD80" s="2">
        <v>0.36236298</v>
      </c>
      <c r="AE80" s="2">
        <v>-0.69403440000000005</v>
      </c>
      <c r="AF80" s="2">
        <v>0.78209470000000003</v>
      </c>
      <c r="AG80" s="2">
        <v>0.29077380000000003</v>
      </c>
      <c r="AH80" s="2">
        <v>-0.75326735</v>
      </c>
      <c r="AI80" s="2">
        <v>0.75550390000000001</v>
      </c>
      <c r="AJ80" s="2">
        <v>0.25051862000000003</v>
      </c>
      <c r="AK80" s="2">
        <v>0.85082369999999996</v>
      </c>
      <c r="AL80" s="2">
        <v>-0.11081878000000001</v>
      </c>
      <c r="AM80" s="2">
        <v>-0.59053785000000003</v>
      </c>
      <c r="AN80" s="2">
        <v>0.91724899999999998</v>
      </c>
      <c r="AO80" s="2">
        <v>0.91497720000000005</v>
      </c>
      <c r="AP80" s="2">
        <v>0.63360702999999996</v>
      </c>
      <c r="AQ80" s="2">
        <v>0.8208548</v>
      </c>
      <c r="AR80" s="2">
        <v>-0.29221752000000001</v>
      </c>
      <c r="AS80" s="2">
        <v>0.77785254000000004</v>
      </c>
      <c r="AT80" s="2">
        <v>0.76541435999999996</v>
      </c>
      <c r="AU80" s="2">
        <v>0.81426430000000005</v>
      </c>
      <c r="AV80" s="2">
        <v>0.90890590000000004</v>
      </c>
      <c r="AW80" s="2">
        <v>-0.2138806</v>
      </c>
      <c r="AX80" s="2">
        <v>0.40814948000000001</v>
      </c>
      <c r="AY80" s="2">
        <v>0.69157904000000003</v>
      </c>
      <c r="AZ80" s="2">
        <v>1</v>
      </c>
      <c r="BA80" s="2">
        <v>0.86137699999999995</v>
      </c>
      <c r="BB80" s="2">
        <v>0.19917285000000001</v>
      </c>
      <c r="BC80" s="2">
        <v>-0.20308407000000001</v>
      </c>
      <c r="BD80" s="2">
        <v>0.87022316</v>
      </c>
      <c r="BE80" s="2">
        <v>0.59473014000000002</v>
      </c>
      <c r="BF80" s="2">
        <v>0.62115520000000002</v>
      </c>
      <c r="BG80" s="2">
        <v>-0.75061493999999995</v>
      </c>
      <c r="BH80" s="2">
        <v>-0.56483245000000004</v>
      </c>
      <c r="BI80" s="2">
        <v>-0.84829533000000001</v>
      </c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x14ac:dyDescent="0.25">
      <c r="A81" s="13" t="str" cm="1">
        <f t="array" ref="A81">_xll.FDS(B81,"FG_COMPANY_NAME")</f>
        <v>Valterra Platinum Limited</v>
      </c>
      <c r="B81" s="4" t="str">
        <v>VAL-ZA</v>
      </c>
      <c r="C81" s="2">
        <v>0.48768333000000003</v>
      </c>
      <c r="D81" s="2">
        <v>0.76318180000000002</v>
      </c>
      <c r="E81" s="2">
        <v>0.64728160000000001</v>
      </c>
      <c r="F81" s="2">
        <v>0.87418514000000003</v>
      </c>
      <c r="G81" s="2">
        <v>0.11012537999999999</v>
      </c>
      <c r="H81" s="2">
        <v>0.80052029999999996</v>
      </c>
      <c r="I81" s="2">
        <v>0.32001617999999998</v>
      </c>
      <c r="J81" s="2">
        <v>0.8381014</v>
      </c>
      <c r="K81" s="2">
        <v>-0.77629143</v>
      </c>
      <c r="L81" s="2">
        <v>0.73736970000000002</v>
      </c>
      <c r="M81" s="2">
        <v>0.66935164000000003</v>
      </c>
      <c r="N81" s="2">
        <v>0.18731938000000001</v>
      </c>
      <c r="O81" s="2">
        <v>0.76758029999999999</v>
      </c>
      <c r="P81" s="2">
        <v>-0.44588503000000002</v>
      </c>
      <c r="Q81" s="2">
        <v>0.88588599999999995</v>
      </c>
      <c r="R81" s="2">
        <v>0.81023120000000004</v>
      </c>
      <c r="S81" s="2">
        <v>0.89243260000000002</v>
      </c>
      <c r="T81" s="2">
        <v>-0.35363393999999998</v>
      </c>
      <c r="U81" s="2">
        <v>0.47355740000000002</v>
      </c>
      <c r="V81" s="2">
        <v>0.48851549999999999</v>
      </c>
      <c r="W81" s="2">
        <v>0.77265620000000002</v>
      </c>
      <c r="X81" s="2">
        <v>0.78691549999999999</v>
      </c>
      <c r="Y81" s="2">
        <v>0.650926</v>
      </c>
      <c r="Z81" s="2">
        <v>0.65836589999999995</v>
      </c>
      <c r="AA81" s="2">
        <v>-0.76547929999999997</v>
      </c>
      <c r="AB81" s="2">
        <v>0.51009409999999999</v>
      </c>
      <c r="AC81" s="2">
        <v>-0.76656000000000002</v>
      </c>
      <c r="AD81" s="2">
        <v>0.34679568</v>
      </c>
      <c r="AE81" s="2">
        <v>-0.76927875999999995</v>
      </c>
      <c r="AF81" s="2">
        <v>0.68015809999999999</v>
      </c>
      <c r="AG81" s="2">
        <v>0.13297845</v>
      </c>
      <c r="AH81" s="2">
        <v>-0.85095010000000004</v>
      </c>
      <c r="AI81" s="2">
        <v>0.78910639999999999</v>
      </c>
      <c r="AJ81" s="2">
        <v>0.29189201999999997</v>
      </c>
      <c r="AK81" s="2">
        <v>0.78157489999999996</v>
      </c>
      <c r="AL81" s="2">
        <v>-0.19179456</v>
      </c>
      <c r="AM81" s="2">
        <v>-0.52577629999999997</v>
      </c>
      <c r="AN81" s="2">
        <v>0.93544130000000003</v>
      </c>
      <c r="AO81" s="2">
        <v>0.91449930000000001</v>
      </c>
      <c r="AP81" s="2">
        <v>0.60648740000000001</v>
      </c>
      <c r="AQ81" s="2">
        <v>0.90018432999999998</v>
      </c>
      <c r="AR81" s="2">
        <v>-0.39633474000000002</v>
      </c>
      <c r="AS81" s="2">
        <v>0.82154689999999997</v>
      </c>
      <c r="AT81" s="2">
        <v>0.84899044000000001</v>
      </c>
      <c r="AU81" s="2">
        <v>0.80979040000000002</v>
      </c>
      <c r="AV81" s="2">
        <v>0.88198949999999998</v>
      </c>
      <c r="AW81" s="2">
        <v>-0.36345287999999998</v>
      </c>
      <c r="AX81" s="2">
        <v>0.38693735000000001</v>
      </c>
      <c r="AY81" s="2">
        <v>0.67066879999999995</v>
      </c>
      <c r="AZ81" s="2">
        <v>0.86137699999999995</v>
      </c>
      <c r="BA81" s="2">
        <v>1</v>
      </c>
      <c r="BB81" s="2">
        <v>8.1613859999999996E-2</v>
      </c>
      <c r="BC81" s="2">
        <v>-0.25441780000000003</v>
      </c>
      <c r="BD81" s="2">
        <v>0.87742555</v>
      </c>
      <c r="BE81" s="2">
        <v>0.43211110000000003</v>
      </c>
      <c r="BF81" s="2">
        <v>0.58639470000000005</v>
      </c>
      <c r="BG81" s="2">
        <v>-0.82931460000000001</v>
      </c>
      <c r="BH81" s="2">
        <v>-0.55025869999999999</v>
      </c>
      <c r="BI81" s="2">
        <v>-0.83121929999999999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x14ac:dyDescent="0.25">
      <c r="A82" s="13" t="str" cm="1">
        <f t="array" ref="A82">_xll.FDS(B82,"FG_COMPANY_NAME")</f>
        <v>Verizon Communications Inc.</v>
      </c>
      <c r="B82" s="4" t="str">
        <v>VZ-US</v>
      </c>
      <c r="C82" s="2">
        <v>0.49726756999999999</v>
      </c>
      <c r="D82" s="2">
        <v>-0.2378169</v>
      </c>
      <c r="E82" s="2">
        <v>0.22647436000000001</v>
      </c>
      <c r="F82" s="2">
        <v>4.7559205E-2</v>
      </c>
      <c r="G82" s="2">
        <v>0.24016177999999999</v>
      </c>
      <c r="H82" s="2">
        <v>-6.7969890000000005E-2</v>
      </c>
      <c r="I82" s="2">
        <v>0.39906839999999999</v>
      </c>
      <c r="J82" s="2">
        <v>0.30995097999999999</v>
      </c>
      <c r="K82" s="2">
        <v>-0.11412773</v>
      </c>
      <c r="L82" s="2">
        <v>0.45212524999999998</v>
      </c>
      <c r="M82" s="2">
        <v>-6.0339138E-2</v>
      </c>
      <c r="N82" s="2">
        <v>0.12517357000000001</v>
      </c>
      <c r="O82" s="2">
        <v>0.21150516</v>
      </c>
      <c r="P82" s="2">
        <v>-0.33413022999999997</v>
      </c>
      <c r="Q82" s="2">
        <v>0.15885257999999999</v>
      </c>
      <c r="R82" s="2">
        <v>0.24281565999999999</v>
      </c>
      <c r="S82" s="2">
        <v>0.20561846</v>
      </c>
      <c r="T82" s="2">
        <v>-0.42991915000000003</v>
      </c>
      <c r="U82" s="2">
        <v>4.0707069999999998E-2</v>
      </c>
      <c r="V82" s="2">
        <v>-0.43211329999999998</v>
      </c>
      <c r="W82" s="2">
        <v>-0.16089145999999999</v>
      </c>
      <c r="X82" s="2">
        <v>4.6757213999999998E-2</v>
      </c>
      <c r="Y82" s="2">
        <v>-0.3269841</v>
      </c>
      <c r="Z82" s="2">
        <v>0.33205311999999998</v>
      </c>
      <c r="AA82" s="2">
        <v>-1.8361981999999999E-2</v>
      </c>
      <c r="AB82" s="2">
        <v>-1.4239775E-2</v>
      </c>
      <c r="AC82" s="2">
        <v>-0.2250212</v>
      </c>
      <c r="AD82" s="2">
        <v>-0.41424975000000003</v>
      </c>
      <c r="AE82" s="2">
        <v>-0.16803654000000001</v>
      </c>
      <c r="AF82" s="2">
        <v>0.35020425999999999</v>
      </c>
      <c r="AG82" s="2">
        <v>-0.17446381</v>
      </c>
      <c r="AH82" s="2">
        <v>0.14180039999999999</v>
      </c>
      <c r="AI82" s="2">
        <v>0.35402697</v>
      </c>
      <c r="AJ82" s="2">
        <v>-0.26344236999999998</v>
      </c>
      <c r="AK82" s="2">
        <v>0.36681932</v>
      </c>
      <c r="AL82" s="2">
        <v>-0.36298564</v>
      </c>
      <c r="AM82" s="2">
        <v>-0.41922656000000003</v>
      </c>
      <c r="AN82" s="2">
        <v>0.12596532999999999</v>
      </c>
      <c r="AO82" s="2">
        <v>5.2585470000000002E-2</v>
      </c>
      <c r="AP82" s="2">
        <v>-0.17033845</v>
      </c>
      <c r="AQ82" s="2">
        <v>-6.7484743999999999E-2</v>
      </c>
      <c r="AR82" s="2">
        <v>9.0255929999999998E-2</v>
      </c>
      <c r="AS82" s="2">
        <v>0.37815514</v>
      </c>
      <c r="AT82" s="2">
        <v>3.2896139999999997E-2</v>
      </c>
      <c r="AU82" s="2">
        <v>0.37922360999999999</v>
      </c>
      <c r="AV82" s="2">
        <v>0.23693539999999999</v>
      </c>
      <c r="AW82" s="2">
        <v>-0.25922519999999999</v>
      </c>
      <c r="AX82" s="2">
        <v>-0.29527703</v>
      </c>
      <c r="AY82" s="2">
        <v>-4.4038843000000001E-2</v>
      </c>
      <c r="AZ82" s="2">
        <v>0.19917285000000001</v>
      </c>
      <c r="BA82" s="2">
        <v>8.1613859999999996E-2</v>
      </c>
      <c r="BB82" s="2">
        <v>1</v>
      </c>
      <c r="BC82" s="2">
        <v>-0.43908560000000002</v>
      </c>
      <c r="BD82" s="2">
        <v>0.29484399999999999</v>
      </c>
      <c r="BE82" s="2">
        <v>0.46084392000000002</v>
      </c>
      <c r="BF82" s="2">
        <v>0.25513762000000001</v>
      </c>
      <c r="BG82" s="2">
        <v>-0.13809969999999999</v>
      </c>
      <c r="BH82" s="2">
        <v>5.3686135000000003E-2</v>
      </c>
      <c r="BI82" s="2">
        <v>-0.23086175</v>
      </c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x14ac:dyDescent="0.25">
      <c r="A83" s="13" t="str" cm="1">
        <f t="array" ref="A83">_xll.FDS(B83,"FG_COMPANY_NAME")</f>
        <v>Viatris, Inc.</v>
      </c>
      <c r="B83" s="4" t="str">
        <v>VTRS-US</v>
      </c>
      <c r="C83" s="2">
        <v>-0.35247666</v>
      </c>
      <c r="D83" s="2">
        <v>0.19757584</v>
      </c>
      <c r="E83" s="2">
        <v>-0.14739099999999999</v>
      </c>
      <c r="F83" s="2">
        <v>-0.14302831999999999</v>
      </c>
      <c r="G83" s="2">
        <v>0.2147329</v>
      </c>
      <c r="H83" s="2">
        <v>-6.6152274999999996E-2</v>
      </c>
      <c r="I83" s="2">
        <v>-0.40119759999999999</v>
      </c>
      <c r="J83" s="2">
        <v>-0.50683599999999995</v>
      </c>
      <c r="K83" s="2">
        <v>0.48292141999999999</v>
      </c>
      <c r="L83" s="2">
        <v>-0.47771066000000001</v>
      </c>
      <c r="M83" s="2">
        <v>-5.8557487999999998E-2</v>
      </c>
      <c r="N83" s="2">
        <v>-0.16226784999999999</v>
      </c>
      <c r="O83" s="2">
        <v>-0.51835989999999998</v>
      </c>
      <c r="P83" s="2">
        <v>0.70594710000000005</v>
      </c>
      <c r="Q83" s="2">
        <v>-0.20471228999999999</v>
      </c>
      <c r="R83" s="2">
        <v>-0.43409932000000001</v>
      </c>
      <c r="S83" s="2">
        <v>-0.38729839999999999</v>
      </c>
      <c r="T83" s="2">
        <v>0.8429238</v>
      </c>
      <c r="U83" s="2">
        <v>-0.22280906</v>
      </c>
      <c r="V83" s="2">
        <v>0.59405529999999995</v>
      </c>
      <c r="W83" s="2">
        <v>7.5254399999999999E-2</v>
      </c>
      <c r="X83" s="2">
        <v>-4.1195929999999999E-2</v>
      </c>
      <c r="Y83" s="2">
        <v>0.2719145</v>
      </c>
      <c r="Z83" s="2">
        <v>-0.73081076</v>
      </c>
      <c r="AA83" s="2">
        <v>0.49731857000000002</v>
      </c>
      <c r="AB83" s="2">
        <v>0.37644997000000002</v>
      </c>
      <c r="AC83" s="2">
        <v>0.61793129999999996</v>
      </c>
      <c r="AD83" s="2">
        <v>0.64268840000000005</v>
      </c>
      <c r="AE83" s="2">
        <v>0.57363839999999999</v>
      </c>
      <c r="AF83" s="2">
        <v>-0.14874166</v>
      </c>
      <c r="AG83" s="2">
        <v>0.75501090000000004</v>
      </c>
      <c r="AH83" s="2">
        <v>0.26339667999999999</v>
      </c>
      <c r="AI83" s="2">
        <v>-0.57571439999999996</v>
      </c>
      <c r="AJ83" s="2">
        <v>0.54823390000000005</v>
      </c>
      <c r="AK83" s="2">
        <v>-0.56112660000000003</v>
      </c>
      <c r="AL83" s="2">
        <v>0.70783030000000002</v>
      </c>
      <c r="AM83" s="2">
        <v>0.82782299999999998</v>
      </c>
      <c r="AN83" s="2">
        <v>-0.20633613000000001</v>
      </c>
      <c r="AO83" s="2">
        <v>-9.4350080000000003E-2</v>
      </c>
      <c r="AP83" s="2">
        <v>0.51545375999999998</v>
      </c>
      <c r="AQ83" s="2">
        <v>-6.0432725E-2</v>
      </c>
      <c r="AR83" s="2">
        <v>-0.2279023</v>
      </c>
      <c r="AS83" s="2">
        <v>-0.63456140000000005</v>
      </c>
      <c r="AT83" s="2">
        <v>-2.1731146E-2</v>
      </c>
      <c r="AU83" s="2">
        <v>-0.61845004999999997</v>
      </c>
      <c r="AV83" s="2">
        <v>-0.38807243000000002</v>
      </c>
      <c r="AW83" s="2">
        <v>0.78866720000000001</v>
      </c>
      <c r="AX83" s="2">
        <v>0.36482179999999997</v>
      </c>
      <c r="AY83" s="2">
        <v>0.32980245000000002</v>
      </c>
      <c r="AZ83" s="2">
        <v>-0.20308407000000001</v>
      </c>
      <c r="BA83" s="2">
        <v>-0.25441780000000003</v>
      </c>
      <c r="BB83" s="2">
        <v>-0.43908560000000002</v>
      </c>
      <c r="BC83" s="2">
        <v>1</v>
      </c>
      <c r="BD83" s="2">
        <v>-0.33221802</v>
      </c>
      <c r="BE83" s="2">
        <v>-0.60232929999999996</v>
      </c>
      <c r="BF83" s="2">
        <v>-0.65517694000000004</v>
      </c>
      <c r="BG83" s="2">
        <v>0.44637494999999999</v>
      </c>
      <c r="BH83" s="2">
        <v>0.49156139999999998</v>
      </c>
      <c r="BI83" s="2">
        <v>0.58217470000000004</v>
      </c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x14ac:dyDescent="0.25">
      <c r="A84" s="13" t="str" cm="1">
        <f t="array" ref="A84">_xll.FDS(B84,"FG_COMPANY_NAME")</f>
        <v>Vodafone Group Public Limited Company</v>
      </c>
      <c r="B84" s="4" t="str">
        <v>VOD-GB</v>
      </c>
      <c r="C84" s="2">
        <v>0.67218149999999999</v>
      </c>
      <c r="D84" s="2">
        <v>0.53893005999999999</v>
      </c>
      <c r="E84" s="2">
        <v>0.66506980000000004</v>
      </c>
      <c r="F84" s="2">
        <v>0.81990099999999999</v>
      </c>
      <c r="G84" s="2">
        <v>0.102156594</v>
      </c>
      <c r="H84" s="2">
        <v>0.52755209999999997</v>
      </c>
      <c r="I84" s="2">
        <v>0.45176914000000001</v>
      </c>
      <c r="J84" s="2">
        <v>0.92897399999999997</v>
      </c>
      <c r="K84" s="2">
        <v>-0.81219739999999996</v>
      </c>
      <c r="L84" s="2">
        <v>0.92446189999999995</v>
      </c>
      <c r="M84" s="2">
        <v>0.71828530000000002</v>
      </c>
      <c r="N84" s="2">
        <v>0.18505651000000001</v>
      </c>
      <c r="O84" s="2">
        <v>0.85867083</v>
      </c>
      <c r="P84" s="2">
        <v>-0.56319649999999999</v>
      </c>
      <c r="Q84" s="2">
        <v>0.93208469999999999</v>
      </c>
      <c r="R84" s="2">
        <v>0.77515710000000004</v>
      </c>
      <c r="S84" s="2">
        <v>0.95001245000000001</v>
      </c>
      <c r="T84" s="2">
        <v>-0.50762534000000004</v>
      </c>
      <c r="U84" s="2">
        <v>0.64780789999999999</v>
      </c>
      <c r="V84" s="2">
        <v>0.34806776</v>
      </c>
      <c r="W84" s="2">
        <v>0.5453597</v>
      </c>
      <c r="X84" s="2">
        <v>0.83052420000000005</v>
      </c>
      <c r="Y84" s="2">
        <v>0.43758076000000001</v>
      </c>
      <c r="Z84" s="2">
        <v>0.7635731</v>
      </c>
      <c r="AA84" s="2">
        <v>-0.74464684999999997</v>
      </c>
      <c r="AB84" s="2">
        <v>0.57602500000000001</v>
      </c>
      <c r="AC84" s="2">
        <v>-0.78735670000000002</v>
      </c>
      <c r="AD84" s="2">
        <v>0.10623104999999999</v>
      </c>
      <c r="AE84" s="2">
        <v>-0.81595253999999995</v>
      </c>
      <c r="AF84" s="2">
        <v>0.79375479999999998</v>
      </c>
      <c r="AG84" s="2">
        <v>7.6586970000000004E-2</v>
      </c>
      <c r="AH84" s="2">
        <v>-0.80537099999999995</v>
      </c>
      <c r="AI84" s="2">
        <v>0.89248050000000001</v>
      </c>
      <c r="AJ84" s="2">
        <v>7.2222700000000001E-2</v>
      </c>
      <c r="AK84" s="2">
        <v>0.84612894000000005</v>
      </c>
      <c r="AL84" s="2">
        <v>-0.28859213</v>
      </c>
      <c r="AM84" s="2">
        <v>-0.61219420000000002</v>
      </c>
      <c r="AN84" s="2">
        <v>0.92572880000000002</v>
      </c>
      <c r="AO84" s="2">
        <v>0.89744990000000002</v>
      </c>
      <c r="AP84" s="2">
        <v>0.47868719999999998</v>
      </c>
      <c r="AQ84" s="2">
        <v>0.81589674999999995</v>
      </c>
      <c r="AR84" s="2">
        <v>-0.38922604999999999</v>
      </c>
      <c r="AS84" s="2">
        <v>0.8916442</v>
      </c>
      <c r="AT84" s="2">
        <v>0.8758454</v>
      </c>
      <c r="AU84" s="2">
        <v>0.89658123000000001</v>
      </c>
      <c r="AV84" s="2">
        <v>0.9186531</v>
      </c>
      <c r="AW84" s="2">
        <v>-0.43229457999999998</v>
      </c>
      <c r="AX84" s="2">
        <v>0.22230506999999999</v>
      </c>
      <c r="AY84" s="2">
        <v>0.57209690000000002</v>
      </c>
      <c r="AZ84" s="2">
        <v>0.87022316</v>
      </c>
      <c r="BA84" s="2">
        <v>0.87742555</v>
      </c>
      <c r="BB84" s="2">
        <v>0.29484399999999999</v>
      </c>
      <c r="BC84" s="2">
        <v>-0.33221802</v>
      </c>
      <c r="BD84" s="2">
        <v>1</v>
      </c>
      <c r="BE84" s="2">
        <v>0.601078</v>
      </c>
      <c r="BF84" s="2">
        <v>0.59331460000000003</v>
      </c>
      <c r="BG84" s="2">
        <v>-0.86207246999999998</v>
      </c>
      <c r="BH84" s="2">
        <v>-0.51294773999999999</v>
      </c>
      <c r="BI84" s="2">
        <v>-0.86459947000000004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x14ac:dyDescent="0.25">
      <c r="A85" s="13" t="str" cm="1">
        <f t="array" ref="A85">_xll.FDS(B85,"FG_COMPANY_NAME")</f>
        <v>Volkswagen AG Pref</v>
      </c>
      <c r="B85" s="4" t="str">
        <v>VOW3-DE</v>
      </c>
      <c r="C85" s="2">
        <v>0.46776813</v>
      </c>
      <c r="D85" s="2">
        <v>0.14625034000000001</v>
      </c>
      <c r="E85" s="2">
        <v>0.4268826</v>
      </c>
      <c r="F85" s="2">
        <v>0.56449245999999997</v>
      </c>
      <c r="G85" s="2">
        <v>0.31527492000000001</v>
      </c>
      <c r="H85" s="2">
        <v>0.21606971</v>
      </c>
      <c r="I85" s="2">
        <v>0.83803570000000005</v>
      </c>
      <c r="J85" s="2">
        <v>0.69015820000000005</v>
      </c>
      <c r="K85" s="2">
        <v>-0.47862807000000002</v>
      </c>
      <c r="L85" s="2">
        <v>0.63607395</v>
      </c>
      <c r="M85" s="2">
        <v>0.44983515000000002</v>
      </c>
      <c r="N85" s="2">
        <v>-1.8129415999999999E-2</v>
      </c>
      <c r="O85" s="2">
        <v>0.678226</v>
      </c>
      <c r="P85" s="2">
        <v>-0.73861723999999995</v>
      </c>
      <c r="Q85" s="2">
        <v>0.54884993999999998</v>
      </c>
      <c r="R85" s="2">
        <v>0.58679663999999998</v>
      </c>
      <c r="S85" s="2">
        <v>0.60555919999999996</v>
      </c>
      <c r="T85" s="2">
        <v>-0.68272129999999998</v>
      </c>
      <c r="U85" s="2">
        <v>0.28337875000000001</v>
      </c>
      <c r="V85" s="2">
        <v>-7.6502870000000001E-2</v>
      </c>
      <c r="W85" s="2">
        <v>0.13024817</v>
      </c>
      <c r="X85" s="2">
        <v>0.25467917000000001</v>
      </c>
      <c r="Y85" s="2">
        <v>0.18246432000000001</v>
      </c>
      <c r="Z85" s="2">
        <v>0.66847469999999998</v>
      </c>
      <c r="AA85" s="2">
        <v>-0.49417040000000001</v>
      </c>
      <c r="AB85" s="2">
        <v>0.26764837000000002</v>
      </c>
      <c r="AC85" s="2">
        <v>-0.57982254</v>
      </c>
      <c r="AD85" s="2">
        <v>-0.23470574999999999</v>
      </c>
      <c r="AE85" s="2">
        <v>-0.59091640000000001</v>
      </c>
      <c r="AF85" s="2">
        <v>0.45003929999999998</v>
      </c>
      <c r="AG85" s="2">
        <v>-0.25467425999999999</v>
      </c>
      <c r="AH85" s="2">
        <v>-0.41706591999999998</v>
      </c>
      <c r="AI85" s="2">
        <v>0.70345199999999997</v>
      </c>
      <c r="AJ85" s="2">
        <v>-0.33105669999999998</v>
      </c>
      <c r="AK85" s="2">
        <v>0.74023510000000003</v>
      </c>
      <c r="AL85" s="2">
        <v>-0.30399734</v>
      </c>
      <c r="AM85" s="2">
        <v>-0.77126030000000001</v>
      </c>
      <c r="AN85" s="2">
        <v>0.54651680000000002</v>
      </c>
      <c r="AO85" s="2">
        <v>0.45704663000000001</v>
      </c>
      <c r="AP85" s="2">
        <v>-6.5486879999999997E-2</v>
      </c>
      <c r="AQ85" s="2">
        <v>0.28717290000000001</v>
      </c>
      <c r="AR85" s="2">
        <v>0.25954026000000002</v>
      </c>
      <c r="AS85" s="2">
        <v>0.68992849999999994</v>
      </c>
      <c r="AT85" s="2">
        <v>0.27268606000000001</v>
      </c>
      <c r="AU85" s="2">
        <v>0.7748353</v>
      </c>
      <c r="AV85" s="2">
        <v>0.71476600000000001</v>
      </c>
      <c r="AW85" s="2">
        <v>-0.37874775999999999</v>
      </c>
      <c r="AX85" s="2">
        <v>3.9342492999999999E-2</v>
      </c>
      <c r="AY85" s="2">
        <v>6.8726220000000005E-2</v>
      </c>
      <c r="AZ85" s="2">
        <v>0.59473014000000002</v>
      </c>
      <c r="BA85" s="2">
        <v>0.43211110000000003</v>
      </c>
      <c r="BB85" s="2">
        <v>0.46084392000000002</v>
      </c>
      <c r="BC85" s="2">
        <v>-0.60232929999999996</v>
      </c>
      <c r="BD85" s="2">
        <v>0.601078</v>
      </c>
      <c r="BE85" s="2">
        <v>1</v>
      </c>
      <c r="BF85" s="2">
        <v>0.74607840000000003</v>
      </c>
      <c r="BG85" s="2">
        <v>-0.50749915999999995</v>
      </c>
      <c r="BH85" s="2">
        <v>-0.56915914999999995</v>
      </c>
      <c r="BI85" s="2">
        <v>-0.68219626</v>
      </c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x14ac:dyDescent="0.25">
      <c r="A86" s="13" t="str" cm="1">
        <f t="array" ref="A86">_xll.FDS(B86,"FG_COMPANY_NAME")</f>
        <v>Walgreens Boots Alliance, Inc.</v>
      </c>
      <c r="B86" s="4" t="str">
        <v>WBA-US</v>
      </c>
      <c r="C86" s="2">
        <v>0.44539701999999998</v>
      </c>
      <c r="D86" s="2">
        <v>-9.8202020000000001E-2</v>
      </c>
      <c r="E86" s="2">
        <v>0.21937780000000001</v>
      </c>
      <c r="F86" s="2">
        <v>0.62692840000000005</v>
      </c>
      <c r="G86" s="2">
        <v>-5.2459119999999998E-2</v>
      </c>
      <c r="H86" s="2">
        <v>4.0562040000000001E-2</v>
      </c>
      <c r="I86" s="2">
        <v>0.53146780000000005</v>
      </c>
      <c r="J86" s="2">
        <v>0.69124246</v>
      </c>
      <c r="K86" s="2">
        <v>-0.53663086999999998</v>
      </c>
      <c r="L86" s="2">
        <v>0.61284709999999998</v>
      </c>
      <c r="M86" s="2">
        <v>0.44164305999999998</v>
      </c>
      <c r="N86" s="2">
        <v>-0.11000804</v>
      </c>
      <c r="O86" s="2">
        <v>0.71735490000000002</v>
      </c>
      <c r="P86" s="2">
        <v>-0.75103204999999995</v>
      </c>
      <c r="Q86" s="2">
        <v>0.56736019999999998</v>
      </c>
      <c r="R86" s="2">
        <v>0.57712200000000002</v>
      </c>
      <c r="S86" s="2">
        <v>0.67520683999999997</v>
      </c>
      <c r="T86" s="2">
        <v>-0.67423929999999999</v>
      </c>
      <c r="U86" s="2">
        <v>0.44350000000000001</v>
      </c>
      <c r="V86" s="2">
        <v>-0.22683846999999999</v>
      </c>
      <c r="W86" s="2">
        <v>-0.12287465</v>
      </c>
      <c r="X86" s="2">
        <v>0.30808746999999997</v>
      </c>
      <c r="Y86" s="2">
        <v>-8.2997219999999997E-2</v>
      </c>
      <c r="Z86" s="2">
        <v>0.69091135000000004</v>
      </c>
      <c r="AA86" s="2">
        <v>-0.66513299999999997</v>
      </c>
      <c r="AB86" s="2">
        <v>5.2131914000000001E-2</v>
      </c>
      <c r="AC86" s="2">
        <v>-0.65984315000000004</v>
      </c>
      <c r="AD86" s="2">
        <v>-0.65796480000000002</v>
      </c>
      <c r="AE86" s="2">
        <v>-0.63461230000000002</v>
      </c>
      <c r="AF86" s="2">
        <v>0.29555002000000002</v>
      </c>
      <c r="AG86" s="2">
        <v>-0.47487797999999998</v>
      </c>
      <c r="AH86" s="2">
        <v>-0.5781018</v>
      </c>
      <c r="AI86" s="2">
        <v>0.70786190000000004</v>
      </c>
      <c r="AJ86" s="2">
        <v>-0.73391839999999997</v>
      </c>
      <c r="AK86" s="2">
        <v>0.71194804</v>
      </c>
      <c r="AL86" s="2">
        <v>-0.32903870000000002</v>
      </c>
      <c r="AM86" s="2">
        <v>-0.78207459999999995</v>
      </c>
      <c r="AN86" s="2">
        <v>0.56864650000000005</v>
      </c>
      <c r="AO86" s="2">
        <v>0.50539330000000005</v>
      </c>
      <c r="AP86" s="2">
        <v>-0.40137365000000003</v>
      </c>
      <c r="AQ86" s="2">
        <v>0.40924939999999999</v>
      </c>
      <c r="AR86" s="2">
        <v>0.16163953</v>
      </c>
      <c r="AS86" s="2">
        <v>0.68971939999999998</v>
      </c>
      <c r="AT86" s="2">
        <v>0.30443016000000001</v>
      </c>
      <c r="AU86" s="2">
        <v>0.75431113999999999</v>
      </c>
      <c r="AV86" s="2">
        <v>0.73657099999999998</v>
      </c>
      <c r="AW86" s="2">
        <v>-0.49762299999999998</v>
      </c>
      <c r="AX86" s="2">
        <v>-0.32497870000000001</v>
      </c>
      <c r="AY86" s="2">
        <v>-0.25784447999999999</v>
      </c>
      <c r="AZ86" s="2">
        <v>0.62115520000000002</v>
      </c>
      <c r="BA86" s="2">
        <v>0.58639470000000005</v>
      </c>
      <c r="BB86" s="2">
        <v>0.25513762000000001</v>
      </c>
      <c r="BC86" s="2">
        <v>-0.65517694000000004</v>
      </c>
      <c r="BD86" s="2">
        <v>0.59331460000000003</v>
      </c>
      <c r="BE86" s="2">
        <v>0.74607840000000003</v>
      </c>
      <c r="BF86" s="2">
        <v>1</v>
      </c>
      <c r="BG86" s="2">
        <v>-0.63042474000000004</v>
      </c>
      <c r="BH86" s="2">
        <v>-0.66276440000000003</v>
      </c>
      <c r="BI86" s="2">
        <v>-0.78285349999999998</v>
      </c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x14ac:dyDescent="0.25">
      <c r="A87" s="13" t="str" cm="1">
        <f t="array" ref="A87">_xll.FDS(B87,"FG_COMPANY_NAME")</f>
        <v>Western Union Company</v>
      </c>
      <c r="B87" s="4" t="str">
        <v>WU-US</v>
      </c>
      <c r="C87" s="2">
        <v>-0.50783940000000005</v>
      </c>
      <c r="D87" s="2">
        <v>-0.39671410000000001</v>
      </c>
      <c r="E87" s="2">
        <v>-0.48991435999999999</v>
      </c>
      <c r="F87" s="2">
        <v>-0.73263920000000005</v>
      </c>
      <c r="G87" s="2">
        <v>7.9390359999999993E-2</v>
      </c>
      <c r="H87" s="2">
        <v>-0.4643292</v>
      </c>
      <c r="I87" s="2">
        <v>-0.29286097999999999</v>
      </c>
      <c r="J87" s="2">
        <v>-0.89077569999999995</v>
      </c>
      <c r="K87" s="2">
        <v>0.88894669999999998</v>
      </c>
      <c r="L87" s="2">
        <v>-0.88556844000000001</v>
      </c>
      <c r="M87" s="2">
        <v>-0.69232519999999997</v>
      </c>
      <c r="N87" s="2">
        <v>-0.12763831</v>
      </c>
      <c r="O87" s="2">
        <v>-0.82610910000000004</v>
      </c>
      <c r="P87" s="2">
        <v>0.57177849999999997</v>
      </c>
      <c r="Q87" s="2">
        <v>-0.81642760000000003</v>
      </c>
      <c r="R87" s="2">
        <v>-0.6160369</v>
      </c>
      <c r="S87" s="2">
        <v>-0.88335750000000002</v>
      </c>
      <c r="T87" s="2">
        <v>0.63540209999999997</v>
      </c>
      <c r="U87" s="2">
        <v>-0.63653183000000002</v>
      </c>
      <c r="V87" s="2">
        <v>-0.30097327000000001</v>
      </c>
      <c r="W87" s="2">
        <v>-0.40673313</v>
      </c>
      <c r="X87" s="2">
        <v>-0.83738970000000001</v>
      </c>
      <c r="Y87" s="2">
        <v>-0.3266888</v>
      </c>
      <c r="Z87" s="2">
        <v>-0.77313229999999999</v>
      </c>
      <c r="AA87" s="2">
        <v>0.84843736999999997</v>
      </c>
      <c r="AB87" s="2">
        <v>-0.36764657000000001</v>
      </c>
      <c r="AC87" s="2">
        <v>0.84709290000000004</v>
      </c>
      <c r="AD87" s="2">
        <v>5.0192963E-2</v>
      </c>
      <c r="AE87" s="2">
        <v>0.87249399999999999</v>
      </c>
      <c r="AF87" s="2">
        <v>-0.70563279999999995</v>
      </c>
      <c r="AG87" s="2">
        <v>0.11043481500000001</v>
      </c>
      <c r="AH87" s="2">
        <v>0.87361133000000002</v>
      </c>
      <c r="AI87" s="2">
        <v>-0.83651876000000003</v>
      </c>
      <c r="AJ87" s="2">
        <v>9.1258909999999999E-2</v>
      </c>
      <c r="AK87" s="2">
        <v>-0.81179214</v>
      </c>
      <c r="AL87" s="2">
        <v>0.41019030000000001</v>
      </c>
      <c r="AM87" s="2">
        <v>0.66005062999999997</v>
      </c>
      <c r="AN87" s="2">
        <v>-0.83204734000000002</v>
      </c>
      <c r="AO87" s="2">
        <v>-0.80147712999999998</v>
      </c>
      <c r="AP87" s="2">
        <v>-0.32055539999999999</v>
      </c>
      <c r="AQ87" s="2">
        <v>-0.70767075000000002</v>
      </c>
      <c r="AR87" s="2">
        <v>0.51409280000000002</v>
      </c>
      <c r="AS87" s="2">
        <v>-0.85210960000000002</v>
      </c>
      <c r="AT87" s="2">
        <v>-0.84567296999999997</v>
      </c>
      <c r="AU87" s="2">
        <v>-0.88514029999999999</v>
      </c>
      <c r="AV87" s="2">
        <v>-0.83605885999999996</v>
      </c>
      <c r="AW87" s="2">
        <v>0.59249039999999997</v>
      </c>
      <c r="AX87" s="2">
        <v>3.5694709999999998E-2</v>
      </c>
      <c r="AY87" s="2">
        <v>-0.33403778000000001</v>
      </c>
      <c r="AZ87" s="2">
        <v>-0.75061493999999995</v>
      </c>
      <c r="BA87" s="2">
        <v>-0.82931460000000001</v>
      </c>
      <c r="BB87" s="2">
        <v>-0.13809969999999999</v>
      </c>
      <c r="BC87" s="2">
        <v>0.44637494999999999</v>
      </c>
      <c r="BD87" s="2">
        <v>-0.86207246999999998</v>
      </c>
      <c r="BE87" s="2">
        <v>-0.50749915999999995</v>
      </c>
      <c r="BF87" s="2">
        <v>-0.63042474000000004</v>
      </c>
      <c r="BG87" s="2">
        <v>1</v>
      </c>
      <c r="BH87" s="2">
        <v>0.63172470000000003</v>
      </c>
      <c r="BI87" s="2">
        <v>0.88342303</v>
      </c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x14ac:dyDescent="0.25">
      <c r="A88" s="13" t="str" cm="1">
        <f t="array" ref="A88">_xll.FDS(B88,"FG_COMPANY_NAME")</f>
        <v>John Wiley &amp; Sons, Inc. Class A</v>
      </c>
      <c r="B88" s="4" t="str">
        <v>WLY-US</v>
      </c>
      <c r="C88" s="2">
        <v>-0.17021926000000001</v>
      </c>
      <c r="D88" s="2">
        <v>-0.34932970000000002</v>
      </c>
      <c r="E88" s="2">
        <v>-0.26208369999999998</v>
      </c>
      <c r="F88" s="2">
        <v>-0.63626486000000004</v>
      </c>
      <c r="G88" s="2">
        <v>4.1033409999999999E-2</v>
      </c>
      <c r="H88" s="2">
        <v>-0.38606066</v>
      </c>
      <c r="I88" s="2">
        <v>-0.42918553999999998</v>
      </c>
      <c r="J88" s="2">
        <v>-0.61893469999999995</v>
      </c>
      <c r="K88" s="2">
        <v>0.57972849999999998</v>
      </c>
      <c r="L88" s="2">
        <v>-0.51710829999999997</v>
      </c>
      <c r="M88" s="2">
        <v>-0.62507135000000003</v>
      </c>
      <c r="N88" s="2">
        <v>0.16343241999999999</v>
      </c>
      <c r="O88" s="2">
        <v>-0.66899050000000004</v>
      </c>
      <c r="P88" s="2">
        <v>0.70504619999999996</v>
      </c>
      <c r="Q88" s="2">
        <v>-0.52647089999999996</v>
      </c>
      <c r="R88" s="2">
        <v>-0.60492270000000004</v>
      </c>
      <c r="S88" s="2">
        <v>-0.60853959999999996</v>
      </c>
      <c r="T88" s="2">
        <v>0.56974650000000004</v>
      </c>
      <c r="U88" s="2">
        <v>-0.41975596999999998</v>
      </c>
      <c r="V88" s="2">
        <v>-0.16867112000000001</v>
      </c>
      <c r="W88" s="2">
        <v>-0.30949870000000002</v>
      </c>
      <c r="X88" s="2">
        <v>-0.42921036000000001</v>
      </c>
      <c r="Y88" s="2">
        <v>-0.42230916000000002</v>
      </c>
      <c r="Z88" s="2">
        <v>-0.58044183000000005</v>
      </c>
      <c r="AA88" s="2">
        <v>0.72051734000000001</v>
      </c>
      <c r="AB88" s="2">
        <v>-0.13101065000000001</v>
      </c>
      <c r="AC88" s="2">
        <v>0.70387023999999998</v>
      </c>
      <c r="AD88" s="2">
        <v>5.5148940000000002E-3</v>
      </c>
      <c r="AE88" s="2">
        <v>0.69603764999999995</v>
      </c>
      <c r="AF88" s="2">
        <v>-0.23411672</v>
      </c>
      <c r="AG88" s="2">
        <v>0.35965156999999998</v>
      </c>
      <c r="AH88" s="2">
        <v>0.63437944999999996</v>
      </c>
      <c r="AI88" s="2">
        <v>-0.67583053999999998</v>
      </c>
      <c r="AJ88" s="2">
        <v>0.24993647999999999</v>
      </c>
      <c r="AK88" s="2">
        <v>-0.64455960000000001</v>
      </c>
      <c r="AL88" s="2">
        <v>0.29929625999999998</v>
      </c>
      <c r="AM88" s="2">
        <v>0.71555716000000003</v>
      </c>
      <c r="AN88" s="2">
        <v>-0.57726383000000003</v>
      </c>
      <c r="AO88" s="2">
        <v>-0.55508939999999996</v>
      </c>
      <c r="AP88" s="2">
        <v>-2.8570352E-2</v>
      </c>
      <c r="AQ88" s="2">
        <v>-0.52699845999999995</v>
      </c>
      <c r="AR88" s="2">
        <v>-1.3685902E-2</v>
      </c>
      <c r="AS88" s="2">
        <v>-0.60347260000000003</v>
      </c>
      <c r="AT88" s="2">
        <v>-0.46322590000000002</v>
      </c>
      <c r="AU88" s="2">
        <v>-0.68519600000000003</v>
      </c>
      <c r="AV88" s="2">
        <v>-0.69144159999999999</v>
      </c>
      <c r="AW88" s="2">
        <v>0.47800641999999999</v>
      </c>
      <c r="AX88" s="2">
        <v>-0.12544405</v>
      </c>
      <c r="AY88" s="2">
        <v>1.2282247E-2</v>
      </c>
      <c r="AZ88" s="2">
        <v>-0.56483245000000004</v>
      </c>
      <c r="BA88" s="2">
        <v>-0.55025869999999999</v>
      </c>
      <c r="BB88" s="2">
        <v>5.3686135000000003E-2</v>
      </c>
      <c r="BC88" s="2">
        <v>0.49156139999999998</v>
      </c>
      <c r="BD88" s="2">
        <v>-0.51294773999999999</v>
      </c>
      <c r="BE88" s="2">
        <v>-0.56915914999999995</v>
      </c>
      <c r="BF88" s="2">
        <v>-0.66276440000000003</v>
      </c>
      <c r="BG88" s="2">
        <v>0.63172470000000003</v>
      </c>
      <c r="BH88" s="2">
        <v>1</v>
      </c>
      <c r="BI88" s="2">
        <v>0.71458005999999996</v>
      </c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x14ac:dyDescent="0.25">
      <c r="A89" s="13" t="str" cm="1">
        <f t="array" ref="A89">_xll.FDS(B89,"FG_COMPANY_NAME")</f>
        <v>WPP Plc</v>
      </c>
      <c r="B89" s="4" t="str">
        <v>WPP-GB</v>
      </c>
      <c r="C89" s="2">
        <v>-0.5563553</v>
      </c>
      <c r="D89" s="2">
        <v>-0.41274565000000002</v>
      </c>
      <c r="E89" s="2">
        <v>-0.65317917000000003</v>
      </c>
      <c r="F89" s="2">
        <v>-0.76042180000000004</v>
      </c>
      <c r="G89" s="2">
        <v>-4.2238360000000003E-2</v>
      </c>
      <c r="H89" s="2">
        <v>-0.56603610000000004</v>
      </c>
      <c r="I89" s="2">
        <v>-0.48413196000000003</v>
      </c>
      <c r="J89" s="2">
        <v>-0.86717940000000004</v>
      </c>
      <c r="K89" s="2">
        <v>0.79974394999999998</v>
      </c>
      <c r="L89" s="2">
        <v>-0.85107933999999996</v>
      </c>
      <c r="M89" s="2">
        <v>-0.60852399999999995</v>
      </c>
      <c r="N89" s="2">
        <v>-4.4200297E-2</v>
      </c>
      <c r="O89" s="2">
        <v>-0.84056359999999997</v>
      </c>
      <c r="P89" s="2">
        <v>0.719136</v>
      </c>
      <c r="Q89" s="2">
        <v>-0.82594526000000001</v>
      </c>
      <c r="R89" s="2">
        <v>-0.74328755999999996</v>
      </c>
      <c r="S89" s="2">
        <v>-0.89916870000000004</v>
      </c>
      <c r="T89" s="2">
        <v>0.65164390000000005</v>
      </c>
      <c r="U89" s="2">
        <v>-0.59483929999999996</v>
      </c>
      <c r="V89" s="2">
        <v>-0.17038502</v>
      </c>
      <c r="W89" s="2">
        <v>-0.50775590000000004</v>
      </c>
      <c r="X89" s="2">
        <v>-0.65956729999999997</v>
      </c>
      <c r="Y89" s="2">
        <v>-0.39313972000000003</v>
      </c>
      <c r="Z89" s="2">
        <v>-0.80243635000000002</v>
      </c>
      <c r="AA89" s="2">
        <v>0.80839320000000003</v>
      </c>
      <c r="AB89" s="2">
        <v>-0.31172879999999997</v>
      </c>
      <c r="AC89" s="2">
        <v>0.89387375000000002</v>
      </c>
      <c r="AD89" s="2">
        <v>2.5639071999999999E-2</v>
      </c>
      <c r="AE89" s="2">
        <v>0.86176014000000001</v>
      </c>
      <c r="AF89" s="2">
        <v>-0.67702130000000005</v>
      </c>
      <c r="AG89" s="2">
        <v>0.15776229999999999</v>
      </c>
      <c r="AH89" s="2">
        <v>0.78061055999999995</v>
      </c>
      <c r="AI89" s="2">
        <v>-0.87363729999999995</v>
      </c>
      <c r="AJ89" s="2">
        <v>8.2462320000000006E-2</v>
      </c>
      <c r="AK89" s="2">
        <v>-0.88737904999999995</v>
      </c>
      <c r="AL89" s="2">
        <v>0.43638468000000002</v>
      </c>
      <c r="AM89" s="2">
        <v>0.82717973</v>
      </c>
      <c r="AN89" s="2">
        <v>-0.84012085000000003</v>
      </c>
      <c r="AO89" s="2">
        <v>-0.82084310000000005</v>
      </c>
      <c r="AP89" s="2">
        <v>-0.27594819999999998</v>
      </c>
      <c r="AQ89" s="2">
        <v>-0.77629143</v>
      </c>
      <c r="AR89" s="2">
        <v>0.23052350999999999</v>
      </c>
      <c r="AS89" s="2">
        <v>-0.9301005</v>
      </c>
      <c r="AT89" s="2">
        <v>-0.73305105999999998</v>
      </c>
      <c r="AU89" s="2">
        <v>-0.92920119999999995</v>
      </c>
      <c r="AV89" s="2">
        <v>-0.90727469999999999</v>
      </c>
      <c r="AW89" s="2">
        <v>0.61863654999999995</v>
      </c>
      <c r="AX89" s="2">
        <v>-9.2026986000000005E-2</v>
      </c>
      <c r="AY89" s="2">
        <v>-0.35294759999999997</v>
      </c>
      <c r="AZ89" s="2">
        <v>-0.84829533000000001</v>
      </c>
      <c r="BA89" s="2">
        <v>-0.83121929999999999</v>
      </c>
      <c r="BB89" s="2">
        <v>-0.23086175</v>
      </c>
      <c r="BC89" s="2">
        <v>0.58217470000000004</v>
      </c>
      <c r="BD89" s="2">
        <v>-0.86459947000000004</v>
      </c>
      <c r="BE89" s="2">
        <v>-0.68219626</v>
      </c>
      <c r="BF89" s="2">
        <v>-0.78285349999999998</v>
      </c>
      <c r="BG89" s="2">
        <v>0.88342303</v>
      </c>
      <c r="BH89" s="2">
        <v>0.71458005999999996</v>
      </c>
      <c r="BI89" s="2">
        <v>1</v>
      </c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2:H479"/>
  <sheetViews>
    <sheetView topLeftCell="A4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3.42578125" customWidth="1"/>
  </cols>
  <sheetData>
    <row r="2" spans="1:8" x14ac:dyDescent="0.25">
      <c r="A2" t="s">
        <v>2</v>
      </c>
      <c r="B2" s="7">
        <v>45657</v>
      </c>
    </row>
    <row r="3" spans="1:8" x14ac:dyDescent="0.25">
      <c r="A3" t="s">
        <v>3</v>
      </c>
      <c r="B3" s="7" t="s">
        <v>4</v>
      </c>
    </row>
    <row r="6" spans="1:8" x14ac:dyDescent="0.25">
      <c r="B6" s="4" t="s">
        <v>66</v>
      </c>
      <c r="C6" s="4" t="s">
        <v>5</v>
      </c>
      <c r="D6" s="4" t="s">
        <v>6</v>
      </c>
    </row>
    <row r="7" spans="1:8" x14ac:dyDescent="0.25">
      <c r="B7" s="5" cm="1">
        <f t="array" ref="B7:B259">_xll.FDS(C6,"JULIAN(FG_PRICE("&amp;$B$2&amp;","&amp;$B$2&amp;"-"&amp;$B$3&amp;",,USD).dates)")</f>
        <v>45657</v>
      </c>
      <c r="C7" cm="1">
        <f t="array" ref="C7:C259">_xll.FDS(C6,"FG_PRICE("&amp;$B$2&amp;","&amp;$B$2&amp;"-"&amp;$B$3&amp;",,USD)")</f>
        <v>585.51</v>
      </c>
      <c r="D7" cm="1">
        <f t="array" ref="D7:D259">_xll.FDS(D6,"FG_PRICE("&amp;$B$2&amp;","&amp;$B$2&amp;"-"&amp;$B$3&amp;",,USD)")</f>
        <v>219.39</v>
      </c>
      <c r="G7" s="9" t="s">
        <v>67</v>
      </c>
      <c r="H7" s="10">
        <f>Backend!C32</f>
        <v>0.11517693</v>
      </c>
    </row>
    <row r="8" spans="1:8" x14ac:dyDescent="0.25">
      <c r="B8" s="5">
        <v>45656</v>
      </c>
      <c r="C8">
        <v>591.24</v>
      </c>
      <c r="D8">
        <v>221.3</v>
      </c>
      <c r="G8" t="s">
        <v>68</v>
      </c>
      <c r="H8" s="11">
        <f>CORREL(_xlfn.ANCHORARRAY(C7),_xlfn.ANCHORARRAY(D7))</f>
        <v>0.82708172253855361</v>
      </c>
    </row>
    <row r="9" spans="1:8" x14ac:dyDescent="0.25">
      <c r="B9" s="5">
        <v>45653</v>
      </c>
      <c r="C9">
        <v>599.80999999999995</v>
      </c>
      <c r="D9">
        <v>223.75</v>
      </c>
      <c r="G9" t="s">
        <v>69</v>
      </c>
      <c r="H9" s="11">
        <f>PEARSON(_xlfn.ANCHORARRAY(C7),_xlfn.ANCHORARRAY(D7))</f>
        <v>0.82708172253855361</v>
      </c>
    </row>
    <row r="10" spans="1:8" x14ac:dyDescent="0.25">
      <c r="B10" s="5">
        <v>45652</v>
      </c>
      <c r="C10">
        <v>603.35</v>
      </c>
      <c r="D10">
        <v>227.05</v>
      </c>
    </row>
    <row r="11" spans="1:8" x14ac:dyDescent="0.25">
      <c r="B11" s="5">
        <v>45650</v>
      </c>
      <c r="C11">
        <v>607.75</v>
      </c>
      <c r="D11">
        <v>229.05</v>
      </c>
    </row>
    <row r="12" spans="1:8" x14ac:dyDescent="0.25">
      <c r="B12" s="5">
        <v>45649</v>
      </c>
      <c r="C12">
        <v>599.85</v>
      </c>
      <c r="D12">
        <v>225.06</v>
      </c>
    </row>
    <row r="13" spans="1:8" x14ac:dyDescent="0.25">
      <c r="B13" s="5">
        <v>45646</v>
      </c>
      <c r="C13">
        <v>585.25</v>
      </c>
      <c r="D13">
        <v>224.92</v>
      </c>
    </row>
    <row r="14" spans="1:8" x14ac:dyDescent="0.25">
      <c r="B14" s="5">
        <v>45645</v>
      </c>
      <c r="C14">
        <v>595.57000000000005</v>
      </c>
      <c r="D14">
        <v>223.29</v>
      </c>
    </row>
    <row r="15" spans="1:8" x14ac:dyDescent="0.25">
      <c r="B15" s="5">
        <v>45644</v>
      </c>
      <c r="C15">
        <v>597.19000000000005</v>
      </c>
      <c r="D15">
        <v>220.52</v>
      </c>
    </row>
    <row r="16" spans="1:8" x14ac:dyDescent="0.25">
      <c r="B16" s="5">
        <v>45643</v>
      </c>
      <c r="C16">
        <v>619.44000000000005</v>
      </c>
      <c r="D16">
        <v>231.15</v>
      </c>
    </row>
    <row r="17" spans="2:4" x14ac:dyDescent="0.25">
      <c r="B17" s="5">
        <v>45642</v>
      </c>
      <c r="C17">
        <v>624.24</v>
      </c>
      <c r="D17">
        <v>232.93</v>
      </c>
    </row>
    <row r="18" spans="2:4" x14ac:dyDescent="0.25">
      <c r="B18" s="5">
        <v>45639</v>
      </c>
      <c r="C18">
        <v>620.35</v>
      </c>
      <c r="D18">
        <v>227.46</v>
      </c>
    </row>
    <row r="19" spans="2:4" x14ac:dyDescent="0.25">
      <c r="B19" s="5">
        <v>45638</v>
      </c>
      <c r="C19">
        <v>630.79</v>
      </c>
      <c r="D19">
        <v>228.97</v>
      </c>
    </row>
    <row r="20" spans="2:4" x14ac:dyDescent="0.25">
      <c r="B20" s="5">
        <v>45637</v>
      </c>
      <c r="C20">
        <v>632.67999999999995</v>
      </c>
      <c r="D20">
        <v>230.26</v>
      </c>
    </row>
    <row r="21" spans="2:4" x14ac:dyDescent="0.25">
      <c r="B21" s="5">
        <v>45636</v>
      </c>
      <c r="C21">
        <v>619.32000000000005</v>
      </c>
      <c r="D21">
        <v>225.04</v>
      </c>
    </row>
    <row r="22" spans="2:4" x14ac:dyDescent="0.25">
      <c r="B22" s="5">
        <v>45635</v>
      </c>
      <c r="C22">
        <v>613.57000000000005</v>
      </c>
      <c r="D22">
        <v>226.09</v>
      </c>
    </row>
    <row r="23" spans="2:4" x14ac:dyDescent="0.25">
      <c r="B23" s="5">
        <v>45632</v>
      </c>
      <c r="C23">
        <v>623.77</v>
      </c>
      <c r="D23">
        <v>227.03</v>
      </c>
    </row>
    <row r="24" spans="2:4" x14ac:dyDescent="0.25">
      <c r="B24" s="5">
        <v>45631</v>
      </c>
      <c r="C24">
        <v>608.92999999999995</v>
      </c>
      <c r="D24">
        <v>220.55</v>
      </c>
    </row>
    <row r="25" spans="2:4" x14ac:dyDescent="0.25">
      <c r="B25" s="5">
        <v>45630</v>
      </c>
      <c r="C25">
        <v>613.78</v>
      </c>
      <c r="D25">
        <v>218.16</v>
      </c>
    </row>
    <row r="26" spans="2:4" x14ac:dyDescent="0.25">
      <c r="B26" s="5">
        <v>45629</v>
      </c>
      <c r="C26">
        <v>613.65</v>
      </c>
      <c r="D26">
        <v>213.44</v>
      </c>
    </row>
    <row r="27" spans="2:4" x14ac:dyDescent="0.25">
      <c r="B27" s="5">
        <v>45628</v>
      </c>
      <c r="C27">
        <v>592.83000000000004</v>
      </c>
      <c r="D27">
        <v>210.71</v>
      </c>
    </row>
    <row r="28" spans="2:4" x14ac:dyDescent="0.25">
      <c r="B28" s="5">
        <v>45625</v>
      </c>
      <c r="C28">
        <v>574.32000000000005</v>
      </c>
      <c r="D28">
        <v>207.89</v>
      </c>
    </row>
    <row r="29" spans="2:4" x14ac:dyDescent="0.25">
      <c r="B29" s="5">
        <v>45623</v>
      </c>
      <c r="C29">
        <v>569.20000000000005</v>
      </c>
      <c r="D29">
        <v>205.74</v>
      </c>
    </row>
    <row r="30" spans="2:4" x14ac:dyDescent="0.25">
      <c r="B30" s="5">
        <v>45622</v>
      </c>
      <c r="C30">
        <v>573.54</v>
      </c>
      <c r="D30">
        <v>207.86</v>
      </c>
    </row>
    <row r="31" spans="2:4" x14ac:dyDescent="0.25">
      <c r="B31" s="5">
        <v>45621</v>
      </c>
      <c r="C31">
        <v>565.11</v>
      </c>
      <c r="D31">
        <v>201.45</v>
      </c>
    </row>
    <row r="32" spans="2:4" x14ac:dyDescent="0.25">
      <c r="B32" s="5">
        <v>45618</v>
      </c>
      <c r="C32">
        <v>559.14</v>
      </c>
      <c r="D32">
        <v>197.12</v>
      </c>
    </row>
    <row r="33" spans="2:4" x14ac:dyDescent="0.25">
      <c r="B33" s="5">
        <v>45617</v>
      </c>
      <c r="C33">
        <v>563.09</v>
      </c>
      <c r="D33">
        <v>198.38</v>
      </c>
    </row>
    <row r="34" spans="2:4" x14ac:dyDescent="0.25">
      <c r="B34" s="5">
        <v>45616</v>
      </c>
      <c r="C34">
        <v>565.52</v>
      </c>
      <c r="D34">
        <v>202.88</v>
      </c>
    </row>
    <row r="35" spans="2:4" x14ac:dyDescent="0.25">
      <c r="B35" s="5">
        <v>45615</v>
      </c>
      <c r="C35">
        <v>561.09</v>
      </c>
      <c r="D35">
        <v>204.61</v>
      </c>
    </row>
    <row r="36" spans="2:4" x14ac:dyDescent="0.25">
      <c r="B36" s="5">
        <v>45614</v>
      </c>
      <c r="C36">
        <v>554.4</v>
      </c>
      <c r="D36">
        <v>201.7</v>
      </c>
    </row>
    <row r="37" spans="2:4" x14ac:dyDescent="0.25">
      <c r="B37" s="5">
        <v>45611</v>
      </c>
      <c r="C37">
        <v>554.08000000000004</v>
      </c>
      <c r="D37">
        <v>202.61</v>
      </c>
    </row>
    <row r="38" spans="2:4" x14ac:dyDescent="0.25">
      <c r="B38" s="5">
        <v>45610</v>
      </c>
      <c r="C38">
        <v>577.16</v>
      </c>
      <c r="D38">
        <v>211.48</v>
      </c>
    </row>
    <row r="39" spans="2:4" x14ac:dyDescent="0.25">
      <c r="B39" s="5">
        <v>45609</v>
      </c>
      <c r="C39">
        <v>580</v>
      </c>
      <c r="D39">
        <v>214.1</v>
      </c>
    </row>
    <row r="40" spans="2:4" x14ac:dyDescent="0.25">
      <c r="B40" s="5">
        <v>45608</v>
      </c>
      <c r="C40">
        <v>584.82000000000005</v>
      </c>
      <c r="D40">
        <v>208.91</v>
      </c>
    </row>
    <row r="41" spans="2:4" x14ac:dyDescent="0.25">
      <c r="B41" s="5">
        <v>45607</v>
      </c>
      <c r="C41">
        <v>583.16999999999996</v>
      </c>
      <c r="D41">
        <v>206.84</v>
      </c>
    </row>
    <row r="42" spans="2:4" x14ac:dyDescent="0.25">
      <c r="B42" s="5">
        <v>45604</v>
      </c>
      <c r="C42">
        <v>589.34</v>
      </c>
      <c r="D42">
        <v>208.18</v>
      </c>
    </row>
    <row r="43" spans="2:4" x14ac:dyDescent="0.25">
      <c r="B43" s="5">
        <v>45603</v>
      </c>
      <c r="C43">
        <v>591.70000000000005</v>
      </c>
      <c r="D43">
        <v>210.05</v>
      </c>
    </row>
    <row r="44" spans="2:4" x14ac:dyDescent="0.25">
      <c r="B44" s="5">
        <v>45602</v>
      </c>
      <c r="C44">
        <v>572.04999999999995</v>
      </c>
      <c r="D44">
        <v>207.09</v>
      </c>
    </row>
    <row r="45" spans="2:4" x14ac:dyDescent="0.25">
      <c r="B45" s="5">
        <v>45601</v>
      </c>
      <c r="C45">
        <v>572.42999999999995</v>
      </c>
      <c r="D45">
        <v>199.5</v>
      </c>
    </row>
    <row r="46" spans="2:4" x14ac:dyDescent="0.25">
      <c r="B46" s="5">
        <v>45600</v>
      </c>
      <c r="C46">
        <v>560.67999999999995</v>
      </c>
      <c r="D46">
        <v>195.78</v>
      </c>
    </row>
    <row r="47" spans="2:4" x14ac:dyDescent="0.25">
      <c r="B47" s="5">
        <v>45597</v>
      </c>
      <c r="C47">
        <v>567.16</v>
      </c>
      <c r="D47">
        <v>197.93</v>
      </c>
    </row>
    <row r="48" spans="2:4" x14ac:dyDescent="0.25">
      <c r="B48" s="5">
        <v>45596</v>
      </c>
      <c r="C48">
        <v>567.58000000000004</v>
      </c>
      <c r="D48">
        <v>186.4</v>
      </c>
    </row>
    <row r="49" spans="2:4" x14ac:dyDescent="0.25">
      <c r="B49" s="5">
        <v>45595</v>
      </c>
      <c r="C49">
        <v>591.79999999999995</v>
      </c>
      <c r="D49">
        <v>192.73</v>
      </c>
    </row>
    <row r="50" spans="2:4" x14ac:dyDescent="0.25">
      <c r="B50" s="5">
        <v>45594</v>
      </c>
      <c r="C50">
        <v>593.28</v>
      </c>
      <c r="D50">
        <v>190.83</v>
      </c>
    </row>
    <row r="51" spans="2:4" x14ac:dyDescent="0.25">
      <c r="B51" s="5">
        <v>45593</v>
      </c>
      <c r="C51">
        <v>578.16</v>
      </c>
      <c r="D51">
        <v>188.39</v>
      </c>
    </row>
    <row r="52" spans="2:4" x14ac:dyDescent="0.25">
      <c r="B52" s="5">
        <v>45590</v>
      </c>
      <c r="C52">
        <v>573.25</v>
      </c>
      <c r="D52">
        <v>187.83</v>
      </c>
    </row>
    <row r="53" spans="2:4" x14ac:dyDescent="0.25">
      <c r="B53" s="5">
        <v>45589</v>
      </c>
      <c r="C53">
        <v>567.78</v>
      </c>
      <c r="D53">
        <v>186.38</v>
      </c>
    </row>
    <row r="54" spans="2:4" x14ac:dyDescent="0.25">
      <c r="B54" s="5">
        <v>45588</v>
      </c>
      <c r="C54">
        <v>563.69000000000005</v>
      </c>
      <c r="D54">
        <v>184.71</v>
      </c>
    </row>
    <row r="55" spans="2:4" x14ac:dyDescent="0.25">
      <c r="B55" s="5">
        <v>45587</v>
      </c>
      <c r="C55">
        <v>582.01</v>
      </c>
      <c r="D55">
        <v>189.7</v>
      </c>
    </row>
    <row r="56" spans="2:4" x14ac:dyDescent="0.25">
      <c r="B56" s="5">
        <v>45586</v>
      </c>
      <c r="C56">
        <v>575.16</v>
      </c>
      <c r="D56">
        <v>189.07</v>
      </c>
    </row>
    <row r="57" spans="2:4" x14ac:dyDescent="0.25">
      <c r="B57" s="5">
        <v>45583</v>
      </c>
      <c r="C57">
        <v>576.47</v>
      </c>
      <c r="D57">
        <v>188.99</v>
      </c>
    </row>
    <row r="58" spans="2:4" x14ac:dyDescent="0.25">
      <c r="B58" s="5">
        <v>45582</v>
      </c>
      <c r="C58">
        <v>576.92999999999995</v>
      </c>
      <c r="D58">
        <v>187.53</v>
      </c>
    </row>
    <row r="59" spans="2:4" x14ac:dyDescent="0.25">
      <c r="B59" s="5">
        <v>45581</v>
      </c>
      <c r="C59">
        <v>576.79</v>
      </c>
      <c r="D59">
        <v>186.89</v>
      </c>
    </row>
    <row r="60" spans="2:4" x14ac:dyDescent="0.25">
      <c r="B60" s="5">
        <v>45580</v>
      </c>
      <c r="C60">
        <v>586.27</v>
      </c>
      <c r="D60">
        <v>187.69</v>
      </c>
    </row>
    <row r="61" spans="2:4" x14ac:dyDescent="0.25">
      <c r="B61" s="5">
        <v>45579</v>
      </c>
      <c r="C61">
        <v>590.41999999999996</v>
      </c>
      <c r="D61">
        <v>187.54</v>
      </c>
    </row>
    <row r="62" spans="2:4" x14ac:dyDescent="0.25">
      <c r="B62" s="5">
        <v>45576</v>
      </c>
      <c r="C62">
        <v>589.95000000000005</v>
      </c>
      <c r="D62">
        <v>188.82</v>
      </c>
    </row>
    <row r="63" spans="2:4" x14ac:dyDescent="0.25">
      <c r="B63" s="5">
        <v>45575</v>
      </c>
      <c r="C63">
        <v>583.83000000000004</v>
      </c>
      <c r="D63">
        <v>186.65</v>
      </c>
    </row>
    <row r="64" spans="2:4" x14ac:dyDescent="0.25">
      <c r="B64" s="5">
        <v>45574</v>
      </c>
      <c r="C64">
        <v>590.51</v>
      </c>
      <c r="D64">
        <v>185.17</v>
      </c>
    </row>
    <row r="65" spans="2:4" x14ac:dyDescent="0.25">
      <c r="B65" s="5">
        <v>45573</v>
      </c>
      <c r="C65">
        <v>592.89</v>
      </c>
      <c r="D65">
        <v>182.72</v>
      </c>
    </row>
    <row r="66" spans="2:4" x14ac:dyDescent="0.25">
      <c r="B66" s="5">
        <v>45572</v>
      </c>
      <c r="C66">
        <v>584.78</v>
      </c>
      <c r="D66">
        <v>180.8</v>
      </c>
    </row>
    <row r="67" spans="2:4" x14ac:dyDescent="0.25">
      <c r="B67" s="5">
        <v>45569</v>
      </c>
      <c r="C67">
        <v>595.94000000000005</v>
      </c>
      <c r="D67">
        <v>186.51</v>
      </c>
    </row>
    <row r="68" spans="2:4" x14ac:dyDescent="0.25">
      <c r="B68" s="5">
        <v>45568</v>
      </c>
      <c r="C68">
        <v>582.77</v>
      </c>
      <c r="D68">
        <v>181.96</v>
      </c>
    </row>
    <row r="69" spans="2:4" x14ac:dyDescent="0.25">
      <c r="B69" s="5">
        <v>45567</v>
      </c>
      <c r="C69">
        <v>572.80999999999995</v>
      </c>
      <c r="D69">
        <v>184.76</v>
      </c>
    </row>
    <row r="70" spans="2:4" x14ac:dyDescent="0.25">
      <c r="B70" s="5">
        <v>45566</v>
      </c>
      <c r="C70">
        <v>576.47</v>
      </c>
      <c r="D70">
        <v>185.13</v>
      </c>
    </row>
    <row r="71" spans="2:4" x14ac:dyDescent="0.25">
      <c r="B71" s="5">
        <v>45565</v>
      </c>
      <c r="C71">
        <v>572.44000000000005</v>
      </c>
      <c r="D71">
        <v>186.33</v>
      </c>
    </row>
    <row r="72" spans="2:4" x14ac:dyDescent="0.25">
      <c r="B72" s="5">
        <v>45562</v>
      </c>
      <c r="C72">
        <v>567.36</v>
      </c>
      <c r="D72">
        <v>187.97</v>
      </c>
    </row>
    <row r="73" spans="2:4" x14ac:dyDescent="0.25">
      <c r="B73" s="5">
        <v>45561</v>
      </c>
      <c r="C73">
        <v>567.84</v>
      </c>
      <c r="D73">
        <v>191.16</v>
      </c>
    </row>
    <row r="74" spans="2:4" x14ac:dyDescent="0.25">
      <c r="B74" s="5">
        <v>45560</v>
      </c>
      <c r="C74">
        <v>568.30999999999995</v>
      </c>
      <c r="D74">
        <v>192.53</v>
      </c>
    </row>
    <row r="75" spans="2:4" x14ac:dyDescent="0.25">
      <c r="B75" s="5">
        <v>45559</v>
      </c>
      <c r="C75">
        <v>563.33000000000004</v>
      </c>
      <c r="D75">
        <v>193.96</v>
      </c>
    </row>
    <row r="76" spans="2:4" x14ac:dyDescent="0.25">
      <c r="B76" s="5">
        <v>45558</v>
      </c>
      <c r="C76">
        <v>564.41</v>
      </c>
      <c r="D76">
        <v>193.88</v>
      </c>
    </row>
    <row r="77" spans="2:4" x14ac:dyDescent="0.25">
      <c r="B77" s="5">
        <v>45555</v>
      </c>
      <c r="C77">
        <v>561.35</v>
      </c>
      <c r="D77">
        <v>191.6</v>
      </c>
    </row>
    <row r="78" spans="2:4" x14ac:dyDescent="0.25">
      <c r="B78" s="5">
        <v>45554</v>
      </c>
      <c r="C78">
        <v>559.1</v>
      </c>
      <c r="D78">
        <v>189.87</v>
      </c>
    </row>
    <row r="79" spans="2:4" x14ac:dyDescent="0.25">
      <c r="B79" s="5">
        <v>45553</v>
      </c>
      <c r="C79">
        <v>537.95000000000005</v>
      </c>
      <c r="D79">
        <v>186.43</v>
      </c>
    </row>
    <row r="80" spans="2:4" x14ac:dyDescent="0.25">
      <c r="B80" s="5">
        <v>45552</v>
      </c>
      <c r="C80">
        <v>536.31500000000005</v>
      </c>
      <c r="D80">
        <v>186.88</v>
      </c>
    </row>
    <row r="81" spans="2:4" x14ac:dyDescent="0.25">
      <c r="B81" s="5">
        <v>45551</v>
      </c>
      <c r="C81">
        <v>533.28</v>
      </c>
      <c r="D81">
        <v>184.89</v>
      </c>
    </row>
    <row r="82" spans="2:4" x14ac:dyDescent="0.25">
      <c r="B82" s="5">
        <v>45548</v>
      </c>
      <c r="C82">
        <v>524.62</v>
      </c>
      <c r="D82">
        <v>186.49</v>
      </c>
    </row>
    <row r="83" spans="2:4" x14ac:dyDescent="0.25">
      <c r="B83" s="5">
        <v>45547</v>
      </c>
      <c r="C83">
        <v>525.6</v>
      </c>
      <c r="D83">
        <v>187</v>
      </c>
    </row>
    <row r="84" spans="2:4" x14ac:dyDescent="0.25">
      <c r="B84" s="5">
        <v>45546</v>
      </c>
      <c r="C84">
        <v>511.83</v>
      </c>
      <c r="D84">
        <v>184.52</v>
      </c>
    </row>
    <row r="85" spans="2:4" x14ac:dyDescent="0.25">
      <c r="B85" s="5">
        <v>45545</v>
      </c>
      <c r="C85">
        <v>504.79</v>
      </c>
      <c r="D85">
        <v>179.55</v>
      </c>
    </row>
    <row r="86" spans="2:4" x14ac:dyDescent="0.25">
      <c r="B86" s="5">
        <v>45544</v>
      </c>
      <c r="C86">
        <v>504.79</v>
      </c>
      <c r="D86">
        <v>175.4</v>
      </c>
    </row>
    <row r="87" spans="2:4" x14ac:dyDescent="0.25">
      <c r="B87" s="5">
        <v>45541</v>
      </c>
      <c r="C87">
        <v>500.27</v>
      </c>
      <c r="D87">
        <v>171.39</v>
      </c>
    </row>
    <row r="88" spans="2:4" x14ac:dyDescent="0.25">
      <c r="B88" s="5">
        <v>45540</v>
      </c>
      <c r="C88">
        <v>516.86</v>
      </c>
      <c r="D88">
        <v>177.89</v>
      </c>
    </row>
    <row r="89" spans="2:4" x14ac:dyDescent="0.25">
      <c r="B89" s="5">
        <v>45539</v>
      </c>
      <c r="C89">
        <v>512.74</v>
      </c>
      <c r="D89">
        <v>173.33</v>
      </c>
    </row>
    <row r="90" spans="2:4" x14ac:dyDescent="0.25">
      <c r="B90" s="5">
        <v>45538</v>
      </c>
      <c r="C90">
        <v>511.76</v>
      </c>
      <c r="D90">
        <v>176.25</v>
      </c>
    </row>
    <row r="91" spans="2:4" x14ac:dyDescent="0.25">
      <c r="B91" s="5">
        <v>45534</v>
      </c>
      <c r="C91">
        <v>521.30999999999995</v>
      </c>
      <c r="D91">
        <v>178.5</v>
      </c>
    </row>
    <row r="92" spans="2:4" x14ac:dyDescent="0.25">
      <c r="B92" s="5">
        <v>45533</v>
      </c>
      <c r="C92">
        <v>518.22</v>
      </c>
      <c r="D92">
        <v>172.12</v>
      </c>
    </row>
    <row r="93" spans="2:4" x14ac:dyDescent="0.25">
      <c r="B93" s="5">
        <v>45532</v>
      </c>
      <c r="C93">
        <v>516.78</v>
      </c>
      <c r="D93">
        <v>170.8</v>
      </c>
    </row>
    <row r="94" spans="2:4" x14ac:dyDescent="0.25">
      <c r="B94" s="5">
        <v>45531</v>
      </c>
      <c r="C94">
        <v>519.1</v>
      </c>
      <c r="D94">
        <v>173.12</v>
      </c>
    </row>
    <row r="95" spans="2:4" x14ac:dyDescent="0.25">
      <c r="B95" s="5">
        <v>45530</v>
      </c>
      <c r="C95">
        <v>521.12</v>
      </c>
      <c r="D95">
        <v>175.5</v>
      </c>
    </row>
    <row r="96" spans="2:4" x14ac:dyDescent="0.25">
      <c r="B96" s="5">
        <v>45527</v>
      </c>
      <c r="C96">
        <v>528</v>
      </c>
      <c r="D96">
        <v>177.04</v>
      </c>
    </row>
    <row r="97" spans="2:4" x14ac:dyDescent="0.25">
      <c r="B97" s="5">
        <v>45526</v>
      </c>
      <c r="C97">
        <v>531.92999999999995</v>
      </c>
      <c r="D97">
        <v>176.13</v>
      </c>
    </row>
    <row r="98" spans="2:4" x14ac:dyDescent="0.25">
      <c r="B98" s="5">
        <v>45525</v>
      </c>
      <c r="C98">
        <v>535.16</v>
      </c>
      <c r="D98">
        <v>180.11</v>
      </c>
    </row>
    <row r="99" spans="2:4" x14ac:dyDescent="0.25">
      <c r="B99" s="5">
        <v>45524</v>
      </c>
      <c r="C99">
        <v>526.73</v>
      </c>
      <c r="D99">
        <v>178.88</v>
      </c>
    </row>
    <row r="100" spans="2:4" x14ac:dyDescent="0.25">
      <c r="B100" s="5">
        <v>45523</v>
      </c>
      <c r="C100">
        <v>529.28</v>
      </c>
      <c r="D100">
        <v>178.22</v>
      </c>
    </row>
    <row r="101" spans="2:4" x14ac:dyDescent="0.25">
      <c r="B101" s="5">
        <v>45520</v>
      </c>
      <c r="C101">
        <v>527.41999999999996</v>
      </c>
      <c r="D101">
        <v>177.06</v>
      </c>
    </row>
    <row r="102" spans="2:4" x14ac:dyDescent="0.25">
      <c r="B102" s="5">
        <v>45519</v>
      </c>
      <c r="C102">
        <v>537.33000000000004</v>
      </c>
      <c r="D102">
        <v>177.59</v>
      </c>
    </row>
    <row r="103" spans="2:4" x14ac:dyDescent="0.25">
      <c r="B103" s="5">
        <v>45518</v>
      </c>
      <c r="C103">
        <v>526.76</v>
      </c>
      <c r="D103">
        <v>170.1</v>
      </c>
    </row>
    <row r="104" spans="2:4" x14ac:dyDescent="0.25">
      <c r="B104" s="5">
        <v>45517</v>
      </c>
      <c r="C104">
        <v>528.54</v>
      </c>
      <c r="D104">
        <v>170.23</v>
      </c>
    </row>
    <row r="105" spans="2:4" x14ac:dyDescent="0.25">
      <c r="B105" s="5">
        <v>45516</v>
      </c>
      <c r="C105">
        <v>515.95000000000005</v>
      </c>
      <c r="D105">
        <v>166.8</v>
      </c>
    </row>
    <row r="106" spans="2:4" x14ac:dyDescent="0.25">
      <c r="B106" s="5">
        <v>45513</v>
      </c>
      <c r="C106">
        <v>517.77</v>
      </c>
      <c r="D106">
        <v>166.94</v>
      </c>
    </row>
    <row r="107" spans="2:4" x14ac:dyDescent="0.25">
      <c r="B107" s="5">
        <v>45512</v>
      </c>
      <c r="C107">
        <v>509.63</v>
      </c>
      <c r="D107">
        <v>165.8</v>
      </c>
    </row>
    <row r="108" spans="2:4" x14ac:dyDescent="0.25">
      <c r="B108" s="5">
        <v>45511</v>
      </c>
      <c r="C108">
        <v>488.92</v>
      </c>
      <c r="D108">
        <v>162.77000000000001</v>
      </c>
    </row>
    <row r="109" spans="2:4" x14ac:dyDescent="0.25">
      <c r="B109" s="5">
        <v>45510</v>
      </c>
      <c r="C109">
        <v>494.09</v>
      </c>
      <c r="D109">
        <v>161.93</v>
      </c>
    </row>
    <row r="110" spans="2:4" x14ac:dyDescent="0.25">
      <c r="B110" s="5">
        <v>45509</v>
      </c>
      <c r="C110">
        <v>475.73</v>
      </c>
      <c r="D110">
        <v>161.02000000000001</v>
      </c>
    </row>
    <row r="111" spans="2:4" x14ac:dyDescent="0.25">
      <c r="B111" s="5">
        <v>45506</v>
      </c>
      <c r="C111">
        <v>488.14</v>
      </c>
      <c r="D111">
        <v>167.9</v>
      </c>
    </row>
    <row r="112" spans="2:4" x14ac:dyDescent="0.25">
      <c r="B112" s="5">
        <v>45505</v>
      </c>
      <c r="C112">
        <v>497.74</v>
      </c>
      <c r="D112">
        <v>184.07</v>
      </c>
    </row>
    <row r="113" spans="2:4" x14ac:dyDescent="0.25">
      <c r="B113" s="5">
        <v>45504</v>
      </c>
      <c r="C113">
        <v>474.83</v>
      </c>
      <c r="D113">
        <v>186.98</v>
      </c>
    </row>
    <row r="114" spans="2:4" x14ac:dyDescent="0.25">
      <c r="B114" s="5">
        <v>45503</v>
      </c>
      <c r="C114">
        <v>463.19</v>
      </c>
      <c r="D114">
        <v>181.71</v>
      </c>
    </row>
    <row r="115" spans="2:4" x14ac:dyDescent="0.25">
      <c r="B115" s="5">
        <v>45502</v>
      </c>
      <c r="C115">
        <v>465.71</v>
      </c>
      <c r="D115">
        <v>183.2</v>
      </c>
    </row>
    <row r="116" spans="2:4" x14ac:dyDescent="0.25">
      <c r="B116" s="5">
        <v>45499</v>
      </c>
      <c r="C116">
        <v>465.7</v>
      </c>
      <c r="D116">
        <v>182.5</v>
      </c>
    </row>
    <row r="117" spans="2:4" x14ac:dyDescent="0.25">
      <c r="B117" s="5">
        <v>45498</v>
      </c>
      <c r="C117">
        <v>453.41</v>
      </c>
      <c r="D117">
        <v>179.85</v>
      </c>
    </row>
    <row r="118" spans="2:4" x14ac:dyDescent="0.25">
      <c r="B118" s="5">
        <v>45497</v>
      </c>
      <c r="C118">
        <v>461.27</v>
      </c>
      <c r="D118">
        <v>180.83</v>
      </c>
    </row>
    <row r="119" spans="2:4" x14ac:dyDescent="0.25">
      <c r="B119" s="5">
        <v>45496</v>
      </c>
      <c r="C119">
        <v>488.69</v>
      </c>
      <c r="D119">
        <v>186.41</v>
      </c>
    </row>
    <row r="120" spans="2:4" x14ac:dyDescent="0.25">
      <c r="B120" s="5">
        <v>45495</v>
      </c>
      <c r="C120">
        <v>487.4</v>
      </c>
      <c r="D120">
        <v>182.55</v>
      </c>
    </row>
    <row r="121" spans="2:4" x14ac:dyDescent="0.25">
      <c r="B121" s="5">
        <v>45492</v>
      </c>
      <c r="C121">
        <v>476.79</v>
      </c>
      <c r="D121">
        <v>183.13</v>
      </c>
    </row>
    <row r="122" spans="2:4" x14ac:dyDescent="0.25">
      <c r="B122" s="5">
        <v>45491</v>
      </c>
      <c r="C122">
        <v>475.85</v>
      </c>
      <c r="D122">
        <v>183.75</v>
      </c>
    </row>
    <row r="123" spans="2:4" x14ac:dyDescent="0.25">
      <c r="B123" s="5">
        <v>45490</v>
      </c>
      <c r="C123">
        <v>461.99</v>
      </c>
      <c r="D123">
        <v>187.93</v>
      </c>
    </row>
    <row r="124" spans="2:4" x14ac:dyDescent="0.25">
      <c r="B124" s="5">
        <v>45489</v>
      </c>
      <c r="C124">
        <v>489.79</v>
      </c>
      <c r="D124">
        <v>193.02</v>
      </c>
    </row>
    <row r="125" spans="2:4" x14ac:dyDescent="0.25">
      <c r="B125" s="5">
        <v>45488</v>
      </c>
      <c r="C125">
        <v>496.16</v>
      </c>
      <c r="D125">
        <v>192.72</v>
      </c>
    </row>
    <row r="126" spans="2:4" x14ac:dyDescent="0.25">
      <c r="B126" s="5">
        <v>45485</v>
      </c>
      <c r="C126">
        <v>498.87</v>
      </c>
      <c r="D126">
        <v>194.49</v>
      </c>
    </row>
    <row r="127" spans="2:4" x14ac:dyDescent="0.25">
      <c r="B127" s="5">
        <v>45484</v>
      </c>
      <c r="C127">
        <v>512.70000000000005</v>
      </c>
      <c r="D127">
        <v>195.05</v>
      </c>
    </row>
    <row r="128" spans="2:4" x14ac:dyDescent="0.25">
      <c r="B128" s="5">
        <v>45483</v>
      </c>
      <c r="C128">
        <v>534.69000000000005</v>
      </c>
      <c r="D128">
        <v>199.79</v>
      </c>
    </row>
    <row r="129" spans="2:4" x14ac:dyDescent="0.25">
      <c r="B129" s="5">
        <v>45482</v>
      </c>
      <c r="C129">
        <v>530</v>
      </c>
      <c r="D129">
        <v>199.34</v>
      </c>
    </row>
    <row r="130" spans="2:4" x14ac:dyDescent="0.25">
      <c r="B130" s="5">
        <v>45481</v>
      </c>
      <c r="C130">
        <v>529.32000000000005</v>
      </c>
      <c r="D130">
        <v>199.29</v>
      </c>
    </row>
    <row r="131" spans="2:4" x14ac:dyDescent="0.25">
      <c r="B131" s="5">
        <v>45478</v>
      </c>
      <c r="C131">
        <v>539.91</v>
      </c>
      <c r="D131">
        <v>200</v>
      </c>
    </row>
    <row r="132" spans="2:4" x14ac:dyDescent="0.25">
      <c r="B132" s="5">
        <v>45476</v>
      </c>
      <c r="C132">
        <v>509.96</v>
      </c>
      <c r="D132">
        <v>197.59</v>
      </c>
    </row>
    <row r="133" spans="2:4" x14ac:dyDescent="0.25">
      <c r="B133" s="5">
        <v>45475</v>
      </c>
      <c r="C133">
        <v>509.5</v>
      </c>
      <c r="D133">
        <v>200</v>
      </c>
    </row>
    <row r="134" spans="2:4" x14ac:dyDescent="0.25">
      <c r="B134" s="5">
        <v>45474</v>
      </c>
      <c r="C134">
        <v>504.68</v>
      </c>
      <c r="D134">
        <v>197.2</v>
      </c>
    </row>
    <row r="135" spans="2:4" x14ac:dyDescent="0.25">
      <c r="B135" s="5">
        <v>45471</v>
      </c>
      <c r="C135">
        <v>504.22</v>
      </c>
      <c r="D135">
        <v>193.25</v>
      </c>
    </row>
    <row r="136" spans="2:4" x14ac:dyDescent="0.25">
      <c r="B136" s="5">
        <v>45470</v>
      </c>
      <c r="C136">
        <v>519.55999999999995</v>
      </c>
      <c r="D136">
        <v>197.85</v>
      </c>
    </row>
    <row r="137" spans="2:4" x14ac:dyDescent="0.25">
      <c r="B137" s="5">
        <v>45469</v>
      </c>
      <c r="C137">
        <v>513.12</v>
      </c>
      <c r="D137">
        <v>193.61</v>
      </c>
    </row>
    <row r="138" spans="2:4" x14ac:dyDescent="0.25">
      <c r="B138" s="5">
        <v>45468</v>
      </c>
      <c r="C138">
        <v>510.6</v>
      </c>
      <c r="D138">
        <v>186.34</v>
      </c>
    </row>
    <row r="139" spans="2:4" x14ac:dyDescent="0.25">
      <c r="B139" s="5">
        <v>45467</v>
      </c>
      <c r="C139">
        <v>498.91</v>
      </c>
      <c r="D139">
        <v>185.57</v>
      </c>
    </row>
    <row r="140" spans="2:4" x14ac:dyDescent="0.25">
      <c r="B140" s="5">
        <v>45464</v>
      </c>
      <c r="C140">
        <v>494.78</v>
      </c>
      <c r="D140">
        <v>189.08</v>
      </c>
    </row>
    <row r="141" spans="2:4" x14ac:dyDescent="0.25">
      <c r="B141" s="5">
        <v>45463</v>
      </c>
      <c r="C141">
        <v>501.7</v>
      </c>
      <c r="D141">
        <v>186.1</v>
      </c>
    </row>
    <row r="142" spans="2:4" x14ac:dyDescent="0.25">
      <c r="B142" s="5">
        <v>45461</v>
      </c>
      <c r="C142">
        <v>499.49</v>
      </c>
      <c r="D142">
        <v>182.81</v>
      </c>
    </row>
    <row r="143" spans="2:4" x14ac:dyDescent="0.25">
      <c r="B143" s="5">
        <v>45460</v>
      </c>
      <c r="C143">
        <v>506.63</v>
      </c>
      <c r="D143">
        <v>184.06</v>
      </c>
    </row>
    <row r="144" spans="2:4" x14ac:dyDescent="0.25">
      <c r="B144" s="5">
        <v>45457</v>
      </c>
      <c r="C144">
        <v>504.16</v>
      </c>
      <c r="D144">
        <v>183.66</v>
      </c>
    </row>
    <row r="145" spans="2:4" x14ac:dyDescent="0.25">
      <c r="B145" s="5">
        <v>45456</v>
      </c>
      <c r="C145">
        <v>504.1</v>
      </c>
      <c r="D145">
        <v>183.83</v>
      </c>
    </row>
    <row r="146" spans="2:4" x14ac:dyDescent="0.25">
      <c r="B146" s="5">
        <v>45455</v>
      </c>
      <c r="C146">
        <v>508.84</v>
      </c>
      <c r="D146">
        <v>186.89</v>
      </c>
    </row>
    <row r="147" spans="2:4" x14ac:dyDescent="0.25">
      <c r="B147" s="5">
        <v>45454</v>
      </c>
      <c r="C147">
        <v>507.47</v>
      </c>
      <c r="D147">
        <v>187.23</v>
      </c>
    </row>
    <row r="148" spans="2:4" x14ac:dyDescent="0.25">
      <c r="B148" s="5">
        <v>45453</v>
      </c>
      <c r="C148">
        <v>502.6</v>
      </c>
      <c r="D148">
        <v>187.06</v>
      </c>
    </row>
    <row r="149" spans="2:4" x14ac:dyDescent="0.25">
      <c r="B149" s="5">
        <v>45450</v>
      </c>
      <c r="C149">
        <v>492.96</v>
      </c>
      <c r="D149">
        <v>184.3</v>
      </c>
    </row>
    <row r="150" spans="2:4" x14ac:dyDescent="0.25">
      <c r="B150" s="5">
        <v>45449</v>
      </c>
      <c r="C150">
        <v>493.76</v>
      </c>
      <c r="D150">
        <v>185</v>
      </c>
    </row>
    <row r="151" spans="2:4" x14ac:dyDescent="0.25">
      <c r="B151" s="5">
        <v>45448</v>
      </c>
      <c r="C151">
        <v>495.06</v>
      </c>
      <c r="D151">
        <v>181.28</v>
      </c>
    </row>
    <row r="152" spans="2:4" x14ac:dyDescent="0.25">
      <c r="B152" s="5">
        <v>45447</v>
      </c>
      <c r="C152">
        <v>476.99</v>
      </c>
      <c r="D152">
        <v>179.34</v>
      </c>
    </row>
    <row r="153" spans="2:4" x14ac:dyDescent="0.25">
      <c r="B153" s="5">
        <v>45446</v>
      </c>
      <c r="C153">
        <v>477.49</v>
      </c>
      <c r="D153">
        <v>178.34</v>
      </c>
    </row>
    <row r="154" spans="2:4" x14ac:dyDescent="0.25">
      <c r="B154" s="5">
        <v>45443</v>
      </c>
      <c r="C154">
        <v>466.83</v>
      </c>
      <c r="D154">
        <v>176.44</v>
      </c>
    </row>
    <row r="155" spans="2:4" x14ac:dyDescent="0.25">
      <c r="B155" s="5">
        <v>45442</v>
      </c>
      <c r="C155">
        <v>467.05</v>
      </c>
      <c r="D155">
        <v>179.32</v>
      </c>
    </row>
    <row r="156" spans="2:4" x14ac:dyDescent="0.25">
      <c r="B156" s="5">
        <v>45441</v>
      </c>
      <c r="C156">
        <v>474.36</v>
      </c>
      <c r="D156">
        <v>182.02</v>
      </c>
    </row>
    <row r="157" spans="2:4" x14ac:dyDescent="0.25">
      <c r="B157" s="5">
        <v>45440</v>
      </c>
      <c r="C157">
        <v>479.92</v>
      </c>
      <c r="D157">
        <v>182.15</v>
      </c>
    </row>
    <row r="158" spans="2:4" x14ac:dyDescent="0.25">
      <c r="B158" s="5">
        <v>45436</v>
      </c>
      <c r="C158">
        <v>478.22</v>
      </c>
      <c r="D158">
        <v>180.75</v>
      </c>
    </row>
    <row r="159" spans="2:4" x14ac:dyDescent="0.25">
      <c r="B159" s="5">
        <v>45435</v>
      </c>
      <c r="C159">
        <v>465.78</v>
      </c>
      <c r="D159">
        <v>181.05</v>
      </c>
    </row>
    <row r="160" spans="2:4" x14ac:dyDescent="0.25">
      <c r="B160" s="5">
        <v>45434</v>
      </c>
      <c r="C160">
        <v>467.78</v>
      </c>
      <c r="D160">
        <v>183.13</v>
      </c>
    </row>
    <row r="161" spans="2:4" x14ac:dyDescent="0.25">
      <c r="B161" s="5">
        <v>45433</v>
      </c>
      <c r="C161">
        <v>464.63</v>
      </c>
      <c r="D161">
        <v>183.15</v>
      </c>
    </row>
    <row r="162" spans="2:4" x14ac:dyDescent="0.25">
      <c r="B162" s="5">
        <v>45432</v>
      </c>
      <c r="C162">
        <v>468.84</v>
      </c>
      <c r="D162">
        <v>183.54</v>
      </c>
    </row>
    <row r="163" spans="2:4" x14ac:dyDescent="0.25">
      <c r="B163" s="5">
        <v>45429</v>
      </c>
      <c r="C163">
        <v>471.91</v>
      </c>
      <c r="D163">
        <v>184.7</v>
      </c>
    </row>
    <row r="164" spans="2:4" x14ac:dyDescent="0.25">
      <c r="B164" s="5">
        <v>45428</v>
      </c>
      <c r="C164">
        <v>473.23</v>
      </c>
      <c r="D164">
        <v>183.63</v>
      </c>
    </row>
    <row r="165" spans="2:4" x14ac:dyDescent="0.25">
      <c r="B165" s="5">
        <v>45427</v>
      </c>
      <c r="C165">
        <v>481.54</v>
      </c>
      <c r="D165">
        <v>185.99</v>
      </c>
    </row>
    <row r="166" spans="2:4" x14ac:dyDescent="0.25">
      <c r="B166" s="5">
        <v>45426</v>
      </c>
      <c r="C166">
        <v>471.85</v>
      </c>
      <c r="D166">
        <v>187.07</v>
      </c>
    </row>
    <row r="167" spans="2:4" x14ac:dyDescent="0.25">
      <c r="B167" s="5">
        <v>45425</v>
      </c>
      <c r="C167">
        <v>468.01</v>
      </c>
      <c r="D167">
        <v>186.57</v>
      </c>
    </row>
    <row r="168" spans="2:4" x14ac:dyDescent="0.25">
      <c r="B168" s="5">
        <v>45422</v>
      </c>
      <c r="C168">
        <v>476.2</v>
      </c>
      <c r="D168">
        <v>187.48</v>
      </c>
    </row>
    <row r="169" spans="2:4" x14ac:dyDescent="0.25">
      <c r="B169" s="5">
        <v>45421</v>
      </c>
      <c r="C169">
        <v>475.42</v>
      </c>
      <c r="D169">
        <v>189.5</v>
      </c>
    </row>
    <row r="170" spans="2:4" x14ac:dyDescent="0.25">
      <c r="B170" s="5">
        <v>45420</v>
      </c>
      <c r="C170">
        <v>472.6</v>
      </c>
      <c r="D170">
        <v>188</v>
      </c>
    </row>
    <row r="171" spans="2:4" x14ac:dyDescent="0.25">
      <c r="B171" s="5">
        <v>45419</v>
      </c>
      <c r="C171">
        <v>468.24</v>
      </c>
      <c r="D171">
        <v>188.76</v>
      </c>
    </row>
    <row r="172" spans="2:4" x14ac:dyDescent="0.25">
      <c r="B172" s="5">
        <v>45418</v>
      </c>
      <c r="C172">
        <v>465.68</v>
      </c>
      <c r="D172">
        <v>188.7</v>
      </c>
    </row>
    <row r="173" spans="2:4" x14ac:dyDescent="0.25">
      <c r="B173" s="5">
        <v>45415</v>
      </c>
      <c r="C173">
        <v>451.96</v>
      </c>
      <c r="D173">
        <v>186.21</v>
      </c>
    </row>
    <row r="174" spans="2:4" x14ac:dyDescent="0.25">
      <c r="B174" s="5">
        <v>45414</v>
      </c>
      <c r="C174">
        <v>441.68</v>
      </c>
      <c r="D174">
        <v>184.72</v>
      </c>
    </row>
    <row r="175" spans="2:4" x14ac:dyDescent="0.25">
      <c r="B175" s="5">
        <v>45413</v>
      </c>
      <c r="C175">
        <v>439.19</v>
      </c>
      <c r="D175">
        <v>179</v>
      </c>
    </row>
    <row r="176" spans="2:4" x14ac:dyDescent="0.25">
      <c r="B176" s="5">
        <v>45412</v>
      </c>
      <c r="C176">
        <v>430.17</v>
      </c>
      <c r="D176">
        <v>175</v>
      </c>
    </row>
    <row r="177" spans="2:4" x14ac:dyDescent="0.25">
      <c r="B177" s="5">
        <v>45411</v>
      </c>
      <c r="C177">
        <v>432.62</v>
      </c>
      <c r="D177">
        <v>180.96</v>
      </c>
    </row>
    <row r="178" spans="2:4" x14ac:dyDescent="0.25">
      <c r="B178" s="5">
        <v>45408</v>
      </c>
      <c r="C178">
        <v>443.29</v>
      </c>
      <c r="D178">
        <v>179.62</v>
      </c>
    </row>
    <row r="179" spans="2:4" x14ac:dyDescent="0.25">
      <c r="B179" s="5">
        <v>45407</v>
      </c>
      <c r="C179">
        <v>441.38</v>
      </c>
      <c r="D179">
        <v>173.67</v>
      </c>
    </row>
    <row r="180" spans="2:4" x14ac:dyDescent="0.25">
      <c r="B180" s="5">
        <v>45406</v>
      </c>
      <c r="C180">
        <v>493.5</v>
      </c>
      <c r="D180">
        <v>176.59</v>
      </c>
    </row>
    <row r="181" spans="2:4" x14ac:dyDescent="0.25">
      <c r="B181" s="5">
        <v>45405</v>
      </c>
      <c r="C181">
        <v>496.1</v>
      </c>
      <c r="D181">
        <v>179.54</v>
      </c>
    </row>
    <row r="182" spans="2:4" x14ac:dyDescent="0.25">
      <c r="B182" s="5">
        <v>45404</v>
      </c>
      <c r="C182">
        <v>481.73</v>
      </c>
      <c r="D182">
        <v>177.23</v>
      </c>
    </row>
    <row r="183" spans="2:4" x14ac:dyDescent="0.25">
      <c r="B183" s="5">
        <v>45401</v>
      </c>
      <c r="C183">
        <v>481.07</v>
      </c>
      <c r="D183">
        <v>174.63</v>
      </c>
    </row>
    <row r="184" spans="2:4" x14ac:dyDescent="0.25">
      <c r="B184" s="5">
        <v>45400</v>
      </c>
      <c r="C184">
        <v>501.8</v>
      </c>
      <c r="D184">
        <v>179.22</v>
      </c>
    </row>
    <row r="185" spans="2:4" x14ac:dyDescent="0.25">
      <c r="B185" s="5">
        <v>45399</v>
      </c>
      <c r="C185">
        <v>494.17</v>
      </c>
      <c r="D185">
        <v>181.28</v>
      </c>
    </row>
    <row r="186" spans="2:4" x14ac:dyDescent="0.25">
      <c r="B186" s="5">
        <v>45398</v>
      </c>
      <c r="C186">
        <v>499.76</v>
      </c>
      <c r="D186">
        <v>183.32</v>
      </c>
    </row>
    <row r="187" spans="2:4" x14ac:dyDescent="0.25">
      <c r="B187" s="5">
        <v>45397</v>
      </c>
      <c r="C187">
        <v>500.23</v>
      </c>
      <c r="D187">
        <v>183.62</v>
      </c>
    </row>
    <row r="188" spans="2:4" x14ac:dyDescent="0.25">
      <c r="B188" s="5">
        <v>45394</v>
      </c>
      <c r="C188">
        <v>511.9</v>
      </c>
      <c r="D188">
        <v>186.13</v>
      </c>
    </row>
    <row r="189" spans="2:4" x14ac:dyDescent="0.25">
      <c r="B189" s="5">
        <v>45393</v>
      </c>
      <c r="C189">
        <v>523.16</v>
      </c>
      <c r="D189">
        <v>189.05</v>
      </c>
    </row>
    <row r="190" spans="2:4" x14ac:dyDescent="0.25">
      <c r="B190" s="5">
        <v>45392</v>
      </c>
      <c r="C190">
        <v>519.83000000000004</v>
      </c>
      <c r="D190">
        <v>185.95</v>
      </c>
    </row>
    <row r="191" spans="2:4" x14ac:dyDescent="0.25">
      <c r="B191" s="5">
        <v>45391</v>
      </c>
      <c r="C191">
        <v>516.9</v>
      </c>
      <c r="D191">
        <v>185.67</v>
      </c>
    </row>
    <row r="192" spans="2:4" x14ac:dyDescent="0.25">
      <c r="B192" s="5">
        <v>45390</v>
      </c>
      <c r="C192">
        <v>519.25</v>
      </c>
      <c r="D192">
        <v>185.19</v>
      </c>
    </row>
    <row r="193" spans="2:4" x14ac:dyDescent="0.25">
      <c r="B193" s="5">
        <v>45387</v>
      </c>
      <c r="C193">
        <v>527.34</v>
      </c>
      <c r="D193">
        <v>185.07</v>
      </c>
    </row>
    <row r="194" spans="2:4" x14ac:dyDescent="0.25">
      <c r="B194" s="5">
        <v>45386</v>
      </c>
      <c r="C194">
        <v>510.92</v>
      </c>
      <c r="D194">
        <v>180</v>
      </c>
    </row>
    <row r="195" spans="2:4" x14ac:dyDescent="0.25">
      <c r="B195" s="5">
        <v>45385</v>
      </c>
      <c r="C195">
        <v>506.74</v>
      </c>
      <c r="D195">
        <v>182.41</v>
      </c>
    </row>
    <row r="196" spans="2:4" x14ac:dyDescent="0.25">
      <c r="B196" s="5">
        <v>45384</v>
      </c>
      <c r="C196">
        <v>497.37</v>
      </c>
      <c r="D196">
        <v>180.69</v>
      </c>
    </row>
    <row r="197" spans="2:4" x14ac:dyDescent="0.25">
      <c r="B197" s="5">
        <v>45383</v>
      </c>
      <c r="C197">
        <v>491.35</v>
      </c>
      <c r="D197">
        <v>180.97</v>
      </c>
    </row>
    <row r="198" spans="2:4" x14ac:dyDescent="0.25">
      <c r="B198" s="5">
        <v>45379</v>
      </c>
      <c r="C198">
        <v>485.58</v>
      </c>
      <c r="D198">
        <v>180.38</v>
      </c>
    </row>
    <row r="199" spans="2:4" x14ac:dyDescent="0.25">
      <c r="B199" s="5">
        <v>45378</v>
      </c>
      <c r="C199">
        <v>493.86</v>
      </c>
      <c r="D199">
        <v>179.83</v>
      </c>
    </row>
    <row r="200" spans="2:4" x14ac:dyDescent="0.25">
      <c r="B200" s="5">
        <v>45377</v>
      </c>
      <c r="C200">
        <v>495.89</v>
      </c>
      <c r="D200">
        <v>178.3</v>
      </c>
    </row>
    <row r="201" spans="2:4" x14ac:dyDescent="0.25">
      <c r="B201" s="5">
        <v>45376</v>
      </c>
      <c r="C201">
        <v>503.02</v>
      </c>
      <c r="D201">
        <v>179.71</v>
      </c>
    </row>
    <row r="202" spans="2:4" x14ac:dyDescent="0.25">
      <c r="B202" s="5">
        <v>45373</v>
      </c>
      <c r="C202">
        <v>509.58</v>
      </c>
      <c r="D202">
        <v>178.87</v>
      </c>
    </row>
    <row r="203" spans="2:4" x14ac:dyDescent="0.25">
      <c r="B203" s="5">
        <v>45372</v>
      </c>
      <c r="C203">
        <v>507.76</v>
      </c>
      <c r="D203">
        <v>178.15</v>
      </c>
    </row>
    <row r="204" spans="2:4" x14ac:dyDescent="0.25">
      <c r="B204" s="5">
        <v>45371</v>
      </c>
      <c r="C204">
        <v>505.52</v>
      </c>
      <c r="D204">
        <v>178.15</v>
      </c>
    </row>
    <row r="205" spans="2:4" x14ac:dyDescent="0.25">
      <c r="B205" s="5">
        <v>45370</v>
      </c>
      <c r="C205">
        <v>496.24</v>
      </c>
      <c r="D205">
        <v>175.9</v>
      </c>
    </row>
    <row r="206" spans="2:4" x14ac:dyDescent="0.25">
      <c r="B206" s="5">
        <v>45369</v>
      </c>
      <c r="C206">
        <v>496.98</v>
      </c>
      <c r="D206">
        <v>174.48</v>
      </c>
    </row>
    <row r="207" spans="2:4" x14ac:dyDescent="0.25">
      <c r="B207" s="5">
        <v>45366</v>
      </c>
      <c r="C207">
        <v>484.1</v>
      </c>
      <c r="D207">
        <v>174.42</v>
      </c>
    </row>
    <row r="208" spans="2:4" x14ac:dyDescent="0.25">
      <c r="B208" s="5">
        <v>45365</v>
      </c>
      <c r="C208">
        <v>491.83</v>
      </c>
      <c r="D208">
        <v>178.75</v>
      </c>
    </row>
    <row r="209" spans="2:4" x14ac:dyDescent="0.25">
      <c r="B209" s="5">
        <v>45364</v>
      </c>
      <c r="C209">
        <v>495.57</v>
      </c>
      <c r="D209">
        <v>176.55500000000001</v>
      </c>
    </row>
    <row r="210" spans="2:4" x14ac:dyDescent="0.25">
      <c r="B210" s="5">
        <v>45363</v>
      </c>
      <c r="C210">
        <v>499.75</v>
      </c>
      <c r="D210">
        <v>175.39</v>
      </c>
    </row>
    <row r="211" spans="2:4" x14ac:dyDescent="0.25">
      <c r="B211" s="5">
        <v>45362</v>
      </c>
      <c r="C211">
        <v>483.59</v>
      </c>
      <c r="D211">
        <v>171.96</v>
      </c>
    </row>
    <row r="212" spans="2:4" x14ac:dyDescent="0.25">
      <c r="B212" s="5">
        <v>45359</v>
      </c>
      <c r="C212">
        <v>505.95</v>
      </c>
      <c r="D212">
        <v>175.35</v>
      </c>
    </row>
    <row r="213" spans="2:4" x14ac:dyDescent="0.25">
      <c r="B213" s="5">
        <v>45358</v>
      </c>
      <c r="C213">
        <v>512.19000000000005</v>
      </c>
      <c r="D213">
        <v>176.82</v>
      </c>
    </row>
    <row r="214" spans="2:4" x14ac:dyDescent="0.25">
      <c r="B214" s="5">
        <v>45357</v>
      </c>
      <c r="C214">
        <v>496.09</v>
      </c>
      <c r="D214">
        <v>173.51</v>
      </c>
    </row>
    <row r="215" spans="2:4" x14ac:dyDescent="0.25">
      <c r="B215" s="5">
        <v>45356</v>
      </c>
      <c r="C215">
        <v>490.22</v>
      </c>
      <c r="D215">
        <v>174.12</v>
      </c>
    </row>
    <row r="216" spans="2:4" x14ac:dyDescent="0.25">
      <c r="B216" s="5">
        <v>45355</v>
      </c>
      <c r="C216">
        <v>498.19</v>
      </c>
      <c r="D216">
        <v>177.58</v>
      </c>
    </row>
    <row r="217" spans="2:4" x14ac:dyDescent="0.25">
      <c r="B217" s="5">
        <v>45352</v>
      </c>
      <c r="C217">
        <v>502.3</v>
      </c>
      <c r="D217">
        <v>178.22</v>
      </c>
    </row>
    <row r="218" spans="2:4" x14ac:dyDescent="0.25">
      <c r="B218" s="5">
        <v>45351</v>
      </c>
      <c r="C218">
        <v>490.13</v>
      </c>
      <c r="D218">
        <v>176.76</v>
      </c>
    </row>
    <row r="219" spans="2:4" x14ac:dyDescent="0.25">
      <c r="B219" s="5">
        <v>45350</v>
      </c>
      <c r="C219">
        <v>484.02</v>
      </c>
      <c r="D219">
        <v>173.16</v>
      </c>
    </row>
    <row r="220" spans="2:4" x14ac:dyDescent="0.25">
      <c r="B220" s="5">
        <v>45349</v>
      </c>
      <c r="C220">
        <v>487.05</v>
      </c>
      <c r="D220">
        <v>173.54</v>
      </c>
    </row>
    <row r="221" spans="2:4" x14ac:dyDescent="0.25">
      <c r="B221" s="5">
        <v>45348</v>
      </c>
      <c r="C221">
        <v>481.74</v>
      </c>
      <c r="D221">
        <v>174.73</v>
      </c>
    </row>
    <row r="222" spans="2:4" x14ac:dyDescent="0.25">
      <c r="B222" s="5">
        <v>45345</v>
      </c>
      <c r="C222">
        <v>484.03</v>
      </c>
      <c r="D222">
        <v>174.99</v>
      </c>
    </row>
    <row r="223" spans="2:4" x14ac:dyDescent="0.25">
      <c r="B223" s="5">
        <v>45344</v>
      </c>
      <c r="C223">
        <v>486.13</v>
      </c>
      <c r="D223">
        <v>174.58</v>
      </c>
    </row>
    <row r="224" spans="2:4" x14ac:dyDescent="0.25">
      <c r="B224" s="5">
        <v>45343</v>
      </c>
      <c r="C224">
        <v>468.03</v>
      </c>
      <c r="D224">
        <v>168.59</v>
      </c>
    </row>
    <row r="225" spans="2:4" x14ac:dyDescent="0.25">
      <c r="B225" s="5">
        <v>45342</v>
      </c>
      <c r="C225">
        <v>471.75</v>
      </c>
      <c r="D225">
        <v>167.08</v>
      </c>
    </row>
    <row r="226" spans="2:4" x14ac:dyDescent="0.25">
      <c r="B226" s="5">
        <v>45338</v>
      </c>
      <c r="C226">
        <v>473.32</v>
      </c>
      <c r="D226">
        <v>169.51</v>
      </c>
    </row>
    <row r="227" spans="2:4" x14ac:dyDescent="0.25">
      <c r="B227" s="5">
        <v>45337</v>
      </c>
      <c r="C227">
        <v>484.03</v>
      </c>
      <c r="D227">
        <v>169.8</v>
      </c>
    </row>
    <row r="228" spans="2:4" x14ac:dyDescent="0.25">
      <c r="B228" s="5">
        <v>45336</v>
      </c>
      <c r="C228">
        <v>473.28</v>
      </c>
      <c r="D228">
        <v>170.98</v>
      </c>
    </row>
    <row r="229" spans="2:4" x14ac:dyDescent="0.25">
      <c r="B229" s="5">
        <v>45335</v>
      </c>
      <c r="C229">
        <v>460.12</v>
      </c>
      <c r="D229">
        <v>168.64</v>
      </c>
    </row>
    <row r="230" spans="2:4" x14ac:dyDescent="0.25">
      <c r="B230" s="5">
        <v>45334</v>
      </c>
      <c r="C230">
        <v>468.9</v>
      </c>
      <c r="D230">
        <v>172.34</v>
      </c>
    </row>
    <row r="231" spans="2:4" x14ac:dyDescent="0.25">
      <c r="B231" s="5">
        <v>45331</v>
      </c>
      <c r="C231">
        <v>468.11</v>
      </c>
      <c r="D231">
        <v>174.45</v>
      </c>
    </row>
    <row r="232" spans="2:4" x14ac:dyDescent="0.25">
      <c r="B232" s="5">
        <v>45330</v>
      </c>
      <c r="C232">
        <v>470</v>
      </c>
      <c r="D232">
        <v>169.84</v>
      </c>
    </row>
    <row r="233" spans="2:4" x14ac:dyDescent="0.25">
      <c r="B233" s="5">
        <v>45329</v>
      </c>
      <c r="C233">
        <v>469.59</v>
      </c>
      <c r="D233">
        <v>170.53</v>
      </c>
    </row>
    <row r="234" spans="2:4" x14ac:dyDescent="0.25">
      <c r="B234" s="5">
        <v>45328</v>
      </c>
      <c r="C234">
        <v>454.72</v>
      </c>
      <c r="D234">
        <v>169.15</v>
      </c>
    </row>
    <row r="235" spans="2:4" x14ac:dyDescent="0.25">
      <c r="B235" s="5">
        <v>45327</v>
      </c>
      <c r="C235">
        <v>459.41</v>
      </c>
      <c r="D235">
        <v>170.31</v>
      </c>
    </row>
    <row r="236" spans="2:4" x14ac:dyDescent="0.25">
      <c r="B236" s="5">
        <v>45324</v>
      </c>
      <c r="C236">
        <v>474.99</v>
      </c>
      <c r="D236">
        <v>171.81</v>
      </c>
    </row>
    <row r="237" spans="2:4" x14ac:dyDescent="0.25">
      <c r="B237" s="5">
        <v>45323</v>
      </c>
      <c r="C237">
        <v>394.78</v>
      </c>
      <c r="D237">
        <v>159.28</v>
      </c>
    </row>
    <row r="238" spans="2:4" x14ac:dyDescent="0.25">
      <c r="B238" s="5">
        <v>45322</v>
      </c>
      <c r="C238">
        <v>390.14</v>
      </c>
      <c r="D238">
        <v>155.19999999999999</v>
      </c>
    </row>
    <row r="239" spans="2:4" x14ac:dyDescent="0.25">
      <c r="B239" s="5">
        <v>45321</v>
      </c>
      <c r="C239">
        <v>400.06</v>
      </c>
      <c r="D239">
        <v>159</v>
      </c>
    </row>
    <row r="240" spans="2:4" x14ac:dyDescent="0.25">
      <c r="B240" s="5">
        <v>45320</v>
      </c>
      <c r="C240">
        <v>401.02</v>
      </c>
      <c r="D240">
        <v>161.26</v>
      </c>
    </row>
    <row r="241" spans="2:4" x14ac:dyDescent="0.25">
      <c r="B241" s="5">
        <v>45317</v>
      </c>
      <c r="C241">
        <v>394.14</v>
      </c>
      <c r="D241">
        <v>159.12</v>
      </c>
    </row>
    <row r="242" spans="2:4" x14ac:dyDescent="0.25">
      <c r="B242" s="5">
        <v>45316</v>
      </c>
      <c r="C242">
        <v>393.18</v>
      </c>
      <c r="D242">
        <v>157.75</v>
      </c>
    </row>
    <row r="243" spans="2:4" x14ac:dyDescent="0.25">
      <c r="B243" s="5">
        <v>45315</v>
      </c>
      <c r="C243">
        <v>390.7</v>
      </c>
      <c r="D243">
        <v>156.87</v>
      </c>
    </row>
    <row r="244" spans="2:4" x14ac:dyDescent="0.25">
      <c r="B244" s="5">
        <v>45314</v>
      </c>
      <c r="C244">
        <v>385.2</v>
      </c>
      <c r="D244">
        <v>156.02000000000001</v>
      </c>
    </row>
    <row r="245" spans="2:4" x14ac:dyDescent="0.25">
      <c r="B245" s="5">
        <v>45313</v>
      </c>
      <c r="C245">
        <v>381.78</v>
      </c>
      <c r="D245">
        <v>154.78</v>
      </c>
    </row>
    <row r="246" spans="2:4" x14ac:dyDescent="0.25">
      <c r="B246" s="5">
        <v>45310</v>
      </c>
      <c r="C246">
        <v>383.45</v>
      </c>
      <c r="D246">
        <v>155.34</v>
      </c>
    </row>
    <row r="247" spans="2:4" x14ac:dyDescent="0.25">
      <c r="B247" s="5">
        <v>45309</v>
      </c>
      <c r="C247">
        <v>376.13</v>
      </c>
      <c r="D247">
        <v>153.5</v>
      </c>
    </row>
    <row r="248" spans="2:4" x14ac:dyDescent="0.25">
      <c r="B248" s="5">
        <v>45308</v>
      </c>
      <c r="C248">
        <v>368.37</v>
      </c>
      <c r="D248">
        <v>151.71</v>
      </c>
    </row>
    <row r="249" spans="2:4" x14ac:dyDescent="0.25">
      <c r="B249" s="5">
        <v>45307</v>
      </c>
      <c r="C249">
        <v>367.46</v>
      </c>
      <c r="D249">
        <v>153.16</v>
      </c>
    </row>
    <row r="250" spans="2:4" x14ac:dyDescent="0.25">
      <c r="B250" s="5">
        <v>45303</v>
      </c>
      <c r="C250">
        <v>374.49</v>
      </c>
      <c r="D250">
        <v>154.62</v>
      </c>
    </row>
    <row r="251" spans="2:4" x14ac:dyDescent="0.25">
      <c r="B251" s="5">
        <v>45302</v>
      </c>
      <c r="C251">
        <v>369.67</v>
      </c>
      <c r="D251">
        <v>155.18</v>
      </c>
    </row>
    <row r="252" spans="2:4" x14ac:dyDescent="0.25">
      <c r="B252" s="5">
        <v>45301</v>
      </c>
      <c r="C252">
        <v>370.47</v>
      </c>
      <c r="D252">
        <v>153.72999999999999</v>
      </c>
    </row>
    <row r="253" spans="2:4" x14ac:dyDescent="0.25">
      <c r="B253" s="5">
        <v>45300</v>
      </c>
      <c r="C253">
        <v>357.43</v>
      </c>
      <c r="D253">
        <v>151.37</v>
      </c>
    </row>
    <row r="254" spans="2:4" x14ac:dyDescent="0.25">
      <c r="B254" s="5">
        <v>45299</v>
      </c>
      <c r="C254">
        <v>358.66</v>
      </c>
      <c r="D254">
        <v>149.1</v>
      </c>
    </row>
    <row r="255" spans="2:4" x14ac:dyDescent="0.25">
      <c r="B255" s="5">
        <v>45296</v>
      </c>
      <c r="C255">
        <v>351.95</v>
      </c>
      <c r="D255">
        <v>145.24</v>
      </c>
    </row>
    <row r="256" spans="2:4" x14ac:dyDescent="0.25">
      <c r="B256" s="5">
        <v>45295</v>
      </c>
      <c r="C256">
        <v>347.12</v>
      </c>
      <c r="D256">
        <v>144.57</v>
      </c>
    </row>
    <row r="257" spans="2:4" x14ac:dyDescent="0.25">
      <c r="B257" s="5">
        <v>45294</v>
      </c>
      <c r="C257">
        <v>344.47</v>
      </c>
      <c r="D257">
        <v>148.47</v>
      </c>
    </row>
    <row r="258" spans="2:4" x14ac:dyDescent="0.25">
      <c r="B258" s="5">
        <v>45293</v>
      </c>
      <c r="C258">
        <v>346.29</v>
      </c>
      <c r="D258">
        <v>149.93</v>
      </c>
    </row>
    <row r="259" spans="2:4" x14ac:dyDescent="0.25">
      <c r="B259" s="5">
        <v>45289</v>
      </c>
      <c r="C259">
        <v>353.96</v>
      </c>
      <c r="D259">
        <v>151.94</v>
      </c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538655"><![CDATA[{"AMZN-US^FG_PRICE(45657,45657-1AY,,USD)":[219.39,221.3,223.75,227.05,229.05,225.06,224.92,223.29,220.52,231.15,232.93,227.46,228.97,230.26,225.04,226.09,227.03,220.55,218.16,213.44,210.71,207.89,205.74,207.86,201.45,197.12,198.38,202.88,204.61,201.7,202.61,211.48,214.1,208.91,206.84,208.18,210.05,207.09,199.5,195.78,197.93,186.4,192.73,190.83,188.39,187.83,186.38,184.71,189.7,189.07,188.99,187.53,186.89,187.69,187.54,188.82,186.65,185.17,182.72,180.8,186.51,181.96,184.76,185.13,186.33,187.97,191.16,192.53,193.96,193.88,191.6,189.87,186.43,186.88,184.89,186.49,187.0,184.52,179.55,175.4,171.39,177.89,173.33,176.25,178.5,172.12,170.8,173.12,175.5,177.04,176.13,180.11,178.88,178.22,177.06,177.59,170.1,170.23,166.8,166.94,165.8,162.77,161.93,161.02,167.9,184.07,186.98,181.71,183.2,182.5,179.85,180.83,186.41,182.55,183.13,183.75,187.93,193.02,192.72,194.49,195.05,199.79,199.34,199.29,200.0,197.59,200.0,197.2,193.25,197.85,193.61,186.34,185.57,189.08,186.1,182.81,184.06,183.66,183.83,186.89,187.23,187.06,184.3,185.0,181.28,179.34,178.34,176.44,179.32,182.02,182.15,180.75,181.05,183.13,183.15,183.54,184.7,183.63,185.99,187.07,186.57,187.48,189.5,188.0,188.76,188.7,186.21,184.72,179.0,175.0,180.96,179.62,173.67,176.59,179.54,177.23,174.63,179.22,181.28,183.32,183.62,186.13,189.05,185.95,185.67,185.19,185.07,180.0,182.41,180.69,180.97,180.38,179.83,178.3,179.71,178.87,178.15,178.15,175.9,174.48,174.42,178.75,176.555,175.39,171.96,175.35,176.82,173.51,174.12,177.58,178.22,176.76,173.16,173.54,174.73,174.99,174.58,168.59,167.08,169.51,169.8,170.98,168.64,172.34,174.45,169.84,170.53,169.15,170.31,171.81,159.28,155.2,159.0,161.26,159.12,157.75,156.87,156.02,154.78,155.34,153.5,151.71,153.16,154.62,155.18,153.73,151.37,149.1,145.24,144.57,148.47,149.93,151.94],"META-US^FG_PRICE(45657,45657-1AY,,USD)":[585.51,591.24,599.81,603.35,607.75,599.85,585.25,595.57,597.19,619.44,624.24,620.35,630.79,632.68,619.32,613.57,623.77,608.93,613.78,613.65,592.83,574.32,569.2,573.54,565.11,559.14,563.09,565.52,561.09,554.4,554.08,577.16,580.0,584.82,583.17,589.34,591.7,572.05,572.43,560.68,567.16,567.58,591.8,593.28,578.16,573.25,567.78,563.69,582.01,575.16,576.47,576.93,576.79,586.27,590.42,589.95,583.83,590.51,592.89,584.78,595.94,582.77,572.81,576.47,572.44,567.36,567.84,568.31,563.33,564.41,561.35,559.1,537.95,536.315,533.28,524.62,525.6,511.83,504.79,504.79,500.27,516.86,512.74,511.76,521.31,518.22,516.78,519.1,521.12,528.0,531.93,535.16,526.73,529.28,527.42,537.33,526.76,528.54,515.95,517.77,509.63,488.92,494.09,475.73,488.14,497.74,474.83,463.19,465.71,465.7,453.41,461.27,488.69,487.4,476.79,475.85,461.99,489.79,496.16,498.87,512.7,534.69,530.0,529.32,539.91,509.96,509.5,504.68,504.22,519.56,513.12,510.6,498.91,494.78,501.7,499.49,506.63,504.16,504.1,508.84,507.47,502.6,492.96,493.76,495.06,476.99,477.49,466.83,467.05,474.36,479.92,478.22,465.78,467.78,464.63,468.84,471.91,473.23,481.54,471.85,468.01,476.2,475.42,472.6,468.24,465.68,451.96,441.68,439.19,430.17,432.62,443.29,441.38,493.5,496.1,481.73,481.07,501.8,494.17,499.76,500.23,511.9,523.16,519.83,516.9,519.25,527.34,510.92,506.74,497.37,491.35,485.58,493.86,495.89,503.02,509.58,507.76,505.52,496.24,496.98,484.1,491.83,495.57,499.75,483.59,505.95,512.19,496.09,490.22,498.19,502.3,490.13,484.02,487.05,481.74,484.03,486.13,468.03,471.75,473.32,484.03,473.28,460.12,468.9,468.11,470.0,469.59,454.72,459.41,474.99,394.78,390.14,400.06,401.02,394.14,393.18,390.7,385.2,381.78,383.45,376.13,368.37,367.46,374.49,369.67,370.47,357.43,358.66,351.95,347.12,344.47,346.29,353.96],"META-US^JULIAN(FG_PRICE(45657,45657-1AY,,USD).DATES)":[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],"^FG_COMPANY_NAME":null,"^PROPER_NAME":null,"WPP-GB^PROPER_NAME":"WPP Plc","WLY-US^PROPER_NAME":"John Wiley & Sons, Inc. Class A","WU-US^PROPER_NAME":"Western Union Company","WBA-US^PROPER_NAME":"Walgreens Boots Alliance, Inc.","VOW3-DE^PROPER_NAME":"Volkswagen AG Pref","VOD-GB^PROPER_NAME":"Vodafone Group Public Limited Company","VTRS-US^PROPER_NAME":"Viatris, Inc.","VZ-US^PROPER_NAME":"Verizon Communications Inc.","VAL-ZA^PROPER_NAME":"Valterra Platinum Limited","6995-JP^PROPER_NAME":"TOKAI RIKA CO., LTD.","TX-US^PROPER_NAME":"Ternium S.A. Sponsored ADR","UHR-CH^PROPER_NAME":"Swatch Group Ltd. Bearer","SWK-US^PROPER_NAME":"Stanley Black & Decker, Inc.","STAN-GB^PROPER_NAME":"Standard Chartered PLC","GLE-FR^PROPER_NAME":"Societe Generale S.A. Class A","055550-KR^PROPER_NAME":"Shinhan Financial Group Co., Ltd.","SESG-FR^PROPER_NAME":"SES SA FDR (Class A)","SAN-FR^PROPER_NAME":"Sanofi SA","005935-KR^PROPER_NAME":"Samsung Electronics Co Ltd Pfd  Non-Voting","SBH-US^PROPER_NAME":"Sally Beauty Holdings, Inc.","6963-JP^PROPER_NAME":"ROHM Company Limited","REP-ES^PROPER_NAME":"Repsol SA","PUM-DE^PROPER_NAME":"PUMA SE","PFE-US^PROPER_NAME":"Pfizer Inc.","9404-JP^PROPER_NAME":"Nippon Television Holdings, Inc.","7731-JP^PROPER_NAME":"Nikon Corp.","NWG-GB^PROPER_NAME":"NatWest Group Plc","TAP-US^PROPER_NAME":"Molson Coors Beverage Company Class B","MHK-US^PROPER_NAME":"Mohawk Industries, Inc.","7459-JP^PROPER_NAME":"MEDIPAL HOLDINGS Corporation","MAN-US^PROPER_NAME":"ManpowerGroup Inc.","M-US^PROPER_NAME":"Macy's, Inc.","LYB-US^PROPER_NAME":"LyondellBasell Industries NV","LEA-US^PROPER_NAME":"Lear Corporation","KHC-US^PROPER_NAME":"Kraft Heinz Company","AD-NL^PROPER_NAME":"Koninklijke Ahold Delhaize N.V.","KER-FR^PROPER_NAME":"Kering SA","105560-KR^PROPER_NAME":"KB Financial Group Inc.","INTC-US^PROPER_NAME":"Intel Corporation","HPE-US^PROPER_NAME":"Hewlett Packard Enterprise Co.","161390-KR^PROPER_NAME":"HANKOOK TIRE & TECHNOLOGY Co., Ltd.","HAL-US^PROPER_NAME":"Halliburton Company","4544-JP^PROPER_NAME":"H.U.Group Holdings, Inc.","GSK-GB^PROPER_NAME":"GSK plc","ENI-IT^PROPER_NAME":"Eni S.p.A.","4324-JP^PROPER_NAME":"Dentsu Group Inc.","CON-DE^PROPER_NAME":"Continental AG","CA-FR^PROPER_NAME":"Carrefour SA","BRBY-GB^PROPER_NAME":"Burberry Group plc","BT.A-GB^PROPER_NAME":"BT Group plc","BMY-US^PROPER_NAME":"Bristol-Myers Squibb Company","BAYN-DE^PROPER_NAME":"Bayer AG","BAS-DE^PROPER_NAME":"BASF SE","9888-HK^PROPER_NAME":"Baidu, Inc. Class A","ATHM-US^PROPER_NAME":"Autohome Inc. Sponsored ADR Class A","APTV-US^PROPER_NAME":"Aptiv PLC","914-HK^PROPER_NAME":"Anhui Conch Cement Company Limited Class H","AAL-GB^PROPER_NAME":"Anglo American plc","ADEN-CH^PROPER_NAME":"Adecco Group AG","DUMMY^CORREL_MATRIX(CORRELMATRIX)":[[1.0,0.11517693,0.54925954,0.3651019,0.22372729,0.16270243,0.51298046,0.6489848,-0.38804024,0.6992435,0.42390242,0.14227279,0.51561624,-0.4153874,0.634209,0.4799797,0.5767242,-0.4163073,0.6058646,-0.09983473,0.19769216,0.52252,0.014948568,0.49905276,-0.27062148,0.382218,-0.3786942,-0.2442672,-0.36097732,0.48184836,-0.02189534,-0.32941785,0.58192486,-0.16960822,0.4897161,-0.113806,-0.47092625,0.50738406,0.5663757,0.087446034,0.428548,-0.09865825,0.6924233,0.5448164,0.60056937,0.5844696,-0.25830948,0.06591915,0.40015692,0.51129013,0.48768333,0.49726757,-0.35247666,0.6721815,0.46776813,0.44539702,-0.5078394,-0.17021926,-0.5563553],[0.11517693,1.0,0.4386025,0.76352626,0.22419727,0.81282496,0.18121447,0.44586813,-0.39319658,0.2700382,0.5411882,0.04876502,0.4387123,-0.13249713,0.6287316,0.64427054,0.56520987,0.16264147,0.15423897,0.7271944,0.86265045,0.5351223,0.88406116,0.23606125,-0.46416736,0.5738058,-0.3711415,0.744108,-0.38505593,0.35800943,0.39987168,-0.61294585,0.41195163,0.64069754,0.39197427,0.19385561,-0.07707192,0.7136937,0.7170449,0.75275624,0.79123706,-0.21771495,0.39697787,0.6093937,0.38012967,0.60275906,0.091057144,0.72487056,0.75392663,0.63032573,0.7631818,-0.2378169,0.19757584,0.53893006,0.14625034,-0.09820202,-0.3967141,-0.3493297,-0.41274565],[0.54925954,0.4386025,1.0,0.5296965,0.39218313,0.5602354,0.40887594,0.52389616,-0.4264248,0.5483678,0.31093106,0.21690701,0.43026164,-0.3431443,0.648827,0.5207965,0.6253716,-0.22008395,0.4116597,0.24856672,0.55123335,0.39961553,0.45288163,0.37348107,-0.30479884,0.4177044,-0.5108782,0.27010146,-0.4241843,0.6620087,0.351821,-0.37718713,0.5084482,0.28406632,0.5986459,-0.15415417,-0.44207352,0.6270125,0.66704166,0.5206258,0.6668157,-0.13414323,0.5840055,0.5536653,0.570733,0.6265121,-0.19025974,0.4173617,0.64603037,0.7548551,0.6472816,0.22647436,-0.147391,0.6650698,0.4268826,0.2193778,-0.48991436,-0.2620837,-0.65317917],[0.3651019,0.76352626,0.5296965,1.0,0.21692458,0.74038666,0.4372796,0.7942288,-0.66608,0.67564386,0.7930219,-0.01679761,0.7740942,-0.4651805,0.87284625,0.7966279,0.86594605,-0.29478833,0.4093171,0.59953195,0.71576226,0.74408215,0.7328409,0.5814618,-0.7609426,0.6846486,-0.66702247,0.4332379,-0.70397604,0.6110222,0.17966107,-0.8278317,0.76729786,0.25810218,0.7692587,-0.038480967,-0.5192461,0.93275046,0.91086036,0.5979728,0.8199717,-0.24815005,0.73502254,0.775952,0.77744013,0.903217,-0.15933016,0.44958967,0.6074023,0.88571763,0.87418514,0.047559205,-0.14302832,0.819901,0.56449246,0.6269284,-0.7326392,-0.63626486,-0.7604218],[0.22372729,0.22419727,0.39218313,0.21692458,1.0,0.21557653,0.55596536,0.063010044,0.2545355,0.046853334,0.1529728,-0.3196821,-0.12011125,-0.02401644,0.22705545,0.09024936,0.034607228,0.23547839,-0.06866512,0.2615269,0.17129643,-0.0004906234,0.3725389,-0.23122592,0.27253544,0.45245093,0.22062525,0.30877623,0.23876101,0.15183024,0.52014005,0.095413804,-0.05629476,0.28638336,0.07965833,0.42239547,-0.021444751,0.17498033,0.23700751,0.30747798,0.088859685,0.2887787,0.048033994,0.06434158,0.05062095,0.22064541,0.5140559,0.41091922,0.4497578,0.33791444,0.11012538,0.24016178,0.2147329,0.102156594,0.31527492,-0.05245912,0.07939036,0.04103341,-0.04223836],[0.16270243,0.81282496,0.5602354,0.74038666,0.21557653,1.0,0.17473555,0.46762243,-0.44919306,0.30657998,0.35090584,0.12600553,0.44226265,-0.18163247,0.6092958,0.68703526,0.6018659,-0.023926785,0.10052373,0.48937276,0.8812962,0.43308023,0.76531225,0.30775917,-0.51544386,0.34579176,-0.53209716,0.6156498,-0.47642007,0.44918072,0.23713721,-0.57496536,0.46521476,0.57208055,0.5538335,0.00417582,-0.28556967,0.71703225,0.7030049,0.64833254,0.7833864,-0.17412315,0.5251479,0.5273377,0.49203366,0.63095534,-0.11001577,0.5960572,0.6894973,0.7059401,0.8005203,-0.06796989,-0.066152275,0.5275521,0.21606971,0.04056204,-0.4643292,-0.38606066,-0.5660361],[0.51298046,0.18121447,0.40887594,0.4372796,0.55596536,0.17473555,1.0,0.5316736,-0.18245253,0.44835097,0.4157472,-0.110639796,0.47000578,-0.5764852,0.4807538,0.5046952,0.398545,-0.37335473,0.20686057,-0.062034298,0.176307,0.15726459,0.28373635,0.4147779,-0.24206029,0.31055942,-0.2902235,-0.15190274,-0.28915855,0.2284876,-0.077541925,-0.24173346,0.4975991,-0.1775566,0.47195798,-0.025001608,-0.5813492,0.4272118,0.40691832,-0.028223893,0.24027468,0.46841812,0.54886466,0.19976266,0.56029373,0.57820517,-0.07535427,0.21446982,0.19877051,0.47438163,0.32001618,0.3990684,-0.4011976,0.45176914,0.8380357,0.5314678,-0.29286098,-0.42918554,-0.48413196],[0.6489848,0.44586813,0.52389616,0.7942288,0.063010044,0.46762243,0.5316736,1.0,-0.83568746,0.9092363,0.72076064,0.15161064,0.88760746,-0.6765872,0.88233536,0.79008037,0.9298135,-0.6451411,0.60845286,0.22251202,0.44609421,0.7996581,0.34673032,0.8298769,-0.7858699,0.46167213,-0.7915807,-0.06273727,-0.8521758,0.68986857,-0.12454733,-0.8264163,0.90848607,-0.112091675,0.8686569,-0.33025143,-0.69521314,0.87774694,0.83089787,0.27445894,0.70350975,-0.27711236,0.9139429,0.8062832,0.9288787,0.89858377,-0.5140972,0.11324716,0.41279823,0.79237014,0.8381014,0.30995098,-0.506836,0.928974,0.6901582,0.69124246,-0.8907757,-0.6189347,-0.8671794],[-0.38804024,-0.39319658,-0.4264248,-0.66608,0.2545355,-0.44919306,-0.18245253,-0.83568746,1.0,-0.8071779,-0.5631912,-0.36896238,-0.8569629,0.5778128,-0.72091895,-0.6294463,-0.85528636,0.66776305,-0.55237365,-0.22612572,-0.42895177,-0.74490994,-0.2808411,-0.8468723,0.84158385,-0.24121317,0.88925767,0.0631219,0.945206,-0.69439566,0.20741077,0.8185215,-0.8539818,0.108965166,-0.8192146,0.5862863,0.60011595,-0.7681512,-0.68172103,-0.26487252,-0.681088,0.48790932,-0.7835226,-0.7538395,-0.8562032,-0.7607488,0.69901997,-0.010694057,-0.2628929,-0.6453108,-0.77629143,-0.11412773,0.48292142,-0.8121974,-0.47862807,-0.53663087,0.8889467,0.5797285,0.79974395],[0.6992435,0.2700382,0.5483678,0.67564386,0.046853334,0.30657998,0.44835097,0.9092363,-0.8071779,1.0,0.67776746,0.08637014,0.84477645,-0.6303199,0.8349327,0.6431206,0.8762614,-0.6670976,0.6866071,0.15016413,0.28177822,0.8048513,0.18145946,0.7996355,-0.7259395,0.44055182,-0.78239405,-0.17813402,-0.82000065,0.7765801,-0.10808107,-0.720098,0.8930264,-0.1828564,0.83378834,-0.43731767,-0.70584136,0.8077391,0.76238006,0.238542,0.6279754,-0.41256845,0.89092296,0.8130042,0.9145179,0.85753286,-0.5575753,-0.06715741,0.3323802,0.7541956,0.7373697,0.45212525,-0.47771066,0.9244619,0.63607395,0.6128471,-0.88556844,-0.5171083,-0.85107934],[0.42390242,0.5411882,0.31093106,0.7930219,0.1529728,0.35090584,0.4157472,0.72076064,-0.5631912,0.67776746,1.0,-0.20153704,0.7205106,-0.41000745,0.76563865,0.55759203,0.68935686,-0.26485786,0.6268276,0.5700891,0.40277624,0.8215064,0.55763483,0.4975842,-0.64232326,0.7096069,-0.45935535,0.22096165,-0.5643124,0.38664114,0.11188591,-0.7668088,0.66384274,0.026961852,0.496513,0.04861163,-0.43061206,0.7707009,0.7886536,0.39358187,0.6245103,-0.28833994,0.6230158,0.80318844,0.6555779,0.7880637,-0.06743024,0.30791914,0.4238563,0.6450069,0.66935164,-0.060339138,-0.058557488,0.7182853,0.44983515,0.44164306,-0.6923252,-0.62507135,-0.608524],[0.14227279,0.04876502,0.21690701,-0.01679761,-0.3196821,0.12600553,-0.110639796,0.15161064,-0.36896238,0.08637014,-0.20153704,1.0,0.16525796,-0.04796245,0.06477121,0.17058226,0.21568248,-0.19370301,0.11294582,-0.15534753,0.17277837,0.119920254,-0.107257165,0.31840318,-0.120453455,-0.18763568,-0.28062963,-0.10506791,-0.26746827,0.3019487,-0.05025778,-0.084400825,0.19579734,0.034753196,0.22724369,-0.37856734,0.012488977,0.051202584,0.029789856,0.09573495,0.22595982,-0.058464997,0.088699,0.14093421,0.11505598,-0.018315399,-0.33393747,0.041452445,0.09819145,0.027506148,0.18731938,0.12517357,-0.16226785,0.18505651,-0.018129416,-0.11000804,-0.12763831,0.16343242,-0.044200297],[0.51561624,0.4387123,0.43026164,0.7740942,-0.12011125,0.44226265,0.47000578,0.88760746,-0.8569629,0.84477645,0.7205106,0.16525796,1.0,-0.67369634,0.79375947,0.7896178,0.8908365,-0.64312017,0.6188841,0.18043093,0.4656295,0.75171745,0.3426796,0.8980532,-0.8658187,0.38531706,-0.8425219,-0.0656651,-0.9065137,0.6045802,-0.2747418,-0.79679215,0.9410153,-0.12758832,0.81784475,-0.45200217,-0.7288816,0.8233057,0.7548433,0.18991518,0.7040341,-0.23053828,0.87439007,0.7507956,0.9182833,0.8721008,-0.6058233,0.109265596,0.2886806,0.69933575,0.7675803,0.21150516,-0.5183599,0.85867083,0.678226,0.7173549,-0.8261091,-0.6689905,-0.8405636],[-0.4153874,-0.13249713,-0.3431443,-0.4651805,-0.02401644,-0.18163247,-0.5764852,-0.6765872,0.5778128,-0.6303199,-0.41000745,-0.04796245,-0.67369634,1.0,-0.49270472,-0.571016,-0.57638574,0.7061937,-0.39883506,0.153762,-0.14829959,-0.2928754,-0.14110135,-0.72369254,0.5714638,-0.07875437,0.68172085,0.2963813,0.66062146,-0.3277702,0.41829666,0.4933743,-0.70729184,0.4743307,-0.69789374,0.41933626,0.8288038,-0.47308463,-0.40231106,0.12938182,-0.3600974,-0.14581588,-0.6940527,-0.33195764,-0.7308876,-0.64479584,0.5768342,0.029784955,0.041166756,-0.48448032,-0.44588503,-0.33413023,0.7059471,-0.5631965,-0.73861724,-0.75103205,0.5717785,0.7050462,0.719136],[0.634209,0.6287316,0.648827,0.87284625,0.22705545,0.6092958,0.4807538,0.88233536,-0.72091895,0.8349327,0.76563865,0.06477121,0.79375947,-0.49270472,1.0,0.76255316,0.9083593,-0.33323386,0.62978905,0.47665694,0.6369731,0.8269574,0.5776584,0.64118826,-0.7084119,0.6534429,-0.6786069,0.24134706,-0.73100966,0.7278831,0.18674412,-0.8369189,0.8151935,0.17064779,0.7849261,-0.101046264,-0.55485696,0.9606931,0.95083076,0.5478561,0.84203535,-0.34601983,0.83292836,0.8776737,0.83442384,0.9226966,-0.25592363,0.3474096,0.6881902,0.9032737,0.885886,0.15885258,-0.20471229,0.9320847,0.54884994,0.5673602,-0.8164276,-0.5264709,-0.82594526],[0.4799797,0.64427054,0.5207965,0.7966279,0.09024936,0.68703526,0.5046952,0.79008037,-0.6294463,0.6431206,0.55759203,0.17058226,0.7896178,-0.571016,0.76255316,1.0,0.8184147,-0.4481435,0.33255872,0.17891647,0.6898062,0.54847115,0.5319401,0.731078,-0.7204464,0.32835618,-0.7287612,0.18166749,-0.7312583,0.48603582,-0.13602689,-0.6787628,0.83812684,0.15575376,0.7716362,-0.2255513,-0.6542705,0.7994595,0.75468177,0.31538305,0.75496966,0.0050942255,0.8099352,0.5958521,0.79157764,0.8227986,-0.4129026,0.39411533,0.5039345,0.7409,0.8102312,0.24281566,-0.43409932,0.7751571,0.58679664,0.577122,-0.6160369,-0.6049227,-0.74328756],[0.5767242,0.56520987,0.6253716,0.86594605,0.034607228,0.6018659,0.398545,0.9298135,-0.85528636,0.8762614,0.68935686,0.21568248,0.8908365,-0.57638574,0.9083593,0.8184147,1.0,-0.56085426,0.56821465,0.34096202,0.5902747,0.79345036,0.47164366,0.7996451,-0.8608557,0.49983728,-0.8618554,0.14691871,-0.8886085,0.7793829,0.028878013,-0.84916186,0.9155149,0.084949136,0.9030942,-0.3384868,-0.6721423,0.930953,0.89735514,0.46502155,0.82402396,-0.38271487,0.894681,0.8312872,0.9220713,0.92163146,-0.49061266,0.25860354,0.5691793,0.88648057,0.8924326,0.20561846,-0.3872984,0.95001245,0.6055592,0.67520684,-0.8833575,-0.6085396,-0.8991687],[-0.4163073,0.16264147,-0.22008395,-0.29478833,0.23547839,-0.023926785,-0.37335473,-0.6451411,0.66776305,-0.6670976,-0.26485786,-0.19370301,-0.64312017,0.7061937,-0.33323386,-0.4481435,-0.56085426,1.0,-0.36504108,0.38369796,0.11367543,-0.29375294,0.23413713,-0.79646754,0.6200916,0.1503236,0.7436499,0.59172106,0.7311334,-0.40504065,0.6490906,0.42210826,-0.7063255,0.6051691,-0.7136698,0.68514293,0.79583615,-0.34717616,-0.2499369,0.35006246,-0.15323766,0.041763,-0.6768662,-0.2552339,-0.7462703,-0.5081499,0.8178011,0.41057003,0.27703446,-0.34438652,-0.35363394,-0.42991915,0.8429238,-0.50762534,-0.6827213,-0.6742393,0.6354021,0.5697465,0.6516439],[0.6058646,0.15423897,0.4116597,0.4093171,-0.06866512,0.10052373,0.20686057,0.60845286,-0.55237365,0.6866071,0.6268276,0.11294582,0.6188841,-0.39883506,0.62978905,0.33255872,0.56821465,-0.36504108,1.0,0.17347662,0.16801399,0.7050307,0.13908494,0.49851647,-0.47240338,0.40223977,-0.47003633,-0.09155082,-0.53638345,0.43810362,-0.019174911,-0.5611806,0.58156353,-0.2041544,0.40803134,-0.21059231,-0.43951914,0.5500801,0.5572913,0.15019727,0.52157503,-0.36852884,0.5982007,0.7095919,0.59025705,0.5941714,-0.3135421,0.09475008,0.29251152,0.4787054,0.4735574,0.04070707,-0.22280906,0.6478079,0.28337875,0.4435,-0.63653183,-0.41975597,-0.5948393],[-0.09983473,0.7271944,0.24856672,0.59953195,0.2615269,0.48937276,-0.062034298,0.22251202,-0.22612572,0.15016413,0.5700891,-0.15534753,0.18043093,0.153762,0.47665694,0.17891647,0.34096202,0.38369796,0.17347662,1.0,0.5476301,0.55536836,0.7573302,-0.10235013,-0.25076172,0.7350767,-0.07377777,0.77895075,-0.14530632,0.33672875,0.6957764,-0.5052197,0.122387715,0.5739913,0.14690027,0.4246132,0.23563047,0.53166133,0.5824723,0.8310649,0.5580057,-0.47011492,0.05422009,0.58644915,0.1230708,0.38357982,0.4022,0.53289026,0.63964945,0.4794762,0.4885155,-0.4321133,0.5940553,0.34806776,-0.07650287,-0.22683847,-0.30097327,-0.16867112,-0.17038502],[0.19769216,0.86265045,0.55123335,0.71576226,0.17129643,0.8812962,0.176307,0.44609421,-0.42895177,0.28177822,0.40277624,0.17277837,0.4656295,-0.14829959,0.6369731,0.6898062,0.5902747,0.11367543,0.16801399,0.5476301,1.0,0.46725273,0.82277715,0.3116991,-0.46383944,0.4401539,-0.44630226,0.652409,-0.43148568,0.37736347,0.31838128,-0.54599905,0.45052403,0.6035286,0.4353778,0.07284827,-0.19524685,0.7134258,0.73304,0.69213676,0.8559213,-0.14393336,0.4873689,0.58453697,0.42178556,0.59372663,-0.03914313,0.6919134,0.7721305,0.63287896,0.7726562,-0.16089146,0.0752544,0.5453597,0.13024817,-0.12287465,-0.40673313,-0.3094987,-0.5077559],[0.52252,0.5351223,0.39961553,0.74408215,-0.0004906234,0.43308023,0.15726459,0.7996581,-0.74490994,0.8048513,0.8215064,0.119920254,0.75171745,-0.2928754,0.8269574,0.54847115,0.79345036,-0.29375294,0.7050307,0.55536836,0.46725273,1.0,0.42953432,0.5583255,-0.7173479,0.65481734,-0.5986787,0.2055415,-0.6903137,0.66237354,0.20708415,-0.82545847,0.7181478,0.14428142,0.5943173,-0.12317201,-0.32134956,0.8296585,0.82981914,0.5536377,0.73695,-0.66028404,0.6910859,0.9682826,0.7088996,0.768508,-0.24090034,0.19171059,0.5900923,0.68582743,0.7869155,0.046757214,-0.04119593,0.8305242,0.25467917,0.30808747,-0.8373897,-0.42921036,-0.6595673],[0.014948568,0.88406116,0.45288163,0.7328409,0.3725389,0.76531225,0.28373635,0.34673032,-0.2808411,0.18145946,0.55763483,-0.107257165,0.3426796,-0.14110135,0.5776584,0.5319401,0.47164366,0.23413713,0.13908494,0.7573302,0.82277715,0.42953432,1.0,0.10007154,-0.36022317,0.5732901,-0.29333752,0.7860821,-0.29830992,0.27510816,0.47183555,-0.5382189,0.30553028,0.6009971,0.32661143,0.2908685,-0.08726639,0.65215296,0.69492775,0.7450924,0.7583809,-0.086868286,0.31920415,0.538252,0.30915865,0.5602203,0.21370162,0.79015017,0.709991,0.6236768,0.650926,-0.3269841,0.2719145,0.43758076,0.18246432,-0.08299722,-0.3266888,-0.42230916,-0.39313972],[0.49905276,0.23606125,0.37348107,0.5814618,-0.23122592,0.30775917,0.4147779,0.8298769,-0.8468723,0.7996355,0.4975842,0.31840318,0.8980532,-0.72369254,0.64118826,0.731078,0.7996451,-0.79646754,0.49851647,-0.10235013,0.3116991,0.5583255,0.10007154,1.0,-0.8149556,0.09947249,-0.8503093,-0.32491124,-0.8891686,0.5361833,-0.4413417,-0.6705976,0.9144648,-0.2752713,0.80172867,-0.639129,-0.8104011,0.6552962,0.555974,-0.029568087,0.5289767,-0.12705462,0.8552561,0.5525592,0.89487284,0.7464692,-0.7606891,-0.07833169,0.10796031,0.54019815,0.6583659,0.33205312,-0.73081076,0.7635731,0.6684747,0.69091135,-0.7731323,-0.58044183,-0.80243635],[-0.27062148,-0.46416736,-0.30479884,-0.7609426,0.27253544,-0.51544386,-0.24206029,-0.7858699,0.84158385,-0.7259395,-0.64232326,-0.120453455,-0.8658187,0.5714638,-0.7084119,-0.7204464,-0.8608557,0.6200916,-0.47240338,-0.25076172,-0.46383944,-0.7173479,-0.36022317,-0.8149556,1.0,-0.24738961,0.86987984,0.0021016272,0.899404,-0.54046685,0.301454,0.86381006,-0.8456605,0.045766994,-0.7987693,0.48108062,0.6975977,-0.7726354,-0.71737194,-0.22010553,-0.68608665,0.33602428,-0.78555363,-0.69934213,-0.835668,-0.7802066,0.63385886,0.014186803,-0.2096507,-0.6765341,-0.7654793,-0.018361982,0.49731857,-0.74464685,-0.4941704,-0.665133,0.84843737,0.72051734,0.8083932],[0.382218,0.5738058,0.4177044,0.6846486,0.45245093,0.34579176,0.31055942,0.46167213,-0.24121317,0.44055182,0.7096069,-0.18763568,0.38531706,-0.07875437,0.6534429,0.32835618,0.49983728,0.1503236,0.40223977,0.7350767,0.4401539,0.65481734,0.5732901,0.09947249,-0.24738961,1.0,-0.095340565,0.5196918,-0.19293177,0.46317536,0.5866905,-0.46736813,0.32058397,0.3542917,0.29704627,0.3873891,-0.0027708532,0.6395841,0.6891517,0.66475356,0.5191701,-0.3205878,0.33177182,0.659818,0.3408927,0.5651579,0.36505836,0.4576214,0.6844979,0.6012358,0.5100941,-0.014239775,0.37644997,0.576025,0.26764837,0.052131914,-0.36764657,-0.13101065,-0.3117288],[-0.3786942,-0.3711415,-0.5108782,-0.66702247,0.22062525,-0.53209716,-0.2902235,-0.7915807,0.88925767,-0.78239405,-0.45935535,-0.28062963,-0.8425219,0.68172085,-0.6786069,-0.7287612,-0.8618554,0.7436499,-0.47003633,-0.07377777,-0.44630226,-0.5986787,-0.29333752,-0.8503093,0.86987984,-0.095340565,1.0,0.07097914,0.94949496,-0.6887569,0.31872496,0.7405466,-0.87891966,0.11456166,-0.9032719,0.6405579,0.7692466,-0.74075943,-0.6710371,-0.21027187,-0.7212681,0.3162411,-0.83988976,-0.64977866,-0.8913737,-0.7852635,0.80056846,0.019776287,-0.18457434,-0.7181172,-0.76656,-0.2250212,0.6179313,-0.7873567,-0.57982254,-0.65984315,0.8470929,0.70387024,0.89387375],[-0.2442672,0.744108,0.27010146,0.4332379,0.30877623,0.6156498,-0.15190274,-0.06273727,0.0631219,-0.17813402,0.22096165,-0.10506791,-0.0656651,0.2963813,0.24134706,0.18166749,0.14691871,0.59172106,-0.09155082,0.77895075,0.652409,0.2055415,0.7860821,-0.32491124,0.0021016272,0.5196918,0.07097914,1.0,0.083538875,0.15307851,0.689212,-0.2124522,-0.110309854,0.78795296,-0.0052274982,0.48882213,0.36632514,0.33918202,0.39361244,0.80979913,0.49965018,-0.21965171,-0.11335693,0.29022166,-0.12165825,0.15612791,0.5049595,0.7411336,0.6725736,0.36236298,0.34679568,-0.41424975,0.6426884,0.10623105,-0.23470575,-0.6579648,0.050192963,0.005514894,0.025639072],[-0.36097732,-0.38505593,-0.4241843,-0.70397604,0.23876101,-0.47642007,-0.28915855,-0.8521758,0.945206,-0.82000065,-0.5643124,-0.26746827,-0.9065137,0.66062146,-0.73100966,-0.7312583,-0.8886085,0.7311334,-0.53638345,-0.14530632,-0.43148568,-0.6903137,-0.29830992,-0.8891686,0.899404,-0.19293177,0.94949496,0.083538875,1.0,-0.6857592,0.3259891,0.8104608,-0.90904474,0.13860385,-0.88504505,0.60517627,0.72692734,-0.7870705,-0.69695204,-0.1874559,-0.6979219,0.3594052,-0.83597946,-0.7106719,-0.9080293,-0.8105087,0.7596683,-0.004791142,-0.20209399,-0.6940344,-0.76927876,-0.16803654,0.5736384,-0.81595254,-0.5909164,-0.6346123,0.872494,0.69603765,0.86176014],[0.48184836,0.35800943,0.6620087,0.6110222,0.15183024,0.44918072,0.2284876,0.68986857,-0.69439566,0.7765801,0.38664114,0.3019487,0.6045802,-0.3277702,0.7278831,0.48603582,0.7793829,-0.40504065,0.43810362,0.33672875,0.37736347,0.66237354,0.27510816,0.5361833,-0.54046685,0.46317536,-0.6887569,0.15307851,-0.6857592,1.0,0.28189498,-0.58238727,0.6736888,0.18229586,0.7854459,-0.3395653,-0.39381397,0.730935,0.6929525,0.5668473,0.6392084,-0.54800445,0.6337185,0.71265656,0.7138953,0.68720704,-0.37722805,0.09689295,0.5461571,0.7820947,0.6801581,0.35020426,-0.14874166,0.7937548,0.4500393,0.29555002,-0.7056328,-0.23411672,-0.6770213],[-0.02189534,0.39987168,0.351821,0.17966107,0.52014005,0.23713721,-0.077541925,-0.12454733,0.20741077,-0.10808107,0.11188591,-0.05025778,-0.2747418,0.41829666,0.18674412,-0.13602689,0.028878013,0.6490906,-0.019174911,0.6957764,0.31838128,0.20708415,0.47183555,-0.4413417,0.301454,0.5866905,0.31872496,0.689212,0.3259891,0.28189498,1.0,0.01096408,-0.2503722,0.6746408,-0.12756571,0.54915684,0.47612795,0.16161136,0.3062977,0.7875127,0.29835752,-0.27505326,-0.23835532,0.28983387,-0.22465038,0.011103884,0.69471824,0.5229486,0.6657301,0.2907738,0.13297845,-0.17446381,0.7550109,0.07658697,-0.25467426,-0.47487798,0.110434815,0.35965157,0.1577623],[-0.32941785,-0.61294585,-0.37718713,-0.8278317,0.095413804,-0.57496536,-0.24173346,-0.8264163,0.8185215,-0.720098,-0.7668088,-0.084400825,-0.79679215,0.4933743,-0.8369189,-0.6787628,-0.84916186,0.42210826,-0.5611806,-0.5052197,-0.54599905,-0.82545847,-0.5382189,-0.6705976,0.86381006,-0.46736813,0.7405466,-0.2124522,0.8104608,-0.58238727,0.01096408,1.0,-0.7594134,-0.08702498,-0.7418184,0.18567896,0.51703024,-0.8646621,-0.8262186,-0.4549162,-0.7588024,0.44881633,-0.743215,-0.8217722,-0.77765906,-0.8180578,0.38771108,-0.20162435,-0.45837387,-0.75326735,-0.8509501,0.1418004,0.26339668,-0.805371,-0.41706592,-0.5781018,0.87361133,0.63437945,0.78061056],[0.58192486,0.41195163,0.5084482,0.76729786,-0.05629476,0.46521476,0.4975991,0.90848607,-0.8539818,0.8930264,0.66384274,0.19579734,0.9410153,-0.70729184,0.8151935,0.83812684,0.9155149,-0.7063255,0.58156353,0.122387715,0.45052403,0.7181478,0.30553028,0.9144648,-0.8456605,0.32058397,-0.87891966,-0.110309854,-0.90904474,0.6736888,-0.2503722,-0.7594134,1.0,-0.14661902,0.8887386,-0.49534664,-0.79738235,0.8293426,0.7616625,0.1993565,0.7051611,-0.21169892,0.9094556,0.73370695,0.960157,0.9061913,-0.6256842,0.08822126,0.30619657,0.7555039,0.7891064,0.35402697,-0.5757144,0.8924805,0.703452,0.7078619,-0.83651876,-0.67583054,-0.8736373],[-0.16960822,0.64069754,0.28406632,0.25810218,0.28638336,0.57208055,-0.1775566,-0.112091675,0.108965166,-0.1828564,0.026961852,0.034753196,-0.12758832,0.4743307,0.17064779,0.15575376,0.084949136,0.6051691,-0.2041544,0.5739913,0.6035286,0.14428142,0.6009971,-0.2752713,0.045766994,0.3542917,0.11456166,0.78795296,0.13860385,0.18229586,0.6746408,-0.08702498,-0.14661902,1.0,-0.085831024,0.32743877,0.40335417,0.24164428,0.30431122,0.7258634,0.4175986,-0.20711507,-0.099349305,0.21840632,-0.15894417,0.061002966,0.41693434,0.6226784,0.71482444,0.25051862,0.29189202,-0.26344237,0.5482339,0.0722227,-0.3310567,-0.7339184,0.09125891,0.24993648,0.08246232],[0.4897161,0.39197427,0.5986459,0.7692587,0.07965833,0.5538335,0.47195798,0.8686569,-0.8192146,0.83378834,0.496513,0.22724369,0.81784475,-0.69789374,0.7849261,0.7716362,0.9030942,-0.7136698,0.40803134,0.14690027,0.4353778,0.5943173,0.32661143,0.80172867,-0.7987693,0.29704627,-0.9032719,-0.0052274982,-0.88504505,0.7854459,-0.12756571,-0.7418184,0.8887386,-0.085831024,1.0,-0.45641556,-0.7877706,0.8114953,0.73722506,0.29894593,0.6614309,-0.22764993,0.85288984,0.63013864,0.9345024,0.85757625,-0.59552914,0.090476304,0.35816202,0.8508237,0.7815749,0.36681932,-0.5611266,0.84612894,0.7402351,0.71194804,-0.81179214,-0.6445596,-0.88737905],[-0.113806,0.19385561,-0.15415417,-0.038480967,0.42239547,0.00417582,-0.025001608,-0.33025143,0.5862863,-0.43731767,0.04861163,-0.37856734,-0.45200217,0.41933626,-0.101046264,-0.2255513,-0.3384868,0.68514293,-0.21059231,0.4246132,0.07284827,-0.12317201,0.2908685,-0.639129,0.48108062,0.3873891,0.6405579,0.48882213,0.60517627,-0.3395653,0.54915684,0.18567896,-0.49534664,0.32743877,-0.45641556,1.0,0.5657175,-0.15757912,-0.010034751,0.28798804,-0.104221836,0.17234927,-0.43890053,-0.118490204,-0.49030757,-0.23969294,0.82276756,0.3930326,0.30768234,-0.11081878,-0.19179456,-0.36298564,0.7078303,-0.28859213,-0.30399734,-0.3290387,0.4101903,0.29929626,0.43638468],[-0.47092625,-0.07707192,-0.44207352,-0.5192461,-0.021444751,-0.28556967,-0.5813492,-0.69521314,0.60011595,-0.70584136,-0.43061206,0.012488977,-0.7288816,0.8288038,-0.55485696,-0.6542705,-0.6721423,0.79583615,-0.43951914,0.23563047,-0.19524685,-0.32134956,-0.08726639,-0.8104011,0.6975977,-0.0027708532,0.7692466,0.36632514,0.72692734,-0.39381397,0.47612795,0.51703024,-0.79738235,0.40335417,-0.7877706,0.5657175,1.0,-0.5467645,-0.4811462,0.16540924,-0.3951064,-0.123697534,-0.81102914,-0.35154364,-0.8426749,-0.72119254,0.65793216,0.13275503,0.020895917,-0.59053785,-0.5257763,-0.41922656,0.827823,-0.6121942,-0.7712603,-0.7820746,0.66005063,0.71555716,0.82717973],[0.50738406,0.7136937,0.6270125,0.93275046,0.17498033,0.71703225,0.4272118,0.87774694,-0.7681512,0.8077391,0.7707009,0.051202584,0.8233057,-0.47308463,0.9606931,0.7994595,0.930953,-0.34717616,0.5500801,0.53166133,0.7134258,0.8296585,0.65215296,0.6552962,-0.7726354,0.6395841,-0.74075943,0.33918202,-0.7870705,0.730935,0.16161136,-0.8646621,0.8293426,0.24164428,0.8114953,-0.15757912,-0.5467645,1.0,0.95969045,0.598293,0.88422585,-0.38442287,0.837989,0.8831033,0.84927833,0.9395096,-0.293368,0.38444993,0.66816324,0.917249,0.9354413,0.12596533,-0.20633613,0.9257288,0.5465168,0.5686465,-0.83204734,-0.57726383,-0.84012085],[0.5663757,0.7170449,0.66704166,0.91086036,0.23700751,0.7030049,0.40691832,0.83089787,-0.68172103,0.76238006,0.7886536,0.029789856,0.7548433,-0.40231106,0.95083076,0.75468177,0.89735514,-0.2499369,0.5572913,0.5824723,0.73304,0.82981914,0.69492775,0.555974,-0.71737194,0.6891517,-0.6710371,0.39361244,-0.69695204,0.6929525,0.3062977,-0.8262186,0.7616625,0.30431122,0.73722506,-0.010034751,-0.4811462,0.95969045,1.0,0.6743193,0.9037698,-0.38521218,0.7919633,0.89567286,0.78131354,0.91343814,-0.18015178,0.4687454,0.77252257,0.9149772,0.9144993,0.05258547,-0.09435008,0.8974499,0.45704663,0.5053933,-0.80147713,-0.5550894,-0.8208431],[0.087446034,0.75275624,0.5206258,0.5979728,0.30747798,0.64833254,-0.028223893,0.27445894,-0.26487252,0.238542,0.39358187,0.09573495,0.18991518,0.12938182,0.5478561,0.31538305,0.46502155,0.35006246,0.15019727,0.8310649,0.69213676,0.5536377,0.7450924,-0.029568087,-0.22010553,0.66475356,-0.21027187,0.80979913,-0.1874559,0.5668473,0.7875127,-0.4549162,0.1993565,0.7258634,0.29894593,0.28798804,0.16540924,0.598293,0.6743193,1.0,0.7216296,-0.49555126,0.18952413,0.6452944,0.20104805,0.4187895,0.2974,0.5818788,0.8203369,0.63360703,0.6064874,-0.17033845,0.51545376,0.4786872,-0.06548688,-0.40137365,-0.3205554,-0.028570352,-0.2759482],[0.428548,0.79123706,0.6668157,0.8199717,0.088859685,0.7833864,0.24027468,0.70350975,-0.681088,0.6279754,0.6245103,0.22595982,0.7040341,-0.3600974,0.84203535,0.75496966,0.82402396,-0.15323766,0.52157503,0.5580057,0.8559213,0.73695,0.7583809,0.5289767,-0.68608665,0.5191701,-0.7212681,0.49965018,-0.6979219,0.6392084,0.29835752,-0.7588024,0.7051611,0.4175986,0.6614309,-0.104221836,-0.3951064,0.88422585,0.9037698,0.7216296,1.0,-0.38614064,0.7227949,0.84327966,0.6879342,0.81630415,-0.26934466,0.5783839,0.7784365,0.8208548,0.90018433,-0.067484744,-0.060432725,0.81589675,0.2871729,0.4092494,-0.70767075,-0.52699846,-0.77629143],[-0.09865825,-0.21771495,-0.13414323,-0.24815005,0.2887787,-0.17412315,0.46841812,-0.27711236,0.48790932,-0.41256845,-0.28833994,-0.058464997,-0.23053828,-0.14581588,-0.34601983,0.0050942255,-0.38271487,0.041763,-0.36852884,-0.47011492,-0.14393336,-0.66028404,-0.086868286,-0.12705462,0.33602428,-0.3205878,0.3162411,-0.21965171,0.3594052,-0.54800445,-0.27505326,0.44881633,-0.21169892,-0.20711507,-0.22764993,0.17234927,-0.123697534,-0.38442287,-0.38521218,-0.49555126,-0.38614064,1.0,-0.18939778,-0.63025516,-0.22382917,-0.22113732,0.19092248,0.13624616,-0.29617545,-0.29221752,-0.39633474,0.09025593,-0.2279023,-0.38922605,0.25954026,0.16163953,0.5140928,-0.013685902,0.23052351],[0.6924233,0.39697787,0.5840055,0.73502254,0.048033994,0.5251479,0.54886466,0.9139429,-0.7835226,0.89092296,0.6230158,0.088699,0.87439007,-0.6940527,0.83292836,0.8099352,0.894681,-0.6768662,0.5982007,0.05422009,0.4873689,0.6910859,0.31920415,0.8552561,-0.78555363,0.33177182,-0.83988976,-0.11335693,-0.83597946,0.6337185,-0.23835532,-0.743215,0.9094556,-0.099349305,0.85288984,-0.43890053,-0.81102914,0.837989,0.7919633,0.18952413,0.7227949,-0.18939778,1.0,0.72665703,0.9444036,0.9009067,-0.61046594,0.08500079,0.38553363,0.77785254,0.8215469,0.37815514,-0.6345614,0.8916442,0.6899285,0.6897194,-0.8521096,-0.6034726,-0.9301005],[0.5448164,0.6093937,0.5536653,0.775952,0.06434158,0.5273377,0.19976266,0.8062832,-0.7538395,0.8130042,0.80318844,0.14093421,0.7507956,-0.33195764,0.8776737,0.5958521,0.8312872,-0.2552339,0.7095919,0.58644915,0.58453697,0.9682826,0.538252,0.5525592,-0.69934213,0.659818,-0.64977866,0.29022166,-0.7106719,0.71265656,0.28983387,-0.8217722,0.73370695,0.21840632,0.63013864,-0.118490204,-0.35154364,0.8831033,0.89567286,0.6452944,0.84327966,-0.63025516,0.72665703,1.0,0.72984916,0.81798756,-0.24822202,0.31070623,0.6815198,0.76541436,0.84899044,0.03289614,-0.021731146,0.8758454,0.27268606,0.30443016,-0.84567297,-0.4632259,-0.73305106],[0.60056937,0.38012967,0.570733,0.77744013,0.05062095,0.49203366,0.56029373,0.9288787,-0.8562032,0.9145179,0.6555779,0.11505598,0.9182833,-0.7308876,0.83442384,0.79157764,0.9220713,-0.7462703,0.59025705,0.1230708,0.42178556,0.7088996,0.30915865,0.89487284,-0.835668,0.3408927,-0.8913737,-0.12165825,-0.9080293,0.7138953,-0.22465038,-0.77765906,0.960157,-0.15894417,0.9345024,-0.49030757,-0.8426749,0.84927833,0.78131354,0.20104805,0.6879342,-0.22382917,0.9444036,0.72984916,1.0,0.9292238,-0.62144095,0.048740383,0.31197852,0.8142643,0.8097904,0.37922361,-0.61845005,0.89658123,0.7748353,0.75431114,-0.8851403,-0.685196,-0.9292012],[0.5844696,0.60275906,0.6265121,0.903217,0.22064541,0.63095534,0.57820517,0.89858377,-0.7607488,0.85753286,0.7880637,-0.018315399,0.8721008,-0.64479584,0.9226966,0.8227986,0.92163146,-0.5081499,0.5941714,0.38357982,0.59372663,0.768508,0.5602203,0.7464692,-0.7802066,0.5651579,-0.7852635,0.15612791,-0.8105087,0.68720704,0.011103884,-0.8180578,0.9061913,0.061002966,0.85757625,-0.23969294,-0.72119254,0.9395096,0.91343814,0.4187895,0.81630415,-0.22113732,0.9009067,0.81798756,0.9292238,1.0,-0.37735307,0.30714566,0.5223762,0.9089059,0.8819895,0.2369354,-0.38807243,0.9186531,0.714766,0.736571,-0.83605886,-0.6914416,-0.9072747],[-0.25830948,0.091057144,-0.19025974,-0.15933016,0.5140559,-0.11001577,-0.07535427,-0.5140972,0.69901997,-0.5575753,-0.06743024,-0.33393747,-0.6058233,0.5768342,-0.25592363,-0.4129026,-0.49061266,0.8178011,-0.3135421,0.4022,-0.03914313,-0.24090034,0.21370162,-0.7606891,0.63385886,0.36505836,0.80056846,0.5049595,0.7596683,-0.37722805,0.69471824,0.38771108,-0.6256842,0.41693434,-0.59552914,0.82276756,0.65793216,-0.293368,-0.18015178,0.2974,-0.26934466,0.19092248,-0.61046594,-0.24822202,-0.62144095,-0.37735307,1.0,0.41141835,0.25493574,-0.2138806,-0.36345288,-0.2592252,0.7886672,-0.43229458,-0.37874776,-0.497623,0.5924904,0.47800642,0.61863655],[0.06591915,0.72487056,0.4173617,0.44958967,0.41091922,0.5960572,0.21446982,0.11324716,-0.010694057,-0.06715741,0.30791914,0.041452445,0.109265596,0.029784955,0.3474096,0.39411533,0.25860354,0.41057003,0.09475008,0.53289026,0.6919134,0.19171059,0.79015017,-0.07833169,0.014186803,0.4576214,0.019776287,0.7411336,-0.004791142,0.09689295,0.5229486,-0.20162435,0.08822126,0.6226784,0.090476304,0.3930326,0.13275503,0.38444993,0.4687454,0.5818788,0.5783839,0.13624616,0.08500079,0.31070623,0.048740383,0.30714566,0.41141835,1.0,0.6820842,0.40814948,0.38693735,-0.29527703,0.3648218,0.22230507,0.039342493,-0.3249787,0.03569471,-0.12544405,-0.092026986],[0.40015692,0.75392663,0.64603037,0.6074023,0.4497578,0.6894973,0.19877051,0.41279823,-0.2628929,0.3323802,0.4238563,0.09819145,0.2886806,0.041166756,0.6881902,0.5039345,0.5691793,0.27703446,0.29251152,0.63964945,0.7721305,0.5900923,0.709991,0.10796031,-0.2096507,0.6844979,-0.18457434,0.6725736,-0.20209399,0.5461571,0.6657301,-0.45837387,0.30619657,0.71482444,0.35816202,0.30768234,0.020895917,0.66816324,0.77252257,0.8203369,0.7784365,-0.29617545,0.38553363,0.6815198,0.31197852,0.5223762,0.25493574,0.6820842,1.0,0.69157904,0.6706688,-0.044038843,0.32980245,0.5720969,0.06872622,-0.25784448,-0.33403778,0.012282247,-0.3529476],[0.51129013,0.63032573,0.7548551,0.88571763,0.33791444,0.7059401,0.47438163,0.79237014,-0.6453108,0.7541956,0.6450069,0.027506148,0.69933575,-0.48448032,0.9032737,0.7409,0.88648057,-0.34438652,0.4787054,0.4794762,0.63287896,0.68582743,0.6236768,0.54019815,-0.6765341,0.6012358,-0.7181172,0.36236298,-0.6940344,0.7820947,0.2907738,-0.75326735,0.7555039,0.25051862,0.8508237,-0.11081878,-0.59053785,0.917249,0.9149772,0.63360703,0.8208548,-0.29221752,0.77785254,0.76541436,0.8142643,0.9089059,-0.2138806,0.40814948,0.69157904,1.0,0.861377,0.19917285,-0.20308407,0.87022316,0.59473014,0.6211552,-0.75061494,-0.56483245,-0.84829533],[0.48768333,0.7631818,0.6472816,0.87418514,0.11012538,0.8005203,0.32001618,0.8381014,-0.77629143,0.7373697,0.66935164,0.18731938,0.7675803,-0.44588503,0.885886,0.8102312,0.8924326,-0.35363394,0.4735574,0.4885155,0.7726562,0.7869155,0.650926,0.6583659,-0.7654793,0.5100941,-0.76656,0.34679568,-0.76927876,0.6801581,0.13297845,-0.8509501,0.7891064,0.29189202,0.7815749,-0.19179456,-0.5257763,0.9354413,0.9144993,0.6064874,0.90018433,-0.39633474,0.8215469,0.84899044,0.8097904,0.8819895,-0.36345288,0.38693735,0.6706688,0.861377,1.0,0.08161386,-0.2544178,0.87742555,0.4321111,0.5863947,-0.8293146,-0.5502587,-0.8312193],[0.49726757,-0.2378169,0.22647436,0.047559205,0.24016178,-0.06796989,0.3990684,0.30995098,-0.11412773,0.45212525,-0.060339138,0.12517357,0.21150516,-0.33413023,0.15885258,0.24281566,0.20561846,-0.42991915,0.04070707,-0.4321133,-0.16089146,0.046757214,-0.3269841,0.33205312,-0.018361982,-0.014239775,-0.2250212,-0.41424975,-0.16803654,0.35020426,-0.17446381,0.1418004,0.35402697,-0.26344237,0.36681932,-0.36298564,-0.41922656,0.12596533,0.05258547,-0.17033845,-0.067484744,0.09025593,0.37815514,0.03289614,0.37922361,0.2369354,-0.2592252,-0.29527703,-0.044038843,0.19917285,0.08161386,1.0,-0.4390856,0.294844,0.46084392,0.25513762,-0.1380997,0.053686135,-0.23086175],[-0.35247666,0.19757584,-0.147391,-0.14302832,0.2147329,-0.066152275,-0.4011976,-0.506836,0.48292142,-0.47771066,-0.058557488,-0.16226785,-0.5183599,0.7059471,-0.20471229,-0.43409932,-0.3872984,0.8429238,-0.22280906,0.5940553,0.0752544,-0.04119593,0.2719145,-0.73081076,0.49731857,0.37644997,0.6179313,0.6426884,0.5736384,-0.14874166,0.7550109,0.26339668,-0.5757144,0.5482339,-0.5611266,0.7078303,0.827823,-0.20633613,-0.09435008,0.51545376,-0.060432725,-0.2279023,-0.6345614,-0.021731146,-0.61845005,-0.38807243,0.7886672,0.3648218,0.32980245,-0.20308407,-0.2544178,-0.4390856,1.0,-0.33221802,-0.6023293,-0.65517694,0.44637495,0.4915614,0.5821747],[0.6721815,0.53893006,0.6650698,0.819901,0.102156594,0.5275521,0.45176914,0.928974,-0.8121974,0.9244619,0.7182853,0.18505651,0.85867083,-0.5631965,0.9320847,0.7751571,0.95001245,-0.50762534,0.6478079,0.34806776,0.5453597,0.8305242,0.43758076,0.7635731,-0.74464685,0.576025,-0.7873567,0.10623105,-0.81595254,0.7937548,0.07658697,-0.805371,0.8924805,0.0722227,0.84612894,-0.28859213,-0.6121942,0.9257288,0.8974499,0.4786872,0.81589675,-0.38922605,0.8916442,0.8758454,0.89658123,0.9186531,-0.43229458,0.22230507,0.5720969,0.87022316,0.87742555,0.294844,-0.33221802,1.0,0.601078,0.5933146,-0.86207247,-0.51294774,-0.86459947],[0.46776813,0.14625034,0.4268826,0.56449246,0.31527492,0.21606971,0.8380357,0.6901582,-0.47862807,0.63607395,0.44983515,-0.018129416,0.678226,-0.73861724,0.54884994,0.58679664,0.6055592,-0.6827213,0.28337875,-0.07650287,0.13024817,0.25467917,0.18246432,0.6684747,-0.4941704,0.26764837,-0.57982254,-0.23470575,-0.5909164,0.4500393,-0.25467426,-0.41706592,0.703452,-0.3310567,0.7402351,-0.30399734,-0.7712603,0.5465168,0.45704663,-0.06548688,0.2871729,0.25954026,0.6899285,0.27268606,0.7748353,0.714766,-0.37874776,0.039342493,0.06872622,0.59473014,0.4321111,0.46084392,-0.6023293,0.601078,1.0,0.7460784,-0.50749916,-0.56915915,-0.68219626],[0.44539702,-0.09820202,0.2193778,0.6269284,-0.05245912,0.04056204,0.5314678,0.69124246,-0.53663087,0.6128471,0.44164306,-0.11000804,0.7173549,-0.75103205,0.5673602,0.577122,0.67520684,-0.6742393,0.4435,-0.22683847,-0.12287465,0.30808747,-0.08299722,0.69091135,-0.665133,0.052131914,-0.65984315,-0.6579648,-0.6346123,0.29555002,-0.47487798,-0.5781018,0.7078619,-0.7339184,0.71194804,-0.3290387,-0.7820746,0.5686465,0.5053933,-0.40137365,0.4092494,0.16163953,0.6897194,0.30443016,0.75431114,0.736571,-0.497623,-0.3249787,-0.25784448,0.6211552,0.5863947,0.25513762,-0.65517694,0.5933146,0.7460784,1.0,-0.63042474,-0.6627644,-0.7828535],[-0.5078394,-0.3967141,-0.48991436,-0.7326392,0.07939036,-0.4643292,-0.29286098,-0.8907757,0.8889467,-0.88556844,-0.6923252,-0.12763831,-0.8261091,0.5717785,-0.8164276,-0.6160369,-0.8833575,0.6354021,-0.63653183,-0.30097327,-0.40673313,-0.8373897,-0.3266888,-0.7731323,0.84843737,-0.36764657,0.8470929,0.050192963,0.872494,-0.7056328,0.110434815,0.87361133,-0.83651876,0.09125891,-0.81179214,0.4101903,0.66005063,-0.83204734,-0.80147713,-0.3205554,-0.70767075,0.5140928,-0.8521096,-0.84567297,-0.8851403,-0.83605886,0.5924904,0.03569471,-0.33403778,-0.75061494,-0.8293146,-0.1380997,0.44637495,-0.86207247,-0.50749916,-0.63042474,1.0,0.6317247,0.88342303],[-0.17021926,-0.3493297,-0.2620837,-0.63626486,0.04103341,-0.38606066,-0.42918554,-0.6189347,0.5797285,-0.5171083,-0.62507135,0.16343242,-0.6689905,0.7050462,-0.5264709,-0.6049227,-0.6085396,0.5697465,-0.41975597,-0.16867112,-0.3094987,-0.42921036,-0.42230916,-0.58044183,0.72051734,-0.13101065,0.70387024,0.005514894,0.69603765,-0.23411672,0.35965157,0.63437945,-0.67583054,0.24993648,-0.6445596,0.29929626,0.71555716,-0.57726383,-0.5550894,-0.028570352,-0.52699846,-0.013685902,-0.6034726,-0.4632259,-0.685196,-0.6914416,0.47800642,-0.12544405,0.012282247,-0.56483245,-0.5502587,0.053686135,0.4915614,-0.51294774,-0.56915915,-0.6627644,0.6317247,1.0,0.71458006],[-0.5563553,-0.41274565,-0.65317917,-0.7604218,-0.04223836,-0.5660361,-0.48413196,-0.8671794,0.79974395,-0.85107934,-0.608524,-0.044200297,-0.8405636,0.719136,-0.82594526,-0.74328756,-0.8991687,0.6516439,-0.5948393,-0.17038502,-0.5077559,-0.6595673,-0.39313972,-0.80243635,0.8083932,-0.3117288,0.89387375,0.025639072,0.86176014,-0.6770213,0.1577623,0.78061056,-0.8736373,0.08246232,-0.88737905,0.43638468,0.82717973,-0.84012085,-0.8208431,-0.2759482,-0.77629143,0.23052351,-0.9301005,-0.73305106,-0.9292012,-0.9072747,0.61863655,-0.092026986,-0.3529476,-0.84829533,-0.8312193,-0.23086175,0.5821747,-0.86459947,-0.68219626,-0.7828535,0.88342303,0.71458006,1.0]],"^IDS":["ADEN-CH","AAL-GB","914-HK","APTV-US","ATHM-US","9888-HK","BAS-DE","BAYN-DE","BMY-US","BT.A-GB","BRBY-GB","CA-FR","CON-DE","4324-JP","ENI-IT","GSK-GB","4544-JP","HAL-US","161390-KR","HPE-US","INTC-US","105560-KR","KER-FR","AD-NL","KHC-US","LEA-US","LYB-US","M-US","MAN-US","7459-JP","MHK-US","TAP-US","NWG-GB","7731-JP","9404-JP","PFE-US","PUM-DE","REP-ES","6963-JP","SBH-US","005935-KR","SAN-FR","SESG-FR","055550-KR","GLE-FR","STAN-GB","SWK-US","UHR-CH","TX-US","6995-JP","VAL-ZA","VZ-US","VTRS-US","VOD-GB","VOW3-DE","WBA-US","WU-US","WLY-US","WPP-GB"],"DUMMY^FLOAT_ARRAY CORRELMATRIX=GET_FQL_ARRAY(IDS,'FG_PRICE(45961,45961-1AY,D,USD)');'FDS CODE - DO NOT DELETE'":"FDS CODE - DO NOT DELETE","DUMMY^STRING_ARRAY IDS=TICKER_LIST('ADEN-CH AAL-GB 914-HK APTV-US ATHM-US 9888-HK BAS-DE BAYN-DE BMY-US BT.A-GB BRBY-GB CA-FR CON-DE 4324-JP ENI-IT GSK-GB 4544-JP HAL-US 161390-KR HPE-US INTC-US 105560-KR KER-FR AD-NL KHC-US LEA-US LYB-US M-US MAN-US 7459-JP MHK-US TAP-US NWG-GB 7731-JP 9404-JP PFE-US PUM-DE REP-ES 6963-JP SBH-US 005935-KR SAN-FR SESG-FR 055550-KR GLE-FR STAN-GB SWK-US UHR-CH TX-US 6995-JP VAL-ZA VZ-US VTRS-US VOD-GB VOW3-DE WBA-US WU-US WLY-US WPP-GB');\"FDS CODE - DO NOT DELETE\"":"FDS CODE - DO NOT DELETE","DUMMY^PROPER(\"CORRELATION OF DAILY DATA BETWEEN \") + FG_DATE(45961-1AY) + LOWERCASE(\" AND \") + FG_DATE(45961) + LOWERCASE(\":\")":"Correlation Of Daily Data Between 10/31/2024 and 10/31/2025:","ADEN-CH^FG_COMPANY_NAME":"Adecco Group AG","AAL-GB^FG_COMPANY_NAME":"Anglo American plc","914-HK^FG_COMPANY_NAME":"Anhui Conch Cement Company Limited Class H","APTV-US^FG_COMPANY_NAME":"Aptiv PLC","ATHM-US^FG_COMPANY_NAME":"Autohome Inc. Sponsored ADR Class A","9888-HK^FG_COMPANY_NAME":"Baidu, Inc. Class A","BAS-DE^FG_COMPANY_NAME":"BASF SE","BAYN-DE^FG_COMPANY_NAME":"Bayer AG","BMY-US^FG_COMPANY_NAME":"Bristol-Myers Squibb Company","BT.A-GB^FG_COMPANY_NAME":"BT Group plc","BRBY-GB^FG_COMPANY_NAME":"Burberry Group plc","CA-FR^FG_COMPANY_NAME":"Carrefour SA","CON-DE^FG_COMPANY_NAME":"Continental AG","4324-JP^FG_COMPANY_NAME":"Dentsu Group Inc.","ENI-IT^FG_COMPANY_NAME":"Eni S.p.A.","GSK-GB^FG_COMPANY_NAME":"GSK plc","4544-JP^FG_COMPANY_NAME":"H.U.Group Holdings, Inc.","HAL-US^FG_COMPANY_NAME":"Halliburton Company","161390-KR^FG_COMPANY_NAME":"HANKOOK TIRE & TECHNOLOGY Co., Ltd.","HPE-US^FG_COMPANY_NAME":"Hewlett Packard Enterprise Co.","INTC-US^FG_COMPANY_NAME":"Intel Corporation","105560-KR^FG_COMPANY_NAME":"KB Financial Group Inc.","KER-FR^FG_COMPANY_NAME":"Kering SA","AD-NL^FG_COMPANY_NAME":"Koninklijke Ahold Delhaize N.V.","KHC-US^FG_COMPANY_NAME":"Kraft Heinz Company","LEA-US^FG_COMPANY_NAME":"Lear Corporation","LYB-US^FG_COMPANY_NAME":"LyondellBasell Industries NV","M-US^FG_COMPANY_NAME":"Macy's, Inc.","MAN-US^FG_COMPANY_NAME":"ManpowerGroup Inc.","7459-JP^FG_COMPANY_NAME":"MEDIPAL HOLDINGS Corporation","MHK-US^FG_COMPANY_NAME":"Mohawk Industries, Inc.","TAP-US^FG_COMPANY_NAME":"Molson Coors Beverage Company Class B","NWG-GB^FG_COMPANY_NAME":"NatWest Group Plc","7731-JP^FG_COMPANY_NAME":"Nikon Corp.","9404-JP^FG_COMPANY_NAME":"Nippon Television Holdings, Inc.","PFE-US^FG_COMPANY_NAME":"Pfizer Inc.","PUM-DE^FG_COMPANY_NAME":"PUMA SE","REP-ES^FG_COMPANY_NAME":"Repsol SA","6963-JP^FG_COMPANY_NAME":"ROHM Company Limited","SBH-US^FG_COMPANY_NAME":"Sally Beauty Holdings, Inc.","005935-KR^FG_COMPANY_NAME":"Samsung Electronics Co Ltd Pfd  Non-Voting","SAN-FR^FG_COMPANY_NAME":"Sanofi SA","SESG-FR^FG_COMPANY_NAME":"SES SA FDR (Class A)","055550-KR^FG_COMPANY_NAME":"Shinhan Financial Group Co., Ltd.","GLE-FR^FG_COMPANY_NAME":"Societe Generale S.A. Class A","STAN-GB^FG_COMPANY_NAME":"Standard Chartered PLC","SWK-US^FG_COMPANY_NAME":"Stanley Black & Decker, Inc.","UHR-CH^FG_COMPANY_NAME":"Swatch Group Ltd. Bearer","TX-US^FG_COMPANY_NAME":"Ternium S.A. Sponsored ADR","6995-JP^FG_COMPANY_NAME":"TOKAI RIKA CO., LTD.","VAL-ZA^FG_COMPANY_NAME":"Valterra Platinum Limited","VZ-US^FG_COMPANY_NAME":"Verizon Communications Inc.","VTRS-US^FG_COMPANY_NAME":"Viatris, Inc.","VOD-GB^FG_COMPANY_NAME":"Vodafone Group Public Limited Company","VOW3-DE^FG_COMPANY_NAME":"Volkswagen AG Pref","WBA-US^FG_COMPANY_NAME":"Walgreens Boots Alliance, Inc.","WU-US^FG_COMPANY_NAME":"Western Union Company","WLY-US^FG_COMPANY_NAME":"John Wiley & Sons, Inc. Class A","WPP-GB^FG_COMPANY_NAME":"WPP Plc"}]]></FdsFormulaCache>
</file>

<file path=customXml/itemProps1.xml><?xml version="1.0" encoding="utf-8"?>
<ds:datastoreItem xmlns:ds="http://schemas.openxmlformats.org/officeDocument/2006/customXml" ds:itemID="{EF2D89C5-C105-4365-A3F5-A494A4E37168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2025-11-30T21:37:37Z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856424481</vt:i4>
  </property>
  <property fmtid="{D5CDD505-2E9C-101B-9397-08002B2CF9AE}" pid="4" name="_NewReviewCycle">
    <vt:lpwstr/>
  </property>
  <property fmtid="{D5CDD505-2E9C-101B-9397-08002B2CF9AE}" pid="5" name="_EmailSubject">
    <vt:lpwstr>Correlation Matrix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-470710312</vt:i4>
  </property>
  <property fmtid="{D5CDD505-2E9C-101B-9397-08002B2CF9AE}" pid="9" name="_ReviewingToolsShownOnce">
    <vt:lpwstr/>
  </property>
</Properties>
</file>