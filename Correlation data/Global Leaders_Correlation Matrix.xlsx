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L:\Meghan Ward\Nick Kirrage\Correlations - Early Iteration\"/>
    </mc:Choice>
  </mc:AlternateContent>
  <xr:revisionPtr revIDLastSave="0" documentId="13_ncr:1_{0B7501E3-15CC-42C7-8B1D-E4E256928A1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9" i="1" l="1" a="1"/>
  <c r="AH29" i="1" s="1"/>
  <c r="AG29" i="1" a="1"/>
  <c r="AG29" i="1" s="1"/>
  <c r="AF29" i="1" a="1"/>
  <c r="AF29" i="1" s="1"/>
  <c r="AE29" i="1" a="1"/>
  <c r="AE29" i="1" s="1"/>
  <c r="AD29" i="1" a="1"/>
  <c r="AD29" i="1" s="1"/>
  <c r="AC29" i="1" a="1"/>
  <c r="AC29" i="1" s="1"/>
  <c r="AB29" i="1" a="1"/>
  <c r="AB29" i="1" s="1"/>
  <c r="AA29" i="1" a="1"/>
  <c r="AA29" i="1" s="1"/>
  <c r="Z29" i="1" a="1"/>
  <c r="Z29" i="1" s="1"/>
  <c r="Y29" i="1" a="1"/>
  <c r="Y29" i="1" s="1"/>
  <c r="X29" i="1" a="1"/>
  <c r="X29" i="1" s="1"/>
  <c r="W29" i="1" a="1"/>
  <c r="W29" i="1" s="1"/>
  <c r="V29" i="1" a="1"/>
  <c r="V29" i="1" s="1"/>
  <c r="U29" i="1" a="1"/>
  <c r="U29" i="1" s="1"/>
  <c r="T29" i="1" a="1"/>
  <c r="T29" i="1" s="1"/>
  <c r="S29" i="1" a="1"/>
  <c r="S29" i="1" s="1"/>
  <c r="R29" i="1" a="1"/>
  <c r="R29" i="1" s="1"/>
  <c r="Q29" i="1" a="1"/>
  <c r="Q29" i="1" s="1"/>
  <c r="P29" i="1" a="1"/>
  <c r="P29" i="1" s="1"/>
  <c r="O29" i="1" a="1"/>
  <c r="O29" i="1" s="1"/>
  <c r="N29" i="1" a="1"/>
  <c r="N29" i="1" s="1"/>
  <c r="M29" i="1" a="1"/>
  <c r="M29" i="1" s="1"/>
  <c r="L29" i="1" a="1"/>
  <c r="L29" i="1" s="1"/>
  <c r="K29" i="1" a="1"/>
  <c r="K29" i="1" s="1"/>
  <c r="J29" i="1" a="1"/>
  <c r="J29" i="1" s="1"/>
  <c r="I29" i="1" a="1"/>
  <c r="I29" i="1" s="1"/>
  <c r="H29" i="1" a="1"/>
  <c r="H29" i="1" s="1"/>
  <c r="G29" i="1" a="1"/>
  <c r="G29" i="1" s="1"/>
  <c r="F29" i="1" a="1"/>
  <c r="F29" i="1" s="1"/>
  <c r="E29" i="1" a="1"/>
  <c r="E29" i="1" s="1"/>
  <c r="D29" i="1" a="1"/>
  <c r="D29" i="1" s="1"/>
  <c r="C29" i="1" a="1"/>
  <c r="C29" i="1" s="1"/>
  <c r="A62" i="1" a="1"/>
  <c r="A62" i="1" s="1"/>
  <c r="A61" i="1" a="1"/>
  <c r="A61" i="1" s="1"/>
  <c r="A60" i="1" a="1"/>
  <c r="A60" i="1" s="1"/>
  <c r="A59" i="1" a="1"/>
  <c r="A59" i="1" s="1"/>
  <c r="A58" i="1" a="1"/>
  <c r="A58" i="1" s="1"/>
  <c r="A57" i="1" a="1"/>
  <c r="A57" i="1" s="1"/>
  <c r="A56" i="1" a="1"/>
  <c r="A56" i="1" s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A47" i="1" a="1"/>
  <c r="A47" i="1" s="1"/>
  <c r="A46" i="1" a="1"/>
  <c r="A46" i="1" s="1"/>
  <c r="A45" i="1" a="1"/>
  <c r="A45" i="1" s="1"/>
  <c r="A44" i="1" a="1"/>
  <c r="A44" i="1" s="1"/>
  <c r="A43" i="1" a="1"/>
  <c r="A43" i="1" s="1"/>
  <c r="A42" i="1" a="1"/>
  <c r="A42" i="1" s="1"/>
  <c r="A41" i="1" a="1"/>
  <c r="A41" i="1" s="1"/>
  <c r="A40" i="1" a="1"/>
  <c r="A40" i="1" s="1"/>
  <c r="A39" i="1" a="1"/>
  <c r="A39" i="1" s="1"/>
  <c r="A38" i="1" a="1"/>
  <c r="A38" i="1" s="1"/>
  <c r="A37" i="1" a="1"/>
  <c r="A37" i="1" s="1"/>
  <c r="A36" i="1" a="1"/>
  <c r="A36" i="1" s="1"/>
  <c r="A35" i="1" a="1"/>
  <c r="A35" i="1" s="1"/>
  <c r="A34" i="1" a="1"/>
  <c r="A34" i="1" s="1"/>
  <c r="A33" i="1" a="1"/>
  <c r="A33" i="1" s="1"/>
  <c r="A32" i="1" a="1"/>
  <c r="A32" i="1" s="1"/>
  <c r="A31" i="1" a="1"/>
  <c r="A31" i="1" s="1"/>
  <c r="D7" i="4" a="1"/>
  <c r="D7" i="4" s="1"/>
  <c r="C7" i="4" a="1"/>
  <c r="C7" i="4" s="1"/>
  <c r="B7" i="4" a="1"/>
  <c r="B7" i="4" s="1"/>
  <c r="BI29" i="1" a="1"/>
  <c r="BI29" i="1" s="1"/>
  <c r="BH29" i="1" a="1"/>
  <c r="BH29" i="1" s="1"/>
  <c r="BG29" i="1" a="1"/>
  <c r="BG29" i="1" s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U29" i="1" a="1"/>
  <c r="AU29" i="1" s="1"/>
  <c r="AT29" i="1" a="1"/>
  <c r="AT29" i="1" s="1"/>
  <c r="AS29" i="1" a="1"/>
  <c r="AS29" i="1" s="1"/>
  <c r="AR29" i="1" a="1"/>
  <c r="AR29" i="1" s="1"/>
  <c r="AQ29" i="1" a="1"/>
  <c r="AQ29" i="1" s="1"/>
  <c r="AP29" i="1" a="1"/>
  <c r="AP29" i="1" s="1"/>
  <c r="AO29" i="1" a="1"/>
  <c r="AO29" i="1" s="1"/>
  <c r="AN29" i="1" a="1"/>
  <c r="AN29" i="1" s="1"/>
  <c r="AM29" i="1" a="1"/>
  <c r="AM29" i="1" s="1"/>
  <c r="AL29" i="1" a="1"/>
  <c r="AL29" i="1" s="1"/>
  <c r="AK29" i="1" a="1"/>
  <c r="AK29" i="1" s="1"/>
  <c r="AJ29" i="1" a="1"/>
  <c r="AJ29" i="1" s="1"/>
  <c r="AI29" i="1" a="1"/>
  <c r="AI29" i="1" s="1"/>
  <c r="O19" i="1" a="1"/>
  <c r="O19" i="1" s="1"/>
  <c r="O18" i="1" a="1"/>
  <c r="O18" i="1" s="1"/>
  <c r="O17" i="1" a="1"/>
  <c r="O17" i="1" s="1"/>
  <c r="O16" i="1" a="1"/>
  <c r="O16" i="1" s="1"/>
  <c r="O15" i="1" a="1"/>
  <c r="O15" i="1" s="1"/>
  <c r="O14" i="1" a="1"/>
  <c r="O14" i="1" s="1"/>
  <c r="O13" i="1" a="1"/>
  <c r="O13" i="1" s="1"/>
  <c r="O12" i="1" a="1"/>
  <c r="O12" i="1" s="1"/>
  <c r="O11" i="1" a="1"/>
  <c r="O11" i="1" s="1"/>
  <c r="O10" i="1" a="1"/>
  <c r="O10" i="1" s="1"/>
  <c r="O9" i="1" a="1"/>
  <c r="O9" i="1" s="1"/>
  <c r="O8" i="1" a="1"/>
  <c r="O8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H19" i="1" a="1"/>
  <c r="H19" i="1" s="1"/>
  <c r="H18" i="1" a="1"/>
  <c r="H18" i="1" s="1"/>
  <c r="H17" i="1" a="1"/>
  <c r="H17" i="1" s="1"/>
  <c r="H16" i="1" a="1"/>
  <c r="H16" i="1" s="1"/>
  <c r="H15" i="1" a="1"/>
  <c r="H15" i="1" s="1"/>
  <c r="H14" i="1" a="1"/>
  <c r="H14" i="1" s="1"/>
  <c r="H13" i="1" a="1"/>
  <c r="H13" i="1" s="1"/>
  <c r="H12" i="1" a="1"/>
  <c r="H12" i="1" s="1"/>
  <c r="H11" i="1" a="1"/>
  <c r="H11" i="1" s="1"/>
  <c r="H10" i="1" a="1"/>
  <c r="H10" i="1" s="1"/>
  <c r="H9" i="1" a="1"/>
  <c r="H9" i="1" s="1"/>
  <c r="H8" i="1" a="1"/>
  <c r="H8" i="1" s="1"/>
  <c r="H7" i="1" a="1"/>
  <c r="H7" i="1" s="1"/>
  <c r="H6" i="1" a="1"/>
  <c r="H6" i="1" s="1"/>
  <c r="H5" i="1" a="1"/>
  <c r="H5" i="1" s="1"/>
  <c r="F19" i="1" a="1"/>
  <c r="F19" i="1" s="1"/>
  <c r="F18" i="1" a="1"/>
  <c r="F18" i="1" s="1"/>
  <c r="F17" i="1" a="1"/>
  <c r="F17" i="1" s="1"/>
  <c r="F16" i="1" a="1"/>
  <c r="F16" i="1" s="1"/>
  <c r="F15" i="1" a="1"/>
  <c r="F15" i="1" s="1"/>
  <c r="F14" i="1" a="1"/>
  <c r="F14" i="1" s="1"/>
  <c r="F13" i="1" a="1"/>
  <c r="F13" i="1" s="1"/>
  <c r="F12" i="1" a="1"/>
  <c r="F12" i="1" s="1"/>
  <c r="F11" i="1" a="1"/>
  <c r="F11" i="1" s="1"/>
  <c r="F10" i="1" a="1"/>
  <c r="F10" i="1" s="1"/>
  <c r="F9" i="1" a="1"/>
  <c r="F9" i="1" s="1"/>
  <c r="F8" i="1" a="1"/>
  <c r="F8" i="1" s="1"/>
  <c r="F7" i="1" a="1"/>
  <c r="F7" i="1" s="1"/>
  <c r="F6" i="1" a="1"/>
  <c r="F6" i="1" s="1"/>
  <c r="F5" i="1" a="1"/>
  <c r="F5" i="1" s="1"/>
  <c r="D23" i="1" a="1"/>
  <c r="D23" i="1" s="1"/>
  <c r="D22" i="1" a="1"/>
  <c r="D22" i="1" s="1"/>
  <c r="D21" i="1" a="1"/>
  <c r="D21" i="1" s="1"/>
  <c r="D20" i="1" a="1"/>
  <c r="D20" i="1" s="1"/>
  <c r="D19" i="1" a="1"/>
  <c r="D19" i="1" s="1"/>
  <c r="D18" i="1" a="1"/>
  <c r="D18" i="1" s="1"/>
  <c r="D17" i="1" a="1"/>
  <c r="D17" i="1" s="1"/>
  <c r="D16" i="1" a="1"/>
  <c r="D16" i="1" s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D10" i="1" a="1"/>
  <c r="D10" i="1" s="1"/>
  <c r="D9" i="1" a="1"/>
  <c r="D9" i="1" s="1"/>
  <c r="D8" i="1" a="1"/>
  <c r="D8" i="1" s="1"/>
  <c r="D7" i="1" a="1"/>
  <c r="D7" i="1" s="1"/>
  <c r="D6" i="1" a="1"/>
  <c r="D6" i="1" s="1"/>
  <c r="D5" i="1" a="1"/>
  <c r="D5" i="1" s="1"/>
  <c r="C31" i="1" a="1"/>
  <c r="C31" i="1" s="1"/>
  <c r="C30" i="1" a="1"/>
  <c r="C30" i="1" s="1"/>
  <c r="C27" i="1" a="1"/>
  <c r="C27" i="1" s="1"/>
  <c r="B27" i="1" a="1"/>
  <c r="B27" i="1" s="1"/>
  <c r="B31" i="1" a="1"/>
  <c r="B31" i="1" s="1"/>
  <c r="B26" i="1" a="1"/>
  <c r="B26" i="1" s="1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C3" i="5"/>
  <c r="B3" i="5"/>
  <c r="A3" i="5" l="1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H9" i="4"/>
  <c r="H7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fpuser</author>
  </authors>
  <commentList>
    <comment ref="A1" authorId="0" shapeId="0" xr:uid="{6B21CB59-E4B9-414D-9106-3BEC90F77718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Timestamp="1764160971"&gt;&lt;FQL&gt;&lt;Q&gt;AMZN-US^FG_PRICE(45657,45657-1AY,,USD)&lt;/Q&gt;&lt;R&gt;253&lt;/R&gt;&lt;C&gt;1&lt;/C&gt;&lt;D xsi:type="xsd:double"&gt;219.39&lt;/D&gt;&lt;D xsi:type="xsd:double"&gt;221.3&lt;/D&gt;&lt;D xsi:type="xsd:double"&gt;223.75&lt;/D&gt;&lt;D xsi:type="xsd:double"&gt;227.05&lt;/D&gt;&lt;D xsi:type="xsd:double"&gt;229.05&lt;/D&gt;&lt;D xsi:type="xsd:double"&gt;225.06&lt;/D&gt;&lt;D xsi:type="xsd:double"&gt;224.92&lt;/D&gt;&lt;D xsi:type="xsd:double"&gt;223.29&lt;/D&gt;&lt;D xsi:type="xsd:double"&gt;220.52&lt;/D&gt;&lt;D xsi:type="xsd:double"&gt;231.15&lt;/D&gt;&lt;D xsi:type="xsd:double"&gt;232.93&lt;/D&gt;&lt;D xsi:type="xsd:double"&gt;227.46&lt;/D&gt;&lt;D xsi:type="xsd:double"&gt;228.97&lt;/D&gt;&lt;D xsi:type="xsd:double"&gt;230.26&lt;/D&gt;&lt;D xsi:type="xsd:double"&gt;225.04&lt;/D&gt;&lt;D xsi:type="xsd:double"&gt;226.09&lt;/D&gt;&lt;D xsi:type="xsd:double"&gt;227.03&lt;/D&gt;&lt;D xsi:type="xsd:double"&gt;220.55&lt;/D&gt;&lt;D xsi:type="xsd:double"&gt;218.16&lt;/D&gt;&lt;D xsi:type="xsd:double"&gt;213.44&lt;/D&gt;&lt;D xsi:type="xsd:double"&gt;210.71&lt;/D&gt;&lt;D xsi:type="xsd:double"&gt;207.89&lt;/D&gt;&lt;D xsi:type="xsd:double"&gt;205.74&lt;/D&gt;&lt;D xsi:type="xsd:double"&gt;207.86&lt;/D&gt;&lt;D xsi:type="xsd:double"&gt;201.45&lt;/D&gt;&lt;D xsi:type="xsd:double"&gt;197.12&lt;/D&gt;&lt;D xsi:type="xsd:double"&gt;198.38&lt;/D&gt;&lt;D xsi:type="xsd:double"&gt;202.88&lt;/D&gt;&lt;D xsi:type="xsd:double"&gt;204.61&lt;/D&gt;&lt;D xsi:type="xsd:double"&gt;201.7&lt;/D&gt;&lt;D xsi:type="xsd:double"&gt;202.61&lt;/D&gt;&lt;D xsi:type="xsd:double"&gt;211.48&lt;/D&gt;&lt;D xsi:type="xsd:double"&gt;214.1&lt;/D&gt;&lt;D xsi:type="xsd:double"&gt;208.91&lt;/D&gt;&lt;D xsi:type="xsd:double"&gt;206.84&lt;/D&gt;&lt;D xsi:type="xsd:double"&gt;208.18&lt;/D&gt;&lt;D xsi:type="xsd:double"&gt;210.05&lt;/D&gt;&lt;D xsi:type="xsd:double"&gt;207.09&lt;/D&gt;&lt;D xsi:type="xsd:double"&gt;199.5&lt;/D&gt;&lt;D xsi:type="xsd:double"&gt;195.78&lt;/D&gt;&lt;D xsi:type="xsd:double"&gt;197.93&lt;/D&gt;&lt;D xsi:type="xsd:double"&gt;186.4&lt;/D&gt;&lt;D xsi:type="xsd:double"&gt;192.73&lt;/D&gt;&lt;D xsi:type="xsd:double"&gt;190.83&lt;/D&gt;&lt;D xsi:type="xsd:double"&gt;188.39&lt;/D&gt;&lt;D xsi:type="xsd:double"&gt;187.83&lt;/D&gt;&lt;D xsi:type="xsd:double"&gt;186.38&lt;/D&gt;&lt;D xsi:type="xsd:double"&gt;184.71&lt;/D&gt;&lt;D xsi:type="xsd:double"&gt;189.7&lt;/D&gt;&lt;D xsi:type="xsd:double"&gt;189.07&lt;/D&gt;&lt;D xsi:type="xsd:double"&gt;188.99&lt;/D&gt;&lt;D xsi:type="xsd:double"&gt;187.53&lt;/D&gt;&lt;D xsi:type="xsd:double"&gt;186.89&lt;/D&gt;&lt;D xsi:type="xsd:double"&gt;187.69&lt;/D&gt;&lt;D xsi:type="xsd:double"&gt;187.54&lt;/D&gt;&lt;D xsi:type="xsd:double"&gt;188.82&lt;/D&gt;&lt;D xsi:type="xsd:double"&gt;186.65&lt;/D&gt;&lt;D xsi:type="xsd:double"&gt;185.17&lt;/D&gt;&lt;D xsi:type="xsd:double"&gt;182.72&lt;/D&gt;&lt;D xsi:type="xsd:double"&gt;180.8&lt;/D&gt;&lt;D xsi:type="xsd:double"&gt;186.51&lt;/D&gt;&lt;D xsi:type="xsd:double"&gt;181.96&lt;/D&gt;&lt;D xsi:type="xsd:double"&gt;184.76&lt;/D&gt;&lt;D xsi:type="xsd:double"&gt;185.13&lt;/D&gt;&lt;D xsi:type="xsd:double"&gt;186.33&lt;/D&gt;&lt;D xsi:type="xsd:double"&gt;187.97&lt;/D&gt;&lt;D xsi:type="xsd:double"&gt;191.16&lt;/D&gt;&lt;D xsi:type="xsd:double"&gt;192.53&lt;/D&gt;&lt;D xsi:type="xsd:double"&gt;193.96&lt;/D&gt;&lt;D xsi:type="xsd:double"&gt;193.88&lt;/D&gt;&lt;D xsi:type="xsd:double"&gt;191.6&lt;/D&gt;&lt;D xsi:type="xsd:double"&gt;189.87&lt;/D&gt;&lt;D xsi:type="xsd:double"&gt;186.43&lt;/D&gt;&lt;D xsi:type="xsd:double"&gt;186.88&lt;/D&gt;&lt;D xsi:type="xsd:double"&gt;184.89&lt;/D&gt;&lt;D xsi:type="xsd:double"&gt;186.49&lt;/D&gt;&lt;D xsi:type="xsd:double"&gt;187&lt;/D&gt;&lt;D xsi:type="xsd:double"&gt;184.52&lt;/D&gt;&lt;D xsi:type="xsd:double"&gt;179.55&lt;/D&gt;&lt;D xsi:type="xsd:double"&gt;175.4&lt;/D&gt;&lt;D xsi:type="xsd:double"&gt;171.39&lt;/D&gt;&lt;D xsi:type="xsd:double"&gt;177.89&lt;/D&gt;&lt;D xsi:type="xsd:double"&gt;173.33&lt;/D&gt;&lt;D xsi:type="xsd:double"&gt;176.25&lt;/D&gt;&lt;D xsi:type="xsd:double"&gt;178.5&lt;/D&gt;&lt;D xsi:type="xsd:double"&gt;172.12&lt;/D&gt;&lt;D xsi:type="xsd:double"&gt;170.8&lt;/D&gt;&lt;D xsi:type="xsd:double"&gt;173.12&lt;/D&gt;&lt;D xsi:type="xsd:double"&gt;175.5&lt;/D&gt;&lt;D xsi:type="xsd:double"&gt;177.04&lt;/D&gt;&lt;D xsi:type="xsd:double"&gt;176.13&lt;/D&gt;&lt;D xsi:type="xsd:double"&gt;180.11&lt;/D&gt;&lt;D xsi:type="xsd:double"&gt;178.88&lt;/D&gt;&lt;D xsi:type="xsd:double"&gt;178.22&lt;/D&gt;&lt;D xsi:type="xsd:double"&gt;177.06&lt;/D&gt;&lt;D xsi:type="xsd:double"&gt;177.59&lt;/D&gt;&lt;D xsi:type="xsd:double"&gt;170.1&lt;/D&gt;&lt;D xsi:type="xsd:double"&gt;170.23&lt;/D&gt;&lt;D xsi:type="xsd:double"&gt;166.8&lt;/D&gt;&lt;D xsi:type="xsd:double"&gt;166.94&lt;/D&gt;&lt;D xsi:type="xsd:double"&gt;165.8&lt;/D&gt;&lt;D xsi:type="xsd:double"&gt;162.77&lt;/D&gt;&lt;D xsi:type="xsd:double"&gt;161.93&lt;/D&gt;&lt;D xsi:type="xsd:double"&gt;161.02&lt;/D&gt;&lt;D xsi:type="xsd:double"&gt;167.9&lt;/D&gt;&lt;D xsi:type="xsd:double"&gt;184.07&lt;/D&gt;&lt;D xsi:type="xsd:double"&gt;186.98&lt;/D&gt;&lt;D xsi:type="xsd:double"&gt;181.71&lt;/D&gt;&lt;D xsi:type="xsd:double"&gt;183.2&lt;/D&gt;&lt;D xsi:type="xsd:double"&gt;182.5&lt;/D&gt;&lt;D xsi:type="xsd:double"&gt;179.85&lt;/D&gt;&lt;D xsi:type="xsd:double"&gt;180.83&lt;/D&gt;&lt;D xsi:type="xsd:double"&gt;186.41&lt;/D&gt;&lt;D xsi:type="xsd:double"&gt;182.55&lt;/D&gt;&lt;D xsi:type="xsd:double"&gt;183.13&lt;/D&gt;&lt;D xsi:type="xsd:double"&gt;183.75&lt;/D&gt;&lt;D xsi:type="xsd:double"&gt;187.93&lt;/D&gt;&lt;D xsi:type="xsd:double"&gt;193.02&lt;/D&gt;&lt;D xsi:type="xsd:double"&gt;192.72&lt;/D&gt;&lt;D xsi:type="xsd:double"&gt;194.49&lt;/D&gt;&lt;D xsi:type="xsd:double"&gt;195.05&lt;/D&gt;&lt;D xsi:type="xsd:double"&gt;199.79&lt;/D&gt;&lt;D xsi:type="xsd:double"&gt;199.34&lt;/D&gt;&lt;D xsi:type="xsd:double"&gt;199.29&lt;/D&gt;&lt;D xsi:type="xsd:double"&gt;200&lt;/D&gt;&lt;D xsi:type="xsd:double"&gt;197.59&lt;/D&gt;&lt;D xsi:type="xsd:double"&gt;200&lt;/D&gt;&lt;D xsi:type="xsd:double"&gt;197.2&lt;/D&gt;&lt;D xsi:type="xsd:double"&gt;193.25&lt;/D&gt;&lt;D xsi:type="xsd:double"&gt;197.85&lt;/D&gt;&lt;D xsi:type="xsd:double"&gt;193.61&lt;/D&gt;&lt;D xsi:type="xsd:double"&gt;186.34&lt;/D&gt;&lt;D xsi:type="xsd:double"&gt;185.57&lt;/D&gt;&lt;D xsi:type="xsd:double"&gt;189.08&lt;/D&gt;&lt;D xsi:type="xsd:double"&gt;186.1&lt;/D&gt;&lt;D xsi:type="xsd:double"&gt;182.81&lt;/D&gt;&lt;D xsi:type="xsd:double"&gt;184.06&lt;/D&gt;&lt;D xsi:type="xsd:double"&gt;183.66&lt;/D&gt;&lt;D xsi:type="xsd:double"&gt;183.83&lt;/D&gt;&lt;D xsi:type="xsd:double"&gt;186.89&lt;/D&gt;&lt;D xsi:type="xsd:double"&gt;187.23&lt;/D&gt;&lt;D xsi:type="xsd:double"&gt;187.06&lt;/D&gt;&lt;D xsi:type="xsd:double"&gt;184.3&lt;/D&gt;&lt;D xsi:type="xsd:double"&gt;185&lt;/D&gt;&lt;D xsi:type="xsd:double"&gt;181.28&lt;/D&gt;&lt;D xsi:type="xsd:double"&gt;179.34&lt;/D&gt;&lt;D xsi:type="xsd:double"&gt;178.34&lt;/D&gt;&lt;D xsi:type="xsd:double"&gt;176.44&lt;/D&gt;&lt;D xsi:type="xsd:double"&gt;179.32&lt;/D&gt;&lt;D xsi:type="xsd:double"&gt;182.02&lt;/D&gt;&lt;D xsi:type="xsd:double"&gt;182.15&lt;/D&gt;&lt;D xsi:type="xsd:double"&gt;180.75&lt;/D&gt;&lt;D xsi:type="xsd:double"&gt;181.05&lt;/D&gt;&lt;D xsi:type="xsd:double"&gt;183.13&lt;/D&gt;&lt;D xsi:type="xsd:double"&gt;183.15&lt;/D&gt;&lt;D xsi:type="xsd:double"&gt;183.54&lt;/D&gt;&lt;D xsi:type="xsd:double"&gt;184.7&lt;/D&gt;&lt;D xsi:type="xsd:double"&gt;183.63&lt;/D&gt;&lt;D xsi:type="xsd:double"&gt;185.99&lt;/D&gt;&lt;D xsi:type="xsd:double"&gt;187.07&lt;/D&gt;&lt;D xsi:type="xsd:double"&gt;186.57&lt;/D&gt;&lt;D xsi:type="xsd:double"&gt;187.48&lt;/D&gt;&lt;D xsi:type="xsd:double"&gt;189.5&lt;/D&gt;&lt;D xsi:type="xsd:double"&gt;188&lt;/D&gt;&lt;D xsi:type="xsd:double"&gt;188.76&lt;/D&gt;&lt;D xsi:type="xsd:double"&gt;188.7&lt;/D&gt;&lt;D xsi:type="xsd:double"&gt;186.21&lt;/D&gt;&lt;D xsi:type="xsd:double"&gt;184.72&lt;/D&gt;&lt;D xsi:type="xsd:double"&gt;179&lt;/D&gt;&lt;D xsi:type="xsd:double"&gt;175&lt;/D&gt;&lt;D xsi:type="xsd:double"&gt;180.96&lt;/D&gt;&lt;D xsi:type="xsd:double"&gt;179.62&lt;/D&gt;&lt;D xsi:type="xsd:double"&gt;173.67&lt;/D&gt;&lt;D xsi:type="xsd:double"&gt;176.59&lt;/D&gt;&lt;D xsi:type="xsd:double"&gt;179.54&lt;/D&gt;&lt;D xsi:type="xsd:double"&gt;177.23&lt;/D&gt;&lt;D xsi:type="xsd:double"&gt;174.63&lt;/D&gt;&lt;D xsi:type="xsd:double"&gt;179.22&lt;/D&gt;&lt;D xsi:type="xsd:double"&gt;181.28&lt;/D&gt;&lt;D xsi:type="xsd:double"&gt;183.32&lt;/D&gt;&lt;D xsi:type="xsd:double"&gt;183.62&lt;/D&gt;&lt;D xsi:type="xsd:double"&gt;186.13&lt;/D&gt;&lt;D xsi:type="xsd:double"&gt;189.05&lt;/D&gt;&lt;D xsi:type="xsd:double"&gt;185.95&lt;/D&gt;&lt;D xsi:type="xsd:double"&gt;185.67&lt;/D&gt;&lt;D xsi:type="xsd:double"&gt;185.19&lt;/D&gt;&lt;D xsi:type="xsd:double"&gt;185.07&lt;/D&gt;&lt;D xsi:type="xsd:double"&gt;180&lt;/D&gt;&lt;D xsi:type="xsd:double"&gt;182.41&lt;/D&gt;&lt;D xsi:type="xsd:double"&gt;180.69&lt;/D&gt;&lt;D xsi:type="xsd:double"&gt;180.97&lt;/D&gt;&lt;D xsi:type="xsd:double"&gt;180.38&lt;/D&gt;&lt;D xsi:type="xsd:double"&gt;179.83&lt;/D&gt;&lt;D xsi:type="xsd:double"&gt;178.3&lt;/D&gt;&lt;D xsi:type="xsd:double"&gt;179.71&lt;/D&gt;&lt;D xsi:type="xsd:double"&gt;178.87&lt;/D&gt;&lt;D xsi:type="xsd:double"&gt;178.15&lt;/D&gt;&lt;D xsi:type="xsd:double"&gt;178.15&lt;/D&gt;&lt;D xsi:type="xsd:double"&gt;175.9&lt;/D&gt;&lt;D xsi:type="xsd:double"&gt;174.48&lt;/D&gt;&lt;D xsi:type="xsd:double"&gt;174.42&lt;/D&gt;&lt;D xsi:type="xsd:double"&gt;178.75&lt;/D&gt;&lt;D xsi:type="xsd:double"&gt;176.555&lt;/D&gt;&lt;D xsi:type="xsd:double"&gt;175.39&lt;/D&gt;&lt;D xsi:type="xsd:double"&gt;171.96&lt;/D&gt;&lt;D xsi:type="xsd:double"&gt;175.35&lt;/D&gt;&lt;D xsi:type="xsd:double"&gt;176.82&lt;/D&gt;&lt;D xsi:type="xsd:double"&gt;173.51&lt;/D&gt;&lt;D xsi:type="xsd:double"&gt;174.12&lt;/D&gt;&lt;D xsi:type="xsd:double"&gt;177.58&lt;/D&gt;&lt;D xsi:type="xsd:double"&gt;178.22&lt;/D&gt;&lt;D xsi:type="xsd:double"&gt;176.76&lt;/D&gt;&lt;D xsi:type="xsd:double"&gt;173.16&lt;/D&gt;&lt;D xsi:type="xsd:double"&gt;173.54&lt;/D&gt;&lt;D xsi:type="xsd:double"&gt;174.73&lt;/D&gt;&lt;D xsi:type="xsd:double"&gt;174.99&lt;/D&gt;&lt;D xsi:type="xsd:double"&gt;174.58&lt;/D&gt;&lt;D xsi:type="xsd:double"&gt;168.59&lt;/D&gt;&lt;D xsi:type="xsd:double"&gt;167.08&lt;/D&gt;&lt;D xsi:type="xsd:double"&gt;169.51&lt;/D&gt;&lt;D xsi:type="xsd:double"&gt;169.8&lt;/D&gt;&lt;D xsi:type="xsd:double"&gt;170.98&lt;/D&gt;&lt;D xsi:type="xsd:double"&gt;168.64&lt;/D&gt;&lt;D xsi:type="xsd:double"&gt;172.34&lt;/D&gt;&lt;D xsi:type="xsd:double"&gt;174.45&lt;/D&gt;&lt;D xsi:type="xsd:double"&gt;169.84&lt;/D&gt;&lt;D xsi:type="xsd:double"&gt;170.53&lt;/D&gt;&lt;D xsi:type="xsd:double"&gt;169.15&lt;/D&gt;&lt;D xsi:type="xsd:double"&gt;170.31&lt;/D&gt;&lt;D xsi:type="xsd:double"&gt;171.81&lt;/D&gt;&lt;D xsi:type="xsd:double"&gt;159.28&lt;/D&gt;&lt;D xsi:type="xsd:double"&gt;155.2&lt;/D&gt;&lt;D xsi:type="xsd:double"&gt;159&lt;/D&gt;&lt;D xsi:type="xsd:double"&gt;161.26&lt;/D&gt;&lt;D xsi:type="xsd:double"&gt;159.12&lt;/D&gt;&lt;D xsi:type="xsd:double"&gt;157.75&lt;/D&gt;&lt;D xsi:type="xsd:double"&gt;156.87&lt;/D&gt;&lt;D xsi:type="xsd:double"&gt;156.02&lt;/D&gt;&lt;D xsi:type="xsd:double"&gt;154.78&lt;/D&gt;&lt;D xsi:type="xsd:double"&gt;155.34&lt;/D&gt;&lt;D xsi:type="xsd:double"&gt;153.5&lt;/D&gt;&lt;D xsi:type="xsd:double"&gt;151.71&lt;/D&gt;&lt;D xsi:type="xsd:double"&gt;153.16&lt;/D&gt;&lt;D xsi:type="xsd:double"&gt;154.62&lt;/D&gt;&lt;D xsi:type="xsd:double"&gt;155.18&lt;/D&gt;&lt;D xsi:type="xsd:double"&gt;153.73&lt;/D&gt;&lt;D xsi:type="xsd:double"&gt;151.37&lt;/D&gt;&lt;D xsi:type="xsd:double"&gt;149.1&lt;/D&gt;&lt;D xsi:type="xsd:double"&gt;145.24&lt;/D&gt;&lt;D xsi:type="xsd:double"&gt;144.57&lt;/D&gt;&lt;D xsi:type="xsd:double"&gt;148.47&lt;/D&gt;&lt;D xsi:type="xsd:double"&gt;149.93&lt;/D&gt;&lt;D xsi:type="xsd:double"&gt;151.94&lt;/D&gt;&lt;/FQL&gt;&lt;FQL&gt;&lt;Q&gt;META-US^FG_PRICE(45657,45657-1AY,,USD)&lt;/Q&gt;&lt;R&gt;253&lt;/R&gt;&lt;C&gt;1&lt;/C&gt;&lt;D xsi:type="xsd:double"&gt;585.51&lt;/D&gt;&lt;D xsi:type="xsd:double"&gt;591.24&lt;/D&gt;&lt;D xsi:type="xsd:double"&gt;599.81&lt;/D&gt;&lt;D xsi:type="xsd:double"&gt;603.35&lt;/D&gt;&lt;D xsi:type="xsd:double"&gt;607.75&lt;/D&gt;&lt;D xsi:type="xsd:double"&gt;599.85&lt;/D&gt;&lt;D xsi:type="xsd:double"&gt;585.25&lt;/D&gt;&lt;D xsi:type="xsd:double"&gt;595.57&lt;/D&gt;&lt;D xsi:type="xsd:double"&gt;597.19&lt;/D&gt;&lt;D xsi:type="xsd:double"&gt;619.44&lt;/D&gt;&lt;D xsi:type="xsd:double"&gt;624.24&lt;/D&gt;&lt;D xsi:type="xsd:double"&gt;620.35&lt;/D&gt;&lt;D xsi:type="xsd:double"&gt;630.79&lt;/D&gt;&lt;D xsi:type="xsd:double"&gt;632.68&lt;/D&gt;&lt;D xsi:type="xsd:double"&gt;619.32&lt;/D&gt;&lt;D xsi:type="xsd:double"&gt;613.57&lt;/D&gt;&lt;D xsi:type="xsd:double"&gt;623.77&lt;/D&gt;&lt;D xsi:type="xsd:double"&gt;608.93&lt;/D&gt;&lt;D xsi:type="xsd:double"&gt;613.78&lt;/D&gt;&lt;D xsi:type="xsd:double"&gt;613.65&lt;/D&gt;&lt;D xsi:type="xsd:double"&gt;592.83&lt;/D&gt;&lt;D xsi:type="xsd:double"&gt;574.32&lt;/D&gt;&lt;D xsi:type="xsd:double"&gt;569.2&lt;/D&gt;&lt;D xsi:type="xsd:double"&gt;573.54&lt;/D&gt;&lt;D xsi:type="xsd:double"&gt;565.11&lt;/D&gt;&lt;D xsi:type="xsd:double"&gt;559.14&lt;/D&gt;&lt;D xsi:type="xsd:double"&gt;563.09&lt;/D&gt;&lt;D xsi:type="xsd:double"&gt;565.52&lt;/D&gt;&lt;D xsi:type="xsd:double"&gt;561.09&lt;/D&gt;&lt;D xsi:type="xsd:double"&gt;554.4&lt;/D&gt;&lt;D xsi:type="xsd:double"&gt;554.08&lt;/D&gt;&lt;D xsi:type="xsd:double"&gt;577.16&lt;/D&gt;&lt;D xsi:type="xsd:double"&gt;580&lt;/D&gt;&lt;D xsi:type="xsd:double"&gt;584.82&lt;/D&gt;&lt;D xsi:type="xsd:double"&gt;583.17&lt;/D&gt;&lt;D xsi:type="xsd:double"&gt;589.34&lt;/D&gt;&lt;D xsi:type="xsd:double"&gt;591.7&lt;/D&gt;&lt;D xsi:type="xsd:double"&gt;572.05&lt;/D&gt;&lt;D xsi:type="xsd:double"&gt;572.43&lt;/D&gt;&lt;D xsi:type="xsd:double"&gt;560.68&lt;/D&gt;&lt;D xsi:type="xsd:double"&gt;567.16&lt;/D&gt;&lt;D xsi:type="xsd:double"&gt;567.58&lt;/D&gt;&lt;D xsi:type="xsd:double"&gt;591.8&lt;/D&gt;&lt;D xsi:type="xsd:double"&gt;593.28&lt;/D&gt;&lt;D xsi:type="xsd:double"&gt;578.16&lt;/D&gt;&lt;D xsi:type="xsd:double"&gt;573.25&lt;/D&gt;&lt;D xsi:type="xsd:double"&gt;567.78&lt;/D&gt;&lt;D xsi:type="xsd:double"&gt;563.69&lt;/D&gt;&lt;D xsi:type="xsd:double"&gt;582.01&lt;/D&gt;&lt;D xsi:type="xsd:double"&gt;575.16&lt;/D&gt;&lt;D xsi:type="xsd:double"&gt;576.47&lt;/D&gt;&lt;D xsi:type="xsd:double"&gt;576.93&lt;/D&gt;&lt;D xsi:type="xsd:double"&gt;576.79&lt;/D&gt;&lt;D xsi:type="xsd:double"&gt;586.27&lt;/D&gt;&lt;D xsi:type="xsd:double"&gt;590.42&lt;/D&gt;&lt;D xsi:type="xsd:double"&gt;589.95&lt;/D&gt;&lt;D xsi:type="xsd:double"&gt;583.83&lt;/D&gt;&lt;D xsi:type="xsd:double"&gt;590.51&lt;/D&gt;&lt;D xsi:type="xsd:double"&gt;592.89&lt;/D&gt;&lt;D xsi:type="xsd:double"&gt;584.78&lt;/D&gt;&lt;D xsi:type="xsd:double"&gt;595.94&lt;/D&gt;&lt;D xsi:type="xsd:double"&gt;582.77&lt;/D&gt;&lt;D xsi:type="xsd:double"&gt;572.81&lt;/D&gt;&lt;D xsi:type="xsd:double"&gt;576.47&lt;/D&gt;&lt;D xsi:type="xsd:double"&gt;572.44&lt;/D&gt;&lt;D xsi:type="xsd:double"&gt;567.36&lt;/D&gt;&lt;D xsi:type="xsd:double"&gt;567.84&lt;/D&gt;&lt;D xsi:type="xsd:double"&gt;568.31&lt;/D&gt;&lt;D xsi:type="xsd:double"&gt;563.33&lt;/D&gt;&lt;D xsi:type="xsd:double"&gt;564.41&lt;/D&gt;&lt;D xsi:type="xsd:double"&gt;561.35&lt;/D&gt;&lt;D xsi:type="xsd:double"&gt;559.1&lt;/D&gt;&lt;D xsi:type="xsd:double"&gt;537.95&lt;/D&gt;&lt;D xsi:type="xsd:double"&gt;536.315&lt;/D&gt;&lt;D xsi:type="xsd:double"&gt;533.28&lt;/D&gt;&lt;D xsi:type="xsd:double"&gt;524.62&lt;/D&gt;&lt;D xsi:type="xsd:double"&gt;525.6&lt;/D&gt;&lt;D xsi:type="xsd:double"&gt;511.83&lt;/D&gt;&lt;D xsi:type="xsd:double"&gt;504.79&lt;/D&gt;&lt;D xsi:type="xsd:double"&gt;504.79&lt;/D&gt;&lt;D xsi:type="xsd:double"&gt;500.27&lt;/D&gt;&lt;D xsi:type="xsd:double"&gt;516.86&lt;/D&gt;&lt;D xsi:type="xsd:double"&gt;512.74&lt;/D&gt;&lt;D xsi:type="xsd:double"&gt;511.76&lt;/D&gt;&lt;D xsi:type="xsd:double"&gt;521.31&lt;/D&gt;&lt;D xsi:type="xsd:double"&gt;518.22&lt;/D&gt;&lt;D xsi:type="xsd:double"&gt;516.78&lt;/D&gt;&lt;D xsi:type="xsd:double"&gt;519.1&lt;/D&gt;&lt;D xsi:type="xsd:double"&gt;521.12&lt;/D&gt;&lt;D xsi:type="xsd:double"&gt;528&lt;/D&gt;&lt;D xsi:type="xsd:double"&gt;531.93&lt;/D&gt;&lt;D xsi:type="xsd:double"&gt;535.16&lt;/D&gt;&lt;D xsi:type="xsd:double"&gt;526.73&lt;/D&gt;&lt;D xsi:type="xsd:double"&gt;529.28&lt;/D&gt;&lt;D xsi:type="xsd:double"&gt;527.42&lt;/D&gt;&lt;D xsi:type="xsd:double"&gt;537.33&lt;/D&gt;&lt;D xsi:type="xsd:double"&gt;526.76&lt;/D&gt;&lt;D xsi:type="xsd:double"&gt;528.54&lt;/D&gt;&lt;D xsi:type="xsd:double"&gt;515.95&lt;/D&gt;&lt;D xsi:type="xsd:double"&gt;517.77&lt;/D&gt;&lt;D xsi:type="xsd:double"&gt;509.63&lt;/D&gt;&lt;D xsi:type="xsd:double"&gt;488.92&lt;/D&gt;&lt;D xsi:type="xsd:double"&gt;494.09&lt;/D&gt;&lt;D xsi:type="xsd:double"&gt;475.73&lt;/D&gt;&lt;D xsi:type="xsd:double"&gt;488.14&lt;/D&gt;&lt;D xsi:type="xsd:double"&gt;497.74&lt;/D&gt;&lt;D xsi:type="xsd:double"&gt;474.83&lt;/D&gt;&lt;D xsi:type="xsd:double"&gt;463.19&lt;/D&gt;&lt;D xsi:type="xsd:double"&gt;465.71&lt;/D&gt;&lt;D xsi:type="xsd:double"&gt;465.7&lt;/D&gt;&lt;D xsi:type="xsd:double"&gt;453.41&lt;/D&gt;&lt;D xsi:type="xsd:double"&gt;461.27&lt;/D&gt;&lt;D xsi:type="xsd:double"&gt;488.69&lt;/D&gt;&lt;D xsi:type="xsd:double"&gt;487.4&lt;/D&gt;&lt;D xsi:type="xsd:double"&gt;476.79&lt;/D&gt;&lt;D xsi:type="xsd:double"&gt;475.85&lt;/D&gt;&lt;D xsi:type="xsd:double"&gt;461.99&lt;/D&gt;&lt;D xsi:type="xsd:double"&gt;489.79&lt;/D&gt;&lt;D xsi:type="xsd:double"&gt;496.16&lt;/D&gt;&lt;D xsi:type="xsd:double"&gt;498.87&lt;/D&gt;&lt;D xsi:type="xsd:double"&gt;512.7&lt;/D&gt;&lt;D xsi:type="xsd:double"&gt;534.69&lt;/D&gt;&lt;D xsi:type="xsd:double"&gt;530&lt;/D&gt;&lt;D xsi:type="xsd:double"&gt;529.32&lt;/D&gt;&lt;D xsi:type="xsd:double"&gt;539.91&lt;/D&gt;&lt;D xsi:type="xsd:double"&gt;509.96&lt;/D&gt;&lt;D xsi:type="xsd:double"&gt;509.5&lt;/D&gt;&lt;D xsi:type="xsd:double"&gt;504.68&lt;/D&gt;&lt;D xsi:type="xsd:double"&gt;504.22&lt;/D&gt;&lt;D xsi:type="xsd:double"&gt;519.56&lt;/D&gt;&lt;D xsi:type="xsd:double"&gt;513.12&lt;/D&gt;&lt;D xsi:type="xsd:double"&gt;510.6&lt;/D&gt;&lt;D xsi:type="xsd:double"&gt;498.91&lt;/D&gt;&lt;D xsi:type="xsd:double"&gt;494.78&lt;/D&gt;&lt;D xsi:type="xsd:double"&gt;501.7&lt;/D&gt;&lt;D xsi:type="xsd:double"&gt;499.49&lt;/D&gt;&lt;D xsi:type="xsd:double"&gt;506.63&lt;/D&gt;&lt;D xsi:type="xsd:double"&gt;504.16&lt;/D&gt;&lt;D xsi:type="xsd:double"&gt;504.1&lt;/D&gt;&lt;D xsi:type="xsd:double"&gt;508.84&lt;/D&gt;&lt;D xsi:type="xsd:double"&gt;507.47&lt;/D&gt;&lt;D xsi:type="xsd:double"&gt;502.6&lt;/D&gt;&lt;D xsi:type="xsd:double"&gt;492.96&lt;/D&gt;&lt;D xsi:type="xsd:double"&gt;493.76&lt;/D&gt;&lt;D xsi:type="xsd:double"&gt;495.06&lt;/D&gt;&lt;D xsi:type="xsd:double"&gt;476.99&lt;/D&gt;&lt;D xsi:type="xsd:double"&gt;477.49&lt;/D&gt;&lt;D xsi:type="xsd:double"&gt;466.83&lt;/D&gt;&lt;D xsi:type="xsd:double"&gt;467.05&lt;/D&gt;&lt;D xsi:type="xsd:double"&gt;474.36&lt;/D&gt;&lt;D xsi:type="xsd:double"&gt;479.92&lt;/D&gt;&lt;D xsi:type="xsd:double"&gt;478.22&lt;/D&gt;&lt;D xsi:type="xsd:double"&gt;465.78&lt;/D&gt;&lt;D xsi:type="xsd:double"&gt;467.78&lt;/D&gt;&lt;D xsi:type="xsd:double"&gt;464.63&lt;/D&gt;&lt;D xsi:type="xsd:double"&gt;468.84&lt;/D&gt;&lt;D xsi:type="xsd:double"&gt;471.91&lt;/D&gt;&lt;D xsi:type="xsd:double"&gt;473.23&lt;/D&gt;&lt;D xsi:type="xsd:double"&gt;481.54&lt;/D&gt;&lt;D xsi:type="xsd:double"&gt;471.85&lt;/D&gt;&lt;D xsi:type="xsd:double"&gt;468.01&lt;/D&gt;&lt;D xsi:type="xsd:double"&gt;476.2&lt;/D&gt;&lt;D xsi:type="xsd:double"&gt;475.42&lt;/D&gt;&lt;D xsi:type="xsd:double"&gt;472.6&lt;/D&gt;&lt;D xsi:type="xsd:double"&gt;468.24&lt;/D&gt;&lt;D xsi:type="xsd:double"&gt;465.68&lt;/D&gt;&lt;D xsi:type="xsd:double"&gt;451.96&lt;/D&gt;&lt;D xsi:type="xsd:double"&gt;441.68&lt;/D&gt;&lt;D xsi:type="xsd:double"&gt;439.19&lt;/D&gt;&lt;D xsi:type="xsd:double"&gt;430.17&lt;/D&gt;&lt;D xsi:type="xsd:double"&gt;432.62&lt;/D&gt;&lt;D xsi:type="xsd:double"&gt;443.29&lt;/D&gt;&lt;D xsi:type="xsd:double"&gt;441.38&lt;/D&gt;&lt;D xsi:type="xsd:double"&gt;493.5&lt;/D&gt;&lt;D xsi:type="xsd:double"&gt;496.1&lt;/D&gt;&lt;D xsi:type="xsd:double"&gt;481.73&lt;/D&gt;&lt;D xsi:type="xsd:double"&gt;481.07&lt;/D&gt;&lt;D xsi:type="xsd:double"&gt;501.8&lt;/D&gt;&lt;D xsi:type="xsd:double"&gt;494.17&lt;/D&gt;&lt;D xsi:type="xsd:double"&gt;499.76&lt;/D&gt;&lt;D xsi:type="xsd:double"&gt;500.23&lt;/D&gt;&lt;D xsi:type="xsd:double"&gt;511.9&lt;/D&gt;&lt;D xsi:type="xsd:double"&gt;523.16&lt;/D&gt;&lt;D xsi:type="xsd:double"&gt;519.83&lt;/D&gt;&lt;D xsi:type="xsd:double"&gt;516.9&lt;/D&gt;&lt;D xsi:type="xsd:double"&gt;519.25&lt;/D&gt;&lt;D xsi:type="xsd:double"&gt;527.34&lt;/D&gt;&lt;D xsi:type="xsd:double"&gt;510.92&lt;/D&gt;&lt;D xsi:type="xsd:double"&gt;506.74&lt;/D&gt;&lt;D xsi:type="xsd:double"&gt;497.37&lt;/D&gt;&lt;D xsi:type="xsd:double"&gt;491.35&lt;/D&gt;&lt;D xsi:type="xsd:double"&gt;485.58&lt;/D&gt;&lt;D xsi:type="xsd:double"&gt;493.86&lt;/D&gt;&lt;D xsi:type="xsd:double"&gt;495.89&lt;/D&gt;&lt;D xsi:type="xsd:double"&gt;503.02&lt;/D&gt;&lt;D xsi:type="xsd:double"&gt;509.58&lt;/D&gt;&lt;D xsi:type="xsd:double"&gt;507.76&lt;/D&gt;&lt;D xsi:type="xsd:double"&gt;505.52&lt;/D&gt;&lt;D xsi:type="xsd:double"&gt;496.24&lt;/D&gt;&lt;D xsi:type="xsd:double"&gt;496.98&lt;/D&gt;&lt;D xsi:type="xsd:double"&gt;484.1&lt;/D&gt;&lt;D xsi:type="xsd:double"&gt;491.83&lt;/D&gt;&lt;D xsi:type="xsd:double"&gt;495.57&lt;/D&gt;&lt;D xsi:type="xsd:double"&gt;499.75&lt;/D&gt;&lt;D xsi:type="xsd:double"&gt;483.59&lt;/D&gt;&lt;D xsi:type="xsd:double"&gt;505.95&lt;/D&gt;&lt;D xsi:type="xsd:double"&gt;512.19&lt;/D&gt;&lt;D xsi:type="xsd:double"&gt;496.09&lt;/D&gt;&lt;D xsi:type="xsd:double"&gt;490.22&lt;/D&gt;&lt;D xsi:type="xsd:double"&gt;498.19&lt;/D&gt;&lt;D xsi:type="xsd:double"&gt;502.3&lt;/D&gt;&lt;D xsi:type="xsd:double"&gt;490.13&lt;/D&gt;&lt;D xsi:type="xsd:double"&gt;484.02&lt;/D&gt;&lt;D xsi:type="xsd:double"&gt;487.05&lt;/D&gt;&lt;D xsi:type="xsd:double"&gt;481.74&lt;/D&gt;&lt;D xsi:type="xsd:double"&gt;484.03&lt;/D&gt;&lt;D xsi:type="xsd:double"&gt;486.13&lt;/D&gt;&lt;D xsi:type="xsd:double"&gt;468.03&lt;/D&gt;&lt;D xsi:type="xsd:double"&gt;471.75&lt;/D&gt;&lt;D xsi:type="xsd:double"&gt;473.32&lt;/D&gt;&lt;D xsi:type="xsd:double"&gt;484.03&lt;/D&gt;&lt;D xsi:type="xsd:double"&gt;473.28&lt;/D&gt;&lt;D xsi:type="xsd:double"&gt;460.12&lt;/D&gt;&lt;D xsi:type="xsd:double"&gt;468.9&lt;/D&gt;&lt;D xsi:type="xsd:double"&gt;468.11&lt;/D&gt;&lt;D xsi:type="xsd:double"&gt;470&lt;/D&gt;&lt;D xsi:type="xsd:double"&gt;469.59&lt;/D&gt;&lt;D xsi:type="xsd:double"&gt;454.72&lt;/D&gt;&lt;D xsi:type="xsd:double"&gt;459.41&lt;/D&gt;&lt;D xsi:type="xsd:double"&gt;474.99&lt;/D&gt;&lt;D xsi:type="xsd:double"&gt;394.78&lt;/D&gt;&lt;D xsi:type="xsd:double"&gt;390.14&lt;/D&gt;&lt;D xsi:type="xsd:double"&gt;400.06&lt;/D&gt;&lt;D xsi:type="xsd:double"&gt;401.02&lt;/D&gt;&lt;D xsi:type="xsd:double"&gt;394.14&lt;/D&gt;&lt;D xsi:type="xsd:double"&gt;393.18&lt;/D&gt;&lt;D xsi:type="xsd:double"&gt;390.7&lt;/D&gt;&lt;D xsi:type="xsd:double"&gt;385.2&lt;/D&gt;&lt;D xsi:type="xsd:double"&gt;381.78&lt;/D&gt;&lt;D xsi:type="xsd:double"&gt;383.45&lt;/D&gt;&lt;D xsi:type="xsd:double"&gt;376.13&lt;/D&gt;&lt;D xsi:type="xsd:double"&gt;368.37&lt;/D&gt;&lt;D xsi:type="xsd:double"&gt;367.46&lt;/D&gt;&lt;D xsi:type="xsd:double"&gt;374.49&lt;/D&gt;&lt;D xsi:type="xsd:double"&gt;369.67&lt;/D&gt;&lt;D xsi:type="xsd:double"&gt;370.47&lt;/D&gt;&lt;D xsi:type="xsd:double"&gt;357.43&lt;/D&gt;&lt;D xsi:type="xsd:double"&gt;358.66&lt;/D&gt;&lt;D xsi:type="xsd:double"&gt;351.95&lt;/D&gt;&lt;D xsi:type="xsd:double"&gt;347.12&lt;/D&gt;&lt;D xsi:type="xsd:double"&gt;344.47&lt;/D&gt;&lt;D xsi:type="xsd:double"&gt;346.29&lt;/D&gt;&lt;D xsi:type="xsd:double"&gt;353.96&lt;/D&gt;&lt;/FQL&gt;&lt;FQL&gt;&lt;Q&gt;META-US^JULIAN(FG_PRICE(45657,45657-1AY,,USD).DATES)&lt;/Q&gt;&lt;R&gt;253&lt;/R&gt;&lt;C&gt;1&lt;/C&gt;&lt;D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/FQL&gt;&lt;FQL&gt;&lt;Q&gt;^FG_COMPANY_NAME&lt;/Q&gt;&lt;R&gt;0&lt;/R&gt;&lt;C&gt;0&lt;/C&gt;&lt;/FQL&gt;&lt;FQL&gt;&lt;Q&gt;^PROPER_NAME&lt;/Q&gt;&lt;R&gt;0&lt;/R&gt;&lt;C&gt;0&lt;/C&gt;&lt;/FQL&gt;&lt;FQL&gt;&lt;Q&gt;MCO-US^PROPER_NAME&lt;/Q&gt;&lt;R&gt;1&lt;/R&gt;&lt;C&gt;1&lt;/C&gt;&lt;D xsi:type="xsd:string"&gt;Moody's Corporation&lt;/D&gt;&lt;/FQL&gt;&lt;FQL&gt;&lt;Q&gt;SHW-US^PROPER_NAME&lt;/Q&gt;&lt;R&gt;1&lt;/R&gt;&lt;C&gt;1&lt;/C&gt;&lt;D xsi:type="xsd:string"&gt;Sherwin-Williams Company&lt;/D&gt;&lt;/FQL&gt;&lt;FQL&gt;&lt;Q&gt;EVD-DE^PROPER_NAME&lt;/Q&gt;&lt;R&gt;1&lt;/R&gt;&lt;C&gt;1&lt;/C&gt;&lt;D xsi:type="xsd:string"&gt;CTS Eventim AG &amp;amp; Co. KGaA&lt;/D&gt;&lt;/FQL&gt;&lt;FQL&gt;&lt;Q&gt;BKNG-US^PROPER_NAME&lt;/Q&gt;&lt;R&gt;1&lt;/R&gt;&lt;C&gt;1&lt;/C&gt;&lt;D xsi:type="xsd:string"&gt;Booking Holdings Inc.&lt;/D&gt;&lt;/FQL&gt;&lt;FQL&gt;&lt;Q&gt;ADSK-US^PROPER_NAME&lt;/Q&gt;&lt;R&gt;1&lt;/R&gt;&lt;C&gt;1&lt;/C&gt;&lt;D xsi:type="xsd:string"&gt;Autodesk, Inc.&lt;/D&gt;&lt;/FQL&gt;&lt;FQL&gt;&lt;Q&gt;WDAY-US^PROPER_NAME&lt;/Q&gt;&lt;R&gt;1&lt;/R&gt;&lt;C&gt;1&lt;/C&gt;&lt;D xsi:type="xsd:string"&gt;Workday, Inc. Class A&lt;/D&gt;&lt;/FQL&gt;&lt;FQL&gt;&lt;Q&gt;RTO-GB^PROPER_NAME&lt;/Q&gt;&lt;R&gt;1&lt;/R&gt;&lt;C&gt;1&lt;/C&gt;&lt;D xsi:type="xsd:string"&gt;Rentokil Initial plc&lt;/D&gt;&lt;/FQL&gt;&lt;FQL&gt;&lt;Q&gt;BBCA-ID^PROPER_NAME&lt;/Q&gt;&lt;R&gt;1&lt;/R&gt;&lt;C&gt;1&lt;/C&gt;&lt;D xsi:type="xsd:string"&gt;PT Bank Central Asia Tbk&lt;/D&gt;&lt;/FQL&gt;&lt;FQL&gt;&lt;Q&gt;AZO-US^PROPER_NAME&lt;/Q&gt;&lt;R&gt;1&lt;/R&gt;&lt;C&gt;1&lt;/C&gt;&lt;D xsi:type="xsd:string"&gt;AutoZone, Inc.&lt;/D&gt;&lt;/FQL&gt;&lt;FQL&gt;&lt;Q&gt;ALLE-US^PROPER_NAME&lt;/Q&gt;&lt;R&gt;1&lt;/R&gt;&lt;C&gt;1&lt;/C&gt;&lt;D xsi:type="xsd:string"&gt;Allegion Public Limited Company&lt;/D&gt;&lt;/FQL&gt;&lt;FQL&gt;&lt;Q&gt;ATCO.B-SE^PROPER_NAME&lt;/Q&gt;&lt;R&gt;1&lt;/R&gt;&lt;C&gt;1&lt;/C&gt;&lt;D xsi:type="xsd:string"&gt;Atlas Copco AB Class B&lt;/D&gt;&lt;/FQL&gt;&lt;FQL&gt;&lt;Q&gt;B3SA3-BR^PROPER_NAME&lt;/Q&gt;&lt;R&gt;1&lt;/R&gt;&lt;C&gt;1&lt;/C&gt;&lt;D xsi:type="xsd:string"&gt;B3 SA - Brasil, Bolsa, Balcao&lt;/D&gt;&lt;/FQL&gt;&lt;FQL&gt;&lt;Q&gt;ZTS-US^PROPER_NAME&lt;/Q&gt;&lt;R&gt;1&lt;/R&gt;&lt;C&gt;1&lt;/C&gt;&lt;D xsi:type="xsd:string"&gt;Zoetis, Inc. Class A&lt;/D&gt;&lt;/FQL&gt;&lt;FQL&gt;&lt;Q&gt;FERG-US^PROPER_NAME&lt;/Q&gt;&lt;R&gt;1&lt;/R&gt;&lt;C&gt;1&lt;/C&gt;&lt;D xsi:type="xsd:string"&gt;Ferguson Enterprises Inc.&lt;/D&gt;&lt;/FQL&gt;&lt;FQL&gt;&lt;Q&gt;EW-US^PROPER_NAME&lt;/Q&gt;&lt;R&gt;1&lt;/R&gt;&lt;C&gt;1&lt;/C&gt;&lt;D xsi:type="xsd:string"&gt;Edwards Lifesciences Corporation&lt;/D&gt;&lt;/FQL&gt;&lt;FQL&gt;&lt;Q&gt;INTU-US^PROPER_NAME&lt;/Q&gt;&lt;R&gt;1&lt;/R&gt;&lt;C&gt;1&lt;/C&gt;&lt;D xsi:type="xsd:string"&gt;Intuit Inc.&lt;/D&gt;&lt;/FQL&gt;&lt;FQL&gt;&lt;Q&gt;HDB-US^PROPER_NAME&lt;/Q&gt;&lt;R&gt;1&lt;/R&gt;&lt;C&gt;1&lt;/C&gt;&lt;D xsi:type="xsd:string"&gt;HDFC Bank Limited Sponsored ADR&lt;/D&gt;&lt;/FQL&gt;&lt;FQL&gt;&lt;Q&gt;1299-HK^PROPER_NAME&lt;/Q&gt;&lt;R&gt;1&lt;/R&gt;&lt;C&gt;1&lt;/C&gt;&lt;D xsi:type="xsd:string"&gt;AIA Group Limited&lt;/D&gt;&lt;/FQL&gt;&lt;FQL&gt;&lt;Q&gt;ROG-CH^PROPER_NAME&lt;/Q&gt;&lt;R&gt;1&lt;/R&gt;&lt;C&gt;1&lt;/C&gt;&lt;D xsi:type="xsd:string"&gt;Roche Holding Ltd Dividend Right Cert.&lt;/D&gt;&lt;/FQL&gt;&lt;FQL&gt;&lt;Q&gt;SAF-FR^PROPER_NAME&lt;/Q&gt;&lt;R&gt;1&lt;/R&gt;&lt;C&gt;1&lt;/C&gt;&lt;D xsi:type="xsd:string"&gt;Safran SA&lt;/D&gt;&lt;/FQL&gt;&lt;FQL&gt;&lt;Q&gt;EXPN-GB^PROPER_NAME&lt;/Q&gt;&lt;R&gt;1&lt;/R&gt;&lt;C&gt;1&lt;/C&gt;&lt;D xsi:type="xsd:string"&gt;Experian PLC&lt;/D&gt;&lt;/FQL&gt;&lt;FQL&gt;&lt;Q&gt;SCHW-US^PROPER_NAME&lt;/Q&gt;&lt;R&gt;1&lt;/R&gt;&lt;C&gt;1&lt;/C&gt;&lt;D xsi:type="xsd:string"&gt;Charles Schwab Corp&lt;/D&gt;&lt;/FQL&gt;&lt;FQL&gt;&lt;Q&gt;TSM-US^PROPER_NAME&lt;/Q&gt;&lt;R&gt;1&lt;/R&gt;&lt;C&gt;1&lt;/C&gt;&lt;D xsi:type="xsd:string"&gt;Taiwan Semiconductor Manufacturing Co., Ltd. Sponsored ADR&lt;/D&gt;&lt;/FQL&gt;&lt;FQL&gt;&lt;Q&gt;GE-US^PROPER_NAME&lt;/Q&gt;&lt;R&gt;1&lt;/R&gt;&lt;C&gt;1&lt;/C&gt;&lt;D xsi:type="xsd:string"&gt;GE Aerospace&lt;/D&gt;&lt;/FQL&gt;&lt;FQL&gt;&lt;Q&gt;DB1-DE^PROPER_NAME&lt;/Q&gt;&lt;R&gt;1&lt;/R&gt;&lt;C&gt;1&lt;/C&gt;&lt;D xsi:type="xsd:string"&gt;Deutsche Boerse AG&lt;/D&gt;&lt;/FQL&gt;&lt;FQL&gt;&lt;Q&gt;ASML-US^PROPER_NAME&lt;/Q&gt;&lt;R&gt;1&lt;/R&gt;&lt;C&gt;1&lt;/C&gt;&lt;D xsi:type="xsd:string"&gt;ASML Holding NV Sponsored ADR&lt;/D&gt;&lt;/FQL&gt;&lt;FQL&gt;&lt;Q&gt;ULVR-GB^PROPER_NAME&lt;/Q&gt;&lt;R&gt;1&lt;/R&gt;&lt;C&gt;1&lt;/C&gt;&lt;D xsi:type="xsd:string"&gt;Unilever PLC&lt;/D&gt;&lt;/FQL&gt;&lt;FQL&gt;&lt;Q&gt;MA-US^PROPER_NAME&lt;/Q&gt;&lt;R&gt;1&lt;/R&gt;&lt;C&gt;1&lt;/C&gt;&lt;D xsi:type="xsd:string"&gt;Mastercard Incorporated Class A&lt;/D&gt;&lt;/FQL&gt;&lt;FQL&gt;&lt;Q&gt;V-US^PROPER_NAME&lt;/Q&gt;&lt;R&gt;1&lt;/R&gt;&lt;C&gt;1&lt;/C&gt;&lt;D xsi:type="xsd:string"&gt;Visa Inc. Class A&lt;/D&gt;&lt;/FQL&gt;&lt;FQL&gt;&lt;Q&gt;LSEG-GB^PROPER_NAME&lt;/Q&gt;&lt;R&gt;1&lt;/R&gt;&lt;C&gt;1&lt;/C&gt;&lt;D xsi:type="xsd:string"&gt;London Stock Exchange Group plc&lt;/D&gt;&lt;/FQL&gt;&lt;FQL&gt;&lt;Q&gt;GOOG-US^PROPER_NAME&lt;/Q&gt;&lt;R&gt;1&lt;/R&gt;&lt;C&gt;1&lt;/C&gt;&lt;D xsi:type="xsd:string"&gt;Alphabet Inc. Class C&lt;/D&gt;&lt;/FQL&gt;&lt;FQL&gt;&lt;Q&gt;MSFT-US^PROPER_NAME&lt;/Q&gt;&lt;R&gt;1&lt;/R&gt;&lt;C&gt;1&lt;/C&gt;&lt;D xsi:type="xsd:string"&gt;Microsoft Corporation&lt;/D&gt;&lt;/FQL&gt;&lt;FQL&gt;&lt;Q&gt;DUMMY^CORREL_MATRIX(CORRELMATRIX)&lt;/Q&gt;&lt;R&gt;32&lt;/R&gt;&lt;C&gt;32&lt;/C&gt;&lt;D xsi:type="xsd:double"&gt;1&lt;/D&gt;&lt;D xsi:type="xsd:double"&gt;0.70593476&lt;/D&gt;&lt;D xsi:type="xsd:double"&gt;-0.63645244&lt;/D&gt;&lt;D xsi:type="xsd:double"&gt;0.3676423&lt;/D&gt;&lt;D xsi:type="xsd:double"&gt;0.6533294&lt;/D&gt;&lt;D xsi:type="xsd:double"&gt;0.34959054&lt;/D&gt;&lt;D xsi:type="xsd:double"&gt;0.6717653&lt;/D&gt;&lt;D xsi:type="xsd:double"&gt;0.16902007&lt;/D&gt;&lt;D xsi:type="xsd:double"&gt;0.8716865&lt;/D&gt;&lt;D xsi:type="xsd:double"&gt;0.88043547&lt;/D&gt;&lt;D xsi:type="xsd:double"&gt;0.91421163&lt;/D&gt;&lt;D xsi:type="xsd:double"&gt;0.59048843&lt;/D&gt;&lt;D xsi:type="xsd:double"&gt;0.8357729&lt;/D&gt;&lt;D xsi:type="xsd:double"&gt;0.29381698&lt;/D&gt;&lt;D xsi:type="xsd:double"&gt;0.8596841&lt;/D&gt;&lt;D xsi:type="xsd:double"&gt;0.6743258&lt;/D&gt;&lt;D xsi:type="xsd:double"&gt;0.71838593&lt;/D&gt;&lt;D xsi:type="xsd:double"&gt;0.74858326&lt;/D&gt;&lt;D xsi:type="xsd:double"&gt;0.89578664&lt;/D&gt;&lt;D xsi:type="xsd:double"&gt;-0.5583033&lt;/D&gt;&lt;D xsi:type="xsd:double"&gt;0.56996876&lt;/D&gt;&lt;D xsi:type="xsd:double"&gt;0.13674219&lt;/D&gt;&lt;D xsi:type="xsd:double"&gt;0.8842032&lt;/D&gt;&lt;D xsi:type="xsd:double"&gt;0.6514036&lt;/D&gt;&lt;D xsi:type="xsd:double"&gt;-0.437175&lt;/D&gt;&lt;D xsi:type="xsd:double"&gt;0.46980768&lt;/D&gt;&lt;D xsi:type="xsd:double"&gt;-0.37997007&lt;/D&gt;&lt;D xsi:type="xsd:double"&gt;0.6593172&lt;/D&gt;&lt;D xsi:type="xsd:double"&gt;0.82277054&lt;/D&gt;&lt;D xsi:type="xsd:double"&gt;0.03862189&lt;/D&gt;&lt;D xsi:type="xsd:double"&gt;-0.070750654&lt;/D&gt;&lt;D xsi:type="xsd:double"&gt;0.6085905&lt;/D&gt;&lt;D xsi:type="xsd:double"&gt;0.70593476&lt;/D&gt;&lt;D xsi:type="xsd:double"&gt;1&lt;/D&gt;&lt;D xsi:type="xsd:double"&gt;-0.83801097&lt;/D&gt;&lt;D xsi:type="xsd:double"&gt;0.088617705&lt;/D&gt;&lt;D xsi:type="xsd:double"&gt;0.4345135&lt;/D&gt;&lt;D xsi:type="xsd:double"&gt;0.04355542&lt;/D&gt;&lt;D xsi:type="xsd:double"&gt;0.85035014&lt;/D&gt;&lt;D xsi:type="xsd:double"&gt;-0.30104807&lt;/D&gt;&lt;D xsi:type="xsd:double"&gt;0.7140998&lt;/D&gt;&lt;D xsi:type="xsd:double"&gt;0.9118856&lt;/D&gt;&lt;D xsi:type="xsd:double"&gt;0.5819933&lt;/D&gt;&lt;D xsi:type="xsd:double"&gt;0.11297436&lt;/D&gt;&lt;D xsi:type="xsd:double"&gt;0.6097841&lt;/D&gt;&lt;D xsi:type="xsd:double"&gt;0.35419536&lt;/D&gt;&lt;D xsi:type="xsd:double"&gt;0.5854946&lt;/D&gt;&lt;D xsi:type="xsd:double"&gt;0.13275076&lt;/D&gt;&lt;D xsi:type="xsd:double"&gt;0.13442287&lt;/D&gt;&lt;D xsi:type="xsd:double"&gt;0.43807083&lt;/D&gt;&lt;D xsi:type="xsd:double"&gt;0.6967033&lt;/D&gt;&lt;D xsi:type="xsd:double"&gt;-0.52302426&lt;/D&gt;&lt;D xsi:type="xsd:double"&gt;0.20279378&lt;/D&gt;&lt;D xsi:type="xsd:double"&gt;0.49729005&lt;/D&gt;&lt;D xsi:type="xsd:double"&gt;0.7956112&lt;/D&gt;&lt;D xsi:type="xsd:double"&gt;0.5204921&lt;/D&gt;&lt;D xsi:type="xsd:double"&gt;-0.41870984&lt;/D&gt;&lt;D xsi:type="xsd:double"&gt;0.6504941&lt;/D&gt;&lt;D xsi:type="xsd:double"&gt;-0.23035027&lt;/D&gt;&lt;D xsi:type="xsd:double"&gt;0.6330727&lt;/D&gt;&lt;D xsi:type="xsd:double"&gt;0.34510216&lt;/D&gt;&lt;D xsi:type="xsd:double"&gt;-0.46180964&lt;/D&gt;&lt;D xsi:type="xsd:double"&gt;-0.1174782&lt;/D&gt;&lt;D xsi:type="xsd:double"&gt;0.3739481&lt;/D&gt;&lt;D xsi:type="xsd:double"&gt;-0.63645244&lt;/D&gt;&lt;D xsi:type="xsd:double"&gt;-0.83801097&lt;/D&gt;&lt;D xsi:type="xsd:double"&gt;1&lt;/D&gt;&lt;D xsi:type="xsd:double"&gt;0.05400079&lt;/D&gt;&lt;D xsi:type="xsd:double"&gt;-0.32620287&lt;/D&gt;&lt;D xsi:type="xsd:double"&gt;-0.04736814&lt;/D&gt;&lt;D xsi:type="xsd:double"&gt;-0.66573167&lt;/D&gt;&lt;D xsi:type="xsd:double"&gt;0.25646022&lt;/D&gt;&lt;D xsi:type="xsd:double"&gt;-0.67086864&lt;/D&gt;&lt;D xsi:type="xsd:double"&gt;-0.78433186&lt;/D&gt;&lt;D xsi:type="xsd:double"&gt;-0.54468733&lt;/D&gt;&lt;D xsi:type="xsd:double"&gt;-0.080277234&lt;/D&gt;&lt;D xsi:type="xsd:double"&gt;-0.5928301&lt;/D&gt;&lt;D xsi:type="xsd:double"&gt;-0.36136472&lt;/D&gt;&lt;D xsi:type="xsd:double"&gt;-0.67889506&lt;/D&gt;&lt;D xsi:type="xsd:double"&gt;-0.13413218&lt;/D&gt;&lt;D xsi:type="xsd:double"&gt;-0.13910365&lt;/D&gt;&lt;D xsi:</t>
        </r>
      </text>
    </comment>
    <comment ref="A2" authorId="0" shapeId="0" xr:uid="{26F2FC41-A275-4818-9947-9A19B831E9DC}">
      <text>
        <r>
          <rPr>
            <b/>
            <sz val="9"/>
            <color indexed="81"/>
            <rFont val="Tahoma"/>
            <charset val="1"/>
          </rPr>
          <t>type="xsd:double"&gt;-0.30478787&lt;/D&gt;&lt;D xsi:type="xsd:double"&gt;-0.6825094&lt;/D&gt;&lt;D xsi:type="xsd:double"&gt;0.5757784&lt;/D&gt;&lt;D xsi:type="xsd:double"&gt;-0.20706014&lt;/D&gt;&lt;D xsi:type="xsd:double"&gt;-0.28965846&lt;/D&gt;&lt;D xsi:type="xsd:double"&gt;-0.83910525&lt;/D&gt;&lt;D xsi:type="xsd:double"&gt;-0.58651614&lt;/D&gt;&lt;D xsi:type="xsd:double"&gt;0.5708236&lt;/D&gt;&lt;D xsi:type="xsd:double"&gt;-0.45805982&lt;/D&gt;&lt;D xsi:type="xsd:double"&gt;0.41446158&lt;/D&gt;&lt;D xsi:type="xsd:double"&gt;-0.46417063&lt;/D&gt;&lt;D xsi:type="xsd:double"&gt;-0.3093783&lt;/D&gt;&lt;D xsi:type="xsd:double"&gt;0.44181794&lt;/D&gt;&lt;D xsi:type="xsd:double"&gt;0.09134149&lt;/D&gt;&lt;D xsi:type="xsd:double"&gt;-0.25641355&lt;/D&gt;&lt;D xsi:type="xsd:double"&gt;0.3676423&lt;/D&gt;&lt;D xsi:type="xsd:double"&gt;0.088617705&lt;/D&gt;&lt;D xsi:type="xsd:double"&gt;0.05400079&lt;/D&gt;&lt;D xsi:type="xsd:double"&gt;1&lt;/D&gt;&lt;D xsi:type="xsd:double"&gt;0.81823975&lt;/D&gt;&lt;D xsi:type="xsd:double"&gt;0.4485835&lt;/D&gt;&lt;D xsi:type="xsd:double"&gt;0.31107718&lt;/D&gt;&lt;D xsi:type="xsd:double"&gt;0.71381146&lt;/D&gt;&lt;D xsi:type="xsd:double"&gt;0.5960072&lt;/D&gt;&lt;D xsi:type="xsd:double"&gt;0.24599627&lt;/D&gt;&lt;D xsi:type="xsd:double"&gt;0.5808035&lt;/D&gt;&lt;D xsi:type="xsd:double"&gt;0.59489787&lt;/D&gt;&lt;D xsi:type="xsd:double"&gt;0.6328898&lt;/D&gt;&lt;D xsi:type="xsd:double"&gt;0.62471074&lt;/D&gt;&lt;D xsi:type="xsd:double"&gt;0.42725363&lt;/D&gt;&lt;D xsi:type="xsd:double"&gt;0.50983447&lt;/D&gt;&lt;D xsi:type="xsd:double"&gt;0.37592852&lt;/D&gt;&lt;D xsi:type="xsd:double"&gt;0.58998245&lt;/D&gt;&lt;D xsi:type="xsd:double"&gt;0.19331364&lt;/D&gt;&lt;D xsi:type="xsd:double"&gt;-0.3670837&lt;/D&gt;&lt;D xsi:type="xsd:double"&gt;0.7207087&lt;/D&gt;&lt;D xsi:type="xsd:double"&gt;0.24989745&lt;/D&gt;&lt;D xsi:type="xsd:double"&gt;0.2500192&lt;/D&gt;&lt;D xsi:type="xsd:double"&gt;0.60568255&lt;/D&gt;&lt;D xsi:type="xsd:double"&gt;-0.426597&lt;/D&gt;&lt;D xsi:type="xsd:double"&gt;-0.056886252&lt;/D&gt;&lt;D xsi:type="xsd:double"&gt;-0.16816874&lt;/D&gt;&lt;D xsi:type="xsd:double"&gt;0.07103802&lt;/D&gt;&lt;D xsi:type="xsd:double"&gt;0.4564856&lt;/D&gt;&lt;D xsi:type="xsd:double"&gt;0.64860237&lt;/D&gt;&lt;D xsi:type="xsd:double"&gt;-0.24333113&lt;/D&gt;&lt;D xsi:type="xsd:double"&gt;0.36313996&lt;/D&gt;&lt;D xsi:type="xsd:double"&gt;0.6533294&lt;/D&gt;&lt;D xsi:type="xsd:double"&gt;0.4345135&lt;/D&gt;&lt;D xsi:type="xsd:double"&gt;-0.32620287&lt;/D&gt;&lt;D xsi:type="xsd:double"&gt;0.81823975&lt;/D&gt;&lt;D xsi:type="xsd:double"&gt;1&lt;/D&gt;&lt;D xsi:type="xsd:double"&gt;0.46794787&lt;/D&gt;&lt;D xsi:type="xsd:double"&gt;0.4596364&lt;/D&gt;&lt;D xsi:type="xsd:double"&gt;0.44396263&lt;/D&gt;&lt;D xsi:type="xsd:double"&gt;0.76529104&lt;/D&gt;&lt;D xsi:type="xsd:double"&gt;0.53169125&lt;/D&gt;&lt;D xsi:type="xsd:double"&gt;0.78840446&lt;/D&gt;&lt;D xsi:type="xsd:double"&gt;0.69590086&lt;/D&gt;&lt;D xsi:type="xsd:double"&gt;0.7564223&lt;/D&gt;&lt;D xsi:type="xsd:double"&gt;0.54465955&lt;/D&gt;&lt;D xsi:type="xsd:double"&gt;0.6620408&lt;/D&gt;&lt;D xsi:type="xsd:double"&gt;0.5211218&lt;/D&gt;&lt;D xsi:type="xsd:double"&gt;0.44365242&lt;/D&gt;&lt;D xsi:type="xsd:double"&gt;0.72928745&lt;/D&gt;&lt;D xsi:type="xsd:double"&gt;0.52619654&lt;/D&gt;&lt;D xsi:type="xsd:double"&gt;-0.36784297&lt;/D&gt;&lt;D xsi:type="xsd:double"&gt;0.6660933&lt;/D&gt;&lt;D xsi:type="xsd:double"&gt;0.31670925&lt;/D&gt;&lt;D xsi:type="xsd:double"&gt;0.62214196&lt;/D&gt;&lt;D xsi:type="xsd:double"&gt;0.73957497&lt;/D&gt;&lt;D xsi:type="xsd:double"&gt;-0.4088436&lt;/D&gt;&lt;D xsi:type="xsd:double"&gt;0.27256742&lt;/D&gt;&lt;D xsi:type="xsd:double"&gt;-0.17890595&lt;/D&gt;&lt;D xsi:type="xsd:double"&gt;0.43372157&lt;/D&gt;&lt;D xsi:type="xsd:double"&gt;0.6890489&lt;/D&gt;&lt;D xsi:type="xsd:double"&gt;0.3323738&lt;/D&gt;&lt;D xsi:type="xsd:double"&gt;0.049620707&lt;/D&gt;&lt;D xsi:type="xsd:double"&gt;0.65752286&lt;/D&gt;&lt;D xsi:type="xsd:double"&gt;0.34959054&lt;/D&gt;&lt;D xsi:type="xsd:double"&gt;0.04355542&lt;/D&gt;&lt;D xsi:type="xsd:double"&gt;-0.04736814&lt;/D&gt;&lt;D xsi:type="xsd:double"&gt;0.4485835&lt;/D&gt;&lt;D xsi:type="xsd:double"&gt;0.46794787&lt;/D&gt;&lt;D xsi:type="xsd:double"&gt;1&lt;/D&gt;&lt;D xsi:type="xsd:double"&gt;0.13849494&lt;/D&gt;&lt;D xsi:type="xsd:double"&gt;0.67190653&lt;/D&gt;&lt;D xsi:type="xsd:double"&gt;0.47695348&lt;/D&gt;&lt;D xsi:type="xsd:double"&gt;0.120666996&lt;/D&gt;&lt;D xsi:type="xsd:double"&gt;0.49418285&lt;/D&gt;&lt;D xsi:type="xsd:double"&gt;0.53752166&lt;/D&gt;&lt;D xsi:type="xsd:double"&gt;0.50954825&lt;/D&gt;&lt;D xsi:type="xsd:double"&gt;0.32581758&lt;/D&gt;&lt;D xsi:type="xsd:double"&gt;0.4810734&lt;/D&gt;&lt;D xsi:type="xsd:double"&gt;0.74453366&lt;/D&gt;&lt;D xsi:type="xsd:double"&gt;0.37469864&lt;/D&gt;&lt;D xsi:type="xsd:double"&gt;0.46993116&lt;/D&gt;&lt;D xsi:type="xsd:double"&gt;0.32125884&lt;/D&gt;&lt;D xsi:type="xsd:double"&gt;-0.36154073&lt;/D&gt;&lt;D xsi:type="xsd:double"&gt;0.7062009&lt;/D&gt;&lt;D xsi:type="xsd:double"&gt;-0.11404255&lt;/D&gt;&lt;D xsi:type="xsd:double"&gt;0.40145046&lt;/D&gt;&lt;D xsi:type="xsd:double"&gt;0.59643507&lt;/D&gt;&lt;D xsi:type="xsd:double"&gt;-0.483582&lt;/D&gt;&lt;D xsi:type="xsd:double"&gt;-0.06911231&lt;/D&gt;&lt;D xsi:type="xsd:double"&gt;-0.4473838&lt;/D&gt;&lt;D xsi:type="xsd:double"&gt;0.021110859&lt;/D&gt;&lt;D xsi:type="xsd:double"&gt;0.4080271&lt;/D&gt;&lt;D xsi:type="xsd:double"&gt;0.42073336&lt;/D&gt;&lt;D xsi:type="xsd:double"&gt;-0.026027761&lt;/D&gt;&lt;D xsi:type="xsd:double"&gt;-0.04675638&lt;/D&gt;&lt;D xsi:type="xsd:double"&gt;0.6717653&lt;/D&gt;&lt;D xsi:type="xsd:double"&gt;0.85035014&lt;/D&gt;&lt;D xsi:type="xsd:double"&gt;-0.66573167&lt;/D&gt;&lt;D xsi:type="xsd:double"&gt;0.31107718&lt;/D&gt;&lt;D xsi:type="xsd:double"&gt;0.4596364&lt;/D&gt;&lt;D xsi:type="xsd:double"&gt;0.13849494&lt;/D&gt;&lt;D xsi:type="xsd:double"&gt;1&lt;/D&gt;&lt;D xsi:type="xsd:double"&gt;-0.06267396&lt;/D&gt;&lt;D xsi:type="xsd:double"&gt;0.76522744&lt;/D&gt;&lt;D xsi:type="xsd:double"&gt;0.8821594&lt;/D&gt;&lt;D xsi:type="xsd:double"&gt;0.58164036&lt;/D&gt;&lt;D xsi:type="xsd:double"&gt;0.14070116&lt;/D&gt;&lt;D xsi:type="xsd:double"&gt;0.6935754&lt;/D&gt;&lt;D xsi:type="xsd:double"&gt;0.536132&lt;/D&gt;&lt;D xsi:type="xsd:double"&gt;0.6014824&lt;/D&gt;&lt;D xsi:type="xsd:double"&gt;0.26240408&lt;/D&gt;&lt;D xsi:type="xsd:double"&gt;0.21628004&lt;/D&gt;&lt;D xsi:type="xsd:double"&gt;0.42284018&lt;/D&gt;&lt;D xsi:type="xsd:double"&gt;0.6423115&lt;/D&gt;&lt;D xsi:type="xsd:double"&gt;-0.5555716&lt;/D&gt;&lt;D xsi:type="xsd:double"&gt;0.4115242&lt;/D&gt;&lt;D xsi:type="xsd:double"&gt;0.5979543&lt;/D&gt;&lt;D xsi:type="xsd:double"&gt;0.6998423&lt;/D&gt;&lt;D xsi:type="xsd:double"&gt;0.522975&lt;/D&gt;&lt;D xsi:type="xsd:double"&gt;-0.48684695&lt;/D&gt;&lt;D xsi:type="xsd:double"&gt;0.5667903&lt;/D&gt;&lt;D xsi:type="xsd:double"&gt;-0.19749087&lt;/D&gt;&lt;D xsi:type="xsd:double"&gt;0.5182297&lt;/D&gt;&lt;D xsi:type="xsd:double"&gt;0.34850475&lt;/D&gt;&lt;D xsi:type="xsd:double"&gt;-0.20623858&lt;/D&gt;&lt;D xsi:type="xsd:double"&gt;-0.27945054&lt;/D&gt;&lt;D xsi:type="xsd:double"&gt;0.22869699&lt;/D&gt;&lt;D xsi:type="xsd:double"&gt;0.16902007&lt;/D&gt;&lt;D xsi:type="xsd:double"&gt;-0.30104807&lt;/D&gt;&lt;D xsi:type="xsd:double"&gt;0.25646022&lt;/D&gt;&lt;D xsi:type="xsd:double"&gt;0.71381146&lt;/D&gt;&lt;D xsi:type="xsd:double"&gt;0.44396263&lt;/D&gt;&lt;D xsi:type="xsd:double"&gt;0.67190653&lt;/D&gt;&lt;D xsi:type="xsd:double"&gt;-0.06267396&lt;/D&gt;&lt;D xsi:type="xsd:double"&gt;1&lt;/D&gt;&lt;D xsi:type="xsd:double"&gt;0.36385792&lt;/D&gt;&lt;D xsi:type="xsd:double"&gt;-0.11228606&lt;/D&gt;&lt;D xsi:type="xsd:double"&gt;0.38254115&lt;/D&gt;&lt;D xsi:type="xsd:double"&gt;0.5370706&lt;/D&gt;&lt;D xsi:type="xsd:double"&gt;0.49742395&lt;/D&gt;&lt;D xsi:type="xsd:double"&gt;0.39345244&lt;/D&gt;&lt;D xsi:type="xsd:double"&gt;0.33061644&lt;/D&gt;&lt;D xsi:type="xsd:double"&gt;0.67380154&lt;/D&gt;&lt;D xsi:type="xsd:double"&gt;0.39122966&lt;/D&gt;&lt;D xsi:type="xsd:double"&gt;0.44255853&lt;/D&gt;&lt;D xsi:type="xsd:double"&gt;-0.021958575&lt;/D&gt;&lt;D xsi:type="xsd:double"&gt;-0.41692477&lt;/D&gt;&lt;D xsi:type="xsd:double"&gt;0.79102033&lt;/D&gt;&lt;D xsi:type="xsd:double"&gt;-0.20984213&lt;/D&gt;&lt;D xsi:type="xsd:double"&gt;0.07267874&lt;/D&gt;&lt;D xsi:type="xsd:double"&gt;0.5401154&lt;/D&gt;&lt;D xsi:type="xsd:double"&gt;-0.47315285&lt;/D&gt;&lt;D xsi:type="xsd:double"&gt;-0.48590955&lt;/D&gt;&lt;D xsi:type="xsd:double"&gt;-0.4591525&lt;/D&gt;&lt;D xsi:type="xsd:double"&gt;-0.31023037&lt;/D&gt;&lt;D xsi:type="xsd:double"&gt;0.31491366&lt;/D&gt;&lt;D xsi:type="xsd:double"&gt;0.8522897&lt;/D&gt;&lt;D xsi:type="xsd:double"&gt;-0.34818318&lt;/D&gt;&lt;D xsi:type="xsd:double"&gt;-0.060925145&lt;/D&gt;&lt;D xsi:type="xsd:double"&gt;0.8716865&lt;/D&gt;&lt;D xsi:type="xsd:double"&gt;0.7140998&lt;/D&gt;&lt;D xsi:type="xsd:double"&gt;-0.67086864&lt;/D&gt;&lt;D xsi:type="xsd:double"&gt;0.5960072&lt;/D&gt;&lt;D xsi:type="xsd:double"&gt;0.76529104&lt;/D&gt;&lt;D xsi:type="xsd:double"&gt;0.47695348&lt;/D&gt;&lt;D xsi:type="xsd:double"&gt;0.76522744&lt;/D&gt;&lt;D xsi:type="xsd:double"&gt;0.36385792&lt;/D&gt;&lt;D xsi:type="xsd:double"&gt;1&lt;/D&gt;&lt;D xsi:type="xsd:double"&gt;0.8468089&lt;/D&gt;&lt;D xsi:type="xsd:double"&gt;0.9175028&lt;/D&gt;&lt;D xsi:type="xsd:double"&gt;0.5951055&lt;/D&gt;&lt;D xsi:type="xsd:double"&gt;0.9743468&lt;/D&gt;&lt;D xsi:type="xsd:double"&gt;0.6353651&lt;/D&gt;&lt;D xsi:type="xsd:double"&gt;0.893112&lt;/D&gt;&lt;D xsi:type="xsd:double"&gt;0.64839494&lt;/D&gt;&lt;D xsi:type="xsd:double"&gt;0.54580206&lt;/D&gt;&lt;D xsi:type="xsd:double"&gt;0.72110337&lt;/D&gt;&lt;D xsi:type="xsd:double"&gt;0.7884916&lt;/D&gt;&lt;D xsi:type="xsd:double"&gt;-0.7386215&lt;/D&gt;&lt;D xsi:type="xsd:double"&gt;0.753162&lt;/D&gt;&lt;D xsi:type="xsd:double"&gt;0.31174797&lt;/D&gt;&lt;D xsi:type="xsd:double"&gt;0.8795006&lt;/D&gt;&lt;D xsi:type="xsd:double"&gt;0.85118544&lt;/D&gt;&lt;D xsi:type="xsd:double"&gt;-0.7270927&lt;/D&gt;&lt;D xsi:type="xsd:double"&gt;0.3646207&lt;/D&gt;&lt;D xsi:type="xsd:double"&gt;-0.5366381&lt;/D&gt;&lt;D xsi:type="xsd:double"&gt;0.4667961&lt;/D&gt;&lt;D xsi:type="xsd:double"&gt;0.6624978&lt;/D&gt;&lt;D xsi:type="xsd:double"&gt;0.17796366&lt;/D&gt;&lt;D xsi:type="xsd:double"&gt;-0.24973953&lt;/D&gt;&lt;D xsi:type="xsd:double"&gt;0.4462283&lt;/D&gt;&lt;D xsi:type="xsd:double"&gt;0.88043547&lt;/D&gt;&lt;D xsi:type="xsd:double"&gt;0.9118856&lt;/D&gt;&lt;D xsi:type="xsd:double"&gt;-0.78433186&lt;/D&gt;&lt;D xsi:type="xsd:double"&gt;0.24599627&lt;/D&gt;&lt;D xsi:type="xsd:double"&gt;0.53169125&lt;/D&gt;&lt;D xsi:type="xsd:double"&gt;0.120666996&lt;/D&gt;&lt;D xsi:type="xsd:double"&gt;0.8821594&lt;/D&gt;&lt;D xsi:type="xsd:double"&gt;-0.11228606&lt;/D&gt;&lt;D xsi:type="xsd:double"&gt;0.8468089&lt;/D&gt;&lt;D xsi:type="xsd:double"&gt;1&lt;/D&gt;&lt;D xsi:type="xsd:double"&gt;0.76421314&lt;/D&gt;&lt;D xsi:type="xsd:double"&gt;0.3374427&lt;/D&gt;&lt;D xsi:type="xsd:double"&gt;0.7714593&lt;/D&gt;&lt;D xsi:type="xsd:double"&gt;0.42023695&lt;/D&gt;&lt;D xsi:type="xsd:double"&gt;0.7437006&lt;/D&gt;&lt;D xsi:type="xsd:double"&gt;0.37832555&lt;/D&gt;&lt;D xsi:type="xsd:double"&gt;0.42329928&lt;/D&gt;&lt;D xsi:type="xsd:double"&gt;0.5554663&lt;/D&gt;&lt;D xsi:type="xsd:double"&gt;0.8457554&lt;/D&gt;&lt;D xsi:type="xsd:double"&gt;-0.5764529&lt;/D&gt;&lt;D xsi:type="xsd:double"&gt;0.39158252&lt;/D&gt;&lt;D xsi:type="xsd:double"&gt;0.43057773&lt;/D&gt;&lt;D xsi:type="xsd:double"&gt;0.8686027&lt;/D&gt;&lt;D xsi:type="xsd:double"&gt;0.57547593&lt;/D&gt;&lt;D xsi:type="xsd:double"&gt;-0.46657103&lt;/D&gt;&lt;D xsi:type="xsd:double"&gt;0.63641614&lt;/D&gt;&lt;D xsi:type="xsd:double"&gt;-0.3092271&lt;/D&gt;&lt;D xsi:type="xsd:double"&gt;0.67604893&lt;/D&gt;&lt;D xsi:type="xsd:double"&gt;0.56915194&lt;/D&gt;&lt;D xsi:type="xsd:double"&gt;-0.23145361&lt;/D&gt;&lt;D xsi:type="xsd:double"&gt;-0.16296916&lt;/D&gt;&lt;D xsi:type="xsd:double"&gt;0.49781477&lt;/D&gt;&lt;D xsi:type="xsd:double"&gt;0.91421163&lt;/D&gt;&lt;D xsi:type="xsd:double"&gt;0.5819933&lt;/D&gt;&lt;D xsi:type="xsd:double"&gt;-0.54468733&lt;/D&gt;&lt;D xsi:type="xsd:double"&gt;0.5808035&lt;/D&gt;&lt;D xsi:type="xsd:double"&gt;0.78840446&lt;/D&gt;&lt;D xsi:type="xsd:double"&gt;0.49418285&lt;/D&gt;&lt;D xsi:type="xsd:double"&gt;0.58164036&lt;/D&gt;&lt;D xsi:type="xsd:double"&gt;0.38254115&lt;/D&gt;&lt;D xsi:type="xsd:double"&gt;0.9175028&lt;/D&gt;&lt;D xsi:type="xsd:double"&gt;0.76421314&lt;/D&gt;&lt;D xsi:type="xsd:double"&gt;1&lt;/D&gt;&lt;D xsi:type="xsd:double"&gt;0.7242714&lt;/D&gt;&lt;D xsi:type="xsd:double"&gt;0.9011488&lt;/D&gt;&lt;D xsi:type="xsd:double"&gt;0.4286066&lt;/D&gt;&lt;D xsi:type="xsd:double"&gt;0.85586035&lt;/D&gt;&lt;D xsi:type="xsd:double"&gt;0.7407501&lt;/D&gt;&lt;D xsi:type="xsd:double"&gt;0.67912257&lt;/D&gt;&lt;D xsi:type="xsd:double"&gt;0.7896123&lt;/D&gt;&lt;D xsi:type="xsd:double"&gt;0.8278383&lt;/D&gt;&lt;D xsi:type="xsd:double"&gt;-0.5970757&lt;/D&gt;&lt;D xsi:type="xsd:double"&gt;0.70885336&lt;/D&gt;&lt;D xsi:type="xsd:double"&gt;0.12748152&lt;/D&gt;&lt;D xsi:type="xsd:double"&gt;0.85337543&lt;/D&gt;&lt;D xsi:type="xsd:double"&gt;0.77254534&lt;/D&gt;&lt;D xsi:type="xsd:double"&gt;-0.55374616&lt;/D&gt;&lt;D xsi:type="xsd:double"&gt;0.3517464&lt;/D&gt;&lt;D xsi:type="xsd:double"&gt;-0.42901167&lt;/D&gt;&lt;D xsi:type="xsd:double"&gt;0.5465695&lt;/D&gt;&lt;D xsi:type="xsd:double"&gt;0.8146413&lt;/D&gt;&lt;D xsi:type="xsd:double"&gt;0.2217108&lt;/D&gt;&lt;D xsi:type="xsd:double"&gt;-0.06334584&lt;/D&gt;&lt;D xsi:type="xsd:double"&gt;0.6288033&lt;/D&gt;&lt;D xsi:type="xsd:double"&gt;0.59048843&lt;/D&gt;&lt;D xsi:type="xsd:double"&gt;0.11297436&lt;/D&gt;&lt;D xsi:type="xsd:double"&gt;-0.080277234&lt;/D&gt;&lt;D xsi:type="xsd:double"&gt;0.59489787&lt;/D&gt;&lt;D xsi:type="xsd:double"&gt;0.69590086&lt;/D&gt;&lt;D xsi:type="xsd:double"&gt;0.53752166&lt;/D&gt;&lt;D xsi:type="xsd:double"&gt;0.14070116&lt;/D&gt;&lt;D xsi:type="xsd:double"&gt;0.5370706&lt;/D&gt;&lt;D xsi:type="xsd:double"&gt;0.5951055&lt;/D&gt;&lt;D xsi:type="xsd:double"&gt;0.3374427&lt;/D&gt;&lt;D xsi:type="xsd:double"&gt;0.7242714&lt;/D&gt;&lt;D xsi:type="xsd:double"&gt;1&lt;/D&gt;&lt;D xsi:type="xsd:double"&gt;0.6305383&lt;/D&gt;&lt;D xsi:type="xsd:double"&gt;0.32420537&lt;/D&gt;&lt;D xsi:type="xsd:double"&gt;0.55935574&lt;/D&gt;&lt;D xsi:type="xsd:double"&gt;0.655634&lt;/D&gt;&lt;D xsi:type="xsd:double"&gt;0.6286616&lt;/D&gt;&lt;D xsi:type="xsd:double"&gt;0.55849946&lt;/D&gt;&lt;D xsi:type="xsd:double"&gt;0.5267313&lt;/D&gt;&lt;D xsi:type="xsd:double"&gt;-0.25058997&lt;/D&gt;&lt;D xsi:type="xsd:double"&gt;0.6940536&lt;/D&gt;&lt;D xsi:type="xsd:double"&gt;0.03521079&lt;/D&gt;&lt;D xsi:type="xsd:double"&gt;0.48983318&lt;/D&gt;&lt;D xsi:type="xsd:double"&gt;0.49698514&lt;/D&gt;&lt;D xsi:type="xsd:double"&gt;-0.3585083&lt;/D&gt;&lt;D xsi:type="xsd:double"&gt;0.11803714&lt;/D&gt;&lt;D xsi:type="xsd:double"&gt;-0.2656612&lt;/D&gt;&lt;D xsi:type="xsd:double"&gt;0.38341677&lt;/D&gt;&lt;D xsi:type="xsd:double"&gt;0.73634344&lt;/D&gt;&lt;D xsi:type="xsd:double"&gt;0.5767266&lt;/D&gt;&lt;D xsi:type="xsd:double"&gt;0.1443851&lt;/D&gt;&lt;D xsi:type="xsd:double"&gt;0.5789024&lt;/D&gt;&lt;D xsi:type="xsd:double"&gt;0.8357729&lt;/D&gt;&lt;D xsi:type="xsd:double"&gt;0.6097841&lt;/D&gt;&lt;D xsi:type="xsd:double"&gt;-0.5928301&lt;/D&gt;&lt;D xsi:type="xsd:double"&gt;0.6328898&lt;/D&gt;&lt;D xsi:type="xsd:double"&gt;0.7564223&lt;/D&gt;&lt;D xsi:type="xsd:double"&gt;0.50954825&lt;/D&gt;&lt;D xsi:type="xsd:double"&gt;0.6935754&lt;/D&gt;&lt;D xsi:type="xsd:double"&gt;0.49742395&lt;/D&gt;&lt;D xsi:type="xsd:double"&gt;0.9743468&lt;/D&gt;&lt;D xsi:type="xsd:double"&gt;0.7714593&lt;/D&gt;&lt;D xsi:type="xsd:double"&gt;0.9011488&lt;/D&gt;&lt;D xsi:type="xsd:double"&gt;0.6305383&lt;/D&gt;&lt;D xsi:type="xsd:double"&gt;1&lt;/D&gt;&lt;D xsi:type="xsd:double"&gt;0.6656336&lt;/D&gt;&lt;D xsi:type="xsd:double"&gt;0.8913696&lt;/D&gt;&lt;D xsi:type="xsd:double"&gt;0.68493545&lt;/D&gt;&lt;D xsi:type="xsd:double"&gt;0.5556211&lt;/D&gt;&lt;D xsi:type="xsd:double"&gt;0.72285056&lt;/D&gt;&lt;D xsi:type="xsd:double"&gt;0.72498775&lt;/D&gt;&lt;D xsi:type="xsd:double"&gt;-0.75195485&lt;/D&gt;&lt;D xsi:type="xsd:double"&gt;0.80935913&lt;/D&gt;&lt;D xsi:type="xsd:double"&gt;0.26819238&lt;/D&gt;&lt;D xsi:type="xsd:double"&gt;0.8318732&lt;/D&gt;&lt;D xsi:type="xsd:double"&gt;0.8637351&lt;/D&gt;&lt;D xsi:type="xsd:double"&gt;-0.755613&lt;/D&gt;&lt;D xsi:type="xsd:double"&gt;0.24754404&lt;/D&gt;&lt;D xsi:type="xsd:double"&gt;-0.59105974&lt;/D&gt;&lt;D xsi:type="xsd:double"&gt;0.346362&lt;/D&gt;&lt;D xsi:type="xsd:double"&gt;0.652875&lt;/D&gt;&lt;D xsi:type="xsd:double"&gt;0.3035279&lt;/D&gt;&lt;D xsi:type="xsd:double"&gt;-0.29551873&lt;/D&gt;&lt;D xsi:type="xsd:double"&gt;0.40606788&lt;/D&gt;&lt;D xsi:type="xsd:double"&gt;0.29381698&lt;/D&gt;&lt;D xsi:type="xsd:double"&gt;0.35419536&lt;/D&gt;&lt;D xsi:type="xsd:double"&gt;-0.36136472&lt;/D&gt;&lt;D xsi:type="xsd:double"&gt;0.62471074&lt;/D&gt;&lt;D xsi:type="xsd:double"&gt;0.54465955&lt;/D&gt;&lt;D xsi:type="xsd:double"&gt;0.32581758&lt;/D&gt;&lt;D xsi:type="xsd:double"&gt;0.536132&lt;/D&gt;&lt;D xsi:type="xsd:double"&gt;0.39345244&lt;/D&gt;&lt;D xsi:type="xsd:double"&gt;0.6353651&lt;/D&gt;&lt;D xsi:type="xsd:double"&gt;0.42023695&lt;/D&gt;&lt;D xsi:type="xsd:double"&gt;0.4286066&lt;/D&gt;&lt;D xsi:type="xsd:double"&gt;0.32420537&lt;/D&gt;&lt;D xsi:type="xsd:double"&gt;0.6656336&lt;/D&gt;&lt;D xsi:type="xsd:double"&gt;1&lt;/D&gt;&lt;D xsi:type="xsd:double"&gt;0.52503234&lt;/D&gt;&lt;D xsi:type="xsd:double"&gt;0.23687518&lt;/D&gt;&lt;D xsi:type="xsd:double"&gt;0.0773581&lt;/D&gt;&lt;D xsi:type="xsd:double"&gt;0.2716058&lt;/D&gt;&lt;D xsi:type="xsd:double"&gt;0.26930627&lt;/D&gt;&lt;D xsi:type="xsd:double"&gt;-0.487325&lt;/D&gt;&lt;D xsi:type="xsd:double"&gt;0.56633276&lt;/D&gt;&lt;D xsi:type="xsd:double"&gt;0.611209&lt;/D&gt;&lt;D xsi:type="xsd:double"&gt;0.41938993&lt;/D&gt;&lt;D xsi:type="xsd:double"&gt;0.647214&lt;/D&gt;&lt;D xsi:type="xsd:double"&gt;-0.6911643&lt;/D&gt;&lt;D xsi:type="xsd:double"&gt;0.117889844&lt;/D&gt;&lt;D xsi:type="xsd:double"&gt;-0.37374666&lt;/D&gt;&lt;D xsi:type="xsd:double"&gt;-0.011348601&lt;/D&gt;&lt;D xsi:type="xsd:double"&gt;0.13436571&lt;/D&gt;&lt;D xsi:type="xsd:double"&gt;0.2770601&lt;/D&gt;&lt;D xsi:type="xsd:double"&gt;-0.33797488&lt;/D&gt;&lt;D xsi:type="xsd:double"&gt;0.08398972&lt;/D&gt;&lt;D xsi:type="xsd:double"&gt;0.8596841&lt;/D&gt;&lt;D xsi:type="xsd:double"&gt;0.5854946&lt;/D&gt;&lt;D xsi:type="xsd:double"&gt;-0.67889506&lt;/D&gt;&lt;D xsi:type="xsd:double"&gt;0.42725363&lt;/D&gt;&lt;D xsi:type="xsd:double"&gt;0.6620408&lt;/D&gt;&lt;D xsi:type="xsd:double"&gt;0.4810734&lt;/D&gt;&lt;D xsi:type="xsd:double"&gt;0.6014824&lt;/D&gt;&lt;D xsi:type="xsd:double"&gt;0.33061644&lt;/D&gt;&lt;D xsi:type="xsd:double"&gt;0.893112&lt;/D&gt;&lt;D xsi:type="xsd:double"&gt;0.7437006&lt;/D&gt;&lt;D xsi:type="xsd:double"&gt;0.85586035&lt;/D&gt;&lt;D xsi:type="xsd:double"&gt;0.55935574&lt;/D&gt;&lt;D xsi:type="xsd:double"&gt;0.8913696&lt;/D&gt;&lt;D xsi:type="xsd:double"&gt;0.52503234&lt;/D&gt;&lt;D xsi:type="xsd:double"&gt;1&lt;/D&gt;&lt;D xsi:type="xsd:double"&gt;0.67413145&lt;/D&gt;&lt;D xsi:type="xsd:double"&gt;0.6479168&lt;/D&gt;&lt;D xsi:type="xsd:double"&gt;0.665094&lt;/D&gt;&lt;D xsi:type="xsd:double"&gt;0.79592806&lt;/D&gt;&lt;D xsi:type="xsd:double"&gt;-0.6162223&lt;/D&gt;&lt;D xsi:type="xsd:double"&gt;0.70561343&lt;/D&gt;&lt;D xsi:type="xsd:double"&gt;0.15635514&lt;/D&gt;&lt;D xsi:type="xsd:double"&gt;0.857425&lt;/D&gt;&lt;D xsi:type="xsd:double"&gt;0.79341197&lt;/D&gt;&lt;D xsi:type="xsd:double"&gt;-0.63356304&lt;/D&gt;&lt;D xsi:type="xsd:double"&gt;0.27473998&lt;/D&gt;&lt;D xsi:type="xsd:double"&gt;-0.54933566&lt;/D&gt;&lt;D xsi:type="xsd:double"&gt;0.40610948&lt;/D&gt;&lt;D xsi:type="xsd:double"&gt;0.6925958&lt;/D&gt;&lt;D xsi:type="xsd:double"&gt;0.1461077&lt;/D&gt;&lt;D xsi:type="xsd:double"&gt;-0.12612398&lt;/D&gt;&lt;D xsi:type="xsd:double"&gt;0.3968373&lt;/D&gt;&lt;D xsi:type="xsd:double"&gt;0.6743258&lt;/D&gt;&lt;D xsi:type="xsd:double"&gt;0.13275076&lt;/D&gt;&lt;D xsi:type="xsd:double"&gt;-0.13413218&lt;/D&gt;&lt;D xsi:type="xsd:double"&gt;0.50983447&lt;/D&gt;&lt;D xsi:type="xsd:double"&gt;0.5211218&lt;/D&gt;&lt;D xsi:type="xsd:double"&gt;0.74453366&lt;/D&gt;&lt;D xsi:type="xsd:double"&gt;0.26240408&lt;/D&gt;&lt;D xsi:type="xsd:double"&gt;0.67380154&lt;/D&gt;&lt;D xsi:type="xsd:double"&gt;0.64839494&lt;/D&gt;&lt;D xsi:type="xsd:double"&gt;0.37832555&lt;/D&gt;&lt;D xsi:type="xsd:double"&gt;0.7407501&lt;/D&gt;&lt;D xsi:type="xsd:double"&gt;0.655634&lt;/D&gt;&lt;D xsi:type="xsd:double"&gt;0.68493545&lt;/D&gt;&lt;D xsi:type="xsd:double"&gt;0.23687518&lt;/D&gt;&lt;D xsi:type="xsd:double"&gt;0.67413145&lt;/D&gt;&lt;D xsi:type="xsd:double"&gt;1&lt;/D&gt;&lt;D xsi:type="xsd:double"&gt;0.78058654&lt;/D&gt;&lt;D xsi:type="xsd:double"&gt;0.7018142&lt;/D&gt;&lt;D xsi:type="xsd:double"&gt;0.5740316&lt;/D&gt;&lt;D xsi:type="xsd:double"&gt;-0.5221488&lt;/D&gt;&lt;D xsi:type="xsd:double"&gt;0.7764229&lt;/D&gt;&lt;D xsi:type="xsd:double"&gt;-0.25963658&lt;/D&gt;&lt;D xsi:type="xsd:double"&gt;0.5472457&lt;/D&gt;&lt;D xsi:type="xsd:double"&gt;0.58945477&lt;/D&gt;&lt;D xsi:type="xsd:double"&gt;-0.4554597&lt;/D&gt;&lt;D xsi:type="xsd:double"&gt;0.044938736&lt;/D&gt;&lt;D xsi:type="xsd:double"&gt;-0.48942497&lt;/D&gt;&lt;D xsi:type="xsd:double"&gt;0.21431144&lt;/D&gt;&lt;D xsi:type="xsd:double"&gt;0.73203313&lt;/D&gt;&lt;D xsi:type="xsd:double"&gt;0.50401235&lt;/D&gt;&lt;D xsi:type="xsd:double"&gt;-0.1968053&lt;/D&gt;&lt;D xsi:type="xsd:double"&gt;0.23690847&lt;/D&gt;&lt;D xsi:type="xsd:double"&gt;0.71838593&lt;/D&gt;&lt;D xsi:type="xsd:double"&gt;0.13442287&lt;/D&gt;&lt;D xsi:type="xsd:double"&gt;-0.13910365&lt;/D&gt;&lt;D xsi:type="xsd:double"&gt;0.37592852&lt;/D&gt;&lt;D xsi:type="xsd:double"&gt;0.44365242&lt;/D&gt;&lt;D xsi:type="xsd:double"&gt;0.37469864&lt;/D&gt;&lt;D xsi:type="xsd:double"&gt;0.21628004&lt;/D&gt;&lt;D xsi:type="xsd:double"&gt;0.39122966&lt;/D&gt;&lt;D xsi:type="xsd:double"&gt;0.54580206&lt;/D&gt;&lt;D xsi:type="xsd:double"&gt;0.42329928&lt;/D&gt;&lt;D xsi:type="xsd:double"&gt;0.67912257&lt;/D&gt;&lt;D xsi:type="xsd:double"&gt;0.6286616&lt;/D&gt;&lt;D xsi:type="xsd:double"&gt;0.5556211&lt;/D&gt;&lt;D xsi:type="xsd:double"&gt;0.0773581&lt;/D&gt;&lt;D xsi:type="xsd:double"&gt;0.6479168&lt;/D&gt;&lt;D xsi:type="xsd:double"&gt;0.78058654&lt;/D&gt;&lt;D xsi:type="xsd:double"&gt;1&lt;/D&gt;&lt;D xsi:type="xsd:double"&gt;0.56395704&lt;/D&gt;&lt;D xsi:type="xsd:double"&gt;0.6336051&lt;/D&gt;&lt;D xsi:type="xsd:double"&gt;-0.2206945&lt;/D&gt;&lt;D xsi:type="xsd:double"&gt;0.54432905&lt;/D&gt;&lt;D xsi:type="xsd:double"&gt;-0.21496339&lt;/D&gt;&lt;D xsi:type="xsd:double"&gt;0.4732212&lt;/D&gt;&lt;D xsi:type="xsd:double"&gt;0.33920836&lt;/D&gt;&lt;D xsi:type="xsd:double"&gt;-0.18521334&lt;/D&gt;&lt;D xsi:type="xsd:double"&gt;0.10008869&lt;/D&gt;&lt;D xsi:type="xsd:double"&gt;-0.24336699&lt;/D&gt;&lt;D xsi:type="xsd:double"&gt;0.44841853&lt;/D&gt;&lt;D xsi:type="xsd:double"&gt;0.81520367&lt;/D&gt;&lt;D xsi:type="xsd:double"&gt;0.41168347&lt;/D&gt;&lt;D xsi:type="xsd:double"&gt;-0.013929943&lt;/D&gt;&lt;D xsi:type="xsd:double"&gt;0.4379869&lt;/D&gt;&lt;D xsi:type="xsd:double"&gt;0.74858326&lt;/D&gt;&lt;D xsi:type="xsd:double"&gt;0.43807083&lt;/D&gt;&lt;D xsi:type="xsd:double"&gt;-0.30478787&lt;/D&gt;&lt;D xsi:type="xsd:double"&gt;0.58998245&lt;/D&gt;&lt;D xsi:type="xsd:double"&gt;0.72928745&lt;/D&gt;&lt;D xsi:type="xsd:double"&gt;0.46993116&lt;/D&gt;&lt;D xsi:type="xsd:double"&gt;0.42284018&lt;/D&gt;&lt;D xsi:type="xsd:double"&gt;0.44255853&lt;/D&gt;&lt;D xsi:type="xsd:double"&gt;0.72110337&lt;/D&gt;&lt;D xsi:type="xsd:double"&gt;0.5554663&lt;/D&gt;&lt;D xsi:type="xsd:double"&gt;0.7896123&lt;/D&gt;&lt;D xsi:type="xsd:double"&gt;0.55849946&lt;/D&gt;&lt;D xsi:type="xsd:double"&gt;0.72285056&lt;/D&gt;&lt;D xsi:type="xsd:double"&gt;0.2716058&lt;/D&gt;&lt;D xsi:type="xsd:double"&gt;0.665094&lt;/D&gt;&lt;D xsi:type="xsd:double"&gt;0.7018142&lt;/D&gt;&lt;D xsi:type="xsd:double"&gt;0.56395704&lt;/D&gt;&lt;D xsi:type="xsd:double"&gt;1&lt;/D&gt;&lt;D xsi:type="xsd:double"&gt;0.58273154&lt;/D&gt;&lt;D xsi:type="xsd:double"&gt;-0.52576697&lt;/D&gt;&lt;D xsi:type="xsd:double"&gt;0.61386776&lt;/D&gt;&lt;D xsi:type="xsd:double"&gt;-0.022365695&lt;/D&gt;&lt;D xsi:type="xsd:double"&gt;0.6276625&lt;/D&gt;&lt;D xsi:type="xsd:double"&gt;0.6673757&lt;/D&gt;&lt;D xsi:type="xsd:double"&gt;-0.34931132&lt;/D&gt;&lt;D xsi:type="xsd:double"&gt;0.23250817&lt;/D&gt;&lt;D xsi:type="xsd:double"&gt;-0.3524847&lt;/D&gt;&lt;D xsi:type="xsd:double"&gt;0.3719343&lt;/D&gt;&lt;D xsi:type="xsd:double"&gt;0.7510753&lt;/D&gt;&lt;D xsi:type="xsd:double"&gt;0.23480126&lt;/D&gt;&lt;D xsi:type="xsd:double"&gt;-0.14447314&lt;/D&gt;&lt;D xsi:type="xsd:double"&gt;0.54310673&lt;/D&gt;&lt;D xsi:type="xsd:double"&gt;0.89578664&lt;/D&gt;&lt;D xsi:type="xsd:double"&gt;0.6967033&lt;/D&gt;&lt;D xsi:type="xsd:double"&gt;-0.6825094&lt;/D&gt;&lt;D xsi:type="xsd:double"&gt;0.19331364&lt;/D&gt;&lt;D xsi:type="xsd:double"&gt;0.52619654&lt;/D&gt;&lt;D xsi:type="xsd:double"&gt;0.32125884&lt;/D&gt;&lt;D xsi:type="xsd:double"&gt;0.6423115&lt;/D&gt;&lt;D xsi:type="xsd:double"&gt;-0.021958575&lt;/D&gt;&lt;D xsi:type="xsd:double"&gt;0.7884916&lt;/D&gt;&lt;D xsi:type="xsd:double"&gt;0.8457554&lt;/D&gt;&lt;D xsi:type="xsd:double"&gt;0.8278383&lt;/D&gt;&lt;D xsi:type="xsd:double"&gt;0.5267313&lt;/D&gt;&lt;D xsi:type="xsd:double"&gt;0.72498775&lt;/D&gt;&lt;D xsi:type="xsd:double"&gt;0.26930627&lt;/D&gt;&lt;D xsi:type="xsd:double"&gt;0.79592806&lt;/D&gt;&lt;D xsi:type="xsd:double"&gt;0.5740316&lt;/D&gt;&lt;D xsi:type="xsd:double"&gt;0.6336051&lt;/D&gt;&lt;D xsi:type="xsd:double"&gt;0.58273154&lt;/D&gt;&lt;D xsi:type="xsd:double"&gt;1&lt;/D&gt;&lt;D xsi:type="xsd:double"&gt;-0.4129853&lt;/D&gt;&lt;D xsi:type="xsd:double"&gt;0.4070774&lt;/D&gt;&lt;D xsi:type="xsd:double"&gt;0.1654826&lt;/D&gt;&lt;D xsi:type="xsd:double"&gt;0.86650133&lt;/D&gt;&lt;D xsi:type="xsd:double"&gt;0.50621176&lt;/D&gt;&lt;D xsi:type="xsd:double"&gt;-0.4070813&lt;/D&gt;&lt;D xsi:type="xsd:double"&gt;0.6145784&lt;/D&gt;&lt;D xsi:type="xsd:double"&gt;-0.350452&lt;/D&gt;&lt;D xsi:type="xsd:double"&gt;0.6917858&lt;/D&gt;&lt;D xsi:type="xsd:double"&gt;0.7507607&lt;/D&gt;&lt;D xsi:type="xsd:double"&gt;-0.13654114&lt;/D&gt;&lt;D xsi:type="xsd:double"&gt;0.1422379&lt;/D&gt;&lt;D xsi:type="xsd:double"&gt;0.579531&lt;/D&gt;&lt;D xsi:type="xsd:double"&gt;-0.5583033&lt;/D&gt;&lt;D xsi:type="xsd:double"&gt;-0.52302426&lt;/D&gt;&lt;D xsi:type="xsd:double"&gt;0.5757784&lt;/D&gt;&lt;D xsi:type="xsd:double"&gt;-0.3670837&lt;/D&gt;&lt;D xsi:type="xsd:double"&gt;-0.36784297&lt;/D&gt;&lt;D xsi:type="xsd:double"&gt;-0.36154073&lt;/D&gt;&lt;D xsi:type="xsd:double"&gt;-0.5555716&lt;/D&gt;&lt;D xsi:type="xsd:double"&gt;-0.41692477&lt;/D&gt;&lt;D xsi:type="xsd:double"&gt;-0.7386215&lt;/D&gt;&lt;D xsi:type="xsd:double"&gt;-0.5764529&lt;/D&gt;&lt;D xsi:type="xsd:double"&gt;-0.5970757&lt;/D&gt;&lt;D xsi:type="xsd:double"&gt;-0.25058997&lt;/D&gt;&lt;D xsi:type="xsd:double"&gt;-0.75195485&lt;/D&gt;&lt;D xsi:type="xsd:double"&gt;-0.487325&lt;/D&gt;&lt;D xsi:type="xsd:double"&gt;-0.6162223&lt;/D&gt;&lt;D xsi:type="xsd:double"&gt;-0.5221488&lt;/D&gt;&lt;D xsi:type="xsd:double"&gt;-0.2206945&lt;/D&gt;&lt;D xsi:type="xsd:double"&gt;-0.52576697&lt;/D&gt;&lt;D xsi:type="xsd:double"&gt;-0.4129853&lt;/D&gt;&lt;D xsi:type="xsd:double"&gt;1&lt;/D&gt;&lt;D xsi:type="xsd:double"&gt;-0.6534792&lt;/D&gt;&lt;D xsi:type="xsd:double"&gt;-0.04310104&lt;/D&gt;&lt;D xsi:type="xsd:double"&gt;-0.6311677&lt;/D&gt;&lt;D xsi:type="xsd:double"&gt;-0.7710474&lt;/D&gt;&lt;D xsi:type="xsd:double"&gt;0.8686349&lt;/D&gt;&lt;D xsi:type="xsd:double"&gt;-0.054289486&lt;/D&gt;&lt;D xsi:type="xsd:double"&gt;0.7089077&lt;/D&gt;&lt;D xsi:type="xsd:double"&gt;-0.06083048&lt;/D&gt;&lt;D xsi:type="xsd:double"&gt;-0.29268342&lt;/D&gt;&lt;D xsi:type="xsd:double"&gt;-0.17568173&lt;/D&gt;&lt;D xsi:type="xsd:double"&gt;0.6424934&lt;/D&gt;&lt;D xsi:type="xsd:double"&gt;0.0075921123&lt;/D&gt;&lt;D xsi:type="xsd:double"&gt;0.56996876&lt;/D&gt;&lt;D xsi:type="xsd:double"&gt;0.20279378&lt;/D&gt;&lt;D xsi:type="xsd:double"&gt;-0.20706014&lt;/D&gt;&lt;D xsi:type="xsd:double"&gt;0.7207087&lt;/D&gt;&lt;D xsi:type="xsd:double"&gt;0.6660933&lt;/D&gt;&lt;D xsi:type="xsd:double"&gt;0.7062009&lt;/D&gt;&lt;D xsi:type="xsd:double"&gt;0.4115242&lt;/D&gt;&lt;D xsi:type="xsd:double"&gt;0.79102033&lt;/D&gt;&lt;D xsi:type="xsd:double"&gt;0.753162&lt;/D&gt;&lt;D xsi:type="xsd:double"&gt;0.39158252&lt;/D&gt;&lt;D xsi:type="xsd:double"&gt;0.70885336&lt;/D&gt;&lt;D xsi:type="xsd:double"&gt;0.6940536&lt;/D&gt;&lt;D xsi:type="xsd:double"&gt;0.80935913&lt;/D&gt;&lt;D xsi:type="xsd:double"&gt;0.56633276&lt;/D&gt;&lt;D xsi:type="xsd:double"&gt;0.70561343&lt;/D&gt;&lt;D xsi:type="xsd:double"&gt;0.7764229&lt;/D&gt;&lt;D xsi:type="xsd:double"&gt;0.54432905&lt;/D&gt;&lt;D xsi:type="xsd:double"&gt;0.61386776&lt;/D&gt;&lt;D xsi:type="xsd:double"&gt;0.4070774&lt;/D&gt;&lt;D xsi:type="xsd:double"&gt;-0.6534792&lt;/D&gt;&lt;D xsi:type="xsd:double"&gt;1&lt;/D&gt;&lt;D xsi:type="xsd:double"&gt;0.06309005&lt;/D&gt;&lt;D xsi:type="xsd:double"&gt;0.53338647&lt;/D&gt;&lt;D xsi:type="xsd:double"&gt;0.7724764&lt;/D&gt;&lt;D xsi:type="xsd:double"&gt;-0.7132379&lt;/D&gt;&lt;D xsi:type="xsd:double"&gt;-0.08122206&lt;/D&gt;&lt;D xsi:type="xsd:double"&gt;-0.5214149&lt;/D&gt;&lt;D xsi:type="xsd:double"&gt;0.15645722&lt;/D&gt;&lt;D xsi:type="xsd:double"&gt;0.5631242&lt;/D&gt;&lt;D xsi:type="xsd:double"&gt;0.63204825&lt;/D&gt;&lt;D xsi:type="xsd:double"&gt;-0.34943965&lt;/D&gt;&lt;D xsi:type="xsd:double"&gt;0.14174497&lt;/D&gt;&lt;D xsi:type="xsd:double"&gt;0.13674219&lt;/D&gt;&lt;D xsi:type="xsd:double"&gt;0.49729005&lt;/D&gt;&lt;D xsi:type="xsd:double"&gt;-0.28965846&lt;/D&gt;&lt;D xsi:type="xsd:double"&gt;0.24989745&lt;/D&gt;&lt;D xsi:type="xsd:double"&gt;0.31670925&lt;/D&gt;&lt;D xsi:type="xsd:double"&gt;-0.11404255&lt;/D&gt;&lt;D xsi:type="xsd:double"&gt;0.5979543&lt;/D&gt;&lt;D xsi:type="xsd:double"&gt;-0.20984213&lt;/D&gt;&lt;D xsi:type="xsd:double"&gt;0.31174797&lt;/D&gt;&lt;D xsi:type="xsd:double"&gt;0.43057773&lt;/D&gt;&lt;D xsi:type="xsd:double"&gt;0.12748152&lt;/D&gt;&lt;D xsi:type="xsd:double"&gt;0.03521079&lt;/D&gt;&lt;D xsi:type="xsd:double"&gt;0.26819238&lt;/D&gt;&lt;D xsi:type="xsd:double"&gt;0.611209&lt;/D&gt;&lt;D xsi:type="xsd:double"&gt;0.15635514&lt;/D&gt;&lt;D xsi:type="xsd:double"&gt;-0.25963658&lt;/D&gt;&lt;D xsi:type="xsd:double"&gt;-0.21496339&lt;/D&gt;&lt;D xsi:type="xsd:double"&gt;-0.022365695&lt;/D&gt;&lt;D xsi:type="xsd:double"&gt;0.1654826&lt;/D&gt;&lt;D xsi:type="xsd:double"&gt;-0.04310104&lt;/D&gt;&lt;D xsi:type="xsd:double"&gt;0.06309005&lt;/D&gt;&lt;D xsi:type="xsd:double"&gt;1&lt;/D&gt;&lt;D xsi:type="xsd:double"&gt;0.2420572&lt;/D&gt;&lt;D xsi:type="xsd:double"&gt;0.18176089&lt;/D&gt;&lt;D xsi:type="xsd:double"&gt;-0.18155709&lt;/D&gt;&lt;D xsi:type="xsd:double"&gt;0.4175469&lt;/D&gt;&lt;D xsi:type="xsd:double"&gt;0.20399998&lt;/D&gt;&lt;D xsi:type="xsd:double"&gt;0.2662509&lt;/D&gt;&lt;D xsi:type="xsd:double"&gt;-0.061435655&lt;/D&gt;&lt;D xsi:type="xsd:double"&gt;-0.17833117&lt;/D&gt;&lt;D xsi:type="xsd:double"&gt;0.017296528&lt;/D&gt;&lt;D xsi:type="xsd:double"&gt;0.18540765&lt;/D&gt;&lt;D xsi:type="xsd:double"&gt;0.8842032&lt;/D&gt;&lt;D xsi:type="xsd:double"&gt;0.7956112&lt;/D&gt;&lt;D xsi:type="xsd:double"&gt;-0.83910525&lt;/D&gt;&lt;D xsi:type="xsd:double"&gt;0.2500192&lt;/D&gt;&lt;D xsi:type="xsd:double"&gt;0.62214196&lt;/D&gt;&lt;D xsi:type="xsd:double"&gt;0.40145046&lt;/D&gt;&lt;D xsi:type="xsd:double"&gt;0.6998423&lt;/D&gt;&lt;D xsi:type="xsd:double"&gt;0.07267874&lt;/D&gt;&lt;D xsi:type="xsd:double"&gt;0.8795006&lt;/D&gt;&lt;D xsi:type="xsd:double"&gt;0.8686027&lt;/D&gt;&lt;D xsi:type="xsd:double"&gt;0.85337543&lt;/D&gt;&lt;D xsi:type="xsd:double"&gt;0.48983318&lt;/D&gt;&lt;D xsi:type="xsd:double"&gt;0.8318732&lt;/D&gt;&lt;D xsi:type="xsd:double"&gt;0.41938993&lt;/D&gt;&lt;D xsi:type="xsd:double"&gt;0.857425&lt;/D&gt;&lt;D xsi:type="xsd:double"&gt;0.5472457&lt;/D&gt;&lt;D xsi:type="xsd:double"&gt;0.4732212&lt;/D&gt;&lt;D xsi:type="xsd:double"&gt;0.6276625&lt;/D&gt;&lt;D xsi:type="xsd:double"&gt;0.86650133&lt;/D&gt;&lt;D xsi:type="xsd:double"&gt;-0.6311677&lt;/D&gt;&lt;D xsi:type="xsd:double"&gt;0.53338647&lt;/D&gt;&lt;D xsi:type="xsd:double"&gt;0.2420572&lt;/D&gt;&lt;D xsi:type="xsd:double"&gt;1&lt;/D&gt;&lt;D xsi:type="xsd:double"&gt;0.76154125&lt;/D&gt;&lt;D xsi:type="xsd:double"&gt;-0.6166129&lt;/D&gt;&lt;D xsi:type="xsd:double"&gt;0.512099&lt;/D&gt;&lt;D xsi:type="xsd:double"&gt;-0.4618146&lt;/D&gt;&lt;D xsi:type="xsd:double"&gt;0.6022997&lt;/D&gt;&lt;D xsi:type="xsd:double"&gt;0.66647005&lt;/D&gt;&lt;D xsi:type="xsd:double"&gt;-0.1359604&lt;/D&gt;&lt;D xsi:type="xsd:double"&gt;-0.012792519&lt;/D&gt;&lt;D xsi:type="xsd:double"&gt;0.47441444&lt;/D&gt;&lt;D xsi:type="xsd:double"&gt;0.6514036&lt;/D&gt;&lt;D xsi:type="xsd:double"&gt;0.5204921&lt;/D&gt;&lt;D xsi:type="xsd:double"&gt;-0.58651614&lt;/D&gt;&lt;D xsi:type="xsd:double"&gt;0.60568255&lt;/D&gt;&lt;D xsi:type="xsd:double"&gt;0.73957497&lt;/D&gt;&lt;D xsi:type="xsd:double"&gt;0.59643507&lt;/D&gt;&lt;D xsi:type="xsd:double"&gt;0.522975&lt;/D&gt;&lt;D xsi:type="xsd:double"&gt;0.5401154&lt;/D&gt;&lt;D xsi:type="xsd:double"&gt;0.85118544&lt;/D&gt;&lt;D xsi:type="xsd:double"&gt;0.57547593&lt;/D&gt;&lt;D xsi:type="xsd:double"&gt;0.77254534&lt;/D&gt;&lt;D xsi:type="xsd:double"&gt;0.49698514&lt;/D&gt;&lt;D xsi:type="xsd:double"&gt;0.8637351&lt;/D&gt;&lt;D xsi:type="xsd:double"&gt;0.647214&lt;/D&gt;&lt;D xsi:type="xsd:double"&gt;0.79341197&lt;/D&gt;&lt;D xsi:type="xsd:double"&gt;0.58945477&lt;/D&gt;&lt;D xsi:type="xsd:double"&gt;0.33920836&lt;/D&gt;&lt;D xsi:type="xsd:double"&gt;0.6673757&lt;/D&gt;&lt;D xsi:type="xsd:double"&gt;0.50621176&lt;/D&gt;&lt;D xsi:type="xsd:double"&gt;-0.7710474&lt;/D&gt;&lt;D xsi:type="xsd:double"&gt;0.7724764&lt;/D&gt;&lt;D xsi:type="xsd:double"&gt;0.18176089&lt;/D&gt;&lt;D xsi:type="xsd:double"&gt;0.76154125&lt;/D&gt;&lt;D xsi:type="xsd:double"&gt;1&lt;/D&gt;&lt;D xsi:type="xsd:double"&gt;-0.8356078&lt;/D&gt;&lt;D xsi:type="xsd:double"&gt;0.049050935&lt;/D&gt;&lt;D xsi:type="xsd:double"&gt;-0.6192103&lt;/D&gt;&lt;D xsi:type="xsd:double"&gt;0.19769919&lt;/D&gt;&lt;D xsi:type="xsd:double"&gt;0.51001936&lt;/D&gt;&lt;D xsi:type="xsd:double"&gt;0.2425054&lt;/D&gt;&lt;D xsi:type="xsd:double"&gt;-0.295645&lt;/D&gt;&lt;D xsi:type="xsd:double"&gt;0.26153237&lt;/D&gt;&lt;D xsi:type="xsd:double"&gt;-0.437175&lt;/D&gt;&lt;D xsi:type="xsd:double"&gt;-0.41870984&lt;/D&gt;&lt;D xsi:type="xsd:double"&gt;0.5708236&lt;/D&gt;&lt;D xsi:type="xsd:double"&gt;-0.426597&lt;/D&gt;&lt;D xsi:type="xsd:double"&gt;-0.4088436&lt;/D&gt;&lt;D xsi:type="xsd:double"&gt;-0.483582&lt;/D&gt;&lt;D xsi:type="xsd:double"&gt;-0.48684695&lt;/D&gt;&lt;D xsi:type="xsd:double"&gt;-0.47315285&lt;/D&gt;&lt;D xsi:type="xsd:double"&gt;-0.7270927&lt;/D&gt;&lt;D xsi:type="xsd:double"&gt;-0.46657103&lt;/D&gt;&lt;D xsi:type="xsd:double"&gt;-0.55374616&lt;/D&gt;&lt;D xsi:type="xsd:double"&gt;-0.3585083&lt;/D&gt;&lt;D xsi:type="xsd:double"&gt;-0.755613&lt;/D&gt;&lt;D xsi:type="xsd:double"&gt;-0.6911643&lt;/D&gt;&lt;D xsi:type="xsd:double"&gt;-0.63356304&lt;/D&gt;&lt;D xsi:type="xsd:double"&gt;-0.4554597&lt;/D&gt;&lt;D xsi:type="xsd:double"&gt;-0.18521334&lt;/D&gt;&lt;D xsi:type="xsd:double"&gt;-0.34931132&lt;/D&gt;&lt;D xsi:type="xsd:double"&gt;-0.4070813&lt;/D&gt;&lt;D xsi:type="xsd:double"&gt;0.8686349&lt;/D&gt;&lt;D xsi:type="xsd:double"&gt;-0.7132379&lt;/D&gt;&lt;D xsi:type="xsd:double"&gt;-0.18155709&lt;/D&gt;&lt;D xsi:type="xsd:double"&gt;-0.6166129&lt;/D&gt;&lt;D xsi:type="xsd:double"&gt;-0.8356078&lt;/D&gt;&lt;D xsi:type="xsd:double"&gt;1&lt;/D&gt;&lt;D xsi:type="xsd:double"&gt;-0.04766016&lt;/D&gt;&lt;D xsi:type="xsd:double"&gt;0.7029268&lt;/D&gt;&lt;D xsi:type="xsd:double"&gt;-0.03356952&lt;/D&gt;&lt;D xsi:type="xsd:double"&gt;-0.21957599&lt;/D&gt;&lt;D xsi:type="xsd:double"&gt;-0.23737061&lt;/D&gt;&lt;D xsi:type="xsd:double"&gt;0.47807235&lt;/D&gt;&lt;D xsi:type="xsd:double"&gt;0.094131276&lt;/D&gt;&lt;D xsi:type="xsd:double"&gt;0.46980768&lt;/D&gt;&lt;D xsi:type="xsd:double"&gt;0.6504941&lt;/D&gt;&lt;D xsi:type="xsd:double"&gt;-0.45805982&lt;/D&gt;&lt;D xsi:type="xsd:double"&gt;-0.056886252&lt;/D&gt;&lt;D xsi:type="xsd:double"&gt;0.27256742&lt;/D&gt;&lt;D xsi:type="xsd:double"&gt;-0.06911231&lt;/D&gt;&lt;D xsi:type="xsd:double"&gt;0.5667903&lt;/D&gt;&lt;D xsi:type="xsd:double"&gt;-0.48590955&lt;/D&gt;&lt;D xsi:type="xsd:double"&gt;0.3646207&lt;/D&gt;&lt;D xsi:type="xsd:double"&gt;0.63641614&lt;/D&gt;&lt;D xsi:type="xsd:double"&gt;0.3517464&lt;/D&gt;&lt;D xsi:type="xsd:double"&gt;0.11803714&lt;/D&gt;&lt;D xsi:type="xsd:double"&gt;0.24754404&lt;/D&gt;&lt;D xsi:type="xsd:double"&gt;0.117889844&lt;/D&gt;&lt;D xsi:type="xsd:double"&gt;0.27473998&lt;/D&gt;&lt;D xsi:type="xsd:double"&gt;0.044938736&lt;/D&gt;&lt;D xsi:type="xsd:double"&gt;0.10008869&lt;/D&gt;&lt;D xsi:type="xsd:double"&gt;0.23250817&lt;/D&gt;&lt;D xsi:type="xsd:double"&gt;0.6145784&lt;/D&gt;&lt;D xsi:type="xsd:double"&gt;-0.054289486&lt;/D&gt;&lt;D xsi:type="xsd:double"&gt;-0.08122206&lt;/D&gt;&lt;D xsi:type="xsd:double"&gt;0.4175469&lt;/D&gt;&lt;D xsi:type="xsd:double"&gt;0.512099&lt;/D&gt;&lt;D xsi:type="xsd:double"&gt;0.049050935&lt;/D&gt;&lt;D xsi:type="xsd:double"&gt;-0.04766016&lt;/D&gt;&lt;D xsi:type="xsd:double"&gt;1&lt;/D&gt;&lt;D xsi:type="xsd:double"&gt;0.15764932&lt;/D&gt;&lt;D xsi:type="xsd:double"&gt;0.6466834&lt;/D&gt;&lt;D xsi:type="xsd:double"&gt;0.31392375&lt;/D&gt;&lt;D xsi:type="xsd:double"&gt;-0.45630094&lt;/D&gt;&lt;D xsi:type="xsd:double"&gt;0.26980668&lt;/D&gt;&lt;D xsi:type="xsd:double"&gt;0.48969674&lt;/D&gt;&lt;D xsi:type="xsd:double"&gt;-0.37997007&lt;/D&gt;&lt;D xsi:type="xsd:double"&gt;-0.23035027&lt;/D&gt;&lt;D xsi:type="xsd:double"&gt;0.41446158&lt;/D&gt;&lt;D xsi:type="xsd:double"&gt;-0.16816874&lt;/D&gt;&lt;D xsi:type="xsd:double"&gt;-0.17890595&lt;/D&gt;&lt;D xsi:type="xsd:double"&gt;-0.4473838&lt;/D&gt;&lt;D xsi:type="xsd:double"&gt;-0.19749087&lt;/D&gt;&lt;D xsi:type="xsd:double"&gt;-0.4591525&lt;/D&gt;&lt;D xsi:type="xsd:double"&gt;-0.5366381&lt;/D&gt;&lt;D xsi:type="xsd:double"&gt;-0.3092271&lt;/D&gt;&lt;D xsi:type="xsd:double"&gt;-0.42901167&lt;/D&gt;&lt;D xsi:type="xsd:double"&gt;-0.2656612&lt;/D&gt;&lt;D xsi:type="xsd:double"&gt;-0.59105974&lt;/D&gt;&lt;D xsi:type="xsd:double"&gt;-0.37374666&lt;/D&gt;&lt;D xsi:type="xsd:double"&gt;-0.54933566&lt;/D&gt;&lt;D xsi:type="xsd:double"&gt;-0.48942497&lt;/D&gt;&lt;D xsi:type="xsd:double"&gt;-0.24336699&lt;/D&gt;&lt;D xsi:type="xsd:double"&gt;-0.3524847&lt;/D&gt;&lt;D xsi:type="xsd:double"&gt;-0.350452&lt;/D&gt;&lt;D xsi:type="xsd:double"&gt;0.7089077&lt;/D&gt;&lt;D xsi:type="xsd:double"&gt;-0.5214149&lt;/D&gt;&lt;D xsi:type="xsd:double"&gt;0.20399998&lt;/D&gt;&lt;D xsi:type="xsd:double"&gt;-0.4618146&lt;/D&gt;&lt;D xsi:type="xsd:double"&gt;-0.6192103&lt;/D&gt;&lt;D xsi:type="xsd:double"&gt;0.7029268&lt;/D&gt;&lt;D xsi:type="xsd:double"&gt;0.15764932&lt;/D&gt;&lt;D xsi:type="xsd:double"&gt;1&lt;/D&gt;&lt;D xsi:type="xsd:double"&gt;0.19612464&lt;/D&gt;&lt;D xsi:type="xsd:double"&gt;-0.20924574&lt;/D&gt;&lt;D xsi:type="xsd:double"&gt;-0.22479005&lt;/D&gt;&lt;D xsi:type="xsd:double"&gt;0.4213547&lt;/D&gt;&lt;D xsi:type="xsd:double"&gt;0.08166252&lt;/D&gt;&lt;D xsi:type="xsd:double"&gt;0.6593172&lt;/D&gt;&lt;D xsi:type="xsd:double"&gt;0.6330727&lt;/D&gt;&lt;D xsi:type="xsd:double"&gt;-0.46417063&lt;/D&gt;&lt;D xsi:type="xsd:double"&gt;0.07103802&lt;/D&gt;&lt;D xsi:type="xsd:double"&gt;0.43372157&lt;/D&gt;&lt;D xsi:type="xsd:double"&gt;0.021110859&lt;/D&gt;&lt;D xsi:type="xsd:double"&gt;0.5182297&lt;/D&gt;&lt;D xsi:type="xsd:double"&gt;-0.31023037&lt;/D&gt;&lt;D xsi:type="xsd:double"&gt;0.4667961&lt;/D&gt;&lt;D xsi:type="xsd:double"&gt;0.67604893&lt;/D&gt;&lt;D xsi:type="xsd:double"&gt;0.5465695&lt;/D&gt;&lt;D xsi:type="xsd:double"&gt;0.38341677&lt;/D&gt;&lt;D xsi:type="xsd:double"&gt;0.346362&lt;/D&gt;&lt;D xsi:type="xsd:double"&gt;-0.011348601&lt;/D&gt;&lt;D xsi:type="xsd:double"&gt;0.40610948&lt;/D&gt;&lt;D xsi:type="xsd:double"&gt;0.21431144&lt;/D&gt;&lt;D xsi:type="xsd:double"&gt;0.44841853&lt;/D&gt;&lt;D xsi:type="xsd:double"&gt;0.3719343&lt;/D&gt;&lt;D xsi:type="xsd:double"&gt;0.6917858&lt;/D&gt;&lt;D xsi:type="xsd:double"&gt;-0.06083048&lt;/D&gt;&lt;D xsi:type="xsd:double"&gt;0.15645722&lt;/D&gt;&lt;D xsi:type="xsd:double"&gt;0.2662509&lt;/D&gt;&lt;D xsi:type="xsd:double"&gt;0.6022997&lt;/D&gt;&lt;D xsi:type="xsd:double"&gt;0.19769919&lt;/D&gt;&lt;D xsi:type="xsd:double"&gt;-0.03356952&lt;/D&gt;&lt;D xsi:type="xsd:double"&gt;0.6466834&lt;/D&gt;&lt;D xsi:type="xsd:double"&gt;0.19612464&lt;/D&gt;&lt;D xsi:type="xsd:double"&gt;1&lt;/D&gt;&lt;D xsi:type="xsd:double"&gt;0.6270301&lt;/D&gt;&lt;D xsi:type="xsd:double"&gt;-0.28101522&lt;/D&gt;&lt;D xsi:type="xsd:double"&gt;0.29924026&lt;/D&gt;&lt;D xsi:type="xsd:double"&gt;0.61643595&lt;/D&gt;&lt;D xsi:type="xsd:double"&gt;0.82277054&lt;/D&gt;&lt;D xsi:type="xsd:double"&gt;0.34510216&lt;/D&gt;&lt;D xsi:type="xsd:double"&gt;-0.3093783&lt;/D&gt;&lt;D xsi:type="xsd:double"&gt;0.4564856&lt;/D&gt;&lt;D xsi:type="xsd:double"&gt;0.6890489&lt;/D&gt;&lt;D xsi:type="xsd:double"&gt;0.4080271&lt;/D&gt;&lt;D xsi:type="xsd:double"&gt;0.34850475&lt;/D&gt;&lt;D xsi:type="xsd:double"&gt;0.31491366&lt;/D&gt;&lt;D xsi:type="xsd:double"&gt;0.6624978&lt;/D&gt;&lt;D xsi:type="xsd:double"&gt;0.56915194&lt;/D&gt;&lt;D xsi:type="xsd:double"&gt;0.8146413&lt;/D&gt;&lt;D xsi:type="xsd:double"&gt;0.73634344&lt;/D&gt;&lt;D xsi:type="xsd:double"&gt;0.652875&lt;/D&gt;&lt;D xsi:type="xsd:double"&gt;0.13436571&lt;/D&gt;&lt;D xsi:type="xsd:double"&gt;0.6925958&lt;/D&gt;&lt;D xsi:type="xsd:double"&gt;0.73203313&lt;/D&gt;&lt;D xsi:type="xsd:double"&gt;0.81520367&lt;/D&gt;&lt;D xsi:type="xsd:double"&gt;0.7510753&lt;/D&gt;&lt;D xsi:type="xsd:double"&gt;0.7507607&lt;/D&gt;&lt;D xsi:type="xsd:double"&gt;-0.29268342&lt;/D&gt;&lt;D xsi:type="xsd:double"&gt;0.5631242&lt;/D&gt;&lt;D xsi:type="xsd:double"&gt;-0.061435655&lt;/D&gt;&lt;D xsi:type="xsd:double"&gt;0.66647005&lt;/D&gt;&lt;D xsi:type="xsd:double"&gt;0.51001936&lt;/D&gt;&lt;D xsi:type="xsd:double"&gt;-0.21957599&lt;/D&gt;&lt;D xsi:type="xsd:double"&gt;0.31392375&lt;/D&gt;&lt;D xsi:type="xsd:double"&gt;-0.20924574&lt;/D&gt;&lt;D xsi:type="xsd:double"&gt;0.6270301&lt;/D&gt;&lt;D xsi:type="xsd:double"&gt;1&lt;/D&gt;&lt;D xsi:type="xsd:double"&gt;0.2601207&lt;/D&gt;&lt;D xsi:type="xsd:double"&gt;0.15491861&lt;/D&gt;&lt;D xsi:type="xsd:double"&gt;0.69211715&lt;/D&gt;&lt;D xsi:type="xsd:double"&gt;0.03862189&lt;/D&gt;&lt;D xsi:type="xsd:double"&gt;-0.46180964&lt;/D&gt;&lt;</t>
        </r>
      </text>
    </comment>
    <comment ref="A3" authorId="0" shapeId="0" xr:uid="{B89116F7-C625-4665-B61D-D409D75BE612}">
      <text>
        <r>
          <rPr>
            <b/>
            <sz val="9"/>
            <color indexed="81"/>
            <rFont val="Tahoma"/>
            <charset val="1"/>
          </rPr>
          <t>D xsi:type="xsd:double"&gt;0.44181794&lt;/D&gt;&lt;D xsi:type="xsd:double"&gt;0.64860237&lt;/D&gt;&lt;D xsi:type="xsd:double"&gt;0.3323738&lt;/D&gt;&lt;D xsi:type="xsd:double"&gt;0.42073336&lt;/D&gt;&lt;D xsi:type="xsd:double"&gt;-0.20623858&lt;/D&gt;&lt;D xsi:type="xsd:double"&gt;0.8522897&lt;/D&gt;&lt;D xsi:type="xsd:double"&gt;0.17796366&lt;/D&gt;&lt;D xsi:type="xsd:double"&gt;-0.23145361&lt;/D&gt;&lt;D xsi:type="xsd:double"&gt;0.2217108&lt;/D&gt;&lt;D xsi:type="xsd:double"&gt;0.5767266&lt;/D&gt;&lt;D xsi:type="xsd:double"&gt;0.3035279&lt;/D&gt;&lt;D xsi:type="xsd:double"&gt;0.2770601&lt;/D&gt;&lt;D xsi:type="xsd:double"&gt;0.1461077&lt;/D&gt;&lt;D xsi:type="xsd:double"&gt;0.50401235&lt;/D&gt;&lt;D xsi:type="xsd:double"&gt;0.41168347&lt;/D&gt;&lt;D xsi:type="xsd:double"&gt;0.23480126&lt;/D&gt;&lt;D xsi:type="xsd:double"&gt;-0.13654114&lt;/D&gt;&lt;D xsi:type="xsd:double"&gt;-0.17568173&lt;/D&gt;&lt;D xsi:type="xsd:double"&gt;0.63204825&lt;/D&gt;&lt;D xsi:type="xsd:double"&gt;-0.17833117&lt;/D&gt;&lt;D xsi:type="xsd:double"&gt;-0.1359604&lt;/D&gt;&lt;D xsi:type="xsd:double"&gt;0.2425054&lt;/D&gt;&lt;D xsi:type="xsd:double"&gt;-0.23737061&lt;/D&gt;&lt;D xsi:type="xsd:double"&gt;-0.45630094&lt;/D&gt;&lt;D xsi:type="xsd:double"&gt;-0.22479005&lt;/D&gt;&lt;D xsi:type="xsd:double"&gt;-0.28101522&lt;/D&gt;&lt;D xsi:type="xsd:double"&gt;0.2601207&lt;/D&gt;&lt;D xsi:type="xsd:double"&gt;1&lt;/D&gt;&lt;D xsi:type="xsd:double"&gt;-0.2376761&lt;/D&gt;&lt;D xsi:type="xsd:double"&gt;0.023357874&lt;/D&gt;&lt;D xsi:type="xsd:double"&gt;-0.070750654&lt;/D&gt;&lt;D xsi:type="xsd:double"&gt;-0.1174782&lt;/D&gt;&lt;D xsi:type="xsd:double"&gt;0.09134149&lt;/D&gt;&lt;D xsi:type="xsd:double"&gt;-0.24333113&lt;/D&gt;&lt;D xsi:type="xsd:double"&gt;0.049620707&lt;/D&gt;&lt;D xsi:type="xsd:double"&gt;-0.026027761&lt;/D&gt;&lt;D xsi:type="xsd:double"&gt;-0.27945054&lt;/D&gt;&lt;D xsi:type="xsd:double"&gt;-0.34818318&lt;/D&gt;&lt;D xsi:type="xsd:double"&gt;-0.24973953&lt;/D&gt;&lt;D xsi:type="xsd:double"&gt;-0.16296916&lt;/D&gt;&lt;D xsi:type="xsd:double"&gt;-0.06334584&lt;/D&gt;&lt;D xsi:type="xsd:double"&gt;0.1443851&lt;/D&gt;&lt;D xsi:type="xsd:double"&gt;-0.29551873&lt;/D&gt;&lt;D xsi:type="xsd:double"&gt;-0.33797488&lt;/D&gt;&lt;D xsi:type="xsd:double"&gt;-0.12612398&lt;/D&gt;&lt;D xsi:type="xsd:double"&gt;-0.1968053&lt;/D&gt;&lt;D xsi:type="xsd:double"&gt;-0.013929943&lt;/D&gt;&lt;D xsi:type="xsd:double"&gt;-0.14447314&lt;/D&gt;&lt;D xsi:type="xsd:double"&gt;0.1422379&lt;/D&gt;&lt;D xsi:type="xsd:double"&gt;0.6424934&lt;/D&gt;&lt;D xsi:type="xsd:double"&gt;-0.34943965&lt;/D&gt;&lt;D xsi:type="xsd:double"&gt;0.017296528&lt;/D&gt;&lt;D xsi:type="xsd:double"&gt;-0.012792519&lt;/D&gt;&lt;D xsi:type="xsd:double"&gt;-0.295645&lt;/D&gt;&lt;D xsi:type="xsd:double"&gt;0.47807235&lt;/D&gt;&lt;D xsi:type="xsd:double"&gt;0.26980668&lt;/D&gt;&lt;D xsi:type="xsd:double"&gt;0.4213547&lt;/D&gt;&lt;D xsi:type="xsd:double"&gt;0.29924026&lt;/D&gt;&lt;D xsi:type="xsd:double"&gt;0.15491861&lt;/D&gt;&lt;D xsi:type="xsd:double"&gt;-0.2376761&lt;/D&gt;&lt;D xsi:type="xsd:double"&gt;1&lt;/D&gt;&lt;D xsi:type="xsd:double"&gt;0.3916178&lt;/D&gt;&lt;D xsi:type="xsd:double"&gt;0.6085905&lt;/D&gt;&lt;D xsi:type="xsd:double"&gt;0.3739481&lt;/D&gt;&lt;D xsi:type="xsd:double"&gt;-0.25641355&lt;/D&gt;&lt;D xsi:type="xsd:double"&gt;0.36313996&lt;/D&gt;&lt;D xsi:type="xsd:double"&gt;0.65752286&lt;/D&gt;&lt;D xsi:type="xsd:double"&gt;-0.04675638&lt;/D&gt;&lt;D xsi:type="xsd:double"&gt;0.22869699&lt;/D&gt;&lt;D xsi:type="xsd:double"&gt;-0.060925145&lt;/D&gt;&lt;D xsi:type="xsd:double"&gt;0.4462283&lt;/D&gt;&lt;D xsi:type="xsd:double"&gt;0.49781477&lt;/D&gt;&lt;D xsi:type="xsd:double"&gt;0.6288033&lt;/D&gt;&lt;D xsi:type="xsd:double"&gt;0.5789024&lt;/D&gt;&lt;D xsi:type="xsd:double"&gt;0.40606788&lt;/D&gt;&lt;D xsi:type="xsd:double"&gt;0.08398972&lt;/D&gt;&lt;D xsi:type="xsd:double"&gt;0.3968373&lt;/D&gt;&lt;D xsi:type="xsd:double"&gt;0.23690847&lt;/D&gt;&lt;D xsi:type="xsd:double"&gt;0.4379869&lt;/D&gt;&lt;D xsi:type="xsd:double"&gt;0.54310673&lt;/D&gt;&lt;D xsi:type="xsd:double"&gt;0.579531&lt;/D&gt;&lt;D xsi:type="xsd:double"&gt;0.0075921123&lt;/D&gt;&lt;D xsi:type="xsd:double"&gt;0.14174497&lt;/D&gt;&lt;D xsi:type="xsd:double"&gt;0.18540765&lt;/D&gt;&lt;D xsi:type="xsd:double"&gt;0.47441444&lt;/D&gt;&lt;D xsi:type="xsd:double"&gt;0.26153237&lt;/D&gt;&lt;D xsi:type="xsd:double"&gt;0.094131276&lt;/D&gt;&lt;D xsi:type="xsd:double"&gt;0.48969674&lt;/D&gt;&lt;D xsi:type="xsd:double"&gt;0.08166252&lt;/D&gt;&lt;D xsi:type="xsd:double"&gt;0.61643595&lt;/D&gt;&lt;D xsi:type="xsd:double"&gt;0.69211715&lt;/D&gt;&lt;D xsi:type="xsd:double"&gt;0.023357874&lt;/D&gt;&lt;D xsi:type="xsd:double"&gt;0.3916178&lt;/D&gt;&lt;D xsi:type="xsd:double"&gt;1&lt;/D&gt;&lt;/FQL&gt;&lt;FQL&gt;&lt;Q&gt;^IDS&lt;/Q&gt;&lt;R&gt;32&lt;/R&gt;&lt;C&gt;1&lt;/C&gt;&lt;D xsi:type="xsd:string"&gt;MSFT-US&lt;/D&gt;&lt;D xsi:type="xsd:string"&gt;GOOG-US&lt;/D&gt;&lt;D xsi:type="xsd:string"&gt;LSEG-GB&lt;/D&gt;&lt;D xsi:type="xsd:string"&gt;V-US&lt;/D&gt;&lt;D xsi:type="xsd:string"&gt;MA-US&lt;/D&gt;&lt;D xsi:type="xsd:string"&gt;ULVR-GB&lt;/D&gt;&lt;D xsi:type="xsd:string"&gt;ASML-US&lt;/D&gt;&lt;D xsi:type="xsd:string"&gt;DB1-DE&lt;/D&gt;&lt;D xsi:type="xsd:string"&gt;GE-US&lt;/D&gt;&lt;D xsi:type="xsd:string"&gt;TSM-US&lt;/D&gt;&lt;D xsi:type="xsd:string"&gt;SCHW-US&lt;/D&gt;&lt;D xsi:type="xsd:string"&gt;EXPN-GB&lt;/D&gt;&lt;D xsi:type="xsd:string"&gt;SAF-FR&lt;/D&gt;&lt;D xsi:type="xsd:string"&gt;ROG-CH&lt;/D&gt;&lt;D xsi:type="xsd:string"&gt;1299-HK&lt;/D&gt;&lt;D xsi:type="xsd:string"&gt;HDB-US&lt;/D&gt;&lt;D xsi:type="xsd:string"&gt;INTU-US&lt;/D&gt;&lt;D xsi:type="xsd:string"&gt;EW-US&lt;/D&gt;&lt;D xsi:type="xsd:string"&gt;FERG-US&lt;/D&gt;&lt;D xsi:type="xsd:string"&gt;ZTS-US&lt;/D&gt;&lt;D xsi:type="xsd:string"&gt;B3SA3-BR&lt;/D&gt;&lt;D xsi:type="xsd:string"&gt;ATCO.B-SE&lt;/D&gt;&lt;D xsi:type="xsd:string"&gt;ALLE-US&lt;/D&gt;&lt;D xsi:type="xsd:string"&gt;AZO-US&lt;/D&gt;&lt;D xsi:type="xsd:string"&gt;BBCA-ID&lt;/D&gt;&lt;D xsi:type="xsd:string"&gt;RTO-GB&lt;/D&gt;&lt;D xsi:type="xsd:string"&gt;WDAY-US&lt;/D&gt;&lt;D xsi:type="xsd:string"&gt;ADSK-US&lt;/D&gt;&lt;D xsi:type="xsd:string"&gt;BKNG-US&lt;/D&gt;&lt;D xsi:type="xsd:string"&gt;EVD-DE&lt;/D&gt;&lt;D xsi:type="xsd:string"&gt;SHW-US&lt;/D&gt;&lt;D xsi:type="xsd:string"&gt;MCO-US&lt;/D&gt;&lt;/FQL&gt;&lt;FQL&gt;&lt;Q&gt;DUMMY^FLOAT_ARRAY CORRELMATRIX=GET_FQL_ARRAY(IDS,'FG_PRICE(45961,45961-1AY,D,USD)');'FDS CODE - DO NOT DELETE'&lt;/Q&gt;&lt;R&gt;1&lt;/R&gt;&lt;C&gt;1&lt;/C&gt;&lt;D xsi:type="xsd:string"&gt;FDS CODE - DO NOT DELETE&lt;/D&gt;&lt;/FQL&gt;&lt;FQL&gt;&lt;Q&gt;DUMMY^STRING_ARRAY IDS=TICKER_LIST('MSFT-US GOOG-US LSEG-GB V-US MA-US ULVR-GB ASML-US DB1-DE GE-US TSM-US SCHW-US EXPN-GB SAF-FR ROG-CH 1299-HK HDB-US INTU-US EW-US FERG-US ZTS-US B3SA3-BR ATCO.B-SE ALLE-US AZO-US BBCA-ID RTO-GB WDAY-US ADSK-US BKNG-US EVD-DE SHW-US MCO-US');"FDS CODE - DO NOT DELETE"&lt;/Q&gt;&lt;R&gt;1&lt;/R&gt;&lt;C&gt;1&lt;/C&gt;&lt;D xsi:type="xsd:string"&gt;FDS CODE - DO NOT DELETE&lt;/D&gt;&lt;/FQL&gt;&lt;FQL&gt;&lt;Q&gt;DUMMY^PROPER("CORRELATION OF DAILY DATA BETWEEN ") + FG_DATE(45961-1AY) + LOWERCASE(" AND ") + FG_DATE(45961) + LOWERCASE(":")&lt;/Q&gt;&lt;R&gt;1&lt;/R&gt;&lt;C&gt;1&lt;/C&gt;&lt;D xsi:type="xsd:string"&gt;Correlation Of Daily Data Between 10/31/2024 and 10/31/2025:&lt;/D&gt;&lt;/FQL&gt;&lt;FQL&gt;&lt;Q&gt;MSFT-US^FG_COMPANY_NAME&lt;/Q&gt;&lt;R&gt;1&lt;/R&gt;&lt;C&gt;1&lt;/C&gt;&lt;D xsi:type="xsd:string"&gt;Microsoft Corporation&lt;/D&gt;&lt;/FQL&gt;&lt;FQL&gt;&lt;Q&gt;GOOG-US^FG_COMPANY_NAME&lt;/Q&gt;&lt;R&gt;1&lt;/R&gt;&lt;C&gt;1&lt;/C&gt;&lt;D xsi:type="xsd:string"&gt;Alphabet Inc. Class C&lt;/D&gt;&lt;/FQL&gt;&lt;FQL&gt;&lt;Q&gt;LSEG-GB^FG_COMPANY_NAME&lt;/Q&gt;&lt;R&gt;1&lt;/R&gt;&lt;C&gt;1&lt;/C&gt;&lt;D xsi:type="xsd:string"&gt;London Stock Exchange Group plc&lt;/D&gt;&lt;/FQL&gt;&lt;FQL&gt;&lt;Q&gt;V-US^FG_COMPANY_NAME&lt;/Q&gt;&lt;R&gt;1&lt;/R&gt;&lt;C&gt;1&lt;/C&gt;&lt;D xsi:type="xsd:string"&gt;Visa Inc. Class A&lt;/D&gt;&lt;/FQL&gt;&lt;FQL&gt;&lt;Q&gt;MA-US^FG_COMPANY_NAME&lt;/Q&gt;&lt;R&gt;1&lt;/R&gt;&lt;C&gt;1&lt;/C&gt;&lt;D xsi:type="xsd:string"&gt;Mastercard Incorporated Class A&lt;/D&gt;&lt;/FQL&gt;&lt;FQL&gt;&lt;Q&gt;ULVR-GB^FG_COMPANY_NAME&lt;/Q&gt;&lt;R&gt;1&lt;/R&gt;&lt;C&gt;1&lt;/C&gt;&lt;D xsi:type="xsd:string"&gt;Unilever PLC&lt;/D&gt;&lt;/FQL&gt;&lt;FQL&gt;&lt;Q&gt;ASML-US^FG_COMPANY_NAME&lt;/Q&gt;&lt;R&gt;1&lt;/R&gt;&lt;C&gt;1&lt;/C&gt;&lt;D xsi:type="xsd:string"&gt;ASML Holding NV Sponsored ADR&lt;/D&gt;&lt;/FQL&gt;&lt;FQL&gt;&lt;Q&gt;DB1-DE^FG_COMPANY_NAME&lt;/Q&gt;&lt;R&gt;1&lt;/R&gt;&lt;C&gt;1&lt;/C&gt;&lt;D xsi:type="xsd:string"&gt;Deutsche Boerse AG&lt;/D&gt;&lt;/FQL&gt;&lt;FQL&gt;&lt;Q&gt;GE-US^FG_COMPANY_NAME&lt;/Q&gt;&lt;R&gt;1&lt;/R&gt;&lt;C&gt;1&lt;/C&gt;&lt;D xsi:type="xsd:string"&gt;GE Aerospace&lt;/D&gt;&lt;/FQL&gt;&lt;FQL&gt;&lt;Q&gt;TSM-US^FG_COMPANY_NAME&lt;/Q&gt;&lt;R&gt;1&lt;/R&gt;&lt;C&gt;1&lt;/C&gt;&lt;D xsi:type="xsd:string"&gt;Taiwan Semiconductor Manufacturing Co., Ltd. Sponsored ADR&lt;/D&gt;&lt;/FQL&gt;&lt;FQL&gt;&lt;Q&gt;SCHW-US^FG_COMPANY_NAME&lt;/Q&gt;&lt;R&gt;1&lt;/R&gt;&lt;C&gt;1&lt;/C&gt;&lt;D xsi:type="xsd:string"&gt;Charles Schwab Corp&lt;/D&gt;&lt;/FQL&gt;&lt;FQL&gt;&lt;Q&gt;EXPN-GB^FG_COMPANY_NAME&lt;/Q&gt;&lt;R&gt;1&lt;/R&gt;&lt;C&gt;1&lt;/C&gt;&lt;D xsi:type="xsd:string"&gt;Experian PLC&lt;/D&gt;&lt;/FQL&gt;&lt;FQL&gt;&lt;Q&gt;SAF-FR^FG_COMPANY_NAME&lt;/Q&gt;&lt;R&gt;1&lt;/R&gt;&lt;C&gt;1&lt;/C&gt;&lt;D xsi:type="xsd:string"&gt;Safran SA&lt;/D&gt;&lt;/FQL&gt;&lt;FQL&gt;&lt;Q&gt;ROG-CH^FG_COMPANY_NAME&lt;/Q&gt;&lt;R&gt;1&lt;/R&gt;&lt;C&gt;1&lt;/C&gt;&lt;D xsi:type="xsd:string"&gt;Roche Holding Ltd Dividend Right Cert.&lt;/D&gt;&lt;/FQL&gt;&lt;FQL&gt;&lt;Q&gt;1299-HK^FG_COMPANY_NAME&lt;/Q&gt;&lt;R&gt;1&lt;/R&gt;&lt;C&gt;1&lt;/C&gt;&lt;D xsi:type="xsd:string"&gt;AIA Group Limited&lt;/D&gt;&lt;/FQL&gt;&lt;FQL&gt;&lt;Q&gt;HDB-US^FG_COMPANY_NAME&lt;/Q&gt;&lt;R&gt;1&lt;/R&gt;&lt;C&gt;1&lt;/C&gt;&lt;D xsi:type="xsd:string"&gt;HDFC Bank Limited Sponsored ADR&lt;/D&gt;&lt;/FQL&gt;&lt;FQL&gt;&lt;Q&gt;INTU-US^FG_COMPANY_NAME&lt;/Q&gt;&lt;R&gt;1&lt;/R&gt;&lt;C&gt;1&lt;/C&gt;&lt;D xsi:type="xsd:string"&gt;Intuit Inc.&lt;/D&gt;&lt;/FQL&gt;&lt;FQL&gt;&lt;Q&gt;EW-US^FG_COMPANY_NAME&lt;/Q&gt;&lt;R&gt;1&lt;/R&gt;&lt;C&gt;1&lt;/C&gt;&lt;D xsi:type="xsd:string"&gt;Edwards Lifesciences Corporation&lt;/D&gt;&lt;/FQL&gt;&lt;FQL&gt;&lt;Q&gt;FERG-US^FG_COMPANY_NAME&lt;/Q&gt;&lt;R&gt;1&lt;/R&gt;&lt;C&gt;1&lt;/C&gt;&lt;D xsi:type="xsd:string"&gt;Ferguson Enterprises Inc.&lt;/D&gt;&lt;/FQL&gt;&lt;FQL&gt;&lt;Q&gt;ZTS-US^FG_COMPANY_NAME&lt;/Q&gt;&lt;R&gt;1&lt;/R&gt;&lt;C&gt;1&lt;/C&gt;&lt;D xsi:type="xsd:string"&gt;Zoetis, Inc. Class A&lt;/D&gt;&lt;/FQL&gt;&lt;FQL&gt;&lt;Q&gt;B3SA3-BR^FG_COMPANY_NAME&lt;/Q&gt;&lt;R&gt;1&lt;/R&gt;&lt;C&gt;1&lt;/C&gt;&lt;D xsi:type="xsd:string"&gt;B3 SA - Brasil, Bolsa, Balcao&lt;/D&gt;&lt;/FQL&gt;&lt;FQL&gt;&lt;Q&gt;ATCO.B-SE^FG_COMPANY_NAME&lt;/Q&gt;&lt;R&gt;1&lt;/R&gt;&lt;C&gt;1&lt;/C&gt;&lt;D xsi:type="xsd:string"&gt;Atlas Copco AB Class B&lt;/D&gt;&lt;/FQL&gt;&lt;FQL&gt;&lt;Q&gt;ALLE-US^FG_COMPANY_NAME&lt;/Q&gt;&lt;R&gt;1&lt;/R&gt;&lt;C&gt;1&lt;/C&gt;&lt;D xsi:type="xsd:string"&gt;Allegion Public Limited Company&lt;/D&gt;&lt;/FQL&gt;&lt;FQL&gt;&lt;Q&gt;AZO-US^FG_COMPANY_NAME&lt;/Q&gt;&lt;R&gt;1&lt;/R&gt;&lt;C&gt;1&lt;/C&gt;&lt;D xsi:type="xsd:string"&gt;AutoZone, Inc.&lt;/D&gt;&lt;/FQL&gt;&lt;FQL&gt;&lt;Q&gt;BBCA-ID^FG_COMPANY_NAME&lt;/Q&gt;&lt;R&gt;1&lt;/R&gt;&lt;C&gt;1&lt;/C&gt;&lt;D xsi:type="xsd:string"&gt;PT Bank Central Asia Tbk&lt;/D&gt;&lt;/FQL&gt;&lt;FQL&gt;&lt;Q&gt;RTO-GB^FG_COMPANY_NAME&lt;/Q&gt;&lt;R&gt;1&lt;/R&gt;&lt;C&gt;1&lt;/C&gt;&lt;D xsi:type="xsd:string"&gt;Rentokil Initial plc&lt;/D&gt;&lt;/FQL&gt;&lt;FQL&gt;&lt;Q&gt;WDAY-US^FG_COMPANY_NAME&lt;/Q&gt;&lt;R&gt;1&lt;/R&gt;&lt;C&gt;1&lt;/C&gt;&lt;D xsi:type="xsd:string"&gt;Workday, Inc. Class A&lt;/D&gt;&lt;/FQL&gt;&lt;FQL&gt;&lt;Q&gt;ADSK-US^FG_COMPANY_NAME&lt;/Q&gt;&lt;R&gt;1&lt;/R&gt;&lt;C&gt;1&lt;/C&gt;&lt;D xsi:type="xsd:string"&gt;Autodesk, Inc.&lt;/D&gt;&lt;/FQL&gt;&lt;FQL&gt;&lt;Q&gt;BKNG-US^FG_COMPANY_NAME&lt;/Q&gt;&lt;R&gt;1&lt;/R&gt;&lt;C&gt;1&lt;/C&gt;&lt;D xsi:type="xsd:string"&gt;Booking Holdings Inc.&lt;/D&gt;&lt;/FQL&gt;&lt;FQL&gt;&lt;Q&gt;EVD-DE^FG_COMPANY_NAME&lt;/Q&gt;&lt;R&gt;1&lt;/R&gt;&lt;C&gt;1&lt;/C&gt;&lt;D xsi:type="xsd:string"&gt;CTS Eventim AG &amp;amp; Co. KGaA&lt;/D&gt;&lt;/FQL&gt;&lt;FQL&gt;&lt;Q&gt;SHW-US^FG_COMPANY_NAME&lt;/Q&gt;&lt;R&gt;1&lt;/R&gt;&lt;C&gt;1&lt;/C&gt;&lt;D xsi:type="xsd:string"&gt;Sherwin-Williams Company&lt;/D&gt;&lt;/FQL&gt;&lt;FQL&gt;&lt;Q&gt;MCO-US^FG_COMPANY_NAME&lt;/Q&gt;&lt;R&gt;1&lt;/R&gt;&lt;C&gt;1&lt;/C&gt;&lt;D xsi:type="xsd:string"&gt;Moody's Corporation&lt;/D&gt;&lt;/FQL&gt;&lt;/Schema&gt;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<sst xmlns="http://schemas.openxmlformats.org/spreadsheetml/2006/main" count="47" uniqueCount="44">
  <si>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</si>
  <si>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</si>
  <si>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</si>
  <si>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</si>
  <si>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1AY</t>
  </si>
  <si>
    <t>META-US</t>
  </si>
  <si>
    <t>AMZN-US</t>
  </si>
  <si>
    <t>Date</t>
  </si>
  <si>
    <t>FactSet</t>
  </si>
  <si>
    <t>Excel</t>
  </si>
  <si>
    <t>Pearson</t>
  </si>
  <si>
    <t xml:space="preserve">Correlation Matrix </t>
  </si>
  <si>
    <t>TSM-US</t>
  </si>
  <si>
    <t>LSEG-GB</t>
  </si>
  <si>
    <t>1299-HK</t>
  </si>
  <si>
    <t>EXPN-GB</t>
  </si>
  <si>
    <t>DB1-DE</t>
  </si>
  <si>
    <t>HDB-US</t>
  </si>
  <si>
    <t>SAF-FR</t>
  </si>
  <si>
    <t>RTO-GB</t>
  </si>
  <si>
    <t>BKNG-US</t>
  </si>
  <si>
    <t>ATCO.B-SE</t>
  </si>
  <si>
    <t>EVD-DE</t>
  </si>
  <si>
    <t>B3SA3-BR</t>
  </si>
  <si>
    <t>ROG-CH</t>
  </si>
  <si>
    <t>ALLE-US</t>
  </si>
  <si>
    <t>GOOG-US</t>
  </si>
  <si>
    <t>ASML-US</t>
  </si>
  <si>
    <t>ADSK-US</t>
  </si>
  <si>
    <t>AZO-US</t>
  </si>
  <si>
    <t>SCHW-US</t>
  </si>
  <si>
    <t>EW-US</t>
  </si>
  <si>
    <t>FERG-US</t>
  </si>
  <si>
    <t>GE-US</t>
  </si>
  <si>
    <t>INTU-US</t>
  </si>
  <si>
    <t>MA-US</t>
  </si>
  <si>
    <t>MSFT-US</t>
  </si>
  <si>
    <t>MCO-US</t>
  </si>
  <si>
    <t>BBCA-ID</t>
  </si>
  <si>
    <t>SHW-US</t>
  </si>
  <si>
    <t>ULVR-GB</t>
  </si>
  <si>
    <t>V-US</t>
  </si>
  <si>
    <t>WDAY-US</t>
  </si>
  <si>
    <t>ZTS-US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</si>
</sst>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5" borderId="2" xfId="0" applyFill="1" applyBorder="1" applyAlignment="1">
      <alignment horizontal="left"/>
    </xf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tabSelected="1" zoomScale="70" zoomScaleNormal="70" workbookViewId="0">
      <selection activeCell="G15" sqref="G15"/>
    </sheetView>
  </sheetViews>
  <sheetFormatPr defaultColWidth="11" defaultRowHeight="15" x14ac:dyDescent="0.25"/>
  <sheetData>
    <row r="1" spans="1:81" ht="21" x14ac:dyDescent="0.35">
      <c r="A1" s="12" t="s">
        <v>11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Microsoft Corporation</v>
      </c>
      <c r="C3" s="4" t="str">
        <f>IF(Backend!D29="", "", Backend!D29)</f>
        <v>Alphabet Inc. Class C</v>
      </c>
      <c r="D3" s="4" t="str">
        <f>IF(Backend!E29="", "", Backend!E29)</f>
        <v>London Stock Exchange Group plc</v>
      </c>
      <c r="E3" s="4" t="str">
        <f>IF(Backend!F29="", "", Backend!F29)</f>
        <v>Visa Inc. Class A</v>
      </c>
      <c r="F3" s="4" t="str">
        <f>IF(Backend!G29="", "", Backend!G29)</f>
        <v>Mastercard Incorporated Class A</v>
      </c>
      <c r="G3" s="4" t="str">
        <f>IF(Backend!H29="", "", Backend!H29)</f>
        <v>Unilever PLC</v>
      </c>
      <c r="H3" s="4" t="str">
        <f>IF(Backend!I29="", "", Backend!I29)</f>
        <v>ASML Holding NV Sponsored ADR</v>
      </c>
      <c r="I3" s="4" t="str">
        <f>IF(Backend!J29="", "", Backend!J29)</f>
        <v>Deutsche Boerse AG</v>
      </c>
      <c r="J3" s="4" t="str">
        <f>IF(Backend!K29="", "", Backend!K29)</f>
        <v>GE Aerospace</v>
      </c>
      <c r="K3" s="4" t="str">
        <f>IF(Backend!L29="", "", Backend!L29)</f>
        <v>Taiwan Semiconductor Manufacturing Co., Ltd. Sponsored ADR</v>
      </c>
      <c r="L3" s="4" t="str">
        <f>IF(Backend!M29="", "", Backend!M29)</f>
        <v>Charles Schwab Corp</v>
      </c>
      <c r="M3" s="4" t="str">
        <f>IF(Backend!N29="", "", Backend!N29)</f>
        <v>Experian PLC</v>
      </c>
      <c r="N3" s="4" t="str">
        <f>IF(Backend!O29="", "", Backend!O29)</f>
        <v>Safran SA</v>
      </c>
      <c r="O3" s="4" t="str">
        <f>IF(Backend!P29="", "", Backend!P29)</f>
        <v>Roche Holding Ltd Dividend Right Cert.</v>
      </c>
      <c r="P3" s="4" t="str">
        <f>IF(Backend!Q29="", "", Backend!Q29)</f>
        <v>AIA Group Limited</v>
      </c>
      <c r="Q3" s="4" t="str">
        <f>IF(Backend!R29="", "", Backend!R29)</f>
        <v>HDFC Bank Limited Sponsored ADR</v>
      </c>
      <c r="R3" s="4" t="str">
        <f>IF(Backend!S29="", "", Backend!S29)</f>
        <v>Intuit Inc.</v>
      </c>
      <c r="S3" s="4" t="str">
        <f>IF(Backend!T29="", "", Backend!T29)</f>
        <v>Edwards Lifesciences Corporation</v>
      </c>
      <c r="T3" s="4" t="str">
        <f>IF(Backend!U29="", "", Backend!U29)</f>
        <v>Ferguson Enterprises Inc.</v>
      </c>
      <c r="U3" s="4" t="str">
        <f>IF(Backend!V29="", "", Backend!V29)</f>
        <v>Zoetis, Inc. Class A</v>
      </c>
      <c r="V3" s="4" t="str">
        <f>IF(Backend!W29="", "", Backend!W29)</f>
        <v>B3 SA - Brasil, Bolsa, Balcao</v>
      </c>
      <c r="W3" s="4" t="str">
        <f>IF(Backend!X29="", "", Backend!X29)</f>
        <v>Atlas Copco AB Class B</v>
      </c>
      <c r="X3" s="4" t="str">
        <f>IF(Backend!Y29="", "", Backend!Y29)</f>
        <v>Allegion Public Limited Company</v>
      </c>
      <c r="Y3" s="4" t="str">
        <f>IF(Backend!Z29="", "", Backend!Z29)</f>
        <v>AutoZone, Inc.</v>
      </c>
      <c r="Z3" s="4" t="str">
        <f>IF(Backend!AA29="", "", Backend!AA29)</f>
        <v>PT Bank Central Asia Tbk</v>
      </c>
      <c r="AA3" s="4" t="str">
        <f>IF(Backend!AB29="", "", Backend!AB29)</f>
        <v>Rentokil Initial plc</v>
      </c>
      <c r="AB3" s="4" t="str">
        <f>IF(Backend!AC29="", "", Backend!AC29)</f>
        <v>Workday, Inc. Class A</v>
      </c>
      <c r="AC3" s="4" t="str">
        <f>IF(Backend!AD29="", "", Backend!AD29)</f>
        <v>Autodesk, Inc.</v>
      </c>
      <c r="AD3" s="4" t="str">
        <f>IF(Backend!AE29="", "", Backend!AE29)</f>
        <v>Booking Holdings Inc.</v>
      </c>
      <c r="AE3" s="4" t="str">
        <f>IF(Backend!AF29="", "", Backend!AF29)</f>
        <v>CTS Eventim AG &amp; Co. KGaA</v>
      </c>
      <c r="AF3" s="4" t="str">
        <f>IF(Backend!AG29="", "", Backend!AG29)</f>
        <v>Sherwin-Williams Company</v>
      </c>
      <c r="AG3" s="4" t="str">
        <f>IF(Backend!AH29="", "", Backend!AH29)</f>
        <v>Moody's Corporation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x14ac:dyDescent="0.25">
      <c r="A4" s="4" t="str">
        <f>IF(Backend!A31="", "", Backend!A31)</f>
        <v>Microsoft Corporation</v>
      </c>
      <c r="B4">
        <f>IF(Backend!C31="", "", Backend!C31)</f>
        <v>1</v>
      </c>
      <c r="C4">
        <f>IF(Backend!D31="", "", Backend!D31)</f>
        <v>0.70593475999999999</v>
      </c>
      <c r="D4">
        <f>IF(Backend!E31="", "", Backend!E31)</f>
        <v>-0.63645244000000001</v>
      </c>
      <c r="E4">
        <f>IF(Backend!F31="", "", Backend!F31)</f>
        <v>0.36764229999999998</v>
      </c>
      <c r="F4">
        <f>IF(Backend!G31="", "", Backend!G31)</f>
        <v>0.65332939999999995</v>
      </c>
      <c r="G4">
        <f>IF(Backend!H31="", "", Backend!H31)</f>
        <v>0.34959054000000001</v>
      </c>
      <c r="H4">
        <f>IF(Backend!I31="", "", Backend!I31)</f>
        <v>0.67176530000000001</v>
      </c>
      <c r="I4">
        <f>IF(Backend!J31="", "", Backend!J31)</f>
        <v>0.16902006999999999</v>
      </c>
      <c r="J4">
        <f>IF(Backend!K31="", "", Backend!K31)</f>
        <v>0.87168650000000003</v>
      </c>
      <c r="K4">
        <f>IF(Backend!L31="", "", Backend!L31)</f>
        <v>0.88043547</v>
      </c>
      <c r="L4">
        <f>IF(Backend!M31="", "", Backend!M31)</f>
        <v>0.91421163000000005</v>
      </c>
      <c r="M4">
        <f>IF(Backend!N31="", "", Backend!N31)</f>
        <v>0.59048842999999995</v>
      </c>
      <c r="N4">
        <f>IF(Backend!O31="", "", Backend!O31)</f>
        <v>0.83577290000000004</v>
      </c>
      <c r="O4">
        <f>IF(Backend!P31="", "", Backend!P31)</f>
        <v>0.29381698000000001</v>
      </c>
      <c r="P4">
        <f>IF(Backend!Q31="", "", Backend!Q31)</f>
        <v>0.85968409999999995</v>
      </c>
      <c r="Q4">
        <f>IF(Backend!R31="", "", Backend!R31)</f>
        <v>0.67432579999999998</v>
      </c>
      <c r="R4">
        <f>IF(Backend!S31="", "", Backend!S31)</f>
        <v>0.71838592999999995</v>
      </c>
      <c r="S4">
        <f>IF(Backend!T31="", "", Backend!T31)</f>
        <v>0.74858325999999997</v>
      </c>
      <c r="T4">
        <f>IF(Backend!U31="", "", Backend!U31)</f>
        <v>0.89578663999999997</v>
      </c>
      <c r="U4">
        <f>IF(Backend!V31="", "", Backend!V31)</f>
        <v>-0.55830329999999995</v>
      </c>
      <c r="V4">
        <f>IF(Backend!W31="", "", Backend!W31)</f>
        <v>0.56996875999999996</v>
      </c>
      <c r="W4">
        <f>IF(Backend!X31="", "", Backend!X31)</f>
        <v>0.13674219000000001</v>
      </c>
      <c r="X4">
        <f>IF(Backend!Y31="", "", Backend!Y31)</f>
        <v>0.88420319999999997</v>
      </c>
      <c r="Y4">
        <f>IF(Backend!Z31="", "", Backend!Z31)</f>
        <v>0.65140359999999997</v>
      </c>
      <c r="Z4">
        <f>IF(Backend!AA31="", "", Backend!AA31)</f>
        <v>-0.43717499999999998</v>
      </c>
      <c r="AA4">
        <f>IF(Backend!AB31="", "", Backend!AB31)</f>
        <v>0.46980768000000001</v>
      </c>
      <c r="AB4">
        <f>IF(Backend!AC31="", "", Backend!AC31)</f>
        <v>-0.37997006999999999</v>
      </c>
      <c r="AC4">
        <f>IF(Backend!AD31="", "", Backend!AD31)</f>
        <v>0.65931720000000005</v>
      </c>
      <c r="AD4">
        <f>IF(Backend!AE31="", "", Backend!AE31)</f>
        <v>0.82277054000000005</v>
      </c>
      <c r="AE4">
        <f>IF(Backend!AF31="", "", Backend!AF31)</f>
        <v>3.8621889999999999E-2</v>
      </c>
      <c r="AF4">
        <f>IF(Backend!AG31="", "", Backend!AG31)</f>
        <v>-7.0750653999999996E-2</v>
      </c>
      <c r="AG4">
        <f>IF(Backend!AH31="", "", Backend!AH31)</f>
        <v>0.60859050000000003</v>
      </c>
    </row>
    <row r="5" spans="1:81" x14ac:dyDescent="0.25">
      <c r="A5" s="4" t="str">
        <f>IF(Backend!A32="", "", Backend!A32)</f>
        <v>Alphabet Inc. Class C</v>
      </c>
      <c r="B5">
        <f>IF(Backend!C32="", "", Backend!C32)</f>
        <v>0.70593475999999999</v>
      </c>
      <c r="C5">
        <f>IF(Backend!D32="", "", Backend!D32)</f>
        <v>1</v>
      </c>
      <c r="D5">
        <f>IF(Backend!E32="", "", Backend!E32)</f>
        <v>-0.83801097000000002</v>
      </c>
      <c r="E5">
        <f>IF(Backend!F32="", "", Backend!F32)</f>
        <v>8.8617705000000005E-2</v>
      </c>
      <c r="F5">
        <f>IF(Backend!G32="", "", Backend!G32)</f>
        <v>0.4345135</v>
      </c>
      <c r="G5">
        <f>IF(Backend!H32="", "", Backend!H32)</f>
        <v>4.3555419999999997E-2</v>
      </c>
      <c r="H5">
        <f>IF(Backend!I32="", "", Backend!I32)</f>
        <v>0.85035013999999998</v>
      </c>
      <c r="I5">
        <f>IF(Backend!J32="", "", Backend!J32)</f>
        <v>-0.30104807</v>
      </c>
      <c r="J5">
        <f>IF(Backend!K32="", "", Backend!K32)</f>
        <v>0.71409979999999995</v>
      </c>
      <c r="K5">
        <f>IF(Backend!L32="", "", Backend!L32)</f>
        <v>0.91188559999999996</v>
      </c>
      <c r="L5">
        <f>IF(Backend!M32="", "", Backend!M32)</f>
        <v>0.58199330000000005</v>
      </c>
      <c r="M5">
        <f>IF(Backend!N32="", "", Backend!N32)</f>
        <v>0.11297436</v>
      </c>
      <c r="N5">
        <f>IF(Backend!O32="", "", Backend!O32)</f>
        <v>0.60978410000000005</v>
      </c>
      <c r="O5">
        <f>IF(Backend!P32="", "", Backend!P32)</f>
        <v>0.35419536000000001</v>
      </c>
      <c r="P5">
        <f>IF(Backend!Q32="", "", Backend!Q32)</f>
        <v>0.58549459999999998</v>
      </c>
      <c r="Q5">
        <f>IF(Backend!R32="", "", Backend!R32)</f>
        <v>0.13275076</v>
      </c>
      <c r="R5">
        <f>IF(Backend!S32="", "", Backend!S32)</f>
        <v>0.13442287</v>
      </c>
      <c r="S5">
        <f>IF(Backend!T32="", "", Backend!T32)</f>
        <v>0.43807083000000002</v>
      </c>
      <c r="T5">
        <f>IF(Backend!U32="", "", Backend!U32)</f>
        <v>0.69670330000000003</v>
      </c>
      <c r="U5">
        <f>IF(Backend!V32="", "", Backend!V32)</f>
        <v>-0.52302426000000002</v>
      </c>
      <c r="V5">
        <f>IF(Backend!W32="", "", Backend!W32)</f>
        <v>0.20279378000000001</v>
      </c>
      <c r="W5">
        <f>IF(Backend!X32="", "", Backend!X32)</f>
        <v>0.49729004999999998</v>
      </c>
      <c r="X5">
        <f>IF(Backend!Y32="", "", Backend!Y32)</f>
        <v>0.79561119999999996</v>
      </c>
      <c r="Y5">
        <f>IF(Backend!Z32="", "", Backend!Z32)</f>
        <v>0.52049210000000001</v>
      </c>
      <c r="Z5">
        <f>IF(Backend!AA32="", "", Backend!AA32)</f>
        <v>-0.41870984</v>
      </c>
      <c r="AA5">
        <f>IF(Backend!AB32="", "", Backend!AB32)</f>
        <v>0.65049409999999996</v>
      </c>
      <c r="AB5">
        <f>IF(Backend!AC32="", "", Backend!AC32)</f>
        <v>-0.23035027</v>
      </c>
      <c r="AC5">
        <f>IF(Backend!AD32="", "", Backend!AD32)</f>
        <v>0.63307270000000004</v>
      </c>
      <c r="AD5">
        <f>IF(Backend!AE32="", "", Backend!AE32)</f>
        <v>0.34510215999999999</v>
      </c>
      <c r="AE5">
        <f>IF(Backend!AF32="", "", Backend!AF32)</f>
        <v>-0.46180964000000002</v>
      </c>
      <c r="AF5">
        <f>IF(Backend!AG32="", "", Backend!AG32)</f>
        <v>-0.1174782</v>
      </c>
      <c r="AG5">
        <f>IF(Backend!AH32="", "", Backend!AH32)</f>
        <v>0.37394810000000001</v>
      </c>
    </row>
    <row r="6" spans="1:81" x14ac:dyDescent="0.25">
      <c r="A6" s="4" t="str">
        <f>IF(Backend!A33="", "", Backend!A33)</f>
        <v>London Stock Exchange Group plc</v>
      </c>
      <c r="B6">
        <f>IF(Backend!C33="", "", Backend!C33)</f>
        <v>-0.63645244000000001</v>
      </c>
      <c r="C6">
        <f>IF(Backend!D33="", "", Backend!D33)</f>
        <v>-0.83801097000000002</v>
      </c>
      <c r="D6">
        <f>IF(Backend!E33="", "", Backend!E33)</f>
        <v>1</v>
      </c>
      <c r="E6">
        <f>IF(Backend!F33="", "", Backend!F33)</f>
        <v>5.400079E-2</v>
      </c>
      <c r="F6">
        <f>IF(Backend!G33="", "", Backend!G33)</f>
        <v>-0.32620286999999998</v>
      </c>
      <c r="G6">
        <f>IF(Backend!H33="", "", Backend!H33)</f>
        <v>-4.7368140000000003E-2</v>
      </c>
      <c r="H6">
        <f>IF(Backend!I33="", "", Backend!I33)</f>
        <v>-0.66573167</v>
      </c>
      <c r="I6">
        <f>IF(Backend!J33="", "", Backend!J33)</f>
        <v>0.25646022000000002</v>
      </c>
      <c r="J6">
        <f>IF(Backend!K33="", "", Backend!K33)</f>
        <v>-0.67086864000000002</v>
      </c>
      <c r="K6">
        <f>IF(Backend!L33="", "", Backend!L33)</f>
        <v>-0.78433185999999999</v>
      </c>
      <c r="L6">
        <f>IF(Backend!M33="", "", Backend!M33)</f>
        <v>-0.54468733000000003</v>
      </c>
      <c r="M6">
        <f>IF(Backend!N33="", "", Backend!N33)</f>
        <v>-8.0277234000000003E-2</v>
      </c>
      <c r="N6">
        <f>IF(Backend!O33="", "", Backend!O33)</f>
        <v>-0.59283010000000003</v>
      </c>
      <c r="O6">
        <f>IF(Backend!P33="", "", Backend!P33)</f>
        <v>-0.36136471999999997</v>
      </c>
      <c r="P6">
        <f>IF(Backend!Q33="", "", Backend!Q33)</f>
        <v>-0.67889505999999999</v>
      </c>
      <c r="Q6">
        <f>IF(Backend!R33="", "", Backend!R33)</f>
        <v>-0.13413217999999999</v>
      </c>
      <c r="R6">
        <f>IF(Backend!S33="", "", Backend!S33)</f>
        <v>-0.13910365</v>
      </c>
      <c r="S6">
        <f>IF(Backend!T33="", "", Backend!T33)</f>
        <v>-0.30478787000000002</v>
      </c>
      <c r="T6">
        <f>IF(Backend!U33="", "", Backend!U33)</f>
        <v>-0.68250940000000004</v>
      </c>
      <c r="U6">
        <f>IF(Backend!V33="", "", Backend!V33)</f>
        <v>0.57577840000000002</v>
      </c>
      <c r="V6">
        <f>IF(Backend!W33="", "", Backend!W33)</f>
        <v>-0.20706014</v>
      </c>
      <c r="W6">
        <f>IF(Backend!X33="", "", Backend!X33)</f>
        <v>-0.28965846000000001</v>
      </c>
      <c r="X6">
        <f>IF(Backend!Y33="", "", Backend!Y33)</f>
        <v>-0.83910525000000002</v>
      </c>
      <c r="Y6">
        <f>IF(Backend!Z33="", "", Backend!Z33)</f>
        <v>-0.58651613999999996</v>
      </c>
      <c r="Z6">
        <f>IF(Backend!AA33="", "", Backend!AA33)</f>
        <v>0.57082359999999999</v>
      </c>
      <c r="AA6">
        <f>IF(Backend!AB33="", "", Backend!AB33)</f>
        <v>-0.45805982000000001</v>
      </c>
      <c r="AB6">
        <f>IF(Backend!AC33="", "", Backend!AC33)</f>
        <v>0.41446158</v>
      </c>
      <c r="AC6">
        <f>IF(Backend!AD33="", "", Backend!AD33)</f>
        <v>-0.46417062999999997</v>
      </c>
      <c r="AD6">
        <f>IF(Backend!AE33="", "", Backend!AE33)</f>
        <v>-0.30937829999999999</v>
      </c>
      <c r="AE6">
        <f>IF(Backend!AF33="", "", Backend!AF33)</f>
        <v>0.44181794000000002</v>
      </c>
      <c r="AF6">
        <f>IF(Backend!AG33="", "", Backend!AG33)</f>
        <v>9.1341489999999997E-2</v>
      </c>
      <c r="AG6">
        <f>IF(Backend!AH33="", "", Backend!AH33)</f>
        <v>-0.25641354999999999</v>
      </c>
    </row>
    <row r="7" spans="1:81" x14ac:dyDescent="0.25">
      <c r="A7" s="4" t="str">
        <f>IF(Backend!A34="", "", Backend!A34)</f>
        <v>Visa Inc. Class A</v>
      </c>
      <c r="B7">
        <f>IF(Backend!C34="", "", Backend!C34)</f>
        <v>0.36764229999999998</v>
      </c>
      <c r="C7">
        <f>IF(Backend!D34="", "", Backend!D34)</f>
        <v>8.8617705000000005E-2</v>
      </c>
      <c r="D7">
        <f>IF(Backend!E34="", "", Backend!E34)</f>
        <v>5.400079E-2</v>
      </c>
      <c r="E7">
        <f>IF(Backend!F34="", "", Backend!F34)</f>
        <v>1</v>
      </c>
      <c r="F7">
        <f>IF(Backend!G34="", "", Backend!G34)</f>
        <v>0.81823975000000004</v>
      </c>
      <c r="G7">
        <f>IF(Backend!H34="", "", Backend!H34)</f>
        <v>0.44858350000000002</v>
      </c>
      <c r="H7">
        <f>IF(Backend!I34="", "", Backend!I34)</f>
        <v>0.31107718000000001</v>
      </c>
      <c r="I7">
        <f>IF(Backend!J34="", "", Backend!J34)</f>
        <v>0.71381145999999995</v>
      </c>
      <c r="J7">
        <f>IF(Backend!K34="", "", Backend!K34)</f>
        <v>0.59600719999999996</v>
      </c>
      <c r="K7">
        <f>IF(Backend!L34="", "", Backend!L34)</f>
        <v>0.24599626999999999</v>
      </c>
      <c r="L7">
        <f>IF(Backend!M34="", "", Backend!M34)</f>
        <v>0.58080350000000003</v>
      </c>
      <c r="M7">
        <f>IF(Backend!N34="", "", Backend!N34)</f>
        <v>0.59489787000000005</v>
      </c>
      <c r="N7">
        <f>IF(Backend!O34="", "", Backend!O34)</f>
        <v>0.63288979999999995</v>
      </c>
      <c r="O7">
        <f>IF(Backend!P34="", "", Backend!P34)</f>
        <v>0.62471074000000004</v>
      </c>
      <c r="P7">
        <f>IF(Backend!Q34="", "", Backend!Q34)</f>
        <v>0.42725363</v>
      </c>
      <c r="Q7">
        <f>IF(Backend!R34="", "", Backend!R34)</f>
        <v>0.50983447000000004</v>
      </c>
      <c r="R7">
        <f>IF(Backend!S34="", "", Backend!S34)</f>
        <v>0.37592851999999999</v>
      </c>
      <c r="S7">
        <f>IF(Backend!T34="", "", Backend!T34)</f>
        <v>0.58998245000000005</v>
      </c>
      <c r="T7">
        <f>IF(Backend!U34="", "", Backend!U34)</f>
        <v>0.19331364000000001</v>
      </c>
      <c r="U7">
        <f>IF(Backend!V34="", "", Backend!V34)</f>
        <v>-0.36708370000000001</v>
      </c>
      <c r="V7">
        <f>IF(Backend!W34="", "", Backend!W34)</f>
        <v>0.72070869999999998</v>
      </c>
      <c r="W7">
        <f>IF(Backend!X34="", "", Backend!X34)</f>
        <v>0.24989744999999999</v>
      </c>
      <c r="X7">
        <f>IF(Backend!Y34="", "", Backend!Y34)</f>
        <v>0.2500192</v>
      </c>
      <c r="Y7">
        <f>IF(Backend!Z34="", "", Backend!Z34)</f>
        <v>0.60568255000000004</v>
      </c>
      <c r="Z7">
        <f>IF(Backend!AA34="", "", Backend!AA34)</f>
        <v>-0.426597</v>
      </c>
      <c r="AA7">
        <f>IF(Backend!AB34="", "", Backend!AB34)</f>
        <v>-5.6886251999999998E-2</v>
      </c>
      <c r="AB7">
        <f>IF(Backend!AC34="", "", Backend!AC34)</f>
        <v>-0.16816874000000001</v>
      </c>
      <c r="AC7">
        <f>IF(Backend!AD34="", "", Backend!AD34)</f>
        <v>7.1038019999999993E-2</v>
      </c>
      <c r="AD7">
        <f>IF(Backend!AE34="", "", Backend!AE34)</f>
        <v>0.45648559999999999</v>
      </c>
      <c r="AE7">
        <f>IF(Backend!AF34="", "", Backend!AF34)</f>
        <v>0.64860236999999998</v>
      </c>
      <c r="AF7">
        <f>IF(Backend!AG34="", "", Backend!AG34)</f>
        <v>-0.24333113000000001</v>
      </c>
      <c r="AG7">
        <f>IF(Backend!AH34="", "", Backend!AH34)</f>
        <v>0.36313995999999998</v>
      </c>
    </row>
    <row r="8" spans="1:81" x14ac:dyDescent="0.25">
      <c r="A8" s="4" t="str">
        <f>IF(Backend!A35="", "", Backend!A35)</f>
        <v>Mastercard Incorporated Class A</v>
      </c>
      <c r="B8">
        <f>IF(Backend!C35="", "", Backend!C35)</f>
        <v>0.65332939999999995</v>
      </c>
      <c r="C8">
        <f>IF(Backend!D35="", "", Backend!D35)</f>
        <v>0.4345135</v>
      </c>
      <c r="D8">
        <f>IF(Backend!E35="", "", Backend!E35)</f>
        <v>-0.32620286999999998</v>
      </c>
      <c r="E8">
        <f>IF(Backend!F35="", "", Backend!F35)</f>
        <v>0.81823975000000004</v>
      </c>
      <c r="F8">
        <f>IF(Backend!G35="", "", Backend!G35)</f>
        <v>1</v>
      </c>
      <c r="G8">
        <f>IF(Backend!H35="", "", Backend!H35)</f>
        <v>0.46794786999999999</v>
      </c>
      <c r="H8">
        <f>IF(Backend!I35="", "", Backend!I35)</f>
        <v>0.4596364</v>
      </c>
      <c r="I8">
        <f>IF(Backend!J35="", "", Backend!J35)</f>
        <v>0.44396263000000002</v>
      </c>
      <c r="J8">
        <f>IF(Backend!K35="", "", Backend!K35)</f>
        <v>0.76529104000000003</v>
      </c>
      <c r="K8">
        <f>IF(Backend!L35="", "", Backend!L35)</f>
        <v>0.53169124999999995</v>
      </c>
      <c r="L8">
        <f>IF(Backend!M35="", "", Backend!M35)</f>
        <v>0.78840445999999997</v>
      </c>
      <c r="M8">
        <f>IF(Backend!N35="", "", Backend!N35)</f>
        <v>0.69590085999999995</v>
      </c>
      <c r="N8">
        <f>IF(Backend!O35="", "", Backend!O35)</f>
        <v>0.75642229999999999</v>
      </c>
      <c r="O8">
        <f>IF(Backend!P35="", "", Backend!P35)</f>
        <v>0.54465954999999999</v>
      </c>
      <c r="P8">
        <f>IF(Backend!Q35="", "", Backend!Q35)</f>
        <v>0.66204079999999998</v>
      </c>
      <c r="Q8">
        <f>IF(Backend!R35="", "", Backend!R35)</f>
        <v>0.52112179999999997</v>
      </c>
      <c r="R8">
        <f>IF(Backend!S35="", "", Backend!S35)</f>
        <v>0.44365241999999999</v>
      </c>
      <c r="S8">
        <f>IF(Backend!T35="", "", Backend!T35)</f>
        <v>0.72928744999999995</v>
      </c>
      <c r="T8">
        <f>IF(Backend!U35="", "", Backend!U35)</f>
        <v>0.52619654000000005</v>
      </c>
      <c r="U8">
        <f>IF(Backend!V35="", "", Backend!V35)</f>
        <v>-0.36784296999999999</v>
      </c>
      <c r="V8">
        <f>IF(Backend!W35="", "", Backend!W35)</f>
        <v>0.6660933</v>
      </c>
      <c r="W8">
        <f>IF(Backend!X35="", "", Backend!X35)</f>
        <v>0.31670925</v>
      </c>
      <c r="X8">
        <f>IF(Backend!Y35="", "", Backend!Y35)</f>
        <v>0.62214195999999999</v>
      </c>
      <c r="Y8">
        <f>IF(Backend!Z35="", "", Backend!Z35)</f>
        <v>0.73957497000000005</v>
      </c>
      <c r="Z8">
        <f>IF(Backend!AA35="", "", Backend!AA35)</f>
        <v>-0.40884359999999997</v>
      </c>
      <c r="AA8">
        <f>IF(Backend!AB35="", "", Backend!AB35)</f>
        <v>0.27256742</v>
      </c>
      <c r="AB8">
        <f>IF(Backend!AC35="", "", Backend!AC35)</f>
        <v>-0.17890595000000001</v>
      </c>
      <c r="AC8">
        <f>IF(Backend!AD35="", "", Backend!AD35)</f>
        <v>0.43372157</v>
      </c>
      <c r="AD8">
        <f>IF(Backend!AE35="", "", Backend!AE35)</f>
        <v>0.68904889999999996</v>
      </c>
      <c r="AE8">
        <f>IF(Backend!AF35="", "", Backend!AF35)</f>
        <v>0.3323738</v>
      </c>
      <c r="AF8">
        <f>IF(Backend!AG35="", "", Backend!AG35)</f>
        <v>4.9620707E-2</v>
      </c>
      <c r="AG8">
        <f>IF(Backend!AH35="", "", Backend!AH35)</f>
        <v>0.65752286000000004</v>
      </c>
    </row>
    <row r="9" spans="1:81" x14ac:dyDescent="0.25">
      <c r="A9" s="4" t="str">
        <f>IF(Backend!A36="", "", Backend!A36)</f>
        <v>Unilever PLC</v>
      </c>
      <c r="B9">
        <f>IF(Backend!C36="", "", Backend!C36)</f>
        <v>0.34959054000000001</v>
      </c>
      <c r="C9">
        <f>IF(Backend!D36="", "", Backend!D36)</f>
        <v>4.3555419999999997E-2</v>
      </c>
      <c r="D9">
        <f>IF(Backend!E36="", "", Backend!E36)</f>
        <v>-4.7368140000000003E-2</v>
      </c>
      <c r="E9">
        <f>IF(Backend!F36="", "", Backend!F36)</f>
        <v>0.44858350000000002</v>
      </c>
      <c r="F9">
        <f>IF(Backend!G36="", "", Backend!G36)</f>
        <v>0.46794786999999999</v>
      </c>
      <c r="G9">
        <f>IF(Backend!H36="", "", Backend!H36)</f>
        <v>1</v>
      </c>
      <c r="H9">
        <f>IF(Backend!I36="", "", Backend!I36)</f>
        <v>0.13849494000000001</v>
      </c>
      <c r="I9">
        <f>IF(Backend!J36="", "", Backend!J36)</f>
        <v>0.67190653</v>
      </c>
      <c r="J9">
        <f>IF(Backend!K36="", "", Backend!K36)</f>
        <v>0.47695347999999999</v>
      </c>
      <c r="K9">
        <f>IF(Backend!L36="", "", Backend!L36)</f>
        <v>0.120666996</v>
      </c>
      <c r="L9">
        <f>IF(Backend!M36="", "", Backend!M36)</f>
        <v>0.49418285000000001</v>
      </c>
      <c r="M9">
        <f>IF(Backend!N36="", "", Backend!N36)</f>
        <v>0.53752166000000001</v>
      </c>
      <c r="N9">
        <f>IF(Backend!O36="", "", Backend!O36)</f>
        <v>0.50954825000000004</v>
      </c>
      <c r="O9">
        <f>IF(Backend!P36="", "", Backend!P36)</f>
        <v>0.32581758</v>
      </c>
      <c r="P9">
        <f>IF(Backend!Q36="", "", Backend!Q36)</f>
        <v>0.48107339999999998</v>
      </c>
      <c r="Q9">
        <f>IF(Backend!R36="", "", Backend!R36)</f>
        <v>0.74453365999999999</v>
      </c>
      <c r="R9">
        <f>IF(Backend!S36="", "", Backend!S36)</f>
        <v>0.37469864000000003</v>
      </c>
      <c r="S9">
        <f>IF(Backend!T36="", "", Backend!T36)</f>
        <v>0.46993116000000001</v>
      </c>
      <c r="T9">
        <f>IF(Backend!U36="", "", Backend!U36)</f>
        <v>0.32125883999999999</v>
      </c>
      <c r="U9">
        <f>IF(Backend!V36="", "", Backend!V36)</f>
        <v>-0.36154072999999998</v>
      </c>
      <c r="V9">
        <f>IF(Backend!W36="", "", Backend!W36)</f>
        <v>0.70620090000000002</v>
      </c>
      <c r="W9">
        <f>IF(Backend!X36="", "", Backend!X36)</f>
        <v>-0.11404255000000001</v>
      </c>
      <c r="X9">
        <f>IF(Backend!Y36="", "", Backend!Y36)</f>
        <v>0.40145046000000001</v>
      </c>
      <c r="Y9">
        <f>IF(Backend!Z36="", "", Backend!Z36)</f>
        <v>0.59643506999999996</v>
      </c>
      <c r="Z9">
        <f>IF(Backend!AA36="", "", Backend!AA36)</f>
        <v>-0.48358200000000001</v>
      </c>
      <c r="AA9">
        <f>IF(Backend!AB36="", "", Backend!AB36)</f>
        <v>-6.9112309999999996E-2</v>
      </c>
      <c r="AB9">
        <f>IF(Backend!AC36="", "", Backend!AC36)</f>
        <v>-0.4473838</v>
      </c>
      <c r="AC9">
        <f>IF(Backend!AD36="", "", Backend!AD36)</f>
        <v>2.1110858999999999E-2</v>
      </c>
      <c r="AD9">
        <f>IF(Backend!AE36="", "", Backend!AE36)</f>
        <v>0.40802709999999998</v>
      </c>
      <c r="AE9">
        <f>IF(Backend!AF36="", "", Backend!AF36)</f>
        <v>0.42073336</v>
      </c>
      <c r="AF9">
        <f>IF(Backend!AG36="", "", Backend!AG36)</f>
        <v>-2.6027761E-2</v>
      </c>
      <c r="AG9">
        <f>IF(Backend!AH36="", "", Backend!AH36)</f>
        <v>-4.675638E-2</v>
      </c>
    </row>
    <row r="10" spans="1:81" x14ac:dyDescent="0.25">
      <c r="A10" s="4" t="str">
        <f>IF(Backend!A37="", "", Backend!A37)</f>
        <v>ASML Holding NV Sponsored ADR</v>
      </c>
      <c r="B10">
        <f>IF(Backend!C37="", "", Backend!C37)</f>
        <v>0.67176530000000001</v>
      </c>
      <c r="C10">
        <f>IF(Backend!D37="", "", Backend!D37)</f>
        <v>0.85035013999999998</v>
      </c>
      <c r="D10">
        <f>IF(Backend!E37="", "", Backend!E37)</f>
        <v>-0.66573167</v>
      </c>
      <c r="E10">
        <f>IF(Backend!F37="", "", Backend!F37)</f>
        <v>0.31107718000000001</v>
      </c>
      <c r="F10">
        <f>IF(Backend!G37="", "", Backend!G37)</f>
        <v>0.4596364</v>
      </c>
      <c r="G10">
        <f>IF(Backend!H37="", "", Backend!H37)</f>
        <v>0.13849494000000001</v>
      </c>
      <c r="H10">
        <f>IF(Backend!I37="", "", Backend!I37)</f>
        <v>1</v>
      </c>
      <c r="I10">
        <f>IF(Backend!J37="", "", Backend!J37)</f>
        <v>-6.2673960000000001E-2</v>
      </c>
      <c r="J10">
        <f>IF(Backend!K37="", "", Backend!K37)</f>
        <v>0.76522743999999998</v>
      </c>
      <c r="K10">
        <f>IF(Backend!L37="", "", Backend!L37)</f>
        <v>0.88215940000000004</v>
      </c>
      <c r="L10">
        <f>IF(Backend!M37="", "", Backend!M37)</f>
        <v>0.58164035999999997</v>
      </c>
      <c r="M10">
        <f>IF(Backend!N37="", "", Backend!N37)</f>
        <v>0.14070115999999999</v>
      </c>
      <c r="N10">
        <f>IF(Backend!O37="", "", Backend!O37)</f>
        <v>0.69357539999999995</v>
      </c>
      <c r="O10">
        <f>IF(Backend!P37="", "", Backend!P37)</f>
        <v>0.53613200000000005</v>
      </c>
      <c r="P10">
        <f>IF(Backend!Q37="", "", Backend!Q37)</f>
        <v>0.60148239999999997</v>
      </c>
      <c r="Q10">
        <f>IF(Backend!R37="", "", Backend!R37)</f>
        <v>0.26240407999999998</v>
      </c>
      <c r="R10">
        <f>IF(Backend!S37="", "", Backend!S37)</f>
        <v>0.21628004000000001</v>
      </c>
      <c r="S10">
        <f>IF(Backend!T37="", "", Backend!T37)</f>
        <v>0.42284018000000001</v>
      </c>
      <c r="T10">
        <f>IF(Backend!U37="", "", Backend!U37)</f>
        <v>0.64231150000000004</v>
      </c>
      <c r="U10">
        <f>IF(Backend!V37="", "", Backend!V37)</f>
        <v>-0.55557160000000005</v>
      </c>
      <c r="V10">
        <f>IF(Backend!W37="", "", Backend!W37)</f>
        <v>0.41152420000000001</v>
      </c>
      <c r="W10">
        <f>IF(Backend!X37="", "", Backend!X37)</f>
        <v>0.59795430000000005</v>
      </c>
      <c r="X10">
        <f>IF(Backend!Y37="", "", Backend!Y37)</f>
        <v>0.69984230000000003</v>
      </c>
      <c r="Y10">
        <f>IF(Backend!Z37="", "", Backend!Z37)</f>
        <v>0.52297499999999997</v>
      </c>
      <c r="Z10">
        <f>IF(Backend!AA37="", "", Backend!AA37)</f>
        <v>-0.48684695</v>
      </c>
      <c r="AA10">
        <f>IF(Backend!AB37="", "", Backend!AB37)</f>
        <v>0.56679029999999997</v>
      </c>
      <c r="AB10">
        <f>IF(Backend!AC37="", "", Backend!AC37)</f>
        <v>-0.19749087000000001</v>
      </c>
      <c r="AC10">
        <f>IF(Backend!AD37="", "", Backend!AD37)</f>
        <v>0.51822970000000002</v>
      </c>
      <c r="AD10">
        <f>IF(Backend!AE37="", "", Backend!AE37)</f>
        <v>0.34850474999999997</v>
      </c>
      <c r="AE10">
        <f>IF(Backend!AF37="", "", Backend!AF37)</f>
        <v>-0.20623858</v>
      </c>
      <c r="AF10">
        <f>IF(Backend!AG37="", "", Backend!AG37)</f>
        <v>-0.27945054000000003</v>
      </c>
      <c r="AG10">
        <f>IF(Backend!AH37="", "", Backend!AH37)</f>
        <v>0.22869698999999999</v>
      </c>
    </row>
    <row r="11" spans="1:81" x14ac:dyDescent="0.25">
      <c r="A11" s="4" t="str">
        <f>IF(Backend!A38="", "", Backend!A38)</f>
        <v>Deutsche Boerse AG</v>
      </c>
      <c r="B11">
        <f>IF(Backend!C38="", "", Backend!C38)</f>
        <v>0.16902006999999999</v>
      </c>
      <c r="C11">
        <f>IF(Backend!D38="", "", Backend!D38)</f>
        <v>-0.30104807</v>
      </c>
      <c r="D11">
        <f>IF(Backend!E38="", "", Backend!E38)</f>
        <v>0.25646022000000002</v>
      </c>
      <c r="E11">
        <f>IF(Backend!F38="", "", Backend!F38)</f>
        <v>0.71381145999999995</v>
      </c>
      <c r="F11">
        <f>IF(Backend!G38="", "", Backend!G38)</f>
        <v>0.44396263000000002</v>
      </c>
      <c r="G11">
        <f>IF(Backend!H38="", "", Backend!H38)</f>
        <v>0.67190653</v>
      </c>
      <c r="H11">
        <f>IF(Backend!I38="", "", Backend!I38)</f>
        <v>-6.2673960000000001E-2</v>
      </c>
      <c r="I11">
        <f>IF(Backend!J38="", "", Backend!J38)</f>
        <v>1</v>
      </c>
      <c r="J11">
        <f>IF(Backend!K38="", "", Backend!K38)</f>
        <v>0.36385792</v>
      </c>
      <c r="K11">
        <f>IF(Backend!L38="", "", Backend!L38)</f>
        <v>-0.11228605999999999</v>
      </c>
      <c r="L11">
        <f>IF(Backend!M38="", "", Backend!M38)</f>
        <v>0.38254115</v>
      </c>
      <c r="M11">
        <f>IF(Backend!N38="", "", Backend!N38)</f>
        <v>0.53707059999999995</v>
      </c>
      <c r="N11">
        <f>IF(Backend!O38="", "", Backend!O38)</f>
        <v>0.49742395</v>
      </c>
      <c r="O11">
        <f>IF(Backend!P38="", "", Backend!P38)</f>
        <v>0.39345244000000001</v>
      </c>
      <c r="P11">
        <f>IF(Backend!Q38="", "", Backend!Q38)</f>
        <v>0.33061644000000001</v>
      </c>
      <c r="Q11">
        <f>IF(Backend!R38="", "", Backend!R38)</f>
        <v>0.67380154000000003</v>
      </c>
      <c r="R11">
        <f>IF(Backend!S38="", "", Backend!S38)</f>
        <v>0.39122965999999998</v>
      </c>
      <c r="S11">
        <f>IF(Backend!T38="", "", Backend!T38)</f>
        <v>0.44255853000000001</v>
      </c>
      <c r="T11">
        <f>IF(Backend!U38="", "", Backend!U38)</f>
        <v>-2.1958575000000001E-2</v>
      </c>
      <c r="U11">
        <f>IF(Backend!V38="", "", Backend!V38)</f>
        <v>-0.41692477</v>
      </c>
      <c r="V11">
        <f>IF(Backend!W38="", "", Backend!W38)</f>
        <v>0.79102033000000005</v>
      </c>
      <c r="W11">
        <f>IF(Backend!X38="", "", Backend!X38)</f>
        <v>-0.20984212999999999</v>
      </c>
      <c r="X11">
        <f>IF(Backend!Y38="", "", Backend!Y38)</f>
        <v>7.2678740000000006E-2</v>
      </c>
      <c r="Y11">
        <f>IF(Backend!Z38="", "", Backend!Z38)</f>
        <v>0.54011540000000002</v>
      </c>
      <c r="Z11">
        <f>IF(Backend!AA38="", "", Backend!AA38)</f>
        <v>-0.47315285000000001</v>
      </c>
      <c r="AA11">
        <f>IF(Backend!AB38="", "", Backend!AB38)</f>
        <v>-0.48590955000000002</v>
      </c>
      <c r="AB11">
        <f>IF(Backend!AC38="", "", Backend!AC38)</f>
        <v>-0.45915250000000002</v>
      </c>
      <c r="AC11">
        <f>IF(Backend!AD38="", "", Backend!AD38)</f>
        <v>-0.31023036999999998</v>
      </c>
      <c r="AD11">
        <f>IF(Backend!AE38="", "", Backend!AE38)</f>
        <v>0.31491365999999998</v>
      </c>
      <c r="AE11">
        <f>IF(Backend!AF38="", "", Backend!AF38)</f>
        <v>0.85228970000000004</v>
      </c>
      <c r="AF11">
        <f>IF(Backend!AG38="", "", Backend!AG38)</f>
        <v>-0.34818317999999998</v>
      </c>
      <c r="AG11">
        <f>IF(Backend!AH38="", "", Backend!AH38)</f>
        <v>-6.0925145E-2</v>
      </c>
    </row>
    <row r="12" spans="1:81" x14ac:dyDescent="0.25">
      <c r="A12" s="4" t="str">
        <f>IF(Backend!A39="", "", Backend!A39)</f>
        <v>GE Aerospace</v>
      </c>
      <c r="B12">
        <f>IF(Backend!C39="", "", Backend!C39)</f>
        <v>0.87168650000000003</v>
      </c>
      <c r="C12">
        <f>IF(Backend!D39="", "", Backend!D39)</f>
        <v>0.71409979999999995</v>
      </c>
      <c r="D12">
        <f>IF(Backend!E39="", "", Backend!E39)</f>
        <v>-0.67086864000000002</v>
      </c>
      <c r="E12">
        <f>IF(Backend!F39="", "", Backend!F39)</f>
        <v>0.59600719999999996</v>
      </c>
      <c r="F12">
        <f>IF(Backend!G39="", "", Backend!G39)</f>
        <v>0.76529104000000003</v>
      </c>
      <c r="G12">
        <f>IF(Backend!H39="", "", Backend!H39)</f>
        <v>0.47695347999999999</v>
      </c>
      <c r="H12">
        <f>IF(Backend!I39="", "", Backend!I39)</f>
        <v>0.76522743999999998</v>
      </c>
      <c r="I12">
        <f>IF(Backend!J39="", "", Backend!J39)</f>
        <v>0.36385792</v>
      </c>
      <c r="J12">
        <f>IF(Backend!K39="", "", Backend!K39)</f>
        <v>1</v>
      </c>
      <c r="K12">
        <f>IF(Backend!L39="", "", Backend!L39)</f>
        <v>0.84680889999999998</v>
      </c>
      <c r="L12">
        <f>IF(Backend!M39="", "", Backend!M39)</f>
        <v>0.91750279999999995</v>
      </c>
      <c r="M12">
        <f>IF(Backend!N39="", "", Backend!N39)</f>
        <v>0.59510549999999995</v>
      </c>
      <c r="N12">
        <f>IF(Backend!O39="", "", Backend!O39)</f>
        <v>0.97434679999999996</v>
      </c>
      <c r="O12">
        <f>IF(Backend!P39="", "", Backend!P39)</f>
        <v>0.63536510000000002</v>
      </c>
      <c r="P12">
        <f>IF(Backend!Q39="", "", Backend!Q39)</f>
        <v>0.89311200000000002</v>
      </c>
      <c r="Q12">
        <f>IF(Backend!R39="", "", Backend!R39)</f>
        <v>0.64839493999999998</v>
      </c>
      <c r="R12">
        <f>IF(Backend!S39="", "", Backend!S39)</f>
        <v>0.54580205999999998</v>
      </c>
      <c r="S12">
        <f>IF(Backend!T39="", "", Backend!T39)</f>
        <v>0.72110337000000002</v>
      </c>
      <c r="T12">
        <f>IF(Backend!U39="", "", Backend!U39)</f>
        <v>0.78849159999999996</v>
      </c>
      <c r="U12">
        <f>IF(Backend!V39="", "", Backend!V39)</f>
        <v>-0.73862150000000004</v>
      </c>
      <c r="V12">
        <f>IF(Backend!W39="", "", Backend!W39)</f>
        <v>0.753162</v>
      </c>
      <c r="W12">
        <f>IF(Backend!X39="", "", Backend!X39)</f>
        <v>0.31174796999999999</v>
      </c>
      <c r="X12">
        <f>IF(Backend!Y39="", "", Backend!Y39)</f>
        <v>0.87950059999999997</v>
      </c>
      <c r="Y12">
        <f>IF(Backend!Z39="", "", Backend!Z39)</f>
        <v>0.85118543999999996</v>
      </c>
      <c r="Z12">
        <f>IF(Backend!AA39="", "", Backend!AA39)</f>
        <v>-0.72709270000000004</v>
      </c>
      <c r="AA12">
        <f>IF(Backend!AB39="", "", Backend!AB39)</f>
        <v>0.36462070000000002</v>
      </c>
      <c r="AB12">
        <f>IF(Backend!AC39="", "", Backend!AC39)</f>
        <v>-0.53663810000000001</v>
      </c>
      <c r="AC12">
        <f>IF(Backend!AD39="", "", Backend!AD39)</f>
        <v>0.46679609999999999</v>
      </c>
      <c r="AD12">
        <f>IF(Backend!AE39="", "", Backend!AE39)</f>
        <v>0.66249780000000003</v>
      </c>
      <c r="AE12">
        <f>IF(Backend!AF39="", "", Backend!AF39)</f>
        <v>0.17796366</v>
      </c>
      <c r="AF12">
        <f>IF(Backend!AG39="", "", Backend!AG39)</f>
        <v>-0.24973952999999999</v>
      </c>
      <c r="AG12">
        <f>IF(Backend!AH39="", "", Backend!AH39)</f>
        <v>0.44622830000000002</v>
      </c>
    </row>
    <row r="13" spans="1:81" x14ac:dyDescent="0.25">
      <c r="A13" s="4" t="str">
        <f>IF(Backend!A40="", "", Backend!A40)</f>
        <v>Taiwan Semiconductor Manufacturing Co., Ltd. Sponsored ADR</v>
      </c>
      <c r="B13">
        <f>IF(Backend!C40="", "", Backend!C40)</f>
        <v>0.88043547</v>
      </c>
      <c r="C13">
        <f>IF(Backend!D40="", "", Backend!D40)</f>
        <v>0.91188559999999996</v>
      </c>
      <c r="D13">
        <f>IF(Backend!E40="", "", Backend!E40)</f>
        <v>-0.78433185999999999</v>
      </c>
      <c r="E13">
        <f>IF(Backend!F40="", "", Backend!F40)</f>
        <v>0.24599626999999999</v>
      </c>
      <c r="F13">
        <f>IF(Backend!G40="", "", Backend!G40)</f>
        <v>0.53169124999999995</v>
      </c>
      <c r="G13">
        <f>IF(Backend!H40="", "", Backend!H40)</f>
        <v>0.120666996</v>
      </c>
      <c r="H13">
        <f>IF(Backend!I40="", "", Backend!I40)</f>
        <v>0.88215940000000004</v>
      </c>
      <c r="I13">
        <f>IF(Backend!J40="", "", Backend!J40)</f>
        <v>-0.11228605999999999</v>
      </c>
      <c r="J13">
        <f>IF(Backend!K40="", "", Backend!K40)</f>
        <v>0.84680889999999998</v>
      </c>
      <c r="K13">
        <f>IF(Backend!L40="", "", Backend!L40)</f>
        <v>1</v>
      </c>
      <c r="L13">
        <f>IF(Backend!M40="", "", Backend!M40)</f>
        <v>0.76421313999999996</v>
      </c>
      <c r="M13">
        <f>IF(Backend!N40="", "", Backend!N40)</f>
        <v>0.33744269999999998</v>
      </c>
      <c r="N13">
        <f>IF(Backend!O40="", "", Backend!O40)</f>
        <v>0.77145929999999996</v>
      </c>
      <c r="O13">
        <f>IF(Backend!P40="", "", Backend!P40)</f>
        <v>0.42023695</v>
      </c>
      <c r="P13">
        <f>IF(Backend!Q40="", "", Backend!Q40)</f>
        <v>0.74370060000000004</v>
      </c>
      <c r="Q13">
        <f>IF(Backend!R40="", "", Backend!R40)</f>
        <v>0.37832555000000001</v>
      </c>
      <c r="R13">
        <f>IF(Backend!S40="", "", Backend!S40)</f>
        <v>0.42329928</v>
      </c>
      <c r="S13">
        <f>IF(Backend!T40="", "", Backend!T40)</f>
        <v>0.55546629999999997</v>
      </c>
      <c r="T13">
        <f>IF(Backend!U40="", "", Backend!U40)</f>
        <v>0.84575540000000005</v>
      </c>
      <c r="U13">
        <f>IF(Backend!V40="", "", Backend!V40)</f>
        <v>-0.57645290000000005</v>
      </c>
      <c r="V13">
        <f>IF(Backend!W40="", "", Backend!W40)</f>
        <v>0.39158251999999999</v>
      </c>
      <c r="W13">
        <f>IF(Backend!X40="", "", Backend!X40)</f>
        <v>0.43057772999999999</v>
      </c>
      <c r="X13">
        <f>IF(Backend!Y40="", "", Backend!Y40)</f>
        <v>0.86860269999999995</v>
      </c>
      <c r="Y13">
        <f>IF(Backend!Z40="", "", Backend!Z40)</f>
        <v>0.57547592999999997</v>
      </c>
      <c r="Z13">
        <f>IF(Backend!AA40="", "", Backend!AA40)</f>
        <v>-0.46657103</v>
      </c>
      <c r="AA13">
        <f>IF(Backend!AB40="", "", Backend!AB40)</f>
        <v>0.63641614000000002</v>
      </c>
      <c r="AB13">
        <f>IF(Backend!AC40="", "", Backend!AC40)</f>
        <v>-0.30922709999999998</v>
      </c>
      <c r="AC13">
        <f>IF(Backend!AD40="", "", Backend!AD40)</f>
        <v>0.67604892999999999</v>
      </c>
      <c r="AD13">
        <f>IF(Backend!AE40="", "", Backend!AE40)</f>
        <v>0.56915194000000002</v>
      </c>
      <c r="AE13">
        <f>IF(Backend!AF40="", "", Backend!AF40)</f>
        <v>-0.23145361</v>
      </c>
      <c r="AF13">
        <f>IF(Backend!AG40="", "", Backend!AG40)</f>
        <v>-0.16296916</v>
      </c>
      <c r="AG13">
        <f>IF(Backend!AH40="", "", Backend!AH40)</f>
        <v>0.49781477000000002</v>
      </c>
    </row>
    <row r="14" spans="1:81" x14ac:dyDescent="0.25">
      <c r="A14" s="4" t="str">
        <f>IF(Backend!A41="", "", Backend!A41)</f>
        <v>Charles Schwab Corp</v>
      </c>
      <c r="B14">
        <f>IF(Backend!C41="", "", Backend!C41)</f>
        <v>0.91421163000000005</v>
      </c>
      <c r="C14">
        <f>IF(Backend!D41="", "", Backend!D41)</f>
        <v>0.58199330000000005</v>
      </c>
      <c r="D14">
        <f>IF(Backend!E41="", "", Backend!E41)</f>
        <v>-0.54468733000000003</v>
      </c>
      <c r="E14">
        <f>IF(Backend!F41="", "", Backend!F41)</f>
        <v>0.58080350000000003</v>
      </c>
      <c r="F14">
        <f>IF(Backend!G41="", "", Backend!G41)</f>
        <v>0.78840445999999997</v>
      </c>
      <c r="G14">
        <f>IF(Backend!H41="", "", Backend!H41)</f>
        <v>0.49418285000000001</v>
      </c>
      <c r="H14">
        <f>IF(Backend!I41="", "", Backend!I41)</f>
        <v>0.58164035999999997</v>
      </c>
      <c r="I14">
        <f>IF(Backend!J41="", "", Backend!J41)</f>
        <v>0.38254115</v>
      </c>
      <c r="J14">
        <f>IF(Backend!K41="", "", Backend!K41)</f>
        <v>0.91750279999999995</v>
      </c>
      <c r="K14">
        <f>IF(Backend!L41="", "", Backend!L41)</f>
        <v>0.76421313999999996</v>
      </c>
      <c r="L14">
        <f>IF(Backend!M41="", "", Backend!M41)</f>
        <v>1</v>
      </c>
      <c r="M14">
        <f>IF(Backend!N41="", "", Backend!N41)</f>
        <v>0.72427140000000001</v>
      </c>
      <c r="N14">
        <f>IF(Backend!O41="", "", Backend!O41)</f>
        <v>0.90114879999999997</v>
      </c>
      <c r="O14">
        <f>IF(Backend!P41="", "", Backend!P41)</f>
        <v>0.4286066</v>
      </c>
      <c r="P14">
        <f>IF(Backend!Q41="", "", Backend!Q41)</f>
        <v>0.85586035000000005</v>
      </c>
      <c r="Q14">
        <f>IF(Backend!R41="", "", Backend!R41)</f>
        <v>0.74075009999999997</v>
      </c>
      <c r="R14">
        <f>IF(Backend!S41="", "", Backend!S41)</f>
        <v>0.67912256999999998</v>
      </c>
      <c r="S14">
        <f>IF(Backend!T41="", "", Backend!T41)</f>
        <v>0.78961230000000004</v>
      </c>
      <c r="T14">
        <f>IF(Backend!U41="", "", Backend!U41)</f>
        <v>0.82783830000000003</v>
      </c>
      <c r="U14">
        <f>IF(Backend!V41="", "", Backend!V41)</f>
        <v>-0.59707569999999999</v>
      </c>
      <c r="V14">
        <f>IF(Backend!W41="", "", Backend!W41)</f>
        <v>0.70885335999999999</v>
      </c>
      <c r="W14">
        <f>IF(Backend!X41="", "", Backend!X41)</f>
        <v>0.12748151999999999</v>
      </c>
      <c r="X14">
        <f>IF(Backend!Y41="", "", Backend!Y41)</f>
        <v>0.85337543000000005</v>
      </c>
      <c r="Y14">
        <f>IF(Backend!Z41="", "", Backend!Z41)</f>
        <v>0.77254533999999997</v>
      </c>
      <c r="Z14">
        <f>IF(Backend!AA41="", "", Backend!AA41)</f>
        <v>-0.55374615999999999</v>
      </c>
      <c r="AA14">
        <f>IF(Backend!AB41="", "", Backend!AB41)</f>
        <v>0.35174640000000001</v>
      </c>
      <c r="AB14">
        <f>IF(Backend!AC41="", "", Backend!AC41)</f>
        <v>-0.42901167000000001</v>
      </c>
      <c r="AC14">
        <f>IF(Backend!AD41="", "", Backend!AD41)</f>
        <v>0.54656950000000004</v>
      </c>
      <c r="AD14">
        <f>IF(Backend!AE41="", "", Backend!AE41)</f>
        <v>0.81464130000000001</v>
      </c>
      <c r="AE14">
        <f>IF(Backend!AF41="", "", Backend!AF41)</f>
        <v>0.22171080000000001</v>
      </c>
      <c r="AF14">
        <f>IF(Backend!AG41="", "", Backend!AG41)</f>
        <v>-6.334584E-2</v>
      </c>
      <c r="AG14">
        <f>IF(Backend!AH41="", "", Backend!AH41)</f>
        <v>0.62880329999999995</v>
      </c>
    </row>
    <row r="15" spans="1:81" x14ac:dyDescent="0.25">
      <c r="A15" s="4" t="str">
        <f>IF(Backend!A42="", "", Backend!A42)</f>
        <v>Experian PLC</v>
      </c>
      <c r="B15">
        <f>IF(Backend!C42="", "", Backend!C42)</f>
        <v>0.59048842999999995</v>
      </c>
      <c r="C15">
        <f>IF(Backend!D42="", "", Backend!D42)</f>
        <v>0.11297436</v>
      </c>
      <c r="D15">
        <f>IF(Backend!E42="", "", Backend!E42)</f>
        <v>-8.0277234000000003E-2</v>
      </c>
      <c r="E15">
        <f>IF(Backend!F42="", "", Backend!F42)</f>
        <v>0.59489787000000005</v>
      </c>
      <c r="F15">
        <f>IF(Backend!G42="", "", Backend!G42)</f>
        <v>0.69590085999999995</v>
      </c>
      <c r="G15">
        <f>IF(Backend!H42="", "", Backend!H42)</f>
        <v>0.53752166000000001</v>
      </c>
      <c r="H15">
        <f>IF(Backend!I42="", "", Backend!I42)</f>
        <v>0.14070115999999999</v>
      </c>
      <c r="I15">
        <f>IF(Backend!J42="", "", Backend!J42)</f>
        <v>0.53707059999999995</v>
      </c>
      <c r="J15">
        <f>IF(Backend!K42="", "", Backend!K42)</f>
        <v>0.59510549999999995</v>
      </c>
      <c r="K15">
        <f>IF(Backend!L42="", "", Backend!L42)</f>
        <v>0.33744269999999998</v>
      </c>
      <c r="L15">
        <f>IF(Backend!M42="", "", Backend!M42)</f>
        <v>0.72427140000000001</v>
      </c>
      <c r="M15">
        <f>IF(Backend!N42="", "", Backend!N42)</f>
        <v>1</v>
      </c>
      <c r="N15">
        <f>IF(Backend!O42="", "", Backend!O42)</f>
        <v>0.6305383</v>
      </c>
      <c r="O15">
        <f>IF(Backend!P42="", "", Backend!P42)</f>
        <v>0.32420536999999999</v>
      </c>
      <c r="P15">
        <f>IF(Backend!Q42="", "", Backend!Q42)</f>
        <v>0.55935573999999999</v>
      </c>
      <c r="Q15">
        <f>IF(Backend!R42="", "", Backend!R42)</f>
        <v>0.65563400000000005</v>
      </c>
      <c r="R15">
        <f>IF(Backend!S42="", "", Backend!S42)</f>
        <v>0.62866160000000004</v>
      </c>
      <c r="S15">
        <f>IF(Backend!T42="", "", Backend!T42)</f>
        <v>0.55849945999999995</v>
      </c>
      <c r="T15">
        <f>IF(Backend!U42="", "", Backend!U42)</f>
        <v>0.52673130000000001</v>
      </c>
      <c r="U15">
        <f>IF(Backend!V42="", "", Backend!V42)</f>
        <v>-0.25058997</v>
      </c>
      <c r="V15">
        <f>IF(Backend!W42="", "", Backend!W42)</f>
        <v>0.69405360000000005</v>
      </c>
      <c r="W15">
        <f>IF(Backend!X42="", "", Backend!X42)</f>
        <v>3.5210789999999999E-2</v>
      </c>
      <c r="X15">
        <f>IF(Backend!Y42="", "", Backend!Y42)</f>
        <v>0.48983317999999998</v>
      </c>
      <c r="Y15">
        <f>IF(Backend!Z42="", "", Backend!Z42)</f>
        <v>0.49698513999999999</v>
      </c>
      <c r="Z15">
        <f>IF(Backend!AA42="", "", Backend!AA42)</f>
        <v>-0.3585083</v>
      </c>
      <c r="AA15">
        <f>IF(Backend!AB42="", "", Backend!AB42)</f>
        <v>0.11803714</v>
      </c>
      <c r="AB15">
        <f>IF(Backend!AC42="", "", Backend!AC42)</f>
        <v>-0.26566119999999999</v>
      </c>
      <c r="AC15">
        <f>IF(Backend!AD42="", "", Backend!AD42)</f>
        <v>0.38341677000000002</v>
      </c>
      <c r="AD15">
        <f>IF(Backend!AE42="", "", Backend!AE42)</f>
        <v>0.73634343999999996</v>
      </c>
      <c r="AE15">
        <f>IF(Backend!AF42="", "", Backend!AF42)</f>
        <v>0.57672659999999998</v>
      </c>
      <c r="AF15">
        <f>IF(Backend!AG42="", "", Backend!AG42)</f>
        <v>0.14438509999999999</v>
      </c>
      <c r="AG15">
        <f>IF(Backend!AH42="", "", Backend!AH42)</f>
        <v>0.57890240000000004</v>
      </c>
    </row>
    <row r="16" spans="1:81" x14ac:dyDescent="0.25">
      <c r="A16" s="4" t="str">
        <f>IF(Backend!A43="", "", Backend!A43)</f>
        <v>Safran SA</v>
      </c>
      <c r="B16">
        <f>IF(Backend!C43="", "", Backend!C43)</f>
        <v>0.83577290000000004</v>
      </c>
      <c r="C16">
        <f>IF(Backend!D43="", "", Backend!D43)</f>
        <v>0.60978410000000005</v>
      </c>
      <c r="D16">
        <f>IF(Backend!E43="", "", Backend!E43)</f>
        <v>-0.59283010000000003</v>
      </c>
      <c r="E16">
        <f>IF(Backend!F43="", "", Backend!F43)</f>
        <v>0.63288979999999995</v>
      </c>
      <c r="F16">
        <f>IF(Backend!G43="", "", Backend!G43)</f>
        <v>0.75642229999999999</v>
      </c>
      <c r="G16">
        <f>IF(Backend!H43="", "", Backend!H43)</f>
        <v>0.50954825000000004</v>
      </c>
      <c r="H16">
        <f>IF(Backend!I43="", "", Backend!I43)</f>
        <v>0.69357539999999995</v>
      </c>
      <c r="I16">
        <f>IF(Backend!J43="", "", Backend!J43)</f>
        <v>0.49742395</v>
      </c>
      <c r="J16">
        <f>IF(Backend!K43="", "", Backend!K43)</f>
        <v>0.97434679999999996</v>
      </c>
      <c r="K16">
        <f>IF(Backend!L43="", "", Backend!L43)</f>
        <v>0.77145929999999996</v>
      </c>
      <c r="L16">
        <f>IF(Backend!M43="", "", Backend!M43)</f>
        <v>0.90114879999999997</v>
      </c>
      <c r="M16">
        <f>IF(Backend!N43="", "", Backend!N43)</f>
        <v>0.6305383</v>
      </c>
      <c r="N16">
        <f>IF(Backend!O43="", "", Backend!O43)</f>
        <v>1</v>
      </c>
      <c r="O16">
        <f>IF(Backend!P43="", "", Backend!P43)</f>
        <v>0.66563360000000005</v>
      </c>
      <c r="P16">
        <f>IF(Backend!Q43="", "", Backend!Q43)</f>
        <v>0.89136959999999998</v>
      </c>
      <c r="Q16">
        <f>IF(Backend!R43="", "", Backend!R43)</f>
        <v>0.68493545</v>
      </c>
      <c r="R16">
        <f>IF(Backend!S43="", "", Backend!S43)</f>
        <v>0.55562109999999998</v>
      </c>
      <c r="S16">
        <f>IF(Backend!T43="", "", Backend!T43)</f>
        <v>0.72285056000000003</v>
      </c>
      <c r="T16">
        <f>IF(Backend!U43="", "", Backend!U43)</f>
        <v>0.72498775000000004</v>
      </c>
      <c r="U16">
        <f>IF(Backend!V43="", "", Backend!V43)</f>
        <v>-0.75195484999999995</v>
      </c>
      <c r="V16">
        <f>IF(Backend!W43="", "", Backend!W43)</f>
        <v>0.80935913000000004</v>
      </c>
      <c r="W16">
        <f>IF(Backend!X43="", "", Backend!X43)</f>
        <v>0.26819238000000001</v>
      </c>
      <c r="X16">
        <f>IF(Backend!Y43="", "", Backend!Y43)</f>
        <v>0.83187319999999998</v>
      </c>
      <c r="Y16">
        <f>IF(Backend!Z43="", "", Backend!Z43)</f>
        <v>0.86373509999999998</v>
      </c>
      <c r="Z16">
        <f>IF(Backend!AA43="", "", Backend!AA43)</f>
        <v>-0.75561299999999998</v>
      </c>
      <c r="AA16">
        <f>IF(Backend!AB43="", "", Backend!AB43)</f>
        <v>0.24754403999999999</v>
      </c>
      <c r="AB16">
        <f>IF(Backend!AC43="", "", Backend!AC43)</f>
        <v>-0.59105973999999994</v>
      </c>
      <c r="AC16">
        <f>IF(Backend!AD43="", "", Backend!AD43)</f>
        <v>0.346362</v>
      </c>
      <c r="AD16">
        <f>IF(Backend!AE43="", "", Backend!AE43)</f>
        <v>0.65287499999999998</v>
      </c>
      <c r="AE16">
        <f>IF(Backend!AF43="", "", Backend!AF43)</f>
        <v>0.30352790000000002</v>
      </c>
      <c r="AF16">
        <f>IF(Backend!AG43="", "", Backend!AG43)</f>
        <v>-0.29551873000000001</v>
      </c>
      <c r="AG16">
        <f>IF(Backend!AH43="", "", Backend!AH43)</f>
        <v>0.40606787999999999</v>
      </c>
    </row>
    <row r="17" spans="1:33" x14ac:dyDescent="0.25">
      <c r="A17" s="4" t="str">
        <f>IF(Backend!A44="", "", Backend!A44)</f>
        <v>Roche Holding Ltd Dividend Right Cert.</v>
      </c>
      <c r="B17">
        <f>IF(Backend!C44="", "", Backend!C44)</f>
        <v>0.29381698000000001</v>
      </c>
      <c r="C17">
        <f>IF(Backend!D44="", "", Backend!D44)</f>
        <v>0.35419536000000001</v>
      </c>
      <c r="D17">
        <f>IF(Backend!E44="", "", Backend!E44)</f>
        <v>-0.36136471999999997</v>
      </c>
      <c r="E17">
        <f>IF(Backend!F44="", "", Backend!F44)</f>
        <v>0.62471074000000004</v>
      </c>
      <c r="F17">
        <f>IF(Backend!G44="", "", Backend!G44)</f>
        <v>0.54465954999999999</v>
      </c>
      <c r="G17">
        <f>IF(Backend!H44="", "", Backend!H44)</f>
        <v>0.32581758</v>
      </c>
      <c r="H17">
        <f>IF(Backend!I44="", "", Backend!I44)</f>
        <v>0.53613200000000005</v>
      </c>
      <c r="I17">
        <f>IF(Backend!J44="", "", Backend!J44)</f>
        <v>0.39345244000000001</v>
      </c>
      <c r="J17">
        <f>IF(Backend!K44="", "", Backend!K44)</f>
        <v>0.63536510000000002</v>
      </c>
      <c r="K17">
        <f>IF(Backend!L44="", "", Backend!L44)</f>
        <v>0.42023695</v>
      </c>
      <c r="L17">
        <f>IF(Backend!M44="", "", Backend!M44)</f>
        <v>0.4286066</v>
      </c>
      <c r="M17">
        <f>IF(Backend!N44="", "", Backend!N44)</f>
        <v>0.32420536999999999</v>
      </c>
      <c r="N17">
        <f>IF(Backend!O44="", "", Backend!O44)</f>
        <v>0.66563360000000005</v>
      </c>
      <c r="O17">
        <f>IF(Backend!P44="", "", Backend!P44)</f>
        <v>1</v>
      </c>
      <c r="P17">
        <f>IF(Backend!Q44="", "", Backend!Q44)</f>
        <v>0.52503233999999999</v>
      </c>
      <c r="Q17">
        <f>IF(Backend!R44="", "", Backend!R44)</f>
        <v>0.23687517999999999</v>
      </c>
      <c r="R17">
        <f>IF(Backend!S44="", "", Backend!S44)</f>
        <v>7.7358099999999999E-2</v>
      </c>
      <c r="S17">
        <f>IF(Backend!T44="", "", Backend!T44)</f>
        <v>0.27160580000000001</v>
      </c>
      <c r="T17">
        <f>IF(Backend!U44="", "", Backend!U44)</f>
        <v>0.26930627000000001</v>
      </c>
      <c r="U17">
        <f>IF(Backend!V44="", "", Backend!V44)</f>
        <v>-0.48732500000000001</v>
      </c>
      <c r="V17">
        <f>IF(Backend!W44="", "", Backend!W44)</f>
        <v>0.56633275999999999</v>
      </c>
      <c r="W17">
        <f>IF(Backend!X44="", "", Backend!X44)</f>
        <v>0.611209</v>
      </c>
      <c r="X17">
        <f>IF(Backend!Y44="", "", Backend!Y44)</f>
        <v>0.41938993000000002</v>
      </c>
      <c r="Y17">
        <f>IF(Backend!Z44="", "", Backend!Z44)</f>
        <v>0.64721399999999996</v>
      </c>
      <c r="Z17">
        <f>IF(Backend!AA44="", "", Backend!AA44)</f>
        <v>-0.69116429999999995</v>
      </c>
      <c r="AA17">
        <f>IF(Backend!AB44="", "", Backend!AB44)</f>
        <v>0.11788984399999999</v>
      </c>
      <c r="AB17">
        <f>IF(Backend!AC44="", "", Backend!AC44)</f>
        <v>-0.37374666000000001</v>
      </c>
      <c r="AC17">
        <f>IF(Backend!AD44="", "", Backend!AD44)</f>
        <v>-1.1348601E-2</v>
      </c>
      <c r="AD17">
        <f>IF(Backend!AE44="", "", Backend!AE44)</f>
        <v>0.13436571</v>
      </c>
      <c r="AE17">
        <f>IF(Backend!AF44="", "", Backend!AF44)</f>
        <v>0.27706009999999998</v>
      </c>
      <c r="AF17">
        <f>IF(Backend!AG44="", "", Backend!AG44)</f>
        <v>-0.33797487999999998</v>
      </c>
      <c r="AG17">
        <f>IF(Backend!AH44="", "", Backend!AH44)</f>
        <v>8.3989720000000004E-2</v>
      </c>
    </row>
    <row r="18" spans="1:33" x14ac:dyDescent="0.25">
      <c r="A18" s="4" t="str">
        <f>IF(Backend!A45="", "", Backend!A45)</f>
        <v>AIA Group Limited</v>
      </c>
      <c r="B18">
        <f>IF(Backend!C45="", "", Backend!C45)</f>
        <v>0.85968409999999995</v>
      </c>
      <c r="C18">
        <f>IF(Backend!D45="", "", Backend!D45)</f>
        <v>0.58549459999999998</v>
      </c>
      <c r="D18">
        <f>IF(Backend!E45="", "", Backend!E45)</f>
        <v>-0.67889505999999999</v>
      </c>
      <c r="E18">
        <f>IF(Backend!F45="", "", Backend!F45)</f>
        <v>0.42725363</v>
      </c>
      <c r="F18">
        <f>IF(Backend!G45="", "", Backend!G45)</f>
        <v>0.66204079999999998</v>
      </c>
      <c r="G18">
        <f>IF(Backend!H45="", "", Backend!H45)</f>
        <v>0.48107339999999998</v>
      </c>
      <c r="H18">
        <f>IF(Backend!I45="", "", Backend!I45)</f>
        <v>0.60148239999999997</v>
      </c>
      <c r="I18">
        <f>IF(Backend!J45="", "", Backend!J45)</f>
        <v>0.33061644000000001</v>
      </c>
      <c r="J18">
        <f>IF(Backend!K45="", "", Backend!K45)</f>
        <v>0.89311200000000002</v>
      </c>
      <c r="K18">
        <f>IF(Backend!L45="", "", Backend!L45)</f>
        <v>0.74370060000000004</v>
      </c>
      <c r="L18">
        <f>IF(Backend!M45="", "", Backend!M45)</f>
        <v>0.85586035000000005</v>
      </c>
      <c r="M18">
        <f>IF(Backend!N45="", "", Backend!N45)</f>
        <v>0.55935573999999999</v>
      </c>
      <c r="N18">
        <f>IF(Backend!O45="", "", Backend!O45)</f>
        <v>0.89136959999999998</v>
      </c>
      <c r="O18">
        <f>IF(Backend!P45="", "", Backend!P45)</f>
        <v>0.52503233999999999</v>
      </c>
      <c r="P18">
        <f>IF(Backend!Q45="", "", Backend!Q45)</f>
        <v>1</v>
      </c>
      <c r="Q18">
        <f>IF(Backend!R45="", "", Backend!R45)</f>
        <v>0.67413144999999997</v>
      </c>
      <c r="R18">
        <f>IF(Backend!S45="", "", Backend!S45)</f>
        <v>0.64791679999999996</v>
      </c>
      <c r="S18">
        <f>IF(Backend!T45="", "", Backend!T45)</f>
        <v>0.66509399999999996</v>
      </c>
      <c r="T18">
        <f>IF(Backend!U45="", "", Backend!U45)</f>
        <v>0.79592806000000005</v>
      </c>
      <c r="U18">
        <f>IF(Backend!V45="", "", Backend!V45)</f>
        <v>-0.6162223</v>
      </c>
      <c r="V18">
        <f>IF(Backend!W45="", "", Backend!W45)</f>
        <v>0.70561342999999999</v>
      </c>
      <c r="W18">
        <f>IF(Backend!X45="", "", Backend!X45)</f>
        <v>0.15635514</v>
      </c>
      <c r="X18">
        <f>IF(Backend!Y45="", "", Backend!Y45)</f>
        <v>0.85742499999999999</v>
      </c>
      <c r="Y18">
        <f>IF(Backend!Z45="", "", Backend!Z45)</f>
        <v>0.79341196999999997</v>
      </c>
      <c r="Z18">
        <f>IF(Backend!AA45="", "", Backend!AA45)</f>
        <v>-0.63356303999999997</v>
      </c>
      <c r="AA18">
        <f>IF(Backend!AB45="", "", Backend!AB45)</f>
        <v>0.27473997999999999</v>
      </c>
      <c r="AB18">
        <f>IF(Backend!AC45="", "", Backend!AC45)</f>
        <v>-0.54933566</v>
      </c>
      <c r="AC18">
        <f>IF(Backend!AD45="", "", Backend!AD45)</f>
        <v>0.40610948000000002</v>
      </c>
      <c r="AD18">
        <f>IF(Backend!AE45="", "", Backend!AE45)</f>
        <v>0.69259579999999998</v>
      </c>
      <c r="AE18">
        <f>IF(Backend!AF45="", "", Backend!AF45)</f>
        <v>0.14610770000000001</v>
      </c>
      <c r="AF18">
        <f>IF(Backend!AG45="", "", Backend!AG45)</f>
        <v>-0.12612398</v>
      </c>
      <c r="AG18">
        <f>IF(Backend!AH45="", "", Backend!AH45)</f>
        <v>0.3968373</v>
      </c>
    </row>
    <row r="19" spans="1:33" x14ac:dyDescent="0.25">
      <c r="A19" s="4" t="str">
        <f>IF(Backend!A46="", "", Backend!A46)</f>
        <v>HDFC Bank Limited Sponsored ADR</v>
      </c>
      <c r="B19">
        <f>IF(Backend!C46="", "", Backend!C46)</f>
        <v>0.67432579999999998</v>
      </c>
      <c r="C19">
        <f>IF(Backend!D46="", "", Backend!D46)</f>
        <v>0.13275076</v>
      </c>
      <c r="D19">
        <f>IF(Backend!E46="", "", Backend!E46)</f>
        <v>-0.13413217999999999</v>
      </c>
      <c r="E19">
        <f>IF(Backend!F46="", "", Backend!F46)</f>
        <v>0.50983447000000004</v>
      </c>
      <c r="F19">
        <f>IF(Backend!G46="", "", Backend!G46)</f>
        <v>0.52112179999999997</v>
      </c>
      <c r="G19">
        <f>IF(Backend!H46="", "", Backend!H46)</f>
        <v>0.74453365999999999</v>
      </c>
      <c r="H19">
        <f>IF(Backend!I46="", "", Backend!I46)</f>
        <v>0.26240407999999998</v>
      </c>
      <c r="I19">
        <f>IF(Backend!J46="", "", Backend!J46)</f>
        <v>0.67380154000000003</v>
      </c>
      <c r="J19">
        <f>IF(Backend!K46="", "", Backend!K46)</f>
        <v>0.64839493999999998</v>
      </c>
      <c r="K19">
        <f>IF(Backend!L46="", "", Backend!L46)</f>
        <v>0.37832555000000001</v>
      </c>
      <c r="L19">
        <f>IF(Backend!M46="", "", Backend!M46)</f>
        <v>0.74075009999999997</v>
      </c>
      <c r="M19">
        <f>IF(Backend!N46="", "", Backend!N46)</f>
        <v>0.65563400000000005</v>
      </c>
      <c r="N19">
        <f>IF(Backend!O46="", "", Backend!O46)</f>
        <v>0.68493545</v>
      </c>
      <c r="O19">
        <f>IF(Backend!P46="", "", Backend!P46)</f>
        <v>0.23687517999999999</v>
      </c>
      <c r="P19">
        <f>IF(Backend!Q46="", "", Backend!Q46)</f>
        <v>0.67413144999999997</v>
      </c>
      <c r="Q19">
        <f>IF(Backend!R46="", "", Backend!R46)</f>
        <v>1</v>
      </c>
      <c r="R19">
        <f>IF(Backend!S46="", "", Backend!S46)</f>
        <v>0.78058654000000005</v>
      </c>
      <c r="S19">
        <f>IF(Backend!T46="", "", Backend!T46)</f>
        <v>0.70181420000000005</v>
      </c>
      <c r="T19">
        <f>IF(Backend!U46="", "", Backend!U46)</f>
        <v>0.57403159999999998</v>
      </c>
      <c r="U19">
        <f>IF(Backend!V46="", "", Backend!V46)</f>
        <v>-0.52214879999999997</v>
      </c>
      <c r="V19">
        <f>IF(Backend!W46="", "", Backend!W46)</f>
        <v>0.77642290000000003</v>
      </c>
      <c r="W19">
        <f>IF(Backend!X46="", "", Backend!X46)</f>
        <v>-0.25963658000000001</v>
      </c>
      <c r="X19">
        <f>IF(Backend!Y46="", "", Backend!Y46)</f>
        <v>0.54724569999999995</v>
      </c>
      <c r="Y19">
        <f>IF(Backend!Z46="", "", Backend!Z46)</f>
        <v>0.58945477000000002</v>
      </c>
      <c r="Z19">
        <f>IF(Backend!AA46="", "", Backend!AA46)</f>
        <v>-0.45545970000000002</v>
      </c>
      <c r="AA19">
        <f>IF(Backend!AB46="", "", Backend!AB46)</f>
        <v>4.4938736E-2</v>
      </c>
      <c r="AB19">
        <f>IF(Backend!AC46="", "", Backend!AC46)</f>
        <v>-0.48942497000000001</v>
      </c>
      <c r="AC19">
        <f>IF(Backend!AD46="", "", Backend!AD46)</f>
        <v>0.21431143999999999</v>
      </c>
      <c r="AD19">
        <f>IF(Backend!AE46="", "", Backend!AE46)</f>
        <v>0.73203313000000003</v>
      </c>
      <c r="AE19">
        <f>IF(Backend!AF46="", "", Backend!AF46)</f>
        <v>0.50401235</v>
      </c>
      <c r="AF19">
        <f>IF(Backend!AG46="", "", Backend!AG46)</f>
        <v>-0.19680529999999999</v>
      </c>
      <c r="AG19">
        <f>IF(Backend!AH46="", "", Backend!AH46)</f>
        <v>0.23690847000000001</v>
      </c>
    </row>
    <row r="20" spans="1:33" x14ac:dyDescent="0.25">
      <c r="A20" s="4" t="str">
        <f>IF(Backend!A47="", "", Backend!A47)</f>
        <v>Intuit Inc.</v>
      </c>
      <c r="B20">
        <f>IF(Backend!C47="", "", Backend!C47)</f>
        <v>0.71838592999999995</v>
      </c>
      <c r="C20">
        <f>IF(Backend!D47="", "", Backend!D47)</f>
        <v>0.13442287</v>
      </c>
      <c r="D20">
        <f>IF(Backend!E47="", "", Backend!E47)</f>
        <v>-0.13910365</v>
      </c>
      <c r="E20">
        <f>IF(Backend!F47="", "", Backend!F47)</f>
        <v>0.37592851999999999</v>
      </c>
      <c r="F20">
        <f>IF(Backend!G47="", "", Backend!G47)</f>
        <v>0.44365241999999999</v>
      </c>
      <c r="G20">
        <f>IF(Backend!H47="", "", Backend!H47)</f>
        <v>0.37469864000000003</v>
      </c>
      <c r="H20">
        <f>IF(Backend!I47="", "", Backend!I47)</f>
        <v>0.21628004000000001</v>
      </c>
      <c r="I20">
        <f>IF(Backend!J47="", "", Backend!J47)</f>
        <v>0.39122965999999998</v>
      </c>
      <c r="J20">
        <f>IF(Backend!K47="", "", Backend!K47)</f>
        <v>0.54580205999999998</v>
      </c>
      <c r="K20">
        <f>IF(Backend!L47="", "", Backend!L47)</f>
        <v>0.42329928</v>
      </c>
      <c r="L20">
        <f>IF(Backend!M47="", "", Backend!M47)</f>
        <v>0.67912256999999998</v>
      </c>
      <c r="M20">
        <f>IF(Backend!N47="", "", Backend!N47)</f>
        <v>0.62866160000000004</v>
      </c>
      <c r="N20">
        <f>IF(Backend!O47="", "", Backend!O47)</f>
        <v>0.55562109999999998</v>
      </c>
      <c r="O20">
        <f>IF(Backend!P47="", "", Backend!P47)</f>
        <v>7.7358099999999999E-2</v>
      </c>
      <c r="P20">
        <f>IF(Backend!Q47="", "", Backend!Q47)</f>
        <v>0.64791679999999996</v>
      </c>
      <c r="Q20">
        <f>IF(Backend!R47="", "", Backend!R47)</f>
        <v>0.78058654000000005</v>
      </c>
      <c r="R20">
        <f>IF(Backend!S47="", "", Backend!S47)</f>
        <v>1</v>
      </c>
      <c r="S20">
        <f>IF(Backend!T47="", "", Backend!T47)</f>
        <v>0.56395704000000002</v>
      </c>
      <c r="T20">
        <f>IF(Backend!U47="", "", Backend!U47)</f>
        <v>0.63360510000000003</v>
      </c>
      <c r="U20">
        <f>IF(Backend!V47="", "", Backend!V47)</f>
        <v>-0.22069449999999999</v>
      </c>
      <c r="V20">
        <f>IF(Backend!W47="", "", Backend!W47)</f>
        <v>0.54432904999999998</v>
      </c>
      <c r="W20">
        <f>IF(Backend!X47="", "", Backend!X47)</f>
        <v>-0.21496339</v>
      </c>
      <c r="X20">
        <f>IF(Backend!Y47="", "", Backend!Y47)</f>
        <v>0.47322120000000001</v>
      </c>
      <c r="Y20">
        <f>IF(Backend!Z47="", "", Backend!Z47)</f>
        <v>0.33920835999999999</v>
      </c>
      <c r="Z20">
        <f>IF(Backend!AA47="", "", Backend!AA47)</f>
        <v>-0.18521334</v>
      </c>
      <c r="AA20">
        <f>IF(Backend!AB47="", "", Backend!AB47)</f>
        <v>0.10008868999999999</v>
      </c>
      <c r="AB20">
        <f>IF(Backend!AC47="", "", Backend!AC47)</f>
        <v>-0.24336699000000001</v>
      </c>
      <c r="AC20">
        <f>IF(Backend!AD47="", "", Backend!AD47)</f>
        <v>0.44841852999999998</v>
      </c>
      <c r="AD20">
        <f>IF(Backend!AE47="", "", Backend!AE47)</f>
        <v>0.81520367000000005</v>
      </c>
      <c r="AE20">
        <f>IF(Backend!AF47="", "", Backend!AF47)</f>
        <v>0.41168347</v>
      </c>
      <c r="AF20">
        <f>IF(Backend!AG47="", "", Backend!AG47)</f>
        <v>-1.3929943E-2</v>
      </c>
      <c r="AG20">
        <f>IF(Backend!AH47="", "", Backend!AH47)</f>
        <v>0.43798690000000001</v>
      </c>
    </row>
    <row r="21" spans="1:33" x14ac:dyDescent="0.25">
      <c r="A21" s="4" t="str">
        <f>IF(Backend!A48="", "", Backend!A48)</f>
        <v>Edwards Lifesciences Corporation</v>
      </c>
      <c r="B21">
        <f>IF(Backend!C48="", "", Backend!C48)</f>
        <v>0.74858325999999997</v>
      </c>
      <c r="C21">
        <f>IF(Backend!D48="", "", Backend!D48)</f>
        <v>0.43807083000000002</v>
      </c>
      <c r="D21">
        <f>IF(Backend!E48="", "", Backend!E48)</f>
        <v>-0.30478787000000002</v>
      </c>
      <c r="E21">
        <f>IF(Backend!F48="", "", Backend!F48)</f>
        <v>0.58998245000000005</v>
      </c>
      <c r="F21">
        <f>IF(Backend!G48="", "", Backend!G48)</f>
        <v>0.72928744999999995</v>
      </c>
      <c r="G21">
        <f>IF(Backend!H48="", "", Backend!H48)</f>
        <v>0.46993116000000001</v>
      </c>
      <c r="H21">
        <f>IF(Backend!I48="", "", Backend!I48)</f>
        <v>0.42284018000000001</v>
      </c>
      <c r="I21">
        <f>IF(Backend!J48="", "", Backend!J48)</f>
        <v>0.44255853000000001</v>
      </c>
      <c r="J21">
        <f>IF(Backend!K48="", "", Backend!K48)</f>
        <v>0.72110337000000002</v>
      </c>
      <c r="K21">
        <f>IF(Backend!L48="", "", Backend!L48)</f>
        <v>0.55546629999999997</v>
      </c>
      <c r="L21">
        <f>IF(Backend!M48="", "", Backend!M48)</f>
        <v>0.78961230000000004</v>
      </c>
      <c r="M21">
        <f>IF(Backend!N48="", "", Backend!N48)</f>
        <v>0.55849945999999995</v>
      </c>
      <c r="N21">
        <f>IF(Backend!O48="", "", Backend!O48)</f>
        <v>0.72285056000000003</v>
      </c>
      <c r="O21">
        <f>IF(Backend!P48="", "", Backend!P48)</f>
        <v>0.27160580000000001</v>
      </c>
      <c r="P21">
        <f>IF(Backend!Q48="", "", Backend!Q48)</f>
        <v>0.66509399999999996</v>
      </c>
      <c r="Q21">
        <f>IF(Backend!R48="", "", Backend!R48)</f>
        <v>0.70181420000000005</v>
      </c>
      <c r="R21">
        <f>IF(Backend!S48="", "", Backend!S48)</f>
        <v>0.56395704000000002</v>
      </c>
      <c r="S21">
        <f>IF(Backend!T48="", "", Backend!T48)</f>
        <v>1</v>
      </c>
      <c r="T21">
        <f>IF(Backend!U48="", "", Backend!U48)</f>
        <v>0.58273154000000005</v>
      </c>
      <c r="U21">
        <f>IF(Backend!V48="", "", Backend!V48)</f>
        <v>-0.52576696999999994</v>
      </c>
      <c r="V21">
        <f>IF(Backend!W48="", "", Backend!W48)</f>
        <v>0.61386775999999998</v>
      </c>
      <c r="W21">
        <f>IF(Backend!X48="", "", Backend!X48)</f>
        <v>-2.2365695000000001E-2</v>
      </c>
      <c r="X21">
        <f>IF(Backend!Y48="", "", Backend!Y48)</f>
        <v>0.62766250000000001</v>
      </c>
      <c r="Y21">
        <f>IF(Backend!Z48="", "", Backend!Z48)</f>
        <v>0.66737570000000002</v>
      </c>
      <c r="Z21">
        <f>IF(Backend!AA48="", "", Backend!AA48)</f>
        <v>-0.34931131999999998</v>
      </c>
      <c r="AA21">
        <f>IF(Backend!AB48="", "", Backend!AB48)</f>
        <v>0.23250816999999999</v>
      </c>
      <c r="AB21">
        <f>IF(Backend!AC48="", "", Backend!AC48)</f>
        <v>-0.35248469999999998</v>
      </c>
      <c r="AC21">
        <f>IF(Backend!AD48="", "", Backend!AD48)</f>
        <v>0.3719343</v>
      </c>
      <c r="AD21">
        <f>IF(Backend!AE48="", "", Backend!AE48)</f>
        <v>0.7510753</v>
      </c>
      <c r="AE21">
        <f>IF(Backend!AF48="", "", Backend!AF48)</f>
        <v>0.23480126000000001</v>
      </c>
      <c r="AF21">
        <f>IF(Backend!AG48="", "", Backend!AG48)</f>
        <v>-0.14447314</v>
      </c>
      <c r="AG21">
        <f>IF(Backend!AH48="", "", Backend!AH48)</f>
        <v>0.54310672999999998</v>
      </c>
    </row>
    <row r="22" spans="1:33" x14ac:dyDescent="0.25">
      <c r="A22" s="4" t="str">
        <f>IF(Backend!A49="", "", Backend!A49)</f>
        <v>Ferguson Enterprises Inc.</v>
      </c>
      <c r="B22">
        <f>IF(Backend!C49="", "", Backend!C49)</f>
        <v>0.89578663999999997</v>
      </c>
      <c r="C22">
        <f>IF(Backend!D49="", "", Backend!D49)</f>
        <v>0.69670330000000003</v>
      </c>
      <c r="D22">
        <f>IF(Backend!E49="", "", Backend!E49)</f>
        <v>-0.68250940000000004</v>
      </c>
      <c r="E22">
        <f>IF(Backend!F49="", "", Backend!F49)</f>
        <v>0.19331364000000001</v>
      </c>
      <c r="F22">
        <f>IF(Backend!G49="", "", Backend!G49)</f>
        <v>0.52619654000000005</v>
      </c>
      <c r="G22">
        <f>IF(Backend!H49="", "", Backend!H49)</f>
        <v>0.32125883999999999</v>
      </c>
      <c r="H22">
        <f>IF(Backend!I49="", "", Backend!I49)</f>
        <v>0.64231150000000004</v>
      </c>
      <c r="I22">
        <f>IF(Backend!J49="", "", Backend!J49)</f>
        <v>-2.1958575000000001E-2</v>
      </c>
      <c r="J22">
        <f>IF(Backend!K49="", "", Backend!K49)</f>
        <v>0.78849159999999996</v>
      </c>
      <c r="K22">
        <f>IF(Backend!L49="", "", Backend!L49)</f>
        <v>0.84575540000000005</v>
      </c>
      <c r="L22">
        <f>IF(Backend!M49="", "", Backend!M49)</f>
        <v>0.82783830000000003</v>
      </c>
      <c r="M22">
        <f>IF(Backend!N49="", "", Backend!N49)</f>
        <v>0.52673130000000001</v>
      </c>
      <c r="N22">
        <f>IF(Backend!O49="", "", Backend!O49)</f>
        <v>0.72498775000000004</v>
      </c>
      <c r="O22">
        <f>IF(Backend!P49="", "", Backend!P49)</f>
        <v>0.26930627000000001</v>
      </c>
      <c r="P22">
        <f>IF(Backend!Q49="", "", Backend!Q49)</f>
        <v>0.79592806000000005</v>
      </c>
      <c r="Q22">
        <f>IF(Backend!R49="", "", Backend!R49)</f>
        <v>0.57403159999999998</v>
      </c>
      <c r="R22">
        <f>IF(Backend!S49="", "", Backend!S49)</f>
        <v>0.63360510000000003</v>
      </c>
      <c r="S22">
        <f>IF(Backend!T49="", "", Backend!T49)</f>
        <v>0.58273154000000005</v>
      </c>
      <c r="T22">
        <f>IF(Backend!U49="", "", Backend!U49)</f>
        <v>1</v>
      </c>
      <c r="U22">
        <f>IF(Backend!V49="", "", Backend!V49)</f>
        <v>-0.4129853</v>
      </c>
      <c r="V22">
        <f>IF(Backend!W49="", "", Backend!W49)</f>
        <v>0.40707739999999998</v>
      </c>
      <c r="W22">
        <f>IF(Backend!X49="", "", Backend!X49)</f>
        <v>0.16548260000000001</v>
      </c>
      <c r="X22">
        <f>IF(Backend!Y49="", "", Backend!Y49)</f>
        <v>0.86650132999999996</v>
      </c>
      <c r="Y22">
        <f>IF(Backend!Z49="", "", Backend!Z49)</f>
        <v>0.50621176000000001</v>
      </c>
      <c r="Z22">
        <f>IF(Backend!AA49="", "", Backend!AA49)</f>
        <v>-0.40708129999999998</v>
      </c>
      <c r="AA22">
        <f>IF(Backend!AB49="", "", Backend!AB49)</f>
        <v>0.61457839999999997</v>
      </c>
      <c r="AB22">
        <f>IF(Backend!AC49="", "", Backend!AC49)</f>
        <v>-0.35045199999999999</v>
      </c>
      <c r="AC22">
        <f>IF(Backend!AD49="", "", Backend!AD49)</f>
        <v>0.69178580000000001</v>
      </c>
      <c r="AD22">
        <f>IF(Backend!AE49="", "", Backend!AE49)</f>
        <v>0.75076069999999995</v>
      </c>
      <c r="AE22">
        <f>IF(Backend!AF49="", "", Backend!AF49)</f>
        <v>-0.13654114000000001</v>
      </c>
      <c r="AF22">
        <f>IF(Backend!AG49="", "", Backend!AG49)</f>
        <v>0.1422379</v>
      </c>
      <c r="AG22">
        <f>IF(Backend!AH49="", "", Backend!AH49)</f>
        <v>0.57953100000000002</v>
      </c>
    </row>
    <row r="23" spans="1:33" x14ac:dyDescent="0.25">
      <c r="A23" s="4" t="str">
        <f>IF(Backend!A50="", "", Backend!A50)</f>
        <v>Zoetis, Inc. Class A</v>
      </c>
      <c r="B23">
        <f>IF(Backend!C50="", "", Backend!C50)</f>
        <v>-0.55830329999999995</v>
      </c>
      <c r="C23">
        <f>IF(Backend!D50="", "", Backend!D50)</f>
        <v>-0.52302426000000002</v>
      </c>
      <c r="D23">
        <f>IF(Backend!E50="", "", Backend!E50)</f>
        <v>0.57577840000000002</v>
      </c>
      <c r="E23">
        <f>IF(Backend!F50="", "", Backend!F50)</f>
        <v>-0.36708370000000001</v>
      </c>
      <c r="F23">
        <f>IF(Backend!G50="", "", Backend!G50)</f>
        <v>-0.36784296999999999</v>
      </c>
      <c r="G23">
        <f>IF(Backend!H50="", "", Backend!H50)</f>
        <v>-0.36154072999999998</v>
      </c>
      <c r="H23">
        <f>IF(Backend!I50="", "", Backend!I50)</f>
        <v>-0.55557160000000005</v>
      </c>
      <c r="I23">
        <f>IF(Backend!J50="", "", Backend!J50)</f>
        <v>-0.41692477</v>
      </c>
      <c r="J23">
        <f>IF(Backend!K50="", "", Backend!K50)</f>
        <v>-0.73862150000000004</v>
      </c>
      <c r="K23">
        <f>IF(Backend!L50="", "", Backend!L50)</f>
        <v>-0.57645290000000005</v>
      </c>
      <c r="L23">
        <f>IF(Backend!M50="", "", Backend!M50)</f>
        <v>-0.59707569999999999</v>
      </c>
      <c r="M23">
        <f>IF(Backend!N50="", "", Backend!N50)</f>
        <v>-0.25058997</v>
      </c>
      <c r="N23">
        <f>IF(Backend!O50="", "", Backend!O50)</f>
        <v>-0.75195484999999995</v>
      </c>
      <c r="O23">
        <f>IF(Backend!P50="", "", Backend!P50)</f>
        <v>-0.48732500000000001</v>
      </c>
      <c r="P23">
        <f>IF(Backend!Q50="", "", Backend!Q50)</f>
        <v>-0.6162223</v>
      </c>
      <c r="Q23">
        <f>IF(Backend!R50="", "", Backend!R50)</f>
        <v>-0.52214879999999997</v>
      </c>
      <c r="R23">
        <f>IF(Backend!S50="", "", Backend!S50)</f>
        <v>-0.22069449999999999</v>
      </c>
      <c r="S23">
        <f>IF(Backend!T50="", "", Backend!T50)</f>
        <v>-0.52576696999999994</v>
      </c>
      <c r="T23">
        <f>IF(Backend!U50="", "", Backend!U50)</f>
        <v>-0.4129853</v>
      </c>
      <c r="U23">
        <f>IF(Backend!V50="", "", Backend!V50)</f>
        <v>1</v>
      </c>
      <c r="V23">
        <f>IF(Backend!W50="", "", Backend!W50)</f>
        <v>-0.65347920000000004</v>
      </c>
      <c r="W23">
        <f>IF(Backend!X50="", "", Backend!X50)</f>
        <v>-4.310104E-2</v>
      </c>
      <c r="X23">
        <f>IF(Backend!Y50="", "", Backend!Y50)</f>
        <v>-0.6311677</v>
      </c>
      <c r="Y23">
        <f>IF(Backend!Z50="", "", Backend!Z50)</f>
        <v>-0.77104740000000005</v>
      </c>
      <c r="Z23">
        <f>IF(Backend!AA50="", "", Backend!AA50)</f>
        <v>0.86863489999999999</v>
      </c>
      <c r="AA23">
        <f>IF(Backend!AB50="", "", Backend!AB50)</f>
        <v>-5.4289485999999998E-2</v>
      </c>
      <c r="AB23">
        <f>IF(Backend!AC50="", "", Backend!AC50)</f>
        <v>0.70890770000000003</v>
      </c>
      <c r="AC23">
        <f>IF(Backend!AD50="", "", Backend!AD50)</f>
        <v>-6.0830479999999999E-2</v>
      </c>
      <c r="AD23">
        <f>IF(Backend!AE50="", "", Backend!AE50)</f>
        <v>-0.29268342000000003</v>
      </c>
      <c r="AE23">
        <f>IF(Backend!AF50="", "", Backend!AF50)</f>
        <v>-0.17568173000000001</v>
      </c>
      <c r="AF23">
        <f>IF(Backend!AG50="", "", Backend!AG50)</f>
        <v>0.64249339999999999</v>
      </c>
      <c r="AG23">
        <f>IF(Backend!AH50="", "", Backend!AH50)</f>
        <v>7.5921123000000004E-3</v>
      </c>
    </row>
    <row r="24" spans="1:33" x14ac:dyDescent="0.25">
      <c r="A24" s="4" t="str">
        <f>IF(Backend!A51="", "", Backend!A51)</f>
        <v>B3 SA - Brasil, Bolsa, Balcao</v>
      </c>
      <c r="B24">
        <f>IF(Backend!C51="", "", Backend!C51)</f>
        <v>0.56996875999999996</v>
      </c>
      <c r="C24">
        <f>IF(Backend!D51="", "", Backend!D51)</f>
        <v>0.20279378000000001</v>
      </c>
      <c r="D24">
        <f>IF(Backend!E51="", "", Backend!E51)</f>
        <v>-0.20706014</v>
      </c>
      <c r="E24">
        <f>IF(Backend!F51="", "", Backend!F51)</f>
        <v>0.72070869999999998</v>
      </c>
      <c r="F24">
        <f>IF(Backend!G51="", "", Backend!G51)</f>
        <v>0.6660933</v>
      </c>
      <c r="G24">
        <f>IF(Backend!H51="", "", Backend!H51)</f>
        <v>0.70620090000000002</v>
      </c>
      <c r="H24">
        <f>IF(Backend!I51="", "", Backend!I51)</f>
        <v>0.41152420000000001</v>
      </c>
      <c r="I24">
        <f>IF(Backend!J51="", "", Backend!J51)</f>
        <v>0.79102033000000005</v>
      </c>
      <c r="J24">
        <f>IF(Backend!K51="", "", Backend!K51)</f>
        <v>0.753162</v>
      </c>
      <c r="K24">
        <f>IF(Backend!L51="", "", Backend!L51)</f>
        <v>0.39158251999999999</v>
      </c>
      <c r="L24">
        <f>IF(Backend!M51="", "", Backend!M51)</f>
        <v>0.70885335999999999</v>
      </c>
      <c r="M24">
        <f>IF(Backend!N51="", "", Backend!N51)</f>
        <v>0.69405360000000005</v>
      </c>
      <c r="N24">
        <f>IF(Backend!O51="", "", Backend!O51)</f>
        <v>0.80935913000000004</v>
      </c>
      <c r="O24">
        <f>IF(Backend!P51="", "", Backend!P51)</f>
        <v>0.56633275999999999</v>
      </c>
      <c r="P24">
        <f>IF(Backend!Q51="", "", Backend!Q51)</f>
        <v>0.70561342999999999</v>
      </c>
      <c r="Q24">
        <f>IF(Backend!R51="", "", Backend!R51)</f>
        <v>0.77642290000000003</v>
      </c>
      <c r="R24">
        <f>IF(Backend!S51="", "", Backend!S51)</f>
        <v>0.54432904999999998</v>
      </c>
      <c r="S24">
        <f>IF(Backend!T51="", "", Backend!T51)</f>
        <v>0.61386775999999998</v>
      </c>
      <c r="T24">
        <f>IF(Backend!U51="", "", Backend!U51)</f>
        <v>0.40707739999999998</v>
      </c>
      <c r="U24">
        <f>IF(Backend!V51="", "", Backend!V51)</f>
        <v>-0.65347920000000004</v>
      </c>
      <c r="V24">
        <f>IF(Backend!W51="", "", Backend!W51)</f>
        <v>1</v>
      </c>
      <c r="W24">
        <f>IF(Backend!X51="", "", Backend!X51)</f>
        <v>6.3090049999999995E-2</v>
      </c>
      <c r="X24">
        <f>IF(Backend!Y51="", "", Backend!Y51)</f>
        <v>0.53338646999999995</v>
      </c>
      <c r="Y24">
        <f>IF(Backend!Z51="", "", Backend!Z51)</f>
        <v>0.77247639999999995</v>
      </c>
      <c r="Z24">
        <f>IF(Backend!AA51="", "", Backend!AA51)</f>
        <v>-0.71323789999999998</v>
      </c>
      <c r="AA24">
        <f>IF(Backend!AB51="", "", Backend!AB51)</f>
        <v>-8.1222059999999999E-2</v>
      </c>
      <c r="AB24">
        <f>IF(Backend!AC51="", "", Backend!AC51)</f>
        <v>-0.52141490000000001</v>
      </c>
      <c r="AC24">
        <f>IF(Backend!AD51="", "", Backend!AD51)</f>
        <v>0.15645722000000001</v>
      </c>
      <c r="AD24">
        <f>IF(Backend!AE51="", "", Backend!AE51)</f>
        <v>0.56312419999999996</v>
      </c>
      <c r="AE24">
        <f>IF(Backend!AF51="", "", Backend!AF51)</f>
        <v>0.63204824999999998</v>
      </c>
      <c r="AF24">
        <f>IF(Backend!AG51="", "", Backend!AG51)</f>
        <v>-0.34943964999999999</v>
      </c>
      <c r="AG24">
        <f>IF(Backend!AH51="", "", Backend!AH51)</f>
        <v>0.14174497</v>
      </c>
    </row>
    <row r="25" spans="1:33" x14ac:dyDescent="0.25">
      <c r="A25" s="4" t="str">
        <f>IF(Backend!A52="", "", Backend!A52)</f>
        <v>Atlas Copco AB Class B</v>
      </c>
      <c r="B25">
        <f>IF(Backend!C52="", "", Backend!C52)</f>
        <v>0.13674219000000001</v>
      </c>
      <c r="C25">
        <f>IF(Backend!D52="", "", Backend!D52)</f>
        <v>0.49729004999999998</v>
      </c>
      <c r="D25">
        <f>IF(Backend!E52="", "", Backend!E52)</f>
        <v>-0.28965846000000001</v>
      </c>
      <c r="E25">
        <f>IF(Backend!F52="", "", Backend!F52)</f>
        <v>0.24989744999999999</v>
      </c>
      <c r="F25">
        <f>IF(Backend!G52="", "", Backend!G52)</f>
        <v>0.31670925</v>
      </c>
      <c r="G25">
        <f>IF(Backend!H52="", "", Backend!H52)</f>
        <v>-0.11404255000000001</v>
      </c>
      <c r="H25">
        <f>IF(Backend!I52="", "", Backend!I52)</f>
        <v>0.59795430000000005</v>
      </c>
      <c r="I25">
        <f>IF(Backend!J52="", "", Backend!J52)</f>
        <v>-0.20984212999999999</v>
      </c>
      <c r="J25">
        <f>IF(Backend!K52="", "", Backend!K52)</f>
        <v>0.31174796999999999</v>
      </c>
      <c r="K25">
        <f>IF(Backend!L52="", "", Backend!L52)</f>
        <v>0.43057772999999999</v>
      </c>
      <c r="L25">
        <f>IF(Backend!M52="", "", Backend!M52)</f>
        <v>0.12748151999999999</v>
      </c>
      <c r="M25">
        <f>IF(Backend!N52="", "", Backend!N52)</f>
        <v>3.5210789999999999E-2</v>
      </c>
      <c r="N25">
        <f>IF(Backend!O52="", "", Backend!O52)</f>
        <v>0.26819238000000001</v>
      </c>
      <c r="O25">
        <f>IF(Backend!P52="", "", Backend!P52)</f>
        <v>0.611209</v>
      </c>
      <c r="P25">
        <f>IF(Backend!Q52="", "", Backend!Q52)</f>
        <v>0.15635514</v>
      </c>
      <c r="Q25">
        <f>IF(Backend!R52="", "", Backend!R52)</f>
        <v>-0.25963658000000001</v>
      </c>
      <c r="R25">
        <f>IF(Backend!S52="", "", Backend!S52)</f>
        <v>-0.21496339</v>
      </c>
      <c r="S25">
        <f>IF(Backend!T52="", "", Backend!T52)</f>
        <v>-2.2365695000000001E-2</v>
      </c>
      <c r="T25">
        <f>IF(Backend!U52="", "", Backend!U52)</f>
        <v>0.16548260000000001</v>
      </c>
      <c r="U25">
        <f>IF(Backend!V52="", "", Backend!V52)</f>
        <v>-4.310104E-2</v>
      </c>
      <c r="V25">
        <f>IF(Backend!W52="", "", Backend!W52)</f>
        <v>6.3090049999999995E-2</v>
      </c>
      <c r="W25">
        <f>IF(Backend!X52="", "", Backend!X52)</f>
        <v>1</v>
      </c>
      <c r="X25">
        <f>IF(Backend!Y52="", "", Backend!Y52)</f>
        <v>0.2420572</v>
      </c>
      <c r="Y25">
        <f>IF(Backend!Z52="", "", Backend!Z52)</f>
        <v>0.18176089000000001</v>
      </c>
      <c r="Z25">
        <f>IF(Backend!AA52="", "", Backend!AA52)</f>
        <v>-0.18155709</v>
      </c>
      <c r="AA25">
        <f>IF(Backend!AB52="", "", Backend!AB52)</f>
        <v>0.4175469</v>
      </c>
      <c r="AB25">
        <f>IF(Backend!AC52="", "", Backend!AC52)</f>
        <v>0.20399998</v>
      </c>
      <c r="AC25">
        <f>IF(Backend!AD52="", "", Backend!AD52)</f>
        <v>0.26625090000000001</v>
      </c>
      <c r="AD25">
        <f>IF(Backend!AE52="", "", Backend!AE52)</f>
        <v>-6.1435654999999999E-2</v>
      </c>
      <c r="AE25">
        <f>IF(Backend!AF52="", "", Backend!AF52)</f>
        <v>-0.17833117000000001</v>
      </c>
      <c r="AF25">
        <f>IF(Backend!AG52="", "", Backend!AG52)</f>
        <v>1.7296527999999999E-2</v>
      </c>
      <c r="AG25">
        <f>IF(Backend!AH52="", "", Backend!AH52)</f>
        <v>0.18540765000000001</v>
      </c>
    </row>
    <row r="26" spans="1:33" x14ac:dyDescent="0.25">
      <c r="A26" s="4" t="str">
        <f>IF(Backend!A53="", "", Backend!A53)</f>
        <v>Allegion Public Limited Company</v>
      </c>
      <c r="B26">
        <f>IF(Backend!C53="", "", Backend!C53)</f>
        <v>0.88420319999999997</v>
      </c>
      <c r="C26">
        <f>IF(Backend!D53="", "", Backend!D53)</f>
        <v>0.79561119999999996</v>
      </c>
      <c r="D26">
        <f>IF(Backend!E53="", "", Backend!E53)</f>
        <v>-0.83910525000000002</v>
      </c>
      <c r="E26">
        <f>IF(Backend!F53="", "", Backend!F53)</f>
        <v>0.2500192</v>
      </c>
      <c r="F26">
        <f>IF(Backend!G53="", "", Backend!G53)</f>
        <v>0.62214195999999999</v>
      </c>
      <c r="G26">
        <f>IF(Backend!H53="", "", Backend!H53)</f>
        <v>0.40145046000000001</v>
      </c>
      <c r="H26">
        <f>IF(Backend!I53="", "", Backend!I53)</f>
        <v>0.69984230000000003</v>
      </c>
      <c r="I26">
        <f>IF(Backend!J53="", "", Backend!J53)</f>
        <v>7.2678740000000006E-2</v>
      </c>
      <c r="J26">
        <f>IF(Backend!K53="", "", Backend!K53)</f>
        <v>0.87950059999999997</v>
      </c>
      <c r="K26">
        <f>IF(Backend!L53="", "", Backend!L53)</f>
        <v>0.86860269999999995</v>
      </c>
      <c r="L26">
        <f>IF(Backend!M53="", "", Backend!M53)</f>
        <v>0.85337543000000005</v>
      </c>
      <c r="M26">
        <f>IF(Backend!N53="", "", Backend!N53)</f>
        <v>0.48983317999999998</v>
      </c>
      <c r="N26">
        <f>IF(Backend!O53="", "", Backend!O53)</f>
        <v>0.83187319999999998</v>
      </c>
      <c r="O26">
        <f>IF(Backend!P53="", "", Backend!P53)</f>
        <v>0.41938993000000002</v>
      </c>
      <c r="P26">
        <f>IF(Backend!Q53="", "", Backend!Q53)</f>
        <v>0.85742499999999999</v>
      </c>
      <c r="Q26">
        <f>IF(Backend!R53="", "", Backend!R53)</f>
        <v>0.54724569999999995</v>
      </c>
      <c r="R26">
        <f>IF(Backend!S53="", "", Backend!S53)</f>
        <v>0.47322120000000001</v>
      </c>
      <c r="S26">
        <f>IF(Backend!T53="", "", Backend!T53)</f>
        <v>0.62766250000000001</v>
      </c>
      <c r="T26">
        <f>IF(Backend!U53="", "", Backend!U53)</f>
        <v>0.86650132999999996</v>
      </c>
      <c r="U26">
        <f>IF(Backend!V53="", "", Backend!V53)</f>
        <v>-0.6311677</v>
      </c>
      <c r="V26">
        <f>IF(Backend!W53="", "", Backend!W53)</f>
        <v>0.53338646999999995</v>
      </c>
      <c r="W26">
        <f>IF(Backend!X53="", "", Backend!X53)</f>
        <v>0.2420572</v>
      </c>
      <c r="X26">
        <f>IF(Backend!Y53="", "", Backend!Y53)</f>
        <v>1</v>
      </c>
      <c r="Y26">
        <f>IF(Backend!Z53="", "", Backend!Z53)</f>
        <v>0.76154124999999995</v>
      </c>
      <c r="Z26">
        <f>IF(Backend!AA53="", "", Backend!AA53)</f>
        <v>-0.61661290000000002</v>
      </c>
      <c r="AA26">
        <f>IF(Backend!AB53="", "", Backend!AB53)</f>
        <v>0.51209899999999997</v>
      </c>
      <c r="AB26">
        <f>IF(Backend!AC53="", "", Backend!AC53)</f>
        <v>-0.46181460000000002</v>
      </c>
      <c r="AC26">
        <f>IF(Backend!AD53="", "", Backend!AD53)</f>
        <v>0.60229969999999999</v>
      </c>
      <c r="AD26">
        <f>IF(Backend!AE53="", "", Backend!AE53)</f>
        <v>0.66647005000000004</v>
      </c>
      <c r="AE26">
        <f>IF(Backend!AF53="", "", Backend!AF53)</f>
        <v>-0.13596040000000001</v>
      </c>
      <c r="AF26">
        <f>IF(Backend!AG53="", "", Backend!AG53)</f>
        <v>-1.2792519E-2</v>
      </c>
      <c r="AG26">
        <f>IF(Backend!AH53="", "", Backend!AH53)</f>
        <v>0.47441443999999999</v>
      </c>
    </row>
    <row r="27" spans="1:33" x14ac:dyDescent="0.25">
      <c r="A27" s="4" t="str">
        <f>IF(Backend!A54="", "", Backend!A54)</f>
        <v>AutoZone, Inc.</v>
      </c>
      <c r="B27">
        <f>IF(Backend!C54="", "", Backend!C54)</f>
        <v>0.65140359999999997</v>
      </c>
      <c r="C27">
        <f>IF(Backend!D54="", "", Backend!D54)</f>
        <v>0.52049210000000001</v>
      </c>
      <c r="D27">
        <f>IF(Backend!E54="", "", Backend!E54)</f>
        <v>-0.58651613999999996</v>
      </c>
      <c r="E27">
        <f>IF(Backend!F54="", "", Backend!F54)</f>
        <v>0.60568255000000004</v>
      </c>
      <c r="F27">
        <f>IF(Backend!G54="", "", Backend!G54)</f>
        <v>0.73957497000000005</v>
      </c>
      <c r="G27">
        <f>IF(Backend!H54="", "", Backend!H54)</f>
        <v>0.59643506999999996</v>
      </c>
      <c r="H27">
        <f>IF(Backend!I54="", "", Backend!I54)</f>
        <v>0.52297499999999997</v>
      </c>
      <c r="I27">
        <f>IF(Backend!J54="", "", Backend!J54)</f>
        <v>0.54011540000000002</v>
      </c>
      <c r="J27">
        <f>IF(Backend!K54="", "", Backend!K54)</f>
        <v>0.85118543999999996</v>
      </c>
      <c r="K27">
        <f>IF(Backend!L54="", "", Backend!L54)</f>
        <v>0.57547592999999997</v>
      </c>
      <c r="L27">
        <f>IF(Backend!M54="", "", Backend!M54)</f>
        <v>0.77254533999999997</v>
      </c>
      <c r="M27">
        <f>IF(Backend!N54="", "", Backend!N54)</f>
        <v>0.49698513999999999</v>
      </c>
      <c r="N27">
        <f>IF(Backend!O54="", "", Backend!O54)</f>
        <v>0.86373509999999998</v>
      </c>
      <c r="O27">
        <f>IF(Backend!P54="", "", Backend!P54)</f>
        <v>0.64721399999999996</v>
      </c>
      <c r="P27">
        <f>IF(Backend!Q54="", "", Backend!Q54)</f>
        <v>0.79341196999999997</v>
      </c>
      <c r="Q27">
        <f>IF(Backend!R54="", "", Backend!R54)</f>
        <v>0.58945477000000002</v>
      </c>
      <c r="R27">
        <f>IF(Backend!S54="", "", Backend!S54)</f>
        <v>0.33920835999999999</v>
      </c>
      <c r="S27">
        <f>IF(Backend!T54="", "", Backend!T54)</f>
        <v>0.66737570000000002</v>
      </c>
      <c r="T27">
        <f>IF(Backend!U54="", "", Backend!U54)</f>
        <v>0.50621176000000001</v>
      </c>
      <c r="U27">
        <f>IF(Backend!V54="", "", Backend!V54)</f>
        <v>-0.77104740000000005</v>
      </c>
      <c r="V27">
        <f>IF(Backend!W54="", "", Backend!W54)</f>
        <v>0.77247639999999995</v>
      </c>
      <c r="W27">
        <f>IF(Backend!X54="", "", Backend!X54)</f>
        <v>0.18176089000000001</v>
      </c>
      <c r="X27">
        <f>IF(Backend!Y54="", "", Backend!Y54)</f>
        <v>0.76154124999999995</v>
      </c>
      <c r="Y27">
        <f>IF(Backend!Z54="", "", Backend!Z54)</f>
        <v>1</v>
      </c>
      <c r="Z27">
        <f>IF(Backend!AA54="", "", Backend!AA54)</f>
        <v>-0.83560780000000001</v>
      </c>
      <c r="AA27">
        <f>IF(Backend!AB54="", "", Backend!AB54)</f>
        <v>4.9050934999999997E-2</v>
      </c>
      <c r="AB27">
        <f>IF(Backend!AC54="", "", Backend!AC54)</f>
        <v>-0.61921029999999999</v>
      </c>
      <c r="AC27">
        <f>IF(Backend!AD54="", "", Backend!AD54)</f>
        <v>0.19769919</v>
      </c>
      <c r="AD27">
        <f>IF(Backend!AE54="", "", Backend!AE54)</f>
        <v>0.51001936000000003</v>
      </c>
      <c r="AE27">
        <f>IF(Backend!AF54="", "", Backend!AF54)</f>
        <v>0.24250540000000001</v>
      </c>
      <c r="AF27">
        <f>IF(Backend!AG54="", "", Backend!AG54)</f>
        <v>-0.29564499999999999</v>
      </c>
      <c r="AG27">
        <f>IF(Backend!AH54="", "", Backend!AH54)</f>
        <v>0.26153237000000001</v>
      </c>
    </row>
    <row r="28" spans="1:33" x14ac:dyDescent="0.25">
      <c r="A28" s="4" t="str">
        <f>IF(Backend!A55="", "", Backend!A55)</f>
        <v>PT Bank Central Asia Tbk</v>
      </c>
      <c r="B28">
        <f>IF(Backend!C55="", "", Backend!C55)</f>
        <v>-0.43717499999999998</v>
      </c>
      <c r="C28">
        <f>IF(Backend!D55="", "", Backend!D55)</f>
        <v>-0.41870984</v>
      </c>
      <c r="D28">
        <f>IF(Backend!E55="", "", Backend!E55)</f>
        <v>0.57082359999999999</v>
      </c>
      <c r="E28">
        <f>IF(Backend!F55="", "", Backend!F55)</f>
        <v>-0.426597</v>
      </c>
      <c r="F28">
        <f>IF(Backend!G55="", "", Backend!G55)</f>
        <v>-0.40884359999999997</v>
      </c>
      <c r="G28">
        <f>IF(Backend!H55="", "", Backend!H55)</f>
        <v>-0.48358200000000001</v>
      </c>
      <c r="H28">
        <f>IF(Backend!I55="", "", Backend!I55)</f>
        <v>-0.48684695</v>
      </c>
      <c r="I28">
        <f>IF(Backend!J55="", "", Backend!J55)</f>
        <v>-0.47315285000000001</v>
      </c>
      <c r="J28">
        <f>IF(Backend!K55="", "", Backend!K55)</f>
        <v>-0.72709270000000004</v>
      </c>
      <c r="K28">
        <f>IF(Backend!L55="", "", Backend!L55)</f>
        <v>-0.46657103</v>
      </c>
      <c r="L28">
        <f>IF(Backend!M55="", "", Backend!M55)</f>
        <v>-0.55374615999999999</v>
      </c>
      <c r="M28">
        <f>IF(Backend!N55="", "", Backend!N55)</f>
        <v>-0.3585083</v>
      </c>
      <c r="N28">
        <f>IF(Backend!O55="", "", Backend!O55)</f>
        <v>-0.75561299999999998</v>
      </c>
      <c r="O28">
        <f>IF(Backend!P55="", "", Backend!P55)</f>
        <v>-0.69116429999999995</v>
      </c>
      <c r="P28">
        <f>IF(Backend!Q55="", "", Backend!Q55)</f>
        <v>-0.63356303999999997</v>
      </c>
      <c r="Q28">
        <f>IF(Backend!R55="", "", Backend!R55)</f>
        <v>-0.45545970000000002</v>
      </c>
      <c r="R28">
        <f>IF(Backend!S55="", "", Backend!S55)</f>
        <v>-0.18521334</v>
      </c>
      <c r="S28">
        <f>IF(Backend!T55="", "", Backend!T55)</f>
        <v>-0.34931131999999998</v>
      </c>
      <c r="T28">
        <f>IF(Backend!U55="", "", Backend!U55)</f>
        <v>-0.40708129999999998</v>
      </c>
      <c r="U28">
        <f>IF(Backend!V55="", "", Backend!V55)</f>
        <v>0.86863489999999999</v>
      </c>
      <c r="V28">
        <f>IF(Backend!W55="", "", Backend!W55)</f>
        <v>-0.71323789999999998</v>
      </c>
      <c r="W28">
        <f>IF(Backend!X55="", "", Backend!X55)</f>
        <v>-0.18155709</v>
      </c>
      <c r="X28">
        <f>IF(Backend!Y55="", "", Backend!Y55)</f>
        <v>-0.61661290000000002</v>
      </c>
      <c r="Y28">
        <f>IF(Backend!Z55="", "", Backend!Z55)</f>
        <v>-0.83560780000000001</v>
      </c>
      <c r="Z28">
        <f>IF(Backend!AA55="", "", Backend!AA55)</f>
        <v>1</v>
      </c>
      <c r="AA28">
        <f>IF(Backend!AB55="", "", Backend!AB55)</f>
        <v>-4.766016E-2</v>
      </c>
      <c r="AB28">
        <f>IF(Backend!AC55="", "", Backend!AC55)</f>
        <v>0.70292679999999996</v>
      </c>
      <c r="AC28">
        <f>IF(Backend!AD55="", "", Backend!AD55)</f>
        <v>-3.3569519999999999E-2</v>
      </c>
      <c r="AD28">
        <f>IF(Backend!AE55="", "", Backend!AE55)</f>
        <v>-0.21957599</v>
      </c>
      <c r="AE28">
        <f>IF(Backend!AF55="", "", Backend!AF55)</f>
        <v>-0.23737061000000001</v>
      </c>
      <c r="AF28">
        <f>IF(Backend!AG55="", "", Backend!AG55)</f>
        <v>0.47807234999999998</v>
      </c>
      <c r="AG28">
        <f>IF(Backend!AH55="", "", Backend!AH55)</f>
        <v>9.4131276E-2</v>
      </c>
    </row>
    <row r="29" spans="1:33" x14ac:dyDescent="0.25">
      <c r="A29" s="4" t="str">
        <f>IF(Backend!A56="", "", Backend!A56)</f>
        <v>Rentokil Initial plc</v>
      </c>
      <c r="B29">
        <f>IF(Backend!C56="", "", Backend!C56)</f>
        <v>0.46980768000000001</v>
      </c>
      <c r="C29">
        <f>IF(Backend!D56="", "", Backend!D56)</f>
        <v>0.65049409999999996</v>
      </c>
      <c r="D29">
        <f>IF(Backend!E56="", "", Backend!E56)</f>
        <v>-0.45805982000000001</v>
      </c>
      <c r="E29">
        <f>IF(Backend!F56="", "", Backend!F56)</f>
        <v>-5.6886251999999998E-2</v>
      </c>
      <c r="F29">
        <f>IF(Backend!G56="", "", Backend!G56)</f>
        <v>0.27256742</v>
      </c>
      <c r="G29">
        <f>IF(Backend!H56="", "", Backend!H56)</f>
        <v>-6.9112309999999996E-2</v>
      </c>
      <c r="H29">
        <f>IF(Backend!I56="", "", Backend!I56)</f>
        <v>0.56679029999999997</v>
      </c>
      <c r="I29">
        <f>IF(Backend!J56="", "", Backend!J56)</f>
        <v>-0.48590955000000002</v>
      </c>
      <c r="J29">
        <f>IF(Backend!K56="", "", Backend!K56)</f>
        <v>0.36462070000000002</v>
      </c>
      <c r="K29">
        <f>IF(Backend!L56="", "", Backend!L56)</f>
        <v>0.63641614000000002</v>
      </c>
      <c r="L29">
        <f>IF(Backend!M56="", "", Backend!M56)</f>
        <v>0.35174640000000001</v>
      </c>
      <c r="M29">
        <f>IF(Backend!N56="", "", Backend!N56)</f>
        <v>0.11803714</v>
      </c>
      <c r="N29">
        <f>IF(Backend!O56="", "", Backend!O56)</f>
        <v>0.24754403999999999</v>
      </c>
      <c r="O29">
        <f>IF(Backend!P56="", "", Backend!P56)</f>
        <v>0.11788984399999999</v>
      </c>
      <c r="P29">
        <f>IF(Backend!Q56="", "", Backend!Q56)</f>
        <v>0.27473997999999999</v>
      </c>
      <c r="Q29">
        <f>IF(Backend!R56="", "", Backend!R56)</f>
        <v>4.4938736E-2</v>
      </c>
      <c r="R29">
        <f>IF(Backend!S56="", "", Backend!S56)</f>
        <v>0.10008868999999999</v>
      </c>
      <c r="S29">
        <f>IF(Backend!T56="", "", Backend!T56)</f>
        <v>0.23250816999999999</v>
      </c>
      <c r="T29">
        <f>IF(Backend!U56="", "", Backend!U56)</f>
        <v>0.61457839999999997</v>
      </c>
      <c r="U29">
        <f>IF(Backend!V56="", "", Backend!V56)</f>
        <v>-5.4289485999999998E-2</v>
      </c>
      <c r="V29">
        <f>IF(Backend!W56="", "", Backend!W56)</f>
        <v>-8.1222059999999999E-2</v>
      </c>
      <c r="W29">
        <f>IF(Backend!X56="", "", Backend!X56)</f>
        <v>0.4175469</v>
      </c>
      <c r="X29">
        <f>IF(Backend!Y56="", "", Backend!Y56)</f>
        <v>0.51209899999999997</v>
      </c>
      <c r="Y29">
        <f>IF(Backend!Z56="", "", Backend!Z56)</f>
        <v>4.9050934999999997E-2</v>
      </c>
      <c r="Z29">
        <f>IF(Backend!AA56="", "", Backend!AA56)</f>
        <v>-4.766016E-2</v>
      </c>
      <c r="AA29">
        <f>IF(Backend!AB56="", "", Backend!AB56)</f>
        <v>1</v>
      </c>
      <c r="AB29">
        <f>IF(Backend!AC56="", "", Backend!AC56)</f>
        <v>0.15764932000000001</v>
      </c>
      <c r="AC29">
        <f>IF(Backend!AD56="", "", Backend!AD56)</f>
        <v>0.64668340000000002</v>
      </c>
      <c r="AD29">
        <f>IF(Backend!AE56="", "", Backend!AE56)</f>
        <v>0.31392375</v>
      </c>
      <c r="AE29">
        <f>IF(Backend!AF56="", "", Backend!AF56)</f>
        <v>-0.45630093999999999</v>
      </c>
      <c r="AF29">
        <f>IF(Backend!AG56="", "", Backend!AG56)</f>
        <v>0.26980668000000002</v>
      </c>
      <c r="AG29">
        <f>IF(Backend!AH56="", "", Backend!AH56)</f>
        <v>0.48969674000000002</v>
      </c>
    </row>
    <row r="30" spans="1:33" x14ac:dyDescent="0.25">
      <c r="A30" s="4" t="str">
        <f>IF(Backend!A57="", "", Backend!A57)</f>
        <v>Workday, Inc. Class A</v>
      </c>
      <c r="B30">
        <f>IF(Backend!C57="", "", Backend!C57)</f>
        <v>-0.37997006999999999</v>
      </c>
      <c r="C30">
        <f>IF(Backend!D57="", "", Backend!D57)</f>
        <v>-0.23035027</v>
      </c>
      <c r="D30">
        <f>IF(Backend!E57="", "", Backend!E57)</f>
        <v>0.41446158</v>
      </c>
      <c r="E30">
        <f>IF(Backend!F57="", "", Backend!F57)</f>
        <v>-0.16816874000000001</v>
      </c>
      <c r="F30">
        <f>IF(Backend!G57="", "", Backend!G57)</f>
        <v>-0.17890595000000001</v>
      </c>
      <c r="G30">
        <f>IF(Backend!H57="", "", Backend!H57)</f>
        <v>-0.4473838</v>
      </c>
      <c r="H30">
        <f>IF(Backend!I57="", "", Backend!I57)</f>
        <v>-0.19749087000000001</v>
      </c>
      <c r="I30">
        <f>IF(Backend!J57="", "", Backend!J57)</f>
        <v>-0.45915250000000002</v>
      </c>
      <c r="J30">
        <f>IF(Backend!K57="", "", Backend!K57)</f>
        <v>-0.53663810000000001</v>
      </c>
      <c r="K30">
        <f>IF(Backend!L57="", "", Backend!L57)</f>
        <v>-0.30922709999999998</v>
      </c>
      <c r="L30">
        <f>IF(Backend!M57="", "", Backend!M57)</f>
        <v>-0.42901167000000001</v>
      </c>
      <c r="M30">
        <f>IF(Backend!N57="", "", Backend!N57)</f>
        <v>-0.26566119999999999</v>
      </c>
      <c r="N30">
        <f>IF(Backend!O57="", "", Backend!O57)</f>
        <v>-0.59105973999999994</v>
      </c>
      <c r="O30">
        <f>IF(Backend!P57="", "", Backend!P57)</f>
        <v>-0.37374666000000001</v>
      </c>
      <c r="P30">
        <f>IF(Backend!Q57="", "", Backend!Q57)</f>
        <v>-0.54933566</v>
      </c>
      <c r="Q30">
        <f>IF(Backend!R57="", "", Backend!R57)</f>
        <v>-0.48942497000000001</v>
      </c>
      <c r="R30">
        <f>IF(Backend!S57="", "", Backend!S57)</f>
        <v>-0.24336699000000001</v>
      </c>
      <c r="S30">
        <f>IF(Backend!T57="", "", Backend!T57)</f>
        <v>-0.35248469999999998</v>
      </c>
      <c r="T30">
        <f>IF(Backend!U57="", "", Backend!U57)</f>
        <v>-0.35045199999999999</v>
      </c>
      <c r="U30">
        <f>IF(Backend!V57="", "", Backend!V57)</f>
        <v>0.70890770000000003</v>
      </c>
      <c r="V30">
        <f>IF(Backend!W57="", "", Backend!W57)</f>
        <v>-0.52141490000000001</v>
      </c>
      <c r="W30">
        <f>IF(Backend!X57="", "", Backend!X57)</f>
        <v>0.20399998</v>
      </c>
      <c r="X30">
        <f>IF(Backend!Y57="", "", Backend!Y57)</f>
        <v>-0.46181460000000002</v>
      </c>
      <c r="Y30">
        <f>IF(Backend!Z57="", "", Backend!Z57)</f>
        <v>-0.61921029999999999</v>
      </c>
      <c r="Z30">
        <f>IF(Backend!AA57="", "", Backend!AA57)</f>
        <v>0.70292679999999996</v>
      </c>
      <c r="AA30">
        <f>IF(Backend!AB57="", "", Backend!AB57)</f>
        <v>0.15764932000000001</v>
      </c>
      <c r="AB30">
        <f>IF(Backend!AC57="", "", Backend!AC57)</f>
        <v>1</v>
      </c>
      <c r="AC30">
        <f>IF(Backend!AD57="", "", Backend!AD57)</f>
        <v>0.19612463999999999</v>
      </c>
      <c r="AD30">
        <f>IF(Backend!AE57="", "", Backend!AE57)</f>
        <v>-0.20924574000000001</v>
      </c>
      <c r="AE30">
        <f>IF(Backend!AF57="", "", Backend!AF57)</f>
        <v>-0.22479004999999999</v>
      </c>
      <c r="AF30">
        <f>IF(Backend!AG57="", "", Backend!AG57)</f>
        <v>0.42135470000000003</v>
      </c>
      <c r="AG30">
        <f>IF(Backend!AH57="", "", Backend!AH57)</f>
        <v>8.1662520000000002E-2</v>
      </c>
    </row>
    <row r="31" spans="1:33" x14ac:dyDescent="0.25">
      <c r="A31" s="4" t="str">
        <f>IF(Backend!A58="", "", Backend!A58)</f>
        <v>Autodesk, Inc.</v>
      </c>
      <c r="B31">
        <f>IF(Backend!C58="", "", Backend!C58)</f>
        <v>0.65931720000000005</v>
      </c>
      <c r="C31">
        <f>IF(Backend!D58="", "", Backend!D58)</f>
        <v>0.63307270000000004</v>
      </c>
      <c r="D31">
        <f>IF(Backend!E58="", "", Backend!E58)</f>
        <v>-0.46417062999999997</v>
      </c>
      <c r="E31">
        <f>IF(Backend!F58="", "", Backend!F58)</f>
        <v>7.1038019999999993E-2</v>
      </c>
      <c r="F31">
        <f>IF(Backend!G58="", "", Backend!G58)</f>
        <v>0.43372157</v>
      </c>
      <c r="G31">
        <f>IF(Backend!H58="", "", Backend!H58)</f>
        <v>2.1110858999999999E-2</v>
      </c>
      <c r="H31">
        <f>IF(Backend!I58="", "", Backend!I58)</f>
        <v>0.51822970000000002</v>
      </c>
      <c r="I31">
        <f>IF(Backend!J58="", "", Backend!J58)</f>
        <v>-0.31023036999999998</v>
      </c>
      <c r="J31">
        <f>IF(Backend!K58="", "", Backend!K58)</f>
        <v>0.46679609999999999</v>
      </c>
      <c r="K31">
        <f>IF(Backend!L58="", "", Backend!L58)</f>
        <v>0.67604892999999999</v>
      </c>
      <c r="L31">
        <f>IF(Backend!M58="", "", Backend!M58)</f>
        <v>0.54656950000000004</v>
      </c>
      <c r="M31">
        <f>IF(Backend!N58="", "", Backend!N58)</f>
        <v>0.38341677000000002</v>
      </c>
      <c r="N31">
        <f>IF(Backend!O58="", "", Backend!O58)</f>
        <v>0.346362</v>
      </c>
      <c r="O31">
        <f>IF(Backend!P58="", "", Backend!P58)</f>
        <v>-1.1348601E-2</v>
      </c>
      <c r="P31">
        <f>IF(Backend!Q58="", "", Backend!Q58)</f>
        <v>0.40610948000000002</v>
      </c>
      <c r="Q31">
        <f>IF(Backend!R58="", "", Backend!R58)</f>
        <v>0.21431143999999999</v>
      </c>
      <c r="R31">
        <f>IF(Backend!S58="", "", Backend!S58)</f>
        <v>0.44841852999999998</v>
      </c>
      <c r="S31">
        <f>IF(Backend!T58="", "", Backend!T58)</f>
        <v>0.3719343</v>
      </c>
      <c r="T31">
        <f>IF(Backend!U58="", "", Backend!U58)</f>
        <v>0.69178580000000001</v>
      </c>
      <c r="U31">
        <f>IF(Backend!V58="", "", Backend!V58)</f>
        <v>-6.0830479999999999E-2</v>
      </c>
      <c r="V31">
        <f>IF(Backend!W58="", "", Backend!W58)</f>
        <v>0.15645722000000001</v>
      </c>
      <c r="W31">
        <f>IF(Backend!X58="", "", Backend!X58)</f>
        <v>0.26625090000000001</v>
      </c>
      <c r="X31">
        <f>IF(Backend!Y58="", "", Backend!Y58)</f>
        <v>0.60229969999999999</v>
      </c>
      <c r="Y31">
        <f>IF(Backend!Z58="", "", Backend!Z58)</f>
        <v>0.19769919</v>
      </c>
      <c r="Z31">
        <f>IF(Backend!AA58="", "", Backend!AA58)</f>
        <v>-3.3569519999999999E-2</v>
      </c>
      <c r="AA31">
        <f>IF(Backend!AB58="", "", Backend!AB58)</f>
        <v>0.64668340000000002</v>
      </c>
      <c r="AB31">
        <f>IF(Backend!AC58="", "", Backend!AC58)</f>
        <v>0.19612463999999999</v>
      </c>
      <c r="AC31">
        <f>IF(Backend!AD58="", "", Backend!AD58)</f>
        <v>1</v>
      </c>
      <c r="AD31">
        <f>IF(Backend!AE58="", "", Backend!AE58)</f>
        <v>0.62703010000000003</v>
      </c>
      <c r="AE31">
        <f>IF(Backend!AF58="", "", Backend!AF58)</f>
        <v>-0.28101522000000001</v>
      </c>
      <c r="AF31">
        <f>IF(Backend!AG58="", "", Backend!AG58)</f>
        <v>0.29924025999999998</v>
      </c>
      <c r="AG31">
        <f>IF(Backend!AH58="", "", Backend!AH58)</f>
        <v>0.61643594999999995</v>
      </c>
    </row>
    <row r="32" spans="1:33" x14ac:dyDescent="0.25">
      <c r="A32" s="4" t="str">
        <f>IF(Backend!A59="", "", Backend!A59)</f>
        <v>Booking Holdings Inc.</v>
      </c>
      <c r="B32">
        <f>IF(Backend!C59="", "", Backend!C59)</f>
        <v>0.82277054000000005</v>
      </c>
      <c r="C32">
        <f>IF(Backend!D59="", "", Backend!D59)</f>
        <v>0.34510215999999999</v>
      </c>
      <c r="D32">
        <f>IF(Backend!E59="", "", Backend!E59)</f>
        <v>-0.30937829999999999</v>
      </c>
      <c r="E32">
        <f>IF(Backend!F59="", "", Backend!F59)</f>
        <v>0.45648559999999999</v>
      </c>
      <c r="F32">
        <f>IF(Backend!G59="", "", Backend!G59)</f>
        <v>0.68904889999999996</v>
      </c>
      <c r="G32">
        <f>IF(Backend!H59="", "", Backend!H59)</f>
        <v>0.40802709999999998</v>
      </c>
      <c r="H32">
        <f>IF(Backend!I59="", "", Backend!I59)</f>
        <v>0.34850474999999997</v>
      </c>
      <c r="I32">
        <f>IF(Backend!J59="", "", Backend!J59)</f>
        <v>0.31491365999999998</v>
      </c>
      <c r="J32">
        <f>IF(Backend!K59="", "", Backend!K59)</f>
        <v>0.66249780000000003</v>
      </c>
      <c r="K32">
        <f>IF(Backend!L59="", "", Backend!L59)</f>
        <v>0.56915194000000002</v>
      </c>
      <c r="L32">
        <f>IF(Backend!M59="", "", Backend!M59)</f>
        <v>0.81464130000000001</v>
      </c>
      <c r="M32">
        <f>IF(Backend!N59="", "", Backend!N59)</f>
        <v>0.73634343999999996</v>
      </c>
      <c r="N32">
        <f>IF(Backend!O59="", "", Backend!O59)</f>
        <v>0.65287499999999998</v>
      </c>
      <c r="O32">
        <f>IF(Backend!P59="", "", Backend!P59)</f>
        <v>0.13436571</v>
      </c>
      <c r="P32">
        <f>IF(Backend!Q59="", "", Backend!Q59)</f>
        <v>0.69259579999999998</v>
      </c>
      <c r="Q32">
        <f>IF(Backend!R59="", "", Backend!R59)</f>
        <v>0.73203313000000003</v>
      </c>
      <c r="R32">
        <f>IF(Backend!S59="", "", Backend!S59)</f>
        <v>0.81520367000000005</v>
      </c>
      <c r="S32">
        <f>IF(Backend!T59="", "", Backend!T59)</f>
        <v>0.7510753</v>
      </c>
      <c r="T32">
        <f>IF(Backend!U59="", "", Backend!U59)</f>
        <v>0.75076069999999995</v>
      </c>
      <c r="U32">
        <f>IF(Backend!V59="", "", Backend!V59)</f>
        <v>-0.29268342000000003</v>
      </c>
      <c r="V32">
        <f>IF(Backend!W59="", "", Backend!W59)</f>
        <v>0.56312419999999996</v>
      </c>
      <c r="W32">
        <f>IF(Backend!X59="", "", Backend!X59)</f>
        <v>-6.1435654999999999E-2</v>
      </c>
      <c r="X32">
        <f>IF(Backend!Y59="", "", Backend!Y59)</f>
        <v>0.66647005000000004</v>
      </c>
      <c r="Y32">
        <f>IF(Backend!Z59="", "", Backend!Z59)</f>
        <v>0.51001936000000003</v>
      </c>
      <c r="Z32">
        <f>IF(Backend!AA59="", "", Backend!AA59)</f>
        <v>-0.21957599</v>
      </c>
      <c r="AA32">
        <f>IF(Backend!AB59="", "", Backend!AB59)</f>
        <v>0.31392375</v>
      </c>
      <c r="AB32">
        <f>IF(Backend!AC59="", "", Backend!AC59)</f>
        <v>-0.20924574000000001</v>
      </c>
      <c r="AC32">
        <f>IF(Backend!AD59="", "", Backend!AD59)</f>
        <v>0.62703010000000003</v>
      </c>
      <c r="AD32">
        <f>IF(Backend!AE59="", "", Backend!AE59)</f>
        <v>1</v>
      </c>
      <c r="AE32">
        <f>IF(Backend!AF59="", "", Backend!AF59)</f>
        <v>0.26012069999999998</v>
      </c>
      <c r="AF32">
        <f>IF(Backend!AG59="", "", Backend!AG59)</f>
        <v>0.15491861000000001</v>
      </c>
      <c r="AG32">
        <f>IF(Backend!AH59="", "", Backend!AH59)</f>
        <v>0.69211714999999996</v>
      </c>
    </row>
    <row r="33" spans="1:33" x14ac:dyDescent="0.25">
      <c r="A33" s="4" t="str">
        <f>IF(Backend!A60="", "", Backend!A60)</f>
        <v>CTS Eventim AG &amp; Co. KGaA</v>
      </c>
      <c r="B33">
        <f>IF(Backend!C60="", "", Backend!C60)</f>
        <v>3.8621889999999999E-2</v>
      </c>
      <c r="C33">
        <f>IF(Backend!D60="", "", Backend!D60)</f>
        <v>-0.46180964000000002</v>
      </c>
      <c r="D33">
        <f>IF(Backend!E60="", "", Backend!E60)</f>
        <v>0.44181794000000002</v>
      </c>
      <c r="E33">
        <f>IF(Backend!F60="", "", Backend!F60)</f>
        <v>0.64860236999999998</v>
      </c>
      <c r="F33">
        <f>IF(Backend!G60="", "", Backend!G60)</f>
        <v>0.3323738</v>
      </c>
      <c r="G33">
        <f>IF(Backend!H60="", "", Backend!H60)</f>
        <v>0.42073336</v>
      </c>
      <c r="H33">
        <f>IF(Backend!I60="", "", Backend!I60)</f>
        <v>-0.20623858</v>
      </c>
      <c r="I33">
        <f>IF(Backend!J60="", "", Backend!J60)</f>
        <v>0.85228970000000004</v>
      </c>
      <c r="J33">
        <f>IF(Backend!K60="", "", Backend!K60)</f>
        <v>0.17796366</v>
      </c>
      <c r="K33">
        <f>IF(Backend!L60="", "", Backend!L60)</f>
        <v>-0.23145361</v>
      </c>
      <c r="L33">
        <f>IF(Backend!M60="", "", Backend!M60)</f>
        <v>0.22171080000000001</v>
      </c>
      <c r="M33">
        <f>IF(Backend!N60="", "", Backend!N60)</f>
        <v>0.57672659999999998</v>
      </c>
      <c r="N33">
        <f>IF(Backend!O60="", "", Backend!O60)</f>
        <v>0.30352790000000002</v>
      </c>
      <c r="O33">
        <f>IF(Backend!P60="", "", Backend!P60)</f>
        <v>0.27706009999999998</v>
      </c>
      <c r="P33">
        <f>IF(Backend!Q60="", "", Backend!Q60)</f>
        <v>0.14610770000000001</v>
      </c>
      <c r="Q33">
        <f>IF(Backend!R60="", "", Backend!R60)</f>
        <v>0.50401235</v>
      </c>
      <c r="R33">
        <f>IF(Backend!S60="", "", Backend!S60)</f>
        <v>0.41168347</v>
      </c>
      <c r="S33">
        <f>IF(Backend!T60="", "", Backend!T60)</f>
        <v>0.23480126000000001</v>
      </c>
      <c r="T33">
        <f>IF(Backend!U60="", "", Backend!U60)</f>
        <v>-0.13654114000000001</v>
      </c>
      <c r="U33">
        <f>IF(Backend!V60="", "", Backend!V60)</f>
        <v>-0.17568173000000001</v>
      </c>
      <c r="V33">
        <f>IF(Backend!W60="", "", Backend!W60)</f>
        <v>0.63204824999999998</v>
      </c>
      <c r="W33">
        <f>IF(Backend!X60="", "", Backend!X60)</f>
        <v>-0.17833117000000001</v>
      </c>
      <c r="X33">
        <f>IF(Backend!Y60="", "", Backend!Y60)</f>
        <v>-0.13596040000000001</v>
      </c>
      <c r="Y33">
        <f>IF(Backend!Z60="", "", Backend!Z60)</f>
        <v>0.24250540000000001</v>
      </c>
      <c r="Z33">
        <f>IF(Backend!AA60="", "", Backend!AA60)</f>
        <v>-0.23737061000000001</v>
      </c>
      <c r="AA33">
        <f>IF(Backend!AB60="", "", Backend!AB60)</f>
        <v>-0.45630093999999999</v>
      </c>
      <c r="AB33">
        <f>IF(Backend!AC60="", "", Backend!AC60)</f>
        <v>-0.22479004999999999</v>
      </c>
      <c r="AC33">
        <f>IF(Backend!AD60="", "", Backend!AD60)</f>
        <v>-0.28101522000000001</v>
      </c>
      <c r="AD33">
        <f>IF(Backend!AE60="", "", Backend!AE60)</f>
        <v>0.26012069999999998</v>
      </c>
      <c r="AE33">
        <f>IF(Backend!AF60="", "", Backend!AF60)</f>
        <v>1</v>
      </c>
      <c r="AF33">
        <f>IF(Backend!AG60="", "", Backend!AG60)</f>
        <v>-0.2376761</v>
      </c>
      <c r="AG33">
        <f>IF(Backend!AH60="", "", Backend!AH60)</f>
        <v>2.3357874000000001E-2</v>
      </c>
    </row>
    <row r="34" spans="1:33" x14ac:dyDescent="0.25">
      <c r="A34" s="4" t="str">
        <f>IF(Backend!A61="", "", Backend!A61)</f>
        <v>Sherwin-Williams Company</v>
      </c>
      <c r="B34">
        <f>IF(Backend!C61="", "", Backend!C61)</f>
        <v>-7.0750653999999996E-2</v>
      </c>
      <c r="C34">
        <f>IF(Backend!D61="", "", Backend!D61)</f>
        <v>-0.1174782</v>
      </c>
      <c r="D34">
        <f>IF(Backend!E61="", "", Backend!E61)</f>
        <v>9.1341489999999997E-2</v>
      </c>
      <c r="E34">
        <f>IF(Backend!F61="", "", Backend!F61)</f>
        <v>-0.24333113000000001</v>
      </c>
      <c r="F34">
        <f>IF(Backend!G61="", "", Backend!G61)</f>
        <v>4.9620707E-2</v>
      </c>
      <c r="G34">
        <f>IF(Backend!H61="", "", Backend!H61)</f>
        <v>-2.6027761E-2</v>
      </c>
      <c r="H34">
        <f>IF(Backend!I61="", "", Backend!I61)</f>
        <v>-0.27945054000000003</v>
      </c>
      <c r="I34">
        <f>IF(Backend!J61="", "", Backend!J61)</f>
        <v>-0.34818317999999998</v>
      </c>
      <c r="J34">
        <f>IF(Backend!K61="", "", Backend!K61)</f>
        <v>-0.24973952999999999</v>
      </c>
      <c r="K34">
        <f>IF(Backend!L61="", "", Backend!L61)</f>
        <v>-0.16296916</v>
      </c>
      <c r="L34">
        <f>IF(Backend!M61="", "", Backend!M61)</f>
        <v>-6.334584E-2</v>
      </c>
      <c r="M34">
        <f>IF(Backend!N61="", "", Backend!N61)</f>
        <v>0.14438509999999999</v>
      </c>
      <c r="N34">
        <f>IF(Backend!O61="", "", Backend!O61)</f>
        <v>-0.29551873000000001</v>
      </c>
      <c r="O34">
        <f>IF(Backend!P61="", "", Backend!P61)</f>
        <v>-0.33797487999999998</v>
      </c>
      <c r="P34">
        <f>IF(Backend!Q61="", "", Backend!Q61)</f>
        <v>-0.12612398</v>
      </c>
      <c r="Q34">
        <f>IF(Backend!R61="", "", Backend!R61)</f>
        <v>-0.19680529999999999</v>
      </c>
      <c r="R34">
        <f>IF(Backend!S61="", "", Backend!S61)</f>
        <v>-1.3929943E-2</v>
      </c>
      <c r="S34">
        <f>IF(Backend!T61="", "", Backend!T61)</f>
        <v>-0.14447314</v>
      </c>
      <c r="T34">
        <f>IF(Backend!U61="", "", Backend!U61)</f>
        <v>0.1422379</v>
      </c>
      <c r="U34">
        <f>IF(Backend!V61="", "", Backend!V61)</f>
        <v>0.64249339999999999</v>
      </c>
      <c r="V34">
        <f>IF(Backend!W61="", "", Backend!W61)</f>
        <v>-0.34943964999999999</v>
      </c>
      <c r="W34">
        <f>IF(Backend!X61="", "", Backend!X61)</f>
        <v>1.7296527999999999E-2</v>
      </c>
      <c r="X34">
        <f>IF(Backend!Y61="", "", Backend!Y61)</f>
        <v>-1.2792519E-2</v>
      </c>
      <c r="Y34">
        <f>IF(Backend!Z61="", "", Backend!Z61)</f>
        <v>-0.29564499999999999</v>
      </c>
      <c r="Z34">
        <f>IF(Backend!AA61="", "", Backend!AA61)</f>
        <v>0.47807234999999998</v>
      </c>
      <c r="AA34">
        <f>IF(Backend!AB61="", "", Backend!AB61)</f>
        <v>0.26980668000000002</v>
      </c>
      <c r="AB34">
        <f>IF(Backend!AC61="", "", Backend!AC61)</f>
        <v>0.42135470000000003</v>
      </c>
      <c r="AC34">
        <f>IF(Backend!AD61="", "", Backend!AD61)</f>
        <v>0.29924025999999998</v>
      </c>
      <c r="AD34">
        <f>IF(Backend!AE61="", "", Backend!AE61)</f>
        <v>0.15491861000000001</v>
      </c>
      <c r="AE34">
        <f>IF(Backend!AF61="", "", Backend!AF61)</f>
        <v>-0.2376761</v>
      </c>
      <c r="AF34">
        <f>IF(Backend!AG61="", "", Backend!AG61)</f>
        <v>1</v>
      </c>
      <c r="AG34">
        <f>IF(Backend!AH61="", "", Backend!AH61)</f>
        <v>0.39161780000000002</v>
      </c>
    </row>
    <row r="35" spans="1:33" x14ac:dyDescent="0.25">
      <c r="A35" s="4" t="str">
        <f>IF(Backend!A62="", "", Backend!A62)</f>
        <v>Moody's Corporation</v>
      </c>
      <c r="B35">
        <f>IF(Backend!C62="", "", Backend!C62)</f>
        <v>0.60859050000000003</v>
      </c>
      <c r="C35">
        <f>IF(Backend!D62="", "", Backend!D62)</f>
        <v>0.37394810000000001</v>
      </c>
      <c r="D35">
        <f>IF(Backend!E62="", "", Backend!E62)</f>
        <v>-0.25641354999999999</v>
      </c>
      <c r="E35">
        <f>IF(Backend!F62="", "", Backend!F62)</f>
        <v>0.36313995999999998</v>
      </c>
      <c r="F35">
        <f>IF(Backend!G62="", "", Backend!G62)</f>
        <v>0.65752286000000004</v>
      </c>
      <c r="G35">
        <f>IF(Backend!H62="", "", Backend!H62)</f>
        <v>-4.675638E-2</v>
      </c>
      <c r="H35">
        <f>IF(Backend!I62="", "", Backend!I62)</f>
        <v>0.22869698999999999</v>
      </c>
      <c r="I35">
        <f>IF(Backend!J62="", "", Backend!J62)</f>
        <v>-6.0925145E-2</v>
      </c>
      <c r="J35">
        <f>IF(Backend!K62="", "", Backend!K62)</f>
        <v>0.44622830000000002</v>
      </c>
      <c r="K35">
        <f>IF(Backend!L62="", "", Backend!L62)</f>
        <v>0.49781477000000002</v>
      </c>
      <c r="L35">
        <f>IF(Backend!M62="", "", Backend!M62)</f>
        <v>0.62880329999999995</v>
      </c>
      <c r="M35">
        <f>IF(Backend!N62="", "", Backend!N62)</f>
        <v>0.57890240000000004</v>
      </c>
      <c r="N35">
        <f>IF(Backend!O62="", "", Backend!O62)</f>
        <v>0.40606787999999999</v>
      </c>
      <c r="O35">
        <f>IF(Backend!P62="", "", Backend!P62)</f>
        <v>8.3989720000000004E-2</v>
      </c>
      <c r="P35">
        <f>IF(Backend!Q62="", "", Backend!Q62)</f>
        <v>0.3968373</v>
      </c>
      <c r="Q35">
        <f>IF(Backend!R62="", "", Backend!R62)</f>
        <v>0.23690847000000001</v>
      </c>
      <c r="R35">
        <f>IF(Backend!S62="", "", Backend!S62)</f>
        <v>0.43798690000000001</v>
      </c>
      <c r="S35">
        <f>IF(Backend!T62="", "", Backend!T62)</f>
        <v>0.54310672999999998</v>
      </c>
      <c r="T35">
        <f>IF(Backend!U62="", "", Backend!U62)</f>
        <v>0.57953100000000002</v>
      </c>
      <c r="U35">
        <f>IF(Backend!V62="", "", Backend!V62)</f>
        <v>7.5921123000000004E-3</v>
      </c>
      <c r="V35">
        <f>IF(Backend!W62="", "", Backend!W62)</f>
        <v>0.14174497</v>
      </c>
      <c r="W35">
        <f>IF(Backend!X62="", "", Backend!X62)</f>
        <v>0.18540765000000001</v>
      </c>
      <c r="X35">
        <f>IF(Backend!Y62="", "", Backend!Y62)</f>
        <v>0.47441443999999999</v>
      </c>
      <c r="Y35">
        <f>IF(Backend!Z62="", "", Backend!Z62)</f>
        <v>0.26153237000000001</v>
      </c>
      <c r="Z35">
        <f>IF(Backend!AA62="", "", Backend!AA62)</f>
        <v>9.4131276E-2</v>
      </c>
      <c r="AA35">
        <f>IF(Backend!AB62="", "", Backend!AB62)</f>
        <v>0.48969674000000002</v>
      </c>
      <c r="AB35">
        <f>IF(Backend!AC62="", "", Backend!AC62)</f>
        <v>8.1662520000000002E-2</v>
      </c>
      <c r="AC35">
        <f>IF(Backend!AD62="", "", Backend!AD62)</f>
        <v>0.61643594999999995</v>
      </c>
      <c r="AD35">
        <f>IF(Backend!AE62="", "", Backend!AE62)</f>
        <v>0.69211714999999996</v>
      </c>
      <c r="AE35">
        <f>IF(Backend!AF62="", "", Backend!AF62)</f>
        <v>2.3357874000000001E-2</v>
      </c>
      <c r="AF35">
        <f>IF(Backend!AG62="", "", Backend!AG62)</f>
        <v>0.39161780000000002</v>
      </c>
      <c r="AG35">
        <f>IF(Backend!AH62="", "", Backend!AH62)</f>
        <v>1</v>
      </c>
    </row>
    <row r="36" spans="1:33" x14ac:dyDescent="0.25">
      <c r="A36" s="4" t="str">
        <f>IF(Backend!A63="", "", Backend!A63)</f>
        <v/>
      </c>
      <c r="B36" t="str">
        <f>IF(Backend!C63="", "", Backend!C63)</f>
        <v/>
      </c>
      <c r="C36" t="str">
        <f>IF(Backend!D63="", "", Backend!D63)</f>
        <v/>
      </c>
      <c r="D36" t="str">
        <f>IF(Backend!E63="", "", Backend!E63)</f>
        <v/>
      </c>
      <c r="E36" t="str">
        <f>IF(Backend!F63="", "", Backend!F63)</f>
        <v/>
      </c>
      <c r="F36" t="str">
        <f>IF(Backend!G63="", "", Backend!G63)</f>
        <v/>
      </c>
      <c r="G36" t="str">
        <f>IF(Backend!H63="", "", Backend!H63)</f>
        <v/>
      </c>
      <c r="H36" t="str">
        <f>IF(Backend!I63="", "", Backend!I63)</f>
        <v/>
      </c>
      <c r="I36" t="str">
        <f>IF(Backend!J63="", "", Backend!J63)</f>
        <v/>
      </c>
      <c r="J36" t="str">
        <f>IF(Backend!K63="", "", Backend!K63)</f>
        <v/>
      </c>
      <c r="K36" t="str">
        <f>IF(Backend!L63="", "", Backend!L63)</f>
        <v/>
      </c>
      <c r="L36" t="str">
        <f>IF(Backend!M63="", "", Backend!M63)</f>
        <v/>
      </c>
      <c r="M36" t="str">
        <f>IF(Backend!N63="", "", Backend!N63)</f>
        <v/>
      </c>
      <c r="N36" t="str">
        <f>IF(Backend!O63="", "", Backend!O63)</f>
        <v/>
      </c>
      <c r="O36" t="str">
        <f>IF(Backend!P63="", "", Backend!P63)</f>
        <v/>
      </c>
      <c r="P36" t="str">
        <f>IF(Backend!Q63="", "", Backend!Q63)</f>
        <v/>
      </c>
      <c r="Q36" t="str">
        <f>IF(Backend!R63="", "", Backend!R63)</f>
        <v/>
      </c>
      <c r="R36" t="str">
        <f>IF(Backend!S63="", "", Backend!S63)</f>
        <v/>
      </c>
      <c r="S36" t="str">
        <f>IF(Backend!T63="", "", Backend!T63)</f>
        <v/>
      </c>
      <c r="T36" t="str">
        <f>IF(Backend!U63="", "", Backend!U63)</f>
        <v/>
      </c>
      <c r="U36" t="str">
        <f>IF(Backend!V63="", "", Backend!V63)</f>
        <v/>
      </c>
      <c r="V36" t="str">
        <f>IF(Backend!W63="", "", Backend!W63)</f>
        <v/>
      </c>
      <c r="W36" t="str">
        <f>IF(Backend!X63="", "", Backend!X63)</f>
        <v/>
      </c>
      <c r="X36" t="str">
        <f>IF(Backend!Y63="", "", Backend!Y63)</f>
        <v/>
      </c>
      <c r="Y36" t="str">
        <f>IF(Backend!Z63="", "", Backend!Z63)</f>
        <v/>
      </c>
      <c r="Z36" t="str">
        <f>IF(Backend!AA63="", "", Backend!AA63)</f>
        <v/>
      </c>
      <c r="AA36" t="str">
        <f>IF(Backend!AB63="", "", Backend!AB63)</f>
        <v/>
      </c>
      <c r="AB36" t="str">
        <f>IF(Backend!AC63="", "", Backend!AC63)</f>
        <v/>
      </c>
      <c r="AC36" t="str">
        <f>IF(Backend!AD63="", "", Backend!AD63)</f>
        <v/>
      </c>
      <c r="AD36" t="str">
        <f>IF(Backend!AE63="", "", Backend!AE63)</f>
        <v/>
      </c>
      <c r="AE36" t="str">
        <f>IF(Backend!AF63="", "", Backend!AF63)</f>
        <v/>
      </c>
      <c r="AF36" t="str">
        <f>IF(Backend!AG63="", "", Backend!AG63)</f>
        <v/>
      </c>
      <c r="AG36" t="str">
        <f>IF(Backend!AH63="", "", Backend!AH63)</f>
        <v/>
      </c>
    </row>
    <row r="37" spans="1:33" x14ac:dyDescent="0.25">
      <c r="A37" s="4" t="str">
        <f>IF(Backend!A64="", "", Backend!A64)</f>
        <v/>
      </c>
      <c r="B37" t="str">
        <f>IF(Backend!C64="", "", Backend!C64)</f>
        <v/>
      </c>
      <c r="C37" t="str">
        <f>IF(Backend!D64="", "", Backend!D64)</f>
        <v/>
      </c>
      <c r="D37" t="str">
        <f>IF(Backend!E64="", "", Backend!E64)</f>
        <v/>
      </c>
      <c r="E37" t="str">
        <f>IF(Backend!F64="", "", Backend!F64)</f>
        <v/>
      </c>
      <c r="F37" t="str">
        <f>IF(Backend!G64="", "", Backend!G64)</f>
        <v/>
      </c>
      <c r="G37" t="str">
        <f>IF(Backend!H64="", "", Backend!H64)</f>
        <v/>
      </c>
      <c r="H37" t="str">
        <f>IF(Backend!I64="", "", Backend!I64)</f>
        <v/>
      </c>
      <c r="I37" t="str">
        <f>IF(Backend!J64="", "", Backend!J64)</f>
        <v/>
      </c>
      <c r="J37" t="str">
        <f>IF(Backend!K64="", "", Backend!K64)</f>
        <v/>
      </c>
      <c r="K37" t="str">
        <f>IF(Backend!L64="", "", Backend!L64)</f>
        <v/>
      </c>
      <c r="L37" t="str">
        <f>IF(Backend!M64="", "", Backend!M64)</f>
        <v/>
      </c>
      <c r="M37" t="str">
        <f>IF(Backend!N64="", "", Backend!N64)</f>
        <v/>
      </c>
      <c r="N37" t="str">
        <f>IF(Backend!O64="", "", Backend!O64)</f>
        <v/>
      </c>
      <c r="O37" t="str">
        <f>IF(Backend!P64="", "", Backend!P64)</f>
        <v/>
      </c>
      <c r="P37" t="str">
        <f>IF(Backend!Q64="", "", Backend!Q64)</f>
        <v/>
      </c>
      <c r="Q37" t="str">
        <f>IF(Backend!R64="", "", Backend!R64)</f>
        <v/>
      </c>
      <c r="R37" t="str">
        <f>IF(Backend!S64="", "", Backend!S64)</f>
        <v/>
      </c>
      <c r="S37" t="str">
        <f>IF(Backend!T64="", "", Backend!T64)</f>
        <v/>
      </c>
      <c r="T37" t="str">
        <f>IF(Backend!U64="", "", Backend!U64)</f>
        <v/>
      </c>
      <c r="U37" t="str">
        <f>IF(Backend!V64="", "", Backend!V64)</f>
        <v/>
      </c>
      <c r="V37" t="str">
        <f>IF(Backend!W64="", "", Backend!W64)</f>
        <v/>
      </c>
      <c r="W37" t="str">
        <f>IF(Backend!X64="", "", Backend!X64)</f>
        <v/>
      </c>
      <c r="X37" t="str">
        <f>IF(Backend!Y64="", "", Backend!Y64)</f>
        <v/>
      </c>
      <c r="Y37" t="str">
        <f>IF(Backend!Z64="", "", Backend!Z64)</f>
        <v/>
      </c>
      <c r="Z37" t="str">
        <f>IF(Backend!AA64="", "", Backend!AA64)</f>
        <v/>
      </c>
      <c r="AA37" t="str">
        <f>IF(Backend!AB64="", "", Backend!AB64)</f>
        <v/>
      </c>
      <c r="AB37" t="str">
        <f>IF(Backend!AC64="", "", Backend!AC64)</f>
        <v/>
      </c>
      <c r="AC37" t="str">
        <f>IF(Backend!AD64="", "", Backend!AD64)</f>
        <v/>
      </c>
      <c r="AD37" t="str">
        <f>IF(Backend!AE64="", "", Backend!AE64)</f>
        <v/>
      </c>
      <c r="AE37" t="str">
        <f>IF(Backend!AF64="", "", Backend!AF64)</f>
        <v/>
      </c>
      <c r="AF37" t="str">
        <f>IF(Backend!AG64="", "", Backend!AG64)</f>
        <v/>
      </c>
      <c r="AG37" t="str">
        <f>IF(Backend!AH64="", "", Backend!AH64)</f>
        <v/>
      </c>
    </row>
    <row r="38" spans="1:33" x14ac:dyDescent="0.25">
      <c r="A38" s="4" t="str">
        <f>IF(Backend!A65="", "", Backend!A65)</f>
        <v/>
      </c>
      <c r="B38" t="str">
        <f>IF(Backend!C65="", "", Backend!C65)</f>
        <v/>
      </c>
      <c r="C38" t="str">
        <f>IF(Backend!D65="", "", Backend!D65)</f>
        <v/>
      </c>
      <c r="D38" t="str">
        <f>IF(Backend!E65="", "", Backend!E65)</f>
        <v/>
      </c>
      <c r="E38" t="str">
        <f>IF(Backend!F65="", "", Backend!F65)</f>
        <v/>
      </c>
      <c r="F38" t="str">
        <f>IF(Backend!G65="", "", Backend!G65)</f>
        <v/>
      </c>
      <c r="G38" t="str">
        <f>IF(Backend!H65="", "", Backend!H65)</f>
        <v/>
      </c>
      <c r="H38" t="str">
        <f>IF(Backend!I65="", "", Backend!I65)</f>
        <v/>
      </c>
      <c r="I38" t="str">
        <f>IF(Backend!J65="", "", Backend!J65)</f>
        <v/>
      </c>
      <c r="J38" t="str">
        <f>IF(Backend!K65="", "", Backend!K65)</f>
        <v/>
      </c>
      <c r="K38" t="str">
        <f>IF(Backend!L65="", "", Backend!L65)</f>
        <v/>
      </c>
      <c r="L38" t="str">
        <f>IF(Backend!M65="", "", Backend!M65)</f>
        <v/>
      </c>
      <c r="M38" t="str">
        <f>IF(Backend!N65="", "", Backend!N65)</f>
        <v/>
      </c>
      <c r="N38" t="str">
        <f>IF(Backend!O65="", "", Backend!O65)</f>
        <v/>
      </c>
      <c r="O38" t="str">
        <f>IF(Backend!P65="", "", Backend!P65)</f>
        <v/>
      </c>
      <c r="P38" t="str">
        <f>IF(Backend!Q65="", "", Backend!Q65)</f>
        <v/>
      </c>
      <c r="Q38" t="str">
        <f>IF(Backend!R65="", "", Backend!R65)</f>
        <v/>
      </c>
      <c r="R38" t="str">
        <f>IF(Backend!S65="", "", Backend!S65)</f>
        <v/>
      </c>
      <c r="S38" t="str">
        <f>IF(Backend!T65="", "", Backend!T65)</f>
        <v/>
      </c>
      <c r="T38" t="str">
        <f>IF(Backend!U65="", "", Backend!U65)</f>
        <v/>
      </c>
      <c r="U38" t="str">
        <f>IF(Backend!V65="", "", Backend!V65)</f>
        <v/>
      </c>
      <c r="V38" t="str">
        <f>IF(Backend!W65="", "", Backend!W65)</f>
        <v/>
      </c>
      <c r="W38" t="str">
        <f>IF(Backend!X65="", "", Backend!X65)</f>
        <v/>
      </c>
      <c r="X38" t="str">
        <f>IF(Backend!Y65="", "", Backend!Y65)</f>
        <v/>
      </c>
      <c r="Y38" t="str">
        <f>IF(Backend!Z65="", "", Backend!Z65)</f>
        <v/>
      </c>
      <c r="Z38" t="str">
        <f>IF(Backend!AA65="", "", Backend!AA65)</f>
        <v/>
      </c>
      <c r="AA38" t="str">
        <f>IF(Backend!AB65="", "", Backend!AB65)</f>
        <v/>
      </c>
      <c r="AB38" t="str">
        <f>IF(Backend!AC65="", "", Backend!AC65)</f>
        <v/>
      </c>
      <c r="AC38" t="str">
        <f>IF(Backend!AD65="", "", Backend!AD65)</f>
        <v/>
      </c>
      <c r="AD38" t="str">
        <f>IF(Backend!AE65="", "", Backend!AE65)</f>
        <v/>
      </c>
      <c r="AE38" t="str">
        <f>IF(Backend!AF65="", "", Backend!AF65)</f>
        <v/>
      </c>
      <c r="AF38" t="str">
        <f>IF(Backend!AG65="", "", Backend!AG65)</f>
        <v/>
      </c>
      <c r="AG38" t="str">
        <f>IF(Backend!AH65="", "", Backend!AH65)</f>
        <v/>
      </c>
    </row>
    <row r="39" spans="1:33" x14ac:dyDescent="0.25">
      <c r="A39" s="4"/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</row>
    <row r="40" spans="1:33" x14ac:dyDescent="0.25">
      <c r="A40" s="4"/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</row>
    <row r="41" spans="1:33" x14ac:dyDescent="0.25">
      <c r="A41" s="4"/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</row>
    <row r="42" spans="1:33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</row>
    <row r="43" spans="1:33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</row>
    <row r="44" spans="1:33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</row>
    <row r="45" spans="1:33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</row>
    <row r="46" spans="1:33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</row>
    <row r="47" spans="1:33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</row>
    <row r="48" spans="1:33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</row>
    <row r="49" spans="1:33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</row>
    <row r="50" spans="1:33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</row>
    <row r="51" spans="1:33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</row>
    <row r="52" spans="1:33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</row>
    <row r="53" spans="1:33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</row>
    <row r="54" spans="1:33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</row>
    <row r="55" spans="1:33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</row>
    <row r="56" spans="1:33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</row>
    <row r="57" spans="1:33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</row>
    <row r="58" spans="1:33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</row>
    <row r="59" spans="1:33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</row>
    <row r="60" spans="1:33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</row>
    <row r="61" spans="1:33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</row>
    <row r="62" spans="1:33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</row>
    <row r="63" spans="1:33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</row>
    <row r="64" spans="1:33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</row>
    <row r="65" spans="1:33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</row>
    <row r="66" spans="1:33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</row>
    <row r="67" spans="1:33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</row>
    <row r="68" spans="1:33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</row>
    <row r="69" spans="1:33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</row>
    <row r="70" spans="1:33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</row>
    <row r="71" spans="1:33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</row>
    <row r="72" spans="1:33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</row>
    <row r="73" spans="1:33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</row>
    <row r="74" spans="1:33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</row>
    <row r="75" spans="1:33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</row>
    <row r="76" spans="1:33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</row>
    <row r="77" spans="1:33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</row>
    <row r="78" spans="1:33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</row>
    <row r="79" spans="1:33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</row>
    <row r="80" spans="1:33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</row>
    <row r="81" spans="1:33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</row>
    <row r="82" spans="1:33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workbookViewId="0">
      <selection activeCell="D1" sqref="D1"/>
    </sheetView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5" x14ac:dyDescent="0.25">
      <c r="B1" t="s">
        <v>2</v>
      </c>
      <c r="C1" s="7">
        <v>45961</v>
      </c>
    </row>
    <row r="2" spans="2:15" x14ac:dyDescent="0.25">
      <c r="B2" t="s">
        <v>3</v>
      </c>
      <c r="C2" s="7" t="s">
        <v>4</v>
      </c>
    </row>
    <row r="4" spans="2:15" x14ac:dyDescent="0.25">
      <c r="B4" t="s">
        <v>0</v>
      </c>
    </row>
    <row r="5" spans="2:15" x14ac:dyDescent="0.25">
      <c r="C5" s="8" t="s">
        <v>36</v>
      </c>
      <c r="D5" t="str" cm="1">
        <f t="array" ref="D5">_xll.FDSC("-",C5,"PROPER_NAME")</f>
        <v>Microsoft Corporation</v>
      </c>
      <c r="E5" s="8" t="s">
        <v>17</v>
      </c>
      <c r="F5" t="str" cm="1">
        <f t="array" ref="F5">_xll.FDSC("-",E5,"PROPER_NAME")</f>
        <v>HDFC Bank Limited Sponsored ADR</v>
      </c>
      <c r="G5" s="8" t="s">
        <v>39</v>
      </c>
      <c r="H5" t="str" cm="1">
        <f t="array" ref="H5">_xll.FDSC("-",G5,"PROPER_NAME")</f>
        <v>Sherwin-Williams Company</v>
      </c>
      <c r="I5" s="8"/>
      <c r="J5" t="str" cm="1">
        <f t="array" ref="J5">_xll.FDSC("-",I5,"PROPER_NAME")</f>
        <v>-</v>
      </c>
      <c r="K5" s="8"/>
      <c r="L5" t="str" cm="1">
        <f t="array" ref="L5">_xll.FDSC("-",K5,"PROPER_NAME")</f>
        <v>-</v>
      </c>
    </row>
    <row r="6" spans="2:15" x14ac:dyDescent="0.25">
      <c r="C6" s="8" t="s">
        <v>26</v>
      </c>
      <c r="D6" t="str" cm="1">
        <f t="array" ref="D6">_xll.FDSC("-",C6,"PROPER_NAME")</f>
        <v>Alphabet Inc. Class C</v>
      </c>
      <c r="E6" s="8" t="s">
        <v>34</v>
      </c>
      <c r="F6" t="str" cm="1">
        <f t="array" ref="F6">_xll.FDSC("-",E6,"PROPER_NAME")</f>
        <v>Intuit Inc.</v>
      </c>
      <c r="G6" s="8" t="s">
        <v>37</v>
      </c>
      <c r="H6" t="str" cm="1">
        <f t="array" ref="H6">_xll.FDSC("-",G6,"PROPER_NAME")</f>
        <v>Moody's Corporation</v>
      </c>
      <c r="I6" s="8"/>
      <c r="J6" t="str" cm="1">
        <f t="array" ref="J6">_xll.FDSC("-",I6,"PROPER_NAME")</f>
        <v>-</v>
      </c>
      <c r="K6" s="8"/>
      <c r="L6" t="str" cm="1">
        <f t="array" ref="L6">_xll.FDSC("-",K6,"PROPER_NAME")</f>
        <v>-</v>
      </c>
      <c r="M6" s="5"/>
    </row>
    <row r="7" spans="2:15" x14ac:dyDescent="0.25">
      <c r="C7" s="8" t="s">
        <v>13</v>
      </c>
      <c r="D7" t="str" cm="1">
        <f t="array" ref="D7">_xll.FDSC("-",C7,"PROPER_NAME")</f>
        <v>London Stock Exchange Group plc</v>
      </c>
      <c r="E7" s="8" t="s">
        <v>31</v>
      </c>
      <c r="F7" t="str" cm="1">
        <f t="array" ref="F7">_xll.FDSC("-",E7,"PROPER_NAME")</f>
        <v>Edwards Lifesciences Corporation</v>
      </c>
      <c r="G7" s="8"/>
      <c r="H7" t="str" cm="1">
        <f t="array" ref="H7">_xll.FDSC("-",G7,"PROPER_NAME")</f>
        <v>-</v>
      </c>
      <c r="I7" s="8"/>
      <c r="J7" t="str" cm="1">
        <f t="array" ref="J7">_xll.FDSC("-",I7,"PROPER_NAME")</f>
        <v>-</v>
      </c>
      <c r="K7" s="8"/>
      <c r="L7" t="str" cm="1">
        <f t="array" ref="L7">_xll.FDSC("-",K7,"PROPER_NAME")</f>
        <v>-</v>
      </c>
    </row>
    <row r="8" spans="2:15" x14ac:dyDescent="0.25">
      <c r="C8" s="8" t="s">
        <v>41</v>
      </c>
      <c r="D8" t="str" cm="1">
        <f t="array" ref="D8">_xll.FDSC("-",C8,"PROPER_NAME")</f>
        <v>Visa Inc. Class A</v>
      </c>
      <c r="E8" s="8" t="s">
        <v>32</v>
      </c>
      <c r="F8" t="str" cm="1">
        <f t="array" ref="F8">_xll.FDSC("-",E8,"PROPER_NAME")</f>
        <v>Ferguson Enterprises Inc.</v>
      </c>
      <c r="G8" s="8"/>
      <c r="H8" t="str" cm="1">
        <f t="array" ref="H8">_xll.FDSC("-",G8,"PROPER_NAME")</f>
        <v>-</v>
      </c>
      <c r="I8" s="8"/>
      <c r="J8" t="str" cm="1">
        <f t="array" ref="J8">_xll.FDSC("-",I8,"PROPER_NAME")</f>
        <v>-</v>
      </c>
      <c r="K8" s="8"/>
      <c r="L8" t="str" cm="1">
        <f t="array" ref="L8">_xll.FDSC("-",K8,"PROPER_NAME")</f>
        <v>-</v>
      </c>
      <c r="O8" t="str" cm="1">
        <f t="array" ref="O8">_xll.FDSTHIS(""&amp;N8&amp;"")</f>
        <v/>
      </c>
    </row>
    <row r="9" spans="2:15" x14ac:dyDescent="0.25">
      <c r="C9" s="8" t="s">
        <v>35</v>
      </c>
      <c r="D9" t="str" cm="1">
        <f t="array" ref="D9">_xll.FDSC("-",C9,"PROPER_NAME")</f>
        <v>Mastercard Incorporated Class A</v>
      </c>
      <c r="E9" s="8" t="s">
        <v>43</v>
      </c>
      <c r="F9" t="str" cm="1">
        <f t="array" ref="F9">_xll.FDSC("-",E9,"PROPER_NAME")</f>
        <v>Zoetis, Inc. Class A</v>
      </c>
      <c r="G9" s="8"/>
      <c r="H9" t="str" cm="1">
        <f t="array" ref="H9">_xll.FDSC("-",G9,"PROPER_NAME")</f>
        <v>-</v>
      </c>
      <c r="I9" s="8"/>
      <c r="J9" t="str" cm="1">
        <f t="array" ref="J9">_xll.FDSC("-",I9,"PROPER_NAME")</f>
        <v>-</v>
      </c>
      <c r="K9" s="8"/>
      <c r="L9" t="str" cm="1">
        <f t="array" ref="L9">_xll.FDSC("-",K9,"PROPER_NAME")</f>
        <v>-</v>
      </c>
      <c r="O9" t="str" cm="1">
        <f t="array" ref="O9">_xll.FDSTHIS(""&amp;N9&amp;"")</f>
        <v/>
      </c>
    </row>
    <row r="10" spans="2:15" x14ac:dyDescent="0.25">
      <c r="C10" s="8" t="s">
        <v>40</v>
      </c>
      <c r="D10" t="str" cm="1">
        <f t="array" ref="D10">_xll.FDSC("-",C10,"PROPER_NAME")</f>
        <v>Unilever PLC</v>
      </c>
      <c r="E10" s="8" t="s">
        <v>23</v>
      </c>
      <c r="F10" t="str" cm="1">
        <f t="array" ref="F10">_xll.FDSC("-",E10,"PROPER_NAME")</f>
        <v>B3 SA - Brasil, Bolsa, Balcao</v>
      </c>
      <c r="G10" s="8"/>
      <c r="H10" t="str" cm="1">
        <f t="array" ref="H10">_xll.FDSC("-",G10,"PROPER_NAME")</f>
        <v>-</v>
      </c>
      <c r="I10" s="8"/>
      <c r="J10" t="str" cm="1">
        <f t="array" ref="J10">_xll.FDSC("-",I10,"PROPER_NAME")</f>
        <v>-</v>
      </c>
      <c r="K10" s="8"/>
      <c r="L10" t="str" cm="1">
        <f t="array" ref="L10">_xll.FDSC("-",K10,"PROPER_NAME")</f>
        <v>-</v>
      </c>
      <c r="O10" t="str" cm="1">
        <f t="array" ref="O10">_xll.FDSTHIS(""&amp;N10&amp;"")</f>
        <v/>
      </c>
    </row>
    <row r="11" spans="2:15" x14ac:dyDescent="0.25">
      <c r="C11" s="8" t="s">
        <v>27</v>
      </c>
      <c r="D11" t="str" cm="1">
        <f t="array" ref="D11">_xll.FDSC("-",C11,"PROPER_NAME")</f>
        <v>ASML Holding NV Sponsored ADR</v>
      </c>
      <c r="E11" s="8" t="s">
        <v>21</v>
      </c>
      <c r="F11" t="str" cm="1">
        <f t="array" ref="F11">_xll.FDSC("-",E11,"PROPER_NAME")</f>
        <v>Atlas Copco AB Class B</v>
      </c>
      <c r="G11" s="8"/>
      <c r="H11" t="str" cm="1">
        <f t="array" ref="H11">_xll.FDSC("-",G11,"PROPER_NAME")</f>
        <v>-</v>
      </c>
      <c r="I11" s="8"/>
      <c r="J11" t="str" cm="1">
        <f t="array" ref="J11">_xll.FDSC("-",I11,"PROPER_NAME")</f>
        <v>-</v>
      </c>
      <c r="K11" s="8"/>
      <c r="L11" t="str" cm="1">
        <f t="array" ref="L11">_xll.FDSC("-",K11,"PROPER_NAME")</f>
        <v>-</v>
      </c>
      <c r="O11" t="str" cm="1">
        <f t="array" ref="O11">_xll.FDSTHIS(""&amp;N11&amp;"")</f>
        <v/>
      </c>
    </row>
    <row r="12" spans="2:15" x14ac:dyDescent="0.25">
      <c r="C12" s="8" t="s">
        <v>16</v>
      </c>
      <c r="D12" t="str" cm="1">
        <f t="array" ref="D12">_xll.FDSC("-",C12,"PROPER_NAME")</f>
        <v>Deutsche Boerse AG</v>
      </c>
      <c r="E12" s="8" t="s">
        <v>25</v>
      </c>
      <c r="F12" t="str" cm="1">
        <f t="array" ref="F12">_xll.FDSC("-",E12,"PROPER_NAME")</f>
        <v>Allegion Public Limited Company</v>
      </c>
      <c r="G12" s="8"/>
      <c r="H12" t="str" cm="1">
        <f t="array" ref="H12">_xll.FDSC("-",G12,"PROPER_NAME")</f>
        <v>-</v>
      </c>
      <c r="I12" s="8"/>
      <c r="J12" t="str" cm="1">
        <f t="array" ref="J12">_xll.FDSC("-",I12,"PROPER_NAME")</f>
        <v>-</v>
      </c>
      <c r="K12" s="8"/>
      <c r="L12" t="str" cm="1">
        <f t="array" ref="L12">_xll.FDSC("-",K12,"PROPER_NAME")</f>
        <v>-</v>
      </c>
      <c r="O12" t="str" cm="1">
        <f t="array" ref="O12">_xll.FDSTHIS(""&amp;N12&amp;"")</f>
        <v/>
      </c>
    </row>
    <row r="13" spans="2:15" x14ac:dyDescent="0.25">
      <c r="C13" s="8" t="s">
        <v>33</v>
      </c>
      <c r="D13" t="str" cm="1">
        <f t="array" ref="D13">_xll.FDSC("-",C13,"PROPER_NAME")</f>
        <v>GE Aerospace</v>
      </c>
      <c r="E13" s="8" t="s">
        <v>29</v>
      </c>
      <c r="F13" t="str" cm="1">
        <f t="array" ref="F13">_xll.FDSC("-",E13,"PROPER_NAME")</f>
        <v>AutoZone, Inc.</v>
      </c>
      <c r="G13" s="8"/>
      <c r="H13" t="str" cm="1">
        <f t="array" ref="H13">_xll.FDSC("-",G13,"PROPER_NAME")</f>
        <v>-</v>
      </c>
      <c r="I13" s="8"/>
      <c r="J13" t="str" cm="1">
        <f t="array" ref="J13">_xll.FDSC("-",I13,"PROPER_NAME")</f>
        <v>-</v>
      </c>
      <c r="K13" s="8"/>
      <c r="L13" t="str" cm="1">
        <f t="array" ref="L13">_xll.FDSC("-",K13,"PROPER_NAME")</f>
        <v>-</v>
      </c>
      <c r="O13" t="str" cm="1">
        <f t="array" ref="O13">_xll.FDSTHIS(""&amp;N13&amp;"")</f>
        <v/>
      </c>
    </row>
    <row r="14" spans="2:15" x14ac:dyDescent="0.25">
      <c r="C14" s="8" t="s">
        <v>12</v>
      </c>
      <c r="D14" t="str" cm="1">
        <f t="array" ref="D14">_xll.FDSC("-",C14,"PROPER_NAME")</f>
        <v>Taiwan Semiconductor Manufacturing Co., Ltd. Sponsored ADR</v>
      </c>
      <c r="E14" s="8" t="s">
        <v>38</v>
      </c>
      <c r="F14" t="str" cm="1">
        <f t="array" ref="F14">_xll.FDSC("-",E14,"PROPER_NAME")</f>
        <v>PT Bank Central Asia Tbk</v>
      </c>
      <c r="G14" s="8"/>
      <c r="H14" t="str" cm="1">
        <f t="array" ref="H14">_xll.FDSC("-",G14,"PROPER_NAME")</f>
        <v>-</v>
      </c>
      <c r="I14" s="8"/>
      <c r="J14" t="str" cm="1">
        <f t="array" ref="J14">_xll.FDSC("-",I14,"PROPER_NAME")</f>
        <v>-</v>
      </c>
      <c r="K14" s="8"/>
      <c r="L14" t="str" cm="1">
        <f t="array" ref="L14">_xll.FDSC("-",K14,"PROPER_NAME")</f>
        <v>-</v>
      </c>
      <c r="O14" t="str" cm="1">
        <f t="array" ref="O14">_xll.FDSTHIS(""&amp;N14&amp;"")</f>
        <v/>
      </c>
    </row>
    <row r="15" spans="2:15" x14ac:dyDescent="0.25">
      <c r="C15" s="8" t="s">
        <v>30</v>
      </c>
      <c r="D15" t="str" cm="1">
        <f t="array" ref="D15">_xll.FDSC("-",C15,"PROPER_NAME")</f>
        <v>Charles Schwab Corp</v>
      </c>
      <c r="E15" s="8" t="s">
        <v>19</v>
      </c>
      <c r="F15" t="str" cm="1">
        <f t="array" ref="F15">_xll.FDSC("-",E15,"PROPER_NAME")</f>
        <v>Rentokil Initial plc</v>
      </c>
      <c r="G15" s="8"/>
      <c r="H15" t="str" cm="1">
        <f t="array" ref="H15">_xll.FDSC("-",G15,"PROPER_NAME")</f>
        <v>-</v>
      </c>
      <c r="I15" s="8"/>
      <c r="J15" t="str" cm="1">
        <f t="array" ref="J15">_xll.FDSC("-",I15,"PROPER_NAME")</f>
        <v>-</v>
      </c>
      <c r="K15" s="8"/>
      <c r="L15" t="str" cm="1">
        <f t="array" ref="L15">_xll.FDSC("-",K15,"PROPER_NAME")</f>
        <v>-</v>
      </c>
      <c r="O15" t="str" cm="1">
        <f t="array" ref="O15">_xll.FDSTHIS(""&amp;N15&amp;"")</f>
        <v/>
      </c>
    </row>
    <row r="16" spans="2:15" x14ac:dyDescent="0.25">
      <c r="C16" s="8" t="s">
        <v>15</v>
      </c>
      <c r="D16" t="str" cm="1">
        <f t="array" ref="D16">_xll.FDSC("-",C16,"PROPER_NAME")</f>
        <v>Experian PLC</v>
      </c>
      <c r="E16" s="8" t="s">
        <v>42</v>
      </c>
      <c r="F16" t="str" cm="1">
        <f t="array" ref="F16">_xll.FDSC("-",E16,"PROPER_NAME")</f>
        <v>Workday, Inc. Class A</v>
      </c>
      <c r="G16" s="8"/>
      <c r="H16" t="str" cm="1">
        <f t="array" ref="H16">_xll.FDSC("-",G16,"PROPER_NAME")</f>
        <v>-</v>
      </c>
      <c r="I16" s="8"/>
      <c r="J16" t="str" cm="1">
        <f t="array" ref="J16">_xll.FDSC("-",I16,"PROPER_NAME")</f>
        <v>-</v>
      </c>
      <c r="K16" s="8"/>
      <c r="L16" t="str" cm="1">
        <f t="array" ref="L16">_xll.FDSC("-",K16,"PROPER_NAME")</f>
        <v>-</v>
      </c>
      <c r="O16" t="str" cm="1">
        <f t="array" ref="O16">_xll.FDSTHIS(""&amp;N16&amp;"")</f>
        <v/>
      </c>
    </row>
    <row r="17" spans="1:77" x14ac:dyDescent="0.25">
      <c r="C17" s="8" t="s">
        <v>18</v>
      </c>
      <c r="D17" t="str" cm="1">
        <f t="array" ref="D17">_xll.FDSC("-",C17,"PROPER_NAME")</f>
        <v>Safran SA</v>
      </c>
      <c r="E17" s="8" t="s">
        <v>28</v>
      </c>
      <c r="F17" t="str" cm="1">
        <f t="array" ref="F17">_xll.FDSC("-",E17,"PROPER_NAME")</f>
        <v>Autodesk, Inc.</v>
      </c>
      <c r="G17" s="8"/>
      <c r="H17" t="str" cm="1">
        <f t="array" ref="H17">_xll.FDSC("-",G17,"PROPER_NAME")</f>
        <v>-</v>
      </c>
      <c r="I17" s="8"/>
      <c r="J17" t="str" cm="1">
        <f t="array" ref="J17">_xll.FDSC("-",I17,"PROPER_NAME")</f>
        <v>-</v>
      </c>
      <c r="K17" s="8"/>
      <c r="L17" t="str" cm="1">
        <f t="array" ref="L17">_xll.FDSC("-",K17,"PROPER_NAME")</f>
        <v>-</v>
      </c>
      <c r="O17" t="str" cm="1">
        <f t="array" ref="O17">_xll.FDSTHIS(""&amp;N17&amp;"")</f>
        <v/>
      </c>
    </row>
    <row r="18" spans="1:77" x14ac:dyDescent="0.25">
      <c r="C18" s="8" t="s">
        <v>24</v>
      </c>
      <c r="D18" t="str" cm="1">
        <f t="array" ref="D18">_xll.FDSC("-",C18,"PROPER_NAME")</f>
        <v>Roche Holding Ltd Dividend Right Cert.</v>
      </c>
      <c r="E18" s="8" t="s">
        <v>20</v>
      </c>
      <c r="F18" t="str" cm="1">
        <f t="array" ref="F18">_xll.FDSC("-",E18,"PROPER_NAME")</f>
        <v>Booking Holdings Inc.</v>
      </c>
      <c r="G18" s="8"/>
      <c r="H18" t="str" cm="1">
        <f t="array" ref="H18">_xll.FDSC("-",G18,"PROPER_NAME")</f>
        <v>-</v>
      </c>
      <c r="I18" s="8"/>
      <c r="J18" t="str" cm="1">
        <f t="array" ref="J18">_xll.FDSC("-",I18,"PROPER_NAME")</f>
        <v>-</v>
      </c>
      <c r="K18" s="8"/>
      <c r="L18" t="str" cm="1">
        <f t="array" ref="L18">_xll.FDSC("-",K18,"PROPER_NAME")</f>
        <v>-</v>
      </c>
      <c r="O18" t="str" cm="1">
        <f t="array" ref="O18">_xll.FDSTHIS(""&amp;N18&amp;"")</f>
        <v/>
      </c>
    </row>
    <row r="19" spans="1:77" x14ac:dyDescent="0.25">
      <c r="C19" s="8" t="s">
        <v>14</v>
      </c>
      <c r="D19" t="str" cm="1">
        <f t="array" ref="D19">_xll.FDSC("-",C19,"PROPER_NAME")</f>
        <v>AIA Group Limited</v>
      </c>
      <c r="E19" s="8" t="s">
        <v>22</v>
      </c>
      <c r="F19" t="str" cm="1">
        <f t="array" ref="F19">_xll.FDSC("-",E19,"PROPER_NAME")</f>
        <v>CTS Eventim AG &amp; Co. KGaA</v>
      </c>
      <c r="G19" s="8"/>
      <c r="H19" t="str" cm="1">
        <f t="array" ref="H19">_xll.FDSC("-",G19,"PROPER_NAME")</f>
        <v>-</v>
      </c>
      <c r="I19" s="8"/>
      <c r="J19" t="str" cm="1">
        <f t="array" ref="J19">_xll.FDSC("-",I19,"PROPER_NAME")</f>
        <v>-</v>
      </c>
      <c r="O19" t="str" cm="1">
        <f t="array" ref="O19">_xll.FDSTHIS(""&amp;N19&amp;"")</f>
        <v/>
      </c>
    </row>
    <row r="20" spans="1:77" x14ac:dyDescent="0.25">
      <c r="C20" s="8"/>
      <c r="D20" t="str" cm="1">
        <f t="array" ref="D20">_xll.FDSC("-",C20,"PROPER_NAME")</f>
        <v>-</v>
      </c>
      <c r="E20" s="13"/>
    </row>
    <row r="21" spans="1:77" x14ac:dyDescent="0.25">
      <c r="C21" s="8"/>
      <c r="D21" t="str" cm="1">
        <f t="array" ref="D21">_xll.FDSC("-",C21,"PROPER_NAME")</f>
        <v>-</v>
      </c>
    </row>
    <row r="22" spans="1:77" x14ac:dyDescent="0.25">
      <c r="C22" s="8"/>
      <c r="D22" t="str" cm="1">
        <f t="array" ref="D22">_xll.FDSC("-",C22,"PROPER_NAME")</f>
        <v>-</v>
      </c>
    </row>
    <row r="23" spans="1:77" x14ac:dyDescent="0.25">
      <c r="C23" s="8"/>
      <c r="D23" t="str" cm="1">
        <f t="array" ref="D23">_xll.FDSC("-",C23,"PROPER_NAME")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10/31/2024 and 10/31/2025:</v>
      </c>
    </row>
    <row r="27" spans="1:77" x14ac:dyDescent="0.25">
      <c r="B27" t="str">
        <f t="array" ref="B27">_xll.FDSB("DUMMY","STRING_ARRAY IDS=TICKER_LIST('"&amp;_xlfn.TEXTJOIN(" ",TRUE,C5:C23,E5:E23,G5:G23)&amp;"');""FDS Code - Do Not Delete""")</f>
        <v>FDS CODE - DO NOT DELETE</v>
      </c>
      <c r="C27" t="str" cm="1">
        <f t="array" ref="C27">_xll.FDSB("DUMMY","FLOAT_ARRAY CORRELMATRIX=GET_FQL_ARRAY(IDS,'FG_PRICE("&amp;$C$1&amp;","&amp;$C$1&amp;"-"&amp;$C$2&amp;",D,USD)');'FDS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Microsoft Corporation</v>
      </c>
      <c r="D29" t="str" cm="1">
        <f t="array" ref="D29">_xll.FDS(D30,"FG_COMPANY_NAME")</f>
        <v>Alphabet Inc. Class C</v>
      </c>
      <c r="E29" t="str" cm="1">
        <f t="array" ref="E29">_xll.FDS(E30,"FG_COMPANY_NAME")</f>
        <v>London Stock Exchange Group plc</v>
      </c>
      <c r="F29" t="str" cm="1">
        <f t="array" ref="F29">_xll.FDS(F30,"FG_COMPANY_NAME")</f>
        <v>Visa Inc. Class A</v>
      </c>
      <c r="G29" t="str" cm="1">
        <f t="array" ref="G29">_xll.FDS(G30,"FG_COMPANY_NAME")</f>
        <v>Mastercard Incorporated Class A</v>
      </c>
      <c r="H29" t="str" cm="1">
        <f t="array" ref="H29">_xll.FDS(H30,"FG_COMPANY_NAME")</f>
        <v>Unilever PLC</v>
      </c>
      <c r="I29" t="str" cm="1">
        <f t="array" ref="I29">_xll.FDS(I30,"FG_COMPANY_NAME")</f>
        <v>ASML Holding NV Sponsored ADR</v>
      </c>
      <c r="J29" t="str" cm="1">
        <f t="array" ref="J29">_xll.FDS(J30,"FG_COMPANY_NAME")</f>
        <v>Deutsche Boerse AG</v>
      </c>
      <c r="K29" t="str" cm="1">
        <f t="array" ref="K29">_xll.FDS(K30,"FG_COMPANY_NAME")</f>
        <v>GE Aerospace</v>
      </c>
      <c r="L29" t="str" cm="1">
        <f t="array" ref="L29">_xll.FDS(L30,"FG_COMPANY_NAME")</f>
        <v>Taiwan Semiconductor Manufacturing Co., Ltd. Sponsored ADR</v>
      </c>
      <c r="M29" t="str" cm="1">
        <f t="array" ref="M29">_xll.FDS(M30,"FG_COMPANY_NAME")</f>
        <v>Charles Schwab Corp</v>
      </c>
      <c r="N29" t="str" cm="1">
        <f t="array" ref="N29">_xll.FDS(N30,"FG_COMPANY_NAME")</f>
        <v>Experian PLC</v>
      </c>
      <c r="O29" t="str" cm="1">
        <f t="array" ref="O29">_xll.FDS(O30,"FG_COMPANY_NAME")</f>
        <v>Safran SA</v>
      </c>
      <c r="P29" t="str" cm="1">
        <f t="array" ref="P29">_xll.FDS(P30,"FG_COMPANY_NAME")</f>
        <v>Roche Holding Ltd Dividend Right Cert.</v>
      </c>
      <c r="Q29" t="str" cm="1">
        <f t="array" ref="Q29">_xll.FDS(Q30,"FG_COMPANY_NAME")</f>
        <v>AIA Group Limited</v>
      </c>
      <c r="R29" t="str" cm="1">
        <f t="array" ref="R29">_xll.FDS(R30,"FG_COMPANY_NAME")</f>
        <v>HDFC Bank Limited Sponsored ADR</v>
      </c>
      <c r="S29" t="str" cm="1">
        <f t="array" ref="S29">_xll.FDS(S30,"FG_COMPANY_NAME")</f>
        <v>Intuit Inc.</v>
      </c>
      <c r="T29" t="str" cm="1">
        <f t="array" ref="T29">_xll.FDS(T30,"FG_COMPANY_NAME")</f>
        <v>Edwards Lifesciences Corporation</v>
      </c>
      <c r="U29" t="str" cm="1">
        <f t="array" ref="U29">_xll.FDS(U30,"FG_COMPANY_NAME")</f>
        <v>Ferguson Enterprises Inc.</v>
      </c>
      <c r="V29" t="str" cm="1">
        <f t="array" ref="V29">_xll.FDS(V30,"FG_COMPANY_NAME")</f>
        <v>Zoetis, Inc. Class A</v>
      </c>
      <c r="W29" t="str" cm="1">
        <f t="array" ref="W29">_xll.FDS(W30,"FG_COMPANY_NAME")</f>
        <v>B3 SA - Brasil, Bolsa, Balcao</v>
      </c>
      <c r="X29" t="str" cm="1">
        <f t="array" ref="X29">_xll.FDS(X30,"FG_COMPANY_NAME")</f>
        <v>Atlas Copco AB Class B</v>
      </c>
      <c r="Y29" t="str" cm="1">
        <f t="array" ref="Y29">_xll.FDS(Y30,"FG_COMPANY_NAME")</f>
        <v>Allegion Public Limited Company</v>
      </c>
      <c r="Z29" t="str" cm="1">
        <f t="array" ref="Z29">_xll.FDS(Z30,"FG_COMPANY_NAME")</f>
        <v>AutoZone, Inc.</v>
      </c>
      <c r="AA29" t="str" cm="1">
        <f t="array" ref="AA29">_xll.FDS(AA30,"FG_COMPANY_NAME")</f>
        <v>PT Bank Central Asia Tbk</v>
      </c>
      <c r="AB29" t="str" cm="1">
        <f t="array" ref="AB29">_xll.FDS(AB30,"FG_COMPANY_NAME")</f>
        <v>Rentokil Initial plc</v>
      </c>
      <c r="AC29" t="str" cm="1">
        <f t="array" ref="AC29">_xll.FDS(AC30,"FG_COMPANY_NAME")</f>
        <v>Workday, Inc. Class A</v>
      </c>
      <c r="AD29" t="str" cm="1">
        <f t="array" ref="AD29">_xll.FDS(AD30,"FG_COMPANY_NAME")</f>
        <v>Autodesk, Inc.</v>
      </c>
      <c r="AE29" t="str" cm="1">
        <f t="array" ref="AE29">_xll.FDS(AE30,"FG_COMPANY_NAME")</f>
        <v>Booking Holdings Inc.</v>
      </c>
      <c r="AF29" t="str" cm="1">
        <f t="array" ref="AF29">_xll.FDS(AF30,"FG_COMPANY_NAME")</f>
        <v>CTS Eventim AG &amp; Co. KGaA</v>
      </c>
      <c r="AG29" t="str" cm="1">
        <f t="array" ref="AG29">_xll.FDS(AG30,"FG_COMPANY_NAME")</f>
        <v>Sherwin-Williams Company</v>
      </c>
      <c r="AH29" t="str" cm="1">
        <f t="array" ref="AH29">_xll.FDS(AH30,"FG_COMPANY_NAME")</f>
        <v>Moody's Corporation</v>
      </c>
      <c r="AI29" t="e" cm="1">
        <f t="array" ref="AI29">_xll.FDS(AI30,"FG_COMPANY_NAME")</f>
        <v>#N/A</v>
      </c>
      <c r="AJ29" t="e" cm="1">
        <f t="array" ref="AJ29">_xll.FDS(AJ30,"FG_COMPANY_NAME")</f>
        <v>#N/A</v>
      </c>
      <c r="AK29" t="e" cm="1">
        <f t="array" ref="AK29">_xll.FDS(AK30,"FG_COMPANY_NAME")</f>
        <v>#N/A</v>
      </c>
      <c r="AL29" t="e" cm="1">
        <f t="array" ref="AL29">_xll.FDS(AL30,"FG_COMPANY_NAME")</f>
        <v>#N/A</v>
      </c>
      <c r="AM29" t="e" cm="1">
        <f t="array" ref="AM29">_xll.FDS(AM30,"FG_COMPANY_NAME")</f>
        <v>#N/A</v>
      </c>
      <c r="AN29" t="e" cm="1">
        <f t="array" ref="AN29">_xll.FDS(AN30,"FG_COMPANY_NAME")</f>
        <v>#N/A</v>
      </c>
      <c r="AO29" t="e" cm="1">
        <f t="array" ref="AO29">_xll.FDS(AO30,"FG_COMPANY_NAME")</f>
        <v>#N/A</v>
      </c>
      <c r="AP29" t="e" cm="1">
        <f t="array" ref="AP29">_xll.FDS(AP30,"FG_COMPANY_NAME")</f>
        <v>#N/A</v>
      </c>
      <c r="AQ29" t="e" cm="1">
        <f t="array" ref="AQ29">_xll.FDS(AQ30,"FG_COMPANY_NAME")</f>
        <v>#N/A</v>
      </c>
      <c r="AR29" t="e" cm="1">
        <f t="array" ref="AR29">_xll.FDS(AR30,"FG_COMPANY_NAME")</f>
        <v>#N/A</v>
      </c>
      <c r="AS29" t="e" cm="1">
        <f t="array" ref="AS29">_xll.FDS(AS30,"FG_COMPANY_NAME")</f>
        <v>#N/A</v>
      </c>
      <c r="AT29" t="e" cm="1">
        <f t="array" ref="AT29">_xll.FDS(AT30,"FG_COMPANY_NAME")</f>
        <v>#N/A</v>
      </c>
      <c r="AU29" t="e" cm="1">
        <f t="array" ref="AU29">_xll.FDS(AU30,"FG_COMPANY_NAME")</f>
        <v>#N/A</v>
      </c>
      <c r="AV29" t="e" cm="1">
        <f t="array" ref="AV29">_xll.FDS(AV30,"FG_COMPANY_NAME")</f>
        <v>#N/A</v>
      </c>
      <c r="AW29" t="e" cm="1">
        <f t="array" ref="AW29">_xll.FDS(AW30,"FG_COMPANY_NAME")</f>
        <v>#N/A</v>
      </c>
      <c r="AX29" t="e" cm="1">
        <f t="array" ref="AX29">_xll.FDS(AX30,"FG_COMPANY_NAME")</f>
        <v>#N/A</v>
      </c>
      <c r="AY29" t="e" cm="1">
        <f t="array" ref="AY29">_xll.FDS(AY30,"FG_COMPANY_NAME")</f>
        <v>#N/A</v>
      </c>
      <c r="AZ29" t="e" cm="1">
        <f t="array" ref="AZ29">_xll.FDS(AZ30,"FG_COMPANY_NAME")</f>
        <v>#N/A</v>
      </c>
      <c r="BA29" t="e" cm="1">
        <f t="array" ref="BA29">_xll.FDS(BA30,"FG_COMPANY_NAME")</f>
        <v>#N/A</v>
      </c>
      <c r="BB29" t="e" cm="1">
        <f t="array" ref="BB29">_xll.FDS(BB30,"FG_COMPANY_NAME")</f>
        <v>#N/A</v>
      </c>
      <c r="BC29" t="e" cm="1">
        <f t="array" ref="BC29">_xll.FDS(BC30,"FG_COMPANY_NAME")</f>
        <v>#N/A</v>
      </c>
      <c r="BD29" t="e" cm="1">
        <f t="array" ref="BD29">_xll.FDS(BD30,"FG_COMPANY_NAME")</f>
        <v>#N/A</v>
      </c>
      <c r="BE29" t="e" cm="1">
        <f t="array" ref="BE29">_xll.FDS(BE30,"FG_COMPANY_NAME")</f>
        <v>#N/A</v>
      </c>
      <c r="BF29" t="e" cm="1">
        <f t="array" ref="BF29">_xll.FDS(BF30,"FG_COMPANY_NAME")</f>
        <v>#N/A</v>
      </c>
      <c r="BG29" t="e" cm="1">
        <f t="array" ref="BG29">_xll.FDS(BG30,"FG_COMPANY_NAME")</f>
        <v>#N/A</v>
      </c>
      <c r="BH29" t="e" cm="1">
        <f t="array" ref="BH29">_xll.FDS(BH30,"FG_COMPANY_NAME")</f>
        <v>#N/A</v>
      </c>
      <c r="BI29" t="e" cm="1">
        <f t="array" ref="BI29">_xll.FDS(BI30,"FG_COMPANY_NAME")</f>
        <v>#N/A</v>
      </c>
    </row>
    <row r="30" spans="1:77" ht="15" customHeight="1" x14ac:dyDescent="0.25">
      <c r="C30" s="3" t="str" cm="1">
        <f t="array" ref="C30:AH30">_xll.FDSR(V27,"IDS")</f>
        <v>MSFT-US</v>
      </c>
      <c r="D30" s="6" t="str">
        <v>GOOG-US</v>
      </c>
      <c r="E30" s="6" t="str">
        <v>LSEG-GB</v>
      </c>
      <c r="F30" s="6" t="str">
        <v>V-US</v>
      </c>
      <c r="G30" s="6" t="str">
        <v>MA-US</v>
      </c>
      <c r="H30" s="6" t="str">
        <v>ULVR-GB</v>
      </c>
      <c r="I30" s="6" t="str">
        <v>ASML-US</v>
      </c>
      <c r="J30" s="6" t="str">
        <v>DB1-DE</v>
      </c>
      <c r="K30" s="6" t="str">
        <v>GE-US</v>
      </c>
      <c r="L30" s="6" t="str">
        <v>TSM-US</v>
      </c>
      <c r="M30" s="6" t="str">
        <v>SCHW-US</v>
      </c>
      <c r="N30" s="6" t="str">
        <v>EXPN-GB</v>
      </c>
      <c r="O30" s="6" t="str">
        <v>SAF-FR</v>
      </c>
      <c r="P30" s="6" t="str">
        <v>ROG-CH</v>
      </c>
      <c r="Q30" s="4" t="str">
        <v>1299-HK</v>
      </c>
      <c r="R30" s="4" t="str">
        <v>HDB-US</v>
      </c>
      <c r="S30" s="4" t="str">
        <v>INTU-US</v>
      </c>
      <c r="T30" s="4" t="str">
        <v>EW-US</v>
      </c>
      <c r="U30" s="4" t="str">
        <v>FERG-US</v>
      </c>
      <c r="V30" s="4" t="str">
        <v>ZTS-US</v>
      </c>
      <c r="W30" s="4" t="str">
        <v>B3SA3-BR</v>
      </c>
      <c r="X30" s="4" t="str">
        <v>ATCO.B-SE</v>
      </c>
      <c r="Y30" s="4" t="str">
        <v>ALLE-US</v>
      </c>
      <c r="Z30" s="4" t="str">
        <v>AZO-US</v>
      </c>
      <c r="AA30" s="4" t="str">
        <v>BBCA-ID</v>
      </c>
      <c r="AB30" s="4" t="str">
        <v>RTO-GB</v>
      </c>
      <c r="AC30" s="4" t="str">
        <v>WDAY-US</v>
      </c>
      <c r="AD30" s="4" t="str">
        <v>ADSK-US</v>
      </c>
      <c r="AE30" s="4" t="str">
        <v>BKNG-US</v>
      </c>
      <c r="AF30" s="4" t="str">
        <v>EVD-DE</v>
      </c>
      <c r="AG30" s="4" t="str">
        <v>SHW-US</v>
      </c>
      <c r="AH30" s="4" t="str">
        <v>MCO-US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Microsoft Corporation</v>
      </c>
      <c r="B31" s="4" t="str" cm="1">
        <f t="array" ref="B31:B62">_xll.FDSB(V23,"IDS")</f>
        <v>MSFT-US</v>
      </c>
      <c r="C31" s="2" cm="1">
        <f t="array" ref="C31:AH62">_xll.FDSB("DUMMY","CORREL_MATRIX(CORRELMATRIX)")</f>
        <v>1</v>
      </c>
      <c r="D31" s="2">
        <v>0.70593475999999999</v>
      </c>
      <c r="E31" s="2">
        <v>-0.63645244000000001</v>
      </c>
      <c r="F31" s="2">
        <v>0.36764229999999998</v>
      </c>
      <c r="G31" s="2">
        <v>0.65332939999999995</v>
      </c>
      <c r="H31" s="2">
        <v>0.34959054000000001</v>
      </c>
      <c r="I31" s="2">
        <v>0.67176530000000001</v>
      </c>
      <c r="J31" s="2">
        <v>0.16902006999999999</v>
      </c>
      <c r="K31" s="2">
        <v>0.87168650000000003</v>
      </c>
      <c r="L31" s="2">
        <v>0.88043547</v>
      </c>
      <c r="M31" s="2">
        <v>0.91421163000000005</v>
      </c>
      <c r="N31" s="2">
        <v>0.59048842999999995</v>
      </c>
      <c r="O31" s="2">
        <v>0.83577290000000004</v>
      </c>
      <c r="P31" s="2">
        <v>0.29381698000000001</v>
      </c>
      <c r="Q31" s="2">
        <v>0.85968409999999995</v>
      </c>
      <c r="R31" s="2">
        <v>0.67432579999999998</v>
      </c>
      <c r="S31" s="2">
        <v>0.71838592999999995</v>
      </c>
      <c r="T31" s="2">
        <v>0.74858325999999997</v>
      </c>
      <c r="U31" s="2">
        <v>0.89578663999999997</v>
      </c>
      <c r="V31" s="2">
        <v>-0.55830329999999995</v>
      </c>
      <c r="W31" s="2">
        <v>0.56996875999999996</v>
      </c>
      <c r="X31" s="2">
        <v>0.13674219000000001</v>
      </c>
      <c r="Y31" s="2">
        <v>0.88420319999999997</v>
      </c>
      <c r="Z31" s="2">
        <v>0.65140359999999997</v>
      </c>
      <c r="AA31" s="2">
        <v>-0.43717499999999998</v>
      </c>
      <c r="AB31" s="2">
        <v>0.46980768000000001</v>
      </c>
      <c r="AC31" s="2">
        <v>-0.37997006999999999</v>
      </c>
      <c r="AD31" s="2">
        <v>0.65931720000000005</v>
      </c>
      <c r="AE31" s="2">
        <v>0.82277054000000005</v>
      </c>
      <c r="AF31" s="2">
        <v>3.8621889999999999E-2</v>
      </c>
      <c r="AG31" s="2">
        <v>-7.0750653999999996E-2</v>
      </c>
      <c r="AH31" s="2">
        <v>0.60859050000000003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Alphabet Inc. Class C</v>
      </c>
      <c r="B32" s="4" t="str">
        <v>GOOG-US</v>
      </c>
      <c r="C32" s="2">
        <v>0.70593475999999999</v>
      </c>
      <c r="D32" s="2">
        <v>1</v>
      </c>
      <c r="E32" s="2">
        <v>-0.83801097000000002</v>
      </c>
      <c r="F32" s="2">
        <v>8.8617705000000005E-2</v>
      </c>
      <c r="G32" s="2">
        <v>0.4345135</v>
      </c>
      <c r="H32" s="2">
        <v>4.3555419999999997E-2</v>
      </c>
      <c r="I32" s="2">
        <v>0.85035013999999998</v>
      </c>
      <c r="J32" s="2">
        <v>-0.30104807</v>
      </c>
      <c r="K32" s="2">
        <v>0.71409979999999995</v>
      </c>
      <c r="L32" s="2">
        <v>0.91188559999999996</v>
      </c>
      <c r="M32" s="2">
        <v>0.58199330000000005</v>
      </c>
      <c r="N32" s="2">
        <v>0.11297436</v>
      </c>
      <c r="O32" s="2">
        <v>0.60978410000000005</v>
      </c>
      <c r="P32" s="2">
        <v>0.35419536000000001</v>
      </c>
      <c r="Q32" s="2">
        <v>0.58549459999999998</v>
      </c>
      <c r="R32" s="2">
        <v>0.13275076</v>
      </c>
      <c r="S32" s="2">
        <v>0.13442287</v>
      </c>
      <c r="T32" s="2">
        <v>0.43807083000000002</v>
      </c>
      <c r="U32" s="2">
        <v>0.69670330000000003</v>
      </c>
      <c r="V32" s="2">
        <v>-0.52302426000000002</v>
      </c>
      <c r="W32" s="2">
        <v>0.20279378000000001</v>
      </c>
      <c r="X32" s="2">
        <v>0.49729004999999998</v>
      </c>
      <c r="Y32" s="2">
        <v>0.79561119999999996</v>
      </c>
      <c r="Z32" s="2">
        <v>0.52049210000000001</v>
      </c>
      <c r="AA32" s="2">
        <v>-0.41870984</v>
      </c>
      <c r="AB32" s="2">
        <v>0.65049409999999996</v>
      </c>
      <c r="AC32" s="2">
        <v>-0.23035027</v>
      </c>
      <c r="AD32" s="2">
        <v>0.63307270000000004</v>
      </c>
      <c r="AE32" s="2">
        <v>0.34510215999999999</v>
      </c>
      <c r="AF32" s="2">
        <v>-0.46180964000000002</v>
      </c>
      <c r="AG32" s="2">
        <v>-0.1174782</v>
      </c>
      <c r="AH32" s="2">
        <v>0.37394810000000001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London Stock Exchange Group plc</v>
      </c>
      <c r="B33" s="4" t="str">
        <v>LSEG-GB</v>
      </c>
      <c r="C33" s="2">
        <v>-0.63645244000000001</v>
      </c>
      <c r="D33" s="2">
        <v>-0.83801097000000002</v>
      </c>
      <c r="E33" s="2">
        <v>1</v>
      </c>
      <c r="F33" s="2">
        <v>5.400079E-2</v>
      </c>
      <c r="G33" s="2">
        <v>-0.32620286999999998</v>
      </c>
      <c r="H33" s="2">
        <v>-4.7368140000000003E-2</v>
      </c>
      <c r="I33" s="2">
        <v>-0.66573167</v>
      </c>
      <c r="J33" s="2">
        <v>0.25646022000000002</v>
      </c>
      <c r="K33" s="2">
        <v>-0.67086864000000002</v>
      </c>
      <c r="L33" s="2">
        <v>-0.78433185999999999</v>
      </c>
      <c r="M33" s="2">
        <v>-0.54468733000000003</v>
      </c>
      <c r="N33" s="2">
        <v>-8.0277234000000003E-2</v>
      </c>
      <c r="O33" s="2">
        <v>-0.59283010000000003</v>
      </c>
      <c r="P33" s="2">
        <v>-0.36136471999999997</v>
      </c>
      <c r="Q33" s="2">
        <v>-0.67889505999999999</v>
      </c>
      <c r="R33" s="2">
        <v>-0.13413217999999999</v>
      </c>
      <c r="S33" s="2">
        <v>-0.13910365</v>
      </c>
      <c r="T33" s="2">
        <v>-0.30478787000000002</v>
      </c>
      <c r="U33" s="2">
        <v>-0.68250940000000004</v>
      </c>
      <c r="V33" s="2">
        <v>0.57577840000000002</v>
      </c>
      <c r="W33" s="2">
        <v>-0.20706014</v>
      </c>
      <c r="X33" s="2">
        <v>-0.28965846000000001</v>
      </c>
      <c r="Y33" s="2">
        <v>-0.83910525000000002</v>
      </c>
      <c r="Z33" s="2">
        <v>-0.58651613999999996</v>
      </c>
      <c r="AA33" s="2">
        <v>0.57082359999999999</v>
      </c>
      <c r="AB33" s="2">
        <v>-0.45805982000000001</v>
      </c>
      <c r="AC33" s="2">
        <v>0.41446158</v>
      </c>
      <c r="AD33" s="2">
        <v>-0.46417062999999997</v>
      </c>
      <c r="AE33" s="2">
        <v>-0.30937829999999999</v>
      </c>
      <c r="AF33" s="2">
        <v>0.44181794000000002</v>
      </c>
      <c r="AG33" s="2">
        <v>9.1341489999999997E-2</v>
      </c>
      <c r="AH33" s="2">
        <v>-0.25641354999999999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Visa Inc. Class A</v>
      </c>
      <c r="B34" s="4" t="str">
        <v>V-US</v>
      </c>
      <c r="C34" s="2">
        <v>0.36764229999999998</v>
      </c>
      <c r="D34" s="2">
        <v>8.8617705000000005E-2</v>
      </c>
      <c r="E34" s="2">
        <v>5.400079E-2</v>
      </c>
      <c r="F34" s="2">
        <v>1</v>
      </c>
      <c r="G34" s="2">
        <v>0.81823975000000004</v>
      </c>
      <c r="H34" s="2">
        <v>0.44858350000000002</v>
      </c>
      <c r="I34" s="2">
        <v>0.31107718000000001</v>
      </c>
      <c r="J34" s="2">
        <v>0.71381145999999995</v>
      </c>
      <c r="K34" s="2">
        <v>0.59600719999999996</v>
      </c>
      <c r="L34" s="2">
        <v>0.24599626999999999</v>
      </c>
      <c r="M34" s="2">
        <v>0.58080350000000003</v>
      </c>
      <c r="N34" s="2">
        <v>0.59489787000000005</v>
      </c>
      <c r="O34" s="2">
        <v>0.63288979999999995</v>
      </c>
      <c r="P34" s="2">
        <v>0.62471074000000004</v>
      </c>
      <c r="Q34" s="2">
        <v>0.42725363</v>
      </c>
      <c r="R34" s="2">
        <v>0.50983447000000004</v>
      </c>
      <c r="S34" s="2">
        <v>0.37592851999999999</v>
      </c>
      <c r="T34" s="2">
        <v>0.58998245000000005</v>
      </c>
      <c r="U34" s="2">
        <v>0.19331364000000001</v>
      </c>
      <c r="V34" s="2">
        <v>-0.36708370000000001</v>
      </c>
      <c r="W34" s="2">
        <v>0.72070869999999998</v>
      </c>
      <c r="X34" s="2">
        <v>0.24989744999999999</v>
      </c>
      <c r="Y34" s="2">
        <v>0.2500192</v>
      </c>
      <c r="Z34" s="2">
        <v>0.60568255000000004</v>
      </c>
      <c r="AA34" s="2">
        <v>-0.426597</v>
      </c>
      <c r="AB34" s="2">
        <v>-5.6886251999999998E-2</v>
      </c>
      <c r="AC34" s="2">
        <v>-0.16816874000000001</v>
      </c>
      <c r="AD34" s="2">
        <v>7.1038019999999993E-2</v>
      </c>
      <c r="AE34" s="2">
        <v>0.45648559999999999</v>
      </c>
      <c r="AF34" s="2">
        <v>0.64860236999999998</v>
      </c>
      <c r="AG34" s="2">
        <v>-0.24333113000000001</v>
      </c>
      <c r="AH34" s="2">
        <v>0.36313995999999998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Mastercard Incorporated Class A</v>
      </c>
      <c r="B35" s="4" t="str">
        <v>MA-US</v>
      </c>
      <c r="C35" s="2">
        <v>0.65332939999999995</v>
      </c>
      <c r="D35" s="2">
        <v>0.4345135</v>
      </c>
      <c r="E35" s="2">
        <v>-0.32620286999999998</v>
      </c>
      <c r="F35" s="2">
        <v>0.81823975000000004</v>
      </c>
      <c r="G35" s="2">
        <v>1</v>
      </c>
      <c r="H35" s="2">
        <v>0.46794786999999999</v>
      </c>
      <c r="I35" s="2">
        <v>0.4596364</v>
      </c>
      <c r="J35" s="2">
        <v>0.44396263000000002</v>
      </c>
      <c r="K35" s="2">
        <v>0.76529104000000003</v>
      </c>
      <c r="L35" s="2">
        <v>0.53169124999999995</v>
      </c>
      <c r="M35" s="2">
        <v>0.78840445999999997</v>
      </c>
      <c r="N35" s="2">
        <v>0.69590085999999995</v>
      </c>
      <c r="O35" s="2">
        <v>0.75642229999999999</v>
      </c>
      <c r="P35" s="2">
        <v>0.54465954999999999</v>
      </c>
      <c r="Q35" s="2">
        <v>0.66204079999999998</v>
      </c>
      <c r="R35" s="2">
        <v>0.52112179999999997</v>
      </c>
      <c r="S35" s="2">
        <v>0.44365241999999999</v>
      </c>
      <c r="T35" s="2">
        <v>0.72928744999999995</v>
      </c>
      <c r="U35" s="2">
        <v>0.52619654000000005</v>
      </c>
      <c r="V35" s="2">
        <v>-0.36784296999999999</v>
      </c>
      <c r="W35" s="2">
        <v>0.6660933</v>
      </c>
      <c r="X35" s="2">
        <v>0.31670925</v>
      </c>
      <c r="Y35" s="2">
        <v>0.62214195999999999</v>
      </c>
      <c r="Z35" s="2">
        <v>0.73957497000000005</v>
      </c>
      <c r="AA35" s="2">
        <v>-0.40884359999999997</v>
      </c>
      <c r="AB35" s="2">
        <v>0.27256742</v>
      </c>
      <c r="AC35" s="2">
        <v>-0.17890595000000001</v>
      </c>
      <c r="AD35" s="2">
        <v>0.43372157</v>
      </c>
      <c r="AE35" s="2">
        <v>0.68904889999999996</v>
      </c>
      <c r="AF35" s="2">
        <v>0.3323738</v>
      </c>
      <c r="AG35" s="2">
        <v>4.9620707E-2</v>
      </c>
      <c r="AH35" s="2">
        <v>0.65752286000000004</v>
      </c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Unilever PLC</v>
      </c>
      <c r="B36" s="4" t="str">
        <v>ULVR-GB</v>
      </c>
      <c r="C36" s="2">
        <v>0.34959054000000001</v>
      </c>
      <c r="D36" s="2">
        <v>4.3555419999999997E-2</v>
      </c>
      <c r="E36" s="2">
        <v>-4.7368140000000003E-2</v>
      </c>
      <c r="F36" s="2">
        <v>0.44858350000000002</v>
      </c>
      <c r="G36" s="2">
        <v>0.46794786999999999</v>
      </c>
      <c r="H36" s="2">
        <v>1</v>
      </c>
      <c r="I36" s="2">
        <v>0.13849494000000001</v>
      </c>
      <c r="J36" s="2">
        <v>0.67190653</v>
      </c>
      <c r="K36" s="2">
        <v>0.47695347999999999</v>
      </c>
      <c r="L36" s="2">
        <v>0.120666996</v>
      </c>
      <c r="M36" s="2">
        <v>0.49418285000000001</v>
      </c>
      <c r="N36" s="2">
        <v>0.53752166000000001</v>
      </c>
      <c r="O36" s="2">
        <v>0.50954825000000004</v>
      </c>
      <c r="P36" s="2">
        <v>0.32581758</v>
      </c>
      <c r="Q36" s="2">
        <v>0.48107339999999998</v>
      </c>
      <c r="R36" s="2">
        <v>0.74453365999999999</v>
      </c>
      <c r="S36" s="2">
        <v>0.37469864000000003</v>
      </c>
      <c r="T36" s="2">
        <v>0.46993116000000001</v>
      </c>
      <c r="U36" s="2">
        <v>0.32125883999999999</v>
      </c>
      <c r="V36" s="2">
        <v>-0.36154072999999998</v>
      </c>
      <c r="W36" s="2">
        <v>0.70620090000000002</v>
      </c>
      <c r="X36" s="2">
        <v>-0.11404255000000001</v>
      </c>
      <c r="Y36" s="2">
        <v>0.40145046000000001</v>
      </c>
      <c r="Z36" s="2">
        <v>0.59643506999999996</v>
      </c>
      <c r="AA36" s="2">
        <v>-0.48358200000000001</v>
      </c>
      <c r="AB36" s="2">
        <v>-6.9112309999999996E-2</v>
      </c>
      <c r="AC36" s="2">
        <v>-0.4473838</v>
      </c>
      <c r="AD36" s="2">
        <v>2.1110858999999999E-2</v>
      </c>
      <c r="AE36" s="2">
        <v>0.40802709999999998</v>
      </c>
      <c r="AF36" s="2">
        <v>0.42073336</v>
      </c>
      <c r="AG36" s="2">
        <v>-2.6027761E-2</v>
      </c>
      <c r="AH36" s="2">
        <v>-4.675638E-2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ASML Holding NV Sponsored ADR</v>
      </c>
      <c r="B37" s="4" t="str">
        <v>ASML-US</v>
      </c>
      <c r="C37" s="2">
        <v>0.67176530000000001</v>
      </c>
      <c r="D37" s="2">
        <v>0.85035013999999998</v>
      </c>
      <c r="E37" s="2">
        <v>-0.66573167</v>
      </c>
      <c r="F37" s="2">
        <v>0.31107718000000001</v>
      </c>
      <c r="G37" s="2">
        <v>0.4596364</v>
      </c>
      <c r="H37" s="2">
        <v>0.13849494000000001</v>
      </c>
      <c r="I37" s="2">
        <v>1</v>
      </c>
      <c r="J37" s="2">
        <v>-6.2673960000000001E-2</v>
      </c>
      <c r="K37" s="2">
        <v>0.76522743999999998</v>
      </c>
      <c r="L37" s="2">
        <v>0.88215940000000004</v>
      </c>
      <c r="M37" s="2">
        <v>0.58164035999999997</v>
      </c>
      <c r="N37" s="2">
        <v>0.14070115999999999</v>
      </c>
      <c r="O37" s="2">
        <v>0.69357539999999995</v>
      </c>
      <c r="P37" s="2">
        <v>0.53613200000000005</v>
      </c>
      <c r="Q37" s="2">
        <v>0.60148239999999997</v>
      </c>
      <c r="R37" s="2">
        <v>0.26240407999999998</v>
      </c>
      <c r="S37" s="2">
        <v>0.21628004000000001</v>
      </c>
      <c r="T37" s="2">
        <v>0.42284018000000001</v>
      </c>
      <c r="U37" s="2">
        <v>0.64231150000000004</v>
      </c>
      <c r="V37" s="2">
        <v>-0.55557160000000005</v>
      </c>
      <c r="W37" s="2">
        <v>0.41152420000000001</v>
      </c>
      <c r="X37" s="2">
        <v>0.59795430000000005</v>
      </c>
      <c r="Y37" s="2">
        <v>0.69984230000000003</v>
      </c>
      <c r="Z37" s="2">
        <v>0.52297499999999997</v>
      </c>
      <c r="AA37" s="2">
        <v>-0.48684695</v>
      </c>
      <c r="AB37" s="2">
        <v>0.56679029999999997</v>
      </c>
      <c r="AC37" s="2">
        <v>-0.19749087000000001</v>
      </c>
      <c r="AD37" s="2">
        <v>0.51822970000000002</v>
      </c>
      <c r="AE37" s="2">
        <v>0.34850474999999997</v>
      </c>
      <c r="AF37" s="2">
        <v>-0.20623858</v>
      </c>
      <c r="AG37" s="2">
        <v>-0.27945054000000003</v>
      </c>
      <c r="AH37" s="2">
        <v>0.22869698999999999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Deutsche Boerse AG</v>
      </c>
      <c r="B38" s="4" t="str">
        <v>DB1-DE</v>
      </c>
      <c r="C38" s="2">
        <v>0.16902006999999999</v>
      </c>
      <c r="D38" s="2">
        <v>-0.30104807</v>
      </c>
      <c r="E38" s="2">
        <v>0.25646022000000002</v>
      </c>
      <c r="F38" s="2">
        <v>0.71381145999999995</v>
      </c>
      <c r="G38" s="2">
        <v>0.44396263000000002</v>
      </c>
      <c r="H38" s="2">
        <v>0.67190653</v>
      </c>
      <c r="I38" s="2">
        <v>-6.2673960000000001E-2</v>
      </c>
      <c r="J38" s="2">
        <v>1</v>
      </c>
      <c r="K38" s="2">
        <v>0.36385792</v>
      </c>
      <c r="L38" s="2">
        <v>-0.11228605999999999</v>
      </c>
      <c r="M38" s="2">
        <v>0.38254115</v>
      </c>
      <c r="N38" s="2">
        <v>0.53707059999999995</v>
      </c>
      <c r="O38" s="2">
        <v>0.49742395</v>
      </c>
      <c r="P38" s="2">
        <v>0.39345244000000001</v>
      </c>
      <c r="Q38" s="2">
        <v>0.33061644000000001</v>
      </c>
      <c r="R38" s="2">
        <v>0.67380154000000003</v>
      </c>
      <c r="S38" s="2">
        <v>0.39122965999999998</v>
      </c>
      <c r="T38" s="2">
        <v>0.44255853000000001</v>
      </c>
      <c r="U38" s="2">
        <v>-2.1958575000000001E-2</v>
      </c>
      <c r="V38" s="2">
        <v>-0.41692477</v>
      </c>
      <c r="W38" s="2">
        <v>0.79102033000000005</v>
      </c>
      <c r="X38" s="2">
        <v>-0.20984212999999999</v>
      </c>
      <c r="Y38" s="2">
        <v>7.2678740000000006E-2</v>
      </c>
      <c r="Z38" s="2">
        <v>0.54011540000000002</v>
      </c>
      <c r="AA38" s="2">
        <v>-0.47315285000000001</v>
      </c>
      <c r="AB38" s="2">
        <v>-0.48590955000000002</v>
      </c>
      <c r="AC38" s="2">
        <v>-0.45915250000000002</v>
      </c>
      <c r="AD38" s="2">
        <v>-0.31023036999999998</v>
      </c>
      <c r="AE38" s="2">
        <v>0.31491365999999998</v>
      </c>
      <c r="AF38" s="2">
        <v>0.85228970000000004</v>
      </c>
      <c r="AG38" s="2">
        <v>-0.34818317999999998</v>
      </c>
      <c r="AH38" s="2">
        <v>-6.0925145E-2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GE Aerospace</v>
      </c>
      <c r="B39" s="4" t="str">
        <v>GE-US</v>
      </c>
      <c r="C39" s="2">
        <v>0.87168650000000003</v>
      </c>
      <c r="D39" s="2">
        <v>0.71409979999999995</v>
      </c>
      <c r="E39" s="2">
        <v>-0.67086864000000002</v>
      </c>
      <c r="F39" s="2">
        <v>0.59600719999999996</v>
      </c>
      <c r="G39" s="2">
        <v>0.76529104000000003</v>
      </c>
      <c r="H39" s="2">
        <v>0.47695347999999999</v>
      </c>
      <c r="I39" s="2">
        <v>0.76522743999999998</v>
      </c>
      <c r="J39" s="2">
        <v>0.36385792</v>
      </c>
      <c r="K39" s="2">
        <v>1</v>
      </c>
      <c r="L39" s="2">
        <v>0.84680889999999998</v>
      </c>
      <c r="M39" s="2">
        <v>0.91750279999999995</v>
      </c>
      <c r="N39" s="2">
        <v>0.59510549999999995</v>
      </c>
      <c r="O39" s="2">
        <v>0.97434679999999996</v>
      </c>
      <c r="P39" s="2">
        <v>0.63536510000000002</v>
      </c>
      <c r="Q39" s="2">
        <v>0.89311200000000002</v>
      </c>
      <c r="R39" s="2">
        <v>0.64839493999999998</v>
      </c>
      <c r="S39" s="2">
        <v>0.54580205999999998</v>
      </c>
      <c r="T39" s="2">
        <v>0.72110337000000002</v>
      </c>
      <c r="U39" s="2">
        <v>0.78849159999999996</v>
      </c>
      <c r="V39" s="2">
        <v>-0.73862150000000004</v>
      </c>
      <c r="W39" s="2">
        <v>0.753162</v>
      </c>
      <c r="X39" s="2">
        <v>0.31174796999999999</v>
      </c>
      <c r="Y39" s="2">
        <v>0.87950059999999997</v>
      </c>
      <c r="Z39" s="2">
        <v>0.85118543999999996</v>
      </c>
      <c r="AA39" s="2">
        <v>-0.72709270000000004</v>
      </c>
      <c r="AB39" s="2">
        <v>0.36462070000000002</v>
      </c>
      <c r="AC39" s="2">
        <v>-0.53663810000000001</v>
      </c>
      <c r="AD39" s="2">
        <v>0.46679609999999999</v>
      </c>
      <c r="AE39" s="2">
        <v>0.66249780000000003</v>
      </c>
      <c r="AF39" s="2">
        <v>0.17796366</v>
      </c>
      <c r="AG39" s="2">
        <v>-0.24973952999999999</v>
      </c>
      <c r="AH39" s="2">
        <v>0.44622830000000002</v>
      </c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Taiwan Semiconductor Manufacturing Co., Ltd. Sponsored ADR</v>
      </c>
      <c r="B40" s="4" t="str">
        <v>TSM-US</v>
      </c>
      <c r="C40" s="2">
        <v>0.88043547</v>
      </c>
      <c r="D40" s="2">
        <v>0.91188559999999996</v>
      </c>
      <c r="E40" s="2">
        <v>-0.78433185999999999</v>
      </c>
      <c r="F40" s="2">
        <v>0.24599626999999999</v>
      </c>
      <c r="G40" s="2">
        <v>0.53169124999999995</v>
      </c>
      <c r="H40" s="2">
        <v>0.120666996</v>
      </c>
      <c r="I40" s="2">
        <v>0.88215940000000004</v>
      </c>
      <c r="J40" s="2">
        <v>-0.11228605999999999</v>
      </c>
      <c r="K40" s="2">
        <v>0.84680889999999998</v>
      </c>
      <c r="L40" s="2">
        <v>1</v>
      </c>
      <c r="M40" s="2">
        <v>0.76421313999999996</v>
      </c>
      <c r="N40" s="2">
        <v>0.33744269999999998</v>
      </c>
      <c r="O40" s="2">
        <v>0.77145929999999996</v>
      </c>
      <c r="P40" s="2">
        <v>0.42023695</v>
      </c>
      <c r="Q40" s="2">
        <v>0.74370060000000004</v>
      </c>
      <c r="R40" s="2">
        <v>0.37832555000000001</v>
      </c>
      <c r="S40" s="2">
        <v>0.42329928</v>
      </c>
      <c r="T40" s="2">
        <v>0.55546629999999997</v>
      </c>
      <c r="U40" s="2">
        <v>0.84575540000000005</v>
      </c>
      <c r="V40" s="2">
        <v>-0.57645290000000005</v>
      </c>
      <c r="W40" s="2">
        <v>0.39158251999999999</v>
      </c>
      <c r="X40" s="2">
        <v>0.43057772999999999</v>
      </c>
      <c r="Y40" s="2">
        <v>0.86860269999999995</v>
      </c>
      <c r="Z40" s="2">
        <v>0.57547592999999997</v>
      </c>
      <c r="AA40" s="2">
        <v>-0.46657103</v>
      </c>
      <c r="AB40" s="2">
        <v>0.63641614000000002</v>
      </c>
      <c r="AC40" s="2">
        <v>-0.30922709999999998</v>
      </c>
      <c r="AD40" s="2">
        <v>0.67604892999999999</v>
      </c>
      <c r="AE40" s="2">
        <v>0.56915194000000002</v>
      </c>
      <c r="AF40" s="2">
        <v>-0.23145361</v>
      </c>
      <c r="AG40" s="2">
        <v>-0.16296916</v>
      </c>
      <c r="AH40" s="2">
        <v>0.49781477000000002</v>
      </c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Charles Schwab Corp</v>
      </c>
      <c r="B41" s="4" t="str">
        <v>SCHW-US</v>
      </c>
      <c r="C41" s="2">
        <v>0.91421163000000005</v>
      </c>
      <c r="D41" s="2">
        <v>0.58199330000000005</v>
      </c>
      <c r="E41" s="2">
        <v>-0.54468733000000003</v>
      </c>
      <c r="F41" s="2">
        <v>0.58080350000000003</v>
      </c>
      <c r="G41" s="2">
        <v>0.78840445999999997</v>
      </c>
      <c r="H41" s="2">
        <v>0.49418285000000001</v>
      </c>
      <c r="I41" s="2">
        <v>0.58164035999999997</v>
      </c>
      <c r="J41" s="2">
        <v>0.38254115</v>
      </c>
      <c r="K41" s="2">
        <v>0.91750279999999995</v>
      </c>
      <c r="L41" s="2">
        <v>0.76421313999999996</v>
      </c>
      <c r="M41" s="2">
        <v>1</v>
      </c>
      <c r="N41" s="2">
        <v>0.72427140000000001</v>
      </c>
      <c r="O41" s="2">
        <v>0.90114879999999997</v>
      </c>
      <c r="P41" s="2">
        <v>0.4286066</v>
      </c>
      <c r="Q41" s="2">
        <v>0.85586035000000005</v>
      </c>
      <c r="R41" s="2">
        <v>0.74075009999999997</v>
      </c>
      <c r="S41" s="2">
        <v>0.67912256999999998</v>
      </c>
      <c r="T41" s="2">
        <v>0.78961230000000004</v>
      </c>
      <c r="U41" s="2">
        <v>0.82783830000000003</v>
      </c>
      <c r="V41" s="2">
        <v>-0.59707569999999999</v>
      </c>
      <c r="W41" s="2">
        <v>0.70885335999999999</v>
      </c>
      <c r="X41" s="2">
        <v>0.12748151999999999</v>
      </c>
      <c r="Y41" s="2">
        <v>0.85337543000000005</v>
      </c>
      <c r="Z41" s="2">
        <v>0.77254533999999997</v>
      </c>
      <c r="AA41" s="2">
        <v>-0.55374615999999999</v>
      </c>
      <c r="AB41" s="2">
        <v>0.35174640000000001</v>
      </c>
      <c r="AC41" s="2">
        <v>-0.42901167000000001</v>
      </c>
      <c r="AD41" s="2">
        <v>0.54656950000000004</v>
      </c>
      <c r="AE41" s="2">
        <v>0.81464130000000001</v>
      </c>
      <c r="AF41" s="2">
        <v>0.22171080000000001</v>
      </c>
      <c r="AG41" s="2">
        <v>-6.334584E-2</v>
      </c>
      <c r="AH41" s="2">
        <v>0.62880329999999995</v>
      </c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Experian PLC</v>
      </c>
      <c r="B42" s="4" t="str">
        <v>EXPN-GB</v>
      </c>
      <c r="C42" s="2">
        <v>0.59048842999999995</v>
      </c>
      <c r="D42" s="2">
        <v>0.11297436</v>
      </c>
      <c r="E42" s="2">
        <v>-8.0277234000000003E-2</v>
      </c>
      <c r="F42" s="2">
        <v>0.59489787000000005</v>
      </c>
      <c r="G42" s="2">
        <v>0.69590085999999995</v>
      </c>
      <c r="H42" s="2">
        <v>0.53752166000000001</v>
      </c>
      <c r="I42" s="2">
        <v>0.14070115999999999</v>
      </c>
      <c r="J42" s="2">
        <v>0.53707059999999995</v>
      </c>
      <c r="K42" s="2">
        <v>0.59510549999999995</v>
      </c>
      <c r="L42" s="2">
        <v>0.33744269999999998</v>
      </c>
      <c r="M42" s="2">
        <v>0.72427140000000001</v>
      </c>
      <c r="N42" s="2">
        <v>1</v>
      </c>
      <c r="O42" s="2">
        <v>0.6305383</v>
      </c>
      <c r="P42" s="2">
        <v>0.32420536999999999</v>
      </c>
      <c r="Q42" s="2">
        <v>0.55935573999999999</v>
      </c>
      <c r="R42" s="2">
        <v>0.65563400000000005</v>
      </c>
      <c r="S42" s="2">
        <v>0.62866160000000004</v>
      </c>
      <c r="T42" s="2">
        <v>0.55849945999999995</v>
      </c>
      <c r="U42" s="2">
        <v>0.52673130000000001</v>
      </c>
      <c r="V42" s="2">
        <v>-0.25058997</v>
      </c>
      <c r="W42" s="2">
        <v>0.69405360000000005</v>
      </c>
      <c r="X42" s="2">
        <v>3.5210789999999999E-2</v>
      </c>
      <c r="Y42" s="2">
        <v>0.48983317999999998</v>
      </c>
      <c r="Z42" s="2">
        <v>0.49698513999999999</v>
      </c>
      <c r="AA42" s="2">
        <v>-0.3585083</v>
      </c>
      <c r="AB42" s="2">
        <v>0.11803714</v>
      </c>
      <c r="AC42" s="2">
        <v>-0.26566119999999999</v>
      </c>
      <c r="AD42" s="2">
        <v>0.38341677000000002</v>
      </c>
      <c r="AE42" s="2">
        <v>0.73634343999999996</v>
      </c>
      <c r="AF42" s="2">
        <v>0.57672659999999998</v>
      </c>
      <c r="AG42" s="2">
        <v>0.14438509999999999</v>
      </c>
      <c r="AH42" s="2">
        <v>0.57890240000000004</v>
      </c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Safran SA</v>
      </c>
      <c r="B43" s="4" t="str">
        <v>SAF-FR</v>
      </c>
      <c r="C43" s="2">
        <v>0.83577290000000004</v>
      </c>
      <c r="D43" s="2">
        <v>0.60978410000000005</v>
      </c>
      <c r="E43" s="2">
        <v>-0.59283010000000003</v>
      </c>
      <c r="F43" s="2">
        <v>0.63288979999999995</v>
      </c>
      <c r="G43" s="2">
        <v>0.75642229999999999</v>
      </c>
      <c r="H43" s="2">
        <v>0.50954825000000004</v>
      </c>
      <c r="I43" s="2">
        <v>0.69357539999999995</v>
      </c>
      <c r="J43" s="2">
        <v>0.49742395</v>
      </c>
      <c r="K43" s="2">
        <v>0.97434679999999996</v>
      </c>
      <c r="L43" s="2">
        <v>0.77145929999999996</v>
      </c>
      <c r="M43" s="2">
        <v>0.90114879999999997</v>
      </c>
      <c r="N43" s="2">
        <v>0.6305383</v>
      </c>
      <c r="O43" s="2">
        <v>1</v>
      </c>
      <c r="P43" s="2">
        <v>0.66563360000000005</v>
      </c>
      <c r="Q43" s="2">
        <v>0.89136959999999998</v>
      </c>
      <c r="R43" s="2">
        <v>0.68493545</v>
      </c>
      <c r="S43" s="2">
        <v>0.55562109999999998</v>
      </c>
      <c r="T43" s="2">
        <v>0.72285056000000003</v>
      </c>
      <c r="U43" s="2">
        <v>0.72498775000000004</v>
      </c>
      <c r="V43" s="2">
        <v>-0.75195484999999995</v>
      </c>
      <c r="W43" s="2">
        <v>0.80935913000000004</v>
      </c>
      <c r="X43" s="2">
        <v>0.26819238000000001</v>
      </c>
      <c r="Y43" s="2">
        <v>0.83187319999999998</v>
      </c>
      <c r="Z43" s="2">
        <v>0.86373509999999998</v>
      </c>
      <c r="AA43" s="2">
        <v>-0.75561299999999998</v>
      </c>
      <c r="AB43" s="2">
        <v>0.24754403999999999</v>
      </c>
      <c r="AC43" s="2">
        <v>-0.59105973999999994</v>
      </c>
      <c r="AD43" s="2">
        <v>0.346362</v>
      </c>
      <c r="AE43" s="2">
        <v>0.65287499999999998</v>
      </c>
      <c r="AF43" s="2">
        <v>0.30352790000000002</v>
      </c>
      <c r="AG43" s="2">
        <v>-0.29551873000000001</v>
      </c>
      <c r="AH43" s="2">
        <v>0.40606787999999999</v>
      </c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Roche Holding Ltd Dividend Right Cert.</v>
      </c>
      <c r="B44" s="4" t="str">
        <v>ROG-CH</v>
      </c>
      <c r="C44" s="2">
        <v>0.29381698000000001</v>
      </c>
      <c r="D44" s="2">
        <v>0.35419536000000001</v>
      </c>
      <c r="E44" s="2">
        <v>-0.36136471999999997</v>
      </c>
      <c r="F44" s="2">
        <v>0.62471074000000004</v>
      </c>
      <c r="G44" s="2">
        <v>0.54465954999999999</v>
      </c>
      <c r="H44" s="2">
        <v>0.32581758</v>
      </c>
      <c r="I44" s="2">
        <v>0.53613200000000005</v>
      </c>
      <c r="J44" s="2">
        <v>0.39345244000000001</v>
      </c>
      <c r="K44" s="2">
        <v>0.63536510000000002</v>
      </c>
      <c r="L44" s="2">
        <v>0.42023695</v>
      </c>
      <c r="M44" s="2">
        <v>0.4286066</v>
      </c>
      <c r="N44" s="2">
        <v>0.32420536999999999</v>
      </c>
      <c r="O44" s="2">
        <v>0.66563360000000005</v>
      </c>
      <c r="P44" s="2">
        <v>1</v>
      </c>
      <c r="Q44" s="2">
        <v>0.52503233999999999</v>
      </c>
      <c r="R44" s="2">
        <v>0.23687517999999999</v>
      </c>
      <c r="S44" s="2">
        <v>7.7358099999999999E-2</v>
      </c>
      <c r="T44" s="2">
        <v>0.27160580000000001</v>
      </c>
      <c r="U44" s="2">
        <v>0.26930627000000001</v>
      </c>
      <c r="V44" s="2">
        <v>-0.48732500000000001</v>
      </c>
      <c r="W44" s="2">
        <v>0.56633275999999999</v>
      </c>
      <c r="X44" s="2">
        <v>0.611209</v>
      </c>
      <c r="Y44" s="2">
        <v>0.41938993000000002</v>
      </c>
      <c r="Z44" s="2">
        <v>0.64721399999999996</v>
      </c>
      <c r="AA44" s="2">
        <v>-0.69116429999999995</v>
      </c>
      <c r="AB44" s="2">
        <v>0.11788984399999999</v>
      </c>
      <c r="AC44" s="2">
        <v>-0.37374666000000001</v>
      </c>
      <c r="AD44" s="2">
        <v>-1.1348601E-2</v>
      </c>
      <c r="AE44" s="2">
        <v>0.13436571</v>
      </c>
      <c r="AF44" s="2">
        <v>0.27706009999999998</v>
      </c>
      <c r="AG44" s="2">
        <v>-0.33797487999999998</v>
      </c>
      <c r="AH44" s="2">
        <v>8.3989720000000004E-2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AIA Group Limited</v>
      </c>
      <c r="B45" s="4" t="str">
        <v>1299-HK</v>
      </c>
      <c r="C45" s="2">
        <v>0.85968409999999995</v>
      </c>
      <c r="D45" s="2">
        <v>0.58549459999999998</v>
      </c>
      <c r="E45" s="2">
        <v>-0.67889505999999999</v>
      </c>
      <c r="F45" s="2">
        <v>0.42725363</v>
      </c>
      <c r="G45" s="2">
        <v>0.66204079999999998</v>
      </c>
      <c r="H45" s="2">
        <v>0.48107339999999998</v>
      </c>
      <c r="I45" s="2">
        <v>0.60148239999999997</v>
      </c>
      <c r="J45" s="2">
        <v>0.33061644000000001</v>
      </c>
      <c r="K45" s="2">
        <v>0.89311200000000002</v>
      </c>
      <c r="L45" s="2">
        <v>0.74370060000000004</v>
      </c>
      <c r="M45" s="2">
        <v>0.85586035000000005</v>
      </c>
      <c r="N45" s="2">
        <v>0.55935573999999999</v>
      </c>
      <c r="O45" s="2">
        <v>0.89136959999999998</v>
      </c>
      <c r="P45" s="2">
        <v>0.52503233999999999</v>
      </c>
      <c r="Q45" s="2">
        <v>1</v>
      </c>
      <c r="R45" s="2">
        <v>0.67413144999999997</v>
      </c>
      <c r="S45" s="2">
        <v>0.64791679999999996</v>
      </c>
      <c r="T45" s="2">
        <v>0.66509399999999996</v>
      </c>
      <c r="U45" s="2">
        <v>0.79592806000000005</v>
      </c>
      <c r="V45" s="2">
        <v>-0.6162223</v>
      </c>
      <c r="W45" s="2">
        <v>0.70561342999999999</v>
      </c>
      <c r="X45" s="2">
        <v>0.15635514</v>
      </c>
      <c r="Y45" s="2">
        <v>0.85742499999999999</v>
      </c>
      <c r="Z45" s="2">
        <v>0.79341196999999997</v>
      </c>
      <c r="AA45" s="2">
        <v>-0.63356303999999997</v>
      </c>
      <c r="AB45" s="2">
        <v>0.27473997999999999</v>
      </c>
      <c r="AC45" s="2">
        <v>-0.54933566</v>
      </c>
      <c r="AD45" s="2">
        <v>0.40610948000000002</v>
      </c>
      <c r="AE45" s="2">
        <v>0.69259579999999998</v>
      </c>
      <c r="AF45" s="2">
        <v>0.14610770000000001</v>
      </c>
      <c r="AG45" s="2">
        <v>-0.12612398</v>
      </c>
      <c r="AH45" s="2">
        <v>0.3968373</v>
      </c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HDFC Bank Limited Sponsored ADR</v>
      </c>
      <c r="B46" s="4" t="str">
        <v>HDB-US</v>
      </c>
      <c r="C46" s="2">
        <v>0.67432579999999998</v>
      </c>
      <c r="D46" s="2">
        <v>0.13275076</v>
      </c>
      <c r="E46" s="2">
        <v>-0.13413217999999999</v>
      </c>
      <c r="F46" s="2">
        <v>0.50983447000000004</v>
      </c>
      <c r="G46" s="2">
        <v>0.52112179999999997</v>
      </c>
      <c r="H46" s="2">
        <v>0.74453365999999999</v>
      </c>
      <c r="I46" s="2">
        <v>0.26240407999999998</v>
      </c>
      <c r="J46" s="2">
        <v>0.67380154000000003</v>
      </c>
      <c r="K46" s="2">
        <v>0.64839493999999998</v>
      </c>
      <c r="L46" s="2">
        <v>0.37832555000000001</v>
      </c>
      <c r="M46" s="2">
        <v>0.74075009999999997</v>
      </c>
      <c r="N46" s="2">
        <v>0.65563400000000005</v>
      </c>
      <c r="O46" s="2">
        <v>0.68493545</v>
      </c>
      <c r="P46" s="2">
        <v>0.23687517999999999</v>
      </c>
      <c r="Q46" s="2">
        <v>0.67413144999999997</v>
      </c>
      <c r="R46" s="2">
        <v>1</v>
      </c>
      <c r="S46" s="2">
        <v>0.78058654000000005</v>
      </c>
      <c r="T46" s="2">
        <v>0.70181420000000005</v>
      </c>
      <c r="U46" s="2">
        <v>0.57403159999999998</v>
      </c>
      <c r="V46" s="2">
        <v>-0.52214879999999997</v>
      </c>
      <c r="W46" s="2">
        <v>0.77642290000000003</v>
      </c>
      <c r="X46" s="2">
        <v>-0.25963658000000001</v>
      </c>
      <c r="Y46" s="2">
        <v>0.54724569999999995</v>
      </c>
      <c r="Z46" s="2">
        <v>0.58945477000000002</v>
      </c>
      <c r="AA46" s="2">
        <v>-0.45545970000000002</v>
      </c>
      <c r="AB46" s="2">
        <v>4.4938736E-2</v>
      </c>
      <c r="AC46" s="2">
        <v>-0.48942497000000001</v>
      </c>
      <c r="AD46" s="2">
        <v>0.21431143999999999</v>
      </c>
      <c r="AE46" s="2">
        <v>0.73203313000000003</v>
      </c>
      <c r="AF46" s="2">
        <v>0.50401235</v>
      </c>
      <c r="AG46" s="2">
        <v>-0.19680529999999999</v>
      </c>
      <c r="AH46" s="2">
        <v>0.23690847000000001</v>
      </c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Intuit Inc.</v>
      </c>
      <c r="B47" s="4" t="str">
        <v>INTU-US</v>
      </c>
      <c r="C47" s="2">
        <v>0.71838592999999995</v>
      </c>
      <c r="D47" s="2">
        <v>0.13442287</v>
      </c>
      <c r="E47" s="2">
        <v>-0.13910365</v>
      </c>
      <c r="F47" s="2">
        <v>0.37592851999999999</v>
      </c>
      <c r="G47" s="2">
        <v>0.44365241999999999</v>
      </c>
      <c r="H47" s="2">
        <v>0.37469864000000003</v>
      </c>
      <c r="I47" s="2">
        <v>0.21628004000000001</v>
      </c>
      <c r="J47" s="2">
        <v>0.39122965999999998</v>
      </c>
      <c r="K47" s="2">
        <v>0.54580205999999998</v>
      </c>
      <c r="L47" s="2">
        <v>0.42329928</v>
      </c>
      <c r="M47" s="2">
        <v>0.67912256999999998</v>
      </c>
      <c r="N47" s="2">
        <v>0.62866160000000004</v>
      </c>
      <c r="O47" s="2">
        <v>0.55562109999999998</v>
      </c>
      <c r="P47" s="2">
        <v>7.7358099999999999E-2</v>
      </c>
      <c r="Q47" s="2">
        <v>0.64791679999999996</v>
      </c>
      <c r="R47" s="2">
        <v>0.78058654000000005</v>
      </c>
      <c r="S47" s="2">
        <v>1</v>
      </c>
      <c r="T47" s="2">
        <v>0.56395704000000002</v>
      </c>
      <c r="U47" s="2">
        <v>0.63360510000000003</v>
      </c>
      <c r="V47" s="2">
        <v>-0.22069449999999999</v>
      </c>
      <c r="W47" s="2">
        <v>0.54432904999999998</v>
      </c>
      <c r="X47" s="2">
        <v>-0.21496339</v>
      </c>
      <c r="Y47" s="2">
        <v>0.47322120000000001</v>
      </c>
      <c r="Z47" s="2">
        <v>0.33920835999999999</v>
      </c>
      <c r="AA47" s="2">
        <v>-0.18521334</v>
      </c>
      <c r="AB47" s="2">
        <v>0.10008868999999999</v>
      </c>
      <c r="AC47" s="2">
        <v>-0.24336699000000001</v>
      </c>
      <c r="AD47" s="2">
        <v>0.44841852999999998</v>
      </c>
      <c r="AE47" s="2">
        <v>0.81520367000000005</v>
      </c>
      <c r="AF47" s="2">
        <v>0.41168347</v>
      </c>
      <c r="AG47" s="2">
        <v>-1.3929943E-2</v>
      </c>
      <c r="AH47" s="2">
        <v>0.43798690000000001</v>
      </c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Edwards Lifesciences Corporation</v>
      </c>
      <c r="B48" s="4" t="str">
        <v>EW-US</v>
      </c>
      <c r="C48" s="2">
        <v>0.74858325999999997</v>
      </c>
      <c r="D48" s="2">
        <v>0.43807083000000002</v>
      </c>
      <c r="E48" s="2">
        <v>-0.30478787000000002</v>
      </c>
      <c r="F48" s="2">
        <v>0.58998245000000005</v>
      </c>
      <c r="G48" s="2">
        <v>0.72928744999999995</v>
      </c>
      <c r="H48" s="2">
        <v>0.46993116000000001</v>
      </c>
      <c r="I48" s="2">
        <v>0.42284018000000001</v>
      </c>
      <c r="J48" s="2">
        <v>0.44255853000000001</v>
      </c>
      <c r="K48" s="2">
        <v>0.72110337000000002</v>
      </c>
      <c r="L48" s="2">
        <v>0.55546629999999997</v>
      </c>
      <c r="M48" s="2">
        <v>0.78961230000000004</v>
      </c>
      <c r="N48" s="2">
        <v>0.55849945999999995</v>
      </c>
      <c r="O48" s="2">
        <v>0.72285056000000003</v>
      </c>
      <c r="P48" s="2">
        <v>0.27160580000000001</v>
      </c>
      <c r="Q48" s="2">
        <v>0.66509399999999996</v>
      </c>
      <c r="R48" s="2">
        <v>0.70181420000000005</v>
      </c>
      <c r="S48" s="2">
        <v>0.56395704000000002</v>
      </c>
      <c r="T48" s="2">
        <v>1</v>
      </c>
      <c r="U48" s="2">
        <v>0.58273154000000005</v>
      </c>
      <c r="V48" s="2">
        <v>-0.52576696999999994</v>
      </c>
      <c r="W48" s="2">
        <v>0.61386775999999998</v>
      </c>
      <c r="X48" s="2">
        <v>-2.2365695000000001E-2</v>
      </c>
      <c r="Y48" s="2">
        <v>0.62766250000000001</v>
      </c>
      <c r="Z48" s="2">
        <v>0.66737570000000002</v>
      </c>
      <c r="AA48" s="2">
        <v>-0.34931131999999998</v>
      </c>
      <c r="AB48" s="2">
        <v>0.23250816999999999</v>
      </c>
      <c r="AC48" s="2">
        <v>-0.35248469999999998</v>
      </c>
      <c r="AD48" s="2">
        <v>0.3719343</v>
      </c>
      <c r="AE48" s="2">
        <v>0.7510753</v>
      </c>
      <c r="AF48" s="2">
        <v>0.23480126000000001</v>
      </c>
      <c r="AG48" s="2">
        <v>-0.14447314</v>
      </c>
      <c r="AH48" s="2">
        <v>0.54310672999999998</v>
      </c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Ferguson Enterprises Inc.</v>
      </c>
      <c r="B49" s="4" t="str">
        <v>FERG-US</v>
      </c>
      <c r="C49" s="2">
        <v>0.89578663999999997</v>
      </c>
      <c r="D49" s="2">
        <v>0.69670330000000003</v>
      </c>
      <c r="E49" s="2">
        <v>-0.68250940000000004</v>
      </c>
      <c r="F49" s="2">
        <v>0.19331364000000001</v>
      </c>
      <c r="G49" s="2">
        <v>0.52619654000000005</v>
      </c>
      <c r="H49" s="2">
        <v>0.32125883999999999</v>
      </c>
      <c r="I49" s="2">
        <v>0.64231150000000004</v>
      </c>
      <c r="J49" s="2">
        <v>-2.1958575000000001E-2</v>
      </c>
      <c r="K49" s="2">
        <v>0.78849159999999996</v>
      </c>
      <c r="L49" s="2">
        <v>0.84575540000000005</v>
      </c>
      <c r="M49" s="2">
        <v>0.82783830000000003</v>
      </c>
      <c r="N49" s="2">
        <v>0.52673130000000001</v>
      </c>
      <c r="O49" s="2">
        <v>0.72498775000000004</v>
      </c>
      <c r="P49" s="2">
        <v>0.26930627000000001</v>
      </c>
      <c r="Q49" s="2">
        <v>0.79592806000000005</v>
      </c>
      <c r="R49" s="2">
        <v>0.57403159999999998</v>
      </c>
      <c r="S49" s="2">
        <v>0.63360510000000003</v>
      </c>
      <c r="T49" s="2">
        <v>0.58273154000000005</v>
      </c>
      <c r="U49" s="2">
        <v>1</v>
      </c>
      <c r="V49" s="2">
        <v>-0.4129853</v>
      </c>
      <c r="W49" s="2">
        <v>0.40707739999999998</v>
      </c>
      <c r="X49" s="2">
        <v>0.16548260000000001</v>
      </c>
      <c r="Y49" s="2">
        <v>0.86650132999999996</v>
      </c>
      <c r="Z49" s="2">
        <v>0.50621176000000001</v>
      </c>
      <c r="AA49" s="2">
        <v>-0.40708129999999998</v>
      </c>
      <c r="AB49" s="2">
        <v>0.61457839999999997</v>
      </c>
      <c r="AC49" s="2">
        <v>-0.35045199999999999</v>
      </c>
      <c r="AD49" s="2">
        <v>0.69178580000000001</v>
      </c>
      <c r="AE49" s="2">
        <v>0.75076069999999995</v>
      </c>
      <c r="AF49" s="2">
        <v>-0.13654114000000001</v>
      </c>
      <c r="AG49" s="2">
        <v>0.1422379</v>
      </c>
      <c r="AH49" s="2">
        <v>0.57953100000000002</v>
      </c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Zoetis, Inc. Class A</v>
      </c>
      <c r="B50" s="4" t="str">
        <v>ZTS-US</v>
      </c>
      <c r="C50" s="2">
        <v>-0.55830329999999995</v>
      </c>
      <c r="D50" s="2">
        <v>-0.52302426000000002</v>
      </c>
      <c r="E50" s="2">
        <v>0.57577840000000002</v>
      </c>
      <c r="F50" s="2">
        <v>-0.36708370000000001</v>
      </c>
      <c r="G50" s="2">
        <v>-0.36784296999999999</v>
      </c>
      <c r="H50" s="2">
        <v>-0.36154072999999998</v>
      </c>
      <c r="I50" s="2">
        <v>-0.55557160000000005</v>
      </c>
      <c r="J50" s="2">
        <v>-0.41692477</v>
      </c>
      <c r="K50" s="2">
        <v>-0.73862150000000004</v>
      </c>
      <c r="L50" s="2">
        <v>-0.57645290000000005</v>
      </c>
      <c r="M50" s="2">
        <v>-0.59707569999999999</v>
      </c>
      <c r="N50" s="2">
        <v>-0.25058997</v>
      </c>
      <c r="O50" s="2">
        <v>-0.75195484999999995</v>
      </c>
      <c r="P50" s="2">
        <v>-0.48732500000000001</v>
      </c>
      <c r="Q50" s="2">
        <v>-0.6162223</v>
      </c>
      <c r="R50" s="2">
        <v>-0.52214879999999997</v>
      </c>
      <c r="S50" s="2">
        <v>-0.22069449999999999</v>
      </c>
      <c r="T50" s="2">
        <v>-0.52576696999999994</v>
      </c>
      <c r="U50" s="2">
        <v>-0.4129853</v>
      </c>
      <c r="V50" s="2">
        <v>1</v>
      </c>
      <c r="W50" s="2">
        <v>-0.65347920000000004</v>
      </c>
      <c r="X50" s="2">
        <v>-4.310104E-2</v>
      </c>
      <c r="Y50" s="2">
        <v>-0.6311677</v>
      </c>
      <c r="Z50" s="2">
        <v>-0.77104740000000005</v>
      </c>
      <c r="AA50" s="2">
        <v>0.86863489999999999</v>
      </c>
      <c r="AB50" s="2">
        <v>-5.4289485999999998E-2</v>
      </c>
      <c r="AC50" s="2">
        <v>0.70890770000000003</v>
      </c>
      <c r="AD50" s="2">
        <v>-6.0830479999999999E-2</v>
      </c>
      <c r="AE50" s="2">
        <v>-0.29268342000000003</v>
      </c>
      <c r="AF50" s="2">
        <v>-0.17568173000000001</v>
      </c>
      <c r="AG50" s="2">
        <v>0.64249339999999999</v>
      </c>
      <c r="AH50" s="2">
        <v>7.5921123000000004E-3</v>
      </c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B3 SA - Brasil, Bolsa, Balcao</v>
      </c>
      <c r="B51" s="4" t="str">
        <v>B3SA3-BR</v>
      </c>
      <c r="C51" s="2">
        <v>0.56996875999999996</v>
      </c>
      <c r="D51" s="2">
        <v>0.20279378000000001</v>
      </c>
      <c r="E51" s="2">
        <v>-0.20706014</v>
      </c>
      <c r="F51" s="2">
        <v>0.72070869999999998</v>
      </c>
      <c r="G51" s="2">
        <v>0.6660933</v>
      </c>
      <c r="H51" s="2">
        <v>0.70620090000000002</v>
      </c>
      <c r="I51" s="2">
        <v>0.41152420000000001</v>
      </c>
      <c r="J51" s="2">
        <v>0.79102033000000005</v>
      </c>
      <c r="K51" s="2">
        <v>0.753162</v>
      </c>
      <c r="L51" s="2">
        <v>0.39158251999999999</v>
      </c>
      <c r="M51" s="2">
        <v>0.70885335999999999</v>
      </c>
      <c r="N51" s="2">
        <v>0.69405360000000005</v>
      </c>
      <c r="O51" s="2">
        <v>0.80935913000000004</v>
      </c>
      <c r="P51" s="2">
        <v>0.56633275999999999</v>
      </c>
      <c r="Q51" s="2">
        <v>0.70561342999999999</v>
      </c>
      <c r="R51" s="2">
        <v>0.77642290000000003</v>
      </c>
      <c r="S51" s="2">
        <v>0.54432904999999998</v>
      </c>
      <c r="T51" s="2">
        <v>0.61386775999999998</v>
      </c>
      <c r="U51" s="2">
        <v>0.40707739999999998</v>
      </c>
      <c r="V51" s="2">
        <v>-0.65347920000000004</v>
      </c>
      <c r="W51" s="2">
        <v>1</v>
      </c>
      <c r="X51" s="2">
        <v>6.3090049999999995E-2</v>
      </c>
      <c r="Y51" s="2">
        <v>0.53338646999999995</v>
      </c>
      <c r="Z51" s="2">
        <v>0.77247639999999995</v>
      </c>
      <c r="AA51" s="2">
        <v>-0.71323789999999998</v>
      </c>
      <c r="AB51" s="2">
        <v>-8.1222059999999999E-2</v>
      </c>
      <c r="AC51" s="2">
        <v>-0.52141490000000001</v>
      </c>
      <c r="AD51" s="2">
        <v>0.15645722000000001</v>
      </c>
      <c r="AE51" s="2">
        <v>0.56312419999999996</v>
      </c>
      <c r="AF51" s="2">
        <v>0.63204824999999998</v>
      </c>
      <c r="AG51" s="2">
        <v>-0.34943964999999999</v>
      </c>
      <c r="AH51" s="2">
        <v>0.14174497</v>
      </c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Atlas Copco AB Class B</v>
      </c>
      <c r="B52" s="4" t="str">
        <v>ATCO.B-SE</v>
      </c>
      <c r="C52" s="2">
        <v>0.13674219000000001</v>
      </c>
      <c r="D52" s="2">
        <v>0.49729004999999998</v>
      </c>
      <c r="E52" s="2">
        <v>-0.28965846000000001</v>
      </c>
      <c r="F52" s="2">
        <v>0.24989744999999999</v>
      </c>
      <c r="G52" s="2">
        <v>0.31670925</v>
      </c>
      <c r="H52" s="2">
        <v>-0.11404255000000001</v>
      </c>
      <c r="I52" s="2">
        <v>0.59795430000000005</v>
      </c>
      <c r="J52" s="2">
        <v>-0.20984212999999999</v>
      </c>
      <c r="K52" s="2">
        <v>0.31174796999999999</v>
      </c>
      <c r="L52" s="2">
        <v>0.43057772999999999</v>
      </c>
      <c r="M52" s="2">
        <v>0.12748151999999999</v>
      </c>
      <c r="N52" s="2">
        <v>3.5210789999999999E-2</v>
      </c>
      <c r="O52" s="2">
        <v>0.26819238000000001</v>
      </c>
      <c r="P52" s="2">
        <v>0.611209</v>
      </c>
      <c r="Q52" s="2">
        <v>0.15635514</v>
      </c>
      <c r="R52" s="2">
        <v>-0.25963658000000001</v>
      </c>
      <c r="S52" s="2">
        <v>-0.21496339</v>
      </c>
      <c r="T52" s="2">
        <v>-2.2365695000000001E-2</v>
      </c>
      <c r="U52" s="2">
        <v>0.16548260000000001</v>
      </c>
      <c r="V52" s="2">
        <v>-4.310104E-2</v>
      </c>
      <c r="W52" s="2">
        <v>6.3090049999999995E-2</v>
      </c>
      <c r="X52" s="2">
        <v>1</v>
      </c>
      <c r="Y52" s="2">
        <v>0.2420572</v>
      </c>
      <c r="Z52" s="2">
        <v>0.18176089000000001</v>
      </c>
      <c r="AA52" s="2">
        <v>-0.18155709</v>
      </c>
      <c r="AB52" s="2">
        <v>0.4175469</v>
      </c>
      <c r="AC52" s="2">
        <v>0.20399998</v>
      </c>
      <c r="AD52" s="2">
        <v>0.26625090000000001</v>
      </c>
      <c r="AE52" s="2">
        <v>-6.1435654999999999E-2</v>
      </c>
      <c r="AF52" s="2">
        <v>-0.17833117000000001</v>
      </c>
      <c r="AG52" s="2">
        <v>1.7296527999999999E-2</v>
      </c>
      <c r="AH52" s="2">
        <v>0.18540765000000001</v>
      </c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Allegion Public Limited Company</v>
      </c>
      <c r="B53" s="4" t="str">
        <v>ALLE-US</v>
      </c>
      <c r="C53" s="2">
        <v>0.88420319999999997</v>
      </c>
      <c r="D53" s="2">
        <v>0.79561119999999996</v>
      </c>
      <c r="E53" s="2">
        <v>-0.83910525000000002</v>
      </c>
      <c r="F53" s="2">
        <v>0.2500192</v>
      </c>
      <c r="G53" s="2">
        <v>0.62214195999999999</v>
      </c>
      <c r="H53" s="2">
        <v>0.40145046000000001</v>
      </c>
      <c r="I53" s="2">
        <v>0.69984230000000003</v>
      </c>
      <c r="J53" s="2">
        <v>7.2678740000000006E-2</v>
      </c>
      <c r="K53" s="2">
        <v>0.87950059999999997</v>
      </c>
      <c r="L53" s="2">
        <v>0.86860269999999995</v>
      </c>
      <c r="M53" s="2">
        <v>0.85337543000000005</v>
      </c>
      <c r="N53" s="2">
        <v>0.48983317999999998</v>
      </c>
      <c r="O53" s="2">
        <v>0.83187319999999998</v>
      </c>
      <c r="P53" s="2">
        <v>0.41938993000000002</v>
      </c>
      <c r="Q53" s="2">
        <v>0.85742499999999999</v>
      </c>
      <c r="R53" s="2">
        <v>0.54724569999999995</v>
      </c>
      <c r="S53" s="2">
        <v>0.47322120000000001</v>
      </c>
      <c r="T53" s="2">
        <v>0.62766250000000001</v>
      </c>
      <c r="U53" s="2">
        <v>0.86650132999999996</v>
      </c>
      <c r="V53" s="2">
        <v>-0.6311677</v>
      </c>
      <c r="W53" s="2">
        <v>0.53338646999999995</v>
      </c>
      <c r="X53" s="2">
        <v>0.2420572</v>
      </c>
      <c r="Y53" s="2">
        <v>1</v>
      </c>
      <c r="Z53" s="2">
        <v>0.76154124999999995</v>
      </c>
      <c r="AA53" s="2">
        <v>-0.61661290000000002</v>
      </c>
      <c r="AB53" s="2">
        <v>0.51209899999999997</v>
      </c>
      <c r="AC53" s="2">
        <v>-0.46181460000000002</v>
      </c>
      <c r="AD53" s="2">
        <v>0.60229969999999999</v>
      </c>
      <c r="AE53" s="2">
        <v>0.66647005000000004</v>
      </c>
      <c r="AF53" s="2">
        <v>-0.13596040000000001</v>
      </c>
      <c r="AG53" s="2">
        <v>-1.2792519E-2</v>
      </c>
      <c r="AH53" s="2">
        <v>0.47441443999999999</v>
      </c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AutoZone, Inc.</v>
      </c>
      <c r="B54" s="4" t="str">
        <v>AZO-US</v>
      </c>
      <c r="C54" s="2">
        <v>0.65140359999999997</v>
      </c>
      <c r="D54" s="2">
        <v>0.52049210000000001</v>
      </c>
      <c r="E54" s="2">
        <v>-0.58651613999999996</v>
      </c>
      <c r="F54" s="2">
        <v>0.60568255000000004</v>
      </c>
      <c r="G54" s="2">
        <v>0.73957497000000005</v>
      </c>
      <c r="H54" s="2">
        <v>0.59643506999999996</v>
      </c>
      <c r="I54" s="2">
        <v>0.52297499999999997</v>
      </c>
      <c r="J54" s="2">
        <v>0.54011540000000002</v>
      </c>
      <c r="K54" s="2">
        <v>0.85118543999999996</v>
      </c>
      <c r="L54" s="2">
        <v>0.57547592999999997</v>
      </c>
      <c r="M54" s="2">
        <v>0.77254533999999997</v>
      </c>
      <c r="N54" s="2">
        <v>0.49698513999999999</v>
      </c>
      <c r="O54" s="2">
        <v>0.86373509999999998</v>
      </c>
      <c r="P54" s="2">
        <v>0.64721399999999996</v>
      </c>
      <c r="Q54" s="2">
        <v>0.79341196999999997</v>
      </c>
      <c r="R54" s="2">
        <v>0.58945477000000002</v>
      </c>
      <c r="S54" s="2">
        <v>0.33920835999999999</v>
      </c>
      <c r="T54" s="2">
        <v>0.66737570000000002</v>
      </c>
      <c r="U54" s="2">
        <v>0.50621176000000001</v>
      </c>
      <c r="V54" s="2">
        <v>-0.77104740000000005</v>
      </c>
      <c r="W54" s="2">
        <v>0.77247639999999995</v>
      </c>
      <c r="X54" s="2">
        <v>0.18176089000000001</v>
      </c>
      <c r="Y54" s="2">
        <v>0.76154124999999995</v>
      </c>
      <c r="Z54" s="2">
        <v>1</v>
      </c>
      <c r="AA54" s="2">
        <v>-0.83560780000000001</v>
      </c>
      <c r="AB54" s="2">
        <v>4.9050934999999997E-2</v>
      </c>
      <c r="AC54" s="2">
        <v>-0.61921029999999999</v>
      </c>
      <c r="AD54" s="2">
        <v>0.19769919</v>
      </c>
      <c r="AE54" s="2">
        <v>0.51001936000000003</v>
      </c>
      <c r="AF54" s="2">
        <v>0.24250540000000001</v>
      </c>
      <c r="AG54" s="2">
        <v>-0.29564499999999999</v>
      </c>
      <c r="AH54" s="2">
        <v>0.26153237000000001</v>
      </c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PT Bank Central Asia Tbk</v>
      </c>
      <c r="B55" s="4" t="str">
        <v>BBCA-ID</v>
      </c>
      <c r="C55" s="2">
        <v>-0.43717499999999998</v>
      </c>
      <c r="D55" s="2">
        <v>-0.41870984</v>
      </c>
      <c r="E55" s="2">
        <v>0.57082359999999999</v>
      </c>
      <c r="F55" s="2">
        <v>-0.426597</v>
      </c>
      <c r="G55" s="2">
        <v>-0.40884359999999997</v>
      </c>
      <c r="H55" s="2">
        <v>-0.48358200000000001</v>
      </c>
      <c r="I55" s="2">
        <v>-0.48684695</v>
      </c>
      <c r="J55" s="2">
        <v>-0.47315285000000001</v>
      </c>
      <c r="K55" s="2">
        <v>-0.72709270000000004</v>
      </c>
      <c r="L55" s="2">
        <v>-0.46657103</v>
      </c>
      <c r="M55" s="2">
        <v>-0.55374615999999999</v>
      </c>
      <c r="N55" s="2">
        <v>-0.3585083</v>
      </c>
      <c r="O55" s="2">
        <v>-0.75561299999999998</v>
      </c>
      <c r="P55" s="2">
        <v>-0.69116429999999995</v>
      </c>
      <c r="Q55" s="2">
        <v>-0.63356303999999997</v>
      </c>
      <c r="R55" s="2">
        <v>-0.45545970000000002</v>
      </c>
      <c r="S55" s="2">
        <v>-0.18521334</v>
      </c>
      <c r="T55" s="2">
        <v>-0.34931131999999998</v>
      </c>
      <c r="U55" s="2">
        <v>-0.40708129999999998</v>
      </c>
      <c r="V55" s="2">
        <v>0.86863489999999999</v>
      </c>
      <c r="W55" s="2">
        <v>-0.71323789999999998</v>
      </c>
      <c r="X55" s="2">
        <v>-0.18155709</v>
      </c>
      <c r="Y55" s="2">
        <v>-0.61661290000000002</v>
      </c>
      <c r="Z55" s="2">
        <v>-0.83560780000000001</v>
      </c>
      <c r="AA55" s="2">
        <v>1</v>
      </c>
      <c r="AB55" s="2">
        <v>-4.766016E-2</v>
      </c>
      <c r="AC55" s="2">
        <v>0.70292679999999996</v>
      </c>
      <c r="AD55" s="2">
        <v>-3.3569519999999999E-2</v>
      </c>
      <c r="AE55" s="2">
        <v>-0.21957599</v>
      </c>
      <c r="AF55" s="2">
        <v>-0.23737061000000001</v>
      </c>
      <c r="AG55" s="2">
        <v>0.47807234999999998</v>
      </c>
      <c r="AH55" s="2">
        <v>9.4131276E-2</v>
      </c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Rentokil Initial plc</v>
      </c>
      <c r="B56" s="4" t="str">
        <v>RTO-GB</v>
      </c>
      <c r="C56" s="2">
        <v>0.46980768000000001</v>
      </c>
      <c r="D56" s="2">
        <v>0.65049409999999996</v>
      </c>
      <c r="E56" s="2">
        <v>-0.45805982000000001</v>
      </c>
      <c r="F56" s="2">
        <v>-5.6886251999999998E-2</v>
      </c>
      <c r="G56" s="2">
        <v>0.27256742</v>
      </c>
      <c r="H56" s="2">
        <v>-6.9112309999999996E-2</v>
      </c>
      <c r="I56" s="2">
        <v>0.56679029999999997</v>
      </c>
      <c r="J56" s="2">
        <v>-0.48590955000000002</v>
      </c>
      <c r="K56" s="2">
        <v>0.36462070000000002</v>
      </c>
      <c r="L56" s="2">
        <v>0.63641614000000002</v>
      </c>
      <c r="M56" s="2">
        <v>0.35174640000000001</v>
      </c>
      <c r="N56" s="2">
        <v>0.11803714</v>
      </c>
      <c r="O56" s="2">
        <v>0.24754403999999999</v>
      </c>
      <c r="P56" s="2">
        <v>0.11788984399999999</v>
      </c>
      <c r="Q56" s="2">
        <v>0.27473997999999999</v>
      </c>
      <c r="R56" s="2">
        <v>4.4938736E-2</v>
      </c>
      <c r="S56" s="2">
        <v>0.10008868999999999</v>
      </c>
      <c r="T56" s="2">
        <v>0.23250816999999999</v>
      </c>
      <c r="U56" s="2">
        <v>0.61457839999999997</v>
      </c>
      <c r="V56" s="2">
        <v>-5.4289485999999998E-2</v>
      </c>
      <c r="W56" s="2">
        <v>-8.1222059999999999E-2</v>
      </c>
      <c r="X56" s="2">
        <v>0.4175469</v>
      </c>
      <c r="Y56" s="2">
        <v>0.51209899999999997</v>
      </c>
      <c r="Z56" s="2">
        <v>4.9050934999999997E-2</v>
      </c>
      <c r="AA56" s="2">
        <v>-4.766016E-2</v>
      </c>
      <c r="AB56" s="2">
        <v>1</v>
      </c>
      <c r="AC56" s="2">
        <v>0.15764932000000001</v>
      </c>
      <c r="AD56" s="2">
        <v>0.64668340000000002</v>
      </c>
      <c r="AE56" s="2">
        <v>0.31392375</v>
      </c>
      <c r="AF56" s="2">
        <v>-0.45630093999999999</v>
      </c>
      <c r="AG56" s="2">
        <v>0.26980668000000002</v>
      </c>
      <c r="AH56" s="2">
        <v>0.48969674000000002</v>
      </c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Workday, Inc. Class A</v>
      </c>
      <c r="B57" s="4" t="str">
        <v>WDAY-US</v>
      </c>
      <c r="C57" s="2">
        <v>-0.37997006999999999</v>
      </c>
      <c r="D57" s="2">
        <v>-0.23035027</v>
      </c>
      <c r="E57" s="2">
        <v>0.41446158</v>
      </c>
      <c r="F57" s="2">
        <v>-0.16816874000000001</v>
      </c>
      <c r="G57" s="2">
        <v>-0.17890595000000001</v>
      </c>
      <c r="H57" s="2">
        <v>-0.4473838</v>
      </c>
      <c r="I57" s="2">
        <v>-0.19749087000000001</v>
      </c>
      <c r="J57" s="2">
        <v>-0.45915250000000002</v>
      </c>
      <c r="K57" s="2">
        <v>-0.53663810000000001</v>
      </c>
      <c r="L57" s="2">
        <v>-0.30922709999999998</v>
      </c>
      <c r="M57" s="2">
        <v>-0.42901167000000001</v>
      </c>
      <c r="N57" s="2">
        <v>-0.26566119999999999</v>
      </c>
      <c r="O57" s="2">
        <v>-0.59105973999999994</v>
      </c>
      <c r="P57" s="2">
        <v>-0.37374666000000001</v>
      </c>
      <c r="Q57" s="2">
        <v>-0.54933566</v>
      </c>
      <c r="R57" s="2">
        <v>-0.48942497000000001</v>
      </c>
      <c r="S57" s="2">
        <v>-0.24336699000000001</v>
      </c>
      <c r="T57" s="2">
        <v>-0.35248469999999998</v>
      </c>
      <c r="U57" s="2">
        <v>-0.35045199999999999</v>
      </c>
      <c r="V57" s="2">
        <v>0.70890770000000003</v>
      </c>
      <c r="W57" s="2">
        <v>-0.52141490000000001</v>
      </c>
      <c r="X57" s="2">
        <v>0.20399998</v>
      </c>
      <c r="Y57" s="2">
        <v>-0.46181460000000002</v>
      </c>
      <c r="Z57" s="2">
        <v>-0.61921029999999999</v>
      </c>
      <c r="AA57" s="2">
        <v>0.70292679999999996</v>
      </c>
      <c r="AB57" s="2">
        <v>0.15764932000000001</v>
      </c>
      <c r="AC57" s="2">
        <v>1</v>
      </c>
      <c r="AD57" s="2">
        <v>0.19612463999999999</v>
      </c>
      <c r="AE57" s="2">
        <v>-0.20924574000000001</v>
      </c>
      <c r="AF57" s="2">
        <v>-0.22479004999999999</v>
      </c>
      <c r="AG57" s="2">
        <v>0.42135470000000003</v>
      </c>
      <c r="AH57" s="2">
        <v>8.1662520000000002E-2</v>
      </c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t="str" cm="1">
        <f t="array" ref="A58">_xll.FDS(B58,"FG_COMPANY_NAME")</f>
        <v>Autodesk, Inc.</v>
      </c>
      <c r="B58" s="4" t="str">
        <v>ADSK-US</v>
      </c>
      <c r="C58" s="2">
        <v>0.65931720000000005</v>
      </c>
      <c r="D58" s="2">
        <v>0.63307270000000004</v>
      </c>
      <c r="E58" s="2">
        <v>-0.46417062999999997</v>
      </c>
      <c r="F58" s="2">
        <v>7.1038019999999993E-2</v>
      </c>
      <c r="G58" s="2">
        <v>0.43372157</v>
      </c>
      <c r="H58" s="2">
        <v>2.1110858999999999E-2</v>
      </c>
      <c r="I58" s="2">
        <v>0.51822970000000002</v>
      </c>
      <c r="J58" s="2">
        <v>-0.31023036999999998</v>
      </c>
      <c r="K58" s="2">
        <v>0.46679609999999999</v>
      </c>
      <c r="L58" s="2">
        <v>0.67604892999999999</v>
      </c>
      <c r="M58" s="2">
        <v>0.54656950000000004</v>
      </c>
      <c r="N58" s="2">
        <v>0.38341677000000002</v>
      </c>
      <c r="O58" s="2">
        <v>0.346362</v>
      </c>
      <c r="P58" s="2">
        <v>-1.1348601E-2</v>
      </c>
      <c r="Q58" s="2">
        <v>0.40610948000000002</v>
      </c>
      <c r="R58" s="2">
        <v>0.21431143999999999</v>
      </c>
      <c r="S58" s="2">
        <v>0.44841852999999998</v>
      </c>
      <c r="T58" s="2">
        <v>0.3719343</v>
      </c>
      <c r="U58" s="2">
        <v>0.69178580000000001</v>
      </c>
      <c r="V58" s="2">
        <v>-6.0830479999999999E-2</v>
      </c>
      <c r="W58" s="2">
        <v>0.15645722000000001</v>
      </c>
      <c r="X58" s="2">
        <v>0.26625090000000001</v>
      </c>
      <c r="Y58" s="2">
        <v>0.60229969999999999</v>
      </c>
      <c r="Z58" s="2">
        <v>0.19769919</v>
      </c>
      <c r="AA58" s="2">
        <v>-3.3569519999999999E-2</v>
      </c>
      <c r="AB58" s="2">
        <v>0.64668340000000002</v>
      </c>
      <c r="AC58" s="2">
        <v>0.19612463999999999</v>
      </c>
      <c r="AD58" s="2">
        <v>1</v>
      </c>
      <c r="AE58" s="2">
        <v>0.62703010000000003</v>
      </c>
      <c r="AF58" s="2">
        <v>-0.28101522000000001</v>
      </c>
      <c r="AG58" s="2">
        <v>0.29924025999999998</v>
      </c>
      <c r="AH58" s="2">
        <v>0.61643594999999995</v>
      </c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t="str" cm="1">
        <f t="array" ref="A59">_xll.FDS(B59,"FG_COMPANY_NAME")</f>
        <v>Booking Holdings Inc.</v>
      </c>
      <c r="B59" s="4" t="str">
        <v>BKNG-US</v>
      </c>
      <c r="C59" s="2">
        <v>0.82277054000000005</v>
      </c>
      <c r="D59" s="2">
        <v>0.34510215999999999</v>
      </c>
      <c r="E59" s="2">
        <v>-0.30937829999999999</v>
      </c>
      <c r="F59" s="2">
        <v>0.45648559999999999</v>
      </c>
      <c r="G59" s="2">
        <v>0.68904889999999996</v>
      </c>
      <c r="H59" s="2">
        <v>0.40802709999999998</v>
      </c>
      <c r="I59" s="2">
        <v>0.34850474999999997</v>
      </c>
      <c r="J59" s="2">
        <v>0.31491365999999998</v>
      </c>
      <c r="K59" s="2">
        <v>0.66249780000000003</v>
      </c>
      <c r="L59" s="2">
        <v>0.56915194000000002</v>
      </c>
      <c r="M59" s="2">
        <v>0.81464130000000001</v>
      </c>
      <c r="N59" s="2">
        <v>0.73634343999999996</v>
      </c>
      <c r="O59" s="2">
        <v>0.65287499999999998</v>
      </c>
      <c r="P59" s="2">
        <v>0.13436571</v>
      </c>
      <c r="Q59" s="2">
        <v>0.69259579999999998</v>
      </c>
      <c r="R59" s="2">
        <v>0.73203313000000003</v>
      </c>
      <c r="S59" s="2">
        <v>0.81520367000000005</v>
      </c>
      <c r="T59" s="2">
        <v>0.7510753</v>
      </c>
      <c r="U59" s="2">
        <v>0.75076069999999995</v>
      </c>
      <c r="V59" s="2">
        <v>-0.29268342000000003</v>
      </c>
      <c r="W59" s="2">
        <v>0.56312419999999996</v>
      </c>
      <c r="X59" s="2">
        <v>-6.1435654999999999E-2</v>
      </c>
      <c r="Y59" s="2">
        <v>0.66647005000000004</v>
      </c>
      <c r="Z59" s="2">
        <v>0.51001936000000003</v>
      </c>
      <c r="AA59" s="2">
        <v>-0.21957599</v>
      </c>
      <c r="AB59" s="2">
        <v>0.31392375</v>
      </c>
      <c r="AC59" s="2">
        <v>-0.20924574000000001</v>
      </c>
      <c r="AD59" s="2">
        <v>0.62703010000000003</v>
      </c>
      <c r="AE59" s="2">
        <v>1</v>
      </c>
      <c r="AF59" s="2">
        <v>0.26012069999999998</v>
      </c>
      <c r="AG59" s="2">
        <v>0.15491861000000001</v>
      </c>
      <c r="AH59" s="2">
        <v>0.69211714999999996</v>
      </c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t="str" cm="1">
        <f t="array" ref="A60">_xll.FDS(B60,"FG_COMPANY_NAME")</f>
        <v>CTS Eventim AG &amp; Co. KGaA</v>
      </c>
      <c r="B60" s="4" t="str">
        <v>EVD-DE</v>
      </c>
      <c r="C60" s="2">
        <v>3.8621889999999999E-2</v>
      </c>
      <c r="D60" s="2">
        <v>-0.46180964000000002</v>
      </c>
      <c r="E60" s="2">
        <v>0.44181794000000002</v>
      </c>
      <c r="F60" s="2">
        <v>0.64860236999999998</v>
      </c>
      <c r="G60" s="2">
        <v>0.3323738</v>
      </c>
      <c r="H60" s="2">
        <v>0.42073336</v>
      </c>
      <c r="I60" s="2">
        <v>-0.20623858</v>
      </c>
      <c r="J60" s="2">
        <v>0.85228970000000004</v>
      </c>
      <c r="K60" s="2">
        <v>0.17796366</v>
      </c>
      <c r="L60" s="2">
        <v>-0.23145361</v>
      </c>
      <c r="M60" s="2">
        <v>0.22171080000000001</v>
      </c>
      <c r="N60" s="2">
        <v>0.57672659999999998</v>
      </c>
      <c r="O60" s="2">
        <v>0.30352790000000002</v>
      </c>
      <c r="P60" s="2">
        <v>0.27706009999999998</v>
      </c>
      <c r="Q60" s="2">
        <v>0.14610770000000001</v>
      </c>
      <c r="R60" s="2">
        <v>0.50401235</v>
      </c>
      <c r="S60" s="2">
        <v>0.41168347</v>
      </c>
      <c r="T60" s="2">
        <v>0.23480126000000001</v>
      </c>
      <c r="U60" s="2">
        <v>-0.13654114000000001</v>
      </c>
      <c r="V60" s="2">
        <v>-0.17568173000000001</v>
      </c>
      <c r="W60" s="2">
        <v>0.63204824999999998</v>
      </c>
      <c r="X60" s="2">
        <v>-0.17833117000000001</v>
      </c>
      <c r="Y60" s="2">
        <v>-0.13596040000000001</v>
      </c>
      <c r="Z60" s="2">
        <v>0.24250540000000001</v>
      </c>
      <c r="AA60" s="2">
        <v>-0.23737061000000001</v>
      </c>
      <c r="AB60" s="2">
        <v>-0.45630093999999999</v>
      </c>
      <c r="AC60" s="2">
        <v>-0.22479004999999999</v>
      </c>
      <c r="AD60" s="2">
        <v>-0.28101522000000001</v>
      </c>
      <c r="AE60" s="2">
        <v>0.26012069999999998</v>
      </c>
      <c r="AF60" s="2">
        <v>1</v>
      </c>
      <c r="AG60" s="2">
        <v>-0.2376761</v>
      </c>
      <c r="AH60" s="2">
        <v>2.3357874000000001E-2</v>
      </c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t="str" cm="1">
        <f t="array" ref="A61">_xll.FDS(B61,"FG_COMPANY_NAME")</f>
        <v>Sherwin-Williams Company</v>
      </c>
      <c r="B61" s="4" t="str">
        <v>SHW-US</v>
      </c>
      <c r="C61" s="2">
        <v>-7.0750653999999996E-2</v>
      </c>
      <c r="D61" s="2">
        <v>-0.1174782</v>
      </c>
      <c r="E61" s="2">
        <v>9.1341489999999997E-2</v>
      </c>
      <c r="F61" s="2">
        <v>-0.24333113000000001</v>
      </c>
      <c r="G61" s="2">
        <v>4.9620707E-2</v>
      </c>
      <c r="H61" s="2">
        <v>-2.6027761E-2</v>
      </c>
      <c r="I61" s="2">
        <v>-0.27945054000000003</v>
      </c>
      <c r="J61" s="2">
        <v>-0.34818317999999998</v>
      </c>
      <c r="K61" s="2">
        <v>-0.24973952999999999</v>
      </c>
      <c r="L61" s="2">
        <v>-0.16296916</v>
      </c>
      <c r="M61" s="2">
        <v>-6.334584E-2</v>
      </c>
      <c r="N61" s="2">
        <v>0.14438509999999999</v>
      </c>
      <c r="O61" s="2">
        <v>-0.29551873000000001</v>
      </c>
      <c r="P61" s="2">
        <v>-0.33797487999999998</v>
      </c>
      <c r="Q61" s="2">
        <v>-0.12612398</v>
      </c>
      <c r="R61" s="2">
        <v>-0.19680529999999999</v>
      </c>
      <c r="S61" s="2">
        <v>-1.3929943E-2</v>
      </c>
      <c r="T61" s="2">
        <v>-0.14447314</v>
      </c>
      <c r="U61" s="2">
        <v>0.1422379</v>
      </c>
      <c r="V61" s="2">
        <v>0.64249339999999999</v>
      </c>
      <c r="W61" s="2">
        <v>-0.34943964999999999</v>
      </c>
      <c r="X61" s="2">
        <v>1.7296527999999999E-2</v>
      </c>
      <c r="Y61" s="2">
        <v>-1.2792519E-2</v>
      </c>
      <c r="Z61" s="2">
        <v>-0.29564499999999999</v>
      </c>
      <c r="AA61" s="2">
        <v>0.47807234999999998</v>
      </c>
      <c r="AB61" s="2">
        <v>0.26980668000000002</v>
      </c>
      <c r="AC61" s="2">
        <v>0.42135470000000003</v>
      </c>
      <c r="AD61" s="2">
        <v>0.29924025999999998</v>
      </c>
      <c r="AE61" s="2">
        <v>0.15491861000000001</v>
      </c>
      <c r="AF61" s="2">
        <v>-0.2376761</v>
      </c>
      <c r="AG61" s="2">
        <v>1</v>
      </c>
      <c r="AH61" s="2">
        <v>0.39161780000000002</v>
      </c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t="str" cm="1">
        <f t="array" ref="A62">_xll.FDS(B62,"FG_COMPANY_NAME")</f>
        <v>Moody's Corporation</v>
      </c>
      <c r="B62" s="4" t="str">
        <v>MCO-US</v>
      </c>
      <c r="C62" s="2">
        <v>0.60859050000000003</v>
      </c>
      <c r="D62" s="2">
        <v>0.37394810000000001</v>
      </c>
      <c r="E62" s="2">
        <v>-0.25641354999999999</v>
      </c>
      <c r="F62" s="2">
        <v>0.36313995999999998</v>
      </c>
      <c r="G62" s="2">
        <v>0.65752286000000004</v>
      </c>
      <c r="H62" s="2">
        <v>-4.675638E-2</v>
      </c>
      <c r="I62" s="2">
        <v>0.22869698999999999</v>
      </c>
      <c r="J62" s="2">
        <v>-6.0925145E-2</v>
      </c>
      <c r="K62" s="2">
        <v>0.44622830000000002</v>
      </c>
      <c r="L62" s="2">
        <v>0.49781477000000002</v>
      </c>
      <c r="M62" s="2">
        <v>0.62880329999999995</v>
      </c>
      <c r="N62" s="2">
        <v>0.57890240000000004</v>
      </c>
      <c r="O62" s="2">
        <v>0.40606787999999999</v>
      </c>
      <c r="P62" s="2">
        <v>8.3989720000000004E-2</v>
      </c>
      <c r="Q62" s="2">
        <v>0.3968373</v>
      </c>
      <c r="R62" s="2">
        <v>0.23690847000000001</v>
      </c>
      <c r="S62" s="2">
        <v>0.43798690000000001</v>
      </c>
      <c r="T62" s="2">
        <v>0.54310672999999998</v>
      </c>
      <c r="U62" s="2">
        <v>0.57953100000000002</v>
      </c>
      <c r="V62" s="2">
        <v>7.5921123000000004E-3</v>
      </c>
      <c r="W62" s="2">
        <v>0.14174497</v>
      </c>
      <c r="X62" s="2">
        <v>0.18540765000000001</v>
      </c>
      <c r="Y62" s="2">
        <v>0.47441443999999999</v>
      </c>
      <c r="Z62" s="2">
        <v>0.26153237000000001</v>
      </c>
      <c r="AA62" s="2">
        <v>9.4131276E-2</v>
      </c>
      <c r="AB62" s="2">
        <v>0.48969674000000002</v>
      </c>
      <c r="AC62" s="2">
        <v>8.1662520000000002E-2</v>
      </c>
      <c r="AD62" s="2">
        <v>0.61643594999999995</v>
      </c>
      <c r="AE62" s="2">
        <v>0.69211714999999996</v>
      </c>
      <c r="AF62" s="2">
        <v>2.3357874000000001E-2</v>
      </c>
      <c r="AG62" s="2">
        <v>0.39161780000000002</v>
      </c>
      <c r="AH62" s="2">
        <v>1</v>
      </c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2:77" x14ac:dyDescent="0.25"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2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2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2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2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2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2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2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2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2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2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2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2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2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2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2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2:H479"/>
  <sheetViews>
    <sheetView topLeftCell="A4" workbookViewId="0">
      <selection activeCell="H9" sqref="H9"/>
    </sheetView>
  </sheetViews>
  <sheetFormatPr defaultRowHeight="15" x14ac:dyDescent="0.25"/>
  <cols>
    <col min="1" max="1" width="10.5703125" bestFit="1" customWidth="1"/>
    <col min="2" max="2" width="13.42578125" customWidth="1"/>
  </cols>
  <sheetData>
    <row r="2" spans="1:8" x14ac:dyDescent="0.25">
      <c r="A2" t="s">
        <v>2</v>
      </c>
      <c r="B2" s="7">
        <v>45657</v>
      </c>
    </row>
    <row r="3" spans="1:8" x14ac:dyDescent="0.25">
      <c r="A3" t="s">
        <v>3</v>
      </c>
      <c r="B3" s="7" t="s">
        <v>4</v>
      </c>
    </row>
    <row r="6" spans="1:8" x14ac:dyDescent="0.25">
      <c r="B6" s="4" t="s">
        <v>7</v>
      </c>
      <c r="C6" s="4" t="s">
        <v>5</v>
      </c>
      <c r="D6" s="4" t="s">
        <v>6</v>
      </c>
    </row>
    <row r="7" spans="1:8" x14ac:dyDescent="0.25">
      <c r="B7" s="5" cm="1">
        <f t="array" ref="B7:B259">_xll.FDS(C6,"JULIAN(FG_PRICE("&amp;$B$2&amp;","&amp;$B$2&amp;"-"&amp;$B$3&amp;",,USD).dates)")</f>
        <v>45657</v>
      </c>
      <c r="C7" cm="1">
        <f t="array" ref="C7:C259">_xll.FDS(C6,"FG_PRICE("&amp;$B$2&amp;","&amp;$B$2&amp;"-"&amp;$B$3&amp;",,USD)")</f>
        <v>585.51</v>
      </c>
      <c r="D7" cm="1">
        <f t="array" ref="D7:D259">_xll.FDS(D6,"FG_PRICE("&amp;$B$2&amp;","&amp;$B$2&amp;"-"&amp;$B$3&amp;",,USD)")</f>
        <v>219.39</v>
      </c>
      <c r="G7" s="9" t="s">
        <v>8</v>
      </c>
      <c r="H7" s="10">
        <f>Backend!C32</f>
        <v>0.70593475999999999</v>
      </c>
    </row>
    <row r="8" spans="1:8" x14ac:dyDescent="0.25">
      <c r="B8" s="5">
        <v>45656</v>
      </c>
      <c r="C8">
        <v>591.24</v>
      </c>
      <c r="D8">
        <v>221.3</v>
      </c>
      <c r="G8" t="s">
        <v>9</v>
      </c>
      <c r="H8" s="11">
        <f>CORREL(_xlfn.ANCHORARRAY(C7),_xlfn.ANCHORARRAY(D7))</f>
        <v>0.82708172253855361</v>
      </c>
    </row>
    <row r="9" spans="1:8" x14ac:dyDescent="0.25">
      <c r="B9" s="5">
        <v>45653</v>
      </c>
      <c r="C9">
        <v>599.80999999999995</v>
      </c>
      <c r="D9">
        <v>223.75</v>
      </c>
      <c r="G9" t="s">
        <v>10</v>
      </c>
      <c r="H9" s="11">
        <f>PEARSON(_xlfn.ANCHORARRAY(C7),_xlfn.ANCHORARRAY(D7))</f>
        <v>0.82708172253855361</v>
      </c>
    </row>
    <row r="10" spans="1:8" x14ac:dyDescent="0.25">
      <c r="B10" s="5">
        <v>45652</v>
      </c>
      <c r="C10">
        <v>603.35</v>
      </c>
      <c r="D10">
        <v>227.05</v>
      </c>
    </row>
    <row r="11" spans="1:8" x14ac:dyDescent="0.25">
      <c r="B11" s="5">
        <v>45650</v>
      </c>
      <c r="C11">
        <v>607.75</v>
      </c>
      <c r="D11">
        <v>229.05</v>
      </c>
    </row>
    <row r="12" spans="1:8" x14ac:dyDescent="0.25">
      <c r="B12" s="5">
        <v>45649</v>
      </c>
      <c r="C12">
        <v>599.85</v>
      </c>
      <c r="D12">
        <v>225.06</v>
      </c>
    </row>
    <row r="13" spans="1:8" x14ac:dyDescent="0.25">
      <c r="B13" s="5">
        <v>45646</v>
      </c>
      <c r="C13">
        <v>585.25</v>
      </c>
      <c r="D13">
        <v>224.92</v>
      </c>
    </row>
    <row r="14" spans="1:8" x14ac:dyDescent="0.25">
      <c r="B14" s="5">
        <v>45645</v>
      </c>
      <c r="C14">
        <v>595.57000000000005</v>
      </c>
      <c r="D14">
        <v>223.29</v>
      </c>
    </row>
    <row r="15" spans="1:8" x14ac:dyDescent="0.25">
      <c r="B15" s="5">
        <v>45644</v>
      </c>
      <c r="C15">
        <v>597.19000000000005</v>
      </c>
      <c r="D15">
        <v>220.52</v>
      </c>
    </row>
    <row r="16" spans="1:8" x14ac:dyDescent="0.25">
      <c r="B16" s="5">
        <v>45643</v>
      </c>
      <c r="C16">
        <v>619.44000000000005</v>
      </c>
      <c r="D16">
        <v>231.15</v>
      </c>
    </row>
    <row r="17" spans="2:4" x14ac:dyDescent="0.25">
      <c r="B17" s="5">
        <v>45642</v>
      </c>
      <c r="C17">
        <v>624.24</v>
      </c>
      <c r="D17">
        <v>232.93</v>
      </c>
    </row>
    <row r="18" spans="2:4" x14ac:dyDescent="0.25">
      <c r="B18" s="5">
        <v>45639</v>
      </c>
      <c r="C18">
        <v>620.35</v>
      </c>
      <c r="D18">
        <v>227.46</v>
      </c>
    </row>
    <row r="19" spans="2:4" x14ac:dyDescent="0.25">
      <c r="B19" s="5">
        <v>45638</v>
      </c>
      <c r="C19">
        <v>630.79</v>
      </c>
      <c r="D19">
        <v>228.97</v>
      </c>
    </row>
    <row r="20" spans="2:4" x14ac:dyDescent="0.25">
      <c r="B20" s="5">
        <v>45637</v>
      </c>
      <c r="C20">
        <v>632.67999999999995</v>
      </c>
      <c r="D20">
        <v>230.26</v>
      </c>
    </row>
    <row r="21" spans="2:4" x14ac:dyDescent="0.25">
      <c r="B21" s="5">
        <v>45636</v>
      </c>
      <c r="C21">
        <v>619.32000000000005</v>
      </c>
      <c r="D21">
        <v>225.04</v>
      </c>
    </row>
    <row r="22" spans="2:4" x14ac:dyDescent="0.25">
      <c r="B22" s="5">
        <v>45635</v>
      </c>
      <c r="C22">
        <v>613.57000000000005</v>
      </c>
      <c r="D22">
        <v>226.09</v>
      </c>
    </row>
    <row r="23" spans="2:4" x14ac:dyDescent="0.25">
      <c r="B23" s="5">
        <v>45632</v>
      </c>
      <c r="C23">
        <v>623.77</v>
      </c>
      <c r="D23">
        <v>227.03</v>
      </c>
    </row>
    <row r="24" spans="2:4" x14ac:dyDescent="0.25">
      <c r="B24" s="5">
        <v>45631</v>
      </c>
      <c r="C24">
        <v>608.92999999999995</v>
      </c>
      <c r="D24">
        <v>220.55</v>
      </c>
    </row>
    <row r="25" spans="2:4" x14ac:dyDescent="0.25">
      <c r="B25" s="5">
        <v>45630</v>
      </c>
      <c r="C25">
        <v>613.78</v>
      </c>
      <c r="D25">
        <v>218.16</v>
      </c>
    </row>
    <row r="26" spans="2:4" x14ac:dyDescent="0.25">
      <c r="B26" s="5">
        <v>45629</v>
      </c>
      <c r="C26">
        <v>613.65</v>
      </c>
      <c r="D26">
        <v>213.44</v>
      </c>
    </row>
    <row r="27" spans="2:4" x14ac:dyDescent="0.25">
      <c r="B27" s="5">
        <v>45628</v>
      </c>
      <c r="C27">
        <v>592.83000000000004</v>
      </c>
      <c r="D27">
        <v>210.71</v>
      </c>
    </row>
    <row r="28" spans="2:4" x14ac:dyDescent="0.25">
      <c r="B28" s="5">
        <v>45625</v>
      </c>
      <c r="C28">
        <v>574.32000000000005</v>
      </c>
      <c r="D28">
        <v>207.89</v>
      </c>
    </row>
    <row r="29" spans="2:4" x14ac:dyDescent="0.25">
      <c r="B29" s="5">
        <v>45623</v>
      </c>
      <c r="C29">
        <v>569.20000000000005</v>
      </c>
      <c r="D29">
        <v>205.74</v>
      </c>
    </row>
    <row r="30" spans="2:4" x14ac:dyDescent="0.25">
      <c r="B30" s="5">
        <v>45622</v>
      </c>
      <c r="C30">
        <v>573.54</v>
      </c>
      <c r="D30">
        <v>207.86</v>
      </c>
    </row>
    <row r="31" spans="2:4" x14ac:dyDescent="0.25">
      <c r="B31" s="5">
        <v>45621</v>
      </c>
      <c r="C31">
        <v>565.11</v>
      </c>
      <c r="D31">
        <v>201.45</v>
      </c>
    </row>
    <row r="32" spans="2:4" x14ac:dyDescent="0.25">
      <c r="B32" s="5">
        <v>45618</v>
      </c>
      <c r="C32">
        <v>559.14</v>
      </c>
      <c r="D32">
        <v>197.12</v>
      </c>
    </row>
    <row r="33" spans="2:4" x14ac:dyDescent="0.25">
      <c r="B33" s="5">
        <v>45617</v>
      </c>
      <c r="C33">
        <v>563.09</v>
      </c>
      <c r="D33">
        <v>198.38</v>
      </c>
    </row>
    <row r="34" spans="2:4" x14ac:dyDescent="0.25">
      <c r="B34" s="5">
        <v>45616</v>
      </c>
      <c r="C34">
        <v>565.52</v>
      </c>
      <c r="D34">
        <v>202.88</v>
      </c>
    </row>
    <row r="35" spans="2:4" x14ac:dyDescent="0.25">
      <c r="B35" s="5">
        <v>45615</v>
      </c>
      <c r="C35">
        <v>561.09</v>
      </c>
      <c r="D35">
        <v>204.61</v>
      </c>
    </row>
    <row r="36" spans="2:4" x14ac:dyDescent="0.25">
      <c r="B36" s="5">
        <v>45614</v>
      </c>
      <c r="C36">
        <v>554.4</v>
      </c>
      <c r="D36">
        <v>201.7</v>
      </c>
    </row>
    <row r="37" spans="2:4" x14ac:dyDescent="0.25">
      <c r="B37" s="5">
        <v>45611</v>
      </c>
      <c r="C37">
        <v>554.08000000000004</v>
      </c>
      <c r="D37">
        <v>202.61</v>
      </c>
    </row>
    <row r="38" spans="2:4" x14ac:dyDescent="0.25">
      <c r="B38" s="5">
        <v>45610</v>
      </c>
      <c r="C38">
        <v>577.16</v>
      </c>
      <c r="D38">
        <v>211.48</v>
      </c>
    </row>
    <row r="39" spans="2:4" x14ac:dyDescent="0.25">
      <c r="B39" s="5">
        <v>45609</v>
      </c>
      <c r="C39">
        <v>580</v>
      </c>
      <c r="D39">
        <v>214.1</v>
      </c>
    </row>
    <row r="40" spans="2:4" x14ac:dyDescent="0.25">
      <c r="B40" s="5">
        <v>45608</v>
      </c>
      <c r="C40">
        <v>584.82000000000005</v>
      </c>
      <c r="D40">
        <v>208.91</v>
      </c>
    </row>
    <row r="41" spans="2:4" x14ac:dyDescent="0.25">
      <c r="B41" s="5">
        <v>45607</v>
      </c>
      <c r="C41">
        <v>583.16999999999996</v>
      </c>
      <c r="D41">
        <v>206.84</v>
      </c>
    </row>
    <row r="42" spans="2:4" x14ac:dyDescent="0.25">
      <c r="B42" s="5">
        <v>45604</v>
      </c>
      <c r="C42">
        <v>589.34</v>
      </c>
      <c r="D42">
        <v>208.18</v>
      </c>
    </row>
    <row r="43" spans="2:4" x14ac:dyDescent="0.25">
      <c r="B43" s="5">
        <v>45603</v>
      </c>
      <c r="C43">
        <v>591.70000000000005</v>
      </c>
      <c r="D43">
        <v>210.05</v>
      </c>
    </row>
    <row r="44" spans="2:4" x14ac:dyDescent="0.25">
      <c r="B44" s="5">
        <v>45602</v>
      </c>
      <c r="C44">
        <v>572.04999999999995</v>
      </c>
      <c r="D44">
        <v>207.09</v>
      </c>
    </row>
    <row r="45" spans="2:4" x14ac:dyDescent="0.25">
      <c r="B45" s="5">
        <v>45601</v>
      </c>
      <c r="C45">
        <v>572.42999999999995</v>
      </c>
      <c r="D45">
        <v>199.5</v>
      </c>
    </row>
    <row r="46" spans="2:4" x14ac:dyDescent="0.25">
      <c r="B46" s="5">
        <v>45600</v>
      </c>
      <c r="C46">
        <v>560.67999999999995</v>
      </c>
      <c r="D46">
        <v>195.78</v>
      </c>
    </row>
    <row r="47" spans="2:4" x14ac:dyDescent="0.25">
      <c r="B47" s="5">
        <v>45597</v>
      </c>
      <c r="C47">
        <v>567.16</v>
      </c>
      <c r="D47">
        <v>197.93</v>
      </c>
    </row>
    <row r="48" spans="2:4" x14ac:dyDescent="0.25">
      <c r="B48" s="5">
        <v>45596</v>
      </c>
      <c r="C48">
        <v>567.58000000000004</v>
      </c>
      <c r="D48">
        <v>186.4</v>
      </c>
    </row>
    <row r="49" spans="2:4" x14ac:dyDescent="0.25">
      <c r="B49" s="5">
        <v>45595</v>
      </c>
      <c r="C49">
        <v>591.79999999999995</v>
      </c>
      <c r="D49">
        <v>192.73</v>
      </c>
    </row>
    <row r="50" spans="2:4" x14ac:dyDescent="0.25">
      <c r="B50" s="5">
        <v>45594</v>
      </c>
      <c r="C50">
        <v>593.28</v>
      </c>
      <c r="D50">
        <v>190.83</v>
      </c>
    </row>
    <row r="51" spans="2:4" x14ac:dyDescent="0.25">
      <c r="B51" s="5">
        <v>45593</v>
      </c>
      <c r="C51">
        <v>578.16</v>
      </c>
      <c r="D51">
        <v>188.39</v>
      </c>
    </row>
    <row r="52" spans="2:4" x14ac:dyDescent="0.25">
      <c r="B52" s="5">
        <v>45590</v>
      </c>
      <c r="C52">
        <v>573.25</v>
      </c>
      <c r="D52">
        <v>187.83</v>
      </c>
    </row>
    <row r="53" spans="2:4" x14ac:dyDescent="0.25">
      <c r="B53" s="5">
        <v>45589</v>
      </c>
      <c r="C53">
        <v>567.78</v>
      </c>
      <c r="D53">
        <v>186.38</v>
      </c>
    </row>
    <row r="54" spans="2:4" x14ac:dyDescent="0.25">
      <c r="B54" s="5">
        <v>45588</v>
      </c>
      <c r="C54">
        <v>563.69000000000005</v>
      </c>
      <c r="D54">
        <v>184.71</v>
      </c>
    </row>
    <row r="55" spans="2:4" x14ac:dyDescent="0.25">
      <c r="B55" s="5">
        <v>45587</v>
      </c>
      <c r="C55">
        <v>582.01</v>
      </c>
      <c r="D55">
        <v>189.7</v>
      </c>
    </row>
    <row r="56" spans="2:4" x14ac:dyDescent="0.25">
      <c r="B56" s="5">
        <v>45586</v>
      </c>
      <c r="C56">
        <v>575.16</v>
      </c>
      <c r="D56">
        <v>189.07</v>
      </c>
    </row>
    <row r="57" spans="2:4" x14ac:dyDescent="0.25">
      <c r="B57" s="5">
        <v>45583</v>
      </c>
      <c r="C57">
        <v>576.47</v>
      </c>
      <c r="D57">
        <v>188.99</v>
      </c>
    </row>
    <row r="58" spans="2:4" x14ac:dyDescent="0.25">
      <c r="B58" s="5">
        <v>45582</v>
      </c>
      <c r="C58">
        <v>576.92999999999995</v>
      </c>
      <c r="D58">
        <v>187.53</v>
      </c>
    </row>
    <row r="59" spans="2:4" x14ac:dyDescent="0.25">
      <c r="B59" s="5">
        <v>45581</v>
      </c>
      <c r="C59">
        <v>576.79</v>
      </c>
      <c r="D59">
        <v>186.89</v>
      </c>
    </row>
    <row r="60" spans="2:4" x14ac:dyDescent="0.25">
      <c r="B60" s="5">
        <v>45580</v>
      </c>
      <c r="C60">
        <v>586.27</v>
      </c>
      <c r="D60">
        <v>187.69</v>
      </c>
    </row>
    <row r="61" spans="2:4" x14ac:dyDescent="0.25">
      <c r="B61" s="5">
        <v>45579</v>
      </c>
      <c r="C61">
        <v>590.41999999999996</v>
      </c>
      <c r="D61">
        <v>187.54</v>
      </c>
    </row>
    <row r="62" spans="2:4" x14ac:dyDescent="0.25">
      <c r="B62" s="5">
        <v>45576</v>
      </c>
      <c r="C62">
        <v>589.95000000000005</v>
      </c>
      <c r="D62">
        <v>188.82</v>
      </c>
    </row>
    <row r="63" spans="2:4" x14ac:dyDescent="0.25">
      <c r="B63" s="5">
        <v>45575</v>
      </c>
      <c r="C63">
        <v>583.83000000000004</v>
      </c>
      <c r="D63">
        <v>186.65</v>
      </c>
    </row>
    <row r="64" spans="2:4" x14ac:dyDescent="0.25">
      <c r="B64" s="5">
        <v>45574</v>
      </c>
      <c r="C64">
        <v>590.51</v>
      </c>
      <c r="D64">
        <v>185.17</v>
      </c>
    </row>
    <row r="65" spans="2:4" x14ac:dyDescent="0.25">
      <c r="B65" s="5">
        <v>45573</v>
      </c>
      <c r="C65">
        <v>592.89</v>
      </c>
      <c r="D65">
        <v>182.72</v>
      </c>
    </row>
    <row r="66" spans="2:4" x14ac:dyDescent="0.25">
      <c r="B66" s="5">
        <v>45572</v>
      </c>
      <c r="C66">
        <v>584.78</v>
      </c>
      <c r="D66">
        <v>180.8</v>
      </c>
    </row>
    <row r="67" spans="2:4" x14ac:dyDescent="0.25">
      <c r="B67" s="5">
        <v>45569</v>
      </c>
      <c r="C67">
        <v>595.94000000000005</v>
      </c>
      <c r="D67">
        <v>186.51</v>
      </c>
    </row>
    <row r="68" spans="2:4" x14ac:dyDescent="0.25">
      <c r="B68" s="5">
        <v>45568</v>
      </c>
      <c r="C68">
        <v>582.77</v>
      </c>
      <c r="D68">
        <v>181.96</v>
      </c>
    </row>
    <row r="69" spans="2:4" x14ac:dyDescent="0.25">
      <c r="B69" s="5">
        <v>45567</v>
      </c>
      <c r="C69">
        <v>572.80999999999995</v>
      </c>
      <c r="D69">
        <v>184.76</v>
      </c>
    </row>
    <row r="70" spans="2:4" x14ac:dyDescent="0.25">
      <c r="B70" s="5">
        <v>45566</v>
      </c>
      <c r="C70">
        <v>576.47</v>
      </c>
      <c r="D70">
        <v>185.13</v>
      </c>
    </row>
    <row r="71" spans="2:4" x14ac:dyDescent="0.25">
      <c r="B71" s="5">
        <v>45565</v>
      </c>
      <c r="C71">
        <v>572.44000000000005</v>
      </c>
      <c r="D71">
        <v>186.33</v>
      </c>
    </row>
    <row r="72" spans="2:4" x14ac:dyDescent="0.25">
      <c r="B72" s="5">
        <v>45562</v>
      </c>
      <c r="C72">
        <v>567.36</v>
      </c>
      <c r="D72">
        <v>187.97</v>
      </c>
    </row>
    <row r="73" spans="2:4" x14ac:dyDescent="0.25">
      <c r="B73" s="5">
        <v>45561</v>
      </c>
      <c r="C73">
        <v>567.84</v>
      </c>
      <c r="D73">
        <v>191.16</v>
      </c>
    </row>
    <row r="74" spans="2:4" x14ac:dyDescent="0.25">
      <c r="B74" s="5">
        <v>45560</v>
      </c>
      <c r="C74">
        <v>568.30999999999995</v>
      </c>
      <c r="D74">
        <v>192.53</v>
      </c>
    </row>
    <row r="75" spans="2:4" x14ac:dyDescent="0.25">
      <c r="B75" s="5">
        <v>45559</v>
      </c>
      <c r="C75">
        <v>563.33000000000004</v>
      </c>
      <c r="D75">
        <v>193.96</v>
      </c>
    </row>
    <row r="76" spans="2:4" x14ac:dyDescent="0.25">
      <c r="B76" s="5">
        <v>45558</v>
      </c>
      <c r="C76">
        <v>564.41</v>
      </c>
      <c r="D76">
        <v>193.88</v>
      </c>
    </row>
    <row r="77" spans="2:4" x14ac:dyDescent="0.25">
      <c r="B77" s="5">
        <v>45555</v>
      </c>
      <c r="C77">
        <v>561.35</v>
      </c>
      <c r="D77">
        <v>191.6</v>
      </c>
    </row>
    <row r="78" spans="2:4" x14ac:dyDescent="0.25">
      <c r="B78" s="5">
        <v>45554</v>
      </c>
      <c r="C78">
        <v>559.1</v>
      </c>
      <c r="D78">
        <v>189.87</v>
      </c>
    </row>
    <row r="79" spans="2:4" x14ac:dyDescent="0.25">
      <c r="B79" s="5">
        <v>45553</v>
      </c>
      <c r="C79">
        <v>537.95000000000005</v>
      </c>
      <c r="D79">
        <v>186.43</v>
      </c>
    </row>
    <row r="80" spans="2:4" x14ac:dyDescent="0.25">
      <c r="B80" s="5">
        <v>45552</v>
      </c>
      <c r="C80">
        <v>536.31500000000005</v>
      </c>
      <c r="D80">
        <v>186.88</v>
      </c>
    </row>
    <row r="81" spans="2:4" x14ac:dyDescent="0.25">
      <c r="B81" s="5">
        <v>45551</v>
      </c>
      <c r="C81">
        <v>533.28</v>
      </c>
      <c r="D81">
        <v>184.89</v>
      </c>
    </row>
    <row r="82" spans="2:4" x14ac:dyDescent="0.25">
      <c r="B82" s="5">
        <v>45548</v>
      </c>
      <c r="C82">
        <v>524.62</v>
      </c>
      <c r="D82">
        <v>186.49</v>
      </c>
    </row>
    <row r="83" spans="2:4" x14ac:dyDescent="0.25">
      <c r="B83" s="5">
        <v>45547</v>
      </c>
      <c r="C83">
        <v>525.6</v>
      </c>
      <c r="D83">
        <v>187</v>
      </c>
    </row>
    <row r="84" spans="2:4" x14ac:dyDescent="0.25">
      <c r="B84" s="5">
        <v>45546</v>
      </c>
      <c r="C84">
        <v>511.83</v>
      </c>
      <c r="D84">
        <v>184.52</v>
      </c>
    </row>
    <row r="85" spans="2:4" x14ac:dyDescent="0.25">
      <c r="B85" s="5">
        <v>45545</v>
      </c>
      <c r="C85">
        <v>504.79</v>
      </c>
      <c r="D85">
        <v>179.55</v>
      </c>
    </row>
    <row r="86" spans="2:4" x14ac:dyDescent="0.25">
      <c r="B86" s="5">
        <v>45544</v>
      </c>
      <c r="C86">
        <v>504.79</v>
      </c>
      <c r="D86">
        <v>175.4</v>
      </c>
    </row>
    <row r="87" spans="2:4" x14ac:dyDescent="0.25">
      <c r="B87" s="5">
        <v>45541</v>
      </c>
      <c r="C87">
        <v>500.27</v>
      </c>
      <c r="D87">
        <v>171.39</v>
      </c>
    </row>
    <row r="88" spans="2:4" x14ac:dyDescent="0.25">
      <c r="B88" s="5">
        <v>45540</v>
      </c>
      <c r="C88">
        <v>516.86</v>
      </c>
      <c r="D88">
        <v>177.89</v>
      </c>
    </row>
    <row r="89" spans="2:4" x14ac:dyDescent="0.25">
      <c r="B89" s="5">
        <v>45539</v>
      </c>
      <c r="C89">
        <v>512.74</v>
      </c>
      <c r="D89">
        <v>173.33</v>
      </c>
    </row>
    <row r="90" spans="2:4" x14ac:dyDescent="0.25">
      <c r="B90" s="5">
        <v>45538</v>
      </c>
      <c r="C90">
        <v>511.76</v>
      </c>
      <c r="D90">
        <v>176.25</v>
      </c>
    </row>
    <row r="91" spans="2:4" x14ac:dyDescent="0.25">
      <c r="B91" s="5">
        <v>45534</v>
      </c>
      <c r="C91">
        <v>521.30999999999995</v>
      </c>
      <c r="D91">
        <v>178.5</v>
      </c>
    </row>
    <row r="92" spans="2:4" x14ac:dyDescent="0.25">
      <c r="B92" s="5">
        <v>45533</v>
      </c>
      <c r="C92">
        <v>518.22</v>
      </c>
      <c r="D92">
        <v>172.12</v>
      </c>
    </row>
    <row r="93" spans="2:4" x14ac:dyDescent="0.25">
      <c r="B93" s="5">
        <v>45532</v>
      </c>
      <c r="C93">
        <v>516.78</v>
      </c>
      <c r="D93">
        <v>170.8</v>
      </c>
    </row>
    <row r="94" spans="2:4" x14ac:dyDescent="0.25">
      <c r="B94" s="5">
        <v>45531</v>
      </c>
      <c r="C94">
        <v>519.1</v>
      </c>
      <c r="D94">
        <v>173.12</v>
      </c>
    </row>
    <row r="95" spans="2:4" x14ac:dyDescent="0.25">
      <c r="B95" s="5">
        <v>45530</v>
      </c>
      <c r="C95">
        <v>521.12</v>
      </c>
      <c r="D95">
        <v>175.5</v>
      </c>
    </row>
    <row r="96" spans="2:4" x14ac:dyDescent="0.25">
      <c r="B96" s="5">
        <v>45527</v>
      </c>
      <c r="C96">
        <v>528</v>
      </c>
      <c r="D96">
        <v>177.04</v>
      </c>
    </row>
    <row r="97" spans="2:4" x14ac:dyDescent="0.25">
      <c r="B97" s="5">
        <v>45526</v>
      </c>
      <c r="C97">
        <v>531.92999999999995</v>
      </c>
      <c r="D97">
        <v>176.13</v>
      </c>
    </row>
    <row r="98" spans="2:4" x14ac:dyDescent="0.25">
      <c r="B98" s="5">
        <v>45525</v>
      </c>
      <c r="C98">
        <v>535.16</v>
      </c>
      <c r="D98">
        <v>180.11</v>
      </c>
    </row>
    <row r="99" spans="2:4" x14ac:dyDescent="0.25">
      <c r="B99" s="5">
        <v>45524</v>
      </c>
      <c r="C99">
        <v>526.73</v>
      </c>
      <c r="D99">
        <v>178.88</v>
      </c>
    </row>
    <row r="100" spans="2:4" x14ac:dyDescent="0.25">
      <c r="B100" s="5">
        <v>45523</v>
      </c>
      <c r="C100">
        <v>529.28</v>
      </c>
      <c r="D100">
        <v>178.22</v>
      </c>
    </row>
    <row r="101" spans="2:4" x14ac:dyDescent="0.25">
      <c r="B101" s="5">
        <v>45520</v>
      </c>
      <c r="C101">
        <v>527.41999999999996</v>
      </c>
      <c r="D101">
        <v>177.06</v>
      </c>
    </row>
    <row r="102" spans="2:4" x14ac:dyDescent="0.25">
      <c r="B102" s="5">
        <v>45519</v>
      </c>
      <c r="C102">
        <v>537.33000000000004</v>
      </c>
      <c r="D102">
        <v>177.59</v>
      </c>
    </row>
    <row r="103" spans="2:4" x14ac:dyDescent="0.25">
      <c r="B103" s="5">
        <v>45518</v>
      </c>
      <c r="C103">
        <v>526.76</v>
      </c>
      <c r="D103">
        <v>170.1</v>
      </c>
    </row>
    <row r="104" spans="2:4" x14ac:dyDescent="0.25">
      <c r="B104" s="5">
        <v>45517</v>
      </c>
      <c r="C104">
        <v>528.54</v>
      </c>
      <c r="D104">
        <v>170.23</v>
      </c>
    </row>
    <row r="105" spans="2:4" x14ac:dyDescent="0.25">
      <c r="B105" s="5">
        <v>45516</v>
      </c>
      <c r="C105">
        <v>515.95000000000005</v>
      </c>
      <c r="D105">
        <v>166.8</v>
      </c>
    </row>
    <row r="106" spans="2:4" x14ac:dyDescent="0.25">
      <c r="B106" s="5">
        <v>45513</v>
      </c>
      <c r="C106">
        <v>517.77</v>
      </c>
      <c r="D106">
        <v>166.94</v>
      </c>
    </row>
    <row r="107" spans="2:4" x14ac:dyDescent="0.25">
      <c r="B107" s="5">
        <v>45512</v>
      </c>
      <c r="C107">
        <v>509.63</v>
      </c>
      <c r="D107">
        <v>165.8</v>
      </c>
    </row>
    <row r="108" spans="2:4" x14ac:dyDescent="0.25">
      <c r="B108" s="5">
        <v>45511</v>
      </c>
      <c r="C108">
        <v>488.92</v>
      </c>
      <c r="D108">
        <v>162.77000000000001</v>
      </c>
    </row>
    <row r="109" spans="2:4" x14ac:dyDescent="0.25">
      <c r="B109" s="5">
        <v>45510</v>
      </c>
      <c r="C109">
        <v>494.09</v>
      </c>
      <c r="D109">
        <v>161.93</v>
      </c>
    </row>
    <row r="110" spans="2:4" x14ac:dyDescent="0.25">
      <c r="B110" s="5">
        <v>45509</v>
      </c>
      <c r="C110">
        <v>475.73</v>
      </c>
      <c r="D110">
        <v>161.02000000000001</v>
      </c>
    </row>
    <row r="111" spans="2:4" x14ac:dyDescent="0.25">
      <c r="B111" s="5">
        <v>45506</v>
      </c>
      <c r="C111">
        <v>488.14</v>
      </c>
      <c r="D111">
        <v>167.9</v>
      </c>
    </row>
    <row r="112" spans="2:4" x14ac:dyDescent="0.25">
      <c r="B112" s="5">
        <v>45505</v>
      </c>
      <c r="C112">
        <v>497.74</v>
      </c>
      <c r="D112">
        <v>184.07</v>
      </c>
    </row>
    <row r="113" spans="2:4" x14ac:dyDescent="0.25">
      <c r="B113" s="5">
        <v>45504</v>
      </c>
      <c r="C113">
        <v>474.83</v>
      </c>
      <c r="D113">
        <v>186.98</v>
      </c>
    </row>
    <row r="114" spans="2:4" x14ac:dyDescent="0.25">
      <c r="B114" s="5">
        <v>45503</v>
      </c>
      <c r="C114">
        <v>463.19</v>
      </c>
      <c r="D114">
        <v>181.71</v>
      </c>
    </row>
    <row r="115" spans="2:4" x14ac:dyDescent="0.25">
      <c r="B115" s="5">
        <v>45502</v>
      </c>
      <c r="C115">
        <v>465.71</v>
      </c>
      <c r="D115">
        <v>183.2</v>
      </c>
    </row>
    <row r="116" spans="2:4" x14ac:dyDescent="0.25">
      <c r="B116" s="5">
        <v>45499</v>
      </c>
      <c r="C116">
        <v>465.7</v>
      </c>
      <c r="D116">
        <v>182.5</v>
      </c>
    </row>
    <row r="117" spans="2:4" x14ac:dyDescent="0.25">
      <c r="B117" s="5">
        <v>45498</v>
      </c>
      <c r="C117">
        <v>453.41</v>
      </c>
      <c r="D117">
        <v>179.85</v>
      </c>
    </row>
    <row r="118" spans="2:4" x14ac:dyDescent="0.25">
      <c r="B118" s="5">
        <v>45497</v>
      </c>
      <c r="C118">
        <v>461.27</v>
      </c>
      <c r="D118">
        <v>180.83</v>
      </c>
    </row>
    <row r="119" spans="2:4" x14ac:dyDescent="0.25">
      <c r="B119" s="5">
        <v>45496</v>
      </c>
      <c r="C119">
        <v>488.69</v>
      </c>
      <c r="D119">
        <v>186.41</v>
      </c>
    </row>
    <row r="120" spans="2:4" x14ac:dyDescent="0.25">
      <c r="B120" s="5">
        <v>45495</v>
      </c>
      <c r="C120">
        <v>487.4</v>
      </c>
      <c r="D120">
        <v>182.55</v>
      </c>
    </row>
    <row r="121" spans="2:4" x14ac:dyDescent="0.25">
      <c r="B121" s="5">
        <v>45492</v>
      </c>
      <c r="C121">
        <v>476.79</v>
      </c>
      <c r="D121">
        <v>183.13</v>
      </c>
    </row>
    <row r="122" spans="2:4" x14ac:dyDescent="0.25">
      <c r="B122" s="5">
        <v>45491</v>
      </c>
      <c r="C122">
        <v>475.85</v>
      </c>
      <c r="D122">
        <v>183.75</v>
      </c>
    </row>
    <row r="123" spans="2:4" x14ac:dyDescent="0.25">
      <c r="B123" s="5">
        <v>45490</v>
      </c>
      <c r="C123">
        <v>461.99</v>
      </c>
      <c r="D123">
        <v>187.93</v>
      </c>
    </row>
    <row r="124" spans="2:4" x14ac:dyDescent="0.25">
      <c r="B124" s="5">
        <v>45489</v>
      </c>
      <c r="C124">
        <v>489.79</v>
      </c>
      <c r="D124">
        <v>193.02</v>
      </c>
    </row>
    <row r="125" spans="2:4" x14ac:dyDescent="0.25">
      <c r="B125" s="5">
        <v>45488</v>
      </c>
      <c r="C125">
        <v>496.16</v>
      </c>
      <c r="D125">
        <v>192.72</v>
      </c>
    </row>
    <row r="126" spans="2:4" x14ac:dyDescent="0.25">
      <c r="B126" s="5">
        <v>45485</v>
      </c>
      <c r="C126">
        <v>498.87</v>
      </c>
      <c r="D126">
        <v>194.49</v>
      </c>
    </row>
    <row r="127" spans="2:4" x14ac:dyDescent="0.25">
      <c r="B127" s="5">
        <v>45484</v>
      </c>
      <c r="C127">
        <v>512.70000000000005</v>
      </c>
      <c r="D127">
        <v>195.05</v>
      </c>
    </row>
    <row r="128" spans="2:4" x14ac:dyDescent="0.25">
      <c r="B128" s="5">
        <v>45483</v>
      </c>
      <c r="C128">
        <v>534.69000000000005</v>
      </c>
      <c r="D128">
        <v>199.79</v>
      </c>
    </row>
    <row r="129" spans="2:4" x14ac:dyDescent="0.25">
      <c r="B129" s="5">
        <v>45482</v>
      </c>
      <c r="C129">
        <v>530</v>
      </c>
      <c r="D129">
        <v>199.34</v>
      </c>
    </row>
    <row r="130" spans="2:4" x14ac:dyDescent="0.25">
      <c r="B130" s="5">
        <v>45481</v>
      </c>
      <c r="C130">
        <v>529.32000000000005</v>
      </c>
      <c r="D130">
        <v>199.29</v>
      </c>
    </row>
    <row r="131" spans="2:4" x14ac:dyDescent="0.25">
      <c r="B131" s="5">
        <v>45478</v>
      </c>
      <c r="C131">
        <v>539.91</v>
      </c>
      <c r="D131">
        <v>200</v>
      </c>
    </row>
    <row r="132" spans="2:4" x14ac:dyDescent="0.25">
      <c r="B132" s="5">
        <v>45476</v>
      </c>
      <c r="C132">
        <v>509.96</v>
      </c>
      <c r="D132">
        <v>197.59</v>
      </c>
    </row>
    <row r="133" spans="2:4" x14ac:dyDescent="0.25">
      <c r="B133" s="5">
        <v>45475</v>
      </c>
      <c r="C133">
        <v>509.5</v>
      </c>
      <c r="D133">
        <v>200</v>
      </c>
    </row>
    <row r="134" spans="2:4" x14ac:dyDescent="0.25">
      <c r="B134" s="5">
        <v>45474</v>
      </c>
      <c r="C134">
        <v>504.68</v>
      </c>
      <c r="D134">
        <v>197.2</v>
      </c>
    </row>
    <row r="135" spans="2:4" x14ac:dyDescent="0.25">
      <c r="B135" s="5">
        <v>45471</v>
      </c>
      <c r="C135">
        <v>504.22</v>
      </c>
      <c r="D135">
        <v>193.25</v>
      </c>
    </row>
    <row r="136" spans="2:4" x14ac:dyDescent="0.25">
      <c r="B136" s="5">
        <v>45470</v>
      </c>
      <c r="C136">
        <v>519.55999999999995</v>
      </c>
      <c r="D136">
        <v>197.85</v>
      </c>
    </row>
    <row r="137" spans="2:4" x14ac:dyDescent="0.25">
      <c r="B137" s="5">
        <v>45469</v>
      </c>
      <c r="C137">
        <v>513.12</v>
      </c>
      <c r="D137">
        <v>193.61</v>
      </c>
    </row>
    <row r="138" spans="2:4" x14ac:dyDescent="0.25">
      <c r="B138" s="5">
        <v>45468</v>
      </c>
      <c r="C138">
        <v>510.6</v>
      </c>
      <c r="D138">
        <v>186.34</v>
      </c>
    </row>
    <row r="139" spans="2:4" x14ac:dyDescent="0.25">
      <c r="B139" s="5">
        <v>45467</v>
      </c>
      <c r="C139">
        <v>498.91</v>
      </c>
      <c r="D139">
        <v>185.57</v>
      </c>
    </row>
    <row r="140" spans="2:4" x14ac:dyDescent="0.25">
      <c r="B140" s="5">
        <v>45464</v>
      </c>
      <c r="C140">
        <v>494.78</v>
      </c>
      <c r="D140">
        <v>189.08</v>
      </c>
    </row>
    <row r="141" spans="2:4" x14ac:dyDescent="0.25">
      <c r="B141" s="5">
        <v>45463</v>
      </c>
      <c r="C141">
        <v>501.7</v>
      </c>
      <c r="D141">
        <v>186.1</v>
      </c>
    </row>
    <row r="142" spans="2:4" x14ac:dyDescent="0.25">
      <c r="B142" s="5">
        <v>45461</v>
      </c>
      <c r="C142">
        <v>499.49</v>
      </c>
      <c r="D142">
        <v>182.81</v>
      </c>
    </row>
    <row r="143" spans="2:4" x14ac:dyDescent="0.25">
      <c r="B143" s="5">
        <v>45460</v>
      </c>
      <c r="C143">
        <v>506.63</v>
      </c>
      <c r="D143">
        <v>184.06</v>
      </c>
    </row>
    <row r="144" spans="2:4" x14ac:dyDescent="0.25">
      <c r="B144" s="5">
        <v>45457</v>
      </c>
      <c r="C144">
        <v>504.16</v>
      </c>
      <c r="D144">
        <v>183.66</v>
      </c>
    </row>
    <row r="145" spans="2:4" x14ac:dyDescent="0.25">
      <c r="B145" s="5">
        <v>45456</v>
      </c>
      <c r="C145">
        <v>504.1</v>
      </c>
      <c r="D145">
        <v>183.83</v>
      </c>
    </row>
    <row r="146" spans="2:4" x14ac:dyDescent="0.25">
      <c r="B146" s="5">
        <v>45455</v>
      </c>
      <c r="C146">
        <v>508.84</v>
      </c>
      <c r="D146">
        <v>186.89</v>
      </c>
    </row>
    <row r="147" spans="2:4" x14ac:dyDescent="0.25">
      <c r="B147" s="5">
        <v>45454</v>
      </c>
      <c r="C147">
        <v>507.47</v>
      </c>
      <c r="D147">
        <v>187.23</v>
      </c>
    </row>
    <row r="148" spans="2:4" x14ac:dyDescent="0.25">
      <c r="B148" s="5">
        <v>45453</v>
      </c>
      <c r="C148">
        <v>502.6</v>
      </c>
      <c r="D148">
        <v>187.06</v>
      </c>
    </row>
    <row r="149" spans="2:4" x14ac:dyDescent="0.25">
      <c r="B149" s="5">
        <v>45450</v>
      </c>
      <c r="C149">
        <v>492.96</v>
      </c>
      <c r="D149">
        <v>184.3</v>
      </c>
    </row>
    <row r="150" spans="2:4" x14ac:dyDescent="0.25">
      <c r="B150" s="5">
        <v>45449</v>
      </c>
      <c r="C150">
        <v>493.76</v>
      </c>
      <c r="D150">
        <v>185</v>
      </c>
    </row>
    <row r="151" spans="2:4" x14ac:dyDescent="0.25">
      <c r="B151" s="5">
        <v>45448</v>
      </c>
      <c r="C151">
        <v>495.06</v>
      </c>
      <c r="D151">
        <v>181.28</v>
      </c>
    </row>
    <row r="152" spans="2:4" x14ac:dyDescent="0.25">
      <c r="B152" s="5">
        <v>45447</v>
      </c>
      <c r="C152">
        <v>476.99</v>
      </c>
      <c r="D152">
        <v>179.34</v>
      </c>
    </row>
    <row r="153" spans="2:4" x14ac:dyDescent="0.25">
      <c r="B153" s="5">
        <v>45446</v>
      </c>
      <c r="C153">
        <v>477.49</v>
      </c>
      <c r="D153">
        <v>178.34</v>
      </c>
    </row>
    <row r="154" spans="2:4" x14ac:dyDescent="0.25">
      <c r="B154" s="5">
        <v>45443</v>
      </c>
      <c r="C154">
        <v>466.83</v>
      </c>
      <c r="D154">
        <v>176.44</v>
      </c>
    </row>
    <row r="155" spans="2:4" x14ac:dyDescent="0.25">
      <c r="B155" s="5">
        <v>45442</v>
      </c>
      <c r="C155">
        <v>467.05</v>
      </c>
      <c r="D155">
        <v>179.32</v>
      </c>
    </row>
    <row r="156" spans="2:4" x14ac:dyDescent="0.25">
      <c r="B156" s="5">
        <v>45441</v>
      </c>
      <c r="C156">
        <v>474.36</v>
      </c>
      <c r="D156">
        <v>182.02</v>
      </c>
    </row>
    <row r="157" spans="2:4" x14ac:dyDescent="0.25">
      <c r="B157" s="5">
        <v>45440</v>
      </c>
      <c r="C157">
        <v>479.92</v>
      </c>
      <c r="D157">
        <v>182.15</v>
      </c>
    </row>
    <row r="158" spans="2:4" x14ac:dyDescent="0.25">
      <c r="B158" s="5">
        <v>45436</v>
      </c>
      <c r="C158">
        <v>478.22</v>
      </c>
      <c r="D158">
        <v>180.75</v>
      </c>
    </row>
    <row r="159" spans="2:4" x14ac:dyDescent="0.25">
      <c r="B159" s="5">
        <v>45435</v>
      </c>
      <c r="C159">
        <v>465.78</v>
      </c>
      <c r="D159">
        <v>181.05</v>
      </c>
    </row>
    <row r="160" spans="2:4" x14ac:dyDescent="0.25">
      <c r="B160" s="5">
        <v>45434</v>
      </c>
      <c r="C160">
        <v>467.78</v>
      </c>
      <c r="D160">
        <v>183.13</v>
      </c>
    </row>
    <row r="161" spans="2:4" x14ac:dyDescent="0.25">
      <c r="B161" s="5">
        <v>45433</v>
      </c>
      <c r="C161">
        <v>464.63</v>
      </c>
      <c r="D161">
        <v>183.15</v>
      </c>
    </row>
    <row r="162" spans="2:4" x14ac:dyDescent="0.25">
      <c r="B162" s="5">
        <v>45432</v>
      </c>
      <c r="C162">
        <v>468.84</v>
      </c>
      <c r="D162">
        <v>183.54</v>
      </c>
    </row>
    <row r="163" spans="2:4" x14ac:dyDescent="0.25">
      <c r="B163" s="5">
        <v>45429</v>
      </c>
      <c r="C163">
        <v>471.91</v>
      </c>
      <c r="D163">
        <v>184.7</v>
      </c>
    </row>
    <row r="164" spans="2:4" x14ac:dyDescent="0.25">
      <c r="B164" s="5">
        <v>45428</v>
      </c>
      <c r="C164">
        <v>473.23</v>
      </c>
      <c r="D164">
        <v>183.63</v>
      </c>
    </row>
    <row r="165" spans="2:4" x14ac:dyDescent="0.25">
      <c r="B165" s="5">
        <v>45427</v>
      </c>
      <c r="C165">
        <v>481.54</v>
      </c>
      <c r="D165">
        <v>185.99</v>
      </c>
    </row>
    <row r="166" spans="2:4" x14ac:dyDescent="0.25">
      <c r="B166" s="5">
        <v>45426</v>
      </c>
      <c r="C166">
        <v>471.85</v>
      </c>
      <c r="D166">
        <v>187.07</v>
      </c>
    </row>
    <row r="167" spans="2:4" x14ac:dyDescent="0.25">
      <c r="B167" s="5">
        <v>45425</v>
      </c>
      <c r="C167">
        <v>468.01</v>
      </c>
      <c r="D167">
        <v>186.57</v>
      </c>
    </row>
    <row r="168" spans="2:4" x14ac:dyDescent="0.25">
      <c r="B168" s="5">
        <v>45422</v>
      </c>
      <c r="C168">
        <v>476.2</v>
      </c>
      <c r="D168">
        <v>187.48</v>
      </c>
    </row>
    <row r="169" spans="2:4" x14ac:dyDescent="0.25">
      <c r="B169" s="5">
        <v>45421</v>
      </c>
      <c r="C169">
        <v>475.42</v>
      </c>
      <c r="D169">
        <v>189.5</v>
      </c>
    </row>
    <row r="170" spans="2:4" x14ac:dyDescent="0.25">
      <c r="B170" s="5">
        <v>45420</v>
      </c>
      <c r="C170">
        <v>472.6</v>
      </c>
      <c r="D170">
        <v>188</v>
      </c>
    </row>
    <row r="171" spans="2:4" x14ac:dyDescent="0.25">
      <c r="B171" s="5">
        <v>45419</v>
      </c>
      <c r="C171">
        <v>468.24</v>
      </c>
      <c r="D171">
        <v>188.76</v>
      </c>
    </row>
    <row r="172" spans="2:4" x14ac:dyDescent="0.25">
      <c r="B172" s="5">
        <v>45418</v>
      </c>
      <c r="C172">
        <v>465.68</v>
      </c>
      <c r="D172">
        <v>188.7</v>
      </c>
    </row>
    <row r="173" spans="2:4" x14ac:dyDescent="0.25">
      <c r="B173" s="5">
        <v>45415</v>
      </c>
      <c r="C173">
        <v>451.96</v>
      </c>
      <c r="D173">
        <v>186.21</v>
      </c>
    </row>
    <row r="174" spans="2:4" x14ac:dyDescent="0.25">
      <c r="B174" s="5">
        <v>45414</v>
      </c>
      <c r="C174">
        <v>441.68</v>
      </c>
      <c r="D174">
        <v>184.72</v>
      </c>
    </row>
    <row r="175" spans="2:4" x14ac:dyDescent="0.25">
      <c r="B175" s="5">
        <v>45413</v>
      </c>
      <c r="C175">
        <v>439.19</v>
      </c>
      <c r="D175">
        <v>179</v>
      </c>
    </row>
    <row r="176" spans="2:4" x14ac:dyDescent="0.25">
      <c r="B176" s="5">
        <v>45412</v>
      </c>
      <c r="C176">
        <v>430.17</v>
      </c>
      <c r="D176">
        <v>175</v>
      </c>
    </row>
    <row r="177" spans="2:4" x14ac:dyDescent="0.25">
      <c r="B177" s="5">
        <v>45411</v>
      </c>
      <c r="C177">
        <v>432.62</v>
      </c>
      <c r="D177">
        <v>180.96</v>
      </c>
    </row>
    <row r="178" spans="2:4" x14ac:dyDescent="0.25">
      <c r="B178" s="5">
        <v>45408</v>
      </c>
      <c r="C178">
        <v>443.29</v>
      </c>
      <c r="D178">
        <v>179.62</v>
      </c>
    </row>
    <row r="179" spans="2:4" x14ac:dyDescent="0.25">
      <c r="B179" s="5">
        <v>45407</v>
      </c>
      <c r="C179">
        <v>441.38</v>
      </c>
      <c r="D179">
        <v>173.67</v>
      </c>
    </row>
    <row r="180" spans="2:4" x14ac:dyDescent="0.25">
      <c r="B180" s="5">
        <v>45406</v>
      </c>
      <c r="C180">
        <v>493.5</v>
      </c>
      <c r="D180">
        <v>176.59</v>
      </c>
    </row>
    <row r="181" spans="2:4" x14ac:dyDescent="0.25">
      <c r="B181" s="5">
        <v>45405</v>
      </c>
      <c r="C181">
        <v>496.1</v>
      </c>
      <c r="D181">
        <v>179.54</v>
      </c>
    </row>
    <row r="182" spans="2:4" x14ac:dyDescent="0.25">
      <c r="B182" s="5">
        <v>45404</v>
      </c>
      <c r="C182">
        <v>481.73</v>
      </c>
      <c r="D182">
        <v>177.23</v>
      </c>
    </row>
    <row r="183" spans="2:4" x14ac:dyDescent="0.25">
      <c r="B183" s="5">
        <v>45401</v>
      </c>
      <c r="C183">
        <v>481.07</v>
      </c>
      <c r="D183">
        <v>174.63</v>
      </c>
    </row>
    <row r="184" spans="2:4" x14ac:dyDescent="0.25">
      <c r="B184" s="5">
        <v>45400</v>
      </c>
      <c r="C184">
        <v>501.8</v>
      </c>
      <c r="D184">
        <v>179.22</v>
      </c>
    </row>
    <row r="185" spans="2:4" x14ac:dyDescent="0.25">
      <c r="B185" s="5">
        <v>45399</v>
      </c>
      <c r="C185">
        <v>494.17</v>
      </c>
      <c r="D185">
        <v>181.28</v>
      </c>
    </row>
    <row r="186" spans="2:4" x14ac:dyDescent="0.25">
      <c r="B186" s="5">
        <v>45398</v>
      </c>
      <c r="C186">
        <v>499.76</v>
      </c>
      <c r="D186">
        <v>183.32</v>
      </c>
    </row>
    <row r="187" spans="2:4" x14ac:dyDescent="0.25">
      <c r="B187" s="5">
        <v>45397</v>
      </c>
      <c r="C187">
        <v>500.23</v>
      </c>
      <c r="D187">
        <v>183.62</v>
      </c>
    </row>
    <row r="188" spans="2:4" x14ac:dyDescent="0.25">
      <c r="B188" s="5">
        <v>45394</v>
      </c>
      <c r="C188">
        <v>511.9</v>
      </c>
      <c r="D188">
        <v>186.13</v>
      </c>
    </row>
    <row r="189" spans="2:4" x14ac:dyDescent="0.25">
      <c r="B189" s="5">
        <v>45393</v>
      </c>
      <c r="C189">
        <v>523.16</v>
      </c>
      <c r="D189">
        <v>189.05</v>
      </c>
    </row>
    <row r="190" spans="2:4" x14ac:dyDescent="0.25">
      <c r="B190" s="5">
        <v>45392</v>
      </c>
      <c r="C190">
        <v>519.83000000000004</v>
      </c>
      <c r="D190">
        <v>185.95</v>
      </c>
    </row>
    <row r="191" spans="2:4" x14ac:dyDescent="0.25">
      <c r="B191" s="5">
        <v>45391</v>
      </c>
      <c r="C191">
        <v>516.9</v>
      </c>
      <c r="D191">
        <v>185.67</v>
      </c>
    </row>
    <row r="192" spans="2:4" x14ac:dyDescent="0.25">
      <c r="B192" s="5">
        <v>45390</v>
      </c>
      <c r="C192">
        <v>519.25</v>
      </c>
      <c r="D192">
        <v>185.19</v>
      </c>
    </row>
    <row r="193" spans="2:4" x14ac:dyDescent="0.25">
      <c r="B193" s="5">
        <v>45387</v>
      </c>
      <c r="C193">
        <v>527.34</v>
      </c>
      <c r="D193">
        <v>185.07</v>
      </c>
    </row>
    <row r="194" spans="2:4" x14ac:dyDescent="0.25">
      <c r="B194" s="5">
        <v>45386</v>
      </c>
      <c r="C194">
        <v>510.92</v>
      </c>
      <c r="D194">
        <v>180</v>
      </c>
    </row>
    <row r="195" spans="2:4" x14ac:dyDescent="0.25">
      <c r="B195" s="5">
        <v>45385</v>
      </c>
      <c r="C195">
        <v>506.74</v>
      </c>
      <c r="D195">
        <v>182.41</v>
      </c>
    </row>
    <row r="196" spans="2:4" x14ac:dyDescent="0.25">
      <c r="B196" s="5">
        <v>45384</v>
      </c>
      <c r="C196">
        <v>497.37</v>
      </c>
      <c r="D196">
        <v>180.69</v>
      </c>
    </row>
    <row r="197" spans="2:4" x14ac:dyDescent="0.25">
      <c r="B197" s="5">
        <v>45383</v>
      </c>
      <c r="C197">
        <v>491.35</v>
      </c>
      <c r="D197">
        <v>180.97</v>
      </c>
    </row>
    <row r="198" spans="2:4" x14ac:dyDescent="0.25">
      <c r="B198" s="5">
        <v>45379</v>
      </c>
      <c r="C198">
        <v>485.58</v>
      </c>
      <c r="D198">
        <v>180.38</v>
      </c>
    </row>
    <row r="199" spans="2:4" x14ac:dyDescent="0.25">
      <c r="B199" s="5">
        <v>45378</v>
      </c>
      <c r="C199">
        <v>493.86</v>
      </c>
      <c r="D199">
        <v>179.83</v>
      </c>
    </row>
    <row r="200" spans="2:4" x14ac:dyDescent="0.25">
      <c r="B200" s="5">
        <v>45377</v>
      </c>
      <c r="C200">
        <v>495.89</v>
      </c>
      <c r="D200">
        <v>178.3</v>
      </c>
    </row>
    <row r="201" spans="2:4" x14ac:dyDescent="0.25">
      <c r="B201" s="5">
        <v>45376</v>
      </c>
      <c r="C201">
        <v>503.02</v>
      </c>
      <c r="D201">
        <v>179.71</v>
      </c>
    </row>
    <row r="202" spans="2:4" x14ac:dyDescent="0.25">
      <c r="B202" s="5">
        <v>45373</v>
      </c>
      <c r="C202">
        <v>509.58</v>
      </c>
      <c r="D202">
        <v>178.87</v>
      </c>
    </row>
    <row r="203" spans="2:4" x14ac:dyDescent="0.25">
      <c r="B203" s="5">
        <v>45372</v>
      </c>
      <c r="C203">
        <v>507.76</v>
      </c>
      <c r="D203">
        <v>178.15</v>
      </c>
    </row>
    <row r="204" spans="2:4" x14ac:dyDescent="0.25">
      <c r="B204" s="5">
        <v>45371</v>
      </c>
      <c r="C204">
        <v>505.52</v>
      </c>
      <c r="D204">
        <v>178.15</v>
      </c>
    </row>
    <row r="205" spans="2:4" x14ac:dyDescent="0.25">
      <c r="B205" s="5">
        <v>45370</v>
      </c>
      <c r="C205">
        <v>496.24</v>
      </c>
      <c r="D205">
        <v>175.9</v>
      </c>
    </row>
    <row r="206" spans="2:4" x14ac:dyDescent="0.25">
      <c r="B206" s="5">
        <v>45369</v>
      </c>
      <c r="C206">
        <v>496.98</v>
      </c>
      <c r="D206">
        <v>174.48</v>
      </c>
    </row>
    <row r="207" spans="2:4" x14ac:dyDescent="0.25">
      <c r="B207" s="5">
        <v>45366</v>
      </c>
      <c r="C207">
        <v>484.1</v>
      </c>
      <c r="D207">
        <v>174.42</v>
      </c>
    </row>
    <row r="208" spans="2:4" x14ac:dyDescent="0.25">
      <c r="B208" s="5">
        <v>45365</v>
      </c>
      <c r="C208">
        <v>491.83</v>
      </c>
      <c r="D208">
        <v>178.75</v>
      </c>
    </row>
    <row r="209" spans="2:4" x14ac:dyDescent="0.25">
      <c r="B209" s="5">
        <v>45364</v>
      </c>
      <c r="C209">
        <v>495.57</v>
      </c>
      <c r="D209">
        <v>176.55500000000001</v>
      </c>
    </row>
    <row r="210" spans="2:4" x14ac:dyDescent="0.25">
      <c r="B210" s="5">
        <v>45363</v>
      </c>
      <c r="C210">
        <v>499.75</v>
      </c>
      <c r="D210">
        <v>175.39</v>
      </c>
    </row>
    <row r="211" spans="2:4" x14ac:dyDescent="0.25">
      <c r="B211" s="5">
        <v>45362</v>
      </c>
      <c r="C211">
        <v>483.59</v>
      </c>
      <c r="D211">
        <v>171.96</v>
      </c>
    </row>
    <row r="212" spans="2:4" x14ac:dyDescent="0.25">
      <c r="B212" s="5">
        <v>45359</v>
      </c>
      <c r="C212">
        <v>505.95</v>
      </c>
      <c r="D212">
        <v>175.35</v>
      </c>
    </row>
    <row r="213" spans="2:4" x14ac:dyDescent="0.25">
      <c r="B213" s="5">
        <v>45358</v>
      </c>
      <c r="C213">
        <v>512.19000000000005</v>
      </c>
      <c r="D213">
        <v>176.82</v>
      </c>
    </row>
    <row r="214" spans="2:4" x14ac:dyDescent="0.25">
      <c r="B214" s="5">
        <v>45357</v>
      </c>
      <c r="C214">
        <v>496.09</v>
      </c>
      <c r="D214">
        <v>173.51</v>
      </c>
    </row>
    <row r="215" spans="2:4" x14ac:dyDescent="0.25">
      <c r="B215" s="5">
        <v>45356</v>
      </c>
      <c r="C215">
        <v>490.22</v>
      </c>
      <c r="D215">
        <v>174.12</v>
      </c>
    </row>
    <row r="216" spans="2:4" x14ac:dyDescent="0.25">
      <c r="B216" s="5">
        <v>45355</v>
      </c>
      <c r="C216">
        <v>498.19</v>
      </c>
      <c r="D216">
        <v>177.58</v>
      </c>
    </row>
    <row r="217" spans="2:4" x14ac:dyDescent="0.25">
      <c r="B217" s="5">
        <v>45352</v>
      </c>
      <c r="C217">
        <v>502.3</v>
      </c>
      <c r="D217">
        <v>178.22</v>
      </c>
    </row>
    <row r="218" spans="2:4" x14ac:dyDescent="0.25">
      <c r="B218" s="5">
        <v>45351</v>
      </c>
      <c r="C218">
        <v>490.13</v>
      </c>
      <c r="D218">
        <v>176.76</v>
      </c>
    </row>
    <row r="219" spans="2:4" x14ac:dyDescent="0.25">
      <c r="B219" s="5">
        <v>45350</v>
      </c>
      <c r="C219">
        <v>484.02</v>
      </c>
      <c r="D219">
        <v>173.16</v>
      </c>
    </row>
    <row r="220" spans="2:4" x14ac:dyDescent="0.25">
      <c r="B220" s="5">
        <v>45349</v>
      </c>
      <c r="C220">
        <v>487.05</v>
      </c>
      <c r="D220">
        <v>173.54</v>
      </c>
    </row>
    <row r="221" spans="2:4" x14ac:dyDescent="0.25">
      <c r="B221" s="5">
        <v>45348</v>
      </c>
      <c r="C221">
        <v>481.74</v>
      </c>
      <c r="D221">
        <v>174.73</v>
      </c>
    </row>
    <row r="222" spans="2:4" x14ac:dyDescent="0.25">
      <c r="B222" s="5">
        <v>45345</v>
      </c>
      <c r="C222">
        <v>484.03</v>
      </c>
      <c r="D222">
        <v>174.99</v>
      </c>
    </row>
    <row r="223" spans="2:4" x14ac:dyDescent="0.25">
      <c r="B223" s="5">
        <v>45344</v>
      </c>
      <c r="C223">
        <v>486.13</v>
      </c>
      <c r="D223">
        <v>174.58</v>
      </c>
    </row>
    <row r="224" spans="2:4" x14ac:dyDescent="0.25">
      <c r="B224" s="5">
        <v>45343</v>
      </c>
      <c r="C224">
        <v>468.03</v>
      </c>
      <c r="D224">
        <v>168.59</v>
      </c>
    </row>
    <row r="225" spans="2:4" x14ac:dyDescent="0.25">
      <c r="B225" s="5">
        <v>45342</v>
      </c>
      <c r="C225">
        <v>471.75</v>
      </c>
      <c r="D225">
        <v>167.08</v>
      </c>
    </row>
    <row r="226" spans="2:4" x14ac:dyDescent="0.25">
      <c r="B226" s="5">
        <v>45338</v>
      </c>
      <c r="C226">
        <v>473.32</v>
      </c>
      <c r="D226">
        <v>169.51</v>
      </c>
    </row>
    <row r="227" spans="2:4" x14ac:dyDescent="0.25">
      <c r="B227" s="5">
        <v>45337</v>
      </c>
      <c r="C227">
        <v>484.03</v>
      </c>
      <c r="D227">
        <v>169.8</v>
      </c>
    </row>
    <row r="228" spans="2:4" x14ac:dyDescent="0.25">
      <c r="B228" s="5">
        <v>45336</v>
      </c>
      <c r="C228">
        <v>473.28</v>
      </c>
      <c r="D228">
        <v>170.98</v>
      </c>
    </row>
    <row r="229" spans="2:4" x14ac:dyDescent="0.25">
      <c r="B229" s="5">
        <v>45335</v>
      </c>
      <c r="C229">
        <v>460.12</v>
      </c>
      <c r="D229">
        <v>168.64</v>
      </c>
    </row>
    <row r="230" spans="2:4" x14ac:dyDescent="0.25">
      <c r="B230" s="5">
        <v>45334</v>
      </c>
      <c r="C230">
        <v>468.9</v>
      </c>
      <c r="D230">
        <v>172.34</v>
      </c>
    </row>
    <row r="231" spans="2:4" x14ac:dyDescent="0.25">
      <c r="B231" s="5">
        <v>45331</v>
      </c>
      <c r="C231">
        <v>468.11</v>
      </c>
      <c r="D231">
        <v>174.45</v>
      </c>
    </row>
    <row r="232" spans="2:4" x14ac:dyDescent="0.25">
      <c r="B232" s="5">
        <v>45330</v>
      </c>
      <c r="C232">
        <v>470</v>
      </c>
      <c r="D232">
        <v>169.84</v>
      </c>
    </row>
    <row r="233" spans="2:4" x14ac:dyDescent="0.25">
      <c r="B233" s="5">
        <v>45329</v>
      </c>
      <c r="C233">
        <v>469.59</v>
      </c>
      <c r="D233">
        <v>170.53</v>
      </c>
    </row>
    <row r="234" spans="2:4" x14ac:dyDescent="0.25">
      <c r="B234" s="5">
        <v>45328</v>
      </c>
      <c r="C234">
        <v>454.72</v>
      </c>
      <c r="D234">
        <v>169.15</v>
      </c>
    </row>
    <row r="235" spans="2:4" x14ac:dyDescent="0.25">
      <c r="B235" s="5">
        <v>45327</v>
      </c>
      <c r="C235">
        <v>459.41</v>
      </c>
      <c r="D235">
        <v>170.31</v>
      </c>
    </row>
    <row r="236" spans="2:4" x14ac:dyDescent="0.25">
      <c r="B236" s="5">
        <v>45324</v>
      </c>
      <c r="C236">
        <v>474.99</v>
      </c>
      <c r="D236">
        <v>171.81</v>
      </c>
    </row>
    <row r="237" spans="2:4" x14ac:dyDescent="0.25">
      <c r="B237" s="5">
        <v>45323</v>
      </c>
      <c r="C237">
        <v>394.78</v>
      </c>
      <c r="D237">
        <v>159.28</v>
      </c>
    </row>
    <row r="238" spans="2:4" x14ac:dyDescent="0.25">
      <c r="B238" s="5">
        <v>45322</v>
      </c>
      <c r="C238">
        <v>390.14</v>
      </c>
      <c r="D238">
        <v>155.19999999999999</v>
      </c>
    </row>
    <row r="239" spans="2:4" x14ac:dyDescent="0.25">
      <c r="B239" s="5">
        <v>45321</v>
      </c>
      <c r="C239">
        <v>400.06</v>
      </c>
      <c r="D239">
        <v>159</v>
      </c>
    </row>
    <row r="240" spans="2:4" x14ac:dyDescent="0.25">
      <c r="B240" s="5">
        <v>45320</v>
      </c>
      <c r="C240">
        <v>401.02</v>
      </c>
      <c r="D240">
        <v>161.26</v>
      </c>
    </row>
    <row r="241" spans="2:4" x14ac:dyDescent="0.25">
      <c r="B241" s="5">
        <v>45317</v>
      </c>
      <c r="C241">
        <v>394.14</v>
      </c>
      <c r="D241">
        <v>159.12</v>
      </c>
    </row>
    <row r="242" spans="2:4" x14ac:dyDescent="0.25">
      <c r="B242" s="5">
        <v>45316</v>
      </c>
      <c r="C242">
        <v>393.18</v>
      </c>
      <c r="D242">
        <v>157.75</v>
      </c>
    </row>
    <row r="243" spans="2:4" x14ac:dyDescent="0.25">
      <c r="B243" s="5">
        <v>45315</v>
      </c>
      <c r="C243">
        <v>390.7</v>
      </c>
      <c r="D243">
        <v>156.87</v>
      </c>
    </row>
    <row r="244" spans="2:4" x14ac:dyDescent="0.25">
      <c r="B244" s="5">
        <v>45314</v>
      </c>
      <c r="C244">
        <v>385.2</v>
      </c>
      <c r="D244">
        <v>156.02000000000001</v>
      </c>
    </row>
    <row r="245" spans="2:4" x14ac:dyDescent="0.25">
      <c r="B245" s="5">
        <v>45313</v>
      </c>
      <c r="C245">
        <v>381.78</v>
      </c>
      <c r="D245">
        <v>154.78</v>
      </c>
    </row>
    <row r="246" spans="2:4" x14ac:dyDescent="0.25">
      <c r="B246" s="5">
        <v>45310</v>
      </c>
      <c r="C246">
        <v>383.45</v>
      </c>
      <c r="D246">
        <v>155.34</v>
      </c>
    </row>
    <row r="247" spans="2:4" x14ac:dyDescent="0.25">
      <c r="B247" s="5">
        <v>45309</v>
      </c>
      <c r="C247">
        <v>376.13</v>
      </c>
      <c r="D247">
        <v>153.5</v>
      </c>
    </row>
    <row r="248" spans="2:4" x14ac:dyDescent="0.25">
      <c r="B248" s="5">
        <v>45308</v>
      </c>
      <c r="C248">
        <v>368.37</v>
      </c>
      <c r="D248">
        <v>151.71</v>
      </c>
    </row>
    <row r="249" spans="2:4" x14ac:dyDescent="0.25">
      <c r="B249" s="5">
        <v>45307</v>
      </c>
      <c r="C249">
        <v>367.46</v>
      </c>
      <c r="D249">
        <v>153.16</v>
      </c>
    </row>
    <row r="250" spans="2:4" x14ac:dyDescent="0.25">
      <c r="B250" s="5">
        <v>45303</v>
      </c>
      <c r="C250">
        <v>374.49</v>
      </c>
      <c r="D250">
        <v>154.62</v>
      </c>
    </row>
    <row r="251" spans="2:4" x14ac:dyDescent="0.25">
      <c r="B251" s="5">
        <v>45302</v>
      </c>
      <c r="C251">
        <v>369.67</v>
      </c>
      <c r="D251">
        <v>155.18</v>
      </c>
    </row>
    <row r="252" spans="2:4" x14ac:dyDescent="0.25">
      <c r="B252" s="5">
        <v>45301</v>
      </c>
      <c r="C252">
        <v>370.47</v>
      </c>
      <c r="D252">
        <v>153.72999999999999</v>
      </c>
    </row>
    <row r="253" spans="2:4" x14ac:dyDescent="0.25">
      <c r="B253" s="5">
        <v>45300</v>
      </c>
      <c r="C253">
        <v>357.43</v>
      </c>
      <c r="D253">
        <v>151.37</v>
      </c>
    </row>
    <row r="254" spans="2:4" x14ac:dyDescent="0.25">
      <c r="B254" s="5">
        <v>45299</v>
      </c>
      <c r="C254">
        <v>358.66</v>
      </c>
      <c r="D254">
        <v>149.1</v>
      </c>
    </row>
    <row r="255" spans="2:4" x14ac:dyDescent="0.25">
      <c r="B255" s="5">
        <v>45296</v>
      </c>
      <c r="C255">
        <v>351.95</v>
      </c>
      <c r="D255">
        <v>145.24</v>
      </c>
    </row>
    <row r="256" spans="2:4" x14ac:dyDescent="0.25">
      <c r="B256" s="5">
        <v>45295</v>
      </c>
      <c r="C256">
        <v>347.12</v>
      </c>
      <c r="D256">
        <v>144.57</v>
      </c>
    </row>
    <row r="257" spans="2:4" x14ac:dyDescent="0.25">
      <c r="B257" s="5">
        <v>45294</v>
      </c>
      <c r="C257">
        <v>344.47</v>
      </c>
      <c r="D257">
        <v>148.47</v>
      </c>
    </row>
    <row r="258" spans="2:4" x14ac:dyDescent="0.25">
      <c r="B258" s="5">
        <v>45293</v>
      </c>
      <c r="C258">
        <v>346.29</v>
      </c>
      <c r="D258">
        <v>149.93</v>
      </c>
    </row>
    <row r="259" spans="2:4" x14ac:dyDescent="0.25">
      <c r="B259" s="5">
        <v>45289</v>
      </c>
      <c r="C259">
        <v>353.96</v>
      </c>
      <c r="D259">
        <v>151.94</v>
      </c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160971"><![CDATA[{"AMZN-US^FG_PRICE(45657,45657-1AY,,USD)":[219.39,221.3,223.75,227.05,229.05,225.06,224.92,223.29,220.52,231.15,232.93,227.46,228.97,230.26,225.04,226.09,227.03,220.55,218.16,213.44,210.71,207.89,205.74,207.86,201.45,197.12,198.38,202.88,204.61,201.7,202.61,211.48,214.1,208.91,206.84,208.18,210.05,207.09,199.5,195.78,197.93,186.4,192.73,190.83,188.39,187.83,186.38,184.71,189.7,189.07,188.99,187.53,186.89,187.69,187.54,188.82,186.65,185.17,182.72,180.8,186.51,181.96,184.76,185.13,186.33,187.97,191.16,192.53,193.96,193.88,191.6,189.87,186.43,186.88,184.89,186.49,187.0,184.52,179.55,175.4,171.39,177.89,173.33,176.25,178.5,172.12,170.8,173.12,175.5,177.04,176.13,180.11,178.88,178.22,177.06,177.59,170.1,170.23,166.8,166.94,165.8,162.77,161.93,161.02,167.9,184.07,186.98,181.71,183.2,182.5,179.85,180.83,186.41,182.55,183.13,183.75,187.93,193.02,192.72,194.49,195.05,199.79,199.34,199.29,200.0,197.59,200.0,197.2,193.25,197.85,193.61,186.34,185.57,189.08,186.1,182.81,184.06,183.66,183.83,186.89,187.23,187.06,184.3,185.0,181.28,179.34,178.34,176.44,179.32,182.02,182.15,180.75,181.05,183.13,183.15,183.54,184.7,183.63,185.99,187.07,186.57,187.48,189.5,188.0,188.76,188.7,186.21,184.72,179.0,175.0,180.96,179.62,173.67,176.59,179.54,177.23,174.63,179.22,181.28,183.32,183.62,186.13,189.05,185.95,185.67,185.19,185.07,180.0,182.41,180.69,180.97,180.38,179.83,178.3,179.71,178.87,178.15,178.15,175.9,174.48,174.42,178.75,176.555,175.39,171.96,175.35,176.82,173.51,174.12,177.58,178.22,176.76,173.16,173.54,174.73,174.99,174.58,168.59,167.08,169.51,169.8,170.98,168.64,172.34,174.45,169.84,170.53,169.15,170.31,171.81,159.28,155.2,159.0,161.26,159.12,157.75,156.87,156.02,154.78,155.34,153.5,151.71,153.16,154.62,155.18,153.73,151.37,149.1,145.24,144.57,148.47,149.93,151.94],"META-US^FG_PRICE(45657,45657-1AY,,USD)":[585.51,591.24,599.81,603.35,607.75,599.85,585.25,595.57,597.19,619.44,624.24,620.35,630.79,632.68,619.32,613.57,623.77,608.93,613.78,613.65,592.83,574.32,569.2,573.54,565.11,559.14,563.09,565.52,561.09,554.4,554.08,577.16,580.0,584.82,583.17,589.34,591.7,572.05,572.43,560.68,567.16,567.58,591.8,593.28,578.16,573.25,567.78,563.69,582.01,575.16,576.47,576.93,576.79,586.27,590.42,589.95,583.83,590.51,592.89,584.78,595.94,582.77,572.81,576.47,572.44,567.36,567.84,568.31,563.33,564.41,561.35,559.1,537.95,536.315,533.28,524.62,525.6,511.83,504.79,504.79,500.27,516.86,512.74,511.76,521.31,518.22,516.78,519.1,521.12,528.0,531.93,535.16,526.73,529.28,527.42,537.33,526.76,528.54,515.95,517.77,509.63,488.92,494.09,475.73,488.14,497.74,474.83,463.19,465.71,465.7,453.41,461.27,488.69,487.4,476.79,475.85,461.99,489.79,496.16,498.87,512.7,534.69,530.0,529.32,539.91,509.96,509.5,504.68,504.22,519.56,513.12,510.6,498.91,494.78,501.7,499.49,506.63,504.16,504.1,508.84,507.47,502.6,492.96,493.76,495.06,476.99,477.49,466.83,467.05,474.36,479.92,478.22,465.78,467.78,464.63,468.84,471.91,473.23,481.54,471.85,468.01,476.2,475.42,472.6,468.24,465.68,451.96,441.68,439.19,430.17,432.62,443.29,441.38,493.5,496.1,481.73,481.07,501.8,494.17,499.76,500.23,511.9,523.16,519.83,516.9,519.25,527.34,510.92,506.74,497.37,491.35,485.58,493.86,495.89,503.02,509.58,507.76,505.52,496.24,496.98,484.1,491.83,495.57,499.75,483.59,505.95,512.19,496.09,490.22,498.19,502.3,490.13,484.02,487.05,481.74,484.03,486.13,468.03,471.75,473.32,484.03,473.28,460.12,468.9,468.11,470.0,469.59,454.72,459.41,474.99,394.78,390.14,400.06,401.02,394.14,393.18,390.7,385.2,381.78,383.45,376.13,368.37,367.46,374.49,369.67,370.47,357.43,358.66,351.95,347.12,344.47,346.29,353.96],"META-US^JULIAN(FG_PRICE(45657,45657-1AY,,USD).DATES)":[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],"^FG_COMPANY_NAME":null,"^PROPER_NAME":null,"MCO-US^PROPER_NAME":"Moody's Corporation","SHW-US^PROPER_NAME":"Sherwin-Williams Company","EVD-DE^PROPER_NAME":"CTS Eventim AG & Co. KGaA","BKNG-US^PROPER_NAME":"Booking Holdings Inc.","ADSK-US^PROPER_NAME":"Autodesk, Inc.","WDAY-US^PROPER_NAME":"Workday, Inc. Class A","RTO-GB^PROPER_NAME":"Rentokil Initial plc","BBCA-ID^PROPER_NAME":"PT Bank Central Asia Tbk","AZO-US^PROPER_NAME":"AutoZone, Inc.","ALLE-US^PROPER_NAME":"Allegion Public Limited Company","ATCO.B-SE^PROPER_NAME":"Atlas Copco AB Class B","B3SA3-BR^PROPER_NAME":"B3 SA - Brasil, Bolsa, Balcao","ZTS-US^PROPER_NAME":"Zoetis, Inc. Class A","FERG-US^PROPER_NAME":"Ferguson Enterprises Inc.","EW-US^PROPER_NAME":"Edwards Lifesciences Corporation","INTU-US^PROPER_NAME":"Intuit Inc.","HDB-US^PROPER_NAME":"HDFC Bank Limited Sponsored ADR","1299-HK^PROPER_NAME":"AIA Group Limited","ROG-CH^PROPER_NAME":"Roche Holding Ltd Dividend Right Cert.","SAF-FR^PROPER_NAME":"Safran SA","EXPN-GB^PROPER_NAME":"Experian PLC","SCHW-US^PROPER_NAME":"Charles Schwab Corp","TSM-US^PROPER_NAME":"Taiwan Semiconductor Manufacturing Co., Ltd. Sponsored ADR","GE-US^PROPER_NAME":"GE Aerospace","DB1-DE^PROPER_NAME":"Deutsche Boerse AG","ASML-US^PROPER_NAME":"ASML Holding NV Sponsored ADR","ULVR-GB^PROPER_NAME":"Unilever PLC","MA-US^PROPER_NAME":"Mastercard Incorporated Class A","V-US^PROPER_NAME":"Visa Inc. Class A","LSEG-GB^PROPER_NAME":"London Stock Exchange Group plc","GOOG-US^PROPER_NAME":"Alphabet Inc. Class C","MSFT-US^PROPER_NAME":"Microsoft Corporation","DUMMY^CORREL_MATRIX(CORRELMATRIX)":[[1.0,0.70593476,-0.63645244,0.3676423,0.6533294,0.34959054,0.6717653,0.16902007,0.8716865,0.88043547,0.91421163,0.59048843,0.8357729,0.29381698,0.8596841,0.6743258,0.71838593,0.74858326,0.89578664,-0.5583033,0.56996876,0.13674219,0.8842032,0.6514036,-0.437175,0.46980768,-0.37997007,0.6593172,0.82277054,0.03862189,-0.070750654,0.6085905],[0.70593476,1.0,-0.83801097,0.088617705,0.4345135,0.04355542,0.85035014,-0.30104807,0.7140998,0.9118856,0.5819933,0.11297436,0.6097841,0.35419536,0.5854946,0.13275076,0.13442287,0.43807083,0.6967033,-0.52302426,0.20279378,0.49729005,0.7956112,0.5204921,-0.41870984,0.6504941,-0.23035027,0.6330727,0.34510216,-0.46180964,-0.1174782,0.3739481],[-0.63645244,-0.83801097,1.0,0.05400079,-0.32620287,-0.04736814,-0.66573167,0.25646022,-0.67086864,-0.78433186,-0.54468733,-0.080277234,-0.5928301,-0.36136472,-0.67889506,-0.13413218,-0.13910365,-0.30478787,-0.6825094,0.5757784,-0.20706014,-0.28965846,-0.83910525,-0.58651614,0.5708236,-0.45805982,0.41446158,-0.46417063,-0.3093783,0.44181794,0.09134149,-0.25641355],[0.3676423,0.088617705,0.05400079,1.0,0.81823975,0.4485835,0.31107718,0.71381146,0.5960072,0.24599627,0.5808035,0.59489787,0.6328898,0.62471074,0.42725363,0.50983447,0.37592852,0.58998245,0.19331364,-0.3670837,0.7207087,0.24989745,0.2500192,0.60568255,-0.426597,-0.056886252,-0.16816874,0.07103802,0.4564856,0.64860237,-0.24333113,0.36313996],[0.6533294,0.4345135,-0.32620287,0.81823975,1.0,0.46794787,0.4596364,0.44396263,0.76529104,0.53169125,0.78840446,0.69590086,0.7564223,0.54465955,0.6620408,0.5211218,0.44365242,0.72928745,0.52619654,-0.36784297,0.6660933,0.31670925,0.62214196,0.73957497,-0.4088436,0.27256742,-0.17890595,0.43372157,0.6890489,0.3323738,0.049620707,0.65752286],[0.34959054,0.04355542,-0.04736814,0.4485835,0.46794787,1.0,0.13849494,0.67190653,0.47695348,0.120666996,0.49418285,0.53752166,0.50954825,0.32581758,0.4810734,0.74453366,0.37469864,0.46993116,0.32125884,-0.36154073,0.7062009,-0.11404255,0.40145046,0.59643507,-0.483582,-0.06911231,-0.4473838,0.021110859,0.4080271,0.42073336,-0.026027761,-0.04675638],[0.6717653,0.85035014,-0.66573167,0.31107718,0.4596364,0.13849494,1.0,-0.06267396,0.76522744,0.8821594,0.58164036,0.14070116,0.6935754,0.536132,0.6014824,0.26240408,0.21628004,0.42284018,0.6423115,-0.5555716,0.4115242,0.5979543,0.6998423,0.522975,-0.48684695,0.5667903,-0.19749087,0.5182297,0.34850475,-0.20623858,-0.27945054,0.22869699],[0.16902007,-0.30104807,0.25646022,0.71381146,0.44396263,0.67190653,-0.06267396,1.0,0.36385792,-0.11228606,0.38254115,0.5370706,0.49742395,0.39345244,0.33061644,0.67380154,0.39122966,0.44255853,-0.021958575,-0.41692477,0.79102033,-0.20984213,0.07267874,0.5401154,-0.47315285,-0.48590955,-0.4591525,-0.31023037,0.31491366,0.8522897,-0.34818318,-0.060925145],[0.8716865,0.7140998,-0.67086864,0.5960072,0.76529104,0.47695348,0.76522744,0.36385792,1.0,0.8468089,0.9175028,0.5951055,0.9743468,0.6353651,0.893112,0.64839494,0.54580206,0.72110337,0.7884916,-0.7386215,0.753162,0.31174797,0.8795006,0.85118544,-0.7270927,0.3646207,-0.5366381,0.4667961,0.6624978,0.17796366,-0.24973953,0.4462283],[0.88043547,0.9118856,-0.78433186,0.24599627,0.53169125,0.120666996,0.8821594,-0.11228606,0.8468089,1.0,0.76421314,0.3374427,0.7714593,0.42023695,0.7437006,0.37832555,0.42329928,0.5554663,0.8457554,-0.5764529,0.39158252,0.43057773,0.8686027,0.57547593,-0.46657103,0.63641614,-0.3092271,0.67604893,0.56915194,-0.23145361,-0.16296916,0.49781477],[0.91421163,0.5819933,-0.54468733,0.5808035,0.78840446,0.49418285,0.58164036,0.38254115,0.9175028,0.76421314,1.0,0.7242714,0.9011488,0.4286066,0.85586035,0.7407501,0.67912257,0.7896123,0.8278383,-0.5970757,0.70885336,0.12748152,0.85337543,0.77254534,-0.55374616,0.3517464,-0.42901167,0.5465695,0.8146413,0.2217108,-0.06334584,0.6288033],[0.59048843,0.11297436,-0.080277234,0.59489787,0.69590086,0.53752166,0.14070116,0.5370706,0.5951055,0.3374427,0.7242714,1.0,0.6305383,0.32420537,0.55935574,0.655634,0.6286616,0.55849946,0.5267313,-0.25058997,0.6940536,0.03521079,0.48983318,0.49698514,-0.3585083,0.11803714,-0.2656612,0.38341677,0.73634344,0.5767266,0.1443851,0.5789024],[0.8357729,0.6097841,-0.5928301,0.6328898,0.7564223,0.50954825,0.6935754,0.49742395,0.9743468,0.7714593,0.9011488,0.6305383,1.0,0.6656336,0.8913696,0.68493545,0.5556211,0.72285056,0.72498775,-0.75195485,0.80935913,0.26819238,0.8318732,0.8637351,-0.755613,0.24754404,-0.59105974,0.346362,0.652875,0.3035279,-0.29551873,0.40606788],[0.29381698,0.35419536,-0.36136472,0.62471074,0.54465955,0.32581758,0.536132,0.39345244,0.6353651,0.42023695,0.4286066,0.32420537,0.6656336,1.0,0.52503234,0.23687518,0.0773581,0.2716058,0.26930627,-0.487325,0.56633276,0.611209,0.41938993,0.647214,-0.6911643,0.117889844,-0.37374666,-0.011348601,0.13436571,0.2770601,-0.33797488,0.08398972],[0.8596841,0.5854946,-0.67889506,0.42725363,0.6620408,0.4810734,0.6014824,0.33061644,0.893112,0.7437006,0.85586035,0.55935574,0.8913696,0.52503234,1.0,0.67413145,0.6479168,0.665094,0.79592806,-0.6162223,0.70561343,0.15635514,0.857425,0.79341197,-0.63356304,0.27473998,-0.54933566,0.40610948,0.6925958,0.1461077,-0.12612398,0.3968373],[0.6743258,0.13275076,-0.13413218,0.50983447,0.5211218,0.74453366,0.26240408,0.67380154,0.64839494,0.37832555,0.7407501,0.655634,0.68493545,0.23687518,0.67413145,1.0,0.78058654,0.7018142,0.5740316,-0.5221488,0.7764229,-0.25963658,0.5472457,0.58945477,-0.4554597,0.044938736,-0.48942497,0.21431144,0.73203313,0.50401235,-0.1968053,0.23690847],[0.71838593,0.13442287,-0.13910365,0.37592852,0.44365242,0.37469864,0.21628004,0.39122966,0.54580206,0.42329928,0.67912257,0.6286616,0.5556211,0.0773581,0.6479168,0.78058654,1.0,0.56395704,0.6336051,-0.2206945,0.54432905,-0.21496339,0.4732212,0.33920836,-0.18521334,0.10008869,-0.24336699,0.44841853,0.81520367,0.41168347,-0.013929943,0.4379869],[0.74858326,0.43807083,-0.30478787,0.58998245,0.72928745,0.46993116,0.42284018,0.44255853,0.72110337,0.5554663,0.7896123,0.55849946,0.72285056,0.2716058,0.665094,0.7018142,0.56395704,1.0,0.58273154,-0.52576697,0.61386776,-0.022365695,0.6276625,0.6673757,-0.34931132,0.23250817,-0.3524847,0.3719343,0.7510753,0.23480126,-0.14447314,0.54310673],[0.89578664,0.6967033,-0.6825094,0.19331364,0.52619654,0.32125884,0.6423115,-0.021958575,0.7884916,0.8457554,0.8278383,0.5267313,0.72498775,0.26930627,0.79592806,0.5740316,0.6336051,0.58273154,1.0,-0.4129853,0.4070774,0.1654826,0.86650133,0.50621176,-0.4070813,0.6145784,-0.350452,0.6917858,0.7507607,-0.13654114,0.1422379,0.579531],[-0.5583033,-0.52302426,0.5757784,-0.3670837,-0.36784297,-0.36154073,-0.5555716,-0.41692477,-0.7386215,-0.5764529,-0.5970757,-0.25058997,-0.75195485,-0.487325,-0.6162223,-0.5221488,-0.2206945,-0.52576697,-0.4129853,1.0,-0.6534792,-0.04310104,-0.6311677,-0.7710474,0.8686349,-0.054289486,0.7089077,-0.06083048,-0.29268342,-0.17568173,0.6424934,0.0075921123],[0.56996876,0.20279378,-0.20706014,0.7207087,0.6660933,0.7062009,0.4115242,0.79102033,0.753162,0.39158252,0.70885336,0.6940536,0.80935913,0.56633276,0.70561343,0.7764229,0.54432905,0.61386776,0.4070774,-0.6534792,1.0,0.06309005,0.53338647,0.7724764,-0.7132379,-0.08122206,-0.5214149,0.15645722,0.5631242,0.63204825,-0.34943965,0.14174497],[0.13674219,0.49729005,-0.28965846,0.24989745,0.31670925,-0.11404255,0.5979543,-0.20984213,0.31174797,0.43057773,0.12748152,0.03521079,0.26819238,0.611209,0.15635514,-0.25963658,-0.21496339,-0.022365695,0.1654826,-0.04310104,0.06309005,1.0,0.2420572,0.18176089,-0.18155709,0.4175469,0.20399998,0.2662509,-0.061435655,-0.17833117,0.017296528,0.18540765],[0.8842032,0.7956112,-0.83910525,0.2500192,0.62214196,0.40145046,0.6998423,0.07267874,0.8795006,0.8686027,0.85337543,0.48983318,0.8318732,0.41938993,0.857425,0.5472457,0.4732212,0.6276625,0.86650133,-0.6311677,0.53338647,0.2420572,1.0,0.76154125,-0.6166129,0.512099,-0.4618146,0.6022997,0.66647005,-0.1359604,-0.012792519,0.47441444],[0.6514036,0.5204921,-0.58651614,0.60568255,0.73957497,0.59643507,0.522975,0.5401154,0.85118544,0.57547593,0.77254534,0.49698514,0.8637351,0.647214,0.79341197,0.58945477,0.33920836,0.6673757,0.50621176,-0.7710474,0.7724764,0.18176089,0.76154125,1.0,-0.8356078,0.049050935,-0.6192103,0.19769919,0.51001936,0.2425054,-0.295645,0.26153237],[-0.437175,-0.41870984,0.5708236,-0.426597,-0.4088436,-0.483582,-0.48684695,-0.47315285,-0.7270927,-0.46657103,-0.55374616,-0.3585083,-0.755613,-0.6911643,-0.63356304,-0.4554597,-0.18521334,-0.34931132,-0.4070813,0.8686349,-0.7132379,-0.18155709,-0.6166129,-0.8356078,1.0,-0.04766016,0.7029268,-0.03356952,-0.21957599,-0.23737061,0.47807235,0.094131276],[0.46980768,0.6504941,-0.45805982,-0.056886252,0.27256742,-0.06911231,0.5667903,-0.48590955,0.3646207,0.63641614,0.3517464,0.11803714,0.24754404,0.117889844,0.27473998,0.044938736,0.10008869,0.23250817,0.6145784,-0.054289486,-0.08122206,0.4175469,0.512099,0.049050935,-0.04766016,1.0,0.15764932,0.6466834,0.31392375,-0.45630094,0.26980668,0.48969674],[-0.37997007,-0.23035027,0.41446158,-0.16816874,-0.17890595,-0.4473838,-0.19749087,-0.4591525,-0.5366381,-0.3092271,-0.42901167,-0.2656612,-0.59105974,-0.37374666,-0.54933566,-0.48942497,-0.24336699,-0.3524847,-0.350452,0.7089077,-0.5214149,0.20399998,-0.4618146,-0.6192103,0.7029268,0.15764932,1.0,0.19612464,-0.20924574,-0.22479005,0.4213547,0.08166252],[0.6593172,0.6330727,-0.46417063,0.07103802,0.43372157,0.021110859,0.5182297,-0.31023037,0.4667961,0.67604893,0.5465695,0.38341677,0.346362,-0.011348601,0.40610948,0.21431144,0.44841853,0.3719343,0.6917858,-0.06083048,0.15645722,0.2662509,0.6022997,0.19769919,-0.03356952,0.6466834,0.19612464,1.0,0.6270301,-0.28101522,0.29924026,0.61643595],[0.82277054,0.34510216,-0.3093783,0.4564856,0.6890489,0.4080271,0.34850475,0.31491366,0.6624978,0.56915194,0.8146413,0.73634344,0.652875,0.13436571,0.6925958,0.73203313,0.81520367,0.7510753,0.7507607,-0.29268342,0.5631242,-0.061435655,0.66647005,0.51001936,-0.21957599,0.31392375,-0.20924574,0.6270301,1.0,0.2601207,0.15491861,0.69211715],[0.03862189,-0.46180964,0.44181794,0.64860237,0.3323738,0.42073336,-0.20623858,0.8522897,0.17796366,-0.23145361,0.2217108,0.5767266,0.3035279,0.2770601,0.1461077,0.50401235,0.41168347,0.23480126,-0.13654114,-0.17568173,0.63204825,-0.17833117,-0.1359604,0.2425054,-0.23737061,-0.45630094,-0.22479005,-0.28101522,0.2601207,1.0,-0.2376761,0.023357874],[-0.070750654,-0.1174782,0.09134149,-0.24333113,0.049620707,-0.026027761,-0.27945054,-0.34818318,-0.24973953,-0.16296916,-0.06334584,0.1443851,-0.29551873,-0.33797488,-0.12612398,-0.1968053,-0.013929943,-0.14447314,0.1422379,0.6424934,-0.34943965,0.017296528,-0.012792519,-0.295645,0.47807235,0.26980668,0.4213547,0.29924026,0.15491861,-0.2376761,1.0,0.3916178],[0.6085905,0.3739481,-0.25641355,0.36313996,0.65752286,-0.04675638,0.22869699,-0.060925145,0.4462283,0.49781477,0.6288033,0.5789024,0.40606788,0.08398972,0.3968373,0.23690847,0.4379869,0.54310673,0.579531,0.0075921123,0.14174497,0.18540765,0.47441444,0.26153237,0.094131276,0.48969674,0.08166252,0.61643595,0.69211715,0.023357874,0.3916178,1.0]],"^IDS":["MSFT-US","GOOG-US","LSEG-GB","V-US","MA-US","ULVR-GB","ASML-US","DB1-DE","GE-US","TSM-US","SCHW-US","EXPN-GB","SAF-FR","ROG-CH","1299-HK","HDB-US","INTU-US","EW-US","FERG-US","ZTS-US","B3SA3-BR","ATCO.B-SE","ALLE-US","AZO-US","BBCA-ID","RTO-GB","WDAY-US","ADSK-US","BKNG-US","EVD-DE","SHW-US","MCO-US"],"DUMMY^FLOAT_ARRAY CORRELMATRIX=GET_FQL_ARRAY(IDS,'FG_PRICE(45961,45961-1AY,D,USD)');'FDS CODE - DO NOT DELETE'":"FDS CODE - DO NOT DELETE","DUMMY^STRING_ARRAY IDS=TICKER_LIST('MSFT-US GOOG-US LSEG-GB V-US MA-US ULVR-GB ASML-US DB1-DE GE-US TSM-US SCHW-US EXPN-GB SAF-FR ROG-CH 1299-HK HDB-US INTU-US EW-US FERG-US ZTS-US B3SA3-BR ATCO.B-SE ALLE-US AZO-US BBCA-ID RTO-GB WDAY-US ADSK-US BKNG-US EVD-DE SHW-US MCO-US');\"FDS CODE - DO NOT DELETE\"":"FDS CODE - DO NOT DELETE","DUMMY^PROPER(\"CORRELATION OF DAILY DATA BETWEEN \") + FG_DATE(45961-1AY) + LOWERCASE(\" AND \") + FG_DATE(45961) + LOWERCASE(\":\")":"Correlation Of Daily Data Between 10/31/2024 and 10/31/2025:","MSFT-US^FG_COMPANY_NAME":"Microsoft Corporation","GOOG-US^FG_COMPANY_NAME":"Alphabet Inc. Class C","LSEG-GB^FG_COMPANY_NAME":"London Stock Exchange Group plc","V-US^FG_COMPANY_NAME":"Visa Inc. Class A","MA-US^FG_COMPANY_NAME":"Mastercard Incorporated Class A","ULVR-GB^FG_COMPANY_NAME":"Unilever PLC","ASML-US^FG_COMPANY_NAME":"ASML Holding NV Sponsored ADR","DB1-DE^FG_COMPANY_NAME":"Deutsche Boerse AG","GE-US^FG_COMPANY_NAME":"GE Aerospace","TSM-US^FG_COMPANY_NAME":"Taiwan Semiconductor Manufacturing Co., Ltd. Sponsored ADR","SCHW-US^FG_COMPANY_NAME":"Charles Schwab Corp","EXPN-GB^FG_COMPANY_NAME":"Experian PLC","SAF-FR^FG_COMPANY_NAME":"Safran SA","ROG-CH^FG_COMPANY_NAME":"Roche Holding Ltd Dividend Right Cert.","1299-HK^FG_COMPANY_NAME":"AIA Group Limited","HDB-US^FG_COMPANY_NAME":"HDFC Bank Limited Sponsored ADR","INTU-US^FG_COMPANY_NAME":"Intuit Inc.","EW-US^FG_COMPANY_NAME":"Edwards Lifesciences Corporation","FERG-US^FG_COMPANY_NAME":"Ferguson Enterprises Inc.","ZTS-US^FG_COMPANY_NAME":"Zoetis, Inc. Class A","B3SA3-BR^FG_COMPANY_NAME":"B3 SA - Brasil, Bolsa, Balcao","ATCO.B-SE^FG_COMPANY_NAME":"Atlas Copco AB Class B","ALLE-US^FG_COMPANY_NAME":"Allegion Public Limited Company","AZO-US^FG_COMPANY_NAME":"AutoZone, Inc.","BBCA-ID^FG_COMPANY_NAME":"PT Bank Central Asia Tbk","RTO-GB^FG_COMPANY_NAME":"Rentokil Initial plc","WDAY-US^FG_COMPANY_NAME":"Workday, Inc. Class A","ADSK-US^FG_COMPANY_NAME":"Autodesk, Inc.","BKNG-US^FG_COMPANY_NAME":"Booking Holdings Inc.","EVD-DE^FG_COMPANY_NAME":"CTS Eventim AG & Co. KGaA","SHW-US^FG_COMPANY_NAME":"Sherwin-Williams Company","MCO-US^FG_COMPANY_NAME":"Moody's Corporation"}]]></FdsFormulaCache>
</file>

<file path=customXml/itemProps1.xml><?xml version="1.0" encoding="utf-8"?>
<ds:datastoreItem xmlns:ds="http://schemas.openxmlformats.org/officeDocument/2006/customXml" ds:itemID="{5C320E4E-3058-4E90-BF61-70AC3DFDA4AF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2025-11-26T13:55:56Z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993215514</vt:i4>
  </property>
  <property fmtid="{D5CDD505-2E9C-101B-9397-08002B2CF9AE}" pid="4" name="_NewReviewCycle">
    <vt:lpwstr/>
  </property>
  <property fmtid="{D5CDD505-2E9C-101B-9397-08002B2CF9AE}" pid="5" name="_EmailSubject">
    <vt:lpwstr>CM 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856424481</vt:i4>
  </property>
  <property fmtid="{D5CDD505-2E9C-101B-9397-08002B2CF9AE}" pid="9" name="_ReviewingToolsShownOnce">
    <vt:lpwstr/>
  </property>
</Properties>
</file>