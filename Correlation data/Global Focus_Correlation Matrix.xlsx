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puser\Desktop\"/>
    </mc:Choice>
  </mc:AlternateContent>
  <xr:revisionPtr revIDLastSave="0" documentId="13_ncr:1_{2D7FC7A4-4F21-4EAB-B3DA-AFC8CC490574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 a="1"/>
  <c r="M29" i="1" s="1"/>
  <c r="L29" i="1" a="1"/>
  <c r="L29" i="1" s="1"/>
  <c r="K29" i="1" a="1"/>
  <c r="K29" i="1" s="1"/>
  <c r="J29" i="1" a="1"/>
  <c r="J29" i="1" s="1"/>
  <c r="I29" i="1" a="1"/>
  <c r="I29" i="1" s="1"/>
  <c r="H29" i="1" a="1"/>
  <c r="H29" i="1" s="1"/>
  <c r="G29" i="1" a="1"/>
  <c r="G29" i="1" s="1"/>
  <c r="F29" i="1" a="1"/>
  <c r="F29" i="1" s="1"/>
  <c r="E29" i="1" a="1"/>
  <c r="E29" i="1" s="1"/>
  <c r="D29" i="1" a="1"/>
  <c r="D29" i="1" s="1"/>
  <c r="C29" i="1" a="1"/>
  <c r="C29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D7" i="4" a="1"/>
  <c r="D7" i="4" s="1"/>
  <c r="C7" i="4" a="1"/>
  <c r="C7" i="4" s="1"/>
  <c r="B7" i="4" a="1"/>
  <c r="B7" i="4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D23" i="1" a="1"/>
  <c r="D23" i="1" s="1"/>
  <c r="D22" i="1" a="1"/>
  <c r="D22" i="1" s="1"/>
  <c r="D21" i="1" a="1"/>
  <c r="D21" i="1" s="1"/>
  <c r="D20" i="1" a="1"/>
  <c r="D20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C31" i="1" a="1"/>
  <c r="C31" i="1" s="1"/>
  <c r="C30" i="1" a="1"/>
  <c r="C30" i="1" s="1"/>
  <c r="C27" i="1" a="1"/>
  <c r="C27" i="1" s="1"/>
  <c r="B27" i="1" a="1"/>
  <c r="B27" i="1" s="1"/>
  <c r="B31" i="1" a="1"/>
  <c r="B31" i="1" s="1"/>
  <c r="B26" i="1" a="1"/>
  <c r="B26" i="1" s="1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fpuser</author>
  </authors>
  <commentList>
    <comment ref="A1" authorId="0" shapeId="0" xr:uid="{DB38CB60-E71B-4BC1-A75E-85A61A2F3479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Timestamp="1764161092"&gt;&lt;FQL&gt;&lt;Q&gt;AMZN-US^FG_PRICE(45657,45657-1AY,,USD)&lt;/Q&gt;&lt;R&gt;253&lt;/R&gt;&lt;C&gt;1&lt;/C&gt;&lt;D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GE-US^PROPER_NAME&lt;/Q&gt;&lt;R&gt;1&lt;/R&gt;&lt;C&gt;1&lt;/C&gt;&lt;D xsi:type="xsd:string"&gt;GE Aerospace&lt;/D&gt;&lt;/FQL&gt;&lt;FQL&gt;&lt;Q&gt;ADSK-US^PROPER_NAME&lt;/Q&gt;&lt;R&gt;1&lt;/R&gt;&lt;C&gt;1&lt;/C&gt;&lt;D xsi:type="xsd:string"&gt;Autodesk, Inc.&lt;/D&gt;&lt;/FQL&gt;&lt;FQL&gt;&lt;Q&gt;SAF-FR^PROPER_NAME&lt;/Q&gt;&lt;R&gt;1&lt;/R&gt;&lt;C&gt;1&lt;/C&gt;&lt;D xsi:type="xsd:string"&gt;Safran SA&lt;/D&gt;&lt;/FQL&gt;&lt;FQL&gt;&lt;Q&gt;MRO-GB^PROPER_NAME&lt;/Q&gt;&lt;R&gt;1&lt;/R&gt;&lt;C&gt;1&lt;/C&gt;&lt;D xsi:type="xsd:string"&gt;Melrose Industries PLC&lt;/D&gt;&lt;/FQL&gt;&lt;FQL&gt;&lt;Q&gt;EVD-DE^PROPER_NAME&lt;/Q&gt;&lt;R&gt;1&lt;/R&gt;&lt;C&gt;1&lt;/C&gt;&lt;D xsi:type="xsd:string"&gt;CTS Eventim AG &amp;amp; Co. KGaA&lt;/D&gt;&lt;/FQL&gt;&lt;FQL&gt;&lt;Q&gt;INTU-US^PROPER_NAME&lt;/Q&gt;&lt;R&gt;1&lt;/R&gt;&lt;C&gt;1&lt;/C&gt;&lt;D xsi:type="xsd:string"&gt;Intuit Inc.&lt;/D&gt;&lt;/FQL&gt;&lt;FQL&gt;&lt;Q&gt;GOOG-US^PROPER_NAME&lt;/Q&gt;&lt;R&gt;1&lt;/R&gt;&lt;C&gt;1&lt;/C&gt;&lt;D xsi:type="xsd:string"&gt;Alphabet Inc. Class C&lt;/D&gt;&lt;/FQL&gt;&lt;FQL&gt;&lt;Q&gt;DB1-DE^PROPER_NAME&lt;/Q&gt;&lt;R&gt;1&lt;/R&gt;&lt;C&gt;1&lt;/C&gt;&lt;D xsi:type="xsd:string"&gt;Deutsche Boerse AG&lt;/D&gt;&lt;/FQL&gt;&lt;FQL&gt;&lt;Q&gt;V-US^PROPER_NAME&lt;/Q&gt;&lt;R&gt;1&lt;/R&gt;&lt;C&gt;1&lt;/C&gt;&lt;D xsi:type="xsd:string"&gt;Visa Inc. Class A&lt;/D&gt;&lt;/FQL&gt;&lt;FQL&gt;&lt;Q&gt;LSEG-GB^PROPER_NAME&lt;/Q&gt;&lt;R&gt;1&lt;/R&gt;&lt;C&gt;1&lt;/C&gt;&lt;D xsi:type="xsd:string"&gt;London Stock Exchange Group plc&lt;/D&gt;&lt;/FQL&gt;&lt;FQL&gt;&lt;Q&gt;MSFT-US^PROPER_NAME&lt;/Q&gt;&lt;R&gt;1&lt;/R&gt;&lt;C&gt;1&lt;/C&gt;&lt;D xsi:type="xsd:string"&gt;Microsoft Corporation&lt;/D&gt;&lt;/FQL&gt;&lt;FQL&gt;&lt;Q&gt;DUMMY^CORREL_MATRIX(CORRELMATRIX)&lt;/Q&gt;&lt;R&gt;11&lt;/R&gt;&lt;C&gt;11&lt;/C&gt;&lt;D xsi:type="xsd:double"&gt;1&lt;/D&gt;&lt;D xsi:type="xsd:double"&gt;-0.63645244&lt;/D&gt;&lt;D xsi:type="xsd:double"&gt;0.3676423&lt;/D&gt;&lt;D xsi:type="xsd:double"&gt;0.16902007&lt;/D&gt;&lt;D xsi:type="xsd:double"&gt;0.70593476&lt;/D&gt;&lt;D xsi:type="xsd:double"&gt;0.71838593&lt;/D&gt;&lt;D xsi:type="xsd:double"&gt;0.03862189&lt;/D&gt;&lt;D xsi:type="xsd:double"&gt;0.61157507&lt;/D&gt;&lt;D xsi:type="xsd:double"&gt;0.8357729&lt;/D&gt;&lt;D xsi:type="xsd:double"&gt;0.6593172&lt;/D&gt;&lt;D xsi:type="xsd:double"&gt;0.8716865&lt;/D&gt;&lt;D xsi:type="xsd:double"&gt;-0.63645244&lt;/D&gt;&lt;D xsi:type="xsd:double"&gt;1&lt;/D&gt;&lt;D xsi:type="xsd:double"&gt;0.05400079&lt;/D&gt;&lt;D xsi:type="xsd:double"&gt;0.25646022&lt;/D&gt;&lt;D xsi:type="xsd:double"&gt;-0.83801097&lt;/D&gt;&lt;D xsi:type="xsd:double"&gt;-0.13910365&lt;/D&gt;&lt;D xsi:type="xsd:double"&gt;0.44181794&lt;/D&gt;&lt;D xsi:type="xsd:double"&gt;-0.65768814&lt;/D&gt;&lt;D xsi:type="xsd:double"&gt;-0.5928301&lt;/D&gt;&lt;D xsi:type="xsd:double"&gt;-0.46417063&lt;/D&gt;&lt;D xsi:type="xsd:double"&gt;-0.67086864&lt;/D&gt;&lt;D xsi:type="xsd:double"&gt;0.3676423&lt;/D&gt;&lt;D xsi:type="xsd:double"&gt;0.05400079&lt;/D&gt;&lt;D xsi:type="xsd:double"&gt;1&lt;/D&gt;&lt;D xsi:type="xsd:double"&gt;0.71381146&lt;/D&gt;&lt;D xsi:type="xsd:double"&gt;0.088617705&lt;/D&gt;&lt;D xsi:type="xsd:double"&gt;0.37592852&lt;/D&gt;&lt;D xsi:type="xsd:double"&gt;0.64860237&lt;/D&gt;&lt;D xsi:type="xsd:double"&gt;0.19845256&lt;/D&gt;&lt;D xsi:type="xsd:double"&gt;0.6328898&lt;/D&gt;&lt;D xsi:type="xsd:double"&gt;0.07103802&lt;/D&gt;&lt;D xsi:type="xsd:double"&gt;0.5960072&lt;/D&gt;&lt;D xsi:type="xsd:double"&gt;0.16902007&lt;/D&gt;&lt;D xsi:type="xsd:double"&gt;0.25646022&lt;/D&gt;&lt;D xsi:type="xsd:double"&gt;0.71381146&lt;/D&gt;&lt;D xsi:type="xsd:double"&gt;1&lt;/D&gt;&lt;D xsi:type="xsd:double"&gt;-0.30104807&lt;/D&gt;&lt;D xsi:type="xsd:double"&gt;0.39122966&lt;/D&gt;&lt;D xsi:type="xsd:double"&gt;0.8522897&lt;/D&gt;&lt;D xsi:type="xsd:double"&gt;-0.277306&lt;/D&gt;&lt;D xsi:type="xsd:double"&gt;0.49742395&lt;/D&gt;&lt;D xsi:type="xsd:double"&gt;-0.31023037&lt;/D&gt;&lt;D xsi:type="xsd:double"&gt;0.36385792&lt;/D&gt;&lt;D xsi:type="xsd:double"&gt;0.70593476&lt;/D&gt;&lt;D xsi:type="xsd:double"&gt;-0.83801097&lt;/D&gt;&lt;D xsi:type="xsd:double"&gt;0.088617705&lt;/D&gt;&lt;D xsi:type="xsd:double"&gt;-0.30104807&lt;/D&gt;&lt;D xsi:type="xsd:double"&gt;1&lt;/D&gt;&lt;D xsi:type="xsd:double"&gt;0.13442287&lt;/D&gt;&lt;D xsi:type="xsd:double"&gt;-0.46180964&lt;/D&gt;&lt;D xsi:type="xsd:double"&gt;0.7839827&lt;/D&gt;&lt;D xsi:type="xsd:double"&gt;0.6097841&lt;/D&gt;&lt;D xsi:type="xsd:double"&gt;0.6330727&lt;/D&gt;&lt;D xsi:type="xsd:double"&gt;0.7140998&lt;/D&gt;&lt;D xsi:type="xsd:double"&gt;0.71838593&lt;/D&gt;&lt;D xsi:type="xsd:double"&gt;-0.13910365&lt;/D&gt;&lt;D xsi:type="xsd:double"&gt;0.37592852&lt;/D&gt;&lt;D xsi:type="xsd:double"&gt;0.39122966&lt;/D&gt;&lt;D xsi:type="xsd:double"&gt;0.13442287&lt;/D&gt;&lt;D xsi:type="xsd:double"&gt;1&lt;/D&gt;&lt;D xsi:type="xsd:double"&gt;0.41168347&lt;/D&gt;&lt;D xsi:type="xsd:double"&gt;0.099891506&lt;/D&gt;&lt;D xsi:type="xsd:double"&gt;0.5556211&lt;/D&gt;&lt;D xsi:type="xsd:double"&gt;0.44841853&lt;/D&gt;&lt;D xsi:type="xsd:double"&gt;0.54580206&lt;/D&gt;&lt;D xsi:type="xsd:double"&gt;0.03862189&lt;/D&gt;&lt;D xsi:type="xsd:double"&gt;0.44181794&lt;/D&gt;&lt;D xsi:type="xsd:double"&gt;0.64860237&lt;/D&gt;&lt;D xsi:type="xsd:double"&gt;0.8522897&lt;/D&gt;&lt;D xsi:type="xsd:double"&gt;-0.46180964&lt;/D&gt;&lt;D xsi:type="xsd:double"&gt;0.41168347&lt;/D&gt;&lt;D xsi:type="xsd:double"&gt;1&lt;/D&gt;&lt;D xsi:type="xsd:double"&gt;-0.3359251&lt;/D&gt;&lt;D xsi:type="xsd:double"&gt;0.3035279&lt;/D&gt;&lt;D xsi:type="xsd:double"&gt;-0.28101522&lt;/D&gt;&lt;D xsi:type="xsd:double"&gt;0.17796366&lt;/D&gt;&lt;D xsi:type="xsd:double"&gt;0.61157507&lt;/D&gt;&lt;D xsi:type="xsd:double"&gt;-0.65768814&lt;/D&gt;&lt;D xsi:type="xsd:double"&gt;0.19845256&lt;/D&gt;&lt;D xsi:type="xsd:double"&gt;-0.277306&lt;/D&gt;&lt;D xsi:type="xsd:double"&gt;0.7839827&lt;/D&gt;&lt;D xsi:type="xsd:double"&gt;0.099891506&lt;/D&gt;&lt;D xsi:type="xsd:double"&gt;-0.3359251&lt;/D&gt;&lt;D xsi:type="xsd:double"&gt;1&lt;/D&gt;&lt;D xsi:type="xsd:double"&gt;0.5533381&lt;/D&gt;&lt;D xsi:type="xsd:double"&gt;0.5818574&lt;/D&gt;&lt;D xsi:type="xsd:double"&gt;0.60810685&lt;/D&gt;&lt;D xsi:type="xsd:double"&gt;0.8357729&lt;/D&gt;&lt;D xsi:type="xsd:double"&gt;-0.5928301&lt;/D&gt;&lt;D xsi:type="xsd:double"&gt;0.6328898&lt;/D&gt;&lt;D xsi:type="xsd:double"&gt;0.49742395&lt;/D&gt;&lt;D xsi:type="xsd:double"&gt;0.6097841&lt;/D&gt;&lt;D xsi:type="xsd:double"&gt;0.5556211&lt;/D&gt;&lt;D xsi:type="xsd:double"&gt;0.3035279&lt;/D&gt;&lt;D xsi:type="xsd:double"&gt;0.5533381&lt;/D&gt;&lt;D xsi:type="xsd:double"&gt;1&lt;/D&gt;&lt;D xsi:type="xsd:double"&gt;0.346362&lt;/D&gt;&lt;D xsi:type="xsd:double"&gt;0.9743468&lt;/D&gt;&lt;D xsi:type="xsd:double"&gt;0.6593172&lt;/D&gt;&lt;D xsi:type="xsd:double"&gt;-0.46417063&lt;/D&gt;&lt;D xsi:type="xsd:double"&gt;0.07103802&lt;/D&gt;&lt;D xsi:type="xsd:double"&gt;-0.31023037&lt;/D&gt;&lt;D xsi:type="xsd:double"&gt;0.6330727&lt;/D&gt;&lt;D xsi:type="xsd:double"&gt;0.44841853&lt;/D&gt;&lt;D xsi:type="xsd:double"&gt;-0.28101522&lt;/D&gt;&lt;D xsi:type="xsd:double"&gt;0.5818574&lt;/D&gt;&lt;D xsi:type="xsd:double"&gt;0.346362&lt;/D&gt;&lt;D xsi:type="xsd:double"&gt;1&lt;/D&gt;&lt;D xsi:type="xsd:double"&gt;0.4667961&lt;/D&gt;&lt;D xsi:type="xsd:double"&gt;0.8716865&lt;/D&gt;&lt;D xsi:type="xsd:double"&gt;-0.67086864&lt;/D&gt;&lt;D xsi:type="xsd:double"&gt;0.5960072&lt;/D&gt;&lt;D xsi:type="xsd:double"&gt;0.36385792&lt;/D&gt;&lt;D xsi:type="xsd:double"&gt;0.7140998&lt;/D&gt;&lt;D xsi:type="xsd:double"&gt;0.54580206&lt;/D&gt;&lt;D xsi:type="xsd:double"&gt;0.17796366&lt;/D&gt;&lt;D xsi:type="xsd:double"&gt;0.60810685&lt;/D&gt;&lt;D xsi:type="xsd:double"&gt;0.9743468&lt;/D&gt;&lt;D xsi:type="xsd:double"&gt;0.4667961&lt;/D&gt;&lt;D xsi:type="xsd:double"&gt;1&lt;/D&gt;&lt;/FQL&gt;&lt;FQL&gt;&lt;Q&gt;^IDS&lt;/Q&gt;&lt;R&gt;11&lt;/R&gt;&lt;C&gt;1&lt;/C&gt;&lt;D xsi:type="xsd:string"&gt;MSFT-US&lt;/D&gt;&lt;D xsi:type="xsd:string"&gt;LSEG-GB&lt;/D&gt;&lt;D xsi:type="xsd:string"&gt;V-US&lt;/D&gt;&lt;D xsi:type="xsd:string"&gt;DB1-DE&lt;/D&gt;&lt;D xsi:type="xsd:string"&gt;GOOG-US&lt;/D&gt;&lt;D xsi:type="xsd:string"&gt;INTU-US&lt;/D&gt;&lt;D xsi:type="xsd:string"&gt;EVD-DE&lt;/D&gt;&lt;D xsi:type="xsd:string"&gt;MRO-GB&lt;/D&gt;&lt;D xsi:type="xsd:string"&gt;SAF-FR&lt;/D&gt;&lt;D xsi:type="xsd:string"&gt;ADSK-US&lt;/D&gt;&lt;D xsi:type="xsd:string"&gt;GE-US&lt;/D&gt;&lt;/FQL&gt;&lt;FQL&gt;&lt;Q&gt;DUMMY^FLOAT_ARRAY CORRELMATRIX=GET_FQL_ARRAY(IDS,'FG_PRICE(45961,45961-1AY,D,USD)');'FDS CODE - DO NOT DELETE'&lt;/Q&gt;&lt;R&gt;1&lt;/R&gt;&lt;C&gt;1&lt;/C&gt;&lt;D xsi:type="xsd:string"&gt;FDS CODE - DO NOT DELETE&lt;/D&gt;&lt;/FQL&gt;&lt;FQL&gt;&lt;Q&gt;DUMMY^STRING_ARRAY IDS=TICKER_LIST('MSFT-US LSEG-GB V-US DB1-DE GOOG-US INTU-US EVD-DE MRO-GB SAF-FR ADSK-US GE-US');"FDS CODE - DO NOT DELE</t>
        </r>
      </text>
    </comment>
    <comment ref="A2" authorId="0" shapeId="0" xr:uid="{FE931999-7980-48AE-8C92-593D45B25B5D}">
      <text>
        <r>
          <rPr>
            <b/>
            <sz val="9"/>
            <color indexed="81"/>
            <rFont val="Tahoma"/>
            <charset val="1"/>
          </rPr>
          <t>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10/31/2025:&lt;/D&gt;&lt;/FQL&gt;&lt;FQL&gt;&lt;Q&gt;MSFT-US^FG_COMPANY_NAME&lt;/Q&gt;&lt;R&gt;1&lt;/R&gt;&lt;C&gt;1&lt;/C&gt;&lt;D xsi:type="xsd:string"&gt;Microsoft Corporation&lt;/D&gt;&lt;/FQL&gt;&lt;FQL&gt;&lt;Q&gt;LSEG-GB^FG_COMPANY_NAME&lt;/Q&gt;&lt;R&gt;1&lt;/R&gt;&lt;C&gt;1&lt;/C&gt;&lt;D xsi:type="xsd:string"&gt;London Stock Exchange Group plc&lt;/D&gt;&lt;/FQL&gt;&lt;FQL&gt;&lt;Q&gt;V-US^FG_COMPANY_NAME&lt;/Q&gt;&lt;R&gt;1&lt;/R&gt;&lt;C&gt;1&lt;/C&gt;&lt;D xsi:type="xsd:string"&gt;Visa Inc. Class A&lt;/D&gt;&lt;/FQL&gt;&lt;FQL&gt;&lt;Q&gt;DB1-DE^FG_COMPANY_NAME&lt;/Q&gt;&lt;R&gt;1&lt;/R&gt;&lt;C&gt;1&lt;/C&gt;&lt;D xsi:type="xsd:string"&gt;Deutsche Boerse AG&lt;/D&gt;&lt;/FQL&gt;&lt;FQL&gt;&lt;Q&gt;GOOG-US^FG_COMPANY_NAME&lt;/Q&gt;&lt;R&gt;1&lt;/R&gt;&lt;C&gt;1&lt;/C&gt;&lt;D xsi:type="xsd:string"&gt;Alphabet Inc. Class C&lt;/D&gt;&lt;/FQL&gt;&lt;FQL&gt;&lt;Q&gt;INTU-US^FG_COMPANY_NAME&lt;/Q&gt;&lt;R&gt;1&lt;/R&gt;&lt;C&gt;1&lt;/C&gt;&lt;D xsi:type="xsd:string"&gt;Intuit Inc.&lt;/D&gt;&lt;/FQL&gt;&lt;FQL&gt;&lt;Q&gt;EVD-DE^FG_COMPANY_NAME&lt;/Q&gt;&lt;R&gt;1&lt;/R&gt;&lt;C&gt;1&lt;/C&gt;&lt;D xsi:type="xsd:string"&gt;CTS Eventim AG &amp;amp; Co. KGaA&lt;/D&gt;&lt;/FQL&gt;&lt;FQL&gt;&lt;Q&gt;MRO-GB^FG_COMPANY_NAME&lt;/Q&gt;&lt;R&gt;1&lt;/R&gt;&lt;C&gt;1&lt;/C&gt;&lt;D xsi:type="xsd:string"&gt;Melrose Industries PLC&lt;/D&gt;&lt;/FQL&gt;&lt;FQL&gt;&lt;Q&gt;SAF-FR^FG_COMPANY_NAME&lt;/Q&gt;&lt;R&gt;1&lt;/R&gt;&lt;C&gt;1&lt;/C&gt;&lt;D xsi:type="xsd:string"&gt;Safran SA&lt;/D&gt;&lt;/FQL&gt;&lt;FQL&gt;&lt;Q&gt;ADSK-US^FG_COMPANY_NAME&lt;/Q&gt;&lt;R&gt;1&lt;/R&gt;&lt;C&gt;1&lt;/C&gt;&lt;D xsi:type="xsd:string"&gt;Autodesk, Inc.&lt;/D&gt;&lt;/FQL&gt;&lt;FQL&gt;&lt;Q&gt;GE-US^FG_COMPANY_NAME&lt;/Q&gt;&lt;R&gt;1&lt;/R&gt;&lt;C&gt;1&lt;/C&gt;&lt;D xsi:type="xsd:string"&gt;GE Aerospace&lt;/D&gt;&lt;/FQL&gt;&lt;/Schema&gt;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<sst xmlns="http://schemas.openxmlformats.org/spreadsheetml/2006/main" count="26" uniqueCount="23">
  <si>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</si>
  <si>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</si>
  <si>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</si>
  <si>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</si>
  <si>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</si>
  <si>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</si>
  <si>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</si>
  <si>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</si>
  <si>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</si>
  <si>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</si>
  <si>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</si>
  <si>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</si>
  <si>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</si>
  <si>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</si>
  <si>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</si>
  <si>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</si>
  <si>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GOOG-US</t>
  </si>
  <si>
    <t>ADSK-US</t>
  </si>
  <si>
    <t>GE-US</t>
  </si>
  <si>
    <t>INTU-US</t>
  </si>
  <si>
    <t>MRO-GB</t>
  </si>
  <si>
    <t>MSFT-US</t>
  </si>
  <si>
    <t>V-US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</si>
</sst>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&quot;-&quot;#,##0.00;&quot;--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5" borderId="2" xfId="0" applyFill="1" applyBorder="1" applyAlignment="1">
      <alignment horizontal="left"/>
    </xf>
    <xf numFmtId="164" fontId="0" fillId="0" borderId="2" xfId="0" applyNumberFormat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>
      <selection activeCell="F27" sqref="F27"/>
    </sheetView>
  </sheetViews>
  <sheetFormatPr defaultColWidth="11" defaultRowHeight="15" x14ac:dyDescent="0.25"/>
  <sheetData>
    <row r="1" spans="1:81" ht="21" x14ac:dyDescent="0.35">
      <c r="A1" s="12" t="s">
        <v>11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Microsoft Corporation</v>
      </c>
      <c r="C3" s="4" t="str">
        <f>IF(Backend!D29="", "", Backend!D29)</f>
        <v>London Stock Exchange Group plc</v>
      </c>
      <c r="D3" s="4" t="str">
        <f>IF(Backend!E29="", "", Backend!E29)</f>
        <v>Visa Inc. Class A</v>
      </c>
      <c r="E3" s="4" t="str">
        <f>IF(Backend!F29="", "", Backend!F29)</f>
        <v>Deutsche Boerse AG</v>
      </c>
      <c r="F3" s="4" t="str">
        <f>IF(Backend!G29="", "", Backend!G29)</f>
        <v>Alphabet Inc. Class C</v>
      </c>
      <c r="G3" s="4" t="str">
        <f>IF(Backend!H29="", "", Backend!H29)</f>
        <v>Intuit Inc.</v>
      </c>
      <c r="H3" s="4" t="str">
        <f>IF(Backend!I29="", "", Backend!I29)</f>
        <v>CTS Eventim AG &amp; Co. KGaA</v>
      </c>
      <c r="I3" s="4" t="str">
        <f>IF(Backend!J29="", "", Backend!J29)</f>
        <v>Melrose Industries PLC</v>
      </c>
      <c r="J3" s="4" t="str">
        <f>IF(Backend!K29="", "", Backend!K29)</f>
        <v>Safran SA</v>
      </c>
      <c r="K3" s="4" t="str">
        <f>IF(Backend!L29="", "", Backend!L29)</f>
        <v>Autodesk, Inc.</v>
      </c>
      <c r="L3" s="4" t="str">
        <f>IF(Backend!M29="", "", Backend!M29)</f>
        <v>GE Aerospace</v>
      </c>
      <c r="M3" s="4" t="str">
        <f>IF(Backend!N29="", "", Backend!N29)</f>
        <v/>
      </c>
      <c r="N3" s="4" t="str">
        <f>IF(Backend!O29="", "", Backend!O29)</f>
        <v/>
      </c>
      <c r="O3" s="4" t="str">
        <f>IF(Backend!P29="", "", Backend!P29)</f>
        <v/>
      </c>
      <c r="P3" s="4" t="str">
        <f>IF(Backend!Q29="", "", Backend!Q29)</f>
        <v/>
      </c>
      <c r="Q3" s="4" t="str">
        <f>IF(Backend!R29="", "", Backend!R29)</f>
        <v/>
      </c>
      <c r="R3" s="4" t="str">
        <f>IF(Backend!S29="", "", Backend!S29)</f>
        <v/>
      </c>
      <c r="S3" s="4" t="str">
        <f>IF(Backend!T29="", "", Backend!T29)</f>
        <v/>
      </c>
      <c r="T3" s="4" t="str">
        <f>IF(Backend!U29="", "", Backend!U29)</f>
        <v/>
      </c>
      <c r="U3" s="4" t="str">
        <f>IF(Backend!V29="", "", Backend!V29)</f>
        <v/>
      </c>
      <c r="V3" s="4" t="str">
        <f>IF(Backend!W29="", "", Backend!W29)</f>
        <v/>
      </c>
      <c r="W3" s="4" t="str">
        <f>IF(Backend!X29="", "", Backend!X29)</f>
        <v/>
      </c>
      <c r="X3" s="4" t="str">
        <f>IF(Backend!Y29="", "", Backend!Y29)</f>
        <v/>
      </c>
      <c r="Y3" s="4" t="str">
        <f>IF(Backend!Z29="", "", Backend!Z29)</f>
        <v/>
      </c>
      <c r="Z3" s="4" t="str">
        <f>IF(Backend!AA29="", "", Backend!AA29)</f>
        <v/>
      </c>
      <c r="AA3" s="4" t="str">
        <f>IF(Backend!AB29="", "", Backend!AB29)</f>
        <v/>
      </c>
      <c r="AB3" s="4" t="str">
        <f>IF(Backend!AC29="", "", Backend!AC29)</f>
        <v/>
      </c>
      <c r="AC3" s="4" t="str">
        <f>IF(Backend!AD29="", "", Backend!AD29)</f>
        <v/>
      </c>
      <c r="AD3" s="4" t="str">
        <f>IF(Backend!AE29="", "", Backend!AE29)</f>
        <v/>
      </c>
      <c r="AE3" s="4" t="str">
        <f>IF(Backend!AF29="", "", Backend!AF29)</f>
        <v/>
      </c>
      <c r="AF3" s="4" t="str">
        <f>IF(Backend!AG29="", "", Backend!AG29)</f>
        <v/>
      </c>
      <c r="AG3" s="4" t="str">
        <f>IF(Backend!AH29="", "", Backend!AH29)</f>
        <v/>
      </c>
      <c r="AH3" s="4" t="str">
        <f>IF(Backend!AI29="", "", Backend!AI29)</f>
        <v/>
      </c>
      <c r="AI3" s="4" t="str">
        <f>IF(Backend!AJ29="", "", Backend!AJ29)</f>
        <v/>
      </c>
      <c r="AJ3" s="4" t="str">
        <f>IF(Backend!AK29="", "", Backend!AK29)</f>
        <v/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Microsoft Corporation</v>
      </c>
      <c r="B4">
        <f>IF(Backend!C31="", "", Backend!C31)</f>
        <v>1</v>
      </c>
      <c r="C4">
        <f>IF(Backend!D31="", "", Backend!D31)</f>
        <v>-0.63645244000000001</v>
      </c>
      <c r="D4">
        <f>IF(Backend!E31="", "", Backend!E31)</f>
        <v>0.36764229999999998</v>
      </c>
      <c r="E4">
        <f>IF(Backend!F31="", "", Backend!F31)</f>
        <v>0.16902006999999999</v>
      </c>
      <c r="F4">
        <f>IF(Backend!G31="", "", Backend!G31)</f>
        <v>0.70593475999999999</v>
      </c>
      <c r="G4">
        <f>IF(Backend!H31="", "", Backend!H31)</f>
        <v>0.71838592999999995</v>
      </c>
      <c r="H4">
        <f>IF(Backend!I31="", "", Backend!I31)</f>
        <v>3.8621889999999999E-2</v>
      </c>
      <c r="I4">
        <f>IF(Backend!J31="", "", Backend!J31)</f>
        <v>0.61157507</v>
      </c>
      <c r="J4">
        <f>IF(Backend!K31="", "", Backend!K31)</f>
        <v>0.83577290000000004</v>
      </c>
      <c r="K4">
        <f>IF(Backend!L31="", "", Backend!L31)</f>
        <v>0.65931720000000005</v>
      </c>
      <c r="L4">
        <f>IF(Backend!M31="", "", Backend!M31)</f>
        <v>0.87168650000000003</v>
      </c>
      <c r="M4" t="str">
        <f>IF(Backend!N31="", "", Backend!N31)</f>
        <v/>
      </c>
      <c r="N4" t="str">
        <f>IF(Backend!O31="", "", Backend!O31)</f>
        <v/>
      </c>
      <c r="O4" t="str">
        <f>IF(Backend!P31="", "", Backend!P31)</f>
        <v/>
      </c>
      <c r="P4" t="str">
        <f>IF(Backend!Q31="", "", Backend!Q31)</f>
        <v/>
      </c>
      <c r="Q4" t="str">
        <f>IF(Backend!R31="", "", Backend!R31)</f>
        <v/>
      </c>
      <c r="R4" t="str">
        <f>IF(Backend!S31="", "", Backend!S31)</f>
        <v/>
      </c>
      <c r="S4" t="str">
        <f>IF(Backend!T31="", "", Backend!T31)</f>
        <v/>
      </c>
      <c r="T4" t="str">
        <f>IF(Backend!U31="", "", Backend!U31)</f>
        <v/>
      </c>
      <c r="U4" t="str">
        <f>IF(Backend!V31="", "", Backend!V31)</f>
        <v/>
      </c>
      <c r="V4" t="str">
        <f>IF(Backend!W31="", "", Backend!W31)</f>
        <v/>
      </c>
      <c r="W4" t="str">
        <f>IF(Backend!X31="", "", Backend!X31)</f>
        <v/>
      </c>
      <c r="X4" t="str">
        <f>IF(Backend!Y31="", "", Backend!Y31)</f>
        <v/>
      </c>
      <c r="Y4" t="str">
        <f>IF(Backend!Z31="", "", Backend!Z31)</f>
        <v/>
      </c>
      <c r="Z4" t="str">
        <f>IF(Backend!AA31="", "", Backend!AA31)</f>
        <v/>
      </c>
      <c r="AA4" t="str">
        <f>IF(Backend!AB31="", "", Backend!AB31)</f>
        <v/>
      </c>
      <c r="AB4" t="str">
        <f>IF(Backend!AC31="", "", Backend!AC31)</f>
        <v/>
      </c>
      <c r="AC4" t="str">
        <f>IF(Backend!AD31="", "", Backend!AD31)</f>
        <v/>
      </c>
      <c r="AD4" t="str">
        <f>IF(Backend!AE31="", "", Backend!AE31)</f>
        <v/>
      </c>
      <c r="AE4" t="str">
        <f>IF(Backend!AF31="", "", Backend!AF31)</f>
        <v/>
      </c>
      <c r="AF4" t="str">
        <f>IF(Backend!AG31="", "", Backend!AG31)</f>
        <v/>
      </c>
      <c r="AG4" t="str">
        <f>IF(Backend!AH31="", "", Backend!AH31)</f>
        <v/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London Stock Exchange Group plc</v>
      </c>
      <c r="B5">
        <f>IF(Backend!C32="", "", Backend!C32)</f>
        <v>-0.63645244000000001</v>
      </c>
      <c r="C5">
        <f>IF(Backend!D32="", "", Backend!D32)</f>
        <v>1</v>
      </c>
      <c r="D5">
        <f>IF(Backend!E32="", "", Backend!E32)</f>
        <v>5.400079E-2</v>
      </c>
      <c r="E5">
        <f>IF(Backend!F32="", "", Backend!F32)</f>
        <v>0.25646022000000002</v>
      </c>
      <c r="F5">
        <f>IF(Backend!G32="", "", Backend!G32)</f>
        <v>-0.83801097000000002</v>
      </c>
      <c r="G5">
        <f>IF(Backend!H32="", "", Backend!H32)</f>
        <v>-0.13910365</v>
      </c>
      <c r="H5">
        <f>IF(Backend!I32="", "", Backend!I32)</f>
        <v>0.44181794000000002</v>
      </c>
      <c r="I5">
        <f>IF(Backend!J32="", "", Backend!J32)</f>
        <v>-0.65768813999999998</v>
      </c>
      <c r="J5">
        <f>IF(Backend!K32="", "", Backend!K32)</f>
        <v>-0.59283010000000003</v>
      </c>
      <c r="K5">
        <f>IF(Backend!L32="", "", Backend!L32)</f>
        <v>-0.46417062999999997</v>
      </c>
      <c r="L5">
        <f>IF(Backend!M32="", "", Backend!M32)</f>
        <v>-0.67086864000000002</v>
      </c>
      <c r="M5" t="str">
        <f>IF(Backend!N32="", "", Backend!N32)</f>
        <v/>
      </c>
      <c r="N5" t="str">
        <f>IF(Backend!O32="", "", Backend!O32)</f>
        <v/>
      </c>
      <c r="O5" t="str">
        <f>IF(Backend!P32="", "", Backend!P32)</f>
        <v/>
      </c>
      <c r="P5" t="str">
        <f>IF(Backend!Q32="", "", Backend!Q32)</f>
        <v/>
      </c>
      <c r="Q5" t="str">
        <f>IF(Backend!R32="", "", Backend!R32)</f>
        <v/>
      </c>
      <c r="R5" t="str">
        <f>IF(Backend!S32="", "", Backend!S32)</f>
        <v/>
      </c>
      <c r="S5" t="str">
        <f>IF(Backend!T32="", "", Backend!T32)</f>
        <v/>
      </c>
      <c r="T5" t="str">
        <f>IF(Backend!U32="", "", Backend!U32)</f>
        <v/>
      </c>
      <c r="U5" t="str">
        <f>IF(Backend!V32="", "", Backend!V32)</f>
        <v/>
      </c>
      <c r="V5" t="str">
        <f>IF(Backend!W32="", "", Backend!W32)</f>
        <v/>
      </c>
      <c r="W5" t="str">
        <f>IF(Backend!X32="", "", Backend!X32)</f>
        <v/>
      </c>
      <c r="X5" t="str">
        <f>IF(Backend!Y32="", "", Backend!Y32)</f>
        <v/>
      </c>
      <c r="Y5" t="str">
        <f>IF(Backend!Z32="", "", Backend!Z32)</f>
        <v/>
      </c>
      <c r="Z5" t="str">
        <f>IF(Backend!AA32="", "", Backend!AA32)</f>
        <v/>
      </c>
      <c r="AA5" t="str">
        <f>IF(Backend!AB32="", "", Backend!AB32)</f>
        <v/>
      </c>
      <c r="AB5" t="str">
        <f>IF(Backend!AC32="", "", Backend!AC32)</f>
        <v/>
      </c>
      <c r="AC5" t="str">
        <f>IF(Backend!AD32="", "", Backend!AD32)</f>
        <v/>
      </c>
      <c r="AD5" t="str">
        <f>IF(Backend!AE32="", "", Backend!AE32)</f>
        <v/>
      </c>
      <c r="AE5" t="str">
        <f>IF(Backend!AF32="", "", Backend!AF32)</f>
        <v/>
      </c>
      <c r="AF5" t="str">
        <f>IF(Backend!AG32="", "", Backend!AG32)</f>
        <v/>
      </c>
      <c r="AG5" t="str">
        <f>IF(Backend!AH32="", "", Backend!AH32)</f>
        <v/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Visa Inc. Class A</v>
      </c>
      <c r="B6">
        <f>IF(Backend!C33="", "", Backend!C33)</f>
        <v>0.36764229999999998</v>
      </c>
      <c r="C6">
        <f>IF(Backend!D33="", "", Backend!D33)</f>
        <v>5.400079E-2</v>
      </c>
      <c r="D6">
        <f>IF(Backend!E33="", "", Backend!E33)</f>
        <v>1</v>
      </c>
      <c r="E6">
        <f>IF(Backend!F33="", "", Backend!F33)</f>
        <v>0.71381145999999995</v>
      </c>
      <c r="F6">
        <f>IF(Backend!G33="", "", Backend!G33)</f>
        <v>8.8617705000000005E-2</v>
      </c>
      <c r="G6">
        <f>IF(Backend!H33="", "", Backend!H33)</f>
        <v>0.37592851999999999</v>
      </c>
      <c r="H6">
        <f>IF(Backend!I33="", "", Backend!I33)</f>
        <v>0.64860236999999998</v>
      </c>
      <c r="I6">
        <f>IF(Backend!J33="", "", Backend!J33)</f>
        <v>0.19845256</v>
      </c>
      <c r="J6">
        <f>IF(Backend!K33="", "", Backend!K33)</f>
        <v>0.63288979999999995</v>
      </c>
      <c r="K6">
        <f>IF(Backend!L33="", "", Backend!L33)</f>
        <v>7.1038019999999993E-2</v>
      </c>
      <c r="L6">
        <f>IF(Backend!M33="", "", Backend!M33)</f>
        <v>0.59600719999999996</v>
      </c>
      <c r="M6" t="str">
        <f>IF(Backend!N33="", "", Backend!N33)</f>
        <v/>
      </c>
      <c r="N6" t="str">
        <f>IF(Backend!O33="", "", Backend!O33)</f>
        <v/>
      </c>
      <c r="O6" t="str">
        <f>IF(Backend!P33="", "", Backend!P33)</f>
        <v/>
      </c>
      <c r="P6" t="str">
        <f>IF(Backend!Q33="", "", Backend!Q33)</f>
        <v/>
      </c>
      <c r="Q6" t="str">
        <f>IF(Backend!R33="", "", Backend!R33)</f>
        <v/>
      </c>
      <c r="R6" t="str">
        <f>IF(Backend!S33="", "", Backend!S33)</f>
        <v/>
      </c>
      <c r="S6" t="str">
        <f>IF(Backend!T33="", "", Backend!T33)</f>
        <v/>
      </c>
      <c r="T6" t="str">
        <f>IF(Backend!U33="", "", Backend!U33)</f>
        <v/>
      </c>
      <c r="U6" t="str">
        <f>IF(Backend!V33="", "", Backend!V33)</f>
        <v/>
      </c>
      <c r="V6" t="str">
        <f>IF(Backend!W33="", "", Backend!W33)</f>
        <v/>
      </c>
      <c r="W6" t="str">
        <f>IF(Backend!X33="", "", Backend!X33)</f>
        <v/>
      </c>
      <c r="X6" t="str">
        <f>IF(Backend!Y33="", "", Backend!Y33)</f>
        <v/>
      </c>
      <c r="Y6" t="str">
        <f>IF(Backend!Z33="", "", Backend!Z33)</f>
        <v/>
      </c>
      <c r="Z6" t="str">
        <f>IF(Backend!AA33="", "", Backend!AA33)</f>
        <v/>
      </c>
      <c r="AA6" t="str">
        <f>IF(Backend!AB33="", "", Backend!AB33)</f>
        <v/>
      </c>
      <c r="AB6" t="str">
        <f>IF(Backend!AC33="", "", Backend!AC33)</f>
        <v/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Deutsche Boerse AG</v>
      </c>
      <c r="B7">
        <f>IF(Backend!C34="", "", Backend!C34)</f>
        <v>0.16902006999999999</v>
      </c>
      <c r="C7">
        <f>IF(Backend!D34="", "", Backend!D34)</f>
        <v>0.25646022000000002</v>
      </c>
      <c r="D7">
        <f>IF(Backend!E34="", "", Backend!E34)</f>
        <v>0.71381145999999995</v>
      </c>
      <c r="E7">
        <f>IF(Backend!F34="", "", Backend!F34)</f>
        <v>1</v>
      </c>
      <c r="F7">
        <f>IF(Backend!G34="", "", Backend!G34)</f>
        <v>-0.30104807</v>
      </c>
      <c r="G7">
        <f>IF(Backend!H34="", "", Backend!H34)</f>
        <v>0.39122965999999998</v>
      </c>
      <c r="H7">
        <f>IF(Backend!I34="", "", Backend!I34)</f>
        <v>0.85228970000000004</v>
      </c>
      <c r="I7">
        <f>IF(Backend!J34="", "", Backend!J34)</f>
        <v>-0.277306</v>
      </c>
      <c r="J7">
        <f>IF(Backend!K34="", "", Backend!K34)</f>
        <v>0.49742395</v>
      </c>
      <c r="K7">
        <f>IF(Backend!L34="", "", Backend!L34)</f>
        <v>-0.31023036999999998</v>
      </c>
      <c r="L7">
        <f>IF(Backend!M34="", "", Backend!M34)</f>
        <v>0.36385792</v>
      </c>
      <c r="M7" t="str">
        <f>IF(Backend!N34="", "", Backend!N34)</f>
        <v/>
      </c>
      <c r="N7" t="str">
        <f>IF(Backend!O34="", "", Backend!O34)</f>
        <v/>
      </c>
      <c r="O7" t="str">
        <f>IF(Backend!P34="", "", Backend!P34)</f>
        <v/>
      </c>
      <c r="P7" t="str">
        <f>IF(Backend!Q34="", "", Backend!Q34)</f>
        <v/>
      </c>
      <c r="Q7" t="str">
        <f>IF(Backend!R34="", "", Backend!R34)</f>
        <v/>
      </c>
      <c r="R7" t="str">
        <f>IF(Backend!S34="", "", Backend!S34)</f>
        <v/>
      </c>
      <c r="S7" t="str">
        <f>IF(Backend!T34="", "", Backend!T34)</f>
        <v/>
      </c>
      <c r="T7" t="str">
        <f>IF(Backend!U34="", "", Backend!U34)</f>
        <v/>
      </c>
      <c r="U7" t="str">
        <f>IF(Backend!V34="", "", Backend!V34)</f>
        <v/>
      </c>
      <c r="V7" t="str">
        <f>IF(Backend!W34="", "", Backend!W34)</f>
        <v/>
      </c>
      <c r="W7" t="str">
        <f>IF(Backend!X34="", "", Backend!X34)</f>
        <v/>
      </c>
      <c r="X7" t="str">
        <f>IF(Backend!Y34="", "", Backend!Y34)</f>
        <v/>
      </c>
      <c r="Y7" t="str">
        <f>IF(Backend!Z34="", "", Backend!Z34)</f>
        <v/>
      </c>
      <c r="Z7" t="str">
        <f>IF(Backend!AA34="", "", Backend!AA34)</f>
        <v/>
      </c>
      <c r="AA7" t="str">
        <f>IF(Backend!AB34="", "", Backend!AB34)</f>
        <v/>
      </c>
      <c r="AB7" t="str">
        <f>IF(Backend!AC34="", "", Backend!AC34)</f>
        <v/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Alphabet Inc. Class C</v>
      </c>
      <c r="B8">
        <f>IF(Backend!C35="", "", Backend!C35)</f>
        <v>0.70593475999999999</v>
      </c>
      <c r="C8">
        <f>IF(Backend!D35="", "", Backend!D35)</f>
        <v>-0.83801097000000002</v>
      </c>
      <c r="D8">
        <f>IF(Backend!E35="", "", Backend!E35)</f>
        <v>8.8617705000000005E-2</v>
      </c>
      <c r="E8">
        <f>IF(Backend!F35="", "", Backend!F35)</f>
        <v>-0.30104807</v>
      </c>
      <c r="F8">
        <f>IF(Backend!G35="", "", Backend!G35)</f>
        <v>1</v>
      </c>
      <c r="G8">
        <f>IF(Backend!H35="", "", Backend!H35)</f>
        <v>0.13442287</v>
      </c>
      <c r="H8">
        <f>IF(Backend!I35="", "", Backend!I35)</f>
        <v>-0.46180964000000002</v>
      </c>
      <c r="I8">
        <f>IF(Backend!J35="", "", Backend!J35)</f>
        <v>0.78398270000000003</v>
      </c>
      <c r="J8">
        <f>IF(Backend!K35="", "", Backend!K35)</f>
        <v>0.60978410000000005</v>
      </c>
      <c r="K8">
        <f>IF(Backend!L35="", "", Backend!L35)</f>
        <v>0.63307270000000004</v>
      </c>
      <c r="L8">
        <f>IF(Backend!M35="", "", Backend!M35)</f>
        <v>0.71409979999999995</v>
      </c>
      <c r="M8" t="str">
        <f>IF(Backend!N35="", "", Backend!N35)</f>
        <v/>
      </c>
      <c r="N8" t="str">
        <f>IF(Backend!O35="", "", Backend!O35)</f>
        <v/>
      </c>
      <c r="O8" t="str">
        <f>IF(Backend!P35="", "", Backend!P35)</f>
        <v/>
      </c>
      <c r="P8" t="str">
        <f>IF(Backend!Q35="", "", Backend!Q35)</f>
        <v/>
      </c>
      <c r="Q8" t="str">
        <f>IF(Backend!R35="", "", Backend!R35)</f>
        <v/>
      </c>
      <c r="R8" t="str">
        <f>IF(Backend!S35="", "", Backend!S35)</f>
        <v/>
      </c>
      <c r="S8" t="str">
        <f>IF(Backend!T35="", "", Backend!T35)</f>
        <v/>
      </c>
      <c r="T8" t="str">
        <f>IF(Backend!U35="", "", Backend!U35)</f>
        <v/>
      </c>
      <c r="U8" t="str">
        <f>IF(Backend!V35="", "", Backend!V35)</f>
        <v/>
      </c>
      <c r="V8" t="str">
        <f>IF(Backend!W35="", "", Backend!W35)</f>
        <v/>
      </c>
      <c r="W8" t="str">
        <f>IF(Backend!X35="", "", Backend!X35)</f>
        <v/>
      </c>
      <c r="X8" t="str">
        <f>IF(Backend!Y35="", "", Backend!Y35)</f>
        <v/>
      </c>
      <c r="Y8" t="str">
        <f>IF(Backend!Z35="", "", Backend!Z35)</f>
        <v/>
      </c>
      <c r="Z8" t="str">
        <f>IF(Backend!AA35="", "", Backend!AA35)</f>
        <v/>
      </c>
      <c r="AA8" t="str">
        <f>IF(Backend!AB35="", "", Backend!AB35)</f>
        <v/>
      </c>
      <c r="AB8" t="str">
        <f>IF(Backend!AC35="", "", Backend!AC35)</f>
        <v/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Intuit Inc.</v>
      </c>
      <c r="B9">
        <f>IF(Backend!C36="", "", Backend!C36)</f>
        <v>0.71838592999999995</v>
      </c>
      <c r="C9">
        <f>IF(Backend!D36="", "", Backend!D36)</f>
        <v>-0.13910365</v>
      </c>
      <c r="D9">
        <f>IF(Backend!E36="", "", Backend!E36)</f>
        <v>0.37592851999999999</v>
      </c>
      <c r="E9">
        <f>IF(Backend!F36="", "", Backend!F36)</f>
        <v>0.39122965999999998</v>
      </c>
      <c r="F9">
        <f>IF(Backend!G36="", "", Backend!G36)</f>
        <v>0.13442287</v>
      </c>
      <c r="G9">
        <f>IF(Backend!H36="", "", Backend!H36)</f>
        <v>1</v>
      </c>
      <c r="H9">
        <f>IF(Backend!I36="", "", Backend!I36)</f>
        <v>0.41168347</v>
      </c>
      <c r="I9">
        <f>IF(Backend!J36="", "", Backend!J36)</f>
        <v>9.9891506000000005E-2</v>
      </c>
      <c r="J9">
        <f>IF(Backend!K36="", "", Backend!K36)</f>
        <v>0.55562109999999998</v>
      </c>
      <c r="K9">
        <f>IF(Backend!L36="", "", Backend!L36)</f>
        <v>0.44841852999999998</v>
      </c>
      <c r="L9">
        <f>IF(Backend!M36="", "", Backend!M36)</f>
        <v>0.54580205999999998</v>
      </c>
      <c r="M9" t="str">
        <f>IF(Backend!N36="", "", Backend!N36)</f>
        <v/>
      </c>
      <c r="N9" t="str">
        <f>IF(Backend!O36="", "", Backend!O36)</f>
        <v/>
      </c>
      <c r="O9" t="str">
        <f>IF(Backend!P36="", "", Backend!P36)</f>
        <v/>
      </c>
      <c r="P9" t="str">
        <f>IF(Backend!Q36="", "", Backend!Q36)</f>
        <v/>
      </c>
      <c r="Q9" t="str">
        <f>IF(Backend!R36="", "", Backend!R36)</f>
        <v/>
      </c>
      <c r="R9" t="str">
        <f>IF(Backend!S36="", "", Backend!S36)</f>
        <v/>
      </c>
      <c r="S9" t="str">
        <f>IF(Backend!T36="", "", Backend!T36)</f>
        <v/>
      </c>
      <c r="T9" t="str">
        <f>IF(Backend!U36="", "", Backend!U36)</f>
        <v/>
      </c>
      <c r="U9" t="str">
        <f>IF(Backend!V36="", "", Backend!V36)</f>
        <v/>
      </c>
      <c r="V9" t="str">
        <f>IF(Backend!W36="", "", Backend!W36)</f>
        <v/>
      </c>
      <c r="W9" t="str">
        <f>IF(Backend!X36="", "", Backend!X36)</f>
        <v/>
      </c>
      <c r="X9" t="str">
        <f>IF(Backend!Y36="", "", Backend!Y36)</f>
        <v/>
      </c>
      <c r="Y9" t="str">
        <f>IF(Backend!Z36="", "", Backend!Z36)</f>
        <v/>
      </c>
      <c r="Z9" t="str">
        <f>IF(Backend!AA36="", "", Backend!AA36)</f>
        <v/>
      </c>
      <c r="AA9" t="str">
        <f>IF(Backend!AB36="", "", Backend!AB36)</f>
        <v/>
      </c>
      <c r="AB9" t="str">
        <f>IF(Backend!AC36="", "", Backend!AC36)</f>
        <v/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CTS Eventim AG &amp; Co. KGaA</v>
      </c>
      <c r="B10">
        <f>IF(Backend!C37="", "", Backend!C37)</f>
        <v>3.8621889999999999E-2</v>
      </c>
      <c r="C10">
        <f>IF(Backend!D37="", "", Backend!D37)</f>
        <v>0.44181794000000002</v>
      </c>
      <c r="D10">
        <f>IF(Backend!E37="", "", Backend!E37)</f>
        <v>0.64860236999999998</v>
      </c>
      <c r="E10">
        <f>IF(Backend!F37="", "", Backend!F37)</f>
        <v>0.85228970000000004</v>
      </c>
      <c r="F10">
        <f>IF(Backend!G37="", "", Backend!G37)</f>
        <v>-0.46180964000000002</v>
      </c>
      <c r="G10">
        <f>IF(Backend!H37="", "", Backend!H37)</f>
        <v>0.41168347</v>
      </c>
      <c r="H10">
        <f>IF(Backend!I37="", "", Backend!I37)</f>
        <v>1</v>
      </c>
      <c r="I10">
        <f>IF(Backend!J37="", "", Backend!J37)</f>
        <v>-0.33592509999999998</v>
      </c>
      <c r="J10">
        <f>IF(Backend!K37="", "", Backend!K37)</f>
        <v>0.30352790000000002</v>
      </c>
      <c r="K10">
        <f>IF(Backend!L37="", "", Backend!L37)</f>
        <v>-0.28101522000000001</v>
      </c>
      <c r="L10">
        <f>IF(Backend!M37="", "", Backend!M37)</f>
        <v>0.17796366</v>
      </c>
      <c r="M10" t="str">
        <f>IF(Backend!N37="", "", Backend!N37)</f>
        <v/>
      </c>
      <c r="N10" t="str">
        <f>IF(Backend!O37="", "", Backend!O37)</f>
        <v/>
      </c>
      <c r="O10" t="str">
        <f>IF(Backend!P37="", "", Backend!P37)</f>
        <v/>
      </c>
      <c r="P10" t="str">
        <f>IF(Backend!Q37="", "", Backend!Q37)</f>
        <v/>
      </c>
      <c r="Q10" t="str">
        <f>IF(Backend!R37="", "", Backend!R37)</f>
        <v/>
      </c>
      <c r="R10" t="str">
        <f>IF(Backend!S37="", "", Backend!S37)</f>
        <v/>
      </c>
      <c r="S10" t="str">
        <f>IF(Backend!T37="", "", Backend!T37)</f>
        <v/>
      </c>
      <c r="T10" t="str">
        <f>IF(Backend!U37="", "", Backend!U37)</f>
        <v/>
      </c>
      <c r="U10" t="str">
        <f>IF(Backend!V37="", "", Backend!V37)</f>
        <v/>
      </c>
      <c r="V10" t="str">
        <f>IF(Backend!W37="", "", Backend!W37)</f>
        <v/>
      </c>
      <c r="W10" t="str">
        <f>IF(Backend!X37="", "", Backend!X37)</f>
        <v/>
      </c>
      <c r="X10" t="str">
        <f>IF(Backend!Y37="", "", Backend!Y37)</f>
        <v/>
      </c>
      <c r="Y10" t="str">
        <f>IF(Backend!Z37="", "", Backend!Z37)</f>
        <v/>
      </c>
      <c r="Z10" t="str">
        <f>IF(Backend!AA37="", "", Backend!AA37)</f>
        <v/>
      </c>
      <c r="AA10" t="str">
        <f>IF(Backend!AB37="", "", Backend!AB37)</f>
        <v/>
      </c>
      <c r="AB10" t="str">
        <f>IF(Backend!AC37="", "", Backend!AC37)</f>
        <v/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Melrose Industries PLC</v>
      </c>
      <c r="B11">
        <f>IF(Backend!C38="", "", Backend!C38)</f>
        <v>0.61157507</v>
      </c>
      <c r="C11">
        <f>IF(Backend!D38="", "", Backend!D38)</f>
        <v>-0.65768813999999998</v>
      </c>
      <c r="D11">
        <f>IF(Backend!E38="", "", Backend!E38)</f>
        <v>0.19845256</v>
      </c>
      <c r="E11">
        <f>IF(Backend!F38="", "", Backend!F38)</f>
        <v>-0.277306</v>
      </c>
      <c r="F11">
        <f>IF(Backend!G38="", "", Backend!G38)</f>
        <v>0.78398270000000003</v>
      </c>
      <c r="G11">
        <f>IF(Backend!H38="", "", Backend!H38)</f>
        <v>9.9891506000000005E-2</v>
      </c>
      <c r="H11">
        <f>IF(Backend!I38="", "", Backend!I38)</f>
        <v>-0.33592509999999998</v>
      </c>
      <c r="I11">
        <f>IF(Backend!J38="", "", Backend!J38)</f>
        <v>1</v>
      </c>
      <c r="J11">
        <f>IF(Backend!K38="", "", Backend!K38)</f>
        <v>0.55333810000000005</v>
      </c>
      <c r="K11">
        <f>IF(Backend!L38="", "", Backend!L38)</f>
        <v>0.58185739999999997</v>
      </c>
      <c r="L11">
        <f>IF(Backend!M38="", "", Backend!M38)</f>
        <v>0.60810684999999998</v>
      </c>
      <c r="M11" t="str">
        <f>IF(Backend!N38="", "", Backend!N38)</f>
        <v/>
      </c>
      <c r="N11" t="str">
        <f>IF(Backend!O38="", "", Backend!O38)</f>
        <v/>
      </c>
      <c r="O11" t="str">
        <f>IF(Backend!P38="", "", Backend!P38)</f>
        <v/>
      </c>
      <c r="P11" t="str">
        <f>IF(Backend!Q38="", "", Backend!Q38)</f>
        <v/>
      </c>
      <c r="Q11" t="str">
        <f>IF(Backend!R38="", "", Backend!R38)</f>
        <v/>
      </c>
      <c r="R11" t="str">
        <f>IF(Backend!S38="", "", Backend!S38)</f>
        <v/>
      </c>
      <c r="S11" t="str">
        <f>IF(Backend!T38="", "", Backend!T38)</f>
        <v/>
      </c>
      <c r="T11" t="str">
        <f>IF(Backend!U38="", "", Backend!U38)</f>
        <v/>
      </c>
      <c r="U11" t="str">
        <f>IF(Backend!V38="", "", Backend!V38)</f>
        <v/>
      </c>
      <c r="V11" t="str">
        <f>IF(Backend!W38="", "", Backend!W38)</f>
        <v/>
      </c>
      <c r="W11" t="str">
        <f>IF(Backend!X38="", "", Backend!X38)</f>
        <v/>
      </c>
      <c r="X11" t="str">
        <f>IF(Backend!Y38="", "", Backend!Y38)</f>
        <v/>
      </c>
      <c r="Y11" t="str">
        <f>IF(Backend!Z38="", "", Backend!Z38)</f>
        <v/>
      </c>
      <c r="Z11" t="str">
        <f>IF(Backend!AA38="", "", Backend!AA38)</f>
        <v/>
      </c>
      <c r="AA11" t="str">
        <f>IF(Backend!AB38="", "", Backend!AB38)</f>
        <v/>
      </c>
      <c r="AB11" t="str">
        <f>IF(Backend!AC38="", "", Backend!AC38)</f>
        <v/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Safran SA</v>
      </c>
      <c r="B12">
        <f>IF(Backend!C39="", "", Backend!C39)</f>
        <v>0.83577290000000004</v>
      </c>
      <c r="C12">
        <f>IF(Backend!D39="", "", Backend!D39)</f>
        <v>-0.59283010000000003</v>
      </c>
      <c r="D12">
        <f>IF(Backend!E39="", "", Backend!E39)</f>
        <v>0.63288979999999995</v>
      </c>
      <c r="E12">
        <f>IF(Backend!F39="", "", Backend!F39)</f>
        <v>0.49742395</v>
      </c>
      <c r="F12">
        <f>IF(Backend!G39="", "", Backend!G39)</f>
        <v>0.60978410000000005</v>
      </c>
      <c r="G12">
        <f>IF(Backend!H39="", "", Backend!H39)</f>
        <v>0.55562109999999998</v>
      </c>
      <c r="H12">
        <f>IF(Backend!I39="", "", Backend!I39)</f>
        <v>0.30352790000000002</v>
      </c>
      <c r="I12">
        <f>IF(Backend!J39="", "", Backend!J39)</f>
        <v>0.55333810000000005</v>
      </c>
      <c r="J12">
        <f>IF(Backend!K39="", "", Backend!K39)</f>
        <v>1</v>
      </c>
      <c r="K12">
        <f>IF(Backend!L39="", "", Backend!L39)</f>
        <v>0.346362</v>
      </c>
      <c r="L12">
        <f>IF(Backend!M39="", "", Backend!M39)</f>
        <v>0.97434679999999996</v>
      </c>
      <c r="M12" t="str">
        <f>IF(Backend!N39="", "", Backend!N39)</f>
        <v/>
      </c>
      <c r="N12" t="str">
        <f>IF(Backend!O39="", "", Backend!O39)</f>
        <v/>
      </c>
      <c r="O12" t="str">
        <f>IF(Backend!P39="", "", Backend!P39)</f>
        <v/>
      </c>
      <c r="P12" t="str">
        <f>IF(Backend!Q39="", "", Backend!Q39)</f>
        <v/>
      </c>
      <c r="Q12" t="str">
        <f>IF(Backend!R39="", "", Backend!R39)</f>
        <v/>
      </c>
      <c r="R12" t="str">
        <f>IF(Backend!S39="", "", Backend!S39)</f>
        <v/>
      </c>
      <c r="S12" t="str">
        <f>IF(Backend!T39="", "", Backend!T39)</f>
        <v/>
      </c>
      <c r="T12" t="str">
        <f>IF(Backend!U39="", "", Backend!U39)</f>
        <v/>
      </c>
      <c r="U12" t="str">
        <f>IF(Backend!V39="", "", Backend!V39)</f>
        <v/>
      </c>
      <c r="V12" t="str">
        <f>IF(Backend!W39="", "", Backend!W39)</f>
        <v/>
      </c>
      <c r="W12" t="str">
        <f>IF(Backend!X39="", "", Backend!X39)</f>
        <v/>
      </c>
      <c r="X12" t="str">
        <f>IF(Backend!Y39="", "", Backend!Y39)</f>
        <v/>
      </c>
      <c r="Y12" t="str">
        <f>IF(Backend!Z39="", "", Backend!Z39)</f>
        <v/>
      </c>
      <c r="Z12" t="str">
        <f>IF(Backend!AA39="", "", Backend!AA39)</f>
        <v/>
      </c>
      <c r="AA12" t="str">
        <f>IF(Backend!AB39="", "", Backend!AB39)</f>
        <v/>
      </c>
      <c r="AB12" t="str">
        <f>IF(Backend!AC39="", "", Backend!AC39)</f>
        <v/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Autodesk, Inc.</v>
      </c>
      <c r="B13">
        <f>IF(Backend!C40="", "", Backend!C40)</f>
        <v>0.65931720000000005</v>
      </c>
      <c r="C13">
        <f>IF(Backend!D40="", "", Backend!D40)</f>
        <v>-0.46417062999999997</v>
      </c>
      <c r="D13">
        <f>IF(Backend!E40="", "", Backend!E40)</f>
        <v>7.1038019999999993E-2</v>
      </c>
      <c r="E13">
        <f>IF(Backend!F40="", "", Backend!F40)</f>
        <v>-0.31023036999999998</v>
      </c>
      <c r="F13">
        <f>IF(Backend!G40="", "", Backend!G40)</f>
        <v>0.63307270000000004</v>
      </c>
      <c r="G13">
        <f>IF(Backend!H40="", "", Backend!H40)</f>
        <v>0.44841852999999998</v>
      </c>
      <c r="H13">
        <f>IF(Backend!I40="", "", Backend!I40)</f>
        <v>-0.28101522000000001</v>
      </c>
      <c r="I13">
        <f>IF(Backend!J40="", "", Backend!J40)</f>
        <v>0.58185739999999997</v>
      </c>
      <c r="J13">
        <f>IF(Backend!K40="", "", Backend!K40)</f>
        <v>0.346362</v>
      </c>
      <c r="K13">
        <f>IF(Backend!L40="", "", Backend!L40)</f>
        <v>1</v>
      </c>
      <c r="L13">
        <f>IF(Backend!M40="", "", Backend!M40)</f>
        <v>0.46679609999999999</v>
      </c>
      <c r="M13" t="str">
        <f>IF(Backend!N40="", "", Backend!N40)</f>
        <v/>
      </c>
      <c r="N13" t="str">
        <f>IF(Backend!O40="", "", Backend!O40)</f>
        <v/>
      </c>
      <c r="O13" t="str">
        <f>IF(Backend!P40="", "", Backend!P40)</f>
        <v/>
      </c>
      <c r="P13" t="str">
        <f>IF(Backend!Q40="", "", Backend!Q40)</f>
        <v/>
      </c>
      <c r="Q13" t="str">
        <f>IF(Backend!R40="", "", Backend!R40)</f>
        <v/>
      </c>
      <c r="R13" t="str">
        <f>IF(Backend!S40="", "", Backend!S40)</f>
        <v/>
      </c>
      <c r="S13" t="str">
        <f>IF(Backend!T40="", "", Backend!T40)</f>
        <v/>
      </c>
      <c r="T13" t="str">
        <f>IF(Backend!U40="", "", Backend!U40)</f>
        <v/>
      </c>
      <c r="U13" t="str">
        <f>IF(Backend!V40="", "", Backend!V40)</f>
        <v/>
      </c>
      <c r="V13" t="str">
        <f>IF(Backend!W40="", "", Backend!W40)</f>
        <v/>
      </c>
      <c r="W13" t="str">
        <f>IF(Backend!X40="", "", Backend!X40)</f>
        <v/>
      </c>
      <c r="X13" t="str">
        <f>IF(Backend!Y40="", "", Backend!Y40)</f>
        <v/>
      </c>
      <c r="Y13" t="str">
        <f>IF(Backend!Z40="", "", Backend!Z40)</f>
        <v/>
      </c>
      <c r="Z13" t="str">
        <f>IF(Backend!AA40="", "", Backend!AA40)</f>
        <v/>
      </c>
      <c r="AA13" t="str">
        <f>IF(Backend!AB40="", "", Backend!AB40)</f>
        <v/>
      </c>
      <c r="AB13" t="str">
        <f>IF(Backend!AC40="", "", Backend!AC40)</f>
        <v/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GE Aerospace</v>
      </c>
      <c r="B14">
        <f>IF(Backend!C41="", "", Backend!C41)</f>
        <v>0.87168650000000003</v>
      </c>
      <c r="C14">
        <f>IF(Backend!D41="", "", Backend!D41)</f>
        <v>-0.67086864000000002</v>
      </c>
      <c r="D14">
        <f>IF(Backend!E41="", "", Backend!E41)</f>
        <v>0.59600719999999996</v>
      </c>
      <c r="E14">
        <f>IF(Backend!F41="", "", Backend!F41)</f>
        <v>0.36385792</v>
      </c>
      <c r="F14">
        <f>IF(Backend!G41="", "", Backend!G41)</f>
        <v>0.71409979999999995</v>
      </c>
      <c r="G14">
        <f>IF(Backend!H41="", "", Backend!H41)</f>
        <v>0.54580205999999998</v>
      </c>
      <c r="H14">
        <f>IF(Backend!I41="", "", Backend!I41)</f>
        <v>0.17796366</v>
      </c>
      <c r="I14">
        <f>IF(Backend!J41="", "", Backend!J41)</f>
        <v>0.60810684999999998</v>
      </c>
      <c r="J14">
        <f>IF(Backend!K41="", "", Backend!K41)</f>
        <v>0.97434679999999996</v>
      </c>
      <c r="K14">
        <f>IF(Backend!L41="", "", Backend!L41)</f>
        <v>0.46679609999999999</v>
      </c>
      <c r="L14">
        <f>IF(Backend!M41="", "", Backend!M41)</f>
        <v>1</v>
      </c>
      <c r="M14" t="str">
        <f>IF(Backend!N41="", "", Backend!N41)</f>
        <v/>
      </c>
      <c r="N14" t="str">
        <f>IF(Backend!O41="", "", Backend!O41)</f>
        <v/>
      </c>
      <c r="O14" t="str">
        <f>IF(Backend!P41="", "", Backend!P41)</f>
        <v/>
      </c>
      <c r="P14" t="str">
        <f>IF(Backend!Q41="", "", Backend!Q41)</f>
        <v/>
      </c>
      <c r="Q14" t="str">
        <f>IF(Backend!R41="", "", Backend!R41)</f>
        <v/>
      </c>
      <c r="R14" t="str">
        <f>IF(Backend!S41="", "", Backend!S41)</f>
        <v/>
      </c>
      <c r="S14" t="str">
        <f>IF(Backend!T41="", "", Backend!T41)</f>
        <v/>
      </c>
      <c r="T14" t="str">
        <f>IF(Backend!U41="", "", Backend!U41)</f>
        <v/>
      </c>
      <c r="U14" t="str">
        <f>IF(Backend!V41="", "", Backend!V41)</f>
        <v/>
      </c>
      <c r="V14" t="str">
        <f>IF(Backend!W41="", "", Backend!W41)</f>
        <v/>
      </c>
      <c r="W14" t="str">
        <f>IF(Backend!X41="", "", Backend!X41)</f>
        <v/>
      </c>
      <c r="X14" t="str">
        <f>IF(Backend!Y41="", "", Backend!Y41)</f>
        <v/>
      </c>
      <c r="Y14" t="str">
        <f>IF(Backend!Z41="", "", Backend!Z41)</f>
        <v/>
      </c>
      <c r="Z14" t="str">
        <f>IF(Backend!AA41="", "", Backend!AA41)</f>
        <v/>
      </c>
      <c r="AA14" t="str">
        <f>IF(Backend!AB41="", "", Backend!AB41)</f>
        <v/>
      </c>
      <c r="AB14" t="str">
        <f>IF(Backend!AC41="", "", Backend!AC41)</f>
        <v/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/>
      </c>
      <c r="B15" t="str">
        <f>IF(Backend!C42="", "", Backend!C42)</f>
        <v/>
      </c>
      <c r="C15" t="str">
        <f>IF(Backend!D42="", "", Backend!D42)</f>
        <v/>
      </c>
      <c r="D15" t="str">
        <f>IF(Backend!E42="", "", Backend!E42)</f>
        <v/>
      </c>
      <c r="E15" t="str">
        <f>IF(Backend!F42="", "", Backend!F42)</f>
        <v/>
      </c>
      <c r="F15" t="str">
        <f>IF(Backend!G42="", "", Backend!G42)</f>
        <v/>
      </c>
      <c r="G15" t="str">
        <f>IF(Backend!H42="", "", Backend!H42)</f>
        <v/>
      </c>
      <c r="H15" t="str">
        <f>IF(Backend!I42="", "", Backend!I42)</f>
        <v/>
      </c>
      <c r="I15" t="str">
        <f>IF(Backend!J42="", "", Backend!J42)</f>
        <v/>
      </c>
      <c r="J15" t="str">
        <f>IF(Backend!K42="", "", Backend!K42)</f>
        <v/>
      </c>
      <c r="K15" t="str">
        <f>IF(Backend!L42="", "", Backend!L42)</f>
        <v/>
      </c>
      <c r="L15" t="str">
        <f>IF(Backend!M42="", "", Backend!M42)</f>
        <v/>
      </c>
      <c r="M15" t="str">
        <f>IF(Backend!N42="", "", Backend!N42)</f>
        <v/>
      </c>
      <c r="N15" t="str">
        <f>IF(Backend!O42="", "", Backend!O42)</f>
        <v/>
      </c>
      <c r="O15" t="str">
        <f>IF(Backend!P42="", "", Backend!P42)</f>
        <v/>
      </c>
      <c r="P15" t="str">
        <f>IF(Backend!Q42="", "", Backend!Q42)</f>
        <v/>
      </c>
      <c r="Q15" t="str">
        <f>IF(Backend!R42="", "", Backend!R42)</f>
        <v/>
      </c>
      <c r="R15" t="str">
        <f>IF(Backend!S42="", "", Backend!S42)</f>
        <v/>
      </c>
      <c r="S15" t="str">
        <f>IF(Backend!T42="", "", Backend!T42)</f>
        <v/>
      </c>
      <c r="T15" t="str">
        <f>IF(Backend!U42="", "", Backend!U42)</f>
        <v/>
      </c>
      <c r="U15" t="str">
        <f>IF(Backend!V42="", "", Backend!V42)</f>
        <v/>
      </c>
      <c r="V15" t="str">
        <f>IF(Backend!W42="", "", Backend!W42)</f>
        <v/>
      </c>
      <c r="W15" t="str">
        <f>IF(Backend!X42="", "", Backend!X42)</f>
        <v/>
      </c>
      <c r="X15" t="str">
        <f>IF(Backend!Y42="", "", Backend!Y42)</f>
        <v/>
      </c>
      <c r="Y15" t="str">
        <f>IF(Backend!Z42="", "", Backend!Z42)</f>
        <v/>
      </c>
      <c r="Z15" t="str">
        <f>IF(Backend!AA42="", "", Backend!AA42)</f>
        <v/>
      </c>
      <c r="AA15" t="str">
        <f>IF(Backend!AB42="", "", Backend!AB42)</f>
        <v/>
      </c>
      <c r="AB15" t="str">
        <f>IF(Backend!AC42="", "", Backend!AC42)</f>
        <v/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/>
      </c>
      <c r="B16" t="str">
        <f>IF(Backend!C43="", "", Backend!C43)</f>
        <v/>
      </c>
      <c r="C16" t="str">
        <f>IF(Backend!D43="", "", Backend!D43)</f>
        <v/>
      </c>
      <c r="D16" t="str">
        <f>IF(Backend!E43="", "", Backend!E43)</f>
        <v/>
      </c>
      <c r="E16" t="str">
        <f>IF(Backend!F43="", "", Backend!F43)</f>
        <v/>
      </c>
      <c r="F16" t="str">
        <f>IF(Backend!G43="", "", Backend!G43)</f>
        <v/>
      </c>
      <c r="G16" t="str">
        <f>IF(Backend!H43="", "", Backend!H43)</f>
        <v/>
      </c>
      <c r="H16" t="str">
        <f>IF(Backend!I43="", "", Backend!I43)</f>
        <v/>
      </c>
      <c r="I16" t="str">
        <f>IF(Backend!J43="", "", Backend!J43)</f>
        <v/>
      </c>
      <c r="J16" t="str">
        <f>IF(Backend!K43="", "", Backend!K43)</f>
        <v/>
      </c>
      <c r="K16" t="str">
        <f>IF(Backend!L43="", "", Backend!L43)</f>
        <v/>
      </c>
      <c r="L16" t="str">
        <f>IF(Backend!M43="", "", Backend!M43)</f>
        <v/>
      </c>
      <c r="M16" t="str">
        <f>IF(Backend!N43="", "", Backend!N43)</f>
        <v/>
      </c>
      <c r="N16" t="str">
        <f>IF(Backend!O43="", "", Backend!O43)</f>
        <v/>
      </c>
      <c r="O16" t="str">
        <f>IF(Backend!P43="", "", Backend!P43)</f>
        <v/>
      </c>
      <c r="P16" t="str">
        <f>IF(Backend!Q43="", "", Backend!Q43)</f>
        <v/>
      </c>
      <c r="Q16" t="str">
        <f>IF(Backend!R43="", "", Backend!R43)</f>
        <v/>
      </c>
      <c r="R16" t="str">
        <f>IF(Backend!S43="", "", Backend!S43)</f>
        <v/>
      </c>
      <c r="S16" t="str">
        <f>IF(Backend!T43="", "", Backend!T43)</f>
        <v/>
      </c>
      <c r="T16" t="str">
        <f>IF(Backend!U43="", "", Backend!U43)</f>
        <v/>
      </c>
      <c r="U16" t="str">
        <f>IF(Backend!V43="", "", Backend!V43)</f>
        <v/>
      </c>
      <c r="V16" t="str">
        <f>IF(Backend!W43="", "", Backend!W43)</f>
        <v/>
      </c>
      <c r="W16" t="str">
        <f>IF(Backend!X43="", "", Backend!X43)</f>
        <v/>
      </c>
      <c r="X16" t="str">
        <f>IF(Backend!Y43="", "", Backend!Y43)</f>
        <v/>
      </c>
      <c r="Y16" t="str">
        <f>IF(Backend!Z43="", "", Backend!Z43)</f>
        <v/>
      </c>
      <c r="Z16" t="str">
        <f>IF(Backend!AA43="", "", Backend!AA43)</f>
        <v/>
      </c>
      <c r="AA16" t="str">
        <f>IF(Backend!AB43="", "", Backend!AB43)</f>
        <v/>
      </c>
      <c r="AB16" t="str">
        <f>IF(Backend!AC43="", "", Backend!AC43)</f>
        <v/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/>
      </c>
      <c r="B17" t="str">
        <f>IF(Backend!C44="", "", Backend!C44)</f>
        <v/>
      </c>
      <c r="C17" t="str">
        <f>IF(Backend!D44="", "", Backend!D44)</f>
        <v/>
      </c>
      <c r="D17" t="str">
        <f>IF(Backend!E44="", "", Backend!E44)</f>
        <v/>
      </c>
      <c r="E17" t="str">
        <f>IF(Backend!F44="", "", Backend!F44)</f>
        <v/>
      </c>
      <c r="F17" t="str">
        <f>IF(Backend!G44="", "", Backend!G44)</f>
        <v/>
      </c>
      <c r="G17" t="str">
        <f>IF(Backend!H44="", "", Backend!H44)</f>
        <v/>
      </c>
      <c r="H17" t="str">
        <f>IF(Backend!I44="", "", Backend!I44)</f>
        <v/>
      </c>
      <c r="I17" t="str">
        <f>IF(Backend!J44="", "", Backend!J44)</f>
        <v/>
      </c>
      <c r="J17" t="str">
        <f>IF(Backend!K44="", "", Backend!K44)</f>
        <v/>
      </c>
      <c r="K17" t="str">
        <f>IF(Backend!L44="", "", Backend!L44)</f>
        <v/>
      </c>
      <c r="L17" t="str">
        <f>IF(Backend!M44="", "", Backend!M44)</f>
        <v/>
      </c>
      <c r="M17" t="str">
        <f>IF(Backend!N44="", "", Backend!N44)</f>
        <v/>
      </c>
      <c r="N17" t="str">
        <f>IF(Backend!O44="", "", Backend!O44)</f>
        <v/>
      </c>
      <c r="O17" t="str">
        <f>IF(Backend!P44="", "", Backend!P44)</f>
        <v/>
      </c>
      <c r="P17" t="str">
        <f>IF(Backend!Q44="", "", Backend!Q44)</f>
        <v/>
      </c>
      <c r="Q17" t="str">
        <f>IF(Backend!R44="", "", Backend!R44)</f>
        <v/>
      </c>
      <c r="R17" t="str">
        <f>IF(Backend!S44="", "", Backend!S44)</f>
        <v/>
      </c>
      <c r="S17" t="str">
        <f>IF(Backend!T44="", "", Backend!T44)</f>
        <v/>
      </c>
      <c r="T17" t="str">
        <f>IF(Backend!U44="", "", Backend!U44)</f>
        <v/>
      </c>
      <c r="U17" t="str">
        <f>IF(Backend!V44="", "", Backend!V44)</f>
        <v/>
      </c>
      <c r="V17" t="str">
        <f>IF(Backend!W44="", "", Backend!W44)</f>
        <v/>
      </c>
      <c r="W17" t="str">
        <f>IF(Backend!X44="", "", Backend!X44)</f>
        <v/>
      </c>
      <c r="X17" t="str">
        <f>IF(Backend!Y44="", "", Backend!Y44)</f>
        <v/>
      </c>
      <c r="Y17" t="str">
        <f>IF(Backend!Z44="", "", Backend!Z44)</f>
        <v/>
      </c>
      <c r="Z17" t="str">
        <f>IF(Backend!AA44="", "", Backend!AA44)</f>
        <v/>
      </c>
      <c r="AA17" t="str">
        <f>IF(Backend!AB44="", "", Backend!AB44)</f>
        <v/>
      </c>
      <c r="AB17" t="str">
        <f>IF(Backend!AC44="", "", Backend!AC44)</f>
        <v/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/>
      </c>
      <c r="B18" t="str">
        <f>IF(Backend!C45="", "", Backend!C45)</f>
        <v/>
      </c>
      <c r="C18" t="str">
        <f>IF(Backend!D45="", "", Backend!D45)</f>
        <v/>
      </c>
      <c r="D18" t="str">
        <f>IF(Backend!E45="", "", Backend!E45)</f>
        <v/>
      </c>
      <c r="E18" t="str">
        <f>IF(Backend!F45="", "", Backend!F45)</f>
        <v/>
      </c>
      <c r="F18" t="str">
        <f>IF(Backend!G45="", "", Backend!G45)</f>
        <v/>
      </c>
      <c r="G18" t="str">
        <f>IF(Backend!H45="", "", Backend!H45)</f>
        <v/>
      </c>
      <c r="H18" t="str">
        <f>IF(Backend!I45="", "", Backend!I45)</f>
        <v/>
      </c>
      <c r="I18" t="str">
        <f>IF(Backend!J45="", "", Backend!J45)</f>
        <v/>
      </c>
      <c r="J18" t="str">
        <f>IF(Backend!K45="", "", Backend!K45)</f>
        <v/>
      </c>
      <c r="K18" t="str">
        <f>IF(Backend!L45="", "", Backend!L45)</f>
        <v/>
      </c>
      <c r="L18" t="str">
        <f>IF(Backend!M45="", "", Backend!M45)</f>
        <v/>
      </c>
      <c r="M18" t="str">
        <f>IF(Backend!N45="", "", Backend!N45)</f>
        <v/>
      </c>
      <c r="N18" t="str">
        <f>IF(Backend!O45="", "", Backend!O45)</f>
        <v/>
      </c>
      <c r="O18" t="str">
        <f>IF(Backend!P45="", "", Backend!P45)</f>
        <v/>
      </c>
      <c r="P18" t="str">
        <f>IF(Backend!Q45="", "", Backend!Q45)</f>
        <v/>
      </c>
      <c r="Q18" t="str">
        <f>IF(Backend!R45="", "", Backend!R45)</f>
        <v/>
      </c>
      <c r="R18" t="str">
        <f>IF(Backend!S45="", "", Backend!S45)</f>
        <v/>
      </c>
      <c r="S18" t="str">
        <f>IF(Backend!T45="", "", Backend!T45)</f>
        <v/>
      </c>
      <c r="T18" t="str">
        <f>IF(Backend!U45="", "", Backend!U45)</f>
        <v/>
      </c>
      <c r="U18" t="str">
        <f>IF(Backend!V45="", "", Backend!V45)</f>
        <v/>
      </c>
      <c r="V18" t="str">
        <f>IF(Backend!W45="", "", Backend!W45)</f>
        <v/>
      </c>
      <c r="W18" t="str">
        <f>IF(Backend!X45="", "", Backend!X45)</f>
        <v/>
      </c>
      <c r="X18" t="str">
        <f>IF(Backend!Y45="", "", Backend!Y45)</f>
        <v/>
      </c>
      <c r="Y18" t="str">
        <f>IF(Backend!Z45="", "", Backend!Z45)</f>
        <v/>
      </c>
      <c r="Z18" t="str">
        <f>IF(Backend!AA45="", "", Backend!AA45)</f>
        <v/>
      </c>
      <c r="AA18" t="str">
        <f>IF(Backend!AB45="", "", Backend!AB45)</f>
        <v/>
      </c>
      <c r="AB18" t="str">
        <f>IF(Backend!AC45="", "", Backend!AC45)</f>
        <v/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/>
      </c>
      <c r="B19" t="str">
        <f>IF(Backend!C46="", "", Backend!C46)</f>
        <v/>
      </c>
      <c r="C19" t="str">
        <f>IF(Backend!D46="", "", Backend!D46)</f>
        <v/>
      </c>
      <c r="D19" t="str">
        <f>IF(Backend!E46="", "", Backend!E46)</f>
        <v/>
      </c>
      <c r="E19" t="str">
        <f>IF(Backend!F46="", "", Backend!F46)</f>
        <v/>
      </c>
      <c r="F19" t="str">
        <f>IF(Backend!G46="", "", Backend!G46)</f>
        <v/>
      </c>
      <c r="G19" t="str">
        <f>IF(Backend!H46="", "", Backend!H46)</f>
        <v/>
      </c>
      <c r="H19" t="str">
        <f>IF(Backend!I46="", "", Backend!I46)</f>
        <v/>
      </c>
      <c r="I19" t="str">
        <f>IF(Backend!J46="", "", Backend!J46)</f>
        <v/>
      </c>
      <c r="J19" t="str">
        <f>IF(Backend!K46="", "", Backend!K46)</f>
        <v/>
      </c>
      <c r="K19" t="str">
        <f>IF(Backend!L46="", "", Backend!L46)</f>
        <v/>
      </c>
      <c r="L19" t="str">
        <f>IF(Backend!M46="", "", Backend!M46)</f>
        <v/>
      </c>
      <c r="M19" t="str">
        <f>IF(Backend!N46="", "", Backend!N46)</f>
        <v/>
      </c>
      <c r="N19" t="str">
        <f>IF(Backend!O46="", "", Backend!O46)</f>
        <v/>
      </c>
      <c r="O19" t="str">
        <f>IF(Backend!P46="", "", Backend!P46)</f>
        <v/>
      </c>
      <c r="P19" t="str">
        <f>IF(Backend!Q46="", "", Backend!Q46)</f>
        <v/>
      </c>
      <c r="Q19" t="str">
        <f>IF(Backend!R46="", "", Backend!R46)</f>
        <v/>
      </c>
      <c r="R19" t="str">
        <f>IF(Backend!S46="", "", Backend!S46)</f>
        <v/>
      </c>
      <c r="S19" t="str">
        <f>IF(Backend!T46="", "", Backend!T46)</f>
        <v/>
      </c>
      <c r="T19" t="str">
        <f>IF(Backend!U46="", "", Backend!U46)</f>
        <v/>
      </c>
      <c r="U19" t="str">
        <f>IF(Backend!V46="", "", Backend!V46)</f>
        <v/>
      </c>
      <c r="V19" t="str">
        <f>IF(Backend!W46="", "", Backend!W46)</f>
        <v/>
      </c>
      <c r="W19" t="str">
        <f>IF(Backend!X46="", "", Backend!X46)</f>
        <v/>
      </c>
      <c r="X19" t="str">
        <f>IF(Backend!Y46="", "", Backend!Y46)</f>
        <v/>
      </c>
      <c r="Y19" t="str">
        <f>IF(Backend!Z46="", "", Backend!Z46)</f>
        <v/>
      </c>
      <c r="Z19" t="str">
        <f>IF(Backend!AA46="", "", Backend!AA46)</f>
        <v/>
      </c>
      <c r="AA19" t="str">
        <f>IF(Backend!AB46="", "", Backend!AB46)</f>
        <v/>
      </c>
      <c r="AB19" t="str">
        <f>IF(Backend!AC46="", "", Backend!AC46)</f>
        <v/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/>
      </c>
      <c r="B20" t="str">
        <f>IF(Backend!C47="", "", Backend!C47)</f>
        <v/>
      </c>
      <c r="C20" t="str">
        <f>IF(Backend!D47="", "", Backend!D47)</f>
        <v/>
      </c>
      <c r="D20" t="str">
        <f>IF(Backend!E47="", "", Backend!E47)</f>
        <v/>
      </c>
      <c r="E20" t="str">
        <f>IF(Backend!F47="", "", Backend!F47)</f>
        <v/>
      </c>
      <c r="F20" t="str">
        <f>IF(Backend!G47="", "", Backend!G47)</f>
        <v/>
      </c>
      <c r="G20" t="str">
        <f>IF(Backend!H47="", "", Backend!H47)</f>
        <v/>
      </c>
      <c r="H20" t="str">
        <f>IF(Backend!I47="", "", Backend!I47)</f>
        <v/>
      </c>
      <c r="I20" t="str">
        <f>IF(Backend!J47="", "", Backend!J47)</f>
        <v/>
      </c>
      <c r="J20" t="str">
        <f>IF(Backend!K47="", "", Backend!K47)</f>
        <v/>
      </c>
      <c r="K20" t="str">
        <f>IF(Backend!L47="", "", Backend!L47)</f>
        <v/>
      </c>
      <c r="L20" t="str">
        <f>IF(Backend!M47="", "", Backend!M47)</f>
        <v/>
      </c>
      <c r="M20" t="str">
        <f>IF(Backend!N47="", "", Backend!N47)</f>
        <v/>
      </c>
      <c r="N20" t="str">
        <f>IF(Backend!O47="", "", Backend!O47)</f>
        <v/>
      </c>
      <c r="O20" t="str">
        <f>IF(Backend!P47="", "", Backend!P47)</f>
        <v/>
      </c>
      <c r="P20" t="str">
        <f>IF(Backend!Q47="", "", Backend!Q47)</f>
        <v/>
      </c>
      <c r="Q20" t="str">
        <f>IF(Backend!R47="", "", Backend!R47)</f>
        <v/>
      </c>
      <c r="R20" t="str">
        <f>IF(Backend!S47="", "", Backend!S47)</f>
        <v/>
      </c>
      <c r="S20" t="str">
        <f>IF(Backend!T47="", "", Backend!T47)</f>
        <v/>
      </c>
      <c r="T20" t="str">
        <f>IF(Backend!U47="", "", Backend!U47)</f>
        <v/>
      </c>
      <c r="U20" t="str">
        <f>IF(Backend!V47="", "", Backend!V47)</f>
        <v/>
      </c>
      <c r="V20" t="str">
        <f>IF(Backend!W47="", "", Backend!W47)</f>
        <v/>
      </c>
      <c r="W20" t="str">
        <f>IF(Backend!X47="", "", Backend!X47)</f>
        <v/>
      </c>
      <c r="X20" t="str">
        <f>IF(Backend!Y47="", "", Backend!Y47)</f>
        <v/>
      </c>
      <c r="Y20" t="str">
        <f>IF(Backend!Z47="", "", Backend!Z47)</f>
        <v/>
      </c>
      <c r="Z20" t="str">
        <f>IF(Backend!AA47="", "", Backend!AA47)</f>
        <v/>
      </c>
      <c r="AA20" t="str">
        <f>IF(Backend!AB47="", "", Backend!AB47)</f>
        <v/>
      </c>
      <c r="AB20" t="str">
        <f>IF(Backend!AC47="", "", Backend!AC47)</f>
        <v/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/>
      </c>
      <c r="B21" t="str">
        <f>IF(Backend!C48="", "", Backend!C48)</f>
        <v/>
      </c>
      <c r="C21" t="str">
        <f>IF(Backend!D48="", "", Backend!D48)</f>
        <v/>
      </c>
      <c r="D21" t="str">
        <f>IF(Backend!E48="", "", Backend!E48)</f>
        <v/>
      </c>
      <c r="E21" t="str">
        <f>IF(Backend!F48="", "", Backend!F48)</f>
        <v/>
      </c>
      <c r="F21" t="str">
        <f>IF(Backend!G48="", "", Backend!G48)</f>
        <v/>
      </c>
      <c r="G21" t="str">
        <f>IF(Backend!H48="", "", Backend!H48)</f>
        <v/>
      </c>
      <c r="H21" t="str">
        <f>IF(Backend!I48="", "", Backend!I48)</f>
        <v/>
      </c>
      <c r="I21" t="str">
        <f>IF(Backend!J48="", "", Backend!J48)</f>
        <v/>
      </c>
      <c r="J21" t="str">
        <f>IF(Backend!K48="", "", Backend!K48)</f>
        <v/>
      </c>
      <c r="K21" t="str">
        <f>IF(Backend!L48="", "", Backend!L48)</f>
        <v/>
      </c>
      <c r="L21" t="str">
        <f>IF(Backend!M48="", "", Backend!M48)</f>
        <v/>
      </c>
      <c r="M21" t="str">
        <f>IF(Backend!N48="", "", Backend!N48)</f>
        <v/>
      </c>
      <c r="N21" t="str">
        <f>IF(Backend!O48="", "", Backend!O48)</f>
        <v/>
      </c>
      <c r="O21" t="str">
        <f>IF(Backend!P48="", "", Backend!P48)</f>
        <v/>
      </c>
      <c r="P21" t="str">
        <f>IF(Backend!Q48="", "", Backend!Q48)</f>
        <v/>
      </c>
      <c r="Q21" t="str">
        <f>IF(Backend!R48="", "", Backend!R48)</f>
        <v/>
      </c>
      <c r="R21" t="str">
        <f>IF(Backend!S48="", "", Backend!S48)</f>
        <v/>
      </c>
      <c r="S21" t="str">
        <f>IF(Backend!T48="", "", Backend!T48)</f>
        <v/>
      </c>
      <c r="T21" t="str">
        <f>IF(Backend!U48="", "", Backend!U48)</f>
        <v/>
      </c>
      <c r="U21" t="str">
        <f>IF(Backend!V48="", "", Backend!V48)</f>
        <v/>
      </c>
      <c r="V21" t="str">
        <f>IF(Backend!W48="", "", Backend!W48)</f>
        <v/>
      </c>
      <c r="W21" t="str">
        <f>IF(Backend!X48="", "", Backend!X48)</f>
        <v/>
      </c>
      <c r="X21" t="str">
        <f>IF(Backend!Y48="", "", Backend!Y48)</f>
        <v/>
      </c>
      <c r="Y21" t="str">
        <f>IF(Backend!Z48="", "", Backend!Z48)</f>
        <v/>
      </c>
      <c r="Z21" t="str">
        <f>IF(Backend!AA48="", "", Backend!AA48)</f>
        <v/>
      </c>
      <c r="AA21" t="str">
        <f>IF(Backend!AB48="", "", Backend!AB48)</f>
        <v/>
      </c>
      <c r="AB21" t="str">
        <f>IF(Backend!AC48="", "", Backend!AC48)</f>
        <v/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/>
      </c>
      <c r="B22" t="str">
        <f>IF(Backend!C49="", "", Backend!C49)</f>
        <v/>
      </c>
      <c r="C22" t="str">
        <f>IF(Backend!D49="", "", Backend!D49)</f>
        <v/>
      </c>
      <c r="D22" t="str">
        <f>IF(Backend!E49="", "", Backend!E49)</f>
        <v/>
      </c>
      <c r="E22" t="str">
        <f>IF(Backend!F49="", "", Backend!F49)</f>
        <v/>
      </c>
      <c r="F22" t="str">
        <f>IF(Backend!G49="", "", Backend!G49)</f>
        <v/>
      </c>
      <c r="G22" t="str">
        <f>IF(Backend!H49="", "", Backend!H49)</f>
        <v/>
      </c>
      <c r="H22" t="str">
        <f>IF(Backend!I49="", "", Backend!I49)</f>
        <v/>
      </c>
      <c r="I22" t="str">
        <f>IF(Backend!J49="", "", Backend!J49)</f>
        <v/>
      </c>
      <c r="J22" t="str">
        <f>IF(Backend!K49="", "", Backend!K49)</f>
        <v/>
      </c>
      <c r="K22" t="str">
        <f>IF(Backend!L49="", "", Backend!L49)</f>
        <v/>
      </c>
      <c r="L22" t="str">
        <f>IF(Backend!M49="", "", Backend!M49)</f>
        <v/>
      </c>
      <c r="M22" t="str">
        <f>IF(Backend!N49="", "", Backend!N49)</f>
        <v/>
      </c>
      <c r="N22" t="str">
        <f>IF(Backend!O49="", "", Backend!O49)</f>
        <v/>
      </c>
      <c r="O22" t="str">
        <f>IF(Backend!P49="", "", Backend!P49)</f>
        <v/>
      </c>
      <c r="P22" t="str">
        <f>IF(Backend!Q49="", "", Backend!Q49)</f>
        <v/>
      </c>
      <c r="Q22" t="str">
        <f>IF(Backend!R49="", "", Backend!R49)</f>
        <v/>
      </c>
      <c r="R22" t="str">
        <f>IF(Backend!S49="", "", Backend!S49)</f>
        <v/>
      </c>
      <c r="S22" t="str">
        <f>IF(Backend!T49="", "", Backend!T49)</f>
        <v/>
      </c>
      <c r="T22" t="str">
        <f>IF(Backend!U49="", "", Backend!U49)</f>
        <v/>
      </c>
      <c r="U22" t="str">
        <f>IF(Backend!V49="", "", Backend!V49)</f>
        <v/>
      </c>
      <c r="V22" t="str">
        <f>IF(Backend!W49="", "", Backend!W49)</f>
        <v/>
      </c>
      <c r="W22" t="str">
        <f>IF(Backend!X49="", "", Backend!X49)</f>
        <v/>
      </c>
      <c r="X22" t="str">
        <f>IF(Backend!Y49="", "", Backend!Y49)</f>
        <v/>
      </c>
      <c r="Y22" t="str">
        <f>IF(Backend!Z49="", "", Backend!Z49)</f>
        <v/>
      </c>
      <c r="Z22" t="str">
        <f>IF(Backend!AA49="", "", Backend!AA49)</f>
        <v/>
      </c>
      <c r="AA22" t="str">
        <f>IF(Backend!AB49="", "", Backend!AB49)</f>
        <v/>
      </c>
      <c r="AB22" t="str">
        <f>IF(Backend!AC49="", "", Backend!AC49)</f>
        <v/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/>
      </c>
      <c r="B23" t="str">
        <f>IF(Backend!C50="", "", Backend!C50)</f>
        <v/>
      </c>
      <c r="C23" t="str">
        <f>IF(Backend!D50="", "", Backend!D50)</f>
        <v/>
      </c>
      <c r="D23" t="str">
        <f>IF(Backend!E50="", "", Backend!E50)</f>
        <v/>
      </c>
      <c r="E23" t="str">
        <f>IF(Backend!F50="", "", Backend!F50)</f>
        <v/>
      </c>
      <c r="F23" t="str">
        <f>IF(Backend!G50="", "", Backend!G50)</f>
        <v/>
      </c>
      <c r="G23" t="str">
        <f>IF(Backend!H50="", "", Backend!H50)</f>
        <v/>
      </c>
      <c r="H23" t="str">
        <f>IF(Backend!I50="", "", Backend!I50)</f>
        <v/>
      </c>
      <c r="I23" t="str">
        <f>IF(Backend!J50="", "", Backend!J50)</f>
        <v/>
      </c>
      <c r="J23" t="str">
        <f>IF(Backend!K50="", "", Backend!K50)</f>
        <v/>
      </c>
      <c r="K23" t="str">
        <f>IF(Backend!L50="", "", Backend!L50)</f>
        <v/>
      </c>
      <c r="L23" t="str">
        <f>IF(Backend!M50="", "", Backend!M50)</f>
        <v/>
      </c>
      <c r="M23" t="str">
        <f>IF(Backend!N50="", "", Backend!N50)</f>
        <v/>
      </c>
      <c r="N23" t="str">
        <f>IF(Backend!O50="", "", Backend!O50)</f>
        <v/>
      </c>
      <c r="O23" t="str">
        <f>IF(Backend!P50="", "", Backend!P50)</f>
        <v/>
      </c>
      <c r="P23" t="str">
        <f>IF(Backend!Q50="", "", Backend!Q50)</f>
        <v/>
      </c>
      <c r="Q23" t="str">
        <f>IF(Backend!R50="", "", Backend!R50)</f>
        <v/>
      </c>
      <c r="R23" t="str">
        <f>IF(Backend!S50="", "", Backend!S50)</f>
        <v/>
      </c>
      <c r="S23" t="str">
        <f>IF(Backend!T50="", "", Backend!T50)</f>
        <v/>
      </c>
      <c r="T23" t="str">
        <f>IF(Backend!U50="", "", Backend!U50)</f>
        <v/>
      </c>
      <c r="U23" t="str">
        <f>IF(Backend!V50="", "", Backend!V50)</f>
        <v/>
      </c>
      <c r="V23" t="str">
        <f>IF(Backend!W50="", "", Backend!W50)</f>
        <v/>
      </c>
      <c r="W23" t="str">
        <f>IF(Backend!X50="", "", Backend!X50)</f>
        <v/>
      </c>
      <c r="X23" t="str">
        <f>IF(Backend!Y50="", "", Backend!Y50)</f>
        <v/>
      </c>
      <c r="Y23" t="str">
        <f>IF(Backend!Z50="", "", Backend!Z50)</f>
        <v/>
      </c>
      <c r="Z23" t="str">
        <f>IF(Backend!AA50="", "", Backend!AA50)</f>
        <v/>
      </c>
      <c r="AA23" t="str">
        <f>IF(Backend!AB50="", "", Backend!AB50)</f>
        <v/>
      </c>
      <c r="AB23" t="str">
        <f>IF(Backend!AC50="", "", Backend!AC50)</f>
        <v/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/>
      </c>
      <c r="B24" t="str">
        <f>IF(Backend!C51="", "", Backend!C51)</f>
        <v/>
      </c>
      <c r="C24" t="str">
        <f>IF(Backend!D51="", "", Backend!D51)</f>
        <v/>
      </c>
      <c r="D24" t="str">
        <f>IF(Backend!E51="", "", Backend!E51)</f>
        <v/>
      </c>
      <c r="E24" t="str">
        <f>IF(Backend!F51="", "", Backend!F51)</f>
        <v/>
      </c>
      <c r="F24" t="str">
        <f>IF(Backend!G51="", "", Backend!G51)</f>
        <v/>
      </c>
      <c r="G24" t="str">
        <f>IF(Backend!H51="", "", Backend!H51)</f>
        <v/>
      </c>
      <c r="H24" t="str">
        <f>IF(Backend!I51="", "", Backend!I51)</f>
        <v/>
      </c>
      <c r="I24" t="str">
        <f>IF(Backend!J51="", "", Backend!J51)</f>
        <v/>
      </c>
      <c r="J24" t="str">
        <f>IF(Backend!K51="", "", Backend!K51)</f>
        <v/>
      </c>
      <c r="K24" t="str">
        <f>IF(Backend!L51="", "", Backend!L51)</f>
        <v/>
      </c>
      <c r="L24" t="str">
        <f>IF(Backend!M51="", "", Backend!M51)</f>
        <v/>
      </c>
      <c r="M24" t="str">
        <f>IF(Backend!N51="", "", Backend!N51)</f>
        <v/>
      </c>
      <c r="N24" t="str">
        <f>IF(Backend!O51="", "", Backend!O51)</f>
        <v/>
      </c>
      <c r="O24" t="str">
        <f>IF(Backend!P51="", "", Backend!P51)</f>
        <v/>
      </c>
      <c r="P24" t="str">
        <f>IF(Backend!Q51="", "", Backend!Q51)</f>
        <v/>
      </c>
      <c r="Q24" t="str">
        <f>IF(Backend!R51="", "", Backend!R51)</f>
        <v/>
      </c>
      <c r="R24" t="str">
        <f>IF(Backend!S51="", "", Backend!S51)</f>
        <v/>
      </c>
      <c r="S24" t="str">
        <f>IF(Backend!T51="", "", Backend!T51)</f>
        <v/>
      </c>
      <c r="T24" t="str">
        <f>IF(Backend!U51="", "", Backend!U51)</f>
        <v/>
      </c>
      <c r="U24" t="str">
        <f>IF(Backend!V51="", "", Backend!V51)</f>
        <v/>
      </c>
      <c r="V24" t="str">
        <f>IF(Backend!W51="", "", Backend!W51)</f>
        <v/>
      </c>
      <c r="W24" t="str">
        <f>IF(Backend!X51="", "", Backend!X51)</f>
        <v/>
      </c>
      <c r="X24" t="str">
        <f>IF(Backend!Y51="", "", Backend!Y51)</f>
        <v/>
      </c>
      <c r="Y24" t="str">
        <f>IF(Backend!Z51="", "", Backend!Z51)</f>
        <v/>
      </c>
      <c r="Z24" t="str">
        <f>IF(Backend!AA51="", "", Backend!AA51)</f>
        <v/>
      </c>
      <c r="AA24" t="str">
        <f>IF(Backend!AB51="", "", Backend!AB51)</f>
        <v/>
      </c>
      <c r="AB24" t="str">
        <f>IF(Backend!AC51="", "", Backend!AC51)</f>
        <v/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/>
      </c>
      <c r="B25" t="str">
        <f>IF(Backend!C52="", "", Backend!C52)</f>
        <v/>
      </c>
      <c r="C25" t="str">
        <f>IF(Backend!D52="", "", Backend!D52)</f>
        <v/>
      </c>
      <c r="D25" t="str">
        <f>IF(Backend!E52="", "", Backend!E52)</f>
        <v/>
      </c>
      <c r="E25" t="str">
        <f>IF(Backend!F52="", "", Backend!F52)</f>
        <v/>
      </c>
      <c r="F25" t="str">
        <f>IF(Backend!G52="", "", Backend!G52)</f>
        <v/>
      </c>
      <c r="G25" t="str">
        <f>IF(Backend!H52="", "", Backend!H52)</f>
        <v/>
      </c>
      <c r="H25" t="str">
        <f>IF(Backend!I52="", "", Backend!I52)</f>
        <v/>
      </c>
      <c r="I25" t="str">
        <f>IF(Backend!J52="", "", Backend!J52)</f>
        <v/>
      </c>
      <c r="J25" t="str">
        <f>IF(Backend!K52="", "", Backend!K52)</f>
        <v/>
      </c>
      <c r="K25" t="str">
        <f>IF(Backend!L52="", "", Backend!L52)</f>
        <v/>
      </c>
      <c r="L25" t="str">
        <f>IF(Backend!M52="", "", Backend!M52)</f>
        <v/>
      </c>
      <c r="M25" t="str">
        <f>IF(Backend!N52="", "", Backend!N52)</f>
        <v/>
      </c>
      <c r="N25" t="str">
        <f>IF(Backend!O52="", "", Backend!O52)</f>
        <v/>
      </c>
      <c r="O25" t="str">
        <f>IF(Backend!P52="", "", Backend!P52)</f>
        <v/>
      </c>
      <c r="P25" t="str">
        <f>IF(Backend!Q52="", "", Backend!Q52)</f>
        <v/>
      </c>
      <c r="Q25" t="str">
        <f>IF(Backend!R52="", "", Backend!R52)</f>
        <v/>
      </c>
      <c r="R25" t="str">
        <f>IF(Backend!S52="", "", Backend!S52)</f>
        <v/>
      </c>
      <c r="S25" t="str">
        <f>IF(Backend!T52="", "", Backend!T52)</f>
        <v/>
      </c>
      <c r="T25" t="str">
        <f>IF(Backend!U52="", "", Backend!U52)</f>
        <v/>
      </c>
      <c r="U25" t="str">
        <f>IF(Backend!V52="", "", Backend!V52)</f>
        <v/>
      </c>
      <c r="V25" t="str">
        <f>IF(Backend!W52="", "", Backend!W52)</f>
        <v/>
      </c>
      <c r="W25" t="str">
        <f>IF(Backend!X52="", "", Backend!X52)</f>
        <v/>
      </c>
      <c r="X25" t="str">
        <f>IF(Backend!Y52="", "", Backend!Y52)</f>
        <v/>
      </c>
      <c r="Y25" t="str">
        <f>IF(Backend!Z52="", "", Backend!Z52)</f>
        <v/>
      </c>
      <c r="Z25" t="str">
        <f>IF(Backend!AA52="", "", Backend!AA52)</f>
        <v/>
      </c>
      <c r="AA25" t="str">
        <f>IF(Backend!AB52="", "", Backend!AB52)</f>
        <v/>
      </c>
      <c r="AB25" t="str">
        <f>IF(Backend!AC52="", "", Backend!AC52)</f>
        <v/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/>
      </c>
      <c r="B26" t="str">
        <f>IF(Backend!C53="", "", Backend!C53)</f>
        <v/>
      </c>
      <c r="C26" t="str">
        <f>IF(Backend!D53="", "", Backend!D53)</f>
        <v/>
      </c>
      <c r="D26" t="str">
        <f>IF(Backend!E53="", "", Backend!E53)</f>
        <v/>
      </c>
      <c r="E26" t="str">
        <f>IF(Backend!F53="", "", Backend!F53)</f>
        <v/>
      </c>
      <c r="F26" t="str">
        <f>IF(Backend!G53="", "", Backend!G53)</f>
        <v/>
      </c>
      <c r="G26" t="str">
        <f>IF(Backend!H53="", "", Backend!H53)</f>
        <v/>
      </c>
      <c r="H26" t="str">
        <f>IF(Backend!I53="", "", Backend!I53)</f>
        <v/>
      </c>
      <c r="I26" t="str">
        <f>IF(Backend!J53="", "", Backend!J53)</f>
        <v/>
      </c>
      <c r="J26" t="str">
        <f>IF(Backend!K53="", "", Backend!K53)</f>
        <v/>
      </c>
      <c r="K26" t="str">
        <f>IF(Backend!L53="", "", Backend!L53)</f>
        <v/>
      </c>
      <c r="L26" t="str">
        <f>IF(Backend!M53="", "", Backend!M53)</f>
        <v/>
      </c>
      <c r="M26" t="str">
        <f>IF(Backend!N53="", "", Backend!N53)</f>
        <v/>
      </c>
      <c r="N26" t="str">
        <f>IF(Backend!O53="", "", Backend!O53)</f>
        <v/>
      </c>
      <c r="O26" t="str">
        <f>IF(Backend!P53="", "", Backend!P53)</f>
        <v/>
      </c>
      <c r="P26" t="str">
        <f>IF(Backend!Q53="", "", Backend!Q53)</f>
        <v/>
      </c>
      <c r="Q26" t="str">
        <f>IF(Backend!R53="", "", Backend!R53)</f>
        <v/>
      </c>
      <c r="R26" t="str">
        <f>IF(Backend!S53="", "", Backend!S53)</f>
        <v/>
      </c>
      <c r="S26" t="str">
        <f>IF(Backend!T53="", "", Backend!T53)</f>
        <v/>
      </c>
      <c r="T26" t="str">
        <f>IF(Backend!U53="", "", Backend!U53)</f>
        <v/>
      </c>
      <c r="U26" t="str">
        <f>IF(Backend!V53="", "", Backend!V53)</f>
        <v/>
      </c>
      <c r="V26" t="str">
        <f>IF(Backend!W53="", "", Backend!W53)</f>
        <v/>
      </c>
      <c r="W26" t="str">
        <f>IF(Backend!X53="", "", Backend!X53)</f>
        <v/>
      </c>
      <c r="X26" t="str">
        <f>IF(Backend!Y53="", "", Backend!Y53)</f>
        <v/>
      </c>
      <c r="Y26" t="str">
        <f>IF(Backend!Z53="", "", Backend!Z53)</f>
        <v/>
      </c>
      <c r="Z26" t="str">
        <f>IF(Backend!AA53="", "", Backend!AA53)</f>
        <v/>
      </c>
      <c r="AA26" t="str">
        <f>IF(Backend!AB53="", "", Backend!AB53)</f>
        <v/>
      </c>
      <c r="AB26" t="str">
        <f>IF(Backend!AC53="", "", Backend!AC53)</f>
        <v/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/>
      </c>
      <c r="B27" t="str">
        <f>IF(Backend!C54="", "", Backend!C54)</f>
        <v/>
      </c>
      <c r="C27" t="str">
        <f>IF(Backend!D54="", "", Backend!D54)</f>
        <v/>
      </c>
      <c r="D27" t="str">
        <f>IF(Backend!E54="", "", Backend!E54)</f>
        <v/>
      </c>
      <c r="E27" t="str">
        <f>IF(Backend!F54="", "", Backend!F54)</f>
        <v/>
      </c>
      <c r="F27" t="str">
        <f>IF(Backend!G54="", "", Backend!G54)</f>
        <v/>
      </c>
      <c r="G27" t="str">
        <f>IF(Backend!H54="", "", Backend!H54)</f>
        <v/>
      </c>
      <c r="H27" t="str">
        <f>IF(Backend!I54="", "", Backend!I54)</f>
        <v/>
      </c>
      <c r="I27" t="str">
        <f>IF(Backend!J54="", "", Backend!J54)</f>
        <v/>
      </c>
      <c r="J27" t="str">
        <f>IF(Backend!K54="", "", Backend!K54)</f>
        <v/>
      </c>
      <c r="K27" t="str">
        <f>IF(Backend!L54="", "", Backend!L54)</f>
        <v/>
      </c>
      <c r="L27" t="str">
        <f>IF(Backend!M54="", "", Backend!M54)</f>
        <v/>
      </c>
      <c r="M27" t="str">
        <f>IF(Backend!N54="", "", Backend!N54)</f>
        <v/>
      </c>
      <c r="N27" t="str">
        <f>IF(Backend!O54="", "", Backend!O54)</f>
        <v/>
      </c>
      <c r="O27" t="str">
        <f>IF(Backend!P54="", "", Backend!P54)</f>
        <v/>
      </c>
      <c r="P27" t="str">
        <f>IF(Backend!Q54="", "", Backend!Q54)</f>
        <v/>
      </c>
      <c r="Q27" t="str">
        <f>IF(Backend!R54="", "", Backend!R54)</f>
        <v/>
      </c>
      <c r="R27" t="str">
        <f>IF(Backend!S54="", "", Backend!S54)</f>
        <v/>
      </c>
      <c r="S27" t="str">
        <f>IF(Backend!T54="", "", Backend!T54)</f>
        <v/>
      </c>
      <c r="T27" t="str">
        <f>IF(Backend!U54="", "", Backend!U54)</f>
        <v/>
      </c>
      <c r="U27" t="str">
        <f>IF(Backend!V54="", "", Backend!V54)</f>
        <v/>
      </c>
      <c r="V27" t="str">
        <f>IF(Backend!W54="", "", Backend!W54)</f>
        <v/>
      </c>
      <c r="W27" t="str">
        <f>IF(Backend!X54="", "", Backend!X54)</f>
        <v/>
      </c>
      <c r="X27" t="str">
        <f>IF(Backend!Y54="", "", Backend!Y54)</f>
        <v/>
      </c>
      <c r="Y27" t="str">
        <f>IF(Backend!Z54="", "", Backend!Z54)</f>
        <v/>
      </c>
      <c r="Z27" t="str">
        <f>IF(Backend!AA54="", "", Backend!AA54)</f>
        <v/>
      </c>
      <c r="AA27" t="str">
        <f>IF(Backend!AB54="", "", Backend!AB54)</f>
        <v/>
      </c>
      <c r="AB27" t="str">
        <f>IF(Backend!AC54="", "", Backend!AC54)</f>
        <v/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/>
      </c>
      <c r="B28" t="str">
        <f>IF(Backend!C55="", "", Backend!C55)</f>
        <v/>
      </c>
      <c r="C28" t="str">
        <f>IF(Backend!D55="", "", Backend!D55)</f>
        <v/>
      </c>
      <c r="D28" t="str">
        <f>IF(Backend!E55="", "", Backend!E55)</f>
        <v/>
      </c>
      <c r="E28" t="str">
        <f>IF(Backend!F55="", "", Backend!F55)</f>
        <v/>
      </c>
      <c r="F28" t="str">
        <f>IF(Backend!G55="", "", Backend!G55)</f>
        <v/>
      </c>
      <c r="G28" t="str">
        <f>IF(Backend!H55="", "", Backend!H55)</f>
        <v/>
      </c>
      <c r="H28" t="str">
        <f>IF(Backend!I55="", "", Backend!I55)</f>
        <v/>
      </c>
      <c r="I28" t="str">
        <f>IF(Backend!J55="", "", Backend!J55)</f>
        <v/>
      </c>
      <c r="J28" t="str">
        <f>IF(Backend!K55="", "", Backend!K55)</f>
        <v/>
      </c>
      <c r="K28" t="str">
        <f>IF(Backend!L55="", "", Backend!L55)</f>
        <v/>
      </c>
      <c r="L28" t="str">
        <f>IF(Backend!M55="", "", Backend!M55)</f>
        <v/>
      </c>
      <c r="M28" t="str">
        <f>IF(Backend!N55="", "", Backend!N55)</f>
        <v/>
      </c>
      <c r="N28" t="str">
        <f>IF(Backend!O55="", "", Backend!O55)</f>
        <v/>
      </c>
      <c r="O28" t="str">
        <f>IF(Backend!P55="", "", Backend!P55)</f>
        <v/>
      </c>
      <c r="P28" t="str">
        <f>IF(Backend!Q55="", "", Backend!Q55)</f>
        <v/>
      </c>
      <c r="Q28" t="str">
        <f>IF(Backend!R55="", "", Backend!R55)</f>
        <v/>
      </c>
      <c r="R28" t="str">
        <f>IF(Backend!S55="", "", Backend!S55)</f>
        <v/>
      </c>
      <c r="S28" t="str">
        <f>IF(Backend!T55="", "", Backend!T55)</f>
        <v/>
      </c>
      <c r="T28" t="str">
        <f>IF(Backend!U55="", "", Backend!U55)</f>
        <v/>
      </c>
      <c r="U28" t="str">
        <f>IF(Backend!V55="", "", Backend!V55)</f>
        <v/>
      </c>
      <c r="V28" t="str">
        <f>IF(Backend!W55="", "", Backend!W55)</f>
        <v/>
      </c>
      <c r="W28" t="str">
        <f>IF(Backend!X55="", "", Backend!X55)</f>
        <v/>
      </c>
      <c r="X28" t="str">
        <f>IF(Backend!Y55="", "", Backend!Y55)</f>
        <v/>
      </c>
      <c r="Y28" t="str">
        <f>IF(Backend!Z55="", "", Backend!Z55)</f>
        <v/>
      </c>
      <c r="Z28" t="str">
        <f>IF(Backend!AA55="", "", Backend!AA55)</f>
        <v/>
      </c>
      <c r="AA28" t="str">
        <f>IF(Backend!AB55="", "", Backend!AB55)</f>
        <v/>
      </c>
      <c r="AB28" t="str">
        <f>IF(Backend!AC55="", "", Backend!AC55)</f>
        <v/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/>
      </c>
      <c r="B29" t="str">
        <f>IF(Backend!C56="", "", Backend!C56)</f>
        <v/>
      </c>
      <c r="C29" t="str">
        <f>IF(Backend!D56="", "", Backend!D56)</f>
        <v/>
      </c>
      <c r="D29" t="str">
        <f>IF(Backend!E56="", "", Backend!E56)</f>
        <v/>
      </c>
      <c r="E29" t="str">
        <f>IF(Backend!F56="", "", Backend!F56)</f>
        <v/>
      </c>
      <c r="F29" t="str">
        <f>IF(Backend!G56="", "", Backend!G56)</f>
        <v/>
      </c>
      <c r="G29" t="str">
        <f>IF(Backend!H56="", "", Backend!H56)</f>
        <v/>
      </c>
      <c r="H29" t="str">
        <f>IF(Backend!I56="", "", Backend!I56)</f>
        <v/>
      </c>
      <c r="I29" t="str">
        <f>IF(Backend!J56="", "", Backend!J56)</f>
        <v/>
      </c>
      <c r="J29" t="str">
        <f>IF(Backend!K56="", "", Backend!K56)</f>
        <v/>
      </c>
      <c r="K29" t="str">
        <f>IF(Backend!L56="", "", Backend!L56)</f>
        <v/>
      </c>
      <c r="L29" t="str">
        <f>IF(Backend!M56="", "", Backend!M56)</f>
        <v/>
      </c>
      <c r="M29" t="str">
        <f>IF(Backend!N56="", "", Backend!N56)</f>
        <v/>
      </c>
      <c r="N29" t="str">
        <f>IF(Backend!O56="", "", Backend!O56)</f>
        <v/>
      </c>
      <c r="O29" t="str">
        <f>IF(Backend!P56="", "", Backend!P56)</f>
        <v/>
      </c>
      <c r="P29" t="str">
        <f>IF(Backend!Q56="", "", Backend!Q56)</f>
        <v/>
      </c>
      <c r="Q29" t="str">
        <f>IF(Backend!R56="", "", Backend!R56)</f>
        <v/>
      </c>
      <c r="R29" t="str">
        <f>IF(Backend!S56="", "", Backend!S56)</f>
        <v/>
      </c>
      <c r="S29" t="str">
        <f>IF(Backend!T56="", "", Backend!T56)</f>
        <v/>
      </c>
      <c r="T29" t="str">
        <f>IF(Backend!U56="", "", Backend!U56)</f>
        <v/>
      </c>
      <c r="U29" t="str">
        <f>IF(Backend!V56="", "", Backend!V56)</f>
        <v/>
      </c>
      <c r="V29" t="str">
        <f>IF(Backend!W56="", "", Backend!W56)</f>
        <v/>
      </c>
      <c r="W29" t="str">
        <f>IF(Backend!X56="", "", Backend!X56)</f>
        <v/>
      </c>
      <c r="X29" t="str">
        <f>IF(Backend!Y56="", "", Backend!Y56)</f>
        <v/>
      </c>
      <c r="Y29" t="str">
        <f>IF(Backend!Z56="", "", Backend!Z56)</f>
        <v/>
      </c>
      <c r="Z29" t="str">
        <f>IF(Backend!AA56="", "", Backend!AA56)</f>
        <v/>
      </c>
      <c r="AA29" t="str">
        <f>IF(Backend!AB56="", "", Backend!AB56)</f>
        <v/>
      </c>
      <c r="AB29" t="str">
        <f>IF(Backend!AC56="", "", Backend!AC56)</f>
        <v/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/>
      </c>
      <c r="B30" t="str">
        <f>IF(Backend!C57="", "", Backend!C57)</f>
        <v/>
      </c>
      <c r="C30" t="str">
        <f>IF(Backend!D57="", "", Backend!D57)</f>
        <v/>
      </c>
      <c r="D30" t="str">
        <f>IF(Backend!E57="", "", Backend!E57)</f>
        <v/>
      </c>
      <c r="E30" t="str">
        <f>IF(Backend!F57="", "", Backend!F57)</f>
        <v/>
      </c>
      <c r="F30" t="str">
        <f>IF(Backend!G57="", "", Backend!G57)</f>
        <v/>
      </c>
      <c r="G30" t="str">
        <f>IF(Backend!H57="", "", Backend!H57)</f>
        <v/>
      </c>
      <c r="H30" t="str">
        <f>IF(Backend!I57="", "", Backend!I57)</f>
        <v/>
      </c>
      <c r="I30" t="str">
        <f>IF(Backend!J57="", "", Backend!J57)</f>
        <v/>
      </c>
      <c r="J30" t="str">
        <f>IF(Backend!K57="", "", Backend!K57)</f>
        <v/>
      </c>
      <c r="K30" t="str">
        <f>IF(Backend!L57="", "", Backend!L57)</f>
        <v/>
      </c>
      <c r="L30" t="str">
        <f>IF(Backend!M57="", "", Backend!M57)</f>
        <v/>
      </c>
      <c r="M30" t="str">
        <f>IF(Backend!N57="", "", Backend!N57)</f>
        <v/>
      </c>
      <c r="N30" t="str">
        <f>IF(Backend!O57="", "", Backend!O57)</f>
        <v/>
      </c>
      <c r="O30" t="str">
        <f>IF(Backend!P57="", "", Backend!P57)</f>
        <v/>
      </c>
      <c r="P30" t="str">
        <f>IF(Backend!Q57="", "", Backend!Q57)</f>
        <v/>
      </c>
      <c r="Q30" t="str">
        <f>IF(Backend!R57="", "", Backend!R57)</f>
        <v/>
      </c>
      <c r="R30" t="str">
        <f>IF(Backend!S57="", "", Backend!S57)</f>
        <v/>
      </c>
      <c r="S30" t="str">
        <f>IF(Backend!T57="", "", Backend!T57)</f>
        <v/>
      </c>
      <c r="T30" t="str">
        <f>IF(Backend!U57="", "", Backend!U57)</f>
        <v/>
      </c>
      <c r="U30" t="str">
        <f>IF(Backend!V57="", "", Backend!V57)</f>
        <v/>
      </c>
      <c r="V30" t="str">
        <f>IF(Backend!W57="", "", Backend!W57)</f>
        <v/>
      </c>
      <c r="W30" t="str">
        <f>IF(Backend!X57="", "", Backend!X57)</f>
        <v/>
      </c>
      <c r="X30" t="str">
        <f>IF(Backend!Y57="", "", Backend!Y57)</f>
        <v/>
      </c>
      <c r="Y30" t="str">
        <f>IF(Backend!Z57="", "", Backend!Z57)</f>
        <v/>
      </c>
      <c r="Z30" t="str">
        <f>IF(Backend!AA57="", "", Backend!AA57)</f>
        <v/>
      </c>
      <c r="AA30" t="str">
        <f>IF(Backend!AB57="", "", Backend!AB57)</f>
        <v/>
      </c>
      <c r="AB30" t="str">
        <f>IF(Backend!AC57="", "", Backend!AC57)</f>
        <v/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/>
      </c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/>
      </c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/>
      </c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/>
      </c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/>
      </c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workbookViewId="0">
      <selection activeCell="J25" sqref="J25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4</v>
      </c>
    </row>
    <row r="4" spans="2:13" x14ac:dyDescent="0.25">
      <c r="B4" t="s">
        <v>0</v>
      </c>
    </row>
    <row r="5" spans="2:13" x14ac:dyDescent="0.25">
      <c r="C5" s="8" t="s">
        <v>21</v>
      </c>
      <c r="D5" t="str" cm="1">
        <f t="array" ref="D5">_xll.FDSC("-",C5,"PROPER_NAME")</f>
        <v>Microsoft Corporation</v>
      </c>
      <c r="E5" s="8"/>
      <c r="G5" s="8"/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3" x14ac:dyDescent="0.25">
      <c r="C6" s="8" t="s">
        <v>12</v>
      </c>
      <c r="D6" t="str" cm="1">
        <f t="array" ref="D6">_xll.FDSC("-",C6,"PROPER_NAME")</f>
        <v>London Stock Exchange Group plc</v>
      </c>
      <c r="E6" s="8"/>
      <c r="G6" s="8"/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3" x14ac:dyDescent="0.25">
      <c r="C7" s="8" t="s">
        <v>22</v>
      </c>
      <c r="D7" t="str" cm="1">
        <f t="array" ref="D7">_xll.FDSC("-",C7,"PROPER_NAME")</f>
        <v>Visa Inc. Class A</v>
      </c>
      <c r="E7" s="8"/>
      <c r="G7" s="8"/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3" x14ac:dyDescent="0.25">
      <c r="C8" s="8" t="s">
        <v>13</v>
      </c>
      <c r="D8" t="str" cm="1">
        <f t="array" ref="D8">_xll.FDSC("-",C8,"PROPER_NAME")</f>
        <v>Deutsche Boerse AG</v>
      </c>
      <c r="E8" s="8"/>
      <c r="G8" s="8"/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</row>
    <row r="9" spans="2:13" x14ac:dyDescent="0.25">
      <c r="C9" s="8" t="s">
        <v>16</v>
      </c>
      <c r="D9" t="str" cm="1">
        <f t="array" ref="D9">_xll.FDSC("-",C9,"PROPER_NAME")</f>
        <v>Alphabet Inc. Class C</v>
      </c>
      <c r="E9" s="8"/>
      <c r="G9" s="8"/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</row>
    <row r="10" spans="2:13" x14ac:dyDescent="0.25">
      <c r="C10" s="8" t="s">
        <v>19</v>
      </c>
      <c r="D10" t="str" cm="1">
        <f t="array" ref="D10">_xll.FDSC("-",C10,"PROPER_NAME")</f>
        <v>Intuit Inc.</v>
      </c>
      <c r="E10" s="8"/>
      <c r="G10" s="8"/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</row>
    <row r="11" spans="2:13" x14ac:dyDescent="0.25">
      <c r="C11" s="8" t="s">
        <v>15</v>
      </c>
      <c r="D11" t="str" cm="1">
        <f t="array" ref="D11">_xll.FDSC("-",C11,"PROPER_NAME")</f>
        <v>CTS Eventim AG &amp; Co. KGaA</v>
      </c>
      <c r="E11" s="8"/>
      <c r="G11" s="8"/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</row>
    <row r="12" spans="2:13" x14ac:dyDescent="0.25">
      <c r="C12" s="8" t="s">
        <v>20</v>
      </c>
      <c r="D12" t="str" cm="1">
        <f t="array" ref="D12">_xll.FDSC("-",C12,"PROPER_NAME")</f>
        <v>Melrose Industries PLC</v>
      </c>
      <c r="E12" s="8"/>
      <c r="G12" s="8"/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</row>
    <row r="13" spans="2:13" x14ac:dyDescent="0.25">
      <c r="C13" s="8" t="s">
        <v>14</v>
      </c>
      <c r="D13" t="str" cm="1">
        <f t="array" ref="D13">_xll.FDSC("-",C13,"PROPER_NAME")</f>
        <v>Safran SA</v>
      </c>
      <c r="E13" s="8"/>
      <c r="G13" s="8"/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</row>
    <row r="14" spans="2:13" x14ac:dyDescent="0.25">
      <c r="C14" s="8" t="s">
        <v>17</v>
      </c>
      <c r="D14" t="str" cm="1">
        <f t="array" ref="D14">_xll.FDSC("-",C14,"PROPER_NAME")</f>
        <v>Autodesk, Inc.</v>
      </c>
      <c r="E14" s="8"/>
      <c r="G14" s="8"/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</row>
    <row r="15" spans="2:13" x14ac:dyDescent="0.25">
      <c r="C15" s="8" t="s">
        <v>18</v>
      </c>
      <c r="D15" t="str" cm="1">
        <f t="array" ref="D15">_xll.FDSC("-",C15,"PROPER_NAME")</f>
        <v>GE Aerospace</v>
      </c>
      <c r="E15" s="8"/>
      <c r="G15" s="8"/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</row>
    <row r="16" spans="2:13" x14ac:dyDescent="0.25">
      <c r="C16" s="13"/>
      <c r="E16" s="8"/>
      <c r="G16" s="8"/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</row>
    <row r="17" spans="1:77" x14ac:dyDescent="0.25">
      <c r="C17" s="14"/>
      <c r="E17" s="8"/>
      <c r="G17" s="8"/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</row>
    <row r="18" spans="1:77" x14ac:dyDescent="0.25">
      <c r="C18" s="13"/>
      <c r="E18" s="8"/>
      <c r="G18" s="8"/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</row>
    <row r="19" spans="1:77" x14ac:dyDescent="0.25">
      <c r="C19" s="8"/>
      <c r="E19" s="8"/>
      <c r="G19" s="8"/>
      <c r="I19" s="8"/>
      <c r="J19" t="str" cm="1">
        <f t="array" ref="J19">_xll.FDSC("-",I19,"PROPER_NAME")</f>
        <v>-</v>
      </c>
    </row>
    <row r="20" spans="1:77" x14ac:dyDescent="0.25">
      <c r="C20" s="8"/>
      <c r="D20" t="str" cm="1">
        <f t="array" ref="D20">_xll.FDSC("-",C20,"PROPER_NAME")</f>
        <v>-</v>
      </c>
      <c r="E20" s="13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Microsoft Corporation</v>
      </c>
      <c r="D29" t="str" cm="1">
        <f t="array" ref="D29">_xll.FDS(D30,"FG_COMPANY_NAME")</f>
        <v>London Stock Exchange Group plc</v>
      </c>
      <c r="E29" t="str" cm="1">
        <f t="array" ref="E29">_xll.FDS(E30,"FG_COMPANY_NAME")</f>
        <v>Visa Inc. Class A</v>
      </c>
      <c r="F29" t="str" cm="1">
        <f t="array" ref="F29">_xll.FDS(F30,"FG_COMPANY_NAME")</f>
        <v>Deutsche Boerse AG</v>
      </c>
      <c r="G29" t="str" cm="1">
        <f t="array" ref="G29">_xll.FDS(G30,"FG_COMPANY_NAME")</f>
        <v>Alphabet Inc. Class C</v>
      </c>
      <c r="H29" t="str" cm="1">
        <f t="array" ref="H29">_xll.FDS(H30,"FG_COMPANY_NAME")</f>
        <v>Intuit Inc.</v>
      </c>
      <c r="I29" t="str" cm="1">
        <f t="array" ref="I29">_xll.FDS(I30,"FG_COMPANY_NAME")</f>
        <v>CTS Eventim AG &amp; Co. KGaA</v>
      </c>
      <c r="J29" t="str" cm="1">
        <f t="array" ref="J29">_xll.FDS(J30,"FG_COMPANY_NAME")</f>
        <v>Melrose Industries PLC</v>
      </c>
      <c r="K29" t="str" cm="1">
        <f t="array" ref="K29">_xll.FDS(K30,"FG_COMPANY_NAME")</f>
        <v>Safran SA</v>
      </c>
      <c r="L29" t="str" cm="1">
        <f t="array" ref="L29">_xll.FDS(L30,"FG_COMPANY_NAME")</f>
        <v>Autodesk, Inc.</v>
      </c>
      <c r="M29" t="str" cm="1">
        <f t="array" ref="M29">_xll.FDS(M30,"FG_COMPANY_NAME")</f>
        <v>GE Aerospace</v>
      </c>
    </row>
    <row r="30" spans="1:77" ht="15" customHeight="1" x14ac:dyDescent="0.25">
      <c r="C30" s="3" t="str" cm="1">
        <f t="array" ref="C30:M30">_xll.FDSR(V27,"IDS")</f>
        <v>MSFT-US</v>
      </c>
      <c r="D30" s="6" t="str">
        <v>LSEG-GB</v>
      </c>
      <c r="E30" s="6" t="str">
        <v>V-US</v>
      </c>
      <c r="F30" s="6" t="str">
        <v>DB1-DE</v>
      </c>
      <c r="G30" s="6" t="str">
        <v>GOOG-US</v>
      </c>
      <c r="H30" s="6" t="str">
        <v>INTU-US</v>
      </c>
      <c r="I30" s="6" t="str">
        <v>EVD-DE</v>
      </c>
      <c r="J30" s="6" t="str">
        <v>MRO-GB</v>
      </c>
      <c r="K30" s="6" t="str">
        <v>SAF-FR</v>
      </c>
      <c r="L30" s="6" t="str">
        <v>ADSK-US</v>
      </c>
      <c r="M30" s="6" t="str">
        <v>GE-US</v>
      </c>
      <c r="N30" s="6"/>
      <c r="O30" s="6"/>
      <c r="P30" s="6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Microsoft Corporation</v>
      </c>
      <c r="B31" s="4" t="str" cm="1">
        <f t="array" ref="B31:B41">_xll.FDSB(V23,"IDS")</f>
        <v>MSFT-US</v>
      </c>
      <c r="C31" s="2" cm="1">
        <f t="array" ref="C31:M41">_xll.FDSB("DUMMY","CORREL_MATRIX(CORRELMATRIX)")</f>
        <v>1</v>
      </c>
      <c r="D31" s="2">
        <v>-0.63645244000000001</v>
      </c>
      <c r="E31" s="2">
        <v>0.36764229999999998</v>
      </c>
      <c r="F31" s="2">
        <v>0.16902006999999999</v>
      </c>
      <c r="G31" s="2">
        <v>0.70593475999999999</v>
      </c>
      <c r="H31" s="2">
        <v>0.71838592999999995</v>
      </c>
      <c r="I31" s="2">
        <v>3.8621889999999999E-2</v>
      </c>
      <c r="J31" s="2">
        <v>0.61157507</v>
      </c>
      <c r="K31" s="2">
        <v>0.83577290000000004</v>
      </c>
      <c r="L31" s="2">
        <v>0.65931720000000005</v>
      </c>
      <c r="M31" s="2">
        <v>0.87168650000000003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London Stock Exchange Group plc</v>
      </c>
      <c r="B32" s="4" t="str">
        <v>LSEG-GB</v>
      </c>
      <c r="C32" s="2">
        <v>-0.63645244000000001</v>
      </c>
      <c r="D32" s="2">
        <v>1</v>
      </c>
      <c r="E32" s="2">
        <v>5.400079E-2</v>
      </c>
      <c r="F32" s="2">
        <v>0.25646022000000002</v>
      </c>
      <c r="G32" s="2">
        <v>-0.83801097000000002</v>
      </c>
      <c r="H32" s="2">
        <v>-0.13910365</v>
      </c>
      <c r="I32" s="2">
        <v>0.44181794000000002</v>
      </c>
      <c r="J32" s="2">
        <v>-0.65768813999999998</v>
      </c>
      <c r="K32" s="2">
        <v>-0.59283010000000003</v>
      </c>
      <c r="L32" s="2">
        <v>-0.46417062999999997</v>
      </c>
      <c r="M32" s="2">
        <v>-0.67086864000000002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Visa Inc. Class A</v>
      </c>
      <c r="B33" s="4" t="str">
        <v>V-US</v>
      </c>
      <c r="C33" s="2">
        <v>0.36764229999999998</v>
      </c>
      <c r="D33" s="2">
        <v>5.400079E-2</v>
      </c>
      <c r="E33" s="2">
        <v>1</v>
      </c>
      <c r="F33" s="2">
        <v>0.71381145999999995</v>
      </c>
      <c r="G33" s="2">
        <v>8.8617705000000005E-2</v>
      </c>
      <c r="H33" s="2">
        <v>0.37592851999999999</v>
      </c>
      <c r="I33" s="2">
        <v>0.64860236999999998</v>
      </c>
      <c r="J33" s="2">
        <v>0.19845256</v>
      </c>
      <c r="K33" s="2">
        <v>0.63288979999999995</v>
      </c>
      <c r="L33" s="2">
        <v>7.1038019999999993E-2</v>
      </c>
      <c r="M33" s="2">
        <v>0.59600719999999996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Deutsche Boerse AG</v>
      </c>
      <c r="B34" s="4" t="str">
        <v>DB1-DE</v>
      </c>
      <c r="C34" s="2">
        <v>0.16902006999999999</v>
      </c>
      <c r="D34" s="2">
        <v>0.25646022000000002</v>
      </c>
      <c r="E34" s="2">
        <v>0.71381145999999995</v>
      </c>
      <c r="F34" s="2">
        <v>1</v>
      </c>
      <c r="G34" s="2">
        <v>-0.30104807</v>
      </c>
      <c r="H34" s="2">
        <v>0.39122965999999998</v>
      </c>
      <c r="I34" s="2">
        <v>0.85228970000000004</v>
      </c>
      <c r="J34" s="2">
        <v>-0.277306</v>
      </c>
      <c r="K34" s="2">
        <v>0.49742395</v>
      </c>
      <c r="L34" s="2">
        <v>-0.31023036999999998</v>
      </c>
      <c r="M34" s="2">
        <v>0.36385792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Alphabet Inc. Class C</v>
      </c>
      <c r="B35" s="4" t="str">
        <v>GOOG-US</v>
      </c>
      <c r="C35" s="2">
        <v>0.70593475999999999</v>
      </c>
      <c r="D35" s="2">
        <v>-0.83801097000000002</v>
      </c>
      <c r="E35" s="2">
        <v>8.8617705000000005E-2</v>
      </c>
      <c r="F35" s="2">
        <v>-0.30104807</v>
      </c>
      <c r="G35" s="2">
        <v>1</v>
      </c>
      <c r="H35" s="2">
        <v>0.13442287</v>
      </c>
      <c r="I35" s="2">
        <v>-0.46180964000000002</v>
      </c>
      <c r="J35" s="2">
        <v>0.78398270000000003</v>
      </c>
      <c r="K35" s="2">
        <v>0.60978410000000005</v>
      </c>
      <c r="L35" s="2">
        <v>0.63307270000000004</v>
      </c>
      <c r="M35" s="2">
        <v>0.71409979999999995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Intuit Inc.</v>
      </c>
      <c r="B36" s="4" t="str">
        <v>INTU-US</v>
      </c>
      <c r="C36" s="2">
        <v>0.71838592999999995</v>
      </c>
      <c r="D36" s="2">
        <v>-0.13910365</v>
      </c>
      <c r="E36" s="2">
        <v>0.37592851999999999</v>
      </c>
      <c r="F36" s="2">
        <v>0.39122965999999998</v>
      </c>
      <c r="G36" s="2">
        <v>0.13442287</v>
      </c>
      <c r="H36" s="2">
        <v>1</v>
      </c>
      <c r="I36" s="2">
        <v>0.41168347</v>
      </c>
      <c r="J36" s="2">
        <v>9.9891506000000005E-2</v>
      </c>
      <c r="K36" s="2">
        <v>0.55562109999999998</v>
      </c>
      <c r="L36" s="2">
        <v>0.44841852999999998</v>
      </c>
      <c r="M36" s="2">
        <v>0.54580205999999998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CTS Eventim AG &amp; Co. KGaA</v>
      </c>
      <c r="B37" s="4" t="str">
        <v>EVD-DE</v>
      </c>
      <c r="C37" s="2">
        <v>3.8621889999999999E-2</v>
      </c>
      <c r="D37" s="2">
        <v>0.44181794000000002</v>
      </c>
      <c r="E37" s="2">
        <v>0.64860236999999998</v>
      </c>
      <c r="F37" s="2">
        <v>0.85228970000000004</v>
      </c>
      <c r="G37" s="2">
        <v>-0.46180964000000002</v>
      </c>
      <c r="H37" s="2">
        <v>0.41168347</v>
      </c>
      <c r="I37" s="2">
        <v>1</v>
      </c>
      <c r="J37" s="2">
        <v>-0.33592509999999998</v>
      </c>
      <c r="K37" s="2">
        <v>0.30352790000000002</v>
      </c>
      <c r="L37" s="2">
        <v>-0.28101522000000001</v>
      </c>
      <c r="M37" s="2">
        <v>0.17796366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Melrose Industries PLC</v>
      </c>
      <c r="B38" s="4" t="str">
        <v>MRO-GB</v>
      </c>
      <c r="C38" s="2">
        <v>0.61157507</v>
      </c>
      <c r="D38" s="2">
        <v>-0.65768813999999998</v>
      </c>
      <c r="E38" s="2">
        <v>0.19845256</v>
      </c>
      <c r="F38" s="2">
        <v>-0.277306</v>
      </c>
      <c r="G38" s="2">
        <v>0.78398270000000003</v>
      </c>
      <c r="H38" s="2">
        <v>9.9891506000000005E-2</v>
      </c>
      <c r="I38" s="2">
        <v>-0.33592509999999998</v>
      </c>
      <c r="J38" s="2">
        <v>1</v>
      </c>
      <c r="K38" s="2">
        <v>0.55333810000000005</v>
      </c>
      <c r="L38" s="2">
        <v>0.58185739999999997</v>
      </c>
      <c r="M38" s="2">
        <v>0.60810684999999998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Safran SA</v>
      </c>
      <c r="B39" s="4" t="str">
        <v>SAF-FR</v>
      </c>
      <c r="C39" s="2">
        <v>0.83577290000000004</v>
      </c>
      <c r="D39" s="2">
        <v>-0.59283010000000003</v>
      </c>
      <c r="E39" s="2">
        <v>0.63288979999999995</v>
      </c>
      <c r="F39" s="2">
        <v>0.49742395</v>
      </c>
      <c r="G39" s="2">
        <v>0.60978410000000005</v>
      </c>
      <c r="H39" s="2">
        <v>0.55562109999999998</v>
      </c>
      <c r="I39" s="2">
        <v>0.30352790000000002</v>
      </c>
      <c r="J39" s="2">
        <v>0.55333810000000005</v>
      </c>
      <c r="K39" s="2">
        <v>1</v>
      </c>
      <c r="L39" s="2">
        <v>0.346362</v>
      </c>
      <c r="M39" s="2">
        <v>0.97434679999999996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Autodesk, Inc.</v>
      </c>
      <c r="B40" s="4" t="str">
        <v>ADSK-US</v>
      </c>
      <c r="C40" s="2">
        <v>0.65931720000000005</v>
      </c>
      <c r="D40" s="2">
        <v>-0.46417062999999997</v>
      </c>
      <c r="E40" s="2">
        <v>7.1038019999999993E-2</v>
      </c>
      <c r="F40" s="2">
        <v>-0.31023036999999998</v>
      </c>
      <c r="G40" s="2">
        <v>0.63307270000000004</v>
      </c>
      <c r="H40" s="2">
        <v>0.44841852999999998</v>
      </c>
      <c r="I40" s="2">
        <v>-0.28101522000000001</v>
      </c>
      <c r="J40" s="2">
        <v>0.58185739999999997</v>
      </c>
      <c r="K40" s="2">
        <v>0.346362</v>
      </c>
      <c r="L40" s="2">
        <v>1</v>
      </c>
      <c r="M40" s="2">
        <v>0.46679609999999999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GE Aerospace</v>
      </c>
      <c r="B41" s="4" t="str">
        <v>GE-US</v>
      </c>
      <c r="C41" s="2">
        <v>0.87168650000000003</v>
      </c>
      <c r="D41" s="2">
        <v>-0.67086864000000002</v>
      </c>
      <c r="E41" s="2">
        <v>0.59600719999999996</v>
      </c>
      <c r="F41" s="2">
        <v>0.36385792</v>
      </c>
      <c r="G41" s="2">
        <v>0.71409979999999995</v>
      </c>
      <c r="H41" s="2">
        <v>0.54580205999999998</v>
      </c>
      <c r="I41" s="2">
        <v>0.17796366</v>
      </c>
      <c r="J41" s="2">
        <v>0.60810684999999998</v>
      </c>
      <c r="K41" s="2">
        <v>0.97434679999999996</v>
      </c>
      <c r="L41" s="2">
        <v>0.46679609999999999</v>
      </c>
      <c r="M41" s="2">
        <v>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2:77" x14ac:dyDescent="0.25"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2:77" x14ac:dyDescent="0.25"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2:77" x14ac:dyDescent="0.25"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2:77" x14ac:dyDescent="0.25"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2:77" x14ac:dyDescent="0.25"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2:77" x14ac:dyDescent="0.25"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2:77" x14ac:dyDescent="0.25"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2:77" x14ac:dyDescent="0.25"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2:77" x14ac:dyDescent="0.25"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2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2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2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2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2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2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2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7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8</v>
      </c>
      <c r="H7" s="10">
        <f>Backend!C32</f>
        <v>-0.63645244000000001</v>
      </c>
    </row>
    <row r="8" spans="1:8" x14ac:dyDescent="0.25">
      <c r="B8" s="5">
        <v>45656</v>
      </c>
      <c r="C8">
        <v>591.24</v>
      </c>
      <c r="D8">
        <v>221.3</v>
      </c>
      <c r="G8" t="s">
        <v>9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10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161092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GE-US^PROPER_NAME":"GE Aerospace","ADSK-US^PROPER_NAME":"Autodesk, Inc.","SAF-FR^PROPER_NAME":"Safran SA","MRO-GB^PROPER_NAME":"Melrose Industries PLC","EVD-DE^PROPER_NAME":"CTS Eventim AG & Co. KGaA","INTU-US^PROPER_NAME":"Intuit Inc.","GOOG-US^PROPER_NAME":"Alphabet Inc. Class C","DB1-DE^PROPER_NAME":"Deutsche Boerse AG","V-US^PROPER_NAME":"Visa Inc. Class A","LSEG-GB^PROPER_NAME":"London Stock Exchange Group plc","MSFT-US^PROPER_NAME":"Microsoft Corporation","DUMMY^CORREL_MATRIX(CORRELMATRIX)":[[1.0,-0.63645244,0.3676423,0.16902007,0.70593476,0.71838593,0.03862189,0.61157507,0.8357729,0.6593172,0.8716865],[-0.63645244,1.0,0.05400079,0.25646022,-0.83801097,-0.13910365,0.44181794,-0.65768814,-0.5928301,-0.46417063,-0.67086864],[0.3676423,0.05400079,1.0,0.71381146,0.088617705,0.37592852,0.64860237,0.19845256,0.6328898,0.07103802,0.5960072],[0.16902007,0.25646022,0.71381146,1.0,-0.30104807,0.39122966,0.8522897,-0.277306,0.49742395,-0.31023037,0.36385792],[0.70593476,-0.83801097,0.088617705,-0.30104807,1.0,0.13442287,-0.46180964,0.7839827,0.6097841,0.6330727,0.7140998],[0.71838593,-0.13910365,0.37592852,0.39122966,0.13442287,1.0,0.41168347,0.099891506,0.5556211,0.44841853,0.54580206],[0.03862189,0.44181794,0.64860237,0.8522897,-0.46180964,0.41168347,1.0,-0.3359251,0.3035279,-0.28101522,0.17796366],[0.61157507,-0.65768814,0.19845256,-0.277306,0.7839827,0.099891506,-0.3359251,1.0,0.5533381,0.5818574,0.60810685],[0.8357729,-0.5928301,0.6328898,0.49742395,0.6097841,0.5556211,0.3035279,0.5533381,1.0,0.346362,0.9743468],[0.6593172,-0.46417063,0.07103802,-0.31023037,0.6330727,0.44841853,-0.28101522,0.5818574,0.346362,1.0,0.4667961],[0.8716865,-0.67086864,0.5960072,0.36385792,0.7140998,0.54580206,0.17796366,0.60810685,0.9743468,0.4667961,1.0]],"^IDS":["MSFT-US","LSEG-GB","V-US","DB1-DE","GOOG-US","INTU-US","EVD-DE","MRO-GB","SAF-FR","ADSK-US","GE-US"],"DUMMY^FLOAT_ARRAY CORRELMATRIX=GET_FQL_ARRAY(IDS,'FG_PRICE(45961,45961-1AY,D,USD)');'FDS CODE - DO NOT DELETE'":"FDS CODE - DO NOT DELETE","DUMMY^STRING_ARRAY IDS=TICKER_LIST('MSFT-US LSEG-GB V-US DB1-DE GOOG-US INTU-US EVD-DE MRO-GB SAF-FR ADSK-US GE-US');\"FDS CODE - DO NOT DELETE\"":"FDS CODE - DO NOT DELETE","DUMMY^PROPER(\"CORRELATION OF DAILY DATA BETWEEN \") + FG_DATE(45961-1AY) + LOWERCASE(\" AND \") + FG_DATE(45961) + LOWERCASE(\":\")":"Correlation Of Daily Data Between 10/31/2024 and 10/31/2025:","MSFT-US^FG_COMPANY_NAME":"Microsoft Corporation","LSEG-GB^FG_COMPANY_NAME":"London Stock Exchange Group plc","V-US^FG_COMPANY_NAME":"Visa Inc. Class A","DB1-DE^FG_COMPANY_NAME":"Deutsche Boerse AG","GOOG-US^FG_COMPANY_NAME":"Alphabet Inc. Class C","INTU-US^FG_COMPANY_NAME":"Intuit Inc.","EVD-DE^FG_COMPANY_NAME":"CTS Eventim AG & Co. KGaA","MRO-GB^FG_COMPANY_NAME":"Melrose Industries PLC","SAF-FR^FG_COMPANY_NAME":"Safran SA","ADSK-US^FG_COMPANY_NAME":"Autodesk, Inc.","GE-US^FG_COMPANY_NAME":"GE Aerospace"}]]></FdsFormulaCache>
</file>

<file path=customXml/itemProps1.xml><?xml version="1.0" encoding="utf-8"?>
<ds:datastoreItem xmlns:ds="http://schemas.openxmlformats.org/officeDocument/2006/customXml" ds:itemID="{D3E9A70D-F47B-41E7-9BD3-2D0F1BA4DD2D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fpuser</cp:lastModifiedBy>
  <dcterms:created xsi:type="dcterms:W3CDTF">2017-11-20T14:02:05Z</dcterms:created>
  <dcterms:modified xsi:type="dcterms:W3CDTF">2025-11-26T12:44:52Z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