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puser\Downloads\"/>
    </mc:Choice>
  </mc:AlternateContent>
  <xr:revisionPtr revIDLastSave="0" documentId="13_ncr:1_{F4B73481-779E-44A8-AC84-BA36EF58E9C6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9" i="1" l="1" a="1"/>
  <c r="AC29" i="1" s="1"/>
  <c r="AB29" i="1" a="1"/>
  <c r="AB29" i="1" s="1"/>
  <c r="AA29" i="1" a="1"/>
  <c r="AA29" i="1" s="1"/>
  <c r="Z29" i="1" a="1"/>
  <c r="Z29" i="1" s="1"/>
  <c r="Y29" i="1" a="1"/>
  <c r="Y29" i="1" s="1"/>
  <c r="X29" i="1" a="1"/>
  <c r="X29" i="1" s="1"/>
  <c r="W29" i="1" a="1"/>
  <c r="W29" i="1" s="1"/>
  <c r="V29" i="1" a="1"/>
  <c r="V29" i="1" s="1"/>
  <c r="U29" i="1" a="1"/>
  <c r="U29" i="1" s="1"/>
  <c r="T29" i="1" a="1"/>
  <c r="T29" i="1" s="1"/>
  <c r="S29" i="1" a="1"/>
  <c r="S29" i="1" s="1"/>
  <c r="R29" i="1" a="1"/>
  <c r="R29" i="1" s="1"/>
  <c r="Q29" i="1" a="1"/>
  <c r="Q29" i="1" s="1"/>
  <c r="P29" i="1" a="1"/>
  <c r="P29" i="1" s="1"/>
  <c r="O29" i="1" a="1"/>
  <c r="O29" i="1" s="1"/>
  <c r="N29" i="1" a="1"/>
  <c r="N29" i="1" s="1"/>
  <c r="M29" i="1" a="1"/>
  <c r="M29" i="1" s="1"/>
  <c r="L29" i="1" a="1"/>
  <c r="L29" i="1" s="1"/>
  <c r="K29" i="1" a="1"/>
  <c r="K29" i="1" s="1"/>
  <c r="J29" i="1" a="1"/>
  <c r="J29" i="1" s="1"/>
  <c r="I29" i="1" a="1"/>
  <c r="I29" i="1" s="1"/>
  <c r="H29" i="1" a="1"/>
  <c r="H29" i="1" s="1"/>
  <c r="G29" i="1" a="1"/>
  <c r="G29" i="1" s="1"/>
  <c r="F29" i="1" a="1"/>
  <c r="F29" i="1" s="1"/>
  <c r="E29" i="1" a="1"/>
  <c r="E29" i="1" s="1"/>
  <c r="D29" i="1" a="1"/>
  <c r="D29" i="1" s="1"/>
  <c r="C29" i="1" a="1"/>
  <c r="C29" i="1" s="1"/>
  <c r="A57" i="1" a="1"/>
  <c r="A57" i="1" s="1"/>
  <c r="A56" i="1" a="1"/>
  <c r="A56" i="1" s="1"/>
  <c r="A55" i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A47" i="1" a="1"/>
  <c r="A47" i="1" s="1"/>
  <c r="A46" i="1" a="1"/>
  <c r="A46" i="1" s="1"/>
  <c r="A45" i="1" a="1"/>
  <c r="A45" i="1" s="1"/>
  <c r="A44" i="1" a="1"/>
  <c r="A44" i="1" s="1"/>
  <c r="A43" i="1" a="1"/>
  <c r="A43" i="1" s="1"/>
  <c r="A42" i="1" a="1"/>
  <c r="A42" i="1" s="1"/>
  <c r="A41" i="1" a="1"/>
  <c r="A41" i="1" s="1"/>
  <c r="A40" i="1" a="1"/>
  <c r="A40" i="1" s="1"/>
  <c r="A39" i="1" a="1"/>
  <c r="A39" i="1" s="1"/>
  <c r="A38" i="1" a="1"/>
  <c r="A38" i="1" s="1"/>
  <c r="A37" i="1" a="1"/>
  <c r="A37" i="1" s="1"/>
  <c r="A36" i="1" a="1"/>
  <c r="A36" i="1" s="1"/>
  <c r="A35" i="1" a="1"/>
  <c r="A35" i="1" s="1"/>
  <c r="A34" i="1" a="1"/>
  <c r="A34" i="1" s="1"/>
  <c r="A33" i="1" a="1"/>
  <c r="A33" i="1" s="1"/>
  <c r="A32" i="1" a="1"/>
  <c r="A32" i="1" s="1"/>
  <c r="A31" i="1" a="1"/>
  <c r="A31" i="1" s="1"/>
  <c r="D7" i="4" a="1"/>
  <c r="D7" i="4" s="1"/>
  <c r="C7" i="4" a="1"/>
  <c r="C7" i="4" s="1"/>
  <c r="B7" i="4" a="1"/>
  <c r="B7" i="4" s="1"/>
  <c r="BI29" i="1" a="1"/>
  <c r="BI29" i="1" s="1"/>
  <c r="BH29" i="1" a="1"/>
  <c r="BH29" i="1" s="1"/>
  <c r="BG29" i="1" a="1"/>
  <c r="BG29" i="1" s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U29" i="1" a="1"/>
  <c r="AU29" i="1" s="1"/>
  <c r="AT29" i="1" a="1"/>
  <c r="AT29" i="1" s="1"/>
  <c r="AS29" i="1" a="1"/>
  <c r="AS29" i="1" s="1"/>
  <c r="AR29" i="1" a="1"/>
  <c r="AR29" i="1" s="1"/>
  <c r="AQ29" i="1" a="1"/>
  <c r="AQ29" i="1" s="1"/>
  <c r="AP29" i="1" a="1"/>
  <c r="AP29" i="1" s="1"/>
  <c r="AO29" i="1" a="1"/>
  <c r="AO29" i="1" s="1"/>
  <c r="AN29" i="1" a="1"/>
  <c r="AN29" i="1" s="1"/>
  <c r="AM29" i="1" a="1"/>
  <c r="AM29" i="1" s="1"/>
  <c r="AL29" i="1" a="1"/>
  <c r="AL29" i="1" s="1"/>
  <c r="AK29" i="1" a="1"/>
  <c r="AK29" i="1" s="1"/>
  <c r="AJ29" i="1" a="1"/>
  <c r="AJ29" i="1" s="1"/>
  <c r="AI29" i="1" a="1"/>
  <c r="AI29" i="1" s="1"/>
  <c r="AH29" i="1" a="1"/>
  <c r="AH29" i="1" s="1"/>
  <c r="AG29" i="1" a="1"/>
  <c r="AG29" i="1" s="1"/>
  <c r="AF29" i="1" a="1"/>
  <c r="AF29" i="1" s="1"/>
  <c r="AE29" i="1" a="1"/>
  <c r="AE29" i="1" s="1"/>
  <c r="AD29" i="1" a="1"/>
  <c r="AD29" i="1" s="1"/>
  <c r="O19" i="1" a="1"/>
  <c r="O19" i="1" s="1"/>
  <c r="O18" i="1" a="1"/>
  <c r="O18" i="1" s="1"/>
  <c r="O17" i="1" a="1"/>
  <c r="O17" i="1" s="1"/>
  <c r="O16" i="1" a="1"/>
  <c r="O16" i="1" s="1"/>
  <c r="O15" i="1" a="1"/>
  <c r="O15" i="1" s="1"/>
  <c r="O14" i="1" a="1"/>
  <c r="O14" i="1" s="1"/>
  <c r="O13" i="1" a="1"/>
  <c r="O13" i="1" s="1"/>
  <c r="O12" i="1" a="1"/>
  <c r="O12" i="1" s="1"/>
  <c r="O11" i="1" a="1"/>
  <c r="O11" i="1" s="1"/>
  <c r="O10" i="1" a="1"/>
  <c r="O10" i="1" s="1"/>
  <c r="O9" i="1" a="1"/>
  <c r="O9" i="1" s="1"/>
  <c r="O8" i="1" a="1"/>
  <c r="O8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H19" i="1" a="1"/>
  <c r="H19" i="1" s="1"/>
  <c r="H18" i="1" a="1"/>
  <c r="H18" i="1" s="1"/>
  <c r="H17" i="1" a="1"/>
  <c r="H17" i="1" s="1"/>
  <c r="H16" i="1" a="1"/>
  <c r="H16" i="1" s="1"/>
  <c r="H15" i="1" a="1"/>
  <c r="H15" i="1" s="1"/>
  <c r="H14" i="1" a="1"/>
  <c r="H14" i="1" s="1"/>
  <c r="H13" i="1" a="1"/>
  <c r="H13" i="1" s="1"/>
  <c r="H12" i="1" a="1"/>
  <c r="H12" i="1" s="1"/>
  <c r="H11" i="1" a="1"/>
  <c r="H11" i="1" s="1"/>
  <c r="H10" i="1" a="1"/>
  <c r="H10" i="1" s="1"/>
  <c r="H9" i="1" a="1"/>
  <c r="H9" i="1" s="1"/>
  <c r="H8" i="1" a="1"/>
  <c r="H8" i="1" s="1"/>
  <c r="H7" i="1" a="1"/>
  <c r="H7" i="1" s="1"/>
  <c r="H6" i="1" a="1"/>
  <c r="H6" i="1" s="1"/>
  <c r="H5" i="1" a="1"/>
  <c r="H5" i="1" s="1"/>
  <c r="F19" i="1" a="1"/>
  <c r="F19" i="1" s="1"/>
  <c r="F18" i="1" a="1"/>
  <c r="F18" i="1" s="1"/>
  <c r="F17" i="1" a="1"/>
  <c r="F17" i="1" s="1"/>
  <c r="F16" i="1" a="1"/>
  <c r="F16" i="1" s="1"/>
  <c r="F15" i="1" a="1"/>
  <c r="F15" i="1" s="1"/>
  <c r="F14" i="1" a="1"/>
  <c r="F14" i="1" s="1"/>
  <c r="F13" i="1" a="1"/>
  <c r="F13" i="1" s="1"/>
  <c r="F12" i="1" a="1"/>
  <c r="F12" i="1" s="1"/>
  <c r="F11" i="1" a="1"/>
  <c r="F11" i="1" s="1"/>
  <c r="F10" i="1" a="1"/>
  <c r="F10" i="1" s="1"/>
  <c r="F9" i="1" a="1"/>
  <c r="F9" i="1" s="1"/>
  <c r="F8" i="1" a="1"/>
  <c r="F8" i="1" s="1"/>
  <c r="F7" i="1" a="1"/>
  <c r="F7" i="1" s="1"/>
  <c r="F6" i="1" a="1"/>
  <c r="F6" i="1" s="1"/>
  <c r="F5" i="1" a="1"/>
  <c r="F5" i="1" s="1"/>
  <c r="D23" i="1" a="1"/>
  <c r="D23" i="1" s="1"/>
  <c r="D22" i="1" a="1"/>
  <c r="D22" i="1" s="1"/>
  <c r="D21" i="1" a="1"/>
  <c r="D21" i="1" s="1"/>
  <c r="D20" i="1" a="1"/>
  <c r="D20" i="1" s="1"/>
  <c r="D19" i="1" a="1"/>
  <c r="D19" i="1" s="1"/>
  <c r="D18" i="1" a="1"/>
  <c r="D18" i="1" s="1"/>
  <c r="D17" i="1" a="1"/>
  <c r="D17" i="1" s="1"/>
  <c r="D16" i="1" a="1"/>
  <c r="D16" i="1" s="1"/>
  <c r="D15" i="1" a="1"/>
  <c r="D15" i="1" s="1"/>
  <c r="D14" i="1" a="1"/>
  <c r="D14" i="1" s="1"/>
  <c r="D13" i="1" a="1"/>
  <c r="D13" i="1" s="1"/>
  <c r="D12" i="1" a="1"/>
  <c r="D12" i="1" s="1"/>
  <c r="D11" i="1" a="1"/>
  <c r="D11" i="1" s="1"/>
  <c r="D10" i="1" a="1"/>
  <c r="D10" i="1" s="1"/>
  <c r="D9" i="1" a="1"/>
  <c r="D9" i="1" s="1"/>
  <c r="D8" i="1" a="1"/>
  <c r="D8" i="1" s="1"/>
  <c r="D7" i="1" a="1"/>
  <c r="D7" i="1" s="1"/>
  <c r="D6" i="1" a="1"/>
  <c r="D6" i="1" s="1"/>
  <c r="D5" i="1" a="1"/>
  <c r="D5" i="1" s="1"/>
  <c r="C31" i="1" a="1"/>
  <c r="C31" i="1" s="1"/>
  <c r="C30" i="1" a="1"/>
  <c r="C30" i="1" s="1"/>
  <c r="C27" i="1" a="1"/>
  <c r="C27" i="1" s="1"/>
  <c r="B27" i="1" a="1"/>
  <c r="B27" i="1" s="1"/>
  <c r="B31" i="1" a="1"/>
  <c r="B31" i="1" s="1"/>
  <c r="B26" i="1" a="1"/>
  <c r="B26" i="1" s="1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4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C3" i="5"/>
  <c r="B3" i="5"/>
  <c r="A3" i="5" l="1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Y3" i="5"/>
  <c r="BZ3" i="5"/>
  <c r="CA3" i="5"/>
  <c r="CB3" i="5"/>
  <c r="CC3" i="5"/>
  <c r="H9" i="4"/>
  <c r="H7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fpuser</author>
  </authors>
  <commentList>
    <comment ref="A1" authorId="0" shapeId="0" xr:uid="{0C5D4A91-A1FF-4156-9AA3-163B5FC5346F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Timestamp="1764076904"&gt;&lt;FQL&gt;&lt;Q&gt;AMZN-US^FG_PRICE(45657,45657-1AY,,USD)&lt;/Q&gt;&lt;R&gt;253&lt;/R&gt;&lt;C&gt;1&lt;/C&gt;&lt;D xsi:type="xsd:double"&gt;219.39&lt;/D&gt;&lt;D xsi:type="xsd:double"&gt;221.3&lt;/D&gt;&lt;D xsi:type="xsd:double"&gt;223.75&lt;/D&gt;&lt;D xsi:type="xsd:double"&gt;227.05&lt;/D&gt;&lt;D xsi:type="xsd:double"&gt;229.05&lt;/D&gt;&lt;D xsi:type="xsd:double"&gt;225.06&lt;/D&gt;&lt;D xsi:type="xsd:double"&gt;224.92&lt;/D&gt;&lt;D xsi:type="xsd:double"&gt;223.29&lt;/D&gt;&lt;D xsi:type="xsd:double"&gt;220.52&lt;/D&gt;&lt;D xsi:type="xsd:double"&gt;231.15&lt;/D&gt;&lt;D xsi:type="xsd:double"&gt;232.93&lt;/D&gt;&lt;D xsi:type="xsd:double"&gt;227.46&lt;/D&gt;&lt;D xsi:type="xsd:double"&gt;228.97&lt;/D&gt;&lt;D xsi:type="xsd:double"&gt;230.26&lt;/D&gt;&lt;D xsi:type="xsd:double"&gt;225.04&lt;/D&gt;&lt;D xsi:type="xsd:double"&gt;226.09&lt;/D&gt;&lt;D xsi:type="xsd:double"&gt;227.03&lt;/D&gt;&lt;D xsi:type="xsd:double"&gt;220.55&lt;/D&gt;&lt;D xsi:type="xsd:double"&gt;218.16&lt;/D&gt;&lt;D xsi:type="xsd:double"&gt;213.44&lt;/D&gt;&lt;D xsi:type="xsd:double"&gt;210.71&lt;/D&gt;&lt;D xsi:type="xsd:double"&gt;207.89&lt;/D&gt;&lt;D xsi:type="xsd:double"&gt;205.74&lt;/D&gt;&lt;D xsi:type="xsd:double"&gt;207.86&lt;/D&gt;&lt;D xsi:type="xsd:double"&gt;201.45&lt;/D&gt;&lt;D xsi:type="xsd:double"&gt;197.12&lt;/D&gt;&lt;D xsi:type="xsd:double"&gt;198.38&lt;/D&gt;&lt;D xsi:type="xsd:double"&gt;202.88&lt;/D&gt;&lt;D xsi:type="xsd:double"&gt;204.61&lt;/D&gt;&lt;D xsi:type="xsd:double"&gt;201.7&lt;/D&gt;&lt;D xsi:type="xsd:double"&gt;202.61&lt;/D&gt;&lt;D xsi:type="xsd:double"&gt;211.48&lt;/D&gt;&lt;D xsi:type="xsd:double"&gt;214.1&lt;/D&gt;&lt;D xsi:type="xsd:double"&gt;208.91&lt;/D&gt;&lt;D xsi:type="xsd:double"&gt;206.84&lt;/D&gt;&lt;D xsi:type="xsd:double"&gt;208.18&lt;/D&gt;&lt;D xsi:type="xsd:double"&gt;210.05&lt;/D&gt;&lt;D xsi:type="xsd:double"&gt;207.09&lt;/D&gt;&lt;D xsi:type="xsd:double"&gt;199.5&lt;/D&gt;&lt;D xsi:type="xsd:double"&gt;195.78&lt;/D&gt;&lt;D xsi:type="xsd:double"&gt;197.93&lt;/D&gt;&lt;D xsi:type="xsd:double"&gt;186.4&lt;/D&gt;&lt;D xsi:type="xsd:double"&gt;192.73&lt;/D&gt;&lt;D xsi:type="xsd:double"&gt;190.83&lt;/D&gt;&lt;D xsi:type="xsd:double"&gt;188.39&lt;/D&gt;&lt;D xsi:type="xsd:double"&gt;187.83&lt;/D&gt;&lt;D xsi:type="xsd:double"&gt;186.38&lt;/D&gt;&lt;D xsi:type="xsd:double"&gt;184.71&lt;/D&gt;&lt;D xsi:type="xsd:double"&gt;189.7&lt;/D&gt;&lt;D xsi:type="xsd:double"&gt;189.07&lt;/D&gt;&lt;D xsi:type="xsd:double"&gt;188.99&lt;/D&gt;&lt;D xsi:type="xsd:double"&gt;187.53&lt;/D&gt;&lt;D xsi:type="xsd:double"&gt;186.89&lt;/D&gt;&lt;D xsi:type="xsd:double"&gt;187.69&lt;/D&gt;&lt;D xsi:type="xsd:double"&gt;187.54&lt;/D&gt;&lt;D xsi:type="xsd:double"&gt;188.82&lt;/D&gt;&lt;D xsi:type="xsd:double"&gt;186.65&lt;/D&gt;&lt;D xsi:type="xsd:double"&gt;185.17&lt;/D&gt;&lt;D xsi:type="xsd:double"&gt;182.72&lt;/D&gt;&lt;D xsi:type="xsd:double"&gt;180.8&lt;/D&gt;&lt;D xsi:type="xsd:double"&gt;186.51&lt;/D&gt;&lt;D xsi:type="xsd:double"&gt;181.96&lt;/D&gt;&lt;D xsi:type="xsd:double"&gt;184.76&lt;/D&gt;&lt;D xsi:type="xsd:double"&gt;185.13&lt;/D&gt;&lt;D xsi:type="xsd:double"&gt;186.33&lt;/D&gt;&lt;D xsi:type="xsd:double"&gt;187.97&lt;/D&gt;&lt;D xsi:type="xsd:double"&gt;191.16&lt;/D&gt;&lt;D xsi:type="xsd:double"&gt;192.53&lt;/D&gt;&lt;D xsi:type="xsd:double"&gt;193.96&lt;/D&gt;&lt;D xsi:type="xsd:double"&gt;193.88&lt;/D&gt;&lt;D xsi:type="xsd:double"&gt;191.6&lt;/D&gt;&lt;D xsi:type="xsd:double"&gt;189.87&lt;/D&gt;&lt;D xsi:type="xsd:double"&gt;186.43&lt;/D&gt;&lt;D xsi:type="xsd:double"&gt;186.88&lt;/D&gt;&lt;D xsi:type="xsd:double"&gt;184.89&lt;/D&gt;&lt;D xsi:type="xsd:double"&gt;186.49&lt;/D&gt;&lt;D xsi:type="xsd:double"&gt;187&lt;/D&gt;&lt;D xsi:type="xsd:double"&gt;184.52&lt;/D&gt;&lt;D xsi:type="xsd:double"&gt;179.55&lt;/D&gt;&lt;D xsi:type="xsd:double"&gt;175.4&lt;/D&gt;&lt;D xsi:type="xsd:double"&gt;171.39&lt;/D&gt;&lt;D xsi:type="xsd:double"&gt;177.89&lt;/D&gt;&lt;D xsi:type="xsd:double"&gt;173.33&lt;/D&gt;&lt;D xsi:type="xsd:double"&gt;176.25&lt;/D&gt;&lt;D xsi:type="xsd:double"&gt;178.5&lt;/D&gt;&lt;D xsi:type="xsd:double"&gt;172.12&lt;/D&gt;&lt;D xsi:type="xsd:double"&gt;170.8&lt;/D&gt;&lt;D xsi:type="xsd:double"&gt;173.12&lt;/D&gt;&lt;D xsi:type="xsd:double"&gt;175.5&lt;/D&gt;&lt;D xsi:type="xsd:double"&gt;177.04&lt;/D&gt;&lt;D xsi:type="xsd:double"&gt;176.13&lt;/D&gt;&lt;D xsi:type="xsd:double"&gt;180.11&lt;/D&gt;&lt;D xsi:type="xsd:double"&gt;178.88&lt;/D&gt;&lt;D xsi:type="xsd:double"&gt;178.22&lt;/D&gt;&lt;D xsi:type="xsd:double"&gt;177.06&lt;/D&gt;&lt;D xsi:type="xsd:double"&gt;177.59&lt;/D&gt;&lt;D xsi:type="xsd:double"&gt;170.1&lt;/D&gt;&lt;D xsi:type="xsd:double"&gt;170.23&lt;/D&gt;&lt;D xsi:type="xsd:double"&gt;166.8&lt;/D&gt;&lt;D xsi:type="xsd:double"&gt;166.94&lt;/D&gt;&lt;D xsi:type="xsd:double"&gt;165.8&lt;/D&gt;&lt;D xsi:type="xsd:double"&gt;162.77&lt;/D&gt;&lt;D xsi:type="xsd:double"&gt;161.93&lt;/D&gt;&lt;D xsi:type="xsd:double"&gt;161.02&lt;/D&gt;&lt;D xsi:type="xsd:double"&gt;167.9&lt;/D&gt;&lt;D xsi:type="xsd:double"&gt;184.07&lt;/D&gt;&lt;D xsi:type="xsd:double"&gt;186.98&lt;/D&gt;&lt;D xsi:type="xsd:double"&gt;181.71&lt;/D&gt;&lt;D xsi:type="xsd:double"&gt;183.2&lt;/D&gt;&lt;D xsi:type="xsd:double"&gt;182.5&lt;/D&gt;&lt;D xsi:type="xsd:double"&gt;179.85&lt;/D&gt;&lt;D xsi:type="xsd:double"&gt;180.83&lt;/D&gt;&lt;D xsi:type="xsd:double"&gt;186.41&lt;/D&gt;&lt;D xsi:type="xsd:double"&gt;182.55&lt;/D&gt;&lt;D xsi:type="xsd:double"&gt;183.13&lt;/D&gt;&lt;D xsi:type="xsd:double"&gt;183.75&lt;/D&gt;&lt;D xsi:type="xsd:double"&gt;187.93&lt;/D&gt;&lt;D xsi:type="xsd:double"&gt;193.02&lt;/D&gt;&lt;D xsi:type="xsd:double"&gt;192.72&lt;/D&gt;&lt;D xsi:type="xsd:double"&gt;194.49&lt;/D&gt;&lt;D xsi:type="xsd:double"&gt;195.05&lt;/D&gt;&lt;D xsi:type="xsd:double"&gt;199.79&lt;/D&gt;&lt;D xsi:type="xsd:double"&gt;199.34&lt;/D&gt;&lt;D xsi:type="xsd:double"&gt;199.29&lt;/D&gt;&lt;D xsi:type="xsd:double"&gt;200&lt;/D&gt;&lt;D xsi:type="xsd:double"&gt;197.59&lt;/D&gt;&lt;D xsi:type="xsd:double"&gt;200&lt;/D&gt;&lt;D xsi:type="xsd:double"&gt;197.2&lt;/D&gt;&lt;D xsi:type="xsd:double"&gt;193.25&lt;/D&gt;&lt;D xsi:type="xsd:double"&gt;197.85&lt;/D&gt;&lt;D xsi:type="xsd:double"&gt;193.61&lt;/D&gt;&lt;D xsi:type="xsd:double"&gt;186.34&lt;/D&gt;&lt;D xsi:type="xsd:double"&gt;185.57&lt;/D&gt;&lt;D xsi:type="xsd:double"&gt;189.08&lt;/D&gt;&lt;D xsi:type="xsd:double"&gt;186.1&lt;/D&gt;&lt;D xsi:type="xsd:double"&gt;182.81&lt;/D&gt;&lt;D xsi:type="xsd:double"&gt;184.06&lt;/D&gt;&lt;D xsi:type="xsd:double"&gt;183.66&lt;/D&gt;&lt;D xsi:type="xsd:double"&gt;183.83&lt;/D&gt;&lt;D xsi:type="xsd:double"&gt;186.89&lt;/D&gt;&lt;D xsi:type="xsd:double"&gt;187.23&lt;/D&gt;&lt;D xsi:type="xsd:double"&gt;187.06&lt;/D&gt;&lt;D xsi:type="xsd:double"&gt;184.3&lt;/D&gt;&lt;D xsi:type="xsd:double"&gt;185&lt;/D&gt;&lt;D xsi:type="xsd:double"&gt;181.28&lt;/D&gt;&lt;D xsi:type="xsd:double"&gt;179.34&lt;/D&gt;&lt;D xsi:type="xsd:double"&gt;178.34&lt;/D&gt;&lt;D xsi:type="xsd:double"&gt;176.44&lt;/D&gt;&lt;D xsi:type="xsd:double"&gt;179.32&lt;/D&gt;&lt;D xsi:type="xsd:double"&gt;182.02&lt;/D&gt;&lt;D xsi:type="xsd:double"&gt;182.15&lt;/D&gt;&lt;D xsi:type="xsd:double"&gt;180.75&lt;/D&gt;&lt;D xsi:type="xsd:double"&gt;181.05&lt;/D&gt;&lt;D xsi:type="xsd:double"&gt;183.13&lt;/D&gt;&lt;D xsi:type="xsd:double"&gt;183.15&lt;/D&gt;&lt;D xsi:type="xsd:double"&gt;183.54&lt;/D&gt;&lt;D xsi:type="xsd:double"&gt;184.7&lt;/D&gt;&lt;D xsi:type="xsd:double"&gt;183.63&lt;/D&gt;&lt;D xsi:type="xsd:double"&gt;185.99&lt;/D&gt;&lt;D xsi:type="xsd:double"&gt;187.07&lt;/D&gt;&lt;D xsi:type="xsd:double"&gt;186.57&lt;/D&gt;&lt;D xsi:type="xsd:double"&gt;187.48&lt;/D&gt;&lt;D xsi:type="xsd:double"&gt;189.5&lt;/D&gt;&lt;D xsi:type="xsd:double"&gt;188&lt;/D&gt;&lt;D xsi:type="xsd:double"&gt;188.76&lt;/D&gt;&lt;D xsi:type="xsd:double"&gt;188.7&lt;/D&gt;&lt;D xsi:type="xsd:double"&gt;186.21&lt;/D&gt;&lt;D xsi:type="xsd:double"&gt;184.72&lt;/D&gt;&lt;D xsi:type="xsd:double"&gt;179&lt;/D&gt;&lt;D xsi:type="xsd:double"&gt;175&lt;/D&gt;&lt;D xsi:type="xsd:double"&gt;180.96&lt;/D&gt;&lt;D xsi:type="xsd:double"&gt;179.62&lt;/D&gt;&lt;D xsi:type="xsd:double"&gt;173.67&lt;/D&gt;&lt;D xsi:type="xsd:double"&gt;176.59&lt;/D&gt;&lt;D xsi:type="xsd:double"&gt;179.54&lt;/D&gt;&lt;D xsi:type="xsd:double"&gt;177.23&lt;/D&gt;&lt;D xsi:type="xsd:double"&gt;174.63&lt;/D&gt;&lt;D xsi:type="xsd:double"&gt;179.22&lt;/D&gt;&lt;D xsi:type="xsd:double"&gt;181.28&lt;/D&gt;&lt;D xsi:type="xsd:double"&gt;183.32&lt;/D&gt;&lt;D xsi:type="xsd:double"&gt;183.62&lt;/D&gt;&lt;D xsi:type="xsd:double"&gt;186.13&lt;/D&gt;&lt;D xsi:type="xsd:double"&gt;189.05&lt;/D&gt;&lt;D xsi:type="xsd:double"&gt;185.95&lt;/D&gt;&lt;D xsi:type="xsd:double"&gt;185.67&lt;/D&gt;&lt;D xsi:type="xsd:double"&gt;185.19&lt;/D&gt;&lt;D xsi:type="xsd:double"&gt;185.07&lt;/D&gt;&lt;D xsi:type="xsd:double"&gt;180&lt;/D&gt;&lt;D xsi:type="xsd:double"&gt;182.41&lt;/D&gt;&lt;D xsi:type="xsd:double"&gt;180.69&lt;/D&gt;&lt;D xsi:type="xsd:double"&gt;180.97&lt;/D&gt;&lt;D xsi:type="xsd:double"&gt;180.38&lt;/D&gt;&lt;D xsi:type="xsd:double"&gt;179.83&lt;/D&gt;&lt;D xsi:type="xsd:double"&gt;178.3&lt;/D&gt;&lt;D xsi:type="xsd:double"&gt;179.71&lt;/D&gt;&lt;D xsi:type="xsd:double"&gt;178.87&lt;/D&gt;&lt;D xsi:type="xsd:double"&gt;178.15&lt;/D&gt;&lt;D xsi:type="xsd:double"&gt;178.15&lt;/D&gt;&lt;D xsi:type="xsd:double"&gt;175.9&lt;/D&gt;&lt;D xsi:type="xsd:double"&gt;174.48&lt;/D&gt;&lt;D xsi:type="xsd:double"&gt;174.42&lt;/D&gt;&lt;D xsi:type="xsd:double"&gt;178.75&lt;/D&gt;&lt;D xsi:type="xsd:double"&gt;176.555&lt;/D&gt;&lt;D xsi:type="xsd:double"&gt;175.39&lt;/D&gt;&lt;D xsi:type="xsd:double"&gt;171.96&lt;/D&gt;&lt;D xsi:type="xsd:double"&gt;175.35&lt;/D&gt;&lt;D xsi:type="xsd:double"&gt;176.82&lt;/D&gt;&lt;D xsi:type="xsd:double"&gt;173.51&lt;/D&gt;&lt;D xsi:type="xsd:double"&gt;174.12&lt;/D&gt;&lt;D xsi:type="xsd:double"&gt;177.58&lt;/D&gt;&lt;D xsi:type="xsd:double"&gt;178.22&lt;/D&gt;&lt;D xsi:type="xsd:double"&gt;176.76&lt;/D&gt;&lt;D xsi:type="xsd:double"&gt;173.16&lt;/D&gt;&lt;D xsi:type="xsd:double"&gt;173.54&lt;/D&gt;&lt;D xsi:type="xsd:double"&gt;174.73&lt;/D&gt;&lt;D xsi:type="xsd:double"&gt;174.99&lt;/D&gt;&lt;D xsi:type="xsd:double"&gt;174.58&lt;/D&gt;&lt;D xsi:type="xsd:double"&gt;168.59&lt;/D&gt;&lt;D xsi:type="xsd:double"&gt;167.08&lt;/D&gt;&lt;D xsi:type="xsd:double"&gt;169.51&lt;/D&gt;&lt;D xsi:type="xsd:double"&gt;169.8&lt;/D&gt;&lt;D xsi:type="xsd:double"&gt;170.98&lt;/D&gt;&lt;D xsi:type="xsd:double"&gt;168.64&lt;/D&gt;&lt;D xsi:type="xsd:double"&gt;172.34&lt;/D&gt;&lt;D xsi:type="xsd:double"&gt;174.45&lt;/D&gt;&lt;D xsi:type="xsd:double"&gt;169.84&lt;/D&gt;&lt;D xsi:type="xsd:double"&gt;170.53&lt;/D&gt;&lt;D xsi:type="xsd:double"&gt;169.15&lt;/D&gt;&lt;D xsi:type="xsd:double"&gt;170.31&lt;/D&gt;&lt;D xsi:type="xsd:double"&gt;171.81&lt;/D&gt;&lt;D xsi:type="xsd:double"&gt;159.28&lt;/D&gt;&lt;D xsi:type="xsd:double"&gt;155.2&lt;/D&gt;&lt;D xsi:type="xsd:double"&gt;159&lt;/D&gt;&lt;D xsi:type="xsd:double"&gt;161.26&lt;/D&gt;&lt;D xsi:type="xsd:double"&gt;159.12&lt;/D&gt;&lt;D xsi:type="xsd:double"&gt;157.75&lt;/D&gt;&lt;D xsi:type="xsd:double"&gt;156.87&lt;/D&gt;&lt;D xsi:type="xsd:double"&gt;156.02&lt;/D&gt;&lt;D xsi:type="xsd:double"&gt;154.78&lt;/D&gt;&lt;D xsi:type="xsd:double"&gt;155.34&lt;/D&gt;&lt;D xsi:type="xsd:double"&gt;153.5&lt;/D&gt;&lt;D xsi:type="xsd:double"&gt;151.71&lt;/D&gt;&lt;D xsi:type="xsd:double"&gt;153.16&lt;/D&gt;&lt;D xsi:type="xsd:double"&gt;154.62&lt;/D&gt;&lt;D xsi:type="xsd:double"&gt;155.18&lt;/D&gt;&lt;D xsi:type="xsd:double"&gt;153.73&lt;/D&gt;&lt;D xsi:type="xsd:double"&gt;151.37&lt;/D&gt;&lt;D xsi:type="xsd:double"&gt;149.1&lt;/D&gt;&lt;D xsi:type="xsd:double"&gt;145.24&lt;/D&gt;&lt;D xsi:type="xsd:double"&gt;144.57&lt;/D&gt;&lt;D xsi:type="xsd:double"&gt;148.47&lt;/D&gt;&lt;D xsi:type="xsd:double"&gt;149.93&lt;/D&gt;&lt;D xsi:type="xsd:double"&gt;151.94&lt;/D&gt;&lt;/FQL&gt;&lt;FQL&gt;&lt;Q&gt;META-US^FG_PRICE(45657,45657-1AY,,USD)&lt;/Q&gt;&lt;R&gt;253&lt;/R&gt;&lt;C&gt;1&lt;/C&gt;&lt;D xsi:type="xsd:double"&gt;585.51&lt;/D&gt;&lt;D xsi:type="xsd:double"&gt;591.24&lt;/D&gt;&lt;D xsi:type="xsd:double"&gt;599.81&lt;/D&gt;&lt;D xsi:type="xsd:double"&gt;603.35&lt;/D&gt;&lt;D xsi:type="xsd:double"&gt;607.75&lt;/D&gt;&lt;D xsi:type="xsd:double"&gt;599.85&lt;/D&gt;&lt;D xsi:type="xsd:double"&gt;585.25&lt;/D&gt;&lt;D xsi:type="xsd:double"&gt;595.57&lt;/D&gt;&lt;D xsi:type="xsd:double"&gt;597.19&lt;/D&gt;&lt;D xsi:type="xsd:double"&gt;619.44&lt;/D&gt;&lt;D xsi:type="xsd:double"&gt;624.24&lt;/D&gt;&lt;D xsi:type="xsd:double"&gt;620.35&lt;/D&gt;&lt;D xsi:type="xsd:double"&gt;630.79&lt;/D&gt;&lt;D xsi:type="xsd:double"&gt;632.68&lt;/D&gt;&lt;D xsi:type="xsd:double"&gt;619.32&lt;/D&gt;&lt;D xsi:type="xsd:double"&gt;613.57&lt;/D&gt;&lt;D xsi:type="xsd:double"&gt;623.77&lt;/D&gt;&lt;D xsi:type="xsd:double"&gt;608.93&lt;/D&gt;&lt;D xsi:type="xsd:double"&gt;613.78&lt;/D&gt;&lt;D xsi:type="xsd:double"&gt;613.65&lt;/D&gt;&lt;D xsi:type="xsd:double"&gt;592.83&lt;/D&gt;&lt;D xsi:type="xsd:double"&gt;574.32&lt;/D&gt;&lt;D xsi:type="xsd:double"&gt;569.2&lt;/D&gt;&lt;D xsi:type="xsd:double"&gt;573.54&lt;/D&gt;&lt;D xsi:type="xsd:double"&gt;565.11&lt;/D&gt;&lt;D xsi:type="xsd:double"&gt;559.14&lt;/D&gt;&lt;D xsi:type="xsd:double"&gt;563.09&lt;/D&gt;&lt;D xsi:type="xsd:double"&gt;565.52&lt;/D&gt;&lt;D xsi:type="xsd:double"&gt;561.09&lt;/D&gt;&lt;D xsi:type="xsd:double"&gt;554.4&lt;/D&gt;&lt;D xsi:type="xsd:double"&gt;554.08&lt;/D&gt;&lt;D xsi:type="xsd:double"&gt;577.16&lt;/D&gt;&lt;D xsi:type="xsd:double"&gt;580&lt;/D&gt;&lt;D xsi:type="xsd:double"&gt;584.82&lt;/D&gt;&lt;D xsi:type="xsd:double"&gt;583.17&lt;/D&gt;&lt;D xsi:type="xsd:double"&gt;589.34&lt;/D&gt;&lt;D xsi:type="xsd:double"&gt;591.7&lt;/D&gt;&lt;D xsi:type="xsd:double"&gt;572.05&lt;/D&gt;&lt;D xsi:type="xsd:double"&gt;572.43&lt;/D&gt;&lt;D xsi:type="xsd:double"&gt;560.68&lt;/D&gt;&lt;D xsi:type="xsd:double"&gt;567.16&lt;/D&gt;&lt;D xsi:type="xsd:double"&gt;567.58&lt;/D&gt;&lt;D xsi:type="xsd:double"&gt;591.8&lt;/D&gt;&lt;D xsi:type="xsd:double"&gt;593.28&lt;/D&gt;&lt;D xsi:type="xsd:double"&gt;578.16&lt;/D&gt;&lt;D xsi:type="xsd:double"&gt;573.25&lt;/D&gt;&lt;D xsi:type="xsd:double"&gt;567.78&lt;/D&gt;&lt;D xsi:type="xsd:double"&gt;563.69&lt;/D&gt;&lt;D xsi:type="xsd:double"&gt;582.01&lt;/D&gt;&lt;D xsi:type="xsd:double"&gt;575.16&lt;/D&gt;&lt;D xsi:type="xsd:double"&gt;576.47&lt;/D&gt;&lt;D xsi:type="xsd:double"&gt;576.93&lt;/D&gt;&lt;D xsi:type="xsd:double"&gt;576.79&lt;/D&gt;&lt;D xsi:type="xsd:double"&gt;586.27&lt;/D&gt;&lt;D xsi:type="xsd:double"&gt;590.42&lt;/D&gt;&lt;D xsi:type="xsd:double"&gt;589.95&lt;/D&gt;&lt;D xsi:type="xsd:double"&gt;583.83&lt;/D&gt;&lt;D xsi:type="xsd:double"&gt;590.51&lt;/D&gt;&lt;D xsi:type="xsd:double"&gt;592.89&lt;/D&gt;&lt;D xsi:type="xsd:double"&gt;584.78&lt;/D&gt;&lt;D xsi:type="xsd:double"&gt;595.94&lt;/D&gt;&lt;D xsi:type="xsd:double"&gt;582.77&lt;/D&gt;&lt;D xsi:type="xsd:double"&gt;572.81&lt;/D&gt;&lt;D xsi:type="xsd:double"&gt;576.47&lt;/D&gt;&lt;D xsi:type="xsd:double"&gt;572.44&lt;/D&gt;&lt;D xsi:type="xsd:double"&gt;567.36&lt;/D&gt;&lt;D xsi:type="xsd:double"&gt;567.84&lt;/D&gt;&lt;D xsi:type="xsd:double"&gt;568.31&lt;/D&gt;&lt;D xsi:type="xsd:double"&gt;563.33&lt;/D&gt;&lt;D xsi:type="xsd:double"&gt;564.41&lt;/D&gt;&lt;D xsi:type="xsd:double"&gt;561.35&lt;/D&gt;&lt;D xsi:type="xsd:double"&gt;559.1&lt;/D&gt;&lt;D xsi:type="xsd:double"&gt;537.95&lt;/D&gt;&lt;D xsi:type="xsd:double"&gt;536.315&lt;/D&gt;&lt;D xsi:type="xsd:double"&gt;533.28&lt;/D&gt;&lt;D xsi:type="xsd:double"&gt;524.62&lt;/D&gt;&lt;D xsi:type="xsd:double"&gt;525.6&lt;/D&gt;&lt;D xsi:type="xsd:double"&gt;511.83&lt;/D&gt;&lt;D xsi:type="xsd:double"&gt;504.79&lt;/D&gt;&lt;D xsi:type="xsd:double"&gt;504.79&lt;/D&gt;&lt;D xsi:type="xsd:double"&gt;500.27&lt;/D&gt;&lt;D xsi:type="xsd:double"&gt;516.86&lt;/D&gt;&lt;D xsi:type="xsd:double"&gt;512.74&lt;/D&gt;&lt;D xsi:type="xsd:double"&gt;511.76&lt;/D&gt;&lt;D xsi:type="xsd:double"&gt;521.31&lt;/D&gt;&lt;D xsi:type="xsd:double"&gt;518.22&lt;/D&gt;&lt;D xsi:type="xsd:double"&gt;516.78&lt;/D&gt;&lt;D xsi:type="xsd:double"&gt;519.1&lt;/D&gt;&lt;D xsi:type="xsd:double"&gt;521.12&lt;/D&gt;&lt;D xsi:type="xsd:double"&gt;528&lt;/D&gt;&lt;D xsi:type="xsd:double"&gt;531.93&lt;/D&gt;&lt;D xsi:type="xsd:double"&gt;535.16&lt;/D&gt;&lt;D xsi:type="xsd:double"&gt;526.73&lt;/D&gt;&lt;D xsi:type="xsd:double"&gt;529.28&lt;/D&gt;&lt;D xsi:type="xsd:double"&gt;527.42&lt;/D&gt;&lt;D xsi:type="xsd:double"&gt;537.33&lt;/D&gt;&lt;D xsi:type="xsd:double"&gt;526.76&lt;/D&gt;&lt;D xsi:type="xsd:double"&gt;528.54&lt;/D&gt;&lt;D xsi:type="xsd:double"&gt;515.95&lt;/D&gt;&lt;D xsi:type="xsd:double"&gt;517.77&lt;/D&gt;&lt;D xsi:type="xsd:double"&gt;509.63&lt;/D&gt;&lt;D xsi:type="xsd:double"&gt;488.92&lt;/D&gt;&lt;D xsi:type="xsd:double"&gt;494.09&lt;/D&gt;&lt;D xsi:type="xsd:double"&gt;475.73&lt;/D&gt;&lt;D xsi:type="xsd:double"&gt;488.14&lt;/D&gt;&lt;D xsi:type="xsd:double"&gt;497.74&lt;/D&gt;&lt;D xsi:type="xsd:double"&gt;474.83&lt;/D&gt;&lt;D xsi:type="xsd:double"&gt;463.19&lt;/D&gt;&lt;D xsi:type="xsd:double"&gt;465.71&lt;/D&gt;&lt;D xsi:type="xsd:double"&gt;465.7&lt;/D&gt;&lt;D xsi:type="xsd:double"&gt;453.41&lt;/D&gt;&lt;D xsi:type="xsd:double"&gt;461.27&lt;/D&gt;&lt;D xsi:type="xsd:double"&gt;488.69&lt;/D&gt;&lt;D xsi:type="xsd:double"&gt;487.4&lt;/D&gt;&lt;D xsi:type="xsd:double"&gt;476.79&lt;/D&gt;&lt;D xsi:type="xsd:double"&gt;475.85&lt;/D&gt;&lt;D xsi:type="xsd:double"&gt;461.99&lt;/D&gt;&lt;D xsi:type="xsd:double"&gt;489.79&lt;/D&gt;&lt;D xsi:type="xsd:double"&gt;496.16&lt;/D&gt;&lt;D xsi:type="xsd:double"&gt;498.87&lt;/D&gt;&lt;D xsi:type="xsd:double"&gt;512.7&lt;/D&gt;&lt;D xsi:type="xsd:double"&gt;534.69&lt;/D&gt;&lt;D xsi:type="xsd:double"&gt;530&lt;/D&gt;&lt;D xsi:type="xsd:double"&gt;529.32&lt;/D&gt;&lt;D xsi:type="xsd:double"&gt;539.91&lt;/D&gt;&lt;D xsi:type="xsd:double"&gt;509.96&lt;/D&gt;&lt;D xsi:type="xsd:double"&gt;509.5&lt;/D&gt;&lt;D xsi:type="xsd:double"&gt;504.68&lt;/D&gt;&lt;D xsi:type="xsd:double"&gt;504.22&lt;/D&gt;&lt;D xsi:type="xsd:double"&gt;519.56&lt;/D&gt;&lt;D xsi:type="xsd:double"&gt;513.12&lt;/D&gt;&lt;D xsi:type="xsd:double"&gt;510.6&lt;/D&gt;&lt;D xsi:type="xsd:double"&gt;498.91&lt;/D&gt;&lt;D xsi:type="xsd:double"&gt;494.78&lt;/D&gt;&lt;D xsi:type="xsd:double"&gt;501.7&lt;/D&gt;&lt;D xsi:type="xsd:double"&gt;499.49&lt;/D&gt;&lt;D xsi:type="xsd:double"&gt;506.63&lt;/D&gt;&lt;D xsi:type="xsd:double"&gt;504.16&lt;/D&gt;&lt;D xsi:type="xsd:double"&gt;504.1&lt;/D&gt;&lt;D xsi:type="xsd:double"&gt;508.84&lt;/D&gt;&lt;D xsi:type="xsd:double"&gt;507.47&lt;/D&gt;&lt;D xsi:type="xsd:double"&gt;502.6&lt;/D&gt;&lt;D xsi:type="xsd:double"&gt;492.96&lt;/D&gt;&lt;D xsi:type="xsd:double"&gt;493.76&lt;/D&gt;&lt;D xsi:type="xsd:double"&gt;495.06&lt;/D&gt;&lt;D xsi:type="xsd:double"&gt;476.99&lt;/D&gt;&lt;D xsi:type="xsd:double"&gt;477.49&lt;/D&gt;&lt;D xsi:type="xsd:double"&gt;466.83&lt;/D&gt;&lt;D xsi:type="xsd:double"&gt;467.05&lt;/D&gt;&lt;D xsi:type="xsd:double"&gt;474.36&lt;/D&gt;&lt;D xsi:type="xsd:double"&gt;479.92&lt;/D&gt;&lt;D xsi:type="xsd:double"&gt;478.22&lt;/D&gt;&lt;D xsi:type="xsd:double"&gt;465.78&lt;/D&gt;&lt;D xsi:type="xsd:double"&gt;467.78&lt;/D&gt;&lt;D xsi:type="xsd:double"&gt;464.63&lt;/D&gt;&lt;D xsi:type="xsd:double"&gt;468.84&lt;/D&gt;&lt;D xsi:type="xsd:double"&gt;471.91&lt;/D&gt;&lt;D xsi:type="xsd:double"&gt;473.23&lt;/D&gt;&lt;D xsi:type="xsd:double"&gt;481.54&lt;/D&gt;&lt;D xsi:type="xsd:double"&gt;471.85&lt;/D&gt;&lt;D xsi:type="xsd:double"&gt;468.01&lt;/D&gt;&lt;D xsi:type="xsd:double"&gt;476.2&lt;/D&gt;&lt;D xsi:type="xsd:double"&gt;475.42&lt;/D&gt;&lt;D xsi:type="xsd:double"&gt;472.6&lt;/D&gt;&lt;D xsi:type="xsd:double"&gt;468.24&lt;/D&gt;&lt;D xsi:type="xsd:double"&gt;465.68&lt;/D&gt;&lt;D xsi:type="xsd:double"&gt;451.96&lt;/D&gt;&lt;D xsi:type="xsd:double"&gt;441.68&lt;/D&gt;&lt;D xsi:type="xsd:double"&gt;439.19&lt;/D&gt;&lt;D xsi:type="xsd:double"&gt;430.17&lt;/D&gt;&lt;D xsi:type="xsd:double"&gt;432.62&lt;/D&gt;&lt;D xsi:type="xsd:double"&gt;443.29&lt;/D&gt;&lt;D xsi:type="xsd:double"&gt;441.38&lt;/D&gt;&lt;D xsi:type="xsd:double"&gt;493.5&lt;/D&gt;&lt;D xsi:type="xsd:double"&gt;496.1&lt;/D&gt;&lt;D xsi:type="xsd:double"&gt;481.73&lt;/D&gt;&lt;D xsi:type="xsd:double"&gt;481.07&lt;/D&gt;&lt;D xsi:type="xsd:double"&gt;501.8&lt;/D&gt;&lt;D xsi:type="xsd:double"&gt;494.17&lt;/D&gt;&lt;D xsi:type="xsd:double"&gt;499.76&lt;/D&gt;&lt;D xsi:type="xsd:double"&gt;500.23&lt;/D&gt;&lt;D xsi:type="xsd:double"&gt;511.9&lt;/D&gt;&lt;D xsi:type="xsd:double"&gt;523.16&lt;/D&gt;&lt;D xsi:type="xsd:double"&gt;519.83&lt;/D&gt;&lt;D xsi:type="xsd:double"&gt;516.9&lt;/D&gt;&lt;D xsi:type="xsd:double"&gt;519.25&lt;/D&gt;&lt;D xsi:type="xsd:double"&gt;527.34&lt;/D&gt;&lt;D xsi:type="xsd:double"&gt;510.92&lt;/D&gt;&lt;D xsi:type="xsd:double"&gt;506.74&lt;/D&gt;&lt;D xsi:type="xsd:double"&gt;497.37&lt;/D&gt;&lt;D xsi:type="xsd:double"&gt;491.35&lt;/D&gt;&lt;D xsi:type="xsd:double"&gt;485.58&lt;/D&gt;&lt;D xsi:type="xsd:double"&gt;493.86&lt;/D&gt;&lt;D xsi:type="xsd:double"&gt;495.89&lt;/D&gt;&lt;D xsi:type="xsd:double"&gt;503.02&lt;/D&gt;&lt;D xsi:type="xsd:double"&gt;509.58&lt;/D&gt;&lt;D xsi:type="xsd:double"&gt;507.76&lt;/D&gt;&lt;D xsi:type="xsd:double"&gt;505.52&lt;/D&gt;&lt;D xsi:type="xsd:double"&gt;496.24&lt;/D&gt;&lt;D xsi:type="xsd:double"&gt;496.98&lt;/D&gt;&lt;D xsi:type="xsd:double"&gt;484.1&lt;/D&gt;&lt;D xsi:type="xsd:double"&gt;491.83&lt;/D&gt;&lt;D xsi:type="xsd:double"&gt;495.57&lt;/D&gt;&lt;D xsi:type="xsd:double"&gt;499.75&lt;/D&gt;&lt;D xsi:type="xsd:double"&gt;483.59&lt;/D&gt;&lt;D xsi:type="xsd:double"&gt;505.95&lt;/D&gt;&lt;D xsi:type="xsd:double"&gt;512.19&lt;/D&gt;&lt;D xsi:type="xsd:double"&gt;496.09&lt;/D&gt;&lt;D xsi:type="xsd:double"&gt;490.22&lt;/D&gt;&lt;D xsi:type="xsd:double"&gt;498.19&lt;/D&gt;&lt;D xsi:type="xsd:double"&gt;502.3&lt;/D&gt;&lt;D xsi:type="xsd:double"&gt;490.13&lt;/D&gt;&lt;D xsi:type="xsd:double"&gt;484.02&lt;/D&gt;&lt;D xsi:type="xsd:double"&gt;487.05&lt;/D&gt;&lt;D xsi:type="xsd:double"&gt;481.74&lt;/D&gt;&lt;D xsi:type="xsd:double"&gt;484.03&lt;/D&gt;&lt;D xsi:type="xsd:double"&gt;486.13&lt;/D&gt;&lt;D xsi:type="xsd:double"&gt;468.03&lt;/D&gt;&lt;D xsi:type="xsd:double"&gt;471.75&lt;/D&gt;&lt;D xsi:type="xsd:double"&gt;473.32&lt;/D&gt;&lt;D xsi:type="xsd:double"&gt;484.03&lt;/D&gt;&lt;D xsi:type="xsd:double"&gt;473.28&lt;/D&gt;&lt;D xsi:type="xsd:double"&gt;460.12&lt;/D&gt;&lt;D xsi:type="xsd:double"&gt;468.9&lt;/D&gt;&lt;D xsi:type="xsd:double"&gt;468.11&lt;/D&gt;&lt;D xsi:type="xsd:double"&gt;470&lt;/D&gt;&lt;D xsi:type="xsd:double"&gt;469.59&lt;/D&gt;&lt;D xsi:type="xsd:double"&gt;454.72&lt;/D&gt;&lt;D xsi:type="xsd:double"&gt;459.41&lt;/D&gt;&lt;D xsi:type="xsd:double"&gt;474.99&lt;/D&gt;&lt;D xsi:type="xsd:double"&gt;394.78&lt;/D&gt;&lt;D xsi:type="xsd:double"&gt;390.14&lt;/D&gt;&lt;D xsi:type="xsd:double"&gt;400.06&lt;/D&gt;&lt;D xsi:type="xsd:double"&gt;401.02&lt;/D&gt;&lt;D xsi:type="xsd:double"&gt;394.14&lt;/D&gt;&lt;D xsi:type="xsd:double"&gt;393.18&lt;/D&gt;&lt;D xsi:type="xsd:double"&gt;390.7&lt;/D&gt;&lt;D xsi:type="xsd:double"&gt;385.2&lt;/D&gt;&lt;D xsi:type="xsd:double"&gt;381.78&lt;/D&gt;&lt;D xsi:type="xsd:double"&gt;383.45&lt;/D&gt;&lt;D xsi:type="xsd:double"&gt;376.13&lt;/D&gt;&lt;D xsi:type="xsd:double"&gt;368.37&lt;/D&gt;&lt;D xsi:type="xsd:double"&gt;367.46&lt;/D&gt;&lt;D xsi:type="xsd:double"&gt;374.49&lt;/D&gt;&lt;D xsi:type="xsd:double"&gt;369.67&lt;/D&gt;&lt;D xsi:type="xsd:double"&gt;370.47&lt;/D&gt;&lt;D xsi:type="xsd:double"&gt;357.43&lt;/D&gt;&lt;D xsi:type="xsd:double"&gt;358.66&lt;/D&gt;&lt;D xsi:type="xsd:double"&gt;351.95&lt;/D&gt;&lt;D xsi:type="xsd:double"&gt;347.12&lt;/D&gt;&lt;D xsi:type="xsd:double"&gt;344.47&lt;/D&gt;&lt;D xsi:type="xsd:double"&gt;346.29&lt;/D&gt;&lt;D xsi:type="xsd:double"&gt;353.96&lt;/D&gt;&lt;/FQL&gt;&lt;FQL&gt;&lt;Q&gt;META-US^JULIAN(FG_PRICE(45657,45657-1AY,,USD).DATES)&lt;/Q&gt;&lt;R&gt;253&lt;/R&gt;&lt;C&gt;1&lt;/C&gt;&lt;D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/FQL&gt;&lt;FQL&gt;&lt;Q&gt;^FG_COMPANY_NAME&lt;/Q&gt;&lt;R&gt;0&lt;/R&gt;&lt;C&gt;0&lt;/C&gt;&lt;/FQL&gt;&lt;FQL&gt;&lt;Q&gt;^PROPER_NAME&lt;/Q&gt;&lt;R&gt;0&lt;/R&gt;&lt;C&gt;0&lt;/C&gt;&lt;/FQL&gt;&lt;FQL&gt;&lt;Q&gt;GAW-GB^PROPER_NAME&lt;/Q&gt;&lt;R&gt;1&lt;/R&gt;&lt;C&gt;1&lt;/C&gt;&lt;D xsi:type="xsd:string"&gt;Games Workshop Group PLC&lt;/D&gt;&lt;/FQL&gt;&lt;FQL&gt;&lt;Q&gt;SIKA-CH^PROPER_NAME&lt;/Q&gt;&lt;R&gt;1&lt;/R&gt;&lt;C&gt;1&lt;/C&gt;&lt;D xsi:type="xsd:string"&gt;Sika AG&lt;/D&gt;&lt;/FQL&gt;&lt;FQL&gt;&lt;Q&gt;7309-JP^PROPER_NAME&lt;/Q&gt;&lt;R&gt;1&lt;/R&gt;&lt;C&gt;1&lt;/C&gt;&lt;D xsi:type="xsd:string"&gt;Shimano Inc.&lt;/D&gt;&lt;/FQL&gt;&lt;FQL&gt;&lt;Q&gt;6861-JP^PROPER_NAME&lt;/Q&gt;&lt;R&gt;1&lt;/R&gt;&lt;C&gt;1&lt;/C&gt;&lt;D xsi:type="xsd:string"&gt;Keyence Corporation&lt;/D&gt;&lt;/FQL&gt;&lt;FQL&gt;&lt;Q&gt;AZN-GB^PROPER_NAME&lt;/Q&gt;&lt;R&gt;1&lt;/R&gt;&lt;C&gt;1&lt;/C&gt;&lt;D xsi:type="xsd:string"&gt;AstraZeneca PLC&lt;/D&gt;&lt;/FQL&gt;&lt;FQL&gt;&lt;Q&gt;SAP-DE^PROPER_NAME&lt;/Q&gt;&lt;R&gt;1&lt;/R&gt;&lt;C&gt;1&lt;/C&gt;&lt;D xsi:type="xsd:string"&gt;SAP SE&lt;/D&gt;&lt;/FQL&gt;&lt;FQL&gt;&lt;Q&gt;UMG-NL^PROPER_NAME&lt;/Q&gt;&lt;R&gt;1&lt;/R&gt;&lt;C&gt;1&lt;/C&gt;&lt;D xsi:type="xsd:string"&gt;Universal Music Group N.V.&lt;/D&gt;&lt;/FQL&gt;&lt;FQL&gt;&lt;Q&gt;ROG-CH^PROPER_NAME&lt;/Q&gt;&lt;R&gt;1&lt;/R&gt;&lt;C&gt;1&lt;/C&gt;&lt;D xsi:type="xsd:string"&gt;Roche Holding Ltd Dividend Right Cert.&lt;/D&gt;&lt;/FQL&gt;&lt;FQL&gt;&lt;Q&gt;EVD-DE^PROPER_NAME&lt;/Q&gt;&lt;R&gt;1&lt;/R&gt;&lt;C&gt;1&lt;/C&gt;&lt;D xsi:type="xsd:string"&gt;CTS Eventim AG &amp;amp; Co. KGaA&lt;/D&gt;&lt;/FQL&gt;&lt;FQL&gt;&lt;Q&gt;DGE-GB^PROPER_NAME&lt;/Q&gt;&lt;R&gt;1&lt;/R&gt;&lt;C&gt;1&lt;/C&gt;&lt;D xsi:type="xsd:string"&gt;Diageo plc&lt;/D&gt;&lt;/FQL&gt;&lt;FQL&gt;&lt;Q&gt;KNEBV-FI^PROPER_NAME&lt;/Q&gt;&lt;R&gt;1&lt;/R&gt;&lt;C&gt;1&lt;/C&gt;&lt;D xsi:type="xsd:string"&gt;KONE Oyj Class B&lt;/D&gt;&lt;/FQL&gt;&lt;FQL&gt;&lt;Q&gt;WKL-NL^PROPER_NAME&lt;/Q&gt;&lt;R&gt;1&lt;/R&gt;&lt;C&gt;1&lt;/C&gt;&lt;D xsi:type="xsd:string"&gt;Wolters Kluwer N.V.&lt;/D&gt;&lt;/FQL&gt;&lt;FQL&gt;&lt;Q&gt;CPG-GB^PROPER_NAME&lt;/Q&gt;&lt;R&gt;1&lt;/R&gt;&lt;C&gt;1&lt;/C&gt;&lt;D xsi:type="xsd:string"&gt;Compass Group PLC&lt;/D&gt;&lt;/FQL&gt;&lt;FQL&gt;&lt;Q&gt;EXPN-GB^PROPER_NAME&lt;/Q&gt;&lt;R&gt;1&lt;/R&gt;&lt;C&gt;1&lt;/C&gt;&lt;D xsi:type="xsd:string"&gt;Experian PLC&lt;/D&gt;&lt;/FQL&gt;&lt;FQL&gt;&lt;Q&gt;ATCO.B-SE^PROPER_NAME&lt;/Q&gt;&lt;R&gt;1&lt;/R&gt;&lt;C&gt;1&lt;/C&gt;&lt;D xsi:type="xsd:string"&gt;Atlas Copco AB Class B&lt;/D&gt;&lt;/FQL&gt;&lt;FQL&gt;&lt;Q&gt;CTEC-GB^PROPER_NAME&lt;/Q&gt;&lt;R&gt;1&lt;/R&gt;&lt;C&gt;1&lt;/C&gt;&lt;D xsi:type="xsd:string"&gt;ConvaTec Group Plc&lt;/D&gt;&lt;/FQL&gt;&lt;FQL&gt;&lt;Q&gt;AMS-ES^PROPER_NAME&lt;/Q&gt;&lt;R&gt;1&lt;/R&gt;&lt;C&gt;1&lt;/C&gt;&lt;D xsi:type="xsd:string"&gt;Amadeus IT Group SA Class A&lt;/D&gt;&lt;/FQL&gt;&lt;FQL&gt;&lt;Q&gt;CFR-CH^PROPER_NAME&lt;/Q&gt;&lt;R&gt;1&lt;/R&gt;&lt;C&gt;1&lt;/C&gt;&lt;D xsi:type="xsd:string"&gt;Compagnie Financiere Richemont SA&lt;/D&gt;&lt;/FQL&gt;&lt;FQL&gt;&lt;Q&gt;DB1-DE^PROPER_NAME&lt;/Q&gt;&lt;R&gt;1&lt;/R&gt;&lt;C&gt;1&lt;/C&gt;&lt;D xsi:type="xsd:string"&gt;Deutsche Boerse AG&lt;/D&gt;&lt;/FQL&gt;&lt;FQL&gt;&lt;Q&gt;ASML-NL^PROPER_NAME&lt;/Q&gt;&lt;R&gt;1&lt;/R&gt;&lt;C&gt;1&lt;/C&gt;&lt;D xsi:type="xsd:string"&gt;ASML Holding NV&lt;/D&gt;&lt;/FQL&gt;&lt;FQL&gt;&lt;Q&gt;LSEG-GB^PROPER_NAME&lt;/Q&gt;&lt;R&gt;1&lt;/R&gt;&lt;C&gt;1&lt;/C&gt;&lt;D xsi:type="xsd:string"&gt;London Stock Exchange Group plc&lt;/D&gt;&lt;/FQL&gt;&lt;FQL&gt;&lt;Q&gt;1299-HK^PROPER_NAME&lt;/Q&gt;&lt;R&gt;1&lt;/R&gt;&lt;C&gt;1&lt;/C&gt;&lt;D xsi:type="xsd:string"&gt;AIA Group Limited&lt;/D&gt;&lt;/FQL&gt;&lt;FQL&gt;&lt;Q&gt;AIR-FR^PROPER_NAME&lt;/Q&gt;&lt;R&gt;1&lt;/R&gt;&lt;C&gt;1&lt;/C&gt;&lt;D xsi:type="xsd:string"&gt;Airbus SE&lt;/D&gt;&lt;/FQL&gt;&lt;FQL&gt;&lt;Q&gt;RTO-GB^PROPER_NAME&lt;/Q&gt;&lt;R&gt;1&lt;/R&gt;&lt;C&gt;1&lt;/C&gt;&lt;D xsi:type="xsd:string"&gt;Rentokil Initial plc&lt;/D&gt;&lt;/FQL&gt;&lt;FQL&gt;&lt;Q&gt;HWDN-GB^PROPER_NAME&lt;/Q&gt;&lt;R&gt;1&lt;/R&gt;&lt;C&gt;1&lt;/C&gt;&lt;D xsi:type="xsd:string"&gt;Howden Joinery Group PLC&lt;/D&gt;&lt;/FQL&gt;&lt;FQL&gt;&lt;Q&gt;SAF-FR^PROPER_NAME&lt;/Q&gt;&lt;R&gt;1&lt;/R&gt;&lt;C&gt;1&lt;/C&gt;&lt;D xsi:type="xsd:string"&gt;Safran SA&lt;/D&gt;&lt;/FQL&gt;&lt;FQL&gt;&lt;Q&gt;MC-FR^PROPER_NAME&lt;/Q&gt;&lt;R&gt;1&lt;/R&gt;&lt;C&gt;1&lt;/C&gt;&lt;D xsi:type="xsd:string"&gt;LVMH Moet Hennessy Louis Vuitton SE&lt;/D&gt;&lt;/FQL&gt;&lt;FQL&gt;&lt;Q&gt;DUMMY^CORREL_MATRIX(CORRELMATRIX)&lt;/Q&gt;&lt;R&gt;27&lt;/R&gt;&lt;C&gt;27&lt;/C&gt;&lt;D xsi:type="xsd:double"&gt;1&lt;/D&gt;&lt;D xsi:type="xsd:double"&gt;-0.35544756&lt;/D&gt;&lt;D xsi:type="xsd:double"&gt;-0.44744483&lt;/D&gt;&lt;D xsi:type="xsd:double"&gt;0.3692625&lt;/D&gt;&lt;D xsi:type="xsd:double"&gt;-0.14997098&lt;/D&gt;&lt;D xsi:type="xsd:double"&gt;-0.44549355&lt;/D&gt;&lt;D xsi:type="xsd:double"&gt;-0.065052144&lt;/D&gt;&lt;D xsi:type="xsd:double"&gt;0.188883&lt;/D&gt;&lt;D xsi:type="xsd:double"&gt;-0.70415014&lt;/D&gt;&lt;D xsi:type="xsd:double"&gt;0.15600412&lt;/D&gt;&lt;D xsi:type="xsd:double"&gt;-0.6035675&lt;/D&gt;&lt;D xsi:type="xsd:double"&gt;-0.5578099&lt;/D&gt;&lt;D xsi:type="xsd:double"&gt;0.5512866&lt;/D&gt;&lt;D xsi:type="xsd:double"&gt;-0.50341785&lt;/D&gt;&lt;D xsi:type="xsd:double"&gt;-0.102059804&lt;/D&gt;&lt;D xsi:type="xsd:double"&gt;0.09868176&lt;/D&gt;&lt;D xsi:type="xsd:double"&gt;-0.4862612&lt;/D&gt;&lt;D xsi:type="xsd:double"&gt;0.27004012&lt;/D&gt;&lt;D xsi:type="xsd:double"&gt;-0.59051937&lt;/D&gt;&lt;D xsi:type="xsd:double"&gt;-0.030791873&lt;/D&gt;&lt;D xsi:type="xsd:double"&gt;-0.48063064&lt;/D&gt;&lt;D xsi:type="xsd:double"&gt;-0.33416066&lt;/D&gt;&lt;D xsi:type="xsd:double"&gt;0.07102195&lt;/D&gt;&lt;D xsi:type="xsd:double"&gt;0.30317944&lt;/D&gt;&lt;D xsi:type="xsd:double"&gt;-0.046794377&lt;/D&gt;&lt;D xsi:type="xsd:double"&gt;-0.09777715&lt;/D&gt;&lt;D xsi:type="xsd:double"&gt;-0.5987871&lt;/D&gt;&lt;D xsi:type="xsd:double"&gt;-0.35544756&lt;/D&gt;&lt;D xsi:type="xsd:double"&gt;1&lt;/D&gt;&lt;D xsi:type="xsd:double"&gt;0.72563255&lt;/D&gt;&lt;D xsi:type="xsd:double"&gt;0.24754404&lt;/D&gt;&lt;D xsi:type="xsd:double"&gt;0.9523788&lt;/D&gt;&lt;D xsi:type="xsd:double"&gt;0.8913696&lt;/D&gt;&lt;D xsi:type="xsd:double"&gt;-0.5928301&lt;/D&gt;&lt;D xsi:type="xsd:double"&gt;0.6828365&lt;/D&gt;&lt;D xsi:type="xsd:double"&gt;0.49742395&lt;/D&gt;&lt;D xsi:type="xsd:double"&gt;0.55240446&lt;/D&gt;&lt;D xsi:type="xsd:double"&gt;0.7836916&lt;/D&gt;&lt;D xsi:type="xsd:double"&gt;0.38547722&lt;/D&gt;&lt;D xsi:type="xsd:double"&gt;0.26819238&lt;/D&gt;&lt;D xsi:type="xsd:double"&gt;0.6305383&lt;/D&gt;&lt;D xsi:type="xsd:double"&gt;0.35391423&lt;/D&gt;&lt;D xsi:type="xsd:double"&gt;-0.69500387&lt;/D&gt;&lt;D xsi:type="xsd:double"&gt;0.9152513&lt;/D&gt;&lt;D xsi:type="xsd:double"&gt;-0.7985352&lt;/D&gt;&lt;D xsi:type="xsd:double"&gt;0.3035279&lt;/D&gt;&lt;D xsi:type="xsd:double"&gt;0.6656336&lt;/D&gt;&lt;D xsi:type="xsd:double"&gt;0.5823235&lt;/D&gt;&lt;D xsi:type="xsd:double"&gt;0.50168574&lt;/D&gt;&lt;D xsi:type="xsd:double"&gt;0.7696783&lt;/D&gt;&lt;D xsi:type="xsd:double"&gt;-0.6225723&lt;/D&gt;&lt;D xsi:type="xsd:double"&gt;-0.6592517&lt;/D&gt;&lt;D xsi:type="xsd:double"&gt;-0.4896878&lt;/D&gt;&lt;D xsi:type="xsd:double"&gt;0.7779696&lt;/D&gt;&lt;D xsi:type="xsd:double"&gt;-0.44744483&lt;/D&gt;&lt;D xsi:type="xsd:double"&gt;0.72563255&lt;/D&gt;&lt;D xsi:type="xsd:double"&gt;1&lt;/D&gt;&lt;D xsi:type="xsd:double"&gt;0.4260348&lt;/D&gt;&lt;D xsi:type="xsd:double"&gt;0.63600796&lt;/D&gt;&lt;D xsi:type="xsd:double"&gt;0.7512274&lt;/D&gt;&lt;D xsi:type="xsd:double"&gt;-0.33039615&lt;/D&gt;&lt;D xsi:type="xsd:double"&gt;0.43133432&lt;/D&gt;&lt;D xsi:type="xsd:double"&gt;0.35068488&lt;/D&gt;&lt;D xsi:type="xsd:double"&gt;0.26479313&lt;/D&gt;&lt;D xsi:type="xsd:double"&gt;0.64865375&lt;/D&gt;&lt;D xsi:type="xsd:double"&gt;0.40579095&lt;/D&gt;&lt;D xsi:type="xsd:double"&gt;0.09155241&lt;/D&gt;&lt;D xsi:type="xsd:double"&gt;0.80694896&lt;/D&gt;&lt;D xsi:type="xsd:double"&gt;0.5932893&lt;/D&gt;&lt;D xsi:type="xsd:double"&gt;-0.33263692&lt;/D&gt;&lt;D xsi:type="xsd:double"&gt;0.7412623&lt;/D&gt;&lt;D xsi:type="xsd:double"&gt;-0.39889622&lt;/D&gt;&lt;D xsi:type="xsd:double"&gt;0.33127466&lt;/D&gt;&lt;D xsi:type="xsd:double"&gt;0.29484847&lt;/D&gt;&lt;D xsi:type="xsd:double"&gt;0.5471342&lt;/D&gt;&lt;D xsi:type="xsd:double"&gt;0.43248802&lt;/D&gt;&lt;D xsi:type="xsd:double"&gt;0.41183043&lt;/D&gt;&lt;D xsi:type="xsd:double"&gt;-0.2538889&lt;/D&gt;&lt;D xsi:type="xsd:double"&gt;-0.4219394&lt;/D&gt;&lt;D xsi:type="xsd:double"&gt;-0.04173374&lt;/D&gt;&lt;D xsi:type="xsd:double"&gt;0.701689&lt;/D&gt;&lt;D xsi:type="xsd:double"&gt;0.3692625&lt;/D&gt;&lt;D xsi:type="xsd:double"&gt;0.24754404&lt;/D&gt;&lt;D xsi:type="xsd:double"&gt;0.4260348&lt;/D&gt;&lt;D xsi:type="xsd:double"&gt;1&lt;/D&gt;&lt;D xsi:type="xsd:double"&gt;0.36222133&lt;/D&gt;&lt;D xsi:type="xsd:double"&gt;0.27473998&lt;/D&gt;&lt;D xsi:type="xsd:double"&gt;-0.45805982&lt;/D&gt;&lt;D xsi:type="xsd:double"&gt;0.5669729&lt;/D&gt;&lt;D xsi:type="xsd:double"&gt;-0.48590955&lt;/D&gt;&lt;D xsi:type="xsd:double"&gt;0.07667412&lt;/D&gt;&lt;D xsi:type="xsd:double"&gt;-0.12260428&lt;/D&gt;&lt;D xsi:type="xsd:double"&gt;-0.27976802&lt;/D&gt;&lt;D xsi:type="xsd:double"&gt;0.4175469&lt;/D&gt;&lt;D xsi:type="xsd:double"&gt;0.11803714&lt;/D&gt;&lt;D xsi:type="xsd:double"&gt;0.34000096&lt;/D&gt;&lt;D xsi:type="xsd:double"&gt;-0.33845413&lt;/D&gt;</t>
        </r>
      </text>
    </comment>
    <comment ref="A2" authorId="0" shapeId="0" xr:uid="{F0D471E7-E774-4DFB-8D71-65D7642F40E3}">
      <text>
        <r>
          <rPr>
            <b/>
            <sz val="9"/>
            <color indexed="81"/>
            <rFont val="Tahoma"/>
            <charset val="1"/>
          </rPr>
          <t>&lt;D xsi:type="xsd:double"&gt;0.18149693&lt;/D&gt;&lt;D xsi:type="xsd:double"&gt;-0.06485249&lt;/D&gt;&lt;D xsi:type="xsd:double"&gt;-0.45630094&lt;/D&gt;&lt;D xsi:type="xsd:double"&gt;0.117889844&lt;/D&gt;&lt;D xsi:type="xsd:double"&gt;-0.2176462&lt;/D&gt;&lt;D xsi:type="xsd:double"&gt;-0.20127662&lt;/D&gt;&lt;D xsi:type="xsd:double"&gt;0.37154928&lt;/D&gt;&lt;D xsi:type="xsd:double"&gt;0.045013998&lt;/D&gt;&lt;D xsi:type="xsd:double"&gt;-0.48401394&lt;/D&gt;&lt;D xsi:type="xsd:double"&gt;-0.24762493&lt;/D&gt;&lt;D xsi:type="xsd:double"&gt;-0.081493996&lt;/D&gt;&lt;D xsi:type="xsd:double"&gt;-0.14997098&lt;/D&gt;&lt;D xsi:type="xsd:double"&gt;0.9523788&lt;/D&gt;&lt;D xsi:type="xsd:double"&gt;0.63600796&lt;/D&gt;&lt;D xsi:type="xsd:double"&gt;0.36222133&lt;/D&gt;&lt;D xsi:type="xsd:double"&gt;1&lt;/D&gt;&lt;D xsi:type="xsd:double"&gt;0.846363&lt;/D&gt;&lt;D xsi:type="xsd:double"&gt;-0.66543436&lt;/D&gt;&lt;D xsi:type="xsd:double"&gt;0.80790234&lt;/D&gt;&lt;D xsi:type="xsd:double"&gt;0.31976998&lt;/D&gt;&lt;D xsi:type="xsd:double"&gt;0.57714146&lt;/D&gt;&lt;D xsi:type="xsd:double"&gt;0.6462818&lt;/D&gt;&lt;D xsi:type="xsd:double"&gt;0.24863969&lt;/D&gt;&lt;D xsi:type="xsd:double"&gt;0.3998094&lt;/D&gt;&lt;D xsi:type="xsd:double"&gt;0.4916949&lt;/D&gt;&lt;D xsi:type="xsd:double"&gt;0.28748533&lt;/D&gt;&lt;D xsi:type="xsd:double"&gt;-0.74044293&lt;/D&gt;&lt;D xsi:type="xsd:double"&gt;0.8378902&lt;/D&gt;&lt;D xsi:type="xsd:double"&gt;-0.76937276&lt;/D&gt;&lt;D xsi:type="xsd:double"&gt;0.10849047&lt;/D&gt;&lt;D xsi:type="xsd:double"&gt;0.66156197&lt;/D&gt;&lt;D xsi:type="xsd:double"&gt;0.4695299&lt;/D&gt;&lt;D xsi:type="xsd:double"&gt;0.4023803&lt;/D&gt;&lt;D xsi:type="xsd:double"&gt;0.811891&lt;/D&gt;&lt;D xsi:type="xsd:double"&gt;-0.62065595&lt;/D&gt;&lt;D xsi:type="xsd:double"&gt;-0.7192732&lt;/D&gt;&lt;D xsi:type="xsd:double"&gt;-0.5798923&lt;/D&gt;&lt;D xsi:type="xsd:double"&gt;0.6702389&lt;/D&gt;&lt;D xsi:type="xsd:double"&gt;-0.44549355&lt;/D&gt;&lt;D xsi:type="xsd:double"&gt;0.8913696&lt;/D&gt;&lt;D xsi:type="xsd:double"&gt;0.7512274&lt;/D&gt;&lt;D xsi:type="xsd:double"&gt;0.27473998&lt;/D&gt;&lt;D xsi:type="xsd:double"&gt;0.846363&lt;/D&gt;&lt;D xsi:type="xsd:double"&gt;1&lt;/D&gt;&lt;D xsi:type="xsd:double"&gt;-0.67889506&lt;/D&gt;&lt;D xsi:type="xsd:double"&gt;0.576742&lt;/D&gt;&lt;D xsi:type="xsd:double"&gt;0.33061644&lt;/D&gt;&lt;D xsi:type="xsd:double"&gt;0.26360855&lt;/D&gt;&lt;D xsi:type="xsd:double"&gt;0.6578921&lt;/D&gt;&lt;D xsi:type="xsd:double"&gt;0.27851295&lt;/D&gt;&lt;D xsi:type="xsd:double"&gt;0.15635514&lt;/D&gt;&lt;D xsi:type="xsd:double"&gt;0.55935574&lt;/D&gt;&lt;D xsi:type="xsd:double"&gt;0.24472362&lt;/D&gt;&lt;D xsi:type="xsd:double"&gt;-0.77699745&lt;/D&gt;&lt;D xsi:type="xsd:double"&gt;0.8200391&lt;/D&gt;&lt;D xsi:type="xsd:double"&gt;-0.6547721&lt;/D&gt;&lt;D xsi:type="xsd:double"&gt;0.1461077&lt;/D&gt;&lt;D xsi:type="xsd:double"&gt;0.52503234&lt;/D&gt;&lt;D xsi:type="xsd:double"&gt;0.3652814&lt;/D&gt;&lt;D xsi:type="xsd:double"&gt;0.21367352&lt;/D&gt;&lt;D xsi:type="xsd:double"&gt;0.66242266&lt;/D&gt;&lt;D xsi:type="xsd:double"&gt;-0.55957353&lt;/D&gt;&lt;D xsi:type="xsd:double"&gt;-0.6103335&lt;/D&gt;&lt;D xsi:type="xsd:double"&gt;-0.41175357&lt;/D&gt;&lt;D xsi:type="xsd:double"&gt;0.6497215&lt;/D&gt;&lt;D xsi:type="xsd:double"&gt;-0.065052144&lt;/D&gt;&lt;D xsi:type="xsd:double"&gt;-0.5928301&lt;/D&gt;&lt;D xsi:type="xsd:double"&gt;-0.33039615&lt;/D&gt;&lt;D xsi:type="xsd:double"&gt;-0.45805982&lt;/D&gt;&lt;D xsi:type="xsd:double"&gt;-0.66543436&lt;/D&gt;&lt;D xsi:type="xsd:double"&gt;-0.67889506&lt;/D&gt;&lt;D xsi:type="xsd:double"&gt;1&lt;/D&gt;&lt;D xsi:type="xsd:double"&gt;-0.64939463&lt;/D&gt;&lt;D xsi:type="xsd:double"&gt;0.25646022&lt;/D&gt;&lt;D xsi:type="xsd:double"&gt;-0.071392894&lt;/D&gt;&lt;D xsi:type="xsd:double"&gt;-0.097451426&lt;/D&gt;&lt;D xsi:type="xsd:double"&gt;0.32696632&lt;/D&gt;&lt;D xsi:type="xsd:double"&gt;-0.28965846&lt;/D&gt;&lt;D xsi:type="xsd:double"&gt;-0.080277234&lt;/D&gt;&lt;D xsi:type="xsd:double"&gt;0.053296067&lt;/D&gt;&lt;D xsi:type="xsd:double"&gt;0.8629486&lt;/D&gt;&lt;D xsi:type="xsd:double"&gt;-0.42973384&lt;/D&gt;&lt;D xsi:type="xsd:double"&gt;0.46444905&lt;/D&gt;&lt;D xsi:type="xsd:double"&gt;0.44181794&lt;/D&gt;&lt;D xsi:type="xsd:double"&gt;-0.36136472&lt;/D&gt;&lt;D xsi:type="xsd:double"&gt;0.19579095&lt;/D&gt;&lt;D xsi:type="xsd:double"&gt;0.30403492&lt;/D&gt;&lt;D xsi:type="xsd:double"&gt;-0.6303462&lt;/D&gt;&lt;D xsi:type="xsd:double"&gt;0.55235124&lt;/D&gt;&lt;D xsi:type="xsd:double"&gt;0.79588413&lt;/D&gt;&lt;D xsi:type="xsd:double"&gt;0.6987181&lt;/D&gt;&lt;D xsi:type="xsd:double"&gt;-0.06299309&lt;/D&gt;&lt;D xsi:type="xsd:double"&gt;0.188883&lt;/D&gt;&lt;D xsi:type="xsd:double"&gt;0.6828365&lt;/D&gt;&lt;D xsi:type="xsd:double"&gt;0.43133432&lt;/D&gt;&lt;D xsi:type="xsd:double"&gt;0.5669729&lt;/D&gt;&lt;D xsi:type="xsd:double"&gt;0.80790234&lt;/D&gt;&lt;D xsi:type="xsd:double"&gt;0.576742&lt;/D&gt;&lt;D xsi:type="xsd:double"&gt;-0.64939463&lt;/D&gt;&lt;D xsi:type="xsd:double"&gt;1&lt;/D&gt;&lt;D xsi:type="xsd:double"&gt;-0.05710685&lt;/D&gt;&lt;D xsi:type="xsd:double"&gt;0.5063298&lt;/D&gt;&lt;D xsi:type="xsd:double"&gt;0.25589338&lt;/D&gt;&lt;D xsi:type="xsd:double"&gt;0.08634978&lt;/D&gt;&lt;D xsi:type="xsd:double"&gt;0.5642895&lt;/D&gt;&lt;D xsi:type="xsd:double"&gt;0.12174718&lt;/D&gt;&lt;D xsi:type="xsd:double"&gt;0.113641396&lt;/D&gt;&lt;D xsi:type="xsd:double"&gt;-0.5823951&lt;/D&gt;&lt;D xsi:type="xsd:double"&gt;0.59307146&lt;/D&gt;&lt;D xsi:type="xsd:double"&gt;-0.61715096&lt;/D&gt;&lt;D xsi:type="xsd:double"&gt;-0.2105571&lt;/D&gt;&lt;D xsi:type="xsd:double"&gt;0.50207967&lt;/D&gt;&lt;D xsi:type="xsd:double"&gt;0.15619671&lt;/D&gt;&lt;D xsi:type="xsd:double"&gt;0.1452617&lt;/D&gt;&lt;D xsi:type="xsd:double"&gt;0.6697672&lt;/D&gt;&lt;D xsi:type="xsd:double"&gt;-0.32675466&lt;/D&gt;&lt;D xsi:type="xsd:double"&gt;-0.64398986&lt;/D&gt;&lt;D xsi:type="xsd:double"&gt;-0.59759575&lt;/D&gt;&lt;D xsi:type="xsd:double"&gt;0.3136545&lt;/D&gt;&lt;D xsi:type="xsd:double"&gt;-0.70415014&lt;/D&gt;&lt;D xsi:type="xsd:double"&gt;0.49742395&lt;/D&gt;&lt;D xsi:type="xsd:double"&gt;0.35068488&lt;/D&gt;&lt;D xsi:type="xsd:double"&gt;-0.48590955&lt;/D&gt;&lt;D xsi:type="xsd:double"&gt;0.31976998&lt;/D&gt;&lt;D xsi:type="xsd:double"&gt;0.33061644&lt;/D&gt;&lt;D xsi:type="xsd:double"&gt;0.25646022&lt;/D&gt;&lt;D xsi:type="xsd:double"&gt;-0.05710685&lt;/D&gt;&lt;D xsi:type="xsd:double"&gt;1&lt;/D&gt;&lt;D xsi:type="xsd:double"&gt;0.42614022&lt;/D&gt;&lt;D xsi:type="xsd:double"&gt;0.83804053&lt;/D&gt;&lt;D xsi:type="xsd:double"&gt;0.80258256&lt;/D&gt;&lt;D xsi:type="xsd:double"&gt;-0.20984213&lt;/D&gt;&lt;D xsi:type="xsd:double"&gt;0.5370706&lt;/D&gt;&lt;D xsi:type="xsd:double"&gt;0.26159242&lt;/D&gt;&lt;D xsi:type="xsd:double"&gt;-0.00953027&lt;/D&gt;&lt;D xsi:type="xsd:double"&gt;0.62319326&lt;/D&gt;&lt;D xsi:type="xsd:double"&gt;-0.4716382&lt;/D&gt;&lt;D xsi:type="xsd:double"&gt;0.8522897&lt;/D&gt;&lt;D xsi:type="xsd:double"&gt;0.39345244&lt;/D&gt;&lt;D xsi:type="xsd:double"&gt;0.83028954&lt;/D&gt;&lt;D xsi:type="xsd:double"&gt;0.7723158&lt;/D&gt;&lt;D xsi:type="xsd:double"&gt;0.20526071&lt;/D&gt;&lt;D xsi:type="xsd:double"&gt;-0.29717988&lt;/D&gt;&lt;D xsi:type="xsd:double"&gt;0.08371766&lt;/D&gt;&lt;D xsi:type="xsd:double"&gt;0.06548634&lt;/D&gt;&lt;D xsi:type="xsd:double"&gt;0.8136295&lt;/D&gt;&lt;D xsi:type="xsd:double"&gt;0.15600412&lt;/D&gt;&lt;D xsi:type="xsd:double"&gt;0.55240446&lt;/D&gt;&lt;D xsi:type="xsd:double"&gt;0.26479313&lt;/D&gt;&lt;D xsi:type="xsd:double"&gt;0.07667412&lt;/D&gt;&lt;D xsi:type="xsd:double"&gt;0.57714146&lt;/D&gt;&lt;D xsi:type="xsd:double"&gt;0.26360855&lt;/D&gt;&lt;D xsi:type="xsd:double"&gt;-0.071392894&lt;/D&gt;&lt;D xsi:type="xsd:double"&gt;0.5063298&lt;/D&gt;&lt;D xsi:type="xsd:double"&gt;0.42614022&lt;/D&gt;&lt;D xsi:type="xsd:double"&gt;1&lt;/D&gt;&lt;D xsi:type="xsd:double"&gt;0.4991472&lt;/D&gt;&lt;D xsi:type="xsd:double"&gt;0.47532693&lt;/D&gt;&lt;D xsi:type="xsd:double"&gt;0.6296386&lt;/D&gt;&lt;D xsi:type="xsd:double"&gt;0.34242523&lt;/D&gt;&lt;D xsi:type="xsd:double"&gt;0.33509728&lt;/D&gt;&lt;D xsi:type="xsd:double"&gt;-0.15968564&lt;/D&gt;&lt;D xsi:type="xsd:double"&gt;0.5811185&lt;/D&gt;&lt;D xsi:type="xsd:double"&gt;-0.6158651&lt;/D&gt;&lt;D xsi:type="xsd:double"&gt;0.3979678&lt;/D&gt;&lt;D xsi:type="xsd:double"&gt;0.7397241&lt;/D&gt;&lt;D xsi:type="xsd:double"&gt;0.6468499&lt;/D&gt;&lt;D xsi:type="xsd:double"&gt;0.6415658&lt;/D&gt;&lt;D xsi:type="xsd:double"&gt;0.619301&lt;/D&gt;&lt;D xsi:type="xsd:double"&gt;-0.16557746&lt;/D&gt;&lt;D xsi:type="xsd:double"&gt;-0.21873239&lt;/D&gt;&lt;D xsi:type="xsd:double"&gt;-0.16350003&lt;/D&gt;&lt;D xsi:type="xsd:double"&gt;0.5019851&lt;/D&gt;&lt;D xsi:type="xsd:double"&gt;-0.6035675&lt;/D&gt;&lt;D xsi:type="xsd:double"&gt;0.7836916&lt;/D&gt;&lt;D xsi:type="xsd:double"&gt;0.64865375&lt;/D&gt;&lt;D xsi:type="xsd:double"&gt;-0.12260428&lt;/D&gt;&lt;D xsi:type="xsd:double"&gt;0.6462818&lt;/D&gt;&lt;D xsi:type="xsd:double"&gt;0.6578921&lt;/D&gt;&lt;D xsi:type="xsd:double"&gt;-0.097451426&lt;/D&gt;&lt;D xsi:type="xsd:double"&gt;0.25589338&lt;/D&gt;&lt;D xsi:type="xsd:double"&gt;0.83804053&lt;/D&gt;&lt;D xsi:type="xsd:double"&gt;0.4991472&lt;/D&gt;&lt;D xsi:type="xsd:double"&gt;1&lt;/D&gt;&lt;D xsi:type="xsd:double"&gt;0.6931606&lt;/D&gt;&lt;D xsi:type="xsd:double"&gt;0.0147988945&lt;/D&gt;&lt;D xsi:type="xsd:double"&gt;0.7062487&lt;/D&gt;&lt;D xsi:type="xsd:double"&gt;0.43652302&lt;/D&gt;&lt;D xsi:type="xsd:double"&gt;-0.31425983&lt;/D&gt;&lt;D xsi:type="xsd:double"&gt;0.80826396&lt;/D&gt;&lt;D xsi:type="xsd:double"&gt;-0.59115833&lt;/D&gt;&lt;D xsi:type="xsd:double"&gt;0.69076604&lt;/D&gt;&lt;D xsi:type="xsd:double"&gt;0.54756904&lt;/D&gt;&lt;D xsi:type="xsd:double"&gt;0.8119145&lt;/D&gt;&lt;D xsi:type="xsd:double"&gt;0.7295858&lt;/D&gt;&lt;D xsi:type="xsd:double"&gt;0.50004077&lt;/D&gt;&lt;D xsi:type="xsd:double"&gt;-0.42861912&lt;/D&gt;&lt;D xsi:type="xsd:double"&gt;-0.23839645&lt;/D&gt;&lt;D xsi:type="xsd:double"&gt;-0.087519534&lt;/D&gt;&lt;D xsi:type="xsd:double"&gt;0.88591844&lt;/D&gt;&lt;D xsi:type="xsd:double"&gt;-0.5578099&lt;/D&gt;&lt;D xsi:type="xsd:double"&gt;0.38547722&lt;/D&gt;&lt;D xsi:type="xsd:double"&gt;0.40579095&lt;/D&gt;&lt;D xsi:type="xsd:double"&gt;-0.27976802&lt;/D&gt;&lt;D xsi:type="xsd:double"&gt;0.24863969&lt;/D&gt;&lt;D xsi:type="xsd:double"&gt;0.27851295&lt;/D&gt;&lt;D xsi:type="xsd:double"&gt;0.32696632&lt;/D&gt;&lt;D xsi:type="xsd:double"&gt;0.08634978&lt;/D&gt;&lt;D xsi:type="xsd:double"&gt;0.80258256&lt;/D&gt;&lt;D xsi:type="xsd:double"&gt;0.47532693&lt;/D&gt;&lt;D xsi:type="xsd:double"&gt;0.6931606&lt;/D&gt;&lt;D xsi:type="xsd:double"&gt;1&lt;/D&gt;&lt;D xsi:type="xsd:double"&gt;0.03690898&lt;/D&gt;&lt;D xsi:type="xsd:double"&gt;0.45346883&lt;/D&gt;&lt;D xsi:type="xsd:double"&gt;0.29867136&lt;/D&gt;&lt;D xsi:type="xsd:double"&gt;0.08906945&lt;/D&gt;&lt;D xsi:type="xsd:double"&gt;0.59037274&lt;/D&gt;&lt;D xsi:type="xsd:double"&gt;-0.42790222&lt;/D&gt;&lt;D xsi:type="xsd:double"&gt;0.73698515&lt;/D&gt;&lt;D xsi:type="xsd:double"&gt;0.41802686&lt;/D&gt;&lt;D xsi:type="xsd:double"&gt;0.75596946&lt;/D&gt;&lt;D xsi:type="xsd:double"&gt;0.6825515&lt;/D&gt;&lt;D xsi:type="xsd:double"&gt;0.17265442&lt;/D&gt;&lt;D xsi:type="xsd:double"&gt;-0.0008856749&lt;/D&gt;&lt;D xsi:type="xsd:double"&gt;0.22248606&lt;/D&gt;&lt;D xsi:type="xsd:double"&gt;0.30082372&lt;/D&gt;&lt;D xsi:type="xsd:double"&gt;0.7063731&lt;/D&gt;&lt;D xsi:type="xsd:double"&gt;0.5512866&lt;/D&gt;&lt;D xsi:type="xsd:double"&gt;0.26819238&lt;/D&gt;&lt;D xsi:type="xsd:double"&gt;0.09155241&lt;/D&gt;&lt;D xsi:type="xsd:double"&gt;0.4175469&lt;/D&gt;&lt;D xsi:type="xsd:double"&gt;0.3998094&lt;/D&gt;&lt;D xsi:type="xsd:double"&gt;0.15635514&lt;/D&gt;&lt;D xsi:type="xsd:double"&gt;-0.28965846&lt;/D&gt;&lt;D xsi:type="xsd:double"&gt;0.5642895&lt;/D&gt;&lt;D xsi:type="xsd:double"&gt;-0.20984213&lt;/D&gt;&lt;D xsi:type="xsd:double"&gt;0.6296386&lt;/D&gt;&lt;D xsi:type="xsd:double"&gt;0.0147988945&lt;/D&gt;&lt;D xsi:type="xsd:double"&gt;0.03690898&lt;/D&gt;&lt;D xsi:type="xsd:double"&gt;1&lt;/D&gt;&lt;D xsi:type="xsd:double"&gt;0.03521079&lt;/D&gt;&lt;D xsi:type="xsd:double"&gt;0.19789264&lt;/D&gt;&lt;D xsi:type="xsd:double"&gt;-0.23974727&lt;/D&gt;&lt;D xsi:type="xsd:double"&gt;0.2633328&lt;/D&gt;&lt;D xsi:type="xsd:double"&gt;-0.2625176&lt;/D&gt;&lt;D xsi:type="xsd:double"&gt;-0.17833117&lt;/D&gt;&lt;D xsi:type="xsd:double"&gt;0.611209&lt;/D&gt;&lt;D xsi:type="xsd:double"&gt;0.080772854&lt;/D&gt;&lt;D xsi:type="xsd:double"&gt;0.055785064&lt;/D&gt;&lt;D xsi:type="xsd:double"&gt;0.55382246&lt;/D&gt;&lt;D xsi:type="xsd:double"&gt;0.12434711&lt;/D&gt;&lt;D xsi:type="xsd:double"&gt;-0.25754255&lt;/D&gt;&lt;D xsi:type="xsd:double"&gt;-0.0609627&lt;/D&gt;&lt;D xsi:type="xsd:double"&gt;-0.023115829&lt;/D&gt;&lt;D xsi:type="xsd:double"&gt;-0.50341785&lt;/D&gt;&lt;D xsi:type="xsd:double"&gt;0.6305383&lt;/D&gt;&lt;D xsi:type="xsd:double"&gt;0.80694896&lt;/D&gt;&lt;D xsi:type="xsd:double"&gt;0.11803714&lt;/D&gt;&lt;D xsi:type="xsd:double"&gt;0.4916949&lt;/D&gt;&lt;D xsi:type="xsd:double"&gt;0.55935574&lt;/D&gt;&lt;D xsi:type="xsd:double"&gt;-0.080277234&lt;/D&gt;&lt;D xsi:type="xsd:double"&gt;0.12174718&lt;/D&gt;&lt;D xsi:type="xsd:double"&gt;0.5370706&lt;/D&gt;&lt;D xsi:type="xsd:double"&gt;0.34242523&lt;/D&gt;&lt;D xsi:type="xsd:double"&gt;0.7062487&lt;/D&gt;&lt;D xsi:type="xsd:double"&gt;0.45346883&lt;/D&gt;&lt;D xsi:type="xsd:double"&gt;0.03521079&lt;/D&gt;&lt;D xsi:type="xsd:double"&gt;1&lt;/D&gt;&lt;D xsi:type="xsd:double"&gt;0.5921386&lt;/D&gt;&lt;D xsi:type="xsd:double"&gt;-0.12468708&lt;/D&gt;&lt;D xsi:type="xsd:double"&gt;0.6704838&lt;/D&gt;&lt;D xsi:type="xsd:double"&gt;-0.34891638&lt;/D&gt;&lt;D xsi:type="xsd:double"&gt;0.5767266&lt;/D&gt;&lt;D xsi:type="xsd:double"&gt;0.32420537&lt;/D&gt;&lt;D xsi:type="xsd:double"&gt;0.6972943&lt;/D&gt;&lt;D xsi:type="xsd:double"&gt;0.5963122&lt;/D&gt;&lt;D xsi:type="xsd:double"&gt;0.2725379&lt;/D&gt;&lt;D xsi:type="xsd:double"&gt;-0.24993059&lt;/D&gt;&lt;D xsi:type="xsd:double"&gt;-0.22640483&lt;/D&gt;&lt;D xsi:type="xsd:double"&gt;0.14823046&lt;/D&gt;&lt;D xsi:type="xsd:double"&gt;0.7379602&lt;/D&gt;&lt;D xsi:type="xsd:double"&gt;-0.102059804&lt;/D&gt;&lt;D xsi:type="xsd:double"&gt;0.35391423&lt;/D&gt;&lt;D xsi:type="xsd:double"&gt;0.5932893&lt;/D&gt;&lt;D xsi:type="xsd:double"&gt;0.34000096&lt;/D&gt;&lt;D xsi:type="xsd:double"&gt;0.28748533&lt;/D&gt;&lt;D xsi:type="xsd:double"&gt;0.24472362&lt;/D&gt;&lt;D xsi:type="xsd:double"&gt;0.053296067&lt;/D&gt;&lt;D xsi:type="xsd:double"&gt;0.113641396&lt;/D&gt;&lt;D xsi:type="xsd:double"&gt;0.26159242&lt;/D&gt;&lt;D xsi:type="xsd:double"&gt;0.33509728&lt;/D&gt;&lt;D xsi:type="xsd:double"&gt;0.43652302&lt;/D&gt;&lt;D xsi:type="xsd:double"&gt;0.29867136&lt;/D&gt;&lt;D xsi:type="xsd:double"&gt;0.19789264&lt;/D&gt;&lt;D xsi:type="xsd:double"&gt;0.5921386&lt;/D&gt;&lt;D xsi:type="xsd:double"&gt;1&lt;/D&gt;&lt;D xsi:type="xsd:double"&gt;0.010991182&lt;/D&gt;&lt;D xsi:type="xsd:double"&gt;0.36692187&lt;/D&gt;&lt;D xsi:type="xsd:double"&gt;-0.09851803&lt;/D&gt;&lt;D xsi:type="xsd:double"&gt;0.33735827&lt;/D&gt;&lt;D xsi:type="xsd:double"&gt;0.20070924&lt;/D&gt;&lt;D xsi:type="xsd:double"&gt;0.4947522&lt;/D&gt;&lt;D xsi:type="xsd:double"&gt;0.44051605&lt;/D&gt;&lt;D xsi:type="xsd:double"&gt;0.3022695&lt;/D&gt;&lt;D xsi:type="xsd:double"&gt;0.0864843&lt;/D&gt;&lt;D xsi:type="xsd:double"&gt;-0.18775977&lt;/D&gt;&lt;D xsi:type="xsd:double"&gt;0.18599433&lt;/D&gt;&lt;D xsi:type="xsd:double"&gt;0.4651908&lt;/D&gt;&lt;D xsi:type="xsd:double"&gt;0.09868176&lt;/D&gt;&lt;D xsi:type="xsd:double"&gt;-0.69500387&lt;/D&gt;&lt;D xsi:type="xsd:double"&gt;-0.33263692&lt;/D&gt;&lt;D xsi:type="xsd:double"&gt;-0.33845413&lt;/D&gt;&lt;D xsi:type="xsd:double"&gt;-0.74044293&lt;/D&gt;&lt;D xsi:type="xsd:double"&gt;-0.77699745&lt;/D&gt;&lt;D xsi:type="xsd:double"&gt;0.8629486&lt;/D&gt;&lt;D xsi:type="xsd:double"&gt;-0.5823951&lt;/D&gt;&lt;D xsi:type="xsd:double"&gt;-0.00953027&lt;/D&gt;&lt;D xsi:type="xsd:double"&gt;-0.15968564&lt;/D&gt;&lt;D xsi:type="xsd:double"&gt;-0.31425983&lt;/D&gt;&lt;D xsi:type="xsd:double"&gt;0.08906945&lt;/D&gt;&lt;D xsi:type="xsd:double"&gt;-0.23974727&lt;/D&gt;&lt;D xsi:type="xsd:double"&gt;-0.12468708&lt;/D&gt;&lt;D xsi:type="xsd:double"&gt;0.010991182&lt;/D&gt;&lt;D xsi:type="xsd:double"&gt;1&lt;/D&gt;&lt;D xsi:type="xsd:double"&gt;-0.573083&lt;/D&gt;&lt;D xsi:type="xsd:double"&gt;0.5520353&lt;/D&gt;&lt;D xsi:type="xsd:double"&gt;0.27893108&lt;/D&gt;&lt;D xsi:type="xsd:double"&gt;-0.50697994&lt;/D&gt;&lt;D xsi:type="xsd:double"&gt;0.0506969&lt;/D&gt;&lt;D xsi:type="xsd:double"&gt;0.17580827&lt;/D&gt;&lt;D xsi:type="xsd:double"&gt;-0.7594069&lt;/D&gt;&lt;D xsi:type="xsd:double"&gt;0.6217823&lt;/D&gt;&lt;D xsi:type="xsd:double"&gt;0.76267034&lt;/D&gt;&lt;D xsi:type="xsd:double"&gt;0.7022285&lt;/D&gt;&lt;D xsi:type="xsd:double"&gt;-0.27142128&lt;/D&gt;&lt;D xsi:type="xsd:double"&gt;-0.4862612&lt;/D&gt;&lt;D xsi:type="xsd:double"&gt;0.9152513&lt;/D&gt;&lt;D xsi:type="xsd:double"&gt;0.7412623&lt;/D&gt;&lt;D xsi:type="xsd:double"&gt;0.18149693&lt;/D&gt;&lt;D xsi:type="xsd:double"&gt;0.8378902&lt;/D&gt;&lt;D xsi:type="xsd:double"&gt;0.8200391&lt;/D&gt;&lt;D xsi:type="xsd:double"&gt;-0.42973384&lt;/D&gt;&lt;D xsi:type="xsd:double"&gt;0.59307146&lt;/D&gt;&lt;D xsi:type="xsd:double"&gt;0.62319326&lt;/D&gt;&lt;D xsi:type="xsd:double"&gt;0.5811185&lt;/D&gt;&lt;D xsi:type="xsd:double"&gt;0.80826396&lt;/D&gt;&lt;D xsi:type="xsd:double"&gt;0.59037274&lt;/D&gt;&lt;D xsi:type="xsd:double"&gt;0.2633328&lt;/D&gt;&lt;D xsi:type="xsd:double"&gt;0.6704838&lt;/D&gt;&lt;D xsi:type="xsd:double"&gt;0.36692187&lt;/D&gt;&lt;D xsi:type="xsd:double"&gt;-0.573083&lt;/D&gt;&lt;D xsi:type="xsd:double"&gt;1&lt;/D&gt;&lt;D xsi:type="xsd:double"&gt;-0.7963592&lt;/D&gt;&lt;D xsi:type="xsd:double"&gt;0.45929822&lt;/D&gt;&lt;D xsi:type="xsd:double"&gt;0.70123523&lt;/D&gt;&lt;D xsi:type="xsd:double"&gt;0.67078435&lt;/D&gt;&lt;D xsi:type="xsd:double"&gt;0.51811&lt;/D&gt;&lt;D xsi:type="xsd:double"&gt;0.6786632&lt;/D&gt;&lt;D xsi:type="xsd:double"&gt;-0.51605725&lt;/D&gt;&lt;D xsi:type="xsd:double"&gt;-0.48047042&lt;/D&gt;&lt;D xsi:type="xsd:double"&gt;-0.31505135&lt;/D&gt;&lt;D xsi:type="xsd:double"&gt;0.8193369&lt;/D&gt;&lt;D xsi:type="xsd:double"&gt;0.27004012&lt;/D&gt;&lt;D xsi:type="xsd:double"&gt;-0.7985352&lt;/D&gt;&lt;D xsi:type="xsd:double"&gt;-0.39889622&lt;/D&gt;&lt;D xsi:type="xsd:double"&gt;-0.06485249&lt;/D&gt;&lt;D xsi:type="xsd:double"&gt;-0.76937276&lt;/D&gt;&lt;D xsi:type="xsd:double"&gt;-0.6547721&lt;/D&gt;&lt;D xsi:type="xsd:double"&gt;0.46444905&lt;/D&gt;&lt;D xsi:type="xsd:double"&gt;-0.61715096&lt;/D&gt;&lt;D xsi:type="xsd:double"&gt;-0.4716382&lt;/D&gt;&lt;D xsi:type="xsd:double"&gt;-0.6158651&lt;/D&gt;&lt;D xsi:type="xsd:double"&gt;-0.59115833&lt;/D&gt;&lt;D xsi:type="xsd:double"&gt;-0.42790222&lt;/D&gt;&lt;D xsi:type="xsd:double"&gt;-0.2625176&lt;/D&gt;&lt;D xsi:type="xsd:double"&gt;-0.34891638&lt;/D&gt;&lt;D xsi:type="xsd:double"&gt;-0.09851803&lt;/D&gt;&lt;D xsi:type="xsd:double"&gt;0.5520353&lt;/D&gt;&lt;D xsi:type="xsd:double"&gt;-0.7963592&lt;/D&gt;&lt;D xsi:type="xsd:double"&gt;1&lt;/D&gt;&lt;D xsi:type="xsd:double"&gt;-0.31717417&lt;/D&gt;&lt;D xsi:type="xsd:double"&gt;-0.7200981&lt;/D&gt;&lt;D xsi:type="xsd:double"&gt;-0.49022952&lt;/D&gt;&lt;D xsi:type="xsd:double"&gt;-0.4310813&lt;/D&gt;&lt;D xsi:type="xsd:double"&gt;-0.65752393&lt;/D&gt;&lt;D xsi:type="xsd:double"&gt;0.62692446&lt;/D&gt;&lt;D xsi:type="xsd:double"&gt;0.39411393&lt;/D&gt;&lt;D xsi:type="xsd:double"&gt;0.4772942&lt;/D&gt;&lt;D xsi:type="xsd:double"&gt;-0.5983266&lt;/D&gt;&lt;D xsi:type="xsd:double"&gt;-0.59051937&lt;/D&gt;&lt;D xsi:type="xsd:double"&gt;0.3035279&lt;/D&gt;&lt;D xsi:type="xsd:double"&gt;0.33127466&lt;/D&gt;&lt;D xsi:type="xsd:double"&gt;-0.45630094&lt;/D&gt;&lt;D xsi:type="xsd:double"&gt;0.10849047&lt;/D&gt;&lt;D xsi:type="xsd:double"&gt;0.1461077&lt;/D&gt;&lt;D xsi:type="xsd:double"&gt;0.44181794&lt;/D&gt;&lt;D xsi:type="xsd:double"&gt;-0.2105571&lt;/D&gt;&lt;D xsi:type="xsd:double"&gt;0.8522897&lt;/D&gt;&lt;D xsi:type="xsd:double"&gt;0.3979678&lt;/D&gt;&lt;D xsi:type="xsd:double"&gt;0.69076604&lt;/D&gt;&lt;D xsi:type="xsd:double"&gt;0.73698515&lt;/D&gt;&lt;D xsi:type="xsd:double"&gt;-0.17833117&lt;/D&gt;&lt;D xsi:type="xsd:double"&gt;0.5767266&lt;/D&gt;&lt;D xsi:type="xsd:double"&gt;0.33735827&lt;/D&gt;&lt;D xsi:type="xsd:double"&gt;0.27893108&lt;/D&gt;&lt;D xsi:type="xsd:double"&gt;0.45929822&lt;/D&gt;&lt;D xsi:type="xsd:double"&gt;-0.31717417&lt;/D&gt;&lt;D xsi:type="xsd:double"&gt;1&lt;/D&gt;&lt;D xsi:type="xsd:double"&gt;0.2770601&lt;/D&gt;&lt;D xsi:type="xsd:double"&gt;0.822512&lt;/D&gt;&lt;D xsi:type="xsd:double"&gt;0.78073037&lt;/D&gt;&lt;D xsi:type="xsd:double"&gt;-0.026012737&lt;/D&gt;&lt;D xsi:type="xsd:double"&gt;-0.09310057&lt;/D&gt;&lt;D xsi:type="xsd:double"&gt;0.30404547&lt;/D&gt;&lt;D xsi:type="xsd:double"&gt;0.36915126&lt;/D&gt;&lt;D xsi:type="xsd:double"&gt;0.6396716&lt;/D&gt;&lt;D xsi:type="xsd:double"&gt;-0.030791873&lt;/D&gt;&lt;D xsi:type="xsd:double"&gt;0.6656336&lt;/D&gt;&lt;D xsi:type="xsd:double"&gt;0.29484847&lt;/D&gt;&lt;D xsi:type="xsd:double"&gt;0.117889844&lt;/D&gt;&lt;D xsi:type="xsd:double"&gt;0.66156197&lt;/D&gt;&lt;D xsi:type="xsd:double"&gt;0.52503234&lt;/D&gt;&lt;D xsi:type="xsd:double"&gt;-0.36136472&lt;/D&gt;&lt;D xsi:type="xsd:double"&gt;0.50207967&lt;/D&gt;&lt;D xsi:type="xsd:double"&gt;0.39345244&lt;/D&gt;&lt;D xsi:type="xsd:double"&gt;0.7397241&lt;/D&gt;&lt;D xsi:type="xsd:double"&gt;0.54756904&lt;/D&gt;&lt;D xsi:type="xsd:double"&gt;0.41802686&lt;/D&gt;&lt;D xsi:type="xsd:double"&gt;0.611209&lt;/D&gt;&lt;D xsi:type="xsd:double"&gt;0.32420537&lt;/D&gt;&lt;D xsi:type="xsd:double"&gt;0.20070924&lt;/D&gt;&lt;D xsi:type="xsd:double"&gt;-0.50697994&lt;/D&gt;&lt;D xsi:type="xsd:double"&gt;0.70123523&lt;/D&gt;&lt;D xsi:type="xsd:double"&gt;-0.7200981&lt;/D&gt;&lt;D xsi:type="xsd:double"&gt;0.2770601&lt;/D&gt;&lt;D xsi:type="xsd:double"&gt;1&lt;/D&gt;&lt;D xsi:type="xsd:double"&gt;0.47273335&lt;/D&gt;&lt;D xsi:type="xsd:double"&gt;0.3800993&lt;/D&gt;&lt;D xsi:type="xsd:double"&gt;0.8183805&lt;/D&gt;&lt;D xsi:type="xsd:double"&gt;-0.3282794&lt;/D&gt;&lt;D xsi:type="xsd:double"&gt;-0.28564706&lt;/D&gt;&lt;D xsi:type="xsd:double"&gt;-0.22626543&lt;/D&gt;&lt;D xsi:type="xsd:double"&gt;0.46090952&lt;/D&gt;&lt;D xsi:type="xsd:double"&gt;-0.48063064&lt;/D&gt;&lt;D xsi:type="xsd:double"&gt;0.5823235&lt;/D&gt;&lt;D xsi:type="xsd:double"&gt;0.5471342&lt;/D&gt;&lt;D xsi:type="xsd:double"&gt;-0.2176462&lt;/D&gt;&lt;D xsi:type="xsd:double"&gt;0.4695299&lt;/D&gt;&lt;D xsi:type="xsd:double"&gt;0.3652814&lt;/D&gt;&lt;D xsi:type="xsd:double"&gt;0.19579095&lt;/D&gt;&lt;D xsi:type="xsd:double"&gt;0.15619671&lt;/D&gt;&lt;D xsi:type="xsd:double"&gt;0.83028954&lt;/D&gt;&lt;D xsi:type="xsd:double"&gt;0.6468499&lt;/D&gt;&lt;D xsi:type="xsd:double"&gt;0.8119145&lt;/D&gt;&lt;D xsi:type="xsd:double"&gt;0.75596946&lt;/D&gt;&lt;D xsi:type="xsd:double"&gt;0.080772854&lt;/D&gt;&lt;D xsi:type="xsd:double"&gt;0.6972943&lt;/D&gt;&lt;D xsi:type="xsd:double"&gt;0.4947522&lt;/D&gt;&lt;D xsi:type="xsd:double"&gt;0.0506969&lt;/D&gt;&lt;D xsi:type="xsd:double"&gt;0.67078435&lt;/D&gt;&lt;D xsi:type="xsd:double"&gt;-0.49022952&lt;/D&gt;&lt;D xsi:type="xsd:double"&gt;0.822512&lt;/D&gt;&lt;D xsi:type="xsd:double"&gt;0.47273335&lt;/D&gt;&lt;D xsi:type="xsd:double"&gt;1&lt;/D&gt;&lt;D xsi:type="xsd:double"&gt;0.88843733&lt;/D&gt;&lt;D xsi:type="xsd:double"&gt;0.28692332&lt;/D&gt;&lt;D xsi:type="xsd:double"&gt;-0.22337934&lt;/D&gt;&lt;D xsi:type="xsd:double"&gt;0.015604189&lt;/D&gt;&lt;D xsi:type="xsd:double"&gt;0.17899045&lt;/D&gt;&lt;D xsi:type="xsd:double"&gt;0.83249086&lt;/D&gt;&lt;D xsi:type="xsd:double"&gt;-0.33416066&lt;/D&gt;&lt;D xsi:type="xsd:double"&gt;0.50168574&lt;/D&gt;&lt;D xsi:type="xsd:double"&gt;0.43248802&lt;/D&gt;&lt;D xsi:type="xsd:double"&gt;-0.20127662&lt;/D&gt;&lt;D xsi:type="xsd:double"&gt;0.4023803&lt;/D&gt;&lt;D xsi:type="xsd:double"&gt;0.21367352&lt;/D&gt;&lt;D xsi:type="xsd:double"&gt;0.30403492&lt;/D&gt;&lt;D xsi:type="xsd:double"&gt;0.1452617&lt;/D&gt;&lt;D xsi:type="xsd:double"&gt;0.7723158&lt;/D&gt;&lt;D xsi:type="xsd:double"&gt;0.6415658&lt;/D&gt;&lt;D xsi:type="xsd:double"&gt;0.7295858&lt;/D&gt;&lt;D xsi:type="xsd:double"&gt;0.6825515&lt;/D&gt;&lt;D xsi:type="xsd:double"&gt;0.055785064&lt;/D&gt;&lt;D xsi:type="xsd:double"&gt;0.5963122&lt;/D&gt;&lt;D xsi:type="xsd:double"&gt;0.44051605&lt;/D&gt;&lt;D xsi:type="xsd:double"&gt;0.17580827&lt;/D&gt;&lt;D xsi:type="xsd:double"&gt;0.51811&lt;/D&gt;&lt;D xsi:type="xsd:double"&gt;-0.4310813&lt;/D&gt;&lt;D xsi:type="xsd:double"&gt;0.78073037&lt;/D&gt;&lt;D xsi:type="xsd:double"&gt;0.3800993&lt;/D&gt;&lt;D xsi:type="xsd:double"&gt;0.88843733&lt;/D&gt;&lt;D xsi:type="xsd:double"&gt;1&lt;/D&gt;&lt;D xsi:type="xsd:double"&gt;0.22151361&lt;/D&gt;&lt;D xsi:type="xsd:double"&gt;-0.108608305&lt;/D&gt;&lt;D xsi:type="xsd:double"&gt;0.09045242&lt;/D&gt;&lt;D xsi:type="xsd:double"&gt;0.15210737&lt;/D&gt;&lt;D xsi:type="xsd:double"&gt;0.78040135&lt;/D&gt;&lt;D xsi:type="xsd:double"&gt;0.07102195&lt;/D&gt;&lt;D xsi:type="xsd:double"&gt;0.7696783&lt;/D&gt;&lt;D xsi:type="xsd:double"&gt;0.41183043&lt;/D&gt;&lt;D xsi:type="xsd:double"&gt;0.37154928&lt;/D&gt;&lt;D xsi:type="xsd:double"&gt;0.811891&lt;/D&gt;&lt;D xsi:type="xsd:double"&gt;0.66242266&lt;/D&gt;&lt;D xsi:type="xsd:double"&gt;-0.6303462&lt;/D&gt;&lt;D xsi:type="xsd:double"&gt;0.6697672&lt;/D&gt;&lt;D xsi:type="xsd:double"&gt;0.20526071&lt;/D&gt;&lt;D xsi:type="xsd:double"&gt;0.619301&lt;/D&gt;&lt;D xsi:type="xsd:double"&gt;0.50004077&lt;/D&gt;&lt;D xsi:type="xsd:double"&gt;0.17265442&lt;/D&gt;&lt;D xsi:type="xsd:double"&gt;0.55382246&lt;/D&gt;&lt;D xsi:type="xsd:double"&gt;0.2725379&lt;/D&gt;&lt;D xsi:type="xsd:double"&gt;0.3022695&lt;/D&gt;&lt;D xsi:type="xsd:double"&gt;-0.7594069&lt;/D&gt;&lt;D xsi:type="xsd:double"&gt;0.6786632&lt;/D&gt;&lt;D xsi:type="xsd:double"&gt;-0.65752393&lt;/D&gt;&lt;D xsi:type="xsd:double"&gt;-0.026012737&lt;/D&gt;&lt;D xsi:type="xsd:double"&gt;0.8183805&lt;/D&gt;&lt;D xsi:type="xsd:double"&gt;0.28692332&lt;/D&gt;&lt;D xsi:type="xsd:double"&gt;0.22151361&lt;/D&gt;&lt;D xsi:type="xsd:double"&gt;1&lt;/D&gt;&lt;D xsi:type="xsd:double"&gt;-0.46304536&lt;/D&gt;&lt;D xsi:type="xsd:double"&gt;-0.6643441&lt;/D&gt;&lt;D xsi:type="xsd:double"&gt;-0.5679155&lt;/D&gt;&lt;D xsi:type="xsd:double"&gt;0.46421278&lt;/D&gt;&lt;D xsi:type="xsd:double"&gt;0.30317944&lt;/D&gt;&lt;D xsi:type="xsd:double"&gt;-0.6225723&lt;/D&gt;&lt;D xsi:type="xsd:double"&gt;-0.2538889&lt;/D&gt;&lt;D xsi:type="xsd:double"&gt;0.045013998&lt;/D&gt;&lt;D xsi:type="xsd:double"&gt;-0.62065595&lt;/D&gt;&lt;D xsi:type="xsd:double"&gt;-0.55957353&lt;/D&gt;&lt;D xsi:type="xsd:double"&gt;0.55235124&lt;/D&gt;&lt;D xsi:type="xsd:double"&gt;-0.32675466&lt;/D&gt;&lt;D xsi:type="xsd:double"&gt;-0.29717988&lt;/D&gt;&lt;D xsi:type="xsd:double"&gt;-0.16557746&lt;/D&gt;&lt;D xsi:type="xsd:double"&gt;-0.42861912&lt;/D&gt;&lt;D xsi:type="xsd:double"&gt;-0.0008856749&lt;/D&gt;&lt;D xsi:type="xsd:double"&gt;0.12434711&lt;/D&gt;&lt;D xsi:type="xsd:double"&gt;-0.24993059&lt;/D&gt;&lt;D xsi:type="xsd:double"&gt;0.0864843&lt;/D&gt;&lt;D xsi:type="xsd:double"&gt;0.6217823&lt;/D&gt;&lt;D xsi:type="xsd:double"&gt;-0.51605725&lt;/D&gt;&lt;D xsi:type="xsd:double"&gt;0.62692446&lt;/D&gt;&lt;D xsi:type="xsd:double"&gt;-0.09310057&lt;/D&gt;&lt;D xsi:type="xsd:double"&gt;-0.3282794&lt;/D&gt;&lt;D xsi:type="xsd:double"&gt;-0.22337934&lt;/D&gt;&lt;D xsi:type="xsd:double"&gt;-0.108608305&lt;/D&gt;&lt;D xsi:type="xsd:double"&gt;-0.46304536&lt;/D&gt;&lt;D xsi:type="xsd:double"&gt;1&lt;/D&gt;&lt;D xsi:type="xsd:double"&gt;0.5510265&lt;/D&gt;&lt;D xsi:type="xsd:double"&gt;0.5967093&lt;/D&gt;&lt;D xsi:type="xsd:double"&gt;-0.417654&lt;/D&gt;&lt;D xsi:type="xsd:double"&gt;-0.046794377&lt;/D&gt;&lt;D xsi:type="xsd:double"&gt;-0.6592517&lt;/D&gt;&lt;D xsi:type="xsd:double"&gt;-0.4219394&lt;/D&gt;&lt;D xsi:type="xsd:double"&gt;-0.48401394&lt;/D&gt;&lt;D xsi:type="xsd:double"&gt;-0.7192732&lt;/D&gt;&lt;D xsi:type="xsd:double"&gt;-0.6103335&lt;/D&gt;&lt;D xsi:type="xsd:double"&gt;0.79588413&lt;/D&gt;&lt;D xsi:type="xsd:double"&gt;-0.64398986&lt;/D&gt;&lt;D xsi:type="xsd:double"&gt;0.08371766&lt;/D&gt;&lt;D xsi:type="xsd:double"&gt;-0.21873239&lt;/D&gt;&lt;D xsi:type="xsd:double"&gt;-0.23839645&lt;/D&gt;&lt;D xsi:type="xsd:double"&gt;0.22248606&lt;/D&gt;&lt;D xsi:type="xsd:double"&gt;-0.25754255&lt;/D&gt;&lt;D xsi:type="xsd:double"&gt;-0.22640483&lt;/D&gt;&lt;D xsi:type="xsd:double"&gt;-0.18775977&lt;/D&gt;&lt;D xsi:type="xsd:double"&gt;0.76267034&lt;/D&gt;&lt;D xsi:type="xsd:double"&gt;-0.48047042&lt;/D&gt;&lt;D xsi:type="xsd:double"&gt;0.39411393&lt;/D&gt;&lt;D xsi:type="xsd:double"&gt;0.30404547&lt;/D&gt;&lt;D xsi:type="xsd:double"&gt;-0.28564706&lt;/D&gt;&lt;D xsi:type="xsd:double"&gt;0.015604189&lt;/D&gt;&lt;D xsi:type="xsd:double"&gt;0.09045242&lt;/D&gt;&lt;D xsi:type="xsd:double"&gt;-0.6643441&lt;/D&gt;&lt;D xsi:type="xsd:double"&gt;0.5510265&lt;/D&gt;&lt;D xsi:type="xsd:double"&gt;1&lt;/D&gt;&lt;D xsi:type="xsd:double"&gt;0.74447525&lt;/D&gt;&lt;D xsi:type="xsd:double"&gt;-0.24645099&lt;/D&gt;&lt;D xsi:type="xsd:double"&gt;-0.09777715&lt;/D&gt;&lt;D xsi:type="xsd:double"&gt;-0.4896878&lt;/D&gt;&lt;D xsi:type="xsd:double"&gt;-0.04173374&lt;/D&gt;&lt;D xsi:type="xsd:double"&gt;-0.24762493&lt;/D&gt;&lt;D xsi:type="xsd:double"&gt;-0.5798923&lt;/D&gt;&lt;D xsi:type="xsd:double"&gt;-0.41175357&lt;/D&gt;&lt;D xsi:type="xsd:double"&gt;0.6987181&lt;/D&gt;&lt;D xsi:type="xsd:double"&gt;-0.59759575&lt;/D&gt;&lt;D xsi:type="xsd:double"&gt;0.06548634&lt;/D&gt;&lt;D xsi:type="xsd:double"&gt;-0.16350003&lt;/D&gt;&lt;D xsi:type="xsd:double"&gt;-0.087519534&lt;/D&gt;&lt;D xsi:type="xsd:double"&gt;0.30082372&lt;/D&gt;&lt;D xsi:type="xsd:double"&gt;-0.0609627&lt;/D&gt;&lt;D xsi:type="xsd:double"&gt;0.14823046&lt;/D&gt;&lt;D xsi:type="xsd:double"&gt;0.18599433&lt;/D&gt;&lt;D xsi:type="xsd:double"&gt;0.7022285&lt;/D&gt;&lt;D xsi:type="xsd:double"&gt;-0.31505135&lt;/D&gt;&lt;D xsi:type="xsd:double"&gt;0.4772942&lt;/D&gt;&lt;D xsi:type="xsd:double"&gt;0.36915126&lt;/D&gt;&lt;D xsi:type="xsd:double"&gt;-0.22626543&lt;/D&gt;&lt;D xsi:type="xsd:double"&gt;0.17899045&lt;/D&gt;&lt;D xsi:type="xsd:double"&gt;0.15210737&lt;/D&gt;&lt;D xsi:type="xsd:double"&gt;-0.5679155&lt;/D&gt;&lt;D xsi:type="xsd:double"&gt;0.5967093&lt;/D&gt;&lt;D xsi:type="xsd:double"&gt;0.74447525&lt;/D&gt;&lt;D xsi:type="xsd:double"&gt;1&lt;/D&gt;&lt;D xsi:type="xsd:double"&gt;-0.11989793&lt;/D&gt;&lt;D xsi:type="xsd:double"&gt;-0.5987871&lt;/D&gt;&lt;D xsi:type="xsd:double"&gt;0.7779696&lt;/D&gt;&lt;D xsi:type="xsd:double"&gt;0.701689&lt;/D&gt;&lt;D xsi:type="xsd:double"&gt;-0.081493996&lt;/D&gt;&lt;D xsi:type="xsd:double"&gt;0.6702389&lt;/D&gt;&lt;D xsi:type="xsd:double"&gt;0.6497215&lt;/D&gt;&lt;D xsi:type="xsd:double"&gt;-0.06299309&lt;/D&gt;&lt;D xsi:type="xsd:double"&gt;0.3136545&lt;/D&gt;&lt;D xsi:type="xsd:double"&gt;0.8136295&lt;/D&gt;&lt;D xsi:type="xsd:double"&gt;0.5019851&lt;/D&gt;&lt;D xsi:type="xsd:double"&gt;0.88591844&lt;/D&gt;&lt;D xsi:type="xsd:double"&gt;0.7063731&lt;/D&gt;&lt;D xsi:type="xsd:double"&gt;-0.023115829&lt;/D&gt;&lt;D xsi:type="xsd:double"&gt;0.7379602&lt;/D&gt;&lt;D xsi:type="xsd:double"&gt;0.4651908&lt;/D&gt;&lt;D xsi:type="xsd:double"&gt;-0.27142128&lt;/D&gt;&lt;D xsi:type="xsd:double"&gt;0.8193369&lt;/D&gt;&lt;D xsi:type="xsd:double"&gt;-0.5983266&lt;/D&gt;&lt;D xsi:type="xsd:double"&gt;0.6396716&lt;/D&gt;&lt;D xsi:type="xsd:double"&gt;0.46090952&lt;/D&gt;&lt;D xsi:type="xsd:double"&gt;0.83249086&lt;/D&gt;&lt;D xsi:type="xsd:double"&gt;0.78040135&lt;/D&gt;&lt;D xsi:type="xsd:double"&gt;0.46421278&lt;/D&gt;&lt;D xsi:type="xsd:double"&gt;-0.417654&lt;/D&gt;&lt;D xsi:type="xsd:double"&gt;-0.24645099&lt;/D&gt;&lt;D xsi:type="xsd:double"&gt;-0.11989793&lt;/D&gt;&lt;D xsi:type="xsd:double"&gt;1&lt;/D&gt;&lt;/FQL&gt;&lt;FQL&gt;&lt;Q&gt;^IDS&lt;/Q&gt;&lt;R&gt;27&lt;/R&gt;&lt;C&gt;1&lt;/C&gt;&lt;D xsi:type="xsd:string"&gt;MC-FR&lt;/D&gt;&lt;D xsi:type="xsd:string"&gt;SAF-FR&lt;/D&gt;&lt;D xsi:type="xsd:string"&gt;HWDN-GB&lt;/D&gt;&lt;D xsi:type="xsd:string"&gt;RTO-GB&lt;/D&gt;&lt;D xsi:type="xsd:string"&gt;AIR-FR&lt;/D&gt;&lt;D xsi:type="xsd:string"&gt;1299-HK&lt;/D&gt;&lt;D xsi:type="xsd:string"&gt;LSEG-GB&lt;/D&gt;&lt;D xsi:type="xsd:string"&gt;ASML-NL&lt;/D&gt;&lt;D xsi:type="xsd:string"&gt;DB1-DE&lt;/D&gt;&lt;D xsi:type="xsd:string"&gt;CFR-CH&lt;/D&gt;&lt;D xsi:type="xsd:string"&gt;AMS-ES&lt;/D&gt;&lt;D xsi:type="xsd:string"&gt;CTEC-GB&lt;/D&gt;&lt;D xsi:type="xsd:string"&gt;ATCO.B-SE&lt;/D&gt;&lt;D xsi:type="xsd:string"&gt;EXPN-GB&lt;/D&gt;&lt;D xsi:type="xsd:string"&gt;CPG-GB&lt;/D&gt;&lt;D xsi:type="xsd:string"&gt;WKL-NL&lt;/D&gt;&lt;D xsi:type="xsd:string"&gt;KNEBV-FI&lt;/D&gt;&lt;D xsi:type="xsd:string"&gt;DGE-GB&lt;/D&gt;&lt;D xsi:type="xsd:string"&gt;EVD-DE&lt;/D&gt;&lt;D xsi:type="xsd:string"&gt;ROG-CH&lt;/D&gt;&lt;D xsi:type="xsd:string"&gt;UMG-NL&lt;/D&gt;&lt;D xsi:type="xsd:string"&gt;SAP-DE&lt;/D&gt;&lt;D xsi:type="xsd:string"&gt;AZN-GB&lt;/D&gt;&lt;D xsi:type="xsd:string"&gt;6861-JP&lt;/D&gt;&lt;D xsi:type="xsd:string"&gt;7309-JP&lt;/D&gt;&lt;D xsi:type="xsd:string"&gt;SIKA-CH&lt;/D&gt;&lt;D xsi:type="xsd:string"&gt;GAW-GB&lt;/D&gt;&lt;/FQL&gt;&lt;FQL&gt;&lt;Q&gt;DUMMY^FLOAT_ARRAY CORRELMATRIX=GET_FQL_ARRAY(IDS,'FG_PRICE(45961,45961-1AY,D,USD)');'FDS CODE - DO NOT DELETE'&lt;/Q&gt;&lt;R&gt;1&lt;/R&gt;&lt;C&gt;1&lt;/C&gt;&lt;D xsi:type="xsd:string"&gt;FDS CODE - DO NOT DELETE&lt;/D&gt;&lt;/FQL&gt;&lt;FQL&gt;&lt;Q&gt;DUMMY^STRING_ARRAY IDS=TICKER_LIST('MC-FR SAF-FR HWDN-GB RTO-GB AIR-FR 1299-HK LSEG-GB ASML-NL DB1-DE CFR-CH AMS-ES CTEC-GB ATCO.B-SE EXPN-GB CPG-GB WKL-NL KNEBV-FI DGE-GB EVD-DE ROG-CH UMG-NL SAP-DE AZN-GB 6861-JP 7309-JP SIKA-CH GAW-GB');"FDS CODE - DO NOT DELETE"&lt;/Q&gt;&lt;R&gt;1&lt;/R&gt;&lt;C&gt;1&lt;/C&gt;&lt;D xsi:type="xsd:string"&gt;FDS CODE - DO NOT DELETE&lt;/D&gt;&lt;/FQL&gt;&lt;FQL&gt;&lt;Q&gt;DUMMY^PROPER("CORRELATION OF DAILY DATA BETWEEN ") + FG_DATE(45961-1AY) + LOWERCASE(" AND ") + FG_DATE(45961) + LOWERCASE(":")&lt;/Q&gt;&lt;R&gt;1&lt;/R&gt;&lt;C&gt;1&lt;/C&gt;&lt;D xsi:type="xsd:string"&gt;Correlation Of Daily Data Between 10/31/2024 and 10/31/2025:&lt;/D&gt;&lt;/FQL&gt;&lt;FQL&gt;&lt;Q&gt;MC-FR^FG_COMPANY_NAME&lt;/Q&gt;&lt;R&gt;1&lt;/R&gt;&lt;C&gt;1&lt;/C&gt;&lt;D xsi:type="xsd:string"&gt;LVMH Moet Hennessy Louis Vuitton SE&lt;/D&gt;&lt;/FQL&gt;&lt;FQL&gt;&lt;Q&gt;SAF-FR^FG_COMPANY_NAME&lt;/Q&gt;&lt;R&gt;1&lt;/R&gt;&lt;C&gt;1&lt;/C&gt;&lt;D xsi:type="xsd:string"&gt;Safran SA&lt;/D&gt;&lt;/FQL&gt;&lt;FQL&gt;&lt;Q&gt;HWDN-GB^FG_COMPANY_NAME&lt;/Q&gt;&lt;R&gt;1&lt;/R&gt;&lt;C&gt;1&lt;/C&gt;&lt;D xsi:type="xsd:string"&gt;Howden Joinery Group PLC&lt;/D&gt;&lt;/FQL&gt;&lt;FQL&gt;&lt;Q&gt;RTO-GB^FG_COMPANY_NAME&lt;/Q&gt;&lt;R&gt;1&lt;/R&gt;&lt;C&gt;1&lt;/C&gt;&lt;D xsi:type="xsd:string"&gt;Rentokil Initial plc&lt;/D&gt;&lt;/FQL&gt;&lt;FQL&gt;&lt;Q&gt;AIR-FR^FG_COMPANY_NAME&lt;/Q&gt;&lt;R&gt;1&lt;/R&gt;&lt;C&gt;1&lt;/C&gt;&lt;D xsi:type="xsd:string"&gt;Airbus SE&lt;/D&gt;&lt;/FQL&gt;&lt;FQL&gt;&lt;Q&gt;1299-HK^FG_COMPANY_NAME&lt;/Q&gt;&lt;R&gt;1&lt;/R&gt;&lt;C&gt;1&lt;/C&gt;&lt;D xsi:type="xsd:string"&gt;AIA Group Limited&lt;/D&gt;&lt;/FQL&gt;&lt;FQL&gt;&lt;Q&gt;LSEG-GB^FG_COMPANY_NAME&lt;/Q&gt;&lt;R&gt;1&lt;/R&gt;&lt;C&gt;1&lt;/C&gt;&lt;D xsi:type="xsd:string"&gt;London Stock Exchange Group plc&lt;/D&gt;&lt;/FQL&gt;&lt;FQL&gt;&lt;Q&gt;ASML-NL^FG_COMPANY_NAME&lt;/Q&gt;&lt;R&gt;1&lt;/R&gt;&lt;C&gt;1&lt;/C&gt;&lt;D xsi:type="xsd:string"&gt;ASML Holding NV&lt;/D&gt;&lt;/FQL&gt;&lt;FQL&gt;&lt;Q&gt;DB1-DE^FG_COMPANY_NAME&lt;/Q&gt;&lt;R&gt;1&lt;/R&gt;&lt;C&gt;1&lt;/C&gt;&lt;D xsi:type="xsd:string"&gt;Deutsche Boerse AG&lt;/D&gt;&lt;/FQL&gt;&lt;FQL&gt;&lt;Q&gt;CFR-CH^FG_COMPANY_NAME&lt;/Q&gt;&lt;R&gt;1&lt;/R&gt;&lt;C&gt;1&lt;/C&gt;&lt;D xsi:type="xsd:string"&gt;Compagnie Financiere Richemont SA&lt;/D&gt;&lt;/FQL&gt;&lt;FQL&gt;&lt;Q&gt;AMS-ES^FG_COMPANY_NAME&lt;/Q&gt;&lt;R&gt;1&lt;/R&gt;&lt;C&gt;1&lt;/C&gt;&lt;D xsi:type="xsd:string"&gt;Amadeus IT Group SA Class A&lt;/D&gt;&lt;/FQL&gt;&lt;FQL&gt;&lt;Q&gt;CTEC-GB^FG_COMPANY_NAME&lt;/Q&gt;&lt;R&gt;1&lt;/R&gt;&lt;C&gt;1&lt;/C&gt;&lt;D xsi:type="xsd:string"&gt;ConvaTec Group Plc&lt;/D&gt;&lt;/FQL&gt;&lt;FQL&gt;&lt;Q&gt;ATCO.B-SE^FG_COMPANY_NAME&lt;/Q&gt;&lt;R&gt;1&lt;/R&gt;&lt;C&gt;1&lt;/C&gt;&lt;D xsi:type="xsd:string"&gt;Atlas Copco AB Class B&lt;/D&gt;&lt;/FQL&gt;&lt;FQL&gt;&lt;Q&gt;EXPN-GB^FG_COMPANY_NAME&lt;/Q&gt;&lt;R&gt;1&lt;/R&gt;&lt;C&gt;1&lt;/C&gt;&lt;D xsi:type="xsd:string"&gt;Experian PLC&lt;/D&gt;&lt;/FQL&gt;&lt;FQL&gt;&lt;Q&gt;CPG-GB^FG_COMPANY_NAME&lt;/Q&gt;&lt;R&gt;1&lt;/R&gt;&lt;C&gt;1&lt;/C&gt;&lt;D xsi:type="xsd:string"&gt;Compass Group PLC&lt;/D&gt;&lt;/FQL&gt;&lt;FQL&gt;&lt;Q&gt;WKL-NL^FG_COMPANY_NAME&lt;/Q&gt;&lt;R&gt;1&lt;/R&gt;&lt;C&gt;1&lt;/C&gt;&lt;D xsi:type="xsd:string"&gt;Wolters Kluwer N.V.&lt;/D&gt;&lt;/FQL&gt;&lt;FQL&gt;&lt;Q&gt;KNEBV-FI^FG_COMPANY_NAME&lt;/Q&gt;&lt;R&gt;1&lt;/R&gt;&lt;C&gt;1&lt;/C&gt;&lt;D xsi:type="xsd:string"&gt;KONE Oyj Class B&lt;/D&gt;&lt;/FQL&gt;&lt;FQL&gt;&lt;Q&gt;DGE-GB^FG_COMPANY_NAME&lt;/Q&gt;&lt;R&gt;1&lt;/R&gt;&lt;C&gt;1&lt;/C&gt;&lt;D xsi:type="xsd:string"&gt;Diageo plc&lt;/D&gt;&lt;/FQL&gt;&lt;FQL&gt;&lt;Q&gt;EVD-DE^FG_COMPANY_NAME&lt;/Q&gt;&lt;R&gt;1&lt;/R&gt;&lt;C&gt;1&lt;/C&gt;&lt;D xsi:type="xsd:string"&gt;CTS Eventim AG &amp;amp; Co. KGaA&lt;/D&gt;&lt;/FQL&gt;&lt;FQL&gt;&lt;Q&gt;ROG-CH^FG_COMPANY_NAME&lt;/Q&gt;&lt;R&gt;1&lt;/R&gt;&lt;C&gt;1&lt;/C&gt;&lt;D xsi:type="xsd:string"&gt;Roche Holding Ltd Dividend Right Cert.&lt;/D&gt;&lt;/FQL&gt;&lt;FQL&gt;&lt;Q&gt;UMG-NL^FG_COMPANY_NAME&lt;/Q&gt;&lt;R&gt;1&lt;/R&gt;&lt;C&gt;1&lt;/C&gt;&lt;D xsi:type="xsd:string"&gt;Universal Music Group N.V.&lt;/D&gt;&lt;/FQL&gt;&lt;FQL&gt;&lt;Q&gt;SAP-DE^FG_COMPANY_NAME&lt;/Q&gt;&lt;R&gt;1&lt;/R&gt;&lt;C&gt;1&lt;/C&gt;&lt;D xsi:type="xsd:string"&gt;SAP SE&lt;/D&gt;&lt;/FQL&gt;&lt;FQL&gt;&lt;Q&gt;AZN-GB^FG_COMPANY_NAME&lt;/Q&gt;&lt;R&gt;1&lt;/R&gt;&lt;C&gt;1&lt;/C&gt;&lt;D xsi:type="xsd:string"&gt;AstraZeneca PLC&lt;/D&gt;&lt;/FQL&gt;&lt;FQL&gt;&lt;Q&gt;6861-JP^FG_COMPANY_NAME&lt;/Q&gt;&lt;R&gt;1&lt;/R&gt;&lt;C&gt;1&lt;/C&gt;&lt;D xsi:type="xsd:string"&gt;Keyence Corporation&lt;/D&gt;&lt;/FQL&gt;&lt;FQL&gt;&lt;Q&gt;7309-JP^FG_COMPANY_NAME&lt;/Q&gt;&lt;R&gt;1&lt;/R&gt;&lt;C&gt;1&lt;/C&gt;&lt;D xsi:type="xsd:string"&gt;Shimano Inc.&lt;/D&gt;&lt;/FQL&gt;&lt;FQL&gt;&lt;Q&gt;SIKA-CH^FG_COMPANY_NAME&lt;/Q&gt;&lt;R&gt;1&lt;/R&gt;&lt;C&gt;1&lt;/C&gt;&lt;D xsi:type="xsd:string"&gt;Sika AG&lt;/D&gt;&lt;/FQL&gt;&lt;FQL&gt;&lt;Q&gt;GAW-GB^FG_COMPANY_NAME&lt;/Q&gt;&lt;R&gt;1&lt;/R&gt;&lt;C&gt;1&lt;/C&gt;&lt;D xsi:type="xsd:string"&gt;Games Workshop Group PLC&lt;/D&gt;&lt;/FQL&gt;&lt;/Schema&gt;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<sst xmlns="http://schemas.openxmlformats.org/spreadsheetml/2006/main" count="42" uniqueCount="39">
  <si>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</si>
  <si>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</si>
  <si>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</si>
  <si>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</si>
  <si>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1AY</t>
  </si>
  <si>
    <t>META-US</t>
  </si>
  <si>
    <t>AMZN-US</t>
  </si>
  <si>
    <t>Date</t>
  </si>
  <si>
    <t>FactSet</t>
  </si>
  <si>
    <t>Excel</t>
  </si>
  <si>
    <t>Pearson</t>
  </si>
  <si>
    <t xml:space="preserve">Correlation Matrix </t>
  </si>
  <si>
    <t>HWDN-GB</t>
  </si>
  <si>
    <t>LSEG-GB</t>
  </si>
  <si>
    <t>MC-FR</t>
  </si>
  <si>
    <t>ASML-NL</t>
  </si>
  <si>
    <t>1299-HK</t>
  </si>
  <si>
    <t>EXPN-GB</t>
  </si>
  <si>
    <t>AIR-FR</t>
  </si>
  <si>
    <t>DB1-DE</t>
  </si>
  <si>
    <t>CFR-CH</t>
  </si>
  <si>
    <t>SAF-FR</t>
  </si>
  <si>
    <t>CTEC-GB</t>
  </si>
  <si>
    <t>RTO-GB</t>
  </si>
  <si>
    <t>WKL-NL</t>
  </si>
  <si>
    <t>KNEBV-FI</t>
  </si>
  <si>
    <t>AMS-ES</t>
  </si>
  <si>
    <t>ATCO.B-SE</t>
  </si>
  <si>
    <t>DGE-GB</t>
  </si>
  <si>
    <t>CPG-GB</t>
  </si>
  <si>
    <t>EVD-DE</t>
  </si>
  <si>
    <t>AZN-GB</t>
  </si>
  <si>
    <t>ROG-CH</t>
  </si>
  <si>
    <t>6861-JP</t>
  </si>
  <si>
    <t>SAP-DE</t>
  </si>
  <si>
    <t>7309-JP</t>
  </si>
  <si>
    <t>UMG-NL</t>
  </si>
  <si>
    <t>GAW-GB</t>
  </si>
  <si>
    <t>SIKA-CH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</si>
</sst>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5" borderId="2" xfId="0" applyFill="1" applyBorder="1" applyAlignment="1">
      <alignment horizontal="left"/>
    </xf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tabSelected="1" zoomScale="70" zoomScaleNormal="70" workbookViewId="0">
      <selection activeCell="A39" sqref="A39"/>
    </sheetView>
  </sheetViews>
  <sheetFormatPr defaultColWidth="11" defaultRowHeight="15" x14ac:dyDescent="0.25"/>
  <sheetData>
    <row r="1" spans="1:81" ht="21" x14ac:dyDescent="0.35">
      <c r="A1" s="12" t="s">
        <v>11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LVMH Moet Hennessy Louis Vuitton SE</v>
      </c>
      <c r="C3" s="4" t="str">
        <f>IF(Backend!D29="", "", Backend!D29)</f>
        <v>Safran SA</v>
      </c>
      <c r="D3" s="4" t="str">
        <f>IF(Backend!E29="", "", Backend!E29)</f>
        <v>Howden Joinery Group PLC</v>
      </c>
      <c r="E3" s="4" t="str">
        <f>IF(Backend!F29="", "", Backend!F29)</f>
        <v>Rentokil Initial plc</v>
      </c>
      <c r="F3" s="4" t="str">
        <f>IF(Backend!G29="", "", Backend!G29)</f>
        <v>Airbus SE</v>
      </c>
      <c r="G3" s="4" t="str">
        <f>IF(Backend!H29="", "", Backend!H29)</f>
        <v>AIA Group Limited</v>
      </c>
      <c r="H3" s="4" t="str">
        <f>IF(Backend!I29="", "", Backend!I29)</f>
        <v>London Stock Exchange Group plc</v>
      </c>
      <c r="I3" s="4" t="str">
        <f>IF(Backend!J29="", "", Backend!J29)</f>
        <v>ASML Holding NV</v>
      </c>
      <c r="J3" s="4" t="str">
        <f>IF(Backend!K29="", "", Backend!K29)</f>
        <v>Deutsche Boerse AG</v>
      </c>
      <c r="K3" s="4" t="str">
        <f>IF(Backend!L29="", "", Backend!L29)</f>
        <v>Compagnie Financiere Richemont SA</v>
      </c>
      <c r="L3" s="4" t="str">
        <f>IF(Backend!M29="", "", Backend!M29)</f>
        <v>Amadeus IT Group SA Class A</v>
      </c>
      <c r="M3" s="4" t="str">
        <f>IF(Backend!N29="", "", Backend!N29)</f>
        <v>ConvaTec Group Plc</v>
      </c>
      <c r="N3" s="4" t="str">
        <f>IF(Backend!O29="", "", Backend!O29)</f>
        <v>Atlas Copco AB Class B</v>
      </c>
      <c r="O3" s="4" t="str">
        <f>IF(Backend!P29="", "", Backend!P29)</f>
        <v>Experian PLC</v>
      </c>
      <c r="P3" s="4" t="str">
        <f>IF(Backend!Q29="", "", Backend!Q29)</f>
        <v>Compass Group PLC</v>
      </c>
      <c r="Q3" s="4" t="str">
        <f>IF(Backend!R29="", "", Backend!R29)</f>
        <v>Wolters Kluwer N.V.</v>
      </c>
      <c r="R3" s="4" t="str">
        <f>IF(Backend!S29="", "", Backend!S29)</f>
        <v>KONE Oyj Class B</v>
      </c>
      <c r="S3" s="4" t="str">
        <f>IF(Backend!T29="", "", Backend!T29)</f>
        <v>Diageo plc</v>
      </c>
      <c r="T3" s="4" t="str">
        <f>IF(Backend!U29="", "", Backend!U29)</f>
        <v>CTS Eventim AG &amp; Co. KGaA</v>
      </c>
      <c r="U3" s="4" t="str">
        <f>IF(Backend!V29="", "", Backend!V29)</f>
        <v>Roche Holding Ltd Dividend Right Cert.</v>
      </c>
      <c r="V3" s="4" t="str">
        <f>IF(Backend!W29="", "", Backend!W29)</f>
        <v>Universal Music Group N.V.</v>
      </c>
      <c r="W3" s="4" t="str">
        <f>IF(Backend!X29="", "", Backend!X29)</f>
        <v>SAP SE</v>
      </c>
      <c r="X3" s="4" t="str">
        <f>IF(Backend!Y29="", "", Backend!Y29)</f>
        <v>AstraZeneca PLC</v>
      </c>
      <c r="Y3" s="4" t="str">
        <f>IF(Backend!Z29="", "", Backend!Z29)</f>
        <v>Keyence Corporation</v>
      </c>
      <c r="Z3" s="4" t="str">
        <f>IF(Backend!AA29="", "", Backend!AA29)</f>
        <v>Shimano Inc.</v>
      </c>
      <c r="AA3" s="4" t="str">
        <f>IF(Backend!AB29="", "", Backend!AB29)</f>
        <v>Sika AG</v>
      </c>
      <c r="AB3" s="4" t="str">
        <f>IF(Backend!AC29="", "", Backend!AC29)</f>
        <v>Games Workshop Group PLC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LVMH Moet Hennessy Louis Vuitton SE</v>
      </c>
      <c r="B4">
        <f>IF(Backend!C31="", "", Backend!C31)</f>
        <v>1</v>
      </c>
      <c r="C4">
        <f>IF(Backend!D31="", "", Backend!D31)</f>
        <v>-0.35544756</v>
      </c>
      <c r="D4">
        <f>IF(Backend!E31="", "", Backend!E31)</f>
        <v>-0.44744483000000002</v>
      </c>
      <c r="E4">
        <f>IF(Backend!F31="", "", Backend!F31)</f>
        <v>0.36926249999999999</v>
      </c>
      <c r="F4">
        <f>IF(Backend!G31="", "", Backend!G31)</f>
        <v>-0.14997098</v>
      </c>
      <c r="G4">
        <f>IF(Backend!H31="", "", Backend!H31)</f>
        <v>-0.44549355000000002</v>
      </c>
      <c r="H4">
        <f>IF(Backend!I31="", "", Backend!I31)</f>
        <v>-6.5052144000000006E-2</v>
      </c>
      <c r="I4">
        <f>IF(Backend!J31="", "", Backend!J31)</f>
        <v>0.188883</v>
      </c>
      <c r="J4">
        <f>IF(Backend!K31="", "", Backend!K31)</f>
        <v>-0.70415013999999998</v>
      </c>
      <c r="K4">
        <f>IF(Backend!L31="", "", Backend!L31)</f>
        <v>0.15600412</v>
      </c>
      <c r="L4">
        <f>IF(Backend!M31="", "", Backend!M31)</f>
        <v>-0.60356750000000003</v>
      </c>
      <c r="M4">
        <f>IF(Backend!N31="", "", Backend!N31)</f>
        <v>-0.55780989999999997</v>
      </c>
      <c r="N4">
        <f>IF(Backend!O31="", "", Backend!O31)</f>
        <v>0.55128659999999996</v>
      </c>
      <c r="O4">
        <f>IF(Backend!P31="", "", Backend!P31)</f>
        <v>-0.50341784999999994</v>
      </c>
      <c r="P4">
        <f>IF(Backend!Q31="", "", Backend!Q31)</f>
        <v>-0.102059804</v>
      </c>
      <c r="Q4">
        <f>IF(Backend!R31="", "", Backend!R31)</f>
        <v>9.8681759999999993E-2</v>
      </c>
      <c r="R4">
        <f>IF(Backend!S31="", "", Backend!S31)</f>
        <v>-0.4862612</v>
      </c>
      <c r="S4">
        <f>IF(Backend!T31="", "", Backend!T31)</f>
        <v>0.27004011999999999</v>
      </c>
      <c r="T4">
        <f>IF(Backend!U31="", "", Backend!U31)</f>
        <v>-0.59051936999999999</v>
      </c>
      <c r="U4">
        <f>IF(Backend!V31="", "", Backend!V31)</f>
        <v>-3.0791873000000001E-2</v>
      </c>
      <c r="V4">
        <f>IF(Backend!W31="", "", Backend!W31)</f>
        <v>-0.48063064</v>
      </c>
      <c r="W4">
        <f>IF(Backend!X31="", "", Backend!X31)</f>
        <v>-0.33416066</v>
      </c>
      <c r="X4">
        <f>IF(Backend!Y31="", "", Backend!Y31)</f>
        <v>7.102195E-2</v>
      </c>
      <c r="Y4">
        <f>IF(Backend!Z31="", "", Backend!Z31)</f>
        <v>0.30317944000000002</v>
      </c>
      <c r="Z4">
        <f>IF(Backend!AA31="", "", Backend!AA31)</f>
        <v>-4.6794376999999998E-2</v>
      </c>
      <c r="AA4">
        <f>IF(Backend!AB31="", "", Backend!AB31)</f>
        <v>-9.7777149999999993E-2</v>
      </c>
      <c r="AB4">
        <f>IF(Backend!AC31="", "", Backend!AC31)</f>
        <v>-0.59878710000000002</v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Safran SA</v>
      </c>
      <c r="B5">
        <f>IF(Backend!C32="", "", Backend!C32)</f>
        <v>-0.35544756</v>
      </c>
      <c r="C5">
        <f>IF(Backend!D32="", "", Backend!D32)</f>
        <v>1</v>
      </c>
      <c r="D5">
        <f>IF(Backend!E32="", "", Backend!E32)</f>
        <v>0.72563255000000004</v>
      </c>
      <c r="E5">
        <f>IF(Backend!F32="", "", Backend!F32)</f>
        <v>0.24754403999999999</v>
      </c>
      <c r="F5">
        <f>IF(Backend!G32="", "", Backend!G32)</f>
        <v>0.95237879999999997</v>
      </c>
      <c r="G5">
        <f>IF(Backend!H32="", "", Backend!H32)</f>
        <v>0.89136959999999998</v>
      </c>
      <c r="H5">
        <f>IF(Backend!I32="", "", Backend!I32)</f>
        <v>-0.59283010000000003</v>
      </c>
      <c r="I5">
        <f>IF(Backend!J32="", "", Backend!J32)</f>
        <v>0.68283649999999996</v>
      </c>
      <c r="J5">
        <f>IF(Backend!K32="", "", Backend!K32)</f>
        <v>0.49742395</v>
      </c>
      <c r="K5">
        <f>IF(Backend!L32="", "", Backend!L32)</f>
        <v>0.55240445999999999</v>
      </c>
      <c r="L5">
        <f>IF(Backend!M32="", "", Backend!M32)</f>
        <v>0.78369160000000004</v>
      </c>
      <c r="M5">
        <f>IF(Backend!N32="", "", Backend!N32)</f>
        <v>0.38547722000000001</v>
      </c>
      <c r="N5">
        <f>IF(Backend!O32="", "", Backend!O32)</f>
        <v>0.26819238000000001</v>
      </c>
      <c r="O5">
        <f>IF(Backend!P32="", "", Backend!P32)</f>
        <v>0.6305383</v>
      </c>
      <c r="P5">
        <f>IF(Backend!Q32="", "", Backend!Q32)</f>
        <v>0.35391423</v>
      </c>
      <c r="Q5">
        <f>IF(Backend!R32="", "", Backend!R32)</f>
        <v>-0.69500386999999997</v>
      </c>
      <c r="R5">
        <f>IF(Backend!S32="", "", Backend!S32)</f>
        <v>0.91525129999999999</v>
      </c>
      <c r="S5">
        <f>IF(Backend!T32="", "", Backend!T32)</f>
        <v>-0.7985352</v>
      </c>
      <c r="T5">
        <f>IF(Backend!U32="", "", Backend!U32)</f>
        <v>0.30352790000000002</v>
      </c>
      <c r="U5">
        <f>IF(Backend!V32="", "", Backend!V32)</f>
        <v>0.66563360000000005</v>
      </c>
      <c r="V5">
        <f>IF(Backend!W32="", "", Backend!W32)</f>
        <v>0.58232349999999999</v>
      </c>
      <c r="W5">
        <f>IF(Backend!X32="", "", Backend!X32)</f>
        <v>0.50168573999999999</v>
      </c>
      <c r="X5">
        <f>IF(Backend!Y32="", "", Backend!Y32)</f>
        <v>0.76967830000000004</v>
      </c>
      <c r="Y5">
        <f>IF(Backend!Z32="", "", Backend!Z32)</f>
        <v>-0.62257229999999997</v>
      </c>
      <c r="Z5">
        <f>IF(Backend!AA32="", "", Backend!AA32)</f>
        <v>-0.6592517</v>
      </c>
      <c r="AA5">
        <f>IF(Backend!AB32="", "", Backend!AB32)</f>
        <v>-0.48968780000000001</v>
      </c>
      <c r="AB5">
        <f>IF(Backend!AC32="", "", Backend!AC32)</f>
        <v>0.77796960000000004</v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Howden Joinery Group PLC</v>
      </c>
      <c r="B6">
        <f>IF(Backend!C33="", "", Backend!C33)</f>
        <v>-0.44744483000000002</v>
      </c>
      <c r="C6">
        <f>IF(Backend!D33="", "", Backend!D33)</f>
        <v>0.72563255000000004</v>
      </c>
      <c r="D6">
        <f>IF(Backend!E33="", "", Backend!E33)</f>
        <v>1</v>
      </c>
      <c r="E6">
        <f>IF(Backend!F33="", "", Backend!F33)</f>
        <v>0.42603479999999999</v>
      </c>
      <c r="F6">
        <f>IF(Backend!G33="", "", Backend!G33)</f>
        <v>0.63600796000000004</v>
      </c>
      <c r="G6">
        <f>IF(Backend!H33="", "", Backend!H33)</f>
        <v>0.75122739999999999</v>
      </c>
      <c r="H6">
        <f>IF(Backend!I33="", "", Backend!I33)</f>
        <v>-0.33039615</v>
      </c>
      <c r="I6">
        <f>IF(Backend!J33="", "", Backend!J33)</f>
        <v>0.43133431999999999</v>
      </c>
      <c r="J6">
        <f>IF(Backend!K33="", "", Backend!K33)</f>
        <v>0.35068487999999998</v>
      </c>
      <c r="K6">
        <f>IF(Backend!L33="", "", Backend!L33)</f>
        <v>0.26479312999999999</v>
      </c>
      <c r="L6">
        <f>IF(Backend!M33="", "", Backend!M33)</f>
        <v>0.64865375000000003</v>
      </c>
      <c r="M6">
        <f>IF(Backend!N33="", "", Backend!N33)</f>
        <v>0.40579094999999998</v>
      </c>
      <c r="N6">
        <f>IF(Backend!O33="", "", Backend!O33)</f>
        <v>9.1552410000000001E-2</v>
      </c>
      <c r="O6">
        <f>IF(Backend!P33="", "", Backend!P33)</f>
        <v>0.80694896000000005</v>
      </c>
      <c r="P6">
        <f>IF(Backend!Q33="", "", Backend!Q33)</f>
        <v>0.59328930000000002</v>
      </c>
      <c r="Q6">
        <f>IF(Backend!R33="", "", Backend!R33)</f>
        <v>-0.33263692</v>
      </c>
      <c r="R6">
        <f>IF(Backend!S33="", "", Backend!S33)</f>
        <v>0.74126230000000004</v>
      </c>
      <c r="S6">
        <f>IF(Backend!T33="", "", Backend!T33)</f>
        <v>-0.39889622000000002</v>
      </c>
      <c r="T6">
        <f>IF(Backend!U33="", "", Backend!U33)</f>
        <v>0.33127466</v>
      </c>
      <c r="U6">
        <f>IF(Backend!V33="", "", Backend!V33)</f>
        <v>0.29484846999999997</v>
      </c>
      <c r="V6">
        <f>IF(Backend!W33="", "", Backend!W33)</f>
        <v>0.54713420000000001</v>
      </c>
      <c r="W6">
        <f>IF(Backend!X33="", "", Backend!X33)</f>
        <v>0.43248801999999997</v>
      </c>
      <c r="X6">
        <f>IF(Backend!Y33="", "", Backend!Y33)</f>
        <v>0.41183043000000003</v>
      </c>
      <c r="Y6">
        <f>IF(Backend!Z33="", "", Backend!Z33)</f>
        <v>-0.25388889999999997</v>
      </c>
      <c r="Z6">
        <f>IF(Backend!AA33="", "", Backend!AA33)</f>
        <v>-0.42193940000000002</v>
      </c>
      <c r="AA6">
        <f>IF(Backend!AB33="", "", Backend!AB33)</f>
        <v>-4.1733739999999998E-2</v>
      </c>
      <c r="AB6">
        <f>IF(Backend!AC33="", "", Backend!AC33)</f>
        <v>0.70168900000000001</v>
      </c>
      <c r="AC6" t="str">
        <f>IF(Backend!AD33="", "", Backend!AD33)</f>
        <v/>
      </c>
      <c r="AD6" t="str">
        <f>IF(Backend!AE33="", "", Backend!AE33)</f>
        <v/>
      </c>
      <c r="AE6" t="str">
        <f>IF(Backend!AF33="", "", Backend!AF33)</f>
        <v/>
      </c>
      <c r="AF6" t="str">
        <f>IF(Backend!AG33="", "", Backend!AG33)</f>
        <v/>
      </c>
      <c r="AG6" t="str">
        <f>IF(Backend!AH33="", "", Backend!AH33)</f>
        <v/>
      </c>
      <c r="AH6" t="str">
        <f>IF(Backend!AI33="", "", Backend!AI33)</f>
        <v/>
      </c>
      <c r="AI6" t="str">
        <f>IF(Backend!AJ33="", "", Backend!AJ33)</f>
        <v/>
      </c>
      <c r="AJ6" t="str">
        <f>IF(Backend!AK33="", "", Backend!AK33)</f>
        <v/>
      </c>
      <c r="AK6" t="str">
        <f>IF(Backend!AL33="", "", Backend!AL33)</f>
        <v/>
      </c>
      <c r="AL6" t="str">
        <f>IF(Backend!AM33="", "", Backend!AM33)</f>
        <v/>
      </c>
      <c r="AM6" t="str">
        <f>IF(Backend!AN33="", "", Backend!AN33)</f>
        <v/>
      </c>
      <c r="AN6" t="str">
        <f>IF(Backend!AO33="", "", Backend!AO33)</f>
        <v/>
      </c>
      <c r="AO6" t="str">
        <f>IF(Backend!AP33="", "", Backend!AP33)</f>
        <v/>
      </c>
      <c r="AP6" t="str">
        <f>IF(Backend!AQ33="", "", Backend!AQ33)</f>
        <v/>
      </c>
      <c r="AQ6" t="str">
        <f>IF(Backend!AR33="", "", Backend!AR33)</f>
        <v/>
      </c>
      <c r="AR6" t="str">
        <f>IF(Backend!AS33="", "", Backend!AS33)</f>
        <v/>
      </c>
      <c r="AS6" t="str">
        <f>IF(Backend!AT33="", "", Backend!AT33)</f>
        <v/>
      </c>
      <c r="AT6" t="str">
        <f>IF(Backend!AU33="", "", Backend!AU33)</f>
        <v/>
      </c>
      <c r="AU6" t="str">
        <f>IF(Backend!AV33="", "", Backend!AV33)</f>
        <v/>
      </c>
      <c r="AV6" t="str">
        <f>IF(Backend!AW33="", "", Backend!AW33)</f>
        <v/>
      </c>
      <c r="AW6" t="str">
        <f>IF(Backend!AX33="", "", Backend!AX33)</f>
        <v/>
      </c>
      <c r="AX6" t="str">
        <f>IF(Backend!AY33="", "", Backend!AY33)</f>
        <v/>
      </c>
      <c r="AY6" t="str">
        <f>IF(Backend!AZ33="", "", Backend!AZ33)</f>
        <v/>
      </c>
      <c r="AZ6" t="str">
        <f>IF(Backend!BA33="", "", Backend!BA33)</f>
        <v/>
      </c>
      <c r="BA6" t="str">
        <f>IF(Backend!BB33="", "", Backend!BB33)</f>
        <v/>
      </c>
      <c r="BB6" t="str">
        <f>IF(Backend!BC33="", "", Backend!BC33)</f>
        <v/>
      </c>
      <c r="BC6" t="str">
        <f>IF(Backend!BD33="", "", Backend!BD33)</f>
        <v/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Rentokil Initial plc</v>
      </c>
      <c r="B7">
        <f>IF(Backend!C34="", "", Backend!C34)</f>
        <v>0.36926249999999999</v>
      </c>
      <c r="C7">
        <f>IF(Backend!D34="", "", Backend!D34)</f>
        <v>0.24754403999999999</v>
      </c>
      <c r="D7">
        <f>IF(Backend!E34="", "", Backend!E34)</f>
        <v>0.42603479999999999</v>
      </c>
      <c r="E7">
        <f>IF(Backend!F34="", "", Backend!F34)</f>
        <v>1</v>
      </c>
      <c r="F7">
        <f>IF(Backend!G34="", "", Backend!G34)</f>
        <v>0.36222133000000001</v>
      </c>
      <c r="G7">
        <f>IF(Backend!H34="", "", Backend!H34)</f>
        <v>0.27473997999999999</v>
      </c>
      <c r="H7">
        <f>IF(Backend!I34="", "", Backend!I34)</f>
        <v>-0.45805982000000001</v>
      </c>
      <c r="I7">
        <f>IF(Backend!J34="", "", Backend!J34)</f>
        <v>0.5669729</v>
      </c>
      <c r="J7">
        <f>IF(Backend!K34="", "", Backend!K34)</f>
        <v>-0.48590955000000002</v>
      </c>
      <c r="K7">
        <f>IF(Backend!L34="", "", Backend!L34)</f>
        <v>7.6674119999999998E-2</v>
      </c>
      <c r="L7">
        <f>IF(Backend!M34="", "", Backend!M34)</f>
        <v>-0.12260428</v>
      </c>
      <c r="M7">
        <f>IF(Backend!N34="", "", Backend!N34)</f>
        <v>-0.27976802000000001</v>
      </c>
      <c r="N7">
        <f>IF(Backend!O34="", "", Backend!O34)</f>
        <v>0.4175469</v>
      </c>
      <c r="O7">
        <f>IF(Backend!P34="", "", Backend!P34)</f>
        <v>0.11803714</v>
      </c>
      <c r="P7">
        <f>IF(Backend!Q34="", "", Backend!Q34)</f>
        <v>0.34000096000000002</v>
      </c>
      <c r="Q7">
        <f>IF(Backend!R34="", "", Backend!R34)</f>
        <v>-0.33845413000000002</v>
      </c>
      <c r="R7">
        <f>IF(Backend!S34="", "", Backend!S34)</f>
        <v>0.18149693</v>
      </c>
      <c r="S7">
        <f>IF(Backend!T34="", "", Backend!T34)</f>
        <v>-6.4852489999999999E-2</v>
      </c>
      <c r="T7">
        <f>IF(Backend!U34="", "", Backend!U34)</f>
        <v>-0.45630093999999999</v>
      </c>
      <c r="U7">
        <f>IF(Backend!V34="", "", Backend!V34)</f>
        <v>0.11788984399999999</v>
      </c>
      <c r="V7">
        <f>IF(Backend!W34="", "", Backend!W34)</f>
        <v>-0.21764620000000001</v>
      </c>
      <c r="W7">
        <f>IF(Backend!X34="", "", Backend!X34)</f>
        <v>-0.20127661999999999</v>
      </c>
      <c r="X7">
        <f>IF(Backend!Y34="", "", Backend!Y34)</f>
        <v>0.37154927999999998</v>
      </c>
      <c r="Y7">
        <f>IF(Backend!Z34="", "", Backend!Z34)</f>
        <v>4.5013998E-2</v>
      </c>
      <c r="Z7">
        <f>IF(Backend!AA34="", "", Backend!AA34)</f>
        <v>-0.48401393999999998</v>
      </c>
      <c r="AA7">
        <f>IF(Backend!AB34="", "", Backend!AB34)</f>
        <v>-0.24762492999999999</v>
      </c>
      <c r="AB7">
        <f>IF(Backend!AC34="", "", Backend!AC34)</f>
        <v>-8.1493995999999999E-2</v>
      </c>
      <c r="AC7" t="str">
        <f>IF(Backend!AD34="", "", Backend!AD34)</f>
        <v/>
      </c>
      <c r="AD7" t="str">
        <f>IF(Backend!AE34="", "", Backend!AE34)</f>
        <v/>
      </c>
      <c r="AE7" t="str">
        <f>IF(Backend!AF34="", "", Backend!AF34)</f>
        <v/>
      </c>
      <c r="AF7" t="str">
        <f>IF(Backend!AG34="", "", Backend!AG34)</f>
        <v/>
      </c>
      <c r="AG7" t="str">
        <f>IF(Backend!AH34="", "", Backend!AH34)</f>
        <v/>
      </c>
      <c r="AH7" t="str">
        <f>IF(Backend!AI34="", "", Backend!AI34)</f>
        <v/>
      </c>
      <c r="AI7" t="str">
        <f>IF(Backend!AJ34="", "", Backend!AJ34)</f>
        <v/>
      </c>
      <c r="AJ7" t="str">
        <f>IF(Backend!AK34="", "", Backend!AK34)</f>
        <v/>
      </c>
      <c r="AK7" t="str">
        <f>IF(Backend!AL34="", "", Backend!AL34)</f>
        <v/>
      </c>
      <c r="AL7" t="str">
        <f>IF(Backend!AM34="", "", Backend!AM34)</f>
        <v/>
      </c>
      <c r="AM7" t="str">
        <f>IF(Backend!AN34="", "", Backend!AN34)</f>
        <v/>
      </c>
      <c r="AN7" t="str">
        <f>IF(Backend!AO34="", "", Backend!AO34)</f>
        <v/>
      </c>
      <c r="AO7" t="str">
        <f>IF(Backend!AP34="", "", Backend!AP34)</f>
        <v/>
      </c>
      <c r="AP7" t="str">
        <f>IF(Backend!AQ34="", "", Backend!AQ34)</f>
        <v/>
      </c>
      <c r="AQ7" t="str">
        <f>IF(Backend!AR34="", "", Backend!AR34)</f>
        <v/>
      </c>
      <c r="AR7" t="str">
        <f>IF(Backend!AS34="", "", Backend!AS34)</f>
        <v/>
      </c>
      <c r="AS7" t="str">
        <f>IF(Backend!AT34="", "", Backend!AT34)</f>
        <v/>
      </c>
      <c r="AT7" t="str">
        <f>IF(Backend!AU34="", "", Backend!AU34)</f>
        <v/>
      </c>
      <c r="AU7" t="str">
        <f>IF(Backend!AV34="", "", Backend!AV34)</f>
        <v/>
      </c>
      <c r="AV7" t="str">
        <f>IF(Backend!AW34="", "", Backend!AW34)</f>
        <v/>
      </c>
      <c r="AW7" t="str">
        <f>IF(Backend!AX34="", "", Backend!AX34)</f>
        <v/>
      </c>
      <c r="AX7" t="str">
        <f>IF(Backend!AY34="", "", Backend!AY34)</f>
        <v/>
      </c>
      <c r="AY7" t="str">
        <f>IF(Backend!AZ34="", "", Backend!AZ34)</f>
        <v/>
      </c>
      <c r="AZ7" t="str">
        <f>IF(Backend!BA34="", "", Backend!BA34)</f>
        <v/>
      </c>
      <c r="BA7" t="str">
        <f>IF(Backend!BB34="", "", Backend!BB34)</f>
        <v/>
      </c>
      <c r="BB7" t="str">
        <f>IF(Backend!BC34="", "", Backend!BC34)</f>
        <v/>
      </c>
      <c r="BC7" t="str">
        <f>IF(Backend!BD34="", "", Backend!BD34)</f>
        <v/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Airbus SE</v>
      </c>
      <c r="B8">
        <f>IF(Backend!C35="", "", Backend!C35)</f>
        <v>-0.14997098</v>
      </c>
      <c r="C8">
        <f>IF(Backend!D35="", "", Backend!D35)</f>
        <v>0.95237879999999997</v>
      </c>
      <c r="D8">
        <f>IF(Backend!E35="", "", Backend!E35)</f>
        <v>0.63600796000000004</v>
      </c>
      <c r="E8">
        <f>IF(Backend!F35="", "", Backend!F35)</f>
        <v>0.36222133000000001</v>
      </c>
      <c r="F8">
        <f>IF(Backend!G35="", "", Backend!G35)</f>
        <v>1</v>
      </c>
      <c r="G8">
        <f>IF(Backend!H35="", "", Backend!H35)</f>
        <v>0.84636299999999998</v>
      </c>
      <c r="H8">
        <f>IF(Backend!I35="", "", Backend!I35)</f>
        <v>-0.66543436</v>
      </c>
      <c r="I8">
        <f>IF(Backend!J35="", "", Backend!J35)</f>
        <v>0.80790234000000005</v>
      </c>
      <c r="J8">
        <f>IF(Backend!K35="", "", Backend!K35)</f>
        <v>0.31976998000000001</v>
      </c>
      <c r="K8">
        <f>IF(Backend!L35="", "", Backend!L35)</f>
        <v>0.57714146</v>
      </c>
      <c r="L8">
        <f>IF(Backend!M35="", "", Backend!M35)</f>
        <v>0.64628180000000002</v>
      </c>
      <c r="M8">
        <f>IF(Backend!N35="", "", Backend!N35)</f>
        <v>0.24863969</v>
      </c>
      <c r="N8">
        <f>IF(Backend!O35="", "", Backend!O35)</f>
        <v>0.39980939999999998</v>
      </c>
      <c r="O8">
        <f>IF(Backend!P35="", "", Backend!P35)</f>
        <v>0.49169489999999999</v>
      </c>
      <c r="P8">
        <f>IF(Backend!Q35="", "", Backend!Q35)</f>
        <v>0.28748532999999998</v>
      </c>
      <c r="Q8">
        <f>IF(Backend!R35="", "", Backend!R35)</f>
        <v>-0.74044293000000005</v>
      </c>
      <c r="R8">
        <f>IF(Backend!S35="", "", Backend!S35)</f>
        <v>0.83789020000000003</v>
      </c>
      <c r="S8">
        <f>IF(Backend!T35="", "", Backend!T35)</f>
        <v>-0.76937275999999999</v>
      </c>
      <c r="T8">
        <f>IF(Backend!U35="", "", Backend!U35)</f>
        <v>0.10849047000000001</v>
      </c>
      <c r="U8">
        <f>IF(Backend!V35="", "", Backend!V35)</f>
        <v>0.66156197000000005</v>
      </c>
      <c r="V8">
        <f>IF(Backend!W35="", "", Backend!W35)</f>
        <v>0.4695299</v>
      </c>
      <c r="W8">
        <f>IF(Backend!X35="", "", Backend!X35)</f>
        <v>0.40238030000000002</v>
      </c>
      <c r="X8">
        <f>IF(Backend!Y35="", "", Backend!Y35)</f>
        <v>0.81189100000000003</v>
      </c>
      <c r="Y8">
        <f>IF(Backend!Z35="", "", Backend!Z35)</f>
        <v>-0.62065594999999996</v>
      </c>
      <c r="Z8">
        <f>IF(Backend!AA35="", "", Backend!AA35)</f>
        <v>-0.71927319999999995</v>
      </c>
      <c r="AA8">
        <f>IF(Backend!AB35="", "", Backend!AB35)</f>
        <v>-0.57989230000000003</v>
      </c>
      <c r="AB8">
        <f>IF(Backend!AC35="", "", Backend!AC35)</f>
        <v>0.67023889999999997</v>
      </c>
      <c r="AC8" t="str">
        <f>IF(Backend!AD35="", "", Backend!AD35)</f>
        <v/>
      </c>
      <c r="AD8" t="str">
        <f>IF(Backend!AE35="", "", Backend!AE35)</f>
        <v/>
      </c>
      <c r="AE8" t="str">
        <f>IF(Backend!AF35="", "", Backend!AF35)</f>
        <v/>
      </c>
      <c r="AF8" t="str">
        <f>IF(Backend!AG35="", "", Backend!AG35)</f>
        <v/>
      </c>
      <c r="AG8" t="str">
        <f>IF(Backend!AH35="", "", Backend!AH35)</f>
        <v/>
      </c>
      <c r="AH8" t="str">
        <f>IF(Backend!AI35="", "", Backend!AI35)</f>
        <v/>
      </c>
      <c r="AI8" t="str">
        <f>IF(Backend!AJ35="", "", Backend!AJ35)</f>
        <v/>
      </c>
      <c r="AJ8" t="str">
        <f>IF(Backend!AK35="", "", Backend!AK35)</f>
        <v/>
      </c>
      <c r="AK8" t="str">
        <f>IF(Backend!AL35="", "", Backend!AL35)</f>
        <v/>
      </c>
      <c r="AL8" t="str">
        <f>IF(Backend!AM35="", "", Backend!AM35)</f>
        <v/>
      </c>
      <c r="AM8" t="str">
        <f>IF(Backend!AN35="", "", Backend!AN35)</f>
        <v/>
      </c>
      <c r="AN8" t="str">
        <f>IF(Backend!AO35="", "", Backend!AO35)</f>
        <v/>
      </c>
      <c r="AO8" t="str">
        <f>IF(Backend!AP35="", "", Backend!AP35)</f>
        <v/>
      </c>
      <c r="AP8" t="str">
        <f>IF(Backend!AQ35="", "", Backend!AQ35)</f>
        <v/>
      </c>
      <c r="AQ8" t="str">
        <f>IF(Backend!AR35="", "", Backend!AR35)</f>
        <v/>
      </c>
      <c r="AR8" t="str">
        <f>IF(Backend!AS35="", "", Backend!AS35)</f>
        <v/>
      </c>
      <c r="AS8" t="str">
        <f>IF(Backend!AT35="", "", Backend!AT35)</f>
        <v/>
      </c>
      <c r="AT8" t="str">
        <f>IF(Backend!AU35="", "", Backend!AU35)</f>
        <v/>
      </c>
      <c r="AU8" t="str">
        <f>IF(Backend!AV35="", "", Backend!AV35)</f>
        <v/>
      </c>
      <c r="AV8" t="str">
        <f>IF(Backend!AW35="", "", Backend!AW35)</f>
        <v/>
      </c>
      <c r="AW8" t="str">
        <f>IF(Backend!AX35="", "", Backend!AX35)</f>
        <v/>
      </c>
      <c r="AX8" t="str">
        <f>IF(Backend!AY35="", "", Backend!AY35)</f>
        <v/>
      </c>
      <c r="AY8" t="str">
        <f>IF(Backend!AZ35="", "", Backend!AZ35)</f>
        <v/>
      </c>
      <c r="AZ8" t="str">
        <f>IF(Backend!BA35="", "", Backend!BA35)</f>
        <v/>
      </c>
      <c r="BA8" t="str">
        <f>IF(Backend!BB35="", "", Backend!BB35)</f>
        <v/>
      </c>
      <c r="BB8" t="str">
        <f>IF(Backend!BC35="", "", Backend!BC35)</f>
        <v/>
      </c>
      <c r="BC8" t="str">
        <f>IF(Backend!BD35="", "", Backend!BD35)</f>
        <v/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AIA Group Limited</v>
      </c>
      <c r="B9">
        <f>IF(Backend!C36="", "", Backend!C36)</f>
        <v>-0.44549355000000002</v>
      </c>
      <c r="C9">
        <f>IF(Backend!D36="", "", Backend!D36)</f>
        <v>0.89136959999999998</v>
      </c>
      <c r="D9">
        <f>IF(Backend!E36="", "", Backend!E36)</f>
        <v>0.75122739999999999</v>
      </c>
      <c r="E9">
        <f>IF(Backend!F36="", "", Backend!F36)</f>
        <v>0.27473997999999999</v>
      </c>
      <c r="F9">
        <f>IF(Backend!G36="", "", Backend!G36)</f>
        <v>0.84636299999999998</v>
      </c>
      <c r="G9">
        <f>IF(Backend!H36="", "", Backend!H36)</f>
        <v>1</v>
      </c>
      <c r="H9">
        <f>IF(Backend!I36="", "", Backend!I36)</f>
        <v>-0.67889505999999999</v>
      </c>
      <c r="I9">
        <f>IF(Backend!J36="", "", Backend!J36)</f>
        <v>0.57674199999999998</v>
      </c>
      <c r="J9">
        <f>IF(Backend!K36="", "", Backend!K36)</f>
        <v>0.33061644000000001</v>
      </c>
      <c r="K9">
        <f>IF(Backend!L36="", "", Backend!L36)</f>
        <v>0.26360855</v>
      </c>
      <c r="L9">
        <f>IF(Backend!M36="", "", Backend!M36)</f>
        <v>0.65789209999999998</v>
      </c>
      <c r="M9">
        <f>IF(Backend!N36="", "", Backend!N36)</f>
        <v>0.27851294999999998</v>
      </c>
      <c r="N9">
        <f>IF(Backend!O36="", "", Backend!O36)</f>
        <v>0.15635514</v>
      </c>
      <c r="O9">
        <f>IF(Backend!P36="", "", Backend!P36)</f>
        <v>0.55935573999999999</v>
      </c>
      <c r="P9">
        <f>IF(Backend!Q36="", "", Backend!Q36)</f>
        <v>0.24472362</v>
      </c>
      <c r="Q9">
        <f>IF(Backend!R36="", "", Backend!R36)</f>
        <v>-0.77699744999999998</v>
      </c>
      <c r="R9">
        <f>IF(Backend!S36="", "", Backend!S36)</f>
        <v>0.82003910000000002</v>
      </c>
      <c r="S9">
        <f>IF(Backend!T36="", "", Backend!T36)</f>
        <v>-0.65477209999999997</v>
      </c>
      <c r="T9">
        <f>IF(Backend!U36="", "", Backend!U36)</f>
        <v>0.14610770000000001</v>
      </c>
      <c r="U9">
        <f>IF(Backend!V36="", "", Backend!V36)</f>
        <v>0.52503233999999999</v>
      </c>
      <c r="V9">
        <f>IF(Backend!W36="", "", Backend!W36)</f>
        <v>0.36528139999999998</v>
      </c>
      <c r="W9">
        <f>IF(Backend!X36="", "", Backend!X36)</f>
        <v>0.21367352000000001</v>
      </c>
      <c r="X9">
        <f>IF(Backend!Y36="", "", Backend!Y36)</f>
        <v>0.66242266000000005</v>
      </c>
      <c r="Y9">
        <f>IF(Backend!Z36="", "", Backend!Z36)</f>
        <v>-0.55957352999999999</v>
      </c>
      <c r="Z9">
        <f>IF(Backend!AA36="", "", Backend!AA36)</f>
        <v>-0.61033349999999997</v>
      </c>
      <c r="AA9">
        <f>IF(Backend!AB36="", "", Backend!AB36)</f>
        <v>-0.41175357000000001</v>
      </c>
      <c r="AB9">
        <f>IF(Backend!AC36="", "", Backend!AC36)</f>
        <v>0.64972149999999995</v>
      </c>
      <c r="AC9" t="str">
        <f>IF(Backend!AD36="", "", Backend!AD36)</f>
        <v/>
      </c>
      <c r="AD9" t="str">
        <f>IF(Backend!AE36="", "", Backend!AE36)</f>
        <v/>
      </c>
      <c r="AE9" t="str">
        <f>IF(Backend!AF36="", "", Backend!AF36)</f>
        <v/>
      </c>
      <c r="AF9" t="str">
        <f>IF(Backend!AG36="", "", Backend!AG36)</f>
        <v/>
      </c>
      <c r="AG9" t="str">
        <f>IF(Backend!AH36="", "", Backend!AH36)</f>
        <v/>
      </c>
      <c r="AH9" t="str">
        <f>IF(Backend!AI36="", "", Backend!AI36)</f>
        <v/>
      </c>
      <c r="AI9" t="str">
        <f>IF(Backend!AJ36="", "", Backend!AJ36)</f>
        <v/>
      </c>
      <c r="AJ9" t="str">
        <f>IF(Backend!AK36="", "", Backend!AK36)</f>
        <v/>
      </c>
      <c r="AK9" t="str">
        <f>IF(Backend!AL36="", "", Backend!AL36)</f>
        <v/>
      </c>
      <c r="AL9" t="str">
        <f>IF(Backend!AM36="", "", Backend!AM36)</f>
        <v/>
      </c>
      <c r="AM9" t="str">
        <f>IF(Backend!AN36="", "", Backend!AN36)</f>
        <v/>
      </c>
      <c r="AN9" t="str">
        <f>IF(Backend!AO36="", "", Backend!AO36)</f>
        <v/>
      </c>
      <c r="AO9" t="str">
        <f>IF(Backend!AP36="", "", Backend!AP36)</f>
        <v/>
      </c>
      <c r="AP9" t="str">
        <f>IF(Backend!AQ36="", "", Backend!AQ36)</f>
        <v/>
      </c>
      <c r="AQ9" t="str">
        <f>IF(Backend!AR36="", "", Backend!AR36)</f>
        <v/>
      </c>
      <c r="AR9" t="str">
        <f>IF(Backend!AS36="", "", Backend!AS36)</f>
        <v/>
      </c>
      <c r="AS9" t="str">
        <f>IF(Backend!AT36="", "", Backend!AT36)</f>
        <v/>
      </c>
      <c r="AT9" t="str">
        <f>IF(Backend!AU36="", "", Backend!AU36)</f>
        <v/>
      </c>
      <c r="AU9" t="str">
        <f>IF(Backend!AV36="", "", Backend!AV36)</f>
        <v/>
      </c>
      <c r="AV9" t="str">
        <f>IF(Backend!AW36="", "", Backend!AW36)</f>
        <v/>
      </c>
      <c r="AW9" t="str">
        <f>IF(Backend!AX36="", "", Backend!AX36)</f>
        <v/>
      </c>
      <c r="AX9" t="str">
        <f>IF(Backend!AY36="", "", Backend!AY36)</f>
        <v/>
      </c>
      <c r="AY9" t="str">
        <f>IF(Backend!AZ36="", "", Backend!AZ36)</f>
        <v/>
      </c>
      <c r="AZ9" t="str">
        <f>IF(Backend!BA36="", "", Backend!BA36)</f>
        <v/>
      </c>
      <c r="BA9" t="str">
        <f>IF(Backend!BB36="", "", Backend!BB36)</f>
        <v/>
      </c>
      <c r="BB9" t="str">
        <f>IF(Backend!BC36="", "", Backend!BC36)</f>
        <v/>
      </c>
      <c r="BC9" t="str">
        <f>IF(Backend!BD36="", "", Backend!BD36)</f>
        <v/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London Stock Exchange Group plc</v>
      </c>
      <c r="B10">
        <f>IF(Backend!C37="", "", Backend!C37)</f>
        <v>-6.5052144000000006E-2</v>
      </c>
      <c r="C10">
        <f>IF(Backend!D37="", "", Backend!D37)</f>
        <v>-0.59283010000000003</v>
      </c>
      <c r="D10">
        <f>IF(Backend!E37="", "", Backend!E37)</f>
        <v>-0.33039615</v>
      </c>
      <c r="E10">
        <f>IF(Backend!F37="", "", Backend!F37)</f>
        <v>-0.45805982000000001</v>
      </c>
      <c r="F10">
        <f>IF(Backend!G37="", "", Backend!G37)</f>
        <v>-0.66543436</v>
      </c>
      <c r="G10">
        <f>IF(Backend!H37="", "", Backend!H37)</f>
        <v>-0.67889505999999999</v>
      </c>
      <c r="H10">
        <f>IF(Backend!I37="", "", Backend!I37)</f>
        <v>1</v>
      </c>
      <c r="I10">
        <f>IF(Backend!J37="", "", Backend!J37)</f>
        <v>-0.64939462999999997</v>
      </c>
      <c r="J10">
        <f>IF(Backend!K37="", "", Backend!K37)</f>
        <v>0.25646022000000002</v>
      </c>
      <c r="K10">
        <f>IF(Backend!L37="", "", Backend!L37)</f>
        <v>-7.1392893999999998E-2</v>
      </c>
      <c r="L10">
        <f>IF(Backend!M37="", "", Backend!M37)</f>
        <v>-9.7451425999999994E-2</v>
      </c>
      <c r="M10">
        <f>IF(Backend!N37="", "", Backend!N37)</f>
        <v>0.32696631999999998</v>
      </c>
      <c r="N10">
        <f>IF(Backend!O37="", "", Backend!O37)</f>
        <v>-0.28965846000000001</v>
      </c>
      <c r="O10">
        <f>IF(Backend!P37="", "", Backend!P37)</f>
        <v>-8.0277234000000003E-2</v>
      </c>
      <c r="P10">
        <f>IF(Backend!Q37="", "", Backend!Q37)</f>
        <v>5.3296067000000003E-2</v>
      </c>
      <c r="Q10">
        <f>IF(Backend!R37="", "", Backend!R37)</f>
        <v>0.86294859999999995</v>
      </c>
      <c r="R10">
        <f>IF(Backend!S37="", "", Backend!S37)</f>
        <v>-0.42973383999999998</v>
      </c>
      <c r="S10">
        <f>IF(Backend!T37="", "", Backend!T37)</f>
        <v>0.46444904999999997</v>
      </c>
      <c r="T10">
        <f>IF(Backend!U37="", "", Backend!U37)</f>
        <v>0.44181794000000002</v>
      </c>
      <c r="U10">
        <f>IF(Backend!V37="", "", Backend!V37)</f>
        <v>-0.36136471999999997</v>
      </c>
      <c r="V10">
        <f>IF(Backend!W37="", "", Backend!W37)</f>
        <v>0.19579094999999999</v>
      </c>
      <c r="W10">
        <f>IF(Backend!X37="", "", Backend!X37)</f>
        <v>0.30403491999999999</v>
      </c>
      <c r="X10">
        <f>IF(Backend!Y37="", "", Backend!Y37)</f>
        <v>-0.63034619999999997</v>
      </c>
      <c r="Y10">
        <f>IF(Backend!Z37="", "", Backend!Z37)</f>
        <v>0.55235124000000002</v>
      </c>
      <c r="Z10">
        <f>IF(Backend!AA37="", "", Backend!AA37)</f>
        <v>0.79588413000000002</v>
      </c>
      <c r="AA10">
        <f>IF(Backend!AB37="", "", Backend!AB37)</f>
        <v>0.69871810000000001</v>
      </c>
      <c r="AB10">
        <f>IF(Backend!AC37="", "", Backend!AC37)</f>
        <v>-6.2993090000000002E-2</v>
      </c>
      <c r="AC10" t="str">
        <f>IF(Backend!AD37="", "", Backend!AD37)</f>
        <v/>
      </c>
      <c r="AD10" t="str">
        <f>IF(Backend!AE37="", "", Backend!AE37)</f>
        <v/>
      </c>
      <c r="AE10" t="str">
        <f>IF(Backend!AF37="", "", Backend!AF37)</f>
        <v/>
      </c>
      <c r="AF10" t="str">
        <f>IF(Backend!AG37="", "", Backend!AG37)</f>
        <v/>
      </c>
      <c r="AG10" t="str">
        <f>IF(Backend!AH37="", "", Backend!AH37)</f>
        <v/>
      </c>
      <c r="AH10" t="str">
        <f>IF(Backend!AI37="", "", Backend!AI37)</f>
        <v/>
      </c>
      <c r="AI10" t="str">
        <f>IF(Backend!AJ37="", "", Backend!AJ37)</f>
        <v/>
      </c>
      <c r="AJ10" t="str">
        <f>IF(Backend!AK37="", "", Backend!AK37)</f>
        <v/>
      </c>
      <c r="AK10" t="str">
        <f>IF(Backend!AL37="", "", Backend!AL37)</f>
        <v/>
      </c>
      <c r="AL10" t="str">
        <f>IF(Backend!AM37="", "", Backend!AM37)</f>
        <v/>
      </c>
      <c r="AM10" t="str">
        <f>IF(Backend!AN37="", "", Backend!AN37)</f>
        <v/>
      </c>
      <c r="AN10" t="str">
        <f>IF(Backend!AO37="", "", Backend!AO37)</f>
        <v/>
      </c>
      <c r="AO10" t="str">
        <f>IF(Backend!AP37="", "", Backend!AP37)</f>
        <v/>
      </c>
      <c r="AP10" t="str">
        <f>IF(Backend!AQ37="", "", Backend!AQ37)</f>
        <v/>
      </c>
      <c r="AQ10" t="str">
        <f>IF(Backend!AR37="", "", Backend!AR37)</f>
        <v/>
      </c>
      <c r="AR10" t="str">
        <f>IF(Backend!AS37="", "", Backend!AS37)</f>
        <v/>
      </c>
      <c r="AS10" t="str">
        <f>IF(Backend!AT37="", "", Backend!AT37)</f>
        <v/>
      </c>
      <c r="AT10" t="str">
        <f>IF(Backend!AU37="", "", Backend!AU37)</f>
        <v/>
      </c>
      <c r="AU10" t="str">
        <f>IF(Backend!AV37="", "", Backend!AV37)</f>
        <v/>
      </c>
      <c r="AV10" t="str">
        <f>IF(Backend!AW37="", "", Backend!AW37)</f>
        <v/>
      </c>
      <c r="AW10" t="str">
        <f>IF(Backend!AX37="", "", Backend!AX37)</f>
        <v/>
      </c>
      <c r="AX10" t="str">
        <f>IF(Backend!AY37="", "", Backend!AY37)</f>
        <v/>
      </c>
      <c r="AY10" t="str">
        <f>IF(Backend!AZ37="", "", Backend!AZ37)</f>
        <v/>
      </c>
      <c r="AZ10" t="str">
        <f>IF(Backend!BA37="", "", Backend!BA37)</f>
        <v/>
      </c>
      <c r="BA10" t="str">
        <f>IF(Backend!BB37="", "", Backend!BB37)</f>
        <v/>
      </c>
      <c r="BB10" t="str">
        <f>IF(Backend!BC37="", "", Backend!BC37)</f>
        <v/>
      </c>
      <c r="BC10" t="str">
        <f>IF(Backend!BD37="", "", Backend!BD37)</f>
        <v/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ASML Holding NV</v>
      </c>
      <c r="B11">
        <f>IF(Backend!C38="", "", Backend!C38)</f>
        <v>0.188883</v>
      </c>
      <c r="C11">
        <f>IF(Backend!D38="", "", Backend!D38)</f>
        <v>0.68283649999999996</v>
      </c>
      <c r="D11">
        <f>IF(Backend!E38="", "", Backend!E38)</f>
        <v>0.43133431999999999</v>
      </c>
      <c r="E11">
        <f>IF(Backend!F38="", "", Backend!F38)</f>
        <v>0.5669729</v>
      </c>
      <c r="F11">
        <f>IF(Backend!G38="", "", Backend!G38)</f>
        <v>0.80790234000000005</v>
      </c>
      <c r="G11">
        <f>IF(Backend!H38="", "", Backend!H38)</f>
        <v>0.57674199999999998</v>
      </c>
      <c r="H11">
        <f>IF(Backend!I38="", "", Backend!I38)</f>
        <v>-0.64939462999999997</v>
      </c>
      <c r="I11">
        <f>IF(Backend!J38="", "", Backend!J38)</f>
        <v>1</v>
      </c>
      <c r="J11">
        <f>IF(Backend!K38="", "", Backend!K38)</f>
        <v>-5.7106850000000001E-2</v>
      </c>
      <c r="K11">
        <f>IF(Backend!L38="", "", Backend!L38)</f>
        <v>0.50632980000000005</v>
      </c>
      <c r="L11">
        <f>IF(Backend!M38="", "", Backend!M38)</f>
        <v>0.25589338</v>
      </c>
      <c r="M11">
        <f>IF(Backend!N38="", "", Backend!N38)</f>
        <v>8.6349780000000001E-2</v>
      </c>
      <c r="N11">
        <f>IF(Backend!O38="", "", Backend!O38)</f>
        <v>0.5642895</v>
      </c>
      <c r="O11">
        <f>IF(Backend!P38="", "", Backend!P38)</f>
        <v>0.12174718</v>
      </c>
      <c r="P11">
        <f>IF(Backend!Q38="", "", Backend!Q38)</f>
        <v>0.11364139600000001</v>
      </c>
      <c r="Q11">
        <f>IF(Backend!R38="", "", Backend!R38)</f>
        <v>-0.58239510000000005</v>
      </c>
      <c r="R11">
        <f>IF(Backend!S38="", "", Backend!S38)</f>
        <v>0.59307145999999999</v>
      </c>
      <c r="S11">
        <f>IF(Backend!T38="", "", Backend!T38)</f>
        <v>-0.61715096000000003</v>
      </c>
      <c r="T11">
        <f>IF(Backend!U38="", "", Backend!U38)</f>
        <v>-0.2105571</v>
      </c>
      <c r="U11">
        <f>IF(Backend!V38="", "", Backend!V38)</f>
        <v>0.50207966999999998</v>
      </c>
      <c r="V11">
        <f>IF(Backend!W38="", "", Backend!W38)</f>
        <v>0.15619670999999999</v>
      </c>
      <c r="W11">
        <f>IF(Backend!X38="", "", Backend!X38)</f>
        <v>0.14526169999999999</v>
      </c>
      <c r="X11">
        <f>IF(Backend!Y38="", "", Backend!Y38)</f>
        <v>0.66976720000000001</v>
      </c>
      <c r="Y11">
        <f>IF(Backend!Z38="", "", Backend!Z38)</f>
        <v>-0.32675465999999997</v>
      </c>
      <c r="Z11">
        <f>IF(Backend!AA38="", "", Backend!AA38)</f>
        <v>-0.64398986000000003</v>
      </c>
      <c r="AA11">
        <f>IF(Backend!AB38="", "", Backend!AB38)</f>
        <v>-0.59759574999999998</v>
      </c>
      <c r="AB11">
        <f>IF(Backend!AC38="", "", Backend!AC38)</f>
        <v>0.3136545</v>
      </c>
      <c r="AC11" t="str">
        <f>IF(Backend!AD38="", "", Backend!AD38)</f>
        <v/>
      </c>
      <c r="AD11" t="str">
        <f>IF(Backend!AE38="", "", Backend!AE38)</f>
        <v/>
      </c>
      <c r="AE11" t="str">
        <f>IF(Backend!AF38="", "", Backend!AF38)</f>
        <v/>
      </c>
      <c r="AF11" t="str">
        <f>IF(Backend!AG38="", "", Backend!AG38)</f>
        <v/>
      </c>
      <c r="AG11" t="str">
        <f>IF(Backend!AH38="", "", Backend!AH38)</f>
        <v/>
      </c>
      <c r="AH11" t="str">
        <f>IF(Backend!AI38="", "", Backend!AI38)</f>
        <v/>
      </c>
      <c r="AI11" t="str">
        <f>IF(Backend!AJ38="", "", Backend!AJ38)</f>
        <v/>
      </c>
      <c r="AJ11" t="str">
        <f>IF(Backend!AK38="", "", Backend!AK38)</f>
        <v/>
      </c>
      <c r="AK11" t="str">
        <f>IF(Backend!AL38="", "", Backend!AL38)</f>
        <v/>
      </c>
      <c r="AL11" t="str">
        <f>IF(Backend!AM38="", "", Backend!AM38)</f>
        <v/>
      </c>
      <c r="AM11" t="str">
        <f>IF(Backend!AN38="", "", Backend!AN38)</f>
        <v/>
      </c>
      <c r="AN11" t="str">
        <f>IF(Backend!AO38="", "", Backend!AO38)</f>
        <v/>
      </c>
      <c r="AO11" t="str">
        <f>IF(Backend!AP38="", "", Backend!AP38)</f>
        <v/>
      </c>
      <c r="AP11" t="str">
        <f>IF(Backend!AQ38="", "", Backend!AQ38)</f>
        <v/>
      </c>
      <c r="AQ11" t="str">
        <f>IF(Backend!AR38="", "", Backend!AR38)</f>
        <v/>
      </c>
      <c r="AR11" t="str">
        <f>IF(Backend!AS38="", "", Backend!AS38)</f>
        <v/>
      </c>
      <c r="AS11" t="str">
        <f>IF(Backend!AT38="", "", Backend!AT38)</f>
        <v/>
      </c>
      <c r="AT11" t="str">
        <f>IF(Backend!AU38="", "", Backend!AU38)</f>
        <v/>
      </c>
      <c r="AU11" t="str">
        <f>IF(Backend!AV38="", "", Backend!AV38)</f>
        <v/>
      </c>
      <c r="AV11" t="str">
        <f>IF(Backend!AW38="", "", Backend!AW38)</f>
        <v/>
      </c>
      <c r="AW11" t="str">
        <f>IF(Backend!AX38="", "", Backend!AX38)</f>
        <v/>
      </c>
      <c r="AX11" t="str">
        <f>IF(Backend!AY38="", "", Backend!AY38)</f>
        <v/>
      </c>
      <c r="AY11" t="str">
        <f>IF(Backend!AZ38="", "", Backend!AZ38)</f>
        <v/>
      </c>
      <c r="AZ11" t="str">
        <f>IF(Backend!BA38="", "", Backend!BA38)</f>
        <v/>
      </c>
      <c r="BA11" t="str">
        <f>IF(Backend!BB38="", "", Backend!BB38)</f>
        <v/>
      </c>
      <c r="BB11" t="str">
        <f>IF(Backend!BC38="", "", Backend!BC38)</f>
        <v/>
      </c>
      <c r="BC11" t="str">
        <f>IF(Backend!BD38="", "", Backend!BD38)</f>
        <v/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Deutsche Boerse AG</v>
      </c>
      <c r="B12">
        <f>IF(Backend!C39="", "", Backend!C39)</f>
        <v>-0.70415013999999998</v>
      </c>
      <c r="C12">
        <f>IF(Backend!D39="", "", Backend!D39)</f>
        <v>0.49742395</v>
      </c>
      <c r="D12">
        <f>IF(Backend!E39="", "", Backend!E39)</f>
        <v>0.35068487999999998</v>
      </c>
      <c r="E12">
        <f>IF(Backend!F39="", "", Backend!F39)</f>
        <v>-0.48590955000000002</v>
      </c>
      <c r="F12">
        <f>IF(Backend!G39="", "", Backend!G39)</f>
        <v>0.31976998000000001</v>
      </c>
      <c r="G12">
        <f>IF(Backend!H39="", "", Backend!H39)</f>
        <v>0.33061644000000001</v>
      </c>
      <c r="H12">
        <f>IF(Backend!I39="", "", Backend!I39)</f>
        <v>0.25646022000000002</v>
      </c>
      <c r="I12">
        <f>IF(Backend!J39="", "", Backend!J39)</f>
        <v>-5.7106850000000001E-2</v>
      </c>
      <c r="J12">
        <f>IF(Backend!K39="", "", Backend!K39)</f>
        <v>1</v>
      </c>
      <c r="K12">
        <f>IF(Backend!L39="", "", Backend!L39)</f>
        <v>0.42614022000000001</v>
      </c>
      <c r="L12">
        <f>IF(Backend!M39="", "", Backend!M39)</f>
        <v>0.83804053000000001</v>
      </c>
      <c r="M12">
        <f>IF(Backend!N39="", "", Backend!N39)</f>
        <v>0.80258255999999994</v>
      </c>
      <c r="N12">
        <f>IF(Backend!O39="", "", Backend!O39)</f>
        <v>-0.20984212999999999</v>
      </c>
      <c r="O12">
        <f>IF(Backend!P39="", "", Backend!P39)</f>
        <v>0.53707059999999995</v>
      </c>
      <c r="P12">
        <f>IF(Backend!Q39="", "", Backend!Q39)</f>
        <v>0.26159241999999999</v>
      </c>
      <c r="Q12">
        <f>IF(Backend!R39="", "", Backend!R39)</f>
        <v>-9.5302700000000004E-3</v>
      </c>
      <c r="R12">
        <f>IF(Backend!S39="", "", Backend!S39)</f>
        <v>0.62319325999999997</v>
      </c>
      <c r="S12">
        <f>IF(Backend!T39="", "", Backend!T39)</f>
        <v>-0.47163820000000001</v>
      </c>
      <c r="T12">
        <f>IF(Backend!U39="", "", Backend!U39)</f>
        <v>0.85228970000000004</v>
      </c>
      <c r="U12">
        <f>IF(Backend!V39="", "", Backend!V39)</f>
        <v>0.39345244000000001</v>
      </c>
      <c r="V12">
        <f>IF(Backend!W39="", "", Backend!W39)</f>
        <v>0.83028953999999999</v>
      </c>
      <c r="W12">
        <f>IF(Backend!X39="", "", Backend!X39)</f>
        <v>0.7723158</v>
      </c>
      <c r="X12">
        <f>IF(Backend!Y39="", "", Backend!Y39)</f>
        <v>0.20526071000000001</v>
      </c>
      <c r="Y12">
        <f>IF(Backend!Z39="", "", Backend!Z39)</f>
        <v>-0.29717988000000001</v>
      </c>
      <c r="Z12">
        <f>IF(Backend!AA39="", "", Backend!AA39)</f>
        <v>8.3717659999999999E-2</v>
      </c>
      <c r="AA12">
        <f>IF(Backend!AB39="", "", Backend!AB39)</f>
        <v>6.5486340000000004E-2</v>
      </c>
      <c r="AB12">
        <f>IF(Backend!AC39="", "", Backend!AC39)</f>
        <v>0.81362950000000001</v>
      </c>
      <c r="AC12" t="str">
        <f>IF(Backend!AD39="", "", Backend!AD39)</f>
        <v/>
      </c>
      <c r="AD12" t="str">
        <f>IF(Backend!AE39="", "", Backend!AE39)</f>
        <v/>
      </c>
      <c r="AE12" t="str">
        <f>IF(Backend!AF39="", "", Backend!AF39)</f>
        <v/>
      </c>
      <c r="AF12" t="str">
        <f>IF(Backend!AG39="", "", Backend!AG39)</f>
        <v/>
      </c>
      <c r="AG12" t="str">
        <f>IF(Backend!AH39="", "", Backend!AH39)</f>
        <v/>
      </c>
      <c r="AH12" t="str">
        <f>IF(Backend!AI39="", "", Backend!AI39)</f>
        <v/>
      </c>
      <c r="AI12" t="str">
        <f>IF(Backend!AJ39="", "", Backend!AJ39)</f>
        <v/>
      </c>
      <c r="AJ12" t="str">
        <f>IF(Backend!AK39="", "", Backend!AK39)</f>
        <v/>
      </c>
      <c r="AK12" t="str">
        <f>IF(Backend!AL39="", "", Backend!AL39)</f>
        <v/>
      </c>
      <c r="AL12" t="str">
        <f>IF(Backend!AM39="", "", Backend!AM39)</f>
        <v/>
      </c>
      <c r="AM12" t="str">
        <f>IF(Backend!AN39="", "", Backend!AN39)</f>
        <v/>
      </c>
      <c r="AN12" t="str">
        <f>IF(Backend!AO39="", "", Backend!AO39)</f>
        <v/>
      </c>
      <c r="AO12" t="str">
        <f>IF(Backend!AP39="", "", Backend!AP39)</f>
        <v/>
      </c>
      <c r="AP12" t="str">
        <f>IF(Backend!AQ39="", "", Backend!AQ39)</f>
        <v/>
      </c>
      <c r="AQ12" t="str">
        <f>IF(Backend!AR39="", "", Backend!AR39)</f>
        <v/>
      </c>
      <c r="AR12" t="str">
        <f>IF(Backend!AS39="", "", Backend!AS39)</f>
        <v/>
      </c>
      <c r="AS12" t="str">
        <f>IF(Backend!AT39="", "", Backend!AT39)</f>
        <v/>
      </c>
      <c r="AT12" t="str">
        <f>IF(Backend!AU39="", "", Backend!AU39)</f>
        <v/>
      </c>
      <c r="AU12" t="str">
        <f>IF(Backend!AV39="", "", Backend!AV39)</f>
        <v/>
      </c>
      <c r="AV12" t="str">
        <f>IF(Backend!AW39="", "", Backend!AW39)</f>
        <v/>
      </c>
      <c r="AW12" t="str">
        <f>IF(Backend!AX39="", "", Backend!AX39)</f>
        <v/>
      </c>
      <c r="AX12" t="str">
        <f>IF(Backend!AY39="", "", Backend!AY39)</f>
        <v/>
      </c>
      <c r="AY12" t="str">
        <f>IF(Backend!AZ39="", "", Backend!AZ39)</f>
        <v/>
      </c>
      <c r="AZ12" t="str">
        <f>IF(Backend!BA39="", "", Backend!BA39)</f>
        <v/>
      </c>
      <c r="BA12" t="str">
        <f>IF(Backend!BB39="", "", Backend!BB39)</f>
        <v/>
      </c>
      <c r="BB12" t="str">
        <f>IF(Backend!BC39="", "", Backend!BC39)</f>
        <v/>
      </c>
      <c r="BC12" t="str">
        <f>IF(Backend!BD39="", "", Backend!BD39)</f>
        <v/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Compagnie Financiere Richemont SA</v>
      </c>
      <c r="B13">
        <f>IF(Backend!C40="", "", Backend!C40)</f>
        <v>0.15600412</v>
      </c>
      <c r="C13">
        <f>IF(Backend!D40="", "", Backend!D40)</f>
        <v>0.55240445999999999</v>
      </c>
      <c r="D13">
        <f>IF(Backend!E40="", "", Backend!E40)</f>
        <v>0.26479312999999999</v>
      </c>
      <c r="E13">
        <f>IF(Backend!F40="", "", Backend!F40)</f>
        <v>7.6674119999999998E-2</v>
      </c>
      <c r="F13">
        <f>IF(Backend!G40="", "", Backend!G40)</f>
        <v>0.57714146</v>
      </c>
      <c r="G13">
        <f>IF(Backend!H40="", "", Backend!H40)</f>
        <v>0.26360855</v>
      </c>
      <c r="H13">
        <f>IF(Backend!I40="", "", Backend!I40)</f>
        <v>-7.1392893999999998E-2</v>
      </c>
      <c r="I13">
        <f>IF(Backend!J40="", "", Backend!J40)</f>
        <v>0.50632980000000005</v>
      </c>
      <c r="J13">
        <f>IF(Backend!K40="", "", Backend!K40)</f>
        <v>0.42614022000000001</v>
      </c>
      <c r="K13">
        <f>IF(Backend!L40="", "", Backend!L40)</f>
        <v>1</v>
      </c>
      <c r="L13">
        <f>IF(Backend!M40="", "", Backend!M40)</f>
        <v>0.49914720000000001</v>
      </c>
      <c r="M13">
        <f>IF(Backend!N40="", "", Backend!N40)</f>
        <v>0.47532692999999998</v>
      </c>
      <c r="N13">
        <f>IF(Backend!O40="", "", Backend!O40)</f>
        <v>0.62963860000000005</v>
      </c>
      <c r="O13">
        <f>IF(Backend!P40="", "", Backend!P40)</f>
        <v>0.34242523000000002</v>
      </c>
      <c r="P13">
        <f>IF(Backend!Q40="", "", Backend!Q40)</f>
        <v>0.33509728</v>
      </c>
      <c r="Q13">
        <f>IF(Backend!R40="", "", Backend!R40)</f>
        <v>-0.15968563999999999</v>
      </c>
      <c r="R13">
        <f>IF(Backend!S40="", "", Backend!S40)</f>
        <v>0.58111849999999998</v>
      </c>
      <c r="S13">
        <f>IF(Backend!T40="", "", Backend!T40)</f>
        <v>-0.61586510000000005</v>
      </c>
      <c r="T13">
        <f>IF(Backend!U40="", "", Backend!U40)</f>
        <v>0.39796779999999998</v>
      </c>
      <c r="U13">
        <f>IF(Backend!V40="", "", Backend!V40)</f>
        <v>0.7397241</v>
      </c>
      <c r="V13">
        <f>IF(Backend!W40="", "", Backend!W40)</f>
        <v>0.64684989999999998</v>
      </c>
      <c r="W13">
        <f>IF(Backend!X40="", "", Backend!X40)</f>
        <v>0.64156579999999996</v>
      </c>
      <c r="X13">
        <f>IF(Backend!Y40="", "", Backend!Y40)</f>
        <v>0.61930099999999999</v>
      </c>
      <c r="Y13">
        <f>IF(Backend!Z40="", "", Backend!Z40)</f>
        <v>-0.16557746000000001</v>
      </c>
      <c r="Z13">
        <f>IF(Backend!AA40="", "", Backend!AA40)</f>
        <v>-0.21873239</v>
      </c>
      <c r="AA13">
        <f>IF(Backend!AB40="", "", Backend!AB40)</f>
        <v>-0.16350002999999999</v>
      </c>
      <c r="AB13">
        <f>IF(Backend!AC40="", "", Backend!AC40)</f>
        <v>0.50198509999999996</v>
      </c>
      <c r="AC13" t="str">
        <f>IF(Backend!AD40="", "", Backend!AD40)</f>
        <v/>
      </c>
      <c r="AD13" t="str">
        <f>IF(Backend!AE40="", "", Backend!AE40)</f>
        <v/>
      </c>
      <c r="AE13" t="str">
        <f>IF(Backend!AF40="", "", Backend!AF40)</f>
        <v/>
      </c>
      <c r="AF13" t="str">
        <f>IF(Backend!AG40="", "", Backend!AG40)</f>
        <v/>
      </c>
      <c r="AG13" t="str">
        <f>IF(Backend!AH40="", "", Backend!AH40)</f>
        <v/>
      </c>
      <c r="AH13" t="str">
        <f>IF(Backend!AI40="", "", Backend!AI40)</f>
        <v/>
      </c>
      <c r="AI13" t="str">
        <f>IF(Backend!AJ40="", "", Backend!AJ40)</f>
        <v/>
      </c>
      <c r="AJ13" t="str">
        <f>IF(Backend!AK40="", "", Backend!AK40)</f>
        <v/>
      </c>
      <c r="AK13" t="str">
        <f>IF(Backend!AL40="", "", Backend!AL40)</f>
        <v/>
      </c>
      <c r="AL13" t="str">
        <f>IF(Backend!AM40="", "", Backend!AM40)</f>
        <v/>
      </c>
      <c r="AM13" t="str">
        <f>IF(Backend!AN40="", "", Backend!AN40)</f>
        <v/>
      </c>
      <c r="AN13" t="str">
        <f>IF(Backend!AO40="", "", Backend!AO40)</f>
        <v/>
      </c>
      <c r="AO13" t="str">
        <f>IF(Backend!AP40="", "", Backend!AP40)</f>
        <v/>
      </c>
      <c r="AP13" t="str">
        <f>IF(Backend!AQ40="", "", Backend!AQ40)</f>
        <v/>
      </c>
      <c r="AQ13" t="str">
        <f>IF(Backend!AR40="", "", Backend!AR40)</f>
        <v/>
      </c>
      <c r="AR13" t="str">
        <f>IF(Backend!AS40="", "", Backend!AS40)</f>
        <v/>
      </c>
      <c r="AS13" t="str">
        <f>IF(Backend!AT40="", "", Backend!AT40)</f>
        <v/>
      </c>
      <c r="AT13" t="str">
        <f>IF(Backend!AU40="", "", Backend!AU40)</f>
        <v/>
      </c>
      <c r="AU13" t="str">
        <f>IF(Backend!AV40="", "", Backend!AV40)</f>
        <v/>
      </c>
      <c r="AV13" t="str">
        <f>IF(Backend!AW40="", "", Backend!AW40)</f>
        <v/>
      </c>
      <c r="AW13" t="str">
        <f>IF(Backend!AX40="", "", Backend!AX40)</f>
        <v/>
      </c>
      <c r="AX13" t="str">
        <f>IF(Backend!AY40="", "", Backend!AY40)</f>
        <v/>
      </c>
      <c r="AY13" t="str">
        <f>IF(Backend!AZ40="", "", Backend!AZ40)</f>
        <v/>
      </c>
      <c r="AZ13" t="str">
        <f>IF(Backend!BA40="", "", Backend!BA40)</f>
        <v/>
      </c>
      <c r="BA13" t="str">
        <f>IF(Backend!BB40="", "", Backend!BB40)</f>
        <v/>
      </c>
      <c r="BB13" t="str">
        <f>IF(Backend!BC40="", "", Backend!BC40)</f>
        <v/>
      </c>
      <c r="BC13" t="str">
        <f>IF(Backend!BD40="", "", Backend!BD40)</f>
        <v/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Amadeus IT Group SA Class A</v>
      </c>
      <c r="B14">
        <f>IF(Backend!C41="", "", Backend!C41)</f>
        <v>-0.60356750000000003</v>
      </c>
      <c r="C14">
        <f>IF(Backend!D41="", "", Backend!D41)</f>
        <v>0.78369160000000004</v>
      </c>
      <c r="D14">
        <f>IF(Backend!E41="", "", Backend!E41)</f>
        <v>0.64865375000000003</v>
      </c>
      <c r="E14">
        <f>IF(Backend!F41="", "", Backend!F41)</f>
        <v>-0.12260428</v>
      </c>
      <c r="F14">
        <f>IF(Backend!G41="", "", Backend!G41)</f>
        <v>0.64628180000000002</v>
      </c>
      <c r="G14">
        <f>IF(Backend!H41="", "", Backend!H41)</f>
        <v>0.65789209999999998</v>
      </c>
      <c r="H14">
        <f>IF(Backend!I41="", "", Backend!I41)</f>
        <v>-9.7451425999999994E-2</v>
      </c>
      <c r="I14">
        <f>IF(Backend!J41="", "", Backend!J41)</f>
        <v>0.25589338</v>
      </c>
      <c r="J14">
        <f>IF(Backend!K41="", "", Backend!K41)</f>
        <v>0.83804053000000001</v>
      </c>
      <c r="K14">
        <f>IF(Backend!L41="", "", Backend!L41)</f>
        <v>0.49914720000000001</v>
      </c>
      <c r="L14">
        <f>IF(Backend!M41="", "", Backend!M41)</f>
        <v>1</v>
      </c>
      <c r="M14">
        <f>IF(Backend!N41="", "", Backend!N41)</f>
        <v>0.69316060000000002</v>
      </c>
      <c r="N14">
        <f>IF(Backend!O41="", "", Backend!O41)</f>
        <v>1.47988945E-2</v>
      </c>
      <c r="O14">
        <f>IF(Backend!P41="", "", Backend!P41)</f>
        <v>0.70624869999999995</v>
      </c>
      <c r="P14">
        <f>IF(Backend!Q41="", "", Backend!Q41)</f>
        <v>0.43652301999999998</v>
      </c>
      <c r="Q14">
        <f>IF(Backend!R41="", "", Backend!R41)</f>
        <v>-0.31425983000000002</v>
      </c>
      <c r="R14">
        <f>IF(Backend!S41="", "", Backend!S41)</f>
        <v>0.80826396</v>
      </c>
      <c r="S14">
        <f>IF(Backend!T41="", "", Backend!T41)</f>
        <v>-0.59115832999999995</v>
      </c>
      <c r="T14">
        <f>IF(Backend!U41="", "", Backend!U41)</f>
        <v>0.69076603999999997</v>
      </c>
      <c r="U14">
        <f>IF(Backend!V41="", "", Backend!V41)</f>
        <v>0.54756903999999995</v>
      </c>
      <c r="V14">
        <f>IF(Backend!W41="", "", Backend!W41)</f>
        <v>0.81191449999999998</v>
      </c>
      <c r="W14">
        <f>IF(Backend!X41="", "", Backend!X41)</f>
        <v>0.72958579999999995</v>
      </c>
      <c r="X14">
        <f>IF(Backend!Y41="", "", Backend!Y41)</f>
        <v>0.50004077000000002</v>
      </c>
      <c r="Y14">
        <f>IF(Backend!Z41="", "", Backend!Z41)</f>
        <v>-0.42861912000000002</v>
      </c>
      <c r="Z14">
        <f>IF(Backend!AA41="", "", Backend!AA41)</f>
        <v>-0.23839645000000001</v>
      </c>
      <c r="AA14">
        <f>IF(Backend!AB41="", "", Backend!AB41)</f>
        <v>-8.7519533999999996E-2</v>
      </c>
      <c r="AB14">
        <f>IF(Backend!AC41="", "", Backend!AC41)</f>
        <v>0.88591843999999997</v>
      </c>
      <c r="AC14" t="str">
        <f>IF(Backend!AD41="", "", Backend!AD41)</f>
        <v/>
      </c>
      <c r="AD14" t="str">
        <f>IF(Backend!AE41="", "", Backend!AE41)</f>
        <v/>
      </c>
      <c r="AE14" t="str">
        <f>IF(Backend!AF41="", "", Backend!AF41)</f>
        <v/>
      </c>
      <c r="AF14" t="str">
        <f>IF(Backend!AG41="", "", Backend!AG41)</f>
        <v/>
      </c>
      <c r="AG14" t="str">
        <f>IF(Backend!AH41="", "", Backend!AH41)</f>
        <v/>
      </c>
      <c r="AH14" t="str">
        <f>IF(Backend!AI41="", "", Backend!AI41)</f>
        <v/>
      </c>
      <c r="AI14" t="str">
        <f>IF(Backend!AJ41="", "", Backend!AJ41)</f>
        <v/>
      </c>
      <c r="AJ14" t="str">
        <f>IF(Backend!AK41="", "", Backend!AK41)</f>
        <v/>
      </c>
      <c r="AK14" t="str">
        <f>IF(Backend!AL41="", "", Backend!AL41)</f>
        <v/>
      </c>
      <c r="AL14" t="str">
        <f>IF(Backend!AM41="", "", Backend!AM41)</f>
        <v/>
      </c>
      <c r="AM14" t="str">
        <f>IF(Backend!AN41="", "", Backend!AN41)</f>
        <v/>
      </c>
      <c r="AN14" t="str">
        <f>IF(Backend!AO41="", "", Backend!AO41)</f>
        <v/>
      </c>
      <c r="AO14" t="str">
        <f>IF(Backend!AP41="", "", Backend!AP41)</f>
        <v/>
      </c>
      <c r="AP14" t="str">
        <f>IF(Backend!AQ41="", "", Backend!AQ41)</f>
        <v/>
      </c>
      <c r="AQ14" t="str">
        <f>IF(Backend!AR41="", "", Backend!AR41)</f>
        <v/>
      </c>
      <c r="AR14" t="str">
        <f>IF(Backend!AS41="", "", Backend!AS41)</f>
        <v/>
      </c>
      <c r="AS14" t="str">
        <f>IF(Backend!AT41="", "", Backend!AT41)</f>
        <v/>
      </c>
      <c r="AT14" t="str">
        <f>IF(Backend!AU41="", "", Backend!AU41)</f>
        <v/>
      </c>
      <c r="AU14" t="str">
        <f>IF(Backend!AV41="", "", Backend!AV41)</f>
        <v/>
      </c>
      <c r="AV14" t="str">
        <f>IF(Backend!AW41="", "", Backend!AW41)</f>
        <v/>
      </c>
      <c r="AW14" t="str">
        <f>IF(Backend!AX41="", "", Backend!AX41)</f>
        <v/>
      </c>
      <c r="AX14" t="str">
        <f>IF(Backend!AY41="", "", Backend!AY41)</f>
        <v/>
      </c>
      <c r="AY14" t="str">
        <f>IF(Backend!AZ41="", "", Backend!AZ41)</f>
        <v/>
      </c>
      <c r="AZ14" t="str">
        <f>IF(Backend!BA41="", "", Backend!BA41)</f>
        <v/>
      </c>
      <c r="BA14" t="str">
        <f>IF(Backend!BB41="", "", Backend!BB41)</f>
        <v/>
      </c>
      <c r="BB14" t="str">
        <f>IF(Backend!BC41="", "", Backend!BC41)</f>
        <v/>
      </c>
      <c r="BC14" t="str">
        <f>IF(Backend!BD41="", "", Backend!BD41)</f>
        <v/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ConvaTec Group Plc</v>
      </c>
      <c r="B15">
        <f>IF(Backend!C42="", "", Backend!C42)</f>
        <v>-0.55780989999999997</v>
      </c>
      <c r="C15">
        <f>IF(Backend!D42="", "", Backend!D42)</f>
        <v>0.38547722000000001</v>
      </c>
      <c r="D15">
        <f>IF(Backend!E42="", "", Backend!E42)</f>
        <v>0.40579094999999998</v>
      </c>
      <c r="E15">
        <f>IF(Backend!F42="", "", Backend!F42)</f>
        <v>-0.27976802000000001</v>
      </c>
      <c r="F15">
        <f>IF(Backend!G42="", "", Backend!G42)</f>
        <v>0.24863969</v>
      </c>
      <c r="G15">
        <f>IF(Backend!H42="", "", Backend!H42)</f>
        <v>0.27851294999999998</v>
      </c>
      <c r="H15">
        <f>IF(Backend!I42="", "", Backend!I42)</f>
        <v>0.32696631999999998</v>
      </c>
      <c r="I15">
        <f>IF(Backend!J42="", "", Backend!J42)</f>
        <v>8.6349780000000001E-2</v>
      </c>
      <c r="J15">
        <f>IF(Backend!K42="", "", Backend!K42)</f>
        <v>0.80258255999999994</v>
      </c>
      <c r="K15">
        <f>IF(Backend!L42="", "", Backend!L42)</f>
        <v>0.47532692999999998</v>
      </c>
      <c r="L15">
        <f>IF(Backend!M42="", "", Backend!M42)</f>
        <v>0.69316060000000002</v>
      </c>
      <c r="M15">
        <f>IF(Backend!N42="", "", Backend!N42)</f>
        <v>1</v>
      </c>
      <c r="N15">
        <f>IF(Backend!O42="", "", Backend!O42)</f>
        <v>3.6908980000000001E-2</v>
      </c>
      <c r="O15">
        <f>IF(Backend!P42="", "", Backend!P42)</f>
        <v>0.45346882999999999</v>
      </c>
      <c r="P15">
        <f>IF(Backend!Q42="", "", Backend!Q42)</f>
        <v>0.29867136</v>
      </c>
      <c r="Q15">
        <f>IF(Backend!R42="", "", Backend!R42)</f>
        <v>8.9069449999999994E-2</v>
      </c>
      <c r="R15">
        <f>IF(Backend!S42="", "", Backend!S42)</f>
        <v>0.59037273999999995</v>
      </c>
      <c r="S15">
        <f>IF(Backend!T42="", "", Backend!T42)</f>
        <v>-0.42790222</v>
      </c>
      <c r="T15">
        <f>IF(Backend!U42="", "", Backend!U42)</f>
        <v>0.73698514999999998</v>
      </c>
      <c r="U15">
        <f>IF(Backend!V42="", "", Backend!V42)</f>
        <v>0.41802686</v>
      </c>
      <c r="V15">
        <f>IF(Backend!W42="", "", Backend!W42)</f>
        <v>0.75596945999999998</v>
      </c>
      <c r="W15">
        <f>IF(Backend!X42="", "", Backend!X42)</f>
        <v>0.68255149999999998</v>
      </c>
      <c r="X15">
        <f>IF(Backend!Y42="", "", Backend!Y42)</f>
        <v>0.17265442</v>
      </c>
      <c r="Y15">
        <f>IF(Backend!Z42="", "", Backend!Z42)</f>
        <v>-8.8567490000000001E-4</v>
      </c>
      <c r="Z15">
        <f>IF(Backend!AA42="", "", Backend!AA42)</f>
        <v>0.22248606000000001</v>
      </c>
      <c r="AA15">
        <f>IF(Backend!AB42="", "", Backend!AB42)</f>
        <v>0.30082372000000002</v>
      </c>
      <c r="AB15">
        <f>IF(Backend!AC42="", "", Backend!AC42)</f>
        <v>0.70637309999999998</v>
      </c>
      <c r="AC15" t="str">
        <f>IF(Backend!AD42="", "", Backend!AD42)</f>
        <v/>
      </c>
      <c r="AD15" t="str">
        <f>IF(Backend!AE42="", "", Backend!AE42)</f>
        <v/>
      </c>
      <c r="AE15" t="str">
        <f>IF(Backend!AF42="", "", Backend!AF42)</f>
        <v/>
      </c>
      <c r="AF15" t="str">
        <f>IF(Backend!AG42="", "", Backend!AG42)</f>
        <v/>
      </c>
      <c r="AG15" t="str">
        <f>IF(Backend!AH42="", "", Backend!AH42)</f>
        <v/>
      </c>
      <c r="AH15" t="str">
        <f>IF(Backend!AI42="", "", Backend!AI42)</f>
        <v/>
      </c>
      <c r="AI15" t="str">
        <f>IF(Backend!AJ42="", "", Backend!AJ42)</f>
        <v/>
      </c>
      <c r="AJ15" t="str">
        <f>IF(Backend!AK42="", "", Backend!AK42)</f>
        <v/>
      </c>
      <c r="AK15" t="str">
        <f>IF(Backend!AL42="", "", Backend!AL42)</f>
        <v/>
      </c>
      <c r="AL15" t="str">
        <f>IF(Backend!AM42="", "", Backend!AM42)</f>
        <v/>
      </c>
      <c r="AM15" t="str">
        <f>IF(Backend!AN42="", "", Backend!AN42)</f>
        <v/>
      </c>
      <c r="AN15" t="str">
        <f>IF(Backend!AO42="", "", Backend!AO42)</f>
        <v/>
      </c>
      <c r="AO15" t="str">
        <f>IF(Backend!AP42="", "", Backend!AP42)</f>
        <v/>
      </c>
      <c r="AP15" t="str">
        <f>IF(Backend!AQ42="", "", Backend!AQ42)</f>
        <v/>
      </c>
      <c r="AQ15" t="str">
        <f>IF(Backend!AR42="", "", Backend!AR42)</f>
        <v/>
      </c>
      <c r="AR15" t="str">
        <f>IF(Backend!AS42="", "", Backend!AS42)</f>
        <v/>
      </c>
      <c r="AS15" t="str">
        <f>IF(Backend!AT42="", "", Backend!AT42)</f>
        <v/>
      </c>
      <c r="AT15" t="str">
        <f>IF(Backend!AU42="", "", Backend!AU42)</f>
        <v/>
      </c>
      <c r="AU15" t="str">
        <f>IF(Backend!AV42="", "", Backend!AV42)</f>
        <v/>
      </c>
      <c r="AV15" t="str">
        <f>IF(Backend!AW42="", "", Backend!AW42)</f>
        <v/>
      </c>
      <c r="AW15" t="str">
        <f>IF(Backend!AX42="", "", Backend!AX42)</f>
        <v/>
      </c>
      <c r="AX15" t="str">
        <f>IF(Backend!AY42="", "", Backend!AY42)</f>
        <v/>
      </c>
      <c r="AY15" t="str">
        <f>IF(Backend!AZ42="", "", Backend!AZ42)</f>
        <v/>
      </c>
      <c r="AZ15" t="str">
        <f>IF(Backend!BA42="", "", Backend!BA42)</f>
        <v/>
      </c>
      <c r="BA15" t="str">
        <f>IF(Backend!BB42="", "", Backend!BB42)</f>
        <v/>
      </c>
      <c r="BB15" t="str">
        <f>IF(Backend!BC42="", "", Backend!BC42)</f>
        <v/>
      </c>
      <c r="BC15" t="str">
        <f>IF(Backend!BD42="", "", Backend!BD42)</f>
        <v/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Atlas Copco AB Class B</v>
      </c>
      <c r="B16">
        <f>IF(Backend!C43="", "", Backend!C43)</f>
        <v>0.55128659999999996</v>
      </c>
      <c r="C16">
        <f>IF(Backend!D43="", "", Backend!D43)</f>
        <v>0.26819238000000001</v>
      </c>
      <c r="D16">
        <f>IF(Backend!E43="", "", Backend!E43)</f>
        <v>9.1552410000000001E-2</v>
      </c>
      <c r="E16">
        <f>IF(Backend!F43="", "", Backend!F43)</f>
        <v>0.4175469</v>
      </c>
      <c r="F16">
        <f>IF(Backend!G43="", "", Backend!G43)</f>
        <v>0.39980939999999998</v>
      </c>
      <c r="G16">
        <f>IF(Backend!H43="", "", Backend!H43)</f>
        <v>0.15635514</v>
      </c>
      <c r="H16">
        <f>IF(Backend!I43="", "", Backend!I43)</f>
        <v>-0.28965846000000001</v>
      </c>
      <c r="I16">
        <f>IF(Backend!J43="", "", Backend!J43)</f>
        <v>0.5642895</v>
      </c>
      <c r="J16">
        <f>IF(Backend!K43="", "", Backend!K43)</f>
        <v>-0.20984212999999999</v>
      </c>
      <c r="K16">
        <f>IF(Backend!L43="", "", Backend!L43)</f>
        <v>0.62963860000000005</v>
      </c>
      <c r="L16">
        <f>IF(Backend!M43="", "", Backend!M43)</f>
        <v>1.47988945E-2</v>
      </c>
      <c r="M16">
        <f>IF(Backend!N43="", "", Backend!N43)</f>
        <v>3.6908980000000001E-2</v>
      </c>
      <c r="N16">
        <f>IF(Backend!O43="", "", Backend!O43)</f>
        <v>1</v>
      </c>
      <c r="O16">
        <f>IF(Backend!P43="", "", Backend!P43)</f>
        <v>3.5210789999999999E-2</v>
      </c>
      <c r="P16">
        <f>IF(Backend!Q43="", "", Backend!Q43)</f>
        <v>0.19789264000000001</v>
      </c>
      <c r="Q16">
        <f>IF(Backend!R43="", "", Backend!R43)</f>
        <v>-0.23974727000000001</v>
      </c>
      <c r="R16">
        <f>IF(Backend!S43="", "", Backend!S43)</f>
        <v>0.26333279999999998</v>
      </c>
      <c r="S16">
        <f>IF(Backend!T43="", "", Backend!T43)</f>
        <v>-0.26251760000000002</v>
      </c>
      <c r="T16">
        <f>IF(Backend!U43="", "", Backend!U43)</f>
        <v>-0.17833117000000001</v>
      </c>
      <c r="U16">
        <f>IF(Backend!V43="", "", Backend!V43)</f>
        <v>0.611209</v>
      </c>
      <c r="V16">
        <f>IF(Backend!W43="", "", Backend!W43)</f>
        <v>8.0772854000000005E-2</v>
      </c>
      <c r="W16">
        <f>IF(Backend!X43="", "", Backend!X43)</f>
        <v>5.5785064000000002E-2</v>
      </c>
      <c r="X16">
        <f>IF(Backend!Y43="", "", Backend!Y43)</f>
        <v>0.55382246000000002</v>
      </c>
      <c r="Y16">
        <f>IF(Backend!Z43="", "", Backend!Z43)</f>
        <v>0.12434711</v>
      </c>
      <c r="Z16">
        <f>IF(Backend!AA43="", "", Backend!AA43)</f>
        <v>-0.25754254999999998</v>
      </c>
      <c r="AA16">
        <f>IF(Backend!AB43="", "", Backend!AB43)</f>
        <v>-6.0962700000000002E-2</v>
      </c>
      <c r="AB16">
        <f>IF(Backend!AC43="", "", Backend!AC43)</f>
        <v>-2.3115829000000001E-2</v>
      </c>
      <c r="AC16" t="str">
        <f>IF(Backend!AD43="", "", Backend!AD43)</f>
        <v/>
      </c>
      <c r="AD16" t="str">
        <f>IF(Backend!AE43="", "", Backend!AE43)</f>
        <v/>
      </c>
      <c r="AE16" t="str">
        <f>IF(Backend!AF43="", "", Backend!AF43)</f>
        <v/>
      </c>
      <c r="AF16" t="str">
        <f>IF(Backend!AG43="", "", Backend!AG43)</f>
        <v/>
      </c>
      <c r="AG16" t="str">
        <f>IF(Backend!AH43="", "", Backend!AH43)</f>
        <v/>
      </c>
      <c r="AH16" t="str">
        <f>IF(Backend!AI43="", "", Backend!AI43)</f>
        <v/>
      </c>
      <c r="AI16" t="str">
        <f>IF(Backend!AJ43="", "", Backend!AJ43)</f>
        <v/>
      </c>
      <c r="AJ16" t="str">
        <f>IF(Backend!AK43="", "", Backend!AK43)</f>
        <v/>
      </c>
      <c r="AK16" t="str">
        <f>IF(Backend!AL43="", "", Backend!AL43)</f>
        <v/>
      </c>
      <c r="AL16" t="str">
        <f>IF(Backend!AM43="", "", Backend!AM43)</f>
        <v/>
      </c>
      <c r="AM16" t="str">
        <f>IF(Backend!AN43="", "", Backend!AN43)</f>
        <v/>
      </c>
      <c r="AN16" t="str">
        <f>IF(Backend!AO43="", "", Backend!AO43)</f>
        <v/>
      </c>
      <c r="AO16" t="str">
        <f>IF(Backend!AP43="", "", Backend!AP43)</f>
        <v/>
      </c>
      <c r="AP16" t="str">
        <f>IF(Backend!AQ43="", "", Backend!AQ43)</f>
        <v/>
      </c>
      <c r="AQ16" t="str">
        <f>IF(Backend!AR43="", "", Backend!AR43)</f>
        <v/>
      </c>
      <c r="AR16" t="str">
        <f>IF(Backend!AS43="", "", Backend!AS43)</f>
        <v/>
      </c>
      <c r="AS16" t="str">
        <f>IF(Backend!AT43="", "", Backend!AT43)</f>
        <v/>
      </c>
      <c r="AT16" t="str">
        <f>IF(Backend!AU43="", "", Backend!AU43)</f>
        <v/>
      </c>
      <c r="AU16" t="str">
        <f>IF(Backend!AV43="", "", Backend!AV43)</f>
        <v/>
      </c>
      <c r="AV16" t="str">
        <f>IF(Backend!AW43="", "", Backend!AW43)</f>
        <v/>
      </c>
      <c r="AW16" t="str">
        <f>IF(Backend!AX43="", "", Backend!AX43)</f>
        <v/>
      </c>
      <c r="AX16" t="str">
        <f>IF(Backend!AY43="", "", Backend!AY43)</f>
        <v/>
      </c>
      <c r="AY16" t="str">
        <f>IF(Backend!AZ43="", "", Backend!AZ43)</f>
        <v/>
      </c>
      <c r="AZ16" t="str">
        <f>IF(Backend!BA43="", "", Backend!BA43)</f>
        <v/>
      </c>
      <c r="BA16" t="str">
        <f>IF(Backend!BB43="", "", Backend!BB43)</f>
        <v/>
      </c>
      <c r="BB16" t="str">
        <f>IF(Backend!BC43="", "", Backend!BC43)</f>
        <v/>
      </c>
      <c r="BC16" t="str">
        <f>IF(Backend!BD43="", "", Backend!BD43)</f>
        <v/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Experian PLC</v>
      </c>
      <c r="B17">
        <f>IF(Backend!C44="", "", Backend!C44)</f>
        <v>-0.50341784999999994</v>
      </c>
      <c r="C17">
        <f>IF(Backend!D44="", "", Backend!D44)</f>
        <v>0.6305383</v>
      </c>
      <c r="D17">
        <f>IF(Backend!E44="", "", Backend!E44)</f>
        <v>0.80694896000000005</v>
      </c>
      <c r="E17">
        <f>IF(Backend!F44="", "", Backend!F44)</f>
        <v>0.11803714</v>
      </c>
      <c r="F17">
        <f>IF(Backend!G44="", "", Backend!G44)</f>
        <v>0.49169489999999999</v>
      </c>
      <c r="G17">
        <f>IF(Backend!H44="", "", Backend!H44)</f>
        <v>0.55935573999999999</v>
      </c>
      <c r="H17">
        <f>IF(Backend!I44="", "", Backend!I44)</f>
        <v>-8.0277234000000003E-2</v>
      </c>
      <c r="I17">
        <f>IF(Backend!J44="", "", Backend!J44)</f>
        <v>0.12174718</v>
      </c>
      <c r="J17">
        <f>IF(Backend!K44="", "", Backend!K44)</f>
        <v>0.53707059999999995</v>
      </c>
      <c r="K17">
        <f>IF(Backend!L44="", "", Backend!L44)</f>
        <v>0.34242523000000002</v>
      </c>
      <c r="L17">
        <f>IF(Backend!M44="", "", Backend!M44)</f>
        <v>0.70624869999999995</v>
      </c>
      <c r="M17">
        <f>IF(Backend!N44="", "", Backend!N44)</f>
        <v>0.45346882999999999</v>
      </c>
      <c r="N17">
        <f>IF(Backend!O44="", "", Backend!O44)</f>
        <v>3.5210789999999999E-2</v>
      </c>
      <c r="O17">
        <f>IF(Backend!P44="", "", Backend!P44)</f>
        <v>1</v>
      </c>
      <c r="P17">
        <f>IF(Backend!Q44="", "", Backend!Q44)</f>
        <v>0.59213859999999996</v>
      </c>
      <c r="Q17">
        <f>IF(Backend!R44="", "", Backend!R44)</f>
        <v>-0.12468708000000001</v>
      </c>
      <c r="R17">
        <f>IF(Backend!S44="", "", Backend!S44)</f>
        <v>0.67048379999999996</v>
      </c>
      <c r="S17">
        <f>IF(Backend!T44="", "", Backend!T44)</f>
        <v>-0.34891638000000003</v>
      </c>
      <c r="T17">
        <f>IF(Backend!U44="", "", Backend!U44)</f>
        <v>0.57672659999999998</v>
      </c>
      <c r="U17">
        <f>IF(Backend!V44="", "", Backend!V44)</f>
        <v>0.32420536999999999</v>
      </c>
      <c r="V17">
        <f>IF(Backend!W44="", "", Backend!W44)</f>
        <v>0.69729430000000003</v>
      </c>
      <c r="W17">
        <f>IF(Backend!X44="", "", Backend!X44)</f>
        <v>0.59631219999999996</v>
      </c>
      <c r="X17">
        <f>IF(Backend!Y44="", "", Backend!Y44)</f>
        <v>0.2725379</v>
      </c>
      <c r="Y17">
        <f>IF(Backend!Z44="", "", Backend!Z44)</f>
        <v>-0.24993059000000001</v>
      </c>
      <c r="Z17">
        <f>IF(Backend!AA44="", "", Backend!AA44)</f>
        <v>-0.22640483</v>
      </c>
      <c r="AA17">
        <f>IF(Backend!AB44="", "", Backend!AB44)</f>
        <v>0.14823046000000001</v>
      </c>
      <c r="AB17">
        <f>IF(Backend!AC44="", "", Backend!AC44)</f>
        <v>0.73796019999999996</v>
      </c>
      <c r="AC17" t="str">
        <f>IF(Backend!AD44="", "", Backend!AD44)</f>
        <v/>
      </c>
      <c r="AD17" t="str">
        <f>IF(Backend!AE44="", "", Backend!AE44)</f>
        <v/>
      </c>
      <c r="AE17" t="str">
        <f>IF(Backend!AF44="", "", Backend!AF44)</f>
        <v/>
      </c>
      <c r="AF17" t="str">
        <f>IF(Backend!AG44="", "", Backend!AG44)</f>
        <v/>
      </c>
      <c r="AG17" t="str">
        <f>IF(Backend!AH44="", "", Backend!AH44)</f>
        <v/>
      </c>
      <c r="AH17" t="str">
        <f>IF(Backend!AI44="", "", Backend!AI44)</f>
        <v/>
      </c>
      <c r="AI17" t="str">
        <f>IF(Backend!AJ44="", "", Backend!AJ44)</f>
        <v/>
      </c>
      <c r="AJ17" t="str">
        <f>IF(Backend!AK44="", "", Backend!AK44)</f>
        <v/>
      </c>
      <c r="AK17" t="str">
        <f>IF(Backend!AL44="", "", Backend!AL44)</f>
        <v/>
      </c>
      <c r="AL17" t="str">
        <f>IF(Backend!AM44="", "", Backend!AM44)</f>
        <v/>
      </c>
      <c r="AM17" t="str">
        <f>IF(Backend!AN44="", "", Backend!AN44)</f>
        <v/>
      </c>
      <c r="AN17" t="str">
        <f>IF(Backend!AO44="", "", Backend!AO44)</f>
        <v/>
      </c>
      <c r="AO17" t="str">
        <f>IF(Backend!AP44="", "", Backend!AP44)</f>
        <v/>
      </c>
      <c r="AP17" t="str">
        <f>IF(Backend!AQ44="", "", Backend!AQ44)</f>
        <v/>
      </c>
      <c r="AQ17" t="str">
        <f>IF(Backend!AR44="", "", Backend!AR44)</f>
        <v/>
      </c>
      <c r="AR17" t="str">
        <f>IF(Backend!AS44="", "", Backend!AS44)</f>
        <v/>
      </c>
      <c r="AS17" t="str">
        <f>IF(Backend!AT44="", "", Backend!AT44)</f>
        <v/>
      </c>
      <c r="AT17" t="str">
        <f>IF(Backend!AU44="", "", Backend!AU44)</f>
        <v/>
      </c>
      <c r="AU17" t="str">
        <f>IF(Backend!AV44="", "", Backend!AV44)</f>
        <v/>
      </c>
      <c r="AV17" t="str">
        <f>IF(Backend!AW44="", "", Backend!AW44)</f>
        <v/>
      </c>
      <c r="AW17" t="str">
        <f>IF(Backend!AX44="", "", Backend!AX44)</f>
        <v/>
      </c>
      <c r="AX17" t="str">
        <f>IF(Backend!AY44="", "", Backend!AY44)</f>
        <v/>
      </c>
      <c r="AY17" t="str">
        <f>IF(Backend!AZ44="", "", Backend!AZ44)</f>
        <v/>
      </c>
      <c r="AZ17" t="str">
        <f>IF(Backend!BA44="", "", Backend!BA44)</f>
        <v/>
      </c>
      <c r="BA17" t="str">
        <f>IF(Backend!BB44="", "", Backend!BB44)</f>
        <v/>
      </c>
      <c r="BB17" t="str">
        <f>IF(Backend!BC44="", "", Backend!BC44)</f>
        <v/>
      </c>
      <c r="BC17" t="str">
        <f>IF(Backend!BD44="", "", Backend!BD44)</f>
        <v/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Compass Group PLC</v>
      </c>
      <c r="B18">
        <f>IF(Backend!C45="", "", Backend!C45)</f>
        <v>-0.102059804</v>
      </c>
      <c r="C18">
        <f>IF(Backend!D45="", "", Backend!D45)</f>
        <v>0.35391423</v>
      </c>
      <c r="D18">
        <f>IF(Backend!E45="", "", Backend!E45)</f>
        <v>0.59328930000000002</v>
      </c>
      <c r="E18">
        <f>IF(Backend!F45="", "", Backend!F45)</f>
        <v>0.34000096000000002</v>
      </c>
      <c r="F18">
        <f>IF(Backend!G45="", "", Backend!G45)</f>
        <v>0.28748532999999998</v>
      </c>
      <c r="G18">
        <f>IF(Backend!H45="", "", Backend!H45)</f>
        <v>0.24472362</v>
      </c>
      <c r="H18">
        <f>IF(Backend!I45="", "", Backend!I45)</f>
        <v>5.3296067000000003E-2</v>
      </c>
      <c r="I18">
        <f>IF(Backend!J45="", "", Backend!J45)</f>
        <v>0.11364139600000001</v>
      </c>
      <c r="J18">
        <f>IF(Backend!K45="", "", Backend!K45)</f>
        <v>0.26159241999999999</v>
      </c>
      <c r="K18">
        <f>IF(Backend!L45="", "", Backend!L45)</f>
        <v>0.33509728</v>
      </c>
      <c r="L18">
        <f>IF(Backend!M45="", "", Backend!M45)</f>
        <v>0.43652301999999998</v>
      </c>
      <c r="M18">
        <f>IF(Backend!N45="", "", Backend!N45)</f>
        <v>0.29867136</v>
      </c>
      <c r="N18">
        <f>IF(Backend!O45="", "", Backend!O45)</f>
        <v>0.19789264000000001</v>
      </c>
      <c r="O18">
        <f>IF(Backend!P45="", "", Backend!P45)</f>
        <v>0.59213859999999996</v>
      </c>
      <c r="P18">
        <f>IF(Backend!Q45="", "", Backend!Q45)</f>
        <v>1</v>
      </c>
      <c r="Q18">
        <f>IF(Backend!R45="", "", Backend!R45)</f>
        <v>1.0991182E-2</v>
      </c>
      <c r="R18">
        <f>IF(Backend!S45="", "", Backend!S45)</f>
        <v>0.36692186999999998</v>
      </c>
      <c r="S18">
        <f>IF(Backend!T45="", "", Backend!T45)</f>
        <v>-9.8518030000000006E-2</v>
      </c>
      <c r="T18">
        <f>IF(Backend!U45="", "", Backend!U45)</f>
        <v>0.33735827000000002</v>
      </c>
      <c r="U18">
        <f>IF(Backend!V45="", "", Backend!V45)</f>
        <v>0.20070924000000001</v>
      </c>
      <c r="V18">
        <f>IF(Backend!W45="", "", Backend!W45)</f>
        <v>0.49475219999999998</v>
      </c>
      <c r="W18">
        <f>IF(Backend!X45="", "", Backend!X45)</f>
        <v>0.44051604999999999</v>
      </c>
      <c r="X18">
        <f>IF(Backend!Y45="", "", Backend!Y45)</f>
        <v>0.30226950000000002</v>
      </c>
      <c r="Y18">
        <f>IF(Backend!Z45="", "", Backend!Z45)</f>
        <v>8.64843E-2</v>
      </c>
      <c r="Z18">
        <f>IF(Backend!AA45="", "", Backend!AA45)</f>
        <v>-0.18775976999999999</v>
      </c>
      <c r="AA18">
        <f>IF(Backend!AB45="", "", Backend!AB45)</f>
        <v>0.18599433000000001</v>
      </c>
      <c r="AB18">
        <f>IF(Backend!AC45="", "", Backend!AC45)</f>
        <v>0.46519080000000002</v>
      </c>
      <c r="AC18" t="str">
        <f>IF(Backend!AD45="", "", Backend!AD45)</f>
        <v/>
      </c>
      <c r="AD18" t="str">
        <f>IF(Backend!AE45="", "", Backend!AE45)</f>
        <v/>
      </c>
      <c r="AE18" t="str">
        <f>IF(Backend!AF45="", "", Backend!AF45)</f>
        <v/>
      </c>
      <c r="AF18" t="str">
        <f>IF(Backend!AG45="", "", Backend!AG45)</f>
        <v/>
      </c>
      <c r="AG18" t="str">
        <f>IF(Backend!AH45="", "", Backend!AH45)</f>
        <v/>
      </c>
      <c r="AH18" t="str">
        <f>IF(Backend!AI45="", "", Backend!AI45)</f>
        <v/>
      </c>
      <c r="AI18" t="str">
        <f>IF(Backend!AJ45="", "", Backend!AJ45)</f>
        <v/>
      </c>
      <c r="AJ18" t="str">
        <f>IF(Backend!AK45="", "", Backend!AK45)</f>
        <v/>
      </c>
      <c r="AK18" t="str">
        <f>IF(Backend!AL45="", "", Backend!AL45)</f>
        <v/>
      </c>
      <c r="AL18" t="str">
        <f>IF(Backend!AM45="", "", Backend!AM45)</f>
        <v/>
      </c>
      <c r="AM18" t="str">
        <f>IF(Backend!AN45="", "", Backend!AN45)</f>
        <v/>
      </c>
      <c r="AN18" t="str">
        <f>IF(Backend!AO45="", "", Backend!AO45)</f>
        <v/>
      </c>
      <c r="AO18" t="str">
        <f>IF(Backend!AP45="", "", Backend!AP45)</f>
        <v/>
      </c>
      <c r="AP18" t="str">
        <f>IF(Backend!AQ45="", "", Backend!AQ45)</f>
        <v/>
      </c>
      <c r="AQ18" t="str">
        <f>IF(Backend!AR45="", "", Backend!AR45)</f>
        <v/>
      </c>
      <c r="AR18" t="str">
        <f>IF(Backend!AS45="", "", Backend!AS45)</f>
        <v/>
      </c>
      <c r="AS18" t="str">
        <f>IF(Backend!AT45="", "", Backend!AT45)</f>
        <v/>
      </c>
      <c r="AT18" t="str">
        <f>IF(Backend!AU45="", "", Backend!AU45)</f>
        <v/>
      </c>
      <c r="AU18" t="str">
        <f>IF(Backend!AV45="", "", Backend!AV45)</f>
        <v/>
      </c>
      <c r="AV18" t="str">
        <f>IF(Backend!AW45="", "", Backend!AW45)</f>
        <v/>
      </c>
      <c r="AW18" t="str">
        <f>IF(Backend!AX45="", "", Backend!AX45)</f>
        <v/>
      </c>
      <c r="AX18" t="str">
        <f>IF(Backend!AY45="", "", Backend!AY45)</f>
        <v/>
      </c>
      <c r="AY18" t="str">
        <f>IF(Backend!AZ45="", "", Backend!AZ45)</f>
        <v/>
      </c>
      <c r="AZ18" t="str">
        <f>IF(Backend!BA45="", "", Backend!BA45)</f>
        <v/>
      </c>
      <c r="BA18" t="str">
        <f>IF(Backend!BB45="", "", Backend!BB45)</f>
        <v/>
      </c>
      <c r="BB18" t="str">
        <f>IF(Backend!BC45="", "", Backend!BC45)</f>
        <v/>
      </c>
      <c r="BC18" t="str">
        <f>IF(Backend!BD45="", "", Backend!BD45)</f>
        <v/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Wolters Kluwer N.V.</v>
      </c>
      <c r="B19">
        <f>IF(Backend!C46="", "", Backend!C46)</f>
        <v>9.8681759999999993E-2</v>
      </c>
      <c r="C19">
        <f>IF(Backend!D46="", "", Backend!D46)</f>
        <v>-0.69500386999999997</v>
      </c>
      <c r="D19">
        <f>IF(Backend!E46="", "", Backend!E46)</f>
        <v>-0.33263692</v>
      </c>
      <c r="E19">
        <f>IF(Backend!F46="", "", Backend!F46)</f>
        <v>-0.33845413000000002</v>
      </c>
      <c r="F19">
        <f>IF(Backend!G46="", "", Backend!G46)</f>
        <v>-0.74044293000000005</v>
      </c>
      <c r="G19">
        <f>IF(Backend!H46="", "", Backend!H46)</f>
        <v>-0.77699744999999998</v>
      </c>
      <c r="H19">
        <f>IF(Backend!I46="", "", Backend!I46)</f>
        <v>0.86294859999999995</v>
      </c>
      <c r="I19">
        <f>IF(Backend!J46="", "", Backend!J46)</f>
        <v>-0.58239510000000005</v>
      </c>
      <c r="J19">
        <f>IF(Backend!K46="", "", Backend!K46)</f>
        <v>-9.5302700000000004E-3</v>
      </c>
      <c r="K19">
        <f>IF(Backend!L46="", "", Backend!L46)</f>
        <v>-0.15968563999999999</v>
      </c>
      <c r="L19">
        <f>IF(Backend!M46="", "", Backend!M46)</f>
        <v>-0.31425983000000002</v>
      </c>
      <c r="M19">
        <f>IF(Backend!N46="", "", Backend!N46)</f>
        <v>8.9069449999999994E-2</v>
      </c>
      <c r="N19">
        <f>IF(Backend!O46="", "", Backend!O46)</f>
        <v>-0.23974727000000001</v>
      </c>
      <c r="O19">
        <f>IF(Backend!P46="", "", Backend!P46)</f>
        <v>-0.12468708000000001</v>
      </c>
      <c r="P19">
        <f>IF(Backend!Q46="", "", Backend!Q46)</f>
        <v>1.0991182E-2</v>
      </c>
      <c r="Q19">
        <f>IF(Backend!R46="", "", Backend!R46)</f>
        <v>1</v>
      </c>
      <c r="R19">
        <f>IF(Backend!S46="", "", Backend!S46)</f>
        <v>-0.57308300000000001</v>
      </c>
      <c r="S19">
        <f>IF(Backend!T46="", "", Backend!T46)</f>
        <v>0.55203530000000001</v>
      </c>
      <c r="T19">
        <f>IF(Backend!U46="", "", Backend!U46)</f>
        <v>0.27893108</v>
      </c>
      <c r="U19">
        <f>IF(Backend!V46="", "", Backend!V46)</f>
        <v>-0.50697994000000002</v>
      </c>
      <c r="V19">
        <f>IF(Backend!W46="", "", Backend!W46)</f>
        <v>5.0696900000000003E-2</v>
      </c>
      <c r="W19">
        <f>IF(Backend!X46="", "", Backend!X46)</f>
        <v>0.17580826999999999</v>
      </c>
      <c r="X19">
        <f>IF(Backend!Y46="", "", Backend!Y46)</f>
        <v>-0.7594069</v>
      </c>
      <c r="Y19">
        <f>IF(Backend!Z46="", "", Backend!Z46)</f>
        <v>0.62178230000000001</v>
      </c>
      <c r="Z19">
        <f>IF(Backend!AA46="", "", Backend!AA46)</f>
        <v>0.76267034</v>
      </c>
      <c r="AA19">
        <f>IF(Backend!AB46="", "", Backend!AB46)</f>
        <v>0.70222850000000003</v>
      </c>
      <c r="AB19">
        <f>IF(Backend!AC46="", "", Backend!AC46)</f>
        <v>-0.27142127999999999</v>
      </c>
      <c r="AC19" t="str">
        <f>IF(Backend!AD46="", "", Backend!AD46)</f>
        <v/>
      </c>
      <c r="AD19" t="str">
        <f>IF(Backend!AE46="", "", Backend!AE46)</f>
        <v/>
      </c>
      <c r="AE19" t="str">
        <f>IF(Backend!AF46="", "", Backend!AF46)</f>
        <v/>
      </c>
      <c r="AF19" t="str">
        <f>IF(Backend!AG46="", "", Backend!AG46)</f>
        <v/>
      </c>
      <c r="AG19" t="str">
        <f>IF(Backend!AH46="", "", Backend!AH46)</f>
        <v/>
      </c>
      <c r="AH19" t="str">
        <f>IF(Backend!AI46="", "", Backend!AI46)</f>
        <v/>
      </c>
      <c r="AI19" t="str">
        <f>IF(Backend!AJ46="", "", Backend!AJ46)</f>
        <v/>
      </c>
      <c r="AJ19" t="str">
        <f>IF(Backend!AK46="", "", Backend!AK46)</f>
        <v/>
      </c>
      <c r="AK19" t="str">
        <f>IF(Backend!AL46="", "", Backend!AL46)</f>
        <v/>
      </c>
      <c r="AL19" t="str">
        <f>IF(Backend!AM46="", "", Backend!AM46)</f>
        <v/>
      </c>
      <c r="AM19" t="str">
        <f>IF(Backend!AN46="", "", Backend!AN46)</f>
        <v/>
      </c>
      <c r="AN19" t="str">
        <f>IF(Backend!AO46="", "", Backend!AO46)</f>
        <v/>
      </c>
      <c r="AO19" t="str">
        <f>IF(Backend!AP46="", "", Backend!AP46)</f>
        <v/>
      </c>
      <c r="AP19" t="str">
        <f>IF(Backend!AQ46="", "", Backend!AQ46)</f>
        <v/>
      </c>
      <c r="AQ19" t="str">
        <f>IF(Backend!AR46="", "", Backend!AR46)</f>
        <v/>
      </c>
      <c r="AR19" t="str">
        <f>IF(Backend!AS46="", "", Backend!AS46)</f>
        <v/>
      </c>
      <c r="AS19" t="str">
        <f>IF(Backend!AT46="", "", Backend!AT46)</f>
        <v/>
      </c>
      <c r="AT19" t="str">
        <f>IF(Backend!AU46="", "", Backend!AU46)</f>
        <v/>
      </c>
      <c r="AU19" t="str">
        <f>IF(Backend!AV46="", "", Backend!AV46)</f>
        <v/>
      </c>
      <c r="AV19" t="str">
        <f>IF(Backend!AW46="", "", Backend!AW46)</f>
        <v/>
      </c>
      <c r="AW19" t="str">
        <f>IF(Backend!AX46="", "", Backend!AX46)</f>
        <v/>
      </c>
      <c r="AX19" t="str">
        <f>IF(Backend!AY46="", "", Backend!AY46)</f>
        <v/>
      </c>
      <c r="AY19" t="str">
        <f>IF(Backend!AZ46="", "", Backend!AZ46)</f>
        <v/>
      </c>
      <c r="AZ19" t="str">
        <f>IF(Backend!BA46="", "", Backend!BA46)</f>
        <v/>
      </c>
      <c r="BA19" t="str">
        <f>IF(Backend!BB46="", "", Backend!BB46)</f>
        <v/>
      </c>
      <c r="BB19" t="str">
        <f>IF(Backend!BC46="", "", Backend!BC46)</f>
        <v/>
      </c>
      <c r="BC19" t="str">
        <f>IF(Backend!BD46="", "", Backend!BD46)</f>
        <v/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KONE Oyj Class B</v>
      </c>
      <c r="B20">
        <f>IF(Backend!C47="", "", Backend!C47)</f>
        <v>-0.4862612</v>
      </c>
      <c r="C20">
        <f>IF(Backend!D47="", "", Backend!D47)</f>
        <v>0.91525129999999999</v>
      </c>
      <c r="D20">
        <f>IF(Backend!E47="", "", Backend!E47)</f>
        <v>0.74126230000000004</v>
      </c>
      <c r="E20">
        <f>IF(Backend!F47="", "", Backend!F47)</f>
        <v>0.18149693</v>
      </c>
      <c r="F20">
        <f>IF(Backend!G47="", "", Backend!G47)</f>
        <v>0.83789020000000003</v>
      </c>
      <c r="G20">
        <f>IF(Backend!H47="", "", Backend!H47)</f>
        <v>0.82003910000000002</v>
      </c>
      <c r="H20">
        <f>IF(Backend!I47="", "", Backend!I47)</f>
        <v>-0.42973383999999998</v>
      </c>
      <c r="I20">
        <f>IF(Backend!J47="", "", Backend!J47)</f>
        <v>0.59307145999999999</v>
      </c>
      <c r="J20">
        <f>IF(Backend!K47="", "", Backend!K47)</f>
        <v>0.62319325999999997</v>
      </c>
      <c r="K20">
        <f>IF(Backend!L47="", "", Backend!L47)</f>
        <v>0.58111849999999998</v>
      </c>
      <c r="L20">
        <f>IF(Backend!M47="", "", Backend!M47)</f>
        <v>0.80826396</v>
      </c>
      <c r="M20">
        <f>IF(Backend!N47="", "", Backend!N47)</f>
        <v>0.59037273999999995</v>
      </c>
      <c r="N20">
        <f>IF(Backend!O47="", "", Backend!O47)</f>
        <v>0.26333279999999998</v>
      </c>
      <c r="O20">
        <f>IF(Backend!P47="", "", Backend!P47)</f>
        <v>0.67048379999999996</v>
      </c>
      <c r="P20">
        <f>IF(Backend!Q47="", "", Backend!Q47)</f>
        <v>0.36692186999999998</v>
      </c>
      <c r="Q20">
        <f>IF(Backend!R47="", "", Backend!R47)</f>
        <v>-0.57308300000000001</v>
      </c>
      <c r="R20">
        <f>IF(Backend!S47="", "", Backend!S47)</f>
        <v>1</v>
      </c>
      <c r="S20">
        <f>IF(Backend!T47="", "", Backend!T47)</f>
        <v>-0.79635920000000004</v>
      </c>
      <c r="T20">
        <f>IF(Backend!U47="", "", Backend!U47)</f>
        <v>0.45929821999999998</v>
      </c>
      <c r="U20">
        <f>IF(Backend!V47="", "", Backend!V47)</f>
        <v>0.70123522999999999</v>
      </c>
      <c r="V20">
        <f>IF(Backend!W47="", "", Backend!W47)</f>
        <v>0.67078435000000003</v>
      </c>
      <c r="W20">
        <f>IF(Backend!X47="", "", Backend!X47)</f>
        <v>0.51810999999999996</v>
      </c>
      <c r="X20">
        <f>IF(Backend!Y47="", "", Backend!Y47)</f>
        <v>0.67866320000000002</v>
      </c>
      <c r="Y20">
        <f>IF(Backend!Z47="", "", Backend!Z47)</f>
        <v>-0.51605725000000002</v>
      </c>
      <c r="Z20">
        <f>IF(Backend!AA47="", "", Backend!AA47)</f>
        <v>-0.48047042000000001</v>
      </c>
      <c r="AA20">
        <f>IF(Backend!AB47="", "", Backend!AB47)</f>
        <v>-0.31505135000000001</v>
      </c>
      <c r="AB20">
        <f>IF(Backend!AC47="", "", Backend!AC47)</f>
        <v>0.81933690000000003</v>
      </c>
      <c r="AC20" t="str">
        <f>IF(Backend!AD47="", "", Backend!AD47)</f>
        <v/>
      </c>
      <c r="AD20" t="str">
        <f>IF(Backend!AE47="", "", Backend!AE47)</f>
        <v/>
      </c>
      <c r="AE20" t="str">
        <f>IF(Backend!AF47="", "", Backend!AF47)</f>
        <v/>
      </c>
      <c r="AF20" t="str">
        <f>IF(Backend!AG47="", "", Backend!AG47)</f>
        <v/>
      </c>
      <c r="AG20" t="str">
        <f>IF(Backend!AH47="", "", Backend!AH47)</f>
        <v/>
      </c>
      <c r="AH20" t="str">
        <f>IF(Backend!AI47="", "", Backend!AI47)</f>
        <v/>
      </c>
      <c r="AI20" t="str">
        <f>IF(Backend!AJ47="", "", Backend!AJ47)</f>
        <v/>
      </c>
      <c r="AJ20" t="str">
        <f>IF(Backend!AK47="", "", Backend!AK47)</f>
        <v/>
      </c>
      <c r="AK20" t="str">
        <f>IF(Backend!AL47="", "", Backend!AL47)</f>
        <v/>
      </c>
      <c r="AL20" t="str">
        <f>IF(Backend!AM47="", "", Backend!AM47)</f>
        <v/>
      </c>
      <c r="AM20" t="str">
        <f>IF(Backend!AN47="", "", Backend!AN47)</f>
        <v/>
      </c>
      <c r="AN20" t="str">
        <f>IF(Backend!AO47="", "", Backend!AO47)</f>
        <v/>
      </c>
      <c r="AO20" t="str">
        <f>IF(Backend!AP47="", "", Backend!AP47)</f>
        <v/>
      </c>
      <c r="AP20" t="str">
        <f>IF(Backend!AQ47="", "", Backend!AQ47)</f>
        <v/>
      </c>
      <c r="AQ20" t="str">
        <f>IF(Backend!AR47="", "", Backend!AR47)</f>
        <v/>
      </c>
      <c r="AR20" t="str">
        <f>IF(Backend!AS47="", "", Backend!AS47)</f>
        <v/>
      </c>
      <c r="AS20" t="str">
        <f>IF(Backend!AT47="", "", Backend!AT47)</f>
        <v/>
      </c>
      <c r="AT20" t="str">
        <f>IF(Backend!AU47="", "", Backend!AU47)</f>
        <v/>
      </c>
      <c r="AU20" t="str">
        <f>IF(Backend!AV47="", "", Backend!AV47)</f>
        <v/>
      </c>
      <c r="AV20" t="str">
        <f>IF(Backend!AW47="", "", Backend!AW47)</f>
        <v/>
      </c>
      <c r="AW20" t="str">
        <f>IF(Backend!AX47="", "", Backend!AX47)</f>
        <v/>
      </c>
      <c r="AX20" t="str">
        <f>IF(Backend!AY47="", "", Backend!AY47)</f>
        <v/>
      </c>
      <c r="AY20" t="str">
        <f>IF(Backend!AZ47="", "", Backend!AZ47)</f>
        <v/>
      </c>
      <c r="AZ20" t="str">
        <f>IF(Backend!BA47="", "", Backend!BA47)</f>
        <v/>
      </c>
      <c r="BA20" t="str">
        <f>IF(Backend!BB47="", "", Backend!BB47)</f>
        <v/>
      </c>
      <c r="BB20" t="str">
        <f>IF(Backend!BC47="", "", Backend!BC47)</f>
        <v/>
      </c>
      <c r="BC20" t="str">
        <f>IF(Backend!BD47="", "", Backend!BD47)</f>
        <v/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Diageo plc</v>
      </c>
      <c r="B21">
        <f>IF(Backend!C48="", "", Backend!C48)</f>
        <v>0.27004011999999999</v>
      </c>
      <c r="C21">
        <f>IF(Backend!D48="", "", Backend!D48)</f>
        <v>-0.7985352</v>
      </c>
      <c r="D21">
        <f>IF(Backend!E48="", "", Backend!E48)</f>
        <v>-0.39889622000000002</v>
      </c>
      <c r="E21">
        <f>IF(Backend!F48="", "", Backend!F48)</f>
        <v>-6.4852489999999999E-2</v>
      </c>
      <c r="F21">
        <f>IF(Backend!G48="", "", Backend!G48)</f>
        <v>-0.76937275999999999</v>
      </c>
      <c r="G21">
        <f>IF(Backend!H48="", "", Backend!H48)</f>
        <v>-0.65477209999999997</v>
      </c>
      <c r="H21">
        <f>IF(Backend!I48="", "", Backend!I48)</f>
        <v>0.46444904999999997</v>
      </c>
      <c r="I21">
        <f>IF(Backend!J48="", "", Backend!J48)</f>
        <v>-0.61715096000000003</v>
      </c>
      <c r="J21">
        <f>IF(Backend!K48="", "", Backend!K48)</f>
        <v>-0.47163820000000001</v>
      </c>
      <c r="K21">
        <f>IF(Backend!L48="", "", Backend!L48)</f>
        <v>-0.61586510000000005</v>
      </c>
      <c r="L21">
        <f>IF(Backend!M48="", "", Backend!M48)</f>
        <v>-0.59115832999999995</v>
      </c>
      <c r="M21">
        <f>IF(Backend!N48="", "", Backend!N48)</f>
        <v>-0.42790222</v>
      </c>
      <c r="N21">
        <f>IF(Backend!O48="", "", Backend!O48)</f>
        <v>-0.26251760000000002</v>
      </c>
      <c r="O21">
        <f>IF(Backend!P48="", "", Backend!P48)</f>
        <v>-0.34891638000000003</v>
      </c>
      <c r="P21">
        <f>IF(Backend!Q48="", "", Backend!Q48)</f>
        <v>-9.8518030000000006E-2</v>
      </c>
      <c r="Q21">
        <f>IF(Backend!R48="", "", Backend!R48)</f>
        <v>0.55203530000000001</v>
      </c>
      <c r="R21">
        <f>IF(Backend!S48="", "", Backend!S48)</f>
        <v>-0.79635920000000004</v>
      </c>
      <c r="S21">
        <f>IF(Backend!T48="", "", Backend!T48)</f>
        <v>1</v>
      </c>
      <c r="T21">
        <f>IF(Backend!U48="", "", Backend!U48)</f>
        <v>-0.31717416999999998</v>
      </c>
      <c r="U21">
        <f>IF(Backend!V48="", "", Backend!V48)</f>
        <v>-0.72009809999999996</v>
      </c>
      <c r="V21">
        <f>IF(Backend!W48="", "", Backend!W48)</f>
        <v>-0.49022951999999997</v>
      </c>
      <c r="W21">
        <f>IF(Backend!X48="", "", Backend!X48)</f>
        <v>-0.4310813</v>
      </c>
      <c r="X21">
        <f>IF(Backend!Y48="", "", Backend!Y48)</f>
        <v>-0.65752392999999998</v>
      </c>
      <c r="Y21">
        <f>IF(Backend!Z48="", "", Backend!Z48)</f>
        <v>0.62692446000000002</v>
      </c>
      <c r="Z21">
        <f>IF(Backend!AA48="", "", Backend!AA48)</f>
        <v>0.39411393</v>
      </c>
      <c r="AA21">
        <f>IF(Backend!AB48="", "", Backend!AB48)</f>
        <v>0.4772942</v>
      </c>
      <c r="AB21">
        <f>IF(Backend!AC48="", "", Backend!AC48)</f>
        <v>-0.59832660000000004</v>
      </c>
      <c r="AC21" t="str">
        <f>IF(Backend!AD48="", "", Backend!AD48)</f>
        <v/>
      </c>
      <c r="AD21" t="str">
        <f>IF(Backend!AE48="", "", Backend!AE48)</f>
        <v/>
      </c>
      <c r="AE21" t="str">
        <f>IF(Backend!AF48="", "", Backend!AF48)</f>
        <v/>
      </c>
      <c r="AF21" t="str">
        <f>IF(Backend!AG48="", "", Backend!AG48)</f>
        <v/>
      </c>
      <c r="AG21" t="str">
        <f>IF(Backend!AH48="", "", Backend!AH48)</f>
        <v/>
      </c>
      <c r="AH21" t="str">
        <f>IF(Backend!AI48="", "", Backend!AI48)</f>
        <v/>
      </c>
      <c r="AI21" t="str">
        <f>IF(Backend!AJ48="", "", Backend!AJ48)</f>
        <v/>
      </c>
      <c r="AJ21" t="str">
        <f>IF(Backend!AK48="", "", Backend!AK48)</f>
        <v/>
      </c>
      <c r="AK21" t="str">
        <f>IF(Backend!AL48="", "", Backend!AL48)</f>
        <v/>
      </c>
      <c r="AL21" t="str">
        <f>IF(Backend!AM48="", "", Backend!AM48)</f>
        <v/>
      </c>
      <c r="AM21" t="str">
        <f>IF(Backend!AN48="", "", Backend!AN48)</f>
        <v/>
      </c>
      <c r="AN21" t="str">
        <f>IF(Backend!AO48="", "", Backend!AO48)</f>
        <v/>
      </c>
      <c r="AO21" t="str">
        <f>IF(Backend!AP48="", "", Backend!AP48)</f>
        <v/>
      </c>
      <c r="AP21" t="str">
        <f>IF(Backend!AQ48="", "", Backend!AQ48)</f>
        <v/>
      </c>
      <c r="AQ21" t="str">
        <f>IF(Backend!AR48="", "", Backend!AR48)</f>
        <v/>
      </c>
      <c r="AR21" t="str">
        <f>IF(Backend!AS48="", "", Backend!AS48)</f>
        <v/>
      </c>
      <c r="AS21" t="str">
        <f>IF(Backend!AT48="", "", Backend!AT48)</f>
        <v/>
      </c>
      <c r="AT21" t="str">
        <f>IF(Backend!AU48="", "", Backend!AU48)</f>
        <v/>
      </c>
      <c r="AU21" t="str">
        <f>IF(Backend!AV48="", "", Backend!AV48)</f>
        <v/>
      </c>
      <c r="AV21" t="str">
        <f>IF(Backend!AW48="", "", Backend!AW48)</f>
        <v/>
      </c>
      <c r="AW21" t="str">
        <f>IF(Backend!AX48="", "", Backend!AX48)</f>
        <v/>
      </c>
      <c r="AX21" t="str">
        <f>IF(Backend!AY48="", "", Backend!AY48)</f>
        <v/>
      </c>
      <c r="AY21" t="str">
        <f>IF(Backend!AZ48="", "", Backend!AZ48)</f>
        <v/>
      </c>
      <c r="AZ21" t="str">
        <f>IF(Backend!BA48="", "", Backend!BA48)</f>
        <v/>
      </c>
      <c r="BA21" t="str">
        <f>IF(Backend!BB48="", "", Backend!BB48)</f>
        <v/>
      </c>
      <c r="BB21" t="str">
        <f>IF(Backend!BC48="", "", Backend!BC48)</f>
        <v/>
      </c>
      <c r="BC21" t="str">
        <f>IF(Backend!BD48="", "", Backend!BD48)</f>
        <v/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CTS Eventim AG &amp; Co. KGaA</v>
      </c>
      <c r="B22">
        <f>IF(Backend!C49="", "", Backend!C49)</f>
        <v>-0.59051936999999999</v>
      </c>
      <c r="C22">
        <f>IF(Backend!D49="", "", Backend!D49)</f>
        <v>0.30352790000000002</v>
      </c>
      <c r="D22">
        <f>IF(Backend!E49="", "", Backend!E49)</f>
        <v>0.33127466</v>
      </c>
      <c r="E22">
        <f>IF(Backend!F49="", "", Backend!F49)</f>
        <v>-0.45630093999999999</v>
      </c>
      <c r="F22">
        <f>IF(Backend!G49="", "", Backend!G49)</f>
        <v>0.10849047000000001</v>
      </c>
      <c r="G22">
        <f>IF(Backend!H49="", "", Backend!H49)</f>
        <v>0.14610770000000001</v>
      </c>
      <c r="H22">
        <f>IF(Backend!I49="", "", Backend!I49)</f>
        <v>0.44181794000000002</v>
      </c>
      <c r="I22">
        <f>IF(Backend!J49="", "", Backend!J49)</f>
        <v>-0.2105571</v>
      </c>
      <c r="J22">
        <f>IF(Backend!K49="", "", Backend!K49)</f>
        <v>0.85228970000000004</v>
      </c>
      <c r="K22">
        <f>IF(Backend!L49="", "", Backend!L49)</f>
        <v>0.39796779999999998</v>
      </c>
      <c r="L22">
        <f>IF(Backend!M49="", "", Backend!M49)</f>
        <v>0.69076603999999997</v>
      </c>
      <c r="M22">
        <f>IF(Backend!N49="", "", Backend!N49)</f>
        <v>0.73698514999999998</v>
      </c>
      <c r="N22">
        <f>IF(Backend!O49="", "", Backend!O49)</f>
        <v>-0.17833117000000001</v>
      </c>
      <c r="O22">
        <f>IF(Backend!P49="", "", Backend!P49)</f>
        <v>0.57672659999999998</v>
      </c>
      <c r="P22">
        <f>IF(Backend!Q49="", "", Backend!Q49)</f>
        <v>0.33735827000000002</v>
      </c>
      <c r="Q22">
        <f>IF(Backend!R49="", "", Backend!R49)</f>
        <v>0.27893108</v>
      </c>
      <c r="R22">
        <f>IF(Backend!S49="", "", Backend!S49)</f>
        <v>0.45929821999999998</v>
      </c>
      <c r="S22">
        <f>IF(Backend!T49="", "", Backend!T49)</f>
        <v>-0.31717416999999998</v>
      </c>
      <c r="T22">
        <f>IF(Backend!U49="", "", Backend!U49)</f>
        <v>1</v>
      </c>
      <c r="U22">
        <f>IF(Backend!V49="", "", Backend!V49)</f>
        <v>0.27706009999999998</v>
      </c>
      <c r="V22">
        <f>IF(Backend!W49="", "", Backend!W49)</f>
        <v>0.82251200000000002</v>
      </c>
      <c r="W22">
        <f>IF(Backend!X49="", "", Backend!X49)</f>
        <v>0.78073037000000001</v>
      </c>
      <c r="X22">
        <f>IF(Backend!Y49="", "", Backend!Y49)</f>
        <v>-2.6012737000000001E-2</v>
      </c>
      <c r="Y22">
        <f>IF(Backend!Z49="", "", Backend!Z49)</f>
        <v>-9.3100569999999994E-2</v>
      </c>
      <c r="Z22">
        <f>IF(Backend!AA49="", "", Backend!AA49)</f>
        <v>0.30404546999999998</v>
      </c>
      <c r="AA22">
        <f>IF(Backend!AB49="", "", Backend!AB49)</f>
        <v>0.36915125999999998</v>
      </c>
      <c r="AB22">
        <f>IF(Backend!AC49="", "", Backend!AC49)</f>
        <v>0.63967160000000001</v>
      </c>
      <c r="AC22" t="str">
        <f>IF(Backend!AD49="", "", Backend!AD49)</f>
        <v/>
      </c>
      <c r="AD22" t="str">
        <f>IF(Backend!AE49="", "", Backend!AE49)</f>
        <v/>
      </c>
      <c r="AE22" t="str">
        <f>IF(Backend!AF49="", "", Backend!AF49)</f>
        <v/>
      </c>
      <c r="AF22" t="str">
        <f>IF(Backend!AG49="", "", Backend!AG49)</f>
        <v/>
      </c>
      <c r="AG22" t="str">
        <f>IF(Backend!AH49="", "", Backend!AH49)</f>
        <v/>
      </c>
      <c r="AH22" t="str">
        <f>IF(Backend!AI49="", "", Backend!AI49)</f>
        <v/>
      </c>
      <c r="AI22" t="str">
        <f>IF(Backend!AJ49="", "", Backend!AJ49)</f>
        <v/>
      </c>
      <c r="AJ22" t="str">
        <f>IF(Backend!AK49="", "", Backend!AK49)</f>
        <v/>
      </c>
      <c r="AK22" t="str">
        <f>IF(Backend!AL49="", "", Backend!AL49)</f>
        <v/>
      </c>
      <c r="AL22" t="str">
        <f>IF(Backend!AM49="", "", Backend!AM49)</f>
        <v/>
      </c>
      <c r="AM22" t="str">
        <f>IF(Backend!AN49="", "", Backend!AN49)</f>
        <v/>
      </c>
      <c r="AN22" t="str">
        <f>IF(Backend!AO49="", "", Backend!AO49)</f>
        <v/>
      </c>
      <c r="AO22" t="str">
        <f>IF(Backend!AP49="", "", Backend!AP49)</f>
        <v/>
      </c>
      <c r="AP22" t="str">
        <f>IF(Backend!AQ49="", "", Backend!AQ49)</f>
        <v/>
      </c>
      <c r="AQ22" t="str">
        <f>IF(Backend!AR49="", "", Backend!AR49)</f>
        <v/>
      </c>
      <c r="AR22" t="str">
        <f>IF(Backend!AS49="", "", Backend!AS49)</f>
        <v/>
      </c>
      <c r="AS22" t="str">
        <f>IF(Backend!AT49="", "", Backend!AT49)</f>
        <v/>
      </c>
      <c r="AT22" t="str">
        <f>IF(Backend!AU49="", "", Backend!AU49)</f>
        <v/>
      </c>
      <c r="AU22" t="str">
        <f>IF(Backend!AV49="", "", Backend!AV49)</f>
        <v/>
      </c>
      <c r="AV22" t="str">
        <f>IF(Backend!AW49="", "", Backend!AW49)</f>
        <v/>
      </c>
      <c r="AW22" t="str">
        <f>IF(Backend!AX49="", "", Backend!AX49)</f>
        <v/>
      </c>
      <c r="AX22" t="str">
        <f>IF(Backend!AY49="", "", Backend!AY49)</f>
        <v/>
      </c>
      <c r="AY22" t="str">
        <f>IF(Backend!AZ49="", "", Backend!AZ49)</f>
        <v/>
      </c>
      <c r="AZ22" t="str">
        <f>IF(Backend!BA49="", "", Backend!BA49)</f>
        <v/>
      </c>
      <c r="BA22" t="str">
        <f>IF(Backend!BB49="", "", Backend!BB49)</f>
        <v/>
      </c>
      <c r="BB22" t="str">
        <f>IF(Backend!BC49="", "", Backend!BC49)</f>
        <v/>
      </c>
      <c r="BC22" t="str">
        <f>IF(Backend!BD49="", "", Backend!BD49)</f>
        <v/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Roche Holding Ltd Dividend Right Cert.</v>
      </c>
      <c r="B23">
        <f>IF(Backend!C50="", "", Backend!C50)</f>
        <v>-3.0791873000000001E-2</v>
      </c>
      <c r="C23">
        <f>IF(Backend!D50="", "", Backend!D50)</f>
        <v>0.66563360000000005</v>
      </c>
      <c r="D23">
        <f>IF(Backend!E50="", "", Backend!E50)</f>
        <v>0.29484846999999997</v>
      </c>
      <c r="E23">
        <f>IF(Backend!F50="", "", Backend!F50)</f>
        <v>0.11788984399999999</v>
      </c>
      <c r="F23">
        <f>IF(Backend!G50="", "", Backend!G50)</f>
        <v>0.66156197000000005</v>
      </c>
      <c r="G23">
        <f>IF(Backend!H50="", "", Backend!H50)</f>
        <v>0.52503233999999999</v>
      </c>
      <c r="H23">
        <f>IF(Backend!I50="", "", Backend!I50)</f>
        <v>-0.36136471999999997</v>
      </c>
      <c r="I23">
        <f>IF(Backend!J50="", "", Backend!J50)</f>
        <v>0.50207966999999998</v>
      </c>
      <c r="J23">
        <f>IF(Backend!K50="", "", Backend!K50)</f>
        <v>0.39345244000000001</v>
      </c>
      <c r="K23">
        <f>IF(Backend!L50="", "", Backend!L50)</f>
        <v>0.7397241</v>
      </c>
      <c r="L23">
        <f>IF(Backend!M50="", "", Backend!M50)</f>
        <v>0.54756903999999995</v>
      </c>
      <c r="M23">
        <f>IF(Backend!N50="", "", Backend!N50)</f>
        <v>0.41802686</v>
      </c>
      <c r="N23">
        <f>IF(Backend!O50="", "", Backend!O50)</f>
        <v>0.611209</v>
      </c>
      <c r="O23">
        <f>IF(Backend!P50="", "", Backend!P50)</f>
        <v>0.32420536999999999</v>
      </c>
      <c r="P23">
        <f>IF(Backend!Q50="", "", Backend!Q50)</f>
        <v>0.20070924000000001</v>
      </c>
      <c r="Q23">
        <f>IF(Backend!R50="", "", Backend!R50)</f>
        <v>-0.50697994000000002</v>
      </c>
      <c r="R23">
        <f>IF(Backend!S50="", "", Backend!S50)</f>
        <v>0.70123522999999999</v>
      </c>
      <c r="S23">
        <f>IF(Backend!T50="", "", Backend!T50)</f>
        <v>-0.72009809999999996</v>
      </c>
      <c r="T23">
        <f>IF(Backend!U50="", "", Backend!U50)</f>
        <v>0.27706009999999998</v>
      </c>
      <c r="U23">
        <f>IF(Backend!V50="", "", Backend!V50)</f>
        <v>1</v>
      </c>
      <c r="V23">
        <f>IF(Backend!W50="", "", Backend!W50)</f>
        <v>0.47273335</v>
      </c>
      <c r="W23">
        <f>IF(Backend!X50="", "", Backend!X50)</f>
        <v>0.38009929999999997</v>
      </c>
      <c r="X23">
        <f>IF(Backend!Y50="", "", Backend!Y50)</f>
        <v>0.81838049999999996</v>
      </c>
      <c r="Y23">
        <f>IF(Backend!Z50="", "", Backend!Z50)</f>
        <v>-0.3282794</v>
      </c>
      <c r="Z23">
        <f>IF(Backend!AA50="", "", Backend!AA50)</f>
        <v>-0.28564706000000001</v>
      </c>
      <c r="AA23">
        <f>IF(Backend!AB50="", "", Backend!AB50)</f>
        <v>-0.22626542999999999</v>
      </c>
      <c r="AB23">
        <f>IF(Backend!AC50="", "", Backend!AC50)</f>
        <v>0.46090952000000002</v>
      </c>
      <c r="AC23" t="str">
        <f>IF(Backend!AD50="", "", Backend!AD50)</f>
        <v/>
      </c>
      <c r="AD23" t="str">
        <f>IF(Backend!AE50="", "", Backend!AE50)</f>
        <v/>
      </c>
      <c r="AE23" t="str">
        <f>IF(Backend!AF50="", "", Backend!AF50)</f>
        <v/>
      </c>
      <c r="AF23" t="str">
        <f>IF(Backend!AG50="", "", Backend!AG50)</f>
        <v/>
      </c>
      <c r="AG23" t="str">
        <f>IF(Backend!AH50="", "", Backend!AH50)</f>
        <v/>
      </c>
      <c r="AH23" t="str">
        <f>IF(Backend!AI50="", "", Backend!AI50)</f>
        <v/>
      </c>
      <c r="AI23" t="str">
        <f>IF(Backend!AJ50="", "", Backend!AJ50)</f>
        <v/>
      </c>
      <c r="AJ23" t="str">
        <f>IF(Backend!AK50="", "", Backend!AK50)</f>
        <v/>
      </c>
      <c r="AK23" t="str">
        <f>IF(Backend!AL50="", "", Backend!AL50)</f>
        <v/>
      </c>
      <c r="AL23" t="str">
        <f>IF(Backend!AM50="", "", Backend!AM50)</f>
        <v/>
      </c>
      <c r="AM23" t="str">
        <f>IF(Backend!AN50="", "", Backend!AN50)</f>
        <v/>
      </c>
      <c r="AN23" t="str">
        <f>IF(Backend!AO50="", "", Backend!AO50)</f>
        <v/>
      </c>
      <c r="AO23" t="str">
        <f>IF(Backend!AP50="", "", Backend!AP50)</f>
        <v/>
      </c>
      <c r="AP23" t="str">
        <f>IF(Backend!AQ50="", "", Backend!AQ50)</f>
        <v/>
      </c>
      <c r="AQ23" t="str">
        <f>IF(Backend!AR50="", "", Backend!AR50)</f>
        <v/>
      </c>
      <c r="AR23" t="str">
        <f>IF(Backend!AS50="", "", Backend!AS50)</f>
        <v/>
      </c>
      <c r="AS23" t="str">
        <f>IF(Backend!AT50="", "", Backend!AT50)</f>
        <v/>
      </c>
      <c r="AT23" t="str">
        <f>IF(Backend!AU50="", "", Backend!AU50)</f>
        <v/>
      </c>
      <c r="AU23" t="str">
        <f>IF(Backend!AV50="", "", Backend!AV50)</f>
        <v/>
      </c>
      <c r="AV23" t="str">
        <f>IF(Backend!AW50="", "", Backend!AW50)</f>
        <v/>
      </c>
      <c r="AW23" t="str">
        <f>IF(Backend!AX50="", "", Backend!AX50)</f>
        <v/>
      </c>
      <c r="AX23" t="str">
        <f>IF(Backend!AY50="", "", Backend!AY50)</f>
        <v/>
      </c>
      <c r="AY23" t="str">
        <f>IF(Backend!AZ50="", "", Backend!AZ50)</f>
        <v/>
      </c>
      <c r="AZ23" t="str">
        <f>IF(Backend!BA50="", "", Backend!BA50)</f>
        <v/>
      </c>
      <c r="BA23" t="str">
        <f>IF(Backend!BB50="", "", Backend!BB50)</f>
        <v/>
      </c>
      <c r="BB23" t="str">
        <f>IF(Backend!BC50="", "", Backend!BC50)</f>
        <v/>
      </c>
      <c r="BC23" t="str">
        <f>IF(Backend!BD50="", "", Backend!BD50)</f>
        <v/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Universal Music Group N.V.</v>
      </c>
      <c r="B24">
        <f>IF(Backend!C51="", "", Backend!C51)</f>
        <v>-0.48063064</v>
      </c>
      <c r="C24">
        <f>IF(Backend!D51="", "", Backend!D51)</f>
        <v>0.58232349999999999</v>
      </c>
      <c r="D24">
        <f>IF(Backend!E51="", "", Backend!E51)</f>
        <v>0.54713420000000001</v>
      </c>
      <c r="E24">
        <f>IF(Backend!F51="", "", Backend!F51)</f>
        <v>-0.21764620000000001</v>
      </c>
      <c r="F24">
        <f>IF(Backend!G51="", "", Backend!G51)</f>
        <v>0.4695299</v>
      </c>
      <c r="G24">
        <f>IF(Backend!H51="", "", Backend!H51)</f>
        <v>0.36528139999999998</v>
      </c>
      <c r="H24">
        <f>IF(Backend!I51="", "", Backend!I51)</f>
        <v>0.19579094999999999</v>
      </c>
      <c r="I24">
        <f>IF(Backend!J51="", "", Backend!J51)</f>
        <v>0.15619670999999999</v>
      </c>
      <c r="J24">
        <f>IF(Backend!K51="", "", Backend!K51)</f>
        <v>0.83028953999999999</v>
      </c>
      <c r="K24">
        <f>IF(Backend!L51="", "", Backend!L51)</f>
        <v>0.64684989999999998</v>
      </c>
      <c r="L24">
        <f>IF(Backend!M51="", "", Backend!M51)</f>
        <v>0.81191449999999998</v>
      </c>
      <c r="M24">
        <f>IF(Backend!N51="", "", Backend!N51)</f>
        <v>0.75596945999999998</v>
      </c>
      <c r="N24">
        <f>IF(Backend!O51="", "", Backend!O51)</f>
        <v>8.0772854000000005E-2</v>
      </c>
      <c r="O24">
        <f>IF(Backend!P51="", "", Backend!P51)</f>
        <v>0.69729430000000003</v>
      </c>
      <c r="P24">
        <f>IF(Backend!Q51="", "", Backend!Q51)</f>
        <v>0.49475219999999998</v>
      </c>
      <c r="Q24">
        <f>IF(Backend!R51="", "", Backend!R51)</f>
        <v>5.0696900000000003E-2</v>
      </c>
      <c r="R24">
        <f>IF(Backend!S51="", "", Backend!S51)</f>
        <v>0.67078435000000003</v>
      </c>
      <c r="S24">
        <f>IF(Backend!T51="", "", Backend!T51)</f>
        <v>-0.49022951999999997</v>
      </c>
      <c r="T24">
        <f>IF(Backend!U51="", "", Backend!U51)</f>
        <v>0.82251200000000002</v>
      </c>
      <c r="U24">
        <f>IF(Backend!V51="", "", Backend!V51)</f>
        <v>0.47273335</v>
      </c>
      <c r="V24">
        <f>IF(Backend!W51="", "", Backend!W51)</f>
        <v>1</v>
      </c>
      <c r="W24">
        <f>IF(Backend!X51="", "", Backend!X51)</f>
        <v>0.88843733000000003</v>
      </c>
      <c r="X24">
        <f>IF(Backend!Y51="", "", Backend!Y51)</f>
        <v>0.28692331999999998</v>
      </c>
      <c r="Y24">
        <f>IF(Backend!Z51="", "", Backend!Z51)</f>
        <v>-0.22337934000000001</v>
      </c>
      <c r="Z24">
        <f>IF(Backend!AA51="", "", Backend!AA51)</f>
        <v>1.5604188999999999E-2</v>
      </c>
      <c r="AA24">
        <f>IF(Backend!AB51="", "", Backend!AB51)</f>
        <v>0.17899045</v>
      </c>
      <c r="AB24">
        <f>IF(Backend!AC51="", "", Backend!AC51)</f>
        <v>0.83249086000000005</v>
      </c>
      <c r="AC24" t="str">
        <f>IF(Backend!AD51="", "", Backend!AD51)</f>
        <v/>
      </c>
      <c r="AD24" t="str">
        <f>IF(Backend!AE51="", "", Backend!AE51)</f>
        <v/>
      </c>
      <c r="AE24" t="str">
        <f>IF(Backend!AF51="", "", Backend!AF51)</f>
        <v/>
      </c>
      <c r="AF24" t="str">
        <f>IF(Backend!AG51="", "", Backend!AG51)</f>
        <v/>
      </c>
      <c r="AG24" t="str">
        <f>IF(Backend!AH51="", "", Backend!AH51)</f>
        <v/>
      </c>
      <c r="AH24" t="str">
        <f>IF(Backend!AI51="", "", Backend!AI51)</f>
        <v/>
      </c>
      <c r="AI24" t="str">
        <f>IF(Backend!AJ51="", "", Backend!AJ51)</f>
        <v/>
      </c>
      <c r="AJ24" t="str">
        <f>IF(Backend!AK51="", "", Backend!AK51)</f>
        <v/>
      </c>
      <c r="AK24" t="str">
        <f>IF(Backend!AL51="", "", Backend!AL51)</f>
        <v/>
      </c>
      <c r="AL24" t="str">
        <f>IF(Backend!AM51="", "", Backend!AM51)</f>
        <v/>
      </c>
      <c r="AM24" t="str">
        <f>IF(Backend!AN51="", "", Backend!AN51)</f>
        <v/>
      </c>
      <c r="AN24" t="str">
        <f>IF(Backend!AO51="", "", Backend!AO51)</f>
        <v/>
      </c>
      <c r="AO24" t="str">
        <f>IF(Backend!AP51="", "", Backend!AP51)</f>
        <v/>
      </c>
      <c r="AP24" t="str">
        <f>IF(Backend!AQ51="", "", Backend!AQ51)</f>
        <v/>
      </c>
      <c r="AQ24" t="str">
        <f>IF(Backend!AR51="", "", Backend!AR51)</f>
        <v/>
      </c>
      <c r="AR24" t="str">
        <f>IF(Backend!AS51="", "", Backend!AS51)</f>
        <v/>
      </c>
      <c r="AS24" t="str">
        <f>IF(Backend!AT51="", "", Backend!AT51)</f>
        <v/>
      </c>
      <c r="AT24" t="str">
        <f>IF(Backend!AU51="", "", Backend!AU51)</f>
        <v/>
      </c>
      <c r="AU24" t="str">
        <f>IF(Backend!AV51="", "", Backend!AV51)</f>
        <v/>
      </c>
      <c r="AV24" t="str">
        <f>IF(Backend!AW51="", "", Backend!AW51)</f>
        <v/>
      </c>
      <c r="AW24" t="str">
        <f>IF(Backend!AX51="", "", Backend!AX51)</f>
        <v/>
      </c>
      <c r="AX24" t="str">
        <f>IF(Backend!AY51="", "", Backend!AY51)</f>
        <v/>
      </c>
      <c r="AY24" t="str">
        <f>IF(Backend!AZ51="", "", Backend!AZ51)</f>
        <v/>
      </c>
      <c r="AZ24" t="str">
        <f>IF(Backend!BA51="", "", Backend!BA51)</f>
        <v/>
      </c>
      <c r="BA24" t="str">
        <f>IF(Backend!BB51="", "", Backend!BB51)</f>
        <v/>
      </c>
      <c r="BB24" t="str">
        <f>IF(Backend!BC51="", "", Backend!BC51)</f>
        <v/>
      </c>
      <c r="BC24" t="str">
        <f>IF(Backend!BD51="", "", Backend!BD51)</f>
        <v/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SAP SE</v>
      </c>
      <c r="B25">
        <f>IF(Backend!C52="", "", Backend!C52)</f>
        <v>-0.33416066</v>
      </c>
      <c r="C25">
        <f>IF(Backend!D52="", "", Backend!D52)</f>
        <v>0.50168573999999999</v>
      </c>
      <c r="D25">
        <f>IF(Backend!E52="", "", Backend!E52)</f>
        <v>0.43248801999999997</v>
      </c>
      <c r="E25">
        <f>IF(Backend!F52="", "", Backend!F52)</f>
        <v>-0.20127661999999999</v>
      </c>
      <c r="F25">
        <f>IF(Backend!G52="", "", Backend!G52)</f>
        <v>0.40238030000000002</v>
      </c>
      <c r="G25">
        <f>IF(Backend!H52="", "", Backend!H52)</f>
        <v>0.21367352000000001</v>
      </c>
      <c r="H25">
        <f>IF(Backend!I52="", "", Backend!I52)</f>
        <v>0.30403491999999999</v>
      </c>
      <c r="I25">
        <f>IF(Backend!J52="", "", Backend!J52)</f>
        <v>0.14526169999999999</v>
      </c>
      <c r="J25">
        <f>IF(Backend!K52="", "", Backend!K52)</f>
        <v>0.7723158</v>
      </c>
      <c r="K25">
        <f>IF(Backend!L52="", "", Backend!L52)</f>
        <v>0.64156579999999996</v>
      </c>
      <c r="L25">
        <f>IF(Backend!M52="", "", Backend!M52)</f>
        <v>0.72958579999999995</v>
      </c>
      <c r="M25">
        <f>IF(Backend!N52="", "", Backend!N52)</f>
        <v>0.68255149999999998</v>
      </c>
      <c r="N25">
        <f>IF(Backend!O52="", "", Backend!O52)</f>
        <v>5.5785064000000002E-2</v>
      </c>
      <c r="O25">
        <f>IF(Backend!P52="", "", Backend!P52)</f>
        <v>0.59631219999999996</v>
      </c>
      <c r="P25">
        <f>IF(Backend!Q52="", "", Backend!Q52)</f>
        <v>0.44051604999999999</v>
      </c>
      <c r="Q25">
        <f>IF(Backend!R52="", "", Backend!R52)</f>
        <v>0.17580826999999999</v>
      </c>
      <c r="R25">
        <f>IF(Backend!S52="", "", Backend!S52)</f>
        <v>0.51810999999999996</v>
      </c>
      <c r="S25">
        <f>IF(Backend!T52="", "", Backend!T52)</f>
        <v>-0.4310813</v>
      </c>
      <c r="T25">
        <f>IF(Backend!U52="", "", Backend!U52)</f>
        <v>0.78073037000000001</v>
      </c>
      <c r="U25">
        <f>IF(Backend!V52="", "", Backend!V52)</f>
        <v>0.38009929999999997</v>
      </c>
      <c r="V25">
        <f>IF(Backend!W52="", "", Backend!W52)</f>
        <v>0.88843733000000003</v>
      </c>
      <c r="W25">
        <f>IF(Backend!X52="", "", Backend!X52)</f>
        <v>1</v>
      </c>
      <c r="X25">
        <f>IF(Backend!Y52="", "", Backend!Y52)</f>
        <v>0.22151361</v>
      </c>
      <c r="Y25">
        <f>IF(Backend!Z52="", "", Backend!Z52)</f>
        <v>-0.108608305</v>
      </c>
      <c r="Z25">
        <f>IF(Backend!AA52="", "", Backend!AA52)</f>
        <v>9.0452420000000006E-2</v>
      </c>
      <c r="AA25">
        <f>IF(Backend!AB52="", "", Backend!AB52)</f>
        <v>0.15210736999999999</v>
      </c>
      <c r="AB25">
        <f>IF(Backend!AC52="", "", Backend!AC52)</f>
        <v>0.78040134999999999</v>
      </c>
      <c r="AC25" t="str">
        <f>IF(Backend!AD52="", "", Backend!AD52)</f>
        <v/>
      </c>
      <c r="AD25" t="str">
        <f>IF(Backend!AE52="", "", Backend!AE52)</f>
        <v/>
      </c>
      <c r="AE25" t="str">
        <f>IF(Backend!AF52="", "", Backend!AF52)</f>
        <v/>
      </c>
      <c r="AF25" t="str">
        <f>IF(Backend!AG52="", "", Backend!AG52)</f>
        <v/>
      </c>
      <c r="AG25" t="str">
        <f>IF(Backend!AH52="", "", Backend!AH52)</f>
        <v/>
      </c>
      <c r="AH25" t="str">
        <f>IF(Backend!AI52="", "", Backend!AI52)</f>
        <v/>
      </c>
      <c r="AI25" t="str">
        <f>IF(Backend!AJ52="", "", Backend!AJ52)</f>
        <v/>
      </c>
      <c r="AJ25" t="str">
        <f>IF(Backend!AK52="", "", Backend!AK52)</f>
        <v/>
      </c>
      <c r="AK25" t="str">
        <f>IF(Backend!AL52="", "", Backend!AL52)</f>
        <v/>
      </c>
      <c r="AL25" t="str">
        <f>IF(Backend!AM52="", "", Backend!AM52)</f>
        <v/>
      </c>
      <c r="AM25" t="str">
        <f>IF(Backend!AN52="", "", Backend!AN52)</f>
        <v/>
      </c>
      <c r="AN25" t="str">
        <f>IF(Backend!AO52="", "", Backend!AO52)</f>
        <v/>
      </c>
      <c r="AO25" t="str">
        <f>IF(Backend!AP52="", "", Backend!AP52)</f>
        <v/>
      </c>
      <c r="AP25" t="str">
        <f>IF(Backend!AQ52="", "", Backend!AQ52)</f>
        <v/>
      </c>
      <c r="AQ25" t="str">
        <f>IF(Backend!AR52="", "", Backend!AR52)</f>
        <v/>
      </c>
      <c r="AR25" t="str">
        <f>IF(Backend!AS52="", "", Backend!AS52)</f>
        <v/>
      </c>
      <c r="AS25" t="str">
        <f>IF(Backend!AT52="", "", Backend!AT52)</f>
        <v/>
      </c>
      <c r="AT25" t="str">
        <f>IF(Backend!AU52="", "", Backend!AU52)</f>
        <v/>
      </c>
      <c r="AU25" t="str">
        <f>IF(Backend!AV52="", "", Backend!AV52)</f>
        <v/>
      </c>
      <c r="AV25" t="str">
        <f>IF(Backend!AW52="", "", Backend!AW52)</f>
        <v/>
      </c>
      <c r="AW25" t="str">
        <f>IF(Backend!AX52="", "", Backend!AX52)</f>
        <v/>
      </c>
      <c r="AX25" t="str">
        <f>IF(Backend!AY52="", "", Backend!AY52)</f>
        <v/>
      </c>
      <c r="AY25" t="str">
        <f>IF(Backend!AZ52="", "", Backend!AZ52)</f>
        <v/>
      </c>
      <c r="AZ25" t="str">
        <f>IF(Backend!BA52="", "", Backend!BA52)</f>
        <v/>
      </c>
      <c r="BA25" t="str">
        <f>IF(Backend!BB52="", "", Backend!BB52)</f>
        <v/>
      </c>
      <c r="BB25" t="str">
        <f>IF(Backend!BC52="", "", Backend!BC52)</f>
        <v/>
      </c>
      <c r="BC25" t="str">
        <f>IF(Backend!BD52="", "", Backend!BD52)</f>
        <v/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AstraZeneca PLC</v>
      </c>
      <c r="B26">
        <f>IF(Backend!C53="", "", Backend!C53)</f>
        <v>7.102195E-2</v>
      </c>
      <c r="C26">
        <f>IF(Backend!D53="", "", Backend!D53)</f>
        <v>0.76967830000000004</v>
      </c>
      <c r="D26">
        <f>IF(Backend!E53="", "", Backend!E53)</f>
        <v>0.41183043000000003</v>
      </c>
      <c r="E26">
        <f>IF(Backend!F53="", "", Backend!F53)</f>
        <v>0.37154927999999998</v>
      </c>
      <c r="F26">
        <f>IF(Backend!G53="", "", Backend!G53)</f>
        <v>0.81189100000000003</v>
      </c>
      <c r="G26">
        <f>IF(Backend!H53="", "", Backend!H53)</f>
        <v>0.66242266000000005</v>
      </c>
      <c r="H26">
        <f>IF(Backend!I53="", "", Backend!I53)</f>
        <v>-0.63034619999999997</v>
      </c>
      <c r="I26">
        <f>IF(Backend!J53="", "", Backend!J53)</f>
        <v>0.66976720000000001</v>
      </c>
      <c r="J26">
        <f>IF(Backend!K53="", "", Backend!K53)</f>
        <v>0.20526071000000001</v>
      </c>
      <c r="K26">
        <f>IF(Backend!L53="", "", Backend!L53)</f>
        <v>0.61930099999999999</v>
      </c>
      <c r="L26">
        <f>IF(Backend!M53="", "", Backend!M53)</f>
        <v>0.50004077000000002</v>
      </c>
      <c r="M26">
        <f>IF(Backend!N53="", "", Backend!N53)</f>
        <v>0.17265442</v>
      </c>
      <c r="N26">
        <f>IF(Backend!O53="", "", Backend!O53)</f>
        <v>0.55382246000000002</v>
      </c>
      <c r="O26">
        <f>IF(Backend!P53="", "", Backend!P53)</f>
        <v>0.2725379</v>
      </c>
      <c r="P26">
        <f>IF(Backend!Q53="", "", Backend!Q53)</f>
        <v>0.30226950000000002</v>
      </c>
      <c r="Q26">
        <f>IF(Backend!R53="", "", Backend!R53)</f>
        <v>-0.7594069</v>
      </c>
      <c r="R26">
        <f>IF(Backend!S53="", "", Backend!S53)</f>
        <v>0.67866320000000002</v>
      </c>
      <c r="S26">
        <f>IF(Backend!T53="", "", Backend!T53)</f>
        <v>-0.65752392999999998</v>
      </c>
      <c r="T26">
        <f>IF(Backend!U53="", "", Backend!U53)</f>
        <v>-2.6012737000000001E-2</v>
      </c>
      <c r="U26">
        <f>IF(Backend!V53="", "", Backend!V53)</f>
        <v>0.81838049999999996</v>
      </c>
      <c r="V26">
        <f>IF(Backend!W53="", "", Backend!W53)</f>
        <v>0.28692331999999998</v>
      </c>
      <c r="W26">
        <f>IF(Backend!X53="", "", Backend!X53)</f>
        <v>0.22151361</v>
      </c>
      <c r="X26">
        <f>IF(Backend!Y53="", "", Backend!Y53)</f>
        <v>1</v>
      </c>
      <c r="Y26">
        <f>IF(Backend!Z53="", "", Backend!Z53)</f>
        <v>-0.46304536000000002</v>
      </c>
      <c r="Z26">
        <f>IF(Backend!AA53="", "", Backend!AA53)</f>
        <v>-0.66434409999999999</v>
      </c>
      <c r="AA26">
        <f>IF(Backend!AB53="", "", Backend!AB53)</f>
        <v>-0.56791550000000002</v>
      </c>
      <c r="AB26">
        <f>IF(Backend!AC53="", "", Backend!AC53)</f>
        <v>0.46421277999999999</v>
      </c>
      <c r="AC26" t="str">
        <f>IF(Backend!AD53="", "", Backend!AD53)</f>
        <v/>
      </c>
      <c r="AD26" t="str">
        <f>IF(Backend!AE53="", "", Backend!AE53)</f>
        <v/>
      </c>
      <c r="AE26" t="str">
        <f>IF(Backend!AF53="", "", Backend!AF53)</f>
        <v/>
      </c>
      <c r="AF26" t="str">
        <f>IF(Backend!AG53="", "", Backend!AG53)</f>
        <v/>
      </c>
      <c r="AG26" t="str">
        <f>IF(Backend!AH53="", "", Backend!AH53)</f>
        <v/>
      </c>
      <c r="AH26" t="str">
        <f>IF(Backend!AI53="", "", Backend!AI53)</f>
        <v/>
      </c>
      <c r="AI26" t="str">
        <f>IF(Backend!AJ53="", "", Backend!AJ53)</f>
        <v/>
      </c>
      <c r="AJ26" t="str">
        <f>IF(Backend!AK53="", "", Backend!AK53)</f>
        <v/>
      </c>
      <c r="AK26" t="str">
        <f>IF(Backend!AL53="", "", Backend!AL53)</f>
        <v/>
      </c>
      <c r="AL26" t="str">
        <f>IF(Backend!AM53="", "", Backend!AM53)</f>
        <v/>
      </c>
      <c r="AM26" t="str">
        <f>IF(Backend!AN53="", "", Backend!AN53)</f>
        <v/>
      </c>
      <c r="AN26" t="str">
        <f>IF(Backend!AO53="", "", Backend!AO53)</f>
        <v/>
      </c>
      <c r="AO26" t="str">
        <f>IF(Backend!AP53="", "", Backend!AP53)</f>
        <v/>
      </c>
      <c r="AP26" t="str">
        <f>IF(Backend!AQ53="", "", Backend!AQ53)</f>
        <v/>
      </c>
      <c r="AQ26" t="str">
        <f>IF(Backend!AR53="", "", Backend!AR53)</f>
        <v/>
      </c>
      <c r="AR26" t="str">
        <f>IF(Backend!AS53="", "", Backend!AS53)</f>
        <v/>
      </c>
      <c r="AS26" t="str">
        <f>IF(Backend!AT53="", "", Backend!AT53)</f>
        <v/>
      </c>
      <c r="AT26" t="str">
        <f>IF(Backend!AU53="", "", Backend!AU53)</f>
        <v/>
      </c>
      <c r="AU26" t="str">
        <f>IF(Backend!AV53="", "", Backend!AV53)</f>
        <v/>
      </c>
      <c r="AV26" t="str">
        <f>IF(Backend!AW53="", "", Backend!AW53)</f>
        <v/>
      </c>
      <c r="AW26" t="str">
        <f>IF(Backend!AX53="", "", Backend!AX53)</f>
        <v/>
      </c>
      <c r="AX26" t="str">
        <f>IF(Backend!AY53="", "", Backend!AY53)</f>
        <v/>
      </c>
      <c r="AY26" t="str">
        <f>IF(Backend!AZ53="", "", Backend!AZ53)</f>
        <v/>
      </c>
      <c r="AZ26" t="str">
        <f>IF(Backend!BA53="", "", Backend!BA53)</f>
        <v/>
      </c>
      <c r="BA26" t="str">
        <f>IF(Backend!BB53="", "", Backend!BB53)</f>
        <v/>
      </c>
      <c r="BB26" t="str">
        <f>IF(Backend!BC53="", "", Backend!BC53)</f>
        <v/>
      </c>
      <c r="BC26" t="str">
        <f>IF(Backend!BD53="", "", Backend!BD53)</f>
        <v/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Keyence Corporation</v>
      </c>
      <c r="B27">
        <f>IF(Backend!C54="", "", Backend!C54)</f>
        <v>0.30317944000000002</v>
      </c>
      <c r="C27">
        <f>IF(Backend!D54="", "", Backend!D54)</f>
        <v>-0.62257229999999997</v>
      </c>
      <c r="D27">
        <f>IF(Backend!E54="", "", Backend!E54)</f>
        <v>-0.25388889999999997</v>
      </c>
      <c r="E27">
        <f>IF(Backend!F54="", "", Backend!F54)</f>
        <v>4.5013998E-2</v>
      </c>
      <c r="F27">
        <f>IF(Backend!G54="", "", Backend!G54)</f>
        <v>-0.62065594999999996</v>
      </c>
      <c r="G27">
        <f>IF(Backend!H54="", "", Backend!H54)</f>
        <v>-0.55957352999999999</v>
      </c>
      <c r="H27">
        <f>IF(Backend!I54="", "", Backend!I54)</f>
        <v>0.55235124000000002</v>
      </c>
      <c r="I27">
        <f>IF(Backend!J54="", "", Backend!J54)</f>
        <v>-0.32675465999999997</v>
      </c>
      <c r="J27">
        <f>IF(Backend!K54="", "", Backend!K54)</f>
        <v>-0.29717988000000001</v>
      </c>
      <c r="K27">
        <f>IF(Backend!L54="", "", Backend!L54)</f>
        <v>-0.16557746000000001</v>
      </c>
      <c r="L27">
        <f>IF(Backend!M54="", "", Backend!M54)</f>
        <v>-0.42861912000000002</v>
      </c>
      <c r="M27">
        <f>IF(Backend!N54="", "", Backend!N54)</f>
        <v>-8.8567490000000001E-4</v>
      </c>
      <c r="N27">
        <f>IF(Backend!O54="", "", Backend!O54)</f>
        <v>0.12434711</v>
      </c>
      <c r="O27">
        <f>IF(Backend!P54="", "", Backend!P54)</f>
        <v>-0.24993059000000001</v>
      </c>
      <c r="P27">
        <f>IF(Backend!Q54="", "", Backend!Q54)</f>
        <v>8.64843E-2</v>
      </c>
      <c r="Q27">
        <f>IF(Backend!R54="", "", Backend!R54)</f>
        <v>0.62178230000000001</v>
      </c>
      <c r="R27">
        <f>IF(Backend!S54="", "", Backend!S54)</f>
        <v>-0.51605725000000002</v>
      </c>
      <c r="S27">
        <f>IF(Backend!T54="", "", Backend!T54)</f>
        <v>0.62692446000000002</v>
      </c>
      <c r="T27">
        <f>IF(Backend!U54="", "", Backend!U54)</f>
        <v>-9.3100569999999994E-2</v>
      </c>
      <c r="U27">
        <f>IF(Backend!V54="", "", Backend!V54)</f>
        <v>-0.3282794</v>
      </c>
      <c r="V27">
        <f>IF(Backend!W54="", "", Backend!W54)</f>
        <v>-0.22337934000000001</v>
      </c>
      <c r="W27">
        <f>IF(Backend!X54="", "", Backend!X54)</f>
        <v>-0.108608305</v>
      </c>
      <c r="X27">
        <f>IF(Backend!Y54="", "", Backend!Y54)</f>
        <v>-0.46304536000000002</v>
      </c>
      <c r="Y27">
        <f>IF(Backend!Z54="", "", Backend!Z54)</f>
        <v>1</v>
      </c>
      <c r="Z27">
        <f>IF(Backend!AA54="", "", Backend!AA54)</f>
        <v>0.55102649999999997</v>
      </c>
      <c r="AA27">
        <f>IF(Backend!AB54="", "", Backend!AB54)</f>
        <v>0.5967093</v>
      </c>
      <c r="AB27">
        <f>IF(Backend!AC54="", "", Backend!AC54)</f>
        <v>-0.41765400000000003</v>
      </c>
      <c r="AC27" t="str">
        <f>IF(Backend!AD54="", "", Backend!AD54)</f>
        <v/>
      </c>
      <c r="AD27" t="str">
        <f>IF(Backend!AE54="", "", Backend!AE54)</f>
        <v/>
      </c>
      <c r="AE27" t="str">
        <f>IF(Backend!AF54="", "", Backend!AF54)</f>
        <v/>
      </c>
      <c r="AF27" t="str">
        <f>IF(Backend!AG54="", "", Backend!AG54)</f>
        <v/>
      </c>
      <c r="AG27" t="str">
        <f>IF(Backend!AH54="", "", Backend!AH54)</f>
        <v/>
      </c>
      <c r="AH27" t="str">
        <f>IF(Backend!AI54="", "", Backend!AI54)</f>
        <v/>
      </c>
      <c r="AI27" t="str">
        <f>IF(Backend!AJ54="", "", Backend!AJ54)</f>
        <v/>
      </c>
      <c r="AJ27" t="str">
        <f>IF(Backend!AK54="", "", Backend!AK54)</f>
        <v/>
      </c>
      <c r="AK27" t="str">
        <f>IF(Backend!AL54="", "", Backend!AL54)</f>
        <v/>
      </c>
      <c r="AL27" t="str">
        <f>IF(Backend!AM54="", "", Backend!AM54)</f>
        <v/>
      </c>
      <c r="AM27" t="str">
        <f>IF(Backend!AN54="", "", Backend!AN54)</f>
        <v/>
      </c>
      <c r="AN27" t="str">
        <f>IF(Backend!AO54="", "", Backend!AO54)</f>
        <v/>
      </c>
      <c r="AO27" t="str">
        <f>IF(Backend!AP54="", "", Backend!AP54)</f>
        <v/>
      </c>
      <c r="AP27" t="str">
        <f>IF(Backend!AQ54="", "", Backend!AQ54)</f>
        <v/>
      </c>
      <c r="AQ27" t="str">
        <f>IF(Backend!AR54="", "", Backend!AR54)</f>
        <v/>
      </c>
      <c r="AR27" t="str">
        <f>IF(Backend!AS54="", "", Backend!AS54)</f>
        <v/>
      </c>
      <c r="AS27" t="str">
        <f>IF(Backend!AT54="", "", Backend!AT54)</f>
        <v/>
      </c>
      <c r="AT27" t="str">
        <f>IF(Backend!AU54="", "", Backend!AU54)</f>
        <v/>
      </c>
      <c r="AU27" t="str">
        <f>IF(Backend!AV54="", "", Backend!AV54)</f>
        <v/>
      </c>
      <c r="AV27" t="str">
        <f>IF(Backend!AW54="", "", Backend!AW54)</f>
        <v/>
      </c>
      <c r="AW27" t="str">
        <f>IF(Backend!AX54="", "", Backend!AX54)</f>
        <v/>
      </c>
      <c r="AX27" t="str">
        <f>IF(Backend!AY54="", "", Backend!AY54)</f>
        <v/>
      </c>
      <c r="AY27" t="str">
        <f>IF(Backend!AZ54="", "", Backend!AZ54)</f>
        <v/>
      </c>
      <c r="AZ27" t="str">
        <f>IF(Backend!BA54="", "", Backend!BA54)</f>
        <v/>
      </c>
      <c r="BA27" t="str">
        <f>IF(Backend!BB54="", "", Backend!BB54)</f>
        <v/>
      </c>
      <c r="BB27" t="str">
        <f>IF(Backend!BC54="", "", Backend!BC54)</f>
        <v/>
      </c>
      <c r="BC27" t="str">
        <f>IF(Backend!BD54="", "", Backend!BD54)</f>
        <v/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Shimano Inc.</v>
      </c>
      <c r="B28">
        <f>IF(Backend!C55="", "", Backend!C55)</f>
        <v>-4.6794376999999998E-2</v>
      </c>
      <c r="C28">
        <f>IF(Backend!D55="", "", Backend!D55)</f>
        <v>-0.6592517</v>
      </c>
      <c r="D28">
        <f>IF(Backend!E55="", "", Backend!E55)</f>
        <v>-0.42193940000000002</v>
      </c>
      <c r="E28">
        <f>IF(Backend!F55="", "", Backend!F55)</f>
        <v>-0.48401393999999998</v>
      </c>
      <c r="F28">
        <f>IF(Backend!G55="", "", Backend!G55)</f>
        <v>-0.71927319999999995</v>
      </c>
      <c r="G28">
        <f>IF(Backend!H55="", "", Backend!H55)</f>
        <v>-0.61033349999999997</v>
      </c>
      <c r="H28">
        <f>IF(Backend!I55="", "", Backend!I55)</f>
        <v>0.79588413000000002</v>
      </c>
      <c r="I28">
        <f>IF(Backend!J55="", "", Backend!J55)</f>
        <v>-0.64398986000000003</v>
      </c>
      <c r="J28">
        <f>IF(Backend!K55="", "", Backend!K55)</f>
        <v>8.3717659999999999E-2</v>
      </c>
      <c r="K28">
        <f>IF(Backend!L55="", "", Backend!L55)</f>
        <v>-0.21873239</v>
      </c>
      <c r="L28">
        <f>IF(Backend!M55="", "", Backend!M55)</f>
        <v>-0.23839645000000001</v>
      </c>
      <c r="M28">
        <f>IF(Backend!N55="", "", Backend!N55)</f>
        <v>0.22248606000000001</v>
      </c>
      <c r="N28">
        <f>IF(Backend!O55="", "", Backend!O55)</f>
        <v>-0.25754254999999998</v>
      </c>
      <c r="O28">
        <f>IF(Backend!P55="", "", Backend!P55)</f>
        <v>-0.22640483</v>
      </c>
      <c r="P28">
        <f>IF(Backend!Q55="", "", Backend!Q55)</f>
        <v>-0.18775976999999999</v>
      </c>
      <c r="Q28">
        <f>IF(Backend!R55="", "", Backend!R55)</f>
        <v>0.76267034</v>
      </c>
      <c r="R28">
        <f>IF(Backend!S55="", "", Backend!S55)</f>
        <v>-0.48047042000000001</v>
      </c>
      <c r="S28">
        <f>IF(Backend!T55="", "", Backend!T55)</f>
        <v>0.39411393</v>
      </c>
      <c r="T28">
        <f>IF(Backend!U55="", "", Backend!U55)</f>
        <v>0.30404546999999998</v>
      </c>
      <c r="U28">
        <f>IF(Backend!V55="", "", Backend!V55)</f>
        <v>-0.28564706000000001</v>
      </c>
      <c r="V28">
        <f>IF(Backend!W55="", "", Backend!W55)</f>
        <v>1.5604188999999999E-2</v>
      </c>
      <c r="W28">
        <f>IF(Backend!X55="", "", Backend!X55)</f>
        <v>9.0452420000000006E-2</v>
      </c>
      <c r="X28">
        <f>IF(Backend!Y55="", "", Backend!Y55)</f>
        <v>-0.66434409999999999</v>
      </c>
      <c r="Y28">
        <f>IF(Backend!Z55="", "", Backend!Z55)</f>
        <v>0.55102649999999997</v>
      </c>
      <c r="Z28">
        <f>IF(Backend!AA55="", "", Backend!AA55)</f>
        <v>1</v>
      </c>
      <c r="AA28">
        <f>IF(Backend!AB55="", "", Backend!AB55)</f>
        <v>0.74447525000000003</v>
      </c>
      <c r="AB28">
        <f>IF(Backend!AC55="", "", Backend!AC55)</f>
        <v>-0.24645099000000001</v>
      </c>
      <c r="AC28" t="str">
        <f>IF(Backend!AD55="", "", Backend!AD55)</f>
        <v/>
      </c>
      <c r="AD28" t="str">
        <f>IF(Backend!AE55="", "", Backend!AE55)</f>
        <v/>
      </c>
      <c r="AE28" t="str">
        <f>IF(Backend!AF55="", "", Backend!AF55)</f>
        <v/>
      </c>
      <c r="AF28" t="str">
        <f>IF(Backend!AG55="", "", Backend!AG55)</f>
        <v/>
      </c>
      <c r="AG28" t="str">
        <f>IF(Backend!AH55="", "", Backend!AH55)</f>
        <v/>
      </c>
      <c r="AH28" t="str">
        <f>IF(Backend!AI55="", "", Backend!AI55)</f>
        <v/>
      </c>
      <c r="AI28" t="str">
        <f>IF(Backend!AJ55="", "", Backend!AJ55)</f>
        <v/>
      </c>
      <c r="AJ28" t="str">
        <f>IF(Backend!AK55="", "", Backend!AK55)</f>
        <v/>
      </c>
      <c r="AK28" t="str">
        <f>IF(Backend!AL55="", "", Backend!AL55)</f>
        <v/>
      </c>
      <c r="AL28" t="str">
        <f>IF(Backend!AM55="", "", Backend!AM55)</f>
        <v/>
      </c>
      <c r="AM28" t="str">
        <f>IF(Backend!AN55="", "", Backend!AN55)</f>
        <v/>
      </c>
      <c r="AN28" t="str">
        <f>IF(Backend!AO55="", "", Backend!AO55)</f>
        <v/>
      </c>
      <c r="AO28" t="str">
        <f>IF(Backend!AP55="", "", Backend!AP55)</f>
        <v/>
      </c>
      <c r="AP28" t="str">
        <f>IF(Backend!AQ55="", "", Backend!AQ55)</f>
        <v/>
      </c>
      <c r="AQ28" t="str">
        <f>IF(Backend!AR55="", "", Backend!AR55)</f>
        <v/>
      </c>
      <c r="AR28" t="str">
        <f>IF(Backend!AS55="", "", Backend!AS55)</f>
        <v/>
      </c>
      <c r="AS28" t="str">
        <f>IF(Backend!AT55="", "", Backend!AT55)</f>
        <v/>
      </c>
      <c r="AT28" t="str">
        <f>IF(Backend!AU55="", "", Backend!AU55)</f>
        <v/>
      </c>
      <c r="AU28" t="str">
        <f>IF(Backend!AV55="", "", Backend!AV55)</f>
        <v/>
      </c>
      <c r="AV28" t="str">
        <f>IF(Backend!AW55="", "", Backend!AW55)</f>
        <v/>
      </c>
      <c r="AW28" t="str">
        <f>IF(Backend!AX55="", "", Backend!AX55)</f>
        <v/>
      </c>
      <c r="AX28" t="str">
        <f>IF(Backend!AY55="", "", Backend!AY55)</f>
        <v/>
      </c>
      <c r="AY28" t="str">
        <f>IF(Backend!AZ55="", "", Backend!AZ55)</f>
        <v/>
      </c>
      <c r="AZ28" t="str">
        <f>IF(Backend!BA55="", "", Backend!BA55)</f>
        <v/>
      </c>
      <c r="BA28" t="str">
        <f>IF(Backend!BB55="", "", Backend!BB55)</f>
        <v/>
      </c>
      <c r="BB28" t="str">
        <f>IF(Backend!BC55="", "", Backend!BC55)</f>
        <v/>
      </c>
      <c r="BC28" t="str">
        <f>IF(Backend!BD55="", "", Backend!BD55)</f>
        <v/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Sika AG</v>
      </c>
      <c r="B29">
        <f>IF(Backend!C56="", "", Backend!C56)</f>
        <v>-9.7777149999999993E-2</v>
      </c>
      <c r="C29">
        <f>IF(Backend!D56="", "", Backend!D56)</f>
        <v>-0.48968780000000001</v>
      </c>
      <c r="D29">
        <f>IF(Backend!E56="", "", Backend!E56)</f>
        <v>-4.1733739999999998E-2</v>
      </c>
      <c r="E29">
        <f>IF(Backend!F56="", "", Backend!F56)</f>
        <v>-0.24762492999999999</v>
      </c>
      <c r="F29">
        <f>IF(Backend!G56="", "", Backend!G56)</f>
        <v>-0.57989230000000003</v>
      </c>
      <c r="G29">
        <f>IF(Backend!H56="", "", Backend!H56)</f>
        <v>-0.41175357000000001</v>
      </c>
      <c r="H29">
        <f>IF(Backend!I56="", "", Backend!I56)</f>
        <v>0.69871810000000001</v>
      </c>
      <c r="I29">
        <f>IF(Backend!J56="", "", Backend!J56)</f>
        <v>-0.59759574999999998</v>
      </c>
      <c r="J29">
        <f>IF(Backend!K56="", "", Backend!K56)</f>
        <v>6.5486340000000004E-2</v>
      </c>
      <c r="K29">
        <f>IF(Backend!L56="", "", Backend!L56)</f>
        <v>-0.16350002999999999</v>
      </c>
      <c r="L29">
        <f>IF(Backend!M56="", "", Backend!M56)</f>
        <v>-8.7519533999999996E-2</v>
      </c>
      <c r="M29">
        <f>IF(Backend!N56="", "", Backend!N56)</f>
        <v>0.30082372000000002</v>
      </c>
      <c r="N29">
        <f>IF(Backend!O56="", "", Backend!O56)</f>
        <v>-6.0962700000000002E-2</v>
      </c>
      <c r="O29">
        <f>IF(Backend!P56="", "", Backend!P56)</f>
        <v>0.14823046000000001</v>
      </c>
      <c r="P29">
        <f>IF(Backend!Q56="", "", Backend!Q56)</f>
        <v>0.18599433000000001</v>
      </c>
      <c r="Q29">
        <f>IF(Backend!R56="", "", Backend!R56)</f>
        <v>0.70222850000000003</v>
      </c>
      <c r="R29">
        <f>IF(Backend!S56="", "", Backend!S56)</f>
        <v>-0.31505135000000001</v>
      </c>
      <c r="S29">
        <f>IF(Backend!T56="", "", Backend!T56)</f>
        <v>0.4772942</v>
      </c>
      <c r="T29">
        <f>IF(Backend!U56="", "", Backend!U56)</f>
        <v>0.36915125999999998</v>
      </c>
      <c r="U29">
        <f>IF(Backend!V56="", "", Backend!V56)</f>
        <v>-0.22626542999999999</v>
      </c>
      <c r="V29">
        <f>IF(Backend!W56="", "", Backend!W56)</f>
        <v>0.17899045</v>
      </c>
      <c r="W29">
        <f>IF(Backend!X56="", "", Backend!X56)</f>
        <v>0.15210736999999999</v>
      </c>
      <c r="X29">
        <f>IF(Backend!Y56="", "", Backend!Y56)</f>
        <v>-0.56791550000000002</v>
      </c>
      <c r="Y29">
        <f>IF(Backend!Z56="", "", Backend!Z56)</f>
        <v>0.5967093</v>
      </c>
      <c r="Z29">
        <f>IF(Backend!AA56="", "", Backend!AA56)</f>
        <v>0.74447525000000003</v>
      </c>
      <c r="AA29">
        <f>IF(Backend!AB56="", "", Backend!AB56)</f>
        <v>1</v>
      </c>
      <c r="AB29">
        <f>IF(Backend!AC56="", "", Backend!AC56)</f>
        <v>-0.11989793</v>
      </c>
      <c r="AC29" t="str">
        <f>IF(Backend!AD56="", "", Backend!AD56)</f>
        <v/>
      </c>
      <c r="AD29" t="str">
        <f>IF(Backend!AE56="", "", Backend!AE56)</f>
        <v/>
      </c>
      <c r="AE29" t="str">
        <f>IF(Backend!AF56="", "", Backend!AF56)</f>
        <v/>
      </c>
      <c r="AF29" t="str">
        <f>IF(Backend!AG56="", "", Backend!AG56)</f>
        <v/>
      </c>
      <c r="AG29" t="str">
        <f>IF(Backend!AH56="", "", Backend!AH56)</f>
        <v/>
      </c>
      <c r="AH29" t="str">
        <f>IF(Backend!AI56="", "", Backend!AI56)</f>
        <v/>
      </c>
      <c r="AI29" t="str">
        <f>IF(Backend!AJ56="", "", Backend!AJ56)</f>
        <v/>
      </c>
      <c r="AJ29" t="str">
        <f>IF(Backend!AK56="", "", Backend!AK56)</f>
        <v/>
      </c>
      <c r="AK29" t="str">
        <f>IF(Backend!AL56="", "", Backend!AL56)</f>
        <v/>
      </c>
      <c r="AL29" t="str">
        <f>IF(Backend!AM56="", "", Backend!AM56)</f>
        <v/>
      </c>
      <c r="AM29" t="str">
        <f>IF(Backend!AN56="", "", Backend!AN56)</f>
        <v/>
      </c>
      <c r="AN29" t="str">
        <f>IF(Backend!AO56="", "", Backend!AO56)</f>
        <v/>
      </c>
      <c r="AO29" t="str">
        <f>IF(Backend!AP56="", "", Backend!AP56)</f>
        <v/>
      </c>
      <c r="AP29" t="str">
        <f>IF(Backend!AQ56="", "", Backend!AQ56)</f>
        <v/>
      </c>
      <c r="AQ29" t="str">
        <f>IF(Backend!AR56="", "", Backend!AR56)</f>
        <v/>
      </c>
      <c r="AR29" t="str">
        <f>IF(Backend!AS56="", "", Backend!AS56)</f>
        <v/>
      </c>
      <c r="AS29" t="str">
        <f>IF(Backend!AT56="", "", Backend!AT56)</f>
        <v/>
      </c>
      <c r="AT29" t="str">
        <f>IF(Backend!AU56="", "", Backend!AU56)</f>
        <v/>
      </c>
      <c r="AU29" t="str">
        <f>IF(Backend!AV56="", "", Backend!AV56)</f>
        <v/>
      </c>
      <c r="AV29" t="str">
        <f>IF(Backend!AW56="", "", Backend!AW56)</f>
        <v/>
      </c>
      <c r="AW29" t="str">
        <f>IF(Backend!AX56="", "", Backend!AX56)</f>
        <v/>
      </c>
      <c r="AX29" t="str">
        <f>IF(Backend!AY56="", "", Backend!AY56)</f>
        <v/>
      </c>
      <c r="AY29" t="str">
        <f>IF(Backend!AZ56="", "", Backend!AZ56)</f>
        <v/>
      </c>
      <c r="AZ29" t="str">
        <f>IF(Backend!BA56="", "", Backend!BA56)</f>
        <v/>
      </c>
      <c r="BA29" t="str">
        <f>IF(Backend!BB56="", "", Backend!BB56)</f>
        <v/>
      </c>
      <c r="BB29" t="str">
        <f>IF(Backend!BC56="", "", Backend!BC56)</f>
        <v/>
      </c>
      <c r="BC29" t="str">
        <f>IF(Backend!BD56="", "", Backend!BD56)</f>
        <v/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Games Workshop Group PLC</v>
      </c>
      <c r="B30">
        <f>IF(Backend!C57="", "", Backend!C57)</f>
        <v>-0.59878710000000002</v>
      </c>
      <c r="C30">
        <f>IF(Backend!D57="", "", Backend!D57)</f>
        <v>0.77796960000000004</v>
      </c>
      <c r="D30">
        <f>IF(Backend!E57="", "", Backend!E57)</f>
        <v>0.70168900000000001</v>
      </c>
      <c r="E30">
        <f>IF(Backend!F57="", "", Backend!F57)</f>
        <v>-8.1493995999999999E-2</v>
      </c>
      <c r="F30">
        <f>IF(Backend!G57="", "", Backend!G57)</f>
        <v>0.67023889999999997</v>
      </c>
      <c r="G30">
        <f>IF(Backend!H57="", "", Backend!H57)</f>
        <v>0.64972149999999995</v>
      </c>
      <c r="H30">
        <f>IF(Backend!I57="", "", Backend!I57)</f>
        <v>-6.2993090000000002E-2</v>
      </c>
      <c r="I30">
        <f>IF(Backend!J57="", "", Backend!J57)</f>
        <v>0.3136545</v>
      </c>
      <c r="J30">
        <f>IF(Backend!K57="", "", Backend!K57)</f>
        <v>0.81362950000000001</v>
      </c>
      <c r="K30">
        <f>IF(Backend!L57="", "", Backend!L57)</f>
        <v>0.50198509999999996</v>
      </c>
      <c r="L30">
        <f>IF(Backend!M57="", "", Backend!M57)</f>
        <v>0.88591843999999997</v>
      </c>
      <c r="M30">
        <f>IF(Backend!N57="", "", Backend!N57)</f>
        <v>0.70637309999999998</v>
      </c>
      <c r="N30">
        <f>IF(Backend!O57="", "", Backend!O57)</f>
        <v>-2.3115829000000001E-2</v>
      </c>
      <c r="O30">
        <f>IF(Backend!P57="", "", Backend!P57)</f>
        <v>0.73796019999999996</v>
      </c>
      <c r="P30">
        <f>IF(Backend!Q57="", "", Backend!Q57)</f>
        <v>0.46519080000000002</v>
      </c>
      <c r="Q30">
        <f>IF(Backend!R57="", "", Backend!R57)</f>
        <v>-0.27142127999999999</v>
      </c>
      <c r="R30">
        <f>IF(Backend!S57="", "", Backend!S57)</f>
        <v>0.81933690000000003</v>
      </c>
      <c r="S30">
        <f>IF(Backend!T57="", "", Backend!T57)</f>
        <v>-0.59832660000000004</v>
      </c>
      <c r="T30">
        <f>IF(Backend!U57="", "", Backend!U57)</f>
        <v>0.63967160000000001</v>
      </c>
      <c r="U30">
        <f>IF(Backend!V57="", "", Backend!V57)</f>
        <v>0.46090952000000002</v>
      </c>
      <c r="V30">
        <f>IF(Backend!W57="", "", Backend!W57)</f>
        <v>0.83249086000000005</v>
      </c>
      <c r="W30">
        <f>IF(Backend!X57="", "", Backend!X57)</f>
        <v>0.78040134999999999</v>
      </c>
      <c r="X30">
        <f>IF(Backend!Y57="", "", Backend!Y57)</f>
        <v>0.46421277999999999</v>
      </c>
      <c r="Y30">
        <f>IF(Backend!Z57="", "", Backend!Z57)</f>
        <v>-0.41765400000000003</v>
      </c>
      <c r="Z30">
        <f>IF(Backend!AA57="", "", Backend!AA57)</f>
        <v>-0.24645099000000001</v>
      </c>
      <c r="AA30">
        <f>IF(Backend!AB57="", "", Backend!AB57)</f>
        <v>-0.11989793</v>
      </c>
      <c r="AB30">
        <f>IF(Backend!AC57="", "", Backend!AC57)</f>
        <v>1</v>
      </c>
      <c r="AC30" t="str">
        <f>IF(Backend!AD57="", "", Backend!AD57)</f>
        <v/>
      </c>
      <c r="AD30" t="str">
        <f>IF(Backend!AE57="", "", Backend!AE57)</f>
        <v/>
      </c>
      <c r="AE30" t="str">
        <f>IF(Backend!AF57="", "", Backend!AF57)</f>
        <v/>
      </c>
      <c r="AF30" t="str">
        <f>IF(Backend!AG57="", "", Backend!AG57)</f>
        <v/>
      </c>
      <c r="AG30" t="str">
        <f>IF(Backend!AH57="", "", Backend!AH57)</f>
        <v/>
      </c>
      <c r="AH30" t="str">
        <f>IF(Backend!AI57="", "", Backend!AI57)</f>
        <v/>
      </c>
      <c r="AI30" t="str">
        <f>IF(Backend!AJ57="", "", Backend!AJ57)</f>
        <v/>
      </c>
      <c r="AJ30" t="str">
        <f>IF(Backend!AK57="", "", Backend!AK57)</f>
        <v/>
      </c>
      <c r="AK30" t="str">
        <f>IF(Backend!AL57="", "", Backend!AL57)</f>
        <v/>
      </c>
      <c r="AL30" t="str">
        <f>IF(Backend!AM57="", "", Backend!AM57)</f>
        <v/>
      </c>
      <c r="AM30" t="str">
        <f>IF(Backend!AN57="", "", Backend!AN57)</f>
        <v/>
      </c>
      <c r="AN30" t="str">
        <f>IF(Backend!AO57="", "", Backend!AO57)</f>
        <v/>
      </c>
      <c r="AO30" t="str">
        <f>IF(Backend!AP57="", "", Backend!AP57)</f>
        <v/>
      </c>
      <c r="AP30" t="str">
        <f>IF(Backend!AQ57="", "", Backend!AQ57)</f>
        <v/>
      </c>
      <c r="AQ30" t="str">
        <f>IF(Backend!AR57="", "", Backend!AR57)</f>
        <v/>
      </c>
      <c r="AR30" t="str">
        <f>IF(Backend!AS57="", "", Backend!AS57)</f>
        <v/>
      </c>
      <c r="AS30" t="str">
        <f>IF(Backend!AT57="", "", Backend!AT57)</f>
        <v/>
      </c>
      <c r="AT30" t="str">
        <f>IF(Backend!AU57="", "", Backend!AU57)</f>
        <v/>
      </c>
      <c r="AU30" t="str">
        <f>IF(Backend!AV57="", "", Backend!AV57)</f>
        <v/>
      </c>
      <c r="AV30" t="str">
        <f>IF(Backend!AW57="", "", Backend!AW57)</f>
        <v/>
      </c>
      <c r="AW30" t="str">
        <f>IF(Backend!AX57="", "", Backend!AX57)</f>
        <v/>
      </c>
      <c r="AX30" t="str">
        <f>IF(Backend!AY57="", "", Backend!AY57)</f>
        <v/>
      </c>
      <c r="AY30" t="str">
        <f>IF(Backend!AZ57="", "", Backend!AZ57)</f>
        <v/>
      </c>
      <c r="AZ30" t="str">
        <f>IF(Backend!BA57="", "", Backend!BA57)</f>
        <v/>
      </c>
      <c r="BA30" t="str">
        <f>IF(Backend!BB57="", "", Backend!BB57)</f>
        <v/>
      </c>
      <c r="BB30" t="str">
        <f>IF(Backend!BC57="", "", Backend!BC57)</f>
        <v/>
      </c>
      <c r="BC30" t="str">
        <f>IF(Backend!BD57="", "", Backend!BD57)</f>
        <v/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/>
      <c r="B31" t="str">
        <f>IF(Backend!C58="", "", Backend!C58)</f>
        <v/>
      </c>
      <c r="C31" t="str">
        <f>IF(Backend!D58="", "", Backend!D58)</f>
        <v/>
      </c>
      <c r="D31" t="str">
        <f>IF(Backend!E58="", "", Backend!E58)</f>
        <v/>
      </c>
      <c r="E31" t="str">
        <f>IF(Backend!F58="", "", Backend!F58)</f>
        <v/>
      </c>
      <c r="F31" t="str">
        <f>IF(Backend!G58="", "", Backend!G58)</f>
        <v/>
      </c>
      <c r="G31" t="str">
        <f>IF(Backend!H58="", "", Backend!H58)</f>
        <v/>
      </c>
      <c r="H31" t="str">
        <f>IF(Backend!I58="", "", Backend!I58)</f>
        <v/>
      </c>
      <c r="I31" t="str">
        <f>IF(Backend!J58="", "", Backend!J58)</f>
        <v/>
      </c>
      <c r="J31" t="str">
        <f>IF(Backend!K58="", "", Backend!K58)</f>
        <v/>
      </c>
      <c r="K31" t="str">
        <f>IF(Backend!L58="", "", Backend!L58)</f>
        <v/>
      </c>
      <c r="L31" t="str">
        <f>IF(Backend!M58="", "", Backend!M58)</f>
        <v/>
      </c>
      <c r="M31" t="str">
        <f>IF(Backend!N58="", "", Backend!N58)</f>
        <v/>
      </c>
      <c r="N31" t="str">
        <f>IF(Backend!O58="", "", Backend!O58)</f>
        <v/>
      </c>
      <c r="O31" t="str">
        <f>IF(Backend!P58="", "", Backend!P58)</f>
        <v/>
      </c>
      <c r="P31" t="str">
        <f>IF(Backend!Q58="", "", Backend!Q58)</f>
        <v/>
      </c>
      <c r="Q31" t="str">
        <f>IF(Backend!R58="", "", Backend!R58)</f>
        <v/>
      </c>
      <c r="R31" t="str">
        <f>IF(Backend!S58="", "", Backend!S58)</f>
        <v/>
      </c>
      <c r="S31" t="str">
        <f>IF(Backend!T58="", "", Backend!T58)</f>
        <v/>
      </c>
      <c r="T31" t="str">
        <f>IF(Backend!U58="", "", Backend!U58)</f>
        <v/>
      </c>
      <c r="U31" t="str">
        <f>IF(Backend!V58="", "", Backend!V58)</f>
        <v/>
      </c>
      <c r="V31" t="str">
        <f>IF(Backend!W58="", "", Backend!W58)</f>
        <v/>
      </c>
      <c r="W31" t="str">
        <f>IF(Backend!X58="", "", Backend!X58)</f>
        <v/>
      </c>
      <c r="X31" t="str">
        <f>IF(Backend!Y58="", "", Backend!Y58)</f>
        <v/>
      </c>
      <c r="Y31" t="str">
        <f>IF(Backend!Z58="", "", Backend!Z58)</f>
        <v/>
      </c>
      <c r="Z31" t="str">
        <f>IF(Backend!AA58="", "", Backend!AA58)</f>
        <v/>
      </c>
      <c r="AA31" t="str">
        <f>IF(Backend!AB58="", "", Backend!AB58)</f>
        <v/>
      </c>
      <c r="AB31" t="str">
        <f>IF(Backend!AC58="", "", Backend!AC58)</f>
        <v/>
      </c>
      <c r="AC31" t="str">
        <f>IF(Backend!AD58="", "", Backend!AD58)</f>
        <v/>
      </c>
      <c r="AD31" t="str">
        <f>IF(Backend!AE58="", "", Backend!AE58)</f>
        <v/>
      </c>
      <c r="AE31" t="str">
        <f>IF(Backend!AF58="", "", Backend!AF58)</f>
        <v/>
      </c>
      <c r="AF31" t="str">
        <f>IF(Backend!AG58="", "", Backend!AG58)</f>
        <v/>
      </c>
      <c r="AG31" t="str">
        <f>IF(Backend!AH58="", "", Backend!AH58)</f>
        <v/>
      </c>
      <c r="AH31" t="str">
        <f>IF(Backend!AI58="", "", Backend!AI58)</f>
        <v/>
      </c>
      <c r="AI31" t="str">
        <f>IF(Backend!AJ58="", "", Backend!AJ58)</f>
        <v/>
      </c>
      <c r="AJ31" t="str">
        <f>IF(Backend!AK58="", "", Backend!AK58)</f>
        <v/>
      </c>
      <c r="AK31" t="str">
        <f>IF(Backend!AL58="", "", Backend!AL58)</f>
        <v/>
      </c>
      <c r="AL31" t="str">
        <f>IF(Backend!AM58="", "", Backend!AM58)</f>
        <v/>
      </c>
      <c r="AM31" t="str">
        <f>IF(Backend!AN58="", "", Backend!AN58)</f>
        <v/>
      </c>
      <c r="AN31" t="str">
        <f>IF(Backend!AO58="", "", Backend!AO58)</f>
        <v/>
      </c>
      <c r="AO31" t="str">
        <f>IF(Backend!AP58="", "", Backend!AP58)</f>
        <v/>
      </c>
      <c r="AP31" t="str">
        <f>IF(Backend!AQ58="", "", Backend!AQ58)</f>
        <v/>
      </c>
      <c r="AQ31" t="str">
        <f>IF(Backend!AR58="", "", Backend!AR58)</f>
        <v/>
      </c>
      <c r="AR31" t="str">
        <f>IF(Backend!AS58="", "", Backend!AS58)</f>
        <v/>
      </c>
      <c r="AS31" t="str">
        <f>IF(Backend!AT58="", "", Backend!AT58)</f>
        <v/>
      </c>
      <c r="AT31" t="str">
        <f>IF(Backend!AU58="", "", Backend!AU58)</f>
        <v/>
      </c>
      <c r="AU31" t="str">
        <f>IF(Backend!AV58="", "", Backend!AV58)</f>
        <v/>
      </c>
      <c r="AV31" t="str">
        <f>IF(Backend!AW58="", "", Backend!AW58)</f>
        <v/>
      </c>
      <c r="AW31" t="str">
        <f>IF(Backend!AX58="", "", Backend!AX58)</f>
        <v/>
      </c>
      <c r="AX31" t="str">
        <f>IF(Backend!AY58="", "", Backend!AY58)</f>
        <v/>
      </c>
      <c r="AY31" t="str">
        <f>IF(Backend!AZ58="", "", Backend!AZ58)</f>
        <v/>
      </c>
      <c r="AZ31" t="str">
        <f>IF(Backend!BA58="", "", Backend!BA58)</f>
        <v/>
      </c>
      <c r="BA31" t="str">
        <f>IF(Backend!BB58="", "", Backend!BB58)</f>
        <v/>
      </c>
      <c r="BB31" t="str">
        <f>IF(Backend!BC58="", "", Backend!BC58)</f>
        <v/>
      </c>
      <c r="BC31" t="str">
        <f>IF(Backend!BD58="", "", Backend!BD58)</f>
        <v/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/>
      <c r="B32" t="str">
        <f>IF(Backend!C59="", "", Backend!C59)</f>
        <v/>
      </c>
      <c r="C32" t="str">
        <f>IF(Backend!D59="", "", Backend!D59)</f>
        <v/>
      </c>
      <c r="D32" t="str">
        <f>IF(Backend!E59="", "", Backend!E59)</f>
        <v/>
      </c>
      <c r="E32" t="str">
        <f>IF(Backend!F59="", "", Backend!F59)</f>
        <v/>
      </c>
      <c r="F32" t="str">
        <f>IF(Backend!G59="", "", Backend!G59)</f>
        <v/>
      </c>
      <c r="G32" t="str">
        <f>IF(Backend!H59="", "", Backend!H59)</f>
        <v/>
      </c>
      <c r="H32" t="str">
        <f>IF(Backend!I59="", "", Backend!I59)</f>
        <v/>
      </c>
      <c r="I32" t="str">
        <f>IF(Backend!J59="", "", Backend!J59)</f>
        <v/>
      </c>
      <c r="J32" t="str">
        <f>IF(Backend!K59="", "", Backend!K59)</f>
        <v/>
      </c>
      <c r="K32" t="str">
        <f>IF(Backend!L59="", "", Backend!L59)</f>
        <v/>
      </c>
      <c r="L32" t="str">
        <f>IF(Backend!M59="", "", Backend!M59)</f>
        <v/>
      </c>
      <c r="M32" t="str">
        <f>IF(Backend!N59="", "", Backend!N59)</f>
        <v/>
      </c>
      <c r="N32" t="str">
        <f>IF(Backend!O59="", "", Backend!O59)</f>
        <v/>
      </c>
      <c r="O32" t="str">
        <f>IF(Backend!P59="", "", Backend!P59)</f>
        <v/>
      </c>
      <c r="P32" t="str">
        <f>IF(Backend!Q59="", "", Backend!Q59)</f>
        <v/>
      </c>
      <c r="Q32" t="str">
        <f>IF(Backend!R59="", "", Backend!R59)</f>
        <v/>
      </c>
      <c r="R32" t="str">
        <f>IF(Backend!S59="", "", Backend!S59)</f>
        <v/>
      </c>
      <c r="S32" t="str">
        <f>IF(Backend!T59="", "", Backend!T59)</f>
        <v/>
      </c>
      <c r="T32" t="str">
        <f>IF(Backend!U59="", "", Backend!U59)</f>
        <v/>
      </c>
      <c r="U32" t="str">
        <f>IF(Backend!V59="", "", Backend!V59)</f>
        <v/>
      </c>
      <c r="V32" t="str">
        <f>IF(Backend!W59="", "", Backend!W59)</f>
        <v/>
      </c>
      <c r="W32" t="str">
        <f>IF(Backend!X59="", "", Backend!X59)</f>
        <v/>
      </c>
      <c r="X32" t="str">
        <f>IF(Backend!Y59="", "", Backend!Y59)</f>
        <v/>
      </c>
      <c r="Y32" t="str">
        <f>IF(Backend!Z59="", "", Backend!Z59)</f>
        <v/>
      </c>
      <c r="Z32" t="str">
        <f>IF(Backend!AA59="", "", Backend!AA59)</f>
        <v/>
      </c>
      <c r="AA32" t="str">
        <f>IF(Backend!AB59="", "", Backend!AB59)</f>
        <v/>
      </c>
      <c r="AB32" t="str">
        <f>IF(Backend!AC59="", "", Backend!AC59)</f>
        <v/>
      </c>
      <c r="AC32" t="str">
        <f>IF(Backend!AD59="", "", Backend!AD59)</f>
        <v/>
      </c>
      <c r="AD32" t="str">
        <f>IF(Backend!AE59="", "", Backend!AE59)</f>
        <v/>
      </c>
      <c r="AE32" t="str">
        <f>IF(Backend!AF59="", "", Backend!AF59)</f>
        <v/>
      </c>
      <c r="AF32" t="str">
        <f>IF(Backend!AG59="", "", Backend!AG59)</f>
        <v/>
      </c>
      <c r="AG32" t="str">
        <f>IF(Backend!AH59="", "", Backend!AH59)</f>
        <v/>
      </c>
      <c r="AH32" t="str">
        <f>IF(Backend!AI59="", "", Backend!AI59)</f>
        <v/>
      </c>
      <c r="AI32" t="str">
        <f>IF(Backend!AJ59="", "", Backend!AJ59)</f>
        <v/>
      </c>
      <c r="AJ32" t="str">
        <f>IF(Backend!AK59="", "", Backend!AK59)</f>
        <v/>
      </c>
      <c r="AK32" t="str">
        <f>IF(Backend!AL59="", "", Backend!AL59)</f>
        <v/>
      </c>
      <c r="AL32" t="str">
        <f>IF(Backend!AM59="", "", Backend!AM59)</f>
        <v/>
      </c>
      <c r="AM32" t="str">
        <f>IF(Backend!AN59="", "", Backend!AN59)</f>
        <v/>
      </c>
      <c r="AN32" t="str">
        <f>IF(Backend!AO59="", "", Backend!AO59)</f>
        <v/>
      </c>
      <c r="AO32" t="str">
        <f>IF(Backend!AP59="", "", Backend!AP59)</f>
        <v/>
      </c>
      <c r="AP32" t="str">
        <f>IF(Backend!AQ59="", "", Backend!AQ59)</f>
        <v/>
      </c>
      <c r="AQ32" t="str">
        <f>IF(Backend!AR59="", "", Backend!AR59)</f>
        <v/>
      </c>
      <c r="AR32" t="str">
        <f>IF(Backend!AS59="", "", Backend!AS59)</f>
        <v/>
      </c>
      <c r="AS32" t="str">
        <f>IF(Backend!AT59="", "", Backend!AT59)</f>
        <v/>
      </c>
      <c r="AT32" t="str">
        <f>IF(Backend!AU59="", "", Backend!AU59)</f>
        <v/>
      </c>
      <c r="AU32" t="str">
        <f>IF(Backend!AV59="", "", Backend!AV59)</f>
        <v/>
      </c>
      <c r="AV32" t="str">
        <f>IF(Backend!AW59="", "", Backend!AW59)</f>
        <v/>
      </c>
      <c r="AW32" t="str">
        <f>IF(Backend!AX59="", "", Backend!AX59)</f>
        <v/>
      </c>
      <c r="AX32" t="str">
        <f>IF(Backend!AY59="", "", Backend!AY59)</f>
        <v/>
      </c>
      <c r="AY32" t="str">
        <f>IF(Backend!AZ59="", "", Backend!AZ59)</f>
        <v/>
      </c>
      <c r="AZ32" t="str">
        <f>IF(Backend!BA59="", "", Backend!BA59)</f>
        <v/>
      </c>
      <c r="BA32" t="str">
        <f>IF(Backend!BB59="", "", Backend!BB59)</f>
        <v/>
      </c>
      <c r="BB32" t="str">
        <f>IF(Backend!BC59="", "", Backend!BC59)</f>
        <v/>
      </c>
      <c r="BC32" t="str">
        <f>IF(Backend!BD59="", "", Backend!BD59)</f>
        <v/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/>
      <c r="B33" t="str">
        <f>IF(Backend!C60="", "", Backend!C60)</f>
        <v/>
      </c>
      <c r="C33" t="str">
        <f>IF(Backend!D60="", "", Backend!D60)</f>
        <v/>
      </c>
      <c r="D33" t="str">
        <f>IF(Backend!E60="", "", Backend!E60)</f>
        <v/>
      </c>
      <c r="E33" t="str">
        <f>IF(Backend!F60="", "", Backend!F60)</f>
        <v/>
      </c>
      <c r="F33" t="str">
        <f>IF(Backend!G60="", "", Backend!G60)</f>
        <v/>
      </c>
      <c r="G33" t="str">
        <f>IF(Backend!H60="", "", Backend!H60)</f>
        <v/>
      </c>
      <c r="H33" t="str">
        <f>IF(Backend!I60="", "", Backend!I60)</f>
        <v/>
      </c>
      <c r="I33" t="str">
        <f>IF(Backend!J60="", "", Backend!J60)</f>
        <v/>
      </c>
      <c r="J33" t="str">
        <f>IF(Backend!K60="", "", Backend!K60)</f>
        <v/>
      </c>
      <c r="K33" t="str">
        <f>IF(Backend!L60="", "", Backend!L60)</f>
        <v/>
      </c>
      <c r="L33" t="str">
        <f>IF(Backend!M60="", "", Backend!M60)</f>
        <v/>
      </c>
      <c r="M33" t="str">
        <f>IF(Backend!N60="", "", Backend!N60)</f>
        <v/>
      </c>
      <c r="N33" t="str">
        <f>IF(Backend!O60="", "", Backend!O60)</f>
        <v/>
      </c>
      <c r="O33" t="str">
        <f>IF(Backend!P60="", "", Backend!P60)</f>
        <v/>
      </c>
      <c r="P33" t="str">
        <f>IF(Backend!Q60="", "", Backend!Q60)</f>
        <v/>
      </c>
      <c r="Q33" t="str">
        <f>IF(Backend!R60="", "", Backend!R60)</f>
        <v/>
      </c>
      <c r="R33" t="str">
        <f>IF(Backend!S60="", "", Backend!S60)</f>
        <v/>
      </c>
      <c r="S33" t="str">
        <f>IF(Backend!T60="", "", Backend!T60)</f>
        <v/>
      </c>
      <c r="T33" t="str">
        <f>IF(Backend!U60="", "", Backend!U60)</f>
        <v/>
      </c>
      <c r="U33" t="str">
        <f>IF(Backend!V60="", "", Backend!V60)</f>
        <v/>
      </c>
      <c r="V33" t="str">
        <f>IF(Backend!W60="", "", Backend!W60)</f>
        <v/>
      </c>
      <c r="W33" t="str">
        <f>IF(Backend!X60="", "", Backend!X60)</f>
        <v/>
      </c>
      <c r="X33" t="str">
        <f>IF(Backend!Y60="", "", Backend!Y60)</f>
        <v/>
      </c>
      <c r="Y33" t="str">
        <f>IF(Backend!Z60="", "", Backend!Z60)</f>
        <v/>
      </c>
      <c r="Z33" t="str">
        <f>IF(Backend!AA60="", "", Backend!AA60)</f>
        <v/>
      </c>
      <c r="AA33" t="str">
        <f>IF(Backend!AB60="", "", Backend!AB60)</f>
        <v/>
      </c>
      <c r="AB33" t="str">
        <f>IF(Backend!AC60="", "", Backend!AC60)</f>
        <v/>
      </c>
      <c r="AC33" t="str">
        <f>IF(Backend!AD60="", "", Backend!AD60)</f>
        <v/>
      </c>
      <c r="AD33" t="str">
        <f>IF(Backend!AE60="", "", Backend!AE60)</f>
        <v/>
      </c>
      <c r="AE33" t="str">
        <f>IF(Backend!AF60="", "", Backend!AF60)</f>
        <v/>
      </c>
      <c r="AF33" t="str">
        <f>IF(Backend!AG60="", "", Backend!AG60)</f>
        <v/>
      </c>
      <c r="AG33" t="str">
        <f>IF(Backend!AH60="", "", Backend!AH60)</f>
        <v/>
      </c>
      <c r="AH33" t="str">
        <f>IF(Backend!AI60="", "", Backend!AI60)</f>
        <v/>
      </c>
      <c r="AI33" t="str">
        <f>IF(Backend!AJ60="", "", Backend!AJ60)</f>
        <v/>
      </c>
      <c r="AJ33" t="str">
        <f>IF(Backend!AK60="", "", Backend!AK60)</f>
        <v/>
      </c>
      <c r="AK33" t="str">
        <f>IF(Backend!AL60="", "", Backend!AL60)</f>
        <v/>
      </c>
      <c r="AL33" t="str">
        <f>IF(Backend!AM60="", "", Backend!AM60)</f>
        <v/>
      </c>
      <c r="AM33" t="str">
        <f>IF(Backend!AN60="", "", Backend!AN60)</f>
        <v/>
      </c>
      <c r="AN33" t="str">
        <f>IF(Backend!AO60="", "", Backend!AO60)</f>
        <v/>
      </c>
      <c r="AO33" t="str">
        <f>IF(Backend!AP60="", "", Backend!AP60)</f>
        <v/>
      </c>
      <c r="AP33" t="str">
        <f>IF(Backend!AQ60="", "", Backend!AQ60)</f>
        <v/>
      </c>
      <c r="AQ33" t="str">
        <f>IF(Backend!AR60="", "", Backend!AR60)</f>
        <v/>
      </c>
      <c r="AR33" t="str">
        <f>IF(Backend!AS60="", "", Backend!AS60)</f>
        <v/>
      </c>
      <c r="AS33" t="str">
        <f>IF(Backend!AT60="", "", Backend!AT60)</f>
        <v/>
      </c>
      <c r="AT33" t="str">
        <f>IF(Backend!AU60="", "", Backend!AU60)</f>
        <v/>
      </c>
      <c r="AU33" t="str">
        <f>IF(Backend!AV60="", "", Backend!AV60)</f>
        <v/>
      </c>
      <c r="AV33" t="str">
        <f>IF(Backend!AW60="", "", Backend!AW60)</f>
        <v/>
      </c>
      <c r="AW33" t="str">
        <f>IF(Backend!AX60="", "", Backend!AX60)</f>
        <v/>
      </c>
      <c r="AX33" t="str">
        <f>IF(Backend!AY60="", "", Backend!AY60)</f>
        <v/>
      </c>
      <c r="AY33" t="str">
        <f>IF(Backend!AZ60="", "", Backend!AZ60)</f>
        <v/>
      </c>
      <c r="AZ33" t="str">
        <f>IF(Backend!BA60="", "", Backend!BA60)</f>
        <v/>
      </c>
      <c r="BA33" t="str">
        <f>IF(Backend!BB60="", "", Backend!BB60)</f>
        <v/>
      </c>
      <c r="BB33" t="str">
        <f>IF(Backend!BC60="", "", Backend!BC60)</f>
        <v/>
      </c>
      <c r="BC33" t="str">
        <f>IF(Backend!BD60="", "", Backend!BD60)</f>
        <v/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/>
      <c r="B34" t="str">
        <f>IF(Backend!C61="", "", Backend!C61)</f>
        <v/>
      </c>
      <c r="C34" t="str">
        <f>IF(Backend!D61="", "", Backend!D61)</f>
        <v/>
      </c>
      <c r="D34" t="str">
        <f>IF(Backend!E61="", "", Backend!E61)</f>
        <v/>
      </c>
      <c r="E34" t="str">
        <f>IF(Backend!F61="", "", Backend!F61)</f>
        <v/>
      </c>
      <c r="F34" t="str">
        <f>IF(Backend!G61="", "", Backend!G61)</f>
        <v/>
      </c>
      <c r="G34" t="str">
        <f>IF(Backend!H61="", "", Backend!H61)</f>
        <v/>
      </c>
      <c r="H34" t="str">
        <f>IF(Backend!I61="", "", Backend!I61)</f>
        <v/>
      </c>
      <c r="I34" t="str">
        <f>IF(Backend!J61="", "", Backend!J61)</f>
        <v/>
      </c>
      <c r="J34" t="str">
        <f>IF(Backend!K61="", "", Backend!K61)</f>
        <v/>
      </c>
      <c r="K34" t="str">
        <f>IF(Backend!L61="", "", Backend!L61)</f>
        <v/>
      </c>
      <c r="L34" t="str">
        <f>IF(Backend!M61="", "", Backend!M61)</f>
        <v/>
      </c>
      <c r="M34" t="str">
        <f>IF(Backend!N61="", "", Backend!N61)</f>
        <v/>
      </c>
      <c r="N34" t="str">
        <f>IF(Backend!O61="", "", Backend!O61)</f>
        <v/>
      </c>
      <c r="O34" t="str">
        <f>IF(Backend!P61="", "", Backend!P61)</f>
        <v/>
      </c>
      <c r="P34" t="str">
        <f>IF(Backend!Q61="", "", Backend!Q61)</f>
        <v/>
      </c>
      <c r="Q34" t="str">
        <f>IF(Backend!R61="", "", Backend!R61)</f>
        <v/>
      </c>
      <c r="R34" t="str">
        <f>IF(Backend!S61="", "", Backend!S61)</f>
        <v/>
      </c>
      <c r="S34" t="str">
        <f>IF(Backend!T61="", "", Backend!T61)</f>
        <v/>
      </c>
      <c r="T34" t="str">
        <f>IF(Backend!U61="", "", Backend!U61)</f>
        <v/>
      </c>
      <c r="U34" t="str">
        <f>IF(Backend!V61="", "", Backend!V61)</f>
        <v/>
      </c>
      <c r="V34" t="str">
        <f>IF(Backend!W61="", "", Backend!W61)</f>
        <v/>
      </c>
      <c r="W34" t="str">
        <f>IF(Backend!X61="", "", Backend!X61)</f>
        <v/>
      </c>
      <c r="X34" t="str">
        <f>IF(Backend!Y61="", "", Backend!Y61)</f>
        <v/>
      </c>
      <c r="Y34" t="str">
        <f>IF(Backend!Z61="", "", Backend!Z61)</f>
        <v/>
      </c>
      <c r="Z34" t="str">
        <f>IF(Backend!AA61="", "", Backend!AA61)</f>
        <v/>
      </c>
      <c r="AA34" t="str">
        <f>IF(Backend!AB61="", "", Backend!AB61)</f>
        <v/>
      </c>
      <c r="AB34" t="str">
        <f>IF(Backend!AC61="", "", Backend!AC61)</f>
        <v/>
      </c>
      <c r="AC34" t="str">
        <f>IF(Backend!AD61="", "", Backend!AD61)</f>
        <v/>
      </c>
      <c r="AD34" t="str">
        <f>IF(Backend!AE61="", "", Backend!AE61)</f>
        <v/>
      </c>
      <c r="AE34" t="str">
        <f>IF(Backend!AF61="", "", Backend!AF61)</f>
        <v/>
      </c>
      <c r="AF34" t="str">
        <f>IF(Backend!AG61="", "", Backend!AG61)</f>
        <v/>
      </c>
      <c r="AG34" t="str">
        <f>IF(Backend!AH61="", "", Backend!AH61)</f>
        <v/>
      </c>
      <c r="AH34" t="str">
        <f>IF(Backend!AI61="", "", Backend!AI61)</f>
        <v/>
      </c>
      <c r="AI34" t="str">
        <f>IF(Backend!AJ61="", "", Backend!AJ61)</f>
        <v/>
      </c>
      <c r="AJ34" t="str">
        <f>IF(Backend!AK61="", "", Backend!AK61)</f>
        <v/>
      </c>
      <c r="AK34" t="str">
        <f>IF(Backend!AL61="", "", Backend!AL61)</f>
        <v/>
      </c>
      <c r="AL34" t="str">
        <f>IF(Backend!AM61="", "", Backend!AM61)</f>
        <v/>
      </c>
      <c r="AM34" t="str">
        <f>IF(Backend!AN61="", "", Backend!AN61)</f>
        <v/>
      </c>
      <c r="AN34" t="str">
        <f>IF(Backend!AO61="", "", Backend!AO61)</f>
        <v/>
      </c>
      <c r="AO34" t="str">
        <f>IF(Backend!AP61="", "", Backend!AP61)</f>
        <v/>
      </c>
      <c r="AP34" t="str">
        <f>IF(Backend!AQ61="", "", Backend!AQ61)</f>
        <v/>
      </c>
      <c r="AQ34" t="str">
        <f>IF(Backend!AR61="", "", Backend!AR61)</f>
        <v/>
      </c>
      <c r="AR34" t="str">
        <f>IF(Backend!AS61="", "", Backend!AS61)</f>
        <v/>
      </c>
      <c r="AS34" t="str">
        <f>IF(Backend!AT61="", "", Backend!AT61)</f>
        <v/>
      </c>
      <c r="AT34" t="str">
        <f>IF(Backend!AU61="", "", Backend!AU61)</f>
        <v/>
      </c>
      <c r="AU34" t="str">
        <f>IF(Backend!AV61="", "", Backend!AV61)</f>
        <v/>
      </c>
      <c r="AV34" t="str">
        <f>IF(Backend!AW61="", "", Backend!AW61)</f>
        <v/>
      </c>
      <c r="AW34" t="str">
        <f>IF(Backend!AX61="", "", Backend!AX61)</f>
        <v/>
      </c>
      <c r="AX34" t="str">
        <f>IF(Backend!AY61="", "", Backend!AY61)</f>
        <v/>
      </c>
      <c r="AY34" t="str">
        <f>IF(Backend!AZ61="", "", Backend!AZ61)</f>
        <v/>
      </c>
      <c r="AZ34" t="str">
        <f>IF(Backend!BA61="", "", Backend!BA61)</f>
        <v/>
      </c>
      <c r="BA34" t="str">
        <f>IF(Backend!BB61="", "", Backend!BB61)</f>
        <v/>
      </c>
      <c r="BB34" t="str">
        <f>IF(Backend!BC61="", "", Backend!BC61)</f>
        <v/>
      </c>
      <c r="BC34" t="str">
        <f>IF(Backend!BD61="", "", Backend!BD61)</f>
        <v/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/>
      <c r="B35" t="str">
        <f>IF(Backend!C62="", "", Backend!C62)</f>
        <v/>
      </c>
      <c r="C35" t="str">
        <f>IF(Backend!D62="", "", Backend!D62)</f>
        <v/>
      </c>
      <c r="D35" t="str">
        <f>IF(Backend!E62="", "", Backend!E62)</f>
        <v/>
      </c>
      <c r="E35" t="str">
        <f>IF(Backend!F62="", "", Backend!F62)</f>
        <v/>
      </c>
      <c r="F35" t="str">
        <f>IF(Backend!G62="", "", Backend!G62)</f>
        <v/>
      </c>
      <c r="G35" t="str">
        <f>IF(Backend!H62="", "", Backend!H62)</f>
        <v/>
      </c>
      <c r="H35" t="str">
        <f>IF(Backend!I62="", "", Backend!I62)</f>
        <v/>
      </c>
      <c r="I35" t="str">
        <f>IF(Backend!J62="", "", Backend!J62)</f>
        <v/>
      </c>
      <c r="J35" t="str">
        <f>IF(Backend!K62="", "", Backend!K62)</f>
        <v/>
      </c>
      <c r="K35" t="str">
        <f>IF(Backend!L62="", "", Backend!L62)</f>
        <v/>
      </c>
      <c r="L35" t="str">
        <f>IF(Backend!M62="", "", Backend!M62)</f>
        <v/>
      </c>
      <c r="M35" t="str">
        <f>IF(Backend!N62="", "", Backend!N62)</f>
        <v/>
      </c>
      <c r="N35" t="str">
        <f>IF(Backend!O62="", "", Backend!O62)</f>
        <v/>
      </c>
      <c r="O35" t="str">
        <f>IF(Backend!P62="", "", Backend!P62)</f>
        <v/>
      </c>
      <c r="P35" t="str">
        <f>IF(Backend!Q62="", "", Backend!Q62)</f>
        <v/>
      </c>
      <c r="Q35" t="str">
        <f>IF(Backend!R62="", "", Backend!R62)</f>
        <v/>
      </c>
      <c r="R35" t="str">
        <f>IF(Backend!S62="", "", Backend!S62)</f>
        <v/>
      </c>
      <c r="S35" t="str">
        <f>IF(Backend!T62="", "", Backend!T62)</f>
        <v/>
      </c>
      <c r="T35" t="str">
        <f>IF(Backend!U62="", "", Backend!U62)</f>
        <v/>
      </c>
      <c r="U35" t="str">
        <f>IF(Backend!V62="", "", Backend!V62)</f>
        <v/>
      </c>
      <c r="V35" t="str">
        <f>IF(Backend!W62="", "", Backend!W62)</f>
        <v/>
      </c>
      <c r="W35" t="str">
        <f>IF(Backend!X62="", "", Backend!X62)</f>
        <v/>
      </c>
      <c r="X35" t="str">
        <f>IF(Backend!Y62="", "", Backend!Y62)</f>
        <v/>
      </c>
      <c r="Y35" t="str">
        <f>IF(Backend!Z62="", "", Backend!Z62)</f>
        <v/>
      </c>
      <c r="Z35" t="str">
        <f>IF(Backend!AA62="", "", Backend!AA62)</f>
        <v/>
      </c>
      <c r="AA35" t="str">
        <f>IF(Backend!AB62="", "", Backend!AB62)</f>
        <v/>
      </c>
      <c r="AB35" t="str">
        <f>IF(Backend!AC62="", "", Backend!AC62)</f>
        <v/>
      </c>
      <c r="AC35" t="str">
        <f>IF(Backend!AD62="", "", Backend!AD62)</f>
        <v/>
      </c>
      <c r="AD35" t="str">
        <f>IF(Backend!AE62="", "", Backend!AE62)</f>
        <v/>
      </c>
      <c r="AE35" t="str">
        <f>IF(Backend!AF62="", "", Backend!AF62)</f>
        <v/>
      </c>
      <c r="AF35" t="str">
        <f>IF(Backend!AG62="", "", Backend!AG62)</f>
        <v/>
      </c>
      <c r="AG35" t="str">
        <f>IF(Backend!AH62="", "", Backend!AH62)</f>
        <v/>
      </c>
      <c r="AH35" t="str">
        <f>IF(Backend!AI62="", "", Backend!AI62)</f>
        <v/>
      </c>
      <c r="AI35" t="str">
        <f>IF(Backend!AJ62="", "", Backend!AJ62)</f>
        <v/>
      </c>
      <c r="AJ35" t="str">
        <f>IF(Backend!AK62="", "", Backend!AK62)</f>
        <v/>
      </c>
      <c r="AK35" t="str">
        <f>IF(Backend!AL62="", "", Backend!AL62)</f>
        <v/>
      </c>
      <c r="AL35" t="str">
        <f>IF(Backend!AM62="", "", Backend!AM62)</f>
        <v/>
      </c>
      <c r="AM35" t="str">
        <f>IF(Backend!AN62="", "", Backend!AN62)</f>
        <v/>
      </c>
      <c r="AN35" t="str">
        <f>IF(Backend!AO62="", "", Backend!AO62)</f>
        <v/>
      </c>
      <c r="AO35" t="str">
        <f>IF(Backend!AP62="", "", Backend!AP62)</f>
        <v/>
      </c>
      <c r="AP35" t="str">
        <f>IF(Backend!AQ62="", "", Backend!AQ62)</f>
        <v/>
      </c>
      <c r="AQ35" t="str">
        <f>IF(Backend!AR62="", "", Backend!AR62)</f>
        <v/>
      </c>
      <c r="AR35" t="str">
        <f>IF(Backend!AS62="", "", Backend!AS62)</f>
        <v/>
      </c>
      <c r="AS35" t="str">
        <f>IF(Backend!AT62="", "", Backend!AT62)</f>
        <v/>
      </c>
      <c r="AT35" t="str">
        <f>IF(Backend!AU62="", "", Backend!AU62)</f>
        <v/>
      </c>
      <c r="AU35" t="str">
        <f>IF(Backend!AV62="", "", Backend!AV62)</f>
        <v/>
      </c>
      <c r="AV35" t="str">
        <f>IF(Backend!AW62="", "", Backend!AW62)</f>
        <v/>
      </c>
      <c r="AW35" t="str">
        <f>IF(Backend!AX62="", "", Backend!AX62)</f>
        <v/>
      </c>
      <c r="AX35" t="str">
        <f>IF(Backend!AY62="", "", Backend!AY62)</f>
        <v/>
      </c>
      <c r="AY35" t="str">
        <f>IF(Backend!AZ62="", "", Backend!AZ62)</f>
        <v/>
      </c>
      <c r="AZ35" t="str">
        <f>IF(Backend!BA62="", "", Backend!BA62)</f>
        <v/>
      </c>
      <c r="BA35" t="str">
        <f>IF(Backend!BB62="", "", Backend!BB62)</f>
        <v/>
      </c>
      <c r="BB35" t="str">
        <f>IF(Backend!BC62="", "", Backend!BC62)</f>
        <v/>
      </c>
      <c r="BC35" t="str">
        <f>IF(Backend!BD62="", "", Backend!BD62)</f>
        <v/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/>
      <c r="B36" t="str">
        <f>IF(Backend!C63="", "", Backend!C63)</f>
        <v/>
      </c>
      <c r="C36" t="str">
        <f>IF(Backend!D63="", "", Backend!D63)</f>
        <v/>
      </c>
      <c r="D36" t="str">
        <f>IF(Backend!E63="", "", Backend!E63)</f>
        <v/>
      </c>
      <c r="E36" t="str">
        <f>IF(Backend!F63="", "", Backend!F63)</f>
        <v/>
      </c>
      <c r="F36" t="str">
        <f>IF(Backend!G63="", "", Backend!G63)</f>
        <v/>
      </c>
      <c r="G36" t="str">
        <f>IF(Backend!H63="", "", Backend!H63)</f>
        <v/>
      </c>
      <c r="H36" t="str">
        <f>IF(Backend!I63="", "", Backend!I63)</f>
        <v/>
      </c>
      <c r="I36" t="str">
        <f>IF(Backend!J63="", "", Backend!J63)</f>
        <v/>
      </c>
      <c r="J36" t="str">
        <f>IF(Backend!K63="", "", Backend!K63)</f>
        <v/>
      </c>
      <c r="K36" t="str">
        <f>IF(Backend!L63="", "", Backend!L63)</f>
        <v/>
      </c>
      <c r="L36" t="str">
        <f>IF(Backend!M63="", "", Backend!M63)</f>
        <v/>
      </c>
      <c r="M36" t="str">
        <f>IF(Backend!N63="", "", Backend!N63)</f>
        <v/>
      </c>
      <c r="N36" t="str">
        <f>IF(Backend!O63="", "", Backend!O63)</f>
        <v/>
      </c>
      <c r="O36" t="str">
        <f>IF(Backend!P63="", "", Backend!P63)</f>
        <v/>
      </c>
      <c r="P36" t="str">
        <f>IF(Backend!Q63="", "", Backend!Q63)</f>
        <v/>
      </c>
      <c r="Q36" t="str">
        <f>IF(Backend!R63="", "", Backend!R63)</f>
        <v/>
      </c>
      <c r="R36" t="str">
        <f>IF(Backend!S63="", "", Backend!S63)</f>
        <v/>
      </c>
      <c r="S36" t="str">
        <f>IF(Backend!T63="", "", Backend!T63)</f>
        <v/>
      </c>
      <c r="T36" t="str">
        <f>IF(Backend!U63="", "", Backend!U63)</f>
        <v/>
      </c>
      <c r="U36" t="str">
        <f>IF(Backend!V63="", "", Backend!V63)</f>
        <v/>
      </c>
      <c r="V36" t="str">
        <f>IF(Backend!W63="", "", Backend!W63)</f>
        <v/>
      </c>
      <c r="W36" t="str">
        <f>IF(Backend!X63="", "", Backend!X63)</f>
        <v/>
      </c>
      <c r="X36" t="str">
        <f>IF(Backend!Y63="", "", Backend!Y63)</f>
        <v/>
      </c>
      <c r="Y36" t="str">
        <f>IF(Backend!Z63="", "", Backend!Z63)</f>
        <v/>
      </c>
      <c r="Z36" t="str">
        <f>IF(Backend!AA63="", "", Backend!AA63)</f>
        <v/>
      </c>
      <c r="AA36" t="str">
        <f>IF(Backend!AB63="", "", Backend!AB63)</f>
        <v/>
      </c>
      <c r="AB36" t="str">
        <f>IF(Backend!AC63="", "", Backend!AC63)</f>
        <v/>
      </c>
      <c r="AC36" t="str">
        <f>IF(Backend!AD63="", "", Backend!AD63)</f>
        <v/>
      </c>
      <c r="AD36" t="str">
        <f>IF(Backend!AE63="", "", Backend!AE63)</f>
        <v/>
      </c>
      <c r="AE36" t="str">
        <f>IF(Backend!AF63="", "", Backend!AF63)</f>
        <v/>
      </c>
      <c r="AF36" t="str">
        <f>IF(Backend!AG63="", "", Backend!AG63)</f>
        <v/>
      </c>
      <c r="AG36" t="str">
        <f>IF(Backend!AH63="", "", Backend!AH63)</f>
        <v/>
      </c>
      <c r="AH36" t="str">
        <f>IF(Backend!AI63="", "", Backend!AI63)</f>
        <v/>
      </c>
      <c r="AI36" t="str">
        <f>IF(Backend!AJ63="", "", Backend!AJ63)</f>
        <v/>
      </c>
      <c r="AJ36" t="str">
        <f>IF(Backend!AK63="", "", Backend!AK63)</f>
        <v/>
      </c>
      <c r="AK36" t="str">
        <f>IF(Backend!AL63="", "", Backend!AL63)</f>
        <v/>
      </c>
      <c r="AL36" t="str">
        <f>IF(Backend!AM63="", "", Backend!AM63)</f>
        <v/>
      </c>
      <c r="AM36" t="str">
        <f>IF(Backend!AN63="", "", Backend!AN63)</f>
        <v/>
      </c>
      <c r="AN36" t="str">
        <f>IF(Backend!AO63="", "", Backend!AO63)</f>
        <v/>
      </c>
      <c r="AO36" t="str">
        <f>IF(Backend!AP63="", "", Backend!AP63)</f>
        <v/>
      </c>
      <c r="AP36" t="str">
        <f>IF(Backend!AQ63="", "", Backend!AQ63)</f>
        <v/>
      </c>
      <c r="AQ36" t="str">
        <f>IF(Backend!AR63="", "", Backend!AR63)</f>
        <v/>
      </c>
      <c r="AR36" t="str">
        <f>IF(Backend!AS63="", "", Backend!AS63)</f>
        <v/>
      </c>
      <c r="AS36" t="str">
        <f>IF(Backend!AT63="", "", Backend!AT63)</f>
        <v/>
      </c>
      <c r="AT36" t="str">
        <f>IF(Backend!AU63="", "", Backend!AU63)</f>
        <v/>
      </c>
      <c r="AU36" t="str">
        <f>IF(Backend!AV63="", "", Backend!AV63)</f>
        <v/>
      </c>
      <c r="AV36" t="str">
        <f>IF(Backend!AW63="", "", Backend!AW63)</f>
        <v/>
      </c>
      <c r="AW36" t="str">
        <f>IF(Backend!AX63="", "", Backend!AX63)</f>
        <v/>
      </c>
      <c r="AX36" t="str">
        <f>IF(Backend!AY63="", "", Backend!AY63)</f>
        <v/>
      </c>
      <c r="AY36" t="str">
        <f>IF(Backend!AZ63="", "", Backend!AZ63)</f>
        <v/>
      </c>
      <c r="AZ36" t="str">
        <f>IF(Backend!BA63="", "", Backend!BA63)</f>
        <v/>
      </c>
      <c r="BA36" t="str">
        <f>IF(Backend!BB63="", "", Backend!BB63)</f>
        <v/>
      </c>
      <c r="BB36" t="str">
        <f>IF(Backend!BC63="", "", Backend!BC63)</f>
        <v/>
      </c>
      <c r="BC36" t="str">
        <f>IF(Backend!BD63="", "", Backend!BD63)</f>
        <v/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/>
      <c r="B37" t="str">
        <f>IF(Backend!C64="", "", Backend!C64)</f>
        <v/>
      </c>
      <c r="C37" t="str">
        <f>IF(Backend!D64="", "", Backend!D64)</f>
        <v/>
      </c>
      <c r="D37" t="str">
        <f>IF(Backend!E64="", "", Backend!E64)</f>
        <v/>
      </c>
      <c r="E37" t="str">
        <f>IF(Backend!F64="", "", Backend!F64)</f>
        <v/>
      </c>
      <c r="F37" t="str">
        <f>IF(Backend!G64="", "", Backend!G64)</f>
        <v/>
      </c>
      <c r="G37" t="str">
        <f>IF(Backend!H64="", "", Backend!H64)</f>
        <v/>
      </c>
      <c r="H37" t="str">
        <f>IF(Backend!I64="", "", Backend!I64)</f>
        <v/>
      </c>
      <c r="I37" t="str">
        <f>IF(Backend!J64="", "", Backend!J64)</f>
        <v/>
      </c>
      <c r="J37" t="str">
        <f>IF(Backend!K64="", "", Backend!K64)</f>
        <v/>
      </c>
      <c r="K37" t="str">
        <f>IF(Backend!L64="", "", Backend!L64)</f>
        <v/>
      </c>
      <c r="L37" t="str">
        <f>IF(Backend!M64="", "", Backend!M64)</f>
        <v/>
      </c>
      <c r="M37" t="str">
        <f>IF(Backend!N64="", "", Backend!N64)</f>
        <v/>
      </c>
      <c r="N37" t="str">
        <f>IF(Backend!O64="", "", Backend!O64)</f>
        <v/>
      </c>
      <c r="O37" t="str">
        <f>IF(Backend!P64="", "", Backend!P64)</f>
        <v/>
      </c>
      <c r="P37" t="str">
        <f>IF(Backend!Q64="", "", Backend!Q64)</f>
        <v/>
      </c>
      <c r="Q37" t="str">
        <f>IF(Backend!R64="", "", Backend!R64)</f>
        <v/>
      </c>
      <c r="R37" t="str">
        <f>IF(Backend!S64="", "", Backend!S64)</f>
        <v/>
      </c>
      <c r="S37" t="str">
        <f>IF(Backend!T64="", "", Backend!T64)</f>
        <v/>
      </c>
      <c r="T37" t="str">
        <f>IF(Backend!U64="", "", Backend!U64)</f>
        <v/>
      </c>
      <c r="U37" t="str">
        <f>IF(Backend!V64="", "", Backend!V64)</f>
        <v/>
      </c>
      <c r="V37" t="str">
        <f>IF(Backend!W64="", "", Backend!W64)</f>
        <v/>
      </c>
      <c r="W37" t="str">
        <f>IF(Backend!X64="", "", Backend!X64)</f>
        <v/>
      </c>
      <c r="X37" t="str">
        <f>IF(Backend!Y64="", "", Backend!Y64)</f>
        <v/>
      </c>
      <c r="Y37" t="str">
        <f>IF(Backend!Z64="", "", Backend!Z64)</f>
        <v/>
      </c>
      <c r="Z37" t="str">
        <f>IF(Backend!AA64="", "", Backend!AA64)</f>
        <v/>
      </c>
      <c r="AA37" t="str">
        <f>IF(Backend!AB64="", "", Backend!AB64)</f>
        <v/>
      </c>
      <c r="AB37" t="str">
        <f>IF(Backend!AC64="", "", Backend!AC64)</f>
        <v/>
      </c>
      <c r="AC37" t="str">
        <f>IF(Backend!AD64="", "", Backend!AD64)</f>
        <v/>
      </c>
      <c r="AD37" t="str">
        <f>IF(Backend!AE64="", "", Backend!AE64)</f>
        <v/>
      </c>
      <c r="AE37" t="str">
        <f>IF(Backend!AF64="", "", Backend!AF64)</f>
        <v/>
      </c>
      <c r="AF37" t="str">
        <f>IF(Backend!AG64="", "", Backend!AG64)</f>
        <v/>
      </c>
      <c r="AG37" t="str">
        <f>IF(Backend!AH64="", "", Backend!AH64)</f>
        <v/>
      </c>
      <c r="AH37" t="str">
        <f>IF(Backend!AI64="", "", Backend!AI64)</f>
        <v/>
      </c>
      <c r="AI37" t="str">
        <f>IF(Backend!AJ64="", "", Backend!AJ64)</f>
        <v/>
      </c>
      <c r="AJ37" t="str">
        <f>IF(Backend!AK64="", "", Backend!AK64)</f>
        <v/>
      </c>
      <c r="AK37" t="str">
        <f>IF(Backend!AL64="", "", Backend!AL64)</f>
        <v/>
      </c>
      <c r="AL37" t="str">
        <f>IF(Backend!AM64="", "", Backend!AM64)</f>
        <v/>
      </c>
      <c r="AM37" t="str">
        <f>IF(Backend!AN64="", "", Backend!AN64)</f>
        <v/>
      </c>
      <c r="AN37" t="str">
        <f>IF(Backend!AO64="", "", Backend!AO64)</f>
        <v/>
      </c>
      <c r="AO37" t="str">
        <f>IF(Backend!AP64="", "", Backend!AP64)</f>
        <v/>
      </c>
      <c r="AP37" t="str">
        <f>IF(Backend!AQ64="", "", Backend!AQ64)</f>
        <v/>
      </c>
      <c r="AQ37" t="str">
        <f>IF(Backend!AR64="", "", Backend!AR64)</f>
        <v/>
      </c>
      <c r="AR37" t="str">
        <f>IF(Backend!AS64="", "", Backend!AS64)</f>
        <v/>
      </c>
      <c r="AS37" t="str">
        <f>IF(Backend!AT64="", "", Backend!AT64)</f>
        <v/>
      </c>
      <c r="AT37" t="str">
        <f>IF(Backend!AU64="", "", Backend!AU64)</f>
        <v/>
      </c>
      <c r="AU37" t="str">
        <f>IF(Backend!AV64="", "", Backend!AV64)</f>
        <v/>
      </c>
      <c r="AV37" t="str">
        <f>IF(Backend!AW64="", "", Backend!AW64)</f>
        <v/>
      </c>
      <c r="AW37" t="str">
        <f>IF(Backend!AX64="", "", Backend!AX64)</f>
        <v/>
      </c>
      <c r="AX37" t="str">
        <f>IF(Backend!AY64="", "", Backend!AY64)</f>
        <v/>
      </c>
      <c r="AY37" t="str">
        <f>IF(Backend!AZ64="", "", Backend!AZ64)</f>
        <v/>
      </c>
      <c r="AZ37" t="str">
        <f>IF(Backend!BA64="", "", Backend!BA64)</f>
        <v/>
      </c>
      <c r="BA37" t="str">
        <f>IF(Backend!BB64="", "", Backend!BB64)</f>
        <v/>
      </c>
      <c r="BB37" t="str">
        <f>IF(Backend!BC64="", "", Backend!BC64)</f>
        <v/>
      </c>
      <c r="BC37" t="str">
        <f>IF(Backend!BD64="", "", Backend!BD64)</f>
        <v/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/>
      <c r="B38" t="str">
        <f>IF(Backend!C65="", "", Backend!C65)</f>
        <v/>
      </c>
      <c r="C38" t="str">
        <f>IF(Backend!D65="", "", Backend!D65)</f>
        <v/>
      </c>
      <c r="D38" t="str">
        <f>IF(Backend!E65="", "", Backend!E65)</f>
        <v/>
      </c>
      <c r="E38" t="str">
        <f>IF(Backend!F65="", "", Backend!F65)</f>
        <v/>
      </c>
      <c r="F38" t="str">
        <f>IF(Backend!G65="", "", Backend!G65)</f>
        <v/>
      </c>
      <c r="G38" t="str">
        <f>IF(Backend!H65="", "", Backend!H65)</f>
        <v/>
      </c>
      <c r="H38" t="str">
        <f>IF(Backend!I65="", "", Backend!I65)</f>
        <v/>
      </c>
      <c r="I38" t="str">
        <f>IF(Backend!J65="", "", Backend!J65)</f>
        <v/>
      </c>
      <c r="J38" t="str">
        <f>IF(Backend!K65="", "", Backend!K65)</f>
        <v/>
      </c>
      <c r="K38" t="str">
        <f>IF(Backend!L65="", "", Backend!L65)</f>
        <v/>
      </c>
      <c r="L38" t="str">
        <f>IF(Backend!M65="", "", Backend!M65)</f>
        <v/>
      </c>
      <c r="M38" t="str">
        <f>IF(Backend!N65="", "", Backend!N65)</f>
        <v/>
      </c>
      <c r="N38" t="str">
        <f>IF(Backend!O65="", "", Backend!O65)</f>
        <v/>
      </c>
      <c r="O38" t="str">
        <f>IF(Backend!P65="", "", Backend!P65)</f>
        <v/>
      </c>
      <c r="P38" t="str">
        <f>IF(Backend!Q65="", "", Backend!Q65)</f>
        <v/>
      </c>
      <c r="Q38" t="str">
        <f>IF(Backend!R65="", "", Backend!R65)</f>
        <v/>
      </c>
      <c r="R38" t="str">
        <f>IF(Backend!S65="", "", Backend!S65)</f>
        <v/>
      </c>
      <c r="S38" t="str">
        <f>IF(Backend!T65="", "", Backend!T65)</f>
        <v/>
      </c>
      <c r="T38" t="str">
        <f>IF(Backend!U65="", "", Backend!U65)</f>
        <v/>
      </c>
      <c r="U38" t="str">
        <f>IF(Backend!V65="", "", Backend!V65)</f>
        <v/>
      </c>
      <c r="V38" t="str">
        <f>IF(Backend!W65="", "", Backend!W65)</f>
        <v/>
      </c>
      <c r="W38" t="str">
        <f>IF(Backend!X65="", "", Backend!X65)</f>
        <v/>
      </c>
      <c r="X38" t="str">
        <f>IF(Backend!Y65="", "", Backend!Y65)</f>
        <v/>
      </c>
      <c r="Y38" t="str">
        <f>IF(Backend!Z65="", "", Backend!Z65)</f>
        <v/>
      </c>
      <c r="Z38" t="str">
        <f>IF(Backend!AA65="", "", Backend!AA65)</f>
        <v/>
      </c>
      <c r="AA38" t="str">
        <f>IF(Backend!AB65="", "", Backend!AB65)</f>
        <v/>
      </c>
      <c r="AB38" t="str">
        <f>IF(Backend!AC65="", "", Backend!AC65)</f>
        <v/>
      </c>
      <c r="AC38" t="str">
        <f>IF(Backend!AD65="", "", Backend!AD65)</f>
        <v/>
      </c>
      <c r="AD38" t="str">
        <f>IF(Backend!AE65="", "", Backend!AE65)</f>
        <v/>
      </c>
      <c r="AE38" t="str">
        <f>IF(Backend!AF65="", "", Backend!AF65)</f>
        <v/>
      </c>
      <c r="AF38" t="str">
        <f>IF(Backend!AG65="", "", Backend!AG65)</f>
        <v/>
      </c>
      <c r="AG38" t="str">
        <f>IF(Backend!AH65="", "", Backend!AH65)</f>
        <v/>
      </c>
      <c r="AH38" t="str">
        <f>IF(Backend!AI65="", "", Backend!AI65)</f>
        <v/>
      </c>
      <c r="AI38" t="str">
        <f>IF(Backend!AJ65="", "", Backend!AJ65)</f>
        <v/>
      </c>
      <c r="AJ38" t="str">
        <f>IF(Backend!AK65="", "", Backend!AK65)</f>
        <v/>
      </c>
      <c r="AK38" t="str">
        <f>IF(Backend!AL65="", "", Backend!AL65)</f>
        <v/>
      </c>
      <c r="AL38" t="str">
        <f>IF(Backend!AM65="", "", Backend!AM65)</f>
        <v/>
      </c>
      <c r="AM38" t="str">
        <f>IF(Backend!AN65="", "", Backend!AN65)</f>
        <v/>
      </c>
      <c r="AN38" t="str">
        <f>IF(Backend!AO65="", "", Backend!AO65)</f>
        <v/>
      </c>
      <c r="AO38" t="str">
        <f>IF(Backend!AP65="", "", Backend!AP65)</f>
        <v/>
      </c>
      <c r="AP38" t="str">
        <f>IF(Backend!AQ65="", "", Backend!AQ65)</f>
        <v/>
      </c>
      <c r="AQ38" t="str">
        <f>IF(Backend!AR65="", "", Backend!AR65)</f>
        <v/>
      </c>
      <c r="AR38" t="str">
        <f>IF(Backend!AS65="", "", Backend!AS65)</f>
        <v/>
      </c>
      <c r="AS38" t="str">
        <f>IF(Backend!AT65="", "", Backend!AT65)</f>
        <v/>
      </c>
      <c r="AT38" t="str">
        <f>IF(Backend!AU65="", "", Backend!AU65)</f>
        <v/>
      </c>
      <c r="AU38" t="str">
        <f>IF(Backend!AV65="", "", Backend!AV65)</f>
        <v/>
      </c>
      <c r="AV38" t="str">
        <f>IF(Backend!AW65="", "", Backend!AW65)</f>
        <v/>
      </c>
      <c r="AW38" t="str">
        <f>IF(Backend!AX65="", "", Backend!AX65)</f>
        <v/>
      </c>
      <c r="AX38" t="str">
        <f>IF(Backend!AY65="", "", Backend!AY65)</f>
        <v/>
      </c>
      <c r="AY38" t="str">
        <f>IF(Backend!AZ65="", "", Backend!AZ65)</f>
        <v/>
      </c>
      <c r="AZ38" t="str">
        <f>IF(Backend!BA65="", "", Backend!BA65)</f>
        <v/>
      </c>
      <c r="BA38" t="str">
        <f>IF(Backend!BB65="", "", Backend!BB65)</f>
        <v/>
      </c>
      <c r="BB38" t="str">
        <f>IF(Backend!BC65="", "", Backend!BC65)</f>
        <v/>
      </c>
      <c r="BC38" t="str">
        <f>IF(Backend!BD65="", "", Backend!BD65)</f>
        <v/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/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  <c r="AH39" t="str">
        <f>IF(Backend!AI66="", "", Backend!AI66)</f>
        <v/>
      </c>
      <c r="AI39" t="str">
        <f>IF(Backend!AJ66="", "", Backend!AJ66)</f>
        <v/>
      </c>
      <c r="AJ39" t="str">
        <f>IF(Backend!AK66="", "", Backend!AK66)</f>
        <v/>
      </c>
      <c r="AK39" t="str">
        <f>IF(Backend!AL66="", "", Backend!AL66)</f>
        <v/>
      </c>
      <c r="AL39" t="str">
        <f>IF(Backend!AM66="", "", Backend!AM66)</f>
        <v/>
      </c>
      <c r="AM39" t="str">
        <f>IF(Backend!AN66="", "", Backend!AN66)</f>
        <v/>
      </c>
      <c r="AN39" t="str">
        <f>IF(Backend!AO66="", "", Backend!AO66)</f>
        <v/>
      </c>
      <c r="AO39" t="str">
        <f>IF(Backend!AP66="", "", Backend!AP66)</f>
        <v/>
      </c>
      <c r="AP39" t="str">
        <f>IF(Backend!AQ66="", "", Backend!AQ66)</f>
        <v/>
      </c>
      <c r="AQ39" t="str">
        <f>IF(Backend!AR66="", "", Backend!AR66)</f>
        <v/>
      </c>
      <c r="AR39" t="str">
        <f>IF(Backend!AS66="", "", Backend!AS66)</f>
        <v/>
      </c>
      <c r="AS39" t="str">
        <f>IF(Backend!AT66="", "", Backend!AT66)</f>
        <v/>
      </c>
      <c r="AT39" t="str">
        <f>IF(Backend!AU66="", "", Backend!AU66)</f>
        <v/>
      </c>
      <c r="AU39" t="str">
        <f>IF(Backend!AV66="", "", Backend!AV66)</f>
        <v/>
      </c>
      <c r="AV39" t="str">
        <f>IF(Backend!AW66="", "", Backend!AW66)</f>
        <v/>
      </c>
      <c r="AW39" t="str">
        <f>IF(Backend!AX66="", "", Backend!AX66)</f>
        <v/>
      </c>
      <c r="AX39" t="str">
        <f>IF(Backend!AY66="", "", Backend!AY66)</f>
        <v/>
      </c>
      <c r="AY39" t="str">
        <f>IF(Backend!AZ66="", "", Backend!AZ66)</f>
        <v/>
      </c>
      <c r="AZ39" t="str">
        <f>IF(Backend!BA66="", "", Backend!BA66)</f>
        <v/>
      </c>
      <c r="BA39" t="str">
        <f>IF(Backend!BB66="", "", Backend!BB66)</f>
        <v/>
      </c>
      <c r="BB39" t="str">
        <f>IF(Backend!BC66="", "", Backend!BC66)</f>
        <v/>
      </c>
      <c r="BC39" t="str">
        <f>IF(Backend!BD66="", "", Backend!BD66)</f>
        <v/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/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  <c r="AH40" t="str">
        <f>IF(Backend!AI67="", "", Backend!AI67)</f>
        <v/>
      </c>
      <c r="AI40" t="str">
        <f>IF(Backend!AJ67="", "", Backend!AJ67)</f>
        <v/>
      </c>
      <c r="AJ40" t="str">
        <f>IF(Backend!AK67="", "", Backend!AK67)</f>
        <v/>
      </c>
      <c r="AK40" t="str">
        <f>IF(Backend!AL67="", "", Backend!AL67)</f>
        <v/>
      </c>
      <c r="AL40" t="str">
        <f>IF(Backend!AM67="", "", Backend!AM67)</f>
        <v/>
      </c>
      <c r="AM40" t="str">
        <f>IF(Backend!AN67="", "", Backend!AN67)</f>
        <v/>
      </c>
      <c r="AN40" t="str">
        <f>IF(Backend!AO67="", "", Backend!AO67)</f>
        <v/>
      </c>
      <c r="AO40" t="str">
        <f>IF(Backend!AP67="", "", Backend!AP67)</f>
        <v/>
      </c>
      <c r="AP40" t="str">
        <f>IF(Backend!AQ67="", "", Backend!AQ67)</f>
        <v/>
      </c>
      <c r="AQ40" t="str">
        <f>IF(Backend!AR67="", "", Backend!AR67)</f>
        <v/>
      </c>
      <c r="AR40" t="str">
        <f>IF(Backend!AS67="", "", Backend!AS67)</f>
        <v/>
      </c>
      <c r="AS40" t="str">
        <f>IF(Backend!AT67="", "", Backend!AT67)</f>
        <v/>
      </c>
      <c r="AT40" t="str">
        <f>IF(Backend!AU67="", "", Backend!AU67)</f>
        <v/>
      </c>
      <c r="AU40" t="str">
        <f>IF(Backend!AV67="", "", Backend!AV67)</f>
        <v/>
      </c>
      <c r="AV40" t="str">
        <f>IF(Backend!AW67="", "", Backend!AW67)</f>
        <v/>
      </c>
      <c r="AW40" t="str">
        <f>IF(Backend!AX67="", "", Backend!AX67)</f>
        <v/>
      </c>
      <c r="AX40" t="str">
        <f>IF(Backend!AY67="", "", Backend!AY67)</f>
        <v/>
      </c>
      <c r="AY40" t="str">
        <f>IF(Backend!AZ67="", "", Backend!AZ67)</f>
        <v/>
      </c>
      <c r="AZ40" t="str">
        <f>IF(Backend!BA67="", "", Backend!BA67)</f>
        <v/>
      </c>
      <c r="BA40" t="str">
        <f>IF(Backend!BB67="", "", Backend!BB67)</f>
        <v/>
      </c>
      <c r="BB40" t="str">
        <f>IF(Backend!BC67="", "", Backend!BC67)</f>
        <v/>
      </c>
      <c r="BC40" t="str">
        <f>IF(Backend!BD67="", "", Backend!BD67)</f>
        <v/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/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  <c r="AH41" t="str">
        <f>IF(Backend!AI68="", "", Backend!AI68)</f>
        <v/>
      </c>
      <c r="AI41" t="str">
        <f>IF(Backend!AJ68="", "", Backend!AJ68)</f>
        <v/>
      </c>
      <c r="AJ41" t="str">
        <f>IF(Backend!AK68="", "", Backend!AK68)</f>
        <v/>
      </c>
      <c r="AK41" t="str">
        <f>IF(Backend!AL68="", "", Backend!AL68)</f>
        <v/>
      </c>
      <c r="AL41" t="str">
        <f>IF(Backend!AM68="", "", Backend!AM68)</f>
        <v/>
      </c>
      <c r="AM41" t="str">
        <f>IF(Backend!AN68="", "", Backend!AN68)</f>
        <v/>
      </c>
      <c r="AN41" t="str">
        <f>IF(Backend!AO68="", "", Backend!AO68)</f>
        <v/>
      </c>
      <c r="AO41" t="str">
        <f>IF(Backend!AP68="", "", Backend!AP68)</f>
        <v/>
      </c>
      <c r="AP41" t="str">
        <f>IF(Backend!AQ68="", "", Backend!AQ68)</f>
        <v/>
      </c>
      <c r="AQ41" t="str">
        <f>IF(Backend!AR68="", "", Backend!AR68)</f>
        <v/>
      </c>
      <c r="AR41" t="str">
        <f>IF(Backend!AS68="", "", Backend!AS68)</f>
        <v/>
      </c>
      <c r="AS41" t="str">
        <f>IF(Backend!AT68="", "", Backend!AT68)</f>
        <v/>
      </c>
      <c r="AT41" t="str">
        <f>IF(Backend!AU68="", "", Backend!AU68)</f>
        <v/>
      </c>
      <c r="AU41" t="str">
        <f>IF(Backend!AV68="", "", Backend!AV68)</f>
        <v/>
      </c>
      <c r="AV41" t="str">
        <f>IF(Backend!AW68="", "", Backend!AW68)</f>
        <v/>
      </c>
      <c r="AW41" t="str">
        <f>IF(Backend!AX68="", "", Backend!AX68)</f>
        <v/>
      </c>
      <c r="AX41" t="str">
        <f>IF(Backend!AY68="", "", Backend!AY68)</f>
        <v/>
      </c>
      <c r="AY41" t="str">
        <f>IF(Backend!AZ68="", "", Backend!AZ68)</f>
        <v/>
      </c>
      <c r="AZ41" t="str">
        <f>IF(Backend!BA68="", "", Backend!BA68)</f>
        <v/>
      </c>
      <c r="BA41" t="str">
        <f>IF(Backend!BB68="", "", Backend!BB68)</f>
        <v/>
      </c>
      <c r="BB41" t="str">
        <f>IF(Backend!BC68="", "", Backend!BC68)</f>
        <v/>
      </c>
      <c r="BC41" t="str">
        <f>IF(Backend!BD68="", "", Backend!BD68)</f>
        <v/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/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  <c r="AH42" t="str">
        <f>IF(Backend!AI69="", "", Backend!AI69)</f>
        <v/>
      </c>
      <c r="AI42" t="str">
        <f>IF(Backend!AJ69="", "", Backend!AJ69)</f>
        <v/>
      </c>
      <c r="AJ42" t="str">
        <f>IF(Backend!AK69="", "", Backend!AK69)</f>
        <v/>
      </c>
      <c r="AK42" t="str">
        <f>IF(Backend!AL69="", "", Backend!AL69)</f>
        <v/>
      </c>
      <c r="AL42" t="str">
        <f>IF(Backend!AM69="", "", Backend!AM69)</f>
        <v/>
      </c>
      <c r="AM42" t="str">
        <f>IF(Backend!AN69="", "", Backend!AN69)</f>
        <v/>
      </c>
      <c r="AN42" t="str">
        <f>IF(Backend!AO69="", "", Backend!AO69)</f>
        <v/>
      </c>
      <c r="AO42" t="str">
        <f>IF(Backend!AP69="", "", Backend!AP69)</f>
        <v/>
      </c>
      <c r="AP42" t="str">
        <f>IF(Backend!AQ69="", "", Backend!AQ69)</f>
        <v/>
      </c>
      <c r="AQ42" t="str">
        <f>IF(Backend!AR69="", "", Backend!AR69)</f>
        <v/>
      </c>
      <c r="AR42" t="str">
        <f>IF(Backend!AS69="", "", Backend!AS69)</f>
        <v/>
      </c>
      <c r="AS42" t="str">
        <f>IF(Backend!AT69="", "", Backend!AT69)</f>
        <v/>
      </c>
      <c r="AT42" t="str">
        <f>IF(Backend!AU69="", "", Backend!AU69)</f>
        <v/>
      </c>
      <c r="AU42" t="str">
        <f>IF(Backend!AV69="", "", Backend!AV69)</f>
        <v/>
      </c>
      <c r="AV42" t="str">
        <f>IF(Backend!AW69="", "", Backend!AW69)</f>
        <v/>
      </c>
      <c r="AW42" t="str">
        <f>IF(Backend!AX69="", "", Backend!AX69)</f>
        <v/>
      </c>
      <c r="AX42" t="str">
        <f>IF(Backend!AY69="", "", Backend!AY69)</f>
        <v/>
      </c>
      <c r="AY42" t="str">
        <f>IF(Backend!AZ69="", "", Backend!AZ69)</f>
        <v/>
      </c>
      <c r="AZ42" t="str">
        <f>IF(Backend!BA69="", "", Backend!BA69)</f>
        <v/>
      </c>
      <c r="BA42" t="str">
        <f>IF(Backend!BB69="", "", Backend!BB69)</f>
        <v/>
      </c>
      <c r="BB42" t="str">
        <f>IF(Backend!BC69="", "", Backend!BC69)</f>
        <v/>
      </c>
      <c r="BC42" t="str">
        <f>IF(Backend!BD69="", "", Backend!BD69)</f>
        <v/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/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  <c r="AH43" t="str">
        <f>IF(Backend!AI70="", "", Backend!AI70)</f>
        <v/>
      </c>
      <c r="AI43" t="str">
        <f>IF(Backend!AJ70="", "", Backend!AJ70)</f>
        <v/>
      </c>
      <c r="AJ43" t="str">
        <f>IF(Backend!AK70="", "", Backend!AK70)</f>
        <v/>
      </c>
      <c r="AK43" t="str">
        <f>IF(Backend!AL70="", "", Backend!AL70)</f>
        <v/>
      </c>
      <c r="AL43" t="str">
        <f>IF(Backend!AM70="", "", Backend!AM70)</f>
        <v/>
      </c>
      <c r="AM43" t="str">
        <f>IF(Backend!AN70="", "", Backend!AN70)</f>
        <v/>
      </c>
      <c r="AN43" t="str">
        <f>IF(Backend!AO70="", "", Backend!AO70)</f>
        <v/>
      </c>
      <c r="AO43" t="str">
        <f>IF(Backend!AP70="", "", Backend!AP70)</f>
        <v/>
      </c>
      <c r="AP43" t="str">
        <f>IF(Backend!AQ70="", "", Backend!AQ70)</f>
        <v/>
      </c>
      <c r="AQ43" t="str">
        <f>IF(Backend!AR70="", "", Backend!AR70)</f>
        <v/>
      </c>
      <c r="AR43" t="str">
        <f>IF(Backend!AS70="", "", Backend!AS70)</f>
        <v/>
      </c>
      <c r="AS43" t="str">
        <f>IF(Backend!AT70="", "", Backend!AT70)</f>
        <v/>
      </c>
      <c r="AT43" t="str">
        <f>IF(Backend!AU70="", "", Backend!AU70)</f>
        <v/>
      </c>
      <c r="AU43" t="str">
        <f>IF(Backend!AV70="", "", Backend!AV70)</f>
        <v/>
      </c>
      <c r="AV43" t="str">
        <f>IF(Backend!AW70="", "", Backend!AW70)</f>
        <v/>
      </c>
      <c r="AW43" t="str">
        <f>IF(Backend!AX70="", "", Backend!AX70)</f>
        <v/>
      </c>
      <c r="AX43" t="str">
        <f>IF(Backend!AY70="", "", Backend!AY70)</f>
        <v/>
      </c>
      <c r="AY43" t="str">
        <f>IF(Backend!AZ70="", "", Backend!AZ70)</f>
        <v/>
      </c>
      <c r="AZ43" t="str">
        <f>IF(Backend!BA70="", "", Backend!BA70)</f>
        <v/>
      </c>
      <c r="BA43" t="str">
        <f>IF(Backend!BB70="", "", Backend!BB70)</f>
        <v/>
      </c>
      <c r="BB43" t="str">
        <f>IF(Backend!BC70="", "", Backend!BC70)</f>
        <v/>
      </c>
      <c r="BC43" t="str">
        <f>IF(Backend!BD70="", "", Backend!BD70)</f>
        <v/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  <c r="AH44" t="str">
        <f>IF(Backend!AI71="", "", Backend!AI71)</f>
        <v/>
      </c>
      <c r="AI44" t="str">
        <f>IF(Backend!AJ71="", "", Backend!AJ71)</f>
        <v/>
      </c>
      <c r="AJ44" t="str">
        <f>IF(Backend!AK71="", "", Backend!AK71)</f>
        <v/>
      </c>
      <c r="AK44" t="str">
        <f>IF(Backend!AL71="", "", Backend!AL71)</f>
        <v/>
      </c>
      <c r="AL44" t="str">
        <f>IF(Backend!AM71="", "", Backend!AM71)</f>
        <v/>
      </c>
      <c r="AM44" t="str">
        <f>IF(Backend!AN71="", "", Backend!AN71)</f>
        <v/>
      </c>
      <c r="AN44" t="str">
        <f>IF(Backend!AO71="", "", Backend!AO71)</f>
        <v/>
      </c>
      <c r="AO44" t="str">
        <f>IF(Backend!AP71="", "", Backend!AP71)</f>
        <v/>
      </c>
      <c r="AP44" t="str">
        <f>IF(Backend!AQ71="", "", Backend!AQ71)</f>
        <v/>
      </c>
      <c r="AQ44" t="str">
        <f>IF(Backend!AR71="", "", Backend!AR71)</f>
        <v/>
      </c>
      <c r="AR44" t="str">
        <f>IF(Backend!AS71="", "", Backend!AS71)</f>
        <v/>
      </c>
      <c r="AS44" t="str">
        <f>IF(Backend!AT71="", "", Backend!AT71)</f>
        <v/>
      </c>
      <c r="AT44" t="str">
        <f>IF(Backend!AU71="", "", Backend!AU71)</f>
        <v/>
      </c>
      <c r="AU44" t="str">
        <f>IF(Backend!AV71="", "", Backend!AV71)</f>
        <v/>
      </c>
      <c r="AV44" t="str">
        <f>IF(Backend!AW71="", "", Backend!AW71)</f>
        <v/>
      </c>
      <c r="AW44" t="str">
        <f>IF(Backend!AX71="", "", Backend!AX71)</f>
        <v/>
      </c>
      <c r="AX44" t="str">
        <f>IF(Backend!AY71="", "", Backend!AY71)</f>
        <v/>
      </c>
      <c r="AY44" t="str">
        <f>IF(Backend!AZ71="", "", Backend!AZ71)</f>
        <v/>
      </c>
      <c r="AZ44" t="str">
        <f>IF(Backend!BA71="", "", Backend!BA71)</f>
        <v/>
      </c>
      <c r="BA44" t="str">
        <f>IF(Backend!BB71="", "", Backend!BB71)</f>
        <v/>
      </c>
      <c r="BB44" t="str">
        <f>IF(Backend!BC71="", "", Backend!BC71)</f>
        <v/>
      </c>
      <c r="BC44" t="str">
        <f>IF(Backend!BD71="", "", Backend!BD71)</f>
        <v/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  <c r="AH45" t="str">
        <f>IF(Backend!AI72="", "", Backend!AI72)</f>
        <v/>
      </c>
      <c r="AI45" t="str">
        <f>IF(Backend!AJ72="", "", Backend!AJ72)</f>
        <v/>
      </c>
      <c r="AJ45" t="str">
        <f>IF(Backend!AK72="", "", Backend!AK72)</f>
        <v/>
      </c>
      <c r="AK45" t="str">
        <f>IF(Backend!AL72="", "", Backend!AL72)</f>
        <v/>
      </c>
      <c r="AL45" t="str">
        <f>IF(Backend!AM72="", "", Backend!AM72)</f>
        <v/>
      </c>
      <c r="AM45" t="str">
        <f>IF(Backend!AN72="", "", Backend!AN72)</f>
        <v/>
      </c>
      <c r="AN45" t="str">
        <f>IF(Backend!AO72="", "", Backend!AO72)</f>
        <v/>
      </c>
      <c r="AO45" t="str">
        <f>IF(Backend!AP72="", "", Backend!AP72)</f>
        <v/>
      </c>
      <c r="AP45" t="str">
        <f>IF(Backend!AQ72="", "", Backend!AQ72)</f>
        <v/>
      </c>
      <c r="AQ45" t="str">
        <f>IF(Backend!AR72="", "", Backend!AR72)</f>
        <v/>
      </c>
      <c r="AR45" t="str">
        <f>IF(Backend!AS72="", "", Backend!AS72)</f>
        <v/>
      </c>
      <c r="AS45" t="str">
        <f>IF(Backend!AT72="", "", Backend!AT72)</f>
        <v/>
      </c>
      <c r="AT45" t="str">
        <f>IF(Backend!AU72="", "", Backend!AU72)</f>
        <v/>
      </c>
      <c r="AU45" t="str">
        <f>IF(Backend!AV72="", "", Backend!AV72)</f>
        <v/>
      </c>
      <c r="AV45" t="str">
        <f>IF(Backend!AW72="", "", Backend!AW72)</f>
        <v/>
      </c>
      <c r="AW45" t="str">
        <f>IF(Backend!AX72="", "", Backend!AX72)</f>
        <v/>
      </c>
      <c r="AX45" t="str">
        <f>IF(Backend!AY72="", "", Backend!AY72)</f>
        <v/>
      </c>
      <c r="AY45" t="str">
        <f>IF(Backend!AZ72="", "", Backend!AZ72)</f>
        <v/>
      </c>
      <c r="AZ45" t="str">
        <f>IF(Backend!BA72="", "", Backend!BA72)</f>
        <v/>
      </c>
      <c r="BA45" t="str">
        <f>IF(Backend!BB72="", "", Backend!BB72)</f>
        <v/>
      </c>
      <c r="BB45" t="str">
        <f>IF(Backend!BC72="", "", Backend!BC72)</f>
        <v/>
      </c>
      <c r="BC45" t="str">
        <f>IF(Backend!BD72="", "", Backend!BD72)</f>
        <v/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  <c r="AH46" t="str">
        <f>IF(Backend!AI73="", "", Backend!AI73)</f>
        <v/>
      </c>
      <c r="AI46" t="str">
        <f>IF(Backend!AJ73="", "", Backend!AJ73)</f>
        <v/>
      </c>
      <c r="AJ46" t="str">
        <f>IF(Backend!AK73="", "", Backend!AK73)</f>
        <v/>
      </c>
      <c r="AK46" t="str">
        <f>IF(Backend!AL73="", "", Backend!AL73)</f>
        <v/>
      </c>
      <c r="AL46" t="str">
        <f>IF(Backend!AM73="", "", Backend!AM73)</f>
        <v/>
      </c>
      <c r="AM46" t="str">
        <f>IF(Backend!AN73="", "", Backend!AN73)</f>
        <v/>
      </c>
      <c r="AN46" t="str">
        <f>IF(Backend!AO73="", "", Backend!AO73)</f>
        <v/>
      </c>
      <c r="AO46" t="str">
        <f>IF(Backend!AP73="", "", Backend!AP73)</f>
        <v/>
      </c>
      <c r="AP46" t="str">
        <f>IF(Backend!AQ73="", "", Backend!AQ73)</f>
        <v/>
      </c>
      <c r="AQ46" t="str">
        <f>IF(Backend!AR73="", "", Backend!AR73)</f>
        <v/>
      </c>
      <c r="AR46" t="str">
        <f>IF(Backend!AS73="", "", Backend!AS73)</f>
        <v/>
      </c>
      <c r="AS46" t="str">
        <f>IF(Backend!AT73="", "", Backend!AT73)</f>
        <v/>
      </c>
      <c r="AT46" t="str">
        <f>IF(Backend!AU73="", "", Backend!AU73)</f>
        <v/>
      </c>
      <c r="AU46" t="str">
        <f>IF(Backend!AV73="", "", Backend!AV73)</f>
        <v/>
      </c>
      <c r="AV46" t="str">
        <f>IF(Backend!AW73="", "", Backend!AW73)</f>
        <v/>
      </c>
      <c r="AW46" t="str">
        <f>IF(Backend!AX73="", "", Backend!AX73)</f>
        <v/>
      </c>
      <c r="AX46" t="str">
        <f>IF(Backend!AY73="", "", Backend!AY73)</f>
        <v/>
      </c>
      <c r="AY46" t="str">
        <f>IF(Backend!AZ73="", "", Backend!AZ73)</f>
        <v/>
      </c>
      <c r="AZ46" t="str">
        <f>IF(Backend!BA73="", "", Backend!BA73)</f>
        <v/>
      </c>
      <c r="BA46" t="str">
        <f>IF(Backend!BB73="", "", Backend!BB73)</f>
        <v/>
      </c>
      <c r="BB46" t="str">
        <f>IF(Backend!BC73="", "", Backend!BC73)</f>
        <v/>
      </c>
      <c r="BC46" t="str">
        <f>IF(Backend!BD73="", "", Backend!BD73)</f>
        <v/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  <c r="AH47" t="str">
        <f>IF(Backend!AI74="", "", Backend!AI74)</f>
        <v/>
      </c>
      <c r="AI47" t="str">
        <f>IF(Backend!AJ74="", "", Backend!AJ74)</f>
        <v/>
      </c>
      <c r="AJ47" t="str">
        <f>IF(Backend!AK74="", "", Backend!AK74)</f>
        <v/>
      </c>
      <c r="AK47" t="str">
        <f>IF(Backend!AL74="", "", Backend!AL74)</f>
        <v/>
      </c>
      <c r="AL47" t="str">
        <f>IF(Backend!AM74="", "", Backend!AM74)</f>
        <v/>
      </c>
      <c r="AM47" t="str">
        <f>IF(Backend!AN74="", "", Backend!AN74)</f>
        <v/>
      </c>
      <c r="AN47" t="str">
        <f>IF(Backend!AO74="", "", Backend!AO74)</f>
        <v/>
      </c>
      <c r="AO47" t="str">
        <f>IF(Backend!AP74="", "", Backend!AP74)</f>
        <v/>
      </c>
      <c r="AP47" t="str">
        <f>IF(Backend!AQ74="", "", Backend!AQ74)</f>
        <v/>
      </c>
      <c r="AQ47" t="str">
        <f>IF(Backend!AR74="", "", Backend!AR74)</f>
        <v/>
      </c>
      <c r="AR47" t="str">
        <f>IF(Backend!AS74="", "", Backend!AS74)</f>
        <v/>
      </c>
      <c r="AS47" t="str">
        <f>IF(Backend!AT74="", "", Backend!AT74)</f>
        <v/>
      </c>
      <c r="AT47" t="str">
        <f>IF(Backend!AU74="", "", Backend!AU74)</f>
        <v/>
      </c>
      <c r="AU47" t="str">
        <f>IF(Backend!AV74="", "", Backend!AV74)</f>
        <v/>
      </c>
      <c r="AV47" t="str">
        <f>IF(Backend!AW74="", "", Backend!AW74)</f>
        <v/>
      </c>
      <c r="AW47" t="str">
        <f>IF(Backend!AX74="", "", Backend!AX74)</f>
        <v/>
      </c>
      <c r="AX47" t="str">
        <f>IF(Backend!AY74="", "", Backend!AY74)</f>
        <v/>
      </c>
      <c r="AY47" t="str">
        <f>IF(Backend!AZ74="", "", Backend!AZ74)</f>
        <v/>
      </c>
      <c r="AZ47" t="str">
        <f>IF(Backend!BA74="", "", Backend!BA74)</f>
        <v/>
      </c>
      <c r="BA47" t="str">
        <f>IF(Backend!BB74="", "", Backend!BB74)</f>
        <v/>
      </c>
      <c r="BB47" t="str">
        <f>IF(Backend!BC74="", "", Backend!BC74)</f>
        <v/>
      </c>
      <c r="BC47" t="str">
        <f>IF(Backend!BD74="", "", Backend!BD74)</f>
        <v/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  <c r="AH48" t="str">
        <f>IF(Backend!AI75="", "", Backend!AI75)</f>
        <v/>
      </c>
      <c r="AI48" t="str">
        <f>IF(Backend!AJ75="", "", Backend!AJ75)</f>
        <v/>
      </c>
      <c r="AJ48" t="str">
        <f>IF(Backend!AK75="", "", Backend!AK75)</f>
        <v/>
      </c>
      <c r="AK48" t="str">
        <f>IF(Backend!AL75="", "", Backend!AL75)</f>
        <v/>
      </c>
      <c r="AL48" t="str">
        <f>IF(Backend!AM75="", "", Backend!AM75)</f>
        <v/>
      </c>
      <c r="AM48" t="str">
        <f>IF(Backend!AN75="", "", Backend!AN75)</f>
        <v/>
      </c>
      <c r="AN48" t="str">
        <f>IF(Backend!AO75="", "", Backend!AO75)</f>
        <v/>
      </c>
      <c r="AO48" t="str">
        <f>IF(Backend!AP75="", "", Backend!AP75)</f>
        <v/>
      </c>
      <c r="AP48" t="str">
        <f>IF(Backend!AQ75="", "", Backend!AQ75)</f>
        <v/>
      </c>
      <c r="AQ48" t="str">
        <f>IF(Backend!AR75="", "", Backend!AR75)</f>
        <v/>
      </c>
      <c r="AR48" t="str">
        <f>IF(Backend!AS75="", "", Backend!AS75)</f>
        <v/>
      </c>
      <c r="AS48" t="str">
        <f>IF(Backend!AT75="", "", Backend!AT75)</f>
        <v/>
      </c>
      <c r="AT48" t="str">
        <f>IF(Backend!AU75="", "", Backend!AU75)</f>
        <v/>
      </c>
      <c r="AU48" t="str">
        <f>IF(Backend!AV75="", "", Backend!AV75)</f>
        <v/>
      </c>
      <c r="AV48" t="str">
        <f>IF(Backend!AW75="", "", Backend!AW75)</f>
        <v/>
      </c>
      <c r="AW48" t="str">
        <f>IF(Backend!AX75="", "", Backend!AX75)</f>
        <v/>
      </c>
      <c r="AX48" t="str">
        <f>IF(Backend!AY75="", "", Backend!AY75)</f>
        <v/>
      </c>
      <c r="AY48" t="str">
        <f>IF(Backend!AZ75="", "", Backend!AZ75)</f>
        <v/>
      </c>
      <c r="AZ48" t="str">
        <f>IF(Backend!BA75="", "", Backend!BA75)</f>
        <v/>
      </c>
      <c r="BA48" t="str">
        <f>IF(Backend!BB75="", "", Backend!BB75)</f>
        <v/>
      </c>
      <c r="BB48" t="str">
        <f>IF(Backend!BC75="", "", Backend!BC75)</f>
        <v/>
      </c>
      <c r="BC48" t="str">
        <f>IF(Backend!BD75="", "", Backend!BD75)</f>
        <v/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  <c r="AH49" t="str">
        <f>IF(Backend!AI76="", "", Backend!AI76)</f>
        <v/>
      </c>
      <c r="AI49" t="str">
        <f>IF(Backend!AJ76="", "", Backend!AJ76)</f>
        <v/>
      </c>
      <c r="AJ49" t="str">
        <f>IF(Backend!AK76="", "", Backend!AK76)</f>
        <v/>
      </c>
      <c r="AK49" t="str">
        <f>IF(Backend!AL76="", "", Backend!AL76)</f>
        <v/>
      </c>
      <c r="AL49" t="str">
        <f>IF(Backend!AM76="", "", Backend!AM76)</f>
        <v/>
      </c>
      <c r="AM49" t="str">
        <f>IF(Backend!AN76="", "", Backend!AN76)</f>
        <v/>
      </c>
      <c r="AN49" t="str">
        <f>IF(Backend!AO76="", "", Backend!AO76)</f>
        <v/>
      </c>
      <c r="AO49" t="str">
        <f>IF(Backend!AP76="", "", Backend!AP76)</f>
        <v/>
      </c>
      <c r="AP49" t="str">
        <f>IF(Backend!AQ76="", "", Backend!AQ76)</f>
        <v/>
      </c>
      <c r="AQ49" t="str">
        <f>IF(Backend!AR76="", "", Backend!AR76)</f>
        <v/>
      </c>
      <c r="AR49" t="str">
        <f>IF(Backend!AS76="", "", Backend!AS76)</f>
        <v/>
      </c>
      <c r="AS49" t="str">
        <f>IF(Backend!AT76="", "", Backend!AT76)</f>
        <v/>
      </c>
      <c r="AT49" t="str">
        <f>IF(Backend!AU76="", "", Backend!AU76)</f>
        <v/>
      </c>
      <c r="AU49" t="str">
        <f>IF(Backend!AV76="", "", Backend!AV76)</f>
        <v/>
      </c>
      <c r="AV49" t="str">
        <f>IF(Backend!AW76="", "", Backend!AW76)</f>
        <v/>
      </c>
      <c r="AW49" t="str">
        <f>IF(Backend!AX76="", "", Backend!AX76)</f>
        <v/>
      </c>
      <c r="AX49" t="str">
        <f>IF(Backend!AY76="", "", Backend!AY76)</f>
        <v/>
      </c>
      <c r="AY49" t="str">
        <f>IF(Backend!AZ76="", "", Backend!AZ76)</f>
        <v/>
      </c>
      <c r="AZ49" t="str">
        <f>IF(Backend!BA76="", "", Backend!BA76)</f>
        <v/>
      </c>
      <c r="BA49" t="str">
        <f>IF(Backend!BB76="", "", Backend!BB76)</f>
        <v/>
      </c>
      <c r="BB49" t="str">
        <f>IF(Backend!BC76="", "", Backend!BC76)</f>
        <v/>
      </c>
      <c r="BC49" t="str">
        <f>IF(Backend!BD76="", "", Backend!BD76)</f>
        <v/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  <c r="AH50" t="str">
        <f>IF(Backend!AI77="", "", Backend!AI77)</f>
        <v/>
      </c>
      <c r="AI50" t="str">
        <f>IF(Backend!AJ77="", "", Backend!AJ77)</f>
        <v/>
      </c>
      <c r="AJ50" t="str">
        <f>IF(Backend!AK77="", "", Backend!AK77)</f>
        <v/>
      </c>
      <c r="AK50" t="str">
        <f>IF(Backend!AL77="", "", Backend!AL77)</f>
        <v/>
      </c>
      <c r="AL50" t="str">
        <f>IF(Backend!AM77="", "", Backend!AM77)</f>
        <v/>
      </c>
      <c r="AM50" t="str">
        <f>IF(Backend!AN77="", "", Backend!AN77)</f>
        <v/>
      </c>
      <c r="AN50" t="str">
        <f>IF(Backend!AO77="", "", Backend!AO77)</f>
        <v/>
      </c>
      <c r="AO50" t="str">
        <f>IF(Backend!AP77="", "", Backend!AP77)</f>
        <v/>
      </c>
      <c r="AP50" t="str">
        <f>IF(Backend!AQ77="", "", Backend!AQ77)</f>
        <v/>
      </c>
      <c r="AQ50" t="str">
        <f>IF(Backend!AR77="", "", Backend!AR77)</f>
        <v/>
      </c>
      <c r="AR50" t="str">
        <f>IF(Backend!AS77="", "", Backend!AS77)</f>
        <v/>
      </c>
      <c r="AS50" t="str">
        <f>IF(Backend!AT77="", "", Backend!AT77)</f>
        <v/>
      </c>
      <c r="AT50" t="str">
        <f>IF(Backend!AU77="", "", Backend!AU77)</f>
        <v/>
      </c>
      <c r="AU50" t="str">
        <f>IF(Backend!AV77="", "", Backend!AV77)</f>
        <v/>
      </c>
      <c r="AV50" t="str">
        <f>IF(Backend!AW77="", "", Backend!AW77)</f>
        <v/>
      </c>
      <c r="AW50" t="str">
        <f>IF(Backend!AX77="", "", Backend!AX77)</f>
        <v/>
      </c>
      <c r="AX50" t="str">
        <f>IF(Backend!AY77="", "", Backend!AY77)</f>
        <v/>
      </c>
      <c r="AY50" t="str">
        <f>IF(Backend!AZ77="", "", Backend!AZ77)</f>
        <v/>
      </c>
      <c r="AZ50" t="str">
        <f>IF(Backend!BA77="", "", Backend!BA77)</f>
        <v/>
      </c>
      <c r="BA50" t="str">
        <f>IF(Backend!BB77="", "", Backend!BB77)</f>
        <v/>
      </c>
      <c r="BB50" t="str">
        <f>IF(Backend!BC77="", "", Backend!BC77)</f>
        <v/>
      </c>
      <c r="BC50" t="str">
        <f>IF(Backend!BD77="", "", Backend!BD77)</f>
        <v/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  <c r="AH51" t="str">
        <f>IF(Backend!AI78="", "", Backend!AI78)</f>
        <v/>
      </c>
      <c r="AI51" t="str">
        <f>IF(Backend!AJ78="", "", Backend!AJ78)</f>
        <v/>
      </c>
      <c r="AJ51" t="str">
        <f>IF(Backend!AK78="", "", Backend!AK78)</f>
        <v/>
      </c>
      <c r="AK51" t="str">
        <f>IF(Backend!AL78="", "", Backend!AL78)</f>
        <v/>
      </c>
      <c r="AL51" t="str">
        <f>IF(Backend!AM78="", "", Backend!AM78)</f>
        <v/>
      </c>
      <c r="AM51" t="str">
        <f>IF(Backend!AN78="", "", Backend!AN78)</f>
        <v/>
      </c>
      <c r="AN51" t="str">
        <f>IF(Backend!AO78="", "", Backend!AO78)</f>
        <v/>
      </c>
      <c r="AO51" t="str">
        <f>IF(Backend!AP78="", "", Backend!AP78)</f>
        <v/>
      </c>
      <c r="AP51" t="str">
        <f>IF(Backend!AQ78="", "", Backend!AQ78)</f>
        <v/>
      </c>
      <c r="AQ51" t="str">
        <f>IF(Backend!AR78="", "", Backend!AR78)</f>
        <v/>
      </c>
      <c r="AR51" t="str">
        <f>IF(Backend!AS78="", "", Backend!AS78)</f>
        <v/>
      </c>
      <c r="AS51" t="str">
        <f>IF(Backend!AT78="", "", Backend!AT78)</f>
        <v/>
      </c>
      <c r="AT51" t="str">
        <f>IF(Backend!AU78="", "", Backend!AU78)</f>
        <v/>
      </c>
      <c r="AU51" t="str">
        <f>IF(Backend!AV78="", "", Backend!AV78)</f>
        <v/>
      </c>
      <c r="AV51" t="str">
        <f>IF(Backend!AW78="", "", Backend!AW78)</f>
        <v/>
      </c>
      <c r="AW51" t="str">
        <f>IF(Backend!AX78="", "", Backend!AX78)</f>
        <v/>
      </c>
      <c r="AX51" t="str">
        <f>IF(Backend!AY78="", "", Backend!AY78)</f>
        <v/>
      </c>
      <c r="AY51" t="str">
        <f>IF(Backend!AZ78="", "", Backend!AZ78)</f>
        <v/>
      </c>
      <c r="AZ51" t="str">
        <f>IF(Backend!BA78="", "", Backend!BA78)</f>
        <v/>
      </c>
      <c r="BA51" t="str">
        <f>IF(Backend!BB78="", "", Backend!BB78)</f>
        <v/>
      </c>
      <c r="BB51" t="str">
        <f>IF(Backend!BC78="", "", Backend!BC78)</f>
        <v/>
      </c>
      <c r="BC51" t="str">
        <f>IF(Backend!BD78="", "", Backend!BD78)</f>
        <v/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  <c r="AH52" t="str">
        <f>IF(Backend!AI79="", "", Backend!AI79)</f>
        <v/>
      </c>
      <c r="AI52" t="str">
        <f>IF(Backend!AJ79="", "", Backend!AJ79)</f>
        <v/>
      </c>
      <c r="AJ52" t="str">
        <f>IF(Backend!AK79="", "", Backend!AK79)</f>
        <v/>
      </c>
      <c r="AK52" t="str">
        <f>IF(Backend!AL79="", "", Backend!AL79)</f>
        <v/>
      </c>
      <c r="AL52" t="str">
        <f>IF(Backend!AM79="", "", Backend!AM79)</f>
        <v/>
      </c>
      <c r="AM52" t="str">
        <f>IF(Backend!AN79="", "", Backend!AN79)</f>
        <v/>
      </c>
      <c r="AN52" t="str">
        <f>IF(Backend!AO79="", "", Backend!AO79)</f>
        <v/>
      </c>
      <c r="AO52" t="str">
        <f>IF(Backend!AP79="", "", Backend!AP79)</f>
        <v/>
      </c>
      <c r="AP52" t="str">
        <f>IF(Backend!AQ79="", "", Backend!AQ79)</f>
        <v/>
      </c>
      <c r="AQ52" t="str">
        <f>IF(Backend!AR79="", "", Backend!AR79)</f>
        <v/>
      </c>
      <c r="AR52" t="str">
        <f>IF(Backend!AS79="", "", Backend!AS79)</f>
        <v/>
      </c>
      <c r="AS52" t="str">
        <f>IF(Backend!AT79="", "", Backend!AT79)</f>
        <v/>
      </c>
      <c r="AT52" t="str">
        <f>IF(Backend!AU79="", "", Backend!AU79)</f>
        <v/>
      </c>
      <c r="AU52" t="str">
        <f>IF(Backend!AV79="", "", Backend!AV79)</f>
        <v/>
      </c>
      <c r="AV52" t="str">
        <f>IF(Backend!AW79="", "", Backend!AW79)</f>
        <v/>
      </c>
      <c r="AW52" t="str">
        <f>IF(Backend!AX79="", "", Backend!AX79)</f>
        <v/>
      </c>
      <c r="AX52" t="str">
        <f>IF(Backend!AY79="", "", Backend!AY79)</f>
        <v/>
      </c>
      <c r="AY52" t="str">
        <f>IF(Backend!AZ79="", "", Backend!AZ79)</f>
        <v/>
      </c>
      <c r="AZ52" t="str">
        <f>IF(Backend!BA79="", "", Backend!BA79)</f>
        <v/>
      </c>
      <c r="BA52" t="str">
        <f>IF(Backend!BB79="", "", Backend!BB79)</f>
        <v/>
      </c>
      <c r="BB52" t="str">
        <f>IF(Backend!BC79="", "", Backend!BC79)</f>
        <v/>
      </c>
      <c r="BC52" t="str">
        <f>IF(Backend!BD79="", "", Backend!BD79)</f>
        <v/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  <c r="AH53" t="str">
        <f>IF(Backend!AI80="", "", Backend!AI80)</f>
        <v/>
      </c>
      <c r="AI53" t="str">
        <f>IF(Backend!AJ80="", "", Backend!AJ80)</f>
        <v/>
      </c>
      <c r="AJ53" t="str">
        <f>IF(Backend!AK80="", "", Backend!AK80)</f>
        <v/>
      </c>
      <c r="AK53" t="str">
        <f>IF(Backend!AL80="", "", Backend!AL80)</f>
        <v/>
      </c>
      <c r="AL53" t="str">
        <f>IF(Backend!AM80="", "", Backend!AM80)</f>
        <v/>
      </c>
      <c r="AM53" t="str">
        <f>IF(Backend!AN80="", "", Backend!AN80)</f>
        <v/>
      </c>
      <c r="AN53" t="str">
        <f>IF(Backend!AO80="", "", Backend!AO80)</f>
        <v/>
      </c>
      <c r="AO53" t="str">
        <f>IF(Backend!AP80="", "", Backend!AP80)</f>
        <v/>
      </c>
      <c r="AP53" t="str">
        <f>IF(Backend!AQ80="", "", Backend!AQ80)</f>
        <v/>
      </c>
      <c r="AQ53" t="str">
        <f>IF(Backend!AR80="", "", Backend!AR80)</f>
        <v/>
      </c>
      <c r="AR53" t="str">
        <f>IF(Backend!AS80="", "", Backend!AS80)</f>
        <v/>
      </c>
      <c r="AS53" t="str">
        <f>IF(Backend!AT80="", "", Backend!AT80)</f>
        <v/>
      </c>
      <c r="AT53" t="str">
        <f>IF(Backend!AU80="", "", Backend!AU80)</f>
        <v/>
      </c>
      <c r="AU53" t="str">
        <f>IF(Backend!AV80="", "", Backend!AV80)</f>
        <v/>
      </c>
      <c r="AV53" t="str">
        <f>IF(Backend!AW80="", "", Backend!AW80)</f>
        <v/>
      </c>
      <c r="AW53" t="str">
        <f>IF(Backend!AX80="", "", Backend!AX80)</f>
        <v/>
      </c>
      <c r="AX53" t="str">
        <f>IF(Backend!AY80="", "", Backend!AY80)</f>
        <v/>
      </c>
      <c r="AY53" t="str">
        <f>IF(Backend!AZ80="", "", Backend!AZ80)</f>
        <v/>
      </c>
      <c r="AZ53" t="str">
        <f>IF(Backend!BA80="", "", Backend!BA80)</f>
        <v/>
      </c>
      <c r="BA53" t="str">
        <f>IF(Backend!BB80="", "", Backend!BB80)</f>
        <v/>
      </c>
      <c r="BB53" t="str">
        <f>IF(Backend!BC80="", "", Backend!BC80)</f>
        <v/>
      </c>
      <c r="BC53" t="str">
        <f>IF(Backend!BD80="", "", Backend!BD80)</f>
        <v/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  <c r="AH54" t="str">
        <f>IF(Backend!AI81="", "", Backend!AI81)</f>
        <v/>
      </c>
      <c r="AI54" t="str">
        <f>IF(Backend!AJ81="", "", Backend!AJ81)</f>
        <v/>
      </c>
      <c r="AJ54" t="str">
        <f>IF(Backend!AK81="", "", Backend!AK81)</f>
        <v/>
      </c>
      <c r="AK54" t="str">
        <f>IF(Backend!AL81="", "", Backend!AL81)</f>
        <v/>
      </c>
      <c r="AL54" t="str">
        <f>IF(Backend!AM81="", "", Backend!AM81)</f>
        <v/>
      </c>
      <c r="AM54" t="str">
        <f>IF(Backend!AN81="", "", Backend!AN81)</f>
        <v/>
      </c>
      <c r="AN54" t="str">
        <f>IF(Backend!AO81="", "", Backend!AO81)</f>
        <v/>
      </c>
      <c r="AO54" t="str">
        <f>IF(Backend!AP81="", "", Backend!AP81)</f>
        <v/>
      </c>
      <c r="AP54" t="str">
        <f>IF(Backend!AQ81="", "", Backend!AQ81)</f>
        <v/>
      </c>
      <c r="AQ54" t="str">
        <f>IF(Backend!AR81="", "", Backend!AR81)</f>
        <v/>
      </c>
      <c r="AR54" t="str">
        <f>IF(Backend!AS81="", "", Backend!AS81)</f>
        <v/>
      </c>
      <c r="AS54" t="str">
        <f>IF(Backend!AT81="", "", Backend!AT81)</f>
        <v/>
      </c>
      <c r="AT54" t="str">
        <f>IF(Backend!AU81="", "", Backend!AU81)</f>
        <v/>
      </c>
      <c r="AU54" t="str">
        <f>IF(Backend!AV81="", "", Backend!AV81)</f>
        <v/>
      </c>
      <c r="AV54" t="str">
        <f>IF(Backend!AW81="", "", Backend!AW81)</f>
        <v/>
      </c>
      <c r="AW54" t="str">
        <f>IF(Backend!AX81="", "", Backend!AX81)</f>
        <v/>
      </c>
      <c r="AX54" t="str">
        <f>IF(Backend!AY81="", "", Backend!AY81)</f>
        <v/>
      </c>
      <c r="AY54" t="str">
        <f>IF(Backend!AZ81="", "", Backend!AZ81)</f>
        <v/>
      </c>
      <c r="AZ54" t="str">
        <f>IF(Backend!BA81="", "", Backend!BA81)</f>
        <v/>
      </c>
      <c r="BA54" t="str">
        <f>IF(Backend!BB81="", "", Backend!BB81)</f>
        <v/>
      </c>
      <c r="BB54" t="str">
        <f>IF(Backend!BC81="", "", Backend!BC81)</f>
        <v/>
      </c>
      <c r="BC54" t="str">
        <f>IF(Backend!BD81="", "", Backend!BD81)</f>
        <v/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  <c r="AH55" t="str">
        <f>IF(Backend!AI82="", "", Backend!AI82)</f>
        <v/>
      </c>
      <c r="AI55" t="str">
        <f>IF(Backend!AJ82="", "", Backend!AJ82)</f>
        <v/>
      </c>
      <c r="AJ55" t="str">
        <f>IF(Backend!AK82="", "", Backend!AK82)</f>
        <v/>
      </c>
      <c r="AK55" t="str">
        <f>IF(Backend!AL82="", "", Backend!AL82)</f>
        <v/>
      </c>
      <c r="AL55" t="str">
        <f>IF(Backend!AM82="", "", Backend!AM82)</f>
        <v/>
      </c>
      <c r="AM55" t="str">
        <f>IF(Backend!AN82="", "", Backend!AN82)</f>
        <v/>
      </c>
      <c r="AN55" t="str">
        <f>IF(Backend!AO82="", "", Backend!AO82)</f>
        <v/>
      </c>
      <c r="AO55" t="str">
        <f>IF(Backend!AP82="", "", Backend!AP82)</f>
        <v/>
      </c>
      <c r="AP55" t="str">
        <f>IF(Backend!AQ82="", "", Backend!AQ82)</f>
        <v/>
      </c>
      <c r="AQ55" t="str">
        <f>IF(Backend!AR82="", "", Backend!AR82)</f>
        <v/>
      </c>
      <c r="AR55" t="str">
        <f>IF(Backend!AS82="", "", Backend!AS82)</f>
        <v/>
      </c>
      <c r="AS55" t="str">
        <f>IF(Backend!AT82="", "", Backend!AT82)</f>
        <v/>
      </c>
      <c r="AT55" t="str">
        <f>IF(Backend!AU82="", "", Backend!AU82)</f>
        <v/>
      </c>
      <c r="AU55" t="str">
        <f>IF(Backend!AV82="", "", Backend!AV82)</f>
        <v/>
      </c>
      <c r="AV55" t="str">
        <f>IF(Backend!AW82="", "", Backend!AW82)</f>
        <v/>
      </c>
      <c r="AW55" t="str">
        <f>IF(Backend!AX82="", "", Backend!AX82)</f>
        <v/>
      </c>
      <c r="AX55" t="str">
        <f>IF(Backend!AY82="", "", Backend!AY82)</f>
        <v/>
      </c>
      <c r="AY55" t="str">
        <f>IF(Backend!AZ82="", "", Backend!AZ82)</f>
        <v/>
      </c>
      <c r="AZ55" t="str">
        <f>IF(Backend!BA82="", "", Backend!BA82)</f>
        <v/>
      </c>
      <c r="BA55" t="str">
        <f>IF(Backend!BB82="", "", Backend!BB82)</f>
        <v/>
      </c>
      <c r="BB55" t="str">
        <f>IF(Backend!BC82="", "", Backend!BC82)</f>
        <v/>
      </c>
      <c r="BC55" t="str">
        <f>IF(Backend!BD82="", "", Backend!BD82)</f>
        <v/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  <c r="AH56" t="str">
        <f>IF(Backend!AI83="", "", Backend!AI83)</f>
        <v/>
      </c>
      <c r="AI56" t="str">
        <f>IF(Backend!AJ83="", "", Backend!AJ83)</f>
        <v/>
      </c>
      <c r="AJ56" t="str">
        <f>IF(Backend!AK83="", "", Backend!AK83)</f>
        <v/>
      </c>
      <c r="AK56" t="str">
        <f>IF(Backend!AL83="", "", Backend!AL83)</f>
        <v/>
      </c>
      <c r="AL56" t="str">
        <f>IF(Backend!AM83="", "", Backend!AM83)</f>
        <v/>
      </c>
      <c r="AM56" t="str">
        <f>IF(Backend!AN83="", "", Backend!AN83)</f>
        <v/>
      </c>
      <c r="AN56" t="str">
        <f>IF(Backend!AO83="", "", Backend!AO83)</f>
        <v/>
      </c>
      <c r="AO56" t="str">
        <f>IF(Backend!AP83="", "", Backend!AP83)</f>
        <v/>
      </c>
      <c r="AP56" t="str">
        <f>IF(Backend!AQ83="", "", Backend!AQ83)</f>
        <v/>
      </c>
      <c r="AQ56" t="str">
        <f>IF(Backend!AR83="", "", Backend!AR83)</f>
        <v/>
      </c>
      <c r="AR56" t="str">
        <f>IF(Backend!AS83="", "", Backend!AS83)</f>
        <v/>
      </c>
      <c r="AS56" t="str">
        <f>IF(Backend!AT83="", "", Backend!AT83)</f>
        <v/>
      </c>
      <c r="AT56" t="str">
        <f>IF(Backend!AU83="", "", Backend!AU83)</f>
        <v/>
      </c>
      <c r="AU56" t="str">
        <f>IF(Backend!AV83="", "", Backend!AV83)</f>
        <v/>
      </c>
      <c r="AV56" t="str">
        <f>IF(Backend!AW83="", "", Backend!AW83)</f>
        <v/>
      </c>
      <c r="AW56" t="str">
        <f>IF(Backend!AX83="", "", Backend!AX83)</f>
        <v/>
      </c>
      <c r="AX56" t="str">
        <f>IF(Backend!AY83="", "", Backend!AY83)</f>
        <v/>
      </c>
      <c r="AY56" t="str">
        <f>IF(Backend!AZ83="", "", Backend!AZ83)</f>
        <v/>
      </c>
      <c r="AZ56" t="str">
        <f>IF(Backend!BA83="", "", Backend!BA83)</f>
        <v/>
      </c>
      <c r="BA56" t="str">
        <f>IF(Backend!BB83="", "", Backend!BB83)</f>
        <v/>
      </c>
      <c r="BB56" t="str">
        <f>IF(Backend!BC83="", "", Backend!BC83)</f>
        <v/>
      </c>
      <c r="BC56" t="str">
        <f>IF(Backend!BD83="", "", Backend!BD83)</f>
        <v/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  <c r="AH57" t="str">
        <f>IF(Backend!AI84="", "", Backend!AI84)</f>
        <v/>
      </c>
      <c r="AI57" t="str">
        <f>IF(Backend!AJ84="", "", Backend!AJ84)</f>
        <v/>
      </c>
      <c r="AJ57" t="str">
        <f>IF(Backend!AK84="", "", Backend!AK84)</f>
        <v/>
      </c>
      <c r="AK57" t="str">
        <f>IF(Backend!AL84="", "", Backend!AL84)</f>
        <v/>
      </c>
      <c r="AL57" t="str">
        <f>IF(Backend!AM84="", "", Backend!AM84)</f>
        <v/>
      </c>
      <c r="AM57" t="str">
        <f>IF(Backend!AN84="", "", Backend!AN84)</f>
        <v/>
      </c>
      <c r="AN57" t="str">
        <f>IF(Backend!AO84="", "", Backend!AO84)</f>
        <v/>
      </c>
      <c r="AO57" t="str">
        <f>IF(Backend!AP84="", "", Backend!AP84)</f>
        <v/>
      </c>
      <c r="AP57" t="str">
        <f>IF(Backend!AQ84="", "", Backend!AQ84)</f>
        <v/>
      </c>
      <c r="AQ57" t="str">
        <f>IF(Backend!AR84="", "", Backend!AR84)</f>
        <v/>
      </c>
      <c r="AR57" t="str">
        <f>IF(Backend!AS84="", "", Backend!AS84)</f>
        <v/>
      </c>
      <c r="AS57" t="str">
        <f>IF(Backend!AT84="", "", Backend!AT84)</f>
        <v/>
      </c>
      <c r="AT57" t="str">
        <f>IF(Backend!AU84="", "", Backend!AU84)</f>
        <v/>
      </c>
      <c r="AU57" t="str">
        <f>IF(Backend!AV84="", "", Backend!AV84)</f>
        <v/>
      </c>
      <c r="AV57" t="str">
        <f>IF(Backend!AW84="", "", Backend!AW84)</f>
        <v/>
      </c>
      <c r="AW57" t="str">
        <f>IF(Backend!AX84="", "", Backend!AX84)</f>
        <v/>
      </c>
      <c r="AX57" t="str">
        <f>IF(Backend!AY84="", "", Backend!AY84)</f>
        <v/>
      </c>
      <c r="AY57" t="str">
        <f>IF(Backend!AZ84="", "", Backend!AZ84)</f>
        <v/>
      </c>
      <c r="AZ57" t="str">
        <f>IF(Backend!BA84="", "", Backend!BA84)</f>
        <v/>
      </c>
      <c r="BA57" t="str">
        <f>IF(Backend!BB84="", "", Backend!BB84)</f>
        <v/>
      </c>
      <c r="BB57" t="str">
        <f>IF(Backend!BC84="", "", Backend!BC84)</f>
        <v/>
      </c>
      <c r="BC57" t="str">
        <f>IF(Backend!BD84="", "", Backend!BD84)</f>
        <v/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workbookViewId="0">
      <selection activeCell="E65" sqref="E64:E65"/>
    </sheetView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5" x14ac:dyDescent="0.25">
      <c r="B1" t="s">
        <v>2</v>
      </c>
      <c r="C1" s="7">
        <v>45961</v>
      </c>
    </row>
    <row r="2" spans="2:15" x14ac:dyDescent="0.25">
      <c r="B2" t="s">
        <v>3</v>
      </c>
      <c r="C2" s="7" t="s">
        <v>4</v>
      </c>
    </row>
    <row r="4" spans="2:15" x14ac:dyDescent="0.25">
      <c r="B4" t="s">
        <v>0</v>
      </c>
    </row>
    <row r="5" spans="2:15" x14ac:dyDescent="0.25">
      <c r="C5" s="8" t="s">
        <v>14</v>
      </c>
      <c r="D5" t="str" cm="1">
        <f t="array" ref="D5">_xll.FDSC("-",C5,"PROPER_NAME")</f>
        <v>LVMH Moet Hennessy Louis Vuitton SE</v>
      </c>
      <c r="E5" s="8" t="s">
        <v>24</v>
      </c>
      <c r="F5" t="str" cm="1">
        <f t="array" ref="F5">_xll.FDSC("-",E5,"PROPER_NAME")</f>
        <v>Wolters Kluwer N.V.</v>
      </c>
      <c r="G5" s="8"/>
      <c r="H5" t="str" cm="1">
        <f t="array" ref="H5">_xll.FDSC("-",G5,"PROPER_NAME")</f>
        <v>-</v>
      </c>
      <c r="I5" s="8"/>
      <c r="J5" t="str" cm="1">
        <f t="array" ref="J5">_xll.FDSC("-",I5,"PROPER_NAME")</f>
        <v>-</v>
      </c>
      <c r="K5" s="8"/>
      <c r="L5" t="str" cm="1">
        <f t="array" ref="L5">_xll.FDSC("-",K5,"PROPER_NAME")</f>
        <v>-</v>
      </c>
    </row>
    <row r="6" spans="2:15" x14ac:dyDescent="0.25">
      <c r="C6" s="8" t="s">
        <v>21</v>
      </c>
      <c r="D6" t="str" cm="1">
        <f t="array" ref="D6">_xll.FDSC("-",C6,"PROPER_NAME")</f>
        <v>Safran SA</v>
      </c>
      <c r="E6" s="8" t="s">
        <v>25</v>
      </c>
      <c r="F6" t="str" cm="1">
        <f t="array" ref="F6">_xll.FDSC("-",E6,"PROPER_NAME")</f>
        <v>KONE Oyj Class B</v>
      </c>
      <c r="G6" s="8"/>
      <c r="H6" t="str" cm="1">
        <f t="array" ref="H6">_xll.FDSC("-",G6,"PROPER_NAME")</f>
        <v>-</v>
      </c>
      <c r="I6" s="8"/>
      <c r="J6" t="str" cm="1">
        <f t="array" ref="J6">_xll.FDSC("-",I6,"PROPER_NAME")</f>
        <v>-</v>
      </c>
      <c r="K6" s="8"/>
      <c r="L6" t="str" cm="1">
        <f t="array" ref="L6">_xll.FDSC("-",K6,"PROPER_NAME")</f>
        <v>-</v>
      </c>
      <c r="M6" s="5"/>
    </row>
    <row r="7" spans="2:15" x14ac:dyDescent="0.25">
      <c r="C7" s="8" t="s">
        <v>12</v>
      </c>
      <c r="D7" t="str" cm="1">
        <f t="array" ref="D7">_xll.FDSC("-",C7,"PROPER_NAME")</f>
        <v>Howden Joinery Group PLC</v>
      </c>
      <c r="E7" s="8" t="s">
        <v>28</v>
      </c>
      <c r="F7" t="str" cm="1">
        <f t="array" ref="F7">_xll.FDSC("-",E7,"PROPER_NAME")</f>
        <v>Diageo plc</v>
      </c>
      <c r="G7" s="8"/>
      <c r="H7" t="str" cm="1">
        <f t="array" ref="H7">_xll.FDSC("-",G7,"PROPER_NAME")</f>
        <v>-</v>
      </c>
      <c r="I7" s="8"/>
      <c r="J7" t="str" cm="1">
        <f t="array" ref="J7">_xll.FDSC("-",I7,"PROPER_NAME")</f>
        <v>-</v>
      </c>
      <c r="K7" s="8"/>
      <c r="L7" t="str" cm="1">
        <f t="array" ref="L7">_xll.FDSC("-",K7,"PROPER_NAME")</f>
        <v>-</v>
      </c>
    </row>
    <row r="8" spans="2:15" x14ac:dyDescent="0.25">
      <c r="C8" s="8" t="s">
        <v>23</v>
      </c>
      <c r="D8" t="str" cm="1">
        <f t="array" ref="D8">_xll.FDSC("-",C8,"PROPER_NAME")</f>
        <v>Rentokil Initial plc</v>
      </c>
      <c r="E8" s="8" t="s">
        <v>30</v>
      </c>
      <c r="F8" t="str" cm="1">
        <f t="array" ref="F8">_xll.FDSC("-",E8,"PROPER_NAME")</f>
        <v>CTS Eventim AG &amp; Co. KGaA</v>
      </c>
      <c r="G8" s="8"/>
      <c r="H8" t="str" cm="1">
        <f t="array" ref="H8">_xll.FDSC("-",G8,"PROPER_NAME")</f>
        <v>-</v>
      </c>
      <c r="I8" s="8"/>
      <c r="J8" t="str" cm="1">
        <f t="array" ref="J8">_xll.FDSC("-",I8,"PROPER_NAME")</f>
        <v>-</v>
      </c>
      <c r="K8" s="8"/>
      <c r="L8" t="str" cm="1">
        <f t="array" ref="L8">_xll.FDSC("-",K8,"PROPER_NAME")</f>
        <v>-</v>
      </c>
      <c r="O8" t="str" cm="1">
        <f t="array" ref="O8">_xll.FDSTHIS(""&amp;N8&amp;"")</f>
        <v/>
      </c>
    </row>
    <row r="9" spans="2:15" x14ac:dyDescent="0.25">
      <c r="C9" s="8" t="s">
        <v>18</v>
      </c>
      <c r="D9" t="str" cm="1">
        <f t="array" ref="D9">_xll.FDSC("-",C9,"PROPER_NAME")</f>
        <v>Airbus SE</v>
      </c>
      <c r="E9" s="8" t="s">
        <v>32</v>
      </c>
      <c r="F9" t="str" cm="1">
        <f t="array" ref="F9">_xll.FDSC("-",E9,"PROPER_NAME")</f>
        <v>Roche Holding Ltd Dividend Right Cert.</v>
      </c>
      <c r="G9" s="8"/>
      <c r="H9" t="str" cm="1">
        <f t="array" ref="H9">_xll.FDSC("-",G9,"PROPER_NAME")</f>
        <v>-</v>
      </c>
      <c r="I9" s="8"/>
      <c r="J9" t="str" cm="1">
        <f t="array" ref="J9">_xll.FDSC("-",I9,"PROPER_NAME")</f>
        <v>-</v>
      </c>
      <c r="K9" s="8"/>
      <c r="L9" t="str" cm="1">
        <f t="array" ref="L9">_xll.FDSC("-",K9,"PROPER_NAME")</f>
        <v>-</v>
      </c>
      <c r="O9" t="str" cm="1">
        <f t="array" ref="O9">_xll.FDSTHIS(""&amp;N9&amp;"")</f>
        <v/>
      </c>
    </row>
    <row r="10" spans="2:15" x14ac:dyDescent="0.25">
      <c r="C10" s="8" t="s">
        <v>16</v>
      </c>
      <c r="D10" t="str" cm="1">
        <f t="array" ref="D10">_xll.FDSC("-",C10,"PROPER_NAME")</f>
        <v>AIA Group Limited</v>
      </c>
      <c r="E10" s="8" t="s">
        <v>36</v>
      </c>
      <c r="F10" t="str" cm="1">
        <f t="array" ref="F10">_xll.FDSC("-",E10,"PROPER_NAME")</f>
        <v>Universal Music Group N.V.</v>
      </c>
      <c r="G10" s="8"/>
      <c r="H10" t="str" cm="1">
        <f t="array" ref="H10">_xll.FDSC("-",G10,"PROPER_NAME")</f>
        <v>-</v>
      </c>
      <c r="I10" s="8"/>
      <c r="J10" t="str" cm="1">
        <f t="array" ref="J10">_xll.FDSC("-",I10,"PROPER_NAME")</f>
        <v>-</v>
      </c>
      <c r="K10" s="8"/>
      <c r="L10" t="str" cm="1">
        <f t="array" ref="L10">_xll.FDSC("-",K10,"PROPER_NAME")</f>
        <v>-</v>
      </c>
      <c r="O10" t="str" cm="1">
        <f t="array" ref="O10">_xll.FDSTHIS(""&amp;N10&amp;"")</f>
        <v/>
      </c>
    </row>
    <row r="11" spans="2:15" x14ac:dyDescent="0.25">
      <c r="C11" s="8" t="s">
        <v>13</v>
      </c>
      <c r="D11" t="str" cm="1">
        <f t="array" ref="D11">_xll.FDSC("-",C11,"PROPER_NAME")</f>
        <v>London Stock Exchange Group plc</v>
      </c>
      <c r="E11" s="8" t="s">
        <v>34</v>
      </c>
      <c r="F11" t="str" cm="1">
        <f t="array" ref="F11">_xll.FDSC("-",E11,"PROPER_NAME")</f>
        <v>SAP SE</v>
      </c>
      <c r="G11" s="8"/>
      <c r="H11" t="str" cm="1">
        <f t="array" ref="H11">_xll.FDSC("-",G11,"PROPER_NAME")</f>
        <v>-</v>
      </c>
      <c r="I11" s="8"/>
      <c r="J11" t="str" cm="1">
        <f t="array" ref="J11">_xll.FDSC("-",I11,"PROPER_NAME")</f>
        <v>-</v>
      </c>
      <c r="K11" s="8"/>
      <c r="L11" t="str" cm="1">
        <f t="array" ref="L11">_xll.FDSC("-",K11,"PROPER_NAME")</f>
        <v>-</v>
      </c>
      <c r="O11" t="str" cm="1">
        <f t="array" ref="O11">_xll.FDSTHIS(""&amp;N11&amp;"")</f>
        <v/>
      </c>
    </row>
    <row r="12" spans="2:15" x14ac:dyDescent="0.25">
      <c r="C12" s="8" t="s">
        <v>15</v>
      </c>
      <c r="D12" t="str" cm="1">
        <f t="array" ref="D12">_xll.FDSC("-",C12,"PROPER_NAME")</f>
        <v>ASML Holding NV</v>
      </c>
      <c r="E12" s="8" t="s">
        <v>31</v>
      </c>
      <c r="F12" t="str" cm="1">
        <f t="array" ref="F12">_xll.FDSC("-",E12,"PROPER_NAME")</f>
        <v>AstraZeneca PLC</v>
      </c>
      <c r="G12" s="8"/>
      <c r="H12" t="str" cm="1">
        <f t="array" ref="H12">_xll.FDSC("-",G12,"PROPER_NAME")</f>
        <v>-</v>
      </c>
      <c r="I12" s="8"/>
      <c r="J12" t="str" cm="1">
        <f t="array" ref="J12">_xll.FDSC("-",I12,"PROPER_NAME")</f>
        <v>-</v>
      </c>
      <c r="K12" s="8"/>
      <c r="L12" t="str" cm="1">
        <f t="array" ref="L12">_xll.FDSC("-",K12,"PROPER_NAME")</f>
        <v>-</v>
      </c>
      <c r="O12" t="str" cm="1">
        <f t="array" ref="O12">_xll.FDSTHIS(""&amp;N12&amp;"")</f>
        <v/>
      </c>
    </row>
    <row r="13" spans="2:15" x14ac:dyDescent="0.25">
      <c r="C13" s="8" t="s">
        <v>19</v>
      </c>
      <c r="D13" t="str" cm="1">
        <f t="array" ref="D13">_xll.FDSC("-",C13,"PROPER_NAME")</f>
        <v>Deutsche Boerse AG</v>
      </c>
      <c r="E13" s="8" t="s">
        <v>33</v>
      </c>
      <c r="F13" t="str" cm="1">
        <f t="array" ref="F13">_xll.FDSC("-",E13,"PROPER_NAME")</f>
        <v>Keyence Corporation</v>
      </c>
      <c r="G13" s="8"/>
      <c r="H13" t="str" cm="1">
        <f t="array" ref="H13">_xll.FDSC("-",G13,"PROPER_NAME")</f>
        <v>-</v>
      </c>
      <c r="I13" s="8"/>
      <c r="J13" t="str" cm="1">
        <f t="array" ref="J13">_xll.FDSC("-",I13,"PROPER_NAME")</f>
        <v>-</v>
      </c>
      <c r="K13" s="8"/>
      <c r="L13" t="str" cm="1">
        <f t="array" ref="L13">_xll.FDSC("-",K13,"PROPER_NAME")</f>
        <v>-</v>
      </c>
      <c r="O13" t="str" cm="1">
        <f t="array" ref="O13">_xll.FDSTHIS(""&amp;N13&amp;"")</f>
        <v/>
      </c>
    </row>
    <row r="14" spans="2:15" x14ac:dyDescent="0.25">
      <c r="C14" s="8" t="s">
        <v>20</v>
      </c>
      <c r="D14" t="str" cm="1">
        <f t="array" ref="D14">_xll.FDSC("-",C14,"PROPER_NAME")</f>
        <v>Compagnie Financiere Richemont SA</v>
      </c>
      <c r="E14" s="8" t="s">
        <v>35</v>
      </c>
      <c r="F14" t="str" cm="1">
        <f t="array" ref="F14">_xll.FDSC("-",E14,"PROPER_NAME")</f>
        <v>Shimano Inc.</v>
      </c>
      <c r="G14" s="8"/>
      <c r="H14" t="str" cm="1">
        <f t="array" ref="H14">_xll.FDSC("-",G14,"PROPER_NAME")</f>
        <v>-</v>
      </c>
      <c r="I14" s="8"/>
      <c r="J14" t="str" cm="1">
        <f t="array" ref="J14">_xll.FDSC("-",I14,"PROPER_NAME")</f>
        <v>-</v>
      </c>
      <c r="K14" s="8"/>
      <c r="L14" t="str" cm="1">
        <f t="array" ref="L14">_xll.FDSC("-",K14,"PROPER_NAME")</f>
        <v>-</v>
      </c>
      <c r="O14" t="str" cm="1">
        <f t="array" ref="O14">_xll.FDSTHIS(""&amp;N14&amp;"")</f>
        <v/>
      </c>
    </row>
    <row r="15" spans="2:15" x14ac:dyDescent="0.25">
      <c r="C15" s="8" t="s">
        <v>26</v>
      </c>
      <c r="D15" t="str" cm="1">
        <f t="array" ref="D15">_xll.FDSC("-",C15,"PROPER_NAME")</f>
        <v>Amadeus IT Group SA Class A</v>
      </c>
      <c r="E15" s="8" t="s">
        <v>38</v>
      </c>
      <c r="F15" t="str" cm="1">
        <f t="array" ref="F15">_xll.FDSC("-",E15,"PROPER_NAME")</f>
        <v>Sika AG</v>
      </c>
      <c r="G15" s="8"/>
      <c r="H15" t="str" cm="1">
        <f t="array" ref="H15">_xll.FDSC("-",G15,"PROPER_NAME")</f>
        <v>-</v>
      </c>
      <c r="I15" s="8"/>
      <c r="J15" t="str" cm="1">
        <f t="array" ref="J15">_xll.FDSC("-",I15,"PROPER_NAME")</f>
        <v>-</v>
      </c>
      <c r="K15" s="8"/>
      <c r="L15" t="str" cm="1">
        <f t="array" ref="L15">_xll.FDSC("-",K15,"PROPER_NAME")</f>
        <v>-</v>
      </c>
      <c r="O15" t="str" cm="1">
        <f t="array" ref="O15">_xll.FDSTHIS(""&amp;N15&amp;"")</f>
        <v/>
      </c>
    </row>
    <row r="16" spans="2:15" x14ac:dyDescent="0.25">
      <c r="C16" s="8" t="s">
        <v>22</v>
      </c>
      <c r="D16" t="str" cm="1">
        <f t="array" ref="D16">_xll.FDSC("-",C16,"PROPER_NAME")</f>
        <v>ConvaTec Group Plc</v>
      </c>
      <c r="E16" s="8" t="s">
        <v>37</v>
      </c>
      <c r="F16" t="str" cm="1">
        <f t="array" ref="F16">_xll.FDSC("-",E16,"PROPER_NAME")</f>
        <v>Games Workshop Group PLC</v>
      </c>
      <c r="G16" s="8"/>
      <c r="H16" t="str" cm="1">
        <f t="array" ref="H16">_xll.FDSC("-",G16,"PROPER_NAME")</f>
        <v>-</v>
      </c>
      <c r="I16" s="8"/>
      <c r="J16" t="str" cm="1">
        <f t="array" ref="J16">_xll.FDSC("-",I16,"PROPER_NAME")</f>
        <v>-</v>
      </c>
      <c r="K16" s="8"/>
      <c r="L16" t="str" cm="1">
        <f t="array" ref="L16">_xll.FDSC("-",K16,"PROPER_NAME")</f>
        <v>-</v>
      </c>
      <c r="O16" t="str" cm="1">
        <f t="array" ref="O16">_xll.FDSTHIS(""&amp;N16&amp;"")</f>
        <v/>
      </c>
    </row>
    <row r="17" spans="1:77" x14ac:dyDescent="0.25">
      <c r="C17" s="8" t="s">
        <v>27</v>
      </c>
      <c r="D17" t="str" cm="1">
        <f t="array" ref="D17">_xll.FDSC("-",C17,"PROPER_NAME")</f>
        <v>Atlas Copco AB Class B</v>
      </c>
      <c r="E17" s="8"/>
      <c r="F17" t="str" cm="1">
        <f t="array" ref="F17">_xll.FDSC("-",E17,"PROPER_NAME")</f>
        <v>-</v>
      </c>
      <c r="G17" s="8"/>
      <c r="H17" t="str" cm="1">
        <f t="array" ref="H17">_xll.FDSC("-",G17,"PROPER_NAME")</f>
        <v>-</v>
      </c>
      <c r="I17" s="8"/>
      <c r="J17" t="str" cm="1">
        <f t="array" ref="J17">_xll.FDSC("-",I17,"PROPER_NAME")</f>
        <v>-</v>
      </c>
      <c r="K17" s="8"/>
      <c r="L17" t="str" cm="1">
        <f t="array" ref="L17">_xll.FDSC("-",K17,"PROPER_NAME")</f>
        <v>-</v>
      </c>
      <c r="O17" t="str" cm="1">
        <f t="array" ref="O17">_xll.FDSTHIS(""&amp;N17&amp;"")</f>
        <v/>
      </c>
    </row>
    <row r="18" spans="1:77" x14ac:dyDescent="0.25">
      <c r="C18" s="8" t="s">
        <v>17</v>
      </c>
      <c r="D18" t="str" cm="1">
        <f t="array" ref="D18">_xll.FDSC("-",C18,"PROPER_NAME")</f>
        <v>Experian PLC</v>
      </c>
      <c r="E18" s="8"/>
      <c r="F18" t="str" cm="1">
        <f t="array" ref="F18">_xll.FDSC("-",E18,"PROPER_NAME")</f>
        <v>-</v>
      </c>
      <c r="G18" s="8"/>
      <c r="H18" t="str" cm="1">
        <f t="array" ref="H18">_xll.FDSC("-",G18,"PROPER_NAME")</f>
        <v>-</v>
      </c>
      <c r="I18" s="8"/>
      <c r="J18" t="str" cm="1">
        <f t="array" ref="J18">_xll.FDSC("-",I18,"PROPER_NAME")</f>
        <v>-</v>
      </c>
      <c r="K18" s="8"/>
      <c r="L18" t="str" cm="1">
        <f t="array" ref="L18">_xll.FDSC("-",K18,"PROPER_NAME")</f>
        <v>-</v>
      </c>
      <c r="O18" t="str" cm="1">
        <f t="array" ref="O18">_xll.FDSTHIS(""&amp;N18&amp;"")</f>
        <v/>
      </c>
    </row>
    <row r="19" spans="1:77" x14ac:dyDescent="0.25">
      <c r="C19" s="8" t="s">
        <v>29</v>
      </c>
      <c r="D19" t="str" cm="1">
        <f t="array" ref="D19">_xll.FDSC("-",C19,"PROPER_NAME")</f>
        <v>Compass Group PLC</v>
      </c>
      <c r="E19" s="8"/>
      <c r="F19" t="str" cm="1">
        <f t="array" ref="F19">_xll.FDSC("-",E19,"PROPER_NAME")</f>
        <v>-</v>
      </c>
      <c r="G19" s="8"/>
      <c r="H19" t="str" cm="1">
        <f t="array" ref="H19">_xll.FDSC("-",G19,"PROPER_NAME")</f>
        <v>-</v>
      </c>
      <c r="I19" s="8"/>
      <c r="J19" t="str" cm="1">
        <f t="array" ref="J19">_xll.FDSC("-",I19,"PROPER_NAME")</f>
        <v>-</v>
      </c>
      <c r="O19" t="str" cm="1">
        <f t="array" ref="O19">_xll.FDSTHIS(""&amp;N19&amp;"")</f>
        <v/>
      </c>
    </row>
    <row r="20" spans="1:77" x14ac:dyDescent="0.25">
      <c r="C20" s="8"/>
      <c r="D20" t="str" cm="1">
        <f t="array" ref="D20">_xll.FDSC("-",C20,"PROPER_NAME")</f>
        <v>-</v>
      </c>
      <c r="E20" s="13"/>
    </row>
    <row r="21" spans="1:77" x14ac:dyDescent="0.25">
      <c r="C21" s="8"/>
      <c r="D21" t="str" cm="1">
        <f t="array" ref="D21">_xll.FDSC("-",C21,"PROPER_NAME")</f>
        <v>-</v>
      </c>
    </row>
    <row r="22" spans="1:77" x14ac:dyDescent="0.25">
      <c r="C22" s="8"/>
      <c r="D22" t="str" cm="1">
        <f t="array" ref="D22">_xll.FDSC("-",C22,"PROPER_NAME")</f>
        <v>-</v>
      </c>
    </row>
    <row r="23" spans="1:77" x14ac:dyDescent="0.25">
      <c r="C23" s="8"/>
      <c r="D23" t="str" cm="1">
        <f t="array" ref="D23">_xll.FDSC("-",C23,"PROPER_NAME")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10/31/2024 and 10/31/2025:</v>
      </c>
    </row>
    <row r="27" spans="1:77" x14ac:dyDescent="0.25">
      <c r="B27" t="str" cm="1">
        <f t="array" ref="B27">_xll.FDSB("DUMMY","STRING_ARRAY IDS=TICKER_LIST('"&amp;_xlfn.TEXTJOIN(" ",TRUE,C5:C23,E5:E23)&amp;"');""FDS Code - Do Not Delete""")</f>
        <v>FDS CODE - DO NOT DELETE</v>
      </c>
      <c r="C27" t="str" cm="1">
        <f t="array" ref="C27">_xll.FDSB("DUMMY","FLOAT_ARRAY CORRELMATRIX=GET_FQL_ARRAY(IDS,'FG_PRICE("&amp;$C$1&amp;","&amp;$C$1&amp;"-"&amp;$C$2&amp;",D,USD)');'FDS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LVMH Moet Hennessy Louis Vuitton SE</v>
      </c>
      <c r="D29" t="str" cm="1">
        <f t="array" ref="D29">_xll.FDS(D30,"FG_COMPANY_NAME")</f>
        <v>Safran SA</v>
      </c>
      <c r="E29" t="str" cm="1">
        <f t="array" ref="E29">_xll.FDS(E30,"FG_COMPANY_NAME")</f>
        <v>Howden Joinery Group PLC</v>
      </c>
      <c r="F29" t="str" cm="1">
        <f t="array" ref="F29">_xll.FDS(F30,"FG_COMPANY_NAME")</f>
        <v>Rentokil Initial plc</v>
      </c>
      <c r="G29" t="str" cm="1">
        <f t="array" ref="G29">_xll.FDS(G30,"FG_COMPANY_NAME")</f>
        <v>Airbus SE</v>
      </c>
      <c r="H29" t="str" cm="1">
        <f t="array" ref="H29">_xll.FDS(H30,"FG_COMPANY_NAME")</f>
        <v>AIA Group Limited</v>
      </c>
      <c r="I29" t="str" cm="1">
        <f t="array" ref="I29">_xll.FDS(I30,"FG_COMPANY_NAME")</f>
        <v>London Stock Exchange Group plc</v>
      </c>
      <c r="J29" t="str" cm="1">
        <f t="array" ref="J29">_xll.FDS(J30,"FG_COMPANY_NAME")</f>
        <v>ASML Holding NV</v>
      </c>
      <c r="K29" t="str" cm="1">
        <f t="array" ref="K29">_xll.FDS(K30,"FG_COMPANY_NAME")</f>
        <v>Deutsche Boerse AG</v>
      </c>
      <c r="L29" t="str" cm="1">
        <f t="array" ref="L29">_xll.FDS(L30,"FG_COMPANY_NAME")</f>
        <v>Compagnie Financiere Richemont SA</v>
      </c>
      <c r="M29" t="str" cm="1">
        <f t="array" ref="M29">_xll.FDS(M30,"FG_COMPANY_NAME")</f>
        <v>Amadeus IT Group SA Class A</v>
      </c>
      <c r="N29" t="str" cm="1">
        <f t="array" ref="N29">_xll.FDS(N30,"FG_COMPANY_NAME")</f>
        <v>ConvaTec Group Plc</v>
      </c>
      <c r="O29" t="str" cm="1">
        <f t="array" ref="O29">_xll.FDS(O30,"FG_COMPANY_NAME")</f>
        <v>Atlas Copco AB Class B</v>
      </c>
      <c r="P29" t="str" cm="1">
        <f t="array" ref="P29">_xll.FDS(P30,"FG_COMPANY_NAME")</f>
        <v>Experian PLC</v>
      </c>
      <c r="Q29" t="str" cm="1">
        <f t="array" ref="Q29">_xll.FDS(Q30,"FG_COMPANY_NAME")</f>
        <v>Compass Group PLC</v>
      </c>
      <c r="R29" t="str" cm="1">
        <f t="array" ref="R29">_xll.FDS(R30,"FG_COMPANY_NAME")</f>
        <v>Wolters Kluwer N.V.</v>
      </c>
      <c r="S29" t="str" cm="1">
        <f t="array" ref="S29">_xll.FDS(S30,"FG_COMPANY_NAME")</f>
        <v>KONE Oyj Class B</v>
      </c>
      <c r="T29" t="str" cm="1">
        <f t="array" ref="T29">_xll.FDS(T30,"FG_COMPANY_NAME")</f>
        <v>Diageo plc</v>
      </c>
      <c r="U29" t="str" cm="1">
        <f t="array" ref="U29">_xll.FDS(U30,"FG_COMPANY_NAME")</f>
        <v>CTS Eventim AG &amp; Co. KGaA</v>
      </c>
      <c r="V29" t="str" cm="1">
        <f t="array" ref="V29">_xll.FDS(V30,"FG_COMPANY_NAME")</f>
        <v>Roche Holding Ltd Dividend Right Cert.</v>
      </c>
      <c r="W29" t="str" cm="1">
        <f t="array" ref="W29">_xll.FDS(W30,"FG_COMPANY_NAME")</f>
        <v>Universal Music Group N.V.</v>
      </c>
      <c r="X29" t="str" cm="1">
        <f t="array" ref="X29">_xll.FDS(X30,"FG_COMPANY_NAME")</f>
        <v>SAP SE</v>
      </c>
      <c r="Y29" t="str" cm="1">
        <f t="array" ref="Y29">_xll.FDS(Y30,"FG_COMPANY_NAME")</f>
        <v>AstraZeneca PLC</v>
      </c>
      <c r="Z29" t="str" cm="1">
        <f t="array" ref="Z29">_xll.FDS(Z30,"FG_COMPANY_NAME")</f>
        <v>Keyence Corporation</v>
      </c>
      <c r="AA29" t="str" cm="1">
        <f t="array" ref="AA29">_xll.FDS(AA30,"FG_COMPANY_NAME")</f>
        <v>Shimano Inc.</v>
      </c>
      <c r="AB29" t="str" cm="1">
        <f t="array" ref="AB29">_xll.FDS(AB30,"FG_COMPANY_NAME")</f>
        <v>Sika AG</v>
      </c>
      <c r="AC29" t="str" cm="1">
        <f t="array" ref="AC29">_xll.FDS(AC30,"FG_COMPANY_NAME")</f>
        <v>Games Workshop Group PLC</v>
      </c>
      <c r="AD29" t="e" cm="1">
        <f t="array" ref="AD29">_xll.FDS(AD30,"FG_COMPANY_NAME")</f>
        <v>#N/A</v>
      </c>
      <c r="AE29" t="e" cm="1">
        <f t="array" ref="AE29">_xll.FDS(AE30,"FG_COMPANY_NAME")</f>
        <v>#N/A</v>
      </c>
      <c r="AF29" t="e" cm="1">
        <f t="array" ref="AF29">_xll.FDS(AF30,"FG_COMPANY_NAME")</f>
        <v>#N/A</v>
      </c>
      <c r="AG29" t="e" cm="1">
        <f t="array" ref="AG29">_xll.FDS(AG30,"FG_COMPANY_NAME")</f>
        <v>#N/A</v>
      </c>
      <c r="AH29" t="e" cm="1">
        <f t="array" ref="AH29">_xll.FDS(AH30,"FG_COMPANY_NAME")</f>
        <v>#N/A</v>
      </c>
      <c r="AI29" t="e" cm="1">
        <f t="array" ref="AI29">_xll.FDS(AI30,"FG_COMPANY_NAME")</f>
        <v>#N/A</v>
      </c>
      <c r="AJ29" t="e" cm="1">
        <f t="array" ref="AJ29">_xll.FDS(AJ30,"FG_COMPANY_NAME")</f>
        <v>#N/A</v>
      </c>
      <c r="AK29" t="e" cm="1">
        <f t="array" ref="AK29">_xll.FDS(AK30,"FG_COMPANY_NAME")</f>
        <v>#N/A</v>
      </c>
      <c r="AL29" t="e" cm="1">
        <f t="array" ref="AL29">_xll.FDS(AL30,"FG_COMPANY_NAME")</f>
        <v>#N/A</v>
      </c>
      <c r="AM29" t="e" cm="1">
        <f t="array" ref="AM29">_xll.FDS(AM30,"FG_COMPANY_NAME")</f>
        <v>#N/A</v>
      </c>
      <c r="AN29" t="e" cm="1">
        <f t="array" ref="AN29">_xll.FDS(AN30,"FG_COMPANY_NAME")</f>
        <v>#N/A</v>
      </c>
      <c r="AO29" t="e" cm="1">
        <f t="array" ref="AO29">_xll.FDS(AO30,"FG_COMPANY_NAME")</f>
        <v>#N/A</v>
      </c>
      <c r="AP29" t="e" cm="1">
        <f t="array" ref="AP29">_xll.FDS(AP30,"FG_COMPANY_NAME")</f>
        <v>#N/A</v>
      </c>
      <c r="AQ29" t="e" cm="1">
        <f t="array" ref="AQ29">_xll.FDS(AQ30,"FG_COMPANY_NAME")</f>
        <v>#N/A</v>
      </c>
      <c r="AR29" t="e" cm="1">
        <f t="array" ref="AR29">_xll.FDS(AR30,"FG_COMPANY_NAME")</f>
        <v>#N/A</v>
      </c>
      <c r="AS29" t="e" cm="1">
        <f t="array" ref="AS29">_xll.FDS(AS30,"FG_COMPANY_NAME")</f>
        <v>#N/A</v>
      </c>
      <c r="AT29" t="e" cm="1">
        <f t="array" ref="AT29">_xll.FDS(AT30,"FG_COMPANY_NAME")</f>
        <v>#N/A</v>
      </c>
      <c r="AU29" t="e" cm="1">
        <f t="array" ref="AU29">_xll.FDS(AU30,"FG_COMPANY_NAME")</f>
        <v>#N/A</v>
      </c>
      <c r="AV29" t="e" cm="1">
        <f t="array" ref="AV29">_xll.FDS(AV30,"FG_COMPANY_NAME")</f>
        <v>#N/A</v>
      </c>
      <c r="AW29" t="e" cm="1">
        <f t="array" ref="AW29">_xll.FDS(AW30,"FG_COMPANY_NAME")</f>
        <v>#N/A</v>
      </c>
      <c r="AX29" t="e" cm="1">
        <f t="array" ref="AX29">_xll.FDS(AX30,"FG_COMPANY_NAME")</f>
        <v>#N/A</v>
      </c>
      <c r="AY29" t="e" cm="1">
        <f t="array" ref="AY29">_xll.FDS(AY30,"FG_COMPANY_NAME")</f>
        <v>#N/A</v>
      </c>
      <c r="AZ29" t="e" cm="1">
        <f t="array" ref="AZ29">_xll.FDS(AZ30,"FG_COMPANY_NAME")</f>
        <v>#N/A</v>
      </c>
      <c r="BA29" t="e" cm="1">
        <f t="array" ref="BA29">_xll.FDS(BA30,"FG_COMPANY_NAME")</f>
        <v>#N/A</v>
      </c>
      <c r="BB29" t="e" cm="1">
        <f t="array" ref="BB29">_xll.FDS(BB30,"FG_COMPANY_NAME")</f>
        <v>#N/A</v>
      </c>
      <c r="BC29" t="e" cm="1">
        <f t="array" ref="BC29">_xll.FDS(BC30,"FG_COMPANY_NAME")</f>
        <v>#N/A</v>
      </c>
      <c r="BD29" t="e" cm="1">
        <f t="array" ref="BD29">_xll.FDS(BD30,"FG_COMPANY_NAME")</f>
        <v>#N/A</v>
      </c>
      <c r="BE29" t="e" cm="1">
        <f t="array" ref="BE29">_xll.FDS(BE30,"FG_COMPANY_NAME")</f>
        <v>#N/A</v>
      </c>
      <c r="BF29" t="e" cm="1">
        <f t="array" ref="BF29">_xll.FDS(BF30,"FG_COMPANY_NAME")</f>
        <v>#N/A</v>
      </c>
      <c r="BG29" t="e" cm="1">
        <f t="array" ref="BG29">_xll.FDS(BG30,"FG_COMPANY_NAME")</f>
        <v>#N/A</v>
      </c>
      <c r="BH29" t="e" cm="1">
        <f t="array" ref="BH29">_xll.FDS(BH30,"FG_COMPANY_NAME")</f>
        <v>#N/A</v>
      </c>
      <c r="BI29" t="e" cm="1">
        <f t="array" ref="BI29">_xll.FDS(BI30,"FG_COMPANY_NAME")</f>
        <v>#N/A</v>
      </c>
    </row>
    <row r="30" spans="1:77" ht="15" customHeight="1" x14ac:dyDescent="0.25">
      <c r="C30" s="3" t="str" cm="1">
        <f t="array" ref="C30:AC30">_xll.FDSR(V27,"IDS")</f>
        <v>MC-FR</v>
      </c>
      <c r="D30" s="6" t="str">
        <v>SAF-FR</v>
      </c>
      <c r="E30" s="6" t="str">
        <v>HWDN-GB</v>
      </c>
      <c r="F30" s="6" t="str">
        <v>RTO-GB</v>
      </c>
      <c r="G30" s="6" t="str">
        <v>AIR-FR</v>
      </c>
      <c r="H30" s="6" t="str">
        <v>1299-HK</v>
      </c>
      <c r="I30" s="6" t="str">
        <v>LSEG-GB</v>
      </c>
      <c r="J30" s="6" t="str">
        <v>ASML-NL</v>
      </c>
      <c r="K30" s="6" t="str">
        <v>DB1-DE</v>
      </c>
      <c r="L30" s="6" t="str">
        <v>CFR-CH</v>
      </c>
      <c r="M30" s="6" t="str">
        <v>AMS-ES</v>
      </c>
      <c r="N30" s="6" t="str">
        <v>CTEC-GB</v>
      </c>
      <c r="O30" s="6" t="str">
        <v>ATCO.B-SE</v>
      </c>
      <c r="P30" s="6" t="str">
        <v>EXPN-GB</v>
      </c>
      <c r="Q30" s="4" t="str">
        <v>CPG-GB</v>
      </c>
      <c r="R30" s="4" t="str">
        <v>WKL-NL</v>
      </c>
      <c r="S30" s="4" t="str">
        <v>KNEBV-FI</v>
      </c>
      <c r="T30" s="4" t="str">
        <v>DGE-GB</v>
      </c>
      <c r="U30" s="4" t="str">
        <v>EVD-DE</v>
      </c>
      <c r="V30" s="4" t="str">
        <v>ROG-CH</v>
      </c>
      <c r="W30" s="4" t="str">
        <v>UMG-NL</v>
      </c>
      <c r="X30" s="4" t="str">
        <v>SAP-DE</v>
      </c>
      <c r="Y30" s="4" t="str">
        <v>AZN-GB</v>
      </c>
      <c r="Z30" s="4" t="str">
        <v>6861-JP</v>
      </c>
      <c r="AA30" s="4" t="str">
        <v>7309-JP</v>
      </c>
      <c r="AB30" s="4" t="str">
        <v>SIKA-CH</v>
      </c>
      <c r="AC30" s="4" t="str">
        <v>GAW-GB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LVMH Moet Hennessy Louis Vuitton SE</v>
      </c>
      <c r="B31" s="4" t="str" cm="1">
        <f t="array" ref="B31:B57">_xll.FDSB(V23,"IDS")</f>
        <v>MC-FR</v>
      </c>
      <c r="C31" s="2" cm="1">
        <f t="array" ref="C31:AC57">_xll.FDSB("DUMMY","CORREL_MATRIX(CORRELMATRIX)")</f>
        <v>1</v>
      </c>
      <c r="D31" s="2">
        <v>-0.35544756</v>
      </c>
      <c r="E31" s="2">
        <v>-0.44744483000000002</v>
      </c>
      <c r="F31" s="2">
        <v>0.36926249999999999</v>
      </c>
      <c r="G31" s="2">
        <v>-0.14997098</v>
      </c>
      <c r="H31" s="2">
        <v>-0.44549355000000002</v>
      </c>
      <c r="I31" s="2">
        <v>-6.5052144000000006E-2</v>
      </c>
      <c r="J31" s="2">
        <v>0.188883</v>
      </c>
      <c r="K31" s="2">
        <v>-0.70415013999999998</v>
      </c>
      <c r="L31" s="2">
        <v>0.15600412</v>
      </c>
      <c r="M31" s="2">
        <v>-0.60356750000000003</v>
      </c>
      <c r="N31" s="2">
        <v>-0.55780989999999997</v>
      </c>
      <c r="O31" s="2">
        <v>0.55128659999999996</v>
      </c>
      <c r="P31" s="2">
        <v>-0.50341784999999994</v>
      </c>
      <c r="Q31" s="2">
        <v>-0.102059804</v>
      </c>
      <c r="R31" s="2">
        <v>9.8681759999999993E-2</v>
      </c>
      <c r="S31" s="2">
        <v>-0.4862612</v>
      </c>
      <c r="T31" s="2">
        <v>0.27004011999999999</v>
      </c>
      <c r="U31" s="2">
        <v>-0.59051936999999999</v>
      </c>
      <c r="V31" s="2">
        <v>-3.0791873000000001E-2</v>
      </c>
      <c r="W31" s="2">
        <v>-0.48063064</v>
      </c>
      <c r="X31" s="2">
        <v>-0.33416066</v>
      </c>
      <c r="Y31" s="2">
        <v>7.102195E-2</v>
      </c>
      <c r="Z31" s="2">
        <v>0.30317944000000002</v>
      </c>
      <c r="AA31" s="2">
        <v>-4.6794376999999998E-2</v>
      </c>
      <c r="AB31" s="2">
        <v>-9.7777149999999993E-2</v>
      </c>
      <c r="AC31" s="2">
        <v>-0.59878710000000002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Safran SA</v>
      </c>
      <c r="B32" s="4" t="str">
        <v>SAF-FR</v>
      </c>
      <c r="C32" s="2">
        <v>-0.35544756</v>
      </c>
      <c r="D32" s="2">
        <v>1</v>
      </c>
      <c r="E32" s="2">
        <v>0.72563255000000004</v>
      </c>
      <c r="F32" s="2">
        <v>0.24754403999999999</v>
      </c>
      <c r="G32" s="2">
        <v>0.95237879999999997</v>
      </c>
      <c r="H32" s="2">
        <v>0.89136959999999998</v>
      </c>
      <c r="I32" s="2">
        <v>-0.59283010000000003</v>
      </c>
      <c r="J32" s="2">
        <v>0.68283649999999996</v>
      </c>
      <c r="K32" s="2">
        <v>0.49742395</v>
      </c>
      <c r="L32" s="2">
        <v>0.55240445999999999</v>
      </c>
      <c r="M32" s="2">
        <v>0.78369160000000004</v>
      </c>
      <c r="N32" s="2">
        <v>0.38547722000000001</v>
      </c>
      <c r="O32" s="2">
        <v>0.26819238000000001</v>
      </c>
      <c r="P32" s="2">
        <v>0.6305383</v>
      </c>
      <c r="Q32" s="2">
        <v>0.35391423</v>
      </c>
      <c r="R32" s="2">
        <v>-0.69500386999999997</v>
      </c>
      <c r="S32" s="2">
        <v>0.91525129999999999</v>
      </c>
      <c r="T32" s="2">
        <v>-0.7985352</v>
      </c>
      <c r="U32" s="2">
        <v>0.30352790000000002</v>
      </c>
      <c r="V32" s="2">
        <v>0.66563360000000005</v>
      </c>
      <c r="W32" s="2">
        <v>0.58232349999999999</v>
      </c>
      <c r="X32" s="2">
        <v>0.50168573999999999</v>
      </c>
      <c r="Y32" s="2">
        <v>0.76967830000000004</v>
      </c>
      <c r="Z32" s="2">
        <v>-0.62257229999999997</v>
      </c>
      <c r="AA32" s="2">
        <v>-0.6592517</v>
      </c>
      <c r="AB32" s="2">
        <v>-0.48968780000000001</v>
      </c>
      <c r="AC32" s="2">
        <v>0.77796960000000004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Howden Joinery Group PLC</v>
      </c>
      <c r="B33" s="4" t="str">
        <v>HWDN-GB</v>
      </c>
      <c r="C33" s="2">
        <v>-0.44744483000000002</v>
      </c>
      <c r="D33" s="2">
        <v>0.72563255000000004</v>
      </c>
      <c r="E33" s="2">
        <v>1</v>
      </c>
      <c r="F33" s="2">
        <v>0.42603479999999999</v>
      </c>
      <c r="G33" s="2">
        <v>0.63600796000000004</v>
      </c>
      <c r="H33" s="2">
        <v>0.75122739999999999</v>
      </c>
      <c r="I33" s="2">
        <v>-0.33039615</v>
      </c>
      <c r="J33" s="2">
        <v>0.43133431999999999</v>
      </c>
      <c r="K33" s="2">
        <v>0.35068487999999998</v>
      </c>
      <c r="L33" s="2">
        <v>0.26479312999999999</v>
      </c>
      <c r="M33" s="2">
        <v>0.64865375000000003</v>
      </c>
      <c r="N33" s="2">
        <v>0.40579094999999998</v>
      </c>
      <c r="O33" s="2">
        <v>9.1552410000000001E-2</v>
      </c>
      <c r="P33" s="2">
        <v>0.80694896000000005</v>
      </c>
      <c r="Q33" s="2">
        <v>0.59328930000000002</v>
      </c>
      <c r="R33" s="2">
        <v>-0.33263692</v>
      </c>
      <c r="S33" s="2">
        <v>0.74126230000000004</v>
      </c>
      <c r="T33" s="2">
        <v>-0.39889622000000002</v>
      </c>
      <c r="U33" s="2">
        <v>0.33127466</v>
      </c>
      <c r="V33" s="2">
        <v>0.29484846999999997</v>
      </c>
      <c r="W33" s="2">
        <v>0.54713420000000001</v>
      </c>
      <c r="X33" s="2">
        <v>0.43248801999999997</v>
      </c>
      <c r="Y33" s="2">
        <v>0.41183043000000003</v>
      </c>
      <c r="Z33" s="2">
        <v>-0.25388889999999997</v>
      </c>
      <c r="AA33" s="2">
        <v>-0.42193940000000002</v>
      </c>
      <c r="AB33" s="2">
        <v>-4.1733739999999998E-2</v>
      </c>
      <c r="AC33" s="2">
        <v>0.70168900000000001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Rentokil Initial plc</v>
      </c>
      <c r="B34" s="4" t="str">
        <v>RTO-GB</v>
      </c>
      <c r="C34" s="2">
        <v>0.36926249999999999</v>
      </c>
      <c r="D34" s="2">
        <v>0.24754403999999999</v>
      </c>
      <c r="E34" s="2">
        <v>0.42603479999999999</v>
      </c>
      <c r="F34" s="2">
        <v>1</v>
      </c>
      <c r="G34" s="2">
        <v>0.36222133000000001</v>
      </c>
      <c r="H34" s="2">
        <v>0.27473997999999999</v>
      </c>
      <c r="I34" s="2">
        <v>-0.45805982000000001</v>
      </c>
      <c r="J34" s="2">
        <v>0.5669729</v>
      </c>
      <c r="K34" s="2">
        <v>-0.48590955000000002</v>
      </c>
      <c r="L34" s="2">
        <v>7.6674119999999998E-2</v>
      </c>
      <c r="M34" s="2">
        <v>-0.12260428</v>
      </c>
      <c r="N34" s="2">
        <v>-0.27976802000000001</v>
      </c>
      <c r="O34" s="2">
        <v>0.4175469</v>
      </c>
      <c r="P34" s="2">
        <v>0.11803714</v>
      </c>
      <c r="Q34" s="2">
        <v>0.34000096000000002</v>
      </c>
      <c r="R34" s="2">
        <v>-0.33845413000000002</v>
      </c>
      <c r="S34" s="2">
        <v>0.18149693</v>
      </c>
      <c r="T34" s="2">
        <v>-6.4852489999999999E-2</v>
      </c>
      <c r="U34" s="2">
        <v>-0.45630093999999999</v>
      </c>
      <c r="V34" s="2">
        <v>0.11788984399999999</v>
      </c>
      <c r="W34" s="2">
        <v>-0.21764620000000001</v>
      </c>
      <c r="X34" s="2">
        <v>-0.20127661999999999</v>
      </c>
      <c r="Y34" s="2">
        <v>0.37154927999999998</v>
      </c>
      <c r="Z34" s="2">
        <v>4.5013998E-2</v>
      </c>
      <c r="AA34" s="2">
        <v>-0.48401393999999998</v>
      </c>
      <c r="AB34" s="2">
        <v>-0.24762492999999999</v>
      </c>
      <c r="AC34" s="2">
        <v>-8.1493995999999999E-2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Airbus SE</v>
      </c>
      <c r="B35" s="4" t="str">
        <v>AIR-FR</v>
      </c>
      <c r="C35" s="2">
        <v>-0.14997098</v>
      </c>
      <c r="D35" s="2">
        <v>0.95237879999999997</v>
      </c>
      <c r="E35" s="2">
        <v>0.63600796000000004</v>
      </c>
      <c r="F35" s="2">
        <v>0.36222133000000001</v>
      </c>
      <c r="G35" s="2">
        <v>1</v>
      </c>
      <c r="H35" s="2">
        <v>0.84636299999999998</v>
      </c>
      <c r="I35" s="2">
        <v>-0.66543436</v>
      </c>
      <c r="J35" s="2">
        <v>0.80790234000000005</v>
      </c>
      <c r="K35" s="2">
        <v>0.31976998000000001</v>
      </c>
      <c r="L35" s="2">
        <v>0.57714146</v>
      </c>
      <c r="M35" s="2">
        <v>0.64628180000000002</v>
      </c>
      <c r="N35" s="2">
        <v>0.24863969</v>
      </c>
      <c r="O35" s="2">
        <v>0.39980939999999998</v>
      </c>
      <c r="P35" s="2">
        <v>0.49169489999999999</v>
      </c>
      <c r="Q35" s="2">
        <v>0.28748532999999998</v>
      </c>
      <c r="R35" s="2">
        <v>-0.74044293000000005</v>
      </c>
      <c r="S35" s="2">
        <v>0.83789020000000003</v>
      </c>
      <c r="T35" s="2">
        <v>-0.76937275999999999</v>
      </c>
      <c r="U35" s="2">
        <v>0.10849047000000001</v>
      </c>
      <c r="V35" s="2">
        <v>0.66156197000000005</v>
      </c>
      <c r="W35" s="2">
        <v>0.4695299</v>
      </c>
      <c r="X35" s="2">
        <v>0.40238030000000002</v>
      </c>
      <c r="Y35" s="2">
        <v>0.81189100000000003</v>
      </c>
      <c r="Z35" s="2">
        <v>-0.62065594999999996</v>
      </c>
      <c r="AA35" s="2">
        <v>-0.71927319999999995</v>
      </c>
      <c r="AB35" s="2">
        <v>-0.57989230000000003</v>
      </c>
      <c r="AC35" s="2">
        <v>0.67023889999999997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AIA Group Limited</v>
      </c>
      <c r="B36" s="4" t="str">
        <v>1299-HK</v>
      </c>
      <c r="C36" s="2">
        <v>-0.44549355000000002</v>
      </c>
      <c r="D36" s="2">
        <v>0.89136959999999998</v>
      </c>
      <c r="E36" s="2">
        <v>0.75122739999999999</v>
      </c>
      <c r="F36" s="2">
        <v>0.27473997999999999</v>
      </c>
      <c r="G36" s="2">
        <v>0.84636299999999998</v>
      </c>
      <c r="H36" s="2">
        <v>1</v>
      </c>
      <c r="I36" s="2">
        <v>-0.67889505999999999</v>
      </c>
      <c r="J36" s="2">
        <v>0.57674199999999998</v>
      </c>
      <c r="K36" s="2">
        <v>0.33061644000000001</v>
      </c>
      <c r="L36" s="2">
        <v>0.26360855</v>
      </c>
      <c r="M36" s="2">
        <v>0.65789209999999998</v>
      </c>
      <c r="N36" s="2">
        <v>0.27851294999999998</v>
      </c>
      <c r="O36" s="2">
        <v>0.15635514</v>
      </c>
      <c r="P36" s="2">
        <v>0.55935573999999999</v>
      </c>
      <c r="Q36" s="2">
        <v>0.24472362</v>
      </c>
      <c r="R36" s="2">
        <v>-0.77699744999999998</v>
      </c>
      <c r="S36" s="2">
        <v>0.82003910000000002</v>
      </c>
      <c r="T36" s="2">
        <v>-0.65477209999999997</v>
      </c>
      <c r="U36" s="2">
        <v>0.14610770000000001</v>
      </c>
      <c r="V36" s="2">
        <v>0.52503233999999999</v>
      </c>
      <c r="W36" s="2">
        <v>0.36528139999999998</v>
      </c>
      <c r="X36" s="2">
        <v>0.21367352000000001</v>
      </c>
      <c r="Y36" s="2">
        <v>0.66242266000000005</v>
      </c>
      <c r="Z36" s="2">
        <v>-0.55957352999999999</v>
      </c>
      <c r="AA36" s="2">
        <v>-0.61033349999999997</v>
      </c>
      <c r="AB36" s="2">
        <v>-0.41175357000000001</v>
      </c>
      <c r="AC36" s="2">
        <v>0.64972149999999995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London Stock Exchange Group plc</v>
      </c>
      <c r="B37" s="4" t="str">
        <v>LSEG-GB</v>
      </c>
      <c r="C37" s="2">
        <v>-6.5052144000000006E-2</v>
      </c>
      <c r="D37" s="2">
        <v>-0.59283010000000003</v>
      </c>
      <c r="E37" s="2">
        <v>-0.33039615</v>
      </c>
      <c r="F37" s="2">
        <v>-0.45805982000000001</v>
      </c>
      <c r="G37" s="2">
        <v>-0.66543436</v>
      </c>
      <c r="H37" s="2">
        <v>-0.67889505999999999</v>
      </c>
      <c r="I37" s="2">
        <v>1</v>
      </c>
      <c r="J37" s="2">
        <v>-0.64939462999999997</v>
      </c>
      <c r="K37" s="2">
        <v>0.25646022000000002</v>
      </c>
      <c r="L37" s="2">
        <v>-7.1392893999999998E-2</v>
      </c>
      <c r="M37" s="2">
        <v>-9.7451425999999994E-2</v>
      </c>
      <c r="N37" s="2">
        <v>0.32696631999999998</v>
      </c>
      <c r="O37" s="2">
        <v>-0.28965846000000001</v>
      </c>
      <c r="P37" s="2">
        <v>-8.0277234000000003E-2</v>
      </c>
      <c r="Q37" s="2">
        <v>5.3296067000000003E-2</v>
      </c>
      <c r="R37" s="2">
        <v>0.86294859999999995</v>
      </c>
      <c r="S37" s="2">
        <v>-0.42973383999999998</v>
      </c>
      <c r="T37" s="2">
        <v>0.46444904999999997</v>
      </c>
      <c r="U37" s="2">
        <v>0.44181794000000002</v>
      </c>
      <c r="V37" s="2">
        <v>-0.36136471999999997</v>
      </c>
      <c r="W37" s="2">
        <v>0.19579094999999999</v>
      </c>
      <c r="X37" s="2">
        <v>0.30403491999999999</v>
      </c>
      <c r="Y37" s="2">
        <v>-0.63034619999999997</v>
      </c>
      <c r="Z37" s="2">
        <v>0.55235124000000002</v>
      </c>
      <c r="AA37" s="2">
        <v>0.79588413000000002</v>
      </c>
      <c r="AB37" s="2">
        <v>0.69871810000000001</v>
      </c>
      <c r="AC37" s="2">
        <v>-6.2993090000000002E-2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ASML Holding NV</v>
      </c>
      <c r="B38" s="4" t="str">
        <v>ASML-NL</v>
      </c>
      <c r="C38" s="2">
        <v>0.188883</v>
      </c>
      <c r="D38" s="2">
        <v>0.68283649999999996</v>
      </c>
      <c r="E38" s="2">
        <v>0.43133431999999999</v>
      </c>
      <c r="F38" s="2">
        <v>0.5669729</v>
      </c>
      <c r="G38" s="2">
        <v>0.80790234000000005</v>
      </c>
      <c r="H38" s="2">
        <v>0.57674199999999998</v>
      </c>
      <c r="I38" s="2">
        <v>-0.64939462999999997</v>
      </c>
      <c r="J38" s="2">
        <v>1</v>
      </c>
      <c r="K38" s="2">
        <v>-5.7106850000000001E-2</v>
      </c>
      <c r="L38" s="2">
        <v>0.50632980000000005</v>
      </c>
      <c r="M38" s="2">
        <v>0.25589338</v>
      </c>
      <c r="N38" s="2">
        <v>8.6349780000000001E-2</v>
      </c>
      <c r="O38" s="2">
        <v>0.5642895</v>
      </c>
      <c r="P38" s="2">
        <v>0.12174718</v>
      </c>
      <c r="Q38" s="2">
        <v>0.11364139600000001</v>
      </c>
      <c r="R38" s="2">
        <v>-0.58239510000000005</v>
      </c>
      <c r="S38" s="2">
        <v>0.59307145999999999</v>
      </c>
      <c r="T38" s="2">
        <v>-0.61715096000000003</v>
      </c>
      <c r="U38" s="2">
        <v>-0.2105571</v>
      </c>
      <c r="V38" s="2">
        <v>0.50207966999999998</v>
      </c>
      <c r="W38" s="2">
        <v>0.15619670999999999</v>
      </c>
      <c r="X38" s="2">
        <v>0.14526169999999999</v>
      </c>
      <c r="Y38" s="2">
        <v>0.66976720000000001</v>
      </c>
      <c r="Z38" s="2">
        <v>-0.32675465999999997</v>
      </c>
      <c r="AA38" s="2">
        <v>-0.64398986000000003</v>
      </c>
      <c r="AB38" s="2">
        <v>-0.59759574999999998</v>
      </c>
      <c r="AC38" s="2">
        <v>0.3136545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Deutsche Boerse AG</v>
      </c>
      <c r="B39" s="4" t="str">
        <v>DB1-DE</v>
      </c>
      <c r="C39" s="2">
        <v>-0.70415013999999998</v>
      </c>
      <c r="D39" s="2">
        <v>0.49742395</v>
      </c>
      <c r="E39" s="2">
        <v>0.35068487999999998</v>
      </c>
      <c r="F39" s="2">
        <v>-0.48590955000000002</v>
      </c>
      <c r="G39" s="2">
        <v>0.31976998000000001</v>
      </c>
      <c r="H39" s="2">
        <v>0.33061644000000001</v>
      </c>
      <c r="I39" s="2">
        <v>0.25646022000000002</v>
      </c>
      <c r="J39" s="2">
        <v>-5.7106850000000001E-2</v>
      </c>
      <c r="K39" s="2">
        <v>1</v>
      </c>
      <c r="L39" s="2">
        <v>0.42614022000000001</v>
      </c>
      <c r="M39" s="2">
        <v>0.83804053000000001</v>
      </c>
      <c r="N39" s="2">
        <v>0.80258255999999994</v>
      </c>
      <c r="O39" s="2">
        <v>-0.20984212999999999</v>
      </c>
      <c r="P39" s="2">
        <v>0.53707059999999995</v>
      </c>
      <c r="Q39" s="2">
        <v>0.26159241999999999</v>
      </c>
      <c r="R39" s="2">
        <v>-9.5302700000000004E-3</v>
      </c>
      <c r="S39" s="2">
        <v>0.62319325999999997</v>
      </c>
      <c r="T39" s="2">
        <v>-0.47163820000000001</v>
      </c>
      <c r="U39" s="2">
        <v>0.85228970000000004</v>
      </c>
      <c r="V39" s="2">
        <v>0.39345244000000001</v>
      </c>
      <c r="W39" s="2">
        <v>0.83028953999999999</v>
      </c>
      <c r="X39" s="2">
        <v>0.7723158</v>
      </c>
      <c r="Y39" s="2">
        <v>0.20526071000000001</v>
      </c>
      <c r="Z39" s="2">
        <v>-0.29717988000000001</v>
      </c>
      <c r="AA39" s="2">
        <v>8.3717659999999999E-2</v>
      </c>
      <c r="AB39" s="2">
        <v>6.5486340000000004E-2</v>
      </c>
      <c r="AC39" s="2">
        <v>0.81362950000000001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Compagnie Financiere Richemont SA</v>
      </c>
      <c r="B40" s="4" t="str">
        <v>CFR-CH</v>
      </c>
      <c r="C40" s="2">
        <v>0.15600412</v>
      </c>
      <c r="D40" s="2">
        <v>0.55240445999999999</v>
      </c>
      <c r="E40" s="2">
        <v>0.26479312999999999</v>
      </c>
      <c r="F40" s="2">
        <v>7.6674119999999998E-2</v>
      </c>
      <c r="G40" s="2">
        <v>0.57714146</v>
      </c>
      <c r="H40" s="2">
        <v>0.26360855</v>
      </c>
      <c r="I40" s="2">
        <v>-7.1392893999999998E-2</v>
      </c>
      <c r="J40" s="2">
        <v>0.50632980000000005</v>
      </c>
      <c r="K40" s="2">
        <v>0.42614022000000001</v>
      </c>
      <c r="L40" s="2">
        <v>1</v>
      </c>
      <c r="M40" s="2">
        <v>0.49914720000000001</v>
      </c>
      <c r="N40" s="2">
        <v>0.47532692999999998</v>
      </c>
      <c r="O40" s="2">
        <v>0.62963860000000005</v>
      </c>
      <c r="P40" s="2">
        <v>0.34242523000000002</v>
      </c>
      <c r="Q40" s="2">
        <v>0.33509728</v>
      </c>
      <c r="R40" s="2">
        <v>-0.15968563999999999</v>
      </c>
      <c r="S40" s="2">
        <v>0.58111849999999998</v>
      </c>
      <c r="T40" s="2">
        <v>-0.61586510000000005</v>
      </c>
      <c r="U40" s="2">
        <v>0.39796779999999998</v>
      </c>
      <c r="V40" s="2">
        <v>0.7397241</v>
      </c>
      <c r="W40" s="2">
        <v>0.64684989999999998</v>
      </c>
      <c r="X40" s="2">
        <v>0.64156579999999996</v>
      </c>
      <c r="Y40" s="2">
        <v>0.61930099999999999</v>
      </c>
      <c r="Z40" s="2">
        <v>-0.16557746000000001</v>
      </c>
      <c r="AA40" s="2">
        <v>-0.21873239</v>
      </c>
      <c r="AB40" s="2">
        <v>-0.16350002999999999</v>
      </c>
      <c r="AC40" s="2">
        <v>0.50198509999999996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Amadeus IT Group SA Class A</v>
      </c>
      <c r="B41" s="4" t="str">
        <v>AMS-ES</v>
      </c>
      <c r="C41" s="2">
        <v>-0.60356750000000003</v>
      </c>
      <c r="D41" s="2">
        <v>0.78369160000000004</v>
      </c>
      <c r="E41" s="2">
        <v>0.64865375000000003</v>
      </c>
      <c r="F41" s="2">
        <v>-0.12260428</v>
      </c>
      <c r="G41" s="2">
        <v>0.64628180000000002</v>
      </c>
      <c r="H41" s="2">
        <v>0.65789209999999998</v>
      </c>
      <c r="I41" s="2">
        <v>-9.7451425999999994E-2</v>
      </c>
      <c r="J41" s="2">
        <v>0.25589338</v>
      </c>
      <c r="K41" s="2">
        <v>0.83804053000000001</v>
      </c>
      <c r="L41" s="2">
        <v>0.49914720000000001</v>
      </c>
      <c r="M41" s="2">
        <v>1</v>
      </c>
      <c r="N41" s="2">
        <v>0.69316060000000002</v>
      </c>
      <c r="O41" s="2">
        <v>1.47988945E-2</v>
      </c>
      <c r="P41" s="2">
        <v>0.70624869999999995</v>
      </c>
      <c r="Q41" s="2">
        <v>0.43652301999999998</v>
      </c>
      <c r="R41" s="2">
        <v>-0.31425983000000002</v>
      </c>
      <c r="S41" s="2">
        <v>0.80826396</v>
      </c>
      <c r="T41" s="2">
        <v>-0.59115832999999995</v>
      </c>
      <c r="U41" s="2">
        <v>0.69076603999999997</v>
      </c>
      <c r="V41" s="2">
        <v>0.54756903999999995</v>
      </c>
      <c r="W41" s="2">
        <v>0.81191449999999998</v>
      </c>
      <c r="X41" s="2">
        <v>0.72958579999999995</v>
      </c>
      <c r="Y41" s="2">
        <v>0.50004077000000002</v>
      </c>
      <c r="Z41" s="2">
        <v>-0.42861912000000002</v>
      </c>
      <c r="AA41" s="2">
        <v>-0.23839645000000001</v>
      </c>
      <c r="AB41" s="2">
        <v>-8.7519533999999996E-2</v>
      </c>
      <c r="AC41" s="2">
        <v>0.88591843999999997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ConvaTec Group Plc</v>
      </c>
      <c r="B42" s="4" t="str">
        <v>CTEC-GB</v>
      </c>
      <c r="C42" s="2">
        <v>-0.55780989999999997</v>
      </c>
      <c r="D42" s="2">
        <v>0.38547722000000001</v>
      </c>
      <c r="E42" s="2">
        <v>0.40579094999999998</v>
      </c>
      <c r="F42" s="2">
        <v>-0.27976802000000001</v>
      </c>
      <c r="G42" s="2">
        <v>0.24863969</v>
      </c>
      <c r="H42" s="2">
        <v>0.27851294999999998</v>
      </c>
      <c r="I42" s="2">
        <v>0.32696631999999998</v>
      </c>
      <c r="J42" s="2">
        <v>8.6349780000000001E-2</v>
      </c>
      <c r="K42" s="2">
        <v>0.80258255999999994</v>
      </c>
      <c r="L42" s="2">
        <v>0.47532692999999998</v>
      </c>
      <c r="M42" s="2">
        <v>0.69316060000000002</v>
      </c>
      <c r="N42" s="2">
        <v>1</v>
      </c>
      <c r="O42" s="2">
        <v>3.6908980000000001E-2</v>
      </c>
      <c r="P42" s="2">
        <v>0.45346882999999999</v>
      </c>
      <c r="Q42" s="2">
        <v>0.29867136</v>
      </c>
      <c r="R42" s="2">
        <v>8.9069449999999994E-2</v>
      </c>
      <c r="S42" s="2">
        <v>0.59037273999999995</v>
      </c>
      <c r="T42" s="2">
        <v>-0.42790222</v>
      </c>
      <c r="U42" s="2">
        <v>0.73698514999999998</v>
      </c>
      <c r="V42" s="2">
        <v>0.41802686</v>
      </c>
      <c r="W42" s="2">
        <v>0.75596945999999998</v>
      </c>
      <c r="X42" s="2">
        <v>0.68255149999999998</v>
      </c>
      <c r="Y42" s="2">
        <v>0.17265442</v>
      </c>
      <c r="Z42" s="2">
        <v>-8.8567490000000001E-4</v>
      </c>
      <c r="AA42" s="2">
        <v>0.22248606000000001</v>
      </c>
      <c r="AB42" s="2">
        <v>0.30082372000000002</v>
      </c>
      <c r="AC42" s="2">
        <v>0.70637309999999998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Atlas Copco AB Class B</v>
      </c>
      <c r="B43" s="4" t="str">
        <v>ATCO.B-SE</v>
      </c>
      <c r="C43" s="2">
        <v>0.55128659999999996</v>
      </c>
      <c r="D43" s="2">
        <v>0.26819238000000001</v>
      </c>
      <c r="E43" s="2">
        <v>9.1552410000000001E-2</v>
      </c>
      <c r="F43" s="2">
        <v>0.4175469</v>
      </c>
      <c r="G43" s="2">
        <v>0.39980939999999998</v>
      </c>
      <c r="H43" s="2">
        <v>0.15635514</v>
      </c>
      <c r="I43" s="2">
        <v>-0.28965846000000001</v>
      </c>
      <c r="J43" s="2">
        <v>0.5642895</v>
      </c>
      <c r="K43" s="2">
        <v>-0.20984212999999999</v>
      </c>
      <c r="L43" s="2">
        <v>0.62963860000000005</v>
      </c>
      <c r="M43" s="2">
        <v>1.47988945E-2</v>
      </c>
      <c r="N43" s="2">
        <v>3.6908980000000001E-2</v>
      </c>
      <c r="O43" s="2">
        <v>1</v>
      </c>
      <c r="P43" s="2">
        <v>3.5210789999999999E-2</v>
      </c>
      <c r="Q43" s="2">
        <v>0.19789264000000001</v>
      </c>
      <c r="R43" s="2">
        <v>-0.23974727000000001</v>
      </c>
      <c r="S43" s="2">
        <v>0.26333279999999998</v>
      </c>
      <c r="T43" s="2">
        <v>-0.26251760000000002</v>
      </c>
      <c r="U43" s="2">
        <v>-0.17833117000000001</v>
      </c>
      <c r="V43" s="2">
        <v>0.611209</v>
      </c>
      <c r="W43" s="2">
        <v>8.0772854000000005E-2</v>
      </c>
      <c r="X43" s="2">
        <v>5.5785064000000002E-2</v>
      </c>
      <c r="Y43" s="2">
        <v>0.55382246000000002</v>
      </c>
      <c r="Z43" s="2">
        <v>0.12434711</v>
      </c>
      <c r="AA43" s="2">
        <v>-0.25754254999999998</v>
      </c>
      <c r="AB43" s="2">
        <v>-6.0962700000000002E-2</v>
      </c>
      <c r="AC43" s="2">
        <v>-2.3115829000000001E-2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Experian PLC</v>
      </c>
      <c r="B44" s="4" t="str">
        <v>EXPN-GB</v>
      </c>
      <c r="C44" s="2">
        <v>-0.50341784999999994</v>
      </c>
      <c r="D44" s="2">
        <v>0.6305383</v>
      </c>
      <c r="E44" s="2">
        <v>0.80694896000000005</v>
      </c>
      <c r="F44" s="2">
        <v>0.11803714</v>
      </c>
      <c r="G44" s="2">
        <v>0.49169489999999999</v>
      </c>
      <c r="H44" s="2">
        <v>0.55935573999999999</v>
      </c>
      <c r="I44" s="2">
        <v>-8.0277234000000003E-2</v>
      </c>
      <c r="J44" s="2">
        <v>0.12174718</v>
      </c>
      <c r="K44" s="2">
        <v>0.53707059999999995</v>
      </c>
      <c r="L44" s="2">
        <v>0.34242523000000002</v>
      </c>
      <c r="M44" s="2">
        <v>0.70624869999999995</v>
      </c>
      <c r="N44" s="2">
        <v>0.45346882999999999</v>
      </c>
      <c r="O44" s="2">
        <v>3.5210789999999999E-2</v>
      </c>
      <c r="P44" s="2">
        <v>1</v>
      </c>
      <c r="Q44" s="2">
        <v>0.59213859999999996</v>
      </c>
      <c r="R44" s="2">
        <v>-0.12468708000000001</v>
      </c>
      <c r="S44" s="2">
        <v>0.67048379999999996</v>
      </c>
      <c r="T44" s="2">
        <v>-0.34891638000000003</v>
      </c>
      <c r="U44" s="2">
        <v>0.57672659999999998</v>
      </c>
      <c r="V44" s="2">
        <v>0.32420536999999999</v>
      </c>
      <c r="W44" s="2">
        <v>0.69729430000000003</v>
      </c>
      <c r="X44" s="2">
        <v>0.59631219999999996</v>
      </c>
      <c r="Y44" s="2">
        <v>0.2725379</v>
      </c>
      <c r="Z44" s="2">
        <v>-0.24993059000000001</v>
      </c>
      <c r="AA44" s="2">
        <v>-0.22640483</v>
      </c>
      <c r="AB44" s="2">
        <v>0.14823046000000001</v>
      </c>
      <c r="AC44" s="2">
        <v>0.73796019999999996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Compass Group PLC</v>
      </c>
      <c r="B45" s="4" t="str">
        <v>CPG-GB</v>
      </c>
      <c r="C45" s="2">
        <v>-0.102059804</v>
      </c>
      <c r="D45" s="2">
        <v>0.35391423</v>
      </c>
      <c r="E45" s="2">
        <v>0.59328930000000002</v>
      </c>
      <c r="F45" s="2">
        <v>0.34000096000000002</v>
      </c>
      <c r="G45" s="2">
        <v>0.28748532999999998</v>
      </c>
      <c r="H45" s="2">
        <v>0.24472362</v>
      </c>
      <c r="I45" s="2">
        <v>5.3296067000000003E-2</v>
      </c>
      <c r="J45" s="2">
        <v>0.11364139600000001</v>
      </c>
      <c r="K45" s="2">
        <v>0.26159241999999999</v>
      </c>
      <c r="L45" s="2">
        <v>0.33509728</v>
      </c>
      <c r="M45" s="2">
        <v>0.43652301999999998</v>
      </c>
      <c r="N45" s="2">
        <v>0.29867136</v>
      </c>
      <c r="O45" s="2">
        <v>0.19789264000000001</v>
      </c>
      <c r="P45" s="2">
        <v>0.59213859999999996</v>
      </c>
      <c r="Q45" s="2">
        <v>1</v>
      </c>
      <c r="R45" s="2">
        <v>1.0991182E-2</v>
      </c>
      <c r="S45" s="2">
        <v>0.36692186999999998</v>
      </c>
      <c r="T45" s="2">
        <v>-9.8518030000000006E-2</v>
      </c>
      <c r="U45" s="2">
        <v>0.33735827000000002</v>
      </c>
      <c r="V45" s="2">
        <v>0.20070924000000001</v>
      </c>
      <c r="W45" s="2">
        <v>0.49475219999999998</v>
      </c>
      <c r="X45" s="2">
        <v>0.44051604999999999</v>
      </c>
      <c r="Y45" s="2">
        <v>0.30226950000000002</v>
      </c>
      <c r="Z45" s="2">
        <v>8.64843E-2</v>
      </c>
      <c r="AA45" s="2">
        <v>-0.18775976999999999</v>
      </c>
      <c r="AB45" s="2">
        <v>0.18599433000000001</v>
      </c>
      <c r="AC45" s="2">
        <v>0.46519080000000002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Wolters Kluwer N.V.</v>
      </c>
      <c r="B46" s="4" t="str">
        <v>WKL-NL</v>
      </c>
      <c r="C46" s="2">
        <v>9.8681759999999993E-2</v>
      </c>
      <c r="D46" s="2">
        <v>-0.69500386999999997</v>
      </c>
      <c r="E46" s="2">
        <v>-0.33263692</v>
      </c>
      <c r="F46" s="2">
        <v>-0.33845413000000002</v>
      </c>
      <c r="G46" s="2">
        <v>-0.74044293000000005</v>
      </c>
      <c r="H46" s="2">
        <v>-0.77699744999999998</v>
      </c>
      <c r="I46" s="2">
        <v>0.86294859999999995</v>
      </c>
      <c r="J46" s="2">
        <v>-0.58239510000000005</v>
      </c>
      <c r="K46" s="2">
        <v>-9.5302700000000004E-3</v>
      </c>
      <c r="L46" s="2">
        <v>-0.15968563999999999</v>
      </c>
      <c r="M46" s="2">
        <v>-0.31425983000000002</v>
      </c>
      <c r="N46" s="2">
        <v>8.9069449999999994E-2</v>
      </c>
      <c r="O46" s="2">
        <v>-0.23974727000000001</v>
      </c>
      <c r="P46" s="2">
        <v>-0.12468708000000001</v>
      </c>
      <c r="Q46" s="2">
        <v>1.0991182E-2</v>
      </c>
      <c r="R46" s="2">
        <v>1</v>
      </c>
      <c r="S46" s="2">
        <v>-0.57308300000000001</v>
      </c>
      <c r="T46" s="2">
        <v>0.55203530000000001</v>
      </c>
      <c r="U46" s="2">
        <v>0.27893108</v>
      </c>
      <c r="V46" s="2">
        <v>-0.50697994000000002</v>
      </c>
      <c r="W46" s="2">
        <v>5.0696900000000003E-2</v>
      </c>
      <c r="X46" s="2">
        <v>0.17580826999999999</v>
      </c>
      <c r="Y46" s="2">
        <v>-0.7594069</v>
      </c>
      <c r="Z46" s="2">
        <v>0.62178230000000001</v>
      </c>
      <c r="AA46" s="2">
        <v>0.76267034</v>
      </c>
      <c r="AB46" s="2">
        <v>0.70222850000000003</v>
      </c>
      <c r="AC46" s="2">
        <v>-0.27142127999999999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KONE Oyj Class B</v>
      </c>
      <c r="B47" s="4" t="str">
        <v>KNEBV-FI</v>
      </c>
      <c r="C47" s="2">
        <v>-0.4862612</v>
      </c>
      <c r="D47" s="2">
        <v>0.91525129999999999</v>
      </c>
      <c r="E47" s="2">
        <v>0.74126230000000004</v>
      </c>
      <c r="F47" s="2">
        <v>0.18149693</v>
      </c>
      <c r="G47" s="2">
        <v>0.83789020000000003</v>
      </c>
      <c r="H47" s="2">
        <v>0.82003910000000002</v>
      </c>
      <c r="I47" s="2">
        <v>-0.42973383999999998</v>
      </c>
      <c r="J47" s="2">
        <v>0.59307145999999999</v>
      </c>
      <c r="K47" s="2">
        <v>0.62319325999999997</v>
      </c>
      <c r="L47" s="2">
        <v>0.58111849999999998</v>
      </c>
      <c r="M47" s="2">
        <v>0.80826396</v>
      </c>
      <c r="N47" s="2">
        <v>0.59037273999999995</v>
      </c>
      <c r="O47" s="2">
        <v>0.26333279999999998</v>
      </c>
      <c r="P47" s="2">
        <v>0.67048379999999996</v>
      </c>
      <c r="Q47" s="2">
        <v>0.36692186999999998</v>
      </c>
      <c r="R47" s="2">
        <v>-0.57308300000000001</v>
      </c>
      <c r="S47" s="2">
        <v>1</v>
      </c>
      <c r="T47" s="2">
        <v>-0.79635920000000004</v>
      </c>
      <c r="U47" s="2">
        <v>0.45929821999999998</v>
      </c>
      <c r="V47" s="2">
        <v>0.70123522999999999</v>
      </c>
      <c r="W47" s="2">
        <v>0.67078435000000003</v>
      </c>
      <c r="X47" s="2">
        <v>0.51810999999999996</v>
      </c>
      <c r="Y47" s="2">
        <v>0.67866320000000002</v>
      </c>
      <c r="Z47" s="2">
        <v>-0.51605725000000002</v>
      </c>
      <c r="AA47" s="2">
        <v>-0.48047042000000001</v>
      </c>
      <c r="AB47" s="2">
        <v>-0.31505135000000001</v>
      </c>
      <c r="AC47" s="2">
        <v>0.81933690000000003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Diageo plc</v>
      </c>
      <c r="B48" s="4" t="str">
        <v>DGE-GB</v>
      </c>
      <c r="C48" s="2">
        <v>0.27004011999999999</v>
      </c>
      <c r="D48" s="2">
        <v>-0.7985352</v>
      </c>
      <c r="E48" s="2">
        <v>-0.39889622000000002</v>
      </c>
      <c r="F48" s="2">
        <v>-6.4852489999999999E-2</v>
      </c>
      <c r="G48" s="2">
        <v>-0.76937275999999999</v>
      </c>
      <c r="H48" s="2">
        <v>-0.65477209999999997</v>
      </c>
      <c r="I48" s="2">
        <v>0.46444904999999997</v>
      </c>
      <c r="J48" s="2">
        <v>-0.61715096000000003</v>
      </c>
      <c r="K48" s="2">
        <v>-0.47163820000000001</v>
      </c>
      <c r="L48" s="2">
        <v>-0.61586510000000005</v>
      </c>
      <c r="M48" s="2">
        <v>-0.59115832999999995</v>
      </c>
      <c r="N48" s="2">
        <v>-0.42790222</v>
      </c>
      <c r="O48" s="2">
        <v>-0.26251760000000002</v>
      </c>
      <c r="P48" s="2">
        <v>-0.34891638000000003</v>
      </c>
      <c r="Q48" s="2">
        <v>-9.8518030000000006E-2</v>
      </c>
      <c r="R48" s="2">
        <v>0.55203530000000001</v>
      </c>
      <c r="S48" s="2">
        <v>-0.79635920000000004</v>
      </c>
      <c r="T48" s="2">
        <v>1</v>
      </c>
      <c r="U48" s="2">
        <v>-0.31717416999999998</v>
      </c>
      <c r="V48" s="2">
        <v>-0.72009809999999996</v>
      </c>
      <c r="W48" s="2">
        <v>-0.49022951999999997</v>
      </c>
      <c r="X48" s="2">
        <v>-0.4310813</v>
      </c>
      <c r="Y48" s="2">
        <v>-0.65752392999999998</v>
      </c>
      <c r="Z48" s="2">
        <v>0.62692446000000002</v>
      </c>
      <c r="AA48" s="2">
        <v>0.39411393</v>
      </c>
      <c r="AB48" s="2">
        <v>0.4772942</v>
      </c>
      <c r="AC48" s="2">
        <v>-0.59832660000000004</v>
      </c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CTS Eventim AG &amp; Co. KGaA</v>
      </c>
      <c r="B49" s="4" t="str">
        <v>EVD-DE</v>
      </c>
      <c r="C49" s="2">
        <v>-0.59051936999999999</v>
      </c>
      <c r="D49" s="2">
        <v>0.30352790000000002</v>
      </c>
      <c r="E49" s="2">
        <v>0.33127466</v>
      </c>
      <c r="F49" s="2">
        <v>-0.45630093999999999</v>
      </c>
      <c r="G49" s="2">
        <v>0.10849047000000001</v>
      </c>
      <c r="H49" s="2">
        <v>0.14610770000000001</v>
      </c>
      <c r="I49" s="2">
        <v>0.44181794000000002</v>
      </c>
      <c r="J49" s="2">
        <v>-0.2105571</v>
      </c>
      <c r="K49" s="2">
        <v>0.85228970000000004</v>
      </c>
      <c r="L49" s="2">
        <v>0.39796779999999998</v>
      </c>
      <c r="M49" s="2">
        <v>0.69076603999999997</v>
      </c>
      <c r="N49" s="2">
        <v>0.73698514999999998</v>
      </c>
      <c r="O49" s="2">
        <v>-0.17833117000000001</v>
      </c>
      <c r="P49" s="2">
        <v>0.57672659999999998</v>
      </c>
      <c r="Q49" s="2">
        <v>0.33735827000000002</v>
      </c>
      <c r="R49" s="2">
        <v>0.27893108</v>
      </c>
      <c r="S49" s="2">
        <v>0.45929821999999998</v>
      </c>
      <c r="T49" s="2">
        <v>-0.31717416999999998</v>
      </c>
      <c r="U49" s="2">
        <v>1</v>
      </c>
      <c r="V49" s="2">
        <v>0.27706009999999998</v>
      </c>
      <c r="W49" s="2">
        <v>0.82251200000000002</v>
      </c>
      <c r="X49" s="2">
        <v>0.78073037000000001</v>
      </c>
      <c r="Y49" s="2">
        <v>-2.6012737000000001E-2</v>
      </c>
      <c r="Z49" s="2">
        <v>-9.3100569999999994E-2</v>
      </c>
      <c r="AA49" s="2">
        <v>0.30404546999999998</v>
      </c>
      <c r="AB49" s="2">
        <v>0.36915125999999998</v>
      </c>
      <c r="AC49" s="2">
        <v>0.63967160000000001</v>
      </c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Roche Holding Ltd Dividend Right Cert.</v>
      </c>
      <c r="B50" s="4" t="str">
        <v>ROG-CH</v>
      </c>
      <c r="C50" s="2">
        <v>-3.0791873000000001E-2</v>
      </c>
      <c r="D50" s="2">
        <v>0.66563360000000005</v>
      </c>
      <c r="E50" s="2">
        <v>0.29484846999999997</v>
      </c>
      <c r="F50" s="2">
        <v>0.11788984399999999</v>
      </c>
      <c r="G50" s="2">
        <v>0.66156197000000005</v>
      </c>
      <c r="H50" s="2">
        <v>0.52503233999999999</v>
      </c>
      <c r="I50" s="2">
        <v>-0.36136471999999997</v>
      </c>
      <c r="J50" s="2">
        <v>0.50207966999999998</v>
      </c>
      <c r="K50" s="2">
        <v>0.39345244000000001</v>
      </c>
      <c r="L50" s="2">
        <v>0.7397241</v>
      </c>
      <c r="M50" s="2">
        <v>0.54756903999999995</v>
      </c>
      <c r="N50" s="2">
        <v>0.41802686</v>
      </c>
      <c r="O50" s="2">
        <v>0.611209</v>
      </c>
      <c r="P50" s="2">
        <v>0.32420536999999999</v>
      </c>
      <c r="Q50" s="2">
        <v>0.20070924000000001</v>
      </c>
      <c r="R50" s="2">
        <v>-0.50697994000000002</v>
      </c>
      <c r="S50" s="2">
        <v>0.70123522999999999</v>
      </c>
      <c r="T50" s="2">
        <v>-0.72009809999999996</v>
      </c>
      <c r="U50" s="2">
        <v>0.27706009999999998</v>
      </c>
      <c r="V50" s="2">
        <v>1</v>
      </c>
      <c r="W50" s="2">
        <v>0.47273335</v>
      </c>
      <c r="X50" s="2">
        <v>0.38009929999999997</v>
      </c>
      <c r="Y50" s="2">
        <v>0.81838049999999996</v>
      </c>
      <c r="Z50" s="2">
        <v>-0.3282794</v>
      </c>
      <c r="AA50" s="2">
        <v>-0.28564706000000001</v>
      </c>
      <c r="AB50" s="2">
        <v>-0.22626542999999999</v>
      </c>
      <c r="AC50" s="2">
        <v>0.46090952000000002</v>
      </c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Universal Music Group N.V.</v>
      </c>
      <c r="B51" s="4" t="str">
        <v>UMG-NL</v>
      </c>
      <c r="C51" s="2">
        <v>-0.48063064</v>
      </c>
      <c r="D51" s="2">
        <v>0.58232349999999999</v>
      </c>
      <c r="E51" s="2">
        <v>0.54713420000000001</v>
      </c>
      <c r="F51" s="2">
        <v>-0.21764620000000001</v>
      </c>
      <c r="G51" s="2">
        <v>0.4695299</v>
      </c>
      <c r="H51" s="2">
        <v>0.36528139999999998</v>
      </c>
      <c r="I51" s="2">
        <v>0.19579094999999999</v>
      </c>
      <c r="J51" s="2">
        <v>0.15619670999999999</v>
      </c>
      <c r="K51" s="2">
        <v>0.83028953999999999</v>
      </c>
      <c r="L51" s="2">
        <v>0.64684989999999998</v>
      </c>
      <c r="M51" s="2">
        <v>0.81191449999999998</v>
      </c>
      <c r="N51" s="2">
        <v>0.75596945999999998</v>
      </c>
      <c r="O51" s="2">
        <v>8.0772854000000005E-2</v>
      </c>
      <c r="P51" s="2">
        <v>0.69729430000000003</v>
      </c>
      <c r="Q51" s="2">
        <v>0.49475219999999998</v>
      </c>
      <c r="R51" s="2">
        <v>5.0696900000000003E-2</v>
      </c>
      <c r="S51" s="2">
        <v>0.67078435000000003</v>
      </c>
      <c r="T51" s="2">
        <v>-0.49022951999999997</v>
      </c>
      <c r="U51" s="2">
        <v>0.82251200000000002</v>
      </c>
      <c r="V51" s="2">
        <v>0.47273335</v>
      </c>
      <c r="W51" s="2">
        <v>1</v>
      </c>
      <c r="X51" s="2">
        <v>0.88843733000000003</v>
      </c>
      <c r="Y51" s="2">
        <v>0.28692331999999998</v>
      </c>
      <c r="Z51" s="2">
        <v>-0.22337934000000001</v>
      </c>
      <c r="AA51" s="2">
        <v>1.5604188999999999E-2</v>
      </c>
      <c r="AB51" s="2">
        <v>0.17899045</v>
      </c>
      <c r="AC51" s="2">
        <v>0.83249086000000005</v>
      </c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SAP SE</v>
      </c>
      <c r="B52" s="4" t="str">
        <v>SAP-DE</v>
      </c>
      <c r="C52" s="2">
        <v>-0.33416066</v>
      </c>
      <c r="D52" s="2">
        <v>0.50168573999999999</v>
      </c>
      <c r="E52" s="2">
        <v>0.43248801999999997</v>
      </c>
      <c r="F52" s="2">
        <v>-0.20127661999999999</v>
      </c>
      <c r="G52" s="2">
        <v>0.40238030000000002</v>
      </c>
      <c r="H52" s="2">
        <v>0.21367352000000001</v>
      </c>
      <c r="I52" s="2">
        <v>0.30403491999999999</v>
      </c>
      <c r="J52" s="2">
        <v>0.14526169999999999</v>
      </c>
      <c r="K52" s="2">
        <v>0.7723158</v>
      </c>
      <c r="L52" s="2">
        <v>0.64156579999999996</v>
      </c>
      <c r="M52" s="2">
        <v>0.72958579999999995</v>
      </c>
      <c r="N52" s="2">
        <v>0.68255149999999998</v>
      </c>
      <c r="O52" s="2">
        <v>5.5785064000000002E-2</v>
      </c>
      <c r="P52" s="2">
        <v>0.59631219999999996</v>
      </c>
      <c r="Q52" s="2">
        <v>0.44051604999999999</v>
      </c>
      <c r="R52" s="2">
        <v>0.17580826999999999</v>
      </c>
      <c r="S52" s="2">
        <v>0.51810999999999996</v>
      </c>
      <c r="T52" s="2">
        <v>-0.4310813</v>
      </c>
      <c r="U52" s="2">
        <v>0.78073037000000001</v>
      </c>
      <c r="V52" s="2">
        <v>0.38009929999999997</v>
      </c>
      <c r="W52" s="2">
        <v>0.88843733000000003</v>
      </c>
      <c r="X52" s="2">
        <v>1</v>
      </c>
      <c r="Y52" s="2">
        <v>0.22151361</v>
      </c>
      <c r="Z52" s="2">
        <v>-0.108608305</v>
      </c>
      <c r="AA52" s="2">
        <v>9.0452420000000006E-2</v>
      </c>
      <c r="AB52" s="2">
        <v>0.15210736999999999</v>
      </c>
      <c r="AC52" s="2">
        <v>0.78040134999999999</v>
      </c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AstraZeneca PLC</v>
      </c>
      <c r="B53" s="4" t="str">
        <v>AZN-GB</v>
      </c>
      <c r="C53" s="2">
        <v>7.102195E-2</v>
      </c>
      <c r="D53" s="2">
        <v>0.76967830000000004</v>
      </c>
      <c r="E53" s="2">
        <v>0.41183043000000003</v>
      </c>
      <c r="F53" s="2">
        <v>0.37154927999999998</v>
      </c>
      <c r="G53" s="2">
        <v>0.81189100000000003</v>
      </c>
      <c r="H53" s="2">
        <v>0.66242266000000005</v>
      </c>
      <c r="I53" s="2">
        <v>-0.63034619999999997</v>
      </c>
      <c r="J53" s="2">
        <v>0.66976720000000001</v>
      </c>
      <c r="K53" s="2">
        <v>0.20526071000000001</v>
      </c>
      <c r="L53" s="2">
        <v>0.61930099999999999</v>
      </c>
      <c r="M53" s="2">
        <v>0.50004077000000002</v>
      </c>
      <c r="N53" s="2">
        <v>0.17265442</v>
      </c>
      <c r="O53" s="2">
        <v>0.55382246000000002</v>
      </c>
      <c r="P53" s="2">
        <v>0.2725379</v>
      </c>
      <c r="Q53" s="2">
        <v>0.30226950000000002</v>
      </c>
      <c r="R53" s="2">
        <v>-0.7594069</v>
      </c>
      <c r="S53" s="2">
        <v>0.67866320000000002</v>
      </c>
      <c r="T53" s="2">
        <v>-0.65752392999999998</v>
      </c>
      <c r="U53" s="2">
        <v>-2.6012737000000001E-2</v>
      </c>
      <c r="V53" s="2">
        <v>0.81838049999999996</v>
      </c>
      <c r="W53" s="2">
        <v>0.28692331999999998</v>
      </c>
      <c r="X53" s="2">
        <v>0.22151361</v>
      </c>
      <c r="Y53" s="2">
        <v>1</v>
      </c>
      <c r="Z53" s="2">
        <v>-0.46304536000000002</v>
      </c>
      <c r="AA53" s="2">
        <v>-0.66434409999999999</v>
      </c>
      <c r="AB53" s="2">
        <v>-0.56791550000000002</v>
      </c>
      <c r="AC53" s="2">
        <v>0.46421277999999999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Keyence Corporation</v>
      </c>
      <c r="B54" s="4" t="str">
        <v>6861-JP</v>
      </c>
      <c r="C54" s="2">
        <v>0.30317944000000002</v>
      </c>
      <c r="D54" s="2">
        <v>-0.62257229999999997</v>
      </c>
      <c r="E54" s="2">
        <v>-0.25388889999999997</v>
      </c>
      <c r="F54" s="2">
        <v>4.5013998E-2</v>
      </c>
      <c r="G54" s="2">
        <v>-0.62065594999999996</v>
      </c>
      <c r="H54" s="2">
        <v>-0.55957352999999999</v>
      </c>
      <c r="I54" s="2">
        <v>0.55235124000000002</v>
      </c>
      <c r="J54" s="2">
        <v>-0.32675465999999997</v>
      </c>
      <c r="K54" s="2">
        <v>-0.29717988000000001</v>
      </c>
      <c r="L54" s="2">
        <v>-0.16557746000000001</v>
      </c>
      <c r="M54" s="2">
        <v>-0.42861912000000002</v>
      </c>
      <c r="N54" s="2">
        <v>-8.8567490000000001E-4</v>
      </c>
      <c r="O54" s="2">
        <v>0.12434711</v>
      </c>
      <c r="P54" s="2">
        <v>-0.24993059000000001</v>
      </c>
      <c r="Q54" s="2">
        <v>8.64843E-2</v>
      </c>
      <c r="R54" s="2">
        <v>0.62178230000000001</v>
      </c>
      <c r="S54" s="2">
        <v>-0.51605725000000002</v>
      </c>
      <c r="T54" s="2">
        <v>0.62692446000000002</v>
      </c>
      <c r="U54" s="2">
        <v>-9.3100569999999994E-2</v>
      </c>
      <c r="V54" s="2">
        <v>-0.3282794</v>
      </c>
      <c r="W54" s="2">
        <v>-0.22337934000000001</v>
      </c>
      <c r="X54" s="2">
        <v>-0.108608305</v>
      </c>
      <c r="Y54" s="2">
        <v>-0.46304536000000002</v>
      </c>
      <c r="Z54" s="2">
        <v>1</v>
      </c>
      <c r="AA54" s="2">
        <v>0.55102649999999997</v>
      </c>
      <c r="AB54" s="2">
        <v>0.5967093</v>
      </c>
      <c r="AC54" s="2">
        <v>-0.41765400000000003</v>
      </c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Shimano Inc.</v>
      </c>
      <c r="B55" s="4" t="str">
        <v>7309-JP</v>
      </c>
      <c r="C55" s="2">
        <v>-4.6794376999999998E-2</v>
      </c>
      <c r="D55" s="2">
        <v>-0.6592517</v>
      </c>
      <c r="E55" s="2">
        <v>-0.42193940000000002</v>
      </c>
      <c r="F55" s="2">
        <v>-0.48401393999999998</v>
      </c>
      <c r="G55" s="2">
        <v>-0.71927319999999995</v>
      </c>
      <c r="H55" s="2">
        <v>-0.61033349999999997</v>
      </c>
      <c r="I55" s="2">
        <v>0.79588413000000002</v>
      </c>
      <c r="J55" s="2">
        <v>-0.64398986000000003</v>
      </c>
      <c r="K55" s="2">
        <v>8.3717659999999999E-2</v>
      </c>
      <c r="L55" s="2">
        <v>-0.21873239</v>
      </c>
      <c r="M55" s="2">
        <v>-0.23839645000000001</v>
      </c>
      <c r="N55" s="2">
        <v>0.22248606000000001</v>
      </c>
      <c r="O55" s="2">
        <v>-0.25754254999999998</v>
      </c>
      <c r="P55" s="2">
        <v>-0.22640483</v>
      </c>
      <c r="Q55" s="2">
        <v>-0.18775976999999999</v>
      </c>
      <c r="R55" s="2">
        <v>0.76267034</v>
      </c>
      <c r="S55" s="2">
        <v>-0.48047042000000001</v>
      </c>
      <c r="T55" s="2">
        <v>0.39411393</v>
      </c>
      <c r="U55" s="2">
        <v>0.30404546999999998</v>
      </c>
      <c r="V55" s="2">
        <v>-0.28564706000000001</v>
      </c>
      <c r="W55" s="2">
        <v>1.5604188999999999E-2</v>
      </c>
      <c r="X55" s="2">
        <v>9.0452420000000006E-2</v>
      </c>
      <c r="Y55" s="2">
        <v>-0.66434409999999999</v>
      </c>
      <c r="Z55" s="2">
        <v>0.55102649999999997</v>
      </c>
      <c r="AA55" s="2">
        <v>1</v>
      </c>
      <c r="AB55" s="2">
        <v>0.74447525000000003</v>
      </c>
      <c r="AC55" s="2">
        <v>-0.24645099000000001</v>
      </c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Sika AG</v>
      </c>
      <c r="B56" s="4" t="str">
        <v>SIKA-CH</v>
      </c>
      <c r="C56" s="2">
        <v>-9.7777149999999993E-2</v>
      </c>
      <c r="D56" s="2">
        <v>-0.48968780000000001</v>
      </c>
      <c r="E56" s="2">
        <v>-4.1733739999999998E-2</v>
      </c>
      <c r="F56" s="2">
        <v>-0.24762492999999999</v>
      </c>
      <c r="G56" s="2">
        <v>-0.57989230000000003</v>
      </c>
      <c r="H56" s="2">
        <v>-0.41175357000000001</v>
      </c>
      <c r="I56" s="2">
        <v>0.69871810000000001</v>
      </c>
      <c r="J56" s="2">
        <v>-0.59759574999999998</v>
      </c>
      <c r="K56" s="2">
        <v>6.5486340000000004E-2</v>
      </c>
      <c r="L56" s="2">
        <v>-0.16350002999999999</v>
      </c>
      <c r="M56" s="2">
        <v>-8.7519533999999996E-2</v>
      </c>
      <c r="N56" s="2">
        <v>0.30082372000000002</v>
      </c>
      <c r="O56" s="2">
        <v>-6.0962700000000002E-2</v>
      </c>
      <c r="P56" s="2">
        <v>0.14823046000000001</v>
      </c>
      <c r="Q56" s="2">
        <v>0.18599433000000001</v>
      </c>
      <c r="R56" s="2">
        <v>0.70222850000000003</v>
      </c>
      <c r="S56" s="2">
        <v>-0.31505135000000001</v>
      </c>
      <c r="T56" s="2">
        <v>0.4772942</v>
      </c>
      <c r="U56" s="2">
        <v>0.36915125999999998</v>
      </c>
      <c r="V56" s="2">
        <v>-0.22626542999999999</v>
      </c>
      <c r="W56" s="2">
        <v>0.17899045</v>
      </c>
      <c r="X56" s="2">
        <v>0.15210736999999999</v>
      </c>
      <c r="Y56" s="2">
        <v>-0.56791550000000002</v>
      </c>
      <c r="Z56" s="2">
        <v>0.5967093</v>
      </c>
      <c r="AA56" s="2">
        <v>0.74447525000000003</v>
      </c>
      <c r="AB56" s="2">
        <v>1</v>
      </c>
      <c r="AC56" s="2">
        <v>-0.11989793</v>
      </c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Games Workshop Group PLC</v>
      </c>
      <c r="B57" s="4" t="str">
        <v>GAW-GB</v>
      </c>
      <c r="C57" s="2">
        <v>-0.59878710000000002</v>
      </c>
      <c r="D57" s="2">
        <v>0.77796960000000004</v>
      </c>
      <c r="E57" s="2">
        <v>0.70168900000000001</v>
      </c>
      <c r="F57" s="2">
        <v>-8.1493995999999999E-2</v>
      </c>
      <c r="G57" s="2">
        <v>0.67023889999999997</v>
      </c>
      <c r="H57" s="2">
        <v>0.64972149999999995</v>
      </c>
      <c r="I57" s="2">
        <v>-6.2993090000000002E-2</v>
      </c>
      <c r="J57" s="2">
        <v>0.3136545</v>
      </c>
      <c r="K57" s="2">
        <v>0.81362950000000001</v>
      </c>
      <c r="L57" s="2">
        <v>0.50198509999999996</v>
      </c>
      <c r="M57" s="2">
        <v>0.88591843999999997</v>
      </c>
      <c r="N57" s="2">
        <v>0.70637309999999998</v>
      </c>
      <c r="O57" s="2">
        <v>-2.3115829000000001E-2</v>
      </c>
      <c r="P57" s="2">
        <v>0.73796019999999996</v>
      </c>
      <c r="Q57" s="2">
        <v>0.46519080000000002</v>
      </c>
      <c r="R57" s="2">
        <v>-0.27142127999999999</v>
      </c>
      <c r="S57" s="2">
        <v>0.81933690000000003</v>
      </c>
      <c r="T57" s="2">
        <v>-0.59832660000000004</v>
      </c>
      <c r="U57" s="2">
        <v>0.63967160000000001</v>
      </c>
      <c r="V57" s="2">
        <v>0.46090952000000002</v>
      </c>
      <c r="W57" s="2">
        <v>0.83249086000000005</v>
      </c>
      <c r="X57" s="2">
        <v>0.78040134999999999</v>
      </c>
      <c r="Y57" s="2">
        <v>0.46421277999999999</v>
      </c>
      <c r="Z57" s="2">
        <v>-0.41765400000000003</v>
      </c>
      <c r="AA57" s="2">
        <v>-0.24645099000000001</v>
      </c>
      <c r="AB57" s="2">
        <v>-0.11989793</v>
      </c>
      <c r="AC57" s="2">
        <v>1</v>
      </c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2:77" x14ac:dyDescent="0.25"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2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2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2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2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2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2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2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2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2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2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2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2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2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2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2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2:H479"/>
  <sheetViews>
    <sheetView topLeftCell="A4" workbookViewId="0">
      <selection activeCell="H9" sqref="H9"/>
    </sheetView>
  </sheetViews>
  <sheetFormatPr defaultRowHeight="15" x14ac:dyDescent="0.25"/>
  <cols>
    <col min="1" max="1" width="10.5703125" bestFit="1" customWidth="1"/>
    <col min="2" max="2" width="13.42578125" customWidth="1"/>
  </cols>
  <sheetData>
    <row r="2" spans="1:8" x14ac:dyDescent="0.25">
      <c r="A2" t="s">
        <v>2</v>
      </c>
      <c r="B2" s="7">
        <v>45657</v>
      </c>
    </row>
    <row r="3" spans="1:8" x14ac:dyDescent="0.25">
      <c r="A3" t="s">
        <v>3</v>
      </c>
      <c r="B3" s="7" t="s">
        <v>4</v>
      </c>
    </row>
    <row r="6" spans="1:8" x14ac:dyDescent="0.25">
      <c r="B6" s="4" t="s">
        <v>7</v>
      </c>
      <c r="C6" s="4" t="s">
        <v>5</v>
      </c>
      <c r="D6" s="4" t="s">
        <v>6</v>
      </c>
    </row>
    <row r="7" spans="1:8" x14ac:dyDescent="0.25">
      <c r="B7" s="5" cm="1">
        <f t="array" ref="B7:B259">_xll.FDS(C6,"JULIAN(FG_PRICE("&amp;$B$2&amp;","&amp;$B$2&amp;"-"&amp;$B$3&amp;",,USD).dates)")</f>
        <v>45657</v>
      </c>
      <c r="C7" cm="1">
        <f t="array" ref="C7:C259">_xll.FDS(C6,"FG_PRICE("&amp;$B$2&amp;","&amp;$B$2&amp;"-"&amp;$B$3&amp;",,USD)")</f>
        <v>585.51</v>
      </c>
      <c r="D7" cm="1">
        <f t="array" ref="D7:D259">_xll.FDS(D6,"FG_PRICE("&amp;$B$2&amp;","&amp;$B$2&amp;"-"&amp;$B$3&amp;",,USD)")</f>
        <v>219.39</v>
      </c>
      <c r="G7" s="9" t="s">
        <v>8</v>
      </c>
      <c r="H7" s="10">
        <f>Backend!C32</f>
        <v>-0.35544756</v>
      </c>
    </row>
    <row r="8" spans="1:8" x14ac:dyDescent="0.25">
      <c r="B8" s="5">
        <v>45656</v>
      </c>
      <c r="C8">
        <v>591.24</v>
      </c>
      <c r="D8">
        <v>221.3</v>
      </c>
      <c r="G8" t="s">
        <v>9</v>
      </c>
      <c r="H8" s="11">
        <f>CORREL(_xlfn.ANCHORARRAY(C7),_xlfn.ANCHORARRAY(D7))</f>
        <v>0.82708172253855361</v>
      </c>
    </row>
    <row r="9" spans="1:8" x14ac:dyDescent="0.25">
      <c r="B9" s="5">
        <v>45653</v>
      </c>
      <c r="C9">
        <v>599.80999999999995</v>
      </c>
      <c r="D9">
        <v>223.75</v>
      </c>
      <c r="G9" t="s">
        <v>10</v>
      </c>
      <c r="H9" s="11">
        <f>PEARSON(_xlfn.ANCHORARRAY(C7),_xlfn.ANCHORARRAY(D7))</f>
        <v>0.82708172253855361</v>
      </c>
    </row>
    <row r="10" spans="1:8" x14ac:dyDescent="0.25">
      <c r="B10" s="5">
        <v>45652</v>
      </c>
      <c r="C10">
        <v>603.35</v>
      </c>
      <c r="D10">
        <v>227.05</v>
      </c>
    </row>
    <row r="11" spans="1:8" x14ac:dyDescent="0.25">
      <c r="B11" s="5">
        <v>45650</v>
      </c>
      <c r="C11">
        <v>607.75</v>
      </c>
      <c r="D11">
        <v>229.05</v>
      </c>
    </row>
    <row r="12" spans="1:8" x14ac:dyDescent="0.25">
      <c r="B12" s="5">
        <v>45649</v>
      </c>
      <c r="C12">
        <v>599.85</v>
      </c>
      <c r="D12">
        <v>225.06</v>
      </c>
    </row>
    <row r="13" spans="1:8" x14ac:dyDescent="0.25">
      <c r="B13" s="5">
        <v>45646</v>
      </c>
      <c r="C13">
        <v>585.25</v>
      </c>
      <c r="D13">
        <v>224.92</v>
      </c>
    </row>
    <row r="14" spans="1:8" x14ac:dyDescent="0.25">
      <c r="B14" s="5">
        <v>45645</v>
      </c>
      <c r="C14">
        <v>595.57000000000005</v>
      </c>
      <c r="D14">
        <v>223.29</v>
      </c>
    </row>
    <row r="15" spans="1:8" x14ac:dyDescent="0.25">
      <c r="B15" s="5">
        <v>45644</v>
      </c>
      <c r="C15">
        <v>597.19000000000005</v>
      </c>
      <c r="D15">
        <v>220.52</v>
      </c>
    </row>
    <row r="16" spans="1:8" x14ac:dyDescent="0.25">
      <c r="B16" s="5">
        <v>45643</v>
      </c>
      <c r="C16">
        <v>619.44000000000005</v>
      </c>
      <c r="D16">
        <v>231.15</v>
      </c>
    </row>
    <row r="17" spans="2:4" x14ac:dyDescent="0.25">
      <c r="B17" s="5">
        <v>45642</v>
      </c>
      <c r="C17">
        <v>624.24</v>
      </c>
      <c r="D17">
        <v>232.93</v>
      </c>
    </row>
    <row r="18" spans="2:4" x14ac:dyDescent="0.25">
      <c r="B18" s="5">
        <v>45639</v>
      </c>
      <c r="C18">
        <v>620.35</v>
      </c>
      <c r="D18">
        <v>227.46</v>
      </c>
    </row>
    <row r="19" spans="2:4" x14ac:dyDescent="0.25">
      <c r="B19" s="5">
        <v>45638</v>
      </c>
      <c r="C19">
        <v>630.79</v>
      </c>
      <c r="D19">
        <v>228.97</v>
      </c>
    </row>
    <row r="20" spans="2:4" x14ac:dyDescent="0.25">
      <c r="B20" s="5">
        <v>45637</v>
      </c>
      <c r="C20">
        <v>632.67999999999995</v>
      </c>
      <c r="D20">
        <v>230.26</v>
      </c>
    </row>
    <row r="21" spans="2:4" x14ac:dyDescent="0.25">
      <c r="B21" s="5">
        <v>45636</v>
      </c>
      <c r="C21">
        <v>619.32000000000005</v>
      </c>
      <c r="D21">
        <v>225.04</v>
      </c>
    </row>
    <row r="22" spans="2:4" x14ac:dyDescent="0.25">
      <c r="B22" s="5">
        <v>45635</v>
      </c>
      <c r="C22">
        <v>613.57000000000005</v>
      </c>
      <c r="D22">
        <v>226.09</v>
      </c>
    </row>
    <row r="23" spans="2:4" x14ac:dyDescent="0.25">
      <c r="B23" s="5">
        <v>45632</v>
      </c>
      <c r="C23">
        <v>623.77</v>
      </c>
      <c r="D23">
        <v>227.03</v>
      </c>
    </row>
    <row r="24" spans="2:4" x14ac:dyDescent="0.25">
      <c r="B24" s="5">
        <v>45631</v>
      </c>
      <c r="C24">
        <v>608.92999999999995</v>
      </c>
      <c r="D24">
        <v>220.55</v>
      </c>
    </row>
    <row r="25" spans="2:4" x14ac:dyDescent="0.25">
      <c r="B25" s="5">
        <v>45630</v>
      </c>
      <c r="C25">
        <v>613.78</v>
      </c>
      <c r="D25">
        <v>218.16</v>
      </c>
    </row>
    <row r="26" spans="2:4" x14ac:dyDescent="0.25">
      <c r="B26" s="5">
        <v>45629</v>
      </c>
      <c r="C26">
        <v>613.65</v>
      </c>
      <c r="D26">
        <v>213.44</v>
      </c>
    </row>
    <row r="27" spans="2:4" x14ac:dyDescent="0.25">
      <c r="B27" s="5">
        <v>45628</v>
      </c>
      <c r="C27">
        <v>592.83000000000004</v>
      </c>
      <c r="D27">
        <v>210.71</v>
      </c>
    </row>
    <row r="28" spans="2:4" x14ac:dyDescent="0.25">
      <c r="B28" s="5">
        <v>45625</v>
      </c>
      <c r="C28">
        <v>574.32000000000005</v>
      </c>
      <c r="D28">
        <v>207.89</v>
      </c>
    </row>
    <row r="29" spans="2:4" x14ac:dyDescent="0.25">
      <c r="B29" s="5">
        <v>45623</v>
      </c>
      <c r="C29">
        <v>569.20000000000005</v>
      </c>
      <c r="D29">
        <v>205.74</v>
      </c>
    </row>
    <row r="30" spans="2:4" x14ac:dyDescent="0.25">
      <c r="B30" s="5">
        <v>45622</v>
      </c>
      <c r="C30">
        <v>573.54</v>
      </c>
      <c r="D30">
        <v>207.86</v>
      </c>
    </row>
    <row r="31" spans="2:4" x14ac:dyDescent="0.25">
      <c r="B31" s="5">
        <v>45621</v>
      </c>
      <c r="C31">
        <v>565.11</v>
      </c>
      <c r="D31">
        <v>201.45</v>
      </c>
    </row>
    <row r="32" spans="2:4" x14ac:dyDescent="0.25">
      <c r="B32" s="5">
        <v>45618</v>
      </c>
      <c r="C32">
        <v>559.14</v>
      </c>
      <c r="D32">
        <v>197.12</v>
      </c>
    </row>
    <row r="33" spans="2:4" x14ac:dyDescent="0.25">
      <c r="B33" s="5">
        <v>45617</v>
      </c>
      <c r="C33">
        <v>563.09</v>
      </c>
      <c r="D33">
        <v>198.38</v>
      </c>
    </row>
    <row r="34" spans="2:4" x14ac:dyDescent="0.25">
      <c r="B34" s="5">
        <v>45616</v>
      </c>
      <c r="C34">
        <v>565.52</v>
      </c>
      <c r="D34">
        <v>202.88</v>
      </c>
    </row>
    <row r="35" spans="2:4" x14ac:dyDescent="0.25">
      <c r="B35" s="5">
        <v>45615</v>
      </c>
      <c r="C35">
        <v>561.09</v>
      </c>
      <c r="D35">
        <v>204.61</v>
      </c>
    </row>
    <row r="36" spans="2:4" x14ac:dyDescent="0.25">
      <c r="B36" s="5">
        <v>45614</v>
      </c>
      <c r="C36">
        <v>554.4</v>
      </c>
      <c r="D36">
        <v>201.7</v>
      </c>
    </row>
    <row r="37" spans="2:4" x14ac:dyDescent="0.25">
      <c r="B37" s="5">
        <v>45611</v>
      </c>
      <c r="C37">
        <v>554.08000000000004</v>
      </c>
      <c r="D37">
        <v>202.61</v>
      </c>
    </row>
    <row r="38" spans="2:4" x14ac:dyDescent="0.25">
      <c r="B38" s="5">
        <v>45610</v>
      </c>
      <c r="C38">
        <v>577.16</v>
      </c>
      <c r="D38">
        <v>211.48</v>
      </c>
    </row>
    <row r="39" spans="2:4" x14ac:dyDescent="0.25">
      <c r="B39" s="5">
        <v>45609</v>
      </c>
      <c r="C39">
        <v>580</v>
      </c>
      <c r="D39">
        <v>214.1</v>
      </c>
    </row>
    <row r="40" spans="2:4" x14ac:dyDescent="0.25">
      <c r="B40" s="5">
        <v>45608</v>
      </c>
      <c r="C40">
        <v>584.82000000000005</v>
      </c>
      <c r="D40">
        <v>208.91</v>
      </c>
    </row>
    <row r="41" spans="2:4" x14ac:dyDescent="0.25">
      <c r="B41" s="5">
        <v>45607</v>
      </c>
      <c r="C41">
        <v>583.16999999999996</v>
      </c>
      <c r="D41">
        <v>206.84</v>
      </c>
    </row>
    <row r="42" spans="2:4" x14ac:dyDescent="0.25">
      <c r="B42" s="5">
        <v>45604</v>
      </c>
      <c r="C42">
        <v>589.34</v>
      </c>
      <c r="D42">
        <v>208.18</v>
      </c>
    </row>
    <row r="43" spans="2:4" x14ac:dyDescent="0.25">
      <c r="B43" s="5">
        <v>45603</v>
      </c>
      <c r="C43">
        <v>591.70000000000005</v>
      </c>
      <c r="D43">
        <v>210.05</v>
      </c>
    </row>
    <row r="44" spans="2:4" x14ac:dyDescent="0.25">
      <c r="B44" s="5">
        <v>45602</v>
      </c>
      <c r="C44">
        <v>572.04999999999995</v>
      </c>
      <c r="D44">
        <v>207.09</v>
      </c>
    </row>
    <row r="45" spans="2:4" x14ac:dyDescent="0.25">
      <c r="B45" s="5">
        <v>45601</v>
      </c>
      <c r="C45">
        <v>572.42999999999995</v>
      </c>
      <c r="D45">
        <v>199.5</v>
      </c>
    </row>
    <row r="46" spans="2:4" x14ac:dyDescent="0.25">
      <c r="B46" s="5">
        <v>45600</v>
      </c>
      <c r="C46">
        <v>560.67999999999995</v>
      </c>
      <c r="D46">
        <v>195.78</v>
      </c>
    </row>
    <row r="47" spans="2:4" x14ac:dyDescent="0.25">
      <c r="B47" s="5">
        <v>45597</v>
      </c>
      <c r="C47">
        <v>567.16</v>
      </c>
      <c r="D47">
        <v>197.93</v>
      </c>
    </row>
    <row r="48" spans="2:4" x14ac:dyDescent="0.25">
      <c r="B48" s="5">
        <v>45596</v>
      </c>
      <c r="C48">
        <v>567.58000000000004</v>
      </c>
      <c r="D48">
        <v>186.4</v>
      </c>
    </row>
    <row r="49" spans="2:4" x14ac:dyDescent="0.25">
      <c r="B49" s="5">
        <v>45595</v>
      </c>
      <c r="C49">
        <v>591.79999999999995</v>
      </c>
      <c r="D49">
        <v>192.73</v>
      </c>
    </row>
    <row r="50" spans="2:4" x14ac:dyDescent="0.25">
      <c r="B50" s="5">
        <v>45594</v>
      </c>
      <c r="C50">
        <v>593.28</v>
      </c>
      <c r="D50">
        <v>190.83</v>
      </c>
    </row>
    <row r="51" spans="2:4" x14ac:dyDescent="0.25">
      <c r="B51" s="5">
        <v>45593</v>
      </c>
      <c r="C51">
        <v>578.16</v>
      </c>
      <c r="D51">
        <v>188.39</v>
      </c>
    </row>
    <row r="52" spans="2:4" x14ac:dyDescent="0.25">
      <c r="B52" s="5">
        <v>45590</v>
      </c>
      <c r="C52">
        <v>573.25</v>
      </c>
      <c r="D52">
        <v>187.83</v>
      </c>
    </row>
    <row r="53" spans="2:4" x14ac:dyDescent="0.25">
      <c r="B53" s="5">
        <v>45589</v>
      </c>
      <c r="C53">
        <v>567.78</v>
      </c>
      <c r="D53">
        <v>186.38</v>
      </c>
    </row>
    <row r="54" spans="2:4" x14ac:dyDescent="0.25">
      <c r="B54" s="5">
        <v>45588</v>
      </c>
      <c r="C54">
        <v>563.69000000000005</v>
      </c>
      <c r="D54">
        <v>184.71</v>
      </c>
    </row>
    <row r="55" spans="2:4" x14ac:dyDescent="0.25">
      <c r="B55" s="5">
        <v>45587</v>
      </c>
      <c r="C55">
        <v>582.01</v>
      </c>
      <c r="D55">
        <v>189.7</v>
      </c>
    </row>
    <row r="56" spans="2:4" x14ac:dyDescent="0.25">
      <c r="B56" s="5">
        <v>45586</v>
      </c>
      <c r="C56">
        <v>575.16</v>
      </c>
      <c r="D56">
        <v>189.07</v>
      </c>
    </row>
    <row r="57" spans="2:4" x14ac:dyDescent="0.25">
      <c r="B57" s="5">
        <v>45583</v>
      </c>
      <c r="C57">
        <v>576.47</v>
      </c>
      <c r="D57">
        <v>188.99</v>
      </c>
    </row>
    <row r="58" spans="2:4" x14ac:dyDescent="0.25">
      <c r="B58" s="5">
        <v>45582</v>
      </c>
      <c r="C58">
        <v>576.92999999999995</v>
      </c>
      <c r="D58">
        <v>187.53</v>
      </c>
    </row>
    <row r="59" spans="2:4" x14ac:dyDescent="0.25">
      <c r="B59" s="5">
        <v>45581</v>
      </c>
      <c r="C59">
        <v>576.79</v>
      </c>
      <c r="D59">
        <v>186.89</v>
      </c>
    </row>
    <row r="60" spans="2:4" x14ac:dyDescent="0.25">
      <c r="B60" s="5">
        <v>45580</v>
      </c>
      <c r="C60">
        <v>586.27</v>
      </c>
      <c r="D60">
        <v>187.69</v>
      </c>
    </row>
    <row r="61" spans="2:4" x14ac:dyDescent="0.25">
      <c r="B61" s="5">
        <v>45579</v>
      </c>
      <c r="C61">
        <v>590.41999999999996</v>
      </c>
      <c r="D61">
        <v>187.54</v>
      </c>
    </row>
    <row r="62" spans="2:4" x14ac:dyDescent="0.25">
      <c r="B62" s="5">
        <v>45576</v>
      </c>
      <c r="C62">
        <v>589.95000000000005</v>
      </c>
      <c r="D62">
        <v>188.82</v>
      </c>
    </row>
    <row r="63" spans="2:4" x14ac:dyDescent="0.25">
      <c r="B63" s="5">
        <v>45575</v>
      </c>
      <c r="C63">
        <v>583.83000000000004</v>
      </c>
      <c r="D63">
        <v>186.65</v>
      </c>
    </row>
    <row r="64" spans="2:4" x14ac:dyDescent="0.25">
      <c r="B64" s="5">
        <v>45574</v>
      </c>
      <c r="C64">
        <v>590.51</v>
      </c>
      <c r="D64">
        <v>185.17</v>
      </c>
    </row>
    <row r="65" spans="2:4" x14ac:dyDescent="0.25">
      <c r="B65" s="5">
        <v>45573</v>
      </c>
      <c r="C65">
        <v>592.89</v>
      </c>
      <c r="D65">
        <v>182.72</v>
      </c>
    </row>
    <row r="66" spans="2:4" x14ac:dyDescent="0.25">
      <c r="B66" s="5">
        <v>45572</v>
      </c>
      <c r="C66">
        <v>584.78</v>
      </c>
      <c r="D66">
        <v>180.8</v>
      </c>
    </row>
    <row r="67" spans="2:4" x14ac:dyDescent="0.25">
      <c r="B67" s="5">
        <v>45569</v>
      </c>
      <c r="C67">
        <v>595.94000000000005</v>
      </c>
      <c r="D67">
        <v>186.51</v>
      </c>
    </row>
    <row r="68" spans="2:4" x14ac:dyDescent="0.25">
      <c r="B68" s="5">
        <v>45568</v>
      </c>
      <c r="C68">
        <v>582.77</v>
      </c>
      <c r="D68">
        <v>181.96</v>
      </c>
    </row>
    <row r="69" spans="2:4" x14ac:dyDescent="0.25">
      <c r="B69" s="5">
        <v>45567</v>
      </c>
      <c r="C69">
        <v>572.80999999999995</v>
      </c>
      <c r="D69">
        <v>184.76</v>
      </c>
    </row>
    <row r="70" spans="2:4" x14ac:dyDescent="0.25">
      <c r="B70" s="5">
        <v>45566</v>
      </c>
      <c r="C70">
        <v>576.47</v>
      </c>
      <c r="D70">
        <v>185.13</v>
      </c>
    </row>
    <row r="71" spans="2:4" x14ac:dyDescent="0.25">
      <c r="B71" s="5">
        <v>45565</v>
      </c>
      <c r="C71">
        <v>572.44000000000005</v>
      </c>
      <c r="D71">
        <v>186.33</v>
      </c>
    </row>
    <row r="72" spans="2:4" x14ac:dyDescent="0.25">
      <c r="B72" s="5">
        <v>45562</v>
      </c>
      <c r="C72">
        <v>567.36</v>
      </c>
      <c r="D72">
        <v>187.97</v>
      </c>
    </row>
    <row r="73" spans="2:4" x14ac:dyDescent="0.25">
      <c r="B73" s="5">
        <v>45561</v>
      </c>
      <c r="C73">
        <v>567.84</v>
      </c>
      <c r="D73">
        <v>191.16</v>
      </c>
    </row>
    <row r="74" spans="2:4" x14ac:dyDescent="0.25">
      <c r="B74" s="5">
        <v>45560</v>
      </c>
      <c r="C74">
        <v>568.30999999999995</v>
      </c>
      <c r="D74">
        <v>192.53</v>
      </c>
    </row>
    <row r="75" spans="2:4" x14ac:dyDescent="0.25">
      <c r="B75" s="5">
        <v>45559</v>
      </c>
      <c r="C75">
        <v>563.33000000000004</v>
      </c>
      <c r="D75">
        <v>193.96</v>
      </c>
    </row>
    <row r="76" spans="2:4" x14ac:dyDescent="0.25">
      <c r="B76" s="5">
        <v>45558</v>
      </c>
      <c r="C76">
        <v>564.41</v>
      </c>
      <c r="D76">
        <v>193.88</v>
      </c>
    </row>
    <row r="77" spans="2:4" x14ac:dyDescent="0.25">
      <c r="B77" s="5">
        <v>45555</v>
      </c>
      <c r="C77">
        <v>561.35</v>
      </c>
      <c r="D77">
        <v>191.6</v>
      </c>
    </row>
    <row r="78" spans="2:4" x14ac:dyDescent="0.25">
      <c r="B78" s="5">
        <v>45554</v>
      </c>
      <c r="C78">
        <v>559.1</v>
      </c>
      <c r="D78">
        <v>189.87</v>
      </c>
    </row>
    <row r="79" spans="2:4" x14ac:dyDescent="0.25">
      <c r="B79" s="5">
        <v>45553</v>
      </c>
      <c r="C79">
        <v>537.95000000000005</v>
      </c>
      <c r="D79">
        <v>186.43</v>
      </c>
    </row>
    <row r="80" spans="2:4" x14ac:dyDescent="0.25">
      <c r="B80" s="5">
        <v>45552</v>
      </c>
      <c r="C80">
        <v>536.31500000000005</v>
      </c>
      <c r="D80">
        <v>186.88</v>
      </c>
    </row>
    <row r="81" spans="2:4" x14ac:dyDescent="0.25">
      <c r="B81" s="5">
        <v>45551</v>
      </c>
      <c r="C81">
        <v>533.28</v>
      </c>
      <c r="D81">
        <v>184.89</v>
      </c>
    </row>
    <row r="82" spans="2:4" x14ac:dyDescent="0.25">
      <c r="B82" s="5">
        <v>45548</v>
      </c>
      <c r="C82">
        <v>524.62</v>
      </c>
      <c r="D82">
        <v>186.49</v>
      </c>
    </row>
    <row r="83" spans="2:4" x14ac:dyDescent="0.25">
      <c r="B83" s="5">
        <v>45547</v>
      </c>
      <c r="C83">
        <v>525.6</v>
      </c>
      <c r="D83">
        <v>187</v>
      </c>
    </row>
    <row r="84" spans="2:4" x14ac:dyDescent="0.25">
      <c r="B84" s="5">
        <v>45546</v>
      </c>
      <c r="C84">
        <v>511.83</v>
      </c>
      <c r="D84">
        <v>184.52</v>
      </c>
    </row>
    <row r="85" spans="2:4" x14ac:dyDescent="0.25">
      <c r="B85" s="5">
        <v>45545</v>
      </c>
      <c r="C85">
        <v>504.79</v>
      </c>
      <c r="D85">
        <v>179.55</v>
      </c>
    </row>
    <row r="86" spans="2:4" x14ac:dyDescent="0.25">
      <c r="B86" s="5">
        <v>45544</v>
      </c>
      <c r="C86">
        <v>504.79</v>
      </c>
      <c r="D86">
        <v>175.4</v>
      </c>
    </row>
    <row r="87" spans="2:4" x14ac:dyDescent="0.25">
      <c r="B87" s="5">
        <v>45541</v>
      </c>
      <c r="C87">
        <v>500.27</v>
      </c>
      <c r="D87">
        <v>171.39</v>
      </c>
    </row>
    <row r="88" spans="2:4" x14ac:dyDescent="0.25">
      <c r="B88" s="5">
        <v>45540</v>
      </c>
      <c r="C88">
        <v>516.86</v>
      </c>
      <c r="D88">
        <v>177.89</v>
      </c>
    </row>
    <row r="89" spans="2:4" x14ac:dyDescent="0.25">
      <c r="B89" s="5">
        <v>45539</v>
      </c>
      <c r="C89">
        <v>512.74</v>
      </c>
      <c r="D89">
        <v>173.33</v>
      </c>
    </row>
    <row r="90" spans="2:4" x14ac:dyDescent="0.25">
      <c r="B90" s="5">
        <v>45538</v>
      </c>
      <c r="C90">
        <v>511.76</v>
      </c>
      <c r="D90">
        <v>176.25</v>
      </c>
    </row>
    <row r="91" spans="2:4" x14ac:dyDescent="0.25">
      <c r="B91" s="5">
        <v>45534</v>
      </c>
      <c r="C91">
        <v>521.30999999999995</v>
      </c>
      <c r="D91">
        <v>178.5</v>
      </c>
    </row>
    <row r="92" spans="2:4" x14ac:dyDescent="0.25">
      <c r="B92" s="5">
        <v>45533</v>
      </c>
      <c r="C92">
        <v>518.22</v>
      </c>
      <c r="D92">
        <v>172.12</v>
      </c>
    </row>
    <row r="93" spans="2:4" x14ac:dyDescent="0.25">
      <c r="B93" s="5">
        <v>45532</v>
      </c>
      <c r="C93">
        <v>516.78</v>
      </c>
      <c r="D93">
        <v>170.8</v>
      </c>
    </row>
    <row r="94" spans="2:4" x14ac:dyDescent="0.25">
      <c r="B94" s="5">
        <v>45531</v>
      </c>
      <c r="C94">
        <v>519.1</v>
      </c>
      <c r="D94">
        <v>173.12</v>
      </c>
    </row>
    <row r="95" spans="2:4" x14ac:dyDescent="0.25">
      <c r="B95" s="5">
        <v>45530</v>
      </c>
      <c r="C95">
        <v>521.12</v>
      </c>
      <c r="D95">
        <v>175.5</v>
      </c>
    </row>
    <row r="96" spans="2:4" x14ac:dyDescent="0.25">
      <c r="B96" s="5">
        <v>45527</v>
      </c>
      <c r="C96">
        <v>528</v>
      </c>
      <c r="D96">
        <v>177.04</v>
      </c>
    </row>
    <row r="97" spans="2:4" x14ac:dyDescent="0.25">
      <c r="B97" s="5">
        <v>45526</v>
      </c>
      <c r="C97">
        <v>531.92999999999995</v>
      </c>
      <c r="D97">
        <v>176.13</v>
      </c>
    </row>
    <row r="98" spans="2:4" x14ac:dyDescent="0.25">
      <c r="B98" s="5">
        <v>45525</v>
      </c>
      <c r="C98">
        <v>535.16</v>
      </c>
      <c r="D98">
        <v>180.11</v>
      </c>
    </row>
    <row r="99" spans="2:4" x14ac:dyDescent="0.25">
      <c r="B99" s="5">
        <v>45524</v>
      </c>
      <c r="C99">
        <v>526.73</v>
      </c>
      <c r="D99">
        <v>178.88</v>
      </c>
    </row>
    <row r="100" spans="2:4" x14ac:dyDescent="0.25">
      <c r="B100" s="5">
        <v>45523</v>
      </c>
      <c r="C100">
        <v>529.28</v>
      </c>
      <c r="D100">
        <v>178.22</v>
      </c>
    </row>
    <row r="101" spans="2:4" x14ac:dyDescent="0.25">
      <c r="B101" s="5">
        <v>45520</v>
      </c>
      <c r="C101">
        <v>527.41999999999996</v>
      </c>
      <c r="D101">
        <v>177.06</v>
      </c>
    </row>
    <row r="102" spans="2:4" x14ac:dyDescent="0.25">
      <c r="B102" s="5">
        <v>45519</v>
      </c>
      <c r="C102">
        <v>537.33000000000004</v>
      </c>
      <c r="D102">
        <v>177.59</v>
      </c>
    </row>
    <row r="103" spans="2:4" x14ac:dyDescent="0.25">
      <c r="B103" s="5">
        <v>45518</v>
      </c>
      <c r="C103">
        <v>526.76</v>
      </c>
      <c r="D103">
        <v>170.1</v>
      </c>
    </row>
    <row r="104" spans="2:4" x14ac:dyDescent="0.25">
      <c r="B104" s="5">
        <v>45517</v>
      </c>
      <c r="C104">
        <v>528.54</v>
      </c>
      <c r="D104">
        <v>170.23</v>
      </c>
    </row>
    <row r="105" spans="2:4" x14ac:dyDescent="0.25">
      <c r="B105" s="5">
        <v>45516</v>
      </c>
      <c r="C105">
        <v>515.95000000000005</v>
      </c>
      <c r="D105">
        <v>166.8</v>
      </c>
    </row>
    <row r="106" spans="2:4" x14ac:dyDescent="0.25">
      <c r="B106" s="5">
        <v>45513</v>
      </c>
      <c r="C106">
        <v>517.77</v>
      </c>
      <c r="D106">
        <v>166.94</v>
      </c>
    </row>
    <row r="107" spans="2:4" x14ac:dyDescent="0.25">
      <c r="B107" s="5">
        <v>45512</v>
      </c>
      <c r="C107">
        <v>509.63</v>
      </c>
      <c r="D107">
        <v>165.8</v>
      </c>
    </row>
    <row r="108" spans="2:4" x14ac:dyDescent="0.25">
      <c r="B108" s="5">
        <v>45511</v>
      </c>
      <c r="C108">
        <v>488.92</v>
      </c>
      <c r="D108">
        <v>162.77000000000001</v>
      </c>
    </row>
    <row r="109" spans="2:4" x14ac:dyDescent="0.25">
      <c r="B109" s="5">
        <v>45510</v>
      </c>
      <c r="C109">
        <v>494.09</v>
      </c>
      <c r="D109">
        <v>161.93</v>
      </c>
    </row>
    <row r="110" spans="2:4" x14ac:dyDescent="0.25">
      <c r="B110" s="5">
        <v>45509</v>
      </c>
      <c r="C110">
        <v>475.73</v>
      </c>
      <c r="D110">
        <v>161.02000000000001</v>
      </c>
    </row>
    <row r="111" spans="2:4" x14ac:dyDescent="0.25">
      <c r="B111" s="5">
        <v>45506</v>
      </c>
      <c r="C111">
        <v>488.14</v>
      </c>
      <c r="D111">
        <v>167.9</v>
      </c>
    </row>
    <row r="112" spans="2:4" x14ac:dyDescent="0.25">
      <c r="B112" s="5">
        <v>45505</v>
      </c>
      <c r="C112">
        <v>497.74</v>
      </c>
      <c r="D112">
        <v>184.07</v>
      </c>
    </row>
    <row r="113" spans="2:4" x14ac:dyDescent="0.25">
      <c r="B113" s="5">
        <v>45504</v>
      </c>
      <c r="C113">
        <v>474.83</v>
      </c>
      <c r="D113">
        <v>186.98</v>
      </c>
    </row>
    <row r="114" spans="2:4" x14ac:dyDescent="0.25">
      <c r="B114" s="5">
        <v>45503</v>
      </c>
      <c r="C114">
        <v>463.19</v>
      </c>
      <c r="D114">
        <v>181.71</v>
      </c>
    </row>
    <row r="115" spans="2:4" x14ac:dyDescent="0.25">
      <c r="B115" s="5">
        <v>45502</v>
      </c>
      <c r="C115">
        <v>465.71</v>
      </c>
      <c r="D115">
        <v>183.2</v>
      </c>
    </row>
    <row r="116" spans="2:4" x14ac:dyDescent="0.25">
      <c r="B116" s="5">
        <v>45499</v>
      </c>
      <c r="C116">
        <v>465.7</v>
      </c>
      <c r="D116">
        <v>182.5</v>
      </c>
    </row>
    <row r="117" spans="2:4" x14ac:dyDescent="0.25">
      <c r="B117" s="5">
        <v>45498</v>
      </c>
      <c r="C117">
        <v>453.41</v>
      </c>
      <c r="D117">
        <v>179.85</v>
      </c>
    </row>
    <row r="118" spans="2:4" x14ac:dyDescent="0.25">
      <c r="B118" s="5">
        <v>45497</v>
      </c>
      <c r="C118">
        <v>461.27</v>
      </c>
      <c r="D118">
        <v>180.83</v>
      </c>
    </row>
    <row r="119" spans="2:4" x14ac:dyDescent="0.25">
      <c r="B119" s="5">
        <v>45496</v>
      </c>
      <c r="C119">
        <v>488.69</v>
      </c>
      <c r="D119">
        <v>186.41</v>
      </c>
    </row>
    <row r="120" spans="2:4" x14ac:dyDescent="0.25">
      <c r="B120" s="5">
        <v>45495</v>
      </c>
      <c r="C120">
        <v>487.4</v>
      </c>
      <c r="D120">
        <v>182.55</v>
      </c>
    </row>
    <row r="121" spans="2:4" x14ac:dyDescent="0.25">
      <c r="B121" s="5">
        <v>45492</v>
      </c>
      <c r="C121">
        <v>476.79</v>
      </c>
      <c r="D121">
        <v>183.13</v>
      </c>
    </row>
    <row r="122" spans="2:4" x14ac:dyDescent="0.25">
      <c r="B122" s="5">
        <v>45491</v>
      </c>
      <c r="C122">
        <v>475.85</v>
      </c>
      <c r="D122">
        <v>183.75</v>
      </c>
    </row>
    <row r="123" spans="2:4" x14ac:dyDescent="0.25">
      <c r="B123" s="5">
        <v>45490</v>
      </c>
      <c r="C123">
        <v>461.99</v>
      </c>
      <c r="D123">
        <v>187.93</v>
      </c>
    </row>
    <row r="124" spans="2:4" x14ac:dyDescent="0.25">
      <c r="B124" s="5">
        <v>45489</v>
      </c>
      <c r="C124">
        <v>489.79</v>
      </c>
      <c r="D124">
        <v>193.02</v>
      </c>
    </row>
    <row r="125" spans="2:4" x14ac:dyDescent="0.25">
      <c r="B125" s="5">
        <v>45488</v>
      </c>
      <c r="C125">
        <v>496.16</v>
      </c>
      <c r="D125">
        <v>192.72</v>
      </c>
    </row>
    <row r="126" spans="2:4" x14ac:dyDescent="0.25">
      <c r="B126" s="5">
        <v>45485</v>
      </c>
      <c r="C126">
        <v>498.87</v>
      </c>
      <c r="D126">
        <v>194.49</v>
      </c>
    </row>
    <row r="127" spans="2:4" x14ac:dyDescent="0.25">
      <c r="B127" s="5">
        <v>45484</v>
      </c>
      <c r="C127">
        <v>512.70000000000005</v>
      </c>
      <c r="D127">
        <v>195.05</v>
      </c>
    </row>
    <row r="128" spans="2:4" x14ac:dyDescent="0.25">
      <c r="B128" s="5">
        <v>45483</v>
      </c>
      <c r="C128">
        <v>534.69000000000005</v>
      </c>
      <c r="D128">
        <v>199.79</v>
      </c>
    </row>
    <row r="129" spans="2:4" x14ac:dyDescent="0.25">
      <c r="B129" s="5">
        <v>45482</v>
      </c>
      <c r="C129">
        <v>530</v>
      </c>
      <c r="D129">
        <v>199.34</v>
      </c>
    </row>
    <row r="130" spans="2:4" x14ac:dyDescent="0.25">
      <c r="B130" s="5">
        <v>45481</v>
      </c>
      <c r="C130">
        <v>529.32000000000005</v>
      </c>
      <c r="D130">
        <v>199.29</v>
      </c>
    </row>
    <row r="131" spans="2:4" x14ac:dyDescent="0.25">
      <c r="B131" s="5">
        <v>45478</v>
      </c>
      <c r="C131">
        <v>539.91</v>
      </c>
      <c r="D131">
        <v>200</v>
      </c>
    </row>
    <row r="132" spans="2:4" x14ac:dyDescent="0.25">
      <c r="B132" s="5">
        <v>45476</v>
      </c>
      <c r="C132">
        <v>509.96</v>
      </c>
      <c r="D132">
        <v>197.59</v>
      </c>
    </row>
    <row r="133" spans="2:4" x14ac:dyDescent="0.25">
      <c r="B133" s="5">
        <v>45475</v>
      </c>
      <c r="C133">
        <v>509.5</v>
      </c>
      <c r="D133">
        <v>200</v>
      </c>
    </row>
    <row r="134" spans="2:4" x14ac:dyDescent="0.25">
      <c r="B134" s="5">
        <v>45474</v>
      </c>
      <c r="C134">
        <v>504.68</v>
      </c>
      <c r="D134">
        <v>197.2</v>
      </c>
    </row>
    <row r="135" spans="2:4" x14ac:dyDescent="0.25">
      <c r="B135" s="5">
        <v>45471</v>
      </c>
      <c r="C135">
        <v>504.22</v>
      </c>
      <c r="D135">
        <v>193.25</v>
      </c>
    </row>
    <row r="136" spans="2:4" x14ac:dyDescent="0.25">
      <c r="B136" s="5">
        <v>45470</v>
      </c>
      <c r="C136">
        <v>519.55999999999995</v>
      </c>
      <c r="D136">
        <v>197.85</v>
      </c>
    </row>
    <row r="137" spans="2:4" x14ac:dyDescent="0.25">
      <c r="B137" s="5">
        <v>45469</v>
      </c>
      <c r="C137">
        <v>513.12</v>
      </c>
      <c r="D137">
        <v>193.61</v>
      </c>
    </row>
    <row r="138" spans="2:4" x14ac:dyDescent="0.25">
      <c r="B138" s="5">
        <v>45468</v>
      </c>
      <c r="C138">
        <v>510.6</v>
      </c>
      <c r="D138">
        <v>186.34</v>
      </c>
    </row>
    <row r="139" spans="2:4" x14ac:dyDescent="0.25">
      <c r="B139" s="5">
        <v>45467</v>
      </c>
      <c r="C139">
        <v>498.91</v>
      </c>
      <c r="D139">
        <v>185.57</v>
      </c>
    </row>
    <row r="140" spans="2:4" x14ac:dyDescent="0.25">
      <c r="B140" s="5">
        <v>45464</v>
      </c>
      <c r="C140">
        <v>494.78</v>
      </c>
      <c r="D140">
        <v>189.08</v>
      </c>
    </row>
    <row r="141" spans="2:4" x14ac:dyDescent="0.25">
      <c r="B141" s="5">
        <v>45463</v>
      </c>
      <c r="C141">
        <v>501.7</v>
      </c>
      <c r="D141">
        <v>186.1</v>
      </c>
    </row>
    <row r="142" spans="2:4" x14ac:dyDescent="0.25">
      <c r="B142" s="5">
        <v>45461</v>
      </c>
      <c r="C142">
        <v>499.49</v>
      </c>
      <c r="D142">
        <v>182.81</v>
      </c>
    </row>
    <row r="143" spans="2:4" x14ac:dyDescent="0.25">
      <c r="B143" s="5">
        <v>45460</v>
      </c>
      <c r="C143">
        <v>506.63</v>
      </c>
      <c r="D143">
        <v>184.06</v>
      </c>
    </row>
    <row r="144" spans="2:4" x14ac:dyDescent="0.25">
      <c r="B144" s="5">
        <v>45457</v>
      </c>
      <c r="C144">
        <v>504.16</v>
      </c>
      <c r="D144">
        <v>183.66</v>
      </c>
    </row>
    <row r="145" spans="2:4" x14ac:dyDescent="0.25">
      <c r="B145" s="5">
        <v>45456</v>
      </c>
      <c r="C145">
        <v>504.1</v>
      </c>
      <c r="D145">
        <v>183.83</v>
      </c>
    </row>
    <row r="146" spans="2:4" x14ac:dyDescent="0.25">
      <c r="B146" s="5">
        <v>45455</v>
      </c>
      <c r="C146">
        <v>508.84</v>
      </c>
      <c r="D146">
        <v>186.89</v>
      </c>
    </row>
    <row r="147" spans="2:4" x14ac:dyDescent="0.25">
      <c r="B147" s="5">
        <v>45454</v>
      </c>
      <c r="C147">
        <v>507.47</v>
      </c>
      <c r="D147">
        <v>187.23</v>
      </c>
    </row>
    <row r="148" spans="2:4" x14ac:dyDescent="0.25">
      <c r="B148" s="5">
        <v>45453</v>
      </c>
      <c r="C148">
        <v>502.6</v>
      </c>
      <c r="D148">
        <v>187.06</v>
      </c>
    </row>
    <row r="149" spans="2:4" x14ac:dyDescent="0.25">
      <c r="B149" s="5">
        <v>45450</v>
      </c>
      <c r="C149">
        <v>492.96</v>
      </c>
      <c r="D149">
        <v>184.3</v>
      </c>
    </row>
    <row r="150" spans="2:4" x14ac:dyDescent="0.25">
      <c r="B150" s="5">
        <v>45449</v>
      </c>
      <c r="C150">
        <v>493.76</v>
      </c>
      <c r="D150">
        <v>185</v>
      </c>
    </row>
    <row r="151" spans="2:4" x14ac:dyDescent="0.25">
      <c r="B151" s="5">
        <v>45448</v>
      </c>
      <c r="C151">
        <v>495.06</v>
      </c>
      <c r="D151">
        <v>181.28</v>
      </c>
    </row>
    <row r="152" spans="2:4" x14ac:dyDescent="0.25">
      <c r="B152" s="5">
        <v>45447</v>
      </c>
      <c r="C152">
        <v>476.99</v>
      </c>
      <c r="D152">
        <v>179.34</v>
      </c>
    </row>
    <row r="153" spans="2:4" x14ac:dyDescent="0.25">
      <c r="B153" s="5">
        <v>45446</v>
      </c>
      <c r="C153">
        <v>477.49</v>
      </c>
      <c r="D153">
        <v>178.34</v>
      </c>
    </row>
    <row r="154" spans="2:4" x14ac:dyDescent="0.25">
      <c r="B154" s="5">
        <v>45443</v>
      </c>
      <c r="C154">
        <v>466.83</v>
      </c>
      <c r="D154">
        <v>176.44</v>
      </c>
    </row>
    <row r="155" spans="2:4" x14ac:dyDescent="0.25">
      <c r="B155" s="5">
        <v>45442</v>
      </c>
      <c r="C155">
        <v>467.05</v>
      </c>
      <c r="D155">
        <v>179.32</v>
      </c>
    </row>
    <row r="156" spans="2:4" x14ac:dyDescent="0.25">
      <c r="B156" s="5">
        <v>45441</v>
      </c>
      <c r="C156">
        <v>474.36</v>
      </c>
      <c r="D156">
        <v>182.02</v>
      </c>
    </row>
    <row r="157" spans="2:4" x14ac:dyDescent="0.25">
      <c r="B157" s="5">
        <v>45440</v>
      </c>
      <c r="C157">
        <v>479.92</v>
      </c>
      <c r="D157">
        <v>182.15</v>
      </c>
    </row>
    <row r="158" spans="2:4" x14ac:dyDescent="0.25">
      <c r="B158" s="5">
        <v>45436</v>
      </c>
      <c r="C158">
        <v>478.22</v>
      </c>
      <c r="D158">
        <v>180.75</v>
      </c>
    </row>
    <row r="159" spans="2:4" x14ac:dyDescent="0.25">
      <c r="B159" s="5">
        <v>45435</v>
      </c>
      <c r="C159">
        <v>465.78</v>
      </c>
      <c r="D159">
        <v>181.05</v>
      </c>
    </row>
    <row r="160" spans="2:4" x14ac:dyDescent="0.25">
      <c r="B160" s="5">
        <v>45434</v>
      </c>
      <c r="C160">
        <v>467.78</v>
      </c>
      <c r="D160">
        <v>183.13</v>
      </c>
    </row>
    <row r="161" spans="2:4" x14ac:dyDescent="0.25">
      <c r="B161" s="5">
        <v>45433</v>
      </c>
      <c r="C161">
        <v>464.63</v>
      </c>
      <c r="D161">
        <v>183.15</v>
      </c>
    </row>
    <row r="162" spans="2:4" x14ac:dyDescent="0.25">
      <c r="B162" s="5">
        <v>45432</v>
      </c>
      <c r="C162">
        <v>468.84</v>
      </c>
      <c r="D162">
        <v>183.54</v>
      </c>
    </row>
    <row r="163" spans="2:4" x14ac:dyDescent="0.25">
      <c r="B163" s="5">
        <v>45429</v>
      </c>
      <c r="C163">
        <v>471.91</v>
      </c>
      <c r="D163">
        <v>184.7</v>
      </c>
    </row>
    <row r="164" spans="2:4" x14ac:dyDescent="0.25">
      <c r="B164" s="5">
        <v>45428</v>
      </c>
      <c r="C164">
        <v>473.23</v>
      </c>
      <c r="D164">
        <v>183.63</v>
      </c>
    </row>
    <row r="165" spans="2:4" x14ac:dyDescent="0.25">
      <c r="B165" s="5">
        <v>45427</v>
      </c>
      <c r="C165">
        <v>481.54</v>
      </c>
      <c r="D165">
        <v>185.99</v>
      </c>
    </row>
    <row r="166" spans="2:4" x14ac:dyDescent="0.25">
      <c r="B166" s="5">
        <v>45426</v>
      </c>
      <c r="C166">
        <v>471.85</v>
      </c>
      <c r="D166">
        <v>187.07</v>
      </c>
    </row>
    <row r="167" spans="2:4" x14ac:dyDescent="0.25">
      <c r="B167" s="5">
        <v>45425</v>
      </c>
      <c r="C167">
        <v>468.01</v>
      </c>
      <c r="D167">
        <v>186.57</v>
      </c>
    </row>
    <row r="168" spans="2:4" x14ac:dyDescent="0.25">
      <c r="B168" s="5">
        <v>45422</v>
      </c>
      <c r="C168">
        <v>476.2</v>
      </c>
      <c r="D168">
        <v>187.48</v>
      </c>
    </row>
    <row r="169" spans="2:4" x14ac:dyDescent="0.25">
      <c r="B169" s="5">
        <v>45421</v>
      </c>
      <c r="C169">
        <v>475.42</v>
      </c>
      <c r="D169">
        <v>189.5</v>
      </c>
    </row>
    <row r="170" spans="2:4" x14ac:dyDescent="0.25">
      <c r="B170" s="5">
        <v>45420</v>
      </c>
      <c r="C170">
        <v>472.6</v>
      </c>
      <c r="D170">
        <v>188</v>
      </c>
    </row>
    <row r="171" spans="2:4" x14ac:dyDescent="0.25">
      <c r="B171" s="5">
        <v>45419</v>
      </c>
      <c r="C171">
        <v>468.24</v>
      </c>
      <c r="D171">
        <v>188.76</v>
      </c>
    </row>
    <row r="172" spans="2:4" x14ac:dyDescent="0.25">
      <c r="B172" s="5">
        <v>45418</v>
      </c>
      <c r="C172">
        <v>465.68</v>
      </c>
      <c r="D172">
        <v>188.7</v>
      </c>
    </row>
    <row r="173" spans="2:4" x14ac:dyDescent="0.25">
      <c r="B173" s="5">
        <v>45415</v>
      </c>
      <c r="C173">
        <v>451.96</v>
      </c>
      <c r="D173">
        <v>186.21</v>
      </c>
    </row>
    <row r="174" spans="2:4" x14ac:dyDescent="0.25">
      <c r="B174" s="5">
        <v>45414</v>
      </c>
      <c r="C174">
        <v>441.68</v>
      </c>
      <c r="D174">
        <v>184.72</v>
      </c>
    </row>
    <row r="175" spans="2:4" x14ac:dyDescent="0.25">
      <c r="B175" s="5">
        <v>45413</v>
      </c>
      <c r="C175">
        <v>439.19</v>
      </c>
      <c r="D175">
        <v>179</v>
      </c>
    </row>
    <row r="176" spans="2:4" x14ac:dyDescent="0.25">
      <c r="B176" s="5">
        <v>45412</v>
      </c>
      <c r="C176">
        <v>430.17</v>
      </c>
      <c r="D176">
        <v>175</v>
      </c>
    </row>
    <row r="177" spans="2:4" x14ac:dyDescent="0.25">
      <c r="B177" s="5">
        <v>45411</v>
      </c>
      <c r="C177">
        <v>432.62</v>
      </c>
      <c r="D177">
        <v>180.96</v>
      </c>
    </row>
    <row r="178" spans="2:4" x14ac:dyDescent="0.25">
      <c r="B178" s="5">
        <v>45408</v>
      </c>
      <c r="C178">
        <v>443.29</v>
      </c>
      <c r="D178">
        <v>179.62</v>
      </c>
    </row>
    <row r="179" spans="2:4" x14ac:dyDescent="0.25">
      <c r="B179" s="5">
        <v>45407</v>
      </c>
      <c r="C179">
        <v>441.38</v>
      </c>
      <c r="D179">
        <v>173.67</v>
      </c>
    </row>
    <row r="180" spans="2:4" x14ac:dyDescent="0.25">
      <c r="B180" s="5">
        <v>45406</v>
      </c>
      <c r="C180">
        <v>493.5</v>
      </c>
      <c r="D180">
        <v>176.59</v>
      </c>
    </row>
    <row r="181" spans="2:4" x14ac:dyDescent="0.25">
      <c r="B181" s="5">
        <v>45405</v>
      </c>
      <c r="C181">
        <v>496.1</v>
      </c>
      <c r="D181">
        <v>179.54</v>
      </c>
    </row>
    <row r="182" spans="2:4" x14ac:dyDescent="0.25">
      <c r="B182" s="5">
        <v>45404</v>
      </c>
      <c r="C182">
        <v>481.73</v>
      </c>
      <c r="D182">
        <v>177.23</v>
      </c>
    </row>
    <row r="183" spans="2:4" x14ac:dyDescent="0.25">
      <c r="B183" s="5">
        <v>45401</v>
      </c>
      <c r="C183">
        <v>481.07</v>
      </c>
      <c r="D183">
        <v>174.63</v>
      </c>
    </row>
    <row r="184" spans="2:4" x14ac:dyDescent="0.25">
      <c r="B184" s="5">
        <v>45400</v>
      </c>
      <c r="C184">
        <v>501.8</v>
      </c>
      <c r="D184">
        <v>179.22</v>
      </c>
    </row>
    <row r="185" spans="2:4" x14ac:dyDescent="0.25">
      <c r="B185" s="5">
        <v>45399</v>
      </c>
      <c r="C185">
        <v>494.17</v>
      </c>
      <c r="D185">
        <v>181.28</v>
      </c>
    </row>
    <row r="186" spans="2:4" x14ac:dyDescent="0.25">
      <c r="B186" s="5">
        <v>45398</v>
      </c>
      <c r="C186">
        <v>499.76</v>
      </c>
      <c r="D186">
        <v>183.32</v>
      </c>
    </row>
    <row r="187" spans="2:4" x14ac:dyDescent="0.25">
      <c r="B187" s="5">
        <v>45397</v>
      </c>
      <c r="C187">
        <v>500.23</v>
      </c>
      <c r="D187">
        <v>183.62</v>
      </c>
    </row>
    <row r="188" spans="2:4" x14ac:dyDescent="0.25">
      <c r="B188" s="5">
        <v>45394</v>
      </c>
      <c r="C188">
        <v>511.9</v>
      </c>
      <c r="D188">
        <v>186.13</v>
      </c>
    </row>
    <row r="189" spans="2:4" x14ac:dyDescent="0.25">
      <c r="B189" s="5">
        <v>45393</v>
      </c>
      <c r="C189">
        <v>523.16</v>
      </c>
      <c r="D189">
        <v>189.05</v>
      </c>
    </row>
    <row r="190" spans="2:4" x14ac:dyDescent="0.25">
      <c r="B190" s="5">
        <v>45392</v>
      </c>
      <c r="C190">
        <v>519.83000000000004</v>
      </c>
      <c r="D190">
        <v>185.95</v>
      </c>
    </row>
    <row r="191" spans="2:4" x14ac:dyDescent="0.25">
      <c r="B191" s="5">
        <v>45391</v>
      </c>
      <c r="C191">
        <v>516.9</v>
      </c>
      <c r="D191">
        <v>185.67</v>
      </c>
    </row>
    <row r="192" spans="2:4" x14ac:dyDescent="0.25">
      <c r="B192" s="5">
        <v>45390</v>
      </c>
      <c r="C192">
        <v>519.25</v>
      </c>
      <c r="D192">
        <v>185.19</v>
      </c>
    </row>
    <row r="193" spans="2:4" x14ac:dyDescent="0.25">
      <c r="B193" s="5">
        <v>45387</v>
      </c>
      <c r="C193">
        <v>527.34</v>
      </c>
      <c r="D193">
        <v>185.07</v>
      </c>
    </row>
    <row r="194" spans="2:4" x14ac:dyDescent="0.25">
      <c r="B194" s="5">
        <v>45386</v>
      </c>
      <c r="C194">
        <v>510.92</v>
      </c>
      <c r="D194">
        <v>180</v>
      </c>
    </row>
    <row r="195" spans="2:4" x14ac:dyDescent="0.25">
      <c r="B195" s="5">
        <v>45385</v>
      </c>
      <c r="C195">
        <v>506.74</v>
      </c>
      <c r="D195">
        <v>182.41</v>
      </c>
    </row>
    <row r="196" spans="2:4" x14ac:dyDescent="0.25">
      <c r="B196" s="5">
        <v>45384</v>
      </c>
      <c r="C196">
        <v>497.37</v>
      </c>
      <c r="D196">
        <v>180.69</v>
      </c>
    </row>
    <row r="197" spans="2:4" x14ac:dyDescent="0.25">
      <c r="B197" s="5">
        <v>45383</v>
      </c>
      <c r="C197">
        <v>491.35</v>
      </c>
      <c r="D197">
        <v>180.97</v>
      </c>
    </row>
    <row r="198" spans="2:4" x14ac:dyDescent="0.25">
      <c r="B198" s="5">
        <v>45379</v>
      </c>
      <c r="C198">
        <v>485.58</v>
      </c>
      <c r="D198">
        <v>180.38</v>
      </c>
    </row>
    <row r="199" spans="2:4" x14ac:dyDescent="0.25">
      <c r="B199" s="5">
        <v>45378</v>
      </c>
      <c r="C199">
        <v>493.86</v>
      </c>
      <c r="D199">
        <v>179.83</v>
      </c>
    </row>
    <row r="200" spans="2:4" x14ac:dyDescent="0.25">
      <c r="B200" s="5">
        <v>45377</v>
      </c>
      <c r="C200">
        <v>495.89</v>
      </c>
      <c r="D200">
        <v>178.3</v>
      </c>
    </row>
    <row r="201" spans="2:4" x14ac:dyDescent="0.25">
      <c r="B201" s="5">
        <v>45376</v>
      </c>
      <c r="C201">
        <v>503.02</v>
      </c>
      <c r="D201">
        <v>179.71</v>
      </c>
    </row>
    <row r="202" spans="2:4" x14ac:dyDescent="0.25">
      <c r="B202" s="5">
        <v>45373</v>
      </c>
      <c r="C202">
        <v>509.58</v>
      </c>
      <c r="D202">
        <v>178.87</v>
      </c>
    </row>
    <row r="203" spans="2:4" x14ac:dyDescent="0.25">
      <c r="B203" s="5">
        <v>45372</v>
      </c>
      <c r="C203">
        <v>507.76</v>
      </c>
      <c r="D203">
        <v>178.15</v>
      </c>
    </row>
    <row r="204" spans="2:4" x14ac:dyDescent="0.25">
      <c r="B204" s="5">
        <v>45371</v>
      </c>
      <c r="C204">
        <v>505.52</v>
      </c>
      <c r="D204">
        <v>178.15</v>
      </c>
    </row>
    <row r="205" spans="2:4" x14ac:dyDescent="0.25">
      <c r="B205" s="5">
        <v>45370</v>
      </c>
      <c r="C205">
        <v>496.24</v>
      </c>
      <c r="D205">
        <v>175.9</v>
      </c>
    </row>
    <row r="206" spans="2:4" x14ac:dyDescent="0.25">
      <c r="B206" s="5">
        <v>45369</v>
      </c>
      <c r="C206">
        <v>496.98</v>
      </c>
      <c r="D206">
        <v>174.48</v>
      </c>
    </row>
    <row r="207" spans="2:4" x14ac:dyDescent="0.25">
      <c r="B207" s="5">
        <v>45366</v>
      </c>
      <c r="C207">
        <v>484.1</v>
      </c>
      <c r="D207">
        <v>174.42</v>
      </c>
    </row>
    <row r="208" spans="2:4" x14ac:dyDescent="0.25">
      <c r="B208" s="5">
        <v>45365</v>
      </c>
      <c r="C208">
        <v>491.83</v>
      </c>
      <c r="D208">
        <v>178.75</v>
      </c>
    </row>
    <row r="209" spans="2:4" x14ac:dyDescent="0.25">
      <c r="B209" s="5">
        <v>45364</v>
      </c>
      <c r="C209">
        <v>495.57</v>
      </c>
      <c r="D209">
        <v>176.55500000000001</v>
      </c>
    </row>
    <row r="210" spans="2:4" x14ac:dyDescent="0.25">
      <c r="B210" s="5">
        <v>45363</v>
      </c>
      <c r="C210">
        <v>499.75</v>
      </c>
      <c r="D210">
        <v>175.39</v>
      </c>
    </row>
    <row r="211" spans="2:4" x14ac:dyDescent="0.25">
      <c r="B211" s="5">
        <v>45362</v>
      </c>
      <c r="C211">
        <v>483.59</v>
      </c>
      <c r="D211">
        <v>171.96</v>
      </c>
    </row>
    <row r="212" spans="2:4" x14ac:dyDescent="0.25">
      <c r="B212" s="5">
        <v>45359</v>
      </c>
      <c r="C212">
        <v>505.95</v>
      </c>
      <c r="D212">
        <v>175.35</v>
      </c>
    </row>
    <row r="213" spans="2:4" x14ac:dyDescent="0.25">
      <c r="B213" s="5">
        <v>45358</v>
      </c>
      <c r="C213">
        <v>512.19000000000005</v>
      </c>
      <c r="D213">
        <v>176.82</v>
      </c>
    </row>
    <row r="214" spans="2:4" x14ac:dyDescent="0.25">
      <c r="B214" s="5">
        <v>45357</v>
      </c>
      <c r="C214">
        <v>496.09</v>
      </c>
      <c r="D214">
        <v>173.51</v>
      </c>
    </row>
    <row r="215" spans="2:4" x14ac:dyDescent="0.25">
      <c r="B215" s="5">
        <v>45356</v>
      </c>
      <c r="C215">
        <v>490.22</v>
      </c>
      <c r="D215">
        <v>174.12</v>
      </c>
    </row>
    <row r="216" spans="2:4" x14ac:dyDescent="0.25">
      <c r="B216" s="5">
        <v>45355</v>
      </c>
      <c r="C216">
        <v>498.19</v>
      </c>
      <c r="D216">
        <v>177.58</v>
      </c>
    </row>
    <row r="217" spans="2:4" x14ac:dyDescent="0.25">
      <c r="B217" s="5">
        <v>45352</v>
      </c>
      <c r="C217">
        <v>502.3</v>
      </c>
      <c r="D217">
        <v>178.22</v>
      </c>
    </row>
    <row r="218" spans="2:4" x14ac:dyDescent="0.25">
      <c r="B218" s="5">
        <v>45351</v>
      </c>
      <c r="C218">
        <v>490.13</v>
      </c>
      <c r="D218">
        <v>176.76</v>
      </c>
    </row>
    <row r="219" spans="2:4" x14ac:dyDescent="0.25">
      <c r="B219" s="5">
        <v>45350</v>
      </c>
      <c r="C219">
        <v>484.02</v>
      </c>
      <c r="D219">
        <v>173.16</v>
      </c>
    </row>
    <row r="220" spans="2:4" x14ac:dyDescent="0.25">
      <c r="B220" s="5">
        <v>45349</v>
      </c>
      <c r="C220">
        <v>487.05</v>
      </c>
      <c r="D220">
        <v>173.54</v>
      </c>
    </row>
    <row r="221" spans="2:4" x14ac:dyDescent="0.25">
      <c r="B221" s="5">
        <v>45348</v>
      </c>
      <c r="C221">
        <v>481.74</v>
      </c>
      <c r="D221">
        <v>174.73</v>
      </c>
    </row>
    <row r="222" spans="2:4" x14ac:dyDescent="0.25">
      <c r="B222" s="5">
        <v>45345</v>
      </c>
      <c r="C222">
        <v>484.03</v>
      </c>
      <c r="D222">
        <v>174.99</v>
      </c>
    </row>
    <row r="223" spans="2:4" x14ac:dyDescent="0.25">
      <c r="B223" s="5">
        <v>45344</v>
      </c>
      <c r="C223">
        <v>486.13</v>
      </c>
      <c r="D223">
        <v>174.58</v>
      </c>
    </row>
    <row r="224" spans="2:4" x14ac:dyDescent="0.25">
      <c r="B224" s="5">
        <v>45343</v>
      </c>
      <c r="C224">
        <v>468.03</v>
      </c>
      <c r="D224">
        <v>168.59</v>
      </c>
    </row>
    <row r="225" spans="2:4" x14ac:dyDescent="0.25">
      <c r="B225" s="5">
        <v>45342</v>
      </c>
      <c r="C225">
        <v>471.75</v>
      </c>
      <c r="D225">
        <v>167.08</v>
      </c>
    </row>
    <row r="226" spans="2:4" x14ac:dyDescent="0.25">
      <c r="B226" s="5">
        <v>45338</v>
      </c>
      <c r="C226">
        <v>473.32</v>
      </c>
      <c r="D226">
        <v>169.51</v>
      </c>
    </row>
    <row r="227" spans="2:4" x14ac:dyDescent="0.25">
      <c r="B227" s="5">
        <v>45337</v>
      </c>
      <c r="C227">
        <v>484.03</v>
      </c>
      <c r="D227">
        <v>169.8</v>
      </c>
    </row>
    <row r="228" spans="2:4" x14ac:dyDescent="0.25">
      <c r="B228" s="5">
        <v>45336</v>
      </c>
      <c r="C228">
        <v>473.28</v>
      </c>
      <c r="D228">
        <v>170.98</v>
      </c>
    </row>
    <row r="229" spans="2:4" x14ac:dyDescent="0.25">
      <c r="B229" s="5">
        <v>45335</v>
      </c>
      <c r="C229">
        <v>460.12</v>
      </c>
      <c r="D229">
        <v>168.64</v>
      </c>
    </row>
    <row r="230" spans="2:4" x14ac:dyDescent="0.25">
      <c r="B230" s="5">
        <v>45334</v>
      </c>
      <c r="C230">
        <v>468.9</v>
      </c>
      <c r="D230">
        <v>172.34</v>
      </c>
    </row>
    <row r="231" spans="2:4" x14ac:dyDescent="0.25">
      <c r="B231" s="5">
        <v>45331</v>
      </c>
      <c r="C231">
        <v>468.11</v>
      </c>
      <c r="D231">
        <v>174.45</v>
      </c>
    </row>
    <row r="232" spans="2:4" x14ac:dyDescent="0.25">
      <c r="B232" s="5">
        <v>45330</v>
      </c>
      <c r="C232">
        <v>470</v>
      </c>
      <c r="D232">
        <v>169.84</v>
      </c>
    </row>
    <row r="233" spans="2:4" x14ac:dyDescent="0.25">
      <c r="B233" s="5">
        <v>45329</v>
      </c>
      <c r="C233">
        <v>469.59</v>
      </c>
      <c r="D233">
        <v>170.53</v>
      </c>
    </row>
    <row r="234" spans="2:4" x14ac:dyDescent="0.25">
      <c r="B234" s="5">
        <v>45328</v>
      </c>
      <c r="C234">
        <v>454.72</v>
      </c>
      <c r="D234">
        <v>169.15</v>
      </c>
    </row>
    <row r="235" spans="2:4" x14ac:dyDescent="0.25">
      <c r="B235" s="5">
        <v>45327</v>
      </c>
      <c r="C235">
        <v>459.41</v>
      </c>
      <c r="D235">
        <v>170.31</v>
      </c>
    </row>
    <row r="236" spans="2:4" x14ac:dyDescent="0.25">
      <c r="B236" s="5">
        <v>45324</v>
      </c>
      <c r="C236">
        <v>474.99</v>
      </c>
      <c r="D236">
        <v>171.81</v>
      </c>
    </row>
    <row r="237" spans="2:4" x14ac:dyDescent="0.25">
      <c r="B237" s="5">
        <v>45323</v>
      </c>
      <c r="C237">
        <v>394.78</v>
      </c>
      <c r="D237">
        <v>159.28</v>
      </c>
    </row>
    <row r="238" spans="2:4" x14ac:dyDescent="0.25">
      <c r="B238" s="5">
        <v>45322</v>
      </c>
      <c r="C238">
        <v>390.14</v>
      </c>
      <c r="D238">
        <v>155.19999999999999</v>
      </c>
    </row>
    <row r="239" spans="2:4" x14ac:dyDescent="0.25">
      <c r="B239" s="5">
        <v>45321</v>
      </c>
      <c r="C239">
        <v>400.06</v>
      </c>
      <c r="D239">
        <v>159</v>
      </c>
    </row>
    <row r="240" spans="2:4" x14ac:dyDescent="0.25">
      <c r="B240" s="5">
        <v>45320</v>
      </c>
      <c r="C240">
        <v>401.02</v>
      </c>
      <c r="D240">
        <v>161.26</v>
      </c>
    </row>
    <row r="241" spans="2:4" x14ac:dyDescent="0.25">
      <c r="B241" s="5">
        <v>45317</v>
      </c>
      <c r="C241">
        <v>394.14</v>
      </c>
      <c r="D241">
        <v>159.12</v>
      </c>
    </row>
    <row r="242" spans="2:4" x14ac:dyDescent="0.25">
      <c r="B242" s="5">
        <v>45316</v>
      </c>
      <c r="C242">
        <v>393.18</v>
      </c>
      <c r="D242">
        <v>157.75</v>
      </c>
    </row>
    <row r="243" spans="2:4" x14ac:dyDescent="0.25">
      <c r="B243" s="5">
        <v>45315</v>
      </c>
      <c r="C243">
        <v>390.7</v>
      </c>
      <c r="D243">
        <v>156.87</v>
      </c>
    </row>
    <row r="244" spans="2:4" x14ac:dyDescent="0.25">
      <c r="B244" s="5">
        <v>45314</v>
      </c>
      <c r="C244">
        <v>385.2</v>
      </c>
      <c r="D244">
        <v>156.02000000000001</v>
      </c>
    </row>
    <row r="245" spans="2:4" x14ac:dyDescent="0.25">
      <c r="B245" s="5">
        <v>45313</v>
      </c>
      <c r="C245">
        <v>381.78</v>
      </c>
      <c r="D245">
        <v>154.78</v>
      </c>
    </row>
    <row r="246" spans="2:4" x14ac:dyDescent="0.25">
      <c r="B246" s="5">
        <v>45310</v>
      </c>
      <c r="C246">
        <v>383.45</v>
      </c>
      <c r="D246">
        <v>155.34</v>
      </c>
    </row>
    <row r="247" spans="2:4" x14ac:dyDescent="0.25">
      <c r="B247" s="5">
        <v>45309</v>
      </c>
      <c r="C247">
        <v>376.13</v>
      </c>
      <c r="D247">
        <v>153.5</v>
      </c>
    </row>
    <row r="248" spans="2:4" x14ac:dyDescent="0.25">
      <c r="B248" s="5">
        <v>45308</v>
      </c>
      <c r="C248">
        <v>368.37</v>
      </c>
      <c r="D248">
        <v>151.71</v>
      </c>
    </row>
    <row r="249" spans="2:4" x14ac:dyDescent="0.25">
      <c r="B249" s="5">
        <v>45307</v>
      </c>
      <c r="C249">
        <v>367.46</v>
      </c>
      <c r="D249">
        <v>153.16</v>
      </c>
    </row>
    <row r="250" spans="2:4" x14ac:dyDescent="0.25">
      <c r="B250" s="5">
        <v>45303</v>
      </c>
      <c r="C250">
        <v>374.49</v>
      </c>
      <c r="D250">
        <v>154.62</v>
      </c>
    </row>
    <row r="251" spans="2:4" x14ac:dyDescent="0.25">
      <c r="B251" s="5">
        <v>45302</v>
      </c>
      <c r="C251">
        <v>369.67</v>
      </c>
      <c r="D251">
        <v>155.18</v>
      </c>
    </row>
    <row r="252" spans="2:4" x14ac:dyDescent="0.25">
      <c r="B252" s="5">
        <v>45301</v>
      </c>
      <c r="C252">
        <v>370.47</v>
      </c>
      <c r="D252">
        <v>153.72999999999999</v>
      </c>
    </row>
    <row r="253" spans="2:4" x14ac:dyDescent="0.25">
      <c r="B253" s="5">
        <v>45300</v>
      </c>
      <c r="C253">
        <v>357.43</v>
      </c>
      <c r="D253">
        <v>151.37</v>
      </c>
    </row>
    <row r="254" spans="2:4" x14ac:dyDescent="0.25">
      <c r="B254" s="5">
        <v>45299</v>
      </c>
      <c r="C254">
        <v>358.66</v>
      </c>
      <c r="D254">
        <v>149.1</v>
      </c>
    </row>
    <row r="255" spans="2:4" x14ac:dyDescent="0.25">
      <c r="B255" s="5">
        <v>45296</v>
      </c>
      <c r="C255">
        <v>351.95</v>
      </c>
      <c r="D255">
        <v>145.24</v>
      </c>
    </row>
    <row r="256" spans="2:4" x14ac:dyDescent="0.25">
      <c r="B256" s="5">
        <v>45295</v>
      </c>
      <c r="C256">
        <v>347.12</v>
      </c>
      <c r="D256">
        <v>144.57</v>
      </c>
    </row>
    <row r="257" spans="2:4" x14ac:dyDescent="0.25">
      <c r="B257" s="5">
        <v>45294</v>
      </c>
      <c r="C257">
        <v>344.47</v>
      </c>
      <c r="D257">
        <v>148.47</v>
      </c>
    </row>
    <row r="258" spans="2:4" x14ac:dyDescent="0.25">
      <c r="B258" s="5">
        <v>45293</v>
      </c>
      <c r="C258">
        <v>346.29</v>
      </c>
      <c r="D258">
        <v>149.93</v>
      </c>
    </row>
    <row r="259" spans="2:4" x14ac:dyDescent="0.25">
      <c r="B259" s="5">
        <v>45289</v>
      </c>
      <c r="C259">
        <v>353.96</v>
      </c>
      <c r="D259">
        <v>151.94</v>
      </c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4076904"><![CDATA[{"AMZN-US^FG_PRICE(45657,45657-1AY,,USD)":[219.39,221.3,223.75,227.05,229.05,225.06,224.92,223.29,220.52,231.15,232.93,227.46,228.97,230.26,225.04,226.09,227.03,220.55,218.16,213.44,210.71,207.89,205.74,207.86,201.45,197.12,198.38,202.88,204.61,201.7,202.61,211.48,214.1,208.91,206.84,208.18,210.05,207.09,199.5,195.78,197.93,186.4,192.73,190.83,188.39,187.83,186.38,184.71,189.7,189.07,188.99,187.53,186.89,187.69,187.54,188.82,186.65,185.17,182.72,180.8,186.51,181.96,184.76,185.13,186.33,187.97,191.16,192.53,193.96,193.88,191.6,189.87,186.43,186.88,184.89,186.49,187.0,184.52,179.55,175.4,171.39,177.89,173.33,176.25,178.5,172.12,170.8,173.12,175.5,177.04,176.13,180.11,178.88,178.22,177.06,177.59,170.1,170.23,166.8,166.94,165.8,162.77,161.93,161.02,167.9,184.07,186.98,181.71,183.2,182.5,179.85,180.83,186.41,182.55,183.13,183.75,187.93,193.02,192.72,194.49,195.05,199.79,199.34,199.29,200.0,197.59,200.0,197.2,193.25,197.85,193.61,186.34,185.57,189.08,186.1,182.81,184.06,183.66,183.83,186.89,187.23,187.06,184.3,185.0,181.28,179.34,178.34,176.44,179.32,182.02,182.15,180.75,181.05,183.13,183.15,183.54,184.7,183.63,185.99,187.07,186.57,187.48,189.5,188.0,188.76,188.7,186.21,184.72,179.0,175.0,180.96,179.62,173.67,176.59,179.54,177.23,174.63,179.22,181.28,183.32,183.62,186.13,189.05,185.95,185.67,185.19,185.07,180.0,182.41,180.69,180.97,180.38,179.83,178.3,179.71,178.87,178.15,178.15,175.9,174.48,174.42,178.75,176.555,175.39,171.96,175.35,176.82,173.51,174.12,177.58,178.22,176.76,173.16,173.54,174.73,174.99,174.58,168.59,167.08,169.51,169.8,170.98,168.64,172.34,174.45,169.84,170.53,169.15,170.31,171.81,159.28,155.2,159.0,161.26,159.12,157.75,156.87,156.02,154.78,155.34,153.5,151.71,153.16,154.62,155.18,153.73,151.37,149.1,145.24,144.57,148.47,149.93,151.94],"META-US^FG_PRICE(45657,45657-1AY,,USD)":[585.51,591.24,599.81,603.35,607.75,599.85,585.25,595.57,597.19,619.44,624.24,620.35,630.79,632.68,619.32,613.57,623.77,608.93,613.78,613.65,592.83,574.32,569.2,573.54,565.11,559.14,563.09,565.52,561.09,554.4,554.08,577.16,580.0,584.82,583.17,589.34,591.7,572.05,572.43,560.68,567.16,567.58,591.8,593.28,578.16,573.25,567.78,563.69,582.01,575.16,576.47,576.93,576.79,586.27,590.42,589.95,583.83,590.51,592.89,584.78,595.94,582.77,572.81,576.47,572.44,567.36,567.84,568.31,563.33,564.41,561.35,559.1,537.95,536.315,533.28,524.62,525.6,511.83,504.79,504.79,500.27,516.86,512.74,511.76,521.31,518.22,516.78,519.1,521.12,528.0,531.93,535.16,526.73,529.28,527.42,537.33,526.76,528.54,515.95,517.77,509.63,488.92,494.09,475.73,488.14,497.74,474.83,463.19,465.71,465.7,453.41,461.27,488.69,487.4,476.79,475.85,461.99,489.79,496.16,498.87,512.7,534.69,530.0,529.32,539.91,509.96,509.5,504.68,504.22,519.56,513.12,510.6,498.91,494.78,501.7,499.49,506.63,504.16,504.1,508.84,507.47,502.6,492.96,493.76,495.06,476.99,477.49,466.83,467.05,474.36,479.92,478.22,465.78,467.78,464.63,468.84,471.91,473.23,481.54,471.85,468.01,476.2,475.42,472.6,468.24,465.68,451.96,441.68,439.19,430.17,432.62,443.29,441.38,493.5,496.1,481.73,481.07,501.8,494.17,499.76,500.23,511.9,523.16,519.83,516.9,519.25,527.34,510.92,506.74,497.37,491.35,485.58,493.86,495.89,503.02,509.58,507.76,505.52,496.24,496.98,484.1,491.83,495.57,499.75,483.59,505.95,512.19,496.09,490.22,498.19,502.3,490.13,484.02,487.05,481.74,484.03,486.13,468.03,471.75,473.32,484.03,473.28,460.12,468.9,468.11,470.0,469.59,454.72,459.41,474.99,394.78,390.14,400.06,401.02,394.14,393.18,390.7,385.2,381.78,383.45,376.13,368.37,367.46,374.49,369.67,370.47,357.43,358.66,351.95,347.12,344.47,346.29,353.96],"META-US^JULIAN(FG_PRICE(45657,45657-1AY,,USD).DATES)":[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],"^FG_COMPANY_NAME":null,"^PROPER_NAME":null,"GAW-GB^PROPER_NAME":"Games Workshop Group PLC","SIKA-CH^PROPER_NAME":"Sika AG","7309-JP^PROPER_NAME":"Shimano Inc.","6861-JP^PROPER_NAME":"Keyence Corporation","AZN-GB^PROPER_NAME":"AstraZeneca PLC","SAP-DE^PROPER_NAME":"SAP SE","UMG-NL^PROPER_NAME":"Universal Music Group N.V.","ROG-CH^PROPER_NAME":"Roche Holding Ltd Dividend Right Cert.","EVD-DE^PROPER_NAME":"CTS Eventim AG & Co. KGaA","DGE-GB^PROPER_NAME":"Diageo plc","KNEBV-FI^PROPER_NAME":"KONE Oyj Class B","WKL-NL^PROPER_NAME":"Wolters Kluwer N.V.","CPG-GB^PROPER_NAME":"Compass Group PLC","EXPN-GB^PROPER_NAME":"Experian PLC","ATCO.B-SE^PROPER_NAME":"Atlas Copco AB Class B","CTEC-GB^PROPER_NAME":"ConvaTec Group Plc","AMS-ES^PROPER_NAME":"Amadeus IT Group SA Class A","CFR-CH^PROPER_NAME":"Compagnie Financiere Richemont SA","DB1-DE^PROPER_NAME":"Deutsche Boerse AG","ASML-NL^PROPER_NAME":"ASML Holding NV","LSEG-GB^PROPER_NAME":"London Stock Exchange Group plc","1299-HK^PROPER_NAME":"AIA Group Limited","AIR-FR^PROPER_NAME":"Airbus SE","RTO-GB^PROPER_NAME":"Rentokil Initial plc","HWDN-GB^PROPER_NAME":"Howden Joinery Group PLC","SAF-FR^PROPER_NAME":"Safran SA","MC-FR^PROPER_NAME":"LVMH Moet Hennessy Louis Vuitton SE","DUMMY^CORREL_MATRIX(CORRELMATRIX)":[[1.0,-0.35544756,-0.44744483,0.3692625,-0.14997098,-0.44549355,-0.065052144,0.188883,-0.70415014,0.15600412,-0.6035675,-0.5578099,0.5512866,-0.50341785,-0.102059804,0.09868176,-0.4862612,0.27004012,-0.59051937,-0.030791873,-0.48063064,-0.33416066,0.07102195,0.30317944,-0.046794377,-0.09777715,-0.5987871],[-0.35544756,1.0,0.72563255,0.24754404,0.9523788,0.8913696,-0.5928301,0.6828365,0.49742395,0.55240446,0.7836916,0.38547722,0.26819238,0.6305383,0.35391423,-0.69500387,0.9152513,-0.7985352,0.3035279,0.6656336,0.5823235,0.50168574,0.7696783,-0.6225723,-0.6592517,-0.4896878,0.7779696],[-0.44744483,0.72563255,1.0,0.4260348,0.63600796,0.7512274,-0.33039615,0.43133432,0.35068488,0.26479313,0.64865375,0.40579095,0.09155241,0.80694896,0.5932893,-0.33263692,0.7412623,-0.39889622,0.33127466,0.29484847,0.5471342,0.43248802,0.41183043,-0.2538889,-0.4219394,-0.04173374,0.701689],[0.3692625,0.24754404,0.4260348,1.0,0.36222133,0.27473998,-0.45805982,0.5669729,-0.48590955,0.07667412,-0.12260428,-0.27976802,0.4175469,0.11803714,0.34000096,-0.33845413,0.18149693,-0.06485249,-0.45630094,0.117889844,-0.2176462,-0.20127662,0.37154928,0.045013998,-0.48401394,-0.24762493,-0.081493996],[-0.14997098,0.9523788,0.63600796,0.36222133,1.0,0.846363,-0.66543436,0.80790234,0.31976998,0.57714146,0.6462818,0.24863969,0.3998094,0.4916949,0.28748533,-0.74044293,0.8378902,-0.76937276,0.10849047,0.66156197,0.4695299,0.4023803,0.811891,-0.62065595,-0.7192732,-0.5798923,0.6702389],[-0.44549355,0.8913696,0.7512274,0.27473998,0.846363,1.0,-0.67889506,0.576742,0.33061644,0.26360855,0.6578921,0.27851295,0.15635514,0.55935574,0.24472362,-0.77699745,0.8200391,-0.6547721,0.1461077,0.52503234,0.3652814,0.21367352,0.66242266,-0.55957353,-0.6103335,-0.41175357,0.6497215],[-0.065052144,-0.5928301,-0.33039615,-0.45805982,-0.66543436,-0.67889506,1.0,-0.64939463,0.25646022,-0.071392894,-0.097451426,0.32696632,-0.28965846,-0.080277234,0.053296067,0.8629486,-0.42973384,0.46444905,0.44181794,-0.36136472,0.19579095,0.30403492,-0.6303462,0.55235124,0.79588413,0.6987181,-0.06299309],[0.188883,0.6828365,0.43133432,0.5669729,0.80790234,0.576742,-0.64939463,1.0,-0.05710685,0.5063298,0.25589338,0.08634978,0.5642895,0.12174718,0.113641396,-0.5823951,0.59307146,-0.61715096,-0.2105571,0.50207967,0.15619671,0.1452617,0.6697672,-0.32675466,-0.64398986,-0.59759575,0.3136545],[-0.70415014,0.49742395,0.35068488,-0.48590955,0.31976998,0.33061644,0.25646022,-0.05710685,1.0,0.42614022,0.83804053,0.80258256,-0.20984213,0.5370706,0.26159242,-0.00953027,0.62319326,-0.4716382,0.8522897,0.39345244,0.83028954,0.7723158,0.20526071,-0.29717988,0.08371766,0.06548634,0.8136295],[0.15600412,0.55240446,0.26479313,0.07667412,0.57714146,0.26360855,-0.071392894,0.5063298,0.42614022,1.0,0.4991472,0.47532693,0.6296386,0.34242523,0.33509728,-0.15968564,0.5811185,-0.6158651,0.3979678,0.7397241,0.6468499,0.6415658,0.619301,-0.16557746,-0.21873239,-0.16350003,0.5019851],[-0.6035675,0.7836916,0.64865375,-0.12260428,0.6462818,0.6578921,-0.097451426,0.25589338,0.83804053,0.4991472,1.0,0.6931606,0.0147988945,0.7062487,0.43652302,-0.31425983,0.80826396,-0.59115833,0.69076604,0.54756904,0.8119145,0.7295858,0.50004077,-0.42861912,-0.23839645,-0.087519534,0.88591844],[-0.5578099,0.38547722,0.40579095,-0.27976802,0.24863969,0.27851295,0.32696632,0.08634978,0.80258256,0.47532693,0.6931606,1.0,0.03690898,0.45346883,0.29867136,0.08906945,0.59037274,-0.42790222,0.73698515,0.41802686,0.75596946,0.6825515,0.17265442,-0.0008856749,0.22248606,0.30082372,0.7063731],[0.5512866,0.26819238,0.09155241,0.4175469,0.3998094,0.15635514,-0.28965846,0.5642895,-0.20984213,0.6296386,0.0147988945,0.03690898,1.0,0.03521079,0.19789264,-0.23974727,0.2633328,-0.2625176,-0.17833117,0.611209,0.080772854,0.055785064,0.55382246,0.12434711,-0.25754255,-0.0609627,-0.023115829],[-0.50341785,0.6305383,0.80694896,0.11803714,0.4916949,0.55935574,-0.080277234,0.12174718,0.5370706,0.34242523,0.7062487,0.45346883,0.03521079,1.0,0.5921386,-0.12468708,0.6704838,-0.34891638,0.5767266,0.32420537,0.6972943,0.5963122,0.2725379,-0.24993059,-0.22640483,0.14823046,0.7379602],[-0.102059804,0.35391423,0.5932893,0.34000096,0.28748533,0.24472362,0.053296067,0.113641396,0.26159242,0.33509728,0.43652302,0.29867136,0.19789264,0.5921386,1.0,0.010991182,0.36692187,-0.09851803,0.33735827,0.20070924,0.4947522,0.44051605,0.3022695,0.0864843,-0.18775977,0.18599433,0.4651908],[0.09868176,-0.69500387,-0.33263692,-0.33845413,-0.74044293,-0.77699745,0.8629486,-0.5823951,-0.00953027,-0.15968564,-0.31425983,0.08906945,-0.23974727,-0.12468708,0.010991182,1.0,-0.573083,0.5520353,0.27893108,-0.50697994,0.0506969,0.17580827,-0.7594069,0.6217823,0.76267034,0.7022285,-0.27142128],[-0.4862612,0.9152513,0.7412623,0.18149693,0.8378902,0.8200391,-0.42973384,0.59307146,0.62319326,0.5811185,0.80826396,0.59037274,0.2633328,0.6704838,0.36692187,-0.573083,1.0,-0.7963592,0.45929822,0.70123523,0.67078435,0.51811,0.6786632,-0.51605725,-0.48047042,-0.31505135,0.8193369],[0.27004012,-0.7985352,-0.39889622,-0.06485249,-0.76937276,-0.6547721,0.46444905,-0.61715096,-0.4716382,-0.6158651,-0.59115833,-0.42790222,-0.2625176,-0.34891638,-0.09851803,0.5520353,-0.7963592,1.0,-0.31717417,-0.7200981,-0.49022952,-0.4310813,-0.65752393,0.62692446,0.39411393,0.4772942,-0.5983266],[-0.59051937,0.3035279,0.33127466,-0.45630094,0.10849047,0.1461077,0.44181794,-0.2105571,0.8522897,0.3979678,0.69076604,0.73698515,-0.17833117,0.5767266,0.33735827,0.27893108,0.45929822,-0.31717417,1.0,0.2770601,0.822512,0.78073037,-0.026012737,-0.09310057,0.30404547,0.36915126,0.6396716],[-0.030791873,0.6656336,0.29484847,0.117889844,0.66156197,0.52503234,-0.36136472,0.50207967,0.39345244,0.7397241,0.54756904,0.41802686,0.611209,0.32420537,0.20070924,-0.50697994,0.70123523,-0.7200981,0.2770601,1.0,0.47273335,0.3800993,0.8183805,-0.3282794,-0.28564706,-0.22626543,0.46090952],[-0.48063064,0.5823235,0.5471342,-0.2176462,0.4695299,0.3652814,0.19579095,0.15619671,0.83028954,0.6468499,0.8119145,0.75596946,0.080772854,0.6972943,0.4947522,0.0506969,0.67078435,-0.49022952,0.822512,0.47273335,1.0,0.88843733,0.28692332,-0.22337934,0.015604189,0.17899045,0.83249086],[-0.33416066,0.50168574,0.43248802,-0.20127662,0.4023803,0.21367352,0.30403492,0.1452617,0.7723158,0.6415658,0.7295858,0.6825515,0.055785064,0.5963122,0.44051605,0.17580827,0.51811,-0.4310813,0.78073037,0.3800993,0.88843733,1.0,0.22151361,-0.108608305,0.09045242,0.15210737,0.78040135],[0.07102195,0.7696783,0.41183043,0.37154928,0.811891,0.66242266,-0.6303462,0.6697672,0.20526071,0.619301,0.50004077,0.17265442,0.55382246,0.2725379,0.3022695,-0.7594069,0.6786632,-0.65752393,-0.026012737,0.8183805,0.28692332,0.22151361,1.0,-0.46304536,-0.6643441,-0.5679155,0.46421278],[0.30317944,-0.6225723,-0.2538889,0.045013998,-0.62065595,-0.55957353,0.55235124,-0.32675466,-0.29717988,-0.16557746,-0.42861912,-0.0008856749,0.12434711,-0.24993059,0.0864843,0.6217823,-0.51605725,0.62692446,-0.09310057,-0.3282794,-0.22337934,-0.108608305,-0.46304536,1.0,0.5510265,0.5967093,-0.417654],[-0.046794377,-0.6592517,-0.4219394,-0.48401394,-0.7192732,-0.6103335,0.79588413,-0.64398986,0.08371766,-0.21873239,-0.23839645,0.22248606,-0.25754255,-0.22640483,-0.18775977,0.76267034,-0.48047042,0.39411393,0.30404547,-0.28564706,0.015604189,0.09045242,-0.6643441,0.5510265,1.0,0.74447525,-0.24645099],[-0.09777715,-0.4896878,-0.04173374,-0.24762493,-0.5798923,-0.41175357,0.6987181,-0.59759575,0.06548634,-0.16350003,-0.087519534,0.30082372,-0.0609627,0.14823046,0.18599433,0.7022285,-0.31505135,0.4772942,0.36915126,-0.22626543,0.17899045,0.15210737,-0.5679155,0.5967093,0.74447525,1.0,-0.11989793],[-0.5987871,0.7779696,0.701689,-0.081493996,0.6702389,0.6497215,-0.06299309,0.3136545,0.8136295,0.5019851,0.88591844,0.7063731,-0.023115829,0.7379602,0.4651908,-0.27142128,0.8193369,-0.5983266,0.6396716,0.46090952,0.83249086,0.78040135,0.46421278,-0.417654,-0.24645099,-0.11989793,1.0]],"^IDS":["MC-FR","SAF-FR","HWDN-GB","RTO-GB","AIR-FR","1299-HK","LSEG-GB","ASML-NL","DB1-DE","CFR-CH","AMS-ES","CTEC-GB","ATCO.B-SE","EXPN-GB","CPG-GB","WKL-NL","KNEBV-FI","DGE-GB","EVD-DE","ROG-CH","UMG-NL","SAP-DE","AZN-GB","6861-JP","7309-JP","SIKA-CH","GAW-GB"],"DUMMY^FLOAT_ARRAY CORRELMATRIX=GET_FQL_ARRAY(IDS,'FG_PRICE(45961,45961-1AY,D,USD)');'FDS CODE - DO NOT DELETE'":"FDS CODE - DO NOT DELETE","DUMMY^STRING_ARRAY IDS=TICKER_LIST('MC-FR SAF-FR HWDN-GB RTO-GB AIR-FR 1299-HK LSEG-GB ASML-NL DB1-DE CFR-CH AMS-ES CTEC-GB ATCO.B-SE EXPN-GB CPG-GB WKL-NL KNEBV-FI DGE-GB EVD-DE ROG-CH UMG-NL SAP-DE AZN-GB 6861-JP 7309-JP SIKA-CH GAW-GB');\"FDS CODE - DO NOT DELETE\"":"FDS CODE - DO NOT DELETE","DUMMY^PROPER(\"CORRELATION OF DAILY DATA BETWEEN \") + FG_DATE(45961-1AY) + LOWERCASE(\" AND \") + FG_DATE(45961) + LOWERCASE(\":\")":"Correlation Of Daily Data Between 10/31/2024 and 10/31/2025:","MC-FR^FG_COMPANY_NAME":"LVMH Moet Hennessy Louis Vuitton SE","SAF-FR^FG_COMPANY_NAME":"Safran SA","HWDN-GB^FG_COMPANY_NAME":"Howden Joinery Group PLC","RTO-GB^FG_COMPANY_NAME":"Rentokil Initial plc","AIR-FR^FG_COMPANY_NAME":"Airbus SE","1299-HK^FG_COMPANY_NAME":"AIA Group Limited","LSEG-GB^FG_COMPANY_NAME":"London Stock Exchange Group plc","ASML-NL^FG_COMPANY_NAME":"ASML Holding NV","DB1-DE^FG_COMPANY_NAME":"Deutsche Boerse AG","CFR-CH^FG_COMPANY_NAME":"Compagnie Financiere Richemont SA","AMS-ES^FG_COMPANY_NAME":"Amadeus IT Group SA Class A","CTEC-GB^FG_COMPANY_NAME":"ConvaTec Group Plc","ATCO.B-SE^FG_COMPANY_NAME":"Atlas Copco AB Class B","EXPN-GB^FG_COMPANY_NAME":"Experian PLC","CPG-GB^FG_COMPANY_NAME":"Compass Group PLC","WKL-NL^FG_COMPANY_NAME":"Wolters Kluwer N.V.","KNEBV-FI^FG_COMPANY_NAME":"KONE Oyj Class B","DGE-GB^FG_COMPANY_NAME":"Diageo plc","EVD-DE^FG_COMPANY_NAME":"CTS Eventim AG & Co. KGaA","ROG-CH^FG_COMPANY_NAME":"Roche Holding Ltd Dividend Right Cert.","UMG-NL^FG_COMPANY_NAME":"Universal Music Group N.V.","SAP-DE^FG_COMPANY_NAME":"SAP SE","AZN-GB^FG_COMPANY_NAME":"AstraZeneca PLC","6861-JP^FG_COMPANY_NAME":"Keyence Corporation","7309-JP^FG_COMPANY_NAME":"Shimano Inc.","SIKA-CH^FG_COMPANY_NAME":"Sika AG","GAW-GB^FG_COMPANY_NAME":"Games Workshop Group PLC"}]]></FdsFormulaCache>
</file>

<file path=customXml/itemProps1.xml><?xml version="1.0" encoding="utf-8"?>
<ds:datastoreItem xmlns:ds="http://schemas.openxmlformats.org/officeDocument/2006/customXml" ds:itemID="{F93BAC45-C756-46CE-8173-FA17F69E2997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fpuser</cp:lastModifiedBy>
  <dcterms:created xsi:type="dcterms:W3CDTF">2017-11-20T14:02:05Z</dcterms:created>
  <dcterms:modified xsi:type="dcterms:W3CDTF">2025-11-25T13:21:44Z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993215514</vt:i4>
  </property>
  <property fmtid="{D5CDD505-2E9C-101B-9397-08002B2CF9AE}" pid="4" name="_NewReviewCycle">
    <vt:lpwstr/>
  </property>
  <property fmtid="{D5CDD505-2E9C-101B-9397-08002B2CF9AE}" pid="5" name="_EmailSubject">
    <vt:lpwstr>CM 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856424481</vt:i4>
  </property>
  <property fmtid="{D5CDD505-2E9C-101B-9397-08002B2CF9AE}" pid="9" name="_ReviewingToolsShownOnce">
    <vt:lpwstr/>
  </property>
</Properties>
</file>